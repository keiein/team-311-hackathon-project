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lvin\industry-hackthon - 311\Case 1 - Autonomous 311 Work-Order Dispatch Agent\data\"/>
    </mc:Choice>
  </mc:AlternateContent>
  <xr:revisionPtr revIDLastSave="0" documentId="13_ncr:1_{71DDF015-364B-4D8F-BC43-50370C6DD721}" xr6:coauthVersionLast="47" xr6:coauthVersionMax="47" xr10:uidLastSave="{00000000-0000-0000-0000-000000000000}"/>
  <bookViews>
    <workbookView xWindow="-98" yWindow="-98" windowWidth="24196" windowHeight="14476" tabRatio="500" xr2:uid="{00000000-000D-0000-FFFF-FFFF00000000}"/>
  </bookViews>
  <sheets>
    <sheet name="Service Types" sheetId="1" r:id="rId1"/>
    <sheet name="Multi-Agency Flags" sheetId="2" r:id="rId2"/>
  </sheets>
  <definedNames>
    <definedName name="_xlnm._FilterDatabase" localSheetId="1" hidden="1">'Multi-Agency Flags'!$A$1:$K$783</definedName>
    <definedName name="_xlnm._FilterDatabase" localSheetId="0" hidden="1">'Service Types'!$A$1:$P$741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83" i="2" l="1"/>
  <c r="D783" i="2"/>
  <c r="F782" i="2"/>
  <c r="D782" i="2"/>
  <c r="F781" i="2"/>
  <c r="D781" i="2"/>
  <c r="F780" i="2"/>
  <c r="D780" i="2"/>
  <c r="F779" i="2"/>
  <c r="D779" i="2"/>
  <c r="F778" i="2"/>
  <c r="D778" i="2"/>
  <c r="F777" i="2"/>
  <c r="D777" i="2"/>
  <c r="F776" i="2"/>
  <c r="D776" i="2"/>
  <c r="F775" i="2"/>
  <c r="D775" i="2"/>
  <c r="F774" i="2"/>
  <c r="D774" i="2"/>
  <c r="F773" i="2"/>
  <c r="D773" i="2"/>
  <c r="F772" i="2"/>
  <c r="D772" i="2"/>
  <c r="F771" i="2"/>
  <c r="D771" i="2"/>
  <c r="F770" i="2"/>
  <c r="D770" i="2"/>
  <c r="F769" i="2"/>
  <c r="D769" i="2"/>
  <c r="F768" i="2"/>
  <c r="D768" i="2"/>
  <c r="F767" i="2"/>
  <c r="D767" i="2"/>
  <c r="F766" i="2"/>
  <c r="D766" i="2"/>
  <c r="F765" i="2"/>
  <c r="D765" i="2"/>
  <c r="F764" i="2"/>
  <c r="D764" i="2"/>
  <c r="F763" i="2"/>
  <c r="D763" i="2"/>
  <c r="F762" i="2"/>
  <c r="D762" i="2"/>
  <c r="F761" i="2"/>
  <c r="D761" i="2"/>
  <c r="F760" i="2"/>
  <c r="D760" i="2"/>
  <c r="F759" i="2"/>
  <c r="D759" i="2"/>
  <c r="F758" i="2"/>
  <c r="D758" i="2"/>
  <c r="F757" i="2"/>
  <c r="D757" i="2"/>
  <c r="F756" i="2"/>
  <c r="D756" i="2"/>
  <c r="F755" i="2"/>
  <c r="D755" i="2"/>
  <c r="F754" i="2"/>
  <c r="D754" i="2"/>
  <c r="F753" i="2"/>
  <c r="D753" i="2"/>
  <c r="F752" i="2"/>
  <c r="D752" i="2"/>
  <c r="F751" i="2"/>
  <c r="D751" i="2"/>
  <c r="F750" i="2"/>
  <c r="D750" i="2"/>
  <c r="F749" i="2"/>
  <c r="D749" i="2"/>
  <c r="F748" i="2"/>
  <c r="D748" i="2"/>
  <c r="F747" i="2"/>
  <c r="D747" i="2"/>
  <c r="F746" i="2"/>
  <c r="D746" i="2"/>
  <c r="F745" i="2"/>
  <c r="D745" i="2"/>
  <c r="F744" i="2"/>
  <c r="D744" i="2"/>
  <c r="F743" i="2"/>
  <c r="D743" i="2"/>
  <c r="F742" i="2"/>
  <c r="D742" i="2"/>
  <c r="F741" i="2"/>
  <c r="D741" i="2"/>
  <c r="F740" i="2"/>
  <c r="D740" i="2"/>
  <c r="F739" i="2"/>
  <c r="D739" i="2"/>
  <c r="F738" i="2"/>
  <c r="D738" i="2"/>
  <c r="F737" i="2"/>
  <c r="D737" i="2"/>
  <c r="F736" i="2"/>
  <c r="D736" i="2"/>
  <c r="F735" i="2"/>
  <c r="D735" i="2"/>
  <c r="F734" i="2"/>
  <c r="D734" i="2"/>
  <c r="F733" i="2"/>
  <c r="D733" i="2"/>
  <c r="F732" i="2"/>
  <c r="D732" i="2"/>
  <c r="F731" i="2"/>
  <c r="D731" i="2"/>
  <c r="F730" i="2"/>
  <c r="D730" i="2"/>
  <c r="F729" i="2"/>
  <c r="D729" i="2"/>
  <c r="F728" i="2"/>
  <c r="D728" i="2"/>
  <c r="F727" i="2"/>
  <c r="D727" i="2"/>
  <c r="F726" i="2"/>
  <c r="D726" i="2"/>
  <c r="F725" i="2"/>
  <c r="D725" i="2"/>
  <c r="F724" i="2"/>
  <c r="D724" i="2"/>
  <c r="F723" i="2"/>
  <c r="D723" i="2"/>
  <c r="F722" i="2"/>
  <c r="D722" i="2"/>
  <c r="F721" i="2"/>
  <c r="D721" i="2"/>
  <c r="F720" i="2"/>
  <c r="D720" i="2"/>
  <c r="F719" i="2"/>
  <c r="D719" i="2"/>
  <c r="F718" i="2"/>
  <c r="D718" i="2"/>
  <c r="F717" i="2"/>
  <c r="D717" i="2"/>
  <c r="F716" i="2"/>
  <c r="D716" i="2"/>
  <c r="F715" i="2"/>
  <c r="D715" i="2"/>
  <c r="F714" i="2"/>
  <c r="D714" i="2"/>
  <c r="F713" i="2"/>
  <c r="D713" i="2"/>
  <c r="F712" i="2"/>
  <c r="D712" i="2"/>
  <c r="F711" i="2"/>
  <c r="D711" i="2"/>
  <c r="F710" i="2"/>
  <c r="D710" i="2"/>
  <c r="F709" i="2"/>
  <c r="D709" i="2"/>
  <c r="F708" i="2"/>
  <c r="D708" i="2"/>
  <c r="F707" i="2"/>
  <c r="D707" i="2"/>
  <c r="F706" i="2"/>
  <c r="D706" i="2"/>
  <c r="F705" i="2"/>
  <c r="D705" i="2"/>
  <c r="F704" i="2"/>
  <c r="D704" i="2"/>
  <c r="F703" i="2"/>
  <c r="D703" i="2"/>
  <c r="F702" i="2"/>
  <c r="D702" i="2"/>
  <c r="F701" i="2"/>
  <c r="D701" i="2"/>
  <c r="F700" i="2"/>
  <c r="D700" i="2"/>
  <c r="F699" i="2"/>
  <c r="D699" i="2"/>
  <c r="F698" i="2"/>
  <c r="D698" i="2"/>
  <c r="F697" i="2"/>
  <c r="D697" i="2"/>
  <c r="F696" i="2"/>
  <c r="D696" i="2"/>
  <c r="F695" i="2"/>
  <c r="D695" i="2"/>
  <c r="F694" i="2"/>
  <c r="D694" i="2"/>
  <c r="F693" i="2"/>
  <c r="D693" i="2"/>
  <c r="F692" i="2"/>
  <c r="D692" i="2"/>
  <c r="F691" i="2"/>
  <c r="D691" i="2"/>
  <c r="F690" i="2"/>
  <c r="D690" i="2"/>
  <c r="F689" i="2"/>
  <c r="D689" i="2"/>
  <c r="F688" i="2"/>
  <c r="D688" i="2"/>
  <c r="F687" i="2"/>
  <c r="D687" i="2"/>
  <c r="F686" i="2"/>
  <c r="D686" i="2"/>
  <c r="F685" i="2"/>
  <c r="D685" i="2"/>
  <c r="F684" i="2"/>
  <c r="D684" i="2"/>
  <c r="F683" i="2"/>
  <c r="D683" i="2"/>
  <c r="F682" i="2"/>
  <c r="D682" i="2"/>
  <c r="F681" i="2"/>
  <c r="D681" i="2"/>
  <c r="F680" i="2"/>
  <c r="D680" i="2"/>
  <c r="F679" i="2"/>
  <c r="D679" i="2"/>
  <c r="F678" i="2"/>
  <c r="D678" i="2"/>
  <c r="F677" i="2"/>
  <c r="D677" i="2"/>
  <c r="F676" i="2"/>
  <c r="D676" i="2"/>
  <c r="F675" i="2"/>
  <c r="D675" i="2"/>
  <c r="F674" i="2"/>
  <c r="D674" i="2"/>
  <c r="F673" i="2"/>
  <c r="D673" i="2"/>
  <c r="F672" i="2"/>
  <c r="D672" i="2"/>
  <c r="F671" i="2"/>
  <c r="D671" i="2"/>
  <c r="F670" i="2"/>
  <c r="D670" i="2"/>
  <c r="F669" i="2"/>
  <c r="D669" i="2"/>
  <c r="F668" i="2"/>
  <c r="D668" i="2"/>
  <c r="F667" i="2"/>
  <c r="D667" i="2"/>
  <c r="F666" i="2"/>
  <c r="D666" i="2"/>
  <c r="F665" i="2"/>
  <c r="D665" i="2"/>
  <c r="F664" i="2"/>
  <c r="D664" i="2"/>
  <c r="F663" i="2"/>
  <c r="D663" i="2"/>
  <c r="F662" i="2"/>
  <c r="D662" i="2"/>
  <c r="F661" i="2"/>
  <c r="D661" i="2"/>
  <c r="F660" i="2"/>
  <c r="D660" i="2"/>
  <c r="F659" i="2"/>
  <c r="D659" i="2"/>
  <c r="F658" i="2"/>
  <c r="D658" i="2"/>
  <c r="F657" i="2"/>
  <c r="D657" i="2"/>
  <c r="F656" i="2"/>
  <c r="D656" i="2"/>
  <c r="F655" i="2"/>
  <c r="D655" i="2"/>
  <c r="F654" i="2"/>
  <c r="D654" i="2"/>
  <c r="F653" i="2"/>
  <c r="D653" i="2"/>
  <c r="F652" i="2"/>
  <c r="D652" i="2"/>
  <c r="F651" i="2"/>
  <c r="D651" i="2"/>
  <c r="F650" i="2"/>
  <c r="D650" i="2"/>
  <c r="F649" i="2"/>
  <c r="D649" i="2"/>
  <c r="F648" i="2"/>
  <c r="D648" i="2"/>
  <c r="F647" i="2"/>
  <c r="D647" i="2"/>
  <c r="F646" i="2"/>
  <c r="D646" i="2"/>
  <c r="F645" i="2"/>
  <c r="D645" i="2"/>
  <c r="F644" i="2"/>
  <c r="D644" i="2"/>
  <c r="F643" i="2"/>
  <c r="D643" i="2"/>
  <c r="F642" i="2"/>
  <c r="D642" i="2"/>
  <c r="F641" i="2"/>
  <c r="D641" i="2"/>
  <c r="F640" i="2"/>
  <c r="D640" i="2"/>
  <c r="F639" i="2"/>
  <c r="D639" i="2"/>
  <c r="F638" i="2"/>
  <c r="D638" i="2"/>
  <c r="F637" i="2"/>
  <c r="D637" i="2"/>
  <c r="F636" i="2"/>
  <c r="D636" i="2"/>
  <c r="F635" i="2"/>
  <c r="D635" i="2"/>
  <c r="F634" i="2"/>
  <c r="D634" i="2"/>
  <c r="F633" i="2"/>
  <c r="D633" i="2"/>
  <c r="F632" i="2"/>
  <c r="D632" i="2"/>
  <c r="F631" i="2"/>
  <c r="D631" i="2"/>
  <c r="F630" i="2"/>
  <c r="D630" i="2"/>
  <c r="F629" i="2"/>
  <c r="D629" i="2"/>
  <c r="F628" i="2"/>
  <c r="D628" i="2"/>
  <c r="F627" i="2"/>
  <c r="D627" i="2"/>
  <c r="F626" i="2"/>
  <c r="D626" i="2"/>
  <c r="F625" i="2"/>
  <c r="D625" i="2"/>
  <c r="F624" i="2"/>
  <c r="D624" i="2"/>
  <c r="F623" i="2"/>
  <c r="D623" i="2"/>
  <c r="F622" i="2"/>
  <c r="D622" i="2"/>
  <c r="F621" i="2"/>
  <c r="D621" i="2"/>
  <c r="F620" i="2"/>
  <c r="D620" i="2"/>
  <c r="F619" i="2"/>
  <c r="D619" i="2"/>
  <c r="F618" i="2"/>
  <c r="D618" i="2"/>
  <c r="F617" i="2"/>
  <c r="D617" i="2"/>
  <c r="F616" i="2"/>
  <c r="D616" i="2"/>
  <c r="F615" i="2"/>
  <c r="D615" i="2"/>
  <c r="F614" i="2"/>
  <c r="D614" i="2"/>
  <c r="F613" i="2"/>
  <c r="D613" i="2"/>
  <c r="F612" i="2"/>
  <c r="D612" i="2"/>
  <c r="F611" i="2"/>
  <c r="D611" i="2"/>
  <c r="F610" i="2"/>
  <c r="D610" i="2"/>
  <c r="F609" i="2"/>
  <c r="D609" i="2"/>
  <c r="F608" i="2"/>
  <c r="D608" i="2"/>
  <c r="F607" i="2"/>
  <c r="D607" i="2"/>
  <c r="F606" i="2"/>
  <c r="D606" i="2"/>
  <c r="F605" i="2"/>
  <c r="D605" i="2"/>
  <c r="F604" i="2"/>
  <c r="D604" i="2"/>
  <c r="F603" i="2"/>
  <c r="D603" i="2"/>
  <c r="F602" i="2"/>
  <c r="D602" i="2"/>
  <c r="F601" i="2"/>
  <c r="D601" i="2"/>
  <c r="F600" i="2"/>
  <c r="D600" i="2"/>
  <c r="F599" i="2"/>
  <c r="D599" i="2"/>
  <c r="F598" i="2"/>
  <c r="D598" i="2"/>
  <c r="F597" i="2"/>
  <c r="D597" i="2"/>
  <c r="F596" i="2"/>
  <c r="D596" i="2"/>
  <c r="F595" i="2"/>
  <c r="D595" i="2"/>
  <c r="F594" i="2"/>
  <c r="D594" i="2"/>
  <c r="F593" i="2"/>
  <c r="D593" i="2"/>
  <c r="F592" i="2"/>
  <c r="D592" i="2"/>
  <c r="F591" i="2"/>
  <c r="D591" i="2"/>
  <c r="F590" i="2"/>
  <c r="D590" i="2"/>
  <c r="F589" i="2"/>
  <c r="D589" i="2"/>
  <c r="F588" i="2"/>
  <c r="D588" i="2"/>
  <c r="F587" i="2"/>
  <c r="D587" i="2"/>
  <c r="F586" i="2"/>
  <c r="D586" i="2"/>
  <c r="F585" i="2"/>
  <c r="D585" i="2"/>
  <c r="F584" i="2"/>
  <c r="D584" i="2"/>
  <c r="F583" i="2"/>
  <c r="D583" i="2"/>
  <c r="F582" i="2"/>
  <c r="D582" i="2"/>
  <c r="F581" i="2"/>
  <c r="D581" i="2"/>
  <c r="F580" i="2"/>
  <c r="D580" i="2"/>
  <c r="F579" i="2"/>
  <c r="D579" i="2"/>
  <c r="F578" i="2"/>
  <c r="D578" i="2"/>
  <c r="F577" i="2"/>
  <c r="D577" i="2"/>
  <c r="F576" i="2"/>
  <c r="D576" i="2"/>
  <c r="F575" i="2"/>
  <c r="D575" i="2"/>
  <c r="F574" i="2"/>
  <c r="D574" i="2"/>
  <c r="F573" i="2"/>
  <c r="D573" i="2"/>
  <c r="F572" i="2"/>
  <c r="D572" i="2"/>
  <c r="F571" i="2"/>
  <c r="D571" i="2"/>
  <c r="F570" i="2"/>
  <c r="D570" i="2"/>
  <c r="F569" i="2"/>
  <c r="D569" i="2"/>
  <c r="F568" i="2"/>
  <c r="D568" i="2"/>
  <c r="F567" i="2"/>
  <c r="D567" i="2"/>
  <c r="F566" i="2"/>
  <c r="D566" i="2"/>
  <c r="F565" i="2"/>
  <c r="D565" i="2"/>
  <c r="F564" i="2"/>
  <c r="D564" i="2"/>
  <c r="F563" i="2"/>
  <c r="D563" i="2"/>
  <c r="F562" i="2"/>
  <c r="D562" i="2"/>
  <c r="F561" i="2"/>
  <c r="D561" i="2"/>
  <c r="F560" i="2"/>
  <c r="D560" i="2"/>
  <c r="F559" i="2"/>
  <c r="D559" i="2"/>
  <c r="F558" i="2"/>
  <c r="D558" i="2"/>
  <c r="F557" i="2"/>
  <c r="D557" i="2"/>
  <c r="F556" i="2"/>
  <c r="D556" i="2"/>
  <c r="F555" i="2"/>
  <c r="D555" i="2"/>
  <c r="F554" i="2"/>
  <c r="D554" i="2"/>
  <c r="F553" i="2"/>
  <c r="D553" i="2"/>
  <c r="F552" i="2"/>
  <c r="D552" i="2"/>
  <c r="F551" i="2"/>
  <c r="D551" i="2"/>
  <c r="F550" i="2"/>
  <c r="D550" i="2"/>
  <c r="F549" i="2"/>
  <c r="D549" i="2"/>
  <c r="F548" i="2"/>
  <c r="D548" i="2"/>
  <c r="F547" i="2"/>
  <c r="D547" i="2"/>
  <c r="F546" i="2"/>
  <c r="D546" i="2"/>
  <c r="F545" i="2"/>
  <c r="D545" i="2"/>
  <c r="F544" i="2"/>
  <c r="D544" i="2"/>
  <c r="F543" i="2"/>
  <c r="D543" i="2"/>
  <c r="F542" i="2"/>
  <c r="D542" i="2"/>
  <c r="F541" i="2"/>
  <c r="D541" i="2"/>
  <c r="F540" i="2"/>
  <c r="D540" i="2"/>
  <c r="F539" i="2"/>
  <c r="D539" i="2"/>
  <c r="F538" i="2"/>
  <c r="D538" i="2"/>
  <c r="F537" i="2"/>
  <c r="D537" i="2"/>
  <c r="F536" i="2"/>
  <c r="D536" i="2"/>
  <c r="F535" i="2"/>
  <c r="D535" i="2"/>
  <c r="F534" i="2"/>
  <c r="D534" i="2"/>
  <c r="F533" i="2"/>
  <c r="D533" i="2"/>
  <c r="F532" i="2"/>
  <c r="D532" i="2"/>
  <c r="F531" i="2"/>
  <c r="D531" i="2"/>
  <c r="F530" i="2"/>
  <c r="D530" i="2"/>
  <c r="F529" i="2"/>
  <c r="D529" i="2"/>
  <c r="F528" i="2"/>
  <c r="D528" i="2"/>
  <c r="F527" i="2"/>
  <c r="D527" i="2"/>
  <c r="F526" i="2"/>
  <c r="D526" i="2"/>
  <c r="F525" i="2"/>
  <c r="D525" i="2"/>
  <c r="F524" i="2"/>
  <c r="D524" i="2"/>
  <c r="F523" i="2"/>
  <c r="D523" i="2"/>
  <c r="F522" i="2"/>
  <c r="D522" i="2"/>
  <c r="F521" i="2"/>
  <c r="D521" i="2"/>
  <c r="F520" i="2"/>
  <c r="D520" i="2"/>
  <c r="F519" i="2"/>
  <c r="D519" i="2"/>
  <c r="F518" i="2"/>
  <c r="D518" i="2"/>
  <c r="F517" i="2"/>
  <c r="D517" i="2"/>
  <c r="F516" i="2"/>
  <c r="D516" i="2"/>
  <c r="F515" i="2"/>
  <c r="D515" i="2"/>
  <c r="F514" i="2"/>
  <c r="D514" i="2"/>
  <c r="F513" i="2"/>
  <c r="D513" i="2"/>
  <c r="F512" i="2"/>
  <c r="D512" i="2"/>
  <c r="F511" i="2"/>
  <c r="D511" i="2"/>
  <c r="F510" i="2"/>
  <c r="D510" i="2"/>
  <c r="F509" i="2"/>
  <c r="D509" i="2"/>
  <c r="F508" i="2"/>
  <c r="D508" i="2"/>
  <c r="F507" i="2"/>
  <c r="D507" i="2"/>
  <c r="F506" i="2"/>
  <c r="D506" i="2"/>
  <c r="F505" i="2"/>
  <c r="D505" i="2"/>
  <c r="F504" i="2"/>
  <c r="D504" i="2"/>
  <c r="F503" i="2"/>
  <c r="D503" i="2"/>
  <c r="F502" i="2"/>
  <c r="D502" i="2"/>
  <c r="F501" i="2"/>
  <c r="D501" i="2"/>
  <c r="F500" i="2"/>
  <c r="D500" i="2"/>
  <c r="F499" i="2"/>
  <c r="D499" i="2"/>
  <c r="F498" i="2"/>
  <c r="D498" i="2"/>
  <c r="F497" i="2"/>
  <c r="D497" i="2"/>
  <c r="F496" i="2"/>
  <c r="D496" i="2"/>
  <c r="F495" i="2"/>
  <c r="D495" i="2"/>
  <c r="F494" i="2"/>
  <c r="D494" i="2"/>
  <c r="F493" i="2"/>
  <c r="D493" i="2"/>
  <c r="F492" i="2"/>
  <c r="D492" i="2"/>
  <c r="F491" i="2"/>
  <c r="D491" i="2"/>
  <c r="F490" i="2"/>
  <c r="D490" i="2"/>
  <c r="F489" i="2"/>
  <c r="D489" i="2"/>
  <c r="F488" i="2"/>
  <c r="D488" i="2"/>
  <c r="F487" i="2"/>
  <c r="D487" i="2"/>
  <c r="F486" i="2"/>
  <c r="D486" i="2"/>
  <c r="F485" i="2"/>
  <c r="D485" i="2"/>
  <c r="F484" i="2"/>
  <c r="D484" i="2"/>
  <c r="F483" i="2"/>
  <c r="D483" i="2"/>
  <c r="F482" i="2"/>
  <c r="D482" i="2"/>
  <c r="F481" i="2"/>
  <c r="D481" i="2"/>
  <c r="F480" i="2"/>
  <c r="D480" i="2"/>
  <c r="F479" i="2"/>
  <c r="D479" i="2"/>
  <c r="F478" i="2"/>
  <c r="D478" i="2"/>
  <c r="F477" i="2"/>
  <c r="D477" i="2"/>
  <c r="F476" i="2"/>
  <c r="D476" i="2"/>
  <c r="F475" i="2"/>
  <c r="D475" i="2"/>
  <c r="F474" i="2"/>
  <c r="D474" i="2"/>
  <c r="F473" i="2"/>
  <c r="D473" i="2"/>
  <c r="F472" i="2"/>
  <c r="D472" i="2"/>
  <c r="F471" i="2"/>
  <c r="D471" i="2"/>
  <c r="F470" i="2"/>
  <c r="D470" i="2"/>
  <c r="F469" i="2"/>
  <c r="D469" i="2"/>
  <c r="F468" i="2"/>
  <c r="D468" i="2"/>
  <c r="F467" i="2"/>
  <c r="D467" i="2"/>
  <c r="F466" i="2"/>
  <c r="D466" i="2"/>
  <c r="F465" i="2"/>
  <c r="D465" i="2"/>
  <c r="F464" i="2"/>
  <c r="D464" i="2"/>
  <c r="F463" i="2"/>
  <c r="D463" i="2"/>
  <c r="F462" i="2"/>
  <c r="D462" i="2"/>
  <c r="F461" i="2"/>
  <c r="D461" i="2"/>
  <c r="F460" i="2"/>
  <c r="D460" i="2"/>
  <c r="F459" i="2"/>
  <c r="D459" i="2"/>
  <c r="F458" i="2"/>
  <c r="D458" i="2"/>
  <c r="F457" i="2"/>
  <c r="D457" i="2"/>
  <c r="F456" i="2"/>
  <c r="D456" i="2"/>
  <c r="F455" i="2"/>
  <c r="D455" i="2"/>
  <c r="F454" i="2"/>
  <c r="D454" i="2"/>
  <c r="F453" i="2"/>
  <c r="D453" i="2"/>
  <c r="F452" i="2"/>
  <c r="D452" i="2"/>
  <c r="F451" i="2"/>
  <c r="D451" i="2"/>
  <c r="F450" i="2"/>
  <c r="D450" i="2"/>
  <c r="F449" i="2"/>
  <c r="D449" i="2"/>
  <c r="F448" i="2"/>
  <c r="D448" i="2"/>
  <c r="F447" i="2"/>
  <c r="D447" i="2"/>
  <c r="F446" i="2"/>
  <c r="D446" i="2"/>
  <c r="F445" i="2"/>
  <c r="D445" i="2"/>
  <c r="F444" i="2"/>
  <c r="D444" i="2"/>
  <c r="F443" i="2"/>
  <c r="D443" i="2"/>
  <c r="F442" i="2"/>
  <c r="D442" i="2"/>
  <c r="F441" i="2"/>
  <c r="D441" i="2"/>
  <c r="F440" i="2"/>
  <c r="D440" i="2"/>
  <c r="F439" i="2"/>
  <c r="D439" i="2"/>
  <c r="F438" i="2"/>
  <c r="D438" i="2"/>
  <c r="F437" i="2"/>
  <c r="D437" i="2"/>
  <c r="F436" i="2"/>
  <c r="D436" i="2"/>
  <c r="F435" i="2"/>
  <c r="D435" i="2"/>
  <c r="F434" i="2"/>
  <c r="D434" i="2"/>
  <c r="F433" i="2"/>
  <c r="D433" i="2"/>
  <c r="F432" i="2"/>
  <c r="D432" i="2"/>
  <c r="F431" i="2"/>
  <c r="D431" i="2"/>
  <c r="F430" i="2"/>
  <c r="D430" i="2"/>
  <c r="F429" i="2"/>
  <c r="D429" i="2"/>
  <c r="F428" i="2"/>
  <c r="D428" i="2"/>
  <c r="F427" i="2"/>
  <c r="D427" i="2"/>
  <c r="F426" i="2"/>
  <c r="D426" i="2"/>
  <c r="F425" i="2"/>
  <c r="D425" i="2"/>
  <c r="F424" i="2"/>
  <c r="D424" i="2"/>
  <c r="F423" i="2"/>
  <c r="D423" i="2"/>
  <c r="F422" i="2"/>
  <c r="D422" i="2"/>
  <c r="F421" i="2"/>
  <c r="D421" i="2"/>
  <c r="F420" i="2"/>
  <c r="D420" i="2"/>
  <c r="F419" i="2"/>
  <c r="D419" i="2"/>
  <c r="F418" i="2"/>
  <c r="D418" i="2"/>
  <c r="F417" i="2"/>
  <c r="D417" i="2"/>
  <c r="F416" i="2"/>
  <c r="D416" i="2"/>
  <c r="F415" i="2"/>
  <c r="D415" i="2"/>
  <c r="F414" i="2"/>
  <c r="D414" i="2"/>
  <c r="F413" i="2"/>
  <c r="D413" i="2"/>
  <c r="F412" i="2"/>
  <c r="D412" i="2"/>
  <c r="F411" i="2"/>
  <c r="D411" i="2"/>
  <c r="F410" i="2"/>
  <c r="D410" i="2"/>
  <c r="F409" i="2"/>
  <c r="D409" i="2"/>
  <c r="F408" i="2"/>
  <c r="D408" i="2"/>
  <c r="F407" i="2"/>
  <c r="D407" i="2"/>
  <c r="F406" i="2"/>
  <c r="D406" i="2"/>
  <c r="F405" i="2"/>
  <c r="D405" i="2"/>
  <c r="F404" i="2"/>
  <c r="D404" i="2"/>
  <c r="F403" i="2"/>
  <c r="D403" i="2"/>
  <c r="F402" i="2"/>
  <c r="D402" i="2"/>
  <c r="F401" i="2"/>
  <c r="D401" i="2"/>
  <c r="F400" i="2"/>
  <c r="D400" i="2"/>
  <c r="F399" i="2"/>
  <c r="D399" i="2"/>
  <c r="F398" i="2"/>
  <c r="D398" i="2"/>
  <c r="F397" i="2"/>
  <c r="D397" i="2"/>
  <c r="F396" i="2"/>
  <c r="D396" i="2"/>
  <c r="F395" i="2"/>
  <c r="D395" i="2"/>
  <c r="F394" i="2"/>
  <c r="D394" i="2"/>
  <c r="F393" i="2"/>
  <c r="D393" i="2"/>
  <c r="F392" i="2"/>
  <c r="D392" i="2"/>
  <c r="F391" i="2"/>
  <c r="D391" i="2"/>
  <c r="F390" i="2"/>
  <c r="D390" i="2"/>
  <c r="F389" i="2"/>
  <c r="D389" i="2"/>
  <c r="F388" i="2"/>
  <c r="D388" i="2"/>
  <c r="F387" i="2"/>
  <c r="D387" i="2"/>
  <c r="F386" i="2"/>
  <c r="D386" i="2"/>
  <c r="F385" i="2"/>
  <c r="D385" i="2"/>
  <c r="F384" i="2"/>
  <c r="D384" i="2"/>
  <c r="F383" i="2"/>
  <c r="D383" i="2"/>
  <c r="F382" i="2"/>
  <c r="D382" i="2"/>
  <c r="F381" i="2"/>
  <c r="D381" i="2"/>
  <c r="F380" i="2"/>
  <c r="D380" i="2"/>
  <c r="F379" i="2"/>
  <c r="D379" i="2"/>
  <c r="F378" i="2"/>
  <c r="D378" i="2"/>
  <c r="F377" i="2"/>
  <c r="D377" i="2"/>
  <c r="F376" i="2"/>
  <c r="D376" i="2"/>
  <c r="F375" i="2"/>
  <c r="D375" i="2"/>
  <c r="F374" i="2"/>
  <c r="D374" i="2"/>
  <c r="F373" i="2"/>
  <c r="D373" i="2"/>
  <c r="F372" i="2"/>
  <c r="D372" i="2"/>
  <c r="F371" i="2"/>
  <c r="D371" i="2"/>
  <c r="F370" i="2"/>
  <c r="D370" i="2"/>
  <c r="F369" i="2"/>
  <c r="D369" i="2"/>
  <c r="F368" i="2"/>
  <c r="D368" i="2"/>
  <c r="F367" i="2"/>
  <c r="D367" i="2"/>
  <c r="F366" i="2"/>
  <c r="D366" i="2"/>
  <c r="F365" i="2"/>
  <c r="D365" i="2"/>
  <c r="F364" i="2"/>
  <c r="D364" i="2"/>
  <c r="F363" i="2"/>
  <c r="D363" i="2"/>
  <c r="F362" i="2"/>
  <c r="D362" i="2"/>
  <c r="F361" i="2"/>
  <c r="D361" i="2"/>
  <c r="F360" i="2"/>
  <c r="D360" i="2"/>
  <c r="F359" i="2"/>
  <c r="D359" i="2"/>
  <c r="F358" i="2"/>
  <c r="D358" i="2"/>
  <c r="F357" i="2"/>
  <c r="D357" i="2"/>
  <c r="F356" i="2"/>
  <c r="D356" i="2"/>
  <c r="F355" i="2"/>
  <c r="D355" i="2"/>
  <c r="F354" i="2"/>
  <c r="D354" i="2"/>
  <c r="F353" i="2"/>
  <c r="D353" i="2"/>
  <c r="F352" i="2"/>
  <c r="D352" i="2"/>
  <c r="F351" i="2"/>
  <c r="D351" i="2"/>
  <c r="F350" i="2"/>
  <c r="D350" i="2"/>
  <c r="F349" i="2"/>
  <c r="D349" i="2"/>
  <c r="F348" i="2"/>
  <c r="D348" i="2"/>
  <c r="F347" i="2"/>
  <c r="D347" i="2"/>
  <c r="F346" i="2"/>
  <c r="D346" i="2"/>
  <c r="F345" i="2"/>
  <c r="D345" i="2"/>
  <c r="F344" i="2"/>
  <c r="D344" i="2"/>
  <c r="F343" i="2"/>
  <c r="D343" i="2"/>
  <c r="F342" i="2"/>
  <c r="D342" i="2"/>
  <c r="F341" i="2"/>
  <c r="D341" i="2"/>
  <c r="F340" i="2"/>
  <c r="D340" i="2"/>
  <c r="F339" i="2"/>
  <c r="D339" i="2"/>
  <c r="F338" i="2"/>
  <c r="D338" i="2"/>
  <c r="F337" i="2"/>
  <c r="D337" i="2"/>
  <c r="F336" i="2"/>
  <c r="D336" i="2"/>
  <c r="F335" i="2"/>
  <c r="D335" i="2"/>
  <c r="F334" i="2"/>
  <c r="D334" i="2"/>
  <c r="F333" i="2"/>
  <c r="D333" i="2"/>
  <c r="F332" i="2"/>
  <c r="D332" i="2"/>
  <c r="F331" i="2"/>
  <c r="D331" i="2"/>
  <c r="F330" i="2"/>
  <c r="D330" i="2"/>
  <c r="F329" i="2"/>
  <c r="D329" i="2"/>
  <c r="F328" i="2"/>
  <c r="D328" i="2"/>
  <c r="F327" i="2"/>
  <c r="D327" i="2"/>
  <c r="F326" i="2"/>
  <c r="D326" i="2"/>
  <c r="F325" i="2"/>
  <c r="D325" i="2"/>
  <c r="F324" i="2"/>
  <c r="D324" i="2"/>
  <c r="F323" i="2"/>
  <c r="D323" i="2"/>
  <c r="F322" i="2"/>
  <c r="D322" i="2"/>
  <c r="F321" i="2"/>
  <c r="D321" i="2"/>
  <c r="F320" i="2"/>
  <c r="D320" i="2"/>
  <c r="F319" i="2"/>
  <c r="D319" i="2"/>
  <c r="F318" i="2"/>
  <c r="D318" i="2"/>
  <c r="F317" i="2"/>
  <c r="D317" i="2"/>
  <c r="F316" i="2"/>
  <c r="D316" i="2"/>
  <c r="F315" i="2"/>
  <c r="D315" i="2"/>
  <c r="F314" i="2"/>
  <c r="D314" i="2"/>
  <c r="F313" i="2"/>
  <c r="D313" i="2"/>
  <c r="F312" i="2"/>
  <c r="D312" i="2"/>
  <c r="F311" i="2"/>
  <c r="D311" i="2"/>
  <c r="F310" i="2"/>
  <c r="D310" i="2"/>
  <c r="F309" i="2"/>
  <c r="D309" i="2"/>
  <c r="F308" i="2"/>
  <c r="D308" i="2"/>
  <c r="F307" i="2"/>
  <c r="D307" i="2"/>
  <c r="F306" i="2"/>
  <c r="D306" i="2"/>
  <c r="F305" i="2"/>
  <c r="D305" i="2"/>
  <c r="F304" i="2"/>
  <c r="D304" i="2"/>
  <c r="F303" i="2"/>
  <c r="D303" i="2"/>
  <c r="F302" i="2"/>
  <c r="D302" i="2"/>
  <c r="F301" i="2"/>
  <c r="D301" i="2"/>
  <c r="F300" i="2"/>
  <c r="D300" i="2"/>
  <c r="F299" i="2"/>
  <c r="D299" i="2"/>
  <c r="F298" i="2"/>
  <c r="D298" i="2"/>
  <c r="F297" i="2"/>
  <c r="D297" i="2"/>
  <c r="F296" i="2"/>
  <c r="D296" i="2"/>
  <c r="F295" i="2"/>
  <c r="D295" i="2"/>
  <c r="F294" i="2"/>
  <c r="D294" i="2"/>
  <c r="F293" i="2"/>
  <c r="D293" i="2"/>
  <c r="F292" i="2"/>
  <c r="D292" i="2"/>
  <c r="F291" i="2"/>
  <c r="D291" i="2"/>
  <c r="F290" i="2"/>
  <c r="D290" i="2"/>
  <c r="F289" i="2"/>
  <c r="D289" i="2"/>
  <c r="F288" i="2"/>
  <c r="D288" i="2"/>
  <c r="F287" i="2"/>
  <c r="D287" i="2"/>
  <c r="F286" i="2"/>
  <c r="D286" i="2"/>
  <c r="F285" i="2"/>
  <c r="D285" i="2"/>
  <c r="F284" i="2"/>
  <c r="D284" i="2"/>
  <c r="F283" i="2"/>
  <c r="D283" i="2"/>
  <c r="F282" i="2"/>
  <c r="D282" i="2"/>
  <c r="F281" i="2"/>
  <c r="D281" i="2"/>
  <c r="F280" i="2"/>
  <c r="D280" i="2"/>
  <c r="F279" i="2"/>
  <c r="D279" i="2"/>
  <c r="F278" i="2"/>
  <c r="D278" i="2"/>
  <c r="F277" i="2"/>
  <c r="D277" i="2"/>
  <c r="F276" i="2"/>
  <c r="D276" i="2"/>
  <c r="F275" i="2"/>
  <c r="D275" i="2"/>
  <c r="F274" i="2"/>
  <c r="D274" i="2"/>
  <c r="F273" i="2"/>
  <c r="D273" i="2"/>
  <c r="F272" i="2"/>
  <c r="D272" i="2"/>
  <c r="F271" i="2"/>
  <c r="D271" i="2"/>
  <c r="F270" i="2"/>
  <c r="D270" i="2"/>
  <c r="F269" i="2"/>
  <c r="D269" i="2"/>
  <c r="F268" i="2"/>
  <c r="D268" i="2"/>
  <c r="F267" i="2"/>
  <c r="D267" i="2"/>
  <c r="F266" i="2"/>
  <c r="D266" i="2"/>
  <c r="F265" i="2"/>
  <c r="D265" i="2"/>
  <c r="F264" i="2"/>
  <c r="D264" i="2"/>
  <c r="F263" i="2"/>
  <c r="D263" i="2"/>
  <c r="F262" i="2"/>
  <c r="D262" i="2"/>
  <c r="F261" i="2"/>
  <c r="D261" i="2"/>
  <c r="F260" i="2"/>
  <c r="D260" i="2"/>
  <c r="F259" i="2"/>
  <c r="D259" i="2"/>
  <c r="F258" i="2"/>
  <c r="D258" i="2"/>
  <c r="F257" i="2"/>
  <c r="D257" i="2"/>
  <c r="F256" i="2"/>
  <c r="D256" i="2"/>
  <c r="F255" i="2"/>
  <c r="D255" i="2"/>
  <c r="F254" i="2"/>
  <c r="D254" i="2"/>
  <c r="F253" i="2"/>
  <c r="D253" i="2"/>
  <c r="F252" i="2"/>
  <c r="D252" i="2"/>
  <c r="F251" i="2"/>
  <c r="D251" i="2"/>
  <c r="F250" i="2"/>
  <c r="D250" i="2"/>
  <c r="F249" i="2"/>
  <c r="D249" i="2"/>
  <c r="F248" i="2"/>
  <c r="D248" i="2"/>
  <c r="F247" i="2"/>
  <c r="D247" i="2"/>
  <c r="F246" i="2"/>
  <c r="D246" i="2"/>
  <c r="F245" i="2"/>
  <c r="D245" i="2"/>
  <c r="F244" i="2"/>
  <c r="D244" i="2"/>
  <c r="F243" i="2"/>
  <c r="D243" i="2"/>
  <c r="F242" i="2"/>
  <c r="D242" i="2"/>
  <c r="F241" i="2"/>
  <c r="D241" i="2"/>
  <c r="F240" i="2"/>
  <c r="D240" i="2"/>
  <c r="F239" i="2"/>
  <c r="D239" i="2"/>
  <c r="F238" i="2"/>
  <c r="D238" i="2"/>
  <c r="F237" i="2"/>
  <c r="D237" i="2"/>
  <c r="F236" i="2"/>
  <c r="D236" i="2"/>
  <c r="F235" i="2"/>
  <c r="D235" i="2"/>
  <c r="F234" i="2"/>
  <c r="D234" i="2"/>
  <c r="F233" i="2"/>
  <c r="D233" i="2"/>
  <c r="F232" i="2"/>
  <c r="D232" i="2"/>
  <c r="F231" i="2"/>
  <c r="D231" i="2"/>
  <c r="F230" i="2"/>
  <c r="D230" i="2"/>
  <c r="F229" i="2"/>
  <c r="D229" i="2"/>
  <c r="F228" i="2"/>
  <c r="D228" i="2"/>
  <c r="F227" i="2"/>
  <c r="D227" i="2"/>
  <c r="F226" i="2"/>
  <c r="D226" i="2"/>
  <c r="F225" i="2"/>
  <c r="D225" i="2"/>
  <c r="F224" i="2"/>
  <c r="D224" i="2"/>
  <c r="F223" i="2"/>
  <c r="D223" i="2"/>
  <c r="F222" i="2"/>
  <c r="D222" i="2"/>
  <c r="F221" i="2"/>
  <c r="D221" i="2"/>
  <c r="F220" i="2"/>
  <c r="D220" i="2"/>
  <c r="F219" i="2"/>
  <c r="D219" i="2"/>
  <c r="F218" i="2"/>
  <c r="D218" i="2"/>
  <c r="F217" i="2"/>
  <c r="D217" i="2"/>
  <c r="F216" i="2"/>
  <c r="D216" i="2"/>
  <c r="F215" i="2"/>
  <c r="D215" i="2"/>
  <c r="F214" i="2"/>
  <c r="D214" i="2"/>
  <c r="F213" i="2"/>
  <c r="D213" i="2"/>
  <c r="F212" i="2"/>
  <c r="D212" i="2"/>
  <c r="F211" i="2"/>
  <c r="D211" i="2"/>
  <c r="F210" i="2"/>
  <c r="D210" i="2"/>
  <c r="F209" i="2"/>
  <c r="D209" i="2"/>
  <c r="F208" i="2"/>
  <c r="D208" i="2"/>
  <c r="F207" i="2"/>
  <c r="D207" i="2"/>
  <c r="F206" i="2"/>
  <c r="D206" i="2"/>
  <c r="F205" i="2"/>
  <c r="D205" i="2"/>
  <c r="F204" i="2"/>
  <c r="D204" i="2"/>
  <c r="F203" i="2"/>
  <c r="D203" i="2"/>
  <c r="F202" i="2"/>
  <c r="D202" i="2"/>
  <c r="F201" i="2"/>
  <c r="D201" i="2"/>
  <c r="F200" i="2"/>
  <c r="D200" i="2"/>
  <c r="F199" i="2"/>
  <c r="D199" i="2"/>
  <c r="F198" i="2"/>
  <c r="D198" i="2"/>
  <c r="F197" i="2"/>
  <c r="D197" i="2"/>
  <c r="F196" i="2"/>
  <c r="D196" i="2"/>
  <c r="F195" i="2"/>
  <c r="D195" i="2"/>
  <c r="F194" i="2"/>
  <c r="D194" i="2"/>
  <c r="F193" i="2"/>
  <c r="D193" i="2"/>
  <c r="F192" i="2"/>
  <c r="D192" i="2"/>
  <c r="F191" i="2"/>
  <c r="D191" i="2"/>
  <c r="F190" i="2"/>
  <c r="D190" i="2"/>
  <c r="F189" i="2"/>
  <c r="D189" i="2"/>
  <c r="F188" i="2"/>
  <c r="D188" i="2"/>
  <c r="F187" i="2"/>
  <c r="D187" i="2"/>
  <c r="F186" i="2"/>
  <c r="D186" i="2"/>
  <c r="F185" i="2"/>
  <c r="D185" i="2"/>
  <c r="F184" i="2"/>
  <c r="D184" i="2"/>
  <c r="F183" i="2"/>
  <c r="D183" i="2"/>
  <c r="F182" i="2"/>
  <c r="D182" i="2"/>
  <c r="F181" i="2"/>
  <c r="D181" i="2"/>
  <c r="F180" i="2"/>
  <c r="D180" i="2"/>
  <c r="F179" i="2"/>
  <c r="D179" i="2"/>
  <c r="F178" i="2"/>
  <c r="D178" i="2"/>
  <c r="F177" i="2"/>
  <c r="D177" i="2"/>
  <c r="F176" i="2"/>
  <c r="D176" i="2"/>
  <c r="F175" i="2"/>
  <c r="D175" i="2"/>
  <c r="F174" i="2"/>
  <c r="D174" i="2"/>
  <c r="F173" i="2"/>
  <c r="D173" i="2"/>
  <c r="F172" i="2"/>
  <c r="D172" i="2"/>
  <c r="F171" i="2"/>
  <c r="D171" i="2"/>
  <c r="F170" i="2"/>
  <c r="D170" i="2"/>
  <c r="F169" i="2"/>
  <c r="D169" i="2"/>
  <c r="F168" i="2"/>
  <c r="D168" i="2"/>
  <c r="F167" i="2"/>
  <c r="D167" i="2"/>
  <c r="F166" i="2"/>
  <c r="D166" i="2"/>
  <c r="F165" i="2"/>
  <c r="D165" i="2"/>
  <c r="F164" i="2"/>
  <c r="D164" i="2"/>
  <c r="F163" i="2"/>
  <c r="D163" i="2"/>
  <c r="F162" i="2"/>
  <c r="D162" i="2"/>
  <c r="F161" i="2"/>
  <c r="D161" i="2"/>
  <c r="F160" i="2"/>
  <c r="D160" i="2"/>
  <c r="F159" i="2"/>
  <c r="D159" i="2"/>
  <c r="F158" i="2"/>
  <c r="D158" i="2"/>
  <c r="F157" i="2"/>
  <c r="D157" i="2"/>
  <c r="F156" i="2"/>
  <c r="D156" i="2"/>
  <c r="F155" i="2"/>
  <c r="D155" i="2"/>
  <c r="F154" i="2"/>
  <c r="D154" i="2"/>
  <c r="F153" i="2"/>
  <c r="D153" i="2"/>
  <c r="F152" i="2"/>
  <c r="D152" i="2"/>
  <c r="F151" i="2"/>
  <c r="D151" i="2"/>
  <c r="F150" i="2"/>
  <c r="D150" i="2"/>
  <c r="F149" i="2"/>
  <c r="D149" i="2"/>
  <c r="F148" i="2"/>
  <c r="D148" i="2"/>
  <c r="F147" i="2"/>
  <c r="D147" i="2"/>
  <c r="F146" i="2"/>
  <c r="D146" i="2"/>
  <c r="F145" i="2"/>
  <c r="D145" i="2"/>
  <c r="F144" i="2"/>
  <c r="D144" i="2"/>
  <c r="F143" i="2"/>
  <c r="D143" i="2"/>
  <c r="F142" i="2"/>
  <c r="D142" i="2"/>
  <c r="F141" i="2"/>
  <c r="D141" i="2"/>
  <c r="F140" i="2"/>
  <c r="D140" i="2"/>
  <c r="F139" i="2"/>
  <c r="D139" i="2"/>
  <c r="F138" i="2"/>
  <c r="D138" i="2"/>
  <c r="F137" i="2"/>
  <c r="D137" i="2"/>
  <c r="F136" i="2"/>
  <c r="D136" i="2"/>
  <c r="F135" i="2"/>
  <c r="D135" i="2"/>
  <c r="F134" i="2"/>
  <c r="D134" i="2"/>
  <c r="F133" i="2"/>
  <c r="D133" i="2"/>
  <c r="F132" i="2"/>
  <c r="D132" i="2"/>
  <c r="F131" i="2"/>
  <c r="D131" i="2"/>
  <c r="F130" i="2"/>
  <c r="D130" i="2"/>
  <c r="F129" i="2"/>
  <c r="D129" i="2"/>
  <c r="F128" i="2"/>
  <c r="D128" i="2"/>
  <c r="F127" i="2"/>
  <c r="D127" i="2"/>
  <c r="F126" i="2"/>
  <c r="D126" i="2"/>
  <c r="F125" i="2"/>
  <c r="D125" i="2"/>
  <c r="F124" i="2"/>
  <c r="D124" i="2"/>
  <c r="F123" i="2"/>
  <c r="D123" i="2"/>
  <c r="F122" i="2"/>
  <c r="D122" i="2"/>
  <c r="F121" i="2"/>
  <c r="D121" i="2"/>
  <c r="F120" i="2"/>
  <c r="D120" i="2"/>
  <c r="F119" i="2"/>
  <c r="D119" i="2"/>
  <c r="F118" i="2"/>
  <c r="D118" i="2"/>
  <c r="F117" i="2"/>
  <c r="D117" i="2"/>
  <c r="F116" i="2"/>
  <c r="D116" i="2"/>
  <c r="F115" i="2"/>
  <c r="D115" i="2"/>
  <c r="F114" i="2"/>
  <c r="D114" i="2"/>
  <c r="F113" i="2"/>
  <c r="D113" i="2"/>
  <c r="F112" i="2"/>
  <c r="D112" i="2"/>
  <c r="F111" i="2"/>
  <c r="D111" i="2"/>
  <c r="F110" i="2"/>
  <c r="D110" i="2"/>
  <c r="F109" i="2"/>
  <c r="D109" i="2"/>
  <c r="F108" i="2"/>
  <c r="D108" i="2"/>
  <c r="F107" i="2"/>
  <c r="D107" i="2"/>
  <c r="F106" i="2"/>
  <c r="D106" i="2"/>
  <c r="F105" i="2"/>
  <c r="D105" i="2"/>
  <c r="F104" i="2"/>
  <c r="D104" i="2"/>
  <c r="F103" i="2"/>
  <c r="D103" i="2"/>
  <c r="F102" i="2"/>
  <c r="D102" i="2"/>
  <c r="F101" i="2"/>
  <c r="D101" i="2"/>
  <c r="F100" i="2"/>
  <c r="D100" i="2"/>
  <c r="F99" i="2"/>
  <c r="D99" i="2"/>
  <c r="F98" i="2"/>
  <c r="D98" i="2"/>
  <c r="F97" i="2"/>
  <c r="D97" i="2"/>
  <c r="F96" i="2"/>
  <c r="D96" i="2"/>
  <c r="F95" i="2"/>
  <c r="D95" i="2"/>
  <c r="F94" i="2"/>
  <c r="D94" i="2"/>
  <c r="F93" i="2"/>
  <c r="D93" i="2"/>
  <c r="F92" i="2"/>
  <c r="D92" i="2"/>
  <c r="F91" i="2"/>
  <c r="D91" i="2"/>
  <c r="F90" i="2"/>
  <c r="D90" i="2"/>
  <c r="F89" i="2"/>
  <c r="D89" i="2"/>
  <c r="F88" i="2"/>
  <c r="D88" i="2"/>
  <c r="F87" i="2"/>
  <c r="D87" i="2"/>
  <c r="F86" i="2"/>
  <c r="D86" i="2"/>
  <c r="F85" i="2"/>
  <c r="D85" i="2"/>
  <c r="F84" i="2"/>
  <c r="D84" i="2"/>
  <c r="F83" i="2"/>
  <c r="D83" i="2"/>
  <c r="F82" i="2"/>
  <c r="D82" i="2"/>
  <c r="F81" i="2"/>
  <c r="D81" i="2"/>
  <c r="F80" i="2"/>
  <c r="D80" i="2"/>
  <c r="F79" i="2"/>
  <c r="D79" i="2"/>
  <c r="F78" i="2"/>
  <c r="D78" i="2"/>
  <c r="F77" i="2"/>
  <c r="D77" i="2"/>
  <c r="F76" i="2"/>
  <c r="D76" i="2"/>
  <c r="F75" i="2"/>
  <c r="D75" i="2"/>
  <c r="F74" i="2"/>
  <c r="D74" i="2"/>
  <c r="F73" i="2"/>
  <c r="D73" i="2"/>
  <c r="F72" i="2"/>
  <c r="D72" i="2"/>
  <c r="F71" i="2"/>
  <c r="D71" i="2"/>
  <c r="F70" i="2"/>
  <c r="D70" i="2"/>
  <c r="F69" i="2"/>
  <c r="D69" i="2"/>
  <c r="F68" i="2"/>
  <c r="D68" i="2"/>
  <c r="F67" i="2"/>
  <c r="D67" i="2"/>
  <c r="F66" i="2"/>
  <c r="D66" i="2"/>
  <c r="F65" i="2"/>
  <c r="D65" i="2"/>
  <c r="F64" i="2"/>
  <c r="D64" i="2"/>
  <c r="F63" i="2"/>
  <c r="D63" i="2"/>
  <c r="F62" i="2"/>
  <c r="D62" i="2"/>
  <c r="F61" i="2"/>
  <c r="D61" i="2"/>
  <c r="F60" i="2"/>
  <c r="D60" i="2"/>
  <c r="F59" i="2"/>
  <c r="D59" i="2"/>
  <c r="F58" i="2"/>
  <c r="D58" i="2"/>
  <c r="F57" i="2"/>
  <c r="D57" i="2"/>
  <c r="F56" i="2"/>
  <c r="D56" i="2"/>
  <c r="F55" i="2"/>
  <c r="D55" i="2"/>
  <c r="F54" i="2"/>
  <c r="D54" i="2"/>
  <c r="F53" i="2"/>
  <c r="D53" i="2"/>
  <c r="F52" i="2"/>
  <c r="D52" i="2"/>
  <c r="F51" i="2"/>
  <c r="D51" i="2"/>
  <c r="F50" i="2"/>
  <c r="D50" i="2"/>
  <c r="F49" i="2"/>
  <c r="D49" i="2"/>
  <c r="F48" i="2"/>
  <c r="D48" i="2"/>
  <c r="F47" i="2"/>
  <c r="D47" i="2"/>
  <c r="F46" i="2"/>
  <c r="D46" i="2"/>
  <c r="F45" i="2"/>
  <c r="D45" i="2"/>
  <c r="F44" i="2"/>
  <c r="D44" i="2"/>
  <c r="F43" i="2"/>
  <c r="D43" i="2"/>
  <c r="F42" i="2"/>
  <c r="D42" i="2"/>
  <c r="F41" i="2"/>
  <c r="D41" i="2"/>
  <c r="F40" i="2"/>
  <c r="D40" i="2"/>
  <c r="F39" i="2"/>
  <c r="D39" i="2"/>
  <c r="F38" i="2"/>
  <c r="D38" i="2"/>
  <c r="F37" i="2"/>
  <c r="D37" i="2"/>
  <c r="F36" i="2"/>
  <c r="D36" i="2"/>
  <c r="F35" i="2"/>
  <c r="D35" i="2"/>
  <c r="F34" i="2"/>
  <c r="D34" i="2"/>
  <c r="F33" i="2"/>
  <c r="D33" i="2"/>
  <c r="F32" i="2"/>
  <c r="D32" i="2"/>
  <c r="F31" i="2"/>
  <c r="D31" i="2"/>
  <c r="F30" i="2"/>
  <c r="D30" i="2"/>
  <c r="F29" i="2"/>
  <c r="D29" i="2"/>
  <c r="F28" i="2"/>
  <c r="D28" i="2"/>
  <c r="F27" i="2"/>
  <c r="D27" i="2"/>
  <c r="F26" i="2"/>
  <c r="D26" i="2"/>
  <c r="F25" i="2"/>
  <c r="D25" i="2"/>
  <c r="F24" i="2"/>
  <c r="D24" i="2"/>
  <c r="F23" i="2"/>
  <c r="D23" i="2"/>
  <c r="F22" i="2"/>
  <c r="D22" i="2"/>
  <c r="F21" i="2"/>
  <c r="D21" i="2"/>
  <c r="F20" i="2"/>
  <c r="D20" i="2"/>
  <c r="F19" i="2"/>
  <c r="D19" i="2"/>
  <c r="F18" i="2"/>
  <c r="D18" i="2"/>
  <c r="F17" i="2"/>
  <c r="D17" i="2"/>
  <c r="F16" i="2"/>
  <c r="D16" i="2"/>
  <c r="F15" i="2"/>
  <c r="D15" i="2"/>
  <c r="F14" i="2"/>
  <c r="D14" i="2"/>
  <c r="F13" i="2"/>
  <c r="D13" i="2"/>
  <c r="F12" i="2"/>
  <c r="D12" i="2"/>
  <c r="F11" i="2"/>
  <c r="D11" i="2"/>
  <c r="F10" i="2"/>
  <c r="D10" i="2"/>
  <c r="F9" i="2"/>
  <c r="D9" i="2"/>
  <c r="F8" i="2"/>
  <c r="D8" i="2"/>
  <c r="F7" i="2"/>
  <c r="D7" i="2"/>
  <c r="F6" i="2"/>
  <c r="D6" i="2"/>
  <c r="F5" i="2"/>
  <c r="D5" i="2"/>
  <c r="F4" i="2"/>
  <c r="D4" i="2"/>
  <c r="F3" i="2"/>
  <c r="D3" i="2"/>
  <c r="F2" i="2"/>
  <c r="D2" i="2"/>
  <c r="O741" i="1"/>
  <c r="N741" i="1"/>
  <c r="P741" i="1" s="1"/>
  <c r="M741" i="1"/>
  <c r="P740" i="1"/>
  <c r="O740" i="1"/>
  <c r="N740" i="1"/>
  <c r="M740" i="1"/>
  <c r="O739" i="1"/>
  <c r="N739" i="1"/>
  <c r="P739" i="1" s="1"/>
  <c r="M739" i="1"/>
  <c r="O738" i="1"/>
  <c r="N738" i="1"/>
  <c r="P738" i="1" s="1"/>
  <c r="M738" i="1"/>
  <c r="O737" i="1"/>
  <c r="N737" i="1"/>
  <c r="P737" i="1" s="1"/>
  <c r="M737" i="1"/>
  <c r="P736" i="1"/>
  <c r="O736" i="1"/>
  <c r="N736" i="1"/>
  <c r="M736" i="1"/>
  <c r="P735" i="1"/>
  <c r="O735" i="1"/>
  <c r="N735" i="1"/>
  <c r="M735" i="1"/>
  <c r="P734" i="1"/>
  <c r="O734" i="1"/>
  <c r="N734" i="1"/>
  <c r="M734" i="1"/>
  <c r="O733" i="1"/>
  <c r="N733" i="1"/>
  <c r="P733" i="1" s="1"/>
  <c r="M733" i="1"/>
  <c r="P732" i="1"/>
  <c r="O732" i="1"/>
  <c r="N732" i="1"/>
  <c r="M732" i="1"/>
  <c r="O731" i="1"/>
  <c r="N731" i="1"/>
  <c r="P731" i="1" s="1"/>
  <c r="M731" i="1"/>
  <c r="O730" i="1"/>
  <c r="N730" i="1"/>
  <c r="P730" i="1" s="1"/>
  <c r="M730" i="1"/>
  <c r="P729" i="1"/>
  <c r="O729" i="1"/>
  <c r="N729" i="1"/>
  <c r="M729" i="1"/>
  <c r="O728" i="1"/>
  <c r="N728" i="1"/>
  <c r="P728" i="1" s="1"/>
  <c r="M728" i="1"/>
  <c r="O727" i="1"/>
  <c r="N727" i="1"/>
  <c r="P727" i="1" s="1"/>
  <c r="M727" i="1"/>
  <c r="O726" i="1"/>
  <c r="N726" i="1"/>
  <c r="P726" i="1" s="1"/>
  <c r="M726" i="1"/>
  <c r="P725" i="1"/>
  <c r="O725" i="1"/>
  <c r="N725" i="1"/>
  <c r="M725" i="1"/>
  <c r="P724" i="1"/>
  <c r="O724" i="1"/>
  <c r="N724" i="1"/>
  <c r="M724" i="1"/>
  <c r="P723" i="1"/>
  <c r="O723" i="1"/>
  <c r="N723" i="1"/>
  <c r="M723" i="1"/>
  <c r="O722" i="1"/>
  <c r="N722" i="1"/>
  <c r="P722" i="1" s="1"/>
  <c r="M722" i="1"/>
  <c r="P721" i="1"/>
  <c r="O721" i="1"/>
  <c r="N721" i="1"/>
  <c r="M721" i="1"/>
  <c r="O720" i="1"/>
  <c r="P720" i="1" s="1"/>
  <c r="N720" i="1"/>
  <c r="M720" i="1"/>
  <c r="O719" i="1"/>
  <c r="N719" i="1"/>
  <c r="P719" i="1" s="1"/>
  <c r="M719" i="1"/>
  <c r="P718" i="1"/>
  <c r="O718" i="1"/>
  <c r="N718" i="1"/>
  <c r="M718" i="1"/>
  <c r="O717" i="1"/>
  <c r="N717" i="1"/>
  <c r="P717" i="1" s="1"/>
  <c r="M717" i="1"/>
  <c r="O716" i="1"/>
  <c r="N716" i="1"/>
  <c r="P716" i="1" s="1"/>
  <c r="M716" i="1"/>
  <c r="O715" i="1"/>
  <c r="P715" i="1" s="1"/>
  <c r="N715" i="1"/>
  <c r="M715" i="1"/>
  <c r="P714" i="1"/>
  <c r="O714" i="1"/>
  <c r="N714" i="1"/>
  <c r="M714" i="1"/>
  <c r="P713" i="1"/>
  <c r="O713" i="1"/>
  <c r="N713" i="1"/>
  <c r="M713" i="1"/>
  <c r="P712" i="1"/>
  <c r="O712" i="1"/>
  <c r="N712" i="1"/>
  <c r="M712" i="1"/>
  <c r="O711" i="1"/>
  <c r="N711" i="1"/>
  <c r="P711" i="1" s="1"/>
  <c r="M711" i="1"/>
  <c r="P710" i="1"/>
  <c r="O710" i="1"/>
  <c r="N710" i="1"/>
  <c r="M710" i="1"/>
  <c r="O709" i="1"/>
  <c r="P709" i="1" s="1"/>
  <c r="N709" i="1"/>
  <c r="M709" i="1"/>
  <c r="O708" i="1"/>
  <c r="N708" i="1"/>
  <c r="P708" i="1" s="1"/>
  <c r="M708" i="1"/>
  <c r="P707" i="1"/>
  <c r="O707" i="1"/>
  <c r="N707" i="1"/>
  <c r="M707" i="1"/>
  <c r="O706" i="1"/>
  <c r="N706" i="1"/>
  <c r="P706" i="1" s="1"/>
  <c r="M706" i="1"/>
  <c r="O705" i="1"/>
  <c r="N705" i="1"/>
  <c r="P705" i="1" s="1"/>
  <c r="M705" i="1"/>
  <c r="O704" i="1"/>
  <c r="P704" i="1" s="1"/>
  <c r="N704" i="1"/>
  <c r="M704" i="1"/>
  <c r="P703" i="1"/>
  <c r="O703" i="1"/>
  <c r="N703" i="1"/>
  <c r="M703" i="1"/>
  <c r="P702" i="1"/>
  <c r="O702" i="1"/>
  <c r="N702" i="1"/>
  <c r="M702" i="1"/>
  <c r="P701" i="1"/>
  <c r="O701" i="1"/>
  <c r="N701" i="1"/>
  <c r="M701" i="1"/>
  <c r="O700" i="1"/>
  <c r="N700" i="1"/>
  <c r="P700" i="1" s="1"/>
  <c r="M700" i="1"/>
  <c r="P699" i="1"/>
  <c r="O699" i="1"/>
  <c r="N699" i="1"/>
  <c r="M699" i="1"/>
  <c r="O698" i="1"/>
  <c r="P698" i="1" s="1"/>
  <c r="N698" i="1"/>
  <c r="M698" i="1"/>
  <c r="O697" i="1"/>
  <c r="N697" i="1"/>
  <c r="P697" i="1" s="1"/>
  <c r="M697" i="1"/>
  <c r="P696" i="1"/>
  <c r="O696" i="1"/>
  <c r="N696" i="1"/>
  <c r="M696" i="1"/>
  <c r="O695" i="1"/>
  <c r="N695" i="1"/>
  <c r="P695" i="1" s="1"/>
  <c r="M695" i="1"/>
  <c r="O694" i="1"/>
  <c r="N694" i="1"/>
  <c r="P694" i="1" s="1"/>
  <c r="M694" i="1"/>
  <c r="O693" i="1"/>
  <c r="P693" i="1" s="1"/>
  <c r="N693" i="1"/>
  <c r="M693" i="1"/>
  <c r="P692" i="1"/>
  <c r="O692" i="1"/>
  <c r="N692" i="1"/>
  <c r="M692" i="1"/>
  <c r="P691" i="1"/>
  <c r="O691" i="1"/>
  <c r="N691" i="1"/>
  <c r="M691" i="1"/>
  <c r="P690" i="1"/>
  <c r="O690" i="1"/>
  <c r="N690" i="1"/>
  <c r="M690" i="1"/>
  <c r="O689" i="1"/>
  <c r="P689" i="1" s="1"/>
  <c r="N689" i="1"/>
  <c r="M689" i="1"/>
  <c r="P688" i="1"/>
  <c r="O688" i="1"/>
  <c r="N688" i="1"/>
  <c r="M688" i="1"/>
  <c r="O687" i="1"/>
  <c r="P687" i="1" s="1"/>
  <c r="N687" i="1"/>
  <c r="M687" i="1"/>
  <c r="O686" i="1"/>
  <c r="N686" i="1"/>
  <c r="P686" i="1" s="1"/>
  <c r="M686" i="1"/>
  <c r="O685" i="1"/>
  <c r="P685" i="1" s="1"/>
  <c r="N685" i="1"/>
  <c r="M685" i="1"/>
  <c r="O684" i="1"/>
  <c r="N684" i="1"/>
  <c r="P684" i="1" s="1"/>
  <c r="M684" i="1"/>
  <c r="O683" i="1"/>
  <c r="N683" i="1"/>
  <c r="P683" i="1" s="1"/>
  <c r="M683" i="1"/>
  <c r="O682" i="1"/>
  <c r="P682" i="1" s="1"/>
  <c r="N682" i="1"/>
  <c r="M682" i="1"/>
  <c r="P681" i="1"/>
  <c r="O681" i="1"/>
  <c r="N681" i="1"/>
  <c r="M681" i="1"/>
  <c r="P680" i="1"/>
  <c r="O680" i="1"/>
  <c r="N680" i="1"/>
  <c r="M680" i="1"/>
  <c r="P679" i="1"/>
  <c r="O679" i="1"/>
  <c r="N679" i="1"/>
  <c r="M679" i="1"/>
  <c r="O678" i="1"/>
  <c r="P678" i="1" s="1"/>
  <c r="N678" i="1"/>
  <c r="M678" i="1"/>
  <c r="P677" i="1"/>
  <c r="O677" i="1"/>
  <c r="N677" i="1"/>
  <c r="M677" i="1"/>
  <c r="O676" i="1"/>
  <c r="P676" i="1" s="1"/>
  <c r="N676" i="1"/>
  <c r="M676" i="1"/>
  <c r="O675" i="1"/>
  <c r="N675" i="1"/>
  <c r="P675" i="1" s="1"/>
  <c r="M675" i="1"/>
  <c r="O674" i="1"/>
  <c r="P674" i="1" s="1"/>
  <c r="N674" i="1"/>
  <c r="M674" i="1"/>
  <c r="O673" i="1"/>
  <c r="N673" i="1"/>
  <c r="P673" i="1" s="1"/>
  <c r="M673" i="1"/>
  <c r="O672" i="1"/>
  <c r="N672" i="1"/>
  <c r="P672" i="1" s="1"/>
  <c r="M672" i="1"/>
  <c r="O671" i="1"/>
  <c r="P671" i="1" s="1"/>
  <c r="N671" i="1"/>
  <c r="M671" i="1"/>
  <c r="P670" i="1"/>
  <c r="O670" i="1"/>
  <c r="N670" i="1"/>
  <c r="M670" i="1"/>
  <c r="P669" i="1"/>
  <c r="O669" i="1"/>
  <c r="N669" i="1"/>
  <c r="M669" i="1"/>
  <c r="P668" i="1"/>
  <c r="O668" i="1"/>
  <c r="N668" i="1"/>
  <c r="M668" i="1"/>
  <c r="O667" i="1"/>
  <c r="P667" i="1" s="1"/>
  <c r="N667" i="1"/>
  <c r="M667" i="1"/>
  <c r="P666" i="1"/>
  <c r="O666" i="1"/>
  <c r="N666" i="1"/>
  <c r="M666" i="1"/>
  <c r="O665" i="1"/>
  <c r="P665" i="1" s="1"/>
  <c r="N665" i="1"/>
  <c r="M665" i="1"/>
  <c r="O664" i="1"/>
  <c r="N664" i="1"/>
  <c r="P664" i="1" s="1"/>
  <c r="M664" i="1"/>
  <c r="O663" i="1"/>
  <c r="P663" i="1" s="1"/>
  <c r="N663" i="1"/>
  <c r="M663" i="1"/>
  <c r="O662" i="1"/>
  <c r="N662" i="1"/>
  <c r="P662" i="1" s="1"/>
  <c r="M662" i="1"/>
  <c r="O661" i="1"/>
  <c r="N661" i="1"/>
  <c r="P661" i="1" s="1"/>
  <c r="M661" i="1"/>
  <c r="O660" i="1"/>
  <c r="P660" i="1" s="1"/>
  <c r="N660" i="1"/>
  <c r="M660" i="1"/>
  <c r="P659" i="1"/>
  <c r="O659" i="1"/>
  <c r="N659" i="1"/>
  <c r="M659" i="1"/>
  <c r="P658" i="1"/>
  <c r="O658" i="1"/>
  <c r="N658" i="1"/>
  <c r="M658" i="1"/>
  <c r="P657" i="1"/>
  <c r="O657" i="1"/>
  <c r="N657" i="1"/>
  <c r="M657" i="1"/>
  <c r="O656" i="1"/>
  <c r="P656" i="1" s="1"/>
  <c r="N656" i="1"/>
  <c r="M656" i="1"/>
  <c r="P655" i="1"/>
  <c r="O655" i="1"/>
  <c r="N655" i="1"/>
  <c r="M655" i="1"/>
  <c r="O654" i="1"/>
  <c r="P654" i="1" s="1"/>
  <c r="N654" i="1"/>
  <c r="M654" i="1"/>
  <c r="O653" i="1"/>
  <c r="N653" i="1"/>
  <c r="P653" i="1" s="1"/>
  <c r="M653" i="1"/>
  <c r="O652" i="1"/>
  <c r="P652" i="1" s="1"/>
  <c r="N652" i="1"/>
  <c r="M652" i="1"/>
  <c r="O651" i="1"/>
  <c r="N651" i="1"/>
  <c r="P651" i="1" s="1"/>
  <c r="M651" i="1"/>
  <c r="O650" i="1"/>
  <c r="N650" i="1"/>
  <c r="P650" i="1" s="1"/>
  <c r="M650" i="1"/>
  <c r="O649" i="1"/>
  <c r="P649" i="1" s="1"/>
  <c r="N649" i="1"/>
  <c r="M649" i="1"/>
  <c r="P648" i="1"/>
  <c r="O648" i="1"/>
  <c r="N648" i="1"/>
  <c r="M648" i="1"/>
  <c r="P647" i="1"/>
  <c r="O647" i="1"/>
  <c r="N647" i="1"/>
  <c r="M647" i="1"/>
  <c r="P646" i="1"/>
  <c r="O646" i="1"/>
  <c r="N646" i="1"/>
  <c r="M646" i="1"/>
  <c r="O645" i="1"/>
  <c r="P645" i="1" s="1"/>
  <c r="N645" i="1"/>
  <c r="M645" i="1"/>
  <c r="P644" i="1"/>
  <c r="O644" i="1"/>
  <c r="N644" i="1"/>
  <c r="M644" i="1"/>
  <c r="O643" i="1"/>
  <c r="P643" i="1" s="1"/>
  <c r="N643" i="1"/>
  <c r="M643" i="1"/>
  <c r="O642" i="1"/>
  <c r="N642" i="1"/>
  <c r="P642" i="1" s="1"/>
  <c r="M642" i="1"/>
  <c r="O641" i="1"/>
  <c r="P641" i="1" s="1"/>
  <c r="N641" i="1"/>
  <c r="M641" i="1"/>
  <c r="O640" i="1"/>
  <c r="N640" i="1"/>
  <c r="P640" i="1" s="1"/>
  <c r="M640" i="1"/>
  <c r="O639" i="1"/>
  <c r="N639" i="1"/>
  <c r="P639" i="1" s="1"/>
  <c r="M639" i="1"/>
  <c r="O638" i="1"/>
  <c r="P638" i="1" s="1"/>
  <c r="N638" i="1"/>
  <c r="M638" i="1"/>
  <c r="P637" i="1"/>
  <c r="O637" i="1"/>
  <c r="N637" i="1"/>
  <c r="M637" i="1"/>
  <c r="P636" i="1"/>
  <c r="O636" i="1"/>
  <c r="N636" i="1"/>
  <c r="M636" i="1"/>
  <c r="P635" i="1"/>
  <c r="O635" i="1"/>
  <c r="N635" i="1"/>
  <c r="M635" i="1"/>
  <c r="O634" i="1"/>
  <c r="P634" i="1" s="1"/>
  <c r="N634" i="1"/>
  <c r="M634" i="1"/>
  <c r="P633" i="1"/>
  <c r="O633" i="1"/>
  <c r="N633" i="1"/>
  <c r="M633" i="1"/>
  <c r="O632" i="1"/>
  <c r="P632" i="1" s="1"/>
  <c r="N632" i="1"/>
  <c r="M632" i="1"/>
  <c r="O631" i="1"/>
  <c r="N631" i="1"/>
  <c r="P631" i="1" s="1"/>
  <c r="M631" i="1"/>
  <c r="O630" i="1"/>
  <c r="P630" i="1" s="1"/>
  <c r="N630" i="1"/>
  <c r="M630" i="1"/>
  <c r="O629" i="1"/>
  <c r="N629" i="1"/>
  <c r="P629" i="1" s="1"/>
  <c r="M629" i="1"/>
  <c r="O628" i="1"/>
  <c r="N628" i="1"/>
  <c r="P628" i="1" s="1"/>
  <c r="M628" i="1"/>
  <c r="O627" i="1"/>
  <c r="P627" i="1" s="1"/>
  <c r="N627" i="1"/>
  <c r="M627" i="1"/>
  <c r="P626" i="1"/>
  <c r="O626" i="1"/>
  <c r="N626" i="1"/>
  <c r="M626" i="1"/>
  <c r="P625" i="1"/>
  <c r="O625" i="1"/>
  <c r="N625" i="1"/>
  <c r="M625" i="1"/>
  <c r="P624" i="1"/>
  <c r="O624" i="1"/>
  <c r="N624" i="1"/>
  <c r="M624" i="1"/>
  <c r="O623" i="1"/>
  <c r="P623" i="1" s="1"/>
  <c r="N623" i="1"/>
  <c r="M623" i="1"/>
  <c r="P622" i="1"/>
  <c r="O622" i="1"/>
  <c r="N622" i="1"/>
  <c r="M622" i="1"/>
  <c r="O621" i="1"/>
  <c r="P621" i="1" s="1"/>
  <c r="N621" i="1"/>
  <c r="M621" i="1"/>
  <c r="O620" i="1"/>
  <c r="N620" i="1"/>
  <c r="P620" i="1" s="1"/>
  <c r="M620" i="1"/>
  <c r="O619" i="1"/>
  <c r="P619" i="1" s="1"/>
  <c r="N619" i="1"/>
  <c r="M619" i="1"/>
  <c r="O618" i="1"/>
  <c r="N618" i="1"/>
  <c r="P618" i="1" s="1"/>
  <c r="M618" i="1"/>
  <c r="O617" i="1"/>
  <c r="N617" i="1"/>
  <c r="P617" i="1" s="1"/>
  <c r="M617" i="1"/>
  <c r="O616" i="1"/>
  <c r="P616" i="1" s="1"/>
  <c r="N616" i="1"/>
  <c r="M616" i="1"/>
  <c r="P615" i="1"/>
  <c r="O615" i="1"/>
  <c r="N615" i="1"/>
  <c r="M615" i="1"/>
  <c r="P614" i="1"/>
  <c r="O614" i="1"/>
  <c r="N614" i="1"/>
  <c r="M614" i="1"/>
  <c r="P613" i="1"/>
  <c r="O613" i="1"/>
  <c r="N613" i="1"/>
  <c r="M613" i="1"/>
  <c r="O612" i="1"/>
  <c r="P612" i="1" s="1"/>
  <c r="N612" i="1"/>
  <c r="M612" i="1"/>
  <c r="P611" i="1"/>
  <c r="O611" i="1"/>
  <c r="N611" i="1"/>
  <c r="M611" i="1"/>
  <c r="O610" i="1"/>
  <c r="P610" i="1" s="1"/>
  <c r="N610" i="1"/>
  <c r="M610" i="1"/>
  <c r="O609" i="1"/>
  <c r="N609" i="1"/>
  <c r="P609" i="1" s="1"/>
  <c r="M609" i="1"/>
  <c r="O608" i="1"/>
  <c r="P608" i="1" s="1"/>
  <c r="N608" i="1"/>
  <c r="M608" i="1"/>
  <c r="O607" i="1"/>
  <c r="N607" i="1"/>
  <c r="P607" i="1" s="1"/>
  <c r="M607" i="1"/>
  <c r="O606" i="1"/>
  <c r="N606" i="1"/>
  <c r="P606" i="1" s="1"/>
  <c r="M606" i="1"/>
  <c r="O605" i="1"/>
  <c r="P605" i="1" s="1"/>
  <c r="N605" i="1"/>
  <c r="M605" i="1"/>
  <c r="P604" i="1"/>
  <c r="O604" i="1"/>
  <c r="N604" i="1"/>
  <c r="M604" i="1"/>
  <c r="P603" i="1"/>
  <c r="O603" i="1"/>
  <c r="N603" i="1"/>
  <c r="M603" i="1"/>
  <c r="P602" i="1"/>
  <c r="O602" i="1"/>
  <c r="N602" i="1"/>
  <c r="M602" i="1"/>
  <c r="O601" i="1"/>
  <c r="P601" i="1" s="1"/>
  <c r="N601" i="1"/>
  <c r="M601" i="1"/>
  <c r="P600" i="1"/>
  <c r="O600" i="1"/>
  <c r="N600" i="1"/>
  <c r="M600" i="1"/>
  <c r="O599" i="1"/>
  <c r="P599" i="1" s="1"/>
  <c r="N599" i="1"/>
  <c r="M599" i="1"/>
  <c r="O598" i="1"/>
  <c r="N598" i="1"/>
  <c r="P598" i="1" s="1"/>
  <c r="M598" i="1"/>
  <c r="O597" i="1"/>
  <c r="P597" i="1" s="1"/>
  <c r="N597" i="1"/>
  <c r="M597" i="1"/>
  <c r="O596" i="1"/>
  <c r="N596" i="1"/>
  <c r="P596" i="1" s="1"/>
  <c r="M596" i="1"/>
  <c r="O595" i="1"/>
  <c r="N595" i="1"/>
  <c r="P595" i="1" s="1"/>
  <c r="M595" i="1"/>
  <c r="O594" i="1"/>
  <c r="P594" i="1" s="1"/>
  <c r="N594" i="1"/>
  <c r="M594" i="1"/>
  <c r="P593" i="1"/>
  <c r="O593" i="1"/>
  <c r="N593" i="1"/>
  <c r="M593" i="1"/>
  <c r="P592" i="1"/>
  <c r="O592" i="1"/>
  <c r="N592" i="1"/>
  <c r="M592" i="1"/>
  <c r="P591" i="1"/>
  <c r="O591" i="1"/>
  <c r="N591" i="1"/>
  <c r="M591" i="1"/>
  <c r="O590" i="1"/>
  <c r="P590" i="1" s="1"/>
  <c r="N590" i="1"/>
  <c r="M590" i="1"/>
  <c r="O589" i="1"/>
  <c r="P589" i="1" s="1"/>
  <c r="N589" i="1"/>
  <c r="M589" i="1"/>
  <c r="O588" i="1"/>
  <c r="P588" i="1" s="1"/>
  <c r="N588" i="1"/>
  <c r="M588" i="1"/>
  <c r="O587" i="1"/>
  <c r="N587" i="1"/>
  <c r="P587" i="1" s="1"/>
  <c r="M587" i="1"/>
  <c r="O586" i="1"/>
  <c r="P586" i="1" s="1"/>
  <c r="N586" i="1"/>
  <c r="M586" i="1"/>
  <c r="O585" i="1"/>
  <c r="N585" i="1"/>
  <c r="P585" i="1" s="1"/>
  <c r="M585" i="1"/>
  <c r="O584" i="1"/>
  <c r="N584" i="1"/>
  <c r="P584" i="1" s="1"/>
  <c r="M584" i="1"/>
  <c r="O583" i="1"/>
  <c r="P583" i="1" s="1"/>
  <c r="N583" i="1"/>
  <c r="M583" i="1"/>
  <c r="P582" i="1"/>
  <c r="O582" i="1"/>
  <c r="N582" i="1"/>
  <c r="M582" i="1"/>
  <c r="P581" i="1"/>
  <c r="O581" i="1"/>
  <c r="N581" i="1"/>
  <c r="M581" i="1"/>
  <c r="P580" i="1"/>
  <c r="O580" i="1"/>
  <c r="N580" i="1"/>
  <c r="M580" i="1"/>
  <c r="O579" i="1"/>
  <c r="P579" i="1" s="1"/>
  <c r="N579" i="1"/>
  <c r="M579" i="1"/>
  <c r="O578" i="1"/>
  <c r="P578" i="1" s="1"/>
  <c r="N578" i="1"/>
  <c r="M578" i="1"/>
  <c r="O577" i="1"/>
  <c r="P577" i="1" s="1"/>
  <c r="N577" i="1"/>
  <c r="M577" i="1"/>
  <c r="O576" i="1"/>
  <c r="N576" i="1"/>
  <c r="P576" i="1" s="1"/>
  <c r="M576" i="1"/>
  <c r="O575" i="1"/>
  <c r="P575" i="1" s="1"/>
  <c r="N575" i="1"/>
  <c r="M575" i="1"/>
  <c r="O574" i="1"/>
  <c r="N574" i="1"/>
  <c r="P574" i="1" s="1"/>
  <c r="M574" i="1"/>
  <c r="O573" i="1"/>
  <c r="N573" i="1"/>
  <c r="P573" i="1" s="1"/>
  <c r="M573" i="1"/>
  <c r="O572" i="1"/>
  <c r="P572" i="1" s="1"/>
  <c r="N572" i="1"/>
  <c r="M572" i="1"/>
  <c r="P571" i="1"/>
  <c r="O571" i="1"/>
  <c r="N571" i="1"/>
  <c r="M571" i="1"/>
  <c r="P570" i="1"/>
  <c r="O570" i="1"/>
  <c r="N570" i="1"/>
  <c r="M570" i="1"/>
  <c r="P569" i="1"/>
  <c r="O569" i="1"/>
  <c r="N569" i="1"/>
  <c r="M569" i="1"/>
  <c r="O568" i="1"/>
  <c r="P568" i="1" s="1"/>
  <c r="N568" i="1"/>
  <c r="M568" i="1"/>
  <c r="O567" i="1"/>
  <c r="P567" i="1" s="1"/>
  <c r="N567" i="1"/>
  <c r="M567" i="1"/>
  <c r="O566" i="1"/>
  <c r="P566" i="1" s="1"/>
  <c r="N566" i="1"/>
  <c r="M566" i="1"/>
  <c r="O565" i="1"/>
  <c r="N565" i="1"/>
  <c r="P565" i="1" s="1"/>
  <c r="M565" i="1"/>
  <c r="O564" i="1"/>
  <c r="P564" i="1" s="1"/>
  <c r="N564" i="1"/>
  <c r="M564" i="1"/>
  <c r="O563" i="1"/>
  <c r="N563" i="1"/>
  <c r="P563" i="1" s="1"/>
  <c r="M563" i="1"/>
  <c r="O562" i="1"/>
  <c r="N562" i="1"/>
  <c r="P562" i="1" s="1"/>
  <c r="M562" i="1"/>
  <c r="O561" i="1"/>
  <c r="P561" i="1" s="1"/>
  <c r="N561" i="1"/>
  <c r="M561" i="1"/>
  <c r="P560" i="1"/>
  <c r="O560" i="1"/>
  <c r="N560" i="1"/>
  <c r="M560" i="1"/>
  <c r="P559" i="1"/>
  <c r="O559" i="1"/>
  <c r="N559" i="1"/>
  <c r="M559" i="1"/>
  <c r="P558" i="1"/>
  <c r="O558" i="1"/>
  <c r="N558" i="1"/>
  <c r="M558" i="1"/>
  <c r="O557" i="1"/>
  <c r="P557" i="1" s="1"/>
  <c r="N557" i="1"/>
  <c r="M557" i="1"/>
  <c r="O556" i="1"/>
  <c r="P556" i="1" s="1"/>
  <c r="N556" i="1"/>
  <c r="M556" i="1"/>
  <c r="O555" i="1"/>
  <c r="P555" i="1" s="1"/>
  <c r="N555" i="1"/>
  <c r="M555" i="1"/>
  <c r="O554" i="1"/>
  <c r="N554" i="1"/>
  <c r="P554" i="1" s="1"/>
  <c r="M554" i="1"/>
  <c r="O553" i="1"/>
  <c r="P553" i="1" s="1"/>
  <c r="N553" i="1"/>
  <c r="M553" i="1"/>
  <c r="O552" i="1"/>
  <c r="N552" i="1"/>
  <c r="P552" i="1" s="1"/>
  <c r="M552" i="1"/>
  <c r="O551" i="1"/>
  <c r="N551" i="1"/>
  <c r="P551" i="1" s="1"/>
  <c r="M551" i="1"/>
  <c r="O550" i="1"/>
  <c r="P550" i="1" s="1"/>
  <c r="N550" i="1"/>
  <c r="M550" i="1"/>
  <c r="P549" i="1"/>
  <c r="O549" i="1"/>
  <c r="N549" i="1"/>
  <c r="M549" i="1"/>
  <c r="P548" i="1"/>
  <c r="O548" i="1"/>
  <c r="N548" i="1"/>
  <c r="M548" i="1"/>
  <c r="P547" i="1"/>
  <c r="O547" i="1"/>
  <c r="N547" i="1"/>
  <c r="M547" i="1"/>
  <c r="O546" i="1"/>
  <c r="P546" i="1" s="1"/>
  <c r="N546" i="1"/>
  <c r="M546" i="1"/>
  <c r="O545" i="1"/>
  <c r="P545" i="1" s="1"/>
  <c r="N545" i="1"/>
  <c r="M545" i="1"/>
  <c r="O544" i="1"/>
  <c r="P544" i="1" s="1"/>
  <c r="N544" i="1"/>
  <c r="M544" i="1"/>
  <c r="O543" i="1"/>
  <c r="N543" i="1"/>
  <c r="P543" i="1" s="1"/>
  <c r="M543" i="1"/>
  <c r="O542" i="1"/>
  <c r="P542" i="1" s="1"/>
  <c r="N542" i="1"/>
  <c r="M542" i="1"/>
  <c r="O541" i="1"/>
  <c r="N541" i="1"/>
  <c r="P541" i="1" s="1"/>
  <c r="M541" i="1"/>
  <c r="O540" i="1"/>
  <c r="N540" i="1"/>
  <c r="P540" i="1" s="1"/>
  <c r="M540" i="1"/>
  <c r="O539" i="1"/>
  <c r="P539" i="1" s="1"/>
  <c r="N539" i="1"/>
  <c r="M539" i="1"/>
  <c r="P538" i="1"/>
  <c r="O538" i="1"/>
  <c r="N538" i="1"/>
  <c r="M538" i="1"/>
  <c r="P537" i="1"/>
  <c r="O537" i="1"/>
  <c r="N537" i="1"/>
  <c r="M537" i="1"/>
  <c r="P536" i="1"/>
  <c r="O536" i="1"/>
  <c r="N536" i="1"/>
  <c r="M536" i="1"/>
  <c r="O535" i="1"/>
  <c r="P535" i="1" s="1"/>
  <c r="N535" i="1"/>
  <c r="M535" i="1"/>
  <c r="O534" i="1"/>
  <c r="P534" i="1" s="1"/>
  <c r="N534" i="1"/>
  <c r="M534" i="1"/>
  <c r="O533" i="1"/>
  <c r="P533" i="1" s="1"/>
  <c r="N533" i="1"/>
  <c r="M533" i="1"/>
  <c r="O532" i="1"/>
  <c r="N532" i="1"/>
  <c r="P532" i="1" s="1"/>
  <c r="M532" i="1"/>
  <c r="O531" i="1"/>
  <c r="P531" i="1" s="1"/>
  <c r="N531" i="1"/>
  <c r="M531" i="1"/>
  <c r="O530" i="1"/>
  <c r="N530" i="1"/>
  <c r="P530" i="1" s="1"/>
  <c r="M530" i="1"/>
  <c r="O529" i="1"/>
  <c r="N529" i="1"/>
  <c r="P529" i="1" s="1"/>
  <c r="M529" i="1"/>
  <c r="O528" i="1"/>
  <c r="P528" i="1" s="1"/>
  <c r="N528" i="1"/>
  <c r="M528" i="1"/>
  <c r="P527" i="1"/>
  <c r="O527" i="1"/>
  <c r="N527" i="1"/>
  <c r="M527" i="1"/>
  <c r="P526" i="1"/>
  <c r="O526" i="1"/>
  <c r="N526" i="1"/>
  <c r="M526" i="1"/>
  <c r="P525" i="1"/>
  <c r="O525" i="1"/>
  <c r="N525" i="1"/>
  <c r="M525" i="1"/>
  <c r="O524" i="1"/>
  <c r="P524" i="1" s="1"/>
  <c r="N524" i="1"/>
  <c r="M524" i="1"/>
  <c r="O523" i="1"/>
  <c r="P523" i="1" s="1"/>
  <c r="N523" i="1"/>
  <c r="M523" i="1"/>
  <c r="O522" i="1"/>
  <c r="P522" i="1" s="1"/>
  <c r="N522" i="1"/>
  <c r="M522" i="1"/>
  <c r="O521" i="1"/>
  <c r="N521" i="1"/>
  <c r="P521" i="1" s="1"/>
  <c r="M521" i="1"/>
  <c r="O520" i="1"/>
  <c r="P520" i="1" s="1"/>
  <c r="N520" i="1"/>
  <c r="M520" i="1"/>
  <c r="O519" i="1"/>
  <c r="N519" i="1"/>
  <c r="P519" i="1" s="1"/>
  <c r="M519" i="1"/>
  <c r="O518" i="1"/>
  <c r="N518" i="1"/>
  <c r="P518" i="1" s="1"/>
  <c r="M518" i="1"/>
  <c r="O517" i="1"/>
  <c r="P517" i="1" s="1"/>
  <c r="N517" i="1"/>
  <c r="M517" i="1"/>
  <c r="P516" i="1"/>
  <c r="O516" i="1"/>
  <c r="N516" i="1"/>
  <c r="M516" i="1"/>
  <c r="P515" i="1"/>
  <c r="O515" i="1"/>
  <c r="N515" i="1"/>
  <c r="M515" i="1"/>
  <c r="O514" i="1"/>
  <c r="P514" i="1" s="1"/>
  <c r="N514" i="1"/>
  <c r="M514" i="1"/>
  <c r="O513" i="1"/>
  <c r="P513" i="1" s="1"/>
  <c r="N513" i="1"/>
  <c r="M513" i="1"/>
  <c r="O512" i="1"/>
  <c r="P512" i="1" s="1"/>
  <c r="N512" i="1"/>
  <c r="M512" i="1"/>
  <c r="O511" i="1"/>
  <c r="P511" i="1" s="1"/>
  <c r="N511" i="1"/>
  <c r="M511" i="1"/>
  <c r="O510" i="1"/>
  <c r="N510" i="1"/>
  <c r="P510" i="1" s="1"/>
  <c r="M510" i="1"/>
  <c r="O509" i="1"/>
  <c r="P509" i="1" s="1"/>
  <c r="N509" i="1"/>
  <c r="M509" i="1"/>
  <c r="O508" i="1"/>
  <c r="N508" i="1"/>
  <c r="P508" i="1" s="1"/>
  <c r="M508" i="1"/>
  <c r="O507" i="1"/>
  <c r="N507" i="1"/>
  <c r="P507" i="1" s="1"/>
  <c r="M507" i="1"/>
  <c r="O506" i="1"/>
  <c r="P506" i="1" s="1"/>
  <c r="N506" i="1"/>
  <c r="M506" i="1"/>
  <c r="P505" i="1"/>
  <c r="O505" i="1"/>
  <c r="N505" i="1"/>
  <c r="M505" i="1"/>
  <c r="P504" i="1"/>
  <c r="O504" i="1"/>
  <c r="N504" i="1"/>
  <c r="M504" i="1"/>
  <c r="O503" i="1"/>
  <c r="P503" i="1" s="1"/>
  <c r="N503" i="1"/>
  <c r="M503" i="1"/>
  <c r="O502" i="1"/>
  <c r="P502" i="1" s="1"/>
  <c r="N502" i="1"/>
  <c r="M502" i="1"/>
  <c r="O501" i="1"/>
  <c r="P501" i="1" s="1"/>
  <c r="N501" i="1"/>
  <c r="M501" i="1"/>
  <c r="O500" i="1"/>
  <c r="P500" i="1" s="1"/>
  <c r="N500" i="1"/>
  <c r="M500" i="1"/>
  <c r="O499" i="1"/>
  <c r="N499" i="1"/>
  <c r="P499" i="1" s="1"/>
  <c r="M499" i="1"/>
  <c r="O498" i="1"/>
  <c r="P498" i="1" s="1"/>
  <c r="N498" i="1"/>
  <c r="M498" i="1"/>
  <c r="O497" i="1"/>
  <c r="N497" i="1"/>
  <c r="P497" i="1" s="1"/>
  <c r="M497" i="1"/>
  <c r="O496" i="1"/>
  <c r="N496" i="1"/>
  <c r="P496" i="1" s="1"/>
  <c r="M496" i="1"/>
  <c r="O495" i="1"/>
  <c r="P495" i="1" s="1"/>
  <c r="N495" i="1"/>
  <c r="M495" i="1"/>
  <c r="P494" i="1"/>
  <c r="O494" i="1"/>
  <c r="N494" i="1"/>
  <c r="M494" i="1"/>
  <c r="P493" i="1"/>
  <c r="O493" i="1"/>
  <c r="N493" i="1"/>
  <c r="M493" i="1"/>
  <c r="O492" i="1"/>
  <c r="P492" i="1" s="1"/>
  <c r="N492" i="1"/>
  <c r="M492" i="1"/>
  <c r="O491" i="1"/>
  <c r="P491" i="1" s="1"/>
  <c r="N491" i="1"/>
  <c r="M491" i="1"/>
  <c r="O490" i="1"/>
  <c r="P490" i="1" s="1"/>
  <c r="N490" i="1"/>
  <c r="M490" i="1"/>
  <c r="O489" i="1"/>
  <c r="P489" i="1" s="1"/>
  <c r="N489" i="1"/>
  <c r="M489" i="1"/>
  <c r="O488" i="1"/>
  <c r="N488" i="1"/>
  <c r="P488" i="1" s="1"/>
  <c r="M488" i="1"/>
  <c r="O487" i="1"/>
  <c r="P487" i="1" s="1"/>
  <c r="N487" i="1"/>
  <c r="M487" i="1"/>
  <c r="O486" i="1"/>
  <c r="N486" i="1"/>
  <c r="P486" i="1" s="1"/>
  <c r="M486" i="1"/>
  <c r="O485" i="1"/>
  <c r="N485" i="1"/>
  <c r="P485" i="1" s="1"/>
  <c r="M485" i="1"/>
  <c r="O484" i="1"/>
  <c r="P484" i="1" s="1"/>
  <c r="N484" i="1"/>
  <c r="M484" i="1"/>
  <c r="P483" i="1"/>
  <c r="O483" i="1"/>
  <c r="N483" i="1"/>
  <c r="M483" i="1"/>
  <c r="P482" i="1"/>
  <c r="O482" i="1"/>
  <c r="N482" i="1"/>
  <c r="M482" i="1"/>
  <c r="O481" i="1"/>
  <c r="P481" i="1" s="1"/>
  <c r="N481" i="1"/>
  <c r="M481" i="1"/>
  <c r="O480" i="1"/>
  <c r="P480" i="1" s="1"/>
  <c r="N480" i="1"/>
  <c r="M480" i="1"/>
  <c r="O479" i="1"/>
  <c r="P479" i="1" s="1"/>
  <c r="N479" i="1"/>
  <c r="M479" i="1"/>
  <c r="O478" i="1"/>
  <c r="P478" i="1" s="1"/>
  <c r="N478" i="1"/>
  <c r="M478" i="1"/>
  <c r="O477" i="1"/>
  <c r="N477" i="1"/>
  <c r="P477" i="1" s="1"/>
  <c r="M477" i="1"/>
  <c r="O476" i="1"/>
  <c r="P476" i="1" s="1"/>
  <c r="N476" i="1"/>
  <c r="M476" i="1"/>
  <c r="O475" i="1"/>
  <c r="N475" i="1"/>
  <c r="P475" i="1" s="1"/>
  <c r="M475" i="1"/>
  <c r="O474" i="1"/>
  <c r="N474" i="1"/>
  <c r="P474" i="1" s="1"/>
  <c r="M474" i="1"/>
  <c r="O473" i="1"/>
  <c r="P473" i="1" s="1"/>
  <c r="N473" i="1"/>
  <c r="M473" i="1"/>
  <c r="P472" i="1"/>
  <c r="O472" i="1"/>
  <c r="N472" i="1"/>
  <c r="M472" i="1"/>
  <c r="P471" i="1"/>
  <c r="O471" i="1"/>
  <c r="N471" i="1"/>
  <c r="M471" i="1"/>
  <c r="O470" i="1"/>
  <c r="P470" i="1" s="1"/>
  <c r="N470" i="1"/>
  <c r="M470" i="1"/>
  <c r="O469" i="1"/>
  <c r="P469" i="1" s="1"/>
  <c r="N469" i="1"/>
  <c r="M469" i="1"/>
  <c r="O468" i="1"/>
  <c r="P468" i="1" s="1"/>
  <c r="N468" i="1"/>
  <c r="M468" i="1"/>
  <c r="O467" i="1"/>
  <c r="P467" i="1" s="1"/>
  <c r="N467" i="1"/>
  <c r="M467" i="1"/>
  <c r="O466" i="1"/>
  <c r="N466" i="1"/>
  <c r="P466" i="1" s="1"/>
  <c r="M466" i="1"/>
  <c r="O465" i="1"/>
  <c r="P465" i="1" s="1"/>
  <c r="N465" i="1"/>
  <c r="M465" i="1"/>
  <c r="O464" i="1"/>
  <c r="N464" i="1"/>
  <c r="P464" i="1" s="1"/>
  <c r="M464" i="1"/>
  <c r="O463" i="1"/>
  <c r="N463" i="1"/>
  <c r="P463" i="1" s="1"/>
  <c r="M463" i="1"/>
  <c r="O462" i="1"/>
  <c r="P462" i="1" s="1"/>
  <c r="N462" i="1"/>
  <c r="M462" i="1"/>
  <c r="P461" i="1"/>
  <c r="O461" i="1"/>
  <c r="N461" i="1"/>
  <c r="M461" i="1"/>
  <c r="P460" i="1"/>
  <c r="O460" i="1"/>
  <c r="N460" i="1"/>
  <c r="M460" i="1"/>
  <c r="O459" i="1"/>
  <c r="P459" i="1" s="1"/>
  <c r="N459" i="1"/>
  <c r="M459" i="1"/>
  <c r="O458" i="1"/>
  <c r="P458" i="1" s="1"/>
  <c r="N458" i="1"/>
  <c r="M458" i="1"/>
  <c r="O457" i="1"/>
  <c r="P457" i="1" s="1"/>
  <c r="N457" i="1"/>
  <c r="M457" i="1"/>
  <c r="O456" i="1"/>
  <c r="P456" i="1" s="1"/>
  <c r="N456" i="1"/>
  <c r="M456" i="1"/>
  <c r="O455" i="1"/>
  <c r="N455" i="1"/>
  <c r="P455" i="1" s="1"/>
  <c r="M455" i="1"/>
  <c r="O454" i="1"/>
  <c r="P454" i="1" s="1"/>
  <c r="N454" i="1"/>
  <c r="M454" i="1"/>
  <c r="O453" i="1"/>
  <c r="N453" i="1"/>
  <c r="P453" i="1" s="1"/>
  <c r="M453" i="1"/>
  <c r="O452" i="1"/>
  <c r="N452" i="1"/>
  <c r="P452" i="1" s="1"/>
  <c r="M452" i="1"/>
  <c r="O451" i="1"/>
  <c r="P451" i="1" s="1"/>
  <c r="N451" i="1"/>
  <c r="M451" i="1"/>
  <c r="P450" i="1"/>
  <c r="O450" i="1"/>
  <c r="N450" i="1"/>
  <c r="M450" i="1"/>
  <c r="P449" i="1"/>
  <c r="O449" i="1"/>
  <c r="N449" i="1"/>
  <c r="M449" i="1"/>
  <c r="O448" i="1"/>
  <c r="P448" i="1" s="1"/>
  <c r="N448" i="1"/>
  <c r="M448" i="1"/>
  <c r="O447" i="1"/>
  <c r="P447" i="1" s="1"/>
  <c r="N447" i="1"/>
  <c r="M447" i="1"/>
  <c r="O446" i="1"/>
  <c r="P446" i="1" s="1"/>
  <c r="N446" i="1"/>
  <c r="M446" i="1"/>
  <c r="O445" i="1"/>
  <c r="P445" i="1" s="1"/>
  <c r="N445" i="1"/>
  <c r="M445" i="1"/>
  <c r="O444" i="1"/>
  <c r="N444" i="1"/>
  <c r="P444" i="1" s="1"/>
  <c r="M444" i="1"/>
  <c r="O443" i="1"/>
  <c r="P443" i="1" s="1"/>
  <c r="N443" i="1"/>
  <c r="M443" i="1"/>
  <c r="O442" i="1"/>
  <c r="N442" i="1"/>
  <c r="P442" i="1" s="1"/>
  <c r="M442" i="1"/>
  <c r="O441" i="1"/>
  <c r="N441" i="1"/>
  <c r="P441" i="1" s="1"/>
  <c r="M441" i="1"/>
  <c r="O440" i="1"/>
  <c r="P440" i="1" s="1"/>
  <c r="N440" i="1"/>
  <c r="M440" i="1"/>
  <c r="P439" i="1"/>
  <c r="O439" i="1"/>
  <c r="N439" i="1"/>
  <c r="M439" i="1"/>
  <c r="P438" i="1"/>
  <c r="O438" i="1"/>
  <c r="N438" i="1"/>
  <c r="M438" i="1"/>
  <c r="O437" i="1"/>
  <c r="P437" i="1" s="1"/>
  <c r="N437" i="1"/>
  <c r="M437" i="1"/>
  <c r="O436" i="1"/>
  <c r="P436" i="1" s="1"/>
  <c r="N436" i="1"/>
  <c r="M436" i="1"/>
  <c r="O435" i="1"/>
  <c r="P435" i="1" s="1"/>
  <c r="N435" i="1"/>
  <c r="M435" i="1"/>
  <c r="O434" i="1"/>
  <c r="P434" i="1" s="1"/>
  <c r="N434" i="1"/>
  <c r="M434" i="1"/>
  <c r="O433" i="1"/>
  <c r="N433" i="1"/>
  <c r="P433" i="1" s="1"/>
  <c r="M433" i="1"/>
  <c r="O432" i="1"/>
  <c r="P432" i="1" s="1"/>
  <c r="N432" i="1"/>
  <c r="M432" i="1"/>
  <c r="O431" i="1"/>
  <c r="N431" i="1"/>
  <c r="P431" i="1" s="1"/>
  <c r="M431" i="1"/>
  <c r="O430" i="1"/>
  <c r="N430" i="1"/>
  <c r="P430" i="1" s="1"/>
  <c r="M430" i="1"/>
  <c r="O429" i="1"/>
  <c r="P429" i="1" s="1"/>
  <c r="N429" i="1"/>
  <c r="M429" i="1"/>
  <c r="P428" i="1"/>
  <c r="O428" i="1"/>
  <c r="N428" i="1"/>
  <c r="M428" i="1"/>
  <c r="P427" i="1"/>
  <c r="O427" i="1"/>
  <c r="N427" i="1"/>
  <c r="M427" i="1"/>
  <c r="O426" i="1"/>
  <c r="P426" i="1" s="1"/>
  <c r="N426" i="1"/>
  <c r="M426" i="1"/>
  <c r="O425" i="1"/>
  <c r="P425" i="1" s="1"/>
  <c r="N425" i="1"/>
  <c r="M425" i="1"/>
  <c r="O424" i="1"/>
  <c r="P424" i="1" s="1"/>
  <c r="N424" i="1"/>
  <c r="M424" i="1"/>
  <c r="O423" i="1"/>
  <c r="P423" i="1" s="1"/>
  <c r="N423" i="1"/>
  <c r="M423" i="1"/>
  <c r="O422" i="1"/>
  <c r="N422" i="1"/>
  <c r="P422" i="1" s="1"/>
  <c r="M422" i="1"/>
  <c r="O421" i="1"/>
  <c r="P421" i="1" s="1"/>
  <c r="N421" i="1"/>
  <c r="M421" i="1"/>
  <c r="O420" i="1"/>
  <c r="N420" i="1"/>
  <c r="P420" i="1" s="1"/>
  <c r="M420" i="1"/>
  <c r="O419" i="1"/>
  <c r="N419" i="1"/>
  <c r="P419" i="1" s="1"/>
  <c r="M419" i="1"/>
  <c r="O418" i="1"/>
  <c r="P418" i="1" s="1"/>
  <c r="N418" i="1"/>
  <c r="M418" i="1"/>
  <c r="P417" i="1"/>
  <c r="O417" i="1"/>
  <c r="N417" i="1"/>
  <c r="M417" i="1"/>
  <c r="P416" i="1"/>
  <c r="O416" i="1"/>
  <c r="N416" i="1"/>
  <c r="M416" i="1"/>
  <c r="O415" i="1"/>
  <c r="P415" i="1" s="1"/>
  <c r="N415" i="1"/>
  <c r="M415" i="1"/>
  <c r="O414" i="1"/>
  <c r="P414" i="1" s="1"/>
  <c r="N414" i="1"/>
  <c r="M414" i="1"/>
  <c r="O413" i="1"/>
  <c r="P413" i="1" s="1"/>
  <c r="N413" i="1"/>
  <c r="M413" i="1"/>
  <c r="O412" i="1"/>
  <c r="P412" i="1" s="1"/>
  <c r="N412" i="1"/>
  <c r="M412" i="1"/>
  <c r="O411" i="1"/>
  <c r="N411" i="1"/>
  <c r="P411" i="1" s="1"/>
  <c r="M411" i="1"/>
  <c r="O410" i="1"/>
  <c r="P410" i="1" s="1"/>
  <c r="N410" i="1"/>
  <c r="M410" i="1"/>
  <c r="O409" i="1"/>
  <c r="N409" i="1"/>
  <c r="P409" i="1" s="1"/>
  <c r="M409" i="1"/>
  <c r="O408" i="1"/>
  <c r="N408" i="1"/>
  <c r="P408" i="1" s="1"/>
  <c r="M408" i="1"/>
  <c r="O407" i="1"/>
  <c r="P407" i="1" s="1"/>
  <c r="N407" i="1"/>
  <c r="M407" i="1"/>
  <c r="P406" i="1"/>
  <c r="O406" i="1"/>
  <c r="N406" i="1"/>
  <c r="M406" i="1"/>
  <c r="P405" i="1"/>
  <c r="O405" i="1"/>
  <c r="N405" i="1"/>
  <c r="M405" i="1"/>
  <c r="O404" i="1"/>
  <c r="P404" i="1" s="1"/>
  <c r="N404" i="1"/>
  <c r="M404" i="1"/>
  <c r="O403" i="1"/>
  <c r="P403" i="1" s="1"/>
  <c r="N403" i="1"/>
  <c r="M403" i="1"/>
  <c r="O402" i="1"/>
  <c r="P402" i="1" s="1"/>
  <c r="N402" i="1"/>
  <c r="M402" i="1"/>
  <c r="O401" i="1"/>
  <c r="P401" i="1" s="1"/>
  <c r="N401" i="1"/>
  <c r="M401" i="1"/>
  <c r="O400" i="1"/>
  <c r="N400" i="1"/>
  <c r="P400" i="1" s="1"/>
  <c r="M400" i="1"/>
  <c r="O399" i="1"/>
  <c r="P399" i="1" s="1"/>
  <c r="N399" i="1"/>
  <c r="M399" i="1"/>
  <c r="O398" i="1"/>
  <c r="N398" i="1"/>
  <c r="P398" i="1" s="1"/>
  <c r="M398" i="1"/>
  <c r="O397" i="1"/>
  <c r="N397" i="1"/>
  <c r="P397" i="1" s="1"/>
  <c r="M397" i="1"/>
  <c r="O396" i="1"/>
  <c r="P396" i="1" s="1"/>
  <c r="N396" i="1"/>
  <c r="M396" i="1"/>
  <c r="P395" i="1"/>
  <c r="O395" i="1"/>
  <c r="N395" i="1"/>
  <c r="M395" i="1"/>
  <c r="P394" i="1"/>
  <c r="O394" i="1"/>
  <c r="N394" i="1"/>
  <c r="M394" i="1"/>
  <c r="O393" i="1"/>
  <c r="P393" i="1" s="1"/>
  <c r="N393" i="1"/>
  <c r="M393" i="1"/>
  <c r="O392" i="1"/>
  <c r="P392" i="1" s="1"/>
  <c r="N392" i="1"/>
  <c r="M392" i="1"/>
  <c r="O391" i="1"/>
  <c r="P391" i="1" s="1"/>
  <c r="N391" i="1"/>
  <c r="M391" i="1"/>
  <c r="O390" i="1"/>
  <c r="P390" i="1" s="1"/>
  <c r="N390" i="1"/>
  <c r="M390" i="1"/>
  <c r="O389" i="1"/>
  <c r="N389" i="1"/>
  <c r="P389" i="1" s="1"/>
  <c r="M389" i="1"/>
  <c r="O388" i="1"/>
  <c r="P388" i="1" s="1"/>
  <c r="N388" i="1"/>
  <c r="M388" i="1"/>
  <c r="O387" i="1"/>
  <c r="N387" i="1"/>
  <c r="P387" i="1" s="1"/>
  <c r="M387" i="1"/>
  <c r="O386" i="1"/>
  <c r="N386" i="1"/>
  <c r="P386" i="1" s="1"/>
  <c r="M386" i="1"/>
  <c r="O385" i="1"/>
  <c r="P385" i="1" s="1"/>
  <c r="N385" i="1"/>
  <c r="M385" i="1"/>
  <c r="P384" i="1"/>
  <c r="O384" i="1"/>
  <c r="N384" i="1"/>
  <c r="M384" i="1"/>
  <c r="P383" i="1"/>
  <c r="O383" i="1"/>
  <c r="N383" i="1"/>
  <c r="M383" i="1"/>
  <c r="O382" i="1"/>
  <c r="P382" i="1" s="1"/>
  <c r="N382" i="1"/>
  <c r="M382" i="1"/>
  <c r="O381" i="1"/>
  <c r="P381" i="1" s="1"/>
  <c r="N381" i="1"/>
  <c r="M381" i="1"/>
  <c r="O380" i="1"/>
  <c r="P380" i="1" s="1"/>
  <c r="N380" i="1"/>
  <c r="M380" i="1"/>
  <c r="O379" i="1"/>
  <c r="P379" i="1" s="1"/>
  <c r="N379" i="1"/>
  <c r="M379" i="1"/>
  <c r="O378" i="1"/>
  <c r="N378" i="1"/>
  <c r="P378" i="1" s="1"/>
  <c r="M378" i="1"/>
  <c r="O377" i="1"/>
  <c r="P377" i="1" s="1"/>
  <c r="N377" i="1"/>
  <c r="M377" i="1"/>
  <c r="O376" i="1"/>
  <c r="N376" i="1"/>
  <c r="P376" i="1" s="1"/>
  <c r="M376" i="1"/>
  <c r="O375" i="1"/>
  <c r="N375" i="1"/>
  <c r="P375" i="1" s="1"/>
  <c r="M375" i="1"/>
  <c r="O374" i="1"/>
  <c r="P374" i="1" s="1"/>
  <c r="N374" i="1"/>
  <c r="M374" i="1"/>
  <c r="P373" i="1"/>
  <c r="O373" i="1"/>
  <c r="N373" i="1"/>
  <c r="M373" i="1"/>
  <c r="P372" i="1"/>
  <c r="O372" i="1"/>
  <c r="N372" i="1"/>
  <c r="M372" i="1"/>
  <c r="O371" i="1"/>
  <c r="P371" i="1" s="1"/>
  <c r="N371" i="1"/>
  <c r="M371" i="1"/>
  <c r="O370" i="1"/>
  <c r="P370" i="1" s="1"/>
  <c r="N370" i="1"/>
  <c r="M370" i="1"/>
  <c r="O369" i="1"/>
  <c r="P369" i="1" s="1"/>
  <c r="N369" i="1"/>
  <c r="M369" i="1"/>
  <c r="O368" i="1"/>
  <c r="P368" i="1" s="1"/>
  <c r="N368" i="1"/>
  <c r="M368" i="1"/>
  <c r="O367" i="1"/>
  <c r="N367" i="1"/>
  <c r="P367" i="1" s="1"/>
  <c r="M367" i="1"/>
  <c r="O366" i="1"/>
  <c r="P366" i="1" s="1"/>
  <c r="N366" i="1"/>
  <c r="M366" i="1"/>
  <c r="O365" i="1"/>
  <c r="N365" i="1"/>
  <c r="P365" i="1" s="1"/>
  <c r="M365" i="1"/>
  <c r="O364" i="1"/>
  <c r="N364" i="1"/>
  <c r="P364" i="1" s="1"/>
  <c r="M364" i="1"/>
  <c r="O363" i="1"/>
  <c r="P363" i="1" s="1"/>
  <c r="N363" i="1"/>
  <c r="M363" i="1"/>
  <c r="P362" i="1"/>
  <c r="O362" i="1"/>
  <c r="N362" i="1"/>
  <c r="M362" i="1"/>
  <c r="P361" i="1"/>
  <c r="O361" i="1"/>
  <c r="N361" i="1"/>
  <c r="M361" i="1"/>
  <c r="O360" i="1"/>
  <c r="P360" i="1" s="1"/>
  <c r="N360" i="1"/>
  <c r="M360" i="1"/>
  <c r="O359" i="1"/>
  <c r="P359" i="1" s="1"/>
  <c r="N359" i="1"/>
  <c r="M359" i="1"/>
  <c r="O358" i="1"/>
  <c r="P358" i="1" s="1"/>
  <c r="N358" i="1"/>
  <c r="M358" i="1"/>
  <c r="O357" i="1"/>
  <c r="P357" i="1" s="1"/>
  <c r="N357" i="1"/>
  <c r="M357" i="1"/>
  <c r="O356" i="1"/>
  <c r="P356" i="1" s="1"/>
  <c r="N356" i="1"/>
  <c r="M356" i="1"/>
  <c r="O355" i="1"/>
  <c r="P355" i="1" s="1"/>
  <c r="N355" i="1"/>
  <c r="M355" i="1"/>
  <c r="O354" i="1"/>
  <c r="N354" i="1"/>
  <c r="P354" i="1" s="1"/>
  <c r="M354" i="1"/>
  <c r="O353" i="1"/>
  <c r="N353" i="1"/>
  <c r="P353" i="1" s="1"/>
  <c r="M353" i="1"/>
  <c r="O352" i="1"/>
  <c r="P352" i="1" s="1"/>
  <c r="N352" i="1"/>
  <c r="M352" i="1"/>
  <c r="P351" i="1"/>
  <c r="O351" i="1"/>
  <c r="N351" i="1"/>
  <c r="M351" i="1"/>
  <c r="P350" i="1"/>
  <c r="O350" i="1"/>
  <c r="N350" i="1"/>
  <c r="M350" i="1"/>
  <c r="O349" i="1"/>
  <c r="P349" i="1" s="1"/>
  <c r="N349" i="1"/>
  <c r="M349" i="1"/>
  <c r="O348" i="1"/>
  <c r="P348" i="1" s="1"/>
  <c r="N348" i="1"/>
  <c r="M348" i="1"/>
  <c r="O347" i="1"/>
  <c r="P347" i="1" s="1"/>
  <c r="N347" i="1"/>
  <c r="M347" i="1"/>
  <c r="O346" i="1"/>
  <c r="P346" i="1" s="1"/>
  <c r="N346" i="1"/>
  <c r="M346" i="1"/>
  <c r="O345" i="1"/>
  <c r="P345" i="1" s="1"/>
  <c r="N345" i="1"/>
  <c r="M345" i="1"/>
  <c r="O344" i="1"/>
  <c r="P344" i="1" s="1"/>
  <c r="N344" i="1"/>
  <c r="M344" i="1"/>
  <c r="O343" i="1"/>
  <c r="N343" i="1"/>
  <c r="P343" i="1" s="1"/>
  <c r="M343" i="1"/>
  <c r="O342" i="1"/>
  <c r="N342" i="1"/>
  <c r="P342" i="1" s="1"/>
  <c r="M342" i="1"/>
  <c r="O341" i="1"/>
  <c r="P341" i="1" s="1"/>
  <c r="N341" i="1"/>
  <c r="M341" i="1"/>
  <c r="P340" i="1"/>
  <c r="O340" i="1"/>
  <c r="N340" i="1"/>
  <c r="M340" i="1"/>
  <c r="P339" i="1"/>
  <c r="O339" i="1"/>
  <c r="N339" i="1"/>
  <c r="M339" i="1"/>
  <c r="O338" i="1"/>
  <c r="P338" i="1" s="1"/>
  <c r="N338" i="1"/>
  <c r="M338" i="1"/>
  <c r="O337" i="1"/>
  <c r="P337" i="1" s="1"/>
  <c r="N337" i="1"/>
  <c r="M337" i="1"/>
  <c r="O336" i="1"/>
  <c r="P336" i="1" s="1"/>
  <c r="N336" i="1"/>
  <c r="M336" i="1"/>
  <c r="O335" i="1"/>
  <c r="P335" i="1" s="1"/>
  <c r="N335" i="1"/>
  <c r="M335" i="1"/>
  <c r="O334" i="1"/>
  <c r="P334" i="1" s="1"/>
  <c r="N334" i="1"/>
  <c r="M334" i="1"/>
  <c r="O333" i="1"/>
  <c r="P333" i="1" s="1"/>
  <c r="N333" i="1"/>
  <c r="M333" i="1"/>
  <c r="O332" i="1"/>
  <c r="N332" i="1"/>
  <c r="P332" i="1" s="1"/>
  <c r="M332" i="1"/>
  <c r="O331" i="1"/>
  <c r="N331" i="1"/>
  <c r="P331" i="1" s="1"/>
  <c r="M331" i="1"/>
  <c r="O330" i="1"/>
  <c r="P330" i="1" s="1"/>
  <c r="N330" i="1"/>
  <c r="M330" i="1"/>
  <c r="P329" i="1"/>
  <c r="O329" i="1"/>
  <c r="N329" i="1"/>
  <c r="M329" i="1"/>
  <c r="P328" i="1"/>
  <c r="O328" i="1"/>
  <c r="N328" i="1"/>
  <c r="M328" i="1"/>
  <c r="O327" i="1"/>
  <c r="P327" i="1" s="1"/>
  <c r="N327" i="1"/>
  <c r="M327" i="1"/>
  <c r="O326" i="1"/>
  <c r="P326" i="1" s="1"/>
  <c r="N326" i="1"/>
  <c r="M326" i="1"/>
  <c r="O325" i="1"/>
  <c r="P325" i="1" s="1"/>
  <c r="N325" i="1"/>
  <c r="M325" i="1"/>
  <c r="O324" i="1"/>
  <c r="P324" i="1" s="1"/>
  <c r="N324" i="1"/>
  <c r="M324" i="1"/>
  <c r="O323" i="1"/>
  <c r="P323" i="1" s="1"/>
  <c r="N323" i="1"/>
  <c r="M323" i="1"/>
  <c r="O322" i="1"/>
  <c r="P322" i="1" s="1"/>
  <c r="N322" i="1"/>
  <c r="M322" i="1"/>
  <c r="O321" i="1"/>
  <c r="N321" i="1"/>
  <c r="P321" i="1" s="1"/>
  <c r="M321" i="1"/>
  <c r="O320" i="1"/>
  <c r="N320" i="1"/>
  <c r="P320" i="1" s="1"/>
  <c r="M320" i="1"/>
  <c r="O319" i="1"/>
  <c r="P319" i="1" s="1"/>
  <c r="N319" i="1"/>
  <c r="M319" i="1"/>
  <c r="P318" i="1"/>
  <c r="O318" i="1"/>
  <c r="N318" i="1"/>
  <c r="M318" i="1"/>
  <c r="P317" i="1"/>
  <c r="O317" i="1"/>
  <c r="N317" i="1"/>
  <c r="M317" i="1"/>
  <c r="O316" i="1"/>
  <c r="P316" i="1" s="1"/>
  <c r="N316" i="1"/>
  <c r="M316" i="1"/>
  <c r="O315" i="1"/>
  <c r="P315" i="1" s="1"/>
  <c r="N315" i="1"/>
  <c r="M315" i="1"/>
  <c r="O314" i="1"/>
  <c r="P314" i="1" s="1"/>
  <c r="N314" i="1"/>
  <c r="M314" i="1"/>
  <c r="O313" i="1"/>
  <c r="P313" i="1" s="1"/>
  <c r="N313" i="1"/>
  <c r="M313" i="1"/>
  <c r="O312" i="1"/>
  <c r="P312" i="1" s="1"/>
  <c r="N312" i="1"/>
  <c r="M312" i="1"/>
  <c r="O311" i="1"/>
  <c r="P311" i="1" s="1"/>
  <c r="N311" i="1"/>
  <c r="M311" i="1"/>
  <c r="O310" i="1"/>
  <c r="N310" i="1"/>
  <c r="P310" i="1" s="1"/>
  <c r="M310" i="1"/>
  <c r="O309" i="1"/>
  <c r="N309" i="1"/>
  <c r="P309" i="1" s="1"/>
  <c r="M309" i="1"/>
  <c r="O308" i="1"/>
  <c r="P308" i="1" s="1"/>
  <c r="N308" i="1"/>
  <c r="M308" i="1"/>
  <c r="P307" i="1"/>
  <c r="O307" i="1"/>
  <c r="N307" i="1"/>
  <c r="M307" i="1"/>
  <c r="P306" i="1"/>
  <c r="O306" i="1"/>
  <c r="N306" i="1"/>
  <c r="M306" i="1"/>
  <c r="O305" i="1"/>
  <c r="P305" i="1" s="1"/>
  <c r="N305" i="1"/>
  <c r="M305" i="1"/>
  <c r="O304" i="1"/>
  <c r="P304" i="1" s="1"/>
  <c r="N304" i="1"/>
  <c r="M304" i="1"/>
  <c r="O303" i="1"/>
  <c r="P303" i="1" s="1"/>
  <c r="N303" i="1"/>
  <c r="M303" i="1"/>
  <c r="O302" i="1"/>
  <c r="P302" i="1" s="1"/>
  <c r="N302" i="1"/>
  <c r="M302" i="1"/>
  <c r="O301" i="1"/>
  <c r="P301" i="1" s="1"/>
  <c r="N301" i="1"/>
  <c r="M301" i="1"/>
  <c r="O300" i="1"/>
  <c r="P300" i="1" s="1"/>
  <c r="N300" i="1"/>
  <c r="M300" i="1"/>
  <c r="O299" i="1"/>
  <c r="N299" i="1"/>
  <c r="P299" i="1" s="1"/>
  <c r="M299" i="1"/>
  <c r="O298" i="1"/>
  <c r="N298" i="1"/>
  <c r="P298" i="1" s="1"/>
  <c r="M298" i="1"/>
  <c r="O297" i="1"/>
  <c r="P297" i="1" s="1"/>
  <c r="N297" i="1"/>
  <c r="M297" i="1"/>
  <c r="P296" i="1"/>
  <c r="O296" i="1"/>
  <c r="N296" i="1"/>
  <c r="M296" i="1"/>
  <c r="P295" i="1"/>
  <c r="O295" i="1"/>
  <c r="N295" i="1"/>
  <c r="M295" i="1"/>
  <c r="O294" i="1"/>
  <c r="P294" i="1" s="1"/>
  <c r="N294" i="1"/>
  <c r="M294" i="1"/>
  <c r="O293" i="1"/>
  <c r="P293" i="1" s="1"/>
  <c r="N293" i="1"/>
  <c r="M293" i="1"/>
  <c r="O292" i="1"/>
  <c r="P292" i="1" s="1"/>
  <c r="N292" i="1"/>
  <c r="M292" i="1"/>
  <c r="O291" i="1"/>
  <c r="P291" i="1" s="1"/>
  <c r="N291" i="1"/>
  <c r="M291" i="1"/>
  <c r="O290" i="1"/>
  <c r="P290" i="1" s="1"/>
  <c r="N290" i="1"/>
  <c r="M290" i="1"/>
  <c r="O289" i="1"/>
  <c r="P289" i="1" s="1"/>
  <c r="N289" i="1"/>
  <c r="M289" i="1"/>
  <c r="O288" i="1"/>
  <c r="N288" i="1"/>
  <c r="P288" i="1" s="1"/>
  <c r="M288" i="1"/>
  <c r="O287" i="1"/>
  <c r="N287" i="1"/>
  <c r="P287" i="1" s="1"/>
  <c r="M287" i="1"/>
  <c r="O286" i="1"/>
  <c r="P286" i="1" s="1"/>
  <c r="N286" i="1"/>
  <c r="M286" i="1"/>
  <c r="P285" i="1"/>
  <c r="O285" i="1"/>
  <c r="N285" i="1"/>
  <c r="M285" i="1"/>
  <c r="P284" i="1"/>
  <c r="O284" i="1"/>
  <c r="N284" i="1"/>
  <c r="M284" i="1"/>
  <c r="O283" i="1"/>
  <c r="P283" i="1" s="1"/>
  <c r="N283" i="1"/>
  <c r="M283" i="1"/>
  <c r="O282" i="1"/>
  <c r="P282" i="1" s="1"/>
  <c r="N282" i="1"/>
  <c r="M282" i="1"/>
  <c r="O281" i="1"/>
  <c r="P281" i="1" s="1"/>
  <c r="N281" i="1"/>
  <c r="M281" i="1"/>
  <c r="O280" i="1"/>
  <c r="P280" i="1" s="1"/>
  <c r="N280" i="1"/>
  <c r="M280" i="1"/>
  <c r="O279" i="1"/>
  <c r="P279" i="1" s="1"/>
  <c r="N279" i="1"/>
  <c r="M279" i="1"/>
  <c r="O278" i="1"/>
  <c r="P278" i="1" s="1"/>
  <c r="N278" i="1"/>
  <c r="M278" i="1"/>
  <c r="O277" i="1"/>
  <c r="N277" i="1"/>
  <c r="P277" i="1" s="1"/>
  <c r="M277" i="1"/>
  <c r="O276" i="1"/>
  <c r="N276" i="1"/>
  <c r="P276" i="1" s="1"/>
  <c r="M276" i="1"/>
  <c r="O275" i="1"/>
  <c r="P275" i="1" s="1"/>
  <c r="N275" i="1"/>
  <c r="M275" i="1"/>
  <c r="O274" i="1"/>
  <c r="P274" i="1" s="1"/>
  <c r="N274" i="1"/>
  <c r="M274" i="1"/>
  <c r="P273" i="1"/>
  <c r="O273" i="1"/>
  <c r="N273" i="1"/>
  <c r="M273" i="1"/>
  <c r="O272" i="1"/>
  <c r="P272" i="1" s="1"/>
  <c r="N272" i="1"/>
  <c r="M272" i="1"/>
  <c r="O271" i="1"/>
  <c r="P271" i="1" s="1"/>
  <c r="N271" i="1"/>
  <c r="M271" i="1"/>
  <c r="O270" i="1"/>
  <c r="P270" i="1" s="1"/>
  <c r="N270" i="1"/>
  <c r="M270" i="1"/>
  <c r="O269" i="1"/>
  <c r="P269" i="1" s="1"/>
  <c r="N269" i="1"/>
  <c r="M269" i="1"/>
  <c r="O268" i="1"/>
  <c r="P268" i="1" s="1"/>
  <c r="N268" i="1"/>
  <c r="M268" i="1"/>
  <c r="O267" i="1"/>
  <c r="P267" i="1" s="1"/>
  <c r="N267" i="1"/>
  <c r="M267" i="1"/>
  <c r="O266" i="1"/>
  <c r="N266" i="1"/>
  <c r="P266" i="1" s="1"/>
  <c r="M266" i="1"/>
  <c r="O265" i="1"/>
  <c r="N265" i="1"/>
  <c r="P265" i="1" s="1"/>
  <c r="M265" i="1"/>
  <c r="O264" i="1"/>
  <c r="P264" i="1" s="1"/>
  <c r="N264" i="1"/>
  <c r="M264" i="1"/>
  <c r="O263" i="1"/>
  <c r="P263" i="1" s="1"/>
  <c r="N263" i="1"/>
  <c r="M263" i="1"/>
  <c r="P262" i="1"/>
  <c r="O262" i="1"/>
  <c r="N262" i="1"/>
  <c r="M262" i="1"/>
  <c r="O261" i="1"/>
  <c r="P261" i="1" s="1"/>
  <c r="N261" i="1"/>
  <c r="M261" i="1"/>
  <c r="O260" i="1"/>
  <c r="P260" i="1" s="1"/>
  <c r="N260" i="1"/>
  <c r="M260" i="1"/>
  <c r="O259" i="1"/>
  <c r="P259" i="1" s="1"/>
  <c r="N259" i="1"/>
  <c r="M259" i="1"/>
  <c r="O258" i="1"/>
  <c r="P258" i="1" s="1"/>
  <c r="N258" i="1"/>
  <c r="M258" i="1"/>
  <c r="O257" i="1"/>
  <c r="P257" i="1" s="1"/>
  <c r="N257" i="1"/>
  <c r="M257" i="1"/>
  <c r="O256" i="1"/>
  <c r="P256" i="1" s="1"/>
  <c r="N256" i="1"/>
  <c r="M256" i="1"/>
  <c r="O255" i="1"/>
  <c r="N255" i="1"/>
  <c r="P255" i="1" s="1"/>
  <c r="M255" i="1"/>
  <c r="O254" i="1"/>
  <c r="N254" i="1"/>
  <c r="P254" i="1" s="1"/>
  <c r="M254" i="1"/>
  <c r="O253" i="1"/>
  <c r="P253" i="1" s="1"/>
  <c r="N253" i="1"/>
  <c r="M253" i="1"/>
  <c r="O252" i="1"/>
  <c r="P252" i="1" s="1"/>
  <c r="N252" i="1"/>
  <c r="M252" i="1"/>
  <c r="P251" i="1"/>
  <c r="O251" i="1"/>
  <c r="N251" i="1"/>
  <c r="M251" i="1"/>
  <c r="O250" i="1"/>
  <c r="P250" i="1" s="1"/>
  <c r="N250" i="1"/>
  <c r="M250" i="1"/>
  <c r="O249" i="1"/>
  <c r="P249" i="1" s="1"/>
  <c r="N249" i="1"/>
  <c r="M249" i="1"/>
  <c r="O248" i="1"/>
  <c r="P248" i="1" s="1"/>
  <c r="N248" i="1"/>
  <c r="M248" i="1"/>
  <c r="O247" i="1"/>
  <c r="P247" i="1" s="1"/>
  <c r="N247" i="1"/>
  <c r="M247" i="1"/>
  <c r="O246" i="1"/>
  <c r="P246" i="1" s="1"/>
  <c r="N246" i="1"/>
  <c r="M246" i="1"/>
  <c r="O245" i="1"/>
  <c r="P245" i="1" s="1"/>
  <c r="N245" i="1"/>
  <c r="M245" i="1"/>
  <c r="O244" i="1"/>
  <c r="N244" i="1"/>
  <c r="P244" i="1" s="1"/>
  <c r="M244" i="1"/>
  <c r="O243" i="1"/>
  <c r="N243" i="1"/>
  <c r="P243" i="1" s="1"/>
  <c r="M243" i="1"/>
  <c r="O242" i="1"/>
  <c r="P242" i="1" s="1"/>
  <c r="N242" i="1"/>
  <c r="M242" i="1"/>
  <c r="O241" i="1"/>
  <c r="P241" i="1" s="1"/>
  <c r="N241" i="1"/>
  <c r="M241" i="1"/>
  <c r="P240" i="1"/>
  <c r="O240" i="1"/>
  <c r="N240" i="1"/>
  <c r="M240" i="1"/>
  <c r="O239" i="1"/>
  <c r="P239" i="1" s="1"/>
  <c r="N239" i="1"/>
  <c r="M239" i="1"/>
  <c r="O238" i="1"/>
  <c r="P238" i="1" s="1"/>
  <c r="N238" i="1"/>
  <c r="M238" i="1"/>
  <c r="O237" i="1"/>
  <c r="P237" i="1" s="1"/>
  <c r="N237" i="1"/>
  <c r="M237" i="1"/>
  <c r="O236" i="1"/>
  <c r="P236" i="1" s="1"/>
  <c r="N236" i="1"/>
  <c r="M236" i="1"/>
  <c r="O235" i="1"/>
  <c r="P235" i="1" s="1"/>
  <c r="N235" i="1"/>
  <c r="M235" i="1"/>
  <c r="O234" i="1"/>
  <c r="P234" i="1" s="1"/>
  <c r="N234" i="1"/>
  <c r="M234" i="1"/>
  <c r="O233" i="1"/>
  <c r="N233" i="1"/>
  <c r="P233" i="1" s="1"/>
  <c r="M233" i="1"/>
  <c r="O232" i="1"/>
  <c r="N232" i="1"/>
  <c r="P232" i="1" s="1"/>
  <c r="M232" i="1"/>
  <c r="O231" i="1"/>
  <c r="P231" i="1" s="1"/>
  <c r="N231" i="1"/>
  <c r="M231" i="1"/>
  <c r="O230" i="1"/>
  <c r="P230" i="1" s="1"/>
  <c r="N230" i="1"/>
  <c r="M230" i="1"/>
  <c r="P229" i="1"/>
  <c r="O229" i="1"/>
  <c r="N229" i="1"/>
  <c r="M229" i="1"/>
  <c r="O228" i="1"/>
  <c r="P228" i="1" s="1"/>
  <c r="N228" i="1"/>
  <c r="M228" i="1"/>
  <c r="O227" i="1"/>
  <c r="P227" i="1" s="1"/>
  <c r="N227" i="1"/>
  <c r="M227" i="1"/>
  <c r="O226" i="1"/>
  <c r="P226" i="1" s="1"/>
  <c r="N226" i="1"/>
  <c r="M226" i="1"/>
  <c r="O225" i="1"/>
  <c r="P225" i="1" s="1"/>
  <c r="N225" i="1"/>
  <c r="M225" i="1"/>
  <c r="O224" i="1"/>
  <c r="P224" i="1" s="1"/>
  <c r="N224" i="1"/>
  <c r="M224" i="1"/>
  <c r="O223" i="1"/>
  <c r="P223" i="1" s="1"/>
  <c r="N223" i="1"/>
  <c r="M223" i="1"/>
  <c r="O222" i="1"/>
  <c r="N222" i="1"/>
  <c r="P222" i="1" s="1"/>
  <c r="M222" i="1"/>
  <c r="O221" i="1"/>
  <c r="N221" i="1"/>
  <c r="P221" i="1" s="1"/>
  <c r="M221" i="1"/>
  <c r="O220" i="1"/>
  <c r="P220" i="1" s="1"/>
  <c r="N220" i="1"/>
  <c r="M220" i="1"/>
  <c r="O219" i="1"/>
  <c r="P219" i="1" s="1"/>
  <c r="N219" i="1"/>
  <c r="M219" i="1"/>
  <c r="P218" i="1"/>
  <c r="O218" i="1"/>
  <c r="N218" i="1"/>
  <c r="M218" i="1"/>
  <c r="O217" i="1"/>
  <c r="P217" i="1" s="1"/>
  <c r="N217" i="1"/>
  <c r="M217" i="1"/>
  <c r="O216" i="1"/>
  <c r="P216" i="1" s="1"/>
  <c r="N216" i="1"/>
  <c r="M216" i="1"/>
  <c r="O215" i="1"/>
  <c r="P215" i="1" s="1"/>
  <c r="N215" i="1"/>
  <c r="M215" i="1"/>
  <c r="O214" i="1"/>
  <c r="P214" i="1" s="1"/>
  <c r="N214" i="1"/>
  <c r="M214" i="1"/>
  <c r="O213" i="1"/>
  <c r="P213" i="1" s="1"/>
  <c r="N213" i="1"/>
  <c r="M213" i="1"/>
  <c r="O212" i="1"/>
  <c r="P212" i="1" s="1"/>
  <c r="N212" i="1"/>
  <c r="M212" i="1"/>
  <c r="O211" i="1"/>
  <c r="N211" i="1"/>
  <c r="P211" i="1" s="1"/>
  <c r="M211" i="1"/>
  <c r="O210" i="1"/>
  <c r="N210" i="1"/>
  <c r="P210" i="1" s="1"/>
  <c r="M210" i="1"/>
  <c r="O209" i="1"/>
  <c r="P209" i="1" s="1"/>
  <c r="N209" i="1"/>
  <c r="M209" i="1"/>
  <c r="O208" i="1"/>
  <c r="P208" i="1" s="1"/>
  <c r="N208" i="1"/>
  <c r="M208" i="1"/>
  <c r="P207" i="1"/>
  <c r="O207" i="1"/>
  <c r="N207" i="1"/>
  <c r="M207" i="1"/>
  <c r="O206" i="1"/>
  <c r="P206" i="1" s="1"/>
  <c r="N206" i="1"/>
  <c r="M206" i="1"/>
  <c r="O205" i="1"/>
  <c r="P205" i="1" s="1"/>
  <c r="N205" i="1"/>
  <c r="M205" i="1"/>
  <c r="O204" i="1"/>
  <c r="P204" i="1" s="1"/>
  <c r="N204" i="1"/>
  <c r="M204" i="1"/>
  <c r="O203" i="1"/>
  <c r="P203" i="1" s="1"/>
  <c r="N203" i="1"/>
  <c r="M203" i="1"/>
  <c r="O202" i="1"/>
  <c r="P202" i="1" s="1"/>
  <c r="N202" i="1"/>
  <c r="M202" i="1"/>
  <c r="O201" i="1"/>
  <c r="P201" i="1" s="1"/>
  <c r="N201" i="1"/>
  <c r="M201" i="1"/>
  <c r="O200" i="1"/>
  <c r="N200" i="1"/>
  <c r="P200" i="1" s="1"/>
  <c r="M200" i="1"/>
  <c r="O199" i="1"/>
  <c r="N199" i="1"/>
  <c r="P199" i="1" s="1"/>
  <c r="M199" i="1"/>
  <c r="O198" i="1"/>
  <c r="P198" i="1" s="1"/>
  <c r="N198" i="1"/>
  <c r="M198" i="1"/>
  <c r="O197" i="1"/>
  <c r="P197" i="1" s="1"/>
  <c r="N197" i="1"/>
  <c r="M197" i="1"/>
  <c r="P196" i="1"/>
  <c r="O196" i="1"/>
  <c r="N196" i="1"/>
  <c r="M196" i="1"/>
  <c r="O195" i="1"/>
  <c r="P195" i="1" s="1"/>
  <c r="N195" i="1"/>
  <c r="M195" i="1"/>
  <c r="O194" i="1"/>
  <c r="P194" i="1" s="1"/>
  <c r="N194" i="1"/>
  <c r="M194" i="1"/>
  <c r="O193" i="1"/>
  <c r="P193" i="1" s="1"/>
  <c r="N193" i="1"/>
  <c r="M193" i="1"/>
  <c r="O192" i="1"/>
  <c r="P192" i="1" s="1"/>
  <c r="N192" i="1"/>
  <c r="M192" i="1"/>
  <c r="O191" i="1"/>
  <c r="P191" i="1" s="1"/>
  <c r="N191" i="1"/>
  <c r="M191" i="1"/>
  <c r="O190" i="1"/>
  <c r="P190" i="1" s="1"/>
  <c r="N190" i="1"/>
  <c r="M190" i="1"/>
  <c r="O189" i="1"/>
  <c r="N189" i="1"/>
  <c r="P189" i="1" s="1"/>
  <c r="M189" i="1"/>
  <c r="O188" i="1"/>
  <c r="N188" i="1"/>
  <c r="P188" i="1" s="1"/>
  <c r="M188" i="1"/>
  <c r="O187" i="1"/>
  <c r="P187" i="1" s="1"/>
  <c r="N187" i="1"/>
  <c r="M187" i="1"/>
  <c r="O186" i="1"/>
  <c r="P186" i="1" s="1"/>
  <c r="N186" i="1"/>
  <c r="M186" i="1"/>
  <c r="P185" i="1"/>
  <c r="O185" i="1"/>
  <c r="N185" i="1"/>
  <c r="M185" i="1"/>
  <c r="O184" i="1"/>
  <c r="P184" i="1" s="1"/>
  <c r="N184" i="1"/>
  <c r="M184" i="1"/>
  <c r="O183" i="1"/>
  <c r="P183" i="1" s="1"/>
  <c r="N183" i="1"/>
  <c r="M183" i="1"/>
  <c r="O182" i="1"/>
  <c r="P182" i="1" s="1"/>
  <c r="N182" i="1"/>
  <c r="M182" i="1"/>
  <c r="O181" i="1"/>
  <c r="P181" i="1" s="1"/>
  <c r="N181" i="1"/>
  <c r="M181" i="1"/>
  <c r="O180" i="1"/>
  <c r="P180" i="1" s="1"/>
  <c r="N180" i="1"/>
  <c r="M180" i="1"/>
  <c r="O179" i="1"/>
  <c r="P179" i="1" s="1"/>
  <c r="N179" i="1"/>
  <c r="M179" i="1"/>
  <c r="O178" i="1"/>
  <c r="N178" i="1"/>
  <c r="P178" i="1" s="1"/>
  <c r="M178" i="1"/>
  <c r="O177" i="1"/>
  <c r="N177" i="1"/>
  <c r="P177" i="1" s="1"/>
  <c r="M177" i="1"/>
  <c r="O176" i="1"/>
  <c r="P176" i="1" s="1"/>
  <c r="N176" i="1"/>
  <c r="M176" i="1"/>
  <c r="O175" i="1"/>
  <c r="P175" i="1" s="1"/>
  <c r="N175" i="1"/>
  <c r="M175" i="1"/>
  <c r="P174" i="1"/>
  <c r="O174" i="1"/>
  <c r="N174" i="1"/>
  <c r="M174" i="1"/>
  <c r="O173" i="1"/>
  <c r="P173" i="1" s="1"/>
  <c r="N173" i="1"/>
  <c r="M173" i="1"/>
  <c r="O172" i="1"/>
  <c r="P172" i="1" s="1"/>
  <c r="N172" i="1"/>
  <c r="M172" i="1"/>
  <c r="O171" i="1"/>
  <c r="P171" i="1" s="1"/>
  <c r="N171" i="1"/>
  <c r="M171" i="1"/>
  <c r="O170" i="1"/>
  <c r="P170" i="1" s="1"/>
  <c r="N170" i="1"/>
  <c r="M170" i="1"/>
  <c r="O169" i="1"/>
  <c r="P169" i="1" s="1"/>
  <c r="N169" i="1"/>
  <c r="M169" i="1"/>
  <c r="O168" i="1"/>
  <c r="P168" i="1" s="1"/>
  <c r="N168" i="1"/>
  <c r="M168" i="1"/>
  <c r="O167" i="1"/>
  <c r="P167" i="1" s="1"/>
  <c r="N167" i="1"/>
  <c r="M167" i="1"/>
  <c r="O166" i="1"/>
  <c r="N166" i="1"/>
  <c r="P166" i="1" s="1"/>
  <c r="M166" i="1"/>
  <c r="O165" i="1"/>
  <c r="P165" i="1" s="1"/>
  <c r="N165" i="1"/>
  <c r="M165" i="1"/>
  <c r="O164" i="1"/>
  <c r="P164" i="1" s="1"/>
  <c r="N164" i="1"/>
  <c r="M164" i="1"/>
  <c r="P163" i="1"/>
  <c r="O163" i="1"/>
  <c r="N163" i="1"/>
  <c r="M163" i="1"/>
  <c r="O162" i="1"/>
  <c r="P162" i="1" s="1"/>
  <c r="N162" i="1"/>
  <c r="M162" i="1"/>
  <c r="O161" i="1"/>
  <c r="P161" i="1" s="1"/>
  <c r="N161" i="1"/>
  <c r="M161" i="1"/>
  <c r="O160" i="1"/>
  <c r="P160" i="1" s="1"/>
  <c r="N160" i="1"/>
  <c r="M160" i="1"/>
  <c r="O159" i="1"/>
  <c r="P159" i="1" s="1"/>
  <c r="N159" i="1"/>
  <c r="M159" i="1"/>
  <c r="O158" i="1"/>
  <c r="P158" i="1" s="1"/>
  <c r="N158" i="1"/>
  <c r="M158" i="1"/>
  <c r="O157" i="1"/>
  <c r="P157" i="1" s="1"/>
  <c r="N157" i="1"/>
  <c r="M157" i="1"/>
  <c r="O156" i="1"/>
  <c r="P156" i="1" s="1"/>
  <c r="N156" i="1"/>
  <c r="M156" i="1"/>
  <c r="O155" i="1"/>
  <c r="N155" i="1"/>
  <c r="P155" i="1" s="1"/>
  <c r="M155" i="1"/>
  <c r="O154" i="1"/>
  <c r="P154" i="1" s="1"/>
  <c r="N154" i="1"/>
  <c r="M154" i="1"/>
  <c r="O153" i="1"/>
  <c r="P153" i="1" s="1"/>
  <c r="N153" i="1"/>
  <c r="M153" i="1"/>
  <c r="P152" i="1"/>
  <c r="O152" i="1"/>
  <c r="N152" i="1"/>
  <c r="M152" i="1"/>
  <c r="O151" i="1"/>
  <c r="P151" i="1" s="1"/>
  <c r="N151" i="1"/>
  <c r="M151" i="1"/>
  <c r="O150" i="1"/>
  <c r="P150" i="1" s="1"/>
  <c r="N150" i="1"/>
  <c r="M150" i="1"/>
  <c r="O149" i="1"/>
  <c r="P149" i="1" s="1"/>
  <c r="N149" i="1"/>
  <c r="M149" i="1"/>
  <c r="O148" i="1"/>
  <c r="P148" i="1" s="1"/>
  <c r="N148" i="1"/>
  <c r="M148" i="1"/>
  <c r="O147" i="1"/>
  <c r="P147" i="1" s="1"/>
  <c r="N147" i="1"/>
  <c r="M147" i="1"/>
  <c r="O146" i="1"/>
  <c r="P146" i="1" s="1"/>
  <c r="N146" i="1"/>
  <c r="M146" i="1"/>
  <c r="O145" i="1"/>
  <c r="P145" i="1" s="1"/>
  <c r="N145" i="1"/>
  <c r="M145" i="1"/>
  <c r="O144" i="1"/>
  <c r="N144" i="1"/>
  <c r="P144" i="1" s="1"/>
  <c r="M144" i="1"/>
  <c r="O143" i="1"/>
  <c r="P143" i="1" s="1"/>
  <c r="N143" i="1"/>
  <c r="M143" i="1"/>
  <c r="O142" i="1"/>
  <c r="P142" i="1" s="1"/>
  <c r="N142" i="1"/>
  <c r="M142" i="1"/>
  <c r="P141" i="1"/>
  <c r="O141" i="1"/>
  <c r="N141" i="1"/>
  <c r="M141" i="1"/>
  <c r="O140" i="1"/>
  <c r="P140" i="1" s="1"/>
  <c r="N140" i="1"/>
  <c r="M140" i="1"/>
  <c r="O139" i="1"/>
  <c r="P139" i="1" s="1"/>
  <c r="N139" i="1"/>
  <c r="M139" i="1"/>
  <c r="O138" i="1"/>
  <c r="P138" i="1" s="1"/>
  <c r="N138" i="1"/>
  <c r="M138" i="1"/>
  <c r="O137" i="1"/>
  <c r="P137" i="1" s="1"/>
  <c r="N137" i="1"/>
  <c r="M137" i="1"/>
  <c r="O136" i="1"/>
  <c r="P136" i="1" s="1"/>
  <c r="N136" i="1"/>
  <c r="M136" i="1"/>
  <c r="O135" i="1"/>
  <c r="P135" i="1" s="1"/>
  <c r="N135" i="1"/>
  <c r="M135" i="1"/>
  <c r="O134" i="1"/>
  <c r="P134" i="1" s="1"/>
  <c r="N134" i="1"/>
  <c r="M134" i="1"/>
  <c r="O133" i="1"/>
  <c r="N133" i="1"/>
  <c r="P133" i="1" s="1"/>
  <c r="M133" i="1"/>
  <c r="O132" i="1"/>
  <c r="P132" i="1" s="1"/>
  <c r="N132" i="1"/>
  <c r="M132" i="1"/>
  <c r="O131" i="1"/>
  <c r="P131" i="1" s="1"/>
  <c r="N131" i="1"/>
  <c r="M131" i="1"/>
  <c r="P130" i="1"/>
  <c r="O130" i="1"/>
  <c r="N130" i="1"/>
  <c r="M130" i="1"/>
  <c r="O129" i="1"/>
  <c r="P129" i="1" s="1"/>
  <c r="N129" i="1"/>
  <c r="M129" i="1"/>
  <c r="O128" i="1"/>
  <c r="P128" i="1" s="1"/>
  <c r="N128" i="1"/>
  <c r="M128" i="1"/>
  <c r="O127" i="1"/>
  <c r="P127" i="1" s="1"/>
  <c r="N127" i="1"/>
  <c r="M127" i="1"/>
  <c r="O126" i="1"/>
  <c r="P126" i="1" s="1"/>
  <c r="N126" i="1"/>
  <c r="M126" i="1"/>
  <c r="O125" i="1"/>
  <c r="P125" i="1" s="1"/>
  <c r="N125" i="1"/>
  <c r="M125" i="1"/>
  <c r="O124" i="1"/>
  <c r="P124" i="1" s="1"/>
  <c r="N124" i="1"/>
  <c r="M124" i="1"/>
  <c r="O123" i="1"/>
  <c r="P123" i="1" s="1"/>
  <c r="N123" i="1"/>
  <c r="M123" i="1"/>
  <c r="O122" i="1"/>
  <c r="N122" i="1"/>
  <c r="P122" i="1" s="1"/>
  <c r="M122" i="1"/>
  <c r="O121" i="1"/>
  <c r="P121" i="1" s="1"/>
  <c r="N121" i="1"/>
  <c r="M121" i="1"/>
  <c r="O120" i="1"/>
  <c r="P120" i="1" s="1"/>
  <c r="N120" i="1"/>
  <c r="M120" i="1"/>
  <c r="P119" i="1"/>
  <c r="O119" i="1"/>
  <c r="N119" i="1"/>
  <c r="M119" i="1"/>
  <c r="O118" i="1"/>
  <c r="P118" i="1" s="1"/>
  <c r="N118" i="1"/>
  <c r="M118" i="1"/>
  <c r="O117" i="1"/>
  <c r="P117" i="1" s="1"/>
  <c r="N117" i="1"/>
  <c r="M117" i="1"/>
  <c r="O116" i="1"/>
  <c r="P116" i="1" s="1"/>
  <c r="N116" i="1"/>
  <c r="M116" i="1"/>
  <c r="O115" i="1"/>
  <c r="P115" i="1" s="1"/>
  <c r="N115" i="1"/>
  <c r="M115" i="1"/>
  <c r="O114" i="1"/>
  <c r="P114" i="1" s="1"/>
  <c r="N114" i="1"/>
  <c r="M114" i="1"/>
  <c r="O113" i="1"/>
  <c r="P113" i="1" s="1"/>
  <c r="N113" i="1"/>
  <c r="M113" i="1"/>
  <c r="O112" i="1"/>
  <c r="P112" i="1" s="1"/>
  <c r="N112" i="1"/>
  <c r="M112" i="1"/>
  <c r="O111" i="1"/>
  <c r="N111" i="1"/>
  <c r="P111" i="1" s="1"/>
  <c r="M111" i="1"/>
  <c r="O110" i="1"/>
  <c r="P110" i="1" s="1"/>
  <c r="N110" i="1"/>
  <c r="M110" i="1"/>
  <c r="O109" i="1"/>
  <c r="P109" i="1" s="1"/>
  <c r="N109" i="1"/>
  <c r="M109" i="1"/>
  <c r="P108" i="1"/>
  <c r="O108" i="1"/>
  <c r="N108" i="1"/>
  <c r="M108" i="1"/>
  <c r="O107" i="1"/>
  <c r="P107" i="1" s="1"/>
  <c r="N107" i="1"/>
  <c r="M107" i="1"/>
  <c r="O106" i="1"/>
  <c r="P106" i="1" s="1"/>
  <c r="N106" i="1"/>
  <c r="M106" i="1"/>
  <c r="O105" i="1"/>
  <c r="P105" i="1" s="1"/>
  <c r="N105" i="1"/>
  <c r="M105" i="1"/>
  <c r="O104" i="1"/>
  <c r="P104" i="1" s="1"/>
  <c r="N104" i="1"/>
  <c r="M104" i="1"/>
  <c r="O103" i="1"/>
  <c r="P103" i="1" s="1"/>
  <c r="N103" i="1"/>
  <c r="M103" i="1"/>
  <c r="O102" i="1"/>
  <c r="P102" i="1" s="1"/>
  <c r="N102" i="1"/>
  <c r="M102" i="1"/>
  <c r="O101" i="1"/>
  <c r="P101" i="1" s="1"/>
  <c r="N101" i="1"/>
  <c r="M101" i="1"/>
  <c r="O100" i="1"/>
  <c r="N100" i="1"/>
  <c r="P100" i="1" s="1"/>
  <c r="M100" i="1"/>
  <c r="O99" i="1"/>
  <c r="P99" i="1" s="1"/>
  <c r="N99" i="1"/>
  <c r="M99" i="1"/>
  <c r="O98" i="1"/>
  <c r="P98" i="1" s="1"/>
  <c r="N98" i="1"/>
  <c r="M98" i="1"/>
  <c r="P97" i="1"/>
  <c r="O97" i="1"/>
  <c r="N97" i="1"/>
  <c r="M97" i="1"/>
  <c r="O96" i="1"/>
  <c r="P96" i="1" s="1"/>
  <c r="N96" i="1"/>
  <c r="M96" i="1"/>
  <c r="O95" i="1"/>
  <c r="P95" i="1" s="1"/>
  <c r="N95" i="1"/>
  <c r="M95" i="1"/>
  <c r="O94" i="1"/>
  <c r="P94" i="1" s="1"/>
  <c r="N94" i="1"/>
  <c r="M94" i="1"/>
  <c r="O93" i="1"/>
  <c r="P93" i="1" s="1"/>
  <c r="N93" i="1"/>
  <c r="M93" i="1"/>
  <c r="O92" i="1"/>
  <c r="P92" i="1" s="1"/>
  <c r="N92" i="1"/>
  <c r="M92" i="1"/>
  <c r="O91" i="1"/>
  <c r="P91" i="1" s="1"/>
  <c r="N91" i="1"/>
  <c r="M91" i="1"/>
  <c r="O90" i="1"/>
  <c r="P90" i="1" s="1"/>
  <c r="N90" i="1"/>
  <c r="M90" i="1"/>
  <c r="O89" i="1"/>
  <c r="N89" i="1"/>
  <c r="P89" i="1" s="1"/>
  <c r="M89" i="1"/>
  <c r="O88" i="1"/>
  <c r="P88" i="1" s="1"/>
  <c r="N88" i="1"/>
  <c r="M88" i="1"/>
  <c r="O87" i="1"/>
  <c r="P87" i="1" s="1"/>
  <c r="N87" i="1"/>
  <c r="M87" i="1"/>
  <c r="P86" i="1"/>
  <c r="O86" i="1"/>
  <c r="N86" i="1"/>
  <c r="M86" i="1"/>
  <c r="O85" i="1"/>
  <c r="P85" i="1" s="1"/>
  <c r="N85" i="1"/>
  <c r="M85" i="1"/>
  <c r="O84" i="1"/>
  <c r="P84" i="1" s="1"/>
  <c r="N84" i="1"/>
  <c r="M84" i="1"/>
  <c r="O83" i="1"/>
  <c r="P83" i="1" s="1"/>
  <c r="N83" i="1"/>
  <c r="M83" i="1"/>
  <c r="O82" i="1"/>
  <c r="P82" i="1" s="1"/>
  <c r="N82" i="1"/>
  <c r="M82" i="1"/>
  <c r="O81" i="1"/>
  <c r="P81" i="1" s="1"/>
  <c r="N81" i="1"/>
  <c r="M81" i="1"/>
  <c r="O80" i="1"/>
  <c r="P80" i="1" s="1"/>
  <c r="N80" i="1"/>
  <c r="M80" i="1"/>
  <c r="O79" i="1"/>
  <c r="P79" i="1" s="1"/>
  <c r="N79" i="1"/>
  <c r="M79" i="1"/>
  <c r="O78" i="1"/>
  <c r="N78" i="1"/>
  <c r="P78" i="1" s="1"/>
  <c r="M78" i="1"/>
  <c r="O77" i="1"/>
  <c r="P77" i="1" s="1"/>
  <c r="N77" i="1"/>
  <c r="M77" i="1"/>
  <c r="O76" i="1"/>
  <c r="P76" i="1" s="1"/>
  <c r="N76" i="1"/>
  <c r="M76" i="1"/>
  <c r="P75" i="1"/>
  <c r="O75" i="1"/>
  <c r="N75" i="1"/>
  <c r="M75" i="1"/>
  <c r="O74" i="1"/>
  <c r="P74" i="1" s="1"/>
  <c r="N74" i="1"/>
  <c r="M74" i="1"/>
  <c r="O73" i="1"/>
  <c r="P73" i="1" s="1"/>
  <c r="N73" i="1"/>
  <c r="M73" i="1"/>
  <c r="O72" i="1"/>
  <c r="P72" i="1" s="1"/>
  <c r="N72" i="1"/>
  <c r="M72" i="1"/>
  <c r="O71" i="1"/>
  <c r="P71" i="1" s="1"/>
  <c r="N71" i="1"/>
  <c r="M71" i="1"/>
  <c r="O70" i="1"/>
  <c r="P70" i="1" s="1"/>
  <c r="N70" i="1"/>
  <c r="M70" i="1"/>
  <c r="O69" i="1"/>
  <c r="P69" i="1" s="1"/>
  <c r="N69" i="1"/>
  <c r="M69" i="1"/>
  <c r="O68" i="1"/>
  <c r="P68" i="1" s="1"/>
  <c r="N68" i="1"/>
  <c r="M68" i="1"/>
  <c r="O67" i="1"/>
  <c r="N67" i="1"/>
  <c r="P67" i="1" s="1"/>
  <c r="M67" i="1"/>
  <c r="O66" i="1"/>
  <c r="P66" i="1" s="1"/>
  <c r="N66" i="1"/>
  <c r="M66" i="1"/>
  <c r="O65" i="1"/>
  <c r="P65" i="1" s="1"/>
  <c r="N65" i="1"/>
  <c r="M65" i="1"/>
  <c r="O64" i="1"/>
  <c r="N64" i="1"/>
  <c r="P64" i="1" s="1"/>
  <c r="M64" i="1"/>
  <c r="O63" i="1"/>
  <c r="P63" i="1" s="1"/>
  <c r="N63" i="1"/>
  <c r="M63" i="1"/>
  <c r="O62" i="1"/>
  <c r="P62" i="1" s="1"/>
  <c r="N62" i="1"/>
  <c r="M62" i="1"/>
  <c r="O61" i="1"/>
  <c r="P61" i="1" s="1"/>
  <c r="N61" i="1"/>
  <c r="M61" i="1"/>
  <c r="O60" i="1"/>
  <c r="P60" i="1" s="1"/>
  <c r="N60" i="1"/>
  <c r="M60" i="1"/>
  <c r="O59" i="1"/>
  <c r="P59" i="1" s="1"/>
  <c r="N59" i="1"/>
  <c r="M59" i="1"/>
  <c r="O58" i="1"/>
  <c r="P58" i="1" s="1"/>
  <c r="N58" i="1"/>
  <c r="M58" i="1"/>
  <c r="O57" i="1"/>
  <c r="P57" i="1" s="1"/>
  <c r="N57" i="1"/>
  <c r="M57" i="1"/>
  <c r="O56" i="1"/>
  <c r="N56" i="1"/>
  <c r="P56" i="1" s="1"/>
  <c r="M56" i="1"/>
  <c r="O55" i="1"/>
  <c r="P55" i="1" s="1"/>
  <c r="N55" i="1"/>
  <c r="M55" i="1"/>
  <c r="O54" i="1"/>
  <c r="P54" i="1" s="1"/>
  <c r="N54" i="1"/>
  <c r="M54" i="1"/>
  <c r="O53" i="1"/>
  <c r="P53" i="1" s="1"/>
  <c r="N53" i="1"/>
  <c r="M53" i="1"/>
  <c r="O52" i="1"/>
  <c r="P52" i="1" s="1"/>
  <c r="N52" i="1"/>
  <c r="M52" i="1"/>
  <c r="O51" i="1"/>
  <c r="P51" i="1" s="1"/>
  <c r="N51" i="1"/>
  <c r="M51" i="1"/>
  <c r="O50" i="1"/>
  <c r="P50" i="1" s="1"/>
  <c r="N50" i="1"/>
  <c r="M50" i="1"/>
  <c r="O49" i="1"/>
  <c r="P49" i="1" s="1"/>
  <c r="N49" i="1"/>
  <c r="M49" i="1"/>
  <c r="O48" i="1"/>
  <c r="P48" i="1" s="1"/>
  <c r="N48" i="1"/>
  <c r="M48" i="1"/>
  <c r="O47" i="1"/>
  <c r="P47" i="1" s="1"/>
  <c r="N47" i="1"/>
  <c r="M47" i="1"/>
  <c r="O46" i="1"/>
  <c r="P46" i="1" s="1"/>
  <c r="N46" i="1"/>
  <c r="M46" i="1"/>
  <c r="O45" i="1"/>
  <c r="N45" i="1"/>
  <c r="P45" i="1" s="1"/>
  <c r="M45" i="1"/>
  <c r="O44" i="1"/>
  <c r="P44" i="1" s="1"/>
  <c r="N44" i="1"/>
  <c r="M44" i="1"/>
  <c r="O43" i="1"/>
  <c r="P43" i="1" s="1"/>
  <c r="N43" i="1"/>
  <c r="M43" i="1"/>
  <c r="O42" i="1"/>
  <c r="P42" i="1" s="1"/>
  <c r="N42" i="1"/>
  <c r="M42" i="1"/>
  <c r="O41" i="1"/>
  <c r="P41" i="1" s="1"/>
  <c r="N41" i="1"/>
  <c r="M41" i="1"/>
  <c r="O40" i="1"/>
  <c r="P40" i="1" s="1"/>
  <c r="N40" i="1"/>
  <c r="M40" i="1"/>
  <c r="O39" i="1"/>
  <c r="P39" i="1" s="1"/>
  <c r="N39" i="1"/>
  <c r="M39" i="1"/>
  <c r="O38" i="1"/>
  <c r="P38" i="1" s="1"/>
  <c r="N38" i="1"/>
  <c r="M38" i="1"/>
  <c r="O37" i="1"/>
  <c r="P37" i="1" s="1"/>
  <c r="N37" i="1"/>
  <c r="M37" i="1"/>
  <c r="O36" i="1"/>
  <c r="P36" i="1" s="1"/>
  <c r="N36" i="1"/>
  <c r="M36" i="1"/>
  <c r="O35" i="1"/>
  <c r="P35" i="1" s="1"/>
  <c r="N35" i="1"/>
  <c r="M35" i="1"/>
  <c r="P34" i="1"/>
  <c r="O34" i="1"/>
  <c r="N34" i="1"/>
  <c r="M34" i="1"/>
  <c r="O33" i="1"/>
  <c r="P33" i="1" s="1"/>
  <c r="N33" i="1"/>
  <c r="M33" i="1"/>
  <c r="O32" i="1"/>
  <c r="P32" i="1" s="1"/>
  <c r="N32" i="1"/>
  <c r="M32" i="1"/>
  <c r="O31" i="1"/>
  <c r="P31" i="1" s="1"/>
  <c r="N31" i="1"/>
  <c r="M31" i="1"/>
  <c r="O30" i="1"/>
  <c r="P30" i="1" s="1"/>
  <c r="N30" i="1"/>
  <c r="M30" i="1"/>
  <c r="O29" i="1"/>
  <c r="P29" i="1" s="1"/>
  <c r="N29" i="1"/>
  <c r="M29" i="1"/>
  <c r="O28" i="1"/>
  <c r="P28" i="1" s="1"/>
  <c r="N28" i="1"/>
  <c r="M28" i="1"/>
  <c r="O27" i="1"/>
  <c r="P27" i="1" s="1"/>
  <c r="N27" i="1"/>
  <c r="M27" i="1"/>
  <c r="O26" i="1"/>
  <c r="P26" i="1" s="1"/>
  <c r="N26" i="1"/>
  <c r="M26" i="1"/>
  <c r="O25" i="1"/>
  <c r="P25" i="1" s="1"/>
  <c r="N25" i="1"/>
  <c r="M25" i="1"/>
  <c r="O24" i="1"/>
  <c r="P24" i="1" s="1"/>
  <c r="N24" i="1"/>
  <c r="M24" i="1"/>
  <c r="P23" i="1"/>
  <c r="O23" i="1"/>
  <c r="N23" i="1"/>
  <c r="M23" i="1"/>
  <c r="O22" i="1"/>
  <c r="P22" i="1" s="1"/>
  <c r="N22" i="1"/>
  <c r="M22" i="1"/>
  <c r="O21" i="1"/>
  <c r="P21" i="1" s="1"/>
  <c r="N21" i="1"/>
  <c r="M21" i="1"/>
  <c r="O20" i="1"/>
  <c r="P20" i="1" s="1"/>
  <c r="N20" i="1"/>
  <c r="M20" i="1"/>
  <c r="O19" i="1"/>
  <c r="P19" i="1" s="1"/>
  <c r="N19" i="1"/>
  <c r="M19" i="1"/>
  <c r="O18" i="1"/>
  <c r="P18" i="1" s="1"/>
  <c r="N18" i="1"/>
  <c r="M18" i="1"/>
  <c r="O17" i="1"/>
  <c r="P17" i="1" s="1"/>
  <c r="N17" i="1"/>
  <c r="M17" i="1"/>
  <c r="O16" i="1"/>
  <c r="P16" i="1" s="1"/>
  <c r="N16" i="1"/>
  <c r="M16" i="1"/>
  <c r="O15" i="1"/>
  <c r="P15" i="1" s="1"/>
  <c r="N15" i="1"/>
  <c r="M15" i="1"/>
  <c r="O14" i="1"/>
  <c r="P14" i="1" s="1"/>
  <c r="N14" i="1"/>
  <c r="M14" i="1"/>
  <c r="O13" i="1"/>
  <c r="P13" i="1" s="1"/>
  <c r="N13" i="1"/>
  <c r="M13" i="1"/>
  <c r="P12" i="1"/>
  <c r="O12" i="1"/>
  <c r="N12" i="1"/>
  <c r="M12" i="1"/>
  <c r="O11" i="1"/>
  <c r="P11" i="1" s="1"/>
  <c r="N11" i="1"/>
  <c r="M11" i="1"/>
  <c r="O10" i="1"/>
  <c r="P10" i="1" s="1"/>
  <c r="N10" i="1"/>
  <c r="M10" i="1"/>
  <c r="O9" i="1"/>
  <c r="P9" i="1" s="1"/>
  <c r="N9" i="1"/>
  <c r="M9" i="1"/>
  <c r="O8" i="1"/>
  <c r="P8" i="1" s="1"/>
  <c r="N8" i="1"/>
  <c r="M8" i="1"/>
  <c r="O7" i="1"/>
  <c r="P7" i="1" s="1"/>
  <c r="N7" i="1"/>
  <c r="M7" i="1"/>
  <c r="O6" i="1"/>
  <c r="P6" i="1" s="1"/>
  <c r="N6" i="1"/>
  <c r="M6" i="1"/>
  <c r="O5" i="1"/>
  <c r="P5" i="1" s="1"/>
  <c r="N5" i="1"/>
  <c r="M5" i="1"/>
  <c r="O4" i="1"/>
  <c r="P4" i="1" s="1"/>
  <c r="N4" i="1"/>
  <c r="M4" i="1"/>
  <c r="O3" i="1"/>
  <c r="P3" i="1" s="1"/>
  <c r="N3" i="1"/>
  <c r="M3" i="1"/>
  <c r="O2" i="1"/>
  <c r="P2" i="1" s="1"/>
  <c r="N2" i="1"/>
  <c r="M2" i="1"/>
</calcChain>
</file>

<file path=xl/sharedStrings.xml><?xml version="1.0" encoding="utf-8"?>
<sst xmlns="http://schemas.openxmlformats.org/spreadsheetml/2006/main" count="5450" uniqueCount="1547">
  <si>
    <t>service_name</t>
  </si>
  <si>
    <t>agency_responsible</t>
  </si>
  <si>
    <t>agency_count</t>
  </si>
  <si>
    <t>total_tickets</t>
  </si>
  <si>
    <t>tickets_2026</t>
  </si>
  <si>
    <t>open_now</t>
  </si>
  <si>
    <t>open_now_gt60d</t>
  </si>
  <si>
    <t>closed_tickets_used</t>
  </si>
  <si>
    <t>median_days_to_close</t>
  </si>
  <si>
    <t>mean_days_to_close</t>
  </si>
  <si>
    <t>p90_days_to_close</t>
  </si>
  <si>
    <t>p90_own</t>
  </si>
  <si>
    <t>p90_flag</t>
  </si>
  <si>
    <t>pct_of_agency_volume</t>
  </si>
  <si>
    <t>cumulative_pct</t>
  </si>
  <si>
    <t>in_core_set</t>
  </si>
  <si>
    <t>Parameters (edit yellow cells)</t>
  </si>
  <si>
    <t>CED - Filming and Drone Activities (Behind The Scenes)</t>
  </si>
  <si>
    <t>AO - Calgary Economic Development</t>
  </si>
  <si>
    <t>Core-set cutoff: cumulative % of agency volume</t>
  </si>
  <si>
    <t>Calgary Housing - General Inquiry</t>
  </si>
  <si>
    <t>AO - Calgary Housing</t>
  </si>
  <si>
    <t>p90 flag: min absolute gap (days)</t>
  </si>
  <si>
    <t>CHO - Affordable Housing</t>
  </si>
  <si>
    <t>CEO - Chief Housing Office</t>
  </si>
  <si>
    <t>p90 flag: min relative gap (vs own p90)</t>
  </si>
  <si>
    <t>AT - Property Tax Account Inquiry</t>
  </si>
  <si>
    <t>CPFS - Assessment and Tax</t>
  </si>
  <si>
    <t>Finance - Property Tax Account Inquiry</t>
  </si>
  <si>
    <t>Notes</t>
  </si>
  <si>
    <t>Finance - ONLINE TIPP Agreement Request</t>
  </si>
  <si>
    <t>Source: 311_Service_Requests_20261002.zip (City of Calgary Open Data), 1,936,033 rows, requested 2023-01-02 to 2026-10-01.</t>
  </si>
  <si>
    <t>Finance - TIPP Agreement Request</t>
  </si>
  <si>
    <t>As-of date for open-ticket age: 2026-10-02 (export date in file name).</t>
  </si>
  <si>
    <t>AT - Assessed Value</t>
  </si>
  <si>
    <t>Dates: requested_date = start, closed_date = end. All timestamps are date-only (12:00 AM), so durations are whole days; same-day close = 0.</t>
  </si>
  <si>
    <t>Finance - ONLINE Property Tax Document Request</t>
  </si>
  <si>
    <t>days_to_close basis: status = 'Closed' only, 0 to 1,095 days (3 x 365). 'Duplicate (Closed)' excluded.</t>
  </si>
  <si>
    <t>AT - Property Tax Bill and Statement Request</t>
  </si>
  <si>
    <t>Excluded from median/mean/p90_own: 64 Closed tickets over 3 years; 0 negative; 0 Closed with no close date.</t>
  </si>
  <si>
    <t>AT - ONLINE Property Tax Document Request</t>
  </si>
  <si>
    <t>open_now = status 'Open' (Duplicate (Open) not counted). open_now_gt60d = Open and requested more than 60 days before as-of date.</t>
  </si>
  <si>
    <t>AT - TIPP Agreement Request</t>
  </si>
  <si>
    <t>agency_responsible = most common agency for the service; ties go to the most recently used. Agency labels kept as-is (legacy labels not remapped).</t>
  </si>
  <si>
    <t>AT - ONLINE TIPP Information Request</t>
  </si>
  <si>
    <t>pct_of_agency_volume / cumulative_pct use total_tickets (all time), grouped by agency_responsible as shown, sorted by volume.</t>
  </si>
  <si>
    <t>AT - Property Tax Invoice and Charge Inquiry</t>
  </si>
  <si>
    <t>in_core_set = TRUE when the cumulative % BEFORE this row is below the cutoff (the type that crosses the cutoff is included).</t>
  </si>
  <si>
    <t>AT - Assessment General Inquiry</t>
  </si>
  <si>
    <t>p90_days_to_close = from analysis/service_catalog.csv (Closed tickets, no 3-year exclusion). p90_own = this file's basis. Linear interpolation.</t>
  </si>
  <si>
    <t>AT - ONLINE TIPP Agreement Request</t>
  </si>
  <si>
    <t>Columns A-L are values computed in Python from the raw zip; M-P are formulas.</t>
  </si>
  <si>
    <t>AT - Tax Account Maintenance</t>
  </si>
  <si>
    <t>AT - Property Tax Payment Adjustments and Tax Programs</t>
  </si>
  <si>
    <t>Finance - Tax Account Maintenance</t>
  </si>
  <si>
    <t>AT - BIA Tax Account Inquiry</t>
  </si>
  <si>
    <t>AT - (PTAP) Property Tax Assistance Program Inquiry</t>
  </si>
  <si>
    <t>AT - Assessment General Inquiry - After Hours and Overflow</t>
  </si>
  <si>
    <t>AT - Property Details</t>
  </si>
  <si>
    <t>Finance - BIA and Business Tax Inquiry</t>
  </si>
  <si>
    <t>AT - BTIPP Agreement Request</t>
  </si>
  <si>
    <t>ASMT - Assessment General Concern - After Hours and Overflow</t>
  </si>
  <si>
    <t>AT - School Support Notice Document Request</t>
  </si>
  <si>
    <t>AT - Assessment Property Details</t>
  </si>
  <si>
    <t>Finance - BTIPP Agreement Request</t>
  </si>
  <si>
    <t>Finance - School Support Notice Document Request</t>
  </si>
  <si>
    <t>Finance - Credit and Collection Inquiries</t>
  </si>
  <si>
    <t>CPFS - Finance</t>
  </si>
  <si>
    <t>Finance - ONLINE eBill Inquiry</t>
  </si>
  <si>
    <t>Finance - Corporate Billing and eBill Inquiry</t>
  </si>
  <si>
    <t>Finance - Accounts Payable</t>
  </si>
  <si>
    <t>Regulatory Affairs - General Inquiry</t>
  </si>
  <si>
    <t>Supply - General Inquiries</t>
  </si>
  <si>
    <t>CPFS - Supply Management</t>
  </si>
  <si>
    <t>AS - Animal Licence - Concerns on Existing</t>
  </si>
  <si>
    <t>CS - Calgary Community Standards</t>
  </si>
  <si>
    <t>AS - No Cost Spay or Neuter Program Inquiries</t>
  </si>
  <si>
    <t>AS - Livestock - Bird(s) in the City</t>
  </si>
  <si>
    <t>Compliance - BL - Employee Complaint  Compliment</t>
  </si>
  <si>
    <t>CEMA - Ready Calgary Inquiries</t>
  </si>
  <si>
    <t>CS - Calgary Emergency Management Agency</t>
  </si>
  <si>
    <t>CFD - Business Licence Inspection - FHB</t>
  </si>
  <si>
    <t>CS - Calgary Fire</t>
  </si>
  <si>
    <t>CFD - Fire Code and General Inquiries - FHB</t>
  </si>
  <si>
    <t>CFD - Provincial Licence Inspection - FHB</t>
  </si>
  <si>
    <t>CFD - Fire Station Tour</t>
  </si>
  <si>
    <t>CFD - Life Safety Systems Inspection - FHB</t>
  </si>
  <si>
    <t>CFD - Fire Code Hazard Complaint - FHB</t>
  </si>
  <si>
    <t>CFD - Incident Report Request</t>
  </si>
  <si>
    <t>CFD - Special Events Inspection - FHB</t>
  </si>
  <si>
    <t>CFD - Lockbox Inquiry - FHB</t>
  </si>
  <si>
    <t>CFD - Land Search - Property Search</t>
  </si>
  <si>
    <t>CFD - Fire Safety Plan Review - FHB</t>
  </si>
  <si>
    <t>CFD - Fire Truck Booking</t>
  </si>
  <si>
    <t>CFD - Mobile Food Concession Inspection - FHB</t>
  </si>
  <si>
    <t>CFD - Fireworks Pyro Open Flame Blasting Inspection - FHB</t>
  </si>
  <si>
    <t>CFD - Occupant Load Inspection - FHB</t>
  </si>
  <si>
    <t>CFD - Lockbox Programming or Billing Concern</t>
  </si>
  <si>
    <t>CFD - Smoke Alarm Inquiries &amp; Asst. for Seniors/Disabled</t>
  </si>
  <si>
    <t>CFD - Fire Drill - Warden Lecture - FHB</t>
  </si>
  <si>
    <t>CFD - Safe Housing - FHB</t>
  </si>
  <si>
    <t>CFD - Fire Safety Presentation</t>
  </si>
  <si>
    <t>CFD - Request to attend a Fire Drill - FHB</t>
  </si>
  <si>
    <t>CFD - Community Safety Inquiries</t>
  </si>
  <si>
    <t>CFD - Smoke Alarm Inquiries - Asst. for Seniors/Disabled</t>
  </si>
  <si>
    <t>CFD - SCHOOL Fire Drill with Local Fire Station - ONLINE</t>
  </si>
  <si>
    <t>CFD - Tank Inspection - FHB</t>
  </si>
  <si>
    <t>CFD - Building in Progress Inspection - FHB</t>
  </si>
  <si>
    <t>CFD - Invoice Inquiry</t>
  </si>
  <si>
    <t>CFD - Missed Annual Inspection - FHB</t>
  </si>
  <si>
    <t>CFD - Compliments / Thank You / Recognition</t>
  </si>
  <si>
    <t>CFD - Technical Services Review - FHB</t>
  </si>
  <si>
    <t>CFD - Hazmat Inquiries</t>
  </si>
  <si>
    <t>CFD - Public Affairs Inquiries</t>
  </si>
  <si>
    <t>CFD - 100th Birthday Surprise</t>
  </si>
  <si>
    <t>CFD - Provincial Accreditation or Licence Inspection - FHB</t>
  </si>
  <si>
    <t>CFD - Pre-Purchase Insurance Inspection- FHB</t>
  </si>
  <si>
    <t>CFD - Occupancy Inspection - FHB</t>
  </si>
  <si>
    <t>CN - Subsidized Programs - Fair Entry</t>
  </si>
  <si>
    <t>CS - Calgary Neighbourhoods</t>
  </si>
  <si>
    <t>CN - Registered Social Worker Letter</t>
  </si>
  <si>
    <t>CN - Senior Services Home Maintenance Inquiry</t>
  </si>
  <si>
    <t>CN - Snow Angels Campaign</t>
  </si>
  <si>
    <t>CN - Volunteer Request - Summer</t>
  </si>
  <si>
    <t>CN - Property Tax Assistance Program (PTAP)</t>
  </si>
  <si>
    <t>CN - Employee Complaint - Compliment</t>
  </si>
  <si>
    <t>CN - Calgary After School Program Inquiry</t>
  </si>
  <si>
    <t>CN - Neighbourhood Services Programs</t>
  </si>
  <si>
    <t>Recreation - Athletic Park Application</t>
  </si>
  <si>
    <t>CS - Calgary Recreation</t>
  </si>
  <si>
    <t>REC - Pool - Canyon Meadows</t>
  </si>
  <si>
    <t>REC - Arena Inquiry</t>
  </si>
  <si>
    <t>Recreation - Athletic Park Special Event and Tournament Appl</t>
  </si>
  <si>
    <t>Recreation - Playfield (D &amp; E) Community Fields Application</t>
  </si>
  <si>
    <t>Recreation - Field Tournament Application</t>
  </si>
  <si>
    <t>REC - Southland Leisure Centre Inquiry</t>
  </si>
  <si>
    <t>REC - Pool - Administration Inquiry</t>
  </si>
  <si>
    <t>REC - Pool - Sir Winston Churchill</t>
  </si>
  <si>
    <t>REC - Pool - Thornhill</t>
  </si>
  <si>
    <t>REC - Pool - Renfrew</t>
  </si>
  <si>
    <t>REC - Pool - Killarney</t>
  </si>
  <si>
    <t>REC - Athletic Park Inquiry</t>
  </si>
  <si>
    <t>REC - Pool - Acadia</t>
  </si>
  <si>
    <t>REC - Pool - Glenmore</t>
  </si>
  <si>
    <t>REC - Program Registration Inquiry</t>
  </si>
  <si>
    <t>REC - Pool - Bob Bahan</t>
  </si>
  <si>
    <t>REC - Pool - Foothills</t>
  </si>
  <si>
    <t>Recreation - Volunteer Request</t>
  </si>
  <si>
    <t>REC - Booking Inquiry</t>
  </si>
  <si>
    <t>REC - Village Square Leisure Centre Inquiry</t>
  </si>
  <si>
    <t>REC - Pool - Shouldice</t>
  </si>
  <si>
    <t>REC - Pool - Inglewood</t>
  </si>
  <si>
    <t>REC - Calgary Soccer Centre Inquiry</t>
  </si>
  <si>
    <t>REC - Golf Course Inquiry</t>
  </si>
  <si>
    <t>Recreation - Calgary After School Program Inquiries</t>
  </si>
  <si>
    <t>Comm Strategies - General Concerns</t>
  </si>
  <si>
    <t>CS - Community Strategies</t>
  </si>
  <si>
    <t>CN - General Concerns</t>
  </si>
  <si>
    <t>CS - General Concerns</t>
  </si>
  <si>
    <t>Comm Strategies - Disability/Accessibility - Meeting &amp; Event</t>
  </si>
  <si>
    <t>CS - Disability/Accessibility - Meeting and Event Support</t>
  </si>
  <si>
    <t>CN - Disability/Accessibility - Meeting and Event Support</t>
  </si>
  <si>
    <t>CS - Employee Complaint - Compliment</t>
  </si>
  <si>
    <t>Comm Strategies - Disability/Accessibility - Meeting &amp; Eve</t>
  </si>
  <si>
    <t>Comm Strategies - Employee Complaint - Compliment</t>
  </si>
  <si>
    <t>Bylaw - Snow and Ice on Sidewalk</t>
  </si>
  <si>
    <t>CS - Emergency Management and Community Safety</t>
  </si>
  <si>
    <t>Corporate - Graffiti Concerns</t>
  </si>
  <si>
    <t>Bylaw - Long Grass - Weeds Infraction</t>
  </si>
  <si>
    <t>Bylaw - Material on Public Property</t>
  </si>
  <si>
    <t>Corporate - Encampment Concerns</t>
  </si>
  <si>
    <t>Bylaw - Noise Concerns</t>
  </si>
  <si>
    <t>Bylaw - Disturbance and Behavioural Concerns</t>
  </si>
  <si>
    <t>AS - Pick Up Stray</t>
  </si>
  <si>
    <t>Bylaw - Tree - Shrub Infraction</t>
  </si>
  <si>
    <t>AS - Animal at Large</t>
  </si>
  <si>
    <t>Bylaw - Waste and Recycling Infractions</t>
  </si>
  <si>
    <t>Bylaw - Water Misuse / Wasting Concern</t>
  </si>
  <si>
    <t>AS - Animal Noise</t>
  </si>
  <si>
    <t>Bylaw - Vehicle Concerns</t>
  </si>
  <si>
    <t>Bylaw - Property Maintenance Concerns</t>
  </si>
  <si>
    <t>Community Safety - Information Request</t>
  </si>
  <si>
    <t>ACPL - Animal Licence - Inquiries</t>
  </si>
  <si>
    <t>ACPL - Lost and Found Animal</t>
  </si>
  <si>
    <t>Business Safety - Business Licence Concern - RMS</t>
  </si>
  <si>
    <t>Bylaw - Temporary Signs Infraction on City Property</t>
  </si>
  <si>
    <t>Bylaw - Permit - Noise Exemption</t>
  </si>
  <si>
    <t>Compliance - Business Licence Concern</t>
  </si>
  <si>
    <t>Business Safety - Business Licence Concern</t>
  </si>
  <si>
    <t>Evacuated Residents Registration Form</t>
  </si>
  <si>
    <t>AS - Animal Bite</t>
  </si>
  <si>
    <t>AS - Animal Chase - Threat</t>
  </si>
  <si>
    <t>AS - Dog Defecation</t>
  </si>
  <si>
    <t>AS - Animal Damaging Pet or Property</t>
  </si>
  <si>
    <t>VFH - Taxi/Limousine/TNC (Ride Sharing) Concern - RMS</t>
  </si>
  <si>
    <t>Compliance - Taxi/Limousine/TNC (Ride Sharing) Concern</t>
  </si>
  <si>
    <t>VFH - Taxi/Limousine/TNC (Ride Sharing) Concern</t>
  </si>
  <si>
    <t>Animal / Bylaw - Information Request</t>
  </si>
  <si>
    <t>Bylaw - Spills Concerns</t>
  </si>
  <si>
    <t>AS - Lost and Found Animal</t>
  </si>
  <si>
    <t>Bylaw - Vandalism and Property Damage Concerns</t>
  </si>
  <si>
    <t>ACPL - No Cost Spay or Neuter Program Inquiries</t>
  </si>
  <si>
    <t>AS - Urban Livestock Licenses and Permits</t>
  </si>
  <si>
    <t>AS - Animal Public Relations</t>
  </si>
  <si>
    <t>Bylaw - Invoice Appeal</t>
  </si>
  <si>
    <t>AS - Animal Licence - Inquiries</t>
  </si>
  <si>
    <t>Bylaw - Water Services Request</t>
  </si>
  <si>
    <t>Community Safety - Employee Complaint - Compliment</t>
  </si>
  <si>
    <t>AS - Livestock and Bird(s) in the City</t>
  </si>
  <si>
    <t>Bylaw - Advocacy Sign Concerns</t>
  </si>
  <si>
    <t>ZZZ Business Safety - Business Licence Concern</t>
  </si>
  <si>
    <t>AS - Human Injury</t>
  </si>
  <si>
    <t>AS - Animal Injured</t>
  </si>
  <si>
    <t>AS - Animal Tethered -Tied</t>
  </si>
  <si>
    <t>ZZZ VFH - Taxi/Limousine/TNC (Ride Sharing) Concern</t>
  </si>
  <si>
    <t>AS - Rat Sighting</t>
  </si>
  <si>
    <t>AS - Animal Park - Pathway Concerns</t>
  </si>
  <si>
    <t>ACPL - Bite Prevention Program Application</t>
  </si>
  <si>
    <t>AS - Animal Services Assistance Required</t>
  </si>
  <si>
    <t>AS - No Control Dog in Off Leash Area</t>
  </si>
  <si>
    <t>AS - Unlicensed Animal</t>
  </si>
  <si>
    <t>Community Safety - Publications Request</t>
  </si>
  <si>
    <t>CEMA - Non Emergency Request</t>
  </si>
  <si>
    <t>Bylaw - Public Relations</t>
  </si>
  <si>
    <t>Animal / Bylaw - Employee Complaint - Compliment</t>
  </si>
  <si>
    <t>Bylaw - Cannabis Concerns</t>
  </si>
  <si>
    <t>AS - Excess Pet Concern</t>
  </si>
  <si>
    <t>AS - Animal Vehicle Offences</t>
  </si>
  <si>
    <t>AS - Honeybee Swarm or Beekeeping Inquiry</t>
  </si>
  <si>
    <t>ACPL - Magpie Trap Information Request</t>
  </si>
  <si>
    <t>VFH - Taxi/Limousine/TNC (Ride Sharing) Compliment - RMS</t>
  </si>
  <si>
    <t>AS - Animal Interference</t>
  </si>
  <si>
    <t>Animal / Bylaw - Publications Request</t>
  </si>
  <si>
    <t>AS - Professional Dogwalker Permit</t>
  </si>
  <si>
    <t>AS - Excess Pet Permit</t>
  </si>
  <si>
    <t>AS - Magpie Trap Information Request</t>
  </si>
  <si>
    <t>AS - Bee Concern or Inquiry</t>
  </si>
  <si>
    <t>Compliance - Taxi or Limousine Compliment</t>
  </si>
  <si>
    <t>Bylaw - Prohibited Business</t>
  </si>
  <si>
    <t>VFH - Taxi or Limousine Compliment - RMS</t>
  </si>
  <si>
    <t>ACPL - Wise Whiskers  Think Like a Scientist Class Kit</t>
  </si>
  <si>
    <t>VFH - Taxi or Limousine Compliment</t>
  </si>
  <si>
    <t>ZZZ VFH - Taxi or Limousine Compliment</t>
  </si>
  <si>
    <t>Business Safety - Employee Complaint -  Compliment</t>
  </si>
  <si>
    <t>Compliance - LTS - Employee Complaint - Compliment</t>
  </si>
  <si>
    <t>Bylaw - Beyond the Badge Program Request</t>
  </si>
  <si>
    <t>Community Clean Up Event - Application</t>
  </si>
  <si>
    <t>VFH - Employee Complaint - Compliment</t>
  </si>
  <si>
    <t>Partnerships - Community Association Inquiries</t>
  </si>
  <si>
    <t>CS - Partnerships</t>
  </si>
  <si>
    <t>BIA Requests</t>
  </si>
  <si>
    <t>Partnerships - Festival, Events and Cultural Development</t>
  </si>
  <si>
    <t>Partnerships - Arts and Culture</t>
  </si>
  <si>
    <t>Partnerships - Sport and Facility Development</t>
  </si>
  <si>
    <t>Partnerships - Public Art</t>
  </si>
  <si>
    <t>Partnerships - Housing Solutions</t>
  </si>
  <si>
    <t>Partnerships - Employee Complaint - Compliment</t>
  </si>
  <si>
    <t>RSP - Subsidized Programs - Fair Entry</t>
  </si>
  <si>
    <t>CS - Recreation and Social Programs</t>
  </si>
  <si>
    <t>Recreation - School Facility Booking Application</t>
  </si>
  <si>
    <t>Recreation - Arena Booking Application</t>
  </si>
  <si>
    <t>Recreation - Athletic Park Booking Application</t>
  </si>
  <si>
    <t>RSP - Registered Social Worker Letter</t>
  </si>
  <si>
    <t>Recreation - Playfield Booking Application</t>
  </si>
  <si>
    <t>Active Living Program Application</t>
  </si>
  <si>
    <t>Recreation - Pool Booking Application</t>
  </si>
  <si>
    <t>RSP - Senior Services Home Maintenance Inquiry</t>
  </si>
  <si>
    <t>Recreation - Boat Stall Application</t>
  </si>
  <si>
    <t>Recreation - Tennis / Pickleball Court Application</t>
  </si>
  <si>
    <t>RSP - Home Services for Seniors Inquiry</t>
  </si>
  <si>
    <t>RSP - Arena Inquiry</t>
  </si>
  <si>
    <t>Recreation - Arena Meeting Room Application</t>
  </si>
  <si>
    <t>RSP - Volunteer Request</t>
  </si>
  <si>
    <t>RSP - Athletic Park Inquiry</t>
  </si>
  <si>
    <t>Recreation - LC - Gym/Room/Courts Booking Application</t>
  </si>
  <si>
    <t>RSP - Property Tax Assistance Program (PTAP)</t>
  </si>
  <si>
    <t>RSP - Pool - Killarney</t>
  </si>
  <si>
    <t>RSP - Southland Leisure Centre Inquiry</t>
  </si>
  <si>
    <t>RSP - Pool - Renfrew</t>
  </si>
  <si>
    <t>RSP - Pool - Canyon Meadows</t>
  </si>
  <si>
    <t>RSP - Pool - Thornhill</t>
  </si>
  <si>
    <t>Recreation - Employee Complaint - Compliment</t>
  </si>
  <si>
    <t>Recreation - Arena Tournament and Special Event Application</t>
  </si>
  <si>
    <t>RSP - Pool - Sir Winston Churchill</t>
  </si>
  <si>
    <t>RSP - Pool - Bob Bahan</t>
  </si>
  <si>
    <t>RSP - Booking Inquiry</t>
  </si>
  <si>
    <t>RSP - Program Registration Inquiry</t>
  </si>
  <si>
    <t>RSP - Pool - Glenmore</t>
  </si>
  <si>
    <t>RSP - Pool - Administration Inquiry</t>
  </si>
  <si>
    <t>RSP - Pool - Inglewood</t>
  </si>
  <si>
    <t>RSP - Snow Angels Campaign</t>
  </si>
  <si>
    <t>RSP - Village Square Leisure Centre Inquiry</t>
  </si>
  <si>
    <t>RSP - Calgary AfterSchool Program Inquires</t>
  </si>
  <si>
    <t>RSP - Pool - Foothills</t>
  </si>
  <si>
    <t>RSP - Pool - Shouldice</t>
  </si>
  <si>
    <t>RSP - Pool - Acadia</t>
  </si>
  <si>
    <t>Recreation - School Connections Booking Application</t>
  </si>
  <si>
    <t>RSP - Sport Hub Inquiry</t>
  </si>
  <si>
    <t>RSP - Calgary Soccer Centre Inquiry</t>
  </si>
  <si>
    <t>Recreation - Sailing School Application</t>
  </si>
  <si>
    <t>RSP - Glenmore Reservoir - Boat Rentals</t>
  </si>
  <si>
    <t>LEAD Program Inquiry</t>
  </si>
  <si>
    <t>Recreation - Arena Tournament and Special Event Applicatio</t>
  </si>
  <si>
    <t>RSP - Mobile Adventure Playground</t>
  </si>
  <si>
    <t>RSP - Glenmore Sailing School Inquiry</t>
  </si>
  <si>
    <t>RSP - Glenmore Reservoir - Boat Dock/Storage Repair</t>
  </si>
  <si>
    <t>RSP - Free Summer Programs</t>
  </si>
  <si>
    <t>RSP - Senior Services Home Maintenance - Bylaw Concern</t>
  </si>
  <si>
    <t>RSP - Home Services for Seniors - Bylaw Concern</t>
  </si>
  <si>
    <t>Opinions on Business Units</t>
  </si>
  <si>
    <t>Corporate Wide Service Requests</t>
  </si>
  <si>
    <t>CAI - Employee Complaint - Compliment</t>
  </si>
  <si>
    <t>DCMO - Corporate Analytics and Innovation</t>
  </si>
  <si>
    <t>Fleet - Inquiry</t>
  </si>
  <si>
    <t>DCMO - Fleet Services</t>
  </si>
  <si>
    <t>Mayor's Office - General Concerns</t>
  </si>
  <si>
    <t>Elected Officials</t>
  </si>
  <si>
    <t>Mayors Office - General Concerns</t>
  </si>
  <si>
    <t>Mayor's Office - Meeting Request</t>
  </si>
  <si>
    <t>Mayors Office - Meeting Request</t>
  </si>
  <si>
    <t>Mayor's Office - Neighbour Day Event Invite</t>
  </si>
  <si>
    <t>Mayors Office - Neighbour Day Event Invite</t>
  </si>
  <si>
    <t>Mayor's Office - Birthday or Anniversary Request</t>
  </si>
  <si>
    <t>Mayors Office - Birthday or Anniversary Request</t>
  </si>
  <si>
    <t>Mayors Office - Event Invitation</t>
  </si>
  <si>
    <t>Mayor's Office - Event Invitation</t>
  </si>
  <si>
    <t>Mayor's Office - Proclamation or Recognition Letter Request</t>
  </si>
  <si>
    <t>Mayors Office - Proclamation or Recognition Letter Request</t>
  </si>
  <si>
    <t>Mayor's Office - Greeting Message Request</t>
  </si>
  <si>
    <t>Mayors Office - Greeting Message Request</t>
  </si>
  <si>
    <t>CPBS - Bridge - Tunnel - Underpass Concern</t>
  </si>
  <si>
    <t>IS - Capital Planning and Business Services</t>
  </si>
  <si>
    <t>CPBS - Addressing Inquiry</t>
  </si>
  <si>
    <t>CPBS - Plus 15 Skywalk</t>
  </si>
  <si>
    <t>CPBS - Wooden Stairs - Repairs</t>
  </si>
  <si>
    <t>CPBS - Water and Sewer Main Condition Inquiries</t>
  </si>
  <si>
    <t>TP - Future Road Planning and Upgrades</t>
  </si>
  <si>
    <t>IS - Capital Priorities and Investments</t>
  </si>
  <si>
    <t>TP - Noise Barrier Wall</t>
  </si>
  <si>
    <t>TP - Neighbourhood Streets Projects</t>
  </si>
  <si>
    <t>TP - Transportation Data</t>
  </si>
  <si>
    <t>TP - Employee Complaint - Compliment</t>
  </si>
  <si>
    <t>CPI - Employee Complaint - Compliment</t>
  </si>
  <si>
    <t>PD - Noise Barrier Wall</t>
  </si>
  <si>
    <t>IS - Project Development</t>
  </si>
  <si>
    <t>PD - Future Road Planning and Upgrades</t>
  </si>
  <si>
    <t>PD - Neighbourhood Streets Projects</t>
  </si>
  <si>
    <t>Project Development - Employee Complaint - Compliment</t>
  </si>
  <si>
    <t>PSD - Local Improvement Inquiry</t>
  </si>
  <si>
    <t>IS - Public Spaces Delivery</t>
  </si>
  <si>
    <t>PSD - Driveway Crossings - Curb Lowering</t>
  </si>
  <si>
    <t>PSD - Backlane Paving Construction</t>
  </si>
  <si>
    <t>PSD - Transportation Special Projects</t>
  </si>
  <si>
    <t>TI - Special Projects Inquiry</t>
  </si>
  <si>
    <t>PSD - Annual Paving Program - Major Roads</t>
  </si>
  <si>
    <t>TI - Major Road Projects Inquiry</t>
  </si>
  <si>
    <t>PSD - Major Road Projects Inquiry</t>
  </si>
  <si>
    <t>PSD - Parks and Open Spaces</t>
  </si>
  <si>
    <t>PSD - Various Street Improvements - Current Projects</t>
  </si>
  <si>
    <t>PSD - Special Projects Inquiry</t>
  </si>
  <si>
    <t>TI - Bridges and Structures Inquiry</t>
  </si>
  <si>
    <t>PSD - Bridges and Structures Inquiry</t>
  </si>
  <si>
    <t>PSD - Buildings - Architecture</t>
  </si>
  <si>
    <t>PSD - Urban Initiatives General Inquiries</t>
  </si>
  <si>
    <t>PSD - Major Transit Projects Inquiry</t>
  </si>
  <si>
    <t>PSD - Downtown Major Projects</t>
  </si>
  <si>
    <t>PSD - Geotechnical Inquiry</t>
  </si>
  <si>
    <t>TI - Major Transit Projects Inquiry</t>
  </si>
  <si>
    <t>PSD - Events Centre - Scotia Place</t>
  </si>
  <si>
    <t>PSD - Eau Claire Area Improvements</t>
  </si>
  <si>
    <t>PSD - Hillside Stability</t>
  </si>
  <si>
    <t>TI - Connections to South West Ring Road</t>
  </si>
  <si>
    <t>TI - Employee Complaint - Compliment</t>
  </si>
  <si>
    <t>PSD - Employee Complaint - Compliment</t>
  </si>
  <si>
    <t>Eau Claire Area Improvements</t>
  </si>
  <si>
    <t>PSD - Major Mobility - Paving Program</t>
  </si>
  <si>
    <t>Stewardship of City Owned Land</t>
  </si>
  <si>
    <t>IS - Real Estate and Development Services</t>
  </si>
  <si>
    <t>REDS - Property Leasing and Sales Inquiry</t>
  </si>
  <si>
    <t>REDS - Encroachment Agreements on City Land</t>
  </si>
  <si>
    <t>REDS - Development Project Inquiry</t>
  </si>
  <si>
    <t>REDS - Acquisitions and Expropriations</t>
  </si>
  <si>
    <t>UD - Major Projects Inquiry</t>
  </si>
  <si>
    <t>IS - Utilities Delivery</t>
  </si>
  <si>
    <t>WATR - Major Projects Inquiry</t>
  </si>
  <si>
    <t>UD - Corrosion - Digging Close to Critical Main</t>
  </si>
  <si>
    <t>UD - Utility Inspection - Corrosion - Indemnification</t>
  </si>
  <si>
    <t>CAO - Chief Administrator's Office Inquiry</t>
  </si>
  <si>
    <t>LLSS - Chief Administrators Office</t>
  </si>
  <si>
    <t>City Clerks - Municipal Election Question</t>
  </si>
  <si>
    <t>LLSS - City Clerk's Office</t>
  </si>
  <si>
    <t>City Clerk's - General Concerns</t>
  </si>
  <si>
    <t>City Clerk's - Municipal Election Question</t>
  </si>
  <si>
    <t>City Clerks - General Concerns</t>
  </si>
  <si>
    <t>City Clerk's - Municipal Complex Tour</t>
  </si>
  <si>
    <t>City Clerks - Self-Guided Municipal Complex Tour</t>
  </si>
  <si>
    <t>City Clerk's - Census Inquiry</t>
  </si>
  <si>
    <t>CMO - City Manager's Office - General Concerns</t>
  </si>
  <si>
    <t>LLSS - City Manager's Office</t>
  </si>
  <si>
    <t>Law - Risk Management and Claims</t>
  </si>
  <si>
    <t>LLSS - Law</t>
  </si>
  <si>
    <t>Law - Insurance and Claims</t>
  </si>
  <si>
    <t>Law - General Concern - After Hours</t>
  </si>
  <si>
    <t>CT - Lost Property</t>
  </si>
  <si>
    <t>OS - Calgary Transit</t>
  </si>
  <si>
    <t>CT - Bus Route or Bus Schedule</t>
  </si>
  <si>
    <t>CT - Bus Stops</t>
  </si>
  <si>
    <t>CT - Transit Pass Programs</t>
  </si>
  <si>
    <t>CT AC - Trip Feedback - CTA</t>
  </si>
  <si>
    <t>After Hours Transit - General Concerns</t>
  </si>
  <si>
    <t>CT - CTrain Stations</t>
  </si>
  <si>
    <t>CT - Transit Safety / Public Etiquette</t>
  </si>
  <si>
    <t>CT - Advertising and Communications</t>
  </si>
  <si>
    <t>CT AC - Activity Report - CTA INTERNAL</t>
  </si>
  <si>
    <t>CT - Snow and Ice Control</t>
  </si>
  <si>
    <t>CT - Bus or CTrain Vehicle Maintenance</t>
  </si>
  <si>
    <t>CT - CTrain Schedule</t>
  </si>
  <si>
    <t>CT - Park and Ride Lot - LRT or Bus</t>
  </si>
  <si>
    <t>CT - Fair Entry Inquiry</t>
  </si>
  <si>
    <t>CT - Projects</t>
  </si>
  <si>
    <t>CT - Shared E-Scooter</t>
  </si>
  <si>
    <t>CT - Bikes on Transit</t>
  </si>
  <si>
    <t>CT AC - Fair Entry Inquiry</t>
  </si>
  <si>
    <t>CT AC - Activity Report INTERNAL</t>
  </si>
  <si>
    <t>CT - Shared E-Bike</t>
  </si>
  <si>
    <t>Facility Mgmt - FMCCC - Customer Care Centre</t>
  </si>
  <si>
    <t>OS - Facility Management</t>
  </si>
  <si>
    <t>Public - Municipal Complex - Atrium or Plaza Use Request</t>
  </si>
  <si>
    <t>Facility Mgmt - Facility - Public Use Booking</t>
  </si>
  <si>
    <t>Fleet and Inventory - Inquiry</t>
  </si>
  <si>
    <t>OS - Fleet and Inventory</t>
  </si>
  <si>
    <t>Fleet - Employee Complaint - Compliment</t>
  </si>
  <si>
    <t>Roads - Pothole Maintenance</t>
  </si>
  <si>
    <t>OS - Mobility</t>
  </si>
  <si>
    <t>Roads - Snow and Ice Control</t>
  </si>
  <si>
    <t>Roads - Debris on Street/Sidewalk/Boulevard</t>
  </si>
  <si>
    <t>Roads - Signs - Missing - Damaged</t>
  </si>
  <si>
    <t>Roads - Streetlight Maintenance</t>
  </si>
  <si>
    <t>Roads - Backlane Maintenance</t>
  </si>
  <si>
    <t>Roads - Dead Animal Pick-Up</t>
  </si>
  <si>
    <t>Roads - Sidewalk - Curb and Gutter Repair</t>
  </si>
  <si>
    <t>Roads - Roadway Maintenance</t>
  </si>
  <si>
    <t>Roads - Traffic or Pedestrian Light Repair</t>
  </si>
  <si>
    <t>Roads - Signs - Traffic and Roadmarking</t>
  </si>
  <si>
    <t>Roads - Signs - Parking</t>
  </si>
  <si>
    <t>Roads - Traffic Signal Timing Inquiry</t>
  </si>
  <si>
    <t>Roads - Temporary Sign Removal</t>
  </si>
  <si>
    <t>Roads - Detour Inquiry</t>
  </si>
  <si>
    <t>Roads - Pathway Concerns</t>
  </si>
  <si>
    <t>Roads - Detour Urgent (Safety) Concerns</t>
  </si>
  <si>
    <t>Roads - Street Cleaning Annual Program</t>
  </si>
  <si>
    <t>Roads - Safety and Education</t>
  </si>
  <si>
    <t>Roads - Pathway Snow and Ice Concerns</t>
  </si>
  <si>
    <t>Roads - Fence - Noise Barrier - Retaining Wall Repair</t>
  </si>
  <si>
    <t>Roads - NEW Signal, Left Turn or Pedestrian Light Request</t>
  </si>
  <si>
    <t>Roads - Permits - Requests and Inquiries</t>
  </si>
  <si>
    <t>Roads - Streetlight Damage</t>
  </si>
  <si>
    <t>Roads - Streetlight - General Inquiry</t>
  </si>
  <si>
    <t>Roads - Traffic Operational Improvement Suggestions</t>
  </si>
  <si>
    <t>Roads - Street Paving Program</t>
  </si>
  <si>
    <t>Roads - NEW Sidewalk - Curb and Gutter Repair</t>
  </si>
  <si>
    <t>Roads - Employee Complaint - Compliment</t>
  </si>
  <si>
    <t>Roads - Pavement Markings - Missing or Faded</t>
  </si>
  <si>
    <t>Roads - Repaving Candidate Street and Inquiries</t>
  </si>
  <si>
    <t>Roads - Boulevard Maintenance</t>
  </si>
  <si>
    <t>Roads - Traffic Signal Lane Designation Sign</t>
  </si>
  <si>
    <t>Roads - New Signal, Left Turn or Pedestrian Light Request</t>
  </si>
  <si>
    <t>Roads - E-Scooter</t>
  </si>
  <si>
    <t>Roads - Feedback - Community Traffic Safety Projects</t>
  </si>
  <si>
    <t>Roads - Bridge - Tunnel - Underpass Concern</t>
  </si>
  <si>
    <t>Roads - Traffic Signal Construction Inquiry</t>
  </si>
  <si>
    <t>Roads - Local Improvement Inquiry</t>
  </si>
  <si>
    <t>Roads - Curb Lowering for Existing Driveways</t>
  </si>
  <si>
    <t>Roads - Sidewalk Installation and Accessibility</t>
  </si>
  <si>
    <t>Roads - Traffic Signal Operation Report - Intersection Plan</t>
  </si>
  <si>
    <t>Roads - Wheelchair Slope - Request For</t>
  </si>
  <si>
    <t>Roads - BIA Maintenance</t>
  </si>
  <si>
    <t>Roads - Traffic Control Change Feedback</t>
  </si>
  <si>
    <t>Roads - Traffic Operational Improvement Inquiry</t>
  </si>
  <si>
    <t>Roads - Indemnification Agreement - Request For</t>
  </si>
  <si>
    <t>Roads - Minor Projects Construction</t>
  </si>
  <si>
    <t>Roads - Plus 15 Skywalk</t>
  </si>
  <si>
    <t>Roads - Utility Placement Inquiry</t>
  </si>
  <si>
    <t>Roads - New Subdivisions</t>
  </si>
  <si>
    <t>Roads - Backlane Paving Construction</t>
  </si>
  <si>
    <t>CPA - Employee Complaint - Compliment</t>
  </si>
  <si>
    <t>Roads - Shared E-Bike</t>
  </si>
  <si>
    <t>Roads - New Audible/Accessible Pedestrian Signal</t>
  </si>
  <si>
    <t>Roads - Traffic Camera and ATIS Inquiries</t>
  </si>
  <si>
    <t>Roads - Bike Rack Request - NEW</t>
  </si>
  <si>
    <t>Roads - Stairs - Damage</t>
  </si>
  <si>
    <t>Roads - Boulevard Garden and Landscaping Request</t>
  </si>
  <si>
    <t>Roads - Traffic Signal Operation Report - Intersection Pla</t>
  </si>
  <si>
    <t>Roads - Traffic Vibration Concerns</t>
  </si>
  <si>
    <t>Roads - Transportation Data</t>
  </si>
  <si>
    <t>Roads - Adaptive Roadways and Seasonal Patio Programs</t>
  </si>
  <si>
    <t>Roads - Load Ban and Overweight Vehicle on Road Inquiry</t>
  </si>
  <si>
    <t>Roads - Shared and Rental E-Scooter Program</t>
  </si>
  <si>
    <t>Roads - 5G Wireless Infrastructure Deployment Inquiry</t>
  </si>
  <si>
    <t>Roads - Shared and Rental E-Bike Program</t>
  </si>
  <si>
    <t>Roads - Agricultural Crossing Request</t>
  </si>
  <si>
    <t>Roads - Hillside Stability</t>
  </si>
  <si>
    <t>Roads - Shared E-Scooter</t>
  </si>
  <si>
    <t>Filming and Movie and Drone Activities</t>
  </si>
  <si>
    <t>OS - Operational Excellence</t>
  </si>
  <si>
    <t>Parks - Tree Concern - GIS</t>
  </si>
  <si>
    <t>OS - Parks and Open Spaces</t>
  </si>
  <si>
    <t>Parks - Tree Concern - WAM</t>
  </si>
  <si>
    <t>Parks - Garbage - GIS</t>
  </si>
  <si>
    <t>Parks - Wildlife Sightings</t>
  </si>
  <si>
    <t>Parks - Wildlife Management</t>
  </si>
  <si>
    <t>Parks - Mowing Request - GIS</t>
  </si>
  <si>
    <t>Parks - Infrastructure - GIS</t>
  </si>
  <si>
    <t>Parks - Maintenance - GIS</t>
  </si>
  <si>
    <t>Parks - Snow and Ice Concerns - WAM</t>
  </si>
  <si>
    <t>Parks - Venue Bookings and Inquiries</t>
  </si>
  <si>
    <t>Parks - Garbage - WAM</t>
  </si>
  <si>
    <t>Parks - Parks and Open Spaces Bookings</t>
  </si>
  <si>
    <t>Parks - Roadside Greens - GIS</t>
  </si>
  <si>
    <t>Parks - Infrastructure - WAM</t>
  </si>
  <si>
    <t>Parks - Maintenance - WAM</t>
  </si>
  <si>
    <t>Parks - Irrigation Maintenance - GIS</t>
  </si>
  <si>
    <t>Parks - Natural Area Maintenance - GIS</t>
  </si>
  <si>
    <t>Parks - Weed Control Issues - GIS</t>
  </si>
  <si>
    <t>Parks - Pathway Concern - WAM</t>
  </si>
  <si>
    <t>Parks - Mowing Request - WAM</t>
  </si>
  <si>
    <t>Parks - General Concerns</t>
  </si>
  <si>
    <t>Parks - Tree Planting and Tree Watering Inquiries - GIS</t>
  </si>
  <si>
    <t>Parks - Snow and Ice Concerns - GIS</t>
  </si>
  <si>
    <t>Parks - Pest Concerns - GIS</t>
  </si>
  <si>
    <t>Parks - Planning Inquiries</t>
  </si>
  <si>
    <t>Parks - Development - Tree Concern - GIS</t>
  </si>
  <si>
    <t>Parks - Irrigation Maintenance - WAM</t>
  </si>
  <si>
    <t>Parks - PlayBins</t>
  </si>
  <si>
    <t>Parks PlayBins</t>
  </si>
  <si>
    <t>Parks - Employee Complaint - Compliment</t>
  </si>
  <si>
    <t>Parks - Natural Area Inquiries - GIS</t>
  </si>
  <si>
    <t>Parks - Golf Course Inquiry</t>
  </si>
  <si>
    <t>Parks - Weed Control Issues - WAM</t>
  </si>
  <si>
    <t>Parks - Lighting Concern - GIS</t>
  </si>
  <si>
    <t>Parks - Branching Out Tree Program</t>
  </si>
  <si>
    <t>Parks - Lost and Found - GIS</t>
  </si>
  <si>
    <t>Parks - Natural Area Maintenance - WAM</t>
  </si>
  <si>
    <t>Parks - School Program Registration</t>
  </si>
  <si>
    <t>Parks - Pest Concerns - WAM</t>
  </si>
  <si>
    <t>Parks - Volunteer Request</t>
  </si>
  <si>
    <t>Parks - Community Inquiry</t>
  </si>
  <si>
    <t>Parks - Tree Education Programs</t>
  </si>
  <si>
    <t>Parks - Pest Management</t>
  </si>
  <si>
    <t>Parks - Lighting Concern - WAM</t>
  </si>
  <si>
    <t>Parks - Pathway Concern - GIS</t>
  </si>
  <si>
    <t>Parks - Development - Tree Concern - WAM</t>
  </si>
  <si>
    <t>Parks - Irrigation Line Location Request - GIS</t>
  </si>
  <si>
    <t>Parks - Lost and Found - WAM</t>
  </si>
  <si>
    <t>Parks - Natural Area Inquiries - WAM</t>
  </si>
  <si>
    <t>Parks - Playfield Usage Concerns</t>
  </si>
  <si>
    <t>Parks - Irrigation Line Location Request - WAM</t>
  </si>
  <si>
    <t>Parks - NAM - Inactive Camp Clean Up - GIS INTERNAL</t>
  </si>
  <si>
    <t>Parks - Mosquito Concerns</t>
  </si>
  <si>
    <t>Parks - Roadside Greens</t>
  </si>
  <si>
    <t>Playfield Portisan Placement Request</t>
  </si>
  <si>
    <t>Parks - Seasonal Vendor Application</t>
  </si>
  <si>
    <t>Parks - Cemetery - Maintenance - GIS</t>
  </si>
  <si>
    <t>Parks Seasonal Vendor Application</t>
  </si>
  <si>
    <t>Parks - Cemetery - Maintenance - WAM</t>
  </si>
  <si>
    <t>Parks - Playfield Portable Toilet Concern After Placement</t>
  </si>
  <si>
    <t>Parks - APT Maintenance</t>
  </si>
  <si>
    <t>WRS - Cart Management</t>
  </si>
  <si>
    <t>OS - Waste and Recycling Services</t>
  </si>
  <si>
    <t>WRS - Waste - Residential</t>
  </si>
  <si>
    <t>WRS - Recycling - Blue Cart</t>
  </si>
  <si>
    <t>WRS - Compost - Green Cart</t>
  </si>
  <si>
    <t>WRS - New Service - Carts</t>
  </si>
  <si>
    <t>WRS - Debris in Backlane</t>
  </si>
  <si>
    <t>WRS - Commercial Collection Services</t>
  </si>
  <si>
    <t>WRS - Programs</t>
  </si>
  <si>
    <t>WRS - Employee - Complaint Compliment</t>
  </si>
  <si>
    <t>WRS - Brochures</t>
  </si>
  <si>
    <t>WRS - Landfill - Disposal Information</t>
  </si>
  <si>
    <t>WRS - Landfill - Industrial Permit or Inquiry</t>
  </si>
  <si>
    <t>WRS - Landfill - Accounts and Billing</t>
  </si>
  <si>
    <t>WRS - Collection Schedule Inquiry</t>
  </si>
  <si>
    <t>WRS - Landfill - Operations</t>
  </si>
  <si>
    <t>WRS - Bin Checks</t>
  </si>
  <si>
    <t>WRS - Waste Requirements for Businesses</t>
  </si>
  <si>
    <t>WRS - Disposal Guide Tool Feedback</t>
  </si>
  <si>
    <t>WRS - School Landfill Tours Lottery</t>
  </si>
  <si>
    <t>WRS - Recycling - Depots</t>
  </si>
  <si>
    <t>WRS - Landfill - Clean Fill</t>
  </si>
  <si>
    <t>WRS - Multifamily Recycling and Composting</t>
  </si>
  <si>
    <t>WRS - Education Inquiries</t>
  </si>
  <si>
    <t>WRS - Special Collection</t>
  </si>
  <si>
    <t>WRS - Landfill - Diversion Programs</t>
  </si>
  <si>
    <t>WRS - Recycling - Community</t>
  </si>
  <si>
    <t>WATR - Utility Inspection - Corrosion - Indemnification</t>
  </si>
  <si>
    <t>OS - Water Resources</t>
  </si>
  <si>
    <t>WATR - Water Development Inquiry</t>
  </si>
  <si>
    <t>WATR - Water and Sewer Main Condition Inquiries</t>
  </si>
  <si>
    <t>WATR - Re-Use of Existing Site Services</t>
  </si>
  <si>
    <t>WATS - Sewage Back-up</t>
  </si>
  <si>
    <t>OS - Water Services</t>
  </si>
  <si>
    <t>WATS - Sewer Maintenance</t>
  </si>
  <si>
    <t>WATS - Catch Basin Concerns</t>
  </si>
  <si>
    <t>WATS - Service and Main Valve Issues</t>
  </si>
  <si>
    <t>WATS - Water Meter Issues</t>
  </si>
  <si>
    <t>WATS - Water Main Break or Leak</t>
  </si>
  <si>
    <t>WATS - Water Off-On Appointment</t>
  </si>
  <si>
    <t>WATS - Water Outage</t>
  </si>
  <si>
    <t>WATS - Water Meter Installation Request</t>
  </si>
  <si>
    <t>WATS - Fire Hydrant</t>
  </si>
  <si>
    <t>WATS - Construction Inquiry</t>
  </si>
  <si>
    <t>WATS - Emergency Water Temporary Off</t>
  </si>
  <si>
    <t>WATS - Water Pressure Issues</t>
  </si>
  <si>
    <t>UEP - Odour Inquiries</t>
  </si>
  <si>
    <t>WATS - Spills Entering Storm System</t>
  </si>
  <si>
    <t>WATS - Cross Connection Inquiries</t>
  </si>
  <si>
    <t>WATS - Water Quality</t>
  </si>
  <si>
    <t>WATS - Cross Connection Tester Support - ONLINE</t>
  </si>
  <si>
    <t>WATS - Manhole Concerns</t>
  </si>
  <si>
    <t>WATS - Erosion and Sediment Control</t>
  </si>
  <si>
    <t>WATS - Urgent Water Reconnect</t>
  </si>
  <si>
    <t>WATS - Construction Inquiry - MAX</t>
  </si>
  <si>
    <t>WATS - Fire Hydrant Flow Test</t>
  </si>
  <si>
    <t>WATS - Drainage Bylaw</t>
  </si>
  <si>
    <t>WATS - Hydrant Connection Unit - HCU Inspections</t>
  </si>
  <si>
    <t>WATS - Water Wagon Issues</t>
  </si>
  <si>
    <t>WATS - Property Rehab</t>
  </si>
  <si>
    <t>WATS - Tap Water Sampling Program</t>
  </si>
  <si>
    <t>WATS - Drainage Concerns</t>
  </si>
  <si>
    <t>WATS - Hydrant Control Unit - HCU Inspections</t>
  </si>
  <si>
    <t>WATS - Basement Seepage</t>
  </si>
  <si>
    <t>WATS - Storm Pond Concerns</t>
  </si>
  <si>
    <t>WATS - Bulk Water Accounts and Air Gap Vehicle Inspection</t>
  </si>
  <si>
    <t>WATS - Water Equipment Pickup</t>
  </si>
  <si>
    <t>WATS - Water Billing Concerns</t>
  </si>
  <si>
    <t>WATS - Temporary Water Line Issues</t>
  </si>
  <si>
    <t>WATS - Water Service Fee Invoice</t>
  </si>
  <si>
    <t>WATS - Flat to Meter Appointment</t>
  </si>
  <si>
    <t>WATS - Water Equipment Pickup - MAX</t>
  </si>
  <si>
    <t>WATS - Water Treatment Inquiries</t>
  </si>
  <si>
    <t>WATS - Bulk Water Station Inquiries</t>
  </si>
  <si>
    <t>WATS - Wastewater Treatment Information</t>
  </si>
  <si>
    <t>WATS - Water Data Request</t>
  </si>
  <si>
    <t>WATS - Industrial Monitoring Inquiry</t>
  </si>
  <si>
    <t>WATS - Lot Grading</t>
  </si>
  <si>
    <t>WATS - Water Run Inquiry</t>
  </si>
  <si>
    <t>WATS - Developer Request for Parks Irrigation Meter</t>
  </si>
  <si>
    <t>WATS - Location of Underground Water Lines</t>
  </si>
  <si>
    <t>WATS - Location of Underground Water Lines - MAX</t>
  </si>
  <si>
    <t>Z - OLD - WATS - Construction Inquiry</t>
  </si>
  <si>
    <t>WATS - Water Run Inquiry - MAX</t>
  </si>
  <si>
    <t>WATS - Treatment Plant Tours</t>
  </si>
  <si>
    <t>CT AC - Trip Feedback - Checker Taxi</t>
  </si>
  <si>
    <t>OSC - Calgary Transit</t>
  </si>
  <si>
    <t>CT AC - Trip Feedback - Care Calgary</t>
  </si>
  <si>
    <t>CT AC - Trip Feedback - Southland</t>
  </si>
  <si>
    <t>CT AC - Activity Report - Checker INTERNAL</t>
  </si>
  <si>
    <t>CT AC - Activity Report - Care Calgary INTERNAL</t>
  </si>
  <si>
    <t>CT AC - Activity Report - Southland INTERNAL</t>
  </si>
  <si>
    <t>Green Line - Spill and Substance Release Report (X217)</t>
  </si>
  <si>
    <t>OSC - Greenline</t>
  </si>
  <si>
    <t>GFL - Black Cart Collection</t>
  </si>
  <si>
    <t>OSC - Waste and Recycling Services</t>
  </si>
  <si>
    <t>City Auditors - General Concerns</t>
  </si>
  <si>
    <t>Office of the City Auditor</t>
  </si>
  <si>
    <t>City Auditors - General Inquiries</t>
  </si>
  <si>
    <t>CAC - Public Infrastructure Inquiry</t>
  </si>
  <si>
    <t>PD - Calgary Approvals Coordination</t>
  </si>
  <si>
    <t>CBS Inspection - SCP - New Home</t>
  </si>
  <si>
    <t>PD - Calgary Building Services</t>
  </si>
  <si>
    <t>CBS Inspection - Furnace Replacement</t>
  </si>
  <si>
    <t>CBS - Code Inquiry</t>
  </si>
  <si>
    <t>CBS - RIM - Property Research</t>
  </si>
  <si>
    <t>CBS Concern - Electrical</t>
  </si>
  <si>
    <t>CBS Inspection - Gas Fireplace Installation</t>
  </si>
  <si>
    <t>CBS Concern - Plumbing and Gas</t>
  </si>
  <si>
    <t>CBS - RIM - Subscription Services</t>
  </si>
  <si>
    <t>CBS - RIM - Policy Document Requests</t>
  </si>
  <si>
    <t>CBS - Public Protection Site Safety Meeting</t>
  </si>
  <si>
    <t>CRP - Historical Hydrant Data or Flow Test</t>
  </si>
  <si>
    <t>PDS - City and Regional Planning</t>
  </si>
  <si>
    <t>CRP - City and Regional Planning General Concerns</t>
  </si>
  <si>
    <t>CRP - City and Regional Planning General Inquiries</t>
  </si>
  <si>
    <t>CGS - Urban Initiatives General Inquiries</t>
  </si>
  <si>
    <t>CGS - Calgary Growth Strategies - General Concerns</t>
  </si>
  <si>
    <t>CE - Water Restrictions</t>
  </si>
  <si>
    <t>PDS - Climate and Environment</t>
  </si>
  <si>
    <t>CE - Environmental Inquiries</t>
  </si>
  <si>
    <t>WATR - Water Restrictions</t>
  </si>
  <si>
    <t>CE - Water Conservation Programs</t>
  </si>
  <si>
    <t>CE - Treatment Plant Tours</t>
  </si>
  <si>
    <t>CE - Watershed</t>
  </si>
  <si>
    <t>ESM - Environmental Inquiries</t>
  </si>
  <si>
    <t>CE  - Environmental Inquiries</t>
  </si>
  <si>
    <t>CE - Riparian - Riverbank Inquiries</t>
  </si>
  <si>
    <t>WATR - Watershed</t>
  </si>
  <si>
    <t>WATR - Riparian - Riverbank Inquiries</t>
  </si>
  <si>
    <t>CE - Water Brochure</t>
  </si>
  <si>
    <t>CE - Dashboard Feedback</t>
  </si>
  <si>
    <t>WATR - Water Brochure</t>
  </si>
  <si>
    <t>CP - Indemnification Agreements</t>
  </si>
  <si>
    <t>PDS - Community Planning</t>
  </si>
  <si>
    <t>CP - Community Planning - General Concerns</t>
  </si>
  <si>
    <t>CP - Water Development Inquiry</t>
  </si>
  <si>
    <t>CP - Community Planning - General Inquiries</t>
  </si>
  <si>
    <t>CP - Re-Use of Existing Site Services</t>
  </si>
  <si>
    <t>CP - Public Infrastructure Inquiry</t>
  </si>
  <si>
    <t>DBBS - RIM - Property Research</t>
  </si>
  <si>
    <t>PDS - Development, Business and Building Services</t>
  </si>
  <si>
    <t>CBS Inspection - Electrical</t>
  </si>
  <si>
    <t>DBBS Inspection - Electrical</t>
  </si>
  <si>
    <t>CBS Inspection - Commercial or Multi-Family</t>
  </si>
  <si>
    <t>DBBS Inspection - Commercial or Multi-Family</t>
  </si>
  <si>
    <t>DBBS Inspection - Residential Improvement Project - RIP</t>
  </si>
  <si>
    <t>CBS Inspection - Residential Improvement Project - RIP</t>
  </si>
  <si>
    <t>DBBS Concern - Building Without a Permit</t>
  </si>
  <si>
    <t>DBBS Inspection - Gas</t>
  </si>
  <si>
    <t>DBBS Inspection - Plumbing</t>
  </si>
  <si>
    <t>DBBS - Infill Construction Concerns</t>
  </si>
  <si>
    <t>DBBS - Code Inquiry</t>
  </si>
  <si>
    <t>DBBS Inspection - Furnace Replacement</t>
  </si>
  <si>
    <t>CBS Inspection - Plumbing</t>
  </si>
  <si>
    <t>DBBS - Planning and Development - After Hours SR</t>
  </si>
  <si>
    <t>DBBS Inspection - SCP - New Home</t>
  </si>
  <si>
    <t>DBBS Inspection - Heating and Ventilation</t>
  </si>
  <si>
    <t>CBS Inspection - Cancellation or Reschedule</t>
  </si>
  <si>
    <t>DBBS - Building Construction Concerns and Inquiries</t>
  </si>
  <si>
    <t>CBS Inspection - Gas</t>
  </si>
  <si>
    <t>DBBS Inspection - Cancellation or Reschedule</t>
  </si>
  <si>
    <t>CBS Inspection - Heating and Ventilation</t>
  </si>
  <si>
    <t>DBBS - PRC - Property Research</t>
  </si>
  <si>
    <t>DBBS - Urgent Safety Response</t>
  </si>
  <si>
    <t>DBBS - SDI - New Subdivision Parks Inspection</t>
  </si>
  <si>
    <t>CBS - Infill Construction Concerns</t>
  </si>
  <si>
    <t>CBS Concern - Building Without a Permit</t>
  </si>
  <si>
    <t>DBBS Concern - Electrical</t>
  </si>
  <si>
    <t>DBBS - Unsafe Derelict or Grow Op Property</t>
  </si>
  <si>
    <t>CBS - Planning and Development - After Hours SR</t>
  </si>
  <si>
    <t>DBBS - Safety Response</t>
  </si>
  <si>
    <t>DBBS Concern - Heating and Ventilation</t>
  </si>
  <si>
    <t>CBS - Urgent Safety Response</t>
  </si>
  <si>
    <t>DBBS - SDI - New Subdivision Surface Inspection</t>
  </si>
  <si>
    <t>DBBS - Unsafe Derelict or Unsecure Property</t>
  </si>
  <si>
    <t>DBBS Concern - Plumbing and Gas</t>
  </si>
  <si>
    <t>DBBS - SDI - Utility Inspection</t>
  </si>
  <si>
    <t>CBS - Building Construction Concerns and Inquiries</t>
  </si>
  <si>
    <t>CBS - Unsafe Derelict or Grow Op Property</t>
  </si>
  <si>
    <t>DBBS - SDI - Surface Indemnification Inspection</t>
  </si>
  <si>
    <t>CBS Concern - Heating &amp; Ventilation</t>
  </si>
  <si>
    <t>DBBS Inspection - Gas Fireplace Installation</t>
  </si>
  <si>
    <t>DBBS - SDI - Surface Improvements Inspections</t>
  </si>
  <si>
    <t>DBBS - SDI - New Subdivisions Inspections</t>
  </si>
  <si>
    <t>DBBS - Unsafe Derelict or Insecure Property</t>
  </si>
  <si>
    <t>DBBS - Public Protection Site Safety Meeting</t>
  </si>
  <si>
    <t>DBBS - SDI - Surface Improvements Inspection</t>
  </si>
  <si>
    <t>DBBS - RIM - Subscription Services</t>
  </si>
  <si>
    <t>DBBS - Emergency Electrical Reconnection</t>
  </si>
  <si>
    <t>DBBS - RIM - Policy Document Requests</t>
  </si>
  <si>
    <t>CBS Concern - Special Event Tent</t>
  </si>
  <si>
    <t>DBBS - SDI - New Subdivision Inspection</t>
  </si>
  <si>
    <t>Downtown Strategy - General Inquiries</t>
  </si>
  <si>
    <t>PDS - Downtown Strategy</t>
  </si>
  <si>
    <t>ERR - Watering Schedule</t>
  </si>
  <si>
    <t>PDS - Environmental Risk &amp; Resilience</t>
  </si>
  <si>
    <t>ERR - Water Conservation Programs</t>
  </si>
  <si>
    <t>ERR - Environmental Inquiries</t>
  </si>
  <si>
    <t>ERR - Riparian - Riverbank Inquiries</t>
  </si>
  <si>
    <t>ERR - Watershed</t>
  </si>
  <si>
    <t>ERR - Treatment Plant Tours</t>
  </si>
  <si>
    <t>ERR - Water Restrictions</t>
  </si>
  <si>
    <t>ERR - Water Brochure</t>
  </si>
  <si>
    <t>Corporate Research Inquiry</t>
  </si>
  <si>
    <t>PICS - 311 and Insights</t>
  </si>
  <si>
    <t>CAI - City Online - Concern</t>
  </si>
  <si>
    <t>PICS - Collaboration, Analytics and Innovation</t>
  </si>
  <si>
    <t>CAI - GIS Mapping and Analysis Inquiry</t>
  </si>
  <si>
    <t>CAI - Addressing Inquiry</t>
  </si>
  <si>
    <t>CAI - City Online - Feedback Form Only</t>
  </si>
  <si>
    <t>CAI - Open Data Catalogue Inquiry</t>
  </si>
  <si>
    <t>CAI - Utility Placement Inquiry</t>
  </si>
  <si>
    <t>CAI - Electronic Data Request</t>
  </si>
  <si>
    <t>CAI - Block Profile Inquiry</t>
  </si>
  <si>
    <t>CAI - Cadastral Mapping Service Inquiry</t>
  </si>
  <si>
    <t>CAI - 5G Wireless Infrastructure Deployment Inquiry</t>
  </si>
  <si>
    <t>CAI - Commercial Electronic Data License Request</t>
  </si>
  <si>
    <t>CAI - Educational Electronic Data License Request</t>
  </si>
  <si>
    <t>311 Contact Us</t>
  </si>
  <si>
    <t>PICS - Customer Service and Communications</t>
  </si>
  <si>
    <t>Customer Service &amp; Communications - General Concerns</t>
  </si>
  <si>
    <t>CSC - Calgary.ca Feedback and Issue Report</t>
  </si>
  <si>
    <t>Customer Service and Communications - General Concerns</t>
  </si>
  <si>
    <t>CSC - Corporate Research Inquiry</t>
  </si>
  <si>
    <t>CSC - Communications and Marketing Initiatives</t>
  </si>
  <si>
    <t>311 Ambassador Program</t>
  </si>
  <si>
    <t>HR - Recruitment and Program Inquiry</t>
  </si>
  <si>
    <t>PICS - Human Resources</t>
  </si>
  <si>
    <t>IT - City Online - Concern</t>
  </si>
  <si>
    <t>PICS - Information Technology</t>
  </si>
  <si>
    <t>IT - Public WiFi - Shaw Go WiFi at City Facilities</t>
  </si>
  <si>
    <t>IT - GIS Mapping and Analysis Inquiry</t>
  </si>
  <si>
    <t>IT - City Fibre Request</t>
  </si>
  <si>
    <t>IT - Block Profile Inquiry</t>
  </si>
  <si>
    <t>IT - Electronic Data Request</t>
  </si>
  <si>
    <t>MC - calgary.ca Feedback</t>
  </si>
  <si>
    <t>PICS - Marketing and Communication</t>
  </si>
  <si>
    <t>MC - Calgary.ca Feedback and Issue Report</t>
  </si>
  <si>
    <t>Partnerships - Neighbourhood Services Programs</t>
  </si>
  <si>
    <t>Partnerships</t>
  </si>
  <si>
    <t>Recreation - Food Truck Parking Stall Application</t>
  </si>
  <si>
    <t>Recreation and Social Programs</t>
  </si>
  <si>
    <t>Green Line Inquiry</t>
  </si>
  <si>
    <t>TRAN - Green Line</t>
  </si>
  <si>
    <t>Roads Permits - Requests and Inquiries</t>
  </si>
  <si>
    <t>TRAN - Roads</t>
  </si>
  <si>
    <t>Roads - Speed Education</t>
  </si>
  <si>
    <t>TP - Community Traffic - Cycling - Pedestrian Inquiries</t>
  </si>
  <si>
    <t>TRAN - Transportation Planning</t>
  </si>
  <si>
    <t>ESM - Employee Complaint - Compliment</t>
  </si>
  <si>
    <t>UEP - Environmental and Safety Management</t>
  </si>
  <si>
    <t>WRS - Chatbot Feedback</t>
  </si>
  <si>
    <t>UEP - Waste and Recycling Services</t>
  </si>
  <si>
    <t>WATR - Erosion and Sediment Control</t>
  </si>
  <si>
    <t>UEP - Water Resources</t>
  </si>
  <si>
    <t>WATR - Water Billing Concerns</t>
  </si>
  <si>
    <t>WATR - Industrial Monitoring Inquiry</t>
  </si>
  <si>
    <t>WATR - Water Reporting and Information</t>
  </si>
  <si>
    <t>WATR - Water Conservation Programs</t>
  </si>
  <si>
    <t>WATR - Treatment Plant Tours</t>
  </si>
  <si>
    <t>WATS - Air Gap Vehicle Inspection - ONLINE</t>
  </si>
  <si>
    <t>UEP - Water Services</t>
  </si>
  <si>
    <t>CPI - Bridge - Tunnel - Underpass Concern</t>
  </si>
  <si>
    <t>(blank)</t>
  </si>
  <si>
    <t>CPI - Water and Sewer Main Condition Inquiries</t>
  </si>
  <si>
    <t>CPI - Plus 15 Skywalk</t>
  </si>
  <si>
    <t>CPI - Noise Barrier Wall</t>
  </si>
  <si>
    <t>CPI - Future Road Planning and Upgrades</t>
  </si>
  <si>
    <t>CPI - Wooden Stairs - Repairs</t>
  </si>
  <si>
    <t>CPI - Neighbourhood Streets Projects</t>
  </si>
  <si>
    <t>verdict</t>
  </si>
  <si>
    <t>is_primary</t>
  </si>
  <si>
    <t>tickets</t>
  </si>
  <si>
    <t>share_of_service</t>
  </si>
  <si>
    <t>first_seen</t>
  </si>
  <si>
    <t>last_seen</t>
  </si>
  <si>
    <t>pair_class</t>
  </si>
  <si>
    <t>note</t>
  </si>
  <si>
    <t>Classification rules</t>
  </si>
  <si>
    <t>Rename/merge</t>
  </si>
  <si>
    <t>Primary</t>
  </si>
  <si>
    <t>Used 2023-05-15 to 2024-02-27 (label retired)</t>
  </si>
  <si>
    <t>Rename (same unit, new label)</t>
  </si>
  <si>
    <t>Same unit name once the department prefix is stripped (e.g. UEP - Water Services -&gt; OS - Water Services).</t>
  </si>
  <si>
    <t>Affiliated Organizations</t>
  </si>
  <si>
    <t>Merge/reorg (old label retired)</t>
  </si>
  <si>
    <t>Used 2023-01-12 to 2023-05-04; overlap with primary 0 d (label retired)</t>
  </si>
  <si>
    <t>Different unit name; one label is unused anywhere in the final 12 months of data and the other takes over (e.g. TRAN - Roads -&gt; OS - Mobility).</t>
  </si>
  <si>
    <t>Used 2023-05-05 to 2026-09-23</t>
  </si>
  <si>
    <t>Merge/reorg (sequential handover)</t>
  </si>
  <si>
    <t>Different unit name; one stops, the other starts, little or no overlap.</t>
  </si>
  <si>
    <t>CS - Calgary Housing</t>
  </si>
  <si>
    <t>Used 2023-01-02 to 2023-04-21; overlap with primary 0 d (label retired)</t>
  </si>
  <si>
    <t>Concurrent - minor misrouting</t>
  </si>
  <si>
    <t>Minor agency used only inside the primary's active period, 5 or fewer tickets or under 2% share.</t>
  </si>
  <si>
    <t>Used 2026-04-19 to 2026-07-29</t>
  </si>
  <si>
    <t>Real split (temporary)</t>
  </si>
  <si>
    <t>Minor agency used inside the primary's active period with a material share.</t>
  </si>
  <si>
    <t>CS - Chief Housing Office</t>
  </si>
  <si>
    <t>Used 2026-08-11 to 2026-09-22; overlap with primary 0 d</t>
  </si>
  <si>
    <t>Real split (concurrent)</t>
  </si>
  <si>
    <t>Both agencies active together for more than 90 days through the end of the service's life. (None found.)</t>
  </si>
  <si>
    <t>Used 2023-01-16 to 2024-05-15</t>
  </si>
  <si>
    <t>Service-level: REAL SPLIT if any row is a real split; otherwise Rename/merge (with minor misrouting noted).</t>
  </si>
  <si>
    <t>CFOD - Finance</t>
  </si>
  <si>
    <t>Used 2023-01-02 to 2023-05-09; overlap with primary 113 d (label retired)</t>
  </si>
  <si>
    <t>label retired</t>
  </si>
  <si>
    <t>Agency label has no tickets anywhere in the data after 2025-10-02.</t>
  </si>
  <si>
    <t>Used 2023-01-02 to 2024-06-19</t>
  </si>
  <si>
    <t>Used 2023-01-02 to 2023-05-01; overlap with primary 119 d (label retired)</t>
  </si>
  <si>
    <t>Used 2023-01-04 to 2024-05-14</t>
  </si>
  <si>
    <t>Used 2023-01-02 to 2023-05-01; overlap with primary 117 d (label retired)</t>
  </si>
  <si>
    <t>Used 2023-05-06 to 2024-06-17</t>
  </si>
  <si>
    <t>Used 2023-01-02 to 2023-05-06; overlap with primary 0 d (label retired)</t>
  </si>
  <si>
    <t>Used 2023-01-04 to 2024-07-04</t>
  </si>
  <si>
    <t>Used 2023-01-02 to 2023-05-09; overlap with primary 125 d (label retired)</t>
  </si>
  <si>
    <t>Used 2023-04-28 to 2024-04-01</t>
  </si>
  <si>
    <t>Used 2023-01-04 to 2023-05-01; overlap with primary 3 d (label retired)</t>
  </si>
  <si>
    <t>Used 2023-05-01 to 2024-04-17</t>
  </si>
  <si>
    <t>Used 2023-01-11 to 2023-04-27; overlap with primary 0 d (label retired)</t>
  </si>
  <si>
    <t>Used 2023-01-13 to 2024-06-28</t>
  </si>
  <si>
    <t>Used 2023-01-04 to 2023-05-03; overlap with primary 110 d (label retired)</t>
  </si>
  <si>
    <t>Used 2023-01-31 to 2026-10-01</t>
  </si>
  <si>
    <t>Used 2023-01-04 to 2023-05-09; overlap with primary 98 d (label retired)</t>
  </si>
  <si>
    <t>Used 2023-05-14 to 2026-10-01</t>
  </si>
  <si>
    <t>Used 2023-01-06 to 2023-05-09; overlap with primary 0 d (label retired)</t>
  </si>
  <si>
    <t>Used 2023-04-17 to 2026-10-01</t>
  </si>
  <si>
    <t>Used 2023-01-04 to 2023-05-09; overlap with primary 22 d (label retired)</t>
  </si>
  <si>
    <t>Used 2023-03-17 to 2026-10-01</t>
  </si>
  <si>
    <t>Used 2023-01-03 to 2023-05-02; overlap with primary 46 d (label retired)</t>
  </si>
  <si>
    <t>Used 2023-05-16 to 2026-09-20</t>
  </si>
  <si>
    <t>DCMO - Supply</t>
  </si>
  <si>
    <t>Used 2023-01-25 to 2023-03-28; overlap with primary 0 d (label retired)</t>
  </si>
  <si>
    <t>Used 2023-01-02 to 2023-05-09 (label retired)</t>
  </si>
  <si>
    <t>Used 2023-05-09 to 2023-05-17; overlap with primary 0 d</t>
  </si>
  <si>
    <t>Used 2023-05-09 to 2023-09-19; overlap with primary 0 d</t>
  </si>
  <si>
    <t>Used 2023-01-11 to 2023-04-27 (label retired)</t>
  </si>
  <si>
    <t>Used 2023-04-09 to 2023-05-29; overlap with primary 18 d</t>
  </si>
  <si>
    <t>Used 2023-01-07 to 2023-02-27 (label retired)</t>
  </si>
  <si>
    <t>Used 2023-07-10 to 2023-08-25; overlap with primary 0 d</t>
  </si>
  <si>
    <t>Used 2023-01-08 to 2023-03-03 (label retired)</t>
  </si>
  <si>
    <t>Used 2023-03-14 to 2023-03-20; overlap with primary 0 d (label retired)</t>
  </si>
  <si>
    <t>Used 2023-02-14 to 2023-03-15 (label retired)</t>
  </si>
  <si>
    <t>Used 2023-05-17 to 2023-10-11; overlap with primary 0 d</t>
  </si>
  <si>
    <t>Used 2023-01-09 to 2023-03-14 (label retired)</t>
  </si>
  <si>
    <t>Used 2023-01-13 to 2023-02-10; overlap with primary 28 d</t>
  </si>
  <si>
    <t>Used 2023-01-05 to 2023-03-22 (label retired)</t>
  </si>
  <si>
    <t>Used 2023-03-15 to 2023-03-15; overlap with primary 0 d</t>
  </si>
  <si>
    <t>Used 2023-01-03 to 2023-04-18 (label retired)</t>
  </si>
  <si>
    <t>Used 2023-04-14 to 2023-07-05; overlap with primary 4 d</t>
  </si>
  <si>
    <t>Used 2023-05-08 to 2023-09-29</t>
  </si>
  <si>
    <t>Used 2023-02-02 to 2023-05-02; overlap with primary 0 d (label retired)</t>
  </si>
  <si>
    <t>Used 2023-03-30 to 2023-05-09</t>
  </si>
  <si>
    <t>Used 2023-03-23 to 2023-03-23; overlap with primary 0 d (label retired)</t>
  </si>
  <si>
    <t>Used 2023-01-02 to 2026-06-16</t>
  </si>
  <si>
    <t>Used 2023-01-02 to 2023-04-21; overlap with primary 109 d (label retired)</t>
  </si>
  <si>
    <t>Used 2023-01-03 to 2026-10-01</t>
  </si>
  <si>
    <t>Used 2023-01-02 to 2023-05-09; overlap with primary 126 d (label retired)</t>
  </si>
  <si>
    <t>Used 2023-03-24 to 2026-10-01</t>
  </si>
  <si>
    <t>Used 2023-01-25 to 2023-05-07; overlap with primary 44 d (label retired)</t>
  </si>
  <si>
    <t>Used 2023-01-12 to 2026-10-01</t>
  </si>
  <si>
    <t>Used 2023-01-02 to 2023-05-09; overlap with primary 117 d (label retired)</t>
  </si>
  <si>
    <t>Used 2023-01-02 to 2026-10-01</t>
  </si>
  <si>
    <t>Used 2023-01-02 to 2023-05-09; overlap with primary 127 d (label retired)</t>
  </si>
  <si>
    <t>Used 2023-01-02 to 2023-05-08; overlap with primary 126 d (label retired)</t>
  </si>
  <si>
    <t>Used 2023-01-09 to 2026-10-01</t>
  </si>
  <si>
    <t>Used 2023-01-02 to 2023-05-09; overlap with primary 120 d (label retired)</t>
  </si>
  <si>
    <t>Used 2023-01-19 to 2026-10-01</t>
  </si>
  <si>
    <t>Used 2023-01-03 to 2023-05-08; overlap with primary 109 d (label retired)</t>
  </si>
  <si>
    <t>Used 2023-01-05 to 2026-10-01</t>
  </si>
  <si>
    <t>Used 2023-01-02 to 2023-05-09; overlap with primary 124 d (label retired)</t>
  </si>
  <si>
    <t>Used 2023-01-02 to 2023-05-08; overlap with primary 125 d (label retired)</t>
  </si>
  <si>
    <t>Used 2023-01-20 to 2023-05-02; overlap with primary 0 d (label retired)</t>
  </si>
  <si>
    <t>Used 2023-01-02 to 2023-05-07; overlap with primary 122 d (label retired)</t>
  </si>
  <si>
    <t>Used 2023-01-02 to 2023-05-03; overlap with primary 121 d (label retired)</t>
  </si>
  <si>
    <t>Used 2023-01-10 to 2026-10-01</t>
  </si>
  <si>
    <t>Used 2023-01-03 to 2023-05-08; overlap with primary 118 d (label retired)</t>
  </si>
  <si>
    <t>Used 2023-01-09 to 2024-03-24</t>
  </si>
  <si>
    <t>Used 2023-01-13 to 2026-10-01</t>
  </si>
  <si>
    <t>Used 2023-01-02 to 2023-05-02; overlap with primary 109 d (label retired)</t>
  </si>
  <si>
    <t>Used 2023-03-23 to 2023-09-18</t>
  </si>
  <si>
    <t>Used 2023-01-02 to 2023-05-09; overlap with primary 47 d (label retired)</t>
  </si>
  <si>
    <t>Used 2023-01-03 to 2023-05-06; overlap with primary 113 d (label retired)</t>
  </si>
  <si>
    <t>Used 2023-01-21 to 2026-10-01</t>
  </si>
  <si>
    <t>Used 2023-01-02 to 2023-05-07; overlap with primary 106 d (label retired)</t>
  </si>
  <si>
    <t>Used 2023-04-06 to 2023-04-06; overlap with primary 0 d (label retired)</t>
  </si>
  <si>
    <t>Used 2023-01-23 to 2026-09-22</t>
  </si>
  <si>
    <t>Used 2023-01-02 to 2023-05-05; overlap with primary 102 d (label retired)</t>
  </si>
  <si>
    <t>Used 2023-04-08 to 2023-09-19</t>
  </si>
  <si>
    <t>Used 2023-01-02 to 2023-05-08; overlap with primary 30 d (label retired)</t>
  </si>
  <si>
    <t>Used 2023-01-25 to 2023-09-17</t>
  </si>
  <si>
    <t>Used 2023-01-02 to 2023-05-09; overlap with primary 104 d (label retired)</t>
  </si>
  <si>
    <t>Used 2023-02-09 to 2026-09-28</t>
  </si>
  <si>
    <t>Used 2023-01-03 to 2023-05-07; overlap with primary 87 d (label retired)</t>
  </si>
  <si>
    <t>Used 2023-05-09 to 2023-09-19</t>
  </si>
  <si>
    <t>Used 2023-01-02 to 2023-05-09; overlap with primary 0 d (label retired)</t>
  </si>
  <si>
    <t>Used 2023-02-06 to 2026-10-01</t>
  </si>
  <si>
    <t>Used 2023-01-04 to 2023-05-08; overlap with primary 91 d (label retired)</t>
  </si>
  <si>
    <t>Used 2023-01-04 to 2026-09-28</t>
  </si>
  <si>
    <t>Used 2023-01-06 to 2026-09-30</t>
  </si>
  <si>
    <t>Used 2023-01-02 to 2023-05-04; overlap with primary 118 d (label retired)</t>
  </si>
  <si>
    <t>Used 2023-01-12 to 2025-08-07</t>
  </si>
  <si>
    <t>Used 2023-01-02 to 2023-05-01; overlap with primary 109 d (label retired)</t>
  </si>
  <si>
    <t>Used 2023-03-07 to 2026-09-28</t>
  </si>
  <si>
    <t>Used 2023-02-02 to 2023-04-11; overlap with primary 35 d (label retired)</t>
  </si>
  <si>
    <t>Used 2023-02-04 to 2026-09-15</t>
  </si>
  <si>
    <t>Used 2023-01-20 to 2023-04-25; overlap with primary 80 d (label retired)</t>
  </si>
  <si>
    <t>Used 2023-01-18 to 2026-09-28</t>
  </si>
  <si>
    <t>Used 2023-01-17 to 2023-05-02; overlap with primary 104 d (label retired)</t>
  </si>
  <si>
    <t>Used 2023-05-04 to 2026-09-29</t>
  </si>
  <si>
    <t>Used 2023-01-15 to 2023-05-09; overlap with primary 5 d (label retired)</t>
  </si>
  <si>
    <t>Used 2023-04-27 to 2026-09-28</t>
  </si>
  <si>
    <t>Used 2023-01-09 to 2023-05-07; overlap with primary 10 d (label retired)</t>
  </si>
  <si>
    <t>Used 2023-05-14 to 2026-09-24</t>
  </si>
  <si>
    <t>Used 2023-01-14 to 2023-04-16; overlap with primary 0 d (label retired)</t>
  </si>
  <si>
    <t>Used 2023-05-20 to 2026-09-22</t>
  </si>
  <si>
    <t>Used 2023-01-04 to 2023-04-30; overlap with primary 0 d (label retired)</t>
  </si>
  <si>
    <t>Used 2023-04-21 to 2026-09-04</t>
  </si>
  <si>
    <t>Used 2023-01-20 to 2023-05-03; overlap with primary 12 d (label retired)</t>
  </si>
  <si>
    <t>Used 2023-01-06 to 2023-04-26; overlap with primary 97 d (label retired)</t>
  </si>
  <si>
    <t>Used 2023-06-29 to 2026-09-21</t>
  </si>
  <si>
    <t>Used 2023-01-06 to 2023-05-04; overlap with primary 0 d (label retired)</t>
  </si>
  <si>
    <t>Used 2023-04-06 to 2026-09-27</t>
  </si>
  <si>
    <t>Used 2023-01-27 to 2023-05-05; overlap with primary 29 d (label retired)</t>
  </si>
  <si>
    <t>Used 2023-01-28 to 2023-09-08</t>
  </si>
  <si>
    <t>Used 2023-01-03 to 2023-04-25; overlap with primary 87 d (label retired)</t>
  </si>
  <si>
    <t>Used 2023-07-16 to 2026-09-24</t>
  </si>
  <si>
    <t>Used 2023-01-19 to 2023-04-26; overlap with primary 0 d (label retired)</t>
  </si>
  <si>
    <t>Used 2023-01-25 to 2026-08-12</t>
  </si>
  <si>
    <t>Used 2023-01-17 to 2023-04-12; overlap with primary 77 d (label retired)</t>
  </si>
  <si>
    <t>Used 2023-05-14 to 2026-08-15</t>
  </si>
  <si>
    <t>Used 2023-01-22 to 2023-05-07; overlap with primary 0 d (label retired)</t>
  </si>
  <si>
    <t>Used 2023-05-22 to 2026-06-22</t>
  </si>
  <si>
    <t>Used 2023-02-01 to 2023-04-26; overlap with primary 0 d (label retired)</t>
  </si>
  <si>
    <t>Used 2023-05-10 to 2023-09-08</t>
  </si>
  <si>
    <t>Used 2023-01-14 to 2026-09-14</t>
  </si>
  <si>
    <t>Used 2023-01-16 to 2023-03-22; overlap with primary 65 d (label retired)</t>
  </si>
  <si>
    <t>Used 2023-02-26 to 2026-07-10</t>
  </si>
  <si>
    <t>Used 2023-01-31 to 2023-02-28; overlap with primary 2 d (label retired)</t>
  </si>
  <si>
    <t>Used 2023-05-19 to 2023-09-12</t>
  </si>
  <si>
    <t>Used 2023-02-28 to 2023-04-29; overlap with primary 0 d (label retired)</t>
  </si>
  <si>
    <t>Used 2023-05-15 to 2023-08-19</t>
  </si>
  <si>
    <t>Used 2023-02-28 to 2023-02-28; overlap with primary 0 d (label retired)</t>
  </si>
  <si>
    <t>Used 2023-05-14 to 2023-09-18</t>
  </si>
  <si>
    <t>Used 2023-02-17 to 2023-05-07; overlap with primary 0 d (label retired)</t>
  </si>
  <si>
    <t>Used 2023-05-16 to 2023-08-01</t>
  </si>
  <si>
    <t>Used 2023-02-14 to 2023-02-14; overlap with primary 0 d (label retired)</t>
  </si>
  <si>
    <t>Used 2023-05-02 to 2026-10-01</t>
  </si>
  <si>
    <t>Used 2023-01-23 to 2023-04-28; overlap with primary 0 d (label retired)</t>
  </si>
  <si>
    <t>Used 2025-04-30 to 2026-09-29</t>
  </si>
  <si>
    <t>Used 2023-05-16 to 2025-04-30; overlap with primary 0 d</t>
  </si>
  <si>
    <t>Used 2023-01-05 to 2023-05-01; overlap with primary 0 d (label retired)</t>
  </si>
  <si>
    <t>Used 2023-04-16 to 2025-04-22</t>
  </si>
  <si>
    <t>Used 2023-01-02 to 2023-04-20; overlap with primary 4 d (label retired)</t>
  </si>
  <si>
    <t>Used 2023-04-25 to 2026-09-28</t>
  </si>
  <si>
    <t>Used 2023-01-26 to 2023-04-28; overlap with primary 3 d (label retired)</t>
  </si>
  <si>
    <t>Used 2023-01-02 to 2023-05-02; overlap with primary 120 d (label retired)</t>
  </si>
  <si>
    <t>Used 2023-01-31 to 2023-02-15; overlap with primary 15 d (label retired)</t>
  </si>
  <si>
    <t>Used 2023-01-02 to 2023-03-22; overlap with primary 72 d (label retired)</t>
  </si>
  <si>
    <t>Used 2023-03-07 to 2023-05-07; overlap with primary 61 d (label retired)</t>
  </si>
  <si>
    <t>Used 2023-01-02 to 2023-03-23; overlap with primary 77 d (label retired)</t>
  </si>
  <si>
    <t>Used 2023-02-14 to 2023-05-06; overlap with primary 81 d (label retired)</t>
  </si>
  <si>
    <t>Used 2023-03-14 to 2026-10-01</t>
  </si>
  <si>
    <t>Used 2023-03-09 to 2023-05-07; overlap with primary 54 d (label retired)</t>
  </si>
  <si>
    <t>Used 2023-04-22 to 2026-10-01</t>
  </si>
  <si>
    <t>Used 2023-01-07 to 2023-04-27; overlap with primary 5 d (label retired)</t>
  </si>
  <si>
    <t>Used 2023-01-17 to 2023-02-08; overlap with primary 0 d (label retired)</t>
  </si>
  <si>
    <t>Used 2023-03-22 to 2026-09-29</t>
  </si>
  <si>
    <t>Used 2023-03-21 to 2023-05-05; overlap with primary 44 d (label retired)</t>
  </si>
  <si>
    <t>Used 2023-01-02 to 2025-12-11</t>
  </si>
  <si>
    <t>Used 2023-01-02 to 2023-04-11; overlap with primary 99 d (label retired)</t>
  </si>
  <si>
    <t>Used 2023-01-05 to 2023-05-06; overlap with primary 121 d (label retired)</t>
  </si>
  <si>
    <t>Used 2023-01-02 to 2023-03-21; overlap with primary 68 d (label retired)</t>
  </si>
  <si>
    <t>Used 2023-03-03 to 2023-05-04; overlap with primary 62 d (label retired)</t>
  </si>
  <si>
    <t>Used 2023-01-11 to 2025-10-20</t>
  </si>
  <si>
    <t>Used 2023-01-30 to 2023-05-08; overlap with primary 98 d (label retired)</t>
  </si>
  <si>
    <t>Used 2023-02-15 to 2023-02-22; overlap with primary 7 d (label retired)</t>
  </si>
  <si>
    <t>Used 2023-04-06 to 2026-09-29</t>
  </si>
  <si>
    <t>Used 2023-03-23 to 2023-05-06; overlap with primary 30 d (label retired)</t>
  </si>
  <si>
    <t>Used 2023-02-17 to 2023-03-22; overlap with primary 0 d (label retired)</t>
  </si>
  <si>
    <t>Used 2023-01-30 to 2026-09-28</t>
  </si>
  <si>
    <t>Used 2023-01-03 to 2023-03-18; overlap with primary 47 d (label retired)</t>
  </si>
  <si>
    <t>Used 2023-01-14 to 2023-05-07; overlap with primary 97 d (label retired)</t>
  </si>
  <si>
    <t>Used 2023-04-27 to 2026-09-30</t>
  </si>
  <si>
    <t>Used 2023-01-31 to 2023-05-03; overlap with primary 6 d (label retired)</t>
  </si>
  <si>
    <t>Used 2023-04-18 to 2026-10-01</t>
  </si>
  <si>
    <t>Used 2023-01-02 to 2023-03-18; overlap with primary 0 d (label retired)</t>
  </si>
  <si>
    <t>Used 2023-02-22 to 2023-05-07; overlap with primary 19 d (label retired)</t>
  </si>
  <si>
    <t>Used 2023-05-09 to 2026-06-20</t>
  </si>
  <si>
    <t>Used 2023-03-22 to 2023-05-02; overlap with primary 0 d (label retired)</t>
  </si>
  <si>
    <t>Used 2023-03-01 to 2023-05-06; overlap with primary 9 d (label retired)</t>
  </si>
  <si>
    <t>Used 2023-04-27 to 2025-02-19</t>
  </si>
  <si>
    <t>Used 2023-01-17 to 2023-05-03; overlap with primary 6 d (label retired)</t>
  </si>
  <si>
    <t>Used 2023-02-07 to 2023-02-07; overlap with primary 0 d (label retired)</t>
  </si>
  <si>
    <t>Used 2023-05-16 to 2026-09-26</t>
  </si>
  <si>
    <t>Used 2023-03-02 to 2023-05-08; overlap with primary 0 d (label retired)</t>
  </si>
  <si>
    <t>Used 2023-05-18 to 2026-09-27</t>
  </si>
  <si>
    <t>Used 2023-03-03 to 2023-05-08; overlap with primary 0 d (label retired)</t>
  </si>
  <si>
    <t>Used 2023-03-06 to 2023-03-08; overlap with primary 0 d (label retired)</t>
  </si>
  <si>
    <t>Used 2023-05-07 to 2026-09-29</t>
  </si>
  <si>
    <t>Used 2023-02-16 to 2023-05-05; overlap with primary 0 d (label retired)</t>
  </si>
  <si>
    <t>Used 2023-05-08 to 2026-09-30</t>
  </si>
  <si>
    <t>Used 2023-02-03 to 2023-04-23; overlap with primary 0 d (label retired)</t>
  </si>
  <si>
    <t>Used 2023-05-09 to 2026-09-20</t>
  </si>
  <si>
    <t>Used 2023-03-02 to 2023-05-03; overlap with primary 0 d (label retired)</t>
  </si>
  <si>
    <t>Used 2023-05-09 to 2025-08-05</t>
  </si>
  <si>
    <t>Used 2023-02-09 to 2023-05-02; overlap with primary 0 d (label retired)</t>
  </si>
  <si>
    <t>Used 2023-01-05 to 2023-02-19; overlap with primary 0 d (label retired)</t>
  </si>
  <si>
    <t>Used 2023-01-06 to 2026-03-03</t>
  </si>
  <si>
    <t>Used 2023-01-02 to 2023-04-04; overlap with primary 88 d (label retired)</t>
  </si>
  <si>
    <t>Used 2023-05-08 to 2026-09-24</t>
  </si>
  <si>
    <t>Used 2023-03-04 to 2023-05-04; overlap with primary 0 d (label retired)</t>
  </si>
  <si>
    <t>Used 2023-05-05 to 2026-09-29</t>
  </si>
  <si>
    <t>Used 2023-03-04 to 2023-05-02; overlap with primary 0 d (label retired)</t>
  </si>
  <si>
    <t>Used 2023-04-22 to 2026-09-22</t>
  </si>
  <si>
    <t>Used 2023-03-06 to 2023-04-27; overlap with primary 5 d (label retired)</t>
  </si>
  <si>
    <t>Used 2023-05-05 to 2026-10-01</t>
  </si>
  <si>
    <t>Used 2023-03-07 to 2023-04-25; overlap with primary 0 d (label retired)</t>
  </si>
  <si>
    <t>Used 2023-04-27 to 2026-09-25</t>
  </si>
  <si>
    <t>Used 2023-02-24 to 2023-04-18; overlap with primary 0 d (label retired)</t>
  </si>
  <si>
    <t>Used 2023-02-21 to 2026-09-28</t>
  </si>
  <si>
    <t>Used 2023-03-02 to 2023-05-02; overlap with primary 61 d (label retired)</t>
  </si>
  <si>
    <t>Used 2023-05-11 to 2026-10-01</t>
  </si>
  <si>
    <t>Used 2023-02-21 to 2023-05-05; overlap with primary 0 d (label retired)</t>
  </si>
  <si>
    <t>Used 2023-10-16 to 2026-04-28</t>
  </si>
  <si>
    <t>Used 2023-02-21 to 2023-04-06; overlap with primary 0 d (label retired)</t>
  </si>
  <si>
    <t>Used 2023-02-09 to 2023-02-21; overlap with primary 0 d (label retired)</t>
  </si>
  <si>
    <t>Used 2023-03-31 to 2026-09-17</t>
  </si>
  <si>
    <t>Used 2023-01-12 to 2023-04-13; overlap with primary 13 d (label retired)</t>
  </si>
  <si>
    <t>Used 2023-02-14 to 2026-09-29</t>
  </si>
  <si>
    <t>Used 2023-02-13 to 2023-03-03; overlap with primary 17 d (label retired)</t>
  </si>
  <si>
    <t>Used 2023-01-25 to 2023-01-25; overlap with primary 0 d (label retired)</t>
  </si>
  <si>
    <t>Used 2023-05-10 to 2026-09-15</t>
  </si>
  <si>
    <t>Used 2023-04-11 to 2023-05-08; overlap with primary 0 d (label retired)</t>
  </si>
  <si>
    <t>Used 2023-05-10 to 2026-09-19</t>
  </si>
  <si>
    <t>Used 2023-03-11 to 2023-04-24; overlap with primary 0 d (label retired)</t>
  </si>
  <si>
    <t>Used 2023-05-06 to 2025-07-25</t>
  </si>
  <si>
    <t>Used 2023-03-02 to 2023-05-09; overlap with primary 3 d (label retired)</t>
  </si>
  <si>
    <t>Used 2023-05-10 to 2026-10-01</t>
  </si>
  <si>
    <t>Used 2023-02-18 to 2023-02-18; overlap with primary 0 d (label retired)</t>
  </si>
  <si>
    <t>Used 2023-04-24 to 2026-09-22</t>
  </si>
  <si>
    <t>Used 2023-01-11 to 2023-04-06; overlap with primary 0 d (label retired)</t>
  </si>
  <si>
    <t>Used 2023-05-10 to 2026-08-23</t>
  </si>
  <si>
    <t>Used 2023-01-29 to 2023-04-23; overlap with primary 0 d (label retired)</t>
  </si>
  <si>
    <t>Used 2023-03-28 to 2026-02-26</t>
  </si>
  <si>
    <t>Used 2023-03-01 to 2023-04-05; overlap with primary 8 d (label retired)</t>
  </si>
  <si>
    <t>Used 2023-05-03 to 2026-09-28</t>
  </si>
  <si>
    <t>Used 2023-04-18 to 2023-05-02; overlap with primary 0 d (label retired)</t>
  </si>
  <si>
    <t>Used 2023-05-20 to 2026-09-10</t>
  </si>
  <si>
    <t>Used 2023-03-06 to 2023-05-01; overlap with primary 0 d (label retired)</t>
  </si>
  <si>
    <t>Used 2023-06-02 to 2026-08-18</t>
  </si>
  <si>
    <t>Used 2023-03-23 to 2023-04-27; overlap with primary 0 d (label retired)</t>
  </si>
  <si>
    <t>Used 2023-12-20 to 2025-10-18</t>
  </si>
  <si>
    <t>Used 2023-02-26 to 2023-02-26; overlap with primary 0 d (label retired)</t>
  </si>
  <si>
    <t>Used 2023-05-05 to 2024-12-24 (label retired)</t>
  </si>
  <si>
    <t>Used 2023-01-07 to 2023-05-02; overlap with primary 0 d (label retired)</t>
  </si>
  <si>
    <t>Used 2023-05-02 to 2024-11-13 (label retired)</t>
  </si>
  <si>
    <t>Used 2023-01-10 to 2023-05-03; overlap with primary 1 d (label retired)</t>
  </si>
  <si>
    <t>Used 2023-05-12 to 2023-08-31 (label retired)</t>
  </si>
  <si>
    <t>Used 2023-02-02 to 2023-04-25; overlap with primary 0 d (label retired)</t>
  </si>
  <si>
    <t>Rename/merge + minor misrouting</t>
  </si>
  <si>
    <t>Used 2023-04-18 to 2026-09-28</t>
  </si>
  <si>
    <t>Used 2023-06-12 to 2023-10-30; overlap with primary 140 d</t>
  </si>
  <si>
    <t>Used 2023-10-18 to 2023-10-18; overlap with primary 0 d</t>
  </si>
  <si>
    <t>Used 2023-04-05 to 2024-12-04</t>
  </si>
  <si>
    <t>TRAN - Transportation Infrastructure</t>
  </si>
  <si>
    <t>Used 2023-01-06 to 2023-05-04; overlap with primary 29 d (label retired)</t>
  </si>
  <si>
    <t>Used 2023-02-13 to 2024-12-05</t>
  </si>
  <si>
    <t>Used 2023-01-10 to 2023-04-29; overlap with primary 75 d (label retired)</t>
  </si>
  <si>
    <t>Used 2023-05-10 to 2024-12-09</t>
  </si>
  <si>
    <t>Used 2023-01-18 to 2023-05-03; overlap with primary 0 d (label retired)</t>
  </si>
  <si>
    <t>Used 2023-05-30 to 2024-12-11</t>
  </si>
  <si>
    <t>Used 2023-01-09 to 2023-01-09; overlap with primary 0 d (label retired)</t>
  </si>
  <si>
    <t>Used 2023-06-20 to 2024-05-13</t>
  </si>
  <si>
    <t>Used 2023-01-04 to 2023-04-06; overlap with primary 0 d (label retired)</t>
  </si>
  <si>
    <t>Used 2023-01-26 to 2026-10-01</t>
  </si>
  <si>
    <t>DCMO - Real Estate and Development Services</t>
  </si>
  <si>
    <t>Used 2023-01-04 to 2023-05-08; overlap with primary 102 d (label retired)</t>
  </si>
  <si>
    <t>Used 2023-01-04 to 2023-05-04; overlap with primary 103 d (label retired)</t>
  </si>
  <si>
    <t>Used 2023-01-10 to 2023-05-02; overlap with primary 0 d (label retired)</t>
  </si>
  <si>
    <t>Used 2023-05-09 to 2026-07-30</t>
  </si>
  <si>
    <t>Used 2023-01-05 to 2023-05-02; overlap with primary 0 d (label retired)</t>
  </si>
  <si>
    <t>Used 2023-05-15 to 2026-08-24</t>
  </si>
  <si>
    <t>Used 2023-02-21 to 2023-04-20; overlap with primary 0 d (label retired)</t>
  </si>
  <si>
    <t>Used 2023-04-20 to 2023-11-20</t>
  </si>
  <si>
    <t>Used 2023-01-03 to 2023-05-09; overlap with primary 19 d (label retired)</t>
  </si>
  <si>
    <t>Used 2023-03-28 to 2025-02-27</t>
  </si>
  <si>
    <t>LL - City Clerk's</t>
  </si>
  <si>
    <t>Used 2023-01-25 to 2023-04-15; overlap with primary 18 d (label retired)</t>
  </si>
  <si>
    <t>Used 2023-05-09 to 2025-02-27</t>
  </si>
  <si>
    <t>Used 2023-02-21 to 2023-04-25; overlap with primary 0 d (label retired)</t>
  </si>
  <si>
    <t>Used 2023-03-17 to 2023-09-09</t>
  </si>
  <si>
    <t>Used 2023-01-11 to 2023-03-23; overlap with primary 6 d (label retired)</t>
  </si>
  <si>
    <t>Used 2023-07-25 to 2024-05-30</t>
  </si>
  <si>
    <t>Used 2023-01-13 to 2023-05-01; overlap with primary 0 d (label retired)</t>
  </si>
  <si>
    <t>Used 2023-01-10 to 2025-02-03 (label retired)</t>
  </si>
  <si>
    <t>LL - City Manager's Office</t>
  </si>
  <si>
    <t>Used 2023-03-06 to 2023-04-25; overlap with primary 50 d (label retired)</t>
  </si>
  <si>
    <t>Used 2023-02-14 to 2026-06-29</t>
  </si>
  <si>
    <t>LL - Law</t>
  </si>
  <si>
    <t>Used 2023-01-02 to 2023-05-09; overlap with primary 84 d (label retired)</t>
  </si>
  <si>
    <t>Used 2023-01-05 to 2026-08-19</t>
  </si>
  <si>
    <t>Used 2023-02-15 to 2023-03-27; overlap with primary 40 d (label retired)</t>
  </si>
  <si>
    <t>TRAN - Calgary Transit</t>
  </si>
  <si>
    <t>Used 2023-01-02 to 2023-05-05; overlap with primary 123 d (label retired)</t>
  </si>
  <si>
    <t>Used 2023-02-27 to 2026-10-01</t>
  </si>
  <si>
    <t>Used 2023-01-02 to 2023-05-08; overlap with primary 70 d (label retired)</t>
  </si>
  <si>
    <t>Used 2023-03-03 to 2026-10-01</t>
  </si>
  <si>
    <t>Used 2023-01-02 to 2023-05-05; overlap with primary 63 d (label retired)</t>
  </si>
  <si>
    <t>Used 2023-04-26 to 2026-10-01</t>
  </si>
  <si>
    <t>Used 2023-01-02 to 2023-05-08; overlap with primary 12 d (label retired)</t>
  </si>
  <si>
    <t>Used 2023-01-02 to 2023-05-09; overlap with primary 116 d (label retired)</t>
  </si>
  <si>
    <t>Used 2023-02-10 to 2026-10-01</t>
  </si>
  <si>
    <t>Used 2023-01-02 to 2023-05-05; overlap with primary 84 d (label retired)</t>
  </si>
  <si>
    <t>Used 2023-02-24 to 2026-10-01</t>
  </si>
  <si>
    <t>Used 2023-01-02 to 2023-05-08; overlap with primary 73 d (label retired)</t>
  </si>
  <si>
    <t>Used 2023-01-23 to 2026-10-01</t>
  </si>
  <si>
    <t>Used 2023-01-02 to 2023-05-09; overlap with primary 106 d (label retired)</t>
  </si>
  <si>
    <t>Used 2023-10-23 to 2026-04-23</t>
  </si>
  <si>
    <t>Used 2023-01-03 to 2023-04-01; overlap with primary 0 d (label retired)</t>
  </si>
  <si>
    <t>Used 2023-01-02 to 2023-05-08; overlap with primary 21 d (label retired)</t>
  </si>
  <si>
    <t>Used 2023-04-25 to 2026-10-01</t>
  </si>
  <si>
    <t>Used 2023-01-03 to 2023-05-06; overlap with primary 11 d (label retired)</t>
  </si>
  <si>
    <t>Used 2023-01-11 to 2023-04-28; overlap with primary 3 d (label retired)</t>
  </si>
  <si>
    <t>Used 2023-05-10 to 2024-07-30</t>
  </si>
  <si>
    <t>Used 2023-01-02 to 2023-05-05; overlap with primary 0 d (label retired)</t>
  </si>
  <si>
    <t>Used 2023-05-05 to 2026-09-25</t>
  </si>
  <si>
    <t>Used 2023-01-03 to 2023-04-25; overlap with primary 0 d (label retired)</t>
  </si>
  <si>
    <t>Used 2023-05-09 to 2023-11-14</t>
  </si>
  <si>
    <t>Used 2023-01-06 to 2023-05-08; overlap with primary 0 d (label retired)</t>
  </si>
  <si>
    <t>Used 2023-04-25 to 2026-09-21</t>
  </si>
  <si>
    <t>Used 2023-01-10 to 2023-04-12; overlap with primary 0 d (label retired)</t>
  </si>
  <si>
    <t>Used 2023-05-10 to 2024-07-17</t>
  </si>
  <si>
    <t>Used 2023-04-26 to 2023-04-26; overlap with primary 0 d (label retired)</t>
  </si>
  <si>
    <t>Used 2023-01-04 to 2026-10-01</t>
  </si>
  <si>
    <t>DCMO - Facility Management</t>
  </si>
  <si>
    <t>Used 2023-01-04 to 2023-05-09; overlap with primary 125 d (label retired)</t>
  </si>
  <si>
    <t>Used 2023-01-04 to 2026-09-30</t>
  </si>
  <si>
    <t>Used 2023-01-02 to 2023-05-07; overlap with primary 123 d (label retired)</t>
  </si>
  <si>
    <t>Used 2023-10-26 to 2025-08-18</t>
  </si>
  <si>
    <t>Used 2023-01-23 to 2023-02-06; overlap with primary 0 d (label retired)</t>
  </si>
  <si>
    <t>Used 2023-05-09 to 2026-09-28</t>
  </si>
  <si>
    <t>Fleet and Inventory</t>
  </si>
  <si>
    <t>Used 2023-01-18 to 2023-03-31; overlap with primary 0 d (label retired)</t>
  </si>
  <si>
    <t>Used 2023-05-26 to 2025-08-05</t>
  </si>
  <si>
    <t>Used 2023-01-16 to 2023-03-28; overlap with primary 0 d (label retired)</t>
  </si>
  <si>
    <t>Used 2023-01-02 to 2026-06-30</t>
  </si>
  <si>
    <t>Used 2023-01-07 to 2026-10-01</t>
  </si>
  <si>
    <t>Used 2023-01-03 to 2023-05-09; overlap with primary 122 d (label retired)</t>
  </si>
  <si>
    <t>Used 2023-01-06 to 2026-10-01</t>
  </si>
  <si>
    <t>Used 2023-01-02 to 2023-05-09; overlap with primary 123 d (label retired)</t>
  </si>
  <si>
    <t>Used 2023-01-02 to 2026-08-17</t>
  </si>
  <si>
    <t>Used 2023-01-11 to 2026-10-01</t>
  </si>
  <si>
    <t>Used 2023-01-02 to 2023-05-09; overlap with primary 118 d (label retired)</t>
  </si>
  <si>
    <t>Used 2023-01-03 to 2023-05-09; overlap with primary 120 d (label retired)</t>
  </si>
  <si>
    <t>Used 2023-01-02 to 2023-05-04; overlap with primary 122 d (label retired)</t>
  </si>
  <si>
    <t>Used 2023-04-06 to 2026-07-14</t>
  </si>
  <si>
    <t>Used 2023-01-12 to 2023-05-09; overlap with primary 33 d (label retired)</t>
  </si>
  <si>
    <t>Used 2023-01-02 to 2023-05-08; overlap with primary 124 d (label retired)</t>
  </si>
  <si>
    <t>Used 2023-01-03 to 2026-07-15</t>
  </si>
  <si>
    <t>Used 2023-01-27 to 2023-01-27; overlap with primary 0 d (label retired)</t>
  </si>
  <si>
    <t>Used 2023-01-02 to 2023-05-02; overlap with primary 115 d (label retired)</t>
  </si>
  <si>
    <t>Used 2023-02-11 to 2026-10-01</t>
  </si>
  <si>
    <t>Used 2023-01-02 to 2023-05-03; overlap with primary 81 d (label retired)</t>
  </si>
  <si>
    <t>Used 2023-01-10 to 2023-05-03; overlap with primary 15 d (label retired)</t>
  </si>
  <si>
    <t>Used 2023-04-26 to 2025-08-07</t>
  </si>
  <si>
    <t>Used 2023-01-04 to 2023-05-06; overlap with primary 10 d (label retired)</t>
  </si>
  <si>
    <t>Used 2023-01-18 to 2026-09-30</t>
  </si>
  <si>
    <t>Used 2023-01-12 to 2023-04-29; overlap with primary 101 d (label retired)</t>
  </si>
  <si>
    <t>Used 2023-01-03 to 2023-05-04; overlap with primary 62 d (label retired)</t>
  </si>
  <si>
    <t>Used 2023-01-07 to 2023-10-20</t>
  </si>
  <si>
    <t>Used 2023-01-03 to 2023-05-08; overlap with primary 121 d (label retired)</t>
  </si>
  <si>
    <t>Used 2023-02-09 to 2026-09-29</t>
  </si>
  <si>
    <t>Used 2023-01-04 to 2023-03-23; overlap with primary 42 d (label retired)</t>
  </si>
  <si>
    <t>Used 2023-04-12 to 2024-10-30</t>
  </si>
  <si>
    <t>Used 2023-01-04 to 2023-05-04; overlap with primary 22 d (label retired)</t>
  </si>
  <si>
    <t>Used 2023-01-16 to 2026-10-01</t>
  </si>
  <si>
    <t>Used 2023-01-04 to 2023-05-08; overlap with primary 112 d (label retired)</t>
  </si>
  <si>
    <t>Used 2023-02-15 to 2023-09-28</t>
  </si>
  <si>
    <t>Used 2023-01-07 to 2023-05-09; overlap with primary 83 d (label retired)</t>
  </si>
  <si>
    <t>Used 2023-03-23 to 2023-10-19</t>
  </si>
  <si>
    <t>Used 2023-03-13 to 2026-03-24</t>
  </si>
  <si>
    <t>Used 2023-01-02 to 2023-05-09; overlap with primary 57 d (label retired)</t>
  </si>
  <si>
    <t>Used 2023-01-09 to 2023-05-05; overlap with primary 17 d (label retired)</t>
  </si>
  <si>
    <t>Used 2023-03-26 to 2026-09-29</t>
  </si>
  <si>
    <t>Used 2023-01-15 to 2023-05-05; overlap with primary 40 d (label retired)</t>
  </si>
  <si>
    <t>Used 2023-02-14 to 2026-09-27</t>
  </si>
  <si>
    <t>Used 2023-01-13 to 2023-05-03; overlap with primary 78 d (label retired)</t>
  </si>
  <si>
    <t>Used 2023-03-18 to 2023-10-18</t>
  </si>
  <si>
    <t>Used 2023-01-05 to 2023-05-08; overlap with primary 51 d (label retired)</t>
  </si>
  <si>
    <t>Used 2023-01-05 to 2024-02-05</t>
  </si>
  <si>
    <t>Used 2023-01-04 to 2023-05-08; overlap with primary 123 d (label retired)</t>
  </si>
  <si>
    <t>Used 2023-05-09 to 2024-07-12</t>
  </si>
  <si>
    <t>Used 2023-01-22 to 2023-05-08; overlap with primary 0 d (label retired)</t>
  </si>
  <si>
    <t>Used 2023-05-04 to 2024-12-12</t>
  </si>
  <si>
    <t>Used 2023-01-03 to 2023-04-26; overlap with primary 0 d (label retired)</t>
  </si>
  <si>
    <t>Used 2023-04-13 to 2024-01-31</t>
  </si>
  <si>
    <t>Used 2023-01-19 to 2023-05-05; overlap with primary 22 d (label retired)</t>
  </si>
  <si>
    <t>Used 2023-04-11 to 2023-10-30</t>
  </si>
  <si>
    <t>Used 2023-01-17 to 2023-05-04; overlap with primary 23 d (label retired)</t>
  </si>
  <si>
    <t>Used 2023-01-09 to 2025-08-04</t>
  </si>
  <si>
    <t>AO - Calgary Parking Authority</t>
  </si>
  <si>
    <t>Used 2023-01-17 to 2023-03-24; overlap with primary 66 d (label retired)</t>
  </si>
  <si>
    <t>Used 2023-05-15 to 2026-09-30</t>
  </si>
  <si>
    <t>Used 2023-01-29 to 2023-05-03; overlap with primary 0 d (label retired)</t>
  </si>
  <si>
    <t>Used 2023-04-27 to 2026-09-16</t>
  </si>
  <si>
    <t>Used 2023-01-04 to 2023-05-09; overlap with primary 12 d (label retired)</t>
  </si>
  <si>
    <t>Used 2023-05-23 to 2024-10-28</t>
  </si>
  <si>
    <t>Used 2023-01-05 to 2023-03-29; overlap with primary 0 d (label retired)</t>
  </si>
  <si>
    <t>Used 2023-04-03 to 2023-09-19</t>
  </si>
  <si>
    <t>Used 2023-01-03 to 2023-05-04; overlap with primary 31 d (label retired)</t>
  </si>
  <si>
    <t>Used 2023-02-03 to 2026-09-23</t>
  </si>
  <si>
    <t>Used 2023-01-23 to 2023-04-01; overlap with primary 57 d (label retired)</t>
  </si>
  <si>
    <t>Used 2023-04-12 to 2026-07-18</t>
  </si>
  <si>
    <t>Used 2023-05-12 to 2026-09-24</t>
  </si>
  <si>
    <t>Used 2023-01-11 to 2023-04-24; overlap with primary 0 d (label retired)</t>
  </si>
  <si>
    <t>Used 2023-06-05 to 2024-08-06</t>
  </si>
  <si>
    <t>Used 2023-03-22 to 2023-04-19; overlap with primary 0 d (label retired)</t>
  </si>
  <si>
    <t>Used 2023-03-29 to 2023-11-09</t>
  </si>
  <si>
    <t>Used 2023-01-25 to 2023-02-17; overlap with primary 0 d (label retired)</t>
  </si>
  <si>
    <t>Used 2023-01-03 to 2024-04-22</t>
  </si>
  <si>
    <t>CS - Calgary Parks</t>
  </si>
  <si>
    <t>Used 2023-01-03 to 2023-04-23; overlap with primary 110 d (label retired)</t>
  </si>
  <si>
    <t>Used 2023-01-09 to 2024-04-22</t>
  </si>
  <si>
    <t>Used 2023-01-02 to 2023-04-11; overlap with primary 92 d (label retired)</t>
  </si>
  <si>
    <t>Used 2023-01-02 to 2023-05-02; overlap with primary 106 d (label retired)</t>
  </si>
  <si>
    <t>Used 2023-03-21 to 2024-04-23</t>
  </si>
  <si>
    <t>Used 2023-01-02 to 2023-05-09; overlap with primary 49 d (label retired)</t>
  </si>
  <si>
    <t>Used 2023-01-03 to 2023-04-06; overlap with primary 93 d (label retired)</t>
  </si>
  <si>
    <t>Used 2023-01-04 to 2023-05-04; overlap with primary 120 d (label retired)</t>
  </si>
  <si>
    <t>Used 2023-02-27 to 2024-04-22</t>
  </si>
  <si>
    <t>Used 2023-01-02 to 2023-05-09; overlap with primary 71 d (label retired)</t>
  </si>
  <si>
    <t>Used 2023-03-21 to 2024-04-22</t>
  </si>
  <si>
    <t>Used 2023-04-28 to 2024-04-22</t>
  </si>
  <si>
    <t>Used 2023-01-03 to 2023-05-08; overlap with primary 10 d (label retired)</t>
  </si>
  <si>
    <t>Used 2023-04-30 to 2024-04-18</t>
  </si>
  <si>
    <t>Used 2023-01-07 to 2023-05-08; overlap with primary 8 d (label retired)</t>
  </si>
  <si>
    <t>Used 2023-03-10 to 2026-10-01</t>
  </si>
  <si>
    <t>Used 2023-01-03 to 2023-05-08; overlap with primary 59 d (label retired)</t>
  </si>
  <si>
    <t>Used 2023-01-05 to 2023-05-08; overlap with primary 123 d (label retired)</t>
  </si>
  <si>
    <t>Used 2023-01-26 to 2024-04-22</t>
  </si>
  <si>
    <t>Used 2023-01-03 to 2023-05-07; overlap with primary 101 d (label retired)</t>
  </si>
  <si>
    <t>Used 2023-02-09 to 2025-03-02</t>
  </si>
  <si>
    <t>Used 2023-01-03 to 2023-04-12; overlap with primary 62 d (label retired)</t>
  </si>
  <si>
    <t>Used 2023-05-04 to 2025-08-07</t>
  </si>
  <si>
    <t>Used 2023-01-04 to 2023-05-05; overlap with primary 1 d (label retired)</t>
  </si>
  <si>
    <t>Used 2023-04-29 to 2026-09-29</t>
  </si>
  <si>
    <t>Used 2023-01-16 to 2023-05-08; overlap with primary 9 d (label retired)</t>
  </si>
  <si>
    <t>Used 2023-04-11 to 2024-04-22</t>
  </si>
  <si>
    <t>Used 2023-02-02 to 2023-04-28; overlap with primary 17 d (label retired)</t>
  </si>
  <si>
    <t>Used 2023-04-01 to 2024-04-23</t>
  </si>
  <si>
    <t>Used 2023-01-03 to 2023-05-08; overlap with primary 37 d (label retired)</t>
  </si>
  <si>
    <t>Used 2023-05-29 to 2026-10-01</t>
  </si>
  <si>
    <t>Used 2023-03-13 to 2023-03-13; overlap with primary 0 d (label retired)</t>
  </si>
  <si>
    <t>Used 2023-03-06 to 2024-04-22</t>
  </si>
  <si>
    <t>Used 2023-01-18 to 2023-05-05; overlap with primary 60 d (label retired)</t>
  </si>
  <si>
    <t>Used 2023-04-28 to 2026-09-30</t>
  </si>
  <si>
    <t>Used 2023-01-11 to 2023-05-05; overlap with primary 7 d (label retired)</t>
  </si>
  <si>
    <t>Used 2023-04-20 to 2026-09-28</t>
  </si>
  <si>
    <t>Used 2023-01-09 to 2023-05-03; overlap with primary 13 d (label retired)</t>
  </si>
  <si>
    <t>Used 2023-03-22 to 2026-09-09</t>
  </si>
  <si>
    <t>Used 2023-01-30 to 2023-04-27; overlap with primary 36 d (label retired)</t>
  </si>
  <si>
    <t>Used 2023-04-10 to 2026-10-01</t>
  </si>
  <si>
    <t>Used 2023-01-10 to 2023-05-03; overlap with primary 23 d (label retired)</t>
  </si>
  <si>
    <t>Used 2023-05-04 to 2024-04-17</t>
  </si>
  <si>
    <t>Used 2023-01-03 to 2023-05-08; overlap with primary 4 d (label retired)</t>
  </si>
  <si>
    <t>Used 2023-04-13 to 2024-05-30</t>
  </si>
  <si>
    <t>Used 2023-01-04 to 2023-05-08; overlap with primary 25 d (label retired)</t>
  </si>
  <si>
    <t>Used 2023-05-05 to 2024-04-16</t>
  </si>
  <si>
    <t>Used 2023-01-02 to 2023-05-07; overlap with primary 2 d (label retired)</t>
  </si>
  <si>
    <t>Used 2023-04-21 to 2024-04-16</t>
  </si>
  <si>
    <t>Used 2023-01-09 to 2023-05-08; overlap with primary 17 d (label retired)</t>
  </si>
  <si>
    <t>Used 2023-05-11 to 2024-04-18</t>
  </si>
  <si>
    <t>Used 2023-02-03 to 2023-05-08; overlap with primary 0 d (label retired)</t>
  </si>
  <si>
    <t>Used 2023-06-21 to 2025-03-07</t>
  </si>
  <si>
    <t>Used 2023-03-16 to 2023-06-08; overlap with primary 0 d</t>
  </si>
  <si>
    <t>Used 2023-04-17 to 2023-05-04; overlap with primary 0 d (label retired)</t>
  </si>
  <si>
    <t>Used 2023-03-17 to 2025-03-03</t>
  </si>
  <si>
    <t>Used 2023-01-16 to 2023-04-04; overlap with primary 18 d (label retired)</t>
  </si>
  <si>
    <t>Used 2023-02-20 to 2024-04-22</t>
  </si>
  <si>
    <t>Used 2023-01-09 to 2023-05-03; overlap with primary 72 d (label retired)</t>
  </si>
  <si>
    <t>Used 2023-01-04 to 2023-05-08; overlap with primary 124 d (label retired)</t>
  </si>
  <si>
    <t>Used 2023-05-04 to 2026-10-01</t>
  </si>
  <si>
    <t>Used 2023-01-02 to 2023-05-04; overlap with primary 0 d (label retired)</t>
  </si>
  <si>
    <t>Used 2023-01-03 to 2023-05-07; overlap with primary 124 d (label retired)</t>
  </si>
  <si>
    <t>Used 2023-01-03 to 2026-09-30</t>
  </si>
  <si>
    <t>Used 2023-01-06 to 2023-05-09; overlap with primary 123 d (label retired)</t>
  </si>
  <si>
    <t>Used 2023-01-06 to 2026-09-23</t>
  </si>
  <si>
    <t>Used 2023-01-03 to 2023-05-08; overlap with primary 122 d (label retired)</t>
  </si>
  <si>
    <t>Used 2023-04-19 to 2026-09-30</t>
  </si>
  <si>
    <t>Used 2023-01-03 to 2023-04-18; overlap with primary 0 d (label retired)</t>
  </si>
  <si>
    <t>Used 2023-04-24 to 2026-09-29</t>
  </si>
  <si>
    <t>Used 2023-01-04 to 2023-05-09; overlap with primary 15 d (label retired)</t>
  </si>
  <si>
    <t>Used 2023-05-15 to 2026-09-12</t>
  </si>
  <si>
    <t>Used 2023-04-27 to 2023-05-01; overlap with primary 0 d (label retired)</t>
  </si>
  <si>
    <t>Used 2023-01-02 to 2023-04-28; overlap with primary 1 d (label retired)</t>
  </si>
  <si>
    <t>Used 2023-01-10 to 2026-09-28</t>
  </si>
  <si>
    <t>Used 2023-01-27 to 2023-03-03; overlap with primary 35 d (label retired)</t>
  </si>
  <si>
    <t>Used 2023-01-02 to 2026-09-24</t>
  </si>
  <si>
    <t>Used 2023-01-16 to 2023-05-09; overlap with primary 113 d (label retired)</t>
  </si>
  <si>
    <t>Used 2023-05-01 to 2026-09-27</t>
  </si>
  <si>
    <t>Used 2023-01-02 to 2023-04-27; overlap with primary 0 d (label retired)</t>
  </si>
  <si>
    <t>Used 2023-01-16 to 2026-09-23</t>
  </si>
  <si>
    <t>Used 2023-01-10 to 2023-04-14; overlap with primary 88 d (label retired)</t>
  </si>
  <si>
    <t>Used 2023-05-10 to 2026-09-04</t>
  </si>
  <si>
    <t>Used 2023-01-09 to 2023-11-17 (label retired)</t>
  </si>
  <si>
    <t>Used 2023-01-02 to 2023-05-02; overlap with primary 113 d (label retired)</t>
  </si>
  <si>
    <t>Used 2023-02-09 to 2024-01-29 (label retired)</t>
  </si>
  <si>
    <t>Used 2023-01-03 to 2023-04-25; overlap with primary 75 d (label retired)</t>
  </si>
  <si>
    <t>Used 2023-05-08 to 2024-01-26 (label retired)</t>
  </si>
  <si>
    <t>Used 2023-01-30 to 2023-04-18; overlap with primary 0 d (label retired)</t>
  </si>
  <si>
    <t>Used 2023-01-19 to 2024-02-27 (label retired)</t>
  </si>
  <si>
    <t>Used 2023-01-02 to 2023-05-08; overlap with primary 87 d (label retired)</t>
  </si>
  <si>
    <t>Used 2023-02-01 to 2026-10-01</t>
  </si>
  <si>
    <t>Used 2023-01-02 to 2023-05-09; overlap with primary 97 d (label retired)</t>
  </si>
  <si>
    <t>Used 2023-03-02 to 2026-10-01</t>
  </si>
  <si>
    <t>Used 2023-01-02 to 2023-05-09; overlap with primary 68 d (label retired)</t>
  </si>
  <si>
    <t>Used 2023-01-02 to 2023-05-05; overlap with primary 121 d (label retired)</t>
  </si>
  <si>
    <t>Used 2023-01-02 to 2023-05-09; overlap with primary 122 d (label retired)</t>
  </si>
  <si>
    <t>Used 2023-01-03 to 2023-05-08; overlap with primary 105 d (label retired)</t>
  </si>
  <si>
    <t>Used 2023-01-16 to 2026-09-30</t>
  </si>
  <si>
    <t>Used 2023-01-04 to 2025-05-05</t>
  </si>
  <si>
    <t>Used 2023-01-02 to 2023-05-04; overlap with primary 115 d (label retired)</t>
  </si>
  <si>
    <t>Used 2023-01-02 to 2023-05-07; overlap with primary 115 d (label retired)</t>
  </si>
  <si>
    <t>Used 2023-02-01 to 2023-05-09; overlap with primary 97 d (label retired)</t>
  </si>
  <si>
    <t>Used 2023-04-14 to 2026-10-01</t>
  </si>
  <si>
    <t>Used 2023-01-03 to 2023-05-08; overlap with primary 24 d (label retired)</t>
  </si>
  <si>
    <t>Used 2023-04-13 to 2026-10-01</t>
  </si>
  <si>
    <t>Used 2023-01-02 to 2023-05-09; overlap with primary 26 d (label retired)</t>
  </si>
  <si>
    <t>Used 2023-03-01 to 2026-10-01</t>
  </si>
  <si>
    <t>Used 2023-01-03 to 2023-05-08; overlap with primary 68 d (label retired)</t>
  </si>
  <si>
    <t>Used 2023-02-14 to 2026-10-01</t>
  </si>
  <si>
    <t>Used 2023-01-03 to 2023-05-08; overlap with primary 83 d (label retired)</t>
  </si>
  <si>
    <t>Used 2023-01-30 to 2026-07-23</t>
  </si>
  <si>
    <t>Used 2023-01-04 to 2023-05-03; overlap with primary 93 d (label retired)</t>
  </si>
  <si>
    <t>Used 2023-01-04 to 2026-09-29</t>
  </si>
  <si>
    <t>Used 2023-02-08 to 2026-09-29</t>
  </si>
  <si>
    <t>Used 2023-01-10 to 2023-05-04; overlap with primary 85 d (label retired)</t>
  </si>
  <si>
    <t>Used 2023-01-06 to 2026-09-29</t>
  </si>
  <si>
    <t>Used 2023-01-09 to 2023-04-17; overlap with primary 98 d (label retired)</t>
  </si>
  <si>
    <t>Used 2023-01-02 to 2023-05-06; overlap with primary 100 d (label retired)</t>
  </si>
  <si>
    <t>Used 2023-05-09 to 2024-04-10</t>
  </si>
  <si>
    <t>Used 2023-01-05 to 2023-05-09; overlap with primary 0 d (label retired)</t>
  </si>
  <si>
    <t>Used 2023-03-30 to 2026-10-01</t>
  </si>
  <si>
    <t>Used 2023-01-05 to 2023-04-27; overlap with primary 28 d (label retired)</t>
  </si>
  <si>
    <t>Used 2023-01-27 to 2026-10-01</t>
  </si>
  <si>
    <t>Used 2023-01-02 to 2023-04-27; overlap with primary 90 d (label retired)</t>
  </si>
  <si>
    <t>Used 2023-03-31 to 2025-09-12</t>
  </si>
  <si>
    <t>Used 2023-01-03 to 2023-04-29; overlap with primary 29 d (label retired)</t>
  </si>
  <si>
    <t>Used 2023-04-05 to 2026-09-29</t>
  </si>
  <si>
    <t>Used 2023-01-11 to 2023-05-04; overlap with primary 29 d (label retired)</t>
  </si>
  <si>
    <t>Used 2023-03-13 to 2026-09-08</t>
  </si>
  <si>
    <t>Used 2023-01-04 to 2023-05-05; overlap with primary 53 d (label retired)</t>
  </si>
  <si>
    <t>Used 2023-05-16 to 2026-09-25</t>
  </si>
  <si>
    <t>Used 2023-01-13 to 2023-05-04; overlap with primary 0 d (label retired)</t>
  </si>
  <si>
    <t>Used 2023-05-05 to 2026-09-10</t>
  </si>
  <si>
    <t>Used 2023-01-09 to 2023-05-06; overlap with primary 1 d (label retired)</t>
  </si>
  <si>
    <t>Used 2023-04-30 to 2026-10-01</t>
  </si>
  <si>
    <t>Used 2023-01-18 to 2023-05-03; overlap with primary 3 d (label retired)</t>
  </si>
  <si>
    <t>Used 2023-02-02 to 2025-04-22</t>
  </si>
  <si>
    <t>Used 2023-01-05 to 2023-04-18; overlap with primary 75 d (label retired)</t>
  </si>
  <si>
    <t>Used 2023-03-29 to 2026-09-30</t>
  </si>
  <si>
    <t>Used 2023-05-02 to 2023-05-02; overlap with primary 0 d (label retired)</t>
  </si>
  <si>
    <t>Used 2023-05-11 to 2025-04-26</t>
  </si>
  <si>
    <t>Used 2023-01-16 to 2023-05-08; overlap with primary 0 d (label retired)</t>
  </si>
  <si>
    <t>Tranc - Calgary Transit</t>
  </si>
  <si>
    <t>Used 2023-01-02 to 2023-11-14; overlap with primary 309 d (label retired)</t>
  </si>
  <si>
    <t>Used 2023-01-20 to 2026-10-01</t>
  </si>
  <si>
    <t>Used 2023-01-04 to 2023-11-10; overlap with primary 294 d (label retired)</t>
  </si>
  <si>
    <t>Used 2023-05-24 to 2026-09-29</t>
  </si>
  <si>
    <t>Used 2023-01-03 to 2023-11-14; overlap with primary 174 d (label retired)</t>
  </si>
  <si>
    <t>Uepc - Waste and Recycling Services</t>
  </si>
  <si>
    <t>Used 2023-01-02 to 2023-08-25; overlap with primary 226 d (label retired)</t>
  </si>
  <si>
    <t>Used 2023-03-29 to 2023-09-05; overlap with primary 41 d</t>
  </si>
  <si>
    <t>Used 2023-04-27 to 2023-09-05; overlap with primary 12 d</t>
  </si>
  <si>
    <t>Used 2023-01-03 to 2023-05-09 (label retired)</t>
  </si>
  <si>
    <t>Used 2023-02-17 to 2023-09-05; overlap with primary 81 d</t>
  </si>
  <si>
    <t>Used 2023-03-07 to 2023-05-23; overlap with primary 63 d</t>
  </si>
  <si>
    <t>Used 2023-01-02 to 2023-05-08 (label retired)</t>
  </si>
  <si>
    <t>Used 2023-03-15 to 2023-09-05; overlap with primary 54 d</t>
  </si>
  <si>
    <t>Used 2023-01-06 to 2023-05-08 (label retired)</t>
  </si>
  <si>
    <t>Used 2023-05-09 to 2023-08-25; overlap with primary 0 d</t>
  </si>
  <si>
    <t>Used 2023-01-04 to 2023-05-09 (label retired)</t>
  </si>
  <si>
    <t>Used 2023-05-10 to 2023-09-05; overlap with primary 0 d</t>
  </si>
  <si>
    <t>Used 2023-01-03 to 2023-04-19 (label retired)</t>
  </si>
  <si>
    <t>Used 2023-05-23 to 2023-05-23; overlap with primary 0 d</t>
  </si>
  <si>
    <t>Used 2023-05-07 to 2023-11-04</t>
  </si>
  <si>
    <t>PD - Calgary Growth Strategies</t>
  </si>
  <si>
    <t>Used 2023-01-13 to 2023-04-04; overlap with primary 0 d (label retired)</t>
  </si>
  <si>
    <t>Used 2023-06-12 to 2023-09-29</t>
  </si>
  <si>
    <t>Used 2023-01-06 to 2023-04-15; overlap with primary 0 d (label retired)</t>
  </si>
  <si>
    <t>Used 2023-03-15 to 2023-07-26</t>
  </si>
  <si>
    <t>Used 2023-02-06 to 2023-04-04; overlap with primary 20 d (label retired)</t>
  </si>
  <si>
    <t>Used 2023-05-23 to 2023-09-18</t>
  </si>
  <si>
    <t>Used 2023-06-13 to 2023-08-16</t>
  </si>
  <si>
    <t>Used 2023-01-26 to 2023-01-26; overlap with primary 0 d (label retired)</t>
  </si>
  <si>
    <t>Used 2023-04-24 to 2025-05-26</t>
  </si>
  <si>
    <t>PD - Community Planning</t>
  </si>
  <si>
    <t>Used 2023-01-09 to 2023-04-13; overlap with primary 0 d (label retired)</t>
  </si>
  <si>
    <t>Used 2023-04-19 to 2023-09-05</t>
  </si>
  <si>
    <t>Used 2023-01-02 to 2023-05-09; overlap with primary 20 d (label retired)</t>
  </si>
  <si>
    <t>Used 2023-04-03 to 2023-09-05</t>
  </si>
  <si>
    <t>Used 2023-01-02 to 2023-05-09; overlap with primary 36 d (label retired)</t>
  </si>
  <si>
    <t>Used 2023-02-27 to 2023-09-05</t>
  </si>
  <si>
    <t>Used 2023-04-25 to 2023-09-05</t>
  </si>
  <si>
    <t>Used 2023-01-02 to 2023-05-09; overlap with primary 14 d (label retired)</t>
  </si>
  <si>
    <t>Used 2023-05-09 to 2023-09-05</t>
  </si>
  <si>
    <t>Used 2023-03-27 to 2023-09-05</t>
  </si>
  <si>
    <t>Used 2023-01-02 to 2023-05-08; overlap with primary 42 d (label retired)</t>
  </si>
  <si>
    <t>Used 2023-05-02 to 2023-09-01</t>
  </si>
  <si>
    <t>Used 2023-01-02 to 2023-05-09; overlap with primary 7 d (label retired)</t>
  </si>
  <si>
    <t>Used 2023-01-15 to 2023-09-05</t>
  </si>
  <si>
    <t>Used 2023-01-02 to 2023-05-08; overlap with primary 113 d (label retired)</t>
  </si>
  <si>
    <t>Used 2023-01-05 to 2023-09-05</t>
  </si>
  <si>
    <t>Used 2023-04-03 to 2023-09-03</t>
  </si>
  <si>
    <t>Used 2023-01-02 to 2023-05-08; overlap with primary 35 d (label retired)</t>
  </si>
  <si>
    <t>Used 2023-03-30 to 2023-08-31</t>
  </si>
  <si>
    <t>Used 2023-01-02 to 2023-05-09; overlap with primary 40 d (label retired)</t>
  </si>
  <si>
    <t>Used 2023-02-17 to 2023-09-03</t>
  </si>
  <si>
    <t>Used 2023-01-08 to 2023-05-08; overlap with primary 80 d (label retired)</t>
  </si>
  <si>
    <t>Used 2023-03-17 to 2023-08-31</t>
  </si>
  <si>
    <t>Used 2023-01-11 to 2023-05-08; overlap with primary 52 d (label retired)</t>
  </si>
  <si>
    <t>Used 2023-04-20 to 2026-03-31</t>
  </si>
  <si>
    <t>Used 2023-05-05 to 2026-03-24</t>
  </si>
  <si>
    <t>Used 2023-01-12 to 2023-05-05; overlap with primary 0 d (label retired)</t>
  </si>
  <si>
    <t>REAL SPLIT</t>
  </si>
  <si>
    <t>Used 2023-01-16 to 2026-03-12</t>
  </si>
  <si>
    <t>Used 2025-07-16 to 2025-12-11; overlap with primary 148 d</t>
  </si>
  <si>
    <t>Used 2023-02-01 to 2023-11-14</t>
  </si>
  <si>
    <t>Used 2023-01-05 to 2023-05-03; overlap with primary 91 d (label retired)</t>
  </si>
  <si>
    <t>Used 2023-01-19 to 2023-10-17</t>
  </si>
  <si>
    <t>Used 2023-03-22 to 2023-04-27; overlap with primary 36 d (label retired)</t>
  </si>
  <si>
    <t>Used 2023-05-09 to 2026-02-20</t>
  </si>
  <si>
    <t>Used 2023-01-05 to 2023-02-14; overlap with primary 0 d (label retired)</t>
  </si>
  <si>
    <t>Used 2023-12-05 to 2025-01-02</t>
  </si>
  <si>
    <t>Used 2023-01-02 to 2023-01-02; overlap with primary 0 d (label retired)</t>
  </si>
  <si>
    <t>Used 2023-07-10 to 2023-09-07</t>
  </si>
  <si>
    <t>Used 2023-01-15 to 2023-04-21; overlap with primary 0 d (label retired)</t>
  </si>
  <si>
    <t>Used 2023-06-09 to 2023-10-23</t>
  </si>
  <si>
    <t>Used 2023-02-15 to 2023-02-15; overlap with primary 0 d (label retired)</t>
  </si>
  <si>
    <t>Used 2023-06-26 to 2023-06-26</t>
  </si>
  <si>
    <t>Used 2023-03-02 to 2023-03-02; overlap with primary 0 d (label retired)</t>
  </si>
  <si>
    <t>Used 2023-03-01 to 2025-08-07</t>
  </si>
  <si>
    <t>CFOD - Customer Services and Communications</t>
  </si>
  <si>
    <t>Used 2023-01-02 to 2023-05-15; overlap with primary 75 d (label retired)</t>
  </si>
  <si>
    <t>Used 2023-05-05 to 2025-06-26</t>
  </si>
  <si>
    <t>Used 2023-01-02 to 2023-05-09; overlap with primary 4 d (label retired)</t>
  </si>
  <si>
    <t>Used 2023-01-03 to 2026-04-02</t>
  </si>
  <si>
    <t>Used 2023-05-02 to 2026-03-24</t>
  </si>
  <si>
    <t>Used 2023-01-02 to 2023-03-29; overlap with primary 0 d (label retired)</t>
  </si>
  <si>
    <t>Used 2023-03-31 to 2025-08-05</t>
  </si>
  <si>
    <t>Used 2023-02-27 to 2023-02-27; overlap with primary 0 d (label retired)</t>
  </si>
  <si>
    <t>CFOD - Human Resources</t>
  </si>
  <si>
    <t>Used 2023-01-03 to 2023-05-03; overlap with primary 120 d (label retired)</t>
  </si>
  <si>
    <t>Used 2023-08-16 to 2026-06-30</t>
  </si>
  <si>
    <t>CFOD - Information Technology</t>
  </si>
  <si>
    <t>Used 2023-01-31 to 2023-01-31; overlap with primary 0 d (label retired)</t>
  </si>
  <si>
    <t>Used 2023-01-26 to 2023-01-26 (label retired)</t>
  </si>
  <si>
    <t>Used 2023-01-19 to 2023-01-19; overlap with primary 0 d (label retired)</t>
  </si>
  <si>
    <t>Used 2023-01-03 to 2025-04-15 (label retired)</t>
  </si>
  <si>
    <t>IS - Green Line LRT - SE Project</t>
  </si>
  <si>
    <t>Used 2025-03-14 to 2026-09-21; overlap with primary 32 d</t>
  </si>
  <si>
    <t>Used 2023-04-18 to 2023-07-19; overlap with primary 21 d</t>
  </si>
  <si>
    <t>Used 2023-01-04 to 2023-04-30 (label retired)</t>
  </si>
  <si>
    <t>Used 2023-04-17 to 2023-05-12; overlap with primary 13 d</t>
  </si>
  <si>
    <t>Used 2023-03-10 to 2023-10-25; overlap with primary 60 d (label retired)</t>
  </si>
  <si>
    <t>Used 2023-01-05 to 2023-06-16; overlap with primary 123 d</t>
  </si>
  <si>
    <t>Used 2023-01-03 to 2023-05-08 (label retired)</t>
  </si>
  <si>
    <t>Used 2023-05-16 to 2023-06-14; overlap with primary 0 d</t>
  </si>
  <si>
    <t>Used 2023-01-05 to 2023-05-08 (label retired)</t>
  </si>
  <si>
    <t>Used 2023-05-09 to 2023-06-12; overlap with primary 0 d</t>
  </si>
  <si>
    <t>Used 2023-01-03 to 2023-04-26 (label retired)</t>
  </si>
  <si>
    <t>Used 2023-03-10 to 2023-03-10; overlap with primary 0 d</t>
  </si>
  <si>
    <t>Used 2023-01-05 to 2023-04-19 (label retired)</t>
  </si>
  <si>
    <t>Used 2023-05-02 to 2023-06-16; overlap with primary 0 d</t>
  </si>
  <si>
    <t>Used 2023-01-25 to 2023-04-13 (label retired)</t>
  </si>
  <si>
    <t>Used 2023-05-31 to 2023-07-12; overlap with primary 0 d</t>
  </si>
  <si>
    <t>Used 2023-01-26 to 2023-05-09 (label retired)</t>
  </si>
  <si>
    <t>Used 2023-05-03 to 2024-03-21; overlap with primary 6 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</si>
</sst>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yyyy\-mm\-dd"/>
  </numFmts>
  <fonts count="6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color theme="1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/>
      <right/>
      <top style="thin">
        <color rgb="FF808080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0" xfId="0" applyFont="1"/>
    <xf numFmtId="0" fontId="3" fillId="0" borderId="0" xfId="0" applyFont="1"/>
    <xf numFmtId="0" fontId="4" fillId="0" borderId="0" xfId="0" applyFont="1"/>
    <xf numFmtId="3" fontId="4" fillId="0" borderId="0" xfId="0" applyNumberFormat="1" applyFont="1"/>
    <xf numFmtId="164" fontId="4" fillId="0" borderId="0" xfId="0" applyNumberFormat="1" applyFont="1"/>
    <xf numFmtId="165" fontId="4" fillId="0" borderId="0" xfId="0" applyNumberFormat="1" applyFont="1"/>
    <xf numFmtId="165" fontId="5" fillId="3" borderId="0" xfId="0" applyNumberFormat="1" applyFont="1" applyFill="1"/>
    <xf numFmtId="0" fontId="4" fillId="0" borderId="1" xfId="0" applyFont="1" applyBorder="1"/>
    <xf numFmtId="3" fontId="4" fillId="0" borderId="1" xfId="0" applyNumberFormat="1" applyFont="1" applyBorder="1"/>
    <xf numFmtId="164" fontId="4" fillId="0" borderId="1" xfId="0" applyNumberFormat="1" applyFont="1" applyBorder="1"/>
    <xf numFmtId="165" fontId="4" fillId="0" borderId="1" xfId="0" applyNumberFormat="1" applyFont="1" applyBorder="1"/>
    <xf numFmtId="1" fontId="5" fillId="3" borderId="0" xfId="0" applyNumberFormat="1" applyFont="1" applyFill="1"/>
    <xf numFmtId="166" fontId="4" fillId="0" borderId="0" xfId="0" applyNumberFormat="1" applyFont="1"/>
    <xf numFmtId="166" fontId="4" fillId="0" borderId="1" xfId="0" applyNumberFormat="1" applyFont="1" applyBorder="1"/>
  </cellXfs>
  <cellStyles count="1">
    <cellStyle name="Normal" xfId="0" builtinId="0"/>
  </cellStyles>
  <dxfs count="4"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E2EFDA"/>
        </patternFill>
      </fill>
    </dxf>
    <dxf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41"/>
  <sheetViews>
    <sheetView tabSelected="1" zoomScaleNormal="100" workbookViewId="0">
      <pane xSplit="1" ySplit="1" topLeftCell="P2" activePane="bottomRight" state="frozen"/>
      <selection pane="topRight" activeCell="B1" sqref="B1"/>
      <selection pane="bottomLeft" activeCell="A2" sqref="A2"/>
      <selection pane="bottomRight" activeCell="S2" sqref="S2"/>
    </sheetView>
  </sheetViews>
  <sheetFormatPr defaultColWidth="8.6640625" defaultRowHeight="14.25" x14ac:dyDescent="0.45"/>
  <cols>
    <col min="1" max="1" width="52" customWidth="1"/>
    <col min="2" max="2" width="44" customWidth="1"/>
    <col min="3" max="3" width="9" customWidth="1"/>
    <col min="4" max="5" width="10" customWidth="1"/>
    <col min="6" max="6" width="9" customWidth="1"/>
    <col min="7" max="7" width="15.796875" bestFit="1" customWidth="1"/>
    <col min="8" max="8" width="15.53125" bestFit="1" customWidth="1"/>
    <col min="9" max="9" width="16.265625" bestFit="1" customWidth="1"/>
    <col min="10" max="10" width="16.73046875" bestFit="1" customWidth="1"/>
    <col min="11" max="11" width="18.6640625" bestFit="1" customWidth="1"/>
    <col min="12" max="12" width="9" customWidth="1"/>
    <col min="13" max="13" width="18" customWidth="1"/>
    <col min="14" max="14" width="13.59765625" bestFit="1" customWidth="1"/>
    <col min="15" max="15" width="10" customWidth="1"/>
    <col min="16" max="16" width="9" customWidth="1"/>
    <col min="18" max="18" width="46" customWidth="1"/>
    <col min="19" max="19" width="12" customWidth="1"/>
  </cols>
  <sheetData>
    <row r="1" spans="1:19" ht="30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3" t="s">
        <v>16</v>
      </c>
      <c r="S1" s="2"/>
    </row>
    <row r="2" spans="1:19" x14ac:dyDescent="0.45">
      <c r="A2" s="4" t="s">
        <v>17</v>
      </c>
      <c r="B2" s="4" t="s">
        <v>18</v>
      </c>
      <c r="C2" s="5">
        <v>2</v>
      </c>
      <c r="D2" s="5">
        <v>23</v>
      </c>
      <c r="E2" s="5">
        <v>0</v>
      </c>
      <c r="F2" s="5">
        <v>0</v>
      </c>
      <c r="G2" s="5">
        <v>0</v>
      </c>
      <c r="H2" s="5">
        <v>23</v>
      </c>
      <c r="I2" s="6">
        <v>0</v>
      </c>
      <c r="J2" s="6">
        <v>0</v>
      </c>
      <c r="K2" s="6">
        <v>0</v>
      </c>
      <c r="L2" s="6">
        <v>0</v>
      </c>
      <c r="M2" s="4" t="str">
        <f t="shared" ref="M2:M65" si="0">IF(AND(K2="",L2=""),"No closed tickets",IF(K2="","MISSING in catalog",IF(L2="","No valid closed tickets",IF(AND(ABS(K2-L2)&gt;=$S$3,ABS(K2-L2)&gt;=$S$4*MAX(L2,1)),"FAR OFF","OK"))))</f>
        <v>OK</v>
      </c>
      <c r="N2" s="7">
        <f t="shared" ref="N2:N65" si="1">D2/SUMIFS($D$2:$D$741,$B$2:$B$741,B2)</f>
        <v>1</v>
      </c>
      <c r="O2" s="7">
        <f>SUMIFS($D$2:D2,$B$2:B2,B2)/SUMIFS($D$2:$D$741,$B$2:$B$741,B2)</f>
        <v>1</v>
      </c>
      <c r="P2" s="4" t="b">
        <f t="shared" ref="P2:P65" si="2">O2-N2&lt;$S$2</f>
        <v>1</v>
      </c>
      <c r="Q2" s="2"/>
      <c r="R2" s="4" t="s">
        <v>19</v>
      </c>
      <c r="S2" s="8">
        <v>0.95</v>
      </c>
    </row>
    <row r="3" spans="1:19" x14ac:dyDescent="0.45">
      <c r="A3" s="9" t="s">
        <v>20</v>
      </c>
      <c r="B3" s="9" t="s">
        <v>21</v>
      </c>
      <c r="C3" s="10">
        <v>2</v>
      </c>
      <c r="D3" s="10">
        <v>214</v>
      </c>
      <c r="E3" s="10">
        <v>37</v>
      </c>
      <c r="F3" s="10">
        <v>5</v>
      </c>
      <c r="G3" s="10">
        <v>3</v>
      </c>
      <c r="H3" s="10">
        <v>206</v>
      </c>
      <c r="I3" s="11">
        <v>7</v>
      </c>
      <c r="J3" s="11">
        <v>18.2</v>
      </c>
      <c r="K3" s="11">
        <v>46</v>
      </c>
      <c r="L3" s="11">
        <v>46</v>
      </c>
      <c r="M3" s="9" t="str">
        <f t="shared" si="0"/>
        <v>OK</v>
      </c>
      <c r="N3" s="12">
        <f t="shared" si="1"/>
        <v>1</v>
      </c>
      <c r="O3" s="12">
        <f>SUMIFS($D$2:D3,$B$2:B3,B3)/SUMIFS($D$2:$D$741,$B$2:$B$741,B3)</f>
        <v>1</v>
      </c>
      <c r="P3" s="9" t="b">
        <f t="shared" si="2"/>
        <v>1</v>
      </c>
      <c r="Q3" s="2"/>
      <c r="R3" s="4" t="s">
        <v>22</v>
      </c>
      <c r="S3" s="13">
        <v>5</v>
      </c>
    </row>
    <row r="4" spans="1:19" x14ac:dyDescent="0.45">
      <c r="A4" s="9" t="s">
        <v>23</v>
      </c>
      <c r="B4" s="9" t="s">
        <v>24</v>
      </c>
      <c r="C4" s="10">
        <v>2</v>
      </c>
      <c r="D4" s="10">
        <v>25</v>
      </c>
      <c r="E4" s="10">
        <v>25</v>
      </c>
      <c r="F4" s="10">
        <v>0</v>
      </c>
      <c r="G4" s="10">
        <v>0</v>
      </c>
      <c r="H4" s="10">
        <v>25</v>
      </c>
      <c r="I4" s="11">
        <v>6</v>
      </c>
      <c r="J4" s="11">
        <v>21.6</v>
      </c>
      <c r="K4" s="11">
        <v>62</v>
      </c>
      <c r="L4" s="11">
        <v>62</v>
      </c>
      <c r="M4" s="9" t="str">
        <f t="shared" si="0"/>
        <v>OK</v>
      </c>
      <c r="N4" s="12">
        <f t="shared" si="1"/>
        <v>1</v>
      </c>
      <c r="O4" s="12">
        <f>SUMIFS($D$2:D4,$B$2:B4,B4)/SUMIFS($D$2:$D$741,$B$2:$B$741,B4)</f>
        <v>1</v>
      </c>
      <c r="P4" s="9" t="b">
        <f t="shared" si="2"/>
        <v>1</v>
      </c>
      <c r="Q4" s="2"/>
      <c r="R4" s="4" t="s">
        <v>25</v>
      </c>
      <c r="S4" s="8">
        <v>0.2</v>
      </c>
    </row>
    <row r="5" spans="1:19" x14ac:dyDescent="0.45">
      <c r="A5" s="9" t="s">
        <v>26</v>
      </c>
      <c r="B5" s="9" t="s">
        <v>27</v>
      </c>
      <c r="C5" s="10">
        <v>1</v>
      </c>
      <c r="D5" s="10">
        <v>50951</v>
      </c>
      <c r="E5" s="10">
        <v>7326</v>
      </c>
      <c r="F5" s="10">
        <v>0</v>
      </c>
      <c r="G5" s="10">
        <v>0</v>
      </c>
      <c r="H5" s="10">
        <v>50951</v>
      </c>
      <c r="I5" s="11">
        <v>3</v>
      </c>
      <c r="J5" s="11">
        <v>6.7</v>
      </c>
      <c r="K5" s="11">
        <v>10</v>
      </c>
      <c r="L5" s="11">
        <v>10</v>
      </c>
      <c r="M5" s="9" t="str">
        <f t="shared" si="0"/>
        <v>OK</v>
      </c>
      <c r="N5" s="12">
        <f t="shared" si="1"/>
        <v>0.29134002344397747</v>
      </c>
      <c r="O5" s="12">
        <f>SUMIFS($D$2:D5,$B$2:B5,B5)/SUMIFS($D$2:$D$741,$B$2:$B$741,B5)</f>
        <v>0.29134002344397747</v>
      </c>
      <c r="P5" s="9" t="b">
        <f t="shared" si="2"/>
        <v>1</v>
      </c>
      <c r="Q5" s="2"/>
      <c r="R5" s="2"/>
      <c r="S5" s="2"/>
    </row>
    <row r="6" spans="1:19" x14ac:dyDescent="0.45">
      <c r="A6" s="4" t="s">
        <v>28</v>
      </c>
      <c r="B6" s="4" t="s">
        <v>27</v>
      </c>
      <c r="C6" s="5">
        <v>2</v>
      </c>
      <c r="D6" s="5">
        <v>37458</v>
      </c>
      <c r="E6" s="5">
        <v>0</v>
      </c>
      <c r="F6" s="5">
        <v>0</v>
      </c>
      <c r="G6" s="5">
        <v>0</v>
      </c>
      <c r="H6" s="5">
        <v>37458</v>
      </c>
      <c r="I6" s="6">
        <v>5</v>
      </c>
      <c r="J6" s="6">
        <v>5.3</v>
      </c>
      <c r="K6" s="6">
        <v>9</v>
      </c>
      <c r="L6" s="6">
        <v>9</v>
      </c>
      <c r="M6" s="4" t="str">
        <f t="shared" si="0"/>
        <v>OK</v>
      </c>
      <c r="N6" s="7">
        <f t="shared" si="1"/>
        <v>0.21418646539154301</v>
      </c>
      <c r="O6" s="7">
        <f>SUMIFS($D$2:D6,$B$2:B6,B6)/SUMIFS($D$2:$D$741,$B$2:$B$741,B6)</f>
        <v>0.50552648883552054</v>
      </c>
      <c r="P6" s="4" t="b">
        <f t="shared" si="2"/>
        <v>1</v>
      </c>
      <c r="Q6" s="2"/>
      <c r="R6" s="3" t="s">
        <v>29</v>
      </c>
      <c r="S6" s="2"/>
    </row>
    <row r="7" spans="1:19" x14ac:dyDescent="0.45">
      <c r="A7" s="4" t="s">
        <v>30</v>
      </c>
      <c r="B7" s="4" t="s">
        <v>27</v>
      </c>
      <c r="C7" s="5">
        <v>2</v>
      </c>
      <c r="D7" s="5">
        <v>28318</v>
      </c>
      <c r="E7" s="5">
        <v>0</v>
      </c>
      <c r="F7" s="5">
        <v>0</v>
      </c>
      <c r="G7" s="5">
        <v>0</v>
      </c>
      <c r="H7" s="5">
        <v>28318</v>
      </c>
      <c r="I7" s="6">
        <v>4</v>
      </c>
      <c r="J7" s="6">
        <v>4.3</v>
      </c>
      <c r="K7" s="6">
        <v>7</v>
      </c>
      <c r="L7" s="6">
        <v>7</v>
      </c>
      <c r="M7" s="4" t="str">
        <f t="shared" si="0"/>
        <v>OK</v>
      </c>
      <c r="N7" s="7">
        <f t="shared" si="1"/>
        <v>0.16192354976127168</v>
      </c>
      <c r="O7" s="7">
        <f>SUMIFS($D$2:D7,$B$2:B7,B7)/SUMIFS($D$2:$D$741,$B$2:$B$741,B7)</f>
        <v>0.66745003859679219</v>
      </c>
      <c r="P7" s="4" t="b">
        <f t="shared" si="2"/>
        <v>1</v>
      </c>
      <c r="Q7" s="2"/>
      <c r="R7" s="4" t="s">
        <v>31</v>
      </c>
      <c r="S7" s="2"/>
    </row>
    <row r="8" spans="1:19" x14ac:dyDescent="0.45">
      <c r="A8" s="4" t="s">
        <v>32</v>
      </c>
      <c r="B8" s="4" t="s">
        <v>27</v>
      </c>
      <c r="C8" s="5">
        <v>2</v>
      </c>
      <c r="D8" s="5">
        <v>9991</v>
      </c>
      <c r="E8" s="5">
        <v>0</v>
      </c>
      <c r="F8" s="5">
        <v>0</v>
      </c>
      <c r="G8" s="5">
        <v>0</v>
      </c>
      <c r="H8" s="5">
        <v>9991</v>
      </c>
      <c r="I8" s="6">
        <v>4</v>
      </c>
      <c r="J8" s="6">
        <v>4.3</v>
      </c>
      <c r="K8" s="6">
        <v>8</v>
      </c>
      <c r="L8" s="6">
        <v>8</v>
      </c>
      <c r="M8" s="4" t="str">
        <f t="shared" si="0"/>
        <v>OK</v>
      </c>
      <c r="N8" s="7">
        <f t="shared" si="1"/>
        <v>5.7128970466306432E-2</v>
      </c>
      <c r="O8" s="7">
        <f>SUMIFS($D$2:D8,$B$2:B8,B8)/SUMIFS($D$2:$D$741,$B$2:$B$741,B8)</f>
        <v>0.72457900906309858</v>
      </c>
      <c r="P8" s="4" t="b">
        <f t="shared" si="2"/>
        <v>1</v>
      </c>
      <c r="Q8" s="2"/>
      <c r="R8" s="4" t="s">
        <v>33</v>
      </c>
      <c r="S8" s="2"/>
    </row>
    <row r="9" spans="1:19" x14ac:dyDescent="0.45">
      <c r="A9" s="4" t="s">
        <v>34</v>
      </c>
      <c r="B9" s="4" t="s">
        <v>27</v>
      </c>
      <c r="C9" s="5">
        <v>1</v>
      </c>
      <c r="D9" s="5">
        <v>9159</v>
      </c>
      <c r="E9" s="5">
        <v>7307</v>
      </c>
      <c r="F9" s="5">
        <v>24</v>
      </c>
      <c r="G9" s="5">
        <v>0</v>
      </c>
      <c r="H9" s="5">
        <v>9135</v>
      </c>
      <c r="I9" s="6">
        <v>4</v>
      </c>
      <c r="J9" s="6">
        <v>8.8000000000000007</v>
      </c>
      <c r="K9" s="6">
        <v>16</v>
      </c>
      <c r="L9" s="6">
        <v>16</v>
      </c>
      <c r="M9" s="4" t="str">
        <f t="shared" si="0"/>
        <v>OK</v>
      </c>
      <c r="N9" s="7">
        <f t="shared" si="1"/>
        <v>5.2371558452697489E-2</v>
      </c>
      <c r="O9" s="7">
        <f>SUMIFS($D$2:D9,$B$2:B9,B9)/SUMIFS($D$2:$D$741,$B$2:$B$741,B9)</f>
        <v>0.77695056751579605</v>
      </c>
      <c r="P9" s="4" t="b">
        <f t="shared" si="2"/>
        <v>1</v>
      </c>
      <c r="Q9" s="2"/>
      <c r="R9" s="4" t="s">
        <v>35</v>
      </c>
      <c r="S9" s="2"/>
    </row>
    <row r="10" spans="1:19" x14ac:dyDescent="0.45">
      <c r="A10" s="4" t="s">
        <v>36</v>
      </c>
      <c r="B10" s="4" t="s">
        <v>27</v>
      </c>
      <c r="C10" s="5">
        <v>2</v>
      </c>
      <c r="D10" s="5">
        <v>6901</v>
      </c>
      <c r="E10" s="5">
        <v>0</v>
      </c>
      <c r="F10" s="5">
        <v>0</v>
      </c>
      <c r="G10" s="5">
        <v>0</v>
      </c>
      <c r="H10" s="5">
        <v>6901</v>
      </c>
      <c r="I10" s="6">
        <v>2</v>
      </c>
      <c r="J10" s="6">
        <v>2.6</v>
      </c>
      <c r="K10" s="6">
        <v>6</v>
      </c>
      <c r="L10" s="6">
        <v>6</v>
      </c>
      <c r="M10" s="4" t="str">
        <f t="shared" si="0"/>
        <v>OK</v>
      </c>
      <c r="N10" s="7">
        <f t="shared" si="1"/>
        <v>3.9460216713840521E-2</v>
      </c>
      <c r="O10" s="7">
        <f>SUMIFS($D$2:D10,$B$2:B10,B10)/SUMIFS($D$2:$D$741,$B$2:$B$741,B10)</f>
        <v>0.81641078422963664</v>
      </c>
      <c r="P10" s="4" t="b">
        <f t="shared" si="2"/>
        <v>1</v>
      </c>
      <c r="Q10" s="2"/>
      <c r="R10" s="4" t="s">
        <v>37</v>
      </c>
      <c r="S10" s="2"/>
    </row>
    <row r="11" spans="1:19" x14ac:dyDescent="0.45">
      <c r="A11" s="4" t="s">
        <v>38</v>
      </c>
      <c r="B11" s="4" t="s">
        <v>27</v>
      </c>
      <c r="C11" s="5">
        <v>1</v>
      </c>
      <c r="D11" s="5">
        <v>5101</v>
      </c>
      <c r="E11" s="5">
        <v>5101</v>
      </c>
      <c r="F11" s="5">
        <v>99</v>
      </c>
      <c r="G11" s="5">
        <v>4</v>
      </c>
      <c r="H11" s="5">
        <v>5002</v>
      </c>
      <c r="I11" s="6">
        <v>2</v>
      </c>
      <c r="J11" s="6">
        <v>2.2000000000000002</v>
      </c>
      <c r="K11" s="6">
        <v>4</v>
      </c>
      <c r="L11" s="6">
        <v>4</v>
      </c>
      <c r="M11" s="4" t="str">
        <f t="shared" si="0"/>
        <v>OK</v>
      </c>
      <c r="N11" s="7">
        <f t="shared" si="1"/>
        <v>2.9167738799782714E-2</v>
      </c>
      <c r="O11" s="7">
        <f>SUMIFS($D$2:D11,$B$2:B11,B11)/SUMIFS($D$2:$D$741,$B$2:$B$741,B11)</f>
        <v>0.84557852302941938</v>
      </c>
      <c r="P11" s="4" t="b">
        <f t="shared" si="2"/>
        <v>1</v>
      </c>
      <c r="Q11" s="2"/>
      <c r="R11" s="4" t="s">
        <v>39</v>
      </c>
      <c r="S11" s="2"/>
    </row>
    <row r="12" spans="1:19" x14ac:dyDescent="0.45">
      <c r="A12" s="4" t="s">
        <v>40</v>
      </c>
      <c r="B12" s="4" t="s">
        <v>27</v>
      </c>
      <c r="C12" s="5">
        <v>1</v>
      </c>
      <c r="D12" s="5">
        <v>4360</v>
      </c>
      <c r="E12" s="5">
        <v>426</v>
      </c>
      <c r="F12" s="5">
        <v>0</v>
      </c>
      <c r="G12" s="5">
        <v>0</v>
      </c>
      <c r="H12" s="5">
        <v>4360</v>
      </c>
      <c r="I12" s="6">
        <v>2</v>
      </c>
      <c r="J12" s="6">
        <v>2.4</v>
      </c>
      <c r="K12" s="6">
        <v>4</v>
      </c>
      <c r="L12" s="6">
        <v>4</v>
      </c>
      <c r="M12" s="4" t="str">
        <f t="shared" si="0"/>
        <v>OK</v>
      </c>
      <c r="N12" s="7">
        <f t="shared" si="1"/>
        <v>2.4930668725162249E-2</v>
      </c>
      <c r="O12" s="7">
        <f>SUMIFS($D$2:D12,$B$2:B12,B12)/SUMIFS($D$2:$D$741,$B$2:$B$741,B12)</f>
        <v>0.87050919175458163</v>
      </c>
      <c r="P12" s="4" t="b">
        <f t="shared" si="2"/>
        <v>1</v>
      </c>
      <c r="Q12" s="2"/>
      <c r="R12" s="4" t="s">
        <v>41</v>
      </c>
      <c r="S12" s="2"/>
    </row>
    <row r="13" spans="1:19" x14ac:dyDescent="0.45">
      <c r="A13" s="4" t="s">
        <v>42</v>
      </c>
      <c r="B13" s="4" t="s">
        <v>27</v>
      </c>
      <c r="C13" s="5">
        <v>1</v>
      </c>
      <c r="D13" s="5">
        <v>4282</v>
      </c>
      <c r="E13" s="5">
        <v>1203</v>
      </c>
      <c r="F13" s="5">
        <v>28</v>
      </c>
      <c r="G13" s="5">
        <v>6</v>
      </c>
      <c r="H13" s="5">
        <v>4254</v>
      </c>
      <c r="I13" s="6">
        <v>3</v>
      </c>
      <c r="J13" s="6">
        <v>10.1</v>
      </c>
      <c r="K13" s="6">
        <v>8</v>
      </c>
      <c r="L13" s="6">
        <v>8</v>
      </c>
      <c r="M13" s="4" t="str">
        <f t="shared" si="0"/>
        <v>OK</v>
      </c>
      <c r="N13" s="7">
        <f t="shared" si="1"/>
        <v>2.4484661348886411E-2</v>
      </c>
      <c r="O13" s="7">
        <f>SUMIFS($D$2:D13,$B$2:B13,B13)/SUMIFS($D$2:$D$741,$B$2:$B$741,B13)</f>
        <v>0.89499385310346802</v>
      </c>
      <c r="P13" s="4" t="b">
        <f t="shared" si="2"/>
        <v>1</v>
      </c>
      <c r="Q13" s="2"/>
      <c r="R13" s="4" t="s">
        <v>43</v>
      </c>
      <c r="S13" s="2"/>
    </row>
    <row r="14" spans="1:19" x14ac:dyDescent="0.45">
      <c r="A14" s="4" t="s">
        <v>44</v>
      </c>
      <c r="B14" s="4" t="s">
        <v>27</v>
      </c>
      <c r="C14" s="5">
        <v>1</v>
      </c>
      <c r="D14" s="5">
        <v>2922</v>
      </c>
      <c r="E14" s="5">
        <v>1197</v>
      </c>
      <c r="F14" s="5">
        <v>9</v>
      </c>
      <c r="G14" s="5">
        <v>0</v>
      </c>
      <c r="H14" s="5">
        <v>2913</v>
      </c>
      <c r="I14" s="6">
        <v>3</v>
      </c>
      <c r="J14" s="6">
        <v>4.2</v>
      </c>
      <c r="K14" s="6">
        <v>7</v>
      </c>
      <c r="L14" s="6">
        <v>7</v>
      </c>
      <c r="M14" s="4" t="str">
        <f t="shared" si="0"/>
        <v>OK</v>
      </c>
      <c r="N14" s="7">
        <f t="shared" si="1"/>
        <v>1.6708122480487177E-2</v>
      </c>
      <c r="O14" s="7">
        <f>SUMIFS($D$2:D14,$B$2:B14,B14)/SUMIFS($D$2:$D$741,$B$2:$B$741,B14)</f>
        <v>0.91170197558395516</v>
      </c>
      <c r="P14" s="4" t="b">
        <f t="shared" si="2"/>
        <v>1</v>
      </c>
      <c r="Q14" s="2"/>
      <c r="R14" s="4" t="s">
        <v>45</v>
      </c>
      <c r="S14" s="2"/>
    </row>
    <row r="15" spans="1:19" x14ac:dyDescent="0.45">
      <c r="A15" s="4" t="s">
        <v>46</v>
      </c>
      <c r="B15" s="4" t="s">
        <v>27</v>
      </c>
      <c r="C15" s="5">
        <v>1</v>
      </c>
      <c r="D15" s="5">
        <v>2600</v>
      </c>
      <c r="E15" s="5">
        <v>2600</v>
      </c>
      <c r="F15" s="5">
        <v>66</v>
      </c>
      <c r="G15" s="5">
        <v>5</v>
      </c>
      <c r="H15" s="5">
        <v>2534</v>
      </c>
      <c r="I15" s="6">
        <v>3</v>
      </c>
      <c r="J15" s="6">
        <v>4.3</v>
      </c>
      <c r="K15" s="6">
        <v>8</v>
      </c>
      <c r="L15" s="6">
        <v>8</v>
      </c>
      <c r="M15" s="4" t="str">
        <f t="shared" si="0"/>
        <v>OK</v>
      </c>
      <c r="N15" s="7">
        <f t="shared" si="1"/>
        <v>1.4866912542527947E-2</v>
      </c>
      <c r="O15" s="7">
        <f>SUMIFS($D$2:D15,$B$2:B15,B15)/SUMIFS($D$2:$D$741,$B$2:$B$741,B15)</f>
        <v>0.92656888812648308</v>
      </c>
      <c r="P15" s="4" t="b">
        <f t="shared" si="2"/>
        <v>1</v>
      </c>
      <c r="Q15" s="2"/>
      <c r="R15" s="4" t="s">
        <v>47</v>
      </c>
      <c r="S15" s="2"/>
    </row>
    <row r="16" spans="1:19" x14ac:dyDescent="0.45">
      <c r="A16" s="4" t="s">
        <v>48</v>
      </c>
      <c r="B16" s="4" t="s">
        <v>27</v>
      </c>
      <c r="C16" s="5">
        <v>1</v>
      </c>
      <c r="D16" s="5">
        <v>2170</v>
      </c>
      <c r="E16" s="5">
        <v>1071</v>
      </c>
      <c r="F16" s="5">
        <v>13</v>
      </c>
      <c r="G16" s="5">
        <v>1</v>
      </c>
      <c r="H16" s="5">
        <v>2157</v>
      </c>
      <c r="I16" s="6">
        <v>4</v>
      </c>
      <c r="J16" s="6">
        <v>7.5</v>
      </c>
      <c r="K16" s="6">
        <v>15</v>
      </c>
      <c r="L16" s="6">
        <v>15.4</v>
      </c>
      <c r="M16" s="4" t="str">
        <f t="shared" si="0"/>
        <v>OK</v>
      </c>
      <c r="N16" s="7">
        <f t="shared" si="1"/>
        <v>1.2408153929725248E-2</v>
      </c>
      <c r="O16" s="7">
        <f>SUMIFS($D$2:D16,$B$2:B16,B16)/SUMIFS($D$2:$D$741,$B$2:$B$741,B16)</f>
        <v>0.93897704205620836</v>
      </c>
      <c r="P16" s="4" t="b">
        <f t="shared" si="2"/>
        <v>1</v>
      </c>
      <c r="Q16" s="2"/>
      <c r="R16" s="4" t="s">
        <v>49</v>
      </c>
      <c r="S16" s="2"/>
    </row>
    <row r="17" spans="1:19" x14ac:dyDescent="0.45">
      <c r="A17" s="4" t="s">
        <v>50</v>
      </c>
      <c r="B17" s="4" t="s">
        <v>27</v>
      </c>
      <c r="C17" s="5">
        <v>1</v>
      </c>
      <c r="D17" s="5">
        <v>1861</v>
      </c>
      <c r="E17" s="5">
        <v>0</v>
      </c>
      <c r="F17" s="5">
        <v>0</v>
      </c>
      <c r="G17" s="5">
        <v>0</v>
      </c>
      <c r="H17" s="5">
        <v>1861</v>
      </c>
      <c r="I17" s="6">
        <v>2</v>
      </c>
      <c r="J17" s="6">
        <v>3.1</v>
      </c>
      <c r="K17" s="6">
        <v>7</v>
      </c>
      <c r="L17" s="6">
        <v>7</v>
      </c>
      <c r="M17" s="4" t="str">
        <f t="shared" si="0"/>
        <v>OK</v>
      </c>
      <c r="N17" s="7">
        <f t="shared" si="1"/>
        <v>1.0641278554478658E-2</v>
      </c>
      <c r="O17" s="7">
        <f>SUMIFS($D$2:D17,$B$2:B17,B17)/SUMIFS($D$2:$D$741,$B$2:$B$741,B17)</f>
        <v>0.94961832061068707</v>
      </c>
      <c r="P17" s="4" t="b">
        <f t="shared" si="2"/>
        <v>1</v>
      </c>
      <c r="Q17" s="2"/>
      <c r="R17" s="4" t="s">
        <v>51</v>
      </c>
      <c r="S17" s="2"/>
    </row>
    <row r="18" spans="1:19" x14ac:dyDescent="0.45">
      <c r="A18" s="4" t="s">
        <v>52</v>
      </c>
      <c r="B18" s="4" t="s">
        <v>27</v>
      </c>
      <c r="C18" s="5">
        <v>1</v>
      </c>
      <c r="D18" s="5">
        <v>1344</v>
      </c>
      <c r="E18" s="5">
        <v>457</v>
      </c>
      <c r="F18" s="5">
        <v>10</v>
      </c>
      <c r="G18" s="5">
        <v>1</v>
      </c>
      <c r="H18" s="5">
        <v>1334</v>
      </c>
      <c r="I18" s="6">
        <v>3</v>
      </c>
      <c r="J18" s="6">
        <v>4.7</v>
      </c>
      <c r="K18" s="6">
        <v>8</v>
      </c>
      <c r="L18" s="6">
        <v>8</v>
      </c>
      <c r="M18" s="4" t="str">
        <f t="shared" si="0"/>
        <v>OK</v>
      </c>
      <c r="N18" s="7">
        <f t="shared" si="1"/>
        <v>7.6850501758298313E-3</v>
      </c>
      <c r="O18" s="7">
        <f>SUMIFS($D$2:D18,$B$2:B18,B18)/SUMIFS($D$2:$D$741,$B$2:$B$741,B18)</f>
        <v>0.95730337078651684</v>
      </c>
      <c r="P18" s="4" t="b">
        <f t="shared" si="2"/>
        <v>1</v>
      </c>
      <c r="Q18" s="2"/>
      <c r="R18" s="2"/>
      <c r="S18" s="2"/>
    </row>
    <row r="19" spans="1:19" x14ac:dyDescent="0.45">
      <c r="A19" s="4" t="s">
        <v>53</v>
      </c>
      <c r="B19" s="4" t="s">
        <v>27</v>
      </c>
      <c r="C19" s="5">
        <v>1</v>
      </c>
      <c r="D19" s="5">
        <v>1340</v>
      </c>
      <c r="E19" s="5">
        <v>1340</v>
      </c>
      <c r="F19" s="5">
        <v>54</v>
      </c>
      <c r="G19" s="5">
        <v>4</v>
      </c>
      <c r="H19" s="5">
        <v>1286</v>
      </c>
      <c r="I19" s="6">
        <v>4</v>
      </c>
      <c r="J19" s="6">
        <v>6.2</v>
      </c>
      <c r="K19" s="6">
        <v>11</v>
      </c>
      <c r="L19" s="6">
        <v>11</v>
      </c>
      <c r="M19" s="4" t="str">
        <f t="shared" si="0"/>
        <v>OK</v>
      </c>
      <c r="N19" s="7">
        <f t="shared" si="1"/>
        <v>7.66217800268748E-3</v>
      </c>
      <c r="O19" s="7">
        <f>SUMIFS($D$2:D19,$B$2:B19,B19)/SUMIFS($D$2:$D$741,$B$2:$B$741,B19)</f>
        <v>0.96496554878920437</v>
      </c>
      <c r="P19" s="4" t="b">
        <f t="shared" si="2"/>
        <v>0</v>
      </c>
      <c r="Q19" s="2"/>
      <c r="R19" s="2"/>
      <c r="S19" s="2"/>
    </row>
    <row r="20" spans="1:19" x14ac:dyDescent="0.45">
      <c r="A20" s="4" t="s">
        <v>54</v>
      </c>
      <c r="B20" s="4" t="s">
        <v>27</v>
      </c>
      <c r="C20" s="5">
        <v>2</v>
      </c>
      <c r="D20" s="5">
        <v>1140</v>
      </c>
      <c r="E20" s="5">
        <v>0</v>
      </c>
      <c r="F20" s="5">
        <v>0</v>
      </c>
      <c r="G20" s="5">
        <v>0</v>
      </c>
      <c r="H20" s="5">
        <v>1140</v>
      </c>
      <c r="I20" s="6">
        <v>4</v>
      </c>
      <c r="J20" s="6">
        <v>5.5</v>
      </c>
      <c r="K20" s="6">
        <v>12</v>
      </c>
      <c r="L20" s="6">
        <v>12</v>
      </c>
      <c r="M20" s="4" t="str">
        <f t="shared" si="0"/>
        <v>OK</v>
      </c>
      <c r="N20" s="7">
        <f t="shared" si="1"/>
        <v>6.518569345569946E-3</v>
      </c>
      <c r="O20" s="7">
        <f>SUMIFS($D$2:D20,$B$2:B20,B20)/SUMIFS($D$2:$D$741,$B$2:$B$741,B20)</f>
        <v>0.97148411813477431</v>
      </c>
      <c r="P20" s="4" t="b">
        <f t="shared" si="2"/>
        <v>0</v>
      </c>
      <c r="Q20" s="2"/>
      <c r="R20" s="2"/>
      <c r="S20" s="2"/>
    </row>
    <row r="21" spans="1:19" x14ac:dyDescent="0.45">
      <c r="A21" s="4" t="s">
        <v>55</v>
      </c>
      <c r="B21" s="4" t="s">
        <v>27</v>
      </c>
      <c r="C21" s="5">
        <v>1</v>
      </c>
      <c r="D21" s="5">
        <v>1001</v>
      </c>
      <c r="E21" s="5">
        <v>380</v>
      </c>
      <c r="F21" s="5">
        <v>3</v>
      </c>
      <c r="G21" s="5">
        <v>0</v>
      </c>
      <c r="H21" s="5">
        <v>998</v>
      </c>
      <c r="I21" s="6">
        <v>3</v>
      </c>
      <c r="J21" s="6">
        <v>4.7</v>
      </c>
      <c r="K21" s="6">
        <v>10</v>
      </c>
      <c r="L21" s="6">
        <v>10</v>
      </c>
      <c r="M21" s="4" t="str">
        <f t="shared" si="0"/>
        <v>OK</v>
      </c>
      <c r="N21" s="7">
        <f t="shared" si="1"/>
        <v>5.7237613288732593E-3</v>
      </c>
      <c r="O21" s="7">
        <f>SUMIFS($D$2:D21,$B$2:B21,B21)/SUMIFS($D$2:$D$741,$B$2:$B$741,B21)</f>
        <v>0.97720787946364751</v>
      </c>
      <c r="P21" s="4" t="b">
        <f t="shared" si="2"/>
        <v>0</v>
      </c>
      <c r="Q21" s="2"/>
      <c r="R21" s="2"/>
      <c r="S21" s="2"/>
    </row>
    <row r="22" spans="1:19" x14ac:dyDescent="0.45">
      <c r="A22" s="4" t="s">
        <v>56</v>
      </c>
      <c r="B22" s="4" t="s">
        <v>27</v>
      </c>
      <c r="C22" s="5">
        <v>1</v>
      </c>
      <c r="D22" s="5">
        <v>853</v>
      </c>
      <c r="E22" s="5">
        <v>111</v>
      </c>
      <c r="F22" s="5">
        <v>0</v>
      </c>
      <c r="G22" s="5">
        <v>0</v>
      </c>
      <c r="H22" s="5">
        <v>853</v>
      </c>
      <c r="I22" s="6">
        <v>3</v>
      </c>
      <c r="J22" s="6">
        <v>9.5</v>
      </c>
      <c r="K22" s="6">
        <v>13</v>
      </c>
      <c r="L22" s="6">
        <v>13</v>
      </c>
      <c r="M22" s="4" t="str">
        <f t="shared" si="0"/>
        <v>OK</v>
      </c>
      <c r="N22" s="7">
        <f t="shared" si="1"/>
        <v>4.8774909226062839E-3</v>
      </c>
      <c r="O22" s="7">
        <f>SUMIFS($D$2:D22,$B$2:B22,B22)/SUMIFS($D$2:$D$741,$B$2:$B$741,B22)</f>
        <v>0.98208537038625388</v>
      </c>
      <c r="P22" s="4" t="b">
        <f t="shared" si="2"/>
        <v>0</v>
      </c>
      <c r="Q22" s="2"/>
      <c r="R22" s="2"/>
      <c r="S22" s="2"/>
    </row>
    <row r="23" spans="1:19" x14ac:dyDescent="0.45">
      <c r="A23" s="4" t="s">
        <v>57</v>
      </c>
      <c r="B23" s="4" t="s">
        <v>27</v>
      </c>
      <c r="C23" s="5">
        <v>1</v>
      </c>
      <c r="D23" s="5">
        <v>745</v>
      </c>
      <c r="E23" s="5">
        <v>0</v>
      </c>
      <c r="F23" s="5">
        <v>0</v>
      </c>
      <c r="G23" s="5">
        <v>0</v>
      </c>
      <c r="H23" s="5">
        <v>745</v>
      </c>
      <c r="I23" s="6">
        <v>3</v>
      </c>
      <c r="J23" s="6">
        <v>3.1</v>
      </c>
      <c r="K23" s="6">
        <v>4</v>
      </c>
      <c r="L23" s="6">
        <v>4</v>
      </c>
      <c r="M23" s="4" t="str">
        <f t="shared" si="0"/>
        <v>OK</v>
      </c>
      <c r="N23" s="7">
        <f t="shared" si="1"/>
        <v>4.2599422477628155E-3</v>
      </c>
      <c r="O23" s="7">
        <f>SUMIFS($D$2:D23,$B$2:B23,B23)/SUMIFS($D$2:$D$741,$B$2:$B$741,B23)</f>
        <v>0.98634531263401659</v>
      </c>
      <c r="P23" s="4" t="b">
        <f t="shared" si="2"/>
        <v>0</v>
      </c>
      <c r="Q23" s="2"/>
      <c r="R23" s="2"/>
      <c r="S23" s="2"/>
    </row>
    <row r="24" spans="1:19" x14ac:dyDescent="0.45">
      <c r="A24" s="4" t="s">
        <v>58</v>
      </c>
      <c r="B24" s="4" t="s">
        <v>27</v>
      </c>
      <c r="C24" s="5">
        <v>1</v>
      </c>
      <c r="D24" s="5">
        <v>653</v>
      </c>
      <c r="E24" s="5">
        <v>267</v>
      </c>
      <c r="F24" s="5">
        <v>0</v>
      </c>
      <c r="G24" s="5">
        <v>0</v>
      </c>
      <c r="H24" s="5">
        <v>653</v>
      </c>
      <c r="I24" s="6">
        <v>3</v>
      </c>
      <c r="J24" s="6">
        <v>6.9</v>
      </c>
      <c r="K24" s="6">
        <v>13</v>
      </c>
      <c r="L24" s="6">
        <v>13</v>
      </c>
      <c r="M24" s="4" t="str">
        <f t="shared" si="0"/>
        <v>OK</v>
      </c>
      <c r="N24" s="7">
        <f t="shared" si="1"/>
        <v>3.7338822654887499E-3</v>
      </c>
      <c r="O24" s="7">
        <f>SUMIFS($D$2:D24,$B$2:B24,B24)/SUMIFS($D$2:$D$741,$B$2:$B$741,B24)</f>
        <v>0.99007919489950535</v>
      </c>
      <c r="P24" s="4" t="b">
        <f t="shared" si="2"/>
        <v>0</v>
      </c>
      <c r="Q24" s="2"/>
      <c r="R24" s="2"/>
      <c r="S24" s="2"/>
    </row>
    <row r="25" spans="1:19" x14ac:dyDescent="0.45">
      <c r="A25" s="4" t="s">
        <v>59</v>
      </c>
      <c r="B25" s="4" t="s">
        <v>27</v>
      </c>
      <c r="C25" s="5">
        <v>2</v>
      </c>
      <c r="D25" s="5">
        <v>476</v>
      </c>
      <c r="E25" s="5">
        <v>0</v>
      </c>
      <c r="F25" s="5">
        <v>0</v>
      </c>
      <c r="G25" s="5">
        <v>0</v>
      </c>
      <c r="H25" s="5">
        <v>476</v>
      </c>
      <c r="I25" s="6">
        <v>4</v>
      </c>
      <c r="J25" s="6">
        <v>4.8</v>
      </c>
      <c r="K25" s="6">
        <v>8</v>
      </c>
      <c r="L25" s="6">
        <v>8.5</v>
      </c>
      <c r="M25" s="4" t="str">
        <f t="shared" si="0"/>
        <v>OK</v>
      </c>
      <c r="N25" s="7">
        <f t="shared" si="1"/>
        <v>2.7217886039397317E-3</v>
      </c>
      <c r="O25" s="7">
        <f>SUMIFS($D$2:D25,$B$2:B25,B25)/SUMIFS($D$2:$D$741,$B$2:$B$741,B25)</f>
        <v>0.99280098350344514</v>
      </c>
      <c r="P25" s="4" t="b">
        <f t="shared" si="2"/>
        <v>0</v>
      </c>
      <c r="Q25" s="2"/>
      <c r="R25" s="2"/>
      <c r="S25" s="2"/>
    </row>
    <row r="26" spans="1:19" x14ac:dyDescent="0.45">
      <c r="A26" s="4" t="s">
        <v>60</v>
      </c>
      <c r="B26" s="4" t="s">
        <v>27</v>
      </c>
      <c r="C26" s="5">
        <v>1</v>
      </c>
      <c r="D26" s="5">
        <v>284</v>
      </c>
      <c r="E26" s="5">
        <v>105</v>
      </c>
      <c r="F26" s="5">
        <v>0</v>
      </c>
      <c r="G26" s="5">
        <v>0</v>
      </c>
      <c r="H26" s="5">
        <v>284</v>
      </c>
      <c r="I26" s="6">
        <v>2.5</v>
      </c>
      <c r="J26" s="6">
        <v>4.0999999999999996</v>
      </c>
      <c r="K26" s="6">
        <v>7</v>
      </c>
      <c r="L26" s="6">
        <v>7</v>
      </c>
      <c r="M26" s="4" t="str">
        <f t="shared" si="0"/>
        <v>OK</v>
      </c>
      <c r="N26" s="7">
        <f t="shared" si="1"/>
        <v>1.6239242931068989E-3</v>
      </c>
      <c r="O26" s="7">
        <f>SUMIFS($D$2:D26,$B$2:B26,B26)/SUMIFS($D$2:$D$741,$B$2:$B$741,B26)</f>
        <v>0.99442490779655202</v>
      </c>
      <c r="P26" s="4" t="b">
        <f t="shared" si="2"/>
        <v>0</v>
      </c>
      <c r="Q26" s="2"/>
      <c r="R26" s="2"/>
      <c r="S26" s="2"/>
    </row>
    <row r="27" spans="1:19" x14ac:dyDescent="0.45">
      <c r="A27" s="4" t="s">
        <v>61</v>
      </c>
      <c r="B27" s="4" t="s">
        <v>27</v>
      </c>
      <c r="C27" s="5">
        <v>1</v>
      </c>
      <c r="D27" s="5">
        <v>269</v>
      </c>
      <c r="E27" s="5">
        <v>0</v>
      </c>
      <c r="F27" s="5">
        <v>0</v>
      </c>
      <c r="G27" s="5">
        <v>0</v>
      </c>
      <c r="H27" s="5">
        <v>269</v>
      </c>
      <c r="I27" s="6">
        <v>2</v>
      </c>
      <c r="J27" s="6">
        <v>2.9</v>
      </c>
      <c r="K27" s="6">
        <v>4</v>
      </c>
      <c r="L27" s="6">
        <v>4</v>
      </c>
      <c r="M27" s="4" t="str">
        <f t="shared" si="0"/>
        <v>OK</v>
      </c>
      <c r="N27" s="7">
        <f t="shared" si="1"/>
        <v>1.5381536438230838E-3</v>
      </c>
      <c r="O27" s="7">
        <f>SUMIFS($D$2:D27,$B$2:B27,B27)/SUMIFS($D$2:$D$741,$B$2:$B$741,B27)</f>
        <v>0.99596306144037505</v>
      </c>
      <c r="P27" s="4" t="b">
        <f t="shared" si="2"/>
        <v>0</v>
      </c>
      <c r="Q27" s="2"/>
      <c r="R27" s="2"/>
      <c r="S27" s="2"/>
    </row>
    <row r="28" spans="1:19" x14ac:dyDescent="0.45">
      <c r="A28" s="4" t="s">
        <v>62</v>
      </c>
      <c r="B28" s="4" t="s">
        <v>27</v>
      </c>
      <c r="C28" s="5">
        <v>1</v>
      </c>
      <c r="D28" s="5">
        <v>191</v>
      </c>
      <c r="E28" s="5">
        <v>87</v>
      </c>
      <c r="F28" s="5">
        <v>0</v>
      </c>
      <c r="G28" s="5">
        <v>0</v>
      </c>
      <c r="H28" s="5">
        <v>191</v>
      </c>
      <c r="I28" s="6">
        <v>6</v>
      </c>
      <c r="J28" s="6">
        <v>16.600000000000001</v>
      </c>
      <c r="K28" s="6">
        <v>47</v>
      </c>
      <c r="L28" s="6">
        <v>47</v>
      </c>
      <c r="M28" s="4" t="str">
        <f t="shared" si="0"/>
        <v>OK</v>
      </c>
      <c r="N28" s="7">
        <f t="shared" si="1"/>
        <v>1.0921462675472454E-3</v>
      </c>
      <c r="O28" s="7">
        <f>SUMIFS($D$2:D28,$B$2:B28,B28)/SUMIFS($D$2:$D$741,$B$2:$B$741,B28)</f>
        <v>0.99705520770792233</v>
      </c>
      <c r="P28" s="4" t="b">
        <f t="shared" si="2"/>
        <v>0</v>
      </c>
      <c r="Q28" s="2"/>
      <c r="R28" s="2"/>
      <c r="S28" s="2"/>
    </row>
    <row r="29" spans="1:19" x14ac:dyDescent="0.45">
      <c r="A29" s="4" t="s">
        <v>63</v>
      </c>
      <c r="B29" s="4" t="s">
        <v>27</v>
      </c>
      <c r="C29" s="5">
        <v>1</v>
      </c>
      <c r="D29" s="5">
        <v>183</v>
      </c>
      <c r="E29" s="5">
        <v>183</v>
      </c>
      <c r="F29" s="5">
        <v>5</v>
      </c>
      <c r="G29" s="5">
        <v>2</v>
      </c>
      <c r="H29" s="5">
        <v>178</v>
      </c>
      <c r="I29" s="6">
        <v>5</v>
      </c>
      <c r="J29" s="6">
        <v>7.6</v>
      </c>
      <c r="K29" s="6">
        <v>12</v>
      </c>
      <c r="L29" s="6">
        <v>12</v>
      </c>
      <c r="M29" s="4" t="str">
        <f t="shared" si="0"/>
        <v>OK</v>
      </c>
      <c r="N29" s="7">
        <f t="shared" si="1"/>
        <v>1.0464019212625439E-3</v>
      </c>
      <c r="O29" s="7">
        <f>SUMIFS($D$2:D29,$B$2:B29,B29)/SUMIFS($D$2:$D$741,$B$2:$B$741,B29)</f>
        <v>0.99810160962918493</v>
      </c>
      <c r="P29" s="4" t="b">
        <f t="shared" si="2"/>
        <v>0</v>
      </c>
      <c r="Q29" s="2"/>
      <c r="R29" s="2"/>
      <c r="S29" s="2"/>
    </row>
    <row r="30" spans="1:19" x14ac:dyDescent="0.45">
      <c r="A30" s="4" t="s">
        <v>64</v>
      </c>
      <c r="B30" s="4" t="s">
        <v>27</v>
      </c>
      <c r="C30" s="5">
        <v>2</v>
      </c>
      <c r="D30" s="5">
        <v>172</v>
      </c>
      <c r="E30" s="5">
        <v>0</v>
      </c>
      <c r="F30" s="5">
        <v>0</v>
      </c>
      <c r="G30" s="5">
        <v>0</v>
      </c>
      <c r="H30" s="5">
        <v>172</v>
      </c>
      <c r="I30" s="6">
        <v>4</v>
      </c>
      <c r="J30" s="6">
        <v>4.7</v>
      </c>
      <c r="K30" s="6">
        <v>8</v>
      </c>
      <c r="L30" s="6">
        <v>8</v>
      </c>
      <c r="M30" s="4" t="str">
        <f t="shared" si="0"/>
        <v>OK</v>
      </c>
      <c r="N30" s="7">
        <f t="shared" si="1"/>
        <v>9.8350344512107947E-4</v>
      </c>
      <c r="O30" s="7">
        <f>SUMIFS($D$2:D30,$B$2:B30,B30)/SUMIFS($D$2:$D$741,$B$2:$B$741,B30)</f>
        <v>0.99908511307430592</v>
      </c>
      <c r="P30" s="4" t="b">
        <f t="shared" si="2"/>
        <v>0</v>
      </c>
      <c r="Q30" s="2"/>
      <c r="R30" s="2"/>
      <c r="S30" s="2"/>
    </row>
    <row r="31" spans="1:19" x14ac:dyDescent="0.45">
      <c r="A31" s="4" t="s">
        <v>65</v>
      </c>
      <c r="B31" s="4" t="s">
        <v>27</v>
      </c>
      <c r="C31" s="5">
        <v>2</v>
      </c>
      <c r="D31" s="5">
        <v>160</v>
      </c>
      <c r="E31" s="5">
        <v>0</v>
      </c>
      <c r="F31" s="5">
        <v>0</v>
      </c>
      <c r="G31" s="5">
        <v>0</v>
      </c>
      <c r="H31" s="5">
        <v>160</v>
      </c>
      <c r="I31" s="6">
        <v>22</v>
      </c>
      <c r="J31" s="6">
        <v>28.5</v>
      </c>
      <c r="K31" s="6">
        <v>57</v>
      </c>
      <c r="L31" s="6">
        <v>57</v>
      </c>
      <c r="M31" s="4" t="str">
        <f t="shared" si="0"/>
        <v>OK</v>
      </c>
      <c r="N31" s="7">
        <f t="shared" si="1"/>
        <v>9.1488692569402746E-4</v>
      </c>
      <c r="O31" s="7">
        <f>SUMIFS($D$2:D31,$B$2:B31,B31)/SUMIFS($D$2:$D$741,$B$2:$B$741,B31)</f>
        <v>1</v>
      </c>
      <c r="P31" s="4" t="b">
        <f t="shared" si="2"/>
        <v>0</v>
      </c>
      <c r="Q31" s="2"/>
      <c r="R31" s="2"/>
      <c r="S31" s="2"/>
    </row>
    <row r="32" spans="1:19" x14ac:dyDescent="0.45">
      <c r="A32" s="9" t="s">
        <v>66</v>
      </c>
      <c r="B32" s="9" t="s">
        <v>67</v>
      </c>
      <c r="C32" s="10">
        <v>2</v>
      </c>
      <c r="D32" s="10">
        <v>3430</v>
      </c>
      <c r="E32" s="10">
        <v>910</v>
      </c>
      <c r="F32" s="10">
        <v>2</v>
      </c>
      <c r="G32" s="10">
        <v>0</v>
      </c>
      <c r="H32" s="10">
        <v>3428</v>
      </c>
      <c r="I32" s="11">
        <v>1</v>
      </c>
      <c r="J32" s="11">
        <v>2.2999999999999998</v>
      </c>
      <c r="K32" s="11">
        <v>4</v>
      </c>
      <c r="L32" s="11">
        <v>4</v>
      </c>
      <c r="M32" s="9" t="str">
        <f t="shared" si="0"/>
        <v>OK</v>
      </c>
      <c r="N32" s="12">
        <f t="shared" si="1"/>
        <v>0.60632844263744035</v>
      </c>
      <c r="O32" s="12">
        <f>SUMIFS($D$2:D32,$B$2:B32,B32)/SUMIFS($D$2:$D$741,$B$2:$B$741,B32)</f>
        <v>0.60632844263744035</v>
      </c>
      <c r="P32" s="9" t="b">
        <f t="shared" si="2"/>
        <v>1</v>
      </c>
      <c r="Q32" s="2"/>
      <c r="R32" s="2"/>
      <c r="S32" s="2"/>
    </row>
    <row r="33" spans="1:19" x14ac:dyDescent="0.45">
      <c r="A33" s="4" t="s">
        <v>68</v>
      </c>
      <c r="B33" s="4" t="s">
        <v>67</v>
      </c>
      <c r="C33" s="5">
        <v>2</v>
      </c>
      <c r="D33" s="5">
        <v>1033</v>
      </c>
      <c r="E33" s="5">
        <v>233</v>
      </c>
      <c r="F33" s="5">
        <v>0</v>
      </c>
      <c r="G33" s="5">
        <v>0</v>
      </c>
      <c r="H33" s="5">
        <v>1033</v>
      </c>
      <c r="I33" s="6">
        <v>0</v>
      </c>
      <c r="J33" s="6">
        <v>1.3</v>
      </c>
      <c r="K33" s="6">
        <v>3</v>
      </c>
      <c r="L33" s="6">
        <v>3</v>
      </c>
      <c r="M33" s="4" t="str">
        <f t="shared" si="0"/>
        <v>OK</v>
      </c>
      <c r="N33" s="7">
        <f t="shared" si="1"/>
        <v>0.1826056213540746</v>
      </c>
      <c r="O33" s="7">
        <f>SUMIFS($D$2:D33,$B$2:B33,B33)/SUMIFS($D$2:$D$741,$B$2:$B$741,B33)</f>
        <v>0.78893406399151489</v>
      </c>
      <c r="P33" s="4" t="b">
        <f t="shared" si="2"/>
        <v>1</v>
      </c>
      <c r="Q33" s="2"/>
      <c r="R33" s="2"/>
      <c r="S33" s="2"/>
    </row>
    <row r="34" spans="1:19" x14ac:dyDescent="0.45">
      <c r="A34" s="4" t="s">
        <v>69</v>
      </c>
      <c r="B34" s="4" t="s">
        <v>67</v>
      </c>
      <c r="C34" s="5">
        <v>2</v>
      </c>
      <c r="D34" s="5">
        <v>759</v>
      </c>
      <c r="E34" s="5">
        <v>195</v>
      </c>
      <c r="F34" s="5">
        <v>0</v>
      </c>
      <c r="G34" s="5">
        <v>0</v>
      </c>
      <c r="H34" s="5">
        <v>759</v>
      </c>
      <c r="I34" s="6">
        <v>0</v>
      </c>
      <c r="J34" s="6">
        <v>1.5</v>
      </c>
      <c r="K34" s="6">
        <v>3</v>
      </c>
      <c r="L34" s="6">
        <v>3</v>
      </c>
      <c r="M34" s="4" t="str">
        <f t="shared" si="0"/>
        <v>OK</v>
      </c>
      <c r="N34" s="7">
        <f t="shared" si="1"/>
        <v>0.13417005479936361</v>
      </c>
      <c r="O34" s="7">
        <f>SUMIFS($D$2:D34,$B$2:B34,B34)/SUMIFS($D$2:$D$741,$B$2:$B$741,B34)</f>
        <v>0.9231041187908785</v>
      </c>
      <c r="P34" s="4" t="b">
        <f t="shared" si="2"/>
        <v>1</v>
      </c>
      <c r="Q34" s="2"/>
      <c r="R34" s="2"/>
      <c r="S34" s="2"/>
    </row>
    <row r="35" spans="1:19" x14ac:dyDescent="0.45">
      <c r="A35" s="4" t="s">
        <v>70</v>
      </c>
      <c r="B35" s="4" t="s">
        <v>67</v>
      </c>
      <c r="C35" s="5">
        <v>2</v>
      </c>
      <c r="D35" s="5">
        <v>423</v>
      </c>
      <c r="E35" s="5">
        <v>85</v>
      </c>
      <c r="F35" s="5">
        <v>1</v>
      </c>
      <c r="G35" s="5">
        <v>0</v>
      </c>
      <c r="H35" s="5">
        <v>422</v>
      </c>
      <c r="I35" s="6">
        <v>3</v>
      </c>
      <c r="J35" s="6">
        <v>10.8</v>
      </c>
      <c r="K35" s="6">
        <v>22</v>
      </c>
      <c r="L35" s="6">
        <v>21.9</v>
      </c>
      <c r="M35" s="4" t="str">
        <f t="shared" si="0"/>
        <v>OK</v>
      </c>
      <c r="N35" s="7">
        <f t="shared" si="1"/>
        <v>7.4774615520593959E-2</v>
      </c>
      <c r="O35" s="7">
        <f>SUMIFS($D$2:D35,$B$2:B35,B35)/SUMIFS($D$2:$D$741,$B$2:$B$741,B35)</f>
        <v>0.99787873431147256</v>
      </c>
      <c r="P35" s="4" t="b">
        <f t="shared" si="2"/>
        <v>1</v>
      </c>
      <c r="Q35" s="2"/>
      <c r="R35" s="2"/>
      <c r="S35" s="2"/>
    </row>
    <row r="36" spans="1:19" x14ac:dyDescent="0.45">
      <c r="A36" s="4" t="s">
        <v>71</v>
      </c>
      <c r="B36" s="4" t="s">
        <v>67</v>
      </c>
      <c r="C36" s="5">
        <v>1</v>
      </c>
      <c r="D36" s="5">
        <v>12</v>
      </c>
      <c r="E36" s="5">
        <v>2</v>
      </c>
      <c r="F36" s="5">
        <v>0</v>
      </c>
      <c r="G36" s="5">
        <v>0</v>
      </c>
      <c r="H36" s="5">
        <v>12</v>
      </c>
      <c r="I36" s="6">
        <v>0</v>
      </c>
      <c r="J36" s="6">
        <v>0</v>
      </c>
      <c r="K36" s="6">
        <v>0</v>
      </c>
      <c r="L36" s="6">
        <v>0</v>
      </c>
      <c r="M36" s="4" t="str">
        <f t="shared" si="0"/>
        <v>OK</v>
      </c>
      <c r="N36" s="7">
        <f t="shared" si="1"/>
        <v>2.1212656885274883E-3</v>
      </c>
      <c r="O36" s="7">
        <f>SUMIFS($D$2:D36,$B$2:B36,B36)/SUMIFS($D$2:$D$741,$B$2:$B$741,B36)</f>
        <v>1</v>
      </c>
      <c r="P36" s="4" t="b">
        <f t="shared" si="2"/>
        <v>0</v>
      </c>
      <c r="Q36" s="2"/>
      <c r="R36" s="2"/>
      <c r="S36" s="2"/>
    </row>
    <row r="37" spans="1:19" x14ac:dyDescent="0.45">
      <c r="A37" s="9" t="s">
        <v>72</v>
      </c>
      <c r="B37" s="9" t="s">
        <v>73</v>
      </c>
      <c r="C37" s="10">
        <v>2</v>
      </c>
      <c r="D37" s="10">
        <v>144</v>
      </c>
      <c r="E37" s="10">
        <v>33</v>
      </c>
      <c r="F37" s="10">
        <v>1</v>
      </c>
      <c r="G37" s="10">
        <v>1</v>
      </c>
      <c r="H37" s="10">
        <v>143</v>
      </c>
      <c r="I37" s="11">
        <v>1</v>
      </c>
      <c r="J37" s="11">
        <v>7.6</v>
      </c>
      <c r="K37" s="11">
        <v>7</v>
      </c>
      <c r="L37" s="11">
        <v>7</v>
      </c>
      <c r="M37" s="9" t="str">
        <f t="shared" si="0"/>
        <v>OK</v>
      </c>
      <c r="N37" s="12">
        <f t="shared" si="1"/>
        <v>1</v>
      </c>
      <c r="O37" s="12">
        <f>SUMIFS($D$2:D37,$B$2:B37,B37)/SUMIFS($D$2:$D$741,$B$2:$B$741,B37)</f>
        <v>1</v>
      </c>
      <c r="P37" s="9" t="b">
        <f t="shared" si="2"/>
        <v>1</v>
      </c>
      <c r="Q37" s="2"/>
      <c r="R37" s="2"/>
      <c r="S37" s="2"/>
    </row>
    <row r="38" spans="1:19" x14ac:dyDescent="0.45">
      <c r="A38" s="9" t="s">
        <v>74</v>
      </c>
      <c r="B38" s="9" t="s">
        <v>75</v>
      </c>
      <c r="C38" s="10">
        <v>2</v>
      </c>
      <c r="D38" s="10">
        <v>507</v>
      </c>
      <c r="E38" s="10">
        <v>0</v>
      </c>
      <c r="F38" s="10">
        <v>0</v>
      </c>
      <c r="G38" s="10">
        <v>0</v>
      </c>
      <c r="H38" s="10">
        <v>507</v>
      </c>
      <c r="I38" s="11">
        <v>1</v>
      </c>
      <c r="J38" s="11">
        <v>0.9</v>
      </c>
      <c r="K38" s="11">
        <v>2</v>
      </c>
      <c r="L38" s="11">
        <v>2</v>
      </c>
      <c r="M38" s="9" t="str">
        <f t="shared" si="0"/>
        <v>OK</v>
      </c>
      <c r="N38" s="12">
        <f t="shared" si="1"/>
        <v>0.7051460361613352</v>
      </c>
      <c r="O38" s="12">
        <f>SUMIFS($D$2:D38,$B$2:B38,B38)/SUMIFS($D$2:$D$741,$B$2:$B$741,B38)</f>
        <v>0.7051460361613352</v>
      </c>
      <c r="P38" s="9" t="b">
        <f t="shared" si="2"/>
        <v>1</v>
      </c>
      <c r="Q38" s="2"/>
      <c r="R38" s="2"/>
      <c r="S38" s="2"/>
    </row>
    <row r="39" spans="1:19" x14ac:dyDescent="0.45">
      <c r="A39" s="4" t="s">
        <v>76</v>
      </c>
      <c r="B39" s="4" t="s">
        <v>75</v>
      </c>
      <c r="C39" s="5">
        <v>2</v>
      </c>
      <c r="D39" s="5">
        <v>195</v>
      </c>
      <c r="E39" s="5">
        <v>0</v>
      </c>
      <c r="F39" s="5">
        <v>1</v>
      </c>
      <c r="G39" s="5">
        <v>1</v>
      </c>
      <c r="H39" s="5">
        <v>194</v>
      </c>
      <c r="I39" s="6">
        <v>1</v>
      </c>
      <c r="J39" s="6">
        <v>0.9</v>
      </c>
      <c r="K39" s="6">
        <v>2</v>
      </c>
      <c r="L39" s="6">
        <v>2</v>
      </c>
      <c r="M39" s="4" t="str">
        <f t="shared" si="0"/>
        <v>OK</v>
      </c>
      <c r="N39" s="7">
        <f t="shared" si="1"/>
        <v>0.27121001390820582</v>
      </c>
      <c r="O39" s="7">
        <f>SUMIFS($D$2:D39,$B$2:B39,B39)/SUMIFS($D$2:$D$741,$B$2:$B$741,B39)</f>
        <v>0.97635605006954107</v>
      </c>
      <c r="P39" s="4" t="b">
        <f t="shared" si="2"/>
        <v>1</v>
      </c>
      <c r="Q39" s="2"/>
      <c r="R39" s="2"/>
      <c r="S39" s="2"/>
    </row>
    <row r="40" spans="1:19" x14ac:dyDescent="0.45">
      <c r="A40" s="4" t="s">
        <v>77</v>
      </c>
      <c r="B40" s="4" t="s">
        <v>75</v>
      </c>
      <c r="C40" s="5">
        <v>2</v>
      </c>
      <c r="D40" s="5">
        <v>9</v>
      </c>
      <c r="E40" s="5">
        <v>0</v>
      </c>
      <c r="F40" s="5">
        <v>0</v>
      </c>
      <c r="G40" s="5">
        <v>0</v>
      </c>
      <c r="H40" s="5">
        <v>9</v>
      </c>
      <c r="I40" s="6">
        <v>3</v>
      </c>
      <c r="J40" s="6">
        <v>12.9</v>
      </c>
      <c r="K40" s="6">
        <v>35</v>
      </c>
      <c r="L40" s="6">
        <v>34.6</v>
      </c>
      <c r="M40" s="4" t="str">
        <f t="shared" si="0"/>
        <v>OK</v>
      </c>
      <c r="N40" s="7">
        <f t="shared" si="1"/>
        <v>1.2517385257301807E-2</v>
      </c>
      <c r="O40" s="7">
        <f>SUMIFS($D$2:D40,$B$2:B40,B40)/SUMIFS($D$2:$D$741,$B$2:$B$741,B40)</f>
        <v>0.9888734353268428</v>
      </c>
      <c r="P40" s="4" t="b">
        <f t="shared" si="2"/>
        <v>0</v>
      </c>
      <c r="Q40" s="2"/>
      <c r="R40" s="2"/>
      <c r="S40" s="2"/>
    </row>
    <row r="41" spans="1:19" x14ac:dyDescent="0.45">
      <c r="A41" s="4" t="s">
        <v>78</v>
      </c>
      <c r="B41" s="4" t="s">
        <v>75</v>
      </c>
      <c r="C41" s="5">
        <v>2</v>
      </c>
      <c r="D41" s="5">
        <v>8</v>
      </c>
      <c r="E41" s="5">
        <v>0</v>
      </c>
      <c r="F41" s="5">
        <v>0</v>
      </c>
      <c r="G41" s="5">
        <v>0</v>
      </c>
      <c r="H41" s="5">
        <v>8</v>
      </c>
      <c r="I41" s="6">
        <v>4.5</v>
      </c>
      <c r="J41" s="6">
        <v>4.4000000000000004</v>
      </c>
      <c r="K41" s="6">
        <v>7</v>
      </c>
      <c r="L41" s="6">
        <v>7.2</v>
      </c>
      <c r="M41" s="4" t="str">
        <f t="shared" si="0"/>
        <v>OK</v>
      </c>
      <c r="N41" s="7">
        <f t="shared" si="1"/>
        <v>1.1126564673157162E-2</v>
      </c>
      <c r="O41" s="7">
        <f>SUMIFS($D$2:D41,$B$2:B41,B41)/SUMIFS($D$2:$D$741,$B$2:$B$741,B41)</f>
        <v>1</v>
      </c>
      <c r="P41" s="4" t="b">
        <f t="shared" si="2"/>
        <v>0</v>
      </c>
      <c r="Q41" s="2"/>
      <c r="R41" s="2"/>
      <c r="S41" s="2"/>
    </row>
    <row r="42" spans="1:19" x14ac:dyDescent="0.45">
      <c r="A42" s="9" t="s">
        <v>79</v>
      </c>
      <c r="B42" s="9" t="s">
        <v>80</v>
      </c>
      <c r="C42" s="10">
        <v>1</v>
      </c>
      <c r="D42" s="10">
        <v>2</v>
      </c>
      <c r="E42" s="10">
        <v>0</v>
      </c>
      <c r="F42" s="10">
        <v>0</v>
      </c>
      <c r="G42" s="10">
        <v>0</v>
      </c>
      <c r="H42" s="10">
        <v>2</v>
      </c>
      <c r="I42" s="11">
        <v>3</v>
      </c>
      <c r="J42" s="11">
        <v>3</v>
      </c>
      <c r="K42" s="11">
        <v>5</v>
      </c>
      <c r="L42" s="11">
        <v>4.5999999999999996</v>
      </c>
      <c r="M42" s="9" t="str">
        <f t="shared" si="0"/>
        <v>OK</v>
      </c>
      <c r="N42" s="12">
        <f t="shared" si="1"/>
        <v>1</v>
      </c>
      <c r="O42" s="12">
        <f>SUMIFS($D$2:D42,$B$2:B42,B42)/SUMIFS($D$2:$D$741,$B$2:$B$741,B42)</f>
        <v>1</v>
      </c>
      <c r="P42" s="9" t="b">
        <f t="shared" si="2"/>
        <v>1</v>
      </c>
      <c r="Q42" s="2"/>
      <c r="R42" s="2"/>
      <c r="S42" s="2"/>
    </row>
    <row r="43" spans="1:19" x14ac:dyDescent="0.45">
      <c r="A43" s="9" t="s">
        <v>81</v>
      </c>
      <c r="B43" s="9" t="s">
        <v>82</v>
      </c>
      <c r="C43" s="10">
        <v>1</v>
      </c>
      <c r="D43" s="10">
        <v>17433</v>
      </c>
      <c r="E43" s="10">
        <v>3276</v>
      </c>
      <c r="F43" s="10">
        <v>214</v>
      </c>
      <c r="G43" s="10">
        <v>74</v>
      </c>
      <c r="H43" s="10">
        <v>17218</v>
      </c>
      <c r="I43" s="11">
        <v>6</v>
      </c>
      <c r="J43" s="11">
        <v>21</v>
      </c>
      <c r="K43" s="11">
        <v>43</v>
      </c>
      <c r="L43" s="11">
        <v>43</v>
      </c>
      <c r="M43" s="9" t="str">
        <f t="shared" si="0"/>
        <v>OK</v>
      </c>
      <c r="N43" s="12">
        <f t="shared" si="1"/>
        <v>0.3685389932985223</v>
      </c>
      <c r="O43" s="12">
        <f>SUMIFS($D$2:D43,$B$2:B43,B43)/SUMIFS($D$2:$D$741,$B$2:$B$741,B43)</f>
        <v>0.3685389932985223</v>
      </c>
      <c r="P43" s="9" t="b">
        <f t="shared" si="2"/>
        <v>1</v>
      </c>
      <c r="Q43" s="2"/>
      <c r="R43" s="2"/>
      <c r="S43" s="2"/>
    </row>
    <row r="44" spans="1:19" x14ac:dyDescent="0.45">
      <c r="A44" s="4" t="s">
        <v>83</v>
      </c>
      <c r="B44" s="4" t="s">
        <v>82</v>
      </c>
      <c r="C44" s="5">
        <v>1</v>
      </c>
      <c r="D44" s="5">
        <v>4895</v>
      </c>
      <c r="E44" s="5">
        <v>1060</v>
      </c>
      <c r="F44" s="5">
        <v>29</v>
      </c>
      <c r="G44" s="5">
        <v>11</v>
      </c>
      <c r="H44" s="5">
        <v>4866</v>
      </c>
      <c r="I44" s="6">
        <v>2</v>
      </c>
      <c r="J44" s="6">
        <v>8.9</v>
      </c>
      <c r="K44" s="6">
        <v>10</v>
      </c>
      <c r="L44" s="6">
        <v>10</v>
      </c>
      <c r="M44" s="4" t="str">
        <f t="shared" si="0"/>
        <v>OK</v>
      </c>
      <c r="N44" s="7">
        <f t="shared" si="1"/>
        <v>0.1034818087647718</v>
      </c>
      <c r="O44" s="7">
        <f>SUMIFS($D$2:D44,$B$2:B44,B44)/SUMIFS($D$2:$D$741,$B$2:$B$741,B44)</f>
        <v>0.47202080206329411</v>
      </c>
      <c r="P44" s="4" t="b">
        <f t="shared" si="2"/>
        <v>1</v>
      </c>
      <c r="Q44" s="2"/>
      <c r="R44" s="2"/>
      <c r="S44" s="2"/>
    </row>
    <row r="45" spans="1:19" x14ac:dyDescent="0.45">
      <c r="A45" s="4" t="s">
        <v>84</v>
      </c>
      <c r="B45" s="4" t="s">
        <v>82</v>
      </c>
      <c r="C45" s="5">
        <v>1</v>
      </c>
      <c r="D45" s="5">
        <v>4150</v>
      </c>
      <c r="E45" s="5">
        <v>948</v>
      </c>
      <c r="F45" s="5">
        <v>38</v>
      </c>
      <c r="G45" s="5">
        <v>11</v>
      </c>
      <c r="H45" s="5">
        <v>4112</v>
      </c>
      <c r="I45" s="6">
        <v>8</v>
      </c>
      <c r="J45" s="6">
        <v>16.8</v>
      </c>
      <c r="K45" s="6">
        <v>35</v>
      </c>
      <c r="L45" s="6">
        <v>35</v>
      </c>
      <c r="M45" s="4" t="str">
        <f t="shared" si="0"/>
        <v>OK</v>
      </c>
      <c r="N45" s="7">
        <f t="shared" si="1"/>
        <v>8.7732279136629815E-2</v>
      </c>
      <c r="O45" s="7">
        <f>SUMIFS($D$2:D45,$B$2:B45,B45)/SUMIFS($D$2:$D$741,$B$2:$B$741,B45)</f>
        <v>0.55975308119992384</v>
      </c>
      <c r="P45" s="4" t="b">
        <f t="shared" si="2"/>
        <v>1</v>
      </c>
      <c r="Q45" s="2"/>
      <c r="R45" s="2"/>
      <c r="S45" s="2"/>
    </row>
    <row r="46" spans="1:19" x14ac:dyDescent="0.45">
      <c r="A46" s="4" t="s">
        <v>85</v>
      </c>
      <c r="B46" s="4" t="s">
        <v>82</v>
      </c>
      <c r="C46" s="5">
        <v>1</v>
      </c>
      <c r="D46" s="5">
        <v>3123</v>
      </c>
      <c r="E46" s="5">
        <v>715</v>
      </c>
      <c r="F46" s="5">
        <v>10</v>
      </c>
      <c r="G46" s="5">
        <v>3</v>
      </c>
      <c r="H46" s="5">
        <v>3113</v>
      </c>
      <c r="I46" s="6">
        <v>1</v>
      </c>
      <c r="J46" s="6">
        <v>4.5999999999999996</v>
      </c>
      <c r="K46" s="6">
        <v>6</v>
      </c>
      <c r="L46" s="6">
        <v>6</v>
      </c>
      <c r="M46" s="4" t="str">
        <f t="shared" si="0"/>
        <v>OK</v>
      </c>
      <c r="N46" s="7">
        <f t="shared" si="1"/>
        <v>6.6021182588842139E-2</v>
      </c>
      <c r="O46" s="7">
        <f>SUMIFS($D$2:D46,$B$2:B46,B46)/SUMIFS($D$2:$D$741,$B$2:$B$741,B46)</f>
        <v>0.62577426378876599</v>
      </c>
      <c r="P46" s="4" t="b">
        <f t="shared" si="2"/>
        <v>1</v>
      </c>
      <c r="Q46" s="2"/>
      <c r="R46" s="2"/>
      <c r="S46" s="2"/>
    </row>
    <row r="47" spans="1:19" x14ac:dyDescent="0.45">
      <c r="A47" s="4" t="s">
        <v>86</v>
      </c>
      <c r="B47" s="4" t="s">
        <v>82</v>
      </c>
      <c r="C47" s="5">
        <v>1</v>
      </c>
      <c r="D47" s="5">
        <v>2106</v>
      </c>
      <c r="E47" s="5">
        <v>378</v>
      </c>
      <c r="F47" s="5">
        <v>132</v>
      </c>
      <c r="G47" s="5">
        <v>77</v>
      </c>
      <c r="H47" s="5">
        <v>1974</v>
      </c>
      <c r="I47" s="6">
        <v>43</v>
      </c>
      <c r="J47" s="6">
        <v>73.599999999999994</v>
      </c>
      <c r="K47" s="6">
        <v>169</v>
      </c>
      <c r="L47" s="6">
        <v>169</v>
      </c>
      <c r="M47" s="4" t="str">
        <f t="shared" si="0"/>
        <v>OK</v>
      </c>
      <c r="N47" s="7">
        <f t="shared" si="1"/>
        <v>4.4521489123311421E-2</v>
      </c>
      <c r="O47" s="7">
        <f>SUMIFS($D$2:D47,$B$2:B47,B47)/SUMIFS($D$2:$D$741,$B$2:$B$741,B47)</f>
        <v>0.67029575291207744</v>
      </c>
      <c r="P47" s="4" t="b">
        <f t="shared" si="2"/>
        <v>1</v>
      </c>
      <c r="Q47" s="2"/>
      <c r="R47" s="2"/>
      <c r="S47" s="2"/>
    </row>
    <row r="48" spans="1:19" x14ac:dyDescent="0.45">
      <c r="A48" s="4" t="s">
        <v>87</v>
      </c>
      <c r="B48" s="4" t="s">
        <v>82</v>
      </c>
      <c r="C48" s="5">
        <v>1</v>
      </c>
      <c r="D48" s="5">
        <v>1692</v>
      </c>
      <c r="E48" s="5">
        <v>503</v>
      </c>
      <c r="F48" s="5">
        <v>18</v>
      </c>
      <c r="G48" s="5">
        <v>9</v>
      </c>
      <c r="H48" s="5">
        <v>1674</v>
      </c>
      <c r="I48" s="6">
        <v>3</v>
      </c>
      <c r="J48" s="6">
        <v>13.6</v>
      </c>
      <c r="K48" s="6">
        <v>33</v>
      </c>
      <c r="L48" s="6">
        <v>33</v>
      </c>
      <c r="M48" s="4" t="str">
        <f t="shared" si="0"/>
        <v>OK</v>
      </c>
      <c r="N48" s="7">
        <f t="shared" si="1"/>
        <v>3.5769401517874132E-2</v>
      </c>
      <c r="O48" s="7">
        <f>SUMIFS($D$2:D48,$B$2:B48,B48)/SUMIFS($D$2:$D$741,$B$2:$B$741,B48)</f>
        <v>0.70606515442995155</v>
      </c>
      <c r="P48" s="4" t="b">
        <f t="shared" si="2"/>
        <v>1</v>
      </c>
      <c r="Q48" s="2"/>
      <c r="R48" s="2"/>
      <c r="S48" s="2"/>
    </row>
    <row r="49" spans="1:19" x14ac:dyDescent="0.45">
      <c r="A49" s="4" t="s">
        <v>88</v>
      </c>
      <c r="B49" s="4" t="s">
        <v>82</v>
      </c>
      <c r="C49" s="5">
        <v>1</v>
      </c>
      <c r="D49" s="5">
        <v>1553</v>
      </c>
      <c r="E49" s="5">
        <v>408</v>
      </c>
      <c r="F49" s="5">
        <v>320</v>
      </c>
      <c r="G49" s="5">
        <v>243</v>
      </c>
      <c r="H49" s="5">
        <v>1233</v>
      </c>
      <c r="I49" s="6">
        <v>50</v>
      </c>
      <c r="J49" s="6">
        <v>57.8</v>
      </c>
      <c r="K49" s="6">
        <v>112</v>
      </c>
      <c r="L49" s="6">
        <v>111.8</v>
      </c>
      <c r="M49" s="4" t="str">
        <f t="shared" si="0"/>
        <v>OK</v>
      </c>
      <c r="N49" s="7">
        <f t="shared" si="1"/>
        <v>3.2830898674502673E-2</v>
      </c>
      <c r="O49" s="7">
        <f>SUMIFS($D$2:D49,$B$2:B49,B49)/SUMIFS($D$2:$D$741,$B$2:$B$741,B49)</f>
        <v>0.73889605310445428</v>
      </c>
      <c r="P49" s="4" t="b">
        <f t="shared" si="2"/>
        <v>1</v>
      </c>
      <c r="Q49" s="2"/>
      <c r="R49" s="2"/>
      <c r="S49" s="2"/>
    </row>
    <row r="50" spans="1:19" x14ac:dyDescent="0.45">
      <c r="A50" s="4" t="s">
        <v>89</v>
      </c>
      <c r="B50" s="4" t="s">
        <v>82</v>
      </c>
      <c r="C50" s="5">
        <v>1</v>
      </c>
      <c r="D50" s="5">
        <v>1462</v>
      </c>
      <c r="E50" s="5">
        <v>385</v>
      </c>
      <c r="F50" s="5">
        <v>15</v>
      </c>
      <c r="G50" s="5">
        <v>4</v>
      </c>
      <c r="H50" s="5">
        <v>1447</v>
      </c>
      <c r="I50" s="6">
        <v>10</v>
      </c>
      <c r="J50" s="6">
        <v>14.5</v>
      </c>
      <c r="K50" s="6">
        <v>32</v>
      </c>
      <c r="L50" s="6">
        <v>32</v>
      </c>
      <c r="M50" s="4" t="str">
        <f t="shared" si="0"/>
        <v>OK</v>
      </c>
      <c r="N50" s="7">
        <f t="shared" si="1"/>
        <v>3.0907130625964528E-2</v>
      </c>
      <c r="O50" s="7">
        <f>SUMIFS($D$2:D50,$B$2:B50,B50)/SUMIFS($D$2:$D$741,$B$2:$B$741,B50)</f>
        <v>0.76980318373041878</v>
      </c>
      <c r="P50" s="4" t="b">
        <f t="shared" si="2"/>
        <v>1</v>
      </c>
      <c r="Q50" s="2"/>
      <c r="R50" s="2"/>
      <c r="S50" s="2"/>
    </row>
    <row r="51" spans="1:19" x14ac:dyDescent="0.45">
      <c r="A51" s="4" t="s">
        <v>90</v>
      </c>
      <c r="B51" s="4" t="s">
        <v>82</v>
      </c>
      <c r="C51" s="5">
        <v>1</v>
      </c>
      <c r="D51" s="5">
        <v>1461</v>
      </c>
      <c r="E51" s="5">
        <v>729</v>
      </c>
      <c r="F51" s="5">
        <v>36</v>
      </c>
      <c r="G51" s="5">
        <v>7</v>
      </c>
      <c r="H51" s="5">
        <v>1425</v>
      </c>
      <c r="I51" s="6">
        <v>5</v>
      </c>
      <c r="J51" s="6">
        <v>18</v>
      </c>
      <c r="K51" s="6">
        <v>47</v>
      </c>
      <c r="L51" s="6">
        <v>47</v>
      </c>
      <c r="M51" s="4" t="str">
        <f t="shared" si="0"/>
        <v>OK</v>
      </c>
      <c r="N51" s="7">
        <f t="shared" si="1"/>
        <v>3.0885990317738834E-2</v>
      </c>
      <c r="O51" s="7">
        <f>SUMIFS($D$2:D51,$B$2:B51,B51)/SUMIFS($D$2:$D$741,$B$2:$B$741,B51)</f>
        <v>0.80068917404815765</v>
      </c>
      <c r="P51" s="4" t="b">
        <f t="shared" si="2"/>
        <v>1</v>
      </c>
      <c r="Q51" s="2"/>
      <c r="R51" s="2"/>
      <c r="S51" s="2"/>
    </row>
    <row r="52" spans="1:19" x14ac:dyDescent="0.45">
      <c r="A52" s="4" t="s">
        <v>91</v>
      </c>
      <c r="B52" s="4" t="s">
        <v>82</v>
      </c>
      <c r="C52" s="5">
        <v>1</v>
      </c>
      <c r="D52" s="5">
        <v>1270</v>
      </c>
      <c r="E52" s="5">
        <v>359</v>
      </c>
      <c r="F52" s="5">
        <v>167</v>
      </c>
      <c r="G52" s="5">
        <v>103</v>
      </c>
      <c r="H52" s="5">
        <v>1103</v>
      </c>
      <c r="I52" s="6">
        <v>21</v>
      </c>
      <c r="J52" s="6">
        <v>33.700000000000003</v>
      </c>
      <c r="K52" s="6">
        <v>65</v>
      </c>
      <c r="L52" s="6">
        <v>65</v>
      </c>
      <c r="M52" s="4" t="str">
        <f t="shared" si="0"/>
        <v>OK</v>
      </c>
      <c r="N52" s="7">
        <f t="shared" si="1"/>
        <v>2.6848191446631291E-2</v>
      </c>
      <c r="O52" s="7">
        <f>SUMIFS($D$2:D52,$B$2:B52,B52)/SUMIFS($D$2:$D$741,$B$2:$B$741,B52)</f>
        <v>0.82753736549478896</v>
      </c>
      <c r="P52" s="4" t="b">
        <f t="shared" si="2"/>
        <v>1</v>
      </c>
      <c r="Q52" s="2"/>
      <c r="R52" s="2"/>
      <c r="S52" s="2"/>
    </row>
    <row r="53" spans="1:19" x14ac:dyDescent="0.45">
      <c r="A53" s="4" t="s">
        <v>92</v>
      </c>
      <c r="B53" s="4" t="s">
        <v>82</v>
      </c>
      <c r="C53" s="5">
        <v>1</v>
      </c>
      <c r="D53" s="5">
        <v>1260</v>
      </c>
      <c r="E53" s="5">
        <v>302</v>
      </c>
      <c r="F53" s="5">
        <v>33</v>
      </c>
      <c r="G53" s="5">
        <v>3</v>
      </c>
      <c r="H53" s="5">
        <v>1227</v>
      </c>
      <c r="I53" s="6">
        <v>11</v>
      </c>
      <c r="J53" s="6">
        <v>22.9</v>
      </c>
      <c r="K53" s="6">
        <v>44</v>
      </c>
      <c r="L53" s="6">
        <v>44</v>
      </c>
      <c r="M53" s="4" t="str">
        <f t="shared" si="0"/>
        <v>OK</v>
      </c>
      <c r="N53" s="7">
        <f t="shared" si="1"/>
        <v>2.6636788364374352E-2</v>
      </c>
      <c r="O53" s="7">
        <f>SUMIFS($D$2:D53,$B$2:B53,B53)/SUMIFS($D$2:$D$741,$B$2:$B$741,B53)</f>
        <v>0.85417415385916329</v>
      </c>
      <c r="P53" s="4" t="b">
        <f t="shared" si="2"/>
        <v>1</v>
      </c>
      <c r="Q53" s="2"/>
      <c r="R53" s="2"/>
      <c r="S53" s="2"/>
    </row>
    <row r="54" spans="1:19" x14ac:dyDescent="0.45">
      <c r="A54" s="4" t="s">
        <v>93</v>
      </c>
      <c r="B54" s="4" t="s">
        <v>82</v>
      </c>
      <c r="C54" s="5">
        <v>1</v>
      </c>
      <c r="D54" s="5">
        <v>902</v>
      </c>
      <c r="E54" s="5">
        <v>248</v>
      </c>
      <c r="F54" s="5">
        <v>39</v>
      </c>
      <c r="G54" s="5">
        <v>36</v>
      </c>
      <c r="H54" s="5">
        <v>863</v>
      </c>
      <c r="I54" s="6">
        <v>3</v>
      </c>
      <c r="J54" s="6">
        <v>5.2</v>
      </c>
      <c r="K54" s="6">
        <v>12</v>
      </c>
      <c r="L54" s="6">
        <v>12</v>
      </c>
      <c r="M54" s="4" t="str">
        <f t="shared" si="0"/>
        <v>OK</v>
      </c>
      <c r="N54" s="7">
        <f t="shared" si="1"/>
        <v>1.9068558019575927E-2</v>
      </c>
      <c r="O54" s="7">
        <f>SUMIFS($D$2:D54,$B$2:B54,B54)/SUMIFS($D$2:$D$741,$B$2:$B$741,B54)</f>
        <v>0.87324271187873914</v>
      </c>
      <c r="P54" s="4" t="b">
        <f t="shared" si="2"/>
        <v>1</v>
      </c>
      <c r="Q54" s="2"/>
      <c r="R54" s="2"/>
      <c r="S54" s="2"/>
    </row>
    <row r="55" spans="1:19" x14ac:dyDescent="0.45">
      <c r="A55" s="4" t="s">
        <v>94</v>
      </c>
      <c r="B55" s="4" t="s">
        <v>82</v>
      </c>
      <c r="C55" s="5">
        <v>1</v>
      </c>
      <c r="D55" s="5">
        <v>650</v>
      </c>
      <c r="E55" s="5">
        <v>233</v>
      </c>
      <c r="F55" s="5">
        <v>5</v>
      </c>
      <c r="G55" s="5">
        <v>1</v>
      </c>
      <c r="H55" s="5">
        <v>645</v>
      </c>
      <c r="I55" s="6">
        <v>13</v>
      </c>
      <c r="J55" s="6">
        <v>19.7</v>
      </c>
      <c r="K55" s="6">
        <v>34</v>
      </c>
      <c r="L55" s="6">
        <v>34</v>
      </c>
      <c r="M55" s="4" t="str">
        <f t="shared" si="0"/>
        <v>OK</v>
      </c>
      <c r="N55" s="7">
        <f t="shared" si="1"/>
        <v>1.3741200346701055E-2</v>
      </c>
      <c r="O55" s="7">
        <f>SUMIFS($D$2:D55,$B$2:B55,B55)/SUMIFS($D$2:$D$741,$B$2:$B$741,B55)</f>
        <v>0.88698391222544026</v>
      </c>
      <c r="P55" s="4" t="b">
        <f t="shared" si="2"/>
        <v>1</v>
      </c>
      <c r="Q55" s="2"/>
      <c r="R55" s="2"/>
      <c r="S55" s="2"/>
    </row>
    <row r="56" spans="1:19" x14ac:dyDescent="0.45">
      <c r="A56" s="4" t="s">
        <v>95</v>
      </c>
      <c r="B56" s="4" t="s">
        <v>82</v>
      </c>
      <c r="C56" s="5">
        <v>1</v>
      </c>
      <c r="D56" s="5">
        <v>601</v>
      </c>
      <c r="E56" s="5">
        <v>127</v>
      </c>
      <c r="F56" s="5">
        <v>4</v>
      </c>
      <c r="G56" s="5">
        <v>0</v>
      </c>
      <c r="H56" s="5">
        <v>597</v>
      </c>
      <c r="I56" s="6">
        <v>10</v>
      </c>
      <c r="J56" s="6">
        <v>15</v>
      </c>
      <c r="K56" s="6">
        <v>31</v>
      </c>
      <c r="L56" s="6">
        <v>31</v>
      </c>
      <c r="M56" s="4" t="str">
        <f t="shared" si="0"/>
        <v>OK</v>
      </c>
      <c r="N56" s="7">
        <f t="shared" si="1"/>
        <v>1.2705325243642053E-2</v>
      </c>
      <c r="O56" s="7">
        <f>SUMIFS($D$2:D56,$B$2:B56,B56)/SUMIFS($D$2:$D$741,$B$2:$B$741,B56)</f>
        <v>0.89968923746908225</v>
      </c>
      <c r="P56" s="4" t="b">
        <f t="shared" si="2"/>
        <v>1</v>
      </c>
      <c r="Q56" s="2"/>
      <c r="R56" s="2"/>
      <c r="S56" s="2"/>
    </row>
    <row r="57" spans="1:19" x14ac:dyDescent="0.45">
      <c r="A57" s="4" t="s">
        <v>96</v>
      </c>
      <c r="B57" s="4" t="s">
        <v>82</v>
      </c>
      <c r="C57" s="5">
        <v>1</v>
      </c>
      <c r="D57" s="5">
        <v>524</v>
      </c>
      <c r="E57" s="5">
        <v>102</v>
      </c>
      <c r="F57" s="5">
        <v>8</v>
      </c>
      <c r="G57" s="5">
        <v>2</v>
      </c>
      <c r="H57" s="5">
        <v>516</v>
      </c>
      <c r="I57" s="6">
        <v>6</v>
      </c>
      <c r="J57" s="6">
        <v>14.3</v>
      </c>
      <c r="K57" s="6">
        <v>24</v>
      </c>
      <c r="L57" s="6">
        <v>23.5</v>
      </c>
      <c r="M57" s="4" t="str">
        <f t="shared" si="0"/>
        <v>OK</v>
      </c>
      <c r="N57" s="7">
        <f t="shared" si="1"/>
        <v>1.1077521510263619E-2</v>
      </c>
      <c r="O57" s="7">
        <f>SUMIFS($D$2:D57,$B$2:B57,B57)/SUMIFS($D$2:$D$741,$B$2:$B$741,B57)</f>
        <v>0.91076675897934589</v>
      </c>
      <c r="P57" s="4" t="b">
        <f t="shared" si="2"/>
        <v>1</v>
      </c>
      <c r="Q57" s="2"/>
      <c r="R57" s="2"/>
      <c r="S57" s="2"/>
    </row>
    <row r="58" spans="1:19" x14ac:dyDescent="0.45">
      <c r="A58" s="4" t="s">
        <v>97</v>
      </c>
      <c r="B58" s="4" t="s">
        <v>82</v>
      </c>
      <c r="C58" s="5">
        <v>1</v>
      </c>
      <c r="D58" s="5">
        <v>483</v>
      </c>
      <c r="E58" s="5">
        <v>13</v>
      </c>
      <c r="F58" s="5">
        <v>0</v>
      </c>
      <c r="G58" s="5">
        <v>0</v>
      </c>
      <c r="H58" s="5">
        <v>483</v>
      </c>
      <c r="I58" s="6">
        <v>1</v>
      </c>
      <c r="J58" s="6">
        <v>3.4</v>
      </c>
      <c r="K58" s="6">
        <v>6</v>
      </c>
      <c r="L58" s="6">
        <v>6</v>
      </c>
      <c r="M58" s="4" t="str">
        <f t="shared" si="0"/>
        <v>OK</v>
      </c>
      <c r="N58" s="7">
        <f t="shared" si="1"/>
        <v>1.0210768873010168E-2</v>
      </c>
      <c r="O58" s="7">
        <f>SUMIFS($D$2:D58,$B$2:B58,B58)/SUMIFS($D$2:$D$741,$B$2:$B$741,B58)</f>
        <v>0.92097752785235609</v>
      </c>
      <c r="P58" s="4" t="b">
        <f t="shared" si="2"/>
        <v>1</v>
      </c>
      <c r="Q58" s="2"/>
      <c r="R58" s="2"/>
      <c r="S58" s="2"/>
    </row>
    <row r="59" spans="1:19" x14ac:dyDescent="0.45">
      <c r="A59" s="4" t="s">
        <v>98</v>
      </c>
      <c r="B59" s="4" t="s">
        <v>82</v>
      </c>
      <c r="C59" s="5">
        <v>1</v>
      </c>
      <c r="D59" s="5">
        <v>473</v>
      </c>
      <c r="E59" s="5">
        <v>0</v>
      </c>
      <c r="F59" s="5">
        <v>4</v>
      </c>
      <c r="G59" s="5">
        <v>4</v>
      </c>
      <c r="H59" s="5">
        <v>469</v>
      </c>
      <c r="I59" s="6">
        <v>2</v>
      </c>
      <c r="J59" s="6">
        <v>2.9</v>
      </c>
      <c r="K59" s="6">
        <v>6</v>
      </c>
      <c r="L59" s="6">
        <v>6</v>
      </c>
      <c r="M59" s="4" t="str">
        <f t="shared" si="0"/>
        <v>OK</v>
      </c>
      <c r="N59" s="7">
        <f t="shared" si="1"/>
        <v>9.9993657907532299E-3</v>
      </c>
      <c r="O59" s="7">
        <f>SUMIFS($D$2:D59,$B$2:B59,B59)/SUMIFS($D$2:$D$741,$B$2:$B$741,B59)</f>
        <v>0.93097689364310932</v>
      </c>
      <c r="P59" s="4" t="b">
        <f t="shared" si="2"/>
        <v>1</v>
      </c>
      <c r="Q59" s="2"/>
      <c r="R59" s="2"/>
      <c r="S59" s="2"/>
    </row>
    <row r="60" spans="1:19" x14ac:dyDescent="0.45">
      <c r="A60" s="4" t="s">
        <v>99</v>
      </c>
      <c r="B60" s="4" t="s">
        <v>82</v>
      </c>
      <c r="C60" s="5">
        <v>1</v>
      </c>
      <c r="D60" s="5">
        <v>406</v>
      </c>
      <c r="E60" s="5">
        <v>0</v>
      </c>
      <c r="F60" s="5">
        <v>0</v>
      </c>
      <c r="G60" s="5">
        <v>0</v>
      </c>
      <c r="H60" s="5">
        <v>406</v>
      </c>
      <c r="I60" s="6">
        <v>27</v>
      </c>
      <c r="J60" s="6">
        <v>33.4</v>
      </c>
      <c r="K60" s="6">
        <v>68</v>
      </c>
      <c r="L60" s="6">
        <v>68</v>
      </c>
      <c r="M60" s="4" t="str">
        <f t="shared" si="0"/>
        <v>OK</v>
      </c>
      <c r="N60" s="7">
        <f t="shared" si="1"/>
        <v>8.5829651396317364E-3</v>
      </c>
      <c r="O60" s="7">
        <f>SUMIFS($D$2:D60,$B$2:B60,B60)/SUMIFS($D$2:$D$741,$B$2:$B$741,B60)</f>
        <v>0.93955985878274106</v>
      </c>
      <c r="P60" s="4" t="b">
        <f t="shared" si="2"/>
        <v>1</v>
      </c>
      <c r="Q60" s="2"/>
      <c r="R60" s="2"/>
      <c r="S60" s="2"/>
    </row>
    <row r="61" spans="1:19" x14ac:dyDescent="0.45">
      <c r="A61" s="4" t="s">
        <v>100</v>
      </c>
      <c r="B61" s="4" t="s">
        <v>82</v>
      </c>
      <c r="C61" s="5">
        <v>1</v>
      </c>
      <c r="D61" s="5">
        <v>398</v>
      </c>
      <c r="E61" s="5">
        <v>100</v>
      </c>
      <c r="F61" s="5">
        <v>1</v>
      </c>
      <c r="G61" s="5">
        <v>0</v>
      </c>
      <c r="H61" s="5">
        <v>397</v>
      </c>
      <c r="I61" s="6">
        <v>5</v>
      </c>
      <c r="J61" s="6">
        <v>14.3</v>
      </c>
      <c r="K61" s="6">
        <v>28</v>
      </c>
      <c r="L61" s="6">
        <v>28</v>
      </c>
      <c r="M61" s="4" t="str">
        <f t="shared" si="0"/>
        <v>OK</v>
      </c>
      <c r="N61" s="7">
        <f t="shared" si="1"/>
        <v>8.4138426738261836E-3</v>
      </c>
      <c r="O61" s="7">
        <f>SUMIFS($D$2:D61,$B$2:B61,B61)/SUMIFS($D$2:$D$741,$B$2:$B$741,B61)</f>
        <v>0.94797370145656723</v>
      </c>
      <c r="P61" s="4" t="b">
        <f t="shared" si="2"/>
        <v>1</v>
      </c>
      <c r="Q61" s="2"/>
      <c r="R61" s="2"/>
      <c r="S61" s="2"/>
    </row>
    <row r="62" spans="1:19" x14ac:dyDescent="0.45">
      <c r="A62" s="4" t="s">
        <v>101</v>
      </c>
      <c r="B62" s="4" t="s">
        <v>82</v>
      </c>
      <c r="C62" s="5">
        <v>1</v>
      </c>
      <c r="D62" s="5">
        <v>372</v>
      </c>
      <c r="E62" s="5">
        <v>85</v>
      </c>
      <c r="F62" s="5">
        <v>0</v>
      </c>
      <c r="G62" s="5">
        <v>0</v>
      </c>
      <c r="H62" s="5">
        <v>372</v>
      </c>
      <c r="I62" s="6">
        <v>2</v>
      </c>
      <c r="J62" s="6">
        <v>3.6</v>
      </c>
      <c r="K62" s="6">
        <v>8</v>
      </c>
      <c r="L62" s="6">
        <v>8</v>
      </c>
      <c r="M62" s="4" t="str">
        <f t="shared" si="0"/>
        <v>OK</v>
      </c>
      <c r="N62" s="7">
        <f t="shared" si="1"/>
        <v>7.8641946599581417E-3</v>
      </c>
      <c r="O62" s="7">
        <f>SUMIFS($D$2:D62,$B$2:B62,B62)/SUMIFS($D$2:$D$741,$B$2:$B$741,B62)</f>
        <v>0.95583789611652537</v>
      </c>
      <c r="P62" s="4" t="b">
        <f t="shared" si="2"/>
        <v>1</v>
      </c>
      <c r="Q62" s="2"/>
      <c r="R62" s="2"/>
      <c r="S62" s="2"/>
    </row>
    <row r="63" spans="1:19" x14ac:dyDescent="0.45">
      <c r="A63" s="4" t="s">
        <v>102</v>
      </c>
      <c r="B63" s="4" t="s">
        <v>82</v>
      </c>
      <c r="C63" s="5">
        <v>1</v>
      </c>
      <c r="D63" s="5">
        <v>293</v>
      </c>
      <c r="E63" s="5">
        <v>140</v>
      </c>
      <c r="F63" s="5">
        <v>43</v>
      </c>
      <c r="G63" s="5">
        <v>7</v>
      </c>
      <c r="H63" s="5">
        <v>250</v>
      </c>
      <c r="I63" s="6">
        <v>60.5</v>
      </c>
      <c r="J63" s="6">
        <v>65.599999999999994</v>
      </c>
      <c r="K63" s="6">
        <v>120</v>
      </c>
      <c r="L63" s="6">
        <v>120</v>
      </c>
      <c r="M63" s="4" t="str">
        <f t="shared" si="0"/>
        <v>OK</v>
      </c>
      <c r="N63" s="7">
        <f t="shared" si="1"/>
        <v>6.1941103101283215E-3</v>
      </c>
      <c r="O63" s="7">
        <f>SUMIFS($D$2:D63,$B$2:B63,B63)/SUMIFS($D$2:$D$741,$B$2:$B$741,B63)</f>
        <v>0.96203200642665365</v>
      </c>
      <c r="P63" s="4" t="b">
        <f t="shared" si="2"/>
        <v>0</v>
      </c>
      <c r="Q63" s="2"/>
      <c r="R63" s="2"/>
      <c r="S63" s="2"/>
    </row>
    <row r="64" spans="1:19" x14ac:dyDescent="0.45">
      <c r="A64" s="4" t="s">
        <v>103</v>
      </c>
      <c r="B64" s="4" t="s">
        <v>82</v>
      </c>
      <c r="C64" s="5">
        <v>1</v>
      </c>
      <c r="D64" s="5">
        <v>261</v>
      </c>
      <c r="E64" s="5">
        <v>49</v>
      </c>
      <c r="F64" s="5">
        <v>4</v>
      </c>
      <c r="G64" s="5">
        <v>3</v>
      </c>
      <c r="H64" s="5">
        <v>257</v>
      </c>
      <c r="I64" s="6">
        <v>3</v>
      </c>
      <c r="J64" s="6">
        <v>22.8</v>
      </c>
      <c r="K64" s="6">
        <v>14</v>
      </c>
      <c r="L64" s="6">
        <v>14.4</v>
      </c>
      <c r="M64" s="4" t="str">
        <f t="shared" si="0"/>
        <v>OK</v>
      </c>
      <c r="N64" s="7">
        <f t="shared" si="1"/>
        <v>5.5176204469061163E-3</v>
      </c>
      <c r="O64" s="7">
        <f>SUMIFS($D$2:D64,$B$2:B64,B64)/SUMIFS($D$2:$D$741,$B$2:$B$741,B64)</f>
        <v>0.96754962687355983</v>
      </c>
      <c r="P64" s="4" t="b">
        <f t="shared" si="2"/>
        <v>0</v>
      </c>
      <c r="Q64" s="2"/>
      <c r="R64" s="2"/>
      <c r="S64" s="2"/>
    </row>
    <row r="65" spans="1:19" x14ac:dyDescent="0.45">
      <c r="A65" s="4" t="s">
        <v>104</v>
      </c>
      <c r="B65" s="4" t="s">
        <v>82</v>
      </c>
      <c r="C65" s="5">
        <v>1</v>
      </c>
      <c r="D65" s="5">
        <v>215</v>
      </c>
      <c r="E65" s="5">
        <v>173</v>
      </c>
      <c r="F65" s="5">
        <v>4</v>
      </c>
      <c r="G65" s="5">
        <v>2</v>
      </c>
      <c r="H65" s="5">
        <v>211</v>
      </c>
      <c r="I65" s="6">
        <v>2</v>
      </c>
      <c r="J65" s="6">
        <v>3</v>
      </c>
      <c r="K65" s="6">
        <v>7</v>
      </c>
      <c r="L65" s="6">
        <v>7</v>
      </c>
      <c r="M65" s="4" t="str">
        <f t="shared" si="0"/>
        <v>OK</v>
      </c>
      <c r="N65" s="7">
        <f t="shared" si="1"/>
        <v>4.5451662685241949E-3</v>
      </c>
      <c r="O65" s="7">
        <f>SUMIFS($D$2:D65,$B$2:B65,B65)/SUMIFS($D$2:$D$741,$B$2:$B$741,B65)</f>
        <v>0.97209479314208402</v>
      </c>
      <c r="P65" s="4" t="b">
        <f t="shared" si="2"/>
        <v>0</v>
      </c>
      <c r="Q65" s="2"/>
      <c r="R65" s="2"/>
      <c r="S65" s="2"/>
    </row>
    <row r="66" spans="1:19" x14ac:dyDescent="0.45">
      <c r="A66" s="4" t="s">
        <v>105</v>
      </c>
      <c r="B66" s="4" t="s">
        <v>82</v>
      </c>
      <c r="C66" s="5">
        <v>1</v>
      </c>
      <c r="D66" s="5">
        <v>208</v>
      </c>
      <c r="E66" s="5">
        <v>47</v>
      </c>
      <c r="F66" s="5">
        <v>0</v>
      </c>
      <c r="G66" s="5">
        <v>0</v>
      </c>
      <c r="H66" s="5">
        <v>208</v>
      </c>
      <c r="I66" s="6">
        <v>1</v>
      </c>
      <c r="J66" s="6">
        <v>5.6</v>
      </c>
      <c r="K66" s="6">
        <v>4</v>
      </c>
      <c r="L66" s="6">
        <v>4.3</v>
      </c>
      <c r="M66" s="4" t="str">
        <f t="shared" ref="M66:M129" si="3">IF(AND(K66="",L66=""),"No closed tickets",IF(K66="","MISSING in catalog",IF(L66="","No valid closed tickets",IF(AND(ABS(K66-L66)&gt;=$S$3,ABS(K66-L66)&gt;=$S$4*MAX(L66,1)),"FAR OFF","OK"))))</f>
        <v>OK</v>
      </c>
      <c r="N66" s="7">
        <f t="shared" ref="N66:N129" si="4">D66/SUMIFS($D$2:$D$741,$B$2:$B$741,B66)</f>
        <v>4.3971841109443372E-3</v>
      </c>
      <c r="O66" s="7">
        <f>SUMIFS($D$2:D66,$B$2:B66,B66)/SUMIFS($D$2:$D$741,$B$2:$B$741,B66)</f>
        <v>0.97649197725302839</v>
      </c>
      <c r="P66" s="4" t="b">
        <f t="shared" ref="P66:P129" si="5">O66-N66&lt;$S$2</f>
        <v>0</v>
      </c>
      <c r="Q66" s="2"/>
      <c r="R66" s="2"/>
      <c r="S66" s="2"/>
    </row>
    <row r="67" spans="1:19" x14ac:dyDescent="0.45">
      <c r="A67" s="4" t="s">
        <v>106</v>
      </c>
      <c r="B67" s="4" t="s">
        <v>82</v>
      </c>
      <c r="C67" s="5">
        <v>1</v>
      </c>
      <c r="D67" s="5">
        <v>190</v>
      </c>
      <c r="E67" s="5">
        <v>19</v>
      </c>
      <c r="F67" s="5">
        <v>1</v>
      </c>
      <c r="G67" s="5">
        <v>0</v>
      </c>
      <c r="H67" s="5">
        <v>189</v>
      </c>
      <c r="I67" s="6">
        <v>5</v>
      </c>
      <c r="J67" s="6">
        <v>13.3</v>
      </c>
      <c r="K67" s="6">
        <v>35</v>
      </c>
      <c r="L67" s="6">
        <v>35</v>
      </c>
      <c r="M67" s="4" t="str">
        <f t="shared" si="3"/>
        <v>OK</v>
      </c>
      <c r="N67" s="7">
        <f t="shared" si="4"/>
        <v>4.0166585628818472E-3</v>
      </c>
      <c r="O67" s="7">
        <f>SUMIFS($D$2:D67,$B$2:B67,B67)/SUMIFS($D$2:$D$741,$B$2:$B$741,B67)</f>
        <v>0.98050863581591019</v>
      </c>
      <c r="P67" s="4" t="b">
        <f t="shared" si="5"/>
        <v>0</v>
      </c>
      <c r="Q67" s="2"/>
      <c r="R67" s="2"/>
      <c r="S67" s="2"/>
    </row>
    <row r="68" spans="1:19" x14ac:dyDescent="0.45">
      <c r="A68" s="4" t="s">
        <v>107</v>
      </c>
      <c r="B68" s="4" t="s">
        <v>82</v>
      </c>
      <c r="C68" s="5">
        <v>1</v>
      </c>
      <c r="D68" s="5">
        <v>164</v>
      </c>
      <c r="E68" s="5">
        <v>25</v>
      </c>
      <c r="F68" s="5">
        <v>1</v>
      </c>
      <c r="G68" s="5">
        <v>0</v>
      </c>
      <c r="H68" s="5">
        <v>163</v>
      </c>
      <c r="I68" s="6">
        <v>4</v>
      </c>
      <c r="J68" s="6">
        <v>6.5</v>
      </c>
      <c r="K68" s="6">
        <v>13</v>
      </c>
      <c r="L68" s="6">
        <v>13</v>
      </c>
      <c r="M68" s="4" t="str">
        <f t="shared" si="3"/>
        <v>OK</v>
      </c>
      <c r="N68" s="7">
        <f t="shared" si="4"/>
        <v>3.4670105490138044E-3</v>
      </c>
      <c r="O68" s="7">
        <f>SUMIFS($D$2:D68,$B$2:B68,B68)/SUMIFS($D$2:$D$741,$B$2:$B$741,B68)</f>
        <v>0.98397564636492396</v>
      </c>
      <c r="P68" s="4" t="b">
        <f t="shared" si="5"/>
        <v>0</v>
      </c>
      <c r="Q68" s="2"/>
      <c r="R68" s="2"/>
      <c r="S68" s="2"/>
    </row>
    <row r="69" spans="1:19" x14ac:dyDescent="0.45">
      <c r="A69" s="4" t="s">
        <v>108</v>
      </c>
      <c r="B69" s="4" t="s">
        <v>82</v>
      </c>
      <c r="C69" s="5">
        <v>1</v>
      </c>
      <c r="D69" s="5">
        <v>157</v>
      </c>
      <c r="E69" s="5">
        <v>115</v>
      </c>
      <c r="F69" s="5">
        <v>13</v>
      </c>
      <c r="G69" s="5">
        <v>1</v>
      </c>
      <c r="H69" s="5">
        <v>144</v>
      </c>
      <c r="I69" s="6">
        <v>10</v>
      </c>
      <c r="J69" s="6">
        <v>12.9</v>
      </c>
      <c r="K69" s="6">
        <v>27</v>
      </c>
      <c r="L69" s="6">
        <v>27</v>
      </c>
      <c r="M69" s="4" t="str">
        <f t="shared" si="3"/>
        <v>OK</v>
      </c>
      <c r="N69" s="7">
        <f t="shared" si="4"/>
        <v>3.3190283914339472E-3</v>
      </c>
      <c r="O69" s="7">
        <f>SUMIFS($D$2:D69,$B$2:B69,B69)/SUMIFS($D$2:$D$741,$B$2:$B$741,B69)</f>
        <v>0.9872946747563579</v>
      </c>
      <c r="P69" s="4" t="b">
        <f t="shared" si="5"/>
        <v>0</v>
      </c>
      <c r="Q69" s="2"/>
      <c r="R69" s="2"/>
      <c r="S69" s="2"/>
    </row>
    <row r="70" spans="1:19" x14ac:dyDescent="0.45">
      <c r="A70" s="4" t="s">
        <v>109</v>
      </c>
      <c r="B70" s="4" t="s">
        <v>82</v>
      </c>
      <c r="C70" s="5">
        <v>1</v>
      </c>
      <c r="D70" s="5">
        <v>135</v>
      </c>
      <c r="E70" s="5">
        <v>13</v>
      </c>
      <c r="F70" s="5">
        <v>4</v>
      </c>
      <c r="G70" s="5">
        <v>1</v>
      </c>
      <c r="H70" s="5">
        <v>131</v>
      </c>
      <c r="I70" s="6">
        <v>6</v>
      </c>
      <c r="J70" s="6">
        <v>44.8</v>
      </c>
      <c r="K70" s="6">
        <v>105</v>
      </c>
      <c r="L70" s="6">
        <v>105</v>
      </c>
      <c r="M70" s="4" t="str">
        <f t="shared" si="3"/>
        <v>OK</v>
      </c>
      <c r="N70" s="7">
        <f t="shared" si="4"/>
        <v>2.8539416104686808E-3</v>
      </c>
      <c r="O70" s="7">
        <f>SUMIFS($D$2:D70,$B$2:B70,B70)/SUMIFS($D$2:$D$741,$B$2:$B$741,B70)</f>
        <v>0.99014861636682661</v>
      </c>
      <c r="P70" s="4" t="b">
        <f t="shared" si="5"/>
        <v>0</v>
      </c>
      <c r="Q70" s="2"/>
      <c r="R70" s="2"/>
      <c r="S70" s="2"/>
    </row>
    <row r="71" spans="1:19" x14ac:dyDescent="0.45">
      <c r="A71" s="4" t="s">
        <v>110</v>
      </c>
      <c r="B71" s="4" t="s">
        <v>82</v>
      </c>
      <c r="C71" s="5">
        <v>1</v>
      </c>
      <c r="D71" s="5">
        <v>114</v>
      </c>
      <c r="E71" s="5">
        <v>27</v>
      </c>
      <c r="F71" s="5">
        <v>4</v>
      </c>
      <c r="G71" s="5">
        <v>2</v>
      </c>
      <c r="H71" s="5">
        <v>110</v>
      </c>
      <c r="I71" s="6">
        <v>4.5</v>
      </c>
      <c r="J71" s="6">
        <v>7.3</v>
      </c>
      <c r="K71" s="6">
        <v>15</v>
      </c>
      <c r="L71" s="6">
        <v>15</v>
      </c>
      <c r="M71" s="4" t="str">
        <f t="shared" si="3"/>
        <v>OK</v>
      </c>
      <c r="N71" s="7">
        <f t="shared" si="4"/>
        <v>2.4099951377291079E-3</v>
      </c>
      <c r="O71" s="7">
        <f>SUMIFS($D$2:D71,$B$2:B71,B71)/SUMIFS($D$2:$D$741,$B$2:$B$741,B71)</f>
        <v>0.99255861150455571</v>
      </c>
      <c r="P71" s="4" t="b">
        <f t="shared" si="5"/>
        <v>0</v>
      </c>
      <c r="Q71" s="2"/>
      <c r="R71" s="2"/>
      <c r="S71" s="2"/>
    </row>
    <row r="72" spans="1:19" x14ac:dyDescent="0.45">
      <c r="A72" s="4" t="s">
        <v>111</v>
      </c>
      <c r="B72" s="4" t="s">
        <v>82</v>
      </c>
      <c r="C72" s="5">
        <v>1</v>
      </c>
      <c r="D72" s="5">
        <v>103</v>
      </c>
      <c r="E72" s="5">
        <v>14</v>
      </c>
      <c r="F72" s="5">
        <v>2</v>
      </c>
      <c r="G72" s="5">
        <v>0</v>
      </c>
      <c r="H72" s="5">
        <v>101</v>
      </c>
      <c r="I72" s="6">
        <v>14</v>
      </c>
      <c r="J72" s="6">
        <v>174.6</v>
      </c>
      <c r="K72" s="6">
        <v>714</v>
      </c>
      <c r="L72" s="6">
        <v>714</v>
      </c>
      <c r="M72" s="4" t="str">
        <f t="shared" si="3"/>
        <v>OK</v>
      </c>
      <c r="N72" s="7">
        <f t="shared" si="4"/>
        <v>2.1774517472464747E-3</v>
      </c>
      <c r="O72" s="7">
        <f>SUMIFS($D$2:D72,$B$2:B72,B72)/SUMIFS($D$2:$D$741,$B$2:$B$741,B72)</f>
        <v>0.99473606325180219</v>
      </c>
      <c r="P72" s="4" t="b">
        <f t="shared" si="5"/>
        <v>0</v>
      </c>
      <c r="Q72" s="2"/>
      <c r="R72" s="2"/>
      <c r="S72" s="2"/>
    </row>
    <row r="73" spans="1:19" x14ac:dyDescent="0.45">
      <c r="A73" s="4" t="s">
        <v>112</v>
      </c>
      <c r="B73" s="4" t="s">
        <v>82</v>
      </c>
      <c r="C73" s="5">
        <v>1</v>
      </c>
      <c r="D73" s="5">
        <v>68</v>
      </c>
      <c r="E73" s="5">
        <v>14</v>
      </c>
      <c r="F73" s="5">
        <v>3</v>
      </c>
      <c r="G73" s="5">
        <v>1</v>
      </c>
      <c r="H73" s="5">
        <v>65</v>
      </c>
      <c r="I73" s="6">
        <v>4</v>
      </c>
      <c r="J73" s="6">
        <v>46.7</v>
      </c>
      <c r="K73" s="6">
        <v>220</v>
      </c>
      <c r="L73" s="6">
        <v>220.2</v>
      </c>
      <c r="M73" s="4" t="str">
        <f t="shared" si="3"/>
        <v>OK</v>
      </c>
      <c r="N73" s="7">
        <f t="shared" si="4"/>
        <v>1.4375409593471874E-3</v>
      </c>
      <c r="O73" s="7">
        <f>SUMIFS($D$2:D73,$B$2:B73,B73)/SUMIFS($D$2:$D$741,$B$2:$B$741,B73)</f>
        <v>0.99617360421114942</v>
      </c>
      <c r="P73" s="4" t="b">
        <f t="shared" si="5"/>
        <v>0</v>
      </c>
      <c r="Q73" s="2"/>
      <c r="R73" s="2"/>
      <c r="S73" s="2"/>
    </row>
    <row r="74" spans="1:19" x14ac:dyDescent="0.45">
      <c r="A74" s="4" t="s">
        <v>113</v>
      </c>
      <c r="B74" s="4" t="s">
        <v>82</v>
      </c>
      <c r="C74" s="5">
        <v>1</v>
      </c>
      <c r="D74" s="5">
        <v>67</v>
      </c>
      <c r="E74" s="5">
        <v>13</v>
      </c>
      <c r="F74" s="5">
        <v>2</v>
      </c>
      <c r="G74" s="5">
        <v>0</v>
      </c>
      <c r="H74" s="5">
        <v>65</v>
      </c>
      <c r="I74" s="6">
        <v>4</v>
      </c>
      <c r="J74" s="6">
        <v>6.4</v>
      </c>
      <c r="K74" s="6">
        <v>13</v>
      </c>
      <c r="L74" s="6">
        <v>13</v>
      </c>
      <c r="M74" s="4" t="str">
        <f t="shared" si="3"/>
        <v>OK</v>
      </c>
      <c r="N74" s="7">
        <f t="shared" si="4"/>
        <v>1.4164006511214933E-3</v>
      </c>
      <c r="O74" s="7">
        <f>SUMIFS($D$2:D74,$B$2:B74,B74)/SUMIFS($D$2:$D$741,$B$2:$B$741,B74)</f>
        <v>0.9975900048622709</v>
      </c>
      <c r="P74" s="4" t="b">
        <f t="shared" si="5"/>
        <v>0</v>
      </c>
      <c r="Q74" s="2"/>
      <c r="R74" s="2"/>
      <c r="S74" s="2"/>
    </row>
    <row r="75" spans="1:19" x14ac:dyDescent="0.45">
      <c r="A75" s="4" t="s">
        <v>114</v>
      </c>
      <c r="B75" s="4" t="s">
        <v>82</v>
      </c>
      <c r="C75" s="5">
        <v>1</v>
      </c>
      <c r="D75" s="5">
        <v>50</v>
      </c>
      <c r="E75" s="5">
        <v>20</v>
      </c>
      <c r="F75" s="5">
        <v>1</v>
      </c>
      <c r="G75" s="5">
        <v>1</v>
      </c>
      <c r="H75" s="5">
        <v>49</v>
      </c>
      <c r="I75" s="6">
        <v>2</v>
      </c>
      <c r="J75" s="6">
        <v>6.7</v>
      </c>
      <c r="K75" s="6">
        <v>8</v>
      </c>
      <c r="L75" s="6">
        <v>8.1999999999999993</v>
      </c>
      <c r="M75" s="4" t="str">
        <f t="shared" si="3"/>
        <v>OK</v>
      </c>
      <c r="N75" s="7">
        <f t="shared" si="4"/>
        <v>1.0570154112846965E-3</v>
      </c>
      <c r="O75" s="7">
        <f>SUMIFS($D$2:D75,$B$2:B75,B75)/SUMIFS($D$2:$D$741,$B$2:$B$741,B75)</f>
        <v>0.99864702027355556</v>
      </c>
      <c r="P75" s="4" t="b">
        <f t="shared" si="5"/>
        <v>0</v>
      </c>
      <c r="Q75" s="2"/>
      <c r="R75" s="2"/>
      <c r="S75" s="2"/>
    </row>
    <row r="76" spans="1:19" x14ac:dyDescent="0.45">
      <c r="A76" s="4" t="s">
        <v>115</v>
      </c>
      <c r="B76" s="4" t="s">
        <v>82</v>
      </c>
      <c r="C76" s="5">
        <v>1</v>
      </c>
      <c r="D76" s="5">
        <v>33</v>
      </c>
      <c r="E76" s="5">
        <v>0</v>
      </c>
      <c r="F76" s="5">
        <v>0</v>
      </c>
      <c r="G76" s="5">
        <v>0</v>
      </c>
      <c r="H76" s="5">
        <v>33</v>
      </c>
      <c r="I76" s="6">
        <v>4</v>
      </c>
      <c r="J76" s="6">
        <v>4.5999999999999996</v>
      </c>
      <c r="K76" s="6">
        <v>8</v>
      </c>
      <c r="L76" s="6">
        <v>8</v>
      </c>
      <c r="M76" s="4" t="str">
        <f t="shared" si="3"/>
        <v>OK</v>
      </c>
      <c r="N76" s="7">
        <f t="shared" si="4"/>
        <v>6.9763017144789969E-4</v>
      </c>
      <c r="O76" s="7">
        <f>SUMIFS($D$2:D76,$B$2:B76,B76)/SUMIFS($D$2:$D$741,$B$2:$B$741,B76)</f>
        <v>0.99934465044500354</v>
      </c>
      <c r="P76" s="4" t="b">
        <f t="shared" si="5"/>
        <v>0</v>
      </c>
      <c r="Q76" s="2"/>
      <c r="R76" s="2"/>
      <c r="S76" s="2"/>
    </row>
    <row r="77" spans="1:19" x14ac:dyDescent="0.45">
      <c r="A77" s="4" t="s">
        <v>116</v>
      </c>
      <c r="B77" s="4" t="s">
        <v>82</v>
      </c>
      <c r="C77" s="5">
        <v>1</v>
      </c>
      <c r="D77" s="5">
        <v>25</v>
      </c>
      <c r="E77" s="5">
        <v>6</v>
      </c>
      <c r="F77" s="5">
        <v>1</v>
      </c>
      <c r="G77" s="5">
        <v>1</v>
      </c>
      <c r="H77" s="5">
        <v>24</v>
      </c>
      <c r="I77" s="6">
        <v>10.5</v>
      </c>
      <c r="J77" s="6">
        <v>14.7</v>
      </c>
      <c r="K77" s="6">
        <v>26</v>
      </c>
      <c r="L77" s="6">
        <v>26.4</v>
      </c>
      <c r="M77" s="4" t="str">
        <f t="shared" si="3"/>
        <v>OK</v>
      </c>
      <c r="N77" s="7">
        <f t="shared" si="4"/>
        <v>5.2850770564234826E-4</v>
      </c>
      <c r="O77" s="7">
        <f>SUMIFS($D$2:D77,$B$2:B77,B77)/SUMIFS($D$2:$D$741,$B$2:$B$741,B77)</f>
        <v>0.99987315815064581</v>
      </c>
      <c r="P77" s="4" t="b">
        <f t="shared" si="5"/>
        <v>0</v>
      </c>
      <c r="Q77" s="2"/>
      <c r="R77" s="2"/>
      <c r="S77" s="2"/>
    </row>
    <row r="78" spans="1:19" x14ac:dyDescent="0.45">
      <c r="A78" s="4" t="s">
        <v>117</v>
      </c>
      <c r="B78" s="4" t="s">
        <v>82</v>
      </c>
      <c r="C78" s="5">
        <v>1</v>
      </c>
      <c r="D78" s="5">
        <v>6</v>
      </c>
      <c r="E78" s="5">
        <v>0</v>
      </c>
      <c r="F78" s="5">
        <v>0</v>
      </c>
      <c r="G78" s="5">
        <v>0</v>
      </c>
      <c r="H78" s="5">
        <v>6</v>
      </c>
      <c r="I78" s="6">
        <v>2.5</v>
      </c>
      <c r="J78" s="6">
        <v>2.8</v>
      </c>
      <c r="K78" s="6">
        <v>5</v>
      </c>
      <c r="L78" s="6">
        <v>5</v>
      </c>
      <c r="M78" s="4" t="str">
        <f t="shared" si="3"/>
        <v>OK</v>
      </c>
      <c r="N78" s="7">
        <f t="shared" si="4"/>
        <v>1.2684184935416359E-4</v>
      </c>
      <c r="O78" s="7">
        <f>SUMIFS($D$2:D78,$B$2:B78,B78)/SUMIFS($D$2:$D$741,$B$2:$B$741,B78)</f>
        <v>1</v>
      </c>
      <c r="P78" s="4" t="b">
        <f t="shared" si="5"/>
        <v>0</v>
      </c>
      <c r="Q78" s="2"/>
      <c r="R78" s="2"/>
      <c r="S78" s="2"/>
    </row>
    <row r="79" spans="1:19" x14ac:dyDescent="0.45">
      <c r="A79" s="9" t="s">
        <v>118</v>
      </c>
      <c r="B79" s="9" t="s">
        <v>119</v>
      </c>
      <c r="C79" s="10">
        <v>1</v>
      </c>
      <c r="D79" s="10">
        <v>413</v>
      </c>
      <c r="E79" s="10">
        <v>0</v>
      </c>
      <c r="F79" s="10">
        <v>0</v>
      </c>
      <c r="G79" s="10">
        <v>0</v>
      </c>
      <c r="H79" s="10">
        <v>413</v>
      </c>
      <c r="I79" s="11">
        <v>7</v>
      </c>
      <c r="J79" s="11">
        <v>6.4</v>
      </c>
      <c r="K79" s="11">
        <v>10</v>
      </c>
      <c r="L79" s="11">
        <v>10</v>
      </c>
      <c r="M79" s="9" t="str">
        <f t="shared" si="3"/>
        <v>OK</v>
      </c>
      <c r="N79" s="12">
        <f t="shared" si="4"/>
        <v>0.66080000000000005</v>
      </c>
      <c r="O79" s="12">
        <f>SUMIFS($D$2:D79,$B$2:B79,B79)/SUMIFS($D$2:$D$741,$B$2:$B$741,B79)</f>
        <v>0.66080000000000005</v>
      </c>
      <c r="P79" s="9" t="b">
        <f t="shared" si="5"/>
        <v>1</v>
      </c>
      <c r="Q79" s="2"/>
      <c r="R79" s="2"/>
      <c r="S79" s="2"/>
    </row>
    <row r="80" spans="1:19" x14ac:dyDescent="0.45">
      <c r="A80" s="4" t="s">
        <v>120</v>
      </c>
      <c r="B80" s="4" t="s">
        <v>119</v>
      </c>
      <c r="C80" s="5">
        <v>1</v>
      </c>
      <c r="D80" s="5">
        <v>86</v>
      </c>
      <c r="E80" s="5">
        <v>0</v>
      </c>
      <c r="F80" s="5">
        <v>0</v>
      </c>
      <c r="G80" s="5">
        <v>0</v>
      </c>
      <c r="H80" s="5">
        <v>86</v>
      </c>
      <c r="I80" s="6">
        <v>10</v>
      </c>
      <c r="J80" s="6">
        <v>9.8000000000000007</v>
      </c>
      <c r="K80" s="6">
        <v>13</v>
      </c>
      <c r="L80" s="6">
        <v>13</v>
      </c>
      <c r="M80" s="4" t="str">
        <f t="shared" si="3"/>
        <v>OK</v>
      </c>
      <c r="N80" s="7">
        <f t="shared" si="4"/>
        <v>0.1376</v>
      </c>
      <c r="O80" s="7">
        <f>SUMIFS($D$2:D80,$B$2:B80,B80)/SUMIFS($D$2:$D$741,$B$2:$B$741,B80)</f>
        <v>0.7984</v>
      </c>
      <c r="P80" s="4" t="b">
        <f t="shared" si="5"/>
        <v>1</v>
      </c>
      <c r="Q80" s="2"/>
      <c r="R80" s="2"/>
      <c r="S80" s="2"/>
    </row>
    <row r="81" spans="1:19" x14ac:dyDescent="0.45">
      <c r="A81" s="4" t="s">
        <v>121</v>
      </c>
      <c r="B81" s="4" t="s">
        <v>119</v>
      </c>
      <c r="C81" s="5">
        <v>1</v>
      </c>
      <c r="D81" s="5">
        <v>77</v>
      </c>
      <c r="E81" s="5">
        <v>0</v>
      </c>
      <c r="F81" s="5">
        <v>0</v>
      </c>
      <c r="G81" s="5">
        <v>0</v>
      </c>
      <c r="H81" s="5">
        <v>77</v>
      </c>
      <c r="I81" s="6">
        <v>1</v>
      </c>
      <c r="J81" s="6">
        <v>1.7</v>
      </c>
      <c r="K81" s="6">
        <v>3</v>
      </c>
      <c r="L81" s="6">
        <v>3</v>
      </c>
      <c r="M81" s="4" t="str">
        <f t="shared" si="3"/>
        <v>OK</v>
      </c>
      <c r="N81" s="7">
        <f t="shared" si="4"/>
        <v>0.1232</v>
      </c>
      <c r="O81" s="7">
        <f>SUMIFS($D$2:D81,$B$2:B81,B81)/SUMIFS($D$2:$D$741,$B$2:$B$741,B81)</f>
        <v>0.92159999999999997</v>
      </c>
      <c r="P81" s="4" t="b">
        <f t="shared" si="5"/>
        <v>1</v>
      </c>
      <c r="Q81" s="2"/>
      <c r="R81" s="2"/>
      <c r="S81" s="2"/>
    </row>
    <row r="82" spans="1:19" x14ac:dyDescent="0.45">
      <c r="A82" s="4" t="s">
        <v>122</v>
      </c>
      <c r="B82" s="4" t="s">
        <v>119</v>
      </c>
      <c r="C82" s="5">
        <v>1</v>
      </c>
      <c r="D82" s="5">
        <v>19</v>
      </c>
      <c r="E82" s="5">
        <v>0</v>
      </c>
      <c r="F82" s="5">
        <v>0</v>
      </c>
      <c r="G82" s="5">
        <v>0</v>
      </c>
      <c r="H82" s="5">
        <v>19</v>
      </c>
      <c r="I82" s="6">
        <v>4</v>
      </c>
      <c r="J82" s="6">
        <v>3.4</v>
      </c>
      <c r="K82" s="6">
        <v>5</v>
      </c>
      <c r="L82" s="6">
        <v>5.4</v>
      </c>
      <c r="M82" s="4" t="str">
        <f t="shared" si="3"/>
        <v>OK</v>
      </c>
      <c r="N82" s="7">
        <f t="shared" si="4"/>
        <v>3.04E-2</v>
      </c>
      <c r="O82" s="7">
        <f>SUMIFS($D$2:D82,$B$2:B82,B82)/SUMIFS($D$2:$D$741,$B$2:$B$741,B82)</f>
        <v>0.95199999999999996</v>
      </c>
      <c r="P82" s="4" t="b">
        <f t="shared" si="5"/>
        <v>1</v>
      </c>
      <c r="Q82" s="2"/>
      <c r="R82" s="2"/>
      <c r="S82" s="2"/>
    </row>
    <row r="83" spans="1:19" x14ac:dyDescent="0.45">
      <c r="A83" s="4" t="s">
        <v>123</v>
      </c>
      <c r="B83" s="4" t="s">
        <v>119</v>
      </c>
      <c r="C83" s="5">
        <v>2</v>
      </c>
      <c r="D83" s="5">
        <v>11</v>
      </c>
      <c r="E83" s="5">
        <v>0</v>
      </c>
      <c r="F83" s="5">
        <v>0</v>
      </c>
      <c r="G83" s="5">
        <v>0</v>
      </c>
      <c r="H83" s="5">
        <v>11</v>
      </c>
      <c r="I83" s="6">
        <v>2</v>
      </c>
      <c r="J83" s="6">
        <v>2.1</v>
      </c>
      <c r="K83" s="6">
        <v>4</v>
      </c>
      <c r="L83" s="6">
        <v>4</v>
      </c>
      <c r="M83" s="4" t="str">
        <f t="shared" si="3"/>
        <v>OK</v>
      </c>
      <c r="N83" s="7">
        <f t="shared" si="4"/>
        <v>1.7600000000000001E-2</v>
      </c>
      <c r="O83" s="7">
        <f>SUMIFS($D$2:D83,$B$2:B83,B83)/SUMIFS($D$2:$D$741,$B$2:$B$741,B83)</f>
        <v>0.96960000000000002</v>
      </c>
      <c r="P83" s="4" t="b">
        <f t="shared" si="5"/>
        <v>0</v>
      </c>
      <c r="Q83" s="2"/>
      <c r="R83" s="2"/>
      <c r="S83" s="2"/>
    </row>
    <row r="84" spans="1:19" x14ac:dyDescent="0.45">
      <c r="A84" s="4" t="s">
        <v>124</v>
      </c>
      <c r="B84" s="4" t="s">
        <v>119</v>
      </c>
      <c r="C84" s="5">
        <v>1</v>
      </c>
      <c r="D84" s="5">
        <v>8</v>
      </c>
      <c r="E84" s="5">
        <v>0</v>
      </c>
      <c r="F84" s="5">
        <v>0</v>
      </c>
      <c r="G84" s="5">
        <v>0</v>
      </c>
      <c r="H84" s="5">
        <v>8</v>
      </c>
      <c r="I84" s="6">
        <v>4</v>
      </c>
      <c r="J84" s="6">
        <v>5.6</v>
      </c>
      <c r="K84" s="6">
        <v>13</v>
      </c>
      <c r="L84" s="6">
        <v>13</v>
      </c>
      <c r="M84" s="4" t="str">
        <f t="shared" si="3"/>
        <v>OK</v>
      </c>
      <c r="N84" s="7">
        <f t="shared" si="4"/>
        <v>1.2800000000000001E-2</v>
      </c>
      <c r="O84" s="7">
        <f>SUMIFS($D$2:D84,$B$2:B84,B84)/SUMIFS($D$2:$D$741,$B$2:$B$741,B84)</f>
        <v>0.98240000000000005</v>
      </c>
      <c r="P84" s="4" t="b">
        <f t="shared" si="5"/>
        <v>0</v>
      </c>
      <c r="Q84" s="2"/>
      <c r="R84" s="2"/>
      <c r="S84" s="2"/>
    </row>
    <row r="85" spans="1:19" x14ac:dyDescent="0.45">
      <c r="A85" s="4" t="s">
        <v>125</v>
      </c>
      <c r="B85" s="4" t="s">
        <v>119</v>
      </c>
      <c r="C85" s="5">
        <v>2</v>
      </c>
      <c r="D85" s="5">
        <v>7</v>
      </c>
      <c r="E85" s="5">
        <v>0</v>
      </c>
      <c r="F85" s="5">
        <v>0</v>
      </c>
      <c r="G85" s="5">
        <v>0</v>
      </c>
      <c r="H85" s="5">
        <v>7</v>
      </c>
      <c r="I85" s="6">
        <v>14</v>
      </c>
      <c r="J85" s="6">
        <v>10.9</v>
      </c>
      <c r="K85" s="6">
        <v>18</v>
      </c>
      <c r="L85" s="6">
        <v>17.8</v>
      </c>
      <c r="M85" s="4" t="str">
        <f t="shared" si="3"/>
        <v>OK</v>
      </c>
      <c r="N85" s="7">
        <f t="shared" si="4"/>
        <v>1.12E-2</v>
      </c>
      <c r="O85" s="7">
        <f>SUMIFS($D$2:D85,$B$2:B85,B85)/SUMIFS($D$2:$D$741,$B$2:$B$741,B85)</f>
        <v>0.99360000000000004</v>
      </c>
      <c r="P85" s="4" t="b">
        <f t="shared" si="5"/>
        <v>0</v>
      </c>
      <c r="Q85" s="2"/>
      <c r="R85" s="2"/>
      <c r="S85" s="2"/>
    </row>
    <row r="86" spans="1:19" x14ac:dyDescent="0.45">
      <c r="A86" s="4" t="s">
        <v>126</v>
      </c>
      <c r="B86" s="4" t="s">
        <v>119</v>
      </c>
      <c r="C86" s="5">
        <v>1</v>
      </c>
      <c r="D86" s="5">
        <v>2</v>
      </c>
      <c r="E86" s="5">
        <v>0</v>
      </c>
      <c r="F86" s="5">
        <v>0</v>
      </c>
      <c r="G86" s="5">
        <v>0</v>
      </c>
      <c r="H86" s="5">
        <v>2</v>
      </c>
      <c r="I86" s="6">
        <v>1.5</v>
      </c>
      <c r="J86" s="6">
        <v>1.5</v>
      </c>
      <c r="K86" s="6">
        <v>2</v>
      </c>
      <c r="L86" s="6">
        <v>1.9</v>
      </c>
      <c r="M86" s="4" t="str">
        <f t="shared" si="3"/>
        <v>OK</v>
      </c>
      <c r="N86" s="7">
        <f t="shared" si="4"/>
        <v>3.2000000000000002E-3</v>
      </c>
      <c r="O86" s="7">
        <f>SUMIFS($D$2:D86,$B$2:B86,B86)/SUMIFS($D$2:$D$741,$B$2:$B$741,B86)</f>
        <v>0.99680000000000002</v>
      </c>
      <c r="P86" s="4" t="b">
        <f t="shared" si="5"/>
        <v>0</v>
      </c>
      <c r="Q86" s="2"/>
      <c r="R86" s="2"/>
      <c r="S86" s="2"/>
    </row>
    <row r="87" spans="1:19" x14ac:dyDescent="0.45">
      <c r="A87" s="4" t="s">
        <v>127</v>
      </c>
      <c r="B87" s="4" t="s">
        <v>119</v>
      </c>
      <c r="C87" s="5">
        <v>1</v>
      </c>
      <c r="D87" s="5">
        <v>2</v>
      </c>
      <c r="E87" s="5">
        <v>0</v>
      </c>
      <c r="F87" s="5">
        <v>0</v>
      </c>
      <c r="G87" s="5">
        <v>0</v>
      </c>
      <c r="H87" s="5">
        <v>2</v>
      </c>
      <c r="I87" s="6">
        <v>6</v>
      </c>
      <c r="J87" s="6">
        <v>6</v>
      </c>
      <c r="K87" s="6">
        <v>7</v>
      </c>
      <c r="L87" s="6">
        <v>6.8</v>
      </c>
      <c r="M87" s="4" t="str">
        <f t="shared" si="3"/>
        <v>OK</v>
      </c>
      <c r="N87" s="7">
        <f t="shared" si="4"/>
        <v>3.2000000000000002E-3</v>
      </c>
      <c r="O87" s="7">
        <f>SUMIFS($D$2:D87,$B$2:B87,B87)/SUMIFS($D$2:$D$741,$B$2:$B$741,B87)</f>
        <v>1</v>
      </c>
      <c r="P87" s="4" t="b">
        <f t="shared" si="5"/>
        <v>0</v>
      </c>
      <c r="Q87" s="2"/>
      <c r="R87" s="2"/>
      <c r="S87" s="2"/>
    </row>
    <row r="88" spans="1:19" x14ac:dyDescent="0.45">
      <c r="A88" s="9" t="s">
        <v>128</v>
      </c>
      <c r="B88" s="9" t="s">
        <v>129</v>
      </c>
      <c r="C88" s="10">
        <v>1</v>
      </c>
      <c r="D88" s="10">
        <v>186</v>
      </c>
      <c r="E88" s="10">
        <v>0</v>
      </c>
      <c r="F88" s="10">
        <v>0</v>
      </c>
      <c r="G88" s="10">
        <v>0</v>
      </c>
      <c r="H88" s="10">
        <v>186</v>
      </c>
      <c r="I88" s="11">
        <v>2</v>
      </c>
      <c r="J88" s="11">
        <v>3.6</v>
      </c>
      <c r="K88" s="11">
        <v>8</v>
      </c>
      <c r="L88" s="11">
        <v>7.5</v>
      </c>
      <c r="M88" s="9" t="str">
        <f t="shared" si="3"/>
        <v>OK</v>
      </c>
      <c r="N88" s="12">
        <f t="shared" si="4"/>
        <v>0.24473684210526317</v>
      </c>
      <c r="O88" s="12">
        <f>SUMIFS($D$2:D88,$B$2:B88,B88)/SUMIFS($D$2:$D$741,$B$2:$B$741,B88)</f>
        <v>0.24473684210526317</v>
      </c>
      <c r="P88" s="9" t="b">
        <f t="shared" si="5"/>
        <v>1</v>
      </c>
      <c r="Q88" s="2"/>
      <c r="R88" s="2"/>
      <c r="S88" s="2"/>
    </row>
    <row r="89" spans="1:19" x14ac:dyDescent="0.45">
      <c r="A89" s="4" t="s">
        <v>130</v>
      </c>
      <c r="B89" s="4" t="s">
        <v>129</v>
      </c>
      <c r="C89" s="5">
        <v>1</v>
      </c>
      <c r="D89" s="5">
        <v>84</v>
      </c>
      <c r="E89" s="5">
        <v>0</v>
      </c>
      <c r="F89" s="5">
        <v>0</v>
      </c>
      <c r="G89" s="5">
        <v>0</v>
      </c>
      <c r="H89" s="5">
        <v>84</v>
      </c>
      <c r="I89" s="6">
        <v>1</v>
      </c>
      <c r="J89" s="6">
        <v>2.2000000000000002</v>
      </c>
      <c r="K89" s="6">
        <v>5</v>
      </c>
      <c r="L89" s="6">
        <v>5</v>
      </c>
      <c r="M89" s="4" t="str">
        <f t="shared" si="3"/>
        <v>OK</v>
      </c>
      <c r="N89" s="7">
        <f t="shared" si="4"/>
        <v>0.11052631578947368</v>
      </c>
      <c r="O89" s="7">
        <f>SUMIFS($D$2:D89,$B$2:B89,B89)/SUMIFS($D$2:$D$741,$B$2:$B$741,B89)</f>
        <v>0.35526315789473684</v>
      </c>
      <c r="P89" s="4" t="b">
        <f t="shared" si="5"/>
        <v>1</v>
      </c>
      <c r="Q89" s="2"/>
      <c r="R89" s="2"/>
      <c r="S89" s="2"/>
    </row>
    <row r="90" spans="1:19" x14ac:dyDescent="0.45">
      <c r="A90" s="4" t="s">
        <v>131</v>
      </c>
      <c r="B90" s="4" t="s">
        <v>129</v>
      </c>
      <c r="C90" s="5">
        <v>1</v>
      </c>
      <c r="D90" s="5">
        <v>67</v>
      </c>
      <c r="E90" s="5">
        <v>0</v>
      </c>
      <c r="F90" s="5">
        <v>0</v>
      </c>
      <c r="G90" s="5">
        <v>0</v>
      </c>
      <c r="H90" s="5">
        <v>67</v>
      </c>
      <c r="I90" s="6">
        <v>2</v>
      </c>
      <c r="J90" s="6">
        <v>4.5999999999999996</v>
      </c>
      <c r="K90" s="6">
        <v>12</v>
      </c>
      <c r="L90" s="6">
        <v>12</v>
      </c>
      <c r="M90" s="4" t="str">
        <f t="shared" si="3"/>
        <v>OK</v>
      </c>
      <c r="N90" s="7">
        <f t="shared" si="4"/>
        <v>8.8157894736842102E-2</v>
      </c>
      <c r="O90" s="7">
        <f>SUMIFS($D$2:D90,$B$2:B90,B90)/SUMIFS($D$2:$D$741,$B$2:$B$741,B90)</f>
        <v>0.44342105263157894</v>
      </c>
      <c r="P90" s="4" t="b">
        <f t="shared" si="5"/>
        <v>1</v>
      </c>
      <c r="Q90" s="2"/>
      <c r="R90" s="2"/>
      <c r="S90" s="2"/>
    </row>
    <row r="91" spans="1:19" x14ac:dyDescent="0.45">
      <c r="A91" s="4" t="s">
        <v>132</v>
      </c>
      <c r="B91" s="4" t="s">
        <v>129</v>
      </c>
      <c r="C91" s="5">
        <v>2</v>
      </c>
      <c r="D91" s="5">
        <v>61</v>
      </c>
      <c r="E91" s="5">
        <v>0</v>
      </c>
      <c r="F91" s="5">
        <v>0</v>
      </c>
      <c r="G91" s="5">
        <v>0</v>
      </c>
      <c r="H91" s="5">
        <v>61</v>
      </c>
      <c r="I91" s="6">
        <v>36</v>
      </c>
      <c r="J91" s="6">
        <v>35.299999999999997</v>
      </c>
      <c r="K91" s="6">
        <v>50</v>
      </c>
      <c r="L91" s="6">
        <v>50</v>
      </c>
      <c r="M91" s="4" t="str">
        <f t="shared" si="3"/>
        <v>OK</v>
      </c>
      <c r="N91" s="7">
        <f t="shared" si="4"/>
        <v>8.0263157894736842E-2</v>
      </c>
      <c r="O91" s="7">
        <f>SUMIFS($D$2:D91,$B$2:B91,B91)/SUMIFS($D$2:$D$741,$B$2:$B$741,B91)</f>
        <v>0.52368421052631575</v>
      </c>
      <c r="P91" s="4" t="b">
        <f t="shared" si="5"/>
        <v>1</v>
      </c>
      <c r="Q91" s="2"/>
      <c r="R91" s="2"/>
      <c r="S91" s="2"/>
    </row>
    <row r="92" spans="1:19" x14ac:dyDescent="0.45">
      <c r="A92" s="4" t="s">
        <v>133</v>
      </c>
      <c r="B92" s="4" t="s">
        <v>129</v>
      </c>
      <c r="C92" s="5">
        <v>2</v>
      </c>
      <c r="D92" s="5">
        <v>38</v>
      </c>
      <c r="E92" s="5">
        <v>0</v>
      </c>
      <c r="F92" s="5">
        <v>0</v>
      </c>
      <c r="G92" s="5">
        <v>0</v>
      </c>
      <c r="H92" s="5">
        <v>38</v>
      </c>
      <c r="I92" s="6">
        <v>1</v>
      </c>
      <c r="J92" s="6">
        <v>5</v>
      </c>
      <c r="K92" s="6">
        <v>11</v>
      </c>
      <c r="L92" s="6">
        <v>10.5</v>
      </c>
      <c r="M92" s="4" t="str">
        <f t="shared" si="3"/>
        <v>OK</v>
      </c>
      <c r="N92" s="7">
        <f t="shared" si="4"/>
        <v>0.05</v>
      </c>
      <c r="O92" s="7">
        <f>SUMIFS($D$2:D92,$B$2:B92,B92)/SUMIFS($D$2:$D$741,$B$2:$B$741,B92)</f>
        <v>0.5736842105263158</v>
      </c>
      <c r="P92" s="4" t="b">
        <f t="shared" si="5"/>
        <v>1</v>
      </c>
      <c r="Q92" s="2"/>
      <c r="R92" s="2"/>
      <c r="S92" s="2"/>
    </row>
    <row r="93" spans="1:19" x14ac:dyDescent="0.45">
      <c r="A93" s="4" t="s">
        <v>134</v>
      </c>
      <c r="B93" s="4" t="s">
        <v>129</v>
      </c>
      <c r="C93" s="5">
        <v>2</v>
      </c>
      <c r="D93" s="5">
        <v>36</v>
      </c>
      <c r="E93" s="5">
        <v>0</v>
      </c>
      <c r="F93" s="5">
        <v>0</v>
      </c>
      <c r="G93" s="5">
        <v>0</v>
      </c>
      <c r="H93" s="5">
        <v>36</v>
      </c>
      <c r="I93" s="6">
        <v>34</v>
      </c>
      <c r="J93" s="6">
        <v>38.700000000000003</v>
      </c>
      <c r="K93" s="6">
        <v>79</v>
      </c>
      <c r="L93" s="6">
        <v>79</v>
      </c>
      <c r="M93" s="4" t="str">
        <f t="shared" si="3"/>
        <v>OK</v>
      </c>
      <c r="N93" s="7">
        <f t="shared" si="4"/>
        <v>4.736842105263158E-2</v>
      </c>
      <c r="O93" s="7">
        <f>SUMIFS($D$2:D93,$B$2:B93,B93)/SUMIFS($D$2:$D$741,$B$2:$B$741,B93)</f>
        <v>0.62105263157894741</v>
      </c>
      <c r="P93" s="4" t="b">
        <f t="shared" si="5"/>
        <v>1</v>
      </c>
      <c r="Q93" s="2"/>
      <c r="R93" s="2"/>
      <c r="S93" s="2"/>
    </row>
    <row r="94" spans="1:19" x14ac:dyDescent="0.45">
      <c r="A94" s="4" t="s">
        <v>135</v>
      </c>
      <c r="B94" s="4" t="s">
        <v>129</v>
      </c>
      <c r="C94" s="5">
        <v>1</v>
      </c>
      <c r="D94" s="5">
        <v>35</v>
      </c>
      <c r="E94" s="5">
        <v>0</v>
      </c>
      <c r="F94" s="5">
        <v>0</v>
      </c>
      <c r="G94" s="5">
        <v>0</v>
      </c>
      <c r="H94" s="5">
        <v>35</v>
      </c>
      <c r="I94" s="6">
        <v>1</v>
      </c>
      <c r="J94" s="6">
        <v>2</v>
      </c>
      <c r="K94" s="6">
        <v>4</v>
      </c>
      <c r="L94" s="6">
        <v>4</v>
      </c>
      <c r="M94" s="4" t="str">
        <f t="shared" si="3"/>
        <v>OK</v>
      </c>
      <c r="N94" s="7">
        <f t="shared" si="4"/>
        <v>4.6052631578947366E-2</v>
      </c>
      <c r="O94" s="7">
        <f>SUMIFS($D$2:D94,$B$2:B94,B94)/SUMIFS($D$2:$D$741,$B$2:$B$741,B94)</f>
        <v>0.66710526315789476</v>
      </c>
      <c r="P94" s="4" t="b">
        <f t="shared" si="5"/>
        <v>1</v>
      </c>
      <c r="Q94" s="2"/>
      <c r="R94" s="2"/>
      <c r="S94" s="2"/>
    </row>
    <row r="95" spans="1:19" x14ac:dyDescent="0.45">
      <c r="A95" s="4" t="s">
        <v>136</v>
      </c>
      <c r="B95" s="4" t="s">
        <v>129</v>
      </c>
      <c r="C95" s="5">
        <v>1</v>
      </c>
      <c r="D95" s="5">
        <v>31</v>
      </c>
      <c r="E95" s="5">
        <v>0</v>
      </c>
      <c r="F95" s="5">
        <v>0</v>
      </c>
      <c r="G95" s="5">
        <v>0</v>
      </c>
      <c r="H95" s="5">
        <v>31</v>
      </c>
      <c r="I95" s="6">
        <v>0</v>
      </c>
      <c r="J95" s="6">
        <v>2.5</v>
      </c>
      <c r="K95" s="6">
        <v>3</v>
      </c>
      <c r="L95" s="6">
        <v>3</v>
      </c>
      <c r="M95" s="4" t="str">
        <f t="shared" si="3"/>
        <v>OK</v>
      </c>
      <c r="N95" s="7">
        <f t="shared" si="4"/>
        <v>4.0789473684210528E-2</v>
      </c>
      <c r="O95" s="7">
        <f>SUMIFS($D$2:D95,$B$2:B95,B95)/SUMIFS($D$2:$D$741,$B$2:$B$741,B95)</f>
        <v>0.70789473684210524</v>
      </c>
      <c r="P95" s="4" t="b">
        <f t="shared" si="5"/>
        <v>1</v>
      </c>
      <c r="Q95" s="2"/>
      <c r="R95" s="2"/>
      <c r="S95" s="2"/>
    </row>
    <row r="96" spans="1:19" x14ac:dyDescent="0.45">
      <c r="A96" s="4" t="s">
        <v>137</v>
      </c>
      <c r="B96" s="4" t="s">
        <v>129</v>
      </c>
      <c r="C96" s="5">
        <v>1</v>
      </c>
      <c r="D96" s="5">
        <v>31</v>
      </c>
      <c r="E96" s="5">
        <v>0</v>
      </c>
      <c r="F96" s="5">
        <v>0</v>
      </c>
      <c r="G96" s="5">
        <v>0</v>
      </c>
      <c r="H96" s="5">
        <v>31</v>
      </c>
      <c r="I96" s="6">
        <v>2</v>
      </c>
      <c r="J96" s="6">
        <v>4.3</v>
      </c>
      <c r="K96" s="6">
        <v>14</v>
      </c>
      <c r="L96" s="6">
        <v>14</v>
      </c>
      <c r="M96" s="4" t="str">
        <f t="shared" si="3"/>
        <v>OK</v>
      </c>
      <c r="N96" s="7">
        <f t="shared" si="4"/>
        <v>4.0789473684210528E-2</v>
      </c>
      <c r="O96" s="7">
        <f>SUMIFS($D$2:D96,$B$2:B96,B96)/SUMIFS($D$2:$D$741,$B$2:$B$741,B96)</f>
        <v>0.74868421052631584</v>
      </c>
      <c r="P96" s="4" t="b">
        <f t="shared" si="5"/>
        <v>1</v>
      </c>
      <c r="Q96" s="2"/>
      <c r="R96" s="2"/>
      <c r="S96" s="2"/>
    </row>
    <row r="97" spans="1:19" x14ac:dyDescent="0.45">
      <c r="A97" s="4" t="s">
        <v>138</v>
      </c>
      <c r="B97" s="4" t="s">
        <v>129</v>
      </c>
      <c r="C97" s="5">
        <v>1</v>
      </c>
      <c r="D97" s="5">
        <v>31</v>
      </c>
      <c r="E97" s="5">
        <v>0</v>
      </c>
      <c r="F97" s="5">
        <v>0</v>
      </c>
      <c r="G97" s="5">
        <v>0</v>
      </c>
      <c r="H97" s="5">
        <v>31</v>
      </c>
      <c r="I97" s="6">
        <v>2</v>
      </c>
      <c r="J97" s="6">
        <v>3.3</v>
      </c>
      <c r="K97" s="6">
        <v>5</v>
      </c>
      <c r="L97" s="6">
        <v>5</v>
      </c>
      <c r="M97" s="4" t="str">
        <f t="shared" si="3"/>
        <v>OK</v>
      </c>
      <c r="N97" s="7">
        <f t="shared" si="4"/>
        <v>4.0789473684210528E-2</v>
      </c>
      <c r="O97" s="7">
        <f>SUMIFS($D$2:D97,$B$2:B97,B97)/SUMIFS($D$2:$D$741,$B$2:$B$741,B97)</f>
        <v>0.78947368421052633</v>
      </c>
      <c r="P97" s="4" t="b">
        <f t="shared" si="5"/>
        <v>1</v>
      </c>
      <c r="Q97" s="2"/>
      <c r="R97" s="2"/>
      <c r="S97" s="2"/>
    </row>
    <row r="98" spans="1:19" x14ac:dyDescent="0.45">
      <c r="A98" s="4" t="s">
        <v>139</v>
      </c>
      <c r="B98" s="4" t="s">
        <v>129</v>
      </c>
      <c r="C98" s="5">
        <v>1</v>
      </c>
      <c r="D98" s="5">
        <v>27</v>
      </c>
      <c r="E98" s="5">
        <v>0</v>
      </c>
      <c r="F98" s="5">
        <v>0</v>
      </c>
      <c r="G98" s="5">
        <v>0</v>
      </c>
      <c r="H98" s="5">
        <v>27</v>
      </c>
      <c r="I98" s="6">
        <v>2</v>
      </c>
      <c r="J98" s="6">
        <v>3.3</v>
      </c>
      <c r="K98" s="6">
        <v>9</v>
      </c>
      <c r="L98" s="6">
        <v>9</v>
      </c>
      <c r="M98" s="4" t="str">
        <f t="shared" si="3"/>
        <v>OK</v>
      </c>
      <c r="N98" s="7">
        <f t="shared" si="4"/>
        <v>3.5526315789473684E-2</v>
      </c>
      <c r="O98" s="7">
        <f>SUMIFS($D$2:D98,$B$2:B98,B98)/SUMIFS($D$2:$D$741,$B$2:$B$741,B98)</f>
        <v>0.82499999999999996</v>
      </c>
      <c r="P98" s="4" t="b">
        <f t="shared" si="5"/>
        <v>1</v>
      </c>
      <c r="Q98" s="2"/>
      <c r="R98" s="2"/>
      <c r="S98" s="2"/>
    </row>
    <row r="99" spans="1:19" x14ac:dyDescent="0.45">
      <c r="A99" s="4" t="s">
        <v>140</v>
      </c>
      <c r="B99" s="4" t="s">
        <v>129</v>
      </c>
      <c r="C99" s="5">
        <v>1</v>
      </c>
      <c r="D99" s="5">
        <v>23</v>
      </c>
      <c r="E99" s="5">
        <v>0</v>
      </c>
      <c r="F99" s="5">
        <v>0</v>
      </c>
      <c r="G99" s="5">
        <v>0</v>
      </c>
      <c r="H99" s="5">
        <v>23</v>
      </c>
      <c r="I99" s="6">
        <v>2</v>
      </c>
      <c r="J99" s="6">
        <v>2.6</v>
      </c>
      <c r="K99" s="6">
        <v>6</v>
      </c>
      <c r="L99" s="6">
        <v>5.8</v>
      </c>
      <c r="M99" s="4" t="str">
        <f t="shared" si="3"/>
        <v>OK</v>
      </c>
      <c r="N99" s="7">
        <f t="shared" si="4"/>
        <v>3.0263157894736843E-2</v>
      </c>
      <c r="O99" s="7">
        <f>SUMIFS($D$2:D99,$B$2:B99,B99)/SUMIFS($D$2:$D$741,$B$2:$B$741,B99)</f>
        <v>0.85526315789473684</v>
      </c>
      <c r="P99" s="4" t="b">
        <f t="shared" si="5"/>
        <v>1</v>
      </c>
      <c r="Q99" s="2"/>
      <c r="R99" s="2"/>
      <c r="S99" s="2"/>
    </row>
    <row r="100" spans="1:19" x14ac:dyDescent="0.45">
      <c r="A100" s="4" t="s">
        <v>141</v>
      </c>
      <c r="B100" s="4" t="s">
        <v>129</v>
      </c>
      <c r="C100" s="5">
        <v>1</v>
      </c>
      <c r="D100" s="5">
        <v>18</v>
      </c>
      <c r="E100" s="5">
        <v>0</v>
      </c>
      <c r="F100" s="5">
        <v>0</v>
      </c>
      <c r="G100" s="5">
        <v>0</v>
      </c>
      <c r="H100" s="5">
        <v>18</v>
      </c>
      <c r="I100" s="6">
        <v>2</v>
      </c>
      <c r="J100" s="6">
        <v>4.8</v>
      </c>
      <c r="K100" s="6">
        <v>13</v>
      </c>
      <c r="L100" s="6">
        <v>12.6</v>
      </c>
      <c r="M100" s="4" t="str">
        <f t="shared" si="3"/>
        <v>OK</v>
      </c>
      <c r="N100" s="7">
        <f t="shared" si="4"/>
        <v>2.368421052631579E-2</v>
      </c>
      <c r="O100" s="7">
        <f>SUMIFS($D$2:D100,$B$2:B100,B100)/SUMIFS($D$2:$D$741,$B$2:$B$741,B100)</f>
        <v>0.87894736842105259</v>
      </c>
      <c r="P100" s="4" t="b">
        <f t="shared" si="5"/>
        <v>1</v>
      </c>
      <c r="Q100" s="2"/>
      <c r="R100" s="2"/>
      <c r="S100" s="2"/>
    </row>
    <row r="101" spans="1:19" x14ac:dyDescent="0.45">
      <c r="A101" s="4" t="s">
        <v>142</v>
      </c>
      <c r="B101" s="4" t="s">
        <v>129</v>
      </c>
      <c r="C101" s="5">
        <v>1</v>
      </c>
      <c r="D101" s="5">
        <v>15</v>
      </c>
      <c r="E101" s="5">
        <v>0</v>
      </c>
      <c r="F101" s="5">
        <v>0</v>
      </c>
      <c r="G101" s="5">
        <v>0</v>
      </c>
      <c r="H101" s="5">
        <v>15</v>
      </c>
      <c r="I101" s="6">
        <v>3</v>
      </c>
      <c r="J101" s="6">
        <v>2.8</v>
      </c>
      <c r="K101" s="6">
        <v>5</v>
      </c>
      <c r="L101" s="6">
        <v>5</v>
      </c>
      <c r="M101" s="4" t="str">
        <f t="shared" si="3"/>
        <v>OK</v>
      </c>
      <c r="N101" s="7">
        <f t="shared" si="4"/>
        <v>1.9736842105263157E-2</v>
      </c>
      <c r="O101" s="7">
        <f>SUMIFS($D$2:D101,$B$2:B101,B101)/SUMIFS($D$2:$D$741,$B$2:$B$741,B101)</f>
        <v>0.89868421052631575</v>
      </c>
      <c r="P101" s="4" t="b">
        <f t="shared" si="5"/>
        <v>1</v>
      </c>
      <c r="Q101" s="2"/>
      <c r="R101" s="2"/>
      <c r="S101" s="2"/>
    </row>
    <row r="102" spans="1:19" x14ac:dyDescent="0.45">
      <c r="A102" s="4" t="s">
        <v>143</v>
      </c>
      <c r="B102" s="4" t="s">
        <v>129</v>
      </c>
      <c r="C102" s="5">
        <v>1</v>
      </c>
      <c r="D102" s="5">
        <v>12</v>
      </c>
      <c r="E102" s="5">
        <v>0</v>
      </c>
      <c r="F102" s="5">
        <v>0</v>
      </c>
      <c r="G102" s="5">
        <v>0</v>
      </c>
      <c r="H102" s="5">
        <v>12</v>
      </c>
      <c r="I102" s="6">
        <v>1</v>
      </c>
      <c r="J102" s="6">
        <v>2.2000000000000002</v>
      </c>
      <c r="K102" s="6">
        <v>5</v>
      </c>
      <c r="L102" s="6">
        <v>4.9000000000000004</v>
      </c>
      <c r="M102" s="4" t="str">
        <f t="shared" si="3"/>
        <v>OK</v>
      </c>
      <c r="N102" s="7">
        <f t="shared" si="4"/>
        <v>1.5789473684210527E-2</v>
      </c>
      <c r="O102" s="7">
        <f>SUMIFS($D$2:D102,$B$2:B102,B102)/SUMIFS($D$2:$D$741,$B$2:$B$741,B102)</f>
        <v>0.91447368421052633</v>
      </c>
      <c r="P102" s="4" t="b">
        <f t="shared" si="5"/>
        <v>1</v>
      </c>
      <c r="Q102" s="2"/>
      <c r="R102" s="2"/>
      <c r="S102" s="2"/>
    </row>
    <row r="103" spans="1:19" x14ac:dyDescent="0.45">
      <c r="A103" s="4" t="s">
        <v>144</v>
      </c>
      <c r="B103" s="4" t="s">
        <v>129</v>
      </c>
      <c r="C103" s="5">
        <v>1</v>
      </c>
      <c r="D103" s="5">
        <v>12</v>
      </c>
      <c r="E103" s="5">
        <v>0</v>
      </c>
      <c r="F103" s="5">
        <v>0</v>
      </c>
      <c r="G103" s="5">
        <v>0</v>
      </c>
      <c r="H103" s="5">
        <v>12</v>
      </c>
      <c r="I103" s="6">
        <v>3</v>
      </c>
      <c r="J103" s="6">
        <v>3.2</v>
      </c>
      <c r="K103" s="6">
        <v>6</v>
      </c>
      <c r="L103" s="6">
        <v>5.9</v>
      </c>
      <c r="M103" s="4" t="str">
        <f t="shared" si="3"/>
        <v>OK</v>
      </c>
      <c r="N103" s="7">
        <f t="shared" si="4"/>
        <v>1.5789473684210527E-2</v>
      </c>
      <c r="O103" s="7">
        <f>SUMIFS($D$2:D103,$B$2:B103,B103)/SUMIFS($D$2:$D$741,$B$2:$B$741,B103)</f>
        <v>0.93026315789473679</v>
      </c>
      <c r="P103" s="4" t="b">
        <f t="shared" si="5"/>
        <v>1</v>
      </c>
      <c r="Q103" s="2"/>
      <c r="R103" s="2"/>
      <c r="S103" s="2"/>
    </row>
    <row r="104" spans="1:19" x14ac:dyDescent="0.45">
      <c r="A104" s="4" t="s">
        <v>145</v>
      </c>
      <c r="B104" s="4" t="s">
        <v>129</v>
      </c>
      <c r="C104" s="5">
        <v>1</v>
      </c>
      <c r="D104" s="5">
        <v>10</v>
      </c>
      <c r="E104" s="5">
        <v>0</v>
      </c>
      <c r="F104" s="5">
        <v>0</v>
      </c>
      <c r="G104" s="5">
        <v>0</v>
      </c>
      <c r="H104" s="5">
        <v>10</v>
      </c>
      <c r="I104" s="6">
        <v>2</v>
      </c>
      <c r="J104" s="6">
        <v>4.0999999999999996</v>
      </c>
      <c r="K104" s="6">
        <v>6</v>
      </c>
      <c r="L104" s="6">
        <v>5.9</v>
      </c>
      <c r="M104" s="4" t="str">
        <f t="shared" si="3"/>
        <v>OK</v>
      </c>
      <c r="N104" s="7">
        <f t="shared" si="4"/>
        <v>1.3157894736842105E-2</v>
      </c>
      <c r="O104" s="7">
        <f>SUMIFS($D$2:D104,$B$2:B104,B104)/SUMIFS($D$2:$D$741,$B$2:$B$741,B104)</f>
        <v>0.94342105263157894</v>
      </c>
      <c r="P104" s="4" t="b">
        <f t="shared" si="5"/>
        <v>1</v>
      </c>
      <c r="Q104" s="2"/>
      <c r="R104" s="2"/>
      <c r="S104" s="2"/>
    </row>
    <row r="105" spans="1:19" x14ac:dyDescent="0.45">
      <c r="A105" s="4" t="s">
        <v>146</v>
      </c>
      <c r="B105" s="4" t="s">
        <v>129</v>
      </c>
      <c r="C105" s="5">
        <v>1</v>
      </c>
      <c r="D105" s="5">
        <v>10</v>
      </c>
      <c r="E105" s="5">
        <v>0</v>
      </c>
      <c r="F105" s="5">
        <v>0</v>
      </c>
      <c r="G105" s="5">
        <v>0</v>
      </c>
      <c r="H105" s="5">
        <v>10</v>
      </c>
      <c r="I105" s="6">
        <v>1.5</v>
      </c>
      <c r="J105" s="6">
        <v>1.9</v>
      </c>
      <c r="K105" s="6">
        <v>4</v>
      </c>
      <c r="L105" s="6">
        <v>4.0999999999999996</v>
      </c>
      <c r="M105" s="4" t="str">
        <f t="shared" si="3"/>
        <v>OK</v>
      </c>
      <c r="N105" s="7">
        <f t="shared" si="4"/>
        <v>1.3157894736842105E-2</v>
      </c>
      <c r="O105" s="7">
        <f>SUMIFS($D$2:D105,$B$2:B105,B105)/SUMIFS($D$2:$D$741,$B$2:$B$741,B105)</f>
        <v>0.95657894736842108</v>
      </c>
      <c r="P105" s="4" t="b">
        <f t="shared" si="5"/>
        <v>1</v>
      </c>
      <c r="Q105" s="2"/>
      <c r="R105" s="2"/>
      <c r="S105" s="2"/>
    </row>
    <row r="106" spans="1:19" x14ac:dyDescent="0.45">
      <c r="A106" s="4" t="s">
        <v>147</v>
      </c>
      <c r="B106" s="4" t="s">
        <v>129</v>
      </c>
      <c r="C106" s="5">
        <v>1</v>
      </c>
      <c r="D106" s="5">
        <v>9</v>
      </c>
      <c r="E106" s="5">
        <v>0</v>
      </c>
      <c r="F106" s="5">
        <v>0</v>
      </c>
      <c r="G106" s="5">
        <v>0</v>
      </c>
      <c r="H106" s="5">
        <v>9</v>
      </c>
      <c r="I106" s="6">
        <v>7</v>
      </c>
      <c r="J106" s="6">
        <v>15.9</v>
      </c>
      <c r="K106" s="6">
        <v>42</v>
      </c>
      <c r="L106" s="6">
        <v>42.4</v>
      </c>
      <c r="M106" s="4" t="str">
        <f t="shared" si="3"/>
        <v>OK</v>
      </c>
      <c r="N106" s="7">
        <f t="shared" si="4"/>
        <v>1.1842105263157895E-2</v>
      </c>
      <c r="O106" s="7">
        <f>SUMIFS($D$2:D106,$B$2:B106,B106)/SUMIFS($D$2:$D$741,$B$2:$B$741,B106)</f>
        <v>0.96842105263157896</v>
      </c>
      <c r="P106" s="4" t="b">
        <f t="shared" si="5"/>
        <v>0</v>
      </c>
      <c r="Q106" s="2"/>
      <c r="R106" s="2"/>
      <c r="S106" s="2"/>
    </row>
    <row r="107" spans="1:19" x14ac:dyDescent="0.45">
      <c r="A107" s="4" t="s">
        <v>148</v>
      </c>
      <c r="B107" s="4" t="s">
        <v>129</v>
      </c>
      <c r="C107" s="5">
        <v>1</v>
      </c>
      <c r="D107" s="5">
        <v>6</v>
      </c>
      <c r="E107" s="5">
        <v>0</v>
      </c>
      <c r="F107" s="5">
        <v>0</v>
      </c>
      <c r="G107" s="5">
        <v>0</v>
      </c>
      <c r="H107" s="5">
        <v>6</v>
      </c>
      <c r="I107" s="6">
        <v>5</v>
      </c>
      <c r="J107" s="6">
        <v>7.3</v>
      </c>
      <c r="K107" s="6">
        <v>16</v>
      </c>
      <c r="L107" s="6">
        <v>15.5</v>
      </c>
      <c r="M107" s="4" t="str">
        <f t="shared" si="3"/>
        <v>OK</v>
      </c>
      <c r="N107" s="7">
        <f t="shared" si="4"/>
        <v>7.8947368421052634E-3</v>
      </c>
      <c r="O107" s="7">
        <f>SUMIFS($D$2:D107,$B$2:B107,B107)/SUMIFS($D$2:$D$741,$B$2:$B$741,B107)</f>
        <v>0.97631578947368425</v>
      </c>
      <c r="P107" s="4" t="b">
        <f t="shared" si="5"/>
        <v>0</v>
      </c>
      <c r="Q107" s="2"/>
      <c r="R107" s="2"/>
      <c r="S107" s="2"/>
    </row>
    <row r="108" spans="1:19" x14ac:dyDescent="0.45">
      <c r="A108" s="4" t="s">
        <v>149</v>
      </c>
      <c r="B108" s="4" t="s">
        <v>129</v>
      </c>
      <c r="C108" s="5">
        <v>1</v>
      </c>
      <c r="D108" s="5">
        <v>6</v>
      </c>
      <c r="E108" s="5">
        <v>0</v>
      </c>
      <c r="F108" s="5">
        <v>0</v>
      </c>
      <c r="G108" s="5">
        <v>0</v>
      </c>
      <c r="H108" s="5">
        <v>6</v>
      </c>
      <c r="I108" s="6">
        <v>20</v>
      </c>
      <c r="J108" s="6">
        <v>18.7</v>
      </c>
      <c r="K108" s="6">
        <v>22</v>
      </c>
      <c r="L108" s="6">
        <v>21.5</v>
      </c>
      <c r="M108" s="4" t="str">
        <f t="shared" si="3"/>
        <v>OK</v>
      </c>
      <c r="N108" s="7">
        <f t="shared" si="4"/>
        <v>7.8947368421052634E-3</v>
      </c>
      <c r="O108" s="7">
        <f>SUMIFS($D$2:D108,$B$2:B108,B108)/SUMIFS($D$2:$D$741,$B$2:$B$741,B108)</f>
        <v>0.98421052631578942</v>
      </c>
      <c r="P108" s="4" t="b">
        <f t="shared" si="5"/>
        <v>0</v>
      </c>
      <c r="Q108" s="2"/>
      <c r="R108" s="2"/>
      <c r="S108" s="2"/>
    </row>
    <row r="109" spans="1:19" x14ac:dyDescent="0.45">
      <c r="A109" s="4" t="s">
        <v>150</v>
      </c>
      <c r="B109" s="4" t="s">
        <v>129</v>
      </c>
      <c r="C109" s="5">
        <v>1</v>
      </c>
      <c r="D109" s="5">
        <v>5</v>
      </c>
      <c r="E109" s="5">
        <v>0</v>
      </c>
      <c r="F109" s="5">
        <v>0</v>
      </c>
      <c r="G109" s="5">
        <v>0</v>
      </c>
      <c r="H109" s="5">
        <v>5</v>
      </c>
      <c r="I109" s="6">
        <v>1</v>
      </c>
      <c r="J109" s="6">
        <v>2.6</v>
      </c>
      <c r="K109" s="6">
        <v>5</v>
      </c>
      <c r="L109" s="6">
        <v>5.4</v>
      </c>
      <c r="M109" s="4" t="str">
        <f t="shared" si="3"/>
        <v>OK</v>
      </c>
      <c r="N109" s="7">
        <f t="shared" si="4"/>
        <v>6.5789473684210523E-3</v>
      </c>
      <c r="O109" s="7">
        <f>SUMIFS($D$2:D109,$B$2:B109,B109)/SUMIFS($D$2:$D$741,$B$2:$B$741,B109)</f>
        <v>0.99078947368421055</v>
      </c>
      <c r="P109" s="4" t="b">
        <f t="shared" si="5"/>
        <v>0</v>
      </c>
      <c r="Q109" s="2"/>
      <c r="R109" s="2"/>
      <c r="S109" s="2"/>
    </row>
    <row r="110" spans="1:19" x14ac:dyDescent="0.45">
      <c r="A110" s="4" t="s">
        <v>151</v>
      </c>
      <c r="B110" s="4" t="s">
        <v>129</v>
      </c>
      <c r="C110" s="5">
        <v>1</v>
      </c>
      <c r="D110" s="5">
        <v>4</v>
      </c>
      <c r="E110" s="5">
        <v>0</v>
      </c>
      <c r="F110" s="5">
        <v>0</v>
      </c>
      <c r="G110" s="5">
        <v>0</v>
      </c>
      <c r="H110" s="5">
        <v>4</v>
      </c>
      <c r="I110" s="6">
        <v>3</v>
      </c>
      <c r="J110" s="6">
        <v>6.2</v>
      </c>
      <c r="K110" s="6">
        <v>14</v>
      </c>
      <c r="L110" s="6">
        <v>13.8</v>
      </c>
      <c r="M110" s="4" t="str">
        <f t="shared" si="3"/>
        <v>OK</v>
      </c>
      <c r="N110" s="7">
        <f t="shared" si="4"/>
        <v>5.263157894736842E-3</v>
      </c>
      <c r="O110" s="7">
        <f>SUMIFS($D$2:D110,$B$2:B110,B110)/SUMIFS($D$2:$D$741,$B$2:$B$741,B110)</f>
        <v>0.99605263157894741</v>
      </c>
      <c r="P110" s="4" t="b">
        <f t="shared" si="5"/>
        <v>0</v>
      </c>
      <c r="Q110" s="2"/>
      <c r="R110" s="2"/>
      <c r="S110" s="2"/>
    </row>
    <row r="111" spans="1:19" x14ac:dyDescent="0.45">
      <c r="A111" s="4" t="s">
        <v>152</v>
      </c>
      <c r="B111" s="4" t="s">
        <v>129</v>
      </c>
      <c r="C111" s="5">
        <v>1</v>
      </c>
      <c r="D111" s="5">
        <v>1</v>
      </c>
      <c r="E111" s="5">
        <v>0</v>
      </c>
      <c r="F111" s="5">
        <v>0</v>
      </c>
      <c r="G111" s="5">
        <v>0</v>
      </c>
      <c r="H111" s="5">
        <v>1</v>
      </c>
      <c r="I111" s="6">
        <v>0</v>
      </c>
      <c r="J111" s="6">
        <v>0</v>
      </c>
      <c r="K111" s="6">
        <v>0</v>
      </c>
      <c r="L111" s="6">
        <v>0</v>
      </c>
      <c r="M111" s="4" t="str">
        <f t="shared" si="3"/>
        <v>OK</v>
      </c>
      <c r="N111" s="7">
        <f t="shared" si="4"/>
        <v>1.3157894736842105E-3</v>
      </c>
      <c r="O111" s="7">
        <f>SUMIFS($D$2:D111,$B$2:B111,B111)/SUMIFS($D$2:$D$741,$B$2:$B$741,B111)</f>
        <v>0.99736842105263157</v>
      </c>
      <c r="P111" s="4" t="b">
        <f t="shared" si="5"/>
        <v>0</v>
      </c>
      <c r="Q111" s="2"/>
      <c r="R111" s="2"/>
      <c r="S111" s="2"/>
    </row>
    <row r="112" spans="1:19" x14ac:dyDescent="0.45">
      <c r="A112" s="4" t="s">
        <v>153</v>
      </c>
      <c r="B112" s="4" t="s">
        <v>129</v>
      </c>
      <c r="C112" s="5">
        <v>1</v>
      </c>
      <c r="D112" s="5">
        <v>1</v>
      </c>
      <c r="E112" s="5">
        <v>0</v>
      </c>
      <c r="F112" s="5">
        <v>0</v>
      </c>
      <c r="G112" s="5">
        <v>0</v>
      </c>
      <c r="H112" s="5">
        <v>1</v>
      </c>
      <c r="I112" s="6">
        <v>0</v>
      </c>
      <c r="J112" s="6">
        <v>0</v>
      </c>
      <c r="K112" s="6">
        <v>0</v>
      </c>
      <c r="L112" s="6">
        <v>0</v>
      </c>
      <c r="M112" s="4" t="str">
        <f t="shared" si="3"/>
        <v>OK</v>
      </c>
      <c r="N112" s="7">
        <f t="shared" si="4"/>
        <v>1.3157894736842105E-3</v>
      </c>
      <c r="O112" s="7">
        <f>SUMIFS($D$2:D112,$B$2:B112,B112)/SUMIFS($D$2:$D$741,$B$2:$B$741,B112)</f>
        <v>0.99868421052631584</v>
      </c>
      <c r="P112" s="4" t="b">
        <f t="shared" si="5"/>
        <v>0</v>
      </c>
      <c r="Q112" s="2"/>
      <c r="R112" s="2"/>
      <c r="S112" s="2"/>
    </row>
    <row r="113" spans="1:19" x14ac:dyDescent="0.45">
      <c r="A113" s="4" t="s">
        <v>154</v>
      </c>
      <c r="B113" s="4" t="s">
        <v>129</v>
      </c>
      <c r="C113" s="5">
        <v>1</v>
      </c>
      <c r="D113" s="5">
        <v>1</v>
      </c>
      <c r="E113" s="5">
        <v>0</v>
      </c>
      <c r="F113" s="5">
        <v>0</v>
      </c>
      <c r="G113" s="5">
        <v>0</v>
      </c>
      <c r="H113" s="5">
        <v>1</v>
      </c>
      <c r="I113" s="6">
        <v>94</v>
      </c>
      <c r="J113" s="6">
        <v>94</v>
      </c>
      <c r="K113" s="6">
        <v>94</v>
      </c>
      <c r="L113" s="6">
        <v>94</v>
      </c>
      <c r="M113" s="4" t="str">
        <f t="shared" si="3"/>
        <v>OK</v>
      </c>
      <c r="N113" s="7">
        <f t="shared" si="4"/>
        <v>1.3157894736842105E-3</v>
      </c>
      <c r="O113" s="7">
        <f>SUMIFS($D$2:D113,$B$2:B113,B113)/SUMIFS($D$2:$D$741,$B$2:$B$741,B113)</f>
        <v>1</v>
      </c>
      <c r="P113" s="4" t="b">
        <f t="shared" si="5"/>
        <v>0</v>
      </c>
      <c r="Q113" s="2"/>
      <c r="R113" s="2"/>
      <c r="S113" s="2"/>
    </row>
    <row r="114" spans="1:19" x14ac:dyDescent="0.45">
      <c r="A114" s="9" t="s">
        <v>155</v>
      </c>
      <c r="B114" s="9" t="s">
        <v>156</v>
      </c>
      <c r="C114" s="10">
        <v>1</v>
      </c>
      <c r="D114" s="10">
        <v>30</v>
      </c>
      <c r="E114" s="10">
        <v>12</v>
      </c>
      <c r="F114" s="10">
        <v>0</v>
      </c>
      <c r="G114" s="10">
        <v>0</v>
      </c>
      <c r="H114" s="10">
        <v>30</v>
      </c>
      <c r="I114" s="11">
        <v>4.5</v>
      </c>
      <c r="J114" s="11">
        <v>4.4000000000000004</v>
      </c>
      <c r="K114" s="11">
        <v>7</v>
      </c>
      <c r="L114" s="11">
        <v>7.1</v>
      </c>
      <c r="M114" s="9" t="str">
        <f t="shared" si="3"/>
        <v>OK</v>
      </c>
      <c r="N114" s="12">
        <f t="shared" si="4"/>
        <v>0.25423728813559321</v>
      </c>
      <c r="O114" s="12">
        <f>SUMIFS($D$2:D114,$B$2:B114,B114)/SUMIFS($D$2:$D$741,$B$2:$B$741,B114)</f>
        <v>0.25423728813559321</v>
      </c>
      <c r="P114" s="9" t="b">
        <f t="shared" si="5"/>
        <v>1</v>
      </c>
      <c r="Q114" s="2"/>
      <c r="R114" s="2"/>
      <c r="S114" s="2"/>
    </row>
    <row r="115" spans="1:19" x14ac:dyDescent="0.45">
      <c r="A115" s="4" t="s">
        <v>157</v>
      </c>
      <c r="B115" s="4" t="s">
        <v>156</v>
      </c>
      <c r="C115" s="5">
        <v>2</v>
      </c>
      <c r="D115" s="5">
        <v>21</v>
      </c>
      <c r="E115" s="5">
        <v>0</v>
      </c>
      <c r="F115" s="5">
        <v>0</v>
      </c>
      <c r="G115" s="5">
        <v>0</v>
      </c>
      <c r="H115" s="5">
        <v>21</v>
      </c>
      <c r="I115" s="6">
        <v>5</v>
      </c>
      <c r="J115" s="6">
        <v>7.7</v>
      </c>
      <c r="K115" s="6">
        <v>19</v>
      </c>
      <c r="L115" s="6">
        <v>19</v>
      </c>
      <c r="M115" s="4" t="str">
        <f t="shared" si="3"/>
        <v>OK</v>
      </c>
      <c r="N115" s="7">
        <f t="shared" si="4"/>
        <v>0.17796610169491525</v>
      </c>
      <c r="O115" s="7">
        <f>SUMIFS($D$2:D115,$B$2:B115,B115)/SUMIFS($D$2:$D$741,$B$2:$B$741,B115)</f>
        <v>0.43220338983050849</v>
      </c>
      <c r="P115" s="4" t="b">
        <f t="shared" si="5"/>
        <v>1</v>
      </c>
      <c r="Q115" s="2"/>
      <c r="R115" s="2"/>
      <c r="S115" s="2"/>
    </row>
    <row r="116" spans="1:19" x14ac:dyDescent="0.45">
      <c r="A116" s="4" t="s">
        <v>158</v>
      </c>
      <c r="B116" s="4" t="s">
        <v>156</v>
      </c>
      <c r="C116" s="5">
        <v>1</v>
      </c>
      <c r="D116" s="5">
        <v>19</v>
      </c>
      <c r="E116" s="5">
        <v>0</v>
      </c>
      <c r="F116" s="5">
        <v>0</v>
      </c>
      <c r="G116" s="5">
        <v>0</v>
      </c>
      <c r="H116" s="5">
        <v>19</v>
      </c>
      <c r="I116" s="6">
        <v>3</v>
      </c>
      <c r="J116" s="6">
        <v>3.7</v>
      </c>
      <c r="K116" s="6">
        <v>7</v>
      </c>
      <c r="L116" s="6">
        <v>7</v>
      </c>
      <c r="M116" s="4" t="str">
        <f t="shared" si="3"/>
        <v>OK</v>
      </c>
      <c r="N116" s="7">
        <f t="shared" si="4"/>
        <v>0.16101694915254236</v>
      </c>
      <c r="O116" s="7">
        <f>SUMIFS($D$2:D116,$B$2:B116,B116)/SUMIFS($D$2:$D$741,$B$2:$B$741,B116)</f>
        <v>0.59322033898305082</v>
      </c>
      <c r="P116" s="4" t="b">
        <f t="shared" si="5"/>
        <v>1</v>
      </c>
      <c r="Q116" s="2"/>
      <c r="R116" s="2"/>
      <c r="S116" s="2"/>
    </row>
    <row r="117" spans="1:19" x14ac:dyDescent="0.45">
      <c r="A117" s="4" t="s">
        <v>159</v>
      </c>
      <c r="B117" s="4" t="s">
        <v>156</v>
      </c>
      <c r="C117" s="5">
        <v>1</v>
      </c>
      <c r="D117" s="5">
        <v>18</v>
      </c>
      <c r="E117" s="5">
        <v>3</v>
      </c>
      <c r="F117" s="5">
        <v>0</v>
      </c>
      <c r="G117" s="5">
        <v>0</v>
      </c>
      <c r="H117" s="5">
        <v>18</v>
      </c>
      <c r="I117" s="6">
        <v>19</v>
      </c>
      <c r="J117" s="6">
        <v>40.299999999999997</v>
      </c>
      <c r="K117" s="6">
        <v>107</v>
      </c>
      <c r="L117" s="6">
        <v>107.2</v>
      </c>
      <c r="M117" s="4" t="str">
        <f t="shared" si="3"/>
        <v>OK</v>
      </c>
      <c r="N117" s="7">
        <f t="shared" si="4"/>
        <v>0.15254237288135594</v>
      </c>
      <c r="O117" s="7">
        <f>SUMIFS($D$2:D117,$B$2:B117,B117)/SUMIFS($D$2:$D$741,$B$2:$B$741,B117)</f>
        <v>0.74576271186440679</v>
      </c>
      <c r="P117" s="4" t="b">
        <f t="shared" si="5"/>
        <v>1</v>
      </c>
      <c r="Q117" s="2"/>
      <c r="R117" s="2"/>
      <c r="S117" s="2"/>
    </row>
    <row r="118" spans="1:19" x14ac:dyDescent="0.45">
      <c r="A118" s="4" t="s">
        <v>160</v>
      </c>
      <c r="B118" s="4" t="s">
        <v>156</v>
      </c>
      <c r="C118" s="5">
        <v>1</v>
      </c>
      <c r="D118" s="5">
        <v>16</v>
      </c>
      <c r="E118" s="5">
        <v>0</v>
      </c>
      <c r="F118" s="5">
        <v>0</v>
      </c>
      <c r="G118" s="5">
        <v>0</v>
      </c>
      <c r="H118" s="5">
        <v>16</v>
      </c>
      <c r="I118" s="6">
        <v>20</v>
      </c>
      <c r="J118" s="6">
        <v>21.1</v>
      </c>
      <c r="K118" s="6">
        <v>34</v>
      </c>
      <c r="L118" s="6">
        <v>34.5</v>
      </c>
      <c r="M118" s="4" t="str">
        <f t="shared" si="3"/>
        <v>OK</v>
      </c>
      <c r="N118" s="7">
        <f t="shared" si="4"/>
        <v>0.13559322033898305</v>
      </c>
      <c r="O118" s="7">
        <f>SUMIFS($D$2:D118,$B$2:B118,B118)/SUMIFS($D$2:$D$741,$B$2:$B$741,B118)</f>
        <v>0.88135593220338981</v>
      </c>
      <c r="P118" s="4" t="b">
        <f t="shared" si="5"/>
        <v>1</v>
      </c>
      <c r="Q118" s="2"/>
      <c r="R118" s="2"/>
      <c r="S118" s="2"/>
    </row>
    <row r="119" spans="1:19" x14ac:dyDescent="0.45">
      <c r="A119" s="4" t="s">
        <v>161</v>
      </c>
      <c r="B119" s="4" t="s">
        <v>156</v>
      </c>
      <c r="C119" s="5">
        <v>2</v>
      </c>
      <c r="D119" s="5">
        <v>4</v>
      </c>
      <c r="E119" s="5">
        <v>0</v>
      </c>
      <c r="F119" s="5">
        <v>0</v>
      </c>
      <c r="G119" s="5">
        <v>0</v>
      </c>
      <c r="H119" s="5">
        <v>4</v>
      </c>
      <c r="I119" s="6">
        <v>6.5</v>
      </c>
      <c r="J119" s="6">
        <v>15.8</v>
      </c>
      <c r="K119" s="6">
        <v>36</v>
      </c>
      <c r="L119" s="6">
        <v>35.700000000000003</v>
      </c>
      <c r="M119" s="4" t="str">
        <f t="shared" si="3"/>
        <v>OK</v>
      </c>
      <c r="N119" s="7">
        <f t="shared" si="4"/>
        <v>3.3898305084745763E-2</v>
      </c>
      <c r="O119" s="7">
        <f>SUMIFS($D$2:D119,$B$2:B119,B119)/SUMIFS($D$2:$D$741,$B$2:$B$741,B119)</f>
        <v>0.9152542372881356</v>
      </c>
      <c r="P119" s="4" t="b">
        <f t="shared" si="5"/>
        <v>1</v>
      </c>
      <c r="Q119" s="2"/>
      <c r="R119" s="2"/>
      <c r="S119" s="2"/>
    </row>
    <row r="120" spans="1:19" x14ac:dyDescent="0.45">
      <c r="A120" s="4" t="s">
        <v>162</v>
      </c>
      <c r="B120" s="4" t="s">
        <v>156</v>
      </c>
      <c r="C120" s="5">
        <v>1</v>
      </c>
      <c r="D120" s="5">
        <v>4</v>
      </c>
      <c r="E120" s="5">
        <v>0</v>
      </c>
      <c r="F120" s="5">
        <v>0</v>
      </c>
      <c r="G120" s="5">
        <v>0</v>
      </c>
      <c r="H120" s="5">
        <v>4</v>
      </c>
      <c r="I120" s="6">
        <v>1</v>
      </c>
      <c r="J120" s="6">
        <v>1.8</v>
      </c>
      <c r="K120" s="6">
        <v>4</v>
      </c>
      <c r="L120" s="6">
        <v>4.0999999999999996</v>
      </c>
      <c r="M120" s="4" t="str">
        <f t="shared" si="3"/>
        <v>OK</v>
      </c>
      <c r="N120" s="7">
        <f t="shared" si="4"/>
        <v>3.3898305084745763E-2</v>
      </c>
      <c r="O120" s="7">
        <f>SUMIFS($D$2:D120,$B$2:B120,B120)/SUMIFS($D$2:$D$741,$B$2:$B$741,B120)</f>
        <v>0.94915254237288138</v>
      </c>
      <c r="P120" s="4" t="b">
        <f t="shared" si="5"/>
        <v>1</v>
      </c>
      <c r="Q120" s="2"/>
      <c r="R120" s="2"/>
      <c r="S120" s="2"/>
    </row>
    <row r="121" spans="1:19" x14ac:dyDescent="0.45">
      <c r="A121" s="4" t="s">
        <v>163</v>
      </c>
      <c r="B121" s="4" t="s">
        <v>156</v>
      </c>
      <c r="C121" s="5">
        <v>1</v>
      </c>
      <c r="D121" s="5">
        <v>4</v>
      </c>
      <c r="E121" s="5">
        <v>3</v>
      </c>
      <c r="F121" s="5">
        <v>1</v>
      </c>
      <c r="G121" s="5">
        <v>1</v>
      </c>
      <c r="H121" s="5">
        <v>3</v>
      </c>
      <c r="I121" s="6">
        <v>53</v>
      </c>
      <c r="J121" s="6">
        <v>60</v>
      </c>
      <c r="K121" s="6">
        <v>101</v>
      </c>
      <c r="L121" s="6">
        <v>101</v>
      </c>
      <c r="M121" s="4" t="str">
        <f t="shared" si="3"/>
        <v>OK</v>
      </c>
      <c r="N121" s="7">
        <f t="shared" si="4"/>
        <v>3.3898305084745763E-2</v>
      </c>
      <c r="O121" s="7">
        <f>SUMIFS($D$2:D121,$B$2:B121,B121)/SUMIFS($D$2:$D$741,$B$2:$B$741,B121)</f>
        <v>0.98305084745762716</v>
      </c>
      <c r="P121" s="4" t="b">
        <f t="shared" si="5"/>
        <v>1</v>
      </c>
      <c r="Q121" s="2"/>
      <c r="R121" s="2"/>
      <c r="S121" s="2"/>
    </row>
    <row r="122" spans="1:19" x14ac:dyDescent="0.45">
      <c r="A122" s="4" t="s">
        <v>164</v>
      </c>
      <c r="B122" s="4" t="s">
        <v>156</v>
      </c>
      <c r="C122" s="5">
        <v>1</v>
      </c>
      <c r="D122" s="5">
        <v>2</v>
      </c>
      <c r="E122" s="5">
        <v>0</v>
      </c>
      <c r="F122" s="5">
        <v>0</v>
      </c>
      <c r="G122" s="5">
        <v>0</v>
      </c>
      <c r="H122" s="5">
        <v>2</v>
      </c>
      <c r="I122" s="6">
        <v>2</v>
      </c>
      <c r="J122" s="6">
        <v>2</v>
      </c>
      <c r="K122" s="6">
        <v>3</v>
      </c>
      <c r="L122" s="6">
        <v>2.8</v>
      </c>
      <c r="M122" s="4" t="str">
        <f t="shared" si="3"/>
        <v>OK</v>
      </c>
      <c r="N122" s="7">
        <f t="shared" si="4"/>
        <v>1.6949152542372881E-2</v>
      </c>
      <c r="O122" s="7">
        <f>SUMIFS($D$2:D122,$B$2:B122,B122)/SUMIFS($D$2:$D$741,$B$2:$B$741,B122)</f>
        <v>1</v>
      </c>
      <c r="P122" s="4" t="b">
        <f t="shared" si="5"/>
        <v>0</v>
      </c>
      <c r="Q122" s="2"/>
      <c r="R122" s="2"/>
      <c r="S122" s="2"/>
    </row>
    <row r="123" spans="1:19" x14ac:dyDescent="0.45">
      <c r="A123" s="9" t="s">
        <v>165</v>
      </c>
      <c r="B123" s="9" t="s">
        <v>166</v>
      </c>
      <c r="C123" s="10">
        <v>2</v>
      </c>
      <c r="D123" s="10">
        <v>49297</v>
      </c>
      <c r="E123" s="10">
        <v>6028</v>
      </c>
      <c r="F123" s="10">
        <v>46</v>
      </c>
      <c r="G123" s="10">
        <v>46</v>
      </c>
      <c r="H123" s="10">
        <v>48657</v>
      </c>
      <c r="I123" s="11">
        <v>5</v>
      </c>
      <c r="J123" s="11">
        <v>9.3000000000000007</v>
      </c>
      <c r="K123" s="11">
        <v>19</v>
      </c>
      <c r="L123" s="11">
        <v>19</v>
      </c>
      <c r="M123" s="9" t="str">
        <f t="shared" si="3"/>
        <v>OK</v>
      </c>
      <c r="N123" s="12">
        <f t="shared" si="4"/>
        <v>0.13791029410530498</v>
      </c>
      <c r="O123" s="12">
        <f>SUMIFS($D$2:D123,$B$2:B123,B123)/SUMIFS($D$2:$D$741,$B$2:$B$741,B123)</f>
        <v>0.13791029410530498</v>
      </c>
      <c r="P123" s="9" t="b">
        <f t="shared" si="5"/>
        <v>1</v>
      </c>
      <c r="Q123" s="2"/>
      <c r="R123" s="2"/>
      <c r="S123" s="2"/>
    </row>
    <row r="124" spans="1:19" x14ac:dyDescent="0.45">
      <c r="A124" s="4" t="s">
        <v>167</v>
      </c>
      <c r="B124" s="4" t="s">
        <v>166</v>
      </c>
      <c r="C124" s="5">
        <v>2</v>
      </c>
      <c r="D124" s="5">
        <v>44141</v>
      </c>
      <c r="E124" s="5">
        <v>11071</v>
      </c>
      <c r="F124" s="5">
        <v>617</v>
      </c>
      <c r="G124" s="5">
        <v>293</v>
      </c>
      <c r="H124" s="5">
        <v>43523</v>
      </c>
      <c r="I124" s="6">
        <v>8</v>
      </c>
      <c r="J124" s="6">
        <v>13.5</v>
      </c>
      <c r="K124" s="6">
        <v>23</v>
      </c>
      <c r="L124" s="6">
        <v>23</v>
      </c>
      <c r="M124" s="4" t="str">
        <f t="shared" si="3"/>
        <v>OK</v>
      </c>
      <c r="N124" s="7">
        <f t="shared" si="4"/>
        <v>0.12348618155470448</v>
      </c>
      <c r="O124" s="7">
        <f>SUMIFS($D$2:D124,$B$2:B124,B124)/SUMIFS($D$2:$D$741,$B$2:$B$741,B124)</f>
        <v>0.26139647566000945</v>
      </c>
      <c r="P124" s="4" t="b">
        <f t="shared" si="5"/>
        <v>1</v>
      </c>
      <c r="Q124" s="2"/>
      <c r="R124" s="2"/>
      <c r="S124" s="2"/>
    </row>
    <row r="125" spans="1:19" x14ac:dyDescent="0.45">
      <c r="A125" s="4" t="s">
        <v>168</v>
      </c>
      <c r="B125" s="4" t="s">
        <v>166</v>
      </c>
      <c r="C125" s="5">
        <v>2</v>
      </c>
      <c r="D125" s="5">
        <v>39298</v>
      </c>
      <c r="E125" s="5">
        <v>10003</v>
      </c>
      <c r="F125" s="5">
        <v>895</v>
      </c>
      <c r="G125" s="5">
        <v>180</v>
      </c>
      <c r="H125" s="5">
        <v>38403</v>
      </c>
      <c r="I125" s="6">
        <v>30</v>
      </c>
      <c r="J125" s="6">
        <v>26.5</v>
      </c>
      <c r="K125" s="6">
        <v>41</v>
      </c>
      <c r="L125" s="6">
        <v>41</v>
      </c>
      <c r="M125" s="4" t="str">
        <f t="shared" si="3"/>
        <v>OK</v>
      </c>
      <c r="N125" s="7">
        <f t="shared" si="4"/>
        <v>0.1099376988001354</v>
      </c>
      <c r="O125" s="7">
        <f>SUMIFS($D$2:D125,$B$2:B125,B125)/SUMIFS($D$2:$D$741,$B$2:$B$741,B125)</f>
        <v>0.37133417446014488</v>
      </c>
      <c r="P125" s="4" t="b">
        <f t="shared" si="5"/>
        <v>1</v>
      </c>
      <c r="Q125" s="2"/>
      <c r="R125" s="2"/>
      <c r="S125" s="2"/>
    </row>
    <row r="126" spans="1:19" x14ac:dyDescent="0.45">
      <c r="A126" s="4" t="s">
        <v>169</v>
      </c>
      <c r="B126" s="4" t="s">
        <v>166</v>
      </c>
      <c r="C126" s="5">
        <v>2</v>
      </c>
      <c r="D126" s="5">
        <v>33965</v>
      </c>
      <c r="E126" s="5">
        <v>7844</v>
      </c>
      <c r="F126" s="5">
        <v>694</v>
      </c>
      <c r="G126" s="5">
        <v>309</v>
      </c>
      <c r="H126" s="5">
        <v>33271</v>
      </c>
      <c r="I126" s="6">
        <v>5</v>
      </c>
      <c r="J126" s="6">
        <v>15.1</v>
      </c>
      <c r="K126" s="6">
        <v>33</v>
      </c>
      <c r="L126" s="6">
        <v>33</v>
      </c>
      <c r="M126" s="4" t="str">
        <f t="shared" si="3"/>
        <v>OK</v>
      </c>
      <c r="N126" s="7">
        <f t="shared" si="4"/>
        <v>9.5018421796188079E-2</v>
      </c>
      <c r="O126" s="7">
        <f>SUMIFS($D$2:D126,$B$2:B126,B126)/SUMIFS($D$2:$D$741,$B$2:$B$741,B126)</f>
        <v>0.46635259625633291</v>
      </c>
      <c r="P126" s="4" t="b">
        <f t="shared" si="5"/>
        <v>1</v>
      </c>
      <c r="Q126" s="2"/>
      <c r="R126" s="2"/>
      <c r="S126" s="2"/>
    </row>
    <row r="127" spans="1:19" x14ac:dyDescent="0.45">
      <c r="A127" s="4" t="s">
        <v>170</v>
      </c>
      <c r="B127" s="4" t="s">
        <v>166</v>
      </c>
      <c r="C127" s="5">
        <v>2</v>
      </c>
      <c r="D127" s="5">
        <v>29665</v>
      </c>
      <c r="E127" s="5">
        <v>5404</v>
      </c>
      <c r="F127" s="5">
        <v>388</v>
      </c>
      <c r="G127" s="5">
        <v>165</v>
      </c>
      <c r="H127" s="5">
        <v>29277</v>
      </c>
      <c r="I127" s="6">
        <v>4</v>
      </c>
      <c r="J127" s="6">
        <v>12.7</v>
      </c>
      <c r="K127" s="6">
        <v>29</v>
      </c>
      <c r="L127" s="6">
        <v>29</v>
      </c>
      <c r="M127" s="4" t="str">
        <f t="shared" si="3"/>
        <v>OK</v>
      </c>
      <c r="N127" s="7">
        <f t="shared" si="4"/>
        <v>8.2989002873072842E-2</v>
      </c>
      <c r="O127" s="7">
        <f>SUMIFS($D$2:D127,$B$2:B127,B127)/SUMIFS($D$2:$D$741,$B$2:$B$741,B127)</f>
        <v>0.54934159912940572</v>
      </c>
      <c r="P127" s="4" t="b">
        <f t="shared" si="5"/>
        <v>1</v>
      </c>
      <c r="Q127" s="2"/>
      <c r="R127" s="2"/>
      <c r="S127" s="2"/>
    </row>
    <row r="128" spans="1:19" x14ac:dyDescent="0.45">
      <c r="A128" s="4" t="s">
        <v>171</v>
      </c>
      <c r="B128" s="4" t="s">
        <v>166</v>
      </c>
      <c r="C128" s="5">
        <v>2</v>
      </c>
      <c r="D128" s="5">
        <v>20961</v>
      </c>
      <c r="E128" s="5">
        <v>5598</v>
      </c>
      <c r="F128" s="5">
        <v>432</v>
      </c>
      <c r="G128" s="5">
        <v>216</v>
      </c>
      <c r="H128" s="5">
        <v>20529</v>
      </c>
      <c r="I128" s="6">
        <v>5</v>
      </c>
      <c r="J128" s="6">
        <v>14.5</v>
      </c>
      <c r="K128" s="6">
        <v>34</v>
      </c>
      <c r="L128" s="6">
        <v>34</v>
      </c>
      <c r="M128" s="4" t="str">
        <f t="shared" si="3"/>
        <v>OK</v>
      </c>
      <c r="N128" s="7">
        <f t="shared" si="4"/>
        <v>5.8639220941260069E-2</v>
      </c>
      <c r="O128" s="7">
        <f>SUMIFS($D$2:D128,$B$2:B128,B128)/SUMIFS($D$2:$D$741,$B$2:$B$741,B128)</f>
        <v>0.60798082007066589</v>
      </c>
      <c r="P128" s="4" t="b">
        <f t="shared" si="5"/>
        <v>1</v>
      </c>
      <c r="Q128" s="2"/>
      <c r="R128" s="2"/>
      <c r="S128" s="2"/>
    </row>
    <row r="129" spans="1:19" x14ac:dyDescent="0.45">
      <c r="A129" s="4" t="s">
        <v>172</v>
      </c>
      <c r="B129" s="4" t="s">
        <v>166</v>
      </c>
      <c r="C129" s="5">
        <v>2</v>
      </c>
      <c r="D129" s="5">
        <v>13264</v>
      </c>
      <c r="E129" s="5">
        <v>3938</v>
      </c>
      <c r="F129" s="5">
        <v>1005</v>
      </c>
      <c r="G129" s="5">
        <v>625</v>
      </c>
      <c r="H129" s="5">
        <v>12259</v>
      </c>
      <c r="I129" s="6">
        <v>3</v>
      </c>
      <c r="J129" s="6">
        <v>11.8</v>
      </c>
      <c r="K129" s="6">
        <v>25</v>
      </c>
      <c r="L129" s="6">
        <v>25</v>
      </c>
      <c r="M129" s="4" t="str">
        <f t="shared" si="3"/>
        <v>OK</v>
      </c>
      <c r="N129" s="7">
        <f t="shared" si="4"/>
        <v>3.7106561068883812E-2</v>
      </c>
      <c r="O129" s="7">
        <f>SUMIFS($D$2:D129,$B$2:B129,B129)/SUMIFS($D$2:$D$741,$B$2:$B$741,B129)</f>
        <v>0.64508738113954966</v>
      </c>
      <c r="P129" s="4" t="b">
        <f t="shared" si="5"/>
        <v>1</v>
      </c>
      <c r="Q129" s="2"/>
      <c r="R129" s="2"/>
      <c r="S129" s="2"/>
    </row>
    <row r="130" spans="1:19" x14ac:dyDescent="0.45">
      <c r="A130" s="4" t="s">
        <v>173</v>
      </c>
      <c r="B130" s="4" t="s">
        <v>166</v>
      </c>
      <c r="C130" s="5">
        <v>2</v>
      </c>
      <c r="D130" s="5">
        <v>12305</v>
      </c>
      <c r="E130" s="5">
        <v>2121</v>
      </c>
      <c r="F130" s="5">
        <v>32</v>
      </c>
      <c r="G130" s="5">
        <v>22</v>
      </c>
      <c r="H130" s="5">
        <v>12273</v>
      </c>
      <c r="I130" s="6">
        <v>0</v>
      </c>
      <c r="J130" s="6">
        <v>3.6</v>
      </c>
      <c r="K130" s="6">
        <v>1</v>
      </c>
      <c r="L130" s="6">
        <v>1</v>
      </c>
      <c r="M130" s="4" t="str">
        <f t="shared" ref="M130:M193" si="6">IF(AND(K130="",L130=""),"No closed tickets",IF(K130="","MISSING in catalog",IF(L130="","No valid closed tickets",IF(AND(ABS(K130-L130)&gt;=$S$3,ABS(K130-L130)&gt;=$S$4*MAX(L130,1)),"FAR OFF","OK"))))</f>
        <v>OK</v>
      </c>
      <c r="N130" s="7">
        <f t="shared" ref="N130:N193" si="7">D130/SUMIFS($D$2:$D$741,$B$2:$B$741,B130)</f>
        <v>3.4423720895100672E-2</v>
      </c>
      <c r="O130" s="7">
        <f>SUMIFS($D$2:D130,$B$2:B130,B130)/SUMIFS($D$2:$D$741,$B$2:$B$741,B130)</f>
        <v>0.67951110203465037</v>
      </c>
      <c r="P130" s="4" t="b">
        <f t="shared" ref="P130:P193" si="8">O130-N130&lt;$S$2</f>
        <v>1</v>
      </c>
      <c r="Q130" s="2"/>
      <c r="R130" s="2"/>
      <c r="S130" s="2"/>
    </row>
    <row r="131" spans="1:19" x14ac:dyDescent="0.45">
      <c r="A131" s="4" t="s">
        <v>174</v>
      </c>
      <c r="B131" s="4" t="s">
        <v>166</v>
      </c>
      <c r="C131" s="5">
        <v>2</v>
      </c>
      <c r="D131" s="5">
        <v>12115</v>
      </c>
      <c r="E131" s="5">
        <v>2911</v>
      </c>
      <c r="F131" s="5">
        <v>445</v>
      </c>
      <c r="G131" s="5">
        <v>162</v>
      </c>
      <c r="H131" s="5">
        <v>11622</v>
      </c>
      <c r="I131" s="6">
        <v>16</v>
      </c>
      <c r="J131" s="6">
        <v>27.4</v>
      </c>
      <c r="K131" s="6">
        <v>67</v>
      </c>
      <c r="L131" s="6">
        <v>67</v>
      </c>
      <c r="M131" s="4" t="str">
        <f t="shared" si="6"/>
        <v>OK</v>
      </c>
      <c r="N131" s="7">
        <f t="shared" si="7"/>
        <v>3.3892188431056042E-2</v>
      </c>
      <c r="O131" s="7">
        <f>SUMIFS($D$2:D131,$B$2:B131,B131)/SUMIFS($D$2:$D$741,$B$2:$B$741,B131)</f>
        <v>0.71340329046570639</v>
      </c>
      <c r="P131" s="4" t="b">
        <f t="shared" si="8"/>
        <v>1</v>
      </c>
      <c r="Q131" s="2"/>
      <c r="R131" s="2"/>
      <c r="S131" s="2"/>
    </row>
    <row r="132" spans="1:19" x14ac:dyDescent="0.45">
      <c r="A132" s="4" t="s">
        <v>175</v>
      </c>
      <c r="B132" s="4" t="s">
        <v>166</v>
      </c>
      <c r="C132" s="5">
        <v>2</v>
      </c>
      <c r="D132" s="5">
        <v>11477</v>
      </c>
      <c r="E132" s="5">
        <v>2402</v>
      </c>
      <c r="F132" s="5">
        <v>93</v>
      </c>
      <c r="G132" s="5">
        <v>55</v>
      </c>
      <c r="H132" s="5">
        <v>11380</v>
      </c>
      <c r="I132" s="6">
        <v>0</v>
      </c>
      <c r="J132" s="6">
        <v>5.8</v>
      </c>
      <c r="K132" s="6">
        <v>12</v>
      </c>
      <c r="L132" s="6">
        <v>12</v>
      </c>
      <c r="M132" s="4" t="str">
        <f t="shared" si="6"/>
        <v>OK</v>
      </c>
      <c r="N132" s="7">
        <f t="shared" si="7"/>
        <v>3.2107358367579879E-2</v>
      </c>
      <c r="O132" s="7">
        <f>SUMIFS($D$2:D132,$B$2:B132,B132)/SUMIFS($D$2:$D$741,$B$2:$B$741,B132)</f>
        <v>0.74551064883328622</v>
      </c>
      <c r="P132" s="4" t="b">
        <f t="shared" si="8"/>
        <v>1</v>
      </c>
      <c r="Q132" s="2"/>
      <c r="R132" s="2"/>
      <c r="S132" s="2"/>
    </row>
    <row r="133" spans="1:19" x14ac:dyDescent="0.45">
      <c r="A133" s="4" t="s">
        <v>176</v>
      </c>
      <c r="B133" s="4" t="s">
        <v>166</v>
      </c>
      <c r="C133" s="5">
        <v>2</v>
      </c>
      <c r="D133" s="5">
        <v>10657</v>
      </c>
      <c r="E133" s="5">
        <v>2875</v>
      </c>
      <c r="F133" s="5">
        <v>173</v>
      </c>
      <c r="G133" s="5">
        <v>71</v>
      </c>
      <c r="H133" s="5">
        <v>10484</v>
      </c>
      <c r="I133" s="6">
        <v>5</v>
      </c>
      <c r="J133" s="6">
        <v>11.1</v>
      </c>
      <c r="K133" s="6">
        <v>25</v>
      </c>
      <c r="L133" s="6">
        <v>25</v>
      </c>
      <c r="M133" s="4" t="str">
        <f t="shared" si="6"/>
        <v>OK</v>
      </c>
      <c r="N133" s="7">
        <f t="shared" si="7"/>
        <v>2.9813376154334648E-2</v>
      </c>
      <c r="O133" s="7">
        <f>SUMIFS($D$2:D133,$B$2:B133,B133)/SUMIFS($D$2:$D$741,$B$2:$B$741,B133)</f>
        <v>0.77532402498762087</v>
      </c>
      <c r="P133" s="4" t="b">
        <f t="shared" si="8"/>
        <v>1</v>
      </c>
      <c r="Q133" s="2"/>
      <c r="R133" s="2"/>
      <c r="S133" s="2"/>
    </row>
    <row r="134" spans="1:19" x14ac:dyDescent="0.45">
      <c r="A134" s="4" t="s">
        <v>177</v>
      </c>
      <c r="B134" s="4" t="s">
        <v>166</v>
      </c>
      <c r="C134" s="5">
        <v>2</v>
      </c>
      <c r="D134" s="5">
        <v>8010</v>
      </c>
      <c r="E134" s="5">
        <v>490</v>
      </c>
      <c r="F134" s="5">
        <v>34</v>
      </c>
      <c r="G134" s="5">
        <v>20</v>
      </c>
      <c r="H134" s="5">
        <v>7976</v>
      </c>
      <c r="I134" s="6">
        <v>1</v>
      </c>
      <c r="J134" s="6">
        <v>7.1</v>
      </c>
      <c r="K134" s="6">
        <v>13</v>
      </c>
      <c r="L134" s="6">
        <v>13</v>
      </c>
      <c r="M134" s="4" t="str">
        <f t="shared" si="6"/>
        <v>OK</v>
      </c>
      <c r="N134" s="7">
        <f t="shared" si="7"/>
        <v>2.2408289668407667E-2</v>
      </c>
      <c r="O134" s="7">
        <f>SUMIFS($D$2:D134,$B$2:B134,B134)/SUMIFS($D$2:$D$741,$B$2:$B$741,B134)</f>
        <v>0.79773231465602856</v>
      </c>
      <c r="P134" s="4" t="b">
        <f t="shared" si="8"/>
        <v>1</v>
      </c>
      <c r="Q134" s="2"/>
      <c r="R134" s="2"/>
      <c r="S134" s="2"/>
    </row>
    <row r="135" spans="1:19" x14ac:dyDescent="0.45">
      <c r="A135" s="4" t="s">
        <v>178</v>
      </c>
      <c r="B135" s="4" t="s">
        <v>166</v>
      </c>
      <c r="C135" s="5">
        <v>2</v>
      </c>
      <c r="D135" s="5">
        <v>7854</v>
      </c>
      <c r="E135" s="5">
        <v>1876</v>
      </c>
      <c r="F135" s="5">
        <v>103</v>
      </c>
      <c r="G135" s="5">
        <v>87</v>
      </c>
      <c r="H135" s="5">
        <v>7751</v>
      </c>
      <c r="I135" s="6">
        <v>2</v>
      </c>
      <c r="J135" s="6">
        <v>6.7</v>
      </c>
      <c r="K135" s="6">
        <v>12</v>
      </c>
      <c r="L135" s="6">
        <v>12</v>
      </c>
      <c r="M135" s="4" t="str">
        <f t="shared" si="6"/>
        <v>OK</v>
      </c>
      <c r="N135" s="7">
        <f t="shared" si="7"/>
        <v>2.1971873540034187E-2</v>
      </c>
      <c r="O135" s="7">
        <f>SUMIFS($D$2:D135,$B$2:B135,B135)/SUMIFS($D$2:$D$741,$B$2:$B$741,B135)</f>
        <v>0.81970418819606272</v>
      </c>
      <c r="P135" s="4" t="b">
        <f t="shared" si="8"/>
        <v>1</v>
      </c>
      <c r="Q135" s="2"/>
      <c r="R135" s="2"/>
      <c r="S135" s="2"/>
    </row>
    <row r="136" spans="1:19" x14ac:dyDescent="0.45">
      <c r="A136" s="4" t="s">
        <v>179</v>
      </c>
      <c r="B136" s="4" t="s">
        <v>166</v>
      </c>
      <c r="C136" s="5">
        <v>2</v>
      </c>
      <c r="D136" s="5">
        <v>7646</v>
      </c>
      <c r="E136" s="5">
        <v>2005</v>
      </c>
      <c r="F136" s="5">
        <v>1279</v>
      </c>
      <c r="G136" s="5">
        <v>894</v>
      </c>
      <c r="H136" s="5">
        <v>6367</v>
      </c>
      <c r="I136" s="6">
        <v>19</v>
      </c>
      <c r="J136" s="6">
        <v>27.2</v>
      </c>
      <c r="K136" s="6">
        <v>70</v>
      </c>
      <c r="L136" s="6">
        <v>70</v>
      </c>
      <c r="M136" s="4" t="str">
        <f t="shared" si="6"/>
        <v>OK</v>
      </c>
      <c r="N136" s="7">
        <f t="shared" si="7"/>
        <v>2.1389985368869543E-2</v>
      </c>
      <c r="O136" s="7">
        <f>SUMIFS($D$2:D136,$B$2:B136,B136)/SUMIFS($D$2:$D$741,$B$2:$B$741,B136)</f>
        <v>0.84109417356493232</v>
      </c>
      <c r="P136" s="4" t="b">
        <f t="shared" si="8"/>
        <v>1</v>
      </c>
      <c r="Q136" s="2"/>
      <c r="R136" s="2"/>
      <c r="S136" s="2"/>
    </row>
    <row r="137" spans="1:19" x14ac:dyDescent="0.45">
      <c r="A137" s="4" t="s">
        <v>180</v>
      </c>
      <c r="B137" s="4" t="s">
        <v>166</v>
      </c>
      <c r="C137" s="5">
        <v>2</v>
      </c>
      <c r="D137" s="5">
        <v>6634</v>
      </c>
      <c r="E137" s="5">
        <v>1568</v>
      </c>
      <c r="F137" s="5">
        <v>144</v>
      </c>
      <c r="G137" s="5">
        <v>72</v>
      </c>
      <c r="H137" s="5">
        <v>6315</v>
      </c>
      <c r="I137" s="6">
        <v>6</v>
      </c>
      <c r="J137" s="6">
        <v>18.2</v>
      </c>
      <c r="K137" s="6">
        <v>45</v>
      </c>
      <c r="L137" s="6">
        <v>44.6</v>
      </c>
      <c r="M137" s="4" t="str">
        <f t="shared" si="6"/>
        <v>OK</v>
      </c>
      <c r="N137" s="7">
        <f t="shared" si="7"/>
        <v>1.8558875613010797E-2</v>
      </c>
      <c r="O137" s="7">
        <f>SUMIFS($D$2:D137,$B$2:B137,B137)/SUMIFS($D$2:$D$741,$B$2:$B$741,B137)</f>
        <v>0.85965304917794305</v>
      </c>
      <c r="P137" s="4" t="b">
        <f t="shared" si="8"/>
        <v>1</v>
      </c>
      <c r="Q137" s="2"/>
      <c r="R137" s="2"/>
      <c r="S137" s="2"/>
    </row>
    <row r="138" spans="1:19" x14ac:dyDescent="0.45">
      <c r="A138" s="4" t="s">
        <v>181</v>
      </c>
      <c r="B138" s="4" t="s">
        <v>166</v>
      </c>
      <c r="C138" s="5">
        <v>1</v>
      </c>
      <c r="D138" s="5">
        <v>6369</v>
      </c>
      <c r="E138" s="5">
        <v>1756</v>
      </c>
      <c r="F138" s="5">
        <v>109</v>
      </c>
      <c r="G138" s="5">
        <v>40</v>
      </c>
      <c r="H138" s="5">
        <v>6260</v>
      </c>
      <c r="I138" s="6">
        <v>4</v>
      </c>
      <c r="J138" s="6">
        <v>13.3</v>
      </c>
      <c r="K138" s="6">
        <v>31</v>
      </c>
      <c r="L138" s="6">
        <v>31</v>
      </c>
      <c r="M138" s="4" t="str">
        <f t="shared" si="6"/>
        <v>OK</v>
      </c>
      <c r="N138" s="7">
        <f t="shared" si="7"/>
        <v>1.7817527702632764E-2</v>
      </c>
      <c r="O138" s="7">
        <f>SUMIFS($D$2:D138,$B$2:B138,B138)/SUMIFS($D$2:$D$741,$B$2:$B$741,B138)</f>
        <v>0.87747057688057584</v>
      </c>
      <c r="P138" s="4" t="b">
        <f t="shared" si="8"/>
        <v>1</v>
      </c>
      <c r="Q138" s="2"/>
      <c r="R138" s="2"/>
      <c r="S138" s="2"/>
    </row>
    <row r="139" spans="1:19" x14ac:dyDescent="0.45">
      <c r="A139" s="4" t="s">
        <v>182</v>
      </c>
      <c r="B139" s="4" t="s">
        <v>166</v>
      </c>
      <c r="C139" s="5">
        <v>1</v>
      </c>
      <c r="D139" s="5">
        <v>3513</v>
      </c>
      <c r="E139" s="5">
        <v>867</v>
      </c>
      <c r="F139" s="5">
        <v>15</v>
      </c>
      <c r="G139" s="5">
        <v>9</v>
      </c>
      <c r="H139" s="5">
        <v>3498</v>
      </c>
      <c r="I139" s="6">
        <v>0</v>
      </c>
      <c r="J139" s="6">
        <v>0.9</v>
      </c>
      <c r="K139" s="6">
        <v>2</v>
      </c>
      <c r="L139" s="6">
        <v>2</v>
      </c>
      <c r="M139" s="4" t="str">
        <f t="shared" si="6"/>
        <v>OK</v>
      </c>
      <c r="N139" s="7">
        <f t="shared" si="7"/>
        <v>9.8277555062566968E-3</v>
      </c>
      <c r="O139" s="7">
        <f>SUMIFS($D$2:D139,$B$2:B139,B139)/SUMIFS($D$2:$D$741,$B$2:$B$741,B139)</f>
        <v>0.88729833238683253</v>
      </c>
      <c r="P139" s="4" t="b">
        <f t="shared" si="8"/>
        <v>1</v>
      </c>
      <c r="Q139" s="2"/>
      <c r="R139" s="2"/>
      <c r="S139" s="2"/>
    </row>
    <row r="140" spans="1:19" x14ac:dyDescent="0.45">
      <c r="A140" s="4" t="s">
        <v>183</v>
      </c>
      <c r="B140" s="4" t="s">
        <v>166</v>
      </c>
      <c r="C140" s="5">
        <v>1</v>
      </c>
      <c r="D140" s="5">
        <v>3450</v>
      </c>
      <c r="E140" s="5">
        <v>811</v>
      </c>
      <c r="F140" s="5">
        <v>28</v>
      </c>
      <c r="G140" s="5">
        <v>22</v>
      </c>
      <c r="H140" s="5">
        <v>3422</v>
      </c>
      <c r="I140" s="6">
        <v>1</v>
      </c>
      <c r="J140" s="6">
        <v>1.4</v>
      </c>
      <c r="K140" s="6">
        <v>2</v>
      </c>
      <c r="L140" s="6">
        <v>2</v>
      </c>
      <c r="M140" s="4" t="str">
        <f t="shared" si="6"/>
        <v>OK</v>
      </c>
      <c r="N140" s="7">
        <f t="shared" si="7"/>
        <v>9.6515105313366364E-3</v>
      </c>
      <c r="O140" s="7">
        <f>SUMIFS($D$2:D140,$B$2:B140,B140)/SUMIFS($D$2:$D$741,$B$2:$B$741,B140)</f>
        <v>0.89694984291816915</v>
      </c>
      <c r="P140" s="4" t="b">
        <f t="shared" si="8"/>
        <v>1</v>
      </c>
      <c r="Q140" s="2"/>
      <c r="R140" s="2"/>
      <c r="S140" s="2"/>
    </row>
    <row r="141" spans="1:19" x14ac:dyDescent="0.45">
      <c r="A141" s="4" t="s">
        <v>184</v>
      </c>
      <c r="B141" s="4" t="s">
        <v>166</v>
      </c>
      <c r="C141" s="5">
        <v>1</v>
      </c>
      <c r="D141" s="5">
        <v>3450</v>
      </c>
      <c r="E141" s="5">
        <v>1323</v>
      </c>
      <c r="F141" s="5">
        <v>154</v>
      </c>
      <c r="G141" s="5">
        <v>52</v>
      </c>
      <c r="H141" s="5">
        <v>3296</v>
      </c>
      <c r="I141" s="6">
        <v>10</v>
      </c>
      <c r="J141" s="6">
        <v>24.9</v>
      </c>
      <c r="K141" s="6">
        <v>62</v>
      </c>
      <c r="L141" s="6">
        <v>62</v>
      </c>
      <c r="M141" s="4" t="str">
        <f t="shared" si="6"/>
        <v>OK</v>
      </c>
      <c r="N141" s="7">
        <f t="shared" si="7"/>
        <v>9.6515105313366364E-3</v>
      </c>
      <c r="O141" s="7">
        <f>SUMIFS($D$2:D141,$B$2:B141,B141)/SUMIFS($D$2:$D$741,$B$2:$B$741,B141)</f>
        <v>0.90660135344950576</v>
      </c>
      <c r="P141" s="4" t="b">
        <f t="shared" si="8"/>
        <v>1</v>
      </c>
      <c r="Q141" s="2"/>
      <c r="R141" s="2"/>
      <c r="S141" s="2"/>
    </row>
    <row r="142" spans="1:19" x14ac:dyDescent="0.45">
      <c r="A142" s="4" t="s">
        <v>185</v>
      </c>
      <c r="B142" s="4" t="s">
        <v>166</v>
      </c>
      <c r="C142" s="5">
        <v>2</v>
      </c>
      <c r="D142" s="5">
        <v>3100</v>
      </c>
      <c r="E142" s="5">
        <v>0</v>
      </c>
      <c r="F142" s="5">
        <v>0</v>
      </c>
      <c r="G142" s="5">
        <v>0</v>
      </c>
      <c r="H142" s="5">
        <v>3100</v>
      </c>
      <c r="I142" s="6">
        <v>6</v>
      </c>
      <c r="J142" s="6">
        <v>13.1</v>
      </c>
      <c r="K142" s="6">
        <v>34</v>
      </c>
      <c r="L142" s="6">
        <v>34</v>
      </c>
      <c r="M142" s="4" t="str">
        <f t="shared" si="6"/>
        <v>OK</v>
      </c>
      <c r="N142" s="7">
        <f t="shared" si="7"/>
        <v>8.6723717817807459E-3</v>
      </c>
      <c r="O142" s="7">
        <f>SUMIFS($D$2:D142,$B$2:B142,B142)/SUMIFS($D$2:$D$741,$B$2:$B$741,B142)</f>
        <v>0.91527372523128658</v>
      </c>
      <c r="P142" s="4" t="b">
        <f t="shared" si="8"/>
        <v>1</v>
      </c>
      <c r="Q142" s="2"/>
      <c r="R142" s="2"/>
      <c r="S142" s="2"/>
    </row>
    <row r="143" spans="1:19" x14ac:dyDescent="0.45">
      <c r="A143" s="4" t="s">
        <v>186</v>
      </c>
      <c r="B143" s="4" t="s">
        <v>166</v>
      </c>
      <c r="C143" s="5">
        <v>2</v>
      </c>
      <c r="D143" s="5">
        <v>2677</v>
      </c>
      <c r="E143" s="5">
        <v>687</v>
      </c>
      <c r="F143" s="5">
        <v>10</v>
      </c>
      <c r="G143" s="5">
        <v>0</v>
      </c>
      <c r="H143" s="5">
        <v>2664</v>
      </c>
      <c r="I143" s="6">
        <v>5</v>
      </c>
      <c r="J143" s="6">
        <v>10.6</v>
      </c>
      <c r="K143" s="6">
        <v>20</v>
      </c>
      <c r="L143" s="6">
        <v>20</v>
      </c>
      <c r="M143" s="4" t="str">
        <f t="shared" si="6"/>
        <v>OK</v>
      </c>
      <c r="N143" s="7">
        <f t="shared" si="7"/>
        <v>7.4890126644603407E-3</v>
      </c>
      <c r="O143" s="7">
        <f>SUMIFS($D$2:D143,$B$2:B143,B143)/SUMIFS($D$2:$D$741,$B$2:$B$741,B143)</f>
        <v>0.92276273789574692</v>
      </c>
      <c r="P143" s="4" t="b">
        <f t="shared" si="8"/>
        <v>1</v>
      </c>
      <c r="Q143" s="2"/>
      <c r="R143" s="2"/>
      <c r="S143" s="2"/>
    </row>
    <row r="144" spans="1:19" x14ac:dyDescent="0.45">
      <c r="A144" s="4" t="s">
        <v>187</v>
      </c>
      <c r="B144" s="4" t="s">
        <v>166</v>
      </c>
      <c r="C144" s="5">
        <v>2</v>
      </c>
      <c r="D144" s="5">
        <v>2176</v>
      </c>
      <c r="E144" s="5">
        <v>0</v>
      </c>
      <c r="F144" s="5">
        <v>0</v>
      </c>
      <c r="G144" s="5">
        <v>0</v>
      </c>
      <c r="H144" s="5">
        <v>2176</v>
      </c>
      <c r="I144" s="6">
        <v>7</v>
      </c>
      <c r="J144" s="6">
        <v>13.6</v>
      </c>
      <c r="K144" s="6">
        <v>43</v>
      </c>
      <c r="L144" s="6">
        <v>43</v>
      </c>
      <c r="M144" s="4" t="str">
        <f t="shared" si="6"/>
        <v>OK</v>
      </c>
      <c r="N144" s="7">
        <f t="shared" si="7"/>
        <v>6.0874454829531943E-3</v>
      </c>
      <c r="O144" s="7">
        <f>SUMIFS($D$2:D144,$B$2:B144,B144)/SUMIFS($D$2:$D$741,$B$2:$B$741,B144)</f>
        <v>0.92885018337870007</v>
      </c>
      <c r="P144" s="4" t="b">
        <f t="shared" si="8"/>
        <v>1</v>
      </c>
      <c r="Q144" s="2"/>
      <c r="R144" s="2"/>
      <c r="S144" s="2"/>
    </row>
    <row r="145" spans="1:19" x14ac:dyDescent="0.45">
      <c r="A145" s="4" t="s">
        <v>188</v>
      </c>
      <c r="B145" s="4" t="s">
        <v>166</v>
      </c>
      <c r="C145" s="5">
        <v>1</v>
      </c>
      <c r="D145" s="5">
        <v>1985</v>
      </c>
      <c r="E145" s="5">
        <v>0</v>
      </c>
      <c r="F145" s="5">
        <v>0</v>
      </c>
      <c r="G145" s="5">
        <v>0</v>
      </c>
      <c r="H145" s="5">
        <v>1985</v>
      </c>
      <c r="I145" s="6">
        <v>12</v>
      </c>
      <c r="J145" s="6">
        <v>19.399999999999999</v>
      </c>
      <c r="K145" s="6">
        <v>46</v>
      </c>
      <c r="L145" s="6">
        <v>46</v>
      </c>
      <c r="M145" s="4" t="str">
        <f t="shared" si="6"/>
        <v>OK</v>
      </c>
      <c r="N145" s="7">
        <f t="shared" si="7"/>
        <v>5.5531154796241225E-3</v>
      </c>
      <c r="O145" s="7">
        <f>SUMIFS($D$2:D145,$B$2:B145,B145)/SUMIFS($D$2:$D$741,$B$2:$B$741,B145)</f>
        <v>0.93440329885832418</v>
      </c>
      <c r="P145" s="4" t="b">
        <f t="shared" si="8"/>
        <v>1</v>
      </c>
      <c r="Q145" s="2"/>
      <c r="R145" s="2"/>
      <c r="S145" s="2"/>
    </row>
    <row r="146" spans="1:19" x14ac:dyDescent="0.45">
      <c r="A146" s="4" t="s">
        <v>189</v>
      </c>
      <c r="B146" s="4" t="s">
        <v>166</v>
      </c>
      <c r="C146" s="5">
        <v>1</v>
      </c>
      <c r="D146" s="5">
        <v>1921</v>
      </c>
      <c r="E146" s="5">
        <v>0</v>
      </c>
      <c r="F146" s="5">
        <v>0</v>
      </c>
      <c r="G146" s="5">
        <v>0</v>
      </c>
      <c r="H146" s="5">
        <v>1921</v>
      </c>
      <c r="I146" s="6">
        <v>42</v>
      </c>
      <c r="J146" s="6">
        <v>39.299999999999997</v>
      </c>
      <c r="K146" s="6">
        <v>43</v>
      </c>
      <c r="L146" s="6">
        <v>43</v>
      </c>
      <c r="M146" s="4" t="str">
        <f t="shared" si="6"/>
        <v>OK</v>
      </c>
      <c r="N146" s="7">
        <f t="shared" si="7"/>
        <v>5.3740729654196172E-3</v>
      </c>
      <c r="O146" s="7">
        <f>SUMIFS($D$2:D146,$B$2:B146,B146)/SUMIFS($D$2:$D$741,$B$2:$B$741,B146)</f>
        <v>0.93977737182374388</v>
      </c>
      <c r="P146" s="4" t="b">
        <f t="shared" si="8"/>
        <v>1</v>
      </c>
      <c r="Q146" s="2"/>
      <c r="R146" s="2"/>
      <c r="S146" s="2"/>
    </row>
    <row r="147" spans="1:19" x14ac:dyDescent="0.45">
      <c r="A147" s="4" t="s">
        <v>190</v>
      </c>
      <c r="B147" s="4" t="s">
        <v>166</v>
      </c>
      <c r="C147" s="5">
        <v>2</v>
      </c>
      <c r="D147" s="5">
        <v>1834</v>
      </c>
      <c r="E147" s="5">
        <v>369</v>
      </c>
      <c r="F147" s="5">
        <v>13</v>
      </c>
      <c r="G147" s="5">
        <v>10</v>
      </c>
      <c r="H147" s="5">
        <v>1821</v>
      </c>
      <c r="I147" s="6">
        <v>2</v>
      </c>
      <c r="J147" s="6">
        <v>5.4</v>
      </c>
      <c r="K147" s="6">
        <v>9</v>
      </c>
      <c r="L147" s="6">
        <v>9</v>
      </c>
      <c r="M147" s="4" t="str">
        <f t="shared" si="6"/>
        <v>OK</v>
      </c>
      <c r="N147" s="7">
        <f t="shared" si="7"/>
        <v>5.1306870476728666E-3</v>
      </c>
      <c r="O147" s="7">
        <f>SUMIFS($D$2:D147,$B$2:B147,B147)/SUMIFS($D$2:$D$741,$B$2:$B$741,B147)</f>
        <v>0.94490805887141671</v>
      </c>
      <c r="P147" s="4" t="b">
        <f t="shared" si="8"/>
        <v>1</v>
      </c>
      <c r="Q147" s="2"/>
      <c r="R147" s="2"/>
      <c r="S147" s="2"/>
    </row>
    <row r="148" spans="1:19" x14ac:dyDescent="0.45">
      <c r="A148" s="4" t="s">
        <v>191</v>
      </c>
      <c r="B148" s="4" t="s">
        <v>166</v>
      </c>
      <c r="C148" s="5">
        <v>2</v>
      </c>
      <c r="D148" s="5">
        <v>1588</v>
      </c>
      <c r="E148" s="5">
        <v>315</v>
      </c>
      <c r="F148" s="5">
        <v>6</v>
      </c>
      <c r="G148" s="5">
        <v>3</v>
      </c>
      <c r="H148" s="5">
        <v>1582</v>
      </c>
      <c r="I148" s="6">
        <v>1</v>
      </c>
      <c r="J148" s="6">
        <v>4.7</v>
      </c>
      <c r="K148" s="6">
        <v>9</v>
      </c>
      <c r="L148" s="6">
        <v>9</v>
      </c>
      <c r="M148" s="4" t="str">
        <f t="shared" si="6"/>
        <v>OK</v>
      </c>
      <c r="N148" s="7">
        <f t="shared" si="7"/>
        <v>4.4424923836992982E-3</v>
      </c>
      <c r="O148" s="7">
        <f>SUMIFS($D$2:D148,$B$2:B148,B148)/SUMIFS($D$2:$D$741,$B$2:$B$741,B148)</f>
        <v>0.94935055125511603</v>
      </c>
      <c r="P148" s="4" t="b">
        <f t="shared" si="8"/>
        <v>1</v>
      </c>
      <c r="Q148" s="2"/>
      <c r="R148" s="2"/>
      <c r="S148" s="2"/>
    </row>
    <row r="149" spans="1:19" x14ac:dyDescent="0.45">
      <c r="A149" s="4" t="s">
        <v>192</v>
      </c>
      <c r="B149" s="4" t="s">
        <v>166</v>
      </c>
      <c r="C149" s="5">
        <v>2</v>
      </c>
      <c r="D149" s="5">
        <v>1493</v>
      </c>
      <c r="E149" s="5">
        <v>429</v>
      </c>
      <c r="F149" s="5">
        <v>9</v>
      </c>
      <c r="G149" s="5">
        <v>5</v>
      </c>
      <c r="H149" s="5">
        <v>1484</v>
      </c>
      <c r="I149" s="6">
        <v>3</v>
      </c>
      <c r="J149" s="6">
        <v>6.1</v>
      </c>
      <c r="K149" s="6">
        <v>14</v>
      </c>
      <c r="L149" s="6">
        <v>14</v>
      </c>
      <c r="M149" s="4" t="str">
        <f t="shared" si="6"/>
        <v>OK</v>
      </c>
      <c r="N149" s="7">
        <f t="shared" si="7"/>
        <v>4.1767261516769847E-3</v>
      </c>
      <c r="O149" s="7">
        <f>SUMIFS($D$2:D149,$B$2:B149,B149)/SUMIFS($D$2:$D$741,$B$2:$B$741,B149)</f>
        <v>0.95352727740679299</v>
      </c>
      <c r="P149" s="4" t="b">
        <f t="shared" si="8"/>
        <v>1</v>
      </c>
      <c r="Q149" s="2"/>
      <c r="R149" s="2"/>
      <c r="S149" s="2"/>
    </row>
    <row r="150" spans="1:19" x14ac:dyDescent="0.45">
      <c r="A150" s="4" t="s">
        <v>193</v>
      </c>
      <c r="B150" s="4" t="s">
        <v>166</v>
      </c>
      <c r="C150" s="5">
        <v>2</v>
      </c>
      <c r="D150" s="5">
        <v>1426</v>
      </c>
      <c r="E150" s="5">
        <v>299</v>
      </c>
      <c r="F150" s="5">
        <v>13</v>
      </c>
      <c r="G150" s="5">
        <v>13</v>
      </c>
      <c r="H150" s="5">
        <v>1413</v>
      </c>
      <c r="I150" s="6">
        <v>2</v>
      </c>
      <c r="J150" s="6">
        <v>7.3</v>
      </c>
      <c r="K150" s="6">
        <v>13</v>
      </c>
      <c r="L150" s="6">
        <v>13</v>
      </c>
      <c r="M150" s="4" t="str">
        <f t="shared" si="6"/>
        <v>OK</v>
      </c>
      <c r="N150" s="7">
        <f t="shared" si="7"/>
        <v>3.989291019619143E-3</v>
      </c>
      <c r="O150" s="7">
        <f>SUMIFS($D$2:D150,$B$2:B150,B150)/SUMIFS($D$2:$D$741,$B$2:$B$741,B150)</f>
        <v>0.95751656842641208</v>
      </c>
      <c r="P150" s="4" t="b">
        <f t="shared" si="8"/>
        <v>0</v>
      </c>
      <c r="Q150" s="2"/>
      <c r="R150" s="2"/>
      <c r="S150" s="2"/>
    </row>
    <row r="151" spans="1:19" x14ac:dyDescent="0.45">
      <c r="A151" s="4" t="s">
        <v>194</v>
      </c>
      <c r="B151" s="4" t="s">
        <v>166</v>
      </c>
      <c r="C151" s="5">
        <v>1</v>
      </c>
      <c r="D151" s="5">
        <v>1292</v>
      </c>
      <c r="E151" s="5">
        <v>407</v>
      </c>
      <c r="F151" s="5">
        <v>8</v>
      </c>
      <c r="G151" s="5">
        <v>1</v>
      </c>
      <c r="H151" s="5">
        <v>1284</v>
      </c>
      <c r="I151" s="6">
        <v>4</v>
      </c>
      <c r="J151" s="6">
        <v>6.3</v>
      </c>
      <c r="K151" s="6">
        <v>15</v>
      </c>
      <c r="L151" s="6">
        <v>15</v>
      </c>
      <c r="M151" s="4" t="str">
        <f t="shared" si="6"/>
        <v>OK</v>
      </c>
      <c r="N151" s="7">
        <f t="shared" si="7"/>
        <v>3.614420755503459E-3</v>
      </c>
      <c r="O151" s="7">
        <f>SUMIFS($D$2:D151,$B$2:B151,B151)/SUMIFS($D$2:$D$741,$B$2:$B$741,B151)</f>
        <v>0.96113098918191564</v>
      </c>
      <c r="P151" s="4" t="b">
        <f t="shared" si="8"/>
        <v>0</v>
      </c>
      <c r="Q151" s="2"/>
      <c r="R151" s="2"/>
      <c r="S151" s="2"/>
    </row>
    <row r="152" spans="1:19" x14ac:dyDescent="0.45">
      <c r="A152" s="4" t="s">
        <v>195</v>
      </c>
      <c r="B152" s="4" t="s">
        <v>166</v>
      </c>
      <c r="C152" s="5">
        <v>2</v>
      </c>
      <c r="D152" s="5">
        <v>1172</v>
      </c>
      <c r="E152" s="5">
        <v>0</v>
      </c>
      <c r="F152" s="5">
        <v>0</v>
      </c>
      <c r="G152" s="5">
        <v>0</v>
      </c>
      <c r="H152" s="5">
        <v>1172</v>
      </c>
      <c r="I152" s="6">
        <v>3</v>
      </c>
      <c r="J152" s="6">
        <v>5.0999999999999996</v>
      </c>
      <c r="K152" s="6">
        <v>13</v>
      </c>
      <c r="L152" s="6">
        <v>13</v>
      </c>
      <c r="M152" s="4" t="str">
        <f t="shared" si="6"/>
        <v>OK</v>
      </c>
      <c r="N152" s="7">
        <f t="shared" si="7"/>
        <v>3.2787160413700108E-3</v>
      </c>
      <c r="O152" s="7">
        <f>SUMIFS($D$2:D152,$B$2:B152,B152)/SUMIFS($D$2:$D$741,$B$2:$B$741,B152)</f>
        <v>0.96440970522328562</v>
      </c>
      <c r="P152" s="4" t="b">
        <f t="shared" si="8"/>
        <v>0</v>
      </c>
      <c r="Q152" s="2"/>
      <c r="R152" s="2"/>
      <c r="S152" s="2"/>
    </row>
    <row r="153" spans="1:19" x14ac:dyDescent="0.45">
      <c r="A153" s="4" t="s">
        <v>196</v>
      </c>
      <c r="B153" s="4" t="s">
        <v>166</v>
      </c>
      <c r="C153" s="5">
        <v>1</v>
      </c>
      <c r="D153" s="5">
        <v>1170</v>
      </c>
      <c r="E153" s="5">
        <v>0</v>
      </c>
      <c r="F153" s="5">
        <v>0</v>
      </c>
      <c r="G153" s="5">
        <v>0</v>
      </c>
      <c r="H153" s="5">
        <v>1170</v>
      </c>
      <c r="I153" s="6">
        <v>3</v>
      </c>
      <c r="J153" s="6">
        <v>6.4</v>
      </c>
      <c r="K153" s="6">
        <v>13</v>
      </c>
      <c r="L153" s="6">
        <v>13</v>
      </c>
      <c r="M153" s="4" t="str">
        <f t="shared" si="6"/>
        <v>OK</v>
      </c>
      <c r="N153" s="7">
        <f t="shared" si="7"/>
        <v>3.2731209628011201E-3</v>
      </c>
      <c r="O153" s="7">
        <f>SUMIFS($D$2:D153,$B$2:B153,B153)/SUMIFS($D$2:$D$741,$B$2:$B$741,B153)</f>
        <v>0.9676828261860867</v>
      </c>
      <c r="P153" s="4" t="b">
        <f t="shared" si="8"/>
        <v>0</v>
      </c>
      <c r="Q153" s="2"/>
      <c r="R153" s="2"/>
      <c r="S153" s="2"/>
    </row>
    <row r="154" spans="1:19" x14ac:dyDescent="0.45">
      <c r="A154" s="4" t="s">
        <v>197</v>
      </c>
      <c r="B154" s="4" t="s">
        <v>166</v>
      </c>
      <c r="C154" s="5">
        <v>2</v>
      </c>
      <c r="D154" s="5">
        <v>1166</v>
      </c>
      <c r="E154" s="5">
        <v>0</v>
      </c>
      <c r="F154" s="5">
        <v>1</v>
      </c>
      <c r="G154" s="5">
        <v>1</v>
      </c>
      <c r="H154" s="5">
        <v>1165</v>
      </c>
      <c r="I154" s="6">
        <v>4</v>
      </c>
      <c r="J154" s="6">
        <v>11.8</v>
      </c>
      <c r="K154" s="6">
        <v>35</v>
      </c>
      <c r="L154" s="6">
        <v>35</v>
      </c>
      <c r="M154" s="4" t="str">
        <f t="shared" si="6"/>
        <v>OK</v>
      </c>
      <c r="N154" s="7">
        <f t="shared" si="7"/>
        <v>3.2619308056633387E-3</v>
      </c>
      <c r="O154" s="7">
        <f>SUMIFS($D$2:D154,$B$2:B154,B154)/SUMIFS($D$2:$D$741,$B$2:$B$741,B154)</f>
        <v>0.97094475699175009</v>
      </c>
      <c r="P154" s="4" t="b">
        <f t="shared" si="8"/>
        <v>0</v>
      </c>
      <c r="Q154" s="2"/>
      <c r="R154" s="2"/>
      <c r="S154" s="2"/>
    </row>
    <row r="155" spans="1:19" x14ac:dyDescent="0.45">
      <c r="A155" s="4" t="s">
        <v>198</v>
      </c>
      <c r="B155" s="4" t="s">
        <v>166</v>
      </c>
      <c r="C155" s="5">
        <v>2</v>
      </c>
      <c r="D155" s="5">
        <v>983</v>
      </c>
      <c r="E155" s="5">
        <v>279</v>
      </c>
      <c r="F155" s="5">
        <v>51</v>
      </c>
      <c r="G155" s="5">
        <v>6</v>
      </c>
      <c r="H155" s="5">
        <v>932</v>
      </c>
      <c r="I155" s="6">
        <v>10</v>
      </c>
      <c r="J155" s="6">
        <v>28.5</v>
      </c>
      <c r="K155" s="6">
        <v>79</v>
      </c>
      <c r="L155" s="6">
        <v>78.900000000000006</v>
      </c>
      <c r="M155" s="4" t="str">
        <f t="shared" si="6"/>
        <v>OK</v>
      </c>
      <c r="N155" s="7">
        <f t="shared" si="7"/>
        <v>2.7499811166098302E-3</v>
      </c>
      <c r="O155" s="7">
        <f>SUMIFS($D$2:D155,$B$2:B155,B155)/SUMIFS($D$2:$D$741,$B$2:$B$741,B155)</f>
        <v>0.97369473810835994</v>
      </c>
      <c r="P155" s="4" t="b">
        <f t="shared" si="8"/>
        <v>0</v>
      </c>
      <c r="Q155" s="2"/>
      <c r="R155" s="2"/>
      <c r="S155" s="2"/>
    </row>
    <row r="156" spans="1:19" x14ac:dyDescent="0.45">
      <c r="A156" s="4" t="s">
        <v>199</v>
      </c>
      <c r="B156" s="4" t="s">
        <v>166</v>
      </c>
      <c r="C156" s="5">
        <v>2</v>
      </c>
      <c r="D156" s="5">
        <v>968</v>
      </c>
      <c r="E156" s="5">
        <v>0</v>
      </c>
      <c r="F156" s="5">
        <v>1</v>
      </c>
      <c r="G156" s="5">
        <v>1</v>
      </c>
      <c r="H156" s="5">
        <v>967</v>
      </c>
      <c r="I156" s="6">
        <v>1</v>
      </c>
      <c r="J156" s="6">
        <v>1.1000000000000001</v>
      </c>
      <c r="K156" s="6">
        <v>2</v>
      </c>
      <c r="L156" s="6">
        <v>2</v>
      </c>
      <c r="M156" s="4" t="str">
        <f t="shared" si="6"/>
        <v>OK</v>
      </c>
      <c r="N156" s="7">
        <f t="shared" si="7"/>
        <v>2.708018027343149E-3</v>
      </c>
      <c r="O156" s="7">
        <f>SUMIFS($D$2:D156,$B$2:B156,B156)/SUMIFS($D$2:$D$741,$B$2:$B$741,B156)</f>
        <v>0.97640275613570304</v>
      </c>
      <c r="P156" s="4" t="b">
        <f t="shared" si="8"/>
        <v>0</v>
      </c>
      <c r="Q156" s="2"/>
      <c r="R156" s="2"/>
      <c r="S156" s="2"/>
    </row>
    <row r="157" spans="1:19" x14ac:dyDescent="0.45">
      <c r="A157" s="4" t="s">
        <v>200</v>
      </c>
      <c r="B157" s="4" t="s">
        <v>166</v>
      </c>
      <c r="C157" s="5">
        <v>2</v>
      </c>
      <c r="D157" s="5">
        <v>811</v>
      </c>
      <c r="E157" s="5">
        <v>221</v>
      </c>
      <c r="F157" s="5">
        <v>22</v>
      </c>
      <c r="G157" s="5">
        <v>6</v>
      </c>
      <c r="H157" s="5">
        <v>789</v>
      </c>
      <c r="I157" s="6">
        <v>5</v>
      </c>
      <c r="J157" s="6">
        <v>17.899999999999999</v>
      </c>
      <c r="K157" s="6">
        <v>41</v>
      </c>
      <c r="L157" s="6">
        <v>41</v>
      </c>
      <c r="M157" s="4" t="str">
        <f t="shared" si="6"/>
        <v>OK</v>
      </c>
      <c r="N157" s="7">
        <f t="shared" si="7"/>
        <v>2.268804359685221E-3</v>
      </c>
      <c r="O157" s="7">
        <f>SUMIFS($D$2:D157,$B$2:B157,B157)/SUMIFS($D$2:$D$741,$B$2:$B$741,B157)</f>
        <v>0.97867156049538828</v>
      </c>
      <c r="P157" s="4" t="b">
        <f t="shared" si="8"/>
        <v>0</v>
      </c>
      <c r="Q157" s="2"/>
      <c r="R157" s="2"/>
      <c r="S157" s="2"/>
    </row>
    <row r="158" spans="1:19" x14ac:dyDescent="0.45">
      <c r="A158" s="4" t="s">
        <v>201</v>
      </c>
      <c r="B158" s="4" t="s">
        <v>166</v>
      </c>
      <c r="C158" s="5">
        <v>1</v>
      </c>
      <c r="D158" s="5">
        <v>728</v>
      </c>
      <c r="E158" s="5">
        <v>182</v>
      </c>
      <c r="F158" s="5">
        <v>10</v>
      </c>
      <c r="G158" s="5">
        <v>7</v>
      </c>
      <c r="H158" s="5">
        <v>718</v>
      </c>
      <c r="I158" s="6">
        <v>1</v>
      </c>
      <c r="J158" s="6">
        <v>1.6</v>
      </c>
      <c r="K158" s="6">
        <v>2</v>
      </c>
      <c r="L158" s="6">
        <v>2</v>
      </c>
      <c r="M158" s="4" t="str">
        <f t="shared" si="6"/>
        <v>OK</v>
      </c>
      <c r="N158" s="7">
        <f t="shared" si="7"/>
        <v>2.0366085990762527E-3</v>
      </c>
      <c r="O158" s="7">
        <f>SUMIFS($D$2:D158,$B$2:B158,B158)/SUMIFS($D$2:$D$741,$B$2:$B$741,B158)</f>
        <v>0.98070816909446445</v>
      </c>
      <c r="P158" s="4" t="b">
        <f t="shared" si="8"/>
        <v>0</v>
      </c>
      <c r="Q158" s="2"/>
      <c r="R158" s="2"/>
      <c r="S158" s="2"/>
    </row>
    <row r="159" spans="1:19" x14ac:dyDescent="0.45">
      <c r="A159" s="4" t="s">
        <v>202</v>
      </c>
      <c r="B159" s="4" t="s">
        <v>166</v>
      </c>
      <c r="C159" s="5">
        <v>2</v>
      </c>
      <c r="D159" s="5">
        <v>651</v>
      </c>
      <c r="E159" s="5">
        <v>116</v>
      </c>
      <c r="F159" s="5">
        <v>9</v>
      </c>
      <c r="G159" s="5">
        <v>5</v>
      </c>
      <c r="H159" s="5">
        <v>642</v>
      </c>
      <c r="I159" s="6">
        <v>12</v>
      </c>
      <c r="J159" s="6">
        <v>28.9</v>
      </c>
      <c r="K159" s="6">
        <v>48</v>
      </c>
      <c r="L159" s="6">
        <v>48</v>
      </c>
      <c r="M159" s="4" t="str">
        <f t="shared" si="6"/>
        <v>OK</v>
      </c>
      <c r="N159" s="7">
        <f t="shared" si="7"/>
        <v>1.8211980741739567E-3</v>
      </c>
      <c r="O159" s="7">
        <f>SUMIFS($D$2:D159,$B$2:B159,B159)/SUMIFS($D$2:$D$741,$B$2:$B$741,B159)</f>
        <v>0.98252936716863848</v>
      </c>
      <c r="P159" s="4" t="b">
        <f t="shared" si="8"/>
        <v>0</v>
      </c>
      <c r="Q159" s="2"/>
      <c r="R159" s="2"/>
      <c r="S159" s="2"/>
    </row>
    <row r="160" spans="1:19" x14ac:dyDescent="0.45">
      <c r="A160" s="4" t="s">
        <v>203</v>
      </c>
      <c r="B160" s="4" t="s">
        <v>166</v>
      </c>
      <c r="C160" s="5">
        <v>2</v>
      </c>
      <c r="D160" s="5">
        <v>619</v>
      </c>
      <c r="E160" s="5">
        <v>121</v>
      </c>
      <c r="F160" s="5">
        <v>0</v>
      </c>
      <c r="G160" s="5">
        <v>0</v>
      </c>
      <c r="H160" s="5">
        <v>619</v>
      </c>
      <c r="I160" s="6">
        <v>2</v>
      </c>
      <c r="J160" s="6">
        <v>5.3</v>
      </c>
      <c r="K160" s="6">
        <v>12</v>
      </c>
      <c r="L160" s="6">
        <v>12</v>
      </c>
      <c r="M160" s="4" t="str">
        <f t="shared" si="6"/>
        <v>OK</v>
      </c>
      <c r="N160" s="7">
        <f t="shared" si="7"/>
        <v>1.7316768170717038E-3</v>
      </c>
      <c r="O160" s="7">
        <f>SUMIFS($D$2:D160,$B$2:B160,B160)/SUMIFS($D$2:$D$741,$B$2:$B$741,B160)</f>
        <v>0.98426104398571013</v>
      </c>
      <c r="P160" s="4" t="b">
        <f t="shared" si="8"/>
        <v>0</v>
      </c>
      <c r="Q160" s="2"/>
      <c r="R160" s="2"/>
      <c r="S160" s="2"/>
    </row>
    <row r="161" spans="1:19" x14ac:dyDescent="0.45">
      <c r="A161" s="4" t="s">
        <v>204</v>
      </c>
      <c r="B161" s="4" t="s">
        <v>166</v>
      </c>
      <c r="C161" s="5">
        <v>2</v>
      </c>
      <c r="D161" s="5">
        <v>474</v>
      </c>
      <c r="E161" s="5">
        <v>0</v>
      </c>
      <c r="F161" s="5">
        <v>13</v>
      </c>
      <c r="G161" s="5">
        <v>13</v>
      </c>
      <c r="H161" s="5">
        <v>461</v>
      </c>
      <c r="I161" s="6">
        <v>36</v>
      </c>
      <c r="J161" s="6">
        <v>46.1</v>
      </c>
      <c r="K161" s="6">
        <v>99</v>
      </c>
      <c r="L161" s="6">
        <v>99</v>
      </c>
      <c r="M161" s="4" t="str">
        <f t="shared" si="6"/>
        <v>OK</v>
      </c>
      <c r="N161" s="7">
        <f t="shared" si="7"/>
        <v>1.3260336208271205E-3</v>
      </c>
      <c r="O161" s="7">
        <f>SUMIFS($D$2:D161,$B$2:B161,B161)/SUMIFS($D$2:$D$741,$B$2:$B$741,B161)</f>
        <v>0.9855870776065373</v>
      </c>
      <c r="P161" s="4" t="b">
        <f t="shared" si="8"/>
        <v>0</v>
      </c>
      <c r="Q161" s="2"/>
      <c r="R161" s="2"/>
      <c r="S161" s="2"/>
    </row>
    <row r="162" spans="1:19" x14ac:dyDescent="0.45">
      <c r="A162" s="4" t="s">
        <v>205</v>
      </c>
      <c r="B162" s="4" t="s">
        <v>166</v>
      </c>
      <c r="C162" s="5">
        <v>1</v>
      </c>
      <c r="D162" s="5">
        <v>416</v>
      </c>
      <c r="E162" s="5">
        <v>0</v>
      </c>
      <c r="F162" s="5">
        <v>0</v>
      </c>
      <c r="G162" s="5">
        <v>0</v>
      </c>
      <c r="H162" s="5">
        <v>416</v>
      </c>
      <c r="I162" s="6">
        <v>1</v>
      </c>
      <c r="J162" s="6">
        <v>1</v>
      </c>
      <c r="K162" s="6">
        <v>2</v>
      </c>
      <c r="L162" s="6">
        <v>2</v>
      </c>
      <c r="M162" s="4" t="str">
        <f t="shared" si="6"/>
        <v>OK</v>
      </c>
      <c r="N162" s="7">
        <f t="shared" si="7"/>
        <v>1.1637763423292871E-3</v>
      </c>
      <c r="O162" s="7">
        <f>SUMIFS($D$2:D162,$B$2:B162,B162)/SUMIFS($D$2:$D$741,$B$2:$B$741,B162)</f>
        <v>0.98675085394886652</v>
      </c>
      <c r="P162" s="4" t="b">
        <f t="shared" si="8"/>
        <v>0</v>
      </c>
      <c r="Q162" s="2"/>
      <c r="R162" s="2"/>
      <c r="S162" s="2"/>
    </row>
    <row r="163" spans="1:19" x14ac:dyDescent="0.45">
      <c r="A163" s="4" t="s">
        <v>206</v>
      </c>
      <c r="B163" s="4" t="s">
        <v>166</v>
      </c>
      <c r="C163" s="5">
        <v>2</v>
      </c>
      <c r="D163" s="5">
        <v>403</v>
      </c>
      <c r="E163" s="5">
        <v>87</v>
      </c>
      <c r="F163" s="5">
        <v>19</v>
      </c>
      <c r="G163" s="5">
        <v>10</v>
      </c>
      <c r="H163" s="5">
        <v>384</v>
      </c>
      <c r="I163" s="6">
        <v>29</v>
      </c>
      <c r="J163" s="6">
        <v>58.5</v>
      </c>
      <c r="K163" s="6">
        <v>174</v>
      </c>
      <c r="L163" s="6">
        <v>174</v>
      </c>
      <c r="M163" s="4" t="str">
        <f t="shared" si="6"/>
        <v>OK</v>
      </c>
      <c r="N163" s="7">
        <f t="shared" si="7"/>
        <v>1.1274083316314969E-3</v>
      </c>
      <c r="O163" s="7">
        <f>SUMIFS($D$2:D163,$B$2:B163,B163)/SUMIFS($D$2:$D$741,$B$2:$B$741,B163)</f>
        <v>0.98787826228049802</v>
      </c>
      <c r="P163" s="4" t="b">
        <f t="shared" si="8"/>
        <v>0</v>
      </c>
      <c r="Q163" s="2"/>
      <c r="R163" s="2"/>
      <c r="S163" s="2"/>
    </row>
    <row r="164" spans="1:19" x14ac:dyDescent="0.45">
      <c r="A164" s="4" t="s">
        <v>207</v>
      </c>
      <c r="B164" s="4" t="s">
        <v>166</v>
      </c>
      <c r="C164" s="5">
        <v>1</v>
      </c>
      <c r="D164" s="5">
        <v>393</v>
      </c>
      <c r="E164" s="5">
        <v>0</v>
      </c>
      <c r="F164" s="5">
        <v>23</v>
      </c>
      <c r="G164" s="5">
        <v>23</v>
      </c>
      <c r="H164" s="5">
        <v>370</v>
      </c>
      <c r="I164" s="6">
        <v>33</v>
      </c>
      <c r="J164" s="6">
        <v>49.5</v>
      </c>
      <c r="K164" s="6">
        <v>98</v>
      </c>
      <c r="L164" s="6">
        <v>98.1</v>
      </c>
      <c r="M164" s="4" t="str">
        <f t="shared" si="6"/>
        <v>OK</v>
      </c>
      <c r="N164" s="7">
        <f t="shared" si="7"/>
        <v>1.0994329387870429E-3</v>
      </c>
      <c r="O164" s="7">
        <f>SUMIFS($D$2:D164,$B$2:B164,B164)/SUMIFS($D$2:$D$741,$B$2:$B$741,B164)</f>
        <v>0.98897769521928514</v>
      </c>
      <c r="P164" s="4" t="b">
        <f t="shared" si="8"/>
        <v>0</v>
      </c>
      <c r="Q164" s="2"/>
      <c r="R164" s="2"/>
      <c r="S164" s="2"/>
    </row>
    <row r="165" spans="1:19" x14ac:dyDescent="0.45">
      <c r="A165" s="4" t="s">
        <v>208</v>
      </c>
      <c r="B165" s="4" t="s">
        <v>166</v>
      </c>
      <c r="C165" s="5">
        <v>1</v>
      </c>
      <c r="D165" s="5">
        <v>308</v>
      </c>
      <c r="E165" s="5">
        <v>76</v>
      </c>
      <c r="F165" s="5">
        <v>5</v>
      </c>
      <c r="G165" s="5">
        <v>2</v>
      </c>
      <c r="H165" s="5">
        <v>303</v>
      </c>
      <c r="I165" s="6">
        <v>4</v>
      </c>
      <c r="J165" s="6">
        <v>22.5</v>
      </c>
      <c r="K165" s="6">
        <v>37</v>
      </c>
      <c r="L165" s="6">
        <v>37.4</v>
      </c>
      <c r="M165" s="4" t="str">
        <f t="shared" si="6"/>
        <v>OK</v>
      </c>
      <c r="N165" s="7">
        <f t="shared" si="7"/>
        <v>8.6164209960918378E-4</v>
      </c>
      <c r="O165" s="7">
        <f>SUMIFS($D$2:D165,$B$2:B165,B165)/SUMIFS($D$2:$D$741,$B$2:$B$741,B165)</f>
        <v>0.98983933731889429</v>
      </c>
      <c r="P165" s="4" t="b">
        <f t="shared" si="8"/>
        <v>0</v>
      </c>
      <c r="Q165" s="2"/>
      <c r="R165" s="2"/>
      <c r="S165" s="2"/>
    </row>
    <row r="166" spans="1:19" x14ac:dyDescent="0.45">
      <c r="A166" s="4" t="s">
        <v>209</v>
      </c>
      <c r="B166" s="4" t="s">
        <v>166</v>
      </c>
      <c r="C166" s="5">
        <v>1</v>
      </c>
      <c r="D166" s="5">
        <v>284</v>
      </c>
      <c r="E166" s="5">
        <v>48</v>
      </c>
      <c r="F166" s="5">
        <v>0</v>
      </c>
      <c r="G166" s="5">
        <v>0</v>
      </c>
      <c r="H166" s="5">
        <v>284</v>
      </c>
      <c r="I166" s="6">
        <v>4</v>
      </c>
      <c r="J166" s="6">
        <v>35.6</v>
      </c>
      <c r="K166" s="6">
        <v>115</v>
      </c>
      <c r="L166" s="6">
        <v>114.7</v>
      </c>
      <c r="M166" s="4" t="str">
        <f t="shared" si="6"/>
        <v>OK</v>
      </c>
      <c r="N166" s="7">
        <f t="shared" si="7"/>
        <v>7.9450115678249408E-4</v>
      </c>
      <c r="O166" s="7">
        <f>SUMIFS($D$2:D166,$B$2:B166,B166)/SUMIFS($D$2:$D$741,$B$2:$B$741,B166)</f>
        <v>0.99063383847567676</v>
      </c>
      <c r="P166" s="4" t="b">
        <f t="shared" si="8"/>
        <v>0</v>
      </c>
      <c r="Q166" s="2"/>
      <c r="R166" s="2"/>
      <c r="S166" s="2"/>
    </row>
    <row r="167" spans="1:19" x14ac:dyDescent="0.45">
      <c r="A167" s="4" t="s">
        <v>210</v>
      </c>
      <c r="B167" s="4" t="s">
        <v>166</v>
      </c>
      <c r="C167" s="5">
        <v>1</v>
      </c>
      <c r="D167" s="5">
        <v>273</v>
      </c>
      <c r="E167" s="5">
        <v>0</v>
      </c>
      <c r="F167" s="5">
        <v>1</v>
      </c>
      <c r="G167" s="5">
        <v>1</v>
      </c>
      <c r="H167" s="5">
        <v>272</v>
      </c>
      <c r="I167" s="6">
        <v>24</v>
      </c>
      <c r="J167" s="6">
        <v>30</v>
      </c>
      <c r="K167" s="6">
        <v>48</v>
      </c>
      <c r="L167" s="6">
        <v>48</v>
      </c>
      <c r="M167" s="4" t="str">
        <f t="shared" si="6"/>
        <v>OK</v>
      </c>
      <c r="N167" s="7">
        <f t="shared" si="7"/>
        <v>7.6372822465359475E-4</v>
      </c>
      <c r="O167" s="7">
        <f>SUMIFS($D$2:D167,$B$2:B167,B167)/SUMIFS($D$2:$D$741,$B$2:$B$741,B167)</f>
        <v>0.99139756670033041</v>
      </c>
      <c r="P167" s="4" t="b">
        <f t="shared" si="8"/>
        <v>0</v>
      </c>
      <c r="Q167" s="2"/>
      <c r="R167" s="2"/>
      <c r="S167" s="2"/>
    </row>
    <row r="168" spans="1:19" x14ac:dyDescent="0.45">
      <c r="A168" s="4" t="s">
        <v>211</v>
      </c>
      <c r="B168" s="4" t="s">
        <v>166</v>
      </c>
      <c r="C168" s="5">
        <v>2</v>
      </c>
      <c r="D168" s="5">
        <v>259</v>
      </c>
      <c r="E168" s="5">
        <v>52</v>
      </c>
      <c r="F168" s="5">
        <v>0</v>
      </c>
      <c r="G168" s="5">
        <v>0</v>
      </c>
      <c r="H168" s="5">
        <v>259</v>
      </c>
      <c r="I168" s="6">
        <v>2</v>
      </c>
      <c r="J168" s="6">
        <v>6.3</v>
      </c>
      <c r="K168" s="6">
        <v>12</v>
      </c>
      <c r="L168" s="6">
        <v>12</v>
      </c>
      <c r="M168" s="4" t="str">
        <f t="shared" si="6"/>
        <v>OK</v>
      </c>
      <c r="N168" s="7">
        <f t="shared" si="7"/>
        <v>7.2456267467135903E-4</v>
      </c>
      <c r="O168" s="7">
        <f>SUMIFS($D$2:D168,$B$2:B168,B168)/SUMIFS($D$2:$D$741,$B$2:$B$741,B168)</f>
        <v>0.99212212937500177</v>
      </c>
      <c r="P168" s="4" t="b">
        <f t="shared" si="8"/>
        <v>0</v>
      </c>
      <c r="Q168" s="2"/>
      <c r="R168" s="2"/>
      <c r="S168" s="2"/>
    </row>
    <row r="169" spans="1:19" x14ac:dyDescent="0.45">
      <c r="A169" s="4" t="s">
        <v>212</v>
      </c>
      <c r="B169" s="4" t="s">
        <v>166</v>
      </c>
      <c r="C169" s="5">
        <v>2</v>
      </c>
      <c r="D169" s="5">
        <v>254</v>
      </c>
      <c r="E169" s="5">
        <v>34</v>
      </c>
      <c r="F169" s="5">
        <v>2</v>
      </c>
      <c r="G169" s="5">
        <v>2</v>
      </c>
      <c r="H169" s="5">
        <v>252</v>
      </c>
      <c r="I169" s="6">
        <v>0</v>
      </c>
      <c r="J169" s="6">
        <v>2.1</v>
      </c>
      <c r="K169" s="6">
        <v>1</v>
      </c>
      <c r="L169" s="6">
        <v>1</v>
      </c>
      <c r="M169" s="4" t="str">
        <f t="shared" si="6"/>
        <v>OK</v>
      </c>
      <c r="N169" s="7">
        <f t="shared" si="7"/>
        <v>7.1057497824913204E-4</v>
      </c>
      <c r="O169" s="7">
        <f>SUMIFS($D$2:D169,$B$2:B169,B169)/SUMIFS($D$2:$D$741,$B$2:$B$741,B169)</f>
        <v>0.99283270435325088</v>
      </c>
      <c r="P169" s="4" t="b">
        <f t="shared" si="8"/>
        <v>0</v>
      </c>
      <c r="Q169" s="2"/>
      <c r="R169" s="2"/>
      <c r="S169" s="2"/>
    </row>
    <row r="170" spans="1:19" x14ac:dyDescent="0.45">
      <c r="A170" s="4" t="s">
        <v>213</v>
      </c>
      <c r="B170" s="4" t="s">
        <v>166</v>
      </c>
      <c r="C170" s="5">
        <v>2</v>
      </c>
      <c r="D170" s="5">
        <v>244</v>
      </c>
      <c r="E170" s="5">
        <v>53</v>
      </c>
      <c r="F170" s="5">
        <v>1</v>
      </c>
      <c r="G170" s="5">
        <v>1</v>
      </c>
      <c r="H170" s="5">
        <v>243</v>
      </c>
      <c r="I170" s="6">
        <v>0</v>
      </c>
      <c r="J170" s="6">
        <v>2.6</v>
      </c>
      <c r="K170" s="6">
        <v>8</v>
      </c>
      <c r="L170" s="6">
        <v>8</v>
      </c>
      <c r="M170" s="4" t="str">
        <f t="shared" si="6"/>
        <v>OK</v>
      </c>
      <c r="N170" s="7">
        <f t="shared" si="7"/>
        <v>6.8259958540467806E-4</v>
      </c>
      <c r="O170" s="7">
        <f>SUMIFS($D$2:D170,$B$2:B170,B170)/SUMIFS($D$2:$D$741,$B$2:$B$741,B170)</f>
        <v>0.99351530393865561</v>
      </c>
      <c r="P170" s="4" t="b">
        <f t="shared" si="8"/>
        <v>0</v>
      </c>
      <c r="Q170" s="2"/>
      <c r="R170" s="2"/>
      <c r="S170" s="2"/>
    </row>
    <row r="171" spans="1:19" x14ac:dyDescent="0.45">
      <c r="A171" s="4" t="s">
        <v>214</v>
      </c>
      <c r="B171" s="4" t="s">
        <v>166</v>
      </c>
      <c r="C171" s="5">
        <v>1</v>
      </c>
      <c r="D171" s="5">
        <v>231</v>
      </c>
      <c r="E171" s="5">
        <v>0</v>
      </c>
      <c r="F171" s="5">
        <v>0</v>
      </c>
      <c r="G171" s="5">
        <v>0</v>
      </c>
      <c r="H171" s="5">
        <v>231</v>
      </c>
      <c r="I171" s="6">
        <v>2</v>
      </c>
      <c r="J171" s="6">
        <v>5.8</v>
      </c>
      <c r="K171" s="6">
        <v>11</v>
      </c>
      <c r="L171" s="6">
        <v>11</v>
      </c>
      <c r="M171" s="4" t="str">
        <f t="shared" si="6"/>
        <v>OK</v>
      </c>
      <c r="N171" s="7">
        <f t="shared" si="7"/>
        <v>6.4623157470688781E-4</v>
      </c>
      <c r="O171" s="7">
        <f>SUMIFS($D$2:D171,$B$2:B171,B171)/SUMIFS($D$2:$D$741,$B$2:$B$741,B171)</f>
        <v>0.99416153551336239</v>
      </c>
      <c r="P171" s="4" t="b">
        <f t="shared" si="8"/>
        <v>0</v>
      </c>
      <c r="Q171" s="2"/>
      <c r="R171" s="2"/>
      <c r="S171" s="2"/>
    </row>
    <row r="172" spans="1:19" x14ac:dyDescent="0.45">
      <c r="A172" s="4" t="s">
        <v>215</v>
      </c>
      <c r="B172" s="4" t="s">
        <v>166</v>
      </c>
      <c r="C172" s="5">
        <v>2</v>
      </c>
      <c r="D172" s="5">
        <v>209</v>
      </c>
      <c r="E172" s="5">
        <v>60</v>
      </c>
      <c r="F172" s="5">
        <v>2</v>
      </c>
      <c r="G172" s="5">
        <v>1</v>
      </c>
      <c r="H172" s="5">
        <v>207</v>
      </c>
      <c r="I172" s="6">
        <v>1</v>
      </c>
      <c r="J172" s="6">
        <v>2.4</v>
      </c>
      <c r="K172" s="6">
        <v>8</v>
      </c>
      <c r="L172" s="6">
        <v>8</v>
      </c>
      <c r="M172" s="4" t="str">
        <f t="shared" si="6"/>
        <v>OK</v>
      </c>
      <c r="N172" s="7">
        <f t="shared" si="7"/>
        <v>5.8468571044908903E-4</v>
      </c>
      <c r="O172" s="7">
        <f>SUMIFS($D$2:D172,$B$2:B172,B172)/SUMIFS($D$2:$D$741,$B$2:$B$741,B172)</f>
        <v>0.99474622122381151</v>
      </c>
      <c r="P172" s="4" t="b">
        <f t="shared" si="8"/>
        <v>0</v>
      </c>
      <c r="Q172" s="2"/>
      <c r="R172" s="2"/>
      <c r="S172" s="2"/>
    </row>
    <row r="173" spans="1:19" x14ac:dyDescent="0.45">
      <c r="A173" s="4" t="s">
        <v>216</v>
      </c>
      <c r="B173" s="4" t="s">
        <v>166</v>
      </c>
      <c r="C173" s="5">
        <v>2</v>
      </c>
      <c r="D173" s="5">
        <v>201</v>
      </c>
      <c r="E173" s="5">
        <v>59</v>
      </c>
      <c r="F173" s="5">
        <v>5</v>
      </c>
      <c r="G173" s="5">
        <v>5</v>
      </c>
      <c r="H173" s="5">
        <v>196</v>
      </c>
      <c r="I173" s="6">
        <v>1</v>
      </c>
      <c r="J173" s="6">
        <v>3.1</v>
      </c>
      <c r="K173" s="6">
        <v>8</v>
      </c>
      <c r="L173" s="6">
        <v>8</v>
      </c>
      <c r="M173" s="4" t="str">
        <f t="shared" si="6"/>
        <v>OK</v>
      </c>
      <c r="N173" s="7">
        <f t="shared" si="7"/>
        <v>5.6230539617352577E-4</v>
      </c>
      <c r="O173" s="7">
        <f>SUMIFS($D$2:D173,$B$2:B173,B173)/SUMIFS($D$2:$D$741,$B$2:$B$741,B173)</f>
        <v>0.99530852661998503</v>
      </c>
      <c r="P173" s="4" t="b">
        <f t="shared" si="8"/>
        <v>0</v>
      </c>
      <c r="Q173" s="2"/>
      <c r="R173" s="2"/>
      <c r="S173" s="2"/>
    </row>
    <row r="174" spans="1:19" x14ac:dyDescent="0.45">
      <c r="A174" s="4" t="s">
        <v>217</v>
      </c>
      <c r="B174" s="4" t="s">
        <v>166</v>
      </c>
      <c r="C174" s="5">
        <v>1</v>
      </c>
      <c r="D174" s="5">
        <v>187</v>
      </c>
      <c r="E174" s="5">
        <v>51</v>
      </c>
      <c r="F174" s="5">
        <v>25</v>
      </c>
      <c r="G174" s="5">
        <v>14</v>
      </c>
      <c r="H174" s="5">
        <v>162</v>
      </c>
      <c r="I174" s="6">
        <v>119.5</v>
      </c>
      <c r="J174" s="6">
        <v>116.2</v>
      </c>
      <c r="K174" s="6">
        <v>238</v>
      </c>
      <c r="L174" s="6">
        <v>237.8</v>
      </c>
      <c r="M174" s="4" t="str">
        <f t="shared" si="6"/>
        <v>OK</v>
      </c>
      <c r="N174" s="7">
        <f t="shared" si="7"/>
        <v>5.2313984619129015E-4</v>
      </c>
      <c r="O174" s="7">
        <f>SUMIFS($D$2:D174,$B$2:B174,B174)/SUMIFS($D$2:$D$741,$B$2:$B$741,B174)</f>
        <v>0.99583166646617638</v>
      </c>
      <c r="P174" s="4" t="b">
        <f t="shared" si="8"/>
        <v>0</v>
      </c>
      <c r="Q174" s="2"/>
      <c r="R174" s="2"/>
      <c r="S174" s="2"/>
    </row>
    <row r="175" spans="1:19" x14ac:dyDescent="0.45">
      <c r="A175" s="4" t="s">
        <v>218</v>
      </c>
      <c r="B175" s="4" t="s">
        <v>166</v>
      </c>
      <c r="C175" s="5">
        <v>2</v>
      </c>
      <c r="D175" s="5">
        <v>165</v>
      </c>
      <c r="E175" s="5">
        <v>32</v>
      </c>
      <c r="F175" s="5">
        <v>1</v>
      </c>
      <c r="G175" s="5">
        <v>0</v>
      </c>
      <c r="H175" s="5">
        <v>164</v>
      </c>
      <c r="I175" s="6">
        <v>0</v>
      </c>
      <c r="J175" s="6">
        <v>4.5</v>
      </c>
      <c r="K175" s="6">
        <v>6</v>
      </c>
      <c r="L175" s="6">
        <v>5.7</v>
      </c>
      <c r="M175" s="4" t="str">
        <f t="shared" si="6"/>
        <v>OK</v>
      </c>
      <c r="N175" s="7">
        <f t="shared" si="7"/>
        <v>4.6159398193349127E-4</v>
      </c>
      <c r="O175" s="7">
        <f>SUMIFS($D$2:D175,$B$2:B175,B175)/SUMIFS($D$2:$D$741,$B$2:$B$741,B175)</f>
        <v>0.99629326044810984</v>
      </c>
      <c r="P175" s="4" t="b">
        <f t="shared" si="8"/>
        <v>0</v>
      </c>
      <c r="Q175" s="2"/>
      <c r="R175" s="2"/>
      <c r="S175" s="2"/>
    </row>
    <row r="176" spans="1:19" x14ac:dyDescent="0.45">
      <c r="A176" s="4" t="s">
        <v>219</v>
      </c>
      <c r="B176" s="4" t="s">
        <v>166</v>
      </c>
      <c r="C176" s="5">
        <v>2</v>
      </c>
      <c r="D176" s="5">
        <v>123</v>
      </c>
      <c r="E176" s="5">
        <v>22</v>
      </c>
      <c r="F176" s="5">
        <v>0</v>
      </c>
      <c r="G176" s="5">
        <v>0</v>
      </c>
      <c r="H176" s="5">
        <v>123</v>
      </c>
      <c r="I176" s="6">
        <v>2</v>
      </c>
      <c r="J176" s="6">
        <v>5.8</v>
      </c>
      <c r="K176" s="6">
        <v>12</v>
      </c>
      <c r="L176" s="6">
        <v>12</v>
      </c>
      <c r="M176" s="4" t="str">
        <f t="shared" si="6"/>
        <v>OK</v>
      </c>
      <c r="N176" s="7">
        <f t="shared" si="7"/>
        <v>3.4409733198678444E-4</v>
      </c>
      <c r="O176" s="7">
        <f>SUMIFS($D$2:D176,$B$2:B176,B176)/SUMIFS($D$2:$D$741,$B$2:$B$741,B176)</f>
        <v>0.99663735778009666</v>
      </c>
      <c r="P176" s="4" t="b">
        <f t="shared" si="8"/>
        <v>0</v>
      </c>
      <c r="Q176" s="2"/>
      <c r="R176" s="2"/>
      <c r="S176" s="2"/>
    </row>
    <row r="177" spans="1:19" x14ac:dyDescent="0.45">
      <c r="A177" s="4" t="s">
        <v>220</v>
      </c>
      <c r="B177" s="4" t="s">
        <v>166</v>
      </c>
      <c r="C177" s="5">
        <v>2</v>
      </c>
      <c r="D177" s="5">
        <v>120</v>
      </c>
      <c r="E177" s="5">
        <v>16</v>
      </c>
      <c r="F177" s="5">
        <v>0</v>
      </c>
      <c r="G177" s="5">
        <v>0</v>
      </c>
      <c r="H177" s="5">
        <v>120</v>
      </c>
      <c r="I177" s="6">
        <v>3</v>
      </c>
      <c r="J177" s="6">
        <v>7.8</v>
      </c>
      <c r="K177" s="6">
        <v>15</v>
      </c>
      <c r="L177" s="6">
        <v>15.4</v>
      </c>
      <c r="M177" s="4" t="str">
        <f t="shared" si="6"/>
        <v>OK</v>
      </c>
      <c r="N177" s="7">
        <f t="shared" si="7"/>
        <v>3.3570471413344821E-4</v>
      </c>
      <c r="O177" s="7">
        <f>SUMIFS($D$2:D177,$B$2:B177,B177)/SUMIFS($D$2:$D$741,$B$2:$B$741,B177)</f>
        <v>0.99697306249423012</v>
      </c>
      <c r="P177" s="4" t="b">
        <f t="shared" si="8"/>
        <v>0</v>
      </c>
      <c r="Q177" s="2"/>
      <c r="R177" s="2"/>
      <c r="S177" s="2"/>
    </row>
    <row r="178" spans="1:19" x14ac:dyDescent="0.45">
      <c r="A178" s="4" t="s">
        <v>221</v>
      </c>
      <c r="B178" s="4" t="s">
        <v>166</v>
      </c>
      <c r="C178" s="5">
        <v>1</v>
      </c>
      <c r="D178" s="5">
        <v>116</v>
      </c>
      <c r="E178" s="5">
        <v>20</v>
      </c>
      <c r="F178" s="5">
        <v>1</v>
      </c>
      <c r="G178" s="5">
        <v>1</v>
      </c>
      <c r="H178" s="5">
        <v>115</v>
      </c>
      <c r="I178" s="6">
        <v>1</v>
      </c>
      <c r="J178" s="6">
        <v>6.7</v>
      </c>
      <c r="K178" s="6">
        <v>8</v>
      </c>
      <c r="L178" s="6">
        <v>7.6</v>
      </c>
      <c r="M178" s="4" t="str">
        <f t="shared" si="6"/>
        <v>OK</v>
      </c>
      <c r="N178" s="7">
        <f t="shared" si="7"/>
        <v>3.2451455699566663E-4</v>
      </c>
      <c r="O178" s="7">
        <f>SUMIFS($D$2:D178,$B$2:B178,B178)/SUMIFS($D$2:$D$741,$B$2:$B$741,B178)</f>
        <v>0.99729757705122579</v>
      </c>
      <c r="P178" s="4" t="b">
        <f t="shared" si="8"/>
        <v>0</v>
      </c>
      <c r="Q178" s="2"/>
      <c r="R178" s="2"/>
      <c r="S178" s="2"/>
    </row>
    <row r="179" spans="1:19" x14ac:dyDescent="0.45">
      <c r="A179" s="4" t="s">
        <v>222</v>
      </c>
      <c r="B179" s="4" t="s">
        <v>166</v>
      </c>
      <c r="C179" s="5">
        <v>2</v>
      </c>
      <c r="D179" s="5">
        <v>101</v>
      </c>
      <c r="E179" s="5">
        <v>27</v>
      </c>
      <c r="F179" s="5">
        <v>0</v>
      </c>
      <c r="G179" s="5">
        <v>0</v>
      </c>
      <c r="H179" s="5">
        <v>101</v>
      </c>
      <c r="I179" s="6">
        <v>3</v>
      </c>
      <c r="J179" s="6">
        <v>3.7</v>
      </c>
      <c r="K179" s="6">
        <v>7</v>
      </c>
      <c r="L179" s="6">
        <v>7</v>
      </c>
      <c r="M179" s="4" t="str">
        <f t="shared" si="6"/>
        <v>OK</v>
      </c>
      <c r="N179" s="7">
        <f t="shared" si="7"/>
        <v>2.8255146772898556E-4</v>
      </c>
      <c r="O179" s="7">
        <f>SUMIFS($D$2:D179,$B$2:B179,B179)/SUMIFS($D$2:$D$741,$B$2:$B$741,B179)</f>
        <v>0.99758012851895472</v>
      </c>
      <c r="P179" s="4" t="b">
        <f t="shared" si="8"/>
        <v>0</v>
      </c>
      <c r="Q179" s="2"/>
      <c r="R179" s="2"/>
      <c r="S179" s="2"/>
    </row>
    <row r="180" spans="1:19" x14ac:dyDescent="0.45">
      <c r="A180" s="4" t="s">
        <v>223</v>
      </c>
      <c r="B180" s="4" t="s">
        <v>166</v>
      </c>
      <c r="C180" s="5">
        <v>2</v>
      </c>
      <c r="D180" s="5">
        <v>97</v>
      </c>
      <c r="E180" s="5">
        <v>24</v>
      </c>
      <c r="F180" s="5">
        <v>0</v>
      </c>
      <c r="G180" s="5">
        <v>0</v>
      </c>
      <c r="H180" s="5">
        <v>97</v>
      </c>
      <c r="I180" s="6">
        <v>0</v>
      </c>
      <c r="J180" s="6">
        <v>10.5</v>
      </c>
      <c r="K180" s="6">
        <v>28</v>
      </c>
      <c r="L180" s="6">
        <v>28.2</v>
      </c>
      <c r="M180" s="4" t="str">
        <f t="shared" si="6"/>
        <v>OK</v>
      </c>
      <c r="N180" s="7">
        <f t="shared" si="7"/>
        <v>2.7136131059120398E-4</v>
      </c>
      <c r="O180" s="7">
        <f>SUMIFS($D$2:D180,$B$2:B180,B180)/SUMIFS($D$2:$D$741,$B$2:$B$741,B180)</f>
        <v>0.99785148982954597</v>
      </c>
      <c r="P180" s="4" t="b">
        <f t="shared" si="8"/>
        <v>0</v>
      </c>
      <c r="Q180" s="2"/>
      <c r="R180" s="2"/>
      <c r="S180" s="2"/>
    </row>
    <row r="181" spans="1:19" x14ac:dyDescent="0.45">
      <c r="A181" s="4" t="s">
        <v>224</v>
      </c>
      <c r="B181" s="4" t="s">
        <v>166</v>
      </c>
      <c r="C181" s="5">
        <v>2</v>
      </c>
      <c r="D181" s="5">
        <v>83</v>
      </c>
      <c r="E181" s="5">
        <v>0</v>
      </c>
      <c r="F181" s="5">
        <v>1</v>
      </c>
      <c r="G181" s="5">
        <v>1</v>
      </c>
      <c r="H181" s="5">
        <v>82</v>
      </c>
      <c r="I181" s="6">
        <v>28.5</v>
      </c>
      <c r="J181" s="6">
        <v>37</v>
      </c>
      <c r="K181" s="6">
        <v>81</v>
      </c>
      <c r="L181" s="6">
        <v>80.8</v>
      </c>
      <c r="M181" s="4" t="str">
        <f t="shared" si="6"/>
        <v>OK</v>
      </c>
      <c r="N181" s="7">
        <f t="shared" si="7"/>
        <v>2.3219576060896834E-4</v>
      </c>
      <c r="O181" s="7">
        <f>SUMIFS($D$2:D181,$B$2:B181,B181)/SUMIFS($D$2:$D$741,$B$2:$B$741,B181)</f>
        <v>0.99808368559015492</v>
      </c>
      <c r="P181" s="4" t="b">
        <f t="shared" si="8"/>
        <v>0</v>
      </c>
      <c r="Q181" s="2"/>
      <c r="R181" s="2"/>
      <c r="S181" s="2"/>
    </row>
    <row r="182" spans="1:19" x14ac:dyDescent="0.45">
      <c r="A182" s="4" t="s">
        <v>225</v>
      </c>
      <c r="B182" s="4" t="s">
        <v>166</v>
      </c>
      <c r="C182" s="5">
        <v>2</v>
      </c>
      <c r="D182" s="5">
        <v>78</v>
      </c>
      <c r="E182" s="5">
        <v>30</v>
      </c>
      <c r="F182" s="5">
        <v>20</v>
      </c>
      <c r="G182" s="5">
        <v>10</v>
      </c>
      <c r="H182" s="5">
        <v>58</v>
      </c>
      <c r="I182" s="6">
        <v>3</v>
      </c>
      <c r="J182" s="6">
        <v>7.8</v>
      </c>
      <c r="K182" s="6">
        <v>26</v>
      </c>
      <c r="L182" s="6">
        <v>26.3</v>
      </c>
      <c r="M182" s="4" t="str">
        <f t="shared" si="6"/>
        <v>OK</v>
      </c>
      <c r="N182" s="7">
        <f t="shared" si="7"/>
        <v>2.1820806418674135E-4</v>
      </c>
      <c r="O182" s="7">
        <f>SUMIFS($D$2:D182,$B$2:B182,B182)/SUMIFS($D$2:$D$741,$B$2:$B$741,B182)</f>
        <v>0.99830189365434163</v>
      </c>
      <c r="P182" s="4" t="b">
        <f t="shared" si="8"/>
        <v>0</v>
      </c>
      <c r="Q182" s="2"/>
      <c r="R182" s="2"/>
      <c r="S182" s="2"/>
    </row>
    <row r="183" spans="1:19" x14ac:dyDescent="0.45">
      <c r="A183" s="4" t="s">
        <v>226</v>
      </c>
      <c r="B183" s="4" t="s">
        <v>166</v>
      </c>
      <c r="C183" s="5">
        <v>2</v>
      </c>
      <c r="D183" s="5">
        <v>73</v>
      </c>
      <c r="E183" s="5">
        <v>11</v>
      </c>
      <c r="F183" s="5">
        <v>0</v>
      </c>
      <c r="G183" s="5">
        <v>0</v>
      </c>
      <c r="H183" s="5">
        <v>73</v>
      </c>
      <c r="I183" s="6">
        <v>4</v>
      </c>
      <c r="J183" s="6">
        <v>7.4</v>
      </c>
      <c r="K183" s="6">
        <v>15</v>
      </c>
      <c r="L183" s="6">
        <v>14.8</v>
      </c>
      <c r="M183" s="4" t="str">
        <f t="shared" si="6"/>
        <v>OK</v>
      </c>
      <c r="N183" s="7">
        <f t="shared" si="7"/>
        <v>2.0422036776451434E-4</v>
      </c>
      <c r="O183" s="7">
        <f>SUMIFS($D$2:D183,$B$2:B183,B183)/SUMIFS($D$2:$D$741,$B$2:$B$741,B183)</f>
        <v>0.99850611402210621</v>
      </c>
      <c r="P183" s="4" t="b">
        <f t="shared" si="8"/>
        <v>0</v>
      </c>
      <c r="Q183" s="2"/>
      <c r="R183" s="2"/>
      <c r="S183" s="2"/>
    </row>
    <row r="184" spans="1:19" x14ac:dyDescent="0.45">
      <c r="A184" s="4" t="s">
        <v>227</v>
      </c>
      <c r="B184" s="4" t="s">
        <v>166</v>
      </c>
      <c r="C184" s="5">
        <v>2</v>
      </c>
      <c r="D184" s="5">
        <v>70</v>
      </c>
      <c r="E184" s="5">
        <v>8</v>
      </c>
      <c r="F184" s="5">
        <v>0</v>
      </c>
      <c r="G184" s="5">
        <v>0</v>
      </c>
      <c r="H184" s="5">
        <v>70</v>
      </c>
      <c r="I184" s="6">
        <v>1</v>
      </c>
      <c r="J184" s="6">
        <v>5.4</v>
      </c>
      <c r="K184" s="6">
        <v>13</v>
      </c>
      <c r="L184" s="6">
        <v>13.3</v>
      </c>
      <c r="M184" s="4" t="str">
        <f t="shared" si="6"/>
        <v>OK</v>
      </c>
      <c r="N184" s="7">
        <f t="shared" si="7"/>
        <v>1.9582774991117814E-4</v>
      </c>
      <c r="O184" s="7">
        <f>SUMIFS($D$2:D184,$B$2:B184,B184)/SUMIFS($D$2:$D$741,$B$2:$B$741,B184)</f>
        <v>0.99870194177201732</v>
      </c>
      <c r="P184" s="4" t="b">
        <f t="shared" si="8"/>
        <v>0</v>
      </c>
      <c r="Q184" s="2"/>
      <c r="R184" s="2"/>
      <c r="S184" s="2"/>
    </row>
    <row r="185" spans="1:19" x14ac:dyDescent="0.45">
      <c r="A185" s="4" t="s">
        <v>228</v>
      </c>
      <c r="B185" s="4" t="s">
        <v>166</v>
      </c>
      <c r="C185" s="5">
        <v>1</v>
      </c>
      <c r="D185" s="5">
        <v>53</v>
      </c>
      <c r="E185" s="5">
        <v>0</v>
      </c>
      <c r="F185" s="5">
        <v>0</v>
      </c>
      <c r="G185" s="5">
        <v>0</v>
      </c>
      <c r="H185" s="5">
        <v>53</v>
      </c>
      <c r="I185" s="6">
        <v>0</v>
      </c>
      <c r="J185" s="6">
        <v>44.8</v>
      </c>
      <c r="K185" s="6">
        <v>130</v>
      </c>
      <c r="L185" s="6">
        <v>130</v>
      </c>
      <c r="M185" s="4" t="str">
        <f t="shared" si="6"/>
        <v>OK</v>
      </c>
      <c r="N185" s="7">
        <f t="shared" si="7"/>
        <v>1.482695820756063E-4</v>
      </c>
      <c r="O185" s="7">
        <f>SUMIFS($D$2:D185,$B$2:B185,B185)/SUMIFS($D$2:$D$741,$B$2:$B$741,B185)</f>
        <v>0.99885021135409291</v>
      </c>
      <c r="P185" s="4" t="b">
        <f t="shared" si="8"/>
        <v>0</v>
      </c>
      <c r="Q185" s="2"/>
      <c r="R185" s="2"/>
      <c r="S185" s="2"/>
    </row>
    <row r="186" spans="1:19" x14ac:dyDescent="0.45">
      <c r="A186" s="4" t="s">
        <v>229</v>
      </c>
      <c r="B186" s="4" t="s">
        <v>166</v>
      </c>
      <c r="C186" s="5">
        <v>1</v>
      </c>
      <c r="D186" s="5">
        <v>50</v>
      </c>
      <c r="E186" s="5">
        <v>0</v>
      </c>
      <c r="F186" s="5">
        <v>0</v>
      </c>
      <c r="G186" s="5">
        <v>0</v>
      </c>
      <c r="H186" s="5">
        <v>50</v>
      </c>
      <c r="I186" s="6">
        <v>0</v>
      </c>
      <c r="J186" s="6">
        <v>0.1</v>
      </c>
      <c r="K186" s="6">
        <v>0</v>
      </c>
      <c r="L186" s="6">
        <v>0</v>
      </c>
      <c r="M186" s="4" t="str">
        <f t="shared" si="6"/>
        <v>OK</v>
      </c>
      <c r="N186" s="7">
        <f t="shared" si="7"/>
        <v>1.398769642222701E-4</v>
      </c>
      <c r="O186" s="7">
        <f>SUMIFS($D$2:D186,$B$2:B186,B186)/SUMIFS($D$2:$D$741,$B$2:$B$741,B186)</f>
        <v>0.99899008831831526</v>
      </c>
      <c r="P186" s="4" t="b">
        <f t="shared" si="8"/>
        <v>0</v>
      </c>
      <c r="Q186" s="2"/>
      <c r="R186" s="2"/>
      <c r="S186" s="2"/>
    </row>
    <row r="187" spans="1:19" x14ac:dyDescent="0.45">
      <c r="A187" s="4" t="s">
        <v>230</v>
      </c>
      <c r="B187" s="4" t="s">
        <v>166</v>
      </c>
      <c r="C187" s="5">
        <v>1</v>
      </c>
      <c r="D187" s="5">
        <v>46</v>
      </c>
      <c r="E187" s="5">
        <v>22</v>
      </c>
      <c r="F187" s="5">
        <v>1</v>
      </c>
      <c r="G187" s="5">
        <v>0</v>
      </c>
      <c r="H187" s="5">
        <v>45</v>
      </c>
      <c r="I187" s="6">
        <v>3</v>
      </c>
      <c r="J187" s="6">
        <v>4.3</v>
      </c>
      <c r="K187" s="6">
        <v>8</v>
      </c>
      <c r="L187" s="6">
        <v>8</v>
      </c>
      <c r="M187" s="4" t="str">
        <f t="shared" si="6"/>
        <v>OK</v>
      </c>
      <c r="N187" s="7">
        <f t="shared" si="7"/>
        <v>1.286868070844885E-4</v>
      </c>
      <c r="O187" s="7">
        <f>SUMIFS($D$2:D187,$B$2:B187,B187)/SUMIFS($D$2:$D$741,$B$2:$B$741,B187)</f>
        <v>0.99911877512539971</v>
      </c>
      <c r="P187" s="4" t="b">
        <f t="shared" si="8"/>
        <v>0</v>
      </c>
      <c r="Q187" s="2"/>
      <c r="R187" s="2"/>
      <c r="S187" s="2"/>
    </row>
    <row r="188" spans="1:19" x14ac:dyDescent="0.45">
      <c r="A188" s="4" t="s">
        <v>231</v>
      </c>
      <c r="B188" s="4" t="s">
        <v>166</v>
      </c>
      <c r="C188" s="5">
        <v>2</v>
      </c>
      <c r="D188" s="5">
        <v>38</v>
      </c>
      <c r="E188" s="5">
        <v>7</v>
      </c>
      <c r="F188" s="5">
        <v>0</v>
      </c>
      <c r="G188" s="5">
        <v>0</v>
      </c>
      <c r="H188" s="5">
        <v>38</v>
      </c>
      <c r="I188" s="6">
        <v>2</v>
      </c>
      <c r="J188" s="6">
        <v>6.7</v>
      </c>
      <c r="K188" s="6">
        <v>18</v>
      </c>
      <c r="L188" s="6">
        <v>17.8</v>
      </c>
      <c r="M188" s="4" t="str">
        <f t="shared" si="6"/>
        <v>OK</v>
      </c>
      <c r="N188" s="7">
        <f t="shared" si="7"/>
        <v>1.0630649280892527E-4</v>
      </c>
      <c r="O188" s="7">
        <f>SUMIFS($D$2:D188,$B$2:B188,B188)/SUMIFS($D$2:$D$741,$B$2:$B$741,B188)</f>
        <v>0.99922508161820867</v>
      </c>
      <c r="P188" s="4" t="b">
        <f t="shared" si="8"/>
        <v>0</v>
      </c>
      <c r="Q188" s="2"/>
      <c r="R188" s="2"/>
      <c r="S188" s="2"/>
    </row>
    <row r="189" spans="1:19" x14ac:dyDescent="0.45">
      <c r="A189" s="4" t="s">
        <v>232</v>
      </c>
      <c r="B189" s="4" t="s">
        <v>166</v>
      </c>
      <c r="C189" s="5">
        <v>2</v>
      </c>
      <c r="D189" s="5">
        <v>35</v>
      </c>
      <c r="E189" s="5">
        <v>0</v>
      </c>
      <c r="F189" s="5">
        <v>0</v>
      </c>
      <c r="G189" s="5">
        <v>0</v>
      </c>
      <c r="H189" s="5">
        <v>35</v>
      </c>
      <c r="I189" s="6">
        <v>1</v>
      </c>
      <c r="J189" s="6">
        <v>2.1</v>
      </c>
      <c r="K189" s="6">
        <v>4</v>
      </c>
      <c r="L189" s="6">
        <v>3.6</v>
      </c>
      <c r="M189" s="4" t="str">
        <f t="shared" si="6"/>
        <v>OK</v>
      </c>
      <c r="N189" s="7">
        <f t="shared" si="7"/>
        <v>9.7913874955589069E-5</v>
      </c>
      <c r="O189" s="7">
        <f>SUMIFS($D$2:D189,$B$2:B189,B189)/SUMIFS($D$2:$D$741,$B$2:$B$741,B189)</f>
        <v>0.99932299549316417</v>
      </c>
      <c r="P189" s="4" t="b">
        <f t="shared" si="8"/>
        <v>0</v>
      </c>
      <c r="Q189" s="2"/>
      <c r="R189" s="2"/>
      <c r="S189" s="2"/>
    </row>
    <row r="190" spans="1:19" x14ac:dyDescent="0.45">
      <c r="A190" s="4" t="s">
        <v>233</v>
      </c>
      <c r="B190" s="4" t="s">
        <v>166</v>
      </c>
      <c r="C190" s="5">
        <v>2</v>
      </c>
      <c r="D190" s="5">
        <v>34</v>
      </c>
      <c r="E190" s="5">
        <v>8</v>
      </c>
      <c r="F190" s="5">
        <v>0</v>
      </c>
      <c r="G190" s="5">
        <v>0</v>
      </c>
      <c r="H190" s="5">
        <v>34</v>
      </c>
      <c r="I190" s="6">
        <v>29.5</v>
      </c>
      <c r="J190" s="6">
        <v>39.299999999999997</v>
      </c>
      <c r="K190" s="6">
        <v>82</v>
      </c>
      <c r="L190" s="6">
        <v>82</v>
      </c>
      <c r="M190" s="4" t="str">
        <f t="shared" si="6"/>
        <v>OK</v>
      </c>
      <c r="N190" s="7">
        <f t="shared" si="7"/>
        <v>9.5116335671143661E-5</v>
      </c>
      <c r="O190" s="7">
        <f>SUMIFS($D$2:D190,$B$2:B190,B190)/SUMIFS($D$2:$D$741,$B$2:$B$741,B190)</f>
        <v>0.99941811182883533</v>
      </c>
      <c r="P190" s="4" t="b">
        <f t="shared" si="8"/>
        <v>0</v>
      </c>
      <c r="Q190" s="2"/>
      <c r="R190" s="2"/>
      <c r="S190" s="2"/>
    </row>
    <row r="191" spans="1:19" x14ac:dyDescent="0.45">
      <c r="A191" s="4" t="s">
        <v>234</v>
      </c>
      <c r="B191" s="4" t="s">
        <v>166</v>
      </c>
      <c r="C191" s="5">
        <v>2</v>
      </c>
      <c r="D191" s="5">
        <v>33</v>
      </c>
      <c r="E191" s="5">
        <v>3</v>
      </c>
      <c r="F191" s="5">
        <v>2</v>
      </c>
      <c r="G191" s="5">
        <v>2</v>
      </c>
      <c r="H191" s="5">
        <v>31</v>
      </c>
      <c r="I191" s="6">
        <v>33</v>
      </c>
      <c r="J191" s="6">
        <v>42.8</v>
      </c>
      <c r="K191" s="6">
        <v>99</v>
      </c>
      <c r="L191" s="6">
        <v>99</v>
      </c>
      <c r="M191" s="4" t="str">
        <f t="shared" si="6"/>
        <v>OK</v>
      </c>
      <c r="N191" s="7">
        <f t="shared" si="7"/>
        <v>9.2318796386698266E-5</v>
      </c>
      <c r="O191" s="7">
        <f>SUMIFS($D$2:D191,$B$2:B191,B191)/SUMIFS($D$2:$D$741,$B$2:$B$741,B191)</f>
        <v>0.99951043062522205</v>
      </c>
      <c r="P191" s="4" t="b">
        <f t="shared" si="8"/>
        <v>0</v>
      </c>
      <c r="Q191" s="2"/>
      <c r="R191" s="2"/>
      <c r="S191" s="2"/>
    </row>
    <row r="192" spans="1:19" x14ac:dyDescent="0.45">
      <c r="A192" s="4" t="s">
        <v>235</v>
      </c>
      <c r="B192" s="4" t="s">
        <v>166</v>
      </c>
      <c r="C192" s="5">
        <v>2</v>
      </c>
      <c r="D192" s="5">
        <v>30</v>
      </c>
      <c r="E192" s="5">
        <v>0</v>
      </c>
      <c r="F192" s="5">
        <v>0</v>
      </c>
      <c r="G192" s="5">
        <v>0</v>
      </c>
      <c r="H192" s="5">
        <v>30</v>
      </c>
      <c r="I192" s="6">
        <v>0</v>
      </c>
      <c r="J192" s="6">
        <v>0</v>
      </c>
      <c r="K192" s="6">
        <v>0</v>
      </c>
      <c r="L192" s="6">
        <v>0</v>
      </c>
      <c r="M192" s="4" t="str">
        <f t="shared" si="6"/>
        <v>OK</v>
      </c>
      <c r="N192" s="7">
        <f t="shared" si="7"/>
        <v>8.3926178533362054E-5</v>
      </c>
      <c r="O192" s="7">
        <f>SUMIFS($D$2:D192,$B$2:B192,B192)/SUMIFS($D$2:$D$741,$B$2:$B$741,B192)</f>
        <v>0.99959435680375541</v>
      </c>
      <c r="P192" s="4" t="b">
        <f t="shared" si="8"/>
        <v>0</v>
      </c>
      <c r="Q192" s="2"/>
      <c r="R192" s="2"/>
      <c r="S192" s="2"/>
    </row>
    <row r="193" spans="1:19" x14ac:dyDescent="0.45">
      <c r="A193" s="4" t="s">
        <v>236</v>
      </c>
      <c r="B193" s="4" t="s">
        <v>166</v>
      </c>
      <c r="C193" s="5">
        <v>2</v>
      </c>
      <c r="D193" s="5">
        <v>27</v>
      </c>
      <c r="E193" s="5">
        <v>0</v>
      </c>
      <c r="F193" s="5">
        <v>0</v>
      </c>
      <c r="G193" s="5">
        <v>0</v>
      </c>
      <c r="H193" s="5">
        <v>27</v>
      </c>
      <c r="I193" s="6">
        <v>39</v>
      </c>
      <c r="J193" s="6">
        <v>48.6</v>
      </c>
      <c r="K193" s="6">
        <v>99</v>
      </c>
      <c r="L193" s="6">
        <v>99.4</v>
      </c>
      <c r="M193" s="4" t="str">
        <f t="shared" si="6"/>
        <v>OK</v>
      </c>
      <c r="N193" s="7">
        <f t="shared" si="7"/>
        <v>7.5533560680025855E-5</v>
      </c>
      <c r="O193" s="7">
        <f>SUMIFS($D$2:D193,$B$2:B193,B193)/SUMIFS($D$2:$D$741,$B$2:$B$741,B193)</f>
        <v>0.99966989036443543</v>
      </c>
      <c r="P193" s="4" t="b">
        <f t="shared" si="8"/>
        <v>0</v>
      </c>
      <c r="Q193" s="2"/>
      <c r="R193" s="2"/>
      <c r="S193" s="2"/>
    </row>
    <row r="194" spans="1:19" x14ac:dyDescent="0.45">
      <c r="A194" s="4" t="s">
        <v>237</v>
      </c>
      <c r="B194" s="4" t="s">
        <v>166</v>
      </c>
      <c r="C194" s="5">
        <v>2</v>
      </c>
      <c r="D194" s="5">
        <v>26</v>
      </c>
      <c r="E194" s="5">
        <v>0</v>
      </c>
      <c r="F194" s="5">
        <v>0</v>
      </c>
      <c r="G194" s="5">
        <v>0</v>
      </c>
      <c r="H194" s="5">
        <v>26</v>
      </c>
      <c r="I194" s="6">
        <v>1.5</v>
      </c>
      <c r="J194" s="6">
        <v>2.8</v>
      </c>
      <c r="K194" s="6">
        <v>6</v>
      </c>
      <c r="L194" s="6">
        <v>6</v>
      </c>
      <c r="M194" s="4" t="str">
        <f t="shared" ref="M194:M257" si="9">IF(AND(K194="",L194=""),"No closed tickets",IF(K194="","MISSING in catalog",IF(L194="","No valid closed tickets",IF(AND(ABS(K194-L194)&gt;=$S$3,ABS(K194-L194)&gt;=$S$4*MAX(L194,1)),"FAR OFF","OK"))))</f>
        <v>OK</v>
      </c>
      <c r="N194" s="7">
        <f t="shared" ref="N194:N257" si="10">D194/SUMIFS($D$2:$D$741,$B$2:$B$741,B194)</f>
        <v>7.2736021395580446E-5</v>
      </c>
      <c r="O194" s="7">
        <f>SUMIFS($D$2:D194,$B$2:B194,B194)/SUMIFS($D$2:$D$741,$B$2:$B$741,B194)</f>
        <v>0.999742626385831</v>
      </c>
      <c r="P194" s="4" t="b">
        <f t="shared" ref="P194:P257" si="11">O194-N194&lt;$S$2</f>
        <v>0</v>
      </c>
      <c r="Q194" s="2"/>
      <c r="R194" s="2"/>
      <c r="S194" s="2"/>
    </row>
    <row r="195" spans="1:19" x14ac:dyDescent="0.45">
      <c r="A195" s="4" t="s">
        <v>238</v>
      </c>
      <c r="B195" s="4" t="s">
        <v>166</v>
      </c>
      <c r="C195" s="5">
        <v>1</v>
      </c>
      <c r="D195" s="5">
        <v>22</v>
      </c>
      <c r="E195" s="5">
        <v>0</v>
      </c>
      <c r="F195" s="5">
        <v>0</v>
      </c>
      <c r="G195" s="5">
        <v>0</v>
      </c>
      <c r="H195" s="5">
        <v>22</v>
      </c>
      <c r="I195" s="6">
        <v>7.5</v>
      </c>
      <c r="J195" s="6">
        <v>38.700000000000003</v>
      </c>
      <c r="K195" s="6">
        <v>72</v>
      </c>
      <c r="L195" s="6">
        <v>72.400000000000006</v>
      </c>
      <c r="M195" s="4" t="str">
        <f t="shared" si="9"/>
        <v>OK</v>
      </c>
      <c r="N195" s="7">
        <f t="shared" si="10"/>
        <v>6.1545864257798839E-5</v>
      </c>
      <c r="O195" s="7">
        <f>SUMIFS($D$2:D195,$B$2:B195,B195)/SUMIFS($D$2:$D$741,$B$2:$B$741,B195)</f>
        <v>0.99980417225008877</v>
      </c>
      <c r="P195" s="4" t="b">
        <f t="shared" si="11"/>
        <v>0</v>
      </c>
      <c r="Q195" s="2"/>
      <c r="R195" s="2"/>
      <c r="S195" s="2"/>
    </row>
    <row r="196" spans="1:19" x14ac:dyDescent="0.45">
      <c r="A196" s="4" t="s">
        <v>239</v>
      </c>
      <c r="B196" s="4" t="s">
        <v>166</v>
      </c>
      <c r="C196" s="5">
        <v>1</v>
      </c>
      <c r="D196" s="5">
        <v>22</v>
      </c>
      <c r="E196" s="5">
        <v>0</v>
      </c>
      <c r="F196" s="5">
        <v>0</v>
      </c>
      <c r="G196" s="5">
        <v>0</v>
      </c>
      <c r="H196" s="5">
        <v>22</v>
      </c>
      <c r="I196" s="6">
        <v>2.5</v>
      </c>
      <c r="J196" s="6">
        <v>3.5</v>
      </c>
      <c r="K196" s="6">
        <v>8</v>
      </c>
      <c r="L196" s="6">
        <v>7.9</v>
      </c>
      <c r="M196" s="4" t="str">
        <f t="shared" si="9"/>
        <v>OK</v>
      </c>
      <c r="N196" s="7">
        <f t="shared" si="10"/>
        <v>6.1545864257798839E-5</v>
      </c>
      <c r="O196" s="7">
        <f>SUMIFS($D$2:D196,$B$2:B196,B196)/SUMIFS($D$2:$D$741,$B$2:$B$741,B196)</f>
        <v>0.99986571811434666</v>
      </c>
      <c r="P196" s="4" t="b">
        <f t="shared" si="11"/>
        <v>0</v>
      </c>
      <c r="Q196" s="2"/>
      <c r="R196" s="2"/>
      <c r="S196" s="2"/>
    </row>
    <row r="197" spans="1:19" x14ac:dyDescent="0.45">
      <c r="A197" s="4" t="s">
        <v>240</v>
      </c>
      <c r="B197" s="4" t="s">
        <v>166</v>
      </c>
      <c r="C197" s="5">
        <v>1</v>
      </c>
      <c r="D197" s="5">
        <v>17</v>
      </c>
      <c r="E197" s="5">
        <v>17</v>
      </c>
      <c r="F197" s="5">
        <v>7</v>
      </c>
      <c r="G197" s="5">
        <v>0</v>
      </c>
      <c r="H197" s="5">
        <v>10</v>
      </c>
      <c r="I197" s="6">
        <v>11</v>
      </c>
      <c r="J197" s="6">
        <v>13.7</v>
      </c>
      <c r="K197" s="6">
        <v>35</v>
      </c>
      <c r="L197" s="6">
        <v>35</v>
      </c>
      <c r="M197" s="4" t="str">
        <f t="shared" si="9"/>
        <v>OK</v>
      </c>
      <c r="N197" s="7">
        <f t="shared" si="10"/>
        <v>4.755816783557183E-5</v>
      </c>
      <c r="O197" s="7">
        <f>SUMIFS($D$2:D197,$B$2:B197,B197)/SUMIFS($D$2:$D$741,$B$2:$B$741,B197)</f>
        <v>0.99991327628218218</v>
      </c>
      <c r="P197" s="4" t="b">
        <f t="shared" si="11"/>
        <v>0</v>
      </c>
      <c r="Q197" s="2"/>
      <c r="R197" s="2"/>
      <c r="S197" s="2"/>
    </row>
    <row r="198" spans="1:19" x14ac:dyDescent="0.45">
      <c r="A198" s="4" t="s">
        <v>241</v>
      </c>
      <c r="B198" s="4" t="s">
        <v>166</v>
      </c>
      <c r="C198" s="5">
        <v>1</v>
      </c>
      <c r="D198" s="5">
        <v>14</v>
      </c>
      <c r="E198" s="5">
        <v>0</v>
      </c>
      <c r="F198" s="5">
        <v>0</v>
      </c>
      <c r="G198" s="5">
        <v>0</v>
      </c>
      <c r="H198" s="5">
        <v>14</v>
      </c>
      <c r="I198" s="6">
        <v>2</v>
      </c>
      <c r="J198" s="6">
        <v>2.1</v>
      </c>
      <c r="K198" s="6">
        <v>3</v>
      </c>
      <c r="L198" s="6">
        <v>3</v>
      </c>
      <c r="M198" s="4" t="str">
        <f t="shared" si="9"/>
        <v>OK</v>
      </c>
      <c r="N198" s="7">
        <f t="shared" si="10"/>
        <v>3.9165549982235625E-5</v>
      </c>
      <c r="O198" s="7">
        <f>SUMIFS($D$2:D198,$B$2:B198,B198)/SUMIFS($D$2:$D$741,$B$2:$B$741,B198)</f>
        <v>0.99995244183216447</v>
      </c>
      <c r="P198" s="4" t="b">
        <f t="shared" si="11"/>
        <v>0</v>
      </c>
      <c r="Q198" s="2"/>
      <c r="R198" s="2"/>
      <c r="S198" s="2"/>
    </row>
    <row r="199" spans="1:19" x14ac:dyDescent="0.45">
      <c r="A199" s="4" t="s">
        <v>242</v>
      </c>
      <c r="B199" s="4" t="s">
        <v>166</v>
      </c>
      <c r="C199" s="5">
        <v>1</v>
      </c>
      <c r="D199" s="5">
        <v>5</v>
      </c>
      <c r="E199" s="5">
        <v>0</v>
      </c>
      <c r="F199" s="5">
        <v>0</v>
      </c>
      <c r="G199" s="5">
        <v>0</v>
      </c>
      <c r="H199" s="5">
        <v>5</v>
      </c>
      <c r="I199" s="6">
        <v>2</v>
      </c>
      <c r="J199" s="6">
        <v>3.2</v>
      </c>
      <c r="K199" s="6">
        <v>7</v>
      </c>
      <c r="L199" s="6">
        <v>7</v>
      </c>
      <c r="M199" s="4" t="str">
        <f t="shared" si="9"/>
        <v>OK</v>
      </c>
      <c r="N199" s="7">
        <f t="shared" si="10"/>
        <v>1.3987696422227009E-5</v>
      </c>
      <c r="O199" s="7">
        <f>SUMIFS($D$2:D199,$B$2:B199,B199)/SUMIFS($D$2:$D$741,$B$2:$B$741,B199)</f>
        <v>0.99996642952858661</v>
      </c>
      <c r="P199" s="4" t="b">
        <f t="shared" si="11"/>
        <v>0</v>
      </c>
      <c r="Q199" s="2"/>
      <c r="R199" s="2"/>
      <c r="S199" s="2"/>
    </row>
    <row r="200" spans="1:19" x14ac:dyDescent="0.45">
      <c r="A200" s="4" t="s">
        <v>243</v>
      </c>
      <c r="B200" s="4" t="s">
        <v>166</v>
      </c>
      <c r="C200" s="5">
        <v>1</v>
      </c>
      <c r="D200" s="5">
        <v>3</v>
      </c>
      <c r="E200" s="5">
        <v>0</v>
      </c>
      <c r="F200" s="5">
        <v>0</v>
      </c>
      <c r="G200" s="5">
        <v>0</v>
      </c>
      <c r="H200" s="5">
        <v>3</v>
      </c>
      <c r="I200" s="6">
        <v>4</v>
      </c>
      <c r="J200" s="6">
        <v>84</v>
      </c>
      <c r="K200" s="6">
        <v>196</v>
      </c>
      <c r="L200" s="6">
        <v>196</v>
      </c>
      <c r="M200" s="4" t="str">
        <f t="shared" si="9"/>
        <v>OK</v>
      </c>
      <c r="N200" s="7">
        <f t="shared" si="10"/>
        <v>8.3926178533362054E-6</v>
      </c>
      <c r="O200" s="7">
        <f>SUMIFS($D$2:D200,$B$2:B200,B200)/SUMIFS($D$2:$D$741,$B$2:$B$741,B200)</f>
        <v>0.99997482214643996</v>
      </c>
      <c r="P200" s="4" t="b">
        <f t="shared" si="11"/>
        <v>0</v>
      </c>
      <c r="Q200" s="2"/>
      <c r="R200" s="2"/>
      <c r="S200" s="2"/>
    </row>
    <row r="201" spans="1:19" x14ac:dyDescent="0.45">
      <c r="A201" s="4" t="s">
        <v>244</v>
      </c>
      <c r="B201" s="4" t="s">
        <v>166</v>
      </c>
      <c r="C201" s="5">
        <v>2</v>
      </c>
      <c r="D201" s="5">
        <v>3</v>
      </c>
      <c r="E201" s="5">
        <v>0</v>
      </c>
      <c r="F201" s="5">
        <v>0</v>
      </c>
      <c r="G201" s="5">
        <v>0</v>
      </c>
      <c r="H201" s="5">
        <v>3</v>
      </c>
      <c r="I201" s="6">
        <v>1</v>
      </c>
      <c r="J201" s="6">
        <v>22.3</v>
      </c>
      <c r="K201" s="6">
        <v>53</v>
      </c>
      <c r="L201" s="6">
        <v>53</v>
      </c>
      <c r="M201" s="4" t="str">
        <f t="shared" si="9"/>
        <v>OK</v>
      </c>
      <c r="N201" s="7">
        <f t="shared" si="10"/>
        <v>8.3926178533362054E-6</v>
      </c>
      <c r="O201" s="7">
        <f>SUMIFS($D$2:D201,$B$2:B201,B201)/SUMIFS($D$2:$D$741,$B$2:$B$741,B201)</f>
        <v>0.9999832147642933</v>
      </c>
      <c r="P201" s="4" t="b">
        <f t="shared" si="11"/>
        <v>0</v>
      </c>
      <c r="Q201" s="2"/>
      <c r="R201" s="2"/>
      <c r="S201" s="2"/>
    </row>
    <row r="202" spans="1:19" x14ac:dyDescent="0.45">
      <c r="A202" s="4" t="s">
        <v>245</v>
      </c>
      <c r="B202" s="4" t="s">
        <v>166</v>
      </c>
      <c r="C202" s="5">
        <v>1</v>
      </c>
      <c r="D202" s="5">
        <v>2</v>
      </c>
      <c r="E202" s="5">
        <v>2</v>
      </c>
      <c r="F202" s="5">
        <v>2</v>
      </c>
      <c r="G202" s="5">
        <v>0</v>
      </c>
      <c r="H202" s="5">
        <v>0</v>
      </c>
      <c r="I202" s="6"/>
      <c r="J202" s="6"/>
      <c r="K202" s="6"/>
      <c r="L202" s="6"/>
      <c r="M202" s="4" t="str">
        <f t="shared" si="9"/>
        <v>No closed tickets</v>
      </c>
      <c r="N202" s="7">
        <f t="shared" si="10"/>
        <v>5.5950785688908036E-6</v>
      </c>
      <c r="O202" s="7">
        <f>SUMIFS($D$2:D202,$B$2:B202,B202)/SUMIFS($D$2:$D$741,$B$2:$B$741,B202)</f>
        <v>0.9999888098428622</v>
      </c>
      <c r="P202" s="4" t="b">
        <f t="shared" si="11"/>
        <v>0</v>
      </c>
      <c r="Q202" s="2"/>
      <c r="R202" s="2"/>
      <c r="S202" s="2"/>
    </row>
    <row r="203" spans="1:19" x14ac:dyDescent="0.45">
      <c r="A203" s="4" t="s">
        <v>246</v>
      </c>
      <c r="B203" s="4" t="s">
        <v>166</v>
      </c>
      <c r="C203" s="5">
        <v>1</v>
      </c>
      <c r="D203" s="5">
        <v>2</v>
      </c>
      <c r="E203" s="5">
        <v>0</v>
      </c>
      <c r="F203" s="5">
        <v>0</v>
      </c>
      <c r="G203" s="5">
        <v>0</v>
      </c>
      <c r="H203" s="5">
        <v>2</v>
      </c>
      <c r="I203" s="6">
        <v>178</v>
      </c>
      <c r="J203" s="6">
        <v>178</v>
      </c>
      <c r="K203" s="6">
        <v>316</v>
      </c>
      <c r="L203" s="6">
        <v>315.60000000000002</v>
      </c>
      <c r="M203" s="4" t="str">
        <f t="shared" si="9"/>
        <v>OK</v>
      </c>
      <c r="N203" s="7">
        <f t="shared" si="10"/>
        <v>5.5950785688908036E-6</v>
      </c>
      <c r="O203" s="7">
        <f>SUMIFS($D$2:D203,$B$2:B203,B203)/SUMIFS($D$2:$D$741,$B$2:$B$741,B203)</f>
        <v>0.9999944049214311</v>
      </c>
      <c r="P203" s="4" t="b">
        <f t="shared" si="11"/>
        <v>0</v>
      </c>
      <c r="Q203" s="2"/>
      <c r="R203" s="2"/>
      <c r="S203" s="2"/>
    </row>
    <row r="204" spans="1:19" x14ac:dyDescent="0.45">
      <c r="A204" s="4" t="s">
        <v>247</v>
      </c>
      <c r="B204" s="4" t="s">
        <v>166</v>
      </c>
      <c r="C204" s="5">
        <v>1</v>
      </c>
      <c r="D204" s="5">
        <v>2</v>
      </c>
      <c r="E204" s="5">
        <v>0</v>
      </c>
      <c r="F204" s="5">
        <v>0</v>
      </c>
      <c r="G204" s="5">
        <v>0</v>
      </c>
      <c r="H204" s="5">
        <v>2</v>
      </c>
      <c r="I204" s="6">
        <v>0</v>
      </c>
      <c r="J204" s="6">
        <v>0</v>
      </c>
      <c r="K204" s="6">
        <v>0</v>
      </c>
      <c r="L204" s="6">
        <v>0</v>
      </c>
      <c r="M204" s="4" t="str">
        <f t="shared" si="9"/>
        <v>OK</v>
      </c>
      <c r="N204" s="7">
        <f t="shared" si="10"/>
        <v>5.5950785688908036E-6</v>
      </c>
      <c r="O204" s="7">
        <f>SUMIFS($D$2:D204,$B$2:B204,B204)/SUMIFS($D$2:$D$741,$B$2:$B$741,B204)</f>
        <v>1</v>
      </c>
      <c r="P204" s="4" t="b">
        <f t="shared" si="11"/>
        <v>0</v>
      </c>
      <c r="Q204" s="2"/>
      <c r="R204" s="2"/>
      <c r="S204" s="2"/>
    </row>
    <row r="205" spans="1:19" x14ac:dyDescent="0.45">
      <c r="A205" s="9" t="s">
        <v>248</v>
      </c>
      <c r="B205" s="9" t="s">
        <v>249</v>
      </c>
      <c r="C205" s="10">
        <v>2</v>
      </c>
      <c r="D205" s="10">
        <v>453</v>
      </c>
      <c r="E205" s="10">
        <v>128</v>
      </c>
      <c r="F205" s="10">
        <v>2</v>
      </c>
      <c r="G205" s="10">
        <v>0</v>
      </c>
      <c r="H205" s="10">
        <v>451</v>
      </c>
      <c r="I205" s="11">
        <v>3</v>
      </c>
      <c r="J205" s="11">
        <v>4.8</v>
      </c>
      <c r="K205" s="11">
        <v>9</v>
      </c>
      <c r="L205" s="11">
        <v>9</v>
      </c>
      <c r="M205" s="9" t="str">
        <f t="shared" si="9"/>
        <v>OK</v>
      </c>
      <c r="N205" s="12">
        <f t="shared" si="10"/>
        <v>0.31878958479943703</v>
      </c>
      <c r="O205" s="12">
        <f>SUMIFS($D$2:D205,$B$2:B205,B205)/SUMIFS($D$2:$D$741,$B$2:$B$741,B205)</f>
        <v>0.31878958479943703</v>
      </c>
      <c r="P205" s="9" t="b">
        <f t="shared" si="11"/>
        <v>1</v>
      </c>
      <c r="Q205" s="2"/>
      <c r="R205" s="2"/>
      <c r="S205" s="2"/>
    </row>
    <row r="206" spans="1:19" x14ac:dyDescent="0.45">
      <c r="A206" s="4" t="s">
        <v>250</v>
      </c>
      <c r="B206" s="4" t="s">
        <v>249</v>
      </c>
      <c r="C206" s="5">
        <v>3</v>
      </c>
      <c r="D206" s="5">
        <v>237</v>
      </c>
      <c r="E206" s="5">
        <v>144</v>
      </c>
      <c r="F206" s="5">
        <v>0</v>
      </c>
      <c r="G206" s="5">
        <v>0</v>
      </c>
      <c r="H206" s="5">
        <v>237</v>
      </c>
      <c r="I206" s="6">
        <v>0</v>
      </c>
      <c r="J206" s="6">
        <v>0.8</v>
      </c>
      <c r="K206" s="6">
        <v>2</v>
      </c>
      <c r="L206" s="6">
        <v>2</v>
      </c>
      <c r="M206" s="4" t="str">
        <f t="shared" si="9"/>
        <v>OK</v>
      </c>
      <c r="N206" s="7">
        <f t="shared" si="10"/>
        <v>0.16678395496129486</v>
      </c>
      <c r="O206" s="7">
        <f>SUMIFS($D$2:D206,$B$2:B206,B206)/SUMIFS($D$2:$D$741,$B$2:$B$741,B206)</f>
        <v>0.48557353976073186</v>
      </c>
      <c r="P206" s="4" t="b">
        <f t="shared" si="11"/>
        <v>1</v>
      </c>
      <c r="Q206" s="2"/>
      <c r="R206" s="2"/>
      <c r="S206" s="2"/>
    </row>
    <row r="207" spans="1:19" x14ac:dyDescent="0.45">
      <c r="A207" s="4" t="s">
        <v>251</v>
      </c>
      <c r="B207" s="4" t="s">
        <v>249</v>
      </c>
      <c r="C207" s="5">
        <v>1</v>
      </c>
      <c r="D207" s="5">
        <v>230</v>
      </c>
      <c r="E207" s="5">
        <v>110</v>
      </c>
      <c r="F207" s="5">
        <v>3</v>
      </c>
      <c r="G207" s="5">
        <v>1</v>
      </c>
      <c r="H207" s="5">
        <v>227</v>
      </c>
      <c r="I207" s="6">
        <v>2</v>
      </c>
      <c r="J207" s="6">
        <v>5</v>
      </c>
      <c r="K207" s="6">
        <v>12</v>
      </c>
      <c r="L207" s="6">
        <v>12.4</v>
      </c>
      <c r="M207" s="4" t="str">
        <f t="shared" si="9"/>
        <v>OK</v>
      </c>
      <c r="N207" s="7">
        <f t="shared" si="10"/>
        <v>0.16185784658691063</v>
      </c>
      <c r="O207" s="7">
        <f>SUMIFS($D$2:D207,$B$2:B207,B207)/SUMIFS($D$2:$D$741,$B$2:$B$741,B207)</f>
        <v>0.64743138634764252</v>
      </c>
      <c r="P207" s="4" t="b">
        <f t="shared" si="11"/>
        <v>1</v>
      </c>
      <c r="Q207" s="2"/>
      <c r="R207" s="2"/>
      <c r="S207" s="2"/>
    </row>
    <row r="208" spans="1:19" x14ac:dyDescent="0.45">
      <c r="A208" s="4" t="s">
        <v>252</v>
      </c>
      <c r="B208" s="4" t="s">
        <v>249</v>
      </c>
      <c r="C208" s="5">
        <v>2</v>
      </c>
      <c r="D208" s="5">
        <v>221</v>
      </c>
      <c r="E208" s="5">
        <v>0</v>
      </c>
      <c r="F208" s="5">
        <v>0</v>
      </c>
      <c r="G208" s="5">
        <v>0</v>
      </c>
      <c r="H208" s="5">
        <v>221</v>
      </c>
      <c r="I208" s="6">
        <v>3</v>
      </c>
      <c r="J208" s="6">
        <v>7</v>
      </c>
      <c r="K208" s="6">
        <v>18</v>
      </c>
      <c r="L208" s="6">
        <v>18</v>
      </c>
      <c r="M208" s="4" t="str">
        <f t="shared" si="9"/>
        <v>OK</v>
      </c>
      <c r="N208" s="7">
        <f t="shared" si="10"/>
        <v>0.15552427867698804</v>
      </c>
      <c r="O208" s="7">
        <f>SUMIFS($D$2:D208,$B$2:B208,B208)/SUMIFS($D$2:$D$741,$B$2:$B$741,B208)</f>
        <v>0.80295566502463056</v>
      </c>
      <c r="P208" s="4" t="b">
        <f t="shared" si="11"/>
        <v>1</v>
      </c>
      <c r="Q208" s="2"/>
      <c r="R208" s="2"/>
      <c r="S208" s="2"/>
    </row>
    <row r="209" spans="1:19" x14ac:dyDescent="0.45">
      <c r="A209" s="4" t="s">
        <v>253</v>
      </c>
      <c r="B209" s="4" t="s">
        <v>249</v>
      </c>
      <c r="C209" s="5">
        <v>2</v>
      </c>
      <c r="D209" s="5">
        <v>137</v>
      </c>
      <c r="E209" s="5">
        <v>19</v>
      </c>
      <c r="F209" s="5">
        <v>0</v>
      </c>
      <c r="G209" s="5">
        <v>0</v>
      </c>
      <c r="H209" s="5">
        <v>137</v>
      </c>
      <c r="I209" s="6">
        <v>2</v>
      </c>
      <c r="J209" s="6">
        <v>5.9</v>
      </c>
      <c r="K209" s="6">
        <v>15</v>
      </c>
      <c r="L209" s="6">
        <v>15</v>
      </c>
      <c r="M209" s="4" t="str">
        <f t="shared" si="9"/>
        <v>OK</v>
      </c>
      <c r="N209" s="7">
        <f t="shared" si="10"/>
        <v>9.6410978184377202E-2</v>
      </c>
      <c r="O209" s="7">
        <f>SUMIFS($D$2:D209,$B$2:B209,B209)/SUMIFS($D$2:$D$741,$B$2:$B$741,B209)</f>
        <v>0.89936664320900772</v>
      </c>
      <c r="P209" s="4" t="b">
        <f t="shared" si="11"/>
        <v>1</v>
      </c>
      <c r="Q209" s="2"/>
      <c r="R209" s="2"/>
      <c r="S209" s="2"/>
    </row>
    <row r="210" spans="1:19" x14ac:dyDescent="0.45">
      <c r="A210" s="4" t="s">
        <v>254</v>
      </c>
      <c r="B210" s="4" t="s">
        <v>249</v>
      </c>
      <c r="C210" s="5">
        <v>1</v>
      </c>
      <c r="D210" s="5">
        <v>79</v>
      </c>
      <c r="E210" s="5">
        <v>30</v>
      </c>
      <c r="F210" s="5">
        <v>1</v>
      </c>
      <c r="G210" s="5">
        <v>1</v>
      </c>
      <c r="H210" s="5">
        <v>78</v>
      </c>
      <c r="I210" s="6">
        <v>2</v>
      </c>
      <c r="J210" s="6">
        <v>5.6</v>
      </c>
      <c r="K210" s="6">
        <v>15</v>
      </c>
      <c r="L210" s="6">
        <v>14.6</v>
      </c>
      <c r="M210" s="4" t="str">
        <f t="shared" si="9"/>
        <v>OK</v>
      </c>
      <c r="N210" s="7">
        <f t="shared" si="10"/>
        <v>5.5594651653764954E-2</v>
      </c>
      <c r="O210" s="7">
        <f>SUMIFS($D$2:D210,$B$2:B210,B210)/SUMIFS($D$2:$D$741,$B$2:$B$741,B210)</f>
        <v>0.9549612948627727</v>
      </c>
      <c r="P210" s="4" t="b">
        <f t="shared" si="11"/>
        <v>1</v>
      </c>
      <c r="Q210" s="2"/>
      <c r="R210" s="2"/>
      <c r="S210" s="2"/>
    </row>
    <row r="211" spans="1:19" x14ac:dyDescent="0.45">
      <c r="A211" s="4" t="s">
        <v>255</v>
      </c>
      <c r="B211" s="4" t="s">
        <v>249</v>
      </c>
      <c r="C211" s="5">
        <v>1</v>
      </c>
      <c r="D211" s="5">
        <v>52</v>
      </c>
      <c r="E211" s="5">
        <v>1</v>
      </c>
      <c r="F211" s="5">
        <v>0</v>
      </c>
      <c r="G211" s="5">
        <v>0</v>
      </c>
      <c r="H211" s="5">
        <v>52</v>
      </c>
      <c r="I211" s="6">
        <v>5</v>
      </c>
      <c r="J211" s="6">
        <v>8.6</v>
      </c>
      <c r="K211" s="6">
        <v>20</v>
      </c>
      <c r="L211" s="6">
        <v>20</v>
      </c>
      <c r="M211" s="4" t="str">
        <f t="shared" si="9"/>
        <v>OK</v>
      </c>
      <c r="N211" s="7">
        <f t="shared" si="10"/>
        <v>3.6593947923997186E-2</v>
      </c>
      <c r="O211" s="7">
        <f>SUMIFS($D$2:D211,$B$2:B211,B211)/SUMIFS($D$2:$D$741,$B$2:$B$741,B211)</f>
        <v>0.99155524278676987</v>
      </c>
      <c r="P211" s="4" t="b">
        <f t="shared" si="11"/>
        <v>0</v>
      </c>
      <c r="Q211" s="2"/>
      <c r="R211" s="2"/>
      <c r="S211" s="2"/>
    </row>
    <row r="212" spans="1:19" x14ac:dyDescent="0.45">
      <c r="A212" s="4" t="s">
        <v>256</v>
      </c>
      <c r="B212" s="4" t="s">
        <v>249</v>
      </c>
      <c r="C212" s="5">
        <v>1</v>
      </c>
      <c r="D212" s="5">
        <v>12</v>
      </c>
      <c r="E212" s="5">
        <v>0</v>
      </c>
      <c r="F212" s="5">
        <v>0</v>
      </c>
      <c r="G212" s="5">
        <v>0</v>
      </c>
      <c r="H212" s="5">
        <v>12</v>
      </c>
      <c r="I212" s="6">
        <v>1</v>
      </c>
      <c r="J212" s="6">
        <v>3.2</v>
      </c>
      <c r="K212" s="6">
        <v>8</v>
      </c>
      <c r="L212" s="6">
        <v>7.7</v>
      </c>
      <c r="M212" s="4" t="str">
        <f t="shared" si="9"/>
        <v>OK</v>
      </c>
      <c r="N212" s="7">
        <f t="shared" si="10"/>
        <v>8.44475721323012E-3</v>
      </c>
      <c r="O212" s="7">
        <f>SUMIFS($D$2:D212,$B$2:B212,B212)/SUMIFS($D$2:$D$741,$B$2:$B$741,B212)</f>
        <v>1</v>
      </c>
      <c r="P212" s="4" t="b">
        <f t="shared" si="11"/>
        <v>0</v>
      </c>
      <c r="Q212" s="2"/>
      <c r="R212" s="2"/>
      <c r="S212" s="2"/>
    </row>
    <row r="213" spans="1:19" x14ac:dyDescent="0.45">
      <c r="A213" s="9" t="s">
        <v>257</v>
      </c>
      <c r="B213" s="9" t="s">
        <v>258</v>
      </c>
      <c r="C213" s="10">
        <v>3</v>
      </c>
      <c r="D213" s="10">
        <v>23846</v>
      </c>
      <c r="E213" s="10">
        <v>5364</v>
      </c>
      <c r="F213" s="10">
        <v>134</v>
      </c>
      <c r="G213" s="10">
        <v>3</v>
      </c>
      <c r="H213" s="10">
        <v>23712</v>
      </c>
      <c r="I213" s="11">
        <v>11</v>
      </c>
      <c r="J213" s="11">
        <v>18.5</v>
      </c>
      <c r="K213" s="11">
        <v>45</v>
      </c>
      <c r="L213" s="11">
        <v>45</v>
      </c>
      <c r="M213" s="9" t="str">
        <f t="shared" si="9"/>
        <v>OK</v>
      </c>
      <c r="N213" s="12">
        <f t="shared" si="10"/>
        <v>0.30369332654100867</v>
      </c>
      <c r="O213" s="12">
        <f>SUMIFS($D$2:D213,$B$2:B213,B213)/SUMIFS($D$2:$D$741,$B$2:$B$741,B213)</f>
        <v>0.30369332654100867</v>
      </c>
      <c r="P213" s="9" t="b">
        <f t="shared" si="11"/>
        <v>1</v>
      </c>
      <c r="Q213" s="2"/>
      <c r="R213" s="2"/>
      <c r="S213" s="2"/>
    </row>
    <row r="214" spans="1:19" x14ac:dyDescent="0.45">
      <c r="A214" s="4" t="s">
        <v>259</v>
      </c>
      <c r="B214" s="4" t="s">
        <v>258</v>
      </c>
      <c r="C214" s="5">
        <v>3</v>
      </c>
      <c r="D214" s="5">
        <v>7596</v>
      </c>
      <c r="E214" s="5">
        <v>1752</v>
      </c>
      <c r="F214" s="5">
        <v>108</v>
      </c>
      <c r="G214" s="5">
        <v>49</v>
      </c>
      <c r="H214" s="5">
        <v>7488</v>
      </c>
      <c r="I214" s="6">
        <v>9</v>
      </c>
      <c r="J214" s="6">
        <v>21.1</v>
      </c>
      <c r="K214" s="6">
        <v>49</v>
      </c>
      <c r="L214" s="6">
        <v>49</v>
      </c>
      <c r="M214" s="4" t="str">
        <f t="shared" si="9"/>
        <v>OK</v>
      </c>
      <c r="N214" s="7">
        <f t="shared" si="10"/>
        <v>9.6739684156902706E-2</v>
      </c>
      <c r="O214" s="7">
        <f>SUMIFS($D$2:D214,$B$2:B214,B214)/SUMIFS($D$2:$D$741,$B$2:$B$741,B214)</f>
        <v>0.40043301069791137</v>
      </c>
      <c r="P214" s="4" t="b">
        <f t="shared" si="11"/>
        <v>1</v>
      </c>
      <c r="Q214" s="2"/>
      <c r="R214" s="2"/>
      <c r="S214" s="2"/>
    </row>
    <row r="215" spans="1:19" x14ac:dyDescent="0.45">
      <c r="A215" s="4" t="s">
        <v>260</v>
      </c>
      <c r="B215" s="4" t="s">
        <v>258</v>
      </c>
      <c r="C215" s="5">
        <v>3</v>
      </c>
      <c r="D215" s="5">
        <v>6657</v>
      </c>
      <c r="E215" s="5">
        <v>1388</v>
      </c>
      <c r="F215" s="5">
        <v>25</v>
      </c>
      <c r="G215" s="5">
        <v>17</v>
      </c>
      <c r="H215" s="5">
        <v>6632</v>
      </c>
      <c r="I215" s="6">
        <v>2</v>
      </c>
      <c r="J215" s="6">
        <v>12.7</v>
      </c>
      <c r="K215" s="6">
        <v>23</v>
      </c>
      <c r="L215" s="6">
        <v>23</v>
      </c>
      <c r="M215" s="4" t="str">
        <f t="shared" si="9"/>
        <v>OK</v>
      </c>
      <c r="N215" s="7">
        <f t="shared" si="10"/>
        <v>8.4780947529291897E-2</v>
      </c>
      <c r="O215" s="7">
        <f>SUMIFS($D$2:D215,$B$2:B215,B215)/SUMIFS($D$2:$D$741,$B$2:$B$741,B215)</f>
        <v>0.48521395822720326</v>
      </c>
      <c r="P215" s="4" t="b">
        <f t="shared" si="11"/>
        <v>1</v>
      </c>
      <c r="Q215" s="2"/>
      <c r="R215" s="2"/>
      <c r="S215" s="2"/>
    </row>
    <row r="216" spans="1:19" x14ac:dyDescent="0.45">
      <c r="A216" s="4" t="s">
        <v>261</v>
      </c>
      <c r="B216" s="4" t="s">
        <v>258</v>
      </c>
      <c r="C216" s="5">
        <v>2</v>
      </c>
      <c r="D216" s="5">
        <v>5707</v>
      </c>
      <c r="E216" s="5">
        <v>1248</v>
      </c>
      <c r="F216" s="5">
        <v>89</v>
      </c>
      <c r="G216" s="5">
        <v>63</v>
      </c>
      <c r="H216" s="5">
        <v>5618</v>
      </c>
      <c r="I216" s="6">
        <v>3</v>
      </c>
      <c r="J216" s="6">
        <v>16.7</v>
      </c>
      <c r="K216" s="6">
        <v>35</v>
      </c>
      <c r="L216" s="6">
        <v>35</v>
      </c>
      <c r="M216" s="4" t="str">
        <f t="shared" si="9"/>
        <v>OK</v>
      </c>
      <c r="N216" s="7">
        <f t="shared" si="10"/>
        <v>7.2682119205298018E-2</v>
      </c>
      <c r="O216" s="7">
        <f>SUMIFS($D$2:D216,$B$2:B216,B216)/SUMIFS($D$2:$D$741,$B$2:$B$741,B216)</f>
        <v>0.55789607743250125</v>
      </c>
      <c r="P216" s="4" t="b">
        <f t="shared" si="11"/>
        <v>1</v>
      </c>
      <c r="Q216" s="2"/>
      <c r="R216" s="2"/>
      <c r="S216" s="2"/>
    </row>
    <row r="217" spans="1:19" x14ac:dyDescent="0.45">
      <c r="A217" s="4" t="s">
        <v>262</v>
      </c>
      <c r="B217" s="4" t="s">
        <v>258</v>
      </c>
      <c r="C217" s="5">
        <v>3</v>
      </c>
      <c r="D217" s="5">
        <v>5606</v>
      </c>
      <c r="E217" s="5">
        <v>342</v>
      </c>
      <c r="F217" s="5">
        <v>8</v>
      </c>
      <c r="G217" s="5">
        <v>0</v>
      </c>
      <c r="H217" s="5">
        <v>5598</v>
      </c>
      <c r="I217" s="6">
        <v>13</v>
      </c>
      <c r="J217" s="6">
        <v>12.6</v>
      </c>
      <c r="K217" s="6">
        <v>19</v>
      </c>
      <c r="L217" s="6">
        <v>19</v>
      </c>
      <c r="M217" s="4" t="str">
        <f t="shared" si="9"/>
        <v>OK</v>
      </c>
      <c r="N217" s="7">
        <f t="shared" si="10"/>
        <v>7.1395822720326033E-2</v>
      </c>
      <c r="O217" s="7">
        <f>SUMIFS($D$2:D217,$B$2:B217,B217)/SUMIFS($D$2:$D$741,$B$2:$B$741,B217)</f>
        <v>0.62929190015282732</v>
      </c>
      <c r="P217" s="4" t="b">
        <f t="shared" si="11"/>
        <v>1</v>
      </c>
      <c r="Q217" s="2"/>
      <c r="R217" s="2"/>
      <c r="S217" s="2"/>
    </row>
    <row r="218" spans="1:19" x14ac:dyDescent="0.45">
      <c r="A218" s="4" t="s">
        <v>263</v>
      </c>
      <c r="B218" s="4" t="s">
        <v>258</v>
      </c>
      <c r="C218" s="5">
        <v>2</v>
      </c>
      <c r="D218" s="5">
        <v>4346</v>
      </c>
      <c r="E218" s="5">
        <v>1150</v>
      </c>
      <c r="F218" s="5">
        <v>7</v>
      </c>
      <c r="G218" s="5">
        <v>6</v>
      </c>
      <c r="H218" s="5">
        <v>4339</v>
      </c>
      <c r="I218" s="6">
        <v>12</v>
      </c>
      <c r="J218" s="6">
        <v>24</v>
      </c>
      <c r="K218" s="6">
        <v>51</v>
      </c>
      <c r="L218" s="6">
        <v>51</v>
      </c>
      <c r="M218" s="4" t="str">
        <f t="shared" si="9"/>
        <v>OK</v>
      </c>
      <c r="N218" s="7">
        <f t="shared" si="10"/>
        <v>5.534895568008151E-2</v>
      </c>
      <c r="O218" s="7">
        <f>SUMIFS($D$2:D218,$B$2:B218,B218)/SUMIFS($D$2:$D$741,$B$2:$B$741,B218)</f>
        <v>0.68464085583290879</v>
      </c>
      <c r="P218" s="4" t="b">
        <f t="shared" si="11"/>
        <v>1</v>
      </c>
      <c r="Q218" s="2"/>
      <c r="R218" s="2"/>
      <c r="S218" s="2"/>
    </row>
    <row r="219" spans="1:19" x14ac:dyDescent="0.45">
      <c r="A219" s="4" t="s">
        <v>264</v>
      </c>
      <c r="B219" s="4" t="s">
        <v>258</v>
      </c>
      <c r="C219" s="5">
        <v>3</v>
      </c>
      <c r="D219" s="5">
        <v>3458</v>
      </c>
      <c r="E219" s="5">
        <v>0</v>
      </c>
      <c r="F219" s="5">
        <v>5</v>
      </c>
      <c r="G219" s="5">
        <v>5</v>
      </c>
      <c r="H219" s="5">
        <v>3453</v>
      </c>
      <c r="I219" s="6">
        <v>97</v>
      </c>
      <c r="J219" s="6">
        <v>168.1</v>
      </c>
      <c r="K219" s="6">
        <v>372</v>
      </c>
      <c r="L219" s="6">
        <v>372</v>
      </c>
      <c r="M219" s="4" t="str">
        <f t="shared" si="9"/>
        <v>OK</v>
      </c>
      <c r="N219" s="7">
        <f t="shared" si="10"/>
        <v>4.403973509933775E-2</v>
      </c>
      <c r="O219" s="7">
        <f>SUMIFS($D$2:D219,$B$2:B219,B219)/SUMIFS($D$2:$D$741,$B$2:$B$741,B219)</f>
        <v>0.72868059093224657</v>
      </c>
      <c r="P219" s="4" t="b">
        <f t="shared" si="11"/>
        <v>1</v>
      </c>
      <c r="Q219" s="2"/>
      <c r="R219" s="2"/>
      <c r="S219" s="2"/>
    </row>
    <row r="220" spans="1:19" x14ac:dyDescent="0.45">
      <c r="A220" s="4" t="s">
        <v>265</v>
      </c>
      <c r="B220" s="4" t="s">
        <v>258</v>
      </c>
      <c r="C220" s="5">
        <v>3</v>
      </c>
      <c r="D220" s="5">
        <v>2469</v>
      </c>
      <c r="E220" s="5">
        <v>593</v>
      </c>
      <c r="F220" s="5">
        <v>48</v>
      </c>
      <c r="G220" s="5">
        <v>13</v>
      </c>
      <c r="H220" s="5">
        <v>2421</v>
      </c>
      <c r="I220" s="6">
        <v>8</v>
      </c>
      <c r="J220" s="6">
        <v>15.4</v>
      </c>
      <c r="K220" s="6">
        <v>35</v>
      </c>
      <c r="L220" s="6">
        <v>35</v>
      </c>
      <c r="M220" s="4" t="str">
        <f t="shared" si="9"/>
        <v>OK</v>
      </c>
      <c r="N220" s="7">
        <f t="shared" si="10"/>
        <v>3.1444218033622004E-2</v>
      </c>
      <c r="O220" s="7">
        <f>SUMIFS($D$2:D220,$B$2:B220,B220)/SUMIFS($D$2:$D$741,$B$2:$B$741,B220)</f>
        <v>0.76012480896586854</v>
      </c>
      <c r="P220" s="4" t="b">
        <f t="shared" si="11"/>
        <v>1</v>
      </c>
      <c r="Q220" s="2"/>
      <c r="R220" s="2"/>
      <c r="S220" s="2"/>
    </row>
    <row r="221" spans="1:19" x14ac:dyDescent="0.45">
      <c r="A221" s="4" t="s">
        <v>266</v>
      </c>
      <c r="B221" s="4" t="s">
        <v>258</v>
      </c>
      <c r="C221" s="5">
        <v>3</v>
      </c>
      <c r="D221" s="5">
        <v>2109</v>
      </c>
      <c r="E221" s="5">
        <v>0</v>
      </c>
      <c r="F221" s="5">
        <v>0</v>
      </c>
      <c r="G221" s="5">
        <v>0</v>
      </c>
      <c r="H221" s="5">
        <v>2109</v>
      </c>
      <c r="I221" s="6">
        <v>2</v>
      </c>
      <c r="J221" s="6">
        <v>4.4000000000000004</v>
      </c>
      <c r="K221" s="6">
        <v>7</v>
      </c>
      <c r="L221" s="6">
        <v>7</v>
      </c>
      <c r="M221" s="4" t="str">
        <f t="shared" si="9"/>
        <v>OK</v>
      </c>
      <c r="N221" s="7">
        <f t="shared" si="10"/>
        <v>2.685939887926643E-2</v>
      </c>
      <c r="O221" s="7">
        <f>SUMIFS($D$2:D221,$B$2:B221,B221)/SUMIFS($D$2:$D$741,$B$2:$B$741,B221)</f>
        <v>0.78698420784513501</v>
      </c>
      <c r="P221" s="4" t="b">
        <f t="shared" si="11"/>
        <v>1</v>
      </c>
      <c r="Q221" s="2"/>
      <c r="R221" s="2"/>
      <c r="S221" s="2"/>
    </row>
    <row r="222" spans="1:19" x14ac:dyDescent="0.45">
      <c r="A222" s="4" t="s">
        <v>267</v>
      </c>
      <c r="B222" s="4" t="s">
        <v>258</v>
      </c>
      <c r="C222" s="5">
        <v>3</v>
      </c>
      <c r="D222" s="5">
        <v>1726</v>
      </c>
      <c r="E222" s="5">
        <v>388</v>
      </c>
      <c r="F222" s="5">
        <v>4</v>
      </c>
      <c r="G222" s="5">
        <v>3</v>
      </c>
      <c r="H222" s="5">
        <v>1722</v>
      </c>
      <c r="I222" s="6">
        <v>3</v>
      </c>
      <c r="J222" s="6">
        <v>6.2</v>
      </c>
      <c r="K222" s="6">
        <v>9</v>
      </c>
      <c r="L222" s="6">
        <v>9</v>
      </c>
      <c r="M222" s="4" t="str">
        <f t="shared" si="9"/>
        <v>OK</v>
      </c>
      <c r="N222" s="7">
        <f t="shared" si="10"/>
        <v>2.1981660723382576E-2</v>
      </c>
      <c r="O222" s="7">
        <f>SUMIFS($D$2:D222,$B$2:B222,B222)/SUMIFS($D$2:$D$741,$B$2:$B$741,B222)</f>
        <v>0.8089658685685176</v>
      </c>
      <c r="P222" s="4" t="b">
        <f t="shared" si="11"/>
        <v>1</v>
      </c>
      <c r="Q222" s="2"/>
      <c r="R222" s="2"/>
      <c r="S222" s="2"/>
    </row>
    <row r="223" spans="1:19" x14ac:dyDescent="0.45">
      <c r="A223" s="4" t="s">
        <v>268</v>
      </c>
      <c r="B223" s="4" t="s">
        <v>258</v>
      </c>
      <c r="C223" s="5">
        <v>3</v>
      </c>
      <c r="D223" s="5">
        <v>1586</v>
      </c>
      <c r="E223" s="5">
        <v>311</v>
      </c>
      <c r="F223" s="5">
        <v>8</v>
      </c>
      <c r="G223" s="5">
        <v>8</v>
      </c>
      <c r="H223" s="5">
        <v>1578</v>
      </c>
      <c r="I223" s="6">
        <v>3</v>
      </c>
      <c r="J223" s="6">
        <v>13.8</v>
      </c>
      <c r="K223" s="6">
        <v>50</v>
      </c>
      <c r="L223" s="6">
        <v>50</v>
      </c>
      <c r="M223" s="4" t="str">
        <f t="shared" si="9"/>
        <v>OK</v>
      </c>
      <c r="N223" s="7">
        <f t="shared" si="10"/>
        <v>2.0198675496688741E-2</v>
      </c>
      <c r="O223" s="7">
        <f>SUMIFS($D$2:D223,$B$2:B223,B223)/SUMIFS($D$2:$D$741,$B$2:$B$741,B223)</f>
        <v>0.82916454406520634</v>
      </c>
      <c r="P223" s="4" t="b">
        <f t="shared" si="11"/>
        <v>1</v>
      </c>
      <c r="Q223" s="2"/>
      <c r="R223" s="2"/>
      <c r="S223" s="2"/>
    </row>
    <row r="224" spans="1:19" x14ac:dyDescent="0.45">
      <c r="A224" s="4" t="s">
        <v>269</v>
      </c>
      <c r="B224" s="4" t="s">
        <v>258</v>
      </c>
      <c r="C224" s="5">
        <v>1</v>
      </c>
      <c r="D224" s="5">
        <v>1229</v>
      </c>
      <c r="E224" s="5">
        <v>931</v>
      </c>
      <c r="F224" s="5">
        <v>0</v>
      </c>
      <c r="G224" s="5">
        <v>0</v>
      </c>
      <c r="H224" s="5">
        <v>1229</v>
      </c>
      <c r="I224" s="6">
        <v>2</v>
      </c>
      <c r="J224" s="6">
        <v>3.3</v>
      </c>
      <c r="K224" s="6">
        <v>6</v>
      </c>
      <c r="L224" s="6">
        <v>6</v>
      </c>
      <c r="M224" s="4" t="str">
        <f t="shared" si="9"/>
        <v>OK</v>
      </c>
      <c r="N224" s="7">
        <f t="shared" si="10"/>
        <v>1.5652063168619459E-2</v>
      </c>
      <c r="O224" s="7">
        <f>SUMIFS($D$2:D224,$B$2:B224,B224)/SUMIFS($D$2:$D$741,$B$2:$B$741,B224)</f>
        <v>0.84481660723382579</v>
      </c>
      <c r="P224" s="4" t="b">
        <f t="shared" si="11"/>
        <v>1</v>
      </c>
      <c r="Q224" s="2"/>
      <c r="R224" s="2"/>
      <c r="S224" s="2"/>
    </row>
    <row r="225" spans="1:19" x14ac:dyDescent="0.45">
      <c r="A225" s="4" t="s">
        <v>270</v>
      </c>
      <c r="B225" s="4" t="s">
        <v>258</v>
      </c>
      <c r="C225" s="5">
        <v>2</v>
      </c>
      <c r="D225" s="5">
        <v>1136</v>
      </c>
      <c r="E225" s="5">
        <v>186</v>
      </c>
      <c r="F225" s="5">
        <v>6</v>
      </c>
      <c r="G225" s="5">
        <v>2</v>
      </c>
      <c r="H225" s="5">
        <v>1130</v>
      </c>
      <c r="I225" s="6">
        <v>5</v>
      </c>
      <c r="J225" s="6">
        <v>12.4</v>
      </c>
      <c r="K225" s="6">
        <v>30</v>
      </c>
      <c r="L225" s="6">
        <v>30</v>
      </c>
      <c r="M225" s="4" t="str">
        <f t="shared" si="9"/>
        <v>OK</v>
      </c>
      <c r="N225" s="7">
        <f t="shared" si="10"/>
        <v>1.4467651553744269E-2</v>
      </c>
      <c r="O225" s="7">
        <f>SUMIFS($D$2:D225,$B$2:B225,B225)/SUMIFS($D$2:$D$741,$B$2:$B$741,B225)</f>
        <v>0.85928425878757009</v>
      </c>
      <c r="P225" s="4" t="b">
        <f t="shared" si="11"/>
        <v>1</v>
      </c>
      <c r="Q225" s="2"/>
      <c r="R225" s="2"/>
      <c r="S225" s="2"/>
    </row>
    <row r="226" spans="1:19" x14ac:dyDescent="0.45">
      <c r="A226" s="4" t="s">
        <v>271</v>
      </c>
      <c r="B226" s="4" t="s">
        <v>258</v>
      </c>
      <c r="C226" s="5">
        <v>3</v>
      </c>
      <c r="D226" s="5">
        <v>1035</v>
      </c>
      <c r="E226" s="5">
        <v>232</v>
      </c>
      <c r="F226" s="5">
        <v>17</v>
      </c>
      <c r="G226" s="5">
        <v>12</v>
      </c>
      <c r="H226" s="5">
        <v>1018</v>
      </c>
      <c r="I226" s="6">
        <v>2</v>
      </c>
      <c r="J226" s="6">
        <v>5.9</v>
      </c>
      <c r="K226" s="6">
        <v>6</v>
      </c>
      <c r="L226" s="6">
        <v>6</v>
      </c>
      <c r="M226" s="4" t="str">
        <f t="shared" si="9"/>
        <v>OK</v>
      </c>
      <c r="N226" s="7">
        <f t="shared" si="10"/>
        <v>1.3181355068772287E-2</v>
      </c>
      <c r="O226" s="7">
        <f>SUMIFS($D$2:D226,$B$2:B226,B226)/SUMIFS($D$2:$D$741,$B$2:$B$741,B226)</f>
        <v>0.87246561385634236</v>
      </c>
      <c r="P226" s="4" t="b">
        <f t="shared" si="11"/>
        <v>1</v>
      </c>
      <c r="Q226" s="2"/>
      <c r="R226" s="2"/>
      <c r="S226" s="2"/>
    </row>
    <row r="227" spans="1:19" x14ac:dyDescent="0.45">
      <c r="A227" s="4" t="s">
        <v>272</v>
      </c>
      <c r="B227" s="4" t="s">
        <v>258</v>
      </c>
      <c r="C227" s="5">
        <v>2</v>
      </c>
      <c r="D227" s="5">
        <v>1033</v>
      </c>
      <c r="E227" s="5">
        <v>357</v>
      </c>
      <c r="F227" s="5">
        <v>0</v>
      </c>
      <c r="G227" s="5">
        <v>0</v>
      </c>
      <c r="H227" s="5">
        <v>1033</v>
      </c>
      <c r="I227" s="6">
        <v>5</v>
      </c>
      <c r="J227" s="6">
        <v>9</v>
      </c>
      <c r="K227" s="6">
        <v>14</v>
      </c>
      <c r="L227" s="6">
        <v>14</v>
      </c>
      <c r="M227" s="4" t="str">
        <f t="shared" si="9"/>
        <v>OK</v>
      </c>
      <c r="N227" s="7">
        <f t="shared" si="10"/>
        <v>1.315588385124809E-2</v>
      </c>
      <c r="O227" s="7">
        <f>SUMIFS($D$2:D227,$B$2:B227,B227)/SUMIFS($D$2:$D$741,$B$2:$B$741,B227)</f>
        <v>0.88562149770759047</v>
      </c>
      <c r="P227" s="4" t="b">
        <f t="shared" si="11"/>
        <v>1</v>
      </c>
      <c r="Q227" s="2"/>
      <c r="R227" s="2"/>
      <c r="S227" s="2"/>
    </row>
    <row r="228" spans="1:19" x14ac:dyDescent="0.45">
      <c r="A228" s="4" t="s">
        <v>273</v>
      </c>
      <c r="B228" s="4" t="s">
        <v>258</v>
      </c>
      <c r="C228" s="5">
        <v>2</v>
      </c>
      <c r="D228" s="5">
        <v>837</v>
      </c>
      <c r="E228" s="5">
        <v>192</v>
      </c>
      <c r="F228" s="5">
        <v>10</v>
      </c>
      <c r="G228" s="5">
        <v>3</v>
      </c>
      <c r="H228" s="5">
        <v>827</v>
      </c>
      <c r="I228" s="6">
        <v>6</v>
      </c>
      <c r="J228" s="6">
        <v>15.8</v>
      </c>
      <c r="K228" s="6">
        <v>41</v>
      </c>
      <c r="L228" s="6">
        <v>41</v>
      </c>
      <c r="M228" s="4" t="str">
        <f t="shared" si="9"/>
        <v>OK</v>
      </c>
      <c r="N228" s="7">
        <f t="shared" si="10"/>
        <v>1.065970453387672E-2</v>
      </c>
      <c r="O228" s="7">
        <f>SUMIFS($D$2:D228,$B$2:B228,B228)/SUMIFS($D$2:$D$741,$B$2:$B$741,B228)</f>
        <v>0.89628120224146712</v>
      </c>
      <c r="P228" s="4" t="b">
        <f t="shared" si="11"/>
        <v>1</v>
      </c>
      <c r="Q228" s="2"/>
      <c r="R228" s="2"/>
      <c r="S228" s="2"/>
    </row>
    <row r="229" spans="1:19" x14ac:dyDescent="0.45">
      <c r="A229" s="4" t="s">
        <v>274</v>
      </c>
      <c r="B229" s="4" t="s">
        <v>258</v>
      </c>
      <c r="C229" s="5">
        <v>1</v>
      </c>
      <c r="D229" s="5">
        <v>642</v>
      </c>
      <c r="E229" s="5">
        <v>139</v>
      </c>
      <c r="F229" s="5">
        <v>6</v>
      </c>
      <c r="G229" s="5">
        <v>2</v>
      </c>
      <c r="H229" s="5">
        <v>636</v>
      </c>
      <c r="I229" s="6">
        <v>2</v>
      </c>
      <c r="J229" s="6">
        <v>3.4</v>
      </c>
      <c r="K229" s="6">
        <v>8</v>
      </c>
      <c r="L229" s="6">
        <v>8</v>
      </c>
      <c r="M229" s="4" t="str">
        <f t="shared" si="9"/>
        <v>OK</v>
      </c>
      <c r="N229" s="7">
        <f t="shared" si="10"/>
        <v>8.1762608252674476E-3</v>
      </c>
      <c r="O229" s="7">
        <f>SUMIFS($D$2:D229,$B$2:B229,B229)/SUMIFS($D$2:$D$741,$B$2:$B$741,B229)</f>
        <v>0.90445746306673458</v>
      </c>
      <c r="P229" s="4" t="b">
        <f t="shared" si="11"/>
        <v>1</v>
      </c>
      <c r="Q229" s="2"/>
      <c r="R229" s="2"/>
      <c r="S229" s="2"/>
    </row>
    <row r="230" spans="1:19" x14ac:dyDescent="0.45">
      <c r="A230" s="4" t="s">
        <v>275</v>
      </c>
      <c r="B230" s="4" t="s">
        <v>258</v>
      </c>
      <c r="C230" s="5">
        <v>3</v>
      </c>
      <c r="D230" s="5">
        <v>585</v>
      </c>
      <c r="E230" s="5">
        <v>0</v>
      </c>
      <c r="F230" s="5">
        <v>0</v>
      </c>
      <c r="G230" s="5">
        <v>0</v>
      </c>
      <c r="H230" s="5">
        <v>585</v>
      </c>
      <c r="I230" s="6">
        <v>17</v>
      </c>
      <c r="J230" s="6">
        <v>26</v>
      </c>
      <c r="K230" s="6">
        <v>60</v>
      </c>
      <c r="L230" s="6">
        <v>60.4</v>
      </c>
      <c r="M230" s="4" t="str">
        <f t="shared" si="9"/>
        <v>OK</v>
      </c>
      <c r="N230" s="7">
        <f t="shared" si="10"/>
        <v>7.4503311258278145E-3</v>
      </c>
      <c r="O230" s="7">
        <f>SUMIFS($D$2:D230,$B$2:B230,B230)/SUMIFS($D$2:$D$741,$B$2:$B$741,B230)</f>
        <v>0.9119077941925624</v>
      </c>
      <c r="P230" s="4" t="b">
        <f t="shared" si="11"/>
        <v>1</v>
      </c>
      <c r="Q230" s="2"/>
      <c r="R230" s="2"/>
      <c r="S230" s="2"/>
    </row>
    <row r="231" spans="1:19" x14ac:dyDescent="0.45">
      <c r="A231" s="4" t="s">
        <v>276</v>
      </c>
      <c r="B231" s="4" t="s">
        <v>258</v>
      </c>
      <c r="C231" s="5">
        <v>2</v>
      </c>
      <c r="D231" s="5">
        <v>506</v>
      </c>
      <c r="E231" s="5">
        <v>86</v>
      </c>
      <c r="F231" s="5">
        <v>0</v>
      </c>
      <c r="G231" s="5">
        <v>0</v>
      </c>
      <c r="H231" s="5">
        <v>506</v>
      </c>
      <c r="I231" s="6">
        <v>3</v>
      </c>
      <c r="J231" s="6">
        <v>5</v>
      </c>
      <c r="K231" s="6">
        <v>11</v>
      </c>
      <c r="L231" s="6">
        <v>11</v>
      </c>
      <c r="M231" s="4" t="str">
        <f t="shared" si="9"/>
        <v>OK</v>
      </c>
      <c r="N231" s="7">
        <f t="shared" si="10"/>
        <v>6.4442180336220069E-3</v>
      </c>
      <c r="O231" s="7">
        <f>SUMIFS($D$2:D231,$B$2:B231,B231)/SUMIFS($D$2:$D$741,$B$2:$B$741,B231)</f>
        <v>0.91835201222618446</v>
      </c>
      <c r="P231" s="4" t="b">
        <f t="shared" si="11"/>
        <v>1</v>
      </c>
      <c r="Q231" s="2"/>
      <c r="R231" s="2"/>
      <c r="S231" s="2"/>
    </row>
    <row r="232" spans="1:19" x14ac:dyDescent="0.45">
      <c r="A232" s="4" t="s">
        <v>277</v>
      </c>
      <c r="B232" s="4" t="s">
        <v>258</v>
      </c>
      <c r="C232" s="5">
        <v>3</v>
      </c>
      <c r="D232" s="5">
        <v>475</v>
      </c>
      <c r="E232" s="5">
        <v>84</v>
      </c>
      <c r="F232" s="5">
        <v>2</v>
      </c>
      <c r="G232" s="5">
        <v>1</v>
      </c>
      <c r="H232" s="5">
        <v>473</v>
      </c>
      <c r="I232" s="6">
        <v>4</v>
      </c>
      <c r="J232" s="6">
        <v>7.5</v>
      </c>
      <c r="K232" s="6">
        <v>17</v>
      </c>
      <c r="L232" s="6">
        <v>17</v>
      </c>
      <c r="M232" s="4" t="str">
        <f t="shared" si="9"/>
        <v>OK</v>
      </c>
      <c r="N232" s="7">
        <f t="shared" si="10"/>
        <v>6.0494141619969431E-3</v>
      </c>
      <c r="O232" s="7">
        <f>SUMIFS($D$2:D232,$B$2:B232,B232)/SUMIFS($D$2:$D$741,$B$2:$B$741,B232)</f>
        <v>0.92440142638818135</v>
      </c>
      <c r="P232" s="4" t="b">
        <f t="shared" si="11"/>
        <v>1</v>
      </c>
      <c r="Q232" s="2"/>
      <c r="R232" s="2"/>
      <c r="S232" s="2"/>
    </row>
    <row r="233" spans="1:19" x14ac:dyDescent="0.45">
      <c r="A233" s="4" t="s">
        <v>278</v>
      </c>
      <c r="B233" s="4" t="s">
        <v>258</v>
      </c>
      <c r="C233" s="5">
        <v>2</v>
      </c>
      <c r="D233" s="5">
        <v>430</v>
      </c>
      <c r="E233" s="5">
        <v>66</v>
      </c>
      <c r="F233" s="5">
        <v>0</v>
      </c>
      <c r="G233" s="5">
        <v>0</v>
      </c>
      <c r="H233" s="5">
        <v>430</v>
      </c>
      <c r="I233" s="6">
        <v>3</v>
      </c>
      <c r="J233" s="6">
        <v>6</v>
      </c>
      <c r="K233" s="6">
        <v>13</v>
      </c>
      <c r="L233" s="6">
        <v>13</v>
      </c>
      <c r="M233" s="4" t="str">
        <f t="shared" si="9"/>
        <v>OK</v>
      </c>
      <c r="N233" s="7">
        <f t="shared" si="10"/>
        <v>5.4763117677024964E-3</v>
      </c>
      <c r="O233" s="7">
        <f>SUMIFS($D$2:D233,$B$2:B233,B233)/SUMIFS($D$2:$D$741,$B$2:$B$741,B233)</f>
        <v>0.92987773815588382</v>
      </c>
      <c r="P233" s="4" t="b">
        <f t="shared" si="11"/>
        <v>1</v>
      </c>
      <c r="Q233" s="2"/>
      <c r="R233" s="2"/>
      <c r="S233" s="2"/>
    </row>
    <row r="234" spans="1:19" x14ac:dyDescent="0.45">
      <c r="A234" s="4" t="s">
        <v>279</v>
      </c>
      <c r="B234" s="4" t="s">
        <v>258</v>
      </c>
      <c r="C234" s="5">
        <v>2</v>
      </c>
      <c r="D234" s="5">
        <v>417</v>
      </c>
      <c r="E234" s="5">
        <v>75</v>
      </c>
      <c r="F234" s="5">
        <v>4</v>
      </c>
      <c r="G234" s="5">
        <v>0</v>
      </c>
      <c r="H234" s="5">
        <v>413</v>
      </c>
      <c r="I234" s="6">
        <v>5</v>
      </c>
      <c r="J234" s="6">
        <v>9.8000000000000007</v>
      </c>
      <c r="K234" s="6">
        <v>22</v>
      </c>
      <c r="L234" s="6">
        <v>21.8</v>
      </c>
      <c r="M234" s="4" t="str">
        <f t="shared" si="9"/>
        <v>OK</v>
      </c>
      <c r="N234" s="7">
        <f t="shared" si="10"/>
        <v>5.3107488537952113E-3</v>
      </c>
      <c r="O234" s="7">
        <f>SUMIFS($D$2:D234,$B$2:B234,B234)/SUMIFS($D$2:$D$741,$B$2:$B$741,B234)</f>
        <v>0.93518848700967905</v>
      </c>
      <c r="P234" s="4" t="b">
        <f t="shared" si="11"/>
        <v>1</v>
      </c>
      <c r="Q234" s="2"/>
      <c r="R234" s="2"/>
      <c r="S234" s="2"/>
    </row>
    <row r="235" spans="1:19" x14ac:dyDescent="0.45">
      <c r="A235" s="4" t="s">
        <v>280</v>
      </c>
      <c r="B235" s="4" t="s">
        <v>258</v>
      </c>
      <c r="C235" s="5">
        <v>2</v>
      </c>
      <c r="D235" s="5">
        <v>416</v>
      </c>
      <c r="E235" s="5">
        <v>60</v>
      </c>
      <c r="F235" s="5">
        <v>0</v>
      </c>
      <c r="G235" s="5">
        <v>0</v>
      </c>
      <c r="H235" s="5">
        <v>416</v>
      </c>
      <c r="I235" s="6">
        <v>5</v>
      </c>
      <c r="J235" s="6">
        <v>7.9</v>
      </c>
      <c r="K235" s="6">
        <v>18</v>
      </c>
      <c r="L235" s="6">
        <v>18</v>
      </c>
      <c r="M235" s="4" t="str">
        <f t="shared" si="9"/>
        <v>OK</v>
      </c>
      <c r="N235" s="7">
        <f t="shared" si="10"/>
        <v>5.2980132450331126E-3</v>
      </c>
      <c r="O235" s="7">
        <f>SUMIFS($D$2:D235,$B$2:B235,B235)/SUMIFS($D$2:$D$741,$B$2:$B$741,B235)</f>
        <v>0.94048650025471214</v>
      </c>
      <c r="P235" s="4" t="b">
        <f t="shared" si="11"/>
        <v>1</v>
      </c>
      <c r="Q235" s="2"/>
      <c r="R235" s="2"/>
      <c r="S235" s="2"/>
    </row>
    <row r="236" spans="1:19" x14ac:dyDescent="0.45">
      <c r="A236" s="4" t="s">
        <v>281</v>
      </c>
      <c r="B236" s="4" t="s">
        <v>258</v>
      </c>
      <c r="C236" s="5">
        <v>3</v>
      </c>
      <c r="D236" s="5">
        <v>403</v>
      </c>
      <c r="E236" s="5">
        <v>0</v>
      </c>
      <c r="F236" s="5">
        <v>2</v>
      </c>
      <c r="G236" s="5">
        <v>2</v>
      </c>
      <c r="H236" s="5">
        <v>401</v>
      </c>
      <c r="I236" s="6">
        <v>3</v>
      </c>
      <c r="J236" s="6">
        <v>5.3</v>
      </c>
      <c r="K236" s="6">
        <v>14</v>
      </c>
      <c r="L236" s="6">
        <v>14</v>
      </c>
      <c r="M236" s="4" t="str">
        <f t="shared" si="9"/>
        <v>OK</v>
      </c>
      <c r="N236" s="7">
        <f t="shared" si="10"/>
        <v>5.1324503311258275E-3</v>
      </c>
      <c r="O236" s="7">
        <f>SUMIFS($D$2:D236,$B$2:B236,B236)/SUMIFS($D$2:$D$741,$B$2:$B$741,B236)</f>
        <v>0.945618950585838</v>
      </c>
      <c r="P236" s="4" t="b">
        <f t="shared" si="11"/>
        <v>1</v>
      </c>
      <c r="Q236" s="2"/>
      <c r="R236" s="2"/>
      <c r="S236" s="2"/>
    </row>
    <row r="237" spans="1:19" x14ac:dyDescent="0.45">
      <c r="A237" s="4" t="s">
        <v>282</v>
      </c>
      <c r="B237" s="4" t="s">
        <v>258</v>
      </c>
      <c r="C237" s="5">
        <v>2</v>
      </c>
      <c r="D237" s="5">
        <v>379</v>
      </c>
      <c r="E237" s="5">
        <v>10</v>
      </c>
      <c r="F237" s="5">
        <v>1</v>
      </c>
      <c r="G237" s="5">
        <v>1</v>
      </c>
      <c r="H237" s="5">
        <v>378</v>
      </c>
      <c r="I237" s="6">
        <v>23</v>
      </c>
      <c r="J237" s="6">
        <v>48.5</v>
      </c>
      <c r="K237" s="6">
        <v>134</v>
      </c>
      <c r="L237" s="6">
        <v>134.30000000000001</v>
      </c>
      <c r="M237" s="4" t="str">
        <f t="shared" si="9"/>
        <v>OK</v>
      </c>
      <c r="N237" s="7">
        <f t="shared" si="10"/>
        <v>4.8267957208354556E-3</v>
      </c>
      <c r="O237" s="7">
        <f>SUMIFS($D$2:D237,$B$2:B237,B237)/SUMIFS($D$2:$D$741,$B$2:$B$741,B237)</f>
        <v>0.95044574630667344</v>
      </c>
      <c r="P237" s="4" t="b">
        <f t="shared" si="11"/>
        <v>1</v>
      </c>
      <c r="Q237" s="2"/>
      <c r="R237" s="2"/>
      <c r="S237" s="2"/>
    </row>
    <row r="238" spans="1:19" x14ac:dyDescent="0.45">
      <c r="A238" s="4" t="s">
        <v>283</v>
      </c>
      <c r="B238" s="4" t="s">
        <v>258</v>
      </c>
      <c r="C238" s="5">
        <v>2</v>
      </c>
      <c r="D238" s="5">
        <v>327</v>
      </c>
      <c r="E238" s="5">
        <v>56</v>
      </c>
      <c r="F238" s="5">
        <v>0</v>
      </c>
      <c r="G238" s="5">
        <v>0</v>
      </c>
      <c r="H238" s="5">
        <v>327</v>
      </c>
      <c r="I238" s="6">
        <v>4</v>
      </c>
      <c r="J238" s="6">
        <v>9.4</v>
      </c>
      <c r="K238" s="6">
        <v>19</v>
      </c>
      <c r="L238" s="6">
        <v>19</v>
      </c>
      <c r="M238" s="4" t="str">
        <f t="shared" si="9"/>
        <v>OK</v>
      </c>
      <c r="N238" s="7">
        <f t="shared" si="10"/>
        <v>4.164544065206317E-3</v>
      </c>
      <c r="O238" s="7">
        <f>SUMIFS($D$2:D238,$B$2:B238,B238)/SUMIFS($D$2:$D$741,$B$2:$B$741,B238)</f>
        <v>0.95461029037187972</v>
      </c>
      <c r="P238" s="4" t="b">
        <f t="shared" si="11"/>
        <v>0</v>
      </c>
      <c r="Q238" s="2"/>
      <c r="R238" s="2"/>
      <c r="S238" s="2"/>
    </row>
    <row r="239" spans="1:19" x14ac:dyDescent="0.45">
      <c r="A239" s="4" t="s">
        <v>284</v>
      </c>
      <c r="B239" s="4" t="s">
        <v>258</v>
      </c>
      <c r="C239" s="5">
        <v>2</v>
      </c>
      <c r="D239" s="5">
        <v>313</v>
      </c>
      <c r="E239" s="5">
        <v>60</v>
      </c>
      <c r="F239" s="5">
        <v>8</v>
      </c>
      <c r="G239" s="5">
        <v>0</v>
      </c>
      <c r="H239" s="5">
        <v>305</v>
      </c>
      <c r="I239" s="6">
        <v>8</v>
      </c>
      <c r="J239" s="6">
        <v>15.2</v>
      </c>
      <c r="K239" s="6">
        <v>35</v>
      </c>
      <c r="L239" s="6">
        <v>34.6</v>
      </c>
      <c r="M239" s="4" t="str">
        <f t="shared" si="9"/>
        <v>OK</v>
      </c>
      <c r="N239" s="7">
        <f t="shared" si="10"/>
        <v>3.9862455425369332E-3</v>
      </c>
      <c r="O239" s="7">
        <f>SUMIFS($D$2:D239,$B$2:B239,B239)/SUMIFS($D$2:$D$741,$B$2:$B$741,B239)</f>
        <v>0.95859653591441674</v>
      </c>
      <c r="P239" s="4" t="b">
        <f t="shared" si="11"/>
        <v>0</v>
      </c>
      <c r="Q239" s="2"/>
      <c r="R239" s="2"/>
      <c r="S239" s="2"/>
    </row>
    <row r="240" spans="1:19" x14ac:dyDescent="0.45">
      <c r="A240" s="4" t="s">
        <v>285</v>
      </c>
      <c r="B240" s="4" t="s">
        <v>258</v>
      </c>
      <c r="C240" s="5">
        <v>2</v>
      </c>
      <c r="D240" s="5">
        <v>290</v>
      </c>
      <c r="E240" s="5">
        <v>44</v>
      </c>
      <c r="F240" s="5">
        <v>1</v>
      </c>
      <c r="G240" s="5">
        <v>1</v>
      </c>
      <c r="H240" s="5">
        <v>289</v>
      </c>
      <c r="I240" s="6">
        <v>3</v>
      </c>
      <c r="J240" s="6">
        <v>5.6</v>
      </c>
      <c r="K240" s="6">
        <v>13</v>
      </c>
      <c r="L240" s="6">
        <v>13.2</v>
      </c>
      <c r="M240" s="4" t="str">
        <f t="shared" si="9"/>
        <v>OK</v>
      </c>
      <c r="N240" s="7">
        <f t="shared" si="10"/>
        <v>3.6933265410086604E-3</v>
      </c>
      <c r="O240" s="7">
        <f>SUMIFS($D$2:D240,$B$2:B240,B240)/SUMIFS($D$2:$D$741,$B$2:$B$741,B240)</f>
        <v>0.96228986245542536</v>
      </c>
      <c r="P240" s="4" t="b">
        <f t="shared" si="11"/>
        <v>0</v>
      </c>
      <c r="Q240" s="2"/>
      <c r="R240" s="2"/>
      <c r="S240" s="2"/>
    </row>
    <row r="241" spans="1:19" x14ac:dyDescent="0.45">
      <c r="A241" s="4" t="s">
        <v>286</v>
      </c>
      <c r="B241" s="4" t="s">
        <v>258</v>
      </c>
      <c r="C241" s="5">
        <v>2</v>
      </c>
      <c r="D241" s="5">
        <v>257</v>
      </c>
      <c r="E241" s="5">
        <v>44</v>
      </c>
      <c r="F241" s="5">
        <v>3</v>
      </c>
      <c r="G241" s="5">
        <v>2</v>
      </c>
      <c r="H241" s="5">
        <v>254</v>
      </c>
      <c r="I241" s="6">
        <v>3</v>
      </c>
      <c r="J241" s="6">
        <v>6.2</v>
      </c>
      <c r="K241" s="6">
        <v>16</v>
      </c>
      <c r="L241" s="6">
        <v>16</v>
      </c>
      <c r="M241" s="4" t="str">
        <f t="shared" si="9"/>
        <v>OK</v>
      </c>
      <c r="N241" s="7">
        <f t="shared" si="10"/>
        <v>3.2730514518593988E-3</v>
      </c>
      <c r="O241" s="7">
        <f>SUMIFS($D$2:D241,$B$2:B241,B241)/SUMIFS($D$2:$D$741,$B$2:$B$741,B241)</f>
        <v>0.96556291390728477</v>
      </c>
      <c r="P241" s="4" t="b">
        <f t="shared" si="11"/>
        <v>0</v>
      </c>
      <c r="Q241" s="2"/>
      <c r="R241" s="2"/>
      <c r="S241" s="2"/>
    </row>
    <row r="242" spans="1:19" x14ac:dyDescent="0.45">
      <c r="A242" s="4" t="s">
        <v>287</v>
      </c>
      <c r="B242" s="4" t="s">
        <v>258</v>
      </c>
      <c r="C242" s="5">
        <v>2</v>
      </c>
      <c r="D242" s="5">
        <v>240</v>
      </c>
      <c r="E242" s="5">
        <v>38</v>
      </c>
      <c r="F242" s="5">
        <v>0</v>
      </c>
      <c r="G242" s="5">
        <v>0</v>
      </c>
      <c r="H242" s="5">
        <v>240</v>
      </c>
      <c r="I242" s="6">
        <v>4</v>
      </c>
      <c r="J242" s="6">
        <v>7.5</v>
      </c>
      <c r="K242" s="6">
        <v>15</v>
      </c>
      <c r="L242" s="6">
        <v>15</v>
      </c>
      <c r="M242" s="4" t="str">
        <f t="shared" si="9"/>
        <v>OK</v>
      </c>
      <c r="N242" s="7">
        <f t="shared" si="10"/>
        <v>3.0565461029037188E-3</v>
      </c>
      <c r="O242" s="7">
        <f>SUMIFS($D$2:D242,$B$2:B242,B242)/SUMIFS($D$2:$D$741,$B$2:$B$741,B242)</f>
        <v>0.9686194600101885</v>
      </c>
      <c r="P242" s="4" t="b">
        <f t="shared" si="11"/>
        <v>0</v>
      </c>
      <c r="Q242" s="2"/>
      <c r="R242" s="2"/>
      <c r="S242" s="2"/>
    </row>
    <row r="243" spans="1:19" x14ac:dyDescent="0.45">
      <c r="A243" s="4" t="s">
        <v>288</v>
      </c>
      <c r="B243" s="4" t="s">
        <v>258</v>
      </c>
      <c r="C243" s="5">
        <v>2</v>
      </c>
      <c r="D243" s="5">
        <v>239</v>
      </c>
      <c r="E243" s="5">
        <v>36</v>
      </c>
      <c r="F243" s="5">
        <v>0</v>
      </c>
      <c r="G243" s="5">
        <v>0</v>
      </c>
      <c r="H243" s="5">
        <v>239</v>
      </c>
      <c r="I243" s="6">
        <v>2</v>
      </c>
      <c r="J243" s="6">
        <v>6.2</v>
      </c>
      <c r="K243" s="6">
        <v>14</v>
      </c>
      <c r="L243" s="6">
        <v>14</v>
      </c>
      <c r="M243" s="4" t="str">
        <f t="shared" si="9"/>
        <v>OK</v>
      </c>
      <c r="N243" s="7">
        <f t="shared" si="10"/>
        <v>3.0438104941416201E-3</v>
      </c>
      <c r="O243" s="7">
        <f>SUMIFS($D$2:D243,$B$2:B243,B243)/SUMIFS($D$2:$D$741,$B$2:$B$741,B243)</f>
        <v>0.9716632705043301</v>
      </c>
      <c r="P243" s="4" t="b">
        <f t="shared" si="11"/>
        <v>0</v>
      </c>
      <c r="Q243" s="2"/>
      <c r="R243" s="2"/>
      <c r="S243" s="2"/>
    </row>
    <row r="244" spans="1:19" x14ac:dyDescent="0.45">
      <c r="A244" s="4" t="s">
        <v>289</v>
      </c>
      <c r="B244" s="4" t="s">
        <v>258</v>
      </c>
      <c r="C244" s="5">
        <v>2</v>
      </c>
      <c r="D244" s="5">
        <v>192</v>
      </c>
      <c r="E244" s="5">
        <v>41</v>
      </c>
      <c r="F244" s="5">
        <v>3</v>
      </c>
      <c r="G244" s="5">
        <v>0</v>
      </c>
      <c r="H244" s="5">
        <v>189</v>
      </c>
      <c r="I244" s="6">
        <v>2</v>
      </c>
      <c r="J244" s="6">
        <v>5.4</v>
      </c>
      <c r="K244" s="6">
        <v>14</v>
      </c>
      <c r="L244" s="6">
        <v>14.2</v>
      </c>
      <c r="M244" s="4" t="str">
        <f t="shared" si="9"/>
        <v>OK</v>
      </c>
      <c r="N244" s="7">
        <f t="shared" si="10"/>
        <v>2.445236882322975E-3</v>
      </c>
      <c r="O244" s="7">
        <f>SUMIFS($D$2:D244,$B$2:B244,B244)/SUMIFS($D$2:$D$741,$B$2:$B$741,B244)</f>
        <v>0.97410850738665311</v>
      </c>
      <c r="P244" s="4" t="b">
        <f t="shared" si="11"/>
        <v>0</v>
      </c>
      <c r="Q244" s="2"/>
      <c r="R244" s="2"/>
      <c r="S244" s="2"/>
    </row>
    <row r="245" spans="1:19" x14ac:dyDescent="0.45">
      <c r="A245" s="4" t="s">
        <v>290</v>
      </c>
      <c r="B245" s="4" t="s">
        <v>258</v>
      </c>
      <c r="C245" s="5">
        <v>3</v>
      </c>
      <c r="D245" s="5">
        <v>180</v>
      </c>
      <c r="E245" s="5">
        <v>25</v>
      </c>
      <c r="F245" s="5">
        <v>0</v>
      </c>
      <c r="G245" s="5">
        <v>0</v>
      </c>
      <c r="H245" s="5">
        <v>180</v>
      </c>
      <c r="I245" s="6">
        <v>5</v>
      </c>
      <c r="J245" s="6">
        <v>6.1</v>
      </c>
      <c r="K245" s="6">
        <v>11</v>
      </c>
      <c r="L245" s="6">
        <v>11</v>
      </c>
      <c r="M245" s="4" t="str">
        <f t="shared" si="9"/>
        <v>OK</v>
      </c>
      <c r="N245" s="7">
        <f t="shared" si="10"/>
        <v>2.2924095771777891E-3</v>
      </c>
      <c r="O245" s="7">
        <f>SUMIFS($D$2:D245,$B$2:B245,B245)/SUMIFS($D$2:$D$741,$B$2:$B$741,B245)</f>
        <v>0.97640091696383091</v>
      </c>
      <c r="P245" s="4" t="b">
        <f t="shared" si="11"/>
        <v>0</v>
      </c>
      <c r="Q245" s="2"/>
      <c r="R245" s="2"/>
      <c r="S245" s="2"/>
    </row>
    <row r="246" spans="1:19" x14ac:dyDescent="0.45">
      <c r="A246" s="4" t="s">
        <v>291</v>
      </c>
      <c r="B246" s="4" t="s">
        <v>258</v>
      </c>
      <c r="C246" s="5">
        <v>2</v>
      </c>
      <c r="D246" s="5">
        <v>180</v>
      </c>
      <c r="E246" s="5">
        <v>35</v>
      </c>
      <c r="F246" s="5">
        <v>1</v>
      </c>
      <c r="G246" s="5">
        <v>0</v>
      </c>
      <c r="H246" s="5">
        <v>179</v>
      </c>
      <c r="I246" s="6">
        <v>9</v>
      </c>
      <c r="J246" s="6">
        <v>18.600000000000001</v>
      </c>
      <c r="K246" s="6">
        <v>51</v>
      </c>
      <c r="L246" s="6">
        <v>51.2</v>
      </c>
      <c r="M246" s="4" t="str">
        <f t="shared" si="9"/>
        <v>OK</v>
      </c>
      <c r="N246" s="7">
        <f t="shared" si="10"/>
        <v>2.2924095771777891E-3</v>
      </c>
      <c r="O246" s="7">
        <f>SUMIFS($D$2:D246,$B$2:B246,B246)/SUMIFS($D$2:$D$741,$B$2:$B$741,B246)</f>
        <v>0.97869332654100871</v>
      </c>
      <c r="P246" s="4" t="b">
        <f t="shared" si="11"/>
        <v>0</v>
      </c>
      <c r="Q246" s="2"/>
      <c r="R246" s="2"/>
      <c r="S246" s="2"/>
    </row>
    <row r="247" spans="1:19" x14ac:dyDescent="0.45">
      <c r="A247" s="4" t="s">
        <v>292</v>
      </c>
      <c r="B247" s="4" t="s">
        <v>258</v>
      </c>
      <c r="C247" s="5">
        <v>3</v>
      </c>
      <c r="D247" s="5">
        <v>172</v>
      </c>
      <c r="E247" s="5">
        <v>53</v>
      </c>
      <c r="F247" s="5">
        <v>2</v>
      </c>
      <c r="G247" s="5">
        <v>0</v>
      </c>
      <c r="H247" s="5">
        <v>170</v>
      </c>
      <c r="I247" s="6">
        <v>4</v>
      </c>
      <c r="J247" s="6">
        <v>7.1</v>
      </c>
      <c r="K247" s="6">
        <v>14</v>
      </c>
      <c r="L247" s="6">
        <v>14.1</v>
      </c>
      <c r="M247" s="4" t="str">
        <f t="shared" si="9"/>
        <v>OK</v>
      </c>
      <c r="N247" s="7">
        <f t="shared" si="10"/>
        <v>2.1905247070809985E-3</v>
      </c>
      <c r="O247" s="7">
        <f>SUMIFS($D$2:D247,$B$2:B247,B247)/SUMIFS($D$2:$D$741,$B$2:$B$741,B247)</f>
        <v>0.98088385124808963</v>
      </c>
      <c r="P247" s="4" t="b">
        <f t="shared" si="11"/>
        <v>0</v>
      </c>
      <c r="Q247" s="2"/>
      <c r="R247" s="2"/>
      <c r="S247" s="2"/>
    </row>
    <row r="248" spans="1:19" x14ac:dyDescent="0.45">
      <c r="A248" s="4" t="s">
        <v>293</v>
      </c>
      <c r="B248" s="4" t="s">
        <v>258</v>
      </c>
      <c r="C248" s="5">
        <v>2</v>
      </c>
      <c r="D248" s="5">
        <v>172</v>
      </c>
      <c r="E248" s="5">
        <v>30</v>
      </c>
      <c r="F248" s="5">
        <v>0</v>
      </c>
      <c r="G248" s="5">
        <v>0</v>
      </c>
      <c r="H248" s="5">
        <v>172</v>
      </c>
      <c r="I248" s="6">
        <v>6</v>
      </c>
      <c r="J248" s="6">
        <v>8.9</v>
      </c>
      <c r="K248" s="6">
        <v>19</v>
      </c>
      <c r="L248" s="6">
        <v>19</v>
      </c>
      <c r="M248" s="4" t="str">
        <f t="shared" si="9"/>
        <v>OK</v>
      </c>
      <c r="N248" s="7">
        <f t="shared" si="10"/>
        <v>2.1905247070809985E-3</v>
      </c>
      <c r="O248" s="7">
        <f>SUMIFS($D$2:D248,$B$2:B248,B248)/SUMIFS($D$2:$D$741,$B$2:$B$741,B248)</f>
        <v>0.98307437595517067</v>
      </c>
      <c r="P248" s="4" t="b">
        <f t="shared" si="11"/>
        <v>0</v>
      </c>
      <c r="Q248" s="2"/>
      <c r="R248" s="2"/>
      <c r="S248" s="2"/>
    </row>
    <row r="249" spans="1:19" x14ac:dyDescent="0.45">
      <c r="A249" s="4" t="s">
        <v>294</v>
      </c>
      <c r="B249" s="4" t="s">
        <v>258</v>
      </c>
      <c r="C249" s="5">
        <v>2</v>
      </c>
      <c r="D249" s="5">
        <v>170</v>
      </c>
      <c r="E249" s="5">
        <v>24</v>
      </c>
      <c r="F249" s="5">
        <v>0</v>
      </c>
      <c r="G249" s="5">
        <v>0</v>
      </c>
      <c r="H249" s="5">
        <v>170</v>
      </c>
      <c r="I249" s="6">
        <v>2.5</v>
      </c>
      <c r="J249" s="6">
        <v>8.4</v>
      </c>
      <c r="K249" s="6">
        <v>19</v>
      </c>
      <c r="L249" s="6">
        <v>19</v>
      </c>
      <c r="M249" s="4" t="str">
        <f t="shared" si="9"/>
        <v>OK</v>
      </c>
      <c r="N249" s="7">
        <f t="shared" si="10"/>
        <v>2.165053489556801E-3</v>
      </c>
      <c r="O249" s="7">
        <f>SUMIFS($D$2:D249,$B$2:B249,B249)/SUMIFS($D$2:$D$741,$B$2:$B$741,B249)</f>
        <v>0.98523942944472742</v>
      </c>
      <c r="P249" s="4" t="b">
        <f t="shared" si="11"/>
        <v>0</v>
      </c>
      <c r="Q249" s="2"/>
      <c r="R249" s="2"/>
      <c r="S249" s="2"/>
    </row>
    <row r="250" spans="1:19" x14ac:dyDescent="0.45">
      <c r="A250" s="4" t="s">
        <v>295</v>
      </c>
      <c r="B250" s="4" t="s">
        <v>258</v>
      </c>
      <c r="C250" s="5">
        <v>2</v>
      </c>
      <c r="D250" s="5">
        <v>144</v>
      </c>
      <c r="E250" s="5">
        <v>0</v>
      </c>
      <c r="F250" s="5">
        <v>0</v>
      </c>
      <c r="G250" s="5">
        <v>0</v>
      </c>
      <c r="H250" s="5">
        <v>144</v>
      </c>
      <c r="I250" s="6">
        <v>4.5</v>
      </c>
      <c r="J250" s="6">
        <v>8.6999999999999993</v>
      </c>
      <c r="K250" s="6">
        <v>20</v>
      </c>
      <c r="L250" s="6">
        <v>20</v>
      </c>
      <c r="M250" s="4" t="str">
        <f t="shared" si="9"/>
        <v>OK</v>
      </c>
      <c r="N250" s="7">
        <f t="shared" si="10"/>
        <v>1.8339276617422313E-3</v>
      </c>
      <c r="O250" s="7">
        <f>SUMIFS($D$2:D250,$B$2:B250,B250)/SUMIFS($D$2:$D$741,$B$2:$B$741,B250)</f>
        <v>0.98707335710646971</v>
      </c>
      <c r="P250" s="4" t="b">
        <f t="shared" si="11"/>
        <v>0</v>
      </c>
      <c r="Q250" s="2"/>
      <c r="R250" s="2"/>
      <c r="S250" s="2"/>
    </row>
    <row r="251" spans="1:19" x14ac:dyDescent="0.45">
      <c r="A251" s="4" t="s">
        <v>296</v>
      </c>
      <c r="B251" s="4" t="s">
        <v>258</v>
      </c>
      <c r="C251" s="5">
        <v>1</v>
      </c>
      <c r="D251" s="5">
        <v>129</v>
      </c>
      <c r="E251" s="5">
        <v>125</v>
      </c>
      <c r="F251" s="5">
        <v>18</v>
      </c>
      <c r="G251" s="5">
        <v>7</v>
      </c>
      <c r="H251" s="5">
        <v>111</v>
      </c>
      <c r="I251" s="6">
        <v>31</v>
      </c>
      <c r="J251" s="6">
        <v>51.2</v>
      </c>
      <c r="K251" s="6">
        <v>130</v>
      </c>
      <c r="L251" s="6">
        <v>130</v>
      </c>
      <c r="M251" s="4" t="str">
        <f t="shared" si="9"/>
        <v>OK</v>
      </c>
      <c r="N251" s="7">
        <f t="shared" si="10"/>
        <v>1.642893530310749E-3</v>
      </c>
      <c r="O251" s="7">
        <f>SUMIFS($D$2:D251,$B$2:B251,B251)/SUMIFS($D$2:$D$741,$B$2:$B$741,B251)</f>
        <v>0.98871625063678048</v>
      </c>
      <c r="P251" s="4" t="b">
        <f t="shared" si="11"/>
        <v>0</v>
      </c>
      <c r="Q251" s="2"/>
      <c r="R251" s="2"/>
      <c r="S251" s="2"/>
    </row>
    <row r="252" spans="1:19" x14ac:dyDescent="0.45">
      <c r="A252" s="4" t="s">
        <v>297</v>
      </c>
      <c r="B252" s="4" t="s">
        <v>258</v>
      </c>
      <c r="C252" s="5">
        <v>1</v>
      </c>
      <c r="D252" s="5">
        <v>119</v>
      </c>
      <c r="E252" s="5">
        <v>61</v>
      </c>
      <c r="F252" s="5">
        <v>0</v>
      </c>
      <c r="G252" s="5">
        <v>0</v>
      </c>
      <c r="H252" s="5">
        <v>119</v>
      </c>
      <c r="I252" s="6">
        <v>3</v>
      </c>
      <c r="J252" s="6">
        <v>5.0999999999999996</v>
      </c>
      <c r="K252" s="6">
        <v>12</v>
      </c>
      <c r="L252" s="6">
        <v>12</v>
      </c>
      <c r="M252" s="4" t="str">
        <f t="shared" si="9"/>
        <v>OK</v>
      </c>
      <c r="N252" s="7">
        <f t="shared" si="10"/>
        <v>1.5155374426897607E-3</v>
      </c>
      <c r="O252" s="7">
        <f>SUMIFS($D$2:D252,$B$2:B252,B252)/SUMIFS($D$2:$D$741,$B$2:$B$741,B252)</f>
        <v>0.99023178807947021</v>
      </c>
      <c r="P252" s="4" t="b">
        <f t="shared" si="11"/>
        <v>0</v>
      </c>
      <c r="Q252" s="2"/>
      <c r="R252" s="2"/>
      <c r="S252" s="2"/>
    </row>
    <row r="253" spans="1:19" x14ac:dyDescent="0.45">
      <c r="A253" s="4" t="s">
        <v>298</v>
      </c>
      <c r="B253" s="4" t="s">
        <v>258</v>
      </c>
      <c r="C253" s="5">
        <v>2</v>
      </c>
      <c r="D253" s="5">
        <v>112</v>
      </c>
      <c r="E253" s="5">
        <v>39</v>
      </c>
      <c r="F253" s="5">
        <v>0</v>
      </c>
      <c r="G253" s="5">
        <v>0</v>
      </c>
      <c r="H253" s="5">
        <v>112</v>
      </c>
      <c r="I253" s="6">
        <v>2</v>
      </c>
      <c r="J253" s="6">
        <v>5.3</v>
      </c>
      <c r="K253" s="6">
        <v>17</v>
      </c>
      <c r="L253" s="6">
        <v>17</v>
      </c>
      <c r="M253" s="4" t="str">
        <f t="shared" si="9"/>
        <v>OK</v>
      </c>
      <c r="N253" s="7">
        <f t="shared" si="10"/>
        <v>1.4263881813550688E-3</v>
      </c>
      <c r="O253" s="7">
        <f>SUMIFS($D$2:D253,$B$2:B253,B253)/SUMIFS($D$2:$D$741,$B$2:$B$741,B253)</f>
        <v>0.99165817626082531</v>
      </c>
      <c r="P253" s="4" t="b">
        <f t="shared" si="11"/>
        <v>0</v>
      </c>
      <c r="Q253" s="2"/>
      <c r="R253" s="2"/>
      <c r="S253" s="2"/>
    </row>
    <row r="254" spans="1:19" x14ac:dyDescent="0.45">
      <c r="A254" s="4" t="s">
        <v>299</v>
      </c>
      <c r="B254" s="4" t="s">
        <v>258</v>
      </c>
      <c r="C254" s="5">
        <v>2</v>
      </c>
      <c r="D254" s="5">
        <v>111</v>
      </c>
      <c r="E254" s="5">
        <v>38</v>
      </c>
      <c r="F254" s="5">
        <v>4</v>
      </c>
      <c r="G254" s="5">
        <v>2</v>
      </c>
      <c r="H254" s="5">
        <v>107</v>
      </c>
      <c r="I254" s="6">
        <v>22</v>
      </c>
      <c r="J254" s="6">
        <v>36.1</v>
      </c>
      <c r="K254" s="6">
        <v>77</v>
      </c>
      <c r="L254" s="6">
        <v>77.400000000000006</v>
      </c>
      <c r="M254" s="4" t="str">
        <f t="shared" si="9"/>
        <v>OK</v>
      </c>
      <c r="N254" s="7">
        <f t="shared" si="10"/>
        <v>1.4136525725929701E-3</v>
      </c>
      <c r="O254" s="7">
        <f>SUMIFS($D$2:D254,$B$2:B254,B254)/SUMIFS($D$2:$D$741,$B$2:$B$741,B254)</f>
        <v>0.99307182883341827</v>
      </c>
      <c r="P254" s="4" t="b">
        <f t="shared" si="11"/>
        <v>0</v>
      </c>
      <c r="Q254" s="2"/>
      <c r="R254" s="2"/>
      <c r="S254" s="2"/>
    </row>
    <row r="255" spans="1:19" x14ac:dyDescent="0.45">
      <c r="A255" s="4" t="s">
        <v>300</v>
      </c>
      <c r="B255" s="4" t="s">
        <v>258</v>
      </c>
      <c r="C255" s="5">
        <v>1</v>
      </c>
      <c r="D255" s="5">
        <v>102</v>
      </c>
      <c r="E255" s="5">
        <v>34</v>
      </c>
      <c r="F255" s="5">
        <v>0</v>
      </c>
      <c r="G255" s="5">
        <v>0</v>
      </c>
      <c r="H255" s="5">
        <v>102</v>
      </c>
      <c r="I255" s="6">
        <v>3.5</v>
      </c>
      <c r="J255" s="6">
        <v>14.2</v>
      </c>
      <c r="K255" s="6">
        <v>48</v>
      </c>
      <c r="L255" s="6">
        <v>48</v>
      </c>
      <c r="M255" s="4" t="str">
        <f t="shared" si="9"/>
        <v>OK</v>
      </c>
      <c r="N255" s="7">
        <f t="shared" si="10"/>
        <v>1.2990320937340805E-3</v>
      </c>
      <c r="O255" s="7">
        <f>SUMIFS($D$2:D255,$B$2:B255,B255)/SUMIFS($D$2:$D$741,$B$2:$B$741,B255)</f>
        <v>0.99437086092715232</v>
      </c>
      <c r="P255" s="4" t="b">
        <f t="shared" si="11"/>
        <v>0</v>
      </c>
      <c r="Q255" s="2"/>
      <c r="R255" s="2"/>
      <c r="S255" s="2"/>
    </row>
    <row r="256" spans="1:19" x14ac:dyDescent="0.45">
      <c r="A256" s="4" t="s">
        <v>301</v>
      </c>
      <c r="B256" s="4" t="s">
        <v>258</v>
      </c>
      <c r="C256" s="5">
        <v>2</v>
      </c>
      <c r="D256" s="5">
        <v>86</v>
      </c>
      <c r="E256" s="5">
        <v>14</v>
      </c>
      <c r="F256" s="5">
        <v>0</v>
      </c>
      <c r="G256" s="5">
        <v>0</v>
      </c>
      <c r="H256" s="5">
        <v>86</v>
      </c>
      <c r="I256" s="6">
        <v>3.5</v>
      </c>
      <c r="J256" s="6">
        <v>12.9</v>
      </c>
      <c r="K256" s="6">
        <v>54</v>
      </c>
      <c r="L256" s="6">
        <v>54</v>
      </c>
      <c r="M256" s="4" t="str">
        <f t="shared" si="9"/>
        <v>OK</v>
      </c>
      <c r="N256" s="7">
        <f t="shared" si="10"/>
        <v>1.0952623535404992E-3</v>
      </c>
      <c r="O256" s="7">
        <f>SUMIFS($D$2:D256,$B$2:B256,B256)/SUMIFS($D$2:$D$741,$B$2:$B$741,B256)</f>
        <v>0.99546612328069284</v>
      </c>
      <c r="P256" s="4" t="b">
        <f t="shared" si="11"/>
        <v>0</v>
      </c>
      <c r="Q256" s="2"/>
      <c r="R256" s="2"/>
      <c r="S256" s="2"/>
    </row>
    <row r="257" spans="1:19" x14ac:dyDescent="0.45">
      <c r="A257" s="4" t="s">
        <v>302</v>
      </c>
      <c r="B257" s="4" t="s">
        <v>258</v>
      </c>
      <c r="C257" s="5">
        <v>1</v>
      </c>
      <c r="D257" s="5">
        <v>85</v>
      </c>
      <c r="E257" s="5">
        <v>69</v>
      </c>
      <c r="F257" s="5">
        <v>11</v>
      </c>
      <c r="G257" s="5">
        <v>9</v>
      </c>
      <c r="H257" s="5">
        <v>74</v>
      </c>
      <c r="I257" s="6">
        <v>44</v>
      </c>
      <c r="J257" s="6">
        <v>68.8</v>
      </c>
      <c r="K257" s="6">
        <v>169</v>
      </c>
      <c r="L257" s="6">
        <v>168.7</v>
      </c>
      <c r="M257" s="4" t="str">
        <f t="shared" si="9"/>
        <v>OK</v>
      </c>
      <c r="N257" s="7">
        <f t="shared" si="10"/>
        <v>1.0825267447784005E-3</v>
      </c>
      <c r="O257" s="7">
        <f>SUMIFS($D$2:D257,$B$2:B257,B257)/SUMIFS($D$2:$D$741,$B$2:$B$741,B257)</f>
        <v>0.99654865002547122</v>
      </c>
      <c r="P257" s="4" t="b">
        <f t="shared" si="11"/>
        <v>0</v>
      </c>
      <c r="Q257" s="2"/>
      <c r="R257" s="2"/>
      <c r="S257" s="2"/>
    </row>
    <row r="258" spans="1:19" x14ac:dyDescent="0.45">
      <c r="A258" s="4" t="s">
        <v>303</v>
      </c>
      <c r="B258" s="4" t="s">
        <v>258</v>
      </c>
      <c r="C258" s="5">
        <v>2</v>
      </c>
      <c r="D258" s="5">
        <v>83</v>
      </c>
      <c r="E258" s="5">
        <v>3</v>
      </c>
      <c r="F258" s="5">
        <v>0</v>
      </c>
      <c r="G258" s="5">
        <v>0</v>
      </c>
      <c r="H258" s="5">
        <v>83</v>
      </c>
      <c r="I258" s="6">
        <v>7</v>
      </c>
      <c r="J258" s="6">
        <v>8.1999999999999993</v>
      </c>
      <c r="K258" s="6">
        <v>17</v>
      </c>
      <c r="L258" s="6">
        <v>17</v>
      </c>
      <c r="M258" s="4" t="str">
        <f t="shared" ref="M258:M321" si="12">IF(AND(K258="",L258=""),"No closed tickets",IF(K258="","MISSING in catalog",IF(L258="","No valid closed tickets",IF(AND(ABS(K258-L258)&gt;=$S$3,ABS(K258-L258)&gt;=$S$4*MAX(L258,1)),"FAR OFF","OK"))))</f>
        <v>OK</v>
      </c>
      <c r="N258" s="7">
        <f t="shared" ref="N258:N321" si="13">D258/SUMIFS($D$2:$D$741,$B$2:$B$741,B258)</f>
        <v>1.0570555272542029E-3</v>
      </c>
      <c r="O258" s="7">
        <f>SUMIFS($D$2:D258,$B$2:B258,B258)/SUMIFS($D$2:$D$741,$B$2:$B$741,B258)</f>
        <v>0.99760570555272543</v>
      </c>
      <c r="P258" s="4" t="b">
        <f t="shared" ref="P258:P321" si="14">O258-N258&lt;$S$2</f>
        <v>0</v>
      </c>
      <c r="Q258" s="2"/>
      <c r="R258" s="2"/>
      <c r="S258" s="2"/>
    </row>
    <row r="259" spans="1:19" x14ac:dyDescent="0.45">
      <c r="A259" s="4" t="s">
        <v>304</v>
      </c>
      <c r="B259" s="4" t="s">
        <v>258</v>
      </c>
      <c r="C259" s="5">
        <v>2</v>
      </c>
      <c r="D259" s="5">
        <v>59</v>
      </c>
      <c r="E259" s="5">
        <v>16</v>
      </c>
      <c r="F259" s="5">
        <v>1</v>
      </c>
      <c r="G259" s="5">
        <v>0</v>
      </c>
      <c r="H259" s="5">
        <v>58</v>
      </c>
      <c r="I259" s="6">
        <v>8</v>
      </c>
      <c r="J259" s="6">
        <v>16.399999999999999</v>
      </c>
      <c r="K259" s="6">
        <v>43</v>
      </c>
      <c r="L259" s="6">
        <v>42.6</v>
      </c>
      <c r="M259" s="4" t="str">
        <f t="shared" si="12"/>
        <v>OK</v>
      </c>
      <c r="N259" s="7">
        <f t="shared" si="13"/>
        <v>7.5140091696383087E-4</v>
      </c>
      <c r="O259" s="7">
        <f>SUMIFS($D$2:D259,$B$2:B259,B259)/SUMIFS($D$2:$D$741,$B$2:$B$741,B259)</f>
        <v>0.99835710646968923</v>
      </c>
      <c r="P259" s="4" t="b">
        <f t="shared" si="14"/>
        <v>0</v>
      </c>
      <c r="Q259" s="2"/>
      <c r="R259" s="2"/>
      <c r="S259" s="2"/>
    </row>
    <row r="260" spans="1:19" x14ac:dyDescent="0.45">
      <c r="A260" s="4" t="s">
        <v>305</v>
      </c>
      <c r="B260" s="4" t="s">
        <v>258</v>
      </c>
      <c r="C260" s="5">
        <v>2</v>
      </c>
      <c r="D260" s="5">
        <v>49</v>
      </c>
      <c r="E260" s="5">
        <v>18</v>
      </c>
      <c r="F260" s="5">
        <v>0</v>
      </c>
      <c r="G260" s="5">
        <v>0</v>
      </c>
      <c r="H260" s="5">
        <v>49</v>
      </c>
      <c r="I260" s="6">
        <v>6</v>
      </c>
      <c r="J260" s="6">
        <v>19.899999999999999</v>
      </c>
      <c r="K260" s="6">
        <v>57</v>
      </c>
      <c r="L260" s="6">
        <v>57.4</v>
      </c>
      <c r="M260" s="4" t="str">
        <f t="shared" si="12"/>
        <v>OK</v>
      </c>
      <c r="N260" s="7">
        <f t="shared" si="13"/>
        <v>6.2404482934284259E-4</v>
      </c>
      <c r="O260" s="7">
        <f>SUMIFS($D$2:D260,$B$2:B260,B260)/SUMIFS($D$2:$D$741,$B$2:$B$741,B260)</f>
        <v>0.99898115129903209</v>
      </c>
      <c r="P260" s="4" t="b">
        <f t="shared" si="14"/>
        <v>0</v>
      </c>
      <c r="Q260" s="2"/>
      <c r="R260" s="2"/>
      <c r="S260" s="2"/>
    </row>
    <row r="261" spans="1:19" x14ac:dyDescent="0.45">
      <c r="A261" s="4" t="s">
        <v>306</v>
      </c>
      <c r="B261" s="4" t="s">
        <v>258</v>
      </c>
      <c r="C261" s="5">
        <v>2</v>
      </c>
      <c r="D261" s="5">
        <v>41</v>
      </c>
      <c r="E261" s="5">
        <v>10</v>
      </c>
      <c r="F261" s="5">
        <v>0</v>
      </c>
      <c r="G261" s="5">
        <v>0</v>
      </c>
      <c r="H261" s="5">
        <v>41</v>
      </c>
      <c r="I261" s="6">
        <v>4</v>
      </c>
      <c r="J261" s="6">
        <v>6.1</v>
      </c>
      <c r="K261" s="6">
        <v>11</v>
      </c>
      <c r="L261" s="6">
        <v>11</v>
      </c>
      <c r="M261" s="4" t="str">
        <f t="shared" si="12"/>
        <v>OK</v>
      </c>
      <c r="N261" s="7">
        <f t="shared" si="13"/>
        <v>5.2215995924605196E-4</v>
      </c>
      <c r="O261" s="7">
        <f>SUMIFS($D$2:D261,$B$2:B261,B261)/SUMIFS($D$2:$D$741,$B$2:$B$741,B261)</f>
        <v>0.99950331125827818</v>
      </c>
      <c r="P261" s="4" t="b">
        <f t="shared" si="14"/>
        <v>0</v>
      </c>
      <c r="Q261" s="2"/>
      <c r="R261" s="2"/>
      <c r="S261" s="2"/>
    </row>
    <row r="262" spans="1:19" x14ac:dyDescent="0.45">
      <c r="A262" s="4" t="s">
        <v>307</v>
      </c>
      <c r="B262" s="4" t="s">
        <v>258</v>
      </c>
      <c r="C262" s="5">
        <v>2</v>
      </c>
      <c r="D262" s="5">
        <v>28</v>
      </c>
      <c r="E262" s="5">
        <v>0</v>
      </c>
      <c r="F262" s="5">
        <v>0</v>
      </c>
      <c r="G262" s="5">
        <v>0</v>
      </c>
      <c r="H262" s="5">
        <v>28</v>
      </c>
      <c r="I262" s="6">
        <v>4</v>
      </c>
      <c r="J262" s="6">
        <v>8.1999999999999993</v>
      </c>
      <c r="K262" s="6">
        <v>19</v>
      </c>
      <c r="L262" s="6">
        <v>18.600000000000001</v>
      </c>
      <c r="M262" s="4" t="str">
        <f t="shared" si="12"/>
        <v>OK</v>
      </c>
      <c r="N262" s="7">
        <f t="shared" si="13"/>
        <v>3.5659704533876719E-4</v>
      </c>
      <c r="O262" s="7">
        <f>SUMIFS($D$2:D262,$B$2:B262,B262)/SUMIFS($D$2:$D$741,$B$2:$B$741,B262)</f>
        <v>0.99985990830361693</v>
      </c>
      <c r="P262" s="4" t="b">
        <f t="shared" si="14"/>
        <v>0</v>
      </c>
      <c r="Q262" s="2"/>
      <c r="R262" s="2"/>
      <c r="S262" s="2"/>
    </row>
    <row r="263" spans="1:19" x14ac:dyDescent="0.45">
      <c r="A263" s="4" t="s">
        <v>308</v>
      </c>
      <c r="B263" s="4" t="s">
        <v>258</v>
      </c>
      <c r="C263" s="5">
        <v>1</v>
      </c>
      <c r="D263" s="5">
        <v>11</v>
      </c>
      <c r="E263" s="5">
        <v>10</v>
      </c>
      <c r="F263" s="5">
        <v>0</v>
      </c>
      <c r="G263" s="5">
        <v>0</v>
      </c>
      <c r="H263" s="5">
        <v>11</v>
      </c>
      <c r="I263" s="6">
        <v>5</v>
      </c>
      <c r="J263" s="6">
        <v>9.5</v>
      </c>
      <c r="K263" s="6">
        <v>11</v>
      </c>
      <c r="L263" s="6">
        <v>11</v>
      </c>
      <c r="M263" s="4" t="str">
        <f t="shared" si="12"/>
        <v>OK</v>
      </c>
      <c r="N263" s="7">
        <f t="shared" si="13"/>
        <v>1.4009169638308711E-4</v>
      </c>
      <c r="O263" s="7">
        <f>SUMIFS($D$2:D263,$B$2:B263,B263)/SUMIFS($D$2:$D$741,$B$2:$B$741,B263)</f>
        <v>1</v>
      </c>
      <c r="P263" s="4" t="b">
        <f t="shared" si="14"/>
        <v>0</v>
      </c>
      <c r="Q263" s="2"/>
      <c r="R263" s="2"/>
      <c r="S263" s="2"/>
    </row>
    <row r="264" spans="1:19" x14ac:dyDescent="0.45">
      <c r="A264" s="9" t="s">
        <v>309</v>
      </c>
      <c r="B264" s="9" t="s">
        <v>310</v>
      </c>
      <c r="C264" s="10">
        <v>1</v>
      </c>
      <c r="D264" s="10">
        <v>8984</v>
      </c>
      <c r="E264" s="10">
        <v>1708</v>
      </c>
      <c r="F264" s="10">
        <v>18</v>
      </c>
      <c r="G264" s="10">
        <v>8</v>
      </c>
      <c r="H264" s="10">
        <v>8966</v>
      </c>
      <c r="I264" s="11">
        <v>0</v>
      </c>
      <c r="J264" s="11">
        <v>4.8</v>
      </c>
      <c r="K264" s="11">
        <v>2</v>
      </c>
      <c r="L264" s="11">
        <v>2</v>
      </c>
      <c r="M264" s="9" t="str">
        <f t="shared" si="12"/>
        <v>OK</v>
      </c>
      <c r="N264" s="12">
        <f t="shared" si="13"/>
        <v>1</v>
      </c>
      <c r="O264" s="12">
        <f>SUMIFS($D$2:D264,$B$2:B264,B264)/SUMIFS($D$2:$D$741,$B$2:$B$741,B264)</f>
        <v>1</v>
      </c>
      <c r="P264" s="9" t="b">
        <f t="shared" si="14"/>
        <v>1</v>
      </c>
      <c r="Q264" s="2"/>
      <c r="R264" s="2"/>
      <c r="S264" s="2"/>
    </row>
    <row r="265" spans="1:19" x14ac:dyDescent="0.45">
      <c r="A265" s="9" t="s">
        <v>311</v>
      </c>
      <c r="B265" s="9" t="s">
        <v>312</v>
      </c>
      <c r="C265" s="10">
        <v>1</v>
      </c>
      <c r="D265" s="10">
        <v>1</v>
      </c>
      <c r="E265" s="10">
        <v>0</v>
      </c>
      <c r="F265" s="10">
        <v>0</v>
      </c>
      <c r="G265" s="10">
        <v>0</v>
      </c>
      <c r="H265" s="10">
        <v>1</v>
      </c>
      <c r="I265" s="11">
        <v>0</v>
      </c>
      <c r="J265" s="11">
        <v>0</v>
      </c>
      <c r="K265" s="11">
        <v>0</v>
      </c>
      <c r="L265" s="11">
        <v>0</v>
      </c>
      <c r="M265" s="9" t="str">
        <f t="shared" si="12"/>
        <v>OK</v>
      </c>
      <c r="N265" s="12">
        <f t="shared" si="13"/>
        <v>1</v>
      </c>
      <c r="O265" s="12">
        <f>SUMIFS($D$2:D265,$B$2:B265,B265)/SUMIFS($D$2:$D$741,$B$2:$B$741,B265)</f>
        <v>1</v>
      </c>
      <c r="P265" s="9" t="b">
        <f t="shared" si="14"/>
        <v>1</v>
      </c>
      <c r="Q265" s="2"/>
      <c r="R265" s="2"/>
      <c r="S265" s="2"/>
    </row>
    <row r="266" spans="1:19" x14ac:dyDescent="0.45">
      <c r="A266" s="9" t="s">
        <v>313</v>
      </c>
      <c r="B266" s="9" t="s">
        <v>314</v>
      </c>
      <c r="C266" s="10">
        <v>1</v>
      </c>
      <c r="D266" s="10">
        <v>4</v>
      </c>
      <c r="E266" s="10">
        <v>0</v>
      </c>
      <c r="F266" s="10">
        <v>0</v>
      </c>
      <c r="G266" s="10">
        <v>0</v>
      </c>
      <c r="H266" s="10">
        <v>4</v>
      </c>
      <c r="I266" s="11">
        <v>1</v>
      </c>
      <c r="J266" s="11">
        <v>0.8</v>
      </c>
      <c r="K266" s="11">
        <v>1</v>
      </c>
      <c r="L266" s="11">
        <v>1</v>
      </c>
      <c r="M266" s="9" t="str">
        <f t="shared" si="12"/>
        <v>OK</v>
      </c>
      <c r="N266" s="12">
        <f t="shared" si="13"/>
        <v>1</v>
      </c>
      <c r="O266" s="12">
        <f>SUMIFS($D$2:D266,$B$2:B266,B266)/SUMIFS($D$2:$D$741,$B$2:$B$741,B266)</f>
        <v>1</v>
      </c>
      <c r="P266" s="9" t="b">
        <f t="shared" si="14"/>
        <v>1</v>
      </c>
      <c r="Q266" s="2"/>
      <c r="R266" s="2"/>
      <c r="S266" s="2"/>
    </row>
    <row r="267" spans="1:19" x14ac:dyDescent="0.45">
      <c r="A267" s="9" t="s">
        <v>315</v>
      </c>
      <c r="B267" s="9" t="s">
        <v>316</v>
      </c>
      <c r="C267" s="10">
        <v>1</v>
      </c>
      <c r="D267" s="10">
        <v>341</v>
      </c>
      <c r="E267" s="10">
        <v>0</v>
      </c>
      <c r="F267" s="10">
        <v>0</v>
      </c>
      <c r="G267" s="10">
        <v>0</v>
      </c>
      <c r="H267" s="10">
        <v>341</v>
      </c>
      <c r="I267" s="11">
        <v>0</v>
      </c>
      <c r="J267" s="11">
        <v>0</v>
      </c>
      <c r="K267" s="11">
        <v>0</v>
      </c>
      <c r="L267" s="11">
        <v>0</v>
      </c>
      <c r="M267" s="9" t="str">
        <f t="shared" si="12"/>
        <v>OK</v>
      </c>
      <c r="N267" s="12">
        <f t="shared" si="13"/>
        <v>0.54213036565977746</v>
      </c>
      <c r="O267" s="12">
        <f>SUMIFS($D$2:D267,$B$2:B267,B267)/SUMIFS($D$2:$D$741,$B$2:$B$741,B267)</f>
        <v>0.54213036565977746</v>
      </c>
      <c r="P267" s="9" t="b">
        <f t="shared" si="14"/>
        <v>1</v>
      </c>
      <c r="Q267" s="2"/>
      <c r="R267" s="2"/>
      <c r="S267" s="2"/>
    </row>
    <row r="268" spans="1:19" x14ac:dyDescent="0.45">
      <c r="A268" s="4" t="s">
        <v>317</v>
      </c>
      <c r="B268" s="4" t="s">
        <v>316</v>
      </c>
      <c r="C268" s="5">
        <v>1</v>
      </c>
      <c r="D268" s="5">
        <v>148</v>
      </c>
      <c r="E268" s="5">
        <v>88</v>
      </c>
      <c r="F268" s="5">
        <v>0</v>
      </c>
      <c r="G268" s="5">
        <v>0</v>
      </c>
      <c r="H268" s="5">
        <v>148</v>
      </c>
      <c r="I268" s="6">
        <v>0</v>
      </c>
      <c r="J268" s="6">
        <v>0</v>
      </c>
      <c r="K268" s="6">
        <v>0</v>
      </c>
      <c r="L268" s="6">
        <v>0</v>
      </c>
      <c r="M268" s="4" t="str">
        <f t="shared" si="12"/>
        <v>OK</v>
      </c>
      <c r="N268" s="7">
        <f t="shared" si="13"/>
        <v>0.23529411764705882</v>
      </c>
      <c r="O268" s="7">
        <f>SUMIFS($D$2:D268,$B$2:B268,B268)/SUMIFS($D$2:$D$741,$B$2:$B$741,B268)</f>
        <v>0.77742448330683622</v>
      </c>
      <c r="P268" s="4" t="b">
        <f t="shared" si="14"/>
        <v>1</v>
      </c>
      <c r="Q268" s="2"/>
      <c r="R268" s="2"/>
      <c r="S268" s="2"/>
    </row>
    <row r="269" spans="1:19" x14ac:dyDescent="0.45">
      <c r="A269" s="4" t="s">
        <v>318</v>
      </c>
      <c r="B269" s="4" t="s">
        <v>316</v>
      </c>
      <c r="C269" s="5">
        <v>1</v>
      </c>
      <c r="D269" s="5">
        <v>34</v>
      </c>
      <c r="E269" s="5">
        <v>0</v>
      </c>
      <c r="F269" s="5">
        <v>0</v>
      </c>
      <c r="G269" s="5">
        <v>0</v>
      </c>
      <c r="H269" s="5">
        <v>34</v>
      </c>
      <c r="I269" s="6">
        <v>0</v>
      </c>
      <c r="J269" s="6">
        <v>0</v>
      </c>
      <c r="K269" s="6">
        <v>0</v>
      </c>
      <c r="L269" s="6">
        <v>0</v>
      </c>
      <c r="M269" s="4" t="str">
        <f t="shared" si="12"/>
        <v>OK</v>
      </c>
      <c r="N269" s="7">
        <f t="shared" si="13"/>
        <v>5.4054054054054057E-2</v>
      </c>
      <c r="O269" s="7">
        <f>SUMIFS($D$2:D269,$B$2:B269,B269)/SUMIFS($D$2:$D$741,$B$2:$B$741,B269)</f>
        <v>0.83147853736089028</v>
      </c>
      <c r="P269" s="4" t="b">
        <f t="shared" si="14"/>
        <v>1</v>
      </c>
      <c r="Q269" s="2"/>
      <c r="R269" s="2"/>
      <c r="S269" s="2"/>
    </row>
    <row r="270" spans="1:19" x14ac:dyDescent="0.45">
      <c r="A270" s="4" t="s">
        <v>319</v>
      </c>
      <c r="B270" s="4" t="s">
        <v>316</v>
      </c>
      <c r="C270" s="5">
        <v>1</v>
      </c>
      <c r="D270" s="5">
        <v>25</v>
      </c>
      <c r="E270" s="5">
        <v>14</v>
      </c>
      <c r="F270" s="5">
        <v>0</v>
      </c>
      <c r="G270" s="5">
        <v>0</v>
      </c>
      <c r="H270" s="5">
        <v>25</v>
      </c>
      <c r="I270" s="6">
        <v>0</v>
      </c>
      <c r="J270" s="6">
        <v>0</v>
      </c>
      <c r="K270" s="6">
        <v>0</v>
      </c>
      <c r="L270" s="6">
        <v>0</v>
      </c>
      <c r="M270" s="4" t="str">
        <f t="shared" si="12"/>
        <v>OK</v>
      </c>
      <c r="N270" s="7">
        <f t="shared" si="13"/>
        <v>3.9745627980922099E-2</v>
      </c>
      <c r="O270" s="7">
        <f>SUMIFS($D$2:D270,$B$2:B270,B270)/SUMIFS($D$2:$D$741,$B$2:$B$741,B270)</f>
        <v>0.87122416534181235</v>
      </c>
      <c r="P270" s="4" t="b">
        <f t="shared" si="14"/>
        <v>1</v>
      </c>
      <c r="Q270" s="2"/>
      <c r="R270" s="2"/>
      <c r="S270" s="2"/>
    </row>
    <row r="271" spans="1:19" x14ac:dyDescent="0.45">
      <c r="A271" s="4" t="s">
        <v>320</v>
      </c>
      <c r="B271" s="4" t="s">
        <v>316</v>
      </c>
      <c r="C271" s="5">
        <v>1</v>
      </c>
      <c r="D271" s="5">
        <v>21</v>
      </c>
      <c r="E271" s="5">
        <v>0</v>
      </c>
      <c r="F271" s="5">
        <v>0</v>
      </c>
      <c r="G271" s="5">
        <v>0</v>
      </c>
      <c r="H271" s="5">
        <v>21</v>
      </c>
      <c r="I271" s="6">
        <v>0</v>
      </c>
      <c r="J271" s="6">
        <v>0</v>
      </c>
      <c r="K271" s="6">
        <v>0</v>
      </c>
      <c r="L271" s="6">
        <v>0</v>
      </c>
      <c r="M271" s="4" t="str">
        <f t="shared" si="12"/>
        <v>OK</v>
      </c>
      <c r="N271" s="7">
        <f t="shared" si="13"/>
        <v>3.3386327503974564E-2</v>
      </c>
      <c r="O271" s="7">
        <f>SUMIFS($D$2:D271,$B$2:B271,B271)/SUMIFS($D$2:$D$741,$B$2:$B$741,B271)</f>
        <v>0.90461049284578698</v>
      </c>
      <c r="P271" s="4" t="b">
        <f t="shared" si="14"/>
        <v>1</v>
      </c>
      <c r="Q271" s="2"/>
      <c r="R271" s="2"/>
      <c r="S271" s="2"/>
    </row>
    <row r="272" spans="1:19" x14ac:dyDescent="0.45">
      <c r="A272" s="4" t="s">
        <v>321</v>
      </c>
      <c r="B272" s="4" t="s">
        <v>316</v>
      </c>
      <c r="C272" s="5">
        <v>1</v>
      </c>
      <c r="D272" s="5">
        <v>20</v>
      </c>
      <c r="E272" s="5">
        <v>19</v>
      </c>
      <c r="F272" s="5">
        <v>0</v>
      </c>
      <c r="G272" s="5">
        <v>0</v>
      </c>
      <c r="H272" s="5">
        <v>20</v>
      </c>
      <c r="I272" s="6">
        <v>0</v>
      </c>
      <c r="J272" s="6">
        <v>0</v>
      </c>
      <c r="K272" s="6">
        <v>0</v>
      </c>
      <c r="L272" s="6">
        <v>0</v>
      </c>
      <c r="M272" s="4" t="str">
        <f t="shared" si="12"/>
        <v>OK</v>
      </c>
      <c r="N272" s="7">
        <f t="shared" si="13"/>
        <v>3.1796502384737677E-2</v>
      </c>
      <c r="O272" s="7">
        <f>SUMIFS($D$2:D272,$B$2:B272,B272)/SUMIFS($D$2:$D$741,$B$2:$B$741,B272)</f>
        <v>0.93640699523052462</v>
      </c>
      <c r="P272" s="4" t="b">
        <f t="shared" si="14"/>
        <v>1</v>
      </c>
      <c r="Q272" s="2"/>
      <c r="R272" s="2"/>
      <c r="S272" s="2"/>
    </row>
    <row r="273" spans="1:19" x14ac:dyDescent="0.45">
      <c r="A273" s="4" t="s">
        <v>322</v>
      </c>
      <c r="B273" s="4" t="s">
        <v>316</v>
      </c>
      <c r="C273" s="5">
        <v>1</v>
      </c>
      <c r="D273" s="5">
        <v>13</v>
      </c>
      <c r="E273" s="5">
        <v>0</v>
      </c>
      <c r="F273" s="5">
        <v>0</v>
      </c>
      <c r="G273" s="5">
        <v>0</v>
      </c>
      <c r="H273" s="5">
        <v>13</v>
      </c>
      <c r="I273" s="6">
        <v>0</v>
      </c>
      <c r="J273" s="6">
        <v>0</v>
      </c>
      <c r="K273" s="6">
        <v>0</v>
      </c>
      <c r="L273" s="6">
        <v>0</v>
      </c>
      <c r="M273" s="4" t="str">
        <f t="shared" si="12"/>
        <v>OK</v>
      </c>
      <c r="N273" s="7">
        <f t="shared" si="13"/>
        <v>2.066772655007949E-2</v>
      </c>
      <c r="O273" s="7">
        <f>SUMIFS($D$2:D273,$B$2:B273,B273)/SUMIFS($D$2:$D$741,$B$2:$B$741,B273)</f>
        <v>0.95707472178060415</v>
      </c>
      <c r="P273" s="4" t="b">
        <f t="shared" si="14"/>
        <v>1</v>
      </c>
      <c r="Q273" s="2"/>
      <c r="R273" s="2"/>
      <c r="S273" s="2"/>
    </row>
    <row r="274" spans="1:19" x14ac:dyDescent="0.45">
      <c r="A274" s="4" t="s">
        <v>323</v>
      </c>
      <c r="B274" s="4" t="s">
        <v>316</v>
      </c>
      <c r="C274" s="5">
        <v>1</v>
      </c>
      <c r="D274" s="5">
        <v>9</v>
      </c>
      <c r="E274" s="5">
        <v>8</v>
      </c>
      <c r="F274" s="5">
        <v>0</v>
      </c>
      <c r="G274" s="5">
        <v>0</v>
      </c>
      <c r="H274" s="5">
        <v>9</v>
      </c>
      <c r="I274" s="6">
        <v>0</v>
      </c>
      <c r="J274" s="6">
        <v>0</v>
      </c>
      <c r="K274" s="6">
        <v>0</v>
      </c>
      <c r="L274" s="6">
        <v>0</v>
      </c>
      <c r="M274" s="4" t="str">
        <f t="shared" si="12"/>
        <v>OK</v>
      </c>
      <c r="N274" s="7">
        <f t="shared" si="13"/>
        <v>1.4308426073131956E-2</v>
      </c>
      <c r="O274" s="7">
        <f>SUMIFS($D$2:D274,$B$2:B274,B274)/SUMIFS($D$2:$D$741,$B$2:$B$741,B274)</f>
        <v>0.97138314785373614</v>
      </c>
      <c r="P274" s="4" t="b">
        <f t="shared" si="14"/>
        <v>0</v>
      </c>
      <c r="Q274" s="2"/>
      <c r="R274" s="2"/>
      <c r="S274" s="2"/>
    </row>
    <row r="275" spans="1:19" x14ac:dyDescent="0.45">
      <c r="A275" s="4" t="s">
        <v>324</v>
      </c>
      <c r="B275" s="4" t="s">
        <v>316</v>
      </c>
      <c r="C275" s="5">
        <v>1</v>
      </c>
      <c r="D275" s="5">
        <v>7</v>
      </c>
      <c r="E275" s="5">
        <v>1</v>
      </c>
      <c r="F275" s="5">
        <v>0</v>
      </c>
      <c r="G275" s="5">
        <v>0</v>
      </c>
      <c r="H275" s="5">
        <v>7</v>
      </c>
      <c r="I275" s="6">
        <v>0</v>
      </c>
      <c r="J275" s="6">
        <v>0.1</v>
      </c>
      <c r="K275" s="6">
        <v>0</v>
      </c>
      <c r="L275" s="6">
        <v>0.4</v>
      </c>
      <c r="M275" s="4" t="str">
        <f t="shared" si="12"/>
        <v>OK</v>
      </c>
      <c r="N275" s="7">
        <f t="shared" si="13"/>
        <v>1.1128775834658187E-2</v>
      </c>
      <c r="O275" s="7">
        <f>SUMIFS($D$2:D275,$B$2:B275,B275)/SUMIFS($D$2:$D$741,$B$2:$B$741,B275)</f>
        <v>0.98251192368839424</v>
      </c>
      <c r="P275" s="4" t="b">
        <f t="shared" si="14"/>
        <v>0</v>
      </c>
      <c r="Q275" s="2"/>
      <c r="R275" s="2"/>
      <c r="S275" s="2"/>
    </row>
    <row r="276" spans="1:19" x14ac:dyDescent="0.45">
      <c r="A276" s="4" t="s">
        <v>325</v>
      </c>
      <c r="B276" s="4" t="s">
        <v>316</v>
      </c>
      <c r="C276" s="5">
        <v>1</v>
      </c>
      <c r="D276" s="5">
        <v>4</v>
      </c>
      <c r="E276" s="5">
        <v>0</v>
      </c>
      <c r="F276" s="5">
        <v>0</v>
      </c>
      <c r="G276" s="5">
        <v>0</v>
      </c>
      <c r="H276" s="5">
        <v>4</v>
      </c>
      <c r="I276" s="6">
        <v>0</v>
      </c>
      <c r="J276" s="6">
        <v>0</v>
      </c>
      <c r="K276" s="6">
        <v>0</v>
      </c>
      <c r="L276" s="6">
        <v>0</v>
      </c>
      <c r="M276" s="4" t="str">
        <f t="shared" si="12"/>
        <v>OK</v>
      </c>
      <c r="N276" s="7">
        <f t="shared" si="13"/>
        <v>6.3593004769475362E-3</v>
      </c>
      <c r="O276" s="7">
        <f>SUMIFS($D$2:D276,$B$2:B276,B276)/SUMIFS($D$2:$D$741,$B$2:$B$741,B276)</f>
        <v>0.98887122416534179</v>
      </c>
      <c r="P276" s="4" t="b">
        <f t="shared" si="14"/>
        <v>0</v>
      </c>
      <c r="Q276" s="2"/>
      <c r="R276" s="2"/>
      <c r="S276" s="2"/>
    </row>
    <row r="277" spans="1:19" x14ac:dyDescent="0.45">
      <c r="A277" s="4" t="s">
        <v>326</v>
      </c>
      <c r="B277" s="4" t="s">
        <v>316</v>
      </c>
      <c r="C277" s="5">
        <v>1</v>
      </c>
      <c r="D277" s="5">
        <v>3</v>
      </c>
      <c r="E277" s="5">
        <v>0</v>
      </c>
      <c r="F277" s="5">
        <v>0</v>
      </c>
      <c r="G277" s="5">
        <v>0</v>
      </c>
      <c r="H277" s="5">
        <v>3</v>
      </c>
      <c r="I277" s="6">
        <v>0</v>
      </c>
      <c r="J277" s="6">
        <v>0</v>
      </c>
      <c r="K277" s="6">
        <v>0</v>
      </c>
      <c r="L277" s="6">
        <v>0</v>
      </c>
      <c r="M277" s="4" t="str">
        <f t="shared" si="12"/>
        <v>OK</v>
      </c>
      <c r="N277" s="7">
        <f t="shared" si="13"/>
        <v>4.7694753577106515E-3</v>
      </c>
      <c r="O277" s="7">
        <f>SUMIFS($D$2:D277,$B$2:B277,B277)/SUMIFS($D$2:$D$741,$B$2:$B$741,B277)</f>
        <v>0.99364069952305245</v>
      </c>
      <c r="P277" s="4" t="b">
        <f t="shared" si="14"/>
        <v>0</v>
      </c>
      <c r="Q277" s="2"/>
      <c r="R277" s="2"/>
      <c r="S277" s="2"/>
    </row>
    <row r="278" spans="1:19" x14ac:dyDescent="0.45">
      <c r="A278" s="4" t="s">
        <v>327</v>
      </c>
      <c r="B278" s="4" t="s">
        <v>316</v>
      </c>
      <c r="C278" s="5">
        <v>1</v>
      </c>
      <c r="D278" s="5">
        <v>2</v>
      </c>
      <c r="E278" s="5">
        <v>0</v>
      </c>
      <c r="F278" s="5">
        <v>0</v>
      </c>
      <c r="G278" s="5">
        <v>0</v>
      </c>
      <c r="H278" s="5">
        <v>2</v>
      </c>
      <c r="I278" s="6">
        <v>0</v>
      </c>
      <c r="J278" s="6">
        <v>0</v>
      </c>
      <c r="K278" s="6">
        <v>0</v>
      </c>
      <c r="L278" s="6">
        <v>0</v>
      </c>
      <c r="M278" s="4" t="str">
        <f t="shared" si="12"/>
        <v>OK</v>
      </c>
      <c r="N278" s="7">
        <f t="shared" si="13"/>
        <v>3.1796502384737681E-3</v>
      </c>
      <c r="O278" s="7">
        <f>SUMIFS($D$2:D278,$B$2:B278,B278)/SUMIFS($D$2:$D$741,$B$2:$B$741,B278)</f>
        <v>0.99682034976152623</v>
      </c>
      <c r="P278" s="4" t="b">
        <f t="shared" si="14"/>
        <v>0</v>
      </c>
      <c r="Q278" s="2"/>
      <c r="R278" s="2"/>
      <c r="S278" s="2"/>
    </row>
    <row r="279" spans="1:19" x14ac:dyDescent="0.45">
      <c r="A279" s="4" t="s">
        <v>328</v>
      </c>
      <c r="B279" s="4" t="s">
        <v>316</v>
      </c>
      <c r="C279" s="5">
        <v>1</v>
      </c>
      <c r="D279" s="5">
        <v>1</v>
      </c>
      <c r="E279" s="5">
        <v>0</v>
      </c>
      <c r="F279" s="5">
        <v>0</v>
      </c>
      <c r="G279" s="5">
        <v>0</v>
      </c>
      <c r="H279" s="5">
        <v>1</v>
      </c>
      <c r="I279" s="6">
        <v>0</v>
      </c>
      <c r="J279" s="6">
        <v>0</v>
      </c>
      <c r="K279" s="6">
        <v>0</v>
      </c>
      <c r="L279" s="6">
        <v>0</v>
      </c>
      <c r="M279" s="4" t="str">
        <f t="shared" si="12"/>
        <v>OK</v>
      </c>
      <c r="N279" s="7">
        <f t="shared" si="13"/>
        <v>1.589825119236884E-3</v>
      </c>
      <c r="O279" s="7">
        <f>SUMIFS($D$2:D279,$B$2:B279,B279)/SUMIFS($D$2:$D$741,$B$2:$B$741,B279)</f>
        <v>0.99841017488076311</v>
      </c>
      <c r="P279" s="4" t="b">
        <f t="shared" si="14"/>
        <v>0</v>
      </c>
      <c r="Q279" s="2"/>
      <c r="R279" s="2"/>
      <c r="S279" s="2"/>
    </row>
    <row r="280" spans="1:19" x14ac:dyDescent="0.45">
      <c r="A280" s="4" t="s">
        <v>329</v>
      </c>
      <c r="B280" s="4" t="s">
        <v>316</v>
      </c>
      <c r="C280" s="5">
        <v>1</v>
      </c>
      <c r="D280" s="5">
        <v>1</v>
      </c>
      <c r="E280" s="5">
        <v>0</v>
      </c>
      <c r="F280" s="5">
        <v>0</v>
      </c>
      <c r="G280" s="5">
        <v>0</v>
      </c>
      <c r="H280" s="5">
        <v>1</v>
      </c>
      <c r="I280" s="6">
        <v>0</v>
      </c>
      <c r="J280" s="6">
        <v>0</v>
      </c>
      <c r="K280" s="6">
        <v>0</v>
      </c>
      <c r="L280" s="6">
        <v>0</v>
      </c>
      <c r="M280" s="4" t="str">
        <f t="shared" si="12"/>
        <v>OK</v>
      </c>
      <c r="N280" s="7">
        <f t="shared" si="13"/>
        <v>1.589825119236884E-3</v>
      </c>
      <c r="O280" s="7">
        <f>SUMIFS($D$2:D280,$B$2:B280,B280)/SUMIFS($D$2:$D$741,$B$2:$B$741,B280)</f>
        <v>1</v>
      </c>
      <c r="P280" s="4" t="b">
        <f t="shared" si="14"/>
        <v>0</v>
      </c>
      <c r="Q280" s="2"/>
      <c r="R280" s="2"/>
      <c r="S280" s="2"/>
    </row>
    <row r="281" spans="1:19" x14ac:dyDescent="0.45">
      <c r="A281" s="9" t="s">
        <v>330</v>
      </c>
      <c r="B281" s="9" t="s">
        <v>331</v>
      </c>
      <c r="C281" s="10">
        <v>1</v>
      </c>
      <c r="D281" s="10">
        <v>502</v>
      </c>
      <c r="E281" s="10">
        <v>273</v>
      </c>
      <c r="F281" s="10">
        <v>8</v>
      </c>
      <c r="G281" s="10">
        <v>3</v>
      </c>
      <c r="H281" s="10">
        <v>493</v>
      </c>
      <c r="I281" s="11">
        <v>2</v>
      </c>
      <c r="J281" s="11">
        <v>21.2</v>
      </c>
      <c r="K281" s="11">
        <v>11</v>
      </c>
      <c r="L281" s="11">
        <v>11</v>
      </c>
      <c r="M281" s="9" t="str">
        <f t="shared" si="12"/>
        <v>OK</v>
      </c>
      <c r="N281" s="12">
        <f t="shared" si="13"/>
        <v>0.5368983957219251</v>
      </c>
      <c r="O281" s="12">
        <f>SUMIFS($D$2:D281,$B$2:B281,B281)/SUMIFS($D$2:$D$741,$B$2:$B$741,B281)</f>
        <v>0.5368983957219251</v>
      </c>
      <c r="P281" s="9" t="b">
        <f t="shared" si="14"/>
        <v>1</v>
      </c>
      <c r="Q281" s="2"/>
      <c r="R281" s="2"/>
      <c r="S281" s="2"/>
    </row>
    <row r="282" spans="1:19" x14ac:dyDescent="0.45">
      <c r="A282" s="4" t="s">
        <v>332</v>
      </c>
      <c r="B282" s="4" t="s">
        <v>331</v>
      </c>
      <c r="C282" s="5">
        <v>1</v>
      </c>
      <c r="D282" s="5">
        <v>141</v>
      </c>
      <c r="E282" s="5">
        <v>138</v>
      </c>
      <c r="F282" s="5">
        <v>8</v>
      </c>
      <c r="G282" s="5">
        <v>0</v>
      </c>
      <c r="H282" s="5">
        <v>133</v>
      </c>
      <c r="I282" s="6">
        <v>4</v>
      </c>
      <c r="J282" s="6">
        <v>5.7</v>
      </c>
      <c r="K282" s="6">
        <v>12</v>
      </c>
      <c r="L282" s="6">
        <v>12</v>
      </c>
      <c r="M282" s="4" t="str">
        <f t="shared" si="12"/>
        <v>OK</v>
      </c>
      <c r="N282" s="7">
        <f t="shared" si="13"/>
        <v>0.15080213903743314</v>
      </c>
      <c r="O282" s="7">
        <f>SUMIFS($D$2:D282,$B$2:B282,B282)/SUMIFS($D$2:$D$741,$B$2:$B$741,B282)</f>
        <v>0.68770053475935833</v>
      </c>
      <c r="P282" s="4" t="b">
        <f t="shared" si="14"/>
        <v>1</v>
      </c>
      <c r="Q282" s="2"/>
      <c r="R282" s="2"/>
      <c r="S282" s="2"/>
    </row>
    <row r="283" spans="1:19" x14ac:dyDescent="0.45">
      <c r="A283" s="4" t="s">
        <v>333</v>
      </c>
      <c r="B283" s="4" t="s">
        <v>331</v>
      </c>
      <c r="C283" s="5">
        <v>1</v>
      </c>
      <c r="D283" s="5">
        <v>131</v>
      </c>
      <c r="E283" s="5">
        <v>55</v>
      </c>
      <c r="F283" s="5">
        <v>0</v>
      </c>
      <c r="G283" s="5">
        <v>0</v>
      </c>
      <c r="H283" s="5">
        <v>131</v>
      </c>
      <c r="I283" s="6">
        <v>3</v>
      </c>
      <c r="J283" s="6">
        <v>6.4</v>
      </c>
      <c r="K283" s="6">
        <v>7</v>
      </c>
      <c r="L283" s="6">
        <v>7</v>
      </c>
      <c r="M283" s="4" t="str">
        <f t="shared" si="12"/>
        <v>OK</v>
      </c>
      <c r="N283" s="7">
        <f t="shared" si="13"/>
        <v>0.14010695187165775</v>
      </c>
      <c r="O283" s="7">
        <f>SUMIFS($D$2:D283,$B$2:B283,B283)/SUMIFS($D$2:$D$741,$B$2:$B$741,B283)</f>
        <v>0.827807486631016</v>
      </c>
      <c r="P283" s="4" t="b">
        <f t="shared" si="14"/>
        <v>1</v>
      </c>
      <c r="Q283" s="2"/>
      <c r="R283" s="2"/>
      <c r="S283" s="2"/>
    </row>
    <row r="284" spans="1:19" x14ac:dyDescent="0.45">
      <c r="A284" s="4" t="s">
        <v>334</v>
      </c>
      <c r="B284" s="4" t="s">
        <v>331</v>
      </c>
      <c r="C284" s="5">
        <v>1</v>
      </c>
      <c r="D284" s="5">
        <v>89</v>
      </c>
      <c r="E284" s="5">
        <v>33</v>
      </c>
      <c r="F284" s="5">
        <v>0</v>
      </c>
      <c r="G284" s="5">
        <v>0</v>
      </c>
      <c r="H284" s="5">
        <v>89</v>
      </c>
      <c r="I284" s="6">
        <v>1</v>
      </c>
      <c r="J284" s="6">
        <v>24.4</v>
      </c>
      <c r="K284" s="6">
        <v>11</v>
      </c>
      <c r="L284" s="6">
        <v>11.2</v>
      </c>
      <c r="M284" s="4" t="str">
        <f t="shared" si="12"/>
        <v>OK</v>
      </c>
      <c r="N284" s="7">
        <f t="shared" si="13"/>
        <v>9.5187165775401067E-2</v>
      </c>
      <c r="O284" s="7">
        <f>SUMIFS($D$2:D284,$B$2:B284,B284)/SUMIFS($D$2:$D$741,$B$2:$B$741,B284)</f>
        <v>0.92299465240641709</v>
      </c>
      <c r="P284" s="4" t="b">
        <f t="shared" si="14"/>
        <v>1</v>
      </c>
      <c r="Q284" s="2"/>
      <c r="R284" s="2"/>
      <c r="S284" s="2"/>
    </row>
    <row r="285" spans="1:19" x14ac:dyDescent="0.45">
      <c r="A285" s="4" t="s">
        <v>335</v>
      </c>
      <c r="B285" s="4" t="s">
        <v>331</v>
      </c>
      <c r="C285" s="5">
        <v>1</v>
      </c>
      <c r="D285" s="5">
        <v>72</v>
      </c>
      <c r="E285" s="5">
        <v>33</v>
      </c>
      <c r="F285" s="5">
        <v>3</v>
      </c>
      <c r="G285" s="5">
        <v>0</v>
      </c>
      <c r="H285" s="5">
        <v>69</v>
      </c>
      <c r="I285" s="6">
        <v>11</v>
      </c>
      <c r="J285" s="6">
        <v>146.19999999999999</v>
      </c>
      <c r="K285" s="6">
        <v>647</v>
      </c>
      <c r="L285" s="6">
        <v>647.20000000000005</v>
      </c>
      <c r="M285" s="4" t="str">
        <f t="shared" si="12"/>
        <v>OK</v>
      </c>
      <c r="N285" s="7">
        <f t="shared" si="13"/>
        <v>7.7005347593582893E-2</v>
      </c>
      <c r="O285" s="7">
        <f>SUMIFS($D$2:D285,$B$2:B285,B285)/SUMIFS($D$2:$D$741,$B$2:$B$741,B285)</f>
        <v>1</v>
      </c>
      <c r="P285" s="4" t="b">
        <f t="shared" si="14"/>
        <v>1</v>
      </c>
      <c r="Q285" s="2"/>
      <c r="R285" s="2"/>
      <c r="S285" s="2"/>
    </row>
    <row r="286" spans="1:19" x14ac:dyDescent="0.45">
      <c r="A286" s="9" t="s">
        <v>336</v>
      </c>
      <c r="B286" s="9" t="s">
        <v>337</v>
      </c>
      <c r="C286" s="10">
        <v>2</v>
      </c>
      <c r="D286" s="10">
        <v>308</v>
      </c>
      <c r="E286" s="10">
        <v>0</v>
      </c>
      <c r="F286" s="10">
        <v>0</v>
      </c>
      <c r="G286" s="10">
        <v>0</v>
      </c>
      <c r="H286" s="10">
        <v>308</v>
      </c>
      <c r="I286" s="11">
        <v>9.5</v>
      </c>
      <c r="J286" s="11">
        <v>13.3</v>
      </c>
      <c r="K286" s="11">
        <v>26</v>
      </c>
      <c r="L286" s="11">
        <v>26</v>
      </c>
      <c r="M286" s="9" t="str">
        <f t="shared" si="12"/>
        <v>OK</v>
      </c>
      <c r="N286" s="12">
        <f t="shared" si="13"/>
        <v>0.48580441640378547</v>
      </c>
      <c r="O286" s="12">
        <f>SUMIFS($D$2:D286,$B$2:B286,B286)/SUMIFS($D$2:$D$741,$B$2:$B$741,B286)</f>
        <v>0.48580441640378547</v>
      </c>
      <c r="P286" s="9" t="b">
        <f t="shared" si="14"/>
        <v>1</v>
      </c>
      <c r="Q286" s="2"/>
      <c r="R286" s="2"/>
      <c r="S286" s="2"/>
    </row>
    <row r="287" spans="1:19" x14ac:dyDescent="0.45">
      <c r="A287" s="4" t="s">
        <v>338</v>
      </c>
      <c r="B287" s="4" t="s">
        <v>337</v>
      </c>
      <c r="C287" s="5">
        <v>2</v>
      </c>
      <c r="D287" s="5">
        <v>253</v>
      </c>
      <c r="E287" s="5">
        <v>0</v>
      </c>
      <c r="F287" s="5">
        <v>0</v>
      </c>
      <c r="G287" s="5">
        <v>0</v>
      </c>
      <c r="H287" s="5">
        <v>253</v>
      </c>
      <c r="I287" s="6">
        <v>9</v>
      </c>
      <c r="J287" s="6">
        <v>13.5</v>
      </c>
      <c r="K287" s="6">
        <v>19</v>
      </c>
      <c r="L287" s="6">
        <v>19</v>
      </c>
      <c r="M287" s="4" t="str">
        <f t="shared" si="12"/>
        <v>OK</v>
      </c>
      <c r="N287" s="7">
        <f t="shared" si="13"/>
        <v>0.39905362776025238</v>
      </c>
      <c r="O287" s="7">
        <f>SUMIFS($D$2:D287,$B$2:B287,B287)/SUMIFS($D$2:$D$741,$B$2:$B$741,B287)</f>
        <v>0.8848580441640379</v>
      </c>
      <c r="P287" s="4" t="b">
        <f t="shared" si="14"/>
        <v>1</v>
      </c>
      <c r="Q287" s="2"/>
      <c r="R287" s="2"/>
      <c r="S287" s="2"/>
    </row>
    <row r="288" spans="1:19" x14ac:dyDescent="0.45">
      <c r="A288" s="4" t="s">
        <v>339</v>
      </c>
      <c r="B288" s="4" t="s">
        <v>337</v>
      </c>
      <c r="C288" s="5">
        <v>1</v>
      </c>
      <c r="D288" s="5">
        <v>44</v>
      </c>
      <c r="E288" s="5">
        <v>0</v>
      </c>
      <c r="F288" s="5">
        <v>0</v>
      </c>
      <c r="G288" s="5">
        <v>0</v>
      </c>
      <c r="H288" s="5">
        <v>44</v>
      </c>
      <c r="I288" s="6">
        <v>3.5</v>
      </c>
      <c r="J288" s="6">
        <v>22</v>
      </c>
      <c r="K288" s="6">
        <v>28</v>
      </c>
      <c r="L288" s="6">
        <v>27.5</v>
      </c>
      <c r="M288" s="4" t="str">
        <f t="shared" si="12"/>
        <v>OK</v>
      </c>
      <c r="N288" s="7">
        <f t="shared" si="13"/>
        <v>6.9400630914826497E-2</v>
      </c>
      <c r="O288" s="7">
        <f>SUMIFS($D$2:D288,$B$2:B288,B288)/SUMIFS($D$2:$D$741,$B$2:$B$741,B288)</f>
        <v>0.9542586750788643</v>
      </c>
      <c r="P288" s="4" t="b">
        <f t="shared" si="14"/>
        <v>1</v>
      </c>
      <c r="Q288" s="2"/>
      <c r="R288" s="2"/>
      <c r="S288" s="2"/>
    </row>
    <row r="289" spans="1:19" x14ac:dyDescent="0.45">
      <c r="A289" s="4" t="s">
        <v>340</v>
      </c>
      <c r="B289" s="4" t="s">
        <v>337</v>
      </c>
      <c r="C289" s="5">
        <v>2</v>
      </c>
      <c r="D289" s="5">
        <v>21</v>
      </c>
      <c r="E289" s="5">
        <v>0</v>
      </c>
      <c r="F289" s="5">
        <v>0</v>
      </c>
      <c r="G289" s="5">
        <v>0</v>
      </c>
      <c r="H289" s="5">
        <v>21</v>
      </c>
      <c r="I289" s="6">
        <v>7</v>
      </c>
      <c r="J289" s="6">
        <v>10.6</v>
      </c>
      <c r="K289" s="6">
        <v>24</v>
      </c>
      <c r="L289" s="6">
        <v>24</v>
      </c>
      <c r="M289" s="4" t="str">
        <f t="shared" si="12"/>
        <v>OK</v>
      </c>
      <c r="N289" s="7">
        <f t="shared" si="13"/>
        <v>3.3123028391167195E-2</v>
      </c>
      <c r="O289" s="7">
        <f>SUMIFS($D$2:D289,$B$2:B289,B289)/SUMIFS($D$2:$D$741,$B$2:$B$741,B289)</f>
        <v>0.98738170347003151</v>
      </c>
      <c r="P289" s="4" t="b">
        <f t="shared" si="14"/>
        <v>0</v>
      </c>
      <c r="Q289" s="2"/>
      <c r="R289" s="2"/>
      <c r="S289" s="2"/>
    </row>
    <row r="290" spans="1:19" x14ac:dyDescent="0.45">
      <c r="A290" s="4" t="s">
        <v>341</v>
      </c>
      <c r="B290" s="4" t="s">
        <v>337</v>
      </c>
      <c r="C290" s="5">
        <v>1</v>
      </c>
      <c r="D290" s="5">
        <v>7</v>
      </c>
      <c r="E290" s="5">
        <v>0</v>
      </c>
      <c r="F290" s="5">
        <v>0</v>
      </c>
      <c r="G290" s="5">
        <v>0</v>
      </c>
      <c r="H290" s="5">
        <v>7</v>
      </c>
      <c r="I290" s="6">
        <v>4</v>
      </c>
      <c r="J290" s="6">
        <v>4</v>
      </c>
      <c r="K290" s="6">
        <v>9</v>
      </c>
      <c r="L290" s="6">
        <v>8.8000000000000007</v>
      </c>
      <c r="M290" s="4" t="str">
        <f t="shared" si="12"/>
        <v>OK</v>
      </c>
      <c r="N290" s="7">
        <f t="shared" si="13"/>
        <v>1.1041009463722398E-2</v>
      </c>
      <c r="O290" s="7">
        <f>SUMIFS($D$2:D290,$B$2:B290,B290)/SUMIFS($D$2:$D$741,$B$2:$B$741,B290)</f>
        <v>0.99842271293375395</v>
      </c>
      <c r="P290" s="4" t="b">
        <f t="shared" si="14"/>
        <v>0</v>
      </c>
      <c r="Q290" s="2"/>
      <c r="R290" s="2"/>
      <c r="S290" s="2"/>
    </row>
    <row r="291" spans="1:19" x14ac:dyDescent="0.45">
      <c r="A291" s="4" t="s">
        <v>342</v>
      </c>
      <c r="B291" s="4" t="s">
        <v>337</v>
      </c>
      <c r="C291" s="5">
        <v>1</v>
      </c>
      <c r="D291" s="5">
        <v>1</v>
      </c>
      <c r="E291" s="5">
        <v>0</v>
      </c>
      <c r="F291" s="5">
        <v>0</v>
      </c>
      <c r="G291" s="5">
        <v>0</v>
      </c>
      <c r="H291" s="5">
        <v>1</v>
      </c>
      <c r="I291" s="6">
        <v>3</v>
      </c>
      <c r="J291" s="6">
        <v>3</v>
      </c>
      <c r="K291" s="6">
        <v>3</v>
      </c>
      <c r="L291" s="6">
        <v>3</v>
      </c>
      <c r="M291" s="4" t="str">
        <f t="shared" si="12"/>
        <v>OK</v>
      </c>
      <c r="N291" s="7">
        <f t="shared" si="13"/>
        <v>1.5772870662460567E-3</v>
      </c>
      <c r="O291" s="7">
        <f>SUMIFS($D$2:D291,$B$2:B291,B291)/SUMIFS($D$2:$D$741,$B$2:$B$741,B291)</f>
        <v>1</v>
      </c>
      <c r="P291" s="4" t="b">
        <f t="shared" si="14"/>
        <v>0</v>
      </c>
      <c r="Q291" s="2"/>
      <c r="R291" s="2"/>
      <c r="S291" s="2"/>
    </row>
    <row r="292" spans="1:19" x14ac:dyDescent="0.45">
      <c r="A292" s="9" t="s">
        <v>343</v>
      </c>
      <c r="B292" s="9" t="s">
        <v>344</v>
      </c>
      <c r="C292" s="10">
        <v>1</v>
      </c>
      <c r="D292" s="10">
        <v>269</v>
      </c>
      <c r="E292" s="10">
        <v>154</v>
      </c>
      <c r="F292" s="10">
        <v>9</v>
      </c>
      <c r="G292" s="10">
        <v>0</v>
      </c>
      <c r="H292" s="10">
        <v>260</v>
      </c>
      <c r="I292" s="11">
        <v>9</v>
      </c>
      <c r="J292" s="11">
        <v>19.600000000000001</v>
      </c>
      <c r="K292" s="11">
        <v>20</v>
      </c>
      <c r="L292" s="11">
        <v>20</v>
      </c>
      <c r="M292" s="9" t="str">
        <f t="shared" si="12"/>
        <v>OK</v>
      </c>
      <c r="N292" s="12">
        <f t="shared" si="13"/>
        <v>0.55578512396694213</v>
      </c>
      <c r="O292" s="12">
        <f>SUMIFS($D$2:D292,$B$2:B292,B292)/SUMIFS($D$2:$D$741,$B$2:$B$741,B292)</f>
        <v>0.55578512396694213</v>
      </c>
      <c r="P292" s="9" t="b">
        <f t="shared" si="14"/>
        <v>1</v>
      </c>
      <c r="Q292" s="2"/>
      <c r="R292" s="2"/>
      <c r="S292" s="2"/>
    </row>
    <row r="293" spans="1:19" x14ac:dyDescent="0.45">
      <c r="A293" s="4" t="s">
        <v>345</v>
      </c>
      <c r="B293" s="4" t="s">
        <v>344</v>
      </c>
      <c r="C293" s="5">
        <v>1</v>
      </c>
      <c r="D293" s="5">
        <v>170</v>
      </c>
      <c r="E293" s="5">
        <v>77</v>
      </c>
      <c r="F293" s="5">
        <v>3</v>
      </c>
      <c r="G293" s="5">
        <v>0</v>
      </c>
      <c r="H293" s="5">
        <v>167</v>
      </c>
      <c r="I293" s="6">
        <v>4</v>
      </c>
      <c r="J293" s="6">
        <v>18.8</v>
      </c>
      <c r="K293" s="6">
        <v>17</v>
      </c>
      <c r="L293" s="6">
        <v>17</v>
      </c>
      <c r="M293" s="4" t="str">
        <f t="shared" si="12"/>
        <v>OK</v>
      </c>
      <c r="N293" s="7">
        <f t="shared" si="13"/>
        <v>0.3512396694214876</v>
      </c>
      <c r="O293" s="7">
        <f>SUMIFS($D$2:D293,$B$2:B293,B293)/SUMIFS($D$2:$D$741,$B$2:$B$741,B293)</f>
        <v>0.90702479338842978</v>
      </c>
      <c r="P293" s="4" t="b">
        <f t="shared" si="14"/>
        <v>1</v>
      </c>
      <c r="Q293" s="2"/>
      <c r="R293" s="2"/>
      <c r="S293" s="2"/>
    </row>
    <row r="294" spans="1:19" x14ac:dyDescent="0.45">
      <c r="A294" s="4" t="s">
        <v>346</v>
      </c>
      <c r="B294" s="4" t="s">
        <v>344</v>
      </c>
      <c r="C294" s="5">
        <v>1</v>
      </c>
      <c r="D294" s="5">
        <v>43</v>
      </c>
      <c r="E294" s="5">
        <v>20</v>
      </c>
      <c r="F294" s="5">
        <v>0</v>
      </c>
      <c r="G294" s="5">
        <v>0</v>
      </c>
      <c r="H294" s="5">
        <v>43</v>
      </c>
      <c r="I294" s="6">
        <v>3</v>
      </c>
      <c r="J294" s="6">
        <v>9.6</v>
      </c>
      <c r="K294" s="6">
        <v>12</v>
      </c>
      <c r="L294" s="6">
        <v>12</v>
      </c>
      <c r="M294" s="4" t="str">
        <f t="shared" si="12"/>
        <v>OK</v>
      </c>
      <c r="N294" s="7">
        <f t="shared" si="13"/>
        <v>8.8842975206611566E-2</v>
      </c>
      <c r="O294" s="7">
        <f>SUMIFS($D$2:D294,$B$2:B294,B294)/SUMIFS($D$2:$D$741,$B$2:$B$741,B294)</f>
        <v>0.99586776859504134</v>
      </c>
      <c r="P294" s="4" t="b">
        <f t="shared" si="14"/>
        <v>1</v>
      </c>
      <c r="Q294" s="2"/>
      <c r="R294" s="2"/>
      <c r="S294" s="2"/>
    </row>
    <row r="295" spans="1:19" x14ac:dyDescent="0.45">
      <c r="A295" s="4" t="s">
        <v>347</v>
      </c>
      <c r="B295" s="4" t="s">
        <v>344</v>
      </c>
      <c r="C295" s="5">
        <v>1</v>
      </c>
      <c r="D295" s="5">
        <v>2</v>
      </c>
      <c r="E295" s="5">
        <v>2</v>
      </c>
      <c r="F295" s="5">
        <v>0</v>
      </c>
      <c r="G295" s="5">
        <v>0</v>
      </c>
      <c r="H295" s="5">
        <v>2</v>
      </c>
      <c r="I295" s="6">
        <v>19.5</v>
      </c>
      <c r="J295" s="6">
        <v>19.5</v>
      </c>
      <c r="K295" s="6">
        <v>26</v>
      </c>
      <c r="L295" s="6">
        <v>25.5</v>
      </c>
      <c r="M295" s="4" t="str">
        <f t="shared" si="12"/>
        <v>OK</v>
      </c>
      <c r="N295" s="7">
        <f t="shared" si="13"/>
        <v>4.1322314049586778E-3</v>
      </c>
      <c r="O295" s="7">
        <f>SUMIFS($D$2:D295,$B$2:B295,B295)/SUMIFS($D$2:$D$741,$B$2:$B$741,B295)</f>
        <v>1</v>
      </c>
      <c r="P295" s="4" t="b">
        <f t="shared" si="14"/>
        <v>0</v>
      </c>
      <c r="Q295" s="2"/>
      <c r="R295" s="2"/>
      <c r="S295" s="2"/>
    </row>
    <row r="296" spans="1:19" x14ac:dyDescent="0.45">
      <c r="A296" s="9" t="s">
        <v>348</v>
      </c>
      <c r="B296" s="9" t="s">
        <v>349</v>
      </c>
      <c r="C296" s="10">
        <v>1</v>
      </c>
      <c r="D296" s="10">
        <v>1450</v>
      </c>
      <c r="E296" s="10">
        <v>331</v>
      </c>
      <c r="F296" s="10">
        <v>7</v>
      </c>
      <c r="G296" s="10">
        <v>1</v>
      </c>
      <c r="H296" s="10">
        <v>1443</v>
      </c>
      <c r="I296" s="11">
        <v>6</v>
      </c>
      <c r="J296" s="11">
        <v>11.2</v>
      </c>
      <c r="K296" s="11">
        <v>23</v>
      </c>
      <c r="L296" s="11">
        <v>22.8</v>
      </c>
      <c r="M296" s="9" t="str">
        <f t="shared" si="12"/>
        <v>OK</v>
      </c>
      <c r="N296" s="12">
        <f t="shared" si="13"/>
        <v>0.26831976313841599</v>
      </c>
      <c r="O296" s="12">
        <f>SUMIFS($D$2:D296,$B$2:B296,B296)/SUMIFS($D$2:$D$741,$B$2:$B$741,B296)</f>
        <v>0.26831976313841599</v>
      </c>
      <c r="P296" s="9" t="b">
        <f t="shared" si="14"/>
        <v>1</v>
      </c>
      <c r="Q296" s="2"/>
      <c r="R296" s="2"/>
      <c r="S296" s="2"/>
    </row>
    <row r="297" spans="1:19" x14ac:dyDescent="0.45">
      <c r="A297" s="4" t="s">
        <v>350</v>
      </c>
      <c r="B297" s="4" t="s">
        <v>349</v>
      </c>
      <c r="C297" s="5">
        <v>2</v>
      </c>
      <c r="D297" s="5">
        <v>955</v>
      </c>
      <c r="E297" s="5">
        <v>263</v>
      </c>
      <c r="F297" s="5">
        <v>9</v>
      </c>
      <c r="G297" s="5">
        <v>2</v>
      </c>
      <c r="H297" s="5">
        <v>946</v>
      </c>
      <c r="I297" s="6">
        <v>5</v>
      </c>
      <c r="J297" s="6">
        <v>14.8</v>
      </c>
      <c r="K297" s="6">
        <v>25</v>
      </c>
      <c r="L297" s="6">
        <v>25</v>
      </c>
      <c r="M297" s="4" t="str">
        <f t="shared" si="12"/>
        <v>OK</v>
      </c>
      <c r="N297" s="7">
        <f t="shared" si="13"/>
        <v>0.17672094744633604</v>
      </c>
      <c r="O297" s="7">
        <f>SUMIFS($D$2:D297,$B$2:B297,B297)/SUMIFS($D$2:$D$741,$B$2:$B$741,B297)</f>
        <v>0.44504071058475203</v>
      </c>
      <c r="P297" s="4" t="b">
        <f t="shared" si="14"/>
        <v>1</v>
      </c>
      <c r="Q297" s="2"/>
      <c r="R297" s="2"/>
      <c r="S297" s="2"/>
    </row>
    <row r="298" spans="1:19" x14ac:dyDescent="0.45">
      <c r="A298" s="4" t="s">
        <v>351</v>
      </c>
      <c r="B298" s="4" t="s">
        <v>349</v>
      </c>
      <c r="C298" s="5">
        <v>2</v>
      </c>
      <c r="D298" s="5">
        <v>433</v>
      </c>
      <c r="E298" s="5">
        <v>126</v>
      </c>
      <c r="F298" s="5">
        <v>2</v>
      </c>
      <c r="G298" s="5">
        <v>0</v>
      </c>
      <c r="H298" s="5">
        <v>431</v>
      </c>
      <c r="I298" s="6">
        <v>2</v>
      </c>
      <c r="J298" s="6">
        <v>8.5</v>
      </c>
      <c r="K298" s="6">
        <v>8</v>
      </c>
      <c r="L298" s="6">
        <v>8</v>
      </c>
      <c r="M298" s="4" t="str">
        <f t="shared" si="12"/>
        <v>OK</v>
      </c>
      <c r="N298" s="7">
        <f t="shared" si="13"/>
        <v>8.0125832716506293E-2</v>
      </c>
      <c r="O298" s="7">
        <f>SUMIFS($D$2:D298,$B$2:B298,B298)/SUMIFS($D$2:$D$741,$B$2:$B$741,B298)</f>
        <v>0.52516654330125834</v>
      </c>
      <c r="P298" s="4" t="b">
        <f t="shared" si="14"/>
        <v>1</v>
      </c>
      <c r="Q298" s="2"/>
      <c r="R298" s="2"/>
      <c r="S298" s="2"/>
    </row>
    <row r="299" spans="1:19" x14ac:dyDescent="0.45">
      <c r="A299" s="4" t="s">
        <v>352</v>
      </c>
      <c r="B299" s="4" t="s">
        <v>349</v>
      </c>
      <c r="C299" s="5">
        <v>1</v>
      </c>
      <c r="D299" s="5">
        <v>380</v>
      </c>
      <c r="E299" s="5">
        <v>187</v>
      </c>
      <c r="F299" s="5">
        <v>8</v>
      </c>
      <c r="G299" s="5">
        <v>0</v>
      </c>
      <c r="H299" s="5">
        <v>372</v>
      </c>
      <c r="I299" s="6">
        <v>6</v>
      </c>
      <c r="J299" s="6">
        <v>9</v>
      </c>
      <c r="K299" s="6">
        <v>19</v>
      </c>
      <c r="L299" s="6">
        <v>19</v>
      </c>
      <c r="M299" s="4" t="str">
        <f t="shared" si="12"/>
        <v>OK</v>
      </c>
      <c r="N299" s="7">
        <f t="shared" si="13"/>
        <v>7.0318282753515912E-2</v>
      </c>
      <c r="O299" s="7">
        <f>SUMIFS($D$2:D299,$B$2:B299,B299)/SUMIFS($D$2:$D$741,$B$2:$B$741,B299)</f>
        <v>0.59548482605477426</v>
      </c>
      <c r="P299" s="4" t="b">
        <f t="shared" si="14"/>
        <v>1</v>
      </c>
      <c r="Q299" s="2"/>
      <c r="R299" s="2"/>
      <c r="S299" s="2"/>
    </row>
    <row r="300" spans="1:19" x14ac:dyDescent="0.45">
      <c r="A300" s="4" t="s">
        <v>353</v>
      </c>
      <c r="B300" s="4" t="s">
        <v>349</v>
      </c>
      <c r="C300" s="5">
        <v>2</v>
      </c>
      <c r="D300" s="5">
        <v>290</v>
      </c>
      <c r="E300" s="5">
        <v>0</v>
      </c>
      <c r="F300" s="5">
        <v>0</v>
      </c>
      <c r="G300" s="5">
        <v>0</v>
      </c>
      <c r="H300" s="5">
        <v>290</v>
      </c>
      <c r="I300" s="6">
        <v>9</v>
      </c>
      <c r="J300" s="6">
        <v>14.5</v>
      </c>
      <c r="K300" s="6">
        <v>25</v>
      </c>
      <c r="L300" s="6">
        <v>25</v>
      </c>
      <c r="M300" s="4" t="str">
        <f t="shared" si="12"/>
        <v>OK</v>
      </c>
      <c r="N300" s="7">
        <f t="shared" si="13"/>
        <v>5.3663952627683198E-2</v>
      </c>
      <c r="O300" s="7">
        <f>SUMIFS($D$2:D300,$B$2:B300,B300)/SUMIFS($D$2:$D$741,$B$2:$B$741,B300)</f>
        <v>0.64914877868245746</v>
      </c>
      <c r="P300" s="4" t="b">
        <f t="shared" si="14"/>
        <v>1</v>
      </c>
      <c r="Q300" s="2"/>
      <c r="R300" s="2"/>
      <c r="S300" s="2"/>
    </row>
    <row r="301" spans="1:19" x14ac:dyDescent="0.45">
      <c r="A301" s="4" t="s">
        <v>354</v>
      </c>
      <c r="B301" s="4" t="s">
        <v>349</v>
      </c>
      <c r="C301" s="5">
        <v>1</v>
      </c>
      <c r="D301" s="5">
        <v>281</v>
      </c>
      <c r="E301" s="5">
        <v>151</v>
      </c>
      <c r="F301" s="5">
        <v>5</v>
      </c>
      <c r="G301" s="5">
        <v>0</v>
      </c>
      <c r="H301" s="5">
        <v>276</v>
      </c>
      <c r="I301" s="6">
        <v>2</v>
      </c>
      <c r="J301" s="6">
        <v>3.4</v>
      </c>
      <c r="K301" s="6">
        <v>9</v>
      </c>
      <c r="L301" s="6">
        <v>9</v>
      </c>
      <c r="M301" s="4" t="str">
        <f t="shared" si="12"/>
        <v>OK</v>
      </c>
      <c r="N301" s="7">
        <f t="shared" si="13"/>
        <v>5.1998519615099929E-2</v>
      </c>
      <c r="O301" s="7">
        <f>SUMIFS($D$2:D301,$B$2:B301,B301)/SUMIFS($D$2:$D$741,$B$2:$B$741,B301)</f>
        <v>0.7011472982975574</v>
      </c>
      <c r="P301" s="4" t="b">
        <f t="shared" si="14"/>
        <v>1</v>
      </c>
      <c r="Q301" s="2"/>
      <c r="R301" s="2"/>
      <c r="S301" s="2"/>
    </row>
    <row r="302" spans="1:19" x14ac:dyDescent="0.45">
      <c r="A302" s="4" t="s">
        <v>355</v>
      </c>
      <c r="B302" s="4" t="s">
        <v>349</v>
      </c>
      <c r="C302" s="5">
        <v>2</v>
      </c>
      <c r="D302" s="5">
        <v>224</v>
      </c>
      <c r="E302" s="5">
        <v>0</v>
      </c>
      <c r="F302" s="5">
        <v>0</v>
      </c>
      <c r="G302" s="5">
        <v>0</v>
      </c>
      <c r="H302" s="5">
        <v>224</v>
      </c>
      <c r="I302" s="6">
        <v>3</v>
      </c>
      <c r="J302" s="6">
        <v>8.4</v>
      </c>
      <c r="K302" s="6">
        <v>14</v>
      </c>
      <c r="L302" s="6">
        <v>13.7</v>
      </c>
      <c r="M302" s="4" t="str">
        <f t="shared" si="12"/>
        <v>OK</v>
      </c>
      <c r="N302" s="7">
        <f t="shared" si="13"/>
        <v>4.145077720207254E-2</v>
      </c>
      <c r="O302" s="7">
        <f>SUMIFS($D$2:D302,$B$2:B302,B302)/SUMIFS($D$2:$D$741,$B$2:$B$741,B302)</f>
        <v>0.74259807549962986</v>
      </c>
      <c r="P302" s="4" t="b">
        <f t="shared" si="14"/>
        <v>1</v>
      </c>
      <c r="Q302" s="2"/>
      <c r="R302" s="2"/>
      <c r="S302" s="2"/>
    </row>
    <row r="303" spans="1:19" x14ac:dyDescent="0.45">
      <c r="A303" s="4" t="s">
        <v>356</v>
      </c>
      <c r="B303" s="4" t="s">
        <v>349</v>
      </c>
      <c r="C303" s="5">
        <v>1</v>
      </c>
      <c r="D303" s="5">
        <v>218</v>
      </c>
      <c r="E303" s="5">
        <v>107</v>
      </c>
      <c r="F303" s="5">
        <v>5</v>
      </c>
      <c r="G303" s="5">
        <v>0</v>
      </c>
      <c r="H303" s="5">
        <v>213</v>
      </c>
      <c r="I303" s="6">
        <v>1</v>
      </c>
      <c r="J303" s="6">
        <v>10.3</v>
      </c>
      <c r="K303" s="6">
        <v>7</v>
      </c>
      <c r="L303" s="6">
        <v>6.8</v>
      </c>
      <c r="M303" s="4" t="str">
        <f t="shared" si="12"/>
        <v>OK</v>
      </c>
      <c r="N303" s="7">
        <f t="shared" si="13"/>
        <v>4.0340488527017021E-2</v>
      </c>
      <c r="O303" s="7">
        <f>SUMIFS($D$2:D303,$B$2:B303,B303)/SUMIFS($D$2:$D$741,$B$2:$B$741,B303)</f>
        <v>0.78293856402664697</v>
      </c>
      <c r="P303" s="4" t="b">
        <f t="shared" si="14"/>
        <v>1</v>
      </c>
      <c r="Q303" s="2"/>
      <c r="R303" s="2"/>
      <c r="S303" s="2"/>
    </row>
    <row r="304" spans="1:19" x14ac:dyDescent="0.45">
      <c r="A304" s="4" t="s">
        <v>357</v>
      </c>
      <c r="B304" s="4" t="s">
        <v>349</v>
      </c>
      <c r="C304" s="5">
        <v>1</v>
      </c>
      <c r="D304" s="5">
        <v>211</v>
      </c>
      <c r="E304" s="5">
        <v>91</v>
      </c>
      <c r="F304" s="5">
        <v>1</v>
      </c>
      <c r="G304" s="5">
        <v>0</v>
      </c>
      <c r="H304" s="5">
        <v>210</v>
      </c>
      <c r="I304" s="6">
        <v>3</v>
      </c>
      <c r="J304" s="6">
        <v>4.3</v>
      </c>
      <c r="K304" s="6">
        <v>9</v>
      </c>
      <c r="L304" s="6">
        <v>9.1</v>
      </c>
      <c r="M304" s="4" t="str">
        <f t="shared" si="12"/>
        <v>OK</v>
      </c>
      <c r="N304" s="7">
        <f t="shared" si="13"/>
        <v>3.9045151739452257E-2</v>
      </c>
      <c r="O304" s="7">
        <f>SUMIFS($D$2:D304,$B$2:B304,B304)/SUMIFS($D$2:$D$741,$B$2:$B$741,B304)</f>
        <v>0.82198371576609919</v>
      </c>
      <c r="P304" s="4" t="b">
        <f t="shared" si="14"/>
        <v>1</v>
      </c>
      <c r="Q304" s="2"/>
      <c r="R304" s="2"/>
      <c r="S304" s="2"/>
    </row>
    <row r="305" spans="1:19" x14ac:dyDescent="0.45">
      <c r="A305" s="4" t="s">
        <v>358</v>
      </c>
      <c r="B305" s="4" t="s">
        <v>349</v>
      </c>
      <c r="C305" s="5">
        <v>1</v>
      </c>
      <c r="D305" s="5">
        <v>189</v>
      </c>
      <c r="E305" s="5">
        <v>61</v>
      </c>
      <c r="F305" s="5">
        <v>3</v>
      </c>
      <c r="G305" s="5">
        <v>0</v>
      </c>
      <c r="H305" s="5">
        <v>186</v>
      </c>
      <c r="I305" s="6">
        <v>1</v>
      </c>
      <c r="J305" s="6">
        <v>3.5</v>
      </c>
      <c r="K305" s="6">
        <v>12</v>
      </c>
      <c r="L305" s="6">
        <v>11.5</v>
      </c>
      <c r="M305" s="4" t="str">
        <f t="shared" si="12"/>
        <v>OK</v>
      </c>
      <c r="N305" s="7">
        <f t="shared" si="13"/>
        <v>3.4974093264248704E-2</v>
      </c>
      <c r="O305" s="7">
        <f>SUMIFS($D$2:D305,$B$2:B305,B305)/SUMIFS($D$2:$D$741,$B$2:$B$741,B305)</f>
        <v>0.85695780903034791</v>
      </c>
      <c r="P305" s="4" t="b">
        <f t="shared" si="14"/>
        <v>1</v>
      </c>
      <c r="Q305" s="2"/>
      <c r="R305" s="2"/>
      <c r="S305" s="2"/>
    </row>
    <row r="306" spans="1:19" x14ac:dyDescent="0.45">
      <c r="A306" s="4" t="s">
        <v>359</v>
      </c>
      <c r="B306" s="4" t="s">
        <v>349</v>
      </c>
      <c r="C306" s="5">
        <v>1</v>
      </c>
      <c r="D306" s="5">
        <v>152</v>
      </c>
      <c r="E306" s="5">
        <v>0</v>
      </c>
      <c r="F306" s="5">
        <v>0</v>
      </c>
      <c r="G306" s="5">
        <v>0</v>
      </c>
      <c r="H306" s="5">
        <v>152</v>
      </c>
      <c r="I306" s="6">
        <v>6</v>
      </c>
      <c r="J306" s="6">
        <v>8.9</v>
      </c>
      <c r="K306" s="6">
        <v>18</v>
      </c>
      <c r="L306" s="6">
        <v>17.899999999999999</v>
      </c>
      <c r="M306" s="4" t="str">
        <f t="shared" si="12"/>
        <v>OK</v>
      </c>
      <c r="N306" s="7">
        <f t="shared" si="13"/>
        <v>2.8127313101406367E-2</v>
      </c>
      <c r="O306" s="7">
        <f>SUMIFS($D$2:D306,$B$2:B306,B306)/SUMIFS($D$2:$D$741,$B$2:$B$741,B306)</f>
        <v>0.88508512213175428</v>
      </c>
      <c r="P306" s="4" t="b">
        <f t="shared" si="14"/>
        <v>1</v>
      </c>
      <c r="Q306" s="2"/>
      <c r="R306" s="2"/>
      <c r="S306" s="2"/>
    </row>
    <row r="307" spans="1:19" x14ac:dyDescent="0.45">
      <c r="A307" s="4" t="s">
        <v>360</v>
      </c>
      <c r="B307" s="4" t="s">
        <v>349</v>
      </c>
      <c r="C307" s="5">
        <v>2</v>
      </c>
      <c r="D307" s="5">
        <v>138</v>
      </c>
      <c r="E307" s="5">
        <v>0</v>
      </c>
      <c r="F307" s="5">
        <v>0</v>
      </c>
      <c r="G307" s="5">
        <v>0</v>
      </c>
      <c r="H307" s="5">
        <v>138</v>
      </c>
      <c r="I307" s="6">
        <v>2</v>
      </c>
      <c r="J307" s="6">
        <v>4.0999999999999996</v>
      </c>
      <c r="K307" s="6">
        <v>11</v>
      </c>
      <c r="L307" s="6">
        <v>11</v>
      </c>
      <c r="M307" s="4" t="str">
        <f t="shared" si="12"/>
        <v>OK</v>
      </c>
      <c r="N307" s="7">
        <f t="shared" si="13"/>
        <v>2.5536639526276831E-2</v>
      </c>
      <c r="O307" s="7">
        <f>SUMIFS($D$2:D307,$B$2:B307,B307)/SUMIFS($D$2:$D$741,$B$2:$B$741,B307)</f>
        <v>0.9106217616580311</v>
      </c>
      <c r="P307" s="4" t="b">
        <f t="shared" si="14"/>
        <v>1</v>
      </c>
      <c r="Q307" s="2"/>
      <c r="R307" s="2"/>
      <c r="S307" s="2"/>
    </row>
    <row r="308" spans="1:19" x14ac:dyDescent="0.45">
      <c r="A308" s="4" t="s">
        <v>361</v>
      </c>
      <c r="B308" s="4" t="s">
        <v>349</v>
      </c>
      <c r="C308" s="5">
        <v>1</v>
      </c>
      <c r="D308" s="5">
        <v>100</v>
      </c>
      <c r="E308" s="5">
        <v>35</v>
      </c>
      <c r="F308" s="5">
        <v>1</v>
      </c>
      <c r="G308" s="5">
        <v>0</v>
      </c>
      <c r="H308" s="5">
        <v>99</v>
      </c>
      <c r="I308" s="6">
        <v>2</v>
      </c>
      <c r="J308" s="6">
        <v>3.1</v>
      </c>
      <c r="K308" s="6">
        <v>7</v>
      </c>
      <c r="L308" s="6">
        <v>7.2</v>
      </c>
      <c r="M308" s="4" t="str">
        <f t="shared" si="12"/>
        <v>OK</v>
      </c>
      <c r="N308" s="7">
        <f t="shared" si="13"/>
        <v>1.8504811250925242E-2</v>
      </c>
      <c r="O308" s="7">
        <f>SUMIFS($D$2:D308,$B$2:B308,B308)/SUMIFS($D$2:$D$741,$B$2:$B$741,B308)</f>
        <v>0.92912657290895628</v>
      </c>
      <c r="P308" s="4" t="b">
        <f t="shared" si="14"/>
        <v>1</v>
      </c>
      <c r="Q308" s="2"/>
      <c r="R308" s="2"/>
      <c r="S308" s="2"/>
    </row>
    <row r="309" spans="1:19" x14ac:dyDescent="0.45">
      <c r="A309" s="4" t="s">
        <v>362</v>
      </c>
      <c r="B309" s="4" t="s">
        <v>349</v>
      </c>
      <c r="C309" s="5">
        <v>1</v>
      </c>
      <c r="D309" s="5">
        <v>71</v>
      </c>
      <c r="E309" s="5">
        <v>18</v>
      </c>
      <c r="F309" s="5">
        <v>0</v>
      </c>
      <c r="G309" s="5">
        <v>0</v>
      </c>
      <c r="H309" s="5">
        <v>71</v>
      </c>
      <c r="I309" s="6">
        <v>2</v>
      </c>
      <c r="J309" s="6">
        <v>12</v>
      </c>
      <c r="K309" s="6">
        <v>15</v>
      </c>
      <c r="L309" s="6">
        <v>15</v>
      </c>
      <c r="M309" s="4" t="str">
        <f t="shared" si="12"/>
        <v>OK</v>
      </c>
      <c r="N309" s="7">
        <f t="shared" si="13"/>
        <v>1.3138415988156921E-2</v>
      </c>
      <c r="O309" s="7">
        <f>SUMIFS($D$2:D309,$B$2:B309,B309)/SUMIFS($D$2:$D$741,$B$2:$B$741,B309)</f>
        <v>0.9422649888971133</v>
      </c>
      <c r="P309" s="4" t="b">
        <f t="shared" si="14"/>
        <v>1</v>
      </c>
      <c r="Q309" s="2"/>
      <c r="R309" s="2"/>
      <c r="S309" s="2"/>
    </row>
    <row r="310" spans="1:19" x14ac:dyDescent="0.45">
      <c r="A310" s="4" t="s">
        <v>363</v>
      </c>
      <c r="B310" s="4" t="s">
        <v>349</v>
      </c>
      <c r="C310" s="5">
        <v>1</v>
      </c>
      <c r="D310" s="5">
        <v>53</v>
      </c>
      <c r="E310" s="5">
        <v>0</v>
      </c>
      <c r="F310" s="5">
        <v>0</v>
      </c>
      <c r="G310" s="5">
        <v>0</v>
      </c>
      <c r="H310" s="5">
        <v>53</v>
      </c>
      <c r="I310" s="6">
        <v>6</v>
      </c>
      <c r="J310" s="6">
        <v>10.8</v>
      </c>
      <c r="K310" s="6">
        <v>21</v>
      </c>
      <c r="L310" s="6">
        <v>20.8</v>
      </c>
      <c r="M310" s="4" t="str">
        <f t="shared" si="12"/>
        <v>OK</v>
      </c>
      <c r="N310" s="7">
        <f t="shared" si="13"/>
        <v>9.8075499629903772E-3</v>
      </c>
      <c r="O310" s="7">
        <f>SUMIFS($D$2:D310,$B$2:B310,B310)/SUMIFS($D$2:$D$741,$B$2:$B$741,B310)</f>
        <v>0.95207253886010368</v>
      </c>
      <c r="P310" s="4" t="b">
        <f t="shared" si="14"/>
        <v>1</v>
      </c>
      <c r="Q310" s="2"/>
      <c r="R310" s="2"/>
      <c r="S310" s="2"/>
    </row>
    <row r="311" spans="1:19" x14ac:dyDescent="0.45">
      <c r="A311" s="4" t="s">
        <v>364</v>
      </c>
      <c r="B311" s="4" t="s">
        <v>349</v>
      </c>
      <c r="C311" s="5">
        <v>1</v>
      </c>
      <c r="D311" s="5">
        <v>45</v>
      </c>
      <c r="E311" s="5">
        <v>18</v>
      </c>
      <c r="F311" s="5">
        <v>0</v>
      </c>
      <c r="G311" s="5">
        <v>0</v>
      </c>
      <c r="H311" s="5">
        <v>45</v>
      </c>
      <c r="I311" s="6">
        <v>1</v>
      </c>
      <c r="J311" s="6">
        <v>9.8000000000000007</v>
      </c>
      <c r="K311" s="6">
        <v>5</v>
      </c>
      <c r="L311" s="6">
        <v>5.2</v>
      </c>
      <c r="M311" s="4" t="str">
        <f t="shared" si="12"/>
        <v>OK</v>
      </c>
      <c r="N311" s="7">
        <f t="shared" si="13"/>
        <v>8.3271650629163588E-3</v>
      </c>
      <c r="O311" s="7">
        <f>SUMIFS($D$2:D311,$B$2:B311,B311)/SUMIFS($D$2:$D$741,$B$2:$B$741,B311)</f>
        <v>0.96039970392301999</v>
      </c>
      <c r="P311" s="4" t="b">
        <f t="shared" si="14"/>
        <v>0</v>
      </c>
      <c r="Q311" s="2"/>
      <c r="R311" s="2"/>
      <c r="S311" s="2"/>
    </row>
    <row r="312" spans="1:19" x14ac:dyDescent="0.45">
      <c r="A312" s="4" t="s">
        <v>365</v>
      </c>
      <c r="B312" s="4" t="s">
        <v>349</v>
      </c>
      <c r="C312" s="5">
        <v>1</v>
      </c>
      <c r="D312" s="5">
        <v>39</v>
      </c>
      <c r="E312" s="5">
        <v>24</v>
      </c>
      <c r="F312" s="5">
        <v>1</v>
      </c>
      <c r="G312" s="5">
        <v>0</v>
      </c>
      <c r="H312" s="5">
        <v>38</v>
      </c>
      <c r="I312" s="6">
        <v>6</v>
      </c>
      <c r="J312" s="6">
        <v>9.6999999999999993</v>
      </c>
      <c r="K312" s="6">
        <v>16</v>
      </c>
      <c r="L312" s="6">
        <v>16.3</v>
      </c>
      <c r="M312" s="4" t="str">
        <f t="shared" si="12"/>
        <v>OK</v>
      </c>
      <c r="N312" s="7">
        <f t="shared" si="13"/>
        <v>7.2168763878608438E-3</v>
      </c>
      <c r="O312" s="7">
        <f>SUMIFS($D$2:D312,$B$2:B312,B312)/SUMIFS($D$2:$D$741,$B$2:$B$741,B312)</f>
        <v>0.96761658031088082</v>
      </c>
      <c r="P312" s="4" t="b">
        <f t="shared" si="14"/>
        <v>0</v>
      </c>
      <c r="Q312" s="2"/>
      <c r="R312" s="2"/>
      <c r="S312" s="2"/>
    </row>
    <row r="313" spans="1:19" x14ac:dyDescent="0.45">
      <c r="A313" s="4" t="s">
        <v>366</v>
      </c>
      <c r="B313" s="4" t="s">
        <v>349</v>
      </c>
      <c r="C313" s="5">
        <v>1</v>
      </c>
      <c r="D313" s="5">
        <v>37</v>
      </c>
      <c r="E313" s="5">
        <v>21</v>
      </c>
      <c r="F313" s="5">
        <v>0</v>
      </c>
      <c r="G313" s="5">
        <v>0</v>
      </c>
      <c r="H313" s="5">
        <v>37</v>
      </c>
      <c r="I313" s="6">
        <v>8</v>
      </c>
      <c r="J313" s="6">
        <v>14.6</v>
      </c>
      <c r="K313" s="6">
        <v>38</v>
      </c>
      <c r="L313" s="6">
        <v>38</v>
      </c>
      <c r="M313" s="4" t="str">
        <f t="shared" si="12"/>
        <v>OK</v>
      </c>
      <c r="N313" s="7">
        <f t="shared" si="13"/>
        <v>6.8467801628423388E-3</v>
      </c>
      <c r="O313" s="7">
        <f>SUMIFS($D$2:D313,$B$2:B313,B313)/SUMIFS($D$2:$D$741,$B$2:$B$741,B313)</f>
        <v>0.97446336047372317</v>
      </c>
      <c r="P313" s="4" t="b">
        <f t="shared" si="14"/>
        <v>0</v>
      </c>
      <c r="Q313" s="2"/>
      <c r="R313" s="2"/>
      <c r="S313" s="2"/>
    </row>
    <row r="314" spans="1:19" x14ac:dyDescent="0.45">
      <c r="A314" s="4" t="s">
        <v>367</v>
      </c>
      <c r="B314" s="4" t="s">
        <v>349</v>
      </c>
      <c r="C314" s="5">
        <v>2</v>
      </c>
      <c r="D314" s="5">
        <v>37</v>
      </c>
      <c r="E314" s="5">
        <v>0</v>
      </c>
      <c r="F314" s="5">
        <v>0</v>
      </c>
      <c r="G314" s="5">
        <v>0</v>
      </c>
      <c r="H314" s="5">
        <v>37</v>
      </c>
      <c r="I314" s="6">
        <v>1</v>
      </c>
      <c r="J314" s="6">
        <v>8.1999999999999993</v>
      </c>
      <c r="K314" s="6">
        <v>8</v>
      </c>
      <c r="L314" s="6">
        <v>7.8</v>
      </c>
      <c r="M314" s="4" t="str">
        <f t="shared" si="12"/>
        <v>OK</v>
      </c>
      <c r="N314" s="7">
        <f t="shared" si="13"/>
        <v>6.8467801628423388E-3</v>
      </c>
      <c r="O314" s="7">
        <f>SUMIFS($D$2:D314,$B$2:B314,B314)/SUMIFS($D$2:$D$741,$B$2:$B$741,B314)</f>
        <v>0.98131014063656552</v>
      </c>
      <c r="P314" s="4" t="b">
        <f t="shared" si="14"/>
        <v>0</v>
      </c>
      <c r="Q314" s="2"/>
      <c r="R314" s="2"/>
      <c r="S314" s="2"/>
    </row>
    <row r="315" spans="1:19" x14ac:dyDescent="0.45">
      <c r="A315" s="4" t="s">
        <v>368</v>
      </c>
      <c r="B315" s="4" t="s">
        <v>349</v>
      </c>
      <c r="C315" s="5">
        <v>1</v>
      </c>
      <c r="D315" s="5">
        <v>28</v>
      </c>
      <c r="E315" s="5">
        <v>21</v>
      </c>
      <c r="F315" s="5">
        <v>0</v>
      </c>
      <c r="G315" s="5">
        <v>0</v>
      </c>
      <c r="H315" s="5">
        <v>28</v>
      </c>
      <c r="I315" s="6">
        <v>2</v>
      </c>
      <c r="J315" s="6">
        <v>10.8</v>
      </c>
      <c r="K315" s="6">
        <v>24</v>
      </c>
      <c r="L315" s="6">
        <v>24.4</v>
      </c>
      <c r="M315" s="4" t="str">
        <f t="shared" si="12"/>
        <v>OK</v>
      </c>
      <c r="N315" s="7">
        <f t="shared" si="13"/>
        <v>5.1813471502590676E-3</v>
      </c>
      <c r="O315" s="7">
        <f>SUMIFS($D$2:D315,$B$2:B315,B315)/SUMIFS($D$2:$D$741,$B$2:$B$741,B315)</f>
        <v>0.98649148778682461</v>
      </c>
      <c r="P315" s="4" t="b">
        <f t="shared" si="14"/>
        <v>0</v>
      </c>
      <c r="Q315" s="2"/>
      <c r="R315" s="2"/>
      <c r="S315" s="2"/>
    </row>
    <row r="316" spans="1:19" x14ac:dyDescent="0.45">
      <c r="A316" s="4" t="s">
        <v>369</v>
      </c>
      <c r="B316" s="4" t="s">
        <v>349</v>
      </c>
      <c r="C316" s="5">
        <v>1</v>
      </c>
      <c r="D316" s="5">
        <v>24</v>
      </c>
      <c r="E316" s="5">
        <v>0</v>
      </c>
      <c r="F316" s="5">
        <v>0</v>
      </c>
      <c r="G316" s="5">
        <v>0</v>
      </c>
      <c r="H316" s="5">
        <v>24</v>
      </c>
      <c r="I316" s="6">
        <v>6</v>
      </c>
      <c r="J316" s="6">
        <v>8.5</v>
      </c>
      <c r="K316" s="6">
        <v>21</v>
      </c>
      <c r="L316" s="6">
        <v>20.7</v>
      </c>
      <c r="M316" s="4" t="str">
        <f t="shared" si="12"/>
        <v>OK</v>
      </c>
      <c r="N316" s="7">
        <f t="shared" si="13"/>
        <v>4.4411547002220575E-3</v>
      </c>
      <c r="O316" s="7">
        <f>SUMIFS($D$2:D316,$B$2:B316,B316)/SUMIFS($D$2:$D$741,$B$2:$B$741,B316)</f>
        <v>0.9909326424870466</v>
      </c>
      <c r="P316" s="4" t="b">
        <f t="shared" si="14"/>
        <v>0</v>
      </c>
      <c r="Q316" s="2"/>
      <c r="R316" s="2"/>
      <c r="S316" s="2"/>
    </row>
    <row r="317" spans="1:19" x14ac:dyDescent="0.45">
      <c r="A317" s="4" t="s">
        <v>370</v>
      </c>
      <c r="B317" s="4" t="s">
        <v>349</v>
      </c>
      <c r="C317" s="5">
        <v>1</v>
      </c>
      <c r="D317" s="5">
        <v>22</v>
      </c>
      <c r="E317" s="5">
        <v>0</v>
      </c>
      <c r="F317" s="5">
        <v>0</v>
      </c>
      <c r="G317" s="5">
        <v>0</v>
      </c>
      <c r="H317" s="5">
        <v>22</v>
      </c>
      <c r="I317" s="6">
        <v>7.5</v>
      </c>
      <c r="J317" s="6">
        <v>11</v>
      </c>
      <c r="K317" s="6">
        <v>28</v>
      </c>
      <c r="L317" s="6">
        <v>27.6</v>
      </c>
      <c r="M317" s="4" t="str">
        <f t="shared" si="12"/>
        <v>OK</v>
      </c>
      <c r="N317" s="7">
        <f t="shared" si="13"/>
        <v>4.0710584752035525E-3</v>
      </c>
      <c r="O317" s="7">
        <f>SUMIFS($D$2:D317,$B$2:B317,B317)/SUMIFS($D$2:$D$741,$B$2:$B$741,B317)</f>
        <v>0.99500370096225021</v>
      </c>
      <c r="P317" s="4" t="b">
        <f t="shared" si="14"/>
        <v>0</v>
      </c>
      <c r="Q317" s="2"/>
      <c r="R317" s="2"/>
      <c r="S317" s="2"/>
    </row>
    <row r="318" spans="1:19" x14ac:dyDescent="0.45">
      <c r="A318" s="4" t="s">
        <v>371</v>
      </c>
      <c r="B318" s="4" t="s">
        <v>349</v>
      </c>
      <c r="C318" s="5">
        <v>2</v>
      </c>
      <c r="D318" s="5">
        <v>16</v>
      </c>
      <c r="E318" s="5">
        <v>0</v>
      </c>
      <c r="F318" s="5">
        <v>0</v>
      </c>
      <c r="G318" s="5">
        <v>0</v>
      </c>
      <c r="H318" s="5">
        <v>16</v>
      </c>
      <c r="I318" s="6">
        <v>5.5</v>
      </c>
      <c r="J318" s="6">
        <v>9.6</v>
      </c>
      <c r="K318" s="6">
        <v>26</v>
      </c>
      <c r="L318" s="6">
        <v>26</v>
      </c>
      <c r="M318" s="4" t="str">
        <f t="shared" si="12"/>
        <v>OK</v>
      </c>
      <c r="N318" s="7">
        <f t="shared" si="13"/>
        <v>2.9607698001480384E-3</v>
      </c>
      <c r="O318" s="7">
        <f>SUMIFS($D$2:D318,$B$2:B318,B318)/SUMIFS($D$2:$D$741,$B$2:$B$741,B318)</f>
        <v>0.99796447076239825</v>
      </c>
      <c r="P318" s="4" t="b">
        <f t="shared" si="14"/>
        <v>0</v>
      </c>
      <c r="Q318" s="2"/>
      <c r="R318" s="2"/>
      <c r="S318" s="2"/>
    </row>
    <row r="319" spans="1:19" x14ac:dyDescent="0.45">
      <c r="A319" s="4" t="s">
        <v>372</v>
      </c>
      <c r="B319" s="4" t="s">
        <v>349</v>
      </c>
      <c r="C319" s="5">
        <v>1</v>
      </c>
      <c r="D319" s="5">
        <v>7</v>
      </c>
      <c r="E319" s="5">
        <v>0</v>
      </c>
      <c r="F319" s="5">
        <v>0</v>
      </c>
      <c r="G319" s="5">
        <v>0</v>
      </c>
      <c r="H319" s="5">
        <v>7</v>
      </c>
      <c r="I319" s="6">
        <v>160</v>
      </c>
      <c r="J319" s="6">
        <v>162.9</v>
      </c>
      <c r="K319" s="6">
        <v>355</v>
      </c>
      <c r="L319" s="6">
        <v>354.8</v>
      </c>
      <c r="M319" s="4" t="str">
        <f t="shared" si="12"/>
        <v>OK</v>
      </c>
      <c r="N319" s="7">
        <f t="shared" si="13"/>
        <v>1.2953367875647669E-3</v>
      </c>
      <c r="O319" s="7">
        <f>SUMIFS($D$2:D319,$B$2:B319,B319)/SUMIFS($D$2:$D$741,$B$2:$B$741,B319)</f>
        <v>0.99925980754996302</v>
      </c>
      <c r="P319" s="4" t="b">
        <f t="shared" si="14"/>
        <v>0</v>
      </c>
      <c r="Q319" s="2"/>
      <c r="R319" s="2"/>
      <c r="S319" s="2"/>
    </row>
    <row r="320" spans="1:19" x14ac:dyDescent="0.45">
      <c r="A320" s="4" t="s">
        <v>373</v>
      </c>
      <c r="B320" s="4" t="s">
        <v>349</v>
      </c>
      <c r="C320" s="5">
        <v>1</v>
      </c>
      <c r="D320" s="5">
        <v>2</v>
      </c>
      <c r="E320" s="5">
        <v>0</v>
      </c>
      <c r="F320" s="5">
        <v>0</v>
      </c>
      <c r="G320" s="5">
        <v>0</v>
      </c>
      <c r="H320" s="5">
        <v>2</v>
      </c>
      <c r="I320" s="6">
        <v>4</v>
      </c>
      <c r="J320" s="6">
        <v>4</v>
      </c>
      <c r="K320" s="6">
        <v>7</v>
      </c>
      <c r="L320" s="6">
        <v>7.2</v>
      </c>
      <c r="M320" s="4" t="str">
        <f t="shared" si="12"/>
        <v>OK</v>
      </c>
      <c r="N320" s="7">
        <f t="shared" si="13"/>
        <v>3.7009622501850479E-4</v>
      </c>
      <c r="O320" s="7">
        <f>SUMIFS($D$2:D320,$B$2:B320,B320)/SUMIFS($D$2:$D$741,$B$2:$B$741,B320)</f>
        <v>0.99962990377498151</v>
      </c>
      <c r="P320" s="4" t="b">
        <f t="shared" si="14"/>
        <v>0</v>
      </c>
      <c r="Q320" s="2"/>
      <c r="R320" s="2"/>
      <c r="S320" s="2"/>
    </row>
    <row r="321" spans="1:19" x14ac:dyDescent="0.45">
      <c r="A321" s="4" t="s">
        <v>374</v>
      </c>
      <c r="B321" s="4" t="s">
        <v>349</v>
      </c>
      <c r="C321" s="5">
        <v>1</v>
      </c>
      <c r="D321" s="5">
        <v>1</v>
      </c>
      <c r="E321" s="5">
        <v>0</v>
      </c>
      <c r="F321" s="5">
        <v>0</v>
      </c>
      <c r="G321" s="5">
        <v>0</v>
      </c>
      <c r="H321" s="5">
        <v>1</v>
      </c>
      <c r="I321" s="6">
        <v>34</v>
      </c>
      <c r="J321" s="6">
        <v>34</v>
      </c>
      <c r="K321" s="6">
        <v>34</v>
      </c>
      <c r="L321" s="6">
        <v>34</v>
      </c>
      <c r="M321" s="4" t="str">
        <f t="shared" si="12"/>
        <v>OK</v>
      </c>
      <c r="N321" s="7">
        <f t="shared" si="13"/>
        <v>1.850481125092524E-4</v>
      </c>
      <c r="O321" s="7">
        <f>SUMIFS($D$2:D321,$B$2:B321,B321)/SUMIFS($D$2:$D$741,$B$2:$B$741,B321)</f>
        <v>0.9998149518874907</v>
      </c>
      <c r="P321" s="4" t="b">
        <f t="shared" si="14"/>
        <v>0</v>
      </c>
      <c r="Q321" s="2"/>
      <c r="R321" s="2"/>
      <c r="S321" s="2"/>
    </row>
    <row r="322" spans="1:19" x14ac:dyDescent="0.45">
      <c r="A322" s="4" t="s">
        <v>375</v>
      </c>
      <c r="B322" s="4" t="s">
        <v>349</v>
      </c>
      <c r="C322" s="5">
        <v>1</v>
      </c>
      <c r="D322" s="5">
        <v>1</v>
      </c>
      <c r="E322" s="5">
        <v>0</v>
      </c>
      <c r="F322" s="5">
        <v>0</v>
      </c>
      <c r="G322" s="5">
        <v>0</v>
      </c>
      <c r="H322" s="5">
        <v>1</v>
      </c>
      <c r="I322" s="6">
        <v>7</v>
      </c>
      <c r="J322" s="6">
        <v>7</v>
      </c>
      <c r="K322" s="6">
        <v>7</v>
      </c>
      <c r="L322" s="6">
        <v>7</v>
      </c>
      <c r="M322" s="4" t="str">
        <f t="shared" ref="M322:M385" si="15">IF(AND(K322="",L322=""),"No closed tickets",IF(K322="","MISSING in catalog",IF(L322="","No valid closed tickets",IF(AND(ABS(K322-L322)&gt;=$S$3,ABS(K322-L322)&gt;=$S$4*MAX(L322,1)),"FAR OFF","OK"))))</f>
        <v>OK</v>
      </c>
      <c r="N322" s="7">
        <f t="shared" ref="N322:N385" si="16">D322/SUMIFS($D$2:$D$741,$B$2:$B$741,B322)</f>
        <v>1.850481125092524E-4</v>
      </c>
      <c r="O322" s="7">
        <f>SUMIFS($D$2:D322,$B$2:B322,B322)/SUMIFS($D$2:$D$741,$B$2:$B$741,B322)</f>
        <v>1</v>
      </c>
      <c r="P322" s="4" t="b">
        <f t="shared" ref="P322:P385" si="17">O322-N322&lt;$S$2</f>
        <v>0</v>
      </c>
      <c r="Q322" s="2"/>
      <c r="R322" s="2"/>
      <c r="S322" s="2"/>
    </row>
    <row r="323" spans="1:19" x14ac:dyDescent="0.45">
      <c r="A323" s="9" t="s">
        <v>376</v>
      </c>
      <c r="B323" s="9" t="s">
        <v>377</v>
      </c>
      <c r="C323" s="10">
        <v>2</v>
      </c>
      <c r="D323" s="10">
        <v>2006</v>
      </c>
      <c r="E323" s="10">
        <v>442</v>
      </c>
      <c r="F323" s="10">
        <v>29</v>
      </c>
      <c r="G323" s="10">
        <v>15</v>
      </c>
      <c r="H323" s="10">
        <v>1977</v>
      </c>
      <c r="I323" s="11">
        <v>3</v>
      </c>
      <c r="J323" s="11">
        <v>18.2</v>
      </c>
      <c r="K323" s="11">
        <v>24</v>
      </c>
      <c r="L323" s="11">
        <v>24</v>
      </c>
      <c r="M323" s="9" t="str">
        <f t="shared" si="15"/>
        <v>OK</v>
      </c>
      <c r="N323" s="12">
        <f t="shared" si="16"/>
        <v>0.62785602503912363</v>
      </c>
      <c r="O323" s="12">
        <f>SUMIFS($D$2:D323,$B$2:B323,B323)/SUMIFS($D$2:$D$741,$B$2:$B$741,B323)</f>
        <v>0.62785602503912363</v>
      </c>
      <c r="P323" s="9" t="b">
        <f t="shared" si="17"/>
        <v>1</v>
      </c>
      <c r="Q323" s="2"/>
      <c r="R323" s="2"/>
      <c r="S323" s="2"/>
    </row>
    <row r="324" spans="1:19" x14ac:dyDescent="0.45">
      <c r="A324" s="4" t="s">
        <v>378</v>
      </c>
      <c r="B324" s="4" t="s">
        <v>377</v>
      </c>
      <c r="C324" s="5">
        <v>2</v>
      </c>
      <c r="D324" s="5">
        <v>559</v>
      </c>
      <c r="E324" s="5">
        <v>84</v>
      </c>
      <c r="F324" s="5">
        <v>1</v>
      </c>
      <c r="G324" s="5">
        <v>0</v>
      </c>
      <c r="H324" s="5">
        <v>558</v>
      </c>
      <c r="I324" s="6">
        <v>3</v>
      </c>
      <c r="J324" s="6">
        <v>5.4</v>
      </c>
      <c r="K324" s="6">
        <v>7</v>
      </c>
      <c r="L324" s="6">
        <v>7</v>
      </c>
      <c r="M324" s="4" t="str">
        <f t="shared" si="15"/>
        <v>OK</v>
      </c>
      <c r="N324" s="7">
        <f t="shared" si="16"/>
        <v>0.17496087636932708</v>
      </c>
      <c r="O324" s="7">
        <f>SUMIFS($D$2:D324,$B$2:B324,B324)/SUMIFS($D$2:$D$741,$B$2:$B$741,B324)</f>
        <v>0.80281690140845074</v>
      </c>
      <c r="P324" s="4" t="b">
        <f t="shared" si="17"/>
        <v>1</v>
      </c>
      <c r="Q324" s="2"/>
      <c r="R324" s="2"/>
      <c r="S324" s="2"/>
    </row>
    <row r="325" spans="1:19" x14ac:dyDescent="0.45">
      <c r="A325" s="4" t="s">
        <v>379</v>
      </c>
      <c r="B325" s="4" t="s">
        <v>377</v>
      </c>
      <c r="C325" s="5">
        <v>2</v>
      </c>
      <c r="D325" s="5">
        <v>482</v>
      </c>
      <c r="E325" s="5">
        <v>76</v>
      </c>
      <c r="F325" s="5">
        <v>0</v>
      </c>
      <c r="G325" s="5">
        <v>0</v>
      </c>
      <c r="H325" s="5">
        <v>482</v>
      </c>
      <c r="I325" s="6">
        <v>3</v>
      </c>
      <c r="J325" s="6">
        <v>7.9</v>
      </c>
      <c r="K325" s="6">
        <v>8</v>
      </c>
      <c r="L325" s="6">
        <v>8</v>
      </c>
      <c r="M325" s="4" t="str">
        <f t="shared" si="15"/>
        <v>OK</v>
      </c>
      <c r="N325" s="7">
        <f t="shared" si="16"/>
        <v>0.15086071987480437</v>
      </c>
      <c r="O325" s="7">
        <f>SUMIFS($D$2:D325,$B$2:B325,B325)/SUMIFS($D$2:$D$741,$B$2:$B$741,B325)</f>
        <v>0.95367762128325506</v>
      </c>
      <c r="P325" s="4" t="b">
        <f t="shared" si="17"/>
        <v>1</v>
      </c>
      <c r="Q325" s="2"/>
      <c r="R325" s="2"/>
      <c r="S325" s="2"/>
    </row>
    <row r="326" spans="1:19" x14ac:dyDescent="0.45">
      <c r="A326" s="4" t="s">
        <v>380</v>
      </c>
      <c r="B326" s="4" t="s">
        <v>377</v>
      </c>
      <c r="C326" s="5">
        <v>2</v>
      </c>
      <c r="D326" s="5">
        <v>88</v>
      </c>
      <c r="E326" s="5">
        <v>13</v>
      </c>
      <c r="F326" s="5">
        <v>0</v>
      </c>
      <c r="G326" s="5">
        <v>0</v>
      </c>
      <c r="H326" s="5">
        <v>88</v>
      </c>
      <c r="I326" s="6">
        <v>3</v>
      </c>
      <c r="J326" s="6">
        <v>6</v>
      </c>
      <c r="K326" s="6">
        <v>11</v>
      </c>
      <c r="L326" s="6">
        <v>11</v>
      </c>
      <c r="M326" s="4" t="str">
        <f t="shared" si="15"/>
        <v>OK</v>
      </c>
      <c r="N326" s="7">
        <f t="shared" si="16"/>
        <v>2.7543035993740219E-2</v>
      </c>
      <c r="O326" s="7">
        <f>SUMIFS($D$2:D326,$B$2:B326,B326)/SUMIFS($D$2:$D$741,$B$2:$B$741,B326)</f>
        <v>0.98122065727699526</v>
      </c>
      <c r="P326" s="4" t="b">
        <f t="shared" si="17"/>
        <v>0</v>
      </c>
      <c r="Q326" s="2"/>
      <c r="R326" s="2"/>
      <c r="S326" s="2"/>
    </row>
    <row r="327" spans="1:19" x14ac:dyDescent="0.45">
      <c r="A327" s="4" t="s">
        <v>381</v>
      </c>
      <c r="B327" s="4" t="s">
        <v>377</v>
      </c>
      <c r="C327" s="5">
        <v>2</v>
      </c>
      <c r="D327" s="5">
        <v>60</v>
      </c>
      <c r="E327" s="5">
        <v>13</v>
      </c>
      <c r="F327" s="5">
        <v>0</v>
      </c>
      <c r="G327" s="5">
        <v>0</v>
      </c>
      <c r="H327" s="5">
        <v>60</v>
      </c>
      <c r="I327" s="6">
        <v>3</v>
      </c>
      <c r="J327" s="6">
        <v>3.7</v>
      </c>
      <c r="K327" s="6">
        <v>7</v>
      </c>
      <c r="L327" s="6">
        <v>7.1</v>
      </c>
      <c r="M327" s="4" t="str">
        <f t="shared" si="15"/>
        <v>OK</v>
      </c>
      <c r="N327" s="7">
        <f t="shared" si="16"/>
        <v>1.8779342723004695E-2</v>
      </c>
      <c r="O327" s="7">
        <f>SUMIFS($D$2:D327,$B$2:B327,B327)/SUMIFS($D$2:$D$741,$B$2:$B$741,B327)</f>
        <v>1</v>
      </c>
      <c r="P327" s="4" t="b">
        <f t="shared" si="17"/>
        <v>0</v>
      </c>
      <c r="Q327" s="2"/>
      <c r="R327" s="2"/>
      <c r="S327" s="2"/>
    </row>
    <row r="328" spans="1:19" x14ac:dyDescent="0.45">
      <c r="A328" s="9" t="s">
        <v>382</v>
      </c>
      <c r="B328" s="9" t="s">
        <v>383</v>
      </c>
      <c r="C328" s="10">
        <v>1</v>
      </c>
      <c r="D328" s="10">
        <v>1304</v>
      </c>
      <c r="E328" s="10">
        <v>480</v>
      </c>
      <c r="F328" s="10">
        <v>15</v>
      </c>
      <c r="G328" s="10">
        <v>2</v>
      </c>
      <c r="H328" s="10">
        <v>1289</v>
      </c>
      <c r="I328" s="11">
        <v>2</v>
      </c>
      <c r="J328" s="11">
        <v>7</v>
      </c>
      <c r="K328" s="11">
        <v>19</v>
      </c>
      <c r="L328" s="11">
        <v>19.2</v>
      </c>
      <c r="M328" s="9" t="str">
        <f t="shared" si="15"/>
        <v>OK</v>
      </c>
      <c r="N328" s="12">
        <f t="shared" si="16"/>
        <v>0.70869565217391306</v>
      </c>
      <c r="O328" s="12">
        <f>SUMIFS($D$2:D328,$B$2:B328,B328)/SUMIFS($D$2:$D$741,$B$2:$B$741,B328)</f>
        <v>0.70869565217391306</v>
      </c>
      <c r="P328" s="9" t="b">
        <f t="shared" si="17"/>
        <v>1</v>
      </c>
      <c r="Q328" s="2"/>
      <c r="R328" s="2"/>
      <c r="S328" s="2"/>
    </row>
    <row r="329" spans="1:19" x14ac:dyDescent="0.45">
      <c r="A329" s="4" t="s">
        <v>384</v>
      </c>
      <c r="B329" s="4" t="s">
        <v>383</v>
      </c>
      <c r="C329" s="5">
        <v>2</v>
      </c>
      <c r="D329" s="5">
        <v>265</v>
      </c>
      <c r="E329" s="5">
        <v>0</v>
      </c>
      <c r="F329" s="5">
        <v>0</v>
      </c>
      <c r="G329" s="5">
        <v>0</v>
      </c>
      <c r="H329" s="5">
        <v>265</v>
      </c>
      <c r="I329" s="6">
        <v>3</v>
      </c>
      <c r="J329" s="6">
        <v>6.1</v>
      </c>
      <c r="K329" s="6">
        <v>13</v>
      </c>
      <c r="L329" s="6">
        <v>13</v>
      </c>
      <c r="M329" s="4" t="str">
        <f t="shared" si="15"/>
        <v>OK</v>
      </c>
      <c r="N329" s="7">
        <f t="shared" si="16"/>
        <v>0.14402173913043478</v>
      </c>
      <c r="O329" s="7">
        <f>SUMIFS($D$2:D329,$B$2:B329,B329)/SUMIFS($D$2:$D$741,$B$2:$B$741,B329)</f>
        <v>0.85271739130434787</v>
      </c>
      <c r="P329" s="4" t="b">
        <f t="shared" si="17"/>
        <v>1</v>
      </c>
      <c r="Q329" s="2"/>
      <c r="R329" s="2"/>
      <c r="S329" s="2"/>
    </row>
    <row r="330" spans="1:19" x14ac:dyDescent="0.45">
      <c r="A330" s="4" t="s">
        <v>385</v>
      </c>
      <c r="B330" s="4" t="s">
        <v>383</v>
      </c>
      <c r="C330" s="5">
        <v>1</v>
      </c>
      <c r="D330" s="5">
        <v>185</v>
      </c>
      <c r="E330" s="5">
        <v>23</v>
      </c>
      <c r="F330" s="5">
        <v>0</v>
      </c>
      <c r="G330" s="5">
        <v>0</v>
      </c>
      <c r="H330" s="5">
        <v>185</v>
      </c>
      <c r="I330" s="6">
        <v>6</v>
      </c>
      <c r="J330" s="6">
        <v>20</v>
      </c>
      <c r="K330" s="6">
        <v>21</v>
      </c>
      <c r="L330" s="6">
        <v>21</v>
      </c>
      <c r="M330" s="4" t="str">
        <f t="shared" si="15"/>
        <v>OK</v>
      </c>
      <c r="N330" s="7">
        <f t="shared" si="16"/>
        <v>0.10054347826086957</v>
      </c>
      <c r="O330" s="7">
        <f>SUMIFS($D$2:D330,$B$2:B330,B330)/SUMIFS($D$2:$D$741,$B$2:$B$741,B330)</f>
        <v>0.95326086956521738</v>
      </c>
      <c r="P330" s="4" t="b">
        <f t="shared" si="17"/>
        <v>1</v>
      </c>
      <c r="Q330" s="2"/>
      <c r="R330" s="2"/>
      <c r="S330" s="2"/>
    </row>
    <row r="331" spans="1:19" x14ac:dyDescent="0.45">
      <c r="A331" s="4" t="s">
        <v>386</v>
      </c>
      <c r="B331" s="4" t="s">
        <v>383</v>
      </c>
      <c r="C331" s="5">
        <v>1</v>
      </c>
      <c r="D331" s="5">
        <v>86</v>
      </c>
      <c r="E331" s="5">
        <v>0</v>
      </c>
      <c r="F331" s="5">
        <v>0</v>
      </c>
      <c r="G331" s="5">
        <v>0</v>
      </c>
      <c r="H331" s="5">
        <v>86</v>
      </c>
      <c r="I331" s="6">
        <v>2</v>
      </c>
      <c r="J331" s="6">
        <v>12.5</v>
      </c>
      <c r="K331" s="6">
        <v>18</v>
      </c>
      <c r="L331" s="6">
        <v>18.5</v>
      </c>
      <c r="M331" s="4" t="str">
        <f t="shared" si="15"/>
        <v>OK</v>
      </c>
      <c r="N331" s="7">
        <f t="shared" si="16"/>
        <v>4.6739130434782609E-2</v>
      </c>
      <c r="O331" s="7">
        <f>SUMIFS($D$2:D331,$B$2:B331,B331)/SUMIFS($D$2:$D$741,$B$2:$B$741,B331)</f>
        <v>1</v>
      </c>
      <c r="P331" s="4" t="b">
        <f t="shared" si="17"/>
        <v>0</v>
      </c>
      <c r="Q331" s="2"/>
      <c r="R331" s="2"/>
      <c r="S331" s="2"/>
    </row>
    <row r="332" spans="1:19" x14ac:dyDescent="0.45">
      <c r="A332" s="9" t="s">
        <v>387</v>
      </c>
      <c r="B332" s="9" t="s">
        <v>388</v>
      </c>
      <c r="C332" s="10">
        <v>1</v>
      </c>
      <c r="D332" s="10">
        <v>38</v>
      </c>
      <c r="E332" s="10">
        <v>19</v>
      </c>
      <c r="F332" s="10">
        <v>0</v>
      </c>
      <c r="G332" s="10">
        <v>0</v>
      </c>
      <c r="H332" s="10">
        <v>38</v>
      </c>
      <c r="I332" s="11">
        <v>0</v>
      </c>
      <c r="J332" s="11">
        <v>9.4</v>
      </c>
      <c r="K332" s="11">
        <v>2</v>
      </c>
      <c r="L332" s="11">
        <v>2</v>
      </c>
      <c r="M332" s="9" t="str">
        <f t="shared" si="15"/>
        <v>OK</v>
      </c>
      <c r="N332" s="12">
        <f t="shared" si="16"/>
        <v>1</v>
      </c>
      <c r="O332" s="12">
        <f>SUMIFS($D$2:D332,$B$2:B332,B332)/SUMIFS($D$2:$D$741,$B$2:$B$741,B332)</f>
        <v>1</v>
      </c>
      <c r="P332" s="9" t="b">
        <f t="shared" si="17"/>
        <v>1</v>
      </c>
      <c r="Q332" s="2"/>
      <c r="R332" s="2"/>
      <c r="S332" s="2"/>
    </row>
    <row r="333" spans="1:19" x14ac:dyDescent="0.45">
      <c r="A333" s="9" t="s">
        <v>389</v>
      </c>
      <c r="B333" s="9" t="s">
        <v>390</v>
      </c>
      <c r="C333" s="10">
        <v>1</v>
      </c>
      <c r="D333" s="10">
        <v>378</v>
      </c>
      <c r="E333" s="10">
        <v>28</v>
      </c>
      <c r="F333" s="10">
        <v>0</v>
      </c>
      <c r="G333" s="10">
        <v>0</v>
      </c>
      <c r="H333" s="10">
        <v>378</v>
      </c>
      <c r="I333" s="11">
        <v>4</v>
      </c>
      <c r="J333" s="11">
        <v>5.9</v>
      </c>
      <c r="K333" s="11">
        <v>11</v>
      </c>
      <c r="L333" s="11">
        <v>11.3</v>
      </c>
      <c r="M333" s="9" t="str">
        <f t="shared" si="15"/>
        <v>OK</v>
      </c>
      <c r="N333" s="12">
        <f t="shared" si="16"/>
        <v>0.6737967914438503</v>
      </c>
      <c r="O333" s="12">
        <f>SUMIFS($D$2:D333,$B$2:B333,B333)/SUMIFS($D$2:$D$741,$B$2:$B$741,B333)</f>
        <v>0.6737967914438503</v>
      </c>
      <c r="P333" s="9" t="b">
        <f t="shared" si="17"/>
        <v>1</v>
      </c>
      <c r="Q333" s="2"/>
      <c r="R333" s="2"/>
      <c r="S333" s="2"/>
    </row>
    <row r="334" spans="1:19" x14ac:dyDescent="0.45">
      <c r="A334" s="4" t="s">
        <v>391</v>
      </c>
      <c r="B334" s="4" t="s">
        <v>390</v>
      </c>
      <c r="C334" s="5">
        <v>2</v>
      </c>
      <c r="D334" s="5">
        <v>50</v>
      </c>
      <c r="E334" s="5">
        <v>0</v>
      </c>
      <c r="F334" s="5">
        <v>0</v>
      </c>
      <c r="G334" s="5">
        <v>0</v>
      </c>
      <c r="H334" s="5">
        <v>50</v>
      </c>
      <c r="I334" s="6">
        <v>2</v>
      </c>
      <c r="J334" s="6">
        <v>3.3</v>
      </c>
      <c r="K334" s="6">
        <v>6</v>
      </c>
      <c r="L334" s="6">
        <v>6</v>
      </c>
      <c r="M334" s="4" t="str">
        <f t="shared" si="15"/>
        <v>OK</v>
      </c>
      <c r="N334" s="7">
        <f t="shared" si="16"/>
        <v>8.9126559714795009E-2</v>
      </c>
      <c r="O334" s="7">
        <f>SUMIFS($D$2:D334,$B$2:B334,B334)/SUMIFS($D$2:$D$741,$B$2:$B$741,B334)</f>
        <v>0.76292335115864529</v>
      </c>
      <c r="P334" s="4" t="b">
        <f t="shared" si="17"/>
        <v>1</v>
      </c>
      <c r="Q334" s="2"/>
      <c r="R334" s="2"/>
      <c r="S334" s="2"/>
    </row>
    <row r="335" spans="1:19" x14ac:dyDescent="0.45">
      <c r="A335" s="4" t="s">
        <v>392</v>
      </c>
      <c r="B335" s="4" t="s">
        <v>390</v>
      </c>
      <c r="C335" s="5">
        <v>2</v>
      </c>
      <c r="D335" s="5">
        <v>37</v>
      </c>
      <c r="E335" s="5">
        <v>0</v>
      </c>
      <c r="F335" s="5">
        <v>0</v>
      </c>
      <c r="G335" s="5">
        <v>0</v>
      </c>
      <c r="H335" s="5">
        <v>37</v>
      </c>
      <c r="I335" s="6">
        <v>3</v>
      </c>
      <c r="J335" s="6">
        <v>4.2</v>
      </c>
      <c r="K335" s="6">
        <v>9</v>
      </c>
      <c r="L335" s="6">
        <v>9.4</v>
      </c>
      <c r="M335" s="4" t="str">
        <f t="shared" si="15"/>
        <v>OK</v>
      </c>
      <c r="N335" s="7">
        <f t="shared" si="16"/>
        <v>6.5953654188948302E-2</v>
      </c>
      <c r="O335" s="7">
        <f>SUMIFS($D$2:D335,$B$2:B335,B335)/SUMIFS($D$2:$D$741,$B$2:$B$741,B335)</f>
        <v>0.82887700534759357</v>
      </c>
      <c r="P335" s="4" t="b">
        <f t="shared" si="17"/>
        <v>1</v>
      </c>
      <c r="Q335" s="2"/>
      <c r="R335" s="2"/>
      <c r="S335" s="2"/>
    </row>
    <row r="336" spans="1:19" x14ac:dyDescent="0.45">
      <c r="A336" s="4" t="s">
        <v>393</v>
      </c>
      <c r="B336" s="4" t="s">
        <v>390</v>
      </c>
      <c r="C336" s="5">
        <v>1</v>
      </c>
      <c r="D336" s="5">
        <v>36</v>
      </c>
      <c r="E336" s="5">
        <v>13</v>
      </c>
      <c r="F336" s="5">
        <v>0</v>
      </c>
      <c r="G336" s="5">
        <v>0</v>
      </c>
      <c r="H336" s="5">
        <v>36</v>
      </c>
      <c r="I336" s="6">
        <v>2</v>
      </c>
      <c r="J336" s="6">
        <v>3.2</v>
      </c>
      <c r="K336" s="6">
        <v>6</v>
      </c>
      <c r="L336" s="6">
        <v>6</v>
      </c>
      <c r="M336" s="4" t="str">
        <f t="shared" si="15"/>
        <v>OK</v>
      </c>
      <c r="N336" s="7">
        <f t="shared" si="16"/>
        <v>6.4171122994652413E-2</v>
      </c>
      <c r="O336" s="7">
        <f>SUMIFS($D$2:D336,$B$2:B336,B336)/SUMIFS($D$2:$D$741,$B$2:$B$741,B336)</f>
        <v>0.89304812834224601</v>
      </c>
      <c r="P336" s="4" t="b">
        <f t="shared" si="17"/>
        <v>1</v>
      </c>
      <c r="Q336" s="2"/>
      <c r="R336" s="2"/>
      <c r="S336" s="2"/>
    </row>
    <row r="337" spans="1:19" x14ac:dyDescent="0.45">
      <c r="A337" s="4" t="s">
        <v>394</v>
      </c>
      <c r="B337" s="4" t="s">
        <v>390</v>
      </c>
      <c r="C337" s="5">
        <v>2</v>
      </c>
      <c r="D337" s="5">
        <v>29</v>
      </c>
      <c r="E337" s="5">
        <v>0</v>
      </c>
      <c r="F337" s="5">
        <v>0</v>
      </c>
      <c r="G337" s="5">
        <v>0</v>
      </c>
      <c r="H337" s="5">
        <v>29</v>
      </c>
      <c r="I337" s="6">
        <v>28</v>
      </c>
      <c r="J337" s="6">
        <v>47.4</v>
      </c>
      <c r="K337" s="6">
        <v>105</v>
      </c>
      <c r="L337" s="6">
        <v>104.6</v>
      </c>
      <c r="M337" s="4" t="str">
        <f t="shared" si="15"/>
        <v>OK</v>
      </c>
      <c r="N337" s="7">
        <f t="shared" si="16"/>
        <v>5.1693404634581108E-2</v>
      </c>
      <c r="O337" s="7">
        <f>SUMIFS($D$2:D337,$B$2:B337,B337)/SUMIFS($D$2:$D$741,$B$2:$B$741,B337)</f>
        <v>0.94474153297682706</v>
      </c>
      <c r="P337" s="4" t="b">
        <f t="shared" si="17"/>
        <v>1</v>
      </c>
      <c r="Q337" s="2"/>
      <c r="R337" s="2"/>
      <c r="S337" s="2"/>
    </row>
    <row r="338" spans="1:19" x14ac:dyDescent="0.45">
      <c r="A338" s="4" t="s">
        <v>395</v>
      </c>
      <c r="B338" s="4" t="s">
        <v>390</v>
      </c>
      <c r="C338" s="5">
        <v>1</v>
      </c>
      <c r="D338" s="5">
        <v>24</v>
      </c>
      <c r="E338" s="5">
        <v>14</v>
      </c>
      <c r="F338" s="5">
        <v>3</v>
      </c>
      <c r="G338" s="5">
        <v>0</v>
      </c>
      <c r="H338" s="5">
        <v>21</v>
      </c>
      <c r="I338" s="6">
        <v>17</v>
      </c>
      <c r="J338" s="6">
        <v>40.9</v>
      </c>
      <c r="K338" s="6">
        <v>94</v>
      </c>
      <c r="L338" s="6">
        <v>94</v>
      </c>
      <c r="M338" s="4" t="str">
        <f t="shared" si="15"/>
        <v>OK</v>
      </c>
      <c r="N338" s="7">
        <f t="shared" si="16"/>
        <v>4.2780748663101602E-2</v>
      </c>
      <c r="O338" s="7">
        <f>SUMIFS($D$2:D338,$B$2:B338,B338)/SUMIFS($D$2:$D$741,$B$2:$B$741,B338)</f>
        <v>0.98752228163992872</v>
      </c>
      <c r="P338" s="4" t="b">
        <f t="shared" si="17"/>
        <v>1</v>
      </c>
      <c r="Q338" s="2"/>
      <c r="R338" s="2"/>
      <c r="S338" s="2"/>
    </row>
    <row r="339" spans="1:19" x14ac:dyDescent="0.45">
      <c r="A339" s="4" t="s">
        <v>396</v>
      </c>
      <c r="B339" s="4" t="s">
        <v>390</v>
      </c>
      <c r="C339" s="5">
        <v>2</v>
      </c>
      <c r="D339" s="5">
        <v>7</v>
      </c>
      <c r="E339" s="5">
        <v>0</v>
      </c>
      <c r="F339" s="5">
        <v>0</v>
      </c>
      <c r="G339" s="5">
        <v>0</v>
      </c>
      <c r="H339" s="5">
        <v>7</v>
      </c>
      <c r="I339" s="6">
        <v>6</v>
      </c>
      <c r="J339" s="6">
        <v>24</v>
      </c>
      <c r="K339" s="6">
        <v>67</v>
      </c>
      <c r="L339" s="6">
        <v>66.599999999999994</v>
      </c>
      <c r="M339" s="4" t="str">
        <f t="shared" si="15"/>
        <v>OK</v>
      </c>
      <c r="N339" s="7">
        <f t="shared" si="16"/>
        <v>1.2477718360071301E-2</v>
      </c>
      <c r="O339" s="7">
        <f>SUMIFS($D$2:D339,$B$2:B339,B339)/SUMIFS($D$2:$D$741,$B$2:$B$741,B339)</f>
        <v>1</v>
      </c>
      <c r="P339" s="4" t="b">
        <f t="shared" si="17"/>
        <v>0</v>
      </c>
      <c r="Q339" s="2"/>
      <c r="R339" s="2"/>
      <c r="S339" s="2"/>
    </row>
    <row r="340" spans="1:19" x14ac:dyDescent="0.45">
      <c r="A340" s="9" t="s">
        <v>397</v>
      </c>
      <c r="B340" s="9" t="s">
        <v>398</v>
      </c>
      <c r="C340" s="10">
        <v>2</v>
      </c>
      <c r="D340" s="10">
        <v>25</v>
      </c>
      <c r="E340" s="10">
        <v>0</v>
      </c>
      <c r="F340" s="10">
        <v>0</v>
      </c>
      <c r="G340" s="10">
        <v>0</v>
      </c>
      <c r="H340" s="10">
        <v>25</v>
      </c>
      <c r="I340" s="11">
        <v>0</v>
      </c>
      <c r="J340" s="11">
        <v>0</v>
      </c>
      <c r="K340" s="11">
        <v>0</v>
      </c>
      <c r="L340" s="11">
        <v>0</v>
      </c>
      <c r="M340" s="9" t="str">
        <f t="shared" si="15"/>
        <v>OK</v>
      </c>
      <c r="N340" s="12">
        <f t="shared" si="16"/>
        <v>1</v>
      </c>
      <c r="O340" s="12">
        <f>SUMIFS($D$2:D340,$B$2:B340,B340)/SUMIFS($D$2:$D$741,$B$2:$B$741,B340)</f>
        <v>1</v>
      </c>
      <c r="P340" s="9" t="b">
        <f t="shared" si="17"/>
        <v>1</v>
      </c>
      <c r="Q340" s="2"/>
      <c r="R340" s="2"/>
      <c r="S340" s="2"/>
    </row>
    <row r="341" spans="1:19" x14ac:dyDescent="0.45">
      <c r="A341" s="9" t="s">
        <v>399</v>
      </c>
      <c r="B341" s="9" t="s">
        <v>400</v>
      </c>
      <c r="C341" s="10">
        <v>2</v>
      </c>
      <c r="D341" s="10">
        <v>4416</v>
      </c>
      <c r="E341" s="10">
        <v>607</v>
      </c>
      <c r="F341" s="10">
        <v>1</v>
      </c>
      <c r="G341" s="10">
        <v>1</v>
      </c>
      <c r="H341" s="10">
        <v>4415</v>
      </c>
      <c r="I341" s="11">
        <v>0</v>
      </c>
      <c r="J341" s="11">
        <v>4.5999999999999996</v>
      </c>
      <c r="K341" s="11">
        <v>3</v>
      </c>
      <c r="L341" s="11">
        <v>3</v>
      </c>
      <c r="M341" s="9" t="str">
        <f t="shared" si="15"/>
        <v>OK</v>
      </c>
      <c r="N341" s="12">
        <f t="shared" si="16"/>
        <v>0.91070323778098572</v>
      </c>
      <c r="O341" s="12">
        <f>SUMIFS($D$2:D341,$B$2:B341,B341)/SUMIFS($D$2:$D$741,$B$2:$B$741,B341)</f>
        <v>0.91070323778098572</v>
      </c>
      <c r="P341" s="9" t="b">
        <f t="shared" si="17"/>
        <v>1</v>
      </c>
      <c r="Q341" s="2"/>
      <c r="R341" s="2"/>
      <c r="S341" s="2"/>
    </row>
    <row r="342" spans="1:19" x14ac:dyDescent="0.45">
      <c r="A342" s="4" t="s">
        <v>401</v>
      </c>
      <c r="B342" s="4" t="s">
        <v>400</v>
      </c>
      <c r="C342" s="5">
        <v>1</v>
      </c>
      <c r="D342" s="5">
        <v>359</v>
      </c>
      <c r="E342" s="5">
        <v>357</v>
      </c>
      <c r="F342" s="5">
        <v>3</v>
      </c>
      <c r="G342" s="5">
        <v>0</v>
      </c>
      <c r="H342" s="5">
        <v>356</v>
      </c>
      <c r="I342" s="6">
        <v>1</v>
      </c>
      <c r="J342" s="6">
        <v>6.6</v>
      </c>
      <c r="K342" s="6">
        <v>4</v>
      </c>
      <c r="L342" s="6">
        <v>4</v>
      </c>
      <c r="M342" s="4" t="str">
        <f t="shared" si="15"/>
        <v>OK</v>
      </c>
      <c r="N342" s="7">
        <f t="shared" si="16"/>
        <v>7.4035883687358223E-2</v>
      </c>
      <c r="O342" s="7">
        <f>SUMIFS($D$2:D342,$B$2:B342,B342)/SUMIFS($D$2:$D$741,$B$2:$B$741,B342)</f>
        <v>0.98473912146834397</v>
      </c>
      <c r="P342" s="4" t="b">
        <f t="shared" si="17"/>
        <v>1</v>
      </c>
      <c r="Q342" s="2"/>
      <c r="R342" s="2"/>
      <c r="S342" s="2"/>
    </row>
    <row r="343" spans="1:19" x14ac:dyDescent="0.45">
      <c r="A343" s="4" t="s">
        <v>402</v>
      </c>
      <c r="B343" s="4" t="s">
        <v>400</v>
      </c>
      <c r="C343" s="5">
        <v>2</v>
      </c>
      <c r="D343" s="5">
        <v>74</v>
      </c>
      <c r="E343" s="5">
        <v>8</v>
      </c>
      <c r="F343" s="5">
        <v>1</v>
      </c>
      <c r="G343" s="5">
        <v>1</v>
      </c>
      <c r="H343" s="5">
        <v>73</v>
      </c>
      <c r="I343" s="6">
        <v>8</v>
      </c>
      <c r="J343" s="6">
        <v>8.3000000000000007</v>
      </c>
      <c r="K343" s="6">
        <v>11</v>
      </c>
      <c r="L343" s="6">
        <v>11</v>
      </c>
      <c r="M343" s="4" t="str">
        <f t="shared" si="15"/>
        <v>OK</v>
      </c>
      <c r="N343" s="7">
        <f t="shared" si="16"/>
        <v>1.5260878531656011E-2</v>
      </c>
      <c r="O343" s="7">
        <f>SUMIFS($D$2:D343,$B$2:B343,B343)/SUMIFS($D$2:$D$741,$B$2:$B$741,B343)</f>
        <v>1</v>
      </c>
      <c r="P343" s="4" t="b">
        <f t="shared" si="17"/>
        <v>0</v>
      </c>
      <c r="Q343" s="2"/>
      <c r="R343" s="2"/>
      <c r="S343" s="2"/>
    </row>
    <row r="344" spans="1:19" x14ac:dyDescent="0.45">
      <c r="A344" s="9" t="s">
        <v>403</v>
      </c>
      <c r="B344" s="9" t="s">
        <v>404</v>
      </c>
      <c r="C344" s="10">
        <v>2</v>
      </c>
      <c r="D344" s="10">
        <v>18016</v>
      </c>
      <c r="E344" s="10">
        <v>2600</v>
      </c>
      <c r="F344" s="10">
        <v>155</v>
      </c>
      <c r="G344" s="10">
        <v>2</v>
      </c>
      <c r="H344" s="10">
        <v>17861</v>
      </c>
      <c r="I344" s="11">
        <v>9</v>
      </c>
      <c r="J344" s="11">
        <v>7.8</v>
      </c>
      <c r="K344" s="11">
        <v>11</v>
      </c>
      <c r="L344" s="11">
        <v>11</v>
      </c>
      <c r="M344" s="9" t="str">
        <f t="shared" si="15"/>
        <v>OK</v>
      </c>
      <c r="N344" s="12">
        <f t="shared" si="16"/>
        <v>0.22764433100415712</v>
      </c>
      <c r="O344" s="12">
        <f>SUMIFS($D$2:D344,$B$2:B344,B344)/SUMIFS($D$2:$D$741,$B$2:$B$741,B344)</f>
        <v>0.22764433100415712</v>
      </c>
      <c r="P344" s="9" t="b">
        <f t="shared" si="17"/>
        <v>1</v>
      </c>
      <c r="Q344" s="2"/>
      <c r="R344" s="2"/>
      <c r="S344" s="2"/>
    </row>
    <row r="345" spans="1:19" x14ac:dyDescent="0.45">
      <c r="A345" s="4" t="s">
        <v>405</v>
      </c>
      <c r="B345" s="4" t="s">
        <v>404</v>
      </c>
      <c r="C345" s="5">
        <v>2</v>
      </c>
      <c r="D345" s="5">
        <v>14434</v>
      </c>
      <c r="E345" s="5">
        <v>3042</v>
      </c>
      <c r="F345" s="5">
        <v>523</v>
      </c>
      <c r="G345" s="5">
        <v>69</v>
      </c>
      <c r="H345" s="5">
        <v>13911</v>
      </c>
      <c r="I345" s="6">
        <v>11</v>
      </c>
      <c r="J345" s="6">
        <v>18.8</v>
      </c>
      <c r="K345" s="6">
        <v>44</v>
      </c>
      <c r="L345" s="6">
        <v>44</v>
      </c>
      <c r="M345" s="4" t="str">
        <f t="shared" si="15"/>
        <v>OK</v>
      </c>
      <c r="N345" s="7">
        <f t="shared" si="16"/>
        <v>0.18238334112533328</v>
      </c>
      <c r="O345" s="7">
        <f>SUMIFS($D$2:D345,$B$2:B345,B345)/SUMIFS($D$2:$D$741,$B$2:$B$741,B345)</f>
        <v>0.41002767212949043</v>
      </c>
      <c r="P345" s="4" t="b">
        <f t="shared" si="17"/>
        <v>1</v>
      </c>
      <c r="Q345" s="2"/>
      <c r="R345" s="2"/>
      <c r="S345" s="2"/>
    </row>
    <row r="346" spans="1:19" x14ac:dyDescent="0.45">
      <c r="A346" s="4" t="s">
        <v>406</v>
      </c>
      <c r="B346" s="4" t="s">
        <v>404</v>
      </c>
      <c r="C346" s="5">
        <v>2</v>
      </c>
      <c r="D346" s="5">
        <v>13452</v>
      </c>
      <c r="E346" s="5">
        <v>3040</v>
      </c>
      <c r="F346" s="5">
        <v>442</v>
      </c>
      <c r="G346" s="5">
        <v>84</v>
      </c>
      <c r="H346" s="5">
        <v>13010</v>
      </c>
      <c r="I346" s="6">
        <v>25</v>
      </c>
      <c r="J346" s="6">
        <v>38.700000000000003</v>
      </c>
      <c r="K346" s="6">
        <v>90</v>
      </c>
      <c r="L346" s="6">
        <v>90</v>
      </c>
      <c r="M346" s="4" t="str">
        <f t="shared" si="15"/>
        <v>OK</v>
      </c>
      <c r="N346" s="7">
        <f t="shared" si="16"/>
        <v>0.16997510771913421</v>
      </c>
      <c r="O346" s="7">
        <f>SUMIFS($D$2:D346,$B$2:B346,B346)/SUMIFS($D$2:$D$741,$B$2:$B$741,B346)</f>
        <v>0.58000277984862458</v>
      </c>
      <c r="P346" s="4" t="b">
        <f t="shared" si="17"/>
        <v>1</v>
      </c>
      <c r="Q346" s="2"/>
      <c r="R346" s="2"/>
      <c r="S346" s="2"/>
    </row>
    <row r="347" spans="1:19" x14ac:dyDescent="0.45">
      <c r="A347" s="4" t="s">
        <v>407</v>
      </c>
      <c r="B347" s="4" t="s">
        <v>404</v>
      </c>
      <c r="C347" s="5">
        <v>2</v>
      </c>
      <c r="D347" s="5">
        <v>9052</v>
      </c>
      <c r="E347" s="5">
        <v>1835</v>
      </c>
      <c r="F347" s="5">
        <v>20</v>
      </c>
      <c r="G347" s="5">
        <v>8</v>
      </c>
      <c r="H347" s="5">
        <v>9032</v>
      </c>
      <c r="I347" s="6">
        <v>6</v>
      </c>
      <c r="J347" s="6">
        <v>9.9</v>
      </c>
      <c r="K347" s="6">
        <v>27</v>
      </c>
      <c r="L347" s="6">
        <v>27</v>
      </c>
      <c r="M347" s="4" t="str">
        <f t="shared" si="15"/>
        <v>OK</v>
      </c>
      <c r="N347" s="7">
        <f t="shared" si="16"/>
        <v>0.11437813522699991</v>
      </c>
      <c r="O347" s="7">
        <f>SUMIFS($D$2:D347,$B$2:B347,B347)/SUMIFS($D$2:$D$741,$B$2:$B$741,B347)</f>
        <v>0.69438091507562449</v>
      </c>
      <c r="P347" s="4" t="b">
        <f t="shared" si="17"/>
        <v>1</v>
      </c>
      <c r="Q347" s="2"/>
      <c r="R347" s="2"/>
      <c r="S347" s="2"/>
    </row>
    <row r="348" spans="1:19" x14ac:dyDescent="0.45">
      <c r="A348" s="4" t="s">
        <v>408</v>
      </c>
      <c r="B348" s="4" t="s">
        <v>404</v>
      </c>
      <c r="C348" s="5">
        <v>2</v>
      </c>
      <c r="D348" s="5">
        <v>4404</v>
      </c>
      <c r="E348" s="5">
        <v>798</v>
      </c>
      <c r="F348" s="5">
        <v>46</v>
      </c>
      <c r="G348" s="5">
        <v>7</v>
      </c>
      <c r="H348" s="5">
        <v>4358</v>
      </c>
      <c r="I348" s="6">
        <v>5</v>
      </c>
      <c r="J348" s="6">
        <v>8.6</v>
      </c>
      <c r="K348" s="6">
        <v>21</v>
      </c>
      <c r="L348" s="6">
        <v>21</v>
      </c>
      <c r="M348" s="4" t="str">
        <f t="shared" si="15"/>
        <v>OK</v>
      </c>
      <c r="N348" s="7">
        <f t="shared" si="16"/>
        <v>5.5647515194399866E-2</v>
      </c>
      <c r="O348" s="7">
        <f>SUMIFS($D$2:D348,$B$2:B348,B348)/SUMIFS($D$2:$D$741,$B$2:$B$741,B348)</f>
        <v>0.75002843027002442</v>
      </c>
      <c r="P348" s="4" t="b">
        <f t="shared" si="17"/>
        <v>1</v>
      </c>
      <c r="Q348" s="2"/>
      <c r="R348" s="2"/>
      <c r="S348" s="2"/>
    </row>
    <row r="349" spans="1:19" x14ac:dyDescent="0.45">
      <c r="A349" s="4" t="s">
        <v>409</v>
      </c>
      <c r="B349" s="4" t="s">
        <v>404</v>
      </c>
      <c r="C349" s="5">
        <v>2</v>
      </c>
      <c r="D349" s="5">
        <v>4336</v>
      </c>
      <c r="E349" s="5">
        <v>1044</v>
      </c>
      <c r="F349" s="5">
        <v>45</v>
      </c>
      <c r="G349" s="5">
        <v>3</v>
      </c>
      <c r="H349" s="5">
        <v>4291</v>
      </c>
      <c r="I349" s="6">
        <v>1</v>
      </c>
      <c r="J349" s="6">
        <v>2.2999999999999998</v>
      </c>
      <c r="K349" s="6">
        <v>5</v>
      </c>
      <c r="L349" s="6">
        <v>5</v>
      </c>
      <c r="M349" s="4" t="str">
        <f t="shared" si="15"/>
        <v>OK</v>
      </c>
      <c r="N349" s="7">
        <f t="shared" si="16"/>
        <v>5.4788289255885067E-2</v>
      </c>
      <c r="O349" s="7">
        <f>SUMIFS($D$2:D349,$B$2:B349,B349)/SUMIFS($D$2:$D$741,$B$2:$B$741,B349)</f>
        <v>0.8048167195259095</v>
      </c>
      <c r="P349" s="4" t="b">
        <f t="shared" si="17"/>
        <v>1</v>
      </c>
      <c r="Q349" s="2"/>
      <c r="R349" s="2"/>
      <c r="S349" s="2"/>
    </row>
    <row r="350" spans="1:19" x14ac:dyDescent="0.45">
      <c r="A350" s="4" t="s">
        <v>410</v>
      </c>
      <c r="B350" s="4" t="s">
        <v>404</v>
      </c>
      <c r="C350" s="5">
        <v>2</v>
      </c>
      <c r="D350" s="5">
        <v>4005</v>
      </c>
      <c r="E350" s="5">
        <v>794</v>
      </c>
      <c r="F350" s="5">
        <v>118</v>
      </c>
      <c r="G350" s="5">
        <v>19</v>
      </c>
      <c r="H350" s="5">
        <v>3887</v>
      </c>
      <c r="I350" s="6">
        <v>7</v>
      </c>
      <c r="J350" s="6">
        <v>16.5</v>
      </c>
      <c r="K350" s="6">
        <v>42</v>
      </c>
      <c r="L350" s="6">
        <v>42</v>
      </c>
      <c r="M350" s="4" t="str">
        <f t="shared" si="15"/>
        <v>OK</v>
      </c>
      <c r="N350" s="7">
        <f t="shared" si="16"/>
        <v>5.0605880643408603E-2</v>
      </c>
      <c r="O350" s="7">
        <f>SUMIFS($D$2:D350,$B$2:B350,B350)/SUMIFS($D$2:$D$741,$B$2:$B$741,B350)</f>
        <v>0.85542260016931804</v>
      </c>
      <c r="P350" s="4" t="b">
        <f t="shared" si="17"/>
        <v>1</v>
      </c>
      <c r="Q350" s="2"/>
      <c r="R350" s="2"/>
      <c r="S350" s="2"/>
    </row>
    <row r="351" spans="1:19" x14ac:dyDescent="0.45">
      <c r="A351" s="4" t="s">
        <v>411</v>
      </c>
      <c r="B351" s="4" t="s">
        <v>404</v>
      </c>
      <c r="C351" s="5">
        <v>2</v>
      </c>
      <c r="D351" s="5">
        <v>2086</v>
      </c>
      <c r="E351" s="5">
        <v>449</v>
      </c>
      <c r="F351" s="5">
        <v>125</v>
      </c>
      <c r="G351" s="5">
        <v>34</v>
      </c>
      <c r="H351" s="5">
        <v>1961</v>
      </c>
      <c r="I351" s="6">
        <v>8</v>
      </c>
      <c r="J351" s="6">
        <v>16.3</v>
      </c>
      <c r="K351" s="6">
        <v>41</v>
      </c>
      <c r="L351" s="6">
        <v>41</v>
      </c>
      <c r="M351" s="4" t="str">
        <f t="shared" si="15"/>
        <v>OK</v>
      </c>
      <c r="N351" s="7">
        <f t="shared" si="16"/>
        <v>2.6358019231498213E-2</v>
      </c>
      <c r="O351" s="7">
        <f>SUMIFS($D$2:D351,$B$2:B351,B351)/SUMIFS($D$2:$D$741,$B$2:$B$741,B351)</f>
        <v>0.88178061940081631</v>
      </c>
      <c r="P351" s="4" t="b">
        <f t="shared" si="17"/>
        <v>1</v>
      </c>
      <c r="Q351" s="2"/>
      <c r="R351" s="2"/>
      <c r="S351" s="2"/>
    </row>
    <row r="352" spans="1:19" x14ac:dyDescent="0.45">
      <c r="A352" s="4" t="s">
        <v>412</v>
      </c>
      <c r="B352" s="4" t="s">
        <v>404</v>
      </c>
      <c r="C352" s="5">
        <v>2</v>
      </c>
      <c r="D352" s="5">
        <v>1976</v>
      </c>
      <c r="E352" s="5">
        <v>450</v>
      </c>
      <c r="F352" s="5">
        <v>158</v>
      </c>
      <c r="G352" s="5">
        <v>87</v>
      </c>
      <c r="H352" s="5">
        <v>1818</v>
      </c>
      <c r="I352" s="6">
        <v>9</v>
      </c>
      <c r="J352" s="6">
        <v>25.6</v>
      </c>
      <c r="K352" s="6">
        <v>63</v>
      </c>
      <c r="L352" s="6">
        <v>63</v>
      </c>
      <c r="M352" s="4" t="str">
        <f t="shared" si="15"/>
        <v>OK</v>
      </c>
      <c r="N352" s="7">
        <f t="shared" si="16"/>
        <v>2.4968094919194855E-2</v>
      </c>
      <c r="O352" s="7">
        <f>SUMIFS($D$2:D352,$B$2:B352,B352)/SUMIFS($D$2:$D$741,$B$2:$B$741,B352)</f>
        <v>0.90674871432001114</v>
      </c>
      <c r="P352" s="4" t="b">
        <f t="shared" si="17"/>
        <v>1</v>
      </c>
      <c r="Q352" s="2"/>
      <c r="R352" s="2"/>
      <c r="S352" s="2"/>
    </row>
    <row r="353" spans="1:19" x14ac:dyDescent="0.45">
      <c r="A353" s="4" t="s">
        <v>413</v>
      </c>
      <c r="B353" s="4" t="s">
        <v>404</v>
      </c>
      <c r="C353" s="5">
        <v>1</v>
      </c>
      <c r="D353" s="5">
        <v>1431</v>
      </c>
      <c r="E353" s="5">
        <v>1430</v>
      </c>
      <c r="F353" s="5">
        <v>16</v>
      </c>
      <c r="G353" s="5">
        <v>2</v>
      </c>
      <c r="H353" s="5">
        <v>1415</v>
      </c>
      <c r="I353" s="6">
        <v>1</v>
      </c>
      <c r="J353" s="6">
        <v>1.8</v>
      </c>
      <c r="K353" s="6">
        <v>4</v>
      </c>
      <c r="L353" s="6">
        <v>4</v>
      </c>
      <c r="M353" s="4" t="str">
        <f t="shared" si="15"/>
        <v>OK</v>
      </c>
      <c r="N353" s="7">
        <f t="shared" si="16"/>
        <v>1.8081651735510039E-2</v>
      </c>
      <c r="O353" s="7">
        <f>SUMIFS($D$2:D353,$B$2:B353,B353)/SUMIFS($D$2:$D$741,$B$2:$B$741,B353)</f>
        <v>0.92483036605552116</v>
      </c>
      <c r="P353" s="4" t="b">
        <f t="shared" si="17"/>
        <v>1</v>
      </c>
      <c r="Q353" s="2"/>
      <c r="R353" s="2"/>
      <c r="S353" s="2"/>
    </row>
    <row r="354" spans="1:19" x14ac:dyDescent="0.45">
      <c r="A354" s="4" t="s">
        <v>414</v>
      </c>
      <c r="B354" s="4" t="s">
        <v>404</v>
      </c>
      <c r="C354" s="5">
        <v>2</v>
      </c>
      <c r="D354" s="5">
        <v>1409</v>
      </c>
      <c r="E354" s="5">
        <v>174</v>
      </c>
      <c r="F354" s="5">
        <v>7</v>
      </c>
      <c r="G354" s="5">
        <v>7</v>
      </c>
      <c r="H354" s="5">
        <v>1402</v>
      </c>
      <c r="I354" s="6">
        <v>4</v>
      </c>
      <c r="J354" s="6">
        <v>7</v>
      </c>
      <c r="K354" s="6">
        <v>18</v>
      </c>
      <c r="L354" s="6">
        <v>18</v>
      </c>
      <c r="M354" s="4" t="str">
        <f t="shared" si="15"/>
        <v>OK</v>
      </c>
      <c r="N354" s="7">
        <f t="shared" si="16"/>
        <v>1.7803666873049368E-2</v>
      </c>
      <c r="O354" s="7">
        <f>SUMIFS($D$2:D354,$B$2:B354,B354)/SUMIFS($D$2:$D$741,$B$2:$B$741,B354)</f>
        <v>0.94263403292857051</v>
      </c>
      <c r="P354" s="4" t="b">
        <f t="shared" si="17"/>
        <v>1</v>
      </c>
      <c r="Q354" s="2"/>
      <c r="R354" s="2"/>
      <c r="S354" s="2"/>
    </row>
    <row r="355" spans="1:19" x14ac:dyDescent="0.45">
      <c r="A355" s="4" t="s">
        <v>415</v>
      </c>
      <c r="B355" s="4" t="s">
        <v>404</v>
      </c>
      <c r="C355" s="5">
        <v>2</v>
      </c>
      <c r="D355" s="5">
        <v>1369</v>
      </c>
      <c r="E355" s="5">
        <v>291</v>
      </c>
      <c r="F355" s="5">
        <v>18</v>
      </c>
      <c r="G355" s="5">
        <v>5</v>
      </c>
      <c r="H355" s="5">
        <v>1351</v>
      </c>
      <c r="I355" s="6">
        <v>4</v>
      </c>
      <c r="J355" s="6">
        <v>7.8</v>
      </c>
      <c r="K355" s="6">
        <v>21</v>
      </c>
      <c r="L355" s="6">
        <v>21</v>
      </c>
      <c r="M355" s="4" t="str">
        <f t="shared" si="15"/>
        <v>OK</v>
      </c>
      <c r="N355" s="7">
        <f t="shared" si="16"/>
        <v>1.7298239850393603E-2</v>
      </c>
      <c r="O355" s="7">
        <f>SUMIFS($D$2:D355,$B$2:B355,B355)/SUMIFS($D$2:$D$741,$B$2:$B$741,B355)</f>
        <v>0.95993227277896409</v>
      </c>
      <c r="P355" s="4" t="b">
        <f t="shared" si="17"/>
        <v>1</v>
      </c>
      <c r="Q355" s="2"/>
      <c r="R355" s="2"/>
      <c r="S355" s="2"/>
    </row>
    <row r="356" spans="1:19" x14ac:dyDescent="0.45">
      <c r="A356" s="4" t="s">
        <v>416</v>
      </c>
      <c r="B356" s="4" t="s">
        <v>404</v>
      </c>
      <c r="C356" s="5">
        <v>2</v>
      </c>
      <c r="D356" s="5">
        <v>1232</v>
      </c>
      <c r="E356" s="5">
        <v>324</v>
      </c>
      <c r="F356" s="5">
        <v>22</v>
      </c>
      <c r="G356" s="5">
        <v>9</v>
      </c>
      <c r="H356" s="5">
        <v>1210</v>
      </c>
      <c r="I356" s="6">
        <v>6</v>
      </c>
      <c r="J356" s="6">
        <v>12.6</v>
      </c>
      <c r="K356" s="6">
        <v>33</v>
      </c>
      <c r="L356" s="6">
        <v>33</v>
      </c>
      <c r="M356" s="4" t="str">
        <f t="shared" si="15"/>
        <v>OK</v>
      </c>
      <c r="N356" s="7">
        <f t="shared" si="16"/>
        <v>1.5567152297797602E-2</v>
      </c>
      <c r="O356" s="7">
        <f>SUMIFS($D$2:D356,$B$2:B356,B356)/SUMIFS($D$2:$D$741,$B$2:$B$741,B356)</f>
        <v>0.97549942507676168</v>
      </c>
      <c r="P356" s="4" t="b">
        <f t="shared" si="17"/>
        <v>0</v>
      </c>
      <c r="Q356" s="2"/>
      <c r="R356" s="2"/>
      <c r="S356" s="2"/>
    </row>
    <row r="357" spans="1:19" x14ac:dyDescent="0.45">
      <c r="A357" s="4" t="s">
        <v>417</v>
      </c>
      <c r="B357" s="4" t="s">
        <v>404</v>
      </c>
      <c r="C357" s="5">
        <v>2</v>
      </c>
      <c r="D357" s="5">
        <v>958</v>
      </c>
      <c r="E357" s="5">
        <v>199</v>
      </c>
      <c r="F357" s="5">
        <v>29</v>
      </c>
      <c r="G357" s="5">
        <v>7</v>
      </c>
      <c r="H357" s="5">
        <v>929</v>
      </c>
      <c r="I357" s="6">
        <v>10</v>
      </c>
      <c r="J357" s="6">
        <v>18.100000000000001</v>
      </c>
      <c r="K357" s="6">
        <v>46</v>
      </c>
      <c r="L357" s="6">
        <v>46</v>
      </c>
      <c r="M357" s="4" t="str">
        <f t="shared" si="15"/>
        <v>OK</v>
      </c>
      <c r="N357" s="7">
        <f t="shared" si="16"/>
        <v>1.2104977192605603E-2</v>
      </c>
      <c r="O357" s="7">
        <f>SUMIFS($D$2:D357,$B$2:B357,B357)/SUMIFS($D$2:$D$741,$B$2:$B$741,B357)</f>
        <v>0.9876044022693673</v>
      </c>
      <c r="P357" s="4" t="b">
        <f t="shared" si="17"/>
        <v>0</v>
      </c>
      <c r="Q357" s="2"/>
      <c r="R357" s="2"/>
      <c r="S357" s="2"/>
    </row>
    <row r="358" spans="1:19" x14ac:dyDescent="0.45">
      <c r="A358" s="4" t="s">
        <v>418</v>
      </c>
      <c r="B358" s="4" t="s">
        <v>404</v>
      </c>
      <c r="C358" s="5">
        <v>2</v>
      </c>
      <c r="D358" s="5">
        <v>424</v>
      </c>
      <c r="E358" s="5">
        <v>0</v>
      </c>
      <c r="F358" s="5">
        <v>0</v>
      </c>
      <c r="G358" s="5">
        <v>0</v>
      </c>
      <c r="H358" s="5">
        <v>424</v>
      </c>
      <c r="I358" s="6">
        <v>1</v>
      </c>
      <c r="J358" s="6">
        <v>4.5</v>
      </c>
      <c r="K358" s="6">
        <v>6</v>
      </c>
      <c r="L358" s="6">
        <v>6</v>
      </c>
      <c r="M358" s="4" t="str">
        <f t="shared" si="15"/>
        <v>OK</v>
      </c>
      <c r="N358" s="7">
        <f t="shared" si="16"/>
        <v>5.3575264401511226E-3</v>
      </c>
      <c r="O358" s="7">
        <f>SUMIFS($D$2:D358,$B$2:B358,B358)/SUMIFS($D$2:$D$741,$B$2:$B$741,B358)</f>
        <v>0.99296192870951849</v>
      </c>
      <c r="P358" s="4" t="b">
        <f t="shared" si="17"/>
        <v>0</v>
      </c>
      <c r="Q358" s="2"/>
      <c r="R358" s="2"/>
      <c r="S358" s="2"/>
    </row>
    <row r="359" spans="1:19" x14ac:dyDescent="0.45">
      <c r="A359" s="4" t="s">
        <v>419</v>
      </c>
      <c r="B359" s="4" t="s">
        <v>404</v>
      </c>
      <c r="C359" s="5">
        <v>2</v>
      </c>
      <c r="D359" s="5">
        <v>204</v>
      </c>
      <c r="E359" s="5">
        <v>30</v>
      </c>
      <c r="F359" s="5">
        <v>6</v>
      </c>
      <c r="G359" s="5">
        <v>1</v>
      </c>
      <c r="H359" s="5">
        <v>198</v>
      </c>
      <c r="I359" s="6">
        <v>4</v>
      </c>
      <c r="J359" s="6">
        <v>14.7</v>
      </c>
      <c r="K359" s="6">
        <v>53</v>
      </c>
      <c r="L359" s="6">
        <v>52.5</v>
      </c>
      <c r="M359" s="4" t="str">
        <f t="shared" si="15"/>
        <v>OK</v>
      </c>
      <c r="N359" s="7">
        <f t="shared" si="16"/>
        <v>2.5776778155444081E-3</v>
      </c>
      <c r="O359" s="7">
        <f>SUMIFS($D$2:D359,$B$2:B359,B359)/SUMIFS($D$2:$D$741,$B$2:$B$741,B359)</f>
        <v>0.9955396065250629</v>
      </c>
      <c r="P359" s="4" t="b">
        <f t="shared" si="17"/>
        <v>0</v>
      </c>
      <c r="Q359" s="2"/>
      <c r="R359" s="2"/>
      <c r="S359" s="2"/>
    </row>
    <row r="360" spans="1:19" x14ac:dyDescent="0.45">
      <c r="A360" s="4" t="s">
        <v>420</v>
      </c>
      <c r="B360" s="4" t="s">
        <v>404</v>
      </c>
      <c r="C360" s="5">
        <v>2</v>
      </c>
      <c r="D360" s="5">
        <v>186</v>
      </c>
      <c r="E360" s="5">
        <v>0</v>
      </c>
      <c r="F360" s="5">
        <v>0</v>
      </c>
      <c r="G360" s="5">
        <v>0</v>
      </c>
      <c r="H360" s="5">
        <v>186</v>
      </c>
      <c r="I360" s="6">
        <v>2</v>
      </c>
      <c r="J360" s="6">
        <v>4</v>
      </c>
      <c r="K360" s="6">
        <v>8</v>
      </c>
      <c r="L360" s="6">
        <v>8.5</v>
      </c>
      <c r="M360" s="4" t="str">
        <f t="shared" si="15"/>
        <v>OK</v>
      </c>
      <c r="N360" s="7">
        <f t="shared" si="16"/>
        <v>2.3502356553493134E-3</v>
      </c>
      <c r="O360" s="7">
        <f>SUMIFS($D$2:D360,$B$2:B360,B360)/SUMIFS($D$2:$D$741,$B$2:$B$741,B360)</f>
        <v>0.99788984218041221</v>
      </c>
      <c r="P360" s="4" t="b">
        <f t="shared" si="17"/>
        <v>0</v>
      </c>
      <c r="Q360" s="2"/>
      <c r="R360" s="2"/>
      <c r="S360" s="2"/>
    </row>
    <row r="361" spans="1:19" x14ac:dyDescent="0.45">
      <c r="A361" s="4" t="s">
        <v>421</v>
      </c>
      <c r="B361" s="4" t="s">
        <v>404</v>
      </c>
      <c r="C361" s="5">
        <v>2</v>
      </c>
      <c r="D361" s="5">
        <v>124</v>
      </c>
      <c r="E361" s="5">
        <v>18</v>
      </c>
      <c r="F361" s="5">
        <v>4</v>
      </c>
      <c r="G361" s="5">
        <v>0</v>
      </c>
      <c r="H361" s="5">
        <v>120</v>
      </c>
      <c r="I361" s="6">
        <v>18.5</v>
      </c>
      <c r="J361" s="6">
        <v>28.1</v>
      </c>
      <c r="K361" s="6">
        <v>67</v>
      </c>
      <c r="L361" s="6">
        <v>67.099999999999994</v>
      </c>
      <c r="M361" s="4" t="str">
        <f t="shared" si="15"/>
        <v>OK</v>
      </c>
      <c r="N361" s="7">
        <f t="shared" si="16"/>
        <v>1.5668237702328755E-3</v>
      </c>
      <c r="O361" s="7">
        <f>SUMIFS($D$2:D361,$B$2:B361,B361)/SUMIFS($D$2:$D$741,$B$2:$B$741,B361)</f>
        <v>0.99945666595064508</v>
      </c>
      <c r="P361" s="4" t="b">
        <f t="shared" si="17"/>
        <v>0</v>
      </c>
      <c r="Q361" s="2"/>
      <c r="R361" s="2"/>
      <c r="S361" s="2"/>
    </row>
    <row r="362" spans="1:19" x14ac:dyDescent="0.45">
      <c r="A362" s="4" t="s">
        <v>422</v>
      </c>
      <c r="B362" s="4" t="s">
        <v>404</v>
      </c>
      <c r="C362" s="5">
        <v>2</v>
      </c>
      <c r="D362" s="5">
        <v>24</v>
      </c>
      <c r="E362" s="5">
        <v>0</v>
      </c>
      <c r="F362" s="5">
        <v>0</v>
      </c>
      <c r="G362" s="5">
        <v>0</v>
      </c>
      <c r="H362" s="5">
        <v>24</v>
      </c>
      <c r="I362" s="6">
        <v>2.5</v>
      </c>
      <c r="J362" s="6">
        <v>10.7</v>
      </c>
      <c r="K362" s="6">
        <v>6</v>
      </c>
      <c r="L362" s="6">
        <v>6.4</v>
      </c>
      <c r="M362" s="4" t="str">
        <f t="shared" si="15"/>
        <v>OK</v>
      </c>
      <c r="N362" s="7">
        <f t="shared" si="16"/>
        <v>3.0325621359345977E-4</v>
      </c>
      <c r="O362" s="7">
        <f>SUMIFS($D$2:D362,$B$2:B362,B362)/SUMIFS($D$2:$D$741,$B$2:$B$741,B362)</f>
        <v>0.99975992216423848</v>
      </c>
      <c r="P362" s="4" t="b">
        <f t="shared" si="17"/>
        <v>0</v>
      </c>
      <c r="Q362" s="2"/>
      <c r="R362" s="2"/>
      <c r="S362" s="2"/>
    </row>
    <row r="363" spans="1:19" x14ac:dyDescent="0.45">
      <c r="A363" s="4" t="s">
        <v>423</v>
      </c>
      <c r="B363" s="4" t="s">
        <v>404</v>
      </c>
      <c r="C363" s="5">
        <v>1</v>
      </c>
      <c r="D363" s="5">
        <v>14</v>
      </c>
      <c r="E363" s="5">
        <v>0</v>
      </c>
      <c r="F363" s="5">
        <v>0</v>
      </c>
      <c r="G363" s="5">
        <v>0</v>
      </c>
      <c r="H363" s="5">
        <v>14</v>
      </c>
      <c r="I363" s="6">
        <v>10</v>
      </c>
      <c r="J363" s="6">
        <v>9.3000000000000007</v>
      </c>
      <c r="K363" s="6">
        <v>11</v>
      </c>
      <c r="L363" s="6">
        <v>11</v>
      </c>
      <c r="M363" s="4" t="str">
        <f t="shared" si="15"/>
        <v>OK</v>
      </c>
      <c r="N363" s="7">
        <f t="shared" si="16"/>
        <v>1.768994579295182E-4</v>
      </c>
      <c r="O363" s="7">
        <f>SUMIFS($D$2:D363,$B$2:B363,B363)/SUMIFS($D$2:$D$741,$B$2:$B$741,B363)</f>
        <v>0.99993682162216802</v>
      </c>
      <c r="P363" s="4" t="b">
        <f t="shared" si="17"/>
        <v>0</v>
      </c>
      <c r="Q363" s="2"/>
      <c r="R363" s="2"/>
      <c r="S363" s="2"/>
    </row>
    <row r="364" spans="1:19" x14ac:dyDescent="0.45">
      <c r="A364" s="4" t="s">
        <v>424</v>
      </c>
      <c r="B364" s="4" t="s">
        <v>404</v>
      </c>
      <c r="C364" s="5">
        <v>1</v>
      </c>
      <c r="D364" s="5">
        <v>5</v>
      </c>
      <c r="E364" s="5">
        <v>0</v>
      </c>
      <c r="F364" s="5">
        <v>0</v>
      </c>
      <c r="G364" s="5">
        <v>0</v>
      </c>
      <c r="H364" s="5">
        <v>5</v>
      </c>
      <c r="I364" s="6">
        <v>1</v>
      </c>
      <c r="J364" s="6">
        <v>2</v>
      </c>
      <c r="K364" s="6">
        <v>4</v>
      </c>
      <c r="L364" s="6">
        <v>3.8</v>
      </c>
      <c r="M364" s="4" t="str">
        <f t="shared" si="15"/>
        <v>OK</v>
      </c>
      <c r="N364" s="7">
        <f t="shared" si="16"/>
        <v>6.3178377831970786E-5</v>
      </c>
      <c r="O364" s="7">
        <f>SUMIFS($D$2:D364,$B$2:B364,B364)/SUMIFS($D$2:$D$741,$B$2:$B$741,B364)</f>
        <v>1</v>
      </c>
      <c r="P364" s="4" t="b">
        <f t="shared" si="17"/>
        <v>0</v>
      </c>
      <c r="Q364" s="2"/>
      <c r="R364" s="2"/>
      <c r="S364" s="2"/>
    </row>
    <row r="365" spans="1:19" x14ac:dyDescent="0.45">
      <c r="A365" s="9" t="s">
        <v>425</v>
      </c>
      <c r="B365" s="9" t="s">
        <v>426</v>
      </c>
      <c r="C365" s="10">
        <v>2</v>
      </c>
      <c r="D365" s="10">
        <v>1434</v>
      </c>
      <c r="E365" s="10">
        <v>329</v>
      </c>
      <c r="F365" s="10">
        <v>12</v>
      </c>
      <c r="G365" s="10">
        <v>9</v>
      </c>
      <c r="H365" s="10">
        <v>1422</v>
      </c>
      <c r="I365" s="11">
        <v>1</v>
      </c>
      <c r="J365" s="11">
        <v>10.3</v>
      </c>
      <c r="K365" s="11">
        <v>11</v>
      </c>
      <c r="L365" s="11">
        <v>10.9</v>
      </c>
      <c r="M365" s="9" t="str">
        <f t="shared" si="15"/>
        <v>OK</v>
      </c>
      <c r="N365" s="12">
        <f t="shared" si="16"/>
        <v>0.67450611476952027</v>
      </c>
      <c r="O365" s="12">
        <f>SUMIFS($D$2:D365,$B$2:B365,B365)/SUMIFS($D$2:$D$741,$B$2:$B$741,B365)</f>
        <v>0.67450611476952027</v>
      </c>
      <c r="P365" s="9" t="b">
        <f t="shared" si="17"/>
        <v>1</v>
      </c>
      <c r="Q365" s="2"/>
      <c r="R365" s="2"/>
      <c r="S365" s="2"/>
    </row>
    <row r="366" spans="1:19" x14ac:dyDescent="0.45">
      <c r="A366" s="4" t="s">
        <v>427</v>
      </c>
      <c r="B366" s="4" t="s">
        <v>426</v>
      </c>
      <c r="C366" s="5">
        <v>2</v>
      </c>
      <c r="D366" s="5">
        <v>680</v>
      </c>
      <c r="E366" s="5">
        <v>187</v>
      </c>
      <c r="F366" s="5">
        <v>86</v>
      </c>
      <c r="G366" s="5">
        <v>56</v>
      </c>
      <c r="H366" s="5">
        <v>594</v>
      </c>
      <c r="I366" s="6">
        <v>55</v>
      </c>
      <c r="J366" s="6">
        <v>110</v>
      </c>
      <c r="K366" s="6">
        <v>337</v>
      </c>
      <c r="L366" s="6">
        <v>336.5</v>
      </c>
      <c r="M366" s="4" t="str">
        <f t="shared" si="15"/>
        <v>OK</v>
      </c>
      <c r="N366" s="7">
        <f t="shared" si="16"/>
        <v>0.31984948259642521</v>
      </c>
      <c r="O366" s="7">
        <f>SUMIFS($D$2:D366,$B$2:B366,B366)/SUMIFS($D$2:$D$741,$B$2:$B$741,B366)</f>
        <v>0.99435559736594548</v>
      </c>
      <c r="P366" s="4" t="b">
        <f t="shared" si="17"/>
        <v>1</v>
      </c>
      <c r="Q366" s="2"/>
      <c r="R366" s="2"/>
      <c r="S366" s="2"/>
    </row>
    <row r="367" spans="1:19" x14ac:dyDescent="0.45">
      <c r="A367" s="4" t="s">
        <v>428</v>
      </c>
      <c r="B367" s="4" t="s">
        <v>426</v>
      </c>
      <c r="C367" s="5">
        <v>2</v>
      </c>
      <c r="D367" s="5">
        <v>12</v>
      </c>
      <c r="E367" s="5">
        <v>0</v>
      </c>
      <c r="F367" s="5">
        <v>0</v>
      </c>
      <c r="G367" s="5">
        <v>0</v>
      </c>
      <c r="H367" s="5">
        <v>12</v>
      </c>
      <c r="I367" s="6">
        <v>199</v>
      </c>
      <c r="J367" s="6">
        <v>251.6</v>
      </c>
      <c r="K367" s="6">
        <v>456</v>
      </c>
      <c r="L367" s="6">
        <v>456.4</v>
      </c>
      <c r="M367" s="4" t="str">
        <f t="shared" si="15"/>
        <v>OK</v>
      </c>
      <c r="N367" s="7">
        <f t="shared" si="16"/>
        <v>5.6444026340545629E-3</v>
      </c>
      <c r="O367" s="7">
        <f>SUMIFS($D$2:D367,$B$2:B367,B367)/SUMIFS($D$2:$D$741,$B$2:$B$741,B367)</f>
        <v>1</v>
      </c>
      <c r="P367" s="4" t="b">
        <f t="shared" si="17"/>
        <v>0</v>
      </c>
      <c r="Q367" s="2"/>
      <c r="R367" s="2"/>
      <c r="S367" s="2"/>
    </row>
    <row r="368" spans="1:19" x14ac:dyDescent="0.45">
      <c r="A368" s="9" t="s">
        <v>429</v>
      </c>
      <c r="B368" s="9" t="s">
        <v>430</v>
      </c>
      <c r="C368" s="10">
        <v>2</v>
      </c>
      <c r="D368" s="10">
        <v>126</v>
      </c>
      <c r="E368" s="10">
        <v>45</v>
      </c>
      <c r="F368" s="10">
        <v>0</v>
      </c>
      <c r="G368" s="10">
        <v>0</v>
      </c>
      <c r="H368" s="10">
        <v>126</v>
      </c>
      <c r="I368" s="11">
        <v>4</v>
      </c>
      <c r="J368" s="11">
        <v>14.6</v>
      </c>
      <c r="K368" s="11">
        <v>24</v>
      </c>
      <c r="L368" s="11">
        <v>23.5</v>
      </c>
      <c r="M368" s="9" t="str">
        <f t="shared" si="15"/>
        <v>OK</v>
      </c>
      <c r="N368" s="12">
        <f t="shared" si="16"/>
        <v>0.67021276595744683</v>
      </c>
      <c r="O368" s="12">
        <f>SUMIFS($D$2:D368,$B$2:B368,B368)/SUMIFS($D$2:$D$741,$B$2:$B$741,B368)</f>
        <v>0.67021276595744683</v>
      </c>
      <c r="P368" s="9" t="b">
        <f t="shared" si="17"/>
        <v>1</v>
      </c>
      <c r="Q368" s="2"/>
      <c r="R368" s="2"/>
      <c r="S368" s="2"/>
    </row>
    <row r="369" spans="1:19" x14ac:dyDescent="0.45">
      <c r="A369" s="4" t="s">
        <v>431</v>
      </c>
      <c r="B369" s="4" t="s">
        <v>430</v>
      </c>
      <c r="C369" s="5">
        <v>2</v>
      </c>
      <c r="D369" s="5">
        <v>62</v>
      </c>
      <c r="E369" s="5">
        <v>0</v>
      </c>
      <c r="F369" s="5">
        <v>0</v>
      </c>
      <c r="G369" s="5">
        <v>0</v>
      </c>
      <c r="H369" s="5">
        <v>62</v>
      </c>
      <c r="I369" s="6">
        <v>4</v>
      </c>
      <c r="J369" s="6">
        <v>4.8</v>
      </c>
      <c r="K369" s="6">
        <v>11</v>
      </c>
      <c r="L369" s="6">
        <v>11</v>
      </c>
      <c r="M369" s="4" t="str">
        <f t="shared" si="15"/>
        <v>OK</v>
      </c>
      <c r="N369" s="7">
        <f t="shared" si="16"/>
        <v>0.32978723404255317</v>
      </c>
      <c r="O369" s="7">
        <f>SUMIFS($D$2:D369,$B$2:B369,B369)/SUMIFS($D$2:$D$741,$B$2:$B$741,B369)</f>
        <v>1</v>
      </c>
      <c r="P369" s="4" t="b">
        <f t="shared" si="17"/>
        <v>1</v>
      </c>
      <c r="Q369" s="2"/>
      <c r="R369" s="2"/>
      <c r="S369" s="2"/>
    </row>
    <row r="370" spans="1:19" x14ac:dyDescent="0.45">
      <c r="A370" s="9" t="s">
        <v>432</v>
      </c>
      <c r="B370" s="9" t="s">
        <v>433</v>
      </c>
      <c r="C370" s="10">
        <v>2</v>
      </c>
      <c r="D370" s="10">
        <v>34790</v>
      </c>
      <c r="E370" s="10">
        <v>7889</v>
      </c>
      <c r="F370" s="10">
        <v>990</v>
      </c>
      <c r="G370" s="10">
        <v>924</v>
      </c>
      <c r="H370" s="10">
        <v>30396</v>
      </c>
      <c r="I370" s="11">
        <v>1</v>
      </c>
      <c r="J370" s="11">
        <v>5.9</v>
      </c>
      <c r="K370" s="11">
        <v>6</v>
      </c>
      <c r="L370" s="11">
        <v>6</v>
      </c>
      <c r="M370" s="9" t="str">
        <f t="shared" si="15"/>
        <v>OK</v>
      </c>
      <c r="N370" s="12">
        <f t="shared" si="16"/>
        <v>0.10198009643993024</v>
      </c>
      <c r="O370" s="12">
        <f>SUMIFS($D$2:D370,$B$2:B370,B370)/SUMIFS($D$2:$D$741,$B$2:$B$741,B370)</f>
        <v>0.10198009643993024</v>
      </c>
      <c r="P370" s="9" t="b">
        <f t="shared" si="17"/>
        <v>1</v>
      </c>
      <c r="Q370" s="2"/>
      <c r="R370" s="2"/>
      <c r="S370" s="2"/>
    </row>
    <row r="371" spans="1:19" x14ac:dyDescent="0.45">
      <c r="A371" s="4" t="s">
        <v>434</v>
      </c>
      <c r="B371" s="4" t="s">
        <v>433</v>
      </c>
      <c r="C371" s="5">
        <v>2</v>
      </c>
      <c r="D371" s="5">
        <v>28005</v>
      </c>
      <c r="E371" s="5">
        <v>3786</v>
      </c>
      <c r="F371" s="5">
        <v>561</v>
      </c>
      <c r="G371" s="5">
        <v>561</v>
      </c>
      <c r="H371" s="5">
        <v>25812</v>
      </c>
      <c r="I371" s="6">
        <v>1</v>
      </c>
      <c r="J371" s="6">
        <v>3.3</v>
      </c>
      <c r="K371" s="6">
        <v>4</v>
      </c>
      <c r="L371" s="6">
        <v>4</v>
      </c>
      <c r="M371" s="4" t="str">
        <f t="shared" si="15"/>
        <v>OK</v>
      </c>
      <c r="N371" s="7">
        <f t="shared" si="16"/>
        <v>8.2091192894516996E-2</v>
      </c>
      <c r="O371" s="7">
        <f>SUMIFS($D$2:D371,$B$2:B371,B371)/SUMIFS($D$2:$D$741,$B$2:$B$741,B371)</f>
        <v>0.18407128933444722</v>
      </c>
      <c r="P371" s="4" t="b">
        <f t="shared" si="17"/>
        <v>1</v>
      </c>
      <c r="Q371" s="2"/>
      <c r="R371" s="2"/>
      <c r="S371" s="2"/>
    </row>
    <row r="372" spans="1:19" x14ac:dyDescent="0.45">
      <c r="A372" s="4" t="s">
        <v>435</v>
      </c>
      <c r="B372" s="4" t="s">
        <v>433</v>
      </c>
      <c r="C372" s="5">
        <v>2</v>
      </c>
      <c r="D372" s="5">
        <v>24787</v>
      </c>
      <c r="E372" s="5">
        <v>6096</v>
      </c>
      <c r="F372" s="5">
        <v>1454</v>
      </c>
      <c r="G372" s="5">
        <v>1262</v>
      </c>
      <c r="H372" s="5">
        <v>22427</v>
      </c>
      <c r="I372" s="6">
        <v>1</v>
      </c>
      <c r="J372" s="6">
        <v>13.3</v>
      </c>
      <c r="K372" s="6">
        <v>24</v>
      </c>
      <c r="L372" s="6">
        <v>24</v>
      </c>
      <c r="M372" s="4" t="str">
        <f t="shared" si="15"/>
        <v>OK</v>
      </c>
      <c r="N372" s="7">
        <f t="shared" si="16"/>
        <v>7.2658253821688723E-2</v>
      </c>
      <c r="O372" s="7">
        <f>SUMIFS($D$2:D372,$B$2:B372,B372)/SUMIFS($D$2:$D$741,$B$2:$B$741,B372)</f>
        <v>0.25672954315613594</v>
      </c>
      <c r="P372" s="4" t="b">
        <f t="shared" si="17"/>
        <v>1</v>
      </c>
      <c r="Q372" s="2"/>
      <c r="R372" s="2"/>
      <c r="S372" s="2"/>
    </row>
    <row r="373" spans="1:19" x14ac:dyDescent="0.45">
      <c r="A373" s="4" t="s">
        <v>436</v>
      </c>
      <c r="B373" s="4" t="s">
        <v>433</v>
      </c>
      <c r="C373" s="5">
        <v>2</v>
      </c>
      <c r="D373" s="5">
        <v>22676</v>
      </c>
      <c r="E373" s="5">
        <v>5375</v>
      </c>
      <c r="F373" s="5">
        <v>3812</v>
      </c>
      <c r="G373" s="5">
        <v>3328</v>
      </c>
      <c r="H373" s="5">
        <v>18864</v>
      </c>
      <c r="I373" s="6">
        <v>145</v>
      </c>
      <c r="J373" s="6">
        <v>166.9</v>
      </c>
      <c r="K373" s="6">
        <v>393</v>
      </c>
      <c r="L373" s="6">
        <v>393</v>
      </c>
      <c r="M373" s="4" t="str">
        <f t="shared" si="15"/>
        <v>OK</v>
      </c>
      <c r="N373" s="7">
        <f t="shared" si="16"/>
        <v>6.6470269240352348E-2</v>
      </c>
      <c r="O373" s="7">
        <f>SUMIFS($D$2:D373,$B$2:B373,B373)/SUMIFS($D$2:$D$741,$B$2:$B$741,B373)</f>
        <v>0.32319981239648832</v>
      </c>
      <c r="P373" s="4" t="b">
        <f t="shared" si="17"/>
        <v>1</v>
      </c>
      <c r="Q373" s="2"/>
      <c r="R373" s="2"/>
      <c r="S373" s="2"/>
    </row>
    <row r="374" spans="1:19" x14ac:dyDescent="0.45">
      <c r="A374" s="4" t="s">
        <v>437</v>
      </c>
      <c r="B374" s="4" t="s">
        <v>433</v>
      </c>
      <c r="C374" s="5">
        <v>2</v>
      </c>
      <c r="D374" s="5">
        <v>22223</v>
      </c>
      <c r="E374" s="5">
        <v>2743</v>
      </c>
      <c r="F374" s="5">
        <v>11</v>
      </c>
      <c r="G374" s="5">
        <v>2</v>
      </c>
      <c r="H374" s="5">
        <v>21717</v>
      </c>
      <c r="I374" s="6">
        <v>0</v>
      </c>
      <c r="J374" s="6">
        <v>4.2</v>
      </c>
      <c r="K374" s="6">
        <v>1</v>
      </c>
      <c r="L374" s="6">
        <v>1</v>
      </c>
      <c r="M374" s="4" t="str">
        <f t="shared" si="15"/>
        <v>OK</v>
      </c>
      <c r="N374" s="7">
        <f t="shared" si="16"/>
        <v>6.5142388134077883E-2</v>
      </c>
      <c r="O374" s="7">
        <f>SUMIFS($D$2:D374,$B$2:B374,B374)/SUMIFS($D$2:$D$741,$B$2:$B$741,B374)</f>
        <v>0.38834220053056617</v>
      </c>
      <c r="P374" s="4" t="b">
        <f t="shared" si="17"/>
        <v>1</v>
      </c>
      <c r="Q374" s="2"/>
      <c r="R374" s="2"/>
      <c r="S374" s="2"/>
    </row>
    <row r="375" spans="1:19" x14ac:dyDescent="0.45">
      <c r="A375" s="4" t="s">
        <v>438</v>
      </c>
      <c r="B375" s="4" t="s">
        <v>433</v>
      </c>
      <c r="C375" s="5">
        <v>2</v>
      </c>
      <c r="D375" s="5">
        <v>21509</v>
      </c>
      <c r="E375" s="5">
        <v>4256</v>
      </c>
      <c r="F375" s="5">
        <v>2949</v>
      </c>
      <c r="G375" s="5">
        <v>2667</v>
      </c>
      <c r="H375" s="5">
        <v>16640</v>
      </c>
      <c r="I375" s="6">
        <v>3</v>
      </c>
      <c r="J375" s="6">
        <v>37.1</v>
      </c>
      <c r="K375" s="6">
        <v>108</v>
      </c>
      <c r="L375" s="6">
        <v>107</v>
      </c>
      <c r="M375" s="4" t="str">
        <f t="shared" si="15"/>
        <v>OK</v>
      </c>
      <c r="N375" s="7">
        <f t="shared" si="16"/>
        <v>6.3049436456638672E-2</v>
      </c>
      <c r="O375" s="7">
        <f>SUMIFS($D$2:D375,$B$2:B375,B375)/SUMIFS($D$2:$D$741,$B$2:$B$741,B375)</f>
        <v>0.45139163698720486</v>
      </c>
      <c r="P375" s="4" t="b">
        <f t="shared" si="17"/>
        <v>1</v>
      </c>
      <c r="Q375" s="2"/>
      <c r="R375" s="2"/>
      <c r="S375" s="2"/>
    </row>
    <row r="376" spans="1:19" x14ac:dyDescent="0.45">
      <c r="A376" s="4" t="s">
        <v>439</v>
      </c>
      <c r="B376" s="4" t="s">
        <v>433</v>
      </c>
      <c r="C376" s="5">
        <v>2</v>
      </c>
      <c r="D376" s="5">
        <v>19741</v>
      </c>
      <c r="E376" s="5">
        <v>5296</v>
      </c>
      <c r="F376" s="5">
        <v>18</v>
      </c>
      <c r="G376" s="5">
        <v>9</v>
      </c>
      <c r="H376" s="5">
        <v>18744</v>
      </c>
      <c r="I376" s="6">
        <v>0</v>
      </c>
      <c r="J376" s="6">
        <v>0.3</v>
      </c>
      <c r="K376" s="6">
        <v>1</v>
      </c>
      <c r="L376" s="6">
        <v>1</v>
      </c>
      <c r="M376" s="4" t="str">
        <f t="shared" si="15"/>
        <v>OK</v>
      </c>
      <c r="N376" s="7">
        <f t="shared" si="16"/>
        <v>5.7866889445836817E-2</v>
      </c>
      <c r="O376" s="7">
        <f>SUMIFS($D$2:D376,$B$2:B376,B376)/SUMIFS($D$2:$D$741,$B$2:$B$741,B376)</f>
        <v>0.5092585264330417</v>
      </c>
      <c r="P376" s="4" t="b">
        <f t="shared" si="17"/>
        <v>1</v>
      </c>
      <c r="Q376" s="2"/>
      <c r="R376" s="2"/>
      <c r="S376" s="2"/>
    </row>
    <row r="377" spans="1:19" x14ac:dyDescent="0.45">
      <c r="A377" s="4" t="s">
        <v>440</v>
      </c>
      <c r="B377" s="4" t="s">
        <v>433</v>
      </c>
      <c r="C377" s="5">
        <v>2</v>
      </c>
      <c r="D377" s="5">
        <v>19032</v>
      </c>
      <c r="E377" s="5">
        <v>3089</v>
      </c>
      <c r="F377" s="5">
        <v>4690</v>
      </c>
      <c r="G377" s="5">
        <v>4680</v>
      </c>
      <c r="H377" s="5">
        <v>13968</v>
      </c>
      <c r="I377" s="6">
        <v>4</v>
      </c>
      <c r="J377" s="6">
        <v>46.7</v>
      </c>
      <c r="K377" s="6">
        <v>133</v>
      </c>
      <c r="L377" s="6">
        <v>133</v>
      </c>
      <c r="M377" s="4" t="str">
        <f t="shared" si="15"/>
        <v>OK</v>
      </c>
      <c r="N377" s="7">
        <f t="shared" si="16"/>
        <v>5.5788594292749419E-2</v>
      </c>
      <c r="O377" s="7">
        <f>SUMIFS($D$2:D377,$B$2:B377,B377)/SUMIFS($D$2:$D$741,$B$2:$B$741,B377)</f>
        <v>0.56504712072579111</v>
      </c>
      <c r="P377" s="4" t="b">
        <f t="shared" si="17"/>
        <v>1</v>
      </c>
      <c r="Q377" s="2"/>
      <c r="R377" s="2"/>
      <c r="S377" s="2"/>
    </row>
    <row r="378" spans="1:19" x14ac:dyDescent="0.45">
      <c r="A378" s="4" t="s">
        <v>441</v>
      </c>
      <c r="B378" s="4" t="s">
        <v>433</v>
      </c>
      <c r="C378" s="5">
        <v>2</v>
      </c>
      <c r="D378" s="5">
        <v>17883</v>
      </c>
      <c r="E378" s="5">
        <v>3770</v>
      </c>
      <c r="F378" s="5">
        <v>2268</v>
      </c>
      <c r="G378" s="5">
        <v>2095</v>
      </c>
      <c r="H378" s="5">
        <v>14022</v>
      </c>
      <c r="I378" s="6">
        <v>2</v>
      </c>
      <c r="J378" s="6">
        <v>23.2</v>
      </c>
      <c r="K378" s="6">
        <v>38</v>
      </c>
      <c r="L378" s="6">
        <v>38</v>
      </c>
      <c r="M378" s="4" t="str">
        <f t="shared" si="15"/>
        <v>OK</v>
      </c>
      <c r="N378" s="7">
        <f t="shared" si="16"/>
        <v>5.2420524996702279E-2</v>
      </c>
      <c r="O378" s="7">
        <f>SUMIFS($D$2:D378,$B$2:B378,B378)/SUMIFS($D$2:$D$741,$B$2:$B$741,B378)</f>
        <v>0.61746764572249335</v>
      </c>
      <c r="P378" s="4" t="b">
        <f t="shared" si="17"/>
        <v>1</v>
      </c>
      <c r="Q378" s="2"/>
      <c r="R378" s="2"/>
      <c r="S378" s="2"/>
    </row>
    <row r="379" spans="1:19" x14ac:dyDescent="0.45">
      <c r="A379" s="4" t="s">
        <v>442</v>
      </c>
      <c r="B379" s="4" t="s">
        <v>433</v>
      </c>
      <c r="C379" s="5">
        <v>2</v>
      </c>
      <c r="D379" s="5">
        <v>17517</v>
      </c>
      <c r="E379" s="5">
        <v>4320</v>
      </c>
      <c r="F379" s="5">
        <v>64</v>
      </c>
      <c r="G379" s="5">
        <v>61</v>
      </c>
      <c r="H379" s="5">
        <v>13848</v>
      </c>
      <c r="I379" s="6">
        <v>0</v>
      </c>
      <c r="J379" s="6">
        <v>0.7</v>
      </c>
      <c r="K379" s="6">
        <v>1</v>
      </c>
      <c r="L379" s="6">
        <v>1</v>
      </c>
      <c r="M379" s="4" t="str">
        <f t="shared" si="15"/>
        <v>OK</v>
      </c>
      <c r="N379" s="7">
        <f t="shared" si="16"/>
        <v>5.1347667414149409E-2</v>
      </c>
      <c r="O379" s="7">
        <f>SUMIFS($D$2:D379,$B$2:B379,B379)/SUMIFS($D$2:$D$741,$B$2:$B$741,B379)</f>
        <v>0.66881531313664278</v>
      </c>
      <c r="P379" s="4" t="b">
        <f t="shared" si="17"/>
        <v>1</v>
      </c>
      <c r="Q379" s="2"/>
      <c r="R379" s="2"/>
      <c r="S379" s="2"/>
    </row>
    <row r="380" spans="1:19" x14ac:dyDescent="0.45">
      <c r="A380" s="4" t="s">
        <v>443</v>
      </c>
      <c r="B380" s="4" t="s">
        <v>433</v>
      </c>
      <c r="C380" s="5">
        <v>2</v>
      </c>
      <c r="D380" s="5">
        <v>12093</v>
      </c>
      <c r="E380" s="5">
        <v>2844</v>
      </c>
      <c r="F380" s="5">
        <v>1636</v>
      </c>
      <c r="G380" s="5">
        <v>1065</v>
      </c>
      <c r="H380" s="5">
        <v>10456</v>
      </c>
      <c r="I380" s="6">
        <v>4</v>
      </c>
      <c r="J380" s="6">
        <v>170.3</v>
      </c>
      <c r="K380" s="6">
        <v>679</v>
      </c>
      <c r="L380" s="6">
        <v>679</v>
      </c>
      <c r="M380" s="4" t="str">
        <f t="shared" si="15"/>
        <v>OK</v>
      </c>
      <c r="N380" s="7">
        <f t="shared" si="16"/>
        <v>3.5448269797300265E-2</v>
      </c>
      <c r="O380" s="7">
        <f>SUMIFS($D$2:D380,$B$2:B380,B380)/SUMIFS($D$2:$D$741,$B$2:$B$741,B380)</f>
        <v>0.70426358293394309</v>
      </c>
      <c r="P380" s="4" t="b">
        <f t="shared" si="17"/>
        <v>1</v>
      </c>
      <c r="Q380" s="2"/>
      <c r="R380" s="2"/>
      <c r="S380" s="2"/>
    </row>
    <row r="381" spans="1:19" x14ac:dyDescent="0.45">
      <c r="A381" s="4" t="s">
        <v>444</v>
      </c>
      <c r="B381" s="4" t="s">
        <v>433</v>
      </c>
      <c r="C381" s="5">
        <v>2</v>
      </c>
      <c r="D381" s="5">
        <v>11999</v>
      </c>
      <c r="E381" s="5">
        <v>2495</v>
      </c>
      <c r="F381" s="5">
        <v>1048</v>
      </c>
      <c r="G381" s="5">
        <v>762</v>
      </c>
      <c r="H381" s="5">
        <v>10951</v>
      </c>
      <c r="I381" s="6">
        <v>4</v>
      </c>
      <c r="J381" s="6">
        <v>78.3</v>
      </c>
      <c r="K381" s="6">
        <v>257</v>
      </c>
      <c r="L381" s="6">
        <v>257</v>
      </c>
      <c r="M381" s="4" t="str">
        <f t="shared" si="15"/>
        <v>OK</v>
      </c>
      <c r="N381" s="7">
        <f t="shared" si="16"/>
        <v>3.5172727139486146E-2</v>
      </c>
      <c r="O381" s="7">
        <f>SUMIFS($D$2:D381,$B$2:B381,B381)/SUMIFS($D$2:$D$741,$B$2:$B$741,B381)</f>
        <v>0.73943631007342914</v>
      </c>
      <c r="P381" s="4" t="b">
        <f t="shared" si="17"/>
        <v>1</v>
      </c>
      <c r="Q381" s="2"/>
      <c r="R381" s="2"/>
      <c r="S381" s="2"/>
    </row>
    <row r="382" spans="1:19" x14ac:dyDescent="0.45">
      <c r="A382" s="4" t="s">
        <v>445</v>
      </c>
      <c r="B382" s="4" t="s">
        <v>433</v>
      </c>
      <c r="C382" s="5">
        <v>2</v>
      </c>
      <c r="D382" s="5">
        <v>11775</v>
      </c>
      <c r="E382" s="5">
        <v>2472</v>
      </c>
      <c r="F382" s="5">
        <v>109</v>
      </c>
      <c r="G382" s="5">
        <v>91</v>
      </c>
      <c r="H382" s="5">
        <v>11666</v>
      </c>
      <c r="I382" s="6">
        <v>1</v>
      </c>
      <c r="J382" s="6">
        <v>13.7</v>
      </c>
      <c r="K382" s="6">
        <v>9</v>
      </c>
      <c r="L382" s="6">
        <v>9</v>
      </c>
      <c r="M382" s="4" t="str">
        <f t="shared" si="15"/>
        <v>OK</v>
      </c>
      <c r="N382" s="7">
        <f t="shared" si="16"/>
        <v>3.451611484852482E-2</v>
      </c>
      <c r="O382" s="7">
        <f>SUMIFS($D$2:D382,$B$2:B382,B382)/SUMIFS($D$2:$D$741,$B$2:$B$741,B382)</f>
        <v>0.77395242492195404</v>
      </c>
      <c r="P382" s="4" t="b">
        <f t="shared" si="17"/>
        <v>1</v>
      </c>
      <c r="Q382" s="2"/>
      <c r="R382" s="2"/>
      <c r="S382" s="2"/>
    </row>
    <row r="383" spans="1:19" x14ac:dyDescent="0.45">
      <c r="A383" s="4" t="s">
        <v>446</v>
      </c>
      <c r="B383" s="4" t="s">
        <v>433</v>
      </c>
      <c r="C383" s="5">
        <v>1</v>
      </c>
      <c r="D383" s="5">
        <v>9325</v>
      </c>
      <c r="E383" s="5">
        <v>2616</v>
      </c>
      <c r="F383" s="5">
        <v>120</v>
      </c>
      <c r="G383" s="5">
        <v>5</v>
      </c>
      <c r="H383" s="5">
        <v>9205</v>
      </c>
      <c r="I383" s="6">
        <v>4</v>
      </c>
      <c r="J383" s="6">
        <v>11</v>
      </c>
      <c r="K383" s="6">
        <v>25</v>
      </c>
      <c r="L383" s="6">
        <v>25</v>
      </c>
      <c r="M383" s="4" t="str">
        <f t="shared" si="15"/>
        <v>OK</v>
      </c>
      <c r="N383" s="7">
        <f t="shared" si="16"/>
        <v>2.7334417916135369E-2</v>
      </c>
      <c r="O383" s="7">
        <f>SUMIFS($D$2:D383,$B$2:B383,B383)/SUMIFS($D$2:$D$741,$B$2:$B$741,B383)</f>
        <v>0.80128684283808937</v>
      </c>
      <c r="P383" s="4" t="b">
        <f t="shared" si="17"/>
        <v>1</v>
      </c>
      <c r="Q383" s="2"/>
      <c r="R383" s="2"/>
      <c r="S383" s="2"/>
    </row>
    <row r="384" spans="1:19" x14ac:dyDescent="0.45">
      <c r="A384" s="4" t="s">
        <v>447</v>
      </c>
      <c r="B384" s="4" t="s">
        <v>433</v>
      </c>
      <c r="C384" s="5">
        <v>2</v>
      </c>
      <c r="D384" s="5">
        <v>6995</v>
      </c>
      <c r="E384" s="5">
        <v>1807</v>
      </c>
      <c r="F384" s="5">
        <v>86</v>
      </c>
      <c r="G384" s="5">
        <v>61</v>
      </c>
      <c r="H384" s="5">
        <v>6909</v>
      </c>
      <c r="I384" s="6">
        <v>2</v>
      </c>
      <c r="J384" s="6">
        <v>6</v>
      </c>
      <c r="K384" s="6">
        <v>13</v>
      </c>
      <c r="L384" s="6">
        <v>13</v>
      </c>
      <c r="M384" s="4" t="str">
        <f t="shared" si="15"/>
        <v>OK</v>
      </c>
      <c r="N384" s="7">
        <f t="shared" si="16"/>
        <v>2.0504477568189478E-2</v>
      </c>
      <c r="O384" s="7">
        <f>SUMIFS($D$2:D384,$B$2:B384,B384)/SUMIFS($D$2:$D$741,$B$2:$B$741,B384)</f>
        <v>0.82179132040627889</v>
      </c>
      <c r="P384" s="4" t="b">
        <f t="shared" si="17"/>
        <v>1</v>
      </c>
      <c r="Q384" s="2"/>
      <c r="R384" s="2"/>
      <c r="S384" s="2"/>
    </row>
    <row r="385" spans="1:19" x14ac:dyDescent="0.45">
      <c r="A385" s="4" t="s">
        <v>448</v>
      </c>
      <c r="B385" s="4" t="s">
        <v>433</v>
      </c>
      <c r="C385" s="5">
        <v>1</v>
      </c>
      <c r="D385" s="5">
        <v>6103</v>
      </c>
      <c r="E385" s="5">
        <v>2109</v>
      </c>
      <c r="F385" s="5">
        <v>20</v>
      </c>
      <c r="G385" s="5">
        <v>1</v>
      </c>
      <c r="H385" s="5">
        <v>6083</v>
      </c>
      <c r="I385" s="6">
        <v>1</v>
      </c>
      <c r="J385" s="6">
        <v>6.5</v>
      </c>
      <c r="K385" s="6">
        <v>9</v>
      </c>
      <c r="L385" s="6">
        <v>9</v>
      </c>
      <c r="M385" s="4" t="str">
        <f t="shared" si="15"/>
        <v>OK</v>
      </c>
      <c r="N385" s="7">
        <f t="shared" si="16"/>
        <v>1.7889753623825645E-2</v>
      </c>
      <c r="O385" s="7">
        <f>SUMIFS($D$2:D385,$B$2:B385,B385)/SUMIFS($D$2:$D$741,$B$2:$B$741,B385)</f>
        <v>0.8396810740301045</v>
      </c>
      <c r="P385" s="4" t="b">
        <f t="shared" si="17"/>
        <v>1</v>
      </c>
      <c r="Q385" s="2"/>
      <c r="R385" s="2"/>
      <c r="S385" s="2"/>
    </row>
    <row r="386" spans="1:19" x14ac:dyDescent="0.45">
      <c r="A386" s="4" t="s">
        <v>449</v>
      </c>
      <c r="B386" s="4" t="s">
        <v>433</v>
      </c>
      <c r="C386" s="5">
        <v>2</v>
      </c>
      <c r="D386" s="5">
        <v>5693</v>
      </c>
      <c r="E386" s="5">
        <v>1353</v>
      </c>
      <c r="F386" s="5">
        <v>34</v>
      </c>
      <c r="G386" s="5">
        <v>17</v>
      </c>
      <c r="H386" s="5">
        <v>5659</v>
      </c>
      <c r="I386" s="6">
        <v>2</v>
      </c>
      <c r="J386" s="6">
        <v>15.8</v>
      </c>
      <c r="K386" s="6">
        <v>15</v>
      </c>
      <c r="L386" s="6">
        <v>15</v>
      </c>
      <c r="M386" s="4" t="str">
        <f t="shared" ref="M386:M449" si="18">IF(AND(K386="",L386=""),"No closed tickets",IF(K386="","MISSING in catalog",IF(L386="","No valid closed tickets",IF(AND(ABS(K386-L386)&gt;=$S$3,ABS(K386-L386)&gt;=$S$4*MAX(L386,1)),"FAR OFF","OK"))))</f>
        <v>OK</v>
      </c>
      <c r="N386" s="7">
        <f t="shared" ref="N386:N449" si="19">D386/SUMIFS($D$2:$D$741,$B$2:$B$741,B386)</f>
        <v>1.66879186269768E-2</v>
      </c>
      <c r="O386" s="7">
        <f>SUMIFS($D$2:D386,$B$2:B386,B386)/SUMIFS($D$2:$D$741,$B$2:$B$741,B386)</f>
        <v>0.85636899265708133</v>
      </c>
      <c r="P386" s="4" t="b">
        <f t="shared" ref="P386:P449" si="20">O386-N386&lt;$S$2</f>
        <v>1</v>
      </c>
      <c r="Q386" s="2"/>
      <c r="R386" s="2"/>
      <c r="S386" s="2"/>
    </row>
    <row r="387" spans="1:19" x14ac:dyDescent="0.45">
      <c r="A387" s="4" t="s">
        <v>450</v>
      </c>
      <c r="B387" s="4" t="s">
        <v>433</v>
      </c>
      <c r="C387" s="5">
        <v>2</v>
      </c>
      <c r="D387" s="5">
        <v>4893</v>
      </c>
      <c r="E387" s="5">
        <v>930</v>
      </c>
      <c r="F387" s="5">
        <v>351</v>
      </c>
      <c r="G387" s="5">
        <v>351</v>
      </c>
      <c r="H387" s="5">
        <v>4218</v>
      </c>
      <c r="I387" s="6">
        <v>2</v>
      </c>
      <c r="J387" s="6">
        <v>23.2</v>
      </c>
      <c r="K387" s="6">
        <v>53</v>
      </c>
      <c r="L387" s="6">
        <v>53</v>
      </c>
      <c r="M387" s="4" t="str">
        <f t="shared" si="18"/>
        <v>OK</v>
      </c>
      <c r="N387" s="7">
        <f t="shared" si="19"/>
        <v>1.4342874730686366E-2</v>
      </c>
      <c r="O387" s="7">
        <f>SUMIFS($D$2:D387,$B$2:B387,B387)/SUMIFS($D$2:$D$741,$B$2:$B$741,B387)</f>
        <v>0.87071186738776762</v>
      </c>
      <c r="P387" s="4" t="b">
        <f t="shared" si="20"/>
        <v>1</v>
      </c>
      <c r="Q387" s="2"/>
      <c r="R387" s="2"/>
      <c r="S387" s="2"/>
    </row>
    <row r="388" spans="1:19" x14ac:dyDescent="0.45">
      <c r="A388" s="4" t="s">
        <v>451</v>
      </c>
      <c r="B388" s="4" t="s">
        <v>433</v>
      </c>
      <c r="C388" s="5">
        <v>1</v>
      </c>
      <c r="D388" s="5">
        <v>4710</v>
      </c>
      <c r="E388" s="5">
        <v>1285</v>
      </c>
      <c r="F388" s="5">
        <v>2004</v>
      </c>
      <c r="G388" s="5">
        <v>1778</v>
      </c>
      <c r="H388" s="5">
        <v>2705</v>
      </c>
      <c r="I388" s="6">
        <v>28</v>
      </c>
      <c r="J388" s="6">
        <v>70.099999999999994</v>
      </c>
      <c r="K388" s="6">
        <v>196</v>
      </c>
      <c r="L388" s="6">
        <v>195</v>
      </c>
      <c r="M388" s="4" t="str">
        <f t="shared" si="18"/>
        <v>OK</v>
      </c>
      <c r="N388" s="7">
        <f t="shared" si="19"/>
        <v>1.3806445939409929E-2</v>
      </c>
      <c r="O388" s="7">
        <f>SUMIFS($D$2:D388,$B$2:B388,B388)/SUMIFS($D$2:$D$741,$B$2:$B$741,B388)</f>
        <v>0.88451831332717756</v>
      </c>
      <c r="P388" s="4" t="b">
        <f t="shared" si="20"/>
        <v>1</v>
      </c>
      <c r="Q388" s="2"/>
      <c r="R388" s="2"/>
      <c r="S388" s="2"/>
    </row>
    <row r="389" spans="1:19" x14ac:dyDescent="0.45">
      <c r="A389" s="4" t="s">
        <v>452</v>
      </c>
      <c r="B389" s="4" t="s">
        <v>433</v>
      </c>
      <c r="C389" s="5">
        <v>1</v>
      </c>
      <c r="D389" s="5">
        <v>4633</v>
      </c>
      <c r="E389" s="5">
        <v>1634</v>
      </c>
      <c r="F389" s="5">
        <v>0</v>
      </c>
      <c r="G389" s="5">
        <v>0</v>
      </c>
      <c r="H389" s="5">
        <v>4633</v>
      </c>
      <c r="I389" s="6">
        <v>2</v>
      </c>
      <c r="J389" s="6">
        <v>6.1</v>
      </c>
      <c r="K389" s="6">
        <v>13</v>
      </c>
      <c r="L389" s="6">
        <v>13</v>
      </c>
      <c r="M389" s="4" t="str">
        <f t="shared" si="18"/>
        <v>OK</v>
      </c>
      <c r="N389" s="7">
        <f t="shared" si="19"/>
        <v>1.3580735464391975E-2</v>
      </c>
      <c r="O389" s="7">
        <f>SUMIFS($D$2:D389,$B$2:B389,B389)/SUMIFS($D$2:$D$741,$B$2:$B$741,B389)</f>
        <v>0.89809904879156954</v>
      </c>
      <c r="P389" s="4" t="b">
        <f t="shared" si="20"/>
        <v>1</v>
      </c>
      <c r="Q389" s="2"/>
      <c r="R389" s="2"/>
      <c r="S389" s="2"/>
    </row>
    <row r="390" spans="1:19" x14ac:dyDescent="0.45">
      <c r="A390" s="4" t="s">
        <v>453</v>
      </c>
      <c r="B390" s="4" t="s">
        <v>433</v>
      </c>
      <c r="C390" s="5">
        <v>2</v>
      </c>
      <c r="D390" s="5">
        <v>4548</v>
      </c>
      <c r="E390" s="5">
        <v>911</v>
      </c>
      <c r="F390" s="5">
        <v>453</v>
      </c>
      <c r="G390" s="5">
        <v>402</v>
      </c>
      <c r="H390" s="5">
        <v>3784</v>
      </c>
      <c r="I390" s="6">
        <v>3</v>
      </c>
      <c r="J390" s="6">
        <v>50.8</v>
      </c>
      <c r="K390" s="6">
        <v>157</v>
      </c>
      <c r="L390" s="6">
        <v>157</v>
      </c>
      <c r="M390" s="4" t="str">
        <f t="shared" si="18"/>
        <v>OK</v>
      </c>
      <c r="N390" s="7">
        <f t="shared" si="19"/>
        <v>1.3331574550411115E-2</v>
      </c>
      <c r="O390" s="7">
        <f>SUMIFS($D$2:D390,$B$2:B390,B390)/SUMIFS($D$2:$D$741,$B$2:$B$741,B390)</f>
        <v>0.91143062334198066</v>
      </c>
      <c r="P390" s="4" t="b">
        <f t="shared" si="20"/>
        <v>1</v>
      </c>
      <c r="Q390" s="2"/>
      <c r="R390" s="2"/>
      <c r="S390" s="2"/>
    </row>
    <row r="391" spans="1:19" x14ac:dyDescent="0.45">
      <c r="A391" s="4" t="s">
        <v>454</v>
      </c>
      <c r="B391" s="4" t="s">
        <v>433</v>
      </c>
      <c r="C391" s="5">
        <v>2</v>
      </c>
      <c r="D391" s="5">
        <v>4346</v>
      </c>
      <c r="E391" s="5">
        <v>780</v>
      </c>
      <c r="F391" s="5">
        <v>2071</v>
      </c>
      <c r="G391" s="5">
        <v>2071</v>
      </c>
      <c r="H391" s="5">
        <v>2265</v>
      </c>
      <c r="I391" s="6">
        <v>325</v>
      </c>
      <c r="J391" s="6">
        <v>309.60000000000002</v>
      </c>
      <c r="K391" s="6">
        <v>586</v>
      </c>
      <c r="L391" s="6">
        <v>582</v>
      </c>
      <c r="M391" s="4" t="str">
        <f t="shared" si="18"/>
        <v>OK</v>
      </c>
      <c r="N391" s="7">
        <f t="shared" si="19"/>
        <v>1.273945096659778E-2</v>
      </c>
      <c r="O391" s="7">
        <f>SUMIFS($D$2:D391,$B$2:B391,B391)/SUMIFS($D$2:$D$741,$B$2:$B$741,B391)</f>
        <v>0.92417007430857845</v>
      </c>
      <c r="P391" s="4" t="b">
        <f t="shared" si="20"/>
        <v>1</v>
      </c>
      <c r="Q391" s="2"/>
      <c r="R391" s="2"/>
      <c r="S391" s="2"/>
    </row>
    <row r="392" spans="1:19" x14ac:dyDescent="0.45">
      <c r="A392" s="4" t="s">
        <v>455</v>
      </c>
      <c r="B392" s="4" t="s">
        <v>433</v>
      </c>
      <c r="C392" s="5">
        <v>1</v>
      </c>
      <c r="D392" s="5">
        <v>3438</v>
      </c>
      <c r="E392" s="5">
        <v>856</v>
      </c>
      <c r="F392" s="5">
        <v>46</v>
      </c>
      <c r="G392" s="5">
        <v>42</v>
      </c>
      <c r="H392" s="5">
        <v>3392</v>
      </c>
      <c r="I392" s="6">
        <v>2</v>
      </c>
      <c r="J392" s="6">
        <v>4.2</v>
      </c>
      <c r="K392" s="6">
        <v>9</v>
      </c>
      <c r="L392" s="6">
        <v>9</v>
      </c>
      <c r="M392" s="4" t="str">
        <f t="shared" si="18"/>
        <v>OK</v>
      </c>
      <c r="N392" s="7">
        <f t="shared" si="19"/>
        <v>1.0077826144308138E-2</v>
      </c>
      <c r="O392" s="7">
        <f>SUMIFS($D$2:D392,$B$2:B392,B392)/SUMIFS($D$2:$D$741,$B$2:$B$741,B392)</f>
        <v>0.93424790045288664</v>
      </c>
      <c r="P392" s="4" t="b">
        <f t="shared" si="20"/>
        <v>1</v>
      </c>
      <c r="Q392" s="2"/>
      <c r="R392" s="2"/>
      <c r="S392" s="2"/>
    </row>
    <row r="393" spans="1:19" x14ac:dyDescent="0.45">
      <c r="A393" s="4" t="s">
        <v>456</v>
      </c>
      <c r="B393" s="4" t="s">
        <v>433</v>
      </c>
      <c r="C393" s="5">
        <v>2</v>
      </c>
      <c r="D393" s="5">
        <v>2418</v>
      </c>
      <c r="E393" s="5">
        <v>622</v>
      </c>
      <c r="F393" s="5">
        <v>0</v>
      </c>
      <c r="G393" s="5">
        <v>0</v>
      </c>
      <c r="H393" s="5">
        <v>2391</v>
      </c>
      <c r="I393" s="6">
        <v>0</v>
      </c>
      <c r="J393" s="6">
        <v>18.100000000000001</v>
      </c>
      <c r="K393" s="6">
        <v>58</v>
      </c>
      <c r="L393" s="6">
        <v>58</v>
      </c>
      <c r="M393" s="4" t="str">
        <f t="shared" si="18"/>
        <v>OK</v>
      </c>
      <c r="N393" s="7">
        <f t="shared" si="19"/>
        <v>7.0878951765378359E-3</v>
      </c>
      <c r="O393" s="7">
        <f>SUMIFS($D$2:D393,$B$2:B393,B393)/SUMIFS($D$2:$D$741,$B$2:$B$741,B393)</f>
        <v>0.94133579562942449</v>
      </c>
      <c r="P393" s="4" t="b">
        <f t="shared" si="20"/>
        <v>1</v>
      </c>
      <c r="Q393" s="2"/>
      <c r="R393" s="2"/>
      <c r="S393" s="2"/>
    </row>
    <row r="394" spans="1:19" x14ac:dyDescent="0.45">
      <c r="A394" s="4" t="s">
        <v>457</v>
      </c>
      <c r="B394" s="4" t="s">
        <v>433</v>
      </c>
      <c r="C394" s="5">
        <v>2</v>
      </c>
      <c r="D394" s="5">
        <v>2033</v>
      </c>
      <c r="E394" s="5">
        <v>419</v>
      </c>
      <c r="F394" s="5">
        <v>50</v>
      </c>
      <c r="G394" s="5">
        <v>7</v>
      </c>
      <c r="H394" s="5">
        <v>1983</v>
      </c>
      <c r="I394" s="6">
        <v>26</v>
      </c>
      <c r="J394" s="6">
        <v>36.5</v>
      </c>
      <c r="K394" s="6">
        <v>76</v>
      </c>
      <c r="L394" s="6">
        <v>76</v>
      </c>
      <c r="M394" s="4" t="str">
        <f t="shared" si="18"/>
        <v>OK</v>
      </c>
      <c r="N394" s="7">
        <f t="shared" si="19"/>
        <v>5.9593428014480644E-3</v>
      </c>
      <c r="O394" s="7">
        <f>SUMIFS($D$2:D394,$B$2:B394,B394)/SUMIFS($D$2:$D$741,$B$2:$B$741,B394)</f>
        <v>0.94729513843087254</v>
      </c>
      <c r="P394" s="4" t="b">
        <f t="shared" si="20"/>
        <v>1</v>
      </c>
      <c r="Q394" s="2"/>
      <c r="R394" s="2"/>
      <c r="S394" s="2"/>
    </row>
    <row r="395" spans="1:19" x14ac:dyDescent="0.45">
      <c r="A395" s="4" t="s">
        <v>458</v>
      </c>
      <c r="B395" s="4" t="s">
        <v>433</v>
      </c>
      <c r="C395" s="5">
        <v>1</v>
      </c>
      <c r="D395" s="5">
        <v>1719</v>
      </c>
      <c r="E395" s="5">
        <v>455</v>
      </c>
      <c r="F395" s="5">
        <v>46</v>
      </c>
      <c r="G395" s="5">
        <v>45</v>
      </c>
      <c r="H395" s="5">
        <v>1673</v>
      </c>
      <c r="I395" s="6">
        <v>0</v>
      </c>
      <c r="J395" s="6">
        <v>9.1999999999999993</v>
      </c>
      <c r="K395" s="6">
        <v>7</v>
      </c>
      <c r="L395" s="6">
        <v>7</v>
      </c>
      <c r="M395" s="4" t="str">
        <f t="shared" si="18"/>
        <v>OK</v>
      </c>
      <c r="N395" s="7">
        <f t="shared" si="19"/>
        <v>5.0389130721540691E-3</v>
      </c>
      <c r="O395" s="7">
        <f>SUMIFS($D$2:D395,$B$2:B395,B395)/SUMIFS($D$2:$D$741,$B$2:$B$741,B395)</f>
        <v>0.95233405150302652</v>
      </c>
      <c r="P395" s="4" t="b">
        <f t="shared" si="20"/>
        <v>1</v>
      </c>
      <c r="Q395" s="2"/>
      <c r="R395" s="2"/>
      <c r="S395" s="2"/>
    </row>
    <row r="396" spans="1:19" x14ac:dyDescent="0.45">
      <c r="A396" s="4" t="s">
        <v>459</v>
      </c>
      <c r="B396" s="4" t="s">
        <v>433</v>
      </c>
      <c r="C396" s="5">
        <v>2</v>
      </c>
      <c r="D396" s="5">
        <v>1554</v>
      </c>
      <c r="E396" s="5">
        <v>398</v>
      </c>
      <c r="F396" s="5">
        <v>205</v>
      </c>
      <c r="G396" s="5">
        <v>93</v>
      </c>
      <c r="H396" s="5">
        <v>1349</v>
      </c>
      <c r="I396" s="6">
        <v>5</v>
      </c>
      <c r="J396" s="6">
        <v>13.9</v>
      </c>
      <c r="K396" s="6">
        <v>28</v>
      </c>
      <c r="L396" s="6">
        <v>28</v>
      </c>
      <c r="M396" s="4" t="str">
        <f t="shared" si="18"/>
        <v>OK</v>
      </c>
      <c r="N396" s="7">
        <f t="shared" si="19"/>
        <v>4.5552477685441677E-3</v>
      </c>
      <c r="O396" s="7">
        <f>SUMIFS($D$2:D396,$B$2:B396,B396)/SUMIFS($D$2:$D$741,$B$2:$B$741,B396)</f>
        <v>0.95688929927157074</v>
      </c>
      <c r="P396" s="4" t="b">
        <f t="shared" si="20"/>
        <v>0</v>
      </c>
      <c r="Q396" s="2"/>
      <c r="R396" s="2"/>
      <c r="S396" s="2"/>
    </row>
    <row r="397" spans="1:19" x14ac:dyDescent="0.45">
      <c r="A397" s="4" t="s">
        <v>460</v>
      </c>
      <c r="B397" s="4" t="s">
        <v>433</v>
      </c>
      <c r="C397" s="5">
        <v>1</v>
      </c>
      <c r="D397" s="5">
        <v>1456</v>
      </c>
      <c r="E397" s="5">
        <v>1456</v>
      </c>
      <c r="F397" s="5">
        <v>970</v>
      </c>
      <c r="G397" s="5">
        <v>207</v>
      </c>
      <c r="H397" s="5">
        <v>470</v>
      </c>
      <c r="I397" s="6">
        <v>13</v>
      </c>
      <c r="J397" s="6">
        <v>13.9</v>
      </c>
      <c r="K397" s="6">
        <v>21</v>
      </c>
      <c r="L397" s="6">
        <v>21</v>
      </c>
      <c r="M397" s="4" t="str">
        <f t="shared" si="18"/>
        <v>OK</v>
      </c>
      <c r="N397" s="7">
        <f t="shared" si="19"/>
        <v>4.2679798912485896E-3</v>
      </c>
      <c r="O397" s="7">
        <f>SUMIFS($D$2:D397,$B$2:B397,B397)/SUMIFS($D$2:$D$741,$B$2:$B$741,B397)</f>
        <v>0.96115727916281934</v>
      </c>
      <c r="P397" s="4" t="b">
        <f t="shared" si="20"/>
        <v>0</v>
      </c>
      <c r="Q397" s="2"/>
      <c r="R397" s="2"/>
      <c r="S397" s="2"/>
    </row>
    <row r="398" spans="1:19" x14ac:dyDescent="0.45">
      <c r="A398" s="4" t="s">
        <v>461</v>
      </c>
      <c r="B398" s="4" t="s">
        <v>433</v>
      </c>
      <c r="C398" s="5">
        <v>2</v>
      </c>
      <c r="D398" s="5">
        <v>1395</v>
      </c>
      <c r="E398" s="5">
        <v>0</v>
      </c>
      <c r="F398" s="5">
        <v>34</v>
      </c>
      <c r="G398" s="5">
        <v>34</v>
      </c>
      <c r="H398" s="5">
        <v>1361</v>
      </c>
      <c r="I398" s="6">
        <v>6</v>
      </c>
      <c r="J398" s="6">
        <v>10</v>
      </c>
      <c r="K398" s="6">
        <v>23</v>
      </c>
      <c r="L398" s="6">
        <v>23</v>
      </c>
      <c r="M398" s="4" t="str">
        <f t="shared" si="18"/>
        <v>OK</v>
      </c>
      <c r="N398" s="7">
        <f t="shared" si="19"/>
        <v>4.0891702941564436E-3</v>
      </c>
      <c r="O398" s="7">
        <f>SUMIFS($D$2:D398,$B$2:B398,B398)/SUMIFS($D$2:$D$741,$B$2:$B$741,B398)</f>
        <v>0.9652464494569758</v>
      </c>
      <c r="P398" s="4" t="b">
        <f t="shared" si="20"/>
        <v>0</v>
      </c>
      <c r="Q398" s="2"/>
      <c r="R398" s="2"/>
      <c r="S398" s="2"/>
    </row>
    <row r="399" spans="1:19" x14ac:dyDescent="0.45">
      <c r="A399" s="4" t="s">
        <v>462</v>
      </c>
      <c r="B399" s="4" t="s">
        <v>433</v>
      </c>
      <c r="C399" s="5">
        <v>2</v>
      </c>
      <c r="D399" s="5">
        <v>1357</v>
      </c>
      <c r="E399" s="5">
        <v>313</v>
      </c>
      <c r="F399" s="5">
        <v>34</v>
      </c>
      <c r="G399" s="5">
        <v>16</v>
      </c>
      <c r="H399" s="5">
        <v>1323</v>
      </c>
      <c r="I399" s="6">
        <v>82</v>
      </c>
      <c r="J399" s="6">
        <v>126.2</v>
      </c>
      <c r="K399" s="6">
        <v>410</v>
      </c>
      <c r="L399" s="6">
        <v>410</v>
      </c>
      <c r="M399" s="4" t="str">
        <f t="shared" si="18"/>
        <v>OK</v>
      </c>
      <c r="N399" s="7">
        <f t="shared" si="19"/>
        <v>3.9777807090826478E-3</v>
      </c>
      <c r="O399" s="7">
        <f>SUMIFS($D$2:D399,$B$2:B399,B399)/SUMIFS($D$2:$D$741,$B$2:$B$741,B399)</f>
        <v>0.96922423016605841</v>
      </c>
      <c r="P399" s="4" t="b">
        <f t="shared" si="20"/>
        <v>0</v>
      </c>
      <c r="Q399" s="2"/>
      <c r="R399" s="2"/>
      <c r="S399" s="2"/>
    </row>
    <row r="400" spans="1:19" x14ac:dyDescent="0.45">
      <c r="A400" s="4" t="s">
        <v>463</v>
      </c>
      <c r="B400" s="4" t="s">
        <v>433</v>
      </c>
      <c r="C400" s="5">
        <v>2</v>
      </c>
      <c r="D400" s="5">
        <v>1210</v>
      </c>
      <c r="E400" s="5">
        <v>254</v>
      </c>
      <c r="F400" s="5">
        <v>32</v>
      </c>
      <c r="G400" s="5">
        <v>13</v>
      </c>
      <c r="H400" s="5">
        <v>1178</v>
      </c>
      <c r="I400" s="6">
        <v>20</v>
      </c>
      <c r="J400" s="6">
        <v>27.2</v>
      </c>
      <c r="K400" s="6">
        <v>67</v>
      </c>
      <c r="L400" s="6">
        <v>67</v>
      </c>
      <c r="M400" s="4" t="str">
        <f t="shared" si="18"/>
        <v>OK</v>
      </c>
      <c r="N400" s="7">
        <f t="shared" si="19"/>
        <v>3.5468788931392811E-3</v>
      </c>
      <c r="O400" s="7">
        <f>SUMIFS($D$2:D400,$B$2:B400,B400)/SUMIFS($D$2:$D$741,$B$2:$B$741,B400)</f>
        <v>0.97277110905919772</v>
      </c>
      <c r="P400" s="4" t="b">
        <f t="shared" si="20"/>
        <v>0</v>
      </c>
      <c r="Q400" s="2"/>
      <c r="R400" s="2"/>
      <c r="S400" s="2"/>
    </row>
    <row r="401" spans="1:19" x14ac:dyDescent="0.45">
      <c r="A401" s="4" t="s">
        <v>464</v>
      </c>
      <c r="B401" s="4" t="s">
        <v>433</v>
      </c>
      <c r="C401" s="5">
        <v>2</v>
      </c>
      <c r="D401" s="5">
        <v>942</v>
      </c>
      <c r="E401" s="5">
        <v>0</v>
      </c>
      <c r="F401" s="5">
        <v>4</v>
      </c>
      <c r="G401" s="5">
        <v>4</v>
      </c>
      <c r="H401" s="5">
        <v>906</v>
      </c>
      <c r="I401" s="6">
        <v>3</v>
      </c>
      <c r="J401" s="6">
        <v>8.9</v>
      </c>
      <c r="K401" s="6">
        <v>13</v>
      </c>
      <c r="L401" s="6">
        <v>13</v>
      </c>
      <c r="M401" s="4" t="str">
        <f t="shared" si="18"/>
        <v>OK</v>
      </c>
      <c r="N401" s="7">
        <f t="shared" si="19"/>
        <v>2.7612891878819857E-3</v>
      </c>
      <c r="O401" s="7">
        <f>SUMIFS($D$2:D401,$B$2:B401,B401)/SUMIFS($D$2:$D$741,$B$2:$B$741,B401)</f>
        <v>0.97553239824707971</v>
      </c>
      <c r="P401" s="4" t="b">
        <f t="shared" si="20"/>
        <v>0</v>
      </c>
      <c r="Q401" s="2"/>
      <c r="R401" s="2"/>
      <c r="S401" s="2"/>
    </row>
    <row r="402" spans="1:19" x14ac:dyDescent="0.45">
      <c r="A402" s="4" t="s">
        <v>465</v>
      </c>
      <c r="B402" s="4" t="s">
        <v>433</v>
      </c>
      <c r="C402" s="5">
        <v>2</v>
      </c>
      <c r="D402" s="5">
        <v>805</v>
      </c>
      <c r="E402" s="5">
        <v>154</v>
      </c>
      <c r="F402" s="5">
        <v>492</v>
      </c>
      <c r="G402" s="5">
        <v>476</v>
      </c>
      <c r="H402" s="5">
        <v>313</v>
      </c>
      <c r="I402" s="6">
        <v>10</v>
      </c>
      <c r="J402" s="6">
        <v>121.6</v>
      </c>
      <c r="K402" s="6">
        <v>542</v>
      </c>
      <c r="L402" s="6">
        <v>541.79999999999995</v>
      </c>
      <c r="M402" s="4" t="str">
        <f t="shared" si="18"/>
        <v>OK</v>
      </c>
      <c r="N402" s="7">
        <f t="shared" si="19"/>
        <v>2.3597004206422491E-3</v>
      </c>
      <c r="O402" s="7">
        <f>SUMIFS($D$2:D402,$B$2:B402,B402)/SUMIFS($D$2:$D$741,$B$2:$B$741,B402)</f>
        <v>0.97789209866772198</v>
      </c>
      <c r="P402" s="4" t="b">
        <f t="shared" si="20"/>
        <v>0</v>
      </c>
      <c r="Q402" s="2"/>
      <c r="R402" s="2"/>
      <c r="S402" s="2"/>
    </row>
    <row r="403" spans="1:19" x14ac:dyDescent="0.45">
      <c r="A403" s="4" t="s">
        <v>466</v>
      </c>
      <c r="B403" s="4" t="s">
        <v>433</v>
      </c>
      <c r="C403" s="5">
        <v>1</v>
      </c>
      <c r="D403" s="5">
        <v>770</v>
      </c>
      <c r="E403" s="5">
        <v>412</v>
      </c>
      <c r="F403" s="5">
        <v>490</v>
      </c>
      <c r="G403" s="5">
        <v>224</v>
      </c>
      <c r="H403" s="5">
        <v>280</v>
      </c>
      <c r="I403" s="6">
        <v>303</v>
      </c>
      <c r="J403" s="6">
        <v>293.7</v>
      </c>
      <c r="K403" s="6">
        <v>470</v>
      </c>
      <c r="L403" s="6">
        <v>470.3</v>
      </c>
      <c r="M403" s="4" t="str">
        <f t="shared" si="18"/>
        <v>OK</v>
      </c>
      <c r="N403" s="7">
        <f t="shared" si="19"/>
        <v>2.2571047501795424E-3</v>
      </c>
      <c r="O403" s="7">
        <f>SUMIFS($D$2:D403,$B$2:B403,B403)/SUMIFS($D$2:$D$741,$B$2:$B$741,B403)</f>
        <v>0.98014920341790146</v>
      </c>
      <c r="P403" s="4" t="b">
        <f t="shared" si="20"/>
        <v>0</v>
      </c>
      <c r="Q403" s="2"/>
      <c r="R403" s="2"/>
      <c r="S403" s="2"/>
    </row>
    <row r="404" spans="1:19" x14ac:dyDescent="0.45">
      <c r="A404" s="4" t="s">
        <v>467</v>
      </c>
      <c r="B404" s="4" t="s">
        <v>433</v>
      </c>
      <c r="C404" s="5">
        <v>1</v>
      </c>
      <c r="D404" s="5">
        <v>597</v>
      </c>
      <c r="E404" s="5">
        <v>164</v>
      </c>
      <c r="F404" s="5">
        <v>74</v>
      </c>
      <c r="G404" s="5">
        <v>73</v>
      </c>
      <c r="H404" s="5">
        <v>523</v>
      </c>
      <c r="I404" s="6">
        <v>46</v>
      </c>
      <c r="J404" s="6">
        <v>203.7</v>
      </c>
      <c r="K404" s="6">
        <v>461</v>
      </c>
      <c r="L404" s="6">
        <v>460.8</v>
      </c>
      <c r="M404" s="4" t="str">
        <f t="shared" si="18"/>
        <v>OK</v>
      </c>
      <c r="N404" s="7">
        <f t="shared" si="19"/>
        <v>1.7499890076067362E-3</v>
      </c>
      <c r="O404" s="7">
        <f>SUMIFS($D$2:D404,$B$2:B404,B404)/SUMIFS($D$2:$D$741,$B$2:$B$741,B404)</f>
        <v>0.98189919242550816</v>
      </c>
      <c r="P404" s="4" t="b">
        <f t="shared" si="20"/>
        <v>0</v>
      </c>
      <c r="Q404" s="2"/>
      <c r="R404" s="2"/>
      <c r="S404" s="2"/>
    </row>
    <row r="405" spans="1:19" x14ac:dyDescent="0.45">
      <c r="A405" s="4" t="s">
        <v>468</v>
      </c>
      <c r="B405" s="4" t="s">
        <v>433</v>
      </c>
      <c r="C405" s="5">
        <v>1</v>
      </c>
      <c r="D405" s="5">
        <v>522</v>
      </c>
      <c r="E405" s="5">
        <v>64</v>
      </c>
      <c r="F405" s="5">
        <v>4</v>
      </c>
      <c r="G405" s="5">
        <v>4</v>
      </c>
      <c r="H405" s="5">
        <v>518</v>
      </c>
      <c r="I405" s="6">
        <v>0</v>
      </c>
      <c r="J405" s="6">
        <v>3.8</v>
      </c>
      <c r="K405" s="6">
        <v>0</v>
      </c>
      <c r="L405" s="6">
        <v>0</v>
      </c>
      <c r="M405" s="4" t="str">
        <f t="shared" si="18"/>
        <v>OK</v>
      </c>
      <c r="N405" s="7">
        <f t="shared" si="19"/>
        <v>1.530141142329508E-3</v>
      </c>
      <c r="O405" s="7">
        <f>SUMIFS($D$2:D405,$B$2:B405,B405)/SUMIFS($D$2:$D$741,$B$2:$B$741,B405)</f>
        <v>0.98342933356783768</v>
      </c>
      <c r="P405" s="4" t="b">
        <f t="shared" si="20"/>
        <v>0</v>
      </c>
      <c r="Q405" s="2"/>
      <c r="R405" s="2"/>
      <c r="S405" s="2"/>
    </row>
    <row r="406" spans="1:19" x14ac:dyDescent="0.45">
      <c r="A406" s="4" t="s">
        <v>469</v>
      </c>
      <c r="B406" s="4" t="s">
        <v>433</v>
      </c>
      <c r="C406" s="5">
        <v>2</v>
      </c>
      <c r="D406" s="5">
        <v>481</v>
      </c>
      <c r="E406" s="5">
        <v>0</v>
      </c>
      <c r="F406" s="5">
        <v>0</v>
      </c>
      <c r="G406" s="5">
        <v>0</v>
      </c>
      <c r="H406" s="5">
        <v>481</v>
      </c>
      <c r="I406" s="6">
        <v>12</v>
      </c>
      <c r="J406" s="6">
        <v>33</v>
      </c>
      <c r="K406" s="6">
        <v>70</v>
      </c>
      <c r="L406" s="6">
        <v>70</v>
      </c>
      <c r="M406" s="4" t="str">
        <f t="shared" si="18"/>
        <v>OK</v>
      </c>
      <c r="N406" s="7">
        <f t="shared" si="19"/>
        <v>1.4099576426446232E-3</v>
      </c>
      <c r="O406" s="7">
        <f>SUMIFS($D$2:D406,$B$2:B406,B406)/SUMIFS($D$2:$D$741,$B$2:$B$741,B406)</f>
        <v>0.9848392912104823</v>
      </c>
      <c r="P406" s="4" t="b">
        <f t="shared" si="20"/>
        <v>0</v>
      </c>
      <c r="Q406" s="2"/>
      <c r="R406" s="2"/>
      <c r="S406" s="2"/>
    </row>
    <row r="407" spans="1:19" x14ac:dyDescent="0.45">
      <c r="A407" s="4" t="s">
        <v>470</v>
      </c>
      <c r="B407" s="4" t="s">
        <v>433</v>
      </c>
      <c r="C407" s="5">
        <v>2</v>
      </c>
      <c r="D407" s="5">
        <v>466</v>
      </c>
      <c r="E407" s="5">
        <v>96</v>
      </c>
      <c r="F407" s="5">
        <v>110</v>
      </c>
      <c r="G407" s="5">
        <v>102</v>
      </c>
      <c r="H407" s="5">
        <v>356</v>
      </c>
      <c r="I407" s="6">
        <v>2</v>
      </c>
      <c r="J407" s="6">
        <v>14.8</v>
      </c>
      <c r="K407" s="6">
        <v>22</v>
      </c>
      <c r="L407" s="6">
        <v>22</v>
      </c>
      <c r="M407" s="4" t="str">
        <f t="shared" si="18"/>
        <v>OK</v>
      </c>
      <c r="N407" s="7">
        <f t="shared" si="19"/>
        <v>1.3659880695891776E-3</v>
      </c>
      <c r="O407" s="7">
        <f>SUMIFS($D$2:D407,$B$2:B407,B407)/SUMIFS($D$2:$D$741,$B$2:$B$741,B407)</f>
        <v>0.98620527928007151</v>
      </c>
      <c r="P407" s="4" t="b">
        <f t="shared" si="20"/>
        <v>0</v>
      </c>
      <c r="Q407" s="2"/>
      <c r="R407" s="2"/>
      <c r="S407" s="2"/>
    </row>
    <row r="408" spans="1:19" x14ac:dyDescent="0.45">
      <c r="A408" s="4" t="s">
        <v>471</v>
      </c>
      <c r="B408" s="4" t="s">
        <v>433</v>
      </c>
      <c r="C408" s="5">
        <v>2</v>
      </c>
      <c r="D408" s="5">
        <v>388</v>
      </c>
      <c r="E408" s="5">
        <v>0</v>
      </c>
      <c r="F408" s="5">
        <v>0</v>
      </c>
      <c r="G408" s="5">
        <v>0</v>
      </c>
      <c r="H408" s="5">
        <v>388</v>
      </c>
      <c r="I408" s="6">
        <v>7</v>
      </c>
      <c r="J408" s="6">
        <v>11.3</v>
      </c>
      <c r="K408" s="6">
        <v>27</v>
      </c>
      <c r="L408" s="6">
        <v>27</v>
      </c>
      <c r="M408" s="4" t="str">
        <f t="shared" si="18"/>
        <v>OK</v>
      </c>
      <c r="N408" s="7">
        <f t="shared" si="19"/>
        <v>1.1373462897008603E-3</v>
      </c>
      <c r="O408" s="7">
        <f>SUMIFS($D$2:D408,$B$2:B408,B408)/SUMIFS($D$2:$D$741,$B$2:$B$741,B408)</f>
        <v>0.98734262556977237</v>
      </c>
      <c r="P408" s="4" t="b">
        <f t="shared" si="20"/>
        <v>0</v>
      </c>
      <c r="Q408" s="2"/>
      <c r="R408" s="2"/>
      <c r="S408" s="2"/>
    </row>
    <row r="409" spans="1:19" x14ac:dyDescent="0.45">
      <c r="A409" s="4" t="s">
        <v>472</v>
      </c>
      <c r="B409" s="4" t="s">
        <v>433</v>
      </c>
      <c r="C409" s="5">
        <v>2</v>
      </c>
      <c r="D409" s="5">
        <v>366</v>
      </c>
      <c r="E409" s="5">
        <v>0</v>
      </c>
      <c r="F409" s="5">
        <v>0</v>
      </c>
      <c r="G409" s="5">
        <v>0</v>
      </c>
      <c r="H409" s="5">
        <v>366</v>
      </c>
      <c r="I409" s="6">
        <v>2</v>
      </c>
      <c r="J409" s="6">
        <v>8.8000000000000007</v>
      </c>
      <c r="K409" s="6">
        <v>21</v>
      </c>
      <c r="L409" s="6">
        <v>21</v>
      </c>
      <c r="M409" s="4" t="str">
        <f t="shared" si="18"/>
        <v>OK</v>
      </c>
      <c r="N409" s="7">
        <f t="shared" si="19"/>
        <v>1.0728575825528733E-3</v>
      </c>
      <c r="O409" s="7">
        <f>SUMIFS($D$2:D409,$B$2:B409,B409)/SUMIFS($D$2:$D$741,$B$2:$B$741,B409)</f>
        <v>0.9884154831523253</v>
      </c>
      <c r="P409" s="4" t="b">
        <f t="shared" si="20"/>
        <v>0</v>
      </c>
      <c r="Q409" s="2"/>
      <c r="R409" s="2"/>
      <c r="S409" s="2"/>
    </row>
    <row r="410" spans="1:19" x14ac:dyDescent="0.45">
      <c r="A410" s="4" t="s">
        <v>473</v>
      </c>
      <c r="B410" s="4" t="s">
        <v>433</v>
      </c>
      <c r="C410" s="5">
        <v>1</v>
      </c>
      <c r="D410" s="5">
        <v>347</v>
      </c>
      <c r="E410" s="5">
        <v>70</v>
      </c>
      <c r="F410" s="5">
        <v>53</v>
      </c>
      <c r="G410" s="5">
        <v>40</v>
      </c>
      <c r="H410" s="5">
        <v>294</v>
      </c>
      <c r="I410" s="6">
        <v>148</v>
      </c>
      <c r="J410" s="6">
        <v>202.4</v>
      </c>
      <c r="K410" s="6">
        <v>568</v>
      </c>
      <c r="L410" s="6">
        <v>567.6</v>
      </c>
      <c r="M410" s="4" t="str">
        <f t="shared" si="18"/>
        <v>OK</v>
      </c>
      <c r="N410" s="7">
        <f t="shared" si="19"/>
        <v>1.0171627900159757E-3</v>
      </c>
      <c r="O410" s="7">
        <f>SUMIFS($D$2:D410,$B$2:B410,B410)/SUMIFS($D$2:$D$741,$B$2:$B$741,B410)</f>
        <v>0.98943264594234126</v>
      </c>
      <c r="P410" s="4" t="b">
        <f t="shared" si="20"/>
        <v>0</v>
      </c>
      <c r="Q410" s="2"/>
      <c r="R410" s="2"/>
      <c r="S410" s="2"/>
    </row>
    <row r="411" spans="1:19" x14ac:dyDescent="0.45">
      <c r="A411" s="4" t="s">
        <v>474</v>
      </c>
      <c r="B411" s="4" t="s">
        <v>433</v>
      </c>
      <c r="C411" s="5">
        <v>2</v>
      </c>
      <c r="D411" s="5">
        <v>329</v>
      </c>
      <c r="E411" s="5">
        <v>17</v>
      </c>
      <c r="F411" s="5">
        <v>1</v>
      </c>
      <c r="G411" s="5">
        <v>1</v>
      </c>
      <c r="H411" s="5">
        <v>328</v>
      </c>
      <c r="I411" s="6">
        <v>27</v>
      </c>
      <c r="J411" s="6">
        <v>29.1</v>
      </c>
      <c r="K411" s="6">
        <v>50</v>
      </c>
      <c r="L411" s="6">
        <v>50</v>
      </c>
      <c r="M411" s="4" t="str">
        <f t="shared" si="18"/>
        <v>OK</v>
      </c>
      <c r="N411" s="7">
        <f t="shared" si="19"/>
        <v>9.6439930234944085E-4</v>
      </c>
      <c r="O411" s="7">
        <f>SUMIFS($D$2:D411,$B$2:B411,B411)/SUMIFS($D$2:$D$741,$B$2:$B$741,B411)</f>
        <v>0.99039704524469063</v>
      </c>
      <c r="P411" s="4" t="b">
        <f t="shared" si="20"/>
        <v>0</v>
      </c>
      <c r="Q411" s="2"/>
      <c r="R411" s="2"/>
      <c r="S411" s="2"/>
    </row>
    <row r="412" spans="1:19" x14ac:dyDescent="0.45">
      <c r="A412" s="4" t="s">
        <v>475</v>
      </c>
      <c r="B412" s="4" t="s">
        <v>433</v>
      </c>
      <c r="C412" s="5">
        <v>2</v>
      </c>
      <c r="D412" s="5">
        <v>320</v>
      </c>
      <c r="E412" s="5">
        <v>60</v>
      </c>
      <c r="F412" s="5">
        <v>31</v>
      </c>
      <c r="G412" s="5">
        <v>18</v>
      </c>
      <c r="H412" s="5">
        <v>289</v>
      </c>
      <c r="I412" s="6">
        <v>7</v>
      </c>
      <c r="J412" s="6">
        <v>18.3</v>
      </c>
      <c r="K412" s="6">
        <v>41</v>
      </c>
      <c r="L412" s="6">
        <v>41</v>
      </c>
      <c r="M412" s="4" t="str">
        <f t="shared" si="18"/>
        <v>OK</v>
      </c>
      <c r="N412" s="7">
        <f t="shared" si="19"/>
        <v>9.380175585161735E-4</v>
      </c>
      <c r="O412" s="7">
        <f>SUMIFS($D$2:D412,$B$2:B412,B412)/SUMIFS($D$2:$D$741,$B$2:$B$741,B412)</f>
        <v>0.99133506280320682</v>
      </c>
      <c r="P412" s="4" t="b">
        <f t="shared" si="20"/>
        <v>0</v>
      </c>
      <c r="Q412" s="2"/>
      <c r="R412" s="2"/>
      <c r="S412" s="2"/>
    </row>
    <row r="413" spans="1:19" x14ac:dyDescent="0.45">
      <c r="A413" s="4" t="s">
        <v>476</v>
      </c>
      <c r="B413" s="4" t="s">
        <v>433</v>
      </c>
      <c r="C413" s="5">
        <v>2</v>
      </c>
      <c r="D413" s="5">
        <v>319</v>
      </c>
      <c r="E413" s="5">
        <v>110</v>
      </c>
      <c r="F413" s="5">
        <v>33</v>
      </c>
      <c r="G413" s="5">
        <v>29</v>
      </c>
      <c r="H413" s="5">
        <v>283</v>
      </c>
      <c r="I413" s="6">
        <v>2</v>
      </c>
      <c r="J413" s="6">
        <v>8.6</v>
      </c>
      <c r="K413" s="6">
        <v>13</v>
      </c>
      <c r="L413" s="6">
        <v>12.6</v>
      </c>
      <c r="M413" s="4" t="str">
        <f t="shared" si="18"/>
        <v>OK</v>
      </c>
      <c r="N413" s="7">
        <f t="shared" si="19"/>
        <v>9.3508625364581042E-4</v>
      </c>
      <c r="O413" s="7">
        <f>SUMIFS($D$2:D413,$B$2:B413,B413)/SUMIFS($D$2:$D$741,$B$2:$B$741,B413)</f>
        <v>0.99227014905685262</v>
      </c>
      <c r="P413" s="4" t="b">
        <f t="shared" si="20"/>
        <v>0</v>
      </c>
      <c r="Q413" s="2"/>
      <c r="R413" s="2"/>
      <c r="S413" s="2"/>
    </row>
    <row r="414" spans="1:19" x14ac:dyDescent="0.45">
      <c r="A414" s="4" t="s">
        <v>477</v>
      </c>
      <c r="B414" s="4" t="s">
        <v>433</v>
      </c>
      <c r="C414" s="5">
        <v>2</v>
      </c>
      <c r="D414" s="5">
        <v>268</v>
      </c>
      <c r="E414" s="5">
        <v>25</v>
      </c>
      <c r="F414" s="5">
        <v>8</v>
      </c>
      <c r="G414" s="5">
        <v>8</v>
      </c>
      <c r="H414" s="5">
        <v>260</v>
      </c>
      <c r="I414" s="6">
        <v>0</v>
      </c>
      <c r="J414" s="6">
        <v>1.5</v>
      </c>
      <c r="K414" s="6">
        <v>4</v>
      </c>
      <c r="L414" s="6">
        <v>4</v>
      </c>
      <c r="M414" s="4" t="str">
        <f t="shared" si="18"/>
        <v>OK</v>
      </c>
      <c r="N414" s="7">
        <f t="shared" si="19"/>
        <v>7.8558970525729533E-4</v>
      </c>
      <c r="O414" s="7">
        <f>SUMIFS($D$2:D414,$B$2:B414,B414)/SUMIFS($D$2:$D$741,$B$2:$B$741,B414)</f>
        <v>0.99305573876210995</v>
      </c>
      <c r="P414" s="4" t="b">
        <f t="shared" si="20"/>
        <v>0</v>
      </c>
      <c r="Q414" s="2"/>
      <c r="R414" s="2"/>
      <c r="S414" s="2"/>
    </row>
    <row r="415" spans="1:19" x14ac:dyDescent="0.45">
      <c r="A415" s="4" t="s">
        <v>478</v>
      </c>
      <c r="B415" s="4" t="s">
        <v>433</v>
      </c>
      <c r="C415" s="5">
        <v>2</v>
      </c>
      <c r="D415" s="5">
        <v>246</v>
      </c>
      <c r="E415" s="5">
        <v>0</v>
      </c>
      <c r="F415" s="5">
        <v>24</v>
      </c>
      <c r="G415" s="5">
        <v>24</v>
      </c>
      <c r="H415" s="5">
        <v>222</v>
      </c>
      <c r="I415" s="6">
        <v>0</v>
      </c>
      <c r="J415" s="6">
        <v>2</v>
      </c>
      <c r="K415" s="6">
        <v>3</v>
      </c>
      <c r="L415" s="6">
        <v>3</v>
      </c>
      <c r="M415" s="4" t="str">
        <f t="shared" si="18"/>
        <v>OK</v>
      </c>
      <c r="N415" s="7">
        <f t="shared" si="19"/>
        <v>7.2110099810930833E-4</v>
      </c>
      <c r="O415" s="7">
        <f>SUMIFS($D$2:D415,$B$2:B415,B415)/SUMIFS($D$2:$D$741,$B$2:$B$741,B415)</f>
        <v>0.99377683976021924</v>
      </c>
      <c r="P415" s="4" t="b">
        <f t="shared" si="20"/>
        <v>0</v>
      </c>
      <c r="Q415" s="2"/>
      <c r="R415" s="2"/>
      <c r="S415" s="2"/>
    </row>
    <row r="416" spans="1:19" x14ac:dyDescent="0.45">
      <c r="A416" s="4" t="s">
        <v>479</v>
      </c>
      <c r="B416" s="4" t="s">
        <v>433</v>
      </c>
      <c r="C416" s="5">
        <v>2</v>
      </c>
      <c r="D416" s="5">
        <v>213</v>
      </c>
      <c r="E416" s="5">
        <v>0</v>
      </c>
      <c r="F416" s="5">
        <v>0</v>
      </c>
      <c r="G416" s="5">
        <v>0</v>
      </c>
      <c r="H416" s="5">
        <v>213</v>
      </c>
      <c r="I416" s="6">
        <v>3</v>
      </c>
      <c r="J416" s="6">
        <v>14</v>
      </c>
      <c r="K416" s="6">
        <v>36</v>
      </c>
      <c r="L416" s="6">
        <v>35.6</v>
      </c>
      <c r="M416" s="4" t="str">
        <f t="shared" si="18"/>
        <v>OK</v>
      </c>
      <c r="N416" s="7">
        <f t="shared" si="19"/>
        <v>6.2436793738732794E-4</v>
      </c>
      <c r="O416" s="7">
        <f>SUMIFS($D$2:D416,$B$2:B416,B416)/SUMIFS($D$2:$D$741,$B$2:$B$741,B416)</f>
        <v>0.99440120769760654</v>
      </c>
      <c r="P416" s="4" t="b">
        <f t="shared" si="20"/>
        <v>0</v>
      </c>
      <c r="Q416" s="2"/>
      <c r="R416" s="2"/>
      <c r="S416" s="2"/>
    </row>
    <row r="417" spans="1:19" x14ac:dyDescent="0.45">
      <c r="A417" s="4" t="s">
        <v>480</v>
      </c>
      <c r="B417" s="4" t="s">
        <v>433</v>
      </c>
      <c r="C417" s="5">
        <v>2</v>
      </c>
      <c r="D417" s="5">
        <v>183</v>
      </c>
      <c r="E417" s="5">
        <v>0</v>
      </c>
      <c r="F417" s="5">
        <v>10</v>
      </c>
      <c r="G417" s="5">
        <v>10</v>
      </c>
      <c r="H417" s="5">
        <v>173</v>
      </c>
      <c r="I417" s="6">
        <v>9</v>
      </c>
      <c r="J417" s="6">
        <v>21.1</v>
      </c>
      <c r="K417" s="6">
        <v>62</v>
      </c>
      <c r="L417" s="6">
        <v>61.6</v>
      </c>
      <c r="M417" s="4" t="str">
        <f t="shared" si="18"/>
        <v>OK</v>
      </c>
      <c r="N417" s="7">
        <f t="shared" si="19"/>
        <v>5.3642879127643666E-4</v>
      </c>
      <c r="O417" s="7">
        <f>SUMIFS($D$2:D417,$B$2:B417,B417)/SUMIFS($D$2:$D$741,$B$2:$B$741,B417)</f>
        <v>0.994937636488883</v>
      </c>
      <c r="P417" s="4" t="b">
        <f t="shared" si="20"/>
        <v>0</v>
      </c>
      <c r="Q417" s="2"/>
      <c r="R417" s="2"/>
      <c r="S417" s="2"/>
    </row>
    <row r="418" spans="1:19" x14ac:dyDescent="0.45">
      <c r="A418" s="4" t="s">
        <v>481</v>
      </c>
      <c r="B418" s="4" t="s">
        <v>433</v>
      </c>
      <c r="C418" s="5">
        <v>2</v>
      </c>
      <c r="D418" s="5">
        <v>166</v>
      </c>
      <c r="E418" s="5">
        <v>0</v>
      </c>
      <c r="F418" s="5">
        <v>0</v>
      </c>
      <c r="G418" s="5">
        <v>0</v>
      </c>
      <c r="H418" s="5">
        <v>166</v>
      </c>
      <c r="I418" s="6">
        <v>3</v>
      </c>
      <c r="J418" s="6">
        <v>5.8</v>
      </c>
      <c r="K418" s="6">
        <v>10</v>
      </c>
      <c r="L418" s="6">
        <v>10</v>
      </c>
      <c r="M418" s="4" t="str">
        <f t="shared" si="18"/>
        <v>OK</v>
      </c>
      <c r="N418" s="7">
        <f t="shared" si="19"/>
        <v>4.8659660848026498E-4</v>
      </c>
      <c r="O418" s="7">
        <f>SUMIFS($D$2:D418,$B$2:B418,B418)/SUMIFS($D$2:$D$741,$B$2:$B$741,B418)</f>
        <v>0.99542423309736328</v>
      </c>
      <c r="P418" s="4" t="b">
        <f t="shared" si="20"/>
        <v>0</v>
      </c>
      <c r="Q418" s="2"/>
      <c r="R418" s="2"/>
      <c r="S418" s="2"/>
    </row>
    <row r="419" spans="1:19" x14ac:dyDescent="0.45">
      <c r="A419" s="4" t="s">
        <v>482</v>
      </c>
      <c r="B419" s="4" t="s">
        <v>433</v>
      </c>
      <c r="C419" s="5">
        <v>1</v>
      </c>
      <c r="D419" s="5">
        <v>159</v>
      </c>
      <c r="E419" s="5">
        <v>59</v>
      </c>
      <c r="F419" s="5">
        <v>6</v>
      </c>
      <c r="G419" s="5">
        <v>5</v>
      </c>
      <c r="H419" s="5">
        <v>153</v>
      </c>
      <c r="I419" s="6">
        <v>3</v>
      </c>
      <c r="J419" s="6">
        <v>5.2</v>
      </c>
      <c r="K419" s="6">
        <v>12</v>
      </c>
      <c r="L419" s="6">
        <v>12</v>
      </c>
      <c r="M419" s="4" t="str">
        <f t="shared" si="18"/>
        <v>OK</v>
      </c>
      <c r="N419" s="7">
        <f t="shared" si="19"/>
        <v>4.6607747438772367E-4</v>
      </c>
      <c r="O419" s="7">
        <f>SUMIFS($D$2:D419,$B$2:B419,B419)/SUMIFS($D$2:$D$741,$B$2:$B$741,B419)</f>
        <v>0.99589031057175104</v>
      </c>
      <c r="P419" s="4" t="b">
        <f t="shared" si="20"/>
        <v>0</v>
      </c>
      <c r="Q419" s="2"/>
      <c r="R419" s="2"/>
      <c r="S419" s="2"/>
    </row>
    <row r="420" spans="1:19" x14ac:dyDescent="0.45">
      <c r="A420" s="4" t="s">
        <v>483</v>
      </c>
      <c r="B420" s="4" t="s">
        <v>433</v>
      </c>
      <c r="C420" s="5">
        <v>2</v>
      </c>
      <c r="D420" s="5">
        <v>132</v>
      </c>
      <c r="E420" s="5">
        <v>0</v>
      </c>
      <c r="F420" s="5">
        <v>0</v>
      </c>
      <c r="G420" s="5">
        <v>0</v>
      </c>
      <c r="H420" s="5">
        <v>132</v>
      </c>
      <c r="I420" s="6">
        <v>4</v>
      </c>
      <c r="J420" s="6">
        <v>7.5</v>
      </c>
      <c r="K420" s="6">
        <v>12</v>
      </c>
      <c r="L420" s="6">
        <v>11.9</v>
      </c>
      <c r="M420" s="4" t="str">
        <f t="shared" si="18"/>
        <v>OK</v>
      </c>
      <c r="N420" s="7">
        <f t="shared" si="19"/>
        <v>3.8693224288792157E-4</v>
      </c>
      <c r="O420" s="7">
        <f>SUMIFS($D$2:D420,$B$2:B420,B420)/SUMIFS($D$2:$D$741,$B$2:$B$741,B420)</f>
        <v>0.99627724281463892</v>
      </c>
      <c r="P420" s="4" t="b">
        <f t="shared" si="20"/>
        <v>0</v>
      </c>
      <c r="Q420" s="2"/>
      <c r="R420" s="2"/>
      <c r="S420" s="2"/>
    </row>
    <row r="421" spans="1:19" x14ac:dyDescent="0.45">
      <c r="A421" s="4" t="s">
        <v>484</v>
      </c>
      <c r="B421" s="4" t="s">
        <v>433</v>
      </c>
      <c r="C421" s="5">
        <v>2</v>
      </c>
      <c r="D421" s="5">
        <v>131</v>
      </c>
      <c r="E421" s="5">
        <v>0</v>
      </c>
      <c r="F421" s="5">
        <v>0</v>
      </c>
      <c r="G421" s="5">
        <v>0</v>
      </c>
      <c r="H421" s="5">
        <v>131</v>
      </c>
      <c r="I421" s="6">
        <v>3</v>
      </c>
      <c r="J421" s="6">
        <v>7.3</v>
      </c>
      <c r="K421" s="6">
        <v>15</v>
      </c>
      <c r="L421" s="6">
        <v>15</v>
      </c>
      <c r="M421" s="4" t="str">
        <f t="shared" si="18"/>
        <v>OK</v>
      </c>
      <c r="N421" s="7">
        <f t="shared" si="19"/>
        <v>3.8400093801755849E-4</v>
      </c>
      <c r="O421" s="7">
        <f>SUMIFS($D$2:D421,$B$2:B421,B421)/SUMIFS($D$2:$D$741,$B$2:$B$741,B421)</f>
        <v>0.99666124375265652</v>
      </c>
      <c r="P421" s="4" t="b">
        <f t="shared" si="20"/>
        <v>0</v>
      </c>
      <c r="Q421" s="2"/>
      <c r="R421" s="2"/>
      <c r="S421" s="2"/>
    </row>
    <row r="422" spans="1:19" x14ac:dyDescent="0.45">
      <c r="A422" s="4" t="s">
        <v>485</v>
      </c>
      <c r="B422" s="4" t="s">
        <v>433</v>
      </c>
      <c r="C422" s="5">
        <v>2</v>
      </c>
      <c r="D422" s="5">
        <v>117</v>
      </c>
      <c r="E422" s="5">
        <v>0</v>
      </c>
      <c r="F422" s="5">
        <v>1</v>
      </c>
      <c r="G422" s="5">
        <v>1</v>
      </c>
      <c r="H422" s="5">
        <v>116</v>
      </c>
      <c r="I422" s="6">
        <v>1</v>
      </c>
      <c r="J422" s="6">
        <v>34.6</v>
      </c>
      <c r="K422" s="6">
        <v>150</v>
      </c>
      <c r="L422" s="6">
        <v>150.5</v>
      </c>
      <c r="M422" s="4" t="str">
        <f t="shared" si="18"/>
        <v>OK</v>
      </c>
      <c r="N422" s="7">
        <f t="shared" si="19"/>
        <v>3.4296266983247593E-4</v>
      </c>
      <c r="O422" s="7">
        <f>SUMIFS($D$2:D422,$B$2:B422,B422)/SUMIFS($D$2:$D$741,$B$2:$B$741,B422)</f>
        <v>0.99700420642248899</v>
      </c>
      <c r="P422" s="4" t="b">
        <f t="shared" si="20"/>
        <v>0</v>
      </c>
      <c r="Q422" s="2"/>
      <c r="R422" s="2"/>
      <c r="S422" s="2"/>
    </row>
    <row r="423" spans="1:19" x14ac:dyDescent="0.45">
      <c r="A423" s="4" t="s">
        <v>486</v>
      </c>
      <c r="B423" s="4" t="s">
        <v>433</v>
      </c>
      <c r="C423" s="5">
        <v>1</v>
      </c>
      <c r="D423" s="5">
        <v>110</v>
      </c>
      <c r="E423" s="5">
        <v>55</v>
      </c>
      <c r="F423" s="5">
        <v>56</v>
      </c>
      <c r="G423" s="5">
        <v>54</v>
      </c>
      <c r="H423" s="5">
        <v>54</v>
      </c>
      <c r="I423" s="6">
        <v>26</v>
      </c>
      <c r="J423" s="6">
        <v>103.2</v>
      </c>
      <c r="K423" s="6">
        <v>329</v>
      </c>
      <c r="L423" s="6">
        <v>328.6</v>
      </c>
      <c r="M423" s="4" t="str">
        <f t="shared" si="18"/>
        <v>OK</v>
      </c>
      <c r="N423" s="7">
        <f t="shared" si="19"/>
        <v>3.2244353573993462E-4</v>
      </c>
      <c r="O423" s="7">
        <f>SUMIFS($D$2:D423,$B$2:B423,B423)/SUMIFS($D$2:$D$741,$B$2:$B$741,B423)</f>
        <v>0.99732664995822895</v>
      </c>
      <c r="P423" s="4" t="b">
        <f t="shared" si="20"/>
        <v>0</v>
      </c>
      <c r="Q423" s="2"/>
      <c r="R423" s="2"/>
      <c r="S423" s="2"/>
    </row>
    <row r="424" spans="1:19" x14ac:dyDescent="0.45">
      <c r="A424" s="4" t="s">
        <v>487</v>
      </c>
      <c r="B424" s="4" t="s">
        <v>433</v>
      </c>
      <c r="C424" s="5">
        <v>2</v>
      </c>
      <c r="D424" s="5">
        <v>103</v>
      </c>
      <c r="E424" s="5">
        <v>23</v>
      </c>
      <c r="F424" s="5">
        <v>18</v>
      </c>
      <c r="G424" s="5">
        <v>17</v>
      </c>
      <c r="H424" s="5">
        <v>85</v>
      </c>
      <c r="I424" s="6">
        <v>2</v>
      </c>
      <c r="J424" s="6">
        <v>33</v>
      </c>
      <c r="K424" s="6">
        <v>26</v>
      </c>
      <c r="L424" s="6">
        <v>26.2</v>
      </c>
      <c r="M424" s="4" t="str">
        <f t="shared" si="18"/>
        <v>OK</v>
      </c>
      <c r="N424" s="7">
        <f t="shared" si="19"/>
        <v>3.0192440164739331E-4</v>
      </c>
      <c r="O424" s="7">
        <f>SUMIFS($D$2:D424,$B$2:B424,B424)/SUMIFS($D$2:$D$741,$B$2:$B$741,B424)</f>
        <v>0.99762857435987629</v>
      </c>
      <c r="P424" s="4" t="b">
        <f t="shared" si="20"/>
        <v>0</v>
      </c>
      <c r="Q424" s="2"/>
      <c r="R424" s="2"/>
      <c r="S424" s="2"/>
    </row>
    <row r="425" spans="1:19" x14ac:dyDescent="0.45">
      <c r="A425" s="4" t="s">
        <v>488</v>
      </c>
      <c r="B425" s="4" t="s">
        <v>433</v>
      </c>
      <c r="C425" s="5">
        <v>2</v>
      </c>
      <c r="D425" s="5">
        <v>98</v>
      </c>
      <c r="E425" s="5">
        <v>27</v>
      </c>
      <c r="F425" s="5">
        <v>1</v>
      </c>
      <c r="G425" s="5">
        <v>1</v>
      </c>
      <c r="H425" s="5">
        <v>97</v>
      </c>
      <c r="I425" s="6">
        <v>1</v>
      </c>
      <c r="J425" s="6">
        <v>4.7</v>
      </c>
      <c r="K425" s="6">
        <v>17</v>
      </c>
      <c r="L425" s="6">
        <v>17.399999999999999</v>
      </c>
      <c r="M425" s="4" t="str">
        <f t="shared" si="18"/>
        <v>OK</v>
      </c>
      <c r="N425" s="7">
        <f t="shared" si="19"/>
        <v>2.872678772955781E-4</v>
      </c>
      <c r="O425" s="7">
        <f>SUMIFS($D$2:D425,$B$2:B425,B425)/SUMIFS($D$2:$D$741,$B$2:$B$741,B425)</f>
        <v>0.99791584223717189</v>
      </c>
      <c r="P425" s="4" t="b">
        <f t="shared" si="20"/>
        <v>0</v>
      </c>
      <c r="Q425" s="2"/>
      <c r="R425" s="2"/>
      <c r="S425" s="2"/>
    </row>
    <row r="426" spans="1:19" x14ac:dyDescent="0.45">
      <c r="A426" s="4" t="s">
        <v>489</v>
      </c>
      <c r="B426" s="4" t="s">
        <v>433</v>
      </c>
      <c r="C426" s="5">
        <v>1</v>
      </c>
      <c r="D426" s="5">
        <v>95</v>
      </c>
      <c r="E426" s="5">
        <v>23</v>
      </c>
      <c r="F426" s="5">
        <v>70</v>
      </c>
      <c r="G426" s="5">
        <v>65</v>
      </c>
      <c r="H426" s="5">
        <v>25</v>
      </c>
      <c r="I426" s="6">
        <v>143</v>
      </c>
      <c r="J426" s="6">
        <v>208.9</v>
      </c>
      <c r="K426" s="6">
        <v>595</v>
      </c>
      <c r="L426" s="6">
        <v>595</v>
      </c>
      <c r="M426" s="4" t="str">
        <f t="shared" si="18"/>
        <v>OK</v>
      </c>
      <c r="N426" s="7">
        <f t="shared" si="19"/>
        <v>2.7847396268448898E-4</v>
      </c>
      <c r="O426" s="7">
        <f>SUMIFS($D$2:D426,$B$2:B426,B426)/SUMIFS($D$2:$D$741,$B$2:$B$741,B426)</f>
        <v>0.99819431619985632</v>
      </c>
      <c r="P426" s="4" t="b">
        <f t="shared" si="20"/>
        <v>0</v>
      </c>
      <c r="Q426" s="2"/>
      <c r="R426" s="2"/>
      <c r="S426" s="2"/>
    </row>
    <row r="427" spans="1:19" x14ac:dyDescent="0.45">
      <c r="A427" s="4" t="s">
        <v>490</v>
      </c>
      <c r="B427" s="4" t="s">
        <v>433</v>
      </c>
      <c r="C427" s="5">
        <v>2</v>
      </c>
      <c r="D427" s="5">
        <v>95</v>
      </c>
      <c r="E427" s="5">
        <v>0</v>
      </c>
      <c r="F427" s="5">
        <v>0</v>
      </c>
      <c r="G427" s="5">
        <v>0</v>
      </c>
      <c r="H427" s="5">
        <v>95</v>
      </c>
      <c r="I427" s="6">
        <v>1</v>
      </c>
      <c r="J427" s="6">
        <v>13.6</v>
      </c>
      <c r="K427" s="6">
        <v>32</v>
      </c>
      <c r="L427" s="6">
        <v>32.4</v>
      </c>
      <c r="M427" s="4" t="str">
        <f t="shared" si="18"/>
        <v>OK</v>
      </c>
      <c r="N427" s="7">
        <f t="shared" si="19"/>
        <v>2.7847396268448898E-4</v>
      </c>
      <c r="O427" s="7">
        <f>SUMIFS($D$2:D427,$B$2:B427,B427)/SUMIFS($D$2:$D$741,$B$2:$B$741,B427)</f>
        <v>0.99847279016254087</v>
      </c>
      <c r="P427" s="4" t="b">
        <f t="shared" si="20"/>
        <v>0</v>
      </c>
      <c r="Q427" s="2"/>
      <c r="R427" s="2"/>
      <c r="S427" s="2"/>
    </row>
    <row r="428" spans="1:19" x14ac:dyDescent="0.45">
      <c r="A428" s="4" t="s">
        <v>491</v>
      </c>
      <c r="B428" s="4" t="s">
        <v>433</v>
      </c>
      <c r="C428" s="5">
        <v>2</v>
      </c>
      <c r="D428" s="5">
        <v>78</v>
      </c>
      <c r="E428" s="5">
        <v>0</v>
      </c>
      <c r="F428" s="5">
        <v>2</v>
      </c>
      <c r="G428" s="5">
        <v>2</v>
      </c>
      <c r="H428" s="5">
        <v>76</v>
      </c>
      <c r="I428" s="6">
        <v>2</v>
      </c>
      <c r="J428" s="6">
        <v>7.9</v>
      </c>
      <c r="K428" s="6">
        <v>26</v>
      </c>
      <c r="L428" s="6">
        <v>26.5</v>
      </c>
      <c r="M428" s="4" t="str">
        <f t="shared" si="18"/>
        <v>OK</v>
      </c>
      <c r="N428" s="7">
        <f t="shared" si="19"/>
        <v>2.2864177988831728E-4</v>
      </c>
      <c r="O428" s="7">
        <f>SUMIFS($D$2:D428,$B$2:B428,B428)/SUMIFS($D$2:$D$741,$B$2:$B$741,B428)</f>
        <v>0.99870143194242922</v>
      </c>
      <c r="P428" s="4" t="b">
        <f t="shared" si="20"/>
        <v>0</v>
      </c>
      <c r="Q428" s="2"/>
      <c r="R428" s="2"/>
      <c r="S428" s="2"/>
    </row>
    <row r="429" spans="1:19" x14ac:dyDescent="0.45">
      <c r="A429" s="4" t="s">
        <v>492</v>
      </c>
      <c r="B429" s="4" t="s">
        <v>433</v>
      </c>
      <c r="C429" s="5">
        <v>1</v>
      </c>
      <c r="D429" s="5">
        <v>74</v>
      </c>
      <c r="E429" s="5">
        <v>67</v>
      </c>
      <c r="F429" s="5">
        <v>12</v>
      </c>
      <c r="G429" s="5">
        <v>0</v>
      </c>
      <c r="H429" s="5">
        <v>62</v>
      </c>
      <c r="I429" s="6">
        <v>27</v>
      </c>
      <c r="J429" s="6">
        <v>37.6</v>
      </c>
      <c r="K429" s="6">
        <v>56</v>
      </c>
      <c r="L429" s="6">
        <v>55.8</v>
      </c>
      <c r="M429" s="4" t="str">
        <f t="shared" si="18"/>
        <v>OK</v>
      </c>
      <c r="N429" s="7">
        <f t="shared" si="19"/>
        <v>2.1691656040686511E-4</v>
      </c>
      <c r="O429" s="7">
        <f>SUMIFS($D$2:D429,$B$2:B429,B429)/SUMIFS($D$2:$D$741,$B$2:$B$741,B429)</f>
        <v>0.99891834850283601</v>
      </c>
      <c r="P429" s="4" t="b">
        <f t="shared" si="20"/>
        <v>0</v>
      </c>
      <c r="Q429" s="2"/>
      <c r="R429" s="2"/>
      <c r="S429" s="2"/>
    </row>
    <row r="430" spans="1:19" x14ac:dyDescent="0.45">
      <c r="A430" s="4" t="s">
        <v>493</v>
      </c>
      <c r="B430" s="4" t="s">
        <v>433</v>
      </c>
      <c r="C430" s="5">
        <v>2</v>
      </c>
      <c r="D430" s="5">
        <v>72</v>
      </c>
      <c r="E430" s="5">
        <v>19</v>
      </c>
      <c r="F430" s="5">
        <v>3</v>
      </c>
      <c r="G430" s="5">
        <v>1</v>
      </c>
      <c r="H430" s="5">
        <v>69</v>
      </c>
      <c r="I430" s="6">
        <v>7</v>
      </c>
      <c r="J430" s="6">
        <v>16.3</v>
      </c>
      <c r="K430" s="6">
        <v>21</v>
      </c>
      <c r="L430" s="6">
        <v>21.2</v>
      </c>
      <c r="M430" s="4" t="str">
        <f t="shared" si="18"/>
        <v>OK</v>
      </c>
      <c r="N430" s="7">
        <f t="shared" si="19"/>
        <v>2.1105395066613904E-4</v>
      </c>
      <c r="O430" s="7">
        <f>SUMIFS($D$2:D430,$B$2:B430,B430)/SUMIFS($D$2:$D$741,$B$2:$B$741,B430)</f>
        <v>0.99912940245350212</v>
      </c>
      <c r="P430" s="4" t="b">
        <f t="shared" si="20"/>
        <v>0</v>
      </c>
      <c r="Q430" s="2"/>
      <c r="R430" s="2"/>
      <c r="S430" s="2"/>
    </row>
    <row r="431" spans="1:19" x14ac:dyDescent="0.45">
      <c r="A431" s="4" t="s">
        <v>494</v>
      </c>
      <c r="B431" s="4" t="s">
        <v>433</v>
      </c>
      <c r="C431" s="5">
        <v>1</v>
      </c>
      <c r="D431" s="5">
        <v>69</v>
      </c>
      <c r="E431" s="5">
        <v>20</v>
      </c>
      <c r="F431" s="5">
        <v>10</v>
      </c>
      <c r="G431" s="5">
        <v>9</v>
      </c>
      <c r="H431" s="5">
        <v>59</v>
      </c>
      <c r="I431" s="6">
        <v>4</v>
      </c>
      <c r="J431" s="6">
        <v>58.8</v>
      </c>
      <c r="K431" s="6">
        <v>220</v>
      </c>
      <c r="L431" s="6">
        <v>220.2</v>
      </c>
      <c r="M431" s="4" t="str">
        <f t="shared" si="18"/>
        <v>OK</v>
      </c>
      <c r="N431" s="7">
        <f t="shared" si="19"/>
        <v>2.022600360550499E-4</v>
      </c>
      <c r="O431" s="7">
        <f>SUMIFS($D$2:D431,$B$2:B431,B431)/SUMIFS($D$2:$D$741,$B$2:$B$741,B431)</f>
        <v>0.99933166248955718</v>
      </c>
      <c r="P431" s="4" t="b">
        <f t="shared" si="20"/>
        <v>0</v>
      </c>
      <c r="Q431" s="2"/>
      <c r="R431" s="2"/>
      <c r="S431" s="2"/>
    </row>
    <row r="432" spans="1:19" x14ac:dyDescent="0.45">
      <c r="A432" s="4" t="s">
        <v>495</v>
      </c>
      <c r="B432" s="4" t="s">
        <v>433</v>
      </c>
      <c r="C432" s="5">
        <v>2</v>
      </c>
      <c r="D432" s="5">
        <v>61</v>
      </c>
      <c r="E432" s="5">
        <v>5</v>
      </c>
      <c r="F432" s="5">
        <v>0</v>
      </c>
      <c r="G432" s="5">
        <v>0</v>
      </c>
      <c r="H432" s="5">
        <v>61</v>
      </c>
      <c r="I432" s="6">
        <v>0</v>
      </c>
      <c r="J432" s="6">
        <v>6.3</v>
      </c>
      <c r="K432" s="6">
        <v>34</v>
      </c>
      <c r="L432" s="6">
        <v>34</v>
      </c>
      <c r="M432" s="4" t="str">
        <f t="shared" si="18"/>
        <v>OK</v>
      </c>
      <c r="N432" s="7">
        <f t="shared" si="19"/>
        <v>1.7880959709214557E-4</v>
      </c>
      <c r="O432" s="7">
        <f>SUMIFS($D$2:D432,$B$2:B432,B432)/SUMIFS($D$2:$D$741,$B$2:$B$741,B432)</f>
        <v>0.99951047208664934</v>
      </c>
      <c r="P432" s="4" t="b">
        <f t="shared" si="20"/>
        <v>0</v>
      </c>
      <c r="Q432" s="2"/>
      <c r="R432" s="2"/>
      <c r="S432" s="2"/>
    </row>
    <row r="433" spans="1:19" x14ac:dyDescent="0.45">
      <c r="A433" s="4" t="s">
        <v>496</v>
      </c>
      <c r="B433" s="4" t="s">
        <v>433</v>
      </c>
      <c r="C433" s="5">
        <v>2</v>
      </c>
      <c r="D433" s="5">
        <v>61</v>
      </c>
      <c r="E433" s="5">
        <v>11</v>
      </c>
      <c r="F433" s="5">
        <v>4</v>
      </c>
      <c r="G433" s="5">
        <v>4</v>
      </c>
      <c r="H433" s="5">
        <v>57</v>
      </c>
      <c r="I433" s="6">
        <v>6</v>
      </c>
      <c r="J433" s="6">
        <v>46</v>
      </c>
      <c r="K433" s="6">
        <v>181</v>
      </c>
      <c r="L433" s="6">
        <v>180.8</v>
      </c>
      <c r="M433" s="4" t="str">
        <f t="shared" si="18"/>
        <v>OK</v>
      </c>
      <c r="N433" s="7">
        <f t="shared" si="19"/>
        <v>1.7880959709214557E-4</v>
      </c>
      <c r="O433" s="7">
        <f>SUMIFS($D$2:D433,$B$2:B433,B433)/SUMIFS($D$2:$D$741,$B$2:$B$741,B433)</f>
        <v>0.99968928168374149</v>
      </c>
      <c r="P433" s="4" t="b">
        <f t="shared" si="20"/>
        <v>0</v>
      </c>
      <c r="Q433" s="2"/>
      <c r="R433" s="2"/>
      <c r="S433" s="2"/>
    </row>
    <row r="434" spans="1:19" x14ac:dyDescent="0.45">
      <c r="A434" s="4" t="s">
        <v>497</v>
      </c>
      <c r="B434" s="4" t="s">
        <v>433</v>
      </c>
      <c r="C434" s="5">
        <v>1</v>
      </c>
      <c r="D434" s="5">
        <v>56</v>
      </c>
      <c r="E434" s="5">
        <v>56</v>
      </c>
      <c r="F434" s="5">
        <v>38</v>
      </c>
      <c r="G434" s="5">
        <v>0</v>
      </c>
      <c r="H434" s="5">
        <v>18</v>
      </c>
      <c r="I434" s="6">
        <v>0</v>
      </c>
      <c r="J434" s="6">
        <v>0.1</v>
      </c>
      <c r="K434" s="6">
        <v>0</v>
      </c>
      <c r="L434" s="6">
        <v>0</v>
      </c>
      <c r="M434" s="4" t="str">
        <f t="shared" si="18"/>
        <v>OK</v>
      </c>
      <c r="N434" s="7">
        <f t="shared" si="19"/>
        <v>1.6415307274033036E-4</v>
      </c>
      <c r="O434" s="7">
        <f>SUMIFS($D$2:D434,$B$2:B434,B434)/SUMIFS($D$2:$D$741,$B$2:$B$741,B434)</f>
        <v>0.99985343475648181</v>
      </c>
      <c r="P434" s="4" t="b">
        <f t="shared" si="20"/>
        <v>0</v>
      </c>
      <c r="Q434" s="2"/>
      <c r="R434" s="2"/>
      <c r="S434" s="2"/>
    </row>
    <row r="435" spans="1:19" x14ac:dyDescent="0.45">
      <c r="A435" s="4" t="s">
        <v>498</v>
      </c>
      <c r="B435" s="4" t="s">
        <v>433</v>
      </c>
      <c r="C435" s="5">
        <v>1</v>
      </c>
      <c r="D435" s="5">
        <v>14</v>
      </c>
      <c r="E435" s="5">
        <v>1</v>
      </c>
      <c r="F435" s="5">
        <v>1</v>
      </c>
      <c r="G435" s="5">
        <v>0</v>
      </c>
      <c r="H435" s="5">
        <v>13</v>
      </c>
      <c r="I435" s="6">
        <v>1</v>
      </c>
      <c r="J435" s="6">
        <v>2.4</v>
      </c>
      <c r="K435" s="6">
        <v>4</v>
      </c>
      <c r="L435" s="6">
        <v>4</v>
      </c>
      <c r="M435" s="4" t="str">
        <f t="shared" si="18"/>
        <v>OK</v>
      </c>
      <c r="N435" s="7">
        <f t="shared" si="19"/>
        <v>4.103826818508259E-5</v>
      </c>
      <c r="O435" s="7">
        <f>SUMIFS($D$2:D435,$B$2:B435,B435)/SUMIFS($D$2:$D$741,$B$2:$B$741,B435)</f>
        <v>0.99989447302466694</v>
      </c>
      <c r="P435" s="4" t="b">
        <f t="shared" si="20"/>
        <v>0</v>
      </c>
      <c r="Q435" s="2"/>
      <c r="R435" s="2"/>
      <c r="S435" s="2"/>
    </row>
    <row r="436" spans="1:19" x14ac:dyDescent="0.45">
      <c r="A436" s="4" t="s">
        <v>499</v>
      </c>
      <c r="B436" s="4" t="s">
        <v>433</v>
      </c>
      <c r="C436" s="5">
        <v>1</v>
      </c>
      <c r="D436" s="5">
        <v>14</v>
      </c>
      <c r="E436" s="5">
        <v>14</v>
      </c>
      <c r="F436" s="5">
        <v>10</v>
      </c>
      <c r="G436" s="5">
        <v>0</v>
      </c>
      <c r="H436" s="5">
        <v>4</v>
      </c>
      <c r="I436" s="6">
        <v>0</v>
      </c>
      <c r="J436" s="6">
        <v>0</v>
      </c>
      <c r="K436" s="6">
        <v>0</v>
      </c>
      <c r="L436" s="6">
        <v>0</v>
      </c>
      <c r="M436" s="4" t="str">
        <f t="shared" si="18"/>
        <v>OK</v>
      </c>
      <c r="N436" s="7">
        <f t="shared" si="19"/>
        <v>4.103826818508259E-5</v>
      </c>
      <c r="O436" s="7">
        <f>SUMIFS($D$2:D436,$B$2:B436,B436)/SUMIFS($D$2:$D$741,$B$2:$B$741,B436)</f>
        <v>0.99993551129285196</v>
      </c>
      <c r="P436" s="4" t="b">
        <f t="shared" si="20"/>
        <v>0</v>
      </c>
      <c r="Q436" s="2"/>
      <c r="R436" s="2"/>
      <c r="S436" s="2"/>
    </row>
    <row r="437" spans="1:19" x14ac:dyDescent="0.45">
      <c r="A437" s="4" t="s">
        <v>500</v>
      </c>
      <c r="B437" s="4" t="s">
        <v>433</v>
      </c>
      <c r="C437" s="5">
        <v>2</v>
      </c>
      <c r="D437" s="5">
        <v>10</v>
      </c>
      <c r="E437" s="5">
        <v>0</v>
      </c>
      <c r="F437" s="5">
        <v>0</v>
      </c>
      <c r="G437" s="5">
        <v>0</v>
      </c>
      <c r="H437" s="5">
        <v>10</v>
      </c>
      <c r="I437" s="6">
        <v>2</v>
      </c>
      <c r="J437" s="6">
        <v>13.8</v>
      </c>
      <c r="K437" s="6">
        <v>30</v>
      </c>
      <c r="L437" s="6">
        <v>30.4</v>
      </c>
      <c r="M437" s="4" t="str">
        <f t="shared" si="18"/>
        <v>OK</v>
      </c>
      <c r="N437" s="7">
        <f t="shared" si="19"/>
        <v>2.9313048703630422E-5</v>
      </c>
      <c r="O437" s="7">
        <f>SUMIFS($D$2:D437,$B$2:B437,B437)/SUMIFS($D$2:$D$741,$B$2:$B$741,B437)</f>
        <v>0.99996482434155565</v>
      </c>
      <c r="P437" s="4" t="b">
        <f t="shared" si="20"/>
        <v>0</v>
      </c>
      <c r="Q437" s="2"/>
      <c r="R437" s="2"/>
      <c r="S437" s="2"/>
    </row>
    <row r="438" spans="1:19" x14ac:dyDescent="0.45">
      <c r="A438" s="4" t="s">
        <v>501</v>
      </c>
      <c r="B438" s="4" t="s">
        <v>433</v>
      </c>
      <c r="C438" s="5">
        <v>2</v>
      </c>
      <c r="D438" s="5">
        <v>7</v>
      </c>
      <c r="E438" s="5">
        <v>0</v>
      </c>
      <c r="F438" s="5">
        <v>0</v>
      </c>
      <c r="G438" s="5">
        <v>0</v>
      </c>
      <c r="H438" s="5">
        <v>7</v>
      </c>
      <c r="I438" s="6">
        <v>25</v>
      </c>
      <c r="J438" s="6">
        <v>33.700000000000003</v>
      </c>
      <c r="K438" s="6">
        <v>80</v>
      </c>
      <c r="L438" s="6">
        <v>80</v>
      </c>
      <c r="M438" s="4" t="str">
        <f t="shared" si="18"/>
        <v>OK</v>
      </c>
      <c r="N438" s="7">
        <f t="shared" si="19"/>
        <v>2.0519134092541295E-5</v>
      </c>
      <c r="O438" s="7">
        <f>SUMIFS($D$2:D438,$B$2:B438,B438)/SUMIFS($D$2:$D$741,$B$2:$B$741,B438)</f>
        <v>0.99998534347564816</v>
      </c>
      <c r="P438" s="4" t="b">
        <f t="shared" si="20"/>
        <v>0</v>
      </c>
      <c r="Q438" s="2"/>
      <c r="R438" s="2"/>
      <c r="S438" s="2"/>
    </row>
    <row r="439" spans="1:19" x14ac:dyDescent="0.45">
      <c r="A439" s="4" t="s">
        <v>502</v>
      </c>
      <c r="B439" s="4" t="s">
        <v>433</v>
      </c>
      <c r="C439" s="5">
        <v>1</v>
      </c>
      <c r="D439" s="5">
        <v>5</v>
      </c>
      <c r="E439" s="5">
        <v>0</v>
      </c>
      <c r="F439" s="5">
        <v>0</v>
      </c>
      <c r="G439" s="5">
        <v>0</v>
      </c>
      <c r="H439" s="5">
        <v>5</v>
      </c>
      <c r="I439" s="6">
        <v>2</v>
      </c>
      <c r="J439" s="6">
        <v>12</v>
      </c>
      <c r="K439" s="6">
        <v>34</v>
      </c>
      <c r="L439" s="6">
        <v>34.200000000000003</v>
      </c>
      <c r="M439" s="4" t="str">
        <f t="shared" si="18"/>
        <v>OK</v>
      </c>
      <c r="N439" s="7">
        <f t="shared" si="19"/>
        <v>1.4656524351815211E-5</v>
      </c>
      <c r="O439" s="7">
        <f>SUMIFS($D$2:D439,$B$2:B439,B439)/SUMIFS($D$2:$D$741,$B$2:$B$741,B439)</f>
        <v>1</v>
      </c>
      <c r="P439" s="4" t="b">
        <f t="shared" si="20"/>
        <v>0</v>
      </c>
      <c r="Q439" s="2"/>
      <c r="R439" s="2"/>
      <c r="S439" s="2"/>
    </row>
    <row r="440" spans="1:19" x14ac:dyDescent="0.45">
      <c r="A440" s="9" t="s">
        <v>503</v>
      </c>
      <c r="B440" s="9" t="s">
        <v>504</v>
      </c>
      <c r="C440" s="10">
        <v>1</v>
      </c>
      <c r="D440" s="10">
        <v>92</v>
      </c>
      <c r="E440" s="10">
        <v>21</v>
      </c>
      <c r="F440" s="10">
        <v>2</v>
      </c>
      <c r="G440" s="10">
        <v>0</v>
      </c>
      <c r="H440" s="10">
        <v>90</v>
      </c>
      <c r="I440" s="11">
        <v>1</v>
      </c>
      <c r="J440" s="11">
        <v>5.2</v>
      </c>
      <c r="K440" s="11">
        <v>5</v>
      </c>
      <c r="L440" s="11">
        <v>5.2</v>
      </c>
      <c r="M440" s="9" t="str">
        <f t="shared" si="18"/>
        <v>OK</v>
      </c>
      <c r="N440" s="12">
        <f t="shared" si="19"/>
        <v>1</v>
      </c>
      <c r="O440" s="12">
        <f>SUMIFS($D$2:D440,$B$2:B440,B440)/SUMIFS($D$2:$D$741,$B$2:$B$741,B440)</f>
        <v>1</v>
      </c>
      <c r="P440" s="9" t="b">
        <f t="shared" si="20"/>
        <v>1</v>
      </c>
      <c r="Q440" s="2"/>
      <c r="R440" s="2"/>
      <c r="S440" s="2"/>
    </row>
    <row r="441" spans="1:19" x14ac:dyDescent="0.45">
      <c r="A441" s="9" t="s">
        <v>505</v>
      </c>
      <c r="B441" s="9" t="s">
        <v>506</v>
      </c>
      <c r="C441" s="10">
        <v>1</v>
      </c>
      <c r="D441" s="10">
        <v>42457</v>
      </c>
      <c r="E441" s="10">
        <v>12952</v>
      </c>
      <c r="F441" s="10">
        <v>1192</v>
      </c>
      <c r="G441" s="10">
        <v>471</v>
      </c>
      <c r="H441" s="10">
        <v>41265</v>
      </c>
      <c r="I441" s="11">
        <v>7</v>
      </c>
      <c r="J441" s="11">
        <v>16.600000000000001</v>
      </c>
      <c r="K441" s="11">
        <v>39</v>
      </c>
      <c r="L441" s="11">
        <v>39</v>
      </c>
      <c r="M441" s="9" t="str">
        <f t="shared" si="18"/>
        <v>OK</v>
      </c>
      <c r="N441" s="12">
        <f t="shared" si="19"/>
        <v>0.23371297402332891</v>
      </c>
      <c r="O441" s="12">
        <f>SUMIFS($D$2:D441,$B$2:B441,B441)/SUMIFS($D$2:$D$741,$B$2:$B$741,B441)</f>
        <v>0.23371297402332891</v>
      </c>
      <c r="P441" s="9" t="b">
        <f t="shared" si="20"/>
        <v>1</v>
      </c>
      <c r="Q441" s="2"/>
      <c r="R441" s="2"/>
      <c r="S441" s="2"/>
    </row>
    <row r="442" spans="1:19" x14ac:dyDescent="0.45">
      <c r="A442" s="4" t="s">
        <v>507</v>
      </c>
      <c r="B442" s="4" t="s">
        <v>506</v>
      </c>
      <c r="C442" s="5">
        <v>2</v>
      </c>
      <c r="D442" s="5">
        <v>15018</v>
      </c>
      <c r="E442" s="5">
        <v>0</v>
      </c>
      <c r="F442" s="5">
        <v>24</v>
      </c>
      <c r="G442" s="5">
        <v>24</v>
      </c>
      <c r="H442" s="5">
        <v>14994</v>
      </c>
      <c r="I442" s="6">
        <v>4</v>
      </c>
      <c r="J442" s="6">
        <v>9.4</v>
      </c>
      <c r="K442" s="6">
        <v>20</v>
      </c>
      <c r="L442" s="6">
        <v>20</v>
      </c>
      <c r="M442" s="4" t="str">
        <f t="shared" si="18"/>
        <v>OK</v>
      </c>
      <c r="N442" s="7">
        <f t="shared" si="19"/>
        <v>8.2669558468152562E-2</v>
      </c>
      <c r="O442" s="7">
        <f>SUMIFS($D$2:D442,$B$2:B442,B442)/SUMIFS($D$2:$D$741,$B$2:$B$741,B442)</f>
        <v>0.31638253249148146</v>
      </c>
      <c r="P442" s="4" t="b">
        <f t="shared" si="20"/>
        <v>1</v>
      </c>
      <c r="Q442" s="2"/>
      <c r="R442" s="2"/>
      <c r="S442" s="2"/>
    </row>
    <row r="443" spans="1:19" x14ac:dyDescent="0.45">
      <c r="A443" s="4" t="s">
        <v>508</v>
      </c>
      <c r="B443" s="4" t="s">
        <v>506</v>
      </c>
      <c r="C443" s="5">
        <v>1</v>
      </c>
      <c r="D443" s="5">
        <v>13340</v>
      </c>
      <c r="E443" s="5">
        <v>4233</v>
      </c>
      <c r="F443" s="5">
        <v>65</v>
      </c>
      <c r="G443" s="5">
        <v>26</v>
      </c>
      <c r="H443" s="5">
        <v>13275</v>
      </c>
      <c r="I443" s="6">
        <v>3</v>
      </c>
      <c r="J443" s="6">
        <v>5</v>
      </c>
      <c r="K443" s="6">
        <v>10</v>
      </c>
      <c r="L443" s="6">
        <v>10</v>
      </c>
      <c r="M443" s="4" t="str">
        <f t="shared" si="18"/>
        <v>OK</v>
      </c>
      <c r="N443" s="7">
        <f t="shared" si="19"/>
        <v>7.3432674787931501E-2</v>
      </c>
      <c r="O443" s="7">
        <f>SUMIFS($D$2:D443,$B$2:B443,B443)/SUMIFS($D$2:$D$741,$B$2:$B$741,B443)</f>
        <v>0.38981520727941299</v>
      </c>
      <c r="P443" s="4" t="b">
        <f t="shared" si="20"/>
        <v>1</v>
      </c>
      <c r="Q443" s="2"/>
      <c r="R443" s="2"/>
      <c r="S443" s="2"/>
    </row>
    <row r="444" spans="1:19" x14ac:dyDescent="0.45">
      <c r="A444" s="4" t="s">
        <v>509</v>
      </c>
      <c r="B444" s="4" t="s">
        <v>506</v>
      </c>
      <c r="C444" s="5">
        <v>2</v>
      </c>
      <c r="D444" s="5">
        <v>11358</v>
      </c>
      <c r="E444" s="5">
        <v>2081</v>
      </c>
      <c r="F444" s="5">
        <v>21</v>
      </c>
      <c r="G444" s="5">
        <v>21</v>
      </c>
      <c r="H444" s="5">
        <v>11337</v>
      </c>
      <c r="I444" s="6">
        <v>0</v>
      </c>
      <c r="J444" s="6">
        <v>0</v>
      </c>
      <c r="K444" s="6">
        <v>0</v>
      </c>
      <c r="L444" s="6">
        <v>0</v>
      </c>
      <c r="M444" s="4" t="str">
        <f t="shared" si="18"/>
        <v>OK</v>
      </c>
      <c r="N444" s="7">
        <f t="shared" si="19"/>
        <v>6.2522362836681111E-2</v>
      </c>
      <c r="O444" s="7">
        <f>SUMIFS($D$2:D444,$B$2:B444,B444)/SUMIFS($D$2:$D$741,$B$2:$B$741,B444)</f>
        <v>0.4523375701160941</v>
      </c>
      <c r="P444" s="4" t="b">
        <f t="shared" si="20"/>
        <v>1</v>
      </c>
      <c r="Q444" s="2"/>
      <c r="R444" s="2"/>
      <c r="S444" s="2"/>
    </row>
    <row r="445" spans="1:19" x14ac:dyDescent="0.45">
      <c r="A445" s="4" t="s">
        <v>510</v>
      </c>
      <c r="B445" s="4" t="s">
        <v>506</v>
      </c>
      <c r="C445" s="5">
        <v>2</v>
      </c>
      <c r="D445" s="5">
        <v>9522</v>
      </c>
      <c r="E445" s="5">
        <v>1857</v>
      </c>
      <c r="F445" s="5">
        <v>6</v>
      </c>
      <c r="G445" s="5">
        <v>3</v>
      </c>
      <c r="H445" s="5">
        <v>9516</v>
      </c>
      <c r="I445" s="6">
        <v>0</v>
      </c>
      <c r="J445" s="6">
        <v>1</v>
      </c>
      <c r="K445" s="6">
        <v>2</v>
      </c>
      <c r="L445" s="6">
        <v>2</v>
      </c>
      <c r="M445" s="4" t="str">
        <f t="shared" si="18"/>
        <v>OK</v>
      </c>
      <c r="N445" s="7">
        <f t="shared" si="19"/>
        <v>5.241573683138559E-2</v>
      </c>
      <c r="O445" s="7">
        <f>SUMIFS($D$2:D445,$B$2:B445,B445)/SUMIFS($D$2:$D$741,$B$2:$B$741,B445)</f>
        <v>0.50475330694747966</v>
      </c>
      <c r="P445" s="4" t="b">
        <f t="shared" si="20"/>
        <v>1</v>
      </c>
      <c r="Q445" s="2"/>
      <c r="R445" s="2"/>
      <c r="S445" s="2"/>
    </row>
    <row r="446" spans="1:19" x14ac:dyDescent="0.45">
      <c r="A446" s="4" t="s">
        <v>511</v>
      </c>
      <c r="B446" s="4" t="s">
        <v>506</v>
      </c>
      <c r="C446" s="5">
        <v>1</v>
      </c>
      <c r="D446" s="5">
        <v>7682</v>
      </c>
      <c r="E446" s="5">
        <v>1520</v>
      </c>
      <c r="F446" s="5">
        <v>36</v>
      </c>
      <c r="G446" s="5">
        <v>29</v>
      </c>
      <c r="H446" s="5">
        <v>7646</v>
      </c>
      <c r="I446" s="6">
        <v>3</v>
      </c>
      <c r="J446" s="6">
        <v>5.9</v>
      </c>
      <c r="K446" s="6">
        <v>14</v>
      </c>
      <c r="L446" s="6">
        <v>14</v>
      </c>
      <c r="M446" s="4" t="str">
        <f t="shared" si="18"/>
        <v>OK</v>
      </c>
      <c r="N446" s="7">
        <f t="shared" si="19"/>
        <v>4.2287092033050207E-2</v>
      </c>
      <c r="O446" s="7">
        <f>SUMIFS($D$2:D446,$B$2:B446,B446)/SUMIFS($D$2:$D$741,$B$2:$B$741,B446)</f>
        <v>0.54704039898052992</v>
      </c>
      <c r="P446" s="4" t="b">
        <f t="shared" si="20"/>
        <v>1</v>
      </c>
      <c r="Q446" s="2"/>
      <c r="R446" s="2"/>
      <c r="S446" s="2"/>
    </row>
    <row r="447" spans="1:19" x14ac:dyDescent="0.45">
      <c r="A447" s="4" t="s">
        <v>512</v>
      </c>
      <c r="B447" s="4" t="s">
        <v>506</v>
      </c>
      <c r="C447" s="5">
        <v>1</v>
      </c>
      <c r="D447" s="5">
        <v>7166</v>
      </c>
      <c r="E447" s="5">
        <v>2284</v>
      </c>
      <c r="F447" s="5">
        <v>87</v>
      </c>
      <c r="G447" s="5">
        <v>39</v>
      </c>
      <c r="H447" s="5">
        <v>7079</v>
      </c>
      <c r="I447" s="6">
        <v>3</v>
      </c>
      <c r="J447" s="6">
        <v>5</v>
      </c>
      <c r="K447" s="6">
        <v>10</v>
      </c>
      <c r="L447" s="6">
        <v>10</v>
      </c>
      <c r="M447" s="4" t="str">
        <f t="shared" si="18"/>
        <v>OK</v>
      </c>
      <c r="N447" s="7">
        <f t="shared" si="19"/>
        <v>3.9446667730908332E-2</v>
      </c>
      <c r="O447" s="7">
        <f>SUMIFS($D$2:D447,$B$2:B447,B447)/SUMIFS($D$2:$D$741,$B$2:$B$741,B447)</f>
        <v>0.58648706671143824</v>
      </c>
      <c r="P447" s="4" t="b">
        <f t="shared" si="20"/>
        <v>1</v>
      </c>
      <c r="Q447" s="2"/>
      <c r="R447" s="2"/>
      <c r="S447" s="2"/>
    </row>
    <row r="448" spans="1:19" x14ac:dyDescent="0.45">
      <c r="A448" s="4" t="s">
        <v>513</v>
      </c>
      <c r="B448" s="4" t="s">
        <v>506</v>
      </c>
      <c r="C448" s="5">
        <v>1</v>
      </c>
      <c r="D448" s="5">
        <v>6669</v>
      </c>
      <c r="E448" s="5">
        <v>2045</v>
      </c>
      <c r="F448" s="5">
        <v>39</v>
      </c>
      <c r="G448" s="5">
        <v>19</v>
      </c>
      <c r="H448" s="5">
        <v>6630</v>
      </c>
      <c r="I448" s="6">
        <v>4</v>
      </c>
      <c r="J448" s="6">
        <v>6.3</v>
      </c>
      <c r="K448" s="6">
        <v>14</v>
      </c>
      <c r="L448" s="6">
        <v>14</v>
      </c>
      <c r="M448" s="4" t="str">
        <f t="shared" si="18"/>
        <v>OK</v>
      </c>
      <c r="N448" s="7">
        <f t="shared" si="19"/>
        <v>3.6710832695705783E-2</v>
      </c>
      <c r="O448" s="7">
        <f>SUMIFS($D$2:D448,$B$2:B448,B448)/SUMIFS($D$2:$D$741,$B$2:$B$741,B448)</f>
        <v>0.62319789940714398</v>
      </c>
      <c r="P448" s="4" t="b">
        <f t="shared" si="20"/>
        <v>1</v>
      </c>
      <c r="Q448" s="2"/>
      <c r="R448" s="2"/>
      <c r="S448" s="2"/>
    </row>
    <row r="449" spans="1:19" x14ac:dyDescent="0.45">
      <c r="A449" s="4" t="s">
        <v>514</v>
      </c>
      <c r="B449" s="4" t="s">
        <v>506</v>
      </c>
      <c r="C449" s="5">
        <v>2</v>
      </c>
      <c r="D449" s="5">
        <v>6245</v>
      </c>
      <c r="E449" s="5">
        <v>0</v>
      </c>
      <c r="F449" s="5">
        <v>2</v>
      </c>
      <c r="G449" s="5">
        <v>2</v>
      </c>
      <c r="H449" s="5">
        <v>6243</v>
      </c>
      <c r="I449" s="6">
        <v>2</v>
      </c>
      <c r="J449" s="6">
        <v>3.7</v>
      </c>
      <c r="K449" s="6">
        <v>7</v>
      </c>
      <c r="L449" s="6">
        <v>7</v>
      </c>
      <c r="M449" s="4" t="str">
        <f t="shared" si="18"/>
        <v>OK</v>
      </c>
      <c r="N449" s="7">
        <f t="shared" si="19"/>
        <v>3.4376840633480676E-2</v>
      </c>
      <c r="O449" s="7">
        <f>SUMIFS($D$2:D449,$B$2:B449,B449)/SUMIFS($D$2:$D$741,$B$2:$B$741,B449)</f>
        <v>0.65757474004062466</v>
      </c>
      <c r="P449" s="4" t="b">
        <f t="shared" si="20"/>
        <v>1</v>
      </c>
      <c r="Q449" s="2"/>
      <c r="R449" s="2"/>
      <c r="S449" s="2"/>
    </row>
    <row r="450" spans="1:19" x14ac:dyDescent="0.45">
      <c r="A450" s="4" t="s">
        <v>515</v>
      </c>
      <c r="B450" s="4" t="s">
        <v>506</v>
      </c>
      <c r="C450" s="5">
        <v>2</v>
      </c>
      <c r="D450" s="5">
        <v>5214</v>
      </c>
      <c r="E450" s="5">
        <v>1464</v>
      </c>
      <c r="F450" s="5">
        <v>34</v>
      </c>
      <c r="G450" s="5">
        <v>0</v>
      </c>
      <c r="H450" s="5">
        <v>5180</v>
      </c>
      <c r="I450" s="6">
        <v>2</v>
      </c>
      <c r="J450" s="6">
        <v>5.3</v>
      </c>
      <c r="K450" s="6">
        <v>8</v>
      </c>
      <c r="L450" s="6">
        <v>8</v>
      </c>
      <c r="M450" s="4" t="str">
        <f t="shared" ref="M450:M513" si="21">IF(AND(K450="",L450=""),"No closed tickets",IF(K450="","MISSING in catalog",IF(L450="","No valid closed tickets",IF(AND(ABS(K450-L450)&gt;=$S$3,ABS(K450-L450)&gt;=$S$4*MAX(L450,1)),"FAR OFF","OK"))))</f>
        <v>OK</v>
      </c>
      <c r="N450" s="7">
        <f t="shared" ref="N450:N513" si="22">D450/SUMIFS($D$2:$D$741,$B$2:$B$741,B450)</f>
        <v>2.8701496727456883E-2</v>
      </c>
      <c r="O450" s="7">
        <f>SUMIFS($D$2:D450,$B$2:B450,B450)/SUMIFS($D$2:$D$741,$B$2:$B$741,B450)</f>
        <v>0.68627623676808158</v>
      </c>
      <c r="P450" s="4" t="b">
        <f t="shared" ref="P450:P513" si="23">O450-N450&lt;$S$2</f>
        <v>1</v>
      </c>
      <c r="Q450" s="2"/>
      <c r="R450" s="2"/>
      <c r="S450" s="2"/>
    </row>
    <row r="451" spans="1:19" x14ac:dyDescent="0.45">
      <c r="A451" s="4" t="s">
        <v>516</v>
      </c>
      <c r="B451" s="4" t="s">
        <v>506</v>
      </c>
      <c r="C451" s="5">
        <v>2</v>
      </c>
      <c r="D451" s="5">
        <v>4916</v>
      </c>
      <c r="E451" s="5">
        <v>0</v>
      </c>
      <c r="F451" s="5">
        <v>2</v>
      </c>
      <c r="G451" s="5">
        <v>2</v>
      </c>
      <c r="H451" s="5">
        <v>4914</v>
      </c>
      <c r="I451" s="6">
        <v>3</v>
      </c>
      <c r="J451" s="6">
        <v>5</v>
      </c>
      <c r="K451" s="6">
        <v>9</v>
      </c>
      <c r="L451" s="6">
        <v>9</v>
      </c>
      <c r="M451" s="4" t="str">
        <f t="shared" si="21"/>
        <v>OK</v>
      </c>
      <c r="N451" s="7">
        <f t="shared" si="22"/>
        <v>2.706109664598735E-2</v>
      </c>
      <c r="O451" s="7">
        <f>SUMIFS($D$2:D451,$B$2:B451,B451)/SUMIFS($D$2:$D$741,$B$2:$B$741,B451)</f>
        <v>0.71333733341406891</v>
      </c>
      <c r="P451" s="4" t="b">
        <f t="shared" si="23"/>
        <v>1</v>
      </c>
      <c r="Q451" s="2"/>
      <c r="R451" s="2"/>
      <c r="S451" s="2"/>
    </row>
    <row r="452" spans="1:19" x14ac:dyDescent="0.45">
      <c r="A452" s="4" t="s">
        <v>517</v>
      </c>
      <c r="B452" s="4" t="s">
        <v>506</v>
      </c>
      <c r="C452" s="5">
        <v>3</v>
      </c>
      <c r="D452" s="5">
        <v>4726</v>
      </c>
      <c r="E452" s="5">
        <v>1040</v>
      </c>
      <c r="F452" s="5">
        <v>63</v>
      </c>
      <c r="G452" s="5">
        <v>27</v>
      </c>
      <c r="H452" s="5">
        <v>4663</v>
      </c>
      <c r="I452" s="6">
        <v>40</v>
      </c>
      <c r="J452" s="6">
        <v>61.4</v>
      </c>
      <c r="K452" s="6">
        <v>148</v>
      </c>
      <c r="L452" s="6">
        <v>148</v>
      </c>
      <c r="M452" s="4" t="str">
        <f t="shared" si="21"/>
        <v>OK</v>
      </c>
      <c r="N452" s="7">
        <f t="shared" si="22"/>
        <v>2.6015203976594022E-2</v>
      </c>
      <c r="O452" s="7">
        <f>SUMIFS($D$2:D452,$B$2:B452,B452)/SUMIFS($D$2:$D$741,$B$2:$B$741,B452)</f>
        <v>0.73935253739066298</v>
      </c>
      <c r="P452" s="4" t="b">
        <f t="shared" si="23"/>
        <v>1</v>
      </c>
      <c r="Q452" s="2"/>
      <c r="R452" s="2"/>
      <c r="S452" s="2"/>
    </row>
    <row r="453" spans="1:19" x14ac:dyDescent="0.45">
      <c r="A453" s="4" t="s">
        <v>518</v>
      </c>
      <c r="B453" s="4" t="s">
        <v>506</v>
      </c>
      <c r="C453" s="5">
        <v>1</v>
      </c>
      <c r="D453" s="5">
        <v>4333</v>
      </c>
      <c r="E453" s="5">
        <v>1292</v>
      </c>
      <c r="F453" s="5">
        <v>85</v>
      </c>
      <c r="G453" s="5">
        <v>35</v>
      </c>
      <c r="H453" s="5">
        <v>4248</v>
      </c>
      <c r="I453" s="6">
        <v>3</v>
      </c>
      <c r="J453" s="6">
        <v>6.6</v>
      </c>
      <c r="K453" s="6">
        <v>15</v>
      </c>
      <c r="L453" s="6">
        <v>15</v>
      </c>
      <c r="M453" s="4" t="str">
        <f t="shared" si="21"/>
        <v>OK</v>
      </c>
      <c r="N453" s="7">
        <f t="shared" si="22"/>
        <v>2.3851857560427826E-2</v>
      </c>
      <c r="O453" s="7">
        <f>SUMIFS($D$2:D453,$B$2:B453,B453)/SUMIFS($D$2:$D$741,$B$2:$B$741,B453)</f>
        <v>0.76320439495109071</v>
      </c>
      <c r="P453" s="4" t="b">
        <f t="shared" si="23"/>
        <v>1</v>
      </c>
      <c r="Q453" s="2"/>
      <c r="R453" s="2"/>
      <c r="S453" s="2"/>
    </row>
    <row r="454" spans="1:19" x14ac:dyDescent="0.45">
      <c r="A454" s="4" t="s">
        <v>519</v>
      </c>
      <c r="B454" s="4" t="s">
        <v>506</v>
      </c>
      <c r="C454" s="5">
        <v>2</v>
      </c>
      <c r="D454" s="5">
        <v>3512</v>
      </c>
      <c r="E454" s="5">
        <v>0</v>
      </c>
      <c r="F454" s="5">
        <v>3</v>
      </c>
      <c r="G454" s="5">
        <v>3</v>
      </c>
      <c r="H454" s="5">
        <v>3509</v>
      </c>
      <c r="I454" s="6">
        <v>2</v>
      </c>
      <c r="J454" s="6">
        <v>5.3</v>
      </c>
      <c r="K454" s="6">
        <v>11</v>
      </c>
      <c r="L454" s="6">
        <v>11</v>
      </c>
      <c r="M454" s="4" t="str">
        <f t="shared" si="21"/>
        <v>OK</v>
      </c>
      <c r="N454" s="7">
        <f t="shared" si="22"/>
        <v>1.9332500288996659E-2</v>
      </c>
      <c r="O454" s="7">
        <f>SUMIFS($D$2:D454,$B$2:B454,B454)/SUMIFS($D$2:$D$741,$B$2:$B$741,B454)</f>
        <v>0.7825368952400874</v>
      </c>
      <c r="P454" s="4" t="b">
        <f t="shared" si="23"/>
        <v>1</v>
      </c>
      <c r="Q454" s="2"/>
      <c r="R454" s="2"/>
      <c r="S454" s="2"/>
    </row>
    <row r="455" spans="1:19" x14ac:dyDescent="0.45">
      <c r="A455" s="4" t="s">
        <v>520</v>
      </c>
      <c r="B455" s="4" t="s">
        <v>506</v>
      </c>
      <c r="C455" s="5">
        <v>2</v>
      </c>
      <c r="D455" s="5">
        <v>3045</v>
      </c>
      <c r="E455" s="5">
        <v>0</v>
      </c>
      <c r="F455" s="5">
        <v>4</v>
      </c>
      <c r="G455" s="5">
        <v>4</v>
      </c>
      <c r="H455" s="5">
        <v>3041</v>
      </c>
      <c r="I455" s="6">
        <v>3</v>
      </c>
      <c r="J455" s="6">
        <v>6</v>
      </c>
      <c r="K455" s="6">
        <v>12</v>
      </c>
      <c r="L455" s="6">
        <v>12</v>
      </c>
      <c r="M455" s="4" t="str">
        <f t="shared" si="21"/>
        <v>OK</v>
      </c>
      <c r="N455" s="7">
        <f t="shared" si="22"/>
        <v>1.6761806201593059E-2</v>
      </c>
      <c r="O455" s="7">
        <f>SUMIFS($D$2:D455,$B$2:B455,B455)/SUMIFS($D$2:$D$741,$B$2:$B$741,B455)</f>
        <v>0.79929870144168047</v>
      </c>
      <c r="P455" s="4" t="b">
        <f t="shared" si="23"/>
        <v>1</v>
      </c>
      <c r="Q455" s="2"/>
      <c r="R455" s="2"/>
      <c r="S455" s="2"/>
    </row>
    <row r="456" spans="1:19" x14ac:dyDescent="0.45">
      <c r="A456" s="4" t="s">
        <v>521</v>
      </c>
      <c r="B456" s="4" t="s">
        <v>506</v>
      </c>
      <c r="C456" s="5">
        <v>1</v>
      </c>
      <c r="D456" s="5">
        <v>2754</v>
      </c>
      <c r="E456" s="5">
        <v>969</v>
      </c>
      <c r="F456" s="5">
        <v>54</v>
      </c>
      <c r="G456" s="5">
        <v>36</v>
      </c>
      <c r="H456" s="5">
        <v>2700</v>
      </c>
      <c r="I456" s="6">
        <v>2</v>
      </c>
      <c r="J456" s="6">
        <v>6.9</v>
      </c>
      <c r="K456" s="6">
        <v>8</v>
      </c>
      <c r="L456" s="6">
        <v>8</v>
      </c>
      <c r="M456" s="4" t="str">
        <f t="shared" si="21"/>
        <v>OK</v>
      </c>
      <c r="N456" s="7">
        <f t="shared" si="22"/>
        <v>1.5159939007943279E-2</v>
      </c>
      <c r="O456" s="7">
        <f>SUMIFS($D$2:D456,$B$2:B456,B456)/SUMIFS($D$2:$D$741,$B$2:$B$741,B456)</f>
        <v>0.81445864044962379</v>
      </c>
      <c r="P456" s="4" t="b">
        <f t="shared" si="23"/>
        <v>1</v>
      </c>
      <c r="Q456" s="2"/>
      <c r="R456" s="2"/>
      <c r="S456" s="2"/>
    </row>
    <row r="457" spans="1:19" x14ac:dyDescent="0.45">
      <c r="A457" s="4" t="s">
        <v>522</v>
      </c>
      <c r="B457" s="4" t="s">
        <v>506</v>
      </c>
      <c r="C457" s="5">
        <v>1</v>
      </c>
      <c r="D457" s="5">
        <v>2576</v>
      </c>
      <c r="E457" s="5">
        <v>1372</v>
      </c>
      <c r="F457" s="5">
        <v>33</v>
      </c>
      <c r="G457" s="5">
        <v>13</v>
      </c>
      <c r="H457" s="5">
        <v>2543</v>
      </c>
      <c r="I457" s="6">
        <v>4</v>
      </c>
      <c r="J457" s="6">
        <v>8.6999999999999993</v>
      </c>
      <c r="K457" s="6">
        <v>19</v>
      </c>
      <c r="L457" s="6">
        <v>19</v>
      </c>
      <c r="M457" s="4" t="str">
        <f t="shared" si="21"/>
        <v>OK</v>
      </c>
      <c r="N457" s="7">
        <f t="shared" si="22"/>
        <v>1.4180102717669531E-2</v>
      </c>
      <c r="O457" s="7">
        <f>SUMIFS($D$2:D457,$B$2:B457,B457)/SUMIFS($D$2:$D$741,$B$2:$B$741,B457)</f>
        <v>0.82863874316729325</v>
      </c>
      <c r="P457" s="4" t="b">
        <f t="shared" si="23"/>
        <v>1</v>
      </c>
      <c r="Q457" s="2"/>
      <c r="R457" s="2"/>
      <c r="S457" s="2"/>
    </row>
    <row r="458" spans="1:19" x14ac:dyDescent="0.45">
      <c r="A458" s="4" t="s">
        <v>523</v>
      </c>
      <c r="B458" s="4" t="s">
        <v>506</v>
      </c>
      <c r="C458" s="5">
        <v>1</v>
      </c>
      <c r="D458" s="5">
        <v>2420</v>
      </c>
      <c r="E458" s="5">
        <v>726</v>
      </c>
      <c r="F458" s="5">
        <v>4</v>
      </c>
      <c r="G458" s="5">
        <v>2</v>
      </c>
      <c r="H458" s="5">
        <v>2416</v>
      </c>
      <c r="I458" s="6">
        <v>6</v>
      </c>
      <c r="J458" s="6">
        <v>9.6999999999999993</v>
      </c>
      <c r="K458" s="6">
        <v>22</v>
      </c>
      <c r="L458" s="6">
        <v>22</v>
      </c>
      <c r="M458" s="4" t="str">
        <f t="shared" si="21"/>
        <v>OK</v>
      </c>
      <c r="N458" s="7">
        <f t="shared" si="22"/>
        <v>1.3321369789115009E-2</v>
      </c>
      <c r="O458" s="7">
        <f>SUMIFS($D$2:D458,$B$2:B458,B458)/SUMIFS($D$2:$D$741,$B$2:$B$741,B458)</f>
        <v>0.84196011295640827</v>
      </c>
      <c r="P458" s="4" t="b">
        <f t="shared" si="23"/>
        <v>1</v>
      </c>
      <c r="Q458" s="2"/>
      <c r="R458" s="2"/>
      <c r="S458" s="2"/>
    </row>
    <row r="459" spans="1:19" x14ac:dyDescent="0.45">
      <c r="A459" s="4" t="s">
        <v>524</v>
      </c>
      <c r="B459" s="4" t="s">
        <v>506</v>
      </c>
      <c r="C459" s="5">
        <v>2</v>
      </c>
      <c r="D459" s="5">
        <v>2189</v>
      </c>
      <c r="E459" s="5">
        <v>0</v>
      </c>
      <c r="F459" s="5">
        <v>1</v>
      </c>
      <c r="G459" s="5">
        <v>1</v>
      </c>
      <c r="H459" s="5">
        <v>2188</v>
      </c>
      <c r="I459" s="6">
        <v>3</v>
      </c>
      <c r="J459" s="6">
        <v>4.9000000000000004</v>
      </c>
      <c r="K459" s="6">
        <v>11</v>
      </c>
      <c r="L459" s="6">
        <v>11</v>
      </c>
      <c r="M459" s="4" t="str">
        <f t="shared" si="21"/>
        <v>OK</v>
      </c>
      <c r="N459" s="7">
        <f t="shared" si="22"/>
        <v>1.2049784491063122E-2</v>
      </c>
      <c r="O459" s="7">
        <f>SUMIFS($D$2:D459,$B$2:B459,B459)/SUMIFS($D$2:$D$741,$B$2:$B$741,B459)</f>
        <v>0.85400989744747147</v>
      </c>
      <c r="P459" s="4" t="b">
        <f t="shared" si="23"/>
        <v>1</v>
      </c>
      <c r="Q459" s="2"/>
      <c r="R459" s="2"/>
      <c r="S459" s="2"/>
    </row>
    <row r="460" spans="1:19" x14ac:dyDescent="0.45">
      <c r="A460" s="4" t="s">
        <v>525</v>
      </c>
      <c r="B460" s="4" t="s">
        <v>506</v>
      </c>
      <c r="C460" s="5">
        <v>2</v>
      </c>
      <c r="D460" s="5">
        <v>2032</v>
      </c>
      <c r="E460" s="5">
        <v>0</v>
      </c>
      <c r="F460" s="5">
        <v>0</v>
      </c>
      <c r="G460" s="5">
        <v>0</v>
      </c>
      <c r="H460" s="5">
        <v>2032</v>
      </c>
      <c r="I460" s="6">
        <v>2</v>
      </c>
      <c r="J460" s="6">
        <v>3.8</v>
      </c>
      <c r="K460" s="6">
        <v>8</v>
      </c>
      <c r="L460" s="6">
        <v>8</v>
      </c>
      <c r="M460" s="4" t="str">
        <f t="shared" si="21"/>
        <v>OK</v>
      </c>
      <c r="N460" s="7">
        <f t="shared" si="22"/>
        <v>1.1185546864248636E-2</v>
      </c>
      <c r="O460" s="7">
        <f>SUMIFS($D$2:D460,$B$2:B460,B460)/SUMIFS($D$2:$D$741,$B$2:$B$741,B460)</f>
        <v>0.86519544431172002</v>
      </c>
      <c r="P460" s="4" t="b">
        <f t="shared" si="23"/>
        <v>1</v>
      </c>
      <c r="Q460" s="2"/>
      <c r="R460" s="2"/>
      <c r="S460" s="2"/>
    </row>
    <row r="461" spans="1:19" x14ac:dyDescent="0.45">
      <c r="A461" s="4" t="s">
        <v>526</v>
      </c>
      <c r="B461" s="4" t="s">
        <v>506</v>
      </c>
      <c r="C461" s="5">
        <v>2</v>
      </c>
      <c r="D461" s="5">
        <v>1979</v>
      </c>
      <c r="E461" s="5">
        <v>363</v>
      </c>
      <c r="F461" s="5">
        <v>23</v>
      </c>
      <c r="G461" s="5">
        <v>7</v>
      </c>
      <c r="H461" s="5">
        <v>1956</v>
      </c>
      <c r="I461" s="6">
        <v>4</v>
      </c>
      <c r="J461" s="6">
        <v>12.3</v>
      </c>
      <c r="K461" s="6">
        <v>40</v>
      </c>
      <c r="L461" s="6">
        <v>40</v>
      </c>
      <c r="M461" s="4" t="str">
        <f t="shared" si="21"/>
        <v>OK</v>
      </c>
      <c r="N461" s="7">
        <f t="shared" si="22"/>
        <v>1.0893797856470497E-2</v>
      </c>
      <c r="O461" s="7">
        <f>SUMIFS($D$2:D461,$B$2:B461,B461)/SUMIFS($D$2:$D$741,$B$2:$B$741,B461)</f>
        <v>0.87608924216819051</v>
      </c>
      <c r="P461" s="4" t="b">
        <f t="shared" si="23"/>
        <v>1</v>
      </c>
      <c r="Q461" s="2"/>
      <c r="R461" s="2"/>
      <c r="S461" s="2"/>
    </row>
    <row r="462" spans="1:19" x14ac:dyDescent="0.45">
      <c r="A462" s="4" t="s">
        <v>527</v>
      </c>
      <c r="B462" s="4" t="s">
        <v>506</v>
      </c>
      <c r="C462" s="5">
        <v>1</v>
      </c>
      <c r="D462" s="5">
        <v>1896</v>
      </c>
      <c r="E462" s="5">
        <v>1836</v>
      </c>
      <c r="F462" s="5">
        <v>136</v>
      </c>
      <c r="G462" s="5">
        <v>31</v>
      </c>
      <c r="H462" s="5">
        <v>1760</v>
      </c>
      <c r="I462" s="6">
        <v>5</v>
      </c>
      <c r="J462" s="6">
        <v>10.1</v>
      </c>
      <c r="K462" s="6">
        <v>27</v>
      </c>
      <c r="L462" s="6">
        <v>27</v>
      </c>
      <c r="M462" s="4" t="str">
        <f t="shared" si="21"/>
        <v>OK</v>
      </c>
      <c r="N462" s="7">
        <f t="shared" si="22"/>
        <v>1.0436907900893412E-2</v>
      </c>
      <c r="O462" s="7">
        <f>SUMIFS($D$2:D462,$B$2:B462,B462)/SUMIFS($D$2:$D$741,$B$2:$B$741,B462)</f>
        <v>0.88652615006908397</v>
      </c>
      <c r="P462" s="4" t="b">
        <f t="shared" si="23"/>
        <v>1</v>
      </c>
      <c r="Q462" s="2"/>
      <c r="R462" s="2"/>
      <c r="S462" s="2"/>
    </row>
    <row r="463" spans="1:19" x14ac:dyDescent="0.45">
      <c r="A463" s="4" t="s">
        <v>528</v>
      </c>
      <c r="B463" s="4" t="s">
        <v>506</v>
      </c>
      <c r="C463" s="5">
        <v>1</v>
      </c>
      <c r="D463" s="5">
        <v>1760</v>
      </c>
      <c r="E463" s="5">
        <v>24</v>
      </c>
      <c r="F463" s="5">
        <v>24</v>
      </c>
      <c r="G463" s="5">
        <v>24</v>
      </c>
      <c r="H463" s="5">
        <v>1736</v>
      </c>
      <c r="I463" s="6">
        <v>1</v>
      </c>
      <c r="J463" s="6">
        <v>3.6</v>
      </c>
      <c r="K463" s="6">
        <v>6</v>
      </c>
      <c r="L463" s="6">
        <v>6</v>
      </c>
      <c r="M463" s="4" t="str">
        <f t="shared" si="21"/>
        <v>OK</v>
      </c>
      <c r="N463" s="7">
        <f t="shared" si="22"/>
        <v>9.6882689375381893E-3</v>
      </c>
      <c r="O463" s="7">
        <f>SUMIFS($D$2:D463,$B$2:B463,B463)/SUMIFS($D$2:$D$741,$B$2:$B$741,B463)</f>
        <v>0.89621441900662213</v>
      </c>
      <c r="P463" s="4" t="b">
        <f t="shared" si="23"/>
        <v>1</v>
      </c>
      <c r="Q463" s="2"/>
      <c r="R463" s="2"/>
      <c r="S463" s="2"/>
    </row>
    <row r="464" spans="1:19" x14ac:dyDescent="0.45">
      <c r="A464" s="4" t="s">
        <v>529</v>
      </c>
      <c r="B464" s="4" t="s">
        <v>506</v>
      </c>
      <c r="C464" s="5">
        <v>1</v>
      </c>
      <c r="D464" s="5">
        <v>1543</v>
      </c>
      <c r="E464" s="5">
        <v>535</v>
      </c>
      <c r="F464" s="5">
        <v>7</v>
      </c>
      <c r="G464" s="5">
        <v>0</v>
      </c>
      <c r="H464" s="5">
        <v>1536</v>
      </c>
      <c r="I464" s="6">
        <v>6</v>
      </c>
      <c r="J464" s="6">
        <v>9.5</v>
      </c>
      <c r="K464" s="6">
        <v>18</v>
      </c>
      <c r="L464" s="6">
        <v>18</v>
      </c>
      <c r="M464" s="4" t="str">
        <f t="shared" si="21"/>
        <v>OK</v>
      </c>
      <c r="N464" s="7">
        <f t="shared" si="22"/>
        <v>8.4937494151258106E-3</v>
      </c>
      <c r="O464" s="7">
        <f>SUMIFS($D$2:D464,$B$2:B464,B464)/SUMIFS($D$2:$D$741,$B$2:$B$741,B464)</f>
        <v>0.90470816842174795</v>
      </c>
      <c r="P464" s="4" t="b">
        <f t="shared" si="23"/>
        <v>1</v>
      </c>
      <c r="Q464" s="2"/>
      <c r="R464" s="2"/>
      <c r="S464" s="2"/>
    </row>
    <row r="465" spans="1:19" x14ac:dyDescent="0.45">
      <c r="A465" s="4" t="s">
        <v>530</v>
      </c>
      <c r="B465" s="4" t="s">
        <v>506</v>
      </c>
      <c r="C465" s="5">
        <v>2</v>
      </c>
      <c r="D465" s="5">
        <v>1472</v>
      </c>
      <c r="E465" s="5">
        <v>280</v>
      </c>
      <c r="F465" s="5">
        <v>24</v>
      </c>
      <c r="G465" s="5">
        <v>8</v>
      </c>
      <c r="H465" s="5">
        <v>1448</v>
      </c>
      <c r="I465" s="6">
        <v>5</v>
      </c>
      <c r="J465" s="6">
        <v>14.9</v>
      </c>
      <c r="K465" s="6">
        <v>37</v>
      </c>
      <c r="L465" s="6">
        <v>37</v>
      </c>
      <c r="M465" s="4" t="str">
        <f t="shared" si="21"/>
        <v>OK</v>
      </c>
      <c r="N465" s="7">
        <f t="shared" si="22"/>
        <v>8.1029158386683037E-3</v>
      </c>
      <c r="O465" s="7">
        <f>SUMIFS($D$2:D465,$B$2:B465,B465)/SUMIFS($D$2:$D$741,$B$2:$B$741,B465)</f>
        <v>0.91281108426041624</v>
      </c>
      <c r="P465" s="4" t="b">
        <f t="shared" si="23"/>
        <v>1</v>
      </c>
      <c r="Q465" s="2"/>
      <c r="R465" s="2"/>
      <c r="S465" s="2"/>
    </row>
    <row r="466" spans="1:19" x14ac:dyDescent="0.45">
      <c r="A466" s="4" t="s">
        <v>531</v>
      </c>
      <c r="B466" s="4" t="s">
        <v>506</v>
      </c>
      <c r="C466" s="5">
        <v>1</v>
      </c>
      <c r="D466" s="5">
        <v>1316</v>
      </c>
      <c r="E466" s="5">
        <v>497</v>
      </c>
      <c r="F466" s="5">
        <v>41</v>
      </c>
      <c r="G466" s="5">
        <v>13</v>
      </c>
      <c r="H466" s="5">
        <v>1275</v>
      </c>
      <c r="I466" s="6">
        <v>10</v>
      </c>
      <c r="J466" s="6">
        <v>16.5</v>
      </c>
      <c r="K466" s="6">
        <v>34</v>
      </c>
      <c r="L466" s="6">
        <v>34</v>
      </c>
      <c r="M466" s="4" t="str">
        <f t="shared" si="21"/>
        <v>OK</v>
      </c>
      <c r="N466" s="7">
        <f t="shared" si="22"/>
        <v>7.2441829101137821E-3</v>
      </c>
      <c r="O466" s="7">
        <f>SUMIFS($D$2:D466,$B$2:B466,B466)/SUMIFS($D$2:$D$741,$B$2:$B$741,B466)</f>
        <v>0.9200552671705301</v>
      </c>
      <c r="P466" s="4" t="b">
        <f t="shared" si="23"/>
        <v>1</v>
      </c>
      <c r="Q466" s="2"/>
      <c r="R466" s="2"/>
      <c r="S466" s="2"/>
    </row>
    <row r="467" spans="1:19" x14ac:dyDescent="0.45">
      <c r="A467" s="4" t="s">
        <v>532</v>
      </c>
      <c r="B467" s="4" t="s">
        <v>506</v>
      </c>
      <c r="C467" s="5">
        <v>2</v>
      </c>
      <c r="D467" s="5">
        <v>1117</v>
      </c>
      <c r="E467" s="5">
        <v>0</v>
      </c>
      <c r="F467" s="5">
        <v>1</v>
      </c>
      <c r="G467" s="5">
        <v>1</v>
      </c>
      <c r="H467" s="5">
        <v>1116</v>
      </c>
      <c r="I467" s="6">
        <v>2</v>
      </c>
      <c r="J467" s="6">
        <v>8.1999999999999993</v>
      </c>
      <c r="K467" s="6">
        <v>13</v>
      </c>
      <c r="L467" s="6">
        <v>13</v>
      </c>
      <c r="M467" s="4" t="str">
        <f t="shared" si="21"/>
        <v>OK</v>
      </c>
      <c r="N467" s="7">
        <f t="shared" si="22"/>
        <v>6.148747956380771E-3</v>
      </c>
      <c r="O467" s="7">
        <f>SUMIFS($D$2:D467,$B$2:B467,B467)/SUMIFS($D$2:$D$741,$B$2:$B$741,B467)</f>
        <v>0.92620401512691086</v>
      </c>
      <c r="P467" s="4" t="b">
        <f t="shared" si="23"/>
        <v>1</v>
      </c>
      <c r="Q467" s="2"/>
      <c r="R467" s="2"/>
      <c r="S467" s="2"/>
    </row>
    <row r="468" spans="1:19" x14ac:dyDescent="0.45">
      <c r="A468" s="4" t="s">
        <v>533</v>
      </c>
      <c r="B468" s="4" t="s">
        <v>506</v>
      </c>
      <c r="C468" s="5">
        <v>1</v>
      </c>
      <c r="D468" s="5">
        <v>1012</v>
      </c>
      <c r="E468" s="5">
        <v>587</v>
      </c>
      <c r="F468" s="5">
        <v>17</v>
      </c>
      <c r="G468" s="5">
        <v>0</v>
      </c>
      <c r="H468" s="5">
        <v>995</v>
      </c>
      <c r="I468" s="6">
        <v>2</v>
      </c>
      <c r="J468" s="6">
        <v>3.2</v>
      </c>
      <c r="K468" s="6">
        <v>7</v>
      </c>
      <c r="L468" s="6">
        <v>7</v>
      </c>
      <c r="M468" s="4" t="str">
        <f t="shared" si="21"/>
        <v>OK</v>
      </c>
      <c r="N468" s="7">
        <f t="shared" si="22"/>
        <v>5.5707546390844588E-3</v>
      </c>
      <c r="O468" s="7">
        <f>SUMIFS($D$2:D468,$B$2:B468,B468)/SUMIFS($D$2:$D$741,$B$2:$B$741,B468)</f>
        <v>0.93177476976599527</v>
      </c>
      <c r="P468" s="4" t="b">
        <f t="shared" si="23"/>
        <v>1</v>
      </c>
      <c r="Q468" s="2"/>
      <c r="R468" s="2"/>
      <c r="S468" s="2"/>
    </row>
    <row r="469" spans="1:19" x14ac:dyDescent="0.45">
      <c r="A469" s="4" t="s">
        <v>534</v>
      </c>
      <c r="B469" s="4" t="s">
        <v>506</v>
      </c>
      <c r="C469" s="5">
        <v>2</v>
      </c>
      <c r="D469" s="5">
        <v>1003</v>
      </c>
      <c r="E469" s="5">
        <v>0</v>
      </c>
      <c r="F469" s="5">
        <v>0</v>
      </c>
      <c r="G469" s="5">
        <v>0</v>
      </c>
      <c r="H469" s="5">
        <v>1003</v>
      </c>
      <c r="I469" s="6">
        <v>4</v>
      </c>
      <c r="J469" s="6">
        <v>8.3000000000000007</v>
      </c>
      <c r="K469" s="6">
        <v>29</v>
      </c>
      <c r="L469" s="6">
        <v>29</v>
      </c>
      <c r="M469" s="4" t="str">
        <f t="shared" si="21"/>
        <v>OK</v>
      </c>
      <c r="N469" s="7">
        <f t="shared" si="22"/>
        <v>5.5212123547447745E-3</v>
      </c>
      <c r="O469" s="7">
        <f>SUMIFS($D$2:D469,$B$2:B469,B469)/SUMIFS($D$2:$D$741,$B$2:$B$741,B469)</f>
        <v>0.93729598212074006</v>
      </c>
      <c r="P469" s="4" t="b">
        <f t="shared" si="23"/>
        <v>1</v>
      </c>
      <c r="Q469" s="2"/>
      <c r="R469" s="2"/>
      <c r="S469" s="2"/>
    </row>
    <row r="470" spans="1:19" x14ac:dyDescent="0.45">
      <c r="A470" s="4" t="s">
        <v>535</v>
      </c>
      <c r="B470" s="4" t="s">
        <v>506</v>
      </c>
      <c r="C470" s="5">
        <v>2</v>
      </c>
      <c r="D470" s="5">
        <v>923</v>
      </c>
      <c r="E470" s="5">
        <v>0</v>
      </c>
      <c r="F470" s="5">
        <v>9</v>
      </c>
      <c r="G470" s="5">
        <v>9</v>
      </c>
      <c r="H470" s="5">
        <v>914</v>
      </c>
      <c r="I470" s="6">
        <v>2</v>
      </c>
      <c r="J470" s="6">
        <v>4.3</v>
      </c>
      <c r="K470" s="6">
        <v>10</v>
      </c>
      <c r="L470" s="6">
        <v>10</v>
      </c>
      <c r="M470" s="4" t="str">
        <f t="shared" si="21"/>
        <v>OK</v>
      </c>
      <c r="N470" s="7">
        <f t="shared" si="22"/>
        <v>5.0808364939475843E-3</v>
      </c>
      <c r="O470" s="7">
        <f>SUMIFS($D$2:D470,$B$2:B470,B470)/SUMIFS($D$2:$D$741,$B$2:$B$741,B470)</f>
        <v>0.94237681861468758</v>
      </c>
      <c r="P470" s="4" t="b">
        <f t="shared" si="23"/>
        <v>1</v>
      </c>
      <c r="Q470" s="2"/>
      <c r="R470" s="2"/>
      <c r="S470" s="2"/>
    </row>
    <row r="471" spans="1:19" x14ac:dyDescent="0.45">
      <c r="A471" s="4" t="s">
        <v>536</v>
      </c>
      <c r="B471" s="4" t="s">
        <v>506</v>
      </c>
      <c r="C471" s="5">
        <v>1</v>
      </c>
      <c r="D471" s="5">
        <v>719</v>
      </c>
      <c r="E471" s="5">
        <v>519</v>
      </c>
      <c r="F471" s="5">
        <v>38</v>
      </c>
      <c r="G471" s="5">
        <v>2</v>
      </c>
      <c r="H471" s="5">
        <v>681</v>
      </c>
      <c r="I471" s="6">
        <v>8</v>
      </c>
      <c r="J471" s="6">
        <v>13.3</v>
      </c>
      <c r="K471" s="6">
        <v>28</v>
      </c>
      <c r="L471" s="6">
        <v>28</v>
      </c>
      <c r="M471" s="4" t="str">
        <f t="shared" si="21"/>
        <v>OK</v>
      </c>
      <c r="N471" s="7">
        <f t="shared" si="22"/>
        <v>3.9578780489147487E-3</v>
      </c>
      <c r="O471" s="7">
        <f>SUMIFS($D$2:D471,$B$2:B471,B471)/SUMIFS($D$2:$D$741,$B$2:$B$741,B471)</f>
        <v>0.94633469666360237</v>
      </c>
      <c r="P471" s="4" t="b">
        <f t="shared" si="23"/>
        <v>1</v>
      </c>
      <c r="Q471" s="2"/>
      <c r="R471" s="2"/>
      <c r="S471" s="2"/>
    </row>
    <row r="472" spans="1:19" x14ac:dyDescent="0.45">
      <c r="A472" s="4" t="s">
        <v>537</v>
      </c>
      <c r="B472" s="4" t="s">
        <v>506</v>
      </c>
      <c r="C472" s="5">
        <v>2</v>
      </c>
      <c r="D472" s="5">
        <v>701</v>
      </c>
      <c r="E472" s="5">
        <v>221</v>
      </c>
      <c r="F472" s="5">
        <v>3</v>
      </c>
      <c r="G472" s="5">
        <v>2</v>
      </c>
      <c r="H472" s="5">
        <v>698</v>
      </c>
      <c r="I472" s="6">
        <v>1</v>
      </c>
      <c r="J472" s="6">
        <v>3.7</v>
      </c>
      <c r="K472" s="6">
        <v>8</v>
      </c>
      <c r="L472" s="6">
        <v>8</v>
      </c>
      <c r="M472" s="4" t="str">
        <f t="shared" si="21"/>
        <v>OK</v>
      </c>
      <c r="N472" s="7">
        <f t="shared" si="22"/>
        <v>3.8587934802353811E-3</v>
      </c>
      <c r="O472" s="7">
        <f>SUMIFS($D$2:D472,$B$2:B472,B472)/SUMIFS($D$2:$D$741,$B$2:$B$741,B472)</f>
        <v>0.9501934901438378</v>
      </c>
      <c r="P472" s="4" t="b">
        <f t="shared" si="23"/>
        <v>1</v>
      </c>
      <c r="Q472" s="2"/>
      <c r="R472" s="2"/>
      <c r="S472" s="2"/>
    </row>
    <row r="473" spans="1:19" x14ac:dyDescent="0.45">
      <c r="A473" s="4" t="s">
        <v>538</v>
      </c>
      <c r="B473" s="4" t="s">
        <v>506</v>
      </c>
      <c r="C473" s="5">
        <v>2</v>
      </c>
      <c r="D473" s="5">
        <v>699</v>
      </c>
      <c r="E473" s="5">
        <v>0</v>
      </c>
      <c r="F473" s="5">
        <v>0</v>
      </c>
      <c r="G473" s="5">
        <v>0</v>
      </c>
      <c r="H473" s="5">
        <v>699</v>
      </c>
      <c r="I473" s="6">
        <v>3</v>
      </c>
      <c r="J473" s="6">
        <v>6.4</v>
      </c>
      <c r="K473" s="6">
        <v>12</v>
      </c>
      <c r="L473" s="6">
        <v>12</v>
      </c>
      <c r="M473" s="4" t="str">
        <f t="shared" si="21"/>
        <v>OK</v>
      </c>
      <c r="N473" s="7">
        <f t="shared" si="22"/>
        <v>3.8477840837154512E-3</v>
      </c>
      <c r="O473" s="7">
        <f>SUMIFS($D$2:D473,$B$2:B473,B473)/SUMIFS($D$2:$D$741,$B$2:$B$741,B473)</f>
        <v>0.95404127422755325</v>
      </c>
      <c r="P473" s="4" t="b">
        <f t="shared" si="23"/>
        <v>0</v>
      </c>
      <c r="Q473" s="2"/>
      <c r="R473" s="2"/>
      <c r="S473" s="2"/>
    </row>
    <row r="474" spans="1:19" x14ac:dyDescent="0.45">
      <c r="A474" s="4" t="s">
        <v>539</v>
      </c>
      <c r="B474" s="4" t="s">
        <v>506</v>
      </c>
      <c r="C474" s="5">
        <v>1</v>
      </c>
      <c r="D474" s="5">
        <v>688</v>
      </c>
      <c r="E474" s="5">
        <v>210</v>
      </c>
      <c r="F474" s="5">
        <v>4</v>
      </c>
      <c r="G474" s="5">
        <v>1</v>
      </c>
      <c r="H474" s="5">
        <v>684</v>
      </c>
      <c r="I474" s="6">
        <v>4</v>
      </c>
      <c r="J474" s="6">
        <v>5.9</v>
      </c>
      <c r="K474" s="6">
        <v>13</v>
      </c>
      <c r="L474" s="6">
        <v>13</v>
      </c>
      <c r="M474" s="4" t="str">
        <f t="shared" si="21"/>
        <v>OK</v>
      </c>
      <c r="N474" s="7">
        <f t="shared" si="22"/>
        <v>3.7872324028558374E-3</v>
      </c>
      <c r="O474" s="7">
        <f>SUMIFS($D$2:D474,$B$2:B474,B474)/SUMIFS($D$2:$D$741,$B$2:$B$741,B474)</f>
        <v>0.95782850663040908</v>
      </c>
      <c r="P474" s="4" t="b">
        <f t="shared" si="23"/>
        <v>0</v>
      </c>
      <c r="Q474" s="2"/>
      <c r="R474" s="2"/>
      <c r="S474" s="2"/>
    </row>
    <row r="475" spans="1:19" x14ac:dyDescent="0.45">
      <c r="A475" s="4" t="s">
        <v>540</v>
      </c>
      <c r="B475" s="4" t="s">
        <v>506</v>
      </c>
      <c r="C475" s="5">
        <v>1</v>
      </c>
      <c r="D475" s="5">
        <v>676</v>
      </c>
      <c r="E475" s="5">
        <v>0</v>
      </c>
      <c r="F475" s="5">
        <v>0</v>
      </c>
      <c r="G475" s="5">
        <v>0</v>
      </c>
      <c r="H475" s="5">
        <v>676</v>
      </c>
      <c r="I475" s="6">
        <v>0</v>
      </c>
      <c r="J475" s="6">
        <v>0.3</v>
      </c>
      <c r="K475" s="6">
        <v>0</v>
      </c>
      <c r="L475" s="6">
        <v>0</v>
      </c>
      <c r="M475" s="4" t="str">
        <f t="shared" si="21"/>
        <v>OK</v>
      </c>
      <c r="N475" s="7">
        <f t="shared" si="22"/>
        <v>3.7211760237362587E-3</v>
      </c>
      <c r="O475" s="7">
        <f>SUMIFS($D$2:D475,$B$2:B475,B475)/SUMIFS($D$2:$D$741,$B$2:$B$741,B475)</f>
        <v>0.96154968265414531</v>
      </c>
      <c r="P475" s="4" t="b">
        <f t="shared" si="23"/>
        <v>0</v>
      </c>
      <c r="Q475" s="2"/>
      <c r="R475" s="2"/>
      <c r="S475" s="2"/>
    </row>
    <row r="476" spans="1:19" x14ac:dyDescent="0.45">
      <c r="A476" s="4" t="s">
        <v>541</v>
      </c>
      <c r="B476" s="4" t="s">
        <v>506</v>
      </c>
      <c r="C476" s="5">
        <v>1</v>
      </c>
      <c r="D476" s="5">
        <v>595</v>
      </c>
      <c r="E476" s="5">
        <v>199</v>
      </c>
      <c r="F476" s="5">
        <v>8</v>
      </c>
      <c r="G476" s="5">
        <v>2</v>
      </c>
      <c r="H476" s="5">
        <v>587</v>
      </c>
      <c r="I476" s="6">
        <v>4</v>
      </c>
      <c r="J476" s="6">
        <v>6.1</v>
      </c>
      <c r="K476" s="6">
        <v>12</v>
      </c>
      <c r="L476" s="6">
        <v>12.4</v>
      </c>
      <c r="M476" s="4" t="str">
        <f t="shared" si="21"/>
        <v>OK</v>
      </c>
      <c r="N476" s="7">
        <f t="shared" si="22"/>
        <v>3.2752954646791035E-3</v>
      </c>
      <c r="O476" s="7">
        <f>SUMIFS($D$2:D476,$B$2:B476,B476)/SUMIFS($D$2:$D$741,$B$2:$B$741,B476)</f>
        <v>0.96482497811882439</v>
      </c>
      <c r="P476" s="4" t="b">
        <f t="shared" si="23"/>
        <v>0</v>
      </c>
      <c r="Q476" s="2"/>
      <c r="R476" s="2"/>
      <c r="S476" s="2"/>
    </row>
    <row r="477" spans="1:19" x14ac:dyDescent="0.45">
      <c r="A477" s="4" t="s">
        <v>542</v>
      </c>
      <c r="B477" s="4" t="s">
        <v>506</v>
      </c>
      <c r="C477" s="5">
        <v>2</v>
      </c>
      <c r="D477" s="5">
        <v>592</v>
      </c>
      <c r="E477" s="5">
        <v>0</v>
      </c>
      <c r="F477" s="5">
        <v>0</v>
      </c>
      <c r="G477" s="5">
        <v>0</v>
      </c>
      <c r="H477" s="5">
        <v>592</v>
      </c>
      <c r="I477" s="6">
        <v>3</v>
      </c>
      <c r="J477" s="6">
        <v>6.6</v>
      </c>
      <c r="K477" s="6">
        <v>11</v>
      </c>
      <c r="L477" s="6">
        <v>11</v>
      </c>
      <c r="M477" s="4" t="str">
        <f t="shared" si="21"/>
        <v>OK</v>
      </c>
      <c r="N477" s="7">
        <f t="shared" si="22"/>
        <v>3.258781369899209E-3</v>
      </c>
      <c r="O477" s="7">
        <f>SUMIFS($D$2:D477,$B$2:B477,B477)/SUMIFS($D$2:$D$741,$B$2:$B$741,B477)</f>
        <v>0.96808375948872361</v>
      </c>
      <c r="P477" s="4" t="b">
        <f t="shared" si="23"/>
        <v>0</v>
      </c>
      <c r="Q477" s="2"/>
      <c r="R477" s="2"/>
      <c r="S477" s="2"/>
    </row>
    <row r="478" spans="1:19" x14ac:dyDescent="0.45">
      <c r="A478" s="4" t="s">
        <v>543</v>
      </c>
      <c r="B478" s="4" t="s">
        <v>506</v>
      </c>
      <c r="C478" s="5">
        <v>2</v>
      </c>
      <c r="D478" s="5">
        <v>591</v>
      </c>
      <c r="E478" s="5">
        <v>154</v>
      </c>
      <c r="F478" s="5">
        <v>2</v>
      </c>
      <c r="G478" s="5">
        <v>0</v>
      </c>
      <c r="H478" s="5">
        <v>589</v>
      </c>
      <c r="I478" s="6">
        <v>1</v>
      </c>
      <c r="J478" s="6">
        <v>2.8</v>
      </c>
      <c r="K478" s="6">
        <v>7</v>
      </c>
      <c r="L478" s="6">
        <v>7</v>
      </c>
      <c r="M478" s="4" t="str">
        <f t="shared" si="21"/>
        <v>OK</v>
      </c>
      <c r="N478" s="7">
        <f t="shared" si="22"/>
        <v>3.253276671639244E-3</v>
      </c>
      <c r="O478" s="7">
        <f>SUMIFS($D$2:D478,$B$2:B478,B478)/SUMIFS($D$2:$D$741,$B$2:$B$741,B478)</f>
        <v>0.97133703616036282</v>
      </c>
      <c r="P478" s="4" t="b">
        <f t="shared" si="23"/>
        <v>0</v>
      </c>
      <c r="Q478" s="2"/>
      <c r="R478" s="2"/>
      <c r="S478" s="2"/>
    </row>
    <row r="479" spans="1:19" x14ac:dyDescent="0.45">
      <c r="A479" s="4" t="s">
        <v>544</v>
      </c>
      <c r="B479" s="4" t="s">
        <v>506</v>
      </c>
      <c r="C479" s="5">
        <v>2</v>
      </c>
      <c r="D479" s="5">
        <v>519</v>
      </c>
      <c r="E479" s="5">
        <v>0</v>
      </c>
      <c r="F479" s="5">
        <v>0</v>
      </c>
      <c r="G479" s="5">
        <v>0</v>
      </c>
      <c r="H479" s="5">
        <v>519</v>
      </c>
      <c r="I479" s="6">
        <v>5</v>
      </c>
      <c r="J479" s="6">
        <v>7.9</v>
      </c>
      <c r="K479" s="6">
        <v>14</v>
      </c>
      <c r="L479" s="6">
        <v>14</v>
      </c>
      <c r="M479" s="4" t="str">
        <f t="shared" si="21"/>
        <v>OK</v>
      </c>
      <c r="N479" s="7">
        <f t="shared" si="22"/>
        <v>2.8569383969217726E-3</v>
      </c>
      <c r="O479" s="7">
        <f>SUMIFS($D$2:D479,$B$2:B479,B479)/SUMIFS($D$2:$D$741,$B$2:$B$741,B479)</f>
        <v>0.97419397455728463</v>
      </c>
      <c r="P479" s="4" t="b">
        <f t="shared" si="23"/>
        <v>0</v>
      </c>
      <c r="Q479" s="2"/>
      <c r="R479" s="2"/>
      <c r="S479" s="2"/>
    </row>
    <row r="480" spans="1:19" x14ac:dyDescent="0.45">
      <c r="A480" s="4" t="s">
        <v>545</v>
      </c>
      <c r="B480" s="4" t="s">
        <v>506</v>
      </c>
      <c r="C480" s="5">
        <v>2</v>
      </c>
      <c r="D480" s="5">
        <v>507</v>
      </c>
      <c r="E480" s="5">
        <v>92</v>
      </c>
      <c r="F480" s="5">
        <v>3</v>
      </c>
      <c r="G480" s="5">
        <v>3</v>
      </c>
      <c r="H480" s="5">
        <v>504</v>
      </c>
      <c r="I480" s="6">
        <v>2</v>
      </c>
      <c r="J480" s="6">
        <v>3.2</v>
      </c>
      <c r="K480" s="6">
        <v>7</v>
      </c>
      <c r="L480" s="6">
        <v>7</v>
      </c>
      <c r="M480" s="4" t="str">
        <f t="shared" si="21"/>
        <v>OK</v>
      </c>
      <c r="N480" s="7">
        <f t="shared" si="22"/>
        <v>2.7908820178021944E-3</v>
      </c>
      <c r="O480" s="7">
        <f>SUMIFS($D$2:D480,$B$2:B480,B480)/SUMIFS($D$2:$D$741,$B$2:$B$741,B480)</f>
        <v>0.97698485657508682</v>
      </c>
      <c r="P480" s="4" t="b">
        <f t="shared" si="23"/>
        <v>0</v>
      </c>
      <c r="Q480" s="2"/>
      <c r="R480" s="2"/>
      <c r="S480" s="2"/>
    </row>
    <row r="481" spans="1:19" x14ac:dyDescent="0.45">
      <c r="A481" s="4" t="s">
        <v>546</v>
      </c>
      <c r="B481" s="4" t="s">
        <v>506</v>
      </c>
      <c r="C481" s="5">
        <v>2</v>
      </c>
      <c r="D481" s="5">
        <v>487</v>
      </c>
      <c r="E481" s="5">
        <v>120</v>
      </c>
      <c r="F481" s="5">
        <v>9</v>
      </c>
      <c r="G481" s="5">
        <v>2</v>
      </c>
      <c r="H481" s="5">
        <v>478</v>
      </c>
      <c r="I481" s="6">
        <v>6</v>
      </c>
      <c r="J481" s="6">
        <v>16.8</v>
      </c>
      <c r="K481" s="6">
        <v>46</v>
      </c>
      <c r="L481" s="6">
        <v>46.3</v>
      </c>
      <c r="M481" s="4" t="str">
        <f t="shared" si="21"/>
        <v>OK</v>
      </c>
      <c r="N481" s="7">
        <f t="shared" si="22"/>
        <v>2.6807880526028968E-3</v>
      </c>
      <c r="O481" s="7">
        <f>SUMIFS($D$2:D481,$B$2:B481,B481)/SUMIFS($D$2:$D$741,$B$2:$B$741,B481)</f>
        <v>0.97966564462768968</v>
      </c>
      <c r="P481" s="4" t="b">
        <f t="shared" si="23"/>
        <v>0</v>
      </c>
      <c r="Q481" s="2"/>
      <c r="R481" s="2"/>
      <c r="S481" s="2"/>
    </row>
    <row r="482" spans="1:19" x14ac:dyDescent="0.45">
      <c r="A482" s="4" t="s">
        <v>547</v>
      </c>
      <c r="B482" s="4" t="s">
        <v>506</v>
      </c>
      <c r="C482" s="5">
        <v>2</v>
      </c>
      <c r="D482" s="5">
        <v>431</v>
      </c>
      <c r="E482" s="5">
        <v>116</v>
      </c>
      <c r="F482" s="5">
        <v>0</v>
      </c>
      <c r="G482" s="5">
        <v>0</v>
      </c>
      <c r="H482" s="5">
        <v>431</v>
      </c>
      <c r="I482" s="6">
        <v>3</v>
      </c>
      <c r="J482" s="6">
        <v>6.9</v>
      </c>
      <c r="K482" s="6">
        <v>14</v>
      </c>
      <c r="L482" s="6">
        <v>14</v>
      </c>
      <c r="M482" s="4" t="str">
        <f t="shared" si="21"/>
        <v>OK</v>
      </c>
      <c r="N482" s="7">
        <f t="shared" si="22"/>
        <v>2.3725249500448631E-3</v>
      </c>
      <c r="O482" s="7">
        <f>SUMIFS($D$2:D482,$B$2:B482,B482)/SUMIFS($D$2:$D$741,$B$2:$B$741,B482)</f>
        <v>0.9820381695777346</v>
      </c>
      <c r="P482" s="4" t="b">
        <f t="shared" si="23"/>
        <v>0</v>
      </c>
      <c r="Q482" s="2"/>
      <c r="R482" s="2"/>
      <c r="S482" s="2"/>
    </row>
    <row r="483" spans="1:19" x14ac:dyDescent="0.45">
      <c r="A483" s="4" t="s">
        <v>548</v>
      </c>
      <c r="B483" s="4" t="s">
        <v>506</v>
      </c>
      <c r="C483" s="5">
        <v>2</v>
      </c>
      <c r="D483" s="5">
        <v>385</v>
      </c>
      <c r="E483" s="5">
        <v>125</v>
      </c>
      <c r="F483" s="5">
        <v>2</v>
      </c>
      <c r="G483" s="5">
        <v>1</v>
      </c>
      <c r="H483" s="5">
        <v>383</v>
      </c>
      <c r="I483" s="6">
        <v>1</v>
      </c>
      <c r="J483" s="6">
        <v>4.8</v>
      </c>
      <c r="K483" s="6">
        <v>13</v>
      </c>
      <c r="L483" s="6">
        <v>12.8</v>
      </c>
      <c r="M483" s="4" t="str">
        <f t="shared" si="21"/>
        <v>OK</v>
      </c>
      <c r="N483" s="7">
        <f t="shared" si="22"/>
        <v>2.119308830086479E-3</v>
      </c>
      <c r="O483" s="7">
        <f>SUMIFS($D$2:D483,$B$2:B483,B483)/SUMIFS($D$2:$D$741,$B$2:$B$741,B483)</f>
        <v>0.98415747840782108</v>
      </c>
      <c r="P483" s="4" t="b">
        <f t="shared" si="23"/>
        <v>0</v>
      </c>
      <c r="Q483" s="2"/>
      <c r="R483" s="2"/>
      <c r="S483" s="2"/>
    </row>
    <row r="484" spans="1:19" x14ac:dyDescent="0.45">
      <c r="A484" s="4" t="s">
        <v>549</v>
      </c>
      <c r="B484" s="4" t="s">
        <v>506</v>
      </c>
      <c r="C484" s="5">
        <v>2</v>
      </c>
      <c r="D484" s="5">
        <v>375</v>
      </c>
      <c r="E484" s="5">
        <v>0</v>
      </c>
      <c r="F484" s="5">
        <v>0</v>
      </c>
      <c r="G484" s="5">
        <v>0</v>
      </c>
      <c r="H484" s="5">
        <v>375</v>
      </c>
      <c r="I484" s="6">
        <v>3</v>
      </c>
      <c r="J484" s="6">
        <v>4.5999999999999996</v>
      </c>
      <c r="K484" s="6">
        <v>7</v>
      </c>
      <c r="L484" s="6">
        <v>7</v>
      </c>
      <c r="M484" s="4" t="str">
        <f t="shared" si="21"/>
        <v>OK</v>
      </c>
      <c r="N484" s="7">
        <f t="shared" si="22"/>
        <v>2.0642618474868298E-3</v>
      </c>
      <c r="O484" s="7">
        <f>SUMIFS($D$2:D484,$B$2:B484,B484)/SUMIFS($D$2:$D$741,$B$2:$B$741,B484)</f>
        <v>0.98622174025530795</v>
      </c>
      <c r="P484" s="4" t="b">
        <f t="shared" si="23"/>
        <v>0</v>
      </c>
      <c r="Q484" s="2"/>
      <c r="R484" s="2"/>
      <c r="S484" s="2"/>
    </row>
    <row r="485" spans="1:19" x14ac:dyDescent="0.45">
      <c r="A485" s="4" t="s">
        <v>550</v>
      </c>
      <c r="B485" s="4" t="s">
        <v>506</v>
      </c>
      <c r="C485" s="5">
        <v>1</v>
      </c>
      <c r="D485" s="5">
        <v>348</v>
      </c>
      <c r="E485" s="5">
        <v>0</v>
      </c>
      <c r="F485" s="5">
        <v>0</v>
      </c>
      <c r="G485" s="5">
        <v>0</v>
      </c>
      <c r="H485" s="5">
        <v>348</v>
      </c>
      <c r="I485" s="6">
        <v>1</v>
      </c>
      <c r="J485" s="6">
        <v>3.3</v>
      </c>
      <c r="K485" s="6">
        <v>4</v>
      </c>
      <c r="L485" s="6">
        <v>4</v>
      </c>
      <c r="M485" s="4" t="str">
        <f t="shared" si="21"/>
        <v>OK</v>
      </c>
      <c r="N485" s="7">
        <f t="shared" si="22"/>
        <v>1.9156349944677784E-3</v>
      </c>
      <c r="O485" s="7">
        <f>SUMIFS($D$2:D485,$B$2:B485,B485)/SUMIFS($D$2:$D$741,$B$2:$B$741,B485)</f>
        <v>0.98813737524977563</v>
      </c>
      <c r="P485" s="4" t="b">
        <f t="shared" si="23"/>
        <v>0</v>
      </c>
      <c r="Q485" s="2"/>
      <c r="R485" s="2"/>
      <c r="S485" s="2"/>
    </row>
    <row r="486" spans="1:19" x14ac:dyDescent="0.45">
      <c r="A486" s="4" t="s">
        <v>551</v>
      </c>
      <c r="B486" s="4" t="s">
        <v>506</v>
      </c>
      <c r="C486" s="5">
        <v>2</v>
      </c>
      <c r="D486" s="5">
        <v>335</v>
      </c>
      <c r="E486" s="5">
        <v>0</v>
      </c>
      <c r="F486" s="5">
        <v>0</v>
      </c>
      <c r="G486" s="5">
        <v>0</v>
      </c>
      <c r="H486" s="5">
        <v>335</v>
      </c>
      <c r="I486" s="6">
        <v>8</v>
      </c>
      <c r="J486" s="6">
        <v>13.4</v>
      </c>
      <c r="K486" s="6">
        <v>20</v>
      </c>
      <c r="L486" s="6">
        <v>20</v>
      </c>
      <c r="M486" s="4" t="str">
        <f t="shared" si="21"/>
        <v>OK</v>
      </c>
      <c r="N486" s="7">
        <f t="shared" si="22"/>
        <v>1.8440739170882349E-3</v>
      </c>
      <c r="O486" s="7">
        <f>SUMIFS($D$2:D486,$B$2:B486,B486)/SUMIFS($D$2:$D$741,$B$2:$B$741,B486)</f>
        <v>0.98998144916686392</v>
      </c>
      <c r="P486" s="4" t="b">
        <f t="shared" si="23"/>
        <v>0</v>
      </c>
      <c r="Q486" s="2"/>
      <c r="R486" s="2"/>
      <c r="S486" s="2"/>
    </row>
    <row r="487" spans="1:19" x14ac:dyDescent="0.45">
      <c r="A487" s="4" t="s">
        <v>552</v>
      </c>
      <c r="B487" s="4" t="s">
        <v>506</v>
      </c>
      <c r="C487" s="5">
        <v>1</v>
      </c>
      <c r="D487" s="5">
        <v>301</v>
      </c>
      <c r="E487" s="5">
        <v>93</v>
      </c>
      <c r="F487" s="5">
        <v>7</v>
      </c>
      <c r="G487" s="5">
        <v>3</v>
      </c>
      <c r="H487" s="5">
        <v>294</v>
      </c>
      <c r="I487" s="6">
        <v>4</v>
      </c>
      <c r="J487" s="6">
        <v>7.3</v>
      </c>
      <c r="K487" s="6">
        <v>18</v>
      </c>
      <c r="L487" s="6">
        <v>17.7</v>
      </c>
      <c r="M487" s="4" t="str">
        <f t="shared" si="21"/>
        <v>OK</v>
      </c>
      <c r="N487" s="7">
        <f t="shared" si="22"/>
        <v>1.6569141762494289E-3</v>
      </c>
      <c r="O487" s="7">
        <f>SUMIFS($D$2:D487,$B$2:B487,B487)/SUMIFS($D$2:$D$741,$B$2:$B$741,B487)</f>
        <v>0.99163836334311339</v>
      </c>
      <c r="P487" s="4" t="b">
        <f t="shared" si="23"/>
        <v>0</v>
      </c>
      <c r="Q487" s="2"/>
      <c r="R487" s="2"/>
      <c r="S487" s="2"/>
    </row>
    <row r="488" spans="1:19" x14ac:dyDescent="0.45">
      <c r="A488" s="4" t="s">
        <v>553</v>
      </c>
      <c r="B488" s="4" t="s">
        <v>506</v>
      </c>
      <c r="C488" s="5">
        <v>2</v>
      </c>
      <c r="D488" s="5">
        <v>215</v>
      </c>
      <c r="E488" s="5">
        <v>0</v>
      </c>
      <c r="F488" s="5">
        <v>0</v>
      </c>
      <c r="G488" s="5">
        <v>0</v>
      </c>
      <c r="H488" s="5">
        <v>215</v>
      </c>
      <c r="I488" s="6">
        <v>3</v>
      </c>
      <c r="J488" s="6">
        <v>5</v>
      </c>
      <c r="K488" s="6">
        <v>10</v>
      </c>
      <c r="L488" s="6">
        <v>10</v>
      </c>
      <c r="M488" s="4" t="str">
        <f t="shared" si="21"/>
        <v>OK</v>
      </c>
      <c r="N488" s="7">
        <f t="shared" si="22"/>
        <v>1.1835101258924493E-3</v>
      </c>
      <c r="O488" s="7">
        <f>SUMIFS($D$2:D488,$B$2:B488,B488)/SUMIFS($D$2:$D$741,$B$2:$B$741,B488)</f>
        <v>0.99282187346900574</v>
      </c>
      <c r="P488" s="4" t="b">
        <f t="shared" si="23"/>
        <v>0</v>
      </c>
      <c r="Q488" s="2"/>
      <c r="R488" s="2"/>
      <c r="S488" s="2"/>
    </row>
    <row r="489" spans="1:19" x14ac:dyDescent="0.45">
      <c r="A489" s="4" t="s">
        <v>554</v>
      </c>
      <c r="B489" s="4" t="s">
        <v>506</v>
      </c>
      <c r="C489" s="5">
        <v>2</v>
      </c>
      <c r="D489" s="5">
        <v>183</v>
      </c>
      <c r="E489" s="5">
        <v>0</v>
      </c>
      <c r="F489" s="5">
        <v>0</v>
      </c>
      <c r="G489" s="5">
        <v>0</v>
      </c>
      <c r="H489" s="5">
        <v>183</v>
      </c>
      <c r="I489" s="6">
        <v>4</v>
      </c>
      <c r="J489" s="6">
        <v>6.8</v>
      </c>
      <c r="K489" s="6">
        <v>16</v>
      </c>
      <c r="L489" s="6">
        <v>15.6</v>
      </c>
      <c r="M489" s="4" t="str">
        <f t="shared" si="21"/>
        <v>OK</v>
      </c>
      <c r="N489" s="7">
        <f t="shared" si="22"/>
        <v>1.007359781573573E-3</v>
      </c>
      <c r="O489" s="7">
        <f>SUMIFS($D$2:D489,$B$2:B489,B489)/SUMIFS($D$2:$D$741,$B$2:$B$741,B489)</f>
        <v>0.99382923325057937</v>
      </c>
      <c r="P489" s="4" t="b">
        <f t="shared" si="23"/>
        <v>0</v>
      </c>
      <c r="Q489" s="2"/>
      <c r="R489" s="2"/>
      <c r="S489" s="2"/>
    </row>
    <row r="490" spans="1:19" x14ac:dyDescent="0.45">
      <c r="A490" s="4" t="s">
        <v>555</v>
      </c>
      <c r="B490" s="4" t="s">
        <v>506</v>
      </c>
      <c r="C490" s="5">
        <v>1</v>
      </c>
      <c r="D490" s="5">
        <v>169</v>
      </c>
      <c r="E490" s="5">
        <v>142</v>
      </c>
      <c r="F490" s="5">
        <v>7</v>
      </c>
      <c r="G490" s="5">
        <v>2</v>
      </c>
      <c r="H490" s="5">
        <v>162</v>
      </c>
      <c r="I490" s="6">
        <v>7</v>
      </c>
      <c r="J490" s="6">
        <v>10</v>
      </c>
      <c r="K490" s="6">
        <v>22</v>
      </c>
      <c r="L490" s="6">
        <v>22</v>
      </c>
      <c r="M490" s="4" t="str">
        <f t="shared" si="21"/>
        <v>OK</v>
      </c>
      <c r="N490" s="7">
        <f t="shared" si="22"/>
        <v>9.3029400593406468E-4</v>
      </c>
      <c r="O490" s="7">
        <f>SUMIFS($D$2:D490,$B$2:B490,B490)/SUMIFS($D$2:$D$741,$B$2:$B$741,B490)</f>
        <v>0.9947595272565134</v>
      </c>
      <c r="P490" s="4" t="b">
        <f t="shared" si="23"/>
        <v>0</v>
      </c>
      <c r="Q490" s="2"/>
      <c r="R490" s="2"/>
      <c r="S490" s="2"/>
    </row>
    <row r="491" spans="1:19" x14ac:dyDescent="0.45">
      <c r="A491" s="4" t="s">
        <v>556</v>
      </c>
      <c r="B491" s="4" t="s">
        <v>506</v>
      </c>
      <c r="C491" s="5">
        <v>2</v>
      </c>
      <c r="D491" s="5">
        <v>149</v>
      </c>
      <c r="E491" s="5">
        <v>0</v>
      </c>
      <c r="F491" s="5">
        <v>0</v>
      </c>
      <c r="G491" s="5">
        <v>0</v>
      </c>
      <c r="H491" s="5">
        <v>149</v>
      </c>
      <c r="I491" s="6">
        <v>3</v>
      </c>
      <c r="J491" s="6">
        <v>8.1999999999999993</v>
      </c>
      <c r="K491" s="6">
        <v>12</v>
      </c>
      <c r="L491" s="6">
        <v>12.4</v>
      </c>
      <c r="M491" s="4" t="str">
        <f t="shared" si="21"/>
        <v>OK</v>
      </c>
      <c r="N491" s="7">
        <f t="shared" si="22"/>
        <v>8.2020004073476711E-4</v>
      </c>
      <c r="O491" s="7">
        <f>SUMIFS($D$2:D491,$B$2:B491,B491)/SUMIFS($D$2:$D$741,$B$2:$B$741,B491)</f>
        <v>0.9955797272972482</v>
      </c>
      <c r="P491" s="4" t="b">
        <f t="shared" si="23"/>
        <v>0</v>
      </c>
      <c r="Q491" s="2"/>
      <c r="R491" s="2"/>
      <c r="S491" s="2"/>
    </row>
    <row r="492" spans="1:19" x14ac:dyDescent="0.45">
      <c r="A492" s="4" t="s">
        <v>557</v>
      </c>
      <c r="B492" s="4" t="s">
        <v>506</v>
      </c>
      <c r="C492" s="5">
        <v>1</v>
      </c>
      <c r="D492" s="5">
        <v>144</v>
      </c>
      <c r="E492" s="5">
        <v>144</v>
      </c>
      <c r="F492" s="5">
        <v>13</v>
      </c>
      <c r="G492" s="5">
        <v>0</v>
      </c>
      <c r="H492" s="5">
        <v>131</v>
      </c>
      <c r="I492" s="6">
        <v>4</v>
      </c>
      <c r="J492" s="6">
        <v>4.5999999999999996</v>
      </c>
      <c r="K492" s="6">
        <v>11</v>
      </c>
      <c r="L492" s="6">
        <v>11</v>
      </c>
      <c r="M492" s="4" t="str">
        <f t="shared" si="21"/>
        <v>OK</v>
      </c>
      <c r="N492" s="7">
        <f t="shared" si="22"/>
        <v>7.9267654943494272E-4</v>
      </c>
      <c r="O492" s="7">
        <f>SUMIFS($D$2:D492,$B$2:B492,B492)/SUMIFS($D$2:$D$741,$B$2:$B$741,B492)</f>
        <v>0.99637240384668313</v>
      </c>
      <c r="P492" s="4" t="b">
        <f t="shared" si="23"/>
        <v>0</v>
      </c>
      <c r="Q492" s="2"/>
      <c r="R492" s="2"/>
      <c r="S492" s="2"/>
    </row>
    <row r="493" spans="1:19" x14ac:dyDescent="0.45">
      <c r="A493" s="4" t="s">
        <v>558</v>
      </c>
      <c r="B493" s="4" t="s">
        <v>506</v>
      </c>
      <c r="C493" s="5">
        <v>1</v>
      </c>
      <c r="D493" s="5">
        <v>128</v>
      </c>
      <c r="E493" s="5">
        <v>39</v>
      </c>
      <c r="F493" s="5">
        <v>1</v>
      </c>
      <c r="G493" s="5">
        <v>0</v>
      </c>
      <c r="H493" s="5">
        <v>127</v>
      </c>
      <c r="I493" s="6">
        <v>12</v>
      </c>
      <c r="J493" s="6">
        <v>11.5</v>
      </c>
      <c r="K493" s="6">
        <v>15</v>
      </c>
      <c r="L493" s="6">
        <v>15</v>
      </c>
      <c r="M493" s="4" t="str">
        <f t="shared" si="21"/>
        <v>OK</v>
      </c>
      <c r="N493" s="7">
        <f t="shared" si="22"/>
        <v>7.0460137727550469E-4</v>
      </c>
      <c r="O493" s="7">
        <f>SUMIFS($D$2:D493,$B$2:B493,B493)/SUMIFS($D$2:$D$741,$B$2:$B$741,B493)</f>
        <v>0.9970770052239587</v>
      </c>
      <c r="P493" s="4" t="b">
        <f t="shared" si="23"/>
        <v>0</v>
      </c>
      <c r="Q493" s="2"/>
      <c r="R493" s="2"/>
      <c r="S493" s="2"/>
    </row>
    <row r="494" spans="1:19" x14ac:dyDescent="0.45">
      <c r="A494" s="4" t="s">
        <v>559</v>
      </c>
      <c r="B494" s="4" t="s">
        <v>506</v>
      </c>
      <c r="C494" s="5">
        <v>1</v>
      </c>
      <c r="D494" s="5">
        <v>112</v>
      </c>
      <c r="E494" s="5">
        <v>0</v>
      </c>
      <c r="F494" s="5">
        <v>0</v>
      </c>
      <c r="G494" s="5">
        <v>0</v>
      </c>
      <c r="H494" s="5">
        <v>112</v>
      </c>
      <c r="I494" s="6">
        <v>4</v>
      </c>
      <c r="J494" s="6">
        <v>5.7</v>
      </c>
      <c r="K494" s="6">
        <v>11</v>
      </c>
      <c r="L494" s="6">
        <v>11</v>
      </c>
      <c r="M494" s="4" t="str">
        <f t="shared" si="21"/>
        <v>OK</v>
      </c>
      <c r="N494" s="7">
        <f t="shared" si="22"/>
        <v>6.1652620511606655E-4</v>
      </c>
      <c r="O494" s="7">
        <f>SUMIFS($D$2:D494,$B$2:B494,B494)/SUMIFS($D$2:$D$741,$B$2:$B$741,B494)</f>
        <v>0.99769353142907469</v>
      </c>
      <c r="P494" s="4" t="b">
        <f t="shared" si="23"/>
        <v>0</v>
      </c>
      <c r="Q494" s="2"/>
      <c r="R494" s="2"/>
      <c r="S494" s="2"/>
    </row>
    <row r="495" spans="1:19" x14ac:dyDescent="0.45">
      <c r="A495" s="4" t="s">
        <v>560</v>
      </c>
      <c r="B495" s="4" t="s">
        <v>506</v>
      </c>
      <c r="C495" s="5">
        <v>3</v>
      </c>
      <c r="D495" s="5">
        <v>95</v>
      </c>
      <c r="E495" s="5">
        <v>0</v>
      </c>
      <c r="F495" s="5">
        <v>0</v>
      </c>
      <c r="G495" s="5">
        <v>0</v>
      </c>
      <c r="H495" s="5">
        <v>95</v>
      </c>
      <c r="I495" s="6">
        <v>19</v>
      </c>
      <c r="J495" s="6">
        <v>27.2</v>
      </c>
      <c r="K495" s="6">
        <v>55</v>
      </c>
      <c r="L495" s="6">
        <v>55</v>
      </c>
      <c r="M495" s="4" t="str">
        <f t="shared" si="21"/>
        <v>OK</v>
      </c>
      <c r="N495" s="7">
        <f t="shared" si="22"/>
        <v>5.2294633469666355E-4</v>
      </c>
      <c r="O495" s="7">
        <f>SUMIFS($D$2:D495,$B$2:B495,B495)/SUMIFS($D$2:$D$741,$B$2:$B$741,B495)</f>
        <v>0.99821647776377143</v>
      </c>
      <c r="P495" s="4" t="b">
        <f t="shared" si="23"/>
        <v>0</v>
      </c>
      <c r="Q495" s="2"/>
      <c r="R495" s="2"/>
      <c r="S495" s="2"/>
    </row>
    <row r="496" spans="1:19" x14ac:dyDescent="0.45">
      <c r="A496" s="4" t="s">
        <v>561</v>
      </c>
      <c r="B496" s="4" t="s">
        <v>506</v>
      </c>
      <c r="C496" s="5">
        <v>1</v>
      </c>
      <c r="D496" s="5">
        <v>91</v>
      </c>
      <c r="E496" s="5">
        <v>44</v>
      </c>
      <c r="F496" s="5">
        <v>0</v>
      </c>
      <c r="G496" s="5">
        <v>0</v>
      </c>
      <c r="H496" s="5">
        <v>91</v>
      </c>
      <c r="I496" s="6">
        <v>54</v>
      </c>
      <c r="J496" s="6">
        <v>82.7</v>
      </c>
      <c r="K496" s="6">
        <v>178</v>
      </c>
      <c r="L496" s="6">
        <v>178</v>
      </c>
      <c r="M496" s="4" t="str">
        <f t="shared" si="21"/>
        <v>OK</v>
      </c>
      <c r="N496" s="7">
        <f t="shared" si="22"/>
        <v>5.0092754165680412E-4</v>
      </c>
      <c r="O496" s="7">
        <f>SUMIFS($D$2:D496,$B$2:B496,B496)/SUMIFS($D$2:$D$741,$B$2:$B$741,B496)</f>
        <v>0.99871740530542819</v>
      </c>
      <c r="P496" s="4" t="b">
        <f t="shared" si="23"/>
        <v>0</v>
      </c>
      <c r="Q496" s="2"/>
      <c r="R496" s="2"/>
      <c r="S496" s="2"/>
    </row>
    <row r="497" spans="1:19" x14ac:dyDescent="0.45">
      <c r="A497" s="4" t="s">
        <v>562</v>
      </c>
      <c r="B497" s="4" t="s">
        <v>506</v>
      </c>
      <c r="C497" s="5">
        <v>1</v>
      </c>
      <c r="D497" s="5">
        <v>77</v>
      </c>
      <c r="E497" s="5">
        <v>25</v>
      </c>
      <c r="F497" s="5">
        <v>1</v>
      </c>
      <c r="G497" s="5">
        <v>0</v>
      </c>
      <c r="H497" s="5">
        <v>76</v>
      </c>
      <c r="I497" s="6">
        <v>8</v>
      </c>
      <c r="J497" s="6">
        <v>11.5</v>
      </c>
      <c r="K497" s="6">
        <v>24</v>
      </c>
      <c r="L497" s="6">
        <v>23.5</v>
      </c>
      <c r="M497" s="4" t="str">
        <f t="shared" si="21"/>
        <v>OK</v>
      </c>
      <c r="N497" s="7">
        <f t="shared" si="22"/>
        <v>4.2386176601729575E-4</v>
      </c>
      <c r="O497" s="7">
        <f>SUMIFS($D$2:D497,$B$2:B497,B497)/SUMIFS($D$2:$D$741,$B$2:$B$741,B497)</f>
        <v>0.99914126707144546</v>
      </c>
      <c r="P497" s="4" t="b">
        <f t="shared" si="23"/>
        <v>0</v>
      </c>
      <c r="Q497" s="2"/>
      <c r="R497" s="2"/>
      <c r="S497" s="2"/>
    </row>
    <row r="498" spans="1:19" x14ac:dyDescent="0.45">
      <c r="A498" s="4" t="s">
        <v>563</v>
      </c>
      <c r="B498" s="4" t="s">
        <v>506</v>
      </c>
      <c r="C498" s="5">
        <v>2</v>
      </c>
      <c r="D498" s="5">
        <v>66</v>
      </c>
      <c r="E498" s="5">
        <v>0</v>
      </c>
      <c r="F498" s="5">
        <v>0</v>
      </c>
      <c r="G498" s="5">
        <v>0</v>
      </c>
      <c r="H498" s="5">
        <v>66</v>
      </c>
      <c r="I498" s="6">
        <v>212.5</v>
      </c>
      <c r="J498" s="6">
        <v>171</v>
      </c>
      <c r="K498" s="6">
        <v>296</v>
      </c>
      <c r="L498" s="6">
        <v>296.5</v>
      </c>
      <c r="M498" s="4" t="str">
        <f t="shared" si="21"/>
        <v>OK</v>
      </c>
      <c r="N498" s="7">
        <f t="shared" si="22"/>
        <v>3.6331008515768206E-4</v>
      </c>
      <c r="O498" s="7">
        <f>SUMIFS($D$2:D498,$B$2:B498,B498)/SUMIFS($D$2:$D$741,$B$2:$B$741,B498)</f>
        <v>0.99950457715660312</v>
      </c>
      <c r="P498" s="4" t="b">
        <f t="shared" si="23"/>
        <v>0</v>
      </c>
      <c r="Q498" s="2"/>
      <c r="R498" s="2"/>
      <c r="S498" s="2"/>
    </row>
    <row r="499" spans="1:19" x14ac:dyDescent="0.45">
      <c r="A499" s="4" t="s">
        <v>564</v>
      </c>
      <c r="B499" s="4" t="s">
        <v>506</v>
      </c>
      <c r="C499" s="5">
        <v>2</v>
      </c>
      <c r="D499" s="5">
        <v>50</v>
      </c>
      <c r="E499" s="5">
        <v>0</v>
      </c>
      <c r="F499" s="5">
        <v>0</v>
      </c>
      <c r="G499" s="5">
        <v>0</v>
      </c>
      <c r="H499" s="5">
        <v>50</v>
      </c>
      <c r="I499" s="6">
        <v>4</v>
      </c>
      <c r="J499" s="6">
        <v>25.1</v>
      </c>
      <c r="K499" s="6">
        <v>19</v>
      </c>
      <c r="L499" s="6">
        <v>19</v>
      </c>
      <c r="M499" s="4" t="str">
        <f t="shared" si="21"/>
        <v>OK</v>
      </c>
      <c r="N499" s="7">
        <f t="shared" si="22"/>
        <v>2.7523491299824402E-4</v>
      </c>
      <c r="O499" s="7">
        <f>SUMIFS($D$2:D499,$B$2:B499,B499)/SUMIFS($D$2:$D$741,$B$2:$B$741,B499)</f>
        <v>0.99977981206960143</v>
      </c>
      <c r="P499" s="4" t="b">
        <f t="shared" si="23"/>
        <v>0</v>
      </c>
      <c r="Q499" s="2"/>
      <c r="R499" s="2"/>
      <c r="S499" s="2"/>
    </row>
    <row r="500" spans="1:19" x14ac:dyDescent="0.45">
      <c r="A500" s="4" t="s">
        <v>565</v>
      </c>
      <c r="B500" s="4" t="s">
        <v>506</v>
      </c>
      <c r="C500" s="5">
        <v>1</v>
      </c>
      <c r="D500" s="5">
        <v>34</v>
      </c>
      <c r="E500" s="5">
        <v>0</v>
      </c>
      <c r="F500" s="5">
        <v>0</v>
      </c>
      <c r="G500" s="5">
        <v>0</v>
      </c>
      <c r="H500" s="5">
        <v>34</v>
      </c>
      <c r="I500" s="6">
        <v>3.5</v>
      </c>
      <c r="J500" s="6">
        <v>5.9</v>
      </c>
      <c r="K500" s="6">
        <v>11</v>
      </c>
      <c r="L500" s="6">
        <v>11.4</v>
      </c>
      <c r="M500" s="4" t="str">
        <f t="shared" si="21"/>
        <v>OK</v>
      </c>
      <c r="N500" s="7">
        <f t="shared" si="22"/>
        <v>1.8715974083880591E-4</v>
      </c>
      <c r="O500" s="7">
        <f>SUMIFS($D$2:D500,$B$2:B500,B500)/SUMIFS($D$2:$D$741,$B$2:$B$741,B500)</f>
        <v>0.99996697181044025</v>
      </c>
      <c r="P500" s="4" t="b">
        <f t="shared" si="23"/>
        <v>0</v>
      </c>
      <c r="Q500" s="2"/>
      <c r="R500" s="2"/>
      <c r="S500" s="2"/>
    </row>
    <row r="501" spans="1:19" x14ac:dyDescent="0.45">
      <c r="A501" s="4" t="s">
        <v>566</v>
      </c>
      <c r="B501" s="4" t="s">
        <v>506</v>
      </c>
      <c r="C501" s="5">
        <v>1</v>
      </c>
      <c r="D501" s="5">
        <v>6</v>
      </c>
      <c r="E501" s="5">
        <v>0</v>
      </c>
      <c r="F501" s="5">
        <v>1</v>
      </c>
      <c r="G501" s="5">
        <v>1</v>
      </c>
      <c r="H501" s="5">
        <v>5</v>
      </c>
      <c r="I501" s="6">
        <v>5</v>
      </c>
      <c r="J501" s="6">
        <v>9.1999999999999993</v>
      </c>
      <c r="K501" s="6">
        <v>22</v>
      </c>
      <c r="L501" s="6">
        <v>21.8</v>
      </c>
      <c r="M501" s="4" t="str">
        <f t="shared" si="21"/>
        <v>OK</v>
      </c>
      <c r="N501" s="7">
        <f t="shared" si="22"/>
        <v>3.3028189559789282E-5</v>
      </c>
      <c r="O501" s="7">
        <f>SUMIFS($D$2:D501,$B$2:B501,B501)/SUMIFS($D$2:$D$741,$B$2:$B$741,B501)</f>
        <v>1</v>
      </c>
      <c r="P501" s="4" t="b">
        <f t="shared" si="23"/>
        <v>0</v>
      </c>
      <c r="Q501" s="2"/>
      <c r="R501" s="2"/>
      <c r="S501" s="2"/>
    </row>
    <row r="502" spans="1:19" x14ac:dyDescent="0.45">
      <c r="A502" s="9" t="s">
        <v>567</v>
      </c>
      <c r="B502" s="9" t="s">
        <v>568</v>
      </c>
      <c r="C502" s="10">
        <v>2</v>
      </c>
      <c r="D502" s="10">
        <v>102428</v>
      </c>
      <c r="E502" s="10">
        <v>23454</v>
      </c>
      <c r="F502" s="10">
        <v>140</v>
      </c>
      <c r="G502" s="10">
        <v>0</v>
      </c>
      <c r="H502" s="10">
        <v>102288</v>
      </c>
      <c r="I502" s="11">
        <v>3</v>
      </c>
      <c r="J502" s="11">
        <v>4.3</v>
      </c>
      <c r="K502" s="11">
        <v>8</v>
      </c>
      <c r="L502" s="11">
        <v>8</v>
      </c>
      <c r="M502" s="9" t="str">
        <f t="shared" si="21"/>
        <v>OK</v>
      </c>
      <c r="N502" s="12">
        <f t="shared" si="22"/>
        <v>0.35420031053215806</v>
      </c>
      <c r="O502" s="12">
        <f>SUMIFS($D$2:D502,$B$2:B502,B502)/SUMIFS($D$2:$D$741,$B$2:$B$741,B502)</f>
        <v>0.35420031053215806</v>
      </c>
      <c r="P502" s="9" t="b">
        <f t="shared" si="23"/>
        <v>1</v>
      </c>
      <c r="Q502" s="2"/>
      <c r="R502" s="2"/>
      <c r="S502" s="2"/>
    </row>
    <row r="503" spans="1:19" x14ac:dyDescent="0.45">
      <c r="A503" s="4" t="s">
        <v>569</v>
      </c>
      <c r="B503" s="4" t="s">
        <v>568</v>
      </c>
      <c r="C503" s="5">
        <v>2</v>
      </c>
      <c r="D503" s="5">
        <v>36710</v>
      </c>
      <c r="E503" s="5">
        <v>9256</v>
      </c>
      <c r="F503" s="5">
        <v>38</v>
      </c>
      <c r="G503" s="5">
        <v>0</v>
      </c>
      <c r="H503" s="5">
        <v>36672</v>
      </c>
      <c r="I503" s="6">
        <v>1</v>
      </c>
      <c r="J503" s="6">
        <v>1.6</v>
      </c>
      <c r="K503" s="6">
        <v>4</v>
      </c>
      <c r="L503" s="6">
        <v>4</v>
      </c>
      <c r="M503" s="4" t="str">
        <f t="shared" si="21"/>
        <v>OK</v>
      </c>
      <c r="N503" s="7">
        <f t="shared" si="22"/>
        <v>0.12694471628495649</v>
      </c>
      <c r="O503" s="7">
        <f>SUMIFS($D$2:D503,$B$2:B503,B503)/SUMIFS($D$2:$D$741,$B$2:$B$741,B503)</f>
        <v>0.48114502681711452</v>
      </c>
      <c r="P503" s="4" t="b">
        <f t="shared" si="23"/>
        <v>1</v>
      </c>
      <c r="Q503" s="2"/>
      <c r="R503" s="2"/>
      <c r="S503" s="2"/>
    </row>
    <row r="504" spans="1:19" x14ac:dyDescent="0.45">
      <c r="A504" s="4" t="s">
        <v>570</v>
      </c>
      <c r="B504" s="4" t="s">
        <v>568</v>
      </c>
      <c r="C504" s="5">
        <v>2</v>
      </c>
      <c r="D504" s="5">
        <v>36309</v>
      </c>
      <c r="E504" s="5">
        <v>9327</v>
      </c>
      <c r="F504" s="5">
        <v>44</v>
      </c>
      <c r="G504" s="5">
        <v>0</v>
      </c>
      <c r="H504" s="5">
        <v>36265</v>
      </c>
      <c r="I504" s="6">
        <v>1</v>
      </c>
      <c r="J504" s="6">
        <v>1.6</v>
      </c>
      <c r="K504" s="6">
        <v>4</v>
      </c>
      <c r="L504" s="6">
        <v>4</v>
      </c>
      <c r="M504" s="4" t="str">
        <f t="shared" si="21"/>
        <v>OK</v>
      </c>
      <c r="N504" s="7">
        <f t="shared" si="22"/>
        <v>0.12555804150341826</v>
      </c>
      <c r="O504" s="7">
        <f>SUMIFS($D$2:D504,$B$2:B504,B504)/SUMIFS($D$2:$D$741,$B$2:$B$741,B504)</f>
        <v>0.60670306832053278</v>
      </c>
      <c r="P504" s="4" t="b">
        <f t="shared" si="23"/>
        <v>1</v>
      </c>
      <c r="Q504" s="2"/>
      <c r="R504" s="2"/>
      <c r="S504" s="2"/>
    </row>
    <row r="505" spans="1:19" x14ac:dyDescent="0.45">
      <c r="A505" s="4" t="s">
        <v>571</v>
      </c>
      <c r="B505" s="4" t="s">
        <v>568</v>
      </c>
      <c r="C505" s="5">
        <v>2</v>
      </c>
      <c r="D505" s="5">
        <v>33263</v>
      </c>
      <c r="E505" s="5">
        <v>6896</v>
      </c>
      <c r="F505" s="5">
        <v>37</v>
      </c>
      <c r="G505" s="5">
        <v>0</v>
      </c>
      <c r="H505" s="5">
        <v>33226</v>
      </c>
      <c r="I505" s="6">
        <v>1</v>
      </c>
      <c r="J505" s="6">
        <v>1.5</v>
      </c>
      <c r="K505" s="6">
        <v>4</v>
      </c>
      <c r="L505" s="6">
        <v>4</v>
      </c>
      <c r="M505" s="4" t="str">
        <f t="shared" si="21"/>
        <v>OK</v>
      </c>
      <c r="N505" s="7">
        <f t="shared" si="22"/>
        <v>0.11502484603068666</v>
      </c>
      <c r="O505" s="7">
        <f>SUMIFS($D$2:D505,$B$2:B505,B505)/SUMIFS($D$2:$D$741,$B$2:$B$741,B505)</f>
        <v>0.72172791435121952</v>
      </c>
      <c r="P505" s="4" t="b">
        <f t="shared" si="23"/>
        <v>1</v>
      </c>
      <c r="Q505" s="2"/>
      <c r="R505" s="2"/>
      <c r="S505" s="2"/>
    </row>
    <row r="506" spans="1:19" x14ac:dyDescent="0.45">
      <c r="A506" s="4" t="s">
        <v>572</v>
      </c>
      <c r="B506" s="4" t="s">
        <v>568</v>
      </c>
      <c r="C506" s="5">
        <v>2</v>
      </c>
      <c r="D506" s="5">
        <v>30520</v>
      </c>
      <c r="E506" s="5">
        <v>6165</v>
      </c>
      <c r="F506" s="5">
        <v>55</v>
      </c>
      <c r="G506" s="5">
        <v>0</v>
      </c>
      <c r="H506" s="5">
        <v>30465</v>
      </c>
      <c r="I506" s="6">
        <v>4</v>
      </c>
      <c r="J506" s="6">
        <v>5</v>
      </c>
      <c r="K506" s="6">
        <v>11</v>
      </c>
      <c r="L506" s="6">
        <v>11</v>
      </c>
      <c r="M506" s="4" t="str">
        <f t="shared" si="21"/>
        <v>OK</v>
      </c>
      <c r="N506" s="7">
        <f t="shared" si="22"/>
        <v>0.10553943723826946</v>
      </c>
      <c r="O506" s="7">
        <f>SUMIFS($D$2:D506,$B$2:B506,B506)/SUMIFS($D$2:$D$741,$B$2:$B$741,B506)</f>
        <v>0.82726735158948894</v>
      </c>
      <c r="P506" s="4" t="b">
        <f t="shared" si="23"/>
        <v>1</v>
      </c>
      <c r="Q506" s="2"/>
      <c r="R506" s="2"/>
      <c r="S506" s="2"/>
    </row>
    <row r="507" spans="1:19" x14ac:dyDescent="0.45">
      <c r="A507" s="4" t="s">
        <v>573</v>
      </c>
      <c r="B507" s="4" t="s">
        <v>568</v>
      </c>
      <c r="C507" s="5">
        <v>2</v>
      </c>
      <c r="D507" s="5">
        <v>15742</v>
      </c>
      <c r="E507" s="5">
        <v>4158</v>
      </c>
      <c r="F507" s="5">
        <v>74</v>
      </c>
      <c r="G507" s="5">
        <v>0</v>
      </c>
      <c r="H507" s="5">
        <v>15668</v>
      </c>
      <c r="I507" s="6">
        <v>1</v>
      </c>
      <c r="J507" s="6">
        <v>2.2000000000000002</v>
      </c>
      <c r="K507" s="6">
        <v>4</v>
      </c>
      <c r="L507" s="6">
        <v>4</v>
      </c>
      <c r="M507" s="4" t="str">
        <f t="shared" si="21"/>
        <v>OK</v>
      </c>
      <c r="N507" s="7">
        <f t="shared" si="22"/>
        <v>5.4436494790459956E-2</v>
      </c>
      <c r="O507" s="7">
        <f>SUMIFS($D$2:D507,$B$2:B507,B507)/SUMIFS($D$2:$D$741,$B$2:$B$741,B507)</f>
        <v>0.88170384637994892</v>
      </c>
      <c r="P507" s="4" t="b">
        <f t="shared" si="23"/>
        <v>1</v>
      </c>
      <c r="Q507" s="2"/>
      <c r="R507" s="2"/>
      <c r="S507" s="2"/>
    </row>
    <row r="508" spans="1:19" x14ac:dyDescent="0.45">
      <c r="A508" s="4" t="s">
        <v>574</v>
      </c>
      <c r="B508" s="4" t="s">
        <v>568</v>
      </c>
      <c r="C508" s="5">
        <v>2</v>
      </c>
      <c r="D508" s="5">
        <v>12601</v>
      </c>
      <c r="E508" s="5">
        <v>3124</v>
      </c>
      <c r="F508" s="5">
        <v>20</v>
      </c>
      <c r="G508" s="5">
        <v>0</v>
      </c>
      <c r="H508" s="5">
        <v>12581</v>
      </c>
      <c r="I508" s="6">
        <v>1</v>
      </c>
      <c r="J508" s="6">
        <v>1.4</v>
      </c>
      <c r="K508" s="6">
        <v>4</v>
      </c>
      <c r="L508" s="6">
        <v>4</v>
      </c>
      <c r="M508" s="4" t="str">
        <f t="shared" si="21"/>
        <v>OK</v>
      </c>
      <c r="N508" s="7">
        <f t="shared" si="22"/>
        <v>4.3574785342052211E-2</v>
      </c>
      <c r="O508" s="7">
        <f>SUMIFS($D$2:D508,$B$2:B508,B508)/SUMIFS($D$2:$D$741,$B$2:$B$741,B508)</f>
        <v>0.92527863172200109</v>
      </c>
      <c r="P508" s="4" t="b">
        <f t="shared" si="23"/>
        <v>1</v>
      </c>
      <c r="Q508" s="2"/>
      <c r="R508" s="2"/>
      <c r="S508" s="2"/>
    </row>
    <row r="509" spans="1:19" x14ac:dyDescent="0.45">
      <c r="A509" s="4" t="s">
        <v>575</v>
      </c>
      <c r="B509" s="4" t="s">
        <v>568</v>
      </c>
      <c r="C509" s="5">
        <v>2</v>
      </c>
      <c r="D509" s="5">
        <v>10037</v>
      </c>
      <c r="E509" s="5">
        <v>2638</v>
      </c>
      <c r="F509" s="5">
        <v>28</v>
      </c>
      <c r="G509" s="5">
        <v>0</v>
      </c>
      <c r="H509" s="5">
        <v>10009</v>
      </c>
      <c r="I509" s="6">
        <v>3</v>
      </c>
      <c r="J509" s="6">
        <v>5.2</v>
      </c>
      <c r="K509" s="6">
        <v>12</v>
      </c>
      <c r="L509" s="6">
        <v>12</v>
      </c>
      <c r="M509" s="4" t="str">
        <f t="shared" si="21"/>
        <v>OK</v>
      </c>
      <c r="N509" s="7">
        <f t="shared" si="22"/>
        <v>3.4708366040645824E-2</v>
      </c>
      <c r="O509" s="7">
        <f>SUMIFS($D$2:D509,$B$2:B509,B509)/SUMIFS($D$2:$D$741,$B$2:$B$741,B509)</f>
        <v>0.95998699776264695</v>
      </c>
      <c r="P509" s="4" t="b">
        <f t="shared" si="23"/>
        <v>1</v>
      </c>
      <c r="Q509" s="2"/>
      <c r="R509" s="2"/>
      <c r="S509" s="2"/>
    </row>
    <row r="510" spans="1:19" x14ac:dyDescent="0.45">
      <c r="A510" s="4" t="s">
        <v>576</v>
      </c>
      <c r="B510" s="4" t="s">
        <v>568</v>
      </c>
      <c r="C510" s="5">
        <v>2</v>
      </c>
      <c r="D510" s="5">
        <v>2565</v>
      </c>
      <c r="E510" s="5">
        <v>584</v>
      </c>
      <c r="F510" s="5">
        <v>1</v>
      </c>
      <c r="G510" s="5">
        <v>0</v>
      </c>
      <c r="H510" s="5">
        <v>2564</v>
      </c>
      <c r="I510" s="6">
        <v>1</v>
      </c>
      <c r="J510" s="6">
        <v>1.9</v>
      </c>
      <c r="K510" s="6">
        <v>5</v>
      </c>
      <c r="L510" s="6">
        <v>5</v>
      </c>
      <c r="M510" s="4" t="str">
        <f t="shared" si="21"/>
        <v>OK</v>
      </c>
      <c r="N510" s="7">
        <f t="shared" si="22"/>
        <v>8.8698773432556079E-3</v>
      </c>
      <c r="O510" s="7">
        <f>SUMIFS($D$2:D510,$B$2:B510,B510)/SUMIFS($D$2:$D$741,$B$2:$B$741,B510)</f>
        <v>0.96885687510590257</v>
      </c>
      <c r="P510" s="4" t="b">
        <f t="shared" si="23"/>
        <v>0</v>
      </c>
      <c r="Q510" s="2"/>
      <c r="R510" s="2"/>
      <c r="S510" s="2"/>
    </row>
    <row r="511" spans="1:19" x14ac:dyDescent="0.45">
      <c r="A511" s="4" t="s">
        <v>577</v>
      </c>
      <c r="B511" s="4" t="s">
        <v>568</v>
      </c>
      <c r="C511" s="5">
        <v>2</v>
      </c>
      <c r="D511" s="5">
        <v>1600</v>
      </c>
      <c r="E511" s="5">
        <v>258</v>
      </c>
      <c r="F511" s="5">
        <v>8</v>
      </c>
      <c r="G511" s="5">
        <v>0</v>
      </c>
      <c r="H511" s="5">
        <v>1592</v>
      </c>
      <c r="I511" s="6">
        <v>1</v>
      </c>
      <c r="J511" s="6">
        <v>3.4</v>
      </c>
      <c r="K511" s="6">
        <v>10</v>
      </c>
      <c r="L511" s="6">
        <v>10</v>
      </c>
      <c r="M511" s="4" t="str">
        <f t="shared" si="21"/>
        <v>OK</v>
      </c>
      <c r="N511" s="7">
        <f t="shared" si="22"/>
        <v>5.5328669587559349E-3</v>
      </c>
      <c r="O511" s="7">
        <f>SUMIFS($D$2:D511,$B$2:B511,B511)/SUMIFS($D$2:$D$741,$B$2:$B$741,B511)</f>
        <v>0.97438974206465845</v>
      </c>
      <c r="P511" s="4" t="b">
        <f t="shared" si="23"/>
        <v>0</v>
      </c>
      <c r="Q511" s="2"/>
      <c r="R511" s="2"/>
      <c r="S511" s="2"/>
    </row>
    <row r="512" spans="1:19" x14ac:dyDescent="0.45">
      <c r="A512" s="4" t="s">
        <v>578</v>
      </c>
      <c r="B512" s="4" t="s">
        <v>568</v>
      </c>
      <c r="C512" s="5">
        <v>2</v>
      </c>
      <c r="D512" s="5">
        <v>1532</v>
      </c>
      <c r="E512" s="5">
        <v>341</v>
      </c>
      <c r="F512" s="5">
        <v>5</v>
      </c>
      <c r="G512" s="5">
        <v>0</v>
      </c>
      <c r="H512" s="5">
        <v>1527</v>
      </c>
      <c r="I512" s="6">
        <v>1</v>
      </c>
      <c r="J512" s="6">
        <v>1.8</v>
      </c>
      <c r="K512" s="6">
        <v>4</v>
      </c>
      <c r="L512" s="6">
        <v>4</v>
      </c>
      <c r="M512" s="4" t="str">
        <f t="shared" si="21"/>
        <v>OK</v>
      </c>
      <c r="N512" s="7">
        <f t="shared" si="22"/>
        <v>5.2977201130088077E-3</v>
      </c>
      <c r="O512" s="7">
        <f>SUMIFS($D$2:D512,$B$2:B512,B512)/SUMIFS($D$2:$D$741,$B$2:$B$741,B512)</f>
        <v>0.97968746217766722</v>
      </c>
      <c r="P512" s="4" t="b">
        <f t="shared" si="23"/>
        <v>0</v>
      </c>
      <c r="Q512" s="2"/>
      <c r="R512" s="2"/>
      <c r="S512" s="2"/>
    </row>
    <row r="513" spans="1:19" x14ac:dyDescent="0.45">
      <c r="A513" s="4" t="s">
        <v>579</v>
      </c>
      <c r="B513" s="4" t="s">
        <v>568</v>
      </c>
      <c r="C513" s="5">
        <v>2</v>
      </c>
      <c r="D513" s="5">
        <v>834</v>
      </c>
      <c r="E513" s="5">
        <v>154</v>
      </c>
      <c r="F513" s="5">
        <v>0</v>
      </c>
      <c r="G513" s="5">
        <v>0</v>
      </c>
      <c r="H513" s="5">
        <v>834</v>
      </c>
      <c r="I513" s="6">
        <v>0</v>
      </c>
      <c r="J513" s="6">
        <v>1.2</v>
      </c>
      <c r="K513" s="6">
        <v>4</v>
      </c>
      <c r="L513" s="6">
        <v>4</v>
      </c>
      <c r="M513" s="4" t="str">
        <f t="shared" si="21"/>
        <v>OK</v>
      </c>
      <c r="N513" s="7">
        <f t="shared" si="22"/>
        <v>2.884006902251531E-3</v>
      </c>
      <c r="O513" s="7">
        <f>SUMIFS($D$2:D513,$B$2:B513,B513)/SUMIFS($D$2:$D$741,$B$2:$B$741,B513)</f>
        <v>0.98257146907991877</v>
      </c>
      <c r="P513" s="4" t="b">
        <f t="shared" si="23"/>
        <v>0</v>
      </c>
      <c r="Q513" s="2"/>
      <c r="R513" s="2"/>
      <c r="S513" s="2"/>
    </row>
    <row r="514" spans="1:19" x14ac:dyDescent="0.45">
      <c r="A514" s="4" t="s">
        <v>580</v>
      </c>
      <c r="B514" s="4" t="s">
        <v>568</v>
      </c>
      <c r="C514" s="5">
        <v>2</v>
      </c>
      <c r="D514" s="5">
        <v>650</v>
      </c>
      <c r="E514" s="5">
        <v>128</v>
      </c>
      <c r="F514" s="5">
        <v>0</v>
      </c>
      <c r="G514" s="5">
        <v>0</v>
      </c>
      <c r="H514" s="5">
        <v>650</v>
      </c>
      <c r="I514" s="6">
        <v>1</v>
      </c>
      <c r="J514" s="6">
        <v>2.2999999999999998</v>
      </c>
      <c r="K514" s="6">
        <v>5</v>
      </c>
      <c r="L514" s="6">
        <v>5</v>
      </c>
      <c r="M514" s="4" t="str">
        <f t="shared" ref="M514:M577" si="24">IF(AND(K514="",L514=""),"No closed tickets",IF(K514="","MISSING in catalog",IF(L514="","No valid closed tickets",IF(AND(ABS(K514-L514)&gt;=$S$3,ABS(K514-L514)&gt;=$S$4*MAX(L514,1)),"FAR OFF","OK"))))</f>
        <v>OK</v>
      </c>
      <c r="N514" s="7">
        <f t="shared" ref="N514:N577" si="25">D514/SUMIFS($D$2:$D$741,$B$2:$B$741,B514)</f>
        <v>2.2477272019945987E-3</v>
      </c>
      <c r="O514" s="7">
        <f>SUMIFS($D$2:D514,$B$2:B514,B514)/SUMIFS($D$2:$D$741,$B$2:$B$741,B514)</f>
        <v>0.98481919628191339</v>
      </c>
      <c r="P514" s="4" t="b">
        <f t="shared" ref="P514:P577" si="26">O514-N514&lt;$S$2</f>
        <v>0</v>
      </c>
      <c r="Q514" s="2"/>
      <c r="R514" s="2"/>
      <c r="S514" s="2"/>
    </row>
    <row r="515" spans="1:19" x14ac:dyDescent="0.45">
      <c r="A515" s="4" t="s">
        <v>581</v>
      </c>
      <c r="B515" s="4" t="s">
        <v>568</v>
      </c>
      <c r="C515" s="5">
        <v>2</v>
      </c>
      <c r="D515" s="5">
        <v>605</v>
      </c>
      <c r="E515" s="5">
        <v>116</v>
      </c>
      <c r="F515" s="5">
        <v>1</v>
      </c>
      <c r="G515" s="5">
        <v>0</v>
      </c>
      <c r="H515" s="5">
        <v>604</v>
      </c>
      <c r="I515" s="6">
        <v>10</v>
      </c>
      <c r="J515" s="6">
        <v>16.5</v>
      </c>
      <c r="K515" s="6">
        <v>40</v>
      </c>
      <c r="L515" s="6">
        <v>40</v>
      </c>
      <c r="M515" s="4" t="str">
        <f t="shared" si="24"/>
        <v>OK</v>
      </c>
      <c r="N515" s="7">
        <f t="shared" si="25"/>
        <v>2.0921153187795877E-3</v>
      </c>
      <c r="O515" s="7">
        <f>SUMIFS($D$2:D515,$B$2:B515,B515)/SUMIFS($D$2:$D$741,$B$2:$B$741,B515)</f>
        <v>0.98691131160069301</v>
      </c>
      <c r="P515" s="4" t="b">
        <f t="shared" si="26"/>
        <v>0</v>
      </c>
      <c r="Q515" s="2"/>
      <c r="R515" s="2"/>
      <c r="S515" s="2"/>
    </row>
    <row r="516" spans="1:19" x14ac:dyDescent="0.45">
      <c r="A516" s="4" t="s">
        <v>582</v>
      </c>
      <c r="B516" s="4" t="s">
        <v>568</v>
      </c>
      <c r="C516" s="5">
        <v>2</v>
      </c>
      <c r="D516" s="5">
        <v>476</v>
      </c>
      <c r="E516" s="5">
        <v>117</v>
      </c>
      <c r="F516" s="5">
        <v>1</v>
      </c>
      <c r="G516" s="5">
        <v>0</v>
      </c>
      <c r="H516" s="5">
        <v>475</v>
      </c>
      <c r="I516" s="6">
        <v>4</v>
      </c>
      <c r="J516" s="6">
        <v>5.4</v>
      </c>
      <c r="K516" s="6">
        <v>13</v>
      </c>
      <c r="L516" s="6">
        <v>13</v>
      </c>
      <c r="M516" s="4" t="str">
        <f t="shared" si="24"/>
        <v>OK</v>
      </c>
      <c r="N516" s="7">
        <f t="shared" si="25"/>
        <v>1.6460279202298905E-3</v>
      </c>
      <c r="O516" s="7">
        <f>SUMIFS($D$2:D516,$B$2:B516,B516)/SUMIFS($D$2:$D$741,$B$2:$B$741,B516)</f>
        <v>0.98855733952092284</v>
      </c>
      <c r="P516" s="4" t="b">
        <f t="shared" si="26"/>
        <v>0</v>
      </c>
      <c r="Q516" s="2"/>
      <c r="R516" s="2"/>
      <c r="S516" s="2"/>
    </row>
    <row r="517" spans="1:19" x14ac:dyDescent="0.45">
      <c r="A517" s="4" t="s">
        <v>583</v>
      </c>
      <c r="B517" s="4" t="s">
        <v>568</v>
      </c>
      <c r="C517" s="5">
        <v>2</v>
      </c>
      <c r="D517" s="5">
        <v>474</v>
      </c>
      <c r="E517" s="5">
        <v>96</v>
      </c>
      <c r="F517" s="5">
        <v>0</v>
      </c>
      <c r="G517" s="5">
        <v>0</v>
      </c>
      <c r="H517" s="5">
        <v>474</v>
      </c>
      <c r="I517" s="6">
        <v>3</v>
      </c>
      <c r="J517" s="6">
        <v>3.7</v>
      </c>
      <c r="K517" s="6">
        <v>7</v>
      </c>
      <c r="L517" s="6">
        <v>7</v>
      </c>
      <c r="M517" s="4" t="str">
        <f t="shared" si="24"/>
        <v>OK</v>
      </c>
      <c r="N517" s="7">
        <f t="shared" si="25"/>
        <v>1.6391118365314456E-3</v>
      </c>
      <c r="O517" s="7">
        <f>SUMIFS($D$2:D517,$B$2:B517,B517)/SUMIFS($D$2:$D$741,$B$2:$B$741,B517)</f>
        <v>0.99019645135745438</v>
      </c>
      <c r="P517" s="4" t="b">
        <f t="shared" si="26"/>
        <v>0</v>
      </c>
      <c r="Q517" s="2"/>
      <c r="R517" s="2"/>
      <c r="S517" s="2"/>
    </row>
    <row r="518" spans="1:19" x14ac:dyDescent="0.45">
      <c r="A518" s="4" t="s">
        <v>584</v>
      </c>
      <c r="B518" s="4" t="s">
        <v>568</v>
      </c>
      <c r="C518" s="5">
        <v>2</v>
      </c>
      <c r="D518" s="5">
        <v>436</v>
      </c>
      <c r="E518" s="5">
        <v>17</v>
      </c>
      <c r="F518" s="5">
        <v>0</v>
      </c>
      <c r="G518" s="5">
        <v>0</v>
      </c>
      <c r="H518" s="5">
        <v>436</v>
      </c>
      <c r="I518" s="6">
        <v>2</v>
      </c>
      <c r="J518" s="6">
        <v>4</v>
      </c>
      <c r="K518" s="6">
        <v>8</v>
      </c>
      <c r="L518" s="6">
        <v>8</v>
      </c>
      <c r="M518" s="4" t="str">
        <f t="shared" si="24"/>
        <v>OK</v>
      </c>
      <c r="N518" s="7">
        <f t="shared" si="25"/>
        <v>1.5077062462609922E-3</v>
      </c>
      <c r="O518" s="7">
        <f>SUMIFS($D$2:D518,$B$2:B518,B518)/SUMIFS($D$2:$D$741,$B$2:$B$741,B518)</f>
        <v>0.99170415760371533</v>
      </c>
      <c r="P518" s="4" t="b">
        <f t="shared" si="26"/>
        <v>0</v>
      </c>
      <c r="Q518" s="2"/>
      <c r="R518" s="2"/>
      <c r="S518" s="2"/>
    </row>
    <row r="519" spans="1:19" x14ac:dyDescent="0.45">
      <c r="A519" s="4" t="s">
        <v>585</v>
      </c>
      <c r="B519" s="4" t="s">
        <v>568</v>
      </c>
      <c r="C519" s="5">
        <v>1</v>
      </c>
      <c r="D519" s="5">
        <v>414</v>
      </c>
      <c r="E519" s="5">
        <v>90</v>
      </c>
      <c r="F519" s="5">
        <v>0</v>
      </c>
      <c r="G519" s="5">
        <v>0</v>
      </c>
      <c r="H519" s="5">
        <v>414</v>
      </c>
      <c r="I519" s="6">
        <v>0</v>
      </c>
      <c r="J519" s="6">
        <v>0</v>
      </c>
      <c r="K519" s="6">
        <v>0</v>
      </c>
      <c r="L519" s="6">
        <v>0</v>
      </c>
      <c r="M519" s="4" t="str">
        <f t="shared" si="24"/>
        <v>OK</v>
      </c>
      <c r="N519" s="7">
        <f t="shared" si="25"/>
        <v>1.4316293255780981E-3</v>
      </c>
      <c r="O519" s="7">
        <f>SUMIFS($D$2:D519,$B$2:B519,B519)/SUMIFS($D$2:$D$741,$B$2:$B$741,B519)</f>
        <v>0.99313578692929338</v>
      </c>
      <c r="P519" s="4" t="b">
        <f t="shared" si="26"/>
        <v>0</v>
      </c>
      <c r="Q519" s="2"/>
      <c r="R519" s="2"/>
      <c r="S519" s="2"/>
    </row>
    <row r="520" spans="1:19" x14ac:dyDescent="0.45">
      <c r="A520" s="4" t="s">
        <v>586</v>
      </c>
      <c r="B520" s="4" t="s">
        <v>568</v>
      </c>
      <c r="C520" s="5">
        <v>2</v>
      </c>
      <c r="D520" s="5">
        <v>400</v>
      </c>
      <c r="E520" s="5">
        <v>107</v>
      </c>
      <c r="F520" s="5">
        <v>0</v>
      </c>
      <c r="G520" s="5">
        <v>0</v>
      </c>
      <c r="H520" s="5">
        <v>400</v>
      </c>
      <c r="I520" s="6">
        <v>0</v>
      </c>
      <c r="J520" s="6">
        <v>0.6</v>
      </c>
      <c r="K520" s="6">
        <v>0</v>
      </c>
      <c r="L520" s="6">
        <v>0</v>
      </c>
      <c r="M520" s="4" t="str">
        <f t="shared" si="24"/>
        <v>OK</v>
      </c>
      <c r="N520" s="7">
        <f t="shared" si="25"/>
        <v>1.3832167396889837E-3</v>
      </c>
      <c r="O520" s="7">
        <f>SUMIFS($D$2:D520,$B$2:B520,B520)/SUMIFS($D$2:$D$741,$B$2:$B$741,B520)</f>
        <v>0.99451900366898238</v>
      </c>
      <c r="P520" s="4" t="b">
        <f t="shared" si="26"/>
        <v>0</v>
      </c>
      <c r="Q520" s="2"/>
      <c r="R520" s="2"/>
      <c r="S520" s="2"/>
    </row>
    <row r="521" spans="1:19" x14ac:dyDescent="0.45">
      <c r="A521" s="4" t="s">
        <v>587</v>
      </c>
      <c r="B521" s="4" t="s">
        <v>568</v>
      </c>
      <c r="C521" s="5">
        <v>2</v>
      </c>
      <c r="D521" s="5">
        <v>342</v>
      </c>
      <c r="E521" s="5">
        <v>64</v>
      </c>
      <c r="F521" s="5">
        <v>0</v>
      </c>
      <c r="G521" s="5">
        <v>0</v>
      </c>
      <c r="H521" s="5">
        <v>342</v>
      </c>
      <c r="I521" s="6">
        <v>1</v>
      </c>
      <c r="J521" s="6">
        <v>1.2</v>
      </c>
      <c r="K521" s="6">
        <v>2</v>
      </c>
      <c r="L521" s="6">
        <v>2</v>
      </c>
      <c r="M521" s="4" t="str">
        <f t="shared" si="24"/>
        <v>OK</v>
      </c>
      <c r="N521" s="7">
        <f t="shared" si="25"/>
        <v>1.1826503124340811E-3</v>
      </c>
      <c r="O521" s="7">
        <f>SUMIFS($D$2:D521,$B$2:B521,B521)/SUMIFS($D$2:$D$741,$B$2:$B$741,B521)</f>
        <v>0.99570165398141652</v>
      </c>
      <c r="P521" s="4" t="b">
        <f t="shared" si="26"/>
        <v>0</v>
      </c>
      <c r="Q521" s="2"/>
      <c r="R521" s="2"/>
      <c r="S521" s="2"/>
    </row>
    <row r="522" spans="1:19" x14ac:dyDescent="0.45">
      <c r="A522" s="4" t="s">
        <v>588</v>
      </c>
      <c r="B522" s="4" t="s">
        <v>568</v>
      </c>
      <c r="C522" s="5">
        <v>2</v>
      </c>
      <c r="D522" s="5">
        <v>335</v>
      </c>
      <c r="E522" s="5">
        <v>78</v>
      </c>
      <c r="F522" s="5">
        <v>2</v>
      </c>
      <c r="G522" s="5">
        <v>0</v>
      </c>
      <c r="H522" s="5">
        <v>333</v>
      </c>
      <c r="I522" s="6">
        <v>0</v>
      </c>
      <c r="J522" s="6">
        <v>1.1000000000000001</v>
      </c>
      <c r="K522" s="6">
        <v>4</v>
      </c>
      <c r="L522" s="6">
        <v>3.8</v>
      </c>
      <c r="M522" s="4" t="str">
        <f t="shared" si="24"/>
        <v>OK</v>
      </c>
      <c r="N522" s="7">
        <f t="shared" si="25"/>
        <v>1.1584440194895239E-3</v>
      </c>
      <c r="O522" s="7">
        <f>SUMIFS($D$2:D522,$B$2:B522,B522)/SUMIFS($D$2:$D$741,$B$2:$B$741,B522)</f>
        <v>0.99686009800090603</v>
      </c>
      <c r="P522" s="4" t="b">
        <f t="shared" si="26"/>
        <v>0</v>
      </c>
      <c r="Q522" s="2"/>
      <c r="R522" s="2"/>
      <c r="S522" s="2"/>
    </row>
    <row r="523" spans="1:19" x14ac:dyDescent="0.45">
      <c r="A523" s="4" t="s">
        <v>589</v>
      </c>
      <c r="B523" s="4" t="s">
        <v>568</v>
      </c>
      <c r="C523" s="5">
        <v>2</v>
      </c>
      <c r="D523" s="5">
        <v>282</v>
      </c>
      <c r="E523" s="5">
        <v>49</v>
      </c>
      <c r="F523" s="5">
        <v>0</v>
      </c>
      <c r="G523" s="5">
        <v>0</v>
      </c>
      <c r="H523" s="5">
        <v>282</v>
      </c>
      <c r="I523" s="6">
        <v>4</v>
      </c>
      <c r="J523" s="6">
        <v>5.9</v>
      </c>
      <c r="K523" s="6">
        <v>12</v>
      </c>
      <c r="L523" s="6">
        <v>12</v>
      </c>
      <c r="M523" s="4" t="str">
        <f t="shared" si="24"/>
        <v>OK</v>
      </c>
      <c r="N523" s="7">
        <f t="shared" si="25"/>
        <v>9.7516780148073354E-4</v>
      </c>
      <c r="O523" s="7">
        <f>SUMIFS($D$2:D523,$B$2:B523,B523)/SUMIFS($D$2:$D$741,$B$2:$B$741,B523)</f>
        <v>0.99783526580238679</v>
      </c>
      <c r="P523" s="4" t="b">
        <f t="shared" si="26"/>
        <v>0</v>
      </c>
      <c r="Q523" s="2"/>
      <c r="R523" s="2"/>
      <c r="S523" s="2"/>
    </row>
    <row r="524" spans="1:19" x14ac:dyDescent="0.45">
      <c r="A524" s="4" t="s">
        <v>590</v>
      </c>
      <c r="B524" s="4" t="s">
        <v>568</v>
      </c>
      <c r="C524" s="5">
        <v>1</v>
      </c>
      <c r="D524" s="5">
        <v>242</v>
      </c>
      <c r="E524" s="5">
        <v>38</v>
      </c>
      <c r="F524" s="5">
        <v>1</v>
      </c>
      <c r="G524" s="5">
        <v>0</v>
      </c>
      <c r="H524" s="5">
        <v>241</v>
      </c>
      <c r="I524" s="6">
        <v>4</v>
      </c>
      <c r="J524" s="6">
        <v>11.1</v>
      </c>
      <c r="K524" s="6">
        <v>16</v>
      </c>
      <c r="L524" s="6">
        <v>16</v>
      </c>
      <c r="M524" s="4" t="str">
        <f t="shared" si="24"/>
        <v>OK</v>
      </c>
      <c r="N524" s="7">
        <f t="shared" si="25"/>
        <v>8.3684612751183511E-4</v>
      </c>
      <c r="O524" s="7">
        <f>SUMIFS($D$2:D524,$B$2:B524,B524)/SUMIFS($D$2:$D$741,$B$2:$B$741,B524)</f>
        <v>0.99867211192989858</v>
      </c>
      <c r="P524" s="4" t="b">
        <f t="shared" si="26"/>
        <v>0</v>
      </c>
      <c r="Q524" s="2"/>
      <c r="R524" s="2"/>
      <c r="S524" s="2"/>
    </row>
    <row r="525" spans="1:19" x14ac:dyDescent="0.45">
      <c r="A525" s="4" t="s">
        <v>591</v>
      </c>
      <c r="B525" s="4" t="s">
        <v>568</v>
      </c>
      <c r="C525" s="5">
        <v>2</v>
      </c>
      <c r="D525" s="5">
        <v>210</v>
      </c>
      <c r="E525" s="5">
        <v>34</v>
      </c>
      <c r="F525" s="5">
        <v>0</v>
      </c>
      <c r="G525" s="5">
        <v>0</v>
      </c>
      <c r="H525" s="5">
        <v>210</v>
      </c>
      <c r="I525" s="6">
        <v>1</v>
      </c>
      <c r="J525" s="6">
        <v>4.5999999999999996</v>
      </c>
      <c r="K525" s="6">
        <v>11</v>
      </c>
      <c r="L525" s="6">
        <v>11.1</v>
      </c>
      <c r="M525" s="4" t="str">
        <f t="shared" si="24"/>
        <v>OK</v>
      </c>
      <c r="N525" s="7">
        <f t="shared" si="25"/>
        <v>7.2618878833671644E-4</v>
      </c>
      <c r="O525" s="7">
        <f>SUMIFS($D$2:D525,$B$2:B525,B525)/SUMIFS($D$2:$D$741,$B$2:$B$741,B525)</f>
        <v>0.99939830071823532</v>
      </c>
      <c r="P525" s="4" t="b">
        <f t="shared" si="26"/>
        <v>0</v>
      </c>
      <c r="Q525" s="2"/>
      <c r="R525" s="2"/>
      <c r="S525" s="2"/>
    </row>
    <row r="526" spans="1:19" x14ac:dyDescent="0.45">
      <c r="A526" s="4" t="s">
        <v>592</v>
      </c>
      <c r="B526" s="4" t="s">
        <v>568</v>
      </c>
      <c r="C526" s="5">
        <v>2</v>
      </c>
      <c r="D526" s="5">
        <v>129</v>
      </c>
      <c r="E526" s="5">
        <v>21</v>
      </c>
      <c r="F526" s="5">
        <v>0</v>
      </c>
      <c r="G526" s="5">
        <v>0</v>
      </c>
      <c r="H526" s="5">
        <v>129</v>
      </c>
      <c r="I526" s="6">
        <v>1</v>
      </c>
      <c r="J526" s="6">
        <v>1.8</v>
      </c>
      <c r="K526" s="6">
        <v>4</v>
      </c>
      <c r="L526" s="6">
        <v>4</v>
      </c>
      <c r="M526" s="4" t="str">
        <f t="shared" si="24"/>
        <v>OK</v>
      </c>
      <c r="N526" s="7">
        <f t="shared" si="25"/>
        <v>4.4608739854969727E-4</v>
      </c>
      <c r="O526" s="7">
        <f>SUMIFS($D$2:D526,$B$2:B526,B526)/SUMIFS($D$2:$D$741,$B$2:$B$741,B526)</f>
        <v>0.999844388116785</v>
      </c>
      <c r="P526" s="4" t="b">
        <f t="shared" si="26"/>
        <v>0</v>
      </c>
      <c r="Q526" s="2"/>
      <c r="R526" s="2"/>
      <c r="S526" s="2"/>
    </row>
    <row r="527" spans="1:19" x14ac:dyDescent="0.45">
      <c r="A527" s="4" t="s">
        <v>593</v>
      </c>
      <c r="B527" s="4" t="s">
        <v>568</v>
      </c>
      <c r="C527" s="5">
        <v>1</v>
      </c>
      <c r="D527" s="5">
        <v>45</v>
      </c>
      <c r="E527" s="5">
        <v>16</v>
      </c>
      <c r="F527" s="5">
        <v>0</v>
      </c>
      <c r="G527" s="5">
        <v>0</v>
      </c>
      <c r="H527" s="5">
        <v>45</v>
      </c>
      <c r="I527" s="6">
        <v>2</v>
      </c>
      <c r="J527" s="6">
        <v>3.6</v>
      </c>
      <c r="K527" s="6">
        <v>10</v>
      </c>
      <c r="L527" s="6">
        <v>9.8000000000000007</v>
      </c>
      <c r="M527" s="4" t="str">
        <f t="shared" si="24"/>
        <v>OK</v>
      </c>
      <c r="N527" s="7">
        <f t="shared" si="25"/>
        <v>1.5561188321501067E-4</v>
      </c>
      <c r="O527" s="7">
        <f>SUMIFS($D$2:D527,$B$2:B527,B527)/SUMIFS($D$2:$D$741,$B$2:$B$741,B527)</f>
        <v>1</v>
      </c>
      <c r="P527" s="4" t="b">
        <f t="shared" si="26"/>
        <v>0</v>
      </c>
      <c r="Q527" s="2"/>
      <c r="R527" s="2"/>
      <c r="S527" s="2"/>
    </row>
    <row r="528" spans="1:19" x14ac:dyDescent="0.45">
      <c r="A528" s="9" t="s">
        <v>594</v>
      </c>
      <c r="B528" s="9" t="s">
        <v>595</v>
      </c>
      <c r="C528" s="10">
        <v>2</v>
      </c>
      <c r="D528" s="10">
        <v>202</v>
      </c>
      <c r="E528" s="10">
        <v>0</v>
      </c>
      <c r="F528" s="10">
        <v>0</v>
      </c>
      <c r="G528" s="10">
        <v>0</v>
      </c>
      <c r="H528" s="10">
        <v>202</v>
      </c>
      <c r="I528" s="11">
        <v>4</v>
      </c>
      <c r="J528" s="11">
        <v>10.8</v>
      </c>
      <c r="K528" s="11">
        <v>29</v>
      </c>
      <c r="L528" s="11">
        <v>28.9</v>
      </c>
      <c r="M528" s="9" t="str">
        <f t="shared" si="24"/>
        <v>OK</v>
      </c>
      <c r="N528" s="12">
        <f t="shared" si="25"/>
        <v>0.60119047619047616</v>
      </c>
      <c r="O528" s="12">
        <f>SUMIFS($D$2:D528,$B$2:B528,B528)/SUMIFS($D$2:$D$741,$B$2:$B$741,B528)</f>
        <v>0.60119047619047616</v>
      </c>
      <c r="P528" s="9" t="b">
        <f t="shared" si="26"/>
        <v>1</v>
      </c>
      <c r="Q528" s="2"/>
      <c r="R528" s="2"/>
      <c r="S528" s="2"/>
    </row>
    <row r="529" spans="1:19" x14ac:dyDescent="0.45">
      <c r="A529" s="4" t="s">
        <v>596</v>
      </c>
      <c r="B529" s="4" t="s">
        <v>595</v>
      </c>
      <c r="C529" s="5">
        <v>2</v>
      </c>
      <c r="D529" s="5">
        <v>89</v>
      </c>
      <c r="E529" s="5">
        <v>0</v>
      </c>
      <c r="F529" s="5">
        <v>0</v>
      </c>
      <c r="G529" s="5">
        <v>0</v>
      </c>
      <c r="H529" s="5">
        <v>88</v>
      </c>
      <c r="I529" s="6">
        <v>8.5</v>
      </c>
      <c r="J529" s="6">
        <v>126.8</v>
      </c>
      <c r="K529" s="6">
        <v>879</v>
      </c>
      <c r="L529" s="6">
        <v>876.9</v>
      </c>
      <c r="M529" s="4" t="str">
        <f t="shared" si="24"/>
        <v>OK</v>
      </c>
      <c r="N529" s="7">
        <f t="shared" si="25"/>
        <v>0.26488095238095238</v>
      </c>
      <c r="O529" s="7">
        <f>SUMIFS($D$2:D529,$B$2:B529,B529)/SUMIFS($D$2:$D$741,$B$2:$B$741,B529)</f>
        <v>0.8660714285714286</v>
      </c>
      <c r="P529" s="4" t="b">
        <f t="shared" si="26"/>
        <v>1</v>
      </c>
      <c r="Q529" s="2"/>
      <c r="R529" s="2"/>
      <c r="S529" s="2"/>
    </row>
    <row r="530" spans="1:19" x14ac:dyDescent="0.45">
      <c r="A530" s="4" t="s">
        <v>597</v>
      </c>
      <c r="B530" s="4" t="s">
        <v>595</v>
      </c>
      <c r="C530" s="5">
        <v>2</v>
      </c>
      <c r="D530" s="5">
        <v>37</v>
      </c>
      <c r="E530" s="5">
        <v>0</v>
      </c>
      <c r="F530" s="5">
        <v>0</v>
      </c>
      <c r="G530" s="5">
        <v>0</v>
      </c>
      <c r="H530" s="5">
        <v>37</v>
      </c>
      <c r="I530" s="6">
        <v>5</v>
      </c>
      <c r="J530" s="6">
        <v>8.8000000000000007</v>
      </c>
      <c r="K530" s="6">
        <v>14</v>
      </c>
      <c r="L530" s="6">
        <v>13.8</v>
      </c>
      <c r="M530" s="4" t="str">
        <f t="shared" si="24"/>
        <v>OK</v>
      </c>
      <c r="N530" s="7">
        <f t="shared" si="25"/>
        <v>0.11011904761904762</v>
      </c>
      <c r="O530" s="7">
        <f>SUMIFS($D$2:D530,$B$2:B530,B530)/SUMIFS($D$2:$D$741,$B$2:$B$741,B530)</f>
        <v>0.97619047619047616</v>
      </c>
      <c r="P530" s="4" t="b">
        <f t="shared" si="26"/>
        <v>1</v>
      </c>
      <c r="Q530" s="2"/>
      <c r="R530" s="2"/>
      <c r="S530" s="2"/>
    </row>
    <row r="531" spans="1:19" x14ac:dyDescent="0.45">
      <c r="A531" s="4" t="s">
        <v>598</v>
      </c>
      <c r="B531" s="4" t="s">
        <v>595</v>
      </c>
      <c r="C531" s="5">
        <v>2</v>
      </c>
      <c r="D531" s="5">
        <v>8</v>
      </c>
      <c r="E531" s="5">
        <v>0</v>
      </c>
      <c r="F531" s="5">
        <v>0</v>
      </c>
      <c r="G531" s="5">
        <v>0</v>
      </c>
      <c r="H531" s="5">
        <v>8</v>
      </c>
      <c r="I531" s="6">
        <v>17.5</v>
      </c>
      <c r="J531" s="6">
        <v>159.80000000000001</v>
      </c>
      <c r="K531" s="6">
        <v>496</v>
      </c>
      <c r="L531" s="6">
        <v>496.3</v>
      </c>
      <c r="M531" s="4" t="str">
        <f t="shared" si="24"/>
        <v>OK</v>
      </c>
      <c r="N531" s="7">
        <f t="shared" si="25"/>
        <v>2.3809523809523808E-2</v>
      </c>
      <c r="O531" s="7">
        <f>SUMIFS($D$2:D531,$B$2:B531,B531)/SUMIFS($D$2:$D$741,$B$2:$B$741,B531)</f>
        <v>1</v>
      </c>
      <c r="P531" s="4" t="b">
        <f t="shared" si="26"/>
        <v>0</v>
      </c>
      <c r="Q531" s="2"/>
      <c r="R531" s="2"/>
      <c r="S531" s="2"/>
    </row>
    <row r="532" spans="1:19" x14ac:dyDescent="0.45">
      <c r="A532" s="9" t="s">
        <v>599</v>
      </c>
      <c r="B532" s="9" t="s">
        <v>600</v>
      </c>
      <c r="C532" s="10">
        <v>2</v>
      </c>
      <c r="D532" s="10">
        <v>25079</v>
      </c>
      <c r="E532" s="10">
        <v>4422</v>
      </c>
      <c r="F532" s="10">
        <v>5</v>
      </c>
      <c r="G532" s="10">
        <v>0</v>
      </c>
      <c r="H532" s="10">
        <v>25074</v>
      </c>
      <c r="I532" s="11">
        <v>0</v>
      </c>
      <c r="J532" s="11">
        <v>0.6</v>
      </c>
      <c r="K532" s="11">
        <v>1</v>
      </c>
      <c r="L532" s="11">
        <v>1</v>
      </c>
      <c r="M532" s="9" t="str">
        <f t="shared" si="24"/>
        <v>OK</v>
      </c>
      <c r="N532" s="12">
        <f t="shared" si="25"/>
        <v>0.16503576575568732</v>
      </c>
      <c r="O532" s="12">
        <f>SUMIFS($D$2:D532,$B$2:B532,B532)/SUMIFS($D$2:$D$741,$B$2:$B$741,B532)</f>
        <v>0.16503576575568732</v>
      </c>
      <c r="P532" s="9" t="b">
        <f t="shared" si="26"/>
        <v>1</v>
      </c>
      <c r="Q532" s="2"/>
      <c r="R532" s="2"/>
      <c r="S532" s="2"/>
    </row>
    <row r="533" spans="1:19" x14ac:dyDescent="0.45">
      <c r="A533" s="4" t="s">
        <v>601</v>
      </c>
      <c r="B533" s="4" t="s">
        <v>600</v>
      </c>
      <c r="C533" s="5">
        <v>2</v>
      </c>
      <c r="D533" s="5">
        <v>14891</v>
      </c>
      <c r="E533" s="5">
        <v>3324</v>
      </c>
      <c r="F533" s="5">
        <v>146</v>
      </c>
      <c r="G533" s="5">
        <v>0</v>
      </c>
      <c r="H533" s="5">
        <v>14724</v>
      </c>
      <c r="I533" s="6">
        <v>11</v>
      </c>
      <c r="J533" s="6">
        <v>11.8</v>
      </c>
      <c r="K533" s="6">
        <v>25</v>
      </c>
      <c r="L533" s="6">
        <v>25</v>
      </c>
      <c r="M533" s="4" t="str">
        <f t="shared" si="24"/>
        <v>OK</v>
      </c>
      <c r="N533" s="7">
        <f t="shared" si="25"/>
        <v>9.7992248011002828E-2</v>
      </c>
      <c r="O533" s="7">
        <f>SUMIFS($D$2:D533,$B$2:B533,B533)/SUMIFS($D$2:$D$741,$B$2:$B$741,B533)</f>
        <v>0.26302801376669016</v>
      </c>
      <c r="P533" s="4" t="b">
        <f t="shared" si="26"/>
        <v>1</v>
      </c>
      <c r="Q533" s="2"/>
      <c r="R533" s="2"/>
      <c r="S533" s="2"/>
    </row>
    <row r="534" spans="1:19" x14ac:dyDescent="0.45">
      <c r="A534" s="4" t="s">
        <v>602</v>
      </c>
      <c r="B534" s="4" t="s">
        <v>600</v>
      </c>
      <c r="C534" s="5">
        <v>2</v>
      </c>
      <c r="D534" s="5">
        <v>13039</v>
      </c>
      <c r="E534" s="5">
        <v>2387</v>
      </c>
      <c r="F534" s="5">
        <v>25</v>
      </c>
      <c r="G534" s="5">
        <v>7</v>
      </c>
      <c r="H534" s="5">
        <v>12869</v>
      </c>
      <c r="I534" s="6">
        <v>3</v>
      </c>
      <c r="J534" s="6">
        <v>6.7</v>
      </c>
      <c r="K534" s="6">
        <v>14</v>
      </c>
      <c r="L534" s="6">
        <v>14</v>
      </c>
      <c r="M534" s="4" t="str">
        <f t="shared" si="24"/>
        <v>OK</v>
      </c>
      <c r="N534" s="7">
        <f t="shared" si="25"/>
        <v>8.580491047044965E-2</v>
      </c>
      <c r="O534" s="7">
        <f>SUMIFS($D$2:D534,$B$2:B534,B534)/SUMIFS($D$2:$D$741,$B$2:$B$741,B534)</f>
        <v>0.3488329242371398</v>
      </c>
      <c r="P534" s="4" t="b">
        <f t="shared" si="26"/>
        <v>1</v>
      </c>
      <c r="Q534" s="2"/>
      <c r="R534" s="2"/>
      <c r="S534" s="2"/>
    </row>
    <row r="535" spans="1:19" x14ac:dyDescent="0.45">
      <c r="A535" s="4" t="s">
        <v>603</v>
      </c>
      <c r="B535" s="4" t="s">
        <v>600</v>
      </c>
      <c r="C535" s="5">
        <v>2</v>
      </c>
      <c r="D535" s="5">
        <v>9672</v>
      </c>
      <c r="E535" s="5">
        <v>2103</v>
      </c>
      <c r="F535" s="5">
        <v>398</v>
      </c>
      <c r="G535" s="5">
        <v>187</v>
      </c>
      <c r="H535" s="5">
        <v>9274</v>
      </c>
      <c r="I535" s="6">
        <v>87</v>
      </c>
      <c r="J535" s="6">
        <v>103.9</v>
      </c>
      <c r="K535" s="6">
        <v>224</v>
      </c>
      <c r="L535" s="6">
        <v>224</v>
      </c>
      <c r="M535" s="4" t="str">
        <f t="shared" si="24"/>
        <v>OK</v>
      </c>
      <c r="N535" s="7">
        <f t="shared" si="25"/>
        <v>6.3647909661031454E-2</v>
      </c>
      <c r="O535" s="7">
        <f>SUMIFS($D$2:D535,$B$2:B535,B535)/SUMIFS($D$2:$D$741,$B$2:$B$741,B535)</f>
        <v>0.41248083389817125</v>
      </c>
      <c r="P535" s="4" t="b">
        <f t="shared" si="26"/>
        <v>1</v>
      </c>
      <c r="Q535" s="2"/>
      <c r="R535" s="2"/>
      <c r="S535" s="2"/>
    </row>
    <row r="536" spans="1:19" x14ac:dyDescent="0.45">
      <c r="A536" s="4" t="s">
        <v>604</v>
      </c>
      <c r="B536" s="4" t="s">
        <v>600</v>
      </c>
      <c r="C536" s="5">
        <v>2</v>
      </c>
      <c r="D536" s="5">
        <v>8915</v>
      </c>
      <c r="E536" s="5">
        <v>2342</v>
      </c>
      <c r="F536" s="5">
        <v>124</v>
      </c>
      <c r="G536" s="5">
        <v>1</v>
      </c>
      <c r="H536" s="5">
        <v>8788</v>
      </c>
      <c r="I536" s="6">
        <v>13</v>
      </c>
      <c r="J536" s="6">
        <v>33.1</v>
      </c>
      <c r="K536" s="6">
        <v>55</v>
      </c>
      <c r="L536" s="6">
        <v>54</v>
      </c>
      <c r="M536" s="4" t="str">
        <f t="shared" si="24"/>
        <v>OK</v>
      </c>
      <c r="N536" s="7">
        <f t="shared" si="25"/>
        <v>5.8666368344509445E-2</v>
      </c>
      <c r="O536" s="7">
        <f>SUMIFS($D$2:D536,$B$2:B536,B536)/SUMIFS($D$2:$D$741,$B$2:$B$741,B536)</f>
        <v>0.4711472022426807</v>
      </c>
      <c r="P536" s="4" t="b">
        <f t="shared" si="26"/>
        <v>1</v>
      </c>
      <c r="Q536" s="2"/>
      <c r="R536" s="2"/>
      <c r="S536" s="2"/>
    </row>
    <row r="537" spans="1:19" x14ac:dyDescent="0.45">
      <c r="A537" s="4" t="s">
        <v>605</v>
      </c>
      <c r="B537" s="4" t="s">
        <v>600</v>
      </c>
      <c r="C537" s="5">
        <v>2</v>
      </c>
      <c r="D537" s="5">
        <v>8470</v>
      </c>
      <c r="E537" s="5">
        <v>1675</v>
      </c>
      <c r="F537" s="5">
        <v>10</v>
      </c>
      <c r="G537" s="5">
        <v>8</v>
      </c>
      <c r="H537" s="5">
        <v>7516</v>
      </c>
      <c r="I537" s="6">
        <v>0</v>
      </c>
      <c r="J537" s="6">
        <v>1.2</v>
      </c>
      <c r="K537" s="6">
        <v>1</v>
      </c>
      <c r="L537" s="6">
        <v>1</v>
      </c>
      <c r="M537" s="4" t="str">
        <f t="shared" si="24"/>
        <v>OK</v>
      </c>
      <c r="N537" s="7">
        <f t="shared" si="25"/>
        <v>5.5737985404149752E-2</v>
      </c>
      <c r="O537" s="7">
        <f>SUMIFS($D$2:D537,$B$2:B537,B537)/SUMIFS($D$2:$D$741,$B$2:$B$741,B537)</f>
        <v>0.52688518764683046</v>
      </c>
      <c r="P537" s="4" t="b">
        <f t="shared" si="26"/>
        <v>1</v>
      </c>
      <c r="Q537" s="2"/>
      <c r="R537" s="2"/>
      <c r="S537" s="2"/>
    </row>
    <row r="538" spans="1:19" x14ac:dyDescent="0.45">
      <c r="A538" s="4" t="s">
        <v>606</v>
      </c>
      <c r="B538" s="4" t="s">
        <v>600</v>
      </c>
      <c r="C538" s="5">
        <v>2</v>
      </c>
      <c r="D538" s="5">
        <v>5592</v>
      </c>
      <c r="E538" s="5">
        <v>1043</v>
      </c>
      <c r="F538" s="5">
        <v>34</v>
      </c>
      <c r="G538" s="5">
        <v>2</v>
      </c>
      <c r="H538" s="5">
        <v>5557</v>
      </c>
      <c r="I538" s="6">
        <v>20</v>
      </c>
      <c r="J538" s="6">
        <v>58</v>
      </c>
      <c r="K538" s="6">
        <v>149</v>
      </c>
      <c r="L538" s="6">
        <v>149</v>
      </c>
      <c r="M538" s="4" t="str">
        <f t="shared" si="24"/>
        <v>OK</v>
      </c>
      <c r="N538" s="7">
        <f t="shared" si="25"/>
        <v>3.6798915511216695E-2</v>
      </c>
      <c r="O538" s="7">
        <f>SUMIFS($D$2:D538,$B$2:B538,B538)/SUMIFS($D$2:$D$741,$B$2:$B$741,B538)</f>
        <v>0.56368410315804718</v>
      </c>
      <c r="P538" s="4" t="b">
        <f t="shared" si="26"/>
        <v>1</v>
      </c>
      <c r="Q538" s="2"/>
      <c r="R538" s="2"/>
      <c r="S538" s="2"/>
    </row>
    <row r="539" spans="1:19" x14ac:dyDescent="0.45">
      <c r="A539" s="4" t="s">
        <v>607</v>
      </c>
      <c r="B539" s="4" t="s">
        <v>600</v>
      </c>
      <c r="C539" s="5">
        <v>2</v>
      </c>
      <c r="D539" s="5">
        <v>4107</v>
      </c>
      <c r="E539" s="5">
        <v>937</v>
      </c>
      <c r="F539" s="5">
        <v>15</v>
      </c>
      <c r="G539" s="5">
        <v>6</v>
      </c>
      <c r="H539" s="5">
        <v>3390</v>
      </c>
      <c r="I539" s="6">
        <v>1</v>
      </c>
      <c r="J539" s="6">
        <v>2.9</v>
      </c>
      <c r="K539" s="6">
        <v>3</v>
      </c>
      <c r="L539" s="6">
        <v>3</v>
      </c>
      <c r="M539" s="4" t="str">
        <f t="shared" si="24"/>
        <v>OK</v>
      </c>
      <c r="N539" s="7">
        <f t="shared" si="25"/>
        <v>2.7026671316982647E-2</v>
      </c>
      <c r="O539" s="7">
        <f>SUMIFS($D$2:D539,$B$2:B539,B539)/SUMIFS($D$2:$D$741,$B$2:$B$741,B539)</f>
        <v>0.59071077447502973</v>
      </c>
      <c r="P539" s="4" t="b">
        <f t="shared" si="26"/>
        <v>1</v>
      </c>
      <c r="Q539" s="2"/>
      <c r="R539" s="2"/>
      <c r="S539" s="2"/>
    </row>
    <row r="540" spans="1:19" x14ac:dyDescent="0.45">
      <c r="A540" s="4" t="s">
        <v>608</v>
      </c>
      <c r="B540" s="4" t="s">
        <v>600</v>
      </c>
      <c r="C540" s="5">
        <v>2</v>
      </c>
      <c r="D540" s="5">
        <v>3870</v>
      </c>
      <c r="E540" s="5">
        <v>900</v>
      </c>
      <c r="F540" s="5">
        <v>35</v>
      </c>
      <c r="G540" s="5">
        <v>5</v>
      </c>
      <c r="H540" s="5">
        <v>3831</v>
      </c>
      <c r="I540" s="6">
        <v>9</v>
      </c>
      <c r="J540" s="6">
        <v>56.4</v>
      </c>
      <c r="K540" s="6">
        <v>170</v>
      </c>
      <c r="L540" s="6">
        <v>167</v>
      </c>
      <c r="M540" s="4" t="str">
        <f t="shared" si="24"/>
        <v>OK</v>
      </c>
      <c r="N540" s="7">
        <f t="shared" si="25"/>
        <v>2.5467060627397821E-2</v>
      </c>
      <c r="O540" s="7">
        <f>SUMIFS($D$2:D540,$B$2:B540,B540)/SUMIFS($D$2:$D$741,$B$2:$B$741,B540)</f>
        <v>0.61617783510242763</v>
      </c>
      <c r="P540" s="4" t="b">
        <f t="shared" si="26"/>
        <v>1</v>
      </c>
      <c r="Q540" s="2"/>
      <c r="R540" s="2"/>
      <c r="S540" s="2"/>
    </row>
    <row r="541" spans="1:19" x14ac:dyDescent="0.45">
      <c r="A541" s="4" t="s">
        <v>609</v>
      </c>
      <c r="B541" s="4" t="s">
        <v>600</v>
      </c>
      <c r="C541" s="5">
        <v>2</v>
      </c>
      <c r="D541" s="5">
        <v>3720</v>
      </c>
      <c r="E541" s="5">
        <v>908</v>
      </c>
      <c r="F541" s="5">
        <v>21</v>
      </c>
      <c r="G541" s="5">
        <v>11</v>
      </c>
      <c r="H541" s="5">
        <v>3699</v>
      </c>
      <c r="I541" s="6">
        <v>3</v>
      </c>
      <c r="J541" s="6">
        <v>13.7</v>
      </c>
      <c r="K541" s="6">
        <v>29</v>
      </c>
      <c r="L541" s="6">
        <v>29</v>
      </c>
      <c r="M541" s="4" t="str">
        <f t="shared" si="24"/>
        <v>OK</v>
      </c>
      <c r="N541" s="7">
        <f t="shared" si="25"/>
        <v>2.4479965254242866E-2</v>
      </c>
      <c r="O541" s="7">
        <f>SUMIFS($D$2:D541,$B$2:B541,B541)/SUMIFS($D$2:$D$741,$B$2:$B$741,B541)</f>
        <v>0.64065780035667041</v>
      </c>
      <c r="P541" s="4" t="b">
        <f t="shared" si="26"/>
        <v>1</v>
      </c>
      <c r="Q541" s="2"/>
      <c r="R541" s="2"/>
      <c r="S541" s="2"/>
    </row>
    <row r="542" spans="1:19" x14ac:dyDescent="0.45">
      <c r="A542" s="4" t="s">
        <v>610</v>
      </c>
      <c r="B542" s="4" t="s">
        <v>600</v>
      </c>
      <c r="C542" s="5">
        <v>2</v>
      </c>
      <c r="D542" s="5">
        <v>3622</v>
      </c>
      <c r="E542" s="5">
        <v>0</v>
      </c>
      <c r="F542" s="5">
        <v>0</v>
      </c>
      <c r="G542" s="5">
        <v>0</v>
      </c>
      <c r="H542" s="5">
        <v>3622</v>
      </c>
      <c r="I542" s="6">
        <v>1</v>
      </c>
      <c r="J542" s="6">
        <v>8</v>
      </c>
      <c r="K542" s="6">
        <v>6</v>
      </c>
      <c r="L542" s="6">
        <v>6</v>
      </c>
      <c r="M542" s="4" t="str">
        <f t="shared" si="24"/>
        <v>OK</v>
      </c>
      <c r="N542" s="7">
        <f t="shared" si="25"/>
        <v>2.383506294378163E-2</v>
      </c>
      <c r="O542" s="7">
        <f>SUMIFS($D$2:D542,$B$2:B542,B542)/SUMIFS($D$2:$D$741,$B$2:$B$741,B542)</f>
        <v>0.6644928633004521</v>
      </c>
      <c r="P542" s="4" t="b">
        <f t="shared" si="26"/>
        <v>1</v>
      </c>
      <c r="Q542" s="2"/>
      <c r="R542" s="2"/>
      <c r="S542" s="2"/>
    </row>
    <row r="543" spans="1:19" x14ac:dyDescent="0.45">
      <c r="A543" s="4" t="s">
        <v>611</v>
      </c>
      <c r="B543" s="4" t="s">
        <v>600</v>
      </c>
      <c r="C543" s="5">
        <v>2</v>
      </c>
      <c r="D543" s="5">
        <v>3618</v>
      </c>
      <c r="E543" s="5">
        <v>759</v>
      </c>
      <c r="F543" s="5">
        <v>6</v>
      </c>
      <c r="G543" s="5">
        <v>6</v>
      </c>
      <c r="H543" s="5">
        <v>3612</v>
      </c>
      <c r="I543" s="6">
        <v>0</v>
      </c>
      <c r="J543" s="6">
        <v>0.7</v>
      </c>
      <c r="K543" s="6">
        <v>0</v>
      </c>
      <c r="L543" s="6">
        <v>0</v>
      </c>
      <c r="M543" s="4" t="str">
        <f t="shared" si="24"/>
        <v>OK</v>
      </c>
      <c r="N543" s="7">
        <f t="shared" si="25"/>
        <v>2.3808740400497495E-2</v>
      </c>
      <c r="O543" s="7">
        <f>SUMIFS($D$2:D543,$B$2:B543,B543)/SUMIFS($D$2:$D$741,$B$2:$B$741,B543)</f>
        <v>0.68830160370094962</v>
      </c>
      <c r="P543" s="4" t="b">
        <f t="shared" si="26"/>
        <v>1</v>
      </c>
      <c r="Q543" s="2"/>
      <c r="R543" s="2"/>
      <c r="S543" s="2"/>
    </row>
    <row r="544" spans="1:19" x14ac:dyDescent="0.45">
      <c r="A544" s="4" t="s">
        <v>612</v>
      </c>
      <c r="B544" s="4" t="s">
        <v>600</v>
      </c>
      <c r="C544" s="5">
        <v>2</v>
      </c>
      <c r="D544" s="5">
        <v>3544</v>
      </c>
      <c r="E544" s="5">
        <v>693</v>
      </c>
      <c r="F544" s="5">
        <v>28</v>
      </c>
      <c r="G544" s="5">
        <v>6</v>
      </c>
      <c r="H544" s="5">
        <v>3479</v>
      </c>
      <c r="I544" s="6">
        <v>3</v>
      </c>
      <c r="J544" s="6">
        <v>9.4</v>
      </c>
      <c r="K544" s="6">
        <v>20</v>
      </c>
      <c r="L544" s="6">
        <v>20</v>
      </c>
      <c r="M544" s="4" t="str">
        <f t="shared" si="24"/>
        <v>OK</v>
      </c>
      <c r="N544" s="7">
        <f t="shared" si="25"/>
        <v>2.3321773349741053E-2</v>
      </c>
      <c r="O544" s="7">
        <f>SUMIFS($D$2:D544,$B$2:B544,B544)/SUMIFS($D$2:$D$741,$B$2:$B$741,B544)</f>
        <v>0.71162337705069068</v>
      </c>
      <c r="P544" s="4" t="b">
        <f t="shared" si="26"/>
        <v>1</v>
      </c>
      <c r="Q544" s="2"/>
      <c r="R544" s="2"/>
      <c r="S544" s="2"/>
    </row>
    <row r="545" spans="1:19" x14ac:dyDescent="0.45">
      <c r="A545" s="4" t="s">
        <v>613</v>
      </c>
      <c r="B545" s="4" t="s">
        <v>600</v>
      </c>
      <c r="C545" s="5">
        <v>2</v>
      </c>
      <c r="D545" s="5">
        <v>3286</v>
      </c>
      <c r="E545" s="5">
        <v>652</v>
      </c>
      <c r="F545" s="5">
        <v>8</v>
      </c>
      <c r="G545" s="5">
        <v>1</v>
      </c>
      <c r="H545" s="5">
        <v>3278</v>
      </c>
      <c r="I545" s="6">
        <v>2</v>
      </c>
      <c r="J545" s="6">
        <v>6.6</v>
      </c>
      <c r="K545" s="6">
        <v>11</v>
      </c>
      <c r="L545" s="6">
        <v>11</v>
      </c>
      <c r="M545" s="4" t="str">
        <f t="shared" si="24"/>
        <v>OK</v>
      </c>
      <c r="N545" s="7">
        <f t="shared" si="25"/>
        <v>2.1623969307914531E-2</v>
      </c>
      <c r="O545" s="7">
        <f>SUMIFS($D$2:D545,$B$2:B545,B545)/SUMIFS($D$2:$D$741,$B$2:$B$741,B545)</f>
        <v>0.73324734635860522</v>
      </c>
      <c r="P545" s="4" t="b">
        <f t="shared" si="26"/>
        <v>1</v>
      </c>
      <c r="Q545" s="2"/>
      <c r="R545" s="2"/>
      <c r="S545" s="2"/>
    </row>
    <row r="546" spans="1:19" x14ac:dyDescent="0.45">
      <c r="A546" s="4" t="s">
        <v>614</v>
      </c>
      <c r="B546" s="4" t="s">
        <v>600</v>
      </c>
      <c r="C546" s="5">
        <v>2</v>
      </c>
      <c r="D546" s="5">
        <v>3091</v>
      </c>
      <c r="E546" s="5">
        <v>791</v>
      </c>
      <c r="F546" s="5">
        <v>12</v>
      </c>
      <c r="G546" s="5">
        <v>9</v>
      </c>
      <c r="H546" s="5">
        <v>3079</v>
      </c>
      <c r="I546" s="6">
        <v>1</v>
      </c>
      <c r="J546" s="6">
        <v>4.5999999999999996</v>
      </c>
      <c r="K546" s="6">
        <v>3</v>
      </c>
      <c r="L546" s="6">
        <v>3</v>
      </c>
      <c r="M546" s="4" t="str">
        <f t="shared" si="24"/>
        <v>OK</v>
      </c>
      <c r="N546" s="7">
        <f t="shared" si="25"/>
        <v>2.0340745322813089E-2</v>
      </c>
      <c r="O546" s="7">
        <f>SUMIFS($D$2:D546,$B$2:B546,B546)/SUMIFS($D$2:$D$741,$B$2:$B$741,B546)</f>
        <v>0.75358809168141827</v>
      </c>
      <c r="P546" s="4" t="b">
        <f t="shared" si="26"/>
        <v>1</v>
      </c>
      <c r="Q546" s="2"/>
      <c r="R546" s="2"/>
      <c r="S546" s="2"/>
    </row>
    <row r="547" spans="1:19" x14ac:dyDescent="0.45">
      <c r="A547" s="4" t="s">
        <v>615</v>
      </c>
      <c r="B547" s="4" t="s">
        <v>600</v>
      </c>
      <c r="C547" s="5">
        <v>2</v>
      </c>
      <c r="D547" s="5">
        <v>3064</v>
      </c>
      <c r="E547" s="5">
        <v>631</v>
      </c>
      <c r="F547" s="5">
        <v>6</v>
      </c>
      <c r="G547" s="5">
        <v>0</v>
      </c>
      <c r="H547" s="5">
        <v>3058</v>
      </c>
      <c r="I547" s="6">
        <v>4</v>
      </c>
      <c r="J547" s="6">
        <v>7.2</v>
      </c>
      <c r="K547" s="6">
        <v>20</v>
      </c>
      <c r="L547" s="6">
        <v>20</v>
      </c>
      <c r="M547" s="4" t="str">
        <f t="shared" si="24"/>
        <v>OK</v>
      </c>
      <c r="N547" s="7">
        <f t="shared" si="25"/>
        <v>2.0163068155645197E-2</v>
      </c>
      <c r="O547" s="7">
        <f>SUMIFS($D$2:D547,$B$2:B547,B547)/SUMIFS($D$2:$D$741,$B$2:$B$741,B547)</f>
        <v>0.77375115983706344</v>
      </c>
      <c r="P547" s="4" t="b">
        <f t="shared" si="26"/>
        <v>1</v>
      </c>
      <c r="Q547" s="2"/>
      <c r="R547" s="2"/>
      <c r="S547" s="2"/>
    </row>
    <row r="548" spans="1:19" x14ac:dyDescent="0.45">
      <c r="A548" s="4" t="s">
        <v>616</v>
      </c>
      <c r="B548" s="4" t="s">
        <v>600</v>
      </c>
      <c r="C548" s="5">
        <v>2</v>
      </c>
      <c r="D548" s="5">
        <v>2939</v>
      </c>
      <c r="E548" s="5">
        <v>660</v>
      </c>
      <c r="F548" s="5">
        <v>0</v>
      </c>
      <c r="G548" s="5">
        <v>0</v>
      </c>
      <c r="H548" s="5">
        <v>2934</v>
      </c>
      <c r="I548" s="6">
        <v>2</v>
      </c>
      <c r="J548" s="6">
        <v>9.5</v>
      </c>
      <c r="K548" s="6">
        <v>18</v>
      </c>
      <c r="L548" s="6">
        <v>18</v>
      </c>
      <c r="M548" s="4" t="str">
        <f t="shared" si="24"/>
        <v>OK</v>
      </c>
      <c r="N548" s="7">
        <f t="shared" si="25"/>
        <v>1.934048867801607E-2</v>
      </c>
      <c r="O548" s="7">
        <f>SUMIFS($D$2:D548,$B$2:B548,B548)/SUMIFS($D$2:$D$741,$B$2:$B$741,B548)</f>
        <v>0.79309164851507952</v>
      </c>
      <c r="P548" s="4" t="b">
        <f t="shared" si="26"/>
        <v>1</v>
      </c>
      <c r="Q548" s="2"/>
      <c r="R548" s="2"/>
      <c r="S548" s="2"/>
    </row>
    <row r="549" spans="1:19" x14ac:dyDescent="0.45">
      <c r="A549" s="4" t="s">
        <v>617</v>
      </c>
      <c r="B549" s="4" t="s">
        <v>600</v>
      </c>
      <c r="C549" s="5">
        <v>2</v>
      </c>
      <c r="D549" s="5">
        <v>2923</v>
      </c>
      <c r="E549" s="5">
        <v>675</v>
      </c>
      <c r="F549" s="5">
        <v>7</v>
      </c>
      <c r="G549" s="5">
        <v>0</v>
      </c>
      <c r="H549" s="5">
        <v>2916</v>
      </c>
      <c r="I549" s="6">
        <v>3</v>
      </c>
      <c r="J549" s="6">
        <v>6</v>
      </c>
      <c r="K549" s="6">
        <v>16</v>
      </c>
      <c r="L549" s="6">
        <v>16</v>
      </c>
      <c r="M549" s="4" t="str">
        <f t="shared" si="24"/>
        <v>OK</v>
      </c>
      <c r="N549" s="7">
        <f t="shared" si="25"/>
        <v>1.9235198504879543E-2</v>
      </c>
      <c r="O549" s="7">
        <f>SUMIFS($D$2:D549,$B$2:B549,B549)/SUMIFS($D$2:$D$741,$B$2:$B$741,B549)</f>
        <v>0.81232684701995905</v>
      </c>
      <c r="P549" s="4" t="b">
        <f t="shared" si="26"/>
        <v>1</v>
      </c>
      <c r="Q549" s="2"/>
      <c r="R549" s="2"/>
      <c r="S549" s="2"/>
    </row>
    <row r="550" spans="1:19" x14ac:dyDescent="0.45">
      <c r="A550" s="4" t="s">
        <v>618</v>
      </c>
      <c r="B550" s="4" t="s">
        <v>600</v>
      </c>
      <c r="C550" s="5">
        <v>2</v>
      </c>
      <c r="D550" s="5">
        <v>2836</v>
      </c>
      <c r="E550" s="5">
        <v>721</v>
      </c>
      <c r="F550" s="5">
        <v>27</v>
      </c>
      <c r="G550" s="5">
        <v>0</v>
      </c>
      <c r="H550" s="5">
        <v>2804</v>
      </c>
      <c r="I550" s="6">
        <v>6</v>
      </c>
      <c r="J550" s="6">
        <v>8.9</v>
      </c>
      <c r="K550" s="6">
        <v>19</v>
      </c>
      <c r="L550" s="6">
        <v>19</v>
      </c>
      <c r="M550" s="4" t="str">
        <f t="shared" si="24"/>
        <v>OK</v>
      </c>
      <c r="N550" s="7">
        <f t="shared" si="25"/>
        <v>1.8662683188449668E-2</v>
      </c>
      <c r="O550" s="7">
        <f>SUMIFS($D$2:D550,$B$2:B550,B550)/SUMIFS($D$2:$D$741,$B$2:$B$741,B550)</f>
        <v>0.83098953020840871</v>
      </c>
      <c r="P550" s="4" t="b">
        <f t="shared" si="26"/>
        <v>1</v>
      </c>
      <c r="Q550" s="2"/>
      <c r="R550" s="2"/>
      <c r="S550" s="2"/>
    </row>
    <row r="551" spans="1:19" x14ac:dyDescent="0.45">
      <c r="A551" s="4" t="s">
        <v>619</v>
      </c>
      <c r="B551" s="4" t="s">
        <v>600</v>
      </c>
      <c r="C551" s="5">
        <v>1</v>
      </c>
      <c r="D551" s="5">
        <v>2805</v>
      </c>
      <c r="E551" s="5">
        <v>726</v>
      </c>
      <c r="F551" s="5">
        <v>265</v>
      </c>
      <c r="G551" s="5">
        <v>200</v>
      </c>
      <c r="H551" s="5">
        <v>2540</v>
      </c>
      <c r="I551" s="6">
        <v>29.5</v>
      </c>
      <c r="J551" s="6">
        <v>84.7</v>
      </c>
      <c r="K551" s="6">
        <v>237</v>
      </c>
      <c r="L551" s="6">
        <v>237</v>
      </c>
      <c r="M551" s="4" t="str">
        <f t="shared" si="24"/>
        <v>OK</v>
      </c>
      <c r="N551" s="7">
        <f t="shared" si="25"/>
        <v>1.8458683477997645E-2</v>
      </c>
      <c r="O551" s="7">
        <f>SUMIFS($D$2:D551,$B$2:B551,B551)/SUMIFS($D$2:$D$741,$B$2:$B$741,B551)</f>
        <v>0.84944821368640633</v>
      </c>
      <c r="P551" s="4" t="b">
        <f t="shared" si="26"/>
        <v>1</v>
      </c>
      <c r="Q551" s="2"/>
      <c r="R551" s="2"/>
      <c r="S551" s="2"/>
    </row>
    <row r="552" spans="1:19" x14ac:dyDescent="0.45">
      <c r="A552" s="4" t="s">
        <v>620</v>
      </c>
      <c r="B552" s="4" t="s">
        <v>600</v>
      </c>
      <c r="C552" s="5">
        <v>2</v>
      </c>
      <c r="D552" s="5">
        <v>2455</v>
      </c>
      <c r="E552" s="5">
        <v>553</v>
      </c>
      <c r="F552" s="5">
        <v>13</v>
      </c>
      <c r="G552" s="5">
        <v>0</v>
      </c>
      <c r="H552" s="5">
        <v>2442</v>
      </c>
      <c r="I552" s="6">
        <v>1</v>
      </c>
      <c r="J552" s="6">
        <v>7.9</v>
      </c>
      <c r="K552" s="6">
        <v>14</v>
      </c>
      <c r="L552" s="6">
        <v>13.9</v>
      </c>
      <c r="M552" s="4" t="str">
        <f t="shared" si="24"/>
        <v>OK</v>
      </c>
      <c r="N552" s="7">
        <f t="shared" si="25"/>
        <v>1.6155460940636083E-2</v>
      </c>
      <c r="O552" s="7">
        <f>SUMIFS($D$2:D552,$B$2:B552,B552)/SUMIFS($D$2:$D$741,$B$2:$B$741,B552)</f>
        <v>0.86560367462704246</v>
      </c>
      <c r="P552" s="4" t="b">
        <f t="shared" si="26"/>
        <v>1</v>
      </c>
      <c r="Q552" s="2"/>
      <c r="R552" s="2"/>
      <c r="S552" s="2"/>
    </row>
    <row r="553" spans="1:19" x14ac:dyDescent="0.45">
      <c r="A553" s="4" t="s">
        <v>621</v>
      </c>
      <c r="B553" s="4" t="s">
        <v>600</v>
      </c>
      <c r="C553" s="5">
        <v>1</v>
      </c>
      <c r="D553" s="5">
        <v>2024</v>
      </c>
      <c r="E553" s="5">
        <v>1083</v>
      </c>
      <c r="F553" s="5">
        <v>11</v>
      </c>
      <c r="G553" s="5">
        <v>4</v>
      </c>
      <c r="H553" s="5">
        <v>2013</v>
      </c>
      <c r="I553" s="6">
        <v>1</v>
      </c>
      <c r="J553" s="6">
        <v>3.8</v>
      </c>
      <c r="K553" s="6">
        <v>5</v>
      </c>
      <c r="L553" s="6">
        <v>5</v>
      </c>
      <c r="M553" s="4" t="str">
        <f t="shared" si="24"/>
        <v>OK</v>
      </c>
      <c r="N553" s="7">
        <f t="shared" si="25"/>
        <v>1.3319206901770849E-2</v>
      </c>
      <c r="O553" s="7">
        <f>SUMIFS($D$2:D553,$B$2:B553,B553)/SUMIFS($D$2:$D$741,$B$2:$B$741,B553)</f>
        <v>0.87892288152881326</v>
      </c>
      <c r="P553" s="4" t="b">
        <f t="shared" si="26"/>
        <v>1</v>
      </c>
      <c r="Q553" s="2"/>
      <c r="R553" s="2"/>
      <c r="S553" s="2"/>
    </row>
    <row r="554" spans="1:19" x14ac:dyDescent="0.45">
      <c r="A554" s="4" t="s">
        <v>622</v>
      </c>
      <c r="B554" s="4" t="s">
        <v>600</v>
      </c>
      <c r="C554" s="5">
        <v>2</v>
      </c>
      <c r="D554" s="5">
        <v>1723</v>
      </c>
      <c r="E554" s="5">
        <v>286</v>
      </c>
      <c r="F554" s="5">
        <v>2</v>
      </c>
      <c r="G554" s="5">
        <v>2</v>
      </c>
      <c r="H554" s="5">
        <v>1721</v>
      </c>
      <c r="I554" s="6">
        <v>3</v>
      </c>
      <c r="J554" s="6">
        <v>8.4</v>
      </c>
      <c r="K554" s="6">
        <v>20</v>
      </c>
      <c r="L554" s="6">
        <v>20</v>
      </c>
      <c r="M554" s="4" t="str">
        <f t="shared" si="24"/>
        <v>OK</v>
      </c>
      <c r="N554" s="7">
        <f t="shared" si="25"/>
        <v>1.1338435519639908E-2</v>
      </c>
      <c r="O554" s="7">
        <f>SUMIFS($D$2:D554,$B$2:B554,B554)/SUMIFS($D$2:$D$741,$B$2:$B$741,B554)</f>
        <v>0.89026131704845324</v>
      </c>
      <c r="P554" s="4" t="b">
        <f t="shared" si="26"/>
        <v>1</v>
      </c>
      <c r="Q554" s="2"/>
      <c r="R554" s="2"/>
      <c r="S554" s="2"/>
    </row>
    <row r="555" spans="1:19" x14ac:dyDescent="0.45">
      <c r="A555" s="4" t="s">
        <v>623</v>
      </c>
      <c r="B555" s="4" t="s">
        <v>600</v>
      </c>
      <c r="C555" s="5">
        <v>2</v>
      </c>
      <c r="D555" s="5">
        <v>1616</v>
      </c>
      <c r="E555" s="5">
        <v>352</v>
      </c>
      <c r="F555" s="5">
        <v>211</v>
      </c>
      <c r="G555" s="5">
        <v>134</v>
      </c>
      <c r="H555" s="5">
        <v>1405</v>
      </c>
      <c r="I555" s="6">
        <v>33</v>
      </c>
      <c r="J555" s="6">
        <v>50.9</v>
      </c>
      <c r="K555" s="6">
        <v>120</v>
      </c>
      <c r="L555" s="6">
        <v>120</v>
      </c>
      <c r="M555" s="4" t="str">
        <f t="shared" si="24"/>
        <v>OK</v>
      </c>
      <c r="N555" s="7">
        <f t="shared" si="25"/>
        <v>1.0634307486789374E-2</v>
      </c>
      <c r="O555" s="7">
        <f>SUMIFS($D$2:D555,$B$2:B555,B555)/SUMIFS($D$2:$D$741,$B$2:$B$741,B555)</f>
        <v>0.90089562453524263</v>
      </c>
      <c r="P555" s="4" t="b">
        <f t="shared" si="26"/>
        <v>1</v>
      </c>
      <c r="Q555" s="2"/>
      <c r="R555" s="2"/>
      <c r="S555" s="2"/>
    </row>
    <row r="556" spans="1:19" x14ac:dyDescent="0.45">
      <c r="A556" s="4" t="s">
        <v>624</v>
      </c>
      <c r="B556" s="4" t="s">
        <v>600</v>
      </c>
      <c r="C556" s="5">
        <v>1</v>
      </c>
      <c r="D556" s="5">
        <v>1420</v>
      </c>
      <c r="E556" s="5">
        <v>395</v>
      </c>
      <c r="F556" s="5">
        <v>3</v>
      </c>
      <c r="G556" s="5">
        <v>0</v>
      </c>
      <c r="H556" s="5">
        <v>1417</v>
      </c>
      <c r="I556" s="6">
        <v>1</v>
      </c>
      <c r="J556" s="6">
        <v>2.8</v>
      </c>
      <c r="K556" s="6">
        <v>6</v>
      </c>
      <c r="L556" s="6">
        <v>6</v>
      </c>
      <c r="M556" s="4" t="str">
        <f t="shared" si="24"/>
        <v>OK</v>
      </c>
      <c r="N556" s="7">
        <f t="shared" si="25"/>
        <v>9.3445028658669001E-3</v>
      </c>
      <c r="O556" s="7">
        <f>SUMIFS($D$2:D556,$B$2:B556,B556)/SUMIFS($D$2:$D$741,$B$2:$B$741,B556)</f>
        <v>0.91024012740110949</v>
      </c>
      <c r="P556" s="4" t="b">
        <f t="shared" si="26"/>
        <v>1</v>
      </c>
      <c r="Q556" s="2"/>
      <c r="R556" s="2"/>
      <c r="S556" s="2"/>
    </row>
    <row r="557" spans="1:19" x14ac:dyDescent="0.45">
      <c r="A557" s="4" t="s">
        <v>625</v>
      </c>
      <c r="B557" s="4" t="s">
        <v>600</v>
      </c>
      <c r="C557" s="5">
        <v>2</v>
      </c>
      <c r="D557" s="5">
        <v>1397</v>
      </c>
      <c r="E557" s="5">
        <v>234</v>
      </c>
      <c r="F557" s="5">
        <v>0</v>
      </c>
      <c r="G557" s="5">
        <v>0</v>
      </c>
      <c r="H557" s="5">
        <v>1397</v>
      </c>
      <c r="I557" s="6">
        <v>1</v>
      </c>
      <c r="J557" s="6">
        <v>3.4</v>
      </c>
      <c r="K557" s="6">
        <v>2</v>
      </c>
      <c r="L557" s="6">
        <v>2</v>
      </c>
      <c r="M557" s="4" t="str">
        <f t="shared" si="24"/>
        <v>OK</v>
      </c>
      <c r="N557" s="7">
        <f t="shared" si="25"/>
        <v>9.1931482419831401E-3</v>
      </c>
      <c r="O557" s="7">
        <f>SUMIFS($D$2:D557,$B$2:B557,B557)/SUMIFS($D$2:$D$741,$B$2:$B$741,B557)</f>
        <v>0.91943327564309263</v>
      </c>
      <c r="P557" s="4" t="b">
        <f t="shared" si="26"/>
        <v>1</v>
      </c>
      <c r="Q557" s="2"/>
      <c r="R557" s="2"/>
      <c r="S557" s="2"/>
    </row>
    <row r="558" spans="1:19" x14ac:dyDescent="0.45">
      <c r="A558" s="4" t="s">
        <v>626</v>
      </c>
      <c r="B558" s="4" t="s">
        <v>600</v>
      </c>
      <c r="C558" s="5">
        <v>2</v>
      </c>
      <c r="D558" s="5">
        <v>1350</v>
      </c>
      <c r="E558" s="5">
        <v>399</v>
      </c>
      <c r="F558" s="5">
        <v>103</v>
      </c>
      <c r="G558" s="5">
        <v>63</v>
      </c>
      <c r="H558" s="5">
        <v>1247</v>
      </c>
      <c r="I558" s="6">
        <v>26</v>
      </c>
      <c r="J558" s="6">
        <v>65.7</v>
      </c>
      <c r="K558" s="6">
        <v>190</v>
      </c>
      <c r="L558" s="6">
        <v>190</v>
      </c>
      <c r="M558" s="4" t="str">
        <f t="shared" si="24"/>
        <v>OK</v>
      </c>
      <c r="N558" s="7">
        <f t="shared" si="25"/>
        <v>8.883858358394588E-3</v>
      </c>
      <c r="O558" s="7">
        <f>SUMIFS($D$2:D558,$B$2:B558,B558)/SUMIFS($D$2:$D$741,$B$2:$B$741,B558)</f>
        <v>0.92831713400148719</v>
      </c>
      <c r="P558" s="4" t="b">
        <f t="shared" si="26"/>
        <v>1</v>
      </c>
      <c r="Q558" s="2"/>
      <c r="R558" s="2"/>
      <c r="S558" s="2"/>
    </row>
    <row r="559" spans="1:19" x14ac:dyDescent="0.45">
      <c r="A559" s="4" t="s">
        <v>627</v>
      </c>
      <c r="B559" s="4" t="s">
        <v>600</v>
      </c>
      <c r="C559" s="5">
        <v>2</v>
      </c>
      <c r="D559" s="5">
        <v>1019</v>
      </c>
      <c r="E559" s="5">
        <v>189</v>
      </c>
      <c r="F559" s="5">
        <v>155</v>
      </c>
      <c r="G559" s="5">
        <v>121</v>
      </c>
      <c r="H559" s="5">
        <v>864</v>
      </c>
      <c r="I559" s="6">
        <v>49</v>
      </c>
      <c r="J559" s="6">
        <v>85.4</v>
      </c>
      <c r="K559" s="6">
        <v>210</v>
      </c>
      <c r="L559" s="6">
        <v>210</v>
      </c>
      <c r="M559" s="4" t="str">
        <f t="shared" si="24"/>
        <v>OK</v>
      </c>
      <c r="N559" s="7">
        <f t="shared" si="25"/>
        <v>6.7056679016326559E-3</v>
      </c>
      <c r="O559" s="7">
        <f>SUMIFS($D$2:D559,$B$2:B559,B559)/SUMIFS($D$2:$D$741,$B$2:$B$741,B559)</f>
        <v>0.93502280190311993</v>
      </c>
      <c r="P559" s="4" t="b">
        <f t="shared" si="26"/>
        <v>1</v>
      </c>
      <c r="Q559" s="2"/>
      <c r="R559" s="2"/>
      <c r="S559" s="2"/>
    </row>
    <row r="560" spans="1:19" x14ac:dyDescent="0.45">
      <c r="A560" s="4" t="s">
        <v>628</v>
      </c>
      <c r="B560" s="4" t="s">
        <v>600</v>
      </c>
      <c r="C560" s="5">
        <v>2</v>
      </c>
      <c r="D560" s="5">
        <v>1016</v>
      </c>
      <c r="E560" s="5">
        <v>197</v>
      </c>
      <c r="F560" s="5">
        <v>77</v>
      </c>
      <c r="G560" s="5">
        <v>50</v>
      </c>
      <c r="H560" s="5">
        <v>938</v>
      </c>
      <c r="I560" s="6">
        <v>15</v>
      </c>
      <c r="J560" s="6">
        <v>48.8</v>
      </c>
      <c r="K560" s="6">
        <v>127</v>
      </c>
      <c r="L560" s="6">
        <v>127</v>
      </c>
      <c r="M560" s="4" t="str">
        <f t="shared" si="24"/>
        <v>OK</v>
      </c>
      <c r="N560" s="7">
        <f t="shared" si="25"/>
        <v>6.6859259941695563E-3</v>
      </c>
      <c r="O560" s="7">
        <f>SUMIFS($D$2:D560,$B$2:B560,B560)/SUMIFS($D$2:$D$741,$B$2:$B$741,B560)</f>
        <v>0.94170872789728943</v>
      </c>
      <c r="P560" s="4" t="b">
        <f t="shared" si="26"/>
        <v>1</v>
      </c>
      <c r="Q560" s="2"/>
      <c r="R560" s="2"/>
      <c r="S560" s="2"/>
    </row>
    <row r="561" spans="1:19" x14ac:dyDescent="0.45">
      <c r="A561" s="4" t="s">
        <v>629</v>
      </c>
      <c r="B561" s="4" t="s">
        <v>600</v>
      </c>
      <c r="C561" s="5">
        <v>2</v>
      </c>
      <c r="D561" s="5">
        <v>982</v>
      </c>
      <c r="E561" s="5">
        <v>0</v>
      </c>
      <c r="F561" s="5">
        <v>0</v>
      </c>
      <c r="G561" s="5">
        <v>0</v>
      </c>
      <c r="H561" s="5">
        <v>982</v>
      </c>
      <c r="I561" s="6">
        <v>1</v>
      </c>
      <c r="J561" s="6">
        <v>3.5</v>
      </c>
      <c r="K561" s="6">
        <v>9</v>
      </c>
      <c r="L561" s="6">
        <v>9</v>
      </c>
      <c r="M561" s="4" t="str">
        <f t="shared" si="24"/>
        <v>OK</v>
      </c>
      <c r="N561" s="7">
        <f t="shared" si="25"/>
        <v>6.462184376254434E-3</v>
      </c>
      <c r="O561" s="7">
        <f>SUMIFS($D$2:D561,$B$2:B561,B561)/SUMIFS($D$2:$D$741,$B$2:$B$741,B561)</f>
        <v>0.94817091227354389</v>
      </c>
      <c r="P561" s="4" t="b">
        <f t="shared" si="26"/>
        <v>1</v>
      </c>
      <c r="Q561" s="2"/>
      <c r="R561" s="2"/>
      <c r="S561" s="2"/>
    </row>
    <row r="562" spans="1:19" x14ac:dyDescent="0.45">
      <c r="A562" s="4" t="s">
        <v>630</v>
      </c>
      <c r="B562" s="4" t="s">
        <v>600</v>
      </c>
      <c r="C562" s="5">
        <v>2</v>
      </c>
      <c r="D562" s="5">
        <v>935</v>
      </c>
      <c r="E562" s="5">
        <v>149</v>
      </c>
      <c r="F562" s="5">
        <v>0</v>
      </c>
      <c r="G562" s="5">
        <v>0</v>
      </c>
      <c r="H562" s="5">
        <v>931</v>
      </c>
      <c r="I562" s="6">
        <v>1</v>
      </c>
      <c r="J562" s="6">
        <v>2.7</v>
      </c>
      <c r="K562" s="6">
        <v>5</v>
      </c>
      <c r="L562" s="6">
        <v>5</v>
      </c>
      <c r="M562" s="4" t="str">
        <f t="shared" si="24"/>
        <v>OK</v>
      </c>
      <c r="N562" s="7">
        <f t="shared" si="25"/>
        <v>6.1528944926658811E-3</v>
      </c>
      <c r="O562" s="7">
        <f>SUMIFS($D$2:D562,$B$2:B562,B562)/SUMIFS($D$2:$D$741,$B$2:$B$741,B562)</f>
        <v>0.95432380676620976</v>
      </c>
      <c r="P562" s="4" t="b">
        <f t="shared" si="26"/>
        <v>1</v>
      </c>
      <c r="Q562" s="2"/>
      <c r="R562" s="2"/>
      <c r="S562" s="2"/>
    </row>
    <row r="563" spans="1:19" x14ac:dyDescent="0.45">
      <c r="A563" s="4" t="s">
        <v>631</v>
      </c>
      <c r="B563" s="4" t="s">
        <v>600</v>
      </c>
      <c r="C563" s="5">
        <v>2</v>
      </c>
      <c r="D563" s="5">
        <v>821</v>
      </c>
      <c r="E563" s="5">
        <v>189</v>
      </c>
      <c r="F563" s="5">
        <v>8</v>
      </c>
      <c r="G563" s="5">
        <v>0</v>
      </c>
      <c r="H563" s="5">
        <v>813</v>
      </c>
      <c r="I563" s="6">
        <v>3</v>
      </c>
      <c r="J563" s="6">
        <v>6.4</v>
      </c>
      <c r="K563" s="6">
        <v>14</v>
      </c>
      <c r="L563" s="6">
        <v>14</v>
      </c>
      <c r="M563" s="4" t="str">
        <f t="shared" si="24"/>
        <v>OK</v>
      </c>
      <c r="N563" s="7">
        <f t="shared" si="25"/>
        <v>5.4027020090681157E-3</v>
      </c>
      <c r="O563" s="7">
        <f>SUMIFS($D$2:D563,$B$2:B563,B563)/SUMIFS($D$2:$D$741,$B$2:$B$741,B563)</f>
        <v>0.95972650877527788</v>
      </c>
      <c r="P563" s="4" t="b">
        <f t="shared" si="26"/>
        <v>0</v>
      </c>
      <c r="Q563" s="2"/>
      <c r="R563" s="2"/>
      <c r="S563" s="2"/>
    </row>
    <row r="564" spans="1:19" x14ac:dyDescent="0.45">
      <c r="A564" s="4" t="s">
        <v>632</v>
      </c>
      <c r="B564" s="4" t="s">
        <v>600</v>
      </c>
      <c r="C564" s="5">
        <v>1</v>
      </c>
      <c r="D564" s="5">
        <v>738</v>
      </c>
      <c r="E564" s="5">
        <v>191</v>
      </c>
      <c r="F564" s="5">
        <v>3</v>
      </c>
      <c r="G564" s="5">
        <v>0</v>
      </c>
      <c r="H564" s="5">
        <v>735</v>
      </c>
      <c r="I564" s="6">
        <v>5</v>
      </c>
      <c r="J564" s="6">
        <v>66.099999999999994</v>
      </c>
      <c r="K564" s="6">
        <v>219</v>
      </c>
      <c r="L564" s="6">
        <v>219</v>
      </c>
      <c r="M564" s="4" t="str">
        <f t="shared" si="24"/>
        <v>OK</v>
      </c>
      <c r="N564" s="7">
        <f t="shared" si="25"/>
        <v>4.8565092359223747E-3</v>
      </c>
      <c r="O564" s="7">
        <f>SUMIFS($D$2:D564,$B$2:B564,B564)/SUMIFS($D$2:$D$741,$B$2:$B$741,B564)</f>
        <v>0.96458301801120028</v>
      </c>
      <c r="P564" s="4" t="b">
        <f t="shared" si="26"/>
        <v>0</v>
      </c>
      <c r="Q564" s="2"/>
      <c r="R564" s="2"/>
      <c r="S564" s="2"/>
    </row>
    <row r="565" spans="1:19" x14ac:dyDescent="0.45">
      <c r="A565" s="4" t="s">
        <v>633</v>
      </c>
      <c r="B565" s="4" t="s">
        <v>600</v>
      </c>
      <c r="C565" s="5">
        <v>2</v>
      </c>
      <c r="D565" s="5">
        <v>590</v>
      </c>
      <c r="E565" s="5">
        <v>0</v>
      </c>
      <c r="F565" s="5">
        <v>2</v>
      </c>
      <c r="G565" s="5">
        <v>2</v>
      </c>
      <c r="H565" s="5">
        <v>586</v>
      </c>
      <c r="I565" s="6">
        <v>3</v>
      </c>
      <c r="J565" s="6">
        <v>17.899999999999999</v>
      </c>
      <c r="K565" s="6">
        <v>56</v>
      </c>
      <c r="L565" s="6">
        <v>55.5</v>
      </c>
      <c r="M565" s="4" t="str">
        <f t="shared" si="24"/>
        <v>OK</v>
      </c>
      <c r="N565" s="7">
        <f t="shared" si="25"/>
        <v>3.8825751344094867E-3</v>
      </c>
      <c r="O565" s="7">
        <f>SUMIFS($D$2:D565,$B$2:B565,B565)/SUMIFS($D$2:$D$741,$B$2:$B$741,B565)</f>
        <v>0.96846559314560976</v>
      </c>
      <c r="P565" s="4" t="b">
        <f t="shared" si="26"/>
        <v>0</v>
      </c>
      <c r="Q565" s="2"/>
      <c r="R565" s="2"/>
      <c r="S565" s="2"/>
    </row>
    <row r="566" spans="1:19" x14ac:dyDescent="0.45">
      <c r="A566" s="4" t="s">
        <v>634</v>
      </c>
      <c r="B566" s="4" t="s">
        <v>600</v>
      </c>
      <c r="C566" s="5">
        <v>1</v>
      </c>
      <c r="D566" s="5">
        <v>525</v>
      </c>
      <c r="E566" s="5">
        <v>132</v>
      </c>
      <c r="F566" s="5">
        <v>1</v>
      </c>
      <c r="G566" s="5">
        <v>0</v>
      </c>
      <c r="H566" s="5">
        <v>524</v>
      </c>
      <c r="I566" s="6">
        <v>1</v>
      </c>
      <c r="J566" s="6">
        <v>13.1</v>
      </c>
      <c r="K566" s="6">
        <v>10</v>
      </c>
      <c r="L566" s="6">
        <v>10</v>
      </c>
      <c r="M566" s="4" t="str">
        <f t="shared" si="24"/>
        <v>OK</v>
      </c>
      <c r="N566" s="7">
        <f t="shared" si="25"/>
        <v>3.4548338060423397E-3</v>
      </c>
      <c r="O566" s="7">
        <f>SUMIFS($D$2:D566,$B$2:B566,B566)/SUMIFS($D$2:$D$741,$B$2:$B$741,B566)</f>
        <v>0.97192042695165204</v>
      </c>
      <c r="P566" s="4" t="b">
        <f t="shared" si="26"/>
        <v>0</v>
      </c>
      <c r="Q566" s="2"/>
      <c r="R566" s="2"/>
      <c r="S566" s="2"/>
    </row>
    <row r="567" spans="1:19" x14ac:dyDescent="0.45">
      <c r="A567" s="4" t="s">
        <v>635</v>
      </c>
      <c r="B567" s="4" t="s">
        <v>600</v>
      </c>
      <c r="C567" s="5">
        <v>2</v>
      </c>
      <c r="D567" s="5">
        <v>510</v>
      </c>
      <c r="E567" s="5">
        <v>111</v>
      </c>
      <c r="F567" s="5">
        <v>0</v>
      </c>
      <c r="G567" s="5">
        <v>0</v>
      </c>
      <c r="H567" s="5">
        <v>510</v>
      </c>
      <c r="I567" s="6">
        <v>1</v>
      </c>
      <c r="J567" s="6">
        <v>5.9</v>
      </c>
      <c r="K567" s="6">
        <v>4</v>
      </c>
      <c r="L567" s="6">
        <v>4</v>
      </c>
      <c r="M567" s="4" t="str">
        <f t="shared" si="24"/>
        <v>OK</v>
      </c>
      <c r="N567" s="7">
        <f t="shared" si="25"/>
        <v>3.3561242687268444E-3</v>
      </c>
      <c r="O567" s="7">
        <f>SUMIFS($D$2:D567,$B$2:B567,B567)/SUMIFS($D$2:$D$741,$B$2:$B$741,B567)</f>
        <v>0.97527655122037893</v>
      </c>
      <c r="P567" s="4" t="b">
        <f t="shared" si="26"/>
        <v>0</v>
      </c>
      <c r="Q567" s="2"/>
      <c r="R567" s="2"/>
      <c r="S567" s="2"/>
    </row>
    <row r="568" spans="1:19" x14ac:dyDescent="0.45">
      <c r="A568" s="4" t="s">
        <v>636</v>
      </c>
      <c r="B568" s="4" t="s">
        <v>600</v>
      </c>
      <c r="C568" s="5">
        <v>1</v>
      </c>
      <c r="D568" s="5">
        <v>502</v>
      </c>
      <c r="E568" s="5">
        <v>199</v>
      </c>
      <c r="F568" s="5">
        <v>1</v>
      </c>
      <c r="G568" s="5">
        <v>0</v>
      </c>
      <c r="H568" s="5">
        <v>501</v>
      </c>
      <c r="I568" s="6">
        <v>1</v>
      </c>
      <c r="J568" s="6">
        <v>5.8</v>
      </c>
      <c r="K568" s="6">
        <v>7</v>
      </c>
      <c r="L568" s="6">
        <v>7</v>
      </c>
      <c r="M568" s="4" t="str">
        <f t="shared" si="24"/>
        <v>OK</v>
      </c>
      <c r="N568" s="7">
        <f t="shared" si="25"/>
        <v>3.3034791821585801E-3</v>
      </c>
      <c r="O568" s="7">
        <f>SUMIFS($D$2:D568,$B$2:B568,B568)/SUMIFS($D$2:$D$741,$B$2:$B$741,B568)</f>
        <v>0.97858003040253749</v>
      </c>
      <c r="P568" s="4" t="b">
        <f t="shared" si="26"/>
        <v>0</v>
      </c>
      <c r="Q568" s="2"/>
      <c r="R568" s="2"/>
      <c r="S568" s="2"/>
    </row>
    <row r="569" spans="1:19" x14ac:dyDescent="0.45">
      <c r="A569" s="4" t="s">
        <v>637</v>
      </c>
      <c r="B569" s="4" t="s">
        <v>600</v>
      </c>
      <c r="C569" s="5">
        <v>1</v>
      </c>
      <c r="D569" s="5">
        <v>499</v>
      </c>
      <c r="E569" s="5">
        <v>137</v>
      </c>
      <c r="F569" s="5">
        <v>129</v>
      </c>
      <c r="G569" s="5">
        <v>103</v>
      </c>
      <c r="H569" s="5">
        <v>370</v>
      </c>
      <c r="I569" s="6">
        <v>43</v>
      </c>
      <c r="J569" s="6">
        <v>132.69999999999999</v>
      </c>
      <c r="K569" s="6">
        <v>412</v>
      </c>
      <c r="L569" s="6">
        <v>412</v>
      </c>
      <c r="M569" s="4" t="str">
        <f t="shared" si="24"/>
        <v>OK</v>
      </c>
      <c r="N569" s="7">
        <f t="shared" si="25"/>
        <v>3.2837372746954809E-3</v>
      </c>
      <c r="O569" s="7">
        <f>SUMIFS($D$2:D569,$B$2:B569,B569)/SUMIFS($D$2:$D$741,$B$2:$B$741,B569)</f>
        <v>0.98186376767723293</v>
      </c>
      <c r="P569" s="4" t="b">
        <f t="shared" si="26"/>
        <v>0</v>
      </c>
      <c r="Q569" s="2"/>
      <c r="R569" s="2"/>
      <c r="S569" s="2"/>
    </row>
    <row r="570" spans="1:19" x14ac:dyDescent="0.45">
      <c r="A570" s="4" t="s">
        <v>638</v>
      </c>
      <c r="B570" s="4" t="s">
        <v>600</v>
      </c>
      <c r="C570" s="5">
        <v>1</v>
      </c>
      <c r="D570" s="5">
        <v>406</v>
      </c>
      <c r="E570" s="5">
        <v>242</v>
      </c>
      <c r="F570" s="5">
        <v>3</v>
      </c>
      <c r="G570" s="5">
        <v>1</v>
      </c>
      <c r="H570" s="5">
        <v>403</v>
      </c>
      <c r="I570" s="6">
        <v>1</v>
      </c>
      <c r="J570" s="6">
        <v>4.5</v>
      </c>
      <c r="K570" s="6">
        <v>10</v>
      </c>
      <c r="L570" s="6">
        <v>9.8000000000000007</v>
      </c>
      <c r="M570" s="4" t="str">
        <f t="shared" si="24"/>
        <v>OK</v>
      </c>
      <c r="N570" s="7">
        <f t="shared" si="25"/>
        <v>2.6717381433394092E-3</v>
      </c>
      <c r="O570" s="7">
        <f>SUMIFS($D$2:D570,$B$2:B570,B570)/SUMIFS($D$2:$D$741,$B$2:$B$741,B570)</f>
        <v>0.98453550582057237</v>
      </c>
      <c r="P570" s="4" t="b">
        <f t="shared" si="26"/>
        <v>0</v>
      </c>
      <c r="Q570" s="2"/>
      <c r="R570" s="2"/>
      <c r="S570" s="2"/>
    </row>
    <row r="571" spans="1:19" x14ac:dyDescent="0.45">
      <c r="A571" s="4" t="s">
        <v>639</v>
      </c>
      <c r="B571" s="4" t="s">
        <v>600</v>
      </c>
      <c r="C571" s="5">
        <v>2</v>
      </c>
      <c r="D571" s="5">
        <v>365</v>
      </c>
      <c r="E571" s="5">
        <v>62</v>
      </c>
      <c r="F571" s="5">
        <v>1</v>
      </c>
      <c r="G571" s="5">
        <v>1</v>
      </c>
      <c r="H571" s="5">
        <v>364</v>
      </c>
      <c r="I571" s="6">
        <v>4</v>
      </c>
      <c r="J571" s="6">
        <v>32.1</v>
      </c>
      <c r="K571" s="6">
        <v>23</v>
      </c>
      <c r="L571" s="6">
        <v>23.4</v>
      </c>
      <c r="M571" s="4" t="str">
        <f t="shared" si="24"/>
        <v>OK</v>
      </c>
      <c r="N571" s="7">
        <f t="shared" si="25"/>
        <v>2.4019320746770552E-3</v>
      </c>
      <c r="O571" s="7">
        <f>SUMIFS($D$2:D571,$B$2:B571,B571)/SUMIFS($D$2:$D$741,$B$2:$B$741,B571)</f>
        <v>0.98693743789524946</v>
      </c>
      <c r="P571" s="4" t="b">
        <f t="shared" si="26"/>
        <v>0</v>
      </c>
      <c r="Q571" s="2"/>
      <c r="R571" s="2"/>
      <c r="S571" s="2"/>
    </row>
    <row r="572" spans="1:19" x14ac:dyDescent="0.45">
      <c r="A572" s="4" t="s">
        <v>640</v>
      </c>
      <c r="B572" s="4" t="s">
        <v>600</v>
      </c>
      <c r="C572" s="5">
        <v>2</v>
      </c>
      <c r="D572" s="5">
        <v>361</v>
      </c>
      <c r="E572" s="5">
        <v>116</v>
      </c>
      <c r="F572" s="5">
        <v>0</v>
      </c>
      <c r="G572" s="5">
        <v>0</v>
      </c>
      <c r="H572" s="5">
        <v>361</v>
      </c>
      <c r="I572" s="6">
        <v>1</v>
      </c>
      <c r="J572" s="6">
        <v>4.3</v>
      </c>
      <c r="K572" s="6">
        <v>11</v>
      </c>
      <c r="L572" s="6">
        <v>11</v>
      </c>
      <c r="M572" s="4" t="str">
        <f t="shared" si="24"/>
        <v>OK</v>
      </c>
      <c r="N572" s="7">
        <f t="shared" si="25"/>
        <v>2.375609531392923E-3</v>
      </c>
      <c r="O572" s="7">
        <f>SUMIFS($D$2:D572,$B$2:B572,B572)/SUMIFS($D$2:$D$741,$B$2:$B$741,B572)</f>
        <v>0.98931304742664239</v>
      </c>
      <c r="P572" s="4" t="b">
        <f t="shared" si="26"/>
        <v>0</v>
      </c>
      <c r="Q572" s="2"/>
      <c r="R572" s="2"/>
      <c r="S572" s="2"/>
    </row>
    <row r="573" spans="1:19" x14ac:dyDescent="0.45">
      <c r="A573" s="4" t="s">
        <v>641</v>
      </c>
      <c r="B573" s="4" t="s">
        <v>600</v>
      </c>
      <c r="C573" s="5">
        <v>2</v>
      </c>
      <c r="D573" s="5">
        <v>265</v>
      </c>
      <c r="E573" s="5">
        <v>45</v>
      </c>
      <c r="F573" s="5">
        <v>1</v>
      </c>
      <c r="G573" s="5">
        <v>0</v>
      </c>
      <c r="H573" s="5">
        <v>264</v>
      </c>
      <c r="I573" s="6">
        <v>3</v>
      </c>
      <c r="J573" s="6">
        <v>3.9</v>
      </c>
      <c r="K573" s="6">
        <v>7</v>
      </c>
      <c r="L573" s="6">
        <v>7</v>
      </c>
      <c r="M573" s="4" t="str">
        <f t="shared" si="24"/>
        <v>OK</v>
      </c>
      <c r="N573" s="7">
        <f t="shared" si="25"/>
        <v>1.7438684925737524E-3</v>
      </c>
      <c r="O573" s="7">
        <f>SUMIFS($D$2:D573,$B$2:B573,B573)/SUMIFS($D$2:$D$741,$B$2:$B$741,B573)</f>
        <v>0.99105691591921607</v>
      </c>
      <c r="P573" s="4" t="b">
        <f t="shared" si="26"/>
        <v>0</v>
      </c>
      <c r="Q573" s="2"/>
      <c r="R573" s="2"/>
      <c r="S573" s="2"/>
    </row>
    <row r="574" spans="1:19" x14ac:dyDescent="0.45">
      <c r="A574" s="4" t="s">
        <v>642</v>
      </c>
      <c r="B574" s="4" t="s">
        <v>600</v>
      </c>
      <c r="C574" s="5">
        <v>1</v>
      </c>
      <c r="D574" s="5">
        <v>259</v>
      </c>
      <c r="E574" s="5">
        <v>60</v>
      </c>
      <c r="F574" s="5">
        <v>1</v>
      </c>
      <c r="G574" s="5">
        <v>0</v>
      </c>
      <c r="H574" s="5">
        <v>258</v>
      </c>
      <c r="I574" s="6">
        <v>4</v>
      </c>
      <c r="J574" s="6">
        <v>22.2</v>
      </c>
      <c r="K574" s="6">
        <v>42</v>
      </c>
      <c r="L574" s="6">
        <v>42</v>
      </c>
      <c r="M574" s="4" t="str">
        <f t="shared" si="24"/>
        <v>OK</v>
      </c>
      <c r="N574" s="7">
        <f t="shared" si="25"/>
        <v>1.7043846776475544E-3</v>
      </c>
      <c r="O574" s="7">
        <f>SUMIFS($D$2:D574,$B$2:B574,B574)/SUMIFS($D$2:$D$741,$B$2:$B$741,B574)</f>
        <v>0.99276130059686363</v>
      </c>
      <c r="P574" s="4" t="b">
        <f t="shared" si="26"/>
        <v>0</v>
      </c>
      <c r="Q574" s="2"/>
      <c r="R574" s="2"/>
      <c r="S574" s="2"/>
    </row>
    <row r="575" spans="1:19" x14ac:dyDescent="0.45">
      <c r="A575" s="4" t="s">
        <v>643</v>
      </c>
      <c r="B575" s="4" t="s">
        <v>600</v>
      </c>
      <c r="C575" s="5">
        <v>1</v>
      </c>
      <c r="D575" s="5">
        <v>252</v>
      </c>
      <c r="E575" s="5">
        <v>60</v>
      </c>
      <c r="F575" s="5">
        <v>2</v>
      </c>
      <c r="G575" s="5">
        <v>0</v>
      </c>
      <c r="H575" s="5">
        <v>250</v>
      </c>
      <c r="I575" s="6">
        <v>2</v>
      </c>
      <c r="J575" s="6">
        <v>7.9</v>
      </c>
      <c r="K575" s="6">
        <v>13</v>
      </c>
      <c r="L575" s="6">
        <v>13.1</v>
      </c>
      <c r="M575" s="4" t="str">
        <f t="shared" si="24"/>
        <v>OK</v>
      </c>
      <c r="N575" s="7">
        <f t="shared" si="25"/>
        <v>1.6583202269003232E-3</v>
      </c>
      <c r="O575" s="7">
        <f>SUMIFS($D$2:D575,$B$2:B575,B575)/SUMIFS($D$2:$D$741,$B$2:$B$741,B575)</f>
        <v>0.99441962082376401</v>
      </c>
      <c r="P575" s="4" t="b">
        <f t="shared" si="26"/>
        <v>0</v>
      </c>
      <c r="Q575" s="2"/>
      <c r="R575" s="2"/>
      <c r="S575" s="2"/>
    </row>
    <row r="576" spans="1:19" x14ac:dyDescent="0.45">
      <c r="A576" s="4" t="s">
        <v>644</v>
      </c>
      <c r="B576" s="4" t="s">
        <v>600</v>
      </c>
      <c r="C576" s="5">
        <v>2</v>
      </c>
      <c r="D576" s="5">
        <v>213</v>
      </c>
      <c r="E576" s="5">
        <v>75</v>
      </c>
      <c r="F576" s="5">
        <v>35</v>
      </c>
      <c r="G576" s="5">
        <v>21</v>
      </c>
      <c r="H576" s="5">
        <v>178</v>
      </c>
      <c r="I576" s="6">
        <v>15.5</v>
      </c>
      <c r="J576" s="6">
        <v>40.9</v>
      </c>
      <c r="K576" s="6">
        <v>113</v>
      </c>
      <c r="L576" s="6">
        <v>112.5</v>
      </c>
      <c r="M576" s="4" t="str">
        <f t="shared" si="24"/>
        <v>OK</v>
      </c>
      <c r="N576" s="7">
        <f t="shared" si="25"/>
        <v>1.401675429880035E-3</v>
      </c>
      <c r="O576" s="7">
        <f>SUMIFS($D$2:D576,$B$2:B576,B576)/SUMIFS($D$2:$D$741,$B$2:$B$741,B576)</f>
        <v>0.99582129625364402</v>
      </c>
      <c r="P576" s="4" t="b">
        <f t="shared" si="26"/>
        <v>0</v>
      </c>
      <c r="Q576" s="2"/>
      <c r="R576" s="2"/>
      <c r="S576" s="2"/>
    </row>
    <row r="577" spans="1:19" x14ac:dyDescent="0.45">
      <c r="A577" s="4" t="s">
        <v>645</v>
      </c>
      <c r="B577" s="4" t="s">
        <v>600</v>
      </c>
      <c r="C577" s="5">
        <v>2</v>
      </c>
      <c r="D577" s="5">
        <v>173</v>
      </c>
      <c r="E577" s="5">
        <v>0</v>
      </c>
      <c r="F577" s="5">
        <v>0</v>
      </c>
      <c r="G577" s="5">
        <v>0</v>
      </c>
      <c r="H577" s="5">
        <v>173</v>
      </c>
      <c r="I577" s="6">
        <v>1</v>
      </c>
      <c r="J577" s="6">
        <v>6.7</v>
      </c>
      <c r="K577" s="6">
        <v>6</v>
      </c>
      <c r="L577" s="6">
        <v>5.8</v>
      </c>
      <c r="M577" s="4" t="str">
        <f t="shared" si="24"/>
        <v>OK</v>
      </c>
      <c r="N577" s="7">
        <f t="shared" si="25"/>
        <v>1.1384499970387139E-3</v>
      </c>
      <c r="O577" s="7">
        <f>SUMIFS($D$2:D577,$B$2:B577,B577)/SUMIFS($D$2:$D$741,$B$2:$B$741,B577)</f>
        <v>0.99695974625068273</v>
      </c>
      <c r="P577" s="4" t="b">
        <f t="shared" si="26"/>
        <v>0</v>
      </c>
      <c r="Q577" s="2"/>
      <c r="R577" s="2"/>
      <c r="S577" s="2"/>
    </row>
    <row r="578" spans="1:19" x14ac:dyDescent="0.45">
      <c r="A578" s="4" t="s">
        <v>646</v>
      </c>
      <c r="B578" s="4" t="s">
        <v>600</v>
      </c>
      <c r="C578" s="5">
        <v>2</v>
      </c>
      <c r="D578" s="5">
        <v>162</v>
      </c>
      <c r="E578" s="5">
        <v>45</v>
      </c>
      <c r="F578" s="5">
        <v>28</v>
      </c>
      <c r="G578" s="5">
        <v>11</v>
      </c>
      <c r="H578" s="5">
        <v>134</v>
      </c>
      <c r="I578" s="6">
        <v>173.5</v>
      </c>
      <c r="J578" s="6">
        <v>259.8</v>
      </c>
      <c r="K578" s="6">
        <v>662</v>
      </c>
      <c r="L578" s="6">
        <v>662.5</v>
      </c>
      <c r="M578" s="4" t="str">
        <f t="shared" ref="M578:M641" si="27">IF(AND(K578="",L578=""),"No closed tickets",IF(K578="","MISSING in catalog",IF(L578="","No valid closed tickets",IF(AND(ABS(K578-L578)&gt;=$S$3,ABS(K578-L578)&gt;=$S$4*MAX(L578,1)),"FAR OFF","OK"))))</f>
        <v>OK</v>
      </c>
      <c r="N578" s="7">
        <f t="shared" ref="N578:N641" si="28">D578/SUMIFS($D$2:$D$741,$B$2:$B$741,B578)</f>
        <v>1.0660630030073506E-3</v>
      </c>
      <c r="O578" s="7">
        <f>SUMIFS($D$2:D578,$B$2:B578,B578)/SUMIFS($D$2:$D$741,$B$2:$B$741,B578)</f>
        <v>0.99802580925369011</v>
      </c>
      <c r="P578" s="4" t="b">
        <f t="shared" ref="P578:P641" si="29">O578-N578&lt;$S$2</f>
        <v>0</v>
      </c>
      <c r="Q578" s="2"/>
      <c r="R578" s="2"/>
      <c r="S578" s="2"/>
    </row>
    <row r="579" spans="1:19" x14ac:dyDescent="0.45">
      <c r="A579" s="4" t="s">
        <v>647</v>
      </c>
      <c r="B579" s="4" t="s">
        <v>600</v>
      </c>
      <c r="C579" s="5">
        <v>2</v>
      </c>
      <c r="D579" s="5">
        <v>120</v>
      </c>
      <c r="E579" s="5">
        <v>0</v>
      </c>
      <c r="F579" s="5">
        <v>0</v>
      </c>
      <c r="G579" s="5">
        <v>0</v>
      </c>
      <c r="H579" s="5">
        <v>120</v>
      </c>
      <c r="I579" s="6">
        <v>1</v>
      </c>
      <c r="J579" s="6">
        <v>1.5</v>
      </c>
      <c r="K579" s="6">
        <v>4</v>
      </c>
      <c r="L579" s="6">
        <v>4</v>
      </c>
      <c r="M579" s="4" t="str">
        <f t="shared" si="27"/>
        <v>OK</v>
      </c>
      <c r="N579" s="7">
        <f t="shared" si="28"/>
        <v>7.8967629852396337E-4</v>
      </c>
      <c r="O579" s="7">
        <f>SUMIFS($D$2:D579,$B$2:B579,B579)/SUMIFS($D$2:$D$741,$B$2:$B$741,B579)</f>
        <v>0.998815485552214</v>
      </c>
      <c r="P579" s="4" t="b">
        <f t="shared" si="29"/>
        <v>0</v>
      </c>
      <c r="Q579" s="2"/>
      <c r="R579" s="2"/>
      <c r="S579" s="2"/>
    </row>
    <row r="580" spans="1:19" x14ac:dyDescent="0.45">
      <c r="A580" s="4" t="s">
        <v>648</v>
      </c>
      <c r="B580" s="4" t="s">
        <v>600</v>
      </c>
      <c r="C580" s="5">
        <v>1</v>
      </c>
      <c r="D580" s="5">
        <v>84</v>
      </c>
      <c r="E580" s="5">
        <v>41</v>
      </c>
      <c r="F580" s="5">
        <v>0</v>
      </c>
      <c r="G580" s="5">
        <v>0</v>
      </c>
      <c r="H580" s="5">
        <v>84</v>
      </c>
      <c r="I580" s="6">
        <v>1</v>
      </c>
      <c r="J580" s="6">
        <v>36.299999999999997</v>
      </c>
      <c r="K580" s="6">
        <v>198</v>
      </c>
      <c r="L580" s="6">
        <v>198.2</v>
      </c>
      <c r="M580" s="4" t="str">
        <f t="shared" si="27"/>
        <v>OK</v>
      </c>
      <c r="N580" s="7">
        <f t="shared" si="28"/>
        <v>5.527734089667744E-4</v>
      </c>
      <c r="O580" s="7">
        <f>SUMIFS($D$2:D580,$B$2:B580,B580)/SUMIFS($D$2:$D$741,$B$2:$B$741,B580)</f>
        <v>0.99936825896118087</v>
      </c>
      <c r="P580" s="4" t="b">
        <f t="shared" si="29"/>
        <v>0</v>
      </c>
      <c r="Q580" s="2"/>
      <c r="R580" s="2"/>
      <c r="S580" s="2"/>
    </row>
    <row r="581" spans="1:19" x14ac:dyDescent="0.45">
      <c r="A581" s="4" t="s">
        <v>649</v>
      </c>
      <c r="B581" s="4" t="s">
        <v>600</v>
      </c>
      <c r="C581" s="5">
        <v>1</v>
      </c>
      <c r="D581" s="5">
        <v>52</v>
      </c>
      <c r="E581" s="5">
        <v>0</v>
      </c>
      <c r="F581" s="5">
        <v>0</v>
      </c>
      <c r="G581" s="5">
        <v>0</v>
      </c>
      <c r="H581" s="5">
        <v>52</v>
      </c>
      <c r="I581" s="6">
        <v>2</v>
      </c>
      <c r="J581" s="6">
        <v>5.3</v>
      </c>
      <c r="K581" s="6">
        <v>7</v>
      </c>
      <c r="L581" s="6">
        <v>6.9</v>
      </c>
      <c r="M581" s="4" t="str">
        <f t="shared" si="27"/>
        <v>OK</v>
      </c>
      <c r="N581" s="7">
        <f t="shared" si="28"/>
        <v>3.4219306269371748E-4</v>
      </c>
      <c r="O581" s="7">
        <f>SUMIFS($D$2:D581,$B$2:B581,B581)/SUMIFS($D$2:$D$741,$B$2:$B$741,B581)</f>
        <v>0.99971045202387454</v>
      </c>
      <c r="P581" s="4" t="b">
        <f t="shared" si="29"/>
        <v>0</v>
      </c>
      <c r="Q581" s="2"/>
      <c r="R581" s="2"/>
      <c r="S581" s="2"/>
    </row>
    <row r="582" spans="1:19" x14ac:dyDescent="0.45">
      <c r="A582" s="4" t="s">
        <v>650</v>
      </c>
      <c r="B582" s="4" t="s">
        <v>600</v>
      </c>
      <c r="C582" s="5">
        <v>1</v>
      </c>
      <c r="D582" s="5">
        <v>40</v>
      </c>
      <c r="E582" s="5">
        <v>21</v>
      </c>
      <c r="F582" s="5">
        <v>0</v>
      </c>
      <c r="G582" s="5">
        <v>0</v>
      </c>
      <c r="H582" s="5">
        <v>40</v>
      </c>
      <c r="I582" s="6">
        <v>1</v>
      </c>
      <c r="J582" s="6">
        <v>2.8</v>
      </c>
      <c r="K582" s="6">
        <v>5</v>
      </c>
      <c r="L582" s="6">
        <v>5.2</v>
      </c>
      <c r="M582" s="4" t="str">
        <f t="shared" si="27"/>
        <v>OK</v>
      </c>
      <c r="N582" s="7">
        <f t="shared" si="28"/>
        <v>2.6322543284132112E-4</v>
      </c>
      <c r="O582" s="7">
        <f>SUMIFS($D$2:D582,$B$2:B582,B582)/SUMIFS($D$2:$D$741,$B$2:$B$741,B582)</f>
        <v>0.99997367745671584</v>
      </c>
      <c r="P582" s="4" t="b">
        <f t="shared" si="29"/>
        <v>0</v>
      </c>
      <c r="Q582" s="2"/>
      <c r="R582" s="2"/>
      <c r="S582" s="2"/>
    </row>
    <row r="583" spans="1:19" x14ac:dyDescent="0.45">
      <c r="A583" s="4" t="s">
        <v>651</v>
      </c>
      <c r="B583" s="4" t="s">
        <v>600</v>
      </c>
      <c r="C583" s="5">
        <v>1</v>
      </c>
      <c r="D583" s="5">
        <v>4</v>
      </c>
      <c r="E583" s="5">
        <v>4</v>
      </c>
      <c r="F583" s="5">
        <v>0</v>
      </c>
      <c r="G583" s="5">
        <v>0</v>
      </c>
      <c r="H583" s="5">
        <v>4</v>
      </c>
      <c r="I583" s="6">
        <v>5.5</v>
      </c>
      <c r="J583" s="6">
        <v>5</v>
      </c>
      <c r="K583" s="6">
        <v>7</v>
      </c>
      <c r="L583" s="6">
        <v>6.7</v>
      </c>
      <c r="M583" s="4" t="str">
        <f t="shared" si="27"/>
        <v>OK</v>
      </c>
      <c r="N583" s="7">
        <f t="shared" si="28"/>
        <v>2.6322543284132112E-5</v>
      </c>
      <c r="O583" s="7">
        <f>SUMIFS($D$2:D583,$B$2:B583,B583)/SUMIFS($D$2:$D$741,$B$2:$B$741,B583)</f>
        <v>1</v>
      </c>
      <c r="P583" s="4" t="b">
        <f t="shared" si="29"/>
        <v>0</v>
      </c>
      <c r="Q583" s="2"/>
      <c r="R583" s="2"/>
      <c r="S583" s="2"/>
    </row>
    <row r="584" spans="1:19" x14ac:dyDescent="0.45">
      <c r="A584" s="9" t="s">
        <v>652</v>
      </c>
      <c r="B584" s="9" t="s">
        <v>653</v>
      </c>
      <c r="C584" s="10">
        <v>2</v>
      </c>
      <c r="D584" s="10">
        <v>4100</v>
      </c>
      <c r="E584" s="10">
        <v>939</v>
      </c>
      <c r="F584" s="10">
        <v>2</v>
      </c>
      <c r="G584" s="10">
        <v>1</v>
      </c>
      <c r="H584" s="10">
        <v>4098</v>
      </c>
      <c r="I584" s="11">
        <v>1</v>
      </c>
      <c r="J584" s="11">
        <v>1.3</v>
      </c>
      <c r="K584" s="11">
        <v>3</v>
      </c>
      <c r="L584" s="11">
        <v>3</v>
      </c>
      <c r="M584" s="9" t="str">
        <f t="shared" si="27"/>
        <v>OK</v>
      </c>
      <c r="N584" s="12">
        <f t="shared" si="28"/>
        <v>0.50067163267798265</v>
      </c>
      <c r="O584" s="12">
        <f>SUMIFS($D$2:D584,$B$2:B584,B584)/SUMIFS($D$2:$D$741,$B$2:$B$741,B584)</f>
        <v>0.50067163267798265</v>
      </c>
      <c r="P584" s="9" t="b">
        <f t="shared" si="29"/>
        <v>1</v>
      </c>
      <c r="Q584" s="2"/>
      <c r="R584" s="2"/>
      <c r="S584" s="2"/>
    </row>
    <row r="585" spans="1:19" x14ac:dyDescent="0.45">
      <c r="A585" s="4" t="s">
        <v>654</v>
      </c>
      <c r="B585" s="4" t="s">
        <v>653</v>
      </c>
      <c r="C585" s="5">
        <v>2</v>
      </c>
      <c r="D585" s="5">
        <v>2206</v>
      </c>
      <c r="E585" s="5">
        <v>421</v>
      </c>
      <c r="F585" s="5">
        <v>3</v>
      </c>
      <c r="G585" s="5">
        <v>0</v>
      </c>
      <c r="H585" s="5">
        <v>2203</v>
      </c>
      <c r="I585" s="6">
        <v>2</v>
      </c>
      <c r="J585" s="6">
        <v>3</v>
      </c>
      <c r="K585" s="6">
        <v>6</v>
      </c>
      <c r="L585" s="6">
        <v>6</v>
      </c>
      <c r="M585" s="4" t="str">
        <f t="shared" si="27"/>
        <v>OK</v>
      </c>
      <c r="N585" s="7">
        <f t="shared" si="28"/>
        <v>0.26938576138722675</v>
      </c>
      <c r="O585" s="7">
        <f>SUMIFS($D$2:D585,$B$2:B585,B585)/SUMIFS($D$2:$D$741,$B$2:$B$741,B585)</f>
        <v>0.77005739406520946</v>
      </c>
      <c r="P585" s="4" t="b">
        <f t="shared" si="29"/>
        <v>1</v>
      </c>
      <c r="Q585" s="2"/>
      <c r="R585" s="2"/>
      <c r="S585" s="2"/>
    </row>
    <row r="586" spans="1:19" x14ac:dyDescent="0.45">
      <c r="A586" s="4" t="s">
        <v>655</v>
      </c>
      <c r="B586" s="4" t="s">
        <v>653</v>
      </c>
      <c r="C586" s="5">
        <v>2</v>
      </c>
      <c r="D586" s="5">
        <v>1603</v>
      </c>
      <c r="E586" s="5">
        <v>376</v>
      </c>
      <c r="F586" s="5">
        <v>0</v>
      </c>
      <c r="G586" s="5">
        <v>0</v>
      </c>
      <c r="H586" s="5">
        <v>1603</v>
      </c>
      <c r="I586" s="6">
        <v>1</v>
      </c>
      <c r="J586" s="6">
        <v>3.5</v>
      </c>
      <c r="K586" s="6">
        <v>7</v>
      </c>
      <c r="L586" s="6">
        <v>7</v>
      </c>
      <c r="M586" s="4" t="str">
        <f t="shared" si="27"/>
        <v>OK</v>
      </c>
      <c r="N586" s="7">
        <f t="shared" si="28"/>
        <v>0.19575039687385518</v>
      </c>
      <c r="O586" s="7">
        <f>SUMIFS($D$2:D586,$B$2:B586,B586)/SUMIFS($D$2:$D$741,$B$2:$B$741,B586)</f>
        <v>0.96580779093906455</v>
      </c>
      <c r="P586" s="4" t="b">
        <f t="shared" si="29"/>
        <v>1</v>
      </c>
      <c r="Q586" s="2"/>
      <c r="R586" s="2"/>
      <c r="S586" s="2"/>
    </row>
    <row r="587" spans="1:19" x14ac:dyDescent="0.45">
      <c r="A587" s="4" t="s">
        <v>656</v>
      </c>
      <c r="B587" s="4" t="s">
        <v>653</v>
      </c>
      <c r="C587" s="5">
        <v>1</v>
      </c>
      <c r="D587" s="5">
        <v>111</v>
      </c>
      <c r="E587" s="5">
        <v>111</v>
      </c>
      <c r="F587" s="5">
        <v>1</v>
      </c>
      <c r="G587" s="5">
        <v>0</v>
      </c>
      <c r="H587" s="5">
        <v>110</v>
      </c>
      <c r="I587" s="6">
        <v>1.5</v>
      </c>
      <c r="J587" s="6">
        <v>2.9</v>
      </c>
      <c r="K587" s="6">
        <v>4</v>
      </c>
      <c r="L587" s="6">
        <v>4</v>
      </c>
      <c r="M587" s="4" t="str">
        <f t="shared" si="27"/>
        <v>OK</v>
      </c>
      <c r="N587" s="7">
        <f t="shared" si="28"/>
        <v>1.3554768592013678E-2</v>
      </c>
      <c r="O587" s="7">
        <f>SUMIFS($D$2:D587,$B$2:B587,B587)/SUMIFS($D$2:$D$741,$B$2:$B$741,B587)</f>
        <v>0.97936255953107831</v>
      </c>
      <c r="P587" s="4" t="b">
        <f t="shared" si="29"/>
        <v>0</v>
      </c>
      <c r="Q587" s="2"/>
      <c r="R587" s="2"/>
      <c r="S587" s="2"/>
    </row>
    <row r="588" spans="1:19" x14ac:dyDescent="0.45">
      <c r="A588" s="4" t="s">
        <v>657</v>
      </c>
      <c r="B588" s="4" t="s">
        <v>653</v>
      </c>
      <c r="C588" s="5">
        <v>1</v>
      </c>
      <c r="D588" s="5">
        <v>93</v>
      </c>
      <c r="E588" s="5">
        <v>93</v>
      </c>
      <c r="F588" s="5">
        <v>1</v>
      </c>
      <c r="G588" s="5">
        <v>0</v>
      </c>
      <c r="H588" s="5">
        <v>92</v>
      </c>
      <c r="I588" s="6">
        <v>5</v>
      </c>
      <c r="J588" s="6">
        <v>5.0999999999999996</v>
      </c>
      <c r="K588" s="6">
        <v>9</v>
      </c>
      <c r="L588" s="6">
        <v>8.9</v>
      </c>
      <c r="M588" s="4" t="str">
        <f t="shared" si="27"/>
        <v>OK</v>
      </c>
      <c r="N588" s="7">
        <f t="shared" si="28"/>
        <v>1.1356698009524973E-2</v>
      </c>
      <c r="O588" s="7">
        <f>SUMIFS($D$2:D588,$B$2:B588,B588)/SUMIFS($D$2:$D$741,$B$2:$B$741,B588)</f>
        <v>0.99071925754060319</v>
      </c>
      <c r="P588" s="4" t="b">
        <f t="shared" si="29"/>
        <v>0</v>
      </c>
      <c r="Q588" s="2"/>
      <c r="R588" s="2"/>
      <c r="S588" s="2"/>
    </row>
    <row r="589" spans="1:19" x14ac:dyDescent="0.45">
      <c r="A589" s="4" t="s">
        <v>658</v>
      </c>
      <c r="B589" s="4" t="s">
        <v>653</v>
      </c>
      <c r="C589" s="5">
        <v>1</v>
      </c>
      <c r="D589" s="5">
        <v>76</v>
      </c>
      <c r="E589" s="5">
        <v>76</v>
      </c>
      <c r="F589" s="5">
        <v>0</v>
      </c>
      <c r="G589" s="5">
        <v>0</v>
      </c>
      <c r="H589" s="5">
        <v>76</v>
      </c>
      <c r="I589" s="6">
        <v>1.5</v>
      </c>
      <c r="J589" s="6">
        <v>2.2999999999999998</v>
      </c>
      <c r="K589" s="6">
        <v>5</v>
      </c>
      <c r="L589" s="6">
        <v>5</v>
      </c>
      <c r="M589" s="4" t="str">
        <f t="shared" si="27"/>
        <v>OK</v>
      </c>
      <c r="N589" s="7">
        <f t="shared" si="28"/>
        <v>9.2807424593967514E-3</v>
      </c>
      <c r="O589" s="7">
        <f>SUMIFS($D$2:D589,$B$2:B589,B589)/SUMIFS($D$2:$D$741,$B$2:$B$741,B589)</f>
        <v>1</v>
      </c>
      <c r="P589" s="4" t="b">
        <f t="shared" si="29"/>
        <v>0</v>
      </c>
      <c r="Q589" s="2"/>
      <c r="R589" s="2"/>
      <c r="S589" s="2"/>
    </row>
    <row r="590" spans="1:19" x14ac:dyDescent="0.45">
      <c r="A590" s="9" t="s">
        <v>659</v>
      </c>
      <c r="B590" s="9" t="s">
        <v>660</v>
      </c>
      <c r="C590" s="10">
        <v>1</v>
      </c>
      <c r="D590" s="10">
        <v>86</v>
      </c>
      <c r="E590" s="10">
        <v>86</v>
      </c>
      <c r="F590" s="10">
        <v>3</v>
      </c>
      <c r="G590" s="10">
        <v>1</v>
      </c>
      <c r="H590" s="10">
        <v>83</v>
      </c>
      <c r="I590" s="11">
        <v>1</v>
      </c>
      <c r="J590" s="11">
        <v>1.7</v>
      </c>
      <c r="K590" s="11">
        <v>3</v>
      </c>
      <c r="L590" s="11">
        <v>3</v>
      </c>
      <c r="M590" s="9" t="str">
        <f t="shared" si="27"/>
        <v>OK</v>
      </c>
      <c r="N590" s="12">
        <f t="shared" si="28"/>
        <v>1</v>
      </c>
      <c r="O590" s="12">
        <f>SUMIFS($D$2:D590,$B$2:B590,B590)/SUMIFS($D$2:$D$741,$B$2:$B$741,B590)</f>
        <v>1</v>
      </c>
      <c r="P590" s="9" t="b">
        <f t="shared" si="29"/>
        <v>1</v>
      </c>
      <c r="Q590" s="2"/>
      <c r="R590" s="2"/>
      <c r="S590" s="2"/>
    </row>
    <row r="591" spans="1:19" x14ac:dyDescent="0.45">
      <c r="A591" s="9" t="s">
        <v>661</v>
      </c>
      <c r="B591" s="9" t="s">
        <v>662</v>
      </c>
      <c r="C591" s="10">
        <v>2</v>
      </c>
      <c r="D591" s="10">
        <v>15182</v>
      </c>
      <c r="E591" s="10">
        <v>3546</v>
      </c>
      <c r="F591" s="10">
        <v>26</v>
      </c>
      <c r="G591" s="10">
        <v>0</v>
      </c>
      <c r="H591" s="10">
        <v>15156</v>
      </c>
      <c r="I591" s="11">
        <v>1</v>
      </c>
      <c r="J591" s="11">
        <v>2.5</v>
      </c>
      <c r="K591" s="11">
        <v>4</v>
      </c>
      <c r="L591" s="11">
        <v>4</v>
      </c>
      <c r="M591" s="9" t="str">
        <f t="shared" si="27"/>
        <v>OK</v>
      </c>
      <c r="N591" s="12">
        <f t="shared" si="28"/>
        <v>1</v>
      </c>
      <c r="O591" s="12">
        <f>SUMIFS($D$2:D591,$B$2:B591,B591)/SUMIFS($D$2:$D$741,$B$2:$B$741,B591)</f>
        <v>1</v>
      </c>
      <c r="P591" s="9" t="b">
        <f t="shared" si="29"/>
        <v>1</v>
      </c>
      <c r="Q591" s="2"/>
      <c r="R591" s="2"/>
      <c r="S591" s="2"/>
    </row>
    <row r="592" spans="1:19" x14ac:dyDescent="0.45">
      <c r="A592" s="9" t="s">
        <v>663</v>
      </c>
      <c r="B592" s="9" t="s">
        <v>664</v>
      </c>
      <c r="C592" s="10">
        <v>1</v>
      </c>
      <c r="D592" s="10">
        <v>7</v>
      </c>
      <c r="E592" s="10">
        <v>0</v>
      </c>
      <c r="F592" s="10">
        <v>0</v>
      </c>
      <c r="G592" s="10">
        <v>0</v>
      </c>
      <c r="H592" s="10">
        <v>7</v>
      </c>
      <c r="I592" s="11">
        <v>2</v>
      </c>
      <c r="J592" s="11">
        <v>36.9</v>
      </c>
      <c r="K592" s="11">
        <v>100</v>
      </c>
      <c r="L592" s="11">
        <v>100.4</v>
      </c>
      <c r="M592" s="9" t="str">
        <f t="shared" si="27"/>
        <v>OK</v>
      </c>
      <c r="N592" s="12">
        <f t="shared" si="28"/>
        <v>0.7</v>
      </c>
      <c r="O592" s="12">
        <f>SUMIFS($D$2:D592,$B$2:B592,B592)/SUMIFS($D$2:$D$741,$B$2:$B$741,B592)</f>
        <v>0.7</v>
      </c>
      <c r="P592" s="9" t="b">
        <f t="shared" si="29"/>
        <v>1</v>
      </c>
      <c r="Q592" s="2"/>
      <c r="R592" s="2"/>
      <c r="S592" s="2"/>
    </row>
    <row r="593" spans="1:19" x14ac:dyDescent="0.45">
      <c r="A593" s="4" t="s">
        <v>665</v>
      </c>
      <c r="B593" s="4" t="s">
        <v>664</v>
      </c>
      <c r="C593" s="5">
        <v>1</v>
      </c>
      <c r="D593" s="5">
        <v>3</v>
      </c>
      <c r="E593" s="5">
        <v>3</v>
      </c>
      <c r="F593" s="5">
        <v>0</v>
      </c>
      <c r="G593" s="5">
        <v>0</v>
      </c>
      <c r="H593" s="5">
        <v>3</v>
      </c>
      <c r="I593" s="6">
        <v>3</v>
      </c>
      <c r="J593" s="6">
        <v>3.3</v>
      </c>
      <c r="K593" s="6">
        <v>5</v>
      </c>
      <c r="L593" s="6">
        <v>5.4</v>
      </c>
      <c r="M593" s="4" t="str">
        <f t="shared" si="27"/>
        <v>OK</v>
      </c>
      <c r="N593" s="7">
        <f t="shared" si="28"/>
        <v>0.3</v>
      </c>
      <c r="O593" s="7">
        <f>SUMIFS($D$2:D593,$B$2:B593,B593)/SUMIFS($D$2:$D$741,$B$2:$B$741,B593)</f>
        <v>1</v>
      </c>
      <c r="P593" s="4" t="b">
        <f t="shared" si="29"/>
        <v>1</v>
      </c>
      <c r="Q593" s="2"/>
      <c r="R593" s="2"/>
      <c r="S593" s="2"/>
    </row>
    <row r="594" spans="1:19" x14ac:dyDescent="0.45">
      <c r="A594" s="9" t="s">
        <v>666</v>
      </c>
      <c r="B594" s="9" t="s">
        <v>667</v>
      </c>
      <c r="C594" s="10">
        <v>1</v>
      </c>
      <c r="D594" s="10">
        <v>1</v>
      </c>
      <c r="E594" s="10">
        <v>0</v>
      </c>
      <c r="F594" s="10">
        <v>0</v>
      </c>
      <c r="G594" s="10">
        <v>0</v>
      </c>
      <c r="H594" s="10">
        <v>1</v>
      </c>
      <c r="I594" s="11">
        <v>31</v>
      </c>
      <c r="J594" s="11">
        <v>31</v>
      </c>
      <c r="K594" s="11">
        <v>31</v>
      </c>
      <c r="L594" s="11">
        <v>31</v>
      </c>
      <c r="M594" s="9" t="str">
        <f t="shared" si="27"/>
        <v>OK</v>
      </c>
      <c r="N594" s="12">
        <f t="shared" si="28"/>
        <v>1</v>
      </c>
      <c r="O594" s="12">
        <f>SUMIFS($D$2:D594,$B$2:B594,B594)/SUMIFS($D$2:$D$741,$B$2:$B$741,B594)</f>
        <v>1</v>
      </c>
      <c r="P594" s="9" t="b">
        <f t="shared" si="29"/>
        <v>1</v>
      </c>
      <c r="Q594" s="2"/>
      <c r="R594" s="2"/>
      <c r="S594" s="2"/>
    </row>
    <row r="595" spans="1:19" x14ac:dyDescent="0.45">
      <c r="A595" s="9" t="s">
        <v>668</v>
      </c>
      <c r="B595" s="9" t="s">
        <v>669</v>
      </c>
      <c r="C595" s="10">
        <v>2</v>
      </c>
      <c r="D595" s="10">
        <v>4028</v>
      </c>
      <c r="E595" s="10">
        <v>0</v>
      </c>
      <c r="F595" s="10">
        <v>1</v>
      </c>
      <c r="G595" s="10">
        <v>1</v>
      </c>
      <c r="H595" s="10">
        <v>4027</v>
      </c>
      <c r="I595" s="11">
        <v>3</v>
      </c>
      <c r="J595" s="11">
        <v>3.9</v>
      </c>
      <c r="K595" s="11">
        <v>7</v>
      </c>
      <c r="L595" s="11">
        <v>7</v>
      </c>
      <c r="M595" s="9" t="str">
        <f t="shared" si="27"/>
        <v>OK</v>
      </c>
      <c r="N595" s="12">
        <f t="shared" si="28"/>
        <v>0.41607271976035531</v>
      </c>
      <c r="O595" s="12">
        <f>SUMIFS($D$2:D595,$B$2:B595,B595)/SUMIFS($D$2:$D$741,$B$2:$B$741,B595)</f>
        <v>0.41607271976035531</v>
      </c>
      <c r="P595" s="9" t="b">
        <f t="shared" si="29"/>
        <v>1</v>
      </c>
      <c r="Q595" s="2"/>
      <c r="R595" s="2"/>
      <c r="S595" s="2"/>
    </row>
    <row r="596" spans="1:19" x14ac:dyDescent="0.45">
      <c r="A596" s="4" t="s">
        <v>670</v>
      </c>
      <c r="B596" s="4" t="s">
        <v>669</v>
      </c>
      <c r="C596" s="5">
        <v>2</v>
      </c>
      <c r="D596" s="5">
        <v>3056</v>
      </c>
      <c r="E596" s="5">
        <v>0</v>
      </c>
      <c r="F596" s="5">
        <v>0</v>
      </c>
      <c r="G596" s="5">
        <v>0</v>
      </c>
      <c r="H596" s="5">
        <v>3056</v>
      </c>
      <c r="I596" s="6">
        <v>5</v>
      </c>
      <c r="J596" s="6">
        <v>5.4</v>
      </c>
      <c r="K596" s="6">
        <v>10</v>
      </c>
      <c r="L596" s="6">
        <v>10</v>
      </c>
      <c r="M596" s="4" t="str">
        <f t="shared" si="27"/>
        <v>OK</v>
      </c>
      <c r="N596" s="7">
        <f t="shared" si="28"/>
        <v>0.31566986881520503</v>
      </c>
      <c r="O596" s="7">
        <f>SUMIFS($D$2:D596,$B$2:B596,B596)/SUMIFS($D$2:$D$741,$B$2:$B$741,B596)</f>
        <v>0.7317425885755604</v>
      </c>
      <c r="P596" s="4" t="b">
        <f t="shared" si="29"/>
        <v>1</v>
      </c>
      <c r="Q596" s="2"/>
      <c r="R596" s="2"/>
      <c r="S596" s="2"/>
    </row>
    <row r="597" spans="1:19" x14ac:dyDescent="0.45">
      <c r="A597" s="4" t="s">
        <v>671</v>
      </c>
      <c r="B597" s="4" t="s">
        <v>669</v>
      </c>
      <c r="C597" s="5">
        <v>2</v>
      </c>
      <c r="D597" s="5">
        <v>1371</v>
      </c>
      <c r="E597" s="5">
        <v>0</v>
      </c>
      <c r="F597" s="5">
        <v>0</v>
      </c>
      <c r="G597" s="5">
        <v>0</v>
      </c>
      <c r="H597" s="5">
        <v>1371</v>
      </c>
      <c r="I597" s="6">
        <v>0</v>
      </c>
      <c r="J597" s="6">
        <v>0.8</v>
      </c>
      <c r="K597" s="6">
        <v>2</v>
      </c>
      <c r="L597" s="6">
        <v>2</v>
      </c>
      <c r="M597" s="4" t="str">
        <f t="shared" si="27"/>
        <v>OK</v>
      </c>
      <c r="N597" s="7">
        <f t="shared" si="28"/>
        <v>0.14161760148744965</v>
      </c>
      <c r="O597" s="7">
        <f>SUMIFS($D$2:D597,$B$2:B597,B597)/SUMIFS($D$2:$D$741,$B$2:$B$741,B597)</f>
        <v>0.87336019006301002</v>
      </c>
      <c r="P597" s="4" t="b">
        <f t="shared" si="29"/>
        <v>1</v>
      </c>
      <c r="Q597" s="2"/>
      <c r="R597" s="2"/>
      <c r="S597" s="2"/>
    </row>
    <row r="598" spans="1:19" x14ac:dyDescent="0.45">
      <c r="A598" s="4" t="s">
        <v>672</v>
      </c>
      <c r="B598" s="4" t="s">
        <v>669</v>
      </c>
      <c r="C598" s="5">
        <v>2</v>
      </c>
      <c r="D598" s="5">
        <v>970</v>
      </c>
      <c r="E598" s="5">
        <v>0</v>
      </c>
      <c r="F598" s="5">
        <v>0</v>
      </c>
      <c r="G598" s="5">
        <v>0</v>
      </c>
      <c r="H598" s="5">
        <v>970</v>
      </c>
      <c r="I598" s="6">
        <v>15</v>
      </c>
      <c r="J598" s="6">
        <v>18.8</v>
      </c>
      <c r="K598" s="6">
        <v>35</v>
      </c>
      <c r="L598" s="6">
        <v>35</v>
      </c>
      <c r="M598" s="4" t="str">
        <f t="shared" si="27"/>
        <v>OK</v>
      </c>
      <c r="N598" s="7">
        <f t="shared" si="28"/>
        <v>0.10019626071686809</v>
      </c>
      <c r="O598" s="7">
        <f>SUMIFS($D$2:D598,$B$2:B598,B598)/SUMIFS($D$2:$D$741,$B$2:$B$741,B598)</f>
        <v>0.97355645077987807</v>
      </c>
      <c r="P598" s="4" t="b">
        <f t="shared" si="29"/>
        <v>1</v>
      </c>
      <c r="Q598" s="2"/>
      <c r="R598" s="2"/>
      <c r="S598" s="2"/>
    </row>
    <row r="599" spans="1:19" x14ac:dyDescent="0.45">
      <c r="A599" s="4" t="s">
        <v>673</v>
      </c>
      <c r="B599" s="4" t="s">
        <v>669</v>
      </c>
      <c r="C599" s="5">
        <v>2</v>
      </c>
      <c r="D599" s="5">
        <v>132</v>
      </c>
      <c r="E599" s="5">
        <v>0</v>
      </c>
      <c r="F599" s="5">
        <v>0</v>
      </c>
      <c r="G599" s="5">
        <v>0</v>
      </c>
      <c r="H599" s="5">
        <v>132</v>
      </c>
      <c r="I599" s="6">
        <v>1</v>
      </c>
      <c r="J599" s="6">
        <v>8.6</v>
      </c>
      <c r="K599" s="6">
        <v>40</v>
      </c>
      <c r="L599" s="6">
        <v>39.9</v>
      </c>
      <c r="M599" s="4" t="str">
        <f t="shared" si="27"/>
        <v>OK</v>
      </c>
      <c r="N599" s="7">
        <f t="shared" si="28"/>
        <v>1.3634955066625348E-2</v>
      </c>
      <c r="O599" s="7">
        <f>SUMIFS($D$2:D599,$B$2:B599,B599)/SUMIFS($D$2:$D$741,$B$2:$B$741,B599)</f>
        <v>0.98719140584650344</v>
      </c>
      <c r="P599" s="4" t="b">
        <f t="shared" si="29"/>
        <v>0</v>
      </c>
      <c r="Q599" s="2"/>
      <c r="R599" s="2"/>
      <c r="S599" s="2"/>
    </row>
    <row r="600" spans="1:19" x14ac:dyDescent="0.45">
      <c r="A600" s="4" t="s">
        <v>674</v>
      </c>
      <c r="B600" s="4" t="s">
        <v>669</v>
      </c>
      <c r="C600" s="5">
        <v>2</v>
      </c>
      <c r="D600" s="5">
        <v>54</v>
      </c>
      <c r="E600" s="5">
        <v>0</v>
      </c>
      <c r="F600" s="5">
        <v>0</v>
      </c>
      <c r="G600" s="5">
        <v>0</v>
      </c>
      <c r="H600" s="5">
        <v>54</v>
      </c>
      <c r="I600" s="6">
        <v>4</v>
      </c>
      <c r="J600" s="6">
        <v>4</v>
      </c>
      <c r="K600" s="6">
        <v>7</v>
      </c>
      <c r="L600" s="6">
        <v>7</v>
      </c>
      <c r="M600" s="4" t="str">
        <f t="shared" si="27"/>
        <v>OK</v>
      </c>
      <c r="N600" s="7">
        <f t="shared" si="28"/>
        <v>5.5779361636194612E-3</v>
      </c>
      <c r="O600" s="7">
        <f>SUMIFS($D$2:D600,$B$2:B600,B600)/SUMIFS($D$2:$D$741,$B$2:$B$741,B600)</f>
        <v>0.9927693420101229</v>
      </c>
      <c r="P600" s="4" t="b">
        <f t="shared" si="29"/>
        <v>0</v>
      </c>
      <c r="Q600" s="2"/>
      <c r="R600" s="2"/>
      <c r="S600" s="2"/>
    </row>
    <row r="601" spans="1:19" x14ac:dyDescent="0.45">
      <c r="A601" s="4" t="s">
        <v>675</v>
      </c>
      <c r="B601" s="4" t="s">
        <v>669</v>
      </c>
      <c r="C601" s="5">
        <v>2</v>
      </c>
      <c r="D601" s="5">
        <v>50</v>
      </c>
      <c r="E601" s="5">
        <v>0</v>
      </c>
      <c r="F601" s="5">
        <v>0</v>
      </c>
      <c r="G601" s="5">
        <v>0</v>
      </c>
      <c r="H601" s="5">
        <v>50</v>
      </c>
      <c r="I601" s="6">
        <v>0</v>
      </c>
      <c r="J601" s="6">
        <v>2.2000000000000002</v>
      </c>
      <c r="K601" s="6">
        <v>3</v>
      </c>
      <c r="L601" s="6">
        <v>3</v>
      </c>
      <c r="M601" s="4" t="str">
        <f t="shared" si="27"/>
        <v>OK</v>
      </c>
      <c r="N601" s="7">
        <f t="shared" si="28"/>
        <v>5.164755707055056E-3</v>
      </c>
      <c r="O601" s="7">
        <f>SUMIFS($D$2:D601,$B$2:B601,B601)/SUMIFS($D$2:$D$741,$B$2:$B$741,B601)</f>
        <v>0.997934097717178</v>
      </c>
      <c r="P601" s="4" t="b">
        <f t="shared" si="29"/>
        <v>0</v>
      </c>
      <c r="Q601" s="2"/>
      <c r="R601" s="2"/>
      <c r="S601" s="2"/>
    </row>
    <row r="602" spans="1:19" x14ac:dyDescent="0.45">
      <c r="A602" s="4" t="s">
        <v>676</v>
      </c>
      <c r="B602" s="4" t="s">
        <v>669</v>
      </c>
      <c r="C602" s="5">
        <v>2</v>
      </c>
      <c r="D602" s="5">
        <v>14</v>
      </c>
      <c r="E602" s="5">
        <v>0</v>
      </c>
      <c r="F602" s="5">
        <v>0</v>
      </c>
      <c r="G602" s="5">
        <v>0</v>
      </c>
      <c r="H602" s="5">
        <v>14</v>
      </c>
      <c r="I602" s="6">
        <v>2</v>
      </c>
      <c r="J602" s="6">
        <v>4.5999999999999996</v>
      </c>
      <c r="K602" s="6">
        <v>10</v>
      </c>
      <c r="L602" s="6">
        <v>9.6999999999999993</v>
      </c>
      <c r="M602" s="4" t="str">
        <f t="shared" si="27"/>
        <v>OK</v>
      </c>
      <c r="N602" s="7">
        <f t="shared" si="28"/>
        <v>1.4461315979754157E-3</v>
      </c>
      <c r="O602" s="7">
        <f>SUMIFS($D$2:D602,$B$2:B602,B602)/SUMIFS($D$2:$D$741,$B$2:$B$741,B602)</f>
        <v>0.99938022931515336</v>
      </c>
      <c r="P602" s="4" t="b">
        <f t="shared" si="29"/>
        <v>0</v>
      </c>
      <c r="Q602" s="2"/>
      <c r="R602" s="2"/>
      <c r="S602" s="2"/>
    </row>
    <row r="603" spans="1:19" x14ac:dyDescent="0.45">
      <c r="A603" s="4" t="s">
        <v>677</v>
      </c>
      <c r="B603" s="4" t="s">
        <v>669</v>
      </c>
      <c r="C603" s="5">
        <v>1</v>
      </c>
      <c r="D603" s="5">
        <v>5</v>
      </c>
      <c r="E603" s="5">
        <v>0</v>
      </c>
      <c r="F603" s="5">
        <v>0</v>
      </c>
      <c r="G603" s="5">
        <v>0</v>
      </c>
      <c r="H603" s="5">
        <v>5</v>
      </c>
      <c r="I603" s="6">
        <v>1</v>
      </c>
      <c r="J603" s="6">
        <v>12.4</v>
      </c>
      <c r="K603" s="6">
        <v>35</v>
      </c>
      <c r="L603" s="6">
        <v>35</v>
      </c>
      <c r="M603" s="4" t="str">
        <f t="shared" si="27"/>
        <v>OK</v>
      </c>
      <c r="N603" s="7">
        <f t="shared" si="28"/>
        <v>5.164755707055056E-4</v>
      </c>
      <c r="O603" s="7">
        <f>SUMIFS($D$2:D603,$B$2:B603,B603)/SUMIFS($D$2:$D$741,$B$2:$B$741,B603)</f>
        <v>0.99989670488585891</v>
      </c>
      <c r="P603" s="4" t="b">
        <f t="shared" si="29"/>
        <v>0</v>
      </c>
      <c r="Q603" s="2"/>
      <c r="R603" s="2"/>
      <c r="S603" s="2"/>
    </row>
    <row r="604" spans="1:19" x14ac:dyDescent="0.45">
      <c r="A604" s="4" t="s">
        <v>678</v>
      </c>
      <c r="B604" s="4" t="s">
        <v>669</v>
      </c>
      <c r="C604" s="5">
        <v>1</v>
      </c>
      <c r="D604" s="5">
        <v>1</v>
      </c>
      <c r="E604" s="5">
        <v>0</v>
      </c>
      <c r="F604" s="5">
        <v>0</v>
      </c>
      <c r="G604" s="5">
        <v>0</v>
      </c>
      <c r="H604" s="5">
        <v>1</v>
      </c>
      <c r="I604" s="6">
        <v>4</v>
      </c>
      <c r="J604" s="6">
        <v>4</v>
      </c>
      <c r="K604" s="6">
        <v>4</v>
      </c>
      <c r="L604" s="6">
        <v>4</v>
      </c>
      <c r="M604" s="4" t="str">
        <f t="shared" si="27"/>
        <v>OK</v>
      </c>
      <c r="N604" s="7">
        <f t="shared" si="28"/>
        <v>1.0329511414110113E-4</v>
      </c>
      <c r="O604" s="7">
        <f>SUMIFS($D$2:D604,$B$2:B604,B604)/SUMIFS($D$2:$D$741,$B$2:$B$741,B604)</f>
        <v>1</v>
      </c>
      <c r="P604" s="4" t="b">
        <f t="shared" si="29"/>
        <v>0</v>
      </c>
      <c r="Q604" s="2"/>
      <c r="R604" s="2"/>
      <c r="S604" s="2"/>
    </row>
    <row r="605" spans="1:19" x14ac:dyDescent="0.45">
      <c r="A605" s="9" t="s">
        <v>679</v>
      </c>
      <c r="B605" s="9" t="s">
        <v>680</v>
      </c>
      <c r="C605" s="10">
        <v>1</v>
      </c>
      <c r="D605" s="10">
        <v>97</v>
      </c>
      <c r="E605" s="10">
        <v>97</v>
      </c>
      <c r="F605" s="10">
        <v>19</v>
      </c>
      <c r="G605" s="10">
        <v>0</v>
      </c>
      <c r="H605" s="10">
        <v>78</v>
      </c>
      <c r="I605" s="11">
        <v>14.5</v>
      </c>
      <c r="J605" s="11">
        <v>13.9</v>
      </c>
      <c r="K605" s="11">
        <v>22</v>
      </c>
      <c r="L605" s="11">
        <v>22</v>
      </c>
      <c r="M605" s="9" t="str">
        <f t="shared" si="27"/>
        <v>OK</v>
      </c>
      <c r="N605" s="12">
        <f t="shared" si="28"/>
        <v>0.42543859649122806</v>
      </c>
      <c r="O605" s="12">
        <f>SUMIFS($D$2:D605,$B$2:B605,B605)/SUMIFS($D$2:$D$741,$B$2:$B$741,B605)</f>
        <v>0.42543859649122806</v>
      </c>
      <c r="P605" s="9" t="b">
        <f t="shared" si="29"/>
        <v>1</v>
      </c>
      <c r="Q605" s="2"/>
      <c r="R605" s="2"/>
      <c r="S605" s="2"/>
    </row>
    <row r="606" spans="1:19" x14ac:dyDescent="0.45">
      <c r="A606" s="4" t="s">
        <v>681</v>
      </c>
      <c r="B606" s="4" t="s">
        <v>680</v>
      </c>
      <c r="C606" s="5">
        <v>1</v>
      </c>
      <c r="D606" s="5">
        <v>61</v>
      </c>
      <c r="E606" s="5">
        <v>0</v>
      </c>
      <c r="F606" s="5">
        <v>0</v>
      </c>
      <c r="G606" s="5">
        <v>0</v>
      </c>
      <c r="H606" s="5">
        <v>61</v>
      </c>
      <c r="I606" s="6">
        <v>6</v>
      </c>
      <c r="J606" s="6">
        <v>11.2</v>
      </c>
      <c r="K606" s="6">
        <v>28</v>
      </c>
      <c r="L606" s="6">
        <v>28</v>
      </c>
      <c r="M606" s="4" t="str">
        <f t="shared" si="27"/>
        <v>OK</v>
      </c>
      <c r="N606" s="7">
        <f t="shared" si="28"/>
        <v>0.26754385964912281</v>
      </c>
      <c r="O606" s="7">
        <f>SUMIFS($D$2:D606,$B$2:B606,B606)/SUMIFS($D$2:$D$741,$B$2:$B$741,B606)</f>
        <v>0.69298245614035092</v>
      </c>
      <c r="P606" s="4" t="b">
        <f t="shared" si="29"/>
        <v>1</v>
      </c>
      <c r="Q606" s="2"/>
      <c r="R606" s="2"/>
      <c r="S606" s="2"/>
    </row>
    <row r="607" spans="1:19" x14ac:dyDescent="0.45">
      <c r="A607" s="4" t="s">
        <v>682</v>
      </c>
      <c r="B607" s="4" t="s">
        <v>680</v>
      </c>
      <c r="C607" s="5">
        <v>1</v>
      </c>
      <c r="D607" s="5">
        <v>41</v>
      </c>
      <c r="E607" s="5">
        <v>25</v>
      </c>
      <c r="F607" s="5">
        <v>1</v>
      </c>
      <c r="G607" s="5">
        <v>0</v>
      </c>
      <c r="H607" s="5">
        <v>40</v>
      </c>
      <c r="I607" s="6">
        <v>6</v>
      </c>
      <c r="J607" s="6">
        <v>36.4</v>
      </c>
      <c r="K607" s="6">
        <v>75</v>
      </c>
      <c r="L607" s="6">
        <v>75.099999999999994</v>
      </c>
      <c r="M607" s="4" t="str">
        <f t="shared" si="27"/>
        <v>OK</v>
      </c>
      <c r="N607" s="7">
        <f t="shared" si="28"/>
        <v>0.17982456140350878</v>
      </c>
      <c r="O607" s="7">
        <f>SUMIFS($D$2:D607,$B$2:B607,B607)/SUMIFS($D$2:$D$741,$B$2:$B$741,B607)</f>
        <v>0.8728070175438597</v>
      </c>
      <c r="P607" s="4" t="b">
        <f t="shared" si="29"/>
        <v>1</v>
      </c>
      <c r="Q607" s="2"/>
      <c r="R607" s="2"/>
      <c r="S607" s="2"/>
    </row>
    <row r="608" spans="1:19" x14ac:dyDescent="0.45">
      <c r="A608" s="4" t="s">
        <v>683</v>
      </c>
      <c r="B608" s="4" t="s">
        <v>680</v>
      </c>
      <c r="C608" s="5">
        <v>2</v>
      </c>
      <c r="D608" s="5">
        <v>17</v>
      </c>
      <c r="E608" s="5">
        <v>0</v>
      </c>
      <c r="F608" s="5">
        <v>0</v>
      </c>
      <c r="G608" s="5">
        <v>0</v>
      </c>
      <c r="H608" s="5">
        <v>17</v>
      </c>
      <c r="I608" s="6">
        <v>10</v>
      </c>
      <c r="J608" s="6">
        <v>16.100000000000001</v>
      </c>
      <c r="K608" s="6">
        <v>45</v>
      </c>
      <c r="L608" s="6">
        <v>45</v>
      </c>
      <c r="M608" s="4" t="str">
        <f t="shared" si="27"/>
        <v>OK</v>
      </c>
      <c r="N608" s="7">
        <f t="shared" si="28"/>
        <v>7.4561403508771926E-2</v>
      </c>
      <c r="O608" s="7">
        <f>SUMIFS($D$2:D608,$B$2:B608,B608)/SUMIFS($D$2:$D$741,$B$2:$B$741,B608)</f>
        <v>0.94736842105263153</v>
      </c>
      <c r="P608" s="4" t="b">
        <f t="shared" si="29"/>
        <v>1</v>
      </c>
      <c r="Q608" s="2"/>
      <c r="R608" s="2"/>
      <c r="S608" s="2"/>
    </row>
    <row r="609" spans="1:19" x14ac:dyDescent="0.45">
      <c r="A609" s="4" t="s">
        <v>684</v>
      </c>
      <c r="B609" s="4" t="s">
        <v>680</v>
      </c>
      <c r="C609" s="5">
        <v>2</v>
      </c>
      <c r="D609" s="5">
        <v>12</v>
      </c>
      <c r="E609" s="5">
        <v>0</v>
      </c>
      <c r="F609" s="5">
        <v>0</v>
      </c>
      <c r="G609" s="5">
        <v>0</v>
      </c>
      <c r="H609" s="5">
        <v>12</v>
      </c>
      <c r="I609" s="6">
        <v>3</v>
      </c>
      <c r="J609" s="6">
        <v>8</v>
      </c>
      <c r="K609" s="6">
        <v>18</v>
      </c>
      <c r="L609" s="6">
        <v>18</v>
      </c>
      <c r="M609" s="4" t="str">
        <f t="shared" si="27"/>
        <v>OK</v>
      </c>
      <c r="N609" s="7">
        <f t="shared" si="28"/>
        <v>5.2631578947368418E-2</v>
      </c>
      <c r="O609" s="7">
        <f>SUMIFS($D$2:D609,$B$2:B609,B609)/SUMIFS($D$2:$D$741,$B$2:$B$741,B609)</f>
        <v>1</v>
      </c>
      <c r="P609" s="4" t="b">
        <f t="shared" si="29"/>
        <v>1</v>
      </c>
      <c r="Q609" s="2"/>
      <c r="R609" s="2"/>
      <c r="S609" s="2"/>
    </row>
    <row r="610" spans="1:19" x14ac:dyDescent="0.45">
      <c r="A610" s="9" t="s">
        <v>685</v>
      </c>
      <c r="B610" s="9" t="s">
        <v>686</v>
      </c>
      <c r="C610" s="10">
        <v>1</v>
      </c>
      <c r="D610" s="10">
        <v>909</v>
      </c>
      <c r="E610" s="10">
        <v>65</v>
      </c>
      <c r="F610" s="10">
        <v>0</v>
      </c>
      <c r="G610" s="10">
        <v>0</v>
      </c>
      <c r="H610" s="10">
        <v>909</v>
      </c>
      <c r="I610" s="11">
        <v>2</v>
      </c>
      <c r="J610" s="11">
        <v>13</v>
      </c>
      <c r="K610" s="11">
        <v>12</v>
      </c>
      <c r="L610" s="11">
        <v>12.2</v>
      </c>
      <c r="M610" s="9" t="str">
        <f t="shared" si="27"/>
        <v>OK</v>
      </c>
      <c r="N610" s="12">
        <f t="shared" si="28"/>
        <v>0.60119047619047616</v>
      </c>
      <c r="O610" s="12">
        <f>SUMIFS($D$2:D610,$B$2:B610,B610)/SUMIFS($D$2:$D$741,$B$2:$B$741,B610)</f>
        <v>0.60119047619047616</v>
      </c>
      <c r="P610" s="9" t="b">
        <f t="shared" si="29"/>
        <v>1</v>
      </c>
      <c r="Q610" s="2"/>
      <c r="R610" s="2"/>
      <c r="S610" s="2"/>
    </row>
    <row r="611" spans="1:19" x14ac:dyDescent="0.45">
      <c r="A611" s="4" t="s">
        <v>687</v>
      </c>
      <c r="B611" s="4" t="s">
        <v>686</v>
      </c>
      <c r="C611" s="5">
        <v>1</v>
      </c>
      <c r="D611" s="5">
        <v>174</v>
      </c>
      <c r="E611" s="5">
        <v>23</v>
      </c>
      <c r="F611" s="5">
        <v>0</v>
      </c>
      <c r="G611" s="5">
        <v>0</v>
      </c>
      <c r="H611" s="5">
        <v>174</v>
      </c>
      <c r="I611" s="6">
        <v>4</v>
      </c>
      <c r="J611" s="6">
        <v>12.4</v>
      </c>
      <c r="K611" s="6">
        <v>16</v>
      </c>
      <c r="L611" s="6">
        <v>15.7</v>
      </c>
      <c r="M611" s="4" t="str">
        <f t="shared" si="27"/>
        <v>OK</v>
      </c>
      <c r="N611" s="7">
        <f t="shared" si="28"/>
        <v>0.11507936507936507</v>
      </c>
      <c r="O611" s="7">
        <f>SUMIFS($D$2:D611,$B$2:B611,B611)/SUMIFS($D$2:$D$741,$B$2:$B$741,B611)</f>
        <v>0.71626984126984128</v>
      </c>
      <c r="P611" s="4" t="b">
        <f t="shared" si="29"/>
        <v>1</v>
      </c>
      <c r="Q611" s="2"/>
      <c r="R611" s="2"/>
      <c r="S611" s="2"/>
    </row>
    <row r="612" spans="1:19" x14ac:dyDescent="0.45">
      <c r="A612" s="4" t="s">
        <v>688</v>
      </c>
      <c r="B612" s="4" t="s">
        <v>686</v>
      </c>
      <c r="C612" s="5">
        <v>1</v>
      </c>
      <c r="D612" s="5">
        <v>121</v>
      </c>
      <c r="E612" s="5">
        <v>0</v>
      </c>
      <c r="F612" s="5">
        <v>0</v>
      </c>
      <c r="G612" s="5">
        <v>0</v>
      </c>
      <c r="H612" s="5">
        <v>121</v>
      </c>
      <c r="I612" s="6">
        <v>2</v>
      </c>
      <c r="J612" s="6">
        <v>2.1</v>
      </c>
      <c r="K612" s="6">
        <v>5</v>
      </c>
      <c r="L612" s="6">
        <v>5</v>
      </c>
      <c r="M612" s="4" t="str">
        <f t="shared" si="27"/>
        <v>OK</v>
      </c>
      <c r="N612" s="7">
        <f t="shared" si="28"/>
        <v>8.0026455026455029E-2</v>
      </c>
      <c r="O612" s="7">
        <f>SUMIFS($D$2:D612,$B$2:B612,B612)/SUMIFS($D$2:$D$741,$B$2:$B$741,B612)</f>
        <v>0.79629629629629628</v>
      </c>
      <c r="P612" s="4" t="b">
        <f t="shared" si="29"/>
        <v>1</v>
      </c>
      <c r="Q612" s="2"/>
      <c r="R612" s="2"/>
      <c r="S612" s="2"/>
    </row>
    <row r="613" spans="1:19" x14ac:dyDescent="0.45">
      <c r="A613" s="4" t="s">
        <v>689</v>
      </c>
      <c r="B613" s="4" t="s">
        <v>686</v>
      </c>
      <c r="C613" s="5">
        <v>1</v>
      </c>
      <c r="D613" s="5">
        <v>120</v>
      </c>
      <c r="E613" s="5">
        <v>24</v>
      </c>
      <c r="F613" s="5">
        <v>0</v>
      </c>
      <c r="G613" s="5">
        <v>0</v>
      </c>
      <c r="H613" s="5">
        <v>120</v>
      </c>
      <c r="I613" s="6">
        <v>3</v>
      </c>
      <c r="J613" s="6">
        <v>7</v>
      </c>
      <c r="K613" s="6">
        <v>11</v>
      </c>
      <c r="L613" s="6">
        <v>11</v>
      </c>
      <c r="M613" s="4" t="str">
        <f t="shared" si="27"/>
        <v>OK</v>
      </c>
      <c r="N613" s="7">
        <f t="shared" si="28"/>
        <v>7.9365079365079361E-2</v>
      </c>
      <c r="O613" s="7">
        <f>SUMIFS($D$2:D613,$B$2:B613,B613)/SUMIFS($D$2:$D$741,$B$2:$B$741,B613)</f>
        <v>0.8756613756613757</v>
      </c>
      <c r="P613" s="4" t="b">
        <f t="shared" si="29"/>
        <v>1</v>
      </c>
      <c r="Q613" s="2"/>
      <c r="R613" s="2"/>
      <c r="S613" s="2"/>
    </row>
    <row r="614" spans="1:19" x14ac:dyDescent="0.45">
      <c r="A614" s="4" t="s">
        <v>690</v>
      </c>
      <c r="B614" s="4" t="s">
        <v>686</v>
      </c>
      <c r="C614" s="5">
        <v>1</v>
      </c>
      <c r="D614" s="5">
        <v>67</v>
      </c>
      <c r="E614" s="5">
        <v>7</v>
      </c>
      <c r="F614" s="5">
        <v>0</v>
      </c>
      <c r="G614" s="5">
        <v>0</v>
      </c>
      <c r="H614" s="5">
        <v>67</v>
      </c>
      <c r="I614" s="6">
        <v>7</v>
      </c>
      <c r="J614" s="6">
        <v>24.6</v>
      </c>
      <c r="K614" s="6">
        <v>28</v>
      </c>
      <c r="L614" s="6">
        <v>27.8</v>
      </c>
      <c r="M614" s="4" t="str">
        <f t="shared" si="27"/>
        <v>OK</v>
      </c>
      <c r="N614" s="7">
        <f t="shared" si="28"/>
        <v>4.431216931216931E-2</v>
      </c>
      <c r="O614" s="7">
        <f>SUMIFS($D$2:D614,$B$2:B614,B614)/SUMIFS($D$2:$D$741,$B$2:$B$741,B614)</f>
        <v>0.919973544973545</v>
      </c>
      <c r="P614" s="4" t="b">
        <f t="shared" si="29"/>
        <v>1</v>
      </c>
      <c r="Q614" s="2"/>
      <c r="R614" s="2"/>
      <c r="S614" s="2"/>
    </row>
    <row r="615" spans="1:19" x14ac:dyDescent="0.45">
      <c r="A615" s="4" t="s">
        <v>691</v>
      </c>
      <c r="B615" s="4" t="s">
        <v>686</v>
      </c>
      <c r="C615" s="5">
        <v>1</v>
      </c>
      <c r="D615" s="5">
        <v>37</v>
      </c>
      <c r="E615" s="5">
        <v>6</v>
      </c>
      <c r="F615" s="5">
        <v>0</v>
      </c>
      <c r="G615" s="5">
        <v>0</v>
      </c>
      <c r="H615" s="5">
        <v>37</v>
      </c>
      <c r="I615" s="6">
        <v>2</v>
      </c>
      <c r="J615" s="6">
        <v>8.9</v>
      </c>
      <c r="K615" s="6">
        <v>16</v>
      </c>
      <c r="L615" s="6">
        <v>16</v>
      </c>
      <c r="M615" s="4" t="str">
        <f t="shared" si="27"/>
        <v>OK</v>
      </c>
      <c r="N615" s="7">
        <f t="shared" si="28"/>
        <v>2.447089947089947E-2</v>
      </c>
      <c r="O615" s="7">
        <f>SUMIFS($D$2:D615,$B$2:B615,B615)/SUMIFS($D$2:$D$741,$B$2:$B$741,B615)</f>
        <v>0.94444444444444442</v>
      </c>
      <c r="P615" s="4" t="b">
        <f t="shared" si="29"/>
        <v>1</v>
      </c>
      <c r="Q615" s="2"/>
      <c r="R615" s="2"/>
      <c r="S615" s="2"/>
    </row>
    <row r="616" spans="1:19" x14ac:dyDescent="0.45">
      <c r="A616" s="4" t="s">
        <v>692</v>
      </c>
      <c r="B616" s="4" t="s">
        <v>686</v>
      </c>
      <c r="C616" s="5">
        <v>2</v>
      </c>
      <c r="D616" s="5">
        <v>25</v>
      </c>
      <c r="E616" s="5">
        <v>0</v>
      </c>
      <c r="F616" s="5">
        <v>0</v>
      </c>
      <c r="G616" s="5">
        <v>0</v>
      </c>
      <c r="H616" s="5">
        <v>25</v>
      </c>
      <c r="I616" s="6">
        <v>11</v>
      </c>
      <c r="J616" s="6">
        <v>17.5</v>
      </c>
      <c r="K616" s="6">
        <v>24</v>
      </c>
      <c r="L616" s="6">
        <v>24</v>
      </c>
      <c r="M616" s="4" t="str">
        <f t="shared" si="27"/>
        <v>OK</v>
      </c>
      <c r="N616" s="7">
        <f t="shared" si="28"/>
        <v>1.6534391534391533E-2</v>
      </c>
      <c r="O616" s="7">
        <f>SUMIFS($D$2:D616,$B$2:B616,B616)/SUMIFS($D$2:$D$741,$B$2:$B$741,B616)</f>
        <v>0.96097883597883593</v>
      </c>
      <c r="P616" s="4" t="b">
        <f t="shared" si="29"/>
        <v>1</v>
      </c>
      <c r="Q616" s="2"/>
      <c r="R616" s="2"/>
      <c r="S616" s="2"/>
    </row>
    <row r="617" spans="1:19" x14ac:dyDescent="0.45">
      <c r="A617" s="4" t="s">
        <v>693</v>
      </c>
      <c r="B617" s="4" t="s">
        <v>686</v>
      </c>
      <c r="C617" s="5">
        <v>1</v>
      </c>
      <c r="D617" s="5">
        <v>18</v>
      </c>
      <c r="E617" s="5">
        <v>0</v>
      </c>
      <c r="F617" s="5">
        <v>0</v>
      </c>
      <c r="G617" s="5">
        <v>0</v>
      </c>
      <c r="H617" s="5">
        <v>18</v>
      </c>
      <c r="I617" s="6">
        <v>3</v>
      </c>
      <c r="J617" s="6">
        <v>5.0999999999999996</v>
      </c>
      <c r="K617" s="6">
        <v>11</v>
      </c>
      <c r="L617" s="6">
        <v>11.4</v>
      </c>
      <c r="M617" s="4" t="str">
        <f t="shared" si="27"/>
        <v>OK</v>
      </c>
      <c r="N617" s="7">
        <f t="shared" si="28"/>
        <v>1.1904761904761904E-2</v>
      </c>
      <c r="O617" s="7">
        <f>SUMIFS($D$2:D617,$B$2:B617,B617)/SUMIFS($D$2:$D$741,$B$2:$B$741,B617)</f>
        <v>0.97288359788359791</v>
      </c>
      <c r="P617" s="4" t="b">
        <f t="shared" si="29"/>
        <v>0</v>
      </c>
      <c r="Q617" s="2"/>
      <c r="R617" s="2"/>
      <c r="S617" s="2"/>
    </row>
    <row r="618" spans="1:19" x14ac:dyDescent="0.45">
      <c r="A618" s="4" t="s">
        <v>694</v>
      </c>
      <c r="B618" s="4" t="s">
        <v>686</v>
      </c>
      <c r="C618" s="5">
        <v>1</v>
      </c>
      <c r="D618" s="5">
        <v>14</v>
      </c>
      <c r="E618" s="5">
        <v>2</v>
      </c>
      <c r="F618" s="5">
        <v>0</v>
      </c>
      <c r="G618" s="5">
        <v>0</v>
      </c>
      <c r="H618" s="5">
        <v>14</v>
      </c>
      <c r="I618" s="6">
        <v>8.5</v>
      </c>
      <c r="J618" s="6">
        <v>27.9</v>
      </c>
      <c r="K618" s="6">
        <v>20</v>
      </c>
      <c r="L618" s="6">
        <v>19.600000000000001</v>
      </c>
      <c r="M618" s="4" t="str">
        <f t="shared" si="27"/>
        <v>OK</v>
      </c>
      <c r="N618" s="7">
        <f t="shared" si="28"/>
        <v>9.2592592592592587E-3</v>
      </c>
      <c r="O618" s="7">
        <f>SUMIFS($D$2:D618,$B$2:B618,B618)/SUMIFS($D$2:$D$741,$B$2:$B$741,B618)</f>
        <v>0.9821428571428571</v>
      </c>
      <c r="P618" s="4" t="b">
        <f t="shared" si="29"/>
        <v>0</v>
      </c>
      <c r="Q618" s="2"/>
      <c r="R618" s="2"/>
      <c r="S618" s="2"/>
    </row>
    <row r="619" spans="1:19" x14ac:dyDescent="0.45">
      <c r="A619" s="4" t="s">
        <v>695</v>
      </c>
      <c r="B619" s="4" t="s">
        <v>686</v>
      </c>
      <c r="C619" s="5">
        <v>2</v>
      </c>
      <c r="D619" s="5">
        <v>14</v>
      </c>
      <c r="E619" s="5">
        <v>0</v>
      </c>
      <c r="F619" s="5">
        <v>0</v>
      </c>
      <c r="G619" s="5">
        <v>0</v>
      </c>
      <c r="H619" s="5">
        <v>14</v>
      </c>
      <c r="I619" s="6">
        <v>1.5</v>
      </c>
      <c r="J619" s="6">
        <v>3.1</v>
      </c>
      <c r="K619" s="6">
        <v>7</v>
      </c>
      <c r="L619" s="6">
        <v>7</v>
      </c>
      <c r="M619" s="4" t="str">
        <f t="shared" si="27"/>
        <v>OK</v>
      </c>
      <c r="N619" s="7">
        <f t="shared" si="28"/>
        <v>9.2592592592592587E-3</v>
      </c>
      <c r="O619" s="7">
        <f>SUMIFS($D$2:D619,$B$2:B619,B619)/SUMIFS($D$2:$D$741,$B$2:$B$741,B619)</f>
        <v>0.9914021164021164</v>
      </c>
      <c r="P619" s="4" t="b">
        <f t="shared" si="29"/>
        <v>0</v>
      </c>
      <c r="Q619" s="2"/>
      <c r="R619" s="2"/>
      <c r="S619" s="2"/>
    </row>
    <row r="620" spans="1:19" x14ac:dyDescent="0.45">
      <c r="A620" s="4" t="s">
        <v>696</v>
      </c>
      <c r="B620" s="4" t="s">
        <v>686</v>
      </c>
      <c r="C620" s="5">
        <v>2</v>
      </c>
      <c r="D620" s="5">
        <v>7</v>
      </c>
      <c r="E620" s="5">
        <v>0</v>
      </c>
      <c r="F620" s="5">
        <v>0</v>
      </c>
      <c r="G620" s="5">
        <v>0</v>
      </c>
      <c r="H620" s="5">
        <v>7</v>
      </c>
      <c r="I620" s="6">
        <v>19</v>
      </c>
      <c r="J620" s="6">
        <v>17.3</v>
      </c>
      <c r="K620" s="6">
        <v>24</v>
      </c>
      <c r="L620" s="6">
        <v>24</v>
      </c>
      <c r="M620" s="4" t="str">
        <f t="shared" si="27"/>
        <v>OK</v>
      </c>
      <c r="N620" s="7">
        <f t="shared" si="28"/>
        <v>4.6296296296296294E-3</v>
      </c>
      <c r="O620" s="7">
        <f>SUMIFS($D$2:D620,$B$2:B620,B620)/SUMIFS($D$2:$D$741,$B$2:$B$741,B620)</f>
        <v>0.99603174603174605</v>
      </c>
      <c r="P620" s="4" t="b">
        <f t="shared" si="29"/>
        <v>0</v>
      </c>
      <c r="Q620" s="2"/>
      <c r="R620" s="2"/>
      <c r="S620" s="2"/>
    </row>
    <row r="621" spans="1:19" x14ac:dyDescent="0.45">
      <c r="A621" s="4" t="s">
        <v>697</v>
      </c>
      <c r="B621" s="4" t="s">
        <v>686</v>
      </c>
      <c r="C621" s="5">
        <v>1</v>
      </c>
      <c r="D621" s="5">
        <v>3</v>
      </c>
      <c r="E621" s="5">
        <v>2</v>
      </c>
      <c r="F621" s="5">
        <v>0</v>
      </c>
      <c r="G621" s="5">
        <v>0</v>
      </c>
      <c r="H621" s="5">
        <v>3</v>
      </c>
      <c r="I621" s="6">
        <v>4</v>
      </c>
      <c r="J621" s="6">
        <v>4</v>
      </c>
      <c r="K621" s="6">
        <v>5</v>
      </c>
      <c r="L621" s="6">
        <v>4.8</v>
      </c>
      <c r="M621" s="4" t="str">
        <f t="shared" si="27"/>
        <v>OK</v>
      </c>
      <c r="N621" s="7">
        <f t="shared" si="28"/>
        <v>1.984126984126984E-3</v>
      </c>
      <c r="O621" s="7">
        <f>SUMIFS($D$2:D621,$B$2:B621,B621)/SUMIFS($D$2:$D$741,$B$2:$B$741,B621)</f>
        <v>0.99801587301587302</v>
      </c>
      <c r="P621" s="4" t="b">
        <f t="shared" si="29"/>
        <v>0</v>
      </c>
      <c r="Q621" s="2"/>
      <c r="R621" s="2"/>
      <c r="S621" s="2"/>
    </row>
    <row r="622" spans="1:19" x14ac:dyDescent="0.45">
      <c r="A622" s="4" t="s">
        <v>698</v>
      </c>
      <c r="B622" s="4" t="s">
        <v>686</v>
      </c>
      <c r="C622" s="5">
        <v>1</v>
      </c>
      <c r="D622" s="5">
        <v>2</v>
      </c>
      <c r="E622" s="5">
        <v>0</v>
      </c>
      <c r="F622" s="5">
        <v>0</v>
      </c>
      <c r="G622" s="5">
        <v>0</v>
      </c>
      <c r="H622" s="5">
        <v>2</v>
      </c>
      <c r="I622" s="6">
        <v>36</v>
      </c>
      <c r="J622" s="6">
        <v>36</v>
      </c>
      <c r="K622" s="6">
        <v>49</v>
      </c>
      <c r="L622" s="6">
        <v>48.8</v>
      </c>
      <c r="M622" s="4" t="str">
        <f t="shared" si="27"/>
        <v>OK</v>
      </c>
      <c r="N622" s="7">
        <f t="shared" si="28"/>
        <v>1.3227513227513227E-3</v>
      </c>
      <c r="O622" s="7">
        <f>SUMIFS($D$2:D622,$B$2:B622,B622)/SUMIFS($D$2:$D$741,$B$2:$B$741,B622)</f>
        <v>0.9993386243386243</v>
      </c>
      <c r="P622" s="4" t="b">
        <f t="shared" si="29"/>
        <v>0</v>
      </c>
      <c r="Q622" s="2"/>
      <c r="R622" s="2"/>
      <c r="S622" s="2"/>
    </row>
    <row r="623" spans="1:19" x14ac:dyDescent="0.45">
      <c r="A623" s="4" t="s">
        <v>699</v>
      </c>
      <c r="B623" s="4" t="s">
        <v>686</v>
      </c>
      <c r="C623" s="5">
        <v>1</v>
      </c>
      <c r="D623" s="5">
        <v>1</v>
      </c>
      <c r="E623" s="5">
        <v>0</v>
      </c>
      <c r="F623" s="5">
        <v>0</v>
      </c>
      <c r="G623" s="5">
        <v>0</v>
      </c>
      <c r="H623" s="5">
        <v>1</v>
      </c>
      <c r="I623" s="6">
        <v>9</v>
      </c>
      <c r="J623" s="6">
        <v>9</v>
      </c>
      <c r="K623" s="6">
        <v>9</v>
      </c>
      <c r="L623" s="6">
        <v>9</v>
      </c>
      <c r="M623" s="4" t="str">
        <f t="shared" si="27"/>
        <v>OK</v>
      </c>
      <c r="N623" s="7">
        <f t="shared" si="28"/>
        <v>6.6137566137566134E-4</v>
      </c>
      <c r="O623" s="7">
        <f>SUMIFS($D$2:D623,$B$2:B623,B623)/SUMIFS($D$2:$D$741,$B$2:$B$741,B623)</f>
        <v>1</v>
      </c>
      <c r="P623" s="4" t="b">
        <f t="shared" si="29"/>
        <v>0</v>
      </c>
      <c r="Q623" s="2"/>
      <c r="R623" s="2"/>
      <c r="S623" s="2"/>
    </row>
    <row r="624" spans="1:19" x14ac:dyDescent="0.45">
      <c r="A624" s="9" t="s">
        <v>700</v>
      </c>
      <c r="B624" s="9" t="s">
        <v>701</v>
      </c>
      <c r="C624" s="10">
        <v>1</v>
      </c>
      <c r="D624" s="10">
        <v>332</v>
      </c>
      <c r="E624" s="10">
        <v>120</v>
      </c>
      <c r="F624" s="10">
        <v>15</v>
      </c>
      <c r="G624" s="10">
        <v>1</v>
      </c>
      <c r="H624" s="10">
        <v>317</v>
      </c>
      <c r="I624" s="11">
        <v>15</v>
      </c>
      <c r="J624" s="11">
        <v>17.7</v>
      </c>
      <c r="K624" s="11">
        <v>31</v>
      </c>
      <c r="L624" s="11">
        <v>30.8</v>
      </c>
      <c r="M624" s="9" t="str">
        <f t="shared" si="27"/>
        <v>OK</v>
      </c>
      <c r="N624" s="12">
        <f t="shared" si="28"/>
        <v>0.43342036553524804</v>
      </c>
      <c r="O624" s="12">
        <f>SUMIFS($D$2:D624,$B$2:B624,B624)/SUMIFS($D$2:$D$741,$B$2:$B$741,B624)</f>
        <v>0.43342036553524804</v>
      </c>
      <c r="P624" s="9" t="b">
        <f t="shared" si="29"/>
        <v>1</v>
      </c>
      <c r="Q624" s="2"/>
      <c r="R624" s="2"/>
      <c r="S624" s="2"/>
    </row>
    <row r="625" spans="1:19" x14ac:dyDescent="0.45">
      <c r="A625" s="4" t="s">
        <v>702</v>
      </c>
      <c r="B625" s="4" t="s">
        <v>701</v>
      </c>
      <c r="C625" s="5">
        <v>2</v>
      </c>
      <c r="D625" s="5">
        <v>161</v>
      </c>
      <c r="E625" s="5">
        <v>0</v>
      </c>
      <c r="F625" s="5">
        <v>1</v>
      </c>
      <c r="G625" s="5">
        <v>1</v>
      </c>
      <c r="H625" s="5">
        <v>160</v>
      </c>
      <c r="I625" s="6">
        <v>7</v>
      </c>
      <c r="J625" s="6">
        <v>42.9</v>
      </c>
      <c r="K625" s="6">
        <v>158</v>
      </c>
      <c r="L625" s="6">
        <v>158.4</v>
      </c>
      <c r="M625" s="4" t="str">
        <f t="shared" si="27"/>
        <v>OK</v>
      </c>
      <c r="N625" s="7">
        <f t="shared" si="28"/>
        <v>0.21018276762402088</v>
      </c>
      <c r="O625" s="7">
        <f>SUMIFS($D$2:D625,$B$2:B625,B625)/SUMIFS($D$2:$D$741,$B$2:$B$741,B625)</f>
        <v>0.64360313315926898</v>
      </c>
      <c r="P625" s="4" t="b">
        <f t="shared" si="29"/>
        <v>1</v>
      </c>
      <c r="Q625" s="2"/>
      <c r="R625" s="2"/>
      <c r="S625" s="2"/>
    </row>
    <row r="626" spans="1:19" x14ac:dyDescent="0.45">
      <c r="A626" s="4" t="s">
        <v>703</v>
      </c>
      <c r="B626" s="4" t="s">
        <v>701</v>
      </c>
      <c r="C626" s="5">
        <v>1</v>
      </c>
      <c r="D626" s="5">
        <v>154</v>
      </c>
      <c r="E626" s="5">
        <v>35</v>
      </c>
      <c r="F626" s="5">
        <v>0</v>
      </c>
      <c r="G626" s="5">
        <v>0</v>
      </c>
      <c r="H626" s="5">
        <v>154</v>
      </c>
      <c r="I626" s="6">
        <v>20</v>
      </c>
      <c r="J626" s="6">
        <v>26.1</v>
      </c>
      <c r="K626" s="6">
        <v>52</v>
      </c>
      <c r="L626" s="6">
        <v>52</v>
      </c>
      <c r="M626" s="4" t="str">
        <f t="shared" si="27"/>
        <v>OK</v>
      </c>
      <c r="N626" s="7">
        <f t="shared" si="28"/>
        <v>0.20104438642297651</v>
      </c>
      <c r="O626" s="7">
        <f>SUMIFS($D$2:D626,$B$2:B626,B626)/SUMIFS($D$2:$D$741,$B$2:$B$741,B626)</f>
        <v>0.84464751958224538</v>
      </c>
      <c r="P626" s="4" t="b">
        <f t="shared" si="29"/>
        <v>1</v>
      </c>
      <c r="Q626" s="2"/>
      <c r="R626" s="2"/>
      <c r="S626" s="2"/>
    </row>
    <row r="627" spans="1:19" x14ac:dyDescent="0.45">
      <c r="A627" s="4" t="s">
        <v>704</v>
      </c>
      <c r="B627" s="4" t="s">
        <v>701</v>
      </c>
      <c r="C627" s="5">
        <v>1</v>
      </c>
      <c r="D627" s="5">
        <v>99</v>
      </c>
      <c r="E627" s="5">
        <v>47</v>
      </c>
      <c r="F627" s="5">
        <v>2</v>
      </c>
      <c r="G627" s="5">
        <v>0</v>
      </c>
      <c r="H627" s="5">
        <v>97</v>
      </c>
      <c r="I627" s="6">
        <v>9</v>
      </c>
      <c r="J627" s="6">
        <v>12.7</v>
      </c>
      <c r="K627" s="6">
        <v>27</v>
      </c>
      <c r="L627" s="6">
        <v>27</v>
      </c>
      <c r="M627" s="4" t="str">
        <f t="shared" si="27"/>
        <v>OK</v>
      </c>
      <c r="N627" s="7">
        <f t="shared" si="28"/>
        <v>0.12924281984334204</v>
      </c>
      <c r="O627" s="7">
        <f>SUMIFS($D$2:D627,$B$2:B627,B627)/SUMIFS($D$2:$D$741,$B$2:$B$741,B627)</f>
        <v>0.97389033942558745</v>
      </c>
      <c r="P627" s="4" t="b">
        <f t="shared" si="29"/>
        <v>1</v>
      </c>
      <c r="Q627" s="2"/>
      <c r="R627" s="2"/>
      <c r="S627" s="2"/>
    </row>
    <row r="628" spans="1:19" x14ac:dyDescent="0.45">
      <c r="A628" s="4" t="s">
        <v>705</v>
      </c>
      <c r="B628" s="4" t="s">
        <v>701</v>
      </c>
      <c r="C628" s="5">
        <v>1</v>
      </c>
      <c r="D628" s="5">
        <v>11</v>
      </c>
      <c r="E628" s="5">
        <v>1</v>
      </c>
      <c r="F628" s="5">
        <v>1</v>
      </c>
      <c r="G628" s="5">
        <v>0</v>
      </c>
      <c r="H628" s="5">
        <v>10</v>
      </c>
      <c r="I628" s="6">
        <v>24</v>
      </c>
      <c r="J628" s="6">
        <v>31.1</v>
      </c>
      <c r="K628" s="6">
        <v>65</v>
      </c>
      <c r="L628" s="6">
        <v>64.900000000000006</v>
      </c>
      <c r="M628" s="4" t="str">
        <f t="shared" si="27"/>
        <v>OK</v>
      </c>
      <c r="N628" s="7">
        <f t="shared" si="28"/>
        <v>1.4360313315926894E-2</v>
      </c>
      <c r="O628" s="7">
        <f>SUMIFS($D$2:D628,$B$2:B628,B628)/SUMIFS($D$2:$D$741,$B$2:$B$741,B628)</f>
        <v>0.98825065274151436</v>
      </c>
      <c r="P628" s="4" t="b">
        <f t="shared" si="29"/>
        <v>0</v>
      </c>
      <c r="Q628" s="2"/>
      <c r="R628" s="2"/>
      <c r="S628" s="2"/>
    </row>
    <row r="629" spans="1:19" x14ac:dyDescent="0.45">
      <c r="A629" s="4" t="s">
        <v>706</v>
      </c>
      <c r="B629" s="4" t="s">
        <v>701</v>
      </c>
      <c r="C629" s="5">
        <v>1</v>
      </c>
      <c r="D629" s="5">
        <v>9</v>
      </c>
      <c r="E629" s="5">
        <v>3</v>
      </c>
      <c r="F629" s="5">
        <v>0</v>
      </c>
      <c r="G629" s="5">
        <v>0</v>
      </c>
      <c r="H629" s="5">
        <v>9</v>
      </c>
      <c r="I629" s="6">
        <v>14</v>
      </c>
      <c r="J629" s="6">
        <v>30.3</v>
      </c>
      <c r="K629" s="6">
        <v>81</v>
      </c>
      <c r="L629" s="6">
        <v>81.400000000000006</v>
      </c>
      <c r="M629" s="4" t="str">
        <f t="shared" si="27"/>
        <v>OK</v>
      </c>
      <c r="N629" s="7">
        <f t="shared" si="28"/>
        <v>1.1749347258485639E-2</v>
      </c>
      <c r="O629" s="7">
        <f>SUMIFS($D$2:D629,$B$2:B629,B629)/SUMIFS($D$2:$D$741,$B$2:$B$741,B629)</f>
        <v>1</v>
      </c>
      <c r="P629" s="4" t="b">
        <f t="shared" si="29"/>
        <v>0</v>
      </c>
      <c r="Q629" s="2"/>
      <c r="R629" s="2"/>
      <c r="S629" s="2"/>
    </row>
    <row r="630" spans="1:19" x14ac:dyDescent="0.45">
      <c r="A630" s="9" t="s">
        <v>707</v>
      </c>
      <c r="B630" s="9" t="s">
        <v>708</v>
      </c>
      <c r="C630" s="10">
        <v>1</v>
      </c>
      <c r="D630" s="10">
        <v>16747</v>
      </c>
      <c r="E630" s="10">
        <v>2104</v>
      </c>
      <c r="F630" s="10">
        <v>15</v>
      </c>
      <c r="G630" s="10">
        <v>15</v>
      </c>
      <c r="H630" s="10">
        <v>16732</v>
      </c>
      <c r="I630" s="11">
        <v>40</v>
      </c>
      <c r="J630" s="11">
        <v>53.7</v>
      </c>
      <c r="K630" s="11">
        <v>74</v>
      </c>
      <c r="L630" s="11">
        <v>74</v>
      </c>
      <c r="M630" s="9" t="str">
        <f t="shared" si="27"/>
        <v>OK</v>
      </c>
      <c r="N630" s="12">
        <f t="shared" si="28"/>
        <v>0.13936786391931028</v>
      </c>
      <c r="O630" s="12">
        <f>SUMIFS($D$2:D630,$B$2:B630,B630)/SUMIFS($D$2:$D$741,$B$2:$B$741,B630)</f>
        <v>0.13936786391931028</v>
      </c>
      <c r="P630" s="9" t="b">
        <f t="shared" si="29"/>
        <v>1</v>
      </c>
      <c r="Q630" s="2"/>
      <c r="R630" s="2"/>
      <c r="S630" s="2"/>
    </row>
    <row r="631" spans="1:19" x14ac:dyDescent="0.45">
      <c r="A631" s="4" t="s">
        <v>709</v>
      </c>
      <c r="B631" s="4" t="s">
        <v>708</v>
      </c>
      <c r="C631" s="5">
        <v>2</v>
      </c>
      <c r="D631" s="5">
        <v>10483</v>
      </c>
      <c r="E631" s="5">
        <v>0</v>
      </c>
      <c r="F631" s="5">
        <v>0</v>
      </c>
      <c r="G631" s="5">
        <v>0</v>
      </c>
      <c r="H631" s="5">
        <v>10483</v>
      </c>
      <c r="I631" s="6">
        <v>6</v>
      </c>
      <c r="J631" s="6">
        <v>6.5</v>
      </c>
      <c r="K631" s="6">
        <v>13</v>
      </c>
      <c r="L631" s="6">
        <v>13</v>
      </c>
      <c r="M631" s="4" t="str">
        <f t="shared" si="27"/>
        <v>OK</v>
      </c>
      <c r="N631" s="7">
        <f t="shared" si="28"/>
        <v>8.7239106554375681E-2</v>
      </c>
      <c r="O631" s="7">
        <f>SUMIFS($D$2:D631,$B$2:B631,B631)/SUMIFS($D$2:$D$741,$B$2:$B$741,B631)</f>
        <v>0.22660697047368597</v>
      </c>
      <c r="P631" s="4" t="b">
        <f t="shared" si="29"/>
        <v>1</v>
      </c>
      <c r="Q631" s="2"/>
      <c r="R631" s="2"/>
      <c r="S631" s="2"/>
    </row>
    <row r="632" spans="1:19" x14ac:dyDescent="0.45">
      <c r="A632" s="4" t="s">
        <v>710</v>
      </c>
      <c r="B632" s="4" t="s">
        <v>708</v>
      </c>
      <c r="C632" s="5">
        <v>1</v>
      </c>
      <c r="D632" s="5">
        <v>8419</v>
      </c>
      <c r="E632" s="5">
        <v>0</v>
      </c>
      <c r="F632" s="5">
        <v>0</v>
      </c>
      <c r="G632" s="5">
        <v>0</v>
      </c>
      <c r="H632" s="5">
        <v>8419</v>
      </c>
      <c r="I632" s="6">
        <v>3</v>
      </c>
      <c r="J632" s="6">
        <v>4.0999999999999996</v>
      </c>
      <c r="K632" s="6">
        <v>8</v>
      </c>
      <c r="L632" s="6">
        <v>8</v>
      </c>
      <c r="M632" s="4" t="str">
        <f t="shared" si="27"/>
        <v>OK</v>
      </c>
      <c r="N632" s="7">
        <f t="shared" si="28"/>
        <v>7.0062581139109889E-2</v>
      </c>
      <c r="O632" s="7">
        <f>SUMIFS($D$2:D632,$B$2:B632,B632)/SUMIFS($D$2:$D$741,$B$2:$B$741,B632)</f>
        <v>0.29666955161279585</v>
      </c>
      <c r="P632" s="4" t="b">
        <f t="shared" si="29"/>
        <v>1</v>
      </c>
      <c r="Q632" s="2"/>
      <c r="R632" s="2"/>
      <c r="S632" s="2"/>
    </row>
    <row r="633" spans="1:19" x14ac:dyDescent="0.45">
      <c r="A633" s="4" t="s">
        <v>711</v>
      </c>
      <c r="B633" s="4" t="s">
        <v>708</v>
      </c>
      <c r="C633" s="5">
        <v>2</v>
      </c>
      <c r="D633" s="5">
        <v>6382</v>
      </c>
      <c r="E633" s="5">
        <v>0</v>
      </c>
      <c r="F633" s="5">
        <v>0</v>
      </c>
      <c r="G633" s="5">
        <v>0</v>
      </c>
      <c r="H633" s="5">
        <v>6382</v>
      </c>
      <c r="I633" s="6">
        <v>2</v>
      </c>
      <c r="J633" s="6">
        <v>3.2</v>
      </c>
      <c r="K633" s="6">
        <v>6</v>
      </c>
      <c r="L633" s="6">
        <v>6</v>
      </c>
      <c r="M633" s="4" t="str">
        <f t="shared" si="27"/>
        <v>OK</v>
      </c>
      <c r="N633" s="7">
        <f t="shared" si="28"/>
        <v>5.3110748643520521E-2</v>
      </c>
      <c r="O633" s="7">
        <f>SUMIFS($D$2:D633,$B$2:B633,B633)/SUMIFS($D$2:$D$741,$B$2:$B$741,B633)</f>
        <v>0.34978030025631635</v>
      </c>
      <c r="P633" s="4" t="b">
        <f t="shared" si="29"/>
        <v>1</v>
      </c>
      <c r="Q633" s="2"/>
      <c r="R633" s="2"/>
      <c r="S633" s="2"/>
    </row>
    <row r="634" spans="1:19" x14ac:dyDescent="0.45">
      <c r="A634" s="4" t="s">
        <v>712</v>
      </c>
      <c r="B634" s="4" t="s">
        <v>708</v>
      </c>
      <c r="C634" s="5">
        <v>1</v>
      </c>
      <c r="D634" s="5">
        <v>6362</v>
      </c>
      <c r="E634" s="5">
        <v>0</v>
      </c>
      <c r="F634" s="5">
        <v>0</v>
      </c>
      <c r="G634" s="5">
        <v>0</v>
      </c>
      <c r="H634" s="5">
        <v>6362</v>
      </c>
      <c r="I634" s="6">
        <v>3</v>
      </c>
      <c r="J634" s="6">
        <v>4</v>
      </c>
      <c r="K634" s="6">
        <v>7</v>
      </c>
      <c r="L634" s="6">
        <v>7</v>
      </c>
      <c r="M634" s="4" t="str">
        <f t="shared" si="27"/>
        <v>OK</v>
      </c>
      <c r="N634" s="7">
        <f t="shared" si="28"/>
        <v>5.2944309443760197E-2</v>
      </c>
      <c r="O634" s="7">
        <f>SUMIFS($D$2:D634,$B$2:B634,B634)/SUMIFS($D$2:$D$741,$B$2:$B$741,B634)</f>
        <v>0.40272460970007656</v>
      </c>
      <c r="P634" s="4" t="b">
        <f t="shared" si="29"/>
        <v>1</v>
      </c>
      <c r="Q634" s="2"/>
      <c r="R634" s="2"/>
      <c r="S634" s="2"/>
    </row>
    <row r="635" spans="1:19" x14ac:dyDescent="0.45">
      <c r="A635" s="4" t="s">
        <v>713</v>
      </c>
      <c r="B635" s="4" t="s">
        <v>708</v>
      </c>
      <c r="C635" s="5">
        <v>1</v>
      </c>
      <c r="D635" s="5">
        <v>6188</v>
      </c>
      <c r="E635" s="5">
        <v>0</v>
      </c>
      <c r="F635" s="5">
        <v>0</v>
      </c>
      <c r="G635" s="5">
        <v>0</v>
      </c>
      <c r="H635" s="5">
        <v>6188</v>
      </c>
      <c r="I635" s="6">
        <v>3</v>
      </c>
      <c r="J635" s="6">
        <v>3.7</v>
      </c>
      <c r="K635" s="6">
        <v>7</v>
      </c>
      <c r="L635" s="6">
        <v>7</v>
      </c>
      <c r="M635" s="4" t="str">
        <f t="shared" si="27"/>
        <v>OK</v>
      </c>
      <c r="N635" s="7">
        <f t="shared" si="28"/>
        <v>5.1496288405845345E-2</v>
      </c>
      <c r="O635" s="7">
        <f>SUMIFS($D$2:D635,$B$2:B635,B635)/SUMIFS($D$2:$D$741,$B$2:$B$741,B635)</f>
        <v>0.45422089810592192</v>
      </c>
      <c r="P635" s="4" t="b">
        <f t="shared" si="29"/>
        <v>1</v>
      </c>
      <c r="Q635" s="2"/>
      <c r="R635" s="2"/>
      <c r="S635" s="2"/>
    </row>
    <row r="636" spans="1:19" x14ac:dyDescent="0.45">
      <c r="A636" s="4" t="s">
        <v>714</v>
      </c>
      <c r="B636" s="4" t="s">
        <v>708</v>
      </c>
      <c r="C636" s="5">
        <v>2</v>
      </c>
      <c r="D636" s="5">
        <v>6067</v>
      </c>
      <c r="E636" s="5">
        <v>0</v>
      </c>
      <c r="F636" s="5">
        <v>0</v>
      </c>
      <c r="G636" s="5">
        <v>0</v>
      </c>
      <c r="H636" s="5">
        <v>6067</v>
      </c>
      <c r="I636" s="6">
        <v>3</v>
      </c>
      <c r="J636" s="6">
        <v>3.6</v>
      </c>
      <c r="K636" s="6">
        <v>7</v>
      </c>
      <c r="L636" s="6">
        <v>7</v>
      </c>
      <c r="M636" s="4" t="str">
        <f t="shared" si="27"/>
        <v>OK</v>
      </c>
      <c r="N636" s="7">
        <f t="shared" si="28"/>
        <v>5.0489331247295363E-2</v>
      </c>
      <c r="O636" s="7">
        <f>SUMIFS($D$2:D636,$B$2:B636,B636)/SUMIFS($D$2:$D$741,$B$2:$B$741,B636)</f>
        <v>0.5047102293532173</v>
      </c>
      <c r="P636" s="4" t="b">
        <f t="shared" si="29"/>
        <v>1</v>
      </c>
      <c r="Q636" s="2"/>
      <c r="R636" s="2"/>
      <c r="S636" s="2"/>
    </row>
    <row r="637" spans="1:19" x14ac:dyDescent="0.45">
      <c r="A637" s="4" t="s">
        <v>715</v>
      </c>
      <c r="B637" s="4" t="s">
        <v>708</v>
      </c>
      <c r="C637" s="5">
        <v>1</v>
      </c>
      <c r="D637" s="5">
        <v>3703</v>
      </c>
      <c r="E637" s="5">
        <v>832</v>
      </c>
      <c r="F637" s="5">
        <v>16</v>
      </c>
      <c r="G637" s="5">
        <v>1</v>
      </c>
      <c r="H637" s="5">
        <v>3679</v>
      </c>
      <c r="I637" s="6">
        <v>2</v>
      </c>
      <c r="J637" s="6">
        <v>22.6</v>
      </c>
      <c r="K637" s="6">
        <v>41</v>
      </c>
      <c r="L637" s="6">
        <v>41</v>
      </c>
      <c r="M637" s="4" t="str">
        <f t="shared" si="27"/>
        <v>OK</v>
      </c>
      <c r="N637" s="7">
        <f t="shared" si="28"/>
        <v>3.0816217835624646E-2</v>
      </c>
      <c r="O637" s="7">
        <f>SUMIFS($D$2:D637,$B$2:B637,B637)/SUMIFS($D$2:$D$741,$B$2:$B$741,B637)</f>
        <v>0.5355264471888419</v>
      </c>
      <c r="P637" s="4" t="b">
        <f t="shared" si="29"/>
        <v>1</v>
      </c>
      <c r="Q637" s="2"/>
      <c r="R637" s="2"/>
      <c r="S637" s="2"/>
    </row>
    <row r="638" spans="1:19" x14ac:dyDescent="0.45">
      <c r="A638" s="4" t="s">
        <v>716</v>
      </c>
      <c r="B638" s="4" t="s">
        <v>708</v>
      </c>
      <c r="C638" s="5">
        <v>1</v>
      </c>
      <c r="D638" s="5">
        <v>3699</v>
      </c>
      <c r="E638" s="5">
        <v>0</v>
      </c>
      <c r="F638" s="5">
        <v>0</v>
      </c>
      <c r="G638" s="5">
        <v>0</v>
      </c>
      <c r="H638" s="5">
        <v>3699</v>
      </c>
      <c r="I638" s="6">
        <v>4</v>
      </c>
      <c r="J638" s="6">
        <v>4.0999999999999996</v>
      </c>
      <c r="K638" s="6">
        <v>8</v>
      </c>
      <c r="L638" s="6">
        <v>8</v>
      </c>
      <c r="M638" s="4" t="str">
        <f t="shared" si="27"/>
        <v>OK</v>
      </c>
      <c r="N638" s="7">
        <f t="shared" si="28"/>
        <v>3.078292999567258E-2</v>
      </c>
      <c r="O638" s="7">
        <f>SUMIFS($D$2:D638,$B$2:B638,B638)/SUMIFS($D$2:$D$741,$B$2:$B$741,B638)</f>
        <v>0.56630937718451446</v>
      </c>
      <c r="P638" s="4" t="b">
        <f t="shared" si="29"/>
        <v>1</v>
      </c>
      <c r="Q638" s="2"/>
      <c r="R638" s="2"/>
      <c r="S638" s="2"/>
    </row>
    <row r="639" spans="1:19" x14ac:dyDescent="0.45">
      <c r="A639" s="4" t="s">
        <v>717</v>
      </c>
      <c r="B639" s="4" t="s">
        <v>708</v>
      </c>
      <c r="C639" s="5">
        <v>1</v>
      </c>
      <c r="D639" s="5">
        <v>3594</v>
      </c>
      <c r="E639" s="5">
        <v>0</v>
      </c>
      <c r="F639" s="5">
        <v>0</v>
      </c>
      <c r="G639" s="5">
        <v>0</v>
      </c>
      <c r="H639" s="5">
        <v>3594</v>
      </c>
      <c r="I639" s="6">
        <v>3</v>
      </c>
      <c r="J639" s="6">
        <v>3.8</v>
      </c>
      <c r="K639" s="6">
        <v>7</v>
      </c>
      <c r="L639" s="6">
        <v>7</v>
      </c>
      <c r="M639" s="4" t="str">
        <f t="shared" si="27"/>
        <v>OK</v>
      </c>
      <c r="N639" s="7">
        <f t="shared" si="28"/>
        <v>2.9909124196930863E-2</v>
      </c>
      <c r="O639" s="7">
        <f>SUMIFS($D$2:D639,$B$2:B639,B639)/SUMIFS($D$2:$D$741,$B$2:$B$741,B639)</f>
        <v>0.59621850138144539</v>
      </c>
      <c r="P639" s="4" t="b">
        <f t="shared" si="29"/>
        <v>1</v>
      </c>
      <c r="Q639" s="2"/>
      <c r="R639" s="2"/>
      <c r="S639" s="2"/>
    </row>
    <row r="640" spans="1:19" x14ac:dyDescent="0.45">
      <c r="A640" s="4" t="s">
        <v>718</v>
      </c>
      <c r="B640" s="4" t="s">
        <v>708</v>
      </c>
      <c r="C640" s="5">
        <v>1</v>
      </c>
      <c r="D640" s="5">
        <v>3523</v>
      </c>
      <c r="E640" s="5">
        <v>0</v>
      </c>
      <c r="F640" s="5">
        <v>1</v>
      </c>
      <c r="G640" s="5">
        <v>1</v>
      </c>
      <c r="H640" s="5">
        <v>3522</v>
      </c>
      <c r="I640" s="6">
        <v>0</v>
      </c>
      <c r="J640" s="6">
        <v>4.4000000000000004</v>
      </c>
      <c r="K640" s="6">
        <v>3</v>
      </c>
      <c r="L640" s="6">
        <v>3</v>
      </c>
      <c r="M640" s="4" t="str">
        <f t="shared" si="27"/>
        <v>OK</v>
      </c>
      <c r="N640" s="7">
        <f t="shared" si="28"/>
        <v>2.9318265037781698E-2</v>
      </c>
      <c r="O640" s="7">
        <f>SUMIFS($D$2:D640,$B$2:B640,B640)/SUMIFS($D$2:$D$741,$B$2:$B$741,B640)</f>
        <v>0.62553676641922706</v>
      </c>
      <c r="P640" s="4" t="b">
        <f t="shared" si="29"/>
        <v>1</v>
      </c>
      <c r="Q640" s="2"/>
      <c r="R640" s="2"/>
      <c r="S640" s="2"/>
    </row>
    <row r="641" spans="1:19" x14ac:dyDescent="0.45">
      <c r="A641" s="4" t="s">
        <v>719</v>
      </c>
      <c r="B641" s="4" t="s">
        <v>708</v>
      </c>
      <c r="C641" s="5">
        <v>1</v>
      </c>
      <c r="D641" s="5">
        <v>3510</v>
      </c>
      <c r="E641" s="5">
        <v>797</v>
      </c>
      <c r="F641" s="5">
        <v>4</v>
      </c>
      <c r="G641" s="5">
        <v>0</v>
      </c>
      <c r="H641" s="5">
        <v>3506</v>
      </c>
      <c r="I641" s="6">
        <v>0</v>
      </c>
      <c r="J641" s="6">
        <v>7.3</v>
      </c>
      <c r="K641" s="6">
        <v>3</v>
      </c>
      <c r="L641" s="6">
        <v>3</v>
      </c>
      <c r="M641" s="4" t="str">
        <f t="shared" si="27"/>
        <v>OK</v>
      </c>
      <c r="N641" s="7">
        <f t="shared" si="28"/>
        <v>2.9210079557937484E-2</v>
      </c>
      <c r="O641" s="7">
        <f>SUMIFS($D$2:D641,$B$2:B641,B641)/SUMIFS($D$2:$D$741,$B$2:$B$741,B641)</f>
        <v>0.65474684597716459</v>
      </c>
      <c r="P641" s="4" t="b">
        <f t="shared" si="29"/>
        <v>1</v>
      </c>
      <c r="Q641" s="2"/>
      <c r="R641" s="2"/>
      <c r="S641" s="2"/>
    </row>
    <row r="642" spans="1:19" x14ac:dyDescent="0.45">
      <c r="A642" s="4" t="s">
        <v>720</v>
      </c>
      <c r="B642" s="4" t="s">
        <v>708</v>
      </c>
      <c r="C642" s="5">
        <v>1</v>
      </c>
      <c r="D642" s="5">
        <v>3491</v>
      </c>
      <c r="E642" s="5">
        <v>0</v>
      </c>
      <c r="F642" s="5">
        <v>0</v>
      </c>
      <c r="G642" s="5">
        <v>0</v>
      </c>
      <c r="H642" s="5">
        <v>3491</v>
      </c>
      <c r="I642" s="6">
        <v>6</v>
      </c>
      <c r="J642" s="6">
        <v>6.1</v>
      </c>
      <c r="K642" s="6">
        <v>10</v>
      </c>
      <c r="L642" s="6">
        <v>10</v>
      </c>
      <c r="M642" s="4" t="str">
        <f t="shared" ref="M642:M705" si="30">IF(AND(K642="",L642=""),"No closed tickets",IF(K642="","MISSING in catalog",IF(L642="","No valid closed tickets",IF(AND(ABS(K642-L642)&gt;=$S$3,ABS(K642-L642)&gt;=$S$4*MAX(L642,1)),"FAR OFF","OK"))))</f>
        <v>OK</v>
      </c>
      <c r="N642" s="7">
        <f t="shared" ref="N642:N705" si="31">D642/SUMIFS($D$2:$D$741,$B$2:$B$741,B642)</f>
        <v>2.9051962318165175E-2</v>
      </c>
      <c r="O642" s="7">
        <f>SUMIFS($D$2:D642,$B$2:B642,B642)/SUMIFS($D$2:$D$741,$B$2:$B$741,B642)</f>
        <v>0.68379880829532969</v>
      </c>
      <c r="P642" s="4" t="b">
        <f t="shared" ref="P642:P705" si="32">O642-N642&lt;$S$2</f>
        <v>1</v>
      </c>
      <c r="Q642" s="2"/>
      <c r="R642" s="2"/>
      <c r="S642" s="2"/>
    </row>
    <row r="643" spans="1:19" x14ac:dyDescent="0.45">
      <c r="A643" s="4" t="s">
        <v>721</v>
      </c>
      <c r="B643" s="4" t="s">
        <v>708</v>
      </c>
      <c r="C643" s="5">
        <v>2</v>
      </c>
      <c r="D643" s="5">
        <v>3328</v>
      </c>
      <c r="E643" s="5">
        <v>0</v>
      </c>
      <c r="F643" s="5">
        <v>0</v>
      </c>
      <c r="G643" s="5">
        <v>0</v>
      </c>
      <c r="H643" s="5">
        <v>3328</v>
      </c>
      <c r="I643" s="6">
        <v>3</v>
      </c>
      <c r="J643" s="6">
        <v>3.7</v>
      </c>
      <c r="K643" s="6">
        <v>7</v>
      </c>
      <c r="L643" s="6">
        <v>7</v>
      </c>
      <c r="M643" s="4" t="str">
        <f t="shared" si="30"/>
        <v>OK</v>
      </c>
      <c r="N643" s="7">
        <f t="shared" si="31"/>
        <v>2.7695482840118503E-2</v>
      </c>
      <c r="O643" s="7">
        <f>SUMIFS($D$2:D643,$B$2:B643,B643)/SUMIFS($D$2:$D$741,$B$2:$B$741,B643)</f>
        <v>0.71149429113544826</v>
      </c>
      <c r="P643" s="4" t="b">
        <f t="shared" si="32"/>
        <v>1</v>
      </c>
      <c r="Q643" s="2"/>
      <c r="R643" s="2"/>
      <c r="S643" s="2"/>
    </row>
    <row r="644" spans="1:19" x14ac:dyDescent="0.45">
      <c r="A644" s="4" t="s">
        <v>722</v>
      </c>
      <c r="B644" s="4" t="s">
        <v>708</v>
      </c>
      <c r="C644" s="5">
        <v>1</v>
      </c>
      <c r="D644" s="5">
        <v>3132</v>
      </c>
      <c r="E644" s="5">
        <v>741</v>
      </c>
      <c r="F644" s="5">
        <v>7</v>
      </c>
      <c r="G644" s="5">
        <v>0</v>
      </c>
      <c r="H644" s="5">
        <v>3125</v>
      </c>
      <c r="I644" s="6">
        <v>4</v>
      </c>
      <c r="J644" s="6">
        <v>8.8000000000000007</v>
      </c>
      <c r="K644" s="6">
        <v>12</v>
      </c>
      <c r="L644" s="6">
        <v>12</v>
      </c>
      <c r="M644" s="4" t="str">
        <f t="shared" si="30"/>
        <v>OK</v>
      </c>
      <c r="N644" s="7">
        <f t="shared" si="31"/>
        <v>2.6064378682467294E-2</v>
      </c>
      <c r="O644" s="7">
        <f>SUMIFS($D$2:D644,$B$2:B644,B644)/SUMIFS($D$2:$D$741,$B$2:$B$741,B644)</f>
        <v>0.73755866981791551</v>
      </c>
      <c r="P644" s="4" t="b">
        <f t="shared" si="32"/>
        <v>1</v>
      </c>
      <c r="Q644" s="2"/>
      <c r="R644" s="2"/>
      <c r="S644" s="2"/>
    </row>
    <row r="645" spans="1:19" x14ac:dyDescent="0.45">
      <c r="A645" s="4" t="s">
        <v>723</v>
      </c>
      <c r="B645" s="4" t="s">
        <v>708</v>
      </c>
      <c r="C645" s="5">
        <v>1</v>
      </c>
      <c r="D645" s="5">
        <v>3117</v>
      </c>
      <c r="E645" s="5">
        <v>0</v>
      </c>
      <c r="F645" s="5">
        <v>0</v>
      </c>
      <c r="G645" s="5">
        <v>0</v>
      </c>
      <c r="H645" s="5">
        <v>3117</v>
      </c>
      <c r="I645" s="6">
        <v>3</v>
      </c>
      <c r="J645" s="6">
        <v>3.7</v>
      </c>
      <c r="K645" s="6">
        <v>8</v>
      </c>
      <c r="L645" s="6">
        <v>8</v>
      </c>
      <c r="M645" s="4" t="str">
        <f t="shared" si="30"/>
        <v>OK</v>
      </c>
      <c r="N645" s="7">
        <f t="shared" si="31"/>
        <v>2.5939549282647047E-2</v>
      </c>
      <c r="O645" s="7">
        <f>SUMIFS($D$2:D645,$B$2:B645,B645)/SUMIFS($D$2:$D$741,$B$2:$B$741,B645)</f>
        <v>0.76349821910056259</v>
      </c>
      <c r="P645" s="4" t="b">
        <f t="shared" si="32"/>
        <v>1</v>
      </c>
      <c r="Q645" s="2"/>
      <c r="R645" s="2"/>
      <c r="S645" s="2"/>
    </row>
    <row r="646" spans="1:19" x14ac:dyDescent="0.45">
      <c r="A646" s="4" t="s">
        <v>724</v>
      </c>
      <c r="B646" s="4" t="s">
        <v>708</v>
      </c>
      <c r="C646" s="5">
        <v>1</v>
      </c>
      <c r="D646" s="5">
        <v>3112</v>
      </c>
      <c r="E646" s="5">
        <v>0</v>
      </c>
      <c r="F646" s="5">
        <v>0</v>
      </c>
      <c r="G646" s="5">
        <v>0</v>
      </c>
      <c r="H646" s="5">
        <v>3112</v>
      </c>
      <c r="I646" s="6">
        <v>4</v>
      </c>
      <c r="J646" s="6">
        <v>4.4000000000000004</v>
      </c>
      <c r="K646" s="6">
        <v>8</v>
      </c>
      <c r="L646" s="6">
        <v>8</v>
      </c>
      <c r="M646" s="4" t="str">
        <f t="shared" si="30"/>
        <v>OK</v>
      </c>
      <c r="N646" s="7">
        <f t="shared" si="31"/>
        <v>2.5897939482706966E-2</v>
      </c>
      <c r="O646" s="7">
        <f>SUMIFS($D$2:D646,$B$2:B646,B646)/SUMIFS($D$2:$D$741,$B$2:$B$741,B646)</f>
        <v>0.7893961585832695</v>
      </c>
      <c r="P646" s="4" t="b">
        <f t="shared" si="32"/>
        <v>1</v>
      </c>
      <c r="Q646" s="2"/>
      <c r="R646" s="2"/>
      <c r="S646" s="2"/>
    </row>
    <row r="647" spans="1:19" x14ac:dyDescent="0.45">
      <c r="A647" s="4" t="s">
        <v>725</v>
      </c>
      <c r="B647" s="4" t="s">
        <v>708</v>
      </c>
      <c r="C647" s="5">
        <v>2</v>
      </c>
      <c r="D647" s="5">
        <v>3003</v>
      </c>
      <c r="E647" s="5">
        <v>0</v>
      </c>
      <c r="F647" s="5">
        <v>0</v>
      </c>
      <c r="G647" s="5">
        <v>0</v>
      </c>
      <c r="H647" s="5">
        <v>3003</v>
      </c>
      <c r="I647" s="6">
        <v>0</v>
      </c>
      <c r="J647" s="6">
        <v>0.4</v>
      </c>
      <c r="K647" s="6">
        <v>1</v>
      </c>
      <c r="L647" s="6">
        <v>1</v>
      </c>
      <c r="M647" s="4" t="str">
        <f t="shared" si="30"/>
        <v>OK</v>
      </c>
      <c r="N647" s="7">
        <f t="shared" si="31"/>
        <v>2.4990845844013183E-2</v>
      </c>
      <c r="O647" s="7">
        <f>SUMIFS($D$2:D647,$B$2:B647,B647)/SUMIFS($D$2:$D$741,$B$2:$B$741,B647)</f>
        <v>0.81438700442728273</v>
      </c>
      <c r="P647" s="4" t="b">
        <f t="shared" si="32"/>
        <v>1</v>
      </c>
      <c r="Q647" s="2"/>
      <c r="R647" s="2"/>
      <c r="S647" s="2"/>
    </row>
    <row r="648" spans="1:19" x14ac:dyDescent="0.45">
      <c r="A648" s="4" t="s">
        <v>726</v>
      </c>
      <c r="B648" s="4" t="s">
        <v>708</v>
      </c>
      <c r="C648" s="5">
        <v>1</v>
      </c>
      <c r="D648" s="5">
        <v>2966</v>
      </c>
      <c r="E648" s="5">
        <v>763</v>
      </c>
      <c r="F648" s="5">
        <v>6</v>
      </c>
      <c r="G648" s="5">
        <v>0</v>
      </c>
      <c r="H648" s="5">
        <v>2960</v>
      </c>
      <c r="I648" s="6">
        <v>1</v>
      </c>
      <c r="J648" s="6">
        <v>6.6</v>
      </c>
      <c r="K648" s="6">
        <v>7</v>
      </c>
      <c r="L648" s="6">
        <v>7</v>
      </c>
      <c r="M648" s="4" t="str">
        <f t="shared" si="30"/>
        <v>OK</v>
      </c>
      <c r="N648" s="7">
        <f t="shared" si="31"/>
        <v>2.4682933324456577E-2</v>
      </c>
      <c r="O648" s="7">
        <f>SUMIFS($D$2:D648,$B$2:B648,B648)/SUMIFS($D$2:$D$741,$B$2:$B$741,B648)</f>
        <v>0.83906993775173933</v>
      </c>
      <c r="P648" s="4" t="b">
        <f t="shared" si="32"/>
        <v>1</v>
      </c>
      <c r="Q648" s="2"/>
      <c r="R648" s="2"/>
      <c r="S648" s="2"/>
    </row>
    <row r="649" spans="1:19" x14ac:dyDescent="0.45">
      <c r="A649" s="4" t="s">
        <v>727</v>
      </c>
      <c r="B649" s="4" t="s">
        <v>708</v>
      </c>
      <c r="C649" s="5">
        <v>2</v>
      </c>
      <c r="D649" s="5">
        <v>2864</v>
      </c>
      <c r="E649" s="5">
        <v>0</v>
      </c>
      <c r="F649" s="5">
        <v>0</v>
      </c>
      <c r="G649" s="5">
        <v>0</v>
      </c>
      <c r="H649" s="5">
        <v>2864</v>
      </c>
      <c r="I649" s="6">
        <v>3</v>
      </c>
      <c r="J649" s="6">
        <v>3.9</v>
      </c>
      <c r="K649" s="6">
        <v>7</v>
      </c>
      <c r="L649" s="6">
        <v>7</v>
      </c>
      <c r="M649" s="4" t="str">
        <f t="shared" si="30"/>
        <v>OK</v>
      </c>
      <c r="N649" s="7">
        <f t="shared" si="31"/>
        <v>2.3834093405678904E-2</v>
      </c>
      <c r="O649" s="7">
        <f>SUMIFS($D$2:D649,$B$2:B649,B649)/SUMIFS($D$2:$D$741,$B$2:$B$741,B649)</f>
        <v>0.86290403115741821</v>
      </c>
      <c r="P649" s="4" t="b">
        <f t="shared" si="32"/>
        <v>1</v>
      </c>
      <c r="Q649" s="2"/>
      <c r="R649" s="2"/>
      <c r="S649" s="2"/>
    </row>
    <row r="650" spans="1:19" x14ac:dyDescent="0.45">
      <c r="A650" s="4" t="s">
        <v>728</v>
      </c>
      <c r="B650" s="4" t="s">
        <v>708</v>
      </c>
      <c r="C650" s="5">
        <v>1</v>
      </c>
      <c r="D650" s="5">
        <v>2833</v>
      </c>
      <c r="E650" s="5">
        <v>0</v>
      </c>
      <c r="F650" s="5">
        <v>0</v>
      </c>
      <c r="G650" s="5">
        <v>0</v>
      </c>
      <c r="H650" s="5">
        <v>2833</v>
      </c>
      <c r="I650" s="6">
        <v>0</v>
      </c>
      <c r="J650" s="6">
        <v>0.4</v>
      </c>
      <c r="K650" s="6">
        <v>1</v>
      </c>
      <c r="L650" s="6">
        <v>1</v>
      </c>
      <c r="M650" s="4" t="str">
        <f t="shared" si="30"/>
        <v>OK</v>
      </c>
      <c r="N650" s="7">
        <f t="shared" si="31"/>
        <v>2.3576112646050397E-2</v>
      </c>
      <c r="O650" s="7">
        <f>SUMIFS($D$2:D650,$B$2:B650,B650)/SUMIFS($D$2:$D$741,$B$2:$B$741,B650)</f>
        <v>0.88648014380346862</v>
      </c>
      <c r="P650" s="4" t="b">
        <f t="shared" si="32"/>
        <v>1</v>
      </c>
      <c r="Q650" s="2"/>
      <c r="R650" s="2"/>
      <c r="S650" s="2"/>
    </row>
    <row r="651" spans="1:19" x14ac:dyDescent="0.45">
      <c r="A651" s="4" t="s">
        <v>729</v>
      </c>
      <c r="B651" s="4" t="s">
        <v>708</v>
      </c>
      <c r="C651" s="5">
        <v>2</v>
      </c>
      <c r="D651" s="5">
        <v>2517</v>
      </c>
      <c r="E651" s="5">
        <v>0</v>
      </c>
      <c r="F651" s="5">
        <v>0</v>
      </c>
      <c r="G651" s="5">
        <v>0</v>
      </c>
      <c r="H651" s="5">
        <v>2517</v>
      </c>
      <c r="I651" s="6">
        <v>2</v>
      </c>
      <c r="J651" s="6">
        <v>3.5</v>
      </c>
      <c r="K651" s="6">
        <v>9</v>
      </c>
      <c r="L651" s="6">
        <v>9</v>
      </c>
      <c r="M651" s="4" t="str">
        <f t="shared" si="30"/>
        <v>OK</v>
      </c>
      <c r="N651" s="7">
        <f t="shared" si="31"/>
        <v>2.0946373289837221E-2</v>
      </c>
      <c r="O651" s="7">
        <f>SUMIFS($D$2:D651,$B$2:B651,B651)/SUMIFS($D$2:$D$741,$B$2:$B$741,B651)</f>
        <v>0.9074265170933058</v>
      </c>
      <c r="P651" s="4" t="b">
        <f t="shared" si="32"/>
        <v>1</v>
      </c>
      <c r="Q651" s="2"/>
      <c r="R651" s="2"/>
      <c r="S651" s="2"/>
    </row>
    <row r="652" spans="1:19" x14ac:dyDescent="0.45">
      <c r="A652" s="4" t="s">
        <v>730</v>
      </c>
      <c r="B652" s="4" t="s">
        <v>708</v>
      </c>
      <c r="C652" s="5">
        <v>1</v>
      </c>
      <c r="D652" s="5">
        <v>2394</v>
      </c>
      <c r="E652" s="5">
        <v>2365</v>
      </c>
      <c r="F652" s="5">
        <v>781</v>
      </c>
      <c r="G652" s="5">
        <v>94</v>
      </c>
      <c r="H652" s="5">
        <v>1613</v>
      </c>
      <c r="I652" s="6">
        <v>40</v>
      </c>
      <c r="J652" s="6">
        <v>41.7</v>
      </c>
      <c r="K652" s="6">
        <v>57</v>
      </c>
      <c r="L652" s="6">
        <v>57</v>
      </c>
      <c r="M652" s="4" t="str">
        <f t="shared" si="30"/>
        <v>OK</v>
      </c>
      <c r="N652" s="7">
        <f t="shared" si="31"/>
        <v>1.9922772211311206E-2</v>
      </c>
      <c r="O652" s="7">
        <f>SUMIFS($D$2:D652,$B$2:B652,B652)/SUMIFS($D$2:$D$741,$B$2:$B$741,B652)</f>
        <v>0.92734928930461702</v>
      </c>
      <c r="P652" s="4" t="b">
        <f t="shared" si="32"/>
        <v>1</v>
      </c>
      <c r="Q652" s="2"/>
      <c r="R652" s="2"/>
      <c r="S652" s="2"/>
    </row>
    <row r="653" spans="1:19" x14ac:dyDescent="0.45">
      <c r="A653" s="4" t="s">
        <v>731</v>
      </c>
      <c r="B653" s="4" t="s">
        <v>708</v>
      </c>
      <c r="C653" s="5">
        <v>1</v>
      </c>
      <c r="D653" s="5">
        <v>1536</v>
      </c>
      <c r="E653" s="5">
        <v>170</v>
      </c>
      <c r="F653" s="5">
        <v>0</v>
      </c>
      <c r="G653" s="5">
        <v>0</v>
      </c>
      <c r="H653" s="5">
        <v>1536</v>
      </c>
      <c r="I653" s="6">
        <v>1</v>
      </c>
      <c r="J653" s="6">
        <v>7.1</v>
      </c>
      <c r="K653" s="6">
        <v>7</v>
      </c>
      <c r="L653" s="6">
        <v>7</v>
      </c>
      <c r="M653" s="4" t="str">
        <f t="shared" si="30"/>
        <v>OK</v>
      </c>
      <c r="N653" s="7">
        <f t="shared" si="31"/>
        <v>1.2782530541593156E-2</v>
      </c>
      <c r="O653" s="7">
        <f>SUMIFS($D$2:D653,$B$2:B653,B653)/SUMIFS($D$2:$D$741,$B$2:$B$741,B653)</f>
        <v>0.94013181984621019</v>
      </c>
      <c r="P653" s="4" t="b">
        <f t="shared" si="32"/>
        <v>1</v>
      </c>
      <c r="Q653" s="2"/>
      <c r="R653" s="2"/>
      <c r="S653" s="2"/>
    </row>
    <row r="654" spans="1:19" x14ac:dyDescent="0.45">
      <c r="A654" s="4" t="s">
        <v>732</v>
      </c>
      <c r="B654" s="4" t="s">
        <v>708</v>
      </c>
      <c r="C654" s="5">
        <v>1</v>
      </c>
      <c r="D654" s="5">
        <v>1209</v>
      </c>
      <c r="E654" s="5">
        <v>544</v>
      </c>
      <c r="F654" s="5">
        <v>74</v>
      </c>
      <c r="G654" s="5">
        <v>26</v>
      </c>
      <c r="H654" s="5">
        <v>1135</v>
      </c>
      <c r="I654" s="6">
        <v>7</v>
      </c>
      <c r="J654" s="6">
        <v>15.8</v>
      </c>
      <c r="K654" s="6">
        <v>39</v>
      </c>
      <c r="L654" s="6">
        <v>39.200000000000003</v>
      </c>
      <c r="M654" s="4" t="str">
        <f t="shared" si="30"/>
        <v>OK</v>
      </c>
      <c r="N654" s="7">
        <f t="shared" si="31"/>
        <v>1.00612496255118E-2</v>
      </c>
      <c r="O654" s="7">
        <f>SUMIFS($D$2:D654,$B$2:B654,B654)/SUMIFS($D$2:$D$741,$B$2:$B$741,B654)</f>
        <v>0.950193069471722</v>
      </c>
      <c r="P654" s="4" t="b">
        <f t="shared" si="32"/>
        <v>1</v>
      </c>
      <c r="Q654" s="2"/>
      <c r="R654" s="2"/>
      <c r="S654" s="2"/>
    </row>
    <row r="655" spans="1:19" x14ac:dyDescent="0.45">
      <c r="A655" s="4" t="s">
        <v>733</v>
      </c>
      <c r="B655" s="4" t="s">
        <v>708</v>
      </c>
      <c r="C655" s="5">
        <v>2</v>
      </c>
      <c r="D655" s="5">
        <v>805</v>
      </c>
      <c r="E655" s="5">
        <v>0</v>
      </c>
      <c r="F655" s="5">
        <v>0</v>
      </c>
      <c r="G655" s="5">
        <v>0</v>
      </c>
      <c r="H655" s="5">
        <v>805</v>
      </c>
      <c r="I655" s="6">
        <v>0</v>
      </c>
      <c r="J655" s="6">
        <v>3.1</v>
      </c>
      <c r="K655" s="6">
        <v>6</v>
      </c>
      <c r="L655" s="6">
        <v>6</v>
      </c>
      <c r="M655" s="4" t="str">
        <f t="shared" si="30"/>
        <v>OK</v>
      </c>
      <c r="N655" s="7">
        <f t="shared" si="31"/>
        <v>6.6991777903531837E-3</v>
      </c>
      <c r="O655" s="7">
        <f>SUMIFS($D$2:D655,$B$2:B655,B655)/SUMIFS($D$2:$D$741,$B$2:$B$741,B655)</f>
        <v>0.95689224726207511</v>
      </c>
      <c r="P655" s="4" t="b">
        <f t="shared" si="32"/>
        <v>0</v>
      </c>
      <c r="Q655" s="2"/>
      <c r="R655" s="2"/>
      <c r="S655" s="2"/>
    </row>
    <row r="656" spans="1:19" x14ac:dyDescent="0.45">
      <c r="A656" s="4" t="s">
        <v>734</v>
      </c>
      <c r="B656" s="4" t="s">
        <v>708</v>
      </c>
      <c r="C656" s="5">
        <v>2</v>
      </c>
      <c r="D656" s="5">
        <v>641</v>
      </c>
      <c r="E656" s="5">
        <v>0</v>
      </c>
      <c r="F656" s="5">
        <v>0</v>
      </c>
      <c r="G656" s="5">
        <v>0</v>
      </c>
      <c r="H656" s="5">
        <v>641</v>
      </c>
      <c r="I656" s="6">
        <v>2</v>
      </c>
      <c r="J656" s="6">
        <v>8.6999999999999993</v>
      </c>
      <c r="K656" s="6">
        <v>35</v>
      </c>
      <c r="L656" s="6">
        <v>35</v>
      </c>
      <c r="M656" s="4" t="str">
        <f t="shared" si="30"/>
        <v>OK</v>
      </c>
      <c r="N656" s="7">
        <f t="shared" si="31"/>
        <v>5.3343763523184982E-3</v>
      </c>
      <c r="O656" s="7">
        <f>SUMIFS($D$2:D656,$B$2:B656,B656)/SUMIFS($D$2:$D$741,$B$2:$B$741,B656)</f>
        <v>0.96222662361439371</v>
      </c>
      <c r="P656" s="4" t="b">
        <f t="shared" si="32"/>
        <v>0</v>
      </c>
      <c r="Q656" s="2"/>
      <c r="R656" s="2"/>
      <c r="S656" s="2"/>
    </row>
    <row r="657" spans="1:19" x14ac:dyDescent="0.45">
      <c r="A657" s="4" t="s">
        <v>735</v>
      </c>
      <c r="B657" s="4" t="s">
        <v>708</v>
      </c>
      <c r="C657" s="5">
        <v>1</v>
      </c>
      <c r="D657" s="5">
        <v>622</v>
      </c>
      <c r="E657" s="5">
        <v>200</v>
      </c>
      <c r="F657" s="5">
        <v>8</v>
      </c>
      <c r="G657" s="5">
        <v>0</v>
      </c>
      <c r="H657" s="5">
        <v>614</v>
      </c>
      <c r="I657" s="6">
        <v>1</v>
      </c>
      <c r="J657" s="6">
        <v>9.6999999999999993</v>
      </c>
      <c r="K657" s="6">
        <v>16</v>
      </c>
      <c r="L657" s="6">
        <v>16</v>
      </c>
      <c r="M657" s="4" t="str">
        <f t="shared" si="30"/>
        <v>OK</v>
      </c>
      <c r="N657" s="7">
        <f t="shared" si="31"/>
        <v>5.1762591125461867E-3</v>
      </c>
      <c r="O657" s="7">
        <f>SUMIFS($D$2:D657,$B$2:B657,B657)/SUMIFS($D$2:$D$741,$B$2:$B$741,B657)</f>
        <v>0.96740288272693986</v>
      </c>
      <c r="P657" s="4" t="b">
        <f t="shared" si="32"/>
        <v>0</v>
      </c>
      <c r="Q657" s="2"/>
      <c r="R657" s="2"/>
      <c r="S657" s="2"/>
    </row>
    <row r="658" spans="1:19" x14ac:dyDescent="0.45">
      <c r="A658" s="4" t="s">
        <v>736</v>
      </c>
      <c r="B658" s="4" t="s">
        <v>708</v>
      </c>
      <c r="C658" s="5">
        <v>1</v>
      </c>
      <c r="D658" s="5">
        <v>613</v>
      </c>
      <c r="E658" s="5">
        <v>0</v>
      </c>
      <c r="F658" s="5">
        <v>0</v>
      </c>
      <c r="G658" s="5">
        <v>0</v>
      </c>
      <c r="H658" s="5">
        <v>613</v>
      </c>
      <c r="I658" s="6">
        <v>1</v>
      </c>
      <c r="J658" s="6">
        <v>6.1</v>
      </c>
      <c r="K658" s="6">
        <v>6</v>
      </c>
      <c r="L658" s="6">
        <v>6</v>
      </c>
      <c r="M658" s="4" t="str">
        <f t="shared" si="30"/>
        <v>OK</v>
      </c>
      <c r="N658" s="7">
        <f t="shared" si="31"/>
        <v>5.1013614726540396E-3</v>
      </c>
      <c r="O658" s="7">
        <f>SUMIFS($D$2:D658,$B$2:B658,B658)/SUMIFS($D$2:$D$741,$B$2:$B$741,B658)</f>
        <v>0.97250424419959391</v>
      </c>
      <c r="P658" s="4" t="b">
        <f t="shared" si="32"/>
        <v>0</v>
      </c>
      <c r="Q658" s="2"/>
      <c r="R658" s="2"/>
      <c r="S658" s="2"/>
    </row>
    <row r="659" spans="1:19" x14ac:dyDescent="0.45">
      <c r="A659" s="4" t="s">
        <v>737</v>
      </c>
      <c r="B659" s="4" t="s">
        <v>708</v>
      </c>
      <c r="C659" s="5">
        <v>2</v>
      </c>
      <c r="D659" s="5">
        <v>591</v>
      </c>
      <c r="E659" s="5">
        <v>0</v>
      </c>
      <c r="F659" s="5">
        <v>0</v>
      </c>
      <c r="G659" s="5">
        <v>0</v>
      </c>
      <c r="H659" s="5">
        <v>591</v>
      </c>
      <c r="I659" s="6">
        <v>2</v>
      </c>
      <c r="J659" s="6">
        <v>3</v>
      </c>
      <c r="K659" s="6">
        <v>6</v>
      </c>
      <c r="L659" s="6">
        <v>6</v>
      </c>
      <c r="M659" s="4" t="str">
        <f t="shared" si="30"/>
        <v>OK</v>
      </c>
      <c r="N659" s="7">
        <f t="shared" si="31"/>
        <v>4.9182783529176793E-3</v>
      </c>
      <c r="O659" s="7">
        <f>SUMIFS($D$2:D659,$B$2:B659,B659)/SUMIFS($D$2:$D$741,$B$2:$B$741,B659)</f>
        <v>0.97742252255251161</v>
      </c>
      <c r="P659" s="4" t="b">
        <f t="shared" si="32"/>
        <v>0</v>
      </c>
      <c r="Q659" s="2"/>
      <c r="R659" s="2"/>
      <c r="S659" s="2"/>
    </row>
    <row r="660" spans="1:19" x14ac:dyDescent="0.45">
      <c r="A660" s="4" t="s">
        <v>738</v>
      </c>
      <c r="B660" s="4" t="s">
        <v>708</v>
      </c>
      <c r="C660" s="5">
        <v>1</v>
      </c>
      <c r="D660" s="5">
        <v>460</v>
      </c>
      <c r="E660" s="5">
        <v>457</v>
      </c>
      <c r="F660" s="5">
        <v>1</v>
      </c>
      <c r="G660" s="5">
        <v>0</v>
      </c>
      <c r="H660" s="5">
        <v>459</v>
      </c>
      <c r="I660" s="6">
        <v>1</v>
      </c>
      <c r="J660" s="6">
        <v>5.4</v>
      </c>
      <c r="K660" s="6">
        <v>4</v>
      </c>
      <c r="L660" s="6">
        <v>4</v>
      </c>
      <c r="M660" s="4" t="str">
        <f t="shared" si="30"/>
        <v>OK</v>
      </c>
      <c r="N660" s="7">
        <f t="shared" si="31"/>
        <v>3.8281015944875338E-3</v>
      </c>
      <c r="O660" s="7">
        <f>SUMIFS($D$2:D660,$B$2:B660,B660)/SUMIFS($D$2:$D$741,$B$2:$B$741,B660)</f>
        <v>0.98125062414699915</v>
      </c>
      <c r="P660" s="4" t="b">
        <f t="shared" si="32"/>
        <v>0</v>
      </c>
      <c r="Q660" s="2"/>
      <c r="R660" s="2"/>
      <c r="S660" s="2"/>
    </row>
    <row r="661" spans="1:19" x14ac:dyDescent="0.45">
      <c r="A661" s="4" t="s">
        <v>739</v>
      </c>
      <c r="B661" s="4" t="s">
        <v>708</v>
      </c>
      <c r="C661" s="5">
        <v>1</v>
      </c>
      <c r="D661" s="5">
        <v>378</v>
      </c>
      <c r="E661" s="5">
        <v>93</v>
      </c>
      <c r="F661" s="5">
        <v>3</v>
      </c>
      <c r="G661" s="5">
        <v>2</v>
      </c>
      <c r="H661" s="5">
        <v>375</v>
      </c>
      <c r="I661" s="6">
        <v>1</v>
      </c>
      <c r="J661" s="6">
        <v>14</v>
      </c>
      <c r="K661" s="6">
        <v>44</v>
      </c>
      <c r="L661" s="6">
        <v>44.2</v>
      </c>
      <c r="M661" s="4" t="str">
        <f t="shared" si="30"/>
        <v>OK</v>
      </c>
      <c r="N661" s="7">
        <f t="shared" si="31"/>
        <v>3.1457008754701907E-3</v>
      </c>
      <c r="O661" s="7">
        <f>SUMIFS($D$2:D661,$B$2:B661,B661)/SUMIFS($D$2:$D$741,$B$2:$B$741,B661)</f>
        <v>0.98439632502246932</v>
      </c>
      <c r="P661" s="4" t="b">
        <f t="shared" si="32"/>
        <v>0</v>
      </c>
      <c r="Q661" s="2"/>
      <c r="R661" s="2"/>
      <c r="S661" s="2"/>
    </row>
    <row r="662" spans="1:19" x14ac:dyDescent="0.45">
      <c r="A662" s="4" t="s">
        <v>740</v>
      </c>
      <c r="B662" s="4" t="s">
        <v>708</v>
      </c>
      <c r="C662" s="5">
        <v>2</v>
      </c>
      <c r="D662" s="5">
        <v>338</v>
      </c>
      <c r="E662" s="5">
        <v>0</v>
      </c>
      <c r="F662" s="5">
        <v>0</v>
      </c>
      <c r="G662" s="5">
        <v>0</v>
      </c>
      <c r="H662" s="5">
        <v>338</v>
      </c>
      <c r="I662" s="6">
        <v>0</v>
      </c>
      <c r="J662" s="6">
        <v>4.8</v>
      </c>
      <c r="K662" s="6">
        <v>10</v>
      </c>
      <c r="L662" s="6">
        <v>9.6</v>
      </c>
      <c r="M662" s="4" t="str">
        <f t="shared" si="30"/>
        <v>OK</v>
      </c>
      <c r="N662" s="7">
        <f t="shared" si="31"/>
        <v>2.8128224759495358E-3</v>
      </c>
      <c r="O662" s="7">
        <f>SUMIFS($D$2:D662,$B$2:B662,B662)/SUMIFS($D$2:$D$741,$B$2:$B$741,B662)</f>
        <v>0.98720914749841882</v>
      </c>
      <c r="P662" s="4" t="b">
        <f t="shared" si="32"/>
        <v>0</v>
      </c>
      <c r="Q662" s="2"/>
      <c r="R662" s="2"/>
      <c r="S662" s="2"/>
    </row>
    <row r="663" spans="1:19" x14ac:dyDescent="0.45">
      <c r="A663" s="4" t="s">
        <v>741</v>
      </c>
      <c r="B663" s="4" t="s">
        <v>708</v>
      </c>
      <c r="C663" s="5">
        <v>1</v>
      </c>
      <c r="D663" s="5">
        <v>265</v>
      </c>
      <c r="E663" s="5">
        <v>108</v>
      </c>
      <c r="F663" s="5">
        <v>2</v>
      </c>
      <c r="G663" s="5">
        <v>0</v>
      </c>
      <c r="H663" s="5">
        <v>263</v>
      </c>
      <c r="I663" s="6">
        <v>7</v>
      </c>
      <c r="J663" s="6">
        <v>18.8</v>
      </c>
      <c r="K663" s="6">
        <v>36</v>
      </c>
      <c r="L663" s="6">
        <v>35.6</v>
      </c>
      <c r="M663" s="4" t="str">
        <f t="shared" si="30"/>
        <v>OK</v>
      </c>
      <c r="N663" s="7">
        <f t="shared" si="31"/>
        <v>2.2053193968243402E-3</v>
      </c>
      <c r="O663" s="7">
        <f>SUMIFS($D$2:D663,$B$2:B663,B663)/SUMIFS($D$2:$D$741,$B$2:$B$741,B663)</f>
        <v>0.98941446689524315</v>
      </c>
      <c r="P663" s="4" t="b">
        <f t="shared" si="32"/>
        <v>0</v>
      </c>
      <c r="Q663" s="2"/>
      <c r="R663" s="2"/>
      <c r="S663" s="2"/>
    </row>
    <row r="664" spans="1:19" x14ac:dyDescent="0.45">
      <c r="A664" s="4" t="s">
        <v>742</v>
      </c>
      <c r="B664" s="4" t="s">
        <v>708</v>
      </c>
      <c r="C664" s="5">
        <v>1</v>
      </c>
      <c r="D664" s="5">
        <v>227</v>
      </c>
      <c r="E664" s="5">
        <v>226</v>
      </c>
      <c r="F664" s="5">
        <v>0</v>
      </c>
      <c r="G664" s="5">
        <v>0</v>
      </c>
      <c r="H664" s="5">
        <v>227</v>
      </c>
      <c r="I664" s="6">
        <v>0</v>
      </c>
      <c r="J664" s="6">
        <v>2.6</v>
      </c>
      <c r="K664" s="6">
        <v>2</v>
      </c>
      <c r="L664" s="6">
        <v>2</v>
      </c>
      <c r="M664" s="4" t="str">
        <f t="shared" si="30"/>
        <v>OK</v>
      </c>
      <c r="N664" s="7">
        <f t="shared" si="31"/>
        <v>1.8890849172797178E-3</v>
      </c>
      <c r="O664" s="7">
        <f>SUMIFS($D$2:D664,$B$2:B664,B664)/SUMIFS($D$2:$D$741,$B$2:$B$741,B664)</f>
        <v>0.99130355181252283</v>
      </c>
      <c r="P664" s="4" t="b">
        <f t="shared" si="32"/>
        <v>0</v>
      </c>
      <c r="Q664" s="2"/>
      <c r="R664" s="2"/>
      <c r="S664" s="2"/>
    </row>
    <row r="665" spans="1:19" x14ac:dyDescent="0.45">
      <c r="A665" s="4" t="s">
        <v>743</v>
      </c>
      <c r="B665" s="4" t="s">
        <v>708</v>
      </c>
      <c r="C665" s="5">
        <v>1</v>
      </c>
      <c r="D665" s="5">
        <v>197</v>
      </c>
      <c r="E665" s="5">
        <v>37</v>
      </c>
      <c r="F665" s="5">
        <v>1</v>
      </c>
      <c r="G665" s="5">
        <v>0</v>
      </c>
      <c r="H665" s="5">
        <v>196</v>
      </c>
      <c r="I665" s="6">
        <v>0</v>
      </c>
      <c r="J665" s="6">
        <v>2.6</v>
      </c>
      <c r="K665" s="6">
        <v>3</v>
      </c>
      <c r="L665" s="6">
        <v>3</v>
      </c>
      <c r="M665" s="4" t="str">
        <f t="shared" si="30"/>
        <v>OK</v>
      </c>
      <c r="N665" s="7">
        <f t="shared" si="31"/>
        <v>1.6394261176392263E-3</v>
      </c>
      <c r="O665" s="7">
        <f>SUMIFS($D$2:D665,$B$2:B665,B665)/SUMIFS($D$2:$D$741,$B$2:$B$741,B665)</f>
        <v>0.99294297793016206</v>
      </c>
      <c r="P665" s="4" t="b">
        <f t="shared" si="32"/>
        <v>0</v>
      </c>
      <c r="Q665" s="2"/>
      <c r="R665" s="2"/>
      <c r="S665" s="2"/>
    </row>
    <row r="666" spans="1:19" x14ac:dyDescent="0.45">
      <c r="A666" s="4" t="s">
        <v>744</v>
      </c>
      <c r="B666" s="4" t="s">
        <v>708</v>
      </c>
      <c r="C666" s="5">
        <v>1</v>
      </c>
      <c r="D666" s="5">
        <v>196</v>
      </c>
      <c r="E666" s="5">
        <v>59</v>
      </c>
      <c r="F666" s="5">
        <v>2</v>
      </c>
      <c r="G666" s="5">
        <v>1</v>
      </c>
      <c r="H666" s="5">
        <v>194</v>
      </c>
      <c r="I666" s="6">
        <v>2</v>
      </c>
      <c r="J666" s="6">
        <v>12.1</v>
      </c>
      <c r="K666" s="6">
        <v>18</v>
      </c>
      <c r="L666" s="6">
        <v>18</v>
      </c>
      <c r="M666" s="4" t="str">
        <f t="shared" si="30"/>
        <v>OK</v>
      </c>
      <c r="N666" s="7">
        <f t="shared" si="31"/>
        <v>1.63110415765121E-3</v>
      </c>
      <c r="O666" s="7">
        <f>SUMIFS($D$2:D666,$B$2:B666,B666)/SUMIFS($D$2:$D$741,$B$2:$B$741,B666)</f>
        <v>0.99457408208781328</v>
      </c>
      <c r="P666" s="4" t="b">
        <f t="shared" si="32"/>
        <v>0</v>
      </c>
      <c r="Q666" s="2"/>
      <c r="R666" s="2"/>
      <c r="S666" s="2"/>
    </row>
    <row r="667" spans="1:19" x14ac:dyDescent="0.45">
      <c r="A667" s="4" t="s">
        <v>745</v>
      </c>
      <c r="B667" s="4" t="s">
        <v>708</v>
      </c>
      <c r="C667" s="5">
        <v>1</v>
      </c>
      <c r="D667" s="5">
        <v>134</v>
      </c>
      <c r="E667" s="5">
        <v>0</v>
      </c>
      <c r="F667" s="5">
        <v>0</v>
      </c>
      <c r="G667" s="5">
        <v>0</v>
      </c>
      <c r="H667" s="5">
        <v>134</v>
      </c>
      <c r="I667" s="6">
        <v>2</v>
      </c>
      <c r="J667" s="6">
        <v>6.1</v>
      </c>
      <c r="K667" s="6">
        <v>14</v>
      </c>
      <c r="L667" s="6">
        <v>13.7</v>
      </c>
      <c r="M667" s="4" t="str">
        <f t="shared" si="30"/>
        <v>OK</v>
      </c>
      <c r="N667" s="7">
        <f t="shared" si="31"/>
        <v>1.1151426383941947E-3</v>
      </c>
      <c r="O667" s="7">
        <f>SUMIFS($D$2:D667,$B$2:B667,B667)/SUMIFS($D$2:$D$741,$B$2:$B$741,B667)</f>
        <v>0.99568922472620747</v>
      </c>
      <c r="P667" s="4" t="b">
        <f t="shared" si="32"/>
        <v>0</v>
      </c>
      <c r="Q667" s="2"/>
      <c r="R667" s="2"/>
      <c r="S667" s="2"/>
    </row>
    <row r="668" spans="1:19" x14ac:dyDescent="0.45">
      <c r="A668" s="4" t="s">
        <v>746</v>
      </c>
      <c r="B668" s="4" t="s">
        <v>708</v>
      </c>
      <c r="C668" s="5">
        <v>2</v>
      </c>
      <c r="D668" s="5">
        <v>126</v>
      </c>
      <c r="E668" s="5">
        <v>0</v>
      </c>
      <c r="F668" s="5">
        <v>0</v>
      </c>
      <c r="G668" s="5">
        <v>0</v>
      </c>
      <c r="H668" s="5">
        <v>126</v>
      </c>
      <c r="I668" s="6">
        <v>1</v>
      </c>
      <c r="J668" s="6">
        <v>7.7</v>
      </c>
      <c r="K668" s="6">
        <v>14</v>
      </c>
      <c r="L668" s="6">
        <v>13.5</v>
      </c>
      <c r="M668" s="4" t="str">
        <f t="shared" si="30"/>
        <v>OK</v>
      </c>
      <c r="N668" s="7">
        <f t="shared" si="31"/>
        <v>1.0485669584900635E-3</v>
      </c>
      <c r="O668" s="7">
        <f>SUMIFS($D$2:D668,$B$2:B668,B668)/SUMIFS($D$2:$D$741,$B$2:$B$741,B668)</f>
        <v>0.99673779168469756</v>
      </c>
      <c r="P668" s="4" t="b">
        <f t="shared" si="32"/>
        <v>0</v>
      </c>
      <c r="Q668" s="2"/>
      <c r="R668" s="2"/>
      <c r="S668" s="2"/>
    </row>
    <row r="669" spans="1:19" x14ac:dyDescent="0.45">
      <c r="A669" s="4" t="s">
        <v>747</v>
      </c>
      <c r="B669" s="4" t="s">
        <v>708</v>
      </c>
      <c r="C669" s="5">
        <v>1</v>
      </c>
      <c r="D669" s="5">
        <v>111</v>
      </c>
      <c r="E669" s="5">
        <v>27</v>
      </c>
      <c r="F669" s="5">
        <v>4</v>
      </c>
      <c r="G669" s="5">
        <v>1</v>
      </c>
      <c r="H669" s="5">
        <v>107</v>
      </c>
      <c r="I669" s="6">
        <v>5</v>
      </c>
      <c r="J669" s="6">
        <v>19.399999999999999</v>
      </c>
      <c r="K669" s="6">
        <v>41</v>
      </c>
      <c r="L669" s="6">
        <v>41</v>
      </c>
      <c r="M669" s="4" t="str">
        <f t="shared" si="30"/>
        <v>OK</v>
      </c>
      <c r="N669" s="7">
        <f t="shared" si="31"/>
        <v>9.2373755866981787E-4</v>
      </c>
      <c r="O669" s="7">
        <f>SUMIFS($D$2:D669,$B$2:B669,B669)/SUMIFS($D$2:$D$741,$B$2:$B$741,B669)</f>
        <v>0.99766152924336737</v>
      </c>
      <c r="P669" s="4" t="b">
        <f t="shared" si="32"/>
        <v>0</v>
      </c>
      <c r="Q669" s="2"/>
      <c r="R669" s="2"/>
      <c r="S669" s="2"/>
    </row>
    <row r="670" spans="1:19" x14ac:dyDescent="0.45">
      <c r="A670" s="4" t="s">
        <v>748</v>
      </c>
      <c r="B670" s="4" t="s">
        <v>708</v>
      </c>
      <c r="C670" s="5">
        <v>2</v>
      </c>
      <c r="D670" s="5">
        <v>59</v>
      </c>
      <c r="E670" s="5">
        <v>0</v>
      </c>
      <c r="F670" s="5">
        <v>0</v>
      </c>
      <c r="G670" s="5">
        <v>0</v>
      </c>
      <c r="H670" s="5">
        <v>59</v>
      </c>
      <c r="I670" s="6">
        <v>2</v>
      </c>
      <c r="J670" s="6">
        <v>7.4</v>
      </c>
      <c r="K670" s="6">
        <v>19</v>
      </c>
      <c r="L670" s="6">
        <v>19</v>
      </c>
      <c r="M670" s="4" t="str">
        <f t="shared" si="30"/>
        <v>OK</v>
      </c>
      <c r="N670" s="7">
        <f t="shared" si="31"/>
        <v>4.9099563929296626E-4</v>
      </c>
      <c r="O670" s="7">
        <f>SUMIFS($D$2:D670,$B$2:B670,B670)/SUMIFS($D$2:$D$741,$B$2:$B$741,B670)</f>
        <v>0.99815252488266037</v>
      </c>
      <c r="P670" s="4" t="b">
        <f t="shared" si="32"/>
        <v>0</v>
      </c>
      <c r="Q670" s="2"/>
      <c r="R670" s="2"/>
      <c r="S670" s="2"/>
    </row>
    <row r="671" spans="1:19" x14ac:dyDescent="0.45">
      <c r="A671" s="4" t="s">
        <v>749</v>
      </c>
      <c r="B671" s="4" t="s">
        <v>708</v>
      </c>
      <c r="C671" s="5">
        <v>1</v>
      </c>
      <c r="D671" s="5">
        <v>54</v>
      </c>
      <c r="E671" s="5">
        <v>0</v>
      </c>
      <c r="F671" s="5">
        <v>0</v>
      </c>
      <c r="G671" s="5">
        <v>0</v>
      </c>
      <c r="H671" s="5">
        <v>54</v>
      </c>
      <c r="I671" s="6">
        <v>4</v>
      </c>
      <c r="J671" s="6">
        <v>4.3</v>
      </c>
      <c r="K671" s="6">
        <v>7</v>
      </c>
      <c r="L671" s="6">
        <v>7</v>
      </c>
      <c r="M671" s="4" t="str">
        <f t="shared" si="30"/>
        <v>OK</v>
      </c>
      <c r="N671" s="7">
        <f t="shared" si="31"/>
        <v>4.493858393528844E-4</v>
      </c>
      <c r="O671" s="7">
        <f>SUMIFS($D$2:D671,$B$2:B671,B671)/SUMIFS($D$2:$D$741,$B$2:$B$741,B671)</f>
        <v>0.99860191072201321</v>
      </c>
      <c r="P671" s="4" t="b">
        <f t="shared" si="32"/>
        <v>0</v>
      </c>
      <c r="Q671" s="2"/>
      <c r="R671" s="2"/>
      <c r="S671" s="2"/>
    </row>
    <row r="672" spans="1:19" x14ac:dyDescent="0.45">
      <c r="A672" s="4" t="s">
        <v>750</v>
      </c>
      <c r="B672" s="4" t="s">
        <v>708</v>
      </c>
      <c r="C672" s="5">
        <v>1</v>
      </c>
      <c r="D672" s="5">
        <v>48</v>
      </c>
      <c r="E672" s="5">
        <v>0</v>
      </c>
      <c r="F672" s="5">
        <v>0</v>
      </c>
      <c r="G672" s="5">
        <v>0</v>
      </c>
      <c r="H672" s="5">
        <v>48</v>
      </c>
      <c r="I672" s="6">
        <v>2.5</v>
      </c>
      <c r="J672" s="6">
        <v>4.7</v>
      </c>
      <c r="K672" s="6">
        <v>10</v>
      </c>
      <c r="L672" s="6">
        <v>10</v>
      </c>
      <c r="M672" s="4" t="str">
        <f t="shared" si="30"/>
        <v>OK</v>
      </c>
      <c r="N672" s="7">
        <f t="shared" si="31"/>
        <v>3.9945407942478613E-4</v>
      </c>
      <c r="O672" s="7">
        <f>SUMIFS($D$2:D672,$B$2:B672,B672)/SUMIFS($D$2:$D$741,$B$2:$B$741,B672)</f>
        <v>0.99900136480143809</v>
      </c>
      <c r="P672" s="4" t="b">
        <f t="shared" si="32"/>
        <v>0</v>
      </c>
      <c r="Q672" s="2"/>
      <c r="R672" s="2"/>
      <c r="S672" s="2"/>
    </row>
    <row r="673" spans="1:19" x14ac:dyDescent="0.45">
      <c r="A673" s="4" t="s">
        <v>751</v>
      </c>
      <c r="B673" s="4" t="s">
        <v>708</v>
      </c>
      <c r="C673" s="5">
        <v>1</v>
      </c>
      <c r="D673" s="5">
        <v>35</v>
      </c>
      <c r="E673" s="5">
        <v>0</v>
      </c>
      <c r="F673" s="5">
        <v>0</v>
      </c>
      <c r="G673" s="5">
        <v>0</v>
      </c>
      <c r="H673" s="5">
        <v>35</v>
      </c>
      <c r="I673" s="6">
        <v>4</v>
      </c>
      <c r="J673" s="6">
        <v>6.6</v>
      </c>
      <c r="K673" s="6">
        <v>13</v>
      </c>
      <c r="L673" s="6">
        <v>13</v>
      </c>
      <c r="M673" s="4" t="str">
        <f t="shared" si="30"/>
        <v>OK</v>
      </c>
      <c r="N673" s="7">
        <f t="shared" si="31"/>
        <v>2.912685995805732E-4</v>
      </c>
      <c r="O673" s="7">
        <f>SUMIFS($D$2:D673,$B$2:B673,B673)/SUMIFS($D$2:$D$741,$B$2:$B$741,B673)</f>
        <v>0.99929263340101859</v>
      </c>
      <c r="P673" s="4" t="b">
        <f t="shared" si="32"/>
        <v>0</v>
      </c>
      <c r="Q673" s="2"/>
      <c r="R673" s="2"/>
      <c r="S673" s="2"/>
    </row>
    <row r="674" spans="1:19" x14ac:dyDescent="0.45">
      <c r="A674" s="4" t="s">
        <v>752</v>
      </c>
      <c r="B674" s="4" t="s">
        <v>708</v>
      </c>
      <c r="C674" s="5">
        <v>1</v>
      </c>
      <c r="D674" s="5">
        <v>25</v>
      </c>
      <c r="E674" s="5">
        <v>23</v>
      </c>
      <c r="F674" s="5">
        <v>0</v>
      </c>
      <c r="G674" s="5">
        <v>0</v>
      </c>
      <c r="H674" s="5">
        <v>25</v>
      </c>
      <c r="I674" s="6">
        <v>0</v>
      </c>
      <c r="J674" s="6">
        <v>0.5</v>
      </c>
      <c r="K674" s="6">
        <v>1</v>
      </c>
      <c r="L674" s="6">
        <v>1</v>
      </c>
      <c r="M674" s="4" t="str">
        <f t="shared" si="30"/>
        <v>OK</v>
      </c>
      <c r="N674" s="7">
        <f t="shared" si="31"/>
        <v>2.0804899970040943E-4</v>
      </c>
      <c r="O674" s="7">
        <f>SUMIFS($D$2:D674,$B$2:B674,B674)/SUMIFS($D$2:$D$741,$B$2:$B$741,B674)</f>
        <v>0.99950068240071899</v>
      </c>
      <c r="P674" s="4" t="b">
        <f t="shared" si="32"/>
        <v>0</v>
      </c>
      <c r="Q674" s="2"/>
      <c r="R674" s="2"/>
      <c r="S674" s="2"/>
    </row>
    <row r="675" spans="1:19" x14ac:dyDescent="0.45">
      <c r="A675" s="4" t="s">
        <v>753</v>
      </c>
      <c r="B675" s="4" t="s">
        <v>708</v>
      </c>
      <c r="C675" s="5">
        <v>1</v>
      </c>
      <c r="D675" s="5">
        <v>16</v>
      </c>
      <c r="E675" s="5">
        <v>0</v>
      </c>
      <c r="F675" s="5">
        <v>0</v>
      </c>
      <c r="G675" s="5">
        <v>0</v>
      </c>
      <c r="H675" s="5">
        <v>16</v>
      </c>
      <c r="I675" s="6">
        <v>161</v>
      </c>
      <c r="J675" s="6">
        <v>145.80000000000001</v>
      </c>
      <c r="K675" s="6">
        <v>286</v>
      </c>
      <c r="L675" s="6">
        <v>286</v>
      </c>
      <c r="M675" s="4" t="str">
        <f t="shared" si="30"/>
        <v>OK</v>
      </c>
      <c r="N675" s="7">
        <f t="shared" si="31"/>
        <v>1.3315135980826204E-4</v>
      </c>
      <c r="O675" s="7">
        <f>SUMIFS($D$2:D675,$B$2:B675,B675)/SUMIFS($D$2:$D$741,$B$2:$B$741,B675)</f>
        <v>0.99963383376052728</v>
      </c>
      <c r="P675" s="4" t="b">
        <f t="shared" si="32"/>
        <v>0</v>
      </c>
      <c r="Q675" s="2"/>
      <c r="R675" s="2"/>
      <c r="S675" s="2"/>
    </row>
    <row r="676" spans="1:19" x14ac:dyDescent="0.45">
      <c r="A676" s="4" t="s">
        <v>754</v>
      </c>
      <c r="B676" s="4" t="s">
        <v>708</v>
      </c>
      <c r="C676" s="5">
        <v>1</v>
      </c>
      <c r="D676" s="5">
        <v>12</v>
      </c>
      <c r="E676" s="5">
        <v>0</v>
      </c>
      <c r="F676" s="5">
        <v>0</v>
      </c>
      <c r="G676" s="5">
        <v>0</v>
      </c>
      <c r="H676" s="5">
        <v>12</v>
      </c>
      <c r="I676" s="6">
        <v>3.5</v>
      </c>
      <c r="J676" s="6">
        <v>3</v>
      </c>
      <c r="K676" s="6">
        <v>5</v>
      </c>
      <c r="L676" s="6">
        <v>5</v>
      </c>
      <c r="M676" s="4" t="str">
        <f t="shared" si="30"/>
        <v>OK</v>
      </c>
      <c r="N676" s="7">
        <f t="shared" si="31"/>
        <v>9.9863519856196531E-5</v>
      </c>
      <c r="O676" s="7">
        <f>SUMIFS($D$2:D676,$B$2:B676,B676)/SUMIFS($D$2:$D$741,$B$2:$B$741,B676)</f>
        <v>0.99973369728038353</v>
      </c>
      <c r="P676" s="4" t="b">
        <f t="shared" si="32"/>
        <v>0</v>
      </c>
      <c r="Q676" s="2"/>
      <c r="R676" s="2"/>
      <c r="S676" s="2"/>
    </row>
    <row r="677" spans="1:19" x14ac:dyDescent="0.45">
      <c r="A677" s="4" t="s">
        <v>755</v>
      </c>
      <c r="B677" s="4" t="s">
        <v>708</v>
      </c>
      <c r="C677" s="5">
        <v>1</v>
      </c>
      <c r="D677" s="5">
        <v>10</v>
      </c>
      <c r="E677" s="5">
        <v>0</v>
      </c>
      <c r="F677" s="5">
        <v>0</v>
      </c>
      <c r="G677" s="5">
        <v>0</v>
      </c>
      <c r="H677" s="5">
        <v>10</v>
      </c>
      <c r="I677" s="6">
        <v>9.5</v>
      </c>
      <c r="J677" s="6">
        <v>22.9</v>
      </c>
      <c r="K677" s="6">
        <v>71</v>
      </c>
      <c r="L677" s="6">
        <v>70.7</v>
      </c>
      <c r="M677" s="4" t="str">
        <f t="shared" si="30"/>
        <v>OK</v>
      </c>
      <c r="N677" s="7">
        <f t="shared" si="31"/>
        <v>8.3219599880163776E-5</v>
      </c>
      <c r="O677" s="7">
        <f>SUMIFS($D$2:D677,$B$2:B677,B677)/SUMIFS($D$2:$D$741,$B$2:$B$741,B677)</f>
        <v>0.99981691688026364</v>
      </c>
      <c r="P677" s="4" t="b">
        <f t="shared" si="32"/>
        <v>0</v>
      </c>
      <c r="Q677" s="2"/>
      <c r="R677" s="2"/>
      <c r="S677" s="2"/>
    </row>
    <row r="678" spans="1:19" x14ac:dyDescent="0.45">
      <c r="A678" s="4" t="s">
        <v>756</v>
      </c>
      <c r="B678" s="4" t="s">
        <v>708</v>
      </c>
      <c r="C678" s="5">
        <v>1</v>
      </c>
      <c r="D678" s="5">
        <v>9</v>
      </c>
      <c r="E678" s="5">
        <v>3</v>
      </c>
      <c r="F678" s="5">
        <v>2</v>
      </c>
      <c r="G678" s="5">
        <v>2</v>
      </c>
      <c r="H678" s="5">
        <v>7</v>
      </c>
      <c r="I678" s="6">
        <v>3</v>
      </c>
      <c r="J678" s="6">
        <v>51.1</v>
      </c>
      <c r="K678" s="6">
        <v>166</v>
      </c>
      <c r="L678" s="6">
        <v>165.6</v>
      </c>
      <c r="M678" s="4" t="str">
        <f t="shared" si="30"/>
        <v>OK</v>
      </c>
      <c r="N678" s="7">
        <f t="shared" si="31"/>
        <v>7.4897639892147392E-5</v>
      </c>
      <c r="O678" s="7">
        <f>SUMIFS($D$2:D678,$B$2:B678,B678)/SUMIFS($D$2:$D$741,$B$2:$B$741,B678)</f>
        <v>0.99989181452015574</v>
      </c>
      <c r="P678" s="4" t="b">
        <f t="shared" si="32"/>
        <v>0</v>
      </c>
      <c r="Q678" s="2"/>
      <c r="R678" s="2"/>
      <c r="S678" s="2"/>
    </row>
    <row r="679" spans="1:19" x14ac:dyDescent="0.45">
      <c r="A679" s="4" t="s">
        <v>757</v>
      </c>
      <c r="B679" s="4" t="s">
        <v>708</v>
      </c>
      <c r="C679" s="5">
        <v>1</v>
      </c>
      <c r="D679" s="5">
        <v>7</v>
      </c>
      <c r="E679" s="5">
        <v>0</v>
      </c>
      <c r="F679" s="5">
        <v>0</v>
      </c>
      <c r="G679" s="5">
        <v>0</v>
      </c>
      <c r="H679" s="5">
        <v>7</v>
      </c>
      <c r="I679" s="6">
        <v>3</v>
      </c>
      <c r="J679" s="6">
        <v>8.4</v>
      </c>
      <c r="K679" s="6">
        <v>20</v>
      </c>
      <c r="L679" s="6">
        <v>20</v>
      </c>
      <c r="M679" s="4" t="str">
        <f t="shared" si="30"/>
        <v>OK</v>
      </c>
      <c r="N679" s="7">
        <f t="shared" si="31"/>
        <v>5.8253719916114643E-5</v>
      </c>
      <c r="O679" s="7">
        <f>SUMIFS($D$2:D679,$B$2:B679,B679)/SUMIFS($D$2:$D$741,$B$2:$B$741,B679)</f>
        <v>0.99995006824007193</v>
      </c>
      <c r="P679" s="4" t="b">
        <f t="shared" si="32"/>
        <v>0</v>
      </c>
      <c r="Q679" s="2"/>
      <c r="R679" s="2"/>
      <c r="S679" s="2"/>
    </row>
    <row r="680" spans="1:19" x14ac:dyDescent="0.45">
      <c r="A680" s="4" t="s">
        <v>758</v>
      </c>
      <c r="B680" s="4" t="s">
        <v>708</v>
      </c>
      <c r="C680" s="5">
        <v>1</v>
      </c>
      <c r="D680" s="5">
        <v>3</v>
      </c>
      <c r="E680" s="5">
        <v>0</v>
      </c>
      <c r="F680" s="5">
        <v>0</v>
      </c>
      <c r="G680" s="5">
        <v>0</v>
      </c>
      <c r="H680" s="5">
        <v>3</v>
      </c>
      <c r="I680" s="6">
        <v>5</v>
      </c>
      <c r="J680" s="6">
        <v>10.3</v>
      </c>
      <c r="K680" s="6">
        <v>20</v>
      </c>
      <c r="L680" s="6">
        <v>20.2</v>
      </c>
      <c r="M680" s="4" t="str">
        <f t="shared" si="30"/>
        <v>OK</v>
      </c>
      <c r="N680" s="7">
        <f t="shared" si="31"/>
        <v>2.4965879964049133E-5</v>
      </c>
      <c r="O680" s="7">
        <f>SUMIFS($D$2:D680,$B$2:B680,B680)/SUMIFS($D$2:$D$741,$B$2:$B$741,B680)</f>
        <v>0.99997503412003597</v>
      </c>
      <c r="P680" s="4" t="b">
        <f t="shared" si="32"/>
        <v>0</v>
      </c>
      <c r="Q680" s="2"/>
      <c r="R680" s="2"/>
      <c r="S680" s="2"/>
    </row>
    <row r="681" spans="1:19" x14ac:dyDescent="0.45">
      <c r="A681" s="4" t="s">
        <v>759</v>
      </c>
      <c r="B681" s="4" t="s">
        <v>708</v>
      </c>
      <c r="C681" s="5">
        <v>1</v>
      </c>
      <c r="D681" s="5">
        <v>3</v>
      </c>
      <c r="E681" s="5">
        <v>0</v>
      </c>
      <c r="F681" s="5">
        <v>0</v>
      </c>
      <c r="G681" s="5">
        <v>0</v>
      </c>
      <c r="H681" s="5">
        <v>3</v>
      </c>
      <c r="I681" s="6">
        <v>6</v>
      </c>
      <c r="J681" s="6">
        <v>22.3</v>
      </c>
      <c r="K681" s="6">
        <v>46</v>
      </c>
      <c r="L681" s="6">
        <v>46</v>
      </c>
      <c r="M681" s="4" t="str">
        <f t="shared" si="30"/>
        <v>OK</v>
      </c>
      <c r="N681" s="7">
        <f t="shared" si="31"/>
        <v>2.4965879964049133E-5</v>
      </c>
      <c r="O681" s="7">
        <f>SUMIFS($D$2:D681,$B$2:B681,B681)/SUMIFS($D$2:$D$741,$B$2:$B$741,B681)</f>
        <v>1</v>
      </c>
      <c r="P681" s="4" t="b">
        <f t="shared" si="32"/>
        <v>0</v>
      </c>
      <c r="Q681" s="2"/>
      <c r="R681" s="2"/>
      <c r="S681" s="2"/>
    </row>
    <row r="682" spans="1:19" x14ac:dyDescent="0.45">
      <c r="A682" s="9" t="s">
        <v>760</v>
      </c>
      <c r="B682" s="9" t="s">
        <v>761</v>
      </c>
      <c r="C682" s="10">
        <v>1</v>
      </c>
      <c r="D682" s="10">
        <v>12</v>
      </c>
      <c r="E682" s="10">
        <v>12</v>
      </c>
      <c r="F682" s="10">
        <v>1</v>
      </c>
      <c r="G682" s="10">
        <v>0</v>
      </c>
      <c r="H682" s="10">
        <v>11</v>
      </c>
      <c r="I682" s="11">
        <v>6</v>
      </c>
      <c r="J682" s="11">
        <v>19.7</v>
      </c>
      <c r="K682" s="11">
        <v>54</v>
      </c>
      <c r="L682" s="11">
        <v>54</v>
      </c>
      <c r="M682" s="9" t="str">
        <f t="shared" si="30"/>
        <v>OK</v>
      </c>
      <c r="N682" s="12">
        <f t="shared" si="31"/>
        <v>1</v>
      </c>
      <c r="O682" s="12">
        <f>SUMIFS($D$2:D682,$B$2:B682,B682)/SUMIFS($D$2:$D$741,$B$2:$B$741,B682)</f>
        <v>1</v>
      </c>
      <c r="P682" s="9" t="b">
        <f t="shared" si="32"/>
        <v>1</v>
      </c>
      <c r="Q682" s="2"/>
      <c r="R682" s="2"/>
      <c r="S682" s="2"/>
    </row>
    <row r="683" spans="1:19" x14ac:dyDescent="0.45">
      <c r="A683" s="9" t="s">
        <v>762</v>
      </c>
      <c r="B683" s="9" t="s">
        <v>763</v>
      </c>
      <c r="C683" s="10">
        <v>1</v>
      </c>
      <c r="D683" s="10">
        <v>154</v>
      </c>
      <c r="E683" s="10">
        <v>154</v>
      </c>
      <c r="F683" s="10">
        <v>4</v>
      </c>
      <c r="G683" s="10">
        <v>3</v>
      </c>
      <c r="H683" s="10">
        <v>150</v>
      </c>
      <c r="I683" s="11">
        <v>12.5</v>
      </c>
      <c r="J683" s="11">
        <v>21.1</v>
      </c>
      <c r="K683" s="11">
        <v>47</v>
      </c>
      <c r="L683" s="11">
        <v>47.2</v>
      </c>
      <c r="M683" s="9" t="str">
        <f t="shared" si="30"/>
        <v>OK</v>
      </c>
      <c r="N683" s="12">
        <f t="shared" si="31"/>
        <v>0.5811320754716981</v>
      </c>
      <c r="O683" s="12">
        <f>SUMIFS($D$2:D683,$B$2:B683,B683)/SUMIFS($D$2:$D$741,$B$2:$B$741,B683)</f>
        <v>0.5811320754716981</v>
      </c>
      <c r="P683" s="9" t="b">
        <f t="shared" si="32"/>
        <v>1</v>
      </c>
      <c r="Q683" s="2"/>
      <c r="R683" s="2"/>
      <c r="S683" s="2"/>
    </row>
    <row r="684" spans="1:19" x14ac:dyDescent="0.45">
      <c r="A684" s="4" t="s">
        <v>764</v>
      </c>
      <c r="B684" s="4" t="s">
        <v>763</v>
      </c>
      <c r="C684" s="5">
        <v>1</v>
      </c>
      <c r="D684" s="5">
        <v>51</v>
      </c>
      <c r="E684" s="5">
        <v>51</v>
      </c>
      <c r="F684" s="5">
        <v>1</v>
      </c>
      <c r="G684" s="5">
        <v>0</v>
      </c>
      <c r="H684" s="5">
        <v>50</v>
      </c>
      <c r="I684" s="6">
        <v>6.5</v>
      </c>
      <c r="J684" s="6">
        <v>10</v>
      </c>
      <c r="K684" s="6">
        <v>21</v>
      </c>
      <c r="L684" s="6">
        <v>21</v>
      </c>
      <c r="M684" s="4" t="str">
        <f t="shared" si="30"/>
        <v>OK</v>
      </c>
      <c r="N684" s="7">
        <f t="shared" si="31"/>
        <v>0.19245283018867926</v>
      </c>
      <c r="O684" s="7">
        <f>SUMIFS($D$2:D684,$B$2:B684,B684)/SUMIFS($D$2:$D$741,$B$2:$B$741,B684)</f>
        <v>0.77358490566037741</v>
      </c>
      <c r="P684" s="4" t="b">
        <f t="shared" si="32"/>
        <v>1</v>
      </c>
      <c r="Q684" s="2"/>
      <c r="R684" s="2"/>
      <c r="S684" s="2"/>
    </row>
    <row r="685" spans="1:19" x14ac:dyDescent="0.45">
      <c r="A685" s="4" t="s">
        <v>765</v>
      </c>
      <c r="B685" s="4" t="s">
        <v>763</v>
      </c>
      <c r="C685" s="5">
        <v>1</v>
      </c>
      <c r="D685" s="5">
        <v>26</v>
      </c>
      <c r="E685" s="5">
        <v>26</v>
      </c>
      <c r="F685" s="5">
        <v>1</v>
      </c>
      <c r="G685" s="5">
        <v>1</v>
      </c>
      <c r="H685" s="5">
        <v>25</v>
      </c>
      <c r="I685" s="6">
        <v>3</v>
      </c>
      <c r="J685" s="6">
        <v>7.9</v>
      </c>
      <c r="K685" s="6">
        <v>12</v>
      </c>
      <c r="L685" s="6">
        <v>12</v>
      </c>
      <c r="M685" s="4" t="str">
        <f t="shared" si="30"/>
        <v>OK</v>
      </c>
      <c r="N685" s="7">
        <f t="shared" si="31"/>
        <v>9.8113207547169817E-2</v>
      </c>
      <c r="O685" s="7">
        <f>SUMIFS($D$2:D685,$B$2:B685,B685)/SUMIFS($D$2:$D$741,$B$2:$B$741,B685)</f>
        <v>0.8716981132075472</v>
      </c>
      <c r="P685" s="4" t="b">
        <f t="shared" si="32"/>
        <v>1</v>
      </c>
      <c r="Q685" s="2"/>
      <c r="R685" s="2"/>
      <c r="S685" s="2"/>
    </row>
    <row r="686" spans="1:19" x14ac:dyDescent="0.45">
      <c r="A686" s="4" t="s">
        <v>766</v>
      </c>
      <c r="B686" s="4" t="s">
        <v>763</v>
      </c>
      <c r="C686" s="5">
        <v>1</v>
      </c>
      <c r="D686" s="5">
        <v>11</v>
      </c>
      <c r="E686" s="5">
        <v>11</v>
      </c>
      <c r="F686" s="5">
        <v>1</v>
      </c>
      <c r="G686" s="5">
        <v>0</v>
      </c>
      <c r="H686" s="5">
        <v>10</v>
      </c>
      <c r="I686" s="6">
        <v>5.5</v>
      </c>
      <c r="J686" s="6">
        <v>10.1</v>
      </c>
      <c r="K686" s="6">
        <v>22</v>
      </c>
      <c r="L686" s="6">
        <v>22</v>
      </c>
      <c r="M686" s="4" t="str">
        <f t="shared" si="30"/>
        <v>OK</v>
      </c>
      <c r="N686" s="7">
        <f t="shared" si="31"/>
        <v>4.1509433962264149E-2</v>
      </c>
      <c r="O686" s="7">
        <f>SUMIFS($D$2:D686,$B$2:B686,B686)/SUMIFS($D$2:$D$741,$B$2:$B$741,B686)</f>
        <v>0.91320754716981134</v>
      </c>
      <c r="P686" s="4" t="b">
        <f t="shared" si="32"/>
        <v>1</v>
      </c>
      <c r="Q686" s="2"/>
      <c r="R686" s="2"/>
      <c r="S686" s="2"/>
    </row>
    <row r="687" spans="1:19" x14ac:dyDescent="0.45">
      <c r="A687" s="4" t="s">
        <v>767</v>
      </c>
      <c r="B687" s="4" t="s">
        <v>763</v>
      </c>
      <c r="C687" s="5">
        <v>1</v>
      </c>
      <c r="D687" s="5">
        <v>11</v>
      </c>
      <c r="E687" s="5">
        <v>11</v>
      </c>
      <c r="F687" s="5">
        <v>1</v>
      </c>
      <c r="G687" s="5">
        <v>0</v>
      </c>
      <c r="H687" s="5">
        <v>10</v>
      </c>
      <c r="I687" s="6">
        <v>2.5</v>
      </c>
      <c r="J687" s="6">
        <v>4.5</v>
      </c>
      <c r="K687" s="6">
        <v>11</v>
      </c>
      <c r="L687" s="6">
        <v>10.9</v>
      </c>
      <c r="M687" s="4" t="str">
        <f t="shared" si="30"/>
        <v>OK</v>
      </c>
      <c r="N687" s="7">
        <f t="shared" si="31"/>
        <v>4.1509433962264149E-2</v>
      </c>
      <c r="O687" s="7">
        <f>SUMIFS($D$2:D687,$B$2:B687,B687)/SUMIFS($D$2:$D$741,$B$2:$B$741,B687)</f>
        <v>0.95471698113207548</v>
      </c>
      <c r="P687" s="4" t="b">
        <f t="shared" si="32"/>
        <v>1</v>
      </c>
      <c r="Q687" s="2"/>
      <c r="R687" s="2"/>
      <c r="S687" s="2"/>
    </row>
    <row r="688" spans="1:19" x14ac:dyDescent="0.45">
      <c r="A688" s="4" t="s">
        <v>768</v>
      </c>
      <c r="B688" s="4" t="s">
        <v>763</v>
      </c>
      <c r="C688" s="5">
        <v>1</v>
      </c>
      <c r="D688" s="5">
        <v>5</v>
      </c>
      <c r="E688" s="5">
        <v>5</v>
      </c>
      <c r="F688" s="5">
        <v>0</v>
      </c>
      <c r="G688" s="5">
        <v>0</v>
      </c>
      <c r="H688" s="5">
        <v>5</v>
      </c>
      <c r="I688" s="6">
        <v>5</v>
      </c>
      <c r="J688" s="6">
        <v>16.2</v>
      </c>
      <c r="K688" s="6">
        <v>40</v>
      </c>
      <c r="L688" s="6">
        <v>40.4</v>
      </c>
      <c r="M688" s="4" t="str">
        <f t="shared" si="30"/>
        <v>OK</v>
      </c>
      <c r="N688" s="7">
        <f t="shared" si="31"/>
        <v>1.8867924528301886E-2</v>
      </c>
      <c r="O688" s="7">
        <f>SUMIFS($D$2:D688,$B$2:B688,B688)/SUMIFS($D$2:$D$741,$B$2:$B$741,B688)</f>
        <v>0.97358490566037736</v>
      </c>
      <c r="P688" s="4" t="b">
        <f t="shared" si="32"/>
        <v>0</v>
      </c>
      <c r="Q688" s="2"/>
      <c r="R688" s="2"/>
      <c r="S688" s="2"/>
    </row>
    <row r="689" spans="1:19" x14ac:dyDescent="0.45">
      <c r="A689" s="4" t="s">
        <v>769</v>
      </c>
      <c r="B689" s="4" t="s">
        <v>763</v>
      </c>
      <c r="C689" s="5">
        <v>1</v>
      </c>
      <c r="D689" s="5">
        <v>5</v>
      </c>
      <c r="E689" s="5">
        <v>5</v>
      </c>
      <c r="F689" s="5">
        <v>0</v>
      </c>
      <c r="G689" s="5">
        <v>0</v>
      </c>
      <c r="H689" s="5">
        <v>5</v>
      </c>
      <c r="I689" s="6">
        <v>3</v>
      </c>
      <c r="J689" s="6">
        <v>5.8</v>
      </c>
      <c r="K689" s="6">
        <v>12</v>
      </c>
      <c r="L689" s="6">
        <v>12.2</v>
      </c>
      <c r="M689" s="4" t="str">
        <f t="shared" si="30"/>
        <v>OK</v>
      </c>
      <c r="N689" s="7">
        <f t="shared" si="31"/>
        <v>1.8867924528301886E-2</v>
      </c>
      <c r="O689" s="7">
        <f>SUMIFS($D$2:D689,$B$2:B689,B689)/SUMIFS($D$2:$D$741,$B$2:$B$741,B689)</f>
        <v>0.99245283018867925</v>
      </c>
      <c r="P689" s="4" t="b">
        <f t="shared" si="32"/>
        <v>0</v>
      </c>
      <c r="Q689" s="2"/>
      <c r="R689" s="2"/>
      <c r="S689" s="2"/>
    </row>
    <row r="690" spans="1:19" x14ac:dyDescent="0.45">
      <c r="A690" s="4" t="s">
        <v>770</v>
      </c>
      <c r="B690" s="4" t="s">
        <v>763</v>
      </c>
      <c r="C690" s="5">
        <v>1</v>
      </c>
      <c r="D690" s="5">
        <v>2</v>
      </c>
      <c r="E690" s="5">
        <v>2</v>
      </c>
      <c r="F690" s="5">
        <v>0</v>
      </c>
      <c r="G690" s="5">
        <v>0</v>
      </c>
      <c r="H690" s="5">
        <v>2</v>
      </c>
      <c r="I690" s="6">
        <v>6.5</v>
      </c>
      <c r="J690" s="6">
        <v>6.5</v>
      </c>
      <c r="K690" s="6">
        <v>8</v>
      </c>
      <c r="L690" s="6">
        <v>7.7</v>
      </c>
      <c r="M690" s="4" t="str">
        <f t="shared" si="30"/>
        <v>OK</v>
      </c>
      <c r="N690" s="7">
        <f t="shared" si="31"/>
        <v>7.5471698113207548E-3</v>
      </c>
      <c r="O690" s="7">
        <f>SUMIFS($D$2:D690,$B$2:B690,B690)/SUMIFS($D$2:$D$741,$B$2:$B$741,B690)</f>
        <v>1</v>
      </c>
      <c r="P690" s="4" t="b">
        <f t="shared" si="32"/>
        <v>0</v>
      </c>
      <c r="Q690" s="2"/>
      <c r="R690" s="2"/>
      <c r="S690" s="2"/>
    </row>
    <row r="691" spans="1:19" x14ac:dyDescent="0.45">
      <c r="A691" s="9" t="s">
        <v>771</v>
      </c>
      <c r="B691" s="9" t="s">
        <v>772</v>
      </c>
      <c r="C691" s="10">
        <v>1</v>
      </c>
      <c r="D691" s="10">
        <v>17</v>
      </c>
      <c r="E691" s="10">
        <v>12</v>
      </c>
      <c r="F691" s="10">
        <v>2</v>
      </c>
      <c r="G691" s="10">
        <v>2</v>
      </c>
      <c r="H691" s="10">
        <v>15</v>
      </c>
      <c r="I691" s="11">
        <v>3</v>
      </c>
      <c r="J691" s="11">
        <v>3.3</v>
      </c>
      <c r="K691" s="11">
        <v>6</v>
      </c>
      <c r="L691" s="11">
        <v>5.6</v>
      </c>
      <c r="M691" s="9" t="str">
        <f t="shared" si="30"/>
        <v>OK</v>
      </c>
      <c r="N691" s="12">
        <f t="shared" si="31"/>
        <v>1</v>
      </c>
      <c r="O691" s="12">
        <f>SUMIFS($D$2:D691,$B$2:B691,B691)/SUMIFS($D$2:$D$741,$B$2:$B$741,B691)</f>
        <v>1</v>
      </c>
      <c r="P691" s="9" t="b">
        <f t="shared" si="32"/>
        <v>1</v>
      </c>
      <c r="Q691" s="2"/>
      <c r="R691" s="2"/>
      <c r="S691" s="2"/>
    </row>
    <row r="692" spans="1:19" x14ac:dyDescent="0.45">
      <c r="A692" s="9" t="s">
        <v>773</v>
      </c>
      <c r="B692" s="9" t="s">
        <v>774</v>
      </c>
      <c r="C692" s="10">
        <v>2</v>
      </c>
      <c r="D692" s="10">
        <v>750</v>
      </c>
      <c r="E692" s="10">
        <v>35</v>
      </c>
      <c r="F692" s="10">
        <v>2</v>
      </c>
      <c r="G692" s="10">
        <v>2</v>
      </c>
      <c r="H692" s="10">
        <v>748</v>
      </c>
      <c r="I692" s="11">
        <v>1</v>
      </c>
      <c r="J692" s="11">
        <v>1.6</v>
      </c>
      <c r="K692" s="11">
        <v>3</v>
      </c>
      <c r="L692" s="11">
        <v>3</v>
      </c>
      <c r="M692" s="9" t="str">
        <f t="shared" si="30"/>
        <v>OK</v>
      </c>
      <c r="N692" s="12">
        <f t="shared" si="31"/>
        <v>0.67628494138863837</v>
      </c>
      <c r="O692" s="12">
        <f>SUMIFS($D$2:D692,$B$2:B692,B692)/SUMIFS($D$2:$D$741,$B$2:$B$741,B692)</f>
        <v>0.67628494138863837</v>
      </c>
      <c r="P692" s="9" t="b">
        <f t="shared" si="32"/>
        <v>1</v>
      </c>
      <c r="Q692" s="2"/>
      <c r="R692" s="2"/>
      <c r="S692" s="2"/>
    </row>
    <row r="693" spans="1:19" x14ac:dyDescent="0.45">
      <c r="A693" s="4" t="s">
        <v>775</v>
      </c>
      <c r="B693" s="4" t="s">
        <v>774</v>
      </c>
      <c r="C693" s="5">
        <v>2</v>
      </c>
      <c r="D693" s="5">
        <v>77</v>
      </c>
      <c r="E693" s="5">
        <v>9</v>
      </c>
      <c r="F693" s="5">
        <v>0</v>
      </c>
      <c r="G693" s="5">
        <v>0</v>
      </c>
      <c r="H693" s="5">
        <v>77</v>
      </c>
      <c r="I693" s="6">
        <v>6</v>
      </c>
      <c r="J693" s="6">
        <v>17.600000000000001</v>
      </c>
      <c r="K693" s="6">
        <v>59</v>
      </c>
      <c r="L693" s="6">
        <v>59.2</v>
      </c>
      <c r="M693" s="4" t="str">
        <f t="shared" si="30"/>
        <v>OK</v>
      </c>
      <c r="N693" s="7">
        <f t="shared" si="31"/>
        <v>6.943192064923355E-2</v>
      </c>
      <c r="O693" s="7">
        <f>SUMIFS($D$2:D693,$B$2:B693,B693)/SUMIFS($D$2:$D$741,$B$2:$B$741,B693)</f>
        <v>0.74571686203787191</v>
      </c>
      <c r="P693" s="4" t="b">
        <f t="shared" si="32"/>
        <v>1</v>
      </c>
      <c r="Q693" s="2"/>
      <c r="R693" s="2"/>
      <c r="S693" s="2"/>
    </row>
    <row r="694" spans="1:19" x14ac:dyDescent="0.45">
      <c r="A694" s="4" t="s">
        <v>776</v>
      </c>
      <c r="B694" s="4" t="s">
        <v>774</v>
      </c>
      <c r="C694" s="5">
        <v>1</v>
      </c>
      <c r="D694" s="5">
        <v>72</v>
      </c>
      <c r="E694" s="5">
        <v>58</v>
      </c>
      <c r="F694" s="5">
        <v>0</v>
      </c>
      <c r="G694" s="5">
        <v>0</v>
      </c>
      <c r="H694" s="5">
        <v>72</v>
      </c>
      <c r="I694" s="6">
        <v>4</v>
      </c>
      <c r="J694" s="6">
        <v>7.1</v>
      </c>
      <c r="K694" s="6">
        <v>15</v>
      </c>
      <c r="L694" s="6">
        <v>14.9</v>
      </c>
      <c r="M694" s="4" t="str">
        <f t="shared" si="30"/>
        <v>OK</v>
      </c>
      <c r="N694" s="7">
        <f t="shared" si="31"/>
        <v>6.4923354373309289E-2</v>
      </c>
      <c r="O694" s="7">
        <f>SUMIFS($D$2:D694,$B$2:B694,B694)/SUMIFS($D$2:$D$741,$B$2:$B$741,B694)</f>
        <v>0.81064021641118122</v>
      </c>
      <c r="P694" s="4" t="b">
        <f t="shared" si="32"/>
        <v>1</v>
      </c>
      <c r="Q694" s="2"/>
      <c r="R694" s="2"/>
      <c r="S694" s="2"/>
    </row>
    <row r="695" spans="1:19" x14ac:dyDescent="0.45">
      <c r="A695" s="4" t="s">
        <v>777</v>
      </c>
      <c r="B695" s="4" t="s">
        <v>774</v>
      </c>
      <c r="C695" s="5">
        <v>2</v>
      </c>
      <c r="D695" s="5">
        <v>52</v>
      </c>
      <c r="E695" s="5">
        <v>2</v>
      </c>
      <c r="F695" s="5">
        <v>0</v>
      </c>
      <c r="G695" s="5">
        <v>0</v>
      </c>
      <c r="H695" s="5">
        <v>52</v>
      </c>
      <c r="I695" s="6">
        <v>0</v>
      </c>
      <c r="J695" s="6">
        <v>2.8</v>
      </c>
      <c r="K695" s="6">
        <v>0</v>
      </c>
      <c r="L695" s="6">
        <v>0</v>
      </c>
      <c r="M695" s="4" t="str">
        <f t="shared" si="30"/>
        <v>OK</v>
      </c>
      <c r="N695" s="7">
        <f t="shared" si="31"/>
        <v>4.6889089269612265E-2</v>
      </c>
      <c r="O695" s="7">
        <f>SUMIFS($D$2:D695,$B$2:B695,B695)/SUMIFS($D$2:$D$741,$B$2:$B$741,B695)</f>
        <v>0.85752930568079355</v>
      </c>
      <c r="P695" s="4" t="b">
        <f t="shared" si="32"/>
        <v>1</v>
      </c>
      <c r="Q695" s="2"/>
      <c r="R695" s="2"/>
      <c r="S695" s="2"/>
    </row>
    <row r="696" spans="1:19" x14ac:dyDescent="0.45">
      <c r="A696" s="4" t="s">
        <v>778</v>
      </c>
      <c r="B696" s="4" t="s">
        <v>774</v>
      </c>
      <c r="C696" s="5">
        <v>2</v>
      </c>
      <c r="D696" s="5">
        <v>46</v>
      </c>
      <c r="E696" s="5">
        <v>0</v>
      </c>
      <c r="F696" s="5">
        <v>0</v>
      </c>
      <c r="G696" s="5">
        <v>0</v>
      </c>
      <c r="H696" s="5">
        <v>46</v>
      </c>
      <c r="I696" s="6">
        <v>3</v>
      </c>
      <c r="J696" s="6">
        <v>11</v>
      </c>
      <c r="K696" s="6">
        <v>28</v>
      </c>
      <c r="L696" s="6">
        <v>27.5</v>
      </c>
      <c r="M696" s="4" t="str">
        <f t="shared" si="30"/>
        <v>OK</v>
      </c>
      <c r="N696" s="7">
        <f t="shared" si="31"/>
        <v>4.1478809738503153E-2</v>
      </c>
      <c r="O696" s="7">
        <f>SUMIFS($D$2:D696,$B$2:B696,B696)/SUMIFS($D$2:$D$741,$B$2:$B$741,B696)</f>
        <v>0.89900811541929671</v>
      </c>
      <c r="P696" s="4" t="b">
        <f t="shared" si="32"/>
        <v>1</v>
      </c>
      <c r="Q696" s="2"/>
      <c r="R696" s="2"/>
      <c r="S696" s="2"/>
    </row>
    <row r="697" spans="1:19" x14ac:dyDescent="0.45">
      <c r="A697" s="4" t="s">
        <v>779</v>
      </c>
      <c r="B697" s="4" t="s">
        <v>774</v>
      </c>
      <c r="C697" s="5">
        <v>2</v>
      </c>
      <c r="D697" s="5">
        <v>41</v>
      </c>
      <c r="E697" s="5">
        <v>0</v>
      </c>
      <c r="F697" s="5">
        <v>0</v>
      </c>
      <c r="G697" s="5">
        <v>0</v>
      </c>
      <c r="H697" s="5">
        <v>41</v>
      </c>
      <c r="I697" s="6">
        <v>20</v>
      </c>
      <c r="J697" s="6">
        <v>43.7</v>
      </c>
      <c r="K697" s="6">
        <v>136</v>
      </c>
      <c r="L697" s="6">
        <v>136</v>
      </c>
      <c r="M697" s="4" t="str">
        <f t="shared" si="30"/>
        <v>OK</v>
      </c>
      <c r="N697" s="7">
        <f t="shared" si="31"/>
        <v>3.6970243462578899E-2</v>
      </c>
      <c r="O697" s="7">
        <f>SUMIFS($D$2:D697,$B$2:B697,B697)/SUMIFS($D$2:$D$741,$B$2:$B$741,B697)</f>
        <v>0.93597835888187553</v>
      </c>
      <c r="P697" s="4" t="b">
        <f t="shared" si="32"/>
        <v>1</v>
      </c>
      <c r="Q697" s="2"/>
      <c r="R697" s="2"/>
      <c r="S697" s="2"/>
    </row>
    <row r="698" spans="1:19" x14ac:dyDescent="0.45">
      <c r="A698" s="4" t="s">
        <v>780</v>
      </c>
      <c r="B698" s="4" t="s">
        <v>774</v>
      </c>
      <c r="C698" s="5">
        <v>1</v>
      </c>
      <c r="D698" s="5">
        <v>34</v>
      </c>
      <c r="E698" s="5">
        <v>2</v>
      </c>
      <c r="F698" s="5">
        <v>0</v>
      </c>
      <c r="G698" s="5">
        <v>0</v>
      </c>
      <c r="H698" s="5">
        <v>34</v>
      </c>
      <c r="I698" s="6">
        <v>2.5</v>
      </c>
      <c r="J698" s="6">
        <v>7.2</v>
      </c>
      <c r="K698" s="6">
        <v>8</v>
      </c>
      <c r="L698" s="6">
        <v>7.7</v>
      </c>
      <c r="M698" s="4" t="str">
        <f t="shared" si="30"/>
        <v>OK</v>
      </c>
      <c r="N698" s="7">
        <f t="shared" si="31"/>
        <v>3.0658250676284943E-2</v>
      </c>
      <c r="O698" s="7">
        <f>SUMIFS($D$2:D698,$B$2:B698,B698)/SUMIFS($D$2:$D$741,$B$2:$B$741,B698)</f>
        <v>0.96663660955816055</v>
      </c>
      <c r="P698" s="4" t="b">
        <f t="shared" si="32"/>
        <v>1</v>
      </c>
      <c r="Q698" s="2"/>
      <c r="R698" s="2"/>
      <c r="S698" s="2"/>
    </row>
    <row r="699" spans="1:19" x14ac:dyDescent="0.45">
      <c r="A699" s="4" t="s">
        <v>781</v>
      </c>
      <c r="B699" s="4" t="s">
        <v>774</v>
      </c>
      <c r="C699" s="5">
        <v>2</v>
      </c>
      <c r="D699" s="5">
        <v>19</v>
      </c>
      <c r="E699" s="5">
        <v>2</v>
      </c>
      <c r="F699" s="5">
        <v>0</v>
      </c>
      <c r="G699" s="5">
        <v>0</v>
      </c>
      <c r="H699" s="5">
        <v>19</v>
      </c>
      <c r="I699" s="6">
        <v>4</v>
      </c>
      <c r="J699" s="6">
        <v>17.5</v>
      </c>
      <c r="K699" s="6">
        <v>66</v>
      </c>
      <c r="L699" s="6">
        <v>66.2</v>
      </c>
      <c r="M699" s="4" t="str">
        <f t="shared" si="30"/>
        <v>OK</v>
      </c>
      <c r="N699" s="7">
        <f t="shared" si="31"/>
        <v>1.7132551848512173E-2</v>
      </c>
      <c r="O699" s="7">
        <f>SUMIFS($D$2:D699,$B$2:B699,B699)/SUMIFS($D$2:$D$741,$B$2:$B$741,B699)</f>
        <v>0.9837691614066727</v>
      </c>
      <c r="P699" s="4" t="b">
        <f t="shared" si="32"/>
        <v>0</v>
      </c>
      <c r="Q699" s="2"/>
      <c r="R699" s="2"/>
      <c r="S699" s="2"/>
    </row>
    <row r="700" spans="1:19" x14ac:dyDescent="0.45">
      <c r="A700" s="4" t="s">
        <v>782</v>
      </c>
      <c r="B700" s="4" t="s">
        <v>774</v>
      </c>
      <c r="C700" s="5">
        <v>2</v>
      </c>
      <c r="D700" s="5">
        <v>6</v>
      </c>
      <c r="E700" s="5">
        <v>0</v>
      </c>
      <c r="F700" s="5">
        <v>0</v>
      </c>
      <c r="G700" s="5">
        <v>0</v>
      </c>
      <c r="H700" s="5">
        <v>6</v>
      </c>
      <c r="I700" s="6">
        <v>1</v>
      </c>
      <c r="J700" s="6">
        <v>15.8</v>
      </c>
      <c r="K700" s="6">
        <v>46</v>
      </c>
      <c r="L700" s="6">
        <v>46.5</v>
      </c>
      <c r="M700" s="4" t="str">
        <f t="shared" si="30"/>
        <v>OK</v>
      </c>
      <c r="N700" s="7">
        <f t="shared" si="31"/>
        <v>5.4102795311091077E-3</v>
      </c>
      <c r="O700" s="7">
        <f>SUMIFS($D$2:D700,$B$2:B700,B700)/SUMIFS($D$2:$D$741,$B$2:$B$741,B700)</f>
        <v>0.98917944093778176</v>
      </c>
      <c r="P700" s="4" t="b">
        <f t="shared" si="32"/>
        <v>0</v>
      </c>
      <c r="Q700" s="2"/>
      <c r="R700" s="2"/>
      <c r="S700" s="2"/>
    </row>
    <row r="701" spans="1:19" x14ac:dyDescent="0.45">
      <c r="A701" s="4" t="s">
        <v>783</v>
      </c>
      <c r="B701" s="4" t="s">
        <v>774</v>
      </c>
      <c r="C701" s="5">
        <v>2</v>
      </c>
      <c r="D701" s="5">
        <v>5</v>
      </c>
      <c r="E701" s="5">
        <v>0</v>
      </c>
      <c r="F701" s="5">
        <v>0</v>
      </c>
      <c r="G701" s="5">
        <v>0</v>
      </c>
      <c r="H701" s="5">
        <v>5</v>
      </c>
      <c r="I701" s="6">
        <v>12</v>
      </c>
      <c r="J701" s="6">
        <v>12.6</v>
      </c>
      <c r="K701" s="6">
        <v>21</v>
      </c>
      <c r="L701" s="6">
        <v>21.2</v>
      </c>
      <c r="M701" s="4" t="str">
        <f t="shared" si="30"/>
        <v>OK</v>
      </c>
      <c r="N701" s="7">
        <f t="shared" si="31"/>
        <v>4.508566275924256E-3</v>
      </c>
      <c r="O701" s="7">
        <f>SUMIFS($D$2:D701,$B$2:B701,B701)/SUMIFS($D$2:$D$741,$B$2:$B$741,B701)</f>
        <v>0.99368800721370609</v>
      </c>
      <c r="P701" s="4" t="b">
        <f t="shared" si="32"/>
        <v>0</v>
      </c>
      <c r="Q701" s="2"/>
      <c r="R701" s="2"/>
      <c r="S701" s="2"/>
    </row>
    <row r="702" spans="1:19" x14ac:dyDescent="0.45">
      <c r="A702" s="4" t="s">
        <v>784</v>
      </c>
      <c r="B702" s="4" t="s">
        <v>774</v>
      </c>
      <c r="C702" s="5">
        <v>2</v>
      </c>
      <c r="D702" s="5">
        <v>5</v>
      </c>
      <c r="E702" s="5">
        <v>0</v>
      </c>
      <c r="F702" s="5">
        <v>0</v>
      </c>
      <c r="G702" s="5">
        <v>0</v>
      </c>
      <c r="H702" s="5">
        <v>5</v>
      </c>
      <c r="I702" s="6">
        <v>4</v>
      </c>
      <c r="J702" s="6">
        <v>3.4</v>
      </c>
      <c r="K702" s="6">
        <v>6</v>
      </c>
      <c r="L702" s="6">
        <v>6.4</v>
      </c>
      <c r="M702" s="4" t="str">
        <f t="shared" si="30"/>
        <v>OK</v>
      </c>
      <c r="N702" s="7">
        <f t="shared" si="31"/>
        <v>4.508566275924256E-3</v>
      </c>
      <c r="O702" s="7">
        <f>SUMIFS($D$2:D702,$B$2:B702,B702)/SUMIFS($D$2:$D$741,$B$2:$B$741,B702)</f>
        <v>0.99819657348963031</v>
      </c>
      <c r="P702" s="4" t="b">
        <f t="shared" si="32"/>
        <v>0</v>
      </c>
      <c r="Q702" s="2"/>
      <c r="R702" s="2"/>
      <c r="S702" s="2"/>
    </row>
    <row r="703" spans="1:19" x14ac:dyDescent="0.45">
      <c r="A703" s="4" t="s">
        <v>785</v>
      </c>
      <c r="B703" s="4" t="s">
        <v>774</v>
      </c>
      <c r="C703" s="5">
        <v>2</v>
      </c>
      <c r="D703" s="5">
        <v>2</v>
      </c>
      <c r="E703" s="5">
        <v>0</v>
      </c>
      <c r="F703" s="5">
        <v>0</v>
      </c>
      <c r="G703" s="5">
        <v>0</v>
      </c>
      <c r="H703" s="5">
        <v>2</v>
      </c>
      <c r="I703" s="6">
        <v>1</v>
      </c>
      <c r="J703" s="6">
        <v>1</v>
      </c>
      <c r="K703" s="6">
        <v>1</v>
      </c>
      <c r="L703" s="6">
        <v>1</v>
      </c>
      <c r="M703" s="4" t="str">
        <f t="shared" si="30"/>
        <v>OK</v>
      </c>
      <c r="N703" s="7">
        <f t="shared" si="31"/>
        <v>1.8034265103697023E-3</v>
      </c>
      <c r="O703" s="7">
        <f>SUMIFS($D$2:D703,$B$2:B703,B703)/SUMIFS($D$2:$D$741,$B$2:$B$741,B703)</f>
        <v>1</v>
      </c>
      <c r="P703" s="4" t="b">
        <f t="shared" si="32"/>
        <v>0</v>
      </c>
      <c r="Q703" s="2"/>
      <c r="R703" s="2"/>
      <c r="S703" s="2"/>
    </row>
    <row r="704" spans="1:19" x14ac:dyDescent="0.45">
      <c r="A704" s="9" t="s">
        <v>786</v>
      </c>
      <c r="B704" s="9" t="s">
        <v>787</v>
      </c>
      <c r="C704" s="10">
        <v>2</v>
      </c>
      <c r="D704" s="10">
        <v>26020</v>
      </c>
      <c r="E704" s="10">
        <v>0</v>
      </c>
      <c r="F704" s="10">
        <v>12549</v>
      </c>
      <c r="G704" s="10">
        <v>12549</v>
      </c>
      <c r="H704" s="10">
        <v>13470</v>
      </c>
      <c r="I704" s="11">
        <v>2</v>
      </c>
      <c r="J704" s="11">
        <v>5.0999999999999996</v>
      </c>
      <c r="K704" s="11">
        <v>16</v>
      </c>
      <c r="L704" s="11">
        <v>16</v>
      </c>
      <c r="M704" s="9" t="str">
        <f t="shared" si="30"/>
        <v>OK</v>
      </c>
      <c r="N704" s="12">
        <f t="shared" si="31"/>
        <v>0.85286308958012391</v>
      </c>
      <c r="O704" s="12">
        <f>SUMIFS($D$2:D704,$B$2:B704,B704)/SUMIFS($D$2:$D$741,$B$2:$B$741,B704)</f>
        <v>0.85286308958012391</v>
      </c>
      <c r="P704" s="9" t="b">
        <f t="shared" si="32"/>
        <v>1</v>
      </c>
      <c r="Q704" s="2"/>
      <c r="R704" s="2"/>
      <c r="S704" s="2"/>
    </row>
    <row r="705" spans="1:19" x14ac:dyDescent="0.45">
      <c r="A705" s="4" t="s">
        <v>788</v>
      </c>
      <c r="B705" s="4" t="s">
        <v>787</v>
      </c>
      <c r="C705" s="5">
        <v>2</v>
      </c>
      <c r="D705" s="5">
        <v>2425</v>
      </c>
      <c r="E705" s="5">
        <v>0</v>
      </c>
      <c r="F705" s="5">
        <v>7</v>
      </c>
      <c r="G705" s="5">
        <v>7</v>
      </c>
      <c r="H705" s="5">
        <v>2418</v>
      </c>
      <c r="I705" s="6">
        <v>0</v>
      </c>
      <c r="J705" s="6">
        <v>1.6</v>
      </c>
      <c r="K705" s="6">
        <v>3</v>
      </c>
      <c r="L705" s="6">
        <v>3</v>
      </c>
      <c r="M705" s="4" t="str">
        <f t="shared" si="30"/>
        <v>OK</v>
      </c>
      <c r="N705" s="7">
        <f t="shared" si="31"/>
        <v>7.9484742207217546E-2</v>
      </c>
      <c r="O705" s="7">
        <f>SUMIFS($D$2:D705,$B$2:B705,B705)/SUMIFS($D$2:$D$741,$B$2:$B$741,B705)</f>
        <v>0.93234783178734149</v>
      </c>
      <c r="P705" s="4" t="b">
        <f t="shared" si="32"/>
        <v>1</v>
      </c>
      <c r="Q705" s="2"/>
      <c r="R705" s="2"/>
      <c r="S705" s="2"/>
    </row>
    <row r="706" spans="1:19" x14ac:dyDescent="0.45">
      <c r="A706" s="4" t="s">
        <v>789</v>
      </c>
      <c r="B706" s="4" t="s">
        <v>787</v>
      </c>
      <c r="C706" s="5">
        <v>2</v>
      </c>
      <c r="D706" s="5">
        <v>1820</v>
      </c>
      <c r="E706" s="5">
        <v>90</v>
      </c>
      <c r="F706" s="5">
        <v>0</v>
      </c>
      <c r="G706" s="5">
        <v>0</v>
      </c>
      <c r="H706" s="5">
        <v>1820</v>
      </c>
      <c r="I706" s="6">
        <v>2</v>
      </c>
      <c r="J706" s="6">
        <v>9.4</v>
      </c>
      <c r="K706" s="6">
        <v>23</v>
      </c>
      <c r="L706" s="6">
        <v>23</v>
      </c>
      <c r="M706" s="4" t="str">
        <f t="shared" ref="M706:M769" si="33">IF(AND(K706="",L706=""),"No closed tickets",IF(K706="","MISSING in catalog",IF(L706="","No valid closed tickets",IF(AND(ABS(K706-L706)&gt;=$S$3,ABS(K706-L706)&gt;=$S$4*MAX(L706,1)),"FAR OFF","OK"))))</f>
        <v>OK</v>
      </c>
      <c r="N706" s="7">
        <f t="shared" ref="N706:N741" si="34">D706/SUMIFS($D$2:$D$741,$B$2:$B$741,B706)</f>
        <v>5.9654528172014817E-2</v>
      </c>
      <c r="O706" s="7">
        <f>SUMIFS($D$2:D706,$B$2:B706,B706)/SUMIFS($D$2:$D$741,$B$2:$B$741,B706)</f>
        <v>0.99200235995935626</v>
      </c>
      <c r="P706" s="4" t="b">
        <f t="shared" ref="P706:P769" si="35">O706-N706&lt;$S$2</f>
        <v>1</v>
      </c>
      <c r="Q706" s="2"/>
      <c r="R706" s="2"/>
      <c r="S706" s="2"/>
    </row>
    <row r="707" spans="1:19" x14ac:dyDescent="0.45">
      <c r="A707" s="4" t="s">
        <v>790</v>
      </c>
      <c r="B707" s="4" t="s">
        <v>787</v>
      </c>
      <c r="C707" s="5">
        <v>1</v>
      </c>
      <c r="D707" s="5">
        <v>104</v>
      </c>
      <c r="E707" s="5">
        <v>0</v>
      </c>
      <c r="F707" s="5">
        <v>3</v>
      </c>
      <c r="G707" s="5">
        <v>3</v>
      </c>
      <c r="H707" s="5">
        <v>101</v>
      </c>
      <c r="I707" s="6">
        <v>0</v>
      </c>
      <c r="J707" s="6">
        <v>4</v>
      </c>
      <c r="K707" s="6">
        <v>7</v>
      </c>
      <c r="L707" s="6">
        <v>7</v>
      </c>
      <c r="M707" s="4" t="str">
        <f t="shared" si="33"/>
        <v>OK</v>
      </c>
      <c r="N707" s="7">
        <f t="shared" si="34"/>
        <v>3.4088301812579894E-3</v>
      </c>
      <c r="O707" s="7">
        <f>SUMIFS($D$2:D707,$B$2:B707,B707)/SUMIFS($D$2:$D$741,$B$2:$B$741,B707)</f>
        <v>0.9954111901406143</v>
      </c>
      <c r="P707" s="4" t="b">
        <f t="shared" si="35"/>
        <v>0</v>
      </c>
      <c r="Q707" s="2"/>
      <c r="R707" s="2"/>
      <c r="S707" s="2"/>
    </row>
    <row r="708" spans="1:19" x14ac:dyDescent="0.45">
      <c r="A708" s="4" t="s">
        <v>791</v>
      </c>
      <c r="B708" s="4" t="s">
        <v>787</v>
      </c>
      <c r="C708" s="5">
        <v>2</v>
      </c>
      <c r="D708" s="5">
        <v>75</v>
      </c>
      <c r="E708" s="5">
        <v>5</v>
      </c>
      <c r="F708" s="5">
        <v>2</v>
      </c>
      <c r="G708" s="5">
        <v>2</v>
      </c>
      <c r="H708" s="5">
        <v>73</v>
      </c>
      <c r="I708" s="6">
        <v>4</v>
      </c>
      <c r="J708" s="6">
        <v>50.6</v>
      </c>
      <c r="K708" s="6">
        <v>245</v>
      </c>
      <c r="L708" s="6">
        <v>244.8</v>
      </c>
      <c r="M708" s="4" t="str">
        <f t="shared" si="33"/>
        <v>OK</v>
      </c>
      <c r="N708" s="7">
        <f t="shared" si="34"/>
        <v>2.4582909960995116E-3</v>
      </c>
      <c r="O708" s="7">
        <f>SUMIFS($D$2:D708,$B$2:B708,B708)/SUMIFS($D$2:$D$741,$B$2:$B$741,B708)</f>
        <v>0.99786948113671381</v>
      </c>
      <c r="P708" s="4" t="b">
        <f t="shared" si="35"/>
        <v>0</v>
      </c>
      <c r="Q708" s="2"/>
      <c r="R708" s="2"/>
      <c r="S708" s="2"/>
    </row>
    <row r="709" spans="1:19" x14ac:dyDescent="0.45">
      <c r="A709" s="4" t="s">
        <v>792</v>
      </c>
      <c r="B709" s="4" t="s">
        <v>787</v>
      </c>
      <c r="C709" s="5">
        <v>2</v>
      </c>
      <c r="D709" s="5">
        <v>64</v>
      </c>
      <c r="E709" s="5">
        <v>0</v>
      </c>
      <c r="F709" s="5">
        <v>27</v>
      </c>
      <c r="G709" s="5">
        <v>27</v>
      </c>
      <c r="H709" s="5">
        <v>37</v>
      </c>
      <c r="I709" s="6">
        <v>7</v>
      </c>
      <c r="J709" s="6">
        <v>49.5</v>
      </c>
      <c r="K709" s="6">
        <v>182</v>
      </c>
      <c r="L709" s="6">
        <v>182.2</v>
      </c>
      <c r="M709" s="4" t="str">
        <f t="shared" si="33"/>
        <v>OK</v>
      </c>
      <c r="N709" s="7">
        <f t="shared" si="34"/>
        <v>2.0977416500049164E-3</v>
      </c>
      <c r="O709" s="7">
        <f>SUMIFS($D$2:D709,$B$2:B709,B709)/SUMIFS($D$2:$D$741,$B$2:$B$741,B709)</f>
        <v>0.99996722278671868</v>
      </c>
      <c r="P709" s="4" t="b">
        <f t="shared" si="35"/>
        <v>0</v>
      </c>
      <c r="Q709" s="2"/>
      <c r="R709" s="2"/>
      <c r="S709" s="2"/>
    </row>
    <row r="710" spans="1:19" x14ac:dyDescent="0.45">
      <c r="A710" s="4" t="s">
        <v>793</v>
      </c>
      <c r="B710" s="4" t="s">
        <v>787</v>
      </c>
      <c r="C710" s="5">
        <v>1</v>
      </c>
      <c r="D710" s="5">
        <v>1</v>
      </c>
      <c r="E710" s="5">
        <v>0</v>
      </c>
      <c r="F710" s="5">
        <v>1</v>
      </c>
      <c r="G710" s="5">
        <v>1</v>
      </c>
      <c r="H710" s="5">
        <v>0</v>
      </c>
      <c r="I710" s="6"/>
      <c r="J710" s="6"/>
      <c r="K710" s="6"/>
      <c r="L710" s="6"/>
      <c r="M710" s="4" t="str">
        <f t="shared" si="33"/>
        <v>No closed tickets</v>
      </c>
      <c r="N710" s="7">
        <f t="shared" si="34"/>
        <v>3.2777213281326819E-5</v>
      </c>
      <c r="O710" s="7">
        <f>SUMIFS($D$2:D710,$B$2:B710,B710)/SUMIFS($D$2:$D$741,$B$2:$B$741,B710)</f>
        <v>1</v>
      </c>
      <c r="P710" s="4" t="b">
        <f t="shared" si="35"/>
        <v>0</v>
      </c>
      <c r="Q710" s="2"/>
      <c r="R710" s="2"/>
      <c r="S710" s="2"/>
    </row>
    <row r="711" spans="1:19" x14ac:dyDescent="0.45">
      <c r="A711" s="9" t="s">
        <v>794</v>
      </c>
      <c r="B711" s="9" t="s">
        <v>795</v>
      </c>
      <c r="C711" s="10">
        <v>2</v>
      </c>
      <c r="D711" s="10">
        <v>4611</v>
      </c>
      <c r="E711" s="10">
        <v>1083</v>
      </c>
      <c r="F711" s="10">
        <v>46</v>
      </c>
      <c r="G711" s="10">
        <v>34</v>
      </c>
      <c r="H711" s="10">
        <v>4565</v>
      </c>
      <c r="I711" s="11">
        <v>0</v>
      </c>
      <c r="J711" s="11">
        <v>1.5</v>
      </c>
      <c r="K711" s="11">
        <v>4</v>
      </c>
      <c r="L711" s="11">
        <v>4</v>
      </c>
      <c r="M711" s="9" t="str">
        <f t="shared" si="33"/>
        <v>OK</v>
      </c>
      <c r="N711" s="12">
        <f t="shared" si="34"/>
        <v>1</v>
      </c>
      <c r="O711" s="12">
        <f>SUMIFS($D$2:D711,$B$2:B711,B711)/SUMIFS($D$2:$D$741,$B$2:$B$741,B711)</f>
        <v>1</v>
      </c>
      <c r="P711" s="9" t="b">
        <f t="shared" si="35"/>
        <v>1</v>
      </c>
      <c r="Q711" s="2"/>
      <c r="R711" s="2"/>
      <c r="S711" s="2"/>
    </row>
    <row r="712" spans="1:19" x14ac:dyDescent="0.45">
      <c r="A712" s="9" t="s">
        <v>796</v>
      </c>
      <c r="B712" s="9" t="s">
        <v>797</v>
      </c>
      <c r="C712" s="10">
        <v>1</v>
      </c>
      <c r="D712" s="10">
        <v>124</v>
      </c>
      <c r="E712" s="10">
        <v>123</v>
      </c>
      <c r="F712" s="10">
        <v>2</v>
      </c>
      <c r="G712" s="10">
        <v>0</v>
      </c>
      <c r="H712" s="10">
        <v>122</v>
      </c>
      <c r="I712" s="11">
        <v>1</v>
      </c>
      <c r="J712" s="11">
        <v>2.1</v>
      </c>
      <c r="K712" s="11">
        <v>3</v>
      </c>
      <c r="L712" s="11">
        <v>3</v>
      </c>
      <c r="M712" s="9" t="str">
        <f t="shared" si="33"/>
        <v>OK</v>
      </c>
      <c r="N712" s="12">
        <f t="shared" si="34"/>
        <v>0.65608465608465605</v>
      </c>
      <c r="O712" s="12">
        <f>SUMIFS($D$2:D712,$B$2:B712,B712)/SUMIFS($D$2:$D$741,$B$2:$B$741,B712)</f>
        <v>0.65608465608465605</v>
      </c>
      <c r="P712" s="9" t="b">
        <f t="shared" si="35"/>
        <v>1</v>
      </c>
      <c r="Q712" s="2"/>
      <c r="R712" s="2"/>
      <c r="S712" s="2"/>
    </row>
    <row r="713" spans="1:19" x14ac:dyDescent="0.45">
      <c r="A713" s="4" t="s">
        <v>798</v>
      </c>
      <c r="B713" s="4" t="s">
        <v>797</v>
      </c>
      <c r="C713" s="5">
        <v>1</v>
      </c>
      <c r="D713" s="5">
        <v>25</v>
      </c>
      <c r="E713" s="5">
        <v>7</v>
      </c>
      <c r="F713" s="5">
        <v>0</v>
      </c>
      <c r="G713" s="5">
        <v>0</v>
      </c>
      <c r="H713" s="5">
        <v>25</v>
      </c>
      <c r="I713" s="6">
        <v>0</v>
      </c>
      <c r="J713" s="6">
        <v>0</v>
      </c>
      <c r="K713" s="6">
        <v>0</v>
      </c>
      <c r="L713" s="6">
        <v>0</v>
      </c>
      <c r="M713" s="4" t="str">
        <f t="shared" si="33"/>
        <v>OK</v>
      </c>
      <c r="N713" s="7">
        <f t="shared" si="34"/>
        <v>0.13227513227513227</v>
      </c>
      <c r="O713" s="7">
        <f>SUMIFS($D$2:D713,$B$2:B713,B713)/SUMIFS($D$2:$D$741,$B$2:$B$741,B713)</f>
        <v>0.78835978835978837</v>
      </c>
      <c r="P713" s="4" t="b">
        <f t="shared" si="35"/>
        <v>1</v>
      </c>
      <c r="Q713" s="2"/>
      <c r="R713" s="2"/>
      <c r="S713" s="2"/>
    </row>
    <row r="714" spans="1:19" x14ac:dyDescent="0.45">
      <c r="A714" s="4" t="s">
        <v>799</v>
      </c>
      <c r="B714" s="4" t="s">
        <v>797</v>
      </c>
      <c r="C714" s="5">
        <v>1</v>
      </c>
      <c r="D714" s="5">
        <v>22</v>
      </c>
      <c r="E714" s="5">
        <v>12</v>
      </c>
      <c r="F714" s="5">
        <v>0</v>
      </c>
      <c r="G714" s="5">
        <v>0</v>
      </c>
      <c r="H714" s="5">
        <v>22</v>
      </c>
      <c r="I714" s="6">
        <v>4</v>
      </c>
      <c r="J714" s="6">
        <v>11.2</v>
      </c>
      <c r="K714" s="6">
        <v>7</v>
      </c>
      <c r="L714" s="6">
        <v>7</v>
      </c>
      <c r="M714" s="4" t="str">
        <f t="shared" si="33"/>
        <v>OK</v>
      </c>
      <c r="N714" s="7">
        <f t="shared" si="34"/>
        <v>0.1164021164021164</v>
      </c>
      <c r="O714" s="7">
        <f>SUMIFS($D$2:D714,$B$2:B714,B714)/SUMIFS($D$2:$D$741,$B$2:$B$741,B714)</f>
        <v>0.90476190476190477</v>
      </c>
      <c r="P714" s="4" t="b">
        <f t="shared" si="35"/>
        <v>1</v>
      </c>
      <c r="Q714" s="2"/>
      <c r="R714" s="2"/>
      <c r="S714" s="2"/>
    </row>
    <row r="715" spans="1:19" x14ac:dyDescent="0.45">
      <c r="A715" s="4" t="s">
        <v>800</v>
      </c>
      <c r="B715" s="4" t="s">
        <v>797</v>
      </c>
      <c r="C715" s="5">
        <v>2</v>
      </c>
      <c r="D715" s="5">
        <v>11</v>
      </c>
      <c r="E715" s="5">
        <v>2</v>
      </c>
      <c r="F715" s="5">
        <v>4</v>
      </c>
      <c r="G715" s="5">
        <v>4</v>
      </c>
      <c r="H715" s="5">
        <v>7</v>
      </c>
      <c r="I715" s="6">
        <v>6</v>
      </c>
      <c r="J715" s="6">
        <v>8.1</v>
      </c>
      <c r="K715" s="6">
        <v>15</v>
      </c>
      <c r="L715" s="6">
        <v>15.4</v>
      </c>
      <c r="M715" s="4" t="str">
        <f t="shared" si="33"/>
        <v>OK</v>
      </c>
      <c r="N715" s="7">
        <f t="shared" si="34"/>
        <v>5.8201058201058198E-2</v>
      </c>
      <c r="O715" s="7">
        <f>SUMIFS($D$2:D715,$B$2:B715,B715)/SUMIFS($D$2:$D$741,$B$2:$B$741,B715)</f>
        <v>0.96296296296296291</v>
      </c>
      <c r="P715" s="4" t="b">
        <f t="shared" si="35"/>
        <v>1</v>
      </c>
      <c r="Q715" s="2"/>
      <c r="R715" s="2"/>
      <c r="S715" s="2"/>
    </row>
    <row r="716" spans="1:19" x14ac:dyDescent="0.45">
      <c r="A716" s="4" t="s">
        <v>801</v>
      </c>
      <c r="B716" s="4" t="s">
        <v>797</v>
      </c>
      <c r="C716" s="5">
        <v>1</v>
      </c>
      <c r="D716" s="5">
        <v>4</v>
      </c>
      <c r="E716" s="5">
        <v>2</v>
      </c>
      <c r="F716" s="5">
        <v>0</v>
      </c>
      <c r="G716" s="5">
        <v>0</v>
      </c>
      <c r="H716" s="5">
        <v>4</v>
      </c>
      <c r="I716" s="6">
        <v>1</v>
      </c>
      <c r="J716" s="6">
        <v>1</v>
      </c>
      <c r="K716" s="6">
        <v>2</v>
      </c>
      <c r="L716" s="6">
        <v>1.7</v>
      </c>
      <c r="M716" s="4" t="str">
        <f t="shared" si="33"/>
        <v>OK</v>
      </c>
      <c r="N716" s="7">
        <f t="shared" si="34"/>
        <v>2.1164021164021163E-2</v>
      </c>
      <c r="O716" s="7">
        <f>SUMIFS($D$2:D716,$B$2:B716,B716)/SUMIFS($D$2:$D$741,$B$2:$B$741,B716)</f>
        <v>0.98412698412698407</v>
      </c>
      <c r="P716" s="4" t="b">
        <f t="shared" si="35"/>
        <v>0</v>
      </c>
      <c r="Q716" s="2"/>
      <c r="R716" s="2"/>
      <c r="S716" s="2"/>
    </row>
    <row r="717" spans="1:19" x14ac:dyDescent="0.45">
      <c r="A717" s="4" t="s">
        <v>802</v>
      </c>
      <c r="B717" s="4" t="s">
        <v>797</v>
      </c>
      <c r="C717" s="5">
        <v>1</v>
      </c>
      <c r="D717" s="5">
        <v>3</v>
      </c>
      <c r="E717" s="5">
        <v>2</v>
      </c>
      <c r="F717" s="5">
        <v>1</v>
      </c>
      <c r="G717" s="5">
        <v>0</v>
      </c>
      <c r="H717" s="5">
        <v>2</v>
      </c>
      <c r="I717" s="6">
        <v>10</v>
      </c>
      <c r="J717" s="6">
        <v>10</v>
      </c>
      <c r="K717" s="6">
        <v>14</v>
      </c>
      <c r="L717" s="6">
        <v>14</v>
      </c>
      <c r="M717" s="4" t="str">
        <f t="shared" si="33"/>
        <v>OK</v>
      </c>
      <c r="N717" s="7">
        <f t="shared" si="34"/>
        <v>1.5873015873015872E-2</v>
      </c>
      <c r="O717" s="7">
        <f>SUMIFS($D$2:D717,$B$2:B717,B717)/SUMIFS($D$2:$D$741,$B$2:$B$741,B717)</f>
        <v>1</v>
      </c>
      <c r="P717" s="4" t="b">
        <f t="shared" si="35"/>
        <v>0</v>
      </c>
      <c r="Q717" s="2"/>
      <c r="R717" s="2"/>
      <c r="S717" s="2"/>
    </row>
    <row r="718" spans="1:19" x14ac:dyDescent="0.45">
      <c r="A718" s="9" t="s">
        <v>803</v>
      </c>
      <c r="B718" s="9" t="s">
        <v>804</v>
      </c>
      <c r="C718" s="10">
        <v>1</v>
      </c>
      <c r="D718" s="10">
        <v>210</v>
      </c>
      <c r="E718" s="10">
        <v>204</v>
      </c>
      <c r="F718" s="10">
        <v>11</v>
      </c>
      <c r="G718" s="10">
        <v>0</v>
      </c>
      <c r="H718" s="10">
        <v>199</v>
      </c>
      <c r="I718" s="11">
        <v>3</v>
      </c>
      <c r="J718" s="11">
        <v>8.4</v>
      </c>
      <c r="K718" s="11">
        <v>19</v>
      </c>
      <c r="L718" s="11">
        <v>18.600000000000001</v>
      </c>
      <c r="M718" s="9" t="str">
        <f t="shared" si="33"/>
        <v>OK</v>
      </c>
      <c r="N718" s="12">
        <f t="shared" si="34"/>
        <v>0.8502024291497976</v>
      </c>
      <c r="O718" s="12">
        <f>SUMIFS($D$2:D718,$B$2:B718,B718)/SUMIFS($D$2:$D$741,$B$2:$B$741,B718)</f>
        <v>0.8502024291497976</v>
      </c>
      <c r="P718" s="9" t="b">
        <f t="shared" si="35"/>
        <v>1</v>
      </c>
      <c r="Q718" s="2"/>
      <c r="R718" s="2"/>
      <c r="S718" s="2"/>
    </row>
    <row r="719" spans="1:19" x14ac:dyDescent="0.45">
      <c r="A719" s="4" t="s">
        <v>805</v>
      </c>
      <c r="B719" s="4" t="s">
        <v>804</v>
      </c>
      <c r="C719" s="5">
        <v>1</v>
      </c>
      <c r="D719" s="5">
        <v>37</v>
      </c>
      <c r="E719" s="5">
        <v>37</v>
      </c>
      <c r="F719" s="5">
        <v>0</v>
      </c>
      <c r="G719" s="5">
        <v>0</v>
      </c>
      <c r="H719" s="5">
        <v>37</v>
      </c>
      <c r="I719" s="6">
        <v>3</v>
      </c>
      <c r="J719" s="6">
        <v>4.5999999999999996</v>
      </c>
      <c r="K719" s="6">
        <v>11</v>
      </c>
      <c r="L719" s="6">
        <v>11.4</v>
      </c>
      <c r="M719" s="4" t="str">
        <f t="shared" si="33"/>
        <v>OK</v>
      </c>
      <c r="N719" s="7">
        <f t="shared" si="34"/>
        <v>0.14979757085020243</v>
      </c>
      <c r="O719" s="7">
        <f>SUMIFS($D$2:D719,$B$2:B719,B719)/SUMIFS($D$2:$D$741,$B$2:$B$741,B719)</f>
        <v>1</v>
      </c>
      <c r="P719" s="4" t="b">
        <f t="shared" si="35"/>
        <v>1</v>
      </c>
      <c r="Q719" s="2"/>
      <c r="R719" s="2"/>
      <c r="S719" s="2"/>
    </row>
    <row r="720" spans="1:19" x14ac:dyDescent="0.45">
      <c r="A720" s="9" t="s">
        <v>806</v>
      </c>
      <c r="B720" s="9" t="s">
        <v>807</v>
      </c>
      <c r="C720" s="10">
        <v>2</v>
      </c>
      <c r="D720" s="10">
        <v>2</v>
      </c>
      <c r="E720" s="10">
        <v>0</v>
      </c>
      <c r="F720" s="10">
        <v>0</v>
      </c>
      <c r="G720" s="10">
        <v>0</v>
      </c>
      <c r="H720" s="10">
        <v>2</v>
      </c>
      <c r="I720" s="11">
        <v>2.5</v>
      </c>
      <c r="J720" s="11">
        <v>2.5</v>
      </c>
      <c r="K720" s="11">
        <v>4</v>
      </c>
      <c r="L720" s="11">
        <v>4.5</v>
      </c>
      <c r="M720" s="9" t="str">
        <f t="shared" si="33"/>
        <v>OK</v>
      </c>
      <c r="N720" s="12">
        <f t="shared" si="34"/>
        <v>1</v>
      </c>
      <c r="O720" s="12">
        <f>SUMIFS($D$2:D720,$B$2:B720,B720)/SUMIFS($D$2:$D$741,$B$2:$B$741,B720)</f>
        <v>1</v>
      </c>
      <c r="P720" s="9" t="b">
        <f t="shared" si="35"/>
        <v>1</v>
      </c>
      <c r="Q720" s="2"/>
      <c r="R720" s="2"/>
      <c r="S720" s="2"/>
    </row>
    <row r="721" spans="1:19" x14ac:dyDescent="0.45">
      <c r="A721" s="9" t="s">
        <v>808</v>
      </c>
      <c r="B721" s="9" t="s">
        <v>809</v>
      </c>
      <c r="C721" s="10">
        <v>1</v>
      </c>
      <c r="D721" s="10">
        <v>1</v>
      </c>
      <c r="E721" s="10">
        <v>0</v>
      </c>
      <c r="F721" s="10">
        <v>0</v>
      </c>
      <c r="G721" s="10">
        <v>0</v>
      </c>
      <c r="H721" s="10">
        <v>1</v>
      </c>
      <c r="I721" s="11">
        <v>0</v>
      </c>
      <c r="J721" s="11">
        <v>0</v>
      </c>
      <c r="K721" s="11">
        <v>0</v>
      </c>
      <c r="L721" s="11">
        <v>0</v>
      </c>
      <c r="M721" s="9" t="str">
        <f t="shared" si="33"/>
        <v>OK</v>
      </c>
      <c r="N721" s="12">
        <f t="shared" si="34"/>
        <v>1</v>
      </c>
      <c r="O721" s="12">
        <f>SUMIFS($D$2:D721,$B$2:B721,B721)/SUMIFS($D$2:$D$741,$B$2:$B$741,B721)</f>
        <v>1</v>
      </c>
      <c r="P721" s="9" t="b">
        <f t="shared" si="35"/>
        <v>1</v>
      </c>
      <c r="Q721" s="2"/>
      <c r="R721" s="2"/>
      <c r="S721" s="2"/>
    </row>
    <row r="722" spans="1:19" x14ac:dyDescent="0.45">
      <c r="A722" s="9" t="s">
        <v>810</v>
      </c>
      <c r="B722" s="9" t="s">
        <v>811</v>
      </c>
      <c r="C722" s="10">
        <v>2</v>
      </c>
      <c r="D722" s="10">
        <v>414</v>
      </c>
      <c r="E722" s="10">
        <v>85</v>
      </c>
      <c r="F722" s="10">
        <v>2</v>
      </c>
      <c r="G722" s="10">
        <v>2</v>
      </c>
      <c r="H722" s="10">
        <v>412</v>
      </c>
      <c r="I722" s="11">
        <v>4</v>
      </c>
      <c r="J722" s="11">
        <v>8</v>
      </c>
      <c r="K722" s="11">
        <v>14</v>
      </c>
      <c r="L722" s="11">
        <v>14</v>
      </c>
      <c r="M722" s="9" t="str">
        <f t="shared" si="33"/>
        <v>OK</v>
      </c>
      <c r="N722" s="12">
        <f t="shared" si="34"/>
        <v>1</v>
      </c>
      <c r="O722" s="12">
        <f>SUMIFS($D$2:D722,$B$2:B722,B722)/SUMIFS($D$2:$D$741,$B$2:$B$741,B722)</f>
        <v>1</v>
      </c>
      <c r="P722" s="9" t="b">
        <f t="shared" si="35"/>
        <v>1</v>
      </c>
      <c r="Q722" s="2"/>
      <c r="R722" s="2"/>
      <c r="S722" s="2"/>
    </row>
    <row r="723" spans="1:19" x14ac:dyDescent="0.45">
      <c r="A723" s="9" t="s">
        <v>812</v>
      </c>
      <c r="B723" s="9" t="s">
        <v>813</v>
      </c>
      <c r="C723" s="10">
        <v>2</v>
      </c>
      <c r="D723" s="10">
        <v>545</v>
      </c>
      <c r="E723" s="10">
        <v>0</v>
      </c>
      <c r="F723" s="10">
        <v>0</v>
      </c>
      <c r="G723" s="10">
        <v>0</v>
      </c>
      <c r="H723" s="10">
        <v>545</v>
      </c>
      <c r="I723" s="11">
        <v>2</v>
      </c>
      <c r="J723" s="11">
        <v>4.0999999999999996</v>
      </c>
      <c r="K723" s="11">
        <v>10</v>
      </c>
      <c r="L723" s="11">
        <v>10</v>
      </c>
      <c r="M723" s="9" t="str">
        <f t="shared" si="33"/>
        <v>OK</v>
      </c>
      <c r="N723" s="12">
        <f t="shared" si="34"/>
        <v>0.89198036006546644</v>
      </c>
      <c r="O723" s="12">
        <f>SUMIFS($D$2:D723,$B$2:B723,B723)/SUMIFS($D$2:$D$741,$B$2:$B$741,B723)</f>
        <v>0.89198036006546644</v>
      </c>
      <c r="P723" s="9" t="b">
        <f t="shared" si="35"/>
        <v>1</v>
      </c>
      <c r="Q723" s="2"/>
      <c r="R723" s="2"/>
      <c r="S723" s="2"/>
    </row>
    <row r="724" spans="1:19" x14ac:dyDescent="0.45">
      <c r="A724" s="4" t="s">
        <v>814</v>
      </c>
      <c r="B724" s="4" t="s">
        <v>813</v>
      </c>
      <c r="C724" s="5">
        <v>2</v>
      </c>
      <c r="D724" s="5">
        <v>66</v>
      </c>
      <c r="E724" s="5">
        <v>0</v>
      </c>
      <c r="F724" s="5">
        <v>0</v>
      </c>
      <c r="G724" s="5">
        <v>0</v>
      </c>
      <c r="H724" s="5">
        <v>66</v>
      </c>
      <c r="I724" s="6">
        <v>19</v>
      </c>
      <c r="J724" s="6">
        <v>21</v>
      </c>
      <c r="K724" s="6">
        <v>34</v>
      </c>
      <c r="L724" s="6">
        <v>34.5</v>
      </c>
      <c r="M724" s="4" t="str">
        <f t="shared" si="33"/>
        <v>OK</v>
      </c>
      <c r="N724" s="7">
        <f t="shared" si="34"/>
        <v>0.10801963993453355</v>
      </c>
      <c r="O724" s="7">
        <f>SUMIFS($D$2:D724,$B$2:B724,B724)/SUMIFS($D$2:$D$741,$B$2:$B$741,B724)</f>
        <v>1</v>
      </c>
      <c r="P724" s="4" t="b">
        <f t="shared" si="35"/>
        <v>1</v>
      </c>
      <c r="Q724" s="2"/>
      <c r="R724" s="2"/>
      <c r="S724" s="2"/>
    </row>
    <row r="725" spans="1:19" x14ac:dyDescent="0.45">
      <c r="A725" s="9" t="s">
        <v>815</v>
      </c>
      <c r="B725" s="9" t="s">
        <v>816</v>
      </c>
      <c r="C725" s="10">
        <v>2</v>
      </c>
      <c r="D725" s="10">
        <v>275</v>
      </c>
      <c r="E725" s="10">
        <v>0</v>
      </c>
      <c r="F725" s="10">
        <v>0</v>
      </c>
      <c r="G725" s="10">
        <v>0</v>
      </c>
      <c r="H725" s="10">
        <v>275</v>
      </c>
      <c r="I725" s="11">
        <v>5</v>
      </c>
      <c r="J725" s="11">
        <v>8.1999999999999993</v>
      </c>
      <c r="K725" s="11">
        <v>21</v>
      </c>
      <c r="L725" s="11">
        <v>21</v>
      </c>
      <c r="M725" s="9" t="str">
        <f t="shared" si="33"/>
        <v>OK</v>
      </c>
      <c r="N725" s="12">
        <f t="shared" si="34"/>
        <v>1</v>
      </c>
      <c r="O725" s="12">
        <f>SUMIFS($D$2:D725,$B$2:B725,B725)/SUMIFS($D$2:$D$741,$B$2:$B$741,B725)</f>
        <v>1</v>
      </c>
      <c r="P725" s="9" t="b">
        <f t="shared" si="35"/>
        <v>1</v>
      </c>
      <c r="Q725" s="2"/>
      <c r="R725" s="2"/>
      <c r="S725" s="2"/>
    </row>
    <row r="726" spans="1:19" x14ac:dyDescent="0.45">
      <c r="A726" s="9" t="s">
        <v>817</v>
      </c>
      <c r="B726" s="9" t="s">
        <v>818</v>
      </c>
      <c r="C726" s="10">
        <v>1</v>
      </c>
      <c r="D726" s="10">
        <v>1</v>
      </c>
      <c r="E726" s="10">
        <v>0</v>
      </c>
      <c r="F726" s="10">
        <v>0</v>
      </c>
      <c r="G726" s="10">
        <v>0</v>
      </c>
      <c r="H726" s="10">
        <v>1</v>
      </c>
      <c r="I726" s="11">
        <v>0</v>
      </c>
      <c r="J726" s="11">
        <v>0</v>
      </c>
      <c r="K726" s="11">
        <v>0</v>
      </c>
      <c r="L726" s="11">
        <v>0</v>
      </c>
      <c r="M726" s="9" t="str">
        <f t="shared" si="33"/>
        <v>OK</v>
      </c>
      <c r="N726" s="12">
        <f t="shared" si="34"/>
        <v>1</v>
      </c>
      <c r="O726" s="12">
        <f>SUMIFS($D$2:D726,$B$2:B726,B726)/SUMIFS($D$2:$D$741,$B$2:$B$741,B726)</f>
        <v>1</v>
      </c>
      <c r="P726" s="9" t="b">
        <f t="shared" si="35"/>
        <v>1</v>
      </c>
      <c r="Q726" s="2"/>
      <c r="R726" s="2"/>
      <c r="S726" s="2"/>
    </row>
    <row r="727" spans="1:19" x14ac:dyDescent="0.45">
      <c r="A727" s="9" t="s">
        <v>819</v>
      </c>
      <c r="B727" s="9" t="s">
        <v>820</v>
      </c>
      <c r="C727" s="10">
        <v>1</v>
      </c>
      <c r="D727" s="10">
        <v>1</v>
      </c>
      <c r="E727" s="10">
        <v>0</v>
      </c>
      <c r="F727" s="10">
        <v>0</v>
      </c>
      <c r="G727" s="10">
        <v>0</v>
      </c>
      <c r="H727" s="10">
        <v>1</v>
      </c>
      <c r="I727" s="11">
        <v>0</v>
      </c>
      <c r="J727" s="11">
        <v>0</v>
      </c>
      <c r="K727" s="11">
        <v>0</v>
      </c>
      <c r="L727" s="11">
        <v>0</v>
      </c>
      <c r="M727" s="9" t="str">
        <f t="shared" si="33"/>
        <v>OK</v>
      </c>
      <c r="N727" s="12">
        <f t="shared" si="34"/>
        <v>1</v>
      </c>
      <c r="O727" s="12">
        <f>SUMIFS($D$2:D727,$B$2:B727,B727)/SUMIFS($D$2:$D$741,$B$2:$B$741,B727)</f>
        <v>1</v>
      </c>
      <c r="P727" s="9" t="b">
        <f t="shared" si="35"/>
        <v>1</v>
      </c>
      <c r="Q727" s="2"/>
      <c r="R727" s="2"/>
      <c r="S727" s="2"/>
    </row>
    <row r="728" spans="1:19" x14ac:dyDescent="0.45">
      <c r="A728" s="9" t="s">
        <v>821</v>
      </c>
      <c r="B728" s="9" t="s">
        <v>822</v>
      </c>
      <c r="C728" s="10">
        <v>2</v>
      </c>
      <c r="D728" s="10">
        <v>154</v>
      </c>
      <c r="E728" s="10">
        <v>0</v>
      </c>
      <c r="F728" s="10">
        <v>0</v>
      </c>
      <c r="G728" s="10">
        <v>0</v>
      </c>
      <c r="H728" s="10">
        <v>154</v>
      </c>
      <c r="I728" s="11">
        <v>0</v>
      </c>
      <c r="J728" s="11">
        <v>8.1999999999999993</v>
      </c>
      <c r="K728" s="11">
        <v>30</v>
      </c>
      <c r="L728" s="11">
        <v>29.7</v>
      </c>
      <c r="M728" s="9" t="str">
        <f t="shared" si="33"/>
        <v>OK</v>
      </c>
      <c r="N728" s="12">
        <f t="shared" si="34"/>
        <v>0.48427672955974843</v>
      </c>
      <c r="O728" s="12">
        <f>SUMIFS($D$2:D728,$B$2:B728,B728)/SUMIFS($D$2:$D$741,$B$2:$B$741,B728)</f>
        <v>0.48427672955974843</v>
      </c>
      <c r="P728" s="9" t="b">
        <f t="shared" si="35"/>
        <v>1</v>
      </c>
      <c r="Q728" s="2"/>
      <c r="R728" s="2"/>
      <c r="S728" s="2"/>
    </row>
    <row r="729" spans="1:19" x14ac:dyDescent="0.45">
      <c r="A729" s="4" t="s">
        <v>823</v>
      </c>
      <c r="B729" s="4" t="s">
        <v>822</v>
      </c>
      <c r="C729" s="5">
        <v>2</v>
      </c>
      <c r="D729" s="5">
        <v>68</v>
      </c>
      <c r="E729" s="5">
        <v>0</v>
      </c>
      <c r="F729" s="5">
        <v>0</v>
      </c>
      <c r="G729" s="5">
        <v>0</v>
      </c>
      <c r="H729" s="5">
        <v>68</v>
      </c>
      <c r="I729" s="6">
        <v>1</v>
      </c>
      <c r="J729" s="6">
        <v>1.9</v>
      </c>
      <c r="K729" s="6">
        <v>4</v>
      </c>
      <c r="L729" s="6">
        <v>4</v>
      </c>
      <c r="M729" s="4" t="str">
        <f t="shared" si="33"/>
        <v>OK</v>
      </c>
      <c r="N729" s="7">
        <f t="shared" si="34"/>
        <v>0.21383647798742139</v>
      </c>
      <c r="O729" s="7">
        <f>SUMIFS($D$2:D729,$B$2:B729,B729)/SUMIFS($D$2:$D$741,$B$2:$B$741,B729)</f>
        <v>0.69811320754716977</v>
      </c>
      <c r="P729" s="4" t="b">
        <f t="shared" si="35"/>
        <v>1</v>
      </c>
      <c r="Q729" s="2"/>
      <c r="R729" s="2"/>
      <c r="S729" s="2"/>
    </row>
    <row r="730" spans="1:19" x14ac:dyDescent="0.45">
      <c r="A730" s="4" t="s">
        <v>824</v>
      </c>
      <c r="B730" s="4" t="s">
        <v>822</v>
      </c>
      <c r="C730" s="5">
        <v>2</v>
      </c>
      <c r="D730" s="5">
        <v>43</v>
      </c>
      <c r="E730" s="5">
        <v>0</v>
      </c>
      <c r="F730" s="5">
        <v>0</v>
      </c>
      <c r="G730" s="5">
        <v>0</v>
      </c>
      <c r="H730" s="5">
        <v>43</v>
      </c>
      <c r="I730" s="6">
        <v>2</v>
      </c>
      <c r="J730" s="6">
        <v>4.7</v>
      </c>
      <c r="K730" s="6">
        <v>11</v>
      </c>
      <c r="L730" s="6">
        <v>10.8</v>
      </c>
      <c r="M730" s="4" t="str">
        <f t="shared" si="33"/>
        <v>OK</v>
      </c>
      <c r="N730" s="7">
        <f t="shared" si="34"/>
        <v>0.13522012578616352</v>
      </c>
      <c r="O730" s="7">
        <f>SUMIFS($D$2:D730,$B$2:B730,B730)/SUMIFS($D$2:$D$741,$B$2:$B$741,B730)</f>
        <v>0.83333333333333337</v>
      </c>
      <c r="P730" s="4" t="b">
        <f t="shared" si="35"/>
        <v>1</v>
      </c>
      <c r="Q730" s="2"/>
      <c r="R730" s="2"/>
      <c r="S730" s="2"/>
    </row>
    <row r="731" spans="1:19" x14ac:dyDescent="0.45">
      <c r="A731" s="4" t="s">
        <v>825</v>
      </c>
      <c r="B731" s="4" t="s">
        <v>822</v>
      </c>
      <c r="C731" s="5">
        <v>2</v>
      </c>
      <c r="D731" s="5">
        <v>30</v>
      </c>
      <c r="E731" s="5">
        <v>0</v>
      </c>
      <c r="F731" s="5">
        <v>0</v>
      </c>
      <c r="G731" s="5">
        <v>0</v>
      </c>
      <c r="H731" s="5">
        <v>30</v>
      </c>
      <c r="I731" s="6">
        <v>1</v>
      </c>
      <c r="J731" s="6">
        <v>22.6</v>
      </c>
      <c r="K731" s="6">
        <v>4</v>
      </c>
      <c r="L731" s="6">
        <v>4.4000000000000004</v>
      </c>
      <c r="M731" s="4" t="str">
        <f t="shared" si="33"/>
        <v>OK</v>
      </c>
      <c r="N731" s="7">
        <f t="shared" si="34"/>
        <v>9.4339622641509441E-2</v>
      </c>
      <c r="O731" s="7">
        <f>SUMIFS($D$2:D731,$B$2:B731,B731)/SUMIFS($D$2:$D$741,$B$2:$B$741,B731)</f>
        <v>0.92767295597484278</v>
      </c>
      <c r="P731" s="4" t="b">
        <f t="shared" si="35"/>
        <v>1</v>
      </c>
      <c r="Q731" s="2"/>
      <c r="R731" s="2"/>
      <c r="S731" s="2"/>
    </row>
    <row r="732" spans="1:19" x14ac:dyDescent="0.45">
      <c r="A732" s="4" t="s">
        <v>826</v>
      </c>
      <c r="B732" s="4" t="s">
        <v>822</v>
      </c>
      <c r="C732" s="5">
        <v>2</v>
      </c>
      <c r="D732" s="5">
        <v>13</v>
      </c>
      <c r="E732" s="5">
        <v>0</v>
      </c>
      <c r="F732" s="5">
        <v>0</v>
      </c>
      <c r="G732" s="5">
        <v>0</v>
      </c>
      <c r="H732" s="5">
        <v>13</v>
      </c>
      <c r="I732" s="6">
        <v>13</v>
      </c>
      <c r="J732" s="6">
        <v>13.2</v>
      </c>
      <c r="K732" s="6">
        <v>19</v>
      </c>
      <c r="L732" s="6">
        <v>19</v>
      </c>
      <c r="M732" s="4" t="str">
        <f t="shared" si="33"/>
        <v>OK</v>
      </c>
      <c r="N732" s="7">
        <f t="shared" si="34"/>
        <v>4.0880503144654086E-2</v>
      </c>
      <c r="O732" s="7">
        <f>SUMIFS($D$2:D732,$B$2:B732,B732)/SUMIFS($D$2:$D$741,$B$2:$B$741,B732)</f>
        <v>0.96855345911949686</v>
      </c>
      <c r="P732" s="4" t="b">
        <f t="shared" si="35"/>
        <v>1</v>
      </c>
      <c r="Q732" s="2"/>
      <c r="R732" s="2"/>
      <c r="S732" s="2"/>
    </row>
    <row r="733" spans="1:19" x14ac:dyDescent="0.45">
      <c r="A733" s="4" t="s">
        <v>827</v>
      </c>
      <c r="B733" s="4" t="s">
        <v>822</v>
      </c>
      <c r="C733" s="5">
        <v>2</v>
      </c>
      <c r="D733" s="5">
        <v>10</v>
      </c>
      <c r="E733" s="5">
        <v>0</v>
      </c>
      <c r="F733" s="5">
        <v>0</v>
      </c>
      <c r="G733" s="5">
        <v>0</v>
      </c>
      <c r="H733" s="5">
        <v>10</v>
      </c>
      <c r="I733" s="6">
        <v>9.5</v>
      </c>
      <c r="J733" s="6">
        <v>9.1999999999999993</v>
      </c>
      <c r="K733" s="6">
        <v>12</v>
      </c>
      <c r="L733" s="6">
        <v>12.2</v>
      </c>
      <c r="M733" s="4" t="str">
        <f t="shared" si="33"/>
        <v>OK</v>
      </c>
      <c r="N733" s="7">
        <f t="shared" si="34"/>
        <v>3.1446540880503145E-2</v>
      </c>
      <c r="O733" s="7">
        <f>SUMIFS($D$2:D733,$B$2:B733,B733)/SUMIFS($D$2:$D$741,$B$2:$B$741,B733)</f>
        <v>1</v>
      </c>
      <c r="P733" s="4" t="b">
        <f t="shared" si="35"/>
        <v>0</v>
      </c>
      <c r="Q733" s="2"/>
      <c r="R733" s="2"/>
      <c r="S733" s="2"/>
    </row>
    <row r="734" spans="1:19" x14ac:dyDescent="0.45">
      <c r="A734" s="9" t="s">
        <v>828</v>
      </c>
      <c r="B734" s="9" t="s">
        <v>829</v>
      </c>
      <c r="C734" s="10">
        <v>2</v>
      </c>
      <c r="D734" s="10">
        <v>102</v>
      </c>
      <c r="E734" s="10">
        <v>0</v>
      </c>
      <c r="F734" s="10">
        <v>0</v>
      </c>
      <c r="G734" s="10">
        <v>0</v>
      </c>
      <c r="H734" s="10">
        <v>102</v>
      </c>
      <c r="I734" s="11">
        <v>1</v>
      </c>
      <c r="J734" s="11">
        <v>3.3</v>
      </c>
      <c r="K734" s="11">
        <v>13</v>
      </c>
      <c r="L734" s="11">
        <v>13</v>
      </c>
      <c r="M734" s="9" t="str">
        <f t="shared" si="33"/>
        <v>OK</v>
      </c>
      <c r="N734" s="12">
        <f t="shared" si="34"/>
        <v>1</v>
      </c>
      <c r="O734" s="12">
        <f>SUMIFS($D$2:D734,$B$2:B734,B734)/SUMIFS($D$2:$D$741,$B$2:$B$741,B734)</f>
        <v>1</v>
      </c>
      <c r="P734" s="9" t="b">
        <f t="shared" si="35"/>
        <v>1</v>
      </c>
      <c r="Q734" s="2"/>
      <c r="R734" s="2"/>
      <c r="S734" s="2"/>
    </row>
    <row r="735" spans="1:19" x14ac:dyDescent="0.45">
      <c r="A735" s="9" t="s">
        <v>830</v>
      </c>
      <c r="B735" s="9" t="s">
        <v>831</v>
      </c>
      <c r="C735" s="10">
        <v>0</v>
      </c>
      <c r="D735" s="10">
        <v>101</v>
      </c>
      <c r="E735" s="10">
        <v>0</v>
      </c>
      <c r="F735" s="10">
        <v>0</v>
      </c>
      <c r="G735" s="10">
        <v>0</v>
      </c>
      <c r="H735" s="10">
        <v>101</v>
      </c>
      <c r="I735" s="11">
        <v>12</v>
      </c>
      <c r="J735" s="11">
        <v>83.2</v>
      </c>
      <c r="K735" s="11">
        <v>257</v>
      </c>
      <c r="L735" s="11">
        <v>257</v>
      </c>
      <c r="M735" s="9" t="str">
        <f t="shared" si="33"/>
        <v>OK</v>
      </c>
      <c r="N735" s="12">
        <f t="shared" si="34"/>
        <v>0.41908713692946059</v>
      </c>
      <c r="O735" s="12">
        <f>SUMIFS($D$2:D735,$B$2:B735,B735)/SUMIFS($D$2:$D$741,$B$2:$B$741,B735)</f>
        <v>0.41908713692946059</v>
      </c>
      <c r="P735" s="9" t="b">
        <f t="shared" si="35"/>
        <v>1</v>
      </c>
      <c r="Q735" s="2"/>
      <c r="R735" s="2"/>
      <c r="S735" s="2"/>
    </row>
    <row r="736" spans="1:19" x14ac:dyDescent="0.45">
      <c r="A736" s="4" t="s">
        <v>832</v>
      </c>
      <c r="B736" s="4" t="s">
        <v>831</v>
      </c>
      <c r="C736" s="5">
        <v>0</v>
      </c>
      <c r="D736" s="5">
        <v>49</v>
      </c>
      <c r="E736" s="5">
        <v>0</v>
      </c>
      <c r="F736" s="5">
        <v>0</v>
      </c>
      <c r="G736" s="5">
        <v>0</v>
      </c>
      <c r="H736" s="5">
        <v>49</v>
      </c>
      <c r="I736" s="6">
        <v>18</v>
      </c>
      <c r="J736" s="6">
        <v>41.5</v>
      </c>
      <c r="K736" s="6">
        <v>138</v>
      </c>
      <c r="L736" s="6">
        <v>137.80000000000001</v>
      </c>
      <c r="M736" s="4" t="str">
        <f t="shared" si="33"/>
        <v>OK</v>
      </c>
      <c r="N736" s="7">
        <f t="shared" si="34"/>
        <v>0.2033195020746888</v>
      </c>
      <c r="O736" s="7">
        <f>SUMIFS($D$2:D736,$B$2:B736,B736)/SUMIFS($D$2:$D$741,$B$2:$B$741,B736)</f>
        <v>0.62240663900414939</v>
      </c>
      <c r="P736" s="4" t="b">
        <f t="shared" si="35"/>
        <v>1</v>
      </c>
      <c r="Q736" s="2"/>
      <c r="R736" s="2"/>
      <c r="S736" s="2"/>
    </row>
    <row r="737" spans="1:19" x14ac:dyDescent="0.45">
      <c r="A737" s="4" t="s">
        <v>833</v>
      </c>
      <c r="B737" s="4" t="s">
        <v>831</v>
      </c>
      <c r="C737" s="5">
        <v>0</v>
      </c>
      <c r="D737" s="5">
        <v>36</v>
      </c>
      <c r="E737" s="5">
        <v>0</v>
      </c>
      <c r="F737" s="5">
        <v>0</v>
      </c>
      <c r="G737" s="5">
        <v>0</v>
      </c>
      <c r="H737" s="5">
        <v>36</v>
      </c>
      <c r="I737" s="6">
        <v>2.5</v>
      </c>
      <c r="J737" s="6">
        <v>22</v>
      </c>
      <c r="K737" s="6">
        <v>29</v>
      </c>
      <c r="L737" s="6">
        <v>29</v>
      </c>
      <c r="M737" s="4" t="str">
        <f t="shared" si="33"/>
        <v>OK</v>
      </c>
      <c r="N737" s="7">
        <f t="shared" si="34"/>
        <v>0.14937759336099585</v>
      </c>
      <c r="O737" s="7">
        <f>SUMIFS($D$2:D737,$B$2:B737,B737)/SUMIFS($D$2:$D$741,$B$2:$B$741,B737)</f>
        <v>0.77178423236514526</v>
      </c>
      <c r="P737" s="4" t="b">
        <f t="shared" si="35"/>
        <v>1</v>
      </c>
      <c r="Q737" s="2"/>
      <c r="R737" s="2"/>
      <c r="S737" s="2"/>
    </row>
    <row r="738" spans="1:19" x14ac:dyDescent="0.45">
      <c r="A738" s="4" t="s">
        <v>834</v>
      </c>
      <c r="B738" s="4" t="s">
        <v>831</v>
      </c>
      <c r="C738" s="5">
        <v>0</v>
      </c>
      <c r="D738" s="5">
        <v>20</v>
      </c>
      <c r="E738" s="5">
        <v>0</v>
      </c>
      <c r="F738" s="5">
        <v>0</v>
      </c>
      <c r="G738" s="5">
        <v>0</v>
      </c>
      <c r="H738" s="5">
        <v>20</v>
      </c>
      <c r="I738" s="6">
        <v>6.5</v>
      </c>
      <c r="J738" s="6">
        <v>22.6</v>
      </c>
      <c r="K738" s="6">
        <v>20</v>
      </c>
      <c r="L738" s="6">
        <v>20.100000000000001</v>
      </c>
      <c r="M738" s="4" t="str">
        <f t="shared" si="33"/>
        <v>OK</v>
      </c>
      <c r="N738" s="7">
        <f t="shared" si="34"/>
        <v>8.2987551867219914E-2</v>
      </c>
      <c r="O738" s="7">
        <f>SUMIFS($D$2:D738,$B$2:B738,B738)/SUMIFS($D$2:$D$741,$B$2:$B$741,B738)</f>
        <v>0.85477178423236511</v>
      </c>
      <c r="P738" s="4" t="b">
        <f t="shared" si="35"/>
        <v>1</v>
      </c>
      <c r="Q738" s="2"/>
      <c r="R738" s="2"/>
      <c r="S738" s="2"/>
    </row>
    <row r="739" spans="1:19" x14ac:dyDescent="0.45">
      <c r="A739" s="4" t="s">
        <v>835</v>
      </c>
      <c r="B739" s="4" t="s">
        <v>831</v>
      </c>
      <c r="C739" s="5">
        <v>0</v>
      </c>
      <c r="D739" s="5">
        <v>15</v>
      </c>
      <c r="E739" s="5">
        <v>0</v>
      </c>
      <c r="F739" s="5">
        <v>0</v>
      </c>
      <c r="G739" s="5">
        <v>0</v>
      </c>
      <c r="H739" s="5">
        <v>15</v>
      </c>
      <c r="I739" s="6">
        <v>8</v>
      </c>
      <c r="J739" s="6">
        <v>9.1</v>
      </c>
      <c r="K739" s="6">
        <v>20</v>
      </c>
      <c r="L739" s="6">
        <v>20.2</v>
      </c>
      <c r="M739" s="4" t="str">
        <f t="shared" si="33"/>
        <v>OK</v>
      </c>
      <c r="N739" s="7">
        <f t="shared" si="34"/>
        <v>6.2240663900414939E-2</v>
      </c>
      <c r="O739" s="7">
        <f>SUMIFS($D$2:D739,$B$2:B739,B739)/SUMIFS($D$2:$D$741,$B$2:$B$741,B739)</f>
        <v>0.91701244813278004</v>
      </c>
      <c r="P739" s="4" t="b">
        <f t="shared" si="35"/>
        <v>1</v>
      </c>
      <c r="Q739" s="2"/>
      <c r="R739" s="2"/>
      <c r="S739" s="2"/>
    </row>
    <row r="740" spans="1:19" x14ac:dyDescent="0.45">
      <c r="A740" s="4" t="s">
        <v>836</v>
      </c>
      <c r="B740" s="4" t="s">
        <v>831</v>
      </c>
      <c r="C740" s="5">
        <v>0</v>
      </c>
      <c r="D740" s="5">
        <v>11</v>
      </c>
      <c r="E740" s="5">
        <v>0</v>
      </c>
      <c r="F740" s="5">
        <v>0</v>
      </c>
      <c r="G740" s="5">
        <v>0</v>
      </c>
      <c r="H740" s="5">
        <v>11</v>
      </c>
      <c r="I740" s="6">
        <v>62</v>
      </c>
      <c r="J740" s="6">
        <v>58.3</v>
      </c>
      <c r="K740" s="6">
        <v>132</v>
      </c>
      <c r="L740" s="6">
        <v>132</v>
      </c>
      <c r="M740" s="4" t="str">
        <f t="shared" si="33"/>
        <v>OK</v>
      </c>
      <c r="N740" s="7">
        <f t="shared" si="34"/>
        <v>4.5643153526970952E-2</v>
      </c>
      <c r="O740" s="7">
        <f>SUMIFS($D$2:D740,$B$2:B740,B740)/SUMIFS($D$2:$D$741,$B$2:$B$741,B740)</f>
        <v>0.96265560165975106</v>
      </c>
      <c r="P740" s="4" t="b">
        <f t="shared" si="35"/>
        <v>1</v>
      </c>
      <c r="Q740" s="2"/>
      <c r="R740" s="2"/>
      <c r="S740" s="2"/>
    </row>
    <row r="741" spans="1:19" x14ac:dyDescent="0.45">
      <c r="A741" s="4" t="s">
        <v>837</v>
      </c>
      <c r="B741" s="4" t="s">
        <v>831</v>
      </c>
      <c r="C741" s="5">
        <v>0</v>
      </c>
      <c r="D741" s="5">
        <v>9</v>
      </c>
      <c r="E741" s="5">
        <v>0</v>
      </c>
      <c r="F741" s="5">
        <v>0</v>
      </c>
      <c r="G741" s="5">
        <v>0</v>
      </c>
      <c r="H741" s="5">
        <v>9</v>
      </c>
      <c r="I741" s="6">
        <v>4</v>
      </c>
      <c r="J741" s="6">
        <v>7.2</v>
      </c>
      <c r="K741" s="6">
        <v>16</v>
      </c>
      <c r="L741" s="6">
        <v>15.6</v>
      </c>
      <c r="M741" s="4" t="str">
        <f t="shared" si="33"/>
        <v>OK</v>
      </c>
      <c r="N741" s="7">
        <f t="shared" si="34"/>
        <v>3.7344398340248962E-2</v>
      </c>
      <c r="O741" s="7">
        <f>SUMIFS($D$2:D741,$B$2:B741,B741)/SUMIFS($D$2:$D$741,$B$2:$B$741,B741)</f>
        <v>1</v>
      </c>
      <c r="P741" s="4" t="b">
        <f t="shared" si="35"/>
        <v>0</v>
      </c>
      <c r="Q741" s="2"/>
      <c r="R741" s="2"/>
      <c r="S741" s="2"/>
    </row>
  </sheetData>
  <autoFilter ref="A1:P741" xr:uid="{00000000-0009-0000-0000-000000000000}"/>
  <conditionalFormatting sqref="M2:M741">
    <cfRule type="expression" dxfId="3" priority="2">
      <formula>M2&lt;&gt;"OK"</formula>
    </cfRule>
  </conditionalFormatting>
  <conditionalFormatting sqref="P2:P741">
    <cfRule type="expression" dxfId="2" priority="3">
      <formula>P2=1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8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6640625" defaultRowHeight="14.25" x14ac:dyDescent="0.45"/>
  <cols>
    <col min="1" max="1" width="52" customWidth="1"/>
    <col min="2" max="2" width="26" customWidth="1"/>
    <col min="3" max="3" width="44" customWidth="1"/>
    <col min="4" max="5" width="9" customWidth="1"/>
    <col min="6" max="7" width="10" customWidth="1"/>
    <col min="8" max="9" width="11" customWidth="1"/>
    <col min="10" max="10" width="32" customWidth="1"/>
    <col min="11" max="11" width="58" customWidth="1"/>
    <col min="13" max="13" width="34" customWidth="1"/>
    <col min="14" max="14" width="70" customWidth="1"/>
  </cols>
  <sheetData>
    <row r="1" spans="1:14" ht="30" customHeight="1" x14ac:dyDescent="0.45">
      <c r="A1" s="1" t="s">
        <v>0</v>
      </c>
      <c r="B1" s="1" t="s">
        <v>838</v>
      </c>
      <c r="C1" s="1" t="s">
        <v>1</v>
      </c>
      <c r="D1" s="1" t="s">
        <v>839</v>
      </c>
      <c r="E1" s="1" t="s">
        <v>840</v>
      </c>
      <c r="F1" s="1" t="s">
        <v>841</v>
      </c>
      <c r="G1" s="1" t="s">
        <v>4</v>
      </c>
      <c r="H1" s="1" t="s">
        <v>842</v>
      </c>
      <c r="I1" s="1" t="s">
        <v>843</v>
      </c>
      <c r="J1" s="1" t="s">
        <v>844</v>
      </c>
      <c r="K1" s="1" t="s">
        <v>845</v>
      </c>
      <c r="L1" s="2"/>
      <c r="M1" s="3" t="s">
        <v>846</v>
      </c>
      <c r="N1" s="2"/>
    </row>
    <row r="2" spans="1:14" x14ac:dyDescent="0.45">
      <c r="A2" s="4" t="s">
        <v>17</v>
      </c>
      <c r="B2" s="4" t="s">
        <v>847</v>
      </c>
      <c r="C2" s="4" t="s">
        <v>18</v>
      </c>
      <c r="D2" s="4" t="b">
        <f>TRUE()</f>
        <v>1</v>
      </c>
      <c r="E2" s="5">
        <v>18</v>
      </c>
      <c r="F2" s="7">
        <f t="shared" ref="F2:F65" si="0">E2/SUMIFS($E$2:$E$783,$A$2:$A$783,A2)</f>
        <v>0.78260869565217395</v>
      </c>
      <c r="G2" s="5">
        <v>0</v>
      </c>
      <c r="H2" s="14">
        <v>45061</v>
      </c>
      <c r="I2" s="14">
        <v>45349</v>
      </c>
      <c r="J2" s="4" t="s">
        <v>848</v>
      </c>
      <c r="K2" s="4" t="s">
        <v>849</v>
      </c>
      <c r="L2" s="2"/>
      <c r="M2" s="3" t="s">
        <v>850</v>
      </c>
      <c r="N2" s="4" t="s">
        <v>851</v>
      </c>
    </row>
    <row r="3" spans="1:14" x14ac:dyDescent="0.45">
      <c r="A3" s="4" t="s">
        <v>17</v>
      </c>
      <c r="B3" s="4" t="s">
        <v>847</v>
      </c>
      <c r="C3" s="4" t="s">
        <v>852</v>
      </c>
      <c r="D3" s="4" t="b">
        <f>FALSE()</f>
        <v>0</v>
      </c>
      <c r="E3" s="5">
        <v>5</v>
      </c>
      <c r="F3" s="7">
        <f t="shared" si="0"/>
        <v>0.21739130434782608</v>
      </c>
      <c r="G3" s="5">
        <v>0</v>
      </c>
      <c r="H3" s="14">
        <v>44938</v>
      </c>
      <c r="I3" s="14">
        <v>45050</v>
      </c>
      <c r="J3" s="4" t="s">
        <v>853</v>
      </c>
      <c r="K3" s="4" t="s">
        <v>854</v>
      </c>
      <c r="L3" s="2"/>
      <c r="M3" s="3" t="s">
        <v>853</v>
      </c>
      <c r="N3" s="4" t="s">
        <v>855</v>
      </c>
    </row>
    <row r="4" spans="1:14" x14ac:dyDescent="0.45">
      <c r="A4" s="9" t="s">
        <v>20</v>
      </c>
      <c r="B4" s="9" t="s">
        <v>847</v>
      </c>
      <c r="C4" s="9" t="s">
        <v>21</v>
      </c>
      <c r="D4" s="9" t="b">
        <f>TRUE()</f>
        <v>1</v>
      </c>
      <c r="E4" s="10">
        <v>184</v>
      </c>
      <c r="F4" s="12">
        <f t="shared" si="0"/>
        <v>0.85981308411214952</v>
      </c>
      <c r="G4" s="10">
        <v>37</v>
      </c>
      <c r="H4" s="15">
        <v>45051</v>
      </c>
      <c r="I4" s="15">
        <v>46288</v>
      </c>
      <c r="J4" s="9" t="s">
        <v>848</v>
      </c>
      <c r="K4" s="9" t="s">
        <v>856</v>
      </c>
      <c r="L4" s="2"/>
      <c r="M4" s="3" t="s">
        <v>857</v>
      </c>
      <c r="N4" s="4" t="s">
        <v>858</v>
      </c>
    </row>
    <row r="5" spans="1:14" x14ac:dyDescent="0.45">
      <c r="A5" s="4" t="s">
        <v>20</v>
      </c>
      <c r="B5" s="4" t="s">
        <v>847</v>
      </c>
      <c r="C5" s="4" t="s">
        <v>859</v>
      </c>
      <c r="D5" s="4" t="b">
        <f>FALSE()</f>
        <v>0</v>
      </c>
      <c r="E5" s="5">
        <v>30</v>
      </c>
      <c r="F5" s="7">
        <f t="shared" si="0"/>
        <v>0.14018691588785046</v>
      </c>
      <c r="G5" s="5">
        <v>0</v>
      </c>
      <c r="H5" s="14">
        <v>44928</v>
      </c>
      <c r="I5" s="14">
        <v>45037</v>
      </c>
      <c r="J5" s="4" t="s">
        <v>850</v>
      </c>
      <c r="K5" s="4" t="s">
        <v>860</v>
      </c>
      <c r="L5" s="2"/>
      <c r="M5" s="3" t="s">
        <v>861</v>
      </c>
      <c r="N5" s="4" t="s">
        <v>862</v>
      </c>
    </row>
    <row r="6" spans="1:14" x14ac:dyDescent="0.45">
      <c r="A6" s="9" t="s">
        <v>23</v>
      </c>
      <c r="B6" s="9" t="s">
        <v>847</v>
      </c>
      <c r="C6" s="9" t="s">
        <v>24</v>
      </c>
      <c r="D6" s="9" t="b">
        <f>TRUE()</f>
        <v>1</v>
      </c>
      <c r="E6" s="10">
        <v>16</v>
      </c>
      <c r="F6" s="12">
        <f t="shared" si="0"/>
        <v>0.64</v>
      </c>
      <c r="G6" s="10">
        <v>16</v>
      </c>
      <c r="H6" s="15">
        <v>46131</v>
      </c>
      <c r="I6" s="15">
        <v>46232</v>
      </c>
      <c r="J6" s="9" t="s">
        <v>848</v>
      </c>
      <c r="K6" s="9" t="s">
        <v>863</v>
      </c>
      <c r="L6" s="2"/>
      <c r="M6" s="3" t="s">
        <v>864</v>
      </c>
      <c r="N6" s="4" t="s">
        <v>865</v>
      </c>
    </row>
    <row r="7" spans="1:14" x14ac:dyDescent="0.45">
      <c r="A7" s="4" t="s">
        <v>23</v>
      </c>
      <c r="B7" s="4" t="s">
        <v>847</v>
      </c>
      <c r="C7" s="4" t="s">
        <v>866</v>
      </c>
      <c r="D7" s="4" t="b">
        <f>FALSE()</f>
        <v>0</v>
      </c>
      <c r="E7" s="5">
        <v>9</v>
      </c>
      <c r="F7" s="7">
        <f t="shared" si="0"/>
        <v>0.36</v>
      </c>
      <c r="G7" s="5">
        <v>9</v>
      </c>
      <c r="H7" s="14">
        <v>46245</v>
      </c>
      <c r="I7" s="14">
        <v>46287</v>
      </c>
      <c r="J7" s="4" t="s">
        <v>850</v>
      </c>
      <c r="K7" s="4" t="s">
        <v>867</v>
      </c>
      <c r="L7" s="2"/>
      <c r="M7" s="3" t="s">
        <v>868</v>
      </c>
      <c r="N7" s="4" t="s">
        <v>869</v>
      </c>
    </row>
    <row r="8" spans="1:14" x14ac:dyDescent="0.45">
      <c r="A8" s="9" t="s">
        <v>28</v>
      </c>
      <c r="B8" s="9" t="s">
        <v>847</v>
      </c>
      <c r="C8" s="9" t="s">
        <v>27</v>
      </c>
      <c r="D8" s="9" t="b">
        <f>TRUE()</f>
        <v>1</v>
      </c>
      <c r="E8" s="10">
        <v>28756</v>
      </c>
      <c r="F8" s="12">
        <f t="shared" si="0"/>
        <v>0.76768647551924818</v>
      </c>
      <c r="G8" s="10">
        <v>0</v>
      </c>
      <c r="H8" s="15">
        <v>44942</v>
      </c>
      <c r="I8" s="15">
        <v>45427</v>
      </c>
      <c r="J8" s="9" t="s">
        <v>848</v>
      </c>
      <c r="K8" s="9" t="s">
        <v>870</v>
      </c>
      <c r="L8" s="2"/>
      <c r="M8" s="3" t="s">
        <v>838</v>
      </c>
      <c r="N8" s="4" t="s">
        <v>871</v>
      </c>
    </row>
    <row r="9" spans="1:14" x14ac:dyDescent="0.45">
      <c r="A9" s="4" t="s">
        <v>28</v>
      </c>
      <c r="B9" s="4" t="s">
        <v>847</v>
      </c>
      <c r="C9" s="4" t="s">
        <v>872</v>
      </c>
      <c r="D9" s="4" t="b">
        <f>FALSE()</f>
        <v>0</v>
      </c>
      <c r="E9" s="5">
        <v>8702</v>
      </c>
      <c r="F9" s="7">
        <f t="shared" si="0"/>
        <v>0.23231352448075177</v>
      </c>
      <c r="G9" s="5">
        <v>0</v>
      </c>
      <c r="H9" s="14">
        <v>44928</v>
      </c>
      <c r="I9" s="14">
        <v>45055</v>
      </c>
      <c r="J9" s="4" t="s">
        <v>853</v>
      </c>
      <c r="K9" s="4" t="s">
        <v>873</v>
      </c>
      <c r="L9" s="2"/>
      <c r="M9" s="3" t="s">
        <v>874</v>
      </c>
      <c r="N9" s="4" t="s">
        <v>875</v>
      </c>
    </row>
    <row r="10" spans="1:14" x14ac:dyDescent="0.45">
      <c r="A10" s="9" t="s">
        <v>30</v>
      </c>
      <c r="B10" s="9" t="s">
        <v>847</v>
      </c>
      <c r="C10" s="9" t="s">
        <v>27</v>
      </c>
      <c r="D10" s="9" t="b">
        <f>TRUE()</f>
        <v>1</v>
      </c>
      <c r="E10" s="10">
        <v>22354</v>
      </c>
      <c r="F10" s="12">
        <f t="shared" si="0"/>
        <v>0.78939190620806554</v>
      </c>
      <c r="G10" s="10">
        <v>0</v>
      </c>
      <c r="H10" s="15">
        <v>44928</v>
      </c>
      <c r="I10" s="15">
        <v>45462</v>
      </c>
      <c r="J10" s="9" t="s">
        <v>848</v>
      </c>
      <c r="K10" s="9" t="s">
        <v>876</v>
      </c>
      <c r="L10" s="2"/>
      <c r="M10" s="2"/>
      <c r="N10" s="2"/>
    </row>
    <row r="11" spans="1:14" x14ac:dyDescent="0.45">
      <c r="A11" s="4" t="s">
        <v>30</v>
      </c>
      <c r="B11" s="4" t="s">
        <v>847</v>
      </c>
      <c r="C11" s="4" t="s">
        <v>872</v>
      </c>
      <c r="D11" s="4" t="b">
        <f>FALSE()</f>
        <v>0</v>
      </c>
      <c r="E11" s="5">
        <v>5964</v>
      </c>
      <c r="F11" s="7">
        <f t="shared" si="0"/>
        <v>0.21060809379193446</v>
      </c>
      <c r="G11" s="5">
        <v>0</v>
      </c>
      <c r="H11" s="14">
        <v>44928</v>
      </c>
      <c r="I11" s="14">
        <v>45047</v>
      </c>
      <c r="J11" s="4" t="s">
        <v>853</v>
      </c>
      <c r="K11" s="4" t="s">
        <v>877</v>
      </c>
      <c r="L11" s="2"/>
      <c r="M11" s="2"/>
      <c r="N11" s="2"/>
    </row>
    <row r="12" spans="1:14" x14ac:dyDescent="0.45">
      <c r="A12" s="9" t="s">
        <v>32</v>
      </c>
      <c r="B12" s="9" t="s">
        <v>847</v>
      </c>
      <c r="C12" s="9" t="s">
        <v>27</v>
      </c>
      <c r="D12" s="9" t="b">
        <f>TRUE()</f>
        <v>1</v>
      </c>
      <c r="E12" s="10">
        <v>7525</v>
      </c>
      <c r="F12" s="12">
        <f t="shared" si="0"/>
        <v>0.75317786007406662</v>
      </c>
      <c r="G12" s="10">
        <v>0</v>
      </c>
      <c r="H12" s="15">
        <v>44930</v>
      </c>
      <c r="I12" s="15">
        <v>45426</v>
      </c>
      <c r="J12" s="9" t="s">
        <v>848</v>
      </c>
      <c r="K12" s="9" t="s">
        <v>878</v>
      </c>
      <c r="L12" s="2"/>
      <c r="M12" s="2"/>
      <c r="N12" s="2"/>
    </row>
    <row r="13" spans="1:14" x14ac:dyDescent="0.45">
      <c r="A13" s="4" t="s">
        <v>32</v>
      </c>
      <c r="B13" s="4" t="s">
        <v>847</v>
      </c>
      <c r="C13" s="4" t="s">
        <v>872</v>
      </c>
      <c r="D13" s="4" t="b">
        <f>FALSE()</f>
        <v>0</v>
      </c>
      <c r="E13" s="5">
        <v>2466</v>
      </c>
      <c r="F13" s="7">
        <f t="shared" si="0"/>
        <v>0.24682213992593335</v>
      </c>
      <c r="G13" s="5">
        <v>0</v>
      </c>
      <c r="H13" s="14">
        <v>44928</v>
      </c>
      <c r="I13" s="14">
        <v>45047</v>
      </c>
      <c r="J13" s="4" t="s">
        <v>853</v>
      </c>
      <c r="K13" s="4" t="s">
        <v>879</v>
      </c>
      <c r="L13" s="2"/>
      <c r="M13" s="2"/>
      <c r="N13" s="2"/>
    </row>
    <row r="14" spans="1:14" x14ac:dyDescent="0.45">
      <c r="A14" s="9" t="s">
        <v>36</v>
      </c>
      <c r="B14" s="9" t="s">
        <v>847</v>
      </c>
      <c r="C14" s="9" t="s">
        <v>27</v>
      </c>
      <c r="D14" s="9" t="b">
        <f>TRUE()</f>
        <v>1</v>
      </c>
      <c r="E14" s="10">
        <v>5782</v>
      </c>
      <c r="F14" s="12">
        <f t="shared" si="0"/>
        <v>0.83784958701637446</v>
      </c>
      <c r="G14" s="10">
        <v>0</v>
      </c>
      <c r="H14" s="15">
        <v>45052</v>
      </c>
      <c r="I14" s="15">
        <v>45460</v>
      </c>
      <c r="J14" s="9" t="s">
        <v>848</v>
      </c>
      <c r="K14" s="9" t="s">
        <v>880</v>
      </c>
      <c r="L14" s="2"/>
      <c r="M14" s="2"/>
      <c r="N14" s="2"/>
    </row>
    <row r="15" spans="1:14" x14ac:dyDescent="0.45">
      <c r="A15" s="4" t="s">
        <v>36</v>
      </c>
      <c r="B15" s="4" t="s">
        <v>847</v>
      </c>
      <c r="C15" s="4" t="s">
        <v>872</v>
      </c>
      <c r="D15" s="4" t="b">
        <f>FALSE()</f>
        <v>0</v>
      </c>
      <c r="E15" s="5">
        <v>1119</v>
      </c>
      <c r="F15" s="7">
        <f t="shared" si="0"/>
        <v>0.16215041298362556</v>
      </c>
      <c r="G15" s="5">
        <v>0</v>
      </c>
      <c r="H15" s="14">
        <v>44928</v>
      </c>
      <c r="I15" s="14">
        <v>45052</v>
      </c>
      <c r="J15" s="4" t="s">
        <v>853</v>
      </c>
      <c r="K15" s="4" t="s">
        <v>881</v>
      </c>
      <c r="L15" s="2"/>
      <c r="M15" s="2"/>
      <c r="N15" s="2"/>
    </row>
    <row r="16" spans="1:14" x14ac:dyDescent="0.45">
      <c r="A16" s="9" t="s">
        <v>54</v>
      </c>
      <c r="B16" s="9" t="s">
        <v>847</v>
      </c>
      <c r="C16" s="9" t="s">
        <v>27</v>
      </c>
      <c r="D16" s="9" t="b">
        <f>TRUE()</f>
        <v>1</v>
      </c>
      <c r="E16" s="10">
        <v>889</v>
      </c>
      <c r="F16" s="12">
        <f t="shared" si="0"/>
        <v>0.77982456140350875</v>
      </c>
      <c r="G16" s="10">
        <v>0</v>
      </c>
      <c r="H16" s="15">
        <v>44930</v>
      </c>
      <c r="I16" s="15">
        <v>45477</v>
      </c>
      <c r="J16" s="9" t="s">
        <v>848</v>
      </c>
      <c r="K16" s="9" t="s">
        <v>882</v>
      </c>
      <c r="L16" s="2"/>
      <c r="M16" s="2"/>
      <c r="N16" s="2"/>
    </row>
    <row r="17" spans="1:14" x14ac:dyDescent="0.45">
      <c r="A17" s="4" t="s">
        <v>54</v>
      </c>
      <c r="B17" s="4" t="s">
        <v>847</v>
      </c>
      <c r="C17" s="4" t="s">
        <v>872</v>
      </c>
      <c r="D17" s="4" t="b">
        <f>FALSE()</f>
        <v>0</v>
      </c>
      <c r="E17" s="5">
        <v>251</v>
      </c>
      <c r="F17" s="7">
        <f t="shared" si="0"/>
        <v>0.22017543859649122</v>
      </c>
      <c r="G17" s="5">
        <v>0</v>
      </c>
      <c r="H17" s="14">
        <v>44928</v>
      </c>
      <c r="I17" s="14">
        <v>45055</v>
      </c>
      <c r="J17" s="4" t="s">
        <v>853</v>
      </c>
      <c r="K17" s="4" t="s">
        <v>883</v>
      </c>
      <c r="L17" s="2"/>
      <c r="M17" s="2"/>
      <c r="N17" s="2"/>
    </row>
    <row r="18" spans="1:14" x14ac:dyDescent="0.45">
      <c r="A18" s="9" t="s">
        <v>59</v>
      </c>
      <c r="B18" s="9" t="s">
        <v>847</v>
      </c>
      <c r="C18" s="9" t="s">
        <v>27</v>
      </c>
      <c r="D18" s="9" t="b">
        <f>TRUE()</f>
        <v>1</v>
      </c>
      <c r="E18" s="10">
        <v>302</v>
      </c>
      <c r="F18" s="12">
        <f t="shared" si="0"/>
        <v>0.63445378151260501</v>
      </c>
      <c r="G18" s="10">
        <v>0</v>
      </c>
      <c r="H18" s="15">
        <v>45044</v>
      </c>
      <c r="I18" s="15">
        <v>45383</v>
      </c>
      <c r="J18" s="9" t="s">
        <v>848</v>
      </c>
      <c r="K18" s="9" t="s">
        <v>884</v>
      </c>
      <c r="L18" s="2"/>
      <c r="M18" s="2"/>
      <c r="N18" s="2"/>
    </row>
    <row r="19" spans="1:14" x14ac:dyDescent="0.45">
      <c r="A19" s="4" t="s">
        <v>59</v>
      </c>
      <c r="B19" s="4" t="s">
        <v>847</v>
      </c>
      <c r="C19" s="4" t="s">
        <v>872</v>
      </c>
      <c r="D19" s="4" t="b">
        <f>FALSE()</f>
        <v>0</v>
      </c>
      <c r="E19" s="5">
        <v>174</v>
      </c>
      <c r="F19" s="7">
        <f t="shared" si="0"/>
        <v>0.36554621848739494</v>
      </c>
      <c r="G19" s="5">
        <v>0</v>
      </c>
      <c r="H19" s="14">
        <v>44930</v>
      </c>
      <c r="I19" s="14">
        <v>45047</v>
      </c>
      <c r="J19" s="4" t="s">
        <v>853</v>
      </c>
      <c r="K19" s="4" t="s">
        <v>885</v>
      </c>
      <c r="L19" s="2"/>
      <c r="M19" s="2"/>
      <c r="N19" s="2"/>
    </row>
    <row r="20" spans="1:14" x14ac:dyDescent="0.45">
      <c r="A20" s="9" t="s">
        <v>64</v>
      </c>
      <c r="B20" s="9" t="s">
        <v>847</v>
      </c>
      <c r="C20" s="9" t="s">
        <v>27</v>
      </c>
      <c r="D20" s="9" t="b">
        <f>TRUE()</f>
        <v>1</v>
      </c>
      <c r="E20" s="10">
        <v>120</v>
      </c>
      <c r="F20" s="12">
        <f t="shared" si="0"/>
        <v>0.69767441860465118</v>
      </c>
      <c r="G20" s="10">
        <v>0</v>
      </c>
      <c r="H20" s="15">
        <v>45047</v>
      </c>
      <c r="I20" s="15">
        <v>45399</v>
      </c>
      <c r="J20" s="9" t="s">
        <v>848</v>
      </c>
      <c r="K20" s="9" t="s">
        <v>886</v>
      </c>
      <c r="L20" s="2"/>
      <c r="M20" s="2"/>
      <c r="N20" s="2"/>
    </row>
    <row r="21" spans="1:14" x14ac:dyDescent="0.45">
      <c r="A21" s="4" t="s">
        <v>64</v>
      </c>
      <c r="B21" s="4" t="s">
        <v>847</v>
      </c>
      <c r="C21" s="4" t="s">
        <v>872</v>
      </c>
      <c r="D21" s="4" t="b">
        <f>FALSE()</f>
        <v>0</v>
      </c>
      <c r="E21" s="5">
        <v>52</v>
      </c>
      <c r="F21" s="7">
        <f t="shared" si="0"/>
        <v>0.30232558139534882</v>
      </c>
      <c r="G21" s="5">
        <v>0</v>
      </c>
      <c r="H21" s="14">
        <v>44937</v>
      </c>
      <c r="I21" s="14">
        <v>45043</v>
      </c>
      <c r="J21" s="4" t="s">
        <v>853</v>
      </c>
      <c r="K21" s="4" t="s">
        <v>887</v>
      </c>
      <c r="L21" s="2"/>
      <c r="M21" s="2"/>
      <c r="N21" s="2"/>
    </row>
    <row r="22" spans="1:14" x14ac:dyDescent="0.45">
      <c r="A22" s="9" t="s">
        <v>65</v>
      </c>
      <c r="B22" s="9" t="s">
        <v>847</v>
      </c>
      <c r="C22" s="9" t="s">
        <v>27</v>
      </c>
      <c r="D22" s="9" t="b">
        <f>TRUE()</f>
        <v>1</v>
      </c>
      <c r="E22" s="10">
        <v>85</v>
      </c>
      <c r="F22" s="12">
        <f t="shared" si="0"/>
        <v>0.53125</v>
      </c>
      <c r="G22" s="10">
        <v>0</v>
      </c>
      <c r="H22" s="15">
        <v>44939</v>
      </c>
      <c r="I22" s="15">
        <v>45471</v>
      </c>
      <c r="J22" s="9" t="s">
        <v>848</v>
      </c>
      <c r="K22" s="9" t="s">
        <v>888</v>
      </c>
      <c r="L22" s="2"/>
      <c r="M22" s="2"/>
      <c r="N22" s="2"/>
    </row>
    <row r="23" spans="1:14" x14ac:dyDescent="0.45">
      <c r="A23" s="4" t="s">
        <v>65</v>
      </c>
      <c r="B23" s="4" t="s">
        <v>847</v>
      </c>
      <c r="C23" s="4" t="s">
        <v>872</v>
      </c>
      <c r="D23" s="4" t="b">
        <f>FALSE()</f>
        <v>0</v>
      </c>
      <c r="E23" s="5">
        <v>75</v>
      </c>
      <c r="F23" s="7">
        <f t="shared" si="0"/>
        <v>0.46875</v>
      </c>
      <c r="G23" s="5">
        <v>0</v>
      </c>
      <c r="H23" s="14">
        <v>44930</v>
      </c>
      <c r="I23" s="14">
        <v>45049</v>
      </c>
      <c r="J23" s="4" t="s">
        <v>853</v>
      </c>
      <c r="K23" s="4" t="s">
        <v>889</v>
      </c>
      <c r="L23" s="2"/>
      <c r="M23" s="2"/>
      <c r="N23" s="2"/>
    </row>
    <row r="24" spans="1:14" x14ac:dyDescent="0.45">
      <c r="A24" s="9" t="s">
        <v>66</v>
      </c>
      <c r="B24" s="9" t="s">
        <v>847</v>
      </c>
      <c r="C24" s="9" t="s">
        <v>67</v>
      </c>
      <c r="D24" s="9" t="b">
        <f>TRUE()</f>
        <v>1</v>
      </c>
      <c r="E24" s="10">
        <v>3025</v>
      </c>
      <c r="F24" s="12">
        <f t="shared" si="0"/>
        <v>0.88192419825072887</v>
      </c>
      <c r="G24" s="10">
        <v>910</v>
      </c>
      <c r="H24" s="15">
        <v>44957</v>
      </c>
      <c r="I24" s="15">
        <v>46296</v>
      </c>
      <c r="J24" s="9" t="s">
        <v>848</v>
      </c>
      <c r="K24" s="9" t="s">
        <v>890</v>
      </c>
      <c r="L24" s="2"/>
      <c r="M24" s="2"/>
      <c r="N24" s="2"/>
    </row>
    <row r="25" spans="1:14" x14ac:dyDescent="0.45">
      <c r="A25" s="4" t="s">
        <v>66</v>
      </c>
      <c r="B25" s="4" t="s">
        <v>847</v>
      </c>
      <c r="C25" s="4" t="s">
        <v>872</v>
      </c>
      <c r="D25" s="4" t="b">
        <f>FALSE()</f>
        <v>0</v>
      </c>
      <c r="E25" s="5">
        <v>405</v>
      </c>
      <c r="F25" s="7">
        <f t="shared" si="0"/>
        <v>0.11807580174927114</v>
      </c>
      <c r="G25" s="5">
        <v>0</v>
      </c>
      <c r="H25" s="14">
        <v>44930</v>
      </c>
      <c r="I25" s="14">
        <v>45055</v>
      </c>
      <c r="J25" s="4" t="s">
        <v>850</v>
      </c>
      <c r="K25" s="4" t="s">
        <v>891</v>
      </c>
      <c r="L25" s="2"/>
      <c r="M25" s="2"/>
      <c r="N25" s="2"/>
    </row>
    <row r="26" spans="1:14" x14ac:dyDescent="0.45">
      <c r="A26" s="9" t="s">
        <v>68</v>
      </c>
      <c r="B26" s="9" t="s">
        <v>847</v>
      </c>
      <c r="C26" s="9" t="s">
        <v>67</v>
      </c>
      <c r="D26" s="9" t="b">
        <f>TRUE()</f>
        <v>1</v>
      </c>
      <c r="E26" s="10">
        <v>936</v>
      </c>
      <c r="F26" s="12">
        <f t="shared" si="0"/>
        <v>0.90609874152952563</v>
      </c>
      <c r="G26" s="10">
        <v>233</v>
      </c>
      <c r="H26" s="15">
        <v>45060</v>
      </c>
      <c r="I26" s="15">
        <v>46296</v>
      </c>
      <c r="J26" s="9" t="s">
        <v>848</v>
      </c>
      <c r="K26" s="9" t="s">
        <v>892</v>
      </c>
      <c r="L26" s="2"/>
      <c r="M26" s="2"/>
      <c r="N26" s="2"/>
    </row>
    <row r="27" spans="1:14" x14ac:dyDescent="0.45">
      <c r="A27" s="4" t="s">
        <v>68</v>
      </c>
      <c r="B27" s="4" t="s">
        <v>847</v>
      </c>
      <c r="C27" s="4" t="s">
        <v>872</v>
      </c>
      <c r="D27" s="4" t="b">
        <f>FALSE()</f>
        <v>0</v>
      </c>
      <c r="E27" s="5">
        <v>97</v>
      </c>
      <c r="F27" s="7">
        <f t="shared" si="0"/>
        <v>9.3901258470474341E-2</v>
      </c>
      <c r="G27" s="5">
        <v>0</v>
      </c>
      <c r="H27" s="14">
        <v>44932</v>
      </c>
      <c r="I27" s="14">
        <v>45055</v>
      </c>
      <c r="J27" s="4" t="s">
        <v>850</v>
      </c>
      <c r="K27" s="4" t="s">
        <v>893</v>
      </c>
      <c r="L27" s="2"/>
      <c r="M27" s="2"/>
      <c r="N27" s="2"/>
    </row>
    <row r="28" spans="1:14" x14ac:dyDescent="0.45">
      <c r="A28" s="9" t="s">
        <v>69</v>
      </c>
      <c r="B28" s="9" t="s">
        <v>847</v>
      </c>
      <c r="C28" s="9" t="s">
        <v>67</v>
      </c>
      <c r="D28" s="9" t="b">
        <f>TRUE()</f>
        <v>1</v>
      </c>
      <c r="E28" s="10">
        <v>691</v>
      </c>
      <c r="F28" s="12">
        <f t="shared" si="0"/>
        <v>0.91040843214756262</v>
      </c>
      <c r="G28" s="10">
        <v>195</v>
      </c>
      <c r="H28" s="15">
        <v>45033</v>
      </c>
      <c r="I28" s="15">
        <v>46296</v>
      </c>
      <c r="J28" s="9" t="s">
        <v>848</v>
      </c>
      <c r="K28" s="9" t="s">
        <v>894</v>
      </c>
      <c r="L28" s="2"/>
      <c r="M28" s="2"/>
      <c r="N28" s="2"/>
    </row>
    <row r="29" spans="1:14" x14ac:dyDescent="0.45">
      <c r="A29" s="4" t="s">
        <v>69</v>
      </c>
      <c r="B29" s="4" t="s">
        <v>847</v>
      </c>
      <c r="C29" s="4" t="s">
        <v>872</v>
      </c>
      <c r="D29" s="4" t="b">
        <f>FALSE()</f>
        <v>0</v>
      </c>
      <c r="E29" s="5">
        <v>68</v>
      </c>
      <c r="F29" s="7">
        <f t="shared" si="0"/>
        <v>8.9591567852437423E-2</v>
      </c>
      <c r="G29" s="5">
        <v>0</v>
      </c>
      <c r="H29" s="14">
        <v>44930</v>
      </c>
      <c r="I29" s="14">
        <v>45055</v>
      </c>
      <c r="J29" s="4" t="s">
        <v>850</v>
      </c>
      <c r="K29" s="4" t="s">
        <v>895</v>
      </c>
      <c r="L29" s="2"/>
      <c r="M29" s="2"/>
      <c r="N29" s="2"/>
    </row>
    <row r="30" spans="1:14" x14ac:dyDescent="0.45">
      <c r="A30" s="9" t="s">
        <v>70</v>
      </c>
      <c r="B30" s="9" t="s">
        <v>847</v>
      </c>
      <c r="C30" s="9" t="s">
        <v>67</v>
      </c>
      <c r="D30" s="9" t="b">
        <f>TRUE()</f>
        <v>1</v>
      </c>
      <c r="E30" s="10">
        <v>386</v>
      </c>
      <c r="F30" s="12">
        <f t="shared" si="0"/>
        <v>0.91252955082742315</v>
      </c>
      <c r="G30" s="10">
        <v>85</v>
      </c>
      <c r="H30" s="15">
        <v>45002</v>
      </c>
      <c r="I30" s="15">
        <v>46296</v>
      </c>
      <c r="J30" s="9" t="s">
        <v>848</v>
      </c>
      <c r="K30" s="9" t="s">
        <v>896</v>
      </c>
      <c r="L30" s="2"/>
      <c r="M30" s="2"/>
      <c r="N30" s="2"/>
    </row>
    <row r="31" spans="1:14" x14ac:dyDescent="0.45">
      <c r="A31" s="4" t="s">
        <v>70</v>
      </c>
      <c r="B31" s="4" t="s">
        <v>847</v>
      </c>
      <c r="C31" s="4" t="s">
        <v>872</v>
      </c>
      <c r="D31" s="4" t="b">
        <f>FALSE()</f>
        <v>0</v>
      </c>
      <c r="E31" s="5">
        <v>37</v>
      </c>
      <c r="F31" s="7">
        <f t="shared" si="0"/>
        <v>8.7470449172576833E-2</v>
      </c>
      <c r="G31" s="5">
        <v>0</v>
      </c>
      <c r="H31" s="14">
        <v>44929</v>
      </c>
      <c r="I31" s="14">
        <v>45048</v>
      </c>
      <c r="J31" s="4" t="s">
        <v>850</v>
      </c>
      <c r="K31" s="4" t="s">
        <v>897</v>
      </c>
      <c r="L31" s="2"/>
      <c r="M31" s="2"/>
      <c r="N31" s="2"/>
    </row>
    <row r="32" spans="1:14" x14ac:dyDescent="0.45">
      <c r="A32" s="9" t="s">
        <v>72</v>
      </c>
      <c r="B32" s="9" t="s">
        <v>847</v>
      </c>
      <c r="C32" s="9" t="s">
        <v>73</v>
      </c>
      <c r="D32" s="9" t="b">
        <f>TRUE()</f>
        <v>1</v>
      </c>
      <c r="E32" s="10">
        <v>132</v>
      </c>
      <c r="F32" s="12">
        <f t="shared" si="0"/>
        <v>0.91666666666666663</v>
      </c>
      <c r="G32" s="10">
        <v>33</v>
      </c>
      <c r="H32" s="15">
        <v>45062</v>
      </c>
      <c r="I32" s="15">
        <v>46285</v>
      </c>
      <c r="J32" s="9" t="s">
        <v>848</v>
      </c>
      <c r="K32" s="9" t="s">
        <v>898</v>
      </c>
      <c r="L32" s="2"/>
      <c r="M32" s="2"/>
      <c r="N32" s="2"/>
    </row>
    <row r="33" spans="1:14" x14ac:dyDescent="0.45">
      <c r="A33" s="4" t="s">
        <v>72</v>
      </c>
      <c r="B33" s="4" t="s">
        <v>847</v>
      </c>
      <c r="C33" s="4" t="s">
        <v>899</v>
      </c>
      <c r="D33" s="4" t="b">
        <f>FALSE()</f>
        <v>0</v>
      </c>
      <c r="E33" s="5">
        <v>12</v>
      </c>
      <c r="F33" s="7">
        <f t="shared" si="0"/>
        <v>8.3333333333333329E-2</v>
      </c>
      <c r="G33" s="5">
        <v>0</v>
      </c>
      <c r="H33" s="14">
        <v>44951</v>
      </c>
      <c r="I33" s="14">
        <v>45013</v>
      </c>
      <c r="J33" s="4" t="s">
        <v>853</v>
      </c>
      <c r="K33" s="4" t="s">
        <v>900</v>
      </c>
      <c r="L33" s="2"/>
      <c r="M33" s="2"/>
      <c r="N33" s="2"/>
    </row>
    <row r="34" spans="1:14" x14ac:dyDescent="0.45">
      <c r="A34" s="9" t="s">
        <v>74</v>
      </c>
      <c r="B34" s="9" t="s">
        <v>847</v>
      </c>
      <c r="C34" s="9" t="s">
        <v>75</v>
      </c>
      <c r="D34" s="9" t="b">
        <f>TRUE()</f>
        <v>1</v>
      </c>
      <c r="E34" s="10">
        <v>482</v>
      </c>
      <c r="F34" s="12">
        <f t="shared" si="0"/>
        <v>0.95069033530571989</v>
      </c>
      <c r="G34" s="10">
        <v>0</v>
      </c>
      <c r="H34" s="15">
        <v>44928</v>
      </c>
      <c r="I34" s="15">
        <v>45055</v>
      </c>
      <c r="J34" s="9" t="s">
        <v>848</v>
      </c>
      <c r="K34" s="9" t="s">
        <v>901</v>
      </c>
      <c r="L34" s="2"/>
      <c r="M34" s="2"/>
      <c r="N34" s="2"/>
    </row>
    <row r="35" spans="1:14" x14ac:dyDescent="0.45">
      <c r="A35" s="4" t="s">
        <v>74</v>
      </c>
      <c r="B35" s="4" t="s">
        <v>847</v>
      </c>
      <c r="C35" s="4" t="s">
        <v>166</v>
      </c>
      <c r="D35" s="4" t="b">
        <f>FALSE()</f>
        <v>0</v>
      </c>
      <c r="E35" s="5">
        <v>25</v>
      </c>
      <c r="F35" s="7">
        <f t="shared" si="0"/>
        <v>4.9309664694280081E-2</v>
      </c>
      <c r="G35" s="5">
        <v>0</v>
      </c>
      <c r="H35" s="14">
        <v>45055</v>
      </c>
      <c r="I35" s="14">
        <v>45063</v>
      </c>
      <c r="J35" s="4" t="s">
        <v>853</v>
      </c>
      <c r="K35" s="4" t="s">
        <v>902</v>
      </c>
      <c r="L35" s="2"/>
      <c r="M35" s="2"/>
      <c r="N35" s="2"/>
    </row>
    <row r="36" spans="1:14" x14ac:dyDescent="0.45">
      <c r="A36" s="9" t="s">
        <v>76</v>
      </c>
      <c r="B36" s="9" t="s">
        <v>847</v>
      </c>
      <c r="C36" s="9" t="s">
        <v>75</v>
      </c>
      <c r="D36" s="9" t="b">
        <f>TRUE()</f>
        <v>1</v>
      </c>
      <c r="E36" s="10">
        <v>104</v>
      </c>
      <c r="F36" s="12">
        <f t="shared" si="0"/>
        <v>0.53333333333333333</v>
      </c>
      <c r="G36" s="10">
        <v>0</v>
      </c>
      <c r="H36" s="15">
        <v>44928</v>
      </c>
      <c r="I36" s="15">
        <v>45055</v>
      </c>
      <c r="J36" s="9" t="s">
        <v>848</v>
      </c>
      <c r="K36" s="9" t="s">
        <v>901</v>
      </c>
      <c r="L36" s="2"/>
      <c r="M36" s="2"/>
      <c r="N36" s="2"/>
    </row>
    <row r="37" spans="1:14" x14ac:dyDescent="0.45">
      <c r="A37" s="4" t="s">
        <v>76</v>
      </c>
      <c r="B37" s="4" t="s">
        <v>847</v>
      </c>
      <c r="C37" s="4" t="s">
        <v>166</v>
      </c>
      <c r="D37" s="4" t="b">
        <f>FALSE()</f>
        <v>0</v>
      </c>
      <c r="E37" s="5">
        <v>91</v>
      </c>
      <c r="F37" s="7">
        <f t="shared" si="0"/>
        <v>0.46666666666666667</v>
      </c>
      <c r="G37" s="5">
        <v>0</v>
      </c>
      <c r="H37" s="14">
        <v>45055</v>
      </c>
      <c r="I37" s="14">
        <v>45188</v>
      </c>
      <c r="J37" s="4" t="s">
        <v>853</v>
      </c>
      <c r="K37" s="4" t="s">
        <v>903</v>
      </c>
      <c r="L37" s="2"/>
      <c r="M37" s="2"/>
      <c r="N37" s="2"/>
    </row>
    <row r="38" spans="1:14" x14ac:dyDescent="0.45">
      <c r="A38" s="9" t="s">
        <v>77</v>
      </c>
      <c r="B38" s="9" t="s">
        <v>847</v>
      </c>
      <c r="C38" s="9" t="s">
        <v>75</v>
      </c>
      <c r="D38" s="9" t="b">
        <f>TRUE()</f>
        <v>1</v>
      </c>
      <c r="E38" s="10">
        <v>7</v>
      </c>
      <c r="F38" s="12">
        <f t="shared" si="0"/>
        <v>0.77777777777777779</v>
      </c>
      <c r="G38" s="10">
        <v>0</v>
      </c>
      <c r="H38" s="15">
        <v>44937</v>
      </c>
      <c r="I38" s="15">
        <v>45043</v>
      </c>
      <c r="J38" s="9" t="s">
        <v>848</v>
      </c>
      <c r="K38" s="9" t="s">
        <v>904</v>
      </c>
      <c r="L38" s="2"/>
      <c r="M38" s="2"/>
      <c r="N38" s="2"/>
    </row>
    <row r="39" spans="1:14" x14ac:dyDescent="0.45">
      <c r="A39" s="4" t="s">
        <v>77</v>
      </c>
      <c r="B39" s="4" t="s">
        <v>847</v>
      </c>
      <c r="C39" s="4" t="s">
        <v>166</v>
      </c>
      <c r="D39" s="4" t="b">
        <f>FALSE()</f>
        <v>0</v>
      </c>
      <c r="E39" s="5">
        <v>2</v>
      </c>
      <c r="F39" s="7">
        <f t="shared" si="0"/>
        <v>0.22222222222222221</v>
      </c>
      <c r="G39" s="5">
        <v>0</v>
      </c>
      <c r="H39" s="14">
        <v>45025</v>
      </c>
      <c r="I39" s="14">
        <v>45075</v>
      </c>
      <c r="J39" s="4" t="s">
        <v>853</v>
      </c>
      <c r="K39" s="4" t="s">
        <v>905</v>
      </c>
      <c r="L39" s="2"/>
      <c r="M39" s="2"/>
      <c r="N39" s="2"/>
    </row>
    <row r="40" spans="1:14" x14ac:dyDescent="0.45">
      <c r="A40" s="9" t="s">
        <v>78</v>
      </c>
      <c r="B40" s="9" t="s">
        <v>847</v>
      </c>
      <c r="C40" s="9" t="s">
        <v>75</v>
      </c>
      <c r="D40" s="9" t="b">
        <f>TRUE()</f>
        <v>1</v>
      </c>
      <c r="E40" s="10">
        <v>5</v>
      </c>
      <c r="F40" s="12">
        <f t="shared" si="0"/>
        <v>0.625</v>
      </c>
      <c r="G40" s="10">
        <v>0</v>
      </c>
      <c r="H40" s="15">
        <v>44933</v>
      </c>
      <c r="I40" s="15">
        <v>44984</v>
      </c>
      <c r="J40" s="9" t="s">
        <v>848</v>
      </c>
      <c r="K40" s="9" t="s">
        <v>906</v>
      </c>
      <c r="L40" s="2"/>
      <c r="M40" s="2"/>
      <c r="N40" s="2"/>
    </row>
    <row r="41" spans="1:14" x14ac:dyDescent="0.45">
      <c r="A41" s="4" t="s">
        <v>78</v>
      </c>
      <c r="B41" s="4" t="s">
        <v>847</v>
      </c>
      <c r="C41" s="4" t="s">
        <v>166</v>
      </c>
      <c r="D41" s="4" t="b">
        <f>FALSE()</f>
        <v>0</v>
      </c>
      <c r="E41" s="5">
        <v>3</v>
      </c>
      <c r="F41" s="7">
        <f t="shared" si="0"/>
        <v>0.375</v>
      </c>
      <c r="G41" s="5">
        <v>0</v>
      </c>
      <c r="H41" s="14">
        <v>45117</v>
      </c>
      <c r="I41" s="14">
        <v>45163</v>
      </c>
      <c r="J41" s="4" t="s">
        <v>853</v>
      </c>
      <c r="K41" s="4" t="s">
        <v>907</v>
      </c>
      <c r="L41" s="2"/>
      <c r="M41" s="2"/>
      <c r="N41" s="2"/>
    </row>
    <row r="42" spans="1:14" x14ac:dyDescent="0.45">
      <c r="A42" s="9" t="s">
        <v>123</v>
      </c>
      <c r="B42" s="9" t="s">
        <v>847</v>
      </c>
      <c r="C42" s="9" t="s">
        <v>119</v>
      </c>
      <c r="D42" s="9" t="b">
        <f>TRUE()</f>
        <v>1</v>
      </c>
      <c r="E42" s="10">
        <v>8</v>
      </c>
      <c r="F42" s="12">
        <f t="shared" si="0"/>
        <v>0.72727272727272729</v>
      </c>
      <c r="G42" s="10">
        <v>0</v>
      </c>
      <c r="H42" s="15">
        <v>44934</v>
      </c>
      <c r="I42" s="15">
        <v>44988</v>
      </c>
      <c r="J42" s="9" t="s">
        <v>848</v>
      </c>
      <c r="K42" s="9" t="s">
        <v>908</v>
      </c>
      <c r="L42" s="2"/>
      <c r="M42" s="2"/>
      <c r="N42" s="2"/>
    </row>
    <row r="43" spans="1:14" x14ac:dyDescent="0.45">
      <c r="A43" s="4" t="s">
        <v>123</v>
      </c>
      <c r="B43" s="4" t="s">
        <v>847</v>
      </c>
      <c r="C43" s="4" t="s">
        <v>809</v>
      </c>
      <c r="D43" s="4" t="b">
        <f>FALSE()</f>
        <v>0</v>
      </c>
      <c r="E43" s="5">
        <v>3</v>
      </c>
      <c r="F43" s="7">
        <f t="shared" si="0"/>
        <v>0.27272727272727271</v>
      </c>
      <c r="G43" s="5">
        <v>0</v>
      </c>
      <c r="H43" s="14">
        <v>44999</v>
      </c>
      <c r="I43" s="14">
        <v>45005</v>
      </c>
      <c r="J43" s="4" t="s">
        <v>853</v>
      </c>
      <c r="K43" s="4" t="s">
        <v>909</v>
      </c>
      <c r="L43" s="2"/>
      <c r="M43" s="2"/>
      <c r="N43" s="2"/>
    </row>
    <row r="44" spans="1:14" x14ac:dyDescent="0.45">
      <c r="A44" s="9" t="s">
        <v>125</v>
      </c>
      <c r="B44" s="9" t="s">
        <v>847</v>
      </c>
      <c r="C44" s="9" t="s">
        <v>119</v>
      </c>
      <c r="D44" s="9" t="b">
        <f>TRUE()</f>
        <v>1</v>
      </c>
      <c r="E44" s="10">
        <v>4</v>
      </c>
      <c r="F44" s="12">
        <f t="shared" si="0"/>
        <v>0.5714285714285714</v>
      </c>
      <c r="G44" s="10">
        <v>0</v>
      </c>
      <c r="H44" s="15">
        <v>44971</v>
      </c>
      <c r="I44" s="15">
        <v>45000</v>
      </c>
      <c r="J44" s="9" t="s">
        <v>848</v>
      </c>
      <c r="K44" s="9" t="s">
        <v>910</v>
      </c>
      <c r="L44" s="2"/>
      <c r="M44" s="2"/>
      <c r="N44" s="2"/>
    </row>
    <row r="45" spans="1:14" x14ac:dyDescent="0.45">
      <c r="A45" s="4" t="s">
        <v>125</v>
      </c>
      <c r="B45" s="4" t="s">
        <v>847</v>
      </c>
      <c r="C45" s="4" t="s">
        <v>156</v>
      </c>
      <c r="D45" s="4" t="b">
        <f>FALSE()</f>
        <v>0</v>
      </c>
      <c r="E45" s="5">
        <v>3</v>
      </c>
      <c r="F45" s="7">
        <f t="shared" si="0"/>
        <v>0.42857142857142855</v>
      </c>
      <c r="G45" s="5">
        <v>0</v>
      </c>
      <c r="H45" s="14">
        <v>45063</v>
      </c>
      <c r="I45" s="14">
        <v>45210</v>
      </c>
      <c r="J45" s="4" t="s">
        <v>853</v>
      </c>
      <c r="K45" s="4" t="s">
        <v>911</v>
      </c>
      <c r="L45" s="2"/>
      <c r="M45" s="2"/>
      <c r="N45" s="2"/>
    </row>
    <row r="46" spans="1:14" x14ac:dyDescent="0.45">
      <c r="A46" s="9" t="s">
        <v>132</v>
      </c>
      <c r="B46" s="9" t="s">
        <v>847</v>
      </c>
      <c r="C46" s="9" t="s">
        <v>129</v>
      </c>
      <c r="D46" s="9" t="b">
        <f>TRUE()</f>
        <v>1</v>
      </c>
      <c r="E46" s="10">
        <v>58</v>
      </c>
      <c r="F46" s="12">
        <f t="shared" si="0"/>
        <v>0.95081967213114749</v>
      </c>
      <c r="G46" s="10">
        <v>0</v>
      </c>
      <c r="H46" s="15">
        <v>44935</v>
      </c>
      <c r="I46" s="15">
        <v>44999</v>
      </c>
      <c r="J46" s="9" t="s">
        <v>848</v>
      </c>
      <c r="K46" s="9" t="s">
        <v>912</v>
      </c>
      <c r="L46" s="2"/>
      <c r="M46" s="2"/>
      <c r="N46" s="2"/>
    </row>
    <row r="47" spans="1:14" x14ac:dyDescent="0.45">
      <c r="A47" s="4" t="s">
        <v>132</v>
      </c>
      <c r="B47" s="4" t="s">
        <v>847</v>
      </c>
      <c r="C47" s="4" t="s">
        <v>258</v>
      </c>
      <c r="D47" s="4" t="b">
        <f>FALSE()</f>
        <v>0</v>
      </c>
      <c r="E47" s="5">
        <v>3</v>
      </c>
      <c r="F47" s="7">
        <f t="shared" si="0"/>
        <v>4.9180327868852458E-2</v>
      </c>
      <c r="G47" s="5">
        <v>0</v>
      </c>
      <c r="H47" s="14">
        <v>44939</v>
      </c>
      <c r="I47" s="14">
        <v>44967</v>
      </c>
      <c r="J47" s="4" t="s">
        <v>857</v>
      </c>
      <c r="K47" s="4" t="s">
        <v>913</v>
      </c>
      <c r="L47" s="2"/>
      <c r="M47" s="2"/>
      <c r="N47" s="2"/>
    </row>
    <row r="48" spans="1:14" x14ac:dyDescent="0.45">
      <c r="A48" s="9" t="s">
        <v>133</v>
      </c>
      <c r="B48" s="9" t="s">
        <v>847</v>
      </c>
      <c r="C48" s="9" t="s">
        <v>129</v>
      </c>
      <c r="D48" s="9" t="b">
        <f>TRUE()</f>
        <v>1</v>
      </c>
      <c r="E48" s="10">
        <v>37</v>
      </c>
      <c r="F48" s="12">
        <f t="shared" si="0"/>
        <v>0.97368421052631582</v>
      </c>
      <c r="G48" s="10">
        <v>0</v>
      </c>
      <c r="H48" s="15">
        <v>44931</v>
      </c>
      <c r="I48" s="15">
        <v>45007</v>
      </c>
      <c r="J48" s="9" t="s">
        <v>848</v>
      </c>
      <c r="K48" s="9" t="s">
        <v>914</v>
      </c>
      <c r="L48" s="2"/>
      <c r="M48" s="2"/>
      <c r="N48" s="2"/>
    </row>
    <row r="49" spans="1:14" x14ac:dyDescent="0.45">
      <c r="A49" s="4" t="s">
        <v>133</v>
      </c>
      <c r="B49" s="4" t="s">
        <v>847</v>
      </c>
      <c r="C49" s="4" t="s">
        <v>506</v>
      </c>
      <c r="D49" s="4" t="b">
        <f>FALSE()</f>
        <v>0</v>
      </c>
      <c r="E49" s="5">
        <v>1</v>
      </c>
      <c r="F49" s="7">
        <f t="shared" si="0"/>
        <v>2.6315789473684209E-2</v>
      </c>
      <c r="G49" s="5">
        <v>0</v>
      </c>
      <c r="H49" s="14">
        <v>45000</v>
      </c>
      <c r="I49" s="14">
        <v>45000</v>
      </c>
      <c r="J49" s="4" t="s">
        <v>857</v>
      </c>
      <c r="K49" s="4" t="s">
        <v>915</v>
      </c>
      <c r="L49" s="2"/>
      <c r="M49" s="2"/>
      <c r="N49" s="2"/>
    </row>
    <row r="50" spans="1:14" x14ac:dyDescent="0.45">
      <c r="A50" s="9" t="s">
        <v>134</v>
      </c>
      <c r="B50" s="9" t="s">
        <v>847</v>
      </c>
      <c r="C50" s="9" t="s">
        <v>129</v>
      </c>
      <c r="D50" s="9" t="b">
        <f>TRUE()</f>
        <v>1</v>
      </c>
      <c r="E50" s="10">
        <v>22</v>
      </c>
      <c r="F50" s="12">
        <f t="shared" si="0"/>
        <v>0.61111111111111116</v>
      </c>
      <c r="G50" s="10">
        <v>0</v>
      </c>
      <c r="H50" s="15">
        <v>44929</v>
      </c>
      <c r="I50" s="15">
        <v>45034</v>
      </c>
      <c r="J50" s="9" t="s">
        <v>848</v>
      </c>
      <c r="K50" s="9" t="s">
        <v>916</v>
      </c>
      <c r="L50" s="2"/>
      <c r="M50" s="2"/>
      <c r="N50" s="2"/>
    </row>
    <row r="51" spans="1:14" x14ac:dyDescent="0.45">
      <c r="A51" s="4" t="s">
        <v>134</v>
      </c>
      <c r="B51" s="4" t="s">
        <v>847</v>
      </c>
      <c r="C51" s="4" t="s">
        <v>506</v>
      </c>
      <c r="D51" s="4" t="b">
        <f>FALSE()</f>
        <v>0</v>
      </c>
      <c r="E51" s="5">
        <v>14</v>
      </c>
      <c r="F51" s="7">
        <f t="shared" si="0"/>
        <v>0.3888888888888889</v>
      </c>
      <c r="G51" s="5">
        <v>0</v>
      </c>
      <c r="H51" s="14">
        <v>45030</v>
      </c>
      <c r="I51" s="14">
        <v>45112</v>
      </c>
      <c r="J51" s="4" t="s">
        <v>853</v>
      </c>
      <c r="K51" s="4" t="s">
        <v>917</v>
      </c>
      <c r="L51" s="2"/>
      <c r="M51" s="2"/>
      <c r="N51" s="2"/>
    </row>
    <row r="52" spans="1:14" x14ac:dyDescent="0.45">
      <c r="A52" s="9" t="s">
        <v>157</v>
      </c>
      <c r="B52" s="9" t="s">
        <v>847</v>
      </c>
      <c r="C52" s="9" t="s">
        <v>156</v>
      </c>
      <c r="D52" s="9" t="b">
        <f>TRUE()</f>
        <v>1</v>
      </c>
      <c r="E52" s="10">
        <v>11</v>
      </c>
      <c r="F52" s="12">
        <f t="shared" si="0"/>
        <v>0.52380952380952384</v>
      </c>
      <c r="G52" s="10">
        <v>0</v>
      </c>
      <c r="H52" s="15">
        <v>45054</v>
      </c>
      <c r="I52" s="15">
        <v>45198</v>
      </c>
      <c r="J52" s="9" t="s">
        <v>848</v>
      </c>
      <c r="K52" s="9" t="s">
        <v>918</v>
      </c>
      <c r="L52" s="2"/>
      <c r="M52" s="2"/>
      <c r="N52" s="2"/>
    </row>
    <row r="53" spans="1:14" x14ac:dyDescent="0.45">
      <c r="A53" s="4" t="s">
        <v>157</v>
      </c>
      <c r="B53" s="4" t="s">
        <v>847</v>
      </c>
      <c r="C53" s="4" t="s">
        <v>119</v>
      </c>
      <c r="D53" s="4" t="b">
        <f>FALSE()</f>
        <v>0</v>
      </c>
      <c r="E53" s="5">
        <v>10</v>
      </c>
      <c r="F53" s="7">
        <f t="shared" si="0"/>
        <v>0.47619047619047616</v>
      </c>
      <c r="G53" s="5">
        <v>0</v>
      </c>
      <c r="H53" s="14">
        <v>44959</v>
      </c>
      <c r="I53" s="14">
        <v>45048</v>
      </c>
      <c r="J53" s="4" t="s">
        <v>853</v>
      </c>
      <c r="K53" s="4" t="s">
        <v>919</v>
      </c>
      <c r="L53" s="2"/>
      <c r="M53" s="2"/>
      <c r="N53" s="2"/>
    </row>
    <row r="54" spans="1:14" x14ac:dyDescent="0.45">
      <c r="A54" s="9" t="s">
        <v>161</v>
      </c>
      <c r="B54" s="9" t="s">
        <v>847</v>
      </c>
      <c r="C54" s="9" t="s">
        <v>156</v>
      </c>
      <c r="D54" s="9" t="b">
        <f>TRUE()</f>
        <v>1</v>
      </c>
      <c r="E54" s="10">
        <v>3</v>
      </c>
      <c r="F54" s="12">
        <f t="shared" si="0"/>
        <v>0.75</v>
      </c>
      <c r="G54" s="10">
        <v>0</v>
      </c>
      <c r="H54" s="15">
        <v>45015</v>
      </c>
      <c r="I54" s="15">
        <v>45055</v>
      </c>
      <c r="J54" s="9" t="s">
        <v>848</v>
      </c>
      <c r="K54" s="9" t="s">
        <v>920</v>
      </c>
      <c r="L54" s="2"/>
      <c r="M54" s="2"/>
      <c r="N54" s="2"/>
    </row>
    <row r="55" spans="1:14" x14ac:dyDescent="0.45">
      <c r="A55" s="4" t="s">
        <v>161</v>
      </c>
      <c r="B55" s="4" t="s">
        <v>847</v>
      </c>
      <c r="C55" s="4" t="s">
        <v>119</v>
      </c>
      <c r="D55" s="4" t="b">
        <f>FALSE()</f>
        <v>0</v>
      </c>
      <c r="E55" s="5">
        <v>1</v>
      </c>
      <c r="F55" s="7">
        <f t="shared" si="0"/>
        <v>0.25</v>
      </c>
      <c r="G55" s="5">
        <v>0</v>
      </c>
      <c r="H55" s="14">
        <v>45008</v>
      </c>
      <c r="I55" s="14">
        <v>45008</v>
      </c>
      <c r="J55" s="4" t="s">
        <v>853</v>
      </c>
      <c r="K55" s="4" t="s">
        <v>921</v>
      </c>
      <c r="L55" s="2"/>
      <c r="M55" s="2"/>
      <c r="N55" s="2"/>
    </row>
    <row r="56" spans="1:14" x14ac:dyDescent="0.45">
      <c r="A56" s="9" t="s">
        <v>165</v>
      </c>
      <c r="B56" s="9" t="s">
        <v>847</v>
      </c>
      <c r="C56" s="9" t="s">
        <v>166</v>
      </c>
      <c r="D56" s="9" t="b">
        <f>TRUE()</f>
        <v>1</v>
      </c>
      <c r="E56" s="10">
        <v>37913</v>
      </c>
      <c r="F56" s="12">
        <f t="shared" si="0"/>
        <v>0.76907316875266241</v>
      </c>
      <c r="G56" s="10">
        <v>6028</v>
      </c>
      <c r="H56" s="15">
        <v>44928</v>
      </c>
      <c r="I56" s="15">
        <v>46189</v>
      </c>
      <c r="J56" s="9" t="s">
        <v>848</v>
      </c>
      <c r="K56" s="9" t="s">
        <v>922</v>
      </c>
      <c r="L56" s="2"/>
      <c r="M56" s="2"/>
      <c r="N56" s="2"/>
    </row>
    <row r="57" spans="1:14" x14ac:dyDescent="0.45">
      <c r="A57" s="4" t="s">
        <v>165</v>
      </c>
      <c r="B57" s="4" t="s">
        <v>847</v>
      </c>
      <c r="C57" s="4" t="s">
        <v>75</v>
      </c>
      <c r="D57" s="4" t="b">
        <f>FALSE()</f>
        <v>0</v>
      </c>
      <c r="E57" s="5">
        <v>11384</v>
      </c>
      <c r="F57" s="7">
        <f t="shared" si="0"/>
        <v>0.23092683124733757</v>
      </c>
      <c r="G57" s="5">
        <v>0</v>
      </c>
      <c r="H57" s="14">
        <v>44928</v>
      </c>
      <c r="I57" s="14">
        <v>45037</v>
      </c>
      <c r="J57" s="4" t="s">
        <v>853</v>
      </c>
      <c r="K57" s="4" t="s">
        <v>923</v>
      </c>
      <c r="L57" s="2"/>
      <c r="M57" s="2"/>
      <c r="N57" s="2"/>
    </row>
    <row r="58" spans="1:14" x14ac:dyDescent="0.45">
      <c r="A58" s="9" t="s">
        <v>167</v>
      </c>
      <c r="B58" s="9" t="s">
        <v>847</v>
      </c>
      <c r="C58" s="9" t="s">
        <v>166</v>
      </c>
      <c r="D58" s="9" t="b">
        <f>TRUE()</f>
        <v>1</v>
      </c>
      <c r="E58" s="10">
        <v>41047</v>
      </c>
      <c r="F58" s="12">
        <f t="shared" si="0"/>
        <v>0.92990643619310842</v>
      </c>
      <c r="G58" s="10">
        <v>11071</v>
      </c>
      <c r="H58" s="15">
        <v>44929</v>
      </c>
      <c r="I58" s="15">
        <v>46296</v>
      </c>
      <c r="J58" s="9" t="s">
        <v>848</v>
      </c>
      <c r="K58" s="9" t="s">
        <v>924</v>
      </c>
      <c r="L58" s="2"/>
      <c r="M58" s="2"/>
      <c r="N58" s="2"/>
    </row>
    <row r="59" spans="1:14" x14ac:dyDescent="0.45">
      <c r="A59" s="4" t="s">
        <v>167</v>
      </c>
      <c r="B59" s="4" t="s">
        <v>847</v>
      </c>
      <c r="C59" s="4" t="s">
        <v>75</v>
      </c>
      <c r="D59" s="4" t="b">
        <f>FALSE()</f>
        <v>0</v>
      </c>
      <c r="E59" s="5">
        <v>3094</v>
      </c>
      <c r="F59" s="7">
        <f t="shared" si="0"/>
        <v>7.0093563806891551E-2</v>
      </c>
      <c r="G59" s="5">
        <v>0</v>
      </c>
      <c r="H59" s="14">
        <v>44928</v>
      </c>
      <c r="I59" s="14">
        <v>45055</v>
      </c>
      <c r="J59" s="4" t="s">
        <v>853</v>
      </c>
      <c r="K59" s="4" t="s">
        <v>925</v>
      </c>
      <c r="L59" s="2"/>
      <c r="M59" s="2"/>
      <c r="N59" s="2"/>
    </row>
    <row r="60" spans="1:14" x14ac:dyDescent="0.45">
      <c r="A60" s="9" t="s">
        <v>168</v>
      </c>
      <c r="B60" s="9" t="s">
        <v>847</v>
      </c>
      <c r="C60" s="9" t="s">
        <v>166</v>
      </c>
      <c r="D60" s="9" t="b">
        <f>TRUE()</f>
        <v>1</v>
      </c>
      <c r="E60" s="10">
        <v>39293</v>
      </c>
      <c r="F60" s="12">
        <f t="shared" si="0"/>
        <v>0.99987276706193695</v>
      </c>
      <c r="G60" s="10">
        <v>10003</v>
      </c>
      <c r="H60" s="15">
        <v>45009</v>
      </c>
      <c r="I60" s="15">
        <v>46296</v>
      </c>
      <c r="J60" s="9" t="s">
        <v>848</v>
      </c>
      <c r="K60" s="9" t="s">
        <v>926</v>
      </c>
      <c r="L60" s="2"/>
      <c r="M60" s="2"/>
      <c r="N60" s="2"/>
    </row>
    <row r="61" spans="1:14" x14ac:dyDescent="0.45">
      <c r="A61" s="4" t="s">
        <v>168</v>
      </c>
      <c r="B61" s="4" t="s">
        <v>847</v>
      </c>
      <c r="C61" s="4" t="s">
        <v>75</v>
      </c>
      <c r="D61" s="4" t="b">
        <f>FALSE()</f>
        <v>0</v>
      </c>
      <c r="E61" s="5">
        <v>5</v>
      </c>
      <c r="F61" s="7">
        <f t="shared" si="0"/>
        <v>1.2723293806300576E-4</v>
      </c>
      <c r="G61" s="5">
        <v>0</v>
      </c>
      <c r="H61" s="14">
        <v>44951</v>
      </c>
      <c r="I61" s="14">
        <v>45053</v>
      </c>
      <c r="J61" s="4" t="s">
        <v>853</v>
      </c>
      <c r="K61" s="4" t="s">
        <v>927</v>
      </c>
      <c r="L61" s="2"/>
      <c r="M61" s="2"/>
      <c r="N61" s="2"/>
    </row>
    <row r="62" spans="1:14" x14ac:dyDescent="0.45">
      <c r="A62" s="9" t="s">
        <v>169</v>
      </c>
      <c r="B62" s="9" t="s">
        <v>847</v>
      </c>
      <c r="C62" s="9" t="s">
        <v>166</v>
      </c>
      <c r="D62" s="9" t="b">
        <f>TRUE()</f>
        <v>1</v>
      </c>
      <c r="E62" s="10">
        <v>31446</v>
      </c>
      <c r="F62" s="12">
        <f t="shared" si="0"/>
        <v>0.92583541881348452</v>
      </c>
      <c r="G62" s="10">
        <v>7844</v>
      </c>
      <c r="H62" s="15">
        <v>44938</v>
      </c>
      <c r="I62" s="15">
        <v>46296</v>
      </c>
      <c r="J62" s="9" t="s">
        <v>848</v>
      </c>
      <c r="K62" s="9" t="s">
        <v>928</v>
      </c>
      <c r="L62" s="2"/>
      <c r="M62" s="2"/>
      <c r="N62" s="2"/>
    </row>
    <row r="63" spans="1:14" x14ac:dyDescent="0.45">
      <c r="A63" s="4" t="s">
        <v>169</v>
      </c>
      <c r="B63" s="4" t="s">
        <v>847</v>
      </c>
      <c r="C63" s="4" t="s">
        <v>75</v>
      </c>
      <c r="D63" s="4" t="b">
        <f>FALSE()</f>
        <v>0</v>
      </c>
      <c r="E63" s="5">
        <v>2519</v>
      </c>
      <c r="F63" s="7">
        <f t="shared" si="0"/>
        <v>7.4164581186515532E-2</v>
      </c>
      <c r="G63" s="5">
        <v>0</v>
      </c>
      <c r="H63" s="14">
        <v>44928</v>
      </c>
      <c r="I63" s="14">
        <v>45055</v>
      </c>
      <c r="J63" s="4" t="s">
        <v>853</v>
      </c>
      <c r="K63" s="4" t="s">
        <v>929</v>
      </c>
      <c r="L63" s="2"/>
      <c r="M63" s="2"/>
      <c r="N63" s="2"/>
    </row>
    <row r="64" spans="1:14" x14ac:dyDescent="0.45">
      <c r="A64" s="9" t="s">
        <v>170</v>
      </c>
      <c r="B64" s="9" t="s">
        <v>847</v>
      </c>
      <c r="C64" s="9" t="s">
        <v>166</v>
      </c>
      <c r="D64" s="9" t="b">
        <f>TRUE()</f>
        <v>1</v>
      </c>
      <c r="E64" s="10">
        <v>28589</v>
      </c>
      <c r="F64" s="12">
        <f t="shared" si="0"/>
        <v>0.96372829934265969</v>
      </c>
      <c r="G64" s="10">
        <v>5404</v>
      </c>
      <c r="H64" s="15">
        <v>44928</v>
      </c>
      <c r="I64" s="15">
        <v>46296</v>
      </c>
      <c r="J64" s="9" t="s">
        <v>848</v>
      </c>
      <c r="K64" s="9" t="s">
        <v>930</v>
      </c>
      <c r="L64" s="2"/>
      <c r="M64" s="2"/>
      <c r="N64" s="2"/>
    </row>
    <row r="65" spans="1:14" x14ac:dyDescent="0.45">
      <c r="A65" s="4" t="s">
        <v>170</v>
      </c>
      <c r="B65" s="4" t="s">
        <v>847</v>
      </c>
      <c r="C65" s="4" t="s">
        <v>75</v>
      </c>
      <c r="D65" s="4" t="b">
        <f>FALSE()</f>
        <v>0</v>
      </c>
      <c r="E65" s="5">
        <v>1076</v>
      </c>
      <c r="F65" s="7">
        <f t="shared" si="0"/>
        <v>3.6271700657340297E-2</v>
      </c>
      <c r="G65" s="5">
        <v>0</v>
      </c>
      <c r="H65" s="14">
        <v>44928</v>
      </c>
      <c r="I65" s="14">
        <v>45055</v>
      </c>
      <c r="J65" s="4" t="s">
        <v>853</v>
      </c>
      <c r="K65" s="4" t="s">
        <v>931</v>
      </c>
      <c r="L65" s="2"/>
      <c r="M65" s="2"/>
      <c r="N65" s="2"/>
    </row>
    <row r="66" spans="1:14" x14ac:dyDescent="0.45">
      <c r="A66" s="9" t="s">
        <v>171</v>
      </c>
      <c r="B66" s="9" t="s">
        <v>847</v>
      </c>
      <c r="C66" s="9" t="s">
        <v>166</v>
      </c>
      <c r="D66" s="9" t="b">
        <f>TRUE()</f>
        <v>1</v>
      </c>
      <c r="E66" s="10">
        <v>20151</v>
      </c>
      <c r="F66" s="12">
        <f t="shared" ref="F66:F129" si="1">E66/SUMIFS($E$2:$E$783,$A$2:$A$783,A66)</f>
        <v>0.96135680549592095</v>
      </c>
      <c r="G66" s="10">
        <v>5598</v>
      </c>
      <c r="H66" s="15">
        <v>44928</v>
      </c>
      <c r="I66" s="15">
        <v>46296</v>
      </c>
      <c r="J66" s="9" t="s">
        <v>848</v>
      </c>
      <c r="K66" s="9" t="s">
        <v>930</v>
      </c>
      <c r="L66" s="2"/>
      <c r="M66" s="2"/>
      <c r="N66" s="2"/>
    </row>
    <row r="67" spans="1:14" x14ac:dyDescent="0.45">
      <c r="A67" s="4" t="s">
        <v>171</v>
      </c>
      <c r="B67" s="4" t="s">
        <v>847</v>
      </c>
      <c r="C67" s="4" t="s">
        <v>75</v>
      </c>
      <c r="D67" s="4" t="b">
        <f>FALSE()</f>
        <v>0</v>
      </c>
      <c r="E67" s="5">
        <v>810</v>
      </c>
      <c r="F67" s="7">
        <f t="shared" si="1"/>
        <v>3.8643194504079006E-2</v>
      </c>
      <c r="G67" s="5">
        <v>0</v>
      </c>
      <c r="H67" s="14">
        <v>44928</v>
      </c>
      <c r="I67" s="14">
        <v>45054</v>
      </c>
      <c r="J67" s="4" t="s">
        <v>853</v>
      </c>
      <c r="K67" s="4" t="s">
        <v>932</v>
      </c>
      <c r="L67" s="2"/>
      <c r="M67" s="2"/>
      <c r="N67" s="2"/>
    </row>
    <row r="68" spans="1:14" x14ac:dyDescent="0.45">
      <c r="A68" s="9" t="s">
        <v>172</v>
      </c>
      <c r="B68" s="9" t="s">
        <v>847</v>
      </c>
      <c r="C68" s="9" t="s">
        <v>166</v>
      </c>
      <c r="D68" s="9" t="b">
        <f>TRUE()</f>
        <v>1</v>
      </c>
      <c r="E68" s="10">
        <v>12585</v>
      </c>
      <c r="F68" s="12">
        <f t="shared" si="1"/>
        <v>0.94880880579010851</v>
      </c>
      <c r="G68" s="10">
        <v>3938</v>
      </c>
      <c r="H68" s="15">
        <v>44935</v>
      </c>
      <c r="I68" s="15">
        <v>46296</v>
      </c>
      <c r="J68" s="9" t="s">
        <v>848</v>
      </c>
      <c r="K68" s="9" t="s">
        <v>933</v>
      </c>
      <c r="L68" s="2"/>
      <c r="M68" s="2"/>
      <c r="N68" s="2"/>
    </row>
    <row r="69" spans="1:14" x14ac:dyDescent="0.45">
      <c r="A69" s="4" t="s">
        <v>172</v>
      </c>
      <c r="B69" s="4" t="s">
        <v>847</v>
      </c>
      <c r="C69" s="4" t="s">
        <v>75</v>
      </c>
      <c r="D69" s="4" t="b">
        <f>FALSE()</f>
        <v>0</v>
      </c>
      <c r="E69" s="5">
        <v>679</v>
      </c>
      <c r="F69" s="7">
        <f t="shared" si="1"/>
        <v>5.1191194209891433E-2</v>
      </c>
      <c r="G69" s="5">
        <v>0</v>
      </c>
      <c r="H69" s="14">
        <v>44928</v>
      </c>
      <c r="I69" s="14">
        <v>45055</v>
      </c>
      <c r="J69" s="4" t="s">
        <v>853</v>
      </c>
      <c r="K69" s="4" t="s">
        <v>934</v>
      </c>
      <c r="L69" s="2"/>
      <c r="M69" s="2"/>
      <c r="N69" s="2"/>
    </row>
    <row r="70" spans="1:14" x14ac:dyDescent="0.45">
      <c r="A70" s="9" t="s">
        <v>173</v>
      </c>
      <c r="B70" s="9" t="s">
        <v>847</v>
      </c>
      <c r="C70" s="9" t="s">
        <v>166</v>
      </c>
      <c r="D70" s="9" t="b">
        <f>TRUE()</f>
        <v>1</v>
      </c>
      <c r="E70" s="10">
        <v>11485</v>
      </c>
      <c r="F70" s="12">
        <f t="shared" si="1"/>
        <v>0.93336042259244212</v>
      </c>
      <c r="G70" s="10">
        <v>2121</v>
      </c>
      <c r="H70" s="15">
        <v>44928</v>
      </c>
      <c r="I70" s="15">
        <v>46296</v>
      </c>
      <c r="J70" s="9" t="s">
        <v>848</v>
      </c>
      <c r="K70" s="9" t="s">
        <v>930</v>
      </c>
      <c r="L70" s="2"/>
      <c r="M70" s="2"/>
      <c r="N70" s="2"/>
    </row>
    <row r="71" spans="1:14" x14ac:dyDescent="0.45">
      <c r="A71" s="4" t="s">
        <v>173</v>
      </c>
      <c r="B71" s="4" t="s">
        <v>847</v>
      </c>
      <c r="C71" s="4" t="s">
        <v>75</v>
      </c>
      <c r="D71" s="4" t="b">
        <f>FALSE()</f>
        <v>0</v>
      </c>
      <c r="E71" s="5">
        <v>820</v>
      </c>
      <c r="F71" s="7">
        <f t="shared" si="1"/>
        <v>6.6639577407557909E-2</v>
      </c>
      <c r="G71" s="5">
        <v>0</v>
      </c>
      <c r="H71" s="14">
        <v>44928</v>
      </c>
      <c r="I71" s="14">
        <v>45055</v>
      </c>
      <c r="J71" s="4" t="s">
        <v>853</v>
      </c>
      <c r="K71" s="4" t="s">
        <v>931</v>
      </c>
      <c r="L71" s="2"/>
      <c r="M71" s="2"/>
      <c r="N71" s="2"/>
    </row>
    <row r="72" spans="1:14" x14ac:dyDescent="0.45">
      <c r="A72" s="9" t="s">
        <v>174</v>
      </c>
      <c r="B72" s="9" t="s">
        <v>847</v>
      </c>
      <c r="C72" s="9" t="s">
        <v>166</v>
      </c>
      <c r="D72" s="9" t="b">
        <f>TRUE()</f>
        <v>1</v>
      </c>
      <c r="E72" s="10">
        <v>11780</v>
      </c>
      <c r="F72" s="12">
        <f t="shared" si="1"/>
        <v>0.97234832851836561</v>
      </c>
      <c r="G72" s="10">
        <v>2911</v>
      </c>
      <c r="H72" s="15">
        <v>44945</v>
      </c>
      <c r="I72" s="15">
        <v>46296</v>
      </c>
      <c r="J72" s="9" t="s">
        <v>848</v>
      </c>
      <c r="K72" s="9" t="s">
        <v>935</v>
      </c>
      <c r="L72" s="2"/>
      <c r="M72" s="2"/>
      <c r="N72" s="2"/>
    </row>
    <row r="73" spans="1:14" x14ac:dyDescent="0.45">
      <c r="A73" s="4" t="s">
        <v>174</v>
      </c>
      <c r="B73" s="4" t="s">
        <v>847</v>
      </c>
      <c r="C73" s="4" t="s">
        <v>75</v>
      </c>
      <c r="D73" s="4" t="b">
        <f>FALSE()</f>
        <v>0</v>
      </c>
      <c r="E73" s="5">
        <v>335</v>
      </c>
      <c r="F73" s="7">
        <f t="shared" si="1"/>
        <v>2.7651671481634339E-2</v>
      </c>
      <c r="G73" s="5">
        <v>0</v>
      </c>
      <c r="H73" s="14">
        <v>44929</v>
      </c>
      <c r="I73" s="14">
        <v>45054</v>
      </c>
      <c r="J73" s="4" t="s">
        <v>853</v>
      </c>
      <c r="K73" s="4" t="s">
        <v>936</v>
      </c>
      <c r="L73" s="2"/>
      <c r="M73" s="2"/>
      <c r="N73" s="2"/>
    </row>
    <row r="74" spans="1:14" x14ac:dyDescent="0.45">
      <c r="A74" s="9" t="s">
        <v>175</v>
      </c>
      <c r="B74" s="9" t="s">
        <v>847</v>
      </c>
      <c r="C74" s="9" t="s">
        <v>166</v>
      </c>
      <c r="D74" s="9" t="b">
        <f>TRUE()</f>
        <v>1</v>
      </c>
      <c r="E74" s="10">
        <v>10513</v>
      </c>
      <c r="F74" s="12">
        <f t="shared" si="1"/>
        <v>0.91600592489326482</v>
      </c>
      <c r="G74" s="10">
        <v>2402</v>
      </c>
      <c r="H74" s="15">
        <v>44931</v>
      </c>
      <c r="I74" s="15">
        <v>46296</v>
      </c>
      <c r="J74" s="9" t="s">
        <v>848</v>
      </c>
      <c r="K74" s="9" t="s">
        <v>937</v>
      </c>
      <c r="L74" s="2"/>
      <c r="M74" s="2"/>
      <c r="N74" s="2"/>
    </row>
    <row r="75" spans="1:14" x14ac:dyDescent="0.45">
      <c r="A75" s="4" t="s">
        <v>175</v>
      </c>
      <c r="B75" s="4" t="s">
        <v>847</v>
      </c>
      <c r="C75" s="4" t="s">
        <v>75</v>
      </c>
      <c r="D75" s="4" t="b">
        <f>FALSE()</f>
        <v>0</v>
      </c>
      <c r="E75" s="5">
        <v>964</v>
      </c>
      <c r="F75" s="7">
        <f t="shared" si="1"/>
        <v>8.3994075106735205E-2</v>
      </c>
      <c r="G75" s="5">
        <v>0</v>
      </c>
      <c r="H75" s="14">
        <v>44928</v>
      </c>
      <c r="I75" s="14">
        <v>45055</v>
      </c>
      <c r="J75" s="4" t="s">
        <v>853</v>
      </c>
      <c r="K75" s="4" t="s">
        <v>938</v>
      </c>
      <c r="L75" s="2"/>
      <c r="M75" s="2"/>
      <c r="N75" s="2"/>
    </row>
    <row r="76" spans="1:14" x14ac:dyDescent="0.45">
      <c r="A76" s="9" t="s">
        <v>176</v>
      </c>
      <c r="B76" s="9" t="s">
        <v>847</v>
      </c>
      <c r="C76" s="9" t="s">
        <v>166</v>
      </c>
      <c r="D76" s="9" t="b">
        <f>TRUE()</f>
        <v>1</v>
      </c>
      <c r="E76" s="10">
        <v>9988</v>
      </c>
      <c r="F76" s="12">
        <f t="shared" si="1"/>
        <v>0.93722435957586558</v>
      </c>
      <c r="G76" s="10">
        <v>2875</v>
      </c>
      <c r="H76" s="15">
        <v>44929</v>
      </c>
      <c r="I76" s="15">
        <v>46296</v>
      </c>
      <c r="J76" s="9" t="s">
        <v>848</v>
      </c>
      <c r="K76" s="9" t="s">
        <v>924</v>
      </c>
      <c r="L76" s="2"/>
      <c r="M76" s="2"/>
      <c r="N76" s="2"/>
    </row>
    <row r="77" spans="1:14" x14ac:dyDescent="0.45">
      <c r="A77" s="4" t="s">
        <v>176</v>
      </c>
      <c r="B77" s="4" t="s">
        <v>847</v>
      </c>
      <c r="C77" s="4" t="s">
        <v>75</v>
      </c>
      <c r="D77" s="4" t="b">
        <f>FALSE()</f>
        <v>0</v>
      </c>
      <c r="E77" s="5">
        <v>669</v>
      </c>
      <c r="F77" s="7">
        <f t="shared" si="1"/>
        <v>6.2775640424134374E-2</v>
      </c>
      <c r="G77" s="5">
        <v>0</v>
      </c>
      <c r="H77" s="14">
        <v>44928</v>
      </c>
      <c r="I77" s="14">
        <v>45054</v>
      </c>
      <c r="J77" s="4" t="s">
        <v>853</v>
      </c>
      <c r="K77" s="4" t="s">
        <v>939</v>
      </c>
      <c r="L77" s="2"/>
      <c r="M77" s="2"/>
      <c r="N77" s="2"/>
    </row>
    <row r="78" spans="1:14" x14ac:dyDescent="0.45">
      <c r="A78" s="9" t="s">
        <v>177</v>
      </c>
      <c r="B78" s="9" t="s">
        <v>847</v>
      </c>
      <c r="C78" s="9" t="s">
        <v>166</v>
      </c>
      <c r="D78" s="9" t="b">
        <f>TRUE()</f>
        <v>1</v>
      </c>
      <c r="E78" s="10">
        <v>8006</v>
      </c>
      <c r="F78" s="12">
        <f t="shared" si="1"/>
        <v>0.9995006242197253</v>
      </c>
      <c r="G78" s="10">
        <v>490</v>
      </c>
      <c r="H78" s="15">
        <v>45060</v>
      </c>
      <c r="I78" s="15">
        <v>46296</v>
      </c>
      <c r="J78" s="9" t="s">
        <v>848</v>
      </c>
      <c r="K78" s="9" t="s">
        <v>892</v>
      </c>
      <c r="L78" s="2"/>
      <c r="M78" s="2"/>
      <c r="N78" s="2"/>
    </row>
    <row r="79" spans="1:14" x14ac:dyDescent="0.45">
      <c r="A79" s="4" t="s">
        <v>177</v>
      </c>
      <c r="B79" s="4" t="s">
        <v>847</v>
      </c>
      <c r="C79" s="4" t="s">
        <v>75</v>
      </c>
      <c r="D79" s="4" t="b">
        <f>FALSE()</f>
        <v>0</v>
      </c>
      <c r="E79" s="5">
        <v>4</v>
      </c>
      <c r="F79" s="7">
        <f t="shared" si="1"/>
        <v>4.9937578027465666E-4</v>
      </c>
      <c r="G79" s="5">
        <v>0</v>
      </c>
      <c r="H79" s="14">
        <v>44946</v>
      </c>
      <c r="I79" s="14">
        <v>45048</v>
      </c>
      <c r="J79" s="4" t="s">
        <v>853</v>
      </c>
      <c r="K79" s="4" t="s">
        <v>940</v>
      </c>
      <c r="L79" s="2"/>
      <c r="M79" s="2"/>
      <c r="N79" s="2"/>
    </row>
    <row r="80" spans="1:14" x14ac:dyDescent="0.45">
      <c r="A80" s="9" t="s">
        <v>178</v>
      </c>
      <c r="B80" s="9" t="s">
        <v>847</v>
      </c>
      <c r="C80" s="9" t="s">
        <v>166</v>
      </c>
      <c r="D80" s="9" t="b">
        <f>TRUE()</f>
        <v>1</v>
      </c>
      <c r="E80" s="10">
        <v>7292</v>
      </c>
      <c r="F80" s="12">
        <f t="shared" si="1"/>
        <v>0.9284441049146932</v>
      </c>
      <c r="G80" s="10">
        <v>1876</v>
      </c>
      <c r="H80" s="15">
        <v>44931</v>
      </c>
      <c r="I80" s="15">
        <v>46296</v>
      </c>
      <c r="J80" s="9" t="s">
        <v>848</v>
      </c>
      <c r="K80" s="9" t="s">
        <v>937</v>
      </c>
      <c r="L80" s="2"/>
      <c r="M80" s="2"/>
      <c r="N80" s="2"/>
    </row>
    <row r="81" spans="1:14" x14ac:dyDescent="0.45">
      <c r="A81" s="4" t="s">
        <v>178</v>
      </c>
      <c r="B81" s="4" t="s">
        <v>847</v>
      </c>
      <c r="C81" s="4" t="s">
        <v>75</v>
      </c>
      <c r="D81" s="4" t="b">
        <f>FALSE()</f>
        <v>0</v>
      </c>
      <c r="E81" s="5">
        <v>562</v>
      </c>
      <c r="F81" s="7">
        <f t="shared" si="1"/>
        <v>7.1555895085306853E-2</v>
      </c>
      <c r="G81" s="5">
        <v>0</v>
      </c>
      <c r="H81" s="14">
        <v>44928</v>
      </c>
      <c r="I81" s="14">
        <v>45053</v>
      </c>
      <c r="J81" s="4" t="s">
        <v>853</v>
      </c>
      <c r="K81" s="4" t="s">
        <v>941</v>
      </c>
      <c r="L81" s="2"/>
      <c r="M81" s="2"/>
      <c r="N81" s="2"/>
    </row>
    <row r="82" spans="1:14" x14ac:dyDescent="0.45">
      <c r="A82" s="9" t="s">
        <v>179</v>
      </c>
      <c r="B82" s="9" t="s">
        <v>847</v>
      </c>
      <c r="C82" s="9" t="s">
        <v>166</v>
      </c>
      <c r="D82" s="9" t="b">
        <f>TRUE()</f>
        <v>1</v>
      </c>
      <c r="E82" s="10">
        <v>7454</v>
      </c>
      <c r="F82" s="12">
        <f t="shared" si="1"/>
        <v>0.97488883076118227</v>
      </c>
      <c r="G82" s="10">
        <v>2005</v>
      </c>
      <c r="H82" s="15">
        <v>44928</v>
      </c>
      <c r="I82" s="15">
        <v>46296</v>
      </c>
      <c r="J82" s="9" t="s">
        <v>848</v>
      </c>
      <c r="K82" s="9" t="s">
        <v>930</v>
      </c>
      <c r="L82" s="2"/>
      <c r="M82" s="2"/>
      <c r="N82" s="2"/>
    </row>
    <row r="83" spans="1:14" x14ac:dyDescent="0.45">
      <c r="A83" s="4" t="s">
        <v>179</v>
      </c>
      <c r="B83" s="4" t="s">
        <v>847</v>
      </c>
      <c r="C83" s="4" t="s">
        <v>75</v>
      </c>
      <c r="D83" s="4" t="b">
        <f>FALSE()</f>
        <v>0</v>
      </c>
      <c r="E83" s="5">
        <v>192</v>
      </c>
      <c r="F83" s="7">
        <f t="shared" si="1"/>
        <v>2.5111169238817684E-2</v>
      </c>
      <c r="G83" s="5">
        <v>0</v>
      </c>
      <c r="H83" s="14">
        <v>44928</v>
      </c>
      <c r="I83" s="14">
        <v>45049</v>
      </c>
      <c r="J83" s="4" t="s">
        <v>853</v>
      </c>
      <c r="K83" s="4" t="s">
        <v>942</v>
      </c>
      <c r="L83" s="2"/>
      <c r="M83" s="2"/>
      <c r="N83" s="2"/>
    </row>
    <row r="84" spans="1:14" x14ac:dyDescent="0.45">
      <c r="A84" s="9" t="s">
        <v>180</v>
      </c>
      <c r="B84" s="9" t="s">
        <v>847</v>
      </c>
      <c r="C84" s="9" t="s">
        <v>166</v>
      </c>
      <c r="D84" s="9" t="b">
        <f>TRUE()</f>
        <v>1</v>
      </c>
      <c r="E84" s="10">
        <v>6303</v>
      </c>
      <c r="F84" s="12">
        <f t="shared" si="1"/>
        <v>0.95010551703346402</v>
      </c>
      <c r="G84" s="10">
        <v>1568</v>
      </c>
      <c r="H84" s="15">
        <v>44936</v>
      </c>
      <c r="I84" s="15">
        <v>46296</v>
      </c>
      <c r="J84" s="9" t="s">
        <v>848</v>
      </c>
      <c r="K84" s="9" t="s">
        <v>943</v>
      </c>
      <c r="L84" s="2"/>
      <c r="M84" s="2"/>
      <c r="N84" s="2"/>
    </row>
    <row r="85" spans="1:14" x14ac:dyDescent="0.45">
      <c r="A85" s="4" t="s">
        <v>180</v>
      </c>
      <c r="B85" s="4" t="s">
        <v>847</v>
      </c>
      <c r="C85" s="4" t="s">
        <v>75</v>
      </c>
      <c r="D85" s="4" t="b">
        <f>FALSE()</f>
        <v>0</v>
      </c>
      <c r="E85" s="5">
        <v>331</v>
      </c>
      <c r="F85" s="7">
        <f t="shared" si="1"/>
        <v>4.9894482966536029E-2</v>
      </c>
      <c r="G85" s="5">
        <v>0</v>
      </c>
      <c r="H85" s="14">
        <v>44929</v>
      </c>
      <c r="I85" s="14">
        <v>45054</v>
      </c>
      <c r="J85" s="4" t="s">
        <v>853</v>
      </c>
      <c r="K85" s="4" t="s">
        <v>944</v>
      </c>
      <c r="L85" s="2"/>
      <c r="M85" s="2"/>
      <c r="N85" s="2"/>
    </row>
    <row r="86" spans="1:14" x14ac:dyDescent="0.45">
      <c r="A86" s="9" t="s">
        <v>185</v>
      </c>
      <c r="B86" s="9" t="s">
        <v>847</v>
      </c>
      <c r="C86" s="9" t="s">
        <v>166</v>
      </c>
      <c r="D86" s="9" t="b">
        <f>TRUE()</f>
        <v>1</v>
      </c>
      <c r="E86" s="10">
        <v>2517</v>
      </c>
      <c r="F86" s="12">
        <f t="shared" si="1"/>
        <v>0.8119354838709677</v>
      </c>
      <c r="G86" s="10">
        <v>0</v>
      </c>
      <c r="H86" s="15">
        <v>44935</v>
      </c>
      <c r="I86" s="15">
        <v>45375</v>
      </c>
      <c r="J86" s="9" t="s">
        <v>848</v>
      </c>
      <c r="K86" s="9" t="s">
        <v>945</v>
      </c>
      <c r="L86" s="2"/>
      <c r="M86" s="2"/>
      <c r="N86" s="2"/>
    </row>
    <row r="87" spans="1:14" x14ac:dyDescent="0.45">
      <c r="A87" s="4" t="s">
        <v>185</v>
      </c>
      <c r="B87" s="4" t="s">
        <v>847</v>
      </c>
      <c r="C87" s="4" t="s">
        <v>75</v>
      </c>
      <c r="D87" s="4" t="b">
        <f>FALSE()</f>
        <v>0</v>
      </c>
      <c r="E87" s="5">
        <v>583</v>
      </c>
      <c r="F87" s="7">
        <f t="shared" si="1"/>
        <v>0.18806451612903224</v>
      </c>
      <c r="G87" s="5">
        <v>0</v>
      </c>
      <c r="H87" s="14">
        <v>44928</v>
      </c>
      <c r="I87" s="14">
        <v>45055</v>
      </c>
      <c r="J87" s="4" t="s">
        <v>853</v>
      </c>
      <c r="K87" s="4" t="s">
        <v>934</v>
      </c>
      <c r="L87" s="2"/>
      <c r="M87" s="2"/>
      <c r="N87" s="2"/>
    </row>
    <row r="88" spans="1:14" x14ac:dyDescent="0.45">
      <c r="A88" s="9" t="s">
        <v>186</v>
      </c>
      <c r="B88" s="9" t="s">
        <v>847</v>
      </c>
      <c r="C88" s="9" t="s">
        <v>166</v>
      </c>
      <c r="D88" s="9" t="b">
        <f>TRUE()</f>
        <v>1</v>
      </c>
      <c r="E88" s="10">
        <v>2526</v>
      </c>
      <c r="F88" s="12">
        <f t="shared" si="1"/>
        <v>0.94359357489727302</v>
      </c>
      <c r="G88" s="10">
        <v>687</v>
      </c>
      <c r="H88" s="15">
        <v>44939</v>
      </c>
      <c r="I88" s="15">
        <v>46296</v>
      </c>
      <c r="J88" s="9" t="s">
        <v>848</v>
      </c>
      <c r="K88" s="9" t="s">
        <v>946</v>
      </c>
      <c r="L88" s="2"/>
      <c r="M88" s="2"/>
      <c r="N88" s="2"/>
    </row>
    <row r="89" spans="1:14" x14ac:dyDescent="0.45">
      <c r="A89" s="4" t="s">
        <v>186</v>
      </c>
      <c r="B89" s="4" t="s">
        <v>847</v>
      </c>
      <c r="C89" s="4" t="s">
        <v>75</v>
      </c>
      <c r="D89" s="4" t="b">
        <f>FALSE()</f>
        <v>0</v>
      </c>
      <c r="E89" s="5">
        <v>151</v>
      </c>
      <c r="F89" s="7">
        <f t="shared" si="1"/>
        <v>5.6406425102726934E-2</v>
      </c>
      <c r="G89" s="5">
        <v>0</v>
      </c>
      <c r="H89" s="14">
        <v>44928</v>
      </c>
      <c r="I89" s="14">
        <v>45048</v>
      </c>
      <c r="J89" s="4" t="s">
        <v>853</v>
      </c>
      <c r="K89" s="4" t="s">
        <v>947</v>
      </c>
      <c r="L89" s="2"/>
      <c r="M89" s="2"/>
      <c r="N89" s="2"/>
    </row>
    <row r="90" spans="1:14" x14ac:dyDescent="0.45">
      <c r="A90" s="9" t="s">
        <v>187</v>
      </c>
      <c r="B90" s="9" t="s">
        <v>847</v>
      </c>
      <c r="C90" s="9" t="s">
        <v>166</v>
      </c>
      <c r="D90" s="9" t="b">
        <f>TRUE()</f>
        <v>1</v>
      </c>
      <c r="E90" s="10">
        <v>1181</v>
      </c>
      <c r="F90" s="12">
        <f t="shared" si="1"/>
        <v>0.54273897058823528</v>
      </c>
      <c r="G90" s="10">
        <v>0</v>
      </c>
      <c r="H90" s="15">
        <v>45008</v>
      </c>
      <c r="I90" s="15">
        <v>45187</v>
      </c>
      <c r="J90" s="9" t="s">
        <v>848</v>
      </c>
      <c r="K90" s="9" t="s">
        <v>948</v>
      </c>
      <c r="L90" s="2"/>
      <c r="M90" s="2"/>
      <c r="N90" s="2"/>
    </row>
    <row r="91" spans="1:14" x14ac:dyDescent="0.45">
      <c r="A91" s="4" t="s">
        <v>187</v>
      </c>
      <c r="B91" s="4" t="s">
        <v>847</v>
      </c>
      <c r="C91" s="4" t="s">
        <v>75</v>
      </c>
      <c r="D91" s="4" t="b">
        <f>FALSE()</f>
        <v>0</v>
      </c>
      <c r="E91" s="5">
        <v>995</v>
      </c>
      <c r="F91" s="7">
        <f t="shared" si="1"/>
        <v>0.45726102941176472</v>
      </c>
      <c r="G91" s="5">
        <v>0</v>
      </c>
      <c r="H91" s="14">
        <v>44928</v>
      </c>
      <c r="I91" s="14">
        <v>45055</v>
      </c>
      <c r="J91" s="4" t="s">
        <v>853</v>
      </c>
      <c r="K91" s="4" t="s">
        <v>949</v>
      </c>
      <c r="L91" s="2"/>
      <c r="M91" s="2"/>
      <c r="N91" s="2"/>
    </row>
    <row r="92" spans="1:14" x14ac:dyDescent="0.45">
      <c r="A92" s="9" t="s">
        <v>190</v>
      </c>
      <c r="B92" s="9" t="s">
        <v>847</v>
      </c>
      <c r="C92" s="9" t="s">
        <v>166</v>
      </c>
      <c r="D92" s="9" t="b">
        <f>TRUE()</f>
        <v>1</v>
      </c>
      <c r="E92" s="10">
        <v>1731</v>
      </c>
      <c r="F92" s="12">
        <f t="shared" si="1"/>
        <v>0.9438386041439476</v>
      </c>
      <c r="G92" s="10">
        <v>369</v>
      </c>
      <c r="H92" s="15">
        <v>44939</v>
      </c>
      <c r="I92" s="15">
        <v>46296</v>
      </c>
      <c r="J92" s="9" t="s">
        <v>848</v>
      </c>
      <c r="K92" s="9" t="s">
        <v>946</v>
      </c>
      <c r="L92" s="2"/>
      <c r="M92" s="2"/>
      <c r="N92" s="2"/>
    </row>
    <row r="93" spans="1:14" x14ac:dyDescent="0.45">
      <c r="A93" s="4" t="s">
        <v>190</v>
      </c>
      <c r="B93" s="4" t="s">
        <v>847</v>
      </c>
      <c r="C93" s="4" t="s">
        <v>75</v>
      </c>
      <c r="D93" s="4" t="b">
        <f>FALSE()</f>
        <v>0</v>
      </c>
      <c r="E93" s="5">
        <v>103</v>
      </c>
      <c r="F93" s="7">
        <f t="shared" si="1"/>
        <v>5.6161395856052343E-2</v>
      </c>
      <c r="G93" s="5">
        <v>0</v>
      </c>
      <c r="H93" s="14">
        <v>44929</v>
      </c>
      <c r="I93" s="14">
        <v>45052</v>
      </c>
      <c r="J93" s="4" t="s">
        <v>853</v>
      </c>
      <c r="K93" s="4" t="s">
        <v>950</v>
      </c>
      <c r="L93" s="2"/>
      <c r="M93" s="2"/>
      <c r="N93" s="2"/>
    </row>
    <row r="94" spans="1:14" x14ac:dyDescent="0.45">
      <c r="A94" s="9" t="s">
        <v>191</v>
      </c>
      <c r="B94" s="9" t="s">
        <v>847</v>
      </c>
      <c r="C94" s="9" t="s">
        <v>166</v>
      </c>
      <c r="D94" s="9" t="b">
        <f>TRUE()</f>
        <v>1</v>
      </c>
      <c r="E94" s="10">
        <v>1462</v>
      </c>
      <c r="F94" s="12">
        <f t="shared" si="1"/>
        <v>0.92065491183879089</v>
      </c>
      <c r="G94" s="10">
        <v>315</v>
      </c>
      <c r="H94" s="15">
        <v>44947</v>
      </c>
      <c r="I94" s="15">
        <v>46296</v>
      </c>
      <c r="J94" s="9" t="s">
        <v>848</v>
      </c>
      <c r="K94" s="9" t="s">
        <v>951</v>
      </c>
      <c r="L94" s="2"/>
      <c r="M94" s="2"/>
      <c r="N94" s="2"/>
    </row>
    <row r="95" spans="1:14" x14ac:dyDescent="0.45">
      <c r="A95" s="4" t="s">
        <v>191</v>
      </c>
      <c r="B95" s="4" t="s">
        <v>847</v>
      </c>
      <c r="C95" s="4" t="s">
        <v>75</v>
      </c>
      <c r="D95" s="4" t="b">
        <f>FALSE()</f>
        <v>0</v>
      </c>
      <c r="E95" s="5">
        <v>126</v>
      </c>
      <c r="F95" s="7">
        <f t="shared" si="1"/>
        <v>7.9345088161209068E-2</v>
      </c>
      <c r="G95" s="5">
        <v>0</v>
      </c>
      <c r="H95" s="14">
        <v>44928</v>
      </c>
      <c r="I95" s="14">
        <v>45053</v>
      </c>
      <c r="J95" s="4" t="s">
        <v>853</v>
      </c>
      <c r="K95" s="4" t="s">
        <v>952</v>
      </c>
      <c r="L95" s="2"/>
      <c r="M95" s="2"/>
      <c r="N95" s="2"/>
    </row>
    <row r="96" spans="1:14" x14ac:dyDescent="0.45">
      <c r="A96" s="9" t="s">
        <v>192</v>
      </c>
      <c r="B96" s="9" t="s">
        <v>847</v>
      </c>
      <c r="C96" s="9" t="s">
        <v>166</v>
      </c>
      <c r="D96" s="9" t="b">
        <f>TRUE()</f>
        <v>1</v>
      </c>
      <c r="E96" s="10">
        <v>1492</v>
      </c>
      <c r="F96" s="12">
        <f t="shared" si="1"/>
        <v>0.99933020763563296</v>
      </c>
      <c r="G96" s="10">
        <v>429</v>
      </c>
      <c r="H96" s="15">
        <v>44928</v>
      </c>
      <c r="I96" s="15">
        <v>46296</v>
      </c>
      <c r="J96" s="9" t="s">
        <v>848</v>
      </c>
      <c r="K96" s="9" t="s">
        <v>930</v>
      </c>
      <c r="L96" s="2"/>
      <c r="M96" s="2"/>
      <c r="N96" s="2"/>
    </row>
    <row r="97" spans="1:14" x14ac:dyDescent="0.45">
      <c r="A97" s="4" t="s">
        <v>192</v>
      </c>
      <c r="B97" s="4" t="s">
        <v>847</v>
      </c>
      <c r="C97" s="4" t="s">
        <v>75</v>
      </c>
      <c r="D97" s="4" t="b">
        <f>FALSE()</f>
        <v>0</v>
      </c>
      <c r="E97" s="5">
        <v>1</v>
      </c>
      <c r="F97" s="7">
        <f t="shared" si="1"/>
        <v>6.6979236436704619E-4</v>
      </c>
      <c r="G97" s="5">
        <v>0</v>
      </c>
      <c r="H97" s="14">
        <v>45022</v>
      </c>
      <c r="I97" s="14">
        <v>45022</v>
      </c>
      <c r="J97" s="4" t="s">
        <v>853</v>
      </c>
      <c r="K97" s="4" t="s">
        <v>953</v>
      </c>
      <c r="L97" s="2"/>
      <c r="M97" s="2"/>
      <c r="N97" s="2"/>
    </row>
    <row r="98" spans="1:14" x14ac:dyDescent="0.45">
      <c r="A98" s="9" t="s">
        <v>193</v>
      </c>
      <c r="B98" s="9" t="s">
        <v>847</v>
      </c>
      <c r="C98" s="9" t="s">
        <v>166</v>
      </c>
      <c r="D98" s="9" t="b">
        <f>TRUE()</f>
        <v>1</v>
      </c>
      <c r="E98" s="10">
        <v>1328</v>
      </c>
      <c r="F98" s="12">
        <f t="shared" si="1"/>
        <v>0.93127629733520334</v>
      </c>
      <c r="G98" s="10">
        <v>299</v>
      </c>
      <c r="H98" s="15">
        <v>44949</v>
      </c>
      <c r="I98" s="15">
        <v>46287</v>
      </c>
      <c r="J98" s="9" t="s">
        <v>848</v>
      </c>
      <c r="K98" s="9" t="s">
        <v>954</v>
      </c>
      <c r="L98" s="2"/>
      <c r="M98" s="2"/>
      <c r="N98" s="2"/>
    </row>
    <row r="99" spans="1:14" x14ac:dyDescent="0.45">
      <c r="A99" s="4" t="s">
        <v>193</v>
      </c>
      <c r="B99" s="4" t="s">
        <v>847</v>
      </c>
      <c r="C99" s="4" t="s">
        <v>75</v>
      </c>
      <c r="D99" s="4" t="b">
        <f>FALSE()</f>
        <v>0</v>
      </c>
      <c r="E99" s="5">
        <v>98</v>
      </c>
      <c r="F99" s="7">
        <f t="shared" si="1"/>
        <v>6.8723702664796632E-2</v>
      </c>
      <c r="G99" s="5">
        <v>0</v>
      </c>
      <c r="H99" s="14">
        <v>44928</v>
      </c>
      <c r="I99" s="14">
        <v>45051</v>
      </c>
      <c r="J99" s="4" t="s">
        <v>853</v>
      </c>
      <c r="K99" s="4" t="s">
        <v>955</v>
      </c>
      <c r="L99" s="2"/>
      <c r="M99" s="2"/>
      <c r="N99" s="2"/>
    </row>
    <row r="100" spans="1:14" x14ac:dyDescent="0.45">
      <c r="A100" s="9" t="s">
        <v>195</v>
      </c>
      <c r="B100" s="9" t="s">
        <v>847</v>
      </c>
      <c r="C100" s="9" t="s">
        <v>166</v>
      </c>
      <c r="D100" s="9" t="b">
        <f>TRUE()</f>
        <v>1</v>
      </c>
      <c r="E100" s="10">
        <v>626</v>
      </c>
      <c r="F100" s="12">
        <f t="shared" si="1"/>
        <v>0.53412969283276446</v>
      </c>
      <c r="G100" s="10">
        <v>0</v>
      </c>
      <c r="H100" s="15">
        <v>45024</v>
      </c>
      <c r="I100" s="15">
        <v>45188</v>
      </c>
      <c r="J100" s="9" t="s">
        <v>848</v>
      </c>
      <c r="K100" s="9" t="s">
        <v>956</v>
      </c>
      <c r="L100" s="2"/>
      <c r="M100" s="2"/>
      <c r="N100" s="2"/>
    </row>
    <row r="101" spans="1:14" x14ac:dyDescent="0.45">
      <c r="A101" s="4" t="s">
        <v>195</v>
      </c>
      <c r="B101" s="4" t="s">
        <v>847</v>
      </c>
      <c r="C101" s="4" t="s">
        <v>75</v>
      </c>
      <c r="D101" s="4" t="b">
        <f>FALSE()</f>
        <v>0</v>
      </c>
      <c r="E101" s="5">
        <v>546</v>
      </c>
      <c r="F101" s="7">
        <f t="shared" si="1"/>
        <v>0.46587030716723549</v>
      </c>
      <c r="G101" s="5">
        <v>0</v>
      </c>
      <c r="H101" s="14">
        <v>44928</v>
      </c>
      <c r="I101" s="14">
        <v>45054</v>
      </c>
      <c r="J101" s="4" t="s">
        <v>853</v>
      </c>
      <c r="K101" s="4" t="s">
        <v>957</v>
      </c>
      <c r="L101" s="2"/>
      <c r="M101" s="2"/>
      <c r="N101" s="2"/>
    </row>
    <row r="102" spans="1:14" x14ac:dyDescent="0.45">
      <c r="A102" s="9" t="s">
        <v>197</v>
      </c>
      <c r="B102" s="9" t="s">
        <v>847</v>
      </c>
      <c r="C102" s="9" t="s">
        <v>166</v>
      </c>
      <c r="D102" s="9" t="b">
        <f>TRUE()</f>
        <v>1</v>
      </c>
      <c r="E102" s="10">
        <v>693</v>
      </c>
      <c r="F102" s="12">
        <f t="shared" si="1"/>
        <v>0.59433962264150941</v>
      </c>
      <c r="G102" s="10">
        <v>0</v>
      </c>
      <c r="H102" s="15">
        <v>44951</v>
      </c>
      <c r="I102" s="15">
        <v>45186</v>
      </c>
      <c r="J102" s="9" t="s">
        <v>848</v>
      </c>
      <c r="K102" s="9" t="s">
        <v>958</v>
      </c>
      <c r="L102" s="2"/>
      <c r="M102" s="2"/>
      <c r="N102" s="2"/>
    </row>
    <row r="103" spans="1:14" x14ac:dyDescent="0.45">
      <c r="A103" s="4" t="s">
        <v>197</v>
      </c>
      <c r="B103" s="4" t="s">
        <v>847</v>
      </c>
      <c r="C103" s="4" t="s">
        <v>75</v>
      </c>
      <c r="D103" s="4" t="b">
        <f>FALSE()</f>
        <v>0</v>
      </c>
      <c r="E103" s="5">
        <v>473</v>
      </c>
      <c r="F103" s="7">
        <f t="shared" si="1"/>
        <v>0.40566037735849059</v>
      </c>
      <c r="G103" s="5">
        <v>0</v>
      </c>
      <c r="H103" s="14">
        <v>44928</v>
      </c>
      <c r="I103" s="14">
        <v>45055</v>
      </c>
      <c r="J103" s="4" t="s">
        <v>853</v>
      </c>
      <c r="K103" s="4" t="s">
        <v>959</v>
      </c>
      <c r="L103" s="2"/>
      <c r="M103" s="2"/>
      <c r="N103" s="2"/>
    </row>
    <row r="104" spans="1:14" x14ac:dyDescent="0.45">
      <c r="A104" s="9" t="s">
        <v>198</v>
      </c>
      <c r="B104" s="9" t="s">
        <v>847</v>
      </c>
      <c r="C104" s="9" t="s">
        <v>166</v>
      </c>
      <c r="D104" s="9" t="b">
        <f>TRUE()</f>
        <v>1</v>
      </c>
      <c r="E104" s="10">
        <v>967</v>
      </c>
      <c r="F104" s="12">
        <f t="shared" si="1"/>
        <v>0.98372329603255337</v>
      </c>
      <c r="G104" s="10">
        <v>279</v>
      </c>
      <c r="H104" s="15">
        <v>44966</v>
      </c>
      <c r="I104" s="15">
        <v>46293</v>
      </c>
      <c r="J104" s="9" t="s">
        <v>848</v>
      </c>
      <c r="K104" s="9" t="s">
        <v>960</v>
      </c>
      <c r="L104" s="2"/>
      <c r="M104" s="2"/>
      <c r="N104" s="2"/>
    </row>
    <row r="105" spans="1:14" x14ac:dyDescent="0.45">
      <c r="A105" s="4" t="s">
        <v>198</v>
      </c>
      <c r="B105" s="4" t="s">
        <v>847</v>
      </c>
      <c r="C105" s="4" t="s">
        <v>75</v>
      </c>
      <c r="D105" s="4" t="b">
        <f>FALSE()</f>
        <v>0</v>
      </c>
      <c r="E105" s="5">
        <v>16</v>
      </c>
      <c r="F105" s="7">
        <f t="shared" si="1"/>
        <v>1.6276703967446592E-2</v>
      </c>
      <c r="G105" s="5">
        <v>0</v>
      </c>
      <c r="H105" s="14">
        <v>44929</v>
      </c>
      <c r="I105" s="14">
        <v>45053</v>
      </c>
      <c r="J105" s="4" t="s">
        <v>853</v>
      </c>
      <c r="K105" s="4" t="s">
        <v>961</v>
      </c>
      <c r="L105" s="2"/>
      <c r="M105" s="2"/>
      <c r="N105" s="2"/>
    </row>
    <row r="106" spans="1:14" x14ac:dyDescent="0.45">
      <c r="A106" s="9" t="s">
        <v>199</v>
      </c>
      <c r="B106" s="9" t="s">
        <v>847</v>
      </c>
      <c r="C106" s="9" t="s">
        <v>166</v>
      </c>
      <c r="D106" s="9" t="b">
        <f>TRUE()</f>
        <v>1</v>
      </c>
      <c r="E106" s="10">
        <v>659</v>
      </c>
      <c r="F106" s="12">
        <f t="shared" si="1"/>
        <v>0.68078512396694213</v>
      </c>
      <c r="G106" s="10">
        <v>0</v>
      </c>
      <c r="H106" s="15">
        <v>45055</v>
      </c>
      <c r="I106" s="15">
        <v>45188</v>
      </c>
      <c r="J106" s="9" t="s">
        <v>848</v>
      </c>
      <c r="K106" s="9" t="s">
        <v>962</v>
      </c>
      <c r="L106" s="2"/>
      <c r="M106" s="2"/>
      <c r="N106" s="2"/>
    </row>
    <row r="107" spans="1:14" x14ac:dyDescent="0.45">
      <c r="A107" s="4" t="s">
        <v>199</v>
      </c>
      <c r="B107" s="4" t="s">
        <v>847</v>
      </c>
      <c r="C107" s="4" t="s">
        <v>75</v>
      </c>
      <c r="D107" s="4" t="b">
        <f>FALSE()</f>
        <v>0</v>
      </c>
      <c r="E107" s="5">
        <v>309</v>
      </c>
      <c r="F107" s="7">
        <f t="shared" si="1"/>
        <v>0.31921487603305787</v>
      </c>
      <c r="G107" s="5">
        <v>0</v>
      </c>
      <c r="H107" s="14">
        <v>44928</v>
      </c>
      <c r="I107" s="14">
        <v>45055</v>
      </c>
      <c r="J107" s="4" t="s">
        <v>853</v>
      </c>
      <c r="K107" s="4" t="s">
        <v>963</v>
      </c>
      <c r="L107" s="2"/>
      <c r="M107" s="2"/>
      <c r="N107" s="2"/>
    </row>
    <row r="108" spans="1:14" x14ac:dyDescent="0.45">
      <c r="A108" s="9" t="s">
        <v>200</v>
      </c>
      <c r="B108" s="9" t="s">
        <v>847</v>
      </c>
      <c r="C108" s="9" t="s">
        <v>166</v>
      </c>
      <c r="D108" s="9" t="b">
        <f>TRUE()</f>
        <v>1</v>
      </c>
      <c r="E108" s="10">
        <v>774</v>
      </c>
      <c r="F108" s="12">
        <f t="shared" si="1"/>
        <v>0.95437731196054254</v>
      </c>
      <c r="G108" s="10">
        <v>221</v>
      </c>
      <c r="H108" s="15">
        <v>44963</v>
      </c>
      <c r="I108" s="15">
        <v>46296</v>
      </c>
      <c r="J108" s="9" t="s">
        <v>848</v>
      </c>
      <c r="K108" s="9" t="s">
        <v>964</v>
      </c>
      <c r="L108" s="2"/>
      <c r="M108" s="2"/>
      <c r="N108" s="2"/>
    </row>
    <row r="109" spans="1:14" x14ac:dyDescent="0.45">
      <c r="A109" s="4" t="s">
        <v>200</v>
      </c>
      <c r="B109" s="4" t="s">
        <v>847</v>
      </c>
      <c r="C109" s="4" t="s">
        <v>75</v>
      </c>
      <c r="D109" s="4" t="b">
        <f>FALSE()</f>
        <v>0</v>
      </c>
      <c r="E109" s="5">
        <v>37</v>
      </c>
      <c r="F109" s="7">
        <f t="shared" si="1"/>
        <v>4.562268803945746E-2</v>
      </c>
      <c r="G109" s="5">
        <v>0</v>
      </c>
      <c r="H109" s="14">
        <v>44930</v>
      </c>
      <c r="I109" s="14">
        <v>45054</v>
      </c>
      <c r="J109" s="4" t="s">
        <v>853</v>
      </c>
      <c r="K109" s="4" t="s">
        <v>965</v>
      </c>
      <c r="L109" s="2"/>
      <c r="M109" s="2"/>
      <c r="N109" s="2"/>
    </row>
    <row r="110" spans="1:14" x14ac:dyDescent="0.45">
      <c r="A110" s="9" t="s">
        <v>202</v>
      </c>
      <c r="B110" s="9" t="s">
        <v>847</v>
      </c>
      <c r="C110" s="9" t="s">
        <v>166</v>
      </c>
      <c r="D110" s="9" t="b">
        <f>TRUE()</f>
        <v>1</v>
      </c>
      <c r="E110" s="10">
        <v>566</v>
      </c>
      <c r="F110" s="12">
        <f t="shared" si="1"/>
        <v>0.86943164362519199</v>
      </c>
      <c r="G110" s="10">
        <v>116</v>
      </c>
      <c r="H110" s="15">
        <v>44930</v>
      </c>
      <c r="I110" s="15">
        <v>46293</v>
      </c>
      <c r="J110" s="9" t="s">
        <v>848</v>
      </c>
      <c r="K110" s="9" t="s">
        <v>966</v>
      </c>
      <c r="L110" s="2"/>
      <c r="M110" s="2"/>
      <c r="N110" s="2"/>
    </row>
    <row r="111" spans="1:14" x14ac:dyDescent="0.45">
      <c r="A111" s="4" t="s">
        <v>202</v>
      </c>
      <c r="B111" s="4" t="s">
        <v>847</v>
      </c>
      <c r="C111" s="4" t="s">
        <v>75</v>
      </c>
      <c r="D111" s="4" t="b">
        <f>FALSE()</f>
        <v>0</v>
      </c>
      <c r="E111" s="5">
        <v>85</v>
      </c>
      <c r="F111" s="7">
        <f t="shared" si="1"/>
        <v>0.13056835637480799</v>
      </c>
      <c r="G111" s="5">
        <v>0</v>
      </c>
      <c r="H111" s="14">
        <v>44928</v>
      </c>
      <c r="I111" s="14">
        <v>45047</v>
      </c>
      <c r="J111" s="4" t="s">
        <v>853</v>
      </c>
      <c r="K111" s="4" t="s">
        <v>879</v>
      </c>
      <c r="L111" s="2"/>
      <c r="M111" s="2"/>
      <c r="N111" s="2"/>
    </row>
    <row r="112" spans="1:14" x14ac:dyDescent="0.45">
      <c r="A112" s="9" t="s">
        <v>203</v>
      </c>
      <c r="B112" s="9" t="s">
        <v>847</v>
      </c>
      <c r="C112" s="9" t="s">
        <v>166</v>
      </c>
      <c r="D112" s="9" t="b">
        <f>TRUE()</f>
        <v>1</v>
      </c>
      <c r="E112" s="10">
        <v>567</v>
      </c>
      <c r="F112" s="12">
        <f t="shared" si="1"/>
        <v>0.91599353796445881</v>
      </c>
      <c r="G112" s="10">
        <v>121</v>
      </c>
      <c r="H112" s="15">
        <v>44932</v>
      </c>
      <c r="I112" s="15">
        <v>46295</v>
      </c>
      <c r="J112" s="9" t="s">
        <v>848</v>
      </c>
      <c r="K112" s="9" t="s">
        <v>967</v>
      </c>
      <c r="L112" s="2"/>
      <c r="M112" s="2"/>
      <c r="N112" s="2"/>
    </row>
    <row r="113" spans="1:14" x14ac:dyDescent="0.45">
      <c r="A113" s="4" t="s">
        <v>203</v>
      </c>
      <c r="B113" s="4" t="s">
        <v>847</v>
      </c>
      <c r="C113" s="4" t="s">
        <v>75</v>
      </c>
      <c r="D113" s="4" t="b">
        <f>FALSE()</f>
        <v>0</v>
      </c>
      <c r="E113" s="5">
        <v>52</v>
      </c>
      <c r="F113" s="7">
        <f t="shared" si="1"/>
        <v>8.4006462035541199E-2</v>
      </c>
      <c r="G113" s="5">
        <v>0</v>
      </c>
      <c r="H113" s="14">
        <v>44928</v>
      </c>
      <c r="I113" s="14">
        <v>45050</v>
      </c>
      <c r="J113" s="4" t="s">
        <v>853</v>
      </c>
      <c r="K113" s="4" t="s">
        <v>968</v>
      </c>
      <c r="L113" s="2"/>
      <c r="M113" s="2"/>
      <c r="N113" s="2"/>
    </row>
    <row r="114" spans="1:14" x14ac:dyDescent="0.45">
      <c r="A114" s="9" t="s">
        <v>204</v>
      </c>
      <c r="B114" s="9" t="s">
        <v>847</v>
      </c>
      <c r="C114" s="9" t="s">
        <v>166</v>
      </c>
      <c r="D114" s="9" t="b">
        <f>TRUE()</f>
        <v>1</v>
      </c>
      <c r="E114" s="10">
        <v>387</v>
      </c>
      <c r="F114" s="12">
        <f t="shared" si="1"/>
        <v>0.81645569620253167</v>
      </c>
      <c r="G114" s="10">
        <v>0</v>
      </c>
      <c r="H114" s="15">
        <v>44938</v>
      </c>
      <c r="I114" s="15">
        <v>45876</v>
      </c>
      <c r="J114" s="9" t="s">
        <v>848</v>
      </c>
      <c r="K114" s="9" t="s">
        <v>969</v>
      </c>
      <c r="L114" s="2"/>
      <c r="M114" s="2"/>
      <c r="N114" s="2"/>
    </row>
    <row r="115" spans="1:14" x14ac:dyDescent="0.45">
      <c r="A115" s="4" t="s">
        <v>204</v>
      </c>
      <c r="B115" s="4" t="s">
        <v>847</v>
      </c>
      <c r="C115" s="4" t="s">
        <v>75</v>
      </c>
      <c r="D115" s="4" t="b">
        <f>FALSE()</f>
        <v>0</v>
      </c>
      <c r="E115" s="5">
        <v>87</v>
      </c>
      <c r="F115" s="7">
        <f t="shared" si="1"/>
        <v>0.18354430379746836</v>
      </c>
      <c r="G115" s="5">
        <v>0</v>
      </c>
      <c r="H115" s="14">
        <v>44928</v>
      </c>
      <c r="I115" s="14">
        <v>45047</v>
      </c>
      <c r="J115" s="4" t="s">
        <v>853</v>
      </c>
      <c r="K115" s="4" t="s">
        <v>970</v>
      </c>
      <c r="L115" s="2"/>
      <c r="M115" s="2"/>
      <c r="N115" s="2"/>
    </row>
    <row r="116" spans="1:14" x14ac:dyDescent="0.45">
      <c r="A116" s="9" t="s">
        <v>206</v>
      </c>
      <c r="B116" s="9" t="s">
        <v>847</v>
      </c>
      <c r="C116" s="9" t="s">
        <v>166</v>
      </c>
      <c r="D116" s="9" t="b">
        <f>TRUE()</f>
        <v>1</v>
      </c>
      <c r="E116" s="10">
        <v>398</v>
      </c>
      <c r="F116" s="12">
        <f t="shared" si="1"/>
        <v>0.98759305210918114</v>
      </c>
      <c r="G116" s="10">
        <v>87</v>
      </c>
      <c r="H116" s="15">
        <v>44992</v>
      </c>
      <c r="I116" s="15">
        <v>46293</v>
      </c>
      <c r="J116" s="9" t="s">
        <v>848</v>
      </c>
      <c r="K116" s="9" t="s">
        <v>971</v>
      </c>
      <c r="L116" s="2"/>
      <c r="M116" s="2"/>
      <c r="N116" s="2"/>
    </row>
    <row r="117" spans="1:14" x14ac:dyDescent="0.45">
      <c r="A117" s="4" t="s">
        <v>206</v>
      </c>
      <c r="B117" s="4" t="s">
        <v>847</v>
      </c>
      <c r="C117" s="4" t="s">
        <v>75</v>
      </c>
      <c r="D117" s="4" t="b">
        <f>FALSE()</f>
        <v>0</v>
      </c>
      <c r="E117" s="5">
        <v>5</v>
      </c>
      <c r="F117" s="7">
        <f t="shared" si="1"/>
        <v>1.2406947890818859E-2</v>
      </c>
      <c r="G117" s="5">
        <v>0</v>
      </c>
      <c r="H117" s="14">
        <v>44959</v>
      </c>
      <c r="I117" s="14">
        <v>45027</v>
      </c>
      <c r="J117" s="4" t="s">
        <v>853</v>
      </c>
      <c r="K117" s="4" t="s">
        <v>972</v>
      </c>
      <c r="L117" s="2"/>
      <c r="M117" s="2"/>
      <c r="N117" s="2"/>
    </row>
    <row r="118" spans="1:14" x14ac:dyDescent="0.45">
      <c r="A118" s="9" t="s">
        <v>211</v>
      </c>
      <c r="B118" s="9" t="s">
        <v>847</v>
      </c>
      <c r="C118" s="9" t="s">
        <v>166</v>
      </c>
      <c r="D118" s="9" t="b">
        <f>TRUE()</f>
        <v>1</v>
      </c>
      <c r="E118" s="10">
        <v>251</v>
      </c>
      <c r="F118" s="12">
        <f t="shared" si="1"/>
        <v>0.96911196911196906</v>
      </c>
      <c r="G118" s="10">
        <v>52</v>
      </c>
      <c r="H118" s="15">
        <v>44961</v>
      </c>
      <c r="I118" s="15">
        <v>46280</v>
      </c>
      <c r="J118" s="9" t="s">
        <v>848</v>
      </c>
      <c r="K118" s="9" t="s">
        <v>973</v>
      </c>
      <c r="L118" s="2"/>
      <c r="M118" s="2"/>
      <c r="N118" s="2"/>
    </row>
    <row r="119" spans="1:14" x14ac:dyDescent="0.45">
      <c r="A119" s="4" t="s">
        <v>211</v>
      </c>
      <c r="B119" s="4" t="s">
        <v>847</v>
      </c>
      <c r="C119" s="4" t="s">
        <v>75</v>
      </c>
      <c r="D119" s="4" t="b">
        <f>FALSE()</f>
        <v>0</v>
      </c>
      <c r="E119" s="5">
        <v>8</v>
      </c>
      <c r="F119" s="7">
        <f t="shared" si="1"/>
        <v>3.0888030888030889E-2</v>
      </c>
      <c r="G119" s="5">
        <v>0</v>
      </c>
      <c r="H119" s="14">
        <v>44946</v>
      </c>
      <c r="I119" s="14">
        <v>45041</v>
      </c>
      <c r="J119" s="4" t="s">
        <v>853</v>
      </c>
      <c r="K119" s="4" t="s">
        <v>974</v>
      </c>
      <c r="L119" s="2"/>
      <c r="M119" s="2"/>
      <c r="N119" s="2"/>
    </row>
    <row r="120" spans="1:14" x14ac:dyDescent="0.45">
      <c r="A120" s="9" t="s">
        <v>212</v>
      </c>
      <c r="B120" s="9" t="s">
        <v>847</v>
      </c>
      <c r="C120" s="9" t="s">
        <v>166</v>
      </c>
      <c r="D120" s="9" t="b">
        <f>TRUE()</f>
        <v>1</v>
      </c>
      <c r="E120" s="10">
        <v>235</v>
      </c>
      <c r="F120" s="12">
        <f t="shared" si="1"/>
        <v>0.92519685039370081</v>
      </c>
      <c r="G120" s="10">
        <v>34</v>
      </c>
      <c r="H120" s="15">
        <v>44944</v>
      </c>
      <c r="I120" s="15">
        <v>46293</v>
      </c>
      <c r="J120" s="9" t="s">
        <v>848</v>
      </c>
      <c r="K120" s="9" t="s">
        <v>975</v>
      </c>
      <c r="L120" s="2"/>
      <c r="M120" s="2"/>
      <c r="N120" s="2"/>
    </row>
    <row r="121" spans="1:14" x14ac:dyDescent="0.45">
      <c r="A121" s="4" t="s">
        <v>212</v>
      </c>
      <c r="B121" s="4" t="s">
        <v>847</v>
      </c>
      <c r="C121" s="4" t="s">
        <v>75</v>
      </c>
      <c r="D121" s="4" t="b">
        <f>FALSE()</f>
        <v>0</v>
      </c>
      <c r="E121" s="5">
        <v>19</v>
      </c>
      <c r="F121" s="7">
        <f t="shared" si="1"/>
        <v>7.4803149606299218E-2</v>
      </c>
      <c r="G121" s="5">
        <v>0</v>
      </c>
      <c r="H121" s="14">
        <v>44943</v>
      </c>
      <c r="I121" s="14">
        <v>45048</v>
      </c>
      <c r="J121" s="4" t="s">
        <v>853</v>
      </c>
      <c r="K121" s="4" t="s">
        <v>976</v>
      </c>
      <c r="L121" s="2"/>
      <c r="M121" s="2"/>
      <c r="N121" s="2"/>
    </row>
    <row r="122" spans="1:14" x14ac:dyDescent="0.45">
      <c r="A122" s="9" t="s">
        <v>213</v>
      </c>
      <c r="B122" s="9" t="s">
        <v>847</v>
      </c>
      <c r="C122" s="9" t="s">
        <v>166</v>
      </c>
      <c r="D122" s="9" t="b">
        <f>TRUE()</f>
        <v>1</v>
      </c>
      <c r="E122" s="10">
        <v>232</v>
      </c>
      <c r="F122" s="12">
        <f t="shared" si="1"/>
        <v>0.95081967213114749</v>
      </c>
      <c r="G122" s="10">
        <v>53</v>
      </c>
      <c r="H122" s="15">
        <v>45050</v>
      </c>
      <c r="I122" s="15">
        <v>46294</v>
      </c>
      <c r="J122" s="9" t="s">
        <v>848</v>
      </c>
      <c r="K122" s="9" t="s">
        <v>977</v>
      </c>
      <c r="L122" s="2"/>
      <c r="M122" s="2"/>
      <c r="N122" s="2"/>
    </row>
    <row r="123" spans="1:14" x14ac:dyDescent="0.45">
      <c r="A123" s="4" t="s">
        <v>213</v>
      </c>
      <c r="B123" s="4" t="s">
        <v>847</v>
      </c>
      <c r="C123" s="4" t="s">
        <v>75</v>
      </c>
      <c r="D123" s="4" t="b">
        <f>FALSE()</f>
        <v>0</v>
      </c>
      <c r="E123" s="5">
        <v>12</v>
      </c>
      <c r="F123" s="7">
        <f t="shared" si="1"/>
        <v>4.9180327868852458E-2</v>
      </c>
      <c r="G123" s="5">
        <v>0</v>
      </c>
      <c r="H123" s="14">
        <v>44941</v>
      </c>
      <c r="I123" s="14">
        <v>45055</v>
      </c>
      <c r="J123" s="4" t="s">
        <v>853</v>
      </c>
      <c r="K123" s="4" t="s">
        <v>978</v>
      </c>
      <c r="L123" s="2"/>
      <c r="M123" s="2"/>
      <c r="N123" s="2"/>
    </row>
    <row r="124" spans="1:14" x14ac:dyDescent="0.45">
      <c r="A124" s="9" t="s">
        <v>215</v>
      </c>
      <c r="B124" s="9" t="s">
        <v>847</v>
      </c>
      <c r="C124" s="9" t="s">
        <v>166</v>
      </c>
      <c r="D124" s="9" t="b">
        <f>TRUE()</f>
        <v>1</v>
      </c>
      <c r="E124" s="10">
        <v>203</v>
      </c>
      <c r="F124" s="12">
        <f t="shared" si="1"/>
        <v>0.9712918660287081</v>
      </c>
      <c r="G124" s="10">
        <v>60</v>
      </c>
      <c r="H124" s="15">
        <v>45043</v>
      </c>
      <c r="I124" s="15">
        <v>46293</v>
      </c>
      <c r="J124" s="9" t="s">
        <v>848</v>
      </c>
      <c r="K124" s="9" t="s">
        <v>979</v>
      </c>
      <c r="L124" s="2"/>
      <c r="M124" s="2"/>
      <c r="N124" s="2"/>
    </row>
    <row r="125" spans="1:14" x14ac:dyDescent="0.45">
      <c r="A125" s="4" t="s">
        <v>215</v>
      </c>
      <c r="B125" s="4" t="s">
        <v>847</v>
      </c>
      <c r="C125" s="4" t="s">
        <v>75</v>
      </c>
      <c r="D125" s="4" t="b">
        <f>FALSE()</f>
        <v>0</v>
      </c>
      <c r="E125" s="5">
        <v>6</v>
      </c>
      <c r="F125" s="7">
        <f t="shared" si="1"/>
        <v>2.8708133971291867E-2</v>
      </c>
      <c r="G125" s="5">
        <v>0</v>
      </c>
      <c r="H125" s="14">
        <v>44935</v>
      </c>
      <c r="I125" s="14">
        <v>45053</v>
      </c>
      <c r="J125" s="4" t="s">
        <v>853</v>
      </c>
      <c r="K125" s="4" t="s">
        <v>980</v>
      </c>
      <c r="L125" s="2"/>
      <c r="M125" s="2"/>
      <c r="N125" s="2"/>
    </row>
    <row r="126" spans="1:14" x14ac:dyDescent="0.45">
      <c r="A126" s="9" t="s">
        <v>216</v>
      </c>
      <c r="B126" s="9" t="s">
        <v>847</v>
      </c>
      <c r="C126" s="9" t="s">
        <v>166</v>
      </c>
      <c r="D126" s="9" t="b">
        <f>TRUE()</f>
        <v>1</v>
      </c>
      <c r="E126" s="10">
        <v>199</v>
      </c>
      <c r="F126" s="12">
        <f t="shared" si="1"/>
        <v>0.99004975124378114</v>
      </c>
      <c r="G126" s="10">
        <v>59</v>
      </c>
      <c r="H126" s="15">
        <v>45060</v>
      </c>
      <c r="I126" s="15">
        <v>46289</v>
      </c>
      <c r="J126" s="9" t="s">
        <v>848</v>
      </c>
      <c r="K126" s="9" t="s">
        <v>981</v>
      </c>
      <c r="L126" s="2"/>
      <c r="M126" s="2"/>
      <c r="N126" s="2"/>
    </row>
    <row r="127" spans="1:14" x14ac:dyDescent="0.45">
      <c r="A127" s="4" t="s">
        <v>216</v>
      </c>
      <c r="B127" s="4" t="s">
        <v>847</v>
      </c>
      <c r="C127" s="4" t="s">
        <v>75</v>
      </c>
      <c r="D127" s="4" t="b">
        <f>FALSE()</f>
        <v>0</v>
      </c>
      <c r="E127" s="5">
        <v>2</v>
      </c>
      <c r="F127" s="7">
        <f t="shared" si="1"/>
        <v>9.9502487562189053E-3</v>
      </c>
      <c r="G127" s="5">
        <v>0</v>
      </c>
      <c r="H127" s="14">
        <v>44940</v>
      </c>
      <c r="I127" s="14">
        <v>45032</v>
      </c>
      <c r="J127" s="4" t="s">
        <v>853</v>
      </c>
      <c r="K127" s="4" t="s">
        <v>982</v>
      </c>
      <c r="L127" s="2"/>
      <c r="M127" s="2"/>
      <c r="N127" s="2"/>
    </row>
    <row r="128" spans="1:14" x14ac:dyDescent="0.45">
      <c r="A128" s="9" t="s">
        <v>218</v>
      </c>
      <c r="B128" s="9" t="s">
        <v>847</v>
      </c>
      <c r="C128" s="9" t="s">
        <v>166</v>
      </c>
      <c r="D128" s="9" t="b">
        <f>TRUE()</f>
        <v>1</v>
      </c>
      <c r="E128" s="10">
        <v>150</v>
      </c>
      <c r="F128" s="12">
        <f t="shared" si="1"/>
        <v>0.90909090909090906</v>
      </c>
      <c r="G128" s="10">
        <v>32</v>
      </c>
      <c r="H128" s="15">
        <v>45066</v>
      </c>
      <c r="I128" s="15">
        <v>46287</v>
      </c>
      <c r="J128" s="9" t="s">
        <v>848</v>
      </c>
      <c r="K128" s="9" t="s">
        <v>983</v>
      </c>
      <c r="L128" s="2"/>
      <c r="M128" s="2"/>
      <c r="N128" s="2"/>
    </row>
    <row r="129" spans="1:14" x14ac:dyDescent="0.45">
      <c r="A129" s="4" t="s">
        <v>218</v>
      </c>
      <c r="B129" s="4" t="s">
        <v>847</v>
      </c>
      <c r="C129" s="4" t="s">
        <v>75</v>
      </c>
      <c r="D129" s="4" t="b">
        <f>FALSE()</f>
        <v>0</v>
      </c>
      <c r="E129" s="5">
        <v>15</v>
      </c>
      <c r="F129" s="7">
        <f t="shared" si="1"/>
        <v>9.0909090909090912E-2</v>
      </c>
      <c r="G129" s="5">
        <v>0</v>
      </c>
      <c r="H129" s="14">
        <v>44930</v>
      </c>
      <c r="I129" s="14">
        <v>45046</v>
      </c>
      <c r="J129" s="4" t="s">
        <v>853</v>
      </c>
      <c r="K129" s="4" t="s">
        <v>984</v>
      </c>
      <c r="L129" s="2"/>
      <c r="M129" s="2"/>
      <c r="N129" s="2"/>
    </row>
    <row r="130" spans="1:14" x14ac:dyDescent="0.45">
      <c r="A130" s="9" t="s">
        <v>219</v>
      </c>
      <c r="B130" s="9" t="s">
        <v>847</v>
      </c>
      <c r="C130" s="9" t="s">
        <v>166</v>
      </c>
      <c r="D130" s="9" t="b">
        <f>TRUE()</f>
        <v>1</v>
      </c>
      <c r="E130" s="10">
        <v>109</v>
      </c>
      <c r="F130" s="12">
        <f t="shared" ref="F130:F193" si="2">E130/SUMIFS($E$2:$E$783,$A$2:$A$783,A130)</f>
        <v>0.88617886178861793</v>
      </c>
      <c r="G130" s="10">
        <v>22</v>
      </c>
      <c r="H130" s="15">
        <v>45037</v>
      </c>
      <c r="I130" s="15">
        <v>46269</v>
      </c>
      <c r="J130" s="9" t="s">
        <v>848</v>
      </c>
      <c r="K130" s="9" t="s">
        <v>985</v>
      </c>
      <c r="L130" s="2"/>
      <c r="M130" s="2"/>
      <c r="N130" s="2"/>
    </row>
    <row r="131" spans="1:14" x14ac:dyDescent="0.45">
      <c r="A131" s="4" t="s">
        <v>219</v>
      </c>
      <c r="B131" s="4" t="s">
        <v>847</v>
      </c>
      <c r="C131" s="4" t="s">
        <v>75</v>
      </c>
      <c r="D131" s="4" t="b">
        <f>FALSE()</f>
        <v>0</v>
      </c>
      <c r="E131" s="5">
        <v>14</v>
      </c>
      <c r="F131" s="7">
        <f t="shared" si="2"/>
        <v>0.11382113821138211</v>
      </c>
      <c r="G131" s="5">
        <v>0</v>
      </c>
      <c r="H131" s="14">
        <v>44946</v>
      </c>
      <c r="I131" s="14">
        <v>45049</v>
      </c>
      <c r="J131" s="4" t="s">
        <v>853</v>
      </c>
      <c r="K131" s="4" t="s">
        <v>986</v>
      </c>
      <c r="L131" s="2"/>
      <c r="M131" s="2"/>
      <c r="N131" s="2"/>
    </row>
    <row r="132" spans="1:14" x14ac:dyDescent="0.45">
      <c r="A132" s="9" t="s">
        <v>220</v>
      </c>
      <c r="B132" s="9" t="s">
        <v>847</v>
      </c>
      <c r="C132" s="9" t="s">
        <v>166</v>
      </c>
      <c r="D132" s="9" t="b">
        <f>TRUE()</f>
        <v>1</v>
      </c>
      <c r="E132" s="10">
        <v>107</v>
      </c>
      <c r="F132" s="12">
        <f t="shared" si="2"/>
        <v>0.89166666666666672</v>
      </c>
      <c r="G132" s="10">
        <v>16</v>
      </c>
      <c r="H132" s="15">
        <v>44945</v>
      </c>
      <c r="I132" s="15">
        <v>46296</v>
      </c>
      <c r="J132" s="9" t="s">
        <v>848</v>
      </c>
      <c r="K132" s="9" t="s">
        <v>935</v>
      </c>
      <c r="L132" s="2"/>
      <c r="M132" s="2"/>
      <c r="N132" s="2"/>
    </row>
    <row r="133" spans="1:14" x14ac:dyDescent="0.45">
      <c r="A133" s="4" t="s">
        <v>220</v>
      </c>
      <c r="B133" s="4" t="s">
        <v>847</v>
      </c>
      <c r="C133" s="4" t="s">
        <v>75</v>
      </c>
      <c r="D133" s="4" t="b">
        <f>FALSE()</f>
        <v>0</v>
      </c>
      <c r="E133" s="5">
        <v>13</v>
      </c>
      <c r="F133" s="7">
        <f t="shared" si="2"/>
        <v>0.10833333333333334</v>
      </c>
      <c r="G133" s="5">
        <v>0</v>
      </c>
      <c r="H133" s="14">
        <v>44932</v>
      </c>
      <c r="I133" s="14">
        <v>45042</v>
      </c>
      <c r="J133" s="4" t="s">
        <v>853</v>
      </c>
      <c r="K133" s="4" t="s">
        <v>987</v>
      </c>
      <c r="L133" s="2"/>
      <c r="M133" s="2"/>
      <c r="N133" s="2"/>
    </row>
    <row r="134" spans="1:14" x14ac:dyDescent="0.45">
      <c r="A134" s="9" t="s">
        <v>222</v>
      </c>
      <c r="B134" s="9" t="s">
        <v>847</v>
      </c>
      <c r="C134" s="9" t="s">
        <v>166</v>
      </c>
      <c r="D134" s="9" t="b">
        <f>TRUE()</f>
        <v>1</v>
      </c>
      <c r="E134" s="10">
        <v>93</v>
      </c>
      <c r="F134" s="12">
        <f t="shared" si="2"/>
        <v>0.92079207920792083</v>
      </c>
      <c r="G134" s="10">
        <v>27</v>
      </c>
      <c r="H134" s="15">
        <v>45106</v>
      </c>
      <c r="I134" s="15">
        <v>46286</v>
      </c>
      <c r="J134" s="9" t="s">
        <v>848</v>
      </c>
      <c r="K134" s="9" t="s">
        <v>988</v>
      </c>
      <c r="L134" s="2"/>
      <c r="M134" s="2"/>
      <c r="N134" s="2"/>
    </row>
    <row r="135" spans="1:14" x14ac:dyDescent="0.45">
      <c r="A135" s="4" t="s">
        <v>222</v>
      </c>
      <c r="B135" s="4" t="s">
        <v>847</v>
      </c>
      <c r="C135" s="4" t="s">
        <v>80</v>
      </c>
      <c r="D135" s="4" t="b">
        <f>FALSE()</f>
        <v>0</v>
      </c>
      <c r="E135" s="5">
        <v>8</v>
      </c>
      <c r="F135" s="7">
        <f t="shared" si="2"/>
        <v>7.9207920792079209E-2</v>
      </c>
      <c r="G135" s="5">
        <v>0</v>
      </c>
      <c r="H135" s="14">
        <v>44932</v>
      </c>
      <c r="I135" s="14">
        <v>45050</v>
      </c>
      <c r="J135" s="4" t="s">
        <v>853</v>
      </c>
      <c r="K135" s="4" t="s">
        <v>989</v>
      </c>
      <c r="L135" s="2"/>
      <c r="M135" s="2"/>
      <c r="N135" s="2"/>
    </row>
    <row r="136" spans="1:14" x14ac:dyDescent="0.45">
      <c r="A136" s="9" t="s">
        <v>223</v>
      </c>
      <c r="B136" s="9" t="s">
        <v>847</v>
      </c>
      <c r="C136" s="9" t="s">
        <v>166</v>
      </c>
      <c r="D136" s="9" t="b">
        <f>TRUE()</f>
        <v>1</v>
      </c>
      <c r="E136" s="10">
        <v>89</v>
      </c>
      <c r="F136" s="12">
        <f t="shared" si="2"/>
        <v>0.91752577319587625</v>
      </c>
      <c r="G136" s="10">
        <v>24</v>
      </c>
      <c r="H136" s="15">
        <v>45022</v>
      </c>
      <c r="I136" s="15">
        <v>46292</v>
      </c>
      <c r="J136" s="9" t="s">
        <v>848</v>
      </c>
      <c r="K136" s="9" t="s">
        <v>990</v>
      </c>
      <c r="L136" s="2"/>
      <c r="M136" s="2"/>
      <c r="N136" s="2"/>
    </row>
    <row r="137" spans="1:14" x14ac:dyDescent="0.45">
      <c r="A137" s="4" t="s">
        <v>223</v>
      </c>
      <c r="B137" s="4" t="s">
        <v>847</v>
      </c>
      <c r="C137" s="4" t="s">
        <v>75</v>
      </c>
      <c r="D137" s="4" t="b">
        <f>FALSE()</f>
        <v>0</v>
      </c>
      <c r="E137" s="5">
        <v>8</v>
      </c>
      <c r="F137" s="7">
        <f t="shared" si="2"/>
        <v>8.247422680412371E-2</v>
      </c>
      <c r="G137" s="5">
        <v>0</v>
      </c>
      <c r="H137" s="14">
        <v>44953</v>
      </c>
      <c r="I137" s="14">
        <v>45051</v>
      </c>
      <c r="J137" s="4" t="s">
        <v>853</v>
      </c>
      <c r="K137" s="4" t="s">
        <v>991</v>
      </c>
      <c r="L137" s="2"/>
      <c r="M137" s="2"/>
      <c r="N137" s="2"/>
    </row>
    <row r="138" spans="1:14" x14ac:dyDescent="0.45">
      <c r="A138" s="9" t="s">
        <v>224</v>
      </c>
      <c r="B138" s="9" t="s">
        <v>847</v>
      </c>
      <c r="C138" s="9" t="s">
        <v>166</v>
      </c>
      <c r="D138" s="9" t="b">
        <f>TRUE()</f>
        <v>1</v>
      </c>
      <c r="E138" s="10">
        <v>55</v>
      </c>
      <c r="F138" s="12">
        <f t="shared" si="2"/>
        <v>0.66265060240963858</v>
      </c>
      <c r="G138" s="10">
        <v>0</v>
      </c>
      <c r="H138" s="15">
        <v>44954</v>
      </c>
      <c r="I138" s="15">
        <v>45177</v>
      </c>
      <c r="J138" s="9" t="s">
        <v>848</v>
      </c>
      <c r="K138" s="9" t="s">
        <v>992</v>
      </c>
      <c r="L138" s="2"/>
      <c r="M138" s="2"/>
      <c r="N138" s="2"/>
    </row>
    <row r="139" spans="1:14" x14ac:dyDescent="0.45">
      <c r="A139" s="4" t="s">
        <v>224</v>
      </c>
      <c r="B139" s="4" t="s">
        <v>847</v>
      </c>
      <c r="C139" s="4" t="s">
        <v>75</v>
      </c>
      <c r="D139" s="4" t="b">
        <f>FALSE()</f>
        <v>0</v>
      </c>
      <c r="E139" s="5">
        <v>28</v>
      </c>
      <c r="F139" s="7">
        <f t="shared" si="2"/>
        <v>0.33734939759036142</v>
      </c>
      <c r="G139" s="5">
        <v>0</v>
      </c>
      <c r="H139" s="14">
        <v>44929</v>
      </c>
      <c r="I139" s="14">
        <v>45041</v>
      </c>
      <c r="J139" s="4" t="s">
        <v>853</v>
      </c>
      <c r="K139" s="4" t="s">
        <v>993</v>
      </c>
      <c r="L139" s="2"/>
      <c r="M139" s="2"/>
      <c r="N139" s="2"/>
    </row>
    <row r="140" spans="1:14" x14ac:dyDescent="0.45">
      <c r="A140" s="9" t="s">
        <v>225</v>
      </c>
      <c r="B140" s="9" t="s">
        <v>847</v>
      </c>
      <c r="C140" s="9" t="s">
        <v>166</v>
      </c>
      <c r="D140" s="9" t="b">
        <f>TRUE()</f>
        <v>1</v>
      </c>
      <c r="E140" s="10">
        <v>69</v>
      </c>
      <c r="F140" s="12">
        <f t="shared" si="2"/>
        <v>0.88461538461538458</v>
      </c>
      <c r="G140" s="10">
        <v>30</v>
      </c>
      <c r="H140" s="15">
        <v>45123</v>
      </c>
      <c r="I140" s="15">
        <v>46289</v>
      </c>
      <c r="J140" s="9" t="s">
        <v>848</v>
      </c>
      <c r="K140" s="9" t="s">
        <v>994</v>
      </c>
      <c r="L140" s="2"/>
      <c r="M140" s="2"/>
      <c r="N140" s="2"/>
    </row>
    <row r="141" spans="1:14" x14ac:dyDescent="0.45">
      <c r="A141" s="4" t="s">
        <v>225</v>
      </c>
      <c r="B141" s="4" t="s">
        <v>847</v>
      </c>
      <c r="C141" s="4" t="s">
        <v>75</v>
      </c>
      <c r="D141" s="4" t="b">
        <f>FALSE()</f>
        <v>0</v>
      </c>
      <c r="E141" s="5">
        <v>9</v>
      </c>
      <c r="F141" s="7">
        <f t="shared" si="2"/>
        <v>0.11538461538461539</v>
      </c>
      <c r="G141" s="5">
        <v>0</v>
      </c>
      <c r="H141" s="14">
        <v>44945</v>
      </c>
      <c r="I141" s="14">
        <v>45042</v>
      </c>
      <c r="J141" s="4" t="s">
        <v>853</v>
      </c>
      <c r="K141" s="4" t="s">
        <v>995</v>
      </c>
      <c r="L141" s="2"/>
      <c r="M141" s="2"/>
      <c r="N141" s="2"/>
    </row>
    <row r="142" spans="1:14" x14ac:dyDescent="0.45">
      <c r="A142" s="9" t="s">
        <v>226</v>
      </c>
      <c r="B142" s="9" t="s">
        <v>847</v>
      </c>
      <c r="C142" s="9" t="s">
        <v>166</v>
      </c>
      <c r="D142" s="9" t="b">
        <f>TRUE()</f>
        <v>1</v>
      </c>
      <c r="E142" s="10">
        <v>66</v>
      </c>
      <c r="F142" s="12">
        <f t="shared" si="2"/>
        <v>0.90410958904109584</v>
      </c>
      <c r="G142" s="10">
        <v>11</v>
      </c>
      <c r="H142" s="15">
        <v>44951</v>
      </c>
      <c r="I142" s="15">
        <v>46246</v>
      </c>
      <c r="J142" s="9" t="s">
        <v>848</v>
      </c>
      <c r="K142" s="9" t="s">
        <v>996</v>
      </c>
      <c r="L142" s="2"/>
      <c r="M142" s="2"/>
      <c r="N142" s="2"/>
    </row>
    <row r="143" spans="1:14" x14ac:dyDescent="0.45">
      <c r="A143" s="4" t="s">
        <v>226</v>
      </c>
      <c r="B143" s="4" t="s">
        <v>847</v>
      </c>
      <c r="C143" s="4" t="s">
        <v>75</v>
      </c>
      <c r="D143" s="4" t="b">
        <f>FALSE()</f>
        <v>0</v>
      </c>
      <c r="E143" s="5">
        <v>7</v>
      </c>
      <c r="F143" s="7">
        <f t="shared" si="2"/>
        <v>9.5890410958904104E-2</v>
      </c>
      <c r="G143" s="5">
        <v>0</v>
      </c>
      <c r="H143" s="14">
        <v>44943</v>
      </c>
      <c r="I143" s="14">
        <v>45028</v>
      </c>
      <c r="J143" s="4" t="s">
        <v>853</v>
      </c>
      <c r="K143" s="4" t="s">
        <v>997</v>
      </c>
      <c r="L143" s="2"/>
      <c r="M143" s="2"/>
      <c r="N143" s="2"/>
    </row>
    <row r="144" spans="1:14" x14ac:dyDescent="0.45">
      <c r="A144" s="9" t="s">
        <v>227</v>
      </c>
      <c r="B144" s="9" t="s">
        <v>847</v>
      </c>
      <c r="C144" s="9" t="s">
        <v>166</v>
      </c>
      <c r="D144" s="9" t="b">
        <f>TRUE()</f>
        <v>1</v>
      </c>
      <c r="E144" s="10">
        <v>64</v>
      </c>
      <c r="F144" s="12">
        <f t="shared" si="2"/>
        <v>0.91428571428571426</v>
      </c>
      <c r="G144" s="10">
        <v>8</v>
      </c>
      <c r="H144" s="15">
        <v>45060</v>
      </c>
      <c r="I144" s="15">
        <v>46249</v>
      </c>
      <c r="J144" s="9" t="s">
        <v>848</v>
      </c>
      <c r="K144" s="9" t="s">
        <v>998</v>
      </c>
      <c r="L144" s="2"/>
      <c r="M144" s="2"/>
      <c r="N144" s="2"/>
    </row>
    <row r="145" spans="1:14" x14ac:dyDescent="0.45">
      <c r="A145" s="4" t="s">
        <v>227</v>
      </c>
      <c r="B145" s="4" t="s">
        <v>847</v>
      </c>
      <c r="C145" s="4" t="s">
        <v>75</v>
      </c>
      <c r="D145" s="4" t="b">
        <f>FALSE()</f>
        <v>0</v>
      </c>
      <c r="E145" s="5">
        <v>6</v>
      </c>
      <c r="F145" s="7">
        <f t="shared" si="2"/>
        <v>8.5714285714285715E-2</v>
      </c>
      <c r="G145" s="5">
        <v>0</v>
      </c>
      <c r="H145" s="14">
        <v>44948</v>
      </c>
      <c r="I145" s="14">
        <v>45053</v>
      </c>
      <c r="J145" s="4" t="s">
        <v>853</v>
      </c>
      <c r="K145" s="4" t="s">
        <v>999</v>
      </c>
      <c r="L145" s="2"/>
      <c r="M145" s="2"/>
      <c r="N145" s="2"/>
    </row>
    <row r="146" spans="1:14" x14ac:dyDescent="0.45">
      <c r="A146" s="9" t="s">
        <v>231</v>
      </c>
      <c r="B146" s="9" t="s">
        <v>847</v>
      </c>
      <c r="C146" s="9" t="s">
        <v>166</v>
      </c>
      <c r="D146" s="9" t="b">
        <f>TRUE()</f>
        <v>1</v>
      </c>
      <c r="E146" s="10">
        <v>35</v>
      </c>
      <c r="F146" s="12">
        <f t="shared" si="2"/>
        <v>0.92105263157894735</v>
      </c>
      <c r="G146" s="10">
        <v>7</v>
      </c>
      <c r="H146" s="15">
        <v>45068</v>
      </c>
      <c r="I146" s="15">
        <v>46195</v>
      </c>
      <c r="J146" s="9" t="s">
        <v>848</v>
      </c>
      <c r="K146" s="9" t="s">
        <v>1000</v>
      </c>
      <c r="L146" s="2"/>
      <c r="M146" s="2"/>
      <c r="N146" s="2"/>
    </row>
    <row r="147" spans="1:14" x14ac:dyDescent="0.45">
      <c r="A147" s="4" t="s">
        <v>231</v>
      </c>
      <c r="B147" s="4" t="s">
        <v>847</v>
      </c>
      <c r="C147" s="4" t="s">
        <v>75</v>
      </c>
      <c r="D147" s="4" t="b">
        <f>FALSE()</f>
        <v>0</v>
      </c>
      <c r="E147" s="5">
        <v>3</v>
      </c>
      <c r="F147" s="7">
        <f t="shared" si="2"/>
        <v>7.8947368421052627E-2</v>
      </c>
      <c r="G147" s="5">
        <v>0</v>
      </c>
      <c r="H147" s="14">
        <v>44958</v>
      </c>
      <c r="I147" s="14">
        <v>45042</v>
      </c>
      <c r="J147" s="4" t="s">
        <v>853</v>
      </c>
      <c r="K147" s="4" t="s">
        <v>1001</v>
      </c>
      <c r="L147" s="2"/>
      <c r="M147" s="2"/>
      <c r="N147" s="2"/>
    </row>
    <row r="148" spans="1:14" x14ac:dyDescent="0.45">
      <c r="A148" s="9" t="s">
        <v>232</v>
      </c>
      <c r="B148" s="9" t="s">
        <v>847</v>
      </c>
      <c r="C148" s="9" t="s">
        <v>166</v>
      </c>
      <c r="D148" s="9" t="b">
        <f>TRUE()</f>
        <v>1</v>
      </c>
      <c r="E148" s="10">
        <v>20</v>
      </c>
      <c r="F148" s="12">
        <f t="shared" si="2"/>
        <v>0.5714285714285714</v>
      </c>
      <c r="G148" s="10">
        <v>0</v>
      </c>
      <c r="H148" s="15">
        <v>45056</v>
      </c>
      <c r="I148" s="15">
        <v>45177</v>
      </c>
      <c r="J148" s="9" t="s">
        <v>848</v>
      </c>
      <c r="K148" s="9" t="s">
        <v>1002</v>
      </c>
      <c r="L148" s="2"/>
      <c r="M148" s="2"/>
      <c r="N148" s="2"/>
    </row>
    <row r="149" spans="1:14" x14ac:dyDescent="0.45">
      <c r="A149" s="4" t="s">
        <v>232</v>
      </c>
      <c r="B149" s="4" t="s">
        <v>847</v>
      </c>
      <c r="C149" s="4" t="s">
        <v>75</v>
      </c>
      <c r="D149" s="4" t="b">
        <f>FALSE()</f>
        <v>0</v>
      </c>
      <c r="E149" s="5">
        <v>15</v>
      </c>
      <c r="F149" s="7">
        <f t="shared" si="2"/>
        <v>0.42857142857142855</v>
      </c>
      <c r="G149" s="5">
        <v>0</v>
      </c>
      <c r="H149" s="14">
        <v>44928</v>
      </c>
      <c r="I149" s="14">
        <v>45055</v>
      </c>
      <c r="J149" s="4" t="s">
        <v>853</v>
      </c>
      <c r="K149" s="4" t="s">
        <v>963</v>
      </c>
      <c r="L149" s="2"/>
      <c r="M149" s="2"/>
      <c r="N149" s="2"/>
    </row>
    <row r="150" spans="1:14" x14ac:dyDescent="0.45">
      <c r="A150" s="9" t="s">
        <v>233</v>
      </c>
      <c r="B150" s="9" t="s">
        <v>847</v>
      </c>
      <c r="C150" s="9" t="s">
        <v>166</v>
      </c>
      <c r="D150" s="9" t="b">
        <f>TRUE()</f>
        <v>1</v>
      </c>
      <c r="E150" s="10">
        <v>24</v>
      </c>
      <c r="F150" s="12">
        <f t="shared" si="2"/>
        <v>0.70588235294117652</v>
      </c>
      <c r="G150" s="10">
        <v>8</v>
      </c>
      <c r="H150" s="15">
        <v>44940</v>
      </c>
      <c r="I150" s="15">
        <v>46279</v>
      </c>
      <c r="J150" s="9" t="s">
        <v>848</v>
      </c>
      <c r="K150" s="9" t="s">
        <v>1003</v>
      </c>
      <c r="L150" s="2"/>
      <c r="M150" s="2"/>
      <c r="N150" s="2"/>
    </row>
    <row r="151" spans="1:14" x14ac:dyDescent="0.45">
      <c r="A151" s="4" t="s">
        <v>233</v>
      </c>
      <c r="B151" s="4" t="s">
        <v>847</v>
      </c>
      <c r="C151" s="4" t="s">
        <v>75</v>
      </c>
      <c r="D151" s="4" t="b">
        <f>FALSE()</f>
        <v>0</v>
      </c>
      <c r="E151" s="5">
        <v>10</v>
      </c>
      <c r="F151" s="7">
        <f t="shared" si="2"/>
        <v>0.29411764705882354</v>
      </c>
      <c r="G151" s="5">
        <v>0</v>
      </c>
      <c r="H151" s="14">
        <v>44942</v>
      </c>
      <c r="I151" s="14">
        <v>45007</v>
      </c>
      <c r="J151" s="4" t="s">
        <v>853</v>
      </c>
      <c r="K151" s="4" t="s">
        <v>1004</v>
      </c>
      <c r="L151" s="2"/>
      <c r="M151" s="2"/>
      <c r="N151" s="2"/>
    </row>
    <row r="152" spans="1:14" x14ac:dyDescent="0.45">
      <c r="A152" s="9" t="s">
        <v>234</v>
      </c>
      <c r="B152" s="9" t="s">
        <v>847</v>
      </c>
      <c r="C152" s="9" t="s">
        <v>166</v>
      </c>
      <c r="D152" s="9" t="b">
        <f>TRUE()</f>
        <v>1</v>
      </c>
      <c r="E152" s="10">
        <v>29</v>
      </c>
      <c r="F152" s="12">
        <f t="shared" si="2"/>
        <v>0.87878787878787878</v>
      </c>
      <c r="G152" s="10">
        <v>3</v>
      </c>
      <c r="H152" s="15">
        <v>44983</v>
      </c>
      <c r="I152" s="15">
        <v>46213</v>
      </c>
      <c r="J152" s="9" t="s">
        <v>848</v>
      </c>
      <c r="K152" s="9" t="s">
        <v>1005</v>
      </c>
      <c r="L152" s="2"/>
      <c r="M152" s="2"/>
      <c r="N152" s="2"/>
    </row>
    <row r="153" spans="1:14" x14ac:dyDescent="0.45">
      <c r="A153" s="4" t="s">
        <v>234</v>
      </c>
      <c r="B153" s="4" t="s">
        <v>847</v>
      </c>
      <c r="C153" s="4" t="s">
        <v>75</v>
      </c>
      <c r="D153" s="4" t="b">
        <f>FALSE()</f>
        <v>0</v>
      </c>
      <c r="E153" s="5">
        <v>4</v>
      </c>
      <c r="F153" s="7">
        <f t="shared" si="2"/>
        <v>0.12121212121212122</v>
      </c>
      <c r="G153" s="5">
        <v>0</v>
      </c>
      <c r="H153" s="14">
        <v>44957</v>
      </c>
      <c r="I153" s="14">
        <v>44985</v>
      </c>
      <c r="J153" s="4" t="s">
        <v>853</v>
      </c>
      <c r="K153" s="4" t="s">
        <v>1006</v>
      </c>
      <c r="L153" s="2"/>
      <c r="M153" s="2"/>
      <c r="N153" s="2"/>
    </row>
    <row r="154" spans="1:14" x14ac:dyDescent="0.45">
      <c r="A154" s="9" t="s">
        <v>235</v>
      </c>
      <c r="B154" s="9" t="s">
        <v>847</v>
      </c>
      <c r="C154" s="9" t="s">
        <v>166</v>
      </c>
      <c r="D154" s="9" t="b">
        <f>TRUE()</f>
        <v>1</v>
      </c>
      <c r="E154" s="10">
        <v>26</v>
      </c>
      <c r="F154" s="12">
        <f t="shared" si="2"/>
        <v>0.8666666666666667</v>
      </c>
      <c r="G154" s="10">
        <v>0</v>
      </c>
      <c r="H154" s="15">
        <v>45065</v>
      </c>
      <c r="I154" s="15">
        <v>45181</v>
      </c>
      <c r="J154" s="9" t="s">
        <v>848</v>
      </c>
      <c r="K154" s="9" t="s">
        <v>1007</v>
      </c>
      <c r="L154" s="2"/>
      <c r="M154" s="2"/>
      <c r="N154" s="2"/>
    </row>
    <row r="155" spans="1:14" x14ac:dyDescent="0.45">
      <c r="A155" s="4" t="s">
        <v>235</v>
      </c>
      <c r="B155" s="4" t="s">
        <v>847</v>
      </c>
      <c r="C155" s="4" t="s">
        <v>75</v>
      </c>
      <c r="D155" s="4" t="b">
        <f>FALSE()</f>
        <v>0</v>
      </c>
      <c r="E155" s="5">
        <v>4</v>
      </c>
      <c r="F155" s="7">
        <f t="shared" si="2"/>
        <v>0.13333333333333333</v>
      </c>
      <c r="G155" s="5">
        <v>0</v>
      </c>
      <c r="H155" s="14">
        <v>44985</v>
      </c>
      <c r="I155" s="14">
        <v>45045</v>
      </c>
      <c r="J155" s="4" t="s">
        <v>853</v>
      </c>
      <c r="K155" s="4" t="s">
        <v>1008</v>
      </c>
      <c r="L155" s="2"/>
      <c r="M155" s="2"/>
      <c r="N155" s="2"/>
    </row>
    <row r="156" spans="1:14" x14ac:dyDescent="0.45">
      <c r="A156" s="9" t="s">
        <v>236</v>
      </c>
      <c r="B156" s="9" t="s">
        <v>847</v>
      </c>
      <c r="C156" s="9" t="s">
        <v>166</v>
      </c>
      <c r="D156" s="9" t="b">
        <f>TRUE()</f>
        <v>1</v>
      </c>
      <c r="E156" s="10">
        <v>26</v>
      </c>
      <c r="F156" s="12">
        <f t="shared" si="2"/>
        <v>0.96296296296296291</v>
      </c>
      <c r="G156" s="10">
        <v>0</v>
      </c>
      <c r="H156" s="15">
        <v>45061</v>
      </c>
      <c r="I156" s="15">
        <v>45157</v>
      </c>
      <c r="J156" s="9" t="s">
        <v>848</v>
      </c>
      <c r="K156" s="9" t="s">
        <v>1009</v>
      </c>
      <c r="L156" s="2"/>
      <c r="M156" s="2"/>
      <c r="N156" s="2"/>
    </row>
    <row r="157" spans="1:14" x14ac:dyDescent="0.45">
      <c r="A157" s="4" t="s">
        <v>236</v>
      </c>
      <c r="B157" s="4" t="s">
        <v>847</v>
      </c>
      <c r="C157" s="4" t="s">
        <v>75</v>
      </c>
      <c r="D157" s="4" t="b">
        <f>FALSE()</f>
        <v>0</v>
      </c>
      <c r="E157" s="5">
        <v>1</v>
      </c>
      <c r="F157" s="7">
        <f t="shared" si="2"/>
        <v>3.7037037037037035E-2</v>
      </c>
      <c r="G157" s="5">
        <v>0</v>
      </c>
      <c r="H157" s="14">
        <v>44985</v>
      </c>
      <c r="I157" s="14">
        <v>44985</v>
      </c>
      <c r="J157" s="4" t="s">
        <v>853</v>
      </c>
      <c r="K157" s="4" t="s">
        <v>1010</v>
      </c>
      <c r="L157" s="2"/>
      <c r="M157" s="2"/>
      <c r="N157" s="2"/>
    </row>
    <row r="158" spans="1:14" x14ac:dyDescent="0.45">
      <c r="A158" s="9" t="s">
        <v>237</v>
      </c>
      <c r="B158" s="9" t="s">
        <v>847</v>
      </c>
      <c r="C158" s="9" t="s">
        <v>166</v>
      </c>
      <c r="D158" s="9" t="b">
        <f>TRUE()</f>
        <v>1</v>
      </c>
      <c r="E158" s="10">
        <v>19</v>
      </c>
      <c r="F158" s="12">
        <f t="shared" si="2"/>
        <v>0.73076923076923073</v>
      </c>
      <c r="G158" s="10">
        <v>0</v>
      </c>
      <c r="H158" s="15">
        <v>45060</v>
      </c>
      <c r="I158" s="15">
        <v>45187</v>
      </c>
      <c r="J158" s="9" t="s">
        <v>848</v>
      </c>
      <c r="K158" s="9" t="s">
        <v>1011</v>
      </c>
      <c r="L158" s="2"/>
      <c r="M158" s="2"/>
      <c r="N158" s="2"/>
    </row>
    <row r="159" spans="1:14" x14ac:dyDescent="0.45">
      <c r="A159" s="4" t="s">
        <v>237</v>
      </c>
      <c r="B159" s="4" t="s">
        <v>847</v>
      </c>
      <c r="C159" s="4" t="s">
        <v>75</v>
      </c>
      <c r="D159" s="4" t="b">
        <f>FALSE()</f>
        <v>0</v>
      </c>
      <c r="E159" s="5">
        <v>7</v>
      </c>
      <c r="F159" s="7">
        <f t="shared" si="2"/>
        <v>0.26923076923076922</v>
      </c>
      <c r="G159" s="5">
        <v>0</v>
      </c>
      <c r="H159" s="14">
        <v>44974</v>
      </c>
      <c r="I159" s="14">
        <v>45053</v>
      </c>
      <c r="J159" s="4" t="s">
        <v>853</v>
      </c>
      <c r="K159" s="4" t="s">
        <v>1012</v>
      </c>
      <c r="L159" s="2"/>
      <c r="M159" s="2"/>
      <c r="N159" s="2"/>
    </row>
    <row r="160" spans="1:14" x14ac:dyDescent="0.45">
      <c r="A160" s="9" t="s">
        <v>244</v>
      </c>
      <c r="B160" s="9" t="s">
        <v>847</v>
      </c>
      <c r="C160" s="9" t="s">
        <v>166</v>
      </c>
      <c r="D160" s="9" t="b">
        <f>TRUE()</f>
        <v>1</v>
      </c>
      <c r="E160" s="10">
        <v>2</v>
      </c>
      <c r="F160" s="12">
        <f t="shared" si="2"/>
        <v>0.66666666666666663</v>
      </c>
      <c r="G160" s="10">
        <v>0</v>
      </c>
      <c r="H160" s="15">
        <v>45062</v>
      </c>
      <c r="I160" s="15">
        <v>45139</v>
      </c>
      <c r="J160" s="9" t="s">
        <v>848</v>
      </c>
      <c r="K160" s="9" t="s">
        <v>1013</v>
      </c>
      <c r="L160" s="2"/>
      <c r="M160" s="2"/>
      <c r="N160" s="2"/>
    </row>
    <row r="161" spans="1:14" x14ac:dyDescent="0.45">
      <c r="A161" s="4" t="s">
        <v>244</v>
      </c>
      <c r="B161" s="4" t="s">
        <v>847</v>
      </c>
      <c r="C161" s="4" t="s">
        <v>75</v>
      </c>
      <c r="D161" s="4" t="b">
        <f>FALSE()</f>
        <v>0</v>
      </c>
      <c r="E161" s="5">
        <v>1</v>
      </c>
      <c r="F161" s="7">
        <f t="shared" si="2"/>
        <v>0.33333333333333331</v>
      </c>
      <c r="G161" s="5">
        <v>0</v>
      </c>
      <c r="H161" s="14">
        <v>44971</v>
      </c>
      <c r="I161" s="14">
        <v>44971</v>
      </c>
      <c r="J161" s="4" t="s">
        <v>853</v>
      </c>
      <c r="K161" s="4" t="s">
        <v>1014</v>
      </c>
      <c r="L161" s="2"/>
      <c r="M161" s="2"/>
      <c r="N161" s="2"/>
    </row>
    <row r="162" spans="1:14" x14ac:dyDescent="0.45">
      <c r="A162" s="9" t="s">
        <v>248</v>
      </c>
      <c r="B162" s="9" t="s">
        <v>847</v>
      </c>
      <c r="C162" s="9" t="s">
        <v>249</v>
      </c>
      <c r="D162" s="9" t="b">
        <f>TRUE()</f>
        <v>1</v>
      </c>
      <c r="E162" s="10">
        <v>439</v>
      </c>
      <c r="F162" s="12">
        <f t="shared" si="2"/>
        <v>0.9690949227373068</v>
      </c>
      <c r="G162" s="10">
        <v>128</v>
      </c>
      <c r="H162" s="15">
        <v>45048</v>
      </c>
      <c r="I162" s="15">
        <v>46296</v>
      </c>
      <c r="J162" s="9" t="s">
        <v>848</v>
      </c>
      <c r="K162" s="9" t="s">
        <v>1015</v>
      </c>
      <c r="L162" s="2"/>
      <c r="M162" s="2"/>
      <c r="N162" s="2"/>
    </row>
    <row r="163" spans="1:14" x14ac:dyDescent="0.45">
      <c r="A163" s="4" t="s">
        <v>248</v>
      </c>
      <c r="B163" s="4" t="s">
        <v>847</v>
      </c>
      <c r="C163" s="4" t="s">
        <v>807</v>
      </c>
      <c r="D163" s="4" t="b">
        <f>FALSE()</f>
        <v>0</v>
      </c>
      <c r="E163" s="5">
        <v>14</v>
      </c>
      <c r="F163" s="7">
        <f t="shared" si="2"/>
        <v>3.0905077262693158E-2</v>
      </c>
      <c r="G163" s="5">
        <v>0</v>
      </c>
      <c r="H163" s="14">
        <v>44949</v>
      </c>
      <c r="I163" s="14">
        <v>45044</v>
      </c>
      <c r="J163" s="4" t="s">
        <v>850</v>
      </c>
      <c r="K163" s="4" t="s">
        <v>1016</v>
      </c>
      <c r="L163" s="2"/>
      <c r="M163" s="2"/>
      <c r="N163" s="2"/>
    </row>
    <row r="164" spans="1:14" x14ac:dyDescent="0.45">
      <c r="A164" s="9" t="s">
        <v>250</v>
      </c>
      <c r="B164" s="9" t="s">
        <v>847</v>
      </c>
      <c r="C164" s="9" t="s">
        <v>249</v>
      </c>
      <c r="D164" s="9" t="b">
        <f>TRUE()</f>
        <v>1</v>
      </c>
      <c r="E164" s="10">
        <v>190</v>
      </c>
      <c r="F164" s="12">
        <f t="shared" si="2"/>
        <v>0.80168776371308015</v>
      </c>
      <c r="G164" s="10">
        <v>144</v>
      </c>
      <c r="H164" s="15">
        <v>45777</v>
      </c>
      <c r="I164" s="15">
        <v>46294</v>
      </c>
      <c r="J164" s="9" t="s">
        <v>848</v>
      </c>
      <c r="K164" s="9" t="s">
        <v>1017</v>
      </c>
      <c r="L164" s="2"/>
      <c r="M164" s="2"/>
      <c r="N164" s="2"/>
    </row>
    <row r="165" spans="1:14" x14ac:dyDescent="0.45">
      <c r="A165" s="4" t="s">
        <v>250</v>
      </c>
      <c r="B165" s="4" t="s">
        <v>847</v>
      </c>
      <c r="C165" s="4" t="s">
        <v>156</v>
      </c>
      <c r="D165" s="4" t="b">
        <f>FALSE()</f>
        <v>0</v>
      </c>
      <c r="E165" s="5">
        <v>39</v>
      </c>
      <c r="F165" s="7">
        <f t="shared" si="2"/>
        <v>0.16455696202531644</v>
      </c>
      <c r="G165" s="5">
        <v>0</v>
      </c>
      <c r="H165" s="14">
        <v>45062</v>
      </c>
      <c r="I165" s="14">
        <v>45777</v>
      </c>
      <c r="J165" s="4" t="s">
        <v>857</v>
      </c>
      <c r="K165" s="4" t="s">
        <v>1018</v>
      </c>
      <c r="L165" s="2"/>
      <c r="M165" s="2"/>
      <c r="N165" s="2"/>
    </row>
    <row r="166" spans="1:14" x14ac:dyDescent="0.45">
      <c r="A166" s="4" t="s">
        <v>250</v>
      </c>
      <c r="B166" s="4" t="s">
        <v>847</v>
      </c>
      <c r="C166" s="4" t="s">
        <v>119</v>
      </c>
      <c r="D166" s="4" t="b">
        <f>FALSE()</f>
        <v>0</v>
      </c>
      <c r="E166" s="5">
        <v>8</v>
      </c>
      <c r="F166" s="7">
        <f t="shared" si="2"/>
        <v>3.3755274261603373E-2</v>
      </c>
      <c r="G166" s="5">
        <v>0</v>
      </c>
      <c r="H166" s="14">
        <v>44931</v>
      </c>
      <c r="I166" s="14">
        <v>45047</v>
      </c>
      <c r="J166" s="4" t="s">
        <v>853</v>
      </c>
      <c r="K166" s="4" t="s">
        <v>1019</v>
      </c>
      <c r="L166" s="2"/>
      <c r="M166" s="2"/>
      <c r="N166" s="2"/>
    </row>
    <row r="167" spans="1:14" x14ac:dyDescent="0.45">
      <c r="A167" s="9" t="s">
        <v>252</v>
      </c>
      <c r="B167" s="9" t="s">
        <v>847</v>
      </c>
      <c r="C167" s="9" t="s">
        <v>249</v>
      </c>
      <c r="D167" s="9" t="b">
        <f>TRUE()</f>
        <v>1</v>
      </c>
      <c r="E167" s="10">
        <v>203</v>
      </c>
      <c r="F167" s="12">
        <f t="shared" si="2"/>
        <v>0.91855203619909498</v>
      </c>
      <c r="G167" s="10">
        <v>0</v>
      </c>
      <c r="H167" s="15">
        <v>45032</v>
      </c>
      <c r="I167" s="15">
        <v>45769</v>
      </c>
      <c r="J167" s="9" t="s">
        <v>848</v>
      </c>
      <c r="K167" s="9" t="s">
        <v>1020</v>
      </c>
      <c r="L167" s="2"/>
      <c r="M167" s="2"/>
      <c r="N167" s="2"/>
    </row>
    <row r="168" spans="1:14" x14ac:dyDescent="0.45">
      <c r="A168" s="4" t="s">
        <v>252</v>
      </c>
      <c r="B168" s="4" t="s">
        <v>847</v>
      </c>
      <c r="C168" s="4" t="s">
        <v>807</v>
      </c>
      <c r="D168" s="4" t="b">
        <f>FALSE()</f>
        <v>0</v>
      </c>
      <c r="E168" s="5">
        <v>18</v>
      </c>
      <c r="F168" s="7">
        <f t="shared" si="2"/>
        <v>8.1447963800904979E-2</v>
      </c>
      <c r="G168" s="5">
        <v>0</v>
      </c>
      <c r="H168" s="14">
        <v>44928</v>
      </c>
      <c r="I168" s="14">
        <v>45036</v>
      </c>
      <c r="J168" s="4" t="s">
        <v>850</v>
      </c>
      <c r="K168" s="4" t="s">
        <v>1021</v>
      </c>
      <c r="L168" s="2"/>
      <c r="M168" s="2"/>
      <c r="N168" s="2"/>
    </row>
    <row r="169" spans="1:14" x14ac:dyDescent="0.45">
      <c r="A169" s="9" t="s">
        <v>253</v>
      </c>
      <c r="B169" s="9" t="s">
        <v>847</v>
      </c>
      <c r="C169" s="9" t="s">
        <v>249</v>
      </c>
      <c r="D169" s="9" t="b">
        <f>TRUE()</f>
        <v>1</v>
      </c>
      <c r="E169" s="10">
        <v>130</v>
      </c>
      <c r="F169" s="12">
        <f t="shared" si="2"/>
        <v>0.94890510948905105</v>
      </c>
      <c r="G169" s="10">
        <v>19</v>
      </c>
      <c r="H169" s="15">
        <v>45041</v>
      </c>
      <c r="I169" s="15">
        <v>46293</v>
      </c>
      <c r="J169" s="9" t="s">
        <v>848</v>
      </c>
      <c r="K169" s="9" t="s">
        <v>1022</v>
      </c>
      <c r="L169" s="2"/>
      <c r="M169" s="2"/>
      <c r="N169" s="2"/>
    </row>
    <row r="170" spans="1:14" x14ac:dyDescent="0.45">
      <c r="A170" s="4" t="s">
        <v>253</v>
      </c>
      <c r="B170" s="4" t="s">
        <v>847</v>
      </c>
      <c r="C170" s="4" t="s">
        <v>807</v>
      </c>
      <c r="D170" s="4" t="b">
        <f>FALSE()</f>
        <v>0</v>
      </c>
      <c r="E170" s="5">
        <v>7</v>
      </c>
      <c r="F170" s="7">
        <f t="shared" si="2"/>
        <v>5.1094890510948905E-2</v>
      </c>
      <c r="G170" s="5">
        <v>0</v>
      </c>
      <c r="H170" s="14">
        <v>44952</v>
      </c>
      <c r="I170" s="14">
        <v>45044</v>
      </c>
      <c r="J170" s="4" t="s">
        <v>850</v>
      </c>
      <c r="K170" s="4" t="s">
        <v>1023</v>
      </c>
      <c r="L170" s="2"/>
      <c r="M170" s="2"/>
      <c r="N170" s="2"/>
    </row>
    <row r="171" spans="1:14" x14ac:dyDescent="0.45">
      <c r="A171" s="9" t="s">
        <v>257</v>
      </c>
      <c r="B171" s="9" t="s">
        <v>847</v>
      </c>
      <c r="C171" s="9" t="s">
        <v>258</v>
      </c>
      <c r="D171" s="9" t="b">
        <f>TRUE()</f>
        <v>1</v>
      </c>
      <c r="E171" s="10">
        <v>22821</v>
      </c>
      <c r="F171" s="12">
        <f t="shared" si="2"/>
        <v>0.95701585171517234</v>
      </c>
      <c r="G171" s="10">
        <v>5364</v>
      </c>
      <c r="H171" s="15">
        <v>44928</v>
      </c>
      <c r="I171" s="15">
        <v>46296</v>
      </c>
      <c r="J171" s="9" t="s">
        <v>848</v>
      </c>
      <c r="K171" s="9" t="s">
        <v>930</v>
      </c>
      <c r="L171" s="2"/>
      <c r="M171" s="2"/>
      <c r="N171" s="2"/>
    </row>
    <row r="172" spans="1:14" x14ac:dyDescent="0.45">
      <c r="A172" s="4" t="s">
        <v>257</v>
      </c>
      <c r="B172" s="4" t="s">
        <v>847</v>
      </c>
      <c r="C172" s="4" t="s">
        <v>809</v>
      </c>
      <c r="D172" s="4" t="b">
        <f>FALSE()</f>
        <v>0</v>
      </c>
      <c r="E172" s="5">
        <v>991</v>
      </c>
      <c r="F172" s="7">
        <f t="shared" si="2"/>
        <v>4.1558332634404095E-2</v>
      </c>
      <c r="G172" s="5">
        <v>0</v>
      </c>
      <c r="H172" s="14">
        <v>44928</v>
      </c>
      <c r="I172" s="14">
        <v>45048</v>
      </c>
      <c r="J172" s="4" t="s">
        <v>850</v>
      </c>
      <c r="K172" s="4" t="s">
        <v>1024</v>
      </c>
      <c r="L172" s="2"/>
      <c r="M172" s="2"/>
      <c r="N172" s="2"/>
    </row>
    <row r="173" spans="1:14" x14ac:dyDescent="0.45">
      <c r="A173" s="4" t="s">
        <v>257</v>
      </c>
      <c r="B173" s="4" t="s">
        <v>847</v>
      </c>
      <c r="C173" s="4" t="s">
        <v>119</v>
      </c>
      <c r="D173" s="4" t="b">
        <f>FALSE()</f>
        <v>0</v>
      </c>
      <c r="E173" s="5">
        <v>34</v>
      </c>
      <c r="F173" s="7">
        <f t="shared" si="2"/>
        <v>1.4258156504235512E-3</v>
      </c>
      <c r="G173" s="5">
        <v>0</v>
      </c>
      <c r="H173" s="14">
        <v>44957</v>
      </c>
      <c r="I173" s="14">
        <v>44972</v>
      </c>
      <c r="J173" s="4" t="s">
        <v>853</v>
      </c>
      <c r="K173" s="4" t="s">
        <v>1025</v>
      </c>
      <c r="L173" s="2"/>
      <c r="M173" s="2"/>
      <c r="N173" s="2"/>
    </row>
    <row r="174" spans="1:14" x14ac:dyDescent="0.45">
      <c r="A174" s="9" t="s">
        <v>259</v>
      </c>
      <c r="B174" s="9" t="s">
        <v>847</v>
      </c>
      <c r="C174" s="9" t="s">
        <v>258</v>
      </c>
      <c r="D174" s="9" t="b">
        <f>TRUE()</f>
        <v>1</v>
      </c>
      <c r="E174" s="10">
        <v>7073</v>
      </c>
      <c r="F174" s="12">
        <f t="shared" si="2"/>
        <v>0.93114797261716697</v>
      </c>
      <c r="G174" s="10">
        <v>1752</v>
      </c>
      <c r="H174" s="15">
        <v>44935</v>
      </c>
      <c r="I174" s="15">
        <v>46296</v>
      </c>
      <c r="J174" s="9" t="s">
        <v>848</v>
      </c>
      <c r="K174" s="9" t="s">
        <v>933</v>
      </c>
      <c r="L174" s="2"/>
      <c r="M174" s="2"/>
      <c r="N174" s="2"/>
    </row>
    <row r="175" spans="1:14" x14ac:dyDescent="0.45">
      <c r="A175" s="4" t="s">
        <v>259</v>
      </c>
      <c r="B175" s="4" t="s">
        <v>847</v>
      </c>
      <c r="C175" s="4" t="s">
        <v>129</v>
      </c>
      <c r="D175" s="4" t="b">
        <f>FALSE()</f>
        <v>0</v>
      </c>
      <c r="E175" s="5">
        <v>417</v>
      </c>
      <c r="F175" s="7">
        <f t="shared" si="2"/>
        <v>5.4897314375987362E-2</v>
      </c>
      <c r="G175" s="5">
        <v>0</v>
      </c>
      <c r="H175" s="14">
        <v>44928</v>
      </c>
      <c r="I175" s="14">
        <v>45007</v>
      </c>
      <c r="J175" s="4" t="s">
        <v>853</v>
      </c>
      <c r="K175" s="4" t="s">
        <v>1026</v>
      </c>
      <c r="L175" s="2"/>
      <c r="M175" s="2"/>
      <c r="N175" s="2"/>
    </row>
    <row r="176" spans="1:14" x14ac:dyDescent="0.45">
      <c r="A176" s="4" t="s">
        <v>259</v>
      </c>
      <c r="B176" s="4" t="s">
        <v>847</v>
      </c>
      <c r="C176" s="4" t="s">
        <v>809</v>
      </c>
      <c r="D176" s="4" t="b">
        <f>FALSE()</f>
        <v>0</v>
      </c>
      <c r="E176" s="5">
        <v>106</v>
      </c>
      <c r="F176" s="7">
        <f t="shared" si="2"/>
        <v>1.3954713006845709E-2</v>
      </c>
      <c r="G176" s="5">
        <v>0</v>
      </c>
      <c r="H176" s="14">
        <v>44992</v>
      </c>
      <c r="I176" s="14">
        <v>45053</v>
      </c>
      <c r="J176" s="4" t="s">
        <v>850</v>
      </c>
      <c r="K176" s="4" t="s">
        <v>1027</v>
      </c>
      <c r="L176" s="2"/>
      <c r="M176" s="2"/>
      <c r="N176" s="2"/>
    </row>
    <row r="177" spans="1:14" x14ac:dyDescent="0.45">
      <c r="A177" s="9" t="s">
        <v>260</v>
      </c>
      <c r="B177" s="9" t="s">
        <v>847</v>
      </c>
      <c r="C177" s="9" t="s">
        <v>258</v>
      </c>
      <c r="D177" s="9" t="b">
        <f>TRUE()</f>
        <v>1</v>
      </c>
      <c r="E177" s="10">
        <v>6245</v>
      </c>
      <c r="F177" s="12">
        <f t="shared" si="2"/>
        <v>0.9381102598768214</v>
      </c>
      <c r="G177" s="10">
        <v>1388</v>
      </c>
      <c r="H177" s="15">
        <v>44931</v>
      </c>
      <c r="I177" s="15">
        <v>46296</v>
      </c>
      <c r="J177" s="9" t="s">
        <v>848</v>
      </c>
      <c r="K177" s="9" t="s">
        <v>937</v>
      </c>
      <c r="L177" s="2"/>
      <c r="M177" s="2"/>
      <c r="N177" s="2"/>
    </row>
    <row r="178" spans="1:14" x14ac:dyDescent="0.45">
      <c r="A178" s="4" t="s">
        <v>260</v>
      </c>
      <c r="B178" s="4" t="s">
        <v>847</v>
      </c>
      <c r="C178" s="4" t="s">
        <v>129</v>
      </c>
      <c r="D178" s="4" t="b">
        <f>FALSE()</f>
        <v>0</v>
      </c>
      <c r="E178" s="5">
        <v>295</v>
      </c>
      <c r="F178" s="7">
        <f t="shared" si="2"/>
        <v>4.4314255670722551E-2</v>
      </c>
      <c r="G178" s="5">
        <v>0</v>
      </c>
      <c r="H178" s="14">
        <v>44928</v>
      </c>
      <c r="I178" s="14">
        <v>45008</v>
      </c>
      <c r="J178" s="4" t="s">
        <v>853</v>
      </c>
      <c r="K178" s="4" t="s">
        <v>1028</v>
      </c>
      <c r="L178" s="2"/>
      <c r="M178" s="2"/>
      <c r="N178" s="2"/>
    </row>
    <row r="179" spans="1:14" x14ac:dyDescent="0.45">
      <c r="A179" s="4" t="s">
        <v>260</v>
      </c>
      <c r="B179" s="4" t="s">
        <v>847</v>
      </c>
      <c r="C179" s="4" t="s">
        <v>809</v>
      </c>
      <c r="D179" s="4" t="b">
        <f>FALSE()</f>
        <v>0</v>
      </c>
      <c r="E179" s="5">
        <v>117</v>
      </c>
      <c r="F179" s="7">
        <f t="shared" si="2"/>
        <v>1.7575484452456061E-2</v>
      </c>
      <c r="G179" s="5">
        <v>0</v>
      </c>
      <c r="H179" s="14">
        <v>44971</v>
      </c>
      <c r="I179" s="14">
        <v>45052</v>
      </c>
      <c r="J179" s="4" t="s">
        <v>850</v>
      </c>
      <c r="K179" s="4" t="s">
        <v>1029</v>
      </c>
      <c r="L179" s="2"/>
      <c r="M179" s="2"/>
      <c r="N179" s="2"/>
    </row>
    <row r="180" spans="1:14" x14ac:dyDescent="0.45">
      <c r="A180" s="9" t="s">
        <v>261</v>
      </c>
      <c r="B180" s="9" t="s">
        <v>847</v>
      </c>
      <c r="C180" s="9" t="s">
        <v>258</v>
      </c>
      <c r="D180" s="9" t="b">
        <f>TRUE()</f>
        <v>1</v>
      </c>
      <c r="E180" s="10">
        <v>5332</v>
      </c>
      <c r="F180" s="12">
        <f t="shared" si="2"/>
        <v>0.93429122130716669</v>
      </c>
      <c r="G180" s="10">
        <v>1248</v>
      </c>
      <c r="H180" s="15">
        <v>44999</v>
      </c>
      <c r="I180" s="15">
        <v>46296</v>
      </c>
      <c r="J180" s="9" t="s">
        <v>848</v>
      </c>
      <c r="K180" s="9" t="s">
        <v>1030</v>
      </c>
      <c r="L180" s="2"/>
      <c r="M180" s="2"/>
      <c r="N180" s="2"/>
    </row>
    <row r="181" spans="1:14" x14ac:dyDescent="0.45">
      <c r="A181" s="4" t="s">
        <v>261</v>
      </c>
      <c r="B181" s="4" t="s">
        <v>847</v>
      </c>
      <c r="C181" s="4" t="s">
        <v>809</v>
      </c>
      <c r="D181" s="4" t="b">
        <f>FALSE()</f>
        <v>0</v>
      </c>
      <c r="E181" s="5">
        <v>375</v>
      </c>
      <c r="F181" s="7">
        <f t="shared" si="2"/>
        <v>6.5708778692833369E-2</v>
      </c>
      <c r="G181" s="5">
        <v>0</v>
      </c>
      <c r="H181" s="14">
        <v>44994</v>
      </c>
      <c r="I181" s="14">
        <v>45053</v>
      </c>
      <c r="J181" s="4" t="s">
        <v>850</v>
      </c>
      <c r="K181" s="4" t="s">
        <v>1031</v>
      </c>
      <c r="L181" s="2"/>
      <c r="M181" s="2"/>
      <c r="N181" s="2"/>
    </row>
    <row r="182" spans="1:14" x14ac:dyDescent="0.45">
      <c r="A182" s="9" t="s">
        <v>262</v>
      </c>
      <c r="B182" s="9" t="s">
        <v>847</v>
      </c>
      <c r="C182" s="9" t="s">
        <v>258</v>
      </c>
      <c r="D182" s="9" t="b">
        <f>TRUE()</f>
        <v>1</v>
      </c>
      <c r="E182" s="10">
        <v>5365</v>
      </c>
      <c r="F182" s="12">
        <f t="shared" si="2"/>
        <v>0.95701034605779522</v>
      </c>
      <c r="G182" s="10">
        <v>342</v>
      </c>
      <c r="H182" s="15">
        <v>45038</v>
      </c>
      <c r="I182" s="15">
        <v>46296</v>
      </c>
      <c r="J182" s="9" t="s">
        <v>848</v>
      </c>
      <c r="K182" s="9" t="s">
        <v>1032</v>
      </c>
      <c r="L182" s="2"/>
      <c r="M182" s="2"/>
      <c r="N182" s="2"/>
    </row>
    <row r="183" spans="1:14" x14ac:dyDescent="0.45">
      <c r="A183" s="4" t="s">
        <v>262</v>
      </c>
      <c r="B183" s="4" t="s">
        <v>847</v>
      </c>
      <c r="C183" s="4" t="s">
        <v>809</v>
      </c>
      <c r="D183" s="4" t="b">
        <f>FALSE()</f>
        <v>0</v>
      </c>
      <c r="E183" s="5">
        <v>229</v>
      </c>
      <c r="F183" s="7">
        <f t="shared" si="2"/>
        <v>4.0849090260435247E-2</v>
      </c>
      <c r="G183" s="5">
        <v>0</v>
      </c>
      <c r="H183" s="14">
        <v>44933</v>
      </c>
      <c r="I183" s="14">
        <v>45043</v>
      </c>
      <c r="J183" s="4" t="s">
        <v>850</v>
      </c>
      <c r="K183" s="4" t="s">
        <v>1033</v>
      </c>
      <c r="L183" s="2"/>
      <c r="M183" s="2"/>
      <c r="N183" s="2"/>
    </row>
    <row r="184" spans="1:14" x14ac:dyDescent="0.45">
      <c r="A184" s="4" t="s">
        <v>262</v>
      </c>
      <c r="B184" s="4" t="s">
        <v>847</v>
      </c>
      <c r="C184" s="4" t="s">
        <v>119</v>
      </c>
      <c r="D184" s="4" t="b">
        <f>FALSE()</f>
        <v>0</v>
      </c>
      <c r="E184" s="5">
        <v>12</v>
      </c>
      <c r="F184" s="7">
        <f t="shared" si="2"/>
        <v>2.1405636817695326E-3</v>
      </c>
      <c r="G184" s="5">
        <v>0</v>
      </c>
      <c r="H184" s="14">
        <v>44943</v>
      </c>
      <c r="I184" s="14">
        <v>44965</v>
      </c>
      <c r="J184" s="4" t="s">
        <v>853</v>
      </c>
      <c r="K184" s="4" t="s">
        <v>1034</v>
      </c>
      <c r="L184" s="2"/>
      <c r="M184" s="2"/>
      <c r="N184" s="2"/>
    </row>
    <row r="185" spans="1:14" x14ac:dyDescent="0.45">
      <c r="A185" s="9" t="s">
        <v>263</v>
      </c>
      <c r="B185" s="9" t="s">
        <v>847</v>
      </c>
      <c r="C185" s="9" t="s">
        <v>258</v>
      </c>
      <c r="D185" s="9" t="b">
        <f>TRUE()</f>
        <v>1</v>
      </c>
      <c r="E185" s="10">
        <v>3906</v>
      </c>
      <c r="F185" s="12">
        <f t="shared" si="2"/>
        <v>0.89875747814081919</v>
      </c>
      <c r="G185" s="10">
        <v>1150</v>
      </c>
      <c r="H185" s="15">
        <v>45007</v>
      </c>
      <c r="I185" s="15">
        <v>46294</v>
      </c>
      <c r="J185" s="9" t="s">
        <v>848</v>
      </c>
      <c r="K185" s="9" t="s">
        <v>1035</v>
      </c>
      <c r="L185" s="2"/>
      <c r="M185" s="2"/>
      <c r="N185" s="2"/>
    </row>
    <row r="186" spans="1:14" x14ac:dyDescent="0.45">
      <c r="A186" s="4" t="s">
        <v>263</v>
      </c>
      <c r="B186" s="4" t="s">
        <v>847</v>
      </c>
      <c r="C186" s="4" t="s">
        <v>809</v>
      </c>
      <c r="D186" s="4" t="b">
        <f>FALSE()</f>
        <v>0</v>
      </c>
      <c r="E186" s="5">
        <v>440</v>
      </c>
      <c r="F186" s="7">
        <f t="shared" si="2"/>
        <v>0.10124252185918085</v>
      </c>
      <c r="G186" s="5">
        <v>0</v>
      </c>
      <c r="H186" s="14">
        <v>45006</v>
      </c>
      <c r="I186" s="14">
        <v>45051</v>
      </c>
      <c r="J186" s="4" t="s">
        <v>850</v>
      </c>
      <c r="K186" s="4" t="s">
        <v>1036</v>
      </c>
      <c r="L186" s="2"/>
      <c r="M186" s="2"/>
      <c r="N186" s="2"/>
    </row>
    <row r="187" spans="1:14" x14ac:dyDescent="0.45">
      <c r="A187" s="9" t="s">
        <v>264</v>
      </c>
      <c r="B187" s="9" t="s">
        <v>847</v>
      </c>
      <c r="C187" s="9" t="s">
        <v>258</v>
      </c>
      <c r="D187" s="9" t="b">
        <f>TRUE()</f>
        <v>1</v>
      </c>
      <c r="E187" s="10">
        <v>3399</v>
      </c>
      <c r="F187" s="12">
        <f t="shared" si="2"/>
        <v>0.98293811451706192</v>
      </c>
      <c r="G187" s="10">
        <v>0</v>
      </c>
      <c r="H187" s="15">
        <v>44928</v>
      </c>
      <c r="I187" s="15">
        <v>46002</v>
      </c>
      <c r="J187" s="9" t="s">
        <v>848</v>
      </c>
      <c r="K187" s="9" t="s">
        <v>1037</v>
      </c>
      <c r="L187" s="2"/>
      <c r="M187" s="2"/>
      <c r="N187" s="2"/>
    </row>
    <row r="188" spans="1:14" x14ac:dyDescent="0.45">
      <c r="A188" s="4" t="s">
        <v>264</v>
      </c>
      <c r="B188" s="4" t="s">
        <v>847</v>
      </c>
      <c r="C188" s="4" t="s">
        <v>129</v>
      </c>
      <c r="D188" s="4" t="b">
        <f>FALSE()</f>
        <v>0</v>
      </c>
      <c r="E188" s="5">
        <v>50</v>
      </c>
      <c r="F188" s="7">
        <f t="shared" si="2"/>
        <v>1.4459224985540775E-2</v>
      </c>
      <c r="G188" s="5">
        <v>0</v>
      </c>
      <c r="H188" s="14">
        <v>44928</v>
      </c>
      <c r="I188" s="14">
        <v>45027</v>
      </c>
      <c r="J188" s="4" t="s">
        <v>853</v>
      </c>
      <c r="K188" s="4" t="s">
        <v>1038</v>
      </c>
      <c r="L188" s="2"/>
      <c r="M188" s="2"/>
      <c r="N188" s="2"/>
    </row>
    <row r="189" spans="1:14" x14ac:dyDescent="0.45">
      <c r="A189" s="4" t="s">
        <v>264</v>
      </c>
      <c r="B189" s="4" t="s">
        <v>847</v>
      </c>
      <c r="C189" s="4" t="s">
        <v>809</v>
      </c>
      <c r="D189" s="4" t="b">
        <f>FALSE()</f>
        <v>0</v>
      </c>
      <c r="E189" s="5">
        <v>9</v>
      </c>
      <c r="F189" s="7">
        <f t="shared" si="2"/>
        <v>2.6026604973973396E-3</v>
      </c>
      <c r="G189" s="5">
        <v>0</v>
      </c>
      <c r="H189" s="14">
        <v>44931</v>
      </c>
      <c r="I189" s="14">
        <v>45052</v>
      </c>
      <c r="J189" s="4" t="s">
        <v>850</v>
      </c>
      <c r="K189" s="4" t="s">
        <v>1039</v>
      </c>
      <c r="L189" s="2"/>
      <c r="M189" s="2"/>
      <c r="N189" s="2"/>
    </row>
    <row r="190" spans="1:14" x14ac:dyDescent="0.45">
      <c r="A190" s="9" t="s">
        <v>265</v>
      </c>
      <c r="B190" s="9" t="s">
        <v>847</v>
      </c>
      <c r="C190" s="9" t="s">
        <v>258</v>
      </c>
      <c r="D190" s="9" t="b">
        <f>TRUE()</f>
        <v>1</v>
      </c>
      <c r="E190" s="10">
        <v>2247</v>
      </c>
      <c r="F190" s="12">
        <f t="shared" si="2"/>
        <v>0.91008505467800727</v>
      </c>
      <c r="G190" s="10">
        <v>593</v>
      </c>
      <c r="H190" s="15">
        <v>44938</v>
      </c>
      <c r="I190" s="15">
        <v>46296</v>
      </c>
      <c r="J190" s="9" t="s">
        <v>848</v>
      </c>
      <c r="K190" s="9" t="s">
        <v>928</v>
      </c>
      <c r="L190" s="2"/>
      <c r="M190" s="2"/>
      <c r="N190" s="2"/>
    </row>
    <row r="191" spans="1:14" x14ac:dyDescent="0.45">
      <c r="A191" s="4" t="s">
        <v>265</v>
      </c>
      <c r="B191" s="4" t="s">
        <v>847</v>
      </c>
      <c r="C191" s="4" t="s">
        <v>129</v>
      </c>
      <c r="D191" s="4" t="b">
        <f>FALSE()</f>
        <v>0</v>
      </c>
      <c r="E191" s="5">
        <v>150</v>
      </c>
      <c r="F191" s="7">
        <f t="shared" si="2"/>
        <v>6.0753341433778855E-2</v>
      </c>
      <c r="G191" s="5">
        <v>0</v>
      </c>
      <c r="H191" s="14">
        <v>44928</v>
      </c>
      <c r="I191" s="14">
        <v>45006</v>
      </c>
      <c r="J191" s="4" t="s">
        <v>853</v>
      </c>
      <c r="K191" s="4" t="s">
        <v>1040</v>
      </c>
      <c r="L191" s="2"/>
      <c r="M191" s="2"/>
      <c r="N191" s="2"/>
    </row>
    <row r="192" spans="1:14" x14ac:dyDescent="0.45">
      <c r="A192" s="4" t="s">
        <v>265</v>
      </c>
      <c r="B192" s="4" t="s">
        <v>847</v>
      </c>
      <c r="C192" s="4" t="s">
        <v>809</v>
      </c>
      <c r="D192" s="4" t="b">
        <f>FALSE()</f>
        <v>0</v>
      </c>
      <c r="E192" s="5">
        <v>72</v>
      </c>
      <c r="F192" s="7">
        <f t="shared" si="2"/>
        <v>2.9161603888213851E-2</v>
      </c>
      <c r="G192" s="5">
        <v>0</v>
      </c>
      <c r="H192" s="14">
        <v>44988</v>
      </c>
      <c r="I192" s="14">
        <v>45050</v>
      </c>
      <c r="J192" s="4" t="s">
        <v>850</v>
      </c>
      <c r="K192" s="4" t="s">
        <v>1041</v>
      </c>
      <c r="L192" s="2"/>
      <c r="M192" s="2"/>
      <c r="N192" s="2"/>
    </row>
    <row r="193" spans="1:14" x14ac:dyDescent="0.45">
      <c r="A193" s="9" t="s">
        <v>266</v>
      </c>
      <c r="B193" s="9" t="s">
        <v>847</v>
      </c>
      <c r="C193" s="9" t="s">
        <v>258</v>
      </c>
      <c r="D193" s="9" t="b">
        <f>TRUE()</f>
        <v>1</v>
      </c>
      <c r="E193" s="10">
        <v>1961</v>
      </c>
      <c r="F193" s="12">
        <f t="shared" si="2"/>
        <v>0.92982456140350878</v>
      </c>
      <c r="G193" s="10">
        <v>0</v>
      </c>
      <c r="H193" s="15">
        <v>44937</v>
      </c>
      <c r="I193" s="15">
        <v>45950</v>
      </c>
      <c r="J193" s="9" t="s">
        <v>848</v>
      </c>
      <c r="K193" s="9" t="s">
        <v>1042</v>
      </c>
      <c r="L193" s="2"/>
      <c r="M193" s="2"/>
      <c r="N193" s="2"/>
    </row>
    <row r="194" spans="1:14" x14ac:dyDescent="0.45">
      <c r="A194" s="4" t="s">
        <v>266</v>
      </c>
      <c r="B194" s="4" t="s">
        <v>847</v>
      </c>
      <c r="C194" s="4" t="s">
        <v>809</v>
      </c>
      <c r="D194" s="4" t="b">
        <f>FALSE()</f>
        <v>0</v>
      </c>
      <c r="E194" s="5">
        <v>135</v>
      </c>
      <c r="F194" s="7">
        <f t="shared" ref="F194:F257" si="3">E194/SUMIFS($E$2:$E$783,$A$2:$A$783,A194)</f>
        <v>6.4011379800853488E-2</v>
      </c>
      <c r="G194" s="5">
        <v>0</v>
      </c>
      <c r="H194" s="14">
        <v>44956</v>
      </c>
      <c r="I194" s="14">
        <v>45054</v>
      </c>
      <c r="J194" s="4" t="s">
        <v>850</v>
      </c>
      <c r="K194" s="4" t="s">
        <v>1043</v>
      </c>
      <c r="L194" s="2"/>
      <c r="M194" s="2"/>
      <c r="N194" s="2"/>
    </row>
    <row r="195" spans="1:14" x14ac:dyDescent="0.45">
      <c r="A195" s="4" t="s">
        <v>266</v>
      </c>
      <c r="B195" s="4" t="s">
        <v>847</v>
      </c>
      <c r="C195" s="4" t="s">
        <v>119</v>
      </c>
      <c r="D195" s="4" t="b">
        <f>FALSE()</f>
        <v>0</v>
      </c>
      <c r="E195" s="5">
        <v>13</v>
      </c>
      <c r="F195" s="7">
        <f t="shared" si="3"/>
        <v>6.1640587956377432E-3</v>
      </c>
      <c r="G195" s="5">
        <v>0</v>
      </c>
      <c r="H195" s="14">
        <v>44972</v>
      </c>
      <c r="I195" s="14">
        <v>44979</v>
      </c>
      <c r="J195" s="4" t="s">
        <v>853</v>
      </c>
      <c r="K195" s="4" t="s">
        <v>1044</v>
      </c>
      <c r="L195" s="2"/>
      <c r="M195" s="2"/>
      <c r="N195" s="2"/>
    </row>
    <row r="196" spans="1:14" x14ac:dyDescent="0.45">
      <c r="A196" s="9" t="s">
        <v>267</v>
      </c>
      <c r="B196" s="9" t="s">
        <v>847</v>
      </c>
      <c r="C196" s="9" t="s">
        <v>258</v>
      </c>
      <c r="D196" s="9" t="b">
        <f>TRUE()</f>
        <v>1</v>
      </c>
      <c r="E196" s="10">
        <v>1569</v>
      </c>
      <c r="F196" s="12">
        <f t="shared" si="3"/>
        <v>0.90903823870220157</v>
      </c>
      <c r="G196" s="10">
        <v>388</v>
      </c>
      <c r="H196" s="15">
        <v>45022</v>
      </c>
      <c r="I196" s="15">
        <v>46294</v>
      </c>
      <c r="J196" s="9" t="s">
        <v>848</v>
      </c>
      <c r="K196" s="9" t="s">
        <v>1045</v>
      </c>
      <c r="L196" s="2"/>
      <c r="M196" s="2"/>
      <c r="N196" s="2"/>
    </row>
    <row r="197" spans="1:14" x14ac:dyDescent="0.45">
      <c r="A197" s="4" t="s">
        <v>267</v>
      </c>
      <c r="B197" s="4" t="s">
        <v>847</v>
      </c>
      <c r="C197" s="4" t="s">
        <v>809</v>
      </c>
      <c r="D197" s="4" t="b">
        <f>FALSE()</f>
        <v>0</v>
      </c>
      <c r="E197" s="5">
        <v>144</v>
      </c>
      <c r="F197" s="7">
        <f t="shared" si="3"/>
        <v>8.3429895712630361E-2</v>
      </c>
      <c r="G197" s="5">
        <v>0</v>
      </c>
      <c r="H197" s="14">
        <v>45008</v>
      </c>
      <c r="I197" s="14">
        <v>45052</v>
      </c>
      <c r="J197" s="4" t="s">
        <v>850</v>
      </c>
      <c r="K197" s="4" t="s">
        <v>1046</v>
      </c>
      <c r="L197" s="2"/>
      <c r="M197" s="2"/>
      <c r="N197" s="2"/>
    </row>
    <row r="198" spans="1:14" x14ac:dyDescent="0.45">
      <c r="A198" s="4" t="s">
        <v>267</v>
      </c>
      <c r="B198" s="4" t="s">
        <v>847</v>
      </c>
      <c r="C198" s="4" t="s">
        <v>129</v>
      </c>
      <c r="D198" s="4" t="b">
        <f>FALSE()</f>
        <v>0</v>
      </c>
      <c r="E198" s="5">
        <v>13</v>
      </c>
      <c r="F198" s="7">
        <f t="shared" si="3"/>
        <v>7.5318655851680186E-3</v>
      </c>
      <c r="G198" s="5">
        <v>0</v>
      </c>
      <c r="H198" s="14">
        <v>44974</v>
      </c>
      <c r="I198" s="14">
        <v>45007</v>
      </c>
      <c r="J198" s="4" t="s">
        <v>853</v>
      </c>
      <c r="K198" s="4" t="s">
        <v>1047</v>
      </c>
      <c r="L198" s="2"/>
      <c r="M198" s="2"/>
      <c r="N198" s="2"/>
    </row>
    <row r="199" spans="1:14" x14ac:dyDescent="0.45">
      <c r="A199" s="9" t="s">
        <v>268</v>
      </c>
      <c r="B199" s="9" t="s">
        <v>847</v>
      </c>
      <c r="C199" s="9" t="s">
        <v>258</v>
      </c>
      <c r="D199" s="9" t="b">
        <f>TRUE()</f>
        <v>1</v>
      </c>
      <c r="E199" s="10">
        <v>1374</v>
      </c>
      <c r="F199" s="12">
        <f t="shared" si="3"/>
        <v>0.86633039092055486</v>
      </c>
      <c r="G199" s="10">
        <v>311</v>
      </c>
      <c r="H199" s="15">
        <v>44956</v>
      </c>
      <c r="I199" s="15">
        <v>46293</v>
      </c>
      <c r="J199" s="9" t="s">
        <v>848</v>
      </c>
      <c r="K199" s="9" t="s">
        <v>1048</v>
      </c>
      <c r="L199" s="2"/>
      <c r="M199" s="2"/>
      <c r="N199" s="2"/>
    </row>
    <row r="200" spans="1:14" x14ac:dyDescent="0.45">
      <c r="A200" s="4" t="s">
        <v>268</v>
      </c>
      <c r="B200" s="4" t="s">
        <v>847</v>
      </c>
      <c r="C200" s="4" t="s">
        <v>129</v>
      </c>
      <c r="D200" s="4" t="b">
        <f>FALSE()</f>
        <v>0</v>
      </c>
      <c r="E200" s="5">
        <v>109</v>
      </c>
      <c r="F200" s="7">
        <f t="shared" si="3"/>
        <v>6.8726355611601508E-2</v>
      </c>
      <c r="G200" s="5">
        <v>0</v>
      </c>
      <c r="H200" s="14">
        <v>44929</v>
      </c>
      <c r="I200" s="14">
        <v>45003</v>
      </c>
      <c r="J200" s="4" t="s">
        <v>853</v>
      </c>
      <c r="K200" s="4" t="s">
        <v>1049</v>
      </c>
      <c r="L200" s="2"/>
      <c r="M200" s="2"/>
      <c r="N200" s="2"/>
    </row>
    <row r="201" spans="1:14" x14ac:dyDescent="0.45">
      <c r="A201" s="4" t="s">
        <v>268</v>
      </c>
      <c r="B201" s="4" t="s">
        <v>847</v>
      </c>
      <c r="C201" s="4" t="s">
        <v>809</v>
      </c>
      <c r="D201" s="4" t="b">
        <f>FALSE()</f>
        <v>0</v>
      </c>
      <c r="E201" s="5">
        <v>103</v>
      </c>
      <c r="F201" s="7">
        <f t="shared" si="3"/>
        <v>6.4943253467843631E-2</v>
      </c>
      <c r="G201" s="5">
        <v>0</v>
      </c>
      <c r="H201" s="14">
        <v>44940</v>
      </c>
      <c r="I201" s="14">
        <v>45053</v>
      </c>
      <c r="J201" s="4" t="s">
        <v>850</v>
      </c>
      <c r="K201" s="4" t="s">
        <v>1050</v>
      </c>
      <c r="L201" s="2"/>
      <c r="M201" s="2"/>
      <c r="N201" s="2"/>
    </row>
    <row r="202" spans="1:14" x14ac:dyDescent="0.45">
      <c r="A202" s="9" t="s">
        <v>270</v>
      </c>
      <c r="B202" s="9" t="s">
        <v>847</v>
      </c>
      <c r="C202" s="9" t="s">
        <v>258</v>
      </c>
      <c r="D202" s="9" t="b">
        <f>TRUE()</f>
        <v>1</v>
      </c>
      <c r="E202" s="10">
        <v>1072</v>
      </c>
      <c r="F202" s="12">
        <f t="shared" si="3"/>
        <v>0.94366197183098588</v>
      </c>
      <c r="G202" s="10">
        <v>186</v>
      </c>
      <c r="H202" s="15">
        <v>45043</v>
      </c>
      <c r="I202" s="15">
        <v>46295</v>
      </c>
      <c r="J202" s="9" t="s">
        <v>848</v>
      </c>
      <c r="K202" s="9" t="s">
        <v>1051</v>
      </c>
      <c r="L202" s="2"/>
      <c r="M202" s="2"/>
      <c r="N202" s="2"/>
    </row>
    <row r="203" spans="1:14" x14ac:dyDescent="0.45">
      <c r="A203" s="4" t="s">
        <v>270</v>
      </c>
      <c r="B203" s="4" t="s">
        <v>847</v>
      </c>
      <c r="C203" s="4" t="s">
        <v>129</v>
      </c>
      <c r="D203" s="4" t="b">
        <f>FALSE()</f>
        <v>0</v>
      </c>
      <c r="E203" s="5">
        <v>64</v>
      </c>
      <c r="F203" s="7">
        <f t="shared" si="3"/>
        <v>5.6338028169014086E-2</v>
      </c>
      <c r="G203" s="5">
        <v>0</v>
      </c>
      <c r="H203" s="14">
        <v>44957</v>
      </c>
      <c r="I203" s="14">
        <v>45049</v>
      </c>
      <c r="J203" s="4" t="s">
        <v>853</v>
      </c>
      <c r="K203" s="4" t="s">
        <v>1052</v>
      </c>
      <c r="L203" s="2"/>
      <c r="M203" s="2"/>
      <c r="N203" s="2"/>
    </row>
    <row r="204" spans="1:14" x14ac:dyDescent="0.45">
      <c r="A204" s="9" t="s">
        <v>271</v>
      </c>
      <c r="B204" s="9" t="s">
        <v>847</v>
      </c>
      <c r="C204" s="9" t="s">
        <v>258</v>
      </c>
      <c r="D204" s="9" t="b">
        <f>TRUE()</f>
        <v>1</v>
      </c>
      <c r="E204" s="10">
        <v>977</v>
      </c>
      <c r="F204" s="12">
        <f t="shared" si="3"/>
        <v>0.94396135265700487</v>
      </c>
      <c r="G204" s="10">
        <v>232</v>
      </c>
      <c r="H204" s="15">
        <v>45034</v>
      </c>
      <c r="I204" s="15">
        <v>46296</v>
      </c>
      <c r="J204" s="9" t="s">
        <v>848</v>
      </c>
      <c r="K204" s="9" t="s">
        <v>1053</v>
      </c>
      <c r="L204" s="2"/>
      <c r="M204" s="2"/>
      <c r="N204" s="2"/>
    </row>
    <row r="205" spans="1:14" x14ac:dyDescent="0.45">
      <c r="A205" s="4" t="s">
        <v>271</v>
      </c>
      <c r="B205" s="4" t="s">
        <v>847</v>
      </c>
      <c r="C205" s="4" t="s">
        <v>129</v>
      </c>
      <c r="D205" s="4" t="b">
        <f>FALSE()</f>
        <v>0</v>
      </c>
      <c r="E205" s="5">
        <v>35</v>
      </c>
      <c r="F205" s="7">
        <f t="shared" si="3"/>
        <v>3.3816425120772944E-2</v>
      </c>
      <c r="G205" s="5">
        <v>0</v>
      </c>
      <c r="H205" s="14">
        <v>44928</v>
      </c>
      <c r="I205" s="14">
        <v>45003</v>
      </c>
      <c r="J205" s="4" t="s">
        <v>853</v>
      </c>
      <c r="K205" s="4" t="s">
        <v>1054</v>
      </c>
      <c r="L205" s="2"/>
      <c r="M205" s="2"/>
      <c r="N205" s="2"/>
    </row>
    <row r="206" spans="1:14" x14ac:dyDescent="0.45">
      <c r="A206" s="4" t="s">
        <v>271</v>
      </c>
      <c r="B206" s="4" t="s">
        <v>847</v>
      </c>
      <c r="C206" s="4" t="s">
        <v>809</v>
      </c>
      <c r="D206" s="4" t="b">
        <f>FALSE()</f>
        <v>0</v>
      </c>
      <c r="E206" s="5">
        <v>23</v>
      </c>
      <c r="F206" s="7">
        <f t="shared" si="3"/>
        <v>2.2222222222222223E-2</v>
      </c>
      <c r="G206" s="5">
        <v>0</v>
      </c>
      <c r="H206" s="14">
        <v>44979</v>
      </c>
      <c r="I206" s="14">
        <v>45053</v>
      </c>
      <c r="J206" s="4" t="s">
        <v>850</v>
      </c>
      <c r="K206" s="4" t="s">
        <v>1055</v>
      </c>
      <c r="L206" s="2"/>
      <c r="M206" s="2"/>
      <c r="N206" s="2"/>
    </row>
    <row r="207" spans="1:14" x14ac:dyDescent="0.45">
      <c r="A207" s="9" t="s">
        <v>272</v>
      </c>
      <c r="B207" s="9" t="s">
        <v>847</v>
      </c>
      <c r="C207" s="9" t="s">
        <v>258</v>
      </c>
      <c r="D207" s="9" t="b">
        <f>TRUE()</f>
        <v>1</v>
      </c>
      <c r="E207" s="10">
        <v>893</v>
      </c>
      <c r="F207" s="12">
        <f t="shared" si="3"/>
        <v>0.86447241045498546</v>
      </c>
      <c r="G207" s="10">
        <v>357</v>
      </c>
      <c r="H207" s="15">
        <v>45055</v>
      </c>
      <c r="I207" s="15">
        <v>46193</v>
      </c>
      <c r="J207" s="9" t="s">
        <v>848</v>
      </c>
      <c r="K207" s="9" t="s">
        <v>1056</v>
      </c>
      <c r="L207" s="2"/>
      <c r="M207" s="2"/>
      <c r="N207" s="2"/>
    </row>
    <row r="208" spans="1:14" x14ac:dyDescent="0.45">
      <c r="A208" s="4" t="s">
        <v>272</v>
      </c>
      <c r="B208" s="4" t="s">
        <v>847</v>
      </c>
      <c r="C208" s="4" t="s">
        <v>809</v>
      </c>
      <c r="D208" s="4" t="b">
        <f>FALSE()</f>
        <v>0</v>
      </c>
      <c r="E208" s="5">
        <v>140</v>
      </c>
      <c r="F208" s="7">
        <f t="shared" si="3"/>
        <v>0.13552758954501451</v>
      </c>
      <c r="G208" s="5">
        <v>0</v>
      </c>
      <c r="H208" s="14">
        <v>45007</v>
      </c>
      <c r="I208" s="14">
        <v>45048</v>
      </c>
      <c r="J208" s="4" t="s">
        <v>850</v>
      </c>
      <c r="K208" s="4" t="s">
        <v>1057</v>
      </c>
      <c r="L208" s="2"/>
      <c r="M208" s="2"/>
      <c r="N208" s="2"/>
    </row>
    <row r="209" spans="1:14" x14ac:dyDescent="0.45">
      <c r="A209" s="9" t="s">
        <v>273</v>
      </c>
      <c r="B209" s="9" t="s">
        <v>847</v>
      </c>
      <c r="C209" s="9" t="s">
        <v>258</v>
      </c>
      <c r="D209" s="9" t="b">
        <f>TRUE()</f>
        <v>1</v>
      </c>
      <c r="E209" s="10">
        <v>807</v>
      </c>
      <c r="F209" s="12">
        <f t="shared" si="3"/>
        <v>0.96415770609318996</v>
      </c>
      <c r="G209" s="10">
        <v>192</v>
      </c>
      <c r="H209" s="15">
        <v>45043</v>
      </c>
      <c r="I209" s="15">
        <v>46295</v>
      </c>
      <c r="J209" s="9" t="s">
        <v>848</v>
      </c>
      <c r="K209" s="9" t="s">
        <v>1051</v>
      </c>
      <c r="L209" s="2"/>
      <c r="M209" s="2"/>
      <c r="N209" s="2"/>
    </row>
    <row r="210" spans="1:14" x14ac:dyDescent="0.45">
      <c r="A210" s="4" t="s">
        <v>273</v>
      </c>
      <c r="B210" s="4" t="s">
        <v>847</v>
      </c>
      <c r="C210" s="4" t="s">
        <v>129</v>
      </c>
      <c r="D210" s="4" t="b">
        <f>FALSE()</f>
        <v>0</v>
      </c>
      <c r="E210" s="5">
        <v>30</v>
      </c>
      <c r="F210" s="7">
        <f t="shared" si="3"/>
        <v>3.5842293906810034E-2</v>
      </c>
      <c r="G210" s="5">
        <v>0</v>
      </c>
      <c r="H210" s="14">
        <v>44986</v>
      </c>
      <c r="I210" s="14">
        <v>45052</v>
      </c>
      <c r="J210" s="4" t="s">
        <v>853</v>
      </c>
      <c r="K210" s="4" t="s">
        <v>1058</v>
      </c>
      <c r="L210" s="2"/>
      <c r="M210" s="2"/>
      <c r="N210" s="2"/>
    </row>
    <row r="211" spans="1:14" x14ac:dyDescent="0.45">
      <c r="A211" s="9" t="s">
        <v>275</v>
      </c>
      <c r="B211" s="9" t="s">
        <v>847</v>
      </c>
      <c r="C211" s="9" t="s">
        <v>258</v>
      </c>
      <c r="D211" s="9" t="b">
        <f>TRUE()</f>
        <v>1</v>
      </c>
      <c r="E211" s="10">
        <v>570</v>
      </c>
      <c r="F211" s="12">
        <f t="shared" si="3"/>
        <v>0.97435897435897434</v>
      </c>
      <c r="G211" s="10">
        <v>0</v>
      </c>
      <c r="H211" s="15">
        <v>45043</v>
      </c>
      <c r="I211" s="15">
        <v>45707</v>
      </c>
      <c r="J211" s="9" t="s">
        <v>848</v>
      </c>
      <c r="K211" s="9" t="s">
        <v>1059</v>
      </c>
      <c r="L211" s="2"/>
      <c r="M211" s="2"/>
      <c r="N211" s="2"/>
    </row>
    <row r="212" spans="1:14" x14ac:dyDescent="0.45">
      <c r="A212" s="4" t="s">
        <v>275</v>
      </c>
      <c r="B212" s="4" t="s">
        <v>847</v>
      </c>
      <c r="C212" s="4" t="s">
        <v>809</v>
      </c>
      <c r="D212" s="4" t="b">
        <f>FALSE()</f>
        <v>0</v>
      </c>
      <c r="E212" s="5">
        <v>14</v>
      </c>
      <c r="F212" s="7">
        <f t="shared" si="3"/>
        <v>2.3931623931623933E-2</v>
      </c>
      <c r="G212" s="5">
        <v>0</v>
      </c>
      <c r="H212" s="14">
        <v>44943</v>
      </c>
      <c r="I212" s="14">
        <v>45049</v>
      </c>
      <c r="J212" s="4" t="s">
        <v>850</v>
      </c>
      <c r="K212" s="4" t="s">
        <v>1060</v>
      </c>
      <c r="L212" s="2"/>
      <c r="M212" s="2"/>
      <c r="N212" s="2"/>
    </row>
    <row r="213" spans="1:14" x14ac:dyDescent="0.45">
      <c r="A213" s="4" t="s">
        <v>275</v>
      </c>
      <c r="B213" s="4" t="s">
        <v>847</v>
      </c>
      <c r="C213" s="4" t="s">
        <v>119</v>
      </c>
      <c r="D213" s="4" t="b">
        <f>FALSE()</f>
        <v>0</v>
      </c>
      <c r="E213" s="5">
        <v>1</v>
      </c>
      <c r="F213" s="7">
        <f t="shared" si="3"/>
        <v>1.7094017094017094E-3</v>
      </c>
      <c r="G213" s="5">
        <v>0</v>
      </c>
      <c r="H213" s="14">
        <v>44964</v>
      </c>
      <c r="I213" s="14">
        <v>44964</v>
      </c>
      <c r="J213" s="4" t="s">
        <v>853</v>
      </c>
      <c r="K213" s="4" t="s">
        <v>1061</v>
      </c>
      <c r="L213" s="2"/>
      <c r="M213" s="2"/>
      <c r="N213" s="2"/>
    </row>
    <row r="214" spans="1:14" x14ac:dyDescent="0.45">
      <c r="A214" s="9" t="s">
        <v>276</v>
      </c>
      <c r="B214" s="9" t="s">
        <v>847</v>
      </c>
      <c r="C214" s="9" t="s">
        <v>258</v>
      </c>
      <c r="D214" s="9" t="b">
        <f>TRUE()</f>
        <v>1</v>
      </c>
      <c r="E214" s="10">
        <v>470</v>
      </c>
      <c r="F214" s="12">
        <f t="shared" si="3"/>
        <v>0.92885375494071143</v>
      </c>
      <c r="G214" s="10">
        <v>86</v>
      </c>
      <c r="H214" s="15">
        <v>45062</v>
      </c>
      <c r="I214" s="15">
        <v>46291</v>
      </c>
      <c r="J214" s="9" t="s">
        <v>848</v>
      </c>
      <c r="K214" s="9" t="s">
        <v>1062</v>
      </c>
      <c r="L214" s="2"/>
      <c r="M214" s="2"/>
      <c r="N214" s="2"/>
    </row>
    <row r="215" spans="1:14" x14ac:dyDescent="0.45">
      <c r="A215" s="4" t="s">
        <v>276</v>
      </c>
      <c r="B215" s="4" t="s">
        <v>847</v>
      </c>
      <c r="C215" s="4" t="s">
        <v>129</v>
      </c>
      <c r="D215" s="4" t="b">
        <f>FALSE()</f>
        <v>0</v>
      </c>
      <c r="E215" s="5">
        <v>36</v>
      </c>
      <c r="F215" s="7">
        <f t="shared" si="3"/>
        <v>7.1146245059288543E-2</v>
      </c>
      <c r="G215" s="5">
        <v>0</v>
      </c>
      <c r="H215" s="14">
        <v>44987</v>
      </c>
      <c r="I215" s="14">
        <v>45054</v>
      </c>
      <c r="J215" s="4" t="s">
        <v>853</v>
      </c>
      <c r="K215" s="4" t="s">
        <v>1063</v>
      </c>
      <c r="L215" s="2"/>
      <c r="M215" s="2"/>
      <c r="N215" s="2"/>
    </row>
    <row r="216" spans="1:14" x14ac:dyDescent="0.45">
      <c r="A216" s="9" t="s">
        <v>277</v>
      </c>
      <c r="B216" s="9" t="s">
        <v>847</v>
      </c>
      <c r="C216" s="9" t="s">
        <v>258</v>
      </c>
      <c r="D216" s="9" t="b">
        <f>TRUE()</f>
        <v>1</v>
      </c>
      <c r="E216" s="10">
        <v>443</v>
      </c>
      <c r="F216" s="12">
        <f t="shared" si="3"/>
        <v>0.93263157894736837</v>
      </c>
      <c r="G216" s="10">
        <v>84</v>
      </c>
      <c r="H216" s="15">
        <v>45064</v>
      </c>
      <c r="I216" s="15">
        <v>46292</v>
      </c>
      <c r="J216" s="9" t="s">
        <v>848</v>
      </c>
      <c r="K216" s="9" t="s">
        <v>1064</v>
      </c>
      <c r="L216" s="2"/>
      <c r="M216" s="2"/>
      <c r="N216" s="2"/>
    </row>
    <row r="217" spans="1:14" x14ac:dyDescent="0.45">
      <c r="A217" s="4" t="s">
        <v>277</v>
      </c>
      <c r="B217" s="4" t="s">
        <v>847</v>
      </c>
      <c r="C217" s="4" t="s">
        <v>809</v>
      </c>
      <c r="D217" s="4" t="b">
        <f>FALSE()</f>
        <v>0</v>
      </c>
      <c r="E217" s="5">
        <v>26</v>
      </c>
      <c r="F217" s="7">
        <f t="shared" si="3"/>
        <v>5.473684210526316E-2</v>
      </c>
      <c r="G217" s="5">
        <v>0</v>
      </c>
      <c r="H217" s="14">
        <v>44988</v>
      </c>
      <c r="I217" s="14">
        <v>45054</v>
      </c>
      <c r="J217" s="4" t="s">
        <v>850</v>
      </c>
      <c r="K217" s="4" t="s">
        <v>1065</v>
      </c>
      <c r="L217" s="2"/>
      <c r="M217" s="2"/>
      <c r="N217" s="2"/>
    </row>
    <row r="218" spans="1:14" x14ac:dyDescent="0.45">
      <c r="A218" s="4" t="s">
        <v>277</v>
      </c>
      <c r="B218" s="4" t="s">
        <v>847</v>
      </c>
      <c r="C218" s="4" t="s">
        <v>129</v>
      </c>
      <c r="D218" s="4" t="b">
        <f>FALSE()</f>
        <v>0</v>
      </c>
      <c r="E218" s="5">
        <v>6</v>
      </c>
      <c r="F218" s="7">
        <f t="shared" si="3"/>
        <v>1.2631578947368421E-2</v>
      </c>
      <c r="G218" s="5">
        <v>0</v>
      </c>
      <c r="H218" s="14">
        <v>44991</v>
      </c>
      <c r="I218" s="14">
        <v>44993</v>
      </c>
      <c r="J218" s="4" t="s">
        <v>853</v>
      </c>
      <c r="K218" s="4" t="s">
        <v>1066</v>
      </c>
      <c r="L218" s="2"/>
      <c r="M218" s="2"/>
      <c r="N218" s="2"/>
    </row>
    <row r="219" spans="1:14" x14ac:dyDescent="0.45">
      <c r="A219" s="9" t="s">
        <v>278</v>
      </c>
      <c r="B219" s="9" t="s">
        <v>847</v>
      </c>
      <c r="C219" s="9" t="s">
        <v>258</v>
      </c>
      <c r="D219" s="9" t="b">
        <f>TRUE()</f>
        <v>1</v>
      </c>
      <c r="E219" s="10">
        <v>408</v>
      </c>
      <c r="F219" s="12">
        <f t="shared" si="3"/>
        <v>0.94883720930232562</v>
      </c>
      <c r="G219" s="10">
        <v>66</v>
      </c>
      <c r="H219" s="15">
        <v>45053</v>
      </c>
      <c r="I219" s="15">
        <v>46294</v>
      </c>
      <c r="J219" s="9" t="s">
        <v>848</v>
      </c>
      <c r="K219" s="9" t="s">
        <v>1067</v>
      </c>
      <c r="L219" s="2"/>
      <c r="M219" s="2"/>
      <c r="N219" s="2"/>
    </row>
    <row r="220" spans="1:14" x14ac:dyDescent="0.45">
      <c r="A220" s="4" t="s">
        <v>278</v>
      </c>
      <c r="B220" s="4" t="s">
        <v>847</v>
      </c>
      <c r="C220" s="4" t="s">
        <v>129</v>
      </c>
      <c r="D220" s="4" t="b">
        <f>FALSE()</f>
        <v>0</v>
      </c>
      <c r="E220" s="5">
        <v>22</v>
      </c>
      <c r="F220" s="7">
        <f t="shared" si="3"/>
        <v>5.1162790697674418E-2</v>
      </c>
      <c r="G220" s="5">
        <v>0</v>
      </c>
      <c r="H220" s="14">
        <v>44973</v>
      </c>
      <c r="I220" s="14">
        <v>45051</v>
      </c>
      <c r="J220" s="4" t="s">
        <v>853</v>
      </c>
      <c r="K220" s="4" t="s">
        <v>1068</v>
      </c>
      <c r="L220" s="2"/>
      <c r="M220" s="2"/>
      <c r="N220" s="2"/>
    </row>
    <row r="221" spans="1:14" x14ac:dyDescent="0.45">
      <c r="A221" s="9" t="s">
        <v>279</v>
      </c>
      <c r="B221" s="9" t="s">
        <v>847</v>
      </c>
      <c r="C221" s="9" t="s">
        <v>258</v>
      </c>
      <c r="D221" s="9" t="b">
        <f>TRUE()</f>
        <v>1</v>
      </c>
      <c r="E221" s="10">
        <v>376</v>
      </c>
      <c r="F221" s="12">
        <f t="shared" si="3"/>
        <v>0.90167865707434047</v>
      </c>
      <c r="G221" s="10">
        <v>75</v>
      </c>
      <c r="H221" s="15">
        <v>45054</v>
      </c>
      <c r="I221" s="15">
        <v>46295</v>
      </c>
      <c r="J221" s="9" t="s">
        <v>848</v>
      </c>
      <c r="K221" s="9" t="s">
        <v>1069</v>
      </c>
      <c r="L221" s="2"/>
      <c r="M221" s="2"/>
      <c r="N221" s="2"/>
    </row>
    <row r="222" spans="1:14" x14ac:dyDescent="0.45">
      <c r="A222" s="4" t="s">
        <v>279</v>
      </c>
      <c r="B222" s="4" t="s">
        <v>847</v>
      </c>
      <c r="C222" s="4" t="s">
        <v>129</v>
      </c>
      <c r="D222" s="4" t="b">
        <f>FALSE()</f>
        <v>0</v>
      </c>
      <c r="E222" s="5">
        <v>41</v>
      </c>
      <c r="F222" s="7">
        <f t="shared" si="3"/>
        <v>9.8321342925659472E-2</v>
      </c>
      <c r="G222" s="5">
        <v>0</v>
      </c>
      <c r="H222" s="14">
        <v>44960</v>
      </c>
      <c r="I222" s="14">
        <v>45039</v>
      </c>
      <c r="J222" s="4" t="s">
        <v>853</v>
      </c>
      <c r="K222" s="4" t="s">
        <v>1070</v>
      </c>
      <c r="L222" s="2"/>
      <c r="M222" s="2"/>
      <c r="N222" s="2"/>
    </row>
    <row r="223" spans="1:14" x14ac:dyDescent="0.45">
      <c r="A223" s="9" t="s">
        <v>280</v>
      </c>
      <c r="B223" s="9" t="s">
        <v>847</v>
      </c>
      <c r="C223" s="9" t="s">
        <v>258</v>
      </c>
      <c r="D223" s="9" t="b">
        <f>TRUE()</f>
        <v>1</v>
      </c>
      <c r="E223" s="10">
        <v>394</v>
      </c>
      <c r="F223" s="12">
        <f t="shared" si="3"/>
        <v>0.94711538461538458</v>
      </c>
      <c r="G223" s="10">
        <v>60</v>
      </c>
      <c r="H223" s="15">
        <v>45055</v>
      </c>
      <c r="I223" s="15">
        <v>46285</v>
      </c>
      <c r="J223" s="9" t="s">
        <v>848</v>
      </c>
      <c r="K223" s="9" t="s">
        <v>1071</v>
      </c>
      <c r="L223" s="2"/>
      <c r="M223" s="2"/>
      <c r="N223" s="2"/>
    </row>
    <row r="224" spans="1:14" x14ac:dyDescent="0.45">
      <c r="A224" s="4" t="s">
        <v>280</v>
      </c>
      <c r="B224" s="4" t="s">
        <v>847</v>
      </c>
      <c r="C224" s="4" t="s">
        <v>129</v>
      </c>
      <c r="D224" s="4" t="b">
        <f>FALSE()</f>
        <v>0</v>
      </c>
      <c r="E224" s="5">
        <v>22</v>
      </c>
      <c r="F224" s="7">
        <f t="shared" si="3"/>
        <v>5.2884615384615384E-2</v>
      </c>
      <c r="G224" s="5">
        <v>0</v>
      </c>
      <c r="H224" s="14">
        <v>44987</v>
      </c>
      <c r="I224" s="14">
        <v>45049</v>
      </c>
      <c r="J224" s="4" t="s">
        <v>853</v>
      </c>
      <c r="K224" s="4" t="s">
        <v>1072</v>
      </c>
      <c r="L224" s="2"/>
      <c r="M224" s="2"/>
      <c r="N224" s="2"/>
    </row>
    <row r="225" spans="1:14" x14ac:dyDescent="0.45">
      <c r="A225" s="9" t="s">
        <v>281</v>
      </c>
      <c r="B225" s="9" t="s">
        <v>847</v>
      </c>
      <c r="C225" s="9" t="s">
        <v>258</v>
      </c>
      <c r="D225" s="9" t="b">
        <f>TRUE()</f>
        <v>1</v>
      </c>
      <c r="E225" s="10">
        <v>350</v>
      </c>
      <c r="F225" s="12">
        <f t="shared" si="3"/>
        <v>0.86848635235732008</v>
      </c>
      <c r="G225" s="10">
        <v>0</v>
      </c>
      <c r="H225" s="15">
        <v>45055</v>
      </c>
      <c r="I225" s="15">
        <v>45874</v>
      </c>
      <c r="J225" s="9" t="s">
        <v>848</v>
      </c>
      <c r="K225" s="9" t="s">
        <v>1073</v>
      </c>
      <c r="L225" s="2"/>
      <c r="M225" s="2"/>
      <c r="N225" s="2"/>
    </row>
    <row r="226" spans="1:14" x14ac:dyDescent="0.45">
      <c r="A226" s="4" t="s">
        <v>281</v>
      </c>
      <c r="B226" s="4" t="s">
        <v>847</v>
      </c>
      <c r="C226" s="4" t="s">
        <v>809</v>
      </c>
      <c r="D226" s="4" t="b">
        <f>FALSE()</f>
        <v>0</v>
      </c>
      <c r="E226" s="5">
        <v>32</v>
      </c>
      <c r="F226" s="7">
        <f t="shared" si="3"/>
        <v>7.9404466501240695E-2</v>
      </c>
      <c r="G226" s="5">
        <v>0</v>
      </c>
      <c r="H226" s="14">
        <v>44966</v>
      </c>
      <c r="I226" s="14">
        <v>45048</v>
      </c>
      <c r="J226" s="4" t="s">
        <v>850</v>
      </c>
      <c r="K226" s="4" t="s">
        <v>1074</v>
      </c>
      <c r="L226" s="2"/>
      <c r="M226" s="2"/>
      <c r="N226" s="2"/>
    </row>
    <row r="227" spans="1:14" x14ac:dyDescent="0.45">
      <c r="A227" s="4" t="s">
        <v>281</v>
      </c>
      <c r="B227" s="4" t="s">
        <v>847</v>
      </c>
      <c r="C227" s="4" t="s">
        <v>129</v>
      </c>
      <c r="D227" s="4" t="b">
        <f>FALSE()</f>
        <v>0</v>
      </c>
      <c r="E227" s="5">
        <v>21</v>
      </c>
      <c r="F227" s="7">
        <f t="shared" si="3"/>
        <v>5.2109181141439205E-2</v>
      </c>
      <c r="G227" s="5">
        <v>0</v>
      </c>
      <c r="H227" s="14">
        <v>44931</v>
      </c>
      <c r="I227" s="14">
        <v>44976</v>
      </c>
      <c r="J227" s="4" t="s">
        <v>853</v>
      </c>
      <c r="K227" s="4" t="s">
        <v>1075</v>
      </c>
      <c r="L227" s="2"/>
      <c r="M227" s="2"/>
      <c r="N227" s="2"/>
    </row>
    <row r="228" spans="1:14" x14ac:dyDescent="0.45">
      <c r="A228" s="9" t="s">
        <v>282</v>
      </c>
      <c r="B228" s="9" t="s">
        <v>847</v>
      </c>
      <c r="C228" s="9" t="s">
        <v>258</v>
      </c>
      <c r="D228" s="9" t="b">
        <f>TRUE()</f>
        <v>1</v>
      </c>
      <c r="E228" s="10">
        <v>350</v>
      </c>
      <c r="F228" s="12">
        <f t="shared" si="3"/>
        <v>0.92348284960422167</v>
      </c>
      <c r="G228" s="10">
        <v>10</v>
      </c>
      <c r="H228" s="15">
        <v>44932</v>
      </c>
      <c r="I228" s="15">
        <v>46084</v>
      </c>
      <c r="J228" s="9" t="s">
        <v>848</v>
      </c>
      <c r="K228" s="9" t="s">
        <v>1076</v>
      </c>
      <c r="L228" s="2"/>
      <c r="M228" s="2"/>
      <c r="N228" s="2"/>
    </row>
    <row r="229" spans="1:14" x14ac:dyDescent="0.45">
      <c r="A229" s="4" t="s">
        <v>282</v>
      </c>
      <c r="B229" s="4" t="s">
        <v>847</v>
      </c>
      <c r="C229" s="4" t="s">
        <v>129</v>
      </c>
      <c r="D229" s="4" t="b">
        <f>FALSE()</f>
        <v>0</v>
      </c>
      <c r="E229" s="5">
        <v>29</v>
      </c>
      <c r="F229" s="7">
        <f t="shared" si="3"/>
        <v>7.6517150395778361E-2</v>
      </c>
      <c r="G229" s="5">
        <v>0</v>
      </c>
      <c r="H229" s="14">
        <v>44928</v>
      </c>
      <c r="I229" s="14">
        <v>45020</v>
      </c>
      <c r="J229" s="4" t="s">
        <v>853</v>
      </c>
      <c r="K229" s="4" t="s">
        <v>1077</v>
      </c>
      <c r="L229" s="2"/>
      <c r="M229" s="2"/>
      <c r="N229" s="2"/>
    </row>
    <row r="230" spans="1:14" x14ac:dyDescent="0.45">
      <c r="A230" s="9" t="s">
        <v>283</v>
      </c>
      <c r="B230" s="9" t="s">
        <v>847</v>
      </c>
      <c r="C230" s="9" t="s">
        <v>258</v>
      </c>
      <c r="D230" s="9" t="b">
        <f>TRUE()</f>
        <v>1</v>
      </c>
      <c r="E230" s="10">
        <v>312</v>
      </c>
      <c r="F230" s="12">
        <f t="shared" si="3"/>
        <v>0.95412844036697253</v>
      </c>
      <c r="G230" s="10">
        <v>56</v>
      </c>
      <c r="H230" s="15">
        <v>45054</v>
      </c>
      <c r="I230" s="15">
        <v>46289</v>
      </c>
      <c r="J230" s="9" t="s">
        <v>848</v>
      </c>
      <c r="K230" s="9" t="s">
        <v>1078</v>
      </c>
      <c r="L230" s="2"/>
      <c r="M230" s="2"/>
      <c r="N230" s="2"/>
    </row>
    <row r="231" spans="1:14" x14ac:dyDescent="0.45">
      <c r="A231" s="4" t="s">
        <v>283</v>
      </c>
      <c r="B231" s="4" t="s">
        <v>847</v>
      </c>
      <c r="C231" s="4" t="s">
        <v>129</v>
      </c>
      <c r="D231" s="4" t="b">
        <f>FALSE()</f>
        <v>0</v>
      </c>
      <c r="E231" s="5">
        <v>15</v>
      </c>
      <c r="F231" s="7">
        <f t="shared" si="3"/>
        <v>4.5871559633027525E-2</v>
      </c>
      <c r="G231" s="5">
        <v>0</v>
      </c>
      <c r="H231" s="14">
        <v>44989</v>
      </c>
      <c r="I231" s="14">
        <v>45050</v>
      </c>
      <c r="J231" s="4" t="s">
        <v>853</v>
      </c>
      <c r="K231" s="4" t="s">
        <v>1079</v>
      </c>
      <c r="L231" s="2"/>
      <c r="M231" s="2"/>
      <c r="N231" s="2"/>
    </row>
    <row r="232" spans="1:14" x14ac:dyDescent="0.45">
      <c r="A232" s="9" t="s">
        <v>284</v>
      </c>
      <c r="B232" s="9" t="s">
        <v>847</v>
      </c>
      <c r="C232" s="9" t="s">
        <v>258</v>
      </c>
      <c r="D232" s="9" t="b">
        <f>TRUE()</f>
        <v>1</v>
      </c>
      <c r="E232" s="10">
        <v>298</v>
      </c>
      <c r="F232" s="12">
        <f t="shared" si="3"/>
        <v>0.95207667731629397</v>
      </c>
      <c r="G232" s="10">
        <v>60</v>
      </c>
      <c r="H232" s="15">
        <v>45051</v>
      </c>
      <c r="I232" s="15">
        <v>46294</v>
      </c>
      <c r="J232" s="9" t="s">
        <v>848</v>
      </c>
      <c r="K232" s="9" t="s">
        <v>1080</v>
      </c>
      <c r="L232" s="2"/>
      <c r="M232" s="2"/>
      <c r="N232" s="2"/>
    </row>
    <row r="233" spans="1:14" x14ac:dyDescent="0.45">
      <c r="A233" s="4" t="s">
        <v>284</v>
      </c>
      <c r="B233" s="4" t="s">
        <v>847</v>
      </c>
      <c r="C233" s="4" t="s">
        <v>129</v>
      </c>
      <c r="D233" s="4" t="b">
        <f>FALSE()</f>
        <v>0</v>
      </c>
      <c r="E233" s="5">
        <v>15</v>
      </c>
      <c r="F233" s="7">
        <f t="shared" si="3"/>
        <v>4.7923322683706068E-2</v>
      </c>
      <c r="G233" s="5">
        <v>0</v>
      </c>
      <c r="H233" s="14">
        <v>44989</v>
      </c>
      <c r="I233" s="14">
        <v>45048</v>
      </c>
      <c r="J233" s="4" t="s">
        <v>853</v>
      </c>
      <c r="K233" s="4" t="s">
        <v>1081</v>
      </c>
      <c r="L233" s="2"/>
      <c r="M233" s="2"/>
      <c r="N233" s="2"/>
    </row>
    <row r="234" spans="1:14" x14ac:dyDescent="0.45">
      <c r="A234" s="9" t="s">
        <v>285</v>
      </c>
      <c r="B234" s="9" t="s">
        <v>847</v>
      </c>
      <c r="C234" s="9" t="s">
        <v>258</v>
      </c>
      <c r="D234" s="9" t="b">
        <f>TRUE()</f>
        <v>1</v>
      </c>
      <c r="E234" s="10">
        <v>279</v>
      </c>
      <c r="F234" s="12">
        <f t="shared" si="3"/>
        <v>0.96206896551724141</v>
      </c>
      <c r="G234" s="10">
        <v>44</v>
      </c>
      <c r="H234" s="15">
        <v>45038</v>
      </c>
      <c r="I234" s="15">
        <v>46287</v>
      </c>
      <c r="J234" s="9" t="s">
        <v>848</v>
      </c>
      <c r="K234" s="9" t="s">
        <v>1082</v>
      </c>
      <c r="L234" s="2"/>
      <c r="M234" s="2"/>
      <c r="N234" s="2"/>
    </row>
    <row r="235" spans="1:14" x14ac:dyDescent="0.45">
      <c r="A235" s="4" t="s">
        <v>285</v>
      </c>
      <c r="B235" s="4" t="s">
        <v>847</v>
      </c>
      <c r="C235" s="4" t="s">
        <v>129</v>
      </c>
      <c r="D235" s="4" t="b">
        <f>FALSE()</f>
        <v>0</v>
      </c>
      <c r="E235" s="5">
        <v>11</v>
      </c>
      <c r="F235" s="7">
        <f t="shared" si="3"/>
        <v>3.793103448275862E-2</v>
      </c>
      <c r="G235" s="5">
        <v>0</v>
      </c>
      <c r="H235" s="14">
        <v>44991</v>
      </c>
      <c r="I235" s="14">
        <v>45043</v>
      </c>
      <c r="J235" s="4" t="s">
        <v>853</v>
      </c>
      <c r="K235" s="4" t="s">
        <v>1083</v>
      </c>
      <c r="L235" s="2"/>
      <c r="M235" s="2"/>
      <c r="N235" s="2"/>
    </row>
    <row r="236" spans="1:14" x14ac:dyDescent="0.45">
      <c r="A236" s="9" t="s">
        <v>286</v>
      </c>
      <c r="B236" s="9" t="s">
        <v>847</v>
      </c>
      <c r="C236" s="9" t="s">
        <v>258</v>
      </c>
      <c r="D236" s="9" t="b">
        <f>TRUE()</f>
        <v>1</v>
      </c>
      <c r="E236" s="10">
        <v>248</v>
      </c>
      <c r="F236" s="12">
        <f t="shared" si="3"/>
        <v>0.96498054474708173</v>
      </c>
      <c r="G236" s="10">
        <v>44</v>
      </c>
      <c r="H236" s="15">
        <v>45051</v>
      </c>
      <c r="I236" s="15">
        <v>46296</v>
      </c>
      <c r="J236" s="9" t="s">
        <v>848</v>
      </c>
      <c r="K236" s="9" t="s">
        <v>1084</v>
      </c>
      <c r="L236" s="2"/>
      <c r="M236" s="2"/>
      <c r="N236" s="2"/>
    </row>
    <row r="237" spans="1:14" x14ac:dyDescent="0.45">
      <c r="A237" s="4" t="s">
        <v>286</v>
      </c>
      <c r="B237" s="4" t="s">
        <v>847</v>
      </c>
      <c r="C237" s="4" t="s">
        <v>129</v>
      </c>
      <c r="D237" s="4" t="b">
        <f>FALSE()</f>
        <v>0</v>
      </c>
      <c r="E237" s="5">
        <v>9</v>
      </c>
      <c r="F237" s="7">
        <f t="shared" si="3"/>
        <v>3.5019455252918288E-2</v>
      </c>
      <c r="G237" s="5">
        <v>0</v>
      </c>
      <c r="H237" s="14">
        <v>44992</v>
      </c>
      <c r="I237" s="14">
        <v>45041</v>
      </c>
      <c r="J237" s="4" t="s">
        <v>853</v>
      </c>
      <c r="K237" s="4" t="s">
        <v>1085</v>
      </c>
      <c r="L237" s="2"/>
      <c r="M237" s="2"/>
      <c r="N237" s="2"/>
    </row>
    <row r="238" spans="1:14" x14ac:dyDescent="0.45">
      <c r="A238" s="9" t="s">
        <v>287</v>
      </c>
      <c r="B238" s="9" t="s">
        <v>847</v>
      </c>
      <c r="C238" s="9" t="s">
        <v>258</v>
      </c>
      <c r="D238" s="9" t="b">
        <f>TRUE()</f>
        <v>1</v>
      </c>
      <c r="E238" s="10">
        <v>229</v>
      </c>
      <c r="F238" s="12">
        <f t="shared" si="3"/>
        <v>0.95416666666666672</v>
      </c>
      <c r="G238" s="10">
        <v>38</v>
      </c>
      <c r="H238" s="15">
        <v>45043</v>
      </c>
      <c r="I238" s="15">
        <v>46290</v>
      </c>
      <c r="J238" s="9" t="s">
        <v>848</v>
      </c>
      <c r="K238" s="9" t="s">
        <v>1086</v>
      </c>
      <c r="L238" s="2"/>
      <c r="M238" s="2"/>
      <c r="N238" s="2"/>
    </row>
    <row r="239" spans="1:14" x14ac:dyDescent="0.45">
      <c r="A239" s="4" t="s">
        <v>287</v>
      </c>
      <c r="B239" s="4" t="s">
        <v>847</v>
      </c>
      <c r="C239" s="4" t="s">
        <v>129</v>
      </c>
      <c r="D239" s="4" t="b">
        <f>FALSE()</f>
        <v>0</v>
      </c>
      <c r="E239" s="5">
        <v>11</v>
      </c>
      <c r="F239" s="7">
        <f t="shared" si="3"/>
        <v>4.583333333333333E-2</v>
      </c>
      <c r="G239" s="5">
        <v>0</v>
      </c>
      <c r="H239" s="14">
        <v>44981</v>
      </c>
      <c r="I239" s="14">
        <v>45034</v>
      </c>
      <c r="J239" s="4" t="s">
        <v>853</v>
      </c>
      <c r="K239" s="4" t="s">
        <v>1087</v>
      </c>
      <c r="L239" s="2"/>
      <c r="M239" s="2"/>
      <c r="N239" s="2"/>
    </row>
    <row r="240" spans="1:14" x14ac:dyDescent="0.45">
      <c r="A240" s="9" t="s">
        <v>288</v>
      </c>
      <c r="B240" s="9" t="s">
        <v>847</v>
      </c>
      <c r="C240" s="9" t="s">
        <v>258</v>
      </c>
      <c r="D240" s="9" t="b">
        <f>TRUE()</f>
        <v>1</v>
      </c>
      <c r="E240" s="10">
        <v>221</v>
      </c>
      <c r="F240" s="12">
        <f t="shared" si="3"/>
        <v>0.92468619246861927</v>
      </c>
      <c r="G240" s="10">
        <v>36</v>
      </c>
      <c r="H240" s="15">
        <v>44978</v>
      </c>
      <c r="I240" s="15">
        <v>46293</v>
      </c>
      <c r="J240" s="9" t="s">
        <v>848</v>
      </c>
      <c r="K240" s="9" t="s">
        <v>1088</v>
      </c>
      <c r="L240" s="2"/>
      <c r="M240" s="2"/>
      <c r="N240" s="2"/>
    </row>
    <row r="241" spans="1:14" x14ac:dyDescent="0.45">
      <c r="A241" s="4" t="s">
        <v>288</v>
      </c>
      <c r="B241" s="4" t="s">
        <v>847</v>
      </c>
      <c r="C241" s="4" t="s">
        <v>129</v>
      </c>
      <c r="D241" s="4" t="b">
        <f>FALSE()</f>
        <v>0</v>
      </c>
      <c r="E241" s="5">
        <v>18</v>
      </c>
      <c r="F241" s="7">
        <f t="shared" si="3"/>
        <v>7.5313807531380755E-2</v>
      </c>
      <c r="G241" s="5">
        <v>0</v>
      </c>
      <c r="H241" s="14">
        <v>44987</v>
      </c>
      <c r="I241" s="14">
        <v>45048</v>
      </c>
      <c r="J241" s="4" t="s">
        <v>853</v>
      </c>
      <c r="K241" s="4" t="s">
        <v>1089</v>
      </c>
      <c r="L241" s="2"/>
      <c r="M241" s="2"/>
      <c r="N241" s="2"/>
    </row>
    <row r="242" spans="1:14" x14ac:dyDescent="0.45">
      <c r="A242" s="9" t="s">
        <v>289</v>
      </c>
      <c r="B242" s="9" t="s">
        <v>847</v>
      </c>
      <c r="C242" s="9" t="s">
        <v>258</v>
      </c>
      <c r="D242" s="9" t="b">
        <f>TRUE()</f>
        <v>1</v>
      </c>
      <c r="E242" s="10">
        <v>185</v>
      </c>
      <c r="F242" s="12">
        <f t="shared" si="3"/>
        <v>0.96354166666666663</v>
      </c>
      <c r="G242" s="10">
        <v>41</v>
      </c>
      <c r="H242" s="15">
        <v>45057</v>
      </c>
      <c r="I242" s="15">
        <v>46296</v>
      </c>
      <c r="J242" s="9" t="s">
        <v>848</v>
      </c>
      <c r="K242" s="9" t="s">
        <v>1090</v>
      </c>
      <c r="L242" s="2"/>
      <c r="M242" s="2"/>
      <c r="N242" s="2"/>
    </row>
    <row r="243" spans="1:14" x14ac:dyDescent="0.45">
      <c r="A243" s="4" t="s">
        <v>289</v>
      </c>
      <c r="B243" s="4" t="s">
        <v>847</v>
      </c>
      <c r="C243" s="4" t="s">
        <v>129</v>
      </c>
      <c r="D243" s="4" t="b">
        <f>FALSE()</f>
        <v>0</v>
      </c>
      <c r="E243" s="5">
        <v>7</v>
      </c>
      <c r="F243" s="7">
        <f t="shared" si="3"/>
        <v>3.6458333333333336E-2</v>
      </c>
      <c r="G243" s="5">
        <v>0</v>
      </c>
      <c r="H243" s="14">
        <v>44978</v>
      </c>
      <c r="I243" s="14">
        <v>45051</v>
      </c>
      <c r="J243" s="4" t="s">
        <v>853</v>
      </c>
      <c r="K243" s="4" t="s">
        <v>1091</v>
      </c>
      <c r="L243" s="2"/>
      <c r="M243" s="2"/>
      <c r="N243" s="2"/>
    </row>
    <row r="244" spans="1:14" x14ac:dyDescent="0.45">
      <c r="A244" s="9" t="s">
        <v>290</v>
      </c>
      <c r="B244" s="9" t="s">
        <v>847</v>
      </c>
      <c r="C244" s="9" t="s">
        <v>258</v>
      </c>
      <c r="D244" s="9" t="b">
        <f>TRUE()</f>
        <v>1</v>
      </c>
      <c r="E244" s="10">
        <v>133</v>
      </c>
      <c r="F244" s="12">
        <f t="shared" si="3"/>
        <v>0.73888888888888893</v>
      </c>
      <c r="G244" s="10">
        <v>25</v>
      </c>
      <c r="H244" s="15">
        <v>45215</v>
      </c>
      <c r="I244" s="15">
        <v>46140</v>
      </c>
      <c r="J244" s="9" t="s">
        <v>848</v>
      </c>
      <c r="K244" s="9" t="s">
        <v>1092</v>
      </c>
      <c r="L244" s="2"/>
      <c r="M244" s="2"/>
      <c r="N244" s="2"/>
    </row>
    <row r="245" spans="1:14" x14ac:dyDescent="0.45">
      <c r="A245" s="4" t="s">
        <v>290</v>
      </c>
      <c r="B245" s="4" t="s">
        <v>847</v>
      </c>
      <c r="C245" s="4" t="s">
        <v>809</v>
      </c>
      <c r="D245" s="4" t="b">
        <f>FALSE()</f>
        <v>0</v>
      </c>
      <c r="E245" s="5">
        <v>39</v>
      </c>
      <c r="F245" s="7">
        <f t="shared" si="3"/>
        <v>0.21666666666666667</v>
      </c>
      <c r="G245" s="5">
        <v>0</v>
      </c>
      <c r="H245" s="14">
        <v>44978</v>
      </c>
      <c r="I245" s="14">
        <v>45022</v>
      </c>
      <c r="J245" s="4" t="s">
        <v>850</v>
      </c>
      <c r="K245" s="4" t="s">
        <v>1093</v>
      </c>
      <c r="L245" s="2"/>
      <c r="M245" s="2"/>
      <c r="N245" s="2"/>
    </row>
    <row r="246" spans="1:14" x14ac:dyDescent="0.45">
      <c r="A246" s="4" t="s">
        <v>290</v>
      </c>
      <c r="B246" s="4" t="s">
        <v>847</v>
      </c>
      <c r="C246" s="4" t="s">
        <v>119</v>
      </c>
      <c r="D246" s="4" t="b">
        <f>FALSE()</f>
        <v>0</v>
      </c>
      <c r="E246" s="5">
        <v>8</v>
      </c>
      <c r="F246" s="7">
        <f t="shared" si="3"/>
        <v>4.4444444444444446E-2</v>
      </c>
      <c r="G246" s="5">
        <v>0</v>
      </c>
      <c r="H246" s="14">
        <v>44966</v>
      </c>
      <c r="I246" s="14">
        <v>44978</v>
      </c>
      <c r="J246" s="4" t="s">
        <v>853</v>
      </c>
      <c r="K246" s="4" t="s">
        <v>1094</v>
      </c>
      <c r="L246" s="2"/>
      <c r="M246" s="2"/>
      <c r="N246" s="2"/>
    </row>
    <row r="247" spans="1:14" x14ac:dyDescent="0.45">
      <c r="A247" s="9" t="s">
        <v>291</v>
      </c>
      <c r="B247" s="9" t="s">
        <v>847</v>
      </c>
      <c r="C247" s="9" t="s">
        <v>258</v>
      </c>
      <c r="D247" s="9" t="b">
        <f>TRUE()</f>
        <v>1</v>
      </c>
      <c r="E247" s="10">
        <v>171</v>
      </c>
      <c r="F247" s="12">
        <f t="shared" si="3"/>
        <v>0.95</v>
      </c>
      <c r="G247" s="10">
        <v>35</v>
      </c>
      <c r="H247" s="15">
        <v>45016</v>
      </c>
      <c r="I247" s="15">
        <v>46282</v>
      </c>
      <c r="J247" s="9" t="s">
        <v>848</v>
      </c>
      <c r="K247" s="9" t="s">
        <v>1095</v>
      </c>
      <c r="L247" s="2"/>
      <c r="M247" s="2"/>
      <c r="N247" s="2"/>
    </row>
    <row r="248" spans="1:14" x14ac:dyDescent="0.45">
      <c r="A248" s="4" t="s">
        <v>291</v>
      </c>
      <c r="B248" s="4" t="s">
        <v>847</v>
      </c>
      <c r="C248" s="4" t="s">
        <v>809</v>
      </c>
      <c r="D248" s="4" t="b">
        <f>FALSE()</f>
        <v>0</v>
      </c>
      <c r="E248" s="5">
        <v>9</v>
      </c>
      <c r="F248" s="7">
        <f t="shared" si="3"/>
        <v>0.05</v>
      </c>
      <c r="G248" s="5">
        <v>0</v>
      </c>
      <c r="H248" s="14">
        <v>44938</v>
      </c>
      <c r="I248" s="14">
        <v>45029</v>
      </c>
      <c r="J248" s="4" t="s">
        <v>850</v>
      </c>
      <c r="K248" s="4" t="s">
        <v>1096</v>
      </c>
      <c r="L248" s="2"/>
      <c r="M248" s="2"/>
      <c r="N248" s="2"/>
    </row>
    <row r="249" spans="1:14" x14ac:dyDescent="0.45">
      <c r="A249" s="9" t="s">
        <v>292</v>
      </c>
      <c r="B249" s="9" t="s">
        <v>847</v>
      </c>
      <c r="C249" s="9" t="s">
        <v>258</v>
      </c>
      <c r="D249" s="9" t="b">
        <f>TRUE()</f>
        <v>1</v>
      </c>
      <c r="E249" s="10">
        <v>169</v>
      </c>
      <c r="F249" s="12">
        <f t="shared" si="3"/>
        <v>0.98255813953488369</v>
      </c>
      <c r="G249" s="10">
        <v>53</v>
      </c>
      <c r="H249" s="15">
        <v>44971</v>
      </c>
      <c r="I249" s="15">
        <v>46294</v>
      </c>
      <c r="J249" s="9" t="s">
        <v>848</v>
      </c>
      <c r="K249" s="9" t="s">
        <v>1097</v>
      </c>
      <c r="L249" s="2"/>
      <c r="M249" s="2"/>
      <c r="N249" s="2"/>
    </row>
    <row r="250" spans="1:14" x14ac:dyDescent="0.45">
      <c r="A250" s="4" t="s">
        <v>292</v>
      </c>
      <c r="B250" s="4" t="s">
        <v>847</v>
      </c>
      <c r="C250" s="4" t="s">
        <v>809</v>
      </c>
      <c r="D250" s="4" t="b">
        <f>FALSE()</f>
        <v>0</v>
      </c>
      <c r="E250" s="5">
        <v>2</v>
      </c>
      <c r="F250" s="7">
        <f t="shared" si="3"/>
        <v>1.1627906976744186E-2</v>
      </c>
      <c r="G250" s="5">
        <v>0</v>
      </c>
      <c r="H250" s="14">
        <v>44970</v>
      </c>
      <c r="I250" s="14">
        <v>44988</v>
      </c>
      <c r="J250" s="4" t="s">
        <v>850</v>
      </c>
      <c r="K250" s="4" t="s">
        <v>1098</v>
      </c>
      <c r="L250" s="2"/>
      <c r="M250" s="2"/>
      <c r="N250" s="2"/>
    </row>
    <row r="251" spans="1:14" x14ac:dyDescent="0.45">
      <c r="A251" s="4" t="s">
        <v>292</v>
      </c>
      <c r="B251" s="4" t="s">
        <v>847</v>
      </c>
      <c r="C251" s="4" t="s">
        <v>119</v>
      </c>
      <c r="D251" s="4" t="b">
        <f>FALSE()</f>
        <v>0</v>
      </c>
      <c r="E251" s="5">
        <v>1</v>
      </c>
      <c r="F251" s="7">
        <f t="shared" si="3"/>
        <v>5.8139534883720929E-3</v>
      </c>
      <c r="G251" s="5">
        <v>0</v>
      </c>
      <c r="H251" s="14">
        <v>44951</v>
      </c>
      <c r="I251" s="14">
        <v>44951</v>
      </c>
      <c r="J251" s="4" t="s">
        <v>853</v>
      </c>
      <c r="K251" s="4" t="s">
        <v>1099</v>
      </c>
      <c r="L251" s="2"/>
      <c r="M251" s="2"/>
      <c r="N251" s="2"/>
    </row>
    <row r="252" spans="1:14" x14ac:dyDescent="0.45">
      <c r="A252" s="9" t="s">
        <v>293</v>
      </c>
      <c r="B252" s="9" t="s">
        <v>847</v>
      </c>
      <c r="C252" s="9" t="s">
        <v>258</v>
      </c>
      <c r="D252" s="9" t="b">
        <f>TRUE()</f>
        <v>1</v>
      </c>
      <c r="E252" s="10">
        <v>168</v>
      </c>
      <c r="F252" s="12">
        <f t="shared" si="3"/>
        <v>0.97674418604651159</v>
      </c>
      <c r="G252" s="10">
        <v>30</v>
      </c>
      <c r="H252" s="15">
        <v>45056</v>
      </c>
      <c r="I252" s="15">
        <v>46280</v>
      </c>
      <c r="J252" s="9" t="s">
        <v>848</v>
      </c>
      <c r="K252" s="9" t="s">
        <v>1100</v>
      </c>
      <c r="L252" s="2"/>
      <c r="M252" s="2"/>
      <c r="N252" s="2"/>
    </row>
    <row r="253" spans="1:14" x14ac:dyDescent="0.45">
      <c r="A253" s="4" t="s">
        <v>293</v>
      </c>
      <c r="B253" s="4" t="s">
        <v>847</v>
      </c>
      <c r="C253" s="4" t="s">
        <v>129</v>
      </c>
      <c r="D253" s="4" t="b">
        <f>FALSE()</f>
        <v>0</v>
      </c>
      <c r="E253" s="5">
        <v>4</v>
      </c>
      <c r="F253" s="7">
        <f t="shared" si="3"/>
        <v>2.3255813953488372E-2</v>
      </c>
      <c r="G253" s="5">
        <v>0</v>
      </c>
      <c r="H253" s="14">
        <v>45027</v>
      </c>
      <c r="I253" s="14">
        <v>45054</v>
      </c>
      <c r="J253" s="4" t="s">
        <v>853</v>
      </c>
      <c r="K253" s="4" t="s">
        <v>1101</v>
      </c>
      <c r="L253" s="2"/>
      <c r="M253" s="2"/>
      <c r="N253" s="2"/>
    </row>
    <row r="254" spans="1:14" x14ac:dyDescent="0.45">
      <c r="A254" s="9" t="s">
        <v>294</v>
      </c>
      <c r="B254" s="9" t="s">
        <v>847</v>
      </c>
      <c r="C254" s="9" t="s">
        <v>258</v>
      </c>
      <c r="D254" s="9" t="b">
        <f>TRUE()</f>
        <v>1</v>
      </c>
      <c r="E254" s="10">
        <v>162</v>
      </c>
      <c r="F254" s="12">
        <f t="shared" si="3"/>
        <v>0.95294117647058818</v>
      </c>
      <c r="G254" s="10">
        <v>24</v>
      </c>
      <c r="H254" s="15">
        <v>45056</v>
      </c>
      <c r="I254" s="15">
        <v>46284</v>
      </c>
      <c r="J254" s="9" t="s">
        <v>848</v>
      </c>
      <c r="K254" s="9" t="s">
        <v>1102</v>
      </c>
      <c r="L254" s="2"/>
      <c r="M254" s="2"/>
      <c r="N254" s="2"/>
    </row>
    <row r="255" spans="1:14" x14ac:dyDescent="0.45">
      <c r="A255" s="4" t="s">
        <v>294</v>
      </c>
      <c r="B255" s="4" t="s">
        <v>847</v>
      </c>
      <c r="C255" s="4" t="s">
        <v>129</v>
      </c>
      <c r="D255" s="4" t="b">
        <f>FALSE()</f>
        <v>0</v>
      </c>
      <c r="E255" s="5">
        <v>8</v>
      </c>
      <c r="F255" s="7">
        <f t="shared" si="3"/>
        <v>4.7058823529411764E-2</v>
      </c>
      <c r="G255" s="5">
        <v>0</v>
      </c>
      <c r="H255" s="14">
        <v>44996</v>
      </c>
      <c r="I255" s="14">
        <v>45040</v>
      </c>
      <c r="J255" s="4" t="s">
        <v>853</v>
      </c>
      <c r="K255" s="4" t="s">
        <v>1103</v>
      </c>
      <c r="L255" s="2"/>
      <c r="M255" s="2"/>
      <c r="N255" s="2"/>
    </row>
    <row r="256" spans="1:14" x14ac:dyDescent="0.45">
      <c r="A256" s="9" t="s">
        <v>295</v>
      </c>
      <c r="B256" s="9" t="s">
        <v>847</v>
      </c>
      <c r="C256" s="9" t="s">
        <v>258</v>
      </c>
      <c r="D256" s="9" t="b">
        <f>TRUE()</f>
        <v>1</v>
      </c>
      <c r="E256" s="10">
        <v>129</v>
      </c>
      <c r="F256" s="12">
        <f t="shared" si="3"/>
        <v>0.89583333333333337</v>
      </c>
      <c r="G256" s="10">
        <v>0</v>
      </c>
      <c r="H256" s="15">
        <v>45052</v>
      </c>
      <c r="I256" s="15">
        <v>45863</v>
      </c>
      <c r="J256" s="9" t="s">
        <v>848</v>
      </c>
      <c r="K256" s="9" t="s">
        <v>1104</v>
      </c>
      <c r="L256" s="2"/>
      <c r="M256" s="2"/>
      <c r="N256" s="2"/>
    </row>
    <row r="257" spans="1:14" x14ac:dyDescent="0.45">
      <c r="A257" s="4" t="s">
        <v>295</v>
      </c>
      <c r="B257" s="4" t="s">
        <v>847</v>
      </c>
      <c r="C257" s="4" t="s">
        <v>129</v>
      </c>
      <c r="D257" s="4" t="b">
        <f>FALSE()</f>
        <v>0</v>
      </c>
      <c r="E257" s="5">
        <v>15</v>
      </c>
      <c r="F257" s="7">
        <f t="shared" si="3"/>
        <v>0.10416666666666667</v>
      </c>
      <c r="G257" s="5">
        <v>0</v>
      </c>
      <c r="H257" s="14">
        <v>44987</v>
      </c>
      <c r="I257" s="14">
        <v>45055</v>
      </c>
      <c r="J257" s="4" t="s">
        <v>853</v>
      </c>
      <c r="K257" s="4" t="s">
        <v>1105</v>
      </c>
      <c r="L257" s="2"/>
      <c r="M257" s="2"/>
      <c r="N257" s="2"/>
    </row>
    <row r="258" spans="1:14" x14ac:dyDescent="0.45">
      <c r="A258" s="9" t="s">
        <v>298</v>
      </c>
      <c r="B258" s="9" t="s">
        <v>847</v>
      </c>
      <c r="C258" s="9" t="s">
        <v>258</v>
      </c>
      <c r="D258" s="9" t="b">
        <f>TRUE()</f>
        <v>1</v>
      </c>
      <c r="E258" s="10">
        <v>111</v>
      </c>
      <c r="F258" s="12">
        <f t="shared" ref="F258:F321" si="4">E258/SUMIFS($E$2:$E$783,$A$2:$A$783,A258)</f>
        <v>0.9910714285714286</v>
      </c>
      <c r="G258" s="10">
        <v>39</v>
      </c>
      <c r="H258" s="15">
        <v>45056</v>
      </c>
      <c r="I258" s="15">
        <v>46296</v>
      </c>
      <c r="J258" s="9" t="s">
        <v>848</v>
      </c>
      <c r="K258" s="9" t="s">
        <v>1106</v>
      </c>
      <c r="L258" s="2"/>
      <c r="M258" s="2"/>
      <c r="N258" s="2"/>
    </row>
    <row r="259" spans="1:14" x14ac:dyDescent="0.45">
      <c r="A259" s="4" t="s">
        <v>298</v>
      </c>
      <c r="B259" s="4" t="s">
        <v>847</v>
      </c>
      <c r="C259" s="4" t="s">
        <v>129</v>
      </c>
      <c r="D259" s="4" t="b">
        <f>FALSE()</f>
        <v>0</v>
      </c>
      <c r="E259" s="5">
        <v>1</v>
      </c>
      <c r="F259" s="7">
        <f t="shared" si="4"/>
        <v>8.9285714285714281E-3</v>
      </c>
      <c r="G259" s="5">
        <v>0</v>
      </c>
      <c r="H259" s="14">
        <v>44975</v>
      </c>
      <c r="I259" s="14">
        <v>44975</v>
      </c>
      <c r="J259" s="4" t="s">
        <v>853</v>
      </c>
      <c r="K259" s="4" t="s">
        <v>1107</v>
      </c>
      <c r="L259" s="2"/>
      <c r="M259" s="2"/>
      <c r="N259" s="2"/>
    </row>
    <row r="260" spans="1:14" x14ac:dyDescent="0.45">
      <c r="A260" s="9" t="s">
        <v>299</v>
      </c>
      <c r="B260" s="9" t="s">
        <v>847</v>
      </c>
      <c r="C260" s="9" t="s">
        <v>258</v>
      </c>
      <c r="D260" s="9" t="b">
        <f>TRUE()</f>
        <v>1</v>
      </c>
      <c r="E260" s="10">
        <v>107</v>
      </c>
      <c r="F260" s="12">
        <f t="shared" si="4"/>
        <v>0.963963963963964</v>
      </c>
      <c r="G260" s="10">
        <v>38</v>
      </c>
      <c r="H260" s="15">
        <v>45040</v>
      </c>
      <c r="I260" s="15">
        <v>46287</v>
      </c>
      <c r="J260" s="9" t="s">
        <v>848</v>
      </c>
      <c r="K260" s="9" t="s">
        <v>1108</v>
      </c>
      <c r="L260" s="2"/>
      <c r="M260" s="2"/>
      <c r="N260" s="2"/>
    </row>
    <row r="261" spans="1:14" x14ac:dyDescent="0.45">
      <c r="A261" s="4" t="s">
        <v>299</v>
      </c>
      <c r="B261" s="4" t="s">
        <v>847</v>
      </c>
      <c r="C261" s="4" t="s">
        <v>809</v>
      </c>
      <c r="D261" s="4" t="b">
        <f>FALSE()</f>
        <v>0</v>
      </c>
      <c r="E261" s="5">
        <v>4</v>
      </c>
      <c r="F261" s="7">
        <f t="shared" si="4"/>
        <v>3.6036036036036036E-2</v>
      </c>
      <c r="G261" s="5">
        <v>0</v>
      </c>
      <c r="H261" s="14">
        <v>44937</v>
      </c>
      <c r="I261" s="14">
        <v>45022</v>
      </c>
      <c r="J261" s="4" t="s">
        <v>850</v>
      </c>
      <c r="K261" s="4" t="s">
        <v>1109</v>
      </c>
      <c r="L261" s="2"/>
      <c r="M261" s="2"/>
      <c r="N261" s="2"/>
    </row>
    <row r="262" spans="1:14" x14ac:dyDescent="0.45">
      <c r="A262" s="9" t="s">
        <v>301</v>
      </c>
      <c r="B262" s="9" t="s">
        <v>847</v>
      </c>
      <c r="C262" s="9" t="s">
        <v>258</v>
      </c>
      <c r="D262" s="9" t="b">
        <f>TRUE()</f>
        <v>1</v>
      </c>
      <c r="E262" s="10">
        <v>76</v>
      </c>
      <c r="F262" s="12">
        <f t="shared" si="4"/>
        <v>0.88372093023255816</v>
      </c>
      <c r="G262" s="10">
        <v>14</v>
      </c>
      <c r="H262" s="15">
        <v>45056</v>
      </c>
      <c r="I262" s="15">
        <v>46257</v>
      </c>
      <c r="J262" s="9" t="s">
        <v>848</v>
      </c>
      <c r="K262" s="9" t="s">
        <v>1110</v>
      </c>
      <c r="L262" s="2"/>
      <c r="M262" s="2"/>
      <c r="N262" s="2"/>
    </row>
    <row r="263" spans="1:14" x14ac:dyDescent="0.45">
      <c r="A263" s="4" t="s">
        <v>301</v>
      </c>
      <c r="B263" s="4" t="s">
        <v>847</v>
      </c>
      <c r="C263" s="4" t="s">
        <v>119</v>
      </c>
      <c r="D263" s="4" t="b">
        <f>FALSE()</f>
        <v>0</v>
      </c>
      <c r="E263" s="5">
        <v>10</v>
      </c>
      <c r="F263" s="7">
        <f t="shared" si="4"/>
        <v>0.11627906976744186</v>
      </c>
      <c r="G263" s="5">
        <v>0</v>
      </c>
      <c r="H263" s="14">
        <v>44955</v>
      </c>
      <c r="I263" s="14">
        <v>45039</v>
      </c>
      <c r="J263" s="4" t="s">
        <v>853</v>
      </c>
      <c r="K263" s="4" t="s">
        <v>1111</v>
      </c>
      <c r="L263" s="2"/>
      <c r="M263" s="2"/>
      <c r="N263" s="2"/>
    </row>
    <row r="264" spans="1:14" x14ac:dyDescent="0.45">
      <c r="A264" s="9" t="s">
        <v>303</v>
      </c>
      <c r="B264" s="9" t="s">
        <v>847</v>
      </c>
      <c r="C264" s="9" t="s">
        <v>258</v>
      </c>
      <c r="D264" s="9" t="b">
        <f>TRUE()</f>
        <v>1</v>
      </c>
      <c r="E264" s="10">
        <v>76</v>
      </c>
      <c r="F264" s="12">
        <f t="shared" si="4"/>
        <v>0.91566265060240959</v>
      </c>
      <c r="G264" s="10">
        <v>3</v>
      </c>
      <c r="H264" s="15">
        <v>45013</v>
      </c>
      <c r="I264" s="15">
        <v>46079</v>
      </c>
      <c r="J264" s="9" t="s">
        <v>848</v>
      </c>
      <c r="K264" s="9" t="s">
        <v>1112</v>
      </c>
      <c r="L264" s="2"/>
      <c r="M264" s="2"/>
      <c r="N264" s="2"/>
    </row>
    <row r="265" spans="1:14" x14ac:dyDescent="0.45">
      <c r="A265" s="4" t="s">
        <v>303</v>
      </c>
      <c r="B265" s="4" t="s">
        <v>847</v>
      </c>
      <c r="C265" s="4" t="s">
        <v>809</v>
      </c>
      <c r="D265" s="4" t="b">
        <f>FALSE()</f>
        <v>0</v>
      </c>
      <c r="E265" s="5">
        <v>7</v>
      </c>
      <c r="F265" s="7">
        <f t="shared" si="4"/>
        <v>8.4337349397590355E-2</v>
      </c>
      <c r="G265" s="5">
        <v>0</v>
      </c>
      <c r="H265" s="14">
        <v>44986</v>
      </c>
      <c r="I265" s="14">
        <v>45021</v>
      </c>
      <c r="J265" s="4" t="s">
        <v>850</v>
      </c>
      <c r="K265" s="4" t="s">
        <v>1113</v>
      </c>
      <c r="L265" s="2"/>
      <c r="M265" s="2"/>
      <c r="N265" s="2"/>
    </row>
    <row r="266" spans="1:14" x14ac:dyDescent="0.45">
      <c r="A266" s="9" t="s">
        <v>304</v>
      </c>
      <c r="B266" s="9" t="s">
        <v>847</v>
      </c>
      <c r="C266" s="9" t="s">
        <v>258</v>
      </c>
      <c r="D266" s="9" t="b">
        <f>TRUE()</f>
        <v>1</v>
      </c>
      <c r="E266" s="10">
        <v>57</v>
      </c>
      <c r="F266" s="12">
        <f t="shared" si="4"/>
        <v>0.96610169491525422</v>
      </c>
      <c r="G266" s="10">
        <v>16</v>
      </c>
      <c r="H266" s="15">
        <v>45049</v>
      </c>
      <c r="I266" s="15">
        <v>46293</v>
      </c>
      <c r="J266" s="9" t="s">
        <v>848</v>
      </c>
      <c r="K266" s="9" t="s">
        <v>1114</v>
      </c>
      <c r="L266" s="2"/>
      <c r="M266" s="2"/>
      <c r="N266" s="2"/>
    </row>
    <row r="267" spans="1:14" x14ac:dyDescent="0.45">
      <c r="A267" s="4" t="s">
        <v>304</v>
      </c>
      <c r="B267" s="4" t="s">
        <v>847</v>
      </c>
      <c r="C267" s="4" t="s">
        <v>129</v>
      </c>
      <c r="D267" s="4" t="b">
        <f>FALSE()</f>
        <v>0</v>
      </c>
      <c r="E267" s="5">
        <v>2</v>
      </c>
      <c r="F267" s="7">
        <f t="shared" si="4"/>
        <v>3.3898305084745763E-2</v>
      </c>
      <c r="G267" s="5">
        <v>0</v>
      </c>
      <c r="H267" s="14">
        <v>45034</v>
      </c>
      <c r="I267" s="14">
        <v>45048</v>
      </c>
      <c r="J267" s="4" t="s">
        <v>853</v>
      </c>
      <c r="K267" s="4" t="s">
        <v>1115</v>
      </c>
      <c r="L267" s="2"/>
      <c r="M267" s="2"/>
      <c r="N267" s="2"/>
    </row>
    <row r="268" spans="1:14" x14ac:dyDescent="0.45">
      <c r="A268" s="9" t="s">
        <v>305</v>
      </c>
      <c r="B268" s="9" t="s">
        <v>847</v>
      </c>
      <c r="C268" s="9" t="s">
        <v>258</v>
      </c>
      <c r="D268" s="9" t="b">
        <f>TRUE()</f>
        <v>1</v>
      </c>
      <c r="E268" s="10">
        <v>47</v>
      </c>
      <c r="F268" s="12">
        <f t="shared" si="4"/>
        <v>0.95918367346938771</v>
      </c>
      <c r="G268" s="10">
        <v>18</v>
      </c>
      <c r="H268" s="15">
        <v>45066</v>
      </c>
      <c r="I268" s="15">
        <v>46275</v>
      </c>
      <c r="J268" s="9" t="s">
        <v>848</v>
      </c>
      <c r="K268" s="9" t="s">
        <v>1116</v>
      </c>
      <c r="L268" s="2"/>
      <c r="M268" s="2"/>
      <c r="N268" s="2"/>
    </row>
    <row r="269" spans="1:14" x14ac:dyDescent="0.45">
      <c r="A269" s="4" t="s">
        <v>305</v>
      </c>
      <c r="B269" s="4" t="s">
        <v>847</v>
      </c>
      <c r="C269" s="4" t="s">
        <v>129</v>
      </c>
      <c r="D269" s="4" t="b">
        <f>FALSE()</f>
        <v>0</v>
      </c>
      <c r="E269" s="5">
        <v>2</v>
      </c>
      <c r="F269" s="7">
        <f t="shared" si="4"/>
        <v>4.0816326530612242E-2</v>
      </c>
      <c r="G269" s="5">
        <v>0</v>
      </c>
      <c r="H269" s="14">
        <v>44991</v>
      </c>
      <c r="I269" s="14">
        <v>45047</v>
      </c>
      <c r="J269" s="4" t="s">
        <v>853</v>
      </c>
      <c r="K269" s="4" t="s">
        <v>1117</v>
      </c>
      <c r="L269" s="2"/>
      <c r="M269" s="2"/>
      <c r="N269" s="2"/>
    </row>
    <row r="270" spans="1:14" x14ac:dyDescent="0.45">
      <c r="A270" s="9" t="s">
        <v>306</v>
      </c>
      <c r="B270" s="9" t="s">
        <v>847</v>
      </c>
      <c r="C270" s="9" t="s">
        <v>258</v>
      </c>
      <c r="D270" s="9" t="b">
        <f>TRUE()</f>
        <v>1</v>
      </c>
      <c r="E270" s="10">
        <v>38</v>
      </c>
      <c r="F270" s="12">
        <f t="shared" si="4"/>
        <v>0.92682926829268297</v>
      </c>
      <c r="G270" s="10">
        <v>10</v>
      </c>
      <c r="H270" s="15">
        <v>45079</v>
      </c>
      <c r="I270" s="15">
        <v>46252</v>
      </c>
      <c r="J270" s="9" t="s">
        <v>848</v>
      </c>
      <c r="K270" s="9" t="s">
        <v>1118</v>
      </c>
      <c r="L270" s="2"/>
      <c r="M270" s="2"/>
      <c r="N270" s="2"/>
    </row>
    <row r="271" spans="1:14" x14ac:dyDescent="0.45">
      <c r="A271" s="4" t="s">
        <v>306</v>
      </c>
      <c r="B271" s="4" t="s">
        <v>847</v>
      </c>
      <c r="C271" s="4" t="s">
        <v>809</v>
      </c>
      <c r="D271" s="4" t="b">
        <f>FALSE()</f>
        <v>0</v>
      </c>
      <c r="E271" s="5">
        <v>3</v>
      </c>
      <c r="F271" s="7">
        <f t="shared" si="4"/>
        <v>7.3170731707317069E-2</v>
      </c>
      <c r="G271" s="5">
        <v>0</v>
      </c>
      <c r="H271" s="14">
        <v>45008</v>
      </c>
      <c r="I271" s="14">
        <v>45043</v>
      </c>
      <c r="J271" s="4" t="s">
        <v>850</v>
      </c>
      <c r="K271" s="4" t="s">
        <v>1119</v>
      </c>
      <c r="L271" s="2"/>
      <c r="M271" s="2"/>
      <c r="N271" s="2"/>
    </row>
    <row r="272" spans="1:14" x14ac:dyDescent="0.45">
      <c r="A272" s="9" t="s">
        <v>307</v>
      </c>
      <c r="B272" s="9" t="s">
        <v>847</v>
      </c>
      <c r="C272" s="9" t="s">
        <v>258</v>
      </c>
      <c r="D272" s="9" t="b">
        <f>TRUE()</f>
        <v>1</v>
      </c>
      <c r="E272" s="10">
        <v>27</v>
      </c>
      <c r="F272" s="12">
        <f t="shared" si="4"/>
        <v>0.9642857142857143</v>
      </c>
      <c r="G272" s="10">
        <v>0</v>
      </c>
      <c r="H272" s="15">
        <v>45280</v>
      </c>
      <c r="I272" s="15">
        <v>45948</v>
      </c>
      <c r="J272" s="9" t="s">
        <v>848</v>
      </c>
      <c r="K272" s="9" t="s">
        <v>1120</v>
      </c>
      <c r="L272" s="2"/>
      <c r="M272" s="2"/>
      <c r="N272" s="2"/>
    </row>
    <row r="273" spans="1:14" x14ac:dyDescent="0.45">
      <c r="A273" s="4" t="s">
        <v>307</v>
      </c>
      <c r="B273" s="4" t="s">
        <v>847</v>
      </c>
      <c r="C273" s="4" t="s">
        <v>809</v>
      </c>
      <c r="D273" s="4" t="b">
        <f>FALSE()</f>
        <v>0</v>
      </c>
      <c r="E273" s="5">
        <v>1</v>
      </c>
      <c r="F273" s="7">
        <f t="shared" si="4"/>
        <v>3.5714285714285712E-2</v>
      </c>
      <c r="G273" s="5">
        <v>0</v>
      </c>
      <c r="H273" s="14">
        <v>44983</v>
      </c>
      <c r="I273" s="14">
        <v>44983</v>
      </c>
      <c r="J273" s="4" t="s">
        <v>850</v>
      </c>
      <c r="K273" s="4" t="s">
        <v>1121</v>
      </c>
      <c r="L273" s="2"/>
      <c r="M273" s="2"/>
      <c r="N273" s="2"/>
    </row>
    <row r="274" spans="1:14" x14ac:dyDescent="0.45">
      <c r="A274" s="9" t="s">
        <v>336</v>
      </c>
      <c r="B274" s="9" t="s">
        <v>847</v>
      </c>
      <c r="C274" s="9" t="s">
        <v>337</v>
      </c>
      <c r="D274" s="9" t="b">
        <f>TRUE()</f>
        <v>1</v>
      </c>
      <c r="E274" s="10">
        <v>275</v>
      </c>
      <c r="F274" s="12">
        <f t="shared" si="4"/>
        <v>0.8928571428571429</v>
      </c>
      <c r="G274" s="10">
        <v>0</v>
      </c>
      <c r="H274" s="15">
        <v>45051</v>
      </c>
      <c r="I274" s="15">
        <v>45650</v>
      </c>
      <c r="J274" s="9" t="s">
        <v>848</v>
      </c>
      <c r="K274" s="9" t="s">
        <v>1122</v>
      </c>
      <c r="L274" s="2"/>
      <c r="M274" s="2"/>
      <c r="N274" s="2"/>
    </row>
    <row r="275" spans="1:14" x14ac:dyDescent="0.45">
      <c r="A275" s="4" t="s">
        <v>336</v>
      </c>
      <c r="B275" s="4" t="s">
        <v>847</v>
      </c>
      <c r="C275" s="4" t="s">
        <v>816</v>
      </c>
      <c r="D275" s="4" t="b">
        <f>FALSE()</f>
        <v>0</v>
      </c>
      <c r="E275" s="5">
        <v>33</v>
      </c>
      <c r="F275" s="7">
        <f t="shared" si="4"/>
        <v>0.10714285714285714</v>
      </c>
      <c r="G275" s="5">
        <v>0</v>
      </c>
      <c r="H275" s="14">
        <v>44933</v>
      </c>
      <c r="I275" s="14">
        <v>45048</v>
      </c>
      <c r="J275" s="4" t="s">
        <v>853</v>
      </c>
      <c r="K275" s="4" t="s">
        <v>1123</v>
      </c>
      <c r="L275" s="2"/>
      <c r="M275" s="2"/>
      <c r="N275" s="2"/>
    </row>
    <row r="276" spans="1:14" x14ac:dyDescent="0.45">
      <c r="A276" s="9" t="s">
        <v>338</v>
      </c>
      <c r="B276" s="9" t="s">
        <v>847</v>
      </c>
      <c r="C276" s="9" t="s">
        <v>337</v>
      </c>
      <c r="D276" s="9" t="b">
        <f>TRUE()</f>
        <v>1</v>
      </c>
      <c r="E276" s="10">
        <v>223</v>
      </c>
      <c r="F276" s="12">
        <f t="shared" si="4"/>
        <v>0.88142292490118579</v>
      </c>
      <c r="G276" s="10">
        <v>0</v>
      </c>
      <c r="H276" s="15">
        <v>45048</v>
      </c>
      <c r="I276" s="15">
        <v>45609</v>
      </c>
      <c r="J276" s="9" t="s">
        <v>848</v>
      </c>
      <c r="K276" s="9" t="s">
        <v>1124</v>
      </c>
      <c r="L276" s="2"/>
      <c r="M276" s="2"/>
      <c r="N276" s="2"/>
    </row>
    <row r="277" spans="1:14" x14ac:dyDescent="0.45">
      <c r="A277" s="4" t="s">
        <v>338</v>
      </c>
      <c r="B277" s="4" t="s">
        <v>847</v>
      </c>
      <c r="C277" s="4" t="s">
        <v>816</v>
      </c>
      <c r="D277" s="4" t="b">
        <f>FALSE()</f>
        <v>0</v>
      </c>
      <c r="E277" s="5">
        <v>30</v>
      </c>
      <c r="F277" s="7">
        <f t="shared" si="4"/>
        <v>0.11857707509881422</v>
      </c>
      <c r="G277" s="5">
        <v>0</v>
      </c>
      <c r="H277" s="14">
        <v>44936</v>
      </c>
      <c r="I277" s="14">
        <v>45049</v>
      </c>
      <c r="J277" s="4" t="s">
        <v>853</v>
      </c>
      <c r="K277" s="4" t="s">
        <v>1125</v>
      </c>
      <c r="L277" s="2"/>
      <c r="M277" s="2"/>
      <c r="N277" s="2"/>
    </row>
    <row r="278" spans="1:14" x14ac:dyDescent="0.45">
      <c r="A278" s="9" t="s">
        <v>340</v>
      </c>
      <c r="B278" s="9" t="s">
        <v>847</v>
      </c>
      <c r="C278" s="9" t="s">
        <v>337</v>
      </c>
      <c r="D278" s="9" t="b">
        <f>TRUE()</f>
        <v>1</v>
      </c>
      <c r="E278" s="10">
        <v>12</v>
      </c>
      <c r="F278" s="12">
        <f t="shared" si="4"/>
        <v>0.5714285714285714</v>
      </c>
      <c r="G278" s="10">
        <v>0</v>
      </c>
      <c r="H278" s="15">
        <v>45058</v>
      </c>
      <c r="I278" s="15">
        <v>45169</v>
      </c>
      <c r="J278" s="9" t="s">
        <v>848</v>
      </c>
      <c r="K278" s="9" t="s">
        <v>1126</v>
      </c>
      <c r="L278" s="2"/>
      <c r="M278" s="2"/>
      <c r="N278" s="2"/>
    </row>
    <row r="279" spans="1:14" x14ac:dyDescent="0.45">
      <c r="A279" s="4" t="s">
        <v>340</v>
      </c>
      <c r="B279" s="4" t="s">
        <v>847</v>
      </c>
      <c r="C279" s="4" t="s">
        <v>816</v>
      </c>
      <c r="D279" s="4" t="b">
        <f>FALSE()</f>
        <v>0</v>
      </c>
      <c r="E279" s="5">
        <v>9</v>
      </c>
      <c r="F279" s="7">
        <f t="shared" si="4"/>
        <v>0.42857142857142855</v>
      </c>
      <c r="G279" s="5">
        <v>0</v>
      </c>
      <c r="H279" s="14">
        <v>44959</v>
      </c>
      <c r="I279" s="14">
        <v>45041</v>
      </c>
      <c r="J279" s="4" t="s">
        <v>853</v>
      </c>
      <c r="K279" s="4" t="s">
        <v>1127</v>
      </c>
      <c r="L279" s="2"/>
      <c r="M279" s="2"/>
      <c r="N279" s="2"/>
    </row>
    <row r="280" spans="1:14" x14ac:dyDescent="0.45">
      <c r="A280" s="9" t="s">
        <v>350</v>
      </c>
      <c r="B280" s="9" t="s">
        <v>1128</v>
      </c>
      <c r="C280" s="9" t="s">
        <v>349</v>
      </c>
      <c r="D280" s="9" t="b">
        <f>TRUE()</f>
        <v>1</v>
      </c>
      <c r="E280" s="10">
        <v>946</v>
      </c>
      <c r="F280" s="12">
        <f t="shared" si="4"/>
        <v>0.99057591623036645</v>
      </c>
      <c r="G280" s="10">
        <v>263</v>
      </c>
      <c r="H280" s="15">
        <v>45034</v>
      </c>
      <c r="I280" s="15">
        <v>46293</v>
      </c>
      <c r="J280" s="9" t="s">
        <v>848</v>
      </c>
      <c r="K280" s="9" t="s">
        <v>1129</v>
      </c>
      <c r="L280" s="2"/>
      <c r="M280" s="2"/>
      <c r="N280" s="2"/>
    </row>
    <row r="281" spans="1:14" x14ac:dyDescent="0.45">
      <c r="A281" s="4" t="s">
        <v>350</v>
      </c>
      <c r="B281" s="4" t="s">
        <v>1128</v>
      </c>
      <c r="C281" s="4" t="s">
        <v>433</v>
      </c>
      <c r="D281" s="4" t="b">
        <f>FALSE()</f>
        <v>0</v>
      </c>
      <c r="E281" s="5">
        <v>9</v>
      </c>
      <c r="F281" s="7">
        <f t="shared" si="4"/>
        <v>9.4240837696335077E-3</v>
      </c>
      <c r="G281" s="5">
        <v>0</v>
      </c>
      <c r="H281" s="14">
        <v>45089</v>
      </c>
      <c r="I281" s="14">
        <v>45229</v>
      </c>
      <c r="J281" s="4" t="s">
        <v>861</v>
      </c>
      <c r="K281" s="4" t="s">
        <v>1130</v>
      </c>
      <c r="L281" s="2"/>
      <c r="M281" s="2"/>
      <c r="N281" s="2"/>
    </row>
    <row r="282" spans="1:14" x14ac:dyDescent="0.45">
      <c r="A282" s="9" t="s">
        <v>351</v>
      </c>
      <c r="B282" s="9" t="s">
        <v>1128</v>
      </c>
      <c r="C282" s="9" t="s">
        <v>349</v>
      </c>
      <c r="D282" s="9" t="b">
        <f>TRUE()</f>
        <v>1</v>
      </c>
      <c r="E282" s="10">
        <v>432</v>
      </c>
      <c r="F282" s="12">
        <f t="shared" si="4"/>
        <v>0.99769053117782913</v>
      </c>
      <c r="G282" s="10">
        <v>126</v>
      </c>
      <c r="H282" s="15">
        <v>45051</v>
      </c>
      <c r="I282" s="15">
        <v>46296</v>
      </c>
      <c r="J282" s="9" t="s">
        <v>848</v>
      </c>
      <c r="K282" s="9" t="s">
        <v>1084</v>
      </c>
      <c r="L282" s="2"/>
      <c r="M282" s="2"/>
      <c r="N282" s="2"/>
    </row>
    <row r="283" spans="1:14" x14ac:dyDescent="0.45">
      <c r="A283" s="4" t="s">
        <v>351</v>
      </c>
      <c r="B283" s="4" t="s">
        <v>1128</v>
      </c>
      <c r="C283" s="4" t="s">
        <v>433</v>
      </c>
      <c r="D283" s="4" t="b">
        <f>FALSE()</f>
        <v>0</v>
      </c>
      <c r="E283" s="5">
        <v>1</v>
      </c>
      <c r="F283" s="7">
        <f t="shared" si="4"/>
        <v>2.3094688221709007E-3</v>
      </c>
      <c r="G283" s="5">
        <v>0</v>
      </c>
      <c r="H283" s="14">
        <v>45217</v>
      </c>
      <c r="I283" s="14">
        <v>45217</v>
      </c>
      <c r="J283" s="4" t="s">
        <v>861</v>
      </c>
      <c r="K283" s="4" t="s">
        <v>1131</v>
      </c>
      <c r="L283" s="2"/>
      <c r="M283" s="2"/>
      <c r="N283" s="2"/>
    </row>
    <row r="284" spans="1:14" x14ac:dyDescent="0.45">
      <c r="A284" s="9" t="s">
        <v>353</v>
      </c>
      <c r="B284" s="9" t="s">
        <v>847</v>
      </c>
      <c r="C284" s="9" t="s">
        <v>349</v>
      </c>
      <c r="D284" s="9" t="b">
        <f>TRUE()</f>
        <v>1</v>
      </c>
      <c r="E284" s="10">
        <v>266</v>
      </c>
      <c r="F284" s="12">
        <f t="shared" si="4"/>
        <v>0.91724137931034477</v>
      </c>
      <c r="G284" s="10">
        <v>0</v>
      </c>
      <c r="H284" s="15">
        <v>45021</v>
      </c>
      <c r="I284" s="15">
        <v>45630</v>
      </c>
      <c r="J284" s="9" t="s">
        <v>848</v>
      </c>
      <c r="K284" s="9" t="s">
        <v>1132</v>
      </c>
      <c r="L284" s="2"/>
      <c r="M284" s="2"/>
      <c r="N284" s="2"/>
    </row>
    <row r="285" spans="1:14" x14ac:dyDescent="0.45">
      <c r="A285" s="4" t="s">
        <v>353</v>
      </c>
      <c r="B285" s="4" t="s">
        <v>847</v>
      </c>
      <c r="C285" s="4" t="s">
        <v>1133</v>
      </c>
      <c r="D285" s="4" t="b">
        <f>FALSE()</f>
        <v>0</v>
      </c>
      <c r="E285" s="5">
        <v>24</v>
      </c>
      <c r="F285" s="7">
        <f t="shared" si="4"/>
        <v>8.2758620689655171E-2</v>
      </c>
      <c r="G285" s="5">
        <v>0</v>
      </c>
      <c r="H285" s="14">
        <v>44932</v>
      </c>
      <c r="I285" s="14">
        <v>45050</v>
      </c>
      <c r="J285" s="4" t="s">
        <v>853</v>
      </c>
      <c r="K285" s="4" t="s">
        <v>1134</v>
      </c>
      <c r="L285" s="2"/>
      <c r="M285" s="2"/>
      <c r="N285" s="2"/>
    </row>
    <row r="286" spans="1:14" x14ac:dyDescent="0.45">
      <c r="A286" s="9" t="s">
        <v>355</v>
      </c>
      <c r="B286" s="9" t="s">
        <v>847</v>
      </c>
      <c r="C286" s="9" t="s">
        <v>349</v>
      </c>
      <c r="D286" s="9" t="b">
        <f>TRUE()</f>
        <v>1</v>
      </c>
      <c r="E286" s="10">
        <v>216</v>
      </c>
      <c r="F286" s="12">
        <f t="shared" si="4"/>
        <v>0.9642857142857143</v>
      </c>
      <c r="G286" s="10">
        <v>0</v>
      </c>
      <c r="H286" s="15">
        <v>44970</v>
      </c>
      <c r="I286" s="15">
        <v>45631</v>
      </c>
      <c r="J286" s="9" t="s">
        <v>848</v>
      </c>
      <c r="K286" s="9" t="s">
        <v>1135</v>
      </c>
      <c r="L286" s="2"/>
      <c r="M286" s="2"/>
      <c r="N286" s="2"/>
    </row>
    <row r="287" spans="1:14" x14ac:dyDescent="0.45">
      <c r="A287" s="4" t="s">
        <v>355</v>
      </c>
      <c r="B287" s="4" t="s">
        <v>847</v>
      </c>
      <c r="C287" s="4" t="s">
        <v>1133</v>
      </c>
      <c r="D287" s="4" t="b">
        <f>FALSE()</f>
        <v>0</v>
      </c>
      <c r="E287" s="5">
        <v>8</v>
      </c>
      <c r="F287" s="7">
        <f t="shared" si="4"/>
        <v>3.5714285714285712E-2</v>
      </c>
      <c r="G287" s="5">
        <v>0</v>
      </c>
      <c r="H287" s="14">
        <v>44936</v>
      </c>
      <c r="I287" s="14">
        <v>45045</v>
      </c>
      <c r="J287" s="4" t="s">
        <v>853</v>
      </c>
      <c r="K287" s="4" t="s">
        <v>1136</v>
      </c>
      <c r="L287" s="2"/>
      <c r="M287" s="2"/>
      <c r="N287" s="2"/>
    </row>
    <row r="288" spans="1:14" x14ac:dyDescent="0.45">
      <c r="A288" s="9" t="s">
        <v>360</v>
      </c>
      <c r="B288" s="9" t="s">
        <v>847</v>
      </c>
      <c r="C288" s="9" t="s">
        <v>349</v>
      </c>
      <c r="D288" s="9" t="b">
        <f>TRUE()</f>
        <v>1</v>
      </c>
      <c r="E288" s="10">
        <v>129</v>
      </c>
      <c r="F288" s="12">
        <f t="shared" si="4"/>
        <v>0.93478260869565222</v>
      </c>
      <c r="G288" s="10">
        <v>0</v>
      </c>
      <c r="H288" s="15">
        <v>45056</v>
      </c>
      <c r="I288" s="15">
        <v>45635</v>
      </c>
      <c r="J288" s="9" t="s">
        <v>848</v>
      </c>
      <c r="K288" s="9" t="s">
        <v>1137</v>
      </c>
      <c r="L288" s="2"/>
      <c r="M288" s="2"/>
      <c r="N288" s="2"/>
    </row>
    <row r="289" spans="1:14" x14ac:dyDescent="0.45">
      <c r="A289" s="4" t="s">
        <v>360</v>
      </c>
      <c r="B289" s="4" t="s">
        <v>847</v>
      </c>
      <c r="C289" s="4" t="s">
        <v>1133</v>
      </c>
      <c r="D289" s="4" t="b">
        <f>FALSE()</f>
        <v>0</v>
      </c>
      <c r="E289" s="5">
        <v>9</v>
      </c>
      <c r="F289" s="7">
        <f t="shared" si="4"/>
        <v>6.5217391304347824E-2</v>
      </c>
      <c r="G289" s="5">
        <v>0</v>
      </c>
      <c r="H289" s="14">
        <v>44944</v>
      </c>
      <c r="I289" s="14">
        <v>45049</v>
      </c>
      <c r="J289" s="4" t="s">
        <v>853</v>
      </c>
      <c r="K289" s="4" t="s">
        <v>1138</v>
      </c>
      <c r="L289" s="2"/>
      <c r="M289" s="2"/>
      <c r="N289" s="2"/>
    </row>
    <row r="290" spans="1:14" x14ac:dyDescent="0.45">
      <c r="A290" s="9" t="s">
        <v>367</v>
      </c>
      <c r="B290" s="9" t="s">
        <v>847</v>
      </c>
      <c r="C290" s="9" t="s">
        <v>349</v>
      </c>
      <c r="D290" s="9" t="b">
        <f>TRUE()</f>
        <v>1</v>
      </c>
      <c r="E290" s="10">
        <v>36</v>
      </c>
      <c r="F290" s="12">
        <f t="shared" si="4"/>
        <v>0.97297297297297303</v>
      </c>
      <c r="G290" s="10">
        <v>0</v>
      </c>
      <c r="H290" s="15">
        <v>45076</v>
      </c>
      <c r="I290" s="15">
        <v>45637</v>
      </c>
      <c r="J290" s="9" t="s">
        <v>848</v>
      </c>
      <c r="K290" s="9" t="s">
        <v>1139</v>
      </c>
      <c r="L290" s="2"/>
      <c r="M290" s="2"/>
      <c r="N290" s="2"/>
    </row>
    <row r="291" spans="1:14" x14ac:dyDescent="0.45">
      <c r="A291" s="4" t="s">
        <v>367</v>
      </c>
      <c r="B291" s="4" t="s">
        <v>847</v>
      </c>
      <c r="C291" s="4" t="s">
        <v>1133</v>
      </c>
      <c r="D291" s="4" t="b">
        <f>FALSE()</f>
        <v>0</v>
      </c>
      <c r="E291" s="5">
        <v>1</v>
      </c>
      <c r="F291" s="7">
        <f t="shared" si="4"/>
        <v>2.7027027027027029E-2</v>
      </c>
      <c r="G291" s="5">
        <v>0</v>
      </c>
      <c r="H291" s="14">
        <v>44935</v>
      </c>
      <c r="I291" s="14">
        <v>44935</v>
      </c>
      <c r="J291" s="4" t="s">
        <v>853</v>
      </c>
      <c r="K291" s="4" t="s">
        <v>1140</v>
      </c>
      <c r="L291" s="2"/>
      <c r="M291" s="2"/>
      <c r="N291" s="2"/>
    </row>
    <row r="292" spans="1:14" x14ac:dyDescent="0.45">
      <c r="A292" s="9" t="s">
        <v>371</v>
      </c>
      <c r="B292" s="9" t="s">
        <v>847</v>
      </c>
      <c r="C292" s="9" t="s">
        <v>349</v>
      </c>
      <c r="D292" s="9" t="b">
        <f>TRUE()</f>
        <v>1</v>
      </c>
      <c r="E292" s="10">
        <v>13</v>
      </c>
      <c r="F292" s="12">
        <f t="shared" si="4"/>
        <v>0.8125</v>
      </c>
      <c r="G292" s="10">
        <v>0</v>
      </c>
      <c r="H292" s="15">
        <v>45097</v>
      </c>
      <c r="I292" s="15">
        <v>45425</v>
      </c>
      <c r="J292" s="9" t="s">
        <v>848</v>
      </c>
      <c r="K292" s="9" t="s">
        <v>1141</v>
      </c>
      <c r="L292" s="2"/>
      <c r="M292" s="2"/>
      <c r="N292" s="2"/>
    </row>
    <row r="293" spans="1:14" x14ac:dyDescent="0.45">
      <c r="A293" s="4" t="s">
        <v>371</v>
      </c>
      <c r="B293" s="4" t="s">
        <v>847</v>
      </c>
      <c r="C293" s="4" t="s">
        <v>1133</v>
      </c>
      <c r="D293" s="4" t="b">
        <f>FALSE()</f>
        <v>0</v>
      </c>
      <c r="E293" s="5">
        <v>3</v>
      </c>
      <c r="F293" s="7">
        <f t="shared" si="4"/>
        <v>0.1875</v>
      </c>
      <c r="G293" s="5">
        <v>0</v>
      </c>
      <c r="H293" s="14">
        <v>44930</v>
      </c>
      <c r="I293" s="14">
        <v>45022</v>
      </c>
      <c r="J293" s="4" t="s">
        <v>853</v>
      </c>
      <c r="K293" s="4" t="s">
        <v>1142</v>
      </c>
      <c r="L293" s="2"/>
      <c r="M293" s="2"/>
      <c r="N293" s="2"/>
    </row>
    <row r="294" spans="1:14" x14ac:dyDescent="0.45">
      <c r="A294" s="9" t="s">
        <v>376</v>
      </c>
      <c r="B294" s="9" t="s">
        <v>847</v>
      </c>
      <c r="C294" s="9" t="s">
        <v>377</v>
      </c>
      <c r="D294" s="9" t="b">
        <f>TRUE()</f>
        <v>1</v>
      </c>
      <c r="E294" s="10">
        <v>1873</v>
      </c>
      <c r="F294" s="12">
        <f t="shared" si="4"/>
        <v>0.93369890329012961</v>
      </c>
      <c r="G294" s="10">
        <v>442</v>
      </c>
      <c r="H294" s="15">
        <v>44952</v>
      </c>
      <c r="I294" s="15">
        <v>46296</v>
      </c>
      <c r="J294" s="9" t="s">
        <v>848</v>
      </c>
      <c r="K294" s="9" t="s">
        <v>1143</v>
      </c>
      <c r="L294" s="2"/>
      <c r="M294" s="2"/>
      <c r="N294" s="2"/>
    </row>
    <row r="295" spans="1:14" x14ac:dyDescent="0.45">
      <c r="A295" s="4" t="s">
        <v>376</v>
      </c>
      <c r="B295" s="4" t="s">
        <v>847</v>
      </c>
      <c r="C295" s="4" t="s">
        <v>1144</v>
      </c>
      <c r="D295" s="4" t="b">
        <f>FALSE()</f>
        <v>0</v>
      </c>
      <c r="E295" s="5">
        <v>133</v>
      </c>
      <c r="F295" s="7">
        <f t="shared" si="4"/>
        <v>6.6301096709870389E-2</v>
      </c>
      <c r="G295" s="5">
        <v>0</v>
      </c>
      <c r="H295" s="14">
        <v>44930</v>
      </c>
      <c r="I295" s="14">
        <v>45054</v>
      </c>
      <c r="J295" s="4" t="s">
        <v>850</v>
      </c>
      <c r="K295" s="4" t="s">
        <v>1145</v>
      </c>
      <c r="L295" s="2"/>
      <c r="M295" s="2"/>
      <c r="N295" s="2"/>
    </row>
    <row r="296" spans="1:14" x14ac:dyDescent="0.45">
      <c r="A296" s="9" t="s">
        <v>378</v>
      </c>
      <c r="B296" s="9" t="s">
        <v>847</v>
      </c>
      <c r="C296" s="9" t="s">
        <v>377</v>
      </c>
      <c r="D296" s="9" t="b">
        <f>TRUE()</f>
        <v>1</v>
      </c>
      <c r="E296" s="10">
        <v>508</v>
      </c>
      <c r="F296" s="12">
        <f t="shared" si="4"/>
        <v>0.90876565295169942</v>
      </c>
      <c r="G296" s="10">
        <v>84</v>
      </c>
      <c r="H296" s="15">
        <v>44947</v>
      </c>
      <c r="I296" s="15">
        <v>46296</v>
      </c>
      <c r="J296" s="9" t="s">
        <v>848</v>
      </c>
      <c r="K296" s="9" t="s">
        <v>951</v>
      </c>
      <c r="L296" s="2"/>
      <c r="M296" s="2"/>
      <c r="N296" s="2"/>
    </row>
    <row r="297" spans="1:14" x14ac:dyDescent="0.45">
      <c r="A297" s="4" t="s">
        <v>378</v>
      </c>
      <c r="B297" s="4" t="s">
        <v>847</v>
      </c>
      <c r="C297" s="4" t="s">
        <v>1144</v>
      </c>
      <c r="D297" s="4" t="b">
        <f>FALSE()</f>
        <v>0</v>
      </c>
      <c r="E297" s="5">
        <v>51</v>
      </c>
      <c r="F297" s="7">
        <f t="shared" si="4"/>
        <v>9.1234347048300538E-2</v>
      </c>
      <c r="G297" s="5">
        <v>0</v>
      </c>
      <c r="H297" s="14">
        <v>44930</v>
      </c>
      <c r="I297" s="14">
        <v>45050</v>
      </c>
      <c r="J297" s="4" t="s">
        <v>850</v>
      </c>
      <c r="K297" s="4" t="s">
        <v>1146</v>
      </c>
      <c r="L297" s="2"/>
      <c r="M297" s="2"/>
      <c r="N297" s="2"/>
    </row>
    <row r="298" spans="1:14" x14ac:dyDescent="0.45">
      <c r="A298" s="9" t="s">
        <v>379</v>
      </c>
      <c r="B298" s="9" t="s">
        <v>847</v>
      </c>
      <c r="C298" s="9" t="s">
        <v>377</v>
      </c>
      <c r="D298" s="9" t="b">
        <f>TRUE()</f>
        <v>1</v>
      </c>
      <c r="E298" s="10">
        <v>430</v>
      </c>
      <c r="F298" s="12">
        <f t="shared" si="4"/>
        <v>0.89211618257261416</v>
      </c>
      <c r="G298" s="10">
        <v>76</v>
      </c>
      <c r="H298" s="15">
        <v>45051</v>
      </c>
      <c r="I298" s="15">
        <v>46294</v>
      </c>
      <c r="J298" s="9" t="s">
        <v>848</v>
      </c>
      <c r="K298" s="9" t="s">
        <v>1080</v>
      </c>
      <c r="L298" s="2"/>
      <c r="M298" s="2"/>
      <c r="N298" s="2"/>
    </row>
    <row r="299" spans="1:14" x14ac:dyDescent="0.45">
      <c r="A299" s="4" t="s">
        <v>379</v>
      </c>
      <c r="B299" s="4" t="s">
        <v>847</v>
      </c>
      <c r="C299" s="4" t="s">
        <v>1144</v>
      </c>
      <c r="D299" s="4" t="b">
        <f>FALSE()</f>
        <v>0</v>
      </c>
      <c r="E299" s="5">
        <v>52</v>
      </c>
      <c r="F299" s="7">
        <f t="shared" si="4"/>
        <v>0.1078838174273859</v>
      </c>
      <c r="G299" s="5">
        <v>0</v>
      </c>
      <c r="H299" s="14">
        <v>44936</v>
      </c>
      <c r="I299" s="14">
        <v>45048</v>
      </c>
      <c r="J299" s="4" t="s">
        <v>850</v>
      </c>
      <c r="K299" s="4" t="s">
        <v>1147</v>
      </c>
      <c r="L299" s="2"/>
      <c r="M299" s="2"/>
      <c r="N299" s="2"/>
    </row>
    <row r="300" spans="1:14" x14ac:dyDescent="0.45">
      <c r="A300" s="9" t="s">
        <v>380</v>
      </c>
      <c r="B300" s="9" t="s">
        <v>847</v>
      </c>
      <c r="C300" s="9" t="s">
        <v>377</v>
      </c>
      <c r="D300" s="9" t="b">
        <f>TRUE()</f>
        <v>1</v>
      </c>
      <c r="E300" s="10">
        <v>81</v>
      </c>
      <c r="F300" s="12">
        <f t="shared" si="4"/>
        <v>0.92045454545454541</v>
      </c>
      <c r="G300" s="10">
        <v>13</v>
      </c>
      <c r="H300" s="15">
        <v>45055</v>
      </c>
      <c r="I300" s="15">
        <v>46233</v>
      </c>
      <c r="J300" s="9" t="s">
        <v>848</v>
      </c>
      <c r="K300" s="9" t="s">
        <v>1148</v>
      </c>
      <c r="L300" s="2"/>
      <c r="M300" s="2"/>
      <c r="N300" s="2"/>
    </row>
    <row r="301" spans="1:14" x14ac:dyDescent="0.45">
      <c r="A301" s="4" t="s">
        <v>380</v>
      </c>
      <c r="B301" s="4" t="s">
        <v>847</v>
      </c>
      <c r="C301" s="4" t="s">
        <v>1144</v>
      </c>
      <c r="D301" s="4" t="b">
        <f>FALSE()</f>
        <v>0</v>
      </c>
      <c r="E301" s="5">
        <v>7</v>
      </c>
      <c r="F301" s="7">
        <f t="shared" si="4"/>
        <v>7.9545454545454544E-2</v>
      </c>
      <c r="G301" s="5">
        <v>0</v>
      </c>
      <c r="H301" s="14">
        <v>44931</v>
      </c>
      <c r="I301" s="14">
        <v>45048</v>
      </c>
      <c r="J301" s="4" t="s">
        <v>850</v>
      </c>
      <c r="K301" s="4" t="s">
        <v>1149</v>
      </c>
      <c r="L301" s="2"/>
      <c r="M301" s="2"/>
      <c r="N301" s="2"/>
    </row>
    <row r="302" spans="1:14" x14ac:dyDescent="0.45">
      <c r="A302" s="9" t="s">
        <v>381</v>
      </c>
      <c r="B302" s="9" t="s">
        <v>847</v>
      </c>
      <c r="C302" s="9" t="s">
        <v>377</v>
      </c>
      <c r="D302" s="9" t="b">
        <f>TRUE()</f>
        <v>1</v>
      </c>
      <c r="E302" s="10">
        <v>53</v>
      </c>
      <c r="F302" s="12">
        <f t="shared" si="4"/>
        <v>0.8833333333333333</v>
      </c>
      <c r="G302" s="10">
        <v>13</v>
      </c>
      <c r="H302" s="15">
        <v>45061</v>
      </c>
      <c r="I302" s="15">
        <v>46258</v>
      </c>
      <c r="J302" s="9" t="s">
        <v>848</v>
      </c>
      <c r="K302" s="9" t="s">
        <v>1150</v>
      </c>
      <c r="L302" s="2"/>
      <c r="M302" s="2"/>
      <c r="N302" s="2"/>
    </row>
    <row r="303" spans="1:14" x14ac:dyDescent="0.45">
      <c r="A303" s="4" t="s">
        <v>381</v>
      </c>
      <c r="B303" s="4" t="s">
        <v>847</v>
      </c>
      <c r="C303" s="4" t="s">
        <v>1144</v>
      </c>
      <c r="D303" s="4" t="b">
        <f>FALSE()</f>
        <v>0</v>
      </c>
      <c r="E303" s="5">
        <v>7</v>
      </c>
      <c r="F303" s="7">
        <f t="shared" si="4"/>
        <v>0.11666666666666667</v>
      </c>
      <c r="G303" s="5">
        <v>0</v>
      </c>
      <c r="H303" s="14">
        <v>44978</v>
      </c>
      <c r="I303" s="14">
        <v>45036</v>
      </c>
      <c r="J303" s="4" t="s">
        <v>850</v>
      </c>
      <c r="K303" s="4" t="s">
        <v>1151</v>
      </c>
      <c r="L303" s="2"/>
      <c r="M303" s="2"/>
      <c r="N303" s="2"/>
    </row>
    <row r="304" spans="1:14" x14ac:dyDescent="0.45">
      <c r="A304" s="9" t="s">
        <v>384</v>
      </c>
      <c r="B304" s="9" t="s">
        <v>847</v>
      </c>
      <c r="C304" s="9" t="s">
        <v>383</v>
      </c>
      <c r="D304" s="9" t="b">
        <f>TRUE()</f>
        <v>1</v>
      </c>
      <c r="E304" s="10">
        <v>199</v>
      </c>
      <c r="F304" s="12">
        <f t="shared" si="4"/>
        <v>0.75378787878787878</v>
      </c>
      <c r="G304" s="10">
        <v>0</v>
      </c>
      <c r="H304" s="15">
        <v>45036</v>
      </c>
      <c r="I304" s="15">
        <v>45250</v>
      </c>
      <c r="J304" s="9" t="s">
        <v>848</v>
      </c>
      <c r="K304" s="9" t="s">
        <v>1152</v>
      </c>
      <c r="L304" s="2"/>
      <c r="M304" s="2"/>
      <c r="N304" s="2"/>
    </row>
    <row r="305" spans="1:14" x14ac:dyDescent="0.45">
      <c r="A305" s="4" t="s">
        <v>384</v>
      </c>
      <c r="B305" s="4" t="s">
        <v>847</v>
      </c>
      <c r="C305" s="4" t="s">
        <v>822</v>
      </c>
      <c r="D305" s="4" t="b">
        <f>FALSE()</f>
        <v>0</v>
      </c>
      <c r="E305" s="5">
        <v>65</v>
      </c>
      <c r="F305" s="7">
        <f t="shared" si="4"/>
        <v>0.24621212121212122</v>
      </c>
      <c r="G305" s="5">
        <v>0</v>
      </c>
      <c r="H305" s="14">
        <v>44929</v>
      </c>
      <c r="I305" s="14">
        <v>45055</v>
      </c>
      <c r="J305" s="4" t="s">
        <v>853</v>
      </c>
      <c r="K305" s="4" t="s">
        <v>1153</v>
      </c>
      <c r="L305" s="2"/>
      <c r="M305" s="2"/>
      <c r="N305" s="2"/>
    </row>
    <row r="306" spans="1:14" x14ac:dyDescent="0.45">
      <c r="A306" s="9" t="s">
        <v>391</v>
      </c>
      <c r="B306" s="9" t="s">
        <v>847</v>
      </c>
      <c r="C306" s="9" t="s">
        <v>390</v>
      </c>
      <c r="D306" s="9" t="b">
        <f>TRUE()</f>
        <v>1</v>
      </c>
      <c r="E306" s="10">
        <v>43</v>
      </c>
      <c r="F306" s="12">
        <f t="shared" si="4"/>
        <v>0.86</v>
      </c>
      <c r="G306" s="10">
        <v>0</v>
      </c>
      <c r="H306" s="15">
        <v>45013</v>
      </c>
      <c r="I306" s="15">
        <v>45715</v>
      </c>
      <c r="J306" s="9" t="s">
        <v>848</v>
      </c>
      <c r="K306" s="9" t="s">
        <v>1154</v>
      </c>
      <c r="L306" s="2"/>
      <c r="M306" s="2"/>
      <c r="N306" s="2"/>
    </row>
    <row r="307" spans="1:14" x14ac:dyDescent="0.45">
      <c r="A307" s="4" t="s">
        <v>391</v>
      </c>
      <c r="B307" s="4" t="s">
        <v>847</v>
      </c>
      <c r="C307" s="4" t="s">
        <v>1155</v>
      </c>
      <c r="D307" s="4" t="b">
        <f>FALSE()</f>
        <v>0</v>
      </c>
      <c r="E307" s="5">
        <v>7</v>
      </c>
      <c r="F307" s="7">
        <f t="shared" si="4"/>
        <v>0.14000000000000001</v>
      </c>
      <c r="G307" s="5">
        <v>0</v>
      </c>
      <c r="H307" s="14">
        <v>44951</v>
      </c>
      <c r="I307" s="14">
        <v>45031</v>
      </c>
      <c r="J307" s="4" t="s">
        <v>850</v>
      </c>
      <c r="K307" s="4" t="s">
        <v>1156</v>
      </c>
      <c r="L307" s="2"/>
      <c r="M307" s="2"/>
      <c r="N307" s="2"/>
    </row>
    <row r="308" spans="1:14" x14ac:dyDescent="0.45">
      <c r="A308" s="9" t="s">
        <v>392</v>
      </c>
      <c r="B308" s="9" t="s">
        <v>847</v>
      </c>
      <c r="C308" s="9" t="s">
        <v>390</v>
      </c>
      <c r="D308" s="9" t="b">
        <f>TRUE()</f>
        <v>1</v>
      </c>
      <c r="E308" s="10">
        <v>32</v>
      </c>
      <c r="F308" s="12">
        <f t="shared" si="4"/>
        <v>0.86486486486486491</v>
      </c>
      <c r="G308" s="10">
        <v>0</v>
      </c>
      <c r="H308" s="15">
        <v>45055</v>
      </c>
      <c r="I308" s="15">
        <v>45715</v>
      </c>
      <c r="J308" s="9" t="s">
        <v>848</v>
      </c>
      <c r="K308" s="9" t="s">
        <v>1157</v>
      </c>
      <c r="L308" s="2"/>
      <c r="M308" s="2"/>
      <c r="N308" s="2"/>
    </row>
    <row r="309" spans="1:14" x14ac:dyDescent="0.45">
      <c r="A309" s="4" t="s">
        <v>392</v>
      </c>
      <c r="B309" s="4" t="s">
        <v>847</v>
      </c>
      <c r="C309" s="4" t="s">
        <v>1155</v>
      </c>
      <c r="D309" s="4" t="b">
        <f>FALSE()</f>
        <v>0</v>
      </c>
      <c r="E309" s="5">
        <v>5</v>
      </c>
      <c r="F309" s="7">
        <f t="shared" si="4"/>
        <v>0.13513513513513514</v>
      </c>
      <c r="G309" s="5">
        <v>0</v>
      </c>
      <c r="H309" s="14">
        <v>44978</v>
      </c>
      <c r="I309" s="14">
        <v>45041</v>
      </c>
      <c r="J309" s="4" t="s">
        <v>850</v>
      </c>
      <c r="K309" s="4" t="s">
        <v>1158</v>
      </c>
      <c r="L309" s="2"/>
      <c r="M309" s="2"/>
      <c r="N309" s="2"/>
    </row>
    <row r="310" spans="1:14" x14ac:dyDescent="0.45">
      <c r="A310" s="9" t="s">
        <v>394</v>
      </c>
      <c r="B310" s="9" t="s">
        <v>847</v>
      </c>
      <c r="C310" s="9" t="s">
        <v>390</v>
      </c>
      <c r="D310" s="9" t="b">
        <f>TRUE()</f>
        <v>1</v>
      </c>
      <c r="E310" s="10">
        <v>16</v>
      </c>
      <c r="F310" s="12">
        <f t="shared" si="4"/>
        <v>0.55172413793103448</v>
      </c>
      <c r="G310" s="10">
        <v>0</v>
      </c>
      <c r="H310" s="15">
        <v>45002</v>
      </c>
      <c r="I310" s="15">
        <v>45178</v>
      </c>
      <c r="J310" s="9" t="s">
        <v>848</v>
      </c>
      <c r="K310" s="9" t="s">
        <v>1159</v>
      </c>
      <c r="L310" s="2"/>
      <c r="M310" s="2"/>
      <c r="N310" s="2"/>
    </row>
    <row r="311" spans="1:14" x14ac:dyDescent="0.45">
      <c r="A311" s="4" t="s">
        <v>394</v>
      </c>
      <c r="B311" s="4" t="s">
        <v>847</v>
      </c>
      <c r="C311" s="4" t="s">
        <v>1155</v>
      </c>
      <c r="D311" s="4" t="b">
        <f>FALSE()</f>
        <v>0</v>
      </c>
      <c r="E311" s="5">
        <v>13</v>
      </c>
      <c r="F311" s="7">
        <f t="shared" si="4"/>
        <v>0.44827586206896552</v>
      </c>
      <c r="G311" s="5">
        <v>0</v>
      </c>
      <c r="H311" s="14">
        <v>44937</v>
      </c>
      <c r="I311" s="14">
        <v>45008</v>
      </c>
      <c r="J311" s="4" t="s">
        <v>850</v>
      </c>
      <c r="K311" s="4" t="s">
        <v>1160</v>
      </c>
      <c r="L311" s="2"/>
      <c r="M311" s="2"/>
      <c r="N311" s="2"/>
    </row>
    <row r="312" spans="1:14" x14ac:dyDescent="0.45">
      <c r="A312" s="9" t="s">
        <v>396</v>
      </c>
      <c r="B312" s="9" t="s">
        <v>847</v>
      </c>
      <c r="C312" s="9" t="s">
        <v>390</v>
      </c>
      <c r="D312" s="9" t="b">
        <f>TRUE()</f>
        <v>1</v>
      </c>
      <c r="E312" s="10">
        <v>5</v>
      </c>
      <c r="F312" s="12">
        <f t="shared" si="4"/>
        <v>0.7142857142857143</v>
      </c>
      <c r="G312" s="10">
        <v>0</v>
      </c>
      <c r="H312" s="15">
        <v>45132</v>
      </c>
      <c r="I312" s="15">
        <v>45442</v>
      </c>
      <c r="J312" s="9" t="s">
        <v>848</v>
      </c>
      <c r="K312" s="9" t="s">
        <v>1161</v>
      </c>
      <c r="L312" s="2"/>
      <c r="M312" s="2"/>
      <c r="N312" s="2"/>
    </row>
    <row r="313" spans="1:14" x14ac:dyDescent="0.45">
      <c r="A313" s="4" t="s">
        <v>396</v>
      </c>
      <c r="B313" s="4" t="s">
        <v>847</v>
      </c>
      <c r="C313" s="4" t="s">
        <v>1155</v>
      </c>
      <c r="D313" s="4" t="b">
        <f>FALSE()</f>
        <v>0</v>
      </c>
      <c r="E313" s="5">
        <v>2</v>
      </c>
      <c r="F313" s="7">
        <f t="shared" si="4"/>
        <v>0.2857142857142857</v>
      </c>
      <c r="G313" s="5">
        <v>0</v>
      </c>
      <c r="H313" s="14">
        <v>44939</v>
      </c>
      <c r="I313" s="14">
        <v>45047</v>
      </c>
      <c r="J313" s="4" t="s">
        <v>850</v>
      </c>
      <c r="K313" s="4" t="s">
        <v>1162</v>
      </c>
      <c r="L313" s="2"/>
      <c r="M313" s="2"/>
      <c r="N313" s="2"/>
    </row>
    <row r="314" spans="1:14" x14ac:dyDescent="0.45">
      <c r="A314" s="9" t="s">
        <v>397</v>
      </c>
      <c r="B314" s="9" t="s">
        <v>847</v>
      </c>
      <c r="C314" s="9" t="s">
        <v>398</v>
      </c>
      <c r="D314" s="9" t="b">
        <f>TRUE()</f>
        <v>1</v>
      </c>
      <c r="E314" s="10">
        <v>18</v>
      </c>
      <c r="F314" s="12">
        <f t="shared" si="4"/>
        <v>0.72</v>
      </c>
      <c r="G314" s="10">
        <v>0</v>
      </c>
      <c r="H314" s="15">
        <v>44936</v>
      </c>
      <c r="I314" s="15">
        <v>45691</v>
      </c>
      <c r="J314" s="9" t="s">
        <v>848</v>
      </c>
      <c r="K314" s="9" t="s">
        <v>1163</v>
      </c>
      <c r="L314" s="2"/>
      <c r="M314" s="2"/>
      <c r="N314" s="2"/>
    </row>
    <row r="315" spans="1:14" x14ac:dyDescent="0.45">
      <c r="A315" s="4" t="s">
        <v>397</v>
      </c>
      <c r="B315" s="4" t="s">
        <v>847</v>
      </c>
      <c r="C315" s="4" t="s">
        <v>1164</v>
      </c>
      <c r="D315" s="4" t="b">
        <f>FALSE()</f>
        <v>0</v>
      </c>
      <c r="E315" s="5">
        <v>7</v>
      </c>
      <c r="F315" s="7">
        <f t="shared" si="4"/>
        <v>0.28000000000000003</v>
      </c>
      <c r="G315" s="5">
        <v>0</v>
      </c>
      <c r="H315" s="14">
        <v>44991</v>
      </c>
      <c r="I315" s="14">
        <v>45041</v>
      </c>
      <c r="J315" s="4" t="s">
        <v>850</v>
      </c>
      <c r="K315" s="4" t="s">
        <v>1165</v>
      </c>
      <c r="L315" s="2"/>
      <c r="M315" s="2"/>
      <c r="N315" s="2"/>
    </row>
    <row r="316" spans="1:14" x14ac:dyDescent="0.45">
      <c r="A316" s="9" t="s">
        <v>399</v>
      </c>
      <c r="B316" s="9" t="s">
        <v>847</v>
      </c>
      <c r="C316" s="9" t="s">
        <v>400</v>
      </c>
      <c r="D316" s="9" t="b">
        <f>TRUE()</f>
        <v>1</v>
      </c>
      <c r="E316" s="10">
        <v>3976</v>
      </c>
      <c r="F316" s="12">
        <f t="shared" si="4"/>
        <v>0.90036231884057971</v>
      </c>
      <c r="G316" s="10">
        <v>607</v>
      </c>
      <c r="H316" s="15">
        <v>44971</v>
      </c>
      <c r="I316" s="15">
        <v>46202</v>
      </c>
      <c r="J316" s="9" t="s">
        <v>848</v>
      </c>
      <c r="K316" s="9" t="s">
        <v>1166</v>
      </c>
      <c r="L316" s="2"/>
      <c r="M316" s="2"/>
      <c r="N316" s="2"/>
    </row>
    <row r="317" spans="1:14" x14ac:dyDescent="0.45">
      <c r="A317" s="4" t="s">
        <v>399</v>
      </c>
      <c r="B317" s="4" t="s">
        <v>847</v>
      </c>
      <c r="C317" s="4" t="s">
        <v>1167</v>
      </c>
      <c r="D317" s="4" t="b">
        <f>FALSE()</f>
        <v>0</v>
      </c>
      <c r="E317" s="5">
        <v>440</v>
      </c>
      <c r="F317" s="7">
        <f t="shared" si="4"/>
        <v>9.9637681159420288E-2</v>
      </c>
      <c r="G317" s="5">
        <v>0</v>
      </c>
      <c r="H317" s="14">
        <v>44928</v>
      </c>
      <c r="I317" s="14">
        <v>45055</v>
      </c>
      <c r="J317" s="4" t="s">
        <v>850</v>
      </c>
      <c r="K317" s="4" t="s">
        <v>1168</v>
      </c>
      <c r="L317" s="2"/>
      <c r="M317" s="2"/>
      <c r="N317" s="2"/>
    </row>
    <row r="318" spans="1:14" x14ac:dyDescent="0.45">
      <c r="A318" s="9" t="s">
        <v>402</v>
      </c>
      <c r="B318" s="9" t="s">
        <v>847</v>
      </c>
      <c r="C318" s="9" t="s">
        <v>400</v>
      </c>
      <c r="D318" s="9" t="b">
        <f>TRUE()</f>
        <v>1</v>
      </c>
      <c r="E318" s="10">
        <v>71</v>
      </c>
      <c r="F318" s="12">
        <f t="shared" si="4"/>
        <v>0.95945945945945943</v>
      </c>
      <c r="G318" s="10">
        <v>8</v>
      </c>
      <c r="H318" s="15">
        <v>44931</v>
      </c>
      <c r="I318" s="15">
        <v>46253</v>
      </c>
      <c r="J318" s="9" t="s">
        <v>848</v>
      </c>
      <c r="K318" s="9" t="s">
        <v>1169</v>
      </c>
      <c r="L318" s="2"/>
      <c r="M318" s="2"/>
      <c r="N318" s="2"/>
    </row>
    <row r="319" spans="1:14" x14ac:dyDescent="0.45">
      <c r="A319" s="4" t="s">
        <v>402</v>
      </c>
      <c r="B319" s="4" t="s">
        <v>847</v>
      </c>
      <c r="C319" s="4" t="s">
        <v>1167</v>
      </c>
      <c r="D319" s="4" t="b">
        <f>FALSE()</f>
        <v>0</v>
      </c>
      <c r="E319" s="5">
        <v>3</v>
      </c>
      <c r="F319" s="7">
        <f t="shared" si="4"/>
        <v>4.0540540540540543E-2</v>
      </c>
      <c r="G319" s="5">
        <v>0</v>
      </c>
      <c r="H319" s="14">
        <v>44972</v>
      </c>
      <c r="I319" s="14">
        <v>45012</v>
      </c>
      <c r="J319" s="4" t="s">
        <v>850</v>
      </c>
      <c r="K319" s="4" t="s">
        <v>1170</v>
      </c>
      <c r="L319" s="2"/>
      <c r="M319" s="2"/>
      <c r="N319" s="2"/>
    </row>
    <row r="320" spans="1:14" x14ac:dyDescent="0.45">
      <c r="A320" s="9" t="s">
        <v>403</v>
      </c>
      <c r="B320" s="9" t="s">
        <v>847</v>
      </c>
      <c r="C320" s="9" t="s">
        <v>404</v>
      </c>
      <c r="D320" s="9" t="b">
        <f>TRUE()</f>
        <v>1</v>
      </c>
      <c r="E320" s="10">
        <v>17596</v>
      </c>
      <c r="F320" s="12">
        <f t="shared" si="4"/>
        <v>0.97668738898756657</v>
      </c>
      <c r="G320" s="10">
        <v>2600</v>
      </c>
      <c r="H320" s="15">
        <v>44928</v>
      </c>
      <c r="I320" s="15">
        <v>46296</v>
      </c>
      <c r="J320" s="9" t="s">
        <v>848</v>
      </c>
      <c r="K320" s="9" t="s">
        <v>930</v>
      </c>
      <c r="L320" s="2"/>
      <c r="M320" s="2"/>
      <c r="N320" s="2"/>
    </row>
    <row r="321" spans="1:14" x14ac:dyDescent="0.45">
      <c r="A321" s="4" t="s">
        <v>403</v>
      </c>
      <c r="B321" s="4" t="s">
        <v>847</v>
      </c>
      <c r="C321" s="4" t="s">
        <v>1171</v>
      </c>
      <c r="D321" s="4" t="b">
        <f>FALSE()</f>
        <v>0</v>
      </c>
      <c r="E321" s="5">
        <v>420</v>
      </c>
      <c r="F321" s="7">
        <f t="shared" si="4"/>
        <v>2.3312611012433392E-2</v>
      </c>
      <c r="G321" s="5">
        <v>0</v>
      </c>
      <c r="H321" s="14">
        <v>44928</v>
      </c>
      <c r="I321" s="14">
        <v>45051</v>
      </c>
      <c r="J321" s="4" t="s">
        <v>850</v>
      </c>
      <c r="K321" s="4" t="s">
        <v>1172</v>
      </c>
      <c r="L321" s="2"/>
      <c r="M321" s="2"/>
      <c r="N321" s="2"/>
    </row>
    <row r="322" spans="1:14" x14ac:dyDescent="0.45">
      <c r="A322" s="9" t="s">
        <v>405</v>
      </c>
      <c r="B322" s="9" t="s">
        <v>847</v>
      </c>
      <c r="C322" s="9" t="s">
        <v>404</v>
      </c>
      <c r="D322" s="9" t="b">
        <f>TRUE()</f>
        <v>1</v>
      </c>
      <c r="E322" s="10">
        <v>13492</v>
      </c>
      <c r="F322" s="12">
        <f t="shared" ref="F322:F385" si="5">E322/SUMIFS($E$2:$E$783,$A$2:$A$783,A322)</f>
        <v>0.93473742552307049</v>
      </c>
      <c r="G322" s="10">
        <v>3042</v>
      </c>
      <c r="H322" s="15">
        <v>44984</v>
      </c>
      <c r="I322" s="15">
        <v>46296</v>
      </c>
      <c r="J322" s="9" t="s">
        <v>848</v>
      </c>
      <c r="K322" s="9" t="s">
        <v>1173</v>
      </c>
      <c r="L322" s="2"/>
      <c r="M322" s="2"/>
      <c r="N322" s="2"/>
    </row>
    <row r="323" spans="1:14" x14ac:dyDescent="0.45">
      <c r="A323" s="4" t="s">
        <v>405</v>
      </c>
      <c r="B323" s="4" t="s">
        <v>847</v>
      </c>
      <c r="C323" s="4" t="s">
        <v>1171</v>
      </c>
      <c r="D323" s="4" t="b">
        <f>FALSE()</f>
        <v>0</v>
      </c>
      <c r="E323" s="5">
        <v>942</v>
      </c>
      <c r="F323" s="7">
        <f t="shared" si="5"/>
        <v>6.5262574476929472E-2</v>
      </c>
      <c r="G323" s="5">
        <v>0</v>
      </c>
      <c r="H323" s="14">
        <v>44928</v>
      </c>
      <c r="I323" s="14">
        <v>45054</v>
      </c>
      <c r="J323" s="4" t="s">
        <v>850</v>
      </c>
      <c r="K323" s="4" t="s">
        <v>1174</v>
      </c>
      <c r="L323" s="2"/>
      <c r="M323" s="2"/>
      <c r="N323" s="2"/>
    </row>
    <row r="324" spans="1:14" x14ac:dyDescent="0.45">
      <c r="A324" s="9" t="s">
        <v>406</v>
      </c>
      <c r="B324" s="9" t="s">
        <v>847</v>
      </c>
      <c r="C324" s="9" t="s">
        <v>404</v>
      </c>
      <c r="D324" s="9" t="b">
        <f>TRUE()</f>
        <v>1</v>
      </c>
      <c r="E324" s="10">
        <v>12540</v>
      </c>
      <c r="F324" s="12">
        <f t="shared" si="5"/>
        <v>0.93220338983050843</v>
      </c>
      <c r="G324" s="10">
        <v>3040</v>
      </c>
      <c r="H324" s="15">
        <v>44988</v>
      </c>
      <c r="I324" s="15">
        <v>46296</v>
      </c>
      <c r="J324" s="9" t="s">
        <v>848</v>
      </c>
      <c r="K324" s="9" t="s">
        <v>1175</v>
      </c>
      <c r="L324" s="2"/>
      <c r="M324" s="2"/>
      <c r="N324" s="2"/>
    </row>
    <row r="325" spans="1:14" x14ac:dyDescent="0.45">
      <c r="A325" s="4" t="s">
        <v>406</v>
      </c>
      <c r="B325" s="4" t="s">
        <v>847</v>
      </c>
      <c r="C325" s="4" t="s">
        <v>1171</v>
      </c>
      <c r="D325" s="4" t="b">
        <f>FALSE()</f>
        <v>0</v>
      </c>
      <c r="E325" s="5">
        <v>912</v>
      </c>
      <c r="F325" s="7">
        <f t="shared" si="5"/>
        <v>6.7796610169491525E-2</v>
      </c>
      <c r="G325" s="5">
        <v>0</v>
      </c>
      <c r="H325" s="14">
        <v>44928</v>
      </c>
      <c r="I325" s="14">
        <v>45051</v>
      </c>
      <c r="J325" s="4" t="s">
        <v>850</v>
      </c>
      <c r="K325" s="4" t="s">
        <v>1176</v>
      </c>
      <c r="L325" s="2"/>
      <c r="M325" s="2"/>
      <c r="N325" s="2"/>
    </row>
    <row r="326" spans="1:14" x14ac:dyDescent="0.45">
      <c r="A326" s="9" t="s">
        <v>407</v>
      </c>
      <c r="B326" s="9" t="s">
        <v>847</v>
      </c>
      <c r="C326" s="9" t="s">
        <v>404</v>
      </c>
      <c r="D326" s="9" t="b">
        <f>TRUE()</f>
        <v>1</v>
      </c>
      <c r="E326" s="10">
        <v>8477</v>
      </c>
      <c r="F326" s="12">
        <f t="shared" si="5"/>
        <v>0.93647812638091033</v>
      </c>
      <c r="G326" s="10">
        <v>1835</v>
      </c>
      <c r="H326" s="15">
        <v>45042</v>
      </c>
      <c r="I326" s="15">
        <v>46296</v>
      </c>
      <c r="J326" s="9" t="s">
        <v>848</v>
      </c>
      <c r="K326" s="9" t="s">
        <v>1177</v>
      </c>
      <c r="L326" s="2"/>
      <c r="M326" s="2"/>
      <c r="N326" s="2"/>
    </row>
    <row r="327" spans="1:14" x14ac:dyDescent="0.45">
      <c r="A327" s="4" t="s">
        <v>407</v>
      </c>
      <c r="B327" s="4" t="s">
        <v>847</v>
      </c>
      <c r="C327" s="4" t="s">
        <v>1171</v>
      </c>
      <c r="D327" s="4" t="b">
        <f>FALSE()</f>
        <v>0</v>
      </c>
      <c r="E327" s="5">
        <v>575</v>
      </c>
      <c r="F327" s="7">
        <f t="shared" si="5"/>
        <v>6.3521873619089703E-2</v>
      </c>
      <c r="G327" s="5">
        <v>0</v>
      </c>
      <c r="H327" s="14">
        <v>44928</v>
      </c>
      <c r="I327" s="14">
        <v>45054</v>
      </c>
      <c r="J327" s="4" t="s">
        <v>850</v>
      </c>
      <c r="K327" s="4" t="s">
        <v>1178</v>
      </c>
      <c r="L327" s="2"/>
      <c r="M327" s="2"/>
      <c r="N327" s="2"/>
    </row>
    <row r="328" spans="1:14" x14ac:dyDescent="0.45">
      <c r="A328" s="9" t="s">
        <v>408</v>
      </c>
      <c r="B328" s="9" t="s">
        <v>847</v>
      </c>
      <c r="C328" s="9" t="s">
        <v>404</v>
      </c>
      <c r="D328" s="9" t="b">
        <f>TRUE()</f>
        <v>1</v>
      </c>
      <c r="E328" s="10">
        <v>4139</v>
      </c>
      <c r="F328" s="12">
        <f t="shared" si="5"/>
        <v>0.93982742960944599</v>
      </c>
      <c r="G328" s="10">
        <v>798</v>
      </c>
      <c r="H328" s="15">
        <v>44929</v>
      </c>
      <c r="I328" s="15">
        <v>46296</v>
      </c>
      <c r="J328" s="9" t="s">
        <v>848</v>
      </c>
      <c r="K328" s="9" t="s">
        <v>924</v>
      </c>
      <c r="L328" s="2"/>
      <c r="M328" s="2"/>
      <c r="N328" s="2"/>
    </row>
    <row r="329" spans="1:14" x14ac:dyDescent="0.45">
      <c r="A329" s="4" t="s">
        <v>408</v>
      </c>
      <c r="B329" s="4" t="s">
        <v>847</v>
      </c>
      <c r="C329" s="4" t="s">
        <v>1171</v>
      </c>
      <c r="D329" s="4" t="b">
        <f>FALSE()</f>
        <v>0</v>
      </c>
      <c r="E329" s="5">
        <v>265</v>
      </c>
      <c r="F329" s="7">
        <f t="shared" si="5"/>
        <v>6.0172570390554042E-2</v>
      </c>
      <c r="G329" s="5">
        <v>0</v>
      </c>
      <c r="H329" s="14">
        <v>44928</v>
      </c>
      <c r="I329" s="14">
        <v>45054</v>
      </c>
      <c r="J329" s="4" t="s">
        <v>850</v>
      </c>
      <c r="K329" s="4" t="s">
        <v>939</v>
      </c>
      <c r="L329" s="2"/>
      <c r="M329" s="2"/>
      <c r="N329" s="2"/>
    </row>
    <row r="330" spans="1:14" x14ac:dyDescent="0.45">
      <c r="A330" s="9" t="s">
        <v>409</v>
      </c>
      <c r="B330" s="9" t="s">
        <v>847</v>
      </c>
      <c r="C330" s="9" t="s">
        <v>404</v>
      </c>
      <c r="D330" s="9" t="b">
        <f>TRUE()</f>
        <v>1</v>
      </c>
      <c r="E330" s="10">
        <v>3912</v>
      </c>
      <c r="F330" s="12">
        <f t="shared" si="5"/>
        <v>0.90221402214022139</v>
      </c>
      <c r="G330" s="10">
        <v>1044</v>
      </c>
      <c r="H330" s="15">
        <v>44939</v>
      </c>
      <c r="I330" s="15">
        <v>46296</v>
      </c>
      <c r="J330" s="9" t="s">
        <v>848</v>
      </c>
      <c r="K330" s="9" t="s">
        <v>946</v>
      </c>
      <c r="L330" s="2"/>
      <c r="M330" s="2"/>
      <c r="N330" s="2"/>
    </row>
    <row r="331" spans="1:14" x14ac:dyDescent="0.45">
      <c r="A331" s="4" t="s">
        <v>409</v>
      </c>
      <c r="B331" s="4" t="s">
        <v>847</v>
      </c>
      <c r="C331" s="4" t="s">
        <v>1171</v>
      </c>
      <c r="D331" s="4" t="b">
        <f>FALSE()</f>
        <v>0</v>
      </c>
      <c r="E331" s="5">
        <v>424</v>
      </c>
      <c r="F331" s="7">
        <f t="shared" si="5"/>
        <v>9.7785977859778592E-2</v>
      </c>
      <c r="G331" s="5">
        <v>0</v>
      </c>
      <c r="H331" s="14">
        <v>44928</v>
      </c>
      <c r="I331" s="14">
        <v>45055</v>
      </c>
      <c r="J331" s="4" t="s">
        <v>850</v>
      </c>
      <c r="K331" s="4" t="s">
        <v>1179</v>
      </c>
      <c r="L331" s="2"/>
      <c r="M331" s="2"/>
      <c r="N331" s="2"/>
    </row>
    <row r="332" spans="1:14" x14ac:dyDescent="0.45">
      <c r="A332" s="9" t="s">
        <v>410</v>
      </c>
      <c r="B332" s="9" t="s">
        <v>847</v>
      </c>
      <c r="C332" s="9" t="s">
        <v>404</v>
      </c>
      <c r="D332" s="9" t="b">
        <f>TRUE()</f>
        <v>1</v>
      </c>
      <c r="E332" s="10">
        <v>3586</v>
      </c>
      <c r="F332" s="12">
        <f t="shared" si="5"/>
        <v>0.89538077403245941</v>
      </c>
      <c r="G332" s="10">
        <v>794</v>
      </c>
      <c r="H332" s="15">
        <v>44967</v>
      </c>
      <c r="I332" s="15">
        <v>46296</v>
      </c>
      <c r="J332" s="9" t="s">
        <v>848</v>
      </c>
      <c r="K332" s="9" t="s">
        <v>1180</v>
      </c>
      <c r="L332" s="2"/>
      <c r="M332" s="2"/>
      <c r="N332" s="2"/>
    </row>
    <row r="333" spans="1:14" x14ac:dyDescent="0.45">
      <c r="A333" s="4" t="s">
        <v>410</v>
      </c>
      <c r="B333" s="4" t="s">
        <v>847</v>
      </c>
      <c r="C333" s="4" t="s">
        <v>1171</v>
      </c>
      <c r="D333" s="4" t="b">
        <f>FALSE()</f>
        <v>0</v>
      </c>
      <c r="E333" s="5">
        <v>419</v>
      </c>
      <c r="F333" s="7">
        <f t="shared" si="5"/>
        <v>0.10461922596754057</v>
      </c>
      <c r="G333" s="5">
        <v>0</v>
      </c>
      <c r="H333" s="14">
        <v>44928</v>
      </c>
      <c r="I333" s="14">
        <v>45051</v>
      </c>
      <c r="J333" s="4" t="s">
        <v>850</v>
      </c>
      <c r="K333" s="4" t="s">
        <v>1181</v>
      </c>
      <c r="L333" s="2"/>
      <c r="M333" s="2"/>
      <c r="N333" s="2"/>
    </row>
    <row r="334" spans="1:14" x14ac:dyDescent="0.45">
      <c r="A334" s="9" t="s">
        <v>411</v>
      </c>
      <c r="B334" s="9" t="s">
        <v>847</v>
      </c>
      <c r="C334" s="9" t="s">
        <v>404</v>
      </c>
      <c r="D334" s="9" t="b">
        <f>TRUE()</f>
        <v>1</v>
      </c>
      <c r="E334" s="10">
        <v>1708</v>
      </c>
      <c r="F334" s="12">
        <f t="shared" si="5"/>
        <v>0.81879194630872487</v>
      </c>
      <c r="G334" s="10">
        <v>449</v>
      </c>
      <c r="H334" s="15">
        <v>44981</v>
      </c>
      <c r="I334" s="15">
        <v>46296</v>
      </c>
      <c r="J334" s="9" t="s">
        <v>848</v>
      </c>
      <c r="K334" s="9" t="s">
        <v>1182</v>
      </c>
      <c r="L334" s="2"/>
      <c r="M334" s="2"/>
      <c r="N334" s="2"/>
    </row>
    <row r="335" spans="1:14" x14ac:dyDescent="0.45">
      <c r="A335" s="4" t="s">
        <v>411</v>
      </c>
      <c r="B335" s="4" t="s">
        <v>847</v>
      </c>
      <c r="C335" s="4" t="s">
        <v>1171</v>
      </c>
      <c r="D335" s="4" t="b">
        <f>FALSE()</f>
        <v>0</v>
      </c>
      <c r="E335" s="5">
        <v>378</v>
      </c>
      <c r="F335" s="7">
        <f t="shared" si="5"/>
        <v>0.18120805369127516</v>
      </c>
      <c r="G335" s="5">
        <v>0</v>
      </c>
      <c r="H335" s="14">
        <v>44928</v>
      </c>
      <c r="I335" s="14">
        <v>45054</v>
      </c>
      <c r="J335" s="4" t="s">
        <v>850</v>
      </c>
      <c r="K335" s="4" t="s">
        <v>1183</v>
      </c>
      <c r="L335" s="2"/>
      <c r="M335" s="2"/>
      <c r="N335" s="2"/>
    </row>
    <row r="336" spans="1:14" x14ac:dyDescent="0.45">
      <c r="A336" s="9" t="s">
        <v>412</v>
      </c>
      <c r="B336" s="9" t="s">
        <v>847</v>
      </c>
      <c r="C336" s="9" t="s">
        <v>404</v>
      </c>
      <c r="D336" s="9" t="b">
        <f>TRUE()</f>
        <v>1</v>
      </c>
      <c r="E336" s="10">
        <v>1803</v>
      </c>
      <c r="F336" s="12">
        <f t="shared" si="5"/>
        <v>0.91244939271255066</v>
      </c>
      <c r="G336" s="10">
        <v>450</v>
      </c>
      <c r="H336" s="15">
        <v>44949</v>
      </c>
      <c r="I336" s="15">
        <v>46296</v>
      </c>
      <c r="J336" s="9" t="s">
        <v>848</v>
      </c>
      <c r="K336" s="9" t="s">
        <v>1184</v>
      </c>
      <c r="L336" s="2"/>
      <c r="M336" s="2"/>
      <c r="N336" s="2"/>
    </row>
    <row r="337" spans="1:14" x14ac:dyDescent="0.45">
      <c r="A337" s="4" t="s">
        <v>412</v>
      </c>
      <c r="B337" s="4" t="s">
        <v>847</v>
      </c>
      <c r="C337" s="4" t="s">
        <v>1171</v>
      </c>
      <c r="D337" s="4" t="b">
        <f>FALSE()</f>
        <v>0</v>
      </c>
      <c r="E337" s="5">
        <v>173</v>
      </c>
      <c r="F337" s="7">
        <f t="shared" si="5"/>
        <v>8.7550607287449386E-2</v>
      </c>
      <c r="G337" s="5">
        <v>0</v>
      </c>
      <c r="H337" s="14">
        <v>44928</v>
      </c>
      <c r="I337" s="14">
        <v>45055</v>
      </c>
      <c r="J337" s="4" t="s">
        <v>850</v>
      </c>
      <c r="K337" s="4" t="s">
        <v>1185</v>
      </c>
      <c r="L337" s="2"/>
      <c r="M337" s="2"/>
      <c r="N337" s="2"/>
    </row>
    <row r="338" spans="1:14" x14ac:dyDescent="0.45">
      <c r="A338" s="9" t="s">
        <v>414</v>
      </c>
      <c r="B338" s="9" t="s">
        <v>847</v>
      </c>
      <c r="C338" s="9" t="s">
        <v>404</v>
      </c>
      <c r="D338" s="9" t="b">
        <f>TRUE()</f>
        <v>1</v>
      </c>
      <c r="E338" s="10">
        <v>1059</v>
      </c>
      <c r="F338" s="12">
        <f t="shared" si="5"/>
        <v>0.75159687721788504</v>
      </c>
      <c r="G338" s="10">
        <v>174</v>
      </c>
      <c r="H338" s="15">
        <v>45222</v>
      </c>
      <c r="I338" s="15">
        <v>46135</v>
      </c>
      <c r="J338" s="9" t="s">
        <v>848</v>
      </c>
      <c r="K338" s="9" t="s">
        <v>1186</v>
      </c>
      <c r="L338" s="2"/>
      <c r="M338" s="2"/>
      <c r="N338" s="2"/>
    </row>
    <row r="339" spans="1:14" x14ac:dyDescent="0.45">
      <c r="A339" s="4" t="s">
        <v>414</v>
      </c>
      <c r="B339" s="4" t="s">
        <v>847</v>
      </c>
      <c r="C339" s="4" t="s">
        <v>1171</v>
      </c>
      <c r="D339" s="4" t="b">
        <f>FALSE()</f>
        <v>0</v>
      </c>
      <c r="E339" s="5">
        <v>350</v>
      </c>
      <c r="F339" s="7">
        <f t="shared" si="5"/>
        <v>0.24840312278211499</v>
      </c>
      <c r="G339" s="5">
        <v>0</v>
      </c>
      <c r="H339" s="14">
        <v>44929</v>
      </c>
      <c r="I339" s="14">
        <v>45017</v>
      </c>
      <c r="J339" s="4" t="s">
        <v>850</v>
      </c>
      <c r="K339" s="4" t="s">
        <v>1187</v>
      </c>
      <c r="L339" s="2"/>
      <c r="M339" s="2"/>
      <c r="N339" s="2"/>
    </row>
    <row r="340" spans="1:14" x14ac:dyDescent="0.45">
      <c r="A340" s="9" t="s">
        <v>415</v>
      </c>
      <c r="B340" s="9" t="s">
        <v>847</v>
      </c>
      <c r="C340" s="9" t="s">
        <v>404</v>
      </c>
      <c r="D340" s="9" t="b">
        <f>TRUE()</f>
        <v>1</v>
      </c>
      <c r="E340" s="10">
        <v>1249</v>
      </c>
      <c r="F340" s="12">
        <f t="shared" si="5"/>
        <v>0.91234477720964202</v>
      </c>
      <c r="G340" s="10">
        <v>291</v>
      </c>
      <c r="H340" s="15">
        <v>45033</v>
      </c>
      <c r="I340" s="15">
        <v>46296</v>
      </c>
      <c r="J340" s="9" t="s">
        <v>848</v>
      </c>
      <c r="K340" s="9" t="s">
        <v>894</v>
      </c>
      <c r="L340" s="2"/>
      <c r="M340" s="2"/>
      <c r="N340" s="2"/>
    </row>
    <row r="341" spans="1:14" x14ac:dyDescent="0.45">
      <c r="A341" s="4" t="s">
        <v>415</v>
      </c>
      <c r="B341" s="4" t="s">
        <v>847</v>
      </c>
      <c r="C341" s="4" t="s">
        <v>1171</v>
      </c>
      <c r="D341" s="4" t="b">
        <f>FALSE()</f>
        <v>0</v>
      </c>
      <c r="E341" s="5">
        <v>120</v>
      </c>
      <c r="F341" s="7">
        <f t="shared" si="5"/>
        <v>8.7655222790357923E-2</v>
      </c>
      <c r="G341" s="5">
        <v>0</v>
      </c>
      <c r="H341" s="14">
        <v>44928</v>
      </c>
      <c r="I341" s="14">
        <v>45054</v>
      </c>
      <c r="J341" s="4" t="s">
        <v>850</v>
      </c>
      <c r="K341" s="4" t="s">
        <v>1188</v>
      </c>
      <c r="L341" s="2"/>
      <c r="M341" s="2"/>
      <c r="N341" s="2"/>
    </row>
    <row r="342" spans="1:14" x14ac:dyDescent="0.45">
      <c r="A342" s="9" t="s">
        <v>416</v>
      </c>
      <c r="B342" s="9" t="s">
        <v>847</v>
      </c>
      <c r="C342" s="9" t="s">
        <v>404</v>
      </c>
      <c r="D342" s="9" t="b">
        <f>TRUE()</f>
        <v>1</v>
      </c>
      <c r="E342" s="10">
        <v>1153</v>
      </c>
      <c r="F342" s="12">
        <f t="shared" si="5"/>
        <v>0.93587662337662336</v>
      </c>
      <c r="G342" s="10">
        <v>324</v>
      </c>
      <c r="H342" s="15">
        <v>45041</v>
      </c>
      <c r="I342" s="15">
        <v>46296</v>
      </c>
      <c r="J342" s="9" t="s">
        <v>848</v>
      </c>
      <c r="K342" s="9" t="s">
        <v>1189</v>
      </c>
      <c r="L342" s="2"/>
      <c r="M342" s="2"/>
      <c r="N342" s="2"/>
    </row>
    <row r="343" spans="1:14" x14ac:dyDescent="0.45">
      <c r="A343" s="4" t="s">
        <v>416</v>
      </c>
      <c r="B343" s="4" t="s">
        <v>847</v>
      </c>
      <c r="C343" s="4" t="s">
        <v>1171</v>
      </c>
      <c r="D343" s="4" t="b">
        <f>FALSE()</f>
        <v>0</v>
      </c>
      <c r="E343" s="5">
        <v>79</v>
      </c>
      <c r="F343" s="7">
        <f t="shared" si="5"/>
        <v>6.4123376623376624E-2</v>
      </c>
      <c r="G343" s="5">
        <v>0</v>
      </c>
      <c r="H343" s="14">
        <v>44929</v>
      </c>
      <c r="I343" s="14">
        <v>45052</v>
      </c>
      <c r="J343" s="4" t="s">
        <v>850</v>
      </c>
      <c r="K343" s="4" t="s">
        <v>1190</v>
      </c>
      <c r="L343" s="2"/>
      <c r="M343" s="2"/>
      <c r="N343" s="2"/>
    </row>
    <row r="344" spans="1:14" x14ac:dyDescent="0.45">
      <c r="A344" s="9" t="s">
        <v>417</v>
      </c>
      <c r="B344" s="9" t="s">
        <v>847</v>
      </c>
      <c r="C344" s="9" t="s">
        <v>404</v>
      </c>
      <c r="D344" s="9" t="b">
        <f>TRUE()</f>
        <v>1</v>
      </c>
      <c r="E344" s="10">
        <v>873</v>
      </c>
      <c r="F344" s="12">
        <f t="shared" si="5"/>
        <v>0.91127348643006267</v>
      </c>
      <c r="G344" s="10">
        <v>199</v>
      </c>
      <c r="H344" s="15">
        <v>45041</v>
      </c>
      <c r="I344" s="15">
        <v>46296</v>
      </c>
      <c r="J344" s="9" t="s">
        <v>848</v>
      </c>
      <c r="K344" s="9" t="s">
        <v>1189</v>
      </c>
      <c r="L344" s="2"/>
      <c r="M344" s="2"/>
      <c r="N344" s="2"/>
    </row>
    <row r="345" spans="1:14" x14ac:dyDescent="0.45">
      <c r="A345" s="4" t="s">
        <v>417</v>
      </c>
      <c r="B345" s="4" t="s">
        <v>847</v>
      </c>
      <c r="C345" s="4" t="s">
        <v>1171</v>
      </c>
      <c r="D345" s="4" t="b">
        <f>FALSE()</f>
        <v>0</v>
      </c>
      <c r="E345" s="5">
        <v>85</v>
      </c>
      <c r="F345" s="7">
        <f t="shared" si="5"/>
        <v>8.8726513569937368E-2</v>
      </c>
      <c r="G345" s="5">
        <v>0</v>
      </c>
      <c r="H345" s="14">
        <v>44937</v>
      </c>
      <c r="I345" s="14">
        <v>45044</v>
      </c>
      <c r="J345" s="4" t="s">
        <v>850</v>
      </c>
      <c r="K345" s="4" t="s">
        <v>1191</v>
      </c>
      <c r="L345" s="2"/>
      <c r="M345" s="2"/>
      <c r="N345" s="2"/>
    </row>
    <row r="346" spans="1:14" x14ac:dyDescent="0.45">
      <c r="A346" s="9" t="s">
        <v>418</v>
      </c>
      <c r="B346" s="9" t="s">
        <v>847</v>
      </c>
      <c r="C346" s="9" t="s">
        <v>404</v>
      </c>
      <c r="D346" s="9" t="b">
        <f>TRUE()</f>
        <v>1</v>
      </c>
      <c r="E346" s="10">
        <v>337</v>
      </c>
      <c r="F346" s="12">
        <f t="shared" si="5"/>
        <v>0.79481132075471694</v>
      </c>
      <c r="G346" s="10">
        <v>0</v>
      </c>
      <c r="H346" s="15">
        <v>45056</v>
      </c>
      <c r="I346" s="15">
        <v>45503</v>
      </c>
      <c r="J346" s="9" t="s">
        <v>848</v>
      </c>
      <c r="K346" s="9" t="s">
        <v>1192</v>
      </c>
      <c r="L346" s="2"/>
      <c r="M346" s="2"/>
      <c r="N346" s="2"/>
    </row>
    <row r="347" spans="1:14" x14ac:dyDescent="0.45">
      <c r="A347" s="4" t="s">
        <v>418</v>
      </c>
      <c r="B347" s="4" t="s">
        <v>847</v>
      </c>
      <c r="C347" s="4" t="s">
        <v>1171</v>
      </c>
      <c r="D347" s="4" t="b">
        <f>FALSE()</f>
        <v>0</v>
      </c>
      <c r="E347" s="5">
        <v>87</v>
      </c>
      <c r="F347" s="7">
        <f t="shared" si="5"/>
        <v>0.20518867924528303</v>
      </c>
      <c r="G347" s="5">
        <v>0</v>
      </c>
      <c r="H347" s="14">
        <v>44928</v>
      </c>
      <c r="I347" s="14">
        <v>45051</v>
      </c>
      <c r="J347" s="4" t="s">
        <v>850</v>
      </c>
      <c r="K347" s="4" t="s">
        <v>1193</v>
      </c>
      <c r="L347" s="2"/>
      <c r="M347" s="2"/>
      <c r="N347" s="2"/>
    </row>
    <row r="348" spans="1:14" x14ac:dyDescent="0.45">
      <c r="A348" s="9" t="s">
        <v>419</v>
      </c>
      <c r="B348" s="9" t="s">
        <v>847</v>
      </c>
      <c r="C348" s="9" t="s">
        <v>404</v>
      </c>
      <c r="D348" s="9" t="b">
        <f>TRUE()</f>
        <v>1</v>
      </c>
      <c r="E348" s="10">
        <v>193</v>
      </c>
      <c r="F348" s="12">
        <f t="shared" si="5"/>
        <v>0.94607843137254899</v>
      </c>
      <c r="G348" s="10">
        <v>30</v>
      </c>
      <c r="H348" s="15">
        <v>45051</v>
      </c>
      <c r="I348" s="15">
        <v>46290</v>
      </c>
      <c r="J348" s="9" t="s">
        <v>848</v>
      </c>
      <c r="K348" s="9" t="s">
        <v>1194</v>
      </c>
      <c r="L348" s="2"/>
      <c r="M348" s="2"/>
      <c r="N348" s="2"/>
    </row>
    <row r="349" spans="1:14" x14ac:dyDescent="0.45">
      <c r="A349" s="4" t="s">
        <v>419</v>
      </c>
      <c r="B349" s="4" t="s">
        <v>847</v>
      </c>
      <c r="C349" s="4" t="s">
        <v>1171</v>
      </c>
      <c r="D349" s="4" t="b">
        <f>FALSE()</f>
        <v>0</v>
      </c>
      <c r="E349" s="5">
        <v>11</v>
      </c>
      <c r="F349" s="7">
        <f t="shared" si="5"/>
        <v>5.3921568627450983E-2</v>
      </c>
      <c r="G349" s="5">
        <v>0</v>
      </c>
      <c r="H349" s="14">
        <v>44929</v>
      </c>
      <c r="I349" s="14">
        <v>45041</v>
      </c>
      <c r="J349" s="4" t="s">
        <v>850</v>
      </c>
      <c r="K349" s="4" t="s">
        <v>1195</v>
      </c>
      <c r="L349" s="2"/>
      <c r="M349" s="2"/>
      <c r="N349" s="2"/>
    </row>
    <row r="350" spans="1:14" x14ac:dyDescent="0.45">
      <c r="A350" s="9" t="s">
        <v>420</v>
      </c>
      <c r="B350" s="9" t="s">
        <v>847</v>
      </c>
      <c r="C350" s="9" t="s">
        <v>404</v>
      </c>
      <c r="D350" s="9" t="b">
        <f>TRUE()</f>
        <v>1</v>
      </c>
      <c r="E350" s="10">
        <v>160</v>
      </c>
      <c r="F350" s="12">
        <f t="shared" si="5"/>
        <v>0.86021505376344087</v>
      </c>
      <c r="G350" s="10">
        <v>0</v>
      </c>
      <c r="H350" s="15">
        <v>45055</v>
      </c>
      <c r="I350" s="15">
        <v>45244</v>
      </c>
      <c r="J350" s="9" t="s">
        <v>848</v>
      </c>
      <c r="K350" s="9" t="s">
        <v>1196</v>
      </c>
      <c r="L350" s="2"/>
      <c r="M350" s="2"/>
      <c r="N350" s="2"/>
    </row>
    <row r="351" spans="1:14" x14ac:dyDescent="0.45">
      <c r="A351" s="4" t="s">
        <v>420</v>
      </c>
      <c r="B351" s="4" t="s">
        <v>847</v>
      </c>
      <c r="C351" s="4" t="s">
        <v>1171</v>
      </c>
      <c r="D351" s="4" t="b">
        <f>FALSE()</f>
        <v>0</v>
      </c>
      <c r="E351" s="5">
        <v>26</v>
      </c>
      <c r="F351" s="7">
        <f t="shared" si="5"/>
        <v>0.13978494623655913</v>
      </c>
      <c r="G351" s="5">
        <v>0</v>
      </c>
      <c r="H351" s="14">
        <v>44932</v>
      </c>
      <c r="I351" s="14">
        <v>45054</v>
      </c>
      <c r="J351" s="4" t="s">
        <v>850</v>
      </c>
      <c r="K351" s="4" t="s">
        <v>1197</v>
      </c>
      <c r="L351" s="2"/>
      <c r="M351" s="2"/>
      <c r="N351" s="2"/>
    </row>
    <row r="352" spans="1:14" x14ac:dyDescent="0.45">
      <c r="A352" s="9" t="s">
        <v>421</v>
      </c>
      <c r="B352" s="9" t="s">
        <v>847</v>
      </c>
      <c r="C352" s="9" t="s">
        <v>404</v>
      </c>
      <c r="D352" s="9" t="b">
        <f>TRUE()</f>
        <v>1</v>
      </c>
      <c r="E352" s="10">
        <v>113</v>
      </c>
      <c r="F352" s="12">
        <f t="shared" si="5"/>
        <v>0.91129032258064513</v>
      </c>
      <c r="G352" s="10">
        <v>18</v>
      </c>
      <c r="H352" s="15">
        <v>45041</v>
      </c>
      <c r="I352" s="15">
        <v>46286</v>
      </c>
      <c r="J352" s="9" t="s">
        <v>848</v>
      </c>
      <c r="K352" s="9" t="s">
        <v>1198</v>
      </c>
      <c r="L352" s="2"/>
      <c r="M352" s="2"/>
      <c r="N352" s="2"/>
    </row>
    <row r="353" spans="1:14" x14ac:dyDescent="0.45">
      <c r="A353" s="4" t="s">
        <v>421</v>
      </c>
      <c r="B353" s="4" t="s">
        <v>847</v>
      </c>
      <c r="C353" s="4" t="s">
        <v>1171</v>
      </c>
      <c r="D353" s="4" t="b">
        <f>FALSE()</f>
        <v>0</v>
      </c>
      <c r="E353" s="5">
        <v>11</v>
      </c>
      <c r="F353" s="7">
        <f t="shared" si="5"/>
        <v>8.8709677419354843E-2</v>
      </c>
      <c r="G353" s="5">
        <v>0</v>
      </c>
      <c r="H353" s="14">
        <v>44936</v>
      </c>
      <c r="I353" s="14">
        <v>45028</v>
      </c>
      <c r="J353" s="4" t="s">
        <v>850</v>
      </c>
      <c r="K353" s="4" t="s">
        <v>1199</v>
      </c>
      <c r="L353" s="2"/>
      <c r="M353" s="2"/>
      <c r="N353" s="2"/>
    </row>
    <row r="354" spans="1:14" x14ac:dyDescent="0.45">
      <c r="A354" s="9" t="s">
        <v>422</v>
      </c>
      <c r="B354" s="9" t="s">
        <v>847</v>
      </c>
      <c r="C354" s="9" t="s">
        <v>404</v>
      </c>
      <c r="D354" s="9" t="b">
        <f>TRUE()</f>
        <v>1</v>
      </c>
      <c r="E354" s="10">
        <v>23</v>
      </c>
      <c r="F354" s="12">
        <f t="shared" si="5"/>
        <v>0.95833333333333337</v>
      </c>
      <c r="G354" s="10">
        <v>0</v>
      </c>
      <c r="H354" s="15">
        <v>45056</v>
      </c>
      <c r="I354" s="15">
        <v>45490</v>
      </c>
      <c r="J354" s="9" t="s">
        <v>848</v>
      </c>
      <c r="K354" s="9" t="s">
        <v>1200</v>
      </c>
      <c r="L354" s="2"/>
      <c r="M354" s="2"/>
      <c r="N354" s="2"/>
    </row>
    <row r="355" spans="1:14" x14ac:dyDescent="0.45">
      <c r="A355" s="4" t="s">
        <v>422</v>
      </c>
      <c r="B355" s="4" t="s">
        <v>847</v>
      </c>
      <c r="C355" s="4" t="s">
        <v>1171</v>
      </c>
      <c r="D355" s="4" t="b">
        <f>FALSE()</f>
        <v>0</v>
      </c>
      <c r="E355" s="5">
        <v>1</v>
      </c>
      <c r="F355" s="7">
        <f t="shared" si="5"/>
        <v>4.1666666666666664E-2</v>
      </c>
      <c r="G355" s="5">
        <v>0</v>
      </c>
      <c r="H355" s="14">
        <v>45042</v>
      </c>
      <c r="I355" s="14">
        <v>45042</v>
      </c>
      <c r="J355" s="4" t="s">
        <v>850</v>
      </c>
      <c r="K355" s="4" t="s">
        <v>1201</v>
      </c>
      <c r="L355" s="2"/>
      <c r="M355" s="2"/>
      <c r="N355" s="2"/>
    </row>
    <row r="356" spans="1:14" x14ac:dyDescent="0.45">
      <c r="A356" s="9" t="s">
        <v>425</v>
      </c>
      <c r="B356" s="9" t="s">
        <v>847</v>
      </c>
      <c r="C356" s="9" t="s">
        <v>426</v>
      </c>
      <c r="D356" s="9" t="b">
        <f>TRUE()</f>
        <v>1</v>
      </c>
      <c r="E356" s="10">
        <v>1350</v>
      </c>
      <c r="F356" s="12">
        <f t="shared" si="5"/>
        <v>0.94142259414225937</v>
      </c>
      <c r="G356" s="10">
        <v>329</v>
      </c>
      <c r="H356" s="15">
        <v>44930</v>
      </c>
      <c r="I356" s="15">
        <v>46296</v>
      </c>
      <c r="J356" s="9" t="s">
        <v>848</v>
      </c>
      <c r="K356" s="9" t="s">
        <v>1202</v>
      </c>
      <c r="L356" s="2"/>
      <c r="M356" s="2"/>
      <c r="N356" s="2"/>
    </row>
    <row r="357" spans="1:14" x14ac:dyDescent="0.45">
      <c r="A357" s="4" t="s">
        <v>425</v>
      </c>
      <c r="B357" s="4" t="s">
        <v>847</v>
      </c>
      <c r="C357" s="4" t="s">
        <v>1203</v>
      </c>
      <c r="D357" s="4" t="b">
        <f>FALSE()</f>
        <v>0</v>
      </c>
      <c r="E357" s="5">
        <v>84</v>
      </c>
      <c r="F357" s="7">
        <f t="shared" si="5"/>
        <v>5.8577405857740586E-2</v>
      </c>
      <c r="G357" s="5">
        <v>0</v>
      </c>
      <c r="H357" s="14">
        <v>44930</v>
      </c>
      <c r="I357" s="14">
        <v>45055</v>
      </c>
      <c r="J357" s="4" t="s">
        <v>850</v>
      </c>
      <c r="K357" s="4" t="s">
        <v>1204</v>
      </c>
      <c r="L357" s="2"/>
      <c r="M357" s="2"/>
      <c r="N357" s="2"/>
    </row>
    <row r="358" spans="1:14" x14ac:dyDescent="0.45">
      <c r="A358" s="9" t="s">
        <v>427</v>
      </c>
      <c r="B358" s="9" t="s">
        <v>847</v>
      </c>
      <c r="C358" s="9" t="s">
        <v>426</v>
      </c>
      <c r="D358" s="9" t="b">
        <f>TRUE()</f>
        <v>1</v>
      </c>
      <c r="E358" s="10">
        <v>634</v>
      </c>
      <c r="F358" s="12">
        <f t="shared" si="5"/>
        <v>0.93235294117647061</v>
      </c>
      <c r="G358" s="10">
        <v>187</v>
      </c>
      <c r="H358" s="15">
        <v>44930</v>
      </c>
      <c r="I358" s="15">
        <v>46295</v>
      </c>
      <c r="J358" s="9" t="s">
        <v>848</v>
      </c>
      <c r="K358" s="9" t="s">
        <v>1205</v>
      </c>
      <c r="L358" s="2"/>
      <c r="M358" s="2"/>
      <c r="N358" s="2"/>
    </row>
    <row r="359" spans="1:14" x14ac:dyDescent="0.45">
      <c r="A359" s="4" t="s">
        <v>427</v>
      </c>
      <c r="B359" s="4" t="s">
        <v>847</v>
      </c>
      <c r="C359" s="4" t="s">
        <v>1203</v>
      </c>
      <c r="D359" s="4" t="b">
        <f>FALSE()</f>
        <v>0</v>
      </c>
      <c r="E359" s="5">
        <v>46</v>
      </c>
      <c r="F359" s="7">
        <f t="shared" si="5"/>
        <v>6.7647058823529407E-2</v>
      </c>
      <c r="G359" s="5">
        <v>0</v>
      </c>
      <c r="H359" s="14">
        <v>44928</v>
      </c>
      <c r="I359" s="14">
        <v>45053</v>
      </c>
      <c r="J359" s="4" t="s">
        <v>850</v>
      </c>
      <c r="K359" s="4" t="s">
        <v>1206</v>
      </c>
      <c r="L359" s="2"/>
      <c r="M359" s="2"/>
      <c r="N359" s="2"/>
    </row>
    <row r="360" spans="1:14" x14ac:dyDescent="0.45">
      <c r="A360" s="9" t="s">
        <v>428</v>
      </c>
      <c r="B360" s="9" t="s">
        <v>847</v>
      </c>
      <c r="C360" s="9" t="s">
        <v>426</v>
      </c>
      <c r="D360" s="9" t="b">
        <f>TRUE()</f>
        <v>1</v>
      </c>
      <c r="E360" s="10">
        <v>10</v>
      </c>
      <c r="F360" s="12">
        <f t="shared" si="5"/>
        <v>0.83333333333333337</v>
      </c>
      <c r="G360" s="10">
        <v>0</v>
      </c>
      <c r="H360" s="15">
        <v>45225</v>
      </c>
      <c r="I360" s="15">
        <v>45887</v>
      </c>
      <c r="J360" s="9" t="s">
        <v>848</v>
      </c>
      <c r="K360" s="9" t="s">
        <v>1207</v>
      </c>
      <c r="L360" s="2"/>
      <c r="M360" s="2"/>
      <c r="N360" s="2"/>
    </row>
    <row r="361" spans="1:14" x14ac:dyDescent="0.45">
      <c r="A361" s="4" t="s">
        <v>428</v>
      </c>
      <c r="B361" s="4" t="s">
        <v>847</v>
      </c>
      <c r="C361" s="4" t="s">
        <v>1203</v>
      </c>
      <c r="D361" s="4" t="b">
        <f>FALSE()</f>
        <v>0</v>
      </c>
      <c r="E361" s="5">
        <v>2</v>
      </c>
      <c r="F361" s="7">
        <f t="shared" si="5"/>
        <v>0.16666666666666666</v>
      </c>
      <c r="G361" s="5">
        <v>0</v>
      </c>
      <c r="H361" s="14">
        <v>44949</v>
      </c>
      <c r="I361" s="14">
        <v>44963</v>
      </c>
      <c r="J361" s="4" t="s">
        <v>850</v>
      </c>
      <c r="K361" s="4" t="s">
        <v>1208</v>
      </c>
      <c r="L361" s="2"/>
      <c r="M361" s="2"/>
      <c r="N361" s="2"/>
    </row>
    <row r="362" spans="1:14" x14ac:dyDescent="0.45">
      <c r="A362" s="9" t="s">
        <v>429</v>
      </c>
      <c r="B362" s="9" t="s">
        <v>847</v>
      </c>
      <c r="C362" s="9" t="s">
        <v>430</v>
      </c>
      <c r="D362" s="9" t="b">
        <f>TRUE()</f>
        <v>1</v>
      </c>
      <c r="E362" s="10">
        <v>122</v>
      </c>
      <c r="F362" s="12">
        <f t="shared" si="5"/>
        <v>0.96825396825396826</v>
      </c>
      <c r="G362" s="10">
        <v>45</v>
      </c>
      <c r="H362" s="15">
        <v>45055</v>
      </c>
      <c r="I362" s="15">
        <v>46293</v>
      </c>
      <c r="J362" s="9" t="s">
        <v>848</v>
      </c>
      <c r="K362" s="9" t="s">
        <v>1209</v>
      </c>
      <c r="L362" s="2"/>
      <c r="M362" s="2"/>
      <c r="N362" s="2"/>
    </row>
    <row r="363" spans="1:14" x14ac:dyDescent="0.45">
      <c r="A363" s="4" t="s">
        <v>429</v>
      </c>
      <c r="B363" s="4" t="s">
        <v>847</v>
      </c>
      <c r="C363" s="4" t="s">
        <v>1210</v>
      </c>
      <c r="D363" s="4" t="b">
        <f>FALSE()</f>
        <v>0</v>
      </c>
      <c r="E363" s="5">
        <v>4</v>
      </c>
      <c r="F363" s="7">
        <f t="shared" si="5"/>
        <v>3.1746031746031744E-2</v>
      </c>
      <c r="G363" s="5">
        <v>0</v>
      </c>
      <c r="H363" s="14">
        <v>44944</v>
      </c>
      <c r="I363" s="14">
        <v>45016</v>
      </c>
      <c r="J363" s="4" t="s">
        <v>850</v>
      </c>
      <c r="K363" s="4" t="s">
        <v>1211</v>
      </c>
      <c r="L363" s="2"/>
      <c r="M363" s="2"/>
      <c r="N363" s="2"/>
    </row>
    <row r="364" spans="1:14" x14ac:dyDescent="0.45">
      <c r="A364" s="9" t="s">
        <v>431</v>
      </c>
      <c r="B364" s="9" t="s">
        <v>847</v>
      </c>
      <c r="C364" s="9" t="s">
        <v>430</v>
      </c>
      <c r="D364" s="9" t="b">
        <f>TRUE()</f>
        <v>1</v>
      </c>
      <c r="E364" s="10">
        <v>59</v>
      </c>
      <c r="F364" s="12">
        <f t="shared" si="5"/>
        <v>0.95161290322580649</v>
      </c>
      <c r="G364" s="10">
        <v>0</v>
      </c>
      <c r="H364" s="15">
        <v>45072</v>
      </c>
      <c r="I364" s="15">
        <v>45874</v>
      </c>
      <c r="J364" s="9" t="s">
        <v>848</v>
      </c>
      <c r="K364" s="9" t="s">
        <v>1212</v>
      </c>
      <c r="L364" s="2"/>
      <c r="M364" s="2"/>
      <c r="N364" s="2"/>
    </row>
    <row r="365" spans="1:14" x14ac:dyDescent="0.45">
      <c r="A365" s="4" t="s">
        <v>431</v>
      </c>
      <c r="B365" s="4" t="s">
        <v>847</v>
      </c>
      <c r="C365" s="4" t="s">
        <v>314</v>
      </c>
      <c r="D365" s="4" t="b">
        <f>FALSE()</f>
        <v>0</v>
      </c>
      <c r="E365" s="5">
        <v>3</v>
      </c>
      <c r="F365" s="7">
        <f t="shared" si="5"/>
        <v>4.8387096774193547E-2</v>
      </c>
      <c r="G365" s="5">
        <v>0</v>
      </c>
      <c r="H365" s="14">
        <v>44942</v>
      </c>
      <c r="I365" s="14">
        <v>45013</v>
      </c>
      <c r="J365" s="4" t="s">
        <v>853</v>
      </c>
      <c r="K365" s="4" t="s">
        <v>1213</v>
      </c>
      <c r="L365" s="2"/>
      <c r="M365" s="2"/>
      <c r="N365" s="2"/>
    </row>
    <row r="366" spans="1:14" x14ac:dyDescent="0.45">
      <c r="A366" s="9" t="s">
        <v>432</v>
      </c>
      <c r="B366" s="9" t="s">
        <v>847</v>
      </c>
      <c r="C366" s="9" t="s">
        <v>433</v>
      </c>
      <c r="D366" s="9" t="b">
        <f>TRUE()</f>
        <v>1</v>
      </c>
      <c r="E366" s="10">
        <v>33556</v>
      </c>
      <c r="F366" s="12">
        <f t="shared" si="5"/>
        <v>0.96453003736705945</v>
      </c>
      <c r="G366" s="10">
        <v>7889</v>
      </c>
      <c r="H366" s="15">
        <v>44928</v>
      </c>
      <c r="I366" s="15">
        <v>46296</v>
      </c>
      <c r="J366" s="9" t="s">
        <v>848</v>
      </c>
      <c r="K366" s="9" t="s">
        <v>930</v>
      </c>
      <c r="L366" s="2"/>
      <c r="M366" s="2"/>
      <c r="N366" s="2"/>
    </row>
    <row r="367" spans="1:14" x14ac:dyDescent="0.45">
      <c r="A367" s="4" t="s">
        <v>432</v>
      </c>
      <c r="B367" s="4" t="s">
        <v>847</v>
      </c>
      <c r="C367" s="4" t="s">
        <v>813</v>
      </c>
      <c r="D367" s="4" t="b">
        <f>FALSE()</f>
        <v>0</v>
      </c>
      <c r="E367" s="5">
        <v>1234</v>
      </c>
      <c r="F367" s="7">
        <f t="shared" si="5"/>
        <v>3.5469962632940499E-2</v>
      </c>
      <c r="G367" s="5">
        <v>0</v>
      </c>
      <c r="H367" s="14">
        <v>44928</v>
      </c>
      <c r="I367" s="14">
        <v>45055</v>
      </c>
      <c r="J367" s="4" t="s">
        <v>853</v>
      </c>
      <c r="K367" s="4" t="s">
        <v>931</v>
      </c>
      <c r="L367" s="2"/>
      <c r="M367" s="2"/>
      <c r="N367" s="2"/>
    </row>
    <row r="368" spans="1:14" x14ac:dyDescent="0.45">
      <c r="A368" s="9" t="s">
        <v>434</v>
      </c>
      <c r="B368" s="9" t="s">
        <v>847</v>
      </c>
      <c r="C368" s="9" t="s">
        <v>433</v>
      </c>
      <c r="D368" s="9" t="b">
        <f>TRUE()</f>
        <v>1</v>
      </c>
      <c r="E368" s="10">
        <v>21300</v>
      </c>
      <c r="F368" s="12">
        <f t="shared" si="5"/>
        <v>0.76057846813069097</v>
      </c>
      <c r="G368" s="10">
        <v>3786</v>
      </c>
      <c r="H368" s="15">
        <v>44928</v>
      </c>
      <c r="I368" s="15">
        <v>46203</v>
      </c>
      <c r="J368" s="9" t="s">
        <v>848</v>
      </c>
      <c r="K368" s="9" t="s">
        <v>1214</v>
      </c>
      <c r="L368" s="2"/>
      <c r="M368" s="2"/>
      <c r="N368" s="2"/>
    </row>
    <row r="369" spans="1:14" x14ac:dyDescent="0.45">
      <c r="A369" s="4" t="s">
        <v>434</v>
      </c>
      <c r="B369" s="4" t="s">
        <v>847</v>
      </c>
      <c r="C369" s="4" t="s">
        <v>813</v>
      </c>
      <c r="D369" s="4" t="b">
        <f>FALSE()</f>
        <v>0</v>
      </c>
      <c r="E369" s="5">
        <v>6705</v>
      </c>
      <c r="F369" s="7">
        <f t="shared" si="5"/>
        <v>0.23942153186930906</v>
      </c>
      <c r="G369" s="5">
        <v>0</v>
      </c>
      <c r="H369" s="14">
        <v>44928</v>
      </c>
      <c r="I369" s="14">
        <v>45037</v>
      </c>
      <c r="J369" s="4" t="s">
        <v>853</v>
      </c>
      <c r="K369" s="4" t="s">
        <v>923</v>
      </c>
      <c r="L369" s="2"/>
      <c r="M369" s="2"/>
      <c r="N369" s="2"/>
    </row>
    <row r="370" spans="1:14" x14ac:dyDescent="0.45">
      <c r="A370" s="9" t="s">
        <v>435</v>
      </c>
      <c r="B370" s="9" t="s">
        <v>847</v>
      </c>
      <c r="C370" s="9" t="s">
        <v>433</v>
      </c>
      <c r="D370" s="9" t="b">
        <f>TRUE()</f>
        <v>1</v>
      </c>
      <c r="E370" s="10">
        <v>23520</v>
      </c>
      <c r="F370" s="12">
        <f t="shared" si="5"/>
        <v>0.94888449590511159</v>
      </c>
      <c r="G370" s="10">
        <v>6096</v>
      </c>
      <c r="H370" s="15">
        <v>44928</v>
      </c>
      <c r="I370" s="15">
        <v>46296</v>
      </c>
      <c r="J370" s="9" t="s">
        <v>848</v>
      </c>
      <c r="K370" s="9" t="s">
        <v>930</v>
      </c>
      <c r="L370" s="2"/>
      <c r="M370" s="2"/>
      <c r="N370" s="2"/>
    </row>
    <row r="371" spans="1:14" x14ac:dyDescent="0.45">
      <c r="A371" s="4" t="s">
        <v>435</v>
      </c>
      <c r="B371" s="4" t="s">
        <v>847</v>
      </c>
      <c r="C371" s="4" t="s">
        <v>813</v>
      </c>
      <c r="D371" s="4" t="b">
        <f>FALSE()</f>
        <v>0</v>
      </c>
      <c r="E371" s="5">
        <v>1267</v>
      </c>
      <c r="F371" s="7">
        <f t="shared" si="5"/>
        <v>5.111550409488845E-2</v>
      </c>
      <c r="G371" s="5">
        <v>0</v>
      </c>
      <c r="H371" s="14">
        <v>44928</v>
      </c>
      <c r="I371" s="14">
        <v>45055</v>
      </c>
      <c r="J371" s="4" t="s">
        <v>853</v>
      </c>
      <c r="K371" s="4" t="s">
        <v>931</v>
      </c>
      <c r="L371" s="2"/>
      <c r="M371" s="2"/>
      <c r="N371" s="2"/>
    </row>
    <row r="372" spans="1:14" x14ac:dyDescent="0.45">
      <c r="A372" s="9" t="s">
        <v>436</v>
      </c>
      <c r="B372" s="9" t="s">
        <v>847</v>
      </c>
      <c r="C372" s="9" t="s">
        <v>433</v>
      </c>
      <c r="D372" s="9" t="b">
        <f>TRUE()</f>
        <v>1</v>
      </c>
      <c r="E372" s="10">
        <v>22304</v>
      </c>
      <c r="F372" s="12">
        <f t="shared" si="5"/>
        <v>0.98359499029811259</v>
      </c>
      <c r="G372" s="10">
        <v>5375</v>
      </c>
      <c r="H372" s="15">
        <v>44928</v>
      </c>
      <c r="I372" s="15">
        <v>46296</v>
      </c>
      <c r="J372" s="9" t="s">
        <v>848</v>
      </c>
      <c r="K372" s="9" t="s">
        <v>930</v>
      </c>
      <c r="L372" s="2"/>
      <c r="M372" s="2"/>
      <c r="N372" s="2"/>
    </row>
    <row r="373" spans="1:14" x14ac:dyDescent="0.45">
      <c r="A373" s="4" t="s">
        <v>436</v>
      </c>
      <c r="B373" s="4" t="s">
        <v>847</v>
      </c>
      <c r="C373" s="4" t="s">
        <v>813</v>
      </c>
      <c r="D373" s="4" t="b">
        <f>FALSE()</f>
        <v>0</v>
      </c>
      <c r="E373" s="5">
        <v>372</v>
      </c>
      <c r="F373" s="7">
        <f t="shared" si="5"/>
        <v>1.640500970188746E-2</v>
      </c>
      <c r="G373" s="5">
        <v>0</v>
      </c>
      <c r="H373" s="14">
        <v>44928</v>
      </c>
      <c r="I373" s="14">
        <v>45054</v>
      </c>
      <c r="J373" s="4" t="s">
        <v>853</v>
      </c>
      <c r="K373" s="4" t="s">
        <v>932</v>
      </c>
      <c r="L373" s="2"/>
      <c r="M373" s="2"/>
      <c r="N373" s="2"/>
    </row>
    <row r="374" spans="1:14" x14ac:dyDescent="0.45">
      <c r="A374" s="9" t="s">
        <v>437</v>
      </c>
      <c r="B374" s="9" t="s">
        <v>847</v>
      </c>
      <c r="C374" s="9" t="s">
        <v>433</v>
      </c>
      <c r="D374" s="9" t="b">
        <f>TRUE()</f>
        <v>1</v>
      </c>
      <c r="E374" s="10">
        <v>18521</v>
      </c>
      <c r="F374" s="12">
        <f t="shared" si="5"/>
        <v>0.83341583044593437</v>
      </c>
      <c r="G374" s="10">
        <v>2743</v>
      </c>
      <c r="H374" s="15">
        <v>44928</v>
      </c>
      <c r="I374" s="15">
        <v>46296</v>
      </c>
      <c r="J374" s="9" t="s">
        <v>848</v>
      </c>
      <c r="K374" s="9" t="s">
        <v>930</v>
      </c>
      <c r="L374" s="2"/>
      <c r="M374" s="2"/>
      <c r="N374" s="2"/>
    </row>
    <row r="375" spans="1:14" x14ac:dyDescent="0.45">
      <c r="A375" s="4" t="s">
        <v>437</v>
      </c>
      <c r="B375" s="4" t="s">
        <v>847</v>
      </c>
      <c r="C375" s="4" t="s">
        <v>813</v>
      </c>
      <c r="D375" s="4" t="b">
        <f>FALSE()</f>
        <v>0</v>
      </c>
      <c r="E375" s="5">
        <v>3702</v>
      </c>
      <c r="F375" s="7">
        <f t="shared" si="5"/>
        <v>0.1665841695540656</v>
      </c>
      <c r="G375" s="5">
        <v>0</v>
      </c>
      <c r="H375" s="14">
        <v>44928</v>
      </c>
      <c r="I375" s="14">
        <v>45055</v>
      </c>
      <c r="J375" s="4" t="s">
        <v>853</v>
      </c>
      <c r="K375" s="4" t="s">
        <v>931</v>
      </c>
      <c r="L375" s="2"/>
      <c r="M375" s="2"/>
      <c r="N375" s="2"/>
    </row>
    <row r="376" spans="1:14" x14ac:dyDescent="0.45">
      <c r="A376" s="9" t="s">
        <v>438</v>
      </c>
      <c r="B376" s="9" t="s">
        <v>847</v>
      </c>
      <c r="C376" s="9" t="s">
        <v>433</v>
      </c>
      <c r="D376" s="9" t="b">
        <f>TRUE()</f>
        <v>1</v>
      </c>
      <c r="E376" s="10">
        <v>20555</v>
      </c>
      <c r="F376" s="12">
        <f t="shared" si="5"/>
        <v>0.95564647356920362</v>
      </c>
      <c r="G376" s="10">
        <v>4256</v>
      </c>
      <c r="H376" s="15">
        <v>44933</v>
      </c>
      <c r="I376" s="15">
        <v>46296</v>
      </c>
      <c r="J376" s="9" t="s">
        <v>848</v>
      </c>
      <c r="K376" s="9" t="s">
        <v>1215</v>
      </c>
      <c r="L376" s="2"/>
      <c r="M376" s="2"/>
      <c r="N376" s="2"/>
    </row>
    <row r="377" spans="1:14" x14ac:dyDescent="0.45">
      <c r="A377" s="4" t="s">
        <v>438</v>
      </c>
      <c r="B377" s="4" t="s">
        <v>847</v>
      </c>
      <c r="C377" s="4" t="s">
        <v>813</v>
      </c>
      <c r="D377" s="4" t="b">
        <f>FALSE()</f>
        <v>0</v>
      </c>
      <c r="E377" s="5">
        <v>954</v>
      </c>
      <c r="F377" s="7">
        <f t="shared" si="5"/>
        <v>4.435352643079641E-2</v>
      </c>
      <c r="G377" s="5">
        <v>0</v>
      </c>
      <c r="H377" s="14">
        <v>44929</v>
      </c>
      <c r="I377" s="14">
        <v>45055</v>
      </c>
      <c r="J377" s="4" t="s">
        <v>853</v>
      </c>
      <c r="K377" s="4" t="s">
        <v>1216</v>
      </c>
      <c r="L377" s="2"/>
      <c r="M377" s="2"/>
      <c r="N377" s="2"/>
    </row>
    <row r="378" spans="1:14" x14ac:dyDescent="0.45">
      <c r="A378" s="9" t="s">
        <v>439</v>
      </c>
      <c r="B378" s="9" t="s">
        <v>847</v>
      </c>
      <c r="C378" s="9" t="s">
        <v>433</v>
      </c>
      <c r="D378" s="9" t="b">
        <f>TRUE()</f>
        <v>1</v>
      </c>
      <c r="E378" s="10">
        <v>18664</v>
      </c>
      <c r="F378" s="12">
        <f t="shared" si="5"/>
        <v>0.9454434932374246</v>
      </c>
      <c r="G378" s="10">
        <v>5296</v>
      </c>
      <c r="H378" s="15">
        <v>44932</v>
      </c>
      <c r="I378" s="15">
        <v>46296</v>
      </c>
      <c r="J378" s="9" t="s">
        <v>848</v>
      </c>
      <c r="K378" s="9" t="s">
        <v>1217</v>
      </c>
      <c r="L378" s="2"/>
      <c r="M378" s="2"/>
      <c r="N378" s="2"/>
    </row>
    <row r="379" spans="1:14" x14ac:dyDescent="0.45">
      <c r="A379" s="4" t="s">
        <v>439</v>
      </c>
      <c r="B379" s="4" t="s">
        <v>847</v>
      </c>
      <c r="C379" s="4" t="s">
        <v>813</v>
      </c>
      <c r="D379" s="4" t="b">
        <f>FALSE()</f>
        <v>0</v>
      </c>
      <c r="E379" s="5">
        <v>1077</v>
      </c>
      <c r="F379" s="7">
        <f t="shared" si="5"/>
        <v>5.4556506762575348E-2</v>
      </c>
      <c r="G379" s="5">
        <v>0</v>
      </c>
      <c r="H379" s="14">
        <v>44928</v>
      </c>
      <c r="I379" s="14">
        <v>45055</v>
      </c>
      <c r="J379" s="4" t="s">
        <v>853</v>
      </c>
      <c r="K379" s="4" t="s">
        <v>1218</v>
      </c>
      <c r="L379" s="2"/>
      <c r="M379" s="2"/>
      <c r="N379" s="2"/>
    </row>
    <row r="380" spans="1:14" x14ac:dyDescent="0.45">
      <c r="A380" s="9" t="s">
        <v>440</v>
      </c>
      <c r="B380" s="9" t="s">
        <v>847</v>
      </c>
      <c r="C380" s="9" t="s">
        <v>433</v>
      </c>
      <c r="D380" s="9" t="b">
        <f>TRUE()</f>
        <v>1</v>
      </c>
      <c r="E380" s="10">
        <v>18051</v>
      </c>
      <c r="F380" s="12">
        <f t="shared" si="5"/>
        <v>0.94845523329129888</v>
      </c>
      <c r="G380" s="10">
        <v>3089</v>
      </c>
      <c r="H380" s="15">
        <v>44928</v>
      </c>
      <c r="I380" s="15">
        <v>46251</v>
      </c>
      <c r="J380" s="9" t="s">
        <v>848</v>
      </c>
      <c r="K380" s="9" t="s">
        <v>1219</v>
      </c>
      <c r="L380" s="2"/>
      <c r="M380" s="2"/>
      <c r="N380" s="2"/>
    </row>
    <row r="381" spans="1:14" x14ac:dyDescent="0.45">
      <c r="A381" s="4" t="s">
        <v>440</v>
      </c>
      <c r="B381" s="4" t="s">
        <v>847</v>
      </c>
      <c r="C381" s="4" t="s">
        <v>813</v>
      </c>
      <c r="D381" s="4" t="b">
        <f>FALSE()</f>
        <v>0</v>
      </c>
      <c r="E381" s="5">
        <v>981</v>
      </c>
      <c r="F381" s="7">
        <f t="shared" si="5"/>
        <v>5.1544766708701138E-2</v>
      </c>
      <c r="G381" s="5">
        <v>0</v>
      </c>
      <c r="H381" s="14">
        <v>44928</v>
      </c>
      <c r="I381" s="14">
        <v>45055</v>
      </c>
      <c r="J381" s="4" t="s">
        <v>853</v>
      </c>
      <c r="K381" s="4" t="s">
        <v>931</v>
      </c>
      <c r="L381" s="2"/>
      <c r="M381" s="2"/>
      <c r="N381" s="2"/>
    </row>
    <row r="382" spans="1:14" x14ac:dyDescent="0.45">
      <c r="A382" s="9" t="s">
        <v>441</v>
      </c>
      <c r="B382" s="9" t="s">
        <v>847</v>
      </c>
      <c r="C382" s="9" t="s">
        <v>433</v>
      </c>
      <c r="D382" s="9" t="b">
        <f>TRUE()</f>
        <v>1</v>
      </c>
      <c r="E382" s="10">
        <v>16805</v>
      </c>
      <c r="F382" s="12">
        <f t="shared" si="5"/>
        <v>0.93971928647318681</v>
      </c>
      <c r="G382" s="10">
        <v>3770</v>
      </c>
      <c r="H382" s="15">
        <v>44930</v>
      </c>
      <c r="I382" s="15">
        <v>46296</v>
      </c>
      <c r="J382" s="9" t="s">
        <v>848</v>
      </c>
      <c r="K382" s="9" t="s">
        <v>1202</v>
      </c>
      <c r="L382" s="2"/>
      <c r="M382" s="2"/>
      <c r="N382" s="2"/>
    </row>
    <row r="383" spans="1:14" x14ac:dyDescent="0.45">
      <c r="A383" s="4" t="s">
        <v>441</v>
      </c>
      <c r="B383" s="4" t="s">
        <v>847</v>
      </c>
      <c r="C383" s="4" t="s">
        <v>813</v>
      </c>
      <c r="D383" s="4" t="b">
        <f>FALSE()</f>
        <v>0</v>
      </c>
      <c r="E383" s="5">
        <v>1078</v>
      </c>
      <c r="F383" s="7">
        <f t="shared" si="5"/>
        <v>6.0280713526813176E-2</v>
      </c>
      <c r="G383" s="5">
        <v>0</v>
      </c>
      <c r="H383" s="14">
        <v>44928</v>
      </c>
      <c r="I383" s="14">
        <v>45055</v>
      </c>
      <c r="J383" s="4" t="s">
        <v>853</v>
      </c>
      <c r="K383" s="4" t="s">
        <v>883</v>
      </c>
      <c r="L383" s="2"/>
      <c r="M383" s="2"/>
      <c r="N383" s="2"/>
    </row>
    <row r="384" spans="1:14" x14ac:dyDescent="0.45">
      <c r="A384" s="9" t="s">
        <v>442</v>
      </c>
      <c r="B384" s="9" t="s">
        <v>847</v>
      </c>
      <c r="C384" s="9" t="s">
        <v>433</v>
      </c>
      <c r="D384" s="9" t="b">
        <f>TRUE()</f>
        <v>1</v>
      </c>
      <c r="E384" s="10">
        <v>16338</v>
      </c>
      <c r="F384" s="12">
        <f t="shared" si="5"/>
        <v>0.93269395444425418</v>
      </c>
      <c r="G384" s="10">
        <v>4320</v>
      </c>
      <c r="H384" s="15">
        <v>44929</v>
      </c>
      <c r="I384" s="15">
        <v>46296</v>
      </c>
      <c r="J384" s="9" t="s">
        <v>848</v>
      </c>
      <c r="K384" s="9" t="s">
        <v>924</v>
      </c>
      <c r="L384" s="2"/>
      <c r="M384" s="2"/>
      <c r="N384" s="2"/>
    </row>
    <row r="385" spans="1:14" x14ac:dyDescent="0.45">
      <c r="A385" s="4" t="s">
        <v>442</v>
      </c>
      <c r="B385" s="4" t="s">
        <v>847</v>
      </c>
      <c r="C385" s="4" t="s">
        <v>813</v>
      </c>
      <c r="D385" s="4" t="b">
        <f>FALSE()</f>
        <v>0</v>
      </c>
      <c r="E385" s="5">
        <v>1179</v>
      </c>
      <c r="F385" s="7">
        <f t="shared" si="5"/>
        <v>6.7306045555745847E-2</v>
      </c>
      <c r="G385" s="5">
        <v>0</v>
      </c>
      <c r="H385" s="14">
        <v>44928</v>
      </c>
      <c r="I385" s="14">
        <v>45055</v>
      </c>
      <c r="J385" s="4" t="s">
        <v>853</v>
      </c>
      <c r="K385" s="4" t="s">
        <v>925</v>
      </c>
      <c r="L385" s="2"/>
      <c r="M385" s="2"/>
      <c r="N385" s="2"/>
    </row>
    <row r="386" spans="1:14" x14ac:dyDescent="0.45">
      <c r="A386" s="9" t="s">
        <v>443</v>
      </c>
      <c r="B386" s="9" t="s">
        <v>847</v>
      </c>
      <c r="C386" s="9" t="s">
        <v>433</v>
      </c>
      <c r="D386" s="9" t="b">
        <f>TRUE()</f>
        <v>1</v>
      </c>
      <c r="E386" s="10">
        <v>11629</v>
      </c>
      <c r="F386" s="12">
        <f t="shared" ref="F386:F449" si="6">E386/SUMIFS($E$2:$E$783,$A$2:$A$783,A386)</f>
        <v>0.9616306954436451</v>
      </c>
      <c r="G386" s="10">
        <v>2844</v>
      </c>
      <c r="H386" s="15">
        <v>44931</v>
      </c>
      <c r="I386" s="15">
        <v>46296</v>
      </c>
      <c r="J386" s="9" t="s">
        <v>848</v>
      </c>
      <c r="K386" s="9" t="s">
        <v>937</v>
      </c>
      <c r="L386" s="2"/>
      <c r="M386" s="2"/>
      <c r="N386" s="2"/>
    </row>
    <row r="387" spans="1:14" x14ac:dyDescent="0.45">
      <c r="A387" s="4" t="s">
        <v>443</v>
      </c>
      <c r="B387" s="4" t="s">
        <v>847</v>
      </c>
      <c r="C387" s="4" t="s">
        <v>813</v>
      </c>
      <c r="D387" s="4" t="b">
        <f>FALSE()</f>
        <v>0</v>
      </c>
      <c r="E387" s="5">
        <v>464</v>
      </c>
      <c r="F387" s="7">
        <f t="shared" si="6"/>
        <v>3.8369304556354913E-2</v>
      </c>
      <c r="G387" s="5">
        <v>0</v>
      </c>
      <c r="H387" s="14">
        <v>44928</v>
      </c>
      <c r="I387" s="14">
        <v>45055</v>
      </c>
      <c r="J387" s="4" t="s">
        <v>853</v>
      </c>
      <c r="K387" s="4" t="s">
        <v>938</v>
      </c>
      <c r="L387" s="2"/>
      <c r="M387" s="2"/>
      <c r="N387" s="2"/>
    </row>
    <row r="388" spans="1:14" x14ac:dyDescent="0.45">
      <c r="A388" s="9" t="s">
        <v>444</v>
      </c>
      <c r="B388" s="9" t="s">
        <v>847</v>
      </c>
      <c r="C388" s="9" t="s">
        <v>433</v>
      </c>
      <c r="D388" s="9" t="b">
        <f>TRUE()</f>
        <v>1</v>
      </c>
      <c r="E388" s="10">
        <v>11511</v>
      </c>
      <c r="F388" s="12">
        <f t="shared" si="6"/>
        <v>0.95932994416201345</v>
      </c>
      <c r="G388" s="10">
        <v>2495</v>
      </c>
      <c r="H388" s="15">
        <v>44929</v>
      </c>
      <c r="I388" s="15">
        <v>46296</v>
      </c>
      <c r="J388" s="9" t="s">
        <v>848</v>
      </c>
      <c r="K388" s="9" t="s">
        <v>924</v>
      </c>
      <c r="L388" s="2"/>
      <c r="M388" s="2"/>
      <c r="N388" s="2"/>
    </row>
    <row r="389" spans="1:14" x14ac:dyDescent="0.45">
      <c r="A389" s="4" t="s">
        <v>444</v>
      </c>
      <c r="B389" s="4" t="s">
        <v>847</v>
      </c>
      <c r="C389" s="4" t="s">
        <v>813</v>
      </c>
      <c r="D389" s="4" t="b">
        <f>FALSE()</f>
        <v>0</v>
      </c>
      <c r="E389" s="5">
        <v>488</v>
      </c>
      <c r="F389" s="7">
        <f t="shared" si="6"/>
        <v>4.0670055837986496E-2</v>
      </c>
      <c r="G389" s="5">
        <v>0</v>
      </c>
      <c r="H389" s="14">
        <v>44928</v>
      </c>
      <c r="I389" s="14">
        <v>45055</v>
      </c>
      <c r="J389" s="4" t="s">
        <v>853</v>
      </c>
      <c r="K389" s="4" t="s">
        <v>925</v>
      </c>
      <c r="L389" s="2"/>
      <c r="M389" s="2"/>
      <c r="N389" s="2"/>
    </row>
    <row r="390" spans="1:14" x14ac:dyDescent="0.45">
      <c r="A390" s="9" t="s">
        <v>445</v>
      </c>
      <c r="B390" s="9" t="s">
        <v>847</v>
      </c>
      <c r="C390" s="9" t="s">
        <v>433</v>
      </c>
      <c r="D390" s="9" t="b">
        <f>TRUE()</f>
        <v>1</v>
      </c>
      <c r="E390" s="10">
        <v>11014</v>
      </c>
      <c r="F390" s="12">
        <f t="shared" si="6"/>
        <v>0.93537154989384286</v>
      </c>
      <c r="G390" s="10">
        <v>2472</v>
      </c>
      <c r="H390" s="15">
        <v>44937</v>
      </c>
      <c r="I390" s="15">
        <v>46296</v>
      </c>
      <c r="J390" s="9" t="s">
        <v>848</v>
      </c>
      <c r="K390" s="9" t="s">
        <v>1220</v>
      </c>
      <c r="L390" s="2"/>
      <c r="M390" s="2"/>
      <c r="N390" s="2"/>
    </row>
    <row r="391" spans="1:14" x14ac:dyDescent="0.45">
      <c r="A391" s="4" t="s">
        <v>445</v>
      </c>
      <c r="B391" s="4" t="s">
        <v>847</v>
      </c>
      <c r="C391" s="4" t="s">
        <v>813</v>
      </c>
      <c r="D391" s="4" t="b">
        <f>FALSE()</f>
        <v>0</v>
      </c>
      <c r="E391" s="5">
        <v>761</v>
      </c>
      <c r="F391" s="7">
        <f t="shared" si="6"/>
        <v>6.4628450106157115E-2</v>
      </c>
      <c r="G391" s="5">
        <v>0</v>
      </c>
      <c r="H391" s="14">
        <v>44928</v>
      </c>
      <c r="I391" s="14">
        <v>45055</v>
      </c>
      <c r="J391" s="4" t="s">
        <v>853</v>
      </c>
      <c r="K391" s="4" t="s">
        <v>1221</v>
      </c>
      <c r="L391" s="2"/>
      <c r="M391" s="2"/>
      <c r="N391" s="2"/>
    </row>
    <row r="392" spans="1:14" x14ac:dyDescent="0.45">
      <c r="A392" s="9" t="s">
        <v>447</v>
      </c>
      <c r="B392" s="9" t="s">
        <v>847</v>
      </c>
      <c r="C392" s="9" t="s">
        <v>433</v>
      </c>
      <c r="D392" s="9" t="b">
        <f>TRUE()</f>
        <v>1</v>
      </c>
      <c r="E392" s="10">
        <v>6795</v>
      </c>
      <c r="F392" s="12">
        <f t="shared" si="6"/>
        <v>0.97140814867762693</v>
      </c>
      <c r="G392" s="10">
        <v>1807</v>
      </c>
      <c r="H392" s="15">
        <v>44935</v>
      </c>
      <c r="I392" s="15">
        <v>46296</v>
      </c>
      <c r="J392" s="9" t="s">
        <v>848</v>
      </c>
      <c r="K392" s="9" t="s">
        <v>933</v>
      </c>
      <c r="L392" s="2"/>
      <c r="M392" s="2"/>
      <c r="N392" s="2"/>
    </row>
    <row r="393" spans="1:14" x14ac:dyDescent="0.45">
      <c r="A393" s="4" t="s">
        <v>447</v>
      </c>
      <c r="B393" s="4" t="s">
        <v>847</v>
      </c>
      <c r="C393" s="4" t="s">
        <v>813</v>
      </c>
      <c r="D393" s="4" t="b">
        <f>FALSE()</f>
        <v>0</v>
      </c>
      <c r="E393" s="5">
        <v>200</v>
      </c>
      <c r="F393" s="7">
        <f t="shared" si="6"/>
        <v>2.8591851322373123E-2</v>
      </c>
      <c r="G393" s="5">
        <v>0</v>
      </c>
      <c r="H393" s="14">
        <v>44929</v>
      </c>
      <c r="I393" s="14">
        <v>45055</v>
      </c>
      <c r="J393" s="4" t="s">
        <v>853</v>
      </c>
      <c r="K393" s="4" t="s">
        <v>1222</v>
      </c>
      <c r="L393" s="2"/>
      <c r="M393" s="2"/>
      <c r="N393" s="2"/>
    </row>
    <row r="394" spans="1:14" x14ac:dyDescent="0.45">
      <c r="A394" s="9" t="s">
        <v>449</v>
      </c>
      <c r="B394" s="9" t="s">
        <v>847</v>
      </c>
      <c r="C394" s="9" t="s">
        <v>433</v>
      </c>
      <c r="D394" s="9" t="b">
        <f>TRUE()</f>
        <v>1</v>
      </c>
      <c r="E394" s="10">
        <v>5507</v>
      </c>
      <c r="F394" s="12">
        <f t="shared" si="6"/>
        <v>0.96732829790971364</v>
      </c>
      <c r="G394" s="10">
        <v>1353</v>
      </c>
      <c r="H394" s="15">
        <v>44928</v>
      </c>
      <c r="I394" s="15">
        <v>46296</v>
      </c>
      <c r="J394" s="9" t="s">
        <v>848</v>
      </c>
      <c r="K394" s="9" t="s">
        <v>930</v>
      </c>
      <c r="L394" s="2"/>
      <c r="M394" s="2"/>
      <c r="N394" s="2"/>
    </row>
    <row r="395" spans="1:14" x14ac:dyDescent="0.45">
      <c r="A395" s="4" t="s">
        <v>449</v>
      </c>
      <c r="B395" s="4" t="s">
        <v>847</v>
      </c>
      <c r="C395" s="4" t="s">
        <v>813</v>
      </c>
      <c r="D395" s="4" t="b">
        <f>FALSE()</f>
        <v>0</v>
      </c>
      <c r="E395" s="5">
        <v>186</v>
      </c>
      <c r="F395" s="7">
        <f t="shared" si="6"/>
        <v>3.2671702090286317E-2</v>
      </c>
      <c r="G395" s="5">
        <v>0</v>
      </c>
      <c r="H395" s="14">
        <v>44928</v>
      </c>
      <c r="I395" s="14">
        <v>45050</v>
      </c>
      <c r="J395" s="4" t="s">
        <v>853</v>
      </c>
      <c r="K395" s="4" t="s">
        <v>1223</v>
      </c>
      <c r="L395" s="2"/>
      <c r="M395" s="2"/>
      <c r="N395" s="2"/>
    </row>
    <row r="396" spans="1:14" x14ac:dyDescent="0.45">
      <c r="A396" s="9" t="s">
        <v>450</v>
      </c>
      <c r="B396" s="9" t="s">
        <v>847</v>
      </c>
      <c r="C396" s="9" t="s">
        <v>433</v>
      </c>
      <c r="D396" s="9" t="b">
        <f>TRUE()</f>
        <v>1</v>
      </c>
      <c r="E396" s="10">
        <v>4466</v>
      </c>
      <c r="F396" s="12">
        <f t="shared" si="6"/>
        <v>0.9127324749642346</v>
      </c>
      <c r="G396" s="10">
        <v>930</v>
      </c>
      <c r="H396" s="15">
        <v>45022</v>
      </c>
      <c r="I396" s="15">
        <v>46217</v>
      </c>
      <c r="J396" s="9" t="s">
        <v>848</v>
      </c>
      <c r="K396" s="9" t="s">
        <v>1224</v>
      </c>
      <c r="L396" s="2"/>
      <c r="M396" s="2"/>
      <c r="N396" s="2"/>
    </row>
    <row r="397" spans="1:14" x14ac:dyDescent="0.45">
      <c r="A397" s="4" t="s">
        <v>450</v>
      </c>
      <c r="B397" s="4" t="s">
        <v>847</v>
      </c>
      <c r="C397" s="4" t="s">
        <v>813</v>
      </c>
      <c r="D397" s="4" t="b">
        <f>FALSE()</f>
        <v>0</v>
      </c>
      <c r="E397" s="5">
        <v>427</v>
      </c>
      <c r="F397" s="7">
        <f t="shared" si="6"/>
        <v>8.7267525035765375E-2</v>
      </c>
      <c r="G397" s="5">
        <v>0</v>
      </c>
      <c r="H397" s="14">
        <v>44938</v>
      </c>
      <c r="I397" s="14">
        <v>45055</v>
      </c>
      <c r="J397" s="4" t="s">
        <v>853</v>
      </c>
      <c r="K397" s="4" t="s">
        <v>1225</v>
      </c>
      <c r="L397" s="2"/>
      <c r="M397" s="2"/>
      <c r="N397" s="2"/>
    </row>
    <row r="398" spans="1:14" x14ac:dyDescent="0.45">
      <c r="A398" s="9" t="s">
        <v>453</v>
      </c>
      <c r="B398" s="9" t="s">
        <v>847</v>
      </c>
      <c r="C398" s="9" t="s">
        <v>433</v>
      </c>
      <c r="D398" s="9" t="b">
        <f>TRUE()</f>
        <v>1</v>
      </c>
      <c r="E398" s="10">
        <v>4367</v>
      </c>
      <c r="F398" s="12">
        <f t="shared" si="6"/>
        <v>0.96020228671943708</v>
      </c>
      <c r="G398" s="10">
        <v>911</v>
      </c>
      <c r="H398" s="15">
        <v>44930</v>
      </c>
      <c r="I398" s="15">
        <v>46296</v>
      </c>
      <c r="J398" s="9" t="s">
        <v>848</v>
      </c>
      <c r="K398" s="9" t="s">
        <v>1202</v>
      </c>
      <c r="L398" s="2"/>
      <c r="M398" s="2"/>
      <c r="N398" s="2"/>
    </row>
    <row r="399" spans="1:14" x14ac:dyDescent="0.45">
      <c r="A399" s="4" t="s">
        <v>453</v>
      </c>
      <c r="B399" s="4" t="s">
        <v>847</v>
      </c>
      <c r="C399" s="4" t="s">
        <v>813</v>
      </c>
      <c r="D399" s="4" t="b">
        <f>FALSE()</f>
        <v>0</v>
      </c>
      <c r="E399" s="5">
        <v>181</v>
      </c>
      <c r="F399" s="7">
        <f t="shared" si="6"/>
        <v>3.9797713280562884E-2</v>
      </c>
      <c r="G399" s="5">
        <v>0</v>
      </c>
      <c r="H399" s="14">
        <v>44928</v>
      </c>
      <c r="I399" s="14">
        <v>45054</v>
      </c>
      <c r="J399" s="4" t="s">
        <v>853</v>
      </c>
      <c r="K399" s="4" t="s">
        <v>1226</v>
      </c>
      <c r="L399" s="2"/>
      <c r="M399" s="2"/>
      <c r="N399" s="2"/>
    </row>
    <row r="400" spans="1:14" x14ac:dyDescent="0.45">
      <c r="A400" s="9" t="s">
        <v>454</v>
      </c>
      <c r="B400" s="9" t="s">
        <v>847</v>
      </c>
      <c r="C400" s="9" t="s">
        <v>433</v>
      </c>
      <c r="D400" s="9" t="b">
        <f>TRUE()</f>
        <v>1</v>
      </c>
      <c r="E400" s="10">
        <v>4345</v>
      </c>
      <c r="F400" s="12">
        <f t="shared" si="6"/>
        <v>0.99976990335941096</v>
      </c>
      <c r="G400" s="10">
        <v>780</v>
      </c>
      <c r="H400" s="15">
        <v>44929</v>
      </c>
      <c r="I400" s="15">
        <v>46218</v>
      </c>
      <c r="J400" s="9" t="s">
        <v>848</v>
      </c>
      <c r="K400" s="9" t="s">
        <v>1227</v>
      </c>
      <c r="L400" s="2"/>
      <c r="M400" s="2"/>
      <c r="N400" s="2"/>
    </row>
    <row r="401" spans="1:14" x14ac:dyDescent="0.45">
      <c r="A401" s="4" t="s">
        <v>454</v>
      </c>
      <c r="B401" s="4" t="s">
        <v>847</v>
      </c>
      <c r="C401" s="4" t="s">
        <v>813</v>
      </c>
      <c r="D401" s="4" t="b">
        <f>FALSE()</f>
        <v>0</v>
      </c>
      <c r="E401" s="5">
        <v>1</v>
      </c>
      <c r="F401" s="7">
        <f t="shared" si="6"/>
        <v>2.3009664058904741E-4</v>
      </c>
      <c r="G401" s="5">
        <v>0</v>
      </c>
      <c r="H401" s="14">
        <v>44953</v>
      </c>
      <c r="I401" s="14">
        <v>44953</v>
      </c>
      <c r="J401" s="4" t="s">
        <v>853</v>
      </c>
      <c r="K401" s="4" t="s">
        <v>1228</v>
      </c>
      <c r="L401" s="2"/>
      <c r="M401" s="2"/>
      <c r="N401" s="2"/>
    </row>
    <row r="402" spans="1:14" x14ac:dyDescent="0.45">
      <c r="A402" s="9" t="s">
        <v>456</v>
      </c>
      <c r="B402" s="9" t="s">
        <v>847</v>
      </c>
      <c r="C402" s="9" t="s">
        <v>433</v>
      </c>
      <c r="D402" s="9" t="b">
        <f>TRUE()</f>
        <v>1</v>
      </c>
      <c r="E402" s="10">
        <v>2300</v>
      </c>
      <c r="F402" s="12">
        <f t="shared" si="6"/>
        <v>0.95119933829611247</v>
      </c>
      <c r="G402" s="10">
        <v>622</v>
      </c>
      <c r="H402" s="15">
        <v>44933</v>
      </c>
      <c r="I402" s="15">
        <v>46296</v>
      </c>
      <c r="J402" s="9" t="s">
        <v>848</v>
      </c>
      <c r="K402" s="9" t="s">
        <v>1215</v>
      </c>
      <c r="L402" s="2"/>
      <c r="M402" s="2"/>
      <c r="N402" s="2"/>
    </row>
    <row r="403" spans="1:14" x14ac:dyDescent="0.45">
      <c r="A403" s="4" t="s">
        <v>456</v>
      </c>
      <c r="B403" s="4" t="s">
        <v>847</v>
      </c>
      <c r="C403" s="4" t="s">
        <v>813</v>
      </c>
      <c r="D403" s="4" t="b">
        <f>FALSE()</f>
        <v>0</v>
      </c>
      <c r="E403" s="5">
        <v>118</v>
      </c>
      <c r="F403" s="7">
        <f t="shared" si="6"/>
        <v>4.8800661703887513E-2</v>
      </c>
      <c r="G403" s="5">
        <v>0</v>
      </c>
      <c r="H403" s="14">
        <v>44928</v>
      </c>
      <c r="I403" s="14">
        <v>45048</v>
      </c>
      <c r="J403" s="4" t="s">
        <v>853</v>
      </c>
      <c r="K403" s="4" t="s">
        <v>1229</v>
      </c>
      <c r="L403" s="2"/>
      <c r="M403" s="2"/>
      <c r="N403" s="2"/>
    </row>
    <row r="404" spans="1:14" x14ac:dyDescent="0.45">
      <c r="A404" s="9" t="s">
        <v>457</v>
      </c>
      <c r="B404" s="9" t="s">
        <v>847</v>
      </c>
      <c r="C404" s="9" t="s">
        <v>433</v>
      </c>
      <c r="D404" s="9" t="b">
        <f>TRUE()</f>
        <v>1</v>
      </c>
      <c r="E404" s="10">
        <v>1894</v>
      </c>
      <c r="F404" s="12">
        <f t="shared" si="6"/>
        <v>0.93162813575996062</v>
      </c>
      <c r="G404" s="10">
        <v>419</v>
      </c>
      <c r="H404" s="15">
        <v>44968</v>
      </c>
      <c r="I404" s="15">
        <v>46296</v>
      </c>
      <c r="J404" s="9" t="s">
        <v>848</v>
      </c>
      <c r="K404" s="9" t="s">
        <v>1230</v>
      </c>
      <c r="L404" s="2"/>
      <c r="M404" s="2"/>
      <c r="N404" s="2"/>
    </row>
    <row r="405" spans="1:14" x14ac:dyDescent="0.45">
      <c r="A405" s="4" t="s">
        <v>457</v>
      </c>
      <c r="B405" s="4" t="s">
        <v>847</v>
      </c>
      <c r="C405" s="4" t="s">
        <v>813</v>
      </c>
      <c r="D405" s="4" t="b">
        <f>FALSE()</f>
        <v>0</v>
      </c>
      <c r="E405" s="5">
        <v>139</v>
      </c>
      <c r="F405" s="7">
        <f t="shared" si="6"/>
        <v>6.8371864240039354E-2</v>
      </c>
      <c r="G405" s="5">
        <v>0</v>
      </c>
      <c r="H405" s="14">
        <v>44928</v>
      </c>
      <c r="I405" s="14">
        <v>45049</v>
      </c>
      <c r="J405" s="4" t="s">
        <v>853</v>
      </c>
      <c r="K405" s="4" t="s">
        <v>1231</v>
      </c>
      <c r="L405" s="2"/>
      <c r="M405" s="2"/>
      <c r="N405" s="2"/>
    </row>
    <row r="406" spans="1:14" x14ac:dyDescent="0.45">
      <c r="A406" s="9" t="s">
        <v>459</v>
      </c>
      <c r="B406" s="9" t="s">
        <v>847</v>
      </c>
      <c r="C406" s="9" t="s">
        <v>433</v>
      </c>
      <c r="D406" s="9" t="b">
        <f>TRUE()</f>
        <v>1</v>
      </c>
      <c r="E406" s="10">
        <v>1525</v>
      </c>
      <c r="F406" s="12">
        <f t="shared" si="6"/>
        <v>0.98133848133848134</v>
      </c>
      <c r="G406" s="10">
        <v>398</v>
      </c>
      <c r="H406" s="15">
        <v>45034</v>
      </c>
      <c r="I406" s="15">
        <v>46296</v>
      </c>
      <c r="J406" s="9" t="s">
        <v>848</v>
      </c>
      <c r="K406" s="9" t="s">
        <v>1053</v>
      </c>
      <c r="L406" s="2"/>
      <c r="M406" s="2"/>
      <c r="N406" s="2"/>
    </row>
    <row r="407" spans="1:14" x14ac:dyDescent="0.45">
      <c r="A407" s="4" t="s">
        <v>459</v>
      </c>
      <c r="B407" s="4" t="s">
        <v>847</v>
      </c>
      <c r="C407" s="4" t="s">
        <v>813</v>
      </c>
      <c r="D407" s="4" t="b">
        <f>FALSE()</f>
        <v>0</v>
      </c>
      <c r="E407" s="5">
        <v>29</v>
      </c>
      <c r="F407" s="7">
        <f t="shared" si="6"/>
        <v>1.8661518661518661E-2</v>
      </c>
      <c r="G407" s="5">
        <v>0</v>
      </c>
      <c r="H407" s="14">
        <v>44936</v>
      </c>
      <c r="I407" s="14">
        <v>45049</v>
      </c>
      <c r="J407" s="4" t="s">
        <v>853</v>
      </c>
      <c r="K407" s="4" t="s">
        <v>1232</v>
      </c>
      <c r="L407" s="2"/>
      <c r="M407" s="2"/>
      <c r="N407" s="2"/>
    </row>
    <row r="408" spans="1:14" x14ac:dyDescent="0.45">
      <c r="A408" s="9" t="s">
        <v>461</v>
      </c>
      <c r="B408" s="9" t="s">
        <v>847</v>
      </c>
      <c r="C408" s="9" t="s">
        <v>433</v>
      </c>
      <c r="D408" s="9" t="b">
        <f>TRUE()</f>
        <v>1</v>
      </c>
      <c r="E408" s="10">
        <v>1184</v>
      </c>
      <c r="F408" s="12">
        <f t="shared" si="6"/>
        <v>0.84874551971326162</v>
      </c>
      <c r="G408" s="10">
        <v>0</v>
      </c>
      <c r="H408" s="15">
        <v>45042</v>
      </c>
      <c r="I408" s="15">
        <v>45876</v>
      </c>
      <c r="J408" s="9" t="s">
        <v>848</v>
      </c>
      <c r="K408" s="9" t="s">
        <v>1233</v>
      </c>
      <c r="L408" s="2"/>
      <c r="M408" s="2"/>
      <c r="N408" s="2"/>
    </row>
    <row r="409" spans="1:14" x14ac:dyDescent="0.45">
      <c r="A409" s="4" t="s">
        <v>461</v>
      </c>
      <c r="B409" s="4" t="s">
        <v>847</v>
      </c>
      <c r="C409" s="4" t="s">
        <v>813</v>
      </c>
      <c r="D409" s="4" t="b">
        <f>FALSE()</f>
        <v>0</v>
      </c>
      <c r="E409" s="5">
        <v>211</v>
      </c>
      <c r="F409" s="7">
        <f t="shared" si="6"/>
        <v>0.15125448028673835</v>
      </c>
      <c r="G409" s="5">
        <v>0</v>
      </c>
      <c r="H409" s="14">
        <v>44930</v>
      </c>
      <c r="I409" s="14">
        <v>45052</v>
      </c>
      <c r="J409" s="4" t="s">
        <v>853</v>
      </c>
      <c r="K409" s="4" t="s">
        <v>1234</v>
      </c>
      <c r="L409" s="2"/>
      <c r="M409" s="2"/>
      <c r="N409" s="2"/>
    </row>
    <row r="410" spans="1:14" x14ac:dyDescent="0.45">
      <c r="A410" s="9" t="s">
        <v>462</v>
      </c>
      <c r="B410" s="9" t="s">
        <v>847</v>
      </c>
      <c r="C410" s="9" t="s">
        <v>433</v>
      </c>
      <c r="D410" s="9" t="b">
        <f>TRUE()</f>
        <v>1</v>
      </c>
      <c r="E410" s="10">
        <v>1329</v>
      </c>
      <c r="F410" s="12">
        <f t="shared" si="6"/>
        <v>0.97936624907885039</v>
      </c>
      <c r="G410" s="10">
        <v>313</v>
      </c>
      <c r="H410" s="15">
        <v>44944</v>
      </c>
      <c r="I410" s="15">
        <v>46295</v>
      </c>
      <c r="J410" s="9" t="s">
        <v>848</v>
      </c>
      <c r="K410" s="9" t="s">
        <v>1235</v>
      </c>
      <c r="L410" s="2"/>
      <c r="M410" s="2"/>
      <c r="N410" s="2"/>
    </row>
    <row r="411" spans="1:14" x14ac:dyDescent="0.45">
      <c r="A411" s="4" t="s">
        <v>462</v>
      </c>
      <c r="B411" s="4" t="s">
        <v>847</v>
      </c>
      <c r="C411" s="4" t="s">
        <v>813</v>
      </c>
      <c r="D411" s="4" t="b">
        <f>FALSE()</f>
        <v>0</v>
      </c>
      <c r="E411" s="5">
        <v>28</v>
      </c>
      <c r="F411" s="7">
        <f t="shared" si="6"/>
        <v>2.0633750921149593E-2</v>
      </c>
      <c r="G411" s="5">
        <v>0</v>
      </c>
      <c r="H411" s="14">
        <v>44938</v>
      </c>
      <c r="I411" s="14">
        <v>45045</v>
      </c>
      <c r="J411" s="4" t="s">
        <v>853</v>
      </c>
      <c r="K411" s="4" t="s">
        <v>1236</v>
      </c>
      <c r="L411" s="2"/>
      <c r="M411" s="2"/>
      <c r="N411" s="2"/>
    </row>
    <row r="412" spans="1:14" x14ac:dyDescent="0.45">
      <c r="A412" s="9" t="s">
        <v>463</v>
      </c>
      <c r="B412" s="9" t="s">
        <v>847</v>
      </c>
      <c r="C412" s="9" t="s">
        <v>433</v>
      </c>
      <c r="D412" s="9" t="b">
        <f>TRUE()</f>
        <v>1</v>
      </c>
      <c r="E412" s="10">
        <v>1136</v>
      </c>
      <c r="F412" s="12">
        <f t="shared" si="6"/>
        <v>0.93884297520661153</v>
      </c>
      <c r="G412" s="10">
        <v>254</v>
      </c>
      <c r="H412" s="15">
        <v>44988</v>
      </c>
      <c r="I412" s="15">
        <v>46296</v>
      </c>
      <c r="J412" s="9" t="s">
        <v>848</v>
      </c>
      <c r="K412" s="9" t="s">
        <v>1175</v>
      </c>
      <c r="L412" s="2"/>
      <c r="M412" s="2"/>
      <c r="N412" s="2"/>
    </row>
    <row r="413" spans="1:14" x14ac:dyDescent="0.45">
      <c r="A413" s="4" t="s">
        <v>463</v>
      </c>
      <c r="B413" s="4" t="s">
        <v>847</v>
      </c>
      <c r="C413" s="4" t="s">
        <v>813</v>
      </c>
      <c r="D413" s="4" t="b">
        <f>FALSE()</f>
        <v>0</v>
      </c>
      <c r="E413" s="5">
        <v>74</v>
      </c>
      <c r="F413" s="7">
        <f t="shared" si="6"/>
        <v>6.1157024793388429E-2</v>
      </c>
      <c r="G413" s="5">
        <v>0</v>
      </c>
      <c r="H413" s="14">
        <v>44929</v>
      </c>
      <c r="I413" s="14">
        <v>45050</v>
      </c>
      <c r="J413" s="4" t="s">
        <v>853</v>
      </c>
      <c r="K413" s="4" t="s">
        <v>1237</v>
      </c>
      <c r="L413" s="2"/>
      <c r="M413" s="2"/>
      <c r="N413" s="2"/>
    </row>
    <row r="414" spans="1:14" x14ac:dyDescent="0.45">
      <c r="A414" s="9" t="s">
        <v>464</v>
      </c>
      <c r="B414" s="9" t="s">
        <v>847</v>
      </c>
      <c r="C414" s="9" t="s">
        <v>433</v>
      </c>
      <c r="D414" s="9" t="b">
        <f>TRUE()</f>
        <v>1</v>
      </c>
      <c r="E414" s="10">
        <v>882</v>
      </c>
      <c r="F414" s="12">
        <f t="shared" si="6"/>
        <v>0.93630573248407645</v>
      </c>
      <c r="G414" s="10">
        <v>0</v>
      </c>
      <c r="H414" s="15">
        <v>44933</v>
      </c>
      <c r="I414" s="15">
        <v>45219</v>
      </c>
      <c r="J414" s="9" t="s">
        <v>848</v>
      </c>
      <c r="K414" s="9" t="s">
        <v>1238</v>
      </c>
      <c r="L414" s="2"/>
      <c r="M414" s="2"/>
      <c r="N414" s="2"/>
    </row>
    <row r="415" spans="1:14" x14ac:dyDescent="0.45">
      <c r="A415" s="4" t="s">
        <v>464</v>
      </c>
      <c r="B415" s="4" t="s">
        <v>847</v>
      </c>
      <c r="C415" s="4" t="s">
        <v>813</v>
      </c>
      <c r="D415" s="4" t="b">
        <f>FALSE()</f>
        <v>0</v>
      </c>
      <c r="E415" s="5">
        <v>60</v>
      </c>
      <c r="F415" s="7">
        <f t="shared" si="6"/>
        <v>6.3694267515923567E-2</v>
      </c>
      <c r="G415" s="5">
        <v>0</v>
      </c>
      <c r="H415" s="14">
        <v>44929</v>
      </c>
      <c r="I415" s="14">
        <v>45054</v>
      </c>
      <c r="J415" s="4" t="s">
        <v>853</v>
      </c>
      <c r="K415" s="4" t="s">
        <v>1239</v>
      </c>
      <c r="L415" s="2"/>
      <c r="M415" s="2"/>
      <c r="N415" s="2"/>
    </row>
    <row r="416" spans="1:14" x14ac:dyDescent="0.45">
      <c r="A416" s="9" t="s">
        <v>465</v>
      </c>
      <c r="B416" s="9" t="s">
        <v>847</v>
      </c>
      <c r="C416" s="9" t="s">
        <v>433</v>
      </c>
      <c r="D416" s="9" t="b">
        <f>TRUE()</f>
        <v>1</v>
      </c>
      <c r="E416" s="10">
        <v>783</v>
      </c>
      <c r="F416" s="12">
        <f t="shared" si="6"/>
        <v>0.97267080745341616</v>
      </c>
      <c r="G416" s="10">
        <v>154</v>
      </c>
      <c r="H416" s="15">
        <v>44966</v>
      </c>
      <c r="I416" s="15">
        <v>46294</v>
      </c>
      <c r="J416" s="9" t="s">
        <v>848</v>
      </c>
      <c r="K416" s="9" t="s">
        <v>1240</v>
      </c>
      <c r="L416" s="2"/>
      <c r="M416" s="2"/>
      <c r="N416" s="2"/>
    </row>
    <row r="417" spans="1:14" x14ac:dyDescent="0.45">
      <c r="A417" s="4" t="s">
        <v>465</v>
      </c>
      <c r="B417" s="4" t="s">
        <v>847</v>
      </c>
      <c r="C417" s="4" t="s">
        <v>813</v>
      </c>
      <c r="D417" s="4" t="b">
        <f>FALSE()</f>
        <v>0</v>
      </c>
      <c r="E417" s="5">
        <v>22</v>
      </c>
      <c r="F417" s="7">
        <f t="shared" si="6"/>
        <v>2.732919254658385E-2</v>
      </c>
      <c r="G417" s="5">
        <v>0</v>
      </c>
      <c r="H417" s="14">
        <v>44930</v>
      </c>
      <c r="I417" s="14">
        <v>45008</v>
      </c>
      <c r="J417" s="4" t="s">
        <v>853</v>
      </c>
      <c r="K417" s="4" t="s">
        <v>1241</v>
      </c>
      <c r="L417" s="2"/>
      <c r="M417" s="2"/>
      <c r="N417" s="2"/>
    </row>
    <row r="418" spans="1:14" x14ac:dyDescent="0.45">
      <c r="A418" s="9" t="s">
        <v>469</v>
      </c>
      <c r="B418" s="9" t="s">
        <v>847</v>
      </c>
      <c r="C418" s="9" t="s">
        <v>433</v>
      </c>
      <c r="D418" s="9" t="b">
        <f>TRUE()</f>
        <v>1</v>
      </c>
      <c r="E418" s="10">
        <v>421</v>
      </c>
      <c r="F418" s="12">
        <f t="shared" si="6"/>
        <v>0.87525987525987525</v>
      </c>
      <c r="G418" s="10">
        <v>0</v>
      </c>
      <c r="H418" s="15">
        <v>45028</v>
      </c>
      <c r="I418" s="15">
        <v>45595</v>
      </c>
      <c r="J418" s="9" t="s">
        <v>848</v>
      </c>
      <c r="K418" s="9" t="s">
        <v>1242</v>
      </c>
      <c r="L418" s="2"/>
      <c r="M418" s="2"/>
      <c r="N418" s="2"/>
    </row>
    <row r="419" spans="1:14" x14ac:dyDescent="0.45">
      <c r="A419" s="4" t="s">
        <v>469</v>
      </c>
      <c r="B419" s="4" t="s">
        <v>847</v>
      </c>
      <c r="C419" s="4" t="s">
        <v>813</v>
      </c>
      <c r="D419" s="4" t="b">
        <f>FALSE()</f>
        <v>0</v>
      </c>
      <c r="E419" s="5">
        <v>60</v>
      </c>
      <c r="F419" s="7">
        <f t="shared" si="6"/>
        <v>0.12474012474012475</v>
      </c>
      <c r="G419" s="5">
        <v>0</v>
      </c>
      <c r="H419" s="14">
        <v>44930</v>
      </c>
      <c r="I419" s="14">
        <v>45050</v>
      </c>
      <c r="J419" s="4" t="s">
        <v>853</v>
      </c>
      <c r="K419" s="4" t="s">
        <v>1243</v>
      </c>
      <c r="L419" s="2"/>
      <c r="M419" s="2"/>
      <c r="N419" s="2"/>
    </row>
    <row r="420" spans="1:14" x14ac:dyDescent="0.45">
      <c r="A420" s="9" t="s">
        <v>470</v>
      </c>
      <c r="B420" s="9" t="s">
        <v>847</v>
      </c>
      <c r="C420" s="9" t="s">
        <v>433</v>
      </c>
      <c r="D420" s="9" t="b">
        <f>TRUE()</f>
        <v>1</v>
      </c>
      <c r="E420" s="10">
        <v>439</v>
      </c>
      <c r="F420" s="12">
        <f t="shared" si="6"/>
        <v>0.94206008583690992</v>
      </c>
      <c r="G420" s="10">
        <v>96</v>
      </c>
      <c r="H420" s="15">
        <v>44942</v>
      </c>
      <c r="I420" s="15">
        <v>46296</v>
      </c>
      <c r="J420" s="9" t="s">
        <v>848</v>
      </c>
      <c r="K420" s="9" t="s">
        <v>1244</v>
      </c>
      <c r="L420" s="2"/>
      <c r="M420" s="2"/>
      <c r="N420" s="2"/>
    </row>
    <row r="421" spans="1:14" x14ac:dyDescent="0.45">
      <c r="A421" s="4" t="s">
        <v>470</v>
      </c>
      <c r="B421" s="4" t="s">
        <v>847</v>
      </c>
      <c r="C421" s="4" t="s">
        <v>813</v>
      </c>
      <c r="D421" s="4" t="b">
        <f>FALSE()</f>
        <v>0</v>
      </c>
      <c r="E421" s="5">
        <v>27</v>
      </c>
      <c r="F421" s="7">
        <f t="shared" si="6"/>
        <v>5.7939914163090127E-2</v>
      </c>
      <c r="G421" s="5">
        <v>0</v>
      </c>
      <c r="H421" s="14">
        <v>44930</v>
      </c>
      <c r="I421" s="14">
        <v>45054</v>
      </c>
      <c r="J421" s="4" t="s">
        <v>853</v>
      </c>
      <c r="K421" s="4" t="s">
        <v>1245</v>
      </c>
      <c r="L421" s="2"/>
      <c r="M421" s="2"/>
      <c r="N421" s="2"/>
    </row>
    <row r="422" spans="1:14" x14ac:dyDescent="0.45">
      <c r="A422" s="9" t="s">
        <v>471</v>
      </c>
      <c r="B422" s="9" t="s">
        <v>847</v>
      </c>
      <c r="C422" s="9" t="s">
        <v>433</v>
      </c>
      <c r="D422" s="9" t="b">
        <f>TRUE()</f>
        <v>1</v>
      </c>
      <c r="E422" s="10">
        <v>272</v>
      </c>
      <c r="F422" s="12">
        <f t="shared" si="6"/>
        <v>0.7010309278350515</v>
      </c>
      <c r="G422" s="10">
        <v>0</v>
      </c>
      <c r="H422" s="15">
        <v>44972</v>
      </c>
      <c r="I422" s="15">
        <v>45197</v>
      </c>
      <c r="J422" s="9" t="s">
        <v>848</v>
      </c>
      <c r="K422" s="9" t="s">
        <v>1246</v>
      </c>
      <c r="L422" s="2"/>
      <c r="M422" s="2"/>
      <c r="N422" s="2"/>
    </row>
    <row r="423" spans="1:14" x14ac:dyDescent="0.45">
      <c r="A423" s="4" t="s">
        <v>471</v>
      </c>
      <c r="B423" s="4" t="s">
        <v>847</v>
      </c>
      <c r="C423" s="4" t="s">
        <v>813</v>
      </c>
      <c r="D423" s="4" t="b">
        <f>FALSE()</f>
        <v>0</v>
      </c>
      <c r="E423" s="5">
        <v>116</v>
      </c>
      <c r="F423" s="7">
        <f t="shared" si="6"/>
        <v>0.29896907216494845</v>
      </c>
      <c r="G423" s="5">
        <v>0</v>
      </c>
      <c r="H423" s="14">
        <v>44933</v>
      </c>
      <c r="I423" s="14">
        <v>45055</v>
      </c>
      <c r="J423" s="4" t="s">
        <v>853</v>
      </c>
      <c r="K423" s="4" t="s">
        <v>1247</v>
      </c>
      <c r="L423" s="2"/>
      <c r="M423" s="2"/>
      <c r="N423" s="2"/>
    </row>
    <row r="424" spans="1:14" x14ac:dyDescent="0.45">
      <c r="A424" s="9" t="s">
        <v>472</v>
      </c>
      <c r="B424" s="9" t="s">
        <v>847</v>
      </c>
      <c r="C424" s="9" t="s">
        <v>433</v>
      </c>
      <c r="D424" s="9" t="b">
        <f>TRUE()</f>
        <v>1</v>
      </c>
      <c r="E424" s="10">
        <v>255</v>
      </c>
      <c r="F424" s="12">
        <f t="shared" si="6"/>
        <v>0.69672131147540983</v>
      </c>
      <c r="G424" s="10">
        <v>0</v>
      </c>
      <c r="H424" s="15">
        <v>45008</v>
      </c>
      <c r="I424" s="15">
        <v>45218</v>
      </c>
      <c r="J424" s="9" t="s">
        <v>848</v>
      </c>
      <c r="K424" s="9" t="s">
        <v>1248</v>
      </c>
      <c r="L424" s="2"/>
      <c r="M424" s="2"/>
      <c r="N424" s="2"/>
    </row>
    <row r="425" spans="1:14" x14ac:dyDescent="0.45">
      <c r="A425" s="4" t="s">
        <v>472</v>
      </c>
      <c r="B425" s="4" t="s">
        <v>847</v>
      </c>
      <c r="C425" s="4" t="s">
        <v>813</v>
      </c>
      <c r="D425" s="4" t="b">
        <f>FALSE()</f>
        <v>0</v>
      </c>
      <c r="E425" s="5">
        <v>111</v>
      </c>
      <c r="F425" s="7">
        <f t="shared" si="6"/>
        <v>0.30327868852459017</v>
      </c>
      <c r="G425" s="5">
        <v>0</v>
      </c>
      <c r="H425" s="14">
        <v>44928</v>
      </c>
      <c r="I425" s="14">
        <v>45055</v>
      </c>
      <c r="J425" s="4" t="s">
        <v>853</v>
      </c>
      <c r="K425" s="4" t="s">
        <v>949</v>
      </c>
      <c r="L425" s="2"/>
      <c r="M425" s="2"/>
      <c r="N425" s="2"/>
    </row>
    <row r="426" spans="1:14" x14ac:dyDescent="0.45">
      <c r="A426" s="9" t="s">
        <v>474</v>
      </c>
      <c r="B426" s="9" t="s">
        <v>847</v>
      </c>
      <c r="C426" s="9" t="s">
        <v>433</v>
      </c>
      <c r="D426" s="9" t="b">
        <f>TRUE()</f>
        <v>1</v>
      </c>
      <c r="E426" s="10">
        <v>309</v>
      </c>
      <c r="F426" s="12">
        <f t="shared" si="6"/>
        <v>0.93920972644376899</v>
      </c>
      <c r="G426" s="10">
        <v>17</v>
      </c>
      <c r="H426" s="15">
        <v>44998</v>
      </c>
      <c r="I426" s="15">
        <v>46105</v>
      </c>
      <c r="J426" s="9" t="s">
        <v>848</v>
      </c>
      <c r="K426" s="9" t="s">
        <v>1249</v>
      </c>
      <c r="L426" s="2"/>
      <c r="M426" s="2"/>
      <c r="N426" s="2"/>
    </row>
    <row r="427" spans="1:14" x14ac:dyDescent="0.45">
      <c r="A427" s="4" t="s">
        <v>474</v>
      </c>
      <c r="B427" s="4" t="s">
        <v>847</v>
      </c>
      <c r="C427" s="4" t="s">
        <v>813</v>
      </c>
      <c r="D427" s="4" t="b">
        <f>FALSE()</f>
        <v>0</v>
      </c>
      <c r="E427" s="5">
        <v>20</v>
      </c>
      <c r="F427" s="7">
        <f t="shared" si="6"/>
        <v>6.0790273556231005E-2</v>
      </c>
      <c r="G427" s="5">
        <v>0</v>
      </c>
      <c r="H427" s="14">
        <v>44928</v>
      </c>
      <c r="I427" s="14">
        <v>45055</v>
      </c>
      <c r="J427" s="4" t="s">
        <v>853</v>
      </c>
      <c r="K427" s="4" t="s">
        <v>1250</v>
      </c>
      <c r="L427" s="2"/>
      <c r="M427" s="2"/>
      <c r="N427" s="2"/>
    </row>
    <row r="428" spans="1:14" x14ac:dyDescent="0.45">
      <c r="A428" s="9" t="s">
        <v>475</v>
      </c>
      <c r="B428" s="9" t="s">
        <v>847</v>
      </c>
      <c r="C428" s="9" t="s">
        <v>433</v>
      </c>
      <c r="D428" s="9" t="b">
        <f>TRUE()</f>
        <v>1</v>
      </c>
      <c r="E428" s="10">
        <v>310</v>
      </c>
      <c r="F428" s="12">
        <f t="shared" si="6"/>
        <v>0.96875</v>
      </c>
      <c r="G428" s="10">
        <v>60</v>
      </c>
      <c r="H428" s="15">
        <v>45034</v>
      </c>
      <c r="I428" s="15">
        <v>46296</v>
      </c>
      <c r="J428" s="9" t="s">
        <v>848</v>
      </c>
      <c r="K428" s="9" t="s">
        <v>1053</v>
      </c>
      <c r="L428" s="2"/>
      <c r="M428" s="2"/>
      <c r="N428" s="2"/>
    </row>
    <row r="429" spans="1:14" x14ac:dyDescent="0.45">
      <c r="A429" s="4" t="s">
        <v>475</v>
      </c>
      <c r="B429" s="4" t="s">
        <v>847</v>
      </c>
      <c r="C429" s="4" t="s">
        <v>813</v>
      </c>
      <c r="D429" s="4" t="b">
        <f>FALSE()</f>
        <v>0</v>
      </c>
      <c r="E429" s="5">
        <v>10</v>
      </c>
      <c r="F429" s="7">
        <f t="shared" si="6"/>
        <v>3.125E-2</v>
      </c>
      <c r="G429" s="5">
        <v>0</v>
      </c>
      <c r="H429" s="14">
        <v>44935</v>
      </c>
      <c r="I429" s="14">
        <v>45051</v>
      </c>
      <c r="J429" s="4" t="s">
        <v>853</v>
      </c>
      <c r="K429" s="4" t="s">
        <v>1251</v>
      </c>
      <c r="L429" s="2"/>
      <c r="M429" s="2"/>
      <c r="N429" s="2"/>
    </row>
    <row r="430" spans="1:14" x14ac:dyDescent="0.45">
      <c r="A430" s="9" t="s">
        <v>476</v>
      </c>
      <c r="B430" s="9" t="s">
        <v>847</v>
      </c>
      <c r="C430" s="9" t="s">
        <v>433</v>
      </c>
      <c r="D430" s="9" t="b">
        <f>TRUE()</f>
        <v>1</v>
      </c>
      <c r="E430" s="10">
        <v>289</v>
      </c>
      <c r="F430" s="12">
        <f t="shared" si="6"/>
        <v>0.90595611285266453</v>
      </c>
      <c r="G430" s="10">
        <v>110</v>
      </c>
      <c r="H430" s="15">
        <v>45011</v>
      </c>
      <c r="I430" s="15">
        <v>46294</v>
      </c>
      <c r="J430" s="9" t="s">
        <v>848</v>
      </c>
      <c r="K430" s="9" t="s">
        <v>1252</v>
      </c>
      <c r="L430" s="2"/>
      <c r="M430" s="2"/>
      <c r="N430" s="2"/>
    </row>
    <row r="431" spans="1:14" x14ac:dyDescent="0.45">
      <c r="A431" s="4" t="s">
        <v>476</v>
      </c>
      <c r="B431" s="4" t="s">
        <v>847</v>
      </c>
      <c r="C431" s="4" t="s">
        <v>813</v>
      </c>
      <c r="D431" s="4" t="b">
        <f>FALSE()</f>
        <v>0</v>
      </c>
      <c r="E431" s="5">
        <v>30</v>
      </c>
      <c r="F431" s="7">
        <f t="shared" si="6"/>
        <v>9.4043887147335428E-2</v>
      </c>
      <c r="G431" s="5">
        <v>0</v>
      </c>
      <c r="H431" s="14">
        <v>44941</v>
      </c>
      <c r="I431" s="14">
        <v>45051</v>
      </c>
      <c r="J431" s="4" t="s">
        <v>853</v>
      </c>
      <c r="K431" s="4" t="s">
        <v>1253</v>
      </c>
      <c r="L431" s="2"/>
      <c r="M431" s="2"/>
      <c r="N431" s="2"/>
    </row>
    <row r="432" spans="1:14" x14ac:dyDescent="0.45">
      <c r="A432" s="9" t="s">
        <v>477</v>
      </c>
      <c r="B432" s="9" t="s">
        <v>847</v>
      </c>
      <c r="C432" s="9" t="s">
        <v>433</v>
      </c>
      <c r="D432" s="9" t="b">
        <f>TRUE()</f>
        <v>1</v>
      </c>
      <c r="E432" s="10">
        <v>262</v>
      </c>
      <c r="F432" s="12">
        <f t="shared" si="6"/>
        <v>0.97761194029850751</v>
      </c>
      <c r="G432" s="10">
        <v>25</v>
      </c>
      <c r="H432" s="15">
        <v>44971</v>
      </c>
      <c r="I432" s="15">
        <v>46292</v>
      </c>
      <c r="J432" s="9" t="s">
        <v>848</v>
      </c>
      <c r="K432" s="9" t="s">
        <v>1254</v>
      </c>
      <c r="L432" s="2"/>
      <c r="M432" s="2"/>
      <c r="N432" s="2"/>
    </row>
    <row r="433" spans="1:14" x14ac:dyDescent="0.45">
      <c r="A433" s="4" t="s">
        <v>477</v>
      </c>
      <c r="B433" s="4" t="s">
        <v>847</v>
      </c>
      <c r="C433" s="4" t="s">
        <v>813</v>
      </c>
      <c r="D433" s="4" t="b">
        <f>FALSE()</f>
        <v>0</v>
      </c>
      <c r="E433" s="5">
        <v>6</v>
      </c>
      <c r="F433" s="7">
        <f t="shared" si="6"/>
        <v>2.2388059701492536E-2</v>
      </c>
      <c r="G433" s="5">
        <v>0</v>
      </c>
      <c r="H433" s="14">
        <v>44939</v>
      </c>
      <c r="I433" s="14">
        <v>45049</v>
      </c>
      <c r="J433" s="4" t="s">
        <v>853</v>
      </c>
      <c r="K433" s="4" t="s">
        <v>1255</v>
      </c>
      <c r="L433" s="2"/>
      <c r="M433" s="2"/>
      <c r="N433" s="2"/>
    </row>
    <row r="434" spans="1:14" x14ac:dyDescent="0.45">
      <c r="A434" s="9" t="s">
        <v>478</v>
      </c>
      <c r="B434" s="9" t="s">
        <v>847</v>
      </c>
      <c r="C434" s="9" t="s">
        <v>433</v>
      </c>
      <c r="D434" s="9" t="b">
        <f>TRUE()</f>
        <v>1</v>
      </c>
      <c r="E434" s="10">
        <v>172</v>
      </c>
      <c r="F434" s="12">
        <f t="shared" si="6"/>
        <v>0.69918699186991873</v>
      </c>
      <c r="G434" s="10">
        <v>0</v>
      </c>
      <c r="H434" s="15">
        <v>45003</v>
      </c>
      <c r="I434" s="15">
        <v>45217</v>
      </c>
      <c r="J434" s="9" t="s">
        <v>848</v>
      </c>
      <c r="K434" s="9" t="s">
        <v>1256</v>
      </c>
      <c r="L434" s="2"/>
      <c r="M434" s="2"/>
      <c r="N434" s="2"/>
    </row>
    <row r="435" spans="1:14" x14ac:dyDescent="0.45">
      <c r="A435" s="4" t="s">
        <v>478</v>
      </c>
      <c r="B435" s="4" t="s">
        <v>847</v>
      </c>
      <c r="C435" s="4" t="s">
        <v>813</v>
      </c>
      <c r="D435" s="4" t="b">
        <f>FALSE()</f>
        <v>0</v>
      </c>
      <c r="E435" s="5">
        <v>74</v>
      </c>
      <c r="F435" s="7">
        <f t="shared" si="6"/>
        <v>0.30081300813008133</v>
      </c>
      <c r="G435" s="5">
        <v>0</v>
      </c>
      <c r="H435" s="14">
        <v>44931</v>
      </c>
      <c r="I435" s="14">
        <v>45054</v>
      </c>
      <c r="J435" s="4" t="s">
        <v>853</v>
      </c>
      <c r="K435" s="4" t="s">
        <v>1257</v>
      </c>
      <c r="L435" s="2"/>
      <c r="M435" s="2"/>
      <c r="N435" s="2"/>
    </row>
    <row r="436" spans="1:14" x14ac:dyDescent="0.45">
      <c r="A436" s="9" t="s">
        <v>479</v>
      </c>
      <c r="B436" s="9" t="s">
        <v>847</v>
      </c>
      <c r="C436" s="9" t="s">
        <v>433</v>
      </c>
      <c r="D436" s="9" t="b">
        <f>TRUE()</f>
        <v>1</v>
      </c>
      <c r="E436" s="10">
        <v>196</v>
      </c>
      <c r="F436" s="12">
        <f t="shared" si="6"/>
        <v>0.92018779342723001</v>
      </c>
      <c r="G436" s="10">
        <v>0</v>
      </c>
      <c r="H436" s="15">
        <v>44931</v>
      </c>
      <c r="I436" s="15">
        <v>45327</v>
      </c>
      <c r="J436" s="9" t="s">
        <v>848</v>
      </c>
      <c r="K436" s="9" t="s">
        <v>1258</v>
      </c>
      <c r="L436" s="2"/>
      <c r="M436" s="2"/>
      <c r="N436" s="2"/>
    </row>
    <row r="437" spans="1:14" x14ac:dyDescent="0.45">
      <c r="A437" s="4" t="s">
        <v>479</v>
      </c>
      <c r="B437" s="4" t="s">
        <v>847</v>
      </c>
      <c r="C437" s="4" t="s">
        <v>813</v>
      </c>
      <c r="D437" s="4" t="b">
        <f>FALSE()</f>
        <v>0</v>
      </c>
      <c r="E437" s="5">
        <v>17</v>
      </c>
      <c r="F437" s="7">
        <f t="shared" si="6"/>
        <v>7.9812206572769953E-2</v>
      </c>
      <c r="G437" s="5">
        <v>0</v>
      </c>
      <c r="H437" s="14">
        <v>44930</v>
      </c>
      <c r="I437" s="14">
        <v>45054</v>
      </c>
      <c r="J437" s="4" t="s">
        <v>853</v>
      </c>
      <c r="K437" s="4" t="s">
        <v>1259</v>
      </c>
      <c r="L437" s="2"/>
      <c r="M437" s="2"/>
      <c r="N437" s="2"/>
    </row>
    <row r="438" spans="1:14" x14ac:dyDescent="0.45">
      <c r="A438" s="9" t="s">
        <v>480</v>
      </c>
      <c r="B438" s="9" t="s">
        <v>847</v>
      </c>
      <c r="C438" s="9" t="s">
        <v>433</v>
      </c>
      <c r="D438" s="9" t="b">
        <f>TRUE()</f>
        <v>1</v>
      </c>
      <c r="E438" s="10">
        <v>173</v>
      </c>
      <c r="F438" s="12">
        <f t="shared" si="6"/>
        <v>0.94535519125683065</v>
      </c>
      <c r="G438" s="10">
        <v>0</v>
      </c>
      <c r="H438" s="15">
        <v>45055</v>
      </c>
      <c r="I438" s="15">
        <v>45485</v>
      </c>
      <c r="J438" s="9" t="s">
        <v>848</v>
      </c>
      <c r="K438" s="9" t="s">
        <v>1260</v>
      </c>
      <c r="L438" s="2"/>
      <c r="M438" s="2"/>
      <c r="N438" s="2"/>
    </row>
    <row r="439" spans="1:14" x14ac:dyDescent="0.45">
      <c r="A439" s="4" t="s">
        <v>480</v>
      </c>
      <c r="B439" s="4" t="s">
        <v>847</v>
      </c>
      <c r="C439" s="4" t="s">
        <v>813</v>
      </c>
      <c r="D439" s="4" t="b">
        <f>FALSE()</f>
        <v>0</v>
      </c>
      <c r="E439" s="5">
        <v>10</v>
      </c>
      <c r="F439" s="7">
        <f t="shared" si="6"/>
        <v>5.4644808743169397E-2</v>
      </c>
      <c r="G439" s="5">
        <v>0</v>
      </c>
      <c r="H439" s="14">
        <v>44948</v>
      </c>
      <c r="I439" s="14">
        <v>45054</v>
      </c>
      <c r="J439" s="4" t="s">
        <v>853</v>
      </c>
      <c r="K439" s="4" t="s">
        <v>1261</v>
      </c>
      <c r="L439" s="2"/>
      <c r="M439" s="2"/>
      <c r="N439" s="2"/>
    </row>
    <row r="440" spans="1:14" x14ac:dyDescent="0.45">
      <c r="A440" s="9" t="s">
        <v>481</v>
      </c>
      <c r="B440" s="9" t="s">
        <v>847</v>
      </c>
      <c r="C440" s="9" t="s">
        <v>433</v>
      </c>
      <c r="D440" s="9" t="b">
        <f>TRUE()</f>
        <v>1</v>
      </c>
      <c r="E440" s="10">
        <v>133</v>
      </c>
      <c r="F440" s="12">
        <f t="shared" si="6"/>
        <v>0.8012048192771084</v>
      </c>
      <c r="G440" s="10">
        <v>0</v>
      </c>
      <c r="H440" s="15">
        <v>45050</v>
      </c>
      <c r="I440" s="15">
        <v>45638</v>
      </c>
      <c r="J440" s="9" t="s">
        <v>848</v>
      </c>
      <c r="K440" s="9" t="s">
        <v>1262</v>
      </c>
      <c r="L440" s="2"/>
      <c r="M440" s="2"/>
      <c r="N440" s="2"/>
    </row>
    <row r="441" spans="1:14" x14ac:dyDescent="0.45">
      <c r="A441" s="4" t="s">
        <v>481</v>
      </c>
      <c r="B441" s="4" t="s">
        <v>847</v>
      </c>
      <c r="C441" s="4" t="s">
        <v>813</v>
      </c>
      <c r="D441" s="4" t="b">
        <f>FALSE()</f>
        <v>0</v>
      </c>
      <c r="E441" s="5">
        <v>33</v>
      </c>
      <c r="F441" s="7">
        <f t="shared" si="6"/>
        <v>0.19879518072289157</v>
      </c>
      <c r="G441" s="5">
        <v>0</v>
      </c>
      <c r="H441" s="14">
        <v>44929</v>
      </c>
      <c r="I441" s="14">
        <v>45042</v>
      </c>
      <c r="J441" s="4" t="s">
        <v>853</v>
      </c>
      <c r="K441" s="4" t="s">
        <v>1263</v>
      </c>
      <c r="L441" s="2"/>
      <c r="M441" s="2"/>
      <c r="N441" s="2"/>
    </row>
    <row r="442" spans="1:14" x14ac:dyDescent="0.45">
      <c r="A442" s="9" t="s">
        <v>483</v>
      </c>
      <c r="B442" s="9" t="s">
        <v>847</v>
      </c>
      <c r="C442" s="9" t="s">
        <v>433</v>
      </c>
      <c r="D442" s="9" t="b">
        <f>TRUE()</f>
        <v>1</v>
      </c>
      <c r="E442" s="10">
        <v>101</v>
      </c>
      <c r="F442" s="12">
        <f t="shared" si="6"/>
        <v>0.76515151515151514</v>
      </c>
      <c r="G442" s="10">
        <v>0</v>
      </c>
      <c r="H442" s="15">
        <v>45029</v>
      </c>
      <c r="I442" s="15">
        <v>45322</v>
      </c>
      <c r="J442" s="9" t="s">
        <v>848</v>
      </c>
      <c r="K442" s="9" t="s">
        <v>1264</v>
      </c>
      <c r="L442" s="2"/>
      <c r="M442" s="2"/>
      <c r="N442" s="2"/>
    </row>
    <row r="443" spans="1:14" x14ac:dyDescent="0.45">
      <c r="A443" s="4" t="s">
        <v>483</v>
      </c>
      <c r="B443" s="4" t="s">
        <v>847</v>
      </c>
      <c r="C443" s="4" t="s">
        <v>813</v>
      </c>
      <c r="D443" s="4" t="b">
        <f>FALSE()</f>
        <v>0</v>
      </c>
      <c r="E443" s="5">
        <v>31</v>
      </c>
      <c r="F443" s="7">
        <f t="shared" si="6"/>
        <v>0.23484848484848486</v>
      </c>
      <c r="G443" s="5">
        <v>0</v>
      </c>
      <c r="H443" s="14">
        <v>44945</v>
      </c>
      <c r="I443" s="14">
        <v>45051</v>
      </c>
      <c r="J443" s="4" t="s">
        <v>853</v>
      </c>
      <c r="K443" s="4" t="s">
        <v>1265</v>
      </c>
      <c r="L443" s="2"/>
      <c r="M443" s="2"/>
      <c r="N443" s="2"/>
    </row>
    <row r="444" spans="1:14" x14ac:dyDescent="0.45">
      <c r="A444" s="9" t="s">
        <v>484</v>
      </c>
      <c r="B444" s="9" t="s">
        <v>847</v>
      </c>
      <c r="C444" s="9" t="s">
        <v>433</v>
      </c>
      <c r="D444" s="9" t="b">
        <f>TRUE()</f>
        <v>1</v>
      </c>
      <c r="E444" s="10">
        <v>106</v>
      </c>
      <c r="F444" s="12">
        <f t="shared" si="6"/>
        <v>0.80916030534351147</v>
      </c>
      <c r="G444" s="10">
        <v>0</v>
      </c>
      <c r="H444" s="15">
        <v>45027</v>
      </c>
      <c r="I444" s="15">
        <v>45229</v>
      </c>
      <c r="J444" s="9" t="s">
        <v>848</v>
      </c>
      <c r="K444" s="9" t="s">
        <v>1266</v>
      </c>
      <c r="L444" s="2"/>
      <c r="M444" s="2"/>
      <c r="N444" s="2"/>
    </row>
    <row r="445" spans="1:14" x14ac:dyDescent="0.45">
      <c r="A445" s="4" t="s">
        <v>484</v>
      </c>
      <c r="B445" s="4" t="s">
        <v>847</v>
      </c>
      <c r="C445" s="4" t="s">
        <v>813</v>
      </c>
      <c r="D445" s="4" t="b">
        <f>FALSE()</f>
        <v>0</v>
      </c>
      <c r="E445" s="5">
        <v>25</v>
      </c>
      <c r="F445" s="7">
        <f t="shared" si="6"/>
        <v>0.19083969465648856</v>
      </c>
      <c r="G445" s="5">
        <v>0</v>
      </c>
      <c r="H445" s="14">
        <v>44943</v>
      </c>
      <c r="I445" s="14">
        <v>45050</v>
      </c>
      <c r="J445" s="4" t="s">
        <v>853</v>
      </c>
      <c r="K445" s="4" t="s">
        <v>1267</v>
      </c>
      <c r="L445" s="2"/>
      <c r="M445" s="2"/>
      <c r="N445" s="2"/>
    </row>
    <row r="446" spans="1:14" x14ac:dyDescent="0.45">
      <c r="A446" s="9" t="s">
        <v>485</v>
      </c>
      <c r="B446" s="9" t="s">
        <v>847</v>
      </c>
      <c r="C446" s="9" t="s">
        <v>433</v>
      </c>
      <c r="D446" s="9" t="b">
        <f>TRUE()</f>
        <v>1</v>
      </c>
      <c r="E446" s="10">
        <v>113</v>
      </c>
      <c r="F446" s="12">
        <f t="shared" si="6"/>
        <v>0.96581196581196582</v>
      </c>
      <c r="G446" s="10">
        <v>0</v>
      </c>
      <c r="H446" s="15">
        <v>44935</v>
      </c>
      <c r="I446" s="15">
        <v>45873</v>
      </c>
      <c r="J446" s="9" t="s">
        <v>848</v>
      </c>
      <c r="K446" s="9" t="s">
        <v>1268</v>
      </c>
      <c r="L446" s="2"/>
      <c r="M446" s="2"/>
      <c r="N446" s="2"/>
    </row>
    <row r="447" spans="1:14" x14ac:dyDescent="0.45">
      <c r="A447" s="4" t="s">
        <v>485</v>
      </c>
      <c r="B447" s="4" t="s">
        <v>847</v>
      </c>
      <c r="C447" s="4" t="s">
        <v>1269</v>
      </c>
      <c r="D447" s="4" t="b">
        <f>FALSE()</f>
        <v>0</v>
      </c>
      <c r="E447" s="5">
        <v>4</v>
      </c>
      <c r="F447" s="7">
        <f t="shared" si="6"/>
        <v>3.4188034188034191E-2</v>
      </c>
      <c r="G447" s="5">
        <v>0</v>
      </c>
      <c r="H447" s="14">
        <v>44943</v>
      </c>
      <c r="I447" s="14">
        <v>45009</v>
      </c>
      <c r="J447" s="4" t="s">
        <v>853</v>
      </c>
      <c r="K447" s="4" t="s">
        <v>1270</v>
      </c>
      <c r="L447" s="2"/>
      <c r="M447" s="2"/>
      <c r="N447" s="2"/>
    </row>
    <row r="448" spans="1:14" x14ac:dyDescent="0.45">
      <c r="A448" s="9" t="s">
        <v>487</v>
      </c>
      <c r="B448" s="9" t="s">
        <v>847</v>
      </c>
      <c r="C448" s="9" t="s">
        <v>433</v>
      </c>
      <c r="D448" s="9" t="b">
        <f>TRUE()</f>
        <v>1</v>
      </c>
      <c r="E448" s="10">
        <v>95</v>
      </c>
      <c r="F448" s="12">
        <f t="shared" si="6"/>
        <v>0.92233009708737868</v>
      </c>
      <c r="G448" s="10">
        <v>23</v>
      </c>
      <c r="H448" s="15">
        <v>45061</v>
      </c>
      <c r="I448" s="15">
        <v>46295</v>
      </c>
      <c r="J448" s="9" t="s">
        <v>848</v>
      </c>
      <c r="K448" s="9" t="s">
        <v>1271</v>
      </c>
      <c r="L448" s="2"/>
      <c r="M448" s="2"/>
      <c r="N448" s="2"/>
    </row>
    <row r="449" spans="1:14" x14ac:dyDescent="0.45">
      <c r="A449" s="4" t="s">
        <v>487</v>
      </c>
      <c r="B449" s="4" t="s">
        <v>847</v>
      </c>
      <c r="C449" s="4" t="s">
        <v>813</v>
      </c>
      <c r="D449" s="4" t="b">
        <f>FALSE()</f>
        <v>0</v>
      </c>
      <c r="E449" s="5">
        <v>8</v>
      </c>
      <c r="F449" s="7">
        <f t="shared" si="6"/>
        <v>7.7669902912621352E-2</v>
      </c>
      <c r="G449" s="5">
        <v>0</v>
      </c>
      <c r="H449" s="14">
        <v>44955</v>
      </c>
      <c r="I449" s="14">
        <v>45049</v>
      </c>
      <c r="J449" s="4" t="s">
        <v>853</v>
      </c>
      <c r="K449" s="4" t="s">
        <v>1272</v>
      </c>
      <c r="L449" s="2"/>
      <c r="M449" s="2"/>
      <c r="N449" s="2"/>
    </row>
    <row r="450" spans="1:14" x14ac:dyDescent="0.45">
      <c r="A450" s="9" t="s">
        <v>488</v>
      </c>
      <c r="B450" s="9" t="s">
        <v>847</v>
      </c>
      <c r="C450" s="9" t="s">
        <v>433</v>
      </c>
      <c r="D450" s="9" t="b">
        <f>TRUE()</f>
        <v>1</v>
      </c>
      <c r="E450" s="10">
        <v>87</v>
      </c>
      <c r="F450" s="12">
        <f t="shared" ref="F450:F513" si="7">E450/SUMIFS($E$2:$E$783,$A$2:$A$783,A450)</f>
        <v>0.88775510204081631</v>
      </c>
      <c r="G450" s="10">
        <v>27</v>
      </c>
      <c r="H450" s="15">
        <v>45043</v>
      </c>
      <c r="I450" s="15">
        <v>46281</v>
      </c>
      <c r="J450" s="9" t="s">
        <v>848</v>
      </c>
      <c r="K450" s="9" t="s">
        <v>1273</v>
      </c>
      <c r="L450" s="2"/>
      <c r="M450" s="2"/>
      <c r="N450" s="2"/>
    </row>
    <row r="451" spans="1:14" x14ac:dyDescent="0.45">
      <c r="A451" s="4" t="s">
        <v>488</v>
      </c>
      <c r="B451" s="4" t="s">
        <v>847</v>
      </c>
      <c r="C451" s="4" t="s">
        <v>813</v>
      </c>
      <c r="D451" s="4" t="b">
        <f>FALSE()</f>
        <v>0</v>
      </c>
      <c r="E451" s="5">
        <v>11</v>
      </c>
      <c r="F451" s="7">
        <f t="shared" si="7"/>
        <v>0.11224489795918367</v>
      </c>
      <c r="G451" s="5">
        <v>0</v>
      </c>
      <c r="H451" s="14">
        <v>44930</v>
      </c>
      <c r="I451" s="14">
        <v>45055</v>
      </c>
      <c r="J451" s="4" t="s">
        <v>853</v>
      </c>
      <c r="K451" s="4" t="s">
        <v>1274</v>
      </c>
      <c r="L451" s="2"/>
      <c r="M451" s="2"/>
      <c r="N451" s="2"/>
    </row>
    <row r="452" spans="1:14" x14ac:dyDescent="0.45">
      <c r="A452" s="9" t="s">
        <v>490</v>
      </c>
      <c r="B452" s="9" t="s">
        <v>847</v>
      </c>
      <c r="C452" s="9" t="s">
        <v>433</v>
      </c>
      <c r="D452" s="9" t="b">
        <f>TRUE()</f>
        <v>1</v>
      </c>
      <c r="E452" s="10">
        <v>88</v>
      </c>
      <c r="F452" s="12">
        <f t="shared" si="7"/>
        <v>0.9263157894736842</v>
      </c>
      <c r="G452" s="10">
        <v>0</v>
      </c>
      <c r="H452" s="15">
        <v>45069</v>
      </c>
      <c r="I452" s="15">
        <v>45593</v>
      </c>
      <c r="J452" s="9" t="s">
        <v>848</v>
      </c>
      <c r="K452" s="9" t="s">
        <v>1275</v>
      </c>
      <c r="L452" s="2"/>
      <c r="M452" s="2"/>
      <c r="N452" s="2"/>
    </row>
    <row r="453" spans="1:14" x14ac:dyDescent="0.45">
      <c r="A453" s="4" t="s">
        <v>490</v>
      </c>
      <c r="B453" s="4" t="s">
        <v>847</v>
      </c>
      <c r="C453" s="4" t="s">
        <v>813</v>
      </c>
      <c r="D453" s="4" t="b">
        <f>FALSE()</f>
        <v>0</v>
      </c>
      <c r="E453" s="5">
        <v>7</v>
      </c>
      <c r="F453" s="7">
        <f t="shared" si="7"/>
        <v>7.3684210526315783E-2</v>
      </c>
      <c r="G453" s="5">
        <v>0</v>
      </c>
      <c r="H453" s="14">
        <v>44931</v>
      </c>
      <c r="I453" s="14">
        <v>45014</v>
      </c>
      <c r="J453" s="4" t="s">
        <v>853</v>
      </c>
      <c r="K453" s="4" t="s">
        <v>1276</v>
      </c>
      <c r="L453" s="2"/>
      <c r="M453" s="2"/>
      <c r="N453" s="2"/>
    </row>
    <row r="454" spans="1:14" x14ac:dyDescent="0.45">
      <c r="A454" s="9" t="s">
        <v>491</v>
      </c>
      <c r="B454" s="9" t="s">
        <v>847</v>
      </c>
      <c r="C454" s="9" t="s">
        <v>433</v>
      </c>
      <c r="D454" s="9" t="b">
        <f>TRUE()</f>
        <v>1</v>
      </c>
      <c r="E454" s="10">
        <v>53</v>
      </c>
      <c r="F454" s="12">
        <f t="shared" si="7"/>
        <v>0.67948717948717952</v>
      </c>
      <c r="G454" s="10">
        <v>0</v>
      </c>
      <c r="H454" s="15">
        <v>45019</v>
      </c>
      <c r="I454" s="15">
        <v>45188</v>
      </c>
      <c r="J454" s="9" t="s">
        <v>848</v>
      </c>
      <c r="K454" s="9" t="s">
        <v>1277</v>
      </c>
      <c r="L454" s="2"/>
      <c r="M454" s="2"/>
      <c r="N454" s="2"/>
    </row>
    <row r="455" spans="1:14" x14ac:dyDescent="0.45">
      <c r="A455" s="4" t="s">
        <v>491</v>
      </c>
      <c r="B455" s="4" t="s">
        <v>847</v>
      </c>
      <c r="C455" s="4" t="s">
        <v>813</v>
      </c>
      <c r="D455" s="4" t="b">
        <f>FALSE()</f>
        <v>0</v>
      </c>
      <c r="E455" s="5">
        <v>25</v>
      </c>
      <c r="F455" s="7">
        <f t="shared" si="7"/>
        <v>0.32051282051282054</v>
      </c>
      <c r="G455" s="5">
        <v>0</v>
      </c>
      <c r="H455" s="14">
        <v>44929</v>
      </c>
      <c r="I455" s="14">
        <v>45050</v>
      </c>
      <c r="J455" s="4" t="s">
        <v>853</v>
      </c>
      <c r="K455" s="4" t="s">
        <v>1278</v>
      </c>
      <c r="L455" s="2"/>
      <c r="M455" s="2"/>
      <c r="N455" s="2"/>
    </row>
    <row r="456" spans="1:14" x14ac:dyDescent="0.45">
      <c r="A456" s="9" t="s">
        <v>493</v>
      </c>
      <c r="B456" s="9" t="s">
        <v>847</v>
      </c>
      <c r="C456" s="9" t="s">
        <v>433</v>
      </c>
      <c r="D456" s="9" t="b">
        <f>TRUE()</f>
        <v>1</v>
      </c>
      <c r="E456" s="10">
        <v>69</v>
      </c>
      <c r="F456" s="12">
        <f t="shared" si="7"/>
        <v>0.95833333333333337</v>
      </c>
      <c r="G456" s="10">
        <v>19</v>
      </c>
      <c r="H456" s="15">
        <v>44960</v>
      </c>
      <c r="I456" s="15">
        <v>46288</v>
      </c>
      <c r="J456" s="9" t="s">
        <v>848</v>
      </c>
      <c r="K456" s="9" t="s">
        <v>1279</v>
      </c>
      <c r="L456" s="2"/>
      <c r="M456" s="2"/>
      <c r="N456" s="2"/>
    </row>
    <row r="457" spans="1:14" x14ac:dyDescent="0.45">
      <c r="A457" s="4" t="s">
        <v>493</v>
      </c>
      <c r="B457" s="4" t="s">
        <v>847</v>
      </c>
      <c r="C457" s="4" t="s">
        <v>813</v>
      </c>
      <c r="D457" s="4" t="b">
        <f>FALSE()</f>
        <v>0</v>
      </c>
      <c r="E457" s="5">
        <v>3</v>
      </c>
      <c r="F457" s="7">
        <f t="shared" si="7"/>
        <v>4.1666666666666664E-2</v>
      </c>
      <c r="G457" s="5">
        <v>0</v>
      </c>
      <c r="H457" s="14">
        <v>44949</v>
      </c>
      <c r="I457" s="14">
        <v>45017</v>
      </c>
      <c r="J457" s="4" t="s">
        <v>853</v>
      </c>
      <c r="K457" s="4" t="s">
        <v>1280</v>
      </c>
      <c r="L457" s="2"/>
      <c r="M457" s="2"/>
      <c r="N457" s="2"/>
    </row>
    <row r="458" spans="1:14" x14ac:dyDescent="0.45">
      <c r="A458" s="9" t="s">
        <v>495</v>
      </c>
      <c r="B458" s="9" t="s">
        <v>847</v>
      </c>
      <c r="C458" s="9" t="s">
        <v>433</v>
      </c>
      <c r="D458" s="9" t="b">
        <f>TRUE()</f>
        <v>1</v>
      </c>
      <c r="E458" s="10">
        <v>60</v>
      </c>
      <c r="F458" s="12">
        <f t="shared" si="7"/>
        <v>0.98360655737704916</v>
      </c>
      <c r="G458" s="10">
        <v>5</v>
      </c>
      <c r="H458" s="15">
        <v>45028</v>
      </c>
      <c r="I458" s="15">
        <v>46221</v>
      </c>
      <c r="J458" s="9" t="s">
        <v>848</v>
      </c>
      <c r="K458" s="9" t="s">
        <v>1281</v>
      </c>
      <c r="L458" s="2"/>
      <c r="M458" s="2"/>
      <c r="N458" s="2"/>
    </row>
    <row r="459" spans="1:14" x14ac:dyDescent="0.45">
      <c r="A459" s="4" t="s">
        <v>495</v>
      </c>
      <c r="B459" s="4" t="s">
        <v>847</v>
      </c>
      <c r="C459" s="4" t="s">
        <v>813</v>
      </c>
      <c r="D459" s="4" t="b">
        <f>FALSE()</f>
        <v>0</v>
      </c>
      <c r="E459" s="5">
        <v>1</v>
      </c>
      <c r="F459" s="7">
        <f t="shared" si="7"/>
        <v>1.6393442622950821E-2</v>
      </c>
      <c r="G459" s="5">
        <v>0</v>
      </c>
      <c r="H459" s="14">
        <v>44935</v>
      </c>
      <c r="I459" s="14">
        <v>44935</v>
      </c>
      <c r="J459" s="4" t="s">
        <v>853</v>
      </c>
      <c r="K459" s="4" t="s">
        <v>1140</v>
      </c>
      <c r="L459" s="2"/>
      <c r="M459" s="2"/>
      <c r="N459" s="2"/>
    </row>
    <row r="460" spans="1:14" x14ac:dyDescent="0.45">
      <c r="A460" s="9" t="s">
        <v>496</v>
      </c>
      <c r="B460" s="9" t="s">
        <v>847</v>
      </c>
      <c r="C460" s="9" t="s">
        <v>433</v>
      </c>
      <c r="D460" s="9" t="b">
        <f>TRUE()</f>
        <v>1</v>
      </c>
      <c r="E460" s="10">
        <v>50</v>
      </c>
      <c r="F460" s="12">
        <f t="shared" si="7"/>
        <v>0.81967213114754101</v>
      </c>
      <c r="G460" s="10">
        <v>11</v>
      </c>
      <c r="H460" s="15">
        <v>45058</v>
      </c>
      <c r="I460" s="15">
        <v>46289</v>
      </c>
      <c r="J460" s="9" t="s">
        <v>848</v>
      </c>
      <c r="K460" s="9" t="s">
        <v>1282</v>
      </c>
      <c r="L460" s="2"/>
      <c r="M460" s="2"/>
      <c r="N460" s="2"/>
    </row>
    <row r="461" spans="1:14" x14ac:dyDescent="0.45">
      <c r="A461" s="4" t="s">
        <v>496</v>
      </c>
      <c r="B461" s="4" t="s">
        <v>847</v>
      </c>
      <c r="C461" s="4" t="s">
        <v>813</v>
      </c>
      <c r="D461" s="4" t="b">
        <f>FALSE()</f>
        <v>0</v>
      </c>
      <c r="E461" s="5">
        <v>11</v>
      </c>
      <c r="F461" s="7">
        <f t="shared" si="7"/>
        <v>0.18032786885245902</v>
      </c>
      <c r="G461" s="5">
        <v>0</v>
      </c>
      <c r="H461" s="14">
        <v>44937</v>
      </c>
      <c r="I461" s="14">
        <v>45040</v>
      </c>
      <c r="J461" s="4" t="s">
        <v>853</v>
      </c>
      <c r="K461" s="4" t="s">
        <v>1283</v>
      </c>
      <c r="L461" s="2"/>
      <c r="M461" s="2"/>
      <c r="N461" s="2"/>
    </row>
    <row r="462" spans="1:14" x14ac:dyDescent="0.45">
      <c r="A462" s="9" t="s">
        <v>500</v>
      </c>
      <c r="B462" s="9" t="s">
        <v>847</v>
      </c>
      <c r="C462" s="9" t="s">
        <v>433</v>
      </c>
      <c r="D462" s="9" t="b">
        <f>TRUE()</f>
        <v>1</v>
      </c>
      <c r="E462" s="10">
        <v>7</v>
      </c>
      <c r="F462" s="12">
        <f t="shared" si="7"/>
        <v>0.7</v>
      </c>
      <c r="G462" s="10">
        <v>0</v>
      </c>
      <c r="H462" s="15">
        <v>45082</v>
      </c>
      <c r="I462" s="15">
        <v>45510</v>
      </c>
      <c r="J462" s="9" t="s">
        <v>848</v>
      </c>
      <c r="K462" s="9" t="s">
        <v>1284</v>
      </c>
      <c r="L462" s="2"/>
      <c r="M462" s="2"/>
      <c r="N462" s="2"/>
    </row>
    <row r="463" spans="1:14" x14ac:dyDescent="0.45">
      <c r="A463" s="4" t="s">
        <v>500</v>
      </c>
      <c r="B463" s="4" t="s">
        <v>847</v>
      </c>
      <c r="C463" s="4" t="s">
        <v>813</v>
      </c>
      <c r="D463" s="4" t="b">
        <f>FALSE()</f>
        <v>0</v>
      </c>
      <c r="E463" s="5">
        <v>3</v>
      </c>
      <c r="F463" s="7">
        <f t="shared" si="7"/>
        <v>0.3</v>
      </c>
      <c r="G463" s="5">
        <v>0</v>
      </c>
      <c r="H463" s="14">
        <v>45007</v>
      </c>
      <c r="I463" s="14">
        <v>45035</v>
      </c>
      <c r="J463" s="4" t="s">
        <v>853</v>
      </c>
      <c r="K463" s="4" t="s">
        <v>1285</v>
      </c>
      <c r="L463" s="2"/>
      <c r="M463" s="2"/>
      <c r="N463" s="2"/>
    </row>
    <row r="464" spans="1:14" x14ac:dyDescent="0.45">
      <c r="A464" s="9" t="s">
        <v>501</v>
      </c>
      <c r="B464" s="9" t="s">
        <v>847</v>
      </c>
      <c r="C464" s="9" t="s">
        <v>433</v>
      </c>
      <c r="D464" s="9" t="b">
        <f>TRUE()</f>
        <v>1</v>
      </c>
      <c r="E464" s="10">
        <v>5</v>
      </c>
      <c r="F464" s="12">
        <f t="shared" si="7"/>
        <v>0.7142857142857143</v>
      </c>
      <c r="G464" s="10">
        <v>0</v>
      </c>
      <c r="H464" s="15">
        <v>45014</v>
      </c>
      <c r="I464" s="15">
        <v>45239</v>
      </c>
      <c r="J464" s="9" t="s">
        <v>848</v>
      </c>
      <c r="K464" s="9" t="s">
        <v>1286</v>
      </c>
      <c r="L464" s="2"/>
      <c r="M464" s="2"/>
      <c r="N464" s="2"/>
    </row>
    <row r="465" spans="1:14" x14ac:dyDescent="0.45">
      <c r="A465" s="4" t="s">
        <v>501</v>
      </c>
      <c r="B465" s="4" t="s">
        <v>847</v>
      </c>
      <c r="C465" s="4" t="s">
        <v>813</v>
      </c>
      <c r="D465" s="4" t="b">
        <f>FALSE()</f>
        <v>0</v>
      </c>
      <c r="E465" s="5">
        <v>2</v>
      </c>
      <c r="F465" s="7">
        <f t="shared" si="7"/>
        <v>0.2857142857142857</v>
      </c>
      <c r="G465" s="5">
        <v>0</v>
      </c>
      <c r="H465" s="14">
        <v>44951</v>
      </c>
      <c r="I465" s="14">
        <v>44974</v>
      </c>
      <c r="J465" s="4" t="s">
        <v>853</v>
      </c>
      <c r="K465" s="4" t="s">
        <v>1287</v>
      </c>
      <c r="L465" s="2"/>
      <c r="M465" s="2"/>
      <c r="N465" s="2"/>
    </row>
    <row r="466" spans="1:14" x14ac:dyDescent="0.45">
      <c r="A466" s="9" t="s">
        <v>507</v>
      </c>
      <c r="B466" s="9" t="s">
        <v>847</v>
      </c>
      <c r="C466" s="9" t="s">
        <v>506</v>
      </c>
      <c r="D466" s="9" t="b">
        <f>TRUE()</f>
        <v>1</v>
      </c>
      <c r="E466" s="10">
        <v>13211</v>
      </c>
      <c r="F466" s="12">
        <f t="shared" si="7"/>
        <v>0.87967772006925027</v>
      </c>
      <c r="G466" s="10">
        <v>0</v>
      </c>
      <c r="H466" s="15">
        <v>44929</v>
      </c>
      <c r="I466" s="15">
        <v>45404</v>
      </c>
      <c r="J466" s="9" t="s">
        <v>848</v>
      </c>
      <c r="K466" s="9" t="s">
        <v>1288</v>
      </c>
      <c r="L466" s="2"/>
      <c r="M466" s="2"/>
      <c r="N466" s="2"/>
    </row>
    <row r="467" spans="1:14" x14ac:dyDescent="0.45">
      <c r="A467" s="4" t="s">
        <v>507</v>
      </c>
      <c r="B467" s="4" t="s">
        <v>847</v>
      </c>
      <c r="C467" s="4" t="s">
        <v>1289</v>
      </c>
      <c r="D467" s="4" t="b">
        <f>FALSE()</f>
        <v>0</v>
      </c>
      <c r="E467" s="5">
        <v>1807</v>
      </c>
      <c r="F467" s="7">
        <f t="shared" si="7"/>
        <v>0.12032227993074977</v>
      </c>
      <c r="G467" s="5">
        <v>0</v>
      </c>
      <c r="H467" s="14">
        <v>44928</v>
      </c>
      <c r="I467" s="14">
        <v>45055</v>
      </c>
      <c r="J467" s="4" t="s">
        <v>853</v>
      </c>
      <c r="K467" s="4" t="s">
        <v>925</v>
      </c>
      <c r="L467" s="2"/>
      <c r="M467" s="2"/>
      <c r="N467" s="2"/>
    </row>
    <row r="468" spans="1:14" x14ac:dyDescent="0.45">
      <c r="A468" s="9" t="s">
        <v>509</v>
      </c>
      <c r="B468" s="9" t="s">
        <v>847</v>
      </c>
      <c r="C468" s="9" t="s">
        <v>506</v>
      </c>
      <c r="D468" s="9" t="b">
        <f>TRUE()</f>
        <v>1</v>
      </c>
      <c r="E468" s="10">
        <v>11349</v>
      </c>
      <c r="F468" s="12">
        <f t="shared" si="7"/>
        <v>0.99920760697305866</v>
      </c>
      <c r="G468" s="10">
        <v>2081</v>
      </c>
      <c r="H468" s="15">
        <v>44928</v>
      </c>
      <c r="I468" s="15">
        <v>46296</v>
      </c>
      <c r="J468" s="9" t="s">
        <v>848</v>
      </c>
      <c r="K468" s="9" t="s">
        <v>930</v>
      </c>
      <c r="L468" s="2"/>
      <c r="M468" s="2"/>
      <c r="N468" s="2"/>
    </row>
    <row r="469" spans="1:14" x14ac:dyDescent="0.45">
      <c r="A469" s="4" t="s">
        <v>509</v>
      </c>
      <c r="B469" s="4" t="s">
        <v>847</v>
      </c>
      <c r="C469" s="4" t="s">
        <v>1289</v>
      </c>
      <c r="D469" s="4" t="b">
        <f>FALSE()</f>
        <v>0</v>
      </c>
      <c r="E469" s="5">
        <v>9</v>
      </c>
      <c r="F469" s="7">
        <f t="shared" si="7"/>
        <v>7.9239302694136295E-4</v>
      </c>
      <c r="G469" s="5">
        <v>0</v>
      </c>
      <c r="H469" s="14">
        <v>44929</v>
      </c>
      <c r="I469" s="14">
        <v>45039</v>
      </c>
      <c r="J469" s="4" t="s">
        <v>853</v>
      </c>
      <c r="K469" s="4" t="s">
        <v>1290</v>
      </c>
      <c r="L469" s="2"/>
      <c r="M469" s="2"/>
      <c r="N469" s="2"/>
    </row>
    <row r="470" spans="1:14" x14ac:dyDescent="0.45">
      <c r="A470" s="9" t="s">
        <v>510</v>
      </c>
      <c r="B470" s="9" t="s">
        <v>847</v>
      </c>
      <c r="C470" s="9" t="s">
        <v>506</v>
      </c>
      <c r="D470" s="9" t="b">
        <f>TRUE()</f>
        <v>1</v>
      </c>
      <c r="E470" s="10">
        <v>9005</v>
      </c>
      <c r="F470" s="12">
        <f t="shared" si="7"/>
        <v>0.94570468388993911</v>
      </c>
      <c r="G470" s="10">
        <v>1857</v>
      </c>
      <c r="H470" s="15">
        <v>44928</v>
      </c>
      <c r="I470" s="15">
        <v>46296</v>
      </c>
      <c r="J470" s="9" t="s">
        <v>848</v>
      </c>
      <c r="K470" s="9" t="s">
        <v>930</v>
      </c>
      <c r="L470" s="2"/>
      <c r="M470" s="2"/>
      <c r="N470" s="2"/>
    </row>
    <row r="471" spans="1:14" x14ac:dyDescent="0.45">
      <c r="A471" s="4" t="s">
        <v>510</v>
      </c>
      <c r="B471" s="4" t="s">
        <v>847</v>
      </c>
      <c r="C471" s="4" t="s">
        <v>1289</v>
      </c>
      <c r="D471" s="4" t="b">
        <f>FALSE()</f>
        <v>0</v>
      </c>
      <c r="E471" s="5">
        <v>517</v>
      </c>
      <c r="F471" s="7">
        <f t="shared" si="7"/>
        <v>5.4295316110060915E-2</v>
      </c>
      <c r="G471" s="5">
        <v>0</v>
      </c>
      <c r="H471" s="14">
        <v>44928</v>
      </c>
      <c r="I471" s="14">
        <v>45055</v>
      </c>
      <c r="J471" s="4" t="s">
        <v>853</v>
      </c>
      <c r="K471" s="4" t="s">
        <v>931</v>
      </c>
      <c r="L471" s="2"/>
      <c r="M471" s="2"/>
      <c r="N471" s="2"/>
    </row>
    <row r="472" spans="1:14" x14ac:dyDescent="0.45">
      <c r="A472" s="9" t="s">
        <v>514</v>
      </c>
      <c r="B472" s="9" t="s">
        <v>847</v>
      </c>
      <c r="C472" s="9" t="s">
        <v>506</v>
      </c>
      <c r="D472" s="9" t="b">
        <f>TRUE()</f>
        <v>1</v>
      </c>
      <c r="E472" s="10">
        <v>3705</v>
      </c>
      <c r="F472" s="12">
        <f t="shared" si="7"/>
        <v>0.59327461969575657</v>
      </c>
      <c r="G472" s="10">
        <v>0</v>
      </c>
      <c r="H472" s="15">
        <v>44935</v>
      </c>
      <c r="I472" s="15">
        <v>45404</v>
      </c>
      <c r="J472" s="9" t="s">
        <v>848</v>
      </c>
      <c r="K472" s="9" t="s">
        <v>1291</v>
      </c>
      <c r="L472" s="2"/>
      <c r="M472" s="2"/>
      <c r="N472" s="2"/>
    </row>
    <row r="473" spans="1:14" x14ac:dyDescent="0.45">
      <c r="A473" s="4" t="s">
        <v>514</v>
      </c>
      <c r="B473" s="4" t="s">
        <v>847</v>
      </c>
      <c r="C473" s="4" t="s">
        <v>1289</v>
      </c>
      <c r="D473" s="4" t="b">
        <f>FALSE()</f>
        <v>0</v>
      </c>
      <c r="E473" s="5">
        <v>2540</v>
      </c>
      <c r="F473" s="7">
        <f t="shared" si="7"/>
        <v>0.40672538030424338</v>
      </c>
      <c r="G473" s="5">
        <v>0</v>
      </c>
      <c r="H473" s="14">
        <v>44928</v>
      </c>
      <c r="I473" s="14">
        <v>45027</v>
      </c>
      <c r="J473" s="4" t="s">
        <v>853</v>
      </c>
      <c r="K473" s="4" t="s">
        <v>1292</v>
      </c>
      <c r="L473" s="2"/>
      <c r="M473" s="2"/>
      <c r="N473" s="2"/>
    </row>
    <row r="474" spans="1:14" x14ac:dyDescent="0.45">
      <c r="A474" s="9" t="s">
        <v>515</v>
      </c>
      <c r="B474" s="9" t="s">
        <v>847</v>
      </c>
      <c r="C474" s="9" t="s">
        <v>506</v>
      </c>
      <c r="D474" s="9" t="b">
        <f>TRUE()</f>
        <v>1</v>
      </c>
      <c r="E474" s="10">
        <v>4873</v>
      </c>
      <c r="F474" s="12">
        <f t="shared" si="7"/>
        <v>0.93459915611814348</v>
      </c>
      <c r="G474" s="10">
        <v>1464</v>
      </c>
      <c r="H474" s="15">
        <v>44942</v>
      </c>
      <c r="I474" s="15">
        <v>46296</v>
      </c>
      <c r="J474" s="9" t="s">
        <v>848</v>
      </c>
      <c r="K474" s="9" t="s">
        <v>1244</v>
      </c>
      <c r="L474" s="2"/>
      <c r="M474" s="2"/>
      <c r="N474" s="2"/>
    </row>
    <row r="475" spans="1:14" x14ac:dyDescent="0.45">
      <c r="A475" s="4" t="s">
        <v>515</v>
      </c>
      <c r="B475" s="4" t="s">
        <v>847</v>
      </c>
      <c r="C475" s="4" t="s">
        <v>1289</v>
      </c>
      <c r="D475" s="4" t="b">
        <f>FALSE()</f>
        <v>0</v>
      </c>
      <c r="E475" s="5">
        <v>341</v>
      </c>
      <c r="F475" s="7">
        <f t="shared" si="7"/>
        <v>6.5400843881856546E-2</v>
      </c>
      <c r="G475" s="5">
        <v>0</v>
      </c>
      <c r="H475" s="14">
        <v>44928</v>
      </c>
      <c r="I475" s="14">
        <v>45048</v>
      </c>
      <c r="J475" s="4" t="s">
        <v>853</v>
      </c>
      <c r="K475" s="4" t="s">
        <v>1293</v>
      </c>
      <c r="L475" s="2"/>
      <c r="M475" s="2"/>
      <c r="N475" s="2"/>
    </row>
    <row r="476" spans="1:14" x14ac:dyDescent="0.45">
      <c r="A476" s="9" t="s">
        <v>516</v>
      </c>
      <c r="B476" s="9" t="s">
        <v>847</v>
      </c>
      <c r="C476" s="9" t="s">
        <v>506</v>
      </c>
      <c r="D476" s="9" t="b">
        <f>TRUE()</f>
        <v>1</v>
      </c>
      <c r="E476" s="10">
        <v>3803</v>
      </c>
      <c r="F476" s="12">
        <f t="shared" si="7"/>
        <v>0.77359641985353944</v>
      </c>
      <c r="G476" s="10">
        <v>0</v>
      </c>
      <c r="H476" s="15">
        <v>45006</v>
      </c>
      <c r="I476" s="15">
        <v>45405</v>
      </c>
      <c r="J476" s="9" t="s">
        <v>848</v>
      </c>
      <c r="K476" s="9" t="s">
        <v>1294</v>
      </c>
      <c r="L476" s="2"/>
      <c r="M476" s="2"/>
      <c r="N476" s="2"/>
    </row>
    <row r="477" spans="1:14" x14ac:dyDescent="0.45">
      <c r="A477" s="4" t="s">
        <v>516</v>
      </c>
      <c r="B477" s="4" t="s">
        <v>847</v>
      </c>
      <c r="C477" s="4" t="s">
        <v>1289</v>
      </c>
      <c r="D477" s="4" t="b">
        <f>FALSE()</f>
        <v>0</v>
      </c>
      <c r="E477" s="5">
        <v>1113</v>
      </c>
      <c r="F477" s="7">
        <f t="shared" si="7"/>
        <v>0.22640358014646053</v>
      </c>
      <c r="G477" s="5">
        <v>0</v>
      </c>
      <c r="H477" s="14">
        <v>44928</v>
      </c>
      <c r="I477" s="14">
        <v>45055</v>
      </c>
      <c r="J477" s="4" t="s">
        <v>853</v>
      </c>
      <c r="K477" s="4" t="s">
        <v>1295</v>
      </c>
      <c r="L477" s="2"/>
      <c r="M477" s="2"/>
      <c r="N477" s="2"/>
    </row>
    <row r="478" spans="1:14" x14ac:dyDescent="0.45">
      <c r="A478" s="9" t="s">
        <v>517</v>
      </c>
      <c r="B478" s="9" t="s">
        <v>847</v>
      </c>
      <c r="C478" s="9" t="s">
        <v>506</v>
      </c>
      <c r="D478" s="9" t="b">
        <f>TRUE()</f>
        <v>1</v>
      </c>
      <c r="E478" s="10">
        <v>4574</v>
      </c>
      <c r="F478" s="12">
        <f t="shared" si="7"/>
        <v>0.96783749471011427</v>
      </c>
      <c r="G478" s="10">
        <v>1040</v>
      </c>
      <c r="H478" s="15">
        <v>44928</v>
      </c>
      <c r="I478" s="15">
        <v>46296</v>
      </c>
      <c r="J478" s="9" t="s">
        <v>848</v>
      </c>
      <c r="K478" s="9" t="s">
        <v>930</v>
      </c>
      <c r="L478" s="2"/>
      <c r="M478" s="2"/>
      <c r="N478" s="2"/>
    </row>
    <row r="479" spans="1:14" x14ac:dyDescent="0.45">
      <c r="A479" s="4" t="s">
        <v>517</v>
      </c>
      <c r="B479" s="4" t="s">
        <v>847</v>
      </c>
      <c r="C479" s="4" t="s">
        <v>1289</v>
      </c>
      <c r="D479" s="4" t="b">
        <f>FALSE()</f>
        <v>0</v>
      </c>
      <c r="E479" s="5">
        <v>87</v>
      </c>
      <c r="F479" s="7">
        <f t="shared" si="7"/>
        <v>1.8408802369868811E-2</v>
      </c>
      <c r="G479" s="5">
        <v>0</v>
      </c>
      <c r="H479" s="14">
        <v>44929</v>
      </c>
      <c r="I479" s="14">
        <v>45022</v>
      </c>
      <c r="J479" s="4" t="s">
        <v>853</v>
      </c>
      <c r="K479" s="4" t="s">
        <v>1296</v>
      </c>
      <c r="L479" s="2"/>
      <c r="M479" s="2"/>
      <c r="N479" s="2"/>
    </row>
    <row r="480" spans="1:14" x14ac:dyDescent="0.45">
      <c r="A480" s="4" t="s">
        <v>517</v>
      </c>
      <c r="B480" s="4" t="s">
        <v>847</v>
      </c>
      <c r="C480" s="4" t="s">
        <v>129</v>
      </c>
      <c r="D480" s="4" t="b">
        <f>FALSE()</f>
        <v>0</v>
      </c>
      <c r="E480" s="5">
        <v>65</v>
      </c>
      <c r="F480" s="7">
        <f t="shared" si="7"/>
        <v>1.3753702920016927E-2</v>
      </c>
      <c r="G480" s="5">
        <v>0</v>
      </c>
      <c r="H480" s="14">
        <v>44930</v>
      </c>
      <c r="I480" s="14">
        <v>45050</v>
      </c>
      <c r="J480" s="4" t="s">
        <v>853</v>
      </c>
      <c r="K480" s="4" t="s">
        <v>1297</v>
      </c>
      <c r="L480" s="2"/>
      <c r="M480" s="2"/>
      <c r="N480" s="2"/>
    </row>
    <row r="481" spans="1:14" x14ac:dyDescent="0.45">
      <c r="A481" s="9" t="s">
        <v>519</v>
      </c>
      <c r="B481" s="9" t="s">
        <v>847</v>
      </c>
      <c r="C481" s="9" t="s">
        <v>506</v>
      </c>
      <c r="D481" s="9" t="b">
        <f>TRUE()</f>
        <v>1</v>
      </c>
      <c r="E481" s="10">
        <v>2816</v>
      </c>
      <c r="F481" s="12">
        <f t="shared" si="7"/>
        <v>0.80182232346241455</v>
      </c>
      <c r="G481" s="10">
        <v>0</v>
      </c>
      <c r="H481" s="15">
        <v>44984</v>
      </c>
      <c r="I481" s="15">
        <v>45404</v>
      </c>
      <c r="J481" s="9" t="s">
        <v>848</v>
      </c>
      <c r="K481" s="9" t="s">
        <v>1298</v>
      </c>
      <c r="L481" s="2"/>
      <c r="M481" s="2"/>
      <c r="N481" s="2"/>
    </row>
    <row r="482" spans="1:14" x14ac:dyDescent="0.45">
      <c r="A482" s="4" t="s">
        <v>519</v>
      </c>
      <c r="B482" s="4" t="s">
        <v>847</v>
      </c>
      <c r="C482" s="4" t="s">
        <v>1289</v>
      </c>
      <c r="D482" s="4" t="b">
        <f>FALSE()</f>
        <v>0</v>
      </c>
      <c r="E482" s="5">
        <v>696</v>
      </c>
      <c r="F482" s="7">
        <f t="shared" si="7"/>
        <v>0.19817767653758542</v>
      </c>
      <c r="G482" s="5">
        <v>0</v>
      </c>
      <c r="H482" s="14">
        <v>44928</v>
      </c>
      <c r="I482" s="14">
        <v>45055</v>
      </c>
      <c r="J482" s="4" t="s">
        <v>853</v>
      </c>
      <c r="K482" s="4" t="s">
        <v>1299</v>
      </c>
      <c r="L482" s="2"/>
      <c r="M482" s="2"/>
      <c r="N482" s="2"/>
    </row>
    <row r="483" spans="1:14" x14ac:dyDescent="0.45">
      <c r="A483" s="9" t="s">
        <v>520</v>
      </c>
      <c r="B483" s="9" t="s">
        <v>847</v>
      </c>
      <c r="C483" s="9" t="s">
        <v>506</v>
      </c>
      <c r="D483" s="9" t="b">
        <f>TRUE()</f>
        <v>1</v>
      </c>
      <c r="E483" s="10">
        <v>2545</v>
      </c>
      <c r="F483" s="12">
        <f t="shared" si="7"/>
        <v>0.83579638752052543</v>
      </c>
      <c r="G483" s="10">
        <v>0</v>
      </c>
      <c r="H483" s="15">
        <v>45006</v>
      </c>
      <c r="I483" s="15">
        <v>45404</v>
      </c>
      <c r="J483" s="9" t="s">
        <v>848</v>
      </c>
      <c r="K483" s="9" t="s">
        <v>1300</v>
      </c>
      <c r="L483" s="2"/>
      <c r="M483" s="2"/>
      <c r="N483" s="2"/>
    </row>
    <row r="484" spans="1:14" x14ac:dyDescent="0.45">
      <c r="A484" s="4" t="s">
        <v>520</v>
      </c>
      <c r="B484" s="4" t="s">
        <v>847</v>
      </c>
      <c r="C484" s="4" t="s">
        <v>1289</v>
      </c>
      <c r="D484" s="4" t="b">
        <f>FALSE()</f>
        <v>0</v>
      </c>
      <c r="E484" s="5">
        <v>500</v>
      </c>
      <c r="F484" s="7">
        <f t="shared" si="7"/>
        <v>0.16420361247947454</v>
      </c>
      <c r="G484" s="5">
        <v>0</v>
      </c>
      <c r="H484" s="14">
        <v>44928</v>
      </c>
      <c r="I484" s="14">
        <v>45055</v>
      </c>
      <c r="J484" s="4" t="s">
        <v>853</v>
      </c>
      <c r="K484" s="4" t="s">
        <v>1295</v>
      </c>
      <c r="L484" s="2"/>
      <c r="M484" s="2"/>
      <c r="N484" s="2"/>
    </row>
    <row r="485" spans="1:14" x14ac:dyDescent="0.45">
      <c r="A485" s="9" t="s">
        <v>524</v>
      </c>
      <c r="B485" s="9" t="s">
        <v>847</v>
      </c>
      <c r="C485" s="9" t="s">
        <v>506</v>
      </c>
      <c r="D485" s="9" t="b">
        <f>TRUE()</f>
        <v>1</v>
      </c>
      <c r="E485" s="10">
        <v>1825</v>
      </c>
      <c r="F485" s="12">
        <f t="shared" si="7"/>
        <v>0.83371402466879851</v>
      </c>
      <c r="G485" s="10">
        <v>0</v>
      </c>
      <c r="H485" s="15">
        <v>45044</v>
      </c>
      <c r="I485" s="15">
        <v>45404</v>
      </c>
      <c r="J485" s="9" t="s">
        <v>848</v>
      </c>
      <c r="K485" s="9" t="s">
        <v>1301</v>
      </c>
      <c r="L485" s="2"/>
      <c r="M485" s="2"/>
      <c r="N485" s="2"/>
    </row>
    <row r="486" spans="1:14" x14ac:dyDescent="0.45">
      <c r="A486" s="4" t="s">
        <v>524</v>
      </c>
      <c r="B486" s="4" t="s">
        <v>847</v>
      </c>
      <c r="C486" s="4" t="s">
        <v>1289</v>
      </c>
      <c r="D486" s="4" t="b">
        <f>FALSE()</f>
        <v>0</v>
      </c>
      <c r="E486" s="5">
        <v>364</v>
      </c>
      <c r="F486" s="7">
        <f t="shared" si="7"/>
        <v>0.16628597533120146</v>
      </c>
      <c r="G486" s="5">
        <v>0</v>
      </c>
      <c r="H486" s="14">
        <v>44929</v>
      </c>
      <c r="I486" s="14">
        <v>45054</v>
      </c>
      <c r="J486" s="4" t="s">
        <v>853</v>
      </c>
      <c r="K486" s="4" t="s">
        <v>1302</v>
      </c>
      <c r="L486" s="2"/>
      <c r="M486" s="2"/>
      <c r="N486" s="2"/>
    </row>
    <row r="487" spans="1:14" x14ac:dyDescent="0.45">
      <c r="A487" s="9" t="s">
        <v>525</v>
      </c>
      <c r="B487" s="9" t="s">
        <v>847</v>
      </c>
      <c r="C487" s="9" t="s">
        <v>506</v>
      </c>
      <c r="D487" s="9" t="b">
        <f>TRUE()</f>
        <v>1</v>
      </c>
      <c r="E487" s="10">
        <v>1983</v>
      </c>
      <c r="F487" s="12">
        <f t="shared" si="7"/>
        <v>0.97588582677165359</v>
      </c>
      <c r="G487" s="10">
        <v>0</v>
      </c>
      <c r="H487" s="15">
        <v>45046</v>
      </c>
      <c r="I487" s="15">
        <v>45400</v>
      </c>
      <c r="J487" s="9" t="s">
        <v>848</v>
      </c>
      <c r="K487" s="9" t="s">
        <v>1303</v>
      </c>
      <c r="L487" s="2"/>
      <c r="M487" s="2"/>
      <c r="N487" s="2"/>
    </row>
    <row r="488" spans="1:14" x14ac:dyDescent="0.45">
      <c r="A488" s="4" t="s">
        <v>525</v>
      </c>
      <c r="B488" s="4" t="s">
        <v>847</v>
      </c>
      <c r="C488" s="4" t="s">
        <v>1289</v>
      </c>
      <c r="D488" s="4" t="b">
        <f>FALSE()</f>
        <v>0</v>
      </c>
      <c r="E488" s="5">
        <v>49</v>
      </c>
      <c r="F488" s="7">
        <f t="shared" si="7"/>
        <v>2.4114173228346455E-2</v>
      </c>
      <c r="G488" s="5">
        <v>0</v>
      </c>
      <c r="H488" s="14">
        <v>44933</v>
      </c>
      <c r="I488" s="14">
        <v>45054</v>
      </c>
      <c r="J488" s="4" t="s">
        <v>853</v>
      </c>
      <c r="K488" s="4" t="s">
        <v>1304</v>
      </c>
      <c r="L488" s="2"/>
      <c r="M488" s="2"/>
      <c r="N488" s="2"/>
    </row>
    <row r="489" spans="1:14" x14ac:dyDescent="0.45">
      <c r="A489" s="9" t="s">
        <v>526</v>
      </c>
      <c r="B489" s="9" t="s">
        <v>847</v>
      </c>
      <c r="C489" s="9" t="s">
        <v>506</v>
      </c>
      <c r="D489" s="9" t="b">
        <f>TRUE()</f>
        <v>1</v>
      </c>
      <c r="E489" s="10">
        <v>1870</v>
      </c>
      <c r="F489" s="12">
        <f t="shared" si="7"/>
        <v>0.94492167761495705</v>
      </c>
      <c r="G489" s="10">
        <v>363</v>
      </c>
      <c r="H489" s="15">
        <v>44995</v>
      </c>
      <c r="I489" s="15">
        <v>46296</v>
      </c>
      <c r="J489" s="9" t="s">
        <v>848</v>
      </c>
      <c r="K489" s="9" t="s">
        <v>1305</v>
      </c>
      <c r="L489" s="2"/>
      <c r="M489" s="2"/>
      <c r="N489" s="2"/>
    </row>
    <row r="490" spans="1:14" x14ac:dyDescent="0.45">
      <c r="A490" s="4" t="s">
        <v>526</v>
      </c>
      <c r="B490" s="4" t="s">
        <v>847</v>
      </c>
      <c r="C490" s="4" t="s">
        <v>1289</v>
      </c>
      <c r="D490" s="4" t="b">
        <f>FALSE()</f>
        <v>0</v>
      </c>
      <c r="E490" s="5">
        <v>109</v>
      </c>
      <c r="F490" s="7">
        <f t="shared" si="7"/>
        <v>5.5078322385042948E-2</v>
      </c>
      <c r="G490" s="5">
        <v>0</v>
      </c>
      <c r="H490" s="14">
        <v>44929</v>
      </c>
      <c r="I490" s="14">
        <v>45054</v>
      </c>
      <c r="J490" s="4" t="s">
        <v>853</v>
      </c>
      <c r="K490" s="4" t="s">
        <v>1306</v>
      </c>
      <c r="L490" s="2"/>
      <c r="M490" s="2"/>
      <c r="N490" s="2"/>
    </row>
    <row r="491" spans="1:14" x14ac:dyDescent="0.45">
      <c r="A491" s="9" t="s">
        <v>530</v>
      </c>
      <c r="B491" s="9" t="s">
        <v>847</v>
      </c>
      <c r="C491" s="9" t="s">
        <v>506</v>
      </c>
      <c r="D491" s="9" t="b">
        <f>TRUE()</f>
        <v>1</v>
      </c>
      <c r="E491" s="10">
        <v>1407</v>
      </c>
      <c r="F491" s="12">
        <f t="shared" si="7"/>
        <v>0.95584239130434778</v>
      </c>
      <c r="G491" s="10">
        <v>280</v>
      </c>
      <c r="H491" s="15">
        <v>44929</v>
      </c>
      <c r="I491" s="15">
        <v>46296</v>
      </c>
      <c r="J491" s="9" t="s">
        <v>848</v>
      </c>
      <c r="K491" s="9" t="s">
        <v>924</v>
      </c>
      <c r="L491" s="2"/>
      <c r="M491" s="2"/>
      <c r="N491" s="2"/>
    </row>
    <row r="492" spans="1:14" x14ac:dyDescent="0.45">
      <c r="A492" s="4" t="s">
        <v>530</v>
      </c>
      <c r="B492" s="4" t="s">
        <v>847</v>
      </c>
      <c r="C492" s="4" t="s">
        <v>1289</v>
      </c>
      <c r="D492" s="4" t="b">
        <f>FALSE()</f>
        <v>0</v>
      </c>
      <c r="E492" s="5">
        <v>65</v>
      </c>
      <c r="F492" s="7">
        <f t="shared" si="7"/>
        <v>4.4157608695652176E-2</v>
      </c>
      <c r="G492" s="5">
        <v>0</v>
      </c>
      <c r="H492" s="14">
        <v>44931</v>
      </c>
      <c r="I492" s="14">
        <v>45054</v>
      </c>
      <c r="J492" s="4" t="s">
        <v>853</v>
      </c>
      <c r="K492" s="4" t="s">
        <v>1307</v>
      </c>
      <c r="L492" s="2"/>
      <c r="M492" s="2"/>
      <c r="N492" s="2"/>
    </row>
    <row r="493" spans="1:14" x14ac:dyDescent="0.45">
      <c r="A493" s="9" t="s">
        <v>532</v>
      </c>
      <c r="B493" s="9" t="s">
        <v>847</v>
      </c>
      <c r="C493" s="9" t="s">
        <v>506</v>
      </c>
      <c r="D493" s="9" t="b">
        <f>TRUE()</f>
        <v>1</v>
      </c>
      <c r="E493" s="10">
        <v>1033</v>
      </c>
      <c r="F493" s="12">
        <f t="shared" si="7"/>
        <v>0.9247985675917636</v>
      </c>
      <c r="G493" s="10">
        <v>0</v>
      </c>
      <c r="H493" s="15">
        <v>44952</v>
      </c>
      <c r="I493" s="15">
        <v>45404</v>
      </c>
      <c r="J493" s="9" t="s">
        <v>848</v>
      </c>
      <c r="K493" s="9" t="s">
        <v>1308</v>
      </c>
      <c r="L493" s="2"/>
      <c r="M493" s="2"/>
      <c r="N493" s="2"/>
    </row>
    <row r="494" spans="1:14" x14ac:dyDescent="0.45">
      <c r="A494" s="4" t="s">
        <v>532</v>
      </c>
      <c r="B494" s="4" t="s">
        <v>847</v>
      </c>
      <c r="C494" s="4" t="s">
        <v>1289</v>
      </c>
      <c r="D494" s="4" t="b">
        <f>FALSE()</f>
        <v>0</v>
      </c>
      <c r="E494" s="5">
        <v>84</v>
      </c>
      <c r="F494" s="7">
        <f t="shared" si="7"/>
        <v>7.5201432408236346E-2</v>
      </c>
      <c r="G494" s="5">
        <v>0</v>
      </c>
      <c r="H494" s="14">
        <v>44929</v>
      </c>
      <c r="I494" s="14">
        <v>45053</v>
      </c>
      <c r="J494" s="4" t="s">
        <v>853</v>
      </c>
      <c r="K494" s="4" t="s">
        <v>1309</v>
      </c>
      <c r="L494" s="2"/>
      <c r="M494" s="2"/>
      <c r="N494" s="2"/>
    </row>
    <row r="495" spans="1:14" x14ac:dyDescent="0.45">
      <c r="A495" s="9" t="s">
        <v>534</v>
      </c>
      <c r="B495" s="9" t="s">
        <v>847</v>
      </c>
      <c r="C495" s="9" t="s">
        <v>506</v>
      </c>
      <c r="D495" s="9" t="b">
        <f>TRUE()</f>
        <v>1</v>
      </c>
      <c r="E495" s="10">
        <v>954</v>
      </c>
      <c r="F495" s="12">
        <f t="shared" si="7"/>
        <v>0.95114656031904288</v>
      </c>
      <c r="G495" s="10">
        <v>0</v>
      </c>
      <c r="H495" s="15">
        <v>44966</v>
      </c>
      <c r="I495" s="15">
        <v>45718</v>
      </c>
      <c r="J495" s="9" t="s">
        <v>848</v>
      </c>
      <c r="K495" s="9" t="s">
        <v>1310</v>
      </c>
      <c r="L495" s="2"/>
      <c r="M495" s="2"/>
      <c r="N495" s="2"/>
    </row>
    <row r="496" spans="1:14" x14ac:dyDescent="0.45">
      <c r="A496" s="4" t="s">
        <v>534</v>
      </c>
      <c r="B496" s="4" t="s">
        <v>847</v>
      </c>
      <c r="C496" s="4" t="s">
        <v>1289</v>
      </c>
      <c r="D496" s="4" t="b">
        <f>FALSE()</f>
        <v>0</v>
      </c>
      <c r="E496" s="5">
        <v>49</v>
      </c>
      <c r="F496" s="7">
        <f t="shared" si="7"/>
        <v>4.8853439680957129E-2</v>
      </c>
      <c r="G496" s="5">
        <v>0</v>
      </c>
      <c r="H496" s="14">
        <v>44929</v>
      </c>
      <c r="I496" s="14">
        <v>45028</v>
      </c>
      <c r="J496" s="4" t="s">
        <v>853</v>
      </c>
      <c r="K496" s="4" t="s">
        <v>1311</v>
      </c>
      <c r="L496" s="2"/>
      <c r="M496" s="2"/>
      <c r="N496" s="2"/>
    </row>
    <row r="497" spans="1:14" x14ac:dyDescent="0.45">
      <c r="A497" s="9" t="s">
        <v>535</v>
      </c>
      <c r="B497" s="9" t="s">
        <v>847</v>
      </c>
      <c r="C497" s="9" t="s">
        <v>506</v>
      </c>
      <c r="D497" s="9" t="b">
        <f>TRUE()</f>
        <v>1</v>
      </c>
      <c r="E497" s="10">
        <v>863</v>
      </c>
      <c r="F497" s="12">
        <f t="shared" si="7"/>
        <v>0.93499458288190684</v>
      </c>
      <c r="G497" s="10">
        <v>0</v>
      </c>
      <c r="H497" s="15">
        <v>45050</v>
      </c>
      <c r="I497" s="15">
        <v>45876</v>
      </c>
      <c r="J497" s="9" t="s">
        <v>848</v>
      </c>
      <c r="K497" s="9" t="s">
        <v>1312</v>
      </c>
      <c r="L497" s="2"/>
      <c r="M497" s="2"/>
      <c r="N497" s="2"/>
    </row>
    <row r="498" spans="1:14" x14ac:dyDescent="0.45">
      <c r="A498" s="4" t="s">
        <v>535</v>
      </c>
      <c r="B498" s="4" t="s">
        <v>847</v>
      </c>
      <c r="C498" s="4" t="s">
        <v>1289</v>
      </c>
      <c r="D498" s="4" t="b">
        <f>FALSE()</f>
        <v>0</v>
      </c>
      <c r="E498" s="5">
        <v>60</v>
      </c>
      <c r="F498" s="7">
        <f t="shared" si="7"/>
        <v>6.500541711809317E-2</v>
      </c>
      <c r="G498" s="5">
        <v>0</v>
      </c>
      <c r="H498" s="14">
        <v>44930</v>
      </c>
      <c r="I498" s="14">
        <v>45051</v>
      </c>
      <c r="J498" s="4" t="s">
        <v>853</v>
      </c>
      <c r="K498" s="4" t="s">
        <v>1313</v>
      </c>
      <c r="L498" s="2"/>
      <c r="M498" s="2"/>
      <c r="N498" s="2"/>
    </row>
    <row r="499" spans="1:14" x14ac:dyDescent="0.45">
      <c r="A499" s="9" t="s">
        <v>537</v>
      </c>
      <c r="B499" s="9" t="s">
        <v>847</v>
      </c>
      <c r="C499" s="9" t="s">
        <v>506</v>
      </c>
      <c r="D499" s="9" t="b">
        <f>TRUE()</f>
        <v>1</v>
      </c>
      <c r="E499" s="10">
        <v>661</v>
      </c>
      <c r="F499" s="12">
        <f t="shared" si="7"/>
        <v>0.94293865905848784</v>
      </c>
      <c r="G499" s="10">
        <v>221</v>
      </c>
      <c r="H499" s="15">
        <v>45045</v>
      </c>
      <c r="I499" s="15">
        <v>46294</v>
      </c>
      <c r="J499" s="9" t="s">
        <v>848</v>
      </c>
      <c r="K499" s="9" t="s">
        <v>1314</v>
      </c>
      <c r="L499" s="2"/>
      <c r="M499" s="2"/>
      <c r="N499" s="2"/>
    </row>
    <row r="500" spans="1:14" x14ac:dyDescent="0.45">
      <c r="A500" s="4" t="s">
        <v>537</v>
      </c>
      <c r="B500" s="4" t="s">
        <v>847</v>
      </c>
      <c r="C500" s="4" t="s">
        <v>129</v>
      </c>
      <c r="D500" s="4" t="b">
        <f>FALSE()</f>
        <v>0</v>
      </c>
      <c r="E500" s="5">
        <v>40</v>
      </c>
      <c r="F500" s="7">
        <f t="shared" si="7"/>
        <v>5.7061340941512127E-2</v>
      </c>
      <c r="G500" s="5">
        <v>0</v>
      </c>
      <c r="H500" s="14">
        <v>44942</v>
      </c>
      <c r="I500" s="14">
        <v>45054</v>
      </c>
      <c r="J500" s="4" t="s">
        <v>853</v>
      </c>
      <c r="K500" s="4" t="s">
        <v>1315</v>
      </c>
      <c r="L500" s="2"/>
      <c r="M500" s="2"/>
      <c r="N500" s="2"/>
    </row>
    <row r="501" spans="1:14" x14ac:dyDescent="0.45">
      <c r="A501" s="9" t="s">
        <v>538</v>
      </c>
      <c r="B501" s="9" t="s">
        <v>847</v>
      </c>
      <c r="C501" s="9" t="s">
        <v>506</v>
      </c>
      <c r="D501" s="9" t="b">
        <f>TRUE()</f>
        <v>1</v>
      </c>
      <c r="E501" s="10">
        <v>682</v>
      </c>
      <c r="F501" s="12">
        <f t="shared" si="7"/>
        <v>0.97567954220314734</v>
      </c>
      <c r="G501" s="10">
        <v>0</v>
      </c>
      <c r="H501" s="15">
        <v>45027</v>
      </c>
      <c r="I501" s="15">
        <v>45404</v>
      </c>
      <c r="J501" s="9" t="s">
        <v>848</v>
      </c>
      <c r="K501" s="9" t="s">
        <v>1316</v>
      </c>
      <c r="L501" s="2"/>
      <c r="M501" s="2"/>
      <c r="N501" s="2"/>
    </row>
    <row r="502" spans="1:14" x14ac:dyDescent="0.45">
      <c r="A502" s="4" t="s">
        <v>538</v>
      </c>
      <c r="B502" s="4" t="s">
        <v>847</v>
      </c>
      <c r="C502" s="4" t="s">
        <v>1289</v>
      </c>
      <c r="D502" s="4" t="b">
        <f>FALSE()</f>
        <v>0</v>
      </c>
      <c r="E502" s="5">
        <v>17</v>
      </c>
      <c r="F502" s="7">
        <f t="shared" si="7"/>
        <v>2.4320457796852647E-2</v>
      </c>
      <c r="G502" s="5">
        <v>0</v>
      </c>
      <c r="H502" s="14">
        <v>44959</v>
      </c>
      <c r="I502" s="14">
        <v>45044</v>
      </c>
      <c r="J502" s="4" t="s">
        <v>853</v>
      </c>
      <c r="K502" s="4" t="s">
        <v>1317</v>
      </c>
      <c r="L502" s="2"/>
      <c r="M502" s="2"/>
      <c r="N502" s="2"/>
    </row>
    <row r="503" spans="1:14" x14ac:dyDescent="0.45">
      <c r="A503" s="9" t="s">
        <v>542</v>
      </c>
      <c r="B503" s="9" t="s">
        <v>847</v>
      </c>
      <c r="C503" s="9" t="s">
        <v>506</v>
      </c>
      <c r="D503" s="9" t="b">
        <f>TRUE()</f>
        <v>1</v>
      </c>
      <c r="E503" s="10">
        <v>472</v>
      </c>
      <c r="F503" s="12">
        <f t="shared" si="7"/>
        <v>0.79729729729729726</v>
      </c>
      <c r="G503" s="10">
        <v>0</v>
      </c>
      <c r="H503" s="15">
        <v>45017</v>
      </c>
      <c r="I503" s="15">
        <v>45405</v>
      </c>
      <c r="J503" s="9" t="s">
        <v>848</v>
      </c>
      <c r="K503" s="9" t="s">
        <v>1318</v>
      </c>
      <c r="L503" s="2"/>
      <c r="M503" s="2"/>
      <c r="N503" s="2"/>
    </row>
    <row r="504" spans="1:14" x14ac:dyDescent="0.45">
      <c r="A504" s="4" t="s">
        <v>542</v>
      </c>
      <c r="B504" s="4" t="s">
        <v>847</v>
      </c>
      <c r="C504" s="4" t="s">
        <v>1289</v>
      </c>
      <c r="D504" s="4" t="b">
        <f>FALSE()</f>
        <v>0</v>
      </c>
      <c r="E504" s="5">
        <v>120</v>
      </c>
      <c r="F504" s="7">
        <f t="shared" si="7"/>
        <v>0.20270270270270271</v>
      </c>
      <c r="G504" s="5">
        <v>0</v>
      </c>
      <c r="H504" s="14">
        <v>44929</v>
      </c>
      <c r="I504" s="14">
        <v>45054</v>
      </c>
      <c r="J504" s="4" t="s">
        <v>853</v>
      </c>
      <c r="K504" s="4" t="s">
        <v>1319</v>
      </c>
      <c r="L504" s="2"/>
      <c r="M504" s="2"/>
      <c r="N504" s="2"/>
    </row>
    <row r="505" spans="1:14" x14ac:dyDescent="0.45">
      <c r="A505" s="9" t="s">
        <v>543</v>
      </c>
      <c r="B505" s="9" t="s">
        <v>847</v>
      </c>
      <c r="C505" s="9" t="s">
        <v>506</v>
      </c>
      <c r="D505" s="9" t="b">
        <f>TRUE()</f>
        <v>1</v>
      </c>
      <c r="E505" s="10">
        <v>590</v>
      </c>
      <c r="F505" s="12">
        <f t="shared" si="7"/>
        <v>0.99830795262267347</v>
      </c>
      <c r="G505" s="10">
        <v>154</v>
      </c>
      <c r="H505" s="15">
        <v>45075</v>
      </c>
      <c r="I505" s="15">
        <v>46296</v>
      </c>
      <c r="J505" s="9" t="s">
        <v>848</v>
      </c>
      <c r="K505" s="9" t="s">
        <v>1320</v>
      </c>
      <c r="L505" s="2"/>
      <c r="M505" s="2"/>
      <c r="N505" s="2"/>
    </row>
    <row r="506" spans="1:14" x14ac:dyDescent="0.45">
      <c r="A506" s="4" t="s">
        <v>543</v>
      </c>
      <c r="B506" s="4" t="s">
        <v>847</v>
      </c>
      <c r="C506" s="4" t="s">
        <v>1289</v>
      </c>
      <c r="D506" s="4" t="b">
        <f>FALSE()</f>
        <v>0</v>
      </c>
      <c r="E506" s="5">
        <v>1</v>
      </c>
      <c r="F506" s="7">
        <f t="shared" si="7"/>
        <v>1.6920473773265651E-3</v>
      </c>
      <c r="G506" s="5">
        <v>0</v>
      </c>
      <c r="H506" s="14">
        <v>44998</v>
      </c>
      <c r="I506" s="14">
        <v>44998</v>
      </c>
      <c r="J506" s="4" t="s">
        <v>853</v>
      </c>
      <c r="K506" s="4" t="s">
        <v>1321</v>
      </c>
      <c r="L506" s="2"/>
      <c r="M506" s="2"/>
      <c r="N506" s="2"/>
    </row>
    <row r="507" spans="1:14" x14ac:dyDescent="0.45">
      <c r="A507" s="9" t="s">
        <v>544</v>
      </c>
      <c r="B507" s="9" t="s">
        <v>847</v>
      </c>
      <c r="C507" s="9" t="s">
        <v>506</v>
      </c>
      <c r="D507" s="9" t="b">
        <f>TRUE()</f>
        <v>1</v>
      </c>
      <c r="E507" s="10">
        <v>466</v>
      </c>
      <c r="F507" s="12">
        <f t="shared" si="7"/>
        <v>0.89788053949903657</v>
      </c>
      <c r="G507" s="10">
        <v>0</v>
      </c>
      <c r="H507" s="15">
        <v>44991</v>
      </c>
      <c r="I507" s="15">
        <v>45404</v>
      </c>
      <c r="J507" s="9" t="s">
        <v>848</v>
      </c>
      <c r="K507" s="9" t="s">
        <v>1322</v>
      </c>
      <c r="L507" s="2"/>
      <c r="M507" s="2"/>
      <c r="N507" s="2"/>
    </row>
    <row r="508" spans="1:14" x14ac:dyDescent="0.45">
      <c r="A508" s="4" t="s">
        <v>544</v>
      </c>
      <c r="B508" s="4" t="s">
        <v>847</v>
      </c>
      <c r="C508" s="4" t="s">
        <v>1289</v>
      </c>
      <c r="D508" s="4" t="b">
        <f>FALSE()</f>
        <v>0</v>
      </c>
      <c r="E508" s="5">
        <v>53</v>
      </c>
      <c r="F508" s="7">
        <f t="shared" si="7"/>
        <v>0.10211946050096339</v>
      </c>
      <c r="G508" s="5">
        <v>0</v>
      </c>
      <c r="H508" s="14">
        <v>44944</v>
      </c>
      <c r="I508" s="14">
        <v>45051</v>
      </c>
      <c r="J508" s="4" t="s">
        <v>853</v>
      </c>
      <c r="K508" s="4" t="s">
        <v>1323</v>
      </c>
      <c r="L508" s="2"/>
      <c r="M508" s="2"/>
      <c r="N508" s="2"/>
    </row>
    <row r="509" spans="1:14" x14ac:dyDescent="0.45">
      <c r="A509" s="9" t="s">
        <v>545</v>
      </c>
      <c r="B509" s="9" t="s">
        <v>847</v>
      </c>
      <c r="C509" s="9" t="s">
        <v>506</v>
      </c>
      <c r="D509" s="9" t="b">
        <f>TRUE()</f>
        <v>1</v>
      </c>
      <c r="E509" s="10">
        <v>447</v>
      </c>
      <c r="F509" s="12">
        <f t="shared" si="7"/>
        <v>0.88165680473372776</v>
      </c>
      <c r="G509" s="10">
        <v>92</v>
      </c>
      <c r="H509" s="15">
        <v>45044</v>
      </c>
      <c r="I509" s="15">
        <v>46295</v>
      </c>
      <c r="J509" s="9" t="s">
        <v>848</v>
      </c>
      <c r="K509" s="9" t="s">
        <v>1324</v>
      </c>
      <c r="L509" s="2"/>
      <c r="M509" s="2"/>
      <c r="N509" s="2"/>
    </row>
    <row r="510" spans="1:14" x14ac:dyDescent="0.45">
      <c r="A510" s="4" t="s">
        <v>545</v>
      </c>
      <c r="B510" s="4" t="s">
        <v>847</v>
      </c>
      <c r="C510" s="4" t="s">
        <v>1289</v>
      </c>
      <c r="D510" s="4" t="b">
        <f>FALSE()</f>
        <v>0</v>
      </c>
      <c r="E510" s="5">
        <v>60</v>
      </c>
      <c r="F510" s="7">
        <f t="shared" si="7"/>
        <v>0.11834319526627218</v>
      </c>
      <c r="G510" s="5">
        <v>0</v>
      </c>
      <c r="H510" s="14">
        <v>44937</v>
      </c>
      <c r="I510" s="14">
        <v>45051</v>
      </c>
      <c r="J510" s="4" t="s">
        <v>853</v>
      </c>
      <c r="K510" s="4" t="s">
        <v>1325</v>
      </c>
      <c r="L510" s="2"/>
      <c r="M510" s="2"/>
      <c r="N510" s="2"/>
    </row>
    <row r="511" spans="1:14" x14ac:dyDescent="0.45">
      <c r="A511" s="9" t="s">
        <v>546</v>
      </c>
      <c r="B511" s="9" t="s">
        <v>847</v>
      </c>
      <c r="C511" s="9" t="s">
        <v>506</v>
      </c>
      <c r="D511" s="9" t="b">
        <f>TRUE()</f>
        <v>1</v>
      </c>
      <c r="E511" s="10">
        <v>438</v>
      </c>
      <c r="F511" s="12">
        <f t="shared" si="7"/>
        <v>0.89938398357289528</v>
      </c>
      <c r="G511" s="10">
        <v>120</v>
      </c>
      <c r="H511" s="15">
        <v>45036</v>
      </c>
      <c r="I511" s="15">
        <v>46293</v>
      </c>
      <c r="J511" s="9" t="s">
        <v>848</v>
      </c>
      <c r="K511" s="9" t="s">
        <v>1326</v>
      </c>
      <c r="L511" s="2"/>
      <c r="M511" s="2"/>
      <c r="N511" s="2"/>
    </row>
    <row r="512" spans="1:14" x14ac:dyDescent="0.45">
      <c r="A512" s="4" t="s">
        <v>546</v>
      </c>
      <c r="B512" s="4" t="s">
        <v>847</v>
      </c>
      <c r="C512" s="4" t="s">
        <v>1289</v>
      </c>
      <c r="D512" s="4" t="b">
        <f>FALSE()</f>
        <v>0</v>
      </c>
      <c r="E512" s="5">
        <v>49</v>
      </c>
      <c r="F512" s="7">
        <f t="shared" si="7"/>
        <v>0.10061601642710473</v>
      </c>
      <c r="G512" s="5">
        <v>0</v>
      </c>
      <c r="H512" s="14">
        <v>44935</v>
      </c>
      <c r="I512" s="14">
        <v>45049</v>
      </c>
      <c r="J512" s="4" t="s">
        <v>853</v>
      </c>
      <c r="K512" s="4" t="s">
        <v>1327</v>
      </c>
      <c r="L512" s="2"/>
      <c r="M512" s="2"/>
      <c r="N512" s="2"/>
    </row>
    <row r="513" spans="1:14" x14ac:dyDescent="0.45">
      <c r="A513" s="9" t="s">
        <v>547</v>
      </c>
      <c r="B513" s="9" t="s">
        <v>847</v>
      </c>
      <c r="C513" s="9" t="s">
        <v>506</v>
      </c>
      <c r="D513" s="9" t="b">
        <f>TRUE()</f>
        <v>1</v>
      </c>
      <c r="E513" s="10">
        <v>342</v>
      </c>
      <c r="F513" s="12">
        <f t="shared" si="7"/>
        <v>0.79350348027842232</v>
      </c>
      <c r="G513" s="10">
        <v>116</v>
      </c>
      <c r="H513" s="15">
        <v>45007</v>
      </c>
      <c r="I513" s="15">
        <v>46274</v>
      </c>
      <c r="J513" s="9" t="s">
        <v>848</v>
      </c>
      <c r="K513" s="9" t="s">
        <v>1328</v>
      </c>
      <c r="L513" s="2"/>
      <c r="M513" s="2"/>
      <c r="N513" s="2"/>
    </row>
    <row r="514" spans="1:14" x14ac:dyDescent="0.45">
      <c r="A514" s="4" t="s">
        <v>547</v>
      </c>
      <c r="B514" s="4" t="s">
        <v>847</v>
      </c>
      <c r="C514" s="4" t="s">
        <v>1289</v>
      </c>
      <c r="D514" s="4" t="b">
        <f>FALSE()</f>
        <v>0</v>
      </c>
      <c r="E514" s="5">
        <v>89</v>
      </c>
      <c r="F514" s="7">
        <f t="shared" ref="F514:F577" si="8">E514/SUMIFS($E$2:$E$783,$A$2:$A$783,A514)</f>
        <v>0.20649651972157773</v>
      </c>
      <c r="G514" s="5">
        <v>0</v>
      </c>
      <c r="H514" s="14">
        <v>44956</v>
      </c>
      <c r="I514" s="14">
        <v>45043</v>
      </c>
      <c r="J514" s="4" t="s">
        <v>853</v>
      </c>
      <c r="K514" s="4" t="s">
        <v>1329</v>
      </c>
      <c r="L514" s="2"/>
      <c r="M514" s="2"/>
      <c r="N514" s="2"/>
    </row>
    <row r="515" spans="1:14" x14ac:dyDescent="0.45">
      <c r="A515" s="9" t="s">
        <v>548</v>
      </c>
      <c r="B515" s="9" t="s">
        <v>847</v>
      </c>
      <c r="C515" s="9" t="s">
        <v>506</v>
      </c>
      <c r="D515" s="9" t="b">
        <f>TRUE()</f>
        <v>1</v>
      </c>
      <c r="E515" s="10">
        <v>377</v>
      </c>
      <c r="F515" s="12">
        <f t="shared" si="8"/>
        <v>0.97922077922077921</v>
      </c>
      <c r="G515" s="10">
        <v>125</v>
      </c>
      <c r="H515" s="15">
        <v>45026</v>
      </c>
      <c r="I515" s="15">
        <v>46296</v>
      </c>
      <c r="J515" s="9" t="s">
        <v>848</v>
      </c>
      <c r="K515" s="9" t="s">
        <v>1330</v>
      </c>
      <c r="L515" s="2"/>
      <c r="M515" s="2"/>
      <c r="N515" s="2"/>
    </row>
    <row r="516" spans="1:14" x14ac:dyDescent="0.45">
      <c r="A516" s="4" t="s">
        <v>548</v>
      </c>
      <c r="B516" s="4" t="s">
        <v>847</v>
      </c>
      <c r="C516" s="4" t="s">
        <v>1289</v>
      </c>
      <c r="D516" s="4" t="b">
        <f>FALSE()</f>
        <v>0</v>
      </c>
      <c r="E516" s="5">
        <v>8</v>
      </c>
      <c r="F516" s="7">
        <f t="shared" si="8"/>
        <v>2.0779220779220779E-2</v>
      </c>
      <c r="G516" s="5">
        <v>0</v>
      </c>
      <c r="H516" s="14">
        <v>44936</v>
      </c>
      <c r="I516" s="14">
        <v>45049</v>
      </c>
      <c r="J516" s="4" t="s">
        <v>853</v>
      </c>
      <c r="K516" s="4" t="s">
        <v>1331</v>
      </c>
      <c r="L516" s="2"/>
      <c r="M516" s="2"/>
      <c r="N516" s="2"/>
    </row>
    <row r="517" spans="1:14" x14ac:dyDescent="0.45">
      <c r="A517" s="9" t="s">
        <v>549</v>
      </c>
      <c r="B517" s="9" t="s">
        <v>847</v>
      </c>
      <c r="C517" s="9" t="s">
        <v>506</v>
      </c>
      <c r="D517" s="9" t="b">
        <f>TRUE()</f>
        <v>1</v>
      </c>
      <c r="E517" s="10">
        <v>291</v>
      </c>
      <c r="F517" s="12">
        <f t="shared" si="8"/>
        <v>0.77600000000000002</v>
      </c>
      <c r="G517" s="10">
        <v>0</v>
      </c>
      <c r="H517" s="15">
        <v>45050</v>
      </c>
      <c r="I517" s="15">
        <v>45399</v>
      </c>
      <c r="J517" s="9" t="s">
        <v>848</v>
      </c>
      <c r="K517" s="9" t="s">
        <v>1332</v>
      </c>
      <c r="L517" s="2"/>
      <c r="M517" s="2"/>
      <c r="N517" s="2"/>
    </row>
    <row r="518" spans="1:14" x14ac:dyDescent="0.45">
      <c r="A518" s="4" t="s">
        <v>549</v>
      </c>
      <c r="B518" s="4" t="s">
        <v>847</v>
      </c>
      <c r="C518" s="4" t="s">
        <v>1289</v>
      </c>
      <c r="D518" s="4" t="b">
        <f>FALSE()</f>
        <v>0</v>
      </c>
      <c r="E518" s="5">
        <v>84</v>
      </c>
      <c r="F518" s="7">
        <f t="shared" si="8"/>
        <v>0.224</v>
      </c>
      <c r="G518" s="5">
        <v>0</v>
      </c>
      <c r="H518" s="14">
        <v>44929</v>
      </c>
      <c r="I518" s="14">
        <v>45054</v>
      </c>
      <c r="J518" s="4" t="s">
        <v>853</v>
      </c>
      <c r="K518" s="4" t="s">
        <v>1333</v>
      </c>
      <c r="L518" s="2"/>
      <c r="M518" s="2"/>
      <c r="N518" s="2"/>
    </row>
    <row r="519" spans="1:14" x14ac:dyDescent="0.45">
      <c r="A519" s="9" t="s">
        <v>551</v>
      </c>
      <c r="B519" s="9" t="s">
        <v>847</v>
      </c>
      <c r="C519" s="9" t="s">
        <v>506</v>
      </c>
      <c r="D519" s="9" t="b">
        <f>TRUE()</f>
        <v>1</v>
      </c>
      <c r="E519" s="10">
        <v>269</v>
      </c>
      <c r="F519" s="12">
        <f t="shared" si="8"/>
        <v>0.80298507462686564</v>
      </c>
      <c r="G519" s="10">
        <v>0</v>
      </c>
      <c r="H519" s="15">
        <v>45029</v>
      </c>
      <c r="I519" s="15">
        <v>45442</v>
      </c>
      <c r="J519" s="9" t="s">
        <v>848</v>
      </c>
      <c r="K519" s="9" t="s">
        <v>1334</v>
      </c>
      <c r="L519" s="2"/>
      <c r="M519" s="2"/>
      <c r="N519" s="2"/>
    </row>
    <row r="520" spans="1:14" x14ac:dyDescent="0.45">
      <c r="A520" s="4" t="s">
        <v>551</v>
      </c>
      <c r="B520" s="4" t="s">
        <v>847</v>
      </c>
      <c r="C520" s="4" t="s">
        <v>1289</v>
      </c>
      <c r="D520" s="4" t="b">
        <f>FALSE()</f>
        <v>0</v>
      </c>
      <c r="E520" s="5">
        <v>66</v>
      </c>
      <c r="F520" s="7">
        <f t="shared" si="8"/>
        <v>0.19701492537313434</v>
      </c>
      <c r="G520" s="5">
        <v>0</v>
      </c>
      <c r="H520" s="14">
        <v>44930</v>
      </c>
      <c r="I520" s="14">
        <v>45054</v>
      </c>
      <c r="J520" s="4" t="s">
        <v>853</v>
      </c>
      <c r="K520" s="4" t="s">
        <v>1335</v>
      </c>
      <c r="L520" s="2"/>
      <c r="M520" s="2"/>
      <c r="N520" s="2"/>
    </row>
    <row r="521" spans="1:14" x14ac:dyDescent="0.45">
      <c r="A521" s="9" t="s">
        <v>553</v>
      </c>
      <c r="B521" s="9" t="s">
        <v>847</v>
      </c>
      <c r="C521" s="9" t="s">
        <v>506</v>
      </c>
      <c r="D521" s="9" t="b">
        <f>TRUE()</f>
        <v>1</v>
      </c>
      <c r="E521" s="10">
        <v>172</v>
      </c>
      <c r="F521" s="12">
        <f t="shared" si="8"/>
        <v>0.8</v>
      </c>
      <c r="G521" s="10">
        <v>0</v>
      </c>
      <c r="H521" s="15">
        <v>45051</v>
      </c>
      <c r="I521" s="15">
        <v>45398</v>
      </c>
      <c r="J521" s="9" t="s">
        <v>848</v>
      </c>
      <c r="K521" s="9" t="s">
        <v>1336</v>
      </c>
      <c r="L521" s="2"/>
      <c r="M521" s="2"/>
      <c r="N521" s="2"/>
    </row>
    <row r="522" spans="1:14" x14ac:dyDescent="0.45">
      <c r="A522" s="4" t="s">
        <v>553</v>
      </c>
      <c r="B522" s="4" t="s">
        <v>847</v>
      </c>
      <c r="C522" s="4" t="s">
        <v>1289</v>
      </c>
      <c r="D522" s="4" t="b">
        <f>FALSE()</f>
        <v>0</v>
      </c>
      <c r="E522" s="5">
        <v>43</v>
      </c>
      <c r="F522" s="7">
        <f t="shared" si="8"/>
        <v>0.2</v>
      </c>
      <c r="G522" s="5">
        <v>0</v>
      </c>
      <c r="H522" s="14">
        <v>44928</v>
      </c>
      <c r="I522" s="14">
        <v>45053</v>
      </c>
      <c r="J522" s="4" t="s">
        <v>853</v>
      </c>
      <c r="K522" s="4" t="s">
        <v>1337</v>
      </c>
      <c r="L522" s="2"/>
      <c r="M522" s="2"/>
      <c r="N522" s="2"/>
    </row>
    <row r="523" spans="1:14" x14ac:dyDescent="0.45">
      <c r="A523" s="9" t="s">
        <v>554</v>
      </c>
      <c r="B523" s="9" t="s">
        <v>847</v>
      </c>
      <c r="C523" s="9" t="s">
        <v>506</v>
      </c>
      <c r="D523" s="9" t="b">
        <f>TRUE()</f>
        <v>1</v>
      </c>
      <c r="E523" s="10">
        <v>146</v>
      </c>
      <c r="F523" s="12">
        <f t="shared" si="8"/>
        <v>0.79781420765027322</v>
      </c>
      <c r="G523" s="10">
        <v>0</v>
      </c>
      <c r="H523" s="15">
        <v>45037</v>
      </c>
      <c r="I523" s="15">
        <v>45398</v>
      </c>
      <c r="J523" s="9" t="s">
        <v>848</v>
      </c>
      <c r="K523" s="9" t="s">
        <v>1338</v>
      </c>
      <c r="L523" s="2"/>
      <c r="M523" s="2"/>
      <c r="N523" s="2"/>
    </row>
    <row r="524" spans="1:14" x14ac:dyDescent="0.45">
      <c r="A524" s="4" t="s">
        <v>554</v>
      </c>
      <c r="B524" s="4" t="s">
        <v>847</v>
      </c>
      <c r="C524" s="4" t="s">
        <v>1289</v>
      </c>
      <c r="D524" s="4" t="b">
        <f>FALSE()</f>
        <v>0</v>
      </c>
      <c r="E524" s="5">
        <v>37</v>
      </c>
      <c r="F524" s="7">
        <f t="shared" si="8"/>
        <v>0.20218579234972678</v>
      </c>
      <c r="G524" s="5">
        <v>0</v>
      </c>
      <c r="H524" s="14">
        <v>44935</v>
      </c>
      <c r="I524" s="14">
        <v>45054</v>
      </c>
      <c r="J524" s="4" t="s">
        <v>853</v>
      </c>
      <c r="K524" s="4" t="s">
        <v>1339</v>
      </c>
      <c r="L524" s="2"/>
      <c r="M524" s="2"/>
      <c r="N524" s="2"/>
    </row>
    <row r="525" spans="1:14" x14ac:dyDescent="0.45">
      <c r="A525" s="9" t="s">
        <v>556</v>
      </c>
      <c r="B525" s="9" t="s">
        <v>847</v>
      </c>
      <c r="C525" s="9" t="s">
        <v>506</v>
      </c>
      <c r="D525" s="9" t="b">
        <f>TRUE()</f>
        <v>1</v>
      </c>
      <c r="E525" s="10">
        <v>128</v>
      </c>
      <c r="F525" s="12">
        <f t="shared" si="8"/>
        <v>0.85906040268456374</v>
      </c>
      <c r="G525" s="10">
        <v>0</v>
      </c>
      <c r="H525" s="15">
        <v>45057</v>
      </c>
      <c r="I525" s="15">
        <v>45400</v>
      </c>
      <c r="J525" s="9" t="s">
        <v>848</v>
      </c>
      <c r="K525" s="9" t="s">
        <v>1340</v>
      </c>
      <c r="L525" s="2"/>
      <c r="M525" s="2"/>
      <c r="N525" s="2"/>
    </row>
    <row r="526" spans="1:14" x14ac:dyDescent="0.45">
      <c r="A526" s="4" t="s">
        <v>556</v>
      </c>
      <c r="B526" s="4" t="s">
        <v>847</v>
      </c>
      <c r="C526" s="4" t="s">
        <v>1289</v>
      </c>
      <c r="D526" s="4" t="b">
        <f>FALSE()</f>
        <v>0</v>
      </c>
      <c r="E526" s="5">
        <v>21</v>
      </c>
      <c r="F526" s="7">
        <f t="shared" si="8"/>
        <v>0.14093959731543623</v>
      </c>
      <c r="G526" s="5">
        <v>0</v>
      </c>
      <c r="H526" s="14">
        <v>44960</v>
      </c>
      <c r="I526" s="14">
        <v>45054</v>
      </c>
      <c r="J526" s="4" t="s">
        <v>853</v>
      </c>
      <c r="K526" s="4" t="s">
        <v>1341</v>
      </c>
      <c r="L526" s="2"/>
      <c r="M526" s="2"/>
      <c r="N526" s="2"/>
    </row>
    <row r="527" spans="1:14" x14ac:dyDescent="0.45">
      <c r="A527" s="9" t="s">
        <v>560</v>
      </c>
      <c r="B527" s="9" t="s">
        <v>847</v>
      </c>
      <c r="C527" s="9" t="s">
        <v>506</v>
      </c>
      <c r="D527" s="9" t="b">
        <f>TRUE()</f>
        <v>1</v>
      </c>
      <c r="E527" s="10">
        <v>65</v>
      </c>
      <c r="F527" s="12">
        <f t="shared" si="8"/>
        <v>0.68421052631578949</v>
      </c>
      <c r="G527" s="10">
        <v>0</v>
      </c>
      <c r="H527" s="15">
        <v>45098</v>
      </c>
      <c r="I527" s="15">
        <v>45723</v>
      </c>
      <c r="J527" s="9" t="s">
        <v>848</v>
      </c>
      <c r="K527" s="9" t="s">
        <v>1342</v>
      </c>
      <c r="L527" s="2"/>
      <c r="M527" s="2"/>
      <c r="N527" s="2"/>
    </row>
    <row r="528" spans="1:14" x14ac:dyDescent="0.45">
      <c r="A528" s="4" t="s">
        <v>560</v>
      </c>
      <c r="B528" s="4" t="s">
        <v>847</v>
      </c>
      <c r="C528" s="4" t="s">
        <v>258</v>
      </c>
      <c r="D528" s="4" t="b">
        <f>FALSE()</f>
        <v>0</v>
      </c>
      <c r="E528" s="5">
        <v>26</v>
      </c>
      <c r="F528" s="7">
        <f t="shared" si="8"/>
        <v>0.27368421052631581</v>
      </c>
      <c r="G528" s="5">
        <v>0</v>
      </c>
      <c r="H528" s="14">
        <v>45001</v>
      </c>
      <c r="I528" s="14">
        <v>45085</v>
      </c>
      <c r="J528" s="4" t="s">
        <v>857</v>
      </c>
      <c r="K528" s="4" t="s">
        <v>1343</v>
      </c>
      <c r="L528" s="2"/>
      <c r="M528" s="2"/>
      <c r="N528" s="2"/>
    </row>
    <row r="529" spans="1:14" x14ac:dyDescent="0.45">
      <c r="A529" s="4" t="s">
        <v>560</v>
      </c>
      <c r="B529" s="4" t="s">
        <v>847</v>
      </c>
      <c r="C529" s="4" t="s">
        <v>809</v>
      </c>
      <c r="D529" s="4" t="b">
        <f>FALSE()</f>
        <v>0</v>
      </c>
      <c r="E529" s="5">
        <v>4</v>
      </c>
      <c r="F529" s="7">
        <f t="shared" si="8"/>
        <v>4.2105263157894736E-2</v>
      </c>
      <c r="G529" s="5">
        <v>0</v>
      </c>
      <c r="H529" s="14">
        <v>45033</v>
      </c>
      <c r="I529" s="14">
        <v>45050</v>
      </c>
      <c r="J529" s="4" t="s">
        <v>853</v>
      </c>
      <c r="K529" s="4" t="s">
        <v>1344</v>
      </c>
      <c r="L529" s="2"/>
      <c r="M529" s="2"/>
      <c r="N529" s="2"/>
    </row>
    <row r="530" spans="1:14" x14ac:dyDescent="0.45">
      <c r="A530" s="9" t="s">
        <v>563</v>
      </c>
      <c r="B530" s="9" t="s">
        <v>847</v>
      </c>
      <c r="C530" s="9" t="s">
        <v>506</v>
      </c>
      <c r="D530" s="9" t="b">
        <f>TRUE()</f>
        <v>1</v>
      </c>
      <c r="E530" s="10">
        <v>56</v>
      </c>
      <c r="F530" s="12">
        <f t="shared" si="8"/>
        <v>0.84848484848484851</v>
      </c>
      <c r="G530" s="10">
        <v>0</v>
      </c>
      <c r="H530" s="15">
        <v>45002</v>
      </c>
      <c r="I530" s="15">
        <v>45719</v>
      </c>
      <c r="J530" s="9" t="s">
        <v>848</v>
      </c>
      <c r="K530" s="9" t="s">
        <v>1345</v>
      </c>
      <c r="L530" s="2"/>
      <c r="M530" s="2"/>
      <c r="N530" s="2"/>
    </row>
    <row r="531" spans="1:14" x14ac:dyDescent="0.45">
      <c r="A531" s="4" t="s">
        <v>563</v>
      </c>
      <c r="B531" s="4" t="s">
        <v>847</v>
      </c>
      <c r="C531" s="4" t="s">
        <v>1289</v>
      </c>
      <c r="D531" s="4" t="b">
        <f>FALSE()</f>
        <v>0</v>
      </c>
      <c r="E531" s="5">
        <v>10</v>
      </c>
      <c r="F531" s="7">
        <f t="shared" si="8"/>
        <v>0.15151515151515152</v>
      </c>
      <c r="G531" s="5">
        <v>0</v>
      </c>
      <c r="H531" s="14">
        <v>44942</v>
      </c>
      <c r="I531" s="14">
        <v>45020</v>
      </c>
      <c r="J531" s="4" t="s">
        <v>853</v>
      </c>
      <c r="K531" s="4" t="s">
        <v>1346</v>
      </c>
      <c r="L531" s="2"/>
      <c r="M531" s="2"/>
      <c r="N531" s="2"/>
    </row>
    <row r="532" spans="1:14" x14ac:dyDescent="0.45">
      <c r="A532" s="9" t="s">
        <v>564</v>
      </c>
      <c r="B532" s="9" t="s">
        <v>847</v>
      </c>
      <c r="C532" s="9" t="s">
        <v>506</v>
      </c>
      <c r="D532" s="9" t="b">
        <f>TRUE()</f>
        <v>1</v>
      </c>
      <c r="E532" s="10">
        <v>39</v>
      </c>
      <c r="F532" s="12">
        <f t="shared" si="8"/>
        <v>0.78</v>
      </c>
      <c r="G532" s="10">
        <v>0</v>
      </c>
      <c r="H532" s="15">
        <v>44977</v>
      </c>
      <c r="I532" s="15">
        <v>45404</v>
      </c>
      <c r="J532" s="9" t="s">
        <v>848</v>
      </c>
      <c r="K532" s="9" t="s">
        <v>1347</v>
      </c>
      <c r="L532" s="2"/>
      <c r="M532" s="2"/>
      <c r="N532" s="2"/>
    </row>
    <row r="533" spans="1:14" x14ac:dyDescent="0.45">
      <c r="A533" s="4" t="s">
        <v>564</v>
      </c>
      <c r="B533" s="4" t="s">
        <v>847</v>
      </c>
      <c r="C533" s="4" t="s">
        <v>1289</v>
      </c>
      <c r="D533" s="4" t="b">
        <f>FALSE()</f>
        <v>0</v>
      </c>
      <c r="E533" s="5">
        <v>11</v>
      </c>
      <c r="F533" s="7">
        <f t="shared" si="8"/>
        <v>0.22</v>
      </c>
      <c r="G533" s="5">
        <v>0</v>
      </c>
      <c r="H533" s="14">
        <v>44935</v>
      </c>
      <c r="I533" s="14">
        <v>45049</v>
      </c>
      <c r="J533" s="4" t="s">
        <v>853</v>
      </c>
      <c r="K533" s="4" t="s">
        <v>1348</v>
      </c>
      <c r="L533" s="2"/>
      <c r="M533" s="2"/>
      <c r="N533" s="2"/>
    </row>
    <row r="534" spans="1:14" x14ac:dyDescent="0.45">
      <c r="A534" s="9" t="s">
        <v>567</v>
      </c>
      <c r="B534" s="9" t="s">
        <v>847</v>
      </c>
      <c r="C534" s="9" t="s">
        <v>568</v>
      </c>
      <c r="D534" s="9" t="b">
        <f>TRUE()</f>
        <v>1</v>
      </c>
      <c r="E534" s="10">
        <v>94987</v>
      </c>
      <c r="F534" s="12">
        <f t="shared" si="8"/>
        <v>0.92735384855703518</v>
      </c>
      <c r="G534" s="10">
        <v>23454</v>
      </c>
      <c r="H534" s="15">
        <v>44928</v>
      </c>
      <c r="I534" s="15">
        <v>46296</v>
      </c>
      <c r="J534" s="9" t="s">
        <v>848</v>
      </c>
      <c r="K534" s="9" t="s">
        <v>930</v>
      </c>
      <c r="L534" s="2"/>
      <c r="M534" s="2"/>
      <c r="N534" s="2"/>
    </row>
    <row r="535" spans="1:14" x14ac:dyDescent="0.45">
      <c r="A535" s="4" t="s">
        <v>567</v>
      </c>
      <c r="B535" s="4" t="s">
        <v>847</v>
      </c>
      <c r="C535" s="4" t="s">
        <v>820</v>
      </c>
      <c r="D535" s="4" t="b">
        <f>FALSE()</f>
        <v>0</v>
      </c>
      <c r="E535" s="5">
        <v>7441</v>
      </c>
      <c r="F535" s="7">
        <f t="shared" si="8"/>
        <v>7.264615144296481E-2</v>
      </c>
      <c r="G535" s="5">
        <v>0</v>
      </c>
      <c r="H535" s="14">
        <v>44928</v>
      </c>
      <c r="I535" s="14">
        <v>45055</v>
      </c>
      <c r="J535" s="4" t="s">
        <v>850</v>
      </c>
      <c r="K535" s="4" t="s">
        <v>931</v>
      </c>
      <c r="L535" s="2"/>
      <c r="M535" s="2"/>
      <c r="N535" s="2"/>
    </row>
    <row r="536" spans="1:14" x14ac:dyDescent="0.45">
      <c r="A536" s="9" t="s">
        <v>569</v>
      </c>
      <c r="B536" s="9" t="s">
        <v>847</v>
      </c>
      <c r="C536" s="9" t="s">
        <v>568</v>
      </c>
      <c r="D536" s="9" t="b">
        <f>TRUE()</f>
        <v>1</v>
      </c>
      <c r="E536" s="10">
        <v>34494</v>
      </c>
      <c r="F536" s="12">
        <f t="shared" si="8"/>
        <v>0.9396349768455462</v>
      </c>
      <c r="G536" s="10">
        <v>9256</v>
      </c>
      <c r="H536" s="15">
        <v>44930</v>
      </c>
      <c r="I536" s="15">
        <v>46296</v>
      </c>
      <c r="J536" s="9" t="s">
        <v>848</v>
      </c>
      <c r="K536" s="9" t="s">
        <v>1202</v>
      </c>
      <c r="L536" s="2"/>
      <c r="M536" s="2"/>
      <c r="N536" s="2"/>
    </row>
    <row r="537" spans="1:14" x14ac:dyDescent="0.45">
      <c r="A537" s="4" t="s">
        <v>569</v>
      </c>
      <c r="B537" s="4" t="s">
        <v>847</v>
      </c>
      <c r="C537" s="4" t="s">
        <v>820</v>
      </c>
      <c r="D537" s="4" t="b">
        <f>FALSE()</f>
        <v>0</v>
      </c>
      <c r="E537" s="5">
        <v>2216</v>
      </c>
      <c r="F537" s="7">
        <f t="shared" si="8"/>
        <v>6.0365023154453828E-2</v>
      </c>
      <c r="G537" s="5">
        <v>0</v>
      </c>
      <c r="H537" s="14">
        <v>44928</v>
      </c>
      <c r="I537" s="14">
        <v>45055</v>
      </c>
      <c r="J537" s="4" t="s">
        <v>850</v>
      </c>
      <c r="K537" s="4" t="s">
        <v>883</v>
      </c>
      <c r="L537" s="2"/>
      <c r="M537" s="2"/>
      <c r="N537" s="2"/>
    </row>
    <row r="538" spans="1:14" x14ac:dyDescent="0.45">
      <c r="A538" s="9" t="s">
        <v>570</v>
      </c>
      <c r="B538" s="9" t="s">
        <v>847</v>
      </c>
      <c r="C538" s="9" t="s">
        <v>568</v>
      </c>
      <c r="D538" s="9" t="b">
        <f>TRUE()</f>
        <v>1</v>
      </c>
      <c r="E538" s="10">
        <v>34109</v>
      </c>
      <c r="F538" s="12">
        <f t="shared" si="8"/>
        <v>0.93940896196535295</v>
      </c>
      <c r="G538" s="10">
        <v>9327</v>
      </c>
      <c r="H538" s="15">
        <v>44929</v>
      </c>
      <c r="I538" s="15">
        <v>46296</v>
      </c>
      <c r="J538" s="9" t="s">
        <v>848</v>
      </c>
      <c r="K538" s="9" t="s">
        <v>924</v>
      </c>
      <c r="L538" s="2"/>
      <c r="M538" s="2"/>
      <c r="N538" s="2"/>
    </row>
    <row r="539" spans="1:14" x14ac:dyDescent="0.45">
      <c r="A539" s="4" t="s">
        <v>570</v>
      </c>
      <c r="B539" s="4" t="s">
        <v>847</v>
      </c>
      <c r="C539" s="4" t="s">
        <v>820</v>
      </c>
      <c r="D539" s="4" t="b">
        <f>FALSE()</f>
        <v>0</v>
      </c>
      <c r="E539" s="5">
        <v>2200</v>
      </c>
      <c r="F539" s="7">
        <f t="shared" si="8"/>
        <v>6.0591038034647056E-2</v>
      </c>
      <c r="G539" s="5">
        <v>0</v>
      </c>
      <c r="H539" s="14">
        <v>44928</v>
      </c>
      <c r="I539" s="14">
        <v>45055</v>
      </c>
      <c r="J539" s="4" t="s">
        <v>850</v>
      </c>
      <c r="K539" s="4" t="s">
        <v>925</v>
      </c>
      <c r="L539" s="2"/>
      <c r="M539" s="2"/>
      <c r="N539" s="2"/>
    </row>
    <row r="540" spans="1:14" x14ac:dyDescent="0.45">
      <c r="A540" s="9" t="s">
        <v>571</v>
      </c>
      <c r="B540" s="9" t="s">
        <v>847</v>
      </c>
      <c r="C540" s="9" t="s">
        <v>568</v>
      </c>
      <c r="D540" s="9" t="b">
        <f>TRUE()</f>
        <v>1</v>
      </c>
      <c r="E540" s="10">
        <v>31082</v>
      </c>
      <c r="F540" s="12">
        <f t="shared" si="8"/>
        <v>0.93443165078315249</v>
      </c>
      <c r="G540" s="10">
        <v>6896</v>
      </c>
      <c r="H540" s="15">
        <v>44930</v>
      </c>
      <c r="I540" s="15">
        <v>46296</v>
      </c>
      <c r="J540" s="9" t="s">
        <v>848</v>
      </c>
      <c r="K540" s="9" t="s">
        <v>1202</v>
      </c>
      <c r="L540" s="2"/>
      <c r="M540" s="2"/>
      <c r="N540" s="2"/>
    </row>
    <row r="541" spans="1:14" x14ac:dyDescent="0.45">
      <c r="A541" s="4" t="s">
        <v>571</v>
      </c>
      <c r="B541" s="4" t="s">
        <v>847</v>
      </c>
      <c r="C541" s="4" t="s">
        <v>820</v>
      </c>
      <c r="D541" s="4" t="b">
        <f>FALSE()</f>
        <v>0</v>
      </c>
      <c r="E541" s="5">
        <v>2181</v>
      </c>
      <c r="F541" s="7">
        <f t="shared" si="8"/>
        <v>6.5568349216847552E-2</v>
      </c>
      <c r="G541" s="5">
        <v>0</v>
      </c>
      <c r="H541" s="14">
        <v>44928</v>
      </c>
      <c r="I541" s="14">
        <v>45055</v>
      </c>
      <c r="J541" s="4" t="s">
        <v>850</v>
      </c>
      <c r="K541" s="4" t="s">
        <v>883</v>
      </c>
      <c r="L541" s="2"/>
      <c r="M541" s="2"/>
      <c r="N541" s="2"/>
    </row>
    <row r="542" spans="1:14" x14ac:dyDescent="0.45">
      <c r="A542" s="9" t="s">
        <v>572</v>
      </c>
      <c r="B542" s="9" t="s">
        <v>847</v>
      </c>
      <c r="C542" s="9" t="s">
        <v>568</v>
      </c>
      <c r="D542" s="9" t="b">
        <f>TRUE()</f>
        <v>1</v>
      </c>
      <c r="E542" s="10">
        <v>28493</v>
      </c>
      <c r="F542" s="12">
        <f t="shared" si="8"/>
        <v>0.93358453473132375</v>
      </c>
      <c r="G542" s="10">
        <v>6165</v>
      </c>
      <c r="H542" s="15">
        <v>44932</v>
      </c>
      <c r="I542" s="15">
        <v>46296</v>
      </c>
      <c r="J542" s="9" t="s">
        <v>848</v>
      </c>
      <c r="K542" s="9" t="s">
        <v>1217</v>
      </c>
      <c r="L542" s="2"/>
      <c r="M542" s="2"/>
      <c r="N542" s="2"/>
    </row>
    <row r="543" spans="1:14" x14ac:dyDescent="0.45">
      <c r="A543" s="4" t="s">
        <v>572</v>
      </c>
      <c r="B543" s="4" t="s">
        <v>847</v>
      </c>
      <c r="C543" s="4" t="s">
        <v>820</v>
      </c>
      <c r="D543" s="4" t="b">
        <f>FALSE()</f>
        <v>0</v>
      </c>
      <c r="E543" s="5">
        <v>2027</v>
      </c>
      <c r="F543" s="7">
        <f t="shared" si="8"/>
        <v>6.6415465268676283E-2</v>
      </c>
      <c r="G543" s="5">
        <v>0</v>
      </c>
      <c r="H543" s="14">
        <v>44928</v>
      </c>
      <c r="I543" s="14">
        <v>45055</v>
      </c>
      <c r="J543" s="4" t="s">
        <v>850</v>
      </c>
      <c r="K543" s="4" t="s">
        <v>1218</v>
      </c>
      <c r="L543" s="2"/>
      <c r="M543" s="2"/>
      <c r="N543" s="2"/>
    </row>
    <row r="544" spans="1:14" x14ac:dyDescent="0.45">
      <c r="A544" s="9" t="s">
        <v>573</v>
      </c>
      <c r="B544" s="9" t="s">
        <v>847</v>
      </c>
      <c r="C544" s="9" t="s">
        <v>568</v>
      </c>
      <c r="D544" s="9" t="b">
        <f>TRUE()</f>
        <v>1</v>
      </c>
      <c r="E544" s="10">
        <v>14929</v>
      </c>
      <c r="F544" s="12">
        <f t="shared" si="8"/>
        <v>0.94835471985770547</v>
      </c>
      <c r="G544" s="10">
        <v>4158</v>
      </c>
      <c r="H544" s="15">
        <v>44937</v>
      </c>
      <c r="I544" s="15">
        <v>46296</v>
      </c>
      <c r="J544" s="9" t="s">
        <v>848</v>
      </c>
      <c r="K544" s="9" t="s">
        <v>1220</v>
      </c>
      <c r="L544" s="2"/>
      <c r="M544" s="2"/>
      <c r="N544" s="2"/>
    </row>
    <row r="545" spans="1:14" x14ac:dyDescent="0.45">
      <c r="A545" s="4" t="s">
        <v>573</v>
      </c>
      <c r="B545" s="4" t="s">
        <v>847</v>
      </c>
      <c r="C545" s="4" t="s">
        <v>820</v>
      </c>
      <c r="D545" s="4" t="b">
        <f>FALSE()</f>
        <v>0</v>
      </c>
      <c r="E545" s="5">
        <v>813</v>
      </c>
      <c r="F545" s="7">
        <f t="shared" si="8"/>
        <v>5.1645280142294497E-2</v>
      </c>
      <c r="G545" s="5">
        <v>0</v>
      </c>
      <c r="H545" s="14">
        <v>44928</v>
      </c>
      <c r="I545" s="14">
        <v>45055</v>
      </c>
      <c r="J545" s="4" t="s">
        <v>850</v>
      </c>
      <c r="K545" s="4" t="s">
        <v>1221</v>
      </c>
      <c r="L545" s="2"/>
      <c r="M545" s="2"/>
      <c r="N545" s="2"/>
    </row>
    <row r="546" spans="1:14" x14ac:dyDescent="0.45">
      <c r="A546" s="9" t="s">
        <v>574</v>
      </c>
      <c r="B546" s="9" t="s">
        <v>847</v>
      </c>
      <c r="C546" s="9" t="s">
        <v>568</v>
      </c>
      <c r="D546" s="9" t="b">
        <f>TRUE()</f>
        <v>1</v>
      </c>
      <c r="E546" s="10">
        <v>11669</v>
      </c>
      <c r="F546" s="12">
        <f t="shared" si="8"/>
        <v>0.92603761606221724</v>
      </c>
      <c r="G546" s="10">
        <v>3124</v>
      </c>
      <c r="H546" s="15">
        <v>44930</v>
      </c>
      <c r="I546" s="15">
        <v>46296</v>
      </c>
      <c r="J546" s="9" t="s">
        <v>848</v>
      </c>
      <c r="K546" s="9" t="s">
        <v>1202</v>
      </c>
      <c r="L546" s="2"/>
      <c r="M546" s="2"/>
      <c r="N546" s="2"/>
    </row>
    <row r="547" spans="1:14" x14ac:dyDescent="0.45">
      <c r="A547" s="4" t="s">
        <v>574</v>
      </c>
      <c r="B547" s="4" t="s">
        <v>847</v>
      </c>
      <c r="C547" s="4" t="s">
        <v>820</v>
      </c>
      <c r="D547" s="4" t="b">
        <f>FALSE()</f>
        <v>0</v>
      </c>
      <c r="E547" s="5">
        <v>932</v>
      </c>
      <c r="F547" s="7">
        <f t="shared" si="8"/>
        <v>7.3962383937782719E-2</v>
      </c>
      <c r="G547" s="5">
        <v>0</v>
      </c>
      <c r="H547" s="14">
        <v>44928</v>
      </c>
      <c r="I547" s="14">
        <v>45055</v>
      </c>
      <c r="J547" s="4" t="s">
        <v>850</v>
      </c>
      <c r="K547" s="4" t="s">
        <v>883</v>
      </c>
      <c r="L547" s="2"/>
      <c r="M547" s="2"/>
      <c r="N547" s="2"/>
    </row>
    <row r="548" spans="1:14" x14ac:dyDescent="0.45">
      <c r="A548" s="9" t="s">
        <v>575</v>
      </c>
      <c r="B548" s="9" t="s">
        <v>847</v>
      </c>
      <c r="C548" s="9" t="s">
        <v>568</v>
      </c>
      <c r="D548" s="9" t="b">
        <f>TRUE()</f>
        <v>1</v>
      </c>
      <c r="E548" s="10">
        <v>9428</v>
      </c>
      <c r="F548" s="12">
        <f t="shared" si="8"/>
        <v>0.93932449935239615</v>
      </c>
      <c r="G548" s="10">
        <v>2638</v>
      </c>
      <c r="H548" s="15">
        <v>44930</v>
      </c>
      <c r="I548" s="15">
        <v>46296</v>
      </c>
      <c r="J548" s="9" t="s">
        <v>848</v>
      </c>
      <c r="K548" s="9" t="s">
        <v>1202</v>
      </c>
      <c r="L548" s="2"/>
      <c r="M548" s="2"/>
      <c r="N548" s="2"/>
    </row>
    <row r="549" spans="1:14" x14ac:dyDescent="0.45">
      <c r="A549" s="4" t="s">
        <v>575</v>
      </c>
      <c r="B549" s="4" t="s">
        <v>847</v>
      </c>
      <c r="C549" s="4" t="s">
        <v>820</v>
      </c>
      <c r="D549" s="4" t="b">
        <f>FALSE()</f>
        <v>0</v>
      </c>
      <c r="E549" s="5">
        <v>609</v>
      </c>
      <c r="F549" s="7">
        <f t="shared" si="8"/>
        <v>6.0675500647603867E-2</v>
      </c>
      <c r="G549" s="5">
        <v>0</v>
      </c>
      <c r="H549" s="14">
        <v>44928</v>
      </c>
      <c r="I549" s="14">
        <v>45054</v>
      </c>
      <c r="J549" s="4" t="s">
        <v>850</v>
      </c>
      <c r="K549" s="4" t="s">
        <v>1226</v>
      </c>
      <c r="L549" s="2"/>
      <c r="M549" s="2"/>
      <c r="N549" s="2"/>
    </row>
    <row r="550" spans="1:14" x14ac:dyDescent="0.45">
      <c r="A550" s="9" t="s">
        <v>576</v>
      </c>
      <c r="B550" s="9" t="s">
        <v>847</v>
      </c>
      <c r="C550" s="9" t="s">
        <v>568</v>
      </c>
      <c r="D550" s="9" t="b">
        <f>TRUE()</f>
        <v>1</v>
      </c>
      <c r="E550" s="10">
        <v>2473</v>
      </c>
      <c r="F550" s="12">
        <f t="shared" si="8"/>
        <v>0.96413255360623784</v>
      </c>
      <c r="G550" s="10">
        <v>584</v>
      </c>
      <c r="H550" s="15">
        <v>44929</v>
      </c>
      <c r="I550" s="15">
        <v>46296</v>
      </c>
      <c r="J550" s="9" t="s">
        <v>848</v>
      </c>
      <c r="K550" s="9" t="s">
        <v>924</v>
      </c>
      <c r="L550" s="2"/>
      <c r="M550" s="2"/>
      <c r="N550" s="2"/>
    </row>
    <row r="551" spans="1:14" x14ac:dyDescent="0.45">
      <c r="A551" s="4" t="s">
        <v>576</v>
      </c>
      <c r="B551" s="4" t="s">
        <v>847</v>
      </c>
      <c r="C551" s="4" t="s">
        <v>820</v>
      </c>
      <c r="D551" s="4" t="b">
        <f>FALSE()</f>
        <v>0</v>
      </c>
      <c r="E551" s="5">
        <v>92</v>
      </c>
      <c r="F551" s="7">
        <f t="shared" si="8"/>
        <v>3.586744639376218E-2</v>
      </c>
      <c r="G551" s="5">
        <v>0</v>
      </c>
      <c r="H551" s="14">
        <v>44930</v>
      </c>
      <c r="I551" s="14">
        <v>45054</v>
      </c>
      <c r="J551" s="4" t="s">
        <v>850</v>
      </c>
      <c r="K551" s="4" t="s">
        <v>1349</v>
      </c>
      <c r="L551" s="2"/>
      <c r="M551" s="2"/>
      <c r="N551" s="2"/>
    </row>
    <row r="552" spans="1:14" x14ac:dyDescent="0.45">
      <c r="A552" s="9" t="s">
        <v>577</v>
      </c>
      <c r="B552" s="9" t="s">
        <v>847</v>
      </c>
      <c r="C552" s="9" t="s">
        <v>568</v>
      </c>
      <c r="D552" s="9" t="b">
        <f>TRUE()</f>
        <v>1</v>
      </c>
      <c r="E552" s="10">
        <v>1496</v>
      </c>
      <c r="F552" s="12">
        <f t="shared" si="8"/>
        <v>0.93500000000000005</v>
      </c>
      <c r="G552" s="10">
        <v>258</v>
      </c>
      <c r="H552" s="15">
        <v>45050</v>
      </c>
      <c r="I552" s="15">
        <v>46296</v>
      </c>
      <c r="J552" s="9" t="s">
        <v>848</v>
      </c>
      <c r="K552" s="9" t="s">
        <v>1350</v>
      </c>
      <c r="L552" s="2"/>
      <c r="M552" s="2"/>
      <c r="N552" s="2"/>
    </row>
    <row r="553" spans="1:14" x14ac:dyDescent="0.45">
      <c r="A553" s="4" t="s">
        <v>577</v>
      </c>
      <c r="B553" s="4" t="s">
        <v>847</v>
      </c>
      <c r="C553" s="4" t="s">
        <v>820</v>
      </c>
      <c r="D553" s="4" t="b">
        <f>FALSE()</f>
        <v>0</v>
      </c>
      <c r="E553" s="5">
        <v>104</v>
      </c>
      <c r="F553" s="7">
        <f t="shared" si="8"/>
        <v>6.5000000000000002E-2</v>
      </c>
      <c r="G553" s="5">
        <v>0</v>
      </c>
      <c r="H553" s="14">
        <v>44928</v>
      </c>
      <c r="I553" s="14">
        <v>45050</v>
      </c>
      <c r="J553" s="4" t="s">
        <v>850</v>
      </c>
      <c r="K553" s="4" t="s">
        <v>1351</v>
      </c>
      <c r="L553" s="2"/>
      <c r="M553" s="2"/>
      <c r="N553" s="2"/>
    </row>
    <row r="554" spans="1:14" x14ac:dyDescent="0.45">
      <c r="A554" s="9" t="s">
        <v>578</v>
      </c>
      <c r="B554" s="9" t="s">
        <v>847</v>
      </c>
      <c r="C554" s="9" t="s">
        <v>568</v>
      </c>
      <c r="D554" s="9" t="b">
        <f>TRUE()</f>
        <v>1</v>
      </c>
      <c r="E554" s="10">
        <v>1405</v>
      </c>
      <c r="F554" s="12">
        <f t="shared" si="8"/>
        <v>0.91710182767624016</v>
      </c>
      <c r="G554" s="10">
        <v>341</v>
      </c>
      <c r="H554" s="15">
        <v>44929</v>
      </c>
      <c r="I554" s="15">
        <v>46296</v>
      </c>
      <c r="J554" s="9" t="s">
        <v>848</v>
      </c>
      <c r="K554" s="9" t="s">
        <v>924</v>
      </c>
      <c r="L554" s="2"/>
      <c r="M554" s="2"/>
      <c r="N554" s="2"/>
    </row>
    <row r="555" spans="1:14" x14ac:dyDescent="0.45">
      <c r="A555" s="4" t="s">
        <v>578</v>
      </c>
      <c r="B555" s="4" t="s">
        <v>847</v>
      </c>
      <c r="C555" s="4" t="s">
        <v>820</v>
      </c>
      <c r="D555" s="4" t="b">
        <f>FALSE()</f>
        <v>0</v>
      </c>
      <c r="E555" s="5">
        <v>127</v>
      </c>
      <c r="F555" s="7">
        <f t="shared" si="8"/>
        <v>8.2898172323759789E-2</v>
      </c>
      <c r="G555" s="5">
        <v>0</v>
      </c>
      <c r="H555" s="14">
        <v>44929</v>
      </c>
      <c r="I555" s="14">
        <v>45053</v>
      </c>
      <c r="J555" s="4" t="s">
        <v>850</v>
      </c>
      <c r="K555" s="4" t="s">
        <v>1352</v>
      </c>
      <c r="L555" s="2"/>
      <c r="M555" s="2"/>
      <c r="N555" s="2"/>
    </row>
    <row r="556" spans="1:14" x14ac:dyDescent="0.45">
      <c r="A556" s="9" t="s">
        <v>579</v>
      </c>
      <c r="B556" s="9" t="s">
        <v>847</v>
      </c>
      <c r="C556" s="9" t="s">
        <v>568</v>
      </c>
      <c r="D556" s="9" t="b">
        <f>TRUE()</f>
        <v>1</v>
      </c>
      <c r="E556" s="10">
        <v>779</v>
      </c>
      <c r="F556" s="12">
        <f t="shared" si="8"/>
        <v>0.93405275779376495</v>
      </c>
      <c r="G556" s="10">
        <v>154</v>
      </c>
      <c r="H556" s="15">
        <v>44929</v>
      </c>
      <c r="I556" s="15">
        <v>46295</v>
      </c>
      <c r="J556" s="9" t="s">
        <v>848</v>
      </c>
      <c r="K556" s="9" t="s">
        <v>1353</v>
      </c>
      <c r="L556" s="2"/>
      <c r="M556" s="2"/>
      <c r="N556" s="2"/>
    </row>
    <row r="557" spans="1:14" x14ac:dyDescent="0.45">
      <c r="A557" s="4" t="s">
        <v>579</v>
      </c>
      <c r="B557" s="4" t="s">
        <v>847</v>
      </c>
      <c r="C557" s="4" t="s">
        <v>820</v>
      </c>
      <c r="D557" s="4" t="b">
        <f>FALSE()</f>
        <v>0</v>
      </c>
      <c r="E557" s="5">
        <v>55</v>
      </c>
      <c r="F557" s="7">
        <f t="shared" si="8"/>
        <v>6.5947242206235018E-2</v>
      </c>
      <c r="G557" s="5">
        <v>0</v>
      </c>
      <c r="H557" s="14">
        <v>44932</v>
      </c>
      <c r="I557" s="14">
        <v>45055</v>
      </c>
      <c r="J557" s="4" t="s">
        <v>850</v>
      </c>
      <c r="K557" s="4" t="s">
        <v>1354</v>
      </c>
      <c r="L557" s="2"/>
      <c r="M557" s="2"/>
      <c r="N557" s="2"/>
    </row>
    <row r="558" spans="1:14" x14ac:dyDescent="0.45">
      <c r="A558" s="9" t="s">
        <v>580</v>
      </c>
      <c r="B558" s="9" t="s">
        <v>847</v>
      </c>
      <c r="C558" s="9" t="s">
        <v>568</v>
      </c>
      <c r="D558" s="9" t="b">
        <f>TRUE()</f>
        <v>1</v>
      </c>
      <c r="E558" s="10">
        <v>605</v>
      </c>
      <c r="F558" s="12">
        <f t="shared" si="8"/>
        <v>0.93076923076923079</v>
      </c>
      <c r="G558" s="10">
        <v>128</v>
      </c>
      <c r="H558" s="15">
        <v>44932</v>
      </c>
      <c r="I558" s="15">
        <v>46288</v>
      </c>
      <c r="J558" s="9" t="s">
        <v>848</v>
      </c>
      <c r="K558" s="9" t="s">
        <v>1355</v>
      </c>
      <c r="L558" s="2"/>
      <c r="M558" s="2"/>
      <c r="N558" s="2"/>
    </row>
    <row r="559" spans="1:14" x14ac:dyDescent="0.45">
      <c r="A559" s="4" t="s">
        <v>580</v>
      </c>
      <c r="B559" s="4" t="s">
        <v>847</v>
      </c>
      <c r="C559" s="4" t="s">
        <v>820</v>
      </c>
      <c r="D559" s="4" t="b">
        <f>FALSE()</f>
        <v>0</v>
      </c>
      <c r="E559" s="5">
        <v>45</v>
      </c>
      <c r="F559" s="7">
        <f t="shared" si="8"/>
        <v>6.9230769230769235E-2</v>
      </c>
      <c r="G559" s="5">
        <v>0</v>
      </c>
      <c r="H559" s="14">
        <v>44929</v>
      </c>
      <c r="I559" s="14">
        <v>45054</v>
      </c>
      <c r="J559" s="4" t="s">
        <v>850</v>
      </c>
      <c r="K559" s="4" t="s">
        <v>1356</v>
      </c>
      <c r="L559" s="2"/>
      <c r="M559" s="2"/>
      <c r="N559" s="2"/>
    </row>
    <row r="560" spans="1:14" x14ac:dyDescent="0.45">
      <c r="A560" s="9" t="s">
        <v>581</v>
      </c>
      <c r="B560" s="9" t="s">
        <v>847</v>
      </c>
      <c r="C560" s="9" t="s">
        <v>568</v>
      </c>
      <c r="D560" s="9" t="b">
        <f>TRUE()</f>
        <v>1</v>
      </c>
      <c r="E560" s="10">
        <v>567</v>
      </c>
      <c r="F560" s="12">
        <f t="shared" si="8"/>
        <v>0.93719008264462811</v>
      </c>
      <c r="G560" s="10">
        <v>116</v>
      </c>
      <c r="H560" s="15">
        <v>45035</v>
      </c>
      <c r="I560" s="15">
        <v>46295</v>
      </c>
      <c r="J560" s="9" t="s">
        <v>848</v>
      </c>
      <c r="K560" s="9" t="s">
        <v>1357</v>
      </c>
      <c r="L560" s="2"/>
      <c r="M560" s="2"/>
      <c r="N560" s="2"/>
    </row>
    <row r="561" spans="1:14" x14ac:dyDescent="0.45">
      <c r="A561" s="4" t="s">
        <v>581</v>
      </c>
      <c r="B561" s="4" t="s">
        <v>847</v>
      </c>
      <c r="C561" s="4" t="s">
        <v>820</v>
      </c>
      <c r="D561" s="4" t="b">
        <f>FALSE()</f>
        <v>0</v>
      </c>
      <c r="E561" s="5">
        <v>38</v>
      </c>
      <c r="F561" s="7">
        <f t="shared" si="8"/>
        <v>6.2809917355371905E-2</v>
      </c>
      <c r="G561" s="5">
        <v>0</v>
      </c>
      <c r="H561" s="14">
        <v>44929</v>
      </c>
      <c r="I561" s="14">
        <v>45034</v>
      </c>
      <c r="J561" s="4" t="s">
        <v>850</v>
      </c>
      <c r="K561" s="4" t="s">
        <v>1358</v>
      </c>
      <c r="L561" s="2"/>
      <c r="M561" s="2"/>
      <c r="N561" s="2"/>
    </row>
    <row r="562" spans="1:14" x14ac:dyDescent="0.45">
      <c r="A562" s="9" t="s">
        <v>582</v>
      </c>
      <c r="B562" s="9" t="s">
        <v>847</v>
      </c>
      <c r="C562" s="9" t="s">
        <v>568</v>
      </c>
      <c r="D562" s="9" t="b">
        <f>TRUE()</f>
        <v>1</v>
      </c>
      <c r="E562" s="10">
        <v>436</v>
      </c>
      <c r="F562" s="12">
        <f t="shared" si="8"/>
        <v>0.91596638655462181</v>
      </c>
      <c r="G562" s="10">
        <v>117</v>
      </c>
      <c r="H562" s="15">
        <v>45040</v>
      </c>
      <c r="I562" s="15">
        <v>46294</v>
      </c>
      <c r="J562" s="9" t="s">
        <v>848</v>
      </c>
      <c r="K562" s="9" t="s">
        <v>1359</v>
      </c>
      <c r="L562" s="2"/>
      <c r="M562" s="2"/>
      <c r="N562" s="2"/>
    </row>
    <row r="563" spans="1:14" x14ac:dyDescent="0.45">
      <c r="A563" s="4" t="s">
        <v>582</v>
      </c>
      <c r="B563" s="4" t="s">
        <v>847</v>
      </c>
      <c r="C563" s="4" t="s">
        <v>820</v>
      </c>
      <c r="D563" s="4" t="b">
        <f>FALSE()</f>
        <v>0</v>
      </c>
      <c r="E563" s="5">
        <v>40</v>
      </c>
      <c r="F563" s="7">
        <f t="shared" si="8"/>
        <v>8.4033613445378158E-2</v>
      </c>
      <c r="G563" s="5">
        <v>0</v>
      </c>
      <c r="H563" s="14">
        <v>44930</v>
      </c>
      <c r="I563" s="14">
        <v>45055</v>
      </c>
      <c r="J563" s="4" t="s">
        <v>850</v>
      </c>
      <c r="K563" s="4" t="s">
        <v>1360</v>
      </c>
      <c r="L563" s="2"/>
      <c r="M563" s="2"/>
      <c r="N563" s="2"/>
    </row>
    <row r="564" spans="1:14" x14ac:dyDescent="0.45">
      <c r="A564" s="9" t="s">
        <v>583</v>
      </c>
      <c r="B564" s="9" t="s">
        <v>847</v>
      </c>
      <c r="C564" s="9" t="s">
        <v>568</v>
      </c>
      <c r="D564" s="9" t="b">
        <f>TRUE()</f>
        <v>1</v>
      </c>
      <c r="E564" s="10">
        <v>471</v>
      </c>
      <c r="F564" s="12">
        <f t="shared" si="8"/>
        <v>0.99367088607594933</v>
      </c>
      <c r="G564" s="10">
        <v>96</v>
      </c>
      <c r="H564" s="15">
        <v>45061</v>
      </c>
      <c r="I564" s="15">
        <v>46277</v>
      </c>
      <c r="J564" s="9" t="s">
        <v>848</v>
      </c>
      <c r="K564" s="9" t="s">
        <v>1361</v>
      </c>
      <c r="L564" s="2"/>
      <c r="M564" s="2"/>
      <c r="N564" s="2"/>
    </row>
    <row r="565" spans="1:14" x14ac:dyDescent="0.45">
      <c r="A565" s="4" t="s">
        <v>583</v>
      </c>
      <c r="B565" s="4" t="s">
        <v>847</v>
      </c>
      <c r="C565" s="4" t="s">
        <v>820</v>
      </c>
      <c r="D565" s="4" t="b">
        <f>FALSE()</f>
        <v>0</v>
      </c>
      <c r="E565" s="5">
        <v>3</v>
      </c>
      <c r="F565" s="7">
        <f t="shared" si="8"/>
        <v>6.3291139240506328E-3</v>
      </c>
      <c r="G565" s="5">
        <v>0</v>
      </c>
      <c r="H565" s="14">
        <v>45043</v>
      </c>
      <c r="I565" s="14">
        <v>45047</v>
      </c>
      <c r="J565" s="4" t="s">
        <v>850</v>
      </c>
      <c r="K565" s="4" t="s">
        <v>1362</v>
      </c>
      <c r="L565" s="2"/>
      <c r="M565" s="2"/>
      <c r="N565" s="2"/>
    </row>
    <row r="566" spans="1:14" x14ac:dyDescent="0.45">
      <c r="A566" s="9" t="s">
        <v>584</v>
      </c>
      <c r="B566" s="9" t="s">
        <v>847</v>
      </c>
      <c r="C566" s="9" t="s">
        <v>568</v>
      </c>
      <c r="D566" s="9" t="b">
        <f>TRUE()</f>
        <v>1</v>
      </c>
      <c r="E566" s="10">
        <v>404</v>
      </c>
      <c r="F566" s="12">
        <f t="shared" si="8"/>
        <v>0.92660550458715596</v>
      </c>
      <c r="G566" s="10">
        <v>17</v>
      </c>
      <c r="H566" s="15">
        <v>45043</v>
      </c>
      <c r="I566" s="15">
        <v>46290</v>
      </c>
      <c r="J566" s="9" t="s">
        <v>848</v>
      </c>
      <c r="K566" s="9" t="s">
        <v>1086</v>
      </c>
      <c r="L566" s="2"/>
      <c r="M566" s="2"/>
      <c r="N566" s="2"/>
    </row>
    <row r="567" spans="1:14" x14ac:dyDescent="0.45">
      <c r="A567" s="4" t="s">
        <v>584</v>
      </c>
      <c r="B567" s="4" t="s">
        <v>847</v>
      </c>
      <c r="C567" s="4" t="s">
        <v>820</v>
      </c>
      <c r="D567" s="4" t="b">
        <f>FALSE()</f>
        <v>0</v>
      </c>
      <c r="E567" s="5">
        <v>32</v>
      </c>
      <c r="F567" s="7">
        <f t="shared" si="8"/>
        <v>7.3394495412844041E-2</v>
      </c>
      <c r="G567" s="5">
        <v>0</v>
      </c>
      <c r="H567" s="14">
        <v>44928</v>
      </c>
      <c r="I567" s="14">
        <v>45044</v>
      </c>
      <c r="J567" s="4" t="s">
        <v>850</v>
      </c>
      <c r="K567" s="4" t="s">
        <v>1363</v>
      </c>
      <c r="L567" s="2"/>
      <c r="M567" s="2"/>
      <c r="N567" s="2"/>
    </row>
    <row r="568" spans="1:14" x14ac:dyDescent="0.45">
      <c r="A568" s="9" t="s">
        <v>586</v>
      </c>
      <c r="B568" s="9" t="s">
        <v>847</v>
      </c>
      <c r="C568" s="9" t="s">
        <v>568</v>
      </c>
      <c r="D568" s="9" t="b">
        <f>TRUE()</f>
        <v>1</v>
      </c>
      <c r="E568" s="10">
        <v>398</v>
      </c>
      <c r="F568" s="12">
        <f t="shared" si="8"/>
        <v>0.995</v>
      </c>
      <c r="G568" s="10">
        <v>107</v>
      </c>
      <c r="H568" s="15">
        <v>44936</v>
      </c>
      <c r="I568" s="15">
        <v>46293</v>
      </c>
      <c r="J568" s="9" t="s">
        <v>848</v>
      </c>
      <c r="K568" s="9" t="s">
        <v>1364</v>
      </c>
      <c r="L568" s="2"/>
      <c r="M568" s="2"/>
      <c r="N568" s="2"/>
    </row>
    <row r="569" spans="1:14" x14ac:dyDescent="0.45">
      <c r="A569" s="4" t="s">
        <v>586</v>
      </c>
      <c r="B569" s="4" t="s">
        <v>847</v>
      </c>
      <c r="C569" s="4" t="s">
        <v>820</v>
      </c>
      <c r="D569" s="4" t="b">
        <f>FALSE()</f>
        <v>0</v>
      </c>
      <c r="E569" s="5">
        <v>2</v>
      </c>
      <c r="F569" s="7">
        <f t="shared" si="8"/>
        <v>5.0000000000000001E-3</v>
      </c>
      <c r="G569" s="5">
        <v>0</v>
      </c>
      <c r="H569" s="14">
        <v>44953</v>
      </c>
      <c r="I569" s="14">
        <v>44988</v>
      </c>
      <c r="J569" s="4" t="s">
        <v>850</v>
      </c>
      <c r="K569" s="4" t="s">
        <v>1365</v>
      </c>
      <c r="L569" s="2"/>
      <c r="M569" s="2"/>
      <c r="N569" s="2"/>
    </row>
    <row r="570" spans="1:14" x14ac:dyDescent="0.45">
      <c r="A570" s="9" t="s">
        <v>587</v>
      </c>
      <c r="B570" s="9" t="s">
        <v>847</v>
      </c>
      <c r="C570" s="9" t="s">
        <v>568</v>
      </c>
      <c r="D570" s="9" t="b">
        <f>TRUE()</f>
        <v>1</v>
      </c>
      <c r="E570" s="10">
        <v>341</v>
      </c>
      <c r="F570" s="12">
        <f t="shared" si="8"/>
        <v>0.99707602339181289</v>
      </c>
      <c r="G570" s="10">
        <v>64</v>
      </c>
      <c r="H570" s="15">
        <v>44928</v>
      </c>
      <c r="I570" s="15">
        <v>46289</v>
      </c>
      <c r="J570" s="9" t="s">
        <v>848</v>
      </c>
      <c r="K570" s="9" t="s">
        <v>1366</v>
      </c>
      <c r="L570" s="2"/>
      <c r="M570" s="2"/>
      <c r="N570" s="2"/>
    </row>
    <row r="571" spans="1:14" x14ac:dyDescent="0.45">
      <c r="A571" s="4" t="s">
        <v>587</v>
      </c>
      <c r="B571" s="4" t="s">
        <v>847</v>
      </c>
      <c r="C571" s="4" t="s">
        <v>820</v>
      </c>
      <c r="D571" s="4" t="b">
        <f>FALSE()</f>
        <v>0</v>
      </c>
      <c r="E571" s="5">
        <v>1</v>
      </c>
      <c r="F571" s="7">
        <f t="shared" si="8"/>
        <v>2.9239766081871343E-3</v>
      </c>
      <c r="G571" s="5">
        <v>0</v>
      </c>
      <c r="H571" s="14">
        <v>45042</v>
      </c>
      <c r="I571" s="14">
        <v>45042</v>
      </c>
      <c r="J571" s="4" t="s">
        <v>850</v>
      </c>
      <c r="K571" s="4" t="s">
        <v>1201</v>
      </c>
      <c r="L571" s="2"/>
      <c r="M571" s="2"/>
      <c r="N571" s="2"/>
    </row>
    <row r="572" spans="1:14" x14ac:dyDescent="0.45">
      <c r="A572" s="9" t="s">
        <v>588</v>
      </c>
      <c r="B572" s="9" t="s">
        <v>847</v>
      </c>
      <c r="C572" s="9" t="s">
        <v>568</v>
      </c>
      <c r="D572" s="9" t="b">
        <f>TRUE()</f>
        <v>1</v>
      </c>
      <c r="E572" s="10">
        <v>331</v>
      </c>
      <c r="F572" s="12">
        <f t="shared" si="8"/>
        <v>0.9880597014925373</v>
      </c>
      <c r="G572" s="10">
        <v>78</v>
      </c>
      <c r="H572" s="15">
        <v>44937</v>
      </c>
      <c r="I572" s="15">
        <v>46296</v>
      </c>
      <c r="J572" s="9" t="s">
        <v>848</v>
      </c>
      <c r="K572" s="9" t="s">
        <v>1220</v>
      </c>
      <c r="L572" s="2"/>
      <c r="M572" s="2"/>
      <c r="N572" s="2"/>
    </row>
    <row r="573" spans="1:14" x14ac:dyDescent="0.45">
      <c r="A573" s="4" t="s">
        <v>588</v>
      </c>
      <c r="B573" s="4" t="s">
        <v>847</v>
      </c>
      <c r="C573" s="4" t="s">
        <v>820</v>
      </c>
      <c r="D573" s="4" t="b">
        <f>FALSE()</f>
        <v>0</v>
      </c>
      <c r="E573" s="5">
        <v>4</v>
      </c>
      <c r="F573" s="7">
        <f t="shared" si="8"/>
        <v>1.1940298507462687E-2</v>
      </c>
      <c r="G573" s="5">
        <v>0</v>
      </c>
      <c r="H573" s="14">
        <v>44942</v>
      </c>
      <c r="I573" s="14">
        <v>45055</v>
      </c>
      <c r="J573" s="4" t="s">
        <v>850</v>
      </c>
      <c r="K573" s="4" t="s">
        <v>1367</v>
      </c>
      <c r="L573" s="2"/>
      <c r="M573" s="2"/>
      <c r="N573" s="2"/>
    </row>
    <row r="574" spans="1:14" x14ac:dyDescent="0.45">
      <c r="A574" s="9" t="s">
        <v>589</v>
      </c>
      <c r="B574" s="9" t="s">
        <v>847</v>
      </c>
      <c r="C574" s="9" t="s">
        <v>568</v>
      </c>
      <c r="D574" s="9" t="b">
        <f>TRUE()</f>
        <v>1</v>
      </c>
      <c r="E574" s="10">
        <v>240</v>
      </c>
      <c r="F574" s="12">
        <f t="shared" si="8"/>
        <v>0.85106382978723405</v>
      </c>
      <c r="G574" s="10">
        <v>49</v>
      </c>
      <c r="H574" s="15">
        <v>45047</v>
      </c>
      <c r="I574" s="15">
        <v>46292</v>
      </c>
      <c r="J574" s="9" t="s">
        <v>848</v>
      </c>
      <c r="K574" s="9" t="s">
        <v>1368</v>
      </c>
      <c r="L574" s="2"/>
      <c r="M574" s="2"/>
      <c r="N574" s="2"/>
    </row>
    <row r="575" spans="1:14" x14ac:dyDescent="0.45">
      <c r="A575" s="4" t="s">
        <v>589</v>
      </c>
      <c r="B575" s="4" t="s">
        <v>847</v>
      </c>
      <c r="C575" s="4" t="s">
        <v>820</v>
      </c>
      <c r="D575" s="4" t="b">
        <f>FALSE()</f>
        <v>0</v>
      </c>
      <c r="E575" s="5">
        <v>42</v>
      </c>
      <c r="F575" s="7">
        <f t="shared" si="8"/>
        <v>0.14893617021276595</v>
      </c>
      <c r="G575" s="5">
        <v>0</v>
      </c>
      <c r="H575" s="14">
        <v>44928</v>
      </c>
      <c r="I575" s="14">
        <v>45043</v>
      </c>
      <c r="J575" s="4" t="s">
        <v>850</v>
      </c>
      <c r="K575" s="4" t="s">
        <v>1369</v>
      </c>
      <c r="L575" s="2"/>
      <c r="M575" s="2"/>
      <c r="N575" s="2"/>
    </row>
    <row r="576" spans="1:14" x14ac:dyDescent="0.45">
      <c r="A576" s="9" t="s">
        <v>591</v>
      </c>
      <c r="B576" s="9" t="s">
        <v>847</v>
      </c>
      <c r="C576" s="9" t="s">
        <v>568</v>
      </c>
      <c r="D576" s="9" t="b">
        <f>TRUE()</f>
        <v>1</v>
      </c>
      <c r="E576" s="10">
        <v>189</v>
      </c>
      <c r="F576" s="12">
        <f t="shared" si="8"/>
        <v>0.9</v>
      </c>
      <c r="G576" s="10">
        <v>34</v>
      </c>
      <c r="H576" s="15">
        <v>44942</v>
      </c>
      <c r="I576" s="15">
        <v>46288</v>
      </c>
      <c r="J576" s="9" t="s">
        <v>848</v>
      </c>
      <c r="K576" s="9" t="s">
        <v>1370</v>
      </c>
      <c r="L576" s="2"/>
      <c r="M576" s="2"/>
      <c r="N576" s="2"/>
    </row>
    <row r="577" spans="1:14" x14ac:dyDescent="0.45">
      <c r="A577" s="4" t="s">
        <v>591</v>
      </c>
      <c r="B577" s="4" t="s">
        <v>847</v>
      </c>
      <c r="C577" s="4" t="s">
        <v>820</v>
      </c>
      <c r="D577" s="4" t="b">
        <f>FALSE()</f>
        <v>0</v>
      </c>
      <c r="E577" s="5">
        <v>21</v>
      </c>
      <c r="F577" s="7">
        <f t="shared" si="8"/>
        <v>0.1</v>
      </c>
      <c r="G577" s="5">
        <v>0</v>
      </c>
      <c r="H577" s="14">
        <v>44936</v>
      </c>
      <c r="I577" s="14">
        <v>45030</v>
      </c>
      <c r="J577" s="4" t="s">
        <v>850</v>
      </c>
      <c r="K577" s="4" t="s">
        <v>1371</v>
      </c>
      <c r="L577" s="2"/>
      <c r="M577" s="2"/>
      <c r="N577" s="2"/>
    </row>
    <row r="578" spans="1:14" x14ac:dyDescent="0.45">
      <c r="A578" s="9" t="s">
        <v>592</v>
      </c>
      <c r="B578" s="9" t="s">
        <v>847</v>
      </c>
      <c r="C578" s="9" t="s">
        <v>568</v>
      </c>
      <c r="D578" s="9" t="b">
        <f>TRUE()</f>
        <v>1</v>
      </c>
      <c r="E578" s="10">
        <v>114</v>
      </c>
      <c r="F578" s="12">
        <f t="shared" ref="F578:F641" si="9">E578/SUMIFS($E$2:$E$783,$A$2:$A$783,A578)</f>
        <v>0.88372093023255816</v>
      </c>
      <c r="G578" s="10">
        <v>21</v>
      </c>
      <c r="H578" s="15">
        <v>45056</v>
      </c>
      <c r="I578" s="15">
        <v>46269</v>
      </c>
      <c r="J578" s="9" t="s">
        <v>848</v>
      </c>
      <c r="K578" s="9" t="s">
        <v>1372</v>
      </c>
      <c r="L578" s="2"/>
      <c r="M578" s="2"/>
      <c r="N578" s="2"/>
    </row>
    <row r="579" spans="1:14" x14ac:dyDescent="0.45">
      <c r="A579" s="4" t="s">
        <v>592</v>
      </c>
      <c r="B579" s="4" t="s">
        <v>847</v>
      </c>
      <c r="C579" s="4" t="s">
        <v>820</v>
      </c>
      <c r="D579" s="4" t="b">
        <f>FALSE()</f>
        <v>0</v>
      </c>
      <c r="E579" s="5">
        <v>15</v>
      </c>
      <c r="F579" s="7">
        <f t="shared" si="9"/>
        <v>0.11627906976744186</v>
      </c>
      <c r="G579" s="5">
        <v>0</v>
      </c>
      <c r="H579" s="14">
        <v>44944</v>
      </c>
      <c r="I579" s="14">
        <v>45049</v>
      </c>
      <c r="J579" s="4" t="s">
        <v>850</v>
      </c>
      <c r="K579" s="4" t="s">
        <v>1138</v>
      </c>
      <c r="L579" s="2"/>
      <c r="M579" s="2"/>
      <c r="N579" s="2"/>
    </row>
    <row r="580" spans="1:14" x14ac:dyDescent="0.45">
      <c r="A580" s="9" t="s">
        <v>594</v>
      </c>
      <c r="B580" s="9" t="s">
        <v>847</v>
      </c>
      <c r="C580" s="9" t="s">
        <v>595</v>
      </c>
      <c r="D580" s="9" t="b">
        <f>TRUE()</f>
        <v>1</v>
      </c>
      <c r="E580" s="10">
        <v>147</v>
      </c>
      <c r="F580" s="12">
        <f t="shared" si="9"/>
        <v>0.7277227722772277</v>
      </c>
      <c r="G580" s="10">
        <v>0</v>
      </c>
      <c r="H580" s="15">
        <v>44935</v>
      </c>
      <c r="I580" s="15">
        <v>45247</v>
      </c>
      <c r="J580" s="9" t="s">
        <v>848</v>
      </c>
      <c r="K580" s="9" t="s">
        <v>1373</v>
      </c>
      <c r="L580" s="2"/>
      <c r="M580" s="2"/>
      <c r="N580" s="2"/>
    </row>
    <row r="581" spans="1:14" x14ac:dyDescent="0.45">
      <c r="A581" s="4" t="s">
        <v>594</v>
      </c>
      <c r="B581" s="4" t="s">
        <v>847</v>
      </c>
      <c r="C581" s="4" t="s">
        <v>822</v>
      </c>
      <c r="D581" s="4" t="b">
        <f>FALSE()</f>
        <v>0</v>
      </c>
      <c r="E581" s="5">
        <v>55</v>
      </c>
      <c r="F581" s="7">
        <f t="shared" si="9"/>
        <v>0.2722772277227723</v>
      </c>
      <c r="G581" s="5">
        <v>0</v>
      </c>
      <c r="H581" s="14">
        <v>44928</v>
      </c>
      <c r="I581" s="14">
        <v>45048</v>
      </c>
      <c r="J581" s="4" t="s">
        <v>850</v>
      </c>
      <c r="K581" s="4" t="s">
        <v>1374</v>
      </c>
      <c r="L581" s="2"/>
      <c r="M581" s="2"/>
      <c r="N581" s="2"/>
    </row>
    <row r="582" spans="1:14" x14ac:dyDescent="0.45">
      <c r="A582" s="9" t="s">
        <v>596</v>
      </c>
      <c r="B582" s="9" t="s">
        <v>847</v>
      </c>
      <c r="C582" s="9" t="s">
        <v>595</v>
      </c>
      <c r="D582" s="9" t="b">
        <f>TRUE()</f>
        <v>1</v>
      </c>
      <c r="E582" s="10">
        <v>65</v>
      </c>
      <c r="F582" s="12">
        <f t="shared" si="9"/>
        <v>0.7303370786516854</v>
      </c>
      <c r="G582" s="10">
        <v>0</v>
      </c>
      <c r="H582" s="15">
        <v>44966</v>
      </c>
      <c r="I582" s="15">
        <v>45320</v>
      </c>
      <c r="J582" s="9" t="s">
        <v>848</v>
      </c>
      <c r="K582" s="9" t="s">
        <v>1375</v>
      </c>
      <c r="L582" s="2"/>
      <c r="M582" s="2"/>
      <c r="N582" s="2"/>
    </row>
    <row r="583" spans="1:14" x14ac:dyDescent="0.45">
      <c r="A583" s="4" t="s">
        <v>596</v>
      </c>
      <c r="B583" s="4" t="s">
        <v>847</v>
      </c>
      <c r="C583" s="4" t="s">
        <v>822</v>
      </c>
      <c r="D583" s="4" t="b">
        <f>FALSE()</f>
        <v>0</v>
      </c>
      <c r="E583" s="5">
        <v>24</v>
      </c>
      <c r="F583" s="7">
        <f t="shared" si="9"/>
        <v>0.2696629213483146</v>
      </c>
      <c r="G583" s="5">
        <v>0</v>
      </c>
      <c r="H583" s="14">
        <v>44929</v>
      </c>
      <c r="I583" s="14">
        <v>45041</v>
      </c>
      <c r="J583" s="4" t="s">
        <v>850</v>
      </c>
      <c r="K583" s="4" t="s">
        <v>1376</v>
      </c>
      <c r="L583" s="2"/>
      <c r="M583" s="2"/>
      <c r="N583" s="2"/>
    </row>
    <row r="584" spans="1:14" x14ac:dyDescent="0.45">
      <c r="A584" s="9" t="s">
        <v>597</v>
      </c>
      <c r="B584" s="9" t="s">
        <v>847</v>
      </c>
      <c r="C584" s="9" t="s">
        <v>595</v>
      </c>
      <c r="D584" s="9" t="b">
        <f>TRUE()</f>
        <v>1</v>
      </c>
      <c r="E584" s="10">
        <v>26</v>
      </c>
      <c r="F584" s="12">
        <f t="shared" si="9"/>
        <v>0.70270270270270274</v>
      </c>
      <c r="G584" s="10">
        <v>0</v>
      </c>
      <c r="H584" s="15">
        <v>45054</v>
      </c>
      <c r="I584" s="15">
        <v>45317</v>
      </c>
      <c r="J584" s="9" t="s">
        <v>848</v>
      </c>
      <c r="K584" s="9" t="s">
        <v>1377</v>
      </c>
      <c r="L584" s="2"/>
      <c r="M584" s="2"/>
      <c r="N584" s="2"/>
    </row>
    <row r="585" spans="1:14" x14ac:dyDescent="0.45">
      <c r="A585" s="4" t="s">
        <v>597</v>
      </c>
      <c r="B585" s="4" t="s">
        <v>847</v>
      </c>
      <c r="C585" s="4" t="s">
        <v>822</v>
      </c>
      <c r="D585" s="4" t="b">
        <f>FALSE()</f>
        <v>0</v>
      </c>
      <c r="E585" s="5">
        <v>11</v>
      </c>
      <c r="F585" s="7">
        <f t="shared" si="9"/>
        <v>0.29729729729729731</v>
      </c>
      <c r="G585" s="5">
        <v>0</v>
      </c>
      <c r="H585" s="14">
        <v>44956</v>
      </c>
      <c r="I585" s="14">
        <v>45034</v>
      </c>
      <c r="J585" s="4" t="s">
        <v>850</v>
      </c>
      <c r="K585" s="4" t="s">
        <v>1378</v>
      </c>
      <c r="L585" s="2"/>
      <c r="M585" s="2"/>
      <c r="N585" s="2"/>
    </row>
    <row r="586" spans="1:14" x14ac:dyDescent="0.45">
      <c r="A586" s="9" t="s">
        <v>598</v>
      </c>
      <c r="B586" s="9" t="s">
        <v>847</v>
      </c>
      <c r="C586" s="9" t="s">
        <v>595</v>
      </c>
      <c r="D586" s="9" t="b">
        <f>TRUE()</f>
        <v>1</v>
      </c>
      <c r="E586" s="10">
        <v>7</v>
      </c>
      <c r="F586" s="12">
        <f t="shared" si="9"/>
        <v>0.875</v>
      </c>
      <c r="G586" s="10">
        <v>0</v>
      </c>
      <c r="H586" s="15">
        <v>44945</v>
      </c>
      <c r="I586" s="15">
        <v>45349</v>
      </c>
      <c r="J586" s="9" t="s">
        <v>848</v>
      </c>
      <c r="K586" s="9" t="s">
        <v>1379</v>
      </c>
      <c r="L586" s="2"/>
      <c r="M586" s="2"/>
      <c r="N586" s="2"/>
    </row>
    <row r="587" spans="1:14" x14ac:dyDescent="0.45">
      <c r="A587" s="4" t="s">
        <v>598</v>
      </c>
      <c r="B587" s="4" t="s">
        <v>847</v>
      </c>
      <c r="C587" s="4" t="s">
        <v>822</v>
      </c>
      <c r="D587" s="4" t="b">
        <f>FALSE()</f>
        <v>0</v>
      </c>
      <c r="E587" s="5">
        <v>1</v>
      </c>
      <c r="F587" s="7">
        <f t="shared" si="9"/>
        <v>0.125</v>
      </c>
      <c r="G587" s="5">
        <v>0</v>
      </c>
      <c r="H587" s="14">
        <v>44935</v>
      </c>
      <c r="I587" s="14">
        <v>44935</v>
      </c>
      <c r="J587" s="4" t="s">
        <v>850</v>
      </c>
      <c r="K587" s="4" t="s">
        <v>1140</v>
      </c>
      <c r="L587" s="2"/>
      <c r="M587" s="2"/>
      <c r="N587" s="2"/>
    </row>
    <row r="588" spans="1:14" x14ac:dyDescent="0.45">
      <c r="A588" s="9" t="s">
        <v>599</v>
      </c>
      <c r="B588" s="9" t="s">
        <v>847</v>
      </c>
      <c r="C588" s="9" t="s">
        <v>600</v>
      </c>
      <c r="D588" s="9" t="b">
        <f>TRUE()</f>
        <v>1</v>
      </c>
      <c r="E588" s="10">
        <v>22654</v>
      </c>
      <c r="F588" s="12">
        <f t="shared" si="9"/>
        <v>0.90330555444794447</v>
      </c>
      <c r="G588" s="10">
        <v>4422</v>
      </c>
      <c r="H588" s="15">
        <v>44967</v>
      </c>
      <c r="I588" s="15">
        <v>46296</v>
      </c>
      <c r="J588" s="9" t="s">
        <v>848</v>
      </c>
      <c r="K588" s="9" t="s">
        <v>1180</v>
      </c>
      <c r="L588" s="2"/>
      <c r="M588" s="2"/>
      <c r="N588" s="2"/>
    </row>
    <row r="589" spans="1:14" x14ac:dyDescent="0.45">
      <c r="A589" s="4" t="s">
        <v>599</v>
      </c>
      <c r="B589" s="4" t="s">
        <v>847</v>
      </c>
      <c r="C589" s="4" t="s">
        <v>829</v>
      </c>
      <c r="D589" s="4" t="b">
        <f>FALSE()</f>
        <v>0</v>
      </c>
      <c r="E589" s="5">
        <v>2425</v>
      </c>
      <c r="F589" s="7">
        <f t="shared" si="9"/>
        <v>9.6694445552055502E-2</v>
      </c>
      <c r="G589" s="5">
        <v>0</v>
      </c>
      <c r="H589" s="14">
        <v>44928</v>
      </c>
      <c r="I589" s="14">
        <v>45054</v>
      </c>
      <c r="J589" s="4" t="s">
        <v>850</v>
      </c>
      <c r="K589" s="4" t="s">
        <v>1380</v>
      </c>
      <c r="L589" s="2"/>
      <c r="M589" s="2"/>
      <c r="N589" s="2"/>
    </row>
    <row r="590" spans="1:14" x14ac:dyDescent="0.45">
      <c r="A590" s="9" t="s">
        <v>601</v>
      </c>
      <c r="B590" s="9" t="s">
        <v>847</v>
      </c>
      <c r="C590" s="9" t="s">
        <v>600</v>
      </c>
      <c r="D590" s="9" t="b">
        <f>TRUE()</f>
        <v>1</v>
      </c>
      <c r="E590" s="10">
        <v>13797</v>
      </c>
      <c r="F590" s="12">
        <f t="shared" si="9"/>
        <v>0.92653280505003022</v>
      </c>
      <c r="G590" s="10">
        <v>3324</v>
      </c>
      <c r="H590" s="15">
        <v>44958</v>
      </c>
      <c r="I590" s="15">
        <v>46296</v>
      </c>
      <c r="J590" s="9" t="s">
        <v>848</v>
      </c>
      <c r="K590" s="9" t="s">
        <v>1381</v>
      </c>
      <c r="L590" s="2"/>
      <c r="M590" s="2"/>
      <c r="N590" s="2"/>
    </row>
    <row r="591" spans="1:14" x14ac:dyDescent="0.45">
      <c r="A591" s="4" t="s">
        <v>601</v>
      </c>
      <c r="B591" s="4" t="s">
        <v>847</v>
      </c>
      <c r="C591" s="4" t="s">
        <v>829</v>
      </c>
      <c r="D591" s="4" t="b">
        <f>FALSE()</f>
        <v>0</v>
      </c>
      <c r="E591" s="5">
        <v>1094</v>
      </c>
      <c r="F591" s="7">
        <f t="shared" si="9"/>
        <v>7.3467194949969783E-2</v>
      </c>
      <c r="G591" s="5">
        <v>0</v>
      </c>
      <c r="H591" s="14">
        <v>44928</v>
      </c>
      <c r="I591" s="14">
        <v>45055</v>
      </c>
      <c r="J591" s="4" t="s">
        <v>850</v>
      </c>
      <c r="K591" s="4" t="s">
        <v>1382</v>
      </c>
      <c r="L591" s="2"/>
      <c r="M591" s="2"/>
      <c r="N591" s="2"/>
    </row>
    <row r="592" spans="1:14" x14ac:dyDescent="0.45">
      <c r="A592" s="9" t="s">
        <v>602</v>
      </c>
      <c r="B592" s="9" t="s">
        <v>847</v>
      </c>
      <c r="C592" s="9" t="s">
        <v>600</v>
      </c>
      <c r="D592" s="9" t="b">
        <f>TRUE()</f>
        <v>1</v>
      </c>
      <c r="E592" s="10">
        <v>10306</v>
      </c>
      <c r="F592" s="12">
        <f t="shared" si="9"/>
        <v>0.79039803665925301</v>
      </c>
      <c r="G592" s="10">
        <v>2387</v>
      </c>
      <c r="H592" s="15">
        <v>44987</v>
      </c>
      <c r="I592" s="15">
        <v>46296</v>
      </c>
      <c r="J592" s="9" t="s">
        <v>848</v>
      </c>
      <c r="K592" s="9" t="s">
        <v>1383</v>
      </c>
      <c r="L592" s="2"/>
      <c r="M592" s="2"/>
      <c r="N592" s="2"/>
    </row>
    <row r="593" spans="1:14" x14ac:dyDescent="0.45">
      <c r="A593" s="4" t="s">
        <v>602</v>
      </c>
      <c r="B593" s="4" t="s">
        <v>847</v>
      </c>
      <c r="C593" s="4" t="s">
        <v>829</v>
      </c>
      <c r="D593" s="4" t="b">
        <f>FALSE()</f>
        <v>0</v>
      </c>
      <c r="E593" s="5">
        <v>2733</v>
      </c>
      <c r="F593" s="7">
        <f t="shared" si="9"/>
        <v>0.20960196334074699</v>
      </c>
      <c r="G593" s="5">
        <v>0</v>
      </c>
      <c r="H593" s="14">
        <v>44928</v>
      </c>
      <c r="I593" s="14">
        <v>45055</v>
      </c>
      <c r="J593" s="4" t="s">
        <v>850</v>
      </c>
      <c r="K593" s="4" t="s">
        <v>1384</v>
      </c>
      <c r="L593" s="2"/>
      <c r="M593" s="2"/>
      <c r="N593" s="2"/>
    </row>
    <row r="594" spans="1:14" x14ac:dyDescent="0.45">
      <c r="A594" s="9" t="s">
        <v>603</v>
      </c>
      <c r="B594" s="9" t="s">
        <v>847</v>
      </c>
      <c r="C594" s="9" t="s">
        <v>600</v>
      </c>
      <c r="D594" s="9" t="b">
        <f>TRUE()</f>
        <v>1</v>
      </c>
      <c r="E594" s="10">
        <v>9507</v>
      </c>
      <c r="F594" s="12">
        <f t="shared" si="9"/>
        <v>0.98294044665012403</v>
      </c>
      <c r="G594" s="10">
        <v>2103</v>
      </c>
      <c r="H594" s="15">
        <v>44928</v>
      </c>
      <c r="I594" s="15">
        <v>46296</v>
      </c>
      <c r="J594" s="9" t="s">
        <v>848</v>
      </c>
      <c r="K594" s="9" t="s">
        <v>930</v>
      </c>
      <c r="L594" s="2"/>
      <c r="M594" s="2"/>
      <c r="N594" s="2"/>
    </row>
    <row r="595" spans="1:14" x14ac:dyDescent="0.45">
      <c r="A595" s="4" t="s">
        <v>603</v>
      </c>
      <c r="B595" s="4" t="s">
        <v>847</v>
      </c>
      <c r="C595" s="4" t="s">
        <v>829</v>
      </c>
      <c r="D595" s="4" t="b">
        <f>FALSE()</f>
        <v>0</v>
      </c>
      <c r="E595" s="5">
        <v>165</v>
      </c>
      <c r="F595" s="7">
        <f t="shared" si="9"/>
        <v>1.7059553349875932E-2</v>
      </c>
      <c r="G595" s="5">
        <v>0</v>
      </c>
      <c r="H595" s="14">
        <v>44929</v>
      </c>
      <c r="I595" s="14">
        <v>45053</v>
      </c>
      <c r="J595" s="4" t="s">
        <v>850</v>
      </c>
      <c r="K595" s="4" t="s">
        <v>1352</v>
      </c>
      <c r="L595" s="2"/>
      <c r="M595" s="2"/>
      <c r="N595" s="2"/>
    </row>
    <row r="596" spans="1:14" x14ac:dyDescent="0.45">
      <c r="A596" s="9" t="s">
        <v>604</v>
      </c>
      <c r="B596" s="9" t="s">
        <v>847</v>
      </c>
      <c r="C596" s="9" t="s">
        <v>600</v>
      </c>
      <c r="D596" s="9" t="b">
        <f>TRUE()</f>
        <v>1</v>
      </c>
      <c r="E596" s="10">
        <v>8316</v>
      </c>
      <c r="F596" s="12">
        <f t="shared" si="9"/>
        <v>0.93280987100392598</v>
      </c>
      <c r="G596" s="10">
        <v>2342</v>
      </c>
      <c r="H596" s="15">
        <v>44929</v>
      </c>
      <c r="I596" s="15">
        <v>46296</v>
      </c>
      <c r="J596" s="9" t="s">
        <v>848</v>
      </c>
      <c r="K596" s="9" t="s">
        <v>924</v>
      </c>
      <c r="L596" s="2"/>
      <c r="M596" s="2"/>
      <c r="N596" s="2"/>
    </row>
    <row r="597" spans="1:14" x14ac:dyDescent="0.45">
      <c r="A597" s="4" t="s">
        <v>604</v>
      </c>
      <c r="B597" s="4" t="s">
        <v>847</v>
      </c>
      <c r="C597" s="4" t="s">
        <v>829</v>
      </c>
      <c r="D597" s="4" t="b">
        <f>FALSE()</f>
        <v>0</v>
      </c>
      <c r="E597" s="5">
        <v>599</v>
      </c>
      <c r="F597" s="7">
        <f t="shared" si="9"/>
        <v>6.7190128996074031E-2</v>
      </c>
      <c r="G597" s="5">
        <v>0</v>
      </c>
      <c r="H597" s="14">
        <v>44928</v>
      </c>
      <c r="I597" s="14">
        <v>45055</v>
      </c>
      <c r="J597" s="4" t="s">
        <v>850</v>
      </c>
      <c r="K597" s="4" t="s">
        <v>925</v>
      </c>
      <c r="L597" s="2"/>
      <c r="M597" s="2"/>
      <c r="N597" s="2"/>
    </row>
    <row r="598" spans="1:14" x14ac:dyDescent="0.45">
      <c r="A598" s="9" t="s">
        <v>605</v>
      </c>
      <c r="B598" s="9" t="s">
        <v>847</v>
      </c>
      <c r="C598" s="9" t="s">
        <v>600</v>
      </c>
      <c r="D598" s="9" t="b">
        <f>TRUE()</f>
        <v>1</v>
      </c>
      <c r="E598" s="10">
        <v>7910</v>
      </c>
      <c r="F598" s="12">
        <f t="shared" si="9"/>
        <v>0.93388429752066116</v>
      </c>
      <c r="G598" s="10">
        <v>1675</v>
      </c>
      <c r="H598" s="15">
        <v>44928</v>
      </c>
      <c r="I598" s="15">
        <v>46296</v>
      </c>
      <c r="J598" s="9" t="s">
        <v>848</v>
      </c>
      <c r="K598" s="9" t="s">
        <v>930</v>
      </c>
      <c r="L598" s="2"/>
      <c r="M598" s="2"/>
      <c r="N598" s="2"/>
    </row>
    <row r="599" spans="1:14" x14ac:dyDescent="0.45">
      <c r="A599" s="4" t="s">
        <v>605</v>
      </c>
      <c r="B599" s="4" t="s">
        <v>847</v>
      </c>
      <c r="C599" s="4" t="s">
        <v>829</v>
      </c>
      <c r="D599" s="4" t="b">
        <f>FALSE()</f>
        <v>0</v>
      </c>
      <c r="E599" s="5">
        <v>560</v>
      </c>
      <c r="F599" s="7">
        <f t="shared" si="9"/>
        <v>6.6115702479338845E-2</v>
      </c>
      <c r="G599" s="5">
        <v>0</v>
      </c>
      <c r="H599" s="14">
        <v>44928</v>
      </c>
      <c r="I599" s="14">
        <v>45055</v>
      </c>
      <c r="J599" s="4" t="s">
        <v>850</v>
      </c>
      <c r="K599" s="4" t="s">
        <v>931</v>
      </c>
      <c r="L599" s="2"/>
      <c r="M599" s="2"/>
      <c r="N599" s="2"/>
    </row>
    <row r="600" spans="1:14" x14ac:dyDescent="0.45">
      <c r="A600" s="9" t="s">
        <v>606</v>
      </c>
      <c r="B600" s="9" t="s">
        <v>847</v>
      </c>
      <c r="C600" s="9" t="s">
        <v>600</v>
      </c>
      <c r="D600" s="9" t="b">
        <f>TRUE()</f>
        <v>1</v>
      </c>
      <c r="E600" s="10">
        <v>5108</v>
      </c>
      <c r="F600" s="12">
        <f t="shared" si="9"/>
        <v>0.91344778254649495</v>
      </c>
      <c r="G600" s="10">
        <v>1043</v>
      </c>
      <c r="H600" s="15">
        <v>44930</v>
      </c>
      <c r="I600" s="15">
        <v>46296</v>
      </c>
      <c r="J600" s="9" t="s">
        <v>848</v>
      </c>
      <c r="K600" s="9" t="s">
        <v>1202</v>
      </c>
      <c r="L600" s="2"/>
      <c r="M600" s="2"/>
      <c r="N600" s="2"/>
    </row>
    <row r="601" spans="1:14" x14ac:dyDescent="0.45">
      <c r="A601" s="4" t="s">
        <v>606</v>
      </c>
      <c r="B601" s="4" t="s">
        <v>847</v>
      </c>
      <c r="C601" s="4" t="s">
        <v>829</v>
      </c>
      <c r="D601" s="4" t="b">
        <f>FALSE()</f>
        <v>0</v>
      </c>
      <c r="E601" s="5">
        <v>484</v>
      </c>
      <c r="F601" s="7">
        <f t="shared" si="9"/>
        <v>8.6552217453505012E-2</v>
      </c>
      <c r="G601" s="5">
        <v>0</v>
      </c>
      <c r="H601" s="14">
        <v>44928</v>
      </c>
      <c r="I601" s="14">
        <v>45051</v>
      </c>
      <c r="J601" s="4" t="s">
        <v>850</v>
      </c>
      <c r="K601" s="4" t="s">
        <v>1385</v>
      </c>
      <c r="L601" s="2"/>
      <c r="M601" s="2"/>
      <c r="N601" s="2"/>
    </row>
    <row r="602" spans="1:14" x14ac:dyDescent="0.45">
      <c r="A602" s="9" t="s">
        <v>607</v>
      </c>
      <c r="B602" s="9" t="s">
        <v>847</v>
      </c>
      <c r="C602" s="9" t="s">
        <v>600</v>
      </c>
      <c r="D602" s="9" t="b">
        <f>TRUE()</f>
        <v>1</v>
      </c>
      <c r="E602" s="10">
        <v>3909</v>
      </c>
      <c r="F602" s="12">
        <f t="shared" si="9"/>
        <v>0.95178962746530316</v>
      </c>
      <c r="G602" s="10">
        <v>937</v>
      </c>
      <c r="H602" s="15">
        <v>44933</v>
      </c>
      <c r="I602" s="15">
        <v>46296</v>
      </c>
      <c r="J602" s="9" t="s">
        <v>848</v>
      </c>
      <c r="K602" s="9" t="s">
        <v>1215</v>
      </c>
      <c r="L602" s="2"/>
      <c r="M602" s="2"/>
      <c r="N602" s="2"/>
    </row>
    <row r="603" spans="1:14" x14ac:dyDescent="0.45">
      <c r="A603" s="4" t="s">
        <v>607</v>
      </c>
      <c r="B603" s="4" t="s">
        <v>847</v>
      </c>
      <c r="C603" s="4" t="s">
        <v>829</v>
      </c>
      <c r="D603" s="4" t="b">
        <f>FALSE()</f>
        <v>0</v>
      </c>
      <c r="E603" s="5">
        <v>198</v>
      </c>
      <c r="F603" s="7">
        <f t="shared" si="9"/>
        <v>4.8210372534696858E-2</v>
      </c>
      <c r="G603" s="5">
        <v>0</v>
      </c>
      <c r="H603" s="14">
        <v>44928</v>
      </c>
      <c r="I603" s="14">
        <v>45055</v>
      </c>
      <c r="J603" s="4" t="s">
        <v>850</v>
      </c>
      <c r="K603" s="4" t="s">
        <v>1386</v>
      </c>
      <c r="L603" s="2"/>
      <c r="M603" s="2"/>
      <c r="N603" s="2"/>
    </row>
    <row r="604" spans="1:14" x14ac:dyDescent="0.45">
      <c r="A604" s="9" t="s">
        <v>608</v>
      </c>
      <c r="B604" s="9" t="s">
        <v>847</v>
      </c>
      <c r="C604" s="9" t="s">
        <v>600</v>
      </c>
      <c r="D604" s="9" t="b">
        <f>TRUE()</f>
        <v>1</v>
      </c>
      <c r="E604" s="10">
        <v>3638</v>
      </c>
      <c r="F604" s="12">
        <f t="shared" si="9"/>
        <v>0.94005167958656333</v>
      </c>
      <c r="G604" s="10">
        <v>900</v>
      </c>
      <c r="H604" s="15">
        <v>44949</v>
      </c>
      <c r="I604" s="15">
        <v>46296</v>
      </c>
      <c r="J604" s="9" t="s">
        <v>848</v>
      </c>
      <c r="K604" s="9" t="s">
        <v>1184</v>
      </c>
      <c r="L604" s="2"/>
      <c r="M604" s="2"/>
      <c r="N604" s="2"/>
    </row>
    <row r="605" spans="1:14" x14ac:dyDescent="0.45">
      <c r="A605" s="4" t="s">
        <v>608</v>
      </c>
      <c r="B605" s="4" t="s">
        <v>847</v>
      </c>
      <c r="C605" s="4" t="s">
        <v>829</v>
      </c>
      <c r="D605" s="4" t="b">
        <f>FALSE()</f>
        <v>0</v>
      </c>
      <c r="E605" s="5">
        <v>232</v>
      </c>
      <c r="F605" s="7">
        <f t="shared" si="9"/>
        <v>5.9948320413436694E-2</v>
      </c>
      <c r="G605" s="5">
        <v>0</v>
      </c>
      <c r="H605" s="14">
        <v>44929</v>
      </c>
      <c r="I605" s="14">
        <v>45054</v>
      </c>
      <c r="J605" s="4" t="s">
        <v>850</v>
      </c>
      <c r="K605" s="4" t="s">
        <v>1387</v>
      </c>
      <c r="L605" s="2"/>
      <c r="M605" s="2"/>
      <c r="N605" s="2"/>
    </row>
    <row r="606" spans="1:14" x14ac:dyDescent="0.45">
      <c r="A606" s="9" t="s">
        <v>609</v>
      </c>
      <c r="B606" s="9" t="s">
        <v>847</v>
      </c>
      <c r="C606" s="9" t="s">
        <v>600</v>
      </c>
      <c r="D606" s="9" t="b">
        <f>TRUE()</f>
        <v>1</v>
      </c>
      <c r="E606" s="10">
        <v>3545</v>
      </c>
      <c r="F606" s="12">
        <f t="shared" si="9"/>
        <v>0.95295698924731187</v>
      </c>
      <c r="G606" s="10">
        <v>908</v>
      </c>
      <c r="H606" s="15">
        <v>44942</v>
      </c>
      <c r="I606" s="15">
        <v>46295</v>
      </c>
      <c r="J606" s="9" t="s">
        <v>848</v>
      </c>
      <c r="K606" s="9" t="s">
        <v>1388</v>
      </c>
      <c r="L606" s="2"/>
      <c r="M606" s="2"/>
      <c r="N606" s="2"/>
    </row>
    <row r="607" spans="1:14" x14ac:dyDescent="0.45">
      <c r="A607" s="4" t="s">
        <v>609</v>
      </c>
      <c r="B607" s="4" t="s">
        <v>847</v>
      </c>
      <c r="C607" s="4" t="s">
        <v>829</v>
      </c>
      <c r="D607" s="4" t="b">
        <f>FALSE()</f>
        <v>0</v>
      </c>
      <c r="E607" s="5">
        <v>175</v>
      </c>
      <c r="F607" s="7">
        <f t="shared" si="9"/>
        <v>4.7043010752688172E-2</v>
      </c>
      <c r="G607" s="5">
        <v>0</v>
      </c>
      <c r="H607" s="14">
        <v>44928</v>
      </c>
      <c r="I607" s="14">
        <v>45055</v>
      </c>
      <c r="J607" s="4" t="s">
        <v>850</v>
      </c>
      <c r="K607" s="4" t="s">
        <v>873</v>
      </c>
      <c r="L607" s="2"/>
      <c r="M607" s="2"/>
      <c r="N607" s="2"/>
    </row>
    <row r="608" spans="1:14" x14ac:dyDescent="0.45">
      <c r="A608" s="9" t="s">
        <v>610</v>
      </c>
      <c r="B608" s="9" t="s">
        <v>847</v>
      </c>
      <c r="C608" s="9" t="s">
        <v>600</v>
      </c>
      <c r="D608" s="9" t="b">
        <f>TRUE()</f>
        <v>1</v>
      </c>
      <c r="E608" s="10">
        <v>3083</v>
      </c>
      <c r="F608" s="12">
        <f t="shared" si="9"/>
        <v>0.85118718939812255</v>
      </c>
      <c r="G608" s="10">
        <v>0</v>
      </c>
      <c r="H608" s="15">
        <v>44930</v>
      </c>
      <c r="I608" s="15">
        <v>45782</v>
      </c>
      <c r="J608" s="9" t="s">
        <v>848</v>
      </c>
      <c r="K608" s="9" t="s">
        <v>1389</v>
      </c>
      <c r="L608" s="2"/>
      <c r="M608" s="2"/>
      <c r="N608" s="2"/>
    </row>
    <row r="609" spans="1:14" x14ac:dyDescent="0.45">
      <c r="A609" s="4" t="s">
        <v>610</v>
      </c>
      <c r="B609" s="4" t="s">
        <v>847</v>
      </c>
      <c r="C609" s="4" t="s">
        <v>829</v>
      </c>
      <c r="D609" s="4" t="b">
        <f>FALSE()</f>
        <v>0</v>
      </c>
      <c r="E609" s="5">
        <v>539</v>
      </c>
      <c r="F609" s="7">
        <f t="shared" si="9"/>
        <v>0.14881281060187743</v>
      </c>
      <c r="G609" s="5">
        <v>0</v>
      </c>
      <c r="H609" s="14">
        <v>44928</v>
      </c>
      <c r="I609" s="14">
        <v>45054</v>
      </c>
      <c r="J609" s="4" t="s">
        <v>850</v>
      </c>
      <c r="K609" s="4" t="s">
        <v>1226</v>
      </c>
      <c r="L609" s="2"/>
      <c r="M609" s="2"/>
      <c r="N609" s="2"/>
    </row>
    <row r="610" spans="1:14" x14ac:dyDescent="0.45">
      <c r="A610" s="9" t="s">
        <v>611</v>
      </c>
      <c r="B610" s="9" t="s">
        <v>847</v>
      </c>
      <c r="C610" s="9" t="s">
        <v>600</v>
      </c>
      <c r="D610" s="9" t="b">
        <f>TRUE()</f>
        <v>1</v>
      </c>
      <c r="E610" s="10">
        <v>3168</v>
      </c>
      <c r="F610" s="12">
        <f t="shared" si="9"/>
        <v>0.87562189054726369</v>
      </c>
      <c r="G610" s="10">
        <v>759</v>
      </c>
      <c r="H610" s="15">
        <v>44938</v>
      </c>
      <c r="I610" s="15">
        <v>46296</v>
      </c>
      <c r="J610" s="9" t="s">
        <v>848</v>
      </c>
      <c r="K610" s="9" t="s">
        <v>928</v>
      </c>
      <c r="L610" s="2"/>
      <c r="M610" s="2"/>
      <c r="N610" s="2"/>
    </row>
    <row r="611" spans="1:14" x14ac:dyDescent="0.45">
      <c r="A611" s="4" t="s">
        <v>611</v>
      </c>
      <c r="B611" s="4" t="s">
        <v>847</v>
      </c>
      <c r="C611" s="4" t="s">
        <v>829</v>
      </c>
      <c r="D611" s="4" t="b">
        <f>FALSE()</f>
        <v>0</v>
      </c>
      <c r="E611" s="5">
        <v>450</v>
      </c>
      <c r="F611" s="7">
        <f t="shared" si="9"/>
        <v>0.12437810945273632</v>
      </c>
      <c r="G611" s="5">
        <v>0</v>
      </c>
      <c r="H611" s="14">
        <v>44928</v>
      </c>
      <c r="I611" s="14">
        <v>45055</v>
      </c>
      <c r="J611" s="4" t="s">
        <v>850</v>
      </c>
      <c r="K611" s="4" t="s">
        <v>929</v>
      </c>
      <c r="L611" s="2"/>
      <c r="M611" s="2"/>
      <c r="N611" s="2"/>
    </row>
    <row r="612" spans="1:14" x14ac:dyDescent="0.45">
      <c r="A612" s="9" t="s">
        <v>612</v>
      </c>
      <c r="B612" s="9" t="s">
        <v>847</v>
      </c>
      <c r="C612" s="9" t="s">
        <v>600</v>
      </c>
      <c r="D612" s="9" t="b">
        <f>TRUE()</f>
        <v>1</v>
      </c>
      <c r="E612" s="10">
        <v>3377</v>
      </c>
      <c r="F612" s="12">
        <f t="shared" si="9"/>
        <v>0.95287810383747173</v>
      </c>
      <c r="G612" s="10">
        <v>693</v>
      </c>
      <c r="H612" s="15">
        <v>44935</v>
      </c>
      <c r="I612" s="15">
        <v>46296</v>
      </c>
      <c r="J612" s="9" t="s">
        <v>848</v>
      </c>
      <c r="K612" s="9" t="s">
        <v>933</v>
      </c>
      <c r="L612" s="2"/>
      <c r="M612" s="2"/>
      <c r="N612" s="2"/>
    </row>
    <row r="613" spans="1:14" x14ac:dyDescent="0.45">
      <c r="A613" s="4" t="s">
        <v>612</v>
      </c>
      <c r="B613" s="4" t="s">
        <v>847</v>
      </c>
      <c r="C613" s="4" t="s">
        <v>829</v>
      </c>
      <c r="D613" s="4" t="b">
        <f>FALSE()</f>
        <v>0</v>
      </c>
      <c r="E613" s="5">
        <v>167</v>
      </c>
      <c r="F613" s="7">
        <f t="shared" si="9"/>
        <v>4.7121896162528217E-2</v>
      </c>
      <c r="G613" s="5">
        <v>0</v>
      </c>
      <c r="H613" s="14">
        <v>44928</v>
      </c>
      <c r="I613" s="14">
        <v>45050</v>
      </c>
      <c r="J613" s="4" t="s">
        <v>850</v>
      </c>
      <c r="K613" s="4" t="s">
        <v>1390</v>
      </c>
      <c r="L613" s="2"/>
      <c r="M613" s="2"/>
      <c r="N613" s="2"/>
    </row>
    <row r="614" spans="1:14" x14ac:dyDescent="0.45">
      <c r="A614" s="9" t="s">
        <v>613</v>
      </c>
      <c r="B614" s="9" t="s">
        <v>847</v>
      </c>
      <c r="C614" s="9" t="s">
        <v>600</v>
      </c>
      <c r="D614" s="9" t="b">
        <f>TRUE()</f>
        <v>1</v>
      </c>
      <c r="E614" s="10">
        <v>2925</v>
      </c>
      <c r="F614" s="12">
        <f t="shared" si="9"/>
        <v>0.89013998782714543</v>
      </c>
      <c r="G614" s="10">
        <v>652</v>
      </c>
      <c r="H614" s="15">
        <v>44938</v>
      </c>
      <c r="I614" s="15">
        <v>46296</v>
      </c>
      <c r="J614" s="9" t="s">
        <v>848</v>
      </c>
      <c r="K614" s="9" t="s">
        <v>928</v>
      </c>
      <c r="L614" s="2"/>
      <c r="M614" s="2"/>
      <c r="N614" s="2"/>
    </row>
    <row r="615" spans="1:14" x14ac:dyDescent="0.45">
      <c r="A615" s="4" t="s">
        <v>613</v>
      </c>
      <c r="B615" s="4" t="s">
        <v>847</v>
      </c>
      <c r="C615" s="4" t="s">
        <v>829</v>
      </c>
      <c r="D615" s="4" t="b">
        <f>FALSE()</f>
        <v>0</v>
      </c>
      <c r="E615" s="5">
        <v>361</v>
      </c>
      <c r="F615" s="7">
        <f t="shared" si="9"/>
        <v>0.10986001217285453</v>
      </c>
      <c r="G615" s="5">
        <v>0</v>
      </c>
      <c r="H615" s="14">
        <v>44928</v>
      </c>
      <c r="I615" s="14">
        <v>45053</v>
      </c>
      <c r="J615" s="4" t="s">
        <v>850</v>
      </c>
      <c r="K615" s="4" t="s">
        <v>1391</v>
      </c>
      <c r="L615" s="2"/>
      <c r="M615" s="2"/>
      <c r="N615" s="2"/>
    </row>
    <row r="616" spans="1:14" x14ac:dyDescent="0.45">
      <c r="A616" s="9" t="s">
        <v>614</v>
      </c>
      <c r="B616" s="9" t="s">
        <v>847</v>
      </c>
      <c r="C616" s="9" t="s">
        <v>600</v>
      </c>
      <c r="D616" s="9" t="b">
        <f>TRUE()</f>
        <v>1</v>
      </c>
      <c r="E616" s="10">
        <v>3076</v>
      </c>
      <c r="F616" s="12">
        <f t="shared" si="9"/>
        <v>0.99514720155289549</v>
      </c>
      <c r="G616" s="10">
        <v>791</v>
      </c>
      <c r="H616" s="15">
        <v>44928</v>
      </c>
      <c r="I616" s="15">
        <v>46296</v>
      </c>
      <c r="J616" s="9" t="s">
        <v>848</v>
      </c>
      <c r="K616" s="9" t="s">
        <v>930</v>
      </c>
      <c r="L616" s="2"/>
      <c r="M616" s="2"/>
      <c r="N616" s="2"/>
    </row>
    <row r="617" spans="1:14" x14ac:dyDescent="0.45">
      <c r="A617" s="4" t="s">
        <v>614</v>
      </c>
      <c r="B617" s="4" t="s">
        <v>847</v>
      </c>
      <c r="C617" s="4" t="s">
        <v>829</v>
      </c>
      <c r="D617" s="4" t="b">
        <f>FALSE()</f>
        <v>0</v>
      </c>
      <c r="E617" s="5">
        <v>15</v>
      </c>
      <c r="F617" s="7">
        <f t="shared" si="9"/>
        <v>4.8527984471044968E-3</v>
      </c>
      <c r="G617" s="5">
        <v>0</v>
      </c>
      <c r="H617" s="14">
        <v>44958</v>
      </c>
      <c r="I617" s="14">
        <v>45055</v>
      </c>
      <c r="J617" s="4" t="s">
        <v>850</v>
      </c>
      <c r="K617" s="4" t="s">
        <v>1392</v>
      </c>
      <c r="L617" s="2"/>
      <c r="M617" s="2"/>
      <c r="N617" s="2"/>
    </row>
    <row r="618" spans="1:14" x14ac:dyDescent="0.45">
      <c r="A618" s="9" t="s">
        <v>615</v>
      </c>
      <c r="B618" s="9" t="s">
        <v>847</v>
      </c>
      <c r="C618" s="9" t="s">
        <v>600</v>
      </c>
      <c r="D618" s="9" t="b">
        <f>TRUE()</f>
        <v>1</v>
      </c>
      <c r="E618" s="10">
        <v>2660</v>
      </c>
      <c r="F618" s="12">
        <f t="shared" si="9"/>
        <v>0.86814621409921666</v>
      </c>
      <c r="G618" s="10">
        <v>631</v>
      </c>
      <c r="H618" s="15">
        <v>45030</v>
      </c>
      <c r="I618" s="15">
        <v>46296</v>
      </c>
      <c r="J618" s="9" t="s">
        <v>848</v>
      </c>
      <c r="K618" s="9" t="s">
        <v>1393</v>
      </c>
      <c r="L618" s="2"/>
      <c r="M618" s="2"/>
      <c r="N618" s="2"/>
    </row>
    <row r="619" spans="1:14" x14ac:dyDescent="0.45">
      <c r="A619" s="4" t="s">
        <v>615</v>
      </c>
      <c r="B619" s="4" t="s">
        <v>847</v>
      </c>
      <c r="C619" s="4" t="s">
        <v>829</v>
      </c>
      <c r="D619" s="4" t="b">
        <f>FALSE()</f>
        <v>0</v>
      </c>
      <c r="E619" s="5">
        <v>404</v>
      </c>
      <c r="F619" s="7">
        <f t="shared" si="9"/>
        <v>0.13185378590078328</v>
      </c>
      <c r="G619" s="5">
        <v>0</v>
      </c>
      <c r="H619" s="14">
        <v>44929</v>
      </c>
      <c r="I619" s="14">
        <v>45054</v>
      </c>
      <c r="J619" s="4" t="s">
        <v>850</v>
      </c>
      <c r="K619" s="4" t="s">
        <v>1394</v>
      </c>
      <c r="L619" s="2"/>
      <c r="M619" s="2"/>
      <c r="N619" s="2"/>
    </row>
    <row r="620" spans="1:14" x14ac:dyDescent="0.45">
      <c r="A620" s="9" t="s">
        <v>616</v>
      </c>
      <c r="B620" s="9" t="s">
        <v>847</v>
      </c>
      <c r="C620" s="9" t="s">
        <v>600</v>
      </c>
      <c r="D620" s="9" t="b">
        <f>TRUE()</f>
        <v>1</v>
      </c>
      <c r="E620" s="10">
        <v>2758</v>
      </c>
      <c r="F620" s="12">
        <f t="shared" si="9"/>
        <v>0.93841442667574004</v>
      </c>
      <c r="G620" s="10">
        <v>660</v>
      </c>
      <c r="H620" s="15">
        <v>44935</v>
      </c>
      <c r="I620" s="15">
        <v>46296</v>
      </c>
      <c r="J620" s="9" t="s">
        <v>848</v>
      </c>
      <c r="K620" s="9" t="s">
        <v>933</v>
      </c>
      <c r="L620" s="2"/>
      <c r="M620" s="2"/>
      <c r="N620" s="2"/>
    </row>
    <row r="621" spans="1:14" x14ac:dyDescent="0.45">
      <c r="A621" s="4" t="s">
        <v>616</v>
      </c>
      <c r="B621" s="4" t="s">
        <v>847</v>
      </c>
      <c r="C621" s="4" t="s">
        <v>829</v>
      </c>
      <c r="D621" s="4" t="b">
        <f>FALSE()</f>
        <v>0</v>
      </c>
      <c r="E621" s="5">
        <v>181</v>
      </c>
      <c r="F621" s="7">
        <f t="shared" si="9"/>
        <v>6.158557332425995E-2</v>
      </c>
      <c r="G621" s="5">
        <v>0</v>
      </c>
      <c r="H621" s="14">
        <v>44928</v>
      </c>
      <c r="I621" s="14">
        <v>45055</v>
      </c>
      <c r="J621" s="4" t="s">
        <v>850</v>
      </c>
      <c r="K621" s="4" t="s">
        <v>934</v>
      </c>
      <c r="L621" s="2"/>
      <c r="M621" s="2"/>
      <c r="N621" s="2"/>
    </row>
    <row r="622" spans="1:14" x14ac:dyDescent="0.45">
      <c r="A622" s="9" t="s">
        <v>617</v>
      </c>
      <c r="B622" s="9" t="s">
        <v>847</v>
      </c>
      <c r="C622" s="9" t="s">
        <v>600</v>
      </c>
      <c r="D622" s="9" t="b">
        <f>TRUE()</f>
        <v>1</v>
      </c>
      <c r="E622" s="10">
        <v>2526</v>
      </c>
      <c r="F622" s="12">
        <f t="shared" si="9"/>
        <v>0.86418063633253506</v>
      </c>
      <c r="G622" s="10">
        <v>675</v>
      </c>
      <c r="H622" s="15">
        <v>45029</v>
      </c>
      <c r="I622" s="15">
        <v>46296</v>
      </c>
      <c r="J622" s="9" t="s">
        <v>848</v>
      </c>
      <c r="K622" s="9" t="s">
        <v>1395</v>
      </c>
      <c r="L622" s="2"/>
      <c r="M622" s="2"/>
      <c r="N622" s="2"/>
    </row>
    <row r="623" spans="1:14" x14ac:dyDescent="0.45">
      <c r="A623" s="4" t="s">
        <v>617</v>
      </c>
      <c r="B623" s="4" t="s">
        <v>847</v>
      </c>
      <c r="C623" s="4" t="s">
        <v>829</v>
      </c>
      <c r="D623" s="4" t="b">
        <f>FALSE()</f>
        <v>0</v>
      </c>
      <c r="E623" s="5">
        <v>397</v>
      </c>
      <c r="F623" s="7">
        <f t="shared" si="9"/>
        <v>0.13581936366746494</v>
      </c>
      <c r="G623" s="5">
        <v>0</v>
      </c>
      <c r="H623" s="14">
        <v>44928</v>
      </c>
      <c r="I623" s="14">
        <v>45055</v>
      </c>
      <c r="J623" s="4" t="s">
        <v>850</v>
      </c>
      <c r="K623" s="4" t="s">
        <v>1396</v>
      </c>
      <c r="L623" s="2"/>
      <c r="M623" s="2"/>
      <c r="N623" s="2"/>
    </row>
    <row r="624" spans="1:14" x14ac:dyDescent="0.45">
      <c r="A624" s="9" t="s">
        <v>618</v>
      </c>
      <c r="B624" s="9" t="s">
        <v>847</v>
      </c>
      <c r="C624" s="9" t="s">
        <v>600</v>
      </c>
      <c r="D624" s="9" t="b">
        <f>TRUE()</f>
        <v>1</v>
      </c>
      <c r="E624" s="10">
        <v>2635</v>
      </c>
      <c r="F624" s="12">
        <f t="shared" si="9"/>
        <v>0.92912552891396338</v>
      </c>
      <c r="G624" s="10">
        <v>721</v>
      </c>
      <c r="H624" s="15">
        <v>44986</v>
      </c>
      <c r="I624" s="15">
        <v>46296</v>
      </c>
      <c r="J624" s="9" t="s">
        <v>848</v>
      </c>
      <c r="K624" s="9" t="s">
        <v>1397</v>
      </c>
      <c r="L624" s="2"/>
      <c r="M624" s="2"/>
      <c r="N624" s="2"/>
    </row>
    <row r="625" spans="1:14" x14ac:dyDescent="0.45">
      <c r="A625" s="4" t="s">
        <v>618</v>
      </c>
      <c r="B625" s="4" t="s">
        <v>847</v>
      </c>
      <c r="C625" s="4" t="s">
        <v>829</v>
      </c>
      <c r="D625" s="4" t="b">
        <f>FALSE()</f>
        <v>0</v>
      </c>
      <c r="E625" s="5">
        <v>201</v>
      </c>
      <c r="F625" s="7">
        <f t="shared" si="9"/>
        <v>7.0874471086036672E-2</v>
      </c>
      <c r="G625" s="5">
        <v>0</v>
      </c>
      <c r="H625" s="14">
        <v>44929</v>
      </c>
      <c r="I625" s="14">
        <v>45054</v>
      </c>
      <c r="J625" s="4" t="s">
        <v>850</v>
      </c>
      <c r="K625" s="4" t="s">
        <v>1398</v>
      </c>
      <c r="L625" s="2"/>
      <c r="M625" s="2"/>
      <c r="N625" s="2"/>
    </row>
    <row r="626" spans="1:14" x14ac:dyDescent="0.45">
      <c r="A626" s="9" t="s">
        <v>620</v>
      </c>
      <c r="B626" s="9" t="s">
        <v>847</v>
      </c>
      <c r="C626" s="9" t="s">
        <v>600</v>
      </c>
      <c r="D626" s="9" t="b">
        <f>TRUE()</f>
        <v>1</v>
      </c>
      <c r="E626" s="10">
        <v>2119</v>
      </c>
      <c r="F626" s="12">
        <f t="shared" si="9"/>
        <v>0.86313645621181267</v>
      </c>
      <c r="G626" s="10">
        <v>553</v>
      </c>
      <c r="H626" s="15">
        <v>44971</v>
      </c>
      <c r="I626" s="15">
        <v>46296</v>
      </c>
      <c r="J626" s="9" t="s">
        <v>848</v>
      </c>
      <c r="K626" s="9" t="s">
        <v>1399</v>
      </c>
      <c r="L626" s="2"/>
      <c r="M626" s="2"/>
      <c r="N626" s="2"/>
    </row>
    <row r="627" spans="1:14" x14ac:dyDescent="0.45">
      <c r="A627" s="4" t="s">
        <v>620</v>
      </c>
      <c r="B627" s="4" t="s">
        <v>847</v>
      </c>
      <c r="C627" s="4" t="s">
        <v>829</v>
      </c>
      <c r="D627" s="4" t="b">
        <f>FALSE()</f>
        <v>0</v>
      </c>
      <c r="E627" s="5">
        <v>336</v>
      </c>
      <c r="F627" s="7">
        <f t="shared" si="9"/>
        <v>0.13686354378818738</v>
      </c>
      <c r="G627" s="5">
        <v>0</v>
      </c>
      <c r="H627" s="14">
        <v>44929</v>
      </c>
      <c r="I627" s="14">
        <v>45054</v>
      </c>
      <c r="J627" s="4" t="s">
        <v>850</v>
      </c>
      <c r="K627" s="4" t="s">
        <v>1400</v>
      </c>
      <c r="L627" s="2"/>
      <c r="M627" s="2"/>
      <c r="N627" s="2"/>
    </row>
    <row r="628" spans="1:14" x14ac:dyDescent="0.45">
      <c r="A628" s="9" t="s">
        <v>622</v>
      </c>
      <c r="B628" s="9" t="s">
        <v>847</v>
      </c>
      <c r="C628" s="9" t="s">
        <v>600</v>
      </c>
      <c r="D628" s="9" t="b">
        <f>TRUE()</f>
        <v>1</v>
      </c>
      <c r="E628" s="10">
        <v>1642</v>
      </c>
      <c r="F628" s="12">
        <f t="shared" si="9"/>
        <v>0.95298897272199656</v>
      </c>
      <c r="G628" s="10">
        <v>286</v>
      </c>
      <c r="H628" s="15">
        <v>44956</v>
      </c>
      <c r="I628" s="15">
        <v>46226</v>
      </c>
      <c r="J628" s="9" t="s">
        <v>848</v>
      </c>
      <c r="K628" s="9" t="s">
        <v>1401</v>
      </c>
      <c r="L628" s="2"/>
      <c r="M628" s="2"/>
      <c r="N628" s="2"/>
    </row>
    <row r="629" spans="1:14" x14ac:dyDescent="0.45">
      <c r="A629" s="4" t="s">
        <v>622</v>
      </c>
      <c r="B629" s="4" t="s">
        <v>847</v>
      </c>
      <c r="C629" s="4" t="s">
        <v>829</v>
      </c>
      <c r="D629" s="4" t="b">
        <f>FALSE()</f>
        <v>0</v>
      </c>
      <c r="E629" s="5">
        <v>81</v>
      </c>
      <c r="F629" s="7">
        <f t="shared" si="9"/>
        <v>4.7011027278003485E-2</v>
      </c>
      <c r="G629" s="5">
        <v>0</v>
      </c>
      <c r="H629" s="14">
        <v>44930</v>
      </c>
      <c r="I629" s="14">
        <v>45049</v>
      </c>
      <c r="J629" s="4" t="s">
        <v>850</v>
      </c>
      <c r="K629" s="4" t="s">
        <v>1402</v>
      </c>
      <c r="L629" s="2"/>
      <c r="M629" s="2"/>
      <c r="N629" s="2"/>
    </row>
    <row r="630" spans="1:14" x14ac:dyDescent="0.45">
      <c r="A630" s="9" t="s">
        <v>623</v>
      </c>
      <c r="B630" s="9" t="s">
        <v>847</v>
      </c>
      <c r="C630" s="9" t="s">
        <v>600</v>
      </c>
      <c r="D630" s="9" t="b">
        <f>TRUE()</f>
        <v>1</v>
      </c>
      <c r="E630" s="10">
        <v>1534</v>
      </c>
      <c r="F630" s="12">
        <f t="shared" si="9"/>
        <v>0.94925742574257421</v>
      </c>
      <c r="G630" s="10">
        <v>352</v>
      </c>
      <c r="H630" s="15">
        <v>44928</v>
      </c>
      <c r="I630" s="15">
        <v>46296</v>
      </c>
      <c r="J630" s="9" t="s">
        <v>848</v>
      </c>
      <c r="K630" s="9" t="s">
        <v>930</v>
      </c>
      <c r="L630" s="2"/>
      <c r="M630" s="2"/>
      <c r="N630" s="2"/>
    </row>
    <row r="631" spans="1:14" x14ac:dyDescent="0.45">
      <c r="A631" s="4" t="s">
        <v>623</v>
      </c>
      <c r="B631" s="4" t="s">
        <v>847</v>
      </c>
      <c r="C631" s="4" t="s">
        <v>829</v>
      </c>
      <c r="D631" s="4" t="b">
        <f>FALSE()</f>
        <v>0</v>
      </c>
      <c r="E631" s="5">
        <v>82</v>
      </c>
      <c r="F631" s="7">
        <f t="shared" si="9"/>
        <v>5.0742574257425746E-2</v>
      </c>
      <c r="G631" s="5">
        <v>0</v>
      </c>
      <c r="H631" s="14">
        <v>44930</v>
      </c>
      <c r="I631" s="14">
        <v>45054</v>
      </c>
      <c r="J631" s="4" t="s">
        <v>850</v>
      </c>
      <c r="K631" s="4" t="s">
        <v>1349</v>
      </c>
      <c r="L631" s="2"/>
      <c r="M631" s="2"/>
      <c r="N631" s="2"/>
    </row>
    <row r="632" spans="1:14" x14ac:dyDescent="0.45">
      <c r="A632" s="9" t="s">
        <v>625</v>
      </c>
      <c r="B632" s="9" t="s">
        <v>847</v>
      </c>
      <c r="C632" s="9" t="s">
        <v>600</v>
      </c>
      <c r="D632" s="9" t="b">
        <f>TRUE()</f>
        <v>1</v>
      </c>
      <c r="E632" s="10">
        <v>1279</v>
      </c>
      <c r="F632" s="12">
        <f t="shared" si="9"/>
        <v>0.91553328561202574</v>
      </c>
      <c r="G632" s="10">
        <v>234</v>
      </c>
      <c r="H632" s="15">
        <v>44930</v>
      </c>
      <c r="I632" s="15">
        <v>46294</v>
      </c>
      <c r="J632" s="9" t="s">
        <v>848</v>
      </c>
      <c r="K632" s="9" t="s">
        <v>1403</v>
      </c>
      <c r="L632" s="2"/>
      <c r="M632" s="2"/>
      <c r="N632" s="2"/>
    </row>
    <row r="633" spans="1:14" x14ac:dyDescent="0.45">
      <c r="A633" s="4" t="s">
        <v>625</v>
      </c>
      <c r="B633" s="4" t="s">
        <v>847</v>
      </c>
      <c r="C633" s="4" t="s">
        <v>829</v>
      </c>
      <c r="D633" s="4" t="b">
        <f>FALSE()</f>
        <v>0</v>
      </c>
      <c r="E633" s="5">
        <v>118</v>
      </c>
      <c r="F633" s="7">
        <f t="shared" si="9"/>
        <v>8.4466714387974234E-2</v>
      </c>
      <c r="G633" s="5">
        <v>0</v>
      </c>
      <c r="H633" s="14">
        <v>44928</v>
      </c>
      <c r="I633" s="14">
        <v>45055</v>
      </c>
      <c r="J633" s="4" t="s">
        <v>850</v>
      </c>
      <c r="K633" s="4" t="s">
        <v>883</v>
      </c>
      <c r="L633" s="2"/>
      <c r="M633" s="2"/>
      <c r="N633" s="2"/>
    </row>
    <row r="634" spans="1:14" x14ac:dyDescent="0.45">
      <c r="A634" s="9" t="s">
        <v>626</v>
      </c>
      <c r="B634" s="9" t="s">
        <v>847</v>
      </c>
      <c r="C634" s="9" t="s">
        <v>600</v>
      </c>
      <c r="D634" s="9" t="b">
        <f>TRUE()</f>
        <v>1</v>
      </c>
      <c r="E634" s="10">
        <v>1323</v>
      </c>
      <c r="F634" s="12">
        <f t="shared" si="9"/>
        <v>0.98</v>
      </c>
      <c r="G634" s="10">
        <v>399</v>
      </c>
      <c r="H634" s="15">
        <v>44965</v>
      </c>
      <c r="I634" s="15">
        <v>46294</v>
      </c>
      <c r="J634" s="9" t="s">
        <v>848</v>
      </c>
      <c r="K634" s="9" t="s">
        <v>1404</v>
      </c>
      <c r="L634" s="2"/>
      <c r="M634" s="2"/>
      <c r="N634" s="2"/>
    </row>
    <row r="635" spans="1:14" x14ac:dyDescent="0.45">
      <c r="A635" s="4" t="s">
        <v>626</v>
      </c>
      <c r="B635" s="4" t="s">
        <v>847</v>
      </c>
      <c r="C635" s="4" t="s">
        <v>829</v>
      </c>
      <c r="D635" s="4" t="b">
        <f>FALSE()</f>
        <v>0</v>
      </c>
      <c r="E635" s="5">
        <v>27</v>
      </c>
      <c r="F635" s="7">
        <f t="shared" si="9"/>
        <v>0.02</v>
      </c>
      <c r="G635" s="5">
        <v>0</v>
      </c>
      <c r="H635" s="14">
        <v>44936</v>
      </c>
      <c r="I635" s="14">
        <v>45050</v>
      </c>
      <c r="J635" s="4" t="s">
        <v>850</v>
      </c>
      <c r="K635" s="4" t="s">
        <v>1405</v>
      </c>
      <c r="L635" s="2"/>
      <c r="M635" s="2"/>
      <c r="N635" s="2"/>
    </row>
    <row r="636" spans="1:14" x14ac:dyDescent="0.45">
      <c r="A636" s="9" t="s">
        <v>627</v>
      </c>
      <c r="B636" s="9" t="s">
        <v>847</v>
      </c>
      <c r="C636" s="9" t="s">
        <v>600</v>
      </c>
      <c r="D636" s="9" t="b">
        <f>TRUE()</f>
        <v>1</v>
      </c>
      <c r="E636" s="10">
        <v>1007</v>
      </c>
      <c r="F636" s="12">
        <f t="shared" si="9"/>
        <v>0.98822374877330721</v>
      </c>
      <c r="G636" s="10">
        <v>189</v>
      </c>
      <c r="H636" s="15">
        <v>44932</v>
      </c>
      <c r="I636" s="15">
        <v>46294</v>
      </c>
      <c r="J636" s="9" t="s">
        <v>848</v>
      </c>
      <c r="K636" s="9" t="s">
        <v>1406</v>
      </c>
      <c r="L636" s="2"/>
      <c r="M636" s="2"/>
      <c r="N636" s="2"/>
    </row>
    <row r="637" spans="1:14" x14ac:dyDescent="0.45">
      <c r="A637" s="4" t="s">
        <v>627</v>
      </c>
      <c r="B637" s="4" t="s">
        <v>847</v>
      </c>
      <c r="C637" s="4" t="s">
        <v>829</v>
      </c>
      <c r="D637" s="4" t="b">
        <f>FALSE()</f>
        <v>0</v>
      </c>
      <c r="E637" s="5">
        <v>12</v>
      </c>
      <c r="F637" s="7">
        <f t="shared" si="9"/>
        <v>1.1776251226692836E-2</v>
      </c>
      <c r="G637" s="5">
        <v>0</v>
      </c>
      <c r="H637" s="14">
        <v>44935</v>
      </c>
      <c r="I637" s="14">
        <v>45033</v>
      </c>
      <c r="J637" s="4" t="s">
        <v>850</v>
      </c>
      <c r="K637" s="4" t="s">
        <v>1407</v>
      </c>
      <c r="L637" s="2"/>
      <c r="M637" s="2"/>
      <c r="N637" s="2"/>
    </row>
    <row r="638" spans="1:14" x14ac:dyDescent="0.45">
      <c r="A638" s="9" t="s">
        <v>628</v>
      </c>
      <c r="B638" s="9" t="s">
        <v>847</v>
      </c>
      <c r="C638" s="9" t="s">
        <v>600</v>
      </c>
      <c r="D638" s="9" t="b">
        <f>TRUE()</f>
        <v>1</v>
      </c>
      <c r="E638" s="10">
        <v>900</v>
      </c>
      <c r="F638" s="12">
        <f t="shared" si="9"/>
        <v>0.88582677165354329</v>
      </c>
      <c r="G638" s="10">
        <v>197</v>
      </c>
      <c r="H638" s="15">
        <v>44952</v>
      </c>
      <c r="I638" s="15">
        <v>46296</v>
      </c>
      <c r="J638" s="9" t="s">
        <v>848</v>
      </c>
      <c r="K638" s="9" t="s">
        <v>1143</v>
      </c>
      <c r="L638" s="2"/>
      <c r="M638" s="2"/>
      <c r="N638" s="2"/>
    </row>
    <row r="639" spans="1:14" x14ac:dyDescent="0.45">
      <c r="A639" s="4" t="s">
        <v>628</v>
      </c>
      <c r="B639" s="4" t="s">
        <v>847</v>
      </c>
      <c r="C639" s="4" t="s">
        <v>829</v>
      </c>
      <c r="D639" s="4" t="b">
        <f>FALSE()</f>
        <v>0</v>
      </c>
      <c r="E639" s="5">
        <v>116</v>
      </c>
      <c r="F639" s="7">
        <f t="shared" si="9"/>
        <v>0.1141732283464567</v>
      </c>
      <c r="G639" s="5">
        <v>0</v>
      </c>
      <c r="H639" s="14">
        <v>44928</v>
      </c>
      <c r="I639" s="14">
        <v>45052</v>
      </c>
      <c r="J639" s="4" t="s">
        <v>850</v>
      </c>
      <c r="K639" s="4" t="s">
        <v>1408</v>
      </c>
      <c r="L639" s="2"/>
      <c r="M639" s="2"/>
      <c r="N639" s="2"/>
    </row>
    <row r="640" spans="1:14" x14ac:dyDescent="0.45">
      <c r="A640" s="9" t="s">
        <v>629</v>
      </c>
      <c r="B640" s="9" t="s">
        <v>847</v>
      </c>
      <c r="C640" s="9" t="s">
        <v>600</v>
      </c>
      <c r="D640" s="9" t="b">
        <f>TRUE()</f>
        <v>1</v>
      </c>
      <c r="E640" s="10">
        <v>651</v>
      </c>
      <c r="F640" s="12">
        <f t="shared" si="9"/>
        <v>0.66293279022403262</v>
      </c>
      <c r="G640" s="10">
        <v>0</v>
      </c>
      <c r="H640" s="15">
        <v>45055</v>
      </c>
      <c r="I640" s="15">
        <v>45392</v>
      </c>
      <c r="J640" s="9" t="s">
        <v>848</v>
      </c>
      <c r="K640" s="9" t="s">
        <v>1409</v>
      </c>
      <c r="L640" s="2"/>
      <c r="M640" s="2"/>
      <c r="N640" s="2"/>
    </row>
    <row r="641" spans="1:14" x14ac:dyDescent="0.45">
      <c r="A641" s="4" t="s">
        <v>629</v>
      </c>
      <c r="B641" s="4" t="s">
        <v>847</v>
      </c>
      <c r="C641" s="4" t="s">
        <v>829</v>
      </c>
      <c r="D641" s="4" t="b">
        <f>FALSE()</f>
        <v>0</v>
      </c>
      <c r="E641" s="5">
        <v>331</v>
      </c>
      <c r="F641" s="7">
        <f t="shared" si="9"/>
        <v>0.33706720977596744</v>
      </c>
      <c r="G641" s="5">
        <v>0</v>
      </c>
      <c r="H641" s="14">
        <v>44931</v>
      </c>
      <c r="I641" s="14">
        <v>45055</v>
      </c>
      <c r="J641" s="4" t="s">
        <v>850</v>
      </c>
      <c r="K641" s="4" t="s">
        <v>1410</v>
      </c>
      <c r="L641" s="2"/>
      <c r="M641" s="2"/>
      <c r="N641" s="2"/>
    </row>
    <row r="642" spans="1:14" x14ac:dyDescent="0.45">
      <c r="A642" s="9" t="s">
        <v>630</v>
      </c>
      <c r="B642" s="9" t="s">
        <v>847</v>
      </c>
      <c r="C642" s="9" t="s">
        <v>600</v>
      </c>
      <c r="D642" s="9" t="b">
        <f>TRUE()</f>
        <v>1</v>
      </c>
      <c r="E642" s="10">
        <v>880</v>
      </c>
      <c r="F642" s="12">
        <f t="shared" ref="F642:F705" si="10">E642/SUMIFS($E$2:$E$783,$A$2:$A$783,A642)</f>
        <v>0.94117647058823528</v>
      </c>
      <c r="G642" s="10">
        <v>149</v>
      </c>
      <c r="H642" s="15">
        <v>45015</v>
      </c>
      <c r="I642" s="15">
        <v>46296</v>
      </c>
      <c r="J642" s="9" t="s">
        <v>848</v>
      </c>
      <c r="K642" s="9" t="s">
        <v>1411</v>
      </c>
      <c r="L642" s="2"/>
      <c r="M642" s="2"/>
      <c r="N642" s="2"/>
    </row>
    <row r="643" spans="1:14" x14ac:dyDescent="0.45">
      <c r="A643" s="4" t="s">
        <v>630</v>
      </c>
      <c r="B643" s="4" t="s">
        <v>847</v>
      </c>
      <c r="C643" s="4" t="s">
        <v>829</v>
      </c>
      <c r="D643" s="4" t="b">
        <f>FALSE()</f>
        <v>0</v>
      </c>
      <c r="E643" s="5">
        <v>55</v>
      </c>
      <c r="F643" s="7">
        <f t="shared" si="10"/>
        <v>5.8823529411764705E-2</v>
      </c>
      <c r="G643" s="5">
        <v>0</v>
      </c>
      <c r="H643" s="14">
        <v>44931</v>
      </c>
      <c r="I643" s="14">
        <v>45043</v>
      </c>
      <c r="J643" s="4" t="s">
        <v>850</v>
      </c>
      <c r="K643" s="4" t="s">
        <v>1412</v>
      </c>
      <c r="L643" s="2"/>
      <c r="M643" s="2"/>
      <c r="N643" s="2"/>
    </row>
    <row r="644" spans="1:14" x14ac:dyDescent="0.45">
      <c r="A644" s="9" t="s">
        <v>631</v>
      </c>
      <c r="B644" s="9" t="s">
        <v>847</v>
      </c>
      <c r="C644" s="9" t="s">
        <v>600</v>
      </c>
      <c r="D644" s="9" t="b">
        <f>TRUE()</f>
        <v>1</v>
      </c>
      <c r="E644" s="10">
        <v>765</v>
      </c>
      <c r="F644" s="12">
        <f t="shared" si="10"/>
        <v>0.93179049939098657</v>
      </c>
      <c r="G644" s="10">
        <v>189</v>
      </c>
      <c r="H644" s="15">
        <v>44953</v>
      </c>
      <c r="I644" s="15">
        <v>46296</v>
      </c>
      <c r="J644" s="9" t="s">
        <v>848</v>
      </c>
      <c r="K644" s="9" t="s">
        <v>1413</v>
      </c>
      <c r="L644" s="2"/>
      <c r="M644" s="2"/>
      <c r="N644" s="2"/>
    </row>
    <row r="645" spans="1:14" x14ac:dyDescent="0.45">
      <c r="A645" s="4" t="s">
        <v>631</v>
      </c>
      <c r="B645" s="4" t="s">
        <v>847</v>
      </c>
      <c r="C645" s="4" t="s">
        <v>829</v>
      </c>
      <c r="D645" s="4" t="b">
        <f>FALSE()</f>
        <v>0</v>
      </c>
      <c r="E645" s="5">
        <v>56</v>
      </c>
      <c r="F645" s="7">
        <f t="shared" si="10"/>
        <v>6.8209500609013402E-2</v>
      </c>
      <c r="G645" s="5">
        <v>0</v>
      </c>
      <c r="H645" s="14">
        <v>44928</v>
      </c>
      <c r="I645" s="14">
        <v>45043</v>
      </c>
      <c r="J645" s="4" t="s">
        <v>850</v>
      </c>
      <c r="K645" s="4" t="s">
        <v>1414</v>
      </c>
      <c r="L645" s="2"/>
      <c r="M645" s="2"/>
      <c r="N645" s="2"/>
    </row>
    <row r="646" spans="1:14" x14ac:dyDescent="0.45">
      <c r="A646" s="9" t="s">
        <v>633</v>
      </c>
      <c r="B646" s="9" t="s">
        <v>847</v>
      </c>
      <c r="C646" s="9" t="s">
        <v>600</v>
      </c>
      <c r="D646" s="9" t="b">
        <f>TRUE()</f>
        <v>1</v>
      </c>
      <c r="E646" s="10">
        <v>562</v>
      </c>
      <c r="F646" s="12">
        <f t="shared" si="10"/>
        <v>0.9525423728813559</v>
      </c>
      <c r="G646" s="10">
        <v>0</v>
      </c>
      <c r="H646" s="15">
        <v>45016</v>
      </c>
      <c r="I646" s="15">
        <v>45912</v>
      </c>
      <c r="J646" s="9" t="s">
        <v>848</v>
      </c>
      <c r="K646" s="9" t="s">
        <v>1415</v>
      </c>
      <c r="L646" s="2"/>
      <c r="M646" s="2"/>
      <c r="N646" s="2"/>
    </row>
    <row r="647" spans="1:14" x14ac:dyDescent="0.45">
      <c r="A647" s="4" t="s">
        <v>633</v>
      </c>
      <c r="B647" s="4" t="s">
        <v>847</v>
      </c>
      <c r="C647" s="4" t="s">
        <v>829</v>
      </c>
      <c r="D647" s="4" t="b">
        <f>FALSE()</f>
        <v>0</v>
      </c>
      <c r="E647" s="5">
        <v>28</v>
      </c>
      <c r="F647" s="7">
        <f t="shared" si="10"/>
        <v>4.7457627118644069E-2</v>
      </c>
      <c r="G647" s="5">
        <v>0</v>
      </c>
      <c r="H647" s="14">
        <v>44929</v>
      </c>
      <c r="I647" s="14">
        <v>45045</v>
      </c>
      <c r="J647" s="4" t="s">
        <v>850</v>
      </c>
      <c r="K647" s="4" t="s">
        <v>1416</v>
      </c>
      <c r="L647" s="2"/>
      <c r="M647" s="2"/>
      <c r="N647" s="2"/>
    </row>
    <row r="648" spans="1:14" x14ac:dyDescent="0.45">
      <c r="A648" s="9" t="s">
        <v>635</v>
      </c>
      <c r="B648" s="9" t="s">
        <v>847</v>
      </c>
      <c r="C648" s="9" t="s">
        <v>600</v>
      </c>
      <c r="D648" s="9" t="b">
        <f>TRUE()</f>
        <v>1</v>
      </c>
      <c r="E648" s="10">
        <v>483</v>
      </c>
      <c r="F648" s="12">
        <f t="shared" si="10"/>
        <v>0.94705882352941173</v>
      </c>
      <c r="G648" s="10">
        <v>111</v>
      </c>
      <c r="H648" s="15">
        <v>45021</v>
      </c>
      <c r="I648" s="15">
        <v>46294</v>
      </c>
      <c r="J648" s="9" t="s">
        <v>848</v>
      </c>
      <c r="K648" s="9" t="s">
        <v>1417</v>
      </c>
      <c r="L648" s="2"/>
      <c r="M648" s="2"/>
      <c r="N648" s="2"/>
    </row>
    <row r="649" spans="1:14" x14ac:dyDescent="0.45">
      <c r="A649" s="4" t="s">
        <v>635</v>
      </c>
      <c r="B649" s="4" t="s">
        <v>847</v>
      </c>
      <c r="C649" s="4" t="s">
        <v>829</v>
      </c>
      <c r="D649" s="4" t="b">
        <f>FALSE()</f>
        <v>0</v>
      </c>
      <c r="E649" s="5">
        <v>27</v>
      </c>
      <c r="F649" s="7">
        <f t="shared" si="10"/>
        <v>5.2941176470588235E-2</v>
      </c>
      <c r="G649" s="5">
        <v>0</v>
      </c>
      <c r="H649" s="14">
        <v>44937</v>
      </c>
      <c r="I649" s="14">
        <v>45050</v>
      </c>
      <c r="J649" s="4" t="s">
        <v>850</v>
      </c>
      <c r="K649" s="4" t="s">
        <v>1418</v>
      </c>
      <c r="L649" s="2"/>
      <c r="M649" s="2"/>
      <c r="N649" s="2"/>
    </row>
    <row r="650" spans="1:14" x14ac:dyDescent="0.45">
      <c r="A650" s="9" t="s">
        <v>639</v>
      </c>
      <c r="B650" s="9" t="s">
        <v>847</v>
      </c>
      <c r="C650" s="9" t="s">
        <v>600</v>
      </c>
      <c r="D650" s="9" t="b">
        <f>TRUE()</f>
        <v>1</v>
      </c>
      <c r="E650" s="10">
        <v>332</v>
      </c>
      <c r="F650" s="12">
        <f t="shared" si="10"/>
        <v>0.90958904109589045</v>
      </c>
      <c r="G650" s="10">
        <v>62</v>
      </c>
      <c r="H650" s="15">
        <v>44998</v>
      </c>
      <c r="I650" s="15">
        <v>46273</v>
      </c>
      <c r="J650" s="9" t="s">
        <v>848</v>
      </c>
      <c r="K650" s="9" t="s">
        <v>1419</v>
      </c>
      <c r="L650" s="2"/>
      <c r="M650" s="2"/>
      <c r="N650" s="2"/>
    </row>
    <row r="651" spans="1:14" x14ac:dyDescent="0.45">
      <c r="A651" s="4" t="s">
        <v>639</v>
      </c>
      <c r="B651" s="4" t="s">
        <v>847</v>
      </c>
      <c r="C651" s="4" t="s">
        <v>829</v>
      </c>
      <c r="D651" s="4" t="b">
        <f>FALSE()</f>
        <v>0</v>
      </c>
      <c r="E651" s="5">
        <v>33</v>
      </c>
      <c r="F651" s="7">
        <f t="shared" si="10"/>
        <v>9.0410958904109592E-2</v>
      </c>
      <c r="G651" s="5">
        <v>0</v>
      </c>
      <c r="H651" s="14">
        <v>44930</v>
      </c>
      <c r="I651" s="14">
        <v>45051</v>
      </c>
      <c r="J651" s="4" t="s">
        <v>850</v>
      </c>
      <c r="K651" s="4" t="s">
        <v>1420</v>
      </c>
      <c r="L651" s="2"/>
      <c r="M651" s="2"/>
      <c r="N651" s="2"/>
    </row>
    <row r="652" spans="1:14" x14ac:dyDescent="0.45">
      <c r="A652" s="9" t="s">
        <v>640</v>
      </c>
      <c r="B652" s="9" t="s">
        <v>847</v>
      </c>
      <c r="C652" s="9" t="s">
        <v>600</v>
      </c>
      <c r="D652" s="9" t="b">
        <f>TRUE()</f>
        <v>1</v>
      </c>
      <c r="E652" s="10">
        <v>344</v>
      </c>
      <c r="F652" s="12">
        <f t="shared" si="10"/>
        <v>0.95290858725761773</v>
      </c>
      <c r="G652" s="10">
        <v>116</v>
      </c>
      <c r="H652" s="15">
        <v>45062</v>
      </c>
      <c r="I652" s="15">
        <v>46290</v>
      </c>
      <c r="J652" s="9" t="s">
        <v>848</v>
      </c>
      <c r="K652" s="9" t="s">
        <v>1421</v>
      </c>
      <c r="L652" s="2"/>
      <c r="M652" s="2"/>
      <c r="N652" s="2"/>
    </row>
    <row r="653" spans="1:14" x14ac:dyDescent="0.45">
      <c r="A653" s="4" t="s">
        <v>640</v>
      </c>
      <c r="B653" s="4" t="s">
        <v>847</v>
      </c>
      <c r="C653" s="4" t="s">
        <v>829</v>
      </c>
      <c r="D653" s="4" t="b">
        <f>FALSE()</f>
        <v>0</v>
      </c>
      <c r="E653" s="5">
        <v>17</v>
      </c>
      <c r="F653" s="7">
        <f t="shared" si="10"/>
        <v>4.7091412742382273E-2</v>
      </c>
      <c r="G653" s="5">
        <v>0</v>
      </c>
      <c r="H653" s="14">
        <v>44939</v>
      </c>
      <c r="I653" s="14">
        <v>45050</v>
      </c>
      <c r="J653" s="4" t="s">
        <v>850</v>
      </c>
      <c r="K653" s="4" t="s">
        <v>1422</v>
      </c>
      <c r="L653" s="2"/>
      <c r="M653" s="2"/>
      <c r="N653" s="2"/>
    </row>
    <row r="654" spans="1:14" x14ac:dyDescent="0.45">
      <c r="A654" s="9" t="s">
        <v>641</v>
      </c>
      <c r="B654" s="9" t="s">
        <v>847</v>
      </c>
      <c r="C654" s="9" t="s">
        <v>600</v>
      </c>
      <c r="D654" s="9" t="b">
        <f>TRUE()</f>
        <v>1</v>
      </c>
      <c r="E654" s="10">
        <v>232</v>
      </c>
      <c r="F654" s="12">
        <f t="shared" si="10"/>
        <v>0.87547169811320757</v>
      </c>
      <c r="G654" s="10">
        <v>45</v>
      </c>
      <c r="H654" s="15">
        <v>45051</v>
      </c>
      <c r="I654" s="15">
        <v>46275</v>
      </c>
      <c r="J654" s="9" t="s">
        <v>848</v>
      </c>
      <c r="K654" s="9" t="s">
        <v>1423</v>
      </c>
      <c r="L654" s="2"/>
      <c r="M654" s="2"/>
      <c r="N654" s="2"/>
    </row>
    <row r="655" spans="1:14" x14ac:dyDescent="0.45">
      <c r="A655" s="4" t="s">
        <v>641</v>
      </c>
      <c r="B655" s="4" t="s">
        <v>847</v>
      </c>
      <c r="C655" s="4" t="s">
        <v>829</v>
      </c>
      <c r="D655" s="4" t="b">
        <f>FALSE()</f>
        <v>0</v>
      </c>
      <c r="E655" s="5">
        <v>33</v>
      </c>
      <c r="F655" s="7">
        <f t="shared" si="10"/>
        <v>0.12452830188679245</v>
      </c>
      <c r="G655" s="5">
        <v>0</v>
      </c>
      <c r="H655" s="14">
        <v>44935</v>
      </c>
      <c r="I655" s="14">
        <v>45052</v>
      </c>
      <c r="J655" s="4" t="s">
        <v>850</v>
      </c>
      <c r="K655" s="4" t="s">
        <v>1424</v>
      </c>
      <c r="L655" s="2"/>
      <c r="M655" s="2"/>
      <c r="N655" s="2"/>
    </row>
    <row r="656" spans="1:14" x14ac:dyDescent="0.45">
      <c r="A656" s="9" t="s">
        <v>644</v>
      </c>
      <c r="B656" s="9" t="s">
        <v>847</v>
      </c>
      <c r="C656" s="9" t="s">
        <v>600</v>
      </c>
      <c r="D656" s="9" t="b">
        <f>TRUE()</f>
        <v>1</v>
      </c>
      <c r="E656" s="10">
        <v>205</v>
      </c>
      <c r="F656" s="12">
        <f t="shared" si="10"/>
        <v>0.96244131455399062</v>
      </c>
      <c r="G656" s="10">
        <v>75</v>
      </c>
      <c r="H656" s="15">
        <v>45046</v>
      </c>
      <c r="I656" s="15">
        <v>46296</v>
      </c>
      <c r="J656" s="9" t="s">
        <v>848</v>
      </c>
      <c r="K656" s="9" t="s">
        <v>1425</v>
      </c>
      <c r="L656" s="2"/>
      <c r="M656" s="2"/>
      <c r="N656" s="2"/>
    </row>
    <row r="657" spans="1:14" x14ac:dyDescent="0.45">
      <c r="A657" s="4" t="s">
        <v>644</v>
      </c>
      <c r="B657" s="4" t="s">
        <v>847</v>
      </c>
      <c r="C657" s="4" t="s">
        <v>829</v>
      </c>
      <c r="D657" s="4" t="b">
        <f>FALSE()</f>
        <v>0</v>
      </c>
      <c r="E657" s="5">
        <v>8</v>
      </c>
      <c r="F657" s="7">
        <f t="shared" si="10"/>
        <v>3.7558685446009391E-2</v>
      </c>
      <c r="G657" s="5">
        <v>0</v>
      </c>
      <c r="H657" s="14">
        <v>44944</v>
      </c>
      <c r="I657" s="14">
        <v>45049</v>
      </c>
      <c r="J657" s="4" t="s">
        <v>850</v>
      </c>
      <c r="K657" s="4" t="s">
        <v>1426</v>
      </c>
      <c r="L657" s="2"/>
      <c r="M657" s="2"/>
      <c r="N657" s="2"/>
    </row>
    <row r="658" spans="1:14" x14ac:dyDescent="0.45">
      <c r="A658" s="9" t="s">
        <v>645</v>
      </c>
      <c r="B658" s="9" t="s">
        <v>847</v>
      </c>
      <c r="C658" s="9" t="s">
        <v>600</v>
      </c>
      <c r="D658" s="9" t="b">
        <f>TRUE()</f>
        <v>1</v>
      </c>
      <c r="E658" s="10">
        <v>144</v>
      </c>
      <c r="F658" s="12">
        <f t="shared" si="10"/>
        <v>0.83236994219653182</v>
      </c>
      <c r="G658" s="10">
        <v>0</v>
      </c>
      <c r="H658" s="15">
        <v>44959</v>
      </c>
      <c r="I658" s="15">
        <v>45769</v>
      </c>
      <c r="J658" s="9" t="s">
        <v>848</v>
      </c>
      <c r="K658" s="9" t="s">
        <v>1427</v>
      </c>
      <c r="L658" s="2"/>
      <c r="M658" s="2"/>
      <c r="N658" s="2"/>
    </row>
    <row r="659" spans="1:14" x14ac:dyDescent="0.45">
      <c r="A659" s="4" t="s">
        <v>645</v>
      </c>
      <c r="B659" s="4" t="s">
        <v>847</v>
      </c>
      <c r="C659" s="4" t="s">
        <v>829</v>
      </c>
      <c r="D659" s="4" t="b">
        <f>FALSE()</f>
        <v>0</v>
      </c>
      <c r="E659" s="5">
        <v>29</v>
      </c>
      <c r="F659" s="7">
        <f t="shared" si="10"/>
        <v>0.16763005780346821</v>
      </c>
      <c r="G659" s="5">
        <v>0</v>
      </c>
      <c r="H659" s="14">
        <v>44931</v>
      </c>
      <c r="I659" s="14">
        <v>45034</v>
      </c>
      <c r="J659" s="4" t="s">
        <v>850</v>
      </c>
      <c r="K659" s="4" t="s">
        <v>1428</v>
      </c>
      <c r="L659" s="2"/>
      <c r="M659" s="2"/>
      <c r="N659" s="2"/>
    </row>
    <row r="660" spans="1:14" x14ac:dyDescent="0.45">
      <c r="A660" s="9" t="s">
        <v>646</v>
      </c>
      <c r="B660" s="9" t="s">
        <v>847</v>
      </c>
      <c r="C660" s="9" t="s">
        <v>600</v>
      </c>
      <c r="D660" s="9" t="b">
        <f>TRUE()</f>
        <v>1</v>
      </c>
      <c r="E660" s="10">
        <v>161</v>
      </c>
      <c r="F660" s="12">
        <f t="shared" si="10"/>
        <v>0.99382716049382713</v>
      </c>
      <c r="G660" s="10">
        <v>45</v>
      </c>
      <c r="H660" s="15">
        <v>45014</v>
      </c>
      <c r="I660" s="15">
        <v>46295</v>
      </c>
      <c r="J660" s="9" t="s">
        <v>848</v>
      </c>
      <c r="K660" s="9" t="s">
        <v>1429</v>
      </c>
      <c r="L660" s="2"/>
      <c r="M660" s="2"/>
      <c r="N660" s="2"/>
    </row>
    <row r="661" spans="1:14" x14ac:dyDescent="0.45">
      <c r="A661" s="4" t="s">
        <v>646</v>
      </c>
      <c r="B661" s="4" t="s">
        <v>847</v>
      </c>
      <c r="C661" s="4" t="s">
        <v>829</v>
      </c>
      <c r="D661" s="4" t="b">
        <f>FALSE()</f>
        <v>0</v>
      </c>
      <c r="E661" s="5">
        <v>1</v>
      </c>
      <c r="F661" s="7">
        <f t="shared" si="10"/>
        <v>6.1728395061728392E-3</v>
      </c>
      <c r="G661" s="5">
        <v>0</v>
      </c>
      <c r="H661" s="14">
        <v>45048</v>
      </c>
      <c r="I661" s="14">
        <v>45048</v>
      </c>
      <c r="J661" s="4" t="s">
        <v>850</v>
      </c>
      <c r="K661" s="4" t="s">
        <v>1430</v>
      </c>
      <c r="L661" s="2"/>
      <c r="M661" s="2"/>
      <c r="N661" s="2"/>
    </row>
    <row r="662" spans="1:14" x14ac:dyDescent="0.45">
      <c r="A662" s="9" t="s">
        <v>647</v>
      </c>
      <c r="B662" s="9" t="s">
        <v>847</v>
      </c>
      <c r="C662" s="9" t="s">
        <v>600</v>
      </c>
      <c r="D662" s="9" t="b">
        <f>TRUE()</f>
        <v>1</v>
      </c>
      <c r="E662" s="10">
        <v>108</v>
      </c>
      <c r="F662" s="12">
        <f t="shared" si="10"/>
        <v>0.9</v>
      </c>
      <c r="G662" s="10">
        <v>0</v>
      </c>
      <c r="H662" s="15">
        <v>45057</v>
      </c>
      <c r="I662" s="15">
        <v>45773</v>
      </c>
      <c r="J662" s="9" t="s">
        <v>848</v>
      </c>
      <c r="K662" s="9" t="s">
        <v>1431</v>
      </c>
      <c r="L662" s="2"/>
      <c r="M662" s="2"/>
      <c r="N662" s="2"/>
    </row>
    <row r="663" spans="1:14" x14ac:dyDescent="0.45">
      <c r="A663" s="4" t="s">
        <v>647</v>
      </c>
      <c r="B663" s="4" t="s">
        <v>847</v>
      </c>
      <c r="C663" s="4" t="s">
        <v>829</v>
      </c>
      <c r="D663" s="4" t="b">
        <f>FALSE()</f>
        <v>0</v>
      </c>
      <c r="E663" s="5">
        <v>12</v>
      </c>
      <c r="F663" s="7">
        <f t="shared" si="10"/>
        <v>0.1</v>
      </c>
      <c r="G663" s="5">
        <v>0</v>
      </c>
      <c r="H663" s="14">
        <v>44942</v>
      </c>
      <c r="I663" s="14">
        <v>45054</v>
      </c>
      <c r="J663" s="4" t="s">
        <v>850</v>
      </c>
      <c r="K663" s="4" t="s">
        <v>1432</v>
      </c>
      <c r="L663" s="2"/>
      <c r="M663" s="2"/>
      <c r="N663" s="2"/>
    </row>
    <row r="664" spans="1:14" x14ac:dyDescent="0.45">
      <c r="A664" s="9" t="s">
        <v>652</v>
      </c>
      <c r="B664" s="9" t="s">
        <v>847</v>
      </c>
      <c r="C664" s="9" t="s">
        <v>653</v>
      </c>
      <c r="D664" s="9" t="b">
        <f>TRUE()</f>
        <v>1</v>
      </c>
      <c r="E664" s="10">
        <v>3438</v>
      </c>
      <c r="F664" s="12">
        <f t="shared" si="10"/>
        <v>0.83853658536585363</v>
      </c>
      <c r="G664" s="10">
        <v>939</v>
      </c>
      <c r="H664" s="15">
        <v>44935</v>
      </c>
      <c r="I664" s="15">
        <v>46296</v>
      </c>
      <c r="J664" s="9" t="s">
        <v>848</v>
      </c>
      <c r="K664" s="9" t="s">
        <v>933</v>
      </c>
      <c r="L664" s="2"/>
      <c r="M664" s="2"/>
      <c r="N664" s="2"/>
    </row>
    <row r="665" spans="1:14" x14ac:dyDescent="0.45">
      <c r="A665" s="4" t="s">
        <v>652</v>
      </c>
      <c r="B665" s="4" t="s">
        <v>847</v>
      </c>
      <c r="C665" s="4" t="s">
        <v>1433</v>
      </c>
      <c r="D665" s="4" t="b">
        <f>FALSE()</f>
        <v>0</v>
      </c>
      <c r="E665" s="5">
        <v>662</v>
      </c>
      <c r="F665" s="7">
        <f t="shared" si="10"/>
        <v>0.16146341463414635</v>
      </c>
      <c r="G665" s="5">
        <v>0</v>
      </c>
      <c r="H665" s="14">
        <v>44928</v>
      </c>
      <c r="I665" s="14">
        <v>45244</v>
      </c>
      <c r="J665" s="4" t="s">
        <v>850</v>
      </c>
      <c r="K665" s="4" t="s">
        <v>1434</v>
      </c>
      <c r="L665" s="2"/>
      <c r="M665" s="2"/>
      <c r="N665" s="2"/>
    </row>
    <row r="666" spans="1:14" x14ac:dyDescent="0.45">
      <c r="A666" s="9" t="s">
        <v>654</v>
      </c>
      <c r="B666" s="9" t="s">
        <v>847</v>
      </c>
      <c r="C666" s="9" t="s">
        <v>653</v>
      </c>
      <c r="D666" s="9" t="b">
        <f>TRUE()</f>
        <v>1</v>
      </c>
      <c r="E666" s="10">
        <v>1906</v>
      </c>
      <c r="F666" s="12">
        <f t="shared" si="10"/>
        <v>0.86400725294650949</v>
      </c>
      <c r="G666" s="10">
        <v>421</v>
      </c>
      <c r="H666" s="15">
        <v>44946</v>
      </c>
      <c r="I666" s="15">
        <v>46296</v>
      </c>
      <c r="J666" s="9" t="s">
        <v>848</v>
      </c>
      <c r="K666" s="9" t="s">
        <v>1435</v>
      </c>
      <c r="L666" s="2"/>
      <c r="M666" s="2"/>
      <c r="N666" s="2"/>
    </row>
    <row r="667" spans="1:14" x14ac:dyDescent="0.45">
      <c r="A667" s="4" t="s">
        <v>654</v>
      </c>
      <c r="B667" s="4" t="s">
        <v>847</v>
      </c>
      <c r="C667" s="4" t="s">
        <v>1433</v>
      </c>
      <c r="D667" s="4" t="b">
        <f>FALSE()</f>
        <v>0</v>
      </c>
      <c r="E667" s="5">
        <v>300</v>
      </c>
      <c r="F667" s="7">
        <f t="shared" si="10"/>
        <v>0.13599274705349049</v>
      </c>
      <c r="G667" s="5">
        <v>0</v>
      </c>
      <c r="H667" s="14">
        <v>44930</v>
      </c>
      <c r="I667" s="14">
        <v>45240</v>
      </c>
      <c r="J667" s="4" t="s">
        <v>850</v>
      </c>
      <c r="K667" s="4" t="s">
        <v>1436</v>
      </c>
      <c r="L667" s="2"/>
      <c r="M667" s="2"/>
      <c r="N667" s="2"/>
    </row>
    <row r="668" spans="1:14" x14ac:dyDescent="0.45">
      <c r="A668" s="9" t="s">
        <v>655</v>
      </c>
      <c r="B668" s="9" t="s">
        <v>847</v>
      </c>
      <c r="C668" s="9" t="s">
        <v>653</v>
      </c>
      <c r="D668" s="9" t="b">
        <f>TRUE()</f>
        <v>1</v>
      </c>
      <c r="E668" s="10">
        <v>1337</v>
      </c>
      <c r="F668" s="12">
        <f t="shared" si="10"/>
        <v>0.83406113537117899</v>
      </c>
      <c r="G668" s="10">
        <v>376</v>
      </c>
      <c r="H668" s="15">
        <v>45070</v>
      </c>
      <c r="I668" s="15">
        <v>46294</v>
      </c>
      <c r="J668" s="9" t="s">
        <v>848</v>
      </c>
      <c r="K668" s="9" t="s">
        <v>1437</v>
      </c>
      <c r="L668" s="2"/>
      <c r="M668" s="2"/>
      <c r="N668" s="2"/>
    </row>
    <row r="669" spans="1:14" x14ac:dyDescent="0.45">
      <c r="A669" s="4" t="s">
        <v>655</v>
      </c>
      <c r="B669" s="4" t="s">
        <v>847</v>
      </c>
      <c r="C669" s="4" t="s">
        <v>1433</v>
      </c>
      <c r="D669" s="4" t="b">
        <f>FALSE()</f>
        <v>0</v>
      </c>
      <c r="E669" s="5">
        <v>266</v>
      </c>
      <c r="F669" s="7">
        <f t="shared" si="10"/>
        <v>0.16593886462882096</v>
      </c>
      <c r="G669" s="5">
        <v>0</v>
      </c>
      <c r="H669" s="14">
        <v>44929</v>
      </c>
      <c r="I669" s="14">
        <v>45244</v>
      </c>
      <c r="J669" s="4" t="s">
        <v>850</v>
      </c>
      <c r="K669" s="4" t="s">
        <v>1438</v>
      </c>
      <c r="L669" s="2"/>
      <c r="M669" s="2"/>
      <c r="N669" s="2"/>
    </row>
    <row r="670" spans="1:14" x14ac:dyDescent="0.45">
      <c r="A670" s="9" t="s">
        <v>661</v>
      </c>
      <c r="B670" s="9" t="s">
        <v>847</v>
      </c>
      <c r="C670" s="9" t="s">
        <v>662</v>
      </c>
      <c r="D670" s="9" t="b">
        <f>TRUE()</f>
        <v>1</v>
      </c>
      <c r="E670" s="10">
        <v>12882</v>
      </c>
      <c r="F670" s="12">
        <f t="shared" si="10"/>
        <v>0.84850480832564878</v>
      </c>
      <c r="G670" s="10">
        <v>3546</v>
      </c>
      <c r="H670" s="15">
        <v>44937</v>
      </c>
      <c r="I670" s="15">
        <v>46296</v>
      </c>
      <c r="J670" s="9" t="s">
        <v>848</v>
      </c>
      <c r="K670" s="9" t="s">
        <v>1220</v>
      </c>
      <c r="L670" s="2"/>
      <c r="M670" s="2"/>
      <c r="N670" s="2"/>
    </row>
    <row r="671" spans="1:14" x14ac:dyDescent="0.45">
      <c r="A671" s="4" t="s">
        <v>661</v>
      </c>
      <c r="B671" s="4" t="s">
        <v>847</v>
      </c>
      <c r="C671" s="4" t="s">
        <v>1439</v>
      </c>
      <c r="D671" s="4" t="b">
        <f>FALSE()</f>
        <v>0</v>
      </c>
      <c r="E671" s="5">
        <v>2300</v>
      </c>
      <c r="F671" s="7">
        <f t="shared" si="10"/>
        <v>0.15149519167435122</v>
      </c>
      <c r="G671" s="5">
        <v>0</v>
      </c>
      <c r="H671" s="14">
        <v>44928</v>
      </c>
      <c r="I671" s="14">
        <v>45163</v>
      </c>
      <c r="J671" s="4" t="s">
        <v>850</v>
      </c>
      <c r="K671" s="4" t="s">
        <v>1440</v>
      </c>
      <c r="L671" s="2"/>
      <c r="M671" s="2"/>
      <c r="N671" s="2"/>
    </row>
    <row r="672" spans="1:14" x14ac:dyDescent="0.45">
      <c r="A672" s="9" t="s">
        <v>668</v>
      </c>
      <c r="B672" s="9" t="s">
        <v>847</v>
      </c>
      <c r="C672" s="9" t="s">
        <v>669</v>
      </c>
      <c r="D672" s="9" t="b">
        <f>TRUE()</f>
        <v>1</v>
      </c>
      <c r="E672" s="10">
        <v>2153</v>
      </c>
      <c r="F672" s="12">
        <f t="shared" si="10"/>
        <v>0.53450844091360472</v>
      </c>
      <c r="G672" s="10">
        <v>0</v>
      </c>
      <c r="H672" s="15">
        <v>44928</v>
      </c>
      <c r="I672" s="15">
        <v>45055</v>
      </c>
      <c r="J672" s="9" t="s">
        <v>848</v>
      </c>
      <c r="K672" s="9" t="s">
        <v>901</v>
      </c>
      <c r="L672" s="2"/>
      <c r="M672" s="2"/>
      <c r="N672" s="2"/>
    </row>
    <row r="673" spans="1:14" x14ac:dyDescent="0.45">
      <c r="A673" s="4" t="s">
        <v>668</v>
      </c>
      <c r="B673" s="4" t="s">
        <v>847</v>
      </c>
      <c r="C673" s="4" t="s">
        <v>708</v>
      </c>
      <c r="D673" s="4" t="b">
        <f>FALSE()</f>
        <v>0</v>
      </c>
      <c r="E673" s="5">
        <v>1875</v>
      </c>
      <c r="F673" s="7">
        <f t="shared" si="10"/>
        <v>0.46549155908639522</v>
      </c>
      <c r="G673" s="5">
        <v>0</v>
      </c>
      <c r="H673" s="14">
        <v>45014</v>
      </c>
      <c r="I673" s="14">
        <v>45174</v>
      </c>
      <c r="J673" s="4" t="s">
        <v>853</v>
      </c>
      <c r="K673" s="4" t="s">
        <v>1441</v>
      </c>
      <c r="L673" s="2"/>
      <c r="M673" s="2"/>
      <c r="N673" s="2"/>
    </row>
    <row r="674" spans="1:14" x14ac:dyDescent="0.45">
      <c r="A674" s="9" t="s">
        <v>670</v>
      </c>
      <c r="B674" s="9" t="s">
        <v>847</v>
      </c>
      <c r="C674" s="9" t="s">
        <v>669</v>
      </c>
      <c r="D674" s="9" t="b">
        <f>TRUE()</f>
        <v>1</v>
      </c>
      <c r="E674" s="10">
        <v>1892</v>
      </c>
      <c r="F674" s="12">
        <f t="shared" si="10"/>
        <v>0.61910994764397909</v>
      </c>
      <c r="G674" s="10">
        <v>0</v>
      </c>
      <c r="H674" s="15">
        <v>44928</v>
      </c>
      <c r="I674" s="15">
        <v>45055</v>
      </c>
      <c r="J674" s="9" t="s">
        <v>848</v>
      </c>
      <c r="K674" s="9" t="s">
        <v>901</v>
      </c>
      <c r="L674" s="2"/>
      <c r="M674" s="2"/>
      <c r="N674" s="2"/>
    </row>
    <row r="675" spans="1:14" x14ac:dyDescent="0.45">
      <c r="A675" s="4" t="s">
        <v>670</v>
      </c>
      <c r="B675" s="4" t="s">
        <v>847</v>
      </c>
      <c r="C675" s="4" t="s">
        <v>708</v>
      </c>
      <c r="D675" s="4" t="b">
        <f>FALSE()</f>
        <v>0</v>
      </c>
      <c r="E675" s="5">
        <v>1164</v>
      </c>
      <c r="F675" s="7">
        <f t="shared" si="10"/>
        <v>0.38089005235602097</v>
      </c>
      <c r="G675" s="5">
        <v>0</v>
      </c>
      <c r="H675" s="14">
        <v>45043</v>
      </c>
      <c r="I675" s="14">
        <v>45174</v>
      </c>
      <c r="J675" s="4" t="s">
        <v>853</v>
      </c>
      <c r="K675" s="4" t="s">
        <v>1442</v>
      </c>
      <c r="L675" s="2"/>
      <c r="M675" s="2"/>
      <c r="N675" s="2"/>
    </row>
    <row r="676" spans="1:14" x14ac:dyDescent="0.45">
      <c r="A676" s="9" t="s">
        <v>671</v>
      </c>
      <c r="B676" s="9" t="s">
        <v>847</v>
      </c>
      <c r="C676" s="9" t="s">
        <v>669</v>
      </c>
      <c r="D676" s="9" t="b">
        <f>TRUE()</f>
        <v>1</v>
      </c>
      <c r="E676" s="10">
        <v>833</v>
      </c>
      <c r="F676" s="12">
        <f t="shared" si="10"/>
        <v>0.60758570386579136</v>
      </c>
      <c r="G676" s="10">
        <v>0</v>
      </c>
      <c r="H676" s="15">
        <v>44929</v>
      </c>
      <c r="I676" s="15">
        <v>45055</v>
      </c>
      <c r="J676" s="9" t="s">
        <v>848</v>
      </c>
      <c r="K676" s="9" t="s">
        <v>1443</v>
      </c>
      <c r="L676" s="2"/>
      <c r="M676" s="2"/>
      <c r="N676" s="2"/>
    </row>
    <row r="677" spans="1:14" x14ac:dyDescent="0.45">
      <c r="A677" s="4" t="s">
        <v>671</v>
      </c>
      <c r="B677" s="4" t="s">
        <v>847</v>
      </c>
      <c r="C677" s="4" t="s">
        <v>708</v>
      </c>
      <c r="D677" s="4" t="b">
        <f>FALSE()</f>
        <v>0</v>
      </c>
      <c r="E677" s="5">
        <v>538</v>
      </c>
      <c r="F677" s="7">
        <f t="shared" si="10"/>
        <v>0.39241429613420858</v>
      </c>
      <c r="G677" s="5">
        <v>0</v>
      </c>
      <c r="H677" s="14">
        <v>44974</v>
      </c>
      <c r="I677" s="14">
        <v>45174</v>
      </c>
      <c r="J677" s="4" t="s">
        <v>853</v>
      </c>
      <c r="K677" s="4" t="s">
        <v>1444</v>
      </c>
      <c r="L677" s="2"/>
      <c r="M677" s="2"/>
      <c r="N677" s="2"/>
    </row>
    <row r="678" spans="1:14" x14ac:dyDescent="0.45">
      <c r="A678" s="9" t="s">
        <v>672</v>
      </c>
      <c r="B678" s="9" t="s">
        <v>847</v>
      </c>
      <c r="C678" s="9" t="s">
        <v>669</v>
      </c>
      <c r="D678" s="9" t="b">
        <f>TRUE()</f>
        <v>1</v>
      </c>
      <c r="E678" s="10">
        <v>787</v>
      </c>
      <c r="F678" s="12">
        <f t="shared" si="10"/>
        <v>0.81134020618556701</v>
      </c>
      <c r="G678" s="10">
        <v>0</v>
      </c>
      <c r="H678" s="15">
        <v>44928</v>
      </c>
      <c r="I678" s="15">
        <v>45055</v>
      </c>
      <c r="J678" s="9" t="s">
        <v>848</v>
      </c>
      <c r="K678" s="9" t="s">
        <v>901</v>
      </c>
      <c r="L678" s="2"/>
      <c r="M678" s="2"/>
      <c r="N678" s="2"/>
    </row>
    <row r="679" spans="1:14" x14ac:dyDescent="0.45">
      <c r="A679" s="4" t="s">
        <v>672</v>
      </c>
      <c r="B679" s="4" t="s">
        <v>847</v>
      </c>
      <c r="C679" s="4" t="s">
        <v>708</v>
      </c>
      <c r="D679" s="4" t="b">
        <f>FALSE()</f>
        <v>0</v>
      </c>
      <c r="E679" s="5">
        <v>183</v>
      </c>
      <c r="F679" s="7">
        <f t="shared" si="10"/>
        <v>0.18865979381443299</v>
      </c>
      <c r="G679" s="5">
        <v>0</v>
      </c>
      <c r="H679" s="14">
        <v>44992</v>
      </c>
      <c r="I679" s="14">
        <v>45069</v>
      </c>
      <c r="J679" s="4" t="s">
        <v>853</v>
      </c>
      <c r="K679" s="4" t="s">
        <v>1445</v>
      </c>
      <c r="L679" s="2"/>
      <c r="M679" s="2"/>
      <c r="N679" s="2"/>
    </row>
    <row r="680" spans="1:14" x14ac:dyDescent="0.45">
      <c r="A680" s="9" t="s">
        <v>673</v>
      </c>
      <c r="B680" s="9" t="s">
        <v>847</v>
      </c>
      <c r="C680" s="9" t="s">
        <v>669</v>
      </c>
      <c r="D680" s="9" t="b">
        <f>TRUE()</f>
        <v>1</v>
      </c>
      <c r="E680" s="10">
        <v>80</v>
      </c>
      <c r="F680" s="12">
        <f t="shared" si="10"/>
        <v>0.60606060606060608</v>
      </c>
      <c r="G680" s="10">
        <v>0</v>
      </c>
      <c r="H680" s="15">
        <v>44928</v>
      </c>
      <c r="I680" s="15">
        <v>45054</v>
      </c>
      <c r="J680" s="9" t="s">
        <v>848</v>
      </c>
      <c r="K680" s="9" t="s">
        <v>1446</v>
      </c>
      <c r="L680" s="2"/>
      <c r="M680" s="2"/>
      <c r="N680" s="2"/>
    </row>
    <row r="681" spans="1:14" x14ac:dyDescent="0.45">
      <c r="A681" s="4" t="s">
        <v>673</v>
      </c>
      <c r="B681" s="4" t="s">
        <v>847</v>
      </c>
      <c r="C681" s="4" t="s">
        <v>708</v>
      </c>
      <c r="D681" s="4" t="b">
        <f>FALSE()</f>
        <v>0</v>
      </c>
      <c r="E681" s="5">
        <v>52</v>
      </c>
      <c r="F681" s="7">
        <f t="shared" si="10"/>
        <v>0.39393939393939392</v>
      </c>
      <c r="G681" s="5">
        <v>0</v>
      </c>
      <c r="H681" s="14">
        <v>45000</v>
      </c>
      <c r="I681" s="14">
        <v>45174</v>
      </c>
      <c r="J681" s="4" t="s">
        <v>853</v>
      </c>
      <c r="K681" s="4" t="s">
        <v>1447</v>
      </c>
      <c r="L681" s="2"/>
      <c r="M681" s="2"/>
      <c r="N681" s="2"/>
    </row>
    <row r="682" spans="1:14" x14ac:dyDescent="0.45">
      <c r="A682" s="9" t="s">
        <v>674</v>
      </c>
      <c r="B682" s="9" t="s">
        <v>847</v>
      </c>
      <c r="C682" s="9" t="s">
        <v>669</v>
      </c>
      <c r="D682" s="9" t="b">
        <f>TRUE()</f>
        <v>1</v>
      </c>
      <c r="E682" s="10">
        <v>40</v>
      </c>
      <c r="F682" s="12">
        <f t="shared" si="10"/>
        <v>0.7407407407407407</v>
      </c>
      <c r="G682" s="10">
        <v>0</v>
      </c>
      <c r="H682" s="15">
        <v>44932</v>
      </c>
      <c r="I682" s="15">
        <v>45054</v>
      </c>
      <c r="J682" s="9" t="s">
        <v>848</v>
      </c>
      <c r="K682" s="9" t="s">
        <v>1448</v>
      </c>
      <c r="L682" s="2"/>
      <c r="M682" s="2"/>
      <c r="N682" s="2"/>
    </row>
    <row r="683" spans="1:14" x14ac:dyDescent="0.45">
      <c r="A683" s="4" t="s">
        <v>674</v>
      </c>
      <c r="B683" s="4" t="s">
        <v>847</v>
      </c>
      <c r="C683" s="4" t="s">
        <v>708</v>
      </c>
      <c r="D683" s="4" t="b">
        <f>FALSE()</f>
        <v>0</v>
      </c>
      <c r="E683" s="5">
        <v>14</v>
      </c>
      <c r="F683" s="7">
        <f t="shared" si="10"/>
        <v>0.25925925925925924</v>
      </c>
      <c r="G683" s="5">
        <v>0</v>
      </c>
      <c r="H683" s="14">
        <v>45055</v>
      </c>
      <c r="I683" s="14">
        <v>45163</v>
      </c>
      <c r="J683" s="4" t="s">
        <v>853</v>
      </c>
      <c r="K683" s="4" t="s">
        <v>1449</v>
      </c>
      <c r="L683" s="2"/>
      <c r="M683" s="2"/>
      <c r="N683" s="2"/>
    </row>
    <row r="684" spans="1:14" x14ac:dyDescent="0.45">
      <c r="A684" s="9" t="s">
        <v>675</v>
      </c>
      <c r="B684" s="9" t="s">
        <v>847</v>
      </c>
      <c r="C684" s="9" t="s">
        <v>669</v>
      </c>
      <c r="D684" s="9" t="b">
        <f>TRUE()</f>
        <v>1</v>
      </c>
      <c r="E684" s="10">
        <v>30</v>
      </c>
      <c r="F684" s="12">
        <f t="shared" si="10"/>
        <v>0.6</v>
      </c>
      <c r="G684" s="10">
        <v>0</v>
      </c>
      <c r="H684" s="15">
        <v>44930</v>
      </c>
      <c r="I684" s="15">
        <v>45055</v>
      </c>
      <c r="J684" s="9" t="s">
        <v>848</v>
      </c>
      <c r="K684" s="9" t="s">
        <v>1450</v>
      </c>
      <c r="L684" s="2"/>
      <c r="M684" s="2"/>
      <c r="N684" s="2"/>
    </row>
    <row r="685" spans="1:14" x14ac:dyDescent="0.45">
      <c r="A685" s="4" t="s">
        <v>675</v>
      </c>
      <c r="B685" s="4" t="s">
        <v>847</v>
      </c>
      <c r="C685" s="4" t="s">
        <v>708</v>
      </c>
      <c r="D685" s="4" t="b">
        <f>FALSE()</f>
        <v>0</v>
      </c>
      <c r="E685" s="5">
        <v>20</v>
      </c>
      <c r="F685" s="7">
        <f t="shared" si="10"/>
        <v>0.4</v>
      </c>
      <c r="G685" s="5">
        <v>0</v>
      </c>
      <c r="H685" s="14">
        <v>45056</v>
      </c>
      <c r="I685" s="14">
        <v>45174</v>
      </c>
      <c r="J685" s="4" t="s">
        <v>853</v>
      </c>
      <c r="K685" s="4" t="s">
        <v>1451</v>
      </c>
      <c r="L685" s="2"/>
      <c r="M685" s="2"/>
      <c r="N685" s="2"/>
    </row>
    <row r="686" spans="1:14" x14ac:dyDescent="0.45">
      <c r="A686" s="9" t="s">
        <v>676</v>
      </c>
      <c r="B686" s="9" t="s">
        <v>847</v>
      </c>
      <c r="C686" s="9" t="s">
        <v>669</v>
      </c>
      <c r="D686" s="9" t="b">
        <f>TRUE()</f>
        <v>1</v>
      </c>
      <c r="E686" s="10">
        <v>13</v>
      </c>
      <c r="F686" s="12">
        <f t="shared" si="10"/>
        <v>0.9285714285714286</v>
      </c>
      <c r="G686" s="10">
        <v>0</v>
      </c>
      <c r="H686" s="15">
        <v>44929</v>
      </c>
      <c r="I686" s="15">
        <v>45035</v>
      </c>
      <c r="J686" s="9" t="s">
        <v>848</v>
      </c>
      <c r="K686" s="9" t="s">
        <v>1452</v>
      </c>
      <c r="L686" s="2"/>
      <c r="M686" s="2"/>
      <c r="N686" s="2"/>
    </row>
    <row r="687" spans="1:14" x14ac:dyDescent="0.45">
      <c r="A687" s="4" t="s">
        <v>676</v>
      </c>
      <c r="B687" s="4" t="s">
        <v>847</v>
      </c>
      <c r="C687" s="4" t="s">
        <v>708</v>
      </c>
      <c r="D687" s="4" t="b">
        <f>FALSE()</f>
        <v>0</v>
      </c>
      <c r="E687" s="5">
        <v>1</v>
      </c>
      <c r="F687" s="7">
        <f t="shared" si="10"/>
        <v>7.1428571428571425E-2</v>
      </c>
      <c r="G687" s="5">
        <v>0</v>
      </c>
      <c r="H687" s="14">
        <v>45069</v>
      </c>
      <c r="I687" s="14">
        <v>45069</v>
      </c>
      <c r="J687" s="4" t="s">
        <v>853</v>
      </c>
      <c r="K687" s="4" t="s">
        <v>1453</v>
      </c>
      <c r="L687" s="2"/>
      <c r="M687" s="2"/>
      <c r="N687" s="2"/>
    </row>
    <row r="688" spans="1:14" x14ac:dyDescent="0.45">
      <c r="A688" s="9" t="s">
        <v>683</v>
      </c>
      <c r="B688" s="9" t="s">
        <v>847</v>
      </c>
      <c r="C688" s="9" t="s">
        <v>680</v>
      </c>
      <c r="D688" s="9" t="b">
        <f>TRUE()</f>
        <v>1</v>
      </c>
      <c r="E688" s="10">
        <v>10</v>
      </c>
      <c r="F688" s="12">
        <f t="shared" si="10"/>
        <v>0.58823529411764708</v>
      </c>
      <c r="G688" s="10">
        <v>0</v>
      </c>
      <c r="H688" s="15">
        <v>45053</v>
      </c>
      <c r="I688" s="15">
        <v>45234</v>
      </c>
      <c r="J688" s="9" t="s">
        <v>848</v>
      </c>
      <c r="K688" s="9" t="s">
        <v>1454</v>
      </c>
      <c r="L688" s="2"/>
      <c r="M688" s="2"/>
      <c r="N688" s="2"/>
    </row>
    <row r="689" spans="1:14" x14ac:dyDescent="0.45">
      <c r="A689" s="4" t="s">
        <v>683</v>
      </c>
      <c r="B689" s="4" t="s">
        <v>847</v>
      </c>
      <c r="C689" s="4" t="s">
        <v>1455</v>
      </c>
      <c r="D689" s="4" t="b">
        <f>FALSE()</f>
        <v>0</v>
      </c>
      <c r="E689" s="5">
        <v>7</v>
      </c>
      <c r="F689" s="7">
        <f t="shared" si="10"/>
        <v>0.41176470588235292</v>
      </c>
      <c r="G689" s="5">
        <v>0</v>
      </c>
      <c r="H689" s="14">
        <v>44939</v>
      </c>
      <c r="I689" s="14">
        <v>45020</v>
      </c>
      <c r="J689" s="4" t="s">
        <v>853</v>
      </c>
      <c r="K689" s="4" t="s">
        <v>1456</v>
      </c>
      <c r="L689" s="2"/>
      <c r="M689" s="2"/>
      <c r="N689" s="2"/>
    </row>
    <row r="690" spans="1:14" x14ac:dyDescent="0.45">
      <c r="A690" s="9" t="s">
        <v>684</v>
      </c>
      <c r="B690" s="9" t="s">
        <v>847</v>
      </c>
      <c r="C690" s="9" t="s">
        <v>680</v>
      </c>
      <c r="D690" s="9" t="b">
        <f>TRUE()</f>
        <v>1</v>
      </c>
      <c r="E690" s="10">
        <v>7</v>
      </c>
      <c r="F690" s="12">
        <f t="shared" si="10"/>
        <v>0.58333333333333337</v>
      </c>
      <c r="G690" s="10">
        <v>0</v>
      </c>
      <c r="H690" s="15">
        <v>45089</v>
      </c>
      <c r="I690" s="15">
        <v>45198</v>
      </c>
      <c r="J690" s="9" t="s">
        <v>848</v>
      </c>
      <c r="K690" s="9" t="s">
        <v>1457</v>
      </c>
      <c r="L690" s="2"/>
      <c r="M690" s="2"/>
      <c r="N690" s="2"/>
    </row>
    <row r="691" spans="1:14" x14ac:dyDescent="0.45">
      <c r="A691" s="4" t="s">
        <v>684</v>
      </c>
      <c r="B691" s="4" t="s">
        <v>847</v>
      </c>
      <c r="C691" s="4" t="s">
        <v>1455</v>
      </c>
      <c r="D691" s="4" t="b">
        <f>FALSE()</f>
        <v>0</v>
      </c>
      <c r="E691" s="5">
        <v>5</v>
      </c>
      <c r="F691" s="7">
        <f t="shared" si="10"/>
        <v>0.41666666666666669</v>
      </c>
      <c r="G691" s="5">
        <v>0</v>
      </c>
      <c r="H691" s="14">
        <v>44932</v>
      </c>
      <c r="I691" s="14">
        <v>45031</v>
      </c>
      <c r="J691" s="4" t="s">
        <v>853</v>
      </c>
      <c r="K691" s="4" t="s">
        <v>1458</v>
      </c>
      <c r="L691" s="2"/>
      <c r="M691" s="2"/>
      <c r="N691" s="2"/>
    </row>
    <row r="692" spans="1:14" x14ac:dyDescent="0.45">
      <c r="A692" s="9" t="s">
        <v>692</v>
      </c>
      <c r="B692" s="9" t="s">
        <v>847</v>
      </c>
      <c r="C692" s="9" t="s">
        <v>686</v>
      </c>
      <c r="D692" s="9" t="b">
        <f>TRUE()</f>
        <v>1</v>
      </c>
      <c r="E692" s="10">
        <v>14</v>
      </c>
      <c r="F692" s="12">
        <f t="shared" si="10"/>
        <v>0.56000000000000005</v>
      </c>
      <c r="G692" s="10">
        <v>0</v>
      </c>
      <c r="H692" s="15">
        <v>45000</v>
      </c>
      <c r="I692" s="15">
        <v>45133</v>
      </c>
      <c r="J692" s="9" t="s">
        <v>848</v>
      </c>
      <c r="K692" s="9" t="s">
        <v>1459</v>
      </c>
      <c r="L692" s="2"/>
      <c r="M692" s="2"/>
      <c r="N692" s="2"/>
    </row>
    <row r="693" spans="1:14" x14ac:dyDescent="0.45">
      <c r="A693" s="4" t="s">
        <v>692</v>
      </c>
      <c r="B693" s="4" t="s">
        <v>847</v>
      </c>
      <c r="C693" s="4" t="s">
        <v>818</v>
      </c>
      <c r="D693" s="4" t="b">
        <f>FALSE()</f>
        <v>0</v>
      </c>
      <c r="E693" s="5">
        <v>11</v>
      </c>
      <c r="F693" s="7">
        <f t="shared" si="10"/>
        <v>0.44</v>
      </c>
      <c r="G693" s="5">
        <v>0</v>
      </c>
      <c r="H693" s="14">
        <v>44963</v>
      </c>
      <c r="I693" s="14">
        <v>45020</v>
      </c>
      <c r="J693" s="4" t="s">
        <v>853</v>
      </c>
      <c r="K693" s="4" t="s">
        <v>1460</v>
      </c>
      <c r="L693" s="2"/>
      <c r="M693" s="2"/>
      <c r="N693" s="2"/>
    </row>
    <row r="694" spans="1:14" x14ac:dyDescent="0.45">
      <c r="A694" s="9" t="s">
        <v>695</v>
      </c>
      <c r="B694" s="9" t="s">
        <v>847</v>
      </c>
      <c r="C694" s="9" t="s">
        <v>686</v>
      </c>
      <c r="D694" s="9" t="b">
        <f>TRUE()</f>
        <v>1</v>
      </c>
      <c r="E694" s="10">
        <v>10</v>
      </c>
      <c r="F694" s="12">
        <f t="shared" si="10"/>
        <v>0.7142857142857143</v>
      </c>
      <c r="G694" s="10">
        <v>0</v>
      </c>
      <c r="H694" s="15">
        <v>45069</v>
      </c>
      <c r="I694" s="15">
        <v>45187</v>
      </c>
      <c r="J694" s="9" t="s">
        <v>848</v>
      </c>
      <c r="K694" s="9" t="s">
        <v>1461</v>
      </c>
      <c r="L694" s="2"/>
      <c r="M694" s="2"/>
      <c r="N694" s="2"/>
    </row>
    <row r="695" spans="1:14" x14ac:dyDescent="0.45">
      <c r="A695" s="4" t="s">
        <v>695</v>
      </c>
      <c r="B695" s="4" t="s">
        <v>847</v>
      </c>
      <c r="C695" s="4" t="s">
        <v>822</v>
      </c>
      <c r="D695" s="4" t="b">
        <f>FALSE()</f>
        <v>0</v>
      </c>
      <c r="E695" s="5">
        <v>4</v>
      </c>
      <c r="F695" s="7">
        <f t="shared" si="10"/>
        <v>0.2857142857142857</v>
      </c>
      <c r="G695" s="5">
        <v>0</v>
      </c>
      <c r="H695" s="14">
        <v>44959</v>
      </c>
      <c r="I695" s="14">
        <v>45041</v>
      </c>
      <c r="J695" s="4" t="s">
        <v>853</v>
      </c>
      <c r="K695" s="4" t="s">
        <v>1127</v>
      </c>
      <c r="L695" s="2"/>
      <c r="M695" s="2"/>
      <c r="N695" s="2"/>
    </row>
    <row r="696" spans="1:14" x14ac:dyDescent="0.45">
      <c r="A696" s="9" t="s">
        <v>696</v>
      </c>
      <c r="B696" s="9" t="s">
        <v>847</v>
      </c>
      <c r="C696" s="9" t="s">
        <v>686</v>
      </c>
      <c r="D696" s="9" t="b">
        <f>TRUE()</f>
        <v>1</v>
      </c>
      <c r="E696" s="10">
        <v>6</v>
      </c>
      <c r="F696" s="12">
        <f t="shared" si="10"/>
        <v>0.8571428571428571</v>
      </c>
      <c r="G696" s="10">
        <v>0</v>
      </c>
      <c r="H696" s="15">
        <v>45090</v>
      </c>
      <c r="I696" s="15">
        <v>45154</v>
      </c>
      <c r="J696" s="9" t="s">
        <v>848</v>
      </c>
      <c r="K696" s="9" t="s">
        <v>1462</v>
      </c>
      <c r="L696" s="2"/>
      <c r="M696" s="2"/>
      <c r="N696" s="2"/>
    </row>
    <row r="697" spans="1:14" x14ac:dyDescent="0.45">
      <c r="A697" s="4" t="s">
        <v>696</v>
      </c>
      <c r="B697" s="4" t="s">
        <v>847</v>
      </c>
      <c r="C697" s="4" t="s">
        <v>822</v>
      </c>
      <c r="D697" s="4" t="b">
        <f>FALSE()</f>
        <v>0</v>
      </c>
      <c r="E697" s="5">
        <v>1</v>
      </c>
      <c r="F697" s="7">
        <f t="shared" si="10"/>
        <v>0.14285714285714285</v>
      </c>
      <c r="G697" s="5">
        <v>0</v>
      </c>
      <c r="H697" s="14">
        <v>44952</v>
      </c>
      <c r="I697" s="14">
        <v>44952</v>
      </c>
      <c r="J697" s="4" t="s">
        <v>853</v>
      </c>
      <c r="K697" s="4" t="s">
        <v>1463</v>
      </c>
      <c r="L697" s="2"/>
      <c r="M697" s="2"/>
      <c r="N697" s="2"/>
    </row>
    <row r="698" spans="1:14" x14ac:dyDescent="0.45">
      <c r="A698" s="9" t="s">
        <v>702</v>
      </c>
      <c r="B698" s="9" t="s">
        <v>847</v>
      </c>
      <c r="C698" s="9" t="s">
        <v>701</v>
      </c>
      <c r="D698" s="9" t="b">
        <f>TRUE()</f>
        <v>1</v>
      </c>
      <c r="E698" s="10">
        <v>155</v>
      </c>
      <c r="F698" s="12">
        <f t="shared" si="10"/>
        <v>0.96273291925465843</v>
      </c>
      <c r="G698" s="10">
        <v>0</v>
      </c>
      <c r="H698" s="15">
        <v>45040</v>
      </c>
      <c r="I698" s="15">
        <v>45803</v>
      </c>
      <c r="J698" s="9" t="s">
        <v>848</v>
      </c>
      <c r="K698" s="9" t="s">
        <v>1464</v>
      </c>
      <c r="L698" s="2"/>
      <c r="M698" s="2"/>
      <c r="N698" s="2"/>
    </row>
    <row r="699" spans="1:14" x14ac:dyDescent="0.45">
      <c r="A699" s="4" t="s">
        <v>702</v>
      </c>
      <c r="B699" s="4" t="s">
        <v>847</v>
      </c>
      <c r="C699" s="4" t="s">
        <v>1465</v>
      </c>
      <c r="D699" s="4" t="b">
        <f>FALSE()</f>
        <v>0</v>
      </c>
      <c r="E699" s="5">
        <v>6</v>
      </c>
      <c r="F699" s="7">
        <f t="shared" si="10"/>
        <v>3.7267080745341616E-2</v>
      </c>
      <c r="G699" s="5">
        <v>0</v>
      </c>
      <c r="H699" s="14">
        <v>44935</v>
      </c>
      <c r="I699" s="14">
        <v>45029</v>
      </c>
      <c r="J699" s="4" t="s">
        <v>850</v>
      </c>
      <c r="K699" s="4" t="s">
        <v>1466</v>
      </c>
      <c r="L699" s="2"/>
      <c r="M699" s="2"/>
      <c r="N699" s="2"/>
    </row>
    <row r="700" spans="1:14" x14ac:dyDescent="0.45">
      <c r="A700" s="9" t="s">
        <v>709</v>
      </c>
      <c r="B700" s="9" t="s">
        <v>847</v>
      </c>
      <c r="C700" s="9" t="s">
        <v>708</v>
      </c>
      <c r="D700" s="9" t="b">
        <f>TRUE()</f>
        <v>1</v>
      </c>
      <c r="E700" s="10">
        <v>6218</v>
      </c>
      <c r="F700" s="12">
        <f t="shared" si="10"/>
        <v>0.59315081560621963</v>
      </c>
      <c r="G700" s="10">
        <v>0</v>
      </c>
      <c r="H700" s="15">
        <v>45035</v>
      </c>
      <c r="I700" s="15">
        <v>45174</v>
      </c>
      <c r="J700" s="9" t="s">
        <v>848</v>
      </c>
      <c r="K700" s="9" t="s">
        <v>1467</v>
      </c>
      <c r="L700" s="2"/>
      <c r="M700" s="2"/>
      <c r="N700" s="2"/>
    </row>
    <row r="701" spans="1:14" x14ac:dyDescent="0.45">
      <c r="A701" s="4" t="s">
        <v>709</v>
      </c>
      <c r="B701" s="4" t="s">
        <v>847</v>
      </c>
      <c r="C701" s="4" t="s">
        <v>669</v>
      </c>
      <c r="D701" s="4" t="b">
        <f>FALSE()</f>
        <v>0</v>
      </c>
      <c r="E701" s="5">
        <v>4265</v>
      </c>
      <c r="F701" s="7">
        <f t="shared" si="10"/>
        <v>0.40684918439378043</v>
      </c>
      <c r="G701" s="5">
        <v>0</v>
      </c>
      <c r="H701" s="14">
        <v>44928</v>
      </c>
      <c r="I701" s="14">
        <v>45055</v>
      </c>
      <c r="J701" s="4" t="s">
        <v>853</v>
      </c>
      <c r="K701" s="4" t="s">
        <v>1468</v>
      </c>
      <c r="L701" s="2"/>
      <c r="M701" s="2"/>
      <c r="N701" s="2"/>
    </row>
    <row r="702" spans="1:14" x14ac:dyDescent="0.45">
      <c r="A702" s="9" t="s">
        <v>711</v>
      </c>
      <c r="B702" s="9" t="s">
        <v>847</v>
      </c>
      <c r="C702" s="9" t="s">
        <v>708</v>
      </c>
      <c r="D702" s="9" t="b">
        <f>TRUE()</f>
        <v>1</v>
      </c>
      <c r="E702" s="10">
        <v>3193</v>
      </c>
      <c r="F702" s="12">
        <f t="shared" si="10"/>
        <v>0.50031338138514569</v>
      </c>
      <c r="G702" s="10">
        <v>0</v>
      </c>
      <c r="H702" s="15">
        <v>45019</v>
      </c>
      <c r="I702" s="15">
        <v>45174</v>
      </c>
      <c r="J702" s="9" t="s">
        <v>848</v>
      </c>
      <c r="K702" s="9" t="s">
        <v>1469</v>
      </c>
      <c r="L702" s="2"/>
      <c r="M702" s="2"/>
      <c r="N702" s="2"/>
    </row>
    <row r="703" spans="1:14" x14ac:dyDescent="0.45">
      <c r="A703" s="4" t="s">
        <v>711</v>
      </c>
      <c r="B703" s="4" t="s">
        <v>847</v>
      </c>
      <c r="C703" s="4" t="s">
        <v>669</v>
      </c>
      <c r="D703" s="4" t="b">
        <f>FALSE()</f>
        <v>0</v>
      </c>
      <c r="E703" s="5">
        <v>3189</v>
      </c>
      <c r="F703" s="7">
        <f t="shared" si="10"/>
        <v>0.49968661861485431</v>
      </c>
      <c r="G703" s="5">
        <v>0</v>
      </c>
      <c r="H703" s="14">
        <v>44928</v>
      </c>
      <c r="I703" s="14">
        <v>45055</v>
      </c>
      <c r="J703" s="4" t="s">
        <v>853</v>
      </c>
      <c r="K703" s="4" t="s">
        <v>1470</v>
      </c>
      <c r="L703" s="2"/>
      <c r="M703" s="2"/>
      <c r="N703" s="2"/>
    </row>
    <row r="704" spans="1:14" x14ac:dyDescent="0.45">
      <c r="A704" s="9" t="s">
        <v>714</v>
      </c>
      <c r="B704" s="9" t="s">
        <v>847</v>
      </c>
      <c r="C704" s="9" t="s">
        <v>708</v>
      </c>
      <c r="D704" s="9" t="b">
        <f>TRUE()</f>
        <v>1</v>
      </c>
      <c r="E704" s="10">
        <v>3241</v>
      </c>
      <c r="F704" s="12">
        <f t="shared" si="10"/>
        <v>0.53420141750453276</v>
      </c>
      <c r="G704" s="10">
        <v>0</v>
      </c>
      <c r="H704" s="15">
        <v>44984</v>
      </c>
      <c r="I704" s="15">
        <v>45174</v>
      </c>
      <c r="J704" s="9" t="s">
        <v>848</v>
      </c>
      <c r="K704" s="9" t="s">
        <v>1471</v>
      </c>
      <c r="L704" s="2"/>
      <c r="M704" s="2"/>
      <c r="N704" s="2"/>
    </row>
    <row r="705" spans="1:14" x14ac:dyDescent="0.45">
      <c r="A705" s="4" t="s">
        <v>714</v>
      </c>
      <c r="B705" s="4" t="s">
        <v>847</v>
      </c>
      <c r="C705" s="4" t="s">
        <v>669</v>
      </c>
      <c r="D705" s="4" t="b">
        <f>FALSE()</f>
        <v>0</v>
      </c>
      <c r="E705" s="5">
        <v>2826</v>
      </c>
      <c r="F705" s="7">
        <f t="shared" si="10"/>
        <v>0.46579858249546729</v>
      </c>
      <c r="G705" s="5">
        <v>0</v>
      </c>
      <c r="H705" s="14">
        <v>44928</v>
      </c>
      <c r="I705" s="14">
        <v>45055</v>
      </c>
      <c r="J705" s="4" t="s">
        <v>853</v>
      </c>
      <c r="K705" s="4" t="s">
        <v>1299</v>
      </c>
      <c r="L705" s="2"/>
      <c r="M705" s="2"/>
      <c r="N705" s="2"/>
    </row>
    <row r="706" spans="1:14" x14ac:dyDescent="0.45">
      <c r="A706" s="9" t="s">
        <v>721</v>
      </c>
      <c r="B706" s="9" t="s">
        <v>847</v>
      </c>
      <c r="C706" s="9" t="s">
        <v>708</v>
      </c>
      <c r="D706" s="9" t="b">
        <f>TRUE()</f>
        <v>1</v>
      </c>
      <c r="E706" s="10">
        <v>1713</v>
      </c>
      <c r="F706" s="12">
        <f t="shared" ref="F706:F769" si="11">E706/SUMIFS($E$2:$E$783,$A$2:$A$783,A706)</f>
        <v>0.51472355769230771</v>
      </c>
      <c r="G706" s="10">
        <v>0</v>
      </c>
      <c r="H706" s="15">
        <v>45041</v>
      </c>
      <c r="I706" s="15">
        <v>45174</v>
      </c>
      <c r="J706" s="9" t="s">
        <v>848</v>
      </c>
      <c r="K706" s="9" t="s">
        <v>1472</v>
      </c>
      <c r="L706" s="2"/>
      <c r="M706" s="2"/>
      <c r="N706" s="2"/>
    </row>
    <row r="707" spans="1:14" x14ac:dyDescent="0.45">
      <c r="A707" s="4" t="s">
        <v>721</v>
      </c>
      <c r="B707" s="4" t="s">
        <v>847</v>
      </c>
      <c r="C707" s="4" t="s">
        <v>669</v>
      </c>
      <c r="D707" s="4" t="b">
        <f>FALSE()</f>
        <v>0</v>
      </c>
      <c r="E707" s="5">
        <v>1615</v>
      </c>
      <c r="F707" s="7">
        <f t="shared" si="11"/>
        <v>0.48527644230769229</v>
      </c>
      <c r="G707" s="5">
        <v>0</v>
      </c>
      <c r="H707" s="14">
        <v>44928</v>
      </c>
      <c r="I707" s="14">
        <v>45055</v>
      </c>
      <c r="J707" s="4" t="s">
        <v>853</v>
      </c>
      <c r="K707" s="4" t="s">
        <v>1473</v>
      </c>
      <c r="L707" s="2"/>
      <c r="M707" s="2"/>
      <c r="N707" s="2"/>
    </row>
    <row r="708" spans="1:14" x14ac:dyDescent="0.45">
      <c r="A708" s="9" t="s">
        <v>725</v>
      </c>
      <c r="B708" s="9" t="s">
        <v>847</v>
      </c>
      <c r="C708" s="9" t="s">
        <v>708</v>
      </c>
      <c r="D708" s="9" t="b">
        <f>TRUE()</f>
        <v>1</v>
      </c>
      <c r="E708" s="10">
        <v>1601</v>
      </c>
      <c r="F708" s="12">
        <f t="shared" si="11"/>
        <v>0.53313353313353318</v>
      </c>
      <c r="G708" s="10">
        <v>0</v>
      </c>
      <c r="H708" s="15">
        <v>45055</v>
      </c>
      <c r="I708" s="15">
        <v>45174</v>
      </c>
      <c r="J708" s="9" t="s">
        <v>848</v>
      </c>
      <c r="K708" s="9" t="s">
        <v>1474</v>
      </c>
      <c r="L708" s="2"/>
      <c r="M708" s="2"/>
      <c r="N708" s="2"/>
    </row>
    <row r="709" spans="1:14" x14ac:dyDescent="0.45">
      <c r="A709" s="4" t="s">
        <v>725</v>
      </c>
      <c r="B709" s="4" t="s">
        <v>847</v>
      </c>
      <c r="C709" s="4" t="s">
        <v>669</v>
      </c>
      <c r="D709" s="4" t="b">
        <f>FALSE()</f>
        <v>0</v>
      </c>
      <c r="E709" s="5">
        <v>1402</v>
      </c>
      <c r="F709" s="7">
        <f t="shared" si="11"/>
        <v>0.46686646686646688</v>
      </c>
      <c r="G709" s="5">
        <v>0</v>
      </c>
      <c r="H709" s="14">
        <v>44928</v>
      </c>
      <c r="I709" s="14">
        <v>45055</v>
      </c>
      <c r="J709" s="4" t="s">
        <v>853</v>
      </c>
      <c r="K709" s="4" t="s">
        <v>963</v>
      </c>
      <c r="L709" s="2"/>
      <c r="M709" s="2"/>
      <c r="N709" s="2"/>
    </row>
    <row r="710" spans="1:14" x14ac:dyDescent="0.45">
      <c r="A710" s="9" t="s">
        <v>727</v>
      </c>
      <c r="B710" s="9" t="s">
        <v>847</v>
      </c>
      <c r="C710" s="9" t="s">
        <v>708</v>
      </c>
      <c r="D710" s="9" t="b">
        <f>TRUE()</f>
        <v>1</v>
      </c>
      <c r="E710" s="10">
        <v>1598</v>
      </c>
      <c r="F710" s="12">
        <f t="shared" si="11"/>
        <v>0.55796089385474856</v>
      </c>
      <c r="G710" s="10">
        <v>0</v>
      </c>
      <c r="H710" s="15">
        <v>45012</v>
      </c>
      <c r="I710" s="15">
        <v>45174</v>
      </c>
      <c r="J710" s="9" t="s">
        <v>848</v>
      </c>
      <c r="K710" s="9" t="s">
        <v>1475</v>
      </c>
      <c r="L710" s="2"/>
      <c r="M710" s="2"/>
      <c r="N710" s="2"/>
    </row>
    <row r="711" spans="1:14" x14ac:dyDescent="0.45">
      <c r="A711" s="4" t="s">
        <v>727</v>
      </c>
      <c r="B711" s="4" t="s">
        <v>847</v>
      </c>
      <c r="C711" s="4" t="s">
        <v>669</v>
      </c>
      <c r="D711" s="4" t="b">
        <f>FALSE()</f>
        <v>0</v>
      </c>
      <c r="E711" s="5">
        <v>1266</v>
      </c>
      <c r="F711" s="7">
        <f t="shared" si="11"/>
        <v>0.44203910614525138</v>
      </c>
      <c r="G711" s="5">
        <v>0</v>
      </c>
      <c r="H711" s="14">
        <v>44928</v>
      </c>
      <c r="I711" s="14">
        <v>45054</v>
      </c>
      <c r="J711" s="4" t="s">
        <v>853</v>
      </c>
      <c r="K711" s="4" t="s">
        <v>1476</v>
      </c>
      <c r="L711" s="2"/>
      <c r="M711" s="2"/>
      <c r="N711" s="2"/>
    </row>
    <row r="712" spans="1:14" x14ac:dyDescent="0.45">
      <c r="A712" s="9" t="s">
        <v>729</v>
      </c>
      <c r="B712" s="9" t="s">
        <v>847</v>
      </c>
      <c r="C712" s="9" t="s">
        <v>708</v>
      </c>
      <c r="D712" s="9" t="b">
        <f>TRUE()</f>
        <v>1</v>
      </c>
      <c r="E712" s="10">
        <v>1453</v>
      </c>
      <c r="F712" s="12">
        <f t="shared" si="11"/>
        <v>0.57727453317441402</v>
      </c>
      <c r="G712" s="10">
        <v>0</v>
      </c>
      <c r="H712" s="15">
        <v>45048</v>
      </c>
      <c r="I712" s="15">
        <v>45170</v>
      </c>
      <c r="J712" s="9" t="s">
        <v>848</v>
      </c>
      <c r="K712" s="9" t="s">
        <v>1477</v>
      </c>
      <c r="L712" s="2"/>
      <c r="M712" s="2"/>
      <c r="N712" s="2"/>
    </row>
    <row r="713" spans="1:14" x14ac:dyDescent="0.45">
      <c r="A713" s="4" t="s">
        <v>729</v>
      </c>
      <c r="B713" s="4" t="s">
        <v>847</v>
      </c>
      <c r="C713" s="4" t="s">
        <v>669</v>
      </c>
      <c r="D713" s="4" t="b">
        <f>FALSE()</f>
        <v>0</v>
      </c>
      <c r="E713" s="5">
        <v>1064</v>
      </c>
      <c r="F713" s="7">
        <f t="shared" si="11"/>
        <v>0.42272546682558604</v>
      </c>
      <c r="G713" s="5">
        <v>0</v>
      </c>
      <c r="H713" s="14">
        <v>44928</v>
      </c>
      <c r="I713" s="14">
        <v>45055</v>
      </c>
      <c r="J713" s="4" t="s">
        <v>853</v>
      </c>
      <c r="K713" s="4" t="s">
        <v>1478</v>
      </c>
      <c r="L713" s="2"/>
      <c r="M713" s="2"/>
      <c r="N713" s="2"/>
    </row>
    <row r="714" spans="1:14" x14ac:dyDescent="0.45">
      <c r="A714" s="9" t="s">
        <v>733</v>
      </c>
      <c r="B714" s="9" t="s">
        <v>847</v>
      </c>
      <c r="C714" s="9" t="s">
        <v>708</v>
      </c>
      <c r="D714" s="9" t="b">
        <f>TRUE()</f>
        <v>1</v>
      </c>
      <c r="E714" s="10">
        <v>471</v>
      </c>
      <c r="F714" s="12">
        <f t="shared" si="11"/>
        <v>0.58509316770186337</v>
      </c>
      <c r="G714" s="10">
        <v>0</v>
      </c>
      <c r="H714" s="15">
        <v>44941</v>
      </c>
      <c r="I714" s="15">
        <v>45174</v>
      </c>
      <c r="J714" s="9" t="s">
        <v>848</v>
      </c>
      <c r="K714" s="9" t="s">
        <v>1479</v>
      </c>
      <c r="L714" s="2"/>
      <c r="M714" s="2"/>
      <c r="N714" s="2"/>
    </row>
    <row r="715" spans="1:14" x14ac:dyDescent="0.45">
      <c r="A715" s="4" t="s">
        <v>733</v>
      </c>
      <c r="B715" s="4" t="s">
        <v>847</v>
      </c>
      <c r="C715" s="4" t="s">
        <v>669</v>
      </c>
      <c r="D715" s="4" t="b">
        <f>FALSE()</f>
        <v>0</v>
      </c>
      <c r="E715" s="5">
        <v>334</v>
      </c>
      <c r="F715" s="7">
        <f t="shared" si="11"/>
        <v>0.41490683229813663</v>
      </c>
      <c r="G715" s="5">
        <v>0</v>
      </c>
      <c r="H715" s="14">
        <v>44928</v>
      </c>
      <c r="I715" s="14">
        <v>45054</v>
      </c>
      <c r="J715" s="4" t="s">
        <v>853</v>
      </c>
      <c r="K715" s="4" t="s">
        <v>1480</v>
      </c>
      <c r="L715" s="2"/>
      <c r="M715" s="2"/>
      <c r="N715" s="2"/>
    </row>
    <row r="716" spans="1:14" x14ac:dyDescent="0.45">
      <c r="A716" s="9" t="s">
        <v>734</v>
      </c>
      <c r="B716" s="9" t="s">
        <v>847</v>
      </c>
      <c r="C716" s="9" t="s">
        <v>708</v>
      </c>
      <c r="D716" s="9" t="b">
        <f>TRUE()</f>
        <v>1</v>
      </c>
      <c r="E716" s="10">
        <v>407</v>
      </c>
      <c r="F716" s="12">
        <f t="shared" si="11"/>
        <v>0.63494539781591264</v>
      </c>
      <c r="G716" s="10">
        <v>0</v>
      </c>
      <c r="H716" s="15">
        <v>44931</v>
      </c>
      <c r="I716" s="15">
        <v>45174</v>
      </c>
      <c r="J716" s="9" t="s">
        <v>848</v>
      </c>
      <c r="K716" s="9" t="s">
        <v>1481</v>
      </c>
      <c r="L716" s="2"/>
      <c r="M716" s="2"/>
      <c r="N716" s="2"/>
    </row>
    <row r="717" spans="1:14" x14ac:dyDescent="0.45">
      <c r="A717" s="4" t="s">
        <v>734</v>
      </c>
      <c r="B717" s="4" t="s">
        <v>847</v>
      </c>
      <c r="C717" s="4" t="s">
        <v>669</v>
      </c>
      <c r="D717" s="4" t="b">
        <f>FALSE()</f>
        <v>0</v>
      </c>
      <c r="E717" s="5">
        <v>234</v>
      </c>
      <c r="F717" s="7">
        <f t="shared" si="11"/>
        <v>0.36505460218408736</v>
      </c>
      <c r="G717" s="5">
        <v>0</v>
      </c>
      <c r="H717" s="14">
        <v>44928</v>
      </c>
      <c r="I717" s="14">
        <v>45055</v>
      </c>
      <c r="J717" s="4" t="s">
        <v>853</v>
      </c>
      <c r="K717" s="4" t="s">
        <v>938</v>
      </c>
      <c r="L717" s="2"/>
      <c r="M717" s="2"/>
      <c r="N717" s="2"/>
    </row>
    <row r="718" spans="1:14" x14ac:dyDescent="0.45">
      <c r="A718" s="9" t="s">
        <v>737</v>
      </c>
      <c r="B718" s="9" t="s">
        <v>847</v>
      </c>
      <c r="C718" s="9" t="s">
        <v>708</v>
      </c>
      <c r="D718" s="9" t="b">
        <f>TRUE()</f>
        <v>1</v>
      </c>
      <c r="E718" s="10">
        <v>354</v>
      </c>
      <c r="F718" s="12">
        <f t="shared" si="11"/>
        <v>0.59898477157360408</v>
      </c>
      <c r="G718" s="10">
        <v>0</v>
      </c>
      <c r="H718" s="15">
        <v>45019</v>
      </c>
      <c r="I718" s="15">
        <v>45172</v>
      </c>
      <c r="J718" s="9" t="s">
        <v>848</v>
      </c>
      <c r="K718" s="9" t="s">
        <v>1482</v>
      </c>
      <c r="L718" s="2"/>
      <c r="M718" s="2"/>
      <c r="N718" s="2"/>
    </row>
    <row r="719" spans="1:14" x14ac:dyDescent="0.45">
      <c r="A719" s="4" t="s">
        <v>737</v>
      </c>
      <c r="B719" s="4" t="s">
        <v>847</v>
      </c>
      <c r="C719" s="4" t="s">
        <v>669</v>
      </c>
      <c r="D719" s="4" t="b">
        <f>FALSE()</f>
        <v>0</v>
      </c>
      <c r="E719" s="5">
        <v>237</v>
      </c>
      <c r="F719" s="7">
        <f t="shared" si="11"/>
        <v>0.40101522842639592</v>
      </c>
      <c r="G719" s="5">
        <v>0</v>
      </c>
      <c r="H719" s="14">
        <v>44928</v>
      </c>
      <c r="I719" s="14">
        <v>45054</v>
      </c>
      <c r="J719" s="4" t="s">
        <v>853</v>
      </c>
      <c r="K719" s="4" t="s">
        <v>1483</v>
      </c>
      <c r="L719" s="2"/>
      <c r="M719" s="2"/>
      <c r="N719" s="2"/>
    </row>
    <row r="720" spans="1:14" x14ac:dyDescent="0.45">
      <c r="A720" s="9" t="s">
        <v>740</v>
      </c>
      <c r="B720" s="9" t="s">
        <v>847</v>
      </c>
      <c r="C720" s="9" t="s">
        <v>708</v>
      </c>
      <c r="D720" s="9" t="b">
        <f>TRUE()</f>
        <v>1</v>
      </c>
      <c r="E720" s="10">
        <v>179</v>
      </c>
      <c r="F720" s="12">
        <f t="shared" si="11"/>
        <v>0.52958579881656809</v>
      </c>
      <c r="G720" s="10">
        <v>0</v>
      </c>
      <c r="H720" s="15">
        <v>45015</v>
      </c>
      <c r="I720" s="15">
        <v>45169</v>
      </c>
      <c r="J720" s="9" t="s">
        <v>848</v>
      </c>
      <c r="K720" s="9" t="s">
        <v>1484</v>
      </c>
      <c r="L720" s="2"/>
      <c r="M720" s="2"/>
      <c r="N720" s="2"/>
    </row>
    <row r="721" spans="1:14" x14ac:dyDescent="0.45">
      <c r="A721" s="4" t="s">
        <v>740</v>
      </c>
      <c r="B721" s="4" t="s">
        <v>847</v>
      </c>
      <c r="C721" s="4" t="s">
        <v>669</v>
      </c>
      <c r="D721" s="4" t="b">
        <f>FALSE()</f>
        <v>0</v>
      </c>
      <c r="E721" s="5">
        <v>159</v>
      </c>
      <c r="F721" s="7">
        <f t="shared" si="11"/>
        <v>0.47041420118343197</v>
      </c>
      <c r="G721" s="5">
        <v>0</v>
      </c>
      <c r="H721" s="14">
        <v>44928</v>
      </c>
      <c r="I721" s="14">
        <v>45055</v>
      </c>
      <c r="J721" s="4" t="s">
        <v>853</v>
      </c>
      <c r="K721" s="4" t="s">
        <v>1485</v>
      </c>
      <c r="L721" s="2"/>
      <c r="M721" s="2"/>
      <c r="N721" s="2"/>
    </row>
    <row r="722" spans="1:14" x14ac:dyDescent="0.45">
      <c r="A722" s="9" t="s">
        <v>746</v>
      </c>
      <c r="B722" s="9" t="s">
        <v>847</v>
      </c>
      <c r="C722" s="9" t="s">
        <v>708</v>
      </c>
      <c r="D722" s="9" t="b">
        <f>TRUE()</f>
        <v>1</v>
      </c>
      <c r="E722" s="10">
        <v>88</v>
      </c>
      <c r="F722" s="12">
        <f t="shared" si="11"/>
        <v>0.69841269841269837</v>
      </c>
      <c r="G722" s="10">
        <v>0</v>
      </c>
      <c r="H722" s="15">
        <v>44974</v>
      </c>
      <c r="I722" s="15">
        <v>45172</v>
      </c>
      <c r="J722" s="9" t="s">
        <v>848</v>
      </c>
      <c r="K722" s="9" t="s">
        <v>1486</v>
      </c>
      <c r="L722" s="2"/>
      <c r="M722" s="2"/>
      <c r="N722" s="2"/>
    </row>
    <row r="723" spans="1:14" x14ac:dyDescent="0.45">
      <c r="A723" s="4" t="s">
        <v>746</v>
      </c>
      <c r="B723" s="4" t="s">
        <v>847</v>
      </c>
      <c r="C723" s="4" t="s">
        <v>669</v>
      </c>
      <c r="D723" s="4" t="b">
        <f>FALSE()</f>
        <v>0</v>
      </c>
      <c r="E723" s="5">
        <v>38</v>
      </c>
      <c r="F723" s="7">
        <f t="shared" si="11"/>
        <v>0.30158730158730157</v>
      </c>
      <c r="G723" s="5">
        <v>0</v>
      </c>
      <c r="H723" s="14">
        <v>44934</v>
      </c>
      <c r="I723" s="14">
        <v>45054</v>
      </c>
      <c r="J723" s="4" t="s">
        <v>853</v>
      </c>
      <c r="K723" s="4" t="s">
        <v>1487</v>
      </c>
      <c r="L723" s="2"/>
      <c r="M723" s="2"/>
      <c r="N723" s="2"/>
    </row>
    <row r="724" spans="1:14" x14ac:dyDescent="0.45">
      <c r="A724" s="9" t="s">
        <v>748</v>
      </c>
      <c r="B724" s="9" t="s">
        <v>847</v>
      </c>
      <c r="C724" s="9" t="s">
        <v>708</v>
      </c>
      <c r="D724" s="9" t="b">
        <f>TRUE()</f>
        <v>1</v>
      </c>
      <c r="E724" s="10">
        <v>30</v>
      </c>
      <c r="F724" s="12">
        <f t="shared" si="11"/>
        <v>0.50847457627118642</v>
      </c>
      <c r="G724" s="10">
        <v>0</v>
      </c>
      <c r="H724" s="15">
        <v>45002</v>
      </c>
      <c r="I724" s="15">
        <v>45169</v>
      </c>
      <c r="J724" s="9" t="s">
        <v>848</v>
      </c>
      <c r="K724" s="9" t="s">
        <v>1488</v>
      </c>
      <c r="L724" s="2"/>
      <c r="M724" s="2"/>
      <c r="N724" s="2"/>
    </row>
    <row r="725" spans="1:14" x14ac:dyDescent="0.45">
      <c r="A725" s="4" t="s">
        <v>748</v>
      </c>
      <c r="B725" s="4" t="s">
        <v>847</v>
      </c>
      <c r="C725" s="4" t="s">
        <v>669</v>
      </c>
      <c r="D725" s="4" t="b">
        <f>FALSE()</f>
        <v>0</v>
      </c>
      <c r="E725" s="5">
        <v>29</v>
      </c>
      <c r="F725" s="7">
        <f t="shared" si="11"/>
        <v>0.49152542372881358</v>
      </c>
      <c r="G725" s="5">
        <v>0</v>
      </c>
      <c r="H725" s="14">
        <v>44937</v>
      </c>
      <c r="I725" s="14">
        <v>45054</v>
      </c>
      <c r="J725" s="4" t="s">
        <v>853</v>
      </c>
      <c r="K725" s="4" t="s">
        <v>1489</v>
      </c>
      <c r="L725" s="2"/>
      <c r="M725" s="2"/>
      <c r="N725" s="2"/>
    </row>
    <row r="726" spans="1:14" x14ac:dyDescent="0.45">
      <c r="A726" s="9" t="s">
        <v>773</v>
      </c>
      <c r="B726" s="9" t="s">
        <v>847</v>
      </c>
      <c r="C726" s="9" t="s">
        <v>774</v>
      </c>
      <c r="D726" s="9" t="b">
        <f>TRUE()</f>
        <v>1</v>
      </c>
      <c r="E726" s="10">
        <v>647</v>
      </c>
      <c r="F726" s="12">
        <f t="shared" si="11"/>
        <v>0.86266666666666669</v>
      </c>
      <c r="G726" s="10">
        <v>35</v>
      </c>
      <c r="H726" s="15">
        <v>45036</v>
      </c>
      <c r="I726" s="15">
        <v>46112</v>
      </c>
      <c r="J726" s="9" t="s">
        <v>848</v>
      </c>
      <c r="K726" s="9" t="s">
        <v>1490</v>
      </c>
      <c r="L726" s="2"/>
      <c r="M726" s="2"/>
      <c r="N726" s="2"/>
    </row>
    <row r="727" spans="1:14" x14ac:dyDescent="0.45">
      <c r="A727" s="4" t="s">
        <v>773</v>
      </c>
      <c r="B727" s="4" t="s">
        <v>847</v>
      </c>
      <c r="C727" s="4" t="s">
        <v>312</v>
      </c>
      <c r="D727" s="4" t="b">
        <f>FALSE()</f>
        <v>0</v>
      </c>
      <c r="E727" s="5">
        <v>103</v>
      </c>
      <c r="F727" s="7">
        <f t="shared" si="11"/>
        <v>0.13733333333333334</v>
      </c>
      <c r="G727" s="5">
        <v>0</v>
      </c>
      <c r="H727" s="14">
        <v>44929</v>
      </c>
      <c r="I727" s="14">
        <v>45055</v>
      </c>
      <c r="J727" s="4" t="s">
        <v>853</v>
      </c>
      <c r="K727" s="4" t="s">
        <v>1153</v>
      </c>
      <c r="L727" s="2"/>
      <c r="M727" s="2"/>
      <c r="N727" s="2"/>
    </row>
    <row r="728" spans="1:14" x14ac:dyDescent="0.45">
      <c r="A728" s="9" t="s">
        <v>775</v>
      </c>
      <c r="B728" s="9" t="s">
        <v>847</v>
      </c>
      <c r="C728" s="9" t="s">
        <v>774</v>
      </c>
      <c r="D728" s="9" t="b">
        <f>TRUE()</f>
        <v>1</v>
      </c>
      <c r="E728" s="10">
        <v>69</v>
      </c>
      <c r="F728" s="12">
        <f t="shared" si="11"/>
        <v>0.89610389610389607</v>
      </c>
      <c r="G728" s="10">
        <v>9</v>
      </c>
      <c r="H728" s="15">
        <v>45051</v>
      </c>
      <c r="I728" s="15">
        <v>46105</v>
      </c>
      <c r="J728" s="9" t="s">
        <v>848</v>
      </c>
      <c r="K728" s="9" t="s">
        <v>1491</v>
      </c>
      <c r="L728" s="2"/>
      <c r="M728" s="2"/>
      <c r="N728" s="2"/>
    </row>
    <row r="729" spans="1:14" x14ac:dyDescent="0.45">
      <c r="A729" s="4" t="s">
        <v>775</v>
      </c>
      <c r="B729" s="4" t="s">
        <v>847</v>
      </c>
      <c r="C729" s="4" t="s">
        <v>312</v>
      </c>
      <c r="D729" s="4" t="b">
        <f>FALSE()</f>
        <v>0</v>
      </c>
      <c r="E729" s="5">
        <v>8</v>
      </c>
      <c r="F729" s="7">
        <f t="shared" si="11"/>
        <v>0.1038961038961039</v>
      </c>
      <c r="G729" s="5">
        <v>0</v>
      </c>
      <c r="H729" s="14">
        <v>44938</v>
      </c>
      <c r="I729" s="14">
        <v>45051</v>
      </c>
      <c r="J729" s="4" t="s">
        <v>853</v>
      </c>
      <c r="K729" s="4" t="s">
        <v>1492</v>
      </c>
      <c r="L729" s="2"/>
      <c r="M729" s="2"/>
      <c r="N729" s="2"/>
    </row>
    <row r="730" spans="1:14" x14ac:dyDescent="0.45">
      <c r="A730" s="9" t="s">
        <v>777</v>
      </c>
      <c r="B730" s="9" t="s">
        <v>1493</v>
      </c>
      <c r="C730" s="9" t="s">
        <v>774</v>
      </c>
      <c r="D730" s="9" t="b">
        <f>TRUE()</f>
        <v>1</v>
      </c>
      <c r="E730" s="10">
        <v>42</v>
      </c>
      <c r="F730" s="12">
        <f t="shared" si="11"/>
        <v>0.80769230769230771</v>
      </c>
      <c r="G730" s="10">
        <v>2</v>
      </c>
      <c r="H730" s="15">
        <v>44942</v>
      </c>
      <c r="I730" s="15">
        <v>46093</v>
      </c>
      <c r="J730" s="9" t="s">
        <v>848</v>
      </c>
      <c r="K730" s="9" t="s">
        <v>1494</v>
      </c>
      <c r="L730" s="2"/>
      <c r="M730" s="2"/>
      <c r="N730" s="2"/>
    </row>
    <row r="731" spans="1:14" x14ac:dyDescent="0.45">
      <c r="A731" s="4" t="s">
        <v>777</v>
      </c>
      <c r="B731" s="4" t="s">
        <v>1493</v>
      </c>
      <c r="C731" s="4" t="s">
        <v>797</v>
      </c>
      <c r="D731" s="4" t="b">
        <f>FALSE()</f>
        <v>0</v>
      </c>
      <c r="E731" s="5">
        <v>10</v>
      </c>
      <c r="F731" s="7">
        <f t="shared" si="11"/>
        <v>0.19230769230769232</v>
      </c>
      <c r="G731" s="5">
        <v>0</v>
      </c>
      <c r="H731" s="14">
        <v>45854</v>
      </c>
      <c r="I731" s="14">
        <v>46002</v>
      </c>
      <c r="J731" s="4" t="s">
        <v>864</v>
      </c>
      <c r="K731" s="4" t="s">
        <v>1495</v>
      </c>
      <c r="L731" s="2"/>
      <c r="M731" s="2"/>
      <c r="N731" s="2"/>
    </row>
    <row r="732" spans="1:14" x14ac:dyDescent="0.45">
      <c r="A732" s="9" t="s">
        <v>778</v>
      </c>
      <c r="B732" s="9" t="s">
        <v>847</v>
      </c>
      <c r="C732" s="9" t="s">
        <v>774</v>
      </c>
      <c r="D732" s="9" t="b">
        <f>TRUE()</f>
        <v>1</v>
      </c>
      <c r="E732" s="10">
        <v>32</v>
      </c>
      <c r="F732" s="12">
        <f t="shared" si="11"/>
        <v>0.69565217391304346</v>
      </c>
      <c r="G732" s="10">
        <v>0</v>
      </c>
      <c r="H732" s="15">
        <v>44958</v>
      </c>
      <c r="I732" s="15">
        <v>45244</v>
      </c>
      <c r="J732" s="9" t="s">
        <v>848</v>
      </c>
      <c r="K732" s="9" t="s">
        <v>1496</v>
      </c>
      <c r="L732" s="2"/>
      <c r="M732" s="2"/>
      <c r="N732" s="2"/>
    </row>
    <row r="733" spans="1:14" x14ac:dyDescent="0.45">
      <c r="A733" s="4" t="s">
        <v>778</v>
      </c>
      <c r="B733" s="4" t="s">
        <v>847</v>
      </c>
      <c r="C733" s="4" t="s">
        <v>312</v>
      </c>
      <c r="D733" s="4" t="b">
        <f>FALSE()</f>
        <v>0</v>
      </c>
      <c r="E733" s="5">
        <v>14</v>
      </c>
      <c r="F733" s="7">
        <f t="shared" si="11"/>
        <v>0.30434782608695654</v>
      </c>
      <c r="G733" s="5">
        <v>0</v>
      </c>
      <c r="H733" s="14">
        <v>44931</v>
      </c>
      <c r="I733" s="14">
        <v>45049</v>
      </c>
      <c r="J733" s="4" t="s">
        <v>853</v>
      </c>
      <c r="K733" s="4" t="s">
        <v>1497</v>
      </c>
      <c r="L733" s="2"/>
      <c r="M733" s="2"/>
      <c r="N733" s="2"/>
    </row>
    <row r="734" spans="1:14" x14ac:dyDescent="0.45">
      <c r="A734" s="9" t="s">
        <v>779</v>
      </c>
      <c r="B734" s="9" t="s">
        <v>847</v>
      </c>
      <c r="C734" s="9" t="s">
        <v>774</v>
      </c>
      <c r="D734" s="9" t="b">
        <f>TRUE()</f>
        <v>1</v>
      </c>
      <c r="E734" s="10">
        <v>39</v>
      </c>
      <c r="F734" s="12">
        <f t="shared" si="11"/>
        <v>0.95121951219512191</v>
      </c>
      <c r="G734" s="10">
        <v>0</v>
      </c>
      <c r="H734" s="15">
        <v>44945</v>
      </c>
      <c r="I734" s="15">
        <v>45216</v>
      </c>
      <c r="J734" s="9" t="s">
        <v>848</v>
      </c>
      <c r="K734" s="9" t="s">
        <v>1498</v>
      </c>
      <c r="L734" s="2"/>
      <c r="M734" s="2"/>
      <c r="N734" s="2"/>
    </row>
    <row r="735" spans="1:14" x14ac:dyDescent="0.45">
      <c r="A735" s="4" t="s">
        <v>779</v>
      </c>
      <c r="B735" s="4" t="s">
        <v>847</v>
      </c>
      <c r="C735" s="4" t="s">
        <v>312</v>
      </c>
      <c r="D735" s="4" t="b">
        <f>FALSE()</f>
        <v>0</v>
      </c>
      <c r="E735" s="5">
        <v>2</v>
      </c>
      <c r="F735" s="7">
        <f t="shared" si="11"/>
        <v>4.878048780487805E-2</v>
      </c>
      <c r="G735" s="5">
        <v>0</v>
      </c>
      <c r="H735" s="14">
        <v>45007</v>
      </c>
      <c r="I735" s="14">
        <v>45043</v>
      </c>
      <c r="J735" s="4" t="s">
        <v>853</v>
      </c>
      <c r="K735" s="4" t="s">
        <v>1499</v>
      </c>
      <c r="L735" s="2"/>
      <c r="M735" s="2"/>
      <c r="N735" s="2"/>
    </row>
    <row r="736" spans="1:14" x14ac:dyDescent="0.45">
      <c r="A736" s="9" t="s">
        <v>781</v>
      </c>
      <c r="B736" s="9" t="s">
        <v>847</v>
      </c>
      <c r="C736" s="9" t="s">
        <v>774</v>
      </c>
      <c r="D736" s="9" t="b">
        <f>TRUE()</f>
        <v>1</v>
      </c>
      <c r="E736" s="10">
        <v>16</v>
      </c>
      <c r="F736" s="12">
        <f t="shared" si="11"/>
        <v>0.84210526315789469</v>
      </c>
      <c r="G736" s="10">
        <v>2</v>
      </c>
      <c r="H736" s="15">
        <v>45055</v>
      </c>
      <c r="I736" s="15">
        <v>46073</v>
      </c>
      <c r="J736" s="9" t="s">
        <v>848</v>
      </c>
      <c r="K736" s="9" t="s">
        <v>1500</v>
      </c>
      <c r="L736" s="2"/>
      <c r="M736" s="2"/>
      <c r="N736" s="2"/>
    </row>
    <row r="737" spans="1:14" x14ac:dyDescent="0.45">
      <c r="A737" s="4" t="s">
        <v>781</v>
      </c>
      <c r="B737" s="4" t="s">
        <v>847</v>
      </c>
      <c r="C737" s="4" t="s">
        <v>312</v>
      </c>
      <c r="D737" s="4" t="b">
        <f>FALSE()</f>
        <v>0</v>
      </c>
      <c r="E737" s="5">
        <v>3</v>
      </c>
      <c r="F737" s="7">
        <f t="shared" si="11"/>
        <v>0.15789473684210525</v>
      </c>
      <c r="G737" s="5">
        <v>0</v>
      </c>
      <c r="H737" s="14">
        <v>44931</v>
      </c>
      <c r="I737" s="14">
        <v>44971</v>
      </c>
      <c r="J737" s="4" t="s">
        <v>853</v>
      </c>
      <c r="K737" s="4" t="s">
        <v>1501</v>
      </c>
      <c r="L737" s="2"/>
      <c r="M737" s="2"/>
      <c r="N737" s="2"/>
    </row>
    <row r="738" spans="1:14" x14ac:dyDescent="0.45">
      <c r="A738" s="9" t="s">
        <v>782</v>
      </c>
      <c r="B738" s="9" t="s">
        <v>847</v>
      </c>
      <c r="C738" s="9" t="s">
        <v>774</v>
      </c>
      <c r="D738" s="9" t="b">
        <f>TRUE()</f>
        <v>1</v>
      </c>
      <c r="E738" s="10">
        <v>5</v>
      </c>
      <c r="F738" s="12">
        <f t="shared" si="11"/>
        <v>0.83333333333333337</v>
      </c>
      <c r="G738" s="10">
        <v>0</v>
      </c>
      <c r="H738" s="15">
        <v>45265</v>
      </c>
      <c r="I738" s="15">
        <v>45659</v>
      </c>
      <c r="J738" s="9" t="s">
        <v>848</v>
      </c>
      <c r="K738" s="9" t="s">
        <v>1502</v>
      </c>
      <c r="L738" s="2"/>
      <c r="M738" s="2"/>
      <c r="N738" s="2"/>
    </row>
    <row r="739" spans="1:14" x14ac:dyDescent="0.45">
      <c r="A739" s="4" t="s">
        <v>782</v>
      </c>
      <c r="B739" s="4" t="s">
        <v>847</v>
      </c>
      <c r="C739" s="4" t="s">
        <v>312</v>
      </c>
      <c r="D739" s="4" t="b">
        <f>FALSE()</f>
        <v>0</v>
      </c>
      <c r="E739" s="5">
        <v>1</v>
      </c>
      <c r="F739" s="7">
        <f t="shared" si="11"/>
        <v>0.16666666666666666</v>
      </c>
      <c r="G739" s="5">
        <v>0</v>
      </c>
      <c r="H739" s="14">
        <v>44928</v>
      </c>
      <c r="I739" s="14">
        <v>44928</v>
      </c>
      <c r="J739" s="4" t="s">
        <v>853</v>
      </c>
      <c r="K739" s="4" t="s">
        <v>1503</v>
      </c>
      <c r="L739" s="2"/>
      <c r="M739" s="2"/>
      <c r="N739" s="2"/>
    </row>
    <row r="740" spans="1:14" x14ac:dyDescent="0.45">
      <c r="A740" s="9" t="s">
        <v>783</v>
      </c>
      <c r="B740" s="9" t="s">
        <v>847</v>
      </c>
      <c r="C740" s="9" t="s">
        <v>774</v>
      </c>
      <c r="D740" s="9" t="b">
        <f>TRUE()</f>
        <v>1</v>
      </c>
      <c r="E740" s="10">
        <v>3</v>
      </c>
      <c r="F740" s="12">
        <f t="shared" si="11"/>
        <v>0.6</v>
      </c>
      <c r="G740" s="10">
        <v>0</v>
      </c>
      <c r="H740" s="15">
        <v>45117</v>
      </c>
      <c r="I740" s="15">
        <v>45176</v>
      </c>
      <c r="J740" s="9" t="s">
        <v>848</v>
      </c>
      <c r="K740" s="9" t="s">
        <v>1504</v>
      </c>
      <c r="L740" s="2"/>
      <c r="M740" s="2"/>
      <c r="N740" s="2"/>
    </row>
    <row r="741" spans="1:14" x14ac:dyDescent="0.45">
      <c r="A741" s="4" t="s">
        <v>783</v>
      </c>
      <c r="B741" s="4" t="s">
        <v>847</v>
      </c>
      <c r="C741" s="4" t="s">
        <v>312</v>
      </c>
      <c r="D741" s="4" t="b">
        <f>FALSE()</f>
        <v>0</v>
      </c>
      <c r="E741" s="5">
        <v>2</v>
      </c>
      <c r="F741" s="7">
        <f t="shared" si="11"/>
        <v>0.4</v>
      </c>
      <c r="G741" s="5">
        <v>0</v>
      </c>
      <c r="H741" s="14">
        <v>44941</v>
      </c>
      <c r="I741" s="14">
        <v>45037</v>
      </c>
      <c r="J741" s="4" t="s">
        <v>853</v>
      </c>
      <c r="K741" s="4" t="s">
        <v>1505</v>
      </c>
      <c r="L741" s="2"/>
      <c r="M741" s="2"/>
      <c r="N741" s="2"/>
    </row>
    <row r="742" spans="1:14" x14ac:dyDescent="0.45">
      <c r="A742" s="9" t="s">
        <v>784</v>
      </c>
      <c r="B742" s="9" t="s">
        <v>847</v>
      </c>
      <c r="C742" s="9" t="s">
        <v>774</v>
      </c>
      <c r="D742" s="9" t="b">
        <f>TRUE()</f>
        <v>1</v>
      </c>
      <c r="E742" s="10">
        <v>4</v>
      </c>
      <c r="F742" s="12">
        <f t="shared" si="11"/>
        <v>0.8</v>
      </c>
      <c r="G742" s="10">
        <v>0</v>
      </c>
      <c r="H742" s="15">
        <v>45086</v>
      </c>
      <c r="I742" s="15">
        <v>45222</v>
      </c>
      <c r="J742" s="9" t="s">
        <v>848</v>
      </c>
      <c r="K742" s="9" t="s">
        <v>1506</v>
      </c>
      <c r="L742" s="2"/>
      <c r="M742" s="2"/>
      <c r="N742" s="2"/>
    </row>
    <row r="743" spans="1:14" x14ac:dyDescent="0.45">
      <c r="A743" s="4" t="s">
        <v>784</v>
      </c>
      <c r="B743" s="4" t="s">
        <v>847</v>
      </c>
      <c r="C743" s="4" t="s">
        <v>312</v>
      </c>
      <c r="D743" s="4" t="b">
        <f>FALSE()</f>
        <v>0</v>
      </c>
      <c r="E743" s="5">
        <v>1</v>
      </c>
      <c r="F743" s="7">
        <f t="shared" si="11"/>
        <v>0.2</v>
      </c>
      <c r="G743" s="5">
        <v>0</v>
      </c>
      <c r="H743" s="14">
        <v>44972</v>
      </c>
      <c r="I743" s="14">
        <v>44972</v>
      </c>
      <c r="J743" s="4" t="s">
        <v>853</v>
      </c>
      <c r="K743" s="4" t="s">
        <v>1507</v>
      </c>
      <c r="L743" s="2"/>
      <c r="M743" s="2"/>
      <c r="N743" s="2"/>
    </row>
    <row r="744" spans="1:14" x14ac:dyDescent="0.45">
      <c r="A744" s="9" t="s">
        <v>785</v>
      </c>
      <c r="B744" s="9" t="s">
        <v>847</v>
      </c>
      <c r="C744" s="9" t="s">
        <v>774</v>
      </c>
      <c r="D744" s="9" t="b">
        <f>TRUE()</f>
        <v>1</v>
      </c>
      <c r="E744" s="10">
        <v>1</v>
      </c>
      <c r="F744" s="12">
        <f t="shared" si="11"/>
        <v>0.5</v>
      </c>
      <c r="G744" s="10">
        <v>0</v>
      </c>
      <c r="H744" s="15">
        <v>45103</v>
      </c>
      <c r="I744" s="15">
        <v>45103</v>
      </c>
      <c r="J744" s="9" t="s">
        <v>848</v>
      </c>
      <c r="K744" s="9" t="s">
        <v>1508</v>
      </c>
      <c r="L744" s="2"/>
      <c r="M744" s="2"/>
      <c r="N744" s="2"/>
    </row>
    <row r="745" spans="1:14" x14ac:dyDescent="0.45">
      <c r="A745" s="4" t="s">
        <v>785</v>
      </c>
      <c r="B745" s="4" t="s">
        <v>847</v>
      </c>
      <c r="C745" s="4" t="s">
        <v>312</v>
      </c>
      <c r="D745" s="4" t="b">
        <f>FALSE()</f>
        <v>0</v>
      </c>
      <c r="E745" s="5">
        <v>1</v>
      </c>
      <c r="F745" s="7">
        <f t="shared" si="11"/>
        <v>0.5</v>
      </c>
      <c r="G745" s="5">
        <v>0</v>
      </c>
      <c r="H745" s="14">
        <v>44987</v>
      </c>
      <c r="I745" s="14">
        <v>44987</v>
      </c>
      <c r="J745" s="4" t="s">
        <v>853</v>
      </c>
      <c r="K745" s="4" t="s">
        <v>1509</v>
      </c>
      <c r="L745" s="2"/>
      <c r="M745" s="2"/>
      <c r="N745" s="2"/>
    </row>
    <row r="746" spans="1:14" x14ac:dyDescent="0.45">
      <c r="A746" s="9" t="s">
        <v>786</v>
      </c>
      <c r="B746" s="9" t="s">
        <v>847</v>
      </c>
      <c r="C746" s="9" t="s">
        <v>787</v>
      </c>
      <c r="D746" s="9" t="b">
        <f>TRUE()</f>
        <v>1</v>
      </c>
      <c r="E746" s="10">
        <v>22540</v>
      </c>
      <c r="F746" s="12">
        <f t="shared" si="11"/>
        <v>0.86625672559569566</v>
      </c>
      <c r="G746" s="10">
        <v>0</v>
      </c>
      <c r="H746" s="15">
        <v>44986</v>
      </c>
      <c r="I746" s="15">
        <v>45876</v>
      </c>
      <c r="J746" s="9" t="s">
        <v>848</v>
      </c>
      <c r="K746" s="9" t="s">
        <v>1510</v>
      </c>
      <c r="L746" s="2"/>
      <c r="M746" s="2"/>
      <c r="N746" s="2"/>
    </row>
    <row r="747" spans="1:14" x14ac:dyDescent="0.45">
      <c r="A747" s="4" t="s">
        <v>786</v>
      </c>
      <c r="B747" s="4" t="s">
        <v>847</v>
      </c>
      <c r="C747" s="4" t="s">
        <v>1511</v>
      </c>
      <c r="D747" s="4" t="b">
        <f>FALSE()</f>
        <v>0</v>
      </c>
      <c r="E747" s="5">
        <v>3480</v>
      </c>
      <c r="F747" s="7">
        <f t="shared" si="11"/>
        <v>0.13374327440430439</v>
      </c>
      <c r="G747" s="5">
        <v>0</v>
      </c>
      <c r="H747" s="14">
        <v>44928</v>
      </c>
      <c r="I747" s="14">
        <v>45061</v>
      </c>
      <c r="J747" s="4" t="s">
        <v>853</v>
      </c>
      <c r="K747" s="4" t="s">
        <v>1512</v>
      </c>
      <c r="L747" s="2"/>
      <c r="M747" s="2"/>
      <c r="N747" s="2"/>
    </row>
    <row r="748" spans="1:14" x14ac:dyDescent="0.45">
      <c r="A748" s="9" t="s">
        <v>788</v>
      </c>
      <c r="B748" s="9" t="s">
        <v>847</v>
      </c>
      <c r="C748" s="9" t="s">
        <v>787</v>
      </c>
      <c r="D748" s="9" t="b">
        <f>TRUE()</f>
        <v>1</v>
      </c>
      <c r="E748" s="10">
        <v>2144</v>
      </c>
      <c r="F748" s="12">
        <f t="shared" si="11"/>
        <v>0.88412371134020618</v>
      </c>
      <c r="G748" s="10">
        <v>0</v>
      </c>
      <c r="H748" s="15">
        <v>45051</v>
      </c>
      <c r="I748" s="15">
        <v>45834</v>
      </c>
      <c r="J748" s="9" t="s">
        <v>848</v>
      </c>
      <c r="K748" s="9" t="s">
        <v>1513</v>
      </c>
      <c r="L748" s="2"/>
      <c r="M748" s="2"/>
      <c r="N748" s="2"/>
    </row>
    <row r="749" spans="1:14" x14ac:dyDescent="0.45">
      <c r="A749" s="4" t="s">
        <v>788</v>
      </c>
      <c r="B749" s="4" t="s">
        <v>847</v>
      </c>
      <c r="C749" s="4" t="s">
        <v>1511</v>
      </c>
      <c r="D749" s="4" t="b">
        <f>FALSE()</f>
        <v>0</v>
      </c>
      <c r="E749" s="5">
        <v>281</v>
      </c>
      <c r="F749" s="7">
        <f t="shared" si="11"/>
        <v>0.11587628865979381</v>
      </c>
      <c r="G749" s="5">
        <v>0</v>
      </c>
      <c r="H749" s="14">
        <v>44928</v>
      </c>
      <c r="I749" s="14">
        <v>45055</v>
      </c>
      <c r="J749" s="4" t="s">
        <v>853</v>
      </c>
      <c r="K749" s="4" t="s">
        <v>1514</v>
      </c>
      <c r="L749" s="2"/>
      <c r="M749" s="2"/>
      <c r="N749" s="2"/>
    </row>
    <row r="750" spans="1:14" x14ac:dyDescent="0.45">
      <c r="A750" s="9" t="s">
        <v>789</v>
      </c>
      <c r="B750" s="9" t="s">
        <v>847</v>
      </c>
      <c r="C750" s="9" t="s">
        <v>787</v>
      </c>
      <c r="D750" s="9" t="b">
        <f>TRUE()</f>
        <v>1</v>
      </c>
      <c r="E750" s="10">
        <v>1630</v>
      </c>
      <c r="F750" s="12">
        <f t="shared" si="11"/>
        <v>0.89560439560439564</v>
      </c>
      <c r="G750" s="10">
        <v>90</v>
      </c>
      <c r="H750" s="15">
        <v>44929</v>
      </c>
      <c r="I750" s="15">
        <v>46114</v>
      </c>
      <c r="J750" s="9" t="s">
        <v>848</v>
      </c>
      <c r="K750" s="9" t="s">
        <v>1515</v>
      </c>
      <c r="L750" s="2"/>
      <c r="M750" s="2"/>
      <c r="N750" s="2"/>
    </row>
    <row r="751" spans="1:14" x14ac:dyDescent="0.45">
      <c r="A751" s="4" t="s">
        <v>789</v>
      </c>
      <c r="B751" s="4" t="s">
        <v>847</v>
      </c>
      <c r="C751" s="4" t="s">
        <v>1511</v>
      </c>
      <c r="D751" s="4" t="b">
        <f>FALSE()</f>
        <v>0</v>
      </c>
      <c r="E751" s="5">
        <v>190</v>
      </c>
      <c r="F751" s="7">
        <f t="shared" si="11"/>
        <v>0.1043956043956044</v>
      </c>
      <c r="G751" s="5">
        <v>0</v>
      </c>
      <c r="H751" s="14">
        <v>44928</v>
      </c>
      <c r="I751" s="14">
        <v>45054</v>
      </c>
      <c r="J751" s="4" t="s">
        <v>853</v>
      </c>
      <c r="K751" s="4" t="s">
        <v>939</v>
      </c>
      <c r="L751" s="2"/>
      <c r="M751" s="2"/>
      <c r="N751" s="2"/>
    </row>
    <row r="752" spans="1:14" x14ac:dyDescent="0.45">
      <c r="A752" s="9" t="s">
        <v>791</v>
      </c>
      <c r="B752" s="9" t="s">
        <v>847</v>
      </c>
      <c r="C752" s="9" t="s">
        <v>787</v>
      </c>
      <c r="D752" s="9" t="b">
        <f>TRUE()</f>
        <v>1</v>
      </c>
      <c r="E752" s="10">
        <v>67</v>
      </c>
      <c r="F752" s="12">
        <f t="shared" si="11"/>
        <v>0.89333333333333331</v>
      </c>
      <c r="G752" s="10">
        <v>5</v>
      </c>
      <c r="H752" s="15">
        <v>45048</v>
      </c>
      <c r="I752" s="15">
        <v>46105</v>
      </c>
      <c r="J752" s="9" t="s">
        <v>848</v>
      </c>
      <c r="K752" s="9" t="s">
        <v>1516</v>
      </c>
      <c r="L752" s="2"/>
      <c r="M752" s="2"/>
      <c r="N752" s="2"/>
    </row>
    <row r="753" spans="1:14" x14ac:dyDescent="0.45">
      <c r="A753" s="4" t="s">
        <v>791</v>
      </c>
      <c r="B753" s="4" t="s">
        <v>847</v>
      </c>
      <c r="C753" s="4" t="s">
        <v>1511</v>
      </c>
      <c r="D753" s="4" t="b">
        <f>FALSE()</f>
        <v>0</v>
      </c>
      <c r="E753" s="5">
        <v>8</v>
      </c>
      <c r="F753" s="7">
        <f t="shared" si="11"/>
        <v>0.10666666666666667</v>
      </c>
      <c r="G753" s="5">
        <v>0</v>
      </c>
      <c r="H753" s="14">
        <v>44928</v>
      </c>
      <c r="I753" s="14">
        <v>45014</v>
      </c>
      <c r="J753" s="4" t="s">
        <v>853</v>
      </c>
      <c r="K753" s="4" t="s">
        <v>1517</v>
      </c>
      <c r="L753" s="2"/>
      <c r="M753" s="2"/>
      <c r="N753" s="2"/>
    </row>
    <row r="754" spans="1:14" x14ac:dyDescent="0.45">
      <c r="A754" s="9" t="s">
        <v>792</v>
      </c>
      <c r="B754" s="9" t="s">
        <v>847</v>
      </c>
      <c r="C754" s="9" t="s">
        <v>787</v>
      </c>
      <c r="D754" s="9" t="b">
        <f>TRUE()</f>
        <v>1</v>
      </c>
      <c r="E754" s="10">
        <v>63</v>
      </c>
      <c r="F754" s="12">
        <f t="shared" si="11"/>
        <v>0.984375</v>
      </c>
      <c r="G754" s="10">
        <v>0</v>
      </c>
      <c r="H754" s="15">
        <v>45016</v>
      </c>
      <c r="I754" s="15">
        <v>45874</v>
      </c>
      <c r="J754" s="9" t="s">
        <v>848</v>
      </c>
      <c r="K754" s="9" t="s">
        <v>1518</v>
      </c>
      <c r="L754" s="2"/>
      <c r="M754" s="2"/>
      <c r="N754" s="2"/>
    </row>
    <row r="755" spans="1:14" x14ac:dyDescent="0.45">
      <c r="A755" s="4" t="s">
        <v>792</v>
      </c>
      <c r="B755" s="4" t="s">
        <v>847</v>
      </c>
      <c r="C755" s="4" t="s">
        <v>1511</v>
      </c>
      <c r="D755" s="4" t="b">
        <f>FALSE()</f>
        <v>0</v>
      </c>
      <c r="E755" s="5">
        <v>1</v>
      </c>
      <c r="F755" s="7">
        <f t="shared" si="11"/>
        <v>1.5625E-2</v>
      </c>
      <c r="G755" s="5">
        <v>0</v>
      </c>
      <c r="H755" s="14">
        <v>44984</v>
      </c>
      <c r="I755" s="14">
        <v>44984</v>
      </c>
      <c r="J755" s="4" t="s">
        <v>853</v>
      </c>
      <c r="K755" s="4" t="s">
        <v>1519</v>
      </c>
      <c r="L755" s="2"/>
      <c r="M755" s="2"/>
      <c r="N755" s="2"/>
    </row>
    <row r="756" spans="1:14" x14ac:dyDescent="0.45">
      <c r="A756" s="9" t="s">
        <v>794</v>
      </c>
      <c r="B756" s="9" t="s">
        <v>847</v>
      </c>
      <c r="C756" s="9" t="s">
        <v>795</v>
      </c>
      <c r="D756" s="9" t="b">
        <f>TRUE()</f>
        <v>1</v>
      </c>
      <c r="E756" s="10">
        <v>4494</v>
      </c>
      <c r="F756" s="12">
        <f t="shared" si="11"/>
        <v>0.97462589459986992</v>
      </c>
      <c r="G756" s="10">
        <v>1083</v>
      </c>
      <c r="H756" s="15">
        <v>44928</v>
      </c>
      <c r="I756" s="15">
        <v>46296</v>
      </c>
      <c r="J756" s="9" t="s">
        <v>848</v>
      </c>
      <c r="K756" s="9" t="s">
        <v>930</v>
      </c>
      <c r="L756" s="2"/>
      <c r="M756" s="2"/>
      <c r="N756" s="2"/>
    </row>
    <row r="757" spans="1:14" x14ac:dyDescent="0.45">
      <c r="A757" s="4" t="s">
        <v>794</v>
      </c>
      <c r="B757" s="4" t="s">
        <v>847</v>
      </c>
      <c r="C757" s="4" t="s">
        <v>1520</v>
      </c>
      <c r="D757" s="4" t="b">
        <f>FALSE()</f>
        <v>0</v>
      </c>
      <c r="E757" s="5">
        <v>117</v>
      </c>
      <c r="F757" s="7">
        <f t="shared" si="11"/>
        <v>2.5374105400130124E-2</v>
      </c>
      <c r="G757" s="5">
        <v>0</v>
      </c>
      <c r="H757" s="14">
        <v>44929</v>
      </c>
      <c r="I757" s="14">
        <v>45049</v>
      </c>
      <c r="J757" s="4" t="s">
        <v>850</v>
      </c>
      <c r="K757" s="4" t="s">
        <v>1521</v>
      </c>
      <c r="L757" s="2"/>
      <c r="M757" s="2"/>
      <c r="N757" s="2"/>
    </row>
    <row r="758" spans="1:14" x14ac:dyDescent="0.45">
      <c r="A758" s="9" t="s">
        <v>800</v>
      </c>
      <c r="B758" s="9" t="s">
        <v>847</v>
      </c>
      <c r="C758" s="9" t="s">
        <v>797</v>
      </c>
      <c r="D758" s="9" t="b">
        <f>TRUE()</f>
        <v>1</v>
      </c>
      <c r="E758" s="10">
        <v>10</v>
      </c>
      <c r="F758" s="12">
        <f t="shared" si="11"/>
        <v>0.90909090909090906</v>
      </c>
      <c r="G758" s="10">
        <v>2</v>
      </c>
      <c r="H758" s="15">
        <v>45154</v>
      </c>
      <c r="I758" s="15">
        <v>46203</v>
      </c>
      <c r="J758" s="9" t="s">
        <v>848</v>
      </c>
      <c r="K758" s="9" t="s">
        <v>1522</v>
      </c>
      <c r="L758" s="2"/>
      <c r="M758" s="2"/>
      <c r="N758" s="2"/>
    </row>
    <row r="759" spans="1:14" x14ac:dyDescent="0.45">
      <c r="A759" s="4" t="s">
        <v>800</v>
      </c>
      <c r="B759" s="4" t="s">
        <v>847</v>
      </c>
      <c r="C759" s="4" t="s">
        <v>1523</v>
      </c>
      <c r="D759" s="4" t="b">
        <f>FALSE()</f>
        <v>0</v>
      </c>
      <c r="E759" s="5">
        <v>1</v>
      </c>
      <c r="F759" s="7">
        <f t="shared" si="11"/>
        <v>9.0909090909090912E-2</v>
      </c>
      <c r="G759" s="5">
        <v>0</v>
      </c>
      <c r="H759" s="14">
        <v>44957</v>
      </c>
      <c r="I759" s="14">
        <v>44957</v>
      </c>
      <c r="J759" s="4" t="s">
        <v>850</v>
      </c>
      <c r="K759" s="4" t="s">
        <v>1524</v>
      </c>
      <c r="L759" s="2"/>
      <c r="M759" s="2"/>
      <c r="N759" s="2"/>
    </row>
    <row r="760" spans="1:14" x14ac:dyDescent="0.45">
      <c r="A760" s="9" t="s">
        <v>806</v>
      </c>
      <c r="B760" s="9" t="s">
        <v>847</v>
      </c>
      <c r="C760" s="9" t="s">
        <v>807</v>
      </c>
      <c r="D760" s="9" t="b">
        <f>TRUE()</f>
        <v>1</v>
      </c>
      <c r="E760" s="10">
        <v>1</v>
      </c>
      <c r="F760" s="12">
        <f t="shared" si="11"/>
        <v>0.5</v>
      </c>
      <c r="G760" s="10">
        <v>0</v>
      </c>
      <c r="H760" s="15">
        <v>44952</v>
      </c>
      <c r="I760" s="15">
        <v>44952</v>
      </c>
      <c r="J760" s="9" t="s">
        <v>848</v>
      </c>
      <c r="K760" s="9" t="s">
        <v>1525</v>
      </c>
      <c r="L760" s="2"/>
      <c r="M760" s="2"/>
      <c r="N760" s="2"/>
    </row>
    <row r="761" spans="1:14" x14ac:dyDescent="0.45">
      <c r="A761" s="4" t="s">
        <v>806</v>
      </c>
      <c r="B761" s="4" t="s">
        <v>847</v>
      </c>
      <c r="C761" s="4" t="s">
        <v>119</v>
      </c>
      <c r="D761" s="4" t="b">
        <f>FALSE()</f>
        <v>0</v>
      </c>
      <c r="E761" s="5">
        <v>1</v>
      </c>
      <c r="F761" s="7">
        <f t="shared" si="11"/>
        <v>0.5</v>
      </c>
      <c r="G761" s="5">
        <v>0</v>
      </c>
      <c r="H761" s="14">
        <v>44945</v>
      </c>
      <c r="I761" s="14">
        <v>44945</v>
      </c>
      <c r="J761" s="4" t="s">
        <v>853</v>
      </c>
      <c r="K761" s="4" t="s">
        <v>1526</v>
      </c>
      <c r="L761" s="2"/>
      <c r="M761" s="2"/>
      <c r="N761" s="2"/>
    </row>
    <row r="762" spans="1:14" x14ac:dyDescent="0.45">
      <c r="A762" s="9" t="s">
        <v>810</v>
      </c>
      <c r="B762" s="9" t="s">
        <v>847</v>
      </c>
      <c r="C762" s="9" t="s">
        <v>811</v>
      </c>
      <c r="D762" s="9" t="b">
        <f>TRUE()</f>
        <v>1</v>
      </c>
      <c r="E762" s="10">
        <v>271</v>
      </c>
      <c r="F762" s="12">
        <f t="shared" si="11"/>
        <v>0.65458937198067635</v>
      </c>
      <c r="G762" s="10">
        <v>0</v>
      </c>
      <c r="H762" s="15">
        <v>44929</v>
      </c>
      <c r="I762" s="15">
        <v>45762</v>
      </c>
      <c r="J762" s="9" t="s">
        <v>848</v>
      </c>
      <c r="K762" s="9" t="s">
        <v>1527</v>
      </c>
      <c r="L762" s="2"/>
      <c r="M762" s="2"/>
      <c r="N762" s="2"/>
    </row>
    <row r="763" spans="1:14" x14ac:dyDescent="0.45">
      <c r="A763" s="4" t="s">
        <v>810</v>
      </c>
      <c r="B763" s="4" t="s">
        <v>847</v>
      </c>
      <c r="C763" s="4" t="s">
        <v>1528</v>
      </c>
      <c r="D763" s="4" t="b">
        <f>FALSE()</f>
        <v>0</v>
      </c>
      <c r="E763" s="5">
        <v>143</v>
      </c>
      <c r="F763" s="7">
        <f t="shared" si="11"/>
        <v>0.34541062801932365</v>
      </c>
      <c r="G763" s="5">
        <v>85</v>
      </c>
      <c r="H763" s="14">
        <v>45730</v>
      </c>
      <c r="I763" s="14">
        <v>46286</v>
      </c>
      <c r="J763" s="4" t="s">
        <v>853</v>
      </c>
      <c r="K763" s="4" t="s">
        <v>1529</v>
      </c>
      <c r="L763" s="2"/>
      <c r="M763" s="2"/>
      <c r="N763" s="2"/>
    </row>
    <row r="764" spans="1:14" x14ac:dyDescent="0.45">
      <c r="A764" s="9" t="s">
        <v>812</v>
      </c>
      <c r="B764" s="9" t="s">
        <v>847</v>
      </c>
      <c r="C764" s="9" t="s">
        <v>813</v>
      </c>
      <c r="D764" s="9" t="b">
        <f>TRUE()</f>
        <v>1</v>
      </c>
      <c r="E764" s="10">
        <v>317</v>
      </c>
      <c r="F764" s="12">
        <f t="shared" si="11"/>
        <v>0.58165137614678897</v>
      </c>
      <c r="G764" s="10">
        <v>0</v>
      </c>
      <c r="H764" s="15">
        <v>44929</v>
      </c>
      <c r="I764" s="15">
        <v>45055</v>
      </c>
      <c r="J764" s="9" t="s">
        <v>848</v>
      </c>
      <c r="K764" s="9" t="s">
        <v>1443</v>
      </c>
      <c r="L764" s="2"/>
      <c r="M764" s="2"/>
      <c r="N764" s="2"/>
    </row>
    <row r="765" spans="1:14" x14ac:dyDescent="0.45">
      <c r="A765" s="4" t="s">
        <v>812</v>
      </c>
      <c r="B765" s="4" t="s">
        <v>847</v>
      </c>
      <c r="C765" s="4" t="s">
        <v>433</v>
      </c>
      <c r="D765" s="4" t="b">
        <f>FALSE()</f>
        <v>0</v>
      </c>
      <c r="E765" s="5">
        <v>228</v>
      </c>
      <c r="F765" s="7">
        <f t="shared" si="11"/>
        <v>0.41834862385321103</v>
      </c>
      <c r="G765" s="5">
        <v>0</v>
      </c>
      <c r="H765" s="14">
        <v>45034</v>
      </c>
      <c r="I765" s="14">
        <v>45126</v>
      </c>
      <c r="J765" s="4" t="s">
        <v>853</v>
      </c>
      <c r="K765" s="4" t="s">
        <v>1530</v>
      </c>
      <c r="L765" s="2"/>
      <c r="M765" s="2"/>
      <c r="N765" s="2"/>
    </row>
    <row r="766" spans="1:14" x14ac:dyDescent="0.45">
      <c r="A766" s="9" t="s">
        <v>814</v>
      </c>
      <c r="B766" s="9" t="s">
        <v>847</v>
      </c>
      <c r="C766" s="9" t="s">
        <v>813</v>
      </c>
      <c r="D766" s="9" t="b">
        <f>TRUE()</f>
        <v>1</v>
      </c>
      <c r="E766" s="10">
        <v>60</v>
      </c>
      <c r="F766" s="12">
        <f t="shared" si="11"/>
        <v>0.90909090909090906</v>
      </c>
      <c r="G766" s="10">
        <v>0</v>
      </c>
      <c r="H766" s="15">
        <v>44930</v>
      </c>
      <c r="I766" s="15">
        <v>45046</v>
      </c>
      <c r="J766" s="9" t="s">
        <v>848</v>
      </c>
      <c r="K766" s="9" t="s">
        <v>1531</v>
      </c>
      <c r="L766" s="2"/>
      <c r="M766" s="2"/>
      <c r="N766" s="2"/>
    </row>
    <row r="767" spans="1:14" x14ac:dyDescent="0.45">
      <c r="A767" s="4" t="s">
        <v>814</v>
      </c>
      <c r="B767" s="4" t="s">
        <v>847</v>
      </c>
      <c r="C767" s="4" t="s">
        <v>433</v>
      </c>
      <c r="D767" s="4" t="b">
        <f>FALSE()</f>
        <v>0</v>
      </c>
      <c r="E767" s="5">
        <v>6</v>
      </c>
      <c r="F767" s="7">
        <f t="shared" si="11"/>
        <v>9.0909090909090912E-2</v>
      </c>
      <c r="G767" s="5">
        <v>0</v>
      </c>
      <c r="H767" s="14">
        <v>45033</v>
      </c>
      <c r="I767" s="14">
        <v>45058</v>
      </c>
      <c r="J767" s="4" t="s">
        <v>853</v>
      </c>
      <c r="K767" s="4" t="s">
        <v>1532</v>
      </c>
      <c r="L767" s="2"/>
      <c r="M767" s="2"/>
      <c r="N767" s="2"/>
    </row>
    <row r="768" spans="1:14" x14ac:dyDescent="0.45">
      <c r="A768" s="9" t="s">
        <v>815</v>
      </c>
      <c r="B768" s="9" t="s">
        <v>847</v>
      </c>
      <c r="C768" s="9" t="s">
        <v>816</v>
      </c>
      <c r="D768" s="9" t="b">
        <f>TRUE()</f>
        <v>1</v>
      </c>
      <c r="E768" s="10">
        <v>138</v>
      </c>
      <c r="F768" s="12">
        <f t="shared" si="11"/>
        <v>0.50181818181818183</v>
      </c>
      <c r="G768" s="10">
        <v>0</v>
      </c>
      <c r="H768" s="15">
        <v>44928</v>
      </c>
      <c r="I768" s="15">
        <v>45055</v>
      </c>
      <c r="J768" s="9" t="s">
        <v>848</v>
      </c>
      <c r="K768" s="9" t="s">
        <v>901</v>
      </c>
      <c r="L768" s="2"/>
      <c r="M768" s="2"/>
      <c r="N768" s="2"/>
    </row>
    <row r="769" spans="1:14" x14ac:dyDescent="0.45">
      <c r="A769" s="4" t="s">
        <v>815</v>
      </c>
      <c r="B769" s="4" t="s">
        <v>847</v>
      </c>
      <c r="C769" s="4" t="s">
        <v>337</v>
      </c>
      <c r="D769" s="4" t="b">
        <f>FALSE()</f>
        <v>0</v>
      </c>
      <c r="E769" s="5">
        <v>137</v>
      </c>
      <c r="F769" s="7">
        <f t="shared" si="11"/>
        <v>0.49818181818181817</v>
      </c>
      <c r="G769" s="5">
        <v>0</v>
      </c>
      <c r="H769" s="14">
        <v>44995</v>
      </c>
      <c r="I769" s="14">
        <v>45224</v>
      </c>
      <c r="J769" s="4" t="s">
        <v>853</v>
      </c>
      <c r="K769" s="4" t="s">
        <v>1533</v>
      </c>
      <c r="L769" s="2"/>
      <c r="M769" s="2"/>
      <c r="N769" s="2"/>
    </row>
    <row r="770" spans="1:14" x14ac:dyDescent="0.45">
      <c r="A770" s="9" t="s">
        <v>821</v>
      </c>
      <c r="B770" s="9" t="s">
        <v>847</v>
      </c>
      <c r="C770" s="9" t="s">
        <v>822</v>
      </c>
      <c r="D770" s="9" t="b">
        <f>TRUE()</f>
        <v>1</v>
      </c>
      <c r="E770" s="10">
        <v>98</v>
      </c>
      <c r="F770" s="12">
        <f t="shared" ref="F770:F833" si="12">E770/SUMIFS($E$2:$E$783,$A$2:$A$783,A770)</f>
        <v>0.63636363636363635</v>
      </c>
      <c r="G770" s="10">
        <v>0</v>
      </c>
      <c r="H770" s="15">
        <v>44928</v>
      </c>
      <c r="I770" s="15">
        <v>45054</v>
      </c>
      <c r="J770" s="9" t="s">
        <v>848</v>
      </c>
      <c r="K770" s="9" t="s">
        <v>1446</v>
      </c>
      <c r="L770" s="2"/>
      <c r="M770" s="2"/>
      <c r="N770" s="2"/>
    </row>
    <row r="771" spans="1:14" x14ac:dyDescent="0.45">
      <c r="A771" s="4" t="s">
        <v>821</v>
      </c>
      <c r="B771" s="4" t="s">
        <v>847</v>
      </c>
      <c r="C771" s="4" t="s">
        <v>600</v>
      </c>
      <c r="D771" s="4" t="b">
        <f>FALSE()</f>
        <v>0</v>
      </c>
      <c r="E771" s="5">
        <v>56</v>
      </c>
      <c r="F771" s="7">
        <f t="shared" si="12"/>
        <v>0.36363636363636365</v>
      </c>
      <c r="G771" s="5">
        <v>0</v>
      </c>
      <c r="H771" s="14">
        <v>44931</v>
      </c>
      <c r="I771" s="14">
        <v>45093</v>
      </c>
      <c r="J771" s="4" t="s">
        <v>853</v>
      </c>
      <c r="K771" s="4" t="s">
        <v>1534</v>
      </c>
      <c r="L771" s="2"/>
      <c r="M771" s="2"/>
      <c r="N771" s="2"/>
    </row>
    <row r="772" spans="1:14" x14ac:dyDescent="0.45">
      <c r="A772" s="9" t="s">
        <v>823</v>
      </c>
      <c r="B772" s="9" t="s">
        <v>847</v>
      </c>
      <c r="C772" s="9" t="s">
        <v>822</v>
      </c>
      <c r="D772" s="9" t="b">
        <f>TRUE()</f>
        <v>1</v>
      </c>
      <c r="E772" s="10">
        <v>53</v>
      </c>
      <c r="F772" s="12">
        <f t="shared" si="12"/>
        <v>0.77941176470588236</v>
      </c>
      <c r="G772" s="10">
        <v>0</v>
      </c>
      <c r="H772" s="15">
        <v>44929</v>
      </c>
      <c r="I772" s="15">
        <v>45054</v>
      </c>
      <c r="J772" s="9" t="s">
        <v>848</v>
      </c>
      <c r="K772" s="9" t="s">
        <v>1535</v>
      </c>
      <c r="L772" s="2"/>
      <c r="M772" s="2"/>
      <c r="N772" s="2"/>
    </row>
    <row r="773" spans="1:14" x14ac:dyDescent="0.45">
      <c r="A773" s="4" t="s">
        <v>823</v>
      </c>
      <c r="B773" s="4" t="s">
        <v>847</v>
      </c>
      <c r="C773" s="4" t="s">
        <v>600</v>
      </c>
      <c r="D773" s="4" t="b">
        <f>FALSE()</f>
        <v>0</v>
      </c>
      <c r="E773" s="5">
        <v>15</v>
      </c>
      <c r="F773" s="7">
        <f t="shared" si="12"/>
        <v>0.22058823529411764</v>
      </c>
      <c r="G773" s="5">
        <v>0</v>
      </c>
      <c r="H773" s="14">
        <v>45062</v>
      </c>
      <c r="I773" s="14">
        <v>45091</v>
      </c>
      <c r="J773" s="4" t="s">
        <v>853</v>
      </c>
      <c r="K773" s="4" t="s">
        <v>1536</v>
      </c>
      <c r="L773" s="2"/>
      <c r="M773" s="2"/>
      <c r="N773" s="2"/>
    </row>
    <row r="774" spans="1:14" x14ac:dyDescent="0.45">
      <c r="A774" s="9" t="s">
        <v>824</v>
      </c>
      <c r="B774" s="9" t="s">
        <v>847</v>
      </c>
      <c r="C774" s="9" t="s">
        <v>822</v>
      </c>
      <c r="D774" s="9" t="b">
        <f>TRUE()</f>
        <v>1</v>
      </c>
      <c r="E774" s="10">
        <v>29</v>
      </c>
      <c r="F774" s="12">
        <f t="shared" si="12"/>
        <v>0.67441860465116277</v>
      </c>
      <c r="G774" s="10">
        <v>0</v>
      </c>
      <c r="H774" s="15">
        <v>44931</v>
      </c>
      <c r="I774" s="15">
        <v>45054</v>
      </c>
      <c r="J774" s="9" t="s">
        <v>848</v>
      </c>
      <c r="K774" s="9" t="s">
        <v>1537</v>
      </c>
      <c r="L774" s="2"/>
      <c r="M774" s="2"/>
      <c r="N774" s="2"/>
    </row>
    <row r="775" spans="1:14" x14ac:dyDescent="0.45">
      <c r="A775" s="4" t="s">
        <v>824</v>
      </c>
      <c r="B775" s="4" t="s">
        <v>847</v>
      </c>
      <c r="C775" s="4" t="s">
        <v>600</v>
      </c>
      <c r="D775" s="4" t="b">
        <f>FALSE()</f>
        <v>0</v>
      </c>
      <c r="E775" s="5">
        <v>14</v>
      </c>
      <c r="F775" s="7">
        <f t="shared" si="12"/>
        <v>0.32558139534883723</v>
      </c>
      <c r="G775" s="5">
        <v>0</v>
      </c>
      <c r="H775" s="14">
        <v>45055</v>
      </c>
      <c r="I775" s="14">
        <v>45089</v>
      </c>
      <c r="J775" s="4" t="s">
        <v>853</v>
      </c>
      <c r="K775" s="4" t="s">
        <v>1538</v>
      </c>
      <c r="L775" s="2"/>
      <c r="M775" s="2"/>
      <c r="N775" s="2"/>
    </row>
    <row r="776" spans="1:14" x14ac:dyDescent="0.45">
      <c r="A776" s="9" t="s">
        <v>825</v>
      </c>
      <c r="B776" s="9" t="s">
        <v>1128</v>
      </c>
      <c r="C776" s="9" t="s">
        <v>822</v>
      </c>
      <c r="D776" s="9" t="b">
        <f>TRUE()</f>
        <v>1</v>
      </c>
      <c r="E776" s="10">
        <v>29</v>
      </c>
      <c r="F776" s="12">
        <f t="shared" si="12"/>
        <v>0.96666666666666667</v>
      </c>
      <c r="G776" s="10">
        <v>0</v>
      </c>
      <c r="H776" s="15">
        <v>44929</v>
      </c>
      <c r="I776" s="15">
        <v>45042</v>
      </c>
      <c r="J776" s="9" t="s">
        <v>848</v>
      </c>
      <c r="K776" s="9" t="s">
        <v>1539</v>
      </c>
      <c r="L776" s="2"/>
      <c r="M776" s="2"/>
      <c r="N776" s="2"/>
    </row>
    <row r="777" spans="1:14" x14ac:dyDescent="0.45">
      <c r="A777" s="4" t="s">
        <v>825</v>
      </c>
      <c r="B777" s="4" t="s">
        <v>1128</v>
      </c>
      <c r="C777" s="4" t="s">
        <v>600</v>
      </c>
      <c r="D777" s="4" t="b">
        <f>FALSE()</f>
        <v>0</v>
      </c>
      <c r="E777" s="5">
        <v>1</v>
      </c>
      <c r="F777" s="7">
        <f t="shared" si="12"/>
        <v>3.3333333333333333E-2</v>
      </c>
      <c r="G777" s="5">
        <v>0</v>
      </c>
      <c r="H777" s="14">
        <v>44995</v>
      </c>
      <c r="I777" s="14">
        <v>44995</v>
      </c>
      <c r="J777" s="4" t="s">
        <v>861</v>
      </c>
      <c r="K777" s="4" t="s">
        <v>1540</v>
      </c>
      <c r="L777" s="2"/>
      <c r="M777" s="2"/>
      <c r="N777" s="2"/>
    </row>
    <row r="778" spans="1:14" x14ac:dyDescent="0.45">
      <c r="A778" s="9" t="s">
        <v>826</v>
      </c>
      <c r="B778" s="9" t="s">
        <v>847</v>
      </c>
      <c r="C778" s="9" t="s">
        <v>822</v>
      </c>
      <c r="D778" s="9" t="b">
        <f>TRUE()</f>
        <v>1</v>
      </c>
      <c r="E778" s="10">
        <v>8</v>
      </c>
      <c r="F778" s="12">
        <f t="shared" si="12"/>
        <v>0.61538461538461542</v>
      </c>
      <c r="G778" s="10">
        <v>0</v>
      </c>
      <c r="H778" s="15">
        <v>44931</v>
      </c>
      <c r="I778" s="15">
        <v>45035</v>
      </c>
      <c r="J778" s="9" t="s">
        <v>848</v>
      </c>
      <c r="K778" s="9" t="s">
        <v>1541</v>
      </c>
      <c r="L778" s="2"/>
      <c r="M778" s="2"/>
      <c r="N778" s="2"/>
    </row>
    <row r="779" spans="1:14" x14ac:dyDescent="0.45">
      <c r="A779" s="4" t="s">
        <v>826</v>
      </c>
      <c r="B779" s="4" t="s">
        <v>847</v>
      </c>
      <c r="C779" s="4" t="s">
        <v>686</v>
      </c>
      <c r="D779" s="4" t="b">
        <f>FALSE()</f>
        <v>0</v>
      </c>
      <c r="E779" s="5">
        <v>5</v>
      </c>
      <c r="F779" s="7">
        <f t="shared" si="12"/>
        <v>0.38461538461538464</v>
      </c>
      <c r="G779" s="5">
        <v>0</v>
      </c>
      <c r="H779" s="14">
        <v>45048</v>
      </c>
      <c r="I779" s="14">
        <v>45093</v>
      </c>
      <c r="J779" s="4" t="s">
        <v>853</v>
      </c>
      <c r="K779" s="4" t="s">
        <v>1542</v>
      </c>
      <c r="L779" s="2"/>
      <c r="M779" s="2"/>
      <c r="N779" s="2"/>
    </row>
    <row r="780" spans="1:14" x14ac:dyDescent="0.45">
      <c r="A780" s="9" t="s">
        <v>827</v>
      </c>
      <c r="B780" s="9" t="s">
        <v>847</v>
      </c>
      <c r="C780" s="9" t="s">
        <v>822</v>
      </c>
      <c r="D780" s="9" t="b">
        <f>TRUE()</f>
        <v>1</v>
      </c>
      <c r="E780" s="10">
        <v>7</v>
      </c>
      <c r="F780" s="12">
        <f t="shared" si="12"/>
        <v>0.7</v>
      </c>
      <c r="G780" s="10">
        <v>0</v>
      </c>
      <c r="H780" s="15">
        <v>44951</v>
      </c>
      <c r="I780" s="15">
        <v>45029</v>
      </c>
      <c r="J780" s="9" t="s">
        <v>848</v>
      </c>
      <c r="K780" s="9" t="s">
        <v>1543</v>
      </c>
      <c r="L780" s="2"/>
      <c r="M780" s="2"/>
      <c r="N780" s="2"/>
    </row>
    <row r="781" spans="1:14" x14ac:dyDescent="0.45">
      <c r="A781" s="4" t="s">
        <v>827</v>
      </c>
      <c r="B781" s="4" t="s">
        <v>847</v>
      </c>
      <c r="C781" s="4" t="s">
        <v>686</v>
      </c>
      <c r="D781" s="4" t="b">
        <f>FALSE()</f>
        <v>0</v>
      </c>
      <c r="E781" s="5">
        <v>3</v>
      </c>
      <c r="F781" s="7">
        <f t="shared" si="12"/>
        <v>0.3</v>
      </c>
      <c r="G781" s="5">
        <v>0</v>
      </c>
      <c r="H781" s="14">
        <v>45077</v>
      </c>
      <c r="I781" s="14">
        <v>45119</v>
      </c>
      <c r="J781" s="4" t="s">
        <v>853</v>
      </c>
      <c r="K781" s="4" t="s">
        <v>1544</v>
      </c>
      <c r="L781" s="2"/>
      <c r="M781" s="2"/>
      <c r="N781" s="2"/>
    </row>
    <row r="782" spans="1:14" x14ac:dyDescent="0.45">
      <c r="A782" s="9" t="s">
        <v>828</v>
      </c>
      <c r="B782" s="9" t="s">
        <v>847</v>
      </c>
      <c r="C782" s="9" t="s">
        <v>829</v>
      </c>
      <c r="D782" s="9" t="b">
        <f>TRUE()</f>
        <v>1</v>
      </c>
      <c r="E782" s="10">
        <v>53</v>
      </c>
      <c r="F782" s="12">
        <f t="shared" si="12"/>
        <v>0.51960784313725494</v>
      </c>
      <c r="G782" s="10">
        <v>0</v>
      </c>
      <c r="H782" s="15">
        <v>44952</v>
      </c>
      <c r="I782" s="15">
        <v>45055</v>
      </c>
      <c r="J782" s="9" t="s">
        <v>848</v>
      </c>
      <c r="K782" s="9" t="s">
        <v>1545</v>
      </c>
      <c r="L782" s="2"/>
      <c r="M782" s="2"/>
      <c r="N782" s="2"/>
    </row>
    <row r="783" spans="1:14" x14ac:dyDescent="0.45">
      <c r="A783" s="4" t="s">
        <v>828</v>
      </c>
      <c r="B783" s="4" t="s">
        <v>847</v>
      </c>
      <c r="C783" s="4" t="s">
        <v>600</v>
      </c>
      <c r="D783" s="4" t="b">
        <f>FALSE()</f>
        <v>0</v>
      </c>
      <c r="E783" s="5">
        <v>49</v>
      </c>
      <c r="F783" s="7">
        <f t="shared" si="12"/>
        <v>0.48039215686274511</v>
      </c>
      <c r="G783" s="5">
        <v>0</v>
      </c>
      <c r="H783" s="14">
        <v>45049</v>
      </c>
      <c r="I783" s="14">
        <v>45372</v>
      </c>
      <c r="J783" s="4" t="s">
        <v>850</v>
      </c>
      <c r="K783" s="4" t="s">
        <v>1546</v>
      </c>
      <c r="L783" s="2"/>
      <c r="M783" s="2"/>
      <c r="N783" s="2"/>
    </row>
  </sheetData>
  <autoFilter ref="A1:K783" xr:uid="{00000000-0009-0000-0000-000001000000}"/>
  <conditionalFormatting sqref="A2:K783">
    <cfRule type="expression" dxfId="1" priority="2">
      <formula>$B2="REAL SPLIT"</formula>
    </cfRule>
    <cfRule type="expression" dxfId="0" priority="3">
      <formula>$B2="Rename/merge + minor misrouting"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Service Types</vt:lpstr>
      <vt:lpstr>Multi-Agency Flags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Thurein Aung</cp:lastModifiedBy>
  <cp:revision>0</cp:revision>
  <dcterms:created xsi:type="dcterms:W3CDTF">2026-10-03T07:34:13Z</dcterms:created>
  <dcterms:modified xsi:type="dcterms:W3CDTF">2026-10-03T07:38:36Z</dcterms:modified>
  <dc:language>en-US</dc:language>
</cp:coreProperties>
</file>