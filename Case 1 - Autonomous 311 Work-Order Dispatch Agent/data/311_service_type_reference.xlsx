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lvin\industry-hackthon - 311\Case 1 - Autonomous 311 Work-Order Dispatch Agent\data\"/>
    </mc:Choice>
  </mc:AlternateContent>
  <xr:revisionPtr revIDLastSave="0" documentId="13_ncr:1_{2BCDC324-1F98-46F0-A6F1-023A8C1D4A7F}" xr6:coauthVersionLast="47" xr6:coauthVersionMax="47" xr10:uidLastSave="{00000000-0000-0000-0000-000000000000}"/>
  <bookViews>
    <workbookView xWindow="-98" yWindow="-98" windowWidth="24196" windowHeight="14476" tabRatio="500" firstSheet="2" activeTab="4" xr2:uid="{00000000-000D-0000-FFFF-FFFF00000000}"/>
  </bookViews>
  <sheets>
    <sheet name="Service Types" sheetId="1" r:id="rId1"/>
    <sheet name="2026 Remaining Services" sheetId="2" r:id="rId2"/>
    <sheet name="Crew - 2026" sheetId="3" r:id="rId3"/>
    <sheet name="Crew - All Years" sheetId="4" r:id="rId4"/>
    <sheet name="Crew by Community" sheetId="5" r:id="rId5"/>
    <sheet name="Business Licences by Community" sheetId="6" r:id="rId6"/>
    <sheet name="Crew 2026 Pivot" sheetId="7" r:id="rId7"/>
    <sheet name="Multi-Agency Flags" sheetId="9" r:id="rId8"/>
  </sheets>
  <definedNames>
    <definedName name="_xlnm._FilterDatabase" localSheetId="1" hidden="1">'2026 Remaining Services'!$A$1:$L$457</definedName>
    <definedName name="_xlnm._FilterDatabase" localSheetId="5" hidden="1">'Business Licences by Community'!$A$1:$J$318</definedName>
    <definedName name="_xlnm._FilterDatabase" localSheetId="2" hidden="1">'Crew - 2026'!$A$1:$N$83</definedName>
    <definedName name="_xlnm._FilterDatabase" localSheetId="3" hidden="1">'Crew - All Years'!$A$1:$N$108</definedName>
    <definedName name="_xlnm._FilterDatabase" localSheetId="4" hidden="1">'Crew by Community'!$A$1:$V$318</definedName>
    <definedName name="_xlnm._FilterDatabase" localSheetId="7" hidden="1">'Multi-Agency Flags'!$A$1:$K$783</definedName>
    <definedName name="_xlnm._FilterDatabase" localSheetId="0" hidden="1">'Service Types'!$A$1:$T$741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83" i="9" l="1"/>
  <c r="D783" i="9"/>
  <c r="F782" i="9"/>
  <c r="D782" i="9"/>
  <c r="F781" i="9"/>
  <c r="D781" i="9"/>
  <c r="F780" i="9"/>
  <c r="D780" i="9"/>
  <c r="F779" i="9"/>
  <c r="D779" i="9"/>
  <c r="F778" i="9"/>
  <c r="D778" i="9"/>
  <c r="F777" i="9"/>
  <c r="D777" i="9"/>
  <c r="F776" i="9"/>
  <c r="D776" i="9"/>
  <c r="F775" i="9"/>
  <c r="D775" i="9"/>
  <c r="F774" i="9"/>
  <c r="D774" i="9"/>
  <c r="F773" i="9"/>
  <c r="D773" i="9"/>
  <c r="F772" i="9"/>
  <c r="D772" i="9"/>
  <c r="F771" i="9"/>
  <c r="D771" i="9"/>
  <c r="F770" i="9"/>
  <c r="D770" i="9"/>
  <c r="F769" i="9"/>
  <c r="D769" i="9"/>
  <c r="F768" i="9"/>
  <c r="D768" i="9"/>
  <c r="F767" i="9"/>
  <c r="D767" i="9"/>
  <c r="F766" i="9"/>
  <c r="D766" i="9"/>
  <c r="F765" i="9"/>
  <c r="D765" i="9"/>
  <c r="F764" i="9"/>
  <c r="D764" i="9"/>
  <c r="F763" i="9"/>
  <c r="D763" i="9"/>
  <c r="F762" i="9"/>
  <c r="D762" i="9"/>
  <c r="F761" i="9"/>
  <c r="D761" i="9"/>
  <c r="F760" i="9"/>
  <c r="D760" i="9"/>
  <c r="F759" i="9"/>
  <c r="D759" i="9"/>
  <c r="F758" i="9"/>
  <c r="D758" i="9"/>
  <c r="F757" i="9"/>
  <c r="D757" i="9"/>
  <c r="F756" i="9"/>
  <c r="D756" i="9"/>
  <c r="F755" i="9"/>
  <c r="D755" i="9"/>
  <c r="F754" i="9"/>
  <c r="D754" i="9"/>
  <c r="F753" i="9"/>
  <c r="D753" i="9"/>
  <c r="F752" i="9"/>
  <c r="D752" i="9"/>
  <c r="F751" i="9"/>
  <c r="D751" i="9"/>
  <c r="F750" i="9"/>
  <c r="D750" i="9"/>
  <c r="F749" i="9"/>
  <c r="D749" i="9"/>
  <c r="F748" i="9"/>
  <c r="D748" i="9"/>
  <c r="F747" i="9"/>
  <c r="D747" i="9"/>
  <c r="F746" i="9"/>
  <c r="D746" i="9"/>
  <c r="F745" i="9"/>
  <c r="D745" i="9"/>
  <c r="F744" i="9"/>
  <c r="D744" i="9"/>
  <c r="F743" i="9"/>
  <c r="D743" i="9"/>
  <c r="F742" i="9"/>
  <c r="D742" i="9"/>
  <c r="F741" i="9"/>
  <c r="D741" i="9"/>
  <c r="F740" i="9"/>
  <c r="D740" i="9"/>
  <c r="F739" i="9"/>
  <c r="D739" i="9"/>
  <c r="F738" i="9"/>
  <c r="D738" i="9"/>
  <c r="F737" i="9"/>
  <c r="D737" i="9"/>
  <c r="F736" i="9"/>
  <c r="D736" i="9"/>
  <c r="F735" i="9"/>
  <c r="D735" i="9"/>
  <c r="F734" i="9"/>
  <c r="D734" i="9"/>
  <c r="F733" i="9"/>
  <c r="D733" i="9"/>
  <c r="F732" i="9"/>
  <c r="D732" i="9"/>
  <c r="F731" i="9"/>
  <c r="D731" i="9"/>
  <c r="F730" i="9"/>
  <c r="D730" i="9"/>
  <c r="F729" i="9"/>
  <c r="D729" i="9"/>
  <c r="F728" i="9"/>
  <c r="D728" i="9"/>
  <c r="F727" i="9"/>
  <c r="D727" i="9"/>
  <c r="F726" i="9"/>
  <c r="D726" i="9"/>
  <c r="F725" i="9"/>
  <c r="D725" i="9"/>
  <c r="F724" i="9"/>
  <c r="D724" i="9"/>
  <c r="F723" i="9"/>
  <c r="D723" i="9"/>
  <c r="F722" i="9"/>
  <c r="D722" i="9"/>
  <c r="F721" i="9"/>
  <c r="D721" i="9"/>
  <c r="F720" i="9"/>
  <c r="D720" i="9"/>
  <c r="F719" i="9"/>
  <c r="D719" i="9"/>
  <c r="F718" i="9"/>
  <c r="D718" i="9"/>
  <c r="F717" i="9"/>
  <c r="D717" i="9"/>
  <c r="F716" i="9"/>
  <c r="D716" i="9"/>
  <c r="F715" i="9"/>
  <c r="D715" i="9"/>
  <c r="F714" i="9"/>
  <c r="D714" i="9"/>
  <c r="F713" i="9"/>
  <c r="D713" i="9"/>
  <c r="F712" i="9"/>
  <c r="D712" i="9"/>
  <c r="F711" i="9"/>
  <c r="D711" i="9"/>
  <c r="F710" i="9"/>
  <c r="D710" i="9"/>
  <c r="F709" i="9"/>
  <c r="D709" i="9"/>
  <c r="F708" i="9"/>
  <c r="D708" i="9"/>
  <c r="F707" i="9"/>
  <c r="D707" i="9"/>
  <c r="F706" i="9"/>
  <c r="D706" i="9"/>
  <c r="F705" i="9"/>
  <c r="D705" i="9"/>
  <c r="F704" i="9"/>
  <c r="D704" i="9"/>
  <c r="F703" i="9"/>
  <c r="D703" i="9"/>
  <c r="F702" i="9"/>
  <c r="D702" i="9"/>
  <c r="F701" i="9"/>
  <c r="D701" i="9"/>
  <c r="F700" i="9"/>
  <c r="D700" i="9"/>
  <c r="F699" i="9"/>
  <c r="D699" i="9"/>
  <c r="F698" i="9"/>
  <c r="D698" i="9"/>
  <c r="F697" i="9"/>
  <c r="D697" i="9"/>
  <c r="F696" i="9"/>
  <c r="D696" i="9"/>
  <c r="F695" i="9"/>
  <c r="D695" i="9"/>
  <c r="F694" i="9"/>
  <c r="D694" i="9"/>
  <c r="F693" i="9"/>
  <c r="D693" i="9"/>
  <c r="F692" i="9"/>
  <c r="D692" i="9"/>
  <c r="F691" i="9"/>
  <c r="D691" i="9"/>
  <c r="F690" i="9"/>
  <c r="D690" i="9"/>
  <c r="F689" i="9"/>
  <c r="D689" i="9"/>
  <c r="F688" i="9"/>
  <c r="D688" i="9"/>
  <c r="F687" i="9"/>
  <c r="D687" i="9"/>
  <c r="F686" i="9"/>
  <c r="D686" i="9"/>
  <c r="F685" i="9"/>
  <c r="D685" i="9"/>
  <c r="F684" i="9"/>
  <c r="D684" i="9"/>
  <c r="F683" i="9"/>
  <c r="D683" i="9"/>
  <c r="F682" i="9"/>
  <c r="D682" i="9"/>
  <c r="F681" i="9"/>
  <c r="D681" i="9"/>
  <c r="F680" i="9"/>
  <c r="D680" i="9"/>
  <c r="F679" i="9"/>
  <c r="D679" i="9"/>
  <c r="F678" i="9"/>
  <c r="D678" i="9"/>
  <c r="F677" i="9"/>
  <c r="D677" i="9"/>
  <c r="F676" i="9"/>
  <c r="D676" i="9"/>
  <c r="F675" i="9"/>
  <c r="D675" i="9"/>
  <c r="F674" i="9"/>
  <c r="D674" i="9"/>
  <c r="F673" i="9"/>
  <c r="D673" i="9"/>
  <c r="F672" i="9"/>
  <c r="D672" i="9"/>
  <c r="F671" i="9"/>
  <c r="D671" i="9"/>
  <c r="F670" i="9"/>
  <c r="D670" i="9"/>
  <c r="F669" i="9"/>
  <c r="D669" i="9"/>
  <c r="F668" i="9"/>
  <c r="D668" i="9"/>
  <c r="F667" i="9"/>
  <c r="D667" i="9"/>
  <c r="F666" i="9"/>
  <c r="D666" i="9"/>
  <c r="F665" i="9"/>
  <c r="D665" i="9"/>
  <c r="F664" i="9"/>
  <c r="D664" i="9"/>
  <c r="F663" i="9"/>
  <c r="D663" i="9"/>
  <c r="F662" i="9"/>
  <c r="D662" i="9"/>
  <c r="F661" i="9"/>
  <c r="D661" i="9"/>
  <c r="F660" i="9"/>
  <c r="D660" i="9"/>
  <c r="F659" i="9"/>
  <c r="D659" i="9"/>
  <c r="F658" i="9"/>
  <c r="D658" i="9"/>
  <c r="F657" i="9"/>
  <c r="D657" i="9"/>
  <c r="F656" i="9"/>
  <c r="D656" i="9"/>
  <c r="F655" i="9"/>
  <c r="D655" i="9"/>
  <c r="F654" i="9"/>
  <c r="D654" i="9"/>
  <c r="F653" i="9"/>
  <c r="D653" i="9"/>
  <c r="F652" i="9"/>
  <c r="D652" i="9"/>
  <c r="F651" i="9"/>
  <c r="D651" i="9"/>
  <c r="F650" i="9"/>
  <c r="D650" i="9"/>
  <c r="F649" i="9"/>
  <c r="D649" i="9"/>
  <c r="F648" i="9"/>
  <c r="D648" i="9"/>
  <c r="F647" i="9"/>
  <c r="D647" i="9"/>
  <c r="F646" i="9"/>
  <c r="D646" i="9"/>
  <c r="F645" i="9"/>
  <c r="D645" i="9"/>
  <c r="F644" i="9"/>
  <c r="D644" i="9"/>
  <c r="F643" i="9"/>
  <c r="D643" i="9"/>
  <c r="F642" i="9"/>
  <c r="D642" i="9"/>
  <c r="F641" i="9"/>
  <c r="D641" i="9"/>
  <c r="F640" i="9"/>
  <c r="D640" i="9"/>
  <c r="F639" i="9"/>
  <c r="D639" i="9"/>
  <c r="F638" i="9"/>
  <c r="D638" i="9"/>
  <c r="F637" i="9"/>
  <c r="D637" i="9"/>
  <c r="F636" i="9"/>
  <c r="D636" i="9"/>
  <c r="F635" i="9"/>
  <c r="D635" i="9"/>
  <c r="F634" i="9"/>
  <c r="D634" i="9"/>
  <c r="F633" i="9"/>
  <c r="D633" i="9"/>
  <c r="F632" i="9"/>
  <c r="D632" i="9"/>
  <c r="F631" i="9"/>
  <c r="D631" i="9"/>
  <c r="F630" i="9"/>
  <c r="D630" i="9"/>
  <c r="F629" i="9"/>
  <c r="D629" i="9"/>
  <c r="F628" i="9"/>
  <c r="D628" i="9"/>
  <c r="F627" i="9"/>
  <c r="D627" i="9"/>
  <c r="F626" i="9"/>
  <c r="D626" i="9"/>
  <c r="F625" i="9"/>
  <c r="D625" i="9"/>
  <c r="F624" i="9"/>
  <c r="D624" i="9"/>
  <c r="F623" i="9"/>
  <c r="D623" i="9"/>
  <c r="F622" i="9"/>
  <c r="D622" i="9"/>
  <c r="F621" i="9"/>
  <c r="D621" i="9"/>
  <c r="F620" i="9"/>
  <c r="D620" i="9"/>
  <c r="F619" i="9"/>
  <c r="D619" i="9"/>
  <c r="F618" i="9"/>
  <c r="D618" i="9"/>
  <c r="F617" i="9"/>
  <c r="D617" i="9"/>
  <c r="F616" i="9"/>
  <c r="D616" i="9"/>
  <c r="F615" i="9"/>
  <c r="D615" i="9"/>
  <c r="F614" i="9"/>
  <c r="D614" i="9"/>
  <c r="F613" i="9"/>
  <c r="D613" i="9"/>
  <c r="F612" i="9"/>
  <c r="D612" i="9"/>
  <c r="F611" i="9"/>
  <c r="D611" i="9"/>
  <c r="F610" i="9"/>
  <c r="D610" i="9"/>
  <c r="F609" i="9"/>
  <c r="D609" i="9"/>
  <c r="F608" i="9"/>
  <c r="D608" i="9"/>
  <c r="F607" i="9"/>
  <c r="D607" i="9"/>
  <c r="F606" i="9"/>
  <c r="D606" i="9"/>
  <c r="F605" i="9"/>
  <c r="D605" i="9"/>
  <c r="F604" i="9"/>
  <c r="D604" i="9"/>
  <c r="F603" i="9"/>
  <c r="D603" i="9"/>
  <c r="F602" i="9"/>
  <c r="D602" i="9"/>
  <c r="F601" i="9"/>
  <c r="D601" i="9"/>
  <c r="F600" i="9"/>
  <c r="D600" i="9"/>
  <c r="F599" i="9"/>
  <c r="D599" i="9"/>
  <c r="F598" i="9"/>
  <c r="D598" i="9"/>
  <c r="F597" i="9"/>
  <c r="D597" i="9"/>
  <c r="F596" i="9"/>
  <c r="D596" i="9"/>
  <c r="F595" i="9"/>
  <c r="D595" i="9"/>
  <c r="F594" i="9"/>
  <c r="D594" i="9"/>
  <c r="F593" i="9"/>
  <c r="D593" i="9"/>
  <c r="F592" i="9"/>
  <c r="D592" i="9"/>
  <c r="F591" i="9"/>
  <c r="D591" i="9"/>
  <c r="F590" i="9"/>
  <c r="D590" i="9"/>
  <c r="F589" i="9"/>
  <c r="D589" i="9"/>
  <c r="F588" i="9"/>
  <c r="D588" i="9"/>
  <c r="F587" i="9"/>
  <c r="D587" i="9"/>
  <c r="F586" i="9"/>
  <c r="D586" i="9"/>
  <c r="F585" i="9"/>
  <c r="D585" i="9"/>
  <c r="F584" i="9"/>
  <c r="D584" i="9"/>
  <c r="F583" i="9"/>
  <c r="D583" i="9"/>
  <c r="F582" i="9"/>
  <c r="D582" i="9"/>
  <c r="F581" i="9"/>
  <c r="D581" i="9"/>
  <c r="F580" i="9"/>
  <c r="D580" i="9"/>
  <c r="F579" i="9"/>
  <c r="D579" i="9"/>
  <c r="F578" i="9"/>
  <c r="D578" i="9"/>
  <c r="F577" i="9"/>
  <c r="D577" i="9"/>
  <c r="F576" i="9"/>
  <c r="D576" i="9"/>
  <c r="F575" i="9"/>
  <c r="D575" i="9"/>
  <c r="F574" i="9"/>
  <c r="D574" i="9"/>
  <c r="F573" i="9"/>
  <c r="D573" i="9"/>
  <c r="F572" i="9"/>
  <c r="D572" i="9"/>
  <c r="F571" i="9"/>
  <c r="D571" i="9"/>
  <c r="F570" i="9"/>
  <c r="D570" i="9"/>
  <c r="F569" i="9"/>
  <c r="D569" i="9"/>
  <c r="F568" i="9"/>
  <c r="D568" i="9"/>
  <c r="F567" i="9"/>
  <c r="D567" i="9"/>
  <c r="F566" i="9"/>
  <c r="D566" i="9"/>
  <c r="F565" i="9"/>
  <c r="D565" i="9"/>
  <c r="F564" i="9"/>
  <c r="D564" i="9"/>
  <c r="F563" i="9"/>
  <c r="D563" i="9"/>
  <c r="F562" i="9"/>
  <c r="D562" i="9"/>
  <c r="F561" i="9"/>
  <c r="D561" i="9"/>
  <c r="F560" i="9"/>
  <c r="D560" i="9"/>
  <c r="F559" i="9"/>
  <c r="D559" i="9"/>
  <c r="F558" i="9"/>
  <c r="D558" i="9"/>
  <c r="F557" i="9"/>
  <c r="D557" i="9"/>
  <c r="F556" i="9"/>
  <c r="D556" i="9"/>
  <c r="F555" i="9"/>
  <c r="D555" i="9"/>
  <c r="F554" i="9"/>
  <c r="D554" i="9"/>
  <c r="F553" i="9"/>
  <c r="D553" i="9"/>
  <c r="F552" i="9"/>
  <c r="D552" i="9"/>
  <c r="F551" i="9"/>
  <c r="D551" i="9"/>
  <c r="F550" i="9"/>
  <c r="D550" i="9"/>
  <c r="F549" i="9"/>
  <c r="D549" i="9"/>
  <c r="F548" i="9"/>
  <c r="D548" i="9"/>
  <c r="F547" i="9"/>
  <c r="D547" i="9"/>
  <c r="F546" i="9"/>
  <c r="D546" i="9"/>
  <c r="F545" i="9"/>
  <c r="D545" i="9"/>
  <c r="F544" i="9"/>
  <c r="D544" i="9"/>
  <c r="F543" i="9"/>
  <c r="D543" i="9"/>
  <c r="F542" i="9"/>
  <c r="D542" i="9"/>
  <c r="F541" i="9"/>
  <c r="D541" i="9"/>
  <c r="F540" i="9"/>
  <c r="D540" i="9"/>
  <c r="F539" i="9"/>
  <c r="D539" i="9"/>
  <c r="F538" i="9"/>
  <c r="D538" i="9"/>
  <c r="F537" i="9"/>
  <c r="D537" i="9"/>
  <c r="F536" i="9"/>
  <c r="D536" i="9"/>
  <c r="F535" i="9"/>
  <c r="D535" i="9"/>
  <c r="F534" i="9"/>
  <c r="D534" i="9"/>
  <c r="F533" i="9"/>
  <c r="D533" i="9"/>
  <c r="F532" i="9"/>
  <c r="D532" i="9"/>
  <c r="F531" i="9"/>
  <c r="D531" i="9"/>
  <c r="F530" i="9"/>
  <c r="D530" i="9"/>
  <c r="F529" i="9"/>
  <c r="D529" i="9"/>
  <c r="F528" i="9"/>
  <c r="D528" i="9"/>
  <c r="F527" i="9"/>
  <c r="D527" i="9"/>
  <c r="F526" i="9"/>
  <c r="D526" i="9"/>
  <c r="F525" i="9"/>
  <c r="D525" i="9"/>
  <c r="F524" i="9"/>
  <c r="D524" i="9"/>
  <c r="F523" i="9"/>
  <c r="D523" i="9"/>
  <c r="F522" i="9"/>
  <c r="D522" i="9"/>
  <c r="F521" i="9"/>
  <c r="D521" i="9"/>
  <c r="F520" i="9"/>
  <c r="D520" i="9"/>
  <c r="F519" i="9"/>
  <c r="D519" i="9"/>
  <c r="F518" i="9"/>
  <c r="D518" i="9"/>
  <c r="F517" i="9"/>
  <c r="D517" i="9"/>
  <c r="F516" i="9"/>
  <c r="D516" i="9"/>
  <c r="F515" i="9"/>
  <c r="D515" i="9"/>
  <c r="F514" i="9"/>
  <c r="D514" i="9"/>
  <c r="F513" i="9"/>
  <c r="D513" i="9"/>
  <c r="F512" i="9"/>
  <c r="D512" i="9"/>
  <c r="F511" i="9"/>
  <c r="D511" i="9"/>
  <c r="F510" i="9"/>
  <c r="D510" i="9"/>
  <c r="F509" i="9"/>
  <c r="D509" i="9"/>
  <c r="F508" i="9"/>
  <c r="D508" i="9"/>
  <c r="F507" i="9"/>
  <c r="D507" i="9"/>
  <c r="F506" i="9"/>
  <c r="D506" i="9"/>
  <c r="F505" i="9"/>
  <c r="D505" i="9"/>
  <c r="F504" i="9"/>
  <c r="D504" i="9"/>
  <c r="F503" i="9"/>
  <c r="D503" i="9"/>
  <c r="F502" i="9"/>
  <c r="D502" i="9"/>
  <c r="F501" i="9"/>
  <c r="D501" i="9"/>
  <c r="F500" i="9"/>
  <c r="D500" i="9"/>
  <c r="F499" i="9"/>
  <c r="D499" i="9"/>
  <c r="F498" i="9"/>
  <c r="D498" i="9"/>
  <c r="F497" i="9"/>
  <c r="D497" i="9"/>
  <c r="F496" i="9"/>
  <c r="D496" i="9"/>
  <c r="F495" i="9"/>
  <c r="D495" i="9"/>
  <c r="F494" i="9"/>
  <c r="D494" i="9"/>
  <c r="F493" i="9"/>
  <c r="D493" i="9"/>
  <c r="F492" i="9"/>
  <c r="D492" i="9"/>
  <c r="F491" i="9"/>
  <c r="D491" i="9"/>
  <c r="F490" i="9"/>
  <c r="D490" i="9"/>
  <c r="F489" i="9"/>
  <c r="D489" i="9"/>
  <c r="F488" i="9"/>
  <c r="D488" i="9"/>
  <c r="F487" i="9"/>
  <c r="D487" i="9"/>
  <c r="F486" i="9"/>
  <c r="D486" i="9"/>
  <c r="F485" i="9"/>
  <c r="D485" i="9"/>
  <c r="F484" i="9"/>
  <c r="D484" i="9"/>
  <c r="F483" i="9"/>
  <c r="D483" i="9"/>
  <c r="F482" i="9"/>
  <c r="D482" i="9"/>
  <c r="F481" i="9"/>
  <c r="D481" i="9"/>
  <c r="F480" i="9"/>
  <c r="D480" i="9"/>
  <c r="F479" i="9"/>
  <c r="D479" i="9"/>
  <c r="F478" i="9"/>
  <c r="D478" i="9"/>
  <c r="F477" i="9"/>
  <c r="D477" i="9"/>
  <c r="F476" i="9"/>
  <c r="D476" i="9"/>
  <c r="F475" i="9"/>
  <c r="D475" i="9"/>
  <c r="F474" i="9"/>
  <c r="D474" i="9"/>
  <c r="F473" i="9"/>
  <c r="D473" i="9"/>
  <c r="F472" i="9"/>
  <c r="D472" i="9"/>
  <c r="F471" i="9"/>
  <c r="D471" i="9"/>
  <c r="F470" i="9"/>
  <c r="D470" i="9"/>
  <c r="F469" i="9"/>
  <c r="D469" i="9"/>
  <c r="F468" i="9"/>
  <c r="D468" i="9"/>
  <c r="F467" i="9"/>
  <c r="D467" i="9"/>
  <c r="F466" i="9"/>
  <c r="D466" i="9"/>
  <c r="F465" i="9"/>
  <c r="D465" i="9"/>
  <c r="F464" i="9"/>
  <c r="D464" i="9"/>
  <c r="F463" i="9"/>
  <c r="D463" i="9"/>
  <c r="F462" i="9"/>
  <c r="D462" i="9"/>
  <c r="F461" i="9"/>
  <c r="D461" i="9"/>
  <c r="F460" i="9"/>
  <c r="D460" i="9"/>
  <c r="F459" i="9"/>
  <c r="D459" i="9"/>
  <c r="F458" i="9"/>
  <c r="D458" i="9"/>
  <c r="F457" i="9"/>
  <c r="D457" i="9"/>
  <c r="F456" i="9"/>
  <c r="D456" i="9"/>
  <c r="F455" i="9"/>
  <c r="D455" i="9"/>
  <c r="F454" i="9"/>
  <c r="D454" i="9"/>
  <c r="F453" i="9"/>
  <c r="D453" i="9"/>
  <c r="F452" i="9"/>
  <c r="D452" i="9"/>
  <c r="F451" i="9"/>
  <c r="D451" i="9"/>
  <c r="F450" i="9"/>
  <c r="D450" i="9"/>
  <c r="F449" i="9"/>
  <c r="D449" i="9"/>
  <c r="F448" i="9"/>
  <c r="D448" i="9"/>
  <c r="F447" i="9"/>
  <c r="D447" i="9"/>
  <c r="F446" i="9"/>
  <c r="D446" i="9"/>
  <c r="F445" i="9"/>
  <c r="D445" i="9"/>
  <c r="F444" i="9"/>
  <c r="D444" i="9"/>
  <c r="F443" i="9"/>
  <c r="D443" i="9"/>
  <c r="F442" i="9"/>
  <c r="D442" i="9"/>
  <c r="F441" i="9"/>
  <c r="D441" i="9"/>
  <c r="F440" i="9"/>
  <c r="D440" i="9"/>
  <c r="F439" i="9"/>
  <c r="D439" i="9"/>
  <c r="F438" i="9"/>
  <c r="D438" i="9"/>
  <c r="F437" i="9"/>
  <c r="D437" i="9"/>
  <c r="F436" i="9"/>
  <c r="D436" i="9"/>
  <c r="F435" i="9"/>
  <c r="D435" i="9"/>
  <c r="F434" i="9"/>
  <c r="D434" i="9"/>
  <c r="F433" i="9"/>
  <c r="D433" i="9"/>
  <c r="F432" i="9"/>
  <c r="D432" i="9"/>
  <c r="F431" i="9"/>
  <c r="D431" i="9"/>
  <c r="F430" i="9"/>
  <c r="D430" i="9"/>
  <c r="F429" i="9"/>
  <c r="D429" i="9"/>
  <c r="F428" i="9"/>
  <c r="D428" i="9"/>
  <c r="F427" i="9"/>
  <c r="D427" i="9"/>
  <c r="F426" i="9"/>
  <c r="D426" i="9"/>
  <c r="F425" i="9"/>
  <c r="D425" i="9"/>
  <c r="F424" i="9"/>
  <c r="D424" i="9"/>
  <c r="F423" i="9"/>
  <c r="D423" i="9"/>
  <c r="F422" i="9"/>
  <c r="D422" i="9"/>
  <c r="F421" i="9"/>
  <c r="D421" i="9"/>
  <c r="F420" i="9"/>
  <c r="D420" i="9"/>
  <c r="F419" i="9"/>
  <c r="D419" i="9"/>
  <c r="F418" i="9"/>
  <c r="D418" i="9"/>
  <c r="F417" i="9"/>
  <c r="D417" i="9"/>
  <c r="F416" i="9"/>
  <c r="D416" i="9"/>
  <c r="F415" i="9"/>
  <c r="D415" i="9"/>
  <c r="F414" i="9"/>
  <c r="D414" i="9"/>
  <c r="F413" i="9"/>
  <c r="D413" i="9"/>
  <c r="F412" i="9"/>
  <c r="D412" i="9"/>
  <c r="F411" i="9"/>
  <c r="D411" i="9"/>
  <c r="F410" i="9"/>
  <c r="D410" i="9"/>
  <c r="F409" i="9"/>
  <c r="D409" i="9"/>
  <c r="F408" i="9"/>
  <c r="D408" i="9"/>
  <c r="F407" i="9"/>
  <c r="D407" i="9"/>
  <c r="F406" i="9"/>
  <c r="D406" i="9"/>
  <c r="F405" i="9"/>
  <c r="D405" i="9"/>
  <c r="F404" i="9"/>
  <c r="D404" i="9"/>
  <c r="F403" i="9"/>
  <c r="D403" i="9"/>
  <c r="F402" i="9"/>
  <c r="D402" i="9"/>
  <c r="F401" i="9"/>
  <c r="D401" i="9"/>
  <c r="F400" i="9"/>
  <c r="D400" i="9"/>
  <c r="F399" i="9"/>
  <c r="D399" i="9"/>
  <c r="F398" i="9"/>
  <c r="D398" i="9"/>
  <c r="F397" i="9"/>
  <c r="D397" i="9"/>
  <c r="F396" i="9"/>
  <c r="D396" i="9"/>
  <c r="F395" i="9"/>
  <c r="D395" i="9"/>
  <c r="F394" i="9"/>
  <c r="D394" i="9"/>
  <c r="F393" i="9"/>
  <c r="D393" i="9"/>
  <c r="F392" i="9"/>
  <c r="D392" i="9"/>
  <c r="F391" i="9"/>
  <c r="D391" i="9"/>
  <c r="F390" i="9"/>
  <c r="D390" i="9"/>
  <c r="F389" i="9"/>
  <c r="D389" i="9"/>
  <c r="F388" i="9"/>
  <c r="D388" i="9"/>
  <c r="F387" i="9"/>
  <c r="D387" i="9"/>
  <c r="F386" i="9"/>
  <c r="D386" i="9"/>
  <c r="F385" i="9"/>
  <c r="D385" i="9"/>
  <c r="F384" i="9"/>
  <c r="D384" i="9"/>
  <c r="F383" i="9"/>
  <c r="D383" i="9"/>
  <c r="F382" i="9"/>
  <c r="D382" i="9"/>
  <c r="F381" i="9"/>
  <c r="D381" i="9"/>
  <c r="F380" i="9"/>
  <c r="D380" i="9"/>
  <c r="F379" i="9"/>
  <c r="D379" i="9"/>
  <c r="F378" i="9"/>
  <c r="D378" i="9"/>
  <c r="F377" i="9"/>
  <c r="D377" i="9"/>
  <c r="F376" i="9"/>
  <c r="D376" i="9"/>
  <c r="F375" i="9"/>
  <c r="D375" i="9"/>
  <c r="F374" i="9"/>
  <c r="D374" i="9"/>
  <c r="F373" i="9"/>
  <c r="D373" i="9"/>
  <c r="F372" i="9"/>
  <c r="D372" i="9"/>
  <c r="F371" i="9"/>
  <c r="D371" i="9"/>
  <c r="F370" i="9"/>
  <c r="D370" i="9"/>
  <c r="F369" i="9"/>
  <c r="D369" i="9"/>
  <c r="F368" i="9"/>
  <c r="D368" i="9"/>
  <c r="F367" i="9"/>
  <c r="D367" i="9"/>
  <c r="F366" i="9"/>
  <c r="D366" i="9"/>
  <c r="F365" i="9"/>
  <c r="D365" i="9"/>
  <c r="F364" i="9"/>
  <c r="D364" i="9"/>
  <c r="F363" i="9"/>
  <c r="D363" i="9"/>
  <c r="F362" i="9"/>
  <c r="D362" i="9"/>
  <c r="F361" i="9"/>
  <c r="D361" i="9"/>
  <c r="F360" i="9"/>
  <c r="D360" i="9"/>
  <c r="F359" i="9"/>
  <c r="D359" i="9"/>
  <c r="F358" i="9"/>
  <c r="D358" i="9"/>
  <c r="F357" i="9"/>
  <c r="D357" i="9"/>
  <c r="F356" i="9"/>
  <c r="D356" i="9"/>
  <c r="F355" i="9"/>
  <c r="D355" i="9"/>
  <c r="F354" i="9"/>
  <c r="D354" i="9"/>
  <c r="F353" i="9"/>
  <c r="D353" i="9"/>
  <c r="F352" i="9"/>
  <c r="D352" i="9"/>
  <c r="F351" i="9"/>
  <c r="D351" i="9"/>
  <c r="F350" i="9"/>
  <c r="D350" i="9"/>
  <c r="F349" i="9"/>
  <c r="D349" i="9"/>
  <c r="F348" i="9"/>
  <c r="D348" i="9"/>
  <c r="F347" i="9"/>
  <c r="D347" i="9"/>
  <c r="F346" i="9"/>
  <c r="D346" i="9"/>
  <c r="F345" i="9"/>
  <c r="D345" i="9"/>
  <c r="F344" i="9"/>
  <c r="D344" i="9"/>
  <c r="F343" i="9"/>
  <c r="D343" i="9"/>
  <c r="F342" i="9"/>
  <c r="D342" i="9"/>
  <c r="F341" i="9"/>
  <c r="D341" i="9"/>
  <c r="F340" i="9"/>
  <c r="D340" i="9"/>
  <c r="F339" i="9"/>
  <c r="D339" i="9"/>
  <c r="F338" i="9"/>
  <c r="D338" i="9"/>
  <c r="F337" i="9"/>
  <c r="D337" i="9"/>
  <c r="F336" i="9"/>
  <c r="D336" i="9"/>
  <c r="F335" i="9"/>
  <c r="D335" i="9"/>
  <c r="F334" i="9"/>
  <c r="D334" i="9"/>
  <c r="F333" i="9"/>
  <c r="D333" i="9"/>
  <c r="F332" i="9"/>
  <c r="D332" i="9"/>
  <c r="F331" i="9"/>
  <c r="D331" i="9"/>
  <c r="F330" i="9"/>
  <c r="D330" i="9"/>
  <c r="F329" i="9"/>
  <c r="D329" i="9"/>
  <c r="F328" i="9"/>
  <c r="D328" i="9"/>
  <c r="F327" i="9"/>
  <c r="D327" i="9"/>
  <c r="F326" i="9"/>
  <c r="D326" i="9"/>
  <c r="F325" i="9"/>
  <c r="D325" i="9"/>
  <c r="F324" i="9"/>
  <c r="D324" i="9"/>
  <c r="F323" i="9"/>
  <c r="D323" i="9"/>
  <c r="F322" i="9"/>
  <c r="D322" i="9"/>
  <c r="F321" i="9"/>
  <c r="D321" i="9"/>
  <c r="F320" i="9"/>
  <c r="D320" i="9"/>
  <c r="F319" i="9"/>
  <c r="D319" i="9"/>
  <c r="F318" i="9"/>
  <c r="D318" i="9"/>
  <c r="F317" i="9"/>
  <c r="D317" i="9"/>
  <c r="F316" i="9"/>
  <c r="D316" i="9"/>
  <c r="F315" i="9"/>
  <c r="D315" i="9"/>
  <c r="F314" i="9"/>
  <c r="D314" i="9"/>
  <c r="F313" i="9"/>
  <c r="D313" i="9"/>
  <c r="F312" i="9"/>
  <c r="D312" i="9"/>
  <c r="F311" i="9"/>
  <c r="D311" i="9"/>
  <c r="F310" i="9"/>
  <c r="D310" i="9"/>
  <c r="F309" i="9"/>
  <c r="D309" i="9"/>
  <c r="F308" i="9"/>
  <c r="D308" i="9"/>
  <c r="F307" i="9"/>
  <c r="D307" i="9"/>
  <c r="F306" i="9"/>
  <c r="D306" i="9"/>
  <c r="F305" i="9"/>
  <c r="D305" i="9"/>
  <c r="F304" i="9"/>
  <c r="D304" i="9"/>
  <c r="F303" i="9"/>
  <c r="D303" i="9"/>
  <c r="F302" i="9"/>
  <c r="D302" i="9"/>
  <c r="F301" i="9"/>
  <c r="D301" i="9"/>
  <c r="F300" i="9"/>
  <c r="D300" i="9"/>
  <c r="F299" i="9"/>
  <c r="D299" i="9"/>
  <c r="F298" i="9"/>
  <c r="D298" i="9"/>
  <c r="F297" i="9"/>
  <c r="D297" i="9"/>
  <c r="F296" i="9"/>
  <c r="D296" i="9"/>
  <c r="F295" i="9"/>
  <c r="D295" i="9"/>
  <c r="F294" i="9"/>
  <c r="D294" i="9"/>
  <c r="F293" i="9"/>
  <c r="D293" i="9"/>
  <c r="F292" i="9"/>
  <c r="D292" i="9"/>
  <c r="F291" i="9"/>
  <c r="D291" i="9"/>
  <c r="F290" i="9"/>
  <c r="D290" i="9"/>
  <c r="F289" i="9"/>
  <c r="D289" i="9"/>
  <c r="F288" i="9"/>
  <c r="D288" i="9"/>
  <c r="F287" i="9"/>
  <c r="D287" i="9"/>
  <c r="F286" i="9"/>
  <c r="D286" i="9"/>
  <c r="F285" i="9"/>
  <c r="D285" i="9"/>
  <c r="F284" i="9"/>
  <c r="D284" i="9"/>
  <c r="F283" i="9"/>
  <c r="D283" i="9"/>
  <c r="F282" i="9"/>
  <c r="D282" i="9"/>
  <c r="F281" i="9"/>
  <c r="D281" i="9"/>
  <c r="F280" i="9"/>
  <c r="D280" i="9"/>
  <c r="F279" i="9"/>
  <c r="D279" i="9"/>
  <c r="F278" i="9"/>
  <c r="D278" i="9"/>
  <c r="F277" i="9"/>
  <c r="D277" i="9"/>
  <c r="F276" i="9"/>
  <c r="D276" i="9"/>
  <c r="F275" i="9"/>
  <c r="D275" i="9"/>
  <c r="F274" i="9"/>
  <c r="D274" i="9"/>
  <c r="F273" i="9"/>
  <c r="D273" i="9"/>
  <c r="F272" i="9"/>
  <c r="D272" i="9"/>
  <c r="F271" i="9"/>
  <c r="D271" i="9"/>
  <c r="F270" i="9"/>
  <c r="D270" i="9"/>
  <c r="F269" i="9"/>
  <c r="D269" i="9"/>
  <c r="F268" i="9"/>
  <c r="D268" i="9"/>
  <c r="F267" i="9"/>
  <c r="D267" i="9"/>
  <c r="F266" i="9"/>
  <c r="D266" i="9"/>
  <c r="F265" i="9"/>
  <c r="D265" i="9"/>
  <c r="F264" i="9"/>
  <c r="D264" i="9"/>
  <c r="F263" i="9"/>
  <c r="D263" i="9"/>
  <c r="F262" i="9"/>
  <c r="D262" i="9"/>
  <c r="F261" i="9"/>
  <c r="D261" i="9"/>
  <c r="F260" i="9"/>
  <c r="D260" i="9"/>
  <c r="F259" i="9"/>
  <c r="D259" i="9"/>
  <c r="F258" i="9"/>
  <c r="D258" i="9"/>
  <c r="F257" i="9"/>
  <c r="D257" i="9"/>
  <c r="F256" i="9"/>
  <c r="D256" i="9"/>
  <c r="F255" i="9"/>
  <c r="D255" i="9"/>
  <c r="F254" i="9"/>
  <c r="D254" i="9"/>
  <c r="F253" i="9"/>
  <c r="D253" i="9"/>
  <c r="F252" i="9"/>
  <c r="D252" i="9"/>
  <c r="F251" i="9"/>
  <c r="D251" i="9"/>
  <c r="F250" i="9"/>
  <c r="D250" i="9"/>
  <c r="F249" i="9"/>
  <c r="D249" i="9"/>
  <c r="F248" i="9"/>
  <c r="D248" i="9"/>
  <c r="F247" i="9"/>
  <c r="D247" i="9"/>
  <c r="F246" i="9"/>
  <c r="D246" i="9"/>
  <c r="F245" i="9"/>
  <c r="D245" i="9"/>
  <c r="F244" i="9"/>
  <c r="D244" i="9"/>
  <c r="F243" i="9"/>
  <c r="D243" i="9"/>
  <c r="F242" i="9"/>
  <c r="D242" i="9"/>
  <c r="F241" i="9"/>
  <c r="D241" i="9"/>
  <c r="F240" i="9"/>
  <c r="D240" i="9"/>
  <c r="F239" i="9"/>
  <c r="D239" i="9"/>
  <c r="F238" i="9"/>
  <c r="D238" i="9"/>
  <c r="F237" i="9"/>
  <c r="D237" i="9"/>
  <c r="F236" i="9"/>
  <c r="D236" i="9"/>
  <c r="F235" i="9"/>
  <c r="D235" i="9"/>
  <c r="F234" i="9"/>
  <c r="D234" i="9"/>
  <c r="F233" i="9"/>
  <c r="D233" i="9"/>
  <c r="F232" i="9"/>
  <c r="D232" i="9"/>
  <c r="F231" i="9"/>
  <c r="D231" i="9"/>
  <c r="F230" i="9"/>
  <c r="D230" i="9"/>
  <c r="F229" i="9"/>
  <c r="D229" i="9"/>
  <c r="F228" i="9"/>
  <c r="D228" i="9"/>
  <c r="F227" i="9"/>
  <c r="D227" i="9"/>
  <c r="F226" i="9"/>
  <c r="D226" i="9"/>
  <c r="F225" i="9"/>
  <c r="D225" i="9"/>
  <c r="F224" i="9"/>
  <c r="D224" i="9"/>
  <c r="F223" i="9"/>
  <c r="D223" i="9"/>
  <c r="F222" i="9"/>
  <c r="D222" i="9"/>
  <c r="F221" i="9"/>
  <c r="D221" i="9"/>
  <c r="F220" i="9"/>
  <c r="D220" i="9"/>
  <c r="F219" i="9"/>
  <c r="D219" i="9"/>
  <c r="F218" i="9"/>
  <c r="D218" i="9"/>
  <c r="F217" i="9"/>
  <c r="D217" i="9"/>
  <c r="F216" i="9"/>
  <c r="D216" i="9"/>
  <c r="F215" i="9"/>
  <c r="D215" i="9"/>
  <c r="F214" i="9"/>
  <c r="D214" i="9"/>
  <c r="F213" i="9"/>
  <c r="D213" i="9"/>
  <c r="F212" i="9"/>
  <c r="D212" i="9"/>
  <c r="F211" i="9"/>
  <c r="D211" i="9"/>
  <c r="F210" i="9"/>
  <c r="D210" i="9"/>
  <c r="F209" i="9"/>
  <c r="D209" i="9"/>
  <c r="F208" i="9"/>
  <c r="D208" i="9"/>
  <c r="F207" i="9"/>
  <c r="D207" i="9"/>
  <c r="F206" i="9"/>
  <c r="D206" i="9"/>
  <c r="F205" i="9"/>
  <c r="D205" i="9"/>
  <c r="F204" i="9"/>
  <c r="D204" i="9"/>
  <c r="F203" i="9"/>
  <c r="D203" i="9"/>
  <c r="F202" i="9"/>
  <c r="D202" i="9"/>
  <c r="F201" i="9"/>
  <c r="D201" i="9"/>
  <c r="F200" i="9"/>
  <c r="D200" i="9"/>
  <c r="F199" i="9"/>
  <c r="D199" i="9"/>
  <c r="F198" i="9"/>
  <c r="D198" i="9"/>
  <c r="F197" i="9"/>
  <c r="D197" i="9"/>
  <c r="F196" i="9"/>
  <c r="D196" i="9"/>
  <c r="F195" i="9"/>
  <c r="D195" i="9"/>
  <c r="F194" i="9"/>
  <c r="D194" i="9"/>
  <c r="F193" i="9"/>
  <c r="D193" i="9"/>
  <c r="F192" i="9"/>
  <c r="D192" i="9"/>
  <c r="F191" i="9"/>
  <c r="D191" i="9"/>
  <c r="F190" i="9"/>
  <c r="D190" i="9"/>
  <c r="F189" i="9"/>
  <c r="D189" i="9"/>
  <c r="F188" i="9"/>
  <c r="D188" i="9"/>
  <c r="F187" i="9"/>
  <c r="D187" i="9"/>
  <c r="F186" i="9"/>
  <c r="D186" i="9"/>
  <c r="F185" i="9"/>
  <c r="D185" i="9"/>
  <c r="F184" i="9"/>
  <c r="D184" i="9"/>
  <c r="F183" i="9"/>
  <c r="D183" i="9"/>
  <c r="F182" i="9"/>
  <c r="D182" i="9"/>
  <c r="F181" i="9"/>
  <c r="D181" i="9"/>
  <c r="F180" i="9"/>
  <c r="D180" i="9"/>
  <c r="F179" i="9"/>
  <c r="D179" i="9"/>
  <c r="F178" i="9"/>
  <c r="D178" i="9"/>
  <c r="F177" i="9"/>
  <c r="D177" i="9"/>
  <c r="F176" i="9"/>
  <c r="D176" i="9"/>
  <c r="F175" i="9"/>
  <c r="D175" i="9"/>
  <c r="F174" i="9"/>
  <c r="D174" i="9"/>
  <c r="F173" i="9"/>
  <c r="D173" i="9"/>
  <c r="F172" i="9"/>
  <c r="D172" i="9"/>
  <c r="F171" i="9"/>
  <c r="D171" i="9"/>
  <c r="F170" i="9"/>
  <c r="D170" i="9"/>
  <c r="F169" i="9"/>
  <c r="D169" i="9"/>
  <c r="F168" i="9"/>
  <c r="D168" i="9"/>
  <c r="F167" i="9"/>
  <c r="D167" i="9"/>
  <c r="F166" i="9"/>
  <c r="D166" i="9"/>
  <c r="F165" i="9"/>
  <c r="D165" i="9"/>
  <c r="F164" i="9"/>
  <c r="D164" i="9"/>
  <c r="F163" i="9"/>
  <c r="D163" i="9"/>
  <c r="F162" i="9"/>
  <c r="D162" i="9"/>
  <c r="F161" i="9"/>
  <c r="D161" i="9"/>
  <c r="F160" i="9"/>
  <c r="D160" i="9"/>
  <c r="F159" i="9"/>
  <c r="D159" i="9"/>
  <c r="F158" i="9"/>
  <c r="D158" i="9"/>
  <c r="F157" i="9"/>
  <c r="D157" i="9"/>
  <c r="F156" i="9"/>
  <c r="D156" i="9"/>
  <c r="F155" i="9"/>
  <c r="D155" i="9"/>
  <c r="F154" i="9"/>
  <c r="D154" i="9"/>
  <c r="F153" i="9"/>
  <c r="D153" i="9"/>
  <c r="F152" i="9"/>
  <c r="D152" i="9"/>
  <c r="F151" i="9"/>
  <c r="D151" i="9"/>
  <c r="F150" i="9"/>
  <c r="D150" i="9"/>
  <c r="F149" i="9"/>
  <c r="D149" i="9"/>
  <c r="F148" i="9"/>
  <c r="D148" i="9"/>
  <c r="F147" i="9"/>
  <c r="D147" i="9"/>
  <c r="F146" i="9"/>
  <c r="D146" i="9"/>
  <c r="F145" i="9"/>
  <c r="D145" i="9"/>
  <c r="F144" i="9"/>
  <c r="D144" i="9"/>
  <c r="F143" i="9"/>
  <c r="D143" i="9"/>
  <c r="F142" i="9"/>
  <c r="D142" i="9"/>
  <c r="F141" i="9"/>
  <c r="D141" i="9"/>
  <c r="F140" i="9"/>
  <c r="D140" i="9"/>
  <c r="F139" i="9"/>
  <c r="D139" i="9"/>
  <c r="F138" i="9"/>
  <c r="D138" i="9"/>
  <c r="F137" i="9"/>
  <c r="D137" i="9"/>
  <c r="F136" i="9"/>
  <c r="D136" i="9"/>
  <c r="F135" i="9"/>
  <c r="D135" i="9"/>
  <c r="F134" i="9"/>
  <c r="D134" i="9"/>
  <c r="F133" i="9"/>
  <c r="D133" i="9"/>
  <c r="F132" i="9"/>
  <c r="D132" i="9"/>
  <c r="F131" i="9"/>
  <c r="D131" i="9"/>
  <c r="F130" i="9"/>
  <c r="D130" i="9"/>
  <c r="F129" i="9"/>
  <c r="D129" i="9"/>
  <c r="F128" i="9"/>
  <c r="D128" i="9"/>
  <c r="F127" i="9"/>
  <c r="D127" i="9"/>
  <c r="F126" i="9"/>
  <c r="D126" i="9"/>
  <c r="F125" i="9"/>
  <c r="D125" i="9"/>
  <c r="F124" i="9"/>
  <c r="D124" i="9"/>
  <c r="F123" i="9"/>
  <c r="D123" i="9"/>
  <c r="F122" i="9"/>
  <c r="D122" i="9"/>
  <c r="F121" i="9"/>
  <c r="D121" i="9"/>
  <c r="F120" i="9"/>
  <c r="D120" i="9"/>
  <c r="F119" i="9"/>
  <c r="D119" i="9"/>
  <c r="F118" i="9"/>
  <c r="D118" i="9"/>
  <c r="F117" i="9"/>
  <c r="D117" i="9"/>
  <c r="F116" i="9"/>
  <c r="D116" i="9"/>
  <c r="F115" i="9"/>
  <c r="D115" i="9"/>
  <c r="F114" i="9"/>
  <c r="D114" i="9"/>
  <c r="F113" i="9"/>
  <c r="D113" i="9"/>
  <c r="F112" i="9"/>
  <c r="D112" i="9"/>
  <c r="F111" i="9"/>
  <c r="D111" i="9"/>
  <c r="F110" i="9"/>
  <c r="D110" i="9"/>
  <c r="F109" i="9"/>
  <c r="D109" i="9"/>
  <c r="F108" i="9"/>
  <c r="D108" i="9"/>
  <c r="F107" i="9"/>
  <c r="D107" i="9"/>
  <c r="F106" i="9"/>
  <c r="D106" i="9"/>
  <c r="F105" i="9"/>
  <c r="D105" i="9"/>
  <c r="F104" i="9"/>
  <c r="D104" i="9"/>
  <c r="F103" i="9"/>
  <c r="D103" i="9"/>
  <c r="F102" i="9"/>
  <c r="D102" i="9"/>
  <c r="F101" i="9"/>
  <c r="D101" i="9"/>
  <c r="F100" i="9"/>
  <c r="D100" i="9"/>
  <c r="F99" i="9"/>
  <c r="D99" i="9"/>
  <c r="F98" i="9"/>
  <c r="D98" i="9"/>
  <c r="F97" i="9"/>
  <c r="D97" i="9"/>
  <c r="F96" i="9"/>
  <c r="D96" i="9"/>
  <c r="F95" i="9"/>
  <c r="D95" i="9"/>
  <c r="F94" i="9"/>
  <c r="D94" i="9"/>
  <c r="F93" i="9"/>
  <c r="D93" i="9"/>
  <c r="F92" i="9"/>
  <c r="D92" i="9"/>
  <c r="F91" i="9"/>
  <c r="D91" i="9"/>
  <c r="F90" i="9"/>
  <c r="D90" i="9"/>
  <c r="F89" i="9"/>
  <c r="D89" i="9"/>
  <c r="F88" i="9"/>
  <c r="D88" i="9"/>
  <c r="F87" i="9"/>
  <c r="D87" i="9"/>
  <c r="F86" i="9"/>
  <c r="D86" i="9"/>
  <c r="F85" i="9"/>
  <c r="D85" i="9"/>
  <c r="F84" i="9"/>
  <c r="D84" i="9"/>
  <c r="F83" i="9"/>
  <c r="D83" i="9"/>
  <c r="F82" i="9"/>
  <c r="D82" i="9"/>
  <c r="F81" i="9"/>
  <c r="D81" i="9"/>
  <c r="F80" i="9"/>
  <c r="D80" i="9"/>
  <c r="F79" i="9"/>
  <c r="D79" i="9"/>
  <c r="F78" i="9"/>
  <c r="D78" i="9"/>
  <c r="F77" i="9"/>
  <c r="D77" i="9"/>
  <c r="F76" i="9"/>
  <c r="D76" i="9"/>
  <c r="F75" i="9"/>
  <c r="D75" i="9"/>
  <c r="F74" i="9"/>
  <c r="D74" i="9"/>
  <c r="F73" i="9"/>
  <c r="D73" i="9"/>
  <c r="F72" i="9"/>
  <c r="D72" i="9"/>
  <c r="F71" i="9"/>
  <c r="D71" i="9"/>
  <c r="F70" i="9"/>
  <c r="D70" i="9"/>
  <c r="F69" i="9"/>
  <c r="D69" i="9"/>
  <c r="F68" i="9"/>
  <c r="D68" i="9"/>
  <c r="F67" i="9"/>
  <c r="D67" i="9"/>
  <c r="F66" i="9"/>
  <c r="D66" i="9"/>
  <c r="F65" i="9"/>
  <c r="D65" i="9"/>
  <c r="F64" i="9"/>
  <c r="D64" i="9"/>
  <c r="F63" i="9"/>
  <c r="D63" i="9"/>
  <c r="F62" i="9"/>
  <c r="D62" i="9"/>
  <c r="F61" i="9"/>
  <c r="D61" i="9"/>
  <c r="F60" i="9"/>
  <c r="D60" i="9"/>
  <c r="F59" i="9"/>
  <c r="D59" i="9"/>
  <c r="F58" i="9"/>
  <c r="D58" i="9"/>
  <c r="F57" i="9"/>
  <c r="D57" i="9"/>
  <c r="F56" i="9"/>
  <c r="D56" i="9"/>
  <c r="F55" i="9"/>
  <c r="D55" i="9"/>
  <c r="F54" i="9"/>
  <c r="D54" i="9"/>
  <c r="F53" i="9"/>
  <c r="D53" i="9"/>
  <c r="F52" i="9"/>
  <c r="D52" i="9"/>
  <c r="F51" i="9"/>
  <c r="D51" i="9"/>
  <c r="F50" i="9"/>
  <c r="D50" i="9"/>
  <c r="F49" i="9"/>
  <c r="D49" i="9"/>
  <c r="F48" i="9"/>
  <c r="D48" i="9"/>
  <c r="F47" i="9"/>
  <c r="D47" i="9"/>
  <c r="F46" i="9"/>
  <c r="D46" i="9"/>
  <c r="F45" i="9"/>
  <c r="D45" i="9"/>
  <c r="F44" i="9"/>
  <c r="D44" i="9"/>
  <c r="F43" i="9"/>
  <c r="D43" i="9"/>
  <c r="F42" i="9"/>
  <c r="D42" i="9"/>
  <c r="F41" i="9"/>
  <c r="D41" i="9"/>
  <c r="F40" i="9"/>
  <c r="D40" i="9"/>
  <c r="F39" i="9"/>
  <c r="D39" i="9"/>
  <c r="F38" i="9"/>
  <c r="D38" i="9"/>
  <c r="F37" i="9"/>
  <c r="D37" i="9"/>
  <c r="F36" i="9"/>
  <c r="D36" i="9"/>
  <c r="F35" i="9"/>
  <c r="D35" i="9"/>
  <c r="F34" i="9"/>
  <c r="D34" i="9"/>
  <c r="F33" i="9"/>
  <c r="D33" i="9"/>
  <c r="F32" i="9"/>
  <c r="D32" i="9"/>
  <c r="F31" i="9"/>
  <c r="D31" i="9"/>
  <c r="F30" i="9"/>
  <c r="D30" i="9"/>
  <c r="F29" i="9"/>
  <c r="D29" i="9"/>
  <c r="F28" i="9"/>
  <c r="D28" i="9"/>
  <c r="F27" i="9"/>
  <c r="D27" i="9"/>
  <c r="F26" i="9"/>
  <c r="D26" i="9"/>
  <c r="F25" i="9"/>
  <c r="D25" i="9"/>
  <c r="F24" i="9"/>
  <c r="D24" i="9"/>
  <c r="F23" i="9"/>
  <c r="D23" i="9"/>
  <c r="F22" i="9"/>
  <c r="D22" i="9"/>
  <c r="F21" i="9"/>
  <c r="D21" i="9"/>
  <c r="F20" i="9"/>
  <c r="D20" i="9"/>
  <c r="F19" i="9"/>
  <c r="D19" i="9"/>
  <c r="F18" i="9"/>
  <c r="D18" i="9"/>
  <c r="F17" i="9"/>
  <c r="D17" i="9"/>
  <c r="F16" i="9"/>
  <c r="D16" i="9"/>
  <c r="F15" i="9"/>
  <c r="D15" i="9"/>
  <c r="F14" i="9"/>
  <c r="D14" i="9"/>
  <c r="F13" i="9"/>
  <c r="D13" i="9"/>
  <c r="F12" i="9"/>
  <c r="D12" i="9"/>
  <c r="F11" i="9"/>
  <c r="D11" i="9"/>
  <c r="F10" i="9"/>
  <c r="D10" i="9"/>
  <c r="F9" i="9"/>
  <c r="D9" i="9"/>
  <c r="F8" i="9"/>
  <c r="D8" i="9"/>
  <c r="F7" i="9"/>
  <c r="D7" i="9"/>
  <c r="F6" i="9"/>
  <c r="D6" i="9"/>
  <c r="F5" i="9"/>
  <c r="D5" i="9"/>
  <c r="F4" i="9"/>
  <c r="D4" i="9"/>
  <c r="F3" i="9"/>
  <c r="D3" i="9"/>
  <c r="F2" i="9"/>
  <c r="D2" i="9"/>
  <c r="CF318" i="7"/>
  <c r="CE318" i="7"/>
  <c r="CD318" i="7"/>
  <c r="CC318" i="7"/>
  <c r="CB318" i="7"/>
  <c r="CA318" i="7"/>
  <c r="BZ318" i="7"/>
  <c r="BY318" i="7"/>
  <c r="BX318" i="7"/>
  <c r="BW318" i="7"/>
  <c r="BV318" i="7"/>
  <c r="BU318" i="7"/>
  <c r="BT318" i="7"/>
  <c r="BS318" i="7"/>
  <c r="BR318" i="7"/>
  <c r="BQ318" i="7"/>
  <c r="BP318" i="7"/>
  <c r="BO318" i="7"/>
  <c r="BN318" i="7"/>
  <c r="BM318" i="7"/>
  <c r="BL318" i="7"/>
  <c r="BK318" i="7"/>
  <c r="BJ318" i="7"/>
  <c r="BI318" i="7"/>
  <c r="BH318" i="7"/>
  <c r="BG318" i="7"/>
  <c r="BF318" i="7"/>
  <c r="BE318" i="7"/>
  <c r="BD318" i="7"/>
  <c r="BC318" i="7"/>
  <c r="BB318" i="7"/>
  <c r="BA318" i="7"/>
  <c r="AZ318" i="7"/>
  <c r="AY318" i="7"/>
  <c r="AX318" i="7"/>
  <c r="AW318" i="7"/>
  <c r="AV318" i="7"/>
  <c r="AU318" i="7"/>
  <c r="AT318" i="7"/>
  <c r="AS318" i="7"/>
  <c r="AR318" i="7"/>
  <c r="AQ318" i="7"/>
  <c r="AP318" i="7"/>
  <c r="AO318" i="7"/>
  <c r="AN318" i="7"/>
  <c r="AM318" i="7"/>
  <c r="AL318" i="7"/>
  <c r="AK318" i="7"/>
  <c r="AJ318" i="7"/>
  <c r="AI318" i="7"/>
  <c r="AH318" i="7"/>
  <c r="AG318" i="7"/>
  <c r="AF318" i="7"/>
  <c r="AE318" i="7"/>
  <c r="AD318" i="7"/>
  <c r="AC318" i="7"/>
  <c r="AB318" i="7"/>
  <c r="AA318" i="7"/>
  <c r="Z318" i="7"/>
  <c r="Y318" i="7"/>
  <c r="X318" i="7"/>
  <c r="W318" i="7"/>
  <c r="V318" i="7"/>
  <c r="U318" i="7"/>
  <c r="T318" i="7"/>
  <c r="S318" i="7"/>
  <c r="R318" i="7"/>
  <c r="Q318" i="7"/>
  <c r="P318" i="7"/>
  <c r="O318" i="7"/>
  <c r="N318" i="7"/>
  <c r="M318" i="7"/>
  <c r="L318" i="7"/>
  <c r="K318" i="7"/>
  <c r="J318" i="7"/>
  <c r="I318" i="7"/>
  <c r="H318" i="7"/>
  <c r="G318" i="7"/>
  <c r="F318" i="7"/>
  <c r="E318" i="7"/>
  <c r="D318" i="7"/>
  <c r="C318" i="7"/>
  <c r="CG318" i="7" s="1"/>
  <c r="CF317" i="7"/>
  <c r="CE317" i="7"/>
  <c r="CD317" i="7"/>
  <c r="CC317" i="7"/>
  <c r="CB317" i="7"/>
  <c r="CA317" i="7"/>
  <c r="BZ317" i="7"/>
  <c r="BY317" i="7"/>
  <c r="BX317" i="7"/>
  <c r="BW317" i="7"/>
  <c r="BV317" i="7"/>
  <c r="BU317" i="7"/>
  <c r="BT317" i="7"/>
  <c r="BS317" i="7"/>
  <c r="BR317" i="7"/>
  <c r="BQ317" i="7"/>
  <c r="BP317" i="7"/>
  <c r="BO317" i="7"/>
  <c r="BN317" i="7"/>
  <c r="BM317" i="7"/>
  <c r="BL317" i="7"/>
  <c r="BK317" i="7"/>
  <c r="BJ317" i="7"/>
  <c r="BI317" i="7"/>
  <c r="BH317" i="7"/>
  <c r="BG317" i="7"/>
  <c r="BF317" i="7"/>
  <c r="BE317" i="7"/>
  <c r="BD317" i="7"/>
  <c r="BC317" i="7"/>
  <c r="BB317" i="7"/>
  <c r="BA317" i="7"/>
  <c r="AZ317" i="7"/>
  <c r="AY317" i="7"/>
  <c r="AX317" i="7"/>
  <c r="AW317" i="7"/>
  <c r="AV317" i="7"/>
  <c r="AU317" i="7"/>
  <c r="AT317" i="7"/>
  <c r="AS317" i="7"/>
  <c r="AR317" i="7"/>
  <c r="AQ317" i="7"/>
  <c r="AP317" i="7"/>
  <c r="AO317" i="7"/>
  <c r="AN317" i="7"/>
  <c r="AM317" i="7"/>
  <c r="AL317" i="7"/>
  <c r="AK317" i="7"/>
  <c r="AJ317" i="7"/>
  <c r="AI317" i="7"/>
  <c r="AH317" i="7"/>
  <c r="AG317" i="7"/>
  <c r="AF317" i="7"/>
  <c r="AE317" i="7"/>
  <c r="AD317" i="7"/>
  <c r="AC317" i="7"/>
  <c r="AB317" i="7"/>
  <c r="AA317" i="7"/>
  <c r="Z317" i="7"/>
  <c r="Y317" i="7"/>
  <c r="X317" i="7"/>
  <c r="W317" i="7"/>
  <c r="V317" i="7"/>
  <c r="U317" i="7"/>
  <c r="T317" i="7"/>
  <c r="S317" i="7"/>
  <c r="R317" i="7"/>
  <c r="Q317" i="7"/>
  <c r="P317" i="7"/>
  <c r="O317" i="7"/>
  <c r="N317" i="7"/>
  <c r="M317" i="7"/>
  <c r="L317" i="7"/>
  <c r="K317" i="7"/>
  <c r="J317" i="7"/>
  <c r="I317" i="7"/>
  <c r="H317" i="7"/>
  <c r="G317" i="7"/>
  <c r="F317" i="7"/>
  <c r="E317" i="7"/>
  <c r="D317" i="7"/>
  <c r="C317" i="7"/>
  <c r="CG317" i="7" s="1"/>
  <c r="CF316" i="7"/>
  <c r="CE316" i="7"/>
  <c r="CD316" i="7"/>
  <c r="CC316" i="7"/>
  <c r="CB316" i="7"/>
  <c r="CA316" i="7"/>
  <c r="BZ316" i="7"/>
  <c r="BY316" i="7"/>
  <c r="BX316" i="7"/>
  <c r="BW316" i="7"/>
  <c r="BV316" i="7"/>
  <c r="BU316" i="7"/>
  <c r="BT316" i="7"/>
  <c r="BS316" i="7"/>
  <c r="BR316" i="7"/>
  <c r="BQ316" i="7"/>
  <c r="BP316" i="7"/>
  <c r="BO316" i="7"/>
  <c r="BN316" i="7"/>
  <c r="BM316" i="7"/>
  <c r="BL316" i="7"/>
  <c r="BK316" i="7"/>
  <c r="BJ316" i="7"/>
  <c r="BI316" i="7"/>
  <c r="BH316" i="7"/>
  <c r="BG316" i="7"/>
  <c r="BF316" i="7"/>
  <c r="BE316" i="7"/>
  <c r="BD316" i="7"/>
  <c r="BC316" i="7"/>
  <c r="BB316" i="7"/>
  <c r="BA316" i="7"/>
  <c r="AZ316" i="7"/>
  <c r="AY316" i="7"/>
  <c r="AX316" i="7"/>
  <c r="AW316" i="7"/>
  <c r="AV316" i="7"/>
  <c r="AU316" i="7"/>
  <c r="AT316" i="7"/>
  <c r="AS316" i="7"/>
  <c r="AR316" i="7"/>
  <c r="AQ316" i="7"/>
  <c r="AP316" i="7"/>
  <c r="AO316" i="7"/>
  <c r="AN316" i="7"/>
  <c r="AM316" i="7"/>
  <c r="AL316" i="7"/>
  <c r="AK316" i="7"/>
  <c r="AJ316" i="7"/>
  <c r="AI316" i="7"/>
  <c r="AH316" i="7"/>
  <c r="AG316" i="7"/>
  <c r="AF316" i="7"/>
  <c r="AE316" i="7"/>
  <c r="AD316" i="7"/>
  <c r="AC316" i="7"/>
  <c r="AB316" i="7"/>
  <c r="AA316" i="7"/>
  <c r="Z316" i="7"/>
  <c r="Y316" i="7"/>
  <c r="X316" i="7"/>
  <c r="W316" i="7"/>
  <c r="V316" i="7"/>
  <c r="U316" i="7"/>
  <c r="T316" i="7"/>
  <c r="S316" i="7"/>
  <c r="R316" i="7"/>
  <c r="Q316" i="7"/>
  <c r="P316" i="7"/>
  <c r="O316" i="7"/>
  <c r="N316" i="7"/>
  <c r="M316" i="7"/>
  <c r="L316" i="7"/>
  <c r="K316" i="7"/>
  <c r="J316" i="7"/>
  <c r="I316" i="7"/>
  <c r="H316" i="7"/>
  <c r="G316" i="7"/>
  <c r="F316" i="7"/>
  <c r="E316" i="7"/>
  <c r="CG316" i="7" s="1"/>
  <c r="D316" i="7"/>
  <c r="C316" i="7"/>
  <c r="CF315" i="7"/>
  <c r="CE315" i="7"/>
  <c r="CD315" i="7"/>
  <c r="CC315" i="7"/>
  <c r="CB315" i="7"/>
  <c r="CA315" i="7"/>
  <c r="BZ315" i="7"/>
  <c r="BY315" i="7"/>
  <c r="BX315" i="7"/>
  <c r="BW315" i="7"/>
  <c r="BV315" i="7"/>
  <c r="BU315" i="7"/>
  <c r="BT315" i="7"/>
  <c r="BS315" i="7"/>
  <c r="BR315" i="7"/>
  <c r="BQ315" i="7"/>
  <c r="BP315" i="7"/>
  <c r="BO315" i="7"/>
  <c r="BN315" i="7"/>
  <c r="BM315" i="7"/>
  <c r="BL315" i="7"/>
  <c r="BK315" i="7"/>
  <c r="BJ315" i="7"/>
  <c r="BI315" i="7"/>
  <c r="BH315" i="7"/>
  <c r="BG315" i="7"/>
  <c r="BF315" i="7"/>
  <c r="BE315" i="7"/>
  <c r="BD315" i="7"/>
  <c r="BC315" i="7"/>
  <c r="BB315" i="7"/>
  <c r="BA315" i="7"/>
  <c r="AZ315" i="7"/>
  <c r="AY315" i="7"/>
  <c r="AX315" i="7"/>
  <c r="AW315" i="7"/>
  <c r="AV315" i="7"/>
  <c r="AU315" i="7"/>
  <c r="AT315" i="7"/>
  <c r="AS315" i="7"/>
  <c r="AR315" i="7"/>
  <c r="AQ315" i="7"/>
  <c r="AP315" i="7"/>
  <c r="AO315" i="7"/>
  <c r="AN315" i="7"/>
  <c r="AM315" i="7"/>
  <c r="AL315" i="7"/>
  <c r="AK315" i="7"/>
  <c r="AJ315" i="7"/>
  <c r="AI315" i="7"/>
  <c r="AH315" i="7"/>
  <c r="AG315" i="7"/>
  <c r="AF315" i="7"/>
  <c r="AE315" i="7"/>
  <c r="AD315" i="7"/>
  <c r="AC315" i="7"/>
  <c r="AB315" i="7"/>
  <c r="AA315" i="7"/>
  <c r="Z315" i="7"/>
  <c r="Y315" i="7"/>
  <c r="X315" i="7"/>
  <c r="W315" i="7"/>
  <c r="V315" i="7"/>
  <c r="U315" i="7"/>
  <c r="T315" i="7"/>
  <c r="S315" i="7"/>
  <c r="R315" i="7"/>
  <c r="Q315" i="7"/>
  <c r="P315" i="7"/>
  <c r="O315" i="7"/>
  <c r="N315" i="7"/>
  <c r="M315" i="7"/>
  <c r="L315" i="7"/>
  <c r="K315" i="7"/>
  <c r="J315" i="7"/>
  <c r="I315" i="7"/>
  <c r="H315" i="7"/>
  <c r="G315" i="7"/>
  <c r="F315" i="7"/>
  <c r="E315" i="7"/>
  <c r="D315" i="7"/>
  <c r="C315" i="7"/>
  <c r="CG315" i="7" s="1"/>
  <c r="CF314" i="7"/>
  <c r="CE314" i="7"/>
  <c r="CD314" i="7"/>
  <c r="CC314" i="7"/>
  <c r="CB314" i="7"/>
  <c r="CA314" i="7"/>
  <c r="BZ314" i="7"/>
  <c r="BY314" i="7"/>
  <c r="BX314" i="7"/>
  <c r="BW314" i="7"/>
  <c r="BV314" i="7"/>
  <c r="BU314" i="7"/>
  <c r="BT314" i="7"/>
  <c r="BS314" i="7"/>
  <c r="BR314" i="7"/>
  <c r="BQ314" i="7"/>
  <c r="BP314" i="7"/>
  <c r="BO314" i="7"/>
  <c r="BN314" i="7"/>
  <c r="BM314" i="7"/>
  <c r="BL314" i="7"/>
  <c r="BK314" i="7"/>
  <c r="BJ314" i="7"/>
  <c r="BI314" i="7"/>
  <c r="BH314" i="7"/>
  <c r="BG314" i="7"/>
  <c r="BF314" i="7"/>
  <c r="BE314" i="7"/>
  <c r="BD314" i="7"/>
  <c r="BC314" i="7"/>
  <c r="BB314" i="7"/>
  <c r="BA314" i="7"/>
  <c r="AZ314" i="7"/>
  <c r="AY314" i="7"/>
  <c r="AX314" i="7"/>
  <c r="AW314" i="7"/>
  <c r="AV314" i="7"/>
  <c r="AU314" i="7"/>
  <c r="AT314" i="7"/>
  <c r="AS314" i="7"/>
  <c r="AR314" i="7"/>
  <c r="AQ314" i="7"/>
  <c r="AP314" i="7"/>
  <c r="AO314" i="7"/>
  <c r="AN314" i="7"/>
  <c r="AM314" i="7"/>
  <c r="AL314" i="7"/>
  <c r="AK314" i="7"/>
  <c r="AJ314" i="7"/>
  <c r="AI314" i="7"/>
  <c r="AH314" i="7"/>
  <c r="AG314" i="7"/>
  <c r="AF314" i="7"/>
  <c r="AE314" i="7"/>
  <c r="AD314" i="7"/>
  <c r="AC314" i="7"/>
  <c r="AB314" i="7"/>
  <c r="AA314" i="7"/>
  <c r="Z314" i="7"/>
  <c r="Y314" i="7"/>
  <c r="X314" i="7"/>
  <c r="W314" i="7"/>
  <c r="V314" i="7"/>
  <c r="U314" i="7"/>
  <c r="T314" i="7"/>
  <c r="S314" i="7"/>
  <c r="R314" i="7"/>
  <c r="Q314" i="7"/>
  <c r="P314" i="7"/>
  <c r="O314" i="7"/>
  <c r="N314" i="7"/>
  <c r="M314" i="7"/>
  <c r="L314" i="7"/>
  <c r="K314" i="7"/>
  <c r="J314" i="7"/>
  <c r="I314" i="7"/>
  <c r="H314" i="7"/>
  <c r="G314" i="7"/>
  <c r="F314" i="7"/>
  <c r="E314" i="7"/>
  <c r="D314" i="7"/>
  <c r="C314" i="7"/>
  <c r="CF313" i="7"/>
  <c r="CE313" i="7"/>
  <c r="CD313" i="7"/>
  <c r="CC313" i="7"/>
  <c r="CB313" i="7"/>
  <c r="CA313" i="7"/>
  <c r="BZ313" i="7"/>
  <c r="BY313" i="7"/>
  <c r="BX313" i="7"/>
  <c r="BW313" i="7"/>
  <c r="BV313" i="7"/>
  <c r="BU313" i="7"/>
  <c r="BT313" i="7"/>
  <c r="BS313" i="7"/>
  <c r="BR313" i="7"/>
  <c r="BQ313" i="7"/>
  <c r="BP313" i="7"/>
  <c r="BO313" i="7"/>
  <c r="BN313" i="7"/>
  <c r="BM313" i="7"/>
  <c r="BL313" i="7"/>
  <c r="BK313" i="7"/>
  <c r="BJ313" i="7"/>
  <c r="BI313" i="7"/>
  <c r="BH313" i="7"/>
  <c r="BG313" i="7"/>
  <c r="BF313" i="7"/>
  <c r="BE313" i="7"/>
  <c r="BD313" i="7"/>
  <c r="BC313" i="7"/>
  <c r="BB313" i="7"/>
  <c r="BA313" i="7"/>
  <c r="AZ313" i="7"/>
  <c r="AY313" i="7"/>
  <c r="AX313" i="7"/>
  <c r="AW313" i="7"/>
  <c r="AV313" i="7"/>
  <c r="AU313" i="7"/>
  <c r="AT313" i="7"/>
  <c r="AS313" i="7"/>
  <c r="AR313" i="7"/>
  <c r="AQ313" i="7"/>
  <c r="AP313" i="7"/>
  <c r="AO313" i="7"/>
  <c r="AN313" i="7"/>
  <c r="AM313" i="7"/>
  <c r="AL313" i="7"/>
  <c r="AK313" i="7"/>
  <c r="AJ313" i="7"/>
  <c r="AI313" i="7"/>
  <c r="AH313" i="7"/>
  <c r="AG313" i="7"/>
  <c r="AF313" i="7"/>
  <c r="AE313" i="7"/>
  <c r="AD313" i="7"/>
  <c r="AC313" i="7"/>
  <c r="AB313" i="7"/>
  <c r="AA313" i="7"/>
  <c r="Z313" i="7"/>
  <c r="Y313" i="7"/>
  <c r="X313" i="7"/>
  <c r="W313" i="7"/>
  <c r="V313" i="7"/>
  <c r="U313" i="7"/>
  <c r="T313" i="7"/>
  <c r="S313" i="7"/>
  <c r="R313" i="7"/>
  <c r="Q313" i="7"/>
  <c r="P313" i="7"/>
  <c r="O313" i="7"/>
  <c r="N313" i="7"/>
  <c r="M313" i="7"/>
  <c r="L313" i="7"/>
  <c r="K313" i="7"/>
  <c r="J313" i="7"/>
  <c r="I313" i="7"/>
  <c r="H313" i="7"/>
  <c r="G313" i="7"/>
  <c r="F313" i="7"/>
  <c r="E313" i="7"/>
  <c r="D313" i="7"/>
  <c r="C313" i="7"/>
  <c r="CG313" i="7" s="1"/>
  <c r="CF312" i="7"/>
  <c r="CE312" i="7"/>
  <c r="CD312" i="7"/>
  <c r="CC312" i="7"/>
  <c r="CB312" i="7"/>
  <c r="CA312" i="7"/>
  <c r="BZ312" i="7"/>
  <c r="BY312" i="7"/>
  <c r="BX312" i="7"/>
  <c r="BW312" i="7"/>
  <c r="BV312" i="7"/>
  <c r="BU312" i="7"/>
  <c r="BT312" i="7"/>
  <c r="BS312" i="7"/>
  <c r="BR312" i="7"/>
  <c r="BQ312" i="7"/>
  <c r="BP312" i="7"/>
  <c r="BO312" i="7"/>
  <c r="BN312" i="7"/>
  <c r="BM312" i="7"/>
  <c r="BL312" i="7"/>
  <c r="BK312" i="7"/>
  <c r="BJ312" i="7"/>
  <c r="BI312" i="7"/>
  <c r="BH312" i="7"/>
  <c r="BG312" i="7"/>
  <c r="BF312" i="7"/>
  <c r="BE312" i="7"/>
  <c r="BD312" i="7"/>
  <c r="BC312" i="7"/>
  <c r="BB312" i="7"/>
  <c r="BA312" i="7"/>
  <c r="AZ312" i="7"/>
  <c r="AY312" i="7"/>
  <c r="AX312" i="7"/>
  <c r="AW312" i="7"/>
  <c r="AV312" i="7"/>
  <c r="AU312" i="7"/>
  <c r="AT312" i="7"/>
  <c r="AS312" i="7"/>
  <c r="AR312" i="7"/>
  <c r="AQ312" i="7"/>
  <c r="AP312" i="7"/>
  <c r="AO312" i="7"/>
  <c r="AN312" i="7"/>
  <c r="AM312" i="7"/>
  <c r="AL312" i="7"/>
  <c r="AK312" i="7"/>
  <c r="AJ312" i="7"/>
  <c r="AI312" i="7"/>
  <c r="AH312" i="7"/>
  <c r="AG312" i="7"/>
  <c r="AF312" i="7"/>
  <c r="AE312" i="7"/>
  <c r="AD312" i="7"/>
  <c r="AC312" i="7"/>
  <c r="AB312" i="7"/>
  <c r="AA312" i="7"/>
  <c r="Z312" i="7"/>
  <c r="Y312" i="7"/>
  <c r="X312" i="7"/>
  <c r="W312" i="7"/>
  <c r="V312" i="7"/>
  <c r="U312" i="7"/>
  <c r="T312" i="7"/>
  <c r="S312" i="7"/>
  <c r="R312" i="7"/>
  <c r="Q312" i="7"/>
  <c r="P312" i="7"/>
  <c r="O312" i="7"/>
  <c r="N312" i="7"/>
  <c r="M312" i="7"/>
  <c r="L312" i="7"/>
  <c r="K312" i="7"/>
  <c r="J312" i="7"/>
  <c r="I312" i="7"/>
  <c r="H312" i="7"/>
  <c r="G312" i="7"/>
  <c r="F312" i="7"/>
  <c r="E312" i="7"/>
  <c r="D312" i="7"/>
  <c r="C312" i="7"/>
  <c r="CG312" i="7" s="1"/>
  <c r="CF311" i="7"/>
  <c r="CE311" i="7"/>
  <c r="CD311" i="7"/>
  <c r="CC311" i="7"/>
  <c r="CB311" i="7"/>
  <c r="CA311" i="7"/>
  <c r="BZ311" i="7"/>
  <c r="BY311" i="7"/>
  <c r="BX311" i="7"/>
  <c r="BW311" i="7"/>
  <c r="BV311" i="7"/>
  <c r="BU311" i="7"/>
  <c r="BT311" i="7"/>
  <c r="BS311" i="7"/>
  <c r="BR311" i="7"/>
  <c r="BQ311" i="7"/>
  <c r="BP311" i="7"/>
  <c r="BO311" i="7"/>
  <c r="BN311" i="7"/>
  <c r="BM311" i="7"/>
  <c r="BL311" i="7"/>
  <c r="BK311" i="7"/>
  <c r="BJ311" i="7"/>
  <c r="BI311" i="7"/>
  <c r="BH311" i="7"/>
  <c r="BG311" i="7"/>
  <c r="BF311" i="7"/>
  <c r="BE311" i="7"/>
  <c r="BD311" i="7"/>
  <c r="BC311" i="7"/>
  <c r="BB311" i="7"/>
  <c r="BA311" i="7"/>
  <c r="AZ311" i="7"/>
  <c r="AY311" i="7"/>
  <c r="AX311" i="7"/>
  <c r="AW311" i="7"/>
  <c r="AV311" i="7"/>
  <c r="AU311" i="7"/>
  <c r="AT311" i="7"/>
  <c r="AS311" i="7"/>
  <c r="AR311" i="7"/>
  <c r="AQ311" i="7"/>
  <c r="AP311" i="7"/>
  <c r="AO311" i="7"/>
  <c r="AN311" i="7"/>
  <c r="AM311" i="7"/>
  <c r="AL311" i="7"/>
  <c r="AK311" i="7"/>
  <c r="AJ311" i="7"/>
  <c r="AI311" i="7"/>
  <c r="AH311" i="7"/>
  <c r="AG311" i="7"/>
  <c r="AF311" i="7"/>
  <c r="AE311" i="7"/>
  <c r="AD311" i="7"/>
  <c r="AC311" i="7"/>
  <c r="AB311" i="7"/>
  <c r="AA311" i="7"/>
  <c r="Z311" i="7"/>
  <c r="Y311" i="7"/>
  <c r="X311" i="7"/>
  <c r="W311" i="7"/>
  <c r="V311" i="7"/>
  <c r="U311" i="7"/>
  <c r="T311" i="7"/>
  <c r="S311" i="7"/>
  <c r="R311" i="7"/>
  <c r="Q311" i="7"/>
  <c r="P311" i="7"/>
  <c r="O311" i="7"/>
  <c r="N311" i="7"/>
  <c r="M311" i="7"/>
  <c r="L311" i="7"/>
  <c r="K311" i="7"/>
  <c r="J311" i="7"/>
  <c r="I311" i="7"/>
  <c r="H311" i="7"/>
  <c r="G311" i="7"/>
  <c r="F311" i="7"/>
  <c r="E311" i="7"/>
  <c r="D311" i="7"/>
  <c r="C311" i="7"/>
  <c r="CG311" i="7" s="1"/>
  <c r="CF310" i="7"/>
  <c r="CE310" i="7"/>
  <c r="CD310" i="7"/>
  <c r="CC310" i="7"/>
  <c r="CB310" i="7"/>
  <c r="CA310" i="7"/>
  <c r="BZ310" i="7"/>
  <c r="BY310" i="7"/>
  <c r="BX310" i="7"/>
  <c r="BW310" i="7"/>
  <c r="BV310" i="7"/>
  <c r="BU310" i="7"/>
  <c r="BT310" i="7"/>
  <c r="BS310" i="7"/>
  <c r="BR310" i="7"/>
  <c r="BQ310" i="7"/>
  <c r="BP310" i="7"/>
  <c r="BO310" i="7"/>
  <c r="BN310" i="7"/>
  <c r="BM310" i="7"/>
  <c r="BL310" i="7"/>
  <c r="BK310" i="7"/>
  <c r="BJ310" i="7"/>
  <c r="BI310" i="7"/>
  <c r="BH310" i="7"/>
  <c r="BG310" i="7"/>
  <c r="BF310" i="7"/>
  <c r="BE310" i="7"/>
  <c r="BD310" i="7"/>
  <c r="BC310" i="7"/>
  <c r="BB310" i="7"/>
  <c r="BA310" i="7"/>
  <c r="AZ310" i="7"/>
  <c r="AY310" i="7"/>
  <c r="AX310" i="7"/>
  <c r="AW310" i="7"/>
  <c r="AV310" i="7"/>
  <c r="AU310" i="7"/>
  <c r="AT310" i="7"/>
  <c r="AS310" i="7"/>
  <c r="AR310" i="7"/>
  <c r="AQ310" i="7"/>
  <c r="AP310" i="7"/>
  <c r="AO310" i="7"/>
  <c r="AN310" i="7"/>
  <c r="AM310" i="7"/>
  <c r="AL310" i="7"/>
  <c r="AK310" i="7"/>
  <c r="AJ310" i="7"/>
  <c r="AI310" i="7"/>
  <c r="AH310" i="7"/>
  <c r="AG310" i="7"/>
  <c r="AF310" i="7"/>
  <c r="AE310" i="7"/>
  <c r="AD310" i="7"/>
  <c r="AC310" i="7"/>
  <c r="AB310" i="7"/>
  <c r="AA310" i="7"/>
  <c r="Z310" i="7"/>
  <c r="Y310" i="7"/>
  <c r="X310" i="7"/>
  <c r="W310" i="7"/>
  <c r="V310" i="7"/>
  <c r="U310" i="7"/>
  <c r="T310" i="7"/>
  <c r="S310" i="7"/>
  <c r="CG310" i="7" s="1"/>
  <c r="R310" i="7"/>
  <c r="Q310" i="7"/>
  <c r="P310" i="7"/>
  <c r="O310" i="7"/>
  <c r="N310" i="7"/>
  <c r="M310" i="7"/>
  <c r="L310" i="7"/>
  <c r="K310" i="7"/>
  <c r="J310" i="7"/>
  <c r="I310" i="7"/>
  <c r="H310" i="7"/>
  <c r="G310" i="7"/>
  <c r="F310" i="7"/>
  <c r="E310" i="7"/>
  <c r="D310" i="7"/>
  <c r="C310" i="7"/>
  <c r="CF309" i="7"/>
  <c r="CE309" i="7"/>
  <c r="CD309" i="7"/>
  <c r="CC309" i="7"/>
  <c r="CB309" i="7"/>
  <c r="CA309" i="7"/>
  <c r="BZ309" i="7"/>
  <c r="BY309" i="7"/>
  <c r="BX309" i="7"/>
  <c r="BW309" i="7"/>
  <c r="BV309" i="7"/>
  <c r="BU309" i="7"/>
  <c r="BT309" i="7"/>
  <c r="BS309" i="7"/>
  <c r="BR309" i="7"/>
  <c r="BQ309" i="7"/>
  <c r="BP309" i="7"/>
  <c r="BO309" i="7"/>
  <c r="BN309" i="7"/>
  <c r="BM309" i="7"/>
  <c r="BL309" i="7"/>
  <c r="BK309" i="7"/>
  <c r="BJ309" i="7"/>
  <c r="BI309" i="7"/>
  <c r="BH309" i="7"/>
  <c r="BG309" i="7"/>
  <c r="BF309" i="7"/>
  <c r="BE309" i="7"/>
  <c r="BD309" i="7"/>
  <c r="BC309" i="7"/>
  <c r="BB309" i="7"/>
  <c r="BA309" i="7"/>
  <c r="AZ309" i="7"/>
  <c r="AY309" i="7"/>
  <c r="AX309" i="7"/>
  <c r="AW309" i="7"/>
  <c r="AV309" i="7"/>
  <c r="AU309" i="7"/>
  <c r="AT309" i="7"/>
  <c r="AS309" i="7"/>
  <c r="AR309" i="7"/>
  <c r="AQ309" i="7"/>
  <c r="AP309" i="7"/>
  <c r="AO309" i="7"/>
  <c r="AN309" i="7"/>
  <c r="AM309" i="7"/>
  <c r="AL309" i="7"/>
  <c r="AK309" i="7"/>
  <c r="AJ309" i="7"/>
  <c r="AI309" i="7"/>
  <c r="AH309" i="7"/>
  <c r="AG309" i="7"/>
  <c r="AF309" i="7"/>
  <c r="AE309" i="7"/>
  <c r="AD309" i="7"/>
  <c r="AC309" i="7"/>
  <c r="AB309" i="7"/>
  <c r="AA309" i="7"/>
  <c r="Z309" i="7"/>
  <c r="Y309" i="7"/>
  <c r="X309" i="7"/>
  <c r="W309" i="7"/>
  <c r="V309" i="7"/>
  <c r="U309" i="7"/>
  <c r="T309" i="7"/>
  <c r="S309" i="7"/>
  <c r="R309" i="7"/>
  <c r="Q309" i="7"/>
  <c r="CG309" i="7" s="1"/>
  <c r="P309" i="7"/>
  <c r="O309" i="7"/>
  <c r="N309" i="7"/>
  <c r="M309" i="7"/>
  <c r="L309" i="7"/>
  <c r="K309" i="7"/>
  <c r="J309" i="7"/>
  <c r="I309" i="7"/>
  <c r="H309" i="7"/>
  <c r="G309" i="7"/>
  <c r="F309" i="7"/>
  <c r="E309" i="7"/>
  <c r="D309" i="7"/>
  <c r="C309" i="7"/>
  <c r="CF308" i="7"/>
  <c r="CE308" i="7"/>
  <c r="CD308" i="7"/>
  <c r="CC308" i="7"/>
  <c r="CB308" i="7"/>
  <c r="CA308" i="7"/>
  <c r="BZ308" i="7"/>
  <c r="BY308" i="7"/>
  <c r="BX308" i="7"/>
  <c r="BW308" i="7"/>
  <c r="BV308" i="7"/>
  <c r="BU308" i="7"/>
  <c r="BT308" i="7"/>
  <c r="BS308" i="7"/>
  <c r="BR308" i="7"/>
  <c r="BQ308" i="7"/>
  <c r="BP308" i="7"/>
  <c r="BO308" i="7"/>
  <c r="BN308" i="7"/>
  <c r="BM308" i="7"/>
  <c r="BL308" i="7"/>
  <c r="BK308" i="7"/>
  <c r="BJ308" i="7"/>
  <c r="BI308" i="7"/>
  <c r="BH308" i="7"/>
  <c r="BG308" i="7"/>
  <c r="BF308" i="7"/>
  <c r="BE308" i="7"/>
  <c r="BD308" i="7"/>
  <c r="BC308" i="7"/>
  <c r="BB308" i="7"/>
  <c r="BA308" i="7"/>
  <c r="AZ308" i="7"/>
  <c r="AY308" i="7"/>
  <c r="AX308" i="7"/>
  <c r="AW308" i="7"/>
  <c r="AV308" i="7"/>
  <c r="AU308" i="7"/>
  <c r="AT308" i="7"/>
  <c r="AS308" i="7"/>
  <c r="AR308" i="7"/>
  <c r="AQ308" i="7"/>
  <c r="AP308" i="7"/>
  <c r="AO308" i="7"/>
  <c r="AN308" i="7"/>
  <c r="AM308" i="7"/>
  <c r="AL308" i="7"/>
  <c r="AK308" i="7"/>
  <c r="AJ308" i="7"/>
  <c r="AI308" i="7"/>
  <c r="AH308" i="7"/>
  <c r="AG308" i="7"/>
  <c r="AF308" i="7"/>
  <c r="AE308" i="7"/>
  <c r="AD308" i="7"/>
  <c r="AC308" i="7"/>
  <c r="AB308" i="7"/>
  <c r="AA308" i="7"/>
  <c r="Z308" i="7"/>
  <c r="Y308" i="7"/>
  <c r="X308" i="7"/>
  <c r="W308" i="7"/>
  <c r="V308" i="7"/>
  <c r="U308" i="7"/>
  <c r="T308" i="7"/>
  <c r="S308" i="7"/>
  <c r="R308" i="7"/>
  <c r="Q308" i="7"/>
  <c r="P308" i="7"/>
  <c r="O308" i="7"/>
  <c r="N308" i="7"/>
  <c r="M308" i="7"/>
  <c r="L308" i="7"/>
  <c r="K308" i="7"/>
  <c r="J308" i="7"/>
  <c r="I308" i="7"/>
  <c r="H308" i="7"/>
  <c r="G308" i="7"/>
  <c r="F308" i="7"/>
  <c r="E308" i="7"/>
  <c r="D308" i="7"/>
  <c r="C308" i="7"/>
  <c r="CG308" i="7" s="1"/>
  <c r="CF307" i="7"/>
  <c r="CE307" i="7"/>
  <c r="CD307" i="7"/>
  <c r="CC307" i="7"/>
  <c r="CB307" i="7"/>
  <c r="CA307" i="7"/>
  <c r="BZ307" i="7"/>
  <c r="BY307" i="7"/>
  <c r="BX307" i="7"/>
  <c r="BW307" i="7"/>
  <c r="BV307" i="7"/>
  <c r="BU307" i="7"/>
  <c r="BT307" i="7"/>
  <c r="BS307" i="7"/>
  <c r="BR307" i="7"/>
  <c r="BQ307" i="7"/>
  <c r="BP307" i="7"/>
  <c r="BO307" i="7"/>
  <c r="BN307" i="7"/>
  <c r="BM307" i="7"/>
  <c r="BL307" i="7"/>
  <c r="BK307" i="7"/>
  <c r="BJ307" i="7"/>
  <c r="BI307" i="7"/>
  <c r="BH307" i="7"/>
  <c r="BG307" i="7"/>
  <c r="BF307" i="7"/>
  <c r="BE307" i="7"/>
  <c r="BD307" i="7"/>
  <c r="BC307" i="7"/>
  <c r="BB307" i="7"/>
  <c r="BA307" i="7"/>
  <c r="AZ307" i="7"/>
  <c r="AY307" i="7"/>
  <c r="AX307" i="7"/>
  <c r="AW307" i="7"/>
  <c r="AV307" i="7"/>
  <c r="AU307" i="7"/>
  <c r="AT307" i="7"/>
  <c r="AS307" i="7"/>
  <c r="AR307" i="7"/>
  <c r="AQ307" i="7"/>
  <c r="AP307" i="7"/>
  <c r="AO307" i="7"/>
  <c r="AN307" i="7"/>
  <c r="AM307" i="7"/>
  <c r="AL307" i="7"/>
  <c r="AK307" i="7"/>
  <c r="AJ307" i="7"/>
  <c r="AI307" i="7"/>
  <c r="AH307" i="7"/>
  <c r="AG307" i="7"/>
  <c r="AF307" i="7"/>
  <c r="AE307" i="7"/>
  <c r="AD307" i="7"/>
  <c r="AC307" i="7"/>
  <c r="AB307" i="7"/>
  <c r="AA307" i="7"/>
  <c r="Z307" i="7"/>
  <c r="Y307" i="7"/>
  <c r="X307" i="7"/>
  <c r="W307" i="7"/>
  <c r="V307" i="7"/>
  <c r="U307" i="7"/>
  <c r="T307" i="7"/>
  <c r="S307" i="7"/>
  <c r="R307" i="7"/>
  <c r="Q307" i="7"/>
  <c r="P307" i="7"/>
  <c r="O307" i="7"/>
  <c r="N307" i="7"/>
  <c r="M307" i="7"/>
  <c r="L307" i="7"/>
  <c r="K307" i="7"/>
  <c r="J307" i="7"/>
  <c r="I307" i="7"/>
  <c r="H307" i="7"/>
  <c r="G307" i="7"/>
  <c r="F307" i="7"/>
  <c r="E307" i="7"/>
  <c r="D307" i="7"/>
  <c r="C307" i="7"/>
  <c r="CG307" i="7" s="1"/>
  <c r="CF306" i="7"/>
  <c r="CE306" i="7"/>
  <c r="CD306" i="7"/>
  <c r="CC306" i="7"/>
  <c r="CB306" i="7"/>
  <c r="CA306" i="7"/>
  <c r="BZ306" i="7"/>
  <c r="BY306" i="7"/>
  <c r="BX306" i="7"/>
  <c r="BW306" i="7"/>
  <c r="BV306" i="7"/>
  <c r="BU306" i="7"/>
  <c r="BT306" i="7"/>
  <c r="BS306" i="7"/>
  <c r="BR306" i="7"/>
  <c r="BQ306" i="7"/>
  <c r="BP306" i="7"/>
  <c r="BO306" i="7"/>
  <c r="BN306" i="7"/>
  <c r="BM306" i="7"/>
  <c r="BL306" i="7"/>
  <c r="BK306" i="7"/>
  <c r="BJ306" i="7"/>
  <c r="BI306" i="7"/>
  <c r="BH306" i="7"/>
  <c r="BG306" i="7"/>
  <c r="BF306" i="7"/>
  <c r="BE306" i="7"/>
  <c r="BD306" i="7"/>
  <c r="BC306" i="7"/>
  <c r="BB306" i="7"/>
  <c r="BA306" i="7"/>
  <c r="AZ306" i="7"/>
  <c r="AY306" i="7"/>
  <c r="AX306" i="7"/>
  <c r="AW306" i="7"/>
  <c r="AV306" i="7"/>
  <c r="AU306" i="7"/>
  <c r="AT306" i="7"/>
  <c r="AS306" i="7"/>
  <c r="AR306" i="7"/>
  <c r="AQ306" i="7"/>
  <c r="AP306" i="7"/>
  <c r="AO306" i="7"/>
  <c r="AN306" i="7"/>
  <c r="AM306" i="7"/>
  <c r="AL306" i="7"/>
  <c r="AK306" i="7"/>
  <c r="AJ306" i="7"/>
  <c r="AI306" i="7"/>
  <c r="AH306" i="7"/>
  <c r="AG306" i="7"/>
  <c r="AF306" i="7"/>
  <c r="AE306" i="7"/>
  <c r="AD306" i="7"/>
  <c r="AC306" i="7"/>
  <c r="AB306" i="7"/>
  <c r="AA306" i="7"/>
  <c r="Z306" i="7"/>
  <c r="Y306" i="7"/>
  <c r="X306" i="7"/>
  <c r="W306" i="7"/>
  <c r="V306" i="7"/>
  <c r="U306" i="7"/>
  <c r="T306" i="7"/>
  <c r="S306" i="7"/>
  <c r="R306" i="7"/>
  <c r="Q306" i="7"/>
  <c r="P306" i="7"/>
  <c r="O306" i="7"/>
  <c r="N306" i="7"/>
  <c r="M306" i="7"/>
  <c r="L306" i="7"/>
  <c r="K306" i="7"/>
  <c r="J306" i="7"/>
  <c r="I306" i="7"/>
  <c r="H306" i="7"/>
  <c r="G306" i="7"/>
  <c r="F306" i="7"/>
  <c r="E306" i="7"/>
  <c r="D306" i="7"/>
  <c r="C306" i="7"/>
  <c r="CG306" i="7" s="1"/>
  <c r="CF305" i="7"/>
  <c r="CE305" i="7"/>
  <c r="CD305" i="7"/>
  <c r="CC305" i="7"/>
  <c r="CB305" i="7"/>
  <c r="CA305" i="7"/>
  <c r="BZ305" i="7"/>
  <c r="BY305" i="7"/>
  <c r="BX305" i="7"/>
  <c r="BW305" i="7"/>
  <c r="BV305" i="7"/>
  <c r="BU305" i="7"/>
  <c r="BT305" i="7"/>
  <c r="BS305" i="7"/>
  <c r="BR305" i="7"/>
  <c r="BQ305" i="7"/>
  <c r="BP305" i="7"/>
  <c r="BO305" i="7"/>
  <c r="BN305" i="7"/>
  <c r="BM305" i="7"/>
  <c r="BL305" i="7"/>
  <c r="BK305" i="7"/>
  <c r="BJ305" i="7"/>
  <c r="BI305" i="7"/>
  <c r="BH305" i="7"/>
  <c r="BG305" i="7"/>
  <c r="BF305" i="7"/>
  <c r="BE305" i="7"/>
  <c r="BD305" i="7"/>
  <c r="BC305" i="7"/>
  <c r="BB305" i="7"/>
  <c r="BA305" i="7"/>
  <c r="AZ305" i="7"/>
  <c r="AY305" i="7"/>
  <c r="AX305" i="7"/>
  <c r="AW305" i="7"/>
  <c r="AV305" i="7"/>
  <c r="AU305" i="7"/>
  <c r="AT305" i="7"/>
  <c r="AS305" i="7"/>
  <c r="AR305" i="7"/>
  <c r="AQ305" i="7"/>
  <c r="AP305" i="7"/>
  <c r="AO305" i="7"/>
  <c r="AN305" i="7"/>
  <c r="AM305" i="7"/>
  <c r="AL305" i="7"/>
  <c r="AK305" i="7"/>
  <c r="AJ305" i="7"/>
  <c r="AI305" i="7"/>
  <c r="AH305" i="7"/>
  <c r="AG305" i="7"/>
  <c r="AF305" i="7"/>
  <c r="AE305" i="7"/>
  <c r="AD305" i="7"/>
  <c r="AC305" i="7"/>
  <c r="AB305" i="7"/>
  <c r="AA305" i="7"/>
  <c r="Z305" i="7"/>
  <c r="Y305" i="7"/>
  <c r="X305" i="7"/>
  <c r="W305" i="7"/>
  <c r="V305" i="7"/>
  <c r="U305" i="7"/>
  <c r="T305" i="7"/>
  <c r="S305" i="7"/>
  <c r="CG305" i="7" s="1"/>
  <c r="R305" i="7"/>
  <c r="Q305" i="7"/>
  <c r="P305" i="7"/>
  <c r="O305" i="7"/>
  <c r="N305" i="7"/>
  <c r="M305" i="7"/>
  <c r="L305" i="7"/>
  <c r="K305" i="7"/>
  <c r="J305" i="7"/>
  <c r="I305" i="7"/>
  <c r="H305" i="7"/>
  <c r="G305" i="7"/>
  <c r="F305" i="7"/>
  <c r="E305" i="7"/>
  <c r="D305" i="7"/>
  <c r="C305" i="7"/>
  <c r="CF304" i="7"/>
  <c r="CE304" i="7"/>
  <c r="CD304" i="7"/>
  <c r="CC304" i="7"/>
  <c r="CB304" i="7"/>
  <c r="CA304" i="7"/>
  <c r="BZ304" i="7"/>
  <c r="BY304" i="7"/>
  <c r="BX304" i="7"/>
  <c r="BW304" i="7"/>
  <c r="BV304" i="7"/>
  <c r="BU304" i="7"/>
  <c r="BT304" i="7"/>
  <c r="BS304" i="7"/>
  <c r="BR304" i="7"/>
  <c r="BQ304" i="7"/>
  <c r="BP304" i="7"/>
  <c r="BO304" i="7"/>
  <c r="BN304" i="7"/>
  <c r="BM304" i="7"/>
  <c r="BL304" i="7"/>
  <c r="BK304" i="7"/>
  <c r="BJ304" i="7"/>
  <c r="BI304" i="7"/>
  <c r="BH304" i="7"/>
  <c r="BG304" i="7"/>
  <c r="BF304" i="7"/>
  <c r="BE304" i="7"/>
  <c r="BD304" i="7"/>
  <c r="BC304" i="7"/>
  <c r="BB304" i="7"/>
  <c r="BA304" i="7"/>
  <c r="AZ304" i="7"/>
  <c r="AY304" i="7"/>
  <c r="AX304" i="7"/>
  <c r="AW304" i="7"/>
  <c r="AV304" i="7"/>
  <c r="AU304" i="7"/>
  <c r="AT304" i="7"/>
  <c r="AS304" i="7"/>
  <c r="AR304" i="7"/>
  <c r="AQ304" i="7"/>
  <c r="AP304" i="7"/>
  <c r="AO304" i="7"/>
  <c r="AN304" i="7"/>
  <c r="AM304" i="7"/>
  <c r="AL304" i="7"/>
  <c r="AK304" i="7"/>
  <c r="AJ304" i="7"/>
  <c r="AI304" i="7"/>
  <c r="AH304" i="7"/>
  <c r="AG304" i="7"/>
  <c r="AF304" i="7"/>
  <c r="AE304" i="7"/>
  <c r="AD304" i="7"/>
  <c r="AC304" i="7"/>
  <c r="AB304" i="7"/>
  <c r="AA304" i="7"/>
  <c r="Z304" i="7"/>
  <c r="Y304" i="7"/>
  <c r="X304" i="7"/>
  <c r="W304" i="7"/>
  <c r="V304" i="7"/>
  <c r="U304" i="7"/>
  <c r="T304" i="7"/>
  <c r="S304" i="7"/>
  <c r="R304" i="7"/>
  <c r="Q304" i="7"/>
  <c r="P304" i="7"/>
  <c r="O304" i="7"/>
  <c r="N304" i="7"/>
  <c r="M304" i="7"/>
  <c r="L304" i="7"/>
  <c r="K304" i="7"/>
  <c r="J304" i="7"/>
  <c r="I304" i="7"/>
  <c r="H304" i="7"/>
  <c r="G304" i="7"/>
  <c r="F304" i="7"/>
  <c r="E304" i="7"/>
  <c r="D304" i="7"/>
  <c r="C304" i="7"/>
  <c r="CG304" i="7" s="1"/>
  <c r="CF303" i="7"/>
  <c r="CE303" i="7"/>
  <c r="CD303" i="7"/>
  <c r="CC303" i="7"/>
  <c r="CB303" i="7"/>
  <c r="CA303" i="7"/>
  <c r="BZ303" i="7"/>
  <c r="BY303" i="7"/>
  <c r="BX303" i="7"/>
  <c r="BW303" i="7"/>
  <c r="BV303" i="7"/>
  <c r="BU303" i="7"/>
  <c r="BT303" i="7"/>
  <c r="BS303" i="7"/>
  <c r="BR303" i="7"/>
  <c r="BQ303" i="7"/>
  <c r="BP303" i="7"/>
  <c r="BO303" i="7"/>
  <c r="BN303" i="7"/>
  <c r="BM303" i="7"/>
  <c r="BL303" i="7"/>
  <c r="BK303" i="7"/>
  <c r="BJ303" i="7"/>
  <c r="BI303" i="7"/>
  <c r="BH303" i="7"/>
  <c r="BG303" i="7"/>
  <c r="BF303" i="7"/>
  <c r="BE303" i="7"/>
  <c r="BD303" i="7"/>
  <c r="BC303" i="7"/>
  <c r="BB303" i="7"/>
  <c r="BA303" i="7"/>
  <c r="AZ303" i="7"/>
  <c r="AY303" i="7"/>
  <c r="AX303" i="7"/>
  <c r="AW303" i="7"/>
  <c r="AV303" i="7"/>
  <c r="AU303" i="7"/>
  <c r="AT303" i="7"/>
  <c r="AS303" i="7"/>
  <c r="AR303" i="7"/>
  <c r="AQ303" i="7"/>
  <c r="AP303" i="7"/>
  <c r="AO303" i="7"/>
  <c r="AN303" i="7"/>
  <c r="AM303" i="7"/>
  <c r="AL303" i="7"/>
  <c r="AK303" i="7"/>
  <c r="AJ303" i="7"/>
  <c r="AI303" i="7"/>
  <c r="AH303" i="7"/>
  <c r="AG303" i="7"/>
  <c r="AF303" i="7"/>
  <c r="AE303" i="7"/>
  <c r="AD303" i="7"/>
  <c r="AC303" i="7"/>
  <c r="AB303" i="7"/>
  <c r="AA303" i="7"/>
  <c r="Z303" i="7"/>
  <c r="Y303" i="7"/>
  <c r="X303" i="7"/>
  <c r="W303" i="7"/>
  <c r="V303" i="7"/>
  <c r="U303" i="7"/>
  <c r="T303" i="7"/>
  <c r="S303" i="7"/>
  <c r="R303" i="7"/>
  <c r="Q303" i="7"/>
  <c r="P303" i="7"/>
  <c r="O303" i="7"/>
  <c r="N303" i="7"/>
  <c r="M303" i="7"/>
  <c r="L303" i="7"/>
  <c r="K303" i="7"/>
  <c r="J303" i="7"/>
  <c r="I303" i="7"/>
  <c r="H303" i="7"/>
  <c r="G303" i="7"/>
  <c r="F303" i="7"/>
  <c r="E303" i="7"/>
  <c r="D303" i="7"/>
  <c r="C303" i="7"/>
  <c r="CG303" i="7" s="1"/>
  <c r="CF302" i="7"/>
  <c r="CE302" i="7"/>
  <c r="CD302" i="7"/>
  <c r="CC302" i="7"/>
  <c r="CB302" i="7"/>
  <c r="CA302" i="7"/>
  <c r="BZ302" i="7"/>
  <c r="BY302" i="7"/>
  <c r="BX302" i="7"/>
  <c r="BW302" i="7"/>
  <c r="BV302" i="7"/>
  <c r="BU302" i="7"/>
  <c r="BT302" i="7"/>
  <c r="BS302" i="7"/>
  <c r="BR302" i="7"/>
  <c r="BQ302" i="7"/>
  <c r="BP302" i="7"/>
  <c r="BO302" i="7"/>
  <c r="BN302" i="7"/>
  <c r="BM302" i="7"/>
  <c r="BL302" i="7"/>
  <c r="BK302" i="7"/>
  <c r="BJ302" i="7"/>
  <c r="BI302" i="7"/>
  <c r="BH302" i="7"/>
  <c r="BG302" i="7"/>
  <c r="BF302" i="7"/>
  <c r="BE302" i="7"/>
  <c r="BD302" i="7"/>
  <c r="BC302" i="7"/>
  <c r="BB302" i="7"/>
  <c r="BA302" i="7"/>
  <c r="AZ302" i="7"/>
  <c r="AY302" i="7"/>
  <c r="AX302" i="7"/>
  <c r="AW302" i="7"/>
  <c r="AV302" i="7"/>
  <c r="AU302" i="7"/>
  <c r="AT302" i="7"/>
  <c r="AS302" i="7"/>
  <c r="AR302" i="7"/>
  <c r="AQ302" i="7"/>
  <c r="AP302" i="7"/>
  <c r="AO302" i="7"/>
  <c r="AN302" i="7"/>
  <c r="AM302" i="7"/>
  <c r="AL302" i="7"/>
  <c r="AK302" i="7"/>
  <c r="AJ302" i="7"/>
  <c r="AI302" i="7"/>
  <c r="AH302" i="7"/>
  <c r="AG302" i="7"/>
  <c r="AF302" i="7"/>
  <c r="AE302" i="7"/>
  <c r="AD302" i="7"/>
  <c r="AC302" i="7"/>
  <c r="AB302" i="7"/>
  <c r="AA302" i="7"/>
  <c r="Z302" i="7"/>
  <c r="Y302" i="7"/>
  <c r="X302" i="7"/>
  <c r="W302" i="7"/>
  <c r="V302" i="7"/>
  <c r="U302" i="7"/>
  <c r="T302" i="7"/>
  <c r="S302" i="7"/>
  <c r="R302" i="7"/>
  <c r="Q302" i="7"/>
  <c r="P302" i="7"/>
  <c r="O302" i="7"/>
  <c r="N302" i="7"/>
  <c r="M302" i="7"/>
  <c r="L302" i="7"/>
  <c r="K302" i="7"/>
  <c r="J302" i="7"/>
  <c r="I302" i="7"/>
  <c r="H302" i="7"/>
  <c r="G302" i="7"/>
  <c r="F302" i="7"/>
  <c r="E302" i="7"/>
  <c r="D302" i="7"/>
  <c r="C302" i="7"/>
  <c r="CF301" i="7"/>
  <c r="CE301" i="7"/>
  <c r="CD301" i="7"/>
  <c r="CC301" i="7"/>
  <c r="CB301" i="7"/>
  <c r="CA301" i="7"/>
  <c r="BZ301" i="7"/>
  <c r="BY301" i="7"/>
  <c r="BX301" i="7"/>
  <c r="BW301" i="7"/>
  <c r="BV301" i="7"/>
  <c r="BU301" i="7"/>
  <c r="BT301" i="7"/>
  <c r="BS301" i="7"/>
  <c r="BR301" i="7"/>
  <c r="BQ301" i="7"/>
  <c r="BP301" i="7"/>
  <c r="BO301" i="7"/>
  <c r="BN301" i="7"/>
  <c r="BM301" i="7"/>
  <c r="BL301" i="7"/>
  <c r="BK301" i="7"/>
  <c r="BJ301" i="7"/>
  <c r="BI301" i="7"/>
  <c r="BH301" i="7"/>
  <c r="BG301" i="7"/>
  <c r="BF301" i="7"/>
  <c r="BE301" i="7"/>
  <c r="BD301" i="7"/>
  <c r="BC301" i="7"/>
  <c r="BB301" i="7"/>
  <c r="BA301" i="7"/>
  <c r="AZ301" i="7"/>
  <c r="AY301" i="7"/>
  <c r="AX301" i="7"/>
  <c r="AW301" i="7"/>
  <c r="AV301" i="7"/>
  <c r="AU301" i="7"/>
  <c r="AT301" i="7"/>
  <c r="AS301" i="7"/>
  <c r="AR301" i="7"/>
  <c r="AQ301" i="7"/>
  <c r="AP301" i="7"/>
  <c r="AO301" i="7"/>
  <c r="AN301" i="7"/>
  <c r="AM301" i="7"/>
  <c r="AL301" i="7"/>
  <c r="AK301" i="7"/>
  <c r="AJ301" i="7"/>
  <c r="AI301" i="7"/>
  <c r="AH301" i="7"/>
  <c r="AG301" i="7"/>
  <c r="AF301" i="7"/>
  <c r="AE301" i="7"/>
  <c r="AD301" i="7"/>
  <c r="AC301" i="7"/>
  <c r="AB301" i="7"/>
  <c r="AA301" i="7"/>
  <c r="Z301" i="7"/>
  <c r="Y301" i="7"/>
  <c r="X301" i="7"/>
  <c r="W301" i="7"/>
  <c r="V301" i="7"/>
  <c r="U301" i="7"/>
  <c r="T301" i="7"/>
  <c r="S301" i="7"/>
  <c r="R301" i="7"/>
  <c r="Q301" i="7"/>
  <c r="P301" i="7"/>
  <c r="O301" i="7"/>
  <c r="N301" i="7"/>
  <c r="M301" i="7"/>
  <c r="L301" i="7"/>
  <c r="K301" i="7"/>
  <c r="J301" i="7"/>
  <c r="I301" i="7"/>
  <c r="H301" i="7"/>
  <c r="G301" i="7"/>
  <c r="CG301" i="7" s="1"/>
  <c r="F301" i="7"/>
  <c r="E301" i="7"/>
  <c r="D301" i="7"/>
  <c r="C301" i="7"/>
  <c r="CF300" i="7"/>
  <c r="CE300" i="7"/>
  <c r="CD300" i="7"/>
  <c r="CC300" i="7"/>
  <c r="CB300" i="7"/>
  <c r="CA300" i="7"/>
  <c r="BZ300" i="7"/>
  <c r="BY300" i="7"/>
  <c r="BX300" i="7"/>
  <c r="BW300" i="7"/>
  <c r="BV300" i="7"/>
  <c r="BU300" i="7"/>
  <c r="BT300" i="7"/>
  <c r="BS300" i="7"/>
  <c r="BR300" i="7"/>
  <c r="BQ300" i="7"/>
  <c r="BP300" i="7"/>
  <c r="BO300" i="7"/>
  <c r="BN300" i="7"/>
  <c r="BM300" i="7"/>
  <c r="BL300" i="7"/>
  <c r="BK300" i="7"/>
  <c r="BJ300" i="7"/>
  <c r="BI300" i="7"/>
  <c r="BH300" i="7"/>
  <c r="BG300" i="7"/>
  <c r="BF300" i="7"/>
  <c r="BE300" i="7"/>
  <c r="BD300" i="7"/>
  <c r="BC300" i="7"/>
  <c r="BB300" i="7"/>
  <c r="BA300" i="7"/>
  <c r="AZ300" i="7"/>
  <c r="AY300" i="7"/>
  <c r="AX300" i="7"/>
  <c r="AW300" i="7"/>
  <c r="AV300" i="7"/>
  <c r="AU300" i="7"/>
  <c r="AT300" i="7"/>
  <c r="AS300" i="7"/>
  <c r="AR300" i="7"/>
  <c r="AQ300" i="7"/>
  <c r="AP300" i="7"/>
  <c r="AO300" i="7"/>
  <c r="AN300" i="7"/>
  <c r="AM300" i="7"/>
  <c r="AL300" i="7"/>
  <c r="AK300" i="7"/>
  <c r="AJ300" i="7"/>
  <c r="AI300" i="7"/>
  <c r="AH300" i="7"/>
  <c r="AG300" i="7"/>
  <c r="AF300" i="7"/>
  <c r="AE300" i="7"/>
  <c r="AD300" i="7"/>
  <c r="AC300" i="7"/>
  <c r="AB300" i="7"/>
  <c r="AA300" i="7"/>
  <c r="Z300" i="7"/>
  <c r="Y300" i="7"/>
  <c r="X300" i="7"/>
  <c r="W300" i="7"/>
  <c r="V300" i="7"/>
  <c r="U300" i="7"/>
  <c r="T300" i="7"/>
  <c r="S300" i="7"/>
  <c r="R300" i="7"/>
  <c r="Q300" i="7"/>
  <c r="P300" i="7"/>
  <c r="O300" i="7"/>
  <c r="N300" i="7"/>
  <c r="M300" i="7"/>
  <c r="L300" i="7"/>
  <c r="K300" i="7"/>
  <c r="J300" i="7"/>
  <c r="I300" i="7"/>
  <c r="H300" i="7"/>
  <c r="G300" i="7"/>
  <c r="F300" i="7"/>
  <c r="E300" i="7"/>
  <c r="D300" i="7"/>
  <c r="C300" i="7"/>
  <c r="CG300" i="7" s="1"/>
  <c r="CF299" i="7"/>
  <c r="CE299" i="7"/>
  <c r="CD299" i="7"/>
  <c r="CC299" i="7"/>
  <c r="CB299" i="7"/>
  <c r="CA299" i="7"/>
  <c r="BZ299" i="7"/>
  <c r="BY299" i="7"/>
  <c r="BX299" i="7"/>
  <c r="BW299" i="7"/>
  <c r="BV299" i="7"/>
  <c r="BU299" i="7"/>
  <c r="BT299" i="7"/>
  <c r="BS299" i="7"/>
  <c r="BR299" i="7"/>
  <c r="BQ299" i="7"/>
  <c r="BP299" i="7"/>
  <c r="BO299" i="7"/>
  <c r="BN299" i="7"/>
  <c r="BM299" i="7"/>
  <c r="BL299" i="7"/>
  <c r="BK299" i="7"/>
  <c r="BJ299" i="7"/>
  <c r="BI299" i="7"/>
  <c r="BH299" i="7"/>
  <c r="BG299" i="7"/>
  <c r="BF299" i="7"/>
  <c r="BE299" i="7"/>
  <c r="BD299" i="7"/>
  <c r="BC299" i="7"/>
  <c r="BB299" i="7"/>
  <c r="BA299" i="7"/>
  <c r="AZ299" i="7"/>
  <c r="AY299" i="7"/>
  <c r="AX299" i="7"/>
  <c r="AW299" i="7"/>
  <c r="AV299" i="7"/>
  <c r="AU299" i="7"/>
  <c r="AT299" i="7"/>
  <c r="AS299" i="7"/>
  <c r="AR299" i="7"/>
  <c r="AQ299" i="7"/>
  <c r="AP299" i="7"/>
  <c r="AO299" i="7"/>
  <c r="AN299" i="7"/>
  <c r="AM299" i="7"/>
  <c r="AL299" i="7"/>
  <c r="AK299" i="7"/>
  <c r="AJ299" i="7"/>
  <c r="AI299" i="7"/>
  <c r="AH299" i="7"/>
  <c r="AG299" i="7"/>
  <c r="AF299" i="7"/>
  <c r="AE299" i="7"/>
  <c r="AD299" i="7"/>
  <c r="AC299" i="7"/>
  <c r="AB299" i="7"/>
  <c r="AA299" i="7"/>
  <c r="Z299" i="7"/>
  <c r="Y299" i="7"/>
  <c r="X299" i="7"/>
  <c r="W299" i="7"/>
  <c r="V299" i="7"/>
  <c r="U299" i="7"/>
  <c r="T299" i="7"/>
  <c r="S299" i="7"/>
  <c r="R299" i="7"/>
  <c r="Q299" i="7"/>
  <c r="P299" i="7"/>
  <c r="O299" i="7"/>
  <c r="N299" i="7"/>
  <c r="M299" i="7"/>
  <c r="L299" i="7"/>
  <c r="K299" i="7"/>
  <c r="J299" i="7"/>
  <c r="I299" i="7"/>
  <c r="H299" i="7"/>
  <c r="G299" i="7"/>
  <c r="F299" i="7"/>
  <c r="E299" i="7"/>
  <c r="D299" i="7"/>
  <c r="C299" i="7"/>
  <c r="CF298" i="7"/>
  <c r="CE298" i="7"/>
  <c r="CD298" i="7"/>
  <c r="CC298" i="7"/>
  <c r="CB298" i="7"/>
  <c r="CA298" i="7"/>
  <c r="BZ298" i="7"/>
  <c r="BY298" i="7"/>
  <c r="BX298" i="7"/>
  <c r="BW298" i="7"/>
  <c r="BV298" i="7"/>
  <c r="BU298" i="7"/>
  <c r="BT298" i="7"/>
  <c r="BS298" i="7"/>
  <c r="BR298" i="7"/>
  <c r="BQ298" i="7"/>
  <c r="BP298" i="7"/>
  <c r="BO298" i="7"/>
  <c r="BN298" i="7"/>
  <c r="BM298" i="7"/>
  <c r="BL298" i="7"/>
  <c r="BK298" i="7"/>
  <c r="BJ298" i="7"/>
  <c r="BI298" i="7"/>
  <c r="BH298" i="7"/>
  <c r="BG298" i="7"/>
  <c r="BF298" i="7"/>
  <c r="BE298" i="7"/>
  <c r="BD298" i="7"/>
  <c r="BC298" i="7"/>
  <c r="BB298" i="7"/>
  <c r="BA298" i="7"/>
  <c r="AZ298" i="7"/>
  <c r="AY298" i="7"/>
  <c r="AX298" i="7"/>
  <c r="AW298" i="7"/>
  <c r="AV298" i="7"/>
  <c r="AU298" i="7"/>
  <c r="AT298" i="7"/>
  <c r="AS298" i="7"/>
  <c r="AR298" i="7"/>
  <c r="AQ298" i="7"/>
  <c r="AP298" i="7"/>
  <c r="AO298" i="7"/>
  <c r="AN298" i="7"/>
  <c r="AM298" i="7"/>
  <c r="AL298" i="7"/>
  <c r="AK298" i="7"/>
  <c r="AJ298" i="7"/>
  <c r="AI298" i="7"/>
  <c r="AH298" i="7"/>
  <c r="AG298" i="7"/>
  <c r="AF298" i="7"/>
  <c r="AE298" i="7"/>
  <c r="AD298" i="7"/>
  <c r="AC298" i="7"/>
  <c r="AB298" i="7"/>
  <c r="AA298" i="7"/>
  <c r="Z298" i="7"/>
  <c r="Y298" i="7"/>
  <c r="X298" i="7"/>
  <c r="W298" i="7"/>
  <c r="V298" i="7"/>
  <c r="U298" i="7"/>
  <c r="T298" i="7"/>
  <c r="S298" i="7"/>
  <c r="R298" i="7"/>
  <c r="Q298" i="7"/>
  <c r="P298" i="7"/>
  <c r="O298" i="7"/>
  <c r="N298" i="7"/>
  <c r="M298" i="7"/>
  <c r="L298" i="7"/>
  <c r="K298" i="7"/>
  <c r="J298" i="7"/>
  <c r="I298" i="7"/>
  <c r="H298" i="7"/>
  <c r="G298" i="7"/>
  <c r="F298" i="7"/>
  <c r="E298" i="7"/>
  <c r="D298" i="7"/>
  <c r="C298" i="7"/>
  <c r="CG298" i="7" s="1"/>
  <c r="CF297" i="7"/>
  <c r="CE297" i="7"/>
  <c r="CD297" i="7"/>
  <c r="CC297" i="7"/>
  <c r="CB297" i="7"/>
  <c r="CA297" i="7"/>
  <c r="BZ297" i="7"/>
  <c r="BY297" i="7"/>
  <c r="BX297" i="7"/>
  <c r="BW297" i="7"/>
  <c r="BV297" i="7"/>
  <c r="BU297" i="7"/>
  <c r="BT297" i="7"/>
  <c r="BS297" i="7"/>
  <c r="BR297" i="7"/>
  <c r="BQ297" i="7"/>
  <c r="BP297" i="7"/>
  <c r="BO297" i="7"/>
  <c r="BN297" i="7"/>
  <c r="BM297" i="7"/>
  <c r="BL297" i="7"/>
  <c r="BK297" i="7"/>
  <c r="BJ297" i="7"/>
  <c r="BI297" i="7"/>
  <c r="BH297" i="7"/>
  <c r="BG297" i="7"/>
  <c r="BF297" i="7"/>
  <c r="BE297" i="7"/>
  <c r="BD297" i="7"/>
  <c r="BC297" i="7"/>
  <c r="BB297" i="7"/>
  <c r="BA297" i="7"/>
  <c r="AZ297" i="7"/>
  <c r="AY297" i="7"/>
  <c r="AX297" i="7"/>
  <c r="AW297" i="7"/>
  <c r="AV297" i="7"/>
  <c r="AU297" i="7"/>
  <c r="AT297" i="7"/>
  <c r="AS297" i="7"/>
  <c r="AR297" i="7"/>
  <c r="AQ297" i="7"/>
  <c r="AP297" i="7"/>
  <c r="AO297" i="7"/>
  <c r="AN297" i="7"/>
  <c r="AM297" i="7"/>
  <c r="AL297" i="7"/>
  <c r="AK297" i="7"/>
  <c r="AJ297" i="7"/>
  <c r="AI297" i="7"/>
  <c r="AH297" i="7"/>
  <c r="AG297" i="7"/>
  <c r="AF297" i="7"/>
  <c r="AE297" i="7"/>
  <c r="AD297" i="7"/>
  <c r="AC297" i="7"/>
  <c r="AB297" i="7"/>
  <c r="AA297" i="7"/>
  <c r="Z297" i="7"/>
  <c r="Y297" i="7"/>
  <c r="X297" i="7"/>
  <c r="W297" i="7"/>
  <c r="V297" i="7"/>
  <c r="U297" i="7"/>
  <c r="T297" i="7"/>
  <c r="S297" i="7"/>
  <c r="R297" i="7"/>
  <c r="Q297" i="7"/>
  <c r="P297" i="7"/>
  <c r="O297" i="7"/>
  <c r="N297" i="7"/>
  <c r="M297" i="7"/>
  <c r="L297" i="7"/>
  <c r="K297" i="7"/>
  <c r="J297" i="7"/>
  <c r="I297" i="7"/>
  <c r="H297" i="7"/>
  <c r="G297" i="7"/>
  <c r="F297" i="7"/>
  <c r="E297" i="7"/>
  <c r="D297" i="7"/>
  <c r="C297" i="7"/>
  <c r="CG297" i="7" s="1"/>
  <c r="CF296" i="7"/>
  <c r="CE296" i="7"/>
  <c r="CD296" i="7"/>
  <c r="CC296" i="7"/>
  <c r="CB296" i="7"/>
  <c r="CA296" i="7"/>
  <c r="BZ296" i="7"/>
  <c r="BY296" i="7"/>
  <c r="BX296" i="7"/>
  <c r="BW296" i="7"/>
  <c r="BV296" i="7"/>
  <c r="BU296" i="7"/>
  <c r="BT296" i="7"/>
  <c r="BS296" i="7"/>
  <c r="BR296" i="7"/>
  <c r="BQ296" i="7"/>
  <c r="BP296" i="7"/>
  <c r="BO296" i="7"/>
  <c r="BN296" i="7"/>
  <c r="BM296" i="7"/>
  <c r="BL296" i="7"/>
  <c r="BK296" i="7"/>
  <c r="BJ296" i="7"/>
  <c r="BI296" i="7"/>
  <c r="BH296" i="7"/>
  <c r="BG296" i="7"/>
  <c r="BF296" i="7"/>
  <c r="BE296" i="7"/>
  <c r="BD296" i="7"/>
  <c r="BC296" i="7"/>
  <c r="BB296" i="7"/>
  <c r="BA296" i="7"/>
  <c r="AZ296" i="7"/>
  <c r="AY296" i="7"/>
  <c r="AX296" i="7"/>
  <c r="AW296" i="7"/>
  <c r="AV296" i="7"/>
  <c r="AU296" i="7"/>
  <c r="AT296" i="7"/>
  <c r="AS296" i="7"/>
  <c r="AR296" i="7"/>
  <c r="AQ296" i="7"/>
  <c r="AP296" i="7"/>
  <c r="AO296" i="7"/>
  <c r="AN296" i="7"/>
  <c r="AM296" i="7"/>
  <c r="AL296" i="7"/>
  <c r="AK296" i="7"/>
  <c r="AJ296" i="7"/>
  <c r="AI296" i="7"/>
  <c r="AH296" i="7"/>
  <c r="AG296" i="7"/>
  <c r="AF296" i="7"/>
  <c r="AE296" i="7"/>
  <c r="AD296" i="7"/>
  <c r="AC296" i="7"/>
  <c r="AB296" i="7"/>
  <c r="AA296" i="7"/>
  <c r="Z296" i="7"/>
  <c r="Y296" i="7"/>
  <c r="X296" i="7"/>
  <c r="W296" i="7"/>
  <c r="V296" i="7"/>
  <c r="U296" i="7"/>
  <c r="T296" i="7"/>
  <c r="S296" i="7"/>
  <c r="R296" i="7"/>
  <c r="Q296" i="7"/>
  <c r="P296" i="7"/>
  <c r="O296" i="7"/>
  <c r="N296" i="7"/>
  <c r="M296" i="7"/>
  <c r="L296" i="7"/>
  <c r="K296" i="7"/>
  <c r="J296" i="7"/>
  <c r="I296" i="7"/>
  <c r="H296" i="7"/>
  <c r="G296" i="7"/>
  <c r="F296" i="7"/>
  <c r="E296" i="7"/>
  <c r="D296" i="7"/>
  <c r="C296" i="7"/>
  <c r="CF295" i="7"/>
  <c r="CE295" i="7"/>
  <c r="CD295" i="7"/>
  <c r="CC295" i="7"/>
  <c r="CB295" i="7"/>
  <c r="CA295" i="7"/>
  <c r="BZ295" i="7"/>
  <c r="BY295" i="7"/>
  <c r="BX295" i="7"/>
  <c r="BW295" i="7"/>
  <c r="BV295" i="7"/>
  <c r="BU295" i="7"/>
  <c r="BT295" i="7"/>
  <c r="BS295" i="7"/>
  <c r="BR295" i="7"/>
  <c r="BQ295" i="7"/>
  <c r="BP295" i="7"/>
  <c r="BO295" i="7"/>
  <c r="BN295" i="7"/>
  <c r="BM295" i="7"/>
  <c r="BL295" i="7"/>
  <c r="BK295" i="7"/>
  <c r="BJ295" i="7"/>
  <c r="BI295" i="7"/>
  <c r="BH295" i="7"/>
  <c r="BG295" i="7"/>
  <c r="BF295" i="7"/>
  <c r="BE295" i="7"/>
  <c r="BD295" i="7"/>
  <c r="BC295" i="7"/>
  <c r="BB295" i="7"/>
  <c r="BA295" i="7"/>
  <c r="AZ295" i="7"/>
  <c r="AY295" i="7"/>
  <c r="AX295" i="7"/>
  <c r="AW295" i="7"/>
  <c r="AV295" i="7"/>
  <c r="AU295" i="7"/>
  <c r="AT295" i="7"/>
  <c r="AS295" i="7"/>
  <c r="AR295" i="7"/>
  <c r="AQ295" i="7"/>
  <c r="AP295" i="7"/>
  <c r="AO295" i="7"/>
  <c r="AN295" i="7"/>
  <c r="AM295" i="7"/>
  <c r="AL295" i="7"/>
  <c r="AK295" i="7"/>
  <c r="AJ295" i="7"/>
  <c r="AI295" i="7"/>
  <c r="AH295" i="7"/>
  <c r="AG295" i="7"/>
  <c r="AF295" i="7"/>
  <c r="AE295" i="7"/>
  <c r="AD295" i="7"/>
  <c r="AC295" i="7"/>
  <c r="AB295" i="7"/>
  <c r="AA295" i="7"/>
  <c r="Z295" i="7"/>
  <c r="Y295" i="7"/>
  <c r="X295" i="7"/>
  <c r="W295" i="7"/>
  <c r="V295" i="7"/>
  <c r="U295" i="7"/>
  <c r="T295" i="7"/>
  <c r="S295" i="7"/>
  <c r="R295" i="7"/>
  <c r="Q295" i="7"/>
  <c r="P295" i="7"/>
  <c r="O295" i="7"/>
  <c r="N295" i="7"/>
  <c r="M295" i="7"/>
  <c r="L295" i="7"/>
  <c r="K295" i="7"/>
  <c r="J295" i="7"/>
  <c r="I295" i="7"/>
  <c r="H295" i="7"/>
  <c r="G295" i="7"/>
  <c r="F295" i="7"/>
  <c r="E295" i="7"/>
  <c r="D295" i="7"/>
  <c r="C295" i="7"/>
  <c r="CG295" i="7" s="1"/>
  <c r="CF294" i="7"/>
  <c r="CE294" i="7"/>
  <c r="CD294" i="7"/>
  <c r="CC294" i="7"/>
  <c r="CB294" i="7"/>
  <c r="CA294" i="7"/>
  <c r="BZ294" i="7"/>
  <c r="BY294" i="7"/>
  <c r="BX294" i="7"/>
  <c r="BW294" i="7"/>
  <c r="BV294" i="7"/>
  <c r="BU294" i="7"/>
  <c r="BT294" i="7"/>
  <c r="BS294" i="7"/>
  <c r="BR294" i="7"/>
  <c r="BQ294" i="7"/>
  <c r="BP294" i="7"/>
  <c r="BO294" i="7"/>
  <c r="BN294" i="7"/>
  <c r="BM294" i="7"/>
  <c r="BL294" i="7"/>
  <c r="BK294" i="7"/>
  <c r="BJ294" i="7"/>
  <c r="BI294" i="7"/>
  <c r="BH294" i="7"/>
  <c r="BG294" i="7"/>
  <c r="BF294" i="7"/>
  <c r="BE294" i="7"/>
  <c r="BD294" i="7"/>
  <c r="BC294" i="7"/>
  <c r="BB294" i="7"/>
  <c r="BA294" i="7"/>
  <c r="AZ294" i="7"/>
  <c r="AY294" i="7"/>
  <c r="AX294" i="7"/>
  <c r="AW294" i="7"/>
  <c r="AV294" i="7"/>
  <c r="AU294" i="7"/>
  <c r="AT294" i="7"/>
  <c r="AS294" i="7"/>
  <c r="AR294" i="7"/>
  <c r="AQ294" i="7"/>
  <c r="AP294" i="7"/>
  <c r="AO294" i="7"/>
  <c r="AN294" i="7"/>
  <c r="AM294" i="7"/>
  <c r="AL294" i="7"/>
  <c r="AK294" i="7"/>
  <c r="AJ294" i="7"/>
  <c r="AI294" i="7"/>
  <c r="AH294" i="7"/>
  <c r="AG294" i="7"/>
  <c r="AF294" i="7"/>
  <c r="AE294" i="7"/>
  <c r="AD294" i="7"/>
  <c r="AC294" i="7"/>
  <c r="AB294" i="7"/>
  <c r="AA294" i="7"/>
  <c r="Z294" i="7"/>
  <c r="Y294" i="7"/>
  <c r="X294" i="7"/>
  <c r="W294" i="7"/>
  <c r="V294" i="7"/>
  <c r="U294" i="7"/>
  <c r="T294" i="7"/>
  <c r="S294" i="7"/>
  <c r="R294" i="7"/>
  <c r="Q294" i="7"/>
  <c r="P294" i="7"/>
  <c r="O294" i="7"/>
  <c r="N294" i="7"/>
  <c r="M294" i="7"/>
  <c r="L294" i="7"/>
  <c r="K294" i="7"/>
  <c r="J294" i="7"/>
  <c r="I294" i="7"/>
  <c r="H294" i="7"/>
  <c r="G294" i="7"/>
  <c r="F294" i="7"/>
  <c r="E294" i="7"/>
  <c r="CG294" i="7" s="1"/>
  <c r="D294" i="7"/>
  <c r="C294" i="7"/>
  <c r="CF293" i="7"/>
  <c r="CE293" i="7"/>
  <c r="CD293" i="7"/>
  <c r="CC293" i="7"/>
  <c r="CB293" i="7"/>
  <c r="CA293" i="7"/>
  <c r="BZ293" i="7"/>
  <c r="BY293" i="7"/>
  <c r="BX293" i="7"/>
  <c r="BW293" i="7"/>
  <c r="BV293" i="7"/>
  <c r="BU293" i="7"/>
  <c r="BT293" i="7"/>
  <c r="BS293" i="7"/>
  <c r="BR293" i="7"/>
  <c r="BQ293" i="7"/>
  <c r="BP293" i="7"/>
  <c r="BO293" i="7"/>
  <c r="BN293" i="7"/>
  <c r="BM293" i="7"/>
  <c r="BL293" i="7"/>
  <c r="BK293" i="7"/>
  <c r="BJ293" i="7"/>
  <c r="BI293" i="7"/>
  <c r="BH293" i="7"/>
  <c r="BG293" i="7"/>
  <c r="BF293" i="7"/>
  <c r="BE293" i="7"/>
  <c r="BD293" i="7"/>
  <c r="BC293" i="7"/>
  <c r="BB293" i="7"/>
  <c r="BA293" i="7"/>
  <c r="AZ293" i="7"/>
  <c r="AY293" i="7"/>
  <c r="AX293" i="7"/>
  <c r="AW293" i="7"/>
  <c r="AV293" i="7"/>
  <c r="AU293" i="7"/>
  <c r="AT293" i="7"/>
  <c r="AS293" i="7"/>
  <c r="AR293" i="7"/>
  <c r="AQ293" i="7"/>
  <c r="AP293" i="7"/>
  <c r="AO293" i="7"/>
  <c r="AN293" i="7"/>
  <c r="AM293" i="7"/>
  <c r="AL293" i="7"/>
  <c r="AK293" i="7"/>
  <c r="AJ293" i="7"/>
  <c r="AI293" i="7"/>
  <c r="AH293" i="7"/>
  <c r="AG293" i="7"/>
  <c r="AF293" i="7"/>
  <c r="AE293" i="7"/>
  <c r="AD293" i="7"/>
  <c r="AC293" i="7"/>
  <c r="AB293" i="7"/>
  <c r="AA293" i="7"/>
  <c r="Z293" i="7"/>
  <c r="Y293" i="7"/>
  <c r="X293" i="7"/>
  <c r="W293" i="7"/>
  <c r="V293" i="7"/>
  <c r="U293" i="7"/>
  <c r="T293" i="7"/>
  <c r="S293" i="7"/>
  <c r="R293" i="7"/>
  <c r="Q293" i="7"/>
  <c r="P293" i="7"/>
  <c r="O293" i="7"/>
  <c r="N293" i="7"/>
  <c r="M293" i="7"/>
  <c r="L293" i="7"/>
  <c r="K293" i="7"/>
  <c r="J293" i="7"/>
  <c r="I293" i="7"/>
  <c r="H293" i="7"/>
  <c r="G293" i="7"/>
  <c r="F293" i="7"/>
  <c r="E293" i="7"/>
  <c r="D293" i="7"/>
  <c r="C293" i="7"/>
  <c r="CG293" i="7" s="1"/>
  <c r="CF292" i="7"/>
  <c r="CE292" i="7"/>
  <c r="CD292" i="7"/>
  <c r="CC292" i="7"/>
  <c r="CB292" i="7"/>
  <c r="CA292" i="7"/>
  <c r="BZ292" i="7"/>
  <c r="BY292" i="7"/>
  <c r="BX292" i="7"/>
  <c r="BW292" i="7"/>
  <c r="BV292" i="7"/>
  <c r="BU292" i="7"/>
  <c r="BT292" i="7"/>
  <c r="BS292" i="7"/>
  <c r="BR292" i="7"/>
  <c r="BQ292" i="7"/>
  <c r="BP292" i="7"/>
  <c r="BO292" i="7"/>
  <c r="BN292" i="7"/>
  <c r="BM292" i="7"/>
  <c r="BL292" i="7"/>
  <c r="BK292" i="7"/>
  <c r="BJ292" i="7"/>
  <c r="BI292" i="7"/>
  <c r="BH292" i="7"/>
  <c r="BG292" i="7"/>
  <c r="BF292" i="7"/>
  <c r="BE292" i="7"/>
  <c r="BD292" i="7"/>
  <c r="BC292" i="7"/>
  <c r="BB292" i="7"/>
  <c r="BA292" i="7"/>
  <c r="AZ292" i="7"/>
  <c r="AY292" i="7"/>
  <c r="AX292" i="7"/>
  <c r="AW292" i="7"/>
  <c r="AV292" i="7"/>
  <c r="AU292" i="7"/>
  <c r="AT292" i="7"/>
  <c r="AS292" i="7"/>
  <c r="AR292" i="7"/>
  <c r="AQ292" i="7"/>
  <c r="AP292" i="7"/>
  <c r="AO292" i="7"/>
  <c r="AN292" i="7"/>
  <c r="AM292" i="7"/>
  <c r="AL292" i="7"/>
  <c r="AK292" i="7"/>
  <c r="AJ292" i="7"/>
  <c r="AI292" i="7"/>
  <c r="AH292" i="7"/>
  <c r="AG292" i="7"/>
  <c r="AF292" i="7"/>
  <c r="AE292" i="7"/>
  <c r="AD292" i="7"/>
  <c r="AC292" i="7"/>
  <c r="AB292" i="7"/>
  <c r="AA292" i="7"/>
  <c r="Z292" i="7"/>
  <c r="Y292" i="7"/>
  <c r="X292" i="7"/>
  <c r="W292" i="7"/>
  <c r="V292" i="7"/>
  <c r="U292" i="7"/>
  <c r="T292" i="7"/>
  <c r="S292" i="7"/>
  <c r="R292" i="7"/>
  <c r="Q292" i="7"/>
  <c r="P292" i="7"/>
  <c r="O292" i="7"/>
  <c r="N292" i="7"/>
  <c r="M292" i="7"/>
  <c r="L292" i="7"/>
  <c r="K292" i="7"/>
  <c r="J292" i="7"/>
  <c r="I292" i="7"/>
  <c r="H292" i="7"/>
  <c r="G292" i="7"/>
  <c r="F292" i="7"/>
  <c r="E292" i="7"/>
  <c r="D292" i="7"/>
  <c r="C292" i="7"/>
  <c r="CF291" i="7"/>
  <c r="CE291" i="7"/>
  <c r="CD291" i="7"/>
  <c r="CC291" i="7"/>
  <c r="CB291" i="7"/>
  <c r="CA291" i="7"/>
  <c r="BZ291" i="7"/>
  <c r="BY291" i="7"/>
  <c r="BX291" i="7"/>
  <c r="BW291" i="7"/>
  <c r="BV291" i="7"/>
  <c r="BU291" i="7"/>
  <c r="BT291" i="7"/>
  <c r="BS291" i="7"/>
  <c r="BR291" i="7"/>
  <c r="BQ291" i="7"/>
  <c r="BP291" i="7"/>
  <c r="BO291" i="7"/>
  <c r="BN291" i="7"/>
  <c r="BM291" i="7"/>
  <c r="BL291" i="7"/>
  <c r="BK291" i="7"/>
  <c r="BJ291" i="7"/>
  <c r="BI291" i="7"/>
  <c r="BH291" i="7"/>
  <c r="BG291" i="7"/>
  <c r="BF291" i="7"/>
  <c r="BE291" i="7"/>
  <c r="BD291" i="7"/>
  <c r="BC291" i="7"/>
  <c r="BB291" i="7"/>
  <c r="BA291" i="7"/>
  <c r="AZ291" i="7"/>
  <c r="AY291" i="7"/>
  <c r="AX291" i="7"/>
  <c r="AW291" i="7"/>
  <c r="AV291" i="7"/>
  <c r="AU291" i="7"/>
  <c r="AT291" i="7"/>
  <c r="AS291" i="7"/>
  <c r="AR291" i="7"/>
  <c r="AQ291" i="7"/>
  <c r="AP291" i="7"/>
  <c r="AO291" i="7"/>
  <c r="AN291" i="7"/>
  <c r="AM291" i="7"/>
  <c r="AL291" i="7"/>
  <c r="AK291" i="7"/>
  <c r="AJ291" i="7"/>
  <c r="AI291" i="7"/>
  <c r="AH291" i="7"/>
  <c r="AG291" i="7"/>
  <c r="AF291" i="7"/>
  <c r="AE291" i="7"/>
  <c r="AD291" i="7"/>
  <c r="AC291" i="7"/>
  <c r="AB291" i="7"/>
  <c r="AA291" i="7"/>
  <c r="Z291" i="7"/>
  <c r="Y291" i="7"/>
  <c r="X291" i="7"/>
  <c r="W291" i="7"/>
  <c r="V291" i="7"/>
  <c r="U291" i="7"/>
  <c r="T291" i="7"/>
  <c r="S291" i="7"/>
  <c r="R291" i="7"/>
  <c r="Q291" i="7"/>
  <c r="P291" i="7"/>
  <c r="O291" i="7"/>
  <c r="N291" i="7"/>
  <c r="M291" i="7"/>
  <c r="L291" i="7"/>
  <c r="K291" i="7"/>
  <c r="J291" i="7"/>
  <c r="I291" i="7"/>
  <c r="H291" i="7"/>
  <c r="G291" i="7"/>
  <c r="F291" i="7"/>
  <c r="E291" i="7"/>
  <c r="D291" i="7"/>
  <c r="C291" i="7"/>
  <c r="CG291" i="7" s="1"/>
  <c r="CF290" i="7"/>
  <c r="CE290" i="7"/>
  <c r="CD290" i="7"/>
  <c r="CC290" i="7"/>
  <c r="CB290" i="7"/>
  <c r="CA290" i="7"/>
  <c r="BZ290" i="7"/>
  <c r="BY290" i="7"/>
  <c r="BX290" i="7"/>
  <c r="BW290" i="7"/>
  <c r="BV290" i="7"/>
  <c r="BU290" i="7"/>
  <c r="BT290" i="7"/>
  <c r="BS290" i="7"/>
  <c r="BR290" i="7"/>
  <c r="BQ290" i="7"/>
  <c r="BP290" i="7"/>
  <c r="BO290" i="7"/>
  <c r="BN290" i="7"/>
  <c r="BM290" i="7"/>
  <c r="BL290" i="7"/>
  <c r="BK290" i="7"/>
  <c r="BJ290" i="7"/>
  <c r="BI290" i="7"/>
  <c r="BH290" i="7"/>
  <c r="BG290" i="7"/>
  <c r="BF290" i="7"/>
  <c r="BE290" i="7"/>
  <c r="BD290" i="7"/>
  <c r="BC290" i="7"/>
  <c r="BB290" i="7"/>
  <c r="BA290" i="7"/>
  <c r="AZ290" i="7"/>
  <c r="AY290" i="7"/>
  <c r="AX290" i="7"/>
  <c r="AW290" i="7"/>
  <c r="AV290" i="7"/>
  <c r="AU290" i="7"/>
  <c r="AT290" i="7"/>
  <c r="AS290" i="7"/>
  <c r="AR290" i="7"/>
  <c r="AQ290" i="7"/>
  <c r="AP290" i="7"/>
  <c r="AO290" i="7"/>
  <c r="AN290" i="7"/>
  <c r="AM290" i="7"/>
  <c r="AL290" i="7"/>
  <c r="AK290" i="7"/>
  <c r="AJ290" i="7"/>
  <c r="AI290" i="7"/>
  <c r="AH290" i="7"/>
  <c r="AG290" i="7"/>
  <c r="AF290" i="7"/>
  <c r="AE290" i="7"/>
  <c r="AD290" i="7"/>
  <c r="AC290" i="7"/>
  <c r="AB290" i="7"/>
  <c r="AA290" i="7"/>
  <c r="Z290" i="7"/>
  <c r="Y290" i="7"/>
  <c r="X290" i="7"/>
  <c r="W290" i="7"/>
  <c r="V290" i="7"/>
  <c r="U290" i="7"/>
  <c r="T290" i="7"/>
  <c r="S290" i="7"/>
  <c r="R290" i="7"/>
  <c r="Q290" i="7"/>
  <c r="P290" i="7"/>
  <c r="O290" i="7"/>
  <c r="N290" i="7"/>
  <c r="M290" i="7"/>
  <c r="L290" i="7"/>
  <c r="K290" i="7"/>
  <c r="J290" i="7"/>
  <c r="I290" i="7"/>
  <c r="H290" i="7"/>
  <c r="G290" i="7"/>
  <c r="F290" i="7"/>
  <c r="E290" i="7"/>
  <c r="D290" i="7"/>
  <c r="C290" i="7"/>
  <c r="CG290" i="7" s="1"/>
  <c r="CF289" i="7"/>
  <c r="CE289" i="7"/>
  <c r="CD289" i="7"/>
  <c r="CC289" i="7"/>
  <c r="CB289" i="7"/>
  <c r="CA289" i="7"/>
  <c r="BZ289" i="7"/>
  <c r="BY289" i="7"/>
  <c r="BX289" i="7"/>
  <c r="BW289" i="7"/>
  <c r="BV289" i="7"/>
  <c r="BU289" i="7"/>
  <c r="BT289" i="7"/>
  <c r="BS289" i="7"/>
  <c r="BR289" i="7"/>
  <c r="BQ289" i="7"/>
  <c r="BP289" i="7"/>
  <c r="BO289" i="7"/>
  <c r="BN289" i="7"/>
  <c r="BM289" i="7"/>
  <c r="BL289" i="7"/>
  <c r="BK289" i="7"/>
  <c r="BJ289" i="7"/>
  <c r="BI289" i="7"/>
  <c r="BH289" i="7"/>
  <c r="BG289" i="7"/>
  <c r="BF289" i="7"/>
  <c r="BE289" i="7"/>
  <c r="BD289" i="7"/>
  <c r="BC289" i="7"/>
  <c r="BB289" i="7"/>
  <c r="BA289" i="7"/>
  <c r="AZ289" i="7"/>
  <c r="AY289" i="7"/>
  <c r="AX289" i="7"/>
  <c r="AW289" i="7"/>
  <c r="AV289" i="7"/>
  <c r="AU289" i="7"/>
  <c r="AT289" i="7"/>
  <c r="AS289" i="7"/>
  <c r="AR289" i="7"/>
  <c r="AQ289" i="7"/>
  <c r="AP289" i="7"/>
  <c r="AO289" i="7"/>
  <c r="AN289" i="7"/>
  <c r="AM289" i="7"/>
  <c r="AL289" i="7"/>
  <c r="AK289" i="7"/>
  <c r="AJ289" i="7"/>
  <c r="AI289" i="7"/>
  <c r="AH289" i="7"/>
  <c r="AG289" i="7"/>
  <c r="AF289" i="7"/>
  <c r="AE289" i="7"/>
  <c r="AD289" i="7"/>
  <c r="AC289" i="7"/>
  <c r="AB289" i="7"/>
  <c r="AA289" i="7"/>
  <c r="Z289" i="7"/>
  <c r="Y289" i="7"/>
  <c r="X289" i="7"/>
  <c r="W289" i="7"/>
  <c r="V289" i="7"/>
  <c r="U289" i="7"/>
  <c r="T289" i="7"/>
  <c r="S289" i="7"/>
  <c r="R289" i="7"/>
  <c r="Q289" i="7"/>
  <c r="P289" i="7"/>
  <c r="O289" i="7"/>
  <c r="N289" i="7"/>
  <c r="M289" i="7"/>
  <c r="L289" i="7"/>
  <c r="K289" i="7"/>
  <c r="J289" i="7"/>
  <c r="I289" i="7"/>
  <c r="H289" i="7"/>
  <c r="G289" i="7"/>
  <c r="F289" i="7"/>
  <c r="E289" i="7"/>
  <c r="D289" i="7"/>
  <c r="C289" i="7"/>
  <c r="CG289" i="7" s="1"/>
  <c r="CF288" i="7"/>
  <c r="CE288" i="7"/>
  <c r="CD288" i="7"/>
  <c r="CC288" i="7"/>
  <c r="CB288" i="7"/>
  <c r="CA288" i="7"/>
  <c r="BZ288" i="7"/>
  <c r="BY288" i="7"/>
  <c r="BX288" i="7"/>
  <c r="BW288" i="7"/>
  <c r="BV288" i="7"/>
  <c r="BU288" i="7"/>
  <c r="BT288" i="7"/>
  <c r="BS288" i="7"/>
  <c r="BR288" i="7"/>
  <c r="BQ288" i="7"/>
  <c r="BP288" i="7"/>
  <c r="BO288" i="7"/>
  <c r="BN288" i="7"/>
  <c r="BM288" i="7"/>
  <c r="BL288" i="7"/>
  <c r="BK288" i="7"/>
  <c r="BJ288" i="7"/>
  <c r="BI288" i="7"/>
  <c r="BH288" i="7"/>
  <c r="BG288" i="7"/>
  <c r="BF288" i="7"/>
  <c r="BE288" i="7"/>
  <c r="BD288" i="7"/>
  <c r="BC288" i="7"/>
  <c r="BB288" i="7"/>
  <c r="BA288" i="7"/>
  <c r="AZ288" i="7"/>
  <c r="AY288" i="7"/>
  <c r="AX288" i="7"/>
  <c r="AW288" i="7"/>
  <c r="AV288" i="7"/>
  <c r="AU288" i="7"/>
  <c r="AT288" i="7"/>
  <c r="AS288" i="7"/>
  <c r="AR288" i="7"/>
  <c r="AQ288" i="7"/>
  <c r="AP288" i="7"/>
  <c r="AO288" i="7"/>
  <c r="AN288" i="7"/>
  <c r="AM288" i="7"/>
  <c r="AL288" i="7"/>
  <c r="AK288" i="7"/>
  <c r="AJ288" i="7"/>
  <c r="AI288" i="7"/>
  <c r="AH288" i="7"/>
  <c r="AG288" i="7"/>
  <c r="AF288" i="7"/>
  <c r="AE288" i="7"/>
  <c r="AD288" i="7"/>
  <c r="AC288" i="7"/>
  <c r="AB288" i="7"/>
  <c r="AA288" i="7"/>
  <c r="Z288" i="7"/>
  <c r="Y288" i="7"/>
  <c r="X288" i="7"/>
  <c r="W288" i="7"/>
  <c r="V288" i="7"/>
  <c r="U288" i="7"/>
  <c r="T288" i="7"/>
  <c r="S288" i="7"/>
  <c r="R288" i="7"/>
  <c r="Q288" i="7"/>
  <c r="P288" i="7"/>
  <c r="O288" i="7"/>
  <c r="N288" i="7"/>
  <c r="M288" i="7"/>
  <c r="L288" i="7"/>
  <c r="K288" i="7"/>
  <c r="J288" i="7"/>
  <c r="I288" i="7"/>
  <c r="H288" i="7"/>
  <c r="G288" i="7"/>
  <c r="F288" i="7"/>
  <c r="E288" i="7"/>
  <c r="D288" i="7"/>
  <c r="C288" i="7"/>
  <c r="CF287" i="7"/>
  <c r="CE287" i="7"/>
  <c r="CD287" i="7"/>
  <c r="CC287" i="7"/>
  <c r="CB287" i="7"/>
  <c r="CA287" i="7"/>
  <c r="BZ287" i="7"/>
  <c r="BY287" i="7"/>
  <c r="BX287" i="7"/>
  <c r="BW287" i="7"/>
  <c r="BV287" i="7"/>
  <c r="BU287" i="7"/>
  <c r="BT287" i="7"/>
  <c r="BS287" i="7"/>
  <c r="BR287" i="7"/>
  <c r="BQ287" i="7"/>
  <c r="BP287" i="7"/>
  <c r="BO287" i="7"/>
  <c r="BN287" i="7"/>
  <c r="BM287" i="7"/>
  <c r="BL287" i="7"/>
  <c r="BK287" i="7"/>
  <c r="BJ287" i="7"/>
  <c r="BI287" i="7"/>
  <c r="BH287" i="7"/>
  <c r="BG287" i="7"/>
  <c r="BF287" i="7"/>
  <c r="BE287" i="7"/>
  <c r="BD287" i="7"/>
  <c r="BC287" i="7"/>
  <c r="BB287" i="7"/>
  <c r="BA287" i="7"/>
  <c r="AZ287" i="7"/>
  <c r="AY287" i="7"/>
  <c r="AX287" i="7"/>
  <c r="AW287" i="7"/>
  <c r="AV287" i="7"/>
  <c r="AU287" i="7"/>
  <c r="AT287" i="7"/>
  <c r="AS287" i="7"/>
  <c r="AR287" i="7"/>
  <c r="AQ287" i="7"/>
  <c r="AP287" i="7"/>
  <c r="AO287" i="7"/>
  <c r="AN287" i="7"/>
  <c r="AM287" i="7"/>
  <c r="AL287" i="7"/>
  <c r="AK287" i="7"/>
  <c r="AJ287" i="7"/>
  <c r="AI287" i="7"/>
  <c r="AH287" i="7"/>
  <c r="AG287" i="7"/>
  <c r="AF287" i="7"/>
  <c r="AE287" i="7"/>
  <c r="AD287" i="7"/>
  <c r="AC287" i="7"/>
  <c r="AB287" i="7"/>
  <c r="AA287" i="7"/>
  <c r="Z287" i="7"/>
  <c r="Y287" i="7"/>
  <c r="X287" i="7"/>
  <c r="W287" i="7"/>
  <c r="V287" i="7"/>
  <c r="U287" i="7"/>
  <c r="T287" i="7"/>
  <c r="S287" i="7"/>
  <c r="R287" i="7"/>
  <c r="Q287" i="7"/>
  <c r="P287" i="7"/>
  <c r="O287" i="7"/>
  <c r="N287" i="7"/>
  <c r="M287" i="7"/>
  <c r="L287" i="7"/>
  <c r="K287" i="7"/>
  <c r="J287" i="7"/>
  <c r="I287" i="7"/>
  <c r="H287" i="7"/>
  <c r="G287" i="7"/>
  <c r="F287" i="7"/>
  <c r="E287" i="7"/>
  <c r="D287" i="7"/>
  <c r="C287" i="7"/>
  <c r="CG287" i="7" s="1"/>
  <c r="CF286" i="7"/>
  <c r="CE286" i="7"/>
  <c r="CD286" i="7"/>
  <c r="CC286" i="7"/>
  <c r="CB286" i="7"/>
  <c r="CA286" i="7"/>
  <c r="BZ286" i="7"/>
  <c r="BY286" i="7"/>
  <c r="BX286" i="7"/>
  <c r="BW286" i="7"/>
  <c r="BV286" i="7"/>
  <c r="BU286" i="7"/>
  <c r="BT286" i="7"/>
  <c r="BS286" i="7"/>
  <c r="BR286" i="7"/>
  <c r="BQ286" i="7"/>
  <c r="BP286" i="7"/>
  <c r="BO286" i="7"/>
  <c r="BN286" i="7"/>
  <c r="BM286" i="7"/>
  <c r="BL286" i="7"/>
  <c r="BK286" i="7"/>
  <c r="BJ286" i="7"/>
  <c r="BI286" i="7"/>
  <c r="BH286" i="7"/>
  <c r="BG286" i="7"/>
  <c r="BF286" i="7"/>
  <c r="BE286" i="7"/>
  <c r="BD286" i="7"/>
  <c r="BC286" i="7"/>
  <c r="BB286" i="7"/>
  <c r="BA286" i="7"/>
  <c r="AZ286" i="7"/>
  <c r="AY286" i="7"/>
  <c r="AX286" i="7"/>
  <c r="AW286" i="7"/>
  <c r="AV286" i="7"/>
  <c r="AU286" i="7"/>
  <c r="AT286" i="7"/>
  <c r="AS286" i="7"/>
  <c r="AR286" i="7"/>
  <c r="AQ286" i="7"/>
  <c r="AP286" i="7"/>
  <c r="AO286" i="7"/>
  <c r="AN286" i="7"/>
  <c r="AM286" i="7"/>
  <c r="AL286" i="7"/>
  <c r="AK286" i="7"/>
  <c r="AJ286" i="7"/>
  <c r="AI286" i="7"/>
  <c r="AH286" i="7"/>
  <c r="AG286" i="7"/>
  <c r="AF286" i="7"/>
  <c r="AE286" i="7"/>
  <c r="AD286" i="7"/>
  <c r="AC286" i="7"/>
  <c r="AB286" i="7"/>
  <c r="AA286" i="7"/>
  <c r="Z286" i="7"/>
  <c r="Y286" i="7"/>
  <c r="X286" i="7"/>
  <c r="W286" i="7"/>
  <c r="V286" i="7"/>
  <c r="U286" i="7"/>
  <c r="T286" i="7"/>
  <c r="S286" i="7"/>
  <c r="R286" i="7"/>
  <c r="Q286" i="7"/>
  <c r="P286" i="7"/>
  <c r="O286" i="7"/>
  <c r="N286" i="7"/>
  <c r="M286" i="7"/>
  <c r="L286" i="7"/>
  <c r="K286" i="7"/>
  <c r="J286" i="7"/>
  <c r="I286" i="7"/>
  <c r="H286" i="7"/>
  <c r="G286" i="7"/>
  <c r="F286" i="7"/>
  <c r="E286" i="7"/>
  <c r="D286" i="7"/>
  <c r="C286" i="7"/>
  <c r="CG286" i="7" s="1"/>
  <c r="CF285" i="7"/>
  <c r="CE285" i="7"/>
  <c r="CD285" i="7"/>
  <c r="CC285" i="7"/>
  <c r="CB285" i="7"/>
  <c r="CA285" i="7"/>
  <c r="BZ285" i="7"/>
  <c r="BY285" i="7"/>
  <c r="BX285" i="7"/>
  <c r="BW285" i="7"/>
  <c r="BV285" i="7"/>
  <c r="BU285" i="7"/>
  <c r="BT285" i="7"/>
  <c r="BS285" i="7"/>
  <c r="BR285" i="7"/>
  <c r="BQ285" i="7"/>
  <c r="BP285" i="7"/>
  <c r="BO285" i="7"/>
  <c r="BN285" i="7"/>
  <c r="BM285" i="7"/>
  <c r="BL285" i="7"/>
  <c r="BK285" i="7"/>
  <c r="BJ285" i="7"/>
  <c r="BI285" i="7"/>
  <c r="BH285" i="7"/>
  <c r="BG285" i="7"/>
  <c r="BF285" i="7"/>
  <c r="BE285" i="7"/>
  <c r="BD285" i="7"/>
  <c r="BC285" i="7"/>
  <c r="BB285" i="7"/>
  <c r="BA285" i="7"/>
  <c r="AZ285" i="7"/>
  <c r="AY285" i="7"/>
  <c r="AX285" i="7"/>
  <c r="AW285" i="7"/>
  <c r="AV285" i="7"/>
  <c r="AU285" i="7"/>
  <c r="AT285" i="7"/>
  <c r="AS285" i="7"/>
  <c r="AR285" i="7"/>
  <c r="AQ285" i="7"/>
  <c r="AP285" i="7"/>
  <c r="AO285" i="7"/>
  <c r="AN285" i="7"/>
  <c r="AM285" i="7"/>
  <c r="AL285" i="7"/>
  <c r="AK285" i="7"/>
  <c r="AJ285" i="7"/>
  <c r="AI285" i="7"/>
  <c r="AH285" i="7"/>
  <c r="AG285" i="7"/>
  <c r="AF285" i="7"/>
  <c r="AE285" i="7"/>
  <c r="AD285" i="7"/>
  <c r="AC285" i="7"/>
  <c r="AB285" i="7"/>
  <c r="AA285" i="7"/>
  <c r="Z285" i="7"/>
  <c r="Y285" i="7"/>
  <c r="X285" i="7"/>
  <c r="W285" i="7"/>
  <c r="V285" i="7"/>
  <c r="U285" i="7"/>
  <c r="T285" i="7"/>
  <c r="S285" i="7"/>
  <c r="R285" i="7"/>
  <c r="Q285" i="7"/>
  <c r="P285" i="7"/>
  <c r="O285" i="7"/>
  <c r="N285" i="7"/>
  <c r="M285" i="7"/>
  <c r="L285" i="7"/>
  <c r="K285" i="7"/>
  <c r="J285" i="7"/>
  <c r="I285" i="7"/>
  <c r="H285" i="7"/>
  <c r="G285" i="7"/>
  <c r="F285" i="7"/>
  <c r="E285" i="7"/>
  <c r="D285" i="7"/>
  <c r="C285" i="7"/>
  <c r="CG285" i="7" s="1"/>
  <c r="CF284" i="7"/>
  <c r="CE284" i="7"/>
  <c r="CD284" i="7"/>
  <c r="CC284" i="7"/>
  <c r="CB284" i="7"/>
  <c r="CA284" i="7"/>
  <c r="BZ284" i="7"/>
  <c r="BY284" i="7"/>
  <c r="BX284" i="7"/>
  <c r="BW284" i="7"/>
  <c r="BV284" i="7"/>
  <c r="BU284" i="7"/>
  <c r="BT284" i="7"/>
  <c r="BS284" i="7"/>
  <c r="BR284" i="7"/>
  <c r="BQ284" i="7"/>
  <c r="BP284" i="7"/>
  <c r="BO284" i="7"/>
  <c r="BN284" i="7"/>
  <c r="BM284" i="7"/>
  <c r="BL284" i="7"/>
  <c r="BK284" i="7"/>
  <c r="BJ284" i="7"/>
  <c r="BI284" i="7"/>
  <c r="BH284" i="7"/>
  <c r="BG284" i="7"/>
  <c r="BF284" i="7"/>
  <c r="BE284" i="7"/>
  <c r="BD284" i="7"/>
  <c r="BC284" i="7"/>
  <c r="BB284" i="7"/>
  <c r="BA284" i="7"/>
  <c r="AZ284" i="7"/>
  <c r="AY284" i="7"/>
  <c r="AX284" i="7"/>
  <c r="AW284" i="7"/>
  <c r="AV284" i="7"/>
  <c r="AU284" i="7"/>
  <c r="AT284" i="7"/>
  <c r="AS284" i="7"/>
  <c r="AR284" i="7"/>
  <c r="AQ284" i="7"/>
  <c r="AP284" i="7"/>
  <c r="AO284" i="7"/>
  <c r="AN284" i="7"/>
  <c r="AM284" i="7"/>
  <c r="AL284" i="7"/>
  <c r="AK284" i="7"/>
  <c r="AJ284" i="7"/>
  <c r="AI284" i="7"/>
  <c r="AH284" i="7"/>
  <c r="AG284" i="7"/>
  <c r="AF284" i="7"/>
  <c r="AE284" i="7"/>
  <c r="AD284" i="7"/>
  <c r="AC284" i="7"/>
  <c r="AB284" i="7"/>
  <c r="AA284" i="7"/>
  <c r="Z284" i="7"/>
  <c r="Y284" i="7"/>
  <c r="X284" i="7"/>
  <c r="W284" i="7"/>
  <c r="V284" i="7"/>
  <c r="U284" i="7"/>
  <c r="T284" i="7"/>
  <c r="S284" i="7"/>
  <c r="R284" i="7"/>
  <c r="Q284" i="7"/>
  <c r="P284" i="7"/>
  <c r="O284" i="7"/>
  <c r="N284" i="7"/>
  <c r="M284" i="7"/>
  <c r="L284" i="7"/>
  <c r="K284" i="7"/>
  <c r="J284" i="7"/>
  <c r="I284" i="7"/>
  <c r="H284" i="7"/>
  <c r="G284" i="7"/>
  <c r="F284" i="7"/>
  <c r="E284" i="7"/>
  <c r="D284" i="7"/>
  <c r="C284" i="7"/>
  <c r="CG284" i="7" s="1"/>
  <c r="CF283" i="7"/>
  <c r="CE283" i="7"/>
  <c r="CD283" i="7"/>
  <c r="CC283" i="7"/>
  <c r="CB283" i="7"/>
  <c r="CA283" i="7"/>
  <c r="BZ283" i="7"/>
  <c r="BY283" i="7"/>
  <c r="BX283" i="7"/>
  <c r="BW283" i="7"/>
  <c r="BV283" i="7"/>
  <c r="BU283" i="7"/>
  <c r="BT283" i="7"/>
  <c r="BS283" i="7"/>
  <c r="BR283" i="7"/>
  <c r="BQ283" i="7"/>
  <c r="BP283" i="7"/>
  <c r="BO283" i="7"/>
  <c r="BN283" i="7"/>
  <c r="BM283" i="7"/>
  <c r="BL283" i="7"/>
  <c r="BK283" i="7"/>
  <c r="BJ283" i="7"/>
  <c r="BI283" i="7"/>
  <c r="BH283" i="7"/>
  <c r="BG283" i="7"/>
  <c r="BF283" i="7"/>
  <c r="BE283" i="7"/>
  <c r="BD283" i="7"/>
  <c r="BC283" i="7"/>
  <c r="BB283" i="7"/>
  <c r="BA283" i="7"/>
  <c r="AZ283" i="7"/>
  <c r="AY283" i="7"/>
  <c r="AX283" i="7"/>
  <c r="AW283" i="7"/>
  <c r="AV283" i="7"/>
  <c r="AU283" i="7"/>
  <c r="AT283" i="7"/>
  <c r="AS283" i="7"/>
  <c r="AR283" i="7"/>
  <c r="AQ283" i="7"/>
  <c r="AP283" i="7"/>
  <c r="AO283" i="7"/>
  <c r="AN283" i="7"/>
  <c r="AM283" i="7"/>
  <c r="AL283" i="7"/>
  <c r="AK283" i="7"/>
  <c r="AJ283" i="7"/>
  <c r="AI283" i="7"/>
  <c r="AH283" i="7"/>
  <c r="AG283" i="7"/>
  <c r="AF283" i="7"/>
  <c r="AE283" i="7"/>
  <c r="AD283" i="7"/>
  <c r="AC283" i="7"/>
  <c r="AB283" i="7"/>
  <c r="AA283" i="7"/>
  <c r="Z283" i="7"/>
  <c r="Y283" i="7"/>
  <c r="X283" i="7"/>
  <c r="W283" i="7"/>
  <c r="V283" i="7"/>
  <c r="U283" i="7"/>
  <c r="T283" i="7"/>
  <c r="S283" i="7"/>
  <c r="R283" i="7"/>
  <c r="Q283" i="7"/>
  <c r="P283" i="7"/>
  <c r="O283" i="7"/>
  <c r="N283" i="7"/>
  <c r="M283" i="7"/>
  <c r="L283" i="7"/>
  <c r="K283" i="7"/>
  <c r="J283" i="7"/>
  <c r="I283" i="7"/>
  <c r="H283" i="7"/>
  <c r="G283" i="7"/>
  <c r="F283" i="7"/>
  <c r="E283" i="7"/>
  <c r="CG283" i="7" s="1"/>
  <c r="D283" i="7"/>
  <c r="C283" i="7"/>
  <c r="CF282" i="7"/>
  <c r="CE282" i="7"/>
  <c r="CD282" i="7"/>
  <c r="CC282" i="7"/>
  <c r="CB282" i="7"/>
  <c r="CA282" i="7"/>
  <c r="BZ282" i="7"/>
  <c r="BY282" i="7"/>
  <c r="BX282" i="7"/>
  <c r="BW282" i="7"/>
  <c r="BV282" i="7"/>
  <c r="BU282" i="7"/>
  <c r="BT282" i="7"/>
  <c r="BS282" i="7"/>
  <c r="BR282" i="7"/>
  <c r="BQ282" i="7"/>
  <c r="BP282" i="7"/>
  <c r="BO282" i="7"/>
  <c r="BN282" i="7"/>
  <c r="BM282" i="7"/>
  <c r="BL282" i="7"/>
  <c r="BK282" i="7"/>
  <c r="BJ282" i="7"/>
  <c r="BI282" i="7"/>
  <c r="BH282" i="7"/>
  <c r="BG282" i="7"/>
  <c r="BF282" i="7"/>
  <c r="BE282" i="7"/>
  <c r="BD282" i="7"/>
  <c r="BC282" i="7"/>
  <c r="BB282" i="7"/>
  <c r="BA282" i="7"/>
  <c r="AZ282" i="7"/>
  <c r="AY282" i="7"/>
  <c r="AX282" i="7"/>
  <c r="AW282" i="7"/>
  <c r="AV282" i="7"/>
  <c r="AU282" i="7"/>
  <c r="AT282" i="7"/>
  <c r="AS282" i="7"/>
  <c r="AR282" i="7"/>
  <c r="AQ282" i="7"/>
  <c r="AP282" i="7"/>
  <c r="AO282" i="7"/>
  <c r="AN282" i="7"/>
  <c r="AM282" i="7"/>
  <c r="AL282" i="7"/>
  <c r="AK282" i="7"/>
  <c r="AJ282" i="7"/>
  <c r="AI282" i="7"/>
  <c r="AH282" i="7"/>
  <c r="AG282" i="7"/>
  <c r="AF282" i="7"/>
  <c r="AE282" i="7"/>
  <c r="AD282" i="7"/>
  <c r="AC282" i="7"/>
  <c r="AB282" i="7"/>
  <c r="AA282" i="7"/>
  <c r="Z282" i="7"/>
  <c r="Y282" i="7"/>
  <c r="X282" i="7"/>
  <c r="W282" i="7"/>
  <c r="V282" i="7"/>
  <c r="U282" i="7"/>
  <c r="T282" i="7"/>
  <c r="S282" i="7"/>
  <c r="R282" i="7"/>
  <c r="Q282" i="7"/>
  <c r="P282" i="7"/>
  <c r="O282" i="7"/>
  <c r="N282" i="7"/>
  <c r="M282" i="7"/>
  <c r="L282" i="7"/>
  <c r="K282" i="7"/>
  <c r="J282" i="7"/>
  <c r="I282" i="7"/>
  <c r="H282" i="7"/>
  <c r="G282" i="7"/>
  <c r="F282" i="7"/>
  <c r="E282" i="7"/>
  <c r="D282" i="7"/>
  <c r="C282" i="7"/>
  <c r="CG282" i="7" s="1"/>
  <c r="CF281" i="7"/>
  <c r="CE281" i="7"/>
  <c r="CD281" i="7"/>
  <c r="CC281" i="7"/>
  <c r="CB281" i="7"/>
  <c r="CA281" i="7"/>
  <c r="BZ281" i="7"/>
  <c r="BY281" i="7"/>
  <c r="BX281" i="7"/>
  <c r="BW281" i="7"/>
  <c r="BV281" i="7"/>
  <c r="BU281" i="7"/>
  <c r="BT281" i="7"/>
  <c r="BS281" i="7"/>
  <c r="BR281" i="7"/>
  <c r="BQ281" i="7"/>
  <c r="BP281" i="7"/>
  <c r="BO281" i="7"/>
  <c r="BN281" i="7"/>
  <c r="BM281" i="7"/>
  <c r="BL281" i="7"/>
  <c r="BK281" i="7"/>
  <c r="BJ281" i="7"/>
  <c r="BI281" i="7"/>
  <c r="BH281" i="7"/>
  <c r="BG281" i="7"/>
  <c r="BF281" i="7"/>
  <c r="BE281" i="7"/>
  <c r="BD281" i="7"/>
  <c r="BC281" i="7"/>
  <c r="BB281" i="7"/>
  <c r="BA281" i="7"/>
  <c r="AZ281" i="7"/>
  <c r="AY281" i="7"/>
  <c r="AX281" i="7"/>
  <c r="AW281" i="7"/>
  <c r="AV281" i="7"/>
  <c r="AU281" i="7"/>
  <c r="AT281" i="7"/>
  <c r="AS281" i="7"/>
  <c r="AR281" i="7"/>
  <c r="AQ281" i="7"/>
  <c r="AP281" i="7"/>
  <c r="AO281" i="7"/>
  <c r="AN281" i="7"/>
  <c r="AM281" i="7"/>
  <c r="AL281" i="7"/>
  <c r="AK281" i="7"/>
  <c r="AJ281" i="7"/>
  <c r="AI281" i="7"/>
  <c r="AH281" i="7"/>
  <c r="AG281" i="7"/>
  <c r="AF281" i="7"/>
  <c r="AE281" i="7"/>
  <c r="AD281" i="7"/>
  <c r="AC281" i="7"/>
  <c r="AB281" i="7"/>
  <c r="AA281" i="7"/>
  <c r="Z281" i="7"/>
  <c r="Y281" i="7"/>
  <c r="X281" i="7"/>
  <c r="W281" i="7"/>
  <c r="V281" i="7"/>
  <c r="U281" i="7"/>
  <c r="T281" i="7"/>
  <c r="S281" i="7"/>
  <c r="R281" i="7"/>
  <c r="Q281" i="7"/>
  <c r="P281" i="7"/>
  <c r="O281" i="7"/>
  <c r="N281" i="7"/>
  <c r="M281" i="7"/>
  <c r="L281" i="7"/>
  <c r="K281" i="7"/>
  <c r="J281" i="7"/>
  <c r="I281" i="7"/>
  <c r="H281" i="7"/>
  <c r="G281" i="7"/>
  <c r="F281" i="7"/>
  <c r="E281" i="7"/>
  <c r="D281" i="7"/>
  <c r="C281" i="7"/>
  <c r="CF280" i="7"/>
  <c r="CE280" i="7"/>
  <c r="CD280" i="7"/>
  <c r="CC280" i="7"/>
  <c r="CB280" i="7"/>
  <c r="CA280" i="7"/>
  <c r="BZ280" i="7"/>
  <c r="BY280" i="7"/>
  <c r="BX280" i="7"/>
  <c r="BW280" i="7"/>
  <c r="BV280" i="7"/>
  <c r="BU280" i="7"/>
  <c r="BT280" i="7"/>
  <c r="BS280" i="7"/>
  <c r="BR280" i="7"/>
  <c r="BQ280" i="7"/>
  <c r="BP280" i="7"/>
  <c r="BO280" i="7"/>
  <c r="BN280" i="7"/>
  <c r="BM280" i="7"/>
  <c r="BL280" i="7"/>
  <c r="BK280" i="7"/>
  <c r="BJ280" i="7"/>
  <c r="BI280" i="7"/>
  <c r="BH280" i="7"/>
  <c r="BG280" i="7"/>
  <c r="BF280" i="7"/>
  <c r="BE280" i="7"/>
  <c r="BD280" i="7"/>
  <c r="BC280" i="7"/>
  <c r="BB280" i="7"/>
  <c r="BA280" i="7"/>
  <c r="AZ280" i="7"/>
  <c r="AY280" i="7"/>
  <c r="AX280" i="7"/>
  <c r="AW280" i="7"/>
  <c r="AV280" i="7"/>
  <c r="AU280" i="7"/>
  <c r="AT280" i="7"/>
  <c r="AS280" i="7"/>
  <c r="AR280" i="7"/>
  <c r="AQ280" i="7"/>
  <c r="AP280" i="7"/>
  <c r="AO280" i="7"/>
  <c r="AN280" i="7"/>
  <c r="AM280" i="7"/>
  <c r="AL280" i="7"/>
  <c r="AK280" i="7"/>
  <c r="AJ280" i="7"/>
  <c r="AI280" i="7"/>
  <c r="AH280" i="7"/>
  <c r="AG280" i="7"/>
  <c r="AF280" i="7"/>
  <c r="AE280" i="7"/>
  <c r="AD280" i="7"/>
  <c r="AC280" i="7"/>
  <c r="AB280" i="7"/>
  <c r="AA280" i="7"/>
  <c r="Z280" i="7"/>
  <c r="Y280" i="7"/>
  <c r="X280" i="7"/>
  <c r="W280" i="7"/>
  <c r="V280" i="7"/>
  <c r="U280" i="7"/>
  <c r="T280" i="7"/>
  <c r="S280" i="7"/>
  <c r="R280" i="7"/>
  <c r="Q280" i="7"/>
  <c r="P280" i="7"/>
  <c r="O280" i="7"/>
  <c r="N280" i="7"/>
  <c r="M280" i="7"/>
  <c r="L280" i="7"/>
  <c r="K280" i="7"/>
  <c r="J280" i="7"/>
  <c r="I280" i="7"/>
  <c r="H280" i="7"/>
  <c r="G280" i="7"/>
  <c r="F280" i="7"/>
  <c r="E280" i="7"/>
  <c r="D280" i="7"/>
  <c r="C280" i="7"/>
  <c r="CG280" i="7" s="1"/>
  <c r="CF279" i="7"/>
  <c r="CE279" i="7"/>
  <c r="CD279" i="7"/>
  <c r="CC279" i="7"/>
  <c r="CB279" i="7"/>
  <c r="CA279" i="7"/>
  <c r="BZ279" i="7"/>
  <c r="BY279" i="7"/>
  <c r="BX279" i="7"/>
  <c r="BW279" i="7"/>
  <c r="BV279" i="7"/>
  <c r="BU279" i="7"/>
  <c r="BT279" i="7"/>
  <c r="BS279" i="7"/>
  <c r="BR279" i="7"/>
  <c r="BQ279" i="7"/>
  <c r="BP279" i="7"/>
  <c r="BO279" i="7"/>
  <c r="BN279" i="7"/>
  <c r="BM279" i="7"/>
  <c r="BL279" i="7"/>
  <c r="BK279" i="7"/>
  <c r="BJ279" i="7"/>
  <c r="BI279" i="7"/>
  <c r="BH279" i="7"/>
  <c r="BG279" i="7"/>
  <c r="BF279" i="7"/>
  <c r="BE279" i="7"/>
  <c r="BD279" i="7"/>
  <c r="BC279" i="7"/>
  <c r="BB279" i="7"/>
  <c r="BA279" i="7"/>
  <c r="AZ279" i="7"/>
  <c r="AY279" i="7"/>
  <c r="AX279" i="7"/>
  <c r="AW279" i="7"/>
  <c r="AV279" i="7"/>
  <c r="AU279" i="7"/>
  <c r="AT279" i="7"/>
  <c r="AS279" i="7"/>
  <c r="AR279" i="7"/>
  <c r="AQ279" i="7"/>
  <c r="AP279" i="7"/>
  <c r="AO279" i="7"/>
  <c r="AN279" i="7"/>
  <c r="AM279" i="7"/>
  <c r="AL279" i="7"/>
  <c r="AK279" i="7"/>
  <c r="AJ279" i="7"/>
  <c r="AI279" i="7"/>
  <c r="AH279" i="7"/>
  <c r="AG279" i="7"/>
  <c r="AF279" i="7"/>
  <c r="AE279" i="7"/>
  <c r="AD279" i="7"/>
  <c r="AC279" i="7"/>
  <c r="AB279" i="7"/>
  <c r="AA279" i="7"/>
  <c r="Z279" i="7"/>
  <c r="Y279" i="7"/>
  <c r="X279" i="7"/>
  <c r="W279" i="7"/>
  <c r="V279" i="7"/>
  <c r="U279" i="7"/>
  <c r="T279" i="7"/>
  <c r="S279" i="7"/>
  <c r="R279" i="7"/>
  <c r="Q279" i="7"/>
  <c r="P279" i="7"/>
  <c r="O279" i="7"/>
  <c r="N279" i="7"/>
  <c r="M279" i="7"/>
  <c r="L279" i="7"/>
  <c r="K279" i="7"/>
  <c r="J279" i="7"/>
  <c r="I279" i="7"/>
  <c r="H279" i="7"/>
  <c r="G279" i="7"/>
  <c r="F279" i="7"/>
  <c r="E279" i="7"/>
  <c r="D279" i="7"/>
  <c r="C279" i="7"/>
  <c r="CG279" i="7" s="1"/>
  <c r="CF278" i="7"/>
  <c r="CE278" i="7"/>
  <c r="CD278" i="7"/>
  <c r="CC278" i="7"/>
  <c r="CB278" i="7"/>
  <c r="CA278" i="7"/>
  <c r="BZ278" i="7"/>
  <c r="BY278" i="7"/>
  <c r="BX278" i="7"/>
  <c r="BW278" i="7"/>
  <c r="BV278" i="7"/>
  <c r="BU278" i="7"/>
  <c r="BT278" i="7"/>
  <c r="BS278" i="7"/>
  <c r="BR278" i="7"/>
  <c r="BQ278" i="7"/>
  <c r="BP278" i="7"/>
  <c r="BO278" i="7"/>
  <c r="BN278" i="7"/>
  <c r="BM278" i="7"/>
  <c r="BL278" i="7"/>
  <c r="BK278" i="7"/>
  <c r="BJ278" i="7"/>
  <c r="BI278" i="7"/>
  <c r="BH278" i="7"/>
  <c r="BG278" i="7"/>
  <c r="BF278" i="7"/>
  <c r="BE278" i="7"/>
  <c r="BD278" i="7"/>
  <c r="BC278" i="7"/>
  <c r="BB278" i="7"/>
  <c r="BA278" i="7"/>
  <c r="AZ278" i="7"/>
  <c r="AY278" i="7"/>
  <c r="AX278" i="7"/>
  <c r="AW278" i="7"/>
  <c r="AV278" i="7"/>
  <c r="AU278" i="7"/>
  <c r="AT278" i="7"/>
  <c r="AS278" i="7"/>
  <c r="AR278" i="7"/>
  <c r="AQ278" i="7"/>
  <c r="AP278" i="7"/>
  <c r="AO278" i="7"/>
  <c r="AN278" i="7"/>
  <c r="AM278" i="7"/>
  <c r="AL278" i="7"/>
  <c r="AK278" i="7"/>
  <c r="AJ278" i="7"/>
  <c r="AI278" i="7"/>
  <c r="AH278" i="7"/>
  <c r="AG278" i="7"/>
  <c r="AF278" i="7"/>
  <c r="AE278" i="7"/>
  <c r="AD278" i="7"/>
  <c r="AC278" i="7"/>
  <c r="AB278" i="7"/>
  <c r="AA278" i="7"/>
  <c r="Z278" i="7"/>
  <c r="Y278" i="7"/>
  <c r="X278" i="7"/>
  <c r="W278" i="7"/>
  <c r="V278" i="7"/>
  <c r="U278" i="7"/>
  <c r="T278" i="7"/>
  <c r="S278" i="7"/>
  <c r="R278" i="7"/>
  <c r="Q278" i="7"/>
  <c r="P278" i="7"/>
  <c r="O278" i="7"/>
  <c r="N278" i="7"/>
  <c r="M278" i="7"/>
  <c r="L278" i="7"/>
  <c r="K278" i="7"/>
  <c r="J278" i="7"/>
  <c r="I278" i="7"/>
  <c r="H278" i="7"/>
  <c r="G278" i="7"/>
  <c r="F278" i="7"/>
  <c r="E278" i="7"/>
  <c r="D278" i="7"/>
  <c r="C278" i="7"/>
  <c r="CF277" i="7"/>
  <c r="CE277" i="7"/>
  <c r="CD277" i="7"/>
  <c r="CC277" i="7"/>
  <c r="CB277" i="7"/>
  <c r="CA277" i="7"/>
  <c r="BZ277" i="7"/>
  <c r="BY277" i="7"/>
  <c r="BX277" i="7"/>
  <c r="BW277" i="7"/>
  <c r="BV277" i="7"/>
  <c r="BU277" i="7"/>
  <c r="BT277" i="7"/>
  <c r="BS277" i="7"/>
  <c r="BR277" i="7"/>
  <c r="BQ277" i="7"/>
  <c r="BP277" i="7"/>
  <c r="BO277" i="7"/>
  <c r="BN277" i="7"/>
  <c r="BM277" i="7"/>
  <c r="BL277" i="7"/>
  <c r="BK277" i="7"/>
  <c r="BJ277" i="7"/>
  <c r="BI277" i="7"/>
  <c r="BH277" i="7"/>
  <c r="BG277" i="7"/>
  <c r="BF277" i="7"/>
  <c r="BE277" i="7"/>
  <c r="BD277" i="7"/>
  <c r="BC277" i="7"/>
  <c r="BB277" i="7"/>
  <c r="BA277" i="7"/>
  <c r="AZ277" i="7"/>
  <c r="AY277" i="7"/>
  <c r="AX277" i="7"/>
  <c r="AW277" i="7"/>
  <c r="AV277" i="7"/>
  <c r="AU277" i="7"/>
  <c r="AT277" i="7"/>
  <c r="AS277" i="7"/>
  <c r="AR277" i="7"/>
  <c r="AQ277" i="7"/>
  <c r="AP277" i="7"/>
  <c r="AO277" i="7"/>
  <c r="AN277" i="7"/>
  <c r="AM277" i="7"/>
  <c r="AL277" i="7"/>
  <c r="AK277" i="7"/>
  <c r="AJ277" i="7"/>
  <c r="AI277" i="7"/>
  <c r="AH277" i="7"/>
  <c r="AG277" i="7"/>
  <c r="AF277" i="7"/>
  <c r="AE277" i="7"/>
  <c r="AD277" i="7"/>
  <c r="AC277" i="7"/>
  <c r="AB277" i="7"/>
  <c r="AA277" i="7"/>
  <c r="Z277" i="7"/>
  <c r="Y277" i="7"/>
  <c r="X277" i="7"/>
  <c r="W277" i="7"/>
  <c r="V277" i="7"/>
  <c r="U277" i="7"/>
  <c r="T277" i="7"/>
  <c r="S277" i="7"/>
  <c r="CG277" i="7" s="1"/>
  <c r="R277" i="7"/>
  <c r="Q277" i="7"/>
  <c r="P277" i="7"/>
  <c r="O277" i="7"/>
  <c r="N277" i="7"/>
  <c r="M277" i="7"/>
  <c r="L277" i="7"/>
  <c r="K277" i="7"/>
  <c r="J277" i="7"/>
  <c r="I277" i="7"/>
  <c r="H277" i="7"/>
  <c r="G277" i="7"/>
  <c r="F277" i="7"/>
  <c r="E277" i="7"/>
  <c r="D277" i="7"/>
  <c r="C277" i="7"/>
  <c r="CF276" i="7"/>
  <c r="CE276" i="7"/>
  <c r="CD276" i="7"/>
  <c r="CC276" i="7"/>
  <c r="CB276" i="7"/>
  <c r="CA276" i="7"/>
  <c r="BZ276" i="7"/>
  <c r="BY276" i="7"/>
  <c r="BX276" i="7"/>
  <c r="BW276" i="7"/>
  <c r="BV276" i="7"/>
  <c r="BU276" i="7"/>
  <c r="BT276" i="7"/>
  <c r="BS276" i="7"/>
  <c r="BR276" i="7"/>
  <c r="BQ276" i="7"/>
  <c r="BP276" i="7"/>
  <c r="BO276" i="7"/>
  <c r="BN276" i="7"/>
  <c r="BM276" i="7"/>
  <c r="BL276" i="7"/>
  <c r="BK276" i="7"/>
  <c r="BJ276" i="7"/>
  <c r="BI276" i="7"/>
  <c r="BH276" i="7"/>
  <c r="BG276" i="7"/>
  <c r="BF276" i="7"/>
  <c r="BE276" i="7"/>
  <c r="BD276" i="7"/>
  <c r="BC276" i="7"/>
  <c r="BB276" i="7"/>
  <c r="BA276" i="7"/>
  <c r="AZ276" i="7"/>
  <c r="AY276" i="7"/>
  <c r="AX276" i="7"/>
  <c r="AW276" i="7"/>
  <c r="AV276" i="7"/>
  <c r="AU276" i="7"/>
  <c r="AT276" i="7"/>
  <c r="AS276" i="7"/>
  <c r="AR276" i="7"/>
  <c r="AQ276" i="7"/>
  <c r="AP276" i="7"/>
  <c r="AO276" i="7"/>
  <c r="AN276" i="7"/>
  <c r="AM276" i="7"/>
  <c r="AL276" i="7"/>
  <c r="AK276" i="7"/>
  <c r="AJ276" i="7"/>
  <c r="AI276" i="7"/>
  <c r="AH276" i="7"/>
  <c r="AG276" i="7"/>
  <c r="AF276" i="7"/>
  <c r="AE276" i="7"/>
  <c r="AD276" i="7"/>
  <c r="AC276" i="7"/>
  <c r="AB276" i="7"/>
  <c r="AA276" i="7"/>
  <c r="Z276" i="7"/>
  <c r="Y276" i="7"/>
  <c r="X276" i="7"/>
  <c r="W276" i="7"/>
  <c r="V276" i="7"/>
  <c r="U276" i="7"/>
  <c r="T276" i="7"/>
  <c r="S276" i="7"/>
  <c r="R276" i="7"/>
  <c r="Q276" i="7"/>
  <c r="P276" i="7"/>
  <c r="O276" i="7"/>
  <c r="N276" i="7"/>
  <c r="M276" i="7"/>
  <c r="L276" i="7"/>
  <c r="K276" i="7"/>
  <c r="J276" i="7"/>
  <c r="I276" i="7"/>
  <c r="H276" i="7"/>
  <c r="G276" i="7"/>
  <c r="F276" i="7"/>
  <c r="E276" i="7"/>
  <c r="D276" i="7"/>
  <c r="C276" i="7"/>
  <c r="CG276" i="7" s="1"/>
  <c r="CF275" i="7"/>
  <c r="CE275" i="7"/>
  <c r="CD275" i="7"/>
  <c r="CC275" i="7"/>
  <c r="CB275" i="7"/>
  <c r="CA275" i="7"/>
  <c r="BZ275" i="7"/>
  <c r="BY275" i="7"/>
  <c r="BX275" i="7"/>
  <c r="BW275" i="7"/>
  <c r="BV275" i="7"/>
  <c r="BU275" i="7"/>
  <c r="BT275" i="7"/>
  <c r="BS275" i="7"/>
  <c r="BR275" i="7"/>
  <c r="BQ275" i="7"/>
  <c r="BP275" i="7"/>
  <c r="BO275" i="7"/>
  <c r="BN275" i="7"/>
  <c r="BM275" i="7"/>
  <c r="BL275" i="7"/>
  <c r="BK275" i="7"/>
  <c r="BJ275" i="7"/>
  <c r="BI275" i="7"/>
  <c r="BH275" i="7"/>
  <c r="BG275" i="7"/>
  <c r="BF275" i="7"/>
  <c r="BE275" i="7"/>
  <c r="BD275" i="7"/>
  <c r="BC275" i="7"/>
  <c r="BB275" i="7"/>
  <c r="BA275" i="7"/>
  <c r="AZ275" i="7"/>
  <c r="AY275" i="7"/>
  <c r="AX275" i="7"/>
  <c r="AW275" i="7"/>
  <c r="AV275" i="7"/>
  <c r="AU275" i="7"/>
  <c r="AT275" i="7"/>
  <c r="AS275" i="7"/>
  <c r="AR275" i="7"/>
  <c r="AQ275" i="7"/>
  <c r="AP275" i="7"/>
  <c r="AO275" i="7"/>
  <c r="AN275" i="7"/>
  <c r="AM275" i="7"/>
  <c r="AL275" i="7"/>
  <c r="AK275" i="7"/>
  <c r="AJ275" i="7"/>
  <c r="AI275" i="7"/>
  <c r="AH275" i="7"/>
  <c r="AG275" i="7"/>
  <c r="AF275" i="7"/>
  <c r="AE275" i="7"/>
  <c r="AD275" i="7"/>
  <c r="AC275" i="7"/>
  <c r="AB275" i="7"/>
  <c r="AA275" i="7"/>
  <c r="Z275" i="7"/>
  <c r="Y275" i="7"/>
  <c r="X275" i="7"/>
  <c r="W275" i="7"/>
  <c r="V275" i="7"/>
  <c r="U275" i="7"/>
  <c r="T275" i="7"/>
  <c r="S275" i="7"/>
  <c r="R275" i="7"/>
  <c r="Q275" i="7"/>
  <c r="P275" i="7"/>
  <c r="O275" i="7"/>
  <c r="N275" i="7"/>
  <c r="M275" i="7"/>
  <c r="L275" i="7"/>
  <c r="K275" i="7"/>
  <c r="J275" i="7"/>
  <c r="I275" i="7"/>
  <c r="H275" i="7"/>
  <c r="G275" i="7"/>
  <c r="F275" i="7"/>
  <c r="E275" i="7"/>
  <c r="D275" i="7"/>
  <c r="C275" i="7"/>
  <c r="CG275" i="7" s="1"/>
  <c r="CF274" i="7"/>
  <c r="CE274" i="7"/>
  <c r="CD274" i="7"/>
  <c r="CC274" i="7"/>
  <c r="CB274" i="7"/>
  <c r="CA274" i="7"/>
  <c r="BZ274" i="7"/>
  <c r="BY274" i="7"/>
  <c r="BX274" i="7"/>
  <c r="BW274" i="7"/>
  <c r="BV274" i="7"/>
  <c r="BU274" i="7"/>
  <c r="BT274" i="7"/>
  <c r="BS274" i="7"/>
  <c r="BR274" i="7"/>
  <c r="BQ274" i="7"/>
  <c r="BP274" i="7"/>
  <c r="BO274" i="7"/>
  <c r="BN274" i="7"/>
  <c r="BM274" i="7"/>
  <c r="BL274" i="7"/>
  <c r="BK274" i="7"/>
  <c r="BJ274" i="7"/>
  <c r="BI274" i="7"/>
  <c r="BH274" i="7"/>
  <c r="BG274" i="7"/>
  <c r="BF274" i="7"/>
  <c r="BE274" i="7"/>
  <c r="BD274" i="7"/>
  <c r="BC274" i="7"/>
  <c r="BB274" i="7"/>
  <c r="BA274" i="7"/>
  <c r="AZ274" i="7"/>
  <c r="AY274" i="7"/>
  <c r="AX274" i="7"/>
  <c r="AW274" i="7"/>
  <c r="AV274" i="7"/>
  <c r="AU274" i="7"/>
  <c r="AT274" i="7"/>
  <c r="AS274" i="7"/>
  <c r="AR274" i="7"/>
  <c r="AQ274" i="7"/>
  <c r="AP274" i="7"/>
  <c r="AO274" i="7"/>
  <c r="AN274" i="7"/>
  <c r="AM274" i="7"/>
  <c r="AL274" i="7"/>
  <c r="AK274" i="7"/>
  <c r="AJ274" i="7"/>
  <c r="AI274" i="7"/>
  <c r="AH274" i="7"/>
  <c r="AG274" i="7"/>
  <c r="AF274" i="7"/>
  <c r="AE274" i="7"/>
  <c r="AD274" i="7"/>
  <c r="AC274" i="7"/>
  <c r="AB274" i="7"/>
  <c r="AA274" i="7"/>
  <c r="Z274" i="7"/>
  <c r="Y274" i="7"/>
  <c r="X274" i="7"/>
  <c r="W274" i="7"/>
  <c r="V274" i="7"/>
  <c r="U274" i="7"/>
  <c r="T274" i="7"/>
  <c r="S274" i="7"/>
  <c r="R274" i="7"/>
  <c r="Q274" i="7"/>
  <c r="P274" i="7"/>
  <c r="O274" i="7"/>
  <c r="N274" i="7"/>
  <c r="M274" i="7"/>
  <c r="L274" i="7"/>
  <c r="K274" i="7"/>
  <c r="J274" i="7"/>
  <c r="I274" i="7"/>
  <c r="H274" i="7"/>
  <c r="G274" i="7"/>
  <c r="F274" i="7"/>
  <c r="E274" i="7"/>
  <c r="D274" i="7"/>
  <c r="C274" i="7"/>
  <c r="CF273" i="7"/>
  <c r="CE273" i="7"/>
  <c r="CD273" i="7"/>
  <c r="CC273" i="7"/>
  <c r="CB273" i="7"/>
  <c r="CA273" i="7"/>
  <c r="BZ273" i="7"/>
  <c r="BY273" i="7"/>
  <c r="BX273" i="7"/>
  <c r="BW273" i="7"/>
  <c r="BV273" i="7"/>
  <c r="BU273" i="7"/>
  <c r="BT273" i="7"/>
  <c r="BS273" i="7"/>
  <c r="BR273" i="7"/>
  <c r="BQ273" i="7"/>
  <c r="BP273" i="7"/>
  <c r="BO273" i="7"/>
  <c r="BN273" i="7"/>
  <c r="BM273" i="7"/>
  <c r="BL273" i="7"/>
  <c r="BK273" i="7"/>
  <c r="BJ273" i="7"/>
  <c r="BI273" i="7"/>
  <c r="BH273" i="7"/>
  <c r="BG273" i="7"/>
  <c r="BF273" i="7"/>
  <c r="BE273" i="7"/>
  <c r="BD273" i="7"/>
  <c r="BC273" i="7"/>
  <c r="BB273" i="7"/>
  <c r="BA273" i="7"/>
  <c r="AZ273" i="7"/>
  <c r="AY273" i="7"/>
  <c r="AX273" i="7"/>
  <c r="AW273" i="7"/>
  <c r="AV273" i="7"/>
  <c r="AU273" i="7"/>
  <c r="AT273" i="7"/>
  <c r="AS273" i="7"/>
  <c r="AR273" i="7"/>
  <c r="AQ273" i="7"/>
  <c r="AP273" i="7"/>
  <c r="AO273" i="7"/>
  <c r="AN273" i="7"/>
  <c r="AM273" i="7"/>
  <c r="AL273" i="7"/>
  <c r="AK273" i="7"/>
  <c r="AJ273" i="7"/>
  <c r="AI273" i="7"/>
  <c r="AH273" i="7"/>
  <c r="AG273" i="7"/>
  <c r="AF273" i="7"/>
  <c r="AE273" i="7"/>
  <c r="AD273" i="7"/>
  <c r="AC273" i="7"/>
  <c r="AB273" i="7"/>
  <c r="AA273" i="7"/>
  <c r="Z273" i="7"/>
  <c r="Y273" i="7"/>
  <c r="X273" i="7"/>
  <c r="W273" i="7"/>
  <c r="V273" i="7"/>
  <c r="U273" i="7"/>
  <c r="T273" i="7"/>
  <c r="S273" i="7"/>
  <c r="R273" i="7"/>
  <c r="Q273" i="7"/>
  <c r="P273" i="7"/>
  <c r="O273" i="7"/>
  <c r="N273" i="7"/>
  <c r="M273" i="7"/>
  <c r="L273" i="7"/>
  <c r="K273" i="7"/>
  <c r="J273" i="7"/>
  <c r="I273" i="7"/>
  <c r="H273" i="7"/>
  <c r="G273" i="7"/>
  <c r="F273" i="7"/>
  <c r="E273" i="7"/>
  <c r="D273" i="7"/>
  <c r="C273" i="7"/>
  <c r="CG273" i="7" s="1"/>
  <c r="CF272" i="7"/>
  <c r="CE272" i="7"/>
  <c r="CD272" i="7"/>
  <c r="CC272" i="7"/>
  <c r="CB272" i="7"/>
  <c r="CA272" i="7"/>
  <c r="BZ272" i="7"/>
  <c r="BY272" i="7"/>
  <c r="BX272" i="7"/>
  <c r="BW272" i="7"/>
  <c r="BV272" i="7"/>
  <c r="BU272" i="7"/>
  <c r="BT272" i="7"/>
  <c r="BS272" i="7"/>
  <c r="BR272" i="7"/>
  <c r="BQ272" i="7"/>
  <c r="BP272" i="7"/>
  <c r="BO272" i="7"/>
  <c r="BN272" i="7"/>
  <c r="BM272" i="7"/>
  <c r="BL272" i="7"/>
  <c r="BK272" i="7"/>
  <c r="BJ272" i="7"/>
  <c r="BI272" i="7"/>
  <c r="BH272" i="7"/>
  <c r="BG272" i="7"/>
  <c r="BF272" i="7"/>
  <c r="BE272" i="7"/>
  <c r="BD272" i="7"/>
  <c r="BC272" i="7"/>
  <c r="BB272" i="7"/>
  <c r="BA272" i="7"/>
  <c r="AZ272" i="7"/>
  <c r="AY272" i="7"/>
  <c r="AX272" i="7"/>
  <c r="AW272" i="7"/>
  <c r="AV272" i="7"/>
  <c r="AU272" i="7"/>
  <c r="AT272" i="7"/>
  <c r="AS272" i="7"/>
  <c r="AR272" i="7"/>
  <c r="AQ272" i="7"/>
  <c r="AP272" i="7"/>
  <c r="AO272" i="7"/>
  <c r="AN272" i="7"/>
  <c r="AM272" i="7"/>
  <c r="AL272" i="7"/>
  <c r="AK272" i="7"/>
  <c r="AJ272" i="7"/>
  <c r="AI272" i="7"/>
  <c r="AH272" i="7"/>
  <c r="AG272" i="7"/>
  <c r="AF272" i="7"/>
  <c r="AE272" i="7"/>
  <c r="AD272" i="7"/>
  <c r="AC272" i="7"/>
  <c r="AB272" i="7"/>
  <c r="AA272" i="7"/>
  <c r="Z272" i="7"/>
  <c r="Y272" i="7"/>
  <c r="X272" i="7"/>
  <c r="W272" i="7"/>
  <c r="V272" i="7"/>
  <c r="U272" i="7"/>
  <c r="T272" i="7"/>
  <c r="S272" i="7"/>
  <c r="R272" i="7"/>
  <c r="Q272" i="7"/>
  <c r="P272" i="7"/>
  <c r="O272" i="7"/>
  <c r="N272" i="7"/>
  <c r="M272" i="7"/>
  <c r="L272" i="7"/>
  <c r="K272" i="7"/>
  <c r="J272" i="7"/>
  <c r="I272" i="7"/>
  <c r="H272" i="7"/>
  <c r="G272" i="7"/>
  <c r="F272" i="7"/>
  <c r="E272" i="7"/>
  <c r="CG272" i="7" s="1"/>
  <c r="D272" i="7"/>
  <c r="C272" i="7"/>
  <c r="CF271" i="7"/>
  <c r="CE271" i="7"/>
  <c r="CD271" i="7"/>
  <c r="CC271" i="7"/>
  <c r="CB271" i="7"/>
  <c r="CA271" i="7"/>
  <c r="BZ271" i="7"/>
  <c r="BY271" i="7"/>
  <c r="BX271" i="7"/>
  <c r="BW271" i="7"/>
  <c r="BV271" i="7"/>
  <c r="BU271" i="7"/>
  <c r="BT271" i="7"/>
  <c r="BS271" i="7"/>
  <c r="BR271" i="7"/>
  <c r="BQ271" i="7"/>
  <c r="BP271" i="7"/>
  <c r="BO271" i="7"/>
  <c r="BN271" i="7"/>
  <c r="BM271" i="7"/>
  <c r="BL271" i="7"/>
  <c r="BK271" i="7"/>
  <c r="BJ271" i="7"/>
  <c r="BI271" i="7"/>
  <c r="BH271" i="7"/>
  <c r="BG271" i="7"/>
  <c r="BF271" i="7"/>
  <c r="BE271" i="7"/>
  <c r="BD271" i="7"/>
  <c r="BC271" i="7"/>
  <c r="BB271" i="7"/>
  <c r="BA271" i="7"/>
  <c r="AZ271" i="7"/>
  <c r="AY271" i="7"/>
  <c r="AX271" i="7"/>
  <c r="AW271" i="7"/>
  <c r="AV271" i="7"/>
  <c r="AU271" i="7"/>
  <c r="AT271" i="7"/>
  <c r="AS271" i="7"/>
  <c r="AR271" i="7"/>
  <c r="AQ271" i="7"/>
  <c r="AP271" i="7"/>
  <c r="AO271" i="7"/>
  <c r="AN271" i="7"/>
  <c r="AM271" i="7"/>
  <c r="AL271" i="7"/>
  <c r="AK271" i="7"/>
  <c r="AJ271" i="7"/>
  <c r="AI271" i="7"/>
  <c r="AH271" i="7"/>
  <c r="AG271" i="7"/>
  <c r="AF271" i="7"/>
  <c r="AE271" i="7"/>
  <c r="AD271" i="7"/>
  <c r="AC271" i="7"/>
  <c r="AB271" i="7"/>
  <c r="AA271" i="7"/>
  <c r="Z271" i="7"/>
  <c r="Y271" i="7"/>
  <c r="X271" i="7"/>
  <c r="W271" i="7"/>
  <c r="V271" i="7"/>
  <c r="U271" i="7"/>
  <c r="T271" i="7"/>
  <c r="S271" i="7"/>
  <c r="R271" i="7"/>
  <c r="Q271" i="7"/>
  <c r="P271" i="7"/>
  <c r="O271" i="7"/>
  <c r="N271" i="7"/>
  <c r="M271" i="7"/>
  <c r="L271" i="7"/>
  <c r="K271" i="7"/>
  <c r="J271" i="7"/>
  <c r="I271" i="7"/>
  <c r="H271" i="7"/>
  <c r="G271" i="7"/>
  <c r="F271" i="7"/>
  <c r="E271" i="7"/>
  <c r="D271" i="7"/>
  <c r="C271" i="7"/>
  <c r="CG271" i="7" s="1"/>
  <c r="CF270" i="7"/>
  <c r="CE270" i="7"/>
  <c r="CD270" i="7"/>
  <c r="CC270" i="7"/>
  <c r="CB270" i="7"/>
  <c r="CA270" i="7"/>
  <c r="BZ270" i="7"/>
  <c r="BY270" i="7"/>
  <c r="BX270" i="7"/>
  <c r="BW270" i="7"/>
  <c r="BV270" i="7"/>
  <c r="BU270" i="7"/>
  <c r="BT270" i="7"/>
  <c r="BS270" i="7"/>
  <c r="BR270" i="7"/>
  <c r="BQ270" i="7"/>
  <c r="BP270" i="7"/>
  <c r="BO270" i="7"/>
  <c r="BN270" i="7"/>
  <c r="BM270" i="7"/>
  <c r="BL270" i="7"/>
  <c r="BK270" i="7"/>
  <c r="BJ270" i="7"/>
  <c r="BI270" i="7"/>
  <c r="BH270" i="7"/>
  <c r="BG270" i="7"/>
  <c r="BF270" i="7"/>
  <c r="BE270" i="7"/>
  <c r="BD270" i="7"/>
  <c r="BC270" i="7"/>
  <c r="BB270" i="7"/>
  <c r="BA270" i="7"/>
  <c r="AZ270" i="7"/>
  <c r="AY270" i="7"/>
  <c r="AX270" i="7"/>
  <c r="AW270" i="7"/>
  <c r="AV270" i="7"/>
  <c r="AU270" i="7"/>
  <c r="AT270" i="7"/>
  <c r="AS270" i="7"/>
  <c r="AR270" i="7"/>
  <c r="AQ270" i="7"/>
  <c r="AP270" i="7"/>
  <c r="AO270" i="7"/>
  <c r="AN270" i="7"/>
  <c r="AM270" i="7"/>
  <c r="AL270" i="7"/>
  <c r="AK270" i="7"/>
  <c r="AJ270" i="7"/>
  <c r="AI270" i="7"/>
  <c r="AH270" i="7"/>
  <c r="AG270" i="7"/>
  <c r="AF270" i="7"/>
  <c r="AE270" i="7"/>
  <c r="AD270" i="7"/>
  <c r="AC270" i="7"/>
  <c r="AB270" i="7"/>
  <c r="AA270" i="7"/>
  <c r="Z270" i="7"/>
  <c r="Y270" i="7"/>
  <c r="X270" i="7"/>
  <c r="W270" i="7"/>
  <c r="V270" i="7"/>
  <c r="U270" i="7"/>
  <c r="T270" i="7"/>
  <c r="S270" i="7"/>
  <c r="R270" i="7"/>
  <c r="Q270" i="7"/>
  <c r="P270" i="7"/>
  <c r="O270" i="7"/>
  <c r="N270" i="7"/>
  <c r="M270" i="7"/>
  <c r="L270" i="7"/>
  <c r="K270" i="7"/>
  <c r="J270" i="7"/>
  <c r="I270" i="7"/>
  <c r="H270" i="7"/>
  <c r="G270" i="7"/>
  <c r="F270" i="7"/>
  <c r="E270" i="7"/>
  <c r="D270" i="7"/>
  <c r="C270" i="7"/>
  <c r="CG270" i="7" s="1"/>
  <c r="CF269" i="7"/>
  <c r="CE269" i="7"/>
  <c r="CD269" i="7"/>
  <c r="CC269" i="7"/>
  <c r="CB269" i="7"/>
  <c r="CA269" i="7"/>
  <c r="BZ269" i="7"/>
  <c r="BY269" i="7"/>
  <c r="BX269" i="7"/>
  <c r="BW269" i="7"/>
  <c r="BV269" i="7"/>
  <c r="BU269" i="7"/>
  <c r="BT269" i="7"/>
  <c r="BS269" i="7"/>
  <c r="BR269" i="7"/>
  <c r="BQ269" i="7"/>
  <c r="BP269" i="7"/>
  <c r="BO269" i="7"/>
  <c r="BN269" i="7"/>
  <c r="BM269" i="7"/>
  <c r="BL269" i="7"/>
  <c r="BK269" i="7"/>
  <c r="BJ269" i="7"/>
  <c r="BI269" i="7"/>
  <c r="BH269" i="7"/>
  <c r="BG269" i="7"/>
  <c r="BF269" i="7"/>
  <c r="BE269" i="7"/>
  <c r="BD269" i="7"/>
  <c r="BC269" i="7"/>
  <c r="BB269" i="7"/>
  <c r="BA269" i="7"/>
  <c r="AZ269" i="7"/>
  <c r="AY269" i="7"/>
  <c r="AX269" i="7"/>
  <c r="AW269" i="7"/>
  <c r="AV269" i="7"/>
  <c r="AU269" i="7"/>
  <c r="AT269" i="7"/>
  <c r="AS269" i="7"/>
  <c r="AR269" i="7"/>
  <c r="AQ269" i="7"/>
  <c r="AP269" i="7"/>
  <c r="AO269" i="7"/>
  <c r="AN269" i="7"/>
  <c r="AM269" i="7"/>
  <c r="AL269" i="7"/>
  <c r="AK269" i="7"/>
  <c r="AJ269" i="7"/>
  <c r="AI269" i="7"/>
  <c r="AH269" i="7"/>
  <c r="AG269" i="7"/>
  <c r="AF269" i="7"/>
  <c r="AE269" i="7"/>
  <c r="AD269" i="7"/>
  <c r="AC269" i="7"/>
  <c r="AB269" i="7"/>
  <c r="AA269" i="7"/>
  <c r="Z269" i="7"/>
  <c r="Y269" i="7"/>
  <c r="X269" i="7"/>
  <c r="W269" i="7"/>
  <c r="V269" i="7"/>
  <c r="U269" i="7"/>
  <c r="T269" i="7"/>
  <c r="S269" i="7"/>
  <c r="CG269" i="7" s="1"/>
  <c r="R269" i="7"/>
  <c r="Q269" i="7"/>
  <c r="P269" i="7"/>
  <c r="O269" i="7"/>
  <c r="N269" i="7"/>
  <c r="M269" i="7"/>
  <c r="L269" i="7"/>
  <c r="K269" i="7"/>
  <c r="J269" i="7"/>
  <c r="I269" i="7"/>
  <c r="H269" i="7"/>
  <c r="G269" i="7"/>
  <c r="F269" i="7"/>
  <c r="E269" i="7"/>
  <c r="D269" i="7"/>
  <c r="C269" i="7"/>
  <c r="CF268" i="7"/>
  <c r="CE268" i="7"/>
  <c r="CD268" i="7"/>
  <c r="CC268" i="7"/>
  <c r="CB268" i="7"/>
  <c r="CA268" i="7"/>
  <c r="BZ268" i="7"/>
  <c r="BY268" i="7"/>
  <c r="BX268" i="7"/>
  <c r="BW268" i="7"/>
  <c r="BV268" i="7"/>
  <c r="BU268" i="7"/>
  <c r="BT268" i="7"/>
  <c r="BS268" i="7"/>
  <c r="BR268" i="7"/>
  <c r="BQ268" i="7"/>
  <c r="BP268" i="7"/>
  <c r="BO268" i="7"/>
  <c r="BN268" i="7"/>
  <c r="BM268" i="7"/>
  <c r="BL268" i="7"/>
  <c r="BK268" i="7"/>
  <c r="BJ268" i="7"/>
  <c r="BI268" i="7"/>
  <c r="BH268" i="7"/>
  <c r="BG268" i="7"/>
  <c r="BF268" i="7"/>
  <c r="BE268" i="7"/>
  <c r="BD268" i="7"/>
  <c r="BC268" i="7"/>
  <c r="BB268" i="7"/>
  <c r="BA268" i="7"/>
  <c r="AZ268" i="7"/>
  <c r="AY268" i="7"/>
  <c r="AX268" i="7"/>
  <c r="AW268" i="7"/>
  <c r="AV268" i="7"/>
  <c r="AU268" i="7"/>
  <c r="AT268" i="7"/>
  <c r="AS268" i="7"/>
  <c r="AR268" i="7"/>
  <c r="AQ268" i="7"/>
  <c r="AP268" i="7"/>
  <c r="AO268" i="7"/>
  <c r="AN268" i="7"/>
  <c r="AM268" i="7"/>
  <c r="AL268" i="7"/>
  <c r="AK268" i="7"/>
  <c r="AJ268" i="7"/>
  <c r="AI268" i="7"/>
  <c r="AH268" i="7"/>
  <c r="AG268" i="7"/>
  <c r="AF268" i="7"/>
  <c r="AE268" i="7"/>
  <c r="AD268" i="7"/>
  <c r="AC268" i="7"/>
  <c r="AB268" i="7"/>
  <c r="AA268" i="7"/>
  <c r="Z268" i="7"/>
  <c r="Y268" i="7"/>
  <c r="X268" i="7"/>
  <c r="W268" i="7"/>
  <c r="V268" i="7"/>
  <c r="U268" i="7"/>
  <c r="T268" i="7"/>
  <c r="S268" i="7"/>
  <c r="R268" i="7"/>
  <c r="Q268" i="7"/>
  <c r="P268" i="7"/>
  <c r="O268" i="7"/>
  <c r="N268" i="7"/>
  <c r="M268" i="7"/>
  <c r="L268" i="7"/>
  <c r="K268" i="7"/>
  <c r="J268" i="7"/>
  <c r="I268" i="7"/>
  <c r="H268" i="7"/>
  <c r="G268" i="7"/>
  <c r="F268" i="7"/>
  <c r="E268" i="7"/>
  <c r="D268" i="7"/>
  <c r="C268" i="7"/>
  <c r="CG268" i="7" s="1"/>
  <c r="CF267" i="7"/>
  <c r="CE267" i="7"/>
  <c r="CD267" i="7"/>
  <c r="CC267" i="7"/>
  <c r="CB267" i="7"/>
  <c r="CA267" i="7"/>
  <c r="BZ267" i="7"/>
  <c r="BY267" i="7"/>
  <c r="BX267" i="7"/>
  <c r="BW267" i="7"/>
  <c r="BV267" i="7"/>
  <c r="BU267" i="7"/>
  <c r="BT267" i="7"/>
  <c r="BS267" i="7"/>
  <c r="BR267" i="7"/>
  <c r="BQ267" i="7"/>
  <c r="BP267" i="7"/>
  <c r="BO267" i="7"/>
  <c r="BN267" i="7"/>
  <c r="BM267" i="7"/>
  <c r="BL267" i="7"/>
  <c r="BK267" i="7"/>
  <c r="BJ267" i="7"/>
  <c r="BI267" i="7"/>
  <c r="BH267" i="7"/>
  <c r="BG267" i="7"/>
  <c r="BF267" i="7"/>
  <c r="BE267" i="7"/>
  <c r="BD267" i="7"/>
  <c r="BC267" i="7"/>
  <c r="BB267" i="7"/>
  <c r="BA267" i="7"/>
  <c r="AZ267" i="7"/>
  <c r="AY267" i="7"/>
  <c r="AX267" i="7"/>
  <c r="AW267" i="7"/>
  <c r="AV267" i="7"/>
  <c r="AU267" i="7"/>
  <c r="AT267" i="7"/>
  <c r="AS267" i="7"/>
  <c r="AR267" i="7"/>
  <c r="AQ267" i="7"/>
  <c r="AP267" i="7"/>
  <c r="AO267" i="7"/>
  <c r="AN267" i="7"/>
  <c r="AM267" i="7"/>
  <c r="AL267" i="7"/>
  <c r="AK267" i="7"/>
  <c r="AJ267" i="7"/>
  <c r="AI267" i="7"/>
  <c r="AH267" i="7"/>
  <c r="AG267" i="7"/>
  <c r="AF267" i="7"/>
  <c r="AE267" i="7"/>
  <c r="AD267" i="7"/>
  <c r="AC267" i="7"/>
  <c r="AB267" i="7"/>
  <c r="AA267" i="7"/>
  <c r="Z267" i="7"/>
  <c r="Y267" i="7"/>
  <c r="X267" i="7"/>
  <c r="W267" i="7"/>
  <c r="V267" i="7"/>
  <c r="U267" i="7"/>
  <c r="T267" i="7"/>
  <c r="S267" i="7"/>
  <c r="R267" i="7"/>
  <c r="Q267" i="7"/>
  <c r="P267" i="7"/>
  <c r="O267" i="7"/>
  <c r="N267" i="7"/>
  <c r="M267" i="7"/>
  <c r="L267" i="7"/>
  <c r="K267" i="7"/>
  <c r="J267" i="7"/>
  <c r="I267" i="7"/>
  <c r="H267" i="7"/>
  <c r="G267" i="7"/>
  <c r="F267" i="7"/>
  <c r="E267" i="7"/>
  <c r="D267" i="7"/>
  <c r="C267" i="7"/>
  <c r="CG267" i="7" s="1"/>
  <c r="CF266" i="7"/>
  <c r="CE266" i="7"/>
  <c r="CD266" i="7"/>
  <c r="CC266" i="7"/>
  <c r="CB266" i="7"/>
  <c r="CA266" i="7"/>
  <c r="BZ266" i="7"/>
  <c r="BY266" i="7"/>
  <c r="BX266" i="7"/>
  <c r="BW266" i="7"/>
  <c r="BV266" i="7"/>
  <c r="BU266" i="7"/>
  <c r="BT266" i="7"/>
  <c r="BS266" i="7"/>
  <c r="BR266" i="7"/>
  <c r="BQ266" i="7"/>
  <c r="BP266" i="7"/>
  <c r="BO266" i="7"/>
  <c r="BN266" i="7"/>
  <c r="BM266" i="7"/>
  <c r="BL266" i="7"/>
  <c r="BK266" i="7"/>
  <c r="BJ266" i="7"/>
  <c r="BI266" i="7"/>
  <c r="BH266" i="7"/>
  <c r="BG266" i="7"/>
  <c r="BF266" i="7"/>
  <c r="BE266" i="7"/>
  <c r="BD266" i="7"/>
  <c r="BC266" i="7"/>
  <c r="BB266" i="7"/>
  <c r="BA266" i="7"/>
  <c r="AZ266" i="7"/>
  <c r="AY266" i="7"/>
  <c r="AX266" i="7"/>
  <c r="AW266" i="7"/>
  <c r="AV266" i="7"/>
  <c r="AU266" i="7"/>
  <c r="AT266" i="7"/>
  <c r="AS266" i="7"/>
  <c r="AR266" i="7"/>
  <c r="AQ266" i="7"/>
  <c r="AP266" i="7"/>
  <c r="AO266" i="7"/>
  <c r="AN266" i="7"/>
  <c r="AM266" i="7"/>
  <c r="AL266" i="7"/>
  <c r="AK266" i="7"/>
  <c r="AJ266" i="7"/>
  <c r="AI266" i="7"/>
  <c r="AH266" i="7"/>
  <c r="AG266" i="7"/>
  <c r="AF266" i="7"/>
  <c r="AE266" i="7"/>
  <c r="AD266" i="7"/>
  <c r="AC266" i="7"/>
  <c r="AB266" i="7"/>
  <c r="AA266" i="7"/>
  <c r="Z266" i="7"/>
  <c r="Y266" i="7"/>
  <c r="X266" i="7"/>
  <c r="W266" i="7"/>
  <c r="V266" i="7"/>
  <c r="U266" i="7"/>
  <c r="T266" i="7"/>
  <c r="S266" i="7"/>
  <c r="R266" i="7"/>
  <c r="Q266" i="7"/>
  <c r="P266" i="7"/>
  <c r="O266" i="7"/>
  <c r="N266" i="7"/>
  <c r="M266" i="7"/>
  <c r="L266" i="7"/>
  <c r="K266" i="7"/>
  <c r="J266" i="7"/>
  <c r="I266" i="7"/>
  <c r="H266" i="7"/>
  <c r="G266" i="7"/>
  <c r="F266" i="7"/>
  <c r="E266" i="7"/>
  <c r="D266" i="7"/>
  <c r="C266" i="7"/>
  <c r="CF265" i="7"/>
  <c r="CE265" i="7"/>
  <c r="CD265" i="7"/>
  <c r="CC265" i="7"/>
  <c r="CB265" i="7"/>
  <c r="CA265" i="7"/>
  <c r="BZ265" i="7"/>
  <c r="BY265" i="7"/>
  <c r="BX265" i="7"/>
  <c r="BW265" i="7"/>
  <c r="BV265" i="7"/>
  <c r="BU265" i="7"/>
  <c r="BT265" i="7"/>
  <c r="BS265" i="7"/>
  <c r="BR265" i="7"/>
  <c r="BQ265" i="7"/>
  <c r="BP265" i="7"/>
  <c r="BO265" i="7"/>
  <c r="BN265" i="7"/>
  <c r="BM265" i="7"/>
  <c r="BL265" i="7"/>
  <c r="BK265" i="7"/>
  <c r="BJ265" i="7"/>
  <c r="BI265" i="7"/>
  <c r="BH265" i="7"/>
  <c r="BG265" i="7"/>
  <c r="BF265" i="7"/>
  <c r="BE265" i="7"/>
  <c r="BD265" i="7"/>
  <c r="BC265" i="7"/>
  <c r="BB265" i="7"/>
  <c r="BA265" i="7"/>
  <c r="AZ265" i="7"/>
  <c r="AY265" i="7"/>
  <c r="AX265" i="7"/>
  <c r="AW265" i="7"/>
  <c r="AV265" i="7"/>
  <c r="AU265" i="7"/>
  <c r="AT265" i="7"/>
  <c r="AS265" i="7"/>
  <c r="AR265" i="7"/>
  <c r="AQ265" i="7"/>
  <c r="AP265" i="7"/>
  <c r="AO265" i="7"/>
  <c r="AN265" i="7"/>
  <c r="AM265" i="7"/>
  <c r="AL265" i="7"/>
  <c r="AK265" i="7"/>
  <c r="AJ265" i="7"/>
  <c r="AI265" i="7"/>
  <c r="AH265" i="7"/>
  <c r="AG265" i="7"/>
  <c r="AF265" i="7"/>
  <c r="AE265" i="7"/>
  <c r="AD265" i="7"/>
  <c r="AC265" i="7"/>
  <c r="AB265" i="7"/>
  <c r="AA265" i="7"/>
  <c r="Z265" i="7"/>
  <c r="Y265" i="7"/>
  <c r="X265" i="7"/>
  <c r="W265" i="7"/>
  <c r="V265" i="7"/>
  <c r="U265" i="7"/>
  <c r="T265" i="7"/>
  <c r="S265" i="7"/>
  <c r="R265" i="7"/>
  <c r="Q265" i="7"/>
  <c r="P265" i="7"/>
  <c r="O265" i="7"/>
  <c r="N265" i="7"/>
  <c r="M265" i="7"/>
  <c r="L265" i="7"/>
  <c r="K265" i="7"/>
  <c r="J265" i="7"/>
  <c r="I265" i="7"/>
  <c r="H265" i="7"/>
  <c r="G265" i="7"/>
  <c r="F265" i="7"/>
  <c r="E265" i="7"/>
  <c r="D265" i="7"/>
  <c r="C265" i="7"/>
  <c r="CG265" i="7" s="1"/>
  <c r="CF264" i="7"/>
  <c r="CE264" i="7"/>
  <c r="CD264" i="7"/>
  <c r="CC264" i="7"/>
  <c r="CB264" i="7"/>
  <c r="CA264" i="7"/>
  <c r="BZ264" i="7"/>
  <c r="BY264" i="7"/>
  <c r="BX264" i="7"/>
  <c r="BW264" i="7"/>
  <c r="BV264" i="7"/>
  <c r="BU264" i="7"/>
  <c r="BT264" i="7"/>
  <c r="BS264" i="7"/>
  <c r="BR264" i="7"/>
  <c r="BQ264" i="7"/>
  <c r="BP264" i="7"/>
  <c r="BO264" i="7"/>
  <c r="BN264" i="7"/>
  <c r="BM264" i="7"/>
  <c r="BL264" i="7"/>
  <c r="BK264" i="7"/>
  <c r="BJ264" i="7"/>
  <c r="BI264" i="7"/>
  <c r="BH264" i="7"/>
  <c r="BG264" i="7"/>
  <c r="BF264" i="7"/>
  <c r="BE264" i="7"/>
  <c r="BD264" i="7"/>
  <c r="BC264" i="7"/>
  <c r="BB264" i="7"/>
  <c r="BA264" i="7"/>
  <c r="AZ264" i="7"/>
  <c r="AY264" i="7"/>
  <c r="AX264" i="7"/>
  <c r="AW264" i="7"/>
  <c r="AV264" i="7"/>
  <c r="AU264" i="7"/>
  <c r="AT264" i="7"/>
  <c r="AS264" i="7"/>
  <c r="AR264" i="7"/>
  <c r="AQ264" i="7"/>
  <c r="AP264" i="7"/>
  <c r="AO264" i="7"/>
  <c r="AN264" i="7"/>
  <c r="AM264" i="7"/>
  <c r="AL264" i="7"/>
  <c r="AK264" i="7"/>
  <c r="AJ264" i="7"/>
  <c r="AI264" i="7"/>
  <c r="AH264" i="7"/>
  <c r="AG264" i="7"/>
  <c r="AF264" i="7"/>
  <c r="AE264" i="7"/>
  <c r="AD264" i="7"/>
  <c r="AC264" i="7"/>
  <c r="AB264" i="7"/>
  <c r="AA264" i="7"/>
  <c r="Z264" i="7"/>
  <c r="Y264" i="7"/>
  <c r="X264" i="7"/>
  <c r="W264" i="7"/>
  <c r="V264" i="7"/>
  <c r="U264" i="7"/>
  <c r="T264" i="7"/>
  <c r="S264" i="7"/>
  <c r="R264" i="7"/>
  <c r="Q264" i="7"/>
  <c r="P264" i="7"/>
  <c r="O264" i="7"/>
  <c r="N264" i="7"/>
  <c r="M264" i="7"/>
  <c r="L264" i="7"/>
  <c r="K264" i="7"/>
  <c r="J264" i="7"/>
  <c r="I264" i="7"/>
  <c r="H264" i="7"/>
  <c r="G264" i="7"/>
  <c r="F264" i="7"/>
  <c r="E264" i="7"/>
  <c r="CG264" i="7" s="1"/>
  <c r="D264" i="7"/>
  <c r="C264" i="7"/>
  <c r="CF263" i="7"/>
  <c r="CE263" i="7"/>
  <c r="CD263" i="7"/>
  <c r="CC263" i="7"/>
  <c r="CB263" i="7"/>
  <c r="CA263" i="7"/>
  <c r="BZ263" i="7"/>
  <c r="BY263" i="7"/>
  <c r="BX263" i="7"/>
  <c r="BW263" i="7"/>
  <c r="BV263" i="7"/>
  <c r="BU263" i="7"/>
  <c r="BT263" i="7"/>
  <c r="BS263" i="7"/>
  <c r="BR263" i="7"/>
  <c r="BQ263" i="7"/>
  <c r="BP263" i="7"/>
  <c r="BO263" i="7"/>
  <c r="BN263" i="7"/>
  <c r="BM263" i="7"/>
  <c r="BL263" i="7"/>
  <c r="BK263" i="7"/>
  <c r="BJ263" i="7"/>
  <c r="BI263" i="7"/>
  <c r="BH263" i="7"/>
  <c r="BG263" i="7"/>
  <c r="BF263" i="7"/>
  <c r="BE263" i="7"/>
  <c r="BD263" i="7"/>
  <c r="BC263" i="7"/>
  <c r="BB263" i="7"/>
  <c r="BA263" i="7"/>
  <c r="AZ263" i="7"/>
  <c r="AY263" i="7"/>
  <c r="AX263" i="7"/>
  <c r="AW263" i="7"/>
  <c r="AV263" i="7"/>
  <c r="AU263" i="7"/>
  <c r="AT263" i="7"/>
  <c r="AS263" i="7"/>
  <c r="AR263" i="7"/>
  <c r="AQ263" i="7"/>
  <c r="AP263" i="7"/>
  <c r="AO263" i="7"/>
  <c r="AN263" i="7"/>
  <c r="AM263" i="7"/>
  <c r="AL263" i="7"/>
  <c r="AK263" i="7"/>
  <c r="AJ263" i="7"/>
  <c r="AI263" i="7"/>
  <c r="AH263" i="7"/>
  <c r="AG263" i="7"/>
  <c r="AF263" i="7"/>
  <c r="AE263" i="7"/>
  <c r="AD263" i="7"/>
  <c r="AC263" i="7"/>
  <c r="AB263" i="7"/>
  <c r="AA263" i="7"/>
  <c r="Z263" i="7"/>
  <c r="Y263" i="7"/>
  <c r="X263" i="7"/>
  <c r="W263" i="7"/>
  <c r="V263" i="7"/>
  <c r="U263" i="7"/>
  <c r="T263" i="7"/>
  <c r="S263" i="7"/>
  <c r="R263" i="7"/>
  <c r="Q263" i="7"/>
  <c r="P263" i="7"/>
  <c r="O263" i="7"/>
  <c r="N263" i="7"/>
  <c r="M263" i="7"/>
  <c r="L263" i="7"/>
  <c r="K263" i="7"/>
  <c r="J263" i="7"/>
  <c r="I263" i="7"/>
  <c r="H263" i="7"/>
  <c r="G263" i="7"/>
  <c r="F263" i="7"/>
  <c r="E263" i="7"/>
  <c r="D263" i="7"/>
  <c r="C263" i="7"/>
  <c r="CG263" i="7" s="1"/>
  <c r="CF262" i="7"/>
  <c r="CE262" i="7"/>
  <c r="CD262" i="7"/>
  <c r="CC262" i="7"/>
  <c r="CB262" i="7"/>
  <c r="CA262" i="7"/>
  <c r="BZ262" i="7"/>
  <c r="BY262" i="7"/>
  <c r="BX262" i="7"/>
  <c r="BW262" i="7"/>
  <c r="BV262" i="7"/>
  <c r="BU262" i="7"/>
  <c r="BT262" i="7"/>
  <c r="BS262" i="7"/>
  <c r="BR262" i="7"/>
  <c r="BQ262" i="7"/>
  <c r="BP262" i="7"/>
  <c r="BO262" i="7"/>
  <c r="BN262" i="7"/>
  <c r="BM262" i="7"/>
  <c r="BL262" i="7"/>
  <c r="BK262" i="7"/>
  <c r="BJ262" i="7"/>
  <c r="BI262" i="7"/>
  <c r="BH262" i="7"/>
  <c r="BG262" i="7"/>
  <c r="BF262" i="7"/>
  <c r="BE262" i="7"/>
  <c r="BD262" i="7"/>
  <c r="BC262" i="7"/>
  <c r="BB262" i="7"/>
  <c r="BA262" i="7"/>
  <c r="AZ262" i="7"/>
  <c r="AY262" i="7"/>
  <c r="AX262" i="7"/>
  <c r="AW262" i="7"/>
  <c r="AV262" i="7"/>
  <c r="AU262" i="7"/>
  <c r="AT262" i="7"/>
  <c r="AS262" i="7"/>
  <c r="AR262" i="7"/>
  <c r="AQ262" i="7"/>
  <c r="AP262" i="7"/>
  <c r="AO262" i="7"/>
  <c r="AN262" i="7"/>
  <c r="AM262" i="7"/>
  <c r="AL262" i="7"/>
  <c r="AK262" i="7"/>
  <c r="AJ262" i="7"/>
  <c r="AI262" i="7"/>
  <c r="AH262" i="7"/>
  <c r="AG262" i="7"/>
  <c r="AF262" i="7"/>
  <c r="AE262" i="7"/>
  <c r="AD262" i="7"/>
  <c r="AC262" i="7"/>
  <c r="AB262" i="7"/>
  <c r="AA262" i="7"/>
  <c r="Z262" i="7"/>
  <c r="Y262" i="7"/>
  <c r="X262" i="7"/>
  <c r="W262" i="7"/>
  <c r="V262" i="7"/>
  <c r="U262" i="7"/>
  <c r="T262" i="7"/>
  <c r="S262" i="7"/>
  <c r="R262" i="7"/>
  <c r="Q262" i="7"/>
  <c r="P262" i="7"/>
  <c r="O262" i="7"/>
  <c r="N262" i="7"/>
  <c r="M262" i="7"/>
  <c r="L262" i="7"/>
  <c r="K262" i="7"/>
  <c r="J262" i="7"/>
  <c r="I262" i="7"/>
  <c r="H262" i="7"/>
  <c r="G262" i="7"/>
  <c r="F262" i="7"/>
  <c r="E262" i="7"/>
  <c r="D262" i="7"/>
  <c r="C262" i="7"/>
  <c r="CG262" i="7" s="1"/>
  <c r="CF261" i="7"/>
  <c r="CE261" i="7"/>
  <c r="CD261" i="7"/>
  <c r="CC261" i="7"/>
  <c r="CB261" i="7"/>
  <c r="CA261" i="7"/>
  <c r="BZ261" i="7"/>
  <c r="BY261" i="7"/>
  <c r="BX261" i="7"/>
  <c r="BW261" i="7"/>
  <c r="BV261" i="7"/>
  <c r="BU261" i="7"/>
  <c r="BT261" i="7"/>
  <c r="BS261" i="7"/>
  <c r="BR261" i="7"/>
  <c r="BQ261" i="7"/>
  <c r="BP261" i="7"/>
  <c r="BO261" i="7"/>
  <c r="BN261" i="7"/>
  <c r="BM261" i="7"/>
  <c r="BL261" i="7"/>
  <c r="BK261" i="7"/>
  <c r="BJ261" i="7"/>
  <c r="BI261" i="7"/>
  <c r="BH261" i="7"/>
  <c r="BG261" i="7"/>
  <c r="BF261" i="7"/>
  <c r="BE261" i="7"/>
  <c r="BD261" i="7"/>
  <c r="BC261" i="7"/>
  <c r="BB261" i="7"/>
  <c r="BA261" i="7"/>
  <c r="AZ261" i="7"/>
  <c r="AY261" i="7"/>
  <c r="AX261" i="7"/>
  <c r="AW261" i="7"/>
  <c r="AV261" i="7"/>
  <c r="AU261" i="7"/>
  <c r="AT261" i="7"/>
  <c r="AS261" i="7"/>
  <c r="AR261" i="7"/>
  <c r="AQ261" i="7"/>
  <c r="AP261" i="7"/>
  <c r="AO261" i="7"/>
  <c r="AN261" i="7"/>
  <c r="AM261" i="7"/>
  <c r="AL261" i="7"/>
  <c r="AK261" i="7"/>
  <c r="AJ261" i="7"/>
  <c r="AI261" i="7"/>
  <c r="AH261" i="7"/>
  <c r="AG261" i="7"/>
  <c r="AF261" i="7"/>
  <c r="AE261" i="7"/>
  <c r="AD261" i="7"/>
  <c r="AC261" i="7"/>
  <c r="AB261" i="7"/>
  <c r="AA261" i="7"/>
  <c r="Z261" i="7"/>
  <c r="Y261" i="7"/>
  <c r="X261" i="7"/>
  <c r="W261" i="7"/>
  <c r="V261" i="7"/>
  <c r="U261" i="7"/>
  <c r="T261" i="7"/>
  <c r="S261" i="7"/>
  <c r="R261" i="7"/>
  <c r="Q261" i="7"/>
  <c r="P261" i="7"/>
  <c r="O261" i="7"/>
  <c r="N261" i="7"/>
  <c r="M261" i="7"/>
  <c r="L261" i="7"/>
  <c r="K261" i="7"/>
  <c r="J261" i="7"/>
  <c r="I261" i="7"/>
  <c r="H261" i="7"/>
  <c r="G261" i="7"/>
  <c r="F261" i="7"/>
  <c r="E261" i="7"/>
  <c r="CG261" i="7" s="1"/>
  <c r="D261" i="7"/>
  <c r="C261" i="7"/>
  <c r="CF260" i="7"/>
  <c r="CE260" i="7"/>
  <c r="CD260" i="7"/>
  <c r="CC260" i="7"/>
  <c r="CB260" i="7"/>
  <c r="CA260" i="7"/>
  <c r="BZ260" i="7"/>
  <c r="BY260" i="7"/>
  <c r="BX260" i="7"/>
  <c r="BW260" i="7"/>
  <c r="BV260" i="7"/>
  <c r="BU260" i="7"/>
  <c r="BT260" i="7"/>
  <c r="BS260" i="7"/>
  <c r="BR260" i="7"/>
  <c r="BQ260" i="7"/>
  <c r="BP260" i="7"/>
  <c r="BO260" i="7"/>
  <c r="BN260" i="7"/>
  <c r="BM260" i="7"/>
  <c r="BL260" i="7"/>
  <c r="BK260" i="7"/>
  <c r="BJ260" i="7"/>
  <c r="BI260" i="7"/>
  <c r="BH260" i="7"/>
  <c r="BG260" i="7"/>
  <c r="BF260" i="7"/>
  <c r="BE260" i="7"/>
  <c r="BD260" i="7"/>
  <c r="BC260" i="7"/>
  <c r="BB260" i="7"/>
  <c r="BA260" i="7"/>
  <c r="AZ260" i="7"/>
  <c r="AY260" i="7"/>
  <c r="AX260" i="7"/>
  <c r="AW260" i="7"/>
  <c r="AV260" i="7"/>
  <c r="AU260" i="7"/>
  <c r="AT260" i="7"/>
  <c r="AS260" i="7"/>
  <c r="AR260" i="7"/>
  <c r="AQ260" i="7"/>
  <c r="AP260" i="7"/>
  <c r="AO260" i="7"/>
  <c r="AN260" i="7"/>
  <c r="AM260" i="7"/>
  <c r="AL260" i="7"/>
  <c r="AK260" i="7"/>
  <c r="AJ260" i="7"/>
  <c r="AI260" i="7"/>
  <c r="AH260" i="7"/>
  <c r="AG260" i="7"/>
  <c r="AF260" i="7"/>
  <c r="AE260" i="7"/>
  <c r="AD260" i="7"/>
  <c r="AC260" i="7"/>
  <c r="AB260" i="7"/>
  <c r="AA260" i="7"/>
  <c r="Z260" i="7"/>
  <c r="Y260" i="7"/>
  <c r="X260" i="7"/>
  <c r="W260" i="7"/>
  <c r="V260" i="7"/>
  <c r="U260" i="7"/>
  <c r="T260" i="7"/>
  <c r="S260" i="7"/>
  <c r="R260" i="7"/>
  <c r="Q260" i="7"/>
  <c r="P260" i="7"/>
  <c r="O260" i="7"/>
  <c r="N260" i="7"/>
  <c r="M260" i="7"/>
  <c r="L260" i="7"/>
  <c r="K260" i="7"/>
  <c r="J260" i="7"/>
  <c r="I260" i="7"/>
  <c r="H260" i="7"/>
  <c r="G260" i="7"/>
  <c r="F260" i="7"/>
  <c r="E260" i="7"/>
  <c r="D260" i="7"/>
  <c r="C260" i="7"/>
  <c r="CF259" i="7"/>
  <c r="CE259" i="7"/>
  <c r="CD259" i="7"/>
  <c r="CC259" i="7"/>
  <c r="CB259" i="7"/>
  <c r="CA259" i="7"/>
  <c r="BZ259" i="7"/>
  <c r="BY259" i="7"/>
  <c r="BX259" i="7"/>
  <c r="BW259" i="7"/>
  <c r="BV259" i="7"/>
  <c r="BU259" i="7"/>
  <c r="BT259" i="7"/>
  <c r="BS259" i="7"/>
  <c r="BR259" i="7"/>
  <c r="BQ259" i="7"/>
  <c r="BP259" i="7"/>
  <c r="BO259" i="7"/>
  <c r="BN259" i="7"/>
  <c r="BM259" i="7"/>
  <c r="BL259" i="7"/>
  <c r="BK259" i="7"/>
  <c r="BJ259" i="7"/>
  <c r="BI259" i="7"/>
  <c r="BH259" i="7"/>
  <c r="BG259" i="7"/>
  <c r="BF259" i="7"/>
  <c r="BE259" i="7"/>
  <c r="BD259" i="7"/>
  <c r="BC259" i="7"/>
  <c r="BB259" i="7"/>
  <c r="BA259" i="7"/>
  <c r="AZ259" i="7"/>
  <c r="AY259" i="7"/>
  <c r="AX259" i="7"/>
  <c r="AW259" i="7"/>
  <c r="AV259" i="7"/>
  <c r="AU259" i="7"/>
  <c r="AT259" i="7"/>
  <c r="AS259" i="7"/>
  <c r="AR259" i="7"/>
  <c r="AQ259" i="7"/>
  <c r="AP259" i="7"/>
  <c r="AO259" i="7"/>
  <c r="AN259" i="7"/>
  <c r="AM259" i="7"/>
  <c r="AL259" i="7"/>
  <c r="AK259" i="7"/>
  <c r="AJ259" i="7"/>
  <c r="AI259" i="7"/>
  <c r="AH259" i="7"/>
  <c r="AG259" i="7"/>
  <c r="AF259" i="7"/>
  <c r="AE259" i="7"/>
  <c r="AD259" i="7"/>
  <c r="AC259" i="7"/>
  <c r="AB259" i="7"/>
  <c r="AA259" i="7"/>
  <c r="Z259" i="7"/>
  <c r="Y259" i="7"/>
  <c r="X259" i="7"/>
  <c r="W259" i="7"/>
  <c r="V259" i="7"/>
  <c r="U259" i="7"/>
  <c r="T259" i="7"/>
  <c r="S259" i="7"/>
  <c r="R259" i="7"/>
  <c r="Q259" i="7"/>
  <c r="P259" i="7"/>
  <c r="O259" i="7"/>
  <c r="N259" i="7"/>
  <c r="M259" i="7"/>
  <c r="L259" i="7"/>
  <c r="K259" i="7"/>
  <c r="J259" i="7"/>
  <c r="I259" i="7"/>
  <c r="H259" i="7"/>
  <c r="G259" i="7"/>
  <c r="F259" i="7"/>
  <c r="E259" i="7"/>
  <c r="D259" i="7"/>
  <c r="C259" i="7"/>
  <c r="CF258" i="7"/>
  <c r="CE258" i="7"/>
  <c r="CD258" i="7"/>
  <c r="CC258" i="7"/>
  <c r="CB258" i="7"/>
  <c r="CA258" i="7"/>
  <c r="BZ258" i="7"/>
  <c r="BY258" i="7"/>
  <c r="BX258" i="7"/>
  <c r="BW258" i="7"/>
  <c r="BV258" i="7"/>
  <c r="BU258" i="7"/>
  <c r="BT258" i="7"/>
  <c r="BS258" i="7"/>
  <c r="BR258" i="7"/>
  <c r="BQ258" i="7"/>
  <c r="BP258" i="7"/>
  <c r="BO258" i="7"/>
  <c r="BN258" i="7"/>
  <c r="BM258" i="7"/>
  <c r="BL258" i="7"/>
  <c r="BK258" i="7"/>
  <c r="BJ258" i="7"/>
  <c r="BI258" i="7"/>
  <c r="BH258" i="7"/>
  <c r="BG258" i="7"/>
  <c r="BF258" i="7"/>
  <c r="BE258" i="7"/>
  <c r="BD258" i="7"/>
  <c r="BC258" i="7"/>
  <c r="BB258" i="7"/>
  <c r="BA258" i="7"/>
  <c r="AZ258" i="7"/>
  <c r="AY258" i="7"/>
  <c r="AX258" i="7"/>
  <c r="AW258" i="7"/>
  <c r="AV258" i="7"/>
  <c r="AU258" i="7"/>
  <c r="AT258" i="7"/>
  <c r="AS258" i="7"/>
  <c r="AR258" i="7"/>
  <c r="AQ258" i="7"/>
  <c r="AP258" i="7"/>
  <c r="AO258" i="7"/>
  <c r="AN258" i="7"/>
  <c r="AM258" i="7"/>
  <c r="AL258" i="7"/>
  <c r="AK258" i="7"/>
  <c r="AJ258" i="7"/>
  <c r="AI258" i="7"/>
  <c r="AH258" i="7"/>
  <c r="AG258" i="7"/>
  <c r="AF258" i="7"/>
  <c r="AE258" i="7"/>
  <c r="AD258" i="7"/>
  <c r="AC258" i="7"/>
  <c r="AB258" i="7"/>
  <c r="AA258" i="7"/>
  <c r="Z258" i="7"/>
  <c r="Y258" i="7"/>
  <c r="X258" i="7"/>
  <c r="W258" i="7"/>
  <c r="V258" i="7"/>
  <c r="U258" i="7"/>
  <c r="T258" i="7"/>
  <c r="S258" i="7"/>
  <c r="R258" i="7"/>
  <c r="Q258" i="7"/>
  <c r="P258" i="7"/>
  <c r="O258" i="7"/>
  <c r="N258" i="7"/>
  <c r="M258" i="7"/>
  <c r="L258" i="7"/>
  <c r="K258" i="7"/>
  <c r="J258" i="7"/>
  <c r="I258" i="7"/>
  <c r="H258" i="7"/>
  <c r="G258" i="7"/>
  <c r="F258" i="7"/>
  <c r="E258" i="7"/>
  <c r="D258" i="7"/>
  <c r="C258" i="7"/>
  <c r="CG258" i="7" s="1"/>
  <c r="CF257" i="7"/>
  <c r="CE257" i="7"/>
  <c r="CD257" i="7"/>
  <c r="CC257" i="7"/>
  <c r="CB257" i="7"/>
  <c r="CA257" i="7"/>
  <c r="BZ257" i="7"/>
  <c r="BY257" i="7"/>
  <c r="BX257" i="7"/>
  <c r="BW257" i="7"/>
  <c r="BV257" i="7"/>
  <c r="BU257" i="7"/>
  <c r="BT257" i="7"/>
  <c r="BS257" i="7"/>
  <c r="BR257" i="7"/>
  <c r="BQ257" i="7"/>
  <c r="BP257" i="7"/>
  <c r="BO257" i="7"/>
  <c r="BN257" i="7"/>
  <c r="BM257" i="7"/>
  <c r="BL257" i="7"/>
  <c r="BK257" i="7"/>
  <c r="BJ257" i="7"/>
  <c r="BI257" i="7"/>
  <c r="BH257" i="7"/>
  <c r="BG257" i="7"/>
  <c r="BF257" i="7"/>
  <c r="BE257" i="7"/>
  <c r="BD257" i="7"/>
  <c r="BC257" i="7"/>
  <c r="BB257" i="7"/>
  <c r="BA257" i="7"/>
  <c r="AZ257" i="7"/>
  <c r="AY257" i="7"/>
  <c r="AX257" i="7"/>
  <c r="AW257" i="7"/>
  <c r="AV257" i="7"/>
  <c r="AU257" i="7"/>
  <c r="AT257" i="7"/>
  <c r="AS257" i="7"/>
  <c r="AR257" i="7"/>
  <c r="AQ257" i="7"/>
  <c r="AP257" i="7"/>
  <c r="AO257" i="7"/>
  <c r="AN257" i="7"/>
  <c r="AM257" i="7"/>
  <c r="AL257" i="7"/>
  <c r="AK257" i="7"/>
  <c r="AJ257" i="7"/>
  <c r="AI257" i="7"/>
  <c r="AH257" i="7"/>
  <c r="AG257" i="7"/>
  <c r="AF257" i="7"/>
  <c r="AE257" i="7"/>
  <c r="AD257" i="7"/>
  <c r="AC257" i="7"/>
  <c r="AB257" i="7"/>
  <c r="AA257" i="7"/>
  <c r="Z257" i="7"/>
  <c r="Y257" i="7"/>
  <c r="X257" i="7"/>
  <c r="W257" i="7"/>
  <c r="V257" i="7"/>
  <c r="U257" i="7"/>
  <c r="T257" i="7"/>
  <c r="S257" i="7"/>
  <c r="R257" i="7"/>
  <c r="Q257" i="7"/>
  <c r="P257" i="7"/>
  <c r="O257" i="7"/>
  <c r="N257" i="7"/>
  <c r="M257" i="7"/>
  <c r="L257" i="7"/>
  <c r="K257" i="7"/>
  <c r="J257" i="7"/>
  <c r="I257" i="7"/>
  <c r="H257" i="7"/>
  <c r="G257" i="7"/>
  <c r="F257" i="7"/>
  <c r="E257" i="7"/>
  <c r="D257" i="7"/>
  <c r="C257" i="7"/>
  <c r="CG257" i="7" s="1"/>
  <c r="CF256" i="7"/>
  <c r="CE256" i="7"/>
  <c r="CD256" i="7"/>
  <c r="CC256" i="7"/>
  <c r="CB256" i="7"/>
  <c r="CA256" i="7"/>
  <c r="BZ256" i="7"/>
  <c r="BY256" i="7"/>
  <c r="BX256" i="7"/>
  <c r="BW256" i="7"/>
  <c r="BV256" i="7"/>
  <c r="BU256" i="7"/>
  <c r="BT256" i="7"/>
  <c r="BS256" i="7"/>
  <c r="BR256" i="7"/>
  <c r="BQ256" i="7"/>
  <c r="BP256" i="7"/>
  <c r="BO256" i="7"/>
  <c r="BN256" i="7"/>
  <c r="BM256" i="7"/>
  <c r="BL256" i="7"/>
  <c r="BK256" i="7"/>
  <c r="BJ256" i="7"/>
  <c r="BI256" i="7"/>
  <c r="BH256" i="7"/>
  <c r="BG256" i="7"/>
  <c r="BF256" i="7"/>
  <c r="BE256" i="7"/>
  <c r="BD256" i="7"/>
  <c r="BC256" i="7"/>
  <c r="BB256" i="7"/>
  <c r="BA256" i="7"/>
  <c r="AZ256" i="7"/>
  <c r="AY256" i="7"/>
  <c r="AX256" i="7"/>
  <c r="AW256" i="7"/>
  <c r="AV256" i="7"/>
  <c r="AU256" i="7"/>
  <c r="AT256" i="7"/>
  <c r="AS256" i="7"/>
  <c r="AR256" i="7"/>
  <c r="AQ256" i="7"/>
  <c r="AP256" i="7"/>
  <c r="AO256" i="7"/>
  <c r="AN256" i="7"/>
  <c r="AM256" i="7"/>
  <c r="AL256" i="7"/>
  <c r="AK256" i="7"/>
  <c r="AJ256" i="7"/>
  <c r="AI256" i="7"/>
  <c r="AH256" i="7"/>
  <c r="AG256" i="7"/>
  <c r="AF256" i="7"/>
  <c r="AE256" i="7"/>
  <c r="AD256" i="7"/>
  <c r="AC256" i="7"/>
  <c r="AB256" i="7"/>
  <c r="AA256" i="7"/>
  <c r="Z256" i="7"/>
  <c r="Y256" i="7"/>
  <c r="X256" i="7"/>
  <c r="W256" i="7"/>
  <c r="V256" i="7"/>
  <c r="U256" i="7"/>
  <c r="T256" i="7"/>
  <c r="S256" i="7"/>
  <c r="R256" i="7"/>
  <c r="Q256" i="7"/>
  <c r="P256" i="7"/>
  <c r="O256" i="7"/>
  <c r="N256" i="7"/>
  <c r="M256" i="7"/>
  <c r="L256" i="7"/>
  <c r="K256" i="7"/>
  <c r="J256" i="7"/>
  <c r="I256" i="7"/>
  <c r="H256" i="7"/>
  <c r="G256" i="7"/>
  <c r="F256" i="7"/>
  <c r="E256" i="7"/>
  <c r="D256" i="7"/>
  <c r="C256" i="7"/>
  <c r="CF255" i="7"/>
  <c r="CE255" i="7"/>
  <c r="CD255" i="7"/>
  <c r="CC255" i="7"/>
  <c r="CB255" i="7"/>
  <c r="CA255" i="7"/>
  <c r="BZ255" i="7"/>
  <c r="BY255" i="7"/>
  <c r="BX255" i="7"/>
  <c r="BW255" i="7"/>
  <c r="BV255" i="7"/>
  <c r="BU255" i="7"/>
  <c r="BT255" i="7"/>
  <c r="BS255" i="7"/>
  <c r="BR255" i="7"/>
  <c r="BQ255" i="7"/>
  <c r="BP255" i="7"/>
  <c r="BO255" i="7"/>
  <c r="BN255" i="7"/>
  <c r="BM255" i="7"/>
  <c r="BL255" i="7"/>
  <c r="BK255" i="7"/>
  <c r="BJ255" i="7"/>
  <c r="BI255" i="7"/>
  <c r="BH255" i="7"/>
  <c r="BG255" i="7"/>
  <c r="BF255" i="7"/>
  <c r="BE255" i="7"/>
  <c r="BD255" i="7"/>
  <c r="BC255" i="7"/>
  <c r="BB255" i="7"/>
  <c r="BA255" i="7"/>
  <c r="AZ255" i="7"/>
  <c r="AY255" i="7"/>
  <c r="AX255" i="7"/>
  <c r="AW255" i="7"/>
  <c r="AV255" i="7"/>
  <c r="AU255" i="7"/>
  <c r="AT255" i="7"/>
  <c r="AS255" i="7"/>
  <c r="AR255" i="7"/>
  <c r="AQ255" i="7"/>
  <c r="AP255" i="7"/>
  <c r="AO255" i="7"/>
  <c r="AN255" i="7"/>
  <c r="AM255" i="7"/>
  <c r="AL255" i="7"/>
  <c r="AK255" i="7"/>
  <c r="AJ255" i="7"/>
  <c r="AI255" i="7"/>
  <c r="AH255" i="7"/>
  <c r="AG255" i="7"/>
  <c r="AF255" i="7"/>
  <c r="AE255" i="7"/>
  <c r="AD255" i="7"/>
  <c r="AC255" i="7"/>
  <c r="AB255" i="7"/>
  <c r="AA255" i="7"/>
  <c r="Z255" i="7"/>
  <c r="Y255" i="7"/>
  <c r="X255" i="7"/>
  <c r="W255" i="7"/>
  <c r="V255" i="7"/>
  <c r="U255" i="7"/>
  <c r="T255" i="7"/>
  <c r="S255" i="7"/>
  <c r="CG255" i="7" s="1"/>
  <c r="R255" i="7"/>
  <c r="Q255" i="7"/>
  <c r="P255" i="7"/>
  <c r="O255" i="7"/>
  <c r="N255" i="7"/>
  <c r="M255" i="7"/>
  <c r="L255" i="7"/>
  <c r="K255" i="7"/>
  <c r="J255" i="7"/>
  <c r="I255" i="7"/>
  <c r="H255" i="7"/>
  <c r="G255" i="7"/>
  <c r="F255" i="7"/>
  <c r="E255" i="7"/>
  <c r="D255" i="7"/>
  <c r="C255" i="7"/>
  <c r="CF254" i="7"/>
  <c r="CE254" i="7"/>
  <c r="CD254" i="7"/>
  <c r="CC254" i="7"/>
  <c r="CB254" i="7"/>
  <c r="CA254" i="7"/>
  <c r="BZ254" i="7"/>
  <c r="BY254" i="7"/>
  <c r="BX254" i="7"/>
  <c r="BW254" i="7"/>
  <c r="BV254" i="7"/>
  <c r="BU254" i="7"/>
  <c r="BT254" i="7"/>
  <c r="BS254" i="7"/>
  <c r="BR254" i="7"/>
  <c r="BQ254" i="7"/>
  <c r="BP254" i="7"/>
  <c r="BO254" i="7"/>
  <c r="BN254" i="7"/>
  <c r="BM254" i="7"/>
  <c r="BL254" i="7"/>
  <c r="BK254" i="7"/>
  <c r="BJ254" i="7"/>
  <c r="BI254" i="7"/>
  <c r="BH254" i="7"/>
  <c r="BG254" i="7"/>
  <c r="BF254" i="7"/>
  <c r="BE254" i="7"/>
  <c r="BD254" i="7"/>
  <c r="BC254" i="7"/>
  <c r="BB254" i="7"/>
  <c r="BA254" i="7"/>
  <c r="AZ254" i="7"/>
  <c r="AY254" i="7"/>
  <c r="AX254" i="7"/>
  <c r="AW254" i="7"/>
  <c r="AV254" i="7"/>
  <c r="AU254" i="7"/>
  <c r="AT254" i="7"/>
  <c r="AS254" i="7"/>
  <c r="AR254" i="7"/>
  <c r="AQ254" i="7"/>
  <c r="AP254" i="7"/>
  <c r="AO254" i="7"/>
  <c r="AN254" i="7"/>
  <c r="AM254" i="7"/>
  <c r="AL254" i="7"/>
  <c r="AK254" i="7"/>
  <c r="AJ254" i="7"/>
  <c r="AI254" i="7"/>
  <c r="AH254" i="7"/>
  <c r="AG254" i="7"/>
  <c r="AF254" i="7"/>
  <c r="AE254" i="7"/>
  <c r="AD254" i="7"/>
  <c r="AC254" i="7"/>
  <c r="AB254" i="7"/>
  <c r="AA254" i="7"/>
  <c r="Z254" i="7"/>
  <c r="Y254" i="7"/>
  <c r="X254" i="7"/>
  <c r="W254" i="7"/>
  <c r="V254" i="7"/>
  <c r="U254" i="7"/>
  <c r="T254" i="7"/>
  <c r="S254" i="7"/>
  <c r="R254" i="7"/>
  <c r="Q254" i="7"/>
  <c r="P254" i="7"/>
  <c r="O254" i="7"/>
  <c r="N254" i="7"/>
  <c r="M254" i="7"/>
  <c r="L254" i="7"/>
  <c r="K254" i="7"/>
  <c r="J254" i="7"/>
  <c r="I254" i="7"/>
  <c r="H254" i="7"/>
  <c r="G254" i="7"/>
  <c r="F254" i="7"/>
  <c r="E254" i="7"/>
  <c r="D254" i="7"/>
  <c r="C254" i="7"/>
  <c r="CG254" i="7" s="1"/>
  <c r="CF253" i="7"/>
  <c r="CE253" i="7"/>
  <c r="CD253" i="7"/>
  <c r="CC253" i="7"/>
  <c r="CB253" i="7"/>
  <c r="CA253" i="7"/>
  <c r="BZ253" i="7"/>
  <c r="BY253" i="7"/>
  <c r="BX253" i="7"/>
  <c r="BW253" i="7"/>
  <c r="BV253" i="7"/>
  <c r="BU253" i="7"/>
  <c r="BT253" i="7"/>
  <c r="BS253" i="7"/>
  <c r="BR253" i="7"/>
  <c r="BQ253" i="7"/>
  <c r="BP253" i="7"/>
  <c r="BO253" i="7"/>
  <c r="BN253" i="7"/>
  <c r="BM253" i="7"/>
  <c r="BL253" i="7"/>
  <c r="BK253" i="7"/>
  <c r="BJ253" i="7"/>
  <c r="BI253" i="7"/>
  <c r="BH253" i="7"/>
  <c r="BG253" i="7"/>
  <c r="BF253" i="7"/>
  <c r="BE253" i="7"/>
  <c r="BD253" i="7"/>
  <c r="BC253" i="7"/>
  <c r="BB253" i="7"/>
  <c r="BA253" i="7"/>
  <c r="AZ253" i="7"/>
  <c r="AY253" i="7"/>
  <c r="AX253" i="7"/>
  <c r="AW253" i="7"/>
  <c r="AV253" i="7"/>
  <c r="AU253" i="7"/>
  <c r="AT253" i="7"/>
  <c r="AS253" i="7"/>
  <c r="AR253" i="7"/>
  <c r="AQ253" i="7"/>
  <c r="AP253" i="7"/>
  <c r="AO253" i="7"/>
  <c r="AN253" i="7"/>
  <c r="AM253" i="7"/>
  <c r="AL253" i="7"/>
  <c r="AK253" i="7"/>
  <c r="AJ253" i="7"/>
  <c r="AI253" i="7"/>
  <c r="AH253" i="7"/>
  <c r="AG253" i="7"/>
  <c r="AF253" i="7"/>
  <c r="AE253" i="7"/>
  <c r="AD253" i="7"/>
  <c r="AC253" i="7"/>
  <c r="AB253" i="7"/>
  <c r="AA253" i="7"/>
  <c r="Z253" i="7"/>
  <c r="Y253" i="7"/>
  <c r="X253" i="7"/>
  <c r="W253" i="7"/>
  <c r="V253" i="7"/>
  <c r="U253" i="7"/>
  <c r="T253" i="7"/>
  <c r="S253" i="7"/>
  <c r="R253" i="7"/>
  <c r="Q253" i="7"/>
  <c r="P253" i="7"/>
  <c r="O253" i="7"/>
  <c r="N253" i="7"/>
  <c r="M253" i="7"/>
  <c r="L253" i="7"/>
  <c r="K253" i="7"/>
  <c r="J253" i="7"/>
  <c r="I253" i="7"/>
  <c r="H253" i="7"/>
  <c r="G253" i="7"/>
  <c r="F253" i="7"/>
  <c r="E253" i="7"/>
  <c r="D253" i="7"/>
  <c r="C253" i="7"/>
  <c r="CG253" i="7" s="1"/>
  <c r="CF252" i="7"/>
  <c r="CE252" i="7"/>
  <c r="CD252" i="7"/>
  <c r="CC252" i="7"/>
  <c r="CB252" i="7"/>
  <c r="CA252" i="7"/>
  <c r="BZ252" i="7"/>
  <c r="BY252" i="7"/>
  <c r="BX252" i="7"/>
  <c r="BW252" i="7"/>
  <c r="BV252" i="7"/>
  <c r="BU252" i="7"/>
  <c r="BT252" i="7"/>
  <c r="BS252" i="7"/>
  <c r="BR252" i="7"/>
  <c r="BQ252" i="7"/>
  <c r="BP252" i="7"/>
  <c r="BO252" i="7"/>
  <c r="BN252" i="7"/>
  <c r="BM252" i="7"/>
  <c r="BL252" i="7"/>
  <c r="BK252" i="7"/>
  <c r="BJ252" i="7"/>
  <c r="BI252" i="7"/>
  <c r="BH252" i="7"/>
  <c r="BG252" i="7"/>
  <c r="BF252" i="7"/>
  <c r="BE252" i="7"/>
  <c r="BD252" i="7"/>
  <c r="BC252" i="7"/>
  <c r="BB252" i="7"/>
  <c r="BA252" i="7"/>
  <c r="AZ252" i="7"/>
  <c r="AY252" i="7"/>
  <c r="AX252" i="7"/>
  <c r="AW252" i="7"/>
  <c r="AV252" i="7"/>
  <c r="AU252" i="7"/>
  <c r="AT252" i="7"/>
  <c r="AS252" i="7"/>
  <c r="AR252" i="7"/>
  <c r="AQ252" i="7"/>
  <c r="AP252" i="7"/>
  <c r="AO252" i="7"/>
  <c r="AN252" i="7"/>
  <c r="AM252" i="7"/>
  <c r="AL252" i="7"/>
  <c r="AK252" i="7"/>
  <c r="AJ252" i="7"/>
  <c r="AI252" i="7"/>
  <c r="AH252" i="7"/>
  <c r="AG252" i="7"/>
  <c r="AF252" i="7"/>
  <c r="AE252" i="7"/>
  <c r="AD252" i="7"/>
  <c r="AC252" i="7"/>
  <c r="AB252" i="7"/>
  <c r="AA252" i="7"/>
  <c r="Z252" i="7"/>
  <c r="Y252" i="7"/>
  <c r="X252" i="7"/>
  <c r="W252" i="7"/>
  <c r="V252" i="7"/>
  <c r="U252" i="7"/>
  <c r="T252" i="7"/>
  <c r="S252" i="7"/>
  <c r="R252" i="7"/>
  <c r="Q252" i="7"/>
  <c r="P252" i="7"/>
  <c r="O252" i="7"/>
  <c r="N252" i="7"/>
  <c r="M252" i="7"/>
  <c r="L252" i="7"/>
  <c r="K252" i="7"/>
  <c r="J252" i="7"/>
  <c r="I252" i="7"/>
  <c r="H252" i="7"/>
  <c r="G252" i="7"/>
  <c r="F252" i="7"/>
  <c r="E252" i="7"/>
  <c r="D252" i="7"/>
  <c r="C252" i="7"/>
  <c r="CF251" i="7"/>
  <c r="CE251" i="7"/>
  <c r="CD251" i="7"/>
  <c r="CC251" i="7"/>
  <c r="CB251" i="7"/>
  <c r="CA251" i="7"/>
  <c r="BZ251" i="7"/>
  <c r="BY251" i="7"/>
  <c r="BX251" i="7"/>
  <c r="BW251" i="7"/>
  <c r="BV251" i="7"/>
  <c r="BU251" i="7"/>
  <c r="BT251" i="7"/>
  <c r="BS251" i="7"/>
  <c r="BR251" i="7"/>
  <c r="BQ251" i="7"/>
  <c r="BP251" i="7"/>
  <c r="BO251" i="7"/>
  <c r="BN251" i="7"/>
  <c r="BM251" i="7"/>
  <c r="BL251" i="7"/>
  <c r="BK251" i="7"/>
  <c r="BJ251" i="7"/>
  <c r="BI251" i="7"/>
  <c r="BH251" i="7"/>
  <c r="BG251" i="7"/>
  <c r="BF251" i="7"/>
  <c r="BE251" i="7"/>
  <c r="BD251" i="7"/>
  <c r="BC251" i="7"/>
  <c r="BB251" i="7"/>
  <c r="BA251" i="7"/>
  <c r="AZ251" i="7"/>
  <c r="AY251" i="7"/>
  <c r="AX251" i="7"/>
  <c r="AW251" i="7"/>
  <c r="AV251" i="7"/>
  <c r="AU251" i="7"/>
  <c r="AT251" i="7"/>
  <c r="AS251" i="7"/>
  <c r="AR251" i="7"/>
  <c r="AQ251" i="7"/>
  <c r="AP251" i="7"/>
  <c r="AO251" i="7"/>
  <c r="AN251" i="7"/>
  <c r="AM251" i="7"/>
  <c r="AL251" i="7"/>
  <c r="AK251" i="7"/>
  <c r="AJ251" i="7"/>
  <c r="AI251" i="7"/>
  <c r="AH251" i="7"/>
  <c r="AG251" i="7"/>
  <c r="AF251" i="7"/>
  <c r="AE251" i="7"/>
  <c r="AD251" i="7"/>
  <c r="AC251" i="7"/>
  <c r="AB251" i="7"/>
  <c r="AA251" i="7"/>
  <c r="Z251" i="7"/>
  <c r="Y251" i="7"/>
  <c r="X251" i="7"/>
  <c r="W251" i="7"/>
  <c r="V251" i="7"/>
  <c r="U251" i="7"/>
  <c r="T251" i="7"/>
  <c r="S251" i="7"/>
  <c r="R251" i="7"/>
  <c r="Q251" i="7"/>
  <c r="P251" i="7"/>
  <c r="O251" i="7"/>
  <c r="N251" i="7"/>
  <c r="M251" i="7"/>
  <c r="L251" i="7"/>
  <c r="K251" i="7"/>
  <c r="J251" i="7"/>
  <c r="I251" i="7"/>
  <c r="H251" i="7"/>
  <c r="G251" i="7"/>
  <c r="F251" i="7"/>
  <c r="E251" i="7"/>
  <c r="D251" i="7"/>
  <c r="C251" i="7"/>
  <c r="CG251" i="7" s="1"/>
  <c r="CF250" i="7"/>
  <c r="CE250" i="7"/>
  <c r="CD250" i="7"/>
  <c r="CC250" i="7"/>
  <c r="CB250" i="7"/>
  <c r="CA250" i="7"/>
  <c r="BZ250" i="7"/>
  <c r="BY250" i="7"/>
  <c r="BX250" i="7"/>
  <c r="BW250" i="7"/>
  <c r="BV250" i="7"/>
  <c r="BU250" i="7"/>
  <c r="BT250" i="7"/>
  <c r="BS250" i="7"/>
  <c r="BR250" i="7"/>
  <c r="BQ250" i="7"/>
  <c r="BP250" i="7"/>
  <c r="BO250" i="7"/>
  <c r="BN250" i="7"/>
  <c r="BM250" i="7"/>
  <c r="BL250" i="7"/>
  <c r="BK250" i="7"/>
  <c r="BJ250" i="7"/>
  <c r="BI250" i="7"/>
  <c r="BH250" i="7"/>
  <c r="BG250" i="7"/>
  <c r="BF250" i="7"/>
  <c r="BE250" i="7"/>
  <c r="BD250" i="7"/>
  <c r="BC250" i="7"/>
  <c r="BB250" i="7"/>
  <c r="BA250" i="7"/>
  <c r="AZ250" i="7"/>
  <c r="AY250" i="7"/>
  <c r="AX250" i="7"/>
  <c r="AW250" i="7"/>
  <c r="AV250" i="7"/>
  <c r="AU250" i="7"/>
  <c r="AT250" i="7"/>
  <c r="AS250" i="7"/>
  <c r="AR250" i="7"/>
  <c r="AQ250" i="7"/>
  <c r="AP250" i="7"/>
  <c r="AO250" i="7"/>
  <c r="AN250" i="7"/>
  <c r="AM250" i="7"/>
  <c r="AL250" i="7"/>
  <c r="AK250" i="7"/>
  <c r="AJ250" i="7"/>
  <c r="AI250" i="7"/>
  <c r="AH250" i="7"/>
  <c r="AG250" i="7"/>
  <c r="AF250" i="7"/>
  <c r="AE250" i="7"/>
  <c r="AD250" i="7"/>
  <c r="AC250" i="7"/>
  <c r="AB250" i="7"/>
  <c r="AA250" i="7"/>
  <c r="Z250" i="7"/>
  <c r="Y250" i="7"/>
  <c r="X250" i="7"/>
  <c r="W250" i="7"/>
  <c r="V250" i="7"/>
  <c r="U250" i="7"/>
  <c r="T250" i="7"/>
  <c r="S250" i="7"/>
  <c r="R250" i="7"/>
  <c r="Q250" i="7"/>
  <c r="P250" i="7"/>
  <c r="O250" i="7"/>
  <c r="N250" i="7"/>
  <c r="M250" i="7"/>
  <c r="L250" i="7"/>
  <c r="K250" i="7"/>
  <c r="J250" i="7"/>
  <c r="I250" i="7"/>
  <c r="H250" i="7"/>
  <c r="G250" i="7"/>
  <c r="F250" i="7"/>
  <c r="E250" i="7"/>
  <c r="CG250" i="7" s="1"/>
  <c r="D250" i="7"/>
  <c r="C250" i="7"/>
  <c r="CF249" i="7"/>
  <c r="CE249" i="7"/>
  <c r="CD249" i="7"/>
  <c r="CC249" i="7"/>
  <c r="CB249" i="7"/>
  <c r="CA249" i="7"/>
  <c r="BZ249" i="7"/>
  <c r="BY249" i="7"/>
  <c r="BX249" i="7"/>
  <c r="BW249" i="7"/>
  <c r="BV249" i="7"/>
  <c r="BU249" i="7"/>
  <c r="BT249" i="7"/>
  <c r="BS249" i="7"/>
  <c r="BR249" i="7"/>
  <c r="BQ249" i="7"/>
  <c r="BP249" i="7"/>
  <c r="BO249" i="7"/>
  <c r="BN249" i="7"/>
  <c r="BM249" i="7"/>
  <c r="BL249" i="7"/>
  <c r="BK249" i="7"/>
  <c r="BJ249" i="7"/>
  <c r="BI249" i="7"/>
  <c r="BH249" i="7"/>
  <c r="BG249" i="7"/>
  <c r="BF249" i="7"/>
  <c r="BE249" i="7"/>
  <c r="BD249" i="7"/>
  <c r="BC249" i="7"/>
  <c r="BB249" i="7"/>
  <c r="BA249" i="7"/>
  <c r="AZ249" i="7"/>
  <c r="AY249" i="7"/>
  <c r="AX249" i="7"/>
  <c r="AW249" i="7"/>
  <c r="AV249" i="7"/>
  <c r="AU249" i="7"/>
  <c r="AT249" i="7"/>
  <c r="AS249" i="7"/>
  <c r="AR249" i="7"/>
  <c r="AQ249" i="7"/>
  <c r="AP249" i="7"/>
  <c r="AO249" i="7"/>
  <c r="AN249" i="7"/>
  <c r="AM249" i="7"/>
  <c r="AL249" i="7"/>
  <c r="AK249" i="7"/>
  <c r="AJ249" i="7"/>
  <c r="AI249" i="7"/>
  <c r="AH249" i="7"/>
  <c r="AG249" i="7"/>
  <c r="AF249" i="7"/>
  <c r="AE249" i="7"/>
  <c r="AD249" i="7"/>
  <c r="AC249" i="7"/>
  <c r="AB249" i="7"/>
  <c r="AA249" i="7"/>
  <c r="Z249" i="7"/>
  <c r="Y249" i="7"/>
  <c r="X249" i="7"/>
  <c r="W249" i="7"/>
  <c r="V249" i="7"/>
  <c r="U249" i="7"/>
  <c r="T249" i="7"/>
  <c r="S249" i="7"/>
  <c r="R249" i="7"/>
  <c r="Q249" i="7"/>
  <c r="P249" i="7"/>
  <c r="O249" i="7"/>
  <c r="N249" i="7"/>
  <c r="M249" i="7"/>
  <c r="L249" i="7"/>
  <c r="K249" i="7"/>
  <c r="J249" i="7"/>
  <c r="I249" i="7"/>
  <c r="H249" i="7"/>
  <c r="G249" i="7"/>
  <c r="F249" i="7"/>
  <c r="E249" i="7"/>
  <c r="D249" i="7"/>
  <c r="C249" i="7"/>
  <c r="CG249" i="7" s="1"/>
  <c r="CF248" i="7"/>
  <c r="CE248" i="7"/>
  <c r="CD248" i="7"/>
  <c r="CC248" i="7"/>
  <c r="CB248" i="7"/>
  <c r="CA248" i="7"/>
  <c r="BZ248" i="7"/>
  <c r="BY248" i="7"/>
  <c r="BX248" i="7"/>
  <c r="BW248" i="7"/>
  <c r="BV248" i="7"/>
  <c r="BU248" i="7"/>
  <c r="BT248" i="7"/>
  <c r="BS248" i="7"/>
  <c r="BR248" i="7"/>
  <c r="BQ248" i="7"/>
  <c r="BP248" i="7"/>
  <c r="BO248" i="7"/>
  <c r="BN248" i="7"/>
  <c r="BM248" i="7"/>
  <c r="BL248" i="7"/>
  <c r="BK248" i="7"/>
  <c r="BJ248" i="7"/>
  <c r="BI248" i="7"/>
  <c r="BH248" i="7"/>
  <c r="BG248" i="7"/>
  <c r="BF248" i="7"/>
  <c r="BE248" i="7"/>
  <c r="BD248" i="7"/>
  <c r="BC248" i="7"/>
  <c r="BB248" i="7"/>
  <c r="BA248" i="7"/>
  <c r="AZ248" i="7"/>
  <c r="AY248" i="7"/>
  <c r="AX248" i="7"/>
  <c r="AW248" i="7"/>
  <c r="AV248" i="7"/>
  <c r="AU248" i="7"/>
  <c r="AT248" i="7"/>
  <c r="AS248" i="7"/>
  <c r="AR248" i="7"/>
  <c r="AQ248" i="7"/>
  <c r="AP248" i="7"/>
  <c r="AO248" i="7"/>
  <c r="AN248" i="7"/>
  <c r="AM248" i="7"/>
  <c r="AL248" i="7"/>
  <c r="AK248" i="7"/>
  <c r="AJ248" i="7"/>
  <c r="AI248" i="7"/>
  <c r="AH248" i="7"/>
  <c r="AG248" i="7"/>
  <c r="AF248" i="7"/>
  <c r="AE248" i="7"/>
  <c r="AD248" i="7"/>
  <c r="AC248" i="7"/>
  <c r="AB248" i="7"/>
  <c r="AA248" i="7"/>
  <c r="Z248" i="7"/>
  <c r="Y248" i="7"/>
  <c r="X248" i="7"/>
  <c r="W248" i="7"/>
  <c r="V248" i="7"/>
  <c r="U248" i="7"/>
  <c r="T248" i="7"/>
  <c r="S248" i="7"/>
  <c r="R248" i="7"/>
  <c r="Q248" i="7"/>
  <c r="P248" i="7"/>
  <c r="O248" i="7"/>
  <c r="N248" i="7"/>
  <c r="M248" i="7"/>
  <c r="L248" i="7"/>
  <c r="K248" i="7"/>
  <c r="J248" i="7"/>
  <c r="I248" i="7"/>
  <c r="H248" i="7"/>
  <c r="G248" i="7"/>
  <c r="F248" i="7"/>
  <c r="E248" i="7"/>
  <c r="D248" i="7"/>
  <c r="C248" i="7"/>
  <c r="CF247" i="7"/>
  <c r="CE247" i="7"/>
  <c r="CD247" i="7"/>
  <c r="CC247" i="7"/>
  <c r="CB247" i="7"/>
  <c r="CA247" i="7"/>
  <c r="BZ247" i="7"/>
  <c r="BY247" i="7"/>
  <c r="BX247" i="7"/>
  <c r="BW247" i="7"/>
  <c r="BV247" i="7"/>
  <c r="BU247" i="7"/>
  <c r="BT247" i="7"/>
  <c r="BS247" i="7"/>
  <c r="BR247" i="7"/>
  <c r="BQ247" i="7"/>
  <c r="BP247" i="7"/>
  <c r="BO247" i="7"/>
  <c r="BN247" i="7"/>
  <c r="BM247" i="7"/>
  <c r="BL247" i="7"/>
  <c r="BK247" i="7"/>
  <c r="BJ247" i="7"/>
  <c r="BI247" i="7"/>
  <c r="BH247" i="7"/>
  <c r="BG247" i="7"/>
  <c r="BF247" i="7"/>
  <c r="BE247" i="7"/>
  <c r="BD247" i="7"/>
  <c r="BC247" i="7"/>
  <c r="BB247" i="7"/>
  <c r="BA247" i="7"/>
  <c r="AZ247" i="7"/>
  <c r="AY247" i="7"/>
  <c r="AX247" i="7"/>
  <c r="AW247" i="7"/>
  <c r="AV247" i="7"/>
  <c r="AU247" i="7"/>
  <c r="AT247" i="7"/>
  <c r="AS247" i="7"/>
  <c r="AR247" i="7"/>
  <c r="AQ247" i="7"/>
  <c r="AP247" i="7"/>
  <c r="AO247" i="7"/>
  <c r="AN247" i="7"/>
  <c r="AM247" i="7"/>
  <c r="AL247" i="7"/>
  <c r="AK247" i="7"/>
  <c r="AJ247" i="7"/>
  <c r="AI247" i="7"/>
  <c r="AH247" i="7"/>
  <c r="AG247" i="7"/>
  <c r="AF247" i="7"/>
  <c r="AE247" i="7"/>
  <c r="AD247" i="7"/>
  <c r="AC247" i="7"/>
  <c r="AB247" i="7"/>
  <c r="AA247" i="7"/>
  <c r="Z247" i="7"/>
  <c r="Y247" i="7"/>
  <c r="X247" i="7"/>
  <c r="W247" i="7"/>
  <c r="V247" i="7"/>
  <c r="U247" i="7"/>
  <c r="T247" i="7"/>
  <c r="S247" i="7"/>
  <c r="R247" i="7"/>
  <c r="Q247" i="7"/>
  <c r="P247" i="7"/>
  <c r="O247" i="7"/>
  <c r="N247" i="7"/>
  <c r="M247" i="7"/>
  <c r="L247" i="7"/>
  <c r="K247" i="7"/>
  <c r="J247" i="7"/>
  <c r="I247" i="7"/>
  <c r="H247" i="7"/>
  <c r="G247" i="7"/>
  <c r="F247" i="7"/>
  <c r="E247" i="7"/>
  <c r="D247" i="7"/>
  <c r="C247" i="7"/>
  <c r="CF246" i="7"/>
  <c r="CE246" i="7"/>
  <c r="CD246" i="7"/>
  <c r="CC246" i="7"/>
  <c r="CB246" i="7"/>
  <c r="CA246" i="7"/>
  <c r="BZ246" i="7"/>
  <c r="BY246" i="7"/>
  <c r="BX246" i="7"/>
  <c r="BW246" i="7"/>
  <c r="BV246" i="7"/>
  <c r="BU246" i="7"/>
  <c r="BT246" i="7"/>
  <c r="BS246" i="7"/>
  <c r="BR246" i="7"/>
  <c r="BQ246" i="7"/>
  <c r="BP246" i="7"/>
  <c r="BO246" i="7"/>
  <c r="BN246" i="7"/>
  <c r="BM246" i="7"/>
  <c r="BL246" i="7"/>
  <c r="BK246" i="7"/>
  <c r="BJ246" i="7"/>
  <c r="BI246" i="7"/>
  <c r="BH246" i="7"/>
  <c r="BG246" i="7"/>
  <c r="BF246" i="7"/>
  <c r="BE246" i="7"/>
  <c r="BD246" i="7"/>
  <c r="BC246" i="7"/>
  <c r="BB246" i="7"/>
  <c r="BA246" i="7"/>
  <c r="AZ246" i="7"/>
  <c r="AY246" i="7"/>
  <c r="AX246" i="7"/>
  <c r="AW246" i="7"/>
  <c r="AV246" i="7"/>
  <c r="AU246" i="7"/>
  <c r="AT246" i="7"/>
  <c r="AS246" i="7"/>
  <c r="AR246" i="7"/>
  <c r="AQ246" i="7"/>
  <c r="AP246" i="7"/>
  <c r="AO246" i="7"/>
  <c r="AN246" i="7"/>
  <c r="AM246" i="7"/>
  <c r="AL246" i="7"/>
  <c r="AK246" i="7"/>
  <c r="AJ246" i="7"/>
  <c r="AI246" i="7"/>
  <c r="AH246" i="7"/>
  <c r="AG246" i="7"/>
  <c r="AF246" i="7"/>
  <c r="AE246" i="7"/>
  <c r="AD246" i="7"/>
  <c r="AC246" i="7"/>
  <c r="AB246" i="7"/>
  <c r="AA246" i="7"/>
  <c r="Z246" i="7"/>
  <c r="Y246" i="7"/>
  <c r="X246" i="7"/>
  <c r="W246" i="7"/>
  <c r="V246" i="7"/>
  <c r="U246" i="7"/>
  <c r="T246" i="7"/>
  <c r="S246" i="7"/>
  <c r="R246" i="7"/>
  <c r="Q246" i="7"/>
  <c r="P246" i="7"/>
  <c r="O246" i="7"/>
  <c r="N246" i="7"/>
  <c r="M246" i="7"/>
  <c r="L246" i="7"/>
  <c r="K246" i="7"/>
  <c r="J246" i="7"/>
  <c r="I246" i="7"/>
  <c r="H246" i="7"/>
  <c r="G246" i="7"/>
  <c r="CG246" i="7" s="1"/>
  <c r="F246" i="7"/>
  <c r="E246" i="7"/>
  <c r="D246" i="7"/>
  <c r="C246" i="7"/>
  <c r="CF245" i="7"/>
  <c r="CE245" i="7"/>
  <c r="CD245" i="7"/>
  <c r="CC245" i="7"/>
  <c r="CB245" i="7"/>
  <c r="CA245" i="7"/>
  <c r="BZ245" i="7"/>
  <c r="BY245" i="7"/>
  <c r="BX245" i="7"/>
  <c r="BW245" i="7"/>
  <c r="BV245" i="7"/>
  <c r="BU245" i="7"/>
  <c r="BT245" i="7"/>
  <c r="BS245" i="7"/>
  <c r="BR245" i="7"/>
  <c r="BQ245" i="7"/>
  <c r="BP245" i="7"/>
  <c r="BO245" i="7"/>
  <c r="BN245" i="7"/>
  <c r="BM245" i="7"/>
  <c r="BL245" i="7"/>
  <c r="BK245" i="7"/>
  <c r="BJ245" i="7"/>
  <c r="BI245" i="7"/>
  <c r="BH245" i="7"/>
  <c r="BG245" i="7"/>
  <c r="BF245" i="7"/>
  <c r="BE245" i="7"/>
  <c r="BD245" i="7"/>
  <c r="BC245" i="7"/>
  <c r="BB245" i="7"/>
  <c r="BA245" i="7"/>
  <c r="AZ245" i="7"/>
  <c r="AY245" i="7"/>
  <c r="AX245" i="7"/>
  <c r="AW245" i="7"/>
  <c r="AV245" i="7"/>
  <c r="AU245" i="7"/>
  <c r="AT245" i="7"/>
  <c r="AS245" i="7"/>
  <c r="AR245" i="7"/>
  <c r="AQ245" i="7"/>
  <c r="AP245" i="7"/>
  <c r="AO245" i="7"/>
  <c r="AN245" i="7"/>
  <c r="AM245" i="7"/>
  <c r="AL245" i="7"/>
  <c r="AK245" i="7"/>
  <c r="AJ245" i="7"/>
  <c r="AI245" i="7"/>
  <c r="AH245" i="7"/>
  <c r="AG245" i="7"/>
  <c r="AF245" i="7"/>
  <c r="AE245" i="7"/>
  <c r="AD245" i="7"/>
  <c r="AC245" i="7"/>
  <c r="AB245" i="7"/>
  <c r="AA245" i="7"/>
  <c r="Z245" i="7"/>
  <c r="Y245" i="7"/>
  <c r="X245" i="7"/>
  <c r="W245" i="7"/>
  <c r="V245" i="7"/>
  <c r="U245" i="7"/>
  <c r="T245" i="7"/>
  <c r="S245" i="7"/>
  <c r="R245" i="7"/>
  <c r="Q245" i="7"/>
  <c r="P245" i="7"/>
  <c r="O245" i="7"/>
  <c r="N245" i="7"/>
  <c r="M245" i="7"/>
  <c r="L245" i="7"/>
  <c r="K245" i="7"/>
  <c r="J245" i="7"/>
  <c r="I245" i="7"/>
  <c r="H245" i="7"/>
  <c r="G245" i="7"/>
  <c r="F245" i="7"/>
  <c r="E245" i="7"/>
  <c r="D245" i="7"/>
  <c r="C245" i="7"/>
  <c r="CG245" i="7" s="1"/>
  <c r="CF244" i="7"/>
  <c r="CE244" i="7"/>
  <c r="CD244" i="7"/>
  <c r="CC244" i="7"/>
  <c r="CB244" i="7"/>
  <c r="CA244" i="7"/>
  <c r="BZ244" i="7"/>
  <c r="BY244" i="7"/>
  <c r="BX244" i="7"/>
  <c r="BW244" i="7"/>
  <c r="BV244" i="7"/>
  <c r="BU244" i="7"/>
  <c r="BT244" i="7"/>
  <c r="BS244" i="7"/>
  <c r="BR244" i="7"/>
  <c r="BQ244" i="7"/>
  <c r="BP244" i="7"/>
  <c r="BO244" i="7"/>
  <c r="BN244" i="7"/>
  <c r="BM244" i="7"/>
  <c r="BL244" i="7"/>
  <c r="BK244" i="7"/>
  <c r="BJ244" i="7"/>
  <c r="BI244" i="7"/>
  <c r="BH244" i="7"/>
  <c r="BG244" i="7"/>
  <c r="BF244" i="7"/>
  <c r="BE244" i="7"/>
  <c r="BD244" i="7"/>
  <c r="BC244" i="7"/>
  <c r="BB244" i="7"/>
  <c r="BA244" i="7"/>
  <c r="AZ244" i="7"/>
  <c r="AY244" i="7"/>
  <c r="AX244" i="7"/>
  <c r="AW244" i="7"/>
  <c r="AV244" i="7"/>
  <c r="AU244" i="7"/>
  <c r="AT244" i="7"/>
  <c r="AS244" i="7"/>
  <c r="AR244" i="7"/>
  <c r="AQ244" i="7"/>
  <c r="AP244" i="7"/>
  <c r="AO244" i="7"/>
  <c r="AN244" i="7"/>
  <c r="AM244" i="7"/>
  <c r="AL244" i="7"/>
  <c r="AK244" i="7"/>
  <c r="AJ244" i="7"/>
  <c r="AI244" i="7"/>
  <c r="AH244" i="7"/>
  <c r="AG244" i="7"/>
  <c r="AF244" i="7"/>
  <c r="AE244" i="7"/>
  <c r="AD244" i="7"/>
  <c r="AC244" i="7"/>
  <c r="AB244" i="7"/>
  <c r="AA244" i="7"/>
  <c r="Z244" i="7"/>
  <c r="Y244" i="7"/>
  <c r="X244" i="7"/>
  <c r="W244" i="7"/>
  <c r="V244" i="7"/>
  <c r="U244" i="7"/>
  <c r="T244" i="7"/>
  <c r="S244" i="7"/>
  <c r="R244" i="7"/>
  <c r="Q244" i="7"/>
  <c r="P244" i="7"/>
  <c r="O244" i="7"/>
  <c r="N244" i="7"/>
  <c r="M244" i="7"/>
  <c r="L244" i="7"/>
  <c r="K244" i="7"/>
  <c r="J244" i="7"/>
  <c r="I244" i="7"/>
  <c r="H244" i="7"/>
  <c r="G244" i="7"/>
  <c r="F244" i="7"/>
  <c r="E244" i="7"/>
  <c r="D244" i="7"/>
  <c r="C244" i="7"/>
  <c r="CF243" i="7"/>
  <c r="CE243" i="7"/>
  <c r="CD243" i="7"/>
  <c r="CC243" i="7"/>
  <c r="CB243" i="7"/>
  <c r="CA243" i="7"/>
  <c r="BZ243" i="7"/>
  <c r="BY243" i="7"/>
  <c r="BX243" i="7"/>
  <c r="BW243" i="7"/>
  <c r="BV243" i="7"/>
  <c r="BU243" i="7"/>
  <c r="BT243" i="7"/>
  <c r="BS243" i="7"/>
  <c r="BR243" i="7"/>
  <c r="BQ243" i="7"/>
  <c r="BP243" i="7"/>
  <c r="BO243" i="7"/>
  <c r="BN243" i="7"/>
  <c r="BM243" i="7"/>
  <c r="BL243" i="7"/>
  <c r="BK243" i="7"/>
  <c r="BJ243" i="7"/>
  <c r="BI243" i="7"/>
  <c r="BH243" i="7"/>
  <c r="BG243" i="7"/>
  <c r="BF243" i="7"/>
  <c r="BE243" i="7"/>
  <c r="BD243" i="7"/>
  <c r="BC243" i="7"/>
  <c r="BB243" i="7"/>
  <c r="BA243" i="7"/>
  <c r="AZ243" i="7"/>
  <c r="AY243" i="7"/>
  <c r="AX243" i="7"/>
  <c r="AW243" i="7"/>
  <c r="AV243" i="7"/>
  <c r="AU243" i="7"/>
  <c r="AT243" i="7"/>
  <c r="AS243" i="7"/>
  <c r="AR243" i="7"/>
  <c r="AQ243" i="7"/>
  <c r="AP243" i="7"/>
  <c r="AO243" i="7"/>
  <c r="AN243" i="7"/>
  <c r="AM243" i="7"/>
  <c r="AL243" i="7"/>
  <c r="AK243" i="7"/>
  <c r="AJ243" i="7"/>
  <c r="AI243" i="7"/>
  <c r="AH243" i="7"/>
  <c r="AG243" i="7"/>
  <c r="AF243" i="7"/>
  <c r="AE243" i="7"/>
  <c r="AD243" i="7"/>
  <c r="AC243" i="7"/>
  <c r="AB243" i="7"/>
  <c r="AA243" i="7"/>
  <c r="Z243" i="7"/>
  <c r="Y243" i="7"/>
  <c r="X243" i="7"/>
  <c r="W243" i="7"/>
  <c r="V243" i="7"/>
  <c r="U243" i="7"/>
  <c r="T243" i="7"/>
  <c r="S243" i="7"/>
  <c r="R243" i="7"/>
  <c r="Q243" i="7"/>
  <c r="P243" i="7"/>
  <c r="O243" i="7"/>
  <c r="N243" i="7"/>
  <c r="M243" i="7"/>
  <c r="L243" i="7"/>
  <c r="K243" i="7"/>
  <c r="J243" i="7"/>
  <c r="I243" i="7"/>
  <c r="H243" i="7"/>
  <c r="G243" i="7"/>
  <c r="F243" i="7"/>
  <c r="E243" i="7"/>
  <c r="D243" i="7"/>
  <c r="C243" i="7"/>
  <c r="CG243" i="7" s="1"/>
  <c r="CF242" i="7"/>
  <c r="CE242" i="7"/>
  <c r="CD242" i="7"/>
  <c r="CC242" i="7"/>
  <c r="CB242" i="7"/>
  <c r="CA242" i="7"/>
  <c r="BZ242" i="7"/>
  <c r="BY242" i="7"/>
  <c r="BX242" i="7"/>
  <c r="BW242" i="7"/>
  <c r="BV242" i="7"/>
  <c r="BU242" i="7"/>
  <c r="BT242" i="7"/>
  <c r="BS242" i="7"/>
  <c r="BR242" i="7"/>
  <c r="BQ242" i="7"/>
  <c r="BP242" i="7"/>
  <c r="BO242" i="7"/>
  <c r="BN242" i="7"/>
  <c r="BM242" i="7"/>
  <c r="BL242" i="7"/>
  <c r="BK242" i="7"/>
  <c r="BJ242" i="7"/>
  <c r="BI242" i="7"/>
  <c r="BH242" i="7"/>
  <c r="BG242" i="7"/>
  <c r="BF242" i="7"/>
  <c r="BE242" i="7"/>
  <c r="BD242" i="7"/>
  <c r="BC242" i="7"/>
  <c r="BB242" i="7"/>
  <c r="BA242" i="7"/>
  <c r="AZ242" i="7"/>
  <c r="AY242" i="7"/>
  <c r="AX242" i="7"/>
  <c r="AW242" i="7"/>
  <c r="AV242" i="7"/>
  <c r="AU242" i="7"/>
  <c r="AT242" i="7"/>
  <c r="AS242" i="7"/>
  <c r="AR242" i="7"/>
  <c r="AQ242" i="7"/>
  <c r="AP242" i="7"/>
  <c r="AO242" i="7"/>
  <c r="AN242" i="7"/>
  <c r="AM242" i="7"/>
  <c r="AL242" i="7"/>
  <c r="AK242" i="7"/>
  <c r="AJ242" i="7"/>
  <c r="AI242" i="7"/>
  <c r="AH242" i="7"/>
  <c r="AG242" i="7"/>
  <c r="AF242" i="7"/>
  <c r="AE242" i="7"/>
  <c r="AD242" i="7"/>
  <c r="AC242" i="7"/>
  <c r="AB242" i="7"/>
  <c r="AA242" i="7"/>
  <c r="Z242" i="7"/>
  <c r="Y242" i="7"/>
  <c r="X242" i="7"/>
  <c r="W242" i="7"/>
  <c r="V242" i="7"/>
  <c r="U242" i="7"/>
  <c r="T242" i="7"/>
  <c r="S242" i="7"/>
  <c r="R242" i="7"/>
  <c r="Q242" i="7"/>
  <c r="P242" i="7"/>
  <c r="O242" i="7"/>
  <c r="N242" i="7"/>
  <c r="M242" i="7"/>
  <c r="L242" i="7"/>
  <c r="K242" i="7"/>
  <c r="J242" i="7"/>
  <c r="I242" i="7"/>
  <c r="H242" i="7"/>
  <c r="G242" i="7"/>
  <c r="F242" i="7"/>
  <c r="E242" i="7"/>
  <c r="CG242" i="7" s="1"/>
  <c r="D242" i="7"/>
  <c r="C242" i="7"/>
  <c r="CF241" i="7"/>
  <c r="CE241" i="7"/>
  <c r="CD241" i="7"/>
  <c r="CC241" i="7"/>
  <c r="CB241" i="7"/>
  <c r="CA241" i="7"/>
  <c r="BZ241" i="7"/>
  <c r="BY241" i="7"/>
  <c r="BX241" i="7"/>
  <c r="BW241" i="7"/>
  <c r="BV241" i="7"/>
  <c r="BU241" i="7"/>
  <c r="BT241" i="7"/>
  <c r="BS241" i="7"/>
  <c r="BR241" i="7"/>
  <c r="BQ241" i="7"/>
  <c r="BP241" i="7"/>
  <c r="BO241" i="7"/>
  <c r="BN241" i="7"/>
  <c r="BM241" i="7"/>
  <c r="BL241" i="7"/>
  <c r="BK241" i="7"/>
  <c r="BJ241" i="7"/>
  <c r="BI241" i="7"/>
  <c r="BH241" i="7"/>
  <c r="BG241" i="7"/>
  <c r="BF241" i="7"/>
  <c r="BE241" i="7"/>
  <c r="BD241" i="7"/>
  <c r="BC241" i="7"/>
  <c r="BB241" i="7"/>
  <c r="BA241" i="7"/>
  <c r="AZ241" i="7"/>
  <c r="AY241" i="7"/>
  <c r="AX241" i="7"/>
  <c r="AW241" i="7"/>
  <c r="AV241" i="7"/>
  <c r="AU241" i="7"/>
  <c r="AT241" i="7"/>
  <c r="AS241" i="7"/>
  <c r="AR241" i="7"/>
  <c r="AQ241" i="7"/>
  <c r="AP241" i="7"/>
  <c r="AO241" i="7"/>
  <c r="AN241" i="7"/>
  <c r="AM241" i="7"/>
  <c r="AL241" i="7"/>
  <c r="AK241" i="7"/>
  <c r="AJ241" i="7"/>
  <c r="AI241" i="7"/>
  <c r="AH241" i="7"/>
  <c r="AG241" i="7"/>
  <c r="AF241" i="7"/>
  <c r="AE241" i="7"/>
  <c r="AD241" i="7"/>
  <c r="AC241" i="7"/>
  <c r="AB241" i="7"/>
  <c r="AA241" i="7"/>
  <c r="Z241" i="7"/>
  <c r="Y241" i="7"/>
  <c r="X241" i="7"/>
  <c r="W241" i="7"/>
  <c r="V241" i="7"/>
  <c r="U241" i="7"/>
  <c r="T241" i="7"/>
  <c r="S241" i="7"/>
  <c r="R241" i="7"/>
  <c r="Q241" i="7"/>
  <c r="P241" i="7"/>
  <c r="O241" i="7"/>
  <c r="N241" i="7"/>
  <c r="M241" i="7"/>
  <c r="L241" i="7"/>
  <c r="K241" i="7"/>
  <c r="J241" i="7"/>
  <c r="I241" i="7"/>
  <c r="H241" i="7"/>
  <c r="G241" i="7"/>
  <c r="F241" i="7"/>
  <c r="E241" i="7"/>
  <c r="D241" i="7"/>
  <c r="C241" i="7"/>
  <c r="CF240" i="7"/>
  <c r="CE240" i="7"/>
  <c r="CD240" i="7"/>
  <c r="CC240" i="7"/>
  <c r="CB240" i="7"/>
  <c r="CA240" i="7"/>
  <c r="BZ240" i="7"/>
  <c r="BY240" i="7"/>
  <c r="BX240" i="7"/>
  <c r="BW240" i="7"/>
  <c r="BV240" i="7"/>
  <c r="BU240" i="7"/>
  <c r="BT240" i="7"/>
  <c r="BS240" i="7"/>
  <c r="BR240" i="7"/>
  <c r="BQ240" i="7"/>
  <c r="BP240" i="7"/>
  <c r="BO240" i="7"/>
  <c r="BN240" i="7"/>
  <c r="BM240" i="7"/>
  <c r="BL240" i="7"/>
  <c r="BK240" i="7"/>
  <c r="BJ240" i="7"/>
  <c r="BI240" i="7"/>
  <c r="BH240" i="7"/>
  <c r="BG240" i="7"/>
  <c r="BF240" i="7"/>
  <c r="BE240" i="7"/>
  <c r="BD240" i="7"/>
  <c r="BC240" i="7"/>
  <c r="BB240" i="7"/>
  <c r="BA240" i="7"/>
  <c r="AZ240" i="7"/>
  <c r="AY240" i="7"/>
  <c r="AX240" i="7"/>
  <c r="AW240" i="7"/>
  <c r="AV240" i="7"/>
  <c r="AU240" i="7"/>
  <c r="AT240" i="7"/>
  <c r="AS240" i="7"/>
  <c r="AR240" i="7"/>
  <c r="AQ240" i="7"/>
  <c r="AP240" i="7"/>
  <c r="AO240" i="7"/>
  <c r="AN240" i="7"/>
  <c r="AM240" i="7"/>
  <c r="AL240" i="7"/>
  <c r="AK240" i="7"/>
  <c r="AJ240" i="7"/>
  <c r="AI240" i="7"/>
  <c r="AH240" i="7"/>
  <c r="AG240" i="7"/>
  <c r="AF240" i="7"/>
  <c r="AE240" i="7"/>
  <c r="AD240" i="7"/>
  <c r="AC240" i="7"/>
  <c r="AB240" i="7"/>
  <c r="AA240" i="7"/>
  <c r="Z240" i="7"/>
  <c r="Y240" i="7"/>
  <c r="X240" i="7"/>
  <c r="W240" i="7"/>
  <c r="V240" i="7"/>
  <c r="U240" i="7"/>
  <c r="T240" i="7"/>
  <c r="S240" i="7"/>
  <c r="R240" i="7"/>
  <c r="Q240" i="7"/>
  <c r="P240" i="7"/>
  <c r="O240" i="7"/>
  <c r="N240" i="7"/>
  <c r="M240" i="7"/>
  <c r="L240" i="7"/>
  <c r="K240" i="7"/>
  <c r="J240" i="7"/>
  <c r="I240" i="7"/>
  <c r="H240" i="7"/>
  <c r="G240" i="7"/>
  <c r="F240" i="7"/>
  <c r="E240" i="7"/>
  <c r="D240" i="7"/>
  <c r="C240" i="7"/>
  <c r="CG240" i="7" s="1"/>
  <c r="CF239" i="7"/>
  <c r="CE239" i="7"/>
  <c r="CD239" i="7"/>
  <c r="CC239" i="7"/>
  <c r="CB239" i="7"/>
  <c r="CA239" i="7"/>
  <c r="BZ239" i="7"/>
  <c r="BY239" i="7"/>
  <c r="BX239" i="7"/>
  <c r="BW239" i="7"/>
  <c r="BV239" i="7"/>
  <c r="BU239" i="7"/>
  <c r="BT239" i="7"/>
  <c r="BS239" i="7"/>
  <c r="BR239" i="7"/>
  <c r="BQ239" i="7"/>
  <c r="BP239" i="7"/>
  <c r="BO239" i="7"/>
  <c r="BN239" i="7"/>
  <c r="BM239" i="7"/>
  <c r="BL239" i="7"/>
  <c r="BK239" i="7"/>
  <c r="BJ239" i="7"/>
  <c r="BI239" i="7"/>
  <c r="BH239" i="7"/>
  <c r="BG239" i="7"/>
  <c r="BF239" i="7"/>
  <c r="BE239" i="7"/>
  <c r="BD239" i="7"/>
  <c r="BC239" i="7"/>
  <c r="BB239" i="7"/>
  <c r="BA239" i="7"/>
  <c r="AZ239" i="7"/>
  <c r="AY239" i="7"/>
  <c r="AX239" i="7"/>
  <c r="AW239" i="7"/>
  <c r="AV239" i="7"/>
  <c r="AU239" i="7"/>
  <c r="AT239" i="7"/>
  <c r="AS239" i="7"/>
  <c r="AR239" i="7"/>
  <c r="AQ239" i="7"/>
  <c r="AP239" i="7"/>
  <c r="AO239" i="7"/>
  <c r="AN239" i="7"/>
  <c r="AM239" i="7"/>
  <c r="AL239" i="7"/>
  <c r="AK239" i="7"/>
  <c r="AJ239" i="7"/>
  <c r="AI239" i="7"/>
  <c r="AH239" i="7"/>
  <c r="AG239" i="7"/>
  <c r="AF239" i="7"/>
  <c r="AE239" i="7"/>
  <c r="AD239" i="7"/>
  <c r="AC239" i="7"/>
  <c r="AB239" i="7"/>
  <c r="AA239" i="7"/>
  <c r="Z239" i="7"/>
  <c r="Y239" i="7"/>
  <c r="X239" i="7"/>
  <c r="W239" i="7"/>
  <c r="V239" i="7"/>
  <c r="U239" i="7"/>
  <c r="T239" i="7"/>
  <c r="S239" i="7"/>
  <c r="R239" i="7"/>
  <c r="Q239" i="7"/>
  <c r="P239" i="7"/>
  <c r="O239" i="7"/>
  <c r="N239" i="7"/>
  <c r="M239" i="7"/>
  <c r="L239" i="7"/>
  <c r="K239" i="7"/>
  <c r="J239" i="7"/>
  <c r="I239" i="7"/>
  <c r="H239" i="7"/>
  <c r="G239" i="7"/>
  <c r="F239" i="7"/>
  <c r="E239" i="7"/>
  <c r="CG239" i="7" s="1"/>
  <c r="D239" i="7"/>
  <c r="C239" i="7"/>
  <c r="CF238" i="7"/>
  <c r="CE238" i="7"/>
  <c r="CD238" i="7"/>
  <c r="CC238" i="7"/>
  <c r="CB238" i="7"/>
  <c r="CA238" i="7"/>
  <c r="BZ238" i="7"/>
  <c r="BY238" i="7"/>
  <c r="BX238" i="7"/>
  <c r="BW238" i="7"/>
  <c r="BV238" i="7"/>
  <c r="BU238" i="7"/>
  <c r="BT238" i="7"/>
  <c r="BS238" i="7"/>
  <c r="BR238" i="7"/>
  <c r="BQ238" i="7"/>
  <c r="BP238" i="7"/>
  <c r="BO238" i="7"/>
  <c r="BN238" i="7"/>
  <c r="BM238" i="7"/>
  <c r="BL238" i="7"/>
  <c r="BK238" i="7"/>
  <c r="BJ238" i="7"/>
  <c r="BI238" i="7"/>
  <c r="BH238" i="7"/>
  <c r="BG238" i="7"/>
  <c r="BF238" i="7"/>
  <c r="BE238" i="7"/>
  <c r="BD238" i="7"/>
  <c r="BC238" i="7"/>
  <c r="BB238" i="7"/>
  <c r="BA238" i="7"/>
  <c r="AZ238" i="7"/>
  <c r="AY238" i="7"/>
  <c r="AX238" i="7"/>
  <c r="AW238" i="7"/>
  <c r="AV238" i="7"/>
  <c r="AU238" i="7"/>
  <c r="AT238" i="7"/>
  <c r="AS238" i="7"/>
  <c r="AR238" i="7"/>
  <c r="AQ238" i="7"/>
  <c r="AP238" i="7"/>
  <c r="AO238" i="7"/>
  <c r="AN238" i="7"/>
  <c r="AM238" i="7"/>
  <c r="AL238" i="7"/>
  <c r="AK238" i="7"/>
  <c r="AJ238" i="7"/>
  <c r="AI238" i="7"/>
  <c r="AH238" i="7"/>
  <c r="AG238" i="7"/>
  <c r="AF238" i="7"/>
  <c r="AE238" i="7"/>
  <c r="AD238" i="7"/>
  <c r="AC238" i="7"/>
  <c r="AB238" i="7"/>
  <c r="AA238" i="7"/>
  <c r="Z238" i="7"/>
  <c r="Y238" i="7"/>
  <c r="X238" i="7"/>
  <c r="W238" i="7"/>
  <c r="V238" i="7"/>
  <c r="U238" i="7"/>
  <c r="T238" i="7"/>
  <c r="S238" i="7"/>
  <c r="R238" i="7"/>
  <c r="Q238" i="7"/>
  <c r="P238" i="7"/>
  <c r="O238" i="7"/>
  <c r="N238" i="7"/>
  <c r="M238" i="7"/>
  <c r="L238" i="7"/>
  <c r="K238" i="7"/>
  <c r="J238" i="7"/>
  <c r="I238" i="7"/>
  <c r="H238" i="7"/>
  <c r="G238" i="7"/>
  <c r="F238" i="7"/>
  <c r="E238" i="7"/>
  <c r="D238" i="7"/>
  <c r="C238" i="7"/>
  <c r="CF237" i="7"/>
  <c r="CE237" i="7"/>
  <c r="CD237" i="7"/>
  <c r="CC237" i="7"/>
  <c r="CB237" i="7"/>
  <c r="CA237" i="7"/>
  <c r="BZ237" i="7"/>
  <c r="BY237" i="7"/>
  <c r="BX237" i="7"/>
  <c r="BW237" i="7"/>
  <c r="BV237" i="7"/>
  <c r="BU237" i="7"/>
  <c r="BT237" i="7"/>
  <c r="BS237" i="7"/>
  <c r="BR237" i="7"/>
  <c r="BQ237" i="7"/>
  <c r="BP237" i="7"/>
  <c r="BO237" i="7"/>
  <c r="BN237" i="7"/>
  <c r="BM237" i="7"/>
  <c r="BL237" i="7"/>
  <c r="BK237" i="7"/>
  <c r="BJ237" i="7"/>
  <c r="BI237" i="7"/>
  <c r="BH237" i="7"/>
  <c r="BG237" i="7"/>
  <c r="BF237" i="7"/>
  <c r="BE237" i="7"/>
  <c r="BD237" i="7"/>
  <c r="BC237" i="7"/>
  <c r="BB237" i="7"/>
  <c r="BA237" i="7"/>
  <c r="AZ237" i="7"/>
  <c r="AY237" i="7"/>
  <c r="AX237" i="7"/>
  <c r="AW237" i="7"/>
  <c r="AV237" i="7"/>
  <c r="AU237" i="7"/>
  <c r="AT237" i="7"/>
  <c r="AS237" i="7"/>
  <c r="AR237" i="7"/>
  <c r="AQ237" i="7"/>
  <c r="AP237" i="7"/>
  <c r="AO237" i="7"/>
  <c r="AN237" i="7"/>
  <c r="AM237" i="7"/>
  <c r="AL237" i="7"/>
  <c r="AK237" i="7"/>
  <c r="AJ237" i="7"/>
  <c r="AI237" i="7"/>
  <c r="AH237" i="7"/>
  <c r="AG237" i="7"/>
  <c r="AF237" i="7"/>
  <c r="AE237" i="7"/>
  <c r="AD237" i="7"/>
  <c r="AC237" i="7"/>
  <c r="AB237" i="7"/>
  <c r="AA237" i="7"/>
  <c r="Z237" i="7"/>
  <c r="Y237" i="7"/>
  <c r="X237" i="7"/>
  <c r="W237" i="7"/>
  <c r="V237" i="7"/>
  <c r="U237" i="7"/>
  <c r="T237" i="7"/>
  <c r="S237" i="7"/>
  <c r="R237" i="7"/>
  <c r="Q237" i="7"/>
  <c r="P237" i="7"/>
  <c r="O237" i="7"/>
  <c r="N237" i="7"/>
  <c r="M237" i="7"/>
  <c r="L237" i="7"/>
  <c r="K237" i="7"/>
  <c r="J237" i="7"/>
  <c r="I237" i="7"/>
  <c r="H237" i="7"/>
  <c r="G237" i="7"/>
  <c r="F237" i="7"/>
  <c r="E237" i="7"/>
  <c r="D237" i="7"/>
  <c r="C237" i="7"/>
  <c r="CF236" i="7"/>
  <c r="CE236" i="7"/>
  <c r="CD236" i="7"/>
  <c r="CC236" i="7"/>
  <c r="CB236" i="7"/>
  <c r="CA236" i="7"/>
  <c r="BZ236" i="7"/>
  <c r="BY236" i="7"/>
  <c r="BX236" i="7"/>
  <c r="BW236" i="7"/>
  <c r="BV236" i="7"/>
  <c r="BU236" i="7"/>
  <c r="BT236" i="7"/>
  <c r="BS236" i="7"/>
  <c r="BR236" i="7"/>
  <c r="BQ236" i="7"/>
  <c r="BP236" i="7"/>
  <c r="BO236" i="7"/>
  <c r="BN236" i="7"/>
  <c r="BM236" i="7"/>
  <c r="BL236" i="7"/>
  <c r="BK236" i="7"/>
  <c r="BJ236" i="7"/>
  <c r="BI236" i="7"/>
  <c r="BH236" i="7"/>
  <c r="BG236" i="7"/>
  <c r="BF236" i="7"/>
  <c r="BE236" i="7"/>
  <c r="BD236" i="7"/>
  <c r="BC236" i="7"/>
  <c r="BB236" i="7"/>
  <c r="BA236" i="7"/>
  <c r="AZ236" i="7"/>
  <c r="AY236" i="7"/>
  <c r="AX236" i="7"/>
  <c r="AW236" i="7"/>
  <c r="AV236" i="7"/>
  <c r="AU236" i="7"/>
  <c r="AT236" i="7"/>
  <c r="AS236" i="7"/>
  <c r="AR236" i="7"/>
  <c r="AQ236" i="7"/>
  <c r="AP236" i="7"/>
  <c r="AO236" i="7"/>
  <c r="AN236" i="7"/>
  <c r="AM236" i="7"/>
  <c r="AL236" i="7"/>
  <c r="AK236" i="7"/>
  <c r="AJ236" i="7"/>
  <c r="AI236" i="7"/>
  <c r="AH236" i="7"/>
  <c r="AG236" i="7"/>
  <c r="AF236" i="7"/>
  <c r="AE236" i="7"/>
  <c r="AD236" i="7"/>
  <c r="AC236" i="7"/>
  <c r="AB236" i="7"/>
  <c r="AA236" i="7"/>
  <c r="Z236" i="7"/>
  <c r="Y236" i="7"/>
  <c r="X236" i="7"/>
  <c r="W236" i="7"/>
  <c r="V236" i="7"/>
  <c r="U236" i="7"/>
  <c r="T236" i="7"/>
  <c r="S236" i="7"/>
  <c r="R236" i="7"/>
  <c r="Q236" i="7"/>
  <c r="P236" i="7"/>
  <c r="O236" i="7"/>
  <c r="N236" i="7"/>
  <c r="M236" i="7"/>
  <c r="L236" i="7"/>
  <c r="K236" i="7"/>
  <c r="J236" i="7"/>
  <c r="I236" i="7"/>
  <c r="H236" i="7"/>
  <c r="G236" i="7"/>
  <c r="F236" i="7"/>
  <c r="E236" i="7"/>
  <c r="D236" i="7"/>
  <c r="C236" i="7"/>
  <c r="CG236" i="7" s="1"/>
  <c r="CF235" i="7"/>
  <c r="CE235" i="7"/>
  <c r="CD235" i="7"/>
  <c r="CC235" i="7"/>
  <c r="CB235" i="7"/>
  <c r="CA235" i="7"/>
  <c r="BZ235" i="7"/>
  <c r="BY235" i="7"/>
  <c r="BX235" i="7"/>
  <c r="BW235" i="7"/>
  <c r="BV235" i="7"/>
  <c r="BU235" i="7"/>
  <c r="BT235" i="7"/>
  <c r="BS235" i="7"/>
  <c r="BR235" i="7"/>
  <c r="BQ235" i="7"/>
  <c r="BP235" i="7"/>
  <c r="BO235" i="7"/>
  <c r="BN235" i="7"/>
  <c r="BM235" i="7"/>
  <c r="BL235" i="7"/>
  <c r="BK235" i="7"/>
  <c r="BJ235" i="7"/>
  <c r="BI235" i="7"/>
  <c r="BH235" i="7"/>
  <c r="BG235" i="7"/>
  <c r="BF235" i="7"/>
  <c r="BE235" i="7"/>
  <c r="BD235" i="7"/>
  <c r="BC235" i="7"/>
  <c r="BB235" i="7"/>
  <c r="BA235" i="7"/>
  <c r="AZ235" i="7"/>
  <c r="AY235" i="7"/>
  <c r="AX235" i="7"/>
  <c r="AW235" i="7"/>
  <c r="AV235" i="7"/>
  <c r="AU235" i="7"/>
  <c r="AT235" i="7"/>
  <c r="AS235" i="7"/>
  <c r="AR235" i="7"/>
  <c r="AQ235" i="7"/>
  <c r="AP235" i="7"/>
  <c r="AO235" i="7"/>
  <c r="AN235" i="7"/>
  <c r="AM235" i="7"/>
  <c r="AL235" i="7"/>
  <c r="AK235" i="7"/>
  <c r="AJ235" i="7"/>
  <c r="AI235" i="7"/>
  <c r="AH235" i="7"/>
  <c r="AG235" i="7"/>
  <c r="AF235" i="7"/>
  <c r="AE235" i="7"/>
  <c r="AD235" i="7"/>
  <c r="AC235" i="7"/>
  <c r="AB235" i="7"/>
  <c r="AA235" i="7"/>
  <c r="Z235" i="7"/>
  <c r="Y235" i="7"/>
  <c r="X235" i="7"/>
  <c r="W235" i="7"/>
  <c r="V235" i="7"/>
  <c r="U235" i="7"/>
  <c r="T235" i="7"/>
  <c r="S235" i="7"/>
  <c r="R235" i="7"/>
  <c r="Q235" i="7"/>
  <c r="P235" i="7"/>
  <c r="O235" i="7"/>
  <c r="N235" i="7"/>
  <c r="M235" i="7"/>
  <c r="L235" i="7"/>
  <c r="K235" i="7"/>
  <c r="J235" i="7"/>
  <c r="I235" i="7"/>
  <c r="H235" i="7"/>
  <c r="G235" i="7"/>
  <c r="F235" i="7"/>
  <c r="E235" i="7"/>
  <c r="D235" i="7"/>
  <c r="C235" i="7"/>
  <c r="CG235" i="7" s="1"/>
  <c r="CF234" i="7"/>
  <c r="CE234" i="7"/>
  <c r="CD234" i="7"/>
  <c r="CC234" i="7"/>
  <c r="CB234" i="7"/>
  <c r="CA234" i="7"/>
  <c r="BZ234" i="7"/>
  <c r="BY234" i="7"/>
  <c r="BX234" i="7"/>
  <c r="BW234" i="7"/>
  <c r="BV234" i="7"/>
  <c r="BU234" i="7"/>
  <c r="BT234" i="7"/>
  <c r="BS234" i="7"/>
  <c r="BR234" i="7"/>
  <c r="BQ234" i="7"/>
  <c r="BP234" i="7"/>
  <c r="BO234" i="7"/>
  <c r="BN234" i="7"/>
  <c r="BM234" i="7"/>
  <c r="BL234" i="7"/>
  <c r="BK234" i="7"/>
  <c r="BJ234" i="7"/>
  <c r="BI234" i="7"/>
  <c r="BH234" i="7"/>
  <c r="BG234" i="7"/>
  <c r="BF234" i="7"/>
  <c r="BE234" i="7"/>
  <c r="BD234" i="7"/>
  <c r="BC234" i="7"/>
  <c r="BB234" i="7"/>
  <c r="BA234" i="7"/>
  <c r="AZ234" i="7"/>
  <c r="AY234" i="7"/>
  <c r="AX234" i="7"/>
  <c r="AW234" i="7"/>
  <c r="AV234" i="7"/>
  <c r="AU234" i="7"/>
  <c r="AT234" i="7"/>
  <c r="AS234" i="7"/>
  <c r="AR234" i="7"/>
  <c r="AQ234" i="7"/>
  <c r="AP234" i="7"/>
  <c r="AO234" i="7"/>
  <c r="AN234" i="7"/>
  <c r="AM234" i="7"/>
  <c r="AL234" i="7"/>
  <c r="AK234" i="7"/>
  <c r="AJ234" i="7"/>
  <c r="AI234" i="7"/>
  <c r="AH234" i="7"/>
  <c r="AG234" i="7"/>
  <c r="AF234" i="7"/>
  <c r="AE234" i="7"/>
  <c r="AD234" i="7"/>
  <c r="AC234" i="7"/>
  <c r="AB234" i="7"/>
  <c r="AA234" i="7"/>
  <c r="Z234" i="7"/>
  <c r="Y234" i="7"/>
  <c r="X234" i="7"/>
  <c r="W234" i="7"/>
  <c r="V234" i="7"/>
  <c r="U234" i="7"/>
  <c r="T234" i="7"/>
  <c r="S234" i="7"/>
  <c r="R234" i="7"/>
  <c r="Q234" i="7"/>
  <c r="P234" i="7"/>
  <c r="O234" i="7"/>
  <c r="N234" i="7"/>
  <c r="M234" i="7"/>
  <c r="L234" i="7"/>
  <c r="K234" i="7"/>
  <c r="J234" i="7"/>
  <c r="I234" i="7"/>
  <c r="H234" i="7"/>
  <c r="G234" i="7"/>
  <c r="F234" i="7"/>
  <c r="E234" i="7"/>
  <c r="D234" i="7"/>
  <c r="C234" i="7"/>
  <c r="CG234" i="7" s="1"/>
  <c r="CF233" i="7"/>
  <c r="CE233" i="7"/>
  <c r="CD233" i="7"/>
  <c r="CC233" i="7"/>
  <c r="CB233" i="7"/>
  <c r="CA233" i="7"/>
  <c r="BZ233" i="7"/>
  <c r="BY233" i="7"/>
  <c r="BX233" i="7"/>
  <c r="BW233" i="7"/>
  <c r="BV233" i="7"/>
  <c r="BU233" i="7"/>
  <c r="BT233" i="7"/>
  <c r="BS233" i="7"/>
  <c r="BR233" i="7"/>
  <c r="BQ233" i="7"/>
  <c r="BP233" i="7"/>
  <c r="BO233" i="7"/>
  <c r="BN233" i="7"/>
  <c r="BM233" i="7"/>
  <c r="BL233" i="7"/>
  <c r="BK233" i="7"/>
  <c r="BJ233" i="7"/>
  <c r="BI233" i="7"/>
  <c r="BH233" i="7"/>
  <c r="BG233" i="7"/>
  <c r="BF233" i="7"/>
  <c r="BE233" i="7"/>
  <c r="BD233" i="7"/>
  <c r="BC233" i="7"/>
  <c r="BB233" i="7"/>
  <c r="BA233" i="7"/>
  <c r="AZ233" i="7"/>
  <c r="AY233" i="7"/>
  <c r="AX233" i="7"/>
  <c r="AW233" i="7"/>
  <c r="AV233" i="7"/>
  <c r="AU233" i="7"/>
  <c r="AT233" i="7"/>
  <c r="AS233" i="7"/>
  <c r="AR233" i="7"/>
  <c r="AQ233" i="7"/>
  <c r="AP233" i="7"/>
  <c r="AO233" i="7"/>
  <c r="AN233" i="7"/>
  <c r="AM233" i="7"/>
  <c r="AL233" i="7"/>
  <c r="AK233" i="7"/>
  <c r="AJ233" i="7"/>
  <c r="AI233" i="7"/>
  <c r="AH233" i="7"/>
  <c r="AG233" i="7"/>
  <c r="AF233" i="7"/>
  <c r="AE233" i="7"/>
  <c r="AD233" i="7"/>
  <c r="AC233" i="7"/>
  <c r="AB233" i="7"/>
  <c r="AA233" i="7"/>
  <c r="Z233" i="7"/>
  <c r="Y233" i="7"/>
  <c r="X233" i="7"/>
  <c r="W233" i="7"/>
  <c r="V233" i="7"/>
  <c r="U233" i="7"/>
  <c r="T233" i="7"/>
  <c r="S233" i="7"/>
  <c r="CG233" i="7" s="1"/>
  <c r="R233" i="7"/>
  <c r="Q233" i="7"/>
  <c r="P233" i="7"/>
  <c r="O233" i="7"/>
  <c r="N233" i="7"/>
  <c r="M233" i="7"/>
  <c r="L233" i="7"/>
  <c r="K233" i="7"/>
  <c r="J233" i="7"/>
  <c r="I233" i="7"/>
  <c r="H233" i="7"/>
  <c r="G233" i="7"/>
  <c r="F233" i="7"/>
  <c r="E233" i="7"/>
  <c r="D233" i="7"/>
  <c r="C233" i="7"/>
  <c r="CF232" i="7"/>
  <c r="CE232" i="7"/>
  <c r="CD232" i="7"/>
  <c r="CC232" i="7"/>
  <c r="CB232" i="7"/>
  <c r="CA232" i="7"/>
  <c r="BZ232" i="7"/>
  <c r="BY232" i="7"/>
  <c r="BX232" i="7"/>
  <c r="BW232" i="7"/>
  <c r="BV232" i="7"/>
  <c r="BU232" i="7"/>
  <c r="BT232" i="7"/>
  <c r="BS232" i="7"/>
  <c r="BR232" i="7"/>
  <c r="BQ232" i="7"/>
  <c r="BP232" i="7"/>
  <c r="BO232" i="7"/>
  <c r="BN232" i="7"/>
  <c r="BM232" i="7"/>
  <c r="BL232" i="7"/>
  <c r="BK232" i="7"/>
  <c r="BJ232" i="7"/>
  <c r="BI232" i="7"/>
  <c r="BH232" i="7"/>
  <c r="BG232" i="7"/>
  <c r="BF232" i="7"/>
  <c r="BE232" i="7"/>
  <c r="BD232" i="7"/>
  <c r="BC232" i="7"/>
  <c r="BB232" i="7"/>
  <c r="BA232" i="7"/>
  <c r="AZ232" i="7"/>
  <c r="AY232" i="7"/>
  <c r="AX232" i="7"/>
  <c r="AW232" i="7"/>
  <c r="AV232" i="7"/>
  <c r="AU232" i="7"/>
  <c r="AT232" i="7"/>
  <c r="AS232" i="7"/>
  <c r="AR232" i="7"/>
  <c r="AQ232" i="7"/>
  <c r="AP232" i="7"/>
  <c r="AO232" i="7"/>
  <c r="AN232" i="7"/>
  <c r="AM232" i="7"/>
  <c r="AL232" i="7"/>
  <c r="AK232" i="7"/>
  <c r="AJ232" i="7"/>
  <c r="AI232" i="7"/>
  <c r="AH232" i="7"/>
  <c r="AG232" i="7"/>
  <c r="AF232" i="7"/>
  <c r="AE232" i="7"/>
  <c r="AD232" i="7"/>
  <c r="AC232" i="7"/>
  <c r="AB232" i="7"/>
  <c r="AA232" i="7"/>
  <c r="Z232" i="7"/>
  <c r="Y232" i="7"/>
  <c r="X232" i="7"/>
  <c r="W232" i="7"/>
  <c r="V232" i="7"/>
  <c r="U232" i="7"/>
  <c r="T232" i="7"/>
  <c r="S232" i="7"/>
  <c r="R232" i="7"/>
  <c r="Q232" i="7"/>
  <c r="P232" i="7"/>
  <c r="O232" i="7"/>
  <c r="N232" i="7"/>
  <c r="M232" i="7"/>
  <c r="L232" i="7"/>
  <c r="K232" i="7"/>
  <c r="J232" i="7"/>
  <c r="I232" i="7"/>
  <c r="H232" i="7"/>
  <c r="G232" i="7"/>
  <c r="F232" i="7"/>
  <c r="E232" i="7"/>
  <c r="D232" i="7"/>
  <c r="C232" i="7"/>
  <c r="CG232" i="7" s="1"/>
  <c r="CF231" i="7"/>
  <c r="CE231" i="7"/>
  <c r="CD231" i="7"/>
  <c r="CC231" i="7"/>
  <c r="CB231" i="7"/>
  <c r="CA231" i="7"/>
  <c r="BZ231" i="7"/>
  <c r="BY231" i="7"/>
  <c r="BX231" i="7"/>
  <c r="BW231" i="7"/>
  <c r="BV231" i="7"/>
  <c r="BU231" i="7"/>
  <c r="BT231" i="7"/>
  <c r="BS231" i="7"/>
  <c r="BR231" i="7"/>
  <c r="BQ231" i="7"/>
  <c r="BP231" i="7"/>
  <c r="BO231" i="7"/>
  <c r="BN231" i="7"/>
  <c r="BM231" i="7"/>
  <c r="BL231" i="7"/>
  <c r="BK231" i="7"/>
  <c r="BJ231" i="7"/>
  <c r="BI231" i="7"/>
  <c r="BH231" i="7"/>
  <c r="BG231" i="7"/>
  <c r="BF231" i="7"/>
  <c r="BE231" i="7"/>
  <c r="BD231" i="7"/>
  <c r="BC231" i="7"/>
  <c r="BB231" i="7"/>
  <c r="BA231" i="7"/>
  <c r="AZ231" i="7"/>
  <c r="AY231" i="7"/>
  <c r="AX231" i="7"/>
  <c r="AW231" i="7"/>
  <c r="AV231" i="7"/>
  <c r="AU231" i="7"/>
  <c r="AT231" i="7"/>
  <c r="AS231" i="7"/>
  <c r="AR231" i="7"/>
  <c r="AQ231" i="7"/>
  <c r="AP231" i="7"/>
  <c r="AO231" i="7"/>
  <c r="AN231" i="7"/>
  <c r="AM231" i="7"/>
  <c r="AL231" i="7"/>
  <c r="AK231" i="7"/>
  <c r="AJ231" i="7"/>
  <c r="AI231" i="7"/>
  <c r="AH231" i="7"/>
  <c r="AG231" i="7"/>
  <c r="AF231" i="7"/>
  <c r="AE231" i="7"/>
  <c r="AD231" i="7"/>
  <c r="AC231" i="7"/>
  <c r="AB231" i="7"/>
  <c r="AA231" i="7"/>
  <c r="Z231" i="7"/>
  <c r="Y231" i="7"/>
  <c r="X231" i="7"/>
  <c r="W231" i="7"/>
  <c r="V231" i="7"/>
  <c r="U231" i="7"/>
  <c r="T231" i="7"/>
  <c r="S231" i="7"/>
  <c r="R231" i="7"/>
  <c r="Q231" i="7"/>
  <c r="P231" i="7"/>
  <c r="O231" i="7"/>
  <c r="N231" i="7"/>
  <c r="M231" i="7"/>
  <c r="L231" i="7"/>
  <c r="K231" i="7"/>
  <c r="J231" i="7"/>
  <c r="I231" i="7"/>
  <c r="H231" i="7"/>
  <c r="G231" i="7"/>
  <c r="F231" i="7"/>
  <c r="E231" i="7"/>
  <c r="D231" i="7"/>
  <c r="C231" i="7"/>
  <c r="CG231" i="7" s="1"/>
  <c r="CF230" i="7"/>
  <c r="CE230" i="7"/>
  <c r="CD230" i="7"/>
  <c r="CC230" i="7"/>
  <c r="CB230" i="7"/>
  <c r="CA230" i="7"/>
  <c r="BZ230" i="7"/>
  <c r="BY230" i="7"/>
  <c r="BX230" i="7"/>
  <c r="BW230" i="7"/>
  <c r="BV230" i="7"/>
  <c r="BU230" i="7"/>
  <c r="BT230" i="7"/>
  <c r="BS230" i="7"/>
  <c r="BR230" i="7"/>
  <c r="BQ230" i="7"/>
  <c r="BP230" i="7"/>
  <c r="BO230" i="7"/>
  <c r="BN230" i="7"/>
  <c r="BM230" i="7"/>
  <c r="BL230" i="7"/>
  <c r="BK230" i="7"/>
  <c r="BJ230" i="7"/>
  <c r="BI230" i="7"/>
  <c r="BH230" i="7"/>
  <c r="BG230" i="7"/>
  <c r="BF230" i="7"/>
  <c r="BE230" i="7"/>
  <c r="BD230" i="7"/>
  <c r="BC230" i="7"/>
  <c r="BB230" i="7"/>
  <c r="BA230" i="7"/>
  <c r="AZ230" i="7"/>
  <c r="AY230" i="7"/>
  <c r="AX230" i="7"/>
  <c r="AW230" i="7"/>
  <c r="AV230" i="7"/>
  <c r="AU230" i="7"/>
  <c r="AT230" i="7"/>
  <c r="AS230" i="7"/>
  <c r="AR230" i="7"/>
  <c r="AQ230" i="7"/>
  <c r="AP230" i="7"/>
  <c r="AO230" i="7"/>
  <c r="AN230" i="7"/>
  <c r="AM230" i="7"/>
  <c r="AL230" i="7"/>
  <c r="AK230" i="7"/>
  <c r="AJ230" i="7"/>
  <c r="AI230" i="7"/>
  <c r="AH230" i="7"/>
  <c r="AG230" i="7"/>
  <c r="AF230" i="7"/>
  <c r="AE230" i="7"/>
  <c r="AD230" i="7"/>
  <c r="AC230" i="7"/>
  <c r="AB230" i="7"/>
  <c r="AA230" i="7"/>
  <c r="Z230" i="7"/>
  <c r="Y230" i="7"/>
  <c r="X230" i="7"/>
  <c r="W230" i="7"/>
  <c r="V230" i="7"/>
  <c r="U230" i="7"/>
  <c r="T230" i="7"/>
  <c r="S230" i="7"/>
  <c r="R230" i="7"/>
  <c r="Q230" i="7"/>
  <c r="P230" i="7"/>
  <c r="O230" i="7"/>
  <c r="N230" i="7"/>
  <c r="M230" i="7"/>
  <c r="L230" i="7"/>
  <c r="K230" i="7"/>
  <c r="J230" i="7"/>
  <c r="I230" i="7"/>
  <c r="H230" i="7"/>
  <c r="G230" i="7"/>
  <c r="F230" i="7"/>
  <c r="E230" i="7"/>
  <c r="D230" i="7"/>
  <c r="C230" i="7"/>
  <c r="CG230" i="7" s="1"/>
  <c r="CF229" i="7"/>
  <c r="CE229" i="7"/>
  <c r="CD229" i="7"/>
  <c r="CC229" i="7"/>
  <c r="CB229" i="7"/>
  <c r="CA229" i="7"/>
  <c r="BZ229" i="7"/>
  <c r="BY229" i="7"/>
  <c r="BX229" i="7"/>
  <c r="BW229" i="7"/>
  <c r="BV229" i="7"/>
  <c r="BU229" i="7"/>
  <c r="BT229" i="7"/>
  <c r="BS229" i="7"/>
  <c r="BR229" i="7"/>
  <c r="BQ229" i="7"/>
  <c r="BP229" i="7"/>
  <c r="BO229" i="7"/>
  <c r="BN229" i="7"/>
  <c r="BM229" i="7"/>
  <c r="BL229" i="7"/>
  <c r="BK229" i="7"/>
  <c r="BJ229" i="7"/>
  <c r="BI229" i="7"/>
  <c r="BH229" i="7"/>
  <c r="BG229" i="7"/>
  <c r="BF229" i="7"/>
  <c r="BE229" i="7"/>
  <c r="BD229" i="7"/>
  <c r="BC229" i="7"/>
  <c r="BB229" i="7"/>
  <c r="BA229" i="7"/>
  <c r="AZ229" i="7"/>
  <c r="AY229" i="7"/>
  <c r="AX229" i="7"/>
  <c r="AW229" i="7"/>
  <c r="AV229" i="7"/>
  <c r="AU229" i="7"/>
  <c r="AT229" i="7"/>
  <c r="AS229" i="7"/>
  <c r="AR229" i="7"/>
  <c r="AQ229" i="7"/>
  <c r="AP229" i="7"/>
  <c r="AO229" i="7"/>
  <c r="AN229" i="7"/>
  <c r="AM229" i="7"/>
  <c r="AL229" i="7"/>
  <c r="AK229" i="7"/>
  <c r="AJ229" i="7"/>
  <c r="AI229" i="7"/>
  <c r="AH229" i="7"/>
  <c r="AG229" i="7"/>
  <c r="AF229" i="7"/>
  <c r="AE229" i="7"/>
  <c r="AD229" i="7"/>
  <c r="AC229" i="7"/>
  <c r="AB229" i="7"/>
  <c r="AA229" i="7"/>
  <c r="Z229" i="7"/>
  <c r="Y229" i="7"/>
  <c r="X229" i="7"/>
  <c r="W229" i="7"/>
  <c r="V229" i="7"/>
  <c r="U229" i="7"/>
  <c r="T229" i="7"/>
  <c r="S229" i="7"/>
  <c r="R229" i="7"/>
  <c r="Q229" i="7"/>
  <c r="P229" i="7"/>
  <c r="O229" i="7"/>
  <c r="N229" i="7"/>
  <c r="M229" i="7"/>
  <c r="L229" i="7"/>
  <c r="K229" i="7"/>
  <c r="J229" i="7"/>
  <c r="I229" i="7"/>
  <c r="H229" i="7"/>
  <c r="G229" i="7"/>
  <c r="F229" i="7"/>
  <c r="E229" i="7"/>
  <c r="D229" i="7"/>
  <c r="C229" i="7"/>
  <c r="CG229" i="7" s="1"/>
  <c r="CF228" i="7"/>
  <c r="CE228" i="7"/>
  <c r="CD228" i="7"/>
  <c r="CC228" i="7"/>
  <c r="CB228" i="7"/>
  <c r="CA228" i="7"/>
  <c r="BZ228" i="7"/>
  <c r="BY228" i="7"/>
  <c r="BX228" i="7"/>
  <c r="BW228" i="7"/>
  <c r="BV228" i="7"/>
  <c r="BU228" i="7"/>
  <c r="BT228" i="7"/>
  <c r="BS228" i="7"/>
  <c r="BR228" i="7"/>
  <c r="BQ228" i="7"/>
  <c r="BP228" i="7"/>
  <c r="BO228" i="7"/>
  <c r="BN228" i="7"/>
  <c r="BM228" i="7"/>
  <c r="BL228" i="7"/>
  <c r="BK228" i="7"/>
  <c r="BJ228" i="7"/>
  <c r="BI228" i="7"/>
  <c r="BH228" i="7"/>
  <c r="BG228" i="7"/>
  <c r="BF228" i="7"/>
  <c r="BE228" i="7"/>
  <c r="BD228" i="7"/>
  <c r="BC228" i="7"/>
  <c r="BB228" i="7"/>
  <c r="BA228" i="7"/>
  <c r="AZ228" i="7"/>
  <c r="AY228" i="7"/>
  <c r="AX228" i="7"/>
  <c r="AW228" i="7"/>
  <c r="AV228" i="7"/>
  <c r="AU228" i="7"/>
  <c r="AT228" i="7"/>
  <c r="AS228" i="7"/>
  <c r="AR228" i="7"/>
  <c r="AQ228" i="7"/>
  <c r="AP228" i="7"/>
  <c r="AO228" i="7"/>
  <c r="AN228" i="7"/>
  <c r="AM228" i="7"/>
  <c r="AL228" i="7"/>
  <c r="AK228" i="7"/>
  <c r="AJ228" i="7"/>
  <c r="AI228" i="7"/>
  <c r="AH228" i="7"/>
  <c r="AG228" i="7"/>
  <c r="AF228" i="7"/>
  <c r="AE228" i="7"/>
  <c r="AD228" i="7"/>
  <c r="AC228" i="7"/>
  <c r="AB228" i="7"/>
  <c r="AA228" i="7"/>
  <c r="Z228" i="7"/>
  <c r="Y228" i="7"/>
  <c r="X228" i="7"/>
  <c r="W228" i="7"/>
  <c r="V228" i="7"/>
  <c r="U228" i="7"/>
  <c r="T228" i="7"/>
  <c r="S228" i="7"/>
  <c r="R228" i="7"/>
  <c r="Q228" i="7"/>
  <c r="P228" i="7"/>
  <c r="O228" i="7"/>
  <c r="N228" i="7"/>
  <c r="M228" i="7"/>
  <c r="L228" i="7"/>
  <c r="K228" i="7"/>
  <c r="J228" i="7"/>
  <c r="I228" i="7"/>
  <c r="H228" i="7"/>
  <c r="G228" i="7"/>
  <c r="F228" i="7"/>
  <c r="E228" i="7"/>
  <c r="CG228" i="7" s="1"/>
  <c r="D228" i="7"/>
  <c r="C228" i="7"/>
  <c r="CF227" i="7"/>
  <c r="CE227" i="7"/>
  <c r="CD227" i="7"/>
  <c r="CC227" i="7"/>
  <c r="CB227" i="7"/>
  <c r="CA227" i="7"/>
  <c r="BZ227" i="7"/>
  <c r="BY227" i="7"/>
  <c r="BX227" i="7"/>
  <c r="BW227" i="7"/>
  <c r="BV227" i="7"/>
  <c r="BU227" i="7"/>
  <c r="BT227" i="7"/>
  <c r="BS227" i="7"/>
  <c r="BR227" i="7"/>
  <c r="BQ227" i="7"/>
  <c r="BP227" i="7"/>
  <c r="BO227" i="7"/>
  <c r="BN227" i="7"/>
  <c r="BM227" i="7"/>
  <c r="BL227" i="7"/>
  <c r="BK227" i="7"/>
  <c r="BJ227" i="7"/>
  <c r="BI227" i="7"/>
  <c r="BH227" i="7"/>
  <c r="BG227" i="7"/>
  <c r="BF227" i="7"/>
  <c r="BE227" i="7"/>
  <c r="BD227" i="7"/>
  <c r="BC227" i="7"/>
  <c r="BB227" i="7"/>
  <c r="BA227" i="7"/>
  <c r="AZ227" i="7"/>
  <c r="AY227" i="7"/>
  <c r="AX227" i="7"/>
  <c r="AW227" i="7"/>
  <c r="AV227" i="7"/>
  <c r="AU227" i="7"/>
  <c r="AT227" i="7"/>
  <c r="AS227" i="7"/>
  <c r="AR227" i="7"/>
  <c r="AQ227" i="7"/>
  <c r="AP227" i="7"/>
  <c r="AO227" i="7"/>
  <c r="AN227" i="7"/>
  <c r="AM227" i="7"/>
  <c r="AL227" i="7"/>
  <c r="AK227" i="7"/>
  <c r="AJ227" i="7"/>
  <c r="AI227" i="7"/>
  <c r="AH227" i="7"/>
  <c r="AG227" i="7"/>
  <c r="AF227" i="7"/>
  <c r="AE227" i="7"/>
  <c r="AD227" i="7"/>
  <c r="AC227" i="7"/>
  <c r="AB227" i="7"/>
  <c r="AA227" i="7"/>
  <c r="Z227" i="7"/>
  <c r="Y227" i="7"/>
  <c r="X227" i="7"/>
  <c r="W227" i="7"/>
  <c r="V227" i="7"/>
  <c r="U227" i="7"/>
  <c r="T227" i="7"/>
  <c r="S227" i="7"/>
  <c r="R227" i="7"/>
  <c r="Q227" i="7"/>
  <c r="P227" i="7"/>
  <c r="O227" i="7"/>
  <c r="N227" i="7"/>
  <c r="M227" i="7"/>
  <c r="L227" i="7"/>
  <c r="K227" i="7"/>
  <c r="J227" i="7"/>
  <c r="I227" i="7"/>
  <c r="H227" i="7"/>
  <c r="G227" i="7"/>
  <c r="F227" i="7"/>
  <c r="E227" i="7"/>
  <c r="D227" i="7"/>
  <c r="C227" i="7"/>
  <c r="CG227" i="7" s="1"/>
  <c r="CF226" i="7"/>
  <c r="CE226" i="7"/>
  <c r="CD226" i="7"/>
  <c r="CC226" i="7"/>
  <c r="CB226" i="7"/>
  <c r="CA226" i="7"/>
  <c r="BZ226" i="7"/>
  <c r="BY226" i="7"/>
  <c r="BX226" i="7"/>
  <c r="BW226" i="7"/>
  <c r="BV226" i="7"/>
  <c r="BU226" i="7"/>
  <c r="BT226" i="7"/>
  <c r="BS226" i="7"/>
  <c r="BR226" i="7"/>
  <c r="BQ226" i="7"/>
  <c r="BP226" i="7"/>
  <c r="BO226" i="7"/>
  <c r="BN226" i="7"/>
  <c r="BM226" i="7"/>
  <c r="BL226" i="7"/>
  <c r="BK226" i="7"/>
  <c r="BJ226" i="7"/>
  <c r="BI226" i="7"/>
  <c r="BH226" i="7"/>
  <c r="BG226" i="7"/>
  <c r="BF226" i="7"/>
  <c r="BE226" i="7"/>
  <c r="BD226" i="7"/>
  <c r="BC226" i="7"/>
  <c r="BB226" i="7"/>
  <c r="BA226" i="7"/>
  <c r="AZ226" i="7"/>
  <c r="AY226" i="7"/>
  <c r="AX226" i="7"/>
  <c r="AW226" i="7"/>
  <c r="AV226" i="7"/>
  <c r="AU226" i="7"/>
  <c r="AT226" i="7"/>
  <c r="AS226" i="7"/>
  <c r="AR226" i="7"/>
  <c r="AQ226" i="7"/>
  <c r="AP226" i="7"/>
  <c r="AO226" i="7"/>
  <c r="AN226" i="7"/>
  <c r="AM226" i="7"/>
  <c r="AL226" i="7"/>
  <c r="AK226" i="7"/>
  <c r="AJ226" i="7"/>
  <c r="AI226" i="7"/>
  <c r="AH226" i="7"/>
  <c r="AG226" i="7"/>
  <c r="AF226" i="7"/>
  <c r="AE226" i="7"/>
  <c r="AD226" i="7"/>
  <c r="AC226" i="7"/>
  <c r="AB226" i="7"/>
  <c r="AA226" i="7"/>
  <c r="Z226" i="7"/>
  <c r="Y226" i="7"/>
  <c r="X226" i="7"/>
  <c r="W226" i="7"/>
  <c r="V226" i="7"/>
  <c r="U226" i="7"/>
  <c r="T226" i="7"/>
  <c r="S226" i="7"/>
  <c r="R226" i="7"/>
  <c r="Q226" i="7"/>
  <c r="P226" i="7"/>
  <c r="O226" i="7"/>
  <c r="N226" i="7"/>
  <c r="M226" i="7"/>
  <c r="L226" i="7"/>
  <c r="K226" i="7"/>
  <c r="J226" i="7"/>
  <c r="I226" i="7"/>
  <c r="H226" i="7"/>
  <c r="G226" i="7"/>
  <c r="F226" i="7"/>
  <c r="E226" i="7"/>
  <c r="D226" i="7"/>
  <c r="C226" i="7"/>
  <c r="CF225" i="7"/>
  <c r="CE225" i="7"/>
  <c r="CD225" i="7"/>
  <c r="CC225" i="7"/>
  <c r="CB225" i="7"/>
  <c r="CA225" i="7"/>
  <c r="BZ225" i="7"/>
  <c r="BY225" i="7"/>
  <c r="BX225" i="7"/>
  <c r="BW225" i="7"/>
  <c r="BV225" i="7"/>
  <c r="BU225" i="7"/>
  <c r="BT225" i="7"/>
  <c r="BS225" i="7"/>
  <c r="BR225" i="7"/>
  <c r="BQ225" i="7"/>
  <c r="BP225" i="7"/>
  <c r="BO225" i="7"/>
  <c r="BN225" i="7"/>
  <c r="BM225" i="7"/>
  <c r="BL225" i="7"/>
  <c r="BK225" i="7"/>
  <c r="BJ225" i="7"/>
  <c r="BI225" i="7"/>
  <c r="BH225" i="7"/>
  <c r="BG225" i="7"/>
  <c r="BF225" i="7"/>
  <c r="BE225" i="7"/>
  <c r="BD225" i="7"/>
  <c r="BC225" i="7"/>
  <c r="BB225" i="7"/>
  <c r="BA225" i="7"/>
  <c r="AZ225" i="7"/>
  <c r="AY225" i="7"/>
  <c r="AX225" i="7"/>
  <c r="AW225" i="7"/>
  <c r="AV225" i="7"/>
  <c r="AU225" i="7"/>
  <c r="AT225" i="7"/>
  <c r="AS225" i="7"/>
  <c r="AR225" i="7"/>
  <c r="AQ225" i="7"/>
  <c r="AP225" i="7"/>
  <c r="AO225" i="7"/>
  <c r="AN225" i="7"/>
  <c r="AM225" i="7"/>
  <c r="AL225" i="7"/>
  <c r="AK225" i="7"/>
  <c r="AJ225" i="7"/>
  <c r="AI225" i="7"/>
  <c r="AH225" i="7"/>
  <c r="AG225" i="7"/>
  <c r="AF225" i="7"/>
  <c r="AE225" i="7"/>
  <c r="AD225" i="7"/>
  <c r="AC225" i="7"/>
  <c r="AB225" i="7"/>
  <c r="AA225" i="7"/>
  <c r="Z225" i="7"/>
  <c r="Y225" i="7"/>
  <c r="X225" i="7"/>
  <c r="W225" i="7"/>
  <c r="V225" i="7"/>
  <c r="U225" i="7"/>
  <c r="T225" i="7"/>
  <c r="S225" i="7"/>
  <c r="R225" i="7"/>
  <c r="Q225" i="7"/>
  <c r="P225" i="7"/>
  <c r="O225" i="7"/>
  <c r="N225" i="7"/>
  <c r="M225" i="7"/>
  <c r="L225" i="7"/>
  <c r="K225" i="7"/>
  <c r="J225" i="7"/>
  <c r="I225" i="7"/>
  <c r="H225" i="7"/>
  <c r="G225" i="7"/>
  <c r="F225" i="7"/>
  <c r="E225" i="7"/>
  <c r="D225" i="7"/>
  <c r="C225" i="7"/>
  <c r="CF224" i="7"/>
  <c r="CE224" i="7"/>
  <c r="CD224" i="7"/>
  <c r="CC224" i="7"/>
  <c r="CB224" i="7"/>
  <c r="CA224" i="7"/>
  <c r="BZ224" i="7"/>
  <c r="BY224" i="7"/>
  <c r="BX224" i="7"/>
  <c r="BW224" i="7"/>
  <c r="BV224" i="7"/>
  <c r="BU224" i="7"/>
  <c r="BT224" i="7"/>
  <c r="BS224" i="7"/>
  <c r="BR224" i="7"/>
  <c r="BQ224" i="7"/>
  <c r="BP224" i="7"/>
  <c r="BO224" i="7"/>
  <c r="BN224" i="7"/>
  <c r="BM224" i="7"/>
  <c r="BL224" i="7"/>
  <c r="BK224" i="7"/>
  <c r="BJ224" i="7"/>
  <c r="BI224" i="7"/>
  <c r="BH224" i="7"/>
  <c r="BG224" i="7"/>
  <c r="BF224" i="7"/>
  <c r="BE224" i="7"/>
  <c r="BD224" i="7"/>
  <c r="BC224" i="7"/>
  <c r="BB224" i="7"/>
  <c r="BA224" i="7"/>
  <c r="AZ224" i="7"/>
  <c r="AY224" i="7"/>
  <c r="AX224" i="7"/>
  <c r="AW224" i="7"/>
  <c r="AV224" i="7"/>
  <c r="AU224" i="7"/>
  <c r="AT224" i="7"/>
  <c r="AS224" i="7"/>
  <c r="AR224" i="7"/>
  <c r="AQ224" i="7"/>
  <c r="AP224" i="7"/>
  <c r="AO224" i="7"/>
  <c r="AN224" i="7"/>
  <c r="AM224" i="7"/>
  <c r="AL224" i="7"/>
  <c r="AK224" i="7"/>
  <c r="AJ224" i="7"/>
  <c r="AI224" i="7"/>
  <c r="AH224" i="7"/>
  <c r="AG224" i="7"/>
  <c r="AF224" i="7"/>
  <c r="AE224" i="7"/>
  <c r="AD224" i="7"/>
  <c r="AC224" i="7"/>
  <c r="AB224" i="7"/>
  <c r="AA224" i="7"/>
  <c r="Z224" i="7"/>
  <c r="Y224" i="7"/>
  <c r="X224" i="7"/>
  <c r="W224" i="7"/>
  <c r="V224" i="7"/>
  <c r="U224" i="7"/>
  <c r="T224" i="7"/>
  <c r="S224" i="7"/>
  <c r="R224" i="7"/>
  <c r="Q224" i="7"/>
  <c r="P224" i="7"/>
  <c r="O224" i="7"/>
  <c r="N224" i="7"/>
  <c r="M224" i="7"/>
  <c r="L224" i="7"/>
  <c r="K224" i="7"/>
  <c r="J224" i="7"/>
  <c r="I224" i="7"/>
  <c r="H224" i="7"/>
  <c r="G224" i="7"/>
  <c r="CG224" i="7" s="1"/>
  <c r="F224" i="7"/>
  <c r="E224" i="7"/>
  <c r="D224" i="7"/>
  <c r="C224" i="7"/>
  <c r="CF223" i="7"/>
  <c r="CE223" i="7"/>
  <c r="CD223" i="7"/>
  <c r="CC223" i="7"/>
  <c r="CB223" i="7"/>
  <c r="CA223" i="7"/>
  <c r="BZ223" i="7"/>
  <c r="BY223" i="7"/>
  <c r="BX223" i="7"/>
  <c r="BW223" i="7"/>
  <c r="BV223" i="7"/>
  <c r="BU223" i="7"/>
  <c r="BT223" i="7"/>
  <c r="BS223" i="7"/>
  <c r="BR223" i="7"/>
  <c r="BQ223" i="7"/>
  <c r="BP223" i="7"/>
  <c r="BO223" i="7"/>
  <c r="BN223" i="7"/>
  <c r="BM223" i="7"/>
  <c r="BL223" i="7"/>
  <c r="BK223" i="7"/>
  <c r="BJ223" i="7"/>
  <c r="BI223" i="7"/>
  <c r="BH223" i="7"/>
  <c r="BG223" i="7"/>
  <c r="BF223" i="7"/>
  <c r="BE223" i="7"/>
  <c r="BD223" i="7"/>
  <c r="BC223" i="7"/>
  <c r="BB223" i="7"/>
  <c r="BA223" i="7"/>
  <c r="AZ223" i="7"/>
  <c r="AY223" i="7"/>
  <c r="AX223" i="7"/>
  <c r="AW223" i="7"/>
  <c r="AV223" i="7"/>
  <c r="AU223" i="7"/>
  <c r="AT223" i="7"/>
  <c r="AS223" i="7"/>
  <c r="AR223" i="7"/>
  <c r="AQ223" i="7"/>
  <c r="AP223" i="7"/>
  <c r="AO223" i="7"/>
  <c r="AN223" i="7"/>
  <c r="AM223" i="7"/>
  <c r="AL223" i="7"/>
  <c r="AK223" i="7"/>
  <c r="AJ223" i="7"/>
  <c r="AI223" i="7"/>
  <c r="AH223" i="7"/>
  <c r="AG223" i="7"/>
  <c r="AF223" i="7"/>
  <c r="AE223" i="7"/>
  <c r="AD223" i="7"/>
  <c r="AC223" i="7"/>
  <c r="AB223" i="7"/>
  <c r="AA223" i="7"/>
  <c r="Z223" i="7"/>
  <c r="Y223" i="7"/>
  <c r="X223" i="7"/>
  <c r="W223" i="7"/>
  <c r="V223" i="7"/>
  <c r="U223" i="7"/>
  <c r="T223" i="7"/>
  <c r="S223" i="7"/>
  <c r="R223" i="7"/>
  <c r="Q223" i="7"/>
  <c r="P223" i="7"/>
  <c r="O223" i="7"/>
  <c r="N223" i="7"/>
  <c r="M223" i="7"/>
  <c r="L223" i="7"/>
  <c r="K223" i="7"/>
  <c r="J223" i="7"/>
  <c r="I223" i="7"/>
  <c r="H223" i="7"/>
  <c r="G223" i="7"/>
  <c r="F223" i="7"/>
  <c r="E223" i="7"/>
  <c r="D223" i="7"/>
  <c r="C223" i="7"/>
  <c r="CG223" i="7" s="1"/>
  <c r="CF222" i="7"/>
  <c r="CE222" i="7"/>
  <c r="CD222" i="7"/>
  <c r="CC222" i="7"/>
  <c r="CB222" i="7"/>
  <c r="CA222" i="7"/>
  <c r="BZ222" i="7"/>
  <c r="BY222" i="7"/>
  <c r="BX222" i="7"/>
  <c r="BW222" i="7"/>
  <c r="BV222" i="7"/>
  <c r="BU222" i="7"/>
  <c r="BT222" i="7"/>
  <c r="BS222" i="7"/>
  <c r="BR222" i="7"/>
  <c r="BQ222" i="7"/>
  <c r="BP222" i="7"/>
  <c r="BO222" i="7"/>
  <c r="BN222" i="7"/>
  <c r="BM222" i="7"/>
  <c r="BL222" i="7"/>
  <c r="BK222" i="7"/>
  <c r="BJ222" i="7"/>
  <c r="BI222" i="7"/>
  <c r="BH222" i="7"/>
  <c r="BG222" i="7"/>
  <c r="BF222" i="7"/>
  <c r="BE222" i="7"/>
  <c r="BD222" i="7"/>
  <c r="BC222" i="7"/>
  <c r="BB222" i="7"/>
  <c r="BA222" i="7"/>
  <c r="AZ222" i="7"/>
  <c r="AY222" i="7"/>
  <c r="AX222" i="7"/>
  <c r="AW222" i="7"/>
  <c r="AV222" i="7"/>
  <c r="AU222" i="7"/>
  <c r="AT222" i="7"/>
  <c r="AS222" i="7"/>
  <c r="AR222" i="7"/>
  <c r="AQ222" i="7"/>
  <c r="AP222" i="7"/>
  <c r="AO222" i="7"/>
  <c r="AN222" i="7"/>
  <c r="AM222" i="7"/>
  <c r="AL222" i="7"/>
  <c r="AK222" i="7"/>
  <c r="AJ222" i="7"/>
  <c r="AI222" i="7"/>
  <c r="AH222" i="7"/>
  <c r="AG222" i="7"/>
  <c r="AF222" i="7"/>
  <c r="AE222" i="7"/>
  <c r="AD222" i="7"/>
  <c r="AC222" i="7"/>
  <c r="AB222" i="7"/>
  <c r="AA222" i="7"/>
  <c r="Z222" i="7"/>
  <c r="Y222" i="7"/>
  <c r="X222" i="7"/>
  <c r="W222" i="7"/>
  <c r="V222" i="7"/>
  <c r="U222" i="7"/>
  <c r="T222" i="7"/>
  <c r="S222" i="7"/>
  <c r="R222" i="7"/>
  <c r="Q222" i="7"/>
  <c r="P222" i="7"/>
  <c r="O222" i="7"/>
  <c r="N222" i="7"/>
  <c r="M222" i="7"/>
  <c r="L222" i="7"/>
  <c r="K222" i="7"/>
  <c r="J222" i="7"/>
  <c r="I222" i="7"/>
  <c r="H222" i="7"/>
  <c r="G222" i="7"/>
  <c r="F222" i="7"/>
  <c r="E222" i="7"/>
  <c r="D222" i="7"/>
  <c r="C222" i="7"/>
  <c r="CF221" i="7"/>
  <c r="CE221" i="7"/>
  <c r="CD221" i="7"/>
  <c r="CC221" i="7"/>
  <c r="CB221" i="7"/>
  <c r="CA221" i="7"/>
  <c r="BZ221" i="7"/>
  <c r="BY221" i="7"/>
  <c r="BX221" i="7"/>
  <c r="BW221" i="7"/>
  <c r="BV221" i="7"/>
  <c r="BU221" i="7"/>
  <c r="BT221" i="7"/>
  <c r="BS221" i="7"/>
  <c r="BR221" i="7"/>
  <c r="BQ221" i="7"/>
  <c r="BP221" i="7"/>
  <c r="BO221" i="7"/>
  <c r="BN221" i="7"/>
  <c r="BM221" i="7"/>
  <c r="BL221" i="7"/>
  <c r="BK221" i="7"/>
  <c r="BJ221" i="7"/>
  <c r="BI221" i="7"/>
  <c r="BH221" i="7"/>
  <c r="BG221" i="7"/>
  <c r="BF221" i="7"/>
  <c r="BE221" i="7"/>
  <c r="BD221" i="7"/>
  <c r="BC221" i="7"/>
  <c r="BB221" i="7"/>
  <c r="BA221" i="7"/>
  <c r="AZ221" i="7"/>
  <c r="AY221" i="7"/>
  <c r="AX221" i="7"/>
  <c r="AW221" i="7"/>
  <c r="AV221" i="7"/>
  <c r="AU221" i="7"/>
  <c r="AT221" i="7"/>
  <c r="AS221" i="7"/>
  <c r="AR221" i="7"/>
  <c r="AQ221" i="7"/>
  <c r="AP221" i="7"/>
  <c r="AO221" i="7"/>
  <c r="AN221" i="7"/>
  <c r="AM221" i="7"/>
  <c r="AL221" i="7"/>
  <c r="AK221" i="7"/>
  <c r="AJ221" i="7"/>
  <c r="AI221" i="7"/>
  <c r="AH221" i="7"/>
  <c r="AG221" i="7"/>
  <c r="AF221" i="7"/>
  <c r="AE221" i="7"/>
  <c r="AD221" i="7"/>
  <c r="AC221" i="7"/>
  <c r="AB221" i="7"/>
  <c r="AA221" i="7"/>
  <c r="Z221" i="7"/>
  <c r="Y221" i="7"/>
  <c r="X221" i="7"/>
  <c r="W221" i="7"/>
  <c r="V221" i="7"/>
  <c r="U221" i="7"/>
  <c r="T221" i="7"/>
  <c r="S221" i="7"/>
  <c r="R221" i="7"/>
  <c r="Q221" i="7"/>
  <c r="P221" i="7"/>
  <c r="O221" i="7"/>
  <c r="N221" i="7"/>
  <c r="M221" i="7"/>
  <c r="L221" i="7"/>
  <c r="K221" i="7"/>
  <c r="J221" i="7"/>
  <c r="I221" i="7"/>
  <c r="H221" i="7"/>
  <c r="G221" i="7"/>
  <c r="F221" i="7"/>
  <c r="E221" i="7"/>
  <c r="D221" i="7"/>
  <c r="C221" i="7"/>
  <c r="CG221" i="7" s="1"/>
  <c r="CF220" i="7"/>
  <c r="CE220" i="7"/>
  <c r="CD220" i="7"/>
  <c r="CC220" i="7"/>
  <c r="CB220" i="7"/>
  <c r="CA220" i="7"/>
  <c r="BZ220" i="7"/>
  <c r="BY220" i="7"/>
  <c r="BX220" i="7"/>
  <c r="BW220" i="7"/>
  <c r="BV220" i="7"/>
  <c r="BU220" i="7"/>
  <c r="BT220" i="7"/>
  <c r="BS220" i="7"/>
  <c r="BR220" i="7"/>
  <c r="BQ220" i="7"/>
  <c r="BP220" i="7"/>
  <c r="BO220" i="7"/>
  <c r="BN220" i="7"/>
  <c r="BM220" i="7"/>
  <c r="BL220" i="7"/>
  <c r="BK220" i="7"/>
  <c r="BJ220" i="7"/>
  <c r="BI220" i="7"/>
  <c r="BH220" i="7"/>
  <c r="BG220" i="7"/>
  <c r="BF220" i="7"/>
  <c r="BE220" i="7"/>
  <c r="BD220" i="7"/>
  <c r="BC220" i="7"/>
  <c r="BB220" i="7"/>
  <c r="BA220" i="7"/>
  <c r="AZ220" i="7"/>
  <c r="AY220" i="7"/>
  <c r="AX220" i="7"/>
  <c r="AW220" i="7"/>
  <c r="AV220" i="7"/>
  <c r="AU220" i="7"/>
  <c r="AT220" i="7"/>
  <c r="AS220" i="7"/>
  <c r="AR220" i="7"/>
  <c r="AQ220" i="7"/>
  <c r="AP220" i="7"/>
  <c r="AO220" i="7"/>
  <c r="AN220" i="7"/>
  <c r="AM220" i="7"/>
  <c r="AL220" i="7"/>
  <c r="AK220" i="7"/>
  <c r="AJ220" i="7"/>
  <c r="AI220" i="7"/>
  <c r="AH220" i="7"/>
  <c r="AG220" i="7"/>
  <c r="AF220" i="7"/>
  <c r="AE220" i="7"/>
  <c r="AD220" i="7"/>
  <c r="AC220" i="7"/>
  <c r="AB220" i="7"/>
  <c r="AA220" i="7"/>
  <c r="Z220" i="7"/>
  <c r="Y220" i="7"/>
  <c r="X220" i="7"/>
  <c r="W220" i="7"/>
  <c r="V220" i="7"/>
  <c r="U220" i="7"/>
  <c r="T220" i="7"/>
  <c r="S220" i="7"/>
  <c r="R220" i="7"/>
  <c r="Q220" i="7"/>
  <c r="P220" i="7"/>
  <c r="O220" i="7"/>
  <c r="N220" i="7"/>
  <c r="M220" i="7"/>
  <c r="L220" i="7"/>
  <c r="K220" i="7"/>
  <c r="J220" i="7"/>
  <c r="I220" i="7"/>
  <c r="H220" i="7"/>
  <c r="G220" i="7"/>
  <c r="F220" i="7"/>
  <c r="E220" i="7"/>
  <c r="CG220" i="7" s="1"/>
  <c r="D220" i="7"/>
  <c r="C220" i="7"/>
  <c r="CF219" i="7"/>
  <c r="CE219" i="7"/>
  <c r="CD219" i="7"/>
  <c r="CC219" i="7"/>
  <c r="CB219" i="7"/>
  <c r="CA219" i="7"/>
  <c r="BZ219" i="7"/>
  <c r="BY219" i="7"/>
  <c r="BX219" i="7"/>
  <c r="BW219" i="7"/>
  <c r="BV219" i="7"/>
  <c r="BU219" i="7"/>
  <c r="BT219" i="7"/>
  <c r="BS219" i="7"/>
  <c r="BR219" i="7"/>
  <c r="BQ219" i="7"/>
  <c r="BP219" i="7"/>
  <c r="BO219" i="7"/>
  <c r="BN219" i="7"/>
  <c r="BM219" i="7"/>
  <c r="BL219" i="7"/>
  <c r="BK219" i="7"/>
  <c r="BJ219" i="7"/>
  <c r="BI219" i="7"/>
  <c r="BH219" i="7"/>
  <c r="BG219" i="7"/>
  <c r="BF219" i="7"/>
  <c r="BE219" i="7"/>
  <c r="BD219" i="7"/>
  <c r="BC219" i="7"/>
  <c r="BB219" i="7"/>
  <c r="BA219" i="7"/>
  <c r="AZ219" i="7"/>
  <c r="AY219" i="7"/>
  <c r="AX219" i="7"/>
  <c r="AW219" i="7"/>
  <c r="AV219" i="7"/>
  <c r="AU219" i="7"/>
  <c r="AT219" i="7"/>
  <c r="AS219" i="7"/>
  <c r="AR219" i="7"/>
  <c r="AQ219" i="7"/>
  <c r="AP219" i="7"/>
  <c r="AO219" i="7"/>
  <c r="AN219" i="7"/>
  <c r="AM219" i="7"/>
  <c r="AL219" i="7"/>
  <c r="AK219" i="7"/>
  <c r="AJ219" i="7"/>
  <c r="AI219" i="7"/>
  <c r="AH219" i="7"/>
  <c r="AG219" i="7"/>
  <c r="AF219" i="7"/>
  <c r="AE219" i="7"/>
  <c r="AD219" i="7"/>
  <c r="AC219" i="7"/>
  <c r="AB219" i="7"/>
  <c r="AA219" i="7"/>
  <c r="Z219" i="7"/>
  <c r="Y219" i="7"/>
  <c r="X219" i="7"/>
  <c r="W219" i="7"/>
  <c r="V219" i="7"/>
  <c r="U219" i="7"/>
  <c r="T219" i="7"/>
  <c r="S219" i="7"/>
  <c r="R219" i="7"/>
  <c r="Q219" i="7"/>
  <c r="P219" i="7"/>
  <c r="O219" i="7"/>
  <c r="N219" i="7"/>
  <c r="M219" i="7"/>
  <c r="L219" i="7"/>
  <c r="K219" i="7"/>
  <c r="J219" i="7"/>
  <c r="I219" i="7"/>
  <c r="H219" i="7"/>
  <c r="G219" i="7"/>
  <c r="F219" i="7"/>
  <c r="E219" i="7"/>
  <c r="D219" i="7"/>
  <c r="C219" i="7"/>
  <c r="CF218" i="7"/>
  <c r="CE218" i="7"/>
  <c r="CD218" i="7"/>
  <c r="CC218" i="7"/>
  <c r="CB218" i="7"/>
  <c r="CA218" i="7"/>
  <c r="BZ218" i="7"/>
  <c r="BY218" i="7"/>
  <c r="BX218" i="7"/>
  <c r="BW218" i="7"/>
  <c r="BV218" i="7"/>
  <c r="BU218" i="7"/>
  <c r="BT218" i="7"/>
  <c r="BS218" i="7"/>
  <c r="BR218" i="7"/>
  <c r="BQ218" i="7"/>
  <c r="BP218" i="7"/>
  <c r="BO218" i="7"/>
  <c r="BN218" i="7"/>
  <c r="BM218" i="7"/>
  <c r="BL218" i="7"/>
  <c r="BK218" i="7"/>
  <c r="BJ218" i="7"/>
  <c r="BI218" i="7"/>
  <c r="BH218" i="7"/>
  <c r="BG218" i="7"/>
  <c r="BF218" i="7"/>
  <c r="BE218" i="7"/>
  <c r="BD218" i="7"/>
  <c r="BC218" i="7"/>
  <c r="BB218" i="7"/>
  <c r="BA218" i="7"/>
  <c r="AZ218" i="7"/>
  <c r="AY218" i="7"/>
  <c r="AX218" i="7"/>
  <c r="AW218" i="7"/>
  <c r="AV218" i="7"/>
  <c r="AU218" i="7"/>
  <c r="AT218" i="7"/>
  <c r="AS218" i="7"/>
  <c r="AR218" i="7"/>
  <c r="AQ218" i="7"/>
  <c r="AP218" i="7"/>
  <c r="AO218" i="7"/>
  <c r="AN218" i="7"/>
  <c r="AM218" i="7"/>
  <c r="AL218" i="7"/>
  <c r="AK218" i="7"/>
  <c r="AJ218" i="7"/>
  <c r="AI218" i="7"/>
  <c r="AH218" i="7"/>
  <c r="AG218" i="7"/>
  <c r="AF218" i="7"/>
  <c r="AE218" i="7"/>
  <c r="AD218" i="7"/>
  <c r="AC218" i="7"/>
  <c r="AB218" i="7"/>
  <c r="AA218" i="7"/>
  <c r="Z218" i="7"/>
  <c r="Y218" i="7"/>
  <c r="X218" i="7"/>
  <c r="W218" i="7"/>
  <c r="V218" i="7"/>
  <c r="U218" i="7"/>
  <c r="T218" i="7"/>
  <c r="S218" i="7"/>
  <c r="R218" i="7"/>
  <c r="Q218" i="7"/>
  <c r="P218" i="7"/>
  <c r="O218" i="7"/>
  <c r="N218" i="7"/>
  <c r="M218" i="7"/>
  <c r="L218" i="7"/>
  <c r="K218" i="7"/>
  <c r="J218" i="7"/>
  <c r="I218" i="7"/>
  <c r="H218" i="7"/>
  <c r="G218" i="7"/>
  <c r="F218" i="7"/>
  <c r="E218" i="7"/>
  <c r="D218" i="7"/>
  <c r="C218" i="7"/>
  <c r="CG218" i="7" s="1"/>
  <c r="CF217" i="7"/>
  <c r="CE217" i="7"/>
  <c r="CD217" i="7"/>
  <c r="CC217" i="7"/>
  <c r="CB217" i="7"/>
  <c r="CA217" i="7"/>
  <c r="BZ217" i="7"/>
  <c r="BY217" i="7"/>
  <c r="BX217" i="7"/>
  <c r="BW217" i="7"/>
  <c r="BV217" i="7"/>
  <c r="BU217" i="7"/>
  <c r="BT217" i="7"/>
  <c r="BS217" i="7"/>
  <c r="BR217" i="7"/>
  <c r="BQ217" i="7"/>
  <c r="BP217" i="7"/>
  <c r="BO217" i="7"/>
  <c r="BN217" i="7"/>
  <c r="BM217" i="7"/>
  <c r="BL217" i="7"/>
  <c r="BK217" i="7"/>
  <c r="BJ217" i="7"/>
  <c r="BI217" i="7"/>
  <c r="BH217" i="7"/>
  <c r="BG217" i="7"/>
  <c r="BF217" i="7"/>
  <c r="BE217" i="7"/>
  <c r="BD217" i="7"/>
  <c r="BC217" i="7"/>
  <c r="BB217" i="7"/>
  <c r="BA217" i="7"/>
  <c r="AZ217" i="7"/>
  <c r="AY217" i="7"/>
  <c r="AX217" i="7"/>
  <c r="AW217" i="7"/>
  <c r="AV217" i="7"/>
  <c r="AU217" i="7"/>
  <c r="AT217" i="7"/>
  <c r="AS217" i="7"/>
  <c r="AR217" i="7"/>
  <c r="AQ217" i="7"/>
  <c r="AP217" i="7"/>
  <c r="AO217" i="7"/>
  <c r="AN217" i="7"/>
  <c r="AM217" i="7"/>
  <c r="AL217" i="7"/>
  <c r="AK217" i="7"/>
  <c r="AJ217" i="7"/>
  <c r="AI217" i="7"/>
  <c r="AH217" i="7"/>
  <c r="AG217" i="7"/>
  <c r="AF217" i="7"/>
  <c r="AE217" i="7"/>
  <c r="AD217" i="7"/>
  <c r="AC217" i="7"/>
  <c r="AB217" i="7"/>
  <c r="AA217" i="7"/>
  <c r="Z217" i="7"/>
  <c r="Y217" i="7"/>
  <c r="X217" i="7"/>
  <c r="W217" i="7"/>
  <c r="V217" i="7"/>
  <c r="U217" i="7"/>
  <c r="T217" i="7"/>
  <c r="S217" i="7"/>
  <c r="R217" i="7"/>
  <c r="Q217" i="7"/>
  <c r="P217" i="7"/>
  <c r="O217" i="7"/>
  <c r="N217" i="7"/>
  <c r="M217" i="7"/>
  <c r="L217" i="7"/>
  <c r="K217" i="7"/>
  <c r="J217" i="7"/>
  <c r="I217" i="7"/>
  <c r="H217" i="7"/>
  <c r="G217" i="7"/>
  <c r="F217" i="7"/>
  <c r="E217" i="7"/>
  <c r="CG217" i="7" s="1"/>
  <c r="D217" i="7"/>
  <c r="C217" i="7"/>
  <c r="CF216" i="7"/>
  <c r="CE216" i="7"/>
  <c r="CD216" i="7"/>
  <c r="CC216" i="7"/>
  <c r="CB216" i="7"/>
  <c r="CA216" i="7"/>
  <c r="BZ216" i="7"/>
  <c r="BY216" i="7"/>
  <c r="BX216" i="7"/>
  <c r="BW216" i="7"/>
  <c r="BV216" i="7"/>
  <c r="BU216" i="7"/>
  <c r="BT216" i="7"/>
  <c r="BS216" i="7"/>
  <c r="BR216" i="7"/>
  <c r="BQ216" i="7"/>
  <c r="BP216" i="7"/>
  <c r="BO216" i="7"/>
  <c r="BN216" i="7"/>
  <c r="BM216" i="7"/>
  <c r="BL216" i="7"/>
  <c r="BK216" i="7"/>
  <c r="BJ216" i="7"/>
  <c r="BI216" i="7"/>
  <c r="BH216" i="7"/>
  <c r="BG216" i="7"/>
  <c r="BF216" i="7"/>
  <c r="BE216" i="7"/>
  <c r="BD216" i="7"/>
  <c r="BC216" i="7"/>
  <c r="BB216" i="7"/>
  <c r="BA216" i="7"/>
  <c r="AZ216" i="7"/>
  <c r="AY216" i="7"/>
  <c r="AX216" i="7"/>
  <c r="AW216" i="7"/>
  <c r="AV216" i="7"/>
  <c r="AU216" i="7"/>
  <c r="AT216" i="7"/>
  <c r="AS216" i="7"/>
  <c r="AR216" i="7"/>
  <c r="AQ216" i="7"/>
  <c r="AP216" i="7"/>
  <c r="AO216" i="7"/>
  <c r="AN216" i="7"/>
  <c r="AM216" i="7"/>
  <c r="AL216" i="7"/>
  <c r="AK216" i="7"/>
  <c r="AJ216" i="7"/>
  <c r="AI216" i="7"/>
  <c r="AH216" i="7"/>
  <c r="AG216" i="7"/>
  <c r="AF216" i="7"/>
  <c r="AE216" i="7"/>
  <c r="AD216" i="7"/>
  <c r="AC216" i="7"/>
  <c r="AB216" i="7"/>
  <c r="AA216" i="7"/>
  <c r="Z216" i="7"/>
  <c r="Y216" i="7"/>
  <c r="X216" i="7"/>
  <c r="W216" i="7"/>
  <c r="V216" i="7"/>
  <c r="U216" i="7"/>
  <c r="T216" i="7"/>
  <c r="S216" i="7"/>
  <c r="R216" i="7"/>
  <c r="Q216" i="7"/>
  <c r="P216" i="7"/>
  <c r="O216" i="7"/>
  <c r="N216" i="7"/>
  <c r="M216" i="7"/>
  <c r="L216" i="7"/>
  <c r="K216" i="7"/>
  <c r="J216" i="7"/>
  <c r="I216" i="7"/>
  <c r="H216" i="7"/>
  <c r="G216" i="7"/>
  <c r="F216" i="7"/>
  <c r="E216" i="7"/>
  <c r="D216" i="7"/>
  <c r="C216" i="7"/>
  <c r="CF215" i="7"/>
  <c r="CE215" i="7"/>
  <c r="CD215" i="7"/>
  <c r="CC215" i="7"/>
  <c r="CB215" i="7"/>
  <c r="CA215" i="7"/>
  <c r="BZ215" i="7"/>
  <c r="BY215" i="7"/>
  <c r="BX215" i="7"/>
  <c r="BW215" i="7"/>
  <c r="BV215" i="7"/>
  <c r="BU215" i="7"/>
  <c r="BT215" i="7"/>
  <c r="BS215" i="7"/>
  <c r="BR215" i="7"/>
  <c r="BQ215" i="7"/>
  <c r="BP215" i="7"/>
  <c r="BO215" i="7"/>
  <c r="BN215" i="7"/>
  <c r="BM215" i="7"/>
  <c r="BL215" i="7"/>
  <c r="BK215" i="7"/>
  <c r="BJ215" i="7"/>
  <c r="BI215" i="7"/>
  <c r="BH215" i="7"/>
  <c r="BG215" i="7"/>
  <c r="BF215" i="7"/>
  <c r="BE215" i="7"/>
  <c r="BD215" i="7"/>
  <c r="BC215" i="7"/>
  <c r="BB215" i="7"/>
  <c r="BA215" i="7"/>
  <c r="AZ215" i="7"/>
  <c r="AY215" i="7"/>
  <c r="AX215" i="7"/>
  <c r="AW215" i="7"/>
  <c r="AV215" i="7"/>
  <c r="AU215" i="7"/>
  <c r="AT215" i="7"/>
  <c r="AS215" i="7"/>
  <c r="AR215" i="7"/>
  <c r="AQ215" i="7"/>
  <c r="AP215" i="7"/>
  <c r="AO215" i="7"/>
  <c r="AN215" i="7"/>
  <c r="AM215" i="7"/>
  <c r="AL215" i="7"/>
  <c r="AK215" i="7"/>
  <c r="AJ215" i="7"/>
  <c r="AI215" i="7"/>
  <c r="AH215" i="7"/>
  <c r="AG215" i="7"/>
  <c r="AF215" i="7"/>
  <c r="AE215" i="7"/>
  <c r="AD215" i="7"/>
  <c r="AC215" i="7"/>
  <c r="AB215" i="7"/>
  <c r="AA215" i="7"/>
  <c r="Z215" i="7"/>
  <c r="Y215" i="7"/>
  <c r="X215" i="7"/>
  <c r="W215" i="7"/>
  <c r="V215" i="7"/>
  <c r="U215" i="7"/>
  <c r="T215" i="7"/>
  <c r="S215" i="7"/>
  <c r="R215" i="7"/>
  <c r="Q215" i="7"/>
  <c r="P215" i="7"/>
  <c r="O215" i="7"/>
  <c r="N215" i="7"/>
  <c r="M215" i="7"/>
  <c r="L215" i="7"/>
  <c r="K215" i="7"/>
  <c r="J215" i="7"/>
  <c r="I215" i="7"/>
  <c r="H215" i="7"/>
  <c r="G215" i="7"/>
  <c r="F215" i="7"/>
  <c r="E215" i="7"/>
  <c r="D215" i="7"/>
  <c r="C215" i="7"/>
  <c r="CF214" i="7"/>
  <c r="CE214" i="7"/>
  <c r="CD214" i="7"/>
  <c r="CC214" i="7"/>
  <c r="CB214" i="7"/>
  <c r="CA214" i="7"/>
  <c r="BZ214" i="7"/>
  <c r="BY214" i="7"/>
  <c r="BX214" i="7"/>
  <c r="BW214" i="7"/>
  <c r="BV214" i="7"/>
  <c r="BU214" i="7"/>
  <c r="BT214" i="7"/>
  <c r="BS214" i="7"/>
  <c r="BR214" i="7"/>
  <c r="BQ214" i="7"/>
  <c r="BP214" i="7"/>
  <c r="BO214" i="7"/>
  <c r="BN214" i="7"/>
  <c r="BM214" i="7"/>
  <c r="BL214" i="7"/>
  <c r="BK214" i="7"/>
  <c r="BJ214" i="7"/>
  <c r="BI214" i="7"/>
  <c r="BH214" i="7"/>
  <c r="BG214" i="7"/>
  <c r="BF214" i="7"/>
  <c r="BE214" i="7"/>
  <c r="BD214" i="7"/>
  <c r="BC214" i="7"/>
  <c r="BB214" i="7"/>
  <c r="BA214" i="7"/>
  <c r="AZ214" i="7"/>
  <c r="AY214" i="7"/>
  <c r="AX214" i="7"/>
  <c r="AW214" i="7"/>
  <c r="AV214" i="7"/>
  <c r="AU214" i="7"/>
  <c r="AT214" i="7"/>
  <c r="AS214" i="7"/>
  <c r="AR214" i="7"/>
  <c r="AQ214" i="7"/>
  <c r="AP214" i="7"/>
  <c r="AO214" i="7"/>
  <c r="AN214" i="7"/>
  <c r="AM214" i="7"/>
  <c r="AL214" i="7"/>
  <c r="AK214" i="7"/>
  <c r="AJ214" i="7"/>
  <c r="AI214" i="7"/>
  <c r="AH214" i="7"/>
  <c r="AG214" i="7"/>
  <c r="AF214" i="7"/>
  <c r="AE214" i="7"/>
  <c r="AD214" i="7"/>
  <c r="AC214" i="7"/>
  <c r="AB214" i="7"/>
  <c r="AA214" i="7"/>
  <c r="Z214" i="7"/>
  <c r="Y214" i="7"/>
  <c r="X214" i="7"/>
  <c r="W214" i="7"/>
  <c r="V214" i="7"/>
  <c r="U214" i="7"/>
  <c r="T214" i="7"/>
  <c r="S214" i="7"/>
  <c r="R214" i="7"/>
  <c r="Q214" i="7"/>
  <c r="P214" i="7"/>
  <c r="O214" i="7"/>
  <c r="N214" i="7"/>
  <c r="M214" i="7"/>
  <c r="L214" i="7"/>
  <c r="K214" i="7"/>
  <c r="J214" i="7"/>
  <c r="I214" i="7"/>
  <c r="H214" i="7"/>
  <c r="G214" i="7"/>
  <c r="F214" i="7"/>
  <c r="E214" i="7"/>
  <c r="D214" i="7"/>
  <c r="C214" i="7"/>
  <c r="CG214" i="7" s="1"/>
  <c r="CF213" i="7"/>
  <c r="CE213" i="7"/>
  <c r="CD213" i="7"/>
  <c r="CC213" i="7"/>
  <c r="CB213" i="7"/>
  <c r="CA213" i="7"/>
  <c r="BZ213" i="7"/>
  <c r="BY213" i="7"/>
  <c r="BX213" i="7"/>
  <c r="BW213" i="7"/>
  <c r="BV213" i="7"/>
  <c r="BU213" i="7"/>
  <c r="BT213" i="7"/>
  <c r="BS213" i="7"/>
  <c r="BR213" i="7"/>
  <c r="BQ213" i="7"/>
  <c r="BP213" i="7"/>
  <c r="BO213" i="7"/>
  <c r="BN213" i="7"/>
  <c r="BM213" i="7"/>
  <c r="BL213" i="7"/>
  <c r="BK213" i="7"/>
  <c r="BJ213" i="7"/>
  <c r="BI213" i="7"/>
  <c r="BH213" i="7"/>
  <c r="BG213" i="7"/>
  <c r="BF213" i="7"/>
  <c r="BE213" i="7"/>
  <c r="BD213" i="7"/>
  <c r="BC213" i="7"/>
  <c r="BB213" i="7"/>
  <c r="BA213" i="7"/>
  <c r="AZ213" i="7"/>
  <c r="AY213" i="7"/>
  <c r="AX213" i="7"/>
  <c r="AW213" i="7"/>
  <c r="AV213" i="7"/>
  <c r="AU213" i="7"/>
  <c r="AT213" i="7"/>
  <c r="AS213" i="7"/>
  <c r="AR213" i="7"/>
  <c r="AQ213" i="7"/>
  <c r="AP213" i="7"/>
  <c r="AO213" i="7"/>
  <c r="AN213" i="7"/>
  <c r="AM213" i="7"/>
  <c r="AL213" i="7"/>
  <c r="AK213" i="7"/>
  <c r="AJ213" i="7"/>
  <c r="AI213" i="7"/>
  <c r="AH213" i="7"/>
  <c r="AG213" i="7"/>
  <c r="AF213" i="7"/>
  <c r="AE213" i="7"/>
  <c r="AD213" i="7"/>
  <c r="AC213" i="7"/>
  <c r="AB213" i="7"/>
  <c r="AA213" i="7"/>
  <c r="Z213" i="7"/>
  <c r="Y213" i="7"/>
  <c r="X213" i="7"/>
  <c r="W213" i="7"/>
  <c r="V213" i="7"/>
  <c r="U213" i="7"/>
  <c r="T213" i="7"/>
  <c r="S213" i="7"/>
  <c r="R213" i="7"/>
  <c r="Q213" i="7"/>
  <c r="P213" i="7"/>
  <c r="O213" i="7"/>
  <c r="N213" i="7"/>
  <c r="M213" i="7"/>
  <c r="L213" i="7"/>
  <c r="K213" i="7"/>
  <c r="J213" i="7"/>
  <c r="I213" i="7"/>
  <c r="H213" i="7"/>
  <c r="G213" i="7"/>
  <c r="F213" i="7"/>
  <c r="E213" i="7"/>
  <c r="D213" i="7"/>
  <c r="C213" i="7"/>
  <c r="CG213" i="7" s="1"/>
  <c r="CF212" i="7"/>
  <c r="CE212" i="7"/>
  <c r="CD212" i="7"/>
  <c r="CC212" i="7"/>
  <c r="CB212" i="7"/>
  <c r="CA212" i="7"/>
  <c r="BZ212" i="7"/>
  <c r="BY212" i="7"/>
  <c r="BX212" i="7"/>
  <c r="BW212" i="7"/>
  <c r="BV212" i="7"/>
  <c r="BU212" i="7"/>
  <c r="BT212" i="7"/>
  <c r="BS212" i="7"/>
  <c r="BR212" i="7"/>
  <c r="BQ212" i="7"/>
  <c r="BP212" i="7"/>
  <c r="BO212" i="7"/>
  <c r="BN212" i="7"/>
  <c r="BM212" i="7"/>
  <c r="BL212" i="7"/>
  <c r="BK212" i="7"/>
  <c r="BJ212" i="7"/>
  <c r="BI212" i="7"/>
  <c r="BH212" i="7"/>
  <c r="BG212" i="7"/>
  <c r="BF212" i="7"/>
  <c r="BE212" i="7"/>
  <c r="BD212" i="7"/>
  <c r="BC212" i="7"/>
  <c r="BB212" i="7"/>
  <c r="BA212" i="7"/>
  <c r="AZ212" i="7"/>
  <c r="AY212" i="7"/>
  <c r="AX212" i="7"/>
  <c r="AW212" i="7"/>
  <c r="AV212" i="7"/>
  <c r="AU212" i="7"/>
  <c r="AT212" i="7"/>
  <c r="AS212" i="7"/>
  <c r="AR212" i="7"/>
  <c r="AQ212" i="7"/>
  <c r="AP212" i="7"/>
  <c r="AO212" i="7"/>
  <c r="AN212" i="7"/>
  <c r="AM212" i="7"/>
  <c r="AL212" i="7"/>
  <c r="AK212" i="7"/>
  <c r="AJ212" i="7"/>
  <c r="AI212" i="7"/>
  <c r="AH212" i="7"/>
  <c r="AG212" i="7"/>
  <c r="AF212" i="7"/>
  <c r="AE212" i="7"/>
  <c r="AD212" i="7"/>
  <c r="AC212" i="7"/>
  <c r="AB212" i="7"/>
  <c r="AA212" i="7"/>
  <c r="Z212" i="7"/>
  <c r="Y212" i="7"/>
  <c r="X212" i="7"/>
  <c r="W212" i="7"/>
  <c r="V212" i="7"/>
  <c r="U212" i="7"/>
  <c r="T212" i="7"/>
  <c r="S212" i="7"/>
  <c r="R212" i="7"/>
  <c r="Q212" i="7"/>
  <c r="P212" i="7"/>
  <c r="O212" i="7"/>
  <c r="N212" i="7"/>
  <c r="M212" i="7"/>
  <c r="L212" i="7"/>
  <c r="K212" i="7"/>
  <c r="J212" i="7"/>
  <c r="I212" i="7"/>
  <c r="H212" i="7"/>
  <c r="G212" i="7"/>
  <c r="F212" i="7"/>
  <c r="E212" i="7"/>
  <c r="D212" i="7"/>
  <c r="C212" i="7"/>
  <c r="CG212" i="7" s="1"/>
  <c r="CF211" i="7"/>
  <c r="CE211" i="7"/>
  <c r="CD211" i="7"/>
  <c r="CC211" i="7"/>
  <c r="CB211" i="7"/>
  <c r="CA211" i="7"/>
  <c r="BZ211" i="7"/>
  <c r="BY211" i="7"/>
  <c r="BX211" i="7"/>
  <c r="BW211" i="7"/>
  <c r="BV211" i="7"/>
  <c r="BU211" i="7"/>
  <c r="BT211" i="7"/>
  <c r="BS211" i="7"/>
  <c r="BR211" i="7"/>
  <c r="BQ211" i="7"/>
  <c r="BP211" i="7"/>
  <c r="BO211" i="7"/>
  <c r="BN211" i="7"/>
  <c r="BM211" i="7"/>
  <c r="BL211" i="7"/>
  <c r="BK211" i="7"/>
  <c r="BJ211" i="7"/>
  <c r="BI211" i="7"/>
  <c r="BH211" i="7"/>
  <c r="BG211" i="7"/>
  <c r="BF211" i="7"/>
  <c r="BE211" i="7"/>
  <c r="BD211" i="7"/>
  <c r="BC211" i="7"/>
  <c r="BB211" i="7"/>
  <c r="BA211" i="7"/>
  <c r="AZ211" i="7"/>
  <c r="AY211" i="7"/>
  <c r="AX211" i="7"/>
  <c r="AW211" i="7"/>
  <c r="AV211" i="7"/>
  <c r="AU211" i="7"/>
  <c r="AT211" i="7"/>
  <c r="AS211" i="7"/>
  <c r="AR211" i="7"/>
  <c r="AQ211" i="7"/>
  <c r="AP211" i="7"/>
  <c r="AO211" i="7"/>
  <c r="AN211" i="7"/>
  <c r="AM211" i="7"/>
  <c r="AL211" i="7"/>
  <c r="AK211" i="7"/>
  <c r="AJ211" i="7"/>
  <c r="AI211" i="7"/>
  <c r="AH211" i="7"/>
  <c r="AG211" i="7"/>
  <c r="AF211" i="7"/>
  <c r="AE211" i="7"/>
  <c r="AD211" i="7"/>
  <c r="AC211" i="7"/>
  <c r="AB211" i="7"/>
  <c r="AA211" i="7"/>
  <c r="Z211" i="7"/>
  <c r="Y211" i="7"/>
  <c r="X211" i="7"/>
  <c r="W211" i="7"/>
  <c r="V211" i="7"/>
  <c r="U211" i="7"/>
  <c r="T211" i="7"/>
  <c r="S211" i="7"/>
  <c r="CG211" i="7" s="1"/>
  <c r="R211" i="7"/>
  <c r="Q211" i="7"/>
  <c r="P211" i="7"/>
  <c r="O211" i="7"/>
  <c r="N211" i="7"/>
  <c r="M211" i="7"/>
  <c r="L211" i="7"/>
  <c r="K211" i="7"/>
  <c r="J211" i="7"/>
  <c r="I211" i="7"/>
  <c r="H211" i="7"/>
  <c r="G211" i="7"/>
  <c r="F211" i="7"/>
  <c r="E211" i="7"/>
  <c r="D211" i="7"/>
  <c r="C211" i="7"/>
  <c r="CF210" i="7"/>
  <c r="CE210" i="7"/>
  <c r="CD210" i="7"/>
  <c r="CC210" i="7"/>
  <c r="CB210" i="7"/>
  <c r="CA210" i="7"/>
  <c r="BZ210" i="7"/>
  <c r="BY210" i="7"/>
  <c r="BX210" i="7"/>
  <c r="BW210" i="7"/>
  <c r="BV210" i="7"/>
  <c r="BU210" i="7"/>
  <c r="BT210" i="7"/>
  <c r="BS210" i="7"/>
  <c r="BR210" i="7"/>
  <c r="BQ210" i="7"/>
  <c r="BP210" i="7"/>
  <c r="BO210" i="7"/>
  <c r="BN210" i="7"/>
  <c r="BM210" i="7"/>
  <c r="BL210" i="7"/>
  <c r="BK210" i="7"/>
  <c r="BJ210" i="7"/>
  <c r="BI210" i="7"/>
  <c r="BH210" i="7"/>
  <c r="BG210" i="7"/>
  <c r="BF210" i="7"/>
  <c r="BE210" i="7"/>
  <c r="BD210" i="7"/>
  <c r="BC210" i="7"/>
  <c r="BB210" i="7"/>
  <c r="BA210" i="7"/>
  <c r="AZ210" i="7"/>
  <c r="AY210" i="7"/>
  <c r="AX210" i="7"/>
  <c r="AW210" i="7"/>
  <c r="AV210" i="7"/>
  <c r="AU210" i="7"/>
  <c r="AT210" i="7"/>
  <c r="AS210" i="7"/>
  <c r="AR210" i="7"/>
  <c r="AQ210" i="7"/>
  <c r="AP210" i="7"/>
  <c r="AO210" i="7"/>
  <c r="AN210" i="7"/>
  <c r="AM210" i="7"/>
  <c r="AL210" i="7"/>
  <c r="AK210" i="7"/>
  <c r="AJ210" i="7"/>
  <c r="AI210" i="7"/>
  <c r="AH210" i="7"/>
  <c r="AG210" i="7"/>
  <c r="AF210" i="7"/>
  <c r="AE210" i="7"/>
  <c r="AD210" i="7"/>
  <c r="AC210" i="7"/>
  <c r="AB210" i="7"/>
  <c r="AA210" i="7"/>
  <c r="Z210" i="7"/>
  <c r="Y210" i="7"/>
  <c r="X210" i="7"/>
  <c r="W210" i="7"/>
  <c r="V210" i="7"/>
  <c r="U210" i="7"/>
  <c r="T210" i="7"/>
  <c r="S210" i="7"/>
  <c r="R210" i="7"/>
  <c r="Q210" i="7"/>
  <c r="P210" i="7"/>
  <c r="O210" i="7"/>
  <c r="N210" i="7"/>
  <c r="M210" i="7"/>
  <c r="L210" i="7"/>
  <c r="K210" i="7"/>
  <c r="J210" i="7"/>
  <c r="I210" i="7"/>
  <c r="H210" i="7"/>
  <c r="G210" i="7"/>
  <c r="F210" i="7"/>
  <c r="E210" i="7"/>
  <c r="D210" i="7"/>
  <c r="C210" i="7"/>
  <c r="CG210" i="7" s="1"/>
  <c r="CF209" i="7"/>
  <c r="CE209" i="7"/>
  <c r="CD209" i="7"/>
  <c r="CC209" i="7"/>
  <c r="CB209" i="7"/>
  <c r="CA209" i="7"/>
  <c r="BZ209" i="7"/>
  <c r="BY209" i="7"/>
  <c r="BX209" i="7"/>
  <c r="BW209" i="7"/>
  <c r="BV209" i="7"/>
  <c r="BU209" i="7"/>
  <c r="BT209" i="7"/>
  <c r="BS209" i="7"/>
  <c r="BR209" i="7"/>
  <c r="BQ209" i="7"/>
  <c r="BP209" i="7"/>
  <c r="BO209" i="7"/>
  <c r="BN209" i="7"/>
  <c r="BM209" i="7"/>
  <c r="BL209" i="7"/>
  <c r="BK209" i="7"/>
  <c r="BJ209" i="7"/>
  <c r="BI209" i="7"/>
  <c r="BH209" i="7"/>
  <c r="BG209" i="7"/>
  <c r="BF209" i="7"/>
  <c r="BE209" i="7"/>
  <c r="BD209" i="7"/>
  <c r="BC209" i="7"/>
  <c r="BB209" i="7"/>
  <c r="BA209" i="7"/>
  <c r="AZ209" i="7"/>
  <c r="AY209" i="7"/>
  <c r="AX209" i="7"/>
  <c r="AW209" i="7"/>
  <c r="AV209" i="7"/>
  <c r="AU209" i="7"/>
  <c r="AT209" i="7"/>
  <c r="AS209" i="7"/>
  <c r="AR209" i="7"/>
  <c r="AQ209" i="7"/>
  <c r="AP209" i="7"/>
  <c r="AO209" i="7"/>
  <c r="AN209" i="7"/>
  <c r="AM209" i="7"/>
  <c r="AL209" i="7"/>
  <c r="AK209" i="7"/>
  <c r="AJ209" i="7"/>
  <c r="AI209" i="7"/>
  <c r="AH209" i="7"/>
  <c r="AG209" i="7"/>
  <c r="AF209" i="7"/>
  <c r="AE209" i="7"/>
  <c r="AD209" i="7"/>
  <c r="AC209" i="7"/>
  <c r="AB209" i="7"/>
  <c r="AA209" i="7"/>
  <c r="Z209" i="7"/>
  <c r="Y209" i="7"/>
  <c r="X209" i="7"/>
  <c r="W209" i="7"/>
  <c r="V209" i="7"/>
  <c r="U209" i="7"/>
  <c r="T209" i="7"/>
  <c r="S209" i="7"/>
  <c r="R209" i="7"/>
  <c r="Q209" i="7"/>
  <c r="P209" i="7"/>
  <c r="O209" i="7"/>
  <c r="N209" i="7"/>
  <c r="M209" i="7"/>
  <c r="L209" i="7"/>
  <c r="K209" i="7"/>
  <c r="J209" i="7"/>
  <c r="I209" i="7"/>
  <c r="H209" i="7"/>
  <c r="G209" i="7"/>
  <c r="F209" i="7"/>
  <c r="E209" i="7"/>
  <c r="D209" i="7"/>
  <c r="C209" i="7"/>
  <c r="CG209" i="7" s="1"/>
  <c r="CF208" i="7"/>
  <c r="CE208" i="7"/>
  <c r="CD208" i="7"/>
  <c r="CC208" i="7"/>
  <c r="CB208" i="7"/>
  <c r="CA208" i="7"/>
  <c r="BZ208" i="7"/>
  <c r="BY208" i="7"/>
  <c r="BX208" i="7"/>
  <c r="BW208" i="7"/>
  <c r="BV208" i="7"/>
  <c r="BU208" i="7"/>
  <c r="BT208" i="7"/>
  <c r="BS208" i="7"/>
  <c r="BR208" i="7"/>
  <c r="BQ208" i="7"/>
  <c r="BP208" i="7"/>
  <c r="BO208" i="7"/>
  <c r="BN208" i="7"/>
  <c r="BM208" i="7"/>
  <c r="BL208" i="7"/>
  <c r="BK208" i="7"/>
  <c r="BJ208" i="7"/>
  <c r="BI208" i="7"/>
  <c r="BH208" i="7"/>
  <c r="BG208" i="7"/>
  <c r="BF208" i="7"/>
  <c r="BE208" i="7"/>
  <c r="BD208" i="7"/>
  <c r="BC208" i="7"/>
  <c r="BB208" i="7"/>
  <c r="BA208" i="7"/>
  <c r="AZ208" i="7"/>
  <c r="AY208" i="7"/>
  <c r="AX208" i="7"/>
  <c r="AW208" i="7"/>
  <c r="AV208" i="7"/>
  <c r="AU208" i="7"/>
  <c r="AT208" i="7"/>
  <c r="AS208" i="7"/>
  <c r="AR208" i="7"/>
  <c r="AQ208" i="7"/>
  <c r="AP208" i="7"/>
  <c r="AO208" i="7"/>
  <c r="AN208" i="7"/>
  <c r="AM208" i="7"/>
  <c r="AL208" i="7"/>
  <c r="AK208" i="7"/>
  <c r="AJ208" i="7"/>
  <c r="AI208" i="7"/>
  <c r="AH208" i="7"/>
  <c r="AG208" i="7"/>
  <c r="AF208" i="7"/>
  <c r="AE208" i="7"/>
  <c r="AD208" i="7"/>
  <c r="AC208" i="7"/>
  <c r="AB208" i="7"/>
  <c r="AA208" i="7"/>
  <c r="Z208" i="7"/>
  <c r="Y208" i="7"/>
  <c r="X208" i="7"/>
  <c r="W208" i="7"/>
  <c r="V208" i="7"/>
  <c r="U208" i="7"/>
  <c r="T208" i="7"/>
  <c r="S208" i="7"/>
  <c r="R208" i="7"/>
  <c r="Q208" i="7"/>
  <c r="P208" i="7"/>
  <c r="O208" i="7"/>
  <c r="N208" i="7"/>
  <c r="M208" i="7"/>
  <c r="L208" i="7"/>
  <c r="K208" i="7"/>
  <c r="J208" i="7"/>
  <c r="I208" i="7"/>
  <c r="H208" i="7"/>
  <c r="G208" i="7"/>
  <c r="F208" i="7"/>
  <c r="E208" i="7"/>
  <c r="D208" i="7"/>
  <c r="C208" i="7"/>
  <c r="CG208" i="7" s="1"/>
  <c r="CF207" i="7"/>
  <c r="CE207" i="7"/>
  <c r="CD207" i="7"/>
  <c r="CC207" i="7"/>
  <c r="CB207" i="7"/>
  <c r="CA207" i="7"/>
  <c r="BZ207" i="7"/>
  <c r="BY207" i="7"/>
  <c r="BX207" i="7"/>
  <c r="BW207" i="7"/>
  <c r="BV207" i="7"/>
  <c r="BU207" i="7"/>
  <c r="BT207" i="7"/>
  <c r="BS207" i="7"/>
  <c r="BR207" i="7"/>
  <c r="BQ207" i="7"/>
  <c r="BP207" i="7"/>
  <c r="BO207" i="7"/>
  <c r="BN207" i="7"/>
  <c r="BM207" i="7"/>
  <c r="BL207" i="7"/>
  <c r="BK207" i="7"/>
  <c r="BJ207" i="7"/>
  <c r="BI207" i="7"/>
  <c r="BH207" i="7"/>
  <c r="BG207" i="7"/>
  <c r="BF207" i="7"/>
  <c r="BE207" i="7"/>
  <c r="BD207" i="7"/>
  <c r="BC207" i="7"/>
  <c r="BB207" i="7"/>
  <c r="BA207" i="7"/>
  <c r="AZ207" i="7"/>
  <c r="AY207" i="7"/>
  <c r="AX207" i="7"/>
  <c r="AW207" i="7"/>
  <c r="AV207" i="7"/>
  <c r="AU207" i="7"/>
  <c r="AT207" i="7"/>
  <c r="AS207" i="7"/>
  <c r="AR207" i="7"/>
  <c r="AQ207" i="7"/>
  <c r="AP207" i="7"/>
  <c r="AO207" i="7"/>
  <c r="AN207" i="7"/>
  <c r="AM207" i="7"/>
  <c r="AL207" i="7"/>
  <c r="AK207" i="7"/>
  <c r="AJ207" i="7"/>
  <c r="AI207" i="7"/>
  <c r="AH207" i="7"/>
  <c r="AG207" i="7"/>
  <c r="AF207" i="7"/>
  <c r="AE207" i="7"/>
  <c r="AD207" i="7"/>
  <c r="AC207" i="7"/>
  <c r="AB207" i="7"/>
  <c r="AA207" i="7"/>
  <c r="Z207" i="7"/>
  <c r="Y207" i="7"/>
  <c r="X207" i="7"/>
  <c r="W207" i="7"/>
  <c r="V207" i="7"/>
  <c r="U207" i="7"/>
  <c r="T207" i="7"/>
  <c r="S207" i="7"/>
  <c r="R207" i="7"/>
  <c r="Q207" i="7"/>
  <c r="P207" i="7"/>
  <c r="O207" i="7"/>
  <c r="N207" i="7"/>
  <c r="M207" i="7"/>
  <c r="L207" i="7"/>
  <c r="K207" i="7"/>
  <c r="J207" i="7"/>
  <c r="I207" i="7"/>
  <c r="H207" i="7"/>
  <c r="G207" i="7"/>
  <c r="F207" i="7"/>
  <c r="E207" i="7"/>
  <c r="D207" i="7"/>
  <c r="C207" i="7"/>
  <c r="CG207" i="7" s="1"/>
  <c r="CF206" i="7"/>
  <c r="CE206" i="7"/>
  <c r="CD206" i="7"/>
  <c r="CC206" i="7"/>
  <c r="CB206" i="7"/>
  <c r="CA206" i="7"/>
  <c r="BZ206" i="7"/>
  <c r="BY206" i="7"/>
  <c r="BX206" i="7"/>
  <c r="BW206" i="7"/>
  <c r="BV206" i="7"/>
  <c r="BU206" i="7"/>
  <c r="BT206" i="7"/>
  <c r="BS206" i="7"/>
  <c r="BR206" i="7"/>
  <c r="BQ206" i="7"/>
  <c r="BP206" i="7"/>
  <c r="BO206" i="7"/>
  <c r="BN206" i="7"/>
  <c r="BM206" i="7"/>
  <c r="BL206" i="7"/>
  <c r="BK206" i="7"/>
  <c r="BJ206" i="7"/>
  <c r="BI206" i="7"/>
  <c r="BH206" i="7"/>
  <c r="BG206" i="7"/>
  <c r="BF206" i="7"/>
  <c r="BE206" i="7"/>
  <c r="BD206" i="7"/>
  <c r="BC206" i="7"/>
  <c r="BB206" i="7"/>
  <c r="BA206" i="7"/>
  <c r="AZ206" i="7"/>
  <c r="AY206" i="7"/>
  <c r="AX206" i="7"/>
  <c r="AW206" i="7"/>
  <c r="AV206" i="7"/>
  <c r="AU206" i="7"/>
  <c r="AT206" i="7"/>
  <c r="AS206" i="7"/>
  <c r="AR206" i="7"/>
  <c r="AQ206" i="7"/>
  <c r="AP206" i="7"/>
  <c r="AO206" i="7"/>
  <c r="AN206" i="7"/>
  <c r="AM206" i="7"/>
  <c r="AL206" i="7"/>
  <c r="AK206" i="7"/>
  <c r="AJ206" i="7"/>
  <c r="AI206" i="7"/>
  <c r="AH206" i="7"/>
  <c r="AG206" i="7"/>
  <c r="AF206" i="7"/>
  <c r="AE206" i="7"/>
  <c r="AD206" i="7"/>
  <c r="AC206" i="7"/>
  <c r="AB206" i="7"/>
  <c r="AA206" i="7"/>
  <c r="Z206" i="7"/>
  <c r="Y206" i="7"/>
  <c r="X206" i="7"/>
  <c r="W206" i="7"/>
  <c r="V206" i="7"/>
  <c r="U206" i="7"/>
  <c r="T206" i="7"/>
  <c r="S206" i="7"/>
  <c r="R206" i="7"/>
  <c r="Q206" i="7"/>
  <c r="P206" i="7"/>
  <c r="O206" i="7"/>
  <c r="N206" i="7"/>
  <c r="M206" i="7"/>
  <c r="L206" i="7"/>
  <c r="K206" i="7"/>
  <c r="J206" i="7"/>
  <c r="I206" i="7"/>
  <c r="H206" i="7"/>
  <c r="G206" i="7"/>
  <c r="F206" i="7"/>
  <c r="E206" i="7"/>
  <c r="CG206" i="7" s="1"/>
  <c r="D206" i="7"/>
  <c r="C206" i="7"/>
  <c r="CF205" i="7"/>
  <c r="CE205" i="7"/>
  <c r="CD205" i="7"/>
  <c r="CC205" i="7"/>
  <c r="CB205" i="7"/>
  <c r="CA205" i="7"/>
  <c r="BZ205" i="7"/>
  <c r="BY205" i="7"/>
  <c r="BX205" i="7"/>
  <c r="BW205" i="7"/>
  <c r="BV205" i="7"/>
  <c r="BU205" i="7"/>
  <c r="BT205" i="7"/>
  <c r="BS205" i="7"/>
  <c r="BR205" i="7"/>
  <c r="BQ205" i="7"/>
  <c r="BP205" i="7"/>
  <c r="BO205" i="7"/>
  <c r="BN205" i="7"/>
  <c r="BM205" i="7"/>
  <c r="BL205" i="7"/>
  <c r="BK205" i="7"/>
  <c r="BJ205" i="7"/>
  <c r="BI205" i="7"/>
  <c r="BH205" i="7"/>
  <c r="BG205" i="7"/>
  <c r="BF205" i="7"/>
  <c r="BE205" i="7"/>
  <c r="BD205" i="7"/>
  <c r="BC205" i="7"/>
  <c r="BB205" i="7"/>
  <c r="BA205" i="7"/>
  <c r="AZ205" i="7"/>
  <c r="AY205" i="7"/>
  <c r="AX205" i="7"/>
  <c r="AW205" i="7"/>
  <c r="AV205" i="7"/>
  <c r="AU205" i="7"/>
  <c r="AT205" i="7"/>
  <c r="AS205" i="7"/>
  <c r="AR205" i="7"/>
  <c r="AQ205" i="7"/>
  <c r="AP205" i="7"/>
  <c r="AO205" i="7"/>
  <c r="AN205" i="7"/>
  <c r="AM205" i="7"/>
  <c r="AL205" i="7"/>
  <c r="AK205" i="7"/>
  <c r="AJ205" i="7"/>
  <c r="AI205" i="7"/>
  <c r="AH205" i="7"/>
  <c r="AG205" i="7"/>
  <c r="AF205" i="7"/>
  <c r="AE205" i="7"/>
  <c r="AD205" i="7"/>
  <c r="AC205" i="7"/>
  <c r="AB205" i="7"/>
  <c r="AA205" i="7"/>
  <c r="Z205" i="7"/>
  <c r="Y205" i="7"/>
  <c r="X205" i="7"/>
  <c r="W205" i="7"/>
  <c r="V205" i="7"/>
  <c r="U205" i="7"/>
  <c r="T205" i="7"/>
  <c r="S205" i="7"/>
  <c r="R205" i="7"/>
  <c r="Q205" i="7"/>
  <c r="P205" i="7"/>
  <c r="O205" i="7"/>
  <c r="N205" i="7"/>
  <c r="M205" i="7"/>
  <c r="L205" i="7"/>
  <c r="K205" i="7"/>
  <c r="J205" i="7"/>
  <c r="I205" i="7"/>
  <c r="H205" i="7"/>
  <c r="G205" i="7"/>
  <c r="F205" i="7"/>
  <c r="E205" i="7"/>
  <c r="D205" i="7"/>
  <c r="C205" i="7"/>
  <c r="CG205" i="7" s="1"/>
  <c r="CF204" i="7"/>
  <c r="CE204" i="7"/>
  <c r="CD204" i="7"/>
  <c r="CC204" i="7"/>
  <c r="CB204" i="7"/>
  <c r="CA204" i="7"/>
  <c r="BZ204" i="7"/>
  <c r="BY204" i="7"/>
  <c r="BX204" i="7"/>
  <c r="BW204" i="7"/>
  <c r="BV204" i="7"/>
  <c r="BU204" i="7"/>
  <c r="BT204" i="7"/>
  <c r="BS204" i="7"/>
  <c r="BR204" i="7"/>
  <c r="BQ204" i="7"/>
  <c r="BP204" i="7"/>
  <c r="BO204" i="7"/>
  <c r="BN204" i="7"/>
  <c r="BM204" i="7"/>
  <c r="BL204" i="7"/>
  <c r="BK204" i="7"/>
  <c r="BJ204" i="7"/>
  <c r="BI204" i="7"/>
  <c r="BH204" i="7"/>
  <c r="BG204" i="7"/>
  <c r="BF204" i="7"/>
  <c r="BE204" i="7"/>
  <c r="BD204" i="7"/>
  <c r="BC204" i="7"/>
  <c r="BB204" i="7"/>
  <c r="BA204" i="7"/>
  <c r="AZ204" i="7"/>
  <c r="AY204" i="7"/>
  <c r="AX204" i="7"/>
  <c r="AW204" i="7"/>
  <c r="AV204" i="7"/>
  <c r="AU204" i="7"/>
  <c r="AT204" i="7"/>
  <c r="AS204" i="7"/>
  <c r="AR204" i="7"/>
  <c r="AQ204" i="7"/>
  <c r="AP204" i="7"/>
  <c r="AO204" i="7"/>
  <c r="AN204" i="7"/>
  <c r="AM204" i="7"/>
  <c r="AL204" i="7"/>
  <c r="AK204" i="7"/>
  <c r="AJ204" i="7"/>
  <c r="AI204" i="7"/>
  <c r="AH204" i="7"/>
  <c r="AG204" i="7"/>
  <c r="AF204" i="7"/>
  <c r="AE204" i="7"/>
  <c r="AD204" i="7"/>
  <c r="AC204" i="7"/>
  <c r="AB204" i="7"/>
  <c r="AA204" i="7"/>
  <c r="Z204" i="7"/>
  <c r="Y204" i="7"/>
  <c r="X204" i="7"/>
  <c r="W204" i="7"/>
  <c r="V204" i="7"/>
  <c r="U204" i="7"/>
  <c r="T204" i="7"/>
  <c r="S204" i="7"/>
  <c r="R204" i="7"/>
  <c r="Q204" i="7"/>
  <c r="P204" i="7"/>
  <c r="O204" i="7"/>
  <c r="N204" i="7"/>
  <c r="M204" i="7"/>
  <c r="L204" i="7"/>
  <c r="K204" i="7"/>
  <c r="J204" i="7"/>
  <c r="I204" i="7"/>
  <c r="H204" i="7"/>
  <c r="G204" i="7"/>
  <c r="F204" i="7"/>
  <c r="E204" i="7"/>
  <c r="D204" i="7"/>
  <c r="C204" i="7"/>
  <c r="CF203" i="7"/>
  <c r="CE203" i="7"/>
  <c r="CD203" i="7"/>
  <c r="CC203" i="7"/>
  <c r="CB203" i="7"/>
  <c r="CA203" i="7"/>
  <c r="BZ203" i="7"/>
  <c r="BY203" i="7"/>
  <c r="BX203" i="7"/>
  <c r="BW203" i="7"/>
  <c r="BV203" i="7"/>
  <c r="BU203" i="7"/>
  <c r="BT203" i="7"/>
  <c r="BS203" i="7"/>
  <c r="BR203" i="7"/>
  <c r="BQ203" i="7"/>
  <c r="BP203" i="7"/>
  <c r="BO203" i="7"/>
  <c r="BN203" i="7"/>
  <c r="BM203" i="7"/>
  <c r="BL203" i="7"/>
  <c r="BK203" i="7"/>
  <c r="BJ203" i="7"/>
  <c r="BI203" i="7"/>
  <c r="BH203" i="7"/>
  <c r="BG203" i="7"/>
  <c r="BF203" i="7"/>
  <c r="BE203" i="7"/>
  <c r="BD203" i="7"/>
  <c r="BC203" i="7"/>
  <c r="BB203" i="7"/>
  <c r="BA203" i="7"/>
  <c r="AZ203" i="7"/>
  <c r="AY203" i="7"/>
  <c r="AX203" i="7"/>
  <c r="AW203" i="7"/>
  <c r="AV203" i="7"/>
  <c r="AU203" i="7"/>
  <c r="AT203" i="7"/>
  <c r="AS203" i="7"/>
  <c r="AR203" i="7"/>
  <c r="AQ203" i="7"/>
  <c r="AP203" i="7"/>
  <c r="AO203" i="7"/>
  <c r="AN203" i="7"/>
  <c r="AM203" i="7"/>
  <c r="AL203" i="7"/>
  <c r="AK203" i="7"/>
  <c r="AJ203" i="7"/>
  <c r="AI203" i="7"/>
  <c r="AH203" i="7"/>
  <c r="AG203" i="7"/>
  <c r="AF203" i="7"/>
  <c r="AE203" i="7"/>
  <c r="AD203" i="7"/>
  <c r="AC203" i="7"/>
  <c r="AB203" i="7"/>
  <c r="AA203" i="7"/>
  <c r="Z203" i="7"/>
  <c r="Y203" i="7"/>
  <c r="X203" i="7"/>
  <c r="W203" i="7"/>
  <c r="V203" i="7"/>
  <c r="U203" i="7"/>
  <c r="T203" i="7"/>
  <c r="S203" i="7"/>
  <c r="R203" i="7"/>
  <c r="Q203" i="7"/>
  <c r="P203" i="7"/>
  <c r="O203" i="7"/>
  <c r="N203" i="7"/>
  <c r="M203" i="7"/>
  <c r="L203" i="7"/>
  <c r="K203" i="7"/>
  <c r="J203" i="7"/>
  <c r="I203" i="7"/>
  <c r="H203" i="7"/>
  <c r="G203" i="7"/>
  <c r="F203" i="7"/>
  <c r="E203" i="7"/>
  <c r="D203" i="7"/>
  <c r="C203" i="7"/>
  <c r="CF202" i="7"/>
  <c r="CE202" i="7"/>
  <c r="CD202" i="7"/>
  <c r="CC202" i="7"/>
  <c r="CB202" i="7"/>
  <c r="CA202" i="7"/>
  <c r="BZ202" i="7"/>
  <c r="BY202" i="7"/>
  <c r="BX202" i="7"/>
  <c r="BW202" i="7"/>
  <c r="BV202" i="7"/>
  <c r="BU202" i="7"/>
  <c r="BT202" i="7"/>
  <c r="BS202" i="7"/>
  <c r="BR202" i="7"/>
  <c r="BQ202" i="7"/>
  <c r="BP202" i="7"/>
  <c r="BO202" i="7"/>
  <c r="BN202" i="7"/>
  <c r="BM202" i="7"/>
  <c r="BL202" i="7"/>
  <c r="BK202" i="7"/>
  <c r="BJ202" i="7"/>
  <c r="BI202" i="7"/>
  <c r="BH202" i="7"/>
  <c r="BG202" i="7"/>
  <c r="BF202" i="7"/>
  <c r="BE202" i="7"/>
  <c r="BD202" i="7"/>
  <c r="BC202" i="7"/>
  <c r="BB202" i="7"/>
  <c r="BA202" i="7"/>
  <c r="AZ202" i="7"/>
  <c r="AY202" i="7"/>
  <c r="AX202" i="7"/>
  <c r="AW202" i="7"/>
  <c r="AV202" i="7"/>
  <c r="AU202" i="7"/>
  <c r="AT202" i="7"/>
  <c r="AS202" i="7"/>
  <c r="AR202" i="7"/>
  <c r="AQ202" i="7"/>
  <c r="AP202" i="7"/>
  <c r="AO202" i="7"/>
  <c r="AN202" i="7"/>
  <c r="AM202" i="7"/>
  <c r="AL202" i="7"/>
  <c r="AK202" i="7"/>
  <c r="AJ202" i="7"/>
  <c r="AI202" i="7"/>
  <c r="AH202" i="7"/>
  <c r="AG202" i="7"/>
  <c r="AF202" i="7"/>
  <c r="AE202" i="7"/>
  <c r="AD202" i="7"/>
  <c r="AC202" i="7"/>
  <c r="AB202" i="7"/>
  <c r="AA202" i="7"/>
  <c r="Z202" i="7"/>
  <c r="Y202" i="7"/>
  <c r="X202" i="7"/>
  <c r="W202" i="7"/>
  <c r="V202" i="7"/>
  <c r="U202" i="7"/>
  <c r="T202" i="7"/>
  <c r="S202" i="7"/>
  <c r="R202" i="7"/>
  <c r="Q202" i="7"/>
  <c r="P202" i="7"/>
  <c r="O202" i="7"/>
  <c r="N202" i="7"/>
  <c r="M202" i="7"/>
  <c r="L202" i="7"/>
  <c r="K202" i="7"/>
  <c r="J202" i="7"/>
  <c r="I202" i="7"/>
  <c r="H202" i="7"/>
  <c r="G202" i="7"/>
  <c r="F202" i="7"/>
  <c r="E202" i="7"/>
  <c r="D202" i="7"/>
  <c r="C202" i="7"/>
  <c r="CF201" i="7"/>
  <c r="CE201" i="7"/>
  <c r="CD201" i="7"/>
  <c r="CC201" i="7"/>
  <c r="CB201" i="7"/>
  <c r="CA201" i="7"/>
  <c r="BZ201" i="7"/>
  <c r="BY201" i="7"/>
  <c r="BX201" i="7"/>
  <c r="BW201" i="7"/>
  <c r="BV201" i="7"/>
  <c r="BU201" i="7"/>
  <c r="BT201" i="7"/>
  <c r="BS201" i="7"/>
  <c r="BR201" i="7"/>
  <c r="BQ201" i="7"/>
  <c r="BP201" i="7"/>
  <c r="BO201" i="7"/>
  <c r="BN201" i="7"/>
  <c r="BM201" i="7"/>
  <c r="BL201" i="7"/>
  <c r="BK201" i="7"/>
  <c r="BJ201" i="7"/>
  <c r="BI201" i="7"/>
  <c r="BH201" i="7"/>
  <c r="BG201" i="7"/>
  <c r="BF201" i="7"/>
  <c r="BE201" i="7"/>
  <c r="BD201" i="7"/>
  <c r="BC201" i="7"/>
  <c r="BB201" i="7"/>
  <c r="BA201" i="7"/>
  <c r="AZ201" i="7"/>
  <c r="AY201" i="7"/>
  <c r="AX201" i="7"/>
  <c r="AW201" i="7"/>
  <c r="AV201" i="7"/>
  <c r="AU201" i="7"/>
  <c r="AT201" i="7"/>
  <c r="AS201" i="7"/>
  <c r="AR201" i="7"/>
  <c r="AQ201" i="7"/>
  <c r="AP201" i="7"/>
  <c r="AO201" i="7"/>
  <c r="AN201" i="7"/>
  <c r="AM201" i="7"/>
  <c r="AL201" i="7"/>
  <c r="AK201" i="7"/>
  <c r="AJ201" i="7"/>
  <c r="AI201" i="7"/>
  <c r="AH201" i="7"/>
  <c r="AG201" i="7"/>
  <c r="AF201" i="7"/>
  <c r="AE201" i="7"/>
  <c r="AD201" i="7"/>
  <c r="AC201" i="7"/>
  <c r="AB201" i="7"/>
  <c r="AA201" i="7"/>
  <c r="Z201" i="7"/>
  <c r="Y201" i="7"/>
  <c r="X201" i="7"/>
  <c r="W201" i="7"/>
  <c r="V201" i="7"/>
  <c r="U201" i="7"/>
  <c r="T201" i="7"/>
  <c r="S201" i="7"/>
  <c r="R201" i="7"/>
  <c r="Q201" i="7"/>
  <c r="P201" i="7"/>
  <c r="O201" i="7"/>
  <c r="N201" i="7"/>
  <c r="M201" i="7"/>
  <c r="L201" i="7"/>
  <c r="K201" i="7"/>
  <c r="J201" i="7"/>
  <c r="I201" i="7"/>
  <c r="H201" i="7"/>
  <c r="G201" i="7"/>
  <c r="F201" i="7"/>
  <c r="E201" i="7"/>
  <c r="D201" i="7"/>
  <c r="C201" i="7"/>
  <c r="CG201" i="7" s="1"/>
  <c r="CF200" i="7"/>
  <c r="CE200" i="7"/>
  <c r="CD200" i="7"/>
  <c r="CC200" i="7"/>
  <c r="CB200" i="7"/>
  <c r="CA200" i="7"/>
  <c r="BZ200" i="7"/>
  <c r="BY200" i="7"/>
  <c r="BX200" i="7"/>
  <c r="BW200" i="7"/>
  <c r="BV200" i="7"/>
  <c r="BU200" i="7"/>
  <c r="BT200" i="7"/>
  <c r="BS200" i="7"/>
  <c r="BR200" i="7"/>
  <c r="BQ200" i="7"/>
  <c r="BP200" i="7"/>
  <c r="BO200" i="7"/>
  <c r="BN200" i="7"/>
  <c r="BM200" i="7"/>
  <c r="BL200" i="7"/>
  <c r="BK200" i="7"/>
  <c r="BJ200" i="7"/>
  <c r="BI200" i="7"/>
  <c r="BH200" i="7"/>
  <c r="BG200" i="7"/>
  <c r="BF200" i="7"/>
  <c r="BE200" i="7"/>
  <c r="BD200" i="7"/>
  <c r="BC200" i="7"/>
  <c r="BB200" i="7"/>
  <c r="BA200" i="7"/>
  <c r="AZ200" i="7"/>
  <c r="AY200" i="7"/>
  <c r="AX200" i="7"/>
  <c r="AW200" i="7"/>
  <c r="AV200" i="7"/>
  <c r="AU200" i="7"/>
  <c r="AT200" i="7"/>
  <c r="AS200" i="7"/>
  <c r="AR200" i="7"/>
  <c r="AQ200" i="7"/>
  <c r="AP200" i="7"/>
  <c r="AO200" i="7"/>
  <c r="AN200" i="7"/>
  <c r="AM200" i="7"/>
  <c r="AL200" i="7"/>
  <c r="AK200" i="7"/>
  <c r="AJ200" i="7"/>
  <c r="AI200" i="7"/>
  <c r="AH200" i="7"/>
  <c r="AG200" i="7"/>
  <c r="AF200" i="7"/>
  <c r="AE200" i="7"/>
  <c r="AD200" i="7"/>
  <c r="AC200" i="7"/>
  <c r="AB200" i="7"/>
  <c r="AA200" i="7"/>
  <c r="Z200" i="7"/>
  <c r="Y200" i="7"/>
  <c r="X200" i="7"/>
  <c r="W200" i="7"/>
  <c r="V200" i="7"/>
  <c r="U200" i="7"/>
  <c r="T200" i="7"/>
  <c r="S200" i="7"/>
  <c r="R200" i="7"/>
  <c r="Q200" i="7"/>
  <c r="P200" i="7"/>
  <c r="O200" i="7"/>
  <c r="N200" i="7"/>
  <c r="M200" i="7"/>
  <c r="L200" i="7"/>
  <c r="K200" i="7"/>
  <c r="J200" i="7"/>
  <c r="I200" i="7"/>
  <c r="H200" i="7"/>
  <c r="G200" i="7"/>
  <c r="F200" i="7"/>
  <c r="E200" i="7"/>
  <c r="D200" i="7"/>
  <c r="C200" i="7"/>
  <c r="CF199" i="7"/>
  <c r="CE199" i="7"/>
  <c r="CD199" i="7"/>
  <c r="CC199" i="7"/>
  <c r="CB199" i="7"/>
  <c r="CA199" i="7"/>
  <c r="BZ199" i="7"/>
  <c r="BY199" i="7"/>
  <c r="BX199" i="7"/>
  <c r="BW199" i="7"/>
  <c r="BV199" i="7"/>
  <c r="BU199" i="7"/>
  <c r="BT199" i="7"/>
  <c r="BS199" i="7"/>
  <c r="BR199" i="7"/>
  <c r="BQ199" i="7"/>
  <c r="BP199" i="7"/>
  <c r="BO199" i="7"/>
  <c r="BN199" i="7"/>
  <c r="BM199" i="7"/>
  <c r="BL199" i="7"/>
  <c r="BK199" i="7"/>
  <c r="BJ199" i="7"/>
  <c r="BI199" i="7"/>
  <c r="BH199" i="7"/>
  <c r="BG199" i="7"/>
  <c r="BF199" i="7"/>
  <c r="BE199" i="7"/>
  <c r="BD199" i="7"/>
  <c r="BC199" i="7"/>
  <c r="BB199" i="7"/>
  <c r="BA199" i="7"/>
  <c r="AZ199" i="7"/>
  <c r="AY199" i="7"/>
  <c r="AX199" i="7"/>
  <c r="AW199" i="7"/>
  <c r="AV199" i="7"/>
  <c r="AU199" i="7"/>
  <c r="AT199" i="7"/>
  <c r="AS199" i="7"/>
  <c r="AR199" i="7"/>
  <c r="AQ199" i="7"/>
  <c r="AP199" i="7"/>
  <c r="AO199" i="7"/>
  <c r="AN199" i="7"/>
  <c r="AM199" i="7"/>
  <c r="AL199" i="7"/>
  <c r="AK199" i="7"/>
  <c r="AJ199" i="7"/>
  <c r="AI199" i="7"/>
  <c r="AH199" i="7"/>
  <c r="AG199" i="7"/>
  <c r="AF199" i="7"/>
  <c r="AE199" i="7"/>
  <c r="AD199" i="7"/>
  <c r="AC199" i="7"/>
  <c r="AB199" i="7"/>
  <c r="AA199" i="7"/>
  <c r="Z199" i="7"/>
  <c r="Y199" i="7"/>
  <c r="X199" i="7"/>
  <c r="W199" i="7"/>
  <c r="V199" i="7"/>
  <c r="U199" i="7"/>
  <c r="T199" i="7"/>
  <c r="S199" i="7"/>
  <c r="R199" i="7"/>
  <c r="Q199" i="7"/>
  <c r="P199" i="7"/>
  <c r="O199" i="7"/>
  <c r="N199" i="7"/>
  <c r="M199" i="7"/>
  <c r="L199" i="7"/>
  <c r="K199" i="7"/>
  <c r="J199" i="7"/>
  <c r="I199" i="7"/>
  <c r="H199" i="7"/>
  <c r="G199" i="7"/>
  <c r="F199" i="7"/>
  <c r="E199" i="7"/>
  <c r="D199" i="7"/>
  <c r="C199" i="7"/>
  <c r="CG199" i="7" s="1"/>
  <c r="CF198" i="7"/>
  <c r="CE198" i="7"/>
  <c r="CD198" i="7"/>
  <c r="CC198" i="7"/>
  <c r="CB198" i="7"/>
  <c r="CA198" i="7"/>
  <c r="BZ198" i="7"/>
  <c r="BY198" i="7"/>
  <c r="BX198" i="7"/>
  <c r="BW198" i="7"/>
  <c r="BV198" i="7"/>
  <c r="BU198" i="7"/>
  <c r="BT198" i="7"/>
  <c r="BS198" i="7"/>
  <c r="BR198" i="7"/>
  <c r="BQ198" i="7"/>
  <c r="BP198" i="7"/>
  <c r="BO198" i="7"/>
  <c r="BN198" i="7"/>
  <c r="BM198" i="7"/>
  <c r="BL198" i="7"/>
  <c r="BK198" i="7"/>
  <c r="BJ198" i="7"/>
  <c r="BI198" i="7"/>
  <c r="BH198" i="7"/>
  <c r="BG198" i="7"/>
  <c r="BF198" i="7"/>
  <c r="BE198" i="7"/>
  <c r="BD198" i="7"/>
  <c r="BC198" i="7"/>
  <c r="BB198" i="7"/>
  <c r="BA198" i="7"/>
  <c r="AZ198" i="7"/>
  <c r="AY198" i="7"/>
  <c r="AX198" i="7"/>
  <c r="AW198" i="7"/>
  <c r="AV198" i="7"/>
  <c r="AU198" i="7"/>
  <c r="AT198" i="7"/>
  <c r="AS198" i="7"/>
  <c r="AR198" i="7"/>
  <c r="AQ198" i="7"/>
  <c r="AP198" i="7"/>
  <c r="AO198" i="7"/>
  <c r="AN198" i="7"/>
  <c r="AM198" i="7"/>
  <c r="AL198" i="7"/>
  <c r="AK198" i="7"/>
  <c r="AJ198" i="7"/>
  <c r="AI198" i="7"/>
  <c r="AH198" i="7"/>
  <c r="AG198" i="7"/>
  <c r="AF198" i="7"/>
  <c r="AE198" i="7"/>
  <c r="AD198" i="7"/>
  <c r="AC198" i="7"/>
  <c r="AB198" i="7"/>
  <c r="AA198" i="7"/>
  <c r="Z198" i="7"/>
  <c r="Y198" i="7"/>
  <c r="X198" i="7"/>
  <c r="W198" i="7"/>
  <c r="V198" i="7"/>
  <c r="U198" i="7"/>
  <c r="T198" i="7"/>
  <c r="S198" i="7"/>
  <c r="R198" i="7"/>
  <c r="CG198" i="7" s="1"/>
  <c r="Q198" i="7"/>
  <c r="P198" i="7"/>
  <c r="O198" i="7"/>
  <c r="N198" i="7"/>
  <c r="M198" i="7"/>
  <c r="L198" i="7"/>
  <c r="K198" i="7"/>
  <c r="J198" i="7"/>
  <c r="I198" i="7"/>
  <c r="H198" i="7"/>
  <c r="G198" i="7"/>
  <c r="F198" i="7"/>
  <c r="E198" i="7"/>
  <c r="D198" i="7"/>
  <c r="C198" i="7"/>
  <c r="CF197" i="7"/>
  <c r="CE197" i="7"/>
  <c r="CD197" i="7"/>
  <c r="CC197" i="7"/>
  <c r="CB197" i="7"/>
  <c r="CA197" i="7"/>
  <c r="BZ197" i="7"/>
  <c r="BY197" i="7"/>
  <c r="BX197" i="7"/>
  <c r="BW197" i="7"/>
  <c r="BV197" i="7"/>
  <c r="BU197" i="7"/>
  <c r="BT197" i="7"/>
  <c r="BS197" i="7"/>
  <c r="BR197" i="7"/>
  <c r="BQ197" i="7"/>
  <c r="BP197" i="7"/>
  <c r="BO197" i="7"/>
  <c r="BN197" i="7"/>
  <c r="BM197" i="7"/>
  <c r="BL197" i="7"/>
  <c r="BK197" i="7"/>
  <c r="BJ197" i="7"/>
  <c r="BI197" i="7"/>
  <c r="BH197" i="7"/>
  <c r="BG197" i="7"/>
  <c r="BF197" i="7"/>
  <c r="BE197" i="7"/>
  <c r="BD197" i="7"/>
  <c r="BC197" i="7"/>
  <c r="BB197" i="7"/>
  <c r="BA197" i="7"/>
  <c r="AZ197" i="7"/>
  <c r="AY197" i="7"/>
  <c r="AX197" i="7"/>
  <c r="AW197" i="7"/>
  <c r="AV197" i="7"/>
  <c r="AU197" i="7"/>
  <c r="AT197" i="7"/>
  <c r="AS197" i="7"/>
  <c r="AR197" i="7"/>
  <c r="AQ197" i="7"/>
  <c r="AP197" i="7"/>
  <c r="AO197" i="7"/>
  <c r="AN197" i="7"/>
  <c r="AM197" i="7"/>
  <c r="AL197" i="7"/>
  <c r="AK197" i="7"/>
  <c r="AJ197" i="7"/>
  <c r="AI197" i="7"/>
  <c r="AH197" i="7"/>
  <c r="AG197" i="7"/>
  <c r="AF197" i="7"/>
  <c r="AE197" i="7"/>
  <c r="AD197" i="7"/>
  <c r="AC197" i="7"/>
  <c r="AB197" i="7"/>
  <c r="AA197" i="7"/>
  <c r="Z197" i="7"/>
  <c r="Y197" i="7"/>
  <c r="X197" i="7"/>
  <c r="W197" i="7"/>
  <c r="V197" i="7"/>
  <c r="U197" i="7"/>
  <c r="T197" i="7"/>
  <c r="S197" i="7"/>
  <c r="R197" i="7"/>
  <c r="Q197" i="7"/>
  <c r="P197" i="7"/>
  <c r="O197" i="7"/>
  <c r="N197" i="7"/>
  <c r="M197" i="7"/>
  <c r="L197" i="7"/>
  <c r="K197" i="7"/>
  <c r="J197" i="7"/>
  <c r="I197" i="7"/>
  <c r="H197" i="7"/>
  <c r="G197" i="7"/>
  <c r="F197" i="7"/>
  <c r="E197" i="7"/>
  <c r="D197" i="7"/>
  <c r="C197" i="7"/>
  <c r="CF196" i="7"/>
  <c r="CE196" i="7"/>
  <c r="CD196" i="7"/>
  <c r="CC196" i="7"/>
  <c r="CB196" i="7"/>
  <c r="CA196" i="7"/>
  <c r="BZ196" i="7"/>
  <c r="BY196" i="7"/>
  <c r="BX196" i="7"/>
  <c r="BW196" i="7"/>
  <c r="BV196" i="7"/>
  <c r="BU196" i="7"/>
  <c r="BT196" i="7"/>
  <c r="BS196" i="7"/>
  <c r="BR196" i="7"/>
  <c r="BQ196" i="7"/>
  <c r="BP196" i="7"/>
  <c r="BO196" i="7"/>
  <c r="BN196" i="7"/>
  <c r="BM196" i="7"/>
  <c r="BL196" i="7"/>
  <c r="BK196" i="7"/>
  <c r="BJ196" i="7"/>
  <c r="BI196" i="7"/>
  <c r="BH196" i="7"/>
  <c r="BG196" i="7"/>
  <c r="BF196" i="7"/>
  <c r="BE196" i="7"/>
  <c r="BD196" i="7"/>
  <c r="BC196" i="7"/>
  <c r="BB196" i="7"/>
  <c r="BA196" i="7"/>
  <c r="AZ196" i="7"/>
  <c r="AY196" i="7"/>
  <c r="AX196" i="7"/>
  <c r="AW196" i="7"/>
  <c r="AV196" i="7"/>
  <c r="AU196" i="7"/>
  <c r="AT196" i="7"/>
  <c r="AS196" i="7"/>
  <c r="AR196" i="7"/>
  <c r="AQ196" i="7"/>
  <c r="AP196" i="7"/>
  <c r="AO196" i="7"/>
  <c r="AN196" i="7"/>
  <c r="AM196" i="7"/>
  <c r="AL196" i="7"/>
  <c r="AK196" i="7"/>
  <c r="AJ196" i="7"/>
  <c r="AI196" i="7"/>
  <c r="AH196" i="7"/>
  <c r="AG196" i="7"/>
  <c r="AF196" i="7"/>
  <c r="AE196" i="7"/>
  <c r="AD196" i="7"/>
  <c r="AC196" i="7"/>
  <c r="AB196" i="7"/>
  <c r="AA196" i="7"/>
  <c r="Z196" i="7"/>
  <c r="Y196" i="7"/>
  <c r="X196" i="7"/>
  <c r="W196" i="7"/>
  <c r="V196" i="7"/>
  <c r="U196" i="7"/>
  <c r="T196" i="7"/>
  <c r="S196" i="7"/>
  <c r="R196" i="7"/>
  <c r="Q196" i="7"/>
  <c r="P196" i="7"/>
  <c r="O196" i="7"/>
  <c r="N196" i="7"/>
  <c r="M196" i="7"/>
  <c r="L196" i="7"/>
  <c r="K196" i="7"/>
  <c r="J196" i="7"/>
  <c r="I196" i="7"/>
  <c r="H196" i="7"/>
  <c r="G196" i="7"/>
  <c r="F196" i="7"/>
  <c r="E196" i="7"/>
  <c r="D196" i="7"/>
  <c r="C196" i="7"/>
  <c r="CG196" i="7" s="1"/>
  <c r="CF195" i="7"/>
  <c r="CE195" i="7"/>
  <c r="CD195" i="7"/>
  <c r="CC195" i="7"/>
  <c r="CB195" i="7"/>
  <c r="CA195" i="7"/>
  <c r="BZ195" i="7"/>
  <c r="BY195" i="7"/>
  <c r="BX195" i="7"/>
  <c r="BW195" i="7"/>
  <c r="BV195" i="7"/>
  <c r="BU195" i="7"/>
  <c r="BT195" i="7"/>
  <c r="BS195" i="7"/>
  <c r="BR195" i="7"/>
  <c r="BQ195" i="7"/>
  <c r="BP195" i="7"/>
  <c r="BO195" i="7"/>
  <c r="BN195" i="7"/>
  <c r="BM195" i="7"/>
  <c r="BL195" i="7"/>
  <c r="BK195" i="7"/>
  <c r="BJ195" i="7"/>
  <c r="BI195" i="7"/>
  <c r="BH195" i="7"/>
  <c r="BG195" i="7"/>
  <c r="BF195" i="7"/>
  <c r="BE195" i="7"/>
  <c r="BD195" i="7"/>
  <c r="BC195" i="7"/>
  <c r="BB195" i="7"/>
  <c r="BA195" i="7"/>
  <c r="AZ195" i="7"/>
  <c r="AY195" i="7"/>
  <c r="AX195" i="7"/>
  <c r="AW195" i="7"/>
  <c r="AV195" i="7"/>
  <c r="AU195" i="7"/>
  <c r="AT195" i="7"/>
  <c r="AS195" i="7"/>
  <c r="AR195" i="7"/>
  <c r="AQ195" i="7"/>
  <c r="AP195" i="7"/>
  <c r="AO195" i="7"/>
  <c r="AN195" i="7"/>
  <c r="AM195" i="7"/>
  <c r="AL195" i="7"/>
  <c r="AK195" i="7"/>
  <c r="AJ195" i="7"/>
  <c r="AI195" i="7"/>
  <c r="AH195" i="7"/>
  <c r="AG195" i="7"/>
  <c r="AF195" i="7"/>
  <c r="AE195" i="7"/>
  <c r="AD195" i="7"/>
  <c r="AC195" i="7"/>
  <c r="AB195" i="7"/>
  <c r="AA195" i="7"/>
  <c r="Z195" i="7"/>
  <c r="Y195" i="7"/>
  <c r="X195" i="7"/>
  <c r="W195" i="7"/>
  <c r="V195" i="7"/>
  <c r="U195" i="7"/>
  <c r="T195" i="7"/>
  <c r="S195" i="7"/>
  <c r="R195" i="7"/>
  <c r="Q195" i="7"/>
  <c r="P195" i="7"/>
  <c r="O195" i="7"/>
  <c r="N195" i="7"/>
  <c r="M195" i="7"/>
  <c r="L195" i="7"/>
  <c r="K195" i="7"/>
  <c r="J195" i="7"/>
  <c r="I195" i="7"/>
  <c r="H195" i="7"/>
  <c r="G195" i="7"/>
  <c r="F195" i="7"/>
  <c r="E195" i="7"/>
  <c r="D195" i="7"/>
  <c r="C195" i="7"/>
  <c r="CG195" i="7" s="1"/>
  <c r="CF194" i="7"/>
  <c r="CE194" i="7"/>
  <c r="CD194" i="7"/>
  <c r="CC194" i="7"/>
  <c r="CB194" i="7"/>
  <c r="CA194" i="7"/>
  <c r="BZ194" i="7"/>
  <c r="BY194" i="7"/>
  <c r="BX194" i="7"/>
  <c r="BW194" i="7"/>
  <c r="BV194" i="7"/>
  <c r="BU194" i="7"/>
  <c r="BT194" i="7"/>
  <c r="BS194" i="7"/>
  <c r="BR194" i="7"/>
  <c r="BQ194" i="7"/>
  <c r="BP194" i="7"/>
  <c r="BO194" i="7"/>
  <c r="BN194" i="7"/>
  <c r="BM194" i="7"/>
  <c r="BL194" i="7"/>
  <c r="BK194" i="7"/>
  <c r="BJ194" i="7"/>
  <c r="BI194" i="7"/>
  <c r="BH194" i="7"/>
  <c r="BG194" i="7"/>
  <c r="BF194" i="7"/>
  <c r="BE194" i="7"/>
  <c r="BD194" i="7"/>
  <c r="BC194" i="7"/>
  <c r="BB194" i="7"/>
  <c r="BA194" i="7"/>
  <c r="AZ194" i="7"/>
  <c r="AY194" i="7"/>
  <c r="AX194" i="7"/>
  <c r="AW194" i="7"/>
  <c r="AV194" i="7"/>
  <c r="AU194" i="7"/>
  <c r="AT194" i="7"/>
  <c r="AS194" i="7"/>
  <c r="AR194" i="7"/>
  <c r="AQ194" i="7"/>
  <c r="AP194" i="7"/>
  <c r="AO194" i="7"/>
  <c r="AN194" i="7"/>
  <c r="AM194" i="7"/>
  <c r="AL194" i="7"/>
  <c r="AK194" i="7"/>
  <c r="AJ194" i="7"/>
  <c r="AI194" i="7"/>
  <c r="AH194" i="7"/>
  <c r="AG194" i="7"/>
  <c r="AF194" i="7"/>
  <c r="AE194" i="7"/>
  <c r="AD194" i="7"/>
  <c r="AC194" i="7"/>
  <c r="AB194" i="7"/>
  <c r="AA194" i="7"/>
  <c r="Z194" i="7"/>
  <c r="Y194" i="7"/>
  <c r="X194" i="7"/>
  <c r="W194" i="7"/>
  <c r="V194" i="7"/>
  <c r="U194" i="7"/>
  <c r="T194" i="7"/>
  <c r="S194" i="7"/>
  <c r="R194" i="7"/>
  <c r="Q194" i="7"/>
  <c r="P194" i="7"/>
  <c r="O194" i="7"/>
  <c r="N194" i="7"/>
  <c r="M194" i="7"/>
  <c r="L194" i="7"/>
  <c r="K194" i="7"/>
  <c r="J194" i="7"/>
  <c r="I194" i="7"/>
  <c r="H194" i="7"/>
  <c r="G194" i="7"/>
  <c r="F194" i="7"/>
  <c r="E194" i="7"/>
  <c r="D194" i="7"/>
  <c r="C194" i="7"/>
  <c r="CF193" i="7"/>
  <c r="CE193" i="7"/>
  <c r="CD193" i="7"/>
  <c r="CC193" i="7"/>
  <c r="CB193" i="7"/>
  <c r="CA193" i="7"/>
  <c r="BZ193" i="7"/>
  <c r="BY193" i="7"/>
  <c r="BX193" i="7"/>
  <c r="BW193" i="7"/>
  <c r="BV193" i="7"/>
  <c r="BU193" i="7"/>
  <c r="BT193" i="7"/>
  <c r="BS193" i="7"/>
  <c r="BR193" i="7"/>
  <c r="BQ193" i="7"/>
  <c r="BP193" i="7"/>
  <c r="BO193" i="7"/>
  <c r="BN193" i="7"/>
  <c r="BM193" i="7"/>
  <c r="BL193" i="7"/>
  <c r="BK193" i="7"/>
  <c r="BJ193" i="7"/>
  <c r="BI193" i="7"/>
  <c r="BH193" i="7"/>
  <c r="BG193" i="7"/>
  <c r="BF193" i="7"/>
  <c r="BE193" i="7"/>
  <c r="BD193" i="7"/>
  <c r="BC193" i="7"/>
  <c r="BB193" i="7"/>
  <c r="BA193" i="7"/>
  <c r="AZ193" i="7"/>
  <c r="AY193" i="7"/>
  <c r="AX193" i="7"/>
  <c r="AW193" i="7"/>
  <c r="AV193" i="7"/>
  <c r="AU193" i="7"/>
  <c r="AT193" i="7"/>
  <c r="AS193" i="7"/>
  <c r="AR193" i="7"/>
  <c r="AQ193" i="7"/>
  <c r="AP193" i="7"/>
  <c r="AO193" i="7"/>
  <c r="AN193" i="7"/>
  <c r="AM193" i="7"/>
  <c r="AL193" i="7"/>
  <c r="AK193" i="7"/>
  <c r="AJ193" i="7"/>
  <c r="AI193" i="7"/>
  <c r="AH193" i="7"/>
  <c r="AG193" i="7"/>
  <c r="AF193" i="7"/>
  <c r="AE193" i="7"/>
  <c r="AD193" i="7"/>
  <c r="AC193" i="7"/>
  <c r="AB193" i="7"/>
  <c r="AA193" i="7"/>
  <c r="Z193" i="7"/>
  <c r="Y193" i="7"/>
  <c r="X193" i="7"/>
  <c r="W193" i="7"/>
  <c r="V193" i="7"/>
  <c r="U193" i="7"/>
  <c r="T193" i="7"/>
  <c r="S193" i="7"/>
  <c r="R193" i="7"/>
  <c r="Q193" i="7"/>
  <c r="P193" i="7"/>
  <c r="O193" i="7"/>
  <c r="N193" i="7"/>
  <c r="M193" i="7"/>
  <c r="L193" i="7"/>
  <c r="K193" i="7"/>
  <c r="J193" i="7"/>
  <c r="I193" i="7"/>
  <c r="H193" i="7"/>
  <c r="G193" i="7"/>
  <c r="F193" i="7"/>
  <c r="E193" i="7"/>
  <c r="D193" i="7"/>
  <c r="C193" i="7"/>
  <c r="CF192" i="7"/>
  <c r="CE192" i="7"/>
  <c r="CD192" i="7"/>
  <c r="CC192" i="7"/>
  <c r="CB192" i="7"/>
  <c r="CA192" i="7"/>
  <c r="BZ192" i="7"/>
  <c r="BY192" i="7"/>
  <c r="BX192" i="7"/>
  <c r="BW192" i="7"/>
  <c r="BV192" i="7"/>
  <c r="BU192" i="7"/>
  <c r="BT192" i="7"/>
  <c r="BS192" i="7"/>
  <c r="BR192" i="7"/>
  <c r="BQ192" i="7"/>
  <c r="BP192" i="7"/>
  <c r="BO192" i="7"/>
  <c r="BN192" i="7"/>
  <c r="BM192" i="7"/>
  <c r="BL192" i="7"/>
  <c r="BK192" i="7"/>
  <c r="BJ192" i="7"/>
  <c r="BI192" i="7"/>
  <c r="BH192" i="7"/>
  <c r="BG192" i="7"/>
  <c r="BF192" i="7"/>
  <c r="BE192" i="7"/>
  <c r="BD192" i="7"/>
  <c r="BC192" i="7"/>
  <c r="BB192" i="7"/>
  <c r="BA192" i="7"/>
  <c r="AZ192" i="7"/>
  <c r="AY192" i="7"/>
  <c r="AX192" i="7"/>
  <c r="AW192" i="7"/>
  <c r="AV192" i="7"/>
  <c r="AU192" i="7"/>
  <c r="AT192" i="7"/>
  <c r="AS192" i="7"/>
  <c r="AR192" i="7"/>
  <c r="AQ192" i="7"/>
  <c r="AP192" i="7"/>
  <c r="AO192" i="7"/>
  <c r="AN192" i="7"/>
  <c r="AM192" i="7"/>
  <c r="AL192" i="7"/>
  <c r="AK192" i="7"/>
  <c r="AJ192" i="7"/>
  <c r="AI192" i="7"/>
  <c r="AH192" i="7"/>
  <c r="AG192" i="7"/>
  <c r="AF192" i="7"/>
  <c r="AE192" i="7"/>
  <c r="AD192" i="7"/>
  <c r="AC192" i="7"/>
  <c r="AB192" i="7"/>
  <c r="AA192" i="7"/>
  <c r="Z192" i="7"/>
  <c r="Y192" i="7"/>
  <c r="X192" i="7"/>
  <c r="W192" i="7"/>
  <c r="V192" i="7"/>
  <c r="U192" i="7"/>
  <c r="T192" i="7"/>
  <c r="S192" i="7"/>
  <c r="R192" i="7"/>
  <c r="Q192" i="7"/>
  <c r="P192" i="7"/>
  <c r="O192" i="7"/>
  <c r="N192" i="7"/>
  <c r="M192" i="7"/>
  <c r="L192" i="7"/>
  <c r="K192" i="7"/>
  <c r="J192" i="7"/>
  <c r="I192" i="7"/>
  <c r="H192" i="7"/>
  <c r="G192" i="7"/>
  <c r="F192" i="7"/>
  <c r="E192" i="7"/>
  <c r="D192" i="7"/>
  <c r="C192" i="7"/>
  <c r="CG192" i="7" s="1"/>
  <c r="CF191" i="7"/>
  <c r="CE191" i="7"/>
  <c r="CD191" i="7"/>
  <c r="CC191" i="7"/>
  <c r="CB191" i="7"/>
  <c r="CA191" i="7"/>
  <c r="BZ191" i="7"/>
  <c r="BY191" i="7"/>
  <c r="BX191" i="7"/>
  <c r="BW191" i="7"/>
  <c r="BV191" i="7"/>
  <c r="BU191" i="7"/>
  <c r="BT191" i="7"/>
  <c r="BS191" i="7"/>
  <c r="BR191" i="7"/>
  <c r="BQ191" i="7"/>
  <c r="BP191" i="7"/>
  <c r="BO191" i="7"/>
  <c r="BN191" i="7"/>
  <c r="BM191" i="7"/>
  <c r="BL191" i="7"/>
  <c r="BK191" i="7"/>
  <c r="BJ191" i="7"/>
  <c r="BI191" i="7"/>
  <c r="BH191" i="7"/>
  <c r="BG191" i="7"/>
  <c r="BF191" i="7"/>
  <c r="BE191" i="7"/>
  <c r="BD191" i="7"/>
  <c r="BC191" i="7"/>
  <c r="BB191" i="7"/>
  <c r="BA191" i="7"/>
  <c r="AZ191" i="7"/>
  <c r="AY191" i="7"/>
  <c r="AX191" i="7"/>
  <c r="AW191" i="7"/>
  <c r="AV191" i="7"/>
  <c r="AU191" i="7"/>
  <c r="AT191" i="7"/>
  <c r="AS191" i="7"/>
  <c r="AR191" i="7"/>
  <c r="AQ191" i="7"/>
  <c r="AP191" i="7"/>
  <c r="AO191" i="7"/>
  <c r="AN191" i="7"/>
  <c r="AM191" i="7"/>
  <c r="AL191" i="7"/>
  <c r="AK191" i="7"/>
  <c r="AJ191" i="7"/>
  <c r="AI191" i="7"/>
  <c r="AH191" i="7"/>
  <c r="AG191" i="7"/>
  <c r="AF191" i="7"/>
  <c r="AE191" i="7"/>
  <c r="AD191" i="7"/>
  <c r="AC191" i="7"/>
  <c r="AB191" i="7"/>
  <c r="AA191" i="7"/>
  <c r="Z191" i="7"/>
  <c r="Y191" i="7"/>
  <c r="X191" i="7"/>
  <c r="W191" i="7"/>
  <c r="V191" i="7"/>
  <c r="U191" i="7"/>
  <c r="T191" i="7"/>
  <c r="S191" i="7"/>
  <c r="R191" i="7"/>
  <c r="Q191" i="7"/>
  <c r="P191" i="7"/>
  <c r="O191" i="7"/>
  <c r="N191" i="7"/>
  <c r="M191" i="7"/>
  <c r="L191" i="7"/>
  <c r="K191" i="7"/>
  <c r="J191" i="7"/>
  <c r="I191" i="7"/>
  <c r="H191" i="7"/>
  <c r="G191" i="7"/>
  <c r="F191" i="7"/>
  <c r="E191" i="7"/>
  <c r="D191" i="7"/>
  <c r="C191" i="7"/>
  <c r="CG191" i="7" s="1"/>
  <c r="CF190" i="7"/>
  <c r="CE190" i="7"/>
  <c r="CD190" i="7"/>
  <c r="CC190" i="7"/>
  <c r="CB190" i="7"/>
  <c r="CA190" i="7"/>
  <c r="BZ190" i="7"/>
  <c r="BY190" i="7"/>
  <c r="BX190" i="7"/>
  <c r="BW190" i="7"/>
  <c r="BV190" i="7"/>
  <c r="BU190" i="7"/>
  <c r="BT190" i="7"/>
  <c r="BS190" i="7"/>
  <c r="BR190" i="7"/>
  <c r="BQ190" i="7"/>
  <c r="BP190" i="7"/>
  <c r="BO190" i="7"/>
  <c r="BN190" i="7"/>
  <c r="BM190" i="7"/>
  <c r="BL190" i="7"/>
  <c r="BK190" i="7"/>
  <c r="BJ190" i="7"/>
  <c r="BI190" i="7"/>
  <c r="BH190" i="7"/>
  <c r="BG190" i="7"/>
  <c r="BF190" i="7"/>
  <c r="BE190" i="7"/>
  <c r="BD190" i="7"/>
  <c r="BC190" i="7"/>
  <c r="BB190" i="7"/>
  <c r="BA190" i="7"/>
  <c r="AZ190" i="7"/>
  <c r="AY190" i="7"/>
  <c r="AX190" i="7"/>
  <c r="AW190" i="7"/>
  <c r="AV190" i="7"/>
  <c r="AU190" i="7"/>
  <c r="AT190" i="7"/>
  <c r="AS190" i="7"/>
  <c r="AR190" i="7"/>
  <c r="AQ190" i="7"/>
  <c r="AP190" i="7"/>
  <c r="AO190" i="7"/>
  <c r="AN190" i="7"/>
  <c r="AM190" i="7"/>
  <c r="AL190" i="7"/>
  <c r="AK190" i="7"/>
  <c r="AJ190" i="7"/>
  <c r="AI190" i="7"/>
  <c r="AH190" i="7"/>
  <c r="AG190" i="7"/>
  <c r="AF190" i="7"/>
  <c r="AE190" i="7"/>
  <c r="AD190" i="7"/>
  <c r="AC190" i="7"/>
  <c r="AB190" i="7"/>
  <c r="AA190" i="7"/>
  <c r="Z190" i="7"/>
  <c r="Y190" i="7"/>
  <c r="X190" i="7"/>
  <c r="W190" i="7"/>
  <c r="V190" i="7"/>
  <c r="U190" i="7"/>
  <c r="T190" i="7"/>
  <c r="S190" i="7"/>
  <c r="R190" i="7"/>
  <c r="Q190" i="7"/>
  <c r="P190" i="7"/>
  <c r="O190" i="7"/>
  <c r="N190" i="7"/>
  <c r="M190" i="7"/>
  <c r="L190" i="7"/>
  <c r="K190" i="7"/>
  <c r="J190" i="7"/>
  <c r="I190" i="7"/>
  <c r="H190" i="7"/>
  <c r="G190" i="7"/>
  <c r="F190" i="7"/>
  <c r="E190" i="7"/>
  <c r="D190" i="7"/>
  <c r="C190" i="7"/>
  <c r="CG190" i="7" s="1"/>
  <c r="CF189" i="7"/>
  <c r="CE189" i="7"/>
  <c r="CD189" i="7"/>
  <c r="CC189" i="7"/>
  <c r="CB189" i="7"/>
  <c r="CA189" i="7"/>
  <c r="BZ189" i="7"/>
  <c r="BY189" i="7"/>
  <c r="BX189" i="7"/>
  <c r="BW189" i="7"/>
  <c r="BV189" i="7"/>
  <c r="BU189" i="7"/>
  <c r="BT189" i="7"/>
  <c r="BS189" i="7"/>
  <c r="BR189" i="7"/>
  <c r="BQ189" i="7"/>
  <c r="BP189" i="7"/>
  <c r="BO189" i="7"/>
  <c r="BN189" i="7"/>
  <c r="BM189" i="7"/>
  <c r="BL189" i="7"/>
  <c r="BK189" i="7"/>
  <c r="BJ189" i="7"/>
  <c r="BI189" i="7"/>
  <c r="BH189" i="7"/>
  <c r="BG189" i="7"/>
  <c r="BF189" i="7"/>
  <c r="BE189" i="7"/>
  <c r="BD189" i="7"/>
  <c r="BC189" i="7"/>
  <c r="BB189" i="7"/>
  <c r="BA189" i="7"/>
  <c r="AZ189" i="7"/>
  <c r="AY189" i="7"/>
  <c r="AX189" i="7"/>
  <c r="AW189" i="7"/>
  <c r="AV189" i="7"/>
  <c r="AU189" i="7"/>
  <c r="AT189" i="7"/>
  <c r="AS189" i="7"/>
  <c r="AR189" i="7"/>
  <c r="AQ189" i="7"/>
  <c r="AP189" i="7"/>
  <c r="AO189" i="7"/>
  <c r="AN189" i="7"/>
  <c r="AM189" i="7"/>
  <c r="AL189" i="7"/>
  <c r="AK189" i="7"/>
  <c r="AJ189" i="7"/>
  <c r="AI189" i="7"/>
  <c r="AH189" i="7"/>
  <c r="AG189" i="7"/>
  <c r="AF189" i="7"/>
  <c r="AE189" i="7"/>
  <c r="AD189" i="7"/>
  <c r="AC189" i="7"/>
  <c r="AB189" i="7"/>
  <c r="AA189" i="7"/>
  <c r="Z189" i="7"/>
  <c r="Y189" i="7"/>
  <c r="X189" i="7"/>
  <c r="W189" i="7"/>
  <c r="V189" i="7"/>
  <c r="U189" i="7"/>
  <c r="T189" i="7"/>
  <c r="S189" i="7"/>
  <c r="R189" i="7"/>
  <c r="Q189" i="7"/>
  <c r="CG189" i="7" s="1"/>
  <c r="P189" i="7"/>
  <c r="O189" i="7"/>
  <c r="N189" i="7"/>
  <c r="M189" i="7"/>
  <c r="L189" i="7"/>
  <c r="K189" i="7"/>
  <c r="J189" i="7"/>
  <c r="I189" i="7"/>
  <c r="H189" i="7"/>
  <c r="G189" i="7"/>
  <c r="F189" i="7"/>
  <c r="E189" i="7"/>
  <c r="D189" i="7"/>
  <c r="C189" i="7"/>
  <c r="CF188" i="7"/>
  <c r="CE188" i="7"/>
  <c r="CD188" i="7"/>
  <c r="CC188" i="7"/>
  <c r="CB188" i="7"/>
  <c r="CA188" i="7"/>
  <c r="BZ188" i="7"/>
  <c r="BY188" i="7"/>
  <c r="BX188" i="7"/>
  <c r="BW188" i="7"/>
  <c r="BV188" i="7"/>
  <c r="BU188" i="7"/>
  <c r="BT188" i="7"/>
  <c r="BS188" i="7"/>
  <c r="BR188" i="7"/>
  <c r="BQ188" i="7"/>
  <c r="BP188" i="7"/>
  <c r="BO188" i="7"/>
  <c r="BN188" i="7"/>
  <c r="BM188" i="7"/>
  <c r="BL188" i="7"/>
  <c r="BK188" i="7"/>
  <c r="BJ188" i="7"/>
  <c r="BI188" i="7"/>
  <c r="BH188" i="7"/>
  <c r="BG188" i="7"/>
  <c r="BF188" i="7"/>
  <c r="BE188" i="7"/>
  <c r="BD188" i="7"/>
  <c r="BC188" i="7"/>
  <c r="BB188" i="7"/>
  <c r="BA188" i="7"/>
  <c r="AZ188" i="7"/>
  <c r="AY188" i="7"/>
  <c r="AX188" i="7"/>
  <c r="AW188" i="7"/>
  <c r="AV188" i="7"/>
  <c r="AU188" i="7"/>
  <c r="AT188" i="7"/>
  <c r="AS188" i="7"/>
  <c r="AR188" i="7"/>
  <c r="AQ188" i="7"/>
  <c r="AP188" i="7"/>
  <c r="AO188" i="7"/>
  <c r="AN188" i="7"/>
  <c r="AM188" i="7"/>
  <c r="AL188" i="7"/>
  <c r="AK188" i="7"/>
  <c r="AJ188" i="7"/>
  <c r="AI188" i="7"/>
  <c r="AH188" i="7"/>
  <c r="AG188" i="7"/>
  <c r="AF188" i="7"/>
  <c r="AE188" i="7"/>
  <c r="AD188" i="7"/>
  <c r="AC188" i="7"/>
  <c r="AB188" i="7"/>
  <c r="AA188" i="7"/>
  <c r="Z188" i="7"/>
  <c r="Y188" i="7"/>
  <c r="X188" i="7"/>
  <c r="W188" i="7"/>
  <c r="V188" i="7"/>
  <c r="U188" i="7"/>
  <c r="T188" i="7"/>
  <c r="S188" i="7"/>
  <c r="R188" i="7"/>
  <c r="Q188" i="7"/>
  <c r="P188" i="7"/>
  <c r="O188" i="7"/>
  <c r="N188" i="7"/>
  <c r="M188" i="7"/>
  <c r="L188" i="7"/>
  <c r="K188" i="7"/>
  <c r="J188" i="7"/>
  <c r="I188" i="7"/>
  <c r="H188" i="7"/>
  <c r="G188" i="7"/>
  <c r="F188" i="7"/>
  <c r="E188" i="7"/>
  <c r="D188" i="7"/>
  <c r="C188" i="7"/>
  <c r="CG188" i="7" s="1"/>
  <c r="CF187" i="7"/>
  <c r="CE187" i="7"/>
  <c r="CD187" i="7"/>
  <c r="CC187" i="7"/>
  <c r="CB187" i="7"/>
  <c r="CA187" i="7"/>
  <c r="BZ187" i="7"/>
  <c r="BY187" i="7"/>
  <c r="BX187" i="7"/>
  <c r="BW187" i="7"/>
  <c r="BV187" i="7"/>
  <c r="BU187" i="7"/>
  <c r="BT187" i="7"/>
  <c r="BS187" i="7"/>
  <c r="BR187" i="7"/>
  <c r="BQ187" i="7"/>
  <c r="BP187" i="7"/>
  <c r="BO187" i="7"/>
  <c r="BN187" i="7"/>
  <c r="BM187" i="7"/>
  <c r="BL187" i="7"/>
  <c r="BK187" i="7"/>
  <c r="BJ187" i="7"/>
  <c r="BI187" i="7"/>
  <c r="BH187" i="7"/>
  <c r="BG187" i="7"/>
  <c r="BF187" i="7"/>
  <c r="BE187" i="7"/>
  <c r="BD187" i="7"/>
  <c r="BC187" i="7"/>
  <c r="BB187" i="7"/>
  <c r="BA187" i="7"/>
  <c r="AZ187" i="7"/>
  <c r="AY187" i="7"/>
  <c r="AX187" i="7"/>
  <c r="AW187" i="7"/>
  <c r="AV187" i="7"/>
  <c r="AU187" i="7"/>
  <c r="AT187" i="7"/>
  <c r="AS187" i="7"/>
  <c r="AR187" i="7"/>
  <c r="AQ187" i="7"/>
  <c r="AP187" i="7"/>
  <c r="AO187" i="7"/>
  <c r="AN187" i="7"/>
  <c r="AM187" i="7"/>
  <c r="AL187" i="7"/>
  <c r="AK187" i="7"/>
  <c r="AJ187" i="7"/>
  <c r="AI187" i="7"/>
  <c r="AH187" i="7"/>
  <c r="AG187" i="7"/>
  <c r="AF187" i="7"/>
  <c r="AE187" i="7"/>
  <c r="AD187" i="7"/>
  <c r="AC187" i="7"/>
  <c r="AB187" i="7"/>
  <c r="AA187" i="7"/>
  <c r="Z187" i="7"/>
  <c r="Y187" i="7"/>
  <c r="X187" i="7"/>
  <c r="W187" i="7"/>
  <c r="V187" i="7"/>
  <c r="U187" i="7"/>
  <c r="T187" i="7"/>
  <c r="S187" i="7"/>
  <c r="R187" i="7"/>
  <c r="Q187" i="7"/>
  <c r="P187" i="7"/>
  <c r="O187" i="7"/>
  <c r="N187" i="7"/>
  <c r="M187" i="7"/>
  <c r="L187" i="7"/>
  <c r="K187" i="7"/>
  <c r="J187" i="7"/>
  <c r="I187" i="7"/>
  <c r="H187" i="7"/>
  <c r="G187" i="7"/>
  <c r="F187" i="7"/>
  <c r="E187" i="7"/>
  <c r="D187" i="7"/>
  <c r="C187" i="7"/>
  <c r="CG187" i="7" s="1"/>
  <c r="CF186" i="7"/>
  <c r="CE186" i="7"/>
  <c r="CD186" i="7"/>
  <c r="CC186" i="7"/>
  <c r="CB186" i="7"/>
  <c r="CA186" i="7"/>
  <c r="BZ186" i="7"/>
  <c r="BY186" i="7"/>
  <c r="BX186" i="7"/>
  <c r="BW186" i="7"/>
  <c r="BV186" i="7"/>
  <c r="BU186" i="7"/>
  <c r="BT186" i="7"/>
  <c r="BS186" i="7"/>
  <c r="BR186" i="7"/>
  <c r="BQ186" i="7"/>
  <c r="BP186" i="7"/>
  <c r="BO186" i="7"/>
  <c r="BN186" i="7"/>
  <c r="BM186" i="7"/>
  <c r="BL186" i="7"/>
  <c r="BK186" i="7"/>
  <c r="BJ186" i="7"/>
  <c r="BI186" i="7"/>
  <c r="BH186" i="7"/>
  <c r="BG186" i="7"/>
  <c r="BF186" i="7"/>
  <c r="BE186" i="7"/>
  <c r="BD186" i="7"/>
  <c r="BC186" i="7"/>
  <c r="BB186" i="7"/>
  <c r="BA186" i="7"/>
  <c r="AZ186" i="7"/>
  <c r="AY186" i="7"/>
  <c r="AX186" i="7"/>
  <c r="AW186" i="7"/>
  <c r="AV186" i="7"/>
  <c r="AU186" i="7"/>
  <c r="AT186" i="7"/>
  <c r="AS186" i="7"/>
  <c r="AR186" i="7"/>
  <c r="AQ186" i="7"/>
  <c r="AP186" i="7"/>
  <c r="AO186" i="7"/>
  <c r="AN186" i="7"/>
  <c r="AM186" i="7"/>
  <c r="AL186" i="7"/>
  <c r="AK186" i="7"/>
  <c r="AJ186" i="7"/>
  <c r="AI186" i="7"/>
  <c r="AH186" i="7"/>
  <c r="AG186" i="7"/>
  <c r="AF186" i="7"/>
  <c r="AE186" i="7"/>
  <c r="AD186" i="7"/>
  <c r="AC186" i="7"/>
  <c r="AB186" i="7"/>
  <c r="AA186" i="7"/>
  <c r="Z186" i="7"/>
  <c r="Y186" i="7"/>
  <c r="X186" i="7"/>
  <c r="W186" i="7"/>
  <c r="V186" i="7"/>
  <c r="U186" i="7"/>
  <c r="T186" i="7"/>
  <c r="S186" i="7"/>
  <c r="R186" i="7"/>
  <c r="Q186" i="7"/>
  <c r="P186" i="7"/>
  <c r="O186" i="7"/>
  <c r="N186" i="7"/>
  <c r="M186" i="7"/>
  <c r="L186" i="7"/>
  <c r="K186" i="7"/>
  <c r="J186" i="7"/>
  <c r="I186" i="7"/>
  <c r="H186" i="7"/>
  <c r="G186" i="7"/>
  <c r="F186" i="7"/>
  <c r="E186" i="7"/>
  <c r="D186" i="7"/>
  <c r="C186" i="7"/>
  <c r="CG186" i="7" s="1"/>
  <c r="CF185" i="7"/>
  <c r="CE185" i="7"/>
  <c r="CD185" i="7"/>
  <c r="CC185" i="7"/>
  <c r="CB185" i="7"/>
  <c r="CA185" i="7"/>
  <c r="BZ185" i="7"/>
  <c r="BY185" i="7"/>
  <c r="BX185" i="7"/>
  <c r="BW185" i="7"/>
  <c r="BV185" i="7"/>
  <c r="BU185" i="7"/>
  <c r="BT185" i="7"/>
  <c r="BS185" i="7"/>
  <c r="BR185" i="7"/>
  <c r="BQ185" i="7"/>
  <c r="BP185" i="7"/>
  <c r="BO185" i="7"/>
  <c r="BN185" i="7"/>
  <c r="BM185" i="7"/>
  <c r="BL185" i="7"/>
  <c r="BK185" i="7"/>
  <c r="BJ185" i="7"/>
  <c r="BI185" i="7"/>
  <c r="BH185" i="7"/>
  <c r="BG185" i="7"/>
  <c r="BF185" i="7"/>
  <c r="BE185" i="7"/>
  <c r="BD185" i="7"/>
  <c r="BC185" i="7"/>
  <c r="BB185" i="7"/>
  <c r="BA185" i="7"/>
  <c r="AZ185" i="7"/>
  <c r="AY185" i="7"/>
  <c r="AX185" i="7"/>
  <c r="AW185" i="7"/>
  <c r="AV185" i="7"/>
  <c r="AU185" i="7"/>
  <c r="AT185" i="7"/>
  <c r="AS185" i="7"/>
  <c r="AR185" i="7"/>
  <c r="AQ185" i="7"/>
  <c r="AP185" i="7"/>
  <c r="AO185" i="7"/>
  <c r="AN185" i="7"/>
  <c r="AM185" i="7"/>
  <c r="AL185" i="7"/>
  <c r="AK185" i="7"/>
  <c r="AJ185" i="7"/>
  <c r="AI185" i="7"/>
  <c r="AH185" i="7"/>
  <c r="AG185" i="7"/>
  <c r="AF185" i="7"/>
  <c r="AE185" i="7"/>
  <c r="AD185" i="7"/>
  <c r="AC185" i="7"/>
  <c r="AB185" i="7"/>
  <c r="AA185" i="7"/>
  <c r="Z185" i="7"/>
  <c r="Y185" i="7"/>
  <c r="X185" i="7"/>
  <c r="W185" i="7"/>
  <c r="V185" i="7"/>
  <c r="U185" i="7"/>
  <c r="T185" i="7"/>
  <c r="S185" i="7"/>
  <c r="R185" i="7"/>
  <c r="Q185" i="7"/>
  <c r="P185" i="7"/>
  <c r="O185" i="7"/>
  <c r="N185" i="7"/>
  <c r="M185" i="7"/>
  <c r="L185" i="7"/>
  <c r="K185" i="7"/>
  <c r="J185" i="7"/>
  <c r="I185" i="7"/>
  <c r="H185" i="7"/>
  <c r="G185" i="7"/>
  <c r="F185" i="7"/>
  <c r="E185" i="7"/>
  <c r="D185" i="7"/>
  <c r="C185" i="7"/>
  <c r="CF184" i="7"/>
  <c r="CE184" i="7"/>
  <c r="CD184" i="7"/>
  <c r="CC184" i="7"/>
  <c r="CB184" i="7"/>
  <c r="CA184" i="7"/>
  <c r="BZ184" i="7"/>
  <c r="BY184" i="7"/>
  <c r="BX184" i="7"/>
  <c r="BW184" i="7"/>
  <c r="BV184" i="7"/>
  <c r="BU184" i="7"/>
  <c r="BT184" i="7"/>
  <c r="BS184" i="7"/>
  <c r="BR184" i="7"/>
  <c r="BQ184" i="7"/>
  <c r="BP184" i="7"/>
  <c r="BO184" i="7"/>
  <c r="BN184" i="7"/>
  <c r="BM184" i="7"/>
  <c r="BL184" i="7"/>
  <c r="BK184" i="7"/>
  <c r="BJ184" i="7"/>
  <c r="BI184" i="7"/>
  <c r="BH184" i="7"/>
  <c r="BG184" i="7"/>
  <c r="BF184" i="7"/>
  <c r="BE184" i="7"/>
  <c r="BD184" i="7"/>
  <c r="BC184" i="7"/>
  <c r="BB184" i="7"/>
  <c r="BA184" i="7"/>
  <c r="AZ184" i="7"/>
  <c r="AY184" i="7"/>
  <c r="AX184" i="7"/>
  <c r="AW184" i="7"/>
  <c r="AV184" i="7"/>
  <c r="AU184" i="7"/>
  <c r="AT184" i="7"/>
  <c r="AS184" i="7"/>
  <c r="AR184" i="7"/>
  <c r="AQ184" i="7"/>
  <c r="AP184" i="7"/>
  <c r="AO184" i="7"/>
  <c r="AN184" i="7"/>
  <c r="AM184" i="7"/>
  <c r="AL184" i="7"/>
  <c r="AK184" i="7"/>
  <c r="AJ184" i="7"/>
  <c r="AI184" i="7"/>
  <c r="AH184" i="7"/>
  <c r="AG184" i="7"/>
  <c r="AF184" i="7"/>
  <c r="AE184" i="7"/>
  <c r="AD184" i="7"/>
  <c r="AC184" i="7"/>
  <c r="AB184" i="7"/>
  <c r="AA184" i="7"/>
  <c r="Z184" i="7"/>
  <c r="Y184" i="7"/>
  <c r="X184" i="7"/>
  <c r="W184" i="7"/>
  <c r="V184" i="7"/>
  <c r="U184" i="7"/>
  <c r="T184" i="7"/>
  <c r="S184" i="7"/>
  <c r="R184" i="7"/>
  <c r="Q184" i="7"/>
  <c r="P184" i="7"/>
  <c r="O184" i="7"/>
  <c r="N184" i="7"/>
  <c r="M184" i="7"/>
  <c r="L184" i="7"/>
  <c r="K184" i="7"/>
  <c r="J184" i="7"/>
  <c r="I184" i="7"/>
  <c r="H184" i="7"/>
  <c r="G184" i="7"/>
  <c r="F184" i="7"/>
  <c r="E184" i="7"/>
  <c r="D184" i="7"/>
  <c r="CG184" i="7" s="1"/>
  <c r="C184" i="7"/>
  <c r="CF183" i="7"/>
  <c r="CE183" i="7"/>
  <c r="CD183" i="7"/>
  <c r="CC183" i="7"/>
  <c r="CB183" i="7"/>
  <c r="CA183" i="7"/>
  <c r="BZ183" i="7"/>
  <c r="BY183" i="7"/>
  <c r="BX183" i="7"/>
  <c r="BW183" i="7"/>
  <c r="BV183" i="7"/>
  <c r="BU183" i="7"/>
  <c r="BT183" i="7"/>
  <c r="BS183" i="7"/>
  <c r="BR183" i="7"/>
  <c r="BQ183" i="7"/>
  <c r="BP183" i="7"/>
  <c r="BO183" i="7"/>
  <c r="BN183" i="7"/>
  <c r="BM183" i="7"/>
  <c r="BL183" i="7"/>
  <c r="BK183" i="7"/>
  <c r="BJ183" i="7"/>
  <c r="BI183" i="7"/>
  <c r="BH183" i="7"/>
  <c r="BG183" i="7"/>
  <c r="BF183" i="7"/>
  <c r="BE183" i="7"/>
  <c r="BD183" i="7"/>
  <c r="BC183" i="7"/>
  <c r="BB183" i="7"/>
  <c r="BA183" i="7"/>
  <c r="AZ183" i="7"/>
  <c r="AY183" i="7"/>
  <c r="AX183" i="7"/>
  <c r="AW183" i="7"/>
  <c r="AV183" i="7"/>
  <c r="AU183" i="7"/>
  <c r="AT183" i="7"/>
  <c r="AS183" i="7"/>
  <c r="AR183" i="7"/>
  <c r="AQ183" i="7"/>
  <c r="AP183" i="7"/>
  <c r="AO183" i="7"/>
  <c r="AN183" i="7"/>
  <c r="AM183" i="7"/>
  <c r="AL183" i="7"/>
  <c r="AK183" i="7"/>
  <c r="AJ183" i="7"/>
  <c r="AI183" i="7"/>
  <c r="AH183" i="7"/>
  <c r="AG183" i="7"/>
  <c r="AF183" i="7"/>
  <c r="AE183" i="7"/>
  <c r="AD183" i="7"/>
  <c r="AC183" i="7"/>
  <c r="AB183" i="7"/>
  <c r="AA183" i="7"/>
  <c r="Z183" i="7"/>
  <c r="Y183" i="7"/>
  <c r="X183" i="7"/>
  <c r="W183" i="7"/>
  <c r="V183" i="7"/>
  <c r="U183" i="7"/>
  <c r="T183" i="7"/>
  <c r="S183" i="7"/>
  <c r="R183" i="7"/>
  <c r="Q183" i="7"/>
  <c r="P183" i="7"/>
  <c r="O183" i="7"/>
  <c r="N183" i="7"/>
  <c r="M183" i="7"/>
  <c r="L183" i="7"/>
  <c r="K183" i="7"/>
  <c r="J183" i="7"/>
  <c r="I183" i="7"/>
  <c r="H183" i="7"/>
  <c r="G183" i="7"/>
  <c r="F183" i="7"/>
  <c r="E183" i="7"/>
  <c r="D183" i="7"/>
  <c r="C183" i="7"/>
  <c r="CG183" i="7" s="1"/>
  <c r="CF182" i="7"/>
  <c r="CE182" i="7"/>
  <c r="CD182" i="7"/>
  <c r="CC182" i="7"/>
  <c r="CB182" i="7"/>
  <c r="CA182" i="7"/>
  <c r="BZ182" i="7"/>
  <c r="BY182" i="7"/>
  <c r="BX182" i="7"/>
  <c r="BW182" i="7"/>
  <c r="BV182" i="7"/>
  <c r="BU182" i="7"/>
  <c r="BT182" i="7"/>
  <c r="BS182" i="7"/>
  <c r="BR182" i="7"/>
  <c r="BQ182" i="7"/>
  <c r="BP182" i="7"/>
  <c r="BO182" i="7"/>
  <c r="BN182" i="7"/>
  <c r="BM182" i="7"/>
  <c r="BL182" i="7"/>
  <c r="BK182" i="7"/>
  <c r="BJ182" i="7"/>
  <c r="BI182" i="7"/>
  <c r="BH182" i="7"/>
  <c r="BG182" i="7"/>
  <c r="BF182" i="7"/>
  <c r="BE182" i="7"/>
  <c r="BD182" i="7"/>
  <c r="BC182" i="7"/>
  <c r="BB182" i="7"/>
  <c r="BA182" i="7"/>
  <c r="AZ182" i="7"/>
  <c r="AY182" i="7"/>
  <c r="AX182" i="7"/>
  <c r="AW182" i="7"/>
  <c r="AV182" i="7"/>
  <c r="AU182" i="7"/>
  <c r="AT182" i="7"/>
  <c r="AS182" i="7"/>
  <c r="AR182" i="7"/>
  <c r="AQ182" i="7"/>
  <c r="AP182" i="7"/>
  <c r="AO182" i="7"/>
  <c r="AN182" i="7"/>
  <c r="AM182" i="7"/>
  <c r="AL182" i="7"/>
  <c r="AK182" i="7"/>
  <c r="AJ182" i="7"/>
  <c r="AI182" i="7"/>
  <c r="AH182" i="7"/>
  <c r="AG182" i="7"/>
  <c r="AF182" i="7"/>
  <c r="AE182" i="7"/>
  <c r="AD182" i="7"/>
  <c r="AC182" i="7"/>
  <c r="AB182" i="7"/>
  <c r="AA182" i="7"/>
  <c r="Z182" i="7"/>
  <c r="Y182" i="7"/>
  <c r="X182" i="7"/>
  <c r="W182" i="7"/>
  <c r="V182" i="7"/>
  <c r="U182" i="7"/>
  <c r="T182" i="7"/>
  <c r="S182" i="7"/>
  <c r="R182" i="7"/>
  <c r="Q182" i="7"/>
  <c r="P182" i="7"/>
  <c r="O182" i="7"/>
  <c r="N182" i="7"/>
  <c r="M182" i="7"/>
  <c r="L182" i="7"/>
  <c r="K182" i="7"/>
  <c r="J182" i="7"/>
  <c r="I182" i="7"/>
  <c r="H182" i="7"/>
  <c r="G182" i="7"/>
  <c r="F182" i="7"/>
  <c r="E182" i="7"/>
  <c r="D182" i="7"/>
  <c r="C182" i="7"/>
  <c r="CG182" i="7" s="1"/>
  <c r="CF181" i="7"/>
  <c r="CE181" i="7"/>
  <c r="CD181" i="7"/>
  <c r="CC181" i="7"/>
  <c r="CB181" i="7"/>
  <c r="CA181" i="7"/>
  <c r="BZ181" i="7"/>
  <c r="BY181" i="7"/>
  <c r="BX181" i="7"/>
  <c r="BW181" i="7"/>
  <c r="BV181" i="7"/>
  <c r="BU181" i="7"/>
  <c r="BT181" i="7"/>
  <c r="BS181" i="7"/>
  <c r="BR181" i="7"/>
  <c r="BQ181" i="7"/>
  <c r="BP181" i="7"/>
  <c r="BO181" i="7"/>
  <c r="BN181" i="7"/>
  <c r="BM181" i="7"/>
  <c r="BL181" i="7"/>
  <c r="BK181" i="7"/>
  <c r="BJ181" i="7"/>
  <c r="BI181" i="7"/>
  <c r="BH181" i="7"/>
  <c r="BG181" i="7"/>
  <c r="BF181" i="7"/>
  <c r="BE181" i="7"/>
  <c r="BD181" i="7"/>
  <c r="BC181" i="7"/>
  <c r="BB181" i="7"/>
  <c r="BA181" i="7"/>
  <c r="AZ181" i="7"/>
  <c r="AY181" i="7"/>
  <c r="AX181" i="7"/>
  <c r="AW181" i="7"/>
  <c r="AV181" i="7"/>
  <c r="AU181" i="7"/>
  <c r="AT181" i="7"/>
  <c r="AS181" i="7"/>
  <c r="AR181" i="7"/>
  <c r="AQ181" i="7"/>
  <c r="AP181" i="7"/>
  <c r="AO181" i="7"/>
  <c r="AN181" i="7"/>
  <c r="AM181" i="7"/>
  <c r="AL181" i="7"/>
  <c r="AK181" i="7"/>
  <c r="AJ181" i="7"/>
  <c r="AI181" i="7"/>
  <c r="AH181" i="7"/>
  <c r="AG181" i="7"/>
  <c r="AF181" i="7"/>
  <c r="AE181" i="7"/>
  <c r="AD181" i="7"/>
  <c r="AC181" i="7"/>
  <c r="AB181" i="7"/>
  <c r="AA181" i="7"/>
  <c r="Z181" i="7"/>
  <c r="Y181" i="7"/>
  <c r="X181" i="7"/>
  <c r="W181" i="7"/>
  <c r="V181" i="7"/>
  <c r="U181" i="7"/>
  <c r="T181" i="7"/>
  <c r="S181" i="7"/>
  <c r="R181" i="7"/>
  <c r="Q181" i="7"/>
  <c r="P181" i="7"/>
  <c r="O181" i="7"/>
  <c r="N181" i="7"/>
  <c r="CG181" i="7" s="1"/>
  <c r="M181" i="7"/>
  <c r="L181" i="7"/>
  <c r="K181" i="7"/>
  <c r="J181" i="7"/>
  <c r="I181" i="7"/>
  <c r="H181" i="7"/>
  <c r="G181" i="7"/>
  <c r="F181" i="7"/>
  <c r="E181" i="7"/>
  <c r="D181" i="7"/>
  <c r="C181" i="7"/>
  <c r="CF180" i="7"/>
  <c r="CE180" i="7"/>
  <c r="CD180" i="7"/>
  <c r="CC180" i="7"/>
  <c r="CB180" i="7"/>
  <c r="CA180" i="7"/>
  <c r="BZ180" i="7"/>
  <c r="BY180" i="7"/>
  <c r="BX180" i="7"/>
  <c r="BW180" i="7"/>
  <c r="BV180" i="7"/>
  <c r="BU180" i="7"/>
  <c r="BT180" i="7"/>
  <c r="BS180" i="7"/>
  <c r="BR180" i="7"/>
  <c r="BQ180" i="7"/>
  <c r="BP180" i="7"/>
  <c r="BO180" i="7"/>
  <c r="BN180" i="7"/>
  <c r="BM180" i="7"/>
  <c r="BL180" i="7"/>
  <c r="BK180" i="7"/>
  <c r="BJ180" i="7"/>
  <c r="BI180" i="7"/>
  <c r="BH180" i="7"/>
  <c r="BG180" i="7"/>
  <c r="BF180" i="7"/>
  <c r="BE180" i="7"/>
  <c r="BD180" i="7"/>
  <c r="BC180" i="7"/>
  <c r="BB180" i="7"/>
  <c r="BA180" i="7"/>
  <c r="AZ180" i="7"/>
  <c r="AY180" i="7"/>
  <c r="AX180" i="7"/>
  <c r="AW180" i="7"/>
  <c r="AV180" i="7"/>
  <c r="AU180" i="7"/>
  <c r="AT180" i="7"/>
  <c r="AS180" i="7"/>
  <c r="AR180" i="7"/>
  <c r="AQ180" i="7"/>
  <c r="AP180" i="7"/>
  <c r="AO180" i="7"/>
  <c r="AN180" i="7"/>
  <c r="AM180" i="7"/>
  <c r="AL180" i="7"/>
  <c r="AK180" i="7"/>
  <c r="AJ180" i="7"/>
  <c r="AI180" i="7"/>
  <c r="AH180" i="7"/>
  <c r="AG180" i="7"/>
  <c r="AF180" i="7"/>
  <c r="AE180" i="7"/>
  <c r="AD180" i="7"/>
  <c r="AC180" i="7"/>
  <c r="AB180" i="7"/>
  <c r="AA180" i="7"/>
  <c r="Z180" i="7"/>
  <c r="Y180" i="7"/>
  <c r="X180" i="7"/>
  <c r="W180" i="7"/>
  <c r="V180" i="7"/>
  <c r="U180" i="7"/>
  <c r="T180" i="7"/>
  <c r="S180" i="7"/>
  <c r="R180" i="7"/>
  <c r="Q180" i="7"/>
  <c r="P180" i="7"/>
  <c r="O180" i="7"/>
  <c r="N180" i="7"/>
  <c r="M180" i="7"/>
  <c r="L180" i="7"/>
  <c r="K180" i="7"/>
  <c r="J180" i="7"/>
  <c r="I180" i="7"/>
  <c r="H180" i="7"/>
  <c r="G180" i="7"/>
  <c r="F180" i="7"/>
  <c r="E180" i="7"/>
  <c r="D180" i="7"/>
  <c r="C180" i="7"/>
  <c r="CG180" i="7" s="1"/>
  <c r="CF179" i="7"/>
  <c r="CE179" i="7"/>
  <c r="CD179" i="7"/>
  <c r="CC179" i="7"/>
  <c r="CB179" i="7"/>
  <c r="CA179" i="7"/>
  <c r="BZ179" i="7"/>
  <c r="BY179" i="7"/>
  <c r="BX179" i="7"/>
  <c r="BW179" i="7"/>
  <c r="BV179" i="7"/>
  <c r="BU179" i="7"/>
  <c r="BT179" i="7"/>
  <c r="BS179" i="7"/>
  <c r="BR179" i="7"/>
  <c r="BQ179" i="7"/>
  <c r="BP179" i="7"/>
  <c r="BO179" i="7"/>
  <c r="BN179" i="7"/>
  <c r="BM179" i="7"/>
  <c r="BL179" i="7"/>
  <c r="BK179" i="7"/>
  <c r="BJ179" i="7"/>
  <c r="BI179" i="7"/>
  <c r="BH179" i="7"/>
  <c r="BG179" i="7"/>
  <c r="BF179" i="7"/>
  <c r="BE179" i="7"/>
  <c r="BD179" i="7"/>
  <c r="BC179" i="7"/>
  <c r="BB179" i="7"/>
  <c r="BA179" i="7"/>
  <c r="AZ179" i="7"/>
  <c r="AY179" i="7"/>
  <c r="AX179" i="7"/>
  <c r="AW179" i="7"/>
  <c r="AV179" i="7"/>
  <c r="AU179" i="7"/>
  <c r="AT179" i="7"/>
  <c r="AS179" i="7"/>
  <c r="AR179" i="7"/>
  <c r="AQ179" i="7"/>
  <c r="AP179" i="7"/>
  <c r="AO179" i="7"/>
  <c r="AN179" i="7"/>
  <c r="AM179" i="7"/>
  <c r="AL179" i="7"/>
  <c r="AK179" i="7"/>
  <c r="AJ179" i="7"/>
  <c r="AI179" i="7"/>
  <c r="AH179" i="7"/>
  <c r="AG179" i="7"/>
  <c r="AF179" i="7"/>
  <c r="AE179" i="7"/>
  <c r="AD179" i="7"/>
  <c r="AC179" i="7"/>
  <c r="AB179" i="7"/>
  <c r="AA179" i="7"/>
  <c r="Z179" i="7"/>
  <c r="Y179" i="7"/>
  <c r="X179" i="7"/>
  <c r="W179" i="7"/>
  <c r="V179" i="7"/>
  <c r="U179" i="7"/>
  <c r="T179" i="7"/>
  <c r="S179" i="7"/>
  <c r="R179" i="7"/>
  <c r="Q179" i="7"/>
  <c r="P179" i="7"/>
  <c r="O179" i="7"/>
  <c r="N179" i="7"/>
  <c r="M179" i="7"/>
  <c r="L179" i="7"/>
  <c r="K179" i="7"/>
  <c r="J179" i="7"/>
  <c r="I179" i="7"/>
  <c r="H179" i="7"/>
  <c r="G179" i="7"/>
  <c r="F179" i="7"/>
  <c r="E179" i="7"/>
  <c r="D179" i="7"/>
  <c r="C179" i="7"/>
  <c r="CG179" i="7" s="1"/>
  <c r="CF178" i="7"/>
  <c r="CE178" i="7"/>
  <c r="CD178" i="7"/>
  <c r="CC178" i="7"/>
  <c r="CB178" i="7"/>
  <c r="CA178" i="7"/>
  <c r="BZ178" i="7"/>
  <c r="BY178" i="7"/>
  <c r="BX178" i="7"/>
  <c r="BW178" i="7"/>
  <c r="BV178" i="7"/>
  <c r="BU178" i="7"/>
  <c r="BT178" i="7"/>
  <c r="BS178" i="7"/>
  <c r="BR178" i="7"/>
  <c r="BQ178" i="7"/>
  <c r="BP178" i="7"/>
  <c r="BO178" i="7"/>
  <c r="BN178" i="7"/>
  <c r="BM178" i="7"/>
  <c r="BL178" i="7"/>
  <c r="BK178" i="7"/>
  <c r="BJ178" i="7"/>
  <c r="BI178" i="7"/>
  <c r="BH178" i="7"/>
  <c r="BG178" i="7"/>
  <c r="BF178" i="7"/>
  <c r="BE178" i="7"/>
  <c r="BD178" i="7"/>
  <c r="BC178" i="7"/>
  <c r="BB178" i="7"/>
  <c r="BA178" i="7"/>
  <c r="AZ178" i="7"/>
  <c r="AY178" i="7"/>
  <c r="AX178" i="7"/>
  <c r="AW178" i="7"/>
  <c r="AV178" i="7"/>
  <c r="AU178" i="7"/>
  <c r="AT178" i="7"/>
  <c r="AS178" i="7"/>
  <c r="AR178" i="7"/>
  <c r="AQ178" i="7"/>
  <c r="AP178" i="7"/>
  <c r="AO178" i="7"/>
  <c r="AN178" i="7"/>
  <c r="AM178" i="7"/>
  <c r="AL178" i="7"/>
  <c r="AK178" i="7"/>
  <c r="AJ178" i="7"/>
  <c r="AI178" i="7"/>
  <c r="AH178" i="7"/>
  <c r="AG178" i="7"/>
  <c r="AF178" i="7"/>
  <c r="AE178" i="7"/>
  <c r="AD178" i="7"/>
  <c r="AC178" i="7"/>
  <c r="AB178" i="7"/>
  <c r="AA178" i="7"/>
  <c r="Z178" i="7"/>
  <c r="Y178" i="7"/>
  <c r="X178" i="7"/>
  <c r="W178" i="7"/>
  <c r="V178" i="7"/>
  <c r="U178" i="7"/>
  <c r="T178" i="7"/>
  <c r="S178" i="7"/>
  <c r="R178" i="7"/>
  <c r="Q178" i="7"/>
  <c r="P178" i="7"/>
  <c r="O178" i="7"/>
  <c r="N178" i="7"/>
  <c r="M178" i="7"/>
  <c r="L178" i="7"/>
  <c r="K178" i="7"/>
  <c r="J178" i="7"/>
  <c r="I178" i="7"/>
  <c r="H178" i="7"/>
  <c r="G178" i="7"/>
  <c r="F178" i="7"/>
  <c r="E178" i="7"/>
  <c r="D178" i="7"/>
  <c r="C178" i="7"/>
  <c r="CF177" i="7"/>
  <c r="CE177" i="7"/>
  <c r="CD177" i="7"/>
  <c r="CC177" i="7"/>
  <c r="CB177" i="7"/>
  <c r="CA177" i="7"/>
  <c r="BZ177" i="7"/>
  <c r="BY177" i="7"/>
  <c r="BX177" i="7"/>
  <c r="BW177" i="7"/>
  <c r="BV177" i="7"/>
  <c r="BU177" i="7"/>
  <c r="BT177" i="7"/>
  <c r="BS177" i="7"/>
  <c r="BR177" i="7"/>
  <c r="BQ177" i="7"/>
  <c r="BP177" i="7"/>
  <c r="BO177" i="7"/>
  <c r="BN177" i="7"/>
  <c r="BM177" i="7"/>
  <c r="BL177" i="7"/>
  <c r="BK177" i="7"/>
  <c r="BJ177" i="7"/>
  <c r="BI177" i="7"/>
  <c r="BH177" i="7"/>
  <c r="BG177" i="7"/>
  <c r="BF177" i="7"/>
  <c r="BE177" i="7"/>
  <c r="BD177" i="7"/>
  <c r="BC177" i="7"/>
  <c r="BB177" i="7"/>
  <c r="BA177" i="7"/>
  <c r="AZ177" i="7"/>
  <c r="AY177" i="7"/>
  <c r="AX177" i="7"/>
  <c r="AW177" i="7"/>
  <c r="AV177" i="7"/>
  <c r="AU177" i="7"/>
  <c r="AT177" i="7"/>
  <c r="AS177" i="7"/>
  <c r="AR177" i="7"/>
  <c r="AQ177" i="7"/>
  <c r="AP177" i="7"/>
  <c r="AO177" i="7"/>
  <c r="AN177" i="7"/>
  <c r="AM177" i="7"/>
  <c r="AL177" i="7"/>
  <c r="AK177" i="7"/>
  <c r="AJ177" i="7"/>
  <c r="AI177" i="7"/>
  <c r="AH177" i="7"/>
  <c r="AG177" i="7"/>
  <c r="AF177" i="7"/>
  <c r="AE177" i="7"/>
  <c r="AD177" i="7"/>
  <c r="AC177" i="7"/>
  <c r="AB177" i="7"/>
  <c r="AA177" i="7"/>
  <c r="Z177" i="7"/>
  <c r="Y177" i="7"/>
  <c r="X177" i="7"/>
  <c r="W177" i="7"/>
  <c r="V177" i="7"/>
  <c r="U177" i="7"/>
  <c r="T177" i="7"/>
  <c r="S177" i="7"/>
  <c r="R177" i="7"/>
  <c r="Q177" i="7"/>
  <c r="P177" i="7"/>
  <c r="O177" i="7"/>
  <c r="N177" i="7"/>
  <c r="M177" i="7"/>
  <c r="L177" i="7"/>
  <c r="K177" i="7"/>
  <c r="J177" i="7"/>
  <c r="I177" i="7"/>
  <c r="H177" i="7"/>
  <c r="G177" i="7"/>
  <c r="F177" i="7"/>
  <c r="E177" i="7"/>
  <c r="D177" i="7"/>
  <c r="C177" i="7"/>
  <c r="CG177" i="7" s="1"/>
  <c r="CF176" i="7"/>
  <c r="CE176" i="7"/>
  <c r="CD176" i="7"/>
  <c r="CC176" i="7"/>
  <c r="CB176" i="7"/>
  <c r="CA176" i="7"/>
  <c r="BZ176" i="7"/>
  <c r="BY176" i="7"/>
  <c r="BX176" i="7"/>
  <c r="BW176" i="7"/>
  <c r="BV176" i="7"/>
  <c r="BU176" i="7"/>
  <c r="BT176" i="7"/>
  <c r="BS176" i="7"/>
  <c r="BR176" i="7"/>
  <c r="BQ176" i="7"/>
  <c r="BP176" i="7"/>
  <c r="BO176" i="7"/>
  <c r="BN176" i="7"/>
  <c r="BM176" i="7"/>
  <c r="BL176" i="7"/>
  <c r="BK176" i="7"/>
  <c r="BJ176" i="7"/>
  <c r="BI176" i="7"/>
  <c r="BH176" i="7"/>
  <c r="BG176" i="7"/>
  <c r="BF176" i="7"/>
  <c r="BE176" i="7"/>
  <c r="BD176" i="7"/>
  <c r="BC176" i="7"/>
  <c r="BB176" i="7"/>
  <c r="BA176" i="7"/>
  <c r="AZ176" i="7"/>
  <c r="AY176" i="7"/>
  <c r="AX176" i="7"/>
  <c r="AW176" i="7"/>
  <c r="AV176" i="7"/>
  <c r="AU176" i="7"/>
  <c r="AT176" i="7"/>
  <c r="AS176" i="7"/>
  <c r="AR176" i="7"/>
  <c r="AQ176" i="7"/>
  <c r="AP176" i="7"/>
  <c r="AO176" i="7"/>
  <c r="AN176" i="7"/>
  <c r="AM176" i="7"/>
  <c r="AL176" i="7"/>
  <c r="AK176" i="7"/>
  <c r="AJ176" i="7"/>
  <c r="AI176" i="7"/>
  <c r="AH176" i="7"/>
  <c r="AG176" i="7"/>
  <c r="AF176" i="7"/>
  <c r="AE176" i="7"/>
  <c r="AD176" i="7"/>
  <c r="AC176" i="7"/>
  <c r="AB176" i="7"/>
  <c r="AA176" i="7"/>
  <c r="Z176" i="7"/>
  <c r="Y176" i="7"/>
  <c r="X176" i="7"/>
  <c r="W176" i="7"/>
  <c r="V176" i="7"/>
  <c r="U176" i="7"/>
  <c r="T176" i="7"/>
  <c r="S176" i="7"/>
  <c r="CG176" i="7" s="1"/>
  <c r="R176" i="7"/>
  <c r="Q176" i="7"/>
  <c r="P176" i="7"/>
  <c r="O176" i="7"/>
  <c r="N176" i="7"/>
  <c r="M176" i="7"/>
  <c r="L176" i="7"/>
  <c r="K176" i="7"/>
  <c r="J176" i="7"/>
  <c r="I176" i="7"/>
  <c r="H176" i="7"/>
  <c r="G176" i="7"/>
  <c r="F176" i="7"/>
  <c r="E176" i="7"/>
  <c r="D176" i="7"/>
  <c r="C176" i="7"/>
  <c r="CF175" i="7"/>
  <c r="CE175" i="7"/>
  <c r="CD175" i="7"/>
  <c r="CC175" i="7"/>
  <c r="CB175" i="7"/>
  <c r="CA175" i="7"/>
  <c r="BZ175" i="7"/>
  <c r="BY175" i="7"/>
  <c r="BX175" i="7"/>
  <c r="BW175" i="7"/>
  <c r="BV175" i="7"/>
  <c r="BU175" i="7"/>
  <c r="BT175" i="7"/>
  <c r="BS175" i="7"/>
  <c r="BR175" i="7"/>
  <c r="BQ175" i="7"/>
  <c r="BP175" i="7"/>
  <c r="BO175" i="7"/>
  <c r="BN175" i="7"/>
  <c r="BM175" i="7"/>
  <c r="BL175" i="7"/>
  <c r="BK175" i="7"/>
  <c r="BJ175" i="7"/>
  <c r="BI175" i="7"/>
  <c r="BH175" i="7"/>
  <c r="BG175" i="7"/>
  <c r="BF175" i="7"/>
  <c r="BE175" i="7"/>
  <c r="BD175" i="7"/>
  <c r="BC175" i="7"/>
  <c r="BB175" i="7"/>
  <c r="BA175" i="7"/>
  <c r="AZ175" i="7"/>
  <c r="AY175" i="7"/>
  <c r="AX175" i="7"/>
  <c r="AW175" i="7"/>
  <c r="AV175" i="7"/>
  <c r="AU175" i="7"/>
  <c r="AT175" i="7"/>
  <c r="AS175" i="7"/>
  <c r="AR175" i="7"/>
  <c r="AQ175" i="7"/>
  <c r="AP175" i="7"/>
  <c r="AO175" i="7"/>
  <c r="AN175" i="7"/>
  <c r="AM175" i="7"/>
  <c r="AL175" i="7"/>
  <c r="AK175" i="7"/>
  <c r="AJ175" i="7"/>
  <c r="AI175" i="7"/>
  <c r="AH175" i="7"/>
  <c r="AG175" i="7"/>
  <c r="AF175" i="7"/>
  <c r="AE175" i="7"/>
  <c r="AD175" i="7"/>
  <c r="AC175" i="7"/>
  <c r="AB175" i="7"/>
  <c r="AA175" i="7"/>
  <c r="Z175" i="7"/>
  <c r="Y175" i="7"/>
  <c r="X175" i="7"/>
  <c r="W175" i="7"/>
  <c r="V175" i="7"/>
  <c r="U175" i="7"/>
  <c r="T175" i="7"/>
  <c r="S175" i="7"/>
  <c r="R175" i="7"/>
  <c r="Q175" i="7"/>
  <c r="P175" i="7"/>
  <c r="O175" i="7"/>
  <c r="N175" i="7"/>
  <c r="M175" i="7"/>
  <c r="L175" i="7"/>
  <c r="K175" i="7"/>
  <c r="J175" i="7"/>
  <c r="I175" i="7"/>
  <c r="H175" i="7"/>
  <c r="G175" i="7"/>
  <c r="F175" i="7"/>
  <c r="E175" i="7"/>
  <c r="D175" i="7"/>
  <c r="C175" i="7"/>
  <c r="CF174" i="7"/>
  <c r="CE174" i="7"/>
  <c r="CD174" i="7"/>
  <c r="CC174" i="7"/>
  <c r="CB174" i="7"/>
  <c r="CA174" i="7"/>
  <c r="BZ174" i="7"/>
  <c r="BY174" i="7"/>
  <c r="BX174" i="7"/>
  <c r="BW174" i="7"/>
  <c r="BV174" i="7"/>
  <c r="BU174" i="7"/>
  <c r="BT174" i="7"/>
  <c r="BS174" i="7"/>
  <c r="BR174" i="7"/>
  <c r="BQ174" i="7"/>
  <c r="BP174" i="7"/>
  <c r="BO174" i="7"/>
  <c r="BN174" i="7"/>
  <c r="BM174" i="7"/>
  <c r="BL174" i="7"/>
  <c r="BK174" i="7"/>
  <c r="BJ174" i="7"/>
  <c r="BI174" i="7"/>
  <c r="BH174" i="7"/>
  <c r="BG174" i="7"/>
  <c r="BF174" i="7"/>
  <c r="BE174" i="7"/>
  <c r="BD174" i="7"/>
  <c r="BC174" i="7"/>
  <c r="BB174" i="7"/>
  <c r="BA174" i="7"/>
  <c r="AZ174" i="7"/>
  <c r="AY174" i="7"/>
  <c r="AX174" i="7"/>
  <c r="AW174" i="7"/>
  <c r="AV174" i="7"/>
  <c r="AU174" i="7"/>
  <c r="AT174" i="7"/>
  <c r="AS174" i="7"/>
  <c r="AR174" i="7"/>
  <c r="AQ174" i="7"/>
  <c r="AP174" i="7"/>
  <c r="AO174" i="7"/>
  <c r="AN174" i="7"/>
  <c r="AM174" i="7"/>
  <c r="AL174" i="7"/>
  <c r="AK174" i="7"/>
  <c r="AJ174" i="7"/>
  <c r="AI174" i="7"/>
  <c r="AH174" i="7"/>
  <c r="AG174" i="7"/>
  <c r="AF174" i="7"/>
  <c r="AE174" i="7"/>
  <c r="AD174" i="7"/>
  <c r="AC174" i="7"/>
  <c r="AB174" i="7"/>
  <c r="AA174" i="7"/>
  <c r="Z174" i="7"/>
  <c r="Y174" i="7"/>
  <c r="X174" i="7"/>
  <c r="W174" i="7"/>
  <c r="V174" i="7"/>
  <c r="U174" i="7"/>
  <c r="T174" i="7"/>
  <c r="S174" i="7"/>
  <c r="R174" i="7"/>
  <c r="Q174" i="7"/>
  <c r="P174" i="7"/>
  <c r="O174" i="7"/>
  <c r="N174" i="7"/>
  <c r="M174" i="7"/>
  <c r="L174" i="7"/>
  <c r="K174" i="7"/>
  <c r="J174" i="7"/>
  <c r="I174" i="7"/>
  <c r="H174" i="7"/>
  <c r="G174" i="7"/>
  <c r="F174" i="7"/>
  <c r="E174" i="7"/>
  <c r="D174" i="7"/>
  <c r="C174" i="7"/>
  <c r="CG174" i="7" s="1"/>
  <c r="CF173" i="7"/>
  <c r="CE173" i="7"/>
  <c r="CD173" i="7"/>
  <c r="CC173" i="7"/>
  <c r="CB173" i="7"/>
  <c r="CA173" i="7"/>
  <c r="BZ173" i="7"/>
  <c r="BY173" i="7"/>
  <c r="BX173" i="7"/>
  <c r="BW173" i="7"/>
  <c r="BV173" i="7"/>
  <c r="BU173" i="7"/>
  <c r="BT173" i="7"/>
  <c r="BS173" i="7"/>
  <c r="BR173" i="7"/>
  <c r="BQ173" i="7"/>
  <c r="BP173" i="7"/>
  <c r="BO173" i="7"/>
  <c r="BN173" i="7"/>
  <c r="BM173" i="7"/>
  <c r="BL173" i="7"/>
  <c r="BK173" i="7"/>
  <c r="BJ173" i="7"/>
  <c r="BI173" i="7"/>
  <c r="BH173" i="7"/>
  <c r="BG173" i="7"/>
  <c r="BF173" i="7"/>
  <c r="BE173" i="7"/>
  <c r="BD173" i="7"/>
  <c r="BC173" i="7"/>
  <c r="BB173" i="7"/>
  <c r="BA173" i="7"/>
  <c r="AZ173" i="7"/>
  <c r="AY173" i="7"/>
  <c r="AX173" i="7"/>
  <c r="AW173" i="7"/>
  <c r="AV173" i="7"/>
  <c r="AU173" i="7"/>
  <c r="AT173" i="7"/>
  <c r="AS173" i="7"/>
  <c r="AR173" i="7"/>
  <c r="AQ173" i="7"/>
  <c r="AP173" i="7"/>
  <c r="AO173" i="7"/>
  <c r="AN173" i="7"/>
  <c r="AM173" i="7"/>
  <c r="AL173" i="7"/>
  <c r="AK173" i="7"/>
  <c r="AJ173" i="7"/>
  <c r="AI173" i="7"/>
  <c r="AH173" i="7"/>
  <c r="AG173" i="7"/>
  <c r="AF173" i="7"/>
  <c r="AE173" i="7"/>
  <c r="AD173" i="7"/>
  <c r="AC173" i="7"/>
  <c r="AB173" i="7"/>
  <c r="AA173" i="7"/>
  <c r="Z173" i="7"/>
  <c r="Y173" i="7"/>
  <c r="X173" i="7"/>
  <c r="W173" i="7"/>
  <c r="V173" i="7"/>
  <c r="U173" i="7"/>
  <c r="T173" i="7"/>
  <c r="S173" i="7"/>
  <c r="R173" i="7"/>
  <c r="Q173" i="7"/>
  <c r="P173" i="7"/>
  <c r="O173" i="7"/>
  <c r="N173" i="7"/>
  <c r="M173" i="7"/>
  <c r="L173" i="7"/>
  <c r="K173" i="7"/>
  <c r="J173" i="7"/>
  <c r="I173" i="7"/>
  <c r="H173" i="7"/>
  <c r="G173" i="7"/>
  <c r="F173" i="7"/>
  <c r="E173" i="7"/>
  <c r="D173" i="7"/>
  <c r="C173" i="7"/>
  <c r="CG173" i="7" s="1"/>
  <c r="CF172" i="7"/>
  <c r="CE172" i="7"/>
  <c r="CD172" i="7"/>
  <c r="CC172" i="7"/>
  <c r="CB172" i="7"/>
  <c r="CA172" i="7"/>
  <c r="BZ172" i="7"/>
  <c r="BY172" i="7"/>
  <c r="BX172" i="7"/>
  <c r="BW172" i="7"/>
  <c r="BV172" i="7"/>
  <c r="BU172" i="7"/>
  <c r="BT172" i="7"/>
  <c r="BS172" i="7"/>
  <c r="BR172" i="7"/>
  <c r="BQ172" i="7"/>
  <c r="BP172" i="7"/>
  <c r="BO172" i="7"/>
  <c r="BN172" i="7"/>
  <c r="BM172" i="7"/>
  <c r="BL172" i="7"/>
  <c r="BK172" i="7"/>
  <c r="BJ172" i="7"/>
  <c r="BI172" i="7"/>
  <c r="BH172" i="7"/>
  <c r="BG172" i="7"/>
  <c r="BF172" i="7"/>
  <c r="BE172" i="7"/>
  <c r="BD172" i="7"/>
  <c r="BC172" i="7"/>
  <c r="BB172" i="7"/>
  <c r="BA172" i="7"/>
  <c r="AZ172" i="7"/>
  <c r="AY172" i="7"/>
  <c r="AX172" i="7"/>
  <c r="AW172" i="7"/>
  <c r="AV172" i="7"/>
  <c r="AU172" i="7"/>
  <c r="AT172" i="7"/>
  <c r="AS172" i="7"/>
  <c r="AR172" i="7"/>
  <c r="AQ172" i="7"/>
  <c r="AP172" i="7"/>
  <c r="AO172" i="7"/>
  <c r="AN172" i="7"/>
  <c r="AM172" i="7"/>
  <c r="AL172" i="7"/>
  <c r="AK172" i="7"/>
  <c r="AJ172" i="7"/>
  <c r="AI172" i="7"/>
  <c r="AH172" i="7"/>
  <c r="AG172" i="7"/>
  <c r="AF172" i="7"/>
  <c r="AE172" i="7"/>
  <c r="AD172" i="7"/>
  <c r="AC172" i="7"/>
  <c r="AB172" i="7"/>
  <c r="AA172" i="7"/>
  <c r="Z172" i="7"/>
  <c r="Y172" i="7"/>
  <c r="X172" i="7"/>
  <c r="W172" i="7"/>
  <c r="V172" i="7"/>
  <c r="U172" i="7"/>
  <c r="T172" i="7"/>
  <c r="S172" i="7"/>
  <c r="R172" i="7"/>
  <c r="Q172" i="7"/>
  <c r="P172" i="7"/>
  <c r="O172" i="7"/>
  <c r="N172" i="7"/>
  <c r="M172" i="7"/>
  <c r="L172" i="7"/>
  <c r="K172" i="7"/>
  <c r="J172" i="7"/>
  <c r="I172" i="7"/>
  <c r="H172" i="7"/>
  <c r="G172" i="7"/>
  <c r="F172" i="7"/>
  <c r="E172" i="7"/>
  <c r="D172" i="7"/>
  <c r="C172" i="7"/>
  <c r="CF171" i="7"/>
  <c r="CE171" i="7"/>
  <c r="CD171" i="7"/>
  <c r="CC171" i="7"/>
  <c r="CB171" i="7"/>
  <c r="CA171" i="7"/>
  <c r="BZ171" i="7"/>
  <c r="BY171" i="7"/>
  <c r="BX171" i="7"/>
  <c r="BW171" i="7"/>
  <c r="BV171" i="7"/>
  <c r="BU171" i="7"/>
  <c r="BT171" i="7"/>
  <c r="BS171" i="7"/>
  <c r="BR171" i="7"/>
  <c r="BQ171" i="7"/>
  <c r="BP171" i="7"/>
  <c r="BO171" i="7"/>
  <c r="BN171" i="7"/>
  <c r="BM171" i="7"/>
  <c r="BL171" i="7"/>
  <c r="BK171" i="7"/>
  <c r="BJ171" i="7"/>
  <c r="BI171" i="7"/>
  <c r="BH171" i="7"/>
  <c r="BG171" i="7"/>
  <c r="BF171" i="7"/>
  <c r="BE171" i="7"/>
  <c r="BD171" i="7"/>
  <c r="BC171" i="7"/>
  <c r="BB171" i="7"/>
  <c r="BA171" i="7"/>
  <c r="AZ171" i="7"/>
  <c r="AY171" i="7"/>
  <c r="AX171" i="7"/>
  <c r="AW171" i="7"/>
  <c r="AV171" i="7"/>
  <c r="AU171" i="7"/>
  <c r="AT171" i="7"/>
  <c r="AS171" i="7"/>
  <c r="AR171" i="7"/>
  <c r="AQ171" i="7"/>
  <c r="AP171" i="7"/>
  <c r="AO171" i="7"/>
  <c r="AN171" i="7"/>
  <c r="AM171" i="7"/>
  <c r="AL171" i="7"/>
  <c r="AK171" i="7"/>
  <c r="AJ171" i="7"/>
  <c r="AI171" i="7"/>
  <c r="AH171" i="7"/>
  <c r="AG171" i="7"/>
  <c r="AF171" i="7"/>
  <c r="AE171" i="7"/>
  <c r="AD171" i="7"/>
  <c r="AC171" i="7"/>
  <c r="AB171" i="7"/>
  <c r="AA171" i="7"/>
  <c r="Z171" i="7"/>
  <c r="Y171" i="7"/>
  <c r="X171" i="7"/>
  <c r="W171" i="7"/>
  <c r="V171" i="7"/>
  <c r="U171" i="7"/>
  <c r="T171" i="7"/>
  <c r="S171" i="7"/>
  <c r="R171" i="7"/>
  <c r="Q171" i="7"/>
  <c r="P171" i="7"/>
  <c r="O171" i="7"/>
  <c r="N171" i="7"/>
  <c r="M171" i="7"/>
  <c r="L171" i="7"/>
  <c r="K171" i="7"/>
  <c r="J171" i="7"/>
  <c r="I171" i="7"/>
  <c r="H171" i="7"/>
  <c r="G171" i="7"/>
  <c r="F171" i="7"/>
  <c r="E171" i="7"/>
  <c r="D171" i="7"/>
  <c r="C171" i="7"/>
  <c r="CF170" i="7"/>
  <c r="CE170" i="7"/>
  <c r="CD170" i="7"/>
  <c r="CC170" i="7"/>
  <c r="CB170" i="7"/>
  <c r="CA170" i="7"/>
  <c r="BZ170" i="7"/>
  <c r="BY170" i="7"/>
  <c r="BX170" i="7"/>
  <c r="BW170" i="7"/>
  <c r="BV170" i="7"/>
  <c r="BU170" i="7"/>
  <c r="BT170" i="7"/>
  <c r="BS170" i="7"/>
  <c r="BR170" i="7"/>
  <c r="BQ170" i="7"/>
  <c r="BP170" i="7"/>
  <c r="BO170" i="7"/>
  <c r="BN170" i="7"/>
  <c r="BM170" i="7"/>
  <c r="BL170" i="7"/>
  <c r="BK170" i="7"/>
  <c r="BJ170" i="7"/>
  <c r="BI170" i="7"/>
  <c r="BH170" i="7"/>
  <c r="BG170" i="7"/>
  <c r="BF170" i="7"/>
  <c r="BE170" i="7"/>
  <c r="BD170" i="7"/>
  <c r="BC170" i="7"/>
  <c r="BB170" i="7"/>
  <c r="BA170" i="7"/>
  <c r="AZ170" i="7"/>
  <c r="AY170" i="7"/>
  <c r="AX170" i="7"/>
  <c r="AW170" i="7"/>
  <c r="AV170" i="7"/>
  <c r="AU170" i="7"/>
  <c r="AT170" i="7"/>
  <c r="AS170" i="7"/>
  <c r="AR170" i="7"/>
  <c r="AQ170" i="7"/>
  <c r="AP170" i="7"/>
  <c r="AO170" i="7"/>
  <c r="AN170" i="7"/>
  <c r="AM170" i="7"/>
  <c r="AL170" i="7"/>
  <c r="AK170" i="7"/>
  <c r="AJ170" i="7"/>
  <c r="AI170" i="7"/>
  <c r="AH170" i="7"/>
  <c r="AG170" i="7"/>
  <c r="AF170" i="7"/>
  <c r="AE170" i="7"/>
  <c r="AD170" i="7"/>
  <c r="AC170" i="7"/>
  <c r="AB170" i="7"/>
  <c r="AA170" i="7"/>
  <c r="Z170" i="7"/>
  <c r="Y170" i="7"/>
  <c r="X170" i="7"/>
  <c r="W170" i="7"/>
  <c r="V170" i="7"/>
  <c r="U170" i="7"/>
  <c r="T170" i="7"/>
  <c r="S170" i="7"/>
  <c r="R170" i="7"/>
  <c r="Q170" i="7"/>
  <c r="P170" i="7"/>
  <c r="O170" i="7"/>
  <c r="N170" i="7"/>
  <c r="M170" i="7"/>
  <c r="L170" i="7"/>
  <c r="K170" i="7"/>
  <c r="J170" i="7"/>
  <c r="I170" i="7"/>
  <c r="H170" i="7"/>
  <c r="G170" i="7"/>
  <c r="F170" i="7"/>
  <c r="E170" i="7"/>
  <c r="D170" i="7"/>
  <c r="C170" i="7"/>
  <c r="CG170" i="7" s="1"/>
  <c r="CF169" i="7"/>
  <c r="CE169" i="7"/>
  <c r="CD169" i="7"/>
  <c r="CC169" i="7"/>
  <c r="CB169" i="7"/>
  <c r="CA169" i="7"/>
  <c r="BZ169" i="7"/>
  <c r="BY169" i="7"/>
  <c r="BX169" i="7"/>
  <c r="BW169" i="7"/>
  <c r="BV169" i="7"/>
  <c r="BU169" i="7"/>
  <c r="BT169" i="7"/>
  <c r="BS169" i="7"/>
  <c r="BR169" i="7"/>
  <c r="BQ169" i="7"/>
  <c r="BP169" i="7"/>
  <c r="BO169" i="7"/>
  <c r="BN169" i="7"/>
  <c r="BM169" i="7"/>
  <c r="BL169" i="7"/>
  <c r="BK169" i="7"/>
  <c r="BJ169" i="7"/>
  <c r="BI169" i="7"/>
  <c r="BH169" i="7"/>
  <c r="BG169" i="7"/>
  <c r="BF169" i="7"/>
  <c r="BE169" i="7"/>
  <c r="BD169" i="7"/>
  <c r="BC169" i="7"/>
  <c r="BB169" i="7"/>
  <c r="BA169" i="7"/>
  <c r="AZ169" i="7"/>
  <c r="AY169" i="7"/>
  <c r="AX169" i="7"/>
  <c r="AW169" i="7"/>
  <c r="AV169" i="7"/>
  <c r="AU169" i="7"/>
  <c r="AT169" i="7"/>
  <c r="AS169" i="7"/>
  <c r="AR169" i="7"/>
  <c r="AQ169" i="7"/>
  <c r="AP169" i="7"/>
  <c r="AO169" i="7"/>
  <c r="AN169" i="7"/>
  <c r="AM169" i="7"/>
  <c r="AL169" i="7"/>
  <c r="AK169" i="7"/>
  <c r="AJ169" i="7"/>
  <c r="AI169" i="7"/>
  <c r="AH169" i="7"/>
  <c r="AG169" i="7"/>
  <c r="AF169" i="7"/>
  <c r="AE169" i="7"/>
  <c r="AD169" i="7"/>
  <c r="AC169" i="7"/>
  <c r="AB169" i="7"/>
  <c r="AA169" i="7"/>
  <c r="Z169" i="7"/>
  <c r="Y169" i="7"/>
  <c r="X169" i="7"/>
  <c r="W169" i="7"/>
  <c r="V169" i="7"/>
  <c r="U169" i="7"/>
  <c r="T169" i="7"/>
  <c r="S169" i="7"/>
  <c r="R169" i="7"/>
  <c r="Q169" i="7"/>
  <c r="P169" i="7"/>
  <c r="O169" i="7"/>
  <c r="N169" i="7"/>
  <c r="M169" i="7"/>
  <c r="L169" i="7"/>
  <c r="K169" i="7"/>
  <c r="J169" i="7"/>
  <c r="I169" i="7"/>
  <c r="H169" i="7"/>
  <c r="G169" i="7"/>
  <c r="F169" i="7"/>
  <c r="E169" i="7"/>
  <c r="D169" i="7"/>
  <c r="C169" i="7"/>
  <c r="CG169" i="7" s="1"/>
  <c r="CF168" i="7"/>
  <c r="CE168" i="7"/>
  <c r="CD168" i="7"/>
  <c r="CC168" i="7"/>
  <c r="CB168" i="7"/>
  <c r="CA168" i="7"/>
  <c r="BZ168" i="7"/>
  <c r="BY168" i="7"/>
  <c r="BX168" i="7"/>
  <c r="BW168" i="7"/>
  <c r="BV168" i="7"/>
  <c r="BU168" i="7"/>
  <c r="BT168" i="7"/>
  <c r="BS168" i="7"/>
  <c r="BR168" i="7"/>
  <c r="BQ168" i="7"/>
  <c r="BP168" i="7"/>
  <c r="BO168" i="7"/>
  <c r="BN168" i="7"/>
  <c r="BM168" i="7"/>
  <c r="BL168" i="7"/>
  <c r="BK168" i="7"/>
  <c r="BJ168" i="7"/>
  <c r="BI168" i="7"/>
  <c r="BH168" i="7"/>
  <c r="BG168" i="7"/>
  <c r="BF168" i="7"/>
  <c r="BE168" i="7"/>
  <c r="BD168" i="7"/>
  <c r="BC168" i="7"/>
  <c r="BB168" i="7"/>
  <c r="BA168" i="7"/>
  <c r="AZ168" i="7"/>
  <c r="AY168" i="7"/>
  <c r="AX168" i="7"/>
  <c r="AW168" i="7"/>
  <c r="AV168" i="7"/>
  <c r="AU168" i="7"/>
  <c r="AT168" i="7"/>
  <c r="AS168" i="7"/>
  <c r="AR168" i="7"/>
  <c r="AQ168" i="7"/>
  <c r="AP168" i="7"/>
  <c r="AO168" i="7"/>
  <c r="AN168" i="7"/>
  <c r="AM168" i="7"/>
  <c r="AL168" i="7"/>
  <c r="AK168" i="7"/>
  <c r="AJ168" i="7"/>
  <c r="AI168" i="7"/>
  <c r="AH168" i="7"/>
  <c r="AG168" i="7"/>
  <c r="AF168" i="7"/>
  <c r="AE168" i="7"/>
  <c r="AD168" i="7"/>
  <c r="AC168" i="7"/>
  <c r="AB168" i="7"/>
  <c r="AA168" i="7"/>
  <c r="Z168" i="7"/>
  <c r="Y168" i="7"/>
  <c r="X168" i="7"/>
  <c r="W168" i="7"/>
  <c r="V168" i="7"/>
  <c r="U168" i="7"/>
  <c r="T168" i="7"/>
  <c r="S168" i="7"/>
  <c r="R168" i="7"/>
  <c r="Q168" i="7"/>
  <c r="P168" i="7"/>
  <c r="O168" i="7"/>
  <c r="N168" i="7"/>
  <c r="M168" i="7"/>
  <c r="L168" i="7"/>
  <c r="K168" i="7"/>
  <c r="J168" i="7"/>
  <c r="I168" i="7"/>
  <c r="H168" i="7"/>
  <c r="G168" i="7"/>
  <c r="F168" i="7"/>
  <c r="E168" i="7"/>
  <c r="D168" i="7"/>
  <c r="C168" i="7"/>
  <c r="CF167" i="7"/>
  <c r="CE167" i="7"/>
  <c r="CD167" i="7"/>
  <c r="CC167" i="7"/>
  <c r="CB167" i="7"/>
  <c r="CA167" i="7"/>
  <c r="BZ167" i="7"/>
  <c r="BY167" i="7"/>
  <c r="BX167" i="7"/>
  <c r="BW167" i="7"/>
  <c r="BV167" i="7"/>
  <c r="BU167" i="7"/>
  <c r="BT167" i="7"/>
  <c r="BS167" i="7"/>
  <c r="BR167" i="7"/>
  <c r="BQ167" i="7"/>
  <c r="BP167" i="7"/>
  <c r="BO167" i="7"/>
  <c r="BN167" i="7"/>
  <c r="BM167" i="7"/>
  <c r="BL167" i="7"/>
  <c r="BK167" i="7"/>
  <c r="BJ167" i="7"/>
  <c r="BI167" i="7"/>
  <c r="BH167" i="7"/>
  <c r="BG167" i="7"/>
  <c r="BF167" i="7"/>
  <c r="BE167" i="7"/>
  <c r="BD167" i="7"/>
  <c r="BC167" i="7"/>
  <c r="BB167" i="7"/>
  <c r="BA167" i="7"/>
  <c r="AZ167" i="7"/>
  <c r="AY167" i="7"/>
  <c r="AX167" i="7"/>
  <c r="AW167" i="7"/>
  <c r="AV167" i="7"/>
  <c r="AU167" i="7"/>
  <c r="AT167" i="7"/>
  <c r="AS167" i="7"/>
  <c r="AR167" i="7"/>
  <c r="AQ167" i="7"/>
  <c r="AP167" i="7"/>
  <c r="AO167" i="7"/>
  <c r="AN167" i="7"/>
  <c r="AM167" i="7"/>
  <c r="AL167" i="7"/>
  <c r="AK167" i="7"/>
  <c r="AJ167" i="7"/>
  <c r="AI167" i="7"/>
  <c r="AH167" i="7"/>
  <c r="AG167" i="7"/>
  <c r="AF167" i="7"/>
  <c r="AE167" i="7"/>
  <c r="AD167" i="7"/>
  <c r="AC167" i="7"/>
  <c r="AB167" i="7"/>
  <c r="AA167" i="7"/>
  <c r="Z167" i="7"/>
  <c r="Y167" i="7"/>
  <c r="X167" i="7"/>
  <c r="W167" i="7"/>
  <c r="V167" i="7"/>
  <c r="U167" i="7"/>
  <c r="T167" i="7"/>
  <c r="S167" i="7"/>
  <c r="R167" i="7"/>
  <c r="Q167" i="7"/>
  <c r="P167" i="7"/>
  <c r="O167" i="7"/>
  <c r="N167" i="7"/>
  <c r="M167" i="7"/>
  <c r="L167" i="7"/>
  <c r="K167" i="7"/>
  <c r="J167" i="7"/>
  <c r="I167" i="7"/>
  <c r="H167" i="7"/>
  <c r="G167" i="7"/>
  <c r="F167" i="7"/>
  <c r="E167" i="7"/>
  <c r="D167" i="7"/>
  <c r="C167" i="7"/>
  <c r="CF166" i="7"/>
  <c r="CE166" i="7"/>
  <c r="CD166" i="7"/>
  <c r="CC166" i="7"/>
  <c r="CB166" i="7"/>
  <c r="CA166" i="7"/>
  <c r="BZ166" i="7"/>
  <c r="BY166" i="7"/>
  <c r="BX166" i="7"/>
  <c r="BW166" i="7"/>
  <c r="BV166" i="7"/>
  <c r="BU166" i="7"/>
  <c r="BT166" i="7"/>
  <c r="BS166" i="7"/>
  <c r="BR166" i="7"/>
  <c r="BQ166" i="7"/>
  <c r="BP166" i="7"/>
  <c r="BO166" i="7"/>
  <c r="BN166" i="7"/>
  <c r="BM166" i="7"/>
  <c r="BL166" i="7"/>
  <c r="BK166" i="7"/>
  <c r="BJ166" i="7"/>
  <c r="BI166" i="7"/>
  <c r="BH166" i="7"/>
  <c r="BG166" i="7"/>
  <c r="BF166" i="7"/>
  <c r="BE166" i="7"/>
  <c r="BD166" i="7"/>
  <c r="BC166" i="7"/>
  <c r="BB166" i="7"/>
  <c r="BA166" i="7"/>
  <c r="AZ166" i="7"/>
  <c r="AY166" i="7"/>
  <c r="AX166" i="7"/>
  <c r="AW166" i="7"/>
  <c r="AV166" i="7"/>
  <c r="AU166" i="7"/>
  <c r="AT166" i="7"/>
  <c r="AS166" i="7"/>
  <c r="AR166" i="7"/>
  <c r="AQ166" i="7"/>
  <c r="AP166" i="7"/>
  <c r="AO166" i="7"/>
  <c r="AN166" i="7"/>
  <c r="AM166" i="7"/>
  <c r="AL166" i="7"/>
  <c r="AK166" i="7"/>
  <c r="AJ166" i="7"/>
  <c r="AI166" i="7"/>
  <c r="AH166" i="7"/>
  <c r="AG166" i="7"/>
  <c r="AF166" i="7"/>
  <c r="AE166" i="7"/>
  <c r="AD166" i="7"/>
  <c r="AC166" i="7"/>
  <c r="AB166" i="7"/>
  <c r="AA166" i="7"/>
  <c r="Z166" i="7"/>
  <c r="Y166" i="7"/>
  <c r="X166" i="7"/>
  <c r="W166" i="7"/>
  <c r="V166" i="7"/>
  <c r="U166" i="7"/>
  <c r="T166" i="7"/>
  <c r="S166" i="7"/>
  <c r="R166" i="7"/>
  <c r="Q166" i="7"/>
  <c r="P166" i="7"/>
  <c r="O166" i="7"/>
  <c r="N166" i="7"/>
  <c r="M166" i="7"/>
  <c r="L166" i="7"/>
  <c r="K166" i="7"/>
  <c r="J166" i="7"/>
  <c r="I166" i="7"/>
  <c r="H166" i="7"/>
  <c r="G166" i="7"/>
  <c r="F166" i="7"/>
  <c r="E166" i="7"/>
  <c r="D166" i="7"/>
  <c r="C166" i="7"/>
  <c r="CG166" i="7" s="1"/>
  <c r="CF165" i="7"/>
  <c r="CE165" i="7"/>
  <c r="CD165" i="7"/>
  <c r="CC165" i="7"/>
  <c r="CB165" i="7"/>
  <c r="CA165" i="7"/>
  <c r="BZ165" i="7"/>
  <c r="BY165" i="7"/>
  <c r="BX165" i="7"/>
  <c r="BW165" i="7"/>
  <c r="BV165" i="7"/>
  <c r="BU165" i="7"/>
  <c r="BT165" i="7"/>
  <c r="BS165" i="7"/>
  <c r="BR165" i="7"/>
  <c r="BQ165" i="7"/>
  <c r="BP165" i="7"/>
  <c r="BO165" i="7"/>
  <c r="BN165" i="7"/>
  <c r="BM165" i="7"/>
  <c r="BL165" i="7"/>
  <c r="BK165" i="7"/>
  <c r="BJ165" i="7"/>
  <c r="BI165" i="7"/>
  <c r="BH165" i="7"/>
  <c r="BG165" i="7"/>
  <c r="BF165" i="7"/>
  <c r="BE165" i="7"/>
  <c r="BD165" i="7"/>
  <c r="BC165" i="7"/>
  <c r="BB165" i="7"/>
  <c r="BA165" i="7"/>
  <c r="AZ165" i="7"/>
  <c r="AY165" i="7"/>
  <c r="AX165" i="7"/>
  <c r="AW165" i="7"/>
  <c r="AV165" i="7"/>
  <c r="AU165" i="7"/>
  <c r="AT165" i="7"/>
  <c r="AS165" i="7"/>
  <c r="AR165" i="7"/>
  <c r="AQ165" i="7"/>
  <c r="AP165" i="7"/>
  <c r="AO165" i="7"/>
  <c r="AN165" i="7"/>
  <c r="AM165" i="7"/>
  <c r="AL165" i="7"/>
  <c r="AK165" i="7"/>
  <c r="AJ165" i="7"/>
  <c r="AI165" i="7"/>
  <c r="AH165" i="7"/>
  <c r="AG165" i="7"/>
  <c r="AF165" i="7"/>
  <c r="AE165" i="7"/>
  <c r="AD165" i="7"/>
  <c r="AC165" i="7"/>
  <c r="AB165" i="7"/>
  <c r="AA165" i="7"/>
  <c r="Z165" i="7"/>
  <c r="Y165" i="7"/>
  <c r="X165" i="7"/>
  <c r="W165" i="7"/>
  <c r="V165" i="7"/>
  <c r="U165" i="7"/>
  <c r="T165" i="7"/>
  <c r="S165" i="7"/>
  <c r="R165" i="7"/>
  <c r="Q165" i="7"/>
  <c r="P165" i="7"/>
  <c r="O165" i="7"/>
  <c r="N165" i="7"/>
  <c r="M165" i="7"/>
  <c r="L165" i="7"/>
  <c r="K165" i="7"/>
  <c r="J165" i="7"/>
  <c r="I165" i="7"/>
  <c r="H165" i="7"/>
  <c r="G165" i="7"/>
  <c r="F165" i="7"/>
  <c r="E165" i="7"/>
  <c r="D165" i="7"/>
  <c r="C165" i="7"/>
  <c r="CG165" i="7" s="1"/>
  <c r="CF164" i="7"/>
  <c r="CE164" i="7"/>
  <c r="CD164" i="7"/>
  <c r="CC164" i="7"/>
  <c r="CB164" i="7"/>
  <c r="CA164" i="7"/>
  <c r="BZ164" i="7"/>
  <c r="BY164" i="7"/>
  <c r="BX164" i="7"/>
  <c r="BW164" i="7"/>
  <c r="BV164" i="7"/>
  <c r="BU164" i="7"/>
  <c r="BT164" i="7"/>
  <c r="BS164" i="7"/>
  <c r="BR164" i="7"/>
  <c r="BQ164" i="7"/>
  <c r="BP164" i="7"/>
  <c r="BO164" i="7"/>
  <c r="BN164" i="7"/>
  <c r="BM164" i="7"/>
  <c r="BL164" i="7"/>
  <c r="BK164" i="7"/>
  <c r="BJ164" i="7"/>
  <c r="BI164" i="7"/>
  <c r="BH164" i="7"/>
  <c r="BG164" i="7"/>
  <c r="BF164" i="7"/>
  <c r="BE164" i="7"/>
  <c r="BD164" i="7"/>
  <c r="BC164" i="7"/>
  <c r="BB164" i="7"/>
  <c r="BA164" i="7"/>
  <c r="AZ164" i="7"/>
  <c r="AY164" i="7"/>
  <c r="AX164" i="7"/>
  <c r="AW164" i="7"/>
  <c r="AV164" i="7"/>
  <c r="AU164" i="7"/>
  <c r="AT164" i="7"/>
  <c r="AS164" i="7"/>
  <c r="AR164" i="7"/>
  <c r="AQ164" i="7"/>
  <c r="AP164" i="7"/>
  <c r="AO164" i="7"/>
  <c r="AN164" i="7"/>
  <c r="AM164" i="7"/>
  <c r="AL164" i="7"/>
  <c r="AK164" i="7"/>
  <c r="AJ164" i="7"/>
  <c r="AI164" i="7"/>
  <c r="AH164" i="7"/>
  <c r="AG164" i="7"/>
  <c r="AF164" i="7"/>
  <c r="AE164" i="7"/>
  <c r="AD164" i="7"/>
  <c r="AC164" i="7"/>
  <c r="AB164" i="7"/>
  <c r="AA164" i="7"/>
  <c r="Z164" i="7"/>
  <c r="Y164" i="7"/>
  <c r="X164" i="7"/>
  <c r="W164" i="7"/>
  <c r="V164" i="7"/>
  <c r="U164" i="7"/>
  <c r="T164" i="7"/>
  <c r="S164" i="7"/>
  <c r="R164" i="7"/>
  <c r="Q164" i="7"/>
  <c r="P164" i="7"/>
  <c r="O164" i="7"/>
  <c r="N164" i="7"/>
  <c r="M164" i="7"/>
  <c r="L164" i="7"/>
  <c r="K164" i="7"/>
  <c r="J164" i="7"/>
  <c r="I164" i="7"/>
  <c r="H164" i="7"/>
  <c r="G164" i="7"/>
  <c r="F164" i="7"/>
  <c r="E164" i="7"/>
  <c r="D164" i="7"/>
  <c r="C164" i="7"/>
  <c r="CG164" i="7" s="1"/>
  <c r="CF163" i="7"/>
  <c r="CE163" i="7"/>
  <c r="CD163" i="7"/>
  <c r="CC163" i="7"/>
  <c r="CB163" i="7"/>
  <c r="CA163" i="7"/>
  <c r="BZ163" i="7"/>
  <c r="BY163" i="7"/>
  <c r="BX163" i="7"/>
  <c r="BW163" i="7"/>
  <c r="BV163" i="7"/>
  <c r="BU163" i="7"/>
  <c r="BT163" i="7"/>
  <c r="BS163" i="7"/>
  <c r="BR163" i="7"/>
  <c r="BQ163" i="7"/>
  <c r="BP163" i="7"/>
  <c r="BO163" i="7"/>
  <c r="BN163" i="7"/>
  <c r="BM163" i="7"/>
  <c r="BL163" i="7"/>
  <c r="BK163" i="7"/>
  <c r="BJ163" i="7"/>
  <c r="BI163" i="7"/>
  <c r="BH163" i="7"/>
  <c r="BG163" i="7"/>
  <c r="BF163" i="7"/>
  <c r="BE163" i="7"/>
  <c r="BD163" i="7"/>
  <c r="BC163" i="7"/>
  <c r="BB163" i="7"/>
  <c r="BA163" i="7"/>
  <c r="AZ163" i="7"/>
  <c r="AY163" i="7"/>
  <c r="AX163" i="7"/>
  <c r="AW163" i="7"/>
  <c r="AV163" i="7"/>
  <c r="AU163" i="7"/>
  <c r="AT163" i="7"/>
  <c r="AS163" i="7"/>
  <c r="AR163" i="7"/>
  <c r="AQ163" i="7"/>
  <c r="AP163" i="7"/>
  <c r="AO163" i="7"/>
  <c r="AN163" i="7"/>
  <c r="AM163" i="7"/>
  <c r="AL163" i="7"/>
  <c r="AK163" i="7"/>
  <c r="AJ163" i="7"/>
  <c r="AI163" i="7"/>
  <c r="AH163" i="7"/>
  <c r="AG163" i="7"/>
  <c r="AF163" i="7"/>
  <c r="AE163" i="7"/>
  <c r="AD163" i="7"/>
  <c r="AC163" i="7"/>
  <c r="AB163" i="7"/>
  <c r="AA163" i="7"/>
  <c r="Z163" i="7"/>
  <c r="Y163" i="7"/>
  <c r="X163" i="7"/>
  <c r="W163" i="7"/>
  <c r="V163" i="7"/>
  <c r="U163" i="7"/>
  <c r="T163" i="7"/>
  <c r="S163" i="7"/>
  <c r="R163" i="7"/>
  <c r="Q163" i="7"/>
  <c r="P163" i="7"/>
  <c r="O163" i="7"/>
  <c r="N163" i="7"/>
  <c r="M163" i="7"/>
  <c r="L163" i="7"/>
  <c r="K163" i="7"/>
  <c r="J163" i="7"/>
  <c r="I163" i="7"/>
  <c r="H163" i="7"/>
  <c r="G163" i="7"/>
  <c r="F163" i="7"/>
  <c r="E163" i="7"/>
  <c r="D163" i="7"/>
  <c r="C163" i="7"/>
  <c r="CF162" i="7"/>
  <c r="CE162" i="7"/>
  <c r="CD162" i="7"/>
  <c r="CC162" i="7"/>
  <c r="CB162" i="7"/>
  <c r="CA162" i="7"/>
  <c r="BZ162" i="7"/>
  <c r="BY162" i="7"/>
  <c r="BX162" i="7"/>
  <c r="BW162" i="7"/>
  <c r="BV162" i="7"/>
  <c r="BU162" i="7"/>
  <c r="BT162" i="7"/>
  <c r="BS162" i="7"/>
  <c r="BR162" i="7"/>
  <c r="BQ162" i="7"/>
  <c r="BP162" i="7"/>
  <c r="BO162" i="7"/>
  <c r="BN162" i="7"/>
  <c r="BM162" i="7"/>
  <c r="BL162" i="7"/>
  <c r="BK162" i="7"/>
  <c r="BJ162" i="7"/>
  <c r="BI162" i="7"/>
  <c r="BH162" i="7"/>
  <c r="BG162" i="7"/>
  <c r="BF162" i="7"/>
  <c r="BE162" i="7"/>
  <c r="BD162" i="7"/>
  <c r="BC162" i="7"/>
  <c r="BB162" i="7"/>
  <c r="BA162" i="7"/>
  <c r="AZ162" i="7"/>
  <c r="AY162" i="7"/>
  <c r="AX162" i="7"/>
  <c r="AW162" i="7"/>
  <c r="AV162" i="7"/>
  <c r="AU162" i="7"/>
  <c r="AT162" i="7"/>
  <c r="AS162" i="7"/>
  <c r="AR162" i="7"/>
  <c r="AQ162" i="7"/>
  <c r="AP162" i="7"/>
  <c r="AO162" i="7"/>
  <c r="AN162" i="7"/>
  <c r="AM162" i="7"/>
  <c r="AL162" i="7"/>
  <c r="AK162" i="7"/>
  <c r="AJ162" i="7"/>
  <c r="AI162" i="7"/>
  <c r="AH162" i="7"/>
  <c r="AG162" i="7"/>
  <c r="AF162" i="7"/>
  <c r="AE162" i="7"/>
  <c r="AD162" i="7"/>
  <c r="AC162" i="7"/>
  <c r="AB162" i="7"/>
  <c r="AA162" i="7"/>
  <c r="Z162" i="7"/>
  <c r="Y162" i="7"/>
  <c r="X162" i="7"/>
  <c r="W162" i="7"/>
  <c r="V162" i="7"/>
  <c r="U162" i="7"/>
  <c r="T162" i="7"/>
  <c r="S162" i="7"/>
  <c r="R162" i="7"/>
  <c r="Q162" i="7"/>
  <c r="P162" i="7"/>
  <c r="O162" i="7"/>
  <c r="N162" i="7"/>
  <c r="M162" i="7"/>
  <c r="L162" i="7"/>
  <c r="K162" i="7"/>
  <c r="J162" i="7"/>
  <c r="I162" i="7"/>
  <c r="H162" i="7"/>
  <c r="G162" i="7"/>
  <c r="F162" i="7"/>
  <c r="E162" i="7"/>
  <c r="CG162" i="7" s="1"/>
  <c r="D162" i="7"/>
  <c r="C162" i="7"/>
  <c r="CF161" i="7"/>
  <c r="CE161" i="7"/>
  <c r="CD161" i="7"/>
  <c r="CC161" i="7"/>
  <c r="CB161" i="7"/>
  <c r="CA161" i="7"/>
  <c r="BZ161" i="7"/>
  <c r="BY161" i="7"/>
  <c r="BX161" i="7"/>
  <c r="BW161" i="7"/>
  <c r="BV161" i="7"/>
  <c r="BU161" i="7"/>
  <c r="BT161" i="7"/>
  <c r="BS161" i="7"/>
  <c r="BR161" i="7"/>
  <c r="BQ161" i="7"/>
  <c r="BP161" i="7"/>
  <c r="BO161" i="7"/>
  <c r="BN161" i="7"/>
  <c r="BM161" i="7"/>
  <c r="BL161" i="7"/>
  <c r="BK161" i="7"/>
  <c r="BJ161" i="7"/>
  <c r="BI161" i="7"/>
  <c r="BH161" i="7"/>
  <c r="BG161" i="7"/>
  <c r="BF161" i="7"/>
  <c r="BE161" i="7"/>
  <c r="BD161" i="7"/>
  <c r="BC161" i="7"/>
  <c r="BB161" i="7"/>
  <c r="BA161" i="7"/>
  <c r="AZ161" i="7"/>
  <c r="AY161" i="7"/>
  <c r="AX161" i="7"/>
  <c r="AW161" i="7"/>
  <c r="AV161" i="7"/>
  <c r="AU161" i="7"/>
  <c r="AT161" i="7"/>
  <c r="AS161" i="7"/>
  <c r="AR161" i="7"/>
  <c r="AQ161" i="7"/>
  <c r="AP161" i="7"/>
  <c r="AO161" i="7"/>
  <c r="AN161" i="7"/>
  <c r="AM161" i="7"/>
  <c r="AL161" i="7"/>
  <c r="AK161" i="7"/>
  <c r="AJ161" i="7"/>
  <c r="AI161" i="7"/>
  <c r="AH161" i="7"/>
  <c r="AG161" i="7"/>
  <c r="AF161" i="7"/>
  <c r="AE161" i="7"/>
  <c r="AD161" i="7"/>
  <c r="AC161" i="7"/>
  <c r="AB161" i="7"/>
  <c r="AA161" i="7"/>
  <c r="Z161" i="7"/>
  <c r="Y161" i="7"/>
  <c r="X161" i="7"/>
  <c r="W161" i="7"/>
  <c r="V161" i="7"/>
  <c r="U161" i="7"/>
  <c r="T161" i="7"/>
  <c r="S161" i="7"/>
  <c r="R161" i="7"/>
  <c r="Q161" i="7"/>
  <c r="P161" i="7"/>
  <c r="O161" i="7"/>
  <c r="N161" i="7"/>
  <c r="M161" i="7"/>
  <c r="L161" i="7"/>
  <c r="K161" i="7"/>
  <c r="J161" i="7"/>
  <c r="I161" i="7"/>
  <c r="H161" i="7"/>
  <c r="G161" i="7"/>
  <c r="F161" i="7"/>
  <c r="E161" i="7"/>
  <c r="D161" i="7"/>
  <c r="C161" i="7"/>
  <c r="CG161" i="7" s="1"/>
  <c r="CF160" i="7"/>
  <c r="CE160" i="7"/>
  <c r="CD160" i="7"/>
  <c r="CC160" i="7"/>
  <c r="CB160" i="7"/>
  <c r="CA160" i="7"/>
  <c r="BZ160" i="7"/>
  <c r="BY160" i="7"/>
  <c r="BX160" i="7"/>
  <c r="BW160" i="7"/>
  <c r="BV160" i="7"/>
  <c r="BU160" i="7"/>
  <c r="BT160" i="7"/>
  <c r="BS160" i="7"/>
  <c r="BR160" i="7"/>
  <c r="BQ160" i="7"/>
  <c r="BP160" i="7"/>
  <c r="BO160" i="7"/>
  <c r="BN160" i="7"/>
  <c r="BM160" i="7"/>
  <c r="BL160" i="7"/>
  <c r="BK160" i="7"/>
  <c r="BJ160" i="7"/>
  <c r="BI160" i="7"/>
  <c r="BH160" i="7"/>
  <c r="BG160" i="7"/>
  <c r="BF160" i="7"/>
  <c r="BE160" i="7"/>
  <c r="BD160" i="7"/>
  <c r="BC160" i="7"/>
  <c r="BB160" i="7"/>
  <c r="BA160" i="7"/>
  <c r="AZ160" i="7"/>
  <c r="AY160" i="7"/>
  <c r="AX160" i="7"/>
  <c r="AW160" i="7"/>
  <c r="AV160" i="7"/>
  <c r="AU160" i="7"/>
  <c r="AT160" i="7"/>
  <c r="AS160" i="7"/>
  <c r="AR160" i="7"/>
  <c r="AQ160" i="7"/>
  <c r="AP160" i="7"/>
  <c r="AO160" i="7"/>
  <c r="AN160" i="7"/>
  <c r="AM160" i="7"/>
  <c r="AL160" i="7"/>
  <c r="AK160" i="7"/>
  <c r="AJ160" i="7"/>
  <c r="AI160" i="7"/>
  <c r="AH160" i="7"/>
  <c r="AG160" i="7"/>
  <c r="AF160" i="7"/>
  <c r="AE160" i="7"/>
  <c r="AD160" i="7"/>
  <c r="AC160" i="7"/>
  <c r="AB160" i="7"/>
  <c r="AA160" i="7"/>
  <c r="Z160" i="7"/>
  <c r="Y160" i="7"/>
  <c r="X160" i="7"/>
  <c r="W160" i="7"/>
  <c r="V160" i="7"/>
  <c r="U160" i="7"/>
  <c r="T160" i="7"/>
  <c r="S160" i="7"/>
  <c r="R160" i="7"/>
  <c r="Q160" i="7"/>
  <c r="P160" i="7"/>
  <c r="O160" i="7"/>
  <c r="N160" i="7"/>
  <c r="M160" i="7"/>
  <c r="L160" i="7"/>
  <c r="K160" i="7"/>
  <c r="J160" i="7"/>
  <c r="I160" i="7"/>
  <c r="H160" i="7"/>
  <c r="G160" i="7"/>
  <c r="F160" i="7"/>
  <c r="E160" i="7"/>
  <c r="D160" i="7"/>
  <c r="C160" i="7"/>
  <c r="CG160" i="7" s="1"/>
  <c r="CF159" i="7"/>
  <c r="CE159" i="7"/>
  <c r="CD159" i="7"/>
  <c r="CC159" i="7"/>
  <c r="CB159" i="7"/>
  <c r="CA159" i="7"/>
  <c r="BZ159" i="7"/>
  <c r="BY159" i="7"/>
  <c r="BX159" i="7"/>
  <c r="BW159" i="7"/>
  <c r="BV159" i="7"/>
  <c r="BU159" i="7"/>
  <c r="BT159" i="7"/>
  <c r="BS159" i="7"/>
  <c r="BR159" i="7"/>
  <c r="BQ159" i="7"/>
  <c r="BP159" i="7"/>
  <c r="BO159" i="7"/>
  <c r="BN159" i="7"/>
  <c r="BM159" i="7"/>
  <c r="BL159" i="7"/>
  <c r="BK159" i="7"/>
  <c r="BJ159" i="7"/>
  <c r="BI159" i="7"/>
  <c r="BH159" i="7"/>
  <c r="BG159" i="7"/>
  <c r="BF159" i="7"/>
  <c r="BE159" i="7"/>
  <c r="BD159" i="7"/>
  <c r="BC159" i="7"/>
  <c r="BB159" i="7"/>
  <c r="BA159" i="7"/>
  <c r="AZ159" i="7"/>
  <c r="AY159" i="7"/>
  <c r="AX159" i="7"/>
  <c r="AW159" i="7"/>
  <c r="AV159" i="7"/>
  <c r="AU159" i="7"/>
  <c r="AT159" i="7"/>
  <c r="AS159" i="7"/>
  <c r="AR159" i="7"/>
  <c r="AQ159" i="7"/>
  <c r="AP159" i="7"/>
  <c r="AO159" i="7"/>
  <c r="AN159" i="7"/>
  <c r="AM159" i="7"/>
  <c r="AL159" i="7"/>
  <c r="AK159" i="7"/>
  <c r="AJ159" i="7"/>
  <c r="AI159" i="7"/>
  <c r="AH159" i="7"/>
  <c r="AG159" i="7"/>
  <c r="AF159" i="7"/>
  <c r="AE159" i="7"/>
  <c r="AD159" i="7"/>
  <c r="AC159" i="7"/>
  <c r="AB159" i="7"/>
  <c r="AA159" i="7"/>
  <c r="Z159" i="7"/>
  <c r="Y159" i="7"/>
  <c r="X159" i="7"/>
  <c r="W159" i="7"/>
  <c r="V159" i="7"/>
  <c r="U159" i="7"/>
  <c r="T159" i="7"/>
  <c r="S159" i="7"/>
  <c r="R159" i="7"/>
  <c r="Q159" i="7"/>
  <c r="P159" i="7"/>
  <c r="O159" i="7"/>
  <c r="N159" i="7"/>
  <c r="CG159" i="7" s="1"/>
  <c r="M159" i="7"/>
  <c r="L159" i="7"/>
  <c r="K159" i="7"/>
  <c r="J159" i="7"/>
  <c r="I159" i="7"/>
  <c r="H159" i="7"/>
  <c r="G159" i="7"/>
  <c r="F159" i="7"/>
  <c r="E159" i="7"/>
  <c r="D159" i="7"/>
  <c r="C159" i="7"/>
  <c r="CF158" i="7"/>
  <c r="CE158" i="7"/>
  <c r="CD158" i="7"/>
  <c r="CC158" i="7"/>
  <c r="CB158" i="7"/>
  <c r="CA158" i="7"/>
  <c r="BZ158" i="7"/>
  <c r="BY158" i="7"/>
  <c r="BX158" i="7"/>
  <c r="BW158" i="7"/>
  <c r="BV158" i="7"/>
  <c r="BU158" i="7"/>
  <c r="BT158" i="7"/>
  <c r="BS158" i="7"/>
  <c r="BR158" i="7"/>
  <c r="BQ158" i="7"/>
  <c r="BP158" i="7"/>
  <c r="BO158" i="7"/>
  <c r="BN158" i="7"/>
  <c r="BM158" i="7"/>
  <c r="BL158" i="7"/>
  <c r="BK158" i="7"/>
  <c r="BJ158" i="7"/>
  <c r="BI158" i="7"/>
  <c r="BH158" i="7"/>
  <c r="BG158" i="7"/>
  <c r="BF158" i="7"/>
  <c r="BE158" i="7"/>
  <c r="BD158" i="7"/>
  <c r="BC158" i="7"/>
  <c r="BB158" i="7"/>
  <c r="BA158" i="7"/>
  <c r="AZ158" i="7"/>
  <c r="AY158" i="7"/>
  <c r="AX158" i="7"/>
  <c r="AW158" i="7"/>
  <c r="AV158" i="7"/>
  <c r="AU158" i="7"/>
  <c r="AT158" i="7"/>
  <c r="AS158" i="7"/>
  <c r="AR158" i="7"/>
  <c r="AQ158" i="7"/>
  <c r="AP158" i="7"/>
  <c r="AO158" i="7"/>
  <c r="AN158" i="7"/>
  <c r="AM158" i="7"/>
  <c r="AL158" i="7"/>
  <c r="AK158" i="7"/>
  <c r="AJ158" i="7"/>
  <c r="AI158" i="7"/>
  <c r="AH158" i="7"/>
  <c r="AG158" i="7"/>
  <c r="AF158" i="7"/>
  <c r="AE158" i="7"/>
  <c r="AD158" i="7"/>
  <c r="AC158" i="7"/>
  <c r="AB158" i="7"/>
  <c r="AA158" i="7"/>
  <c r="Z158" i="7"/>
  <c r="Y158" i="7"/>
  <c r="X158" i="7"/>
  <c r="W158" i="7"/>
  <c r="V158" i="7"/>
  <c r="U158" i="7"/>
  <c r="T158" i="7"/>
  <c r="S158" i="7"/>
  <c r="R158" i="7"/>
  <c r="Q158" i="7"/>
  <c r="P158" i="7"/>
  <c r="O158" i="7"/>
  <c r="N158" i="7"/>
  <c r="M158" i="7"/>
  <c r="L158" i="7"/>
  <c r="K158" i="7"/>
  <c r="J158" i="7"/>
  <c r="I158" i="7"/>
  <c r="CG158" i="7" s="1"/>
  <c r="H158" i="7"/>
  <c r="G158" i="7"/>
  <c r="F158" i="7"/>
  <c r="E158" i="7"/>
  <c r="D158" i="7"/>
  <c r="C158" i="7"/>
  <c r="CF157" i="7"/>
  <c r="CE157" i="7"/>
  <c r="CD157" i="7"/>
  <c r="CC157" i="7"/>
  <c r="CB157" i="7"/>
  <c r="CA157" i="7"/>
  <c r="BZ157" i="7"/>
  <c r="BY157" i="7"/>
  <c r="BX157" i="7"/>
  <c r="BW157" i="7"/>
  <c r="BV157" i="7"/>
  <c r="BU157" i="7"/>
  <c r="BT157" i="7"/>
  <c r="BS157" i="7"/>
  <c r="BR157" i="7"/>
  <c r="BQ157" i="7"/>
  <c r="BP157" i="7"/>
  <c r="BO157" i="7"/>
  <c r="BN157" i="7"/>
  <c r="BM157" i="7"/>
  <c r="BL157" i="7"/>
  <c r="BK157" i="7"/>
  <c r="BJ157" i="7"/>
  <c r="BI157" i="7"/>
  <c r="BH157" i="7"/>
  <c r="BG157" i="7"/>
  <c r="BF157" i="7"/>
  <c r="BE157" i="7"/>
  <c r="BD157" i="7"/>
  <c r="BC157" i="7"/>
  <c r="BB157" i="7"/>
  <c r="BA157" i="7"/>
  <c r="AZ157" i="7"/>
  <c r="AY157" i="7"/>
  <c r="AX157" i="7"/>
  <c r="AW157" i="7"/>
  <c r="AV157" i="7"/>
  <c r="AU157" i="7"/>
  <c r="AT157" i="7"/>
  <c r="AS157" i="7"/>
  <c r="AR157" i="7"/>
  <c r="AQ157" i="7"/>
  <c r="AP157" i="7"/>
  <c r="AO157" i="7"/>
  <c r="AN157" i="7"/>
  <c r="AM157" i="7"/>
  <c r="AL157" i="7"/>
  <c r="AK157" i="7"/>
  <c r="AJ157" i="7"/>
  <c r="AI157" i="7"/>
  <c r="AH157" i="7"/>
  <c r="AG157" i="7"/>
  <c r="AF157" i="7"/>
  <c r="AE157" i="7"/>
  <c r="AD157" i="7"/>
  <c r="AC157" i="7"/>
  <c r="AB157" i="7"/>
  <c r="AA157" i="7"/>
  <c r="Z157" i="7"/>
  <c r="Y157" i="7"/>
  <c r="X157" i="7"/>
  <c r="W157" i="7"/>
  <c r="V157" i="7"/>
  <c r="U157" i="7"/>
  <c r="T157" i="7"/>
  <c r="S157" i="7"/>
  <c r="R157" i="7"/>
  <c r="Q157" i="7"/>
  <c r="P157" i="7"/>
  <c r="O157" i="7"/>
  <c r="N157" i="7"/>
  <c r="M157" i="7"/>
  <c r="L157" i="7"/>
  <c r="K157" i="7"/>
  <c r="J157" i="7"/>
  <c r="I157" i="7"/>
  <c r="H157" i="7"/>
  <c r="G157" i="7"/>
  <c r="F157" i="7"/>
  <c r="E157" i="7"/>
  <c r="D157" i="7"/>
  <c r="C157" i="7"/>
  <c r="CG157" i="7" s="1"/>
  <c r="CF156" i="7"/>
  <c r="CE156" i="7"/>
  <c r="CD156" i="7"/>
  <c r="CC156" i="7"/>
  <c r="CB156" i="7"/>
  <c r="CA156" i="7"/>
  <c r="BZ156" i="7"/>
  <c r="BY156" i="7"/>
  <c r="BX156" i="7"/>
  <c r="BW156" i="7"/>
  <c r="BV156" i="7"/>
  <c r="BU156" i="7"/>
  <c r="BT156" i="7"/>
  <c r="BS156" i="7"/>
  <c r="BR156" i="7"/>
  <c r="BQ156" i="7"/>
  <c r="BP156" i="7"/>
  <c r="BO156" i="7"/>
  <c r="BN156" i="7"/>
  <c r="BM156" i="7"/>
  <c r="BL156" i="7"/>
  <c r="BK156" i="7"/>
  <c r="BJ156" i="7"/>
  <c r="BI156" i="7"/>
  <c r="BH156" i="7"/>
  <c r="BG156" i="7"/>
  <c r="BF156" i="7"/>
  <c r="BE156" i="7"/>
  <c r="BD156" i="7"/>
  <c r="BC156" i="7"/>
  <c r="BB156" i="7"/>
  <c r="BA156" i="7"/>
  <c r="AZ156" i="7"/>
  <c r="AY156" i="7"/>
  <c r="AX156" i="7"/>
  <c r="AW156" i="7"/>
  <c r="AV156" i="7"/>
  <c r="AU156" i="7"/>
  <c r="AT156" i="7"/>
  <c r="AS156" i="7"/>
  <c r="AR156" i="7"/>
  <c r="AQ156" i="7"/>
  <c r="AP156" i="7"/>
  <c r="AO156" i="7"/>
  <c r="AN156" i="7"/>
  <c r="AM156" i="7"/>
  <c r="AL156" i="7"/>
  <c r="AK156" i="7"/>
  <c r="AJ156" i="7"/>
  <c r="AI156" i="7"/>
  <c r="AH156" i="7"/>
  <c r="AG156" i="7"/>
  <c r="AF156" i="7"/>
  <c r="AE156" i="7"/>
  <c r="AD156" i="7"/>
  <c r="AC156" i="7"/>
  <c r="AB156" i="7"/>
  <c r="AA156" i="7"/>
  <c r="Z156" i="7"/>
  <c r="Y156" i="7"/>
  <c r="X156" i="7"/>
  <c r="W156" i="7"/>
  <c r="V156" i="7"/>
  <c r="U156" i="7"/>
  <c r="T156" i="7"/>
  <c r="S156" i="7"/>
  <c r="R156" i="7"/>
  <c r="Q156" i="7"/>
  <c r="P156" i="7"/>
  <c r="O156" i="7"/>
  <c r="N156" i="7"/>
  <c r="M156" i="7"/>
  <c r="L156" i="7"/>
  <c r="K156" i="7"/>
  <c r="J156" i="7"/>
  <c r="I156" i="7"/>
  <c r="H156" i="7"/>
  <c r="G156" i="7"/>
  <c r="F156" i="7"/>
  <c r="E156" i="7"/>
  <c r="D156" i="7"/>
  <c r="C156" i="7"/>
  <c r="CG156" i="7" s="1"/>
  <c r="CF155" i="7"/>
  <c r="CE155" i="7"/>
  <c r="CD155" i="7"/>
  <c r="CC155" i="7"/>
  <c r="CB155" i="7"/>
  <c r="CA155" i="7"/>
  <c r="BZ155" i="7"/>
  <c r="BY155" i="7"/>
  <c r="BX155" i="7"/>
  <c r="BW155" i="7"/>
  <c r="BV155" i="7"/>
  <c r="BU155" i="7"/>
  <c r="BT155" i="7"/>
  <c r="BS155" i="7"/>
  <c r="BR155" i="7"/>
  <c r="BQ155" i="7"/>
  <c r="BP155" i="7"/>
  <c r="BO155" i="7"/>
  <c r="BN155" i="7"/>
  <c r="BM155" i="7"/>
  <c r="BL155" i="7"/>
  <c r="BK155" i="7"/>
  <c r="BJ155" i="7"/>
  <c r="BI155" i="7"/>
  <c r="BH155" i="7"/>
  <c r="BG155" i="7"/>
  <c r="BF155" i="7"/>
  <c r="BE155" i="7"/>
  <c r="BD155" i="7"/>
  <c r="BC155" i="7"/>
  <c r="BB155" i="7"/>
  <c r="BA155" i="7"/>
  <c r="AZ155" i="7"/>
  <c r="AY155" i="7"/>
  <c r="AX155" i="7"/>
  <c r="AW155" i="7"/>
  <c r="AV155" i="7"/>
  <c r="AU155" i="7"/>
  <c r="AT155" i="7"/>
  <c r="AS155" i="7"/>
  <c r="AR155" i="7"/>
  <c r="AQ155" i="7"/>
  <c r="AP155" i="7"/>
  <c r="AO155" i="7"/>
  <c r="AN155" i="7"/>
  <c r="AM155" i="7"/>
  <c r="AL155" i="7"/>
  <c r="AK155" i="7"/>
  <c r="AJ155" i="7"/>
  <c r="AI155" i="7"/>
  <c r="AH155" i="7"/>
  <c r="AG155" i="7"/>
  <c r="AF155" i="7"/>
  <c r="AE155" i="7"/>
  <c r="AD155" i="7"/>
  <c r="AC155" i="7"/>
  <c r="AB155" i="7"/>
  <c r="AA155" i="7"/>
  <c r="Z155" i="7"/>
  <c r="Y155" i="7"/>
  <c r="X155" i="7"/>
  <c r="W155" i="7"/>
  <c r="V155" i="7"/>
  <c r="U155" i="7"/>
  <c r="T155" i="7"/>
  <c r="S155" i="7"/>
  <c r="R155" i="7"/>
  <c r="Q155" i="7"/>
  <c r="P155" i="7"/>
  <c r="O155" i="7"/>
  <c r="N155" i="7"/>
  <c r="M155" i="7"/>
  <c r="L155" i="7"/>
  <c r="K155" i="7"/>
  <c r="J155" i="7"/>
  <c r="I155" i="7"/>
  <c r="H155" i="7"/>
  <c r="G155" i="7"/>
  <c r="F155" i="7"/>
  <c r="E155" i="7"/>
  <c r="D155" i="7"/>
  <c r="C155" i="7"/>
  <c r="CG155" i="7" s="1"/>
  <c r="CF154" i="7"/>
  <c r="CE154" i="7"/>
  <c r="CD154" i="7"/>
  <c r="CC154" i="7"/>
  <c r="CB154" i="7"/>
  <c r="CA154" i="7"/>
  <c r="BZ154" i="7"/>
  <c r="BY154" i="7"/>
  <c r="BX154" i="7"/>
  <c r="BW154" i="7"/>
  <c r="BV154" i="7"/>
  <c r="BU154" i="7"/>
  <c r="BT154" i="7"/>
  <c r="BS154" i="7"/>
  <c r="BR154" i="7"/>
  <c r="BQ154" i="7"/>
  <c r="BP154" i="7"/>
  <c r="BO154" i="7"/>
  <c r="BN154" i="7"/>
  <c r="BM154" i="7"/>
  <c r="BL154" i="7"/>
  <c r="BK154" i="7"/>
  <c r="BJ154" i="7"/>
  <c r="BI154" i="7"/>
  <c r="BH154" i="7"/>
  <c r="BG154" i="7"/>
  <c r="BF154" i="7"/>
  <c r="BE154" i="7"/>
  <c r="BD154" i="7"/>
  <c r="BC154" i="7"/>
  <c r="BB154" i="7"/>
  <c r="BA154" i="7"/>
  <c r="AZ154" i="7"/>
  <c r="AY154" i="7"/>
  <c r="AX154" i="7"/>
  <c r="AW154" i="7"/>
  <c r="AV154" i="7"/>
  <c r="AU154" i="7"/>
  <c r="AT154" i="7"/>
  <c r="AS154" i="7"/>
  <c r="AR154" i="7"/>
  <c r="AQ154" i="7"/>
  <c r="AP154" i="7"/>
  <c r="AO154" i="7"/>
  <c r="AN154" i="7"/>
  <c r="AM154" i="7"/>
  <c r="AL154" i="7"/>
  <c r="AK154" i="7"/>
  <c r="AJ154" i="7"/>
  <c r="AI154" i="7"/>
  <c r="AH154" i="7"/>
  <c r="AG154" i="7"/>
  <c r="AF154" i="7"/>
  <c r="AE154" i="7"/>
  <c r="AD154" i="7"/>
  <c r="AC154" i="7"/>
  <c r="AB154" i="7"/>
  <c r="AA154" i="7"/>
  <c r="Z154" i="7"/>
  <c r="Y154" i="7"/>
  <c r="X154" i="7"/>
  <c r="W154" i="7"/>
  <c r="V154" i="7"/>
  <c r="U154" i="7"/>
  <c r="T154" i="7"/>
  <c r="S154" i="7"/>
  <c r="CG154" i="7" s="1"/>
  <c r="R154" i="7"/>
  <c r="Q154" i="7"/>
  <c r="P154" i="7"/>
  <c r="O154" i="7"/>
  <c r="N154" i="7"/>
  <c r="M154" i="7"/>
  <c r="L154" i="7"/>
  <c r="K154" i="7"/>
  <c r="J154" i="7"/>
  <c r="I154" i="7"/>
  <c r="H154" i="7"/>
  <c r="G154" i="7"/>
  <c r="F154" i="7"/>
  <c r="E154" i="7"/>
  <c r="D154" i="7"/>
  <c r="C154" i="7"/>
  <c r="CF153" i="7"/>
  <c r="CE153" i="7"/>
  <c r="CD153" i="7"/>
  <c r="CC153" i="7"/>
  <c r="CB153" i="7"/>
  <c r="CA153" i="7"/>
  <c r="BZ153" i="7"/>
  <c r="BY153" i="7"/>
  <c r="BX153" i="7"/>
  <c r="BW153" i="7"/>
  <c r="BV153" i="7"/>
  <c r="BU153" i="7"/>
  <c r="BT153" i="7"/>
  <c r="BS153" i="7"/>
  <c r="BR153" i="7"/>
  <c r="BQ153" i="7"/>
  <c r="BP153" i="7"/>
  <c r="BO153" i="7"/>
  <c r="BN153" i="7"/>
  <c r="BM153" i="7"/>
  <c r="BL153" i="7"/>
  <c r="BK153" i="7"/>
  <c r="BJ153" i="7"/>
  <c r="BI153" i="7"/>
  <c r="BH153" i="7"/>
  <c r="BG153" i="7"/>
  <c r="BF153" i="7"/>
  <c r="BE153" i="7"/>
  <c r="BD153" i="7"/>
  <c r="BC153" i="7"/>
  <c r="BB153" i="7"/>
  <c r="BA153" i="7"/>
  <c r="AZ153" i="7"/>
  <c r="AY153" i="7"/>
  <c r="AX153" i="7"/>
  <c r="AW153" i="7"/>
  <c r="AV153" i="7"/>
  <c r="AU153" i="7"/>
  <c r="AT153" i="7"/>
  <c r="AS153" i="7"/>
  <c r="AR153" i="7"/>
  <c r="AQ153" i="7"/>
  <c r="AP153" i="7"/>
  <c r="AO153" i="7"/>
  <c r="AN153" i="7"/>
  <c r="AM153" i="7"/>
  <c r="AL153" i="7"/>
  <c r="AK153" i="7"/>
  <c r="AJ153" i="7"/>
  <c r="AI153" i="7"/>
  <c r="AH153" i="7"/>
  <c r="AG153" i="7"/>
  <c r="AF153" i="7"/>
  <c r="AE153" i="7"/>
  <c r="AD153" i="7"/>
  <c r="AC153" i="7"/>
  <c r="AB153" i="7"/>
  <c r="AA153" i="7"/>
  <c r="Z153" i="7"/>
  <c r="Y153" i="7"/>
  <c r="X153" i="7"/>
  <c r="W153" i="7"/>
  <c r="V153" i="7"/>
  <c r="U153" i="7"/>
  <c r="T153" i="7"/>
  <c r="S153" i="7"/>
  <c r="R153" i="7"/>
  <c r="Q153" i="7"/>
  <c r="P153" i="7"/>
  <c r="O153" i="7"/>
  <c r="N153" i="7"/>
  <c r="M153" i="7"/>
  <c r="L153" i="7"/>
  <c r="K153" i="7"/>
  <c r="J153" i="7"/>
  <c r="I153" i="7"/>
  <c r="H153" i="7"/>
  <c r="G153" i="7"/>
  <c r="F153" i="7"/>
  <c r="E153" i="7"/>
  <c r="D153" i="7"/>
  <c r="C153" i="7"/>
  <c r="CF152" i="7"/>
  <c r="CE152" i="7"/>
  <c r="CD152" i="7"/>
  <c r="CC152" i="7"/>
  <c r="CB152" i="7"/>
  <c r="CA152" i="7"/>
  <c r="BZ152" i="7"/>
  <c r="BY152" i="7"/>
  <c r="BX152" i="7"/>
  <c r="BW152" i="7"/>
  <c r="BV152" i="7"/>
  <c r="BU152" i="7"/>
  <c r="BT152" i="7"/>
  <c r="BS152" i="7"/>
  <c r="BR152" i="7"/>
  <c r="BQ152" i="7"/>
  <c r="BP152" i="7"/>
  <c r="BO152" i="7"/>
  <c r="BN152" i="7"/>
  <c r="BM152" i="7"/>
  <c r="BL152" i="7"/>
  <c r="BK152" i="7"/>
  <c r="BJ152" i="7"/>
  <c r="BI152" i="7"/>
  <c r="BH152" i="7"/>
  <c r="BG152" i="7"/>
  <c r="BF152" i="7"/>
  <c r="BE152" i="7"/>
  <c r="BD152" i="7"/>
  <c r="BC152" i="7"/>
  <c r="BB152" i="7"/>
  <c r="BA152" i="7"/>
  <c r="AZ152" i="7"/>
  <c r="AY152" i="7"/>
  <c r="AX152" i="7"/>
  <c r="AW152" i="7"/>
  <c r="AV152" i="7"/>
  <c r="AU152" i="7"/>
  <c r="AT152" i="7"/>
  <c r="AS152" i="7"/>
  <c r="AR152" i="7"/>
  <c r="AQ152" i="7"/>
  <c r="AP152" i="7"/>
  <c r="AO152" i="7"/>
  <c r="AN152" i="7"/>
  <c r="AM152" i="7"/>
  <c r="AL152" i="7"/>
  <c r="AK152" i="7"/>
  <c r="AJ152" i="7"/>
  <c r="AI152" i="7"/>
  <c r="AH152" i="7"/>
  <c r="AG152" i="7"/>
  <c r="AF152" i="7"/>
  <c r="AE152" i="7"/>
  <c r="AD152" i="7"/>
  <c r="AC152" i="7"/>
  <c r="AB152" i="7"/>
  <c r="AA152" i="7"/>
  <c r="Z152" i="7"/>
  <c r="Y152" i="7"/>
  <c r="X152" i="7"/>
  <c r="W152" i="7"/>
  <c r="V152" i="7"/>
  <c r="U152" i="7"/>
  <c r="T152" i="7"/>
  <c r="S152" i="7"/>
  <c r="R152" i="7"/>
  <c r="Q152" i="7"/>
  <c r="P152" i="7"/>
  <c r="O152" i="7"/>
  <c r="N152" i="7"/>
  <c r="M152" i="7"/>
  <c r="L152" i="7"/>
  <c r="K152" i="7"/>
  <c r="J152" i="7"/>
  <c r="I152" i="7"/>
  <c r="H152" i="7"/>
  <c r="G152" i="7"/>
  <c r="F152" i="7"/>
  <c r="E152" i="7"/>
  <c r="D152" i="7"/>
  <c r="C152" i="7"/>
  <c r="CG152" i="7" s="1"/>
  <c r="CF151" i="7"/>
  <c r="CE151" i="7"/>
  <c r="CD151" i="7"/>
  <c r="CC151" i="7"/>
  <c r="CB151" i="7"/>
  <c r="CA151" i="7"/>
  <c r="BZ151" i="7"/>
  <c r="BY151" i="7"/>
  <c r="BX151" i="7"/>
  <c r="BW151" i="7"/>
  <c r="BV151" i="7"/>
  <c r="BU151" i="7"/>
  <c r="BT151" i="7"/>
  <c r="BS151" i="7"/>
  <c r="BR151" i="7"/>
  <c r="BQ151" i="7"/>
  <c r="BP151" i="7"/>
  <c r="BO151" i="7"/>
  <c r="BN151" i="7"/>
  <c r="BM151" i="7"/>
  <c r="BL151" i="7"/>
  <c r="BK151" i="7"/>
  <c r="BJ151" i="7"/>
  <c r="BI151" i="7"/>
  <c r="BH151" i="7"/>
  <c r="BG151" i="7"/>
  <c r="BF151" i="7"/>
  <c r="BE151" i="7"/>
  <c r="BD151" i="7"/>
  <c r="BC151" i="7"/>
  <c r="BB151" i="7"/>
  <c r="BA151" i="7"/>
  <c r="AZ151" i="7"/>
  <c r="AY151" i="7"/>
  <c r="AX151" i="7"/>
  <c r="AW151" i="7"/>
  <c r="AV151" i="7"/>
  <c r="AU151" i="7"/>
  <c r="AT151" i="7"/>
  <c r="AS151" i="7"/>
  <c r="AR151" i="7"/>
  <c r="AQ151" i="7"/>
  <c r="AP151" i="7"/>
  <c r="AO151" i="7"/>
  <c r="AN151" i="7"/>
  <c r="AM151" i="7"/>
  <c r="AL151" i="7"/>
  <c r="AK151" i="7"/>
  <c r="AJ151" i="7"/>
  <c r="AI151" i="7"/>
  <c r="AH151" i="7"/>
  <c r="AG151" i="7"/>
  <c r="AF151" i="7"/>
  <c r="AE151" i="7"/>
  <c r="AD151" i="7"/>
  <c r="AC151" i="7"/>
  <c r="AB151" i="7"/>
  <c r="AA151" i="7"/>
  <c r="Z151" i="7"/>
  <c r="Y151" i="7"/>
  <c r="X151" i="7"/>
  <c r="W151" i="7"/>
  <c r="V151" i="7"/>
  <c r="U151" i="7"/>
  <c r="T151" i="7"/>
  <c r="S151" i="7"/>
  <c r="R151" i="7"/>
  <c r="Q151" i="7"/>
  <c r="P151" i="7"/>
  <c r="O151" i="7"/>
  <c r="N151" i="7"/>
  <c r="M151" i="7"/>
  <c r="L151" i="7"/>
  <c r="K151" i="7"/>
  <c r="J151" i="7"/>
  <c r="I151" i="7"/>
  <c r="H151" i="7"/>
  <c r="G151" i="7"/>
  <c r="F151" i="7"/>
  <c r="E151" i="7"/>
  <c r="D151" i="7"/>
  <c r="C151" i="7"/>
  <c r="CG151" i="7" s="1"/>
  <c r="CF150" i="7"/>
  <c r="CE150" i="7"/>
  <c r="CD150" i="7"/>
  <c r="CC150" i="7"/>
  <c r="CB150" i="7"/>
  <c r="CA150" i="7"/>
  <c r="BZ150" i="7"/>
  <c r="BY150" i="7"/>
  <c r="BX150" i="7"/>
  <c r="BW150" i="7"/>
  <c r="BV150" i="7"/>
  <c r="BU150" i="7"/>
  <c r="BT150" i="7"/>
  <c r="BS150" i="7"/>
  <c r="BR150" i="7"/>
  <c r="BQ150" i="7"/>
  <c r="BP150" i="7"/>
  <c r="BO150" i="7"/>
  <c r="BN150" i="7"/>
  <c r="BM150" i="7"/>
  <c r="BL150" i="7"/>
  <c r="BK150" i="7"/>
  <c r="BJ150" i="7"/>
  <c r="BI150" i="7"/>
  <c r="BH150" i="7"/>
  <c r="BG150" i="7"/>
  <c r="BF150" i="7"/>
  <c r="BE150" i="7"/>
  <c r="BD150" i="7"/>
  <c r="BC150" i="7"/>
  <c r="BB150" i="7"/>
  <c r="BA150" i="7"/>
  <c r="AZ150" i="7"/>
  <c r="AY150" i="7"/>
  <c r="AX150" i="7"/>
  <c r="AW150" i="7"/>
  <c r="AV150" i="7"/>
  <c r="AU150" i="7"/>
  <c r="AT150" i="7"/>
  <c r="AS150" i="7"/>
  <c r="AR150" i="7"/>
  <c r="AQ150" i="7"/>
  <c r="AP150" i="7"/>
  <c r="AO150" i="7"/>
  <c r="AN150" i="7"/>
  <c r="AM150" i="7"/>
  <c r="AL150" i="7"/>
  <c r="AK150" i="7"/>
  <c r="AJ150" i="7"/>
  <c r="AI150" i="7"/>
  <c r="AH150" i="7"/>
  <c r="AG150" i="7"/>
  <c r="AF150" i="7"/>
  <c r="AE150" i="7"/>
  <c r="AD150" i="7"/>
  <c r="AC150" i="7"/>
  <c r="AB150" i="7"/>
  <c r="AA150" i="7"/>
  <c r="Z150" i="7"/>
  <c r="Y150" i="7"/>
  <c r="X150" i="7"/>
  <c r="W150" i="7"/>
  <c r="V150" i="7"/>
  <c r="U150" i="7"/>
  <c r="T150" i="7"/>
  <c r="S150" i="7"/>
  <c r="R150" i="7"/>
  <c r="Q150" i="7"/>
  <c r="P150" i="7"/>
  <c r="O150" i="7"/>
  <c r="N150" i="7"/>
  <c r="M150" i="7"/>
  <c r="L150" i="7"/>
  <c r="K150" i="7"/>
  <c r="J150" i="7"/>
  <c r="I150" i="7"/>
  <c r="H150" i="7"/>
  <c r="G150" i="7"/>
  <c r="F150" i="7"/>
  <c r="E150" i="7"/>
  <c r="D150" i="7"/>
  <c r="C150" i="7"/>
  <c r="CF149" i="7"/>
  <c r="CE149" i="7"/>
  <c r="CD149" i="7"/>
  <c r="CC149" i="7"/>
  <c r="CB149" i="7"/>
  <c r="CA149" i="7"/>
  <c r="BZ149" i="7"/>
  <c r="BY149" i="7"/>
  <c r="BX149" i="7"/>
  <c r="BW149" i="7"/>
  <c r="BV149" i="7"/>
  <c r="BU149" i="7"/>
  <c r="BT149" i="7"/>
  <c r="BS149" i="7"/>
  <c r="BR149" i="7"/>
  <c r="BQ149" i="7"/>
  <c r="BP149" i="7"/>
  <c r="BO149" i="7"/>
  <c r="BN149" i="7"/>
  <c r="BM149" i="7"/>
  <c r="BL149" i="7"/>
  <c r="BK149" i="7"/>
  <c r="BJ149" i="7"/>
  <c r="BI149" i="7"/>
  <c r="BH149" i="7"/>
  <c r="BG149" i="7"/>
  <c r="BF149" i="7"/>
  <c r="BE149" i="7"/>
  <c r="BD149" i="7"/>
  <c r="BC149" i="7"/>
  <c r="BB149" i="7"/>
  <c r="BA149" i="7"/>
  <c r="AZ149" i="7"/>
  <c r="AY149" i="7"/>
  <c r="AX149" i="7"/>
  <c r="AW149" i="7"/>
  <c r="AV149" i="7"/>
  <c r="AU149" i="7"/>
  <c r="AT149" i="7"/>
  <c r="AS149" i="7"/>
  <c r="AR149" i="7"/>
  <c r="AQ149" i="7"/>
  <c r="AP149" i="7"/>
  <c r="AO149" i="7"/>
  <c r="AN149" i="7"/>
  <c r="AM149" i="7"/>
  <c r="AL149" i="7"/>
  <c r="AK149" i="7"/>
  <c r="AJ149" i="7"/>
  <c r="AI149" i="7"/>
  <c r="AH149" i="7"/>
  <c r="AG149" i="7"/>
  <c r="AF149" i="7"/>
  <c r="AE149" i="7"/>
  <c r="AD149" i="7"/>
  <c r="AC149" i="7"/>
  <c r="AB149" i="7"/>
  <c r="AA149" i="7"/>
  <c r="Z149" i="7"/>
  <c r="Y149" i="7"/>
  <c r="X149" i="7"/>
  <c r="W149" i="7"/>
  <c r="V149" i="7"/>
  <c r="U149" i="7"/>
  <c r="T149" i="7"/>
  <c r="S149" i="7"/>
  <c r="R149" i="7"/>
  <c r="Q149" i="7"/>
  <c r="P149" i="7"/>
  <c r="O149" i="7"/>
  <c r="N149" i="7"/>
  <c r="M149" i="7"/>
  <c r="L149" i="7"/>
  <c r="K149" i="7"/>
  <c r="J149" i="7"/>
  <c r="I149" i="7"/>
  <c r="H149" i="7"/>
  <c r="G149" i="7"/>
  <c r="F149" i="7"/>
  <c r="E149" i="7"/>
  <c r="D149" i="7"/>
  <c r="C149" i="7"/>
  <c r="CG149" i="7" s="1"/>
  <c r="CF148" i="7"/>
  <c r="CE148" i="7"/>
  <c r="CD148" i="7"/>
  <c r="CC148" i="7"/>
  <c r="CB148" i="7"/>
  <c r="CA148" i="7"/>
  <c r="BZ148" i="7"/>
  <c r="BY148" i="7"/>
  <c r="BX148" i="7"/>
  <c r="BW148" i="7"/>
  <c r="BV148" i="7"/>
  <c r="BU148" i="7"/>
  <c r="BT148" i="7"/>
  <c r="BS148" i="7"/>
  <c r="BR148" i="7"/>
  <c r="BQ148" i="7"/>
  <c r="BP148" i="7"/>
  <c r="BO148" i="7"/>
  <c r="BN148" i="7"/>
  <c r="BM148" i="7"/>
  <c r="BL148" i="7"/>
  <c r="BK148" i="7"/>
  <c r="BJ148" i="7"/>
  <c r="BI148" i="7"/>
  <c r="BH148" i="7"/>
  <c r="BG148" i="7"/>
  <c r="BF148" i="7"/>
  <c r="BE148" i="7"/>
  <c r="BD148" i="7"/>
  <c r="BC148" i="7"/>
  <c r="BB148" i="7"/>
  <c r="BA148" i="7"/>
  <c r="AZ148" i="7"/>
  <c r="AY148" i="7"/>
  <c r="AX148" i="7"/>
  <c r="AW148" i="7"/>
  <c r="AV148" i="7"/>
  <c r="AU148" i="7"/>
  <c r="AT148" i="7"/>
  <c r="AS148" i="7"/>
  <c r="AR148" i="7"/>
  <c r="AQ148" i="7"/>
  <c r="AP148" i="7"/>
  <c r="AO148" i="7"/>
  <c r="AN148" i="7"/>
  <c r="AM148" i="7"/>
  <c r="AL148" i="7"/>
  <c r="AK148" i="7"/>
  <c r="AJ148" i="7"/>
  <c r="AI148" i="7"/>
  <c r="AH148" i="7"/>
  <c r="AG148" i="7"/>
  <c r="AF148" i="7"/>
  <c r="AE148" i="7"/>
  <c r="AD148" i="7"/>
  <c r="AC148" i="7"/>
  <c r="AB148" i="7"/>
  <c r="AA148" i="7"/>
  <c r="Z148" i="7"/>
  <c r="Y148" i="7"/>
  <c r="X148" i="7"/>
  <c r="W148" i="7"/>
  <c r="V148" i="7"/>
  <c r="U148" i="7"/>
  <c r="T148" i="7"/>
  <c r="S148" i="7"/>
  <c r="R148" i="7"/>
  <c r="Q148" i="7"/>
  <c r="P148" i="7"/>
  <c r="O148" i="7"/>
  <c r="N148" i="7"/>
  <c r="M148" i="7"/>
  <c r="L148" i="7"/>
  <c r="K148" i="7"/>
  <c r="J148" i="7"/>
  <c r="I148" i="7"/>
  <c r="H148" i="7"/>
  <c r="G148" i="7"/>
  <c r="F148" i="7"/>
  <c r="E148" i="7"/>
  <c r="D148" i="7"/>
  <c r="C148" i="7"/>
  <c r="CG148" i="7" s="1"/>
  <c r="CF147" i="7"/>
  <c r="CE147" i="7"/>
  <c r="CD147" i="7"/>
  <c r="CC147" i="7"/>
  <c r="CB147" i="7"/>
  <c r="CA147" i="7"/>
  <c r="BZ147" i="7"/>
  <c r="BY147" i="7"/>
  <c r="BX147" i="7"/>
  <c r="BW147" i="7"/>
  <c r="BV147" i="7"/>
  <c r="BU147" i="7"/>
  <c r="BT147" i="7"/>
  <c r="BS147" i="7"/>
  <c r="BR147" i="7"/>
  <c r="BQ147" i="7"/>
  <c r="BP147" i="7"/>
  <c r="BO147" i="7"/>
  <c r="BN147" i="7"/>
  <c r="BM147" i="7"/>
  <c r="BL147" i="7"/>
  <c r="BK147" i="7"/>
  <c r="BJ147" i="7"/>
  <c r="BI147" i="7"/>
  <c r="BH147" i="7"/>
  <c r="BG147" i="7"/>
  <c r="BF147" i="7"/>
  <c r="BE147" i="7"/>
  <c r="BD147" i="7"/>
  <c r="BC147" i="7"/>
  <c r="BB147" i="7"/>
  <c r="BA147" i="7"/>
  <c r="AZ147" i="7"/>
  <c r="AY147" i="7"/>
  <c r="AX147" i="7"/>
  <c r="AW147" i="7"/>
  <c r="AV147" i="7"/>
  <c r="AU147" i="7"/>
  <c r="AT147" i="7"/>
  <c r="AS147" i="7"/>
  <c r="AR147" i="7"/>
  <c r="AQ147" i="7"/>
  <c r="AP147" i="7"/>
  <c r="AO147" i="7"/>
  <c r="AN147" i="7"/>
  <c r="AM147" i="7"/>
  <c r="AL147" i="7"/>
  <c r="AK147" i="7"/>
  <c r="AJ147" i="7"/>
  <c r="AI147" i="7"/>
  <c r="AH147" i="7"/>
  <c r="AG147" i="7"/>
  <c r="AF147" i="7"/>
  <c r="AE147" i="7"/>
  <c r="AD147" i="7"/>
  <c r="AC147" i="7"/>
  <c r="AB147" i="7"/>
  <c r="AA147" i="7"/>
  <c r="Z147" i="7"/>
  <c r="Y147" i="7"/>
  <c r="X147" i="7"/>
  <c r="W147" i="7"/>
  <c r="V147" i="7"/>
  <c r="U147" i="7"/>
  <c r="T147" i="7"/>
  <c r="S147" i="7"/>
  <c r="R147" i="7"/>
  <c r="Q147" i="7"/>
  <c r="P147" i="7"/>
  <c r="O147" i="7"/>
  <c r="N147" i="7"/>
  <c r="M147" i="7"/>
  <c r="L147" i="7"/>
  <c r="K147" i="7"/>
  <c r="J147" i="7"/>
  <c r="I147" i="7"/>
  <c r="H147" i="7"/>
  <c r="G147" i="7"/>
  <c r="F147" i="7"/>
  <c r="E147" i="7"/>
  <c r="D147" i="7"/>
  <c r="C147" i="7"/>
  <c r="CG147" i="7" s="1"/>
  <c r="CF146" i="7"/>
  <c r="CE146" i="7"/>
  <c r="CD146" i="7"/>
  <c r="CC146" i="7"/>
  <c r="CB146" i="7"/>
  <c r="CA146" i="7"/>
  <c r="BZ146" i="7"/>
  <c r="BY146" i="7"/>
  <c r="BX146" i="7"/>
  <c r="BW146" i="7"/>
  <c r="BV146" i="7"/>
  <c r="BU146" i="7"/>
  <c r="BT146" i="7"/>
  <c r="BS146" i="7"/>
  <c r="BR146" i="7"/>
  <c r="BQ146" i="7"/>
  <c r="BP146" i="7"/>
  <c r="BO146" i="7"/>
  <c r="BN146" i="7"/>
  <c r="BM146" i="7"/>
  <c r="BL146" i="7"/>
  <c r="BK146" i="7"/>
  <c r="BJ146" i="7"/>
  <c r="BI146" i="7"/>
  <c r="BH146" i="7"/>
  <c r="BG146" i="7"/>
  <c r="BF146" i="7"/>
  <c r="BE146" i="7"/>
  <c r="BD146" i="7"/>
  <c r="BC146" i="7"/>
  <c r="BB146" i="7"/>
  <c r="BA146" i="7"/>
  <c r="AZ146" i="7"/>
  <c r="AY146" i="7"/>
  <c r="AX146" i="7"/>
  <c r="AW146" i="7"/>
  <c r="AV146" i="7"/>
  <c r="AU146" i="7"/>
  <c r="AT146" i="7"/>
  <c r="AS146" i="7"/>
  <c r="AR146" i="7"/>
  <c r="AQ146" i="7"/>
  <c r="AP146" i="7"/>
  <c r="AO146" i="7"/>
  <c r="AN146" i="7"/>
  <c r="AM146" i="7"/>
  <c r="AL146" i="7"/>
  <c r="AK146" i="7"/>
  <c r="AJ146" i="7"/>
  <c r="AI146" i="7"/>
  <c r="AH146" i="7"/>
  <c r="AG146" i="7"/>
  <c r="AF146" i="7"/>
  <c r="AE146" i="7"/>
  <c r="AD146" i="7"/>
  <c r="AC146" i="7"/>
  <c r="AB146" i="7"/>
  <c r="AA146" i="7"/>
  <c r="Z146" i="7"/>
  <c r="Y146" i="7"/>
  <c r="X146" i="7"/>
  <c r="W146" i="7"/>
  <c r="V146" i="7"/>
  <c r="U146" i="7"/>
  <c r="T146" i="7"/>
  <c r="S146" i="7"/>
  <c r="R146" i="7"/>
  <c r="Q146" i="7"/>
  <c r="P146" i="7"/>
  <c r="O146" i="7"/>
  <c r="N146" i="7"/>
  <c r="M146" i="7"/>
  <c r="L146" i="7"/>
  <c r="K146" i="7"/>
  <c r="J146" i="7"/>
  <c r="I146" i="7"/>
  <c r="H146" i="7"/>
  <c r="G146" i="7"/>
  <c r="F146" i="7"/>
  <c r="E146" i="7"/>
  <c r="D146" i="7"/>
  <c r="C146" i="7"/>
  <c r="CG146" i="7" s="1"/>
  <c r="CF145" i="7"/>
  <c r="CE145" i="7"/>
  <c r="CD145" i="7"/>
  <c r="CC145" i="7"/>
  <c r="CB145" i="7"/>
  <c r="CA145" i="7"/>
  <c r="BZ145" i="7"/>
  <c r="BY145" i="7"/>
  <c r="BX145" i="7"/>
  <c r="BW145" i="7"/>
  <c r="BV145" i="7"/>
  <c r="BU145" i="7"/>
  <c r="BT145" i="7"/>
  <c r="BS145" i="7"/>
  <c r="BR145" i="7"/>
  <c r="BQ145" i="7"/>
  <c r="BP145" i="7"/>
  <c r="BO145" i="7"/>
  <c r="BN145" i="7"/>
  <c r="BM145" i="7"/>
  <c r="BL145" i="7"/>
  <c r="BK145" i="7"/>
  <c r="BJ145" i="7"/>
  <c r="BI145" i="7"/>
  <c r="BH145" i="7"/>
  <c r="BG145" i="7"/>
  <c r="BF145" i="7"/>
  <c r="BE145" i="7"/>
  <c r="BD145" i="7"/>
  <c r="BC145" i="7"/>
  <c r="BB145" i="7"/>
  <c r="BA145" i="7"/>
  <c r="AZ145" i="7"/>
  <c r="AY145" i="7"/>
  <c r="AX145" i="7"/>
  <c r="AW145" i="7"/>
  <c r="AV145" i="7"/>
  <c r="AU145" i="7"/>
  <c r="AT145" i="7"/>
  <c r="AS145" i="7"/>
  <c r="AR145" i="7"/>
  <c r="AQ145" i="7"/>
  <c r="AP145" i="7"/>
  <c r="AO145" i="7"/>
  <c r="AN145" i="7"/>
  <c r="AM145" i="7"/>
  <c r="AL145" i="7"/>
  <c r="AK145" i="7"/>
  <c r="AJ145" i="7"/>
  <c r="AI145" i="7"/>
  <c r="AH145" i="7"/>
  <c r="AG145" i="7"/>
  <c r="AF145" i="7"/>
  <c r="AE145" i="7"/>
  <c r="AD145" i="7"/>
  <c r="AC145" i="7"/>
  <c r="AB145" i="7"/>
  <c r="AA145" i="7"/>
  <c r="Z145" i="7"/>
  <c r="Y145" i="7"/>
  <c r="X145" i="7"/>
  <c r="W145" i="7"/>
  <c r="V145" i="7"/>
  <c r="U145" i="7"/>
  <c r="T145" i="7"/>
  <c r="S145" i="7"/>
  <c r="CG145" i="7" s="1"/>
  <c r="R145" i="7"/>
  <c r="Q145" i="7"/>
  <c r="P145" i="7"/>
  <c r="O145" i="7"/>
  <c r="N145" i="7"/>
  <c r="M145" i="7"/>
  <c r="L145" i="7"/>
  <c r="K145" i="7"/>
  <c r="J145" i="7"/>
  <c r="I145" i="7"/>
  <c r="H145" i="7"/>
  <c r="G145" i="7"/>
  <c r="F145" i="7"/>
  <c r="E145" i="7"/>
  <c r="D145" i="7"/>
  <c r="C145" i="7"/>
  <c r="CF144" i="7"/>
  <c r="CE144" i="7"/>
  <c r="CD144" i="7"/>
  <c r="CC144" i="7"/>
  <c r="CB144" i="7"/>
  <c r="CA144" i="7"/>
  <c r="BZ144" i="7"/>
  <c r="BY144" i="7"/>
  <c r="BX144" i="7"/>
  <c r="BW144" i="7"/>
  <c r="BV144" i="7"/>
  <c r="BU144" i="7"/>
  <c r="BT144" i="7"/>
  <c r="BS144" i="7"/>
  <c r="BR144" i="7"/>
  <c r="BQ144" i="7"/>
  <c r="BP144" i="7"/>
  <c r="BO144" i="7"/>
  <c r="BN144" i="7"/>
  <c r="BM144" i="7"/>
  <c r="BL144" i="7"/>
  <c r="BK144" i="7"/>
  <c r="BJ144" i="7"/>
  <c r="BI144" i="7"/>
  <c r="BH144" i="7"/>
  <c r="BG144" i="7"/>
  <c r="BF144" i="7"/>
  <c r="BE144" i="7"/>
  <c r="BD144" i="7"/>
  <c r="BC144" i="7"/>
  <c r="BB144" i="7"/>
  <c r="BA144" i="7"/>
  <c r="AZ144" i="7"/>
  <c r="AY144" i="7"/>
  <c r="AX144" i="7"/>
  <c r="AW144" i="7"/>
  <c r="AV144" i="7"/>
  <c r="AU144" i="7"/>
  <c r="AT144" i="7"/>
  <c r="AS144" i="7"/>
  <c r="AR144" i="7"/>
  <c r="AQ144" i="7"/>
  <c r="AP144" i="7"/>
  <c r="AO144" i="7"/>
  <c r="AN144" i="7"/>
  <c r="AM144" i="7"/>
  <c r="AL144" i="7"/>
  <c r="AK144" i="7"/>
  <c r="AJ144" i="7"/>
  <c r="AI144" i="7"/>
  <c r="AH144" i="7"/>
  <c r="AG144" i="7"/>
  <c r="AF144" i="7"/>
  <c r="AE144" i="7"/>
  <c r="AD144" i="7"/>
  <c r="AC144" i="7"/>
  <c r="AB144" i="7"/>
  <c r="AA144" i="7"/>
  <c r="Z144" i="7"/>
  <c r="Y144" i="7"/>
  <c r="X144" i="7"/>
  <c r="W144" i="7"/>
  <c r="V144" i="7"/>
  <c r="U144" i="7"/>
  <c r="T144" i="7"/>
  <c r="S144" i="7"/>
  <c r="R144" i="7"/>
  <c r="Q144" i="7"/>
  <c r="P144" i="7"/>
  <c r="O144" i="7"/>
  <c r="N144" i="7"/>
  <c r="M144" i="7"/>
  <c r="L144" i="7"/>
  <c r="K144" i="7"/>
  <c r="J144" i="7"/>
  <c r="I144" i="7"/>
  <c r="H144" i="7"/>
  <c r="G144" i="7"/>
  <c r="F144" i="7"/>
  <c r="E144" i="7"/>
  <c r="D144" i="7"/>
  <c r="C144" i="7"/>
  <c r="CG144" i="7" s="1"/>
  <c r="CF143" i="7"/>
  <c r="CE143" i="7"/>
  <c r="CD143" i="7"/>
  <c r="CC143" i="7"/>
  <c r="CB143" i="7"/>
  <c r="CA143" i="7"/>
  <c r="BZ143" i="7"/>
  <c r="BY143" i="7"/>
  <c r="BX143" i="7"/>
  <c r="BW143" i="7"/>
  <c r="BV143" i="7"/>
  <c r="BU143" i="7"/>
  <c r="BT143" i="7"/>
  <c r="BS143" i="7"/>
  <c r="BR143" i="7"/>
  <c r="BQ143" i="7"/>
  <c r="BP143" i="7"/>
  <c r="BO143" i="7"/>
  <c r="BN143" i="7"/>
  <c r="BM143" i="7"/>
  <c r="BL143" i="7"/>
  <c r="BK143" i="7"/>
  <c r="BJ143" i="7"/>
  <c r="BI143" i="7"/>
  <c r="BH143" i="7"/>
  <c r="BG143" i="7"/>
  <c r="BF143" i="7"/>
  <c r="BE143" i="7"/>
  <c r="BD143" i="7"/>
  <c r="BC143" i="7"/>
  <c r="BB143" i="7"/>
  <c r="BA143" i="7"/>
  <c r="AZ143" i="7"/>
  <c r="AY143" i="7"/>
  <c r="AX143" i="7"/>
  <c r="AW143" i="7"/>
  <c r="AV143" i="7"/>
  <c r="AU143" i="7"/>
  <c r="AT143" i="7"/>
  <c r="AS143" i="7"/>
  <c r="AR143" i="7"/>
  <c r="AQ143" i="7"/>
  <c r="AP143" i="7"/>
  <c r="AO143" i="7"/>
  <c r="AN143" i="7"/>
  <c r="AM143" i="7"/>
  <c r="AL143" i="7"/>
  <c r="AK143" i="7"/>
  <c r="AJ143" i="7"/>
  <c r="AI143" i="7"/>
  <c r="AH143" i="7"/>
  <c r="AG143" i="7"/>
  <c r="AF143" i="7"/>
  <c r="AE143" i="7"/>
  <c r="AD143" i="7"/>
  <c r="AC143" i="7"/>
  <c r="AB143" i="7"/>
  <c r="AA143" i="7"/>
  <c r="Z143" i="7"/>
  <c r="Y143" i="7"/>
  <c r="X143" i="7"/>
  <c r="W143" i="7"/>
  <c r="V143" i="7"/>
  <c r="U143" i="7"/>
  <c r="T143" i="7"/>
  <c r="S143" i="7"/>
  <c r="R143" i="7"/>
  <c r="Q143" i="7"/>
  <c r="P143" i="7"/>
  <c r="O143" i="7"/>
  <c r="N143" i="7"/>
  <c r="M143" i="7"/>
  <c r="L143" i="7"/>
  <c r="K143" i="7"/>
  <c r="J143" i="7"/>
  <c r="I143" i="7"/>
  <c r="H143" i="7"/>
  <c r="G143" i="7"/>
  <c r="F143" i="7"/>
  <c r="E143" i="7"/>
  <c r="D143" i="7"/>
  <c r="C143" i="7"/>
  <c r="CG143" i="7" s="1"/>
  <c r="CF142" i="7"/>
  <c r="CE142" i="7"/>
  <c r="CD142" i="7"/>
  <c r="CC142" i="7"/>
  <c r="CB142" i="7"/>
  <c r="CA142" i="7"/>
  <c r="BZ142" i="7"/>
  <c r="BY142" i="7"/>
  <c r="BX142" i="7"/>
  <c r="BW142" i="7"/>
  <c r="BV142" i="7"/>
  <c r="BU142" i="7"/>
  <c r="BT142" i="7"/>
  <c r="BS142" i="7"/>
  <c r="BR142" i="7"/>
  <c r="BQ142" i="7"/>
  <c r="BP142" i="7"/>
  <c r="BO142" i="7"/>
  <c r="BN142" i="7"/>
  <c r="BM142" i="7"/>
  <c r="BL142" i="7"/>
  <c r="BK142" i="7"/>
  <c r="BJ142" i="7"/>
  <c r="BI142" i="7"/>
  <c r="BH142" i="7"/>
  <c r="BG142" i="7"/>
  <c r="BF142" i="7"/>
  <c r="BE142" i="7"/>
  <c r="BD142" i="7"/>
  <c r="BC142" i="7"/>
  <c r="BB142" i="7"/>
  <c r="BA142" i="7"/>
  <c r="AZ142" i="7"/>
  <c r="AY142" i="7"/>
  <c r="AX142" i="7"/>
  <c r="AW142" i="7"/>
  <c r="AV142" i="7"/>
  <c r="AU142" i="7"/>
  <c r="AT142" i="7"/>
  <c r="AS142" i="7"/>
  <c r="AR142" i="7"/>
  <c r="AQ142" i="7"/>
  <c r="AP142" i="7"/>
  <c r="AO142" i="7"/>
  <c r="AN142" i="7"/>
  <c r="AM142" i="7"/>
  <c r="AL142" i="7"/>
  <c r="AK142" i="7"/>
  <c r="AJ142" i="7"/>
  <c r="AI142" i="7"/>
  <c r="AH142" i="7"/>
  <c r="AG142" i="7"/>
  <c r="AF142" i="7"/>
  <c r="AE142" i="7"/>
  <c r="AD142" i="7"/>
  <c r="AC142" i="7"/>
  <c r="AB142" i="7"/>
  <c r="AA142" i="7"/>
  <c r="Z142" i="7"/>
  <c r="Y142" i="7"/>
  <c r="X142" i="7"/>
  <c r="W142" i="7"/>
  <c r="V142" i="7"/>
  <c r="U142" i="7"/>
  <c r="T142" i="7"/>
  <c r="S142" i="7"/>
  <c r="R142" i="7"/>
  <c r="Q142" i="7"/>
  <c r="P142" i="7"/>
  <c r="O142" i="7"/>
  <c r="N142" i="7"/>
  <c r="M142" i="7"/>
  <c r="L142" i="7"/>
  <c r="K142" i="7"/>
  <c r="J142" i="7"/>
  <c r="I142" i="7"/>
  <c r="H142" i="7"/>
  <c r="G142" i="7"/>
  <c r="F142" i="7"/>
  <c r="E142" i="7"/>
  <c r="D142" i="7"/>
  <c r="C142" i="7"/>
  <c r="CG142" i="7" s="1"/>
  <c r="CF141" i="7"/>
  <c r="CE141" i="7"/>
  <c r="CD141" i="7"/>
  <c r="CC141" i="7"/>
  <c r="CB141" i="7"/>
  <c r="CA141" i="7"/>
  <c r="BZ141" i="7"/>
  <c r="BY141" i="7"/>
  <c r="BX141" i="7"/>
  <c r="BW141" i="7"/>
  <c r="BV141" i="7"/>
  <c r="BU141" i="7"/>
  <c r="BT141" i="7"/>
  <c r="BS141" i="7"/>
  <c r="BR141" i="7"/>
  <c r="BQ141" i="7"/>
  <c r="BP141" i="7"/>
  <c r="BO141" i="7"/>
  <c r="BN141" i="7"/>
  <c r="BM141" i="7"/>
  <c r="BL141" i="7"/>
  <c r="BK141" i="7"/>
  <c r="BJ141" i="7"/>
  <c r="BI141" i="7"/>
  <c r="BH141" i="7"/>
  <c r="BG141" i="7"/>
  <c r="BF141" i="7"/>
  <c r="BE141" i="7"/>
  <c r="BD141" i="7"/>
  <c r="BC141" i="7"/>
  <c r="BB141" i="7"/>
  <c r="BA141" i="7"/>
  <c r="AZ141" i="7"/>
  <c r="AY141" i="7"/>
  <c r="AX141" i="7"/>
  <c r="AW141" i="7"/>
  <c r="AV141" i="7"/>
  <c r="AU141" i="7"/>
  <c r="AT141" i="7"/>
  <c r="AS141" i="7"/>
  <c r="AR141" i="7"/>
  <c r="AQ141" i="7"/>
  <c r="AP141" i="7"/>
  <c r="AO141" i="7"/>
  <c r="AN141" i="7"/>
  <c r="AM141" i="7"/>
  <c r="AL141" i="7"/>
  <c r="AK141" i="7"/>
  <c r="AJ141" i="7"/>
  <c r="AI141" i="7"/>
  <c r="AH141" i="7"/>
  <c r="AG141" i="7"/>
  <c r="AF141" i="7"/>
  <c r="AE141" i="7"/>
  <c r="AD141" i="7"/>
  <c r="AC141" i="7"/>
  <c r="AB141" i="7"/>
  <c r="AA141" i="7"/>
  <c r="Z141" i="7"/>
  <c r="Y141" i="7"/>
  <c r="X141" i="7"/>
  <c r="W141" i="7"/>
  <c r="V141" i="7"/>
  <c r="U141" i="7"/>
  <c r="T141" i="7"/>
  <c r="S141" i="7"/>
  <c r="CG141" i="7" s="1"/>
  <c r="R141" i="7"/>
  <c r="Q141" i="7"/>
  <c r="P141" i="7"/>
  <c r="O141" i="7"/>
  <c r="N141" i="7"/>
  <c r="M141" i="7"/>
  <c r="L141" i="7"/>
  <c r="K141" i="7"/>
  <c r="J141" i="7"/>
  <c r="I141" i="7"/>
  <c r="H141" i="7"/>
  <c r="G141" i="7"/>
  <c r="F141" i="7"/>
  <c r="E141" i="7"/>
  <c r="D141" i="7"/>
  <c r="C141" i="7"/>
  <c r="CF140" i="7"/>
  <c r="CE140" i="7"/>
  <c r="CD140" i="7"/>
  <c r="CC140" i="7"/>
  <c r="CB140" i="7"/>
  <c r="CA140" i="7"/>
  <c r="BZ140" i="7"/>
  <c r="BY140" i="7"/>
  <c r="BX140" i="7"/>
  <c r="BW140" i="7"/>
  <c r="BV140" i="7"/>
  <c r="BU140" i="7"/>
  <c r="BT140" i="7"/>
  <c r="BS140" i="7"/>
  <c r="BR140" i="7"/>
  <c r="BQ140" i="7"/>
  <c r="BP140" i="7"/>
  <c r="BO140" i="7"/>
  <c r="BN140" i="7"/>
  <c r="BM140" i="7"/>
  <c r="BL140" i="7"/>
  <c r="BK140" i="7"/>
  <c r="BJ140" i="7"/>
  <c r="BI140" i="7"/>
  <c r="BH140" i="7"/>
  <c r="BG140" i="7"/>
  <c r="BF140" i="7"/>
  <c r="BE140" i="7"/>
  <c r="BD140" i="7"/>
  <c r="BC140" i="7"/>
  <c r="BB140" i="7"/>
  <c r="BA140" i="7"/>
  <c r="AZ140" i="7"/>
  <c r="AY140" i="7"/>
  <c r="AX140" i="7"/>
  <c r="AW140" i="7"/>
  <c r="AV140" i="7"/>
  <c r="AU140" i="7"/>
  <c r="AT140" i="7"/>
  <c r="AS140" i="7"/>
  <c r="AR140" i="7"/>
  <c r="AQ140" i="7"/>
  <c r="AP140" i="7"/>
  <c r="AO140" i="7"/>
  <c r="AN140" i="7"/>
  <c r="AM140" i="7"/>
  <c r="AL140" i="7"/>
  <c r="AK140" i="7"/>
  <c r="AJ140" i="7"/>
  <c r="AI140" i="7"/>
  <c r="AH140" i="7"/>
  <c r="AG140" i="7"/>
  <c r="AF140" i="7"/>
  <c r="AE140" i="7"/>
  <c r="AD140" i="7"/>
  <c r="AC140" i="7"/>
  <c r="AB140" i="7"/>
  <c r="AA140" i="7"/>
  <c r="Z140" i="7"/>
  <c r="Y140" i="7"/>
  <c r="X140" i="7"/>
  <c r="W140" i="7"/>
  <c r="V140" i="7"/>
  <c r="U140" i="7"/>
  <c r="T140" i="7"/>
  <c r="S140" i="7"/>
  <c r="R140" i="7"/>
  <c r="Q140" i="7"/>
  <c r="P140" i="7"/>
  <c r="O140" i="7"/>
  <c r="N140" i="7"/>
  <c r="M140" i="7"/>
  <c r="L140" i="7"/>
  <c r="K140" i="7"/>
  <c r="J140" i="7"/>
  <c r="I140" i="7"/>
  <c r="H140" i="7"/>
  <c r="G140" i="7"/>
  <c r="F140" i="7"/>
  <c r="E140" i="7"/>
  <c r="D140" i="7"/>
  <c r="CG140" i="7" s="1"/>
  <c r="C140" i="7"/>
  <c r="CF139" i="7"/>
  <c r="CE139" i="7"/>
  <c r="CD139" i="7"/>
  <c r="CC139" i="7"/>
  <c r="CB139" i="7"/>
  <c r="CA139" i="7"/>
  <c r="BZ139" i="7"/>
  <c r="BY139" i="7"/>
  <c r="BX139" i="7"/>
  <c r="BW139" i="7"/>
  <c r="BV139" i="7"/>
  <c r="BU139" i="7"/>
  <c r="BT139" i="7"/>
  <c r="BS139" i="7"/>
  <c r="BR139" i="7"/>
  <c r="BQ139" i="7"/>
  <c r="BP139" i="7"/>
  <c r="BO139" i="7"/>
  <c r="BN139" i="7"/>
  <c r="BM139" i="7"/>
  <c r="BL139" i="7"/>
  <c r="BK139" i="7"/>
  <c r="BJ139" i="7"/>
  <c r="BI139" i="7"/>
  <c r="BH139" i="7"/>
  <c r="BG139" i="7"/>
  <c r="BF139" i="7"/>
  <c r="BE139" i="7"/>
  <c r="BD139" i="7"/>
  <c r="BC139" i="7"/>
  <c r="BB139" i="7"/>
  <c r="BA139" i="7"/>
  <c r="AZ139" i="7"/>
  <c r="AY139" i="7"/>
  <c r="AX139" i="7"/>
  <c r="AW139" i="7"/>
  <c r="AV139" i="7"/>
  <c r="AU139" i="7"/>
  <c r="AT139" i="7"/>
  <c r="AS139" i="7"/>
  <c r="AR139" i="7"/>
  <c r="AQ139" i="7"/>
  <c r="AP139" i="7"/>
  <c r="AO139" i="7"/>
  <c r="AN139" i="7"/>
  <c r="AM139" i="7"/>
  <c r="AL139" i="7"/>
  <c r="AK139" i="7"/>
  <c r="AJ139" i="7"/>
  <c r="AI139" i="7"/>
  <c r="AH139" i="7"/>
  <c r="AG139" i="7"/>
  <c r="AF139" i="7"/>
  <c r="AE139" i="7"/>
  <c r="AD139" i="7"/>
  <c r="AC139" i="7"/>
  <c r="AB139" i="7"/>
  <c r="AA139" i="7"/>
  <c r="Z139" i="7"/>
  <c r="Y139" i="7"/>
  <c r="X139" i="7"/>
  <c r="W139" i="7"/>
  <c r="V139" i="7"/>
  <c r="U139" i="7"/>
  <c r="T139" i="7"/>
  <c r="S139" i="7"/>
  <c r="R139" i="7"/>
  <c r="Q139" i="7"/>
  <c r="P139" i="7"/>
  <c r="O139" i="7"/>
  <c r="N139" i="7"/>
  <c r="M139" i="7"/>
  <c r="L139" i="7"/>
  <c r="K139" i="7"/>
  <c r="J139" i="7"/>
  <c r="I139" i="7"/>
  <c r="H139" i="7"/>
  <c r="G139" i="7"/>
  <c r="F139" i="7"/>
  <c r="E139" i="7"/>
  <c r="D139" i="7"/>
  <c r="C139" i="7"/>
  <c r="CG139" i="7" s="1"/>
  <c r="CF138" i="7"/>
  <c r="CE138" i="7"/>
  <c r="CD138" i="7"/>
  <c r="CC138" i="7"/>
  <c r="CB138" i="7"/>
  <c r="CA138" i="7"/>
  <c r="BZ138" i="7"/>
  <c r="BY138" i="7"/>
  <c r="BX138" i="7"/>
  <c r="BW138" i="7"/>
  <c r="BV138" i="7"/>
  <c r="BU138" i="7"/>
  <c r="BT138" i="7"/>
  <c r="BS138" i="7"/>
  <c r="BR138" i="7"/>
  <c r="BQ138" i="7"/>
  <c r="BP138" i="7"/>
  <c r="BO138" i="7"/>
  <c r="BN138" i="7"/>
  <c r="BM138" i="7"/>
  <c r="BL138" i="7"/>
  <c r="BK138" i="7"/>
  <c r="BJ138" i="7"/>
  <c r="BI138" i="7"/>
  <c r="BH138" i="7"/>
  <c r="BG138" i="7"/>
  <c r="BF138" i="7"/>
  <c r="BE138" i="7"/>
  <c r="BD138" i="7"/>
  <c r="BC138" i="7"/>
  <c r="BB138" i="7"/>
  <c r="BA138" i="7"/>
  <c r="AZ138" i="7"/>
  <c r="AY138" i="7"/>
  <c r="AX138" i="7"/>
  <c r="AW138" i="7"/>
  <c r="AV138" i="7"/>
  <c r="AU138" i="7"/>
  <c r="AT138" i="7"/>
  <c r="AS138" i="7"/>
  <c r="AR138" i="7"/>
  <c r="AQ138" i="7"/>
  <c r="AP138" i="7"/>
  <c r="AO138" i="7"/>
  <c r="AN138" i="7"/>
  <c r="AM138" i="7"/>
  <c r="AL138" i="7"/>
  <c r="AK138" i="7"/>
  <c r="AJ138" i="7"/>
  <c r="AI138" i="7"/>
  <c r="AH138" i="7"/>
  <c r="AG138" i="7"/>
  <c r="AF138" i="7"/>
  <c r="AE138" i="7"/>
  <c r="AD138" i="7"/>
  <c r="AC138" i="7"/>
  <c r="AB138" i="7"/>
  <c r="AA138" i="7"/>
  <c r="Z138" i="7"/>
  <c r="Y138" i="7"/>
  <c r="X138" i="7"/>
  <c r="W138" i="7"/>
  <c r="V138" i="7"/>
  <c r="U138" i="7"/>
  <c r="T138" i="7"/>
  <c r="S138" i="7"/>
  <c r="R138" i="7"/>
  <c r="Q138" i="7"/>
  <c r="P138" i="7"/>
  <c r="O138" i="7"/>
  <c r="N138" i="7"/>
  <c r="M138" i="7"/>
  <c r="L138" i="7"/>
  <c r="K138" i="7"/>
  <c r="J138" i="7"/>
  <c r="I138" i="7"/>
  <c r="H138" i="7"/>
  <c r="G138" i="7"/>
  <c r="F138" i="7"/>
  <c r="E138" i="7"/>
  <c r="D138" i="7"/>
  <c r="C138" i="7"/>
  <c r="CG138" i="7" s="1"/>
  <c r="CF137" i="7"/>
  <c r="CE137" i="7"/>
  <c r="CD137" i="7"/>
  <c r="CC137" i="7"/>
  <c r="CB137" i="7"/>
  <c r="CA137" i="7"/>
  <c r="BZ137" i="7"/>
  <c r="BY137" i="7"/>
  <c r="BX137" i="7"/>
  <c r="BW137" i="7"/>
  <c r="BV137" i="7"/>
  <c r="BU137" i="7"/>
  <c r="BT137" i="7"/>
  <c r="BS137" i="7"/>
  <c r="BR137" i="7"/>
  <c r="BQ137" i="7"/>
  <c r="BP137" i="7"/>
  <c r="BO137" i="7"/>
  <c r="BN137" i="7"/>
  <c r="BM137" i="7"/>
  <c r="BL137" i="7"/>
  <c r="BK137" i="7"/>
  <c r="BJ137" i="7"/>
  <c r="BI137" i="7"/>
  <c r="BH137" i="7"/>
  <c r="BG137" i="7"/>
  <c r="BF137" i="7"/>
  <c r="BE137" i="7"/>
  <c r="BD137" i="7"/>
  <c r="BC137" i="7"/>
  <c r="BB137" i="7"/>
  <c r="BA137" i="7"/>
  <c r="AZ137" i="7"/>
  <c r="AY137" i="7"/>
  <c r="AX137" i="7"/>
  <c r="AW137" i="7"/>
  <c r="AV137" i="7"/>
  <c r="AU137" i="7"/>
  <c r="AT137" i="7"/>
  <c r="AS137" i="7"/>
  <c r="AR137" i="7"/>
  <c r="AQ137" i="7"/>
  <c r="AP137" i="7"/>
  <c r="AO137" i="7"/>
  <c r="AN137" i="7"/>
  <c r="AM137" i="7"/>
  <c r="AL137" i="7"/>
  <c r="AK137" i="7"/>
  <c r="AJ137" i="7"/>
  <c r="AI137" i="7"/>
  <c r="AH137" i="7"/>
  <c r="AG137" i="7"/>
  <c r="AF137" i="7"/>
  <c r="AE137" i="7"/>
  <c r="AD137" i="7"/>
  <c r="AC137" i="7"/>
  <c r="AB137" i="7"/>
  <c r="AA137" i="7"/>
  <c r="Z137" i="7"/>
  <c r="Y137" i="7"/>
  <c r="X137" i="7"/>
  <c r="W137" i="7"/>
  <c r="V137" i="7"/>
  <c r="U137" i="7"/>
  <c r="T137" i="7"/>
  <c r="S137" i="7"/>
  <c r="CG137" i="7" s="1"/>
  <c r="R137" i="7"/>
  <c r="Q137" i="7"/>
  <c r="P137" i="7"/>
  <c r="O137" i="7"/>
  <c r="N137" i="7"/>
  <c r="M137" i="7"/>
  <c r="L137" i="7"/>
  <c r="K137" i="7"/>
  <c r="J137" i="7"/>
  <c r="I137" i="7"/>
  <c r="H137" i="7"/>
  <c r="G137" i="7"/>
  <c r="F137" i="7"/>
  <c r="E137" i="7"/>
  <c r="D137" i="7"/>
  <c r="C137" i="7"/>
  <c r="CF136" i="7"/>
  <c r="CE136" i="7"/>
  <c r="CD136" i="7"/>
  <c r="CC136" i="7"/>
  <c r="CB136" i="7"/>
  <c r="CA136" i="7"/>
  <c r="BZ136" i="7"/>
  <c r="BY136" i="7"/>
  <c r="BX136" i="7"/>
  <c r="BW136" i="7"/>
  <c r="BV136" i="7"/>
  <c r="BU136" i="7"/>
  <c r="BT136" i="7"/>
  <c r="BS136" i="7"/>
  <c r="BR136" i="7"/>
  <c r="BQ136" i="7"/>
  <c r="BP136" i="7"/>
  <c r="BO136" i="7"/>
  <c r="BN136" i="7"/>
  <c r="BM136" i="7"/>
  <c r="BL136" i="7"/>
  <c r="BK136" i="7"/>
  <c r="BJ136" i="7"/>
  <c r="BI136" i="7"/>
  <c r="BH136" i="7"/>
  <c r="BG136" i="7"/>
  <c r="BF136" i="7"/>
  <c r="BE136" i="7"/>
  <c r="BD136" i="7"/>
  <c r="BC136" i="7"/>
  <c r="BB136" i="7"/>
  <c r="BA136" i="7"/>
  <c r="AZ136" i="7"/>
  <c r="AY136" i="7"/>
  <c r="AX136" i="7"/>
  <c r="AW136" i="7"/>
  <c r="AV136" i="7"/>
  <c r="AU136" i="7"/>
  <c r="AT136" i="7"/>
  <c r="AS136" i="7"/>
  <c r="AR136" i="7"/>
  <c r="AQ136" i="7"/>
  <c r="AP136" i="7"/>
  <c r="AO136" i="7"/>
  <c r="AN136" i="7"/>
  <c r="AM136" i="7"/>
  <c r="AL136" i="7"/>
  <c r="AK136" i="7"/>
  <c r="AJ136" i="7"/>
  <c r="AI136" i="7"/>
  <c r="AH136" i="7"/>
  <c r="AG136" i="7"/>
  <c r="AF136" i="7"/>
  <c r="AE136" i="7"/>
  <c r="AD136" i="7"/>
  <c r="AC136" i="7"/>
  <c r="AB136" i="7"/>
  <c r="AA136" i="7"/>
  <c r="Z136" i="7"/>
  <c r="Y136" i="7"/>
  <c r="X136" i="7"/>
  <c r="W136" i="7"/>
  <c r="V136" i="7"/>
  <c r="U136" i="7"/>
  <c r="T136" i="7"/>
  <c r="S136" i="7"/>
  <c r="R136" i="7"/>
  <c r="Q136" i="7"/>
  <c r="P136" i="7"/>
  <c r="O136" i="7"/>
  <c r="N136" i="7"/>
  <c r="M136" i="7"/>
  <c r="CG136" i="7" s="1"/>
  <c r="L136" i="7"/>
  <c r="K136" i="7"/>
  <c r="J136" i="7"/>
  <c r="I136" i="7"/>
  <c r="H136" i="7"/>
  <c r="G136" i="7"/>
  <c r="F136" i="7"/>
  <c r="E136" i="7"/>
  <c r="D136" i="7"/>
  <c r="C136" i="7"/>
  <c r="CF135" i="7"/>
  <c r="CE135" i="7"/>
  <c r="CD135" i="7"/>
  <c r="CC135" i="7"/>
  <c r="CB135" i="7"/>
  <c r="CA135" i="7"/>
  <c r="BZ135" i="7"/>
  <c r="BY135" i="7"/>
  <c r="BX135" i="7"/>
  <c r="BW135" i="7"/>
  <c r="BV135" i="7"/>
  <c r="BU135" i="7"/>
  <c r="BT135" i="7"/>
  <c r="BS135" i="7"/>
  <c r="BR135" i="7"/>
  <c r="BQ135" i="7"/>
  <c r="BP135" i="7"/>
  <c r="BO135" i="7"/>
  <c r="BN135" i="7"/>
  <c r="BM135" i="7"/>
  <c r="BL135" i="7"/>
  <c r="BK135" i="7"/>
  <c r="BJ135" i="7"/>
  <c r="BI135" i="7"/>
  <c r="BH135" i="7"/>
  <c r="BG135" i="7"/>
  <c r="BF135" i="7"/>
  <c r="BE135" i="7"/>
  <c r="BD135" i="7"/>
  <c r="BC135" i="7"/>
  <c r="BB135" i="7"/>
  <c r="BA135" i="7"/>
  <c r="AZ135" i="7"/>
  <c r="AY135" i="7"/>
  <c r="AX135" i="7"/>
  <c r="AW135" i="7"/>
  <c r="AV135" i="7"/>
  <c r="AU135" i="7"/>
  <c r="AT135" i="7"/>
  <c r="AS135" i="7"/>
  <c r="AR135" i="7"/>
  <c r="AQ135" i="7"/>
  <c r="AP135" i="7"/>
  <c r="AO135" i="7"/>
  <c r="AN135" i="7"/>
  <c r="AM135" i="7"/>
  <c r="AL135" i="7"/>
  <c r="AK135" i="7"/>
  <c r="AJ135" i="7"/>
  <c r="AI135" i="7"/>
  <c r="AH135" i="7"/>
  <c r="AG135" i="7"/>
  <c r="AF135" i="7"/>
  <c r="AE135" i="7"/>
  <c r="AD135" i="7"/>
  <c r="AC135" i="7"/>
  <c r="AB135" i="7"/>
  <c r="AA135" i="7"/>
  <c r="Z135" i="7"/>
  <c r="Y135" i="7"/>
  <c r="X135" i="7"/>
  <c r="W135" i="7"/>
  <c r="V135" i="7"/>
  <c r="U135" i="7"/>
  <c r="T135" i="7"/>
  <c r="S135" i="7"/>
  <c r="R135" i="7"/>
  <c r="Q135" i="7"/>
  <c r="P135" i="7"/>
  <c r="O135" i="7"/>
  <c r="N135" i="7"/>
  <c r="M135" i="7"/>
  <c r="L135" i="7"/>
  <c r="K135" i="7"/>
  <c r="J135" i="7"/>
  <c r="I135" i="7"/>
  <c r="H135" i="7"/>
  <c r="G135" i="7"/>
  <c r="F135" i="7"/>
  <c r="E135" i="7"/>
  <c r="D135" i="7"/>
  <c r="C135" i="7"/>
  <c r="CG135" i="7" s="1"/>
  <c r="CF134" i="7"/>
  <c r="CE134" i="7"/>
  <c r="CD134" i="7"/>
  <c r="CC134" i="7"/>
  <c r="CB134" i="7"/>
  <c r="CA134" i="7"/>
  <c r="BZ134" i="7"/>
  <c r="BY134" i="7"/>
  <c r="BX134" i="7"/>
  <c r="BW134" i="7"/>
  <c r="BV134" i="7"/>
  <c r="BU134" i="7"/>
  <c r="BT134" i="7"/>
  <c r="BS134" i="7"/>
  <c r="BR134" i="7"/>
  <c r="BQ134" i="7"/>
  <c r="BP134" i="7"/>
  <c r="BO134" i="7"/>
  <c r="BN134" i="7"/>
  <c r="BM134" i="7"/>
  <c r="BL134" i="7"/>
  <c r="BK134" i="7"/>
  <c r="BJ134" i="7"/>
  <c r="BI134" i="7"/>
  <c r="BH134" i="7"/>
  <c r="BG134" i="7"/>
  <c r="BF134" i="7"/>
  <c r="BE134" i="7"/>
  <c r="BD134" i="7"/>
  <c r="BC134" i="7"/>
  <c r="BB134" i="7"/>
  <c r="BA134" i="7"/>
  <c r="AZ134" i="7"/>
  <c r="AY134" i="7"/>
  <c r="AX134" i="7"/>
  <c r="AW134" i="7"/>
  <c r="AV134" i="7"/>
  <c r="AU134" i="7"/>
  <c r="AT134" i="7"/>
  <c r="AS134" i="7"/>
  <c r="AR134" i="7"/>
  <c r="AQ134" i="7"/>
  <c r="AP134" i="7"/>
  <c r="AO134" i="7"/>
  <c r="AN134" i="7"/>
  <c r="AM134" i="7"/>
  <c r="AL134" i="7"/>
  <c r="AK134" i="7"/>
  <c r="AJ134" i="7"/>
  <c r="AI134" i="7"/>
  <c r="AH134" i="7"/>
  <c r="AG134" i="7"/>
  <c r="AF134" i="7"/>
  <c r="AE134" i="7"/>
  <c r="AD134" i="7"/>
  <c r="AC134" i="7"/>
  <c r="AB134" i="7"/>
  <c r="AA134" i="7"/>
  <c r="Z134" i="7"/>
  <c r="Y134" i="7"/>
  <c r="X134" i="7"/>
  <c r="W134" i="7"/>
  <c r="V134" i="7"/>
  <c r="U134" i="7"/>
  <c r="T134" i="7"/>
  <c r="S134" i="7"/>
  <c r="R134" i="7"/>
  <c r="Q134" i="7"/>
  <c r="P134" i="7"/>
  <c r="O134" i="7"/>
  <c r="N134" i="7"/>
  <c r="M134" i="7"/>
  <c r="L134" i="7"/>
  <c r="K134" i="7"/>
  <c r="J134" i="7"/>
  <c r="I134" i="7"/>
  <c r="H134" i="7"/>
  <c r="G134" i="7"/>
  <c r="F134" i="7"/>
  <c r="E134" i="7"/>
  <c r="D134" i="7"/>
  <c r="C134" i="7"/>
  <c r="CG134" i="7" s="1"/>
  <c r="CF133" i="7"/>
  <c r="CE133" i="7"/>
  <c r="CD133" i="7"/>
  <c r="CC133" i="7"/>
  <c r="CB133" i="7"/>
  <c r="CA133" i="7"/>
  <c r="BZ133" i="7"/>
  <c r="BY133" i="7"/>
  <c r="BX133" i="7"/>
  <c r="BW133" i="7"/>
  <c r="BV133" i="7"/>
  <c r="BU133" i="7"/>
  <c r="BT133" i="7"/>
  <c r="BS133" i="7"/>
  <c r="BR133" i="7"/>
  <c r="BQ133" i="7"/>
  <c r="BP133" i="7"/>
  <c r="BO133" i="7"/>
  <c r="BN133" i="7"/>
  <c r="BM133" i="7"/>
  <c r="BL133" i="7"/>
  <c r="BK133" i="7"/>
  <c r="BJ133" i="7"/>
  <c r="BI133" i="7"/>
  <c r="BH133" i="7"/>
  <c r="BG133" i="7"/>
  <c r="BF133" i="7"/>
  <c r="BE133" i="7"/>
  <c r="BD133" i="7"/>
  <c r="BC133" i="7"/>
  <c r="BB133" i="7"/>
  <c r="BA133" i="7"/>
  <c r="AZ133" i="7"/>
  <c r="AY133" i="7"/>
  <c r="AX133" i="7"/>
  <c r="AW133" i="7"/>
  <c r="AV133" i="7"/>
  <c r="AU133" i="7"/>
  <c r="AT133" i="7"/>
  <c r="AS133" i="7"/>
  <c r="AR133" i="7"/>
  <c r="AQ133" i="7"/>
  <c r="AP133" i="7"/>
  <c r="AO133" i="7"/>
  <c r="AN133" i="7"/>
  <c r="AM133" i="7"/>
  <c r="AL133" i="7"/>
  <c r="AK133" i="7"/>
  <c r="AJ133" i="7"/>
  <c r="AI133" i="7"/>
  <c r="AH133" i="7"/>
  <c r="AG133" i="7"/>
  <c r="AF133" i="7"/>
  <c r="AE133" i="7"/>
  <c r="AD133" i="7"/>
  <c r="AC133" i="7"/>
  <c r="AB133" i="7"/>
  <c r="AA133" i="7"/>
  <c r="Z133" i="7"/>
  <c r="Y133" i="7"/>
  <c r="X133" i="7"/>
  <c r="W133" i="7"/>
  <c r="V133" i="7"/>
  <c r="U133" i="7"/>
  <c r="T133" i="7"/>
  <c r="S133" i="7"/>
  <c r="R133" i="7"/>
  <c r="Q133" i="7"/>
  <c r="P133" i="7"/>
  <c r="O133" i="7"/>
  <c r="N133" i="7"/>
  <c r="M133" i="7"/>
  <c r="L133" i="7"/>
  <c r="K133" i="7"/>
  <c r="J133" i="7"/>
  <c r="I133" i="7"/>
  <c r="H133" i="7"/>
  <c r="G133" i="7"/>
  <c r="F133" i="7"/>
  <c r="E133" i="7"/>
  <c r="D133" i="7"/>
  <c r="C133" i="7"/>
  <c r="CG133" i="7" s="1"/>
  <c r="CF132" i="7"/>
  <c r="CE132" i="7"/>
  <c r="CD132" i="7"/>
  <c r="CC132" i="7"/>
  <c r="CB132" i="7"/>
  <c r="CA132" i="7"/>
  <c r="BZ132" i="7"/>
  <c r="BY132" i="7"/>
  <c r="BX132" i="7"/>
  <c r="BW132" i="7"/>
  <c r="BV132" i="7"/>
  <c r="BU132" i="7"/>
  <c r="BT132" i="7"/>
  <c r="BS132" i="7"/>
  <c r="BR132" i="7"/>
  <c r="BQ132" i="7"/>
  <c r="BP132" i="7"/>
  <c r="BO132" i="7"/>
  <c r="BN132" i="7"/>
  <c r="BM132" i="7"/>
  <c r="BL132" i="7"/>
  <c r="BK132" i="7"/>
  <c r="BJ132" i="7"/>
  <c r="BI132" i="7"/>
  <c r="BH132" i="7"/>
  <c r="BG132" i="7"/>
  <c r="BF132" i="7"/>
  <c r="BE132" i="7"/>
  <c r="BD132" i="7"/>
  <c r="BC132" i="7"/>
  <c r="BB132" i="7"/>
  <c r="BA132" i="7"/>
  <c r="AZ132" i="7"/>
  <c r="AY132" i="7"/>
  <c r="AX132" i="7"/>
  <c r="AW132" i="7"/>
  <c r="AV132" i="7"/>
  <c r="AU132" i="7"/>
  <c r="AT132" i="7"/>
  <c r="AS132" i="7"/>
  <c r="AR132" i="7"/>
  <c r="AQ132" i="7"/>
  <c r="AP132" i="7"/>
  <c r="AO132" i="7"/>
  <c r="AN132" i="7"/>
  <c r="AM132" i="7"/>
  <c r="AL132" i="7"/>
  <c r="AK132" i="7"/>
  <c r="AJ132" i="7"/>
  <c r="AI132" i="7"/>
  <c r="AH132" i="7"/>
  <c r="AG132" i="7"/>
  <c r="AF132" i="7"/>
  <c r="AE132" i="7"/>
  <c r="AD132" i="7"/>
  <c r="AC132" i="7"/>
  <c r="AB132" i="7"/>
  <c r="AA132" i="7"/>
  <c r="Z132" i="7"/>
  <c r="Y132" i="7"/>
  <c r="X132" i="7"/>
  <c r="W132" i="7"/>
  <c r="V132" i="7"/>
  <c r="U132" i="7"/>
  <c r="T132" i="7"/>
  <c r="S132" i="7"/>
  <c r="R132" i="7"/>
  <c r="Q132" i="7"/>
  <c r="P132" i="7"/>
  <c r="O132" i="7"/>
  <c r="N132" i="7"/>
  <c r="M132" i="7"/>
  <c r="L132" i="7"/>
  <c r="K132" i="7"/>
  <c r="CG132" i="7" s="1"/>
  <c r="J132" i="7"/>
  <c r="I132" i="7"/>
  <c r="H132" i="7"/>
  <c r="G132" i="7"/>
  <c r="F132" i="7"/>
  <c r="E132" i="7"/>
  <c r="D132" i="7"/>
  <c r="C132" i="7"/>
  <c r="CF131" i="7"/>
  <c r="CE131" i="7"/>
  <c r="CD131" i="7"/>
  <c r="CC131" i="7"/>
  <c r="CB131" i="7"/>
  <c r="CA131" i="7"/>
  <c r="BZ131" i="7"/>
  <c r="BY131" i="7"/>
  <c r="BX131" i="7"/>
  <c r="BW131" i="7"/>
  <c r="BV131" i="7"/>
  <c r="BU131" i="7"/>
  <c r="BT131" i="7"/>
  <c r="BS131" i="7"/>
  <c r="BR131" i="7"/>
  <c r="BQ131" i="7"/>
  <c r="BP131" i="7"/>
  <c r="BO131" i="7"/>
  <c r="BN131" i="7"/>
  <c r="BM131" i="7"/>
  <c r="BL131" i="7"/>
  <c r="BK131" i="7"/>
  <c r="BJ131" i="7"/>
  <c r="BI131" i="7"/>
  <c r="BH131" i="7"/>
  <c r="BG131" i="7"/>
  <c r="BF131" i="7"/>
  <c r="BE131" i="7"/>
  <c r="BD131" i="7"/>
  <c r="BC131" i="7"/>
  <c r="BB131" i="7"/>
  <c r="BA131" i="7"/>
  <c r="AZ131" i="7"/>
  <c r="AY131" i="7"/>
  <c r="AX131" i="7"/>
  <c r="AW131" i="7"/>
  <c r="AV131" i="7"/>
  <c r="AU131" i="7"/>
  <c r="AT131" i="7"/>
  <c r="AS131" i="7"/>
  <c r="AR131" i="7"/>
  <c r="AQ131" i="7"/>
  <c r="AP131" i="7"/>
  <c r="AO131" i="7"/>
  <c r="AN131" i="7"/>
  <c r="AM131" i="7"/>
  <c r="AL131" i="7"/>
  <c r="AK131" i="7"/>
  <c r="AJ131" i="7"/>
  <c r="AI131" i="7"/>
  <c r="AH131" i="7"/>
  <c r="AG131" i="7"/>
  <c r="AF131" i="7"/>
  <c r="AE131" i="7"/>
  <c r="AD131" i="7"/>
  <c r="AC131" i="7"/>
  <c r="AB131" i="7"/>
  <c r="AA131" i="7"/>
  <c r="Z131" i="7"/>
  <c r="Y131" i="7"/>
  <c r="X131" i="7"/>
  <c r="W131" i="7"/>
  <c r="V131" i="7"/>
  <c r="U131" i="7"/>
  <c r="T131" i="7"/>
  <c r="S131" i="7"/>
  <c r="R131" i="7"/>
  <c r="Q131" i="7"/>
  <c r="P131" i="7"/>
  <c r="O131" i="7"/>
  <c r="N131" i="7"/>
  <c r="M131" i="7"/>
  <c r="L131" i="7"/>
  <c r="K131" i="7"/>
  <c r="J131" i="7"/>
  <c r="I131" i="7"/>
  <c r="H131" i="7"/>
  <c r="G131" i="7"/>
  <c r="F131" i="7"/>
  <c r="E131" i="7"/>
  <c r="D131" i="7"/>
  <c r="C131" i="7"/>
  <c r="CG131" i="7" s="1"/>
  <c r="CF130" i="7"/>
  <c r="CE130" i="7"/>
  <c r="CD130" i="7"/>
  <c r="CC130" i="7"/>
  <c r="CB130" i="7"/>
  <c r="CA130" i="7"/>
  <c r="BZ130" i="7"/>
  <c r="BY130" i="7"/>
  <c r="BX130" i="7"/>
  <c r="BW130" i="7"/>
  <c r="BV130" i="7"/>
  <c r="BU130" i="7"/>
  <c r="BT130" i="7"/>
  <c r="BS130" i="7"/>
  <c r="BR130" i="7"/>
  <c r="BQ130" i="7"/>
  <c r="BP130" i="7"/>
  <c r="BO130" i="7"/>
  <c r="BN130" i="7"/>
  <c r="BM130" i="7"/>
  <c r="BL130" i="7"/>
  <c r="BK130" i="7"/>
  <c r="BJ130" i="7"/>
  <c r="BI130" i="7"/>
  <c r="BH130" i="7"/>
  <c r="BG130" i="7"/>
  <c r="BF130" i="7"/>
  <c r="BE130" i="7"/>
  <c r="BD130" i="7"/>
  <c r="BC130" i="7"/>
  <c r="BB130" i="7"/>
  <c r="BA130" i="7"/>
  <c r="AZ130" i="7"/>
  <c r="AY130" i="7"/>
  <c r="AX130" i="7"/>
  <c r="AW130" i="7"/>
  <c r="AV130" i="7"/>
  <c r="AU130" i="7"/>
  <c r="AT130" i="7"/>
  <c r="AS130" i="7"/>
  <c r="AR130" i="7"/>
  <c r="AQ130" i="7"/>
  <c r="AP130" i="7"/>
  <c r="AO130" i="7"/>
  <c r="AN130" i="7"/>
  <c r="AM130" i="7"/>
  <c r="AL130" i="7"/>
  <c r="AK130" i="7"/>
  <c r="AJ130" i="7"/>
  <c r="AI130" i="7"/>
  <c r="AH130" i="7"/>
  <c r="AG130" i="7"/>
  <c r="AF130" i="7"/>
  <c r="AE130" i="7"/>
  <c r="AD130" i="7"/>
  <c r="AC130" i="7"/>
  <c r="AB130" i="7"/>
  <c r="AA130" i="7"/>
  <c r="Z130" i="7"/>
  <c r="Y130" i="7"/>
  <c r="X130" i="7"/>
  <c r="W130" i="7"/>
  <c r="V130" i="7"/>
  <c r="U130" i="7"/>
  <c r="T130" i="7"/>
  <c r="S130" i="7"/>
  <c r="R130" i="7"/>
  <c r="Q130" i="7"/>
  <c r="P130" i="7"/>
  <c r="O130" i="7"/>
  <c r="N130" i="7"/>
  <c r="M130" i="7"/>
  <c r="L130" i="7"/>
  <c r="K130" i="7"/>
  <c r="J130" i="7"/>
  <c r="I130" i="7"/>
  <c r="H130" i="7"/>
  <c r="G130" i="7"/>
  <c r="F130" i="7"/>
  <c r="E130" i="7"/>
  <c r="D130" i="7"/>
  <c r="C130" i="7"/>
  <c r="CG130" i="7" s="1"/>
  <c r="CF129" i="7"/>
  <c r="CE129" i="7"/>
  <c r="CD129" i="7"/>
  <c r="CC129" i="7"/>
  <c r="CB129" i="7"/>
  <c r="CA129" i="7"/>
  <c r="BZ129" i="7"/>
  <c r="BY129" i="7"/>
  <c r="BX129" i="7"/>
  <c r="BW129" i="7"/>
  <c r="BV129" i="7"/>
  <c r="BU129" i="7"/>
  <c r="BT129" i="7"/>
  <c r="BS129" i="7"/>
  <c r="BR129" i="7"/>
  <c r="BQ129" i="7"/>
  <c r="BP129" i="7"/>
  <c r="BO129" i="7"/>
  <c r="BN129" i="7"/>
  <c r="BM129" i="7"/>
  <c r="BL129" i="7"/>
  <c r="BK129" i="7"/>
  <c r="BJ129" i="7"/>
  <c r="BI129" i="7"/>
  <c r="BH129" i="7"/>
  <c r="BG129" i="7"/>
  <c r="BF129" i="7"/>
  <c r="BE129" i="7"/>
  <c r="BD129" i="7"/>
  <c r="BC129" i="7"/>
  <c r="BB129" i="7"/>
  <c r="BA129" i="7"/>
  <c r="AZ129" i="7"/>
  <c r="AY129" i="7"/>
  <c r="AX129" i="7"/>
  <c r="AW129" i="7"/>
  <c r="AV129" i="7"/>
  <c r="AU129" i="7"/>
  <c r="AT129" i="7"/>
  <c r="AS129" i="7"/>
  <c r="AR129" i="7"/>
  <c r="AQ129" i="7"/>
  <c r="AP129" i="7"/>
  <c r="AO129" i="7"/>
  <c r="AN129" i="7"/>
  <c r="AM129" i="7"/>
  <c r="AL129" i="7"/>
  <c r="AK129" i="7"/>
  <c r="AJ129" i="7"/>
  <c r="AI129" i="7"/>
  <c r="AH129" i="7"/>
  <c r="AG129" i="7"/>
  <c r="AF129" i="7"/>
  <c r="AE129" i="7"/>
  <c r="AD129" i="7"/>
  <c r="AC129" i="7"/>
  <c r="AB129" i="7"/>
  <c r="AA129" i="7"/>
  <c r="Z129" i="7"/>
  <c r="Y129" i="7"/>
  <c r="X129" i="7"/>
  <c r="W129" i="7"/>
  <c r="V129" i="7"/>
  <c r="U129" i="7"/>
  <c r="T129" i="7"/>
  <c r="S129" i="7"/>
  <c r="R129" i="7"/>
  <c r="Q129" i="7"/>
  <c r="P129" i="7"/>
  <c r="O129" i="7"/>
  <c r="N129" i="7"/>
  <c r="M129" i="7"/>
  <c r="L129" i="7"/>
  <c r="K129" i="7"/>
  <c r="J129" i="7"/>
  <c r="I129" i="7"/>
  <c r="H129" i="7"/>
  <c r="G129" i="7"/>
  <c r="F129" i="7"/>
  <c r="E129" i="7"/>
  <c r="D129" i="7"/>
  <c r="C129" i="7"/>
  <c r="CG129" i="7" s="1"/>
  <c r="CF128" i="7"/>
  <c r="CE128" i="7"/>
  <c r="CD128" i="7"/>
  <c r="CC128" i="7"/>
  <c r="CB128" i="7"/>
  <c r="CA128" i="7"/>
  <c r="BZ128" i="7"/>
  <c r="BY128" i="7"/>
  <c r="BX128" i="7"/>
  <c r="BW128" i="7"/>
  <c r="BV128" i="7"/>
  <c r="BU128" i="7"/>
  <c r="BT128" i="7"/>
  <c r="BS128" i="7"/>
  <c r="BR128" i="7"/>
  <c r="BQ128" i="7"/>
  <c r="BP128" i="7"/>
  <c r="BO128" i="7"/>
  <c r="BN128" i="7"/>
  <c r="BM128" i="7"/>
  <c r="BL128" i="7"/>
  <c r="BK128" i="7"/>
  <c r="BJ128" i="7"/>
  <c r="BI128" i="7"/>
  <c r="BH128" i="7"/>
  <c r="BG128" i="7"/>
  <c r="BF128" i="7"/>
  <c r="BE128" i="7"/>
  <c r="BD128" i="7"/>
  <c r="BC128" i="7"/>
  <c r="BB128" i="7"/>
  <c r="BA128" i="7"/>
  <c r="AZ128" i="7"/>
  <c r="AY128" i="7"/>
  <c r="AX128" i="7"/>
  <c r="AW128" i="7"/>
  <c r="AV128" i="7"/>
  <c r="AU128" i="7"/>
  <c r="AT128" i="7"/>
  <c r="AS128" i="7"/>
  <c r="AR128" i="7"/>
  <c r="AQ128" i="7"/>
  <c r="AP128" i="7"/>
  <c r="AO128" i="7"/>
  <c r="AN128" i="7"/>
  <c r="AM128" i="7"/>
  <c r="AL128" i="7"/>
  <c r="AK128" i="7"/>
  <c r="AJ128" i="7"/>
  <c r="AI128" i="7"/>
  <c r="AH128" i="7"/>
  <c r="AG128" i="7"/>
  <c r="AF128" i="7"/>
  <c r="AE128" i="7"/>
  <c r="AD128" i="7"/>
  <c r="AC128" i="7"/>
  <c r="AB128" i="7"/>
  <c r="AA128" i="7"/>
  <c r="Z128" i="7"/>
  <c r="Y128" i="7"/>
  <c r="X128" i="7"/>
  <c r="W128" i="7"/>
  <c r="V128" i="7"/>
  <c r="U128" i="7"/>
  <c r="T128" i="7"/>
  <c r="S128" i="7"/>
  <c r="R128" i="7"/>
  <c r="Q128" i="7"/>
  <c r="P128" i="7"/>
  <c r="O128" i="7"/>
  <c r="N128" i="7"/>
  <c r="M128" i="7"/>
  <c r="L128" i="7"/>
  <c r="K128" i="7"/>
  <c r="J128" i="7"/>
  <c r="I128" i="7"/>
  <c r="H128" i="7"/>
  <c r="G128" i="7"/>
  <c r="F128" i="7"/>
  <c r="E128" i="7"/>
  <c r="D128" i="7"/>
  <c r="C128" i="7"/>
  <c r="CF127" i="7"/>
  <c r="CE127" i="7"/>
  <c r="CD127" i="7"/>
  <c r="CC127" i="7"/>
  <c r="CB127" i="7"/>
  <c r="CA127" i="7"/>
  <c r="BZ127" i="7"/>
  <c r="BY127" i="7"/>
  <c r="BX127" i="7"/>
  <c r="BW127" i="7"/>
  <c r="BV127" i="7"/>
  <c r="BU127" i="7"/>
  <c r="BT127" i="7"/>
  <c r="BS127" i="7"/>
  <c r="BR127" i="7"/>
  <c r="BQ127" i="7"/>
  <c r="BP127" i="7"/>
  <c r="BO127" i="7"/>
  <c r="BN127" i="7"/>
  <c r="BM127" i="7"/>
  <c r="BL127" i="7"/>
  <c r="BK127" i="7"/>
  <c r="BJ127" i="7"/>
  <c r="BI127" i="7"/>
  <c r="BH127" i="7"/>
  <c r="BG127" i="7"/>
  <c r="BF127" i="7"/>
  <c r="BE127" i="7"/>
  <c r="BD127" i="7"/>
  <c r="BC127" i="7"/>
  <c r="BB127" i="7"/>
  <c r="BA127" i="7"/>
  <c r="AZ127" i="7"/>
  <c r="AY127" i="7"/>
  <c r="AX127" i="7"/>
  <c r="AW127" i="7"/>
  <c r="AV127" i="7"/>
  <c r="AU127" i="7"/>
  <c r="AT127" i="7"/>
  <c r="AS127" i="7"/>
  <c r="AR127" i="7"/>
  <c r="AQ127" i="7"/>
  <c r="AP127" i="7"/>
  <c r="AO127" i="7"/>
  <c r="AN127" i="7"/>
  <c r="AM127" i="7"/>
  <c r="AL127" i="7"/>
  <c r="AK127" i="7"/>
  <c r="AJ127" i="7"/>
  <c r="AI127" i="7"/>
  <c r="AH127" i="7"/>
  <c r="AG127" i="7"/>
  <c r="AF127" i="7"/>
  <c r="AE127" i="7"/>
  <c r="AD127" i="7"/>
  <c r="AC127" i="7"/>
  <c r="AB127" i="7"/>
  <c r="AA127" i="7"/>
  <c r="Z127" i="7"/>
  <c r="Y127" i="7"/>
  <c r="X127" i="7"/>
  <c r="W127" i="7"/>
  <c r="V127" i="7"/>
  <c r="U127" i="7"/>
  <c r="T127" i="7"/>
  <c r="S127" i="7"/>
  <c r="R127" i="7"/>
  <c r="Q127" i="7"/>
  <c r="P127" i="7"/>
  <c r="O127" i="7"/>
  <c r="N127" i="7"/>
  <c r="M127" i="7"/>
  <c r="L127" i="7"/>
  <c r="K127" i="7"/>
  <c r="J127" i="7"/>
  <c r="I127" i="7"/>
  <c r="H127" i="7"/>
  <c r="G127" i="7"/>
  <c r="F127" i="7"/>
  <c r="E127" i="7"/>
  <c r="D127" i="7"/>
  <c r="C127" i="7"/>
  <c r="CF126" i="7"/>
  <c r="CE126" i="7"/>
  <c r="CD126" i="7"/>
  <c r="CC126" i="7"/>
  <c r="CB126" i="7"/>
  <c r="CA126" i="7"/>
  <c r="BZ126" i="7"/>
  <c r="BY126" i="7"/>
  <c r="BX126" i="7"/>
  <c r="BW126" i="7"/>
  <c r="BV126" i="7"/>
  <c r="BU126" i="7"/>
  <c r="BT126" i="7"/>
  <c r="BS126" i="7"/>
  <c r="BR126" i="7"/>
  <c r="BQ126" i="7"/>
  <c r="BP126" i="7"/>
  <c r="BO126" i="7"/>
  <c r="BN126" i="7"/>
  <c r="BM126" i="7"/>
  <c r="BL126" i="7"/>
  <c r="BK126" i="7"/>
  <c r="BJ126" i="7"/>
  <c r="BI126" i="7"/>
  <c r="BH126" i="7"/>
  <c r="BG126" i="7"/>
  <c r="BF126" i="7"/>
  <c r="BE126" i="7"/>
  <c r="BD126" i="7"/>
  <c r="BC126" i="7"/>
  <c r="BB126" i="7"/>
  <c r="BA126" i="7"/>
  <c r="AZ126" i="7"/>
  <c r="AY126" i="7"/>
  <c r="AX126" i="7"/>
  <c r="AW126" i="7"/>
  <c r="AV126" i="7"/>
  <c r="AU126" i="7"/>
  <c r="AT126" i="7"/>
  <c r="AS126" i="7"/>
  <c r="AR126" i="7"/>
  <c r="AQ126" i="7"/>
  <c r="AP126" i="7"/>
  <c r="AO126" i="7"/>
  <c r="AN126" i="7"/>
  <c r="AM126" i="7"/>
  <c r="AL126" i="7"/>
  <c r="AK126" i="7"/>
  <c r="AJ126" i="7"/>
  <c r="AI126" i="7"/>
  <c r="AH126" i="7"/>
  <c r="AG126" i="7"/>
  <c r="AF126" i="7"/>
  <c r="AE126" i="7"/>
  <c r="AD126" i="7"/>
  <c r="AC126" i="7"/>
  <c r="AB126" i="7"/>
  <c r="AA126" i="7"/>
  <c r="Z126" i="7"/>
  <c r="Y126" i="7"/>
  <c r="X126" i="7"/>
  <c r="W126" i="7"/>
  <c r="V126" i="7"/>
  <c r="U126" i="7"/>
  <c r="T126" i="7"/>
  <c r="S126" i="7"/>
  <c r="R126" i="7"/>
  <c r="Q126" i="7"/>
  <c r="P126" i="7"/>
  <c r="O126" i="7"/>
  <c r="N126" i="7"/>
  <c r="M126" i="7"/>
  <c r="L126" i="7"/>
  <c r="K126" i="7"/>
  <c r="J126" i="7"/>
  <c r="I126" i="7"/>
  <c r="H126" i="7"/>
  <c r="G126" i="7"/>
  <c r="F126" i="7"/>
  <c r="E126" i="7"/>
  <c r="D126" i="7"/>
  <c r="C126" i="7"/>
  <c r="CG126" i="7" s="1"/>
  <c r="CF125" i="7"/>
  <c r="CE125" i="7"/>
  <c r="CD125" i="7"/>
  <c r="CC125" i="7"/>
  <c r="CB125" i="7"/>
  <c r="CA125" i="7"/>
  <c r="BZ125" i="7"/>
  <c r="BY125" i="7"/>
  <c r="BX125" i="7"/>
  <c r="BW125" i="7"/>
  <c r="BV125" i="7"/>
  <c r="BU125" i="7"/>
  <c r="BT125" i="7"/>
  <c r="BS125" i="7"/>
  <c r="BR125" i="7"/>
  <c r="BQ125" i="7"/>
  <c r="BP125" i="7"/>
  <c r="BO125" i="7"/>
  <c r="BN125" i="7"/>
  <c r="BM125" i="7"/>
  <c r="BL125" i="7"/>
  <c r="BK125" i="7"/>
  <c r="BJ125" i="7"/>
  <c r="BI125" i="7"/>
  <c r="BH125" i="7"/>
  <c r="BG125" i="7"/>
  <c r="BF125" i="7"/>
  <c r="BE125" i="7"/>
  <c r="BD125" i="7"/>
  <c r="BC125" i="7"/>
  <c r="BB125" i="7"/>
  <c r="BA125" i="7"/>
  <c r="AZ125" i="7"/>
  <c r="AY125" i="7"/>
  <c r="AX125" i="7"/>
  <c r="AW125" i="7"/>
  <c r="AV125" i="7"/>
  <c r="AU125" i="7"/>
  <c r="AT125" i="7"/>
  <c r="AS125" i="7"/>
  <c r="AR125" i="7"/>
  <c r="AQ125" i="7"/>
  <c r="AP125" i="7"/>
  <c r="AO125" i="7"/>
  <c r="AN125" i="7"/>
  <c r="AM125" i="7"/>
  <c r="AL125" i="7"/>
  <c r="AK125" i="7"/>
  <c r="AJ125" i="7"/>
  <c r="AI125" i="7"/>
  <c r="AH125" i="7"/>
  <c r="AG125" i="7"/>
  <c r="AF125" i="7"/>
  <c r="AE125" i="7"/>
  <c r="AD125" i="7"/>
  <c r="AC125" i="7"/>
  <c r="AB125" i="7"/>
  <c r="AA125" i="7"/>
  <c r="Z125" i="7"/>
  <c r="Y125" i="7"/>
  <c r="X125" i="7"/>
  <c r="W125" i="7"/>
  <c r="V125" i="7"/>
  <c r="U125" i="7"/>
  <c r="T125" i="7"/>
  <c r="S125" i="7"/>
  <c r="R125" i="7"/>
  <c r="Q125" i="7"/>
  <c r="P125" i="7"/>
  <c r="O125" i="7"/>
  <c r="N125" i="7"/>
  <c r="M125" i="7"/>
  <c r="L125" i="7"/>
  <c r="K125" i="7"/>
  <c r="J125" i="7"/>
  <c r="I125" i="7"/>
  <c r="H125" i="7"/>
  <c r="G125" i="7"/>
  <c r="F125" i="7"/>
  <c r="E125" i="7"/>
  <c r="D125" i="7"/>
  <c r="C125" i="7"/>
  <c r="CG125" i="7" s="1"/>
  <c r="CF124" i="7"/>
  <c r="CE124" i="7"/>
  <c r="CD124" i="7"/>
  <c r="CC124" i="7"/>
  <c r="CB124" i="7"/>
  <c r="CA124" i="7"/>
  <c r="BZ124" i="7"/>
  <c r="BY124" i="7"/>
  <c r="BX124" i="7"/>
  <c r="BW124" i="7"/>
  <c r="BV124" i="7"/>
  <c r="BU124" i="7"/>
  <c r="BT124" i="7"/>
  <c r="BS124" i="7"/>
  <c r="BR124" i="7"/>
  <c r="BQ124" i="7"/>
  <c r="BP124" i="7"/>
  <c r="BO124" i="7"/>
  <c r="BN124" i="7"/>
  <c r="BM124" i="7"/>
  <c r="BL124" i="7"/>
  <c r="BK124" i="7"/>
  <c r="BJ124" i="7"/>
  <c r="BI124" i="7"/>
  <c r="BH124" i="7"/>
  <c r="BG124" i="7"/>
  <c r="BF124" i="7"/>
  <c r="BE124" i="7"/>
  <c r="BD124" i="7"/>
  <c r="BC124" i="7"/>
  <c r="BB124" i="7"/>
  <c r="BA124" i="7"/>
  <c r="AZ124" i="7"/>
  <c r="AY124" i="7"/>
  <c r="AX124" i="7"/>
  <c r="AW124" i="7"/>
  <c r="AV124" i="7"/>
  <c r="AU124" i="7"/>
  <c r="AT124" i="7"/>
  <c r="AS124" i="7"/>
  <c r="AR124" i="7"/>
  <c r="AQ124" i="7"/>
  <c r="AP124" i="7"/>
  <c r="AO124" i="7"/>
  <c r="AN124" i="7"/>
  <c r="AM124" i="7"/>
  <c r="AL124" i="7"/>
  <c r="AK124" i="7"/>
  <c r="AJ124" i="7"/>
  <c r="AI124" i="7"/>
  <c r="AH124" i="7"/>
  <c r="AG124" i="7"/>
  <c r="AF124" i="7"/>
  <c r="AE124" i="7"/>
  <c r="AD124" i="7"/>
  <c r="AC124" i="7"/>
  <c r="AB124" i="7"/>
  <c r="AA124" i="7"/>
  <c r="Z124" i="7"/>
  <c r="Y124" i="7"/>
  <c r="X124" i="7"/>
  <c r="W124" i="7"/>
  <c r="V124" i="7"/>
  <c r="U124" i="7"/>
  <c r="T124" i="7"/>
  <c r="S124" i="7"/>
  <c r="R124" i="7"/>
  <c r="Q124" i="7"/>
  <c r="P124" i="7"/>
  <c r="O124" i="7"/>
  <c r="N124" i="7"/>
  <c r="M124" i="7"/>
  <c r="L124" i="7"/>
  <c r="K124" i="7"/>
  <c r="J124" i="7"/>
  <c r="I124" i="7"/>
  <c r="H124" i="7"/>
  <c r="G124" i="7"/>
  <c r="F124" i="7"/>
  <c r="E124" i="7"/>
  <c r="D124" i="7"/>
  <c r="C124" i="7"/>
  <c r="CF123" i="7"/>
  <c r="CE123" i="7"/>
  <c r="CD123" i="7"/>
  <c r="CC123" i="7"/>
  <c r="CB123" i="7"/>
  <c r="CA123" i="7"/>
  <c r="BZ123" i="7"/>
  <c r="BY123" i="7"/>
  <c r="BX123" i="7"/>
  <c r="BW123" i="7"/>
  <c r="BV123" i="7"/>
  <c r="BU123" i="7"/>
  <c r="BT123" i="7"/>
  <c r="BS123" i="7"/>
  <c r="BR123" i="7"/>
  <c r="BQ123" i="7"/>
  <c r="BP123" i="7"/>
  <c r="BO123" i="7"/>
  <c r="BN123" i="7"/>
  <c r="BM123" i="7"/>
  <c r="BL123" i="7"/>
  <c r="BK123" i="7"/>
  <c r="BJ123" i="7"/>
  <c r="BI123" i="7"/>
  <c r="BH123" i="7"/>
  <c r="BG123" i="7"/>
  <c r="BF123" i="7"/>
  <c r="BE123" i="7"/>
  <c r="BD123" i="7"/>
  <c r="BC123" i="7"/>
  <c r="BB123" i="7"/>
  <c r="BA123" i="7"/>
  <c r="AZ123" i="7"/>
  <c r="AY123" i="7"/>
  <c r="AX123" i="7"/>
  <c r="AW123" i="7"/>
  <c r="AV123" i="7"/>
  <c r="AU123" i="7"/>
  <c r="AT123" i="7"/>
  <c r="AS123" i="7"/>
  <c r="AR123" i="7"/>
  <c r="AQ123" i="7"/>
  <c r="AP123" i="7"/>
  <c r="AO123" i="7"/>
  <c r="AN123" i="7"/>
  <c r="AM123" i="7"/>
  <c r="AL123" i="7"/>
  <c r="AK123" i="7"/>
  <c r="AJ123" i="7"/>
  <c r="AI123" i="7"/>
  <c r="AH123" i="7"/>
  <c r="AG123" i="7"/>
  <c r="AF123" i="7"/>
  <c r="AE123" i="7"/>
  <c r="AD123" i="7"/>
  <c r="AC123" i="7"/>
  <c r="AB123" i="7"/>
  <c r="AA123" i="7"/>
  <c r="Z123" i="7"/>
  <c r="Y123" i="7"/>
  <c r="X123" i="7"/>
  <c r="W123" i="7"/>
  <c r="V123" i="7"/>
  <c r="U123" i="7"/>
  <c r="T123" i="7"/>
  <c r="S123" i="7"/>
  <c r="R123" i="7"/>
  <c r="Q123" i="7"/>
  <c r="P123" i="7"/>
  <c r="O123" i="7"/>
  <c r="N123" i="7"/>
  <c r="M123" i="7"/>
  <c r="L123" i="7"/>
  <c r="K123" i="7"/>
  <c r="J123" i="7"/>
  <c r="I123" i="7"/>
  <c r="H123" i="7"/>
  <c r="G123" i="7"/>
  <c r="F123" i="7"/>
  <c r="E123" i="7"/>
  <c r="D123" i="7"/>
  <c r="C123" i="7"/>
  <c r="CF122" i="7"/>
  <c r="CE122" i="7"/>
  <c r="CD122" i="7"/>
  <c r="CC122" i="7"/>
  <c r="CB122" i="7"/>
  <c r="CA122" i="7"/>
  <c r="BZ122" i="7"/>
  <c r="BY122" i="7"/>
  <c r="BX122" i="7"/>
  <c r="BW122" i="7"/>
  <c r="BV122" i="7"/>
  <c r="BU122" i="7"/>
  <c r="BT122" i="7"/>
  <c r="BS122" i="7"/>
  <c r="BR122" i="7"/>
  <c r="BQ122" i="7"/>
  <c r="BP122" i="7"/>
  <c r="BO122" i="7"/>
  <c r="BN122" i="7"/>
  <c r="BM122" i="7"/>
  <c r="BL122" i="7"/>
  <c r="BK122" i="7"/>
  <c r="BJ122" i="7"/>
  <c r="BI122" i="7"/>
  <c r="BH122" i="7"/>
  <c r="BG122" i="7"/>
  <c r="BF122" i="7"/>
  <c r="BE122" i="7"/>
  <c r="BD122" i="7"/>
  <c r="BC122" i="7"/>
  <c r="BB122" i="7"/>
  <c r="BA122" i="7"/>
  <c r="AZ122" i="7"/>
  <c r="AY122" i="7"/>
  <c r="AX122" i="7"/>
  <c r="AW122" i="7"/>
  <c r="AV122" i="7"/>
  <c r="AU122" i="7"/>
  <c r="AT122" i="7"/>
  <c r="AS122" i="7"/>
  <c r="AR122" i="7"/>
  <c r="AQ122" i="7"/>
  <c r="AP122" i="7"/>
  <c r="AO122" i="7"/>
  <c r="AN122" i="7"/>
  <c r="AM122" i="7"/>
  <c r="AL122" i="7"/>
  <c r="AK122" i="7"/>
  <c r="AJ122" i="7"/>
  <c r="AI122" i="7"/>
  <c r="AH122" i="7"/>
  <c r="AG122" i="7"/>
  <c r="AF122" i="7"/>
  <c r="AE122" i="7"/>
  <c r="AD122" i="7"/>
  <c r="AC122" i="7"/>
  <c r="AB122" i="7"/>
  <c r="AA122" i="7"/>
  <c r="Z122" i="7"/>
  <c r="Y122" i="7"/>
  <c r="X122" i="7"/>
  <c r="W122" i="7"/>
  <c r="V122" i="7"/>
  <c r="U122" i="7"/>
  <c r="T122" i="7"/>
  <c r="S122" i="7"/>
  <c r="R122" i="7"/>
  <c r="Q122" i="7"/>
  <c r="P122" i="7"/>
  <c r="O122" i="7"/>
  <c r="N122" i="7"/>
  <c r="M122" i="7"/>
  <c r="L122" i="7"/>
  <c r="K122" i="7"/>
  <c r="J122" i="7"/>
  <c r="I122" i="7"/>
  <c r="H122" i="7"/>
  <c r="G122" i="7"/>
  <c r="F122" i="7"/>
  <c r="E122" i="7"/>
  <c r="D122" i="7"/>
  <c r="C122" i="7"/>
  <c r="CG122" i="7" s="1"/>
  <c r="CF121" i="7"/>
  <c r="CE121" i="7"/>
  <c r="CD121" i="7"/>
  <c r="CC121" i="7"/>
  <c r="CB121" i="7"/>
  <c r="CA121" i="7"/>
  <c r="BZ121" i="7"/>
  <c r="BY121" i="7"/>
  <c r="BX121" i="7"/>
  <c r="BW121" i="7"/>
  <c r="BV121" i="7"/>
  <c r="BU121" i="7"/>
  <c r="BT121" i="7"/>
  <c r="BS121" i="7"/>
  <c r="BR121" i="7"/>
  <c r="BQ121" i="7"/>
  <c r="BP121" i="7"/>
  <c r="BO121" i="7"/>
  <c r="BN121" i="7"/>
  <c r="BM121" i="7"/>
  <c r="BL121" i="7"/>
  <c r="BK121" i="7"/>
  <c r="BJ121" i="7"/>
  <c r="BI121" i="7"/>
  <c r="BH121" i="7"/>
  <c r="BG121" i="7"/>
  <c r="BF121" i="7"/>
  <c r="BE121" i="7"/>
  <c r="BD121" i="7"/>
  <c r="BC121" i="7"/>
  <c r="BB121" i="7"/>
  <c r="BA121" i="7"/>
  <c r="AZ121" i="7"/>
  <c r="AY121" i="7"/>
  <c r="AX121" i="7"/>
  <c r="AW121" i="7"/>
  <c r="AV121" i="7"/>
  <c r="AU121" i="7"/>
  <c r="AT121" i="7"/>
  <c r="AS121" i="7"/>
  <c r="AR121" i="7"/>
  <c r="AQ121" i="7"/>
  <c r="AP121" i="7"/>
  <c r="AO121" i="7"/>
  <c r="AN121" i="7"/>
  <c r="AM121" i="7"/>
  <c r="AL121" i="7"/>
  <c r="AK121" i="7"/>
  <c r="AJ121" i="7"/>
  <c r="AI121" i="7"/>
  <c r="AH121" i="7"/>
  <c r="AG121" i="7"/>
  <c r="AF121" i="7"/>
  <c r="AE121" i="7"/>
  <c r="AD121" i="7"/>
  <c r="AC121" i="7"/>
  <c r="AB121" i="7"/>
  <c r="AA121" i="7"/>
  <c r="Z121" i="7"/>
  <c r="Y121" i="7"/>
  <c r="X121" i="7"/>
  <c r="W121" i="7"/>
  <c r="V121" i="7"/>
  <c r="U121" i="7"/>
  <c r="T121" i="7"/>
  <c r="S121" i="7"/>
  <c r="R121" i="7"/>
  <c r="Q121" i="7"/>
  <c r="P121" i="7"/>
  <c r="O121" i="7"/>
  <c r="N121" i="7"/>
  <c r="M121" i="7"/>
  <c r="L121" i="7"/>
  <c r="K121" i="7"/>
  <c r="J121" i="7"/>
  <c r="I121" i="7"/>
  <c r="H121" i="7"/>
  <c r="G121" i="7"/>
  <c r="F121" i="7"/>
  <c r="E121" i="7"/>
  <c r="D121" i="7"/>
  <c r="C121" i="7"/>
  <c r="CG121" i="7" s="1"/>
  <c r="CF120" i="7"/>
  <c r="CE120" i="7"/>
  <c r="CD120" i="7"/>
  <c r="CC120" i="7"/>
  <c r="CB120" i="7"/>
  <c r="CA120" i="7"/>
  <c r="BZ120" i="7"/>
  <c r="BY120" i="7"/>
  <c r="BX120" i="7"/>
  <c r="BW120" i="7"/>
  <c r="BV120" i="7"/>
  <c r="BU120" i="7"/>
  <c r="BT120" i="7"/>
  <c r="BS120" i="7"/>
  <c r="BR120" i="7"/>
  <c r="BQ120" i="7"/>
  <c r="BP120" i="7"/>
  <c r="BO120" i="7"/>
  <c r="BN120" i="7"/>
  <c r="BM120" i="7"/>
  <c r="BL120" i="7"/>
  <c r="BK120" i="7"/>
  <c r="BJ120" i="7"/>
  <c r="BI120" i="7"/>
  <c r="BH120" i="7"/>
  <c r="BG120" i="7"/>
  <c r="BF120" i="7"/>
  <c r="BE120" i="7"/>
  <c r="BD120" i="7"/>
  <c r="BC120" i="7"/>
  <c r="BB120" i="7"/>
  <c r="BA120" i="7"/>
  <c r="AZ120" i="7"/>
  <c r="AY120" i="7"/>
  <c r="AX120" i="7"/>
  <c r="AW120" i="7"/>
  <c r="AV120" i="7"/>
  <c r="AU120" i="7"/>
  <c r="AT120" i="7"/>
  <c r="AS120" i="7"/>
  <c r="AR120" i="7"/>
  <c r="AQ120" i="7"/>
  <c r="AP120" i="7"/>
  <c r="AO120" i="7"/>
  <c r="AN120" i="7"/>
  <c r="AM120" i="7"/>
  <c r="AL120" i="7"/>
  <c r="AK120" i="7"/>
  <c r="AJ120" i="7"/>
  <c r="AI120" i="7"/>
  <c r="AH120" i="7"/>
  <c r="AG120" i="7"/>
  <c r="AF120" i="7"/>
  <c r="AE120" i="7"/>
  <c r="AD120" i="7"/>
  <c r="AC120" i="7"/>
  <c r="AB120" i="7"/>
  <c r="AA120" i="7"/>
  <c r="Z120" i="7"/>
  <c r="Y120" i="7"/>
  <c r="X120" i="7"/>
  <c r="W120" i="7"/>
  <c r="V120" i="7"/>
  <c r="U120" i="7"/>
  <c r="T120" i="7"/>
  <c r="S120" i="7"/>
  <c r="R120" i="7"/>
  <c r="Q120" i="7"/>
  <c r="P120" i="7"/>
  <c r="O120" i="7"/>
  <c r="N120" i="7"/>
  <c r="M120" i="7"/>
  <c r="L120" i="7"/>
  <c r="K120" i="7"/>
  <c r="J120" i="7"/>
  <c r="I120" i="7"/>
  <c r="H120" i="7"/>
  <c r="G120" i="7"/>
  <c r="F120" i="7"/>
  <c r="E120" i="7"/>
  <c r="D120" i="7"/>
  <c r="C120" i="7"/>
  <c r="CG120" i="7" s="1"/>
  <c r="CF119" i="7"/>
  <c r="CE119" i="7"/>
  <c r="CD119" i="7"/>
  <c r="CC119" i="7"/>
  <c r="CB119" i="7"/>
  <c r="CA119" i="7"/>
  <c r="BZ119" i="7"/>
  <c r="BY119" i="7"/>
  <c r="BX119" i="7"/>
  <c r="BW119" i="7"/>
  <c r="BV119" i="7"/>
  <c r="BU119" i="7"/>
  <c r="BT119" i="7"/>
  <c r="BS119" i="7"/>
  <c r="BR119" i="7"/>
  <c r="BQ119" i="7"/>
  <c r="BP119" i="7"/>
  <c r="BO119" i="7"/>
  <c r="BN119" i="7"/>
  <c r="BM119" i="7"/>
  <c r="BL119" i="7"/>
  <c r="BK119" i="7"/>
  <c r="BJ119" i="7"/>
  <c r="BI119" i="7"/>
  <c r="BH119" i="7"/>
  <c r="BG119" i="7"/>
  <c r="BF119" i="7"/>
  <c r="BE119" i="7"/>
  <c r="BD119" i="7"/>
  <c r="BC119" i="7"/>
  <c r="BB119" i="7"/>
  <c r="BA119" i="7"/>
  <c r="AZ119" i="7"/>
  <c r="AY119" i="7"/>
  <c r="AX119" i="7"/>
  <c r="AW119" i="7"/>
  <c r="AV119" i="7"/>
  <c r="AU119" i="7"/>
  <c r="AT119" i="7"/>
  <c r="AS119" i="7"/>
  <c r="AR119" i="7"/>
  <c r="AQ119" i="7"/>
  <c r="AP119" i="7"/>
  <c r="AO119" i="7"/>
  <c r="AN119" i="7"/>
  <c r="AM119" i="7"/>
  <c r="AL119" i="7"/>
  <c r="AK119" i="7"/>
  <c r="AJ119" i="7"/>
  <c r="AI119" i="7"/>
  <c r="AH119" i="7"/>
  <c r="AG119" i="7"/>
  <c r="AF119" i="7"/>
  <c r="AE119" i="7"/>
  <c r="AD119" i="7"/>
  <c r="AC119" i="7"/>
  <c r="AB119" i="7"/>
  <c r="AA119" i="7"/>
  <c r="Z119" i="7"/>
  <c r="Y119" i="7"/>
  <c r="X119" i="7"/>
  <c r="W119" i="7"/>
  <c r="V119" i="7"/>
  <c r="U119" i="7"/>
  <c r="T119" i="7"/>
  <c r="S119" i="7"/>
  <c r="R119" i="7"/>
  <c r="Q119" i="7"/>
  <c r="P119" i="7"/>
  <c r="O119" i="7"/>
  <c r="N119" i="7"/>
  <c r="M119" i="7"/>
  <c r="L119" i="7"/>
  <c r="K119" i="7"/>
  <c r="J119" i="7"/>
  <c r="I119" i="7"/>
  <c r="H119" i="7"/>
  <c r="G119" i="7"/>
  <c r="F119" i="7"/>
  <c r="E119" i="7"/>
  <c r="D119" i="7"/>
  <c r="C119" i="7"/>
  <c r="CF118" i="7"/>
  <c r="CE118" i="7"/>
  <c r="CD118" i="7"/>
  <c r="CC118" i="7"/>
  <c r="CB118" i="7"/>
  <c r="CA118" i="7"/>
  <c r="BZ118" i="7"/>
  <c r="BY118" i="7"/>
  <c r="BX118" i="7"/>
  <c r="BW118" i="7"/>
  <c r="BV118" i="7"/>
  <c r="BU118" i="7"/>
  <c r="BT118" i="7"/>
  <c r="BS118" i="7"/>
  <c r="BR118" i="7"/>
  <c r="BQ118" i="7"/>
  <c r="BP118" i="7"/>
  <c r="BO118" i="7"/>
  <c r="BN118" i="7"/>
  <c r="BM118" i="7"/>
  <c r="BL118" i="7"/>
  <c r="BK118" i="7"/>
  <c r="BJ118" i="7"/>
  <c r="BI118" i="7"/>
  <c r="BH118" i="7"/>
  <c r="BG118" i="7"/>
  <c r="BF118" i="7"/>
  <c r="BE118" i="7"/>
  <c r="BD118" i="7"/>
  <c r="BC118" i="7"/>
  <c r="BB118" i="7"/>
  <c r="BA118" i="7"/>
  <c r="AZ118" i="7"/>
  <c r="AY118" i="7"/>
  <c r="AX118" i="7"/>
  <c r="AW118" i="7"/>
  <c r="AV118" i="7"/>
  <c r="AU118" i="7"/>
  <c r="AT118" i="7"/>
  <c r="AS118" i="7"/>
  <c r="AR118" i="7"/>
  <c r="AQ118" i="7"/>
  <c r="AP118" i="7"/>
  <c r="AO118" i="7"/>
  <c r="AN118" i="7"/>
  <c r="AM118" i="7"/>
  <c r="AL118" i="7"/>
  <c r="AK118" i="7"/>
  <c r="AJ118" i="7"/>
  <c r="AI118" i="7"/>
  <c r="AH118" i="7"/>
  <c r="AG118" i="7"/>
  <c r="AF118" i="7"/>
  <c r="AE118" i="7"/>
  <c r="AD118" i="7"/>
  <c r="AC118" i="7"/>
  <c r="AB118" i="7"/>
  <c r="AA118" i="7"/>
  <c r="Z118" i="7"/>
  <c r="Y118" i="7"/>
  <c r="X118" i="7"/>
  <c r="W118" i="7"/>
  <c r="V118" i="7"/>
  <c r="U118" i="7"/>
  <c r="T118" i="7"/>
  <c r="S118" i="7"/>
  <c r="R118" i="7"/>
  <c r="Q118" i="7"/>
  <c r="P118" i="7"/>
  <c r="O118" i="7"/>
  <c r="N118" i="7"/>
  <c r="M118" i="7"/>
  <c r="L118" i="7"/>
  <c r="K118" i="7"/>
  <c r="J118" i="7"/>
  <c r="I118" i="7"/>
  <c r="H118" i="7"/>
  <c r="G118" i="7"/>
  <c r="F118" i="7"/>
  <c r="E118" i="7"/>
  <c r="D118" i="7"/>
  <c r="CG118" i="7" s="1"/>
  <c r="C118" i="7"/>
  <c r="CF117" i="7"/>
  <c r="CE117" i="7"/>
  <c r="CD117" i="7"/>
  <c r="CC117" i="7"/>
  <c r="CB117" i="7"/>
  <c r="CA117" i="7"/>
  <c r="BZ117" i="7"/>
  <c r="BY117" i="7"/>
  <c r="BX117" i="7"/>
  <c r="BW117" i="7"/>
  <c r="BV117" i="7"/>
  <c r="BU117" i="7"/>
  <c r="BT117" i="7"/>
  <c r="BS117" i="7"/>
  <c r="BR117" i="7"/>
  <c r="BQ117" i="7"/>
  <c r="BP117" i="7"/>
  <c r="BO117" i="7"/>
  <c r="BN117" i="7"/>
  <c r="BM117" i="7"/>
  <c r="BL117" i="7"/>
  <c r="BK117" i="7"/>
  <c r="BJ117" i="7"/>
  <c r="BI117" i="7"/>
  <c r="BH117" i="7"/>
  <c r="BG117" i="7"/>
  <c r="BF117" i="7"/>
  <c r="BE117" i="7"/>
  <c r="BD117" i="7"/>
  <c r="BC117" i="7"/>
  <c r="BB117" i="7"/>
  <c r="BA117" i="7"/>
  <c r="AZ117" i="7"/>
  <c r="AY117" i="7"/>
  <c r="AX117" i="7"/>
  <c r="AW117" i="7"/>
  <c r="AV117" i="7"/>
  <c r="AU117" i="7"/>
  <c r="AT117" i="7"/>
  <c r="AS117" i="7"/>
  <c r="AR117" i="7"/>
  <c r="AQ117" i="7"/>
  <c r="AP117" i="7"/>
  <c r="AO117" i="7"/>
  <c r="AN117" i="7"/>
  <c r="AM117" i="7"/>
  <c r="AL117" i="7"/>
  <c r="AK117" i="7"/>
  <c r="AJ117" i="7"/>
  <c r="AI117" i="7"/>
  <c r="AH117" i="7"/>
  <c r="AG117" i="7"/>
  <c r="AF117" i="7"/>
  <c r="AE117" i="7"/>
  <c r="AD117" i="7"/>
  <c r="AC117" i="7"/>
  <c r="AB117" i="7"/>
  <c r="AA117" i="7"/>
  <c r="Z117" i="7"/>
  <c r="Y117" i="7"/>
  <c r="X117" i="7"/>
  <c r="W117" i="7"/>
  <c r="V117" i="7"/>
  <c r="U117" i="7"/>
  <c r="T117" i="7"/>
  <c r="S117" i="7"/>
  <c r="R117" i="7"/>
  <c r="Q117" i="7"/>
  <c r="P117" i="7"/>
  <c r="O117" i="7"/>
  <c r="N117" i="7"/>
  <c r="M117" i="7"/>
  <c r="L117" i="7"/>
  <c r="K117" i="7"/>
  <c r="J117" i="7"/>
  <c r="I117" i="7"/>
  <c r="H117" i="7"/>
  <c r="G117" i="7"/>
  <c r="F117" i="7"/>
  <c r="E117" i="7"/>
  <c r="D117" i="7"/>
  <c r="C117" i="7"/>
  <c r="CG117" i="7" s="1"/>
  <c r="CF116" i="7"/>
  <c r="CE116" i="7"/>
  <c r="CD116" i="7"/>
  <c r="CC116" i="7"/>
  <c r="CB116" i="7"/>
  <c r="CA116" i="7"/>
  <c r="BZ116" i="7"/>
  <c r="BY116" i="7"/>
  <c r="BX116" i="7"/>
  <c r="BW116" i="7"/>
  <c r="BV116" i="7"/>
  <c r="BU116" i="7"/>
  <c r="BT116" i="7"/>
  <c r="BS116" i="7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BC116" i="7"/>
  <c r="BB116" i="7"/>
  <c r="BA116" i="7"/>
  <c r="AZ116" i="7"/>
  <c r="AY116" i="7"/>
  <c r="AX116" i="7"/>
  <c r="AW116" i="7"/>
  <c r="AV116" i="7"/>
  <c r="AU116" i="7"/>
  <c r="AT116" i="7"/>
  <c r="AS116" i="7"/>
  <c r="AR116" i="7"/>
  <c r="AQ116" i="7"/>
  <c r="AP116" i="7"/>
  <c r="AO116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CG116" i="7" s="1"/>
  <c r="R116" i="7"/>
  <c r="Q116" i="7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C116" i="7"/>
  <c r="CF115" i="7"/>
  <c r="CE115" i="7"/>
  <c r="CD115" i="7"/>
  <c r="CC115" i="7"/>
  <c r="CB115" i="7"/>
  <c r="CA115" i="7"/>
  <c r="BZ115" i="7"/>
  <c r="BY115" i="7"/>
  <c r="BX115" i="7"/>
  <c r="BW115" i="7"/>
  <c r="BV115" i="7"/>
  <c r="BU115" i="7"/>
  <c r="BT115" i="7"/>
  <c r="BS115" i="7"/>
  <c r="BR115" i="7"/>
  <c r="BQ115" i="7"/>
  <c r="BP115" i="7"/>
  <c r="BO115" i="7"/>
  <c r="BN115" i="7"/>
  <c r="BM115" i="7"/>
  <c r="BL115" i="7"/>
  <c r="BK115" i="7"/>
  <c r="BJ115" i="7"/>
  <c r="BI115" i="7"/>
  <c r="BH115" i="7"/>
  <c r="BG115" i="7"/>
  <c r="BF115" i="7"/>
  <c r="BE115" i="7"/>
  <c r="BD115" i="7"/>
  <c r="BC115" i="7"/>
  <c r="BB115" i="7"/>
  <c r="BA115" i="7"/>
  <c r="AZ115" i="7"/>
  <c r="AY115" i="7"/>
  <c r="AX115" i="7"/>
  <c r="AW115" i="7"/>
  <c r="AV115" i="7"/>
  <c r="AU115" i="7"/>
  <c r="AT115" i="7"/>
  <c r="AS115" i="7"/>
  <c r="AR115" i="7"/>
  <c r="AQ115" i="7"/>
  <c r="AP115" i="7"/>
  <c r="AO115" i="7"/>
  <c r="AN115" i="7"/>
  <c r="AM115" i="7"/>
  <c r="AL115" i="7"/>
  <c r="AK115" i="7"/>
  <c r="AJ115" i="7"/>
  <c r="AI115" i="7"/>
  <c r="AH115" i="7"/>
  <c r="AG115" i="7"/>
  <c r="AF115" i="7"/>
  <c r="AE115" i="7"/>
  <c r="AD115" i="7"/>
  <c r="AC115" i="7"/>
  <c r="AB115" i="7"/>
  <c r="AA115" i="7"/>
  <c r="Z115" i="7"/>
  <c r="Y115" i="7"/>
  <c r="X115" i="7"/>
  <c r="W115" i="7"/>
  <c r="V115" i="7"/>
  <c r="U115" i="7"/>
  <c r="T115" i="7"/>
  <c r="S115" i="7"/>
  <c r="R115" i="7"/>
  <c r="Q115" i="7"/>
  <c r="P115" i="7"/>
  <c r="O115" i="7"/>
  <c r="N115" i="7"/>
  <c r="CG115" i="7" s="1"/>
  <c r="M115" i="7"/>
  <c r="L115" i="7"/>
  <c r="K115" i="7"/>
  <c r="J115" i="7"/>
  <c r="I115" i="7"/>
  <c r="H115" i="7"/>
  <c r="G115" i="7"/>
  <c r="F115" i="7"/>
  <c r="E115" i="7"/>
  <c r="D115" i="7"/>
  <c r="C115" i="7"/>
  <c r="CF114" i="7"/>
  <c r="CE114" i="7"/>
  <c r="CD114" i="7"/>
  <c r="CC114" i="7"/>
  <c r="CB114" i="7"/>
  <c r="CA114" i="7"/>
  <c r="BZ114" i="7"/>
  <c r="BY114" i="7"/>
  <c r="BX114" i="7"/>
  <c r="BW114" i="7"/>
  <c r="BV114" i="7"/>
  <c r="BU114" i="7"/>
  <c r="BT114" i="7"/>
  <c r="BS114" i="7"/>
  <c r="BR114" i="7"/>
  <c r="BQ114" i="7"/>
  <c r="BP114" i="7"/>
  <c r="BO114" i="7"/>
  <c r="BN114" i="7"/>
  <c r="BM114" i="7"/>
  <c r="BL114" i="7"/>
  <c r="BK114" i="7"/>
  <c r="BJ114" i="7"/>
  <c r="BI114" i="7"/>
  <c r="BH114" i="7"/>
  <c r="BG114" i="7"/>
  <c r="BF114" i="7"/>
  <c r="BE114" i="7"/>
  <c r="BD114" i="7"/>
  <c r="BC114" i="7"/>
  <c r="BB114" i="7"/>
  <c r="BA114" i="7"/>
  <c r="AZ114" i="7"/>
  <c r="AY114" i="7"/>
  <c r="AX114" i="7"/>
  <c r="AW114" i="7"/>
  <c r="AV114" i="7"/>
  <c r="AU114" i="7"/>
  <c r="AT114" i="7"/>
  <c r="AS114" i="7"/>
  <c r="AR114" i="7"/>
  <c r="AQ114" i="7"/>
  <c r="AP114" i="7"/>
  <c r="AO114" i="7"/>
  <c r="AN114" i="7"/>
  <c r="AM114" i="7"/>
  <c r="AL114" i="7"/>
  <c r="AK114" i="7"/>
  <c r="AJ114" i="7"/>
  <c r="AI114" i="7"/>
  <c r="AH114" i="7"/>
  <c r="AG114" i="7"/>
  <c r="AF114" i="7"/>
  <c r="AE114" i="7"/>
  <c r="AD114" i="7"/>
  <c r="AC114" i="7"/>
  <c r="AB114" i="7"/>
  <c r="AA114" i="7"/>
  <c r="Z114" i="7"/>
  <c r="Y114" i="7"/>
  <c r="X114" i="7"/>
  <c r="W114" i="7"/>
  <c r="V114" i="7"/>
  <c r="U114" i="7"/>
  <c r="T114" i="7"/>
  <c r="S114" i="7"/>
  <c r="R114" i="7"/>
  <c r="Q114" i="7"/>
  <c r="P114" i="7"/>
  <c r="O114" i="7"/>
  <c r="N114" i="7"/>
  <c r="M114" i="7"/>
  <c r="L114" i="7"/>
  <c r="K114" i="7"/>
  <c r="J114" i="7"/>
  <c r="I114" i="7"/>
  <c r="CG114" i="7" s="1"/>
  <c r="H114" i="7"/>
  <c r="G114" i="7"/>
  <c r="F114" i="7"/>
  <c r="E114" i="7"/>
  <c r="D114" i="7"/>
  <c r="C114" i="7"/>
  <c r="CF113" i="7"/>
  <c r="CE113" i="7"/>
  <c r="CD113" i="7"/>
  <c r="CC113" i="7"/>
  <c r="CB113" i="7"/>
  <c r="CA113" i="7"/>
  <c r="BZ113" i="7"/>
  <c r="BY113" i="7"/>
  <c r="BX113" i="7"/>
  <c r="BW113" i="7"/>
  <c r="BV113" i="7"/>
  <c r="BU113" i="7"/>
  <c r="BT113" i="7"/>
  <c r="BS113" i="7"/>
  <c r="BR113" i="7"/>
  <c r="BQ113" i="7"/>
  <c r="BP113" i="7"/>
  <c r="BO113" i="7"/>
  <c r="BN113" i="7"/>
  <c r="BM113" i="7"/>
  <c r="BL113" i="7"/>
  <c r="BK113" i="7"/>
  <c r="BJ113" i="7"/>
  <c r="BI113" i="7"/>
  <c r="BH113" i="7"/>
  <c r="BG113" i="7"/>
  <c r="BF113" i="7"/>
  <c r="BE113" i="7"/>
  <c r="BD113" i="7"/>
  <c r="BC113" i="7"/>
  <c r="BB113" i="7"/>
  <c r="BA113" i="7"/>
  <c r="AZ113" i="7"/>
  <c r="AY113" i="7"/>
  <c r="AX113" i="7"/>
  <c r="AW113" i="7"/>
  <c r="AV113" i="7"/>
  <c r="AU113" i="7"/>
  <c r="AT113" i="7"/>
  <c r="AS113" i="7"/>
  <c r="AR113" i="7"/>
  <c r="AQ113" i="7"/>
  <c r="AP113" i="7"/>
  <c r="AO113" i="7"/>
  <c r="AN113" i="7"/>
  <c r="AM113" i="7"/>
  <c r="AL113" i="7"/>
  <c r="AK113" i="7"/>
  <c r="AJ113" i="7"/>
  <c r="AI113" i="7"/>
  <c r="AH113" i="7"/>
  <c r="AG113" i="7"/>
  <c r="AF113" i="7"/>
  <c r="AE113" i="7"/>
  <c r="AD113" i="7"/>
  <c r="AC113" i="7"/>
  <c r="AB113" i="7"/>
  <c r="AA113" i="7"/>
  <c r="Z113" i="7"/>
  <c r="Y113" i="7"/>
  <c r="X113" i="7"/>
  <c r="W113" i="7"/>
  <c r="V113" i="7"/>
  <c r="U113" i="7"/>
  <c r="T113" i="7"/>
  <c r="S113" i="7"/>
  <c r="R113" i="7"/>
  <c r="Q113" i="7"/>
  <c r="P113" i="7"/>
  <c r="O113" i="7"/>
  <c r="N113" i="7"/>
  <c r="M113" i="7"/>
  <c r="L113" i="7"/>
  <c r="K113" i="7"/>
  <c r="J113" i="7"/>
  <c r="I113" i="7"/>
  <c r="H113" i="7"/>
  <c r="G113" i="7"/>
  <c r="F113" i="7"/>
  <c r="E113" i="7"/>
  <c r="D113" i="7"/>
  <c r="C113" i="7"/>
  <c r="CG113" i="7" s="1"/>
  <c r="CF112" i="7"/>
  <c r="CE112" i="7"/>
  <c r="CD112" i="7"/>
  <c r="CC112" i="7"/>
  <c r="CB112" i="7"/>
  <c r="CA112" i="7"/>
  <c r="BZ112" i="7"/>
  <c r="BY112" i="7"/>
  <c r="BX112" i="7"/>
  <c r="BW112" i="7"/>
  <c r="BV112" i="7"/>
  <c r="BU112" i="7"/>
  <c r="BT112" i="7"/>
  <c r="BS112" i="7"/>
  <c r="BR112" i="7"/>
  <c r="BQ112" i="7"/>
  <c r="BP112" i="7"/>
  <c r="BO112" i="7"/>
  <c r="BN112" i="7"/>
  <c r="BM112" i="7"/>
  <c r="BL112" i="7"/>
  <c r="BK112" i="7"/>
  <c r="BJ112" i="7"/>
  <c r="BI112" i="7"/>
  <c r="BH112" i="7"/>
  <c r="BG112" i="7"/>
  <c r="BF112" i="7"/>
  <c r="BE112" i="7"/>
  <c r="BD112" i="7"/>
  <c r="BC112" i="7"/>
  <c r="BB112" i="7"/>
  <c r="BA112" i="7"/>
  <c r="AZ112" i="7"/>
  <c r="AY112" i="7"/>
  <c r="AX112" i="7"/>
  <c r="AW112" i="7"/>
  <c r="AV112" i="7"/>
  <c r="AU112" i="7"/>
  <c r="AT112" i="7"/>
  <c r="AS112" i="7"/>
  <c r="AR112" i="7"/>
  <c r="AQ112" i="7"/>
  <c r="AP112" i="7"/>
  <c r="AO112" i="7"/>
  <c r="AN112" i="7"/>
  <c r="AM112" i="7"/>
  <c r="AL112" i="7"/>
  <c r="AK112" i="7"/>
  <c r="AJ112" i="7"/>
  <c r="AI112" i="7"/>
  <c r="AH112" i="7"/>
  <c r="AG112" i="7"/>
  <c r="AF112" i="7"/>
  <c r="AE112" i="7"/>
  <c r="AD112" i="7"/>
  <c r="AC112" i="7"/>
  <c r="AB112" i="7"/>
  <c r="AA112" i="7"/>
  <c r="Z112" i="7"/>
  <c r="Y112" i="7"/>
  <c r="X112" i="7"/>
  <c r="W112" i="7"/>
  <c r="V112" i="7"/>
  <c r="U112" i="7"/>
  <c r="T112" i="7"/>
  <c r="S112" i="7"/>
  <c r="R112" i="7"/>
  <c r="Q112" i="7"/>
  <c r="P112" i="7"/>
  <c r="O112" i="7"/>
  <c r="N112" i="7"/>
  <c r="M112" i="7"/>
  <c r="L112" i="7"/>
  <c r="K112" i="7"/>
  <c r="J112" i="7"/>
  <c r="I112" i="7"/>
  <c r="H112" i="7"/>
  <c r="G112" i="7"/>
  <c r="F112" i="7"/>
  <c r="E112" i="7"/>
  <c r="D112" i="7"/>
  <c r="C112" i="7"/>
  <c r="CG112" i="7" s="1"/>
  <c r="CF111" i="7"/>
  <c r="CE111" i="7"/>
  <c r="CD111" i="7"/>
  <c r="CC111" i="7"/>
  <c r="CB111" i="7"/>
  <c r="CA111" i="7"/>
  <c r="BZ111" i="7"/>
  <c r="BY111" i="7"/>
  <c r="BX111" i="7"/>
  <c r="BW111" i="7"/>
  <c r="BV111" i="7"/>
  <c r="BU111" i="7"/>
  <c r="BT111" i="7"/>
  <c r="BS111" i="7"/>
  <c r="BR111" i="7"/>
  <c r="BQ111" i="7"/>
  <c r="BP111" i="7"/>
  <c r="BO111" i="7"/>
  <c r="BN111" i="7"/>
  <c r="BM111" i="7"/>
  <c r="BL111" i="7"/>
  <c r="BK111" i="7"/>
  <c r="BJ111" i="7"/>
  <c r="BI111" i="7"/>
  <c r="BH111" i="7"/>
  <c r="BG111" i="7"/>
  <c r="BF111" i="7"/>
  <c r="BE111" i="7"/>
  <c r="BD111" i="7"/>
  <c r="BC111" i="7"/>
  <c r="BB111" i="7"/>
  <c r="BA111" i="7"/>
  <c r="AZ111" i="7"/>
  <c r="AY111" i="7"/>
  <c r="AX111" i="7"/>
  <c r="AW111" i="7"/>
  <c r="AV111" i="7"/>
  <c r="AU111" i="7"/>
  <c r="AT111" i="7"/>
  <c r="AS111" i="7"/>
  <c r="AR111" i="7"/>
  <c r="AQ111" i="7"/>
  <c r="AP111" i="7"/>
  <c r="AO111" i="7"/>
  <c r="AN111" i="7"/>
  <c r="AM111" i="7"/>
  <c r="AL111" i="7"/>
  <c r="AK111" i="7"/>
  <c r="AJ111" i="7"/>
  <c r="AI111" i="7"/>
  <c r="AH111" i="7"/>
  <c r="AG111" i="7"/>
  <c r="AF111" i="7"/>
  <c r="AE111" i="7"/>
  <c r="AD111" i="7"/>
  <c r="AC111" i="7"/>
  <c r="AB111" i="7"/>
  <c r="AA111" i="7"/>
  <c r="Z111" i="7"/>
  <c r="Y111" i="7"/>
  <c r="X111" i="7"/>
  <c r="W111" i="7"/>
  <c r="V111" i="7"/>
  <c r="U111" i="7"/>
  <c r="T111" i="7"/>
  <c r="S111" i="7"/>
  <c r="R111" i="7"/>
  <c r="Q111" i="7"/>
  <c r="P111" i="7"/>
  <c r="O111" i="7"/>
  <c r="N111" i="7"/>
  <c r="M111" i="7"/>
  <c r="L111" i="7"/>
  <c r="K111" i="7"/>
  <c r="J111" i="7"/>
  <c r="I111" i="7"/>
  <c r="H111" i="7"/>
  <c r="G111" i="7"/>
  <c r="F111" i="7"/>
  <c r="E111" i="7"/>
  <c r="D111" i="7"/>
  <c r="C111" i="7"/>
  <c r="CG111" i="7" s="1"/>
  <c r="CF110" i="7"/>
  <c r="CE110" i="7"/>
  <c r="CD110" i="7"/>
  <c r="CC110" i="7"/>
  <c r="CB110" i="7"/>
  <c r="CA110" i="7"/>
  <c r="BZ110" i="7"/>
  <c r="BY110" i="7"/>
  <c r="BX110" i="7"/>
  <c r="BW110" i="7"/>
  <c r="BV110" i="7"/>
  <c r="BU110" i="7"/>
  <c r="BT110" i="7"/>
  <c r="BS110" i="7"/>
  <c r="BR110" i="7"/>
  <c r="BQ110" i="7"/>
  <c r="BP110" i="7"/>
  <c r="BO110" i="7"/>
  <c r="BN110" i="7"/>
  <c r="BM110" i="7"/>
  <c r="BL110" i="7"/>
  <c r="BK110" i="7"/>
  <c r="BJ110" i="7"/>
  <c r="BI110" i="7"/>
  <c r="BH110" i="7"/>
  <c r="BG110" i="7"/>
  <c r="BF110" i="7"/>
  <c r="BE110" i="7"/>
  <c r="BD110" i="7"/>
  <c r="BC110" i="7"/>
  <c r="BB110" i="7"/>
  <c r="BA110" i="7"/>
  <c r="AZ110" i="7"/>
  <c r="AY110" i="7"/>
  <c r="AX110" i="7"/>
  <c r="AW110" i="7"/>
  <c r="AV110" i="7"/>
  <c r="AU110" i="7"/>
  <c r="AT110" i="7"/>
  <c r="AS110" i="7"/>
  <c r="AR110" i="7"/>
  <c r="AQ110" i="7"/>
  <c r="AP110" i="7"/>
  <c r="AO110" i="7"/>
  <c r="AN110" i="7"/>
  <c r="AM110" i="7"/>
  <c r="AL110" i="7"/>
  <c r="AK110" i="7"/>
  <c r="AJ110" i="7"/>
  <c r="AI110" i="7"/>
  <c r="AH110" i="7"/>
  <c r="AG110" i="7"/>
  <c r="AF110" i="7"/>
  <c r="AE110" i="7"/>
  <c r="AD110" i="7"/>
  <c r="AC110" i="7"/>
  <c r="AB110" i="7"/>
  <c r="AA110" i="7"/>
  <c r="Z110" i="7"/>
  <c r="Y110" i="7"/>
  <c r="X110" i="7"/>
  <c r="W110" i="7"/>
  <c r="V110" i="7"/>
  <c r="U110" i="7"/>
  <c r="T110" i="7"/>
  <c r="S110" i="7"/>
  <c r="R110" i="7"/>
  <c r="Q110" i="7"/>
  <c r="P110" i="7"/>
  <c r="O110" i="7"/>
  <c r="N110" i="7"/>
  <c r="M110" i="7"/>
  <c r="L110" i="7"/>
  <c r="K110" i="7"/>
  <c r="CG110" i="7" s="1"/>
  <c r="J110" i="7"/>
  <c r="I110" i="7"/>
  <c r="H110" i="7"/>
  <c r="G110" i="7"/>
  <c r="F110" i="7"/>
  <c r="E110" i="7"/>
  <c r="D110" i="7"/>
  <c r="C110" i="7"/>
  <c r="CF109" i="7"/>
  <c r="CE109" i="7"/>
  <c r="CD109" i="7"/>
  <c r="CC109" i="7"/>
  <c r="CB109" i="7"/>
  <c r="CA109" i="7"/>
  <c r="BZ109" i="7"/>
  <c r="BY109" i="7"/>
  <c r="BX109" i="7"/>
  <c r="BW109" i="7"/>
  <c r="BV109" i="7"/>
  <c r="BU109" i="7"/>
  <c r="BT109" i="7"/>
  <c r="BS109" i="7"/>
  <c r="BR109" i="7"/>
  <c r="BQ109" i="7"/>
  <c r="BP109" i="7"/>
  <c r="BO109" i="7"/>
  <c r="BN109" i="7"/>
  <c r="BM109" i="7"/>
  <c r="BL109" i="7"/>
  <c r="BK109" i="7"/>
  <c r="BJ109" i="7"/>
  <c r="BI109" i="7"/>
  <c r="BH109" i="7"/>
  <c r="BG109" i="7"/>
  <c r="BF109" i="7"/>
  <c r="BE109" i="7"/>
  <c r="BD109" i="7"/>
  <c r="BC109" i="7"/>
  <c r="BB109" i="7"/>
  <c r="BA109" i="7"/>
  <c r="AZ109" i="7"/>
  <c r="AY109" i="7"/>
  <c r="AX109" i="7"/>
  <c r="AW109" i="7"/>
  <c r="AV109" i="7"/>
  <c r="AU109" i="7"/>
  <c r="AT109" i="7"/>
  <c r="AS109" i="7"/>
  <c r="AR109" i="7"/>
  <c r="AQ109" i="7"/>
  <c r="AP109" i="7"/>
  <c r="AO109" i="7"/>
  <c r="AN109" i="7"/>
  <c r="AM109" i="7"/>
  <c r="AL109" i="7"/>
  <c r="AK109" i="7"/>
  <c r="AJ109" i="7"/>
  <c r="AI109" i="7"/>
  <c r="AH109" i="7"/>
  <c r="AG109" i="7"/>
  <c r="AF109" i="7"/>
  <c r="AE109" i="7"/>
  <c r="AD109" i="7"/>
  <c r="AC109" i="7"/>
  <c r="AB109" i="7"/>
  <c r="AA109" i="7"/>
  <c r="Z109" i="7"/>
  <c r="Y109" i="7"/>
  <c r="X109" i="7"/>
  <c r="W109" i="7"/>
  <c r="V109" i="7"/>
  <c r="U109" i="7"/>
  <c r="T109" i="7"/>
  <c r="S109" i="7"/>
  <c r="R109" i="7"/>
  <c r="Q109" i="7"/>
  <c r="P109" i="7"/>
  <c r="O109" i="7"/>
  <c r="N109" i="7"/>
  <c r="M109" i="7"/>
  <c r="L109" i="7"/>
  <c r="K109" i="7"/>
  <c r="J109" i="7"/>
  <c r="I109" i="7"/>
  <c r="H109" i="7"/>
  <c r="G109" i="7"/>
  <c r="F109" i="7"/>
  <c r="E109" i="7"/>
  <c r="D109" i="7"/>
  <c r="C109" i="7"/>
  <c r="CG109" i="7" s="1"/>
  <c r="CF108" i="7"/>
  <c r="CE108" i="7"/>
  <c r="CD108" i="7"/>
  <c r="CC108" i="7"/>
  <c r="CB108" i="7"/>
  <c r="CA108" i="7"/>
  <c r="BZ108" i="7"/>
  <c r="BY108" i="7"/>
  <c r="BX108" i="7"/>
  <c r="BW108" i="7"/>
  <c r="BV108" i="7"/>
  <c r="BU108" i="7"/>
  <c r="BT108" i="7"/>
  <c r="BS108" i="7"/>
  <c r="BR108" i="7"/>
  <c r="BQ108" i="7"/>
  <c r="BP108" i="7"/>
  <c r="BO108" i="7"/>
  <c r="BN108" i="7"/>
  <c r="BM108" i="7"/>
  <c r="BL108" i="7"/>
  <c r="BK108" i="7"/>
  <c r="BJ108" i="7"/>
  <c r="BI108" i="7"/>
  <c r="BH108" i="7"/>
  <c r="BG108" i="7"/>
  <c r="BF108" i="7"/>
  <c r="BE108" i="7"/>
  <c r="BD108" i="7"/>
  <c r="BC108" i="7"/>
  <c r="BB108" i="7"/>
  <c r="BA108" i="7"/>
  <c r="AZ108" i="7"/>
  <c r="AY108" i="7"/>
  <c r="AX108" i="7"/>
  <c r="AW108" i="7"/>
  <c r="AV108" i="7"/>
  <c r="AU108" i="7"/>
  <c r="AT108" i="7"/>
  <c r="AS108" i="7"/>
  <c r="AR108" i="7"/>
  <c r="AQ108" i="7"/>
  <c r="AP108" i="7"/>
  <c r="AO108" i="7"/>
  <c r="AN108" i="7"/>
  <c r="AM108" i="7"/>
  <c r="AL108" i="7"/>
  <c r="AK108" i="7"/>
  <c r="AJ108" i="7"/>
  <c r="AI108" i="7"/>
  <c r="AH108" i="7"/>
  <c r="AG108" i="7"/>
  <c r="AF108" i="7"/>
  <c r="AE108" i="7"/>
  <c r="AD108" i="7"/>
  <c r="AC108" i="7"/>
  <c r="AB108" i="7"/>
  <c r="AA108" i="7"/>
  <c r="Z108" i="7"/>
  <c r="Y108" i="7"/>
  <c r="X108" i="7"/>
  <c r="W108" i="7"/>
  <c r="V108" i="7"/>
  <c r="U108" i="7"/>
  <c r="T108" i="7"/>
  <c r="S108" i="7"/>
  <c r="R108" i="7"/>
  <c r="Q108" i="7"/>
  <c r="P108" i="7"/>
  <c r="O108" i="7"/>
  <c r="N108" i="7"/>
  <c r="M108" i="7"/>
  <c r="L108" i="7"/>
  <c r="K108" i="7"/>
  <c r="J108" i="7"/>
  <c r="I108" i="7"/>
  <c r="H108" i="7"/>
  <c r="G108" i="7"/>
  <c r="F108" i="7"/>
  <c r="E108" i="7"/>
  <c r="D108" i="7"/>
  <c r="C108" i="7"/>
  <c r="CG108" i="7" s="1"/>
  <c r="CF107" i="7"/>
  <c r="CE107" i="7"/>
  <c r="CD107" i="7"/>
  <c r="CC107" i="7"/>
  <c r="CB107" i="7"/>
  <c r="CA107" i="7"/>
  <c r="BZ107" i="7"/>
  <c r="BY107" i="7"/>
  <c r="BX107" i="7"/>
  <c r="BW107" i="7"/>
  <c r="BV107" i="7"/>
  <c r="BU107" i="7"/>
  <c r="BT107" i="7"/>
  <c r="BS107" i="7"/>
  <c r="BR107" i="7"/>
  <c r="BQ107" i="7"/>
  <c r="BP107" i="7"/>
  <c r="BO107" i="7"/>
  <c r="BN107" i="7"/>
  <c r="BM107" i="7"/>
  <c r="BL107" i="7"/>
  <c r="BK107" i="7"/>
  <c r="BJ107" i="7"/>
  <c r="BI107" i="7"/>
  <c r="BH107" i="7"/>
  <c r="BG107" i="7"/>
  <c r="BF107" i="7"/>
  <c r="BE107" i="7"/>
  <c r="BD107" i="7"/>
  <c r="BC107" i="7"/>
  <c r="BB107" i="7"/>
  <c r="BA107" i="7"/>
  <c r="AZ107" i="7"/>
  <c r="AY107" i="7"/>
  <c r="AX107" i="7"/>
  <c r="AW107" i="7"/>
  <c r="AV107" i="7"/>
  <c r="AU107" i="7"/>
  <c r="AT107" i="7"/>
  <c r="AS107" i="7"/>
  <c r="AR107" i="7"/>
  <c r="AQ107" i="7"/>
  <c r="AP107" i="7"/>
  <c r="AO107" i="7"/>
  <c r="AN107" i="7"/>
  <c r="AM107" i="7"/>
  <c r="AL107" i="7"/>
  <c r="AK107" i="7"/>
  <c r="AJ107" i="7"/>
  <c r="AI107" i="7"/>
  <c r="AH107" i="7"/>
  <c r="AG107" i="7"/>
  <c r="AF107" i="7"/>
  <c r="AE107" i="7"/>
  <c r="AD107" i="7"/>
  <c r="AC107" i="7"/>
  <c r="AB107" i="7"/>
  <c r="AA107" i="7"/>
  <c r="Z107" i="7"/>
  <c r="Y107" i="7"/>
  <c r="X107" i="7"/>
  <c r="W107" i="7"/>
  <c r="V107" i="7"/>
  <c r="U107" i="7"/>
  <c r="T107" i="7"/>
  <c r="S107" i="7"/>
  <c r="R107" i="7"/>
  <c r="Q107" i="7"/>
  <c r="P107" i="7"/>
  <c r="O107" i="7"/>
  <c r="N107" i="7"/>
  <c r="M107" i="7"/>
  <c r="L107" i="7"/>
  <c r="K107" i="7"/>
  <c r="J107" i="7"/>
  <c r="I107" i="7"/>
  <c r="H107" i="7"/>
  <c r="G107" i="7"/>
  <c r="F107" i="7"/>
  <c r="E107" i="7"/>
  <c r="D107" i="7"/>
  <c r="C107" i="7"/>
  <c r="CG107" i="7" s="1"/>
  <c r="CF106" i="7"/>
  <c r="CE106" i="7"/>
  <c r="CD106" i="7"/>
  <c r="CC106" i="7"/>
  <c r="CB106" i="7"/>
  <c r="CA106" i="7"/>
  <c r="BZ106" i="7"/>
  <c r="BY106" i="7"/>
  <c r="BX106" i="7"/>
  <c r="BW106" i="7"/>
  <c r="BV106" i="7"/>
  <c r="BU106" i="7"/>
  <c r="BT106" i="7"/>
  <c r="BS106" i="7"/>
  <c r="BR106" i="7"/>
  <c r="BQ106" i="7"/>
  <c r="BP106" i="7"/>
  <c r="BO106" i="7"/>
  <c r="BN106" i="7"/>
  <c r="BM106" i="7"/>
  <c r="BL106" i="7"/>
  <c r="BK106" i="7"/>
  <c r="BJ106" i="7"/>
  <c r="BI106" i="7"/>
  <c r="BH106" i="7"/>
  <c r="BG106" i="7"/>
  <c r="BF106" i="7"/>
  <c r="BE106" i="7"/>
  <c r="BD106" i="7"/>
  <c r="BC106" i="7"/>
  <c r="BB106" i="7"/>
  <c r="BA106" i="7"/>
  <c r="AZ106" i="7"/>
  <c r="AY106" i="7"/>
  <c r="AX106" i="7"/>
  <c r="AW106" i="7"/>
  <c r="AV106" i="7"/>
  <c r="AU106" i="7"/>
  <c r="AT106" i="7"/>
  <c r="AS106" i="7"/>
  <c r="AR106" i="7"/>
  <c r="AQ106" i="7"/>
  <c r="AP106" i="7"/>
  <c r="AO106" i="7"/>
  <c r="AN106" i="7"/>
  <c r="AM106" i="7"/>
  <c r="AL106" i="7"/>
  <c r="AK106" i="7"/>
  <c r="AJ106" i="7"/>
  <c r="AI106" i="7"/>
  <c r="AH106" i="7"/>
  <c r="AG106" i="7"/>
  <c r="AF106" i="7"/>
  <c r="AE106" i="7"/>
  <c r="AD106" i="7"/>
  <c r="AC106" i="7"/>
  <c r="AB106" i="7"/>
  <c r="AA106" i="7"/>
  <c r="Z106" i="7"/>
  <c r="Y106" i="7"/>
  <c r="X106" i="7"/>
  <c r="W106" i="7"/>
  <c r="V106" i="7"/>
  <c r="U106" i="7"/>
  <c r="T106" i="7"/>
  <c r="S106" i="7"/>
  <c r="R106" i="7"/>
  <c r="Q106" i="7"/>
  <c r="P106" i="7"/>
  <c r="O106" i="7"/>
  <c r="N106" i="7"/>
  <c r="M106" i="7"/>
  <c r="L106" i="7"/>
  <c r="K106" i="7"/>
  <c r="J106" i="7"/>
  <c r="I106" i="7"/>
  <c r="H106" i="7"/>
  <c r="G106" i="7"/>
  <c r="F106" i="7"/>
  <c r="E106" i="7"/>
  <c r="D106" i="7"/>
  <c r="C106" i="7"/>
  <c r="CF105" i="7"/>
  <c r="CE105" i="7"/>
  <c r="CD105" i="7"/>
  <c r="CC105" i="7"/>
  <c r="CB105" i="7"/>
  <c r="CA105" i="7"/>
  <c r="BZ105" i="7"/>
  <c r="BY105" i="7"/>
  <c r="BX105" i="7"/>
  <c r="BW105" i="7"/>
  <c r="BV105" i="7"/>
  <c r="BU105" i="7"/>
  <c r="BT105" i="7"/>
  <c r="BS105" i="7"/>
  <c r="BR105" i="7"/>
  <c r="BQ105" i="7"/>
  <c r="BP105" i="7"/>
  <c r="BO105" i="7"/>
  <c r="BN105" i="7"/>
  <c r="BM105" i="7"/>
  <c r="BL105" i="7"/>
  <c r="BK105" i="7"/>
  <c r="BJ105" i="7"/>
  <c r="BI105" i="7"/>
  <c r="BH105" i="7"/>
  <c r="BG105" i="7"/>
  <c r="BF105" i="7"/>
  <c r="BE105" i="7"/>
  <c r="BD105" i="7"/>
  <c r="BC105" i="7"/>
  <c r="BB105" i="7"/>
  <c r="BA105" i="7"/>
  <c r="AZ105" i="7"/>
  <c r="AY105" i="7"/>
  <c r="AX105" i="7"/>
  <c r="AW105" i="7"/>
  <c r="AV105" i="7"/>
  <c r="AU105" i="7"/>
  <c r="AT105" i="7"/>
  <c r="AS105" i="7"/>
  <c r="AR105" i="7"/>
  <c r="AQ105" i="7"/>
  <c r="AP105" i="7"/>
  <c r="AO105" i="7"/>
  <c r="AN105" i="7"/>
  <c r="AM105" i="7"/>
  <c r="AL105" i="7"/>
  <c r="AK105" i="7"/>
  <c r="AJ105" i="7"/>
  <c r="AI105" i="7"/>
  <c r="AH105" i="7"/>
  <c r="AG105" i="7"/>
  <c r="AF105" i="7"/>
  <c r="AE105" i="7"/>
  <c r="AD105" i="7"/>
  <c r="AC105" i="7"/>
  <c r="AB105" i="7"/>
  <c r="AA105" i="7"/>
  <c r="Z105" i="7"/>
  <c r="Y105" i="7"/>
  <c r="X105" i="7"/>
  <c r="W105" i="7"/>
  <c r="V105" i="7"/>
  <c r="U105" i="7"/>
  <c r="T105" i="7"/>
  <c r="S105" i="7"/>
  <c r="R105" i="7"/>
  <c r="Q105" i="7"/>
  <c r="P105" i="7"/>
  <c r="O105" i="7"/>
  <c r="N105" i="7"/>
  <c r="M105" i="7"/>
  <c r="L105" i="7"/>
  <c r="K105" i="7"/>
  <c r="J105" i="7"/>
  <c r="I105" i="7"/>
  <c r="H105" i="7"/>
  <c r="G105" i="7"/>
  <c r="F105" i="7"/>
  <c r="E105" i="7"/>
  <c r="D105" i="7"/>
  <c r="C105" i="7"/>
  <c r="CG105" i="7" s="1"/>
  <c r="CF104" i="7"/>
  <c r="CE104" i="7"/>
  <c r="CD104" i="7"/>
  <c r="CC104" i="7"/>
  <c r="CB104" i="7"/>
  <c r="CA104" i="7"/>
  <c r="BZ104" i="7"/>
  <c r="BY104" i="7"/>
  <c r="BX104" i="7"/>
  <c r="BW104" i="7"/>
  <c r="BV104" i="7"/>
  <c r="BU104" i="7"/>
  <c r="BT104" i="7"/>
  <c r="BS104" i="7"/>
  <c r="BR104" i="7"/>
  <c r="BQ104" i="7"/>
  <c r="BP104" i="7"/>
  <c r="BO104" i="7"/>
  <c r="BN104" i="7"/>
  <c r="BM104" i="7"/>
  <c r="BL104" i="7"/>
  <c r="BK104" i="7"/>
  <c r="BJ104" i="7"/>
  <c r="BI104" i="7"/>
  <c r="BH104" i="7"/>
  <c r="BG104" i="7"/>
  <c r="BF104" i="7"/>
  <c r="BE104" i="7"/>
  <c r="BD104" i="7"/>
  <c r="BC104" i="7"/>
  <c r="BB104" i="7"/>
  <c r="BA104" i="7"/>
  <c r="AZ104" i="7"/>
  <c r="AY104" i="7"/>
  <c r="AX104" i="7"/>
  <c r="AW104" i="7"/>
  <c r="AV104" i="7"/>
  <c r="AU104" i="7"/>
  <c r="AT104" i="7"/>
  <c r="AS104" i="7"/>
  <c r="AR104" i="7"/>
  <c r="AQ104" i="7"/>
  <c r="AP104" i="7"/>
  <c r="AO104" i="7"/>
  <c r="AN104" i="7"/>
  <c r="AM104" i="7"/>
  <c r="AL104" i="7"/>
  <c r="AK104" i="7"/>
  <c r="AJ104" i="7"/>
  <c r="AI104" i="7"/>
  <c r="AH104" i="7"/>
  <c r="AG104" i="7"/>
  <c r="AF104" i="7"/>
  <c r="AE104" i="7"/>
  <c r="AD104" i="7"/>
  <c r="AC104" i="7"/>
  <c r="AB104" i="7"/>
  <c r="AA104" i="7"/>
  <c r="Z104" i="7"/>
  <c r="Y104" i="7"/>
  <c r="X104" i="7"/>
  <c r="W104" i="7"/>
  <c r="V104" i="7"/>
  <c r="U104" i="7"/>
  <c r="T104" i="7"/>
  <c r="S104" i="7"/>
  <c r="R104" i="7"/>
  <c r="Q104" i="7"/>
  <c r="P104" i="7"/>
  <c r="O104" i="7"/>
  <c r="N104" i="7"/>
  <c r="M104" i="7"/>
  <c r="L104" i="7"/>
  <c r="K104" i="7"/>
  <c r="J104" i="7"/>
  <c r="I104" i="7"/>
  <c r="H104" i="7"/>
  <c r="G104" i="7"/>
  <c r="F104" i="7"/>
  <c r="E104" i="7"/>
  <c r="D104" i="7"/>
  <c r="C104" i="7"/>
  <c r="CG104" i="7" s="1"/>
  <c r="CF103" i="7"/>
  <c r="CE103" i="7"/>
  <c r="CD103" i="7"/>
  <c r="CC103" i="7"/>
  <c r="CB103" i="7"/>
  <c r="CA103" i="7"/>
  <c r="BZ103" i="7"/>
  <c r="BY103" i="7"/>
  <c r="BX103" i="7"/>
  <c r="BW103" i="7"/>
  <c r="BV103" i="7"/>
  <c r="BU103" i="7"/>
  <c r="BT103" i="7"/>
  <c r="BS103" i="7"/>
  <c r="BR103" i="7"/>
  <c r="BQ103" i="7"/>
  <c r="BP103" i="7"/>
  <c r="BO103" i="7"/>
  <c r="BN103" i="7"/>
  <c r="BM103" i="7"/>
  <c r="BL103" i="7"/>
  <c r="BK103" i="7"/>
  <c r="BJ103" i="7"/>
  <c r="BI103" i="7"/>
  <c r="BH103" i="7"/>
  <c r="BG103" i="7"/>
  <c r="BF103" i="7"/>
  <c r="BE103" i="7"/>
  <c r="BD103" i="7"/>
  <c r="BC103" i="7"/>
  <c r="BB103" i="7"/>
  <c r="BA103" i="7"/>
  <c r="AZ103" i="7"/>
  <c r="AY103" i="7"/>
  <c r="AX103" i="7"/>
  <c r="AW103" i="7"/>
  <c r="AV103" i="7"/>
  <c r="AU103" i="7"/>
  <c r="AT103" i="7"/>
  <c r="AS103" i="7"/>
  <c r="AR103" i="7"/>
  <c r="AQ103" i="7"/>
  <c r="AP103" i="7"/>
  <c r="AO103" i="7"/>
  <c r="AN103" i="7"/>
  <c r="AM103" i="7"/>
  <c r="AL103" i="7"/>
  <c r="AK103" i="7"/>
  <c r="AJ103" i="7"/>
  <c r="AI103" i="7"/>
  <c r="AH103" i="7"/>
  <c r="AG103" i="7"/>
  <c r="AF103" i="7"/>
  <c r="AE103" i="7"/>
  <c r="AD103" i="7"/>
  <c r="AC103" i="7"/>
  <c r="AB103" i="7"/>
  <c r="AA103" i="7"/>
  <c r="Z103" i="7"/>
  <c r="Y103" i="7"/>
  <c r="X103" i="7"/>
  <c r="W103" i="7"/>
  <c r="V103" i="7"/>
  <c r="U103" i="7"/>
  <c r="T103" i="7"/>
  <c r="S103" i="7"/>
  <c r="R103" i="7"/>
  <c r="Q103" i="7"/>
  <c r="P103" i="7"/>
  <c r="O103" i="7"/>
  <c r="N103" i="7"/>
  <c r="M103" i="7"/>
  <c r="L103" i="7"/>
  <c r="K103" i="7"/>
  <c r="J103" i="7"/>
  <c r="I103" i="7"/>
  <c r="H103" i="7"/>
  <c r="G103" i="7"/>
  <c r="F103" i="7"/>
  <c r="E103" i="7"/>
  <c r="D103" i="7"/>
  <c r="C103" i="7"/>
  <c r="CG103" i="7" s="1"/>
  <c r="CF102" i="7"/>
  <c r="CE102" i="7"/>
  <c r="CD102" i="7"/>
  <c r="CC102" i="7"/>
  <c r="CB102" i="7"/>
  <c r="CA102" i="7"/>
  <c r="BZ102" i="7"/>
  <c r="BY102" i="7"/>
  <c r="BX102" i="7"/>
  <c r="BW102" i="7"/>
  <c r="BV102" i="7"/>
  <c r="BU102" i="7"/>
  <c r="BT102" i="7"/>
  <c r="BS102" i="7"/>
  <c r="BR102" i="7"/>
  <c r="BQ102" i="7"/>
  <c r="BP102" i="7"/>
  <c r="BO102" i="7"/>
  <c r="BN102" i="7"/>
  <c r="BM102" i="7"/>
  <c r="BL102" i="7"/>
  <c r="BK102" i="7"/>
  <c r="BJ102" i="7"/>
  <c r="BI102" i="7"/>
  <c r="BH102" i="7"/>
  <c r="BG102" i="7"/>
  <c r="BF102" i="7"/>
  <c r="BE102" i="7"/>
  <c r="BD102" i="7"/>
  <c r="BC102" i="7"/>
  <c r="BB102" i="7"/>
  <c r="BA102" i="7"/>
  <c r="AZ102" i="7"/>
  <c r="AY102" i="7"/>
  <c r="AX102" i="7"/>
  <c r="AW102" i="7"/>
  <c r="AV102" i="7"/>
  <c r="AU102" i="7"/>
  <c r="AT102" i="7"/>
  <c r="AS102" i="7"/>
  <c r="AR102" i="7"/>
  <c r="AQ102" i="7"/>
  <c r="AP102" i="7"/>
  <c r="AO102" i="7"/>
  <c r="AN102" i="7"/>
  <c r="AM102" i="7"/>
  <c r="AL102" i="7"/>
  <c r="AK102" i="7"/>
  <c r="AJ102" i="7"/>
  <c r="AI102" i="7"/>
  <c r="AH102" i="7"/>
  <c r="AG102" i="7"/>
  <c r="AF102" i="7"/>
  <c r="AE102" i="7"/>
  <c r="AD102" i="7"/>
  <c r="AC102" i="7"/>
  <c r="AB102" i="7"/>
  <c r="AA102" i="7"/>
  <c r="Z102" i="7"/>
  <c r="Y102" i="7"/>
  <c r="X102" i="7"/>
  <c r="W102" i="7"/>
  <c r="V102" i="7"/>
  <c r="U102" i="7"/>
  <c r="T102" i="7"/>
  <c r="S102" i="7"/>
  <c r="R102" i="7"/>
  <c r="Q102" i="7"/>
  <c r="P102" i="7"/>
  <c r="O102" i="7"/>
  <c r="N102" i="7"/>
  <c r="M102" i="7"/>
  <c r="L102" i="7"/>
  <c r="K102" i="7"/>
  <c r="J102" i="7"/>
  <c r="I102" i="7"/>
  <c r="H102" i="7"/>
  <c r="G102" i="7"/>
  <c r="F102" i="7"/>
  <c r="E102" i="7"/>
  <c r="D102" i="7"/>
  <c r="C102" i="7"/>
  <c r="CF101" i="7"/>
  <c r="CE101" i="7"/>
  <c r="CD101" i="7"/>
  <c r="CC101" i="7"/>
  <c r="CB101" i="7"/>
  <c r="CA101" i="7"/>
  <c r="BZ101" i="7"/>
  <c r="BY101" i="7"/>
  <c r="BX101" i="7"/>
  <c r="BW101" i="7"/>
  <c r="BV101" i="7"/>
  <c r="BU101" i="7"/>
  <c r="BT101" i="7"/>
  <c r="BS101" i="7"/>
  <c r="BR101" i="7"/>
  <c r="BQ101" i="7"/>
  <c r="BP101" i="7"/>
  <c r="BO101" i="7"/>
  <c r="BN101" i="7"/>
  <c r="BM101" i="7"/>
  <c r="BL101" i="7"/>
  <c r="BK101" i="7"/>
  <c r="BJ101" i="7"/>
  <c r="BI101" i="7"/>
  <c r="BH101" i="7"/>
  <c r="BG101" i="7"/>
  <c r="BF101" i="7"/>
  <c r="BE101" i="7"/>
  <c r="BD101" i="7"/>
  <c r="BC101" i="7"/>
  <c r="BB101" i="7"/>
  <c r="BA101" i="7"/>
  <c r="AZ101" i="7"/>
  <c r="AY101" i="7"/>
  <c r="AX101" i="7"/>
  <c r="AW101" i="7"/>
  <c r="AV101" i="7"/>
  <c r="AU101" i="7"/>
  <c r="AT101" i="7"/>
  <c r="AS101" i="7"/>
  <c r="AR101" i="7"/>
  <c r="AQ101" i="7"/>
  <c r="AP101" i="7"/>
  <c r="AO101" i="7"/>
  <c r="AN101" i="7"/>
  <c r="AM101" i="7"/>
  <c r="AL101" i="7"/>
  <c r="AK101" i="7"/>
  <c r="AJ101" i="7"/>
  <c r="AI101" i="7"/>
  <c r="AH101" i="7"/>
  <c r="AG101" i="7"/>
  <c r="AF101" i="7"/>
  <c r="AE101" i="7"/>
  <c r="AD101" i="7"/>
  <c r="AC101" i="7"/>
  <c r="AB101" i="7"/>
  <c r="AA101" i="7"/>
  <c r="Z101" i="7"/>
  <c r="Y101" i="7"/>
  <c r="X101" i="7"/>
  <c r="W101" i="7"/>
  <c r="V101" i="7"/>
  <c r="U101" i="7"/>
  <c r="T101" i="7"/>
  <c r="S101" i="7"/>
  <c r="R101" i="7"/>
  <c r="Q101" i="7"/>
  <c r="P101" i="7"/>
  <c r="O101" i="7"/>
  <c r="N101" i="7"/>
  <c r="M101" i="7"/>
  <c r="L101" i="7"/>
  <c r="K101" i="7"/>
  <c r="J101" i="7"/>
  <c r="I101" i="7"/>
  <c r="H101" i="7"/>
  <c r="G101" i="7"/>
  <c r="F101" i="7"/>
  <c r="E101" i="7"/>
  <c r="D101" i="7"/>
  <c r="C101" i="7"/>
  <c r="CF100" i="7"/>
  <c r="CE100" i="7"/>
  <c r="CD100" i="7"/>
  <c r="CC100" i="7"/>
  <c r="CB100" i="7"/>
  <c r="CA100" i="7"/>
  <c r="BZ100" i="7"/>
  <c r="BY100" i="7"/>
  <c r="BX100" i="7"/>
  <c r="BW100" i="7"/>
  <c r="BV100" i="7"/>
  <c r="BU100" i="7"/>
  <c r="BT100" i="7"/>
  <c r="BS100" i="7"/>
  <c r="BR100" i="7"/>
  <c r="BQ100" i="7"/>
  <c r="BP100" i="7"/>
  <c r="BO100" i="7"/>
  <c r="BN100" i="7"/>
  <c r="BM100" i="7"/>
  <c r="BL100" i="7"/>
  <c r="BK100" i="7"/>
  <c r="BJ100" i="7"/>
  <c r="BI100" i="7"/>
  <c r="BH100" i="7"/>
  <c r="BG100" i="7"/>
  <c r="BF100" i="7"/>
  <c r="BE100" i="7"/>
  <c r="BD100" i="7"/>
  <c r="BC100" i="7"/>
  <c r="BB100" i="7"/>
  <c r="BA100" i="7"/>
  <c r="AZ100" i="7"/>
  <c r="AY100" i="7"/>
  <c r="AX100" i="7"/>
  <c r="AW100" i="7"/>
  <c r="AV100" i="7"/>
  <c r="AU100" i="7"/>
  <c r="AT100" i="7"/>
  <c r="AS100" i="7"/>
  <c r="AR100" i="7"/>
  <c r="AQ100" i="7"/>
  <c r="AP100" i="7"/>
  <c r="AO100" i="7"/>
  <c r="AN100" i="7"/>
  <c r="AM100" i="7"/>
  <c r="AL100" i="7"/>
  <c r="AK100" i="7"/>
  <c r="AJ100" i="7"/>
  <c r="AI100" i="7"/>
  <c r="AH100" i="7"/>
  <c r="AG100" i="7"/>
  <c r="AF100" i="7"/>
  <c r="AE100" i="7"/>
  <c r="AD100" i="7"/>
  <c r="AC100" i="7"/>
  <c r="AB100" i="7"/>
  <c r="AA100" i="7"/>
  <c r="Z100" i="7"/>
  <c r="Y100" i="7"/>
  <c r="X100" i="7"/>
  <c r="W100" i="7"/>
  <c r="V100" i="7"/>
  <c r="U100" i="7"/>
  <c r="T100" i="7"/>
  <c r="S100" i="7"/>
  <c r="R100" i="7"/>
  <c r="Q100" i="7"/>
  <c r="P100" i="7"/>
  <c r="O100" i="7"/>
  <c r="N100" i="7"/>
  <c r="M100" i="7"/>
  <c r="L100" i="7"/>
  <c r="K100" i="7"/>
  <c r="J100" i="7"/>
  <c r="I100" i="7"/>
  <c r="H100" i="7"/>
  <c r="G100" i="7"/>
  <c r="F100" i="7"/>
  <c r="E100" i="7"/>
  <c r="D100" i="7"/>
  <c r="C100" i="7"/>
  <c r="CG100" i="7" s="1"/>
  <c r="CF99" i="7"/>
  <c r="CE99" i="7"/>
  <c r="CD99" i="7"/>
  <c r="CC99" i="7"/>
  <c r="CB99" i="7"/>
  <c r="CA99" i="7"/>
  <c r="BZ99" i="7"/>
  <c r="BY99" i="7"/>
  <c r="BX99" i="7"/>
  <c r="BW99" i="7"/>
  <c r="BV99" i="7"/>
  <c r="BU99" i="7"/>
  <c r="BT99" i="7"/>
  <c r="BS99" i="7"/>
  <c r="BR99" i="7"/>
  <c r="BQ99" i="7"/>
  <c r="BP99" i="7"/>
  <c r="BO99" i="7"/>
  <c r="BN99" i="7"/>
  <c r="BM99" i="7"/>
  <c r="BL99" i="7"/>
  <c r="BK99" i="7"/>
  <c r="BJ99" i="7"/>
  <c r="BI99" i="7"/>
  <c r="BH99" i="7"/>
  <c r="BG99" i="7"/>
  <c r="BF99" i="7"/>
  <c r="BE99" i="7"/>
  <c r="BD99" i="7"/>
  <c r="BC99" i="7"/>
  <c r="BB99" i="7"/>
  <c r="BA99" i="7"/>
  <c r="AZ99" i="7"/>
  <c r="AY99" i="7"/>
  <c r="AX99" i="7"/>
  <c r="AW99" i="7"/>
  <c r="AV99" i="7"/>
  <c r="AU99" i="7"/>
  <c r="AT99" i="7"/>
  <c r="AS99" i="7"/>
  <c r="AR99" i="7"/>
  <c r="AQ99" i="7"/>
  <c r="AP99" i="7"/>
  <c r="AO99" i="7"/>
  <c r="AN99" i="7"/>
  <c r="AM99" i="7"/>
  <c r="AL99" i="7"/>
  <c r="AK99" i="7"/>
  <c r="AJ99" i="7"/>
  <c r="AI99" i="7"/>
  <c r="AH99" i="7"/>
  <c r="AG99" i="7"/>
  <c r="AF99" i="7"/>
  <c r="AE99" i="7"/>
  <c r="AD99" i="7"/>
  <c r="AC99" i="7"/>
  <c r="AB99" i="7"/>
  <c r="AA99" i="7"/>
  <c r="Z99" i="7"/>
  <c r="Y99" i="7"/>
  <c r="X99" i="7"/>
  <c r="W99" i="7"/>
  <c r="V99" i="7"/>
  <c r="U99" i="7"/>
  <c r="T99" i="7"/>
  <c r="S99" i="7"/>
  <c r="R99" i="7"/>
  <c r="Q99" i="7"/>
  <c r="P99" i="7"/>
  <c r="O99" i="7"/>
  <c r="N99" i="7"/>
  <c r="M99" i="7"/>
  <c r="L99" i="7"/>
  <c r="K99" i="7"/>
  <c r="J99" i="7"/>
  <c r="I99" i="7"/>
  <c r="H99" i="7"/>
  <c r="G99" i="7"/>
  <c r="F99" i="7"/>
  <c r="E99" i="7"/>
  <c r="D99" i="7"/>
  <c r="C99" i="7"/>
  <c r="CG99" i="7" s="1"/>
  <c r="CF98" i="7"/>
  <c r="CE98" i="7"/>
  <c r="CD98" i="7"/>
  <c r="CC98" i="7"/>
  <c r="CB98" i="7"/>
  <c r="CA98" i="7"/>
  <c r="BZ98" i="7"/>
  <c r="BY98" i="7"/>
  <c r="BX98" i="7"/>
  <c r="BW98" i="7"/>
  <c r="BV98" i="7"/>
  <c r="BU98" i="7"/>
  <c r="BT98" i="7"/>
  <c r="BS98" i="7"/>
  <c r="BR98" i="7"/>
  <c r="BQ98" i="7"/>
  <c r="BP98" i="7"/>
  <c r="BO98" i="7"/>
  <c r="BN98" i="7"/>
  <c r="BM98" i="7"/>
  <c r="BL98" i="7"/>
  <c r="BK98" i="7"/>
  <c r="BJ98" i="7"/>
  <c r="BI98" i="7"/>
  <c r="BH98" i="7"/>
  <c r="BG98" i="7"/>
  <c r="BF98" i="7"/>
  <c r="BE98" i="7"/>
  <c r="BD98" i="7"/>
  <c r="BC98" i="7"/>
  <c r="BB98" i="7"/>
  <c r="BA98" i="7"/>
  <c r="AZ98" i="7"/>
  <c r="AY98" i="7"/>
  <c r="AX98" i="7"/>
  <c r="AW98" i="7"/>
  <c r="AV98" i="7"/>
  <c r="AU98" i="7"/>
  <c r="AT98" i="7"/>
  <c r="AS98" i="7"/>
  <c r="AR98" i="7"/>
  <c r="AQ98" i="7"/>
  <c r="AP98" i="7"/>
  <c r="AO98" i="7"/>
  <c r="AN98" i="7"/>
  <c r="AM98" i="7"/>
  <c r="AL98" i="7"/>
  <c r="AK98" i="7"/>
  <c r="AJ98" i="7"/>
  <c r="AI98" i="7"/>
  <c r="AH98" i="7"/>
  <c r="AG98" i="7"/>
  <c r="AF98" i="7"/>
  <c r="AE98" i="7"/>
  <c r="AD98" i="7"/>
  <c r="AC98" i="7"/>
  <c r="AB98" i="7"/>
  <c r="AA98" i="7"/>
  <c r="Z98" i="7"/>
  <c r="Y98" i="7"/>
  <c r="X98" i="7"/>
  <c r="W98" i="7"/>
  <c r="V98" i="7"/>
  <c r="U98" i="7"/>
  <c r="T98" i="7"/>
  <c r="S98" i="7"/>
  <c r="R98" i="7"/>
  <c r="Q98" i="7"/>
  <c r="P98" i="7"/>
  <c r="O98" i="7"/>
  <c r="N98" i="7"/>
  <c r="M98" i="7"/>
  <c r="L98" i="7"/>
  <c r="K98" i="7"/>
  <c r="J98" i="7"/>
  <c r="I98" i="7"/>
  <c r="H98" i="7"/>
  <c r="G98" i="7"/>
  <c r="F98" i="7"/>
  <c r="E98" i="7"/>
  <c r="D98" i="7"/>
  <c r="C98" i="7"/>
  <c r="CG98" i="7" s="1"/>
  <c r="CF97" i="7"/>
  <c r="CE97" i="7"/>
  <c r="CD97" i="7"/>
  <c r="CC97" i="7"/>
  <c r="CB97" i="7"/>
  <c r="CA97" i="7"/>
  <c r="BZ97" i="7"/>
  <c r="BY97" i="7"/>
  <c r="BX97" i="7"/>
  <c r="BW97" i="7"/>
  <c r="BV97" i="7"/>
  <c r="BU97" i="7"/>
  <c r="BT97" i="7"/>
  <c r="BS97" i="7"/>
  <c r="BR97" i="7"/>
  <c r="BQ97" i="7"/>
  <c r="BP97" i="7"/>
  <c r="BO97" i="7"/>
  <c r="BN97" i="7"/>
  <c r="BM97" i="7"/>
  <c r="BL97" i="7"/>
  <c r="BK97" i="7"/>
  <c r="BJ97" i="7"/>
  <c r="BI97" i="7"/>
  <c r="BH97" i="7"/>
  <c r="BG97" i="7"/>
  <c r="BF97" i="7"/>
  <c r="BE97" i="7"/>
  <c r="BD97" i="7"/>
  <c r="BC97" i="7"/>
  <c r="BB97" i="7"/>
  <c r="BA97" i="7"/>
  <c r="AZ97" i="7"/>
  <c r="AY97" i="7"/>
  <c r="AX97" i="7"/>
  <c r="AW97" i="7"/>
  <c r="AV97" i="7"/>
  <c r="AU97" i="7"/>
  <c r="AT97" i="7"/>
  <c r="AS97" i="7"/>
  <c r="AR97" i="7"/>
  <c r="AQ97" i="7"/>
  <c r="AP97" i="7"/>
  <c r="AO97" i="7"/>
  <c r="AN97" i="7"/>
  <c r="AM97" i="7"/>
  <c r="AL97" i="7"/>
  <c r="AK97" i="7"/>
  <c r="AJ97" i="7"/>
  <c r="AI97" i="7"/>
  <c r="AH97" i="7"/>
  <c r="AG97" i="7"/>
  <c r="AF97" i="7"/>
  <c r="AE97" i="7"/>
  <c r="AD97" i="7"/>
  <c r="AC97" i="7"/>
  <c r="AB97" i="7"/>
  <c r="AA97" i="7"/>
  <c r="Z97" i="7"/>
  <c r="Y97" i="7"/>
  <c r="X97" i="7"/>
  <c r="W97" i="7"/>
  <c r="V97" i="7"/>
  <c r="U97" i="7"/>
  <c r="T97" i="7"/>
  <c r="S97" i="7"/>
  <c r="R97" i="7"/>
  <c r="Q97" i="7"/>
  <c r="P97" i="7"/>
  <c r="O97" i="7"/>
  <c r="N97" i="7"/>
  <c r="M97" i="7"/>
  <c r="L97" i="7"/>
  <c r="K97" i="7"/>
  <c r="J97" i="7"/>
  <c r="I97" i="7"/>
  <c r="H97" i="7"/>
  <c r="G97" i="7"/>
  <c r="F97" i="7"/>
  <c r="E97" i="7"/>
  <c r="D97" i="7"/>
  <c r="C97" i="7"/>
  <c r="CF96" i="7"/>
  <c r="CE96" i="7"/>
  <c r="CD96" i="7"/>
  <c r="CC96" i="7"/>
  <c r="CB96" i="7"/>
  <c r="CA96" i="7"/>
  <c r="BZ96" i="7"/>
  <c r="BY96" i="7"/>
  <c r="BX96" i="7"/>
  <c r="BW96" i="7"/>
  <c r="BV96" i="7"/>
  <c r="BU96" i="7"/>
  <c r="BT96" i="7"/>
  <c r="BS96" i="7"/>
  <c r="BR96" i="7"/>
  <c r="BQ96" i="7"/>
  <c r="BP96" i="7"/>
  <c r="BO96" i="7"/>
  <c r="BN96" i="7"/>
  <c r="BM96" i="7"/>
  <c r="BL96" i="7"/>
  <c r="BK96" i="7"/>
  <c r="BJ96" i="7"/>
  <c r="BI96" i="7"/>
  <c r="BH96" i="7"/>
  <c r="BG96" i="7"/>
  <c r="BF96" i="7"/>
  <c r="BE96" i="7"/>
  <c r="BD96" i="7"/>
  <c r="BC96" i="7"/>
  <c r="BB96" i="7"/>
  <c r="BA96" i="7"/>
  <c r="AZ96" i="7"/>
  <c r="AY96" i="7"/>
  <c r="AX96" i="7"/>
  <c r="AW96" i="7"/>
  <c r="AV96" i="7"/>
  <c r="AU96" i="7"/>
  <c r="AT96" i="7"/>
  <c r="AS96" i="7"/>
  <c r="AR96" i="7"/>
  <c r="AQ96" i="7"/>
  <c r="AP96" i="7"/>
  <c r="AO96" i="7"/>
  <c r="AN96" i="7"/>
  <c r="AM96" i="7"/>
  <c r="AL96" i="7"/>
  <c r="AK96" i="7"/>
  <c r="AJ96" i="7"/>
  <c r="AI96" i="7"/>
  <c r="AH96" i="7"/>
  <c r="AG96" i="7"/>
  <c r="AF96" i="7"/>
  <c r="AE96" i="7"/>
  <c r="AD96" i="7"/>
  <c r="AC96" i="7"/>
  <c r="AB96" i="7"/>
  <c r="AA96" i="7"/>
  <c r="Z96" i="7"/>
  <c r="Y96" i="7"/>
  <c r="X96" i="7"/>
  <c r="W96" i="7"/>
  <c r="V96" i="7"/>
  <c r="U96" i="7"/>
  <c r="T96" i="7"/>
  <c r="S96" i="7"/>
  <c r="R96" i="7"/>
  <c r="Q96" i="7"/>
  <c r="P96" i="7"/>
  <c r="O96" i="7"/>
  <c r="N96" i="7"/>
  <c r="M96" i="7"/>
  <c r="L96" i="7"/>
  <c r="K96" i="7"/>
  <c r="J96" i="7"/>
  <c r="I96" i="7"/>
  <c r="H96" i="7"/>
  <c r="G96" i="7"/>
  <c r="F96" i="7"/>
  <c r="E96" i="7"/>
  <c r="D96" i="7"/>
  <c r="CG96" i="7" s="1"/>
  <c r="C96" i="7"/>
  <c r="CF95" i="7"/>
  <c r="CE95" i="7"/>
  <c r="CD95" i="7"/>
  <c r="CC95" i="7"/>
  <c r="CB95" i="7"/>
  <c r="CA95" i="7"/>
  <c r="BZ95" i="7"/>
  <c r="BY95" i="7"/>
  <c r="BX95" i="7"/>
  <c r="BW95" i="7"/>
  <c r="BV95" i="7"/>
  <c r="BU95" i="7"/>
  <c r="BT95" i="7"/>
  <c r="BS95" i="7"/>
  <c r="BR95" i="7"/>
  <c r="BQ95" i="7"/>
  <c r="BP95" i="7"/>
  <c r="BO95" i="7"/>
  <c r="BN95" i="7"/>
  <c r="BM95" i="7"/>
  <c r="BL95" i="7"/>
  <c r="BK95" i="7"/>
  <c r="BJ95" i="7"/>
  <c r="BI95" i="7"/>
  <c r="BH95" i="7"/>
  <c r="BG95" i="7"/>
  <c r="BF95" i="7"/>
  <c r="BE95" i="7"/>
  <c r="BD95" i="7"/>
  <c r="BC95" i="7"/>
  <c r="BB95" i="7"/>
  <c r="BA95" i="7"/>
  <c r="AZ95" i="7"/>
  <c r="AY95" i="7"/>
  <c r="AX95" i="7"/>
  <c r="AW95" i="7"/>
  <c r="AV95" i="7"/>
  <c r="AU95" i="7"/>
  <c r="AT95" i="7"/>
  <c r="AS95" i="7"/>
  <c r="AR95" i="7"/>
  <c r="AQ95" i="7"/>
  <c r="AP95" i="7"/>
  <c r="AO95" i="7"/>
  <c r="AN95" i="7"/>
  <c r="AM95" i="7"/>
  <c r="AL95" i="7"/>
  <c r="AK95" i="7"/>
  <c r="AJ95" i="7"/>
  <c r="AI95" i="7"/>
  <c r="AH95" i="7"/>
  <c r="AG95" i="7"/>
  <c r="AF95" i="7"/>
  <c r="AE95" i="7"/>
  <c r="AD95" i="7"/>
  <c r="AC95" i="7"/>
  <c r="AB95" i="7"/>
  <c r="AA95" i="7"/>
  <c r="Z95" i="7"/>
  <c r="Y95" i="7"/>
  <c r="X95" i="7"/>
  <c r="W95" i="7"/>
  <c r="V95" i="7"/>
  <c r="U95" i="7"/>
  <c r="T95" i="7"/>
  <c r="S95" i="7"/>
  <c r="R95" i="7"/>
  <c r="Q95" i="7"/>
  <c r="P95" i="7"/>
  <c r="O95" i="7"/>
  <c r="N95" i="7"/>
  <c r="M95" i="7"/>
  <c r="L95" i="7"/>
  <c r="K95" i="7"/>
  <c r="J95" i="7"/>
  <c r="I95" i="7"/>
  <c r="H95" i="7"/>
  <c r="G95" i="7"/>
  <c r="F95" i="7"/>
  <c r="E95" i="7"/>
  <c r="D95" i="7"/>
  <c r="C95" i="7"/>
  <c r="CG95" i="7" s="1"/>
  <c r="CF94" i="7"/>
  <c r="CE94" i="7"/>
  <c r="CD94" i="7"/>
  <c r="CC94" i="7"/>
  <c r="CB94" i="7"/>
  <c r="CA94" i="7"/>
  <c r="BZ94" i="7"/>
  <c r="BY94" i="7"/>
  <c r="BX94" i="7"/>
  <c r="BW94" i="7"/>
  <c r="BV94" i="7"/>
  <c r="BU94" i="7"/>
  <c r="BT94" i="7"/>
  <c r="BS94" i="7"/>
  <c r="BR94" i="7"/>
  <c r="BQ94" i="7"/>
  <c r="BP94" i="7"/>
  <c r="BO94" i="7"/>
  <c r="BN94" i="7"/>
  <c r="BM94" i="7"/>
  <c r="BL94" i="7"/>
  <c r="BK94" i="7"/>
  <c r="BJ94" i="7"/>
  <c r="BI94" i="7"/>
  <c r="BH94" i="7"/>
  <c r="BG94" i="7"/>
  <c r="BF94" i="7"/>
  <c r="BE94" i="7"/>
  <c r="BD94" i="7"/>
  <c r="BC94" i="7"/>
  <c r="BB94" i="7"/>
  <c r="BA94" i="7"/>
  <c r="AZ94" i="7"/>
  <c r="AY94" i="7"/>
  <c r="AX94" i="7"/>
  <c r="AW94" i="7"/>
  <c r="AV94" i="7"/>
  <c r="AU94" i="7"/>
  <c r="AT94" i="7"/>
  <c r="AS94" i="7"/>
  <c r="AR94" i="7"/>
  <c r="AQ94" i="7"/>
  <c r="AP94" i="7"/>
  <c r="AO94" i="7"/>
  <c r="AN94" i="7"/>
  <c r="AM94" i="7"/>
  <c r="AL94" i="7"/>
  <c r="AK94" i="7"/>
  <c r="AJ94" i="7"/>
  <c r="AI94" i="7"/>
  <c r="AH94" i="7"/>
  <c r="AG94" i="7"/>
  <c r="AF94" i="7"/>
  <c r="AE94" i="7"/>
  <c r="AD94" i="7"/>
  <c r="AC94" i="7"/>
  <c r="AB94" i="7"/>
  <c r="AA94" i="7"/>
  <c r="Z94" i="7"/>
  <c r="Y94" i="7"/>
  <c r="X94" i="7"/>
  <c r="W94" i="7"/>
  <c r="V94" i="7"/>
  <c r="U94" i="7"/>
  <c r="T94" i="7"/>
  <c r="S94" i="7"/>
  <c r="CG94" i="7" s="1"/>
  <c r="R94" i="7"/>
  <c r="Q94" i="7"/>
  <c r="P94" i="7"/>
  <c r="O94" i="7"/>
  <c r="N94" i="7"/>
  <c r="M94" i="7"/>
  <c r="L94" i="7"/>
  <c r="K94" i="7"/>
  <c r="J94" i="7"/>
  <c r="I94" i="7"/>
  <c r="H94" i="7"/>
  <c r="G94" i="7"/>
  <c r="F94" i="7"/>
  <c r="E94" i="7"/>
  <c r="D94" i="7"/>
  <c r="C94" i="7"/>
  <c r="CF93" i="7"/>
  <c r="CE93" i="7"/>
  <c r="CD93" i="7"/>
  <c r="CC93" i="7"/>
  <c r="CB93" i="7"/>
  <c r="CA93" i="7"/>
  <c r="BZ93" i="7"/>
  <c r="BY93" i="7"/>
  <c r="BX93" i="7"/>
  <c r="BW93" i="7"/>
  <c r="BV93" i="7"/>
  <c r="BU93" i="7"/>
  <c r="BT93" i="7"/>
  <c r="BS93" i="7"/>
  <c r="BR93" i="7"/>
  <c r="BQ93" i="7"/>
  <c r="BP93" i="7"/>
  <c r="BO93" i="7"/>
  <c r="BN93" i="7"/>
  <c r="BM93" i="7"/>
  <c r="BL93" i="7"/>
  <c r="BK93" i="7"/>
  <c r="BJ93" i="7"/>
  <c r="BI93" i="7"/>
  <c r="BH93" i="7"/>
  <c r="BG93" i="7"/>
  <c r="BF93" i="7"/>
  <c r="BE93" i="7"/>
  <c r="BD93" i="7"/>
  <c r="BC93" i="7"/>
  <c r="BB93" i="7"/>
  <c r="BA93" i="7"/>
  <c r="AZ93" i="7"/>
  <c r="AY93" i="7"/>
  <c r="AX93" i="7"/>
  <c r="AW93" i="7"/>
  <c r="AV93" i="7"/>
  <c r="AU93" i="7"/>
  <c r="AT93" i="7"/>
  <c r="AS93" i="7"/>
  <c r="AR93" i="7"/>
  <c r="AQ93" i="7"/>
  <c r="AP93" i="7"/>
  <c r="AO93" i="7"/>
  <c r="AN93" i="7"/>
  <c r="AM93" i="7"/>
  <c r="AL93" i="7"/>
  <c r="AK93" i="7"/>
  <c r="AJ93" i="7"/>
  <c r="AI93" i="7"/>
  <c r="AH93" i="7"/>
  <c r="AG93" i="7"/>
  <c r="AF93" i="7"/>
  <c r="AE93" i="7"/>
  <c r="AD93" i="7"/>
  <c r="AC93" i="7"/>
  <c r="AB93" i="7"/>
  <c r="AA93" i="7"/>
  <c r="Z93" i="7"/>
  <c r="Y93" i="7"/>
  <c r="X93" i="7"/>
  <c r="W93" i="7"/>
  <c r="V93" i="7"/>
  <c r="U93" i="7"/>
  <c r="T93" i="7"/>
  <c r="S93" i="7"/>
  <c r="R93" i="7"/>
  <c r="Q93" i="7"/>
  <c r="P93" i="7"/>
  <c r="O93" i="7"/>
  <c r="N93" i="7"/>
  <c r="CG93" i="7" s="1"/>
  <c r="M93" i="7"/>
  <c r="L93" i="7"/>
  <c r="K93" i="7"/>
  <c r="J93" i="7"/>
  <c r="I93" i="7"/>
  <c r="H93" i="7"/>
  <c r="G93" i="7"/>
  <c r="F93" i="7"/>
  <c r="E93" i="7"/>
  <c r="D93" i="7"/>
  <c r="C93" i="7"/>
  <c r="CF92" i="7"/>
  <c r="CE92" i="7"/>
  <c r="CD92" i="7"/>
  <c r="CC92" i="7"/>
  <c r="CB92" i="7"/>
  <c r="CA92" i="7"/>
  <c r="BZ92" i="7"/>
  <c r="BY92" i="7"/>
  <c r="BX92" i="7"/>
  <c r="BW92" i="7"/>
  <c r="BV92" i="7"/>
  <c r="BU92" i="7"/>
  <c r="BT92" i="7"/>
  <c r="BS92" i="7"/>
  <c r="BR92" i="7"/>
  <c r="BQ92" i="7"/>
  <c r="BP92" i="7"/>
  <c r="BO92" i="7"/>
  <c r="BN92" i="7"/>
  <c r="BM92" i="7"/>
  <c r="BL92" i="7"/>
  <c r="BK92" i="7"/>
  <c r="BJ92" i="7"/>
  <c r="BI92" i="7"/>
  <c r="BH92" i="7"/>
  <c r="BG92" i="7"/>
  <c r="BF92" i="7"/>
  <c r="BE92" i="7"/>
  <c r="BD92" i="7"/>
  <c r="BC92" i="7"/>
  <c r="BB92" i="7"/>
  <c r="BA92" i="7"/>
  <c r="AZ92" i="7"/>
  <c r="AY92" i="7"/>
  <c r="AX92" i="7"/>
  <c r="AW92" i="7"/>
  <c r="AV92" i="7"/>
  <c r="AU92" i="7"/>
  <c r="AT92" i="7"/>
  <c r="AS92" i="7"/>
  <c r="AR92" i="7"/>
  <c r="AQ92" i="7"/>
  <c r="AP92" i="7"/>
  <c r="AO92" i="7"/>
  <c r="AN92" i="7"/>
  <c r="AM92" i="7"/>
  <c r="AL92" i="7"/>
  <c r="AK92" i="7"/>
  <c r="AJ92" i="7"/>
  <c r="AI92" i="7"/>
  <c r="AH92" i="7"/>
  <c r="AG92" i="7"/>
  <c r="AF92" i="7"/>
  <c r="AE92" i="7"/>
  <c r="AD92" i="7"/>
  <c r="AC92" i="7"/>
  <c r="AB92" i="7"/>
  <c r="AA92" i="7"/>
  <c r="Z92" i="7"/>
  <c r="Y92" i="7"/>
  <c r="X92" i="7"/>
  <c r="W92" i="7"/>
  <c r="V92" i="7"/>
  <c r="U92" i="7"/>
  <c r="T92" i="7"/>
  <c r="S92" i="7"/>
  <c r="R92" i="7"/>
  <c r="Q92" i="7"/>
  <c r="P92" i="7"/>
  <c r="O92" i="7"/>
  <c r="N92" i="7"/>
  <c r="M92" i="7"/>
  <c r="L92" i="7"/>
  <c r="K92" i="7"/>
  <c r="J92" i="7"/>
  <c r="I92" i="7"/>
  <c r="H92" i="7"/>
  <c r="G92" i="7"/>
  <c r="F92" i="7"/>
  <c r="E92" i="7"/>
  <c r="D92" i="7"/>
  <c r="C92" i="7"/>
  <c r="CF91" i="7"/>
  <c r="CE91" i="7"/>
  <c r="CD91" i="7"/>
  <c r="CC91" i="7"/>
  <c r="CB91" i="7"/>
  <c r="CA91" i="7"/>
  <c r="BZ91" i="7"/>
  <c r="BY91" i="7"/>
  <c r="BX91" i="7"/>
  <c r="BW91" i="7"/>
  <c r="BV91" i="7"/>
  <c r="BU91" i="7"/>
  <c r="BT91" i="7"/>
  <c r="BS91" i="7"/>
  <c r="BR91" i="7"/>
  <c r="BQ91" i="7"/>
  <c r="BP91" i="7"/>
  <c r="BO91" i="7"/>
  <c r="BN91" i="7"/>
  <c r="BM91" i="7"/>
  <c r="BL91" i="7"/>
  <c r="BK91" i="7"/>
  <c r="BJ91" i="7"/>
  <c r="BI91" i="7"/>
  <c r="BH91" i="7"/>
  <c r="BG91" i="7"/>
  <c r="BF91" i="7"/>
  <c r="BE91" i="7"/>
  <c r="BD91" i="7"/>
  <c r="BC91" i="7"/>
  <c r="BB91" i="7"/>
  <c r="BA91" i="7"/>
  <c r="AZ91" i="7"/>
  <c r="AY91" i="7"/>
  <c r="AX91" i="7"/>
  <c r="AW91" i="7"/>
  <c r="AV91" i="7"/>
  <c r="AU91" i="7"/>
  <c r="AT91" i="7"/>
  <c r="AS91" i="7"/>
  <c r="AR91" i="7"/>
  <c r="AQ91" i="7"/>
  <c r="AP91" i="7"/>
  <c r="AO91" i="7"/>
  <c r="AN91" i="7"/>
  <c r="AM91" i="7"/>
  <c r="AL91" i="7"/>
  <c r="AK91" i="7"/>
  <c r="AJ91" i="7"/>
  <c r="AI91" i="7"/>
  <c r="AH91" i="7"/>
  <c r="AG91" i="7"/>
  <c r="AF91" i="7"/>
  <c r="AE91" i="7"/>
  <c r="AD91" i="7"/>
  <c r="AC91" i="7"/>
  <c r="AB91" i="7"/>
  <c r="AA91" i="7"/>
  <c r="Z91" i="7"/>
  <c r="Y91" i="7"/>
  <c r="X91" i="7"/>
  <c r="W91" i="7"/>
  <c r="V91" i="7"/>
  <c r="U91" i="7"/>
  <c r="T91" i="7"/>
  <c r="S91" i="7"/>
  <c r="R91" i="7"/>
  <c r="Q91" i="7"/>
  <c r="P91" i="7"/>
  <c r="O91" i="7"/>
  <c r="N91" i="7"/>
  <c r="M91" i="7"/>
  <c r="L91" i="7"/>
  <c r="K91" i="7"/>
  <c r="J91" i="7"/>
  <c r="I91" i="7"/>
  <c r="H91" i="7"/>
  <c r="G91" i="7"/>
  <c r="F91" i="7"/>
  <c r="E91" i="7"/>
  <c r="D91" i="7"/>
  <c r="C91" i="7"/>
  <c r="CG91" i="7" s="1"/>
  <c r="CF90" i="7"/>
  <c r="CE90" i="7"/>
  <c r="CD90" i="7"/>
  <c r="CC90" i="7"/>
  <c r="CB90" i="7"/>
  <c r="CA90" i="7"/>
  <c r="BZ90" i="7"/>
  <c r="BY90" i="7"/>
  <c r="BX90" i="7"/>
  <c r="BW90" i="7"/>
  <c r="BV90" i="7"/>
  <c r="BU90" i="7"/>
  <c r="BT90" i="7"/>
  <c r="BS90" i="7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BC90" i="7"/>
  <c r="BB90" i="7"/>
  <c r="BA90" i="7"/>
  <c r="AZ90" i="7"/>
  <c r="AY90" i="7"/>
  <c r="AX90" i="7"/>
  <c r="AW90" i="7"/>
  <c r="AV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CG90" i="7" s="1"/>
  <c r="CF89" i="7"/>
  <c r="CE89" i="7"/>
  <c r="CD89" i="7"/>
  <c r="CC89" i="7"/>
  <c r="CB89" i="7"/>
  <c r="CA89" i="7"/>
  <c r="BZ89" i="7"/>
  <c r="BY89" i="7"/>
  <c r="BX89" i="7"/>
  <c r="BW89" i="7"/>
  <c r="BV89" i="7"/>
  <c r="BU89" i="7"/>
  <c r="BT89" i="7"/>
  <c r="BS89" i="7"/>
  <c r="BR89" i="7"/>
  <c r="BQ89" i="7"/>
  <c r="BP89" i="7"/>
  <c r="BO89" i="7"/>
  <c r="BN89" i="7"/>
  <c r="BM89" i="7"/>
  <c r="BL89" i="7"/>
  <c r="BK89" i="7"/>
  <c r="BJ89" i="7"/>
  <c r="BI89" i="7"/>
  <c r="BH89" i="7"/>
  <c r="BG89" i="7"/>
  <c r="BF89" i="7"/>
  <c r="BE89" i="7"/>
  <c r="BD89" i="7"/>
  <c r="BC89" i="7"/>
  <c r="BB89" i="7"/>
  <c r="BA89" i="7"/>
  <c r="AZ89" i="7"/>
  <c r="AY89" i="7"/>
  <c r="AX89" i="7"/>
  <c r="AW89" i="7"/>
  <c r="AV89" i="7"/>
  <c r="AU89" i="7"/>
  <c r="AT89" i="7"/>
  <c r="AS89" i="7"/>
  <c r="AR89" i="7"/>
  <c r="AQ89" i="7"/>
  <c r="AP89" i="7"/>
  <c r="AO89" i="7"/>
  <c r="AN89" i="7"/>
  <c r="AM89" i="7"/>
  <c r="AL89" i="7"/>
  <c r="AK89" i="7"/>
  <c r="AJ89" i="7"/>
  <c r="AI89" i="7"/>
  <c r="AH89" i="7"/>
  <c r="AG89" i="7"/>
  <c r="AF89" i="7"/>
  <c r="AE89" i="7"/>
  <c r="AD89" i="7"/>
  <c r="AC89" i="7"/>
  <c r="AB89" i="7"/>
  <c r="AA89" i="7"/>
  <c r="Z89" i="7"/>
  <c r="Y89" i="7"/>
  <c r="X89" i="7"/>
  <c r="W89" i="7"/>
  <c r="V89" i="7"/>
  <c r="U89" i="7"/>
  <c r="T89" i="7"/>
  <c r="S89" i="7"/>
  <c r="R89" i="7"/>
  <c r="Q89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CG89" i="7" s="1"/>
  <c r="CF88" i="7"/>
  <c r="CE88" i="7"/>
  <c r="CD88" i="7"/>
  <c r="CC88" i="7"/>
  <c r="CB88" i="7"/>
  <c r="CA88" i="7"/>
  <c r="BZ88" i="7"/>
  <c r="BY88" i="7"/>
  <c r="BX88" i="7"/>
  <c r="BW88" i="7"/>
  <c r="BV88" i="7"/>
  <c r="BU88" i="7"/>
  <c r="BT88" i="7"/>
  <c r="BS88" i="7"/>
  <c r="BR88" i="7"/>
  <c r="BQ88" i="7"/>
  <c r="BP88" i="7"/>
  <c r="BO88" i="7"/>
  <c r="BN88" i="7"/>
  <c r="BM88" i="7"/>
  <c r="BL88" i="7"/>
  <c r="BK88" i="7"/>
  <c r="BJ88" i="7"/>
  <c r="BI88" i="7"/>
  <c r="BH88" i="7"/>
  <c r="BG88" i="7"/>
  <c r="BF88" i="7"/>
  <c r="BE88" i="7"/>
  <c r="BD88" i="7"/>
  <c r="BC88" i="7"/>
  <c r="BB88" i="7"/>
  <c r="BA88" i="7"/>
  <c r="AZ88" i="7"/>
  <c r="AY88" i="7"/>
  <c r="AX88" i="7"/>
  <c r="AW88" i="7"/>
  <c r="AV88" i="7"/>
  <c r="AU88" i="7"/>
  <c r="AT88" i="7"/>
  <c r="AS88" i="7"/>
  <c r="AR88" i="7"/>
  <c r="AQ88" i="7"/>
  <c r="AP88" i="7"/>
  <c r="AO88" i="7"/>
  <c r="AN88" i="7"/>
  <c r="AM88" i="7"/>
  <c r="AL88" i="7"/>
  <c r="AK88" i="7"/>
  <c r="AJ88" i="7"/>
  <c r="AI88" i="7"/>
  <c r="AH88" i="7"/>
  <c r="AG88" i="7"/>
  <c r="AF88" i="7"/>
  <c r="AE88" i="7"/>
  <c r="AD88" i="7"/>
  <c r="AC88" i="7"/>
  <c r="AB88" i="7"/>
  <c r="AA88" i="7"/>
  <c r="Z88" i="7"/>
  <c r="Y88" i="7"/>
  <c r="X88" i="7"/>
  <c r="W88" i="7"/>
  <c r="V88" i="7"/>
  <c r="U88" i="7"/>
  <c r="T88" i="7"/>
  <c r="S88" i="7"/>
  <c r="R88" i="7"/>
  <c r="Q88" i="7"/>
  <c r="P88" i="7"/>
  <c r="O88" i="7"/>
  <c r="N88" i="7"/>
  <c r="M88" i="7"/>
  <c r="L88" i="7"/>
  <c r="K88" i="7"/>
  <c r="CG88" i="7" s="1"/>
  <c r="J88" i="7"/>
  <c r="I88" i="7"/>
  <c r="H88" i="7"/>
  <c r="G88" i="7"/>
  <c r="F88" i="7"/>
  <c r="E88" i="7"/>
  <c r="D88" i="7"/>
  <c r="C88" i="7"/>
  <c r="CF87" i="7"/>
  <c r="CE87" i="7"/>
  <c r="CD87" i="7"/>
  <c r="CC87" i="7"/>
  <c r="CB87" i="7"/>
  <c r="CA87" i="7"/>
  <c r="BZ87" i="7"/>
  <c r="BY87" i="7"/>
  <c r="BX87" i="7"/>
  <c r="BW87" i="7"/>
  <c r="BV87" i="7"/>
  <c r="BU87" i="7"/>
  <c r="BT87" i="7"/>
  <c r="BS87" i="7"/>
  <c r="BR87" i="7"/>
  <c r="BQ87" i="7"/>
  <c r="BP87" i="7"/>
  <c r="BO87" i="7"/>
  <c r="BN87" i="7"/>
  <c r="BM87" i="7"/>
  <c r="BL87" i="7"/>
  <c r="BK87" i="7"/>
  <c r="BJ87" i="7"/>
  <c r="BI87" i="7"/>
  <c r="BH87" i="7"/>
  <c r="BG87" i="7"/>
  <c r="BF87" i="7"/>
  <c r="BE87" i="7"/>
  <c r="BD87" i="7"/>
  <c r="BC87" i="7"/>
  <c r="BB87" i="7"/>
  <c r="BA87" i="7"/>
  <c r="AZ87" i="7"/>
  <c r="AY87" i="7"/>
  <c r="AX87" i="7"/>
  <c r="AW87" i="7"/>
  <c r="AV87" i="7"/>
  <c r="AU87" i="7"/>
  <c r="AT87" i="7"/>
  <c r="AS87" i="7"/>
  <c r="AR87" i="7"/>
  <c r="AQ87" i="7"/>
  <c r="AP87" i="7"/>
  <c r="AO87" i="7"/>
  <c r="AN87" i="7"/>
  <c r="AM87" i="7"/>
  <c r="AL87" i="7"/>
  <c r="AK87" i="7"/>
  <c r="AJ87" i="7"/>
  <c r="AI87" i="7"/>
  <c r="AH87" i="7"/>
  <c r="AG87" i="7"/>
  <c r="AF87" i="7"/>
  <c r="AE87" i="7"/>
  <c r="AD87" i="7"/>
  <c r="AC87" i="7"/>
  <c r="AB87" i="7"/>
  <c r="AA87" i="7"/>
  <c r="Z87" i="7"/>
  <c r="Y87" i="7"/>
  <c r="X87" i="7"/>
  <c r="W87" i="7"/>
  <c r="V87" i="7"/>
  <c r="U87" i="7"/>
  <c r="T87" i="7"/>
  <c r="S87" i="7"/>
  <c r="R87" i="7"/>
  <c r="Q87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C87" i="7"/>
  <c r="CF86" i="7"/>
  <c r="CE86" i="7"/>
  <c r="CD86" i="7"/>
  <c r="CC86" i="7"/>
  <c r="CB86" i="7"/>
  <c r="CA86" i="7"/>
  <c r="BZ86" i="7"/>
  <c r="BY86" i="7"/>
  <c r="BX86" i="7"/>
  <c r="BW86" i="7"/>
  <c r="BV86" i="7"/>
  <c r="BU86" i="7"/>
  <c r="BT86" i="7"/>
  <c r="BS86" i="7"/>
  <c r="BR86" i="7"/>
  <c r="BQ86" i="7"/>
  <c r="BP86" i="7"/>
  <c r="BO86" i="7"/>
  <c r="BN86" i="7"/>
  <c r="BM86" i="7"/>
  <c r="BL86" i="7"/>
  <c r="BK86" i="7"/>
  <c r="BJ86" i="7"/>
  <c r="BI86" i="7"/>
  <c r="BH86" i="7"/>
  <c r="BG86" i="7"/>
  <c r="BF86" i="7"/>
  <c r="BE86" i="7"/>
  <c r="BD86" i="7"/>
  <c r="BC86" i="7"/>
  <c r="BB86" i="7"/>
  <c r="BA86" i="7"/>
  <c r="AZ86" i="7"/>
  <c r="AY86" i="7"/>
  <c r="AX86" i="7"/>
  <c r="AW86" i="7"/>
  <c r="AV86" i="7"/>
  <c r="AU86" i="7"/>
  <c r="AT86" i="7"/>
  <c r="AS86" i="7"/>
  <c r="AR86" i="7"/>
  <c r="AQ86" i="7"/>
  <c r="AP86" i="7"/>
  <c r="AO86" i="7"/>
  <c r="AN86" i="7"/>
  <c r="AM86" i="7"/>
  <c r="AL86" i="7"/>
  <c r="AK86" i="7"/>
  <c r="AJ86" i="7"/>
  <c r="AI86" i="7"/>
  <c r="AH86" i="7"/>
  <c r="AG86" i="7"/>
  <c r="AF86" i="7"/>
  <c r="AE86" i="7"/>
  <c r="AD86" i="7"/>
  <c r="AC86" i="7"/>
  <c r="AB86" i="7"/>
  <c r="AA86" i="7"/>
  <c r="Z86" i="7"/>
  <c r="Y86" i="7"/>
  <c r="X86" i="7"/>
  <c r="W86" i="7"/>
  <c r="V86" i="7"/>
  <c r="U86" i="7"/>
  <c r="T86" i="7"/>
  <c r="S86" i="7"/>
  <c r="R86" i="7"/>
  <c r="Q86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CG86" i="7" s="1"/>
  <c r="CF85" i="7"/>
  <c r="CE85" i="7"/>
  <c r="CD85" i="7"/>
  <c r="CC85" i="7"/>
  <c r="CB85" i="7"/>
  <c r="CA85" i="7"/>
  <c r="BZ85" i="7"/>
  <c r="BY85" i="7"/>
  <c r="BX85" i="7"/>
  <c r="BW85" i="7"/>
  <c r="BV85" i="7"/>
  <c r="BU85" i="7"/>
  <c r="BT85" i="7"/>
  <c r="BS85" i="7"/>
  <c r="BR85" i="7"/>
  <c r="BQ85" i="7"/>
  <c r="BP85" i="7"/>
  <c r="BO85" i="7"/>
  <c r="BN85" i="7"/>
  <c r="BM85" i="7"/>
  <c r="BL85" i="7"/>
  <c r="BK85" i="7"/>
  <c r="BJ85" i="7"/>
  <c r="BI85" i="7"/>
  <c r="BH85" i="7"/>
  <c r="BG85" i="7"/>
  <c r="BF85" i="7"/>
  <c r="BE85" i="7"/>
  <c r="BD85" i="7"/>
  <c r="BC85" i="7"/>
  <c r="BB85" i="7"/>
  <c r="BA85" i="7"/>
  <c r="AZ85" i="7"/>
  <c r="AY85" i="7"/>
  <c r="AX85" i="7"/>
  <c r="AW85" i="7"/>
  <c r="AV85" i="7"/>
  <c r="AU85" i="7"/>
  <c r="AT85" i="7"/>
  <c r="AS85" i="7"/>
  <c r="AR85" i="7"/>
  <c r="AQ85" i="7"/>
  <c r="AP85" i="7"/>
  <c r="AO85" i="7"/>
  <c r="AN85" i="7"/>
  <c r="AM85" i="7"/>
  <c r="AL85" i="7"/>
  <c r="AK85" i="7"/>
  <c r="AJ85" i="7"/>
  <c r="AI85" i="7"/>
  <c r="AH85" i="7"/>
  <c r="AG85" i="7"/>
  <c r="AF85" i="7"/>
  <c r="AE85" i="7"/>
  <c r="AD85" i="7"/>
  <c r="AC85" i="7"/>
  <c r="AB85" i="7"/>
  <c r="AA85" i="7"/>
  <c r="Z85" i="7"/>
  <c r="Y85" i="7"/>
  <c r="X85" i="7"/>
  <c r="W85" i="7"/>
  <c r="V85" i="7"/>
  <c r="U85" i="7"/>
  <c r="T85" i="7"/>
  <c r="S85" i="7"/>
  <c r="R85" i="7"/>
  <c r="Q85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CG85" i="7" s="1"/>
  <c r="CF84" i="7"/>
  <c r="CE84" i="7"/>
  <c r="CD84" i="7"/>
  <c r="CC84" i="7"/>
  <c r="CB84" i="7"/>
  <c r="CA84" i="7"/>
  <c r="BZ84" i="7"/>
  <c r="BY84" i="7"/>
  <c r="BX84" i="7"/>
  <c r="BW84" i="7"/>
  <c r="BV84" i="7"/>
  <c r="BU84" i="7"/>
  <c r="BT84" i="7"/>
  <c r="BS84" i="7"/>
  <c r="BR84" i="7"/>
  <c r="BQ84" i="7"/>
  <c r="BP84" i="7"/>
  <c r="BO84" i="7"/>
  <c r="BN84" i="7"/>
  <c r="BM84" i="7"/>
  <c r="BL84" i="7"/>
  <c r="BK84" i="7"/>
  <c r="BJ84" i="7"/>
  <c r="BI84" i="7"/>
  <c r="BH84" i="7"/>
  <c r="BG84" i="7"/>
  <c r="BF84" i="7"/>
  <c r="BE84" i="7"/>
  <c r="BD84" i="7"/>
  <c r="BC84" i="7"/>
  <c r="BB84" i="7"/>
  <c r="BA84" i="7"/>
  <c r="AZ84" i="7"/>
  <c r="AY84" i="7"/>
  <c r="AX84" i="7"/>
  <c r="AW84" i="7"/>
  <c r="AV84" i="7"/>
  <c r="AU84" i="7"/>
  <c r="AT84" i="7"/>
  <c r="AS84" i="7"/>
  <c r="AR84" i="7"/>
  <c r="AQ84" i="7"/>
  <c r="AP84" i="7"/>
  <c r="AO84" i="7"/>
  <c r="AN84" i="7"/>
  <c r="AM84" i="7"/>
  <c r="AL84" i="7"/>
  <c r="AK84" i="7"/>
  <c r="AJ84" i="7"/>
  <c r="AI84" i="7"/>
  <c r="AH84" i="7"/>
  <c r="AG84" i="7"/>
  <c r="AF84" i="7"/>
  <c r="AE84" i="7"/>
  <c r="AD84" i="7"/>
  <c r="AC84" i="7"/>
  <c r="AB84" i="7"/>
  <c r="AA84" i="7"/>
  <c r="Z84" i="7"/>
  <c r="Y84" i="7"/>
  <c r="X84" i="7"/>
  <c r="W84" i="7"/>
  <c r="V84" i="7"/>
  <c r="U84" i="7"/>
  <c r="T84" i="7"/>
  <c r="S84" i="7"/>
  <c r="R84" i="7"/>
  <c r="Q84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CF83" i="7"/>
  <c r="CE83" i="7"/>
  <c r="CD83" i="7"/>
  <c r="CC83" i="7"/>
  <c r="CB83" i="7"/>
  <c r="CA83" i="7"/>
  <c r="BZ83" i="7"/>
  <c r="BY83" i="7"/>
  <c r="BX83" i="7"/>
  <c r="BW83" i="7"/>
  <c r="BV83" i="7"/>
  <c r="BU83" i="7"/>
  <c r="BT83" i="7"/>
  <c r="BS83" i="7"/>
  <c r="BR83" i="7"/>
  <c r="BQ83" i="7"/>
  <c r="BP83" i="7"/>
  <c r="BO83" i="7"/>
  <c r="BN83" i="7"/>
  <c r="BM83" i="7"/>
  <c r="BL83" i="7"/>
  <c r="BK83" i="7"/>
  <c r="BJ83" i="7"/>
  <c r="BI83" i="7"/>
  <c r="BH83" i="7"/>
  <c r="BG83" i="7"/>
  <c r="BF83" i="7"/>
  <c r="BE83" i="7"/>
  <c r="BD83" i="7"/>
  <c r="BC83" i="7"/>
  <c r="BB83" i="7"/>
  <c r="BA83" i="7"/>
  <c r="AZ83" i="7"/>
  <c r="AY83" i="7"/>
  <c r="AX83" i="7"/>
  <c r="AW83" i="7"/>
  <c r="AV83" i="7"/>
  <c r="AU83" i="7"/>
  <c r="AT83" i="7"/>
  <c r="AS83" i="7"/>
  <c r="AR83" i="7"/>
  <c r="AQ83" i="7"/>
  <c r="AP83" i="7"/>
  <c r="AO83" i="7"/>
  <c r="AN83" i="7"/>
  <c r="AM83" i="7"/>
  <c r="AL83" i="7"/>
  <c r="AK83" i="7"/>
  <c r="AJ83" i="7"/>
  <c r="AI83" i="7"/>
  <c r="AH83" i="7"/>
  <c r="AG83" i="7"/>
  <c r="AF83" i="7"/>
  <c r="AE83" i="7"/>
  <c r="AD83" i="7"/>
  <c r="AC83" i="7"/>
  <c r="AB83" i="7"/>
  <c r="AA83" i="7"/>
  <c r="Z83" i="7"/>
  <c r="Y83" i="7"/>
  <c r="X83" i="7"/>
  <c r="W83" i="7"/>
  <c r="V83" i="7"/>
  <c r="U83" i="7"/>
  <c r="T83" i="7"/>
  <c r="S83" i="7"/>
  <c r="R83" i="7"/>
  <c r="Q83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CG83" i="7" s="1"/>
  <c r="CF82" i="7"/>
  <c r="CE82" i="7"/>
  <c r="CD82" i="7"/>
  <c r="CC82" i="7"/>
  <c r="CB82" i="7"/>
  <c r="CA82" i="7"/>
  <c r="BZ82" i="7"/>
  <c r="BY82" i="7"/>
  <c r="BX82" i="7"/>
  <c r="BW82" i="7"/>
  <c r="BV82" i="7"/>
  <c r="BU82" i="7"/>
  <c r="BT82" i="7"/>
  <c r="BS82" i="7"/>
  <c r="BR82" i="7"/>
  <c r="BQ82" i="7"/>
  <c r="BP82" i="7"/>
  <c r="BO82" i="7"/>
  <c r="BN82" i="7"/>
  <c r="BM82" i="7"/>
  <c r="BL82" i="7"/>
  <c r="BK82" i="7"/>
  <c r="BJ82" i="7"/>
  <c r="BI82" i="7"/>
  <c r="BH82" i="7"/>
  <c r="BG82" i="7"/>
  <c r="BF82" i="7"/>
  <c r="BE82" i="7"/>
  <c r="BD82" i="7"/>
  <c r="BC82" i="7"/>
  <c r="BB82" i="7"/>
  <c r="BA82" i="7"/>
  <c r="AZ82" i="7"/>
  <c r="AY82" i="7"/>
  <c r="AX82" i="7"/>
  <c r="AW82" i="7"/>
  <c r="AV82" i="7"/>
  <c r="AU82" i="7"/>
  <c r="AT82" i="7"/>
  <c r="AS82" i="7"/>
  <c r="AR82" i="7"/>
  <c r="AQ82" i="7"/>
  <c r="AP82" i="7"/>
  <c r="AO82" i="7"/>
  <c r="AN82" i="7"/>
  <c r="AM82" i="7"/>
  <c r="AL82" i="7"/>
  <c r="AK82" i="7"/>
  <c r="AJ82" i="7"/>
  <c r="AI82" i="7"/>
  <c r="AH82" i="7"/>
  <c r="AG82" i="7"/>
  <c r="AF82" i="7"/>
  <c r="AE82" i="7"/>
  <c r="AD82" i="7"/>
  <c r="AC82" i="7"/>
  <c r="AB82" i="7"/>
  <c r="AA82" i="7"/>
  <c r="Z82" i="7"/>
  <c r="Y82" i="7"/>
  <c r="X82" i="7"/>
  <c r="W82" i="7"/>
  <c r="V82" i="7"/>
  <c r="U82" i="7"/>
  <c r="T82" i="7"/>
  <c r="S82" i="7"/>
  <c r="R82" i="7"/>
  <c r="Q82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CG82" i="7" s="1"/>
  <c r="CF81" i="7"/>
  <c r="CE81" i="7"/>
  <c r="CD81" i="7"/>
  <c r="CC81" i="7"/>
  <c r="CB81" i="7"/>
  <c r="CA81" i="7"/>
  <c r="BZ81" i="7"/>
  <c r="BY81" i="7"/>
  <c r="BX81" i="7"/>
  <c r="BW81" i="7"/>
  <c r="BV81" i="7"/>
  <c r="BU81" i="7"/>
  <c r="BT81" i="7"/>
  <c r="BS81" i="7"/>
  <c r="BR81" i="7"/>
  <c r="BQ81" i="7"/>
  <c r="BP81" i="7"/>
  <c r="BO81" i="7"/>
  <c r="BN81" i="7"/>
  <c r="BM81" i="7"/>
  <c r="BL81" i="7"/>
  <c r="BK81" i="7"/>
  <c r="BJ81" i="7"/>
  <c r="BI81" i="7"/>
  <c r="BH81" i="7"/>
  <c r="BG81" i="7"/>
  <c r="BF81" i="7"/>
  <c r="BE81" i="7"/>
  <c r="BD81" i="7"/>
  <c r="BC81" i="7"/>
  <c r="BB81" i="7"/>
  <c r="BA81" i="7"/>
  <c r="AZ81" i="7"/>
  <c r="AY81" i="7"/>
  <c r="AX81" i="7"/>
  <c r="AW81" i="7"/>
  <c r="AV81" i="7"/>
  <c r="AU81" i="7"/>
  <c r="AT81" i="7"/>
  <c r="AS81" i="7"/>
  <c r="AR81" i="7"/>
  <c r="AQ81" i="7"/>
  <c r="AP81" i="7"/>
  <c r="AO81" i="7"/>
  <c r="AN81" i="7"/>
  <c r="AM81" i="7"/>
  <c r="AL81" i="7"/>
  <c r="AK81" i="7"/>
  <c r="AJ81" i="7"/>
  <c r="AI81" i="7"/>
  <c r="AH81" i="7"/>
  <c r="AG81" i="7"/>
  <c r="AF81" i="7"/>
  <c r="AE81" i="7"/>
  <c r="AD81" i="7"/>
  <c r="AC81" i="7"/>
  <c r="AB81" i="7"/>
  <c r="AA81" i="7"/>
  <c r="Z81" i="7"/>
  <c r="Y81" i="7"/>
  <c r="X81" i="7"/>
  <c r="W81" i="7"/>
  <c r="V81" i="7"/>
  <c r="U81" i="7"/>
  <c r="T81" i="7"/>
  <c r="S81" i="7"/>
  <c r="R81" i="7"/>
  <c r="Q81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CG81" i="7" s="1"/>
  <c r="CF80" i="7"/>
  <c r="CE80" i="7"/>
  <c r="CD80" i="7"/>
  <c r="CC80" i="7"/>
  <c r="CB80" i="7"/>
  <c r="CA80" i="7"/>
  <c r="BZ80" i="7"/>
  <c r="BY80" i="7"/>
  <c r="BX80" i="7"/>
  <c r="BW80" i="7"/>
  <c r="BV80" i="7"/>
  <c r="BU80" i="7"/>
  <c r="BT80" i="7"/>
  <c r="BS80" i="7"/>
  <c r="BR80" i="7"/>
  <c r="BQ80" i="7"/>
  <c r="BP80" i="7"/>
  <c r="BO80" i="7"/>
  <c r="BN80" i="7"/>
  <c r="BM80" i="7"/>
  <c r="BL80" i="7"/>
  <c r="BK80" i="7"/>
  <c r="BJ80" i="7"/>
  <c r="BI80" i="7"/>
  <c r="BH80" i="7"/>
  <c r="BG80" i="7"/>
  <c r="BF80" i="7"/>
  <c r="BE80" i="7"/>
  <c r="BD80" i="7"/>
  <c r="BC80" i="7"/>
  <c r="BB80" i="7"/>
  <c r="BA80" i="7"/>
  <c r="AZ80" i="7"/>
  <c r="AY80" i="7"/>
  <c r="AX80" i="7"/>
  <c r="AW80" i="7"/>
  <c r="AV80" i="7"/>
  <c r="AU80" i="7"/>
  <c r="AT80" i="7"/>
  <c r="AS80" i="7"/>
  <c r="AR80" i="7"/>
  <c r="AQ80" i="7"/>
  <c r="AP80" i="7"/>
  <c r="AO80" i="7"/>
  <c r="AN80" i="7"/>
  <c r="AM80" i="7"/>
  <c r="AL80" i="7"/>
  <c r="AK80" i="7"/>
  <c r="AJ80" i="7"/>
  <c r="AI80" i="7"/>
  <c r="AH80" i="7"/>
  <c r="AG80" i="7"/>
  <c r="AF80" i="7"/>
  <c r="AE80" i="7"/>
  <c r="AD80" i="7"/>
  <c r="AC80" i="7"/>
  <c r="AB80" i="7"/>
  <c r="AA80" i="7"/>
  <c r="Z80" i="7"/>
  <c r="Y80" i="7"/>
  <c r="X80" i="7"/>
  <c r="W80" i="7"/>
  <c r="V80" i="7"/>
  <c r="U80" i="7"/>
  <c r="T80" i="7"/>
  <c r="S80" i="7"/>
  <c r="R80" i="7"/>
  <c r="Q80" i="7"/>
  <c r="P80" i="7"/>
  <c r="O80" i="7"/>
  <c r="N80" i="7"/>
  <c r="M80" i="7"/>
  <c r="L80" i="7"/>
  <c r="K80" i="7"/>
  <c r="J80" i="7"/>
  <c r="I80" i="7"/>
  <c r="H80" i="7"/>
  <c r="G80" i="7"/>
  <c r="F80" i="7"/>
  <c r="E80" i="7"/>
  <c r="D80" i="7"/>
  <c r="C80" i="7"/>
  <c r="CF79" i="7"/>
  <c r="CE79" i="7"/>
  <c r="CD79" i="7"/>
  <c r="CC79" i="7"/>
  <c r="CB79" i="7"/>
  <c r="CA79" i="7"/>
  <c r="BZ79" i="7"/>
  <c r="BY79" i="7"/>
  <c r="BX79" i="7"/>
  <c r="BW79" i="7"/>
  <c r="BV79" i="7"/>
  <c r="BU79" i="7"/>
  <c r="BT79" i="7"/>
  <c r="BS79" i="7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BC79" i="7"/>
  <c r="BB79" i="7"/>
  <c r="BA79" i="7"/>
  <c r="AZ79" i="7"/>
  <c r="AY79" i="7"/>
  <c r="AX79" i="7"/>
  <c r="AW79" i="7"/>
  <c r="AV79" i="7"/>
  <c r="AU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CF78" i="7"/>
  <c r="CE78" i="7"/>
  <c r="CD78" i="7"/>
  <c r="CC78" i="7"/>
  <c r="CB78" i="7"/>
  <c r="CA78" i="7"/>
  <c r="BZ78" i="7"/>
  <c r="BY78" i="7"/>
  <c r="BX78" i="7"/>
  <c r="BW78" i="7"/>
  <c r="BV78" i="7"/>
  <c r="BU78" i="7"/>
  <c r="BT78" i="7"/>
  <c r="BS78" i="7"/>
  <c r="BR78" i="7"/>
  <c r="BQ78" i="7"/>
  <c r="BP78" i="7"/>
  <c r="BO78" i="7"/>
  <c r="BN78" i="7"/>
  <c r="BM78" i="7"/>
  <c r="BL78" i="7"/>
  <c r="BK78" i="7"/>
  <c r="BJ78" i="7"/>
  <c r="BI78" i="7"/>
  <c r="BH78" i="7"/>
  <c r="BG78" i="7"/>
  <c r="BF78" i="7"/>
  <c r="BE78" i="7"/>
  <c r="BD78" i="7"/>
  <c r="BC78" i="7"/>
  <c r="BB78" i="7"/>
  <c r="BA78" i="7"/>
  <c r="AZ78" i="7"/>
  <c r="AY78" i="7"/>
  <c r="AX78" i="7"/>
  <c r="AW78" i="7"/>
  <c r="AV78" i="7"/>
  <c r="AU78" i="7"/>
  <c r="AT78" i="7"/>
  <c r="AS78" i="7"/>
  <c r="AR78" i="7"/>
  <c r="AQ78" i="7"/>
  <c r="AP78" i="7"/>
  <c r="AO78" i="7"/>
  <c r="AN78" i="7"/>
  <c r="AM78" i="7"/>
  <c r="AL78" i="7"/>
  <c r="AK78" i="7"/>
  <c r="AJ78" i="7"/>
  <c r="AI78" i="7"/>
  <c r="AH78" i="7"/>
  <c r="AG78" i="7"/>
  <c r="AF78" i="7"/>
  <c r="AE78" i="7"/>
  <c r="AD78" i="7"/>
  <c r="AC78" i="7"/>
  <c r="AB78" i="7"/>
  <c r="AA78" i="7"/>
  <c r="Z78" i="7"/>
  <c r="Y78" i="7"/>
  <c r="X78" i="7"/>
  <c r="W78" i="7"/>
  <c r="V78" i="7"/>
  <c r="U78" i="7"/>
  <c r="T78" i="7"/>
  <c r="S78" i="7"/>
  <c r="R78" i="7"/>
  <c r="Q78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CG78" i="7" s="1"/>
  <c r="CF77" i="7"/>
  <c r="CE77" i="7"/>
  <c r="CD77" i="7"/>
  <c r="CC77" i="7"/>
  <c r="CB77" i="7"/>
  <c r="CA77" i="7"/>
  <c r="BZ77" i="7"/>
  <c r="BY77" i="7"/>
  <c r="BX77" i="7"/>
  <c r="BW77" i="7"/>
  <c r="BV77" i="7"/>
  <c r="BU77" i="7"/>
  <c r="BT77" i="7"/>
  <c r="BS77" i="7"/>
  <c r="BR77" i="7"/>
  <c r="BQ77" i="7"/>
  <c r="BP77" i="7"/>
  <c r="BO77" i="7"/>
  <c r="BN77" i="7"/>
  <c r="BM77" i="7"/>
  <c r="BL77" i="7"/>
  <c r="BK77" i="7"/>
  <c r="BJ77" i="7"/>
  <c r="BI77" i="7"/>
  <c r="BH77" i="7"/>
  <c r="BG77" i="7"/>
  <c r="BF77" i="7"/>
  <c r="BE77" i="7"/>
  <c r="BD77" i="7"/>
  <c r="BC77" i="7"/>
  <c r="BB77" i="7"/>
  <c r="BA77" i="7"/>
  <c r="AZ77" i="7"/>
  <c r="AY77" i="7"/>
  <c r="AX77" i="7"/>
  <c r="AW77" i="7"/>
  <c r="AV77" i="7"/>
  <c r="AU77" i="7"/>
  <c r="AT77" i="7"/>
  <c r="AS77" i="7"/>
  <c r="AR77" i="7"/>
  <c r="AQ77" i="7"/>
  <c r="AP77" i="7"/>
  <c r="AO77" i="7"/>
  <c r="AN77" i="7"/>
  <c r="AM77" i="7"/>
  <c r="AL77" i="7"/>
  <c r="AK77" i="7"/>
  <c r="AJ77" i="7"/>
  <c r="AI77" i="7"/>
  <c r="AH77" i="7"/>
  <c r="AG77" i="7"/>
  <c r="AF77" i="7"/>
  <c r="AE77" i="7"/>
  <c r="AD77" i="7"/>
  <c r="AC77" i="7"/>
  <c r="AB77" i="7"/>
  <c r="AA77" i="7"/>
  <c r="Z77" i="7"/>
  <c r="Y77" i="7"/>
  <c r="X77" i="7"/>
  <c r="W77" i="7"/>
  <c r="V77" i="7"/>
  <c r="U77" i="7"/>
  <c r="T77" i="7"/>
  <c r="S77" i="7"/>
  <c r="R77" i="7"/>
  <c r="Q77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CF76" i="7"/>
  <c r="CE76" i="7"/>
  <c r="CD76" i="7"/>
  <c r="CC76" i="7"/>
  <c r="CB76" i="7"/>
  <c r="CA76" i="7"/>
  <c r="BZ76" i="7"/>
  <c r="BY76" i="7"/>
  <c r="BX76" i="7"/>
  <c r="BW76" i="7"/>
  <c r="BV76" i="7"/>
  <c r="BU76" i="7"/>
  <c r="BT76" i="7"/>
  <c r="BS76" i="7"/>
  <c r="BR76" i="7"/>
  <c r="BQ76" i="7"/>
  <c r="BP76" i="7"/>
  <c r="BO76" i="7"/>
  <c r="BN76" i="7"/>
  <c r="BM76" i="7"/>
  <c r="BL76" i="7"/>
  <c r="BK76" i="7"/>
  <c r="BJ76" i="7"/>
  <c r="BI76" i="7"/>
  <c r="BH76" i="7"/>
  <c r="BG76" i="7"/>
  <c r="BF76" i="7"/>
  <c r="BE76" i="7"/>
  <c r="BD76" i="7"/>
  <c r="BC76" i="7"/>
  <c r="BB76" i="7"/>
  <c r="BA76" i="7"/>
  <c r="AZ76" i="7"/>
  <c r="AY76" i="7"/>
  <c r="AX76" i="7"/>
  <c r="AW76" i="7"/>
  <c r="AV76" i="7"/>
  <c r="AU76" i="7"/>
  <c r="AT76" i="7"/>
  <c r="AS76" i="7"/>
  <c r="AR76" i="7"/>
  <c r="AQ76" i="7"/>
  <c r="AP76" i="7"/>
  <c r="AO76" i="7"/>
  <c r="AN76" i="7"/>
  <c r="AM76" i="7"/>
  <c r="AL76" i="7"/>
  <c r="AK76" i="7"/>
  <c r="AJ76" i="7"/>
  <c r="AI76" i="7"/>
  <c r="AH76" i="7"/>
  <c r="AG76" i="7"/>
  <c r="AF76" i="7"/>
  <c r="AE76" i="7"/>
  <c r="AD76" i="7"/>
  <c r="AC76" i="7"/>
  <c r="AB76" i="7"/>
  <c r="AA76" i="7"/>
  <c r="Z76" i="7"/>
  <c r="Y76" i="7"/>
  <c r="X76" i="7"/>
  <c r="W76" i="7"/>
  <c r="V76" i="7"/>
  <c r="U76" i="7"/>
  <c r="T76" i="7"/>
  <c r="S76" i="7"/>
  <c r="R76" i="7"/>
  <c r="Q76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CG76" i="7" s="1"/>
  <c r="CF75" i="7"/>
  <c r="CE75" i="7"/>
  <c r="CD75" i="7"/>
  <c r="CC75" i="7"/>
  <c r="CB75" i="7"/>
  <c r="CA75" i="7"/>
  <c r="BZ75" i="7"/>
  <c r="BY75" i="7"/>
  <c r="BX75" i="7"/>
  <c r="BW75" i="7"/>
  <c r="BV75" i="7"/>
  <c r="BU75" i="7"/>
  <c r="BT75" i="7"/>
  <c r="BS75" i="7"/>
  <c r="BR75" i="7"/>
  <c r="BQ75" i="7"/>
  <c r="BP75" i="7"/>
  <c r="BO75" i="7"/>
  <c r="BN75" i="7"/>
  <c r="BM75" i="7"/>
  <c r="BL75" i="7"/>
  <c r="BK75" i="7"/>
  <c r="BJ75" i="7"/>
  <c r="BI75" i="7"/>
  <c r="BH75" i="7"/>
  <c r="BG75" i="7"/>
  <c r="BF75" i="7"/>
  <c r="BE75" i="7"/>
  <c r="BD75" i="7"/>
  <c r="BC75" i="7"/>
  <c r="BB75" i="7"/>
  <c r="BA75" i="7"/>
  <c r="AZ75" i="7"/>
  <c r="AY75" i="7"/>
  <c r="AX75" i="7"/>
  <c r="AW75" i="7"/>
  <c r="AV75" i="7"/>
  <c r="AU75" i="7"/>
  <c r="AT75" i="7"/>
  <c r="AS75" i="7"/>
  <c r="AR75" i="7"/>
  <c r="AQ75" i="7"/>
  <c r="AP75" i="7"/>
  <c r="AO75" i="7"/>
  <c r="AN75" i="7"/>
  <c r="AM75" i="7"/>
  <c r="AL75" i="7"/>
  <c r="AK75" i="7"/>
  <c r="AJ75" i="7"/>
  <c r="AI75" i="7"/>
  <c r="AH75" i="7"/>
  <c r="AG75" i="7"/>
  <c r="AF75" i="7"/>
  <c r="AE75" i="7"/>
  <c r="AD75" i="7"/>
  <c r="AC75" i="7"/>
  <c r="AB75" i="7"/>
  <c r="AA75" i="7"/>
  <c r="Z75" i="7"/>
  <c r="Y75" i="7"/>
  <c r="X75" i="7"/>
  <c r="W75" i="7"/>
  <c r="V75" i="7"/>
  <c r="U75" i="7"/>
  <c r="T75" i="7"/>
  <c r="S75" i="7"/>
  <c r="R75" i="7"/>
  <c r="Q75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CF74" i="7"/>
  <c r="CE74" i="7"/>
  <c r="CD74" i="7"/>
  <c r="CC74" i="7"/>
  <c r="CB74" i="7"/>
  <c r="CA74" i="7"/>
  <c r="BZ74" i="7"/>
  <c r="BY74" i="7"/>
  <c r="BX74" i="7"/>
  <c r="BW74" i="7"/>
  <c r="BV74" i="7"/>
  <c r="BU74" i="7"/>
  <c r="BT74" i="7"/>
  <c r="BS74" i="7"/>
  <c r="BR74" i="7"/>
  <c r="BQ74" i="7"/>
  <c r="BP74" i="7"/>
  <c r="BO74" i="7"/>
  <c r="BN74" i="7"/>
  <c r="BM74" i="7"/>
  <c r="BL74" i="7"/>
  <c r="BK74" i="7"/>
  <c r="BJ74" i="7"/>
  <c r="BI74" i="7"/>
  <c r="BH74" i="7"/>
  <c r="BG74" i="7"/>
  <c r="BF74" i="7"/>
  <c r="BE74" i="7"/>
  <c r="BD74" i="7"/>
  <c r="BC74" i="7"/>
  <c r="BB74" i="7"/>
  <c r="BA74" i="7"/>
  <c r="AZ74" i="7"/>
  <c r="AY74" i="7"/>
  <c r="AX74" i="7"/>
  <c r="AW74" i="7"/>
  <c r="AV74" i="7"/>
  <c r="AU74" i="7"/>
  <c r="AT74" i="7"/>
  <c r="AS74" i="7"/>
  <c r="AR74" i="7"/>
  <c r="AQ74" i="7"/>
  <c r="AP74" i="7"/>
  <c r="AO74" i="7"/>
  <c r="AN74" i="7"/>
  <c r="AM74" i="7"/>
  <c r="AL74" i="7"/>
  <c r="AK74" i="7"/>
  <c r="AJ74" i="7"/>
  <c r="AI74" i="7"/>
  <c r="AH74" i="7"/>
  <c r="AG74" i="7"/>
  <c r="AF74" i="7"/>
  <c r="AE74" i="7"/>
  <c r="AD74" i="7"/>
  <c r="AC74" i="7"/>
  <c r="AB74" i="7"/>
  <c r="AA74" i="7"/>
  <c r="Z74" i="7"/>
  <c r="Y74" i="7"/>
  <c r="X74" i="7"/>
  <c r="W74" i="7"/>
  <c r="V74" i="7"/>
  <c r="U74" i="7"/>
  <c r="T74" i="7"/>
  <c r="S74" i="7"/>
  <c r="R74" i="7"/>
  <c r="Q74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CG74" i="7" s="1"/>
  <c r="C74" i="7"/>
  <c r="CF73" i="7"/>
  <c r="CE73" i="7"/>
  <c r="CD73" i="7"/>
  <c r="CC73" i="7"/>
  <c r="CB73" i="7"/>
  <c r="CA73" i="7"/>
  <c r="BZ73" i="7"/>
  <c r="BY73" i="7"/>
  <c r="BX73" i="7"/>
  <c r="BW73" i="7"/>
  <c r="BV73" i="7"/>
  <c r="BU73" i="7"/>
  <c r="BT73" i="7"/>
  <c r="BS73" i="7"/>
  <c r="BR73" i="7"/>
  <c r="BQ73" i="7"/>
  <c r="BP73" i="7"/>
  <c r="BO73" i="7"/>
  <c r="BN73" i="7"/>
  <c r="BM73" i="7"/>
  <c r="BL73" i="7"/>
  <c r="BK73" i="7"/>
  <c r="BJ73" i="7"/>
  <c r="BI73" i="7"/>
  <c r="BH73" i="7"/>
  <c r="BG73" i="7"/>
  <c r="BF73" i="7"/>
  <c r="BE73" i="7"/>
  <c r="BD73" i="7"/>
  <c r="BC73" i="7"/>
  <c r="BB73" i="7"/>
  <c r="BA73" i="7"/>
  <c r="AZ73" i="7"/>
  <c r="AY73" i="7"/>
  <c r="AX73" i="7"/>
  <c r="AW73" i="7"/>
  <c r="AV73" i="7"/>
  <c r="AU73" i="7"/>
  <c r="AT73" i="7"/>
  <c r="AS73" i="7"/>
  <c r="AR73" i="7"/>
  <c r="AQ73" i="7"/>
  <c r="AP73" i="7"/>
  <c r="AO73" i="7"/>
  <c r="AN73" i="7"/>
  <c r="AM73" i="7"/>
  <c r="AL73" i="7"/>
  <c r="AK73" i="7"/>
  <c r="AJ73" i="7"/>
  <c r="AI73" i="7"/>
  <c r="AH73" i="7"/>
  <c r="AG73" i="7"/>
  <c r="AF73" i="7"/>
  <c r="AE73" i="7"/>
  <c r="AD73" i="7"/>
  <c r="AC73" i="7"/>
  <c r="AB73" i="7"/>
  <c r="AA73" i="7"/>
  <c r="Z73" i="7"/>
  <c r="Y73" i="7"/>
  <c r="X73" i="7"/>
  <c r="W73" i="7"/>
  <c r="V73" i="7"/>
  <c r="U73" i="7"/>
  <c r="T73" i="7"/>
  <c r="S73" i="7"/>
  <c r="R73" i="7"/>
  <c r="Q73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CG73" i="7" s="1"/>
  <c r="CF72" i="7"/>
  <c r="CE72" i="7"/>
  <c r="CD72" i="7"/>
  <c r="CC72" i="7"/>
  <c r="CB72" i="7"/>
  <c r="CA72" i="7"/>
  <c r="BZ72" i="7"/>
  <c r="BY72" i="7"/>
  <c r="BX72" i="7"/>
  <c r="BW72" i="7"/>
  <c r="BV72" i="7"/>
  <c r="BU72" i="7"/>
  <c r="BT72" i="7"/>
  <c r="BS72" i="7"/>
  <c r="BR72" i="7"/>
  <c r="BQ72" i="7"/>
  <c r="BP72" i="7"/>
  <c r="BO72" i="7"/>
  <c r="BN72" i="7"/>
  <c r="BM72" i="7"/>
  <c r="BL72" i="7"/>
  <c r="BK72" i="7"/>
  <c r="BJ72" i="7"/>
  <c r="BI72" i="7"/>
  <c r="BH72" i="7"/>
  <c r="BG72" i="7"/>
  <c r="BF72" i="7"/>
  <c r="BE72" i="7"/>
  <c r="BD72" i="7"/>
  <c r="BC72" i="7"/>
  <c r="BB72" i="7"/>
  <c r="BA72" i="7"/>
  <c r="AZ72" i="7"/>
  <c r="AY72" i="7"/>
  <c r="AX72" i="7"/>
  <c r="AW72" i="7"/>
  <c r="AV72" i="7"/>
  <c r="AU72" i="7"/>
  <c r="AT72" i="7"/>
  <c r="AS72" i="7"/>
  <c r="AR72" i="7"/>
  <c r="AQ72" i="7"/>
  <c r="AP72" i="7"/>
  <c r="AO72" i="7"/>
  <c r="AN72" i="7"/>
  <c r="AM72" i="7"/>
  <c r="AL72" i="7"/>
  <c r="AK72" i="7"/>
  <c r="AJ72" i="7"/>
  <c r="AI72" i="7"/>
  <c r="AH72" i="7"/>
  <c r="AG72" i="7"/>
  <c r="AF72" i="7"/>
  <c r="AE72" i="7"/>
  <c r="AD72" i="7"/>
  <c r="AC72" i="7"/>
  <c r="AB72" i="7"/>
  <c r="AA72" i="7"/>
  <c r="Z72" i="7"/>
  <c r="Y72" i="7"/>
  <c r="X72" i="7"/>
  <c r="W72" i="7"/>
  <c r="V72" i="7"/>
  <c r="U72" i="7"/>
  <c r="T72" i="7"/>
  <c r="S72" i="7"/>
  <c r="CG72" i="7" s="1"/>
  <c r="R72" i="7"/>
  <c r="Q72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CF71" i="7"/>
  <c r="CE71" i="7"/>
  <c r="CD71" i="7"/>
  <c r="CC71" i="7"/>
  <c r="CB71" i="7"/>
  <c r="CA71" i="7"/>
  <c r="BZ71" i="7"/>
  <c r="BY71" i="7"/>
  <c r="BX71" i="7"/>
  <c r="BW71" i="7"/>
  <c r="BV71" i="7"/>
  <c r="BU71" i="7"/>
  <c r="BT71" i="7"/>
  <c r="BS71" i="7"/>
  <c r="BR71" i="7"/>
  <c r="BQ71" i="7"/>
  <c r="BP71" i="7"/>
  <c r="BO71" i="7"/>
  <c r="BN71" i="7"/>
  <c r="BM71" i="7"/>
  <c r="BL71" i="7"/>
  <c r="BK71" i="7"/>
  <c r="BJ71" i="7"/>
  <c r="BI71" i="7"/>
  <c r="BH71" i="7"/>
  <c r="BG71" i="7"/>
  <c r="BF71" i="7"/>
  <c r="BE71" i="7"/>
  <c r="BD71" i="7"/>
  <c r="BC71" i="7"/>
  <c r="BB71" i="7"/>
  <c r="BA71" i="7"/>
  <c r="AZ71" i="7"/>
  <c r="AY71" i="7"/>
  <c r="AX71" i="7"/>
  <c r="AW71" i="7"/>
  <c r="AV71" i="7"/>
  <c r="AU71" i="7"/>
  <c r="AT71" i="7"/>
  <c r="AS71" i="7"/>
  <c r="AR71" i="7"/>
  <c r="AQ71" i="7"/>
  <c r="AP71" i="7"/>
  <c r="AO71" i="7"/>
  <c r="AN71" i="7"/>
  <c r="AM71" i="7"/>
  <c r="AL71" i="7"/>
  <c r="AK71" i="7"/>
  <c r="AJ71" i="7"/>
  <c r="AI71" i="7"/>
  <c r="AH71" i="7"/>
  <c r="AG71" i="7"/>
  <c r="AF71" i="7"/>
  <c r="AE71" i="7"/>
  <c r="AD71" i="7"/>
  <c r="AC71" i="7"/>
  <c r="AB71" i="7"/>
  <c r="AA71" i="7"/>
  <c r="Z71" i="7"/>
  <c r="Y71" i="7"/>
  <c r="X71" i="7"/>
  <c r="W71" i="7"/>
  <c r="V71" i="7"/>
  <c r="U71" i="7"/>
  <c r="T71" i="7"/>
  <c r="S71" i="7"/>
  <c r="R71" i="7"/>
  <c r="Q71" i="7"/>
  <c r="P71" i="7"/>
  <c r="O71" i="7"/>
  <c r="N71" i="7"/>
  <c r="CG71" i="7" s="1"/>
  <c r="M71" i="7"/>
  <c r="L71" i="7"/>
  <c r="K71" i="7"/>
  <c r="J71" i="7"/>
  <c r="I71" i="7"/>
  <c r="H71" i="7"/>
  <c r="G71" i="7"/>
  <c r="F71" i="7"/>
  <c r="E71" i="7"/>
  <c r="D71" i="7"/>
  <c r="C71" i="7"/>
  <c r="CF70" i="7"/>
  <c r="CE70" i="7"/>
  <c r="CD70" i="7"/>
  <c r="CC70" i="7"/>
  <c r="CB70" i="7"/>
  <c r="CA70" i="7"/>
  <c r="BZ70" i="7"/>
  <c r="BY70" i="7"/>
  <c r="BX70" i="7"/>
  <c r="BW70" i="7"/>
  <c r="BV70" i="7"/>
  <c r="BU70" i="7"/>
  <c r="BT70" i="7"/>
  <c r="BS70" i="7"/>
  <c r="BR70" i="7"/>
  <c r="BQ70" i="7"/>
  <c r="BP70" i="7"/>
  <c r="BO70" i="7"/>
  <c r="BN70" i="7"/>
  <c r="BM70" i="7"/>
  <c r="BL70" i="7"/>
  <c r="BK70" i="7"/>
  <c r="BJ70" i="7"/>
  <c r="BI70" i="7"/>
  <c r="BH70" i="7"/>
  <c r="BG70" i="7"/>
  <c r="BF70" i="7"/>
  <c r="BE70" i="7"/>
  <c r="BD70" i="7"/>
  <c r="BC70" i="7"/>
  <c r="BB70" i="7"/>
  <c r="BA70" i="7"/>
  <c r="AZ70" i="7"/>
  <c r="AY70" i="7"/>
  <c r="AX70" i="7"/>
  <c r="AW70" i="7"/>
  <c r="AV70" i="7"/>
  <c r="AU70" i="7"/>
  <c r="AT70" i="7"/>
  <c r="AS70" i="7"/>
  <c r="AR70" i="7"/>
  <c r="AQ70" i="7"/>
  <c r="AP70" i="7"/>
  <c r="AO70" i="7"/>
  <c r="AN70" i="7"/>
  <c r="AM70" i="7"/>
  <c r="AL70" i="7"/>
  <c r="AK70" i="7"/>
  <c r="AJ70" i="7"/>
  <c r="AI70" i="7"/>
  <c r="AH70" i="7"/>
  <c r="AG70" i="7"/>
  <c r="AF70" i="7"/>
  <c r="AE70" i="7"/>
  <c r="AD70" i="7"/>
  <c r="AC70" i="7"/>
  <c r="AB70" i="7"/>
  <c r="AA70" i="7"/>
  <c r="Z70" i="7"/>
  <c r="Y70" i="7"/>
  <c r="X70" i="7"/>
  <c r="W70" i="7"/>
  <c r="V70" i="7"/>
  <c r="U70" i="7"/>
  <c r="T70" i="7"/>
  <c r="S70" i="7"/>
  <c r="R70" i="7"/>
  <c r="Q70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CF69" i="7"/>
  <c r="CE69" i="7"/>
  <c r="CD69" i="7"/>
  <c r="CC69" i="7"/>
  <c r="CB69" i="7"/>
  <c r="CA69" i="7"/>
  <c r="BZ69" i="7"/>
  <c r="BY69" i="7"/>
  <c r="BX69" i="7"/>
  <c r="BW69" i="7"/>
  <c r="BV69" i="7"/>
  <c r="BU69" i="7"/>
  <c r="BT69" i="7"/>
  <c r="BS69" i="7"/>
  <c r="BR69" i="7"/>
  <c r="BQ69" i="7"/>
  <c r="BP69" i="7"/>
  <c r="BO69" i="7"/>
  <c r="BN69" i="7"/>
  <c r="BM69" i="7"/>
  <c r="BL69" i="7"/>
  <c r="BK69" i="7"/>
  <c r="BJ69" i="7"/>
  <c r="BI69" i="7"/>
  <c r="BH69" i="7"/>
  <c r="BG69" i="7"/>
  <c r="BF69" i="7"/>
  <c r="BE69" i="7"/>
  <c r="BD69" i="7"/>
  <c r="BC69" i="7"/>
  <c r="BB69" i="7"/>
  <c r="BA69" i="7"/>
  <c r="AZ69" i="7"/>
  <c r="AY69" i="7"/>
  <c r="AX69" i="7"/>
  <c r="AW69" i="7"/>
  <c r="AV69" i="7"/>
  <c r="AU69" i="7"/>
  <c r="AT69" i="7"/>
  <c r="AS69" i="7"/>
  <c r="AR69" i="7"/>
  <c r="AQ69" i="7"/>
  <c r="AP69" i="7"/>
  <c r="AO69" i="7"/>
  <c r="AN69" i="7"/>
  <c r="AM69" i="7"/>
  <c r="AL69" i="7"/>
  <c r="AK69" i="7"/>
  <c r="AJ69" i="7"/>
  <c r="AI69" i="7"/>
  <c r="AH69" i="7"/>
  <c r="AG69" i="7"/>
  <c r="AF69" i="7"/>
  <c r="AE69" i="7"/>
  <c r="AD69" i="7"/>
  <c r="AC69" i="7"/>
  <c r="AB69" i="7"/>
  <c r="AA69" i="7"/>
  <c r="Z69" i="7"/>
  <c r="Y69" i="7"/>
  <c r="X69" i="7"/>
  <c r="W69" i="7"/>
  <c r="V69" i="7"/>
  <c r="U69" i="7"/>
  <c r="T69" i="7"/>
  <c r="S69" i="7"/>
  <c r="R69" i="7"/>
  <c r="Q69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CG69" i="7" s="1"/>
  <c r="CF68" i="7"/>
  <c r="CE68" i="7"/>
  <c r="CD68" i="7"/>
  <c r="CC68" i="7"/>
  <c r="CB68" i="7"/>
  <c r="CA68" i="7"/>
  <c r="BZ68" i="7"/>
  <c r="BY68" i="7"/>
  <c r="BX68" i="7"/>
  <c r="BW68" i="7"/>
  <c r="BV68" i="7"/>
  <c r="BU68" i="7"/>
  <c r="BT68" i="7"/>
  <c r="BS68" i="7"/>
  <c r="BR68" i="7"/>
  <c r="BQ68" i="7"/>
  <c r="BP68" i="7"/>
  <c r="BO68" i="7"/>
  <c r="BN68" i="7"/>
  <c r="BM68" i="7"/>
  <c r="BL68" i="7"/>
  <c r="BK68" i="7"/>
  <c r="BJ68" i="7"/>
  <c r="BI68" i="7"/>
  <c r="BH68" i="7"/>
  <c r="BG68" i="7"/>
  <c r="BF68" i="7"/>
  <c r="BE68" i="7"/>
  <c r="BD68" i="7"/>
  <c r="BC68" i="7"/>
  <c r="BB68" i="7"/>
  <c r="BA68" i="7"/>
  <c r="AZ68" i="7"/>
  <c r="AY68" i="7"/>
  <c r="AX68" i="7"/>
  <c r="AW68" i="7"/>
  <c r="AV68" i="7"/>
  <c r="AU68" i="7"/>
  <c r="AT68" i="7"/>
  <c r="AS68" i="7"/>
  <c r="AR68" i="7"/>
  <c r="AQ68" i="7"/>
  <c r="AP68" i="7"/>
  <c r="AO68" i="7"/>
  <c r="AN68" i="7"/>
  <c r="AM68" i="7"/>
  <c r="AL68" i="7"/>
  <c r="AK68" i="7"/>
  <c r="AJ68" i="7"/>
  <c r="AI68" i="7"/>
  <c r="AH68" i="7"/>
  <c r="AG68" i="7"/>
  <c r="AF68" i="7"/>
  <c r="AE68" i="7"/>
  <c r="AD68" i="7"/>
  <c r="AC68" i="7"/>
  <c r="AB68" i="7"/>
  <c r="AA68" i="7"/>
  <c r="Z68" i="7"/>
  <c r="Y68" i="7"/>
  <c r="X68" i="7"/>
  <c r="W68" i="7"/>
  <c r="V68" i="7"/>
  <c r="U68" i="7"/>
  <c r="T68" i="7"/>
  <c r="S68" i="7"/>
  <c r="R68" i="7"/>
  <c r="Q68" i="7"/>
  <c r="P68" i="7"/>
  <c r="O68" i="7"/>
  <c r="N68" i="7"/>
  <c r="M68" i="7"/>
  <c r="L68" i="7"/>
  <c r="K68" i="7"/>
  <c r="J68" i="7"/>
  <c r="I68" i="7"/>
  <c r="H68" i="7"/>
  <c r="G68" i="7"/>
  <c r="F68" i="7"/>
  <c r="E68" i="7"/>
  <c r="D68" i="7"/>
  <c r="C68" i="7"/>
  <c r="CF67" i="7"/>
  <c r="CE67" i="7"/>
  <c r="CD67" i="7"/>
  <c r="CC67" i="7"/>
  <c r="CB67" i="7"/>
  <c r="CA67" i="7"/>
  <c r="BZ67" i="7"/>
  <c r="BY67" i="7"/>
  <c r="BX67" i="7"/>
  <c r="BW67" i="7"/>
  <c r="BV67" i="7"/>
  <c r="BU67" i="7"/>
  <c r="BT67" i="7"/>
  <c r="BS67" i="7"/>
  <c r="BR67" i="7"/>
  <c r="BQ67" i="7"/>
  <c r="BP67" i="7"/>
  <c r="BO67" i="7"/>
  <c r="BN67" i="7"/>
  <c r="BM67" i="7"/>
  <c r="BL67" i="7"/>
  <c r="BK67" i="7"/>
  <c r="BJ67" i="7"/>
  <c r="BI67" i="7"/>
  <c r="BH67" i="7"/>
  <c r="BG67" i="7"/>
  <c r="BF67" i="7"/>
  <c r="BE67" i="7"/>
  <c r="BD67" i="7"/>
  <c r="BC67" i="7"/>
  <c r="BB67" i="7"/>
  <c r="BA67" i="7"/>
  <c r="AZ67" i="7"/>
  <c r="AY67" i="7"/>
  <c r="AX67" i="7"/>
  <c r="AW67" i="7"/>
  <c r="AV67" i="7"/>
  <c r="AU67" i="7"/>
  <c r="AT67" i="7"/>
  <c r="AS67" i="7"/>
  <c r="AR67" i="7"/>
  <c r="AQ67" i="7"/>
  <c r="AP67" i="7"/>
  <c r="AO67" i="7"/>
  <c r="AN67" i="7"/>
  <c r="AM67" i="7"/>
  <c r="AL67" i="7"/>
  <c r="AK67" i="7"/>
  <c r="AJ67" i="7"/>
  <c r="AI67" i="7"/>
  <c r="AH67" i="7"/>
  <c r="AG67" i="7"/>
  <c r="AF67" i="7"/>
  <c r="AE67" i="7"/>
  <c r="AD67" i="7"/>
  <c r="AC67" i="7"/>
  <c r="AB67" i="7"/>
  <c r="AA67" i="7"/>
  <c r="Z67" i="7"/>
  <c r="Y67" i="7"/>
  <c r="X67" i="7"/>
  <c r="W67" i="7"/>
  <c r="V67" i="7"/>
  <c r="U67" i="7"/>
  <c r="T67" i="7"/>
  <c r="S67" i="7"/>
  <c r="R67" i="7"/>
  <c r="Q67" i="7"/>
  <c r="P67" i="7"/>
  <c r="O67" i="7"/>
  <c r="N67" i="7"/>
  <c r="M67" i="7"/>
  <c r="L67" i="7"/>
  <c r="K67" i="7"/>
  <c r="J67" i="7"/>
  <c r="I67" i="7"/>
  <c r="H67" i="7"/>
  <c r="G67" i="7"/>
  <c r="F67" i="7"/>
  <c r="E67" i="7"/>
  <c r="D67" i="7"/>
  <c r="C67" i="7"/>
  <c r="CF66" i="7"/>
  <c r="CE66" i="7"/>
  <c r="CD66" i="7"/>
  <c r="CC66" i="7"/>
  <c r="CB66" i="7"/>
  <c r="CA66" i="7"/>
  <c r="BZ66" i="7"/>
  <c r="BY66" i="7"/>
  <c r="BX66" i="7"/>
  <c r="BW66" i="7"/>
  <c r="BV66" i="7"/>
  <c r="BU66" i="7"/>
  <c r="BT66" i="7"/>
  <c r="BS66" i="7"/>
  <c r="BR66" i="7"/>
  <c r="BQ66" i="7"/>
  <c r="BP66" i="7"/>
  <c r="BO66" i="7"/>
  <c r="BN66" i="7"/>
  <c r="BM66" i="7"/>
  <c r="BL66" i="7"/>
  <c r="BK66" i="7"/>
  <c r="BJ66" i="7"/>
  <c r="BI66" i="7"/>
  <c r="BH66" i="7"/>
  <c r="BG66" i="7"/>
  <c r="BF66" i="7"/>
  <c r="BE66" i="7"/>
  <c r="BD66" i="7"/>
  <c r="BC66" i="7"/>
  <c r="BB66" i="7"/>
  <c r="BA66" i="7"/>
  <c r="AZ66" i="7"/>
  <c r="AY66" i="7"/>
  <c r="AX66" i="7"/>
  <c r="AW66" i="7"/>
  <c r="AV66" i="7"/>
  <c r="AU66" i="7"/>
  <c r="AT66" i="7"/>
  <c r="AS66" i="7"/>
  <c r="AR66" i="7"/>
  <c r="AQ66" i="7"/>
  <c r="AP66" i="7"/>
  <c r="AO66" i="7"/>
  <c r="AN66" i="7"/>
  <c r="AM66" i="7"/>
  <c r="AL66" i="7"/>
  <c r="AK66" i="7"/>
  <c r="AJ66" i="7"/>
  <c r="AI66" i="7"/>
  <c r="AH66" i="7"/>
  <c r="AG66" i="7"/>
  <c r="AF66" i="7"/>
  <c r="AE66" i="7"/>
  <c r="AD66" i="7"/>
  <c r="AC66" i="7"/>
  <c r="AB66" i="7"/>
  <c r="AA66" i="7"/>
  <c r="Z66" i="7"/>
  <c r="Y66" i="7"/>
  <c r="X66" i="7"/>
  <c r="W66" i="7"/>
  <c r="V66" i="7"/>
  <c r="U66" i="7"/>
  <c r="T66" i="7"/>
  <c r="S66" i="7"/>
  <c r="R66" i="7"/>
  <c r="Q66" i="7"/>
  <c r="P66" i="7"/>
  <c r="O66" i="7"/>
  <c r="N66" i="7"/>
  <c r="M66" i="7"/>
  <c r="L66" i="7"/>
  <c r="K66" i="7"/>
  <c r="J66" i="7"/>
  <c r="I66" i="7"/>
  <c r="H66" i="7"/>
  <c r="CG66" i="7" s="1"/>
  <c r="G66" i="7"/>
  <c r="F66" i="7"/>
  <c r="E66" i="7"/>
  <c r="D66" i="7"/>
  <c r="C66" i="7"/>
  <c r="CF65" i="7"/>
  <c r="CE65" i="7"/>
  <c r="CD65" i="7"/>
  <c r="CC65" i="7"/>
  <c r="CB65" i="7"/>
  <c r="CA65" i="7"/>
  <c r="BZ65" i="7"/>
  <c r="BY65" i="7"/>
  <c r="BX65" i="7"/>
  <c r="BW65" i="7"/>
  <c r="BV65" i="7"/>
  <c r="BU65" i="7"/>
  <c r="BT65" i="7"/>
  <c r="BS65" i="7"/>
  <c r="BR65" i="7"/>
  <c r="BQ65" i="7"/>
  <c r="BP65" i="7"/>
  <c r="BO65" i="7"/>
  <c r="BN65" i="7"/>
  <c r="BM65" i="7"/>
  <c r="BL65" i="7"/>
  <c r="BK65" i="7"/>
  <c r="BJ65" i="7"/>
  <c r="BI65" i="7"/>
  <c r="BH65" i="7"/>
  <c r="BG65" i="7"/>
  <c r="BF65" i="7"/>
  <c r="BE65" i="7"/>
  <c r="BD65" i="7"/>
  <c r="BC65" i="7"/>
  <c r="BB65" i="7"/>
  <c r="BA65" i="7"/>
  <c r="AZ65" i="7"/>
  <c r="AY65" i="7"/>
  <c r="AX65" i="7"/>
  <c r="AW65" i="7"/>
  <c r="AV65" i="7"/>
  <c r="AU65" i="7"/>
  <c r="AT65" i="7"/>
  <c r="AS65" i="7"/>
  <c r="AR65" i="7"/>
  <c r="AQ65" i="7"/>
  <c r="AP65" i="7"/>
  <c r="AO65" i="7"/>
  <c r="AN65" i="7"/>
  <c r="AM65" i="7"/>
  <c r="AL65" i="7"/>
  <c r="AK65" i="7"/>
  <c r="AJ65" i="7"/>
  <c r="AI65" i="7"/>
  <c r="AH65" i="7"/>
  <c r="AG65" i="7"/>
  <c r="AF65" i="7"/>
  <c r="AE65" i="7"/>
  <c r="AD65" i="7"/>
  <c r="AC65" i="7"/>
  <c r="AB65" i="7"/>
  <c r="AA65" i="7"/>
  <c r="Z65" i="7"/>
  <c r="Y65" i="7"/>
  <c r="X65" i="7"/>
  <c r="W65" i="7"/>
  <c r="V65" i="7"/>
  <c r="U65" i="7"/>
  <c r="T65" i="7"/>
  <c r="S65" i="7"/>
  <c r="R65" i="7"/>
  <c r="Q65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CG65" i="7" s="1"/>
  <c r="CF64" i="7"/>
  <c r="CE64" i="7"/>
  <c r="CD64" i="7"/>
  <c r="CC64" i="7"/>
  <c r="CB64" i="7"/>
  <c r="CA64" i="7"/>
  <c r="BZ64" i="7"/>
  <c r="BY64" i="7"/>
  <c r="BX64" i="7"/>
  <c r="BW64" i="7"/>
  <c r="BV64" i="7"/>
  <c r="BU64" i="7"/>
  <c r="BT64" i="7"/>
  <c r="BS64" i="7"/>
  <c r="BR64" i="7"/>
  <c r="BQ64" i="7"/>
  <c r="BP64" i="7"/>
  <c r="BO64" i="7"/>
  <c r="BN64" i="7"/>
  <c r="BM64" i="7"/>
  <c r="BL64" i="7"/>
  <c r="BK64" i="7"/>
  <c r="BJ64" i="7"/>
  <c r="BI64" i="7"/>
  <c r="BH64" i="7"/>
  <c r="BG64" i="7"/>
  <c r="BF64" i="7"/>
  <c r="BE64" i="7"/>
  <c r="BD64" i="7"/>
  <c r="BC64" i="7"/>
  <c r="BB64" i="7"/>
  <c r="BA64" i="7"/>
  <c r="AZ64" i="7"/>
  <c r="AY64" i="7"/>
  <c r="AX64" i="7"/>
  <c r="AW64" i="7"/>
  <c r="AV64" i="7"/>
  <c r="AU64" i="7"/>
  <c r="AT64" i="7"/>
  <c r="AS64" i="7"/>
  <c r="AR64" i="7"/>
  <c r="AQ64" i="7"/>
  <c r="AP64" i="7"/>
  <c r="AO64" i="7"/>
  <c r="AN64" i="7"/>
  <c r="AM64" i="7"/>
  <c r="AL64" i="7"/>
  <c r="AK64" i="7"/>
  <c r="AJ64" i="7"/>
  <c r="AI64" i="7"/>
  <c r="AH64" i="7"/>
  <c r="AG64" i="7"/>
  <c r="AF64" i="7"/>
  <c r="AE64" i="7"/>
  <c r="AD64" i="7"/>
  <c r="AC64" i="7"/>
  <c r="AB64" i="7"/>
  <c r="AA64" i="7"/>
  <c r="Z64" i="7"/>
  <c r="Y64" i="7"/>
  <c r="X64" i="7"/>
  <c r="W64" i="7"/>
  <c r="V64" i="7"/>
  <c r="U64" i="7"/>
  <c r="T64" i="7"/>
  <c r="S64" i="7"/>
  <c r="R64" i="7"/>
  <c r="Q64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CF63" i="7"/>
  <c r="CE63" i="7"/>
  <c r="CD63" i="7"/>
  <c r="CC63" i="7"/>
  <c r="CB63" i="7"/>
  <c r="CA63" i="7"/>
  <c r="BZ63" i="7"/>
  <c r="BY63" i="7"/>
  <c r="BX63" i="7"/>
  <c r="BW63" i="7"/>
  <c r="BV63" i="7"/>
  <c r="BU63" i="7"/>
  <c r="BT63" i="7"/>
  <c r="BS63" i="7"/>
  <c r="BR63" i="7"/>
  <c r="BQ63" i="7"/>
  <c r="BP63" i="7"/>
  <c r="BO63" i="7"/>
  <c r="BN63" i="7"/>
  <c r="BM63" i="7"/>
  <c r="BL63" i="7"/>
  <c r="BK63" i="7"/>
  <c r="BJ63" i="7"/>
  <c r="BI63" i="7"/>
  <c r="BH63" i="7"/>
  <c r="BG63" i="7"/>
  <c r="BF63" i="7"/>
  <c r="BE63" i="7"/>
  <c r="BD63" i="7"/>
  <c r="BC63" i="7"/>
  <c r="BB63" i="7"/>
  <c r="BA63" i="7"/>
  <c r="AZ63" i="7"/>
  <c r="AY63" i="7"/>
  <c r="AX63" i="7"/>
  <c r="AW63" i="7"/>
  <c r="AV63" i="7"/>
  <c r="AU63" i="7"/>
  <c r="AT63" i="7"/>
  <c r="AS63" i="7"/>
  <c r="AR63" i="7"/>
  <c r="AQ63" i="7"/>
  <c r="AP63" i="7"/>
  <c r="AO63" i="7"/>
  <c r="AN63" i="7"/>
  <c r="AM63" i="7"/>
  <c r="AL63" i="7"/>
  <c r="AK63" i="7"/>
  <c r="AJ63" i="7"/>
  <c r="AI63" i="7"/>
  <c r="AH63" i="7"/>
  <c r="AG63" i="7"/>
  <c r="AF63" i="7"/>
  <c r="AE63" i="7"/>
  <c r="AD63" i="7"/>
  <c r="AC63" i="7"/>
  <c r="AB63" i="7"/>
  <c r="AA63" i="7"/>
  <c r="Z63" i="7"/>
  <c r="Y63" i="7"/>
  <c r="X63" i="7"/>
  <c r="W63" i="7"/>
  <c r="V63" i="7"/>
  <c r="U63" i="7"/>
  <c r="T63" i="7"/>
  <c r="S63" i="7"/>
  <c r="R63" i="7"/>
  <c r="Q63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CG63" i="7" s="1"/>
  <c r="CF62" i="7"/>
  <c r="CE62" i="7"/>
  <c r="CD62" i="7"/>
  <c r="CC62" i="7"/>
  <c r="CB62" i="7"/>
  <c r="CA62" i="7"/>
  <c r="BZ62" i="7"/>
  <c r="BY62" i="7"/>
  <c r="BX62" i="7"/>
  <c r="BW62" i="7"/>
  <c r="BV62" i="7"/>
  <c r="BU62" i="7"/>
  <c r="BT62" i="7"/>
  <c r="BS62" i="7"/>
  <c r="BR62" i="7"/>
  <c r="BQ62" i="7"/>
  <c r="BP62" i="7"/>
  <c r="BO62" i="7"/>
  <c r="BN62" i="7"/>
  <c r="BM62" i="7"/>
  <c r="BL62" i="7"/>
  <c r="BK62" i="7"/>
  <c r="BJ62" i="7"/>
  <c r="BI62" i="7"/>
  <c r="BH62" i="7"/>
  <c r="BG62" i="7"/>
  <c r="BF62" i="7"/>
  <c r="BE62" i="7"/>
  <c r="BD62" i="7"/>
  <c r="BC62" i="7"/>
  <c r="BB62" i="7"/>
  <c r="BA62" i="7"/>
  <c r="AZ62" i="7"/>
  <c r="AY62" i="7"/>
  <c r="AX62" i="7"/>
  <c r="AW62" i="7"/>
  <c r="AV62" i="7"/>
  <c r="AU62" i="7"/>
  <c r="AT62" i="7"/>
  <c r="AS62" i="7"/>
  <c r="AR62" i="7"/>
  <c r="AQ62" i="7"/>
  <c r="AP62" i="7"/>
  <c r="AO62" i="7"/>
  <c r="AN62" i="7"/>
  <c r="AM62" i="7"/>
  <c r="AL62" i="7"/>
  <c r="AK62" i="7"/>
  <c r="AJ62" i="7"/>
  <c r="AI62" i="7"/>
  <c r="AH62" i="7"/>
  <c r="AG62" i="7"/>
  <c r="AF62" i="7"/>
  <c r="AE62" i="7"/>
  <c r="AD62" i="7"/>
  <c r="AC62" i="7"/>
  <c r="AB62" i="7"/>
  <c r="AA62" i="7"/>
  <c r="Z62" i="7"/>
  <c r="Y62" i="7"/>
  <c r="X62" i="7"/>
  <c r="W62" i="7"/>
  <c r="V62" i="7"/>
  <c r="U62" i="7"/>
  <c r="T62" i="7"/>
  <c r="S62" i="7"/>
  <c r="R62" i="7"/>
  <c r="Q62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CF61" i="7"/>
  <c r="CE61" i="7"/>
  <c r="CD61" i="7"/>
  <c r="CC61" i="7"/>
  <c r="CB61" i="7"/>
  <c r="CA61" i="7"/>
  <c r="BZ61" i="7"/>
  <c r="BY61" i="7"/>
  <c r="BX61" i="7"/>
  <c r="BW61" i="7"/>
  <c r="BV61" i="7"/>
  <c r="BU61" i="7"/>
  <c r="BT61" i="7"/>
  <c r="BS61" i="7"/>
  <c r="BR61" i="7"/>
  <c r="BQ61" i="7"/>
  <c r="BP61" i="7"/>
  <c r="BO61" i="7"/>
  <c r="BN61" i="7"/>
  <c r="BM61" i="7"/>
  <c r="BL61" i="7"/>
  <c r="BK61" i="7"/>
  <c r="BJ61" i="7"/>
  <c r="BI61" i="7"/>
  <c r="BH61" i="7"/>
  <c r="BG61" i="7"/>
  <c r="BF61" i="7"/>
  <c r="BE61" i="7"/>
  <c r="BD61" i="7"/>
  <c r="BC61" i="7"/>
  <c r="BB61" i="7"/>
  <c r="BA61" i="7"/>
  <c r="AZ61" i="7"/>
  <c r="AY61" i="7"/>
  <c r="AX61" i="7"/>
  <c r="AW61" i="7"/>
  <c r="AV61" i="7"/>
  <c r="AU61" i="7"/>
  <c r="AT61" i="7"/>
  <c r="AS61" i="7"/>
  <c r="AR61" i="7"/>
  <c r="AQ61" i="7"/>
  <c r="AP61" i="7"/>
  <c r="AO61" i="7"/>
  <c r="AN61" i="7"/>
  <c r="AM61" i="7"/>
  <c r="AL61" i="7"/>
  <c r="AK61" i="7"/>
  <c r="AJ61" i="7"/>
  <c r="AI61" i="7"/>
  <c r="AH61" i="7"/>
  <c r="AG61" i="7"/>
  <c r="AF61" i="7"/>
  <c r="AE61" i="7"/>
  <c r="AD61" i="7"/>
  <c r="AC61" i="7"/>
  <c r="AB61" i="7"/>
  <c r="AA61" i="7"/>
  <c r="Z61" i="7"/>
  <c r="Y61" i="7"/>
  <c r="X61" i="7"/>
  <c r="W61" i="7"/>
  <c r="V61" i="7"/>
  <c r="U61" i="7"/>
  <c r="T61" i="7"/>
  <c r="S61" i="7"/>
  <c r="R61" i="7"/>
  <c r="Q61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CF60" i="7"/>
  <c r="CE60" i="7"/>
  <c r="CD60" i="7"/>
  <c r="CC60" i="7"/>
  <c r="CB60" i="7"/>
  <c r="CA60" i="7"/>
  <c r="BZ60" i="7"/>
  <c r="BY60" i="7"/>
  <c r="BX60" i="7"/>
  <c r="BW60" i="7"/>
  <c r="BV60" i="7"/>
  <c r="BU60" i="7"/>
  <c r="BT60" i="7"/>
  <c r="BS60" i="7"/>
  <c r="BR60" i="7"/>
  <c r="BQ60" i="7"/>
  <c r="BP60" i="7"/>
  <c r="BO60" i="7"/>
  <c r="BN60" i="7"/>
  <c r="BM60" i="7"/>
  <c r="BL60" i="7"/>
  <c r="BK60" i="7"/>
  <c r="BJ60" i="7"/>
  <c r="BI60" i="7"/>
  <c r="BH60" i="7"/>
  <c r="BG60" i="7"/>
  <c r="BF60" i="7"/>
  <c r="BE60" i="7"/>
  <c r="BD60" i="7"/>
  <c r="BC60" i="7"/>
  <c r="BB60" i="7"/>
  <c r="BA60" i="7"/>
  <c r="AZ60" i="7"/>
  <c r="AY60" i="7"/>
  <c r="AX60" i="7"/>
  <c r="AW60" i="7"/>
  <c r="AV60" i="7"/>
  <c r="AU60" i="7"/>
  <c r="AT60" i="7"/>
  <c r="AS60" i="7"/>
  <c r="AR60" i="7"/>
  <c r="AQ60" i="7"/>
  <c r="AP60" i="7"/>
  <c r="AO60" i="7"/>
  <c r="AN60" i="7"/>
  <c r="AM60" i="7"/>
  <c r="AL60" i="7"/>
  <c r="AK60" i="7"/>
  <c r="AJ60" i="7"/>
  <c r="AI60" i="7"/>
  <c r="AH60" i="7"/>
  <c r="AG60" i="7"/>
  <c r="AF60" i="7"/>
  <c r="AE60" i="7"/>
  <c r="AD60" i="7"/>
  <c r="AC60" i="7"/>
  <c r="AB60" i="7"/>
  <c r="AA60" i="7"/>
  <c r="Z60" i="7"/>
  <c r="Y60" i="7"/>
  <c r="X60" i="7"/>
  <c r="W60" i="7"/>
  <c r="V60" i="7"/>
  <c r="U60" i="7"/>
  <c r="T60" i="7"/>
  <c r="S60" i="7"/>
  <c r="R60" i="7"/>
  <c r="Q60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CF59" i="7"/>
  <c r="CE59" i="7"/>
  <c r="CD59" i="7"/>
  <c r="CC59" i="7"/>
  <c r="CB59" i="7"/>
  <c r="CA59" i="7"/>
  <c r="BZ59" i="7"/>
  <c r="BY59" i="7"/>
  <c r="BX59" i="7"/>
  <c r="BW59" i="7"/>
  <c r="BV59" i="7"/>
  <c r="BU59" i="7"/>
  <c r="BT59" i="7"/>
  <c r="BS59" i="7"/>
  <c r="BR59" i="7"/>
  <c r="BQ59" i="7"/>
  <c r="BP59" i="7"/>
  <c r="BO59" i="7"/>
  <c r="BN59" i="7"/>
  <c r="BM59" i="7"/>
  <c r="BL59" i="7"/>
  <c r="BK59" i="7"/>
  <c r="BJ59" i="7"/>
  <c r="BI59" i="7"/>
  <c r="BH59" i="7"/>
  <c r="BG59" i="7"/>
  <c r="BF59" i="7"/>
  <c r="BE59" i="7"/>
  <c r="BD59" i="7"/>
  <c r="BC59" i="7"/>
  <c r="BB59" i="7"/>
  <c r="BA59" i="7"/>
  <c r="AZ59" i="7"/>
  <c r="AY59" i="7"/>
  <c r="AX59" i="7"/>
  <c r="AW59" i="7"/>
  <c r="AV59" i="7"/>
  <c r="AU59" i="7"/>
  <c r="AT59" i="7"/>
  <c r="AS59" i="7"/>
  <c r="AR59" i="7"/>
  <c r="AQ59" i="7"/>
  <c r="AP59" i="7"/>
  <c r="AO59" i="7"/>
  <c r="AN59" i="7"/>
  <c r="AM59" i="7"/>
  <c r="AL59" i="7"/>
  <c r="AK59" i="7"/>
  <c r="AJ59" i="7"/>
  <c r="AI59" i="7"/>
  <c r="AH59" i="7"/>
  <c r="AG59" i="7"/>
  <c r="AF59" i="7"/>
  <c r="AE59" i="7"/>
  <c r="AD59" i="7"/>
  <c r="AC59" i="7"/>
  <c r="AB59" i="7"/>
  <c r="AA59" i="7"/>
  <c r="Z59" i="7"/>
  <c r="Y59" i="7"/>
  <c r="X59" i="7"/>
  <c r="W59" i="7"/>
  <c r="V59" i="7"/>
  <c r="U59" i="7"/>
  <c r="T59" i="7"/>
  <c r="S59" i="7"/>
  <c r="R59" i="7"/>
  <c r="Q59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CG59" i="7" s="1"/>
  <c r="CF58" i="7"/>
  <c r="CE58" i="7"/>
  <c r="CD58" i="7"/>
  <c r="CC58" i="7"/>
  <c r="CB58" i="7"/>
  <c r="CA58" i="7"/>
  <c r="BZ58" i="7"/>
  <c r="BY58" i="7"/>
  <c r="BX58" i="7"/>
  <c r="BW58" i="7"/>
  <c r="BV58" i="7"/>
  <c r="BU58" i="7"/>
  <c r="BT58" i="7"/>
  <c r="BS58" i="7"/>
  <c r="BR58" i="7"/>
  <c r="BQ58" i="7"/>
  <c r="BP58" i="7"/>
  <c r="BO58" i="7"/>
  <c r="BN58" i="7"/>
  <c r="BM58" i="7"/>
  <c r="BL58" i="7"/>
  <c r="BK58" i="7"/>
  <c r="BJ58" i="7"/>
  <c r="BI58" i="7"/>
  <c r="BH58" i="7"/>
  <c r="BG58" i="7"/>
  <c r="BF58" i="7"/>
  <c r="BE58" i="7"/>
  <c r="BD58" i="7"/>
  <c r="BC58" i="7"/>
  <c r="BB58" i="7"/>
  <c r="BA58" i="7"/>
  <c r="AZ58" i="7"/>
  <c r="AY58" i="7"/>
  <c r="AX58" i="7"/>
  <c r="AW58" i="7"/>
  <c r="AV58" i="7"/>
  <c r="AU58" i="7"/>
  <c r="AT58" i="7"/>
  <c r="AS58" i="7"/>
  <c r="AR58" i="7"/>
  <c r="AQ58" i="7"/>
  <c r="AP58" i="7"/>
  <c r="AO58" i="7"/>
  <c r="AN58" i="7"/>
  <c r="AM58" i="7"/>
  <c r="AL58" i="7"/>
  <c r="AK58" i="7"/>
  <c r="AJ58" i="7"/>
  <c r="AI58" i="7"/>
  <c r="AH58" i="7"/>
  <c r="AG58" i="7"/>
  <c r="AF58" i="7"/>
  <c r="AE58" i="7"/>
  <c r="AD58" i="7"/>
  <c r="AC58" i="7"/>
  <c r="AB58" i="7"/>
  <c r="AA58" i="7"/>
  <c r="Z58" i="7"/>
  <c r="Y58" i="7"/>
  <c r="X58" i="7"/>
  <c r="W58" i="7"/>
  <c r="V58" i="7"/>
  <c r="U58" i="7"/>
  <c r="T58" i="7"/>
  <c r="S58" i="7"/>
  <c r="R58" i="7"/>
  <c r="Q58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CF57" i="7"/>
  <c r="CE57" i="7"/>
  <c r="CD57" i="7"/>
  <c r="CC57" i="7"/>
  <c r="CB57" i="7"/>
  <c r="CA57" i="7"/>
  <c r="BZ57" i="7"/>
  <c r="BY57" i="7"/>
  <c r="BX57" i="7"/>
  <c r="BW57" i="7"/>
  <c r="BV57" i="7"/>
  <c r="BU57" i="7"/>
  <c r="BT57" i="7"/>
  <c r="BS57" i="7"/>
  <c r="BR57" i="7"/>
  <c r="BQ57" i="7"/>
  <c r="BP57" i="7"/>
  <c r="BO57" i="7"/>
  <c r="BN57" i="7"/>
  <c r="BM57" i="7"/>
  <c r="BL57" i="7"/>
  <c r="BK57" i="7"/>
  <c r="BJ57" i="7"/>
  <c r="BI57" i="7"/>
  <c r="BH57" i="7"/>
  <c r="BG57" i="7"/>
  <c r="BF57" i="7"/>
  <c r="BE57" i="7"/>
  <c r="BD57" i="7"/>
  <c r="BC57" i="7"/>
  <c r="BB57" i="7"/>
  <c r="BA57" i="7"/>
  <c r="AZ57" i="7"/>
  <c r="AY57" i="7"/>
  <c r="AX57" i="7"/>
  <c r="AW57" i="7"/>
  <c r="AV57" i="7"/>
  <c r="AU57" i="7"/>
  <c r="AT57" i="7"/>
  <c r="AS57" i="7"/>
  <c r="AR57" i="7"/>
  <c r="AQ57" i="7"/>
  <c r="AP57" i="7"/>
  <c r="AO57" i="7"/>
  <c r="AN57" i="7"/>
  <c r="AM57" i="7"/>
  <c r="AL57" i="7"/>
  <c r="AK57" i="7"/>
  <c r="AJ57" i="7"/>
  <c r="AI57" i="7"/>
  <c r="AH57" i="7"/>
  <c r="AG57" i="7"/>
  <c r="AF57" i="7"/>
  <c r="AE57" i="7"/>
  <c r="AD57" i="7"/>
  <c r="AC57" i="7"/>
  <c r="AB57" i="7"/>
  <c r="AA57" i="7"/>
  <c r="Z57" i="7"/>
  <c r="Y57" i="7"/>
  <c r="X57" i="7"/>
  <c r="W57" i="7"/>
  <c r="V57" i="7"/>
  <c r="U57" i="7"/>
  <c r="T57" i="7"/>
  <c r="S57" i="7"/>
  <c r="CG57" i="7" s="1"/>
  <c r="R57" i="7"/>
  <c r="Q57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CF56" i="7"/>
  <c r="CE56" i="7"/>
  <c r="CD56" i="7"/>
  <c r="CC56" i="7"/>
  <c r="CB56" i="7"/>
  <c r="CA56" i="7"/>
  <c r="BZ56" i="7"/>
  <c r="BY56" i="7"/>
  <c r="BX56" i="7"/>
  <c r="BW56" i="7"/>
  <c r="BV56" i="7"/>
  <c r="BU56" i="7"/>
  <c r="BT56" i="7"/>
  <c r="BS56" i="7"/>
  <c r="BR56" i="7"/>
  <c r="BQ56" i="7"/>
  <c r="BP56" i="7"/>
  <c r="BO56" i="7"/>
  <c r="BN56" i="7"/>
  <c r="BM56" i="7"/>
  <c r="BL56" i="7"/>
  <c r="BK56" i="7"/>
  <c r="BJ56" i="7"/>
  <c r="BI56" i="7"/>
  <c r="BH56" i="7"/>
  <c r="BG56" i="7"/>
  <c r="BF56" i="7"/>
  <c r="BE56" i="7"/>
  <c r="BD56" i="7"/>
  <c r="BC56" i="7"/>
  <c r="BB56" i="7"/>
  <c r="BA56" i="7"/>
  <c r="AZ56" i="7"/>
  <c r="AY56" i="7"/>
  <c r="AX56" i="7"/>
  <c r="AW56" i="7"/>
  <c r="AV56" i="7"/>
  <c r="AU56" i="7"/>
  <c r="AT56" i="7"/>
  <c r="AS56" i="7"/>
  <c r="AR56" i="7"/>
  <c r="AQ56" i="7"/>
  <c r="AP56" i="7"/>
  <c r="AO56" i="7"/>
  <c r="AN56" i="7"/>
  <c r="AM56" i="7"/>
  <c r="AL56" i="7"/>
  <c r="AK56" i="7"/>
  <c r="AJ56" i="7"/>
  <c r="AI56" i="7"/>
  <c r="AH56" i="7"/>
  <c r="AG56" i="7"/>
  <c r="AF56" i="7"/>
  <c r="AE56" i="7"/>
  <c r="AD56" i="7"/>
  <c r="AC56" i="7"/>
  <c r="AB56" i="7"/>
  <c r="AA56" i="7"/>
  <c r="Z56" i="7"/>
  <c r="Y56" i="7"/>
  <c r="X56" i="7"/>
  <c r="W56" i="7"/>
  <c r="V56" i="7"/>
  <c r="U56" i="7"/>
  <c r="T56" i="7"/>
  <c r="S56" i="7"/>
  <c r="R56" i="7"/>
  <c r="Q56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CF55" i="7"/>
  <c r="CE55" i="7"/>
  <c r="CD55" i="7"/>
  <c r="CC55" i="7"/>
  <c r="CB55" i="7"/>
  <c r="CA55" i="7"/>
  <c r="BZ55" i="7"/>
  <c r="BY55" i="7"/>
  <c r="BX55" i="7"/>
  <c r="BW55" i="7"/>
  <c r="BV55" i="7"/>
  <c r="BU55" i="7"/>
  <c r="BT55" i="7"/>
  <c r="BS55" i="7"/>
  <c r="BR55" i="7"/>
  <c r="BQ55" i="7"/>
  <c r="BP55" i="7"/>
  <c r="BO55" i="7"/>
  <c r="BN55" i="7"/>
  <c r="BM55" i="7"/>
  <c r="BL55" i="7"/>
  <c r="BK55" i="7"/>
  <c r="BJ55" i="7"/>
  <c r="BI55" i="7"/>
  <c r="BH55" i="7"/>
  <c r="BG55" i="7"/>
  <c r="BF55" i="7"/>
  <c r="BE55" i="7"/>
  <c r="BD55" i="7"/>
  <c r="BC55" i="7"/>
  <c r="BB55" i="7"/>
  <c r="BA55" i="7"/>
  <c r="AZ55" i="7"/>
  <c r="AY55" i="7"/>
  <c r="AX55" i="7"/>
  <c r="AW55" i="7"/>
  <c r="AV55" i="7"/>
  <c r="AU55" i="7"/>
  <c r="AT55" i="7"/>
  <c r="AS55" i="7"/>
  <c r="AR55" i="7"/>
  <c r="AQ55" i="7"/>
  <c r="AP55" i="7"/>
  <c r="AO55" i="7"/>
  <c r="AN55" i="7"/>
  <c r="AM55" i="7"/>
  <c r="AL55" i="7"/>
  <c r="AK55" i="7"/>
  <c r="AJ55" i="7"/>
  <c r="AI55" i="7"/>
  <c r="AH55" i="7"/>
  <c r="AG55" i="7"/>
  <c r="AF55" i="7"/>
  <c r="AE55" i="7"/>
  <c r="AD55" i="7"/>
  <c r="AC55" i="7"/>
  <c r="AB55" i="7"/>
  <c r="AA55" i="7"/>
  <c r="Z55" i="7"/>
  <c r="Y55" i="7"/>
  <c r="X55" i="7"/>
  <c r="W55" i="7"/>
  <c r="V55" i="7"/>
  <c r="U55" i="7"/>
  <c r="T55" i="7"/>
  <c r="S55" i="7"/>
  <c r="R55" i="7"/>
  <c r="Q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CF54" i="7"/>
  <c r="CE54" i="7"/>
  <c r="CD54" i="7"/>
  <c r="CC54" i="7"/>
  <c r="CB54" i="7"/>
  <c r="CA54" i="7"/>
  <c r="BZ54" i="7"/>
  <c r="BY54" i="7"/>
  <c r="BX54" i="7"/>
  <c r="BW54" i="7"/>
  <c r="BV54" i="7"/>
  <c r="BU54" i="7"/>
  <c r="BT54" i="7"/>
  <c r="BS54" i="7"/>
  <c r="BR54" i="7"/>
  <c r="BQ54" i="7"/>
  <c r="BP54" i="7"/>
  <c r="BO54" i="7"/>
  <c r="BN54" i="7"/>
  <c r="BM54" i="7"/>
  <c r="BL54" i="7"/>
  <c r="BK54" i="7"/>
  <c r="BJ54" i="7"/>
  <c r="BI54" i="7"/>
  <c r="BH54" i="7"/>
  <c r="BG54" i="7"/>
  <c r="BF54" i="7"/>
  <c r="BE54" i="7"/>
  <c r="BD54" i="7"/>
  <c r="BC54" i="7"/>
  <c r="BB54" i="7"/>
  <c r="BA54" i="7"/>
  <c r="AZ54" i="7"/>
  <c r="AY54" i="7"/>
  <c r="AX54" i="7"/>
  <c r="AW54" i="7"/>
  <c r="AV54" i="7"/>
  <c r="AU54" i="7"/>
  <c r="AT54" i="7"/>
  <c r="AS54" i="7"/>
  <c r="AR54" i="7"/>
  <c r="AQ54" i="7"/>
  <c r="AP54" i="7"/>
  <c r="AO54" i="7"/>
  <c r="AN54" i="7"/>
  <c r="AM54" i="7"/>
  <c r="AL54" i="7"/>
  <c r="AK54" i="7"/>
  <c r="AJ54" i="7"/>
  <c r="AI54" i="7"/>
  <c r="AH54" i="7"/>
  <c r="AG54" i="7"/>
  <c r="AF54" i="7"/>
  <c r="AE54" i="7"/>
  <c r="AD54" i="7"/>
  <c r="AC54" i="7"/>
  <c r="AB54" i="7"/>
  <c r="AA54" i="7"/>
  <c r="Z54" i="7"/>
  <c r="Y54" i="7"/>
  <c r="X54" i="7"/>
  <c r="W54" i="7"/>
  <c r="V54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CF53" i="7"/>
  <c r="CE53" i="7"/>
  <c r="CD53" i="7"/>
  <c r="CC53" i="7"/>
  <c r="CB53" i="7"/>
  <c r="CA53" i="7"/>
  <c r="BZ53" i="7"/>
  <c r="BY53" i="7"/>
  <c r="BX53" i="7"/>
  <c r="BW53" i="7"/>
  <c r="BV53" i="7"/>
  <c r="BU53" i="7"/>
  <c r="BT53" i="7"/>
  <c r="BS53" i="7"/>
  <c r="BR53" i="7"/>
  <c r="BQ53" i="7"/>
  <c r="BP53" i="7"/>
  <c r="BO53" i="7"/>
  <c r="BN53" i="7"/>
  <c r="BM53" i="7"/>
  <c r="BL53" i="7"/>
  <c r="BK53" i="7"/>
  <c r="BJ53" i="7"/>
  <c r="BI53" i="7"/>
  <c r="BH53" i="7"/>
  <c r="BG53" i="7"/>
  <c r="BF53" i="7"/>
  <c r="BE53" i="7"/>
  <c r="BD53" i="7"/>
  <c r="BC53" i="7"/>
  <c r="BB53" i="7"/>
  <c r="BA53" i="7"/>
  <c r="AZ53" i="7"/>
  <c r="AY53" i="7"/>
  <c r="AX53" i="7"/>
  <c r="AW53" i="7"/>
  <c r="AV53" i="7"/>
  <c r="AU53" i="7"/>
  <c r="AT53" i="7"/>
  <c r="AS53" i="7"/>
  <c r="AR53" i="7"/>
  <c r="AQ53" i="7"/>
  <c r="AP53" i="7"/>
  <c r="AO53" i="7"/>
  <c r="AN53" i="7"/>
  <c r="AM53" i="7"/>
  <c r="AL53" i="7"/>
  <c r="AK53" i="7"/>
  <c r="AJ53" i="7"/>
  <c r="AI53" i="7"/>
  <c r="AH53" i="7"/>
  <c r="AG53" i="7"/>
  <c r="AF53" i="7"/>
  <c r="AE53" i="7"/>
  <c r="AD53" i="7"/>
  <c r="AC53" i="7"/>
  <c r="AB53" i="7"/>
  <c r="AA53" i="7"/>
  <c r="Z53" i="7"/>
  <c r="Y53" i="7"/>
  <c r="X53" i="7"/>
  <c r="W53" i="7"/>
  <c r="V53" i="7"/>
  <c r="U53" i="7"/>
  <c r="T53" i="7"/>
  <c r="S53" i="7"/>
  <c r="CG53" i="7" s="1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CF52" i="7"/>
  <c r="CE52" i="7"/>
  <c r="CD52" i="7"/>
  <c r="CC52" i="7"/>
  <c r="CB52" i="7"/>
  <c r="CA52" i="7"/>
  <c r="BZ52" i="7"/>
  <c r="BY52" i="7"/>
  <c r="BX52" i="7"/>
  <c r="BW52" i="7"/>
  <c r="BV52" i="7"/>
  <c r="BU52" i="7"/>
  <c r="BT52" i="7"/>
  <c r="BS52" i="7"/>
  <c r="BR52" i="7"/>
  <c r="BQ52" i="7"/>
  <c r="BP52" i="7"/>
  <c r="BO52" i="7"/>
  <c r="BN52" i="7"/>
  <c r="BM52" i="7"/>
  <c r="BL52" i="7"/>
  <c r="BK52" i="7"/>
  <c r="BJ52" i="7"/>
  <c r="BI52" i="7"/>
  <c r="BH52" i="7"/>
  <c r="BG52" i="7"/>
  <c r="BF52" i="7"/>
  <c r="BE52" i="7"/>
  <c r="BD52" i="7"/>
  <c r="BC52" i="7"/>
  <c r="BB52" i="7"/>
  <c r="BA52" i="7"/>
  <c r="AZ52" i="7"/>
  <c r="AY52" i="7"/>
  <c r="AX52" i="7"/>
  <c r="AW52" i="7"/>
  <c r="AV52" i="7"/>
  <c r="AU52" i="7"/>
  <c r="AT52" i="7"/>
  <c r="AS52" i="7"/>
  <c r="AR52" i="7"/>
  <c r="AQ52" i="7"/>
  <c r="AP52" i="7"/>
  <c r="AO52" i="7"/>
  <c r="AN52" i="7"/>
  <c r="AM52" i="7"/>
  <c r="AL52" i="7"/>
  <c r="AK52" i="7"/>
  <c r="AJ52" i="7"/>
  <c r="AI52" i="7"/>
  <c r="AH52" i="7"/>
  <c r="AG52" i="7"/>
  <c r="AF52" i="7"/>
  <c r="AE52" i="7"/>
  <c r="AD52" i="7"/>
  <c r="AC52" i="7"/>
  <c r="AB52" i="7"/>
  <c r="AA52" i="7"/>
  <c r="Z52" i="7"/>
  <c r="Y52" i="7"/>
  <c r="X52" i="7"/>
  <c r="W52" i="7"/>
  <c r="V52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CF51" i="7"/>
  <c r="CE51" i="7"/>
  <c r="CD51" i="7"/>
  <c r="CC51" i="7"/>
  <c r="CB51" i="7"/>
  <c r="CA51" i="7"/>
  <c r="BZ51" i="7"/>
  <c r="BY51" i="7"/>
  <c r="BX51" i="7"/>
  <c r="BW51" i="7"/>
  <c r="BV51" i="7"/>
  <c r="BU51" i="7"/>
  <c r="BT51" i="7"/>
  <c r="BS51" i="7"/>
  <c r="BR51" i="7"/>
  <c r="BQ51" i="7"/>
  <c r="BP51" i="7"/>
  <c r="BO51" i="7"/>
  <c r="BN51" i="7"/>
  <c r="BM51" i="7"/>
  <c r="BL51" i="7"/>
  <c r="BK51" i="7"/>
  <c r="BJ51" i="7"/>
  <c r="BI51" i="7"/>
  <c r="BH51" i="7"/>
  <c r="BG51" i="7"/>
  <c r="BF51" i="7"/>
  <c r="BE51" i="7"/>
  <c r="BD51" i="7"/>
  <c r="BC51" i="7"/>
  <c r="BB51" i="7"/>
  <c r="BA51" i="7"/>
  <c r="AZ51" i="7"/>
  <c r="AY51" i="7"/>
  <c r="AX51" i="7"/>
  <c r="AW51" i="7"/>
  <c r="AV51" i="7"/>
  <c r="AU51" i="7"/>
  <c r="AT51" i="7"/>
  <c r="AS51" i="7"/>
  <c r="AR51" i="7"/>
  <c r="AQ51" i="7"/>
  <c r="AP51" i="7"/>
  <c r="AO51" i="7"/>
  <c r="AN51" i="7"/>
  <c r="AM51" i="7"/>
  <c r="AL51" i="7"/>
  <c r="AK51" i="7"/>
  <c r="AJ51" i="7"/>
  <c r="AI51" i="7"/>
  <c r="AH51" i="7"/>
  <c r="AG51" i="7"/>
  <c r="AF51" i="7"/>
  <c r="AE51" i="7"/>
  <c r="AD51" i="7"/>
  <c r="AC51" i="7"/>
  <c r="AB51" i="7"/>
  <c r="AA51" i="7"/>
  <c r="Z51" i="7"/>
  <c r="Y51" i="7"/>
  <c r="X51" i="7"/>
  <c r="W51" i="7"/>
  <c r="V51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CF50" i="7"/>
  <c r="CE50" i="7"/>
  <c r="CD50" i="7"/>
  <c r="CC50" i="7"/>
  <c r="CB50" i="7"/>
  <c r="CA50" i="7"/>
  <c r="BZ50" i="7"/>
  <c r="BY50" i="7"/>
  <c r="BX50" i="7"/>
  <c r="BW50" i="7"/>
  <c r="BV50" i="7"/>
  <c r="BU50" i="7"/>
  <c r="BT50" i="7"/>
  <c r="BS50" i="7"/>
  <c r="BR50" i="7"/>
  <c r="BQ50" i="7"/>
  <c r="BP50" i="7"/>
  <c r="BO50" i="7"/>
  <c r="BN50" i="7"/>
  <c r="BM50" i="7"/>
  <c r="BL50" i="7"/>
  <c r="BK50" i="7"/>
  <c r="BJ50" i="7"/>
  <c r="BI50" i="7"/>
  <c r="BH50" i="7"/>
  <c r="BG50" i="7"/>
  <c r="BF50" i="7"/>
  <c r="BE50" i="7"/>
  <c r="BD50" i="7"/>
  <c r="BC50" i="7"/>
  <c r="BB50" i="7"/>
  <c r="BA50" i="7"/>
  <c r="AZ50" i="7"/>
  <c r="AY50" i="7"/>
  <c r="AX50" i="7"/>
  <c r="AW50" i="7"/>
  <c r="AV50" i="7"/>
  <c r="AU50" i="7"/>
  <c r="AT50" i="7"/>
  <c r="AS50" i="7"/>
  <c r="AR50" i="7"/>
  <c r="AQ50" i="7"/>
  <c r="AP50" i="7"/>
  <c r="AO50" i="7"/>
  <c r="AN50" i="7"/>
  <c r="AM50" i="7"/>
  <c r="AL50" i="7"/>
  <c r="AK50" i="7"/>
  <c r="AJ50" i="7"/>
  <c r="AI50" i="7"/>
  <c r="AH50" i="7"/>
  <c r="AG50" i="7"/>
  <c r="AF50" i="7"/>
  <c r="AE50" i="7"/>
  <c r="AD50" i="7"/>
  <c r="AC50" i="7"/>
  <c r="AB50" i="7"/>
  <c r="AA50" i="7"/>
  <c r="Z50" i="7"/>
  <c r="Y50" i="7"/>
  <c r="X50" i="7"/>
  <c r="W50" i="7"/>
  <c r="V50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CG50" i="7" s="1"/>
  <c r="CF49" i="7"/>
  <c r="CE49" i="7"/>
  <c r="CD49" i="7"/>
  <c r="CC49" i="7"/>
  <c r="CB49" i="7"/>
  <c r="CA49" i="7"/>
  <c r="BZ49" i="7"/>
  <c r="BY49" i="7"/>
  <c r="BX49" i="7"/>
  <c r="BW49" i="7"/>
  <c r="BV49" i="7"/>
  <c r="BU49" i="7"/>
  <c r="BT49" i="7"/>
  <c r="BS49" i="7"/>
  <c r="BR49" i="7"/>
  <c r="BQ49" i="7"/>
  <c r="BP49" i="7"/>
  <c r="BO49" i="7"/>
  <c r="BN49" i="7"/>
  <c r="BM49" i="7"/>
  <c r="BL49" i="7"/>
  <c r="BK49" i="7"/>
  <c r="BJ49" i="7"/>
  <c r="BI49" i="7"/>
  <c r="BH49" i="7"/>
  <c r="BG49" i="7"/>
  <c r="BF49" i="7"/>
  <c r="BE49" i="7"/>
  <c r="BD49" i="7"/>
  <c r="BC49" i="7"/>
  <c r="BB49" i="7"/>
  <c r="BA49" i="7"/>
  <c r="AZ49" i="7"/>
  <c r="AY49" i="7"/>
  <c r="AX49" i="7"/>
  <c r="AW49" i="7"/>
  <c r="AV49" i="7"/>
  <c r="AU49" i="7"/>
  <c r="AT49" i="7"/>
  <c r="AS49" i="7"/>
  <c r="AR49" i="7"/>
  <c r="AQ49" i="7"/>
  <c r="AP49" i="7"/>
  <c r="AO49" i="7"/>
  <c r="AN49" i="7"/>
  <c r="AM49" i="7"/>
  <c r="AL49" i="7"/>
  <c r="AK49" i="7"/>
  <c r="AJ49" i="7"/>
  <c r="AI49" i="7"/>
  <c r="AH49" i="7"/>
  <c r="AG49" i="7"/>
  <c r="AF49" i="7"/>
  <c r="AE49" i="7"/>
  <c r="AD49" i="7"/>
  <c r="AC49" i="7"/>
  <c r="AB49" i="7"/>
  <c r="AA49" i="7"/>
  <c r="Z49" i="7"/>
  <c r="Y49" i="7"/>
  <c r="X49" i="7"/>
  <c r="W49" i="7"/>
  <c r="V49" i="7"/>
  <c r="U49" i="7"/>
  <c r="T49" i="7"/>
  <c r="S49" i="7"/>
  <c r="CG49" i="7" s="1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CF48" i="7"/>
  <c r="CE48" i="7"/>
  <c r="CD48" i="7"/>
  <c r="CC48" i="7"/>
  <c r="CB48" i="7"/>
  <c r="CA48" i="7"/>
  <c r="BZ48" i="7"/>
  <c r="BY48" i="7"/>
  <c r="BX48" i="7"/>
  <c r="BW48" i="7"/>
  <c r="BV48" i="7"/>
  <c r="BU48" i="7"/>
  <c r="BT48" i="7"/>
  <c r="BS48" i="7"/>
  <c r="BR48" i="7"/>
  <c r="BQ48" i="7"/>
  <c r="BP48" i="7"/>
  <c r="BO48" i="7"/>
  <c r="BN48" i="7"/>
  <c r="BM48" i="7"/>
  <c r="BL48" i="7"/>
  <c r="BK48" i="7"/>
  <c r="BJ48" i="7"/>
  <c r="BI48" i="7"/>
  <c r="BH48" i="7"/>
  <c r="BG48" i="7"/>
  <c r="BF48" i="7"/>
  <c r="BE48" i="7"/>
  <c r="BD48" i="7"/>
  <c r="BC48" i="7"/>
  <c r="BB48" i="7"/>
  <c r="BA48" i="7"/>
  <c r="AZ48" i="7"/>
  <c r="AY48" i="7"/>
  <c r="AX48" i="7"/>
  <c r="AW48" i="7"/>
  <c r="AV48" i="7"/>
  <c r="AU48" i="7"/>
  <c r="AT48" i="7"/>
  <c r="AS48" i="7"/>
  <c r="AR48" i="7"/>
  <c r="AQ48" i="7"/>
  <c r="AP48" i="7"/>
  <c r="AO48" i="7"/>
  <c r="AN48" i="7"/>
  <c r="AM48" i="7"/>
  <c r="AL48" i="7"/>
  <c r="AK48" i="7"/>
  <c r="AJ48" i="7"/>
  <c r="AI48" i="7"/>
  <c r="AH48" i="7"/>
  <c r="AG48" i="7"/>
  <c r="AF48" i="7"/>
  <c r="AE48" i="7"/>
  <c r="AD48" i="7"/>
  <c r="AC48" i="7"/>
  <c r="AB48" i="7"/>
  <c r="AA48" i="7"/>
  <c r="Z48" i="7"/>
  <c r="Y48" i="7"/>
  <c r="X48" i="7"/>
  <c r="W48" i="7"/>
  <c r="V48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CF47" i="7"/>
  <c r="CE47" i="7"/>
  <c r="CD47" i="7"/>
  <c r="CC47" i="7"/>
  <c r="CB47" i="7"/>
  <c r="CA47" i="7"/>
  <c r="BZ47" i="7"/>
  <c r="BY47" i="7"/>
  <c r="BX47" i="7"/>
  <c r="BW47" i="7"/>
  <c r="BV47" i="7"/>
  <c r="BU47" i="7"/>
  <c r="BT47" i="7"/>
  <c r="BS47" i="7"/>
  <c r="BR47" i="7"/>
  <c r="BQ47" i="7"/>
  <c r="BP47" i="7"/>
  <c r="BO47" i="7"/>
  <c r="BN47" i="7"/>
  <c r="BM47" i="7"/>
  <c r="BL47" i="7"/>
  <c r="BK47" i="7"/>
  <c r="BJ47" i="7"/>
  <c r="BI47" i="7"/>
  <c r="BH47" i="7"/>
  <c r="BG47" i="7"/>
  <c r="BF47" i="7"/>
  <c r="BE47" i="7"/>
  <c r="BD47" i="7"/>
  <c r="BC47" i="7"/>
  <c r="BB47" i="7"/>
  <c r="BA47" i="7"/>
  <c r="AZ47" i="7"/>
  <c r="AY47" i="7"/>
  <c r="AX47" i="7"/>
  <c r="AW47" i="7"/>
  <c r="AV47" i="7"/>
  <c r="AU47" i="7"/>
  <c r="AT47" i="7"/>
  <c r="AS47" i="7"/>
  <c r="AR47" i="7"/>
  <c r="AQ47" i="7"/>
  <c r="AP47" i="7"/>
  <c r="AO47" i="7"/>
  <c r="AN47" i="7"/>
  <c r="AM47" i="7"/>
  <c r="AL47" i="7"/>
  <c r="AK47" i="7"/>
  <c r="AJ47" i="7"/>
  <c r="AI47" i="7"/>
  <c r="AH47" i="7"/>
  <c r="AG47" i="7"/>
  <c r="AF47" i="7"/>
  <c r="AE47" i="7"/>
  <c r="AD47" i="7"/>
  <c r="AC47" i="7"/>
  <c r="AB47" i="7"/>
  <c r="AA47" i="7"/>
  <c r="Z47" i="7"/>
  <c r="Y47" i="7"/>
  <c r="X47" i="7"/>
  <c r="W47" i="7"/>
  <c r="V47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CF46" i="7"/>
  <c r="CE46" i="7"/>
  <c r="CD46" i="7"/>
  <c r="CC46" i="7"/>
  <c r="CB46" i="7"/>
  <c r="CA46" i="7"/>
  <c r="BZ46" i="7"/>
  <c r="BY46" i="7"/>
  <c r="BX46" i="7"/>
  <c r="BW46" i="7"/>
  <c r="BV46" i="7"/>
  <c r="BU46" i="7"/>
  <c r="BT46" i="7"/>
  <c r="BS46" i="7"/>
  <c r="BR46" i="7"/>
  <c r="BQ46" i="7"/>
  <c r="BP46" i="7"/>
  <c r="BO46" i="7"/>
  <c r="BN46" i="7"/>
  <c r="BM46" i="7"/>
  <c r="BL46" i="7"/>
  <c r="BK46" i="7"/>
  <c r="BJ46" i="7"/>
  <c r="BI46" i="7"/>
  <c r="BH46" i="7"/>
  <c r="BG46" i="7"/>
  <c r="BF46" i="7"/>
  <c r="BE46" i="7"/>
  <c r="BD46" i="7"/>
  <c r="BC46" i="7"/>
  <c r="BB46" i="7"/>
  <c r="BA46" i="7"/>
  <c r="AZ46" i="7"/>
  <c r="AY46" i="7"/>
  <c r="AX46" i="7"/>
  <c r="AW46" i="7"/>
  <c r="AV46" i="7"/>
  <c r="AU46" i="7"/>
  <c r="AT46" i="7"/>
  <c r="AS46" i="7"/>
  <c r="AR46" i="7"/>
  <c r="AQ46" i="7"/>
  <c r="AP46" i="7"/>
  <c r="AO46" i="7"/>
  <c r="AN46" i="7"/>
  <c r="AM46" i="7"/>
  <c r="AL46" i="7"/>
  <c r="AK46" i="7"/>
  <c r="AJ46" i="7"/>
  <c r="AI46" i="7"/>
  <c r="AH46" i="7"/>
  <c r="AG46" i="7"/>
  <c r="AF46" i="7"/>
  <c r="AE46" i="7"/>
  <c r="AD46" i="7"/>
  <c r="AC46" i="7"/>
  <c r="AB46" i="7"/>
  <c r="AA46" i="7"/>
  <c r="Z46" i="7"/>
  <c r="Y46" i="7"/>
  <c r="X46" i="7"/>
  <c r="W46" i="7"/>
  <c r="V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CF45" i="7"/>
  <c r="CE45" i="7"/>
  <c r="CD45" i="7"/>
  <c r="CC45" i="7"/>
  <c r="CB45" i="7"/>
  <c r="CA45" i="7"/>
  <c r="BZ45" i="7"/>
  <c r="BY45" i="7"/>
  <c r="BX45" i="7"/>
  <c r="BW45" i="7"/>
  <c r="BV45" i="7"/>
  <c r="BU45" i="7"/>
  <c r="BT45" i="7"/>
  <c r="BS45" i="7"/>
  <c r="BR45" i="7"/>
  <c r="BQ45" i="7"/>
  <c r="BP45" i="7"/>
  <c r="BO45" i="7"/>
  <c r="BN45" i="7"/>
  <c r="BM45" i="7"/>
  <c r="BL45" i="7"/>
  <c r="BK45" i="7"/>
  <c r="BJ45" i="7"/>
  <c r="BI45" i="7"/>
  <c r="BH45" i="7"/>
  <c r="BG45" i="7"/>
  <c r="BF45" i="7"/>
  <c r="BE45" i="7"/>
  <c r="BD45" i="7"/>
  <c r="BC45" i="7"/>
  <c r="BB45" i="7"/>
  <c r="BA45" i="7"/>
  <c r="AZ45" i="7"/>
  <c r="AY45" i="7"/>
  <c r="AX45" i="7"/>
  <c r="AW45" i="7"/>
  <c r="AV45" i="7"/>
  <c r="AU45" i="7"/>
  <c r="AT45" i="7"/>
  <c r="AS45" i="7"/>
  <c r="AR45" i="7"/>
  <c r="AQ45" i="7"/>
  <c r="AP45" i="7"/>
  <c r="AO45" i="7"/>
  <c r="AN45" i="7"/>
  <c r="AM45" i="7"/>
  <c r="AL45" i="7"/>
  <c r="AK45" i="7"/>
  <c r="AJ45" i="7"/>
  <c r="AI45" i="7"/>
  <c r="AH45" i="7"/>
  <c r="AG45" i="7"/>
  <c r="AF45" i="7"/>
  <c r="AE45" i="7"/>
  <c r="AD45" i="7"/>
  <c r="AC45" i="7"/>
  <c r="AB45" i="7"/>
  <c r="AA45" i="7"/>
  <c r="Z45" i="7"/>
  <c r="Y45" i="7"/>
  <c r="X45" i="7"/>
  <c r="W45" i="7"/>
  <c r="V45" i="7"/>
  <c r="U45" i="7"/>
  <c r="T45" i="7"/>
  <c r="S45" i="7"/>
  <c r="CG45" i="7" s="1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CF44" i="7"/>
  <c r="CE44" i="7"/>
  <c r="CD44" i="7"/>
  <c r="CC44" i="7"/>
  <c r="CB44" i="7"/>
  <c r="CA44" i="7"/>
  <c r="BZ44" i="7"/>
  <c r="BY44" i="7"/>
  <c r="BX44" i="7"/>
  <c r="BW44" i="7"/>
  <c r="BV44" i="7"/>
  <c r="BU44" i="7"/>
  <c r="BT44" i="7"/>
  <c r="BS44" i="7"/>
  <c r="BR44" i="7"/>
  <c r="BQ44" i="7"/>
  <c r="BP44" i="7"/>
  <c r="BO44" i="7"/>
  <c r="BN44" i="7"/>
  <c r="BM44" i="7"/>
  <c r="BL44" i="7"/>
  <c r="BK44" i="7"/>
  <c r="BJ44" i="7"/>
  <c r="BI44" i="7"/>
  <c r="BH44" i="7"/>
  <c r="BG44" i="7"/>
  <c r="BF44" i="7"/>
  <c r="BE44" i="7"/>
  <c r="BD44" i="7"/>
  <c r="BC44" i="7"/>
  <c r="BB44" i="7"/>
  <c r="BA44" i="7"/>
  <c r="AZ44" i="7"/>
  <c r="AY44" i="7"/>
  <c r="AX44" i="7"/>
  <c r="AW44" i="7"/>
  <c r="AV44" i="7"/>
  <c r="AU44" i="7"/>
  <c r="AT44" i="7"/>
  <c r="AS44" i="7"/>
  <c r="AR44" i="7"/>
  <c r="AQ44" i="7"/>
  <c r="AP44" i="7"/>
  <c r="AO44" i="7"/>
  <c r="AN44" i="7"/>
  <c r="AM44" i="7"/>
  <c r="AL44" i="7"/>
  <c r="AK44" i="7"/>
  <c r="AJ44" i="7"/>
  <c r="AI44" i="7"/>
  <c r="AH44" i="7"/>
  <c r="AG44" i="7"/>
  <c r="AF44" i="7"/>
  <c r="AE44" i="7"/>
  <c r="AD44" i="7"/>
  <c r="AC44" i="7"/>
  <c r="AB44" i="7"/>
  <c r="AA44" i="7"/>
  <c r="Z44" i="7"/>
  <c r="Y44" i="7"/>
  <c r="X44" i="7"/>
  <c r="W44" i="7"/>
  <c r="V44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CF43" i="7"/>
  <c r="CE43" i="7"/>
  <c r="CD43" i="7"/>
  <c r="CC43" i="7"/>
  <c r="CB43" i="7"/>
  <c r="CA43" i="7"/>
  <c r="BZ43" i="7"/>
  <c r="BY43" i="7"/>
  <c r="BX43" i="7"/>
  <c r="BW43" i="7"/>
  <c r="BV43" i="7"/>
  <c r="BU43" i="7"/>
  <c r="BT43" i="7"/>
  <c r="BS43" i="7"/>
  <c r="BR43" i="7"/>
  <c r="BQ43" i="7"/>
  <c r="BP43" i="7"/>
  <c r="BO43" i="7"/>
  <c r="BN43" i="7"/>
  <c r="BM43" i="7"/>
  <c r="BL43" i="7"/>
  <c r="BK43" i="7"/>
  <c r="BJ43" i="7"/>
  <c r="BI43" i="7"/>
  <c r="BH43" i="7"/>
  <c r="BG43" i="7"/>
  <c r="BF43" i="7"/>
  <c r="BE43" i="7"/>
  <c r="BD43" i="7"/>
  <c r="BC43" i="7"/>
  <c r="BB43" i="7"/>
  <c r="BA43" i="7"/>
  <c r="AZ43" i="7"/>
  <c r="AY43" i="7"/>
  <c r="AX43" i="7"/>
  <c r="AW43" i="7"/>
  <c r="AV43" i="7"/>
  <c r="AU43" i="7"/>
  <c r="AT43" i="7"/>
  <c r="AS43" i="7"/>
  <c r="AR43" i="7"/>
  <c r="AQ43" i="7"/>
  <c r="AP43" i="7"/>
  <c r="AO43" i="7"/>
  <c r="AN43" i="7"/>
  <c r="AM43" i="7"/>
  <c r="AL43" i="7"/>
  <c r="AK43" i="7"/>
  <c r="AJ43" i="7"/>
  <c r="AI43" i="7"/>
  <c r="AH43" i="7"/>
  <c r="AG43" i="7"/>
  <c r="AF43" i="7"/>
  <c r="AE43" i="7"/>
  <c r="AD43" i="7"/>
  <c r="AC43" i="7"/>
  <c r="AB43" i="7"/>
  <c r="AA43" i="7"/>
  <c r="Z43" i="7"/>
  <c r="Y43" i="7"/>
  <c r="X43" i="7"/>
  <c r="W43" i="7"/>
  <c r="V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CG43" i="7" s="1"/>
  <c r="CF42" i="7"/>
  <c r="CE42" i="7"/>
  <c r="CD42" i="7"/>
  <c r="CC42" i="7"/>
  <c r="CB42" i="7"/>
  <c r="CA42" i="7"/>
  <c r="BZ42" i="7"/>
  <c r="BY42" i="7"/>
  <c r="BX42" i="7"/>
  <c r="BW42" i="7"/>
  <c r="BV42" i="7"/>
  <c r="BU42" i="7"/>
  <c r="BT42" i="7"/>
  <c r="BS42" i="7"/>
  <c r="BR42" i="7"/>
  <c r="BQ42" i="7"/>
  <c r="BP42" i="7"/>
  <c r="BO42" i="7"/>
  <c r="BN42" i="7"/>
  <c r="BM42" i="7"/>
  <c r="BL42" i="7"/>
  <c r="BK42" i="7"/>
  <c r="BJ42" i="7"/>
  <c r="BI42" i="7"/>
  <c r="BH42" i="7"/>
  <c r="BG42" i="7"/>
  <c r="BF42" i="7"/>
  <c r="BE42" i="7"/>
  <c r="BD42" i="7"/>
  <c r="BC42" i="7"/>
  <c r="BB42" i="7"/>
  <c r="BA42" i="7"/>
  <c r="AZ42" i="7"/>
  <c r="AY42" i="7"/>
  <c r="AX42" i="7"/>
  <c r="AW42" i="7"/>
  <c r="AV42" i="7"/>
  <c r="AU42" i="7"/>
  <c r="AT42" i="7"/>
  <c r="AS42" i="7"/>
  <c r="AR42" i="7"/>
  <c r="AQ42" i="7"/>
  <c r="AP42" i="7"/>
  <c r="AO42" i="7"/>
  <c r="AN42" i="7"/>
  <c r="AM42" i="7"/>
  <c r="AL42" i="7"/>
  <c r="AK42" i="7"/>
  <c r="AJ42" i="7"/>
  <c r="AI42" i="7"/>
  <c r="AH42" i="7"/>
  <c r="AG42" i="7"/>
  <c r="AF42" i="7"/>
  <c r="AE42" i="7"/>
  <c r="AD42" i="7"/>
  <c r="AC42" i="7"/>
  <c r="AB42" i="7"/>
  <c r="AA42" i="7"/>
  <c r="Z42" i="7"/>
  <c r="Y42" i="7"/>
  <c r="X42" i="7"/>
  <c r="W42" i="7"/>
  <c r="V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CF41" i="7"/>
  <c r="CE41" i="7"/>
  <c r="CD41" i="7"/>
  <c r="CC41" i="7"/>
  <c r="CB41" i="7"/>
  <c r="CA41" i="7"/>
  <c r="BZ41" i="7"/>
  <c r="BY41" i="7"/>
  <c r="BX41" i="7"/>
  <c r="BW41" i="7"/>
  <c r="BV41" i="7"/>
  <c r="BU41" i="7"/>
  <c r="BT41" i="7"/>
  <c r="BS41" i="7"/>
  <c r="BR41" i="7"/>
  <c r="BQ41" i="7"/>
  <c r="BP41" i="7"/>
  <c r="BO41" i="7"/>
  <c r="BN41" i="7"/>
  <c r="BM41" i="7"/>
  <c r="BL41" i="7"/>
  <c r="BK41" i="7"/>
  <c r="BJ41" i="7"/>
  <c r="BI41" i="7"/>
  <c r="BH41" i="7"/>
  <c r="BG41" i="7"/>
  <c r="BF41" i="7"/>
  <c r="BE41" i="7"/>
  <c r="BD41" i="7"/>
  <c r="BC41" i="7"/>
  <c r="BB41" i="7"/>
  <c r="BA41" i="7"/>
  <c r="AZ41" i="7"/>
  <c r="AY41" i="7"/>
  <c r="AX41" i="7"/>
  <c r="AW41" i="7"/>
  <c r="AV41" i="7"/>
  <c r="AU41" i="7"/>
  <c r="AT41" i="7"/>
  <c r="AS41" i="7"/>
  <c r="AR41" i="7"/>
  <c r="AQ41" i="7"/>
  <c r="AP41" i="7"/>
  <c r="AO41" i="7"/>
  <c r="AN41" i="7"/>
  <c r="AM41" i="7"/>
  <c r="AL41" i="7"/>
  <c r="AK41" i="7"/>
  <c r="AJ41" i="7"/>
  <c r="AI41" i="7"/>
  <c r="AH41" i="7"/>
  <c r="AG41" i="7"/>
  <c r="AF41" i="7"/>
  <c r="AE41" i="7"/>
  <c r="AD41" i="7"/>
  <c r="AC41" i="7"/>
  <c r="AB41" i="7"/>
  <c r="AA41" i="7"/>
  <c r="Z41" i="7"/>
  <c r="Y41" i="7"/>
  <c r="X41" i="7"/>
  <c r="W41" i="7"/>
  <c r="V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CF40" i="7"/>
  <c r="CE40" i="7"/>
  <c r="CD40" i="7"/>
  <c r="CC40" i="7"/>
  <c r="CB40" i="7"/>
  <c r="CA40" i="7"/>
  <c r="BZ40" i="7"/>
  <c r="BY40" i="7"/>
  <c r="BX40" i="7"/>
  <c r="BW40" i="7"/>
  <c r="BV40" i="7"/>
  <c r="BU40" i="7"/>
  <c r="BT40" i="7"/>
  <c r="BS40" i="7"/>
  <c r="BR40" i="7"/>
  <c r="BQ40" i="7"/>
  <c r="BP40" i="7"/>
  <c r="BO40" i="7"/>
  <c r="BN40" i="7"/>
  <c r="BM40" i="7"/>
  <c r="BL40" i="7"/>
  <c r="BK40" i="7"/>
  <c r="BJ40" i="7"/>
  <c r="BI40" i="7"/>
  <c r="BH40" i="7"/>
  <c r="BG40" i="7"/>
  <c r="BF40" i="7"/>
  <c r="BE40" i="7"/>
  <c r="BD40" i="7"/>
  <c r="BC40" i="7"/>
  <c r="BB40" i="7"/>
  <c r="BA40" i="7"/>
  <c r="AZ40" i="7"/>
  <c r="AY40" i="7"/>
  <c r="AX40" i="7"/>
  <c r="AW40" i="7"/>
  <c r="AV40" i="7"/>
  <c r="AU40" i="7"/>
  <c r="AT40" i="7"/>
  <c r="AS40" i="7"/>
  <c r="AR40" i="7"/>
  <c r="AQ40" i="7"/>
  <c r="AP40" i="7"/>
  <c r="AO40" i="7"/>
  <c r="AN40" i="7"/>
  <c r="AM40" i="7"/>
  <c r="AL40" i="7"/>
  <c r="AK40" i="7"/>
  <c r="AJ40" i="7"/>
  <c r="AI40" i="7"/>
  <c r="AH40" i="7"/>
  <c r="AG40" i="7"/>
  <c r="AF40" i="7"/>
  <c r="AE40" i="7"/>
  <c r="AD40" i="7"/>
  <c r="AC40" i="7"/>
  <c r="AB40" i="7"/>
  <c r="AA40" i="7"/>
  <c r="Z40" i="7"/>
  <c r="Y40" i="7"/>
  <c r="X40" i="7"/>
  <c r="W40" i="7"/>
  <c r="V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CF39" i="7"/>
  <c r="CE39" i="7"/>
  <c r="CD39" i="7"/>
  <c r="CC39" i="7"/>
  <c r="CB39" i="7"/>
  <c r="CA39" i="7"/>
  <c r="BZ39" i="7"/>
  <c r="BY39" i="7"/>
  <c r="BX39" i="7"/>
  <c r="BW39" i="7"/>
  <c r="BV39" i="7"/>
  <c r="BU39" i="7"/>
  <c r="BT39" i="7"/>
  <c r="BS39" i="7"/>
  <c r="BR39" i="7"/>
  <c r="BQ39" i="7"/>
  <c r="BP39" i="7"/>
  <c r="BO39" i="7"/>
  <c r="BN39" i="7"/>
  <c r="BM39" i="7"/>
  <c r="BL39" i="7"/>
  <c r="BK39" i="7"/>
  <c r="BJ39" i="7"/>
  <c r="BI39" i="7"/>
  <c r="BH39" i="7"/>
  <c r="BG39" i="7"/>
  <c r="BF39" i="7"/>
  <c r="BE39" i="7"/>
  <c r="BD39" i="7"/>
  <c r="BC39" i="7"/>
  <c r="BB39" i="7"/>
  <c r="BA39" i="7"/>
  <c r="AZ39" i="7"/>
  <c r="AY39" i="7"/>
  <c r="AX39" i="7"/>
  <c r="AW39" i="7"/>
  <c r="AV39" i="7"/>
  <c r="AU39" i="7"/>
  <c r="AT39" i="7"/>
  <c r="AS39" i="7"/>
  <c r="AR39" i="7"/>
  <c r="AQ39" i="7"/>
  <c r="AP39" i="7"/>
  <c r="AO39" i="7"/>
  <c r="AN39" i="7"/>
  <c r="AM39" i="7"/>
  <c r="AL39" i="7"/>
  <c r="AK39" i="7"/>
  <c r="AJ39" i="7"/>
  <c r="AI39" i="7"/>
  <c r="AH39" i="7"/>
  <c r="AG39" i="7"/>
  <c r="AF39" i="7"/>
  <c r="AE39" i="7"/>
  <c r="AD39" i="7"/>
  <c r="AC39" i="7"/>
  <c r="AB39" i="7"/>
  <c r="AA39" i="7"/>
  <c r="Z39" i="7"/>
  <c r="Y39" i="7"/>
  <c r="X39" i="7"/>
  <c r="W39" i="7"/>
  <c r="V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CF38" i="7"/>
  <c r="CE38" i="7"/>
  <c r="CD38" i="7"/>
  <c r="CC38" i="7"/>
  <c r="CB38" i="7"/>
  <c r="CA38" i="7"/>
  <c r="BZ38" i="7"/>
  <c r="BY38" i="7"/>
  <c r="BX38" i="7"/>
  <c r="BW38" i="7"/>
  <c r="BV38" i="7"/>
  <c r="BU38" i="7"/>
  <c r="BT38" i="7"/>
  <c r="BS38" i="7"/>
  <c r="BR38" i="7"/>
  <c r="BQ38" i="7"/>
  <c r="BP38" i="7"/>
  <c r="BO38" i="7"/>
  <c r="BN38" i="7"/>
  <c r="BM38" i="7"/>
  <c r="BL38" i="7"/>
  <c r="BK38" i="7"/>
  <c r="BJ38" i="7"/>
  <c r="BI38" i="7"/>
  <c r="BH38" i="7"/>
  <c r="BG38" i="7"/>
  <c r="BF38" i="7"/>
  <c r="BE38" i="7"/>
  <c r="BD38" i="7"/>
  <c r="BC38" i="7"/>
  <c r="BB38" i="7"/>
  <c r="BA38" i="7"/>
  <c r="AZ38" i="7"/>
  <c r="AY38" i="7"/>
  <c r="AX38" i="7"/>
  <c r="AW38" i="7"/>
  <c r="AV38" i="7"/>
  <c r="AU38" i="7"/>
  <c r="AT38" i="7"/>
  <c r="AS38" i="7"/>
  <c r="AR38" i="7"/>
  <c r="AQ38" i="7"/>
  <c r="AP38" i="7"/>
  <c r="AO38" i="7"/>
  <c r="AN38" i="7"/>
  <c r="AM38" i="7"/>
  <c r="AL38" i="7"/>
  <c r="AK38" i="7"/>
  <c r="AJ38" i="7"/>
  <c r="AI38" i="7"/>
  <c r="AH38" i="7"/>
  <c r="AG38" i="7"/>
  <c r="AF38" i="7"/>
  <c r="AE38" i="7"/>
  <c r="AD38" i="7"/>
  <c r="AC38" i="7"/>
  <c r="AB38" i="7"/>
  <c r="AA38" i="7"/>
  <c r="Z38" i="7"/>
  <c r="Y38" i="7"/>
  <c r="X38" i="7"/>
  <c r="W38" i="7"/>
  <c r="V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CG38" i="7" s="1"/>
  <c r="CF37" i="7"/>
  <c r="CE37" i="7"/>
  <c r="CD37" i="7"/>
  <c r="CC37" i="7"/>
  <c r="CB37" i="7"/>
  <c r="CA37" i="7"/>
  <c r="BZ37" i="7"/>
  <c r="BY37" i="7"/>
  <c r="BX37" i="7"/>
  <c r="BW37" i="7"/>
  <c r="BV37" i="7"/>
  <c r="BU37" i="7"/>
  <c r="BT37" i="7"/>
  <c r="BS37" i="7"/>
  <c r="BR37" i="7"/>
  <c r="BQ37" i="7"/>
  <c r="BP37" i="7"/>
  <c r="BO37" i="7"/>
  <c r="BN37" i="7"/>
  <c r="BM37" i="7"/>
  <c r="BL37" i="7"/>
  <c r="BK37" i="7"/>
  <c r="BJ37" i="7"/>
  <c r="BI37" i="7"/>
  <c r="BH37" i="7"/>
  <c r="BG37" i="7"/>
  <c r="BF37" i="7"/>
  <c r="BE37" i="7"/>
  <c r="BD37" i="7"/>
  <c r="BC37" i="7"/>
  <c r="BB37" i="7"/>
  <c r="BA37" i="7"/>
  <c r="AZ37" i="7"/>
  <c r="AY37" i="7"/>
  <c r="AX37" i="7"/>
  <c r="AW37" i="7"/>
  <c r="AV37" i="7"/>
  <c r="AU37" i="7"/>
  <c r="AT37" i="7"/>
  <c r="AS37" i="7"/>
  <c r="AR37" i="7"/>
  <c r="AQ37" i="7"/>
  <c r="AP37" i="7"/>
  <c r="AO37" i="7"/>
  <c r="AN37" i="7"/>
  <c r="AM37" i="7"/>
  <c r="AL37" i="7"/>
  <c r="AK37" i="7"/>
  <c r="AJ37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U37" i="7"/>
  <c r="T37" i="7"/>
  <c r="S37" i="7"/>
  <c r="CG37" i="7" s="1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CF36" i="7"/>
  <c r="CE36" i="7"/>
  <c r="CD36" i="7"/>
  <c r="CC36" i="7"/>
  <c r="CB36" i="7"/>
  <c r="CA36" i="7"/>
  <c r="BZ36" i="7"/>
  <c r="BY36" i="7"/>
  <c r="BX36" i="7"/>
  <c r="BW36" i="7"/>
  <c r="BV36" i="7"/>
  <c r="BU36" i="7"/>
  <c r="BT36" i="7"/>
  <c r="BS36" i="7"/>
  <c r="BR36" i="7"/>
  <c r="BQ36" i="7"/>
  <c r="BP36" i="7"/>
  <c r="BO36" i="7"/>
  <c r="BN36" i="7"/>
  <c r="BM36" i="7"/>
  <c r="BL36" i="7"/>
  <c r="BK36" i="7"/>
  <c r="BJ36" i="7"/>
  <c r="BI36" i="7"/>
  <c r="BH36" i="7"/>
  <c r="BG36" i="7"/>
  <c r="BF36" i="7"/>
  <c r="BE36" i="7"/>
  <c r="BD36" i="7"/>
  <c r="BC36" i="7"/>
  <c r="BB36" i="7"/>
  <c r="BA36" i="7"/>
  <c r="AZ36" i="7"/>
  <c r="AY36" i="7"/>
  <c r="AX36" i="7"/>
  <c r="AW36" i="7"/>
  <c r="AV36" i="7"/>
  <c r="AU36" i="7"/>
  <c r="AT36" i="7"/>
  <c r="AS36" i="7"/>
  <c r="AR36" i="7"/>
  <c r="AQ36" i="7"/>
  <c r="AP36" i="7"/>
  <c r="AO36" i="7"/>
  <c r="AN36" i="7"/>
  <c r="AM36" i="7"/>
  <c r="AL36" i="7"/>
  <c r="AK36" i="7"/>
  <c r="AJ36" i="7"/>
  <c r="AI36" i="7"/>
  <c r="AH36" i="7"/>
  <c r="AG36" i="7"/>
  <c r="AF36" i="7"/>
  <c r="AE36" i="7"/>
  <c r="AD36" i="7"/>
  <c r="AC36" i="7"/>
  <c r="AB36" i="7"/>
  <c r="AA36" i="7"/>
  <c r="Z36" i="7"/>
  <c r="Y36" i="7"/>
  <c r="X36" i="7"/>
  <c r="W36" i="7"/>
  <c r="V36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CF35" i="7"/>
  <c r="CE35" i="7"/>
  <c r="CD35" i="7"/>
  <c r="CC35" i="7"/>
  <c r="CB35" i="7"/>
  <c r="CA35" i="7"/>
  <c r="BZ35" i="7"/>
  <c r="BY35" i="7"/>
  <c r="BX35" i="7"/>
  <c r="BW35" i="7"/>
  <c r="BV35" i="7"/>
  <c r="BU35" i="7"/>
  <c r="BT35" i="7"/>
  <c r="BS35" i="7"/>
  <c r="BR35" i="7"/>
  <c r="BQ35" i="7"/>
  <c r="BP35" i="7"/>
  <c r="BO35" i="7"/>
  <c r="BN35" i="7"/>
  <c r="BM35" i="7"/>
  <c r="BL35" i="7"/>
  <c r="BK35" i="7"/>
  <c r="BJ35" i="7"/>
  <c r="BI35" i="7"/>
  <c r="BH35" i="7"/>
  <c r="BG35" i="7"/>
  <c r="BF35" i="7"/>
  <c r="BE35" i="7"/>
  <c r="BD35" i="7"/>
  <c r="BC35" i="7"/>
  <c r="BB35" i="7"/>
  <c r="BA35" i="7"/>
  <c r="AZ35" i="7"/>
  <c r="AY35" i="7"/>
  <c r="AX35" i="7"/>
  <c r="AW35" i="7"/>
  <c r="AV35" i="7"/>
  <c r="AU35" i="7"/>
  <c r="AT35" i="7"/>
  <c r="AS35" i="7"/>
  <c r="AR35" i="7"/>
  <c r="AQ35" i="7"/>
  <c r="AP35" i="7"/>
  <c r="AO35" i="7"/>
  <c r="AN35" i="7"/>
  <c r="AM35" i="7"/>
  <c r="AL35" i="7"/>
  <c r="AK35" i="7"/>
  <c r="AJ35" i="7"/>
  <c r="AI35" i="7"/>
  <c r="AH35" i="7"/>
  <c r="AG35" i="7"/>
  <c r="AF35" i="7"/>
  <c r="AE35" i="7"/>
  <c r="AD35" i="7"/>
  <c r="AC35" i="7"/>
  <c r="AB35" i="7"/>
  <c r="AA35" i="7"/>
  <c r="Z35" i="7"/>
  <c r="Y35" i="7"/>
  <c r="X35" i="7"/>
  <c r="W35" i="7"/>
  <c r="V35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CF34" i="7"/>
  <c r="CE34" i="7"/>
  <c r="CD34" i="7"/>
  <c r="CC34" i="7"/>
  <c r="CB34" i="7"/>
  <c r="CA34" i="7"/>
  <c r="BZ34" i="7"/>
  <c r="BY34" i="7"/>
  <c r="BX34" i="7"/>
  <c r="BW34" i="7"/>
  <c r="BV34" i="7"/>
  <c r="BU34" i="7"/>
  <c r="BT34" i="7"/>
  <c r="BS34" i="7"/>
  <c r="BR34" i="7"/>
  <c r="BQ34" i="7"/>
  <c r="BP34" i="7"/>
  <c r="BO34" i="7"/>
  <c r="BN34" i="7"/>
  <c r="BM34" i="7"/>
  <c r="BL34" i="7"/>
  <c r="BK34" i="7"/>
  <c r="BJ34" i="7"/>
  <c r="BI34" i="7"/>
  <c r="BH34" i="7"/>
  <c r="BG34" i="7"/>
  <c r="BF34" i="7"/>
  <c r="BE34" i="7"/>
  <c r="BD34" i="7"/>
  <c r="BC34" i="7"/>
  <c r="BB34" i="7"/>
  <c r="BA34" i="7"/>
  <c r="AZ34" i="7"/>
  <c r="AY34" i="7"/>
  <c r="AX34" i="7"/>
  <c r="AW34" i="7"/>
  <c r="AV34" i="7"/>
  <c r="AU34" i="7"/>
  <c r="AT34" i="7"/>
  <c r="AS34" i="7"/>
  <c r="AR34" i="7"/>
  <c r="AQ34" i="7"/>
  <c r="AP34" i="7"/>
  <c r="AO34" i="7"/>
  <c r="AN34" i="7"/>
  <c r="AM34" i="7"/>
  <c r="AL34" i="7"/>
  <c r="AK34" i="7"/>
  <c r="AJ34" i="7"/>
  <c r="AI34" i="7"/>
  <c r="AH34" i="7"/>
  <c r="AG34" i="7"/>
  <c r="AF34" i="7"/>
  <c r="AE34" i="7"/>
  <c r="AD34" i="7"/>
  <c r="AC34" i="7"/>
  <c r="AB34" i="7"/>
  <c r="AA34" i="7"/>
  <c r="Z34" i="7"/>
  <c r="Y34" i="7"/>
  <c r="X34" i="7"/>
  <c r="W34" i="7"/>
  <c r="V34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CG34" i="7" s="1"/>
  <c r="CF33" i="7"/>
  <c r="CE33" i="7"/>
  <c r="CD33" i="7"/>
  <c r="CC33" i="7"/>
  <c r="CB33" i="7"/>
  <c r="CA33" i="7"/>
  <c r="BZ33" i="7"/>
  <c r="BY33" i="7"/>
  <c r="BX33" i="7"/>
  <c r="BW33" i="7"/>
  <c r="BV33" i="7"/>
  <c r="BU33" i="7"/>
  <c r="BT33" i="7"/>
  <c r="BS33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C33" i="7"/>
  <c r="BB33" i="7"/>
  <c r="BA33" i="7"/>
  <c r="AZ33" i="7"/>
  <c r="AY33" i="7"/>
  <c r="AX33" i="7"/>
  <c r="AW33" i="7"/>
  <c r="AV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CG33" i="7" s="1"/>
  <c r="CF32" i="7"/>
  <c r="CE32" i="7"/>
  <c r="CD32" i="7"/>
  <c r="CC32" i="7"/>
  <c r="CB32" i="7"/>
  <c r="CA32" i="7"/>
  <c r="BZ32" i="7"/>
  <c r="BY32" i="7"/>
  <c r="BX32" i="7"/>
  <c r="BW32" i="7"/>
  <c r="BV32" i="7"/>
  <c r="BU32" i="7"/>
  <c r="BT32" i="7"/>
  <c r="BS32" i="7"/>
  <c r="BR32" i="7"/>
  <c r="BQ32" i="7"/>
  <c r="BP32" i="7"/>
  <c r="BO32" i="7"/>
  <c r="BN32" i="7"/>
  <c r="BM32" i="7"/>
  <c r="BL32" i="7"/>
  <c r="BK32" i="7"/>
  <c r="BJ32" i="7"/>
  <c r="BI32" i="7"/>
  <c r="BH32" i="7"/>
  <c r="BG32" i="7"/>
  <c r="BF32" i="7"/>
  <c r="BE32" i="7"/>
  <c r="BD32" i="7"/>
  <c r="BC32" i="7"/>
  <c r="BB32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AH32" i="7"/>
  <c r="AG32" i="7"/>
  <c r="AF32" i="7"/>
  <c r="AE32" i="7"/>
  <c r="AD32" i="7"/>
  <c r="AC32" i="7"/>
  <c r="AB32" i="7"/>
  <c r="AA32" i="7"/>
  <c r="Z32" i="7"/>
  <c r="Y32" i="7"/>
  <c r="X32" i="7"/>
  <c r="W32" i="7"/>
  <c r="V32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CF31" i="7"/>
  <c r="CE31" i="7"/>
  <c r="CD31" i="7"/>
  <c r="CC31" i="7"/>
  <c r="CB31" i="7"/>
  <c r="CA31" i="7"/>
  <c r="BZ31" i="7"/>
  <c r="BY31" i="7"/>
  <c r="BX31" i="7"/>
  <c r="BW31" i="7"/>
  <c r="BV31" i="7"/>
  <c r="BU31" i="7"/>
  <c r="BT31" i="7"/>
  <c r="BS31" i="7"/>
  <c r="BR31" i="7"/>
  <c r="BQ31" i="7"/>
  <c r="BP31" i="7"/>
  <c r="BO31" i="7"/>
  <c r="BN31" i="7"/>
  <c r="BM31" i="7"/>
  <c r="BL31" i="7"/>
  <c r="BK31" i="7"/>
  <c r="BJ31" i="7"/>
  <c r="BI31" i="7"/>
  <c r="BH31" i="7"/>
  <c r="BG31" i="7"/>
  <c r="BF31" i="7"/>
  <c r="BE31" i="7"/>
  <c r="BD31" i="7"/>
  <c r="BC31" i="7"/>
  <c r="BB31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X31" i="7"/>
  <c r="W31" i="7"/>
  <c r="V31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CF30" i="7"/>
  <c r="CE30" i="7"/>
  <c r="CD30" i="7"/>
  <c r="CC30" i="7"/>
  <c r="CB30" i="7"/>
  <c r="CA30" i="7"/>
  <c r="BZ30" i="7"/>
  <c r="BY30" i="7"/>
  <c r="BX30" i="7"/>
  <c r="BW30" i="7"/>
  <c r="BV30" i="7"/>
  <c r="BU30" i="7"/>
  <c r="BT30" i="7"/>
  <c r="BS30" i="7"/>
  <c r="BR30" i="7"/>
  <c r="BQ30" i="7"/>
  <c r="BP30" i="7"/>
  <c r="BO30" i="7"/>
  <c r="BN30" i="7"/>
  <c r="BM30" i="7"/>
  <c r="BL30" i="7"/>
  <c r="BK30" i="7"/>
  <c r="BJ30" i="7"/>
  <c r="BI30" i="7"/>
  <c r="BH30" i="7"/>
  <c r="BG30" i="7"/>
  <c r="BF30" i="7"/>
  <c r="BE30" i="7"/>
  <c r="BD30" i="7"/>
  <c r="BC30" i="7"/>
  <c r="BB30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Y30" i="7"/>
  <c r="X30" i="7"/>
  <c r="W30" i="7"/>
  <c r="V30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CF29" i="7"/>
  <c r="CE29" i="7"/>
  <c r="CD29" i="7"/>
  <c r="CC29" i="7"/>
  <c r="CB29" i="7"/>
  <c r="CA29" i="7"/>
  <c r="BZ29" i="7"/>
  <c r="BY29" i="7"/>
  <c r="BX29" i="7"/>
  <c r="BW29" i="7"/>
  <c r="BV29" i="7"/>
  <c r="BU29" i="7"/>
  <c r="BT29" i="7"/>
  <c r="BS29" i="7"/>
  <c r="BR29" i="7"/>
  <c r="BQ29" i="7"/>
  <c r="BP29" i="7"/>
  <c r="BO29" i="7"/>
  <c r="BN29" i="7"/>
  <c r="BM29" i="7"/>
  <c r="BL29" i="7"/>
  <c r="BK29" i="7"/>
  <c r="BJ29" i="7"/>
  <c r="BI29" i="7"/>
  <c r="BH29" i="7"/>
  <c r="BG29" i="7"/>
  <c r="BF29" i="7"/>
  <c r="BE29" i="7"/>
  <c r="BD29" i="7"/>
  <c r="BC29" i="7"/>
  <c r="BB29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X29" i="7"/>
  <c r="W29" i="7"/>
  <c r="V29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CF28" i="7"/>
  <c r="CE28" i="7"/>
  <c r="CD28" i="7"/>
  <c r="CC28" i="7"/>
  <c r="CB28" i="7"/>
  <c r="CA28" i="7"/>
  <c r="BZ28" i="7"/>
  <c r="BY28" i="7"/>
  <c r="BX28" i="7"/>
  <c r="BW28" i="7"/>
  <c r="BV28" i="7"/>
  <c r="BU28" i="7"/>
  <c r="BT28" i="7"/>
  <c r="BS28" i="7"/>
  <c r="BR28" i="7"/>
  <c r="BQ28" i="7"/>
  <c r="BP28" i="7"/>
  <c r="BO28" i="7"/>
  <c r="BN28" i="7"/>
  <c r="BM28" i="7"/>
  <c r="BL28" i="7"/>
  <c r="BK28" i="7"/>
  <c r="BJ28" i="7"/>
  <c r="BI28" i="7"/>
  <c r="BH28" i="7"/>
  <c r="BG28" i="7"/>
  <c r="BF28" i="7"/>
  <c r="BE28" i="7"/>
  <c r="BD28" i="7"/>
  <c r="BC28" i="7"/>
  <c r="BB28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X28" i="7"/>
  <c r="W28" i="7"/>
  <c r="V28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CG28" i="7" s="1"/>
  <c r="CF27" i="7"/>
  <c r="CE27" i="7"/>
  <c r="CD27" i="7"/>
  <c r="CC27" i="7"/>
  <c r="CB27" i="7"/>
  <c r="CA27" i="7"/>
  <c r="BZ27" i="7"/>
  <c r="BY27" i="7"/>
  <c r="BX27" i="7"/>
  <c r="BW27" i="7"/>
  <c r="BV27" i="7"/>
  <c r="BU27" i="7"/>
  <c r="BT27" i="7"/>
  <c r="BS27" i="7"/>
  <c r="BR27" i="7"/>
  <c r="BQ27" i="7"/>
  <c r="BP27" i="7"/>
  <c r="BO27" i="7"/>
  <c r="BN27" i="7"/>
  <c r="BM27" i="7"/>
  <c r="BL27" i="7"/>
  <c r="BK27" i="7"/>
  <c r="BJ27" i="7"/>
  <c r="BI27" i="7"/>
  <c r="BH27" i="7"/>
  <c r="BG27" i="7"/>
  <c r="BF27" i="7"/>
  <c r="BE27" i="7"/>
  <c r="BD27" i="7"/>
  <c r="BC27" i="7"/>
  <c r="BB27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AN27" i="7"/>
  <c r="AM27" i="7"/>
  <c r="AL27" i="7"/>
  <c r="AK27" i="7"/>
  <c r="AJ27" i="7"/>
  <c r="AI27" i="7"/>
  <c r="AH27" i="7"/>
  <c r="AG27" i="7"/>
  <c r="AF27" i="7"/>
  <c r="AE27" i="7"/>
  <c r="AD27" i="7"/>
  <c r="AC27" i="7"/>
  <c r="AB27" i="7"/>
  <c r="AA27" i="7"/>
  <c r="Z27" i="7"/>
  <c r="Y27" i="7"/>
  <c r="X27" i="7"/>
  <c r="W27" i="7"/>
  <c r="V27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CF26" i="7"/>
  <c r="CE26" i="7"/>
  <c r="CD26" i="7"/>
  <c r="CC26" i="7"/>
  <c r="CB26" i="7"/>
  <c r="CA26" i="7"/>
  <c r="BZ26" i="7"/>
  <c r="BY26" i="7"/>
  <c r="BX26" i="7"/>
  <c r="BW26" i="7"/>
  <c r="BV26" i="7"/>
  <c r="BU26" i="7"/>
  <c r="BT26" i="7"/>
  <c r="BS26" i="7"/>
  <c r="BR26" i="7"/>
  <c r="BQ26" i="7"/>
  <c r="BP26" i="7"/>
  <c r="BO26" i="7"/>
  <c r="BN26" i="7"/>
  <c r="BM26" i="7"/>
  <c r="BL26" i="7"/>
  <c r="BK26" i="7"/>
  <c r="BJ26" i="7"/>
  <c r="BI26" i="7"/>
  <c r="BH26" i="7"/>
  <c r="BG26" i="7"/>
  <c r="BF26" i="7"/>
  <c r="BE26" i="7"/>
  <c r="BD26" i="7"/>
  <c r="BC26" i="7"/>
  <c r="BB26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X26" i="7"/>
  <c r="W26" i="7"/>
  <c r="V26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CF25" i="7"/>
  <c r="CE25" i="7"/>
  <c r="CD25" i="7"/>
  <c r="CC25" i="7"/>
  <c r="CB25" i="7"/>
  <c r="CA25" i="7"/>
  <c r="BZ25" i="7"/>
  <c r="BY25" i="7"/>
  <c r="BX25" i="7"/>
  <c r="BW25" i="7"/>
  <c r="BV25" i="7"/>
  <c r="BU25" i="7"/>
  <c r="BT25" i="7"/>
  <c r="BS25" i="7"/>
  <c r="BR25" i="7"/>
  <c r="BQ25" i="7"/>
  <c r="BP25" i="7"/>
  <c r="BO25" i="7"/>
  <c r="BN25" i="7"/>
  <c r="BM25" i="7"/>
  <c r="BL25" i="7"/>
  <c r="BK25" i="7"/>
  <c r="BJ25" i="7"/>
  <c r="BI25" i="7"/>
  <c r="BH25" i="7"/>
  <c r="BG25" i="7"/>
  <c r="BF25" i="7"/>
  <c r="BE25" i="7"/>
  <c r="BD25" i="7"/>
  <c r="BC25" i="7"/>
  <c r="BB25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AN25" i="7"/>
  <c r="AM25" i="7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X25" i="7"/>
  <c r="W25" i="7"/>
  <c r="V25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CF24" i="7"/>
  <c r="CE24" i="7"/>
  <c r="CD24" i="7"/>
  <c r="CC24" i="7"/>
  <c r="CB24" i="7"/>
  <c r="CA24" i="7"/>
  <c r="BZ24" i="7"/>
  <c r="BY24" i="7"/>
  <c r="BX24" i="7"/>
  <c r="BW24" i="7"/>
  <c r="BV24" i="7"/>
  <c r="BU24" i="7"/>
  <c r="BT24" i="7"/>
  <c r="BS24" i="7"/>
  <c r="BR24" i="7"/>
  <c r="BQ24" i="7"/>
  <c r="BP24" i="7"/>
  <c r="BO24" i="7"/>
  <c r="BN24" i="7"/>
  <c r="BM24" i="7"/>
  <c r="BL24" i="7"/>
  <c r="BK24" i="7"/>
  <c r="BJ24" i="7"/>
  <c r="BI24" i="7"/>
  <c r="BH24" i="7"/>
  <c r="BG24" i="7"/>
  <c r="BF24" i="7"/>
  <c r="BE24" i="7"/>
  <c r="BD24" i="7"/>
  <c r="BC24" i="7"/>
  <c r="BB24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Y24" i="7"/>
  <c r="X24" i="7"/>
  <c r="W24" i="7"/>
  <c r="V24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CF23" i="7"/>
  <c r="CE23" i="7"/>
  <c r="CD23" i="7"/>
  <c r="CC23" i="7"/>
  <c r="CB23" i="7"/>
  <c r="CA23" i="7"/>
  <c r="BZ23" i="7"/>
  <c r="BY23" i="7"/>
  <c r="BX23" i="7"/>
  <c r="BW23" i="7"/>
  <c r="BV23" i="7"/>
  <c r="BU23" i="7"/>
  <c r="BT23" i="7"/>
  <c r="BS23" i="7"/>
  <c r="BR23" i="7"/>
  <c r="BQ23" i="7"/>
  <c r="BP23" i="7"/>
  <c r="BO23" i="7"/>
  <c r="BN23" i="7"/>
  <c r="BM23" i="7"/>
  <c r="BL23" i="7"/>
  <c r="BK23" i="7"/>
  <c r="BJ23" i="7"/>
  <c r="BI23" i="7"/>
  <c r="BH23" i="7"/>
  <c r="BG23" i="7"/>
  <c r="BF23" i="7"/>
  <c r="BE23" i="7"/>
  <c r="BD23" i="7"/>
  <c r="BC23" i="7"/>
  <c r="BB23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L23" i="7"/>
  <c r="AK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X23" i="7"/>
  <c r="W23" i="7"/>
  <c r="V23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CG23" i="7" s="1"/>
  <c r="F23" i="7"/>
  <c r="E23" i="7"/>
  <c r="D23" i="7"/>
  <c r="C23" i="7"/>
  <c r="CF22" i="7"/>
  <c r="CE22" i="7"/>
  <c r="CD22" i="7"/>
  <c r="CC22" i="7"/>
  <c r="CB22" i="7"/>
  <c r="CA22" i="7"/>
  <c r="BZ22" i="7"/>
  <c r="BY22" i="7"/>
  <c r="BX22" i="7"/>
  <c r="BW22" i="7"/>
  <c r="BV22" i="7"/>
  <c r="BU22" i="7"/>
  <c r="BT22" i="7"/>
  <c r="BS22" i="7"/>
  <c r="BR22" i="7"/>
  <c r="BQ22" i="7"/>
  <c r="BP22" i="7"/>
  <c r="BO22" i="7"/>
  <c r="BN22" i="7"/>
  <c r="BM22" i="7"/>
  <c r="BL22" i="7"/>
  <c r="BK22" i="7"/>
  <c r="BJ22" i="7"/>
  <c r="BI22" i="7"/>
  <c r="BH22" i="7"/>
  <c r="BG22" i="7"/>
  <c r="BF22" i="7"/>
  <c r="BE22" i="7"/>
  <c r="BD22" i="7"/>
  <c r="BC22" i="7"/>
  <c r="BB22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X22" i="7"/>
  <c r="W22" i="7"/>
  <c r="V22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CG22" i="7" s="1"/>
  <c r="D22" i="7"/>
  <c r="C22" i="7"/>
  <c r="CF21" i="7"/>
  <c r="CE21" i="7"/>
  <c r="CD21" i="7"/>
  <c r="CC21" i="7"/>
  <c r="CB21" i="7"/>
  <c r="CA21" i="7"/>
  <c r="BZ21" i="7"/>
  <c r="BY21" i="7"/>
  <c r="BX21" i="7"/>
  <c r="BW21" i="7"/>
  <c r="BV21" i="7"/>
  <c r="BU21" i="7"/>
  <c r="BT21" i="7"/>
  <c r="BS21" i="7"/>
  <c r="BR21" i="7"/>
  <c r="BQ21" i="7"/>
  <c r="BP21" i="7"/>
  <c r="BO21" i="7"/>
  <c r="BN21" i="7"/>
  <c r="BM21" i="7"/>
  <c r="BL21" i="7"/>
  <c r="BK21" i="7"/>
  <c r="BJ21" i="7"/>
  <c r="BI21" i="7"/>
  <c r="BH21" i="7"/>
  <c r="BG21" i="7"/>
  <c r="BF21" i="7"/>
  <c r="BE21" i="7"/>
  <c r="BD21" i="7"/>
  <c r="BC21" i="7"/>
  <c r="BB21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X21" i="7"/>
  <c r="W21" i="7"/>
  <c r="V21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CF20" i="7"/>
  <c r="CE20" i="7"/>
  <c r="CD20" i="7"/>
  <c r="CC20" i="7"/>
  <c r="CB20" i="7"/>
  <c r="CA20" i="7"/>
  <c r="BZ20" i="7"/>
  <c r="BY20" i="7"/>
  <c r="BX20" i="7"/>
  <c r="BW20" i="7"/>
  <c r="BV20" i="7"/>
  <c r="BU20" i="7"/>
  <c r="BT20" i="7"/>
  <c r="BS20" i="7"/>
  <c r="BR20" i="7"/>
  <c r="BQ20" i="7"/>
  <c r="BP20" i="7"/>
  <c r="BO20" i="7"/>
  <c r="BN20" i="7"/>
  <c r="BM20" i="7"/>
  <c r="BL20" i="7"/>
  <c r="BK20" i="7"/>
  <c r="BJ20" i="7"/>
  <c r="BI20" i="7"/>
  <c r="BH20" i="7"/>
  <c r="BG20" i="7"/>
  <c r="BF20" i="7"/>
  <c r="BE20" i="7"/>
  <c r="BD20" i="7"/>
  <c r="BC20" i="7"/>
  <c r="BB20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Y20" i="7"/>
  <c r="X20" i="7"/>
  <c r="W20" i="7"/>
  <c r="V20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CF19" i="7"/>
  <c r="CE19" i="7"/>
  <c r="CD19" i="7"/>
  <c r="CC19" i="7"/>
  <c r="CB19" i="7"/>
  <c r="CA19" i="7"/>
  <c r="BZ19" i="7"/>
  <c r="BY19" i="7"/>
  <c r="BX19" i="7"/>
  <c r="BW19" i="7"/>
  <c r="BV19" i="7"/>
  <c r="BU19" i="7"/>
  <c r="BT19" i="7"/>
  <c r="BS19" i="7"/>
  <c r="BR19" i="7"/>
  <c r="BQ19" i="7"/>
  <c r="BP19" i="7"/>
  <c r="BO19" i="7"/>
  <c r="BN19" i="7"/>
  <c r="BM19" i="7"/>
  <c r="BL19" i="7"/>
  <c r="BK19" i="7"/>
  <c r="BJ19" i="7"/>
  <c r="BI19" i="7"/>
  <c r="BH19" i="7"/>
  <c r="BG19" i="7"/>
  <c r="BF19" i="7"/>
  <c r="BE19" i="7"/>
  <c r="BD19" i="7"/>
  <c r="BC19" i="7"/>
  <c r="BB19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CF18" i="7"/>
  <c r="CE18" i="7"/>
  <c r="CD18" i="7"/>
  <c r="CC18" i="7"/>
  <c r="CB18" i="7"/>
  <c r="CA18" i="7"/>
  <c r="BZ18" i="7"/>
  <c r="BY18" i="7"/>
  <c r="BX18" i="7"/>
  <c r="BW18" i="7"/>
  <c r="BV18" i="7"/>
  <c r="BU18" i="7"/>
  <c r="BT18" i="7"/>
  <c r="BS18" i="7"/>
  <c r="BR18" i="7"/>
  <c r="BQ18" i="7"/>
  <c r="BP18" i="7"/>
  <c r="BO18" i="7"/>
  <c r="BN18" i="7"/>
  <c r="BM18" i="7"/>
  <c r="BL18" i="7"/>
  <c r="BK18" i="7"/>
  <c r="BJ18" i="7"/>
  <c r="BI18" i="7"/>
  <c r="BH18" i="7"/>
  <c r="BG18" i="7"/>
  <c r="BF18" i="7"/>
  <c r="BE18" i="7"/>
  <c r="BD18" i="7"/>
  <c r="BC18" i="7"/>
  <c r="BB18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CG18" i="7" s="1"/>
  <c r="CF17" i="7"/>
  <c r="CE17" i="7"/>
  <c r="CD17" i="7"/>
  <c r="CC17" i="7"/>
  <c r="CB17" i="7"/>
  <c r="CA17" i="7"/>
  <c r="BZ17" i="7"/>
  <c r="BY17" i="7"/>
  <c r="BX17" i="7"/>
  <c r="BW17" i="7"/>
  <c r="BV17" i="7"/>
  <c r="BU17" i="7"/>
  <c r="BT17" i="7"/>
  <c r="BS17" i="7"/>
  <c r="BR17" i="7"/>
  <c r="BQ17" i="7"/>
  <c r="BP17" i="7"/>
  <c r="BO17" i="7"/>
  <c r="BN17" i="7"/>
  <c r="BM17" i="7"/>
  <c r="BL17" i="7"/>
  <c r="BK17" i="7"/>
  <c r="BJ17" i="7"/>
  <c r="BI17" i="7"/>
  <c r="BH17" i="7"/>
  <c r="BG17" i="7"/>
  <c r="BF17" i="7"/>
  <c r="BE17" i="7"/>
  <c r="BD17" i="7"/>
  <c r="BC17" i="7"/>
  <c r="BB17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CF16" i="7"/>
  <c r="CE16" i="7"/>
  <c r="CD16" i="7"/>
  <c r="CC16" i="7"/>
  <c r="CB16" i="7"/>
  <c r="CA16" i="7"/>
  <c r="BZ16" i="7"/>
  <c r="BY16" i="7"/>
  <c r="BX16" i="7"/>
  <c r="BW16" i="7"/>
  <c r="BV16" i="7"/>
  <c r="BU16" i="7"/>
  <c r="BT16" i="7"/>
  <c r="BS16" i="7"/>
  <c r="BR16" i="7"/>
  <c r="BQ16" i="7"/>
  <c r="BP16" i="7"/>
  <c r="BO16" i="7"/>
  <c r="BN16" i="7"/>
  <c r="BM16" i="7"/>
  <c r="BL16" i="7"/>
  <c r="BK16" i="7"/>
  <c r="BJ16" i="7"/>
  <c r="BI16" i="7"/>
  <c r="BH16" i="7"/>
  <c r="BG16" i="7"/>
  <c r="BF16" i="7"/>
  <c r="BE16" i="7"/>
  <c r="BD16" i="7"/>
  <c r="BC16" i="7"/>
  <c r="BB16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CG16" i="7" s="1"/>
  <c r="N16" i="7"/>
  <c r="M16" i="7"/>
  <c r="L16" i="7"/>
  <c r="K16" i="7"/>
  <c r="J16" i="7"/>
  <c r="I16" i="7"/>
  <c r="H16" i="7"/>
  <c r="G16" i="7"/>
  <c r="F16" i="7"/>
  <c r="E16" i="7"/>
  <c r="D16" i="7"/>
  <c r="C16" i="7"/>
  <c r="CF15" i="7"/>
  <c r="CE15" i="7"/>
  <c r="CD15" i="7"/>
  <c r="CC15" i="7"/>
  <c r="CB15" i="7"/>
  <c r="CA15" i="7"/>
  <c r="BZ15" i="7"/>
  <c r="BY15" i="7"/>
  <c r="BX15" i="7"/>
  <c r="BW15" i="7"/>
  <c r="BV15" i="7"/>
  <c r="BU15" i="7"/>
  <c r="BT15" i="7"/>
  <c r="BS15" i="7"/>
  <c r="BR15" i="7"/>
  <c r="BQ15" i="7"/>
  <c r="BP15" i="7"/>
  <c r="BO15" i="7"/>
  <c r="BN15" i="7"/>
  <c r="BM15" i="7"/>
  <c r="BL15" i="7"/>
  <c r="BK15" i="7"/>
  <c r="BJ15" i="7"/>
  <c r="BI15" i="7"/>
  <c r="BH15" i="7"/>
  <c r="BG15" i="7"/>
  <c r="BF15" i="7"/>
  <c r="BE15" i="7"/>
  <c r="BD15" i="7"/>
  <c r="BC15" i="7"/>
  <c r="BB15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L15" i="7"/>
  <c r="K15" i="7"/>
  <c r="J15" i="7"/>
  <c r="CG15" i="7" s="1"/>
  <c r="I15" i="7"/>
  <c r="H15" i="7"/>
  <c r="G15" i="7"/>
  <c r="F15" i="7"/>
  <c r="E15" i="7"/>
  <c r="D15" i="7"/>
  <c r="C15" i="7"/>
  <c r="CF14" i="7"/>
  <c r="CE14" i="7"/>
  <c r="CD14" i="7"/>
  <c r="CC14" i="7"/>
  <c r="CB14" i="7"/>
  <c r="CA14" i="7"/>
  <c r="BZ14" i="7"/>
  <c r="BY14" i="7"/>
  <c r="BX14" i="7"/>
  <c r="BW14" i="7"/>
  <c r="BV14" i="7"/>
  <c r="BU14" i="7"/>
  <c r="BT14" i="7"/>
  <c r="BS14" i="7"/>
  <c r="BR14" i="7"/>
  <c r="BQ14" i="7"/>
  <c r="BP14" i="7"/>
  <c r="BO14" i="7"/>
  <c r="BN14" i="7"/>
  <c r="BM14" i="7"/>
  <c r="BL14" i="7"/>
  <c r="BK14" i="7"/>
  <c r="BJ14" i="7"/>
  <c r="BI14" i="7"/>
  <c r="BH14" i="7"/>
  <c r="BG14" i="7"/>
  <c r="BF14" i="7"/>
  <c r="BE14" i="7"/>
  <c r="BD14" i="7"/>
  <c r="BC14" i="7"/>
  <c r="BB14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E14" i="7"/>
  <c r="D14" i="7"/>
  <c r="C14" i="7"/>
  <c r="CF13" i="7"/>
  <c r="CE13" i="7"/>
  <c r="CD13" i="7"/>
  <c r="CC13" i="7"/>
  <c r="CB13" i="7"/>
  <c r="CA13" i="7"/>
  <c r="BZ13" i="7"/>
  <c r="BY13" i="7"/>
  <c r="BX13" i="7"/>
  <c r="BW13" i="7"/>
  <c r="BV13" i="7"/>
  <c r="BU13" i="7"/>
  <c r="BT13" i="7"/>
  <c r="BS13" i="7"/>
  <c r="BR13" i="7"/>
  <c r="BQ13" i="7"/>
  <c r="BP13" i="7"/>
  <c r="BO13" i="7"/>
  <c r="BN13" i="7"/>
  <c r="BM13" i="7"/>
  <c r="BL13" i="7"/>
  <c r="BK13" i="7"/>
  <c r="BJ13" i="7"/>
  <c r="BI13" i="7"/>
  <c r="BH13" i="7"/>
  <c r="BG13" i="7"/>
  <c r="BF13" i="7"/>
  <c r="BE13" i="7"/>
  <c r="BD13" i="7"/>
  <c r="BC13" i="7"/>
  <c r="BB13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D13" i="7"/>
  <c r="C13" i="7"/>
  <c r="CF12" i="7"/>
  <c r="CE12" i="7"/>
  <c r="CD12" i="7"/>
  <c r="CC12" i="7"/>
  <c r="CB12" i="7"/>
  <c r="CA12" i="7"/>
  <c r="BZ12" i="7"/>
  <c r="BY12" i="7"/>
  <c r="BX12" i="7"/>
  <c r="BW12" i="7"/>
  <c r="BV12" i="7"/>
  <c r="BU12" i="7"/>
  <c r="BT12" i="7"/>
  <c r="BS12" i="7"/>
  <c r="BR12" i="7"/>
  <c r="BQ12" i="7"/>
  <c r="BP12" i="7"/>
  <c r="BO12" i="7"/>
  <c r="BN12" i="7"/>
  <c r="BM12" i="7"/>
  <c r="BL12" i="7"/>
  <c r="BK12" i="7"/>
  <c r="BJ12" i="7"/>
  <c r="BI12" i="7"/>
  <c r="BH12" i="7"/>
  <c r="BG12" i="7"/>
  <c r="BF12" i="7"/>
  <c r="BE12" i="7"/>
  <c r="BD12" i="7"/>
  <c r="BC12" i="7"/>
  <c r="BB12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D12" i="7"/>
  <c r="C12" i="7"/>
  <c r="CF11" i="7"/>
  <c r="CE11" i="7"/>
  <c r="CD11" i="7"/>
  <c r="CC11" i="7"/>
  <c r="CB11" i="7"/>
  <c r="CA11" i="7"/>
  <c r="BZ11" i="7"/>
  <c r="BY11" i="7"/>
  <c r="BX11" i="7"/>
  <c r="BW11" i="7"/>
  <c r="BV11" i="7"/>
  <c r="BU11" i="7"/>
  <c r="BT11" i="7"/>
  <c r="BS11" i="7"/>
  <c r="BR11" i="7"/>
  <c r="BQ11" i="7"/>
  <c r="BP11" i="7"/>
  <c r="BO11" i="7"/>
  <c r="BN11" i="7"/>
  <c r="BM11" i="7"/>
  <c r="BL11" i="7"/>
  <c r="BK11" i="7"/>
  <c r="BJ11" i="7"/>
  <c r="BI11" i="7"/>
  <c r="BH11" i="7"/>
  <c r="BG11" i="7"/>
  <c r="BF11" i="7"/>
  <c r="BE11" i="7"/>
  <c r="BD11" i="7"/>
  <c r="BC11" i="7"/>
  <c r="BB11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CG11" i="7" s="1"/>
  <c r="H11" i="7"/>
  <c r="G11" i="7"/>
  <c r="F11" i="7"/>
  <c r="E11" i="7"/>
  <c r="D11" i="7"/>
  <c r="C11" i="7"/>
  <c r="CF10" i="7"/>
  <c r="CE10" i="7"/>
  <c r="CD10" i="7"/>
  <c r="CC10" i="7"/>
  <c r="CB10" i="7"/>
  <c r="CA10" i="7"/>
  <c r="BZ10" i="7"/>
  <c r="BY10" i="7"/>
  <c r="BX10" i="7"/>
  <c r="BW10" i="7"/>
  <c r="BV10" i="7"/>
  <c r="BU10" i="7"/>
  <c r="BT10" i="7"/>
  <c r="BS10" i="7"/>
  <c r="BR10" i="7"/>
  <c r="BQ10" i="7"/>
  <c r="BP10" i="7"/>
  <c r="BO10" i="7"/>
  <c r="BN10" i="7"/>
  <c r="BM10" i="7"/>
  <c r="BL10" i="7"/>
  <c r="BK10" i="7"/>
  <c r="BJ10" i="7"/>
  <c r="BI10" i="7"/>
  <c r="BH10" i="7"/>
  <c r="BG10" i="7"/>
  <c r="BF10" i="7"/>
  <c r="BE10" i="7"/>
  <c r="BD10" i="7"/>
  <c r="BC10" i="7"/>
  <c r="BB10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CG10" i="7" s="1"/>
  <c r="CF9" i="7"/>
  <c r="CE9" i="7"/>
  <c r="CD9" i="7"/>
  <c r="CC9" i="7"/>
  <c r="CB9" i="7"/>
  <c r="CA9" i="7"/>
  <c r="BZ9" i="7"/>
  <c r="BY9" i="7"/>
  <c r="BX9" i="7"/>
  <c r="BW9" i="7"/>
  <c r="BV9" i="7"/>
  <c r="BU9" i="7"/>
  <c r="BT9" i="7"/>
  <c r="BS9" i="7"/>
  <c r="BR9" i="7"/>
  <c r="BQ9" i="7"/>
  <c r="BP9" i="7"/>
  <c r="BO9" i="7"/>
  <c r="BN9" i="7"/>
  <c r="BM9" i="7"/>
  <c r="BL9" i="7"/>
  <c r="BK9" i="7"/>
  <c r="BJ9" i="7"/>
  <c r="BI9" i="7"/>
  <c r="BH9" i="7"/>
  <c r="BG9" i="7"/>
  <c r="BF9" i="7"/>
  <c r="BE9" i="7"/>
  <c r="BD9" i="7"/>
  <c r="BC9" i="7"/>
  <c r="BB9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CF8" i="7"/>
  <c r="CE8" i="7"/>
  <c r="CD8" i="7"/>
  <c r="CC8" i="7"/>
  <c r="CB8" i="7"/>
  <c r="CA8" i="7"/>
  <c r="BZ8" i="7"/>
  <c r="BY8" i="7"/>
  <c r="BX8" i="7"/>
  <c r="BW8" i="7"/>
  <c r="BV8" i="7"/>
  <c r="BU8" i="7"/>
  <c r="BT8" i="7"/>
  <c r="BS8" i="7"/>
  <c r="BR8" i="7"/>
  <c r="BQ8" i="7"/>
  <c r="BP8" i="7"/>
  <c r="BO8" i="7"/>
  <c r="BN8" i="7"/>
  <c r="BM8" i="7"/>
  <c r="BL8" i="7"/>
  <c r="BK8" i="7"/>
  <c r="BJ8" i="7"/>
  <c r="BI8" i="7"/>
  <c r="BH8" i="7"/>
  <c r="BG8" i="7"/>
  <c r="BF8" i="7"/>
  <c r="BE8" i="7"/>
  <c r="BD8" i="7"/>
  <c r="BC8" i="7"/>
  <c r="BB8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CF7" i="7"/>
  <c r="CE7" i="7"/>
  <c r="CD7" i="7"/>
  <c r="CC7" i="7"/>
  <c r="CB7" i="7"/>
  <c r="CA7" i="7"/>
  <c r="BZ7" i="7"/>
  <c r="BY7" i="7"/>
  <c r="BX7" i="7"/>
  <c r="BW7" i="7"/>
  <c r="BV7" i="7"/>
  <c r="BU7" i="7"/>
  <c r="BT7" i="7"/>
  <c r="BS7" i="7"/>
  <c r="BR7" i="7"/>
  <c r="BQ7" i="7"/>
  <c r="BP7" i="7"/>
  <c r="BO7" i="7"/>
  <c r="BN7" i="7"/>
  <c r="BM7" i="7"/>
  <c r="BL7" i="7"/>
  <c r="BK7" i="7"/>
  <c r="BJ7" i="7"/>
  <c r="BI7" i="7"/>
  <c r="BH7" i="7"/>
  <c r="BG7" i="7"/>
  <c r="BF7" i="7"/>
  <c r="BE7" i="7"/>
  <c r="BD7" i="7"/>
  <c r="BC7" i="7"/>
  <c r="BB7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V7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CF6" i="7"/>
  <c r="CE6" i="7"/>
  <c r="CD6" i="7"/>
  <c r="CC6" i="7"/>
  <c r="CB6" i="7"/>
  <c r="CA6" i="7"/>
  <c r="BZ6" i="7"/>
  <c r="BY6" i="7"/>
  <c r="BX6" i="7"/>
  <c r="BW6" i="7"/>
  <c r="BV6" i="7"/>
  <c r="BU6" i="7"/>
  <c r="BT6" i="7"/>
  <c r="BS6" i="7"/>
  <c r="BR6" i="7"/>
  <c r="BQ6" i="7"/>
  <c r="BP6" i="7"/>
  <c r="BO6" i="7"/>
  <c r="BN6" i="7"/>
  <c r="BM6" i="7"/>
  <c r="BL6" i="7"/>
  <c r="BK6" i="7"/>
  <c r="BJ6" i="7"/>
  <c r="BI6" i="7"/>
  <c r="BH6" i="7"/>
  <c r="BG6" i="7"/>
  <c r="BF6" i="7"/>
  <c r="BE6" i="7"/>
  <c r="BD6" i="7"/>
  <c r="BC6" i="7"/>
  <c r="BB6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Y6" i="7"/>
  <c r="X6" i="7"/>
  <c r="W6" i="7"/>
  <c r="V6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CF5" i="7"/>
  <c r="CE5" i="7"/>
  <c r="CD5" i="7"/>
  <c r="CC5" i="7"/>
  <c r="CB5" i="7"/>
  <c r="CA5" i="7"/>
  <c r="BZ5" i="7"/>
  <c r="BY5" i="7"/>
  <c r="BX5" i="7"/>
  <c r="BW5" i="7"/>
  <c r="BV5" i="7"/>
  <c r="BU5" i="7"/>
  <c r="BT5" i="7"/>
  <c r="BS5" i="7"/>
  <c r="BR5" i="7"/>
  <c r="BQ5" i="7"/>
  <c r="BP5" i="7"/>
  <c r="BO5" i="7"/>
  <c r="BN5" i="7"/>
  <c r="BM5" i="7"/>
  <c r="BL5" i="7"/>
  <c r="BK5" i="7"/>
  <c r="BJ5" i="7"/>
  <c r="BI5" i="7"/>
  <c r="BH5" i="7"/>
  <c r="BG5" i="7"/>
  <c r="BF5" i="7"/>
  <c r="BE5" i="7"/>
  <c r="BD5" i="7"/>
  <c r="BC5" i="7"/>
  <c r="BB5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X5" i="7"/>
  <c r="W5" i="7"/>
  <c r="V5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CF4" i="7"/>
  <c r="CE4" i="7"/>
  <c r="CD4" i="7"/>
  <c r="CC4" i="7"/>
  <c r="CB4" i="7"/>
  <c r="CA4" i="7"/>
  <c r="BZ4" i="7"/>
  <c r="BY4" i="7"/>
  <c r="BX4" i="7"/>
  <c r="BW4" i="7"/>
  <c r="BV4" i="7"/>
  <c r="BU4" i="7"/>
  <c r="BT4" i="7"/>
  <c r="BS4" i="7"/>
  <c r="BR4" i="7"/>
  <c r="BQ4" i="7"/>
  <c r="BP4" i="7"/>
  <c r="BO4" i="7"/>
  <c r="BN4" i="7"/>
  <c r="BM4" i="7"/>
  <c r="BL4" i="7"/>
  <c r="BK4" i="7"/>
  <c r="BJ4" i="7"/>
  <c r="BI4" i="7"/>
  <c r="BH4" i="7"/>
  <c r="BG4" i="7"/>
  <c r="BF4" i="7"/>
  <c r="BE4" i="7"/>
  <c r="BD4" i="7"/>
  <c r="BC4" i="7"/>
  <c r="BB4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Y4" i="7"/>
  <c r="X4" i="7"/>
  <c r="W4" i="7"/>
  <c r="V4" i="7"/>
  <c r="U4" i="7"/>
  <c r="T4" i="7"/>
  <c r="S4" i="7"/>
  <c r="CG4" i="7" s="1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CF3" i="7"/>
  <c r="CE3" i="7"/>
  <c r="CD3" i="7"/>
  <c r="CC3" i="7"/>
  <c r="CB3" i="7"/>
  <c r="CA3" i="7"/>
  <c r="BZ3" i="7"/>
  <c r="BY3" i="7"/>
  <c r="BX3" i="7"/>
  <c r="BW3" i="7"/>
  <c r="BV3" i="7"/>
  <c r="BU3" i="7"/>
  <c r="BT3" i="7"/>
  <c r="BS3" i="7"/>
  <c r="BR3" i="7"/>
  <c r="BQ3" i="7"/>
  <c r="BP3" i="7"/>
  <c r="BO3" i="7"/>
  <c r="BN3" i="7"/>
  <c r="BM3" i="7"/>
  <c r="BL3" i="7"/>
  <c r="BK3" i="7"/>
  <c r="BJ3" i="7"/>
  <c r="BI3" i="7"/>
  <c r="BH3" i="7"/>
  <c r="BG3" i="7"/>
  <c r="BF3" i="7"/>
  <c r="BE3" i="7"/>
  <c r="BD3" i="7"/>
  <c r="BC3" i="7"/>
  <c r="BB3" i="7"/>
  <c r="BA3" i="7"/>
  <c r="AZ3" i="7"/>
  <c r="AY3" i="7"/>
  <c r="AX3" i="7"/>
  <c r="AW3" i="7"/>
  <c r="AV3" i="7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CF2" i="7"/>
  <c r="CF319" i="7" s="1"/>
  <c r="CE2" i="7"/>
  <c r="CD2" i="7"/>
  <c r="CC2" i="7"/>
  <c r="CB2" i="7"/>
  <c r="CA2" i="7"/>
  <c r="BZ2" i="7"/>
  <c r="BY2" i="7"/>
  <c r="BY319" i="7" s="1"/>
  <c r="BX2" i="7"/>
  <c r="BX319" i="7" s="1"/>
  <c r="BW2" i="7"/>
  <c r="BV2" i="7"/>
  <c r="BU2" i="7"/>
  <c r="BU319" i="7" s="1"/>
  <c r="BT2" i="7"/>
  <c r="BT319" i="7" s="1"/>
  <c r="BS2" i="7"/>
  <c r="BS319" i="7" s="1"/>
  <c r="BR2" i="7"/>
  <c r="BR319" i="7" s="1"/>
  <c r="BQ2" i="7"/>
  <c r="BQ319" i="7" s="1"/>
  <c r="BP2" i="7"/>
  <c r="BO2" i="7"/>
  <c r="BN2" i="7"/>
  <c r="BM2" i="7"/>
  <c r="BL2" i="7"/>
  <c r="BK2" i="7"/>
  <c r="BJ2" i="7"/>
  <c r="BJ319" i="7" s="1"/>
  <c r="BI2" i="7"/>
  <c r="BH2" i="7"/>
  <c r="BG2" i="7"/>
  <c r="BF2" i="7"/>
  <c r="BE2" i="7"/>
  <c r="BD2" i="7"/>
  <c r="BC2" i="7"/>
  <c r="BC319" i="7" s="1"/>
  <c r="BB2" i="7"/>
  <c r="BB319" i="7" s="1"/>
  <c r="BA2" i="7"/>
  <c r="AZ2" i="7"/>
  <c r="AY2" i="7"/>
  <c r="AY319" i="7" s="1"/>
  <c r="AX2" i="7"/>
  <c r="AX319" i="7" s="1"/>
  <c r="AW2" i="7"/>
  <c r="AW319" i="7" s="1"/>
  <c r="AV2" i="7"/>
  <c r="AV319" i="7" s="1"/>
  <c r="AU2" i="7"/>
  <c r="AU319" i="7" s="1"/>
  <c r="AT2" i="7"/>
  <c r="AS2" i="7"/>
  <c r="AR2" i="7"/>
  <c r="AQ2" i="7"/>
  <c r="AP2" i="7"/>
  <c r="AO2" i="7"/>
  <c r="AN2" i="7"/>
  <c r="AN319" i="7" s="1"/>
  <c r="AM2" i="7"/>
  <c r="AL2" i="7"/>
  <c r="AK2" i="7"/>
  <c r="AJ2" i="7"/>
  <c r="AI2" i="7"/>
  <c r="AH2" i="7"/>
  <c r="AG2" i="7"/>
  <c r="AG319" i="7" s="1"/>
  <c r="AF2" i="7"/>
  <c r="AF319" i="7" s="1"/>
  <c r="AE2" i="7"/>
  <c r="AD2" i="7"/>
  <c r="AC2" i="7"/>
  <c r="AC319" i="7" s="1"/>
  <c r="AB2" i="7"/>
  <c r="AB319" i="7" s="1"/>
  <c r="AA2" i="7"/>
  <c r="AA319" i="7" s="1"/>
  <c r="Z2" i="7"/>
  <c r="Z319" i="7" s="1"/>
  <c r="Y2" i="7"/>
  <c r="Y319" i="7" s="1"/>
  <c r="X2" i="7"/>
  <c r="W2" i="7"/>
  <c r="V2" i="7"/>
  <c r="U2" i="7"/>
  <c r="T2" i="7"/>
  <c r="S2" i="7"/>
  <c r="R2" i="7"/>
  <c r="R319" i="7" s="1"/>
  <c r="Q2" i="7"/>
  <c r="P2" i="7"/>
  <c r="O2" i="7"/>
  <c r="N2" i="7"/>
  <c r="M2" i="7"/>
  <c r="L2" i="7"/>
  <c r="K2" i="7"/>
  <c r="K319" i="7" s="1"/>
  <c r="J2" i="7"/>
  <c r="J319" i="7" s="1"/>
  <c r="I2" i="7"/>
  <c r="H2" i="7"/>
  <c r="G2" i="7"/>
  <c r="G319" i="7" s="1"/>
  <c r="F2" i="7"/>
  <c r="F319" i="7" s="1"/>
  <c r="E2" i="7"/>
  <c r="E319" i="7" s="1"/>
  <c r="D2" i="7"/>
  <c r="D319" i="7" s="1"/>
  <c r="C2" i="7"/>
  <c r="J318" i="6"/>
  <c r="D318" i="6"/>
  <c r="I318" i="6" s="1"/>
  <c r="J317" i="6"/>
  <c r="I317" i="6"/>
  <c r="D317" i="6"/>
  <c r="D316" i="6"/>
  <c r="D315" i="6"/>
  <c r="J315" i="6" s="1"/>
  <c r="D314" i="6"/>
  <c r="J314" i="6" s="1"/>
  <c r="D313" i="6"/>
  <c r="D312" i="6"/>
  <c r="J311" i="6"/>
  <c r="I311" i="6"/>
  <c r="D311" i="6"/>
  <c r="I310" i="6"/>
  <c r="D310" i="6"/>
  <c r="J310" i="6" s="1"/>
  <c r="J309" i="6"/>
  <c r="I309" i="6"/>
  <c r="D309" i="6"/>
  <c r="D308" i="6"/>
  <c r="J308" i="6" s="1"/>
  <c r="J307" i="6"/>
  <c r="D307" i="6"/>
  <c r="I307" i="6" s="1"/>
  <c r="I306" i="6"/>
  <c r="D306" i="6"/>
  <c r="J306" i="6" s="1"/>
  <c r="J305" i="6"/>
  <c r="D305" i="6"/>
  <c r="I305" i="6" s="1"/>
  <c r="J304" i="6"/>
  <c r="D304" i="6"/>
  <c r="I304" i="6" s="1"/>
  <c r="I303" i="6"/>
  <c r="D303" i="6"/>
  <c r="J303" i="6" s="1"/>
  <c r="J302" i="6"/>
  <c r="I302" i="6"/>
  <c r="D302" i="6"/>
  <c r="J301" i="6"/>
  <c r="I301" i="6"/>
  <c r="D301" i="6"/>
  <c r="I300" i="6"/>
  <c r="D300" i="6"/>
  <c r="J300" i="6" s="1"/>
  <c r="D299" i="6"/>
  <c r="D298" i="6"/>
  <c r="J298" i="6" s="1"/>
  <c r="J297" i="6"/>
  <c r="I297" i="6"/>
  <c r="D297" i="6"/>
  <c r="J301" i="5" s="1"/>
  <c r="M301" i="5" s="1"/>
  <c r="D296" i="6"/>
  <c r="D295" i="6"/>
  <c r="I295" i="6" s="1"/>
  <c r="J294" i="6"/>
  <c r="I294" i="6"/>
  <c r="D294" i="6"/>
  <c r="I293" i="6"/>
  <c r="D293" i="6"/>
  <c r="J293" i="6" s="1"/>
  <c r="J292" i="6"/>
  <c r="I292" i="6"/>
  <c r="D292" i="6"/>
  <c r="D291" i="6"/>
  <c r="J289" i="5" s="1"/>
  <c r="M289" i="5" s="1"/>
  <c r="O289" i="5" s="1"/>
  <c r="P289" i="5" s="1"/>
  <c r="J290" i="6"/>
  <c r="D290" i="6"/>
  <c r="J259" i="5" s="1"/>
  <c r="M259" i="5" s="1"/>
  <c r="J289" i="6"/>
  <c r="I289" i="6"/>
  <c r="D289" i="6"/>
  <c r="J288" i="6"/>
  <c r="I288" i="6"/>
  <c r="D288" i="6"/>
  <c r="D287" i="6"/>
  <c r="D286" i="6"/>
  <c r="J313" i="5" s="1"/>
  <c r="D285" i="6"/>
  <c r="J285" i="6" s="1"/>
  <c r="I284" i="6"/>
  <c r="D284" i="6"/>
  <c r="J284" i="6" s="1"/>
  <c r="D283" i="6"/>
  <c r="J283" i="6" s="1"/>
  <c r="D282" i="6"/>
  <c r="J312" i="5" s="1"/>
  <c r="M312" i="5" s="1"/>
  <c r="O312" i="5" s="1"/>
  <c r="I281" i="6"/>
  <c r="D281" i="6"/>
  <c r="D280" i="6"/>
  <c r="J279" i="6"/>
  <c r="I279" i="6"/>
  <c r="D279" i="6"/>
  <c r="J278" i="6"/>
  <c r="I278" i="6"/>
  <c r="D278" i="6"/>
  <c r="J277" i="6"/>
  <c r="I277" i="6"/>
  <c r="D277" i="6"/>
  <c r="D276" i="6"/>
  <c r="J276" i="6" s="1"/>
  <c r="J275" i="6"/>
  <c r="I275" i="6"/>
  <c r="D275" i="6"/>
  <c r="J297" i="5" s="1"/>
  <c r="J274" i="6"/>
  <c r="D274" i="6"/>
  <c r="D273" i="6"/>
  <c r="D272" i="6"/>
  <c r="J272" i="6" s="1"/>
  <c r="D271" i="6"/>
  <c r="J271" i="6" s="1"/>
  <c r="J270" i="6"/>
  <c r="I270" i="6"/>
  <c r="D270" i="6"/>
  <c r="J269" i="6"/>
  <c r="D269" i="6"/>
  <c r="I269" i="6" s="1"/>
  <c r="D268" i="6"/>
  <c r="J267" i="6"/>
  <c r="I267" i="6"/>
  <c r="D267" i="6"/>
  <c r="J266" i="6"/>
  <c r="I266" i="6"/>
  <c r="D266" i="6"/>
  <c r="J147" i="5" s="1"/>
  <c r="J265" i="6"/>
  <c r="D265" i="6"/>
  <c r="I265" i="6" s="1"/>
  <c r="D264" i="6"/>
  <c r="D263" i="6"/>
  <c r="J269" i="5" s="1"/>
  <c r="M269" i="5" s="1"/>
  <c r="J262" i="6"/>
  <c r="I262" i="6"/>
  <c r="D262" i="6"/>
  <c r="J261" i="6"/>
  <c r="I261" i="6"/>
  <c r="D261" i="6"/>
  <c r="D260" i="6"/>
  <c r="I259" i="6"/>
  <c r="D259" i="6"/>
  <c r="J259" i="6" s="1"/>
  <c r="J258" i="6"/>
  <c r="I258" i="6"/>
  <c r="D258" i="6"/>
  <c r="D257" i="6"/>
  <c r="J257" i="6" s="1"/>
  <c r="D256" i="6"/>
  <c r="J256" i="6" s="1"/>
  <c r="J255" i="6"/>
  <c r="D255" i="6"/>
  <c r="I255" i="6" s="1"/>
  <c r="J254" i="6"/>
  <c r="D254" i="6"/>
  <c r="I254" i="6" s="1"/>
  <c r="I253" i="6"/>
  <c r="D253" i="6"/>
  <c r="J253" i="6" s="1"/>
  <c r="D252" i="6"/>
  <c r="I252" i="6" s="1"/>
  <c r="J251" i="6"/>
  <c r="D251" i="6"/>
  <c r="I251" i="6" s="1"/>
  <c r="J250" i="6"/>
  <c r="I250" i="6"/>
  <c r="D250" i="6"/>
  <c r="J249" i="6"/>
  <c r="I249" i="6"/>
  <c r="D249" i="6"/>
  <c r="J248" i="6"/>
  <c r="I248" i="6"/>
  <c r="D248" i="6"/>
  <c r="D247" i="6"/>
  <c r="I246" i="6"/>
  <c r="D246" i="6"/>
  <c r="J246" i="6" s="1"/>
  <c r="J245" i="6"/>
  <c r="I245" i="6"/>
  <c r="D245" i="6"/>
  <c r="D244" i="6"/>
  <c r="J243" i="6"/>
  <c r="I243" i="6"/>
  <c r="D243" i="6"/>
  <c r="J296" i="5" s="1"/>
  <c r="M296" i="5" s="1"/>
  <c r="D242" i="6"/>
  <c r="J241" i="6"/>
  <c r="D241" i="6"/>
  <c r="I241" i="6" s="1"/>
  <c r="J240" i="6"/>
  <c r="I240" i="6"/>
  <c r="D240" i="6"/>
  <c r="J239" i="6"/>
  <c r="D239" i="6"/>
  <c r="I239" i="6" s="1"/>
  <c r="J238" i="6"/>
  <c r="I238" i="6"/>
  <c r="D238" i="6"/>
  <c r="D237" i="6"/>
  <c r="J237" i="6" s="1"/>
  <c r="D236" i="6"/>
  <c r="J236" i="6" s="1"/>
  <c r="J235" i="6"/>
  <c r="I235" i="6"/>
  <c r="D235" i="6"/>
  <c r="D234" i="6"/>
  <c r="D233" i="6"/>
  <c r="J232" i="6"/>
  <c r="D232" i="6"/>
  <c r="I232" i="6" s="1"/>
  <c r="I231" i="6"/>
  <c r="D231" i="6"/>
  <c r="J231" i="6" s="1"/>
  <c r="D230" i="6"/>
  <c r="I230" i="6" s="1"/>
  <c r="D229" i="6"/>
  <c r="J229" i="6" s="1"/>
  <c r="D228" i="6"/>
  <c r="J228" i="6" s="1"/>
  <c r="D227" i="6"/>
  <c r="J164" i="5" s="1"/>
  <c r="M164" i="5" s="1"/>
  <c r="D226" i="6"/>
  <c r="J226" i="6" s="1"/>
  <c r="J225" i="6"/>
  <c r="I225" i="6"/>
  <c r="D225" i="6"/>
  <c r="J224" i="6"/>
  <c r="I224" i="6"/>
  <c r="D224" i="6"/>
  <c r="J223" i="6"/>
  <c r="I223" i="6"/>
  <c r="D223" i="6"/>
  <c r="J222" i="6"/>
  <c r="I222" i="6"/>
  <c r="D222" i="6"/>
  <c r="I221" i="6"/>
  <c r="D221" i="6"/>
  <c r="J221" i="6" s="1"/>
  <c r="J220" i="6"/>
  <c r="I220" i="6"/>
  <c r="D220" i="6"/>
  <c r="J219" i="6"/>
  <c r="I219" i="6"/>
  <c r="D219" i="6"/>
  <c r="I218" i="6"/>
  <c r="D218" i="6"/>
  <c r="J218" i="6" s="1"/>
  <c r="J217" i="6"/>
  <c r="D217" i="6"/>
  <c r="I217" i="6" s="1"/>
  <c r="I216" i="6"/>
  <c r="D216" i="6"/>
  <c r="J216" i="6" s="1"/>
  <c r="D215" i="6"/>
  <c r="J214" i="6"/>
  <c r="I214" i="6"/>
  <c r="D214" i="6"/>
  <c r="I213" i="6"/>
  <c r="D213" i="6"/>
  <c r="J213" i="6" s="1"/>
  <c r="D212" i="6"/>
  <c r="I212" i="6" s="1"/>
  <c r="J211" i="6"/>
  <c r="I211" i="6"/>
  <c r="D211" i="6"/>
  <c r="J210" i="6"/>
  <c r="I210" i="6"/>
  <c r="D210" i="6"/>
  <c r="J209" i="6"/>
  <c r="I209" i="6"/>
  <c r="D209" i="6"/>
  <c r="J208" i="6"/>
  <c r="D208" i="6"/>
  <c r="I208" i="6" s="1"/>
  <c r="J207" i="6"/>
  <c r="I207" i="6"/>
  <c r="D207" i="6"/>
  <c r="J206" i="6"/>
  <c r="I206" i="6"/>
  <c r="D206" i="6"/>
  <c r="I205" i="6"/>
  <c r="D205" i="6"/>
  <c r="J205" i="6" s="1"/>
  <c r="D204" i="6"/>
  <c r="J204" i="6" s="1"/>
  <c r="D203" i="6"/>
  <c r="J203" i="6" s="1"/>
  <c r="D202" i="6"/>
  <c r="J202" i="6" s="1"/>
  <c r="J201" i="6"/>
  <c r="I201" i="6"/>
  <c r="D201" i="6"/>
  <c r="D200" i="6"/>
  <c r="J200" i="6" s="1"/>
  <c r="D199" i="6"/>
  <c r="J198" i="6"/>
  <c r="I198" i="6"/>
  <c r="D198" i="6"/>
  <c r="J197" i="6"/>
  <c r="D197" i="6"/>
  <c r="I197" i="6" s="1"/>
  <c r="D196" i="6"/>
  <c r="J195" i="6"/>
  <c r="I195" i="6"/>
  <c r="D195" i="6"/>
  <c r="J194" i="6"/>
  <c r="I194" i="6"/>
  <c r="D194" i="6"/>
  <c r="D193" i="6"/>
  <c r="D192" i="6"/>
  <c r="J192" i="6" s="1"/>
  <c r="J191" i="6"/>
  <c r="I191" i="6"/>
  <c r="D191" i="6"/>
  <c r="J190" i="6"/>
  <c r="I190" i="6"/>
  <c r="D190" i="6"/>
  <c r="I189" i="6"/>
  <c r="D189" i="6"/>
  <c r="J189" i="6" s="1"/>
  <c r="D188" i="6"/>
  <c r="I187" i="6"/>
  <c r="D187" i="6"/>
  <c r="J187" i="6" s="1"/>
  <c r="J186" i="6"/>
  <c r="D186" i="6"/>
  <c r="I186" i="6" s="1"/>
  <c r="J185" i="6"/>
  <c r="I185" i="6"/>
  <c r="D185" i="6"/>
  <c r="J254" i="5" s="1"/>
  <c r="M254" i="5" s="1"/>
  <c r="J184" i="6"/>
  <c r="I184" i="6"/>
  <c r="D184" i="6"/>
  <c r="I183" i="6"/>
  <c r="D183" i="6"/>
  <c r="J183" i="6" s="1"/>
  <c r="J182" i="6"/>
  <c r="I182" i="6"/>
  <c r="D182" i="6"/>
  <c r="J181" i="6"/>
  <c r="I181" i="6"/>
  <c r="D181" i="6"/>
  <c r="D180" i="6"/>
  <c r="J179" i="6"/>
  <c r="I179" i="6"/>
  <c r="D179" i="6"/>
  <c r="I178" i="6"/>
  <c r="D178" i="6"/>
  <c r="J178" i="6" s="1"/>
  <c r="J177" i="6"/>
  <c r="I177" i="6"/>
  <c r="D177" i="6"/>
  <c r="J176" i="6"/>
  <c r="I176" i="6"/>
  <c r="D176" i="6"/>
  <c r="I175" i="6"/>
  <c r="D175" i="6"/>
  <c r="J175" i="6" s="1"/>
  <c r="I174" i="6"/>
  <c r="D174" i="6"/>
  <c r="J174" i="6" s="1"/>
  <c r="J173" i="6"/>
  <c r="I173" i="6"/>
  <c r="D173" i="6"/>
  <c r="D172" i="6"/>
  <c r="I171" i="6"/>
  <c r="D171" i="6"/>
  <c r="J171" i="6" s="1"/>
  <c r="J170" i="6"/>
  <c r="I170" i="6"/>
  <c r="D170" i="6"/>
  <c r="J169" i="6"/>
  <c r="I169" i="6"/>
  <c r="D169" i="6"/>
  <c r="D168" i="6"/>
  <c r="J167" i="6"/>
  <c r="I167" i="6"/>
  <c r="D167" i="6"/>
  <c r="D166" i="6"/>
  <c r="J166" i="6" s="1"/>
  <c r="D165" i="6"/>
  <c r="J165" i="6" s="1"/>
  <c r="D164" i="6"/>
  <c r="I164" i="6" s="1"/>
  <c r="J163" i="6"/>
  <c r="D163" i="6"/>
  <c r="I163" i="6" s="1"/>
  <c r="D162" i="6"/>
  <c r="I161" i="6"/>
  <c r="D161" i="6"/>
  <c r="J161" i="6" s="1"/>
  <c r="D160" i="6"/>
  <c r="J160" i="6" s="1"/>
  <c r="J159" i="6"/>
  <c r="D159" i="6"/>
  <c r="I159" i="6" s="1"/>
  <c r="J158" i="6"/>
  <c r="I158" i="6"/>
  <c r="D158" i="6"/>
  <c r="J157" i="6"/>
  <c r="I157" i="6"/>
  <c r="D157" i="6"/>
  <c r="J156" i="6"/>
  <c r="I156" i="6"/>
  <c r="D156" i="6"/>
  <c r="J155" i="6"/>
  <c r="D155" i="6"/>
  <c r="I155" i="6" s="1"/>
  <c r="J154" i="6"/>
  <c r="I154" i="6"/>
  <c r="D154" i="6"/>
  <c r="J153" i="6"/>
  <c r="I153" i="6"/>
  <c r="D153" i="6"/>
  <c r="J152" i="6"/>
  <c r="I152" i="6"/>
  <c r="D152" i="6"/>
  <c r="J151" i="6"/>
  <c r="I151" i="6"/>
  <c r="D151" i="6"/>
  <c r="I150" i="6"/>
  <c r="D150" i="6"/>
  <c r="J150" i="6" s="1"/>
  <c r="D149" i="6"/>
  <c r="J149" i="6" s="1"/>
  <c r="D148" i="6"/>
  <c r="I148" i="6" s="1"/>
  <c r="D147" i="6"/>
  <c r="D146" i="6"/>
  <c r="J145" i="6"/>
  <c r="D145" i="6"/>
  <c r="J201" i="5" s="1"/>
  <c r="M201" i="5" s="1"/>
  <c r="J144" i="6"/>
  <c r="D144" i="6"/>
  <c r="I144" i="6" s="1"/>
  <c r="J143" i="6"/>
  <c r="I143" i="6"/>
  <c r="D143" i="6"/>
  <c r="J142" i="6"/>
  <c r="D142" i="6"/>
  <c r="I142" i="6" s="1"/>
  <c r="J141" i="6"/>
  <c r="I141" i="6"/>
  <c r="D141" i="6"/>
  <c r="D140" i="6"/>
  <c r="J139" i="6"/>
  <c r="I139" i="6"/>
  <c r="D139" i="6"/>
  <c r="J138" i="6"/>
  <c r="I138" i="6"/>
  <c r="D138" i="6"/>
  <c r="D137" i="6"/>
  <c r="D136" i="6"/>
  <c r="J136" i="6" s="1"/>
  <c r="J135" i="6"/>
  <c r="I135" i="6"/>
  <c r="D135" i="6"/>
  <c r="J134" i="6"/>
  <c r="I134" i="6"/>
  <c r="D134" i="6"/>
  <c r="J133" i="6"/>
  <c r="D133" i="6"/>
  <c r="I133" i="6" s="1"/>
  <c r="D132" i="6"/>
  <c r="I131" i="6"/>
  <c r="D131" i="6"/>
  <c r="J131" i="6" s="1"/>
  <c r="J130" i="6"/>
  <c r="D130" i="6"/>
  <c r="I130" i="6" s="1"/>
  <c r="J129" i="6"/>
  <c r="D129" i="6"/>
  <c r="I129" i="6" s="1"/>
  <c r="I128" i="6"/>
  <c r="D128" i="6"/>
  <c r="J128" i="6" s="1"/>
  <c r="D127" i="6"/>
  <c r="J127" i="6" s="1"/>
  <c r="J126" i="6"/>
  <c r="I126" i="6"/>
  <c r="D126" i="6"/>
  <c r="D125" i="6"/>
  <c r="J125" i="6" s="1"/>
  <c r="D124" i="6"/>
  <c r="J124" i="6" s="1"/>
  <c r="D123" i="6"/>
  <c r="D122" i="6"/>
  <c r="J122" i="6" s="1"/>
  <c r="D121" i="6"/>
  <c r="J121" i="6" s="1"/>
  <c r="D120" i="6"/>
  <c r="I120" i="6" s="1"/>
  <c r="J119" i="6"/>
  <c r="D119" i="6"/>
  <c r="I119" i="6" s="1"/>
  <c r="J118" i="6"/>
  <c r="I118" i="6"/>
  <c r="D118" i="6"/>
  <c r="D117" i="6"/>
  <c r="J117" i="6" s="1"/>
  <c r="D116" i="6"/>
  <c r="J116" i="6" s="1"/>
  <c r="D115" i="6"/>
  <c r="J115" i="6" s="1"/>
  <c r="J114" i="6"/>
  <c r="I114" i="6"/>
  <c r="D114" i="6"/>
  <c r="J113" i="6"/>
  <c r="I113" i="6"/>
  <c r="D113" i="6"/>
  <c r="D112" i="6"/>
  <c r="J112" i="6" s="1"/>
  <c r="D111" i="6"/>
  <c r="I110" i="6"/>
  <c r="D110" i="6"/>
  <c r="J110" i="6" s="1"/>
  <c r="I109" i="6"/>
  <c r="D109" i="6"/>
  <c r="J109" i="6" s="1"/>
  <c r="D108" i="6"/>
  <c r="J107" i="6"/>
  <c r="I107" i="6"/>
  <c r="D107" i="6"/>
  <c r="D106" i="6"/>
  <c r="J106" i="6" s="1"/>
  <c r="I105" i="6"/>
  <c r="D105" i="6"/>
  <c r="J105" i="6" s="1"/>
  <c r="J104" i="6"/>
  <c r="I104" i="6"/>
  <c r="D104" i="6"/>
  <c r="J103" i="6"/>
  <c r="I103" i="6"/>
  <c r="D103" i="6"/>
  <c r="J102" i="6"/>
  <c r="I102" i="6"/>
  <c r="D102" i="6"/>
  <c r="I101" i="6"/>
  <c r="D101" i="6"/>
  <c r="J101" i="6" s="1"/>
  <c r="D100" i="6"/>
  <c r="J99" i="6"/>
  <c r="I99" i="6"/>
  <c r="D99" i="6"/>
  <c r="J98" i="6"/>
  <c r="D98" i="6"/>
  <c r="I98" i="6" s="1"/>
  <c r="D97" i="6"/>
  <c r="J97" i="6" s="1"/>
  <c r="D96" i="6"/>
  <c r="J96" i="6" s="1"/>
  <c r="J95" i="6"/>
  <c r="D95" i="6"/>
  <c r="I95" i="6" s="1"/>
  <c r="J94" i="6"/>
  <c r="I94" i="6"/>
  <c r="D94" i="6"/>
  <c r="I93" i="6"/>
  <c r="D93" i="6"/>
  <c r="J93" i="6" s="1"/>
  <c r="D92" i="6"/>
  <c r="J91" i="6"/>
  <c r="I91" i="6"/>
  <c r="D91" i="6"/>
  <c r="J90" i="6"/>
  <c r="I90" i="6"/>
  <c r="D90" i="6"/>
  <c r="J89" i="6"/>
  <c r="I89" i="6"/>
  <c r="D89" i="6"/>
  <c r="J88" i="6"/>
  <c r="I88" i="6"/>
  <c r="D88" i="6"/>
  <c r="D87" i="6"/>
  <c r="D86" i="6"/>
  <c r="J86" i="6" s="1"/>
  <c r="D85" i="6"/>
  <c r="J85" i="6" s="1"/>
  <c r="J84" i="6"/>
  <c r="I84" i="6"/>
  <c r="D84" i="6"/>
  <c r="D83" i="6"/>
  <c r="J83" i="6" s="1"/>
  <c r="J82" i="6"/>
  <c r="D82" i="6"/>
  <c r="I82" i="6" s="1"/>
  <c r="J81" i="6"/>
  <c r="I81" i="6"/>
  <c r="D81" i="6"/>
  <c r="J80" i="6"/>
  <c r="D80" i="6"/>
  <c r="I80" i="6" s="1"/>
  <c r="D79" i="6"/>
  <c r="J79" i="6" s="1"/>
  <c r="D78" i="6"/>
  <c r="J78" i="6" s="1"/>
  <c r="D77" i="6"/>
  <c r="J77" i="6" s="1"/>
  <c r="J76" i="6"/>
  <c r="D76" i="6"/>
  <c r="I76" i="6" s="1"/>
  <c r="D75" i="6"/>
  <c r="J75" i="6" s="1"/>
  <c r="J74" i="6"/>
  <c r="I74" i="6"/>
  <c r="D74" i="6"/>
  <c r="J73" i="6"/>
  <c r="I73" i="6"/>
  <c r="D73" i="6"/>
  <c r="D72" i="6"/>
  <c r="J71" i="6"/>
  <c r="D71" i="6"/>
  <c r="I71" i="6" s="1"/>
  <c r="D70" i="6"/>
  <c r="J220" i="5" s="1"/>
  <c r="J69" i="6"/>
  <c r="I69" i="6"/>
  <c r="D69" i="6"/>
  <c r="I68" i="6"/>
  <c r="D68" i="6"/>
  <c r="J68" i="6" s="1"/>
  <c r="J67" i="6"/>
  <c r="I67" i="6"/>
  <c r="D67" i="6"/>
  <c r="I66" i="6"/>
  <c r="D66" i="6"/>
  <c r="J66" i="6" s="1"/>
  <c r="J65" i="6"/>
  <c r="D65" i="6"/>
  <c r="I65" i="6" s="1"/>
  <c r="J64" i="6"/>
  <c r="I64" i="6"/>
  <c r="D64" i="6"/>
  <c r="D63" i="6"/>
  <c r="J63" i="6" s="1"/>
  <c r="D62" i="6"/>
  <c r="J62" i="6" s="1"/>
  <c r="I61" i="6"/>
  <c r="D61" i="6"/>
  <c r="J61" i="6" s="1"/>
  <c r="I60" i="6"/>
  <c r="D60" i="6"/>
  <c r="J60" i="6" s="1"/>
  <c r="J59" i="6"/>
  <c r="I59" i="6"/>
  <c r="D59" i="6"/>
  <c r="J58" i="6"/>
  <c r="I58" i="6"/>
  <c r="D58" i="6"/>
  <c r="D57" i="6"/>
  <c r="J57" i="6" s="1"/>
  <c r="J56" i="6"/>
  <c r="I56" i="6"/>
  <c r="D56" i="6"/>
  <c r="J55" i="6"/>
  <c r="I55" i="6"/>
  <c r="D55" i="6"/>
  <c r="J54" i="6"/>
  <c r="D54" i="6"/>
  <c r="I54" i="6" s="1"/>
  <c r="J53" i="6"/>
  <c r="D53" i="6"/>
  <c r="I53" i="6" s="1"/>
  <c r="D52" i="6"/>
  <c r="J51" i="6"/>
  <c r="I51" i="6"/>
  <c r="D51" i="6"/>
  <c r="J50" i="6"/>
  <c r="I50" i="6"/>
  <c r="D50" i="6"/>
  <c r="J49" i="6"/>
  <c r="I49" i="6"/>
  <c r="D49" i="6"/>
  <c r="I48" i="6"/>
  <c r="D48" i="6"/>
  <c r="J48" i="6" s="1"/>
  <c r="J47" i="6"/>
  <c r="I47" i="6"/>
  <c r="D47" i="6"/>
  <c r="J46" i="6"/>
  <c r="I46" i="6"/>
  <c r="D46" i="6"/>
  <c r="D45" i="6"/>
  <c r="J45" i="6" s="1"/>
  <c r="J44" i="6"/>
  <c r="D44" i="6"/>
  <c r="I44" i="6" s="1"/>
  <c r="J43" i="6"/>
  <c r="I43" i="6"/>
  <c r="D43" i="6"/>
  <c r="I42" i="6"/>
  <c r="D42" i="6"/>
  <c r="J42" i="6" s="1"/>
  <c r="D41" i="6"/>
  <c r="D40" i="6"/>
  <c r="J40" i="6" s="1"/>
  <c r="D39" i="6"/>
  <c r="J39" i="6" s="1"/>
  <c r="J38" i="6"/>
  <c r="D38" i="6"/>
  <c r="I38" i="6" s="1"/>
  <c r="J37" i="6"/>
  <c r="I37" i="6"/>
  <c r="D37" i="6"/>
  <c r="I36" i="6"/>
  <c r="D36" i="6"/>
  <c r="J36" i="6" s="1"/>
  <c r="J35" i="6"/>
  <c r="I35" i="6"/>
  <c r="D35" i="6"/>
  <c r="D34" i="6"/>
  <c r="J34" i="6" s="1"/>
  <c r="D33" i="6"/>
  <c r="J33" i="6" s="1"/>
  <c r="J32" i="6"/>
  <c r="D32" i="6"/>
  <c r="I32" i="6" s="1"/>
  <c r="I31" i="6"/>
  <c r="D31" i="6"/>
  <c r="J31" i="6" s="1"/>
  <c r="I30" i="6"/>
  <c r="D30" i="6"/>
  <c r="J29" i="6"/>
  <c r="I29" i="6"/>
  <c r="D29" i="6"/>
  <c r="D28" i="6"/>
  <c r="J27" i="6"/>
  <c r="D27" i="6"/>
  <c r="I27" i="6" s="1"/>
  <c r="J26" i="6"/>
  <c r="I26" i="6"/>
  <c r="D26" i="6"/>
  <c r="J236" i="5" s="1"/>
  <c r="J25" i="6"/>
  <c r="I25" i="6"/>
  <c r="D25" i="6"/>
  <c r="D24" i="6"/>
  <c r="D23" i="6"/>
  <c r="I23" i="6" s="1"/>
  <c r="J22" i="6"/>
  <c r="I22" i="6"/>
  <c r="D22" i="6"/>
  <c r="J21" i="6"/>
  <c r="I21" i="6"/>
  <c r="D21" i="6"/>
  <c r="J20" i="6"/>
  <c r="I20" i="6"/>
  <c r="D20" i="6"/>
  <c r="J19" i="6"/>
  <c r="D19" i="6"/>
  <c r="J173" i="5" s="1"/>
  <c r="J18" i="6"/>
  <c r="I18" i="6"/>
  <c r="D18" i="6"/>
  <c r="J241" i="5" s="1"/>
  <c r="M241" i="5" s="1"/>
  <c r="I17" i="6"/>
  <c r="D17" i="6"/>
  <c r="J17" i="6" s="1"/>
  <c r="D16" i="6"/>
  <c r="D15" i="6"/>
  <c r="J15" i="6" s="1"/>
  <c r="J14" i="6"/>
  <c r="I14" i="6"/>
  <c r="D14" i="6"/>
  <c r="D13" i="6"/>
  <c r="J13" i="6" s="1"/>
  <c r="J12" i="6"/>
  <c r="I12" i="6"/>
  <c r="D12" i="6"/>
  <c r="J11" i="6"/>
  <c r="I11" i="6"/>
  <c r="D11" i="6"/>
  <c r="I10" i="6"/>
  <c r="D10" i="6"/>
  <c r="J10" i="6" s="1"/>
  <c r="J9" i="6"/>
  <c r="I9" i="6"/>
  <c r="D9" i="6"/>
  <c r="D8" i="6"/>
  <c r="J8" i="6" s="1"/>
  <c r="J7" i="6"/>
  <c r="I7" i="6"/>
  <c r="D7" i="6"/>
  <c r="J6" i="6"/>
  <c r="I6" i="6"/>
  <c r="D6" i="6"/>
  <c r="D5" i="6"/>
  <c r="J4" i="6"/>
  <c r="I4" i="6"/>
  <c r="D4" i="6"/>
  <c r="D3" i="6"/>
  <c r="J2" i="6"/>
  <c r="D2" i="6"/>
  <c r="T318" i="5"/>
  <c r="N318" i="5"/>
  <c r="L318" i="5"/>
  <c r="G318" i="5"/>
  <c r="F318" i="5"/>
  <c r="E318" i="5"/>
  <c r="D318" i="5"/>
  <c r="T317" i="5"/>
  <c r="M317" i="5"/>
  <c r="O317" i="5" s="1"/>
  <c r="P317" i="5" s="1"/>
  <c r="L317" i="5"/>
  <c r="N317" i="5" s="1"/>
  <c r="J317" i="5"/>
  <c r="G317" i="5"/>
  <c r="F317" i="5"/>
  <c r="E317" i="5"/>
  <c r="D317" i="5"/>
  <c r="T316" i="5"/>
  <c r="L316" i="5"/>
  <c r="N316" i="5" s="1"/>
  <c r="J316" i="5"/>
  <c r="M316" i="5" s="1"/>
  <c r="O316" i="5" s="1"/>
  <c r="G316" i="5"/>
  <c r="F316" i="5"/>
  <c r="E316" i="5"/>
  <c r="D316" i="5"/>
  <c r="T315" i="5"/>
  <c r="M315" i="5"/>
  <c r="O315" i="5" s="1"/>
  <c r="L315" i="5"/>
  <c r="N315" i="5" s="1"/>
  <c r="J315" i="5"/>
  <c r="G315" i="5"/>
  <c r="F315" i="5"/>
  <c r="E315" i="5"/>
  <c r="D315" i="5"/>
  <c r="T314" i="5"/>
  <c r="L314" i="5"/>
  <c r="N314" i="5" s="1"/>
  <c r="P314" i="5" s="1"/>
  <c r="J314" i="5"/>
  <c r="M314" i="5" s="1"/>
  <c r="O314" i="5" s="1"/>
  <c r="G314" i="5"/>
  <c r="F314" i="5"/>
  <c r="E314" i="5"/>
  <c r="D314" i="5"/>
  <c r="T313" i="5"/>
  <c r="N313" i="5"/>
  <c r="M313" i="5"/>
  <c r="O313" i="5" s="1"/>
  <c r="L313" i="5"/>
  <c r="G313" i="5"/>
  <c r="F313" i="5"/>
  <c r="E313" i="5"/>
  <c r="D313" i="5"/>
  <c r="T312" i="5"/>
  <c r="L312" i="5"/>
  <c r="N312" i="5" s="1"/>
  <c r="P312" i="5" s="1"/>
  <c r="G312" i="5"/>
  <c r="F312" i="5"/>
  <c r="E312" i="5"/>
  <c r="D312" i="5"/>
  <c r="T311" i="5"/>
  <c r="R311" i="5"/>
  <c r="P311" i="5"/>
  <c r="Q311" i="5" s="1"/>
  <c r="L311" i="5"/>
  <c r="N311" i="5" s="1"/>
  <c r="J311" i="5"/>
  <c r="M311" i="5" s="1"/>
  <c r="O311" i="5" s="1"/>
  <c r="G311" i="5"/>
  <c r="F311" i="5"/>
  <c r="E311" i="5"/>
  <c r="D311" i="5"/>
  <c r="T310" i="5"/>
  <c r="P310" i="5"/>
  <c r="N310" i="5"/>
  <c r="L310" i="5"/>
  <c r="J310" i="5"/>
  <c r="M310" i="5" s="1"/>
  <c r="O310" i="5" s="1"/>
  <c r="G310" i="5"/>
  <c r="F310" i="5"/>
  <c r="E310" i="5"/>
  <c r="D310" i="5"/>
  <c r="T309" i="5"/>
  <c r="L309" i="5"/>
  <c r="N309" i="5" s="1"/>
  <c r="G309" i="5"/>
  <c r="F309" i="5"/>
  <c r="E309" i="5"/>
  <c r="D309" i="5"/>
  <c r="T308" i="5"/>
  <c r="N308" i="5"/>
  <c r="L308" i="5"/>
  <c r="G308" i="5"/>
  <c r="F308" i="5"/>
  <c r="E308" i="5"/>
  <c r="D308" i="5"/>
  <c r="T307" i="5"/>
  <c r="N307" i="5"/>
  <c r="L307" i="5"/>
  <c r="G307" i="5"/>
  <c r="F307" i="5"/>
  <c r="E307" i="5"/>
  <c r="D307" i="5"/>
  <c r="T306" i="5"/>
  <c r="M306" i="5"/>
  <c r="L306" i="5"/>
  <c r="N306" i="5" s="1"/>
  <c r="J306" i="5"/>
  <c r="G306" i="5"/>
  <c r="F306" i="5"/>
  <c r="E306" i="5"/>
  <c r="D306" i="5"/>
  <c r="T305" i="5"/>
  <c r="N305" i="5"/>
  <c r="L305" i="5"/>
  <c r="G305" i="5"/>
  <c r="F305" i="5"/>
  <c r="E305" i="5"/>
  <c r="D305" i="5"/>
  <c r="T304" i="5"/>
  <c r="N304" i="5"/>
  <c r="L304" i="5"/>
  <c r="J304" i="5"/>
  <c r="M304" i="5" s="1"/>
  <c r="O304" i="5" s="1"/>
  <c r="G304" i="5"/>
  <c r="F304" i="5"/>
  <c r="E304" i="5"/>
  <c r="D304" i="5"/>
  <c r="T303" i="5"/>
  <c r="N303" i="5"/>
  <c r="M303" i="5"/>
  <c r="O303" i="5" s="1"/>
  <c r="L303" i="5"/>
  <c r="J303" i="5"/>
  <c r="G303" i="5"/>
  <c r="F303" i="5"/>
  <c r="E303" i="5"/>
  <c r="D303" i="5"/>
  <c r="T302" i="5"/>
  <c r="L302" i="5"/>
  <c r="N302" i="5" s="1"/>
  <c r="G302" i="5"/>
  <c r="F302" i="5"/>
  <c r="E302" i="5"/>
  <c r="D302" i="5"/>
  <c r="T301" i="5"/>
  <c r="P301" i="5"/>
  <c r="R301" i="5" s="1"/>
  <c r="O301" i="5"/>
  <c r="L301" i="5"/>
  <c r="N301" i="5" s="1"/>
  <c r="G301" i="5"/>
  <c r="F301" i="5"/>
  <c r="E301" i="5"/>
  <c r="D301" i="5"/>
  <c r="T300" i="5"/>
  <c r="L300" i="5"/>
  <c r="N300" i="5" s="1"/>
  <c r="J300" i="5"/>
  <c r="M300" i="5" s="1"/>
  <c r="G300" i="5"/>
  <c r="F300" i="5"/>
  <c r="E300" i="5"/>
  <c r="D300" i="5"/>
  <c r="T299" i="5"/>
  <c r="L299" i="5"/>
  <c r="N299" i="5" s="1"/>
  <c r="J299" i="5"/>
  <c r="M299" i="5" s="1"/>
  <c r="O299" i="5" s="1"/>
  <c r="G299" i="5"/>
  <c r="F299" i="5"/>
  <c r="E299" i="5"/>
  <c r="D299" i="5"/>
  <c r="T298" i="5"/>
  <c r="L298" i="5"/>
  <c r="N298" i="5" s="1"/>
  <c r="G298" i="5"/>
  <c r="F298" i="5"/>
  <c r="E298" i="5"/>
  <c r="D298" i="5"/>
  <c r="T297" i="5"/>
  <c r="P297" i="5"/>
  <c r="N297" i="5"/>
  <c r="M297" i="5"/>
  <c r="O297" i="5" s="1"/>
  <c r="L297" i="5"/>
  <c r="G297" i="5"/>
  <c r="F297" i="5"/>
  <c r="E297" i="5"/>
  <c r="D297" i="5"/>
  <c r="T296" i="5"/>
  <c r="N296" i="5"/>
  <c r="L296" i="5"/>
  <c r="G296" i="5"/>
  <c r="F296" i="5"/>
  <c r="E296" i="5"/>
  <c r="D296" i="5"/>
  <c r="T295" i="5"/>
  <c r="N295" i="5"/>
  <c r="L295" i="5"/>
  <c r="J295" i="5"/>
  <c r="M295" i="5" s="1"/>
  <c r="O295" i="5" s="1"/>
  <c r="G295" i="5"/>
  <c r="F295" i="5"/>
  <c r="E295" i="5"/>
  <c r="D295" i="5"/>
  <c r="T294" i="5"/>
  <c r="L294" i="5"/>
  <c r="N294" i="5" s="1"/>
  <c r="G294" i="5"/>
  <c r="F294" i="5"/>
  <c r="E294" i="5"/>
  <c r="D294" i="5"/>
  <c r="T293" i="5"/>
  <c r="M293" i="5"/>
  <c r="L293" i="5"/>
  <c r="N293" i="5" s="1"/>
  <c r="J293" i="5"/>
  <c r="G293" i="5"/>
  <c r="F293" i="5"/>
  <c r="E293" i="5"/>
  <c r="D293" i="5"/>
  <c r="T292" i="5"/>
  <c r="N292" i="5"/>
  <c r="L292" i="5"/>
  <c r="J292" i="5"/>
  <c r="M292" i="5" s="1"/>
  <c r="O292" i="5" s="1"/>
  <c r="G292" i="5"/>
  <c r="F292" i="5"/>
  <c r="E292" i="5"/>
  <c r="D292" i="5"/>
  <c r="T291" i="5"/>
  <c r="N291" i="5"/>
  <c r="L291" i="5"/>
  <c r="J291" i="5"/>
  <c r="M291" i="5" s="1"/>
  <c r="G291" i="5"/>
  <c r="F291" i="5"/>
  <c r="E291" i="5"/>
  <c r="D291" i="5"/>
  <c r="T290" i="5"/>
  <c r="L290" i="5"/>
  <c r="N290" i="5" s="1"/>
  <c r="J290" i="5"/>
  <c r="M290" i="5" s="1"/>
  <c r="G290" i="5"/>
  <c r="F290" i="5"/>
  <c r="E290" i="5"/>
  <c r="D290" i="5"/>
  <c r="T289" i="5"/>
  <c r="L289" i="5"/>
  <c r="N289" i="5" s="1"/>
  <c r="G289" i="5"/>
  <c r="F289" i="5"/>
  <c r="E289" i="5"/>
  <c r="D289" i="5"/>
  <c r="T288" i="5"/>
  <c r="N288" i="5"/>
  <c r="M288" i="5"/>
  <c r="L288" i="5"/>
  <c r="J288" i="5"/>
  <c r="G288" i="5"/>
  <c r="F288" i="5"/>
  <c r="E288" i="5"/>
  <c r="D288" i="5"/>
  <c r="T287" i="5"/>
  <c r="L287" i="5"/>
  <c r="N287" i="5" s="1"/>
  <c r="J287" i="5"/>
  <c r="M287" i="5" s="1"/>
  <c r="O287" i="5" s="1"/>
  <c r="G287" i="5"/>
  <c r="F287" i="5"/>
  <c r="E287" i="5"/>
  <c r="D287" i="5"/>
  <c r="T286" i="5"/>
  <c r="N286" i="5"/>
  <c r="M286" i="5"/>
  <c r="L286" i="5"/>
  <c r="J286" i="5"/>
  <c r="G286" i="5"/>
  <c r="F286" i="5"/>
  <c r="E286" i="5"/>
  <c r="D286" i="5"/>
  <c r="T285" i="5"/>
  <c r="L285" i="5"/>
  <c r="N285" i="5" s="1"/>
  <c r="J285" i="5"/>
  <c r="M285" i="5" s="1"/>
  <c r="G285" i="5"/>
  <c r="F285" i="5"/>
  <c r="E285" i="5"/>
  <c r="D285" i="5"/>
  <c r="T284" i="5"/>
  <c r="L284" i="5"/>
  <c r="N284" i="5" s="1"/>
  <c r="G284" i="5"/>
  <c r="F284" i="5"/>
  <c r="E284" i="5"/>
  <c r="D284" i="5"/>
  <c r="T283" i="5"/>
  <c r="L283" i="5"/>
  <c r="N283" i="5" s="1"/>
  <c r="J283" i="5"/>
  <c r="M283" i="5" s="1"/>
  <c r="G283" i="5"/>
  <c r="F283" i="5"/>
  <c r="E283" i="5"/>
  <c r="D283" i="5"/>
  <c r="T282" i="5"/>
  <c r="L282" i="5"/>
  <c r="N282" i="5" s="1"/>
  <c r="J282" i="5"/>
  <c r="M282" i="5" s="1"/>
  <c r="G282" i="5"/>
  <c r="F282" i="5"/>
  <c r="E282" i="5"/>
  <c r="D282" i="5"/>
  <c r="T281" i="5"/>
  <c r="N281" i="5"/>
  <c r="M281" i="5"/>
  <c r="L281" i="5"/>
  <c r="J281" i="5"/>
  <c r="G281" i="5"/>
  <c r="F281" i="5"/>
  <c r="E281" i="5"/>
  <c r="D281" i="5"/>
  <c r="T280" i="5"/>
  <c r="N280" i="5"/>
  <c r="M280" i="5"/>
  <c r="L280" i="5"/>
  <c r="J280" i="5"/>
  <c r="G280" i="5"/>
  <c r="F280" i="5"/>
  <c r="E280" i="5"/>
  <c r="D280" i="5"/>
  <c r="T279" i="5"/>
  <c r="L279" i="5"/>
  <c r="N279" i="5" s="1"/>
  <c r="J279" i="5"/>
  <c r="M279" i="5" s="1"/>
  <c r="G279" i="5"/>
  <c r="F279" i="5"/>
  <c r="E279" i="5"/>
  <c r="D279" i="5"/>
  <c r="T278" i="5"/>
  <c r="L278" i="5"/>
  <c r="N278" i="5" s="1"/>
  <c r="J278" i="5"/>
  <c r="M278" i="5" s="1"/>
  <c r="O278" i="5" s="1"/>
  <c r="P278" i="5" s="1"/>
  <c r="G278" i="5"/>
  <c r="F278" i="5"/>
  <c r="E278" i="5"/>
  <c r="D278" i="5"/>
  <c r="T277" i="5"/>
  <c r="L277" i="5"/>
  <c r="N277" i="5" s="1"/>
  <c r="G277" i="5"/>
  <c r="F277" i="5"/>
  <c r="E277" i="5"/>
  <c r="D277" i="5"/>
  <c r="T276" i="5"/>
  <c r="N276" i="5"/>
  <c r="L276" i="5"/>
  <c r="J276" i="5"/>
  <c r="M276" i="5" s="1"/>
  <c r="G276" i="5"/>
  <c r="F276" i="5"/>
  <c r="E276" i="5"/>
  <c r="D276" i="5"/>
  <c r="T275" i="5"/>
  <c r="N275" i="5"/>
  <c r="L275" i="5"/>
  <c r="J275" i="5"/>
  <c r="M275" i="5" s="1"/>
  <c r="G275" i="5"/>
  <c r="F275" i="5"/>
  <c r="E275" i="5"/>
  <c r="D275" i="5"/>
  <c r="T274" i="5"/>
  <c r="N274" i="5"/>
  <c r="L274" i="5"/>
  <c r="G274" i="5"/>
  <c r="F274" i="5"/>
  <c r="E274" i="5"/>
  <c r="D274" i="5"/>
  <c r="T273" i="5"/>
  <c r="L273" i="5"/>
  <c r="N273" i="5" s="1"/>
  <c r="G273" i="5"/>
  <c r="F273" i="5"/>
  <c r="E273" i="5"/>
  <c r="D273" i="5"/>
  <c r="L272" i="5"/>
  <c r="G272" i="5"/>
  <c r="F272" i="5"/>
  <c r="E272" i="5"/>
  <c r="D272" i="5"/>
  <c r="T272" i="5" s="1"/>
  <c r="T271" i="5"/>
  <c r="L271" i="5"/>
  <c r="N271" i="5" s="1"/>
  <c r="J271" i="5"/>
  <c r="M271" i="5" s="1"/>
  <c r="G271" i="5"/>
  <c r="F271" i="5"/>
  <c r="E271" i="5"/>
  <c r="D271" i="5"/>
  <c r="T270" i="5"/>
  <c r="N270" i="5"/>
  <c r="M270" i="5"/>
  <c r="L270" i="5"/>
  <c r="J270" i="5"/>
  <c r="G270" i="5"/>
  <c r="F270" i="5"/>
  <c r="E270" i="5"/>
  <c r="D270" i="5"/>
  <c r="T269" i="5"/>
  <c r="N269" i="5"/>
  <c r="L269" i="5"/>
  <c r="G269" i="5"/>
  <c r="F269" i="5"/>
  <c r="E269" i="5"/>
  <c r="D269" i="5"/>
  <c r="T268" i="5"/>
  <c r="L268" i="5"/>
  <c r="N268" i="5" s="1"/>
  <c r="P268" i="5" s="1"/>
  <c r="J268" i="5"/>
  <c r="M268" i="5" s="1"/>
  <c r="O268" i="5" s="1"/>
  <c r="G268" i="5"/>
  <c r="F268" i="5"/>
  <c r="E268" i="5"/>
  <c r="D268" i="5"/>
  <c r="T267" i="5"/>
  <c r="L267" i="5"/>
  <c r="N267" i="5" s="1"/>
  <c r="J267" i="5"/>
  <c r="M267" i="5" s="1"/>
  <c r="O267" i="5" s="1"/>
  <c r="G267" i="5"/>
  <c r="F267" i="5"/>
  <c r="E267" i="5"/>
  <c r="D267" i="5"/>
  <c r="T266" i="5"/>
  <c r="L266" i="5"/>
  <c r="N266" i="5" s="1"/>
  <c r="J266" i="5"/>
  <c r="M266" i="5" s="1"/>
  <c r="O266" i="5" s="1"/>
  <c r="G266" i="5"/>
  <c r="F266" i="5"/>
  <c r="E266" i="5"/>
  <c r="D266" i="5"/>
  <c r="T265" i="5"/>
  <c r="M265" i="5"/>
  <c r="L265" i="5"/>
  <c r="N265" i="5" s="1"/>
  <c r="J265" i="5"/>
  <c r="G265" i="5"/>
  <c r="F265" i="5"/>
  <c r="E265" i="5"/>
  <c r="D265" i="5"/>
  <c r="T264" i="5"/>
  <c r="N264" i="5"/>
  <c r="L264" i="5"/>
  <c r="J264" i="5"/>
  <c r="M264" i="5" s="1"/>
  <c r="G264" i="5"/>
  <c r="F264" i="5"/>
  <c r="E264" i="5"/>
  <c r="D264" i="5"/>
  <c r="T263" i="5"/>
  <c r="N263" i="5"/>
  <c r="L263" i="5"/>
  <c r="J263" i="5"/>
  <c r="M263" i="5" s="1"/>
  <c r="O263" i="5" s="1"/>
  <c r="G263" i="5"/>
  <c r="F263" i="5"/>
  <c r="E263" i="5"/>
  <c r="D263" i="5"/>
  <c r="T262" i="5"/>
  <c r="L262" i="5"/>
  <c r="N262" i="5" s="1"/>
  <c r="J262" i="5"/>
  <c r="M262" i="5" s="1"/>
  <c r="G262" i="5"/>
  <c r="F262" i="5"/>
  <c r="E262" i="5"/>
  <c r="D262" i="5"/>
  <c r="T261" i="5"/>
  <c r="M261" i="5"/>
  <c r="L261" i="5"/>
  <c r="N261" i="5" s="1"/>
  <c r="J261" i="5"/>
  <c r="G261" i="5"/>
  <c r="F261" i="5"/>
  <c r="E261" i="5"/>
  <c r="D261" i="5"/>
  <c r="T260" i="5"/>
  <c r="N260" i="5"/>
  <c r="L260" i="5"/>
  <c r="G260" i="5"/>
  <c r="F260" i="5"/>
  <c r="E260" i="5"/>
  <c r="D260" i="5"/>
  <c r="T259" i="5"/>
  <c r="O259" i="5"/>
  <c r="L259" i="5"/>
  <c r="N259" i="5" s="1"/>
  <c r="G259" i="5"/>
  <c r="F259" i="5"/>
  <c r="E259" i="5"/>
  <c r="D259" i="5"/>
  <c r="T258" i="5"/>
  <c r="Q258" i="5"/>
  <c r="P258" i="5"/>
  <c r="R258" i="5" s="1"/>
  <c r="N258" i="5"/>
  <c r="M258" i="5"/>
  <c r="O258" i="5" s="1"/>
  <c r="L258" i="5"/>
  <c r="J258" i="5"/>
  <c r="G258" i="5"/>
  <c r="F258" i="5"/>
  <c r="E258" i="5"/>
  <c r="D258" i="5"/>
  <c r="T257" i="5"/>
  <c r="M257" i="5"/>
  <c r="L257" i="5"/>
  <c r="N257" i="5" s="1"/>
  <c r="J257" i="5"/>
  <c r="G257" i="5"/>
  <c r="F257" i="5"/>
  <c r="E257" i="5"/>
  <c r="D257" i="5"/>
  <c r="O256" i="5"/>
  <c r="M256" i="5"/>
  <c r="L256" i="5"/>
  <c r="J256" i="5"/>
  <c r="G256" i="5"/>
  <c r="F256" i="5"/>
  <c r="E256" i="5"/>
  <c r="D256" i="5"/>
  <c r="T256" i="5" s="1"/>
  <c r="T255" i="5"/>
  <c r="L255" i="5"/>
  <c r="N255" i="5" s="1"/>
  <c r="J255" i="5"/>
  <c r="M255" i="5" s="1"/>
  <c r="G255" i="5"/>
  <c r="F255" i="5"/>
  <c r="E255" i="5"/>
  <c r="D255" i="5"/>
  <c r="T254" i="5"/>
  <c r="L254" i="5"/>
  <c r="N254" i="5" s="1"/>
  <c r="G254" i="5"/>
  <c r="F254" i="5"/>
  <c r="E254" i="5"/>
  <c r="D254" i="5"/>
  <c r="M253" i="5"/>
  <c r="L253" i="5"/>
  <c r="J253" i="5"/>
  <c r="G253" i="5"/>
  <c r="F253" i="5"/>
  <c r="E253" i="5"/>
  <c r="D253" i="5"/>
  <c r="T253" i="5" s="1"/>
  <c r="L252" i="5"/>
  <c r="G252" i="5"/>
  <c r="F252" i="5"/>
  <c r="E252" i="5"/>
  <c r="D252" i="5"/>
  <c r="T252" i="5" s="1"/>
  <c r="T251" i="5"/>
  <c r="N251" i="5"/>
  <c r="M251" i="5"/>
  <c r="L251" i="5"/>
  <c r="J251" i="5"/>
  <c r="G251" i="5"/>
  <c r="F251" i="5"/>
  <c r="E251" i="5"/>
  <c r="D251" i="5"/>
  <c r="M250" i="5"/>
  <c r="O250" i="5" s="1"/>
  <c r="L250" i="5"/>
  <c r="J250" i="5"/>
  <c r="G250" i="5"/>
  <c r="F250" i="5"/>
  <c r="E250" i="5"/>
  <c r="D250" i="5"/>
  <c r="T250" i="5" s="1"/>
  <c r="T249" i="5"/>
  <c r="N249" i="5"/>
  <c r="L249" i="5"/>
  <c r="J249" i="5"/>
  <c r="M249" i="5" s="1"/>
  <c r="G249" i="5"/>
  <c r="F249" i="5"/>
  <c r="E249" i="5"/>
  <c r="D249" i="5"/>
  <c r="L248" i="5"/>
  <c r="J248" i="5"/>
  <c r="M248" i="5" s="1"/>
  <c r="G248" i="5"/>
  <c r="F248" i="5"/>
  <c r="E248" i="5"/>
  <c r="D248" i="5"/>
  <c r="T248" i="5" s="1"/>
  <c r="L247" i="5"/>
  <c r="J247" i="5"/>
  <c r="M247" i="5" s="1"/>
  <c r="O247" i="5" s="1"/>
  <c r="G247" i="5"/>
  <c r="F247" i="5"/>
  <c r="E247" i="5"/>
  <c r="D247" i="5"/>
  <c r="T247" i="5" s="1"/>
  <c r="T246" i="5"/>
  <c r="N246" i="5"/>
  <c r="L246" i="5"/>
  <c r="G246" i="5"/>
  <c r="F246" i="5"/>
  <c r="E246" i="5"/>
  <c r="D246" i="5"/>
  <c r="T245" i="5"/>
  <c r="L245" i="5"/>
  <c r="N245" i="5" s="1"/>
  <c r="G245" i="5"/>
  <c r="F245" i="5"/>
  <c r="E245" i="5"/>
  <c r="D245" i="5"/>
  <c r="T244" i="5"/>
  <c r="N244" i="5"/>
  <c r="L244" i="5"/>
  <c r="J244" i="5"/>
  <c r="M244" i="5" s="1"/>
  <c r="G244" i="5"/>
  <c r="F244" i="5"/>
  <c r="E244" i="5"/>
  <c r="D244" i="5"/>
  <c r="T243" i="5"/>
  <c r="M243" i="5"/>
  <c r="L243" i="5"/>
  <c r="N243" i="5" s="1"/>
  <c r="J243" i="5"/>
  <c r="G243" i="5"/>
  <c r="F243" i="5"/>
  <c r="E243" i="5"/>
  <c r="D243" i="5"/>
  <c r="T242" i="5"/>
  <c r="N242" i="5"/>
  <c r="L242" i="5"/>
  <c r="G242" i="5"/>
  <c r="F242" i="5"/>
  <c r="E242" i="5"/>
  <c r="D242" i="5"/>
  <c r="T241" i="5"/>
  <c r="L241" i="5"/>
  <c r="N241" i="5" s="1"/>
  <c r="G241" i="5"/>
  <c r="F241" i="5"/>
  <c r="E241" i="5"/>
  <c r="D241" i="5"/>
  <c r="T240" i="5"/>
  <c r="N240" i="5"/>
  <c r="L240" i="5"/>
  <c r="J240" i="5"/>
  <c r="M240" i="5" s="1"/>
  <c r="G240" i="5"/>
  <c r="F240" i="5"/>
  <c r="E240" i="5"/>
  <c r="D240" i="5"/>
  <c r="T239" i="5"/>
  <c r="M239" i="5"/>
  <c r="L239" i="5"/>
  <c r="N239" i="5" s="1"/>
  <c r="J239" i="5"/>
  <c r="G239" i="5"/>
  <c r="F239" i="5"/>
  <c r="E239" i="5"/>
  <c r="D239" i="5"/>
  <c r="T238" i="5"/>
  <c r="L238" i="5"/>
  <c r="N238" i="5" s="1"/>
  <c r="J238" i="5"/>
  <c r="M238" i="5" s="1"/>
  <c r="G238" i="5"/>
  <c r="F238" i="5"/>
  <c r="E238" i="5"/>
  <c r="D238" i="5"/>
  <c r="T237" i="5"/>
  <c r="N237" i="5"/>
  <c r="L237" i="5"/>
  <c r="J237" i="5"/>
  <c r="M237" i="5" s="1"/>
  <c r="G237" i="5"/>
  <c r="F237" i="5"/>
  <c r="E237" i="5"/>
  <c r="D237" i="5"/>
  <c r="T236" i="5"/>
  <c r="N236" i="5"/>
  <c r="M236" i="5"/>
  <c r="L236" i="5"/>
  <c r="G236" i="5"/>
  <c r="F236" i="5"/>
  <c r="E236" i="5"/>
  <c r="D236" i="5"/>
  <c r="L235" i="5"/>
  <c r="J235" i="5"/>
  <c r="M235" i="5" s="1"/>
  <c r="G235" i="5"/>
  <c r="F235" i="5"/>
  <c r="E235" i="5"/>
  <c r="D235" i="5"/>
  <c r="T235" i="5" s="1"/>
  <c r="O234" i="5"/>
  <c r="M234" i="5"/>
  <c r="L234" i="5"/>
  <c r="J234" i="5"/>
  <c r="G234" i="5"/>
  <c r="F234" i="5"/>
  <c r="E234" i="5"/>
  <c r="D234" i="5"/>
  <c r="T234" i="5" s="1"/>
  <c r="M233" i="5"/>
  <c r="L233" i="5"/>
  <c r="J233" i="5"/>
  <c r="G233" i="5"/>
  <c r="F233" i="5"/>
  <c r="E233" i="5"/>
  <c r="D233" i="5"/>
  <c r="T233" i="5" s="1"/>
  <c r="L232" i="5"/>
  <c r="J232" i="5"/>
  <c r="M232" i="5" s="1"/>
  <c r="G232" i="5"/>
  <c r="F232" i="5"/>
  <c r="E232" i="5"/>
  <c r="D232" i="5"/>
  <c r="T232" i="5" s="1"/>
  <c r="T231" i="5"/>
  <c r="N231" i="5"/>
  <c r="L231" i="5"/>
  <c r="J231" i="5"/>
  <c r="M231" i="5" s="1"/>
  <c r="G231" i="5"/>
  <c r="F231" i="5"/>
  <c r="E231" i="5"/>
  <c r="D231" i="5"/>
  <c r="L230" i="5"/>
  <c r="J230" i="5"/>
  <c r="M230" i="5" s="1"/>
  <c r="G230" i="5"/>
  <c r="F230" i="5"/>
  <c r="E230" i="5"/>
  <c r="D230" i="5"/>
  <c r="T230" i="5" s="1"/>
  <c r="M229" i="5"/>
  <c r="L229" i="5"/>
  <c r="J229" i="5"/>
  <c r="G229" i="5"/>
  <c r="F229" i="5"/>
  <c r="E229" i="5"/>
  <c r="D229" i="5"/>
  <c r="T229" i="5" s="1"/>
  <c r="T228" i="5"/>
  <c r="L228" i="5"/>
  <c r="N228" i="5" s="1"/>
  <c r="G228" i="5"/>
  <c r="F228" i="5"/>
  <c r="E228" i="5"/>
  <c r="D228" i="5"/>
  <c r="L227" i="5"/>
  <c r="J227" i="5"/>
  <c r="M227" i="5" s="1"/>
  <c r="G227" i="5"/>
  <c r="F227" i="5"/>
  <c r="E227" i="5"/>
  <c r="D227" i="5"/>
  <c r="T227" i="5" s="1"/>
  <c r="M226" i="5"/>
  <c r="L226" i="5"/>
  <c r="J226" i="5"/>
  <c r="G226" i="5"/>
  <c r="F226" i="5"/>
  <c r="E226" i="5"/>
  <c r="D226" i="5"/>
  <c r="T226" i="5" s="1"/>
  <c r="T225" i="5"/>
  <c r="N225" i="5"/>
  <c r="M225" i="5"/>
  <c r="L225" i="5"/>
  <c r="J225" i="5"/>
  <c r="G225" i="5"/>
  <c r="F225" i="5"/>
  <c r="E225" i="5"/>
  <c r="D225" i="5"/>
  <c r="T224" i="5"/>
  <c r="N224" i="5"/>
  <c r="M224" i="5"/>
  <c r="L224" i="5"/>
  <c r="J224" i="5"/>
  <c r="G224" i="5"/>
  <c r="F224" i="5"/>
  <c r="E224" i="5"/>
  <c r="D224" i="5"/>
  <c r="L223" i="5"/>
  <c r="J223" i="5"/>
  <c r="M223" i="5" s="1"/>
  <c r="G223" i="5"/>
  <c r="F223" i="5"/>
  <c r="E223" i="5"/>
  <c r="D223" i="5"/>
  <c r="T223" i="5" s="1"/>
  <c r="T222" i="5"/>
  <c r="M222" i="5"/>
  <c r="L222" i="5"/>
  <c r="J222" i="5"/>
  <c r="G222" i="5"/>
  <c r="F222" i="5"/>
  <c r="E222" i="5"/>
  <c r="D222" i="5"/>
  <c r="T221" i="5"/>
  <c r="N221" i="5"/>
  <c r="M221" i="5"/>
  <c r="L221" i="5"/>
  <c r="J221" i="5"/>
  <c r="G221" i="5"/>
  <c r="F221" i="5"/>
  <c r="E221" i="5"/>
  <c r="D221" i="5"/>
  <c r="T220" i="5"/>
  <c r="N220" i="5"/>
  <c r="M220" i="5"/>
  <c r="L220" i="5"/>
  <c r="G220" i="5"/>
  <c r="F220" i="5"/>
  <c r="E220" i="5"/>
  <c r="D220" i="5"/>
  <c r="T219" i="5"/>
  <c r="N219" i="5"/>
  <c r="L219" i="5"/>
  <c r="J219" i="5"/>
  <c r="M219" i="5" s="1"/>
  <c r="O219" i="5" s="1"/>
  <c r="G219" i="5"/>
  <c r="F219" i="5"/>
  <c r="E219" i="5"/>
  <c r="D219" i="5"/>
  <c r="T218" i="5"/>
  <c r="N218" i="5"/>
  <c r="L218" i="5"/>
  <c r="J218" i="5"/>
  <c r="M218" i="5" s="1"/>
  <c r="G218" i="5"/>
  <c r="F218" i="5"/>
  <c r="E218" i="5"/>
  <c r="D218" i="5"/>
  <c r="T217" i="5"/>
  <c r="M217" i="5"/>
  <c r="L217" i="5"/>
  <c r="J217" i="5"/>
  <c r="G217" i="5"/>
  <c r="F217" i="5"/>
  <c r="E217" i="5"/>
  <c r="D217" i="5"/>
  <c r="T216" i="5"/>
  <c r="N216" i="5"/>
  <c r="M216" i="5"/>
  <c r="L216" i="5"/>
  <c r="J216" i="5"/>
  <c r="G216" i="5"/>
  <c r="F216" i="5"/>
  <c r="E216" i="5"/>
  <c r="D216" i="5"/>
  <c r="T215" i="5"/>
  <c r="L215" i="5"/>
  <c r="N215" i="5" s="1"/>
  <c r="J215" i="5"/>
  <c r="M215" i="5" s="1"/>
  <c r="G215" i="5"/>
  <c r="F215" i="5"/>
  <c r="E215" i="5"/>
  <c r="D215" i="5"/>
  <c r="T214" i="5"/>
  <c r="N214" i="5"/>
  <c r="M214" i="5"/>
  <c r="L214" i="5"/>
  <c r="J214" i="5"/>
  <c r="G214" i="5"/>
  <c r="F214" i="5"/>
  <c r="E214" i="5"/>
  <c r="D214" i="5"/>
  <c r="T213" i="5"/>
  <c r="N213" i="5"/>
  <c r="M213" i="5"/>
  <c r="L213" i="5"/>
  <c r="J213" i="5"/>
  <c r="G213" i="5"/>
  <c r="F213" i="5"/>
  <c r="E213" i="5"/>
  <c r="D213" i="5"/>
  <c r="T212" i="5"/>
  <c r="L212" i="5"/>
  <c r="N212" i="5" s="1"/>
  <c r="J212" i="5"/>
  <c r="M212" i="5" s="1"/>
  <c r="G212" i="5"/>
  <c r="F212" i="5"/>
  <c r="E212" i="5"/>
  <c r="D212" i="5"/>
  <c r="T211" i="5"/>
  <c r="M211" i="5"/>
  <c r="L211" i="5"/>
  <c r="N211" i="5" s="1"/>
  <c r="J211" i="5"/>
  <c r="G211" i="5"/>
  <c r="F211" i="5"/>
  <c r="E211" i="5"/>
  <c r="D211" i="5"/>
  <c r="T210" i="5"/>
  <c r="L210" i="5"/>
  <c r="N210" i="5" s="1"/>
  <c r="J210" i="5"/>
  <c r="M210" i="5" s="1"/>
  <c r="G210" i="5"/>
  <c r="F210" i="5"/>
  <c r="E210" i="5"/>
  <c r="D210" i="5"/>
  <c r="L209" i="5"/>
  <c r="J209" i="5"/>
  <c r="M209" i="5" s="1"/>
  <c r="G209" i="5"/>
  <c r="F209" i="5"/>
  <c r="E209" i="5"/>
  <c r="D209" i="5"/>
  <c r="T209" i="5" s="1"/>
  <c r="L208" i="5"/>
  <c r="J208" i="5"/>
  <c r="M208" i="5" s="1"/>
  <c r="G208" i="5"/>
  <c r="F208" i="5"/>
  <c r="E208" i="5"/>
  <c r="D208" i="5"/>
  <c r="T208" i="5" s="1"/>
  <c r="L207" i="5"/>
  <c r="G207" i="5"/>
  <c r="F207" i="5"/>
  <c r="E207" i="5"/>
  <c r="D207" i="5"/>
  <c r="T207" i="5" s="1"/>
  <c r="T206" i="5"/>
  <c r="L206" i="5"/>
  <c r="N206" i="5" s="1"/>
  <c r="J206" i="5"/>
  <c r="M206" i="5" s="1"/>
  <c r="G206" i="5"/>
  <c r="F206" i="5"/>
  <c r="E206" i="5"/>
  <c r="D206" i="5"/>
  <c r="T205" i="5"/>
  <c r="L205" i="5"/>
  <c r="J205" i="5"/>
  <c r="M205" i="5" s="1"/>
  <c r="G205" i="5"/>
  <c r="F205" i="5"/>
  <c r="E205" i="5"/>
  <c r="D205" i="5"/>
  <c r="T204" i="5"/>
  <c r="L204" i="5"/>
  <c r="N204" i="5" s="1"/>
  <c r="J204" i="5"/>
  <c r="M204" i="5" s="1"/>
  <c r="G204" i="5"/>
  <c r="F204" i="5"/>
  <c r="E204" i="5"/>
  <c r="D204" i="5"/>
  <c r="L203" i="5"/>
  <c r="J203" i="5"/>
  <c r="M203" i="5" s="1"/>
  <c r="G203" i="5"/>
  <c r="F203" i="5"/>
  <c r="E203" i="5"/>
  <c r="D203" i="5"/>
  <c r="T203" i="5" s="1"/>
  <c r="T202" i="5"/>
  <c r="M202" i="5"/>
  <c r="L202" i="5"/>
  <c r="J202" i="5"/>
  <c r="G202" i="5"/>
  <c r="F202" i="5"/>
  <c r="E202" i="5"/>
  <c r="D202" i="5"/>
  <c r="L201" i="5"/>
  <c r="G201" i="5"/>
  <c r="F201" i="5"/>
  <c r="E201" i="5"/>
  <c r="D201" i="5"/>
  <c r="T201" i="5" s="1"/>
  <c r="M200" i="5"/>
  <c r="L200" i="5"/>
  <c r="J200" i="5"/>
  <c r="G200" i="5"/>
  <c r="F200" i="5"/>
  <c r="E200" i="5"/>
  <c r="D200" i="5"/>
  <c r="T200" i="5" s="1"/>
  <c r="M199" i="5"/>
  <c r="L199" i="5"/>
  <c r="J199" i="5"/>
  <c r="G199" i="5"/>
  <c r="F199" i="5"/>
  <c r="E199" i="5"/>
  <c r="D199" i="5"/>
  <c r="T199" i="5" s="1"/>
  <c r="T198" i="5"/>
  <c r="L198" i="5"/>
  <c r="G198" i="5"/>
  <c r="F198" i="5"/>
  <c r="E198" i="5"/>
  <c r="D198" i="5"/>
  <c r="M197" i="5"/>
  <c r="L197" i="5"/>
  <c r="J197" i="5"/>
  <c r="G197" i="5"/>
  <c r="F197" i="5"/>
  <c r="E197" i="5"/>
  <c r="D197" i="5"/>
  <c r="T197" i="5" s="1"/>
  <c r="T196" i="5"/>
  <c r="N196" i="5"/>
  <c r="L196" i="5"/>
  <c r="G196" i="5"/>
  <c r="F196" i="5"/>
  <c r="E196" i="5"/>
  <c r="D196" i="5"/>
  <c r="T195" i="5"/>
  <c r="M195" i="5"/>
  <c r="L195" i="5"/>
  <c r="J195" i="5"/>
  <c r="G195" i="5"/>
  <c r="F195" i="5"/>
  <c r="E195" i="5"/>
  <c r="D195" i="5"/>
  <c r="M194" i="5"/>
  <c r="L194" i="5"/>
  <c r="J194" i="5"/>
  <c r="G194" i="5"/>
  <c r="F194" i="5"/>
  <c r="E194" i="5"/>
  <c r="D194" i="5"/>
  <c r="T194" i="5" s="1"/>
  <c r="T193" i="5"/>
  <c r="L193" i="5"/>
  <c r="N193" i="5" s="1"/>
  <c r="J193" i="5"/>
  <c r="M193" i="5" s="1"/>
  <c r="G193" i="5"/>
  <c r="F193" i="5"/>
  <c r="E193" i="5"/>
  <c r="D193" i="5"/>
  <c r="M192" i="5"/>
  <c r="L192" i="5"/>
  <c r="J192" i="5"/>
  <c r="G192" i="5"/>
  <c r="F192" i="5"/>
  <c r="E192" i="5"/>
  <c r="D192" i="5"/>
  <c r="T192" i="5" s="1"/>
  <c r="T191" i="5"/>
  <c r="O191" i="5"/>
  <c r="P191" i="5" s="1"/>
  <c r="N191" i="5"/>
  <c r="M191" i="5"/>
  <c r="L191" i="5"/>
  <c r="J191" i="5"/>
  <c r="G191" i="5"/>
  <c r="F191" i="5"/>
  <c r="E191" i="5"/>
  <c r="D191" i="5"/>
  <c r="L190" i="5"/>
  <c r="G190" i="5"/>
  <c r="F190" i="5"/>
  <c r="E190" i="5"/>
  <c r="D190" i="5"/>
  <c r="T190" i="5" s="1"/>
  <c r="L189" i="5"/>
  <c r="J189" i="5"/>
  <c r="M189" i="5" s="1"/>
  <c r="G189" i="5"/>
  <c r="F189" i="5"/>
  <c r="E189" i="5"/>
  <c r="D189" i="5"/>
  <c r="T189" i="5" s="1"/>
  <c r="L188" i="5"/>
  <c r="J188" i="5"/>
  <c r="M188" i="5" s="1"/>
  <c r="G188" i="5"/>
  <c r="F188" i="5"/>
  <c r="E188" i="5"/>
  <c r="D188" i="5"/>
  <c r="T188" i="5" s="1"/>
  <c r="M187" i="5"/>
  <c r="L187" i="5"/>
  <c r="J187" i="5"/>
  <c r="G187" i="5"/>
  <c r="F187" i="5"/>
  <c r="E187" i="5"/>
  <c r="D187" i="5"/>
  <c r="T187" i="5" s="1"/>
  <c r="M186" i="5"/>
  <c r="L186" i="5"/>
  <c r="J186" i="5"/>
  <c r="G186" i="5"/>
  <c r="F186" i="5"/>
  <c r="E186" i="5"/>
  <c r="D186" i="5"/>
  <c r="T186" i="5" s="1"/>
  <c r="L185" i="5"/>
  <c r="J185" i="5"/>
  <c r="M185" i="5" s="1"/>
  <c r="G185" i="5"/>
  <c r="F185" i="5"/>
  <c r="E185" i="5"/>
  <c r="D185" i="5"/>
  <c r="T185" i="5" s="1"/>
  <c r="L184" i="5"/>
  <c r="G184" i="5"/>
  <c r="F184" i="5"/>
  <c r="E184" i="5"/>
  <c r="D184" i="5"/>
  <c r="T184" i="5" s="1"/>
  <c r="T183" i="5"/>
  <c r="L183" i="5"/>
  <c r="J183" i="5"/>
  <c r="M183" i="5" s="1"/>
  <c r="G183" i="5"/>
  <c r="F183" i="5"/>
  <c r="E183" i="5"/>
  <c r="D183" i="5"/>
  <c r="L182" i="5"/>
  <c r="J182" i="5"/>
  <c r="M182" i="5" s="1"/>
  <c r="G182" i="5"/>
  <c r="F182" i="5"/>
  <c r="E182" i="5"/>
  <c r="D182" i="5"/>
  <c r="T182" i="5" s="1"/>
  <c r="L181" i="5"/>
  <c r="J181" i="5"/>
  <c r="M181" i="5" s="1"/>
  <c r="G181" i="5"/>
  <c r="F181" i="5"/>
  <c r="E181" i="5"/>
  <c r="D181" i="5"/>
  <c r="T181" i="5" s="1"/>
  <c r="L180" i="5"/>
  <c r="G180" i="5"/>
  <c r="F180" i="5"/>
  <c r="E180" i="5"/>
  <c r="D180" i="5"/>
  <c r="T180" i="5" s="1"/>
  <c r="M179" i="5"/>
  <c r="L179" i="5"/>
  <c r="J179" i="5"/>
  <c r="G179" i="5"/>
  <c r="F179" i="5"/>
  <c r="E179" i="5"/>
  <c r="D179" i="5"/>
  <c r="T179" i="5" s="1"/>
  <c r="L178" i="5"/>
  <c r="J178" i="5"/>
  <c r="M178" i="5" s="1"/>
  <c r="G178" i="5"/>
  <c r="F178" i="5"/>
  <c r="E178" i="5"/>
  <c r="D178" i="5"/>
  <c r="T178" i="5" s="1"/>
  <c r="T177" i="5"/>
  <c r="L177" i="5"/>
  <c r="N177" i="5" s="1"/>
  <c r="J177" i="5"/>
  <c r="M177" i="5" s="1"/>
  <c r="G177" i="5"/>
  <c r="F177" i="5"/>
  <c r="E177" i="5"/>
  <c r="D177" i="5"/>
  <c r="T176" i="5"/>
  <c r="N176" i="5"/>
  <c r="L176" i="5"/>
  <c r="J176" i="5"/>
  <c r="M176" i="5" s="1"/>
  <c r="G176" i="5"/>
  <c r="F176" i="5"/>
  <c r="E176" i="5"/>
  <c r="D176" i="5"/>
  <c r="M175" i="5"/>
  <c r="L175" i="5"/>
  <c r="J175" i="5"/>
  <c r="G175" i="5"/>
  <c r="F175" i="5"/>
  <c r="E175" i="5"/>
  <c r="D175" i="5"/>
  <c r="T175" i="5" s="1"/>
  <c r="T174" i="5"/>
  <c r="L174" i="5"/>
  <c r="N174" i="5" s="1"/>
  <c r="J174" i="5"/>
  <c r="M174" i="5" s="1"/>
  <c r="G174" i="5"/>
  <c r="F174" i="5"/>
  <c r="E174" i="5"/>
  <c r="D174" i="5"/>
  <c r="T173" i="5"/>
  <c r="M173" i="5"/>
  <c r="L173" i="5"/>
  <c r="N173" i="5" s="1"/>
  <c r="G173" i="5"/>
  <c r="F173" i="5"/>
  <c r="E173" i="5"/>
  <c r="D173" i="5"/>
  <c r="L172" i="5"/>
  <c r="J172" i="5"/>
  <c r="M172" i="5" s="1"/>
  <c r="G172" i="5"/>
  <c r="F172" i="5"/>
  <c r="E172" i="5"/>
  <c r="D172" i="5"/>
  <c r="T172" i="5" s="1"/>
  <c r="M171" i="5"/>
  <c r="L171" i="5"/>
  <c r="J171" i="5"/>
  <c r="G171" i="5"/>
  <c r="F171" i="5"/>
  <c r="E171" i="5"/>
  <c r="D171" i="5"/>
  <c r="T171" i="5" s="1"/>
  <c r="T170" i="5"/>
  <c r="L170" i="5"/>
  <c r="G170" i="5"/>
  <c r="F170" i="5"/>
  <c r="E170" i="5"/>
  <c r="D170" i="5"/>
  <c r="T169" i="5"/>
  <c r="M169" i="5"/>
  <c r="L169" i="5"/>
  <c r="N169" i="5" s="1"/>
  <c r="J169" i="5"/>
  <c r="G169" i="5"/>
  <c r="F169" i="5"/>
  <c r="E169" i="5"/>
  <c r="D169" i="5"/>
  <c r="O168" i="5"/>
  <c r="L168" i="5"/>
  <c r="J168" i="5"/>
  <c r="M168" i="5" s="1"/>
  <c r="G168" i="5"/>
  <c r="F168" i="5"/>
  <c r="E168" i="5"/>
  <c r="D168" i="5"/>
  <c r="T168" i="5" s="1"/>
  <c r="T167" i="5"/>
  <c r="M167" i="5"/>
  <c r="L167" i="5"/>
  <c r="J167" i="5"/>
  <c r="G167" i="5"/>
  <c r="F167" i="5"/>
  <c r="E167" i="5"/>
  <c r="D167" i="5"/>
  <c r="T166" i="5"/>
  <c r="N166" i="5"/>
  <c r="P166" i="5" s="1"/>
  <c r="L166" i="5"/>
  <c r="J166" i="5"/>
  <c r="M166" i="5" s="1"/>
  <c r="O166" i="5" s="1"/>
  <c r="G166" i="5"/>
  <c r="F166" i="5"/>
  <c r="E166" i="5"/>
  <c r="D166" i="5"/>
  <c r="L165" i="5"/>
  <c r="J165" i="5"/>
  <c r="M165" i="5" s="1"/>
  <c r="G165" i="5"/>
  <c r="F165" i="5"/>
  <c r="E165" i="5"/>
  <c r="D165" i="5"/>
  <c r="T165" i="5" s="1"/>
  <c r="T164" i="5"/>
  <c r="L164" i="5"/>
  <c r="G164" i="5"/>
  <c r="F164" i="5"/>
  <c r="E164" i="5"/>
  <c r="D164" i="5"/>
  <c r="M163" i="5"/>
  <c r="L163" i="5"/>
  <c r="J163" i="5"/>
  <c r="G163" i="5"/>
  <c r="F163" i="5"/>
  <c r="E163" i="5"/>
  <c r="D163" i="5"/>
  <c r="T163" i="5" s="1"/>
  <c r="M162" i="5"/>
  <c r="L162" i="5"/>
  <c r="J162" i="5"/>
  <c r="G162" i="5"/>
  <c r="F162" i="5"/>
  <c r="E162" i="5"/>
  <c r="D162" i="5"/>
  <c r="T162" i="5" s="1"/>
  <c r="L161" i="5"/>
  <c r="J161" i="5"/>
  <c r="M161" i="5" s="1"/>
  <c r="G161" i="5"/>
  <c r="F161" i="5"/>
  <c r="E161" i="5"/>
  <c r="D161" i="5"/>
  <c r="T161" i="5" s="1"/>
  <c r="T160" i="5"/>
  <c r="N160" i="5"/>
  <c r="M160" i="5"/>
  <c r="L160" i="5"/>
  <c r="J160" i="5"/>
  <c r="G160" i="5"/>
  <c r="F160" i="5"/>
  <c r="E160" i="5"/>
  <c r="D160" i="5"/>
  <c r="M159" i="5"/>
  <c r="O159" i="5" s="1"/>
  <c r="L159" i="5"/>
  <c r="J159" i="5"/>
  <c r="G159" i="5"/>
  <c r="F159" i="5"/>
  <c r="E159" i="5"/>
  <c r="D159" i="5"/>
  <c r="T159" i="5" s="1"/>
  <c r="M158" i="5"/>
  <c r="L158" i="5"/>
  <c r="J158" i="5"/>
  <c r="G158" i="5"/>
  <c r="F158" i="5"/>
  <c r="E158" i="5"/>
  <c r="D158" i="5"/>
  <c r="T158" i="5" s="1"/>
  <c r="L157" i="5"/>
  <c r="J157" i="5"/>
  <c r="M157" i="5" s="1"/>
  <c r="G157" i="5"/>
  <c r="F157" i="5"/>
  <c r="E157" i="5"/>
  <c r="D157" i="5"/>
  <c r="T157" i="5" s="1"/>
  <c r="L156" i="5"/>
  <c r="J156" i="5"/>
  <c r="M156" i="5" s="1"/>
  <c r="G156" i="5"/>
  <c r="F156" i="5"/>
  <c r="E156" i="5"/>
  <c r="D156" i="5"/>
  <c r="T156" i="5" s="1"/>
  <c r="M155" i="5"/>
  <c r="L155" i="5"/>
  <c r="J155" i="5"/>
  <c r="G155" i="5"/>
  <c r="F155" i="5"/>
  <c r="E155" i="5"/>
  <c r="D155" i="5"/>
  <c r="T155" i="5" s="1"/>
  <c r="L154" i="5"/>
  <c r="J154" i="5"/>
  <c r="M154" i="5" s="1"/>
  <c r="G154" i="5"/>
  <c r="F154" i="5"/>
  <c r="E154" i="5"/>
  <c r="D154" i="5"/>
  <c r="T154" i="5" s="1"/>
  <c r="M153" i="5"/>
  <c r="L153" i="5"/>
  <c r="J153" i="5"/>
  <c r="G153" i="5"/>
  <c r="F153" i="5"/>
  <c r="E153" i="5"/>
  <c r="D153" i="5"/>
  <c r="T153" i="5" s="1"/>
  <c r="T152" i="5"/>
  <c r="M152" i="5"/>
  <c r="L152" i="5"/>
  <c r="J152" i="5"/>
  <c r="G152" i="5"/>
  <c r="F152" i="5"/>
  <c r="E152" i="5"/>
  <c r="D152" i="5"/>
  <c r="T151" i="5"/>
  <c r="M151" i="5"/>
  <c r="L151" i="5"/>
  <c r="N151" i="5" s="1"/>
  <c r="J151" i="5"/>
  <c r="G151" i="5"/>
  <c r="F151" i="5"/>
  <c r="E151" i="5"/>
  <c r="D151" i="5"/>
  <c r="L150" i="5"/>
  <c r="J150" i="5"/>
  <c r="M150" i="5" s="1"/>
  <c r="G150" i="5"/>
  <c r="F150" i="5"/>
  <c r="E150" i="5"/>
  <c r="D150" i="5"/>
  <c r="T150" i="5" s="1"/>
  <c r="L149" i="5"/>
  <c r="G149" i="5"/>
  <c r="F149" i="5"/>
  <c r="E149" i="5"/>
  <c r="D149" i="5"/>
  <c r="T149" i="5" s="1"/>
  <c r="T148" i="5"/>
  <c r="L148" i="5"/>
  <c r="J148" i="5"/>
  <c r="M148" i="5" s="1"/>
  <c r="G148" i="5"/>
  <c r="F148" i="5"/>
  <c r="E148" i="5"/>
  <c r="D148" i="5"/>
  <c r="T147" i="5"/>
  <c r="N147" i="5"/>
  <c r="M147" i="5"/>
  <c r="L147" i="5"/>
  <c r="G147" i="5"/>
  <c r="F147" i="5"/>
  <c r="E147" i="5"/>
  <c r="D147" i="5"/>
  <c r="T146" i="5"/>
  <c r="M146" i="5"/>
  <c r="L146" i="5"/>
  <c r="J146" i="5"/>
  <c r="G146" i="5"/>
  <c r="F146" i="5"/>
  <c r="E146" i="5"/>
  <c r="D146" i="5"/>
  <c r="T145" i="5"/>
  <c r="O145" i="5"/>
  <c r="P145" i="5" s="1"/>
  <c r="N145" i="5"/>
  <c r="M145" i="5"/>
  <c r="L145" i="5"/>
  <c r="J145" i="5"/>
  <c r="G145" i="5"/>
  <c r="F145" i="5"/>
  <c r="E145" i="5"/>
  <c r="D145" i="5"/>
  <c r="L144" i="5"/>
  <c r="J144" i="5"/>
  <c r="M144" i="5" s="1"/>
  <c r="G144" i="5"/>
  <c r="F144" i="5"/>
  <c r="E144" i="5"/>
  <c r="D144" i="5"/>
  <c r="T144" i="5" s="1"/>
  <c r="L143" i="5"/>
  <c r="J143" i="5"/>
  <c r="M143" i="5" s="1"/>
  <c r="G143" i="5"/>
  <c r="F143" i="5"/>
  <c r="E143" i="5"/>
  <c r="D143" i="5"/>
  <c r="T143" i="5" s="1"/>
  <c r="M142" i="5"/>
  <c r="L142" i="5"/>
  <c r="J142" i="5"/>
  <c r="G142" i="5"/>
  <c r="F142" i="5"/>
  <c r="E142" i="5"/>
  <c r="D142" i="5"/>
  <c r="T142" i="5" s="1"/>
  <c r="L141" i="5"/>
  <c r="J141" i="5"/>
  <c r="M141" i="5" s="1"/>
  <c r="G141" i="5"/>
  <c r="F141" i="5"/>
  <c r="E141" i="5"/>
  <c r="D141" i="5"/>
  <c r="T141" i="5" s="1"/>
  <c r="L140" i="5"/>
  <c r="J140" i="5"/>
  <c r="M140" i="5" s="1"/>
  <c r="G140" i="5"/>
  <c r="F140" i="5"/>
  <c r="E140" i="5"/>
  <c r="D140" i="5"/>
  <c r="T140" i="5" s="1"/>
  <c r="L139" i="5"/>
  <c r="J139" i="5"/>
  <c r="M139" i="5" s="1"/>
  <c r="G139" i="5"/>
  <c r="F139" i="5"/>
  <c r="E139" i="5"/>
  <c r="D139" i="5"/>
  <c r="T139" i="5" s="1"/>
  <c r="L138" i="5"/>
  <c r="J138" i="5"/>
  <c r="M138" i="5" s="1"/>
  <c r="G138" i="5"/>
  <c r="F138" i="5"/>
  <c r="E138" i="5"/>
  <c r="D138" i="5"/>
  <c r="T138" i="5" s="1"/>
  <c r="M137" i="5"/>
  <c r="L137" i="5"/>
  <c r="J137" i="5"/>
  <c r="G137" i="5"/>
  <c r="F137" i="5"/>
  <c r="E137" i="5"/>
  <c r="D137" i="5"/>
  <c r="T137" i="5" s="1"/>
  <c r="M136" i="5"/>
  <c r="L136" i="5"/>
  <c r="J136" i="5"/>
  <c r="G136" i="5"/>
  <c r="F136" i="5"/>
  <c r="E136" i="5"/>
  <c r="D136" i="5"/>
  <c r="T136" i="5" s="1"/>
  <c r="M135" i="5"/>
  <c r="L135" i="5"/>
  <c r="J135" i="5"/>
  <c r="G135" i="5"/>
  <c r="F135" i="5"/>
  <c r="E135" i="5"/>
  <c r="D135" i="5"/>
  <c r="T135" i="5" s="1"/>
  <c r="L134" i="5"/>
  <c r="J134" i="5"/>
  <c r="M134" i="5" s="1"/>
  <c r="G134" i="5"/>
  <c r="F134" i="5"/>
  <c r="E134" i="5"/>
  <c r="D134" i="5"/>
  <c r="T134" i="5" s="1"/>
  <c r="M133" i="5"/>
  <c r="L133" i="5"/>
  <c r="J133" i="5"/>
  <c r="G133" i="5"/>
  <c r="F133" i="5"/>
  <c r="E133" i="5"/>
  <c r="D133" i="5"/>
  <c r="T133" i="5" s="1"/>
  <c r="M132" i="5"/>
  <c r="L132" i="5"/>
  <c r="J132" i="5"/>
  <c r="G132" i="5"/>
  <c r="F132" i="5"/>
  <c r="E132" i="5"/>
  <c r="D132" i="5"/>
  <c r="T132" i="5" s="1"/>
  <c r="L131" i="5"/>
  <c r="J131" i="5"/>
  <c r="M131" i="5" s="1"/>
  <c r="G131" i="5"/>
  <c r="F131" i="5"/>
  <c r="E131" i="5"/>
  <c r="D131" i="5"/>
  <c r="T131" i="5" s="1"/>
  <c r="T130" i="5"/>
  <c r="L130" i="5"/>
  <c r="N130" i="5" s="1"/>
  <c r="G130" i="5"/>
  <c r="F130" i="5"/>
  <c r="E130" i="5"/>
  <c r="D130" i="5"/>
  <c r="M129" i="5"/>
  <c r="L129" i="5"/>
  <c r="J129" i="5"/>
  <c r="G129" i="5"/>
  <c r="F129" i="5"/>
  <c r="E129" i="5"/>
  <c r="D129" i="5"/>
  <c r="T129" i="5" s="1"/>
  <c r="T128" i="5"/>
  <c r="N128" i="5"/>
  <c r="M128" i="5"/>
  <c r="L128" i="5"/>
  <c r="J128" i="5"/>
  <c r="G128" i="5"/>
  <c r="F128" i="5"/>
  <c r="E128" i="5"/>
  <c r="D128" i="5"/>
  <c r="T127" i="5"/>
  <c r="M127" i="5"/>
  <c r="L127" i="5"/>
  <c r="J127" i="5"/>
  <c r="G127" i="5"/>
  <c r="F127" i="5"/>
  <c r="E127" i="5"/>
  <c r="D127" i="5"/>
  <c r="L126" i="5"/>
  <c r="J126" i="5"/>
  <c r="M126" i="5" s="1"/>
  <c r="G126" i="5"/>
  <c r="F126" i="5"/>
  <c r="E126" i="5"/>
  <c r="D126" i="5"/>
  <c r="T126" i="5" s="1"/>
  <c r="M125" i="5"/>
  <c r="L125" i="5"/>
  <c r="J125" i="5"/>
  <c r="G125" i="5"/>
  <c r="F125" i="5"/>
  <c r="E125" i="5"/>
  <c r="D125" i="5"/>
  <c r="T125" i="5" s="1"/>
  <c r="M124" i="5"/>
  <c r="L124" i="5"/>
  <c r="J124" i="5"/>
  <c r="G124" i="5"/>
  <c r="F124" i="5"/>
  <c r="E124" i="5"/>
  <c r="D124" i="5"/>
  <c r="T124" i="5" s="1"/>
  <c r="L123" i="5"/>
  <c r="J123" i="5"/>
  <c r="M123" i="5" s="1"/>
  <c r="G123" i="5"/>
  <c r="F123" i="5"/>
  <c r="E123" i="5"/>
  <c r="D123" i="5"/>
  <c r="T123" i="5" s="1"/>
  <c r="T122" i="5"/>
  <c r="L122" i="5"/>
  <c r="N122" i="5" s="1"/>
  <c r="J122" i="5"/>
  <c r="M122" i="5" s="1"/>
  <c r="G122" i="5"/>
  <c r="F122" i="5"/>
  <c r="E122" i="5"/>
  <c r="D122" i="5"/>
  <c r="T121" i="5"/>
  <c r="L121" i="5"/>
  <c r="J121" i="5"/>
  <c r="M121" i="5" s="1"/>
  <c r="G121" i="5"/>
  <c r="F121" i="5"/>
  <c r="E121" i="5"/>
  <c r="D121" i="5"/>
  <c r="L120" i="5"/>
  <c r="J120" i="5"/>
  <c r="M120" i="5" s="1"/>
  <c r="G120" i="5"/>
  <c r="F120" i="5"/>
  <c r="E120" i="5"/>
  <c r="D120" i="5"/>
  <c r="T120" i="5" s="1"/>
  <c r="M119" i="5"/>
  <c r="L119" i="5"/>
  <c r="J119" i="5"/>
  <c r="G119" i="5"/>
  <c r="F119" i="5"/>
  <c r="E119" i="5"/>
  <c r="D119" i="5"/>
  <c r="T119" i="5" s="1"/>
  <c r="T118" i="5"/>
  <c r="M118" i="5"/>
  <c r="L118" i="5"/>
  <c r="J118" i="5"/>
  <c r="G118" i="5"/>
  <c r="F118" i="5"/>
  <c r="E118" i="5"/>
  <c r="D118" i="5"/>
  <c r="T117" i="5"/>
  <c r="N117" i="5"/>
  <c r="M117" i="5"/>
  <c r="L117" i="5"/>
  <c r="J117" i="5"/>
  <c r="G117" i="5"/>
  <c r="F117" i="5"/>
  <c r="E117" i="5"/>
  <c r="D117" i="5"/>
  <c r="M116" i="5"/>
  <c r="L116" i="5"/>
  <c r="J116" i="5"/>
  <c r="G116" i="5"/>
  <c r="F116" i="5"/>
  <c r="E116" i="5"/>
  <c r="D116" i="5"/>
  <c r="T116" i="5" s="1"/>
  <c r="M115" i="5"/>
  <c r="L115" i="5"/>
  <c r="J115" i="5"/>
  <c r="G115" i="5"/>
  <c r="F115" i="5"/>
  <c r="E115" i="5"/>
  <c r="D115" i="5"/>
  <c r="T115" i="5" s="1"/>
  <c r="L114" i="5"/>
  <c r="J114" i="5"/>
  <c r="M114" i="5" s="1"/>
  <c r="O114" i="5" s="1"/>
  <c r="G114" i="5"/>
  <c r="F114" i="5"/>
  <c r="E114" i="5"/>
  <c r="D114" i="5"/>
  <c r="T114" i="5" s="1"/>
  <c r="L113" i="5"/>
  <c r="J113" i="5"/>
  <c r="M113" i="5" s="1"/>
  <c r="G113" i="5"/>
  <c r="F113" i="5"/>
  <c r="E113" i="5"/>
  <c r="D113" i="5"/>
  <c r="T113" i="5" s="1"/>
  <c r="T112" i="5"/>
  <c r="L112" i="5"/>
  <c r="J112" i="5"/>
  <c r="M112" i="5" s="1"/>
  <c r="G112" i="5"/>
  <c r="F112" i="5"/>
  <c r="E112" i="5"/>
  <c r="D112" i="5"/>
  <c r="L111" i="5"/>
  <c r="J111" i="5"/>
  <c r="M111" i="5" s="1"/>
  <c r="G111" i="5"/>
  <c r="F111" i="5"/>
  <c r="E111" i="5"/>
  <c r="D111" i="5"/>
  <c r="T111" i="5" s="1"/>
  <c r="L110" i="5"/>
  <c r="J110" i="5"/>
  <c r="M110" i="5" s="1"/>
  <c r="G110" i="5"/>
  <c r="F110" i="5"/>
  <c r="E110" i="5"/>
  <c r="D110" i="5"/>
  <c r="T110" i="5" s="1"/>
  <c r="L109" i="5"/>
  <c r="J109" i="5"/>
  <c r="M109" i="5" s="1"/>
  <c r="G109" i="5"/>
  <c r="F109" i="5"/>
  <c r="E109" i="5"/>
  <c r="D109" i="5"/>
  <c r="T109" i="5" s="1"/>
  <c r="L108" i="5"/>
  <c r="J108" i="5"/>
  <c r="M108" i="5" s="1"/>
  <c r="G108" i="5"/>
  <c r="F108" i="5"/>
  <c r="E108" i="5"/>
  <c r="D108" i="5"/>
  <c r="T108" i="5" s="1"/>
  <c r="M107" i="5"/>
  <c r="L107" i="5"/>
  <c r="J107" i="5"/>
  <c r="G107" i="5"/>
  <c r="F107" i="5"/>
  <c r="E107" i="5"/>
  <c r="D107" i="5"/>
  <c r="T107" i="5" s="1"/>
  <c r="T106" i="5"/>
  <c r="M106" i="5"/>
  <c r="L106" i="5"/>
  <c r="J106" i="5"/>
  <c r="G106" i="5"/>
  <c r="F106" i="5"/>
  <c r="E106" i="5"/>
  <c r="D106" i="5"/>
  <c r="M105" i="5"/>
  <c r="L105" i="5"/>
  <c r="J105" i="5"/>
  <c r="G105" i="5"/>
  <c r="F105" i="5"/>
  <c r="E105" i="5"/>
  <c r="D105" i="5"/>
  <c r="T105" i="5" s="1"/>
  <c r="L104" i="5"/>
  <c r="J104" i="5"/>
  <c r="M104" i="5" s="1"/>
  <c r="G104" i="5"/>
  <c r="F104" i="5"/>
  <c r="E104" i="5"/>
  <c r="D104" i="5"/>
  <c r="T104" i="5" s="1"/>
  <c r="L103" i="5"/>
  <c r="J103" i="5"/>
  <c r="M103" i="5" s="1"/>
  <c r="G103" i="5"/>
  <c r="F103" i="5"/>
  <c r="E103" i="5"/>
  <c r="D103" i="5"/>
  <c r="T103" i="5" s="1"/>
  <c r="L102" i="5"/>
  <c r="J102" i="5"/>
  <c r="M102" i="5" s="1"/>
  <c r="G102" i="5"/>
  <c r="F102" i="5"/>
  <c r="E102" i="5"/>
  <c r="D102" i="5"/>
  <c r="T102" i="5" s="1"/>
  <c r="L101" i="5"/>
  <c r="J101" i="5"/>
  <c r="M101" i="5" s="1"/>
  <c r="G101" i="5"/>
  <c r="F101" i="5"/>
  <c r="E101" i="5"/>
  <c r="D101" i="5"/>
  <c r="T101" i="5" s="1"/>
  <c r="T100" i="5"/>
  <c r="M100" i="5"/>
  <c r="L100" i="5"/>
  <c r="J100" i="5"/>
  <c r="G100" i="5"/>
  <c r="F100" i="5"/>
  <c r="E100" i="5"/>
  <c r="D100" i="5"/>
  <c r="M99" i="5"/>
  <c r="L99" i="5"/>
  <c r="J99" i="5"/>
  <c r="G99" i="5"/>
  <c r="F99" i="5"/>
  <c r="E99" i="5"/>
  <c r="D99" i="5"/>
  <c r="T99" i="5" s="1"/>
  <c r="L98" i="5"/>
  <c r="J98" i="5"/>
  <c r="M98" i="5" s="1"/>
  <c r="G98" i="5"/>
  <c r="F98" i="5"/>
  <c r="E98" i="5"/>
  <c r="D98" i="5"/>
  <c r="T98" i="5" s="1"/>
  <c r="L97" i="5"/>
  <c r="J97" i="5"/>
  <c r="M97" i="5" s="1"/>
  <c r="G97" i="5"/>
  <c r="F97" i="5"/>
  <c r="E97" i="5"/>
  <c r="D97" i="5"/>
  <c r="T97" i="5" s="1"/>
  <c r="L96" i="5"/>
  <c r="G96" i="5"/>
  <c r="F96" i="5"/>
  <c r="E96" i="5"/>
  <c r="D96" i="5"/>
  <c r="T96" i="5" s="1"/>
  <c r="M95" i="5"/>
  <c r="L95" i="5"/>
  <c r="J95" i="5"/>
  <c r="G95" i="5"/>
  <c r="F95" i="5"/>
  <c r="E95" i="5"/>
  <c r="D95" i="5"/>
  <c r="T95" i="5" s="1"/>
  <c r="L94" i="5"/>
  <c r="J94" i="5"/>
  <c r="M94" i="5" s="1"/>
  <c r="G94" i="5"/>
  <c r="F94" i="5"/>
  <c r="E94" i="5"/>
  <c r="D94" i="5"/>
  <c r="T94" i="5" s="1"/>
  <c r="T93" i="5"/>
  <c r="M93" i="5"/>
  <c r="L93" i="5"/>
  <c r="J93" i="5"/>
  <c r="G93" i="5"/>
  <c r="F93" i="5"/>
  <c r="E93" i="5"/>
  <c r="D93" i="5"/>
  <c r="M92" i="5"/>
  <c r="L92" i="5"/>
  <c r="J92" i="5"/>
  <c r="G92" i="5"/>
  <c r="F92" i="5"/>
  <c r="E92" i="5"/>
  <c r="D92" i="5"/>
  <c r="T92" i="5" s="1"/>
  <c r="M91" i="5"/>
  <c r="L91" i="5"/>
  <c r="J91" i="5"/>
  <c r="G91" i="5"/>
  <c r="F91" i="5"/>
  <c r="E91" i="5"/>
  <c r="D91" i="5"/>
  <c r="T91" i="5" s="1"/>
  <c r="L90" i="5"/>
  <c r="J90" i="5"/>
  <c r="M90" i="5" s="1"/>
  <c r="G90" i="5"/>
  <c r="F90" i="5"/>
  <c r="E90" i="5"/>
  <c r="D90" i="5"/>
  <c r="T90" i="5" s="1"/>
  <c r="M89" i="5"/>
  <c r="L89" i="5"/>
  <c r="J89" i="5"/>
  <c r="G89" i="5"/>
  <c r="F89" i="5"/>
  <c r="E89" i="5"/>
  <c r="D89" i="5"/>
  <c r="T89" i="5" s="1"/>
  <c r="M88" i="5"/>
  <c r="L88" i="5"/>
  <c r="J88" i="5"/>
  <c r="G88" i="5"/>
  <c r="F88" i="5"/>
  <c r="E88" i="5"/>
  <c r="D88" i="5"/>
  <c r="T88" i="5" s="1"/>
  <c r="L87" i="5"/>
  <c r="J87" i="5"/>
  <c r="M87" i="5" s="1"/>
  <c r="G87" i="5"/>
  <c r="F87" i="5"/>
  <c r="E87" i="5"/>
  <c r="D87" i="5"/>
  <c r="T87" i="5" s="1"/>
  <c r="M86" i="5"/>
  <c r="L86" i="5"/>
  <c r="J86" i="5"/>
  <c r="G86" i="5"/>
  <c r="F86" i="5"/>
  <c r="E86" i="5"/>
  <c r="D86" i="5"/>
  <c r="T86" i="5" s="1"/>
  <c r="L85" i="5"/>
  <c r="J85" i="5"/>
  <c r="M85" i="5" s="1"/>
  <c r="G85" i="5"/>
  <c r="F85" i="5"/>
  <c r="E85" i="5"/>
  <c r="D85" i="5"/>
  <c r="T85" i="5" s="1"/>
  <c r="T84" i="5"/>
  <c r="M84" i="5"/>
  <c r="L84" i="5"/>
  <c r="J84" i="5"/>
  <c r="G84" i="5"/>
  <c r="F84" i="5"/>
  <c r="E84" i="5"/>
  <c r="D84" i="5"/>
  <c r="L83" i="5"/>
  <c r="J83" i="5"/>
  <c r="M83" i="5" s="1"/>
  <c r="G83" i="5"/>
  <c r="F83" i="5"/>
  <c r="E83" i="5"/>
  <c r="D83" i="5"/>
  <c r="T83" i="5" s="1"/>
  <c r="L82" i="5"/>
  <c r="G82" i="5"/>
  <c r="F82" i="5"/>
  <c r="E82" i="5"/>
  <c r="D82" i="5"/>
  <c r="T82" i="5" s="1"/>
  <c r="L81" i="5"/>
  <c r="J81" i="5"/>
  <c r="M81" i="5" s="1"/>
  <c r="G81" i="5"/>
  <c r="F81" i="5"/>
  <c r="E81" i="5"/>
  <c r="D81" i="5"/>
  <c r="T81" i="5" s="1"/>
  <c r="T80" i="5"/>
  <c r="L80" i="5"/>
  <c r="J80" i="5"/>
  <c r="M80" i="5" s="1"/>
  <c r="G80" i="5"/>
  <c r="F80" i="5"/>
  <c r="E80" i="5"/>
  <c r="D80" i="5"/>
  <c r="T79" i="5"/>
  <c r="N79" i="5"/>
  <c r="M79" i="5"/>
  <c r="L79" i="5"/>
  <c r="J79" i="5"/>
  <c r="G79" i="5"/>
  <c r="F79" i="5"/>
  <c r="E79" i="5"/>
  <c r="D79" i="5"/>
  <c r="M78" i="5"/>
  <c r="L78" i="5"/>
  <c r="J78" i="5"/>
  <c r="G78" i="5"/>
  <c r="F78" i="5"/>
  <c r="E78" i="5"/>
  <c r="D78" i="5"/>
  <c r="T78" i="5" s="1"/>
  <c r="T77" i="5"/>
  <c r="L77" i="5"/>
  <c r="J77" i="5"/>
  <c r="M77" i="5" s="1"/>
  <c r="G77" i="5"/>
  <c r="F77" i="5"/>
  <c r="E77" i="5"/>
  <c r="D77" i="5"/>
  <c r="L76" i="5"/>
  <c r="J76" i="5"/>
  <c r="M76" i="5" s="1"/>
  <c r="G76" i="5"/>
  <c r="F76" i="5"/>
  <c r="E76" i="5"/>
  <c r="D76" i="5"/>
  <c r="T76" i="5" s="1"/>
  <c r="M75" i="5"/>
  <c r="L75" i="5"/>
  <c r="J75" i="5"/>
  <c r="G75" i="5"/>
  <c r="F75" i="5"/>
  <c r="E75" i="5"/>
  <c r="D75" i="5"/>
  <c r="T75" i="5" s="1"/>
  <c r="M74" i="5"/>
  <c r="L74" i="5"/>
  <c r="J74" i="5"/>
  <c r="G74" i="5"/>
  <c r="F74" i="5"/>
  <c r="E74" i="5"/>
  <c r="D74" i="5"/>
  <c r="T74" i="5" s="1"/>
  <c r="M73" i="5"/>
  <c r="L73" i="5"/>
  <c r="J73" i="5"/>
  <c r="G73" i="5"/>
  <c r="F73" i="5"/>
  <c r="E73" i="5"/>
  <c r="D73" i="5"/>
  <c r="T73" i="5" s="1"/>
  <c r="L72" i="5"/>
  <c r="J72" i="5"/>
  <c r="M72" i="5" s="1"/>
  <c r="G72" i="5"/>
  <c r="F72" i="5"/>
  <c r="E72" i="5"/>
  <c r="D72" i="5"/>
  <c r="T72" i="5" s="1"/>
  <c r="M71" i="5"/>
  <c r="L71" i="5"/>
  <c r="J71" i="5"/>
  <c r="G71" i="5"/>
  <c r="F71" i="5"/>
  <c r="E71" i="5"/>
  <c r="D71" i="5"/>
  <c r="T71" i="5" s="1"/>
  <c r="M70" i="5"/>
  <c r="L70" i="5"/>
  <c r="J70" i="5"/>
  <c r="G70" i="5"/>
  <c r="F70" i="5"/>
  <c r="E70" i="5"/>
  <c r="D70" i="5"/>
  <c r="T70" i="5" s="1"/>
  <c r="M69" i="5"/>
  <c r="L69" i="5"/>
  <c r="J69" i="5"/>
  <c r="G69" i="5"/>
  <c r="F69" i="5"/>
  <c r="E69" i="5"/>
  <c r="D69" i="5"/>
  <c r="T69" i="5" s="1"/>
  <c r="L68" i="5"/>
  <c r="J68" i="5"/>
  <c r="M68" i="5" s="1"/>
  <c r="G68" i="5"/>
  <c r="F68" i="5"/>
  <c r="E68" i="5"/>
  <c r="D68" i="5"/>
  <c r="T68" i="5" s="1"/>
  <c r="M67" i="5"/>
  <c r="L67" i="5"/>
  <c r="J67" i="5"/>
  <c r="G67" i="5"/>
  <c r="F67" i="5"/>
  <c r="E67" i="5"/>
  <c r="D67" i="5"/>
  <c r="T67" i="5" s="1"/>
  <c r="L66" i="5"/>
  <c r="J66" i="5"/>
  <c r="M66" i="5" s="1"/>
  <c r="G66" i="5"/>
  <c r="F66" i="5"/>
  <c r="E66" i="5"/>
  <c r="D66" i="5"/>
  <c r="T66" i="5" s="1"/>
  <c r="T65" i="5"/>
  <c r="L65" i="5"/>
  <c r="J65" i="5"/>
  <c r="M65" i="5" s="1"/>
  <c r="O65" i="5" s="1"/>
  <c r="G65" i="5"/>
  <c r="F65" i="5"/>
  <c r="E65" i="5"/>
  <c r="D65" i="5"/>
  <c r="L64" i="5"/>
  <c r="J64" i="5"/>
  <c r="M64" i="5" s="1"/>
  <c r="G64" i="5"/>
  <c r="F64" i="5"/>
  <c r="E64" i="5"/>
  <c r="D64" i="5"/>
  <c r="T64" i="5" s="1"/>
  <c r="M63" i="5"/>
  <c r="L63" i="5"/>
  <c r="J63" i="5"/>
  <c r="G63" i="5"/>
  <c r="F63" i="5"/>
  <c r="E63" i="5"/>
  <c r="D63" i="5"/>
  <c r="T63" i="5" s="1"/>
  <c r="M62" i="5"/>
  <c r="L62" i="5"/>
  <c r="J62" i="5"/>
  <c r="G62" i="5"/>
  <c r="F62" i="5"/>
  <c r="E62" i="5"/>
  <c r="D62" i="5"/>
  <c r="T62" i="5" s="1"/>
  <c r="M61" i="5"/>
  <c r="L61" i="5"/>
  <c r="J61" i="5"/>
  <c r="G61" i="5"/>
  <c r="F61" i="5"/>
  <c r="E61" i="5"/>
  <c r="D61" i="5"/>
  <c r="T61" i="5" s="1"/>
  <c r="M60" i="5"/>
  <c r="L60" i="5"/>
  <c r="J60" i="5"/>
  <c r="G60" i="5"/>
  <c r="F60" i="5"/>
  <c r="E60" i="5"/>
  <c r="D60" i="5"/>
  <c r="T60" i="5" s="1"/>
  <c r="M59" i="5"/>
  <c r="L59" i="5"/>
  <c r="J59" i="5"/>
  <c r="G59" i="5"/>
  <c r="F59" i="5"/>
  <c r="E59" i="5"/>
  <c r="D59" i="5"/>
  <c r="T59" i="5" s="1"/>
  <c r="M58" i="5"/>
  <c r="L58" i="5"/>
  <c r="J58" i="5"/>
  <c r="G58" i="5"/>
  <c r="F58" i="5"/>
  <c r="E58" i="5"/>
  <c r="D58" i="5"/>
  <c r="T58" i="5" s="1"/>
  <c r="L57" i="5"/>
  <c r="J57" i="5"/>
  <c r="M57" i="5" s="1"/>
  <c r="G57" i="5"/>
  <c r="F57" i="5"/>
  <c r="E57" i="5"/>
  <c r="D57" i="5"/>
  <c r="T57" i="5" s="1"/>
  <c r="M56" i="5"/>
  <c r="L56" i="5"/>
  <c r="J56" i="5"/>
  <c r="G56" i="5"/>
  <c r="F56" i="5"/>
  <c r="E56" i="5"/>
  <c r="D56" i="5"/>
  <c r="T56" i="5" s="1"/>
  <c r="L55" i="5"/>
  <c r="J55" i="5"/>
  <c r="M55" i="5" s="1"/>
  <c r="G55" i="5"/>
  <c r="F55" i="5"/>
  <c r="E55" i="5"/>
  <c r="D55" i="5"/>
  <c r="T55" i="5" s="1"/>
  <c r="L54" i="5"/>
  <c r="J54" i="5"/>
  <c r="M54" i="5" s="1"/>
  <c r="G54" i="5"/>
  <c r="F54" i="5"/>
  <c r="E54" i="5"/>
  <c r="D54" i="5"/>
  <c r="T54" i="5" s="1"/>
  <c r="T53" i="5"/>
  <c r="L53" i="5"/>
  <c r="J53" i="5"/>
  <c r="M53" i="5" s="1"/>
  <c r="G53" i="5"/>
  <c r="F53" i="5"/>
  <c r="E53" i="5"/>
  <c r="D53" i="5"/>
  <c r="M52" i="5"/>
  <c r="L52" i="5"/>
  <c r="J52" i="5"/>
  <c r="G52" i="5"/>
  <c r="F52" i="5"/>
  <c r="E52" i="5"/>
  <c r="D52" i="5"/>
  <c r="T52" i="5" s="1"/>
  <c r="M51" i="5"/>
  <c r="L51" i="5"/>
  <c r="J51" i="5"/>
  <c r="G51" i="5"/>
  <c r="F51" i="5"/>
  <c r="E51" i="5"/>
  <c r="D51" i="5"/>
  <c r="T51" i="5" s="1"/>
  <c r="T50" i="5"/>
  <c r="M50" i="5"/>
  <c r="L50" i="5"/>
  <c r="J50" i="5"/>
  <c r="G50" i="5"/>
  <c r="F50" i="5"/>
  <c r="E50" i="5"/>
  <c r="D50" i="5"/>
  <c r="M49" i="5"/>
  <c r="L49" i="5"/>
  <c r="J49" i="5"/>
  <c r="G49" i="5"/>
  <c r="F49" i="5"/>
  <c r="E49" i="5"/>
  <c r="D49" i="5"/>
  <c r="T49" i="5" s="1"/>
  <c r="M48" i="5"/>
  <c r="L48" i="5"/>
  <c r="J48" i="5"/>
  <c r="G48" i="5"/>
  <c r="F48" i="5"/>
  <c r="E48" i="5"/>
  <c r="D48" i="5"/>
  <c r="T48" i="5" s="1"/>
  <c r="M47" i="5"/>
  <c r="L47" i="5"/>
  <c r="J47" i="5"/>
  <c r="G47" i="5"/>
  <c r="F47" i="5"/>
  <c r="E47" i="5"/>
  <c r="D47" i="5"/>
  <c r="T47" i="5" s="1"/>
  <c r="M46" i="5"/>
  <c r="L46" i="5"/>
  <c r="J46" i="5"/>
  <c r="G46" i="5"/>
  <c r="F46" i="5"/>
  <c r="E46" i="5"/>
  <c r="D46" i="5"/>
  <c r="T46" i="5" s="1"/>
  <c r="M45" i="5"/>
  <c r="L45" i="5"/>
  <c r="J45" i="5"/>
  <c r="G45" i="5"/>
  <c r="F45" i="5"/>
  <c r="E45" i="5"/>
  <c r="D45" i="5"/>
  <c r="T45" i="5" s="1"/>
  <c r="T44" i="5"/>
  <c r="L44" i="5"/>
  <c r="J44" i="5"/>
  <c r="M44" i="5" s="1"/>
  <c r="G44" i="5"/>
  <c r="F44" i="5"/>
  <c r="E44" i="5"/>
  <c r="D44" i="5"/>
  <c r="L43" i="5"/>
  <c r="J43" i="5"/>
  <c r="M43" i="5" s="1"/>
  <c r="G43" i="5"/>
  <c r="F43" i="5"/>
  <c r="E43" i="5"/>
  <c r="D43" i="5"/>
  <c r="T43" i="5" s="1"/>
  <c r="L42" i="5"/>
  <c r="J42" i="5"/>
  <c r="M42" i="5" s="1"/>
  <c r="G42" i="5"/>
  <c r="F42" i="5"/>
  <c r="E42" i="5"/>
  <c r="D42" i="5"/>
  <c r="T42" i="5" s="1"/>
  <c r="T41" i="5"/>
  <c r="M41" i="5"/>
  <c r="L41" i="5"/>
  <c r="J41" i="5"/>
  <c r="G41" i="5"/>
  <c r="F41" i="5"/>
  <c r="E41" i="5"/>
  <c r="D41" i="5"/>
  <c r="M40" i="5"/>
  <c r="L40" i="5"/>
  <c r="J40" i="5"/>
  <c r="G40" i="5"/>
  <c r="F40" i="5"/>
  <c r="E40" i="5"/>
  <c r="D40" i="5"/>
  <c r="T40" i="5" s="1"/>
  <c r="M39" i="5"/>
  <c r="L39" i="5"/>
  <c r="J39" i="5"/>
  <c r="G39" i="5"/>
  <c r="F39" i="5"/>
  <c r="E39" i="5"/>
  <c r="D39" i="5"/>
  <c r="T39" i="5" s="1"/>
  <c r="M38" i="5"/>
  <c r="L38" i="5"/>
  <c r="J38" i="5"/>
  <c r="G38" i="5"/>
  <c r="F38" i="5"/>
  <c r="E38" i="5"/>
  <c r="D38" i="5"/>
  <c r="T38" i="5" s="1"/>
  <c r="M37" i="5"/>
  <c r="L37" i="5"/>
  <c r="J37" i="5"/>
  <c r="G37" i="5"/>
  <c r="F37" i="5"/>
  <c r="E37" i="5"/>
  <c r="D37" i="5"/>
  <c r="T37" i="5" s="1"/>
  <c r="M36" i="5"/>
  <c r="L36" i="5"/>
  <c r="J36" i="5"/>
  <c r="G36" i="5"/>
  <c r="F36" i="5"/>
  <c r="E36" i="5"/>
  <c r="D36" i="5"/>
  <c r="T36" i="5" s="1"/>
  <c r="M35" i="5"/>
  <c r="L35" i="5"/>
  <c r="J35" i="5"/>
  <c r="G35" i="5"/>
  <c r="F35" i="5"/>
  <c r="E35" i="5"/>
  <c r="D35" i="5"/>
  <c r="T35" i="5" s="1"/>
  <c r="M34" i="5"/>
  <c r="L34" i="5"/>
  <c r="J34" i="5"/>
  <c r="G34" i="5"/>
  <c r="F34" i="5"/>
  <c r="E34" i="5"/>
  <c r="D34" i="5"/>
  <c r="T34" i="5" s="1"/>
  <c r="L33" i="5"/>
  <c r="J33" i="5"/>
  <c r="M33" i="5" s="1"/>
  <c r="G33" i="5"/>
  <c r="F33" i="5"/>
  <c r="E33" i="5"/>
  <c r="D33" i="5"/>
  <c r="T33" i="5" s="1"/>
  <c r="L32" i="5"/>
  <c r="J32" i="5"/>
  <c r="M32" i="5" s="1"/>
  <c r="G32" i="5"/>
  <c r="F32" i="5"/>
  <c r="E32" i="5"/>
  <c r="D32" i="5"/>
  <c r="T32" i="5" s="1"/>
  <c r="T31" i="5"/>
  <c r="L31" i="5"/>
  <c r="J31" i="5"/>
  <c r="M31" i="5" s="1"/>
  <c r="G31" i="5"/>
  <c r="F31" i="5"/>
  <c r="E31" i="5"/>
  <c r="D31" i="5"/>
  <c r="M30" i="5"/>
  <c r="L30" i="5"/>
  <c r="J30" i="5"/>
  <c r="G30" i="5"/>
  <c r="F30" i="5"/>
  <c r="E30" i="5"/>
  <c r="D30" i="5"/>
  <c r="T30" i="5" s="1"/>
  <c r="M29" i="5"/>
  <c r="L29" i="5"/>
  <c r="J29" i="5"/>
  <c r="G29" i="5"/>
  <c r="F29" i="5"/>
  <c r="E29" i="5"/>
  <c r="D29" i="5"/>
  <c r="T29" i="5" s="1"/>
  <c r="T28" i="5"/>
  <c r="M28" i="5"/>
  <c r="L28" i="5"/>
  <c r="J28" i="5"/>
  <c r="G28" i="5"/>
  <c r="F28" i="5"/>
  <c r="E28" i="5"/>
  <c r="D28" i="5"/>
  <c r="L27" i="5"/>
  <c r="N27" i="5" s="1"/>
  <c r="J27" i="5"/>
  <c r="M27" i="5" s="1"/>
  <c r="G27" i="5"/>
  <c r="F27" i="5"/>
  <c r="E27" i="5"/>
  <c r="D27" i="5"/>
  <c r="T27" i="5" s="1"/>
  <c r="M26" i="5"/>
  <c r="L26" i="5"/>
  <c r="J26" i="5"/>
  <c r="G26" i="5"/>
  <c r="F26" i="5"/>
  <c r="E26" i="5"/>
  <c r="D26" i="5"/>
  <c r="T26" i="5" s="1"/>
  <c r="M25" i="5"/>
  <c r="L25" i="5"/>
  <c r="J25" i="5"/>
  <c r="G25" i="5"/>
  <c r="F25" i="5"/>
  <c r="E25" i="5"/>
  <c r="D25" i="5"/>
  <c r="T25" i="5" s="1"/>
  <c r="M24" i="5"/>
  <c r="L24" i="5"/>
  <c r="N24" i="5" s="1"/>
  <c r="J24" i="5"/>
  <c r="G24" i="5"/>
  <c r="F24" i="5"/>
  <c r="E24" i="5"/>
  <c r="D24" i="5"/>
  <c r="T24" i="5" s="1"/>
  <c r="M23" i="5"/>
  <c r="L23" i="5"/>
  <c r="J23" i="5"/>
  <c r="G23" i="5"/>
  <c r="F23" i="5"/>
  <c r="E23" i="5"/>
  <c r="D23" i="5"/>
  <c r="T23" i="5" s="1"/>
  <c r="T22" i="5"/>
  <c r="N22" i="5"/>
  <c r="L22" i="5"/>
  <c r="J22" i="5"/>
  <c r="M22" i="5" s="1"/>
  <c r="G22" i="5"/>
  <c r="F22" i="5"/>
  <c r="E22" i="5"/>
  <c r="D22" i="5"/>
  <c r="L21" i="5"/>
  <c r="J21" i="5"/>
  <c r="M21" i="5" s="1"/>
  <c r="G21" i="5"/>
  <c r="F21" i="5"/>
  <c r="E21" i="5"/>
  <c r="D21" i="5"/>
  <c r="T21" i="5" s="1"/>
  <c r="L20" i="5"/>
  <c r="N20" i="5" s="1"/>
  <c r="J20" i="5"/>
  <c r="M20" i="5" s="1"/>
  <c r="G20" i="5"/>
  <c r="F20" i="5"/>
  <c r="E20" i="5"/>
  <c r="D20" i="5"/>
  <c r="T20" i="5" s="1"/>
  <c r="T19" i="5"/>
  <c r="M19" i="5"/>
  <c r="L19" i="5"/>
  <c r="J19" i="5"/>
  <c r="G19" i="5"/>
  <c r="F19" i="5"/>
  <c r="E19" i="5"/>
  <c r="D19" i="5"/>
  <c r="M18" i="5"/>
  <c r="L18" i="5"/>
  <c r="J18" i="5"/>
  <c r="G18" i="5"/>
  <c r="F18" i="5"/>
  <c r="E18" i="5"/>
  <c r="D18" i="5"/>
  <c r="T18" i="5" s="1"/>
  <c r="L17" i="5"/>
  <c r="J17" i="5"/>
  <c r="M17" i="5" s="1"/>
  <c r="G17" i="5"/>
  <c r="F17" i="5"/>
  <c r="E17" i="5"/>
  <c r="D17" i="5"/>
  <c r="T17" i="5" s="1"/>
  <c r="Z16" i="5"/>
  <c r="T16" i="5"/>
  <c r="M16" i="5"/>
  <c r="L16" i="5"/>
  <c r="N16" i="5" s="1"/>
  <c r="J16" i="5"/>
  <c r="G16" i="5"/>
  <c r="F16" i="5"/>
  <c r="E16" i="5"/>
  <c r="D16" i="5"/>
  <c r="L15" i="5"/>
  <c r="J15" i="5"/>
  <c r="M15" i="5" s="1"/>
  <c r="G15" i="5"/>
  <c r="F15" i="5"/>
  <c r="E15" i="5"/>
  <c r="D15" i="5"/>
  <c r="T15" i="5" s="1"/>
  <c r="L14" i="5"/>
  <c r="N14" i="5" s="1"/>
  <c r="J14" i="5"/>
  <c r="M14" i="5" s="1"/>
  <c r="G14" i="5"/>
  <c r="F14" i="5"/>
  <c r="E14" i="5"/>
  <c r="D14" i="5"/>
  <c r="T14" i="5" s="1"/>
  <c r="M13" i="5"/>
  <c r="L13" i="5"/>
  <c r="J13" i="5"/>
  <c r="G13" i="5"/>
  <c r="F13" i="5"/>
  <c r="E13" i="5"/>
  <c r="D13" i="5"/>
  <c r="T13" i="5" s="1"/>
  <c r="M12" i="5"/>
  <c r="L12" i="5"/>
  <c r="J12" i="5"/>
  <c r="G12" i="5"/>
  <c r="F12" i="5"/>
  <c r="E12" i="5"/>
  <c r="D12" i="5"/>
  <c r="T12" i="5" s="1"/>
  <c r="M11" i="5"/>
  <c r="L11" i="5"/>
  <c r="J11" i="5"/>
  <c r="G11" i="5"/>
  <c r="F11" i="5"/>
  <c r="E11" i="5"/>
  <c r="D11" i="5"/>
  <c r="T11" i="5" s="1"/>
  <c r="L10" i="5"/>
  <c r="J10" i="5"/>
  <c r="M10" i="5" s="1"/>
  <c r="G10" i="5"/>
  <c r="F10" i="5"/>
  <c r="E10" i="5"/>
  <c r="D10" i="5"/>
  <c r="T10" i="5" s="1"/>
  <c r="M9" i="5"/>
  <c r="L9" i="5"/>
  <c r="J9" i="5"/>
  <c r="G9" i="5"/>
  <c r="F9" i="5"/>
  <c r="E9" i="5"/>
  <c r="D9" i="5"/>
  <c r="T9" i="5" s="1"/>
  <c r="M8" i="5"/>
  <c r="L8" i="5"/>
  <c r="J8" i="5"/>
  <c r="G8" i="5"/>
  <c r="F8" i="5"/>
  <c r="E8" i="5"/>
  <c r="D8" i="5"/>
  <c r="T8" i="5" s="1"/>
  <c r="M7" i="5"/>
  <c r="L7" i="5"/>
  <c r="J7" i="5"/>
  <c r="G7" i="5"/>
  <c r="F7" i="5"/>
  <c r="E7" i="5"/>
  <c r="D7" i="5"/>
  <c r="T7" i="5" s="1"/>
  <c r="L6" i="5"/>
  <c r="J6" i="5"/>
  <c r="M6" i="5" s="1"/>
  <c r="G6" i="5"/>
  <c r="F6" i="5"/>
  <c r="E6" i="5"/>
  <c r="D6" i="5"/>
  <c r="T6" i="5" s="1"/>
  <c r="L5" i="5"/>
  <c r="J5" i="5"/>
  <c r="M5" i="5" s="1"/>
  <c r="G5" i="5"/>
  <c r="F5" i="5"/>
  <c r="E5" i="5"/>
  <c r="D5" i="5"/>
  <c r="T5" i="5" s="1"/>
  <c r="L4" i="5"/>
  <c r="J4" i="5"/>
  <c r="M4" i="5" s="1"/>
  <c r="G4" i="5"/>
  <c r="F4" i="5"/>
  <c r="E4" i="5"/>
  <c r="D4" i="5"/>
  <c r="T4" i="5" s="1"/>
  <c r="T3" i="5"/>
  <c r="L3" i="5"/>
  <c r="J3" i="5"/>
  <c r="M3" i="5" s="1"/>
  <c r="G3" i="5"/>
  <c r="F3" i="5"/>
  <c r="E3" i="5"/>
  <c r="D3" i="5"/>
  <c r="M2" i="5"/>
  <c r="L2" i="5"/>
  <c r="N67" i="5" s="1"/>
  <c r="J2" i="5"/>
  <c r="G2" i="5"/>
  <c r="F2" i="5"/>
  <c r="E2" i="5"/>
  <c r="D2" i="5"/>
  <c r="T2" i="5" s="1"/>
  <c r="N108" i="4"/>
  <c r="M108" i="4"/>
  <c r="L108" i="4"/>
  <c r="K108" i="4"/>
  <c r="J108" i="4"/>
  <c r="I108" i="4"/>
  <c r="H108" i="4"/>
  <c r="G108" i="4"/>
  <c r="F108" i="4"/>
  <c r="E108" i="4"/>
  <c r="D108" i="4"/>
  <c r="C108" i="4"/>
  <c r="N107" i="4"/>
  <c r="M107" i="4"/>
  <c r="L107" i="4"/>
  <c r="K107" i="4"/>
  <c r="J107" i="4"/>
  <c r="I107" i="4"/>
  <c r="H107" i="4"/>
  <c r="G107" i="4"/>
  <c r="F107" i="4"/>
  <c r="E107" i="4"/>
  <c r="D107" i="4"/>
  <c r="C107" i="4"/>
  <c r="N106" i="4"/>
  <c r="M106" i="4"/>
  <c r="L106" i="4"/>
  <c r="K106" i="4"/>
  <c r="J106" i="4"/>
  <c r="I106" i="4"/>
  <c r="H106" i="4"/>
  <c r="G106" i="4"/>
  <c r="F106" i="4"/>
  <c r="E106" i="4"/>
  <c r="D106" i="4"/>
  <c r="C106" i="4"/>
  <c r="N105" i="4"/>
  <c r="M105" i="4"/>
  <c r="L105" i="4"/>
  <c r="K105" i="4"/>
  <c r="J105" i="4"/>
  <c r="I105" i="4"/>
  <c r="H105" i="4"/>
  <c r="G105" i="4"/>
  <c r="F105" i="4"/>
  <c r="E105" i="4"/>
  <c r="D105" i="4"/>
  <c r="C105" i="4"/>
  <c r="N104" i="4"/>
  <c r="M104" i="4"/>
  <c r="L104" i="4"/>
  <c r="K104" i="4"/>
  <c r="J104" i="4"/>
  <c r="I104" i="4"/>
  <c r="H104" i="4"/>
  <c r="G104" i="4"/>
  <c r="F104" i="4"/>
  <c r="E104" i="4"/>
  <c r="D104" i="4"/>
  <c r="C104" i="4"/>
  <c r="N103" i="4"/>
  <c r="M103" i="4"/>
  <c r="L103" i="4"/>
  <c r="K103" i="4"/>
  <c r="J103" i="4"/>
  <c r="I103" i="4"/>
  <c r="H103" i="4"/>
  <c r="G103" i="4"/>
  <c r="F103" i="4"/>
  <c r="E103" i="4"/>
  <c r="D103" i="4"/>
  <c r="C103" i="4"/>
  <c r="N102" i="4"/>
  <c r="M102" i="4"/>
  <c r="L102" i="4"/>
  <c r="K102" i="4"/>
  <c r="J102" i="4"/>
  <c r="I102" i="4"/>
  <c r="H102" i="4"/>
  <c r="G102" i="4"/>
  <c r="F102" i="4"/>
  <c r="E102" i="4"/>
  <c r="D102" i="4"/>
  <c r="C102" i="4"/>
  <c r="N101" i="4"/>
  <c r="M101" i="4"/>
  <c r="L101" i="4"/>
  <c r="K101" i="4"/>
  <c r="J101" i="4"/>
  <c r="I101" i="4"/>
  <c r="H101" i="4"/>
  <c r="G101" i="4"/>
  <c r="F101" i="4"/>
  <c r="E101" i="4"/>
  <c r="D101" i="4"/>
  <c r="C101" i="4"/>
  <c r="N100" i="4"/>
  <c r="M100" i="4"/>
  <c r="L100" i="4"/>
  <c r="K100" i="4"/>
  <c r="J100" i="4"/>
  <c r="I100" i="4"/>
  <c r="H100" i="4"/>
  <c r="G100" i="4"/>
  <c r="F100" i="4"/>
  <c r="E100" i="4"/>
  <c r="D100" i="4"/>
  <c r="C100" i="4"/>
  <c r="N99" i="4"/>
  <c r="M99" i="4"/>
  <c r="L99" i="4"/>
  <c r="K99" i="4"/>
  <c r="J99" i="4"/>
  <c r="I99" i="4"/>
  <c r="H99" i="4"/>
  <c r="G99" i="4"/>
  <c r="F99" i="4"/>
  <c r="E99" i="4"/>
  <c r="D99" i="4"/>
  <c r="C99" i="4"/>
  <c r="N98" i="4"/>
  <c r="M98" i="4"/>
  <c r="L98" i="4"/>
  <c r="K98" i="4"/>
  <c r="J98" i="4"/>
  <c r="I98" i="4"/>
  <c r="H98" i="4"/>
  <c r="G98" i="4"/>
  <c r="F98" i="4"/>
  <c r="E98" i="4"/>
  <c r="D98" i="4"/>
  <c r="C98" i="4"/>
  <c r="N97" i="4"/>
  <c r="M97" i="4"/>
  <c r="L97" i="4"/>
  <c r="K97" i="4"/>
  <c r="J97" i="4"/>
  <c r="I97" i="4"/>
  <c r="H97" i="4"/>
  <c r="G97" i="4"/>
  <c r="F97" i="4"/>
  <c r="E97" i="4"/>
  <c r="D97" i="4"/>
  <c r="C97" i="4"/>
  <c r="N96" i="4"/>
  <c r="M96" i="4"/>
  <c r="L96" i="4"/>
  <c r="K96" i="4"/>
  <c r="J96" i="4"/>
  <c r="I96" i="4"/>
  <c r="H96" i="4"/>
  <c r="G96" i="4"/>
  <c r="F96" i="4"/>
  <c r="E96" i="4"/>
  <c r="D96" i="4"/>
  <c r="C96" i="4"/>
  <c r="N95" i="4"/>
  <c r="M95" i="4"/>
  <c r="L95" i="4"/>
  <c r="K95" i="4"/>
  <c r="J95" i="4"/>
  <c r="I95" i="4"/>
  <c r="H95" i="4"/>
  <c r="G95" i="4"/>
  <c r="F95" i="4"/>
  <c r="E95" i="4"/>
  <c r="D95" i="4"/>
  <c r="C95" i="4"/>
  <c r="N94" i="4"/>
  <c r="M94" i="4"/>
  <c r="L94" i="4"/>
  <c r="K94" i="4"/>
  <c r="J94" i="4"/>
  <c r="I94" i="4"/>
  <c r="H94" i="4"/>
  <c r="G94" i="4"/>
  <c r="F94" i="4"/>
  <c r="E94" i="4"/>
  <c r="D94" i="4"/>
  <c r="C94" i="4"/>
  <c r="N93" i="4"/>
  <c r="M93" i="4"/>
  <c r="L93" i="4"/>
  <c r="K93" i="4"/>
  <c r="J93" i="4"/>
  <c r="I93" i="4"/>
  <c r="H93" i="4"/>
  <c r="G93" i="4"/>
  <c r="F93" i="4"/>
  <c r="E93" i="4"/>
  <c r="D93" i="4"/>
  <c r="C93" i="4"/>
  <c r="N92" i="4"/>
  <c r="M92" i="4"/>
  <c r="L92" i="4"/>
  <c r="K92" i="4"/>
  <c r="J92" i="4"/>
  <c r="I92" i="4"/>
  <c r="H92" i="4"/>
  <c r="G92" i="4"/>
  <c r="F92" i="4"/>
  <c r="E92" i="4"/>
  <c r="D92" i="4"/>
  <c r="C92" i="4"/>
  <c r="N91" i="4"/>
  <c r="M91" i="4"/>
  <c r="L91" i="4"/>
  <c r="K91" i="4"/>
  <c r="J91" i="4"/>
  <c r="I91" i="4"/>
  <c r="H91" i="4"/>
  <c r="G91" i="4"/>
  <c r="F91" i="4"/>
  <c r="E91" i="4"/>
  <c r="D91" i="4"/>
  <c r="C91" i="4"/>
  <c r="N90" i="4"/>
  <c r="M90" i="4"/>
  <c r="L90" i="4"/>
  <c r="K90" i="4"/>
  <c r="J90" i="4"/>
  <c r="I90" i="4"/>
  <c r="H90" i="4"/>
  <c r="G90" i="4"/>
  <c r="F90" i="4"/>
  <c r="E90" i="4"/>
  <c r="D90" i="4"/>
  <c r="C90" i="4"/>
  <c r="N89" i="4"/>
  <c r="M89" i="4"/>
  <c r="L89" i="4"/>
  <c r="K89" i="4"/>
  <c r="J89" i="4"/>
  <c r="I89" i="4"/>
  <c r="H89" i="4"/>
  <c r="G89" i="4"/>
  <c r="F89" i="4"/>
  <c r="E89" i="4"/>
  <c r="D89" i="4"/>
  <c r="C89" i="4"/>
  <c r="N88" i="4"/>
  <c r="M88" i="4"/>
  <c r="L88" i="4"/>
  <c r="K88" i="4"/>
  <c r="J88" i="4"/>
  <c r="I88" i="4"/>
  <c r="H88" i="4"/>
  <c r="G88" i="4"/>
  <c r="F88" i="4"/>
  <c r="E88" i="4"/>
  <c r="D88" i="4"/>
  <c r="C88" i="4"/>
  <c r="N87" i="4"/>
  <c r="M87" i="4"/>
  <c r="L87" i="4"/>
  <c r="K87" i="4"/>
  <c r="J87" i="4"/>
  <c r="I87" i="4"/>
  <c r="H87" i="4"/>
  <c r="G87" i="4"/>
  <c r="F87" i="4"/>
  <c r="E87" i="4"/>
  <c r="D87" i="4"/>
  <c r="C87" i="4"/>
  <c r="N86" i="4"/>
  <c r="M86" i="4"/>
  <c r="L86" i="4"/>
  <c r="K86" i="4"/>
  <c r="J86" i="4"/>
  <c r="I86" i="4"/>
  <c r="H86" i="4"/>
  <c r="G86" i="4"/>
  <c r="F86" i="4"/>
  <c r="E86" i="4"/>
  <c r="D86" i="4"/>
  <c r="C86" i="4"/>
  <c r="N85" i="4"/>
  <c r="M85" i="4"/>
  <c r="L85" i="4"/>
  <c r="K85" i="4"/>
  <c r="J85" i="4"/>
  <c r="I85" i="4"/>
  <c r="H85" i="4"/>
  <c r="G85" i="4"/>
  <c r="F85" i="4"/>
  <c r="E85" i="4"/>
  <c r="D85" i="4"/>
  <c r="C85" i="4"/>
  <c r="N84" i="4"/>
  <c r="M84" i="4"/>
  <c r="L84" i="4"/>
  <c r="K84" i="4"/>
  <c r="J84" i="4"/>
  <c r="I84" i="4"/>
  <c r="H84" i="4"/>
  <c r="G84" i="4"/>
  <c r="F84" i="4"/>
  <c r="E84" i="4"/>
  <c r="D84" i="4"/>
  <c r="C84" i="4"/>
  <c r="N83" i="4"/>
  <c r="M83" i="4"/>
  <c r="L83" i="4"/>
  <c r="K83" i="4"/>
  <c r="J83" i="4"/>
  <c r="I83" i="4"/>
  <c r="H83" i="4"/>
  <c r="G83" i="4"/>
  <c r="F83" i="4"/>
  <c r="E83" i="4"/>
  <c r="D83" i="4"/>
  <c r="C83" i="4"/>
  <c r="N82" i="4"/>
  <c r="M82" i="4"/>
  <c r="L82" i="4"/>
  <c r="K82" i="4"/>
  <c r="J82" i="4"/>
  <c r="I82" i="4"/>
  <c r="H82" i="4"/>
  <c r="G82" i="4"/>
  <c r="F82" i="4"/>
  <c r="E82" i="4"/>
  <c r="D82" i="4"/>
  <c r="C82" i="4"/>
  <c r="N81" i="4"/>
  <c r="M81" i="4"/>
  <c r="L81" i="4"/>
  <c r="K81" i="4"/>
  <c r="J81" i="4"/>
  <c r="I81" i="4"/>
  <c r="H81" i="4"/>
  <c r="G81" i="4"/>
  <c r="F81" i="4"/>
  <c r="E81" i="4"/>
  <c r="D81" i="4"/>
  <c r="C81" i="4"/>
  <c r="N80" i="4"/>
  <c r="M80" i="4"/>
  <c r="L80" i="4"/>
  <c r="K80" i="4"/>
  <c r="J80" i="4"/>
  <c r="I80" i="4"/>
  <c r="H80" i="4"/>
  <c r="G80" i="4"/>
  <c r="F80" i="4"/>
  <c r="E80" i="4"/>
  <c r="D80" i="4"/>
  <c r="C80" i="4"/>
  <c r="N79" i="4"/>
  <c r="M79" i="4"/>
  <c r="L79" i="4"/>
  <c r="K79" i="4"/>
  <c r="J79" i="4"/>
  <c r="I79" i="4"/>
  <c r="H79" i="4"/>
  <c r="G79" i="4"/>
  <c r="F79" i="4"/>
  <c r="E79" i="4"/>
  <c r="D79" i="4"/>
  <c r="C79" i="4"/>
  <c r="N78" i="4"/>
  <c r="M78" i="4"/>
  <c r="L78" i="4"/>
  <c r="K78" i="4"/>
  <c r="J78" i="4"/>
  <c r="I78" i="4"/>
  <c r="H78" i="4"/>
  <c r="G78" i="4"/>
  <c r="F78" i="4"/>
  <c r="E78" i="4"/>
  <c r="D78" i="4"/>
  <c r="C78" i="4"/>
  <c r="N77" i="4"/>
  <c r="M77" i="4"/>
  <c r="L77" i="4"/>
  <c r="K77" i="4"/>
  <c r="J77" i="4"/>
  <c r="I77" i="4"/>
  <c r="H77" i="4"/>
  <c r="G77" i="4"/>
  <c r="F77" i="4"/>
  <c r="E77" i="4"/>
  <c r="D77" i="4"/>
  <c r="C77" i="4"/>
  <c r="N76" i="4"/>
  <c r="M76" i="4"/>
  <c r="L76" i="4"/>
  <c r="K76" i="4"/>
  <c r="J76" i="4"/>
  <c r="I76" i="4"/>
  <c r="H76" i="4"/>
  <c r="G76" i="4"/>
  <c r="F76" i="4"/>
  <c r="E76" i="4"/>
  <c r="D76" i="4"/>
  <c r="C76" i="4"/>
  <c r="N75" i="4"/>
  <c r="M75" i="4"/>
  <c r="L75" i="4"/>
  <c r="K75" i="4"/>
  <c r="J75" i="4"/>
  <c r="I75" i="4"/>
  <c r="H75" i="4"/>
  <c r="G75" i="4"/>
  <c r="F75" i="4"/>
  <c r="E75" i="4"/>
  <c r="D75" i="4"/>
  <c r="C75" i="4"/>
  <c r="N74" i="4"/>
  <c r="M74" i="4"/>
  <c r="L74" i="4"/>
  <c r="K74" i="4"/>
  <c r="J74" i="4"/>
  <c r="I74" i="4"/>
  <c r="H74" i="4"/>
  <c r="G74" i="4"/>
  <c r="F74" i="4"/>
  <c r="E74" i="4"/>
  <c r="D74" i="4"/>
  <c r="C74" i="4"/>
  <c r="N73" i="4"/>
  <c r="M73" i="4"/>
  <c r="L73" i="4"/>
  <c r="K73" i="4"/>
  <c r="J73" i="4"/>
  <c r="I73" i="4"/>
  <c r="H73" i="4"/>
  <c r="G73" i="4"/>
  <c r="F73" i="4"/>
  <c r="E73" i="4"/>
  <c r="D73" i="4"/>
  <c r="C73" i="4"/>
  <c r="N72" i="4"/>
  <c r="M72" i="4"/>
  <c r="L72" i="4"/>
  <c r="K72" i="4"/>
  <c r="J72" i="4"/>
  <c r="I72" i="4"/>
  <c r="H72" i="4"/>
  <c r="G72" i="4"/>
  <c r="F72" i="4"/>
  <c r="E72" i="4"/>
  <c r="D72" i="4"/>
  <c r="C72" i="4"/>
  <c r="N71" i="4"/>
  <c r="M71" i="4"/>
  <c r="L71" i="4"/>
  <c r="K71" i="4"/>
  <c r="J71" i="4"/>
  <c r="I71" i="4"/>
  <c r="H71" i="4"/>
  <c r="G71" i="4"/>
  <c r="F71" i="4"/>
  <c r="E71" i="4"/>
  <c r="D71" i="4"/>
  <c r="C71" i="4"/>
  <c r="N70" i="4"/>
  <c r="M70" i="4"/>
  <c r="L70" i="4"/>
  <c r="K70" i="4"/>
  <c r="J70" i="4"/>
  <c r="I70" i="4"/>
  <c r="H70" i="4"/>
  <c r="G70" i="4"/>
  <c r="F70" i="4"/>
  <c r="E70" i="4"/>
  <c r="D70" i="4"/>
  <c r="C70" i="4"/>
  <c r="N69" i="4"/>
  <c r="M69" i="4"/>
  <c r="L69" i="4"/>
  <c r="K69" i="4"/>
  <c r="J69" i="4"/>
  <c r="I69" i="4"/>
  <c r="H69" i="4"/>
  <c r="G69" i="4"/>
  <c r="F69" i="4"/>
  <c r="E69" i="4"/>
  <c r="D69" i="4"/>
  <c r="C69" i="4"/>
  <c r="N68" i="4"/>
  <c r="M68" i="4"/>
  <c r="L68" i="4"/>
  <c r="K68" i="4"/>
  <c r="J68" i="4"/>
  <c r="I68" i="4"/>
  <c r="H68" i="4"/>
  <c r="G68" i="4"/>
  <c r="F68" i="4"/>
  <c r="E68" i="4"/>
  <c r="D68" i="4"/>
  <c r="C68" i="4"/>
  <c r="N67" i="4"/>
  <c r="M67" i="4"/>
  <c r="L67" i="4"/>
  <c r="K67" i="4"/>
  <c r="J67" i="4"/>
  <c r="I67" i="4"/>
  <c r="H67" i="4"/>
  <c r="G67" i="4"/>
  <c r="F67" i="4"/>
  <c r="E67" i="4"/>
  <c r="D67" i="4"/>
  <c r="C67" i="4"/>
  <c r="N66" i="4"/>
  <c r="M66" i="4"/>
  <c r="L66" i="4"/>
  <c r="K66" i="4"/>
  <c r="J66" i="4"/>
  <c r="I66" i="4"/>
  <c r="H66" i="4"/>
  <c r="G66" i="4"/>
  <c r="F66" i="4"/>
  <c r="E66" i="4"/>
  <c r="D66" i="4"/>
  <c r="C66" i="4"/>
  <c r="N65" i="4"/>
  <c r="M65" i="4"/>
  <c r="L65" i="4"/>
  <c r="K65" i="4"/>
  <c r="J65" i="4"/>
  <c r="I65" i="4"/>
  <c r="H65" i="4"/>
  <c r="G65" i="4"/>
  <c r="F65" i="4"/>
  <c r="E65" i="4"/>
  <c r="D65" i="4"/>
  <c r="C65" i="4"/>
  <c r="N64" i="4"/>
  <c r="M64" i="4"/>
  <c r="L64" i="4"/>
  <c r="K64" i="4"/>
  <c r="J64" i="4"/>
  <c r="I64" i="4"/>
  <c r="H64" i="4"/>
  <c r="G64" i="4"/>
  <c r="F64" i="4"/>
  <c r="E64" i="4"/>
  <c r="D64" i="4"/>
  <c r="C64" i="4"/>
  <c r="N63" i="4"/>
  <c r="M63" i="4"/>
  <c r="L63" i="4"/>
  <c r="K63" i="4"/>
  <c r="J63" i="4"/>
  <c r="I63" i="4"/>
  <c r="H63" i="4"/>
  <c r="G63" i="4"/>
  <c r="F63" i="4"/>
  <c r="E63" i="4"/>
  <c r="D63" i="4"/>
  <c r="C63" i="4"/>
  <c r="N62" i="4"/>
  <c r="M62" i="4"/>
  <c r="L62" i="4"/>
  <c r="K62" i="4"/>
  <c r="J62" i="4"/>
  <c r="I62" i="4"/>
  <c r="H62" i="4"/>
  <c r="G62" i="4"/>
  <c r="F62" i="4"/>
  <c r="E62" i="4"/>
  <c r="D62" i="4"/>
  <c r="C62" i="4"/>
  <c r="N61" i="4"/>
  <c r="M61" i="4"/>
  <c r="L61" i="4"/>
  <c r="K61" i="4"/>
  <c r="J61" i="4"/>
  <c r="I61" i="4"/>
  <c r="H61" i="4"/>
  <c r="G61" i="4"/>
  <c r="F61" i="4"/>
  <c r="E61" i="4"/>
  <c r="D61" i="4"/>
  <c r="C61" i="4"/>
  <c r="N60" i="4"/>
  <c r="M60" i="4"/>
  <c r="L60" i="4"/>
  <c r="K60" i="4"/>
  <c r="J60" i="4"/>
  <c r="I60" i="4"/>
  <c r="H60" i="4"/>
  <c r="G60" i="4"/>
  <c r="F60" i="4"/>
  <c r="E60" i="4"/>
  <c r="D60" i="4"/>
  <c r="C60" i="4"/>
  <c r="N59" i="4"/>
  <c r="M59" i="4"/>
  <c r="L59" i="4"/>
  <c r="K59" i="4"/>
  <c r="J59" i="4"/>
  <c r="I59" i="4"/>
  <c r="H59" i="4"/>
  <c r="G59" i="4"/>
  <c r="F59" i="4"/>
  <c r="E59" i="4"/>
  <c r="D59" i="4"/>
  <c r="C59" i="4"/>
  <c r="N58" i="4"/>
  <c r="M58" i="4"/>
  <c r="L58" i="4"/>
  <c r="K58" i="4"/>
  <c r="J58" i="4"/>
  <c r="I58" i="4"/>
  <c r="H58" i="4"/>
  <c r="G58" i="4"/>
  <c r="F58" i="4"/>
  <c r="E58" i="4"/>
  <c r="D58" i="4"/>
  <c r="C58" i="4"/>
  <c r="N57" i="4"/>
  <c r="M57" i="4"/>
  <c r="L57" i="4"/>
  <c r="K57" i="4"/>
  <c r="J57" i="4"/>
  <c r="I57" i="4"/>
  <c r="H57" i="4"/>
  <c r="G57" i="4"/>
  <c r="F57" i="4"/>
  <c r="E57" i="4"/>
  <c r="D57" i="4"/>
  <c r="C57" i="4"/>
  <c r="N56" i="4"/>
  <c r="M56" i="4"/>
  <c r="L56" i="4"/>
  <c r="K56" i="4"/>
  <c r="J56" i="4"/>
  <c r="I56" i="4"/>
  <c r="H56" i="4"/>
  <c r="G56" i="4"/>
  <c r="F56" i="4"/>
  <c r="E56" i="4"/>
  <c r="D56" i="4"/>
  <c r="C56" i="4"/>
  <c r="N55" i="4"/>
  <c r="M55" i="4"/>
  <c r="L55" i="4"/>
  <c r="K55" i="4"/>
  <c r="J55" i="4"/>
  <c r="I55" i="4"/>
  <c r="H55" i="4"/>
  <c r="G55" i="4"/>
  <c r="F55" i="4"/>
  <c r="E55" i="4"/>
  <c r="D55" i="4"/>
  <c r="C55" i="4"/>
  <c r="N54" i="4"/>
  <c r="M54" i="4"/>
  <c r="L54" i="4"/>
  <c r="K54" i="4"/>
  <c r="J54" i="4"/>
  <c r="I54" i="4"/>
  <c r="H54" i="4"/>
  <c r="G54" i="4"/>
  <c r="F54" i="4"/>
  <c r="E54" i="4"/>
  <c r="D54" i="4"/>
  <c r="C54" i="4"/>
  <c r="N53" i="4"/>
  <c r="M53" i="4"/>
  <c r="L53" i="4"/>
  <c r="K53" i="4"/>
  <c r="J53" i="4"/>
  <c r="I53" i="4"/>
  <c r="H53" i="4"/>
  <c r="G53" i="4"/>
  <c r="F53" i="4"/>
  <c r="E53" i="4"/>
  <c r="D53" i="4"/>
  <c r="C53" i="4"/>
  <c r="N52" i="4"/>
  <c r="M52" i="4"/>
  <c r="L52" i="4"/>
  <c r="K52" i="4"/>
  <c r="J52" i="4"/>
  <c r="I52" i="4"/>
  <c r="H52" i="4"/>
  <c r="G52" i="4"/>
  <c r="F52" i="4"/>
  <c r="E52" i="4"/>
  <c r="D52" i="4"/>
  <c r="C52" i="4"/>
  <c r="N51" i="4"/>
  <c r="M51" i="4"/>
  <c r="L51" i="4"/>
  <c r="K51" i="4"/>
  <c r="J51" i="4"/>
  <c r="I51" i="4"/>
  <c r="H51" i="4"/>
  <c r="G51" i="4"/>
  <c r="F51" i="4"/>
  <c r="E51" i="4"/>
  <c r="D51" i="4"/>
  <c r="C51" i="4"/>
  <c r="N50" i="4"/>
  <c r="M50" i="4"/>
  <c r="L50" i="4"/>
  <c r="K50" i="4"/>
  <c r="J50" i="4"/>
  <c r="I50" i="4"/>
  <c r="H50" i="4"/>
  <c r="G50" i="4"/>
  <c r="F50" i="4"/>
  <c r="E50" i="4"/>
  <c r="D50" i="4"/>
  <c r="C50" i="4"/>
  <c r="N49" i="4"/>
  <c r="M49" i="4"/>
  <c r="L49" i="4"/>
  <c r="K49" i="4"/>
  <c r="J49" i="4"/>
  <c r="I49" i="4"/>
  <c r="H49" i="4"/>
  <c r="G49" i="4"/>
  <c r="F49" i="4"/>
  <c r="E49" i="4"/>
  <c r="D49" i="4"/>
  <c r="C49" i="4"/>
  <c r="N48" i="4"/>
  <c r="M48" i="4"/>
  <c r="L48" i="4"/>
  <c r="K48" i="4"/>
  <c r="J48" i="4"/>
  <c r="I48" i="4"/>
  <c r="H48" i="4"/>
  <c r="G48" i="4"/>
  <c r="F48" i="4"/>
  <c r="E48" i="4"/>
  <c r="D48" i="4"/>
  <c r="C48" i="4"/>
  <c r="N47" i="4"/>
  <c r="M47" i="4"/>
  <c r="L47" i="4"/>
  <c r="K47" i="4"/>
  <c r="J47" i="4"/>
  <c r="I47" i="4"/>
  <c r="H47" i="4"/>
  <c r="G47" i="4"/>
  <c r="F47" i="4"/>
  <c r="E47" i="4"/>
  <c r="D47" i="4"/>
  <c r="C47" i="4"/>
  <c r="N46" i="4"/>
  <c r="M46" i="4"/>
  <c r="L46" i="4"/>
  <c r="K46" i="4"/>
  <c r="J46" i="4"/>
  <c r="I46" i="4"/>
  <c r="H46" i="4"/>
  <c r="G46" i="4"/>
  <c r="F46" i="4"/>
  <c r="E46" i="4"/>
  <c r="D46" i="4"/>
  <c r="C46" i="4"/>
  <c r="N45" i="4"/>
  <c r="M45" i="4"/>
  <c r="L45" i="4"/>
  <c r="K45" i="4"/>
  <c r="J45" i="4"/>
  <c r="I45" i="4"/>
  <c r="H45" i="4"/>
  <c r="G45" i="4"/>
  <c r="F45" i="4"/>
  <c r="E45" i="4"/>
  <c r="D45" i="4"/>
  <c r="C45" i="4"/>
  <c r="N44" i="4"/>
  <c r="M44" i="4"/>
  <c r="L44" i="4"/>
  <c r="K44" i="4"/>
  <c r="J44" i="4"/>
  <c r="I44" i="4"/>
  <c r="H44" i="4"/>
  <c r="G44" i="4"/>
  <c r="F44" i="4"/>
  <c r="E44" i="4"/>
  <c r="D44" i="4"/>
  <c r="C44" i="4"/>
  <c r="N43" i="4"/>
  <c r="M43" i="4"/>
  <c r="L43" i="4"/>
  <c r="K43" i="4"/>
  <c r="J43" i="4"/>
  <c r="I43" i="4"/>
  <c r="H43" i="4"/>
  <c r="G43" i="4"/>
  <c r="F43" i="4"/>
  <c r="E43" i="4"/>
  <c r="D43" i="4"/>
  <c r="C43" i="4"/>
  <c r="N42" i="4"/>
  <c r="M42" i="4"/>
  <c r="L42" i="4"/>
  <c r="K42" i="4"/>
  <c r="J42" i="4"/>
  <c r="I42" i="4"/>
  <c r="H42" i="4"/>
  <c r="G42" i="4"/>
  <c r="F42" i="4"/>
  <c r="E42" i="4"/>
  <c r="D42" i="4"/>
  <c r="C42" i="4"/>
  <c r="N41" i="4"/>
  <c r="M41" i="4"/>
  <c r="L41" i="4"/>
  <c r="K41" i="4"/>
  <c r="J41" i="4"/>
  <c r="I41" i="4"/>
  <c r="H41" i="4"/>
  <c r="G41" i="4"/>
  <c r="F41" i="4"/>
  <c r="E41" i="4"/>
  <c r="D41" i="4"/>
  <c r="C41" i="4"/>
  <c r="N40" i="4"/>
  <c r="M40" i="4"/>
  <c r="L40" i="4"/>
  <c r="K40" i="4"/>
  <c r="J40" i="4"/>
  <c r="I40" i="4"/>
  <c r="H40" i="4"/>
  <c r="G40" i="4"/>
  <c r="F40" i="4"/>
  <c r="E40" i="4"/>
  <c r="D40" i="4"/>
  <c r="C40" i="4"/>
  <c r="N39" i="4"/>
  <c r="M39" i="4"/>
  <c r="L39" i="4"/>
  <c r="K39" i="4"/>
  <c r="J39" i="4"/>
  <c r="I39" i="4"/>
  <c r="H39" i="4"/>
  <c r="G39" i="4"/>
  <c r="F39" i="4"/>
  <c r="E39" i="4"/>
  <c r="D39" i="4"/>
  <c r="C39" i="4"/>
  <c r="N38" i="4"/>
  <c r="M38" i="4"/>
  <c r="L38" i="4"/>
  <c r="K38" i="4"/>
  <c r="J38" i="4"/>
  <c r="I38" i="4"/>
  <c r="H38" i="4"/>
  <c r="G38" i="4"/>
  <c r="F38" i="4"/>
  <c r="E38" i="4"/>
  <c r="D38" i="4"/>
  <c r="C38" i="4"/>
  <c r="N37" i="4"/>
  <c r="M37" i="4"/>
  <c r="L37" i="4"/>
  <c r="K37" i="4"/>
  <c r="J37" i="4"/>
  <c r="I37" i="4"/>
  <c r="H37" i="4"/>
  <c r="G37" i="4"/>
  <c r="F37" i="4"/>
  <c r="E37" i="4"/>
  <c r="D37" i="4"/>
  <c r="C37" i="4"/>
  <c r="N36" i="4"/>
  <c r="M36" i="4"/>
  <c r="L36" i="4"/>
  <c r="K36" i="4"/>
  <c r="J36" i="4"/>
  <c r="I36" i="4"/>
  <c r="H36" i="4"/>
  <c r="G36" i="4"/>
  <c r="F36" i="4"/>
  <c r="E36" i="4"/>
  <c r="D36" i="4"/>
  <c r="C36" i="4"/>
  <c r="N35" i="4"/>
  <c r="M35" i="4"/>
  <c r="L35" i="4"/>
  <c r="K35" i="4"/>
  <c r="J35" i="4"/>
  <c r="I35" i="4"/>
  <c r="H35" i="4"/>
  <c r="G35" i="4"/>
  <c r="F35" i="4"/>
  <c r="E35" i="4"/>
  <c r="D35" i="4"/>
  <c r="C35" i="4"/>
  <c r="N34" i="4"/>
  <c r="M34" i="4"/>
  <c r="L34" i="4"/>
  <c r="K34" i="4"/>
  <c r="J34" i="4"/>
  <c r="I34" i="4"/>
  <c r="H34" i="4"/>
  <c r="G34" i="4"/>
  <c r="F34" i="4"/>
  <c r="E34" i="4"/>
  <c r="D34" i="4"/>
  <c r="C34" i="4"/>
  <c r="N33" i="4"/>
  <c r="M33" i="4"/>
  <c r="L33" i="4"/>
  <c r="K33" i="4"/>
  <c r="J33" i="4"/>
  <c r="I33" i="4"/>
  <c r="H33" i="4"/>
  <c r="G33" i="4"/>
  <c r="F33" i="4"/>
  <c r="E33" i="4"/>
  <c r="D33" i="4"/>
  <c r="C33" i="4"/>
  <c r="N32" i="4"/>
  <c r="M32" i="4"/>
  <c r="L32" i="4"/>
  <c r="K32" i="4"/>
  <c r="J32" i="4"/>
  <c r="I32" i="4"/>
  <c r="H32" i="4"/>
  <c r="G32" i="4"/>
  <c r="F32" i="4"/>
  <c r="E32" i="4"/>
  <c r="D32" i="4"/>
  <c r="C32" i="4"/>
  <c r="N31" i="4"/>
  <c r="M31" i="4"/>
  <c r="L31" i="4"/>
  <c r="K31" i="4"/>
  <c r="J31" i="4"/>
  <c r="I31" i="4"/>
  <c r="H31" i="4"/>
  <c r="G31" i="4"/>
  <c r="F31" i="4"/>
  <c r="E31" i="4"/>
  <c r="D31" i="4"/>
  <c r="C31" i="4"/>
  <c r="N30" i="4"/>
  <c r="M30" i="4"/>
  <c r="L30" i="4"/>
  <c r="K30" i="4"/>
  <c r="J30" i="4"/>
  <c r="I30" i="4"/>
  <c r="H30" i="4"/>
  <c r="G30" i="4"/>
  <c r="F30" i="4"/>
  <c r="E30" i="4"/>
  <c r="D30" i="4"/>
  <c r="C30" i="4"/>
  <c r="N29" i="4"/>
  <c r="M29" i="4"/>
  <c r="L29" i="4"/>
  <c r="K29" i="4"/>
  <c r="J29" i="4"/>
  <c r="I29" i="4"/>
  <c r="H29" i="4"/>
  <c r="G29" i="4"/>
  <c r="F29" i="4"/>
  <c r="E29" i="4"/>
  <c r="D29" i="4"/>
  <c r="C29" i="4"/>
  <c r="N28" i="4"/>
  <c r="M28" i="4"/>
  <c r="L28" i="4"/>
  <c r="K28" i="4"/>
  <c r="J28" i="4"/>
  <c r="I28" i="4"/>
  <c r="H28" i="4"/>
  <c r="G28" i="4"/>
  <c r="F28" i="4"/>
  <c r="E28" i="4"/>
  <c r="D28" i="4"/>
  <c r="C28" i="4"/>
  <c r="N27" i="4"/>
  <c r="M27" i="4"/>
  <c r="L27" i="4"/>
  <c r="K27" i="4"/>
  <c r="J27" i="4"/>
  <c r="I27" i="4"/>
  <c r="H27" i="4"/>
  <c r="G27" i="4"/>
  <c r="F27" i="4"/>
  <c r="E27" i="4"/>
  <c r="D27" i="4"/>
  <c r="C27" i="4"/>
  <c r="N26" i="4"/>
  <c r="M26" i="4"/>
  <c r="L26" i="4"/>
  <c r="K26" i="4"/>
  <c r="J26" i="4"/>
  <c r="I26" i="4"/>
  <c r="H26" i="4"/>
  <c r="G26" i="4"/>
  <c r="F26" i="4"/>
  <c r="E26" i="4"/>
  <c r="D26" i="4"/>
  <c r="C26" i="4"/>
  <c r="N25" i="4"/>
  <c r="M25" i="4"/>
  <c r="L25" i="4"/>
  <c r="K25" i="4"/>
  <c r="J25" i="4"/>
  <c r="I25" i="4"/>
  <c r="H25" i="4"/>
  <c r="G25" i="4"/>
  <c r="F25" i="4"/>
  <c r="E25" i="4"/>
  <c r="D25" i="4"/>
  <c r="C25" i="4"/>
  <c r="N24" i="4"/>
  <c r="M24" i="4"/>
  <c r="L24" i="4"/>
  <c r="K24" i="4"/>
  <c r="J24" i="4"/>
  <c r="I24" i="4"/>
  <c r="H24" i="4"/>
  <c r="G24" i="4"/>
  <c r="F24" i="4"/>
  <c r="E24" i="4"/>
  <c r="D24" i="4"/>
  <c r="C24" i="4"/>
  <c r="N23" i="4"/>
  <c r="M23" i="4"/>
  <c r="L23" i="4"/>
  <c r="K23" i="4"/>
  <c r="J23" i="4"/>
  <c r="I23" i="4"/>
  <c r="H23" i="4"/>
  <c r="G23" i="4"/>
  <c r="F23" i="4"/>
  <c r="E23" i="4"/>
  <c r="D23" i="4"/>
  <c r="C23" i="4"/>
  <c r="N22" i="4"/>
  <c r="M22" i="4"/>
  <c r="L22" i="4"/>
  <c r="K22" i="4"/>
  <c r="J22" i="4"/>
  <c r="I22" i="4"/>
  <c r="H22" i="4"/>
  <c r="G22" i="4"/>
  <c r="F22" i="4"/>
  <c r="E22" i="4"/>
  <c r="D22" i="4"/>
  <c r="C22" i="4"/>
  <c r="N21" i="4"/>
  <c r="M21" i="4"/>
  <c r="L21" i="4"/>
  <c r="K21" i="4"/>
  <c r="J21" i="4"/>
  <c r="I21" i="4"/>
  <c r="H21" i="4"/>
  <c r="G21" i="4"/>
  <c r="F21" i="4"/>
  <c r="E21" i="4"/>
  <c r="D21" i="4"/>
  <c r="C21" i="4"/>
  <c r="N20" i="4"/>
  <c r="M20" i="4"/>
  <c r="L20" i="4"/>
  <c r="K20" i="4"/>
  <c r="J20" i="4"/>
  <c r="I20" i="4"/>
  <c r="H20" i="4"/>
  <c r="G20" i="4"/>
  <c r="F20" i="4"/>
  <c r="E20" i="4"/>
  <c r="D20" i="4"/>
  <c r="C20" i="4"/>
  <c r="N19" i="4"/>
  <c r="M19" i="4"/>
  <c r="L19" i="4"/>
  <c r="K19" i="4"/>
  <c r="J19" i="4"/>
  <c r="I19" i="4"/>
  <c r="H19" i="4"/>
  <c r="G19" i="4"/>
  <c r="F19" i="4"/>
  <c r="E19" i="4"/>
  <c r="D19" i="4"/>
  <c r="C19" i="4"/>
  <c r="N18" i="4"/>
  <c r="M18" i="4"/>
  <c r="L18" i="4"/>
  <c r="K18" i="4"/>
  <c r="J18" i="4"/>
  <c r="I18" i="4"/>
  <c r="H18" i="4"/>
  <c r="G18" i="4"/>
  <c r="F18" i="4"/>
  <c r="E18" i="4"/>
  <c r="D18" i="4"/>
  <c r="C18" i="4"/>
  <c r="N17" i="4"/>
  <c r="M17" i="4"/>
  <c r="L17" i="4"/>
  <c r="K17" i="4"/>
  <c r="J17" i="4"/>
  <c r="I17" i="4"/>
  <c r="H17" i="4"/>
  <c r="G17" i="4"/>
  <c r="F17" i="4"/>
  <c r="E17" i="4"/>
  <c r="D17" i="4"/>
  <c r="C17" i="4"/>
  <c r="N16" i="4"/>
  <c r="M16" i="4"/>
  <c r="L16" i="4"/>
  <c r="K16" i="4"/>
  <c r="J16" i="4"/>
  <c r="I16" i="4"/>
  <c r="H16" i="4"/>
  <c r="G16" i="4"/>
  <c r="F16" i="4"/>
  <c r="E16" i="4"/>
  <c r="D16" i="4"/>
  <c r="C16" i="4"/>
  <c r="N15" i="4"/>
  <c r="M15" i="4"/>
  <c r="L15" i="4"/>
  <c r="K15" i="4"/>
  <c r="J15" i="4"/>
  <c r="I15" i="4"/>
  <c r="H15" i="4"/>
  <c r="G15" i="4"/>
  <c r="F15" i="4"/>
  <c r="E15" i="4"/>
  <c r="D15" i="4"/>
  <c r="C15" i="4"/>
  <c r="N14" i="4"/>
  <c r="M14" i="4"/>
  <c r="L14" i="4"/>
  <c r="K14" i="4"/>
  <c r="J14" i="4"/>
  <c r="I14" i="4"/>
  <c r="H14" i="4"/>
  <c r="G14" i="4"/>
  <c r="F14" i="4"/>
  <c r="E14" i="4"/>
  <c r="D14" i="4"/>
  <c r="C14" i="4"/>
  <c r="N13" i="4"/>
  <c r="M13" i="4"/>
  <c r="L13" i="4"/>
  <c r="K13" i="4"/>
  <c r="J13" i="4"/>
  <c r="I13" i="4"/>
  <c r="H13" i="4"/>
  <c r="G13" i="4"/>
  <c r="F13" i="4"/>
  <c r="E13" i="4"/>
  <c r="D13" i="4"/>
  <c r="C13" i="4"/>
  <c r="N12" i="4"/>
  <c r="M12" i="4"/>
  <c r="L12" i="4"/>
  <c r="K12" i="4"/>
  <c r="J12" i="4"/>
  <c r="I12" i="4"/>
  <c r="H12" i="4"/>
  <c r="G12" i="4"/>
  <c r="F12" i="4"/>
  <c r="E12" i="4"/>
  <c r="D12" i="4"/>
  <c r="C12" i="4"/>
  <c r="N11" i="4"/>
  <c r="M11" i="4"/>
  <c r="L11" i="4"/>
  <c r="K11" i="4"/>
  <c r="J11" i="4"/>
  <c r="I11" i="4"/>
  <c r="H11" i="4"/>
  <c r="G11" i="4"/>
  <c r="F11" i="4"/>
  <c r="E11" i="4"/>
  <c r="D11" i="4"/>
  <c r="C11" i="4"/>
  <c r="N10" i="4"/>
  <c r="M10" i="4"/>
  <c r="L10" i="4"/>
  <c r="K10" i="4"/>
  <c r="J10" i="4"/>
  <c r="I10" i="4"/>
  <c r="H10" i="4"/>
  <c r="G10" i="4"/>
  <c r="F10" i="4"/>
  <c r="E10" i="4"/>
  <c r="D10" i="4"/>
  <c r="C10" i="4"/>
  <c r="N9" i="4"/>
  <c r="M9" i="4"/>
  <c r="L9" i="4"/>
  <c r="K9" i="4"/>
  <c r="J9" i="4"/>
  <c r="I9" i="4"/>
  <c r="H9" i="4"/>
  <c r="G9" i="4"/>
  <c r="F9" i="4"/>
  <c r="E9" i="4"/>
  <c r="D9" i="4"/>
  <c r="C9" i="4"/>
  <c r="N8" i="4"/>
  <c r="M8" i="4"/>
  <c r="L8" i="4"/>
  <c r="K8" i="4"/>
  <c r="J8" i="4"/>
  <c r="I8" i="4"/>
  <c r="H8" i="4"/>
  <c r="G8" i="4"/>
  <c r="F8" i="4"/>
  <c r="E8" i="4"/>
  <c r="D8" i="4"/>
  <c r="C8" i="4"/>
  <c r="N7" i="4"/>
  <c r="M7" i="4"/>
  <c r="L7" i="4"/>
  <c r="K7" i="4"/>
  <c r="J7" i="4"/>
  <c r="I7" i="4"/>
  <c r="H7" i="4"/>
  <c r="G7" i="4"/>
  <c r="F7" i="4"/>
  <c r="E7" i="4"/>
  <c r="D7" i="4"/>
  <c r="C7" i="4"/>
  <c r="N6" i="4"/>
  <c r="M6" i="4"/>
  <c r="L6" i="4"/>
  <c r="K6" i="4"/>
  <c r="J6" i="4"/>
  <c r="I6" i="4"/>
  <c r="H6" i="4"/>
  <c r="G6" i="4"/>
  <c r="F6" i="4"/>
  <c r="E6" i="4"/>
  <c r="D6" i="4"/>
  <c r="C6" i="4"/>
  <c r="N5" i="4"/>
  <c r="M5" i="4"/>
  <c r="L5" i="4"/>
  <c r="K5" i="4"/>
  <c r="J5" i="4"/>
  <c r="I5" i="4"/>
  <c r="H5" i="4"/>
  <c r="G5" i="4"/>
  <c r="F5" i="4"/>
  <c r="E5" i="4"/>
  <c r="D5" i="4"/>
  <c r="C5" i="4"/>
  <c r="N4" i="4"/>
  <c r="M4" i="4"/>
  <c r="L4" i="4"/>
  <c r="K4" i="4"/>
  <c r="J4" i="4"/>
  <c r="I4" i="4"/>
  <c r="H4" i="4"/>
  <c r="G4" i="4"/>
  <c r="F4" i="4"/>
  <c r="E4" i="4"/>
  <c r="D4" i="4"/>
  <c r="C4" i="4"/>
  <c r="N3" i="4"/>
  <c r="M3" i="4"/>
  <c r="L3" i="4"/>
  <c r="K3" i="4"/>
  <c r="J3" i="4"/>
  <c r="I3" i="4"/>
  <c r="H3" i="4"/>
  <c r="G3" i="4"/>
  <c r="F3" i="4"/>
  <c r="E3" i="4"/>
  <c r="D3" i="4"/>
  <c r="C3" i="4"/>
  <c r="N2" i="4"/>
  <c r="M2" i="4"/>
  <c r="L2" i="4"/>
  <c r="K2" i="4"/>
  <c r="J2" i="4"/>
  <c r="I2" i="4"/>
  <c r="H2" i="4"/>
  <c r="G2" i="4"/>
  <c r="F2" i="4"/>
  <c r="E2" i="4"/>
  <c r="D2" i="4"/>
  <c r="C2" i="4"/>
  <c r="N83" i="3"/>
  <c r="M83" i="3"/>
  <c r="L83" i="3"/>
  <c r="K83" i="3"/>
  <c r="J83" i="3"/>
  <c r="I83" i="3"/>
  <c r="H83" i="3"/>
  <c r="G83" i="3"/>
  <c r="F83" i="3"/>
  <c r="E83" i="3"/>
  <c r="D83" i="3"/>
  <c r="C83" i="3"/>
  <c r="N82" i="3"/>
  <c r="M82" i="3"/>
  <c r="L82" i="3"/>
  <c r="K82" i="3"/>
  <c r="J82" i="3"/>
  <c r="I82" i="3"/>
  <c r="H82" i="3"/>
  <c r="G82" i="3"/>
  <c r="F82" i="3"/>
  <c r="E82" i="3"/>
  <c r="D82" i="3"/>
  <c r="C82" i="3"/>
  <c r="N81" i="3"/>
  <c r="M81" i="3"/>
  <c r="L81" i="3"/>
  <c r="K81" i="3"/>
  <c r="J81" i="3"/>
  <c r="I81" i="3"/>
  <c r="H81" i="3"/>
  <c r="G81" i="3"/>
  <c r="F81" i="3"/>
  <c r="E81" i="3"/>
  <c r="D81" i="3"/>
  <c r="C81" i="3"/>
  <c r="N80" i="3"/>
  <c r="M80" i="3"/>
  <c r="L80" i="3"/>
  <c r="K80" i="3"/>
  <c r="J80" i="3"/>
  <c r="I80" i="3"/>
  <c r="H80" i="3"/>
  <c r="G80" i="3"/>
  <c r="F80" i="3"/>
  <c r="E80" i="3"/>
  <c r="D80" i="3"/>
  <c r="C80" i="3"/>
  <c r="N79" i="3"/>
  <c r="M79" i="3"/>
  <c r="L79" i="3"/>
  <c r="K79" i="3"/>
  <c r="J79" i="3"/>
  <c r="I79" i="3"/>
  <c r="H79" i="3"/>
  <c r="G79" i="3"/>
  <c r="F79" i="3"/>
  <c r="E79" i="3"/>
  <c r="D79" i="3"/>
  <c r="C79" i="3"/>
  <c r="N78" i="3"/>
  <c r="M78" i="3"/>
  <c r="L78" i="3"/>
  <c r="K78" i="3"/>
  <c r="J78" i="3"/>
  <c r="I78" i="3"/>
  <c r="H78" i="3"/>
  <c r="G78" i="3"/>
  <c r="F78" i="3"/>
  <c r="E78" i="3"/>
  <c r="D78" i="3"/>
  <c r="C78" i="3"/>
  <c r="N77" i="3"/>
  <c r="M77" i="3"/>
  <c r="L77" i="3"/>
  <c r="K77" i="3"/>
  <c r="J77" i="3"/>
  <c r="I77" i="3"/>
  <c r="H77" i="3"/>
  <c r="G77" i="3"/>
  <c r="F77" i="3"/>
  <c r="E77" i="3"/>
  <c r="D77" i="3"/>
  <c r="C77" i="3"/>
  <c r="N76" i="3"/>
  <c r="M76" i="3"/>
  <c r="L76" i="3"/>
  <c r="K76" i="3"/>
  <c r="J76" i="3"/>
  <c r="I76" i="3"/>
  <c r="H76" i="3"/>
  <c r="G76" i="3"/>
  <c r="F76" i="3"/>
  <c r="E76" i="3"/>
  <c r="D76" i="3"/>
  <c r="C76" i="3"/>
  <c r="N75" i="3"/>
  <c r="M75" i="3"/>
  <c r="L75" i="3"/>
  <c r="K75" i="3"/>
  <c r="J75" i="3"/>
  <c r="I75" i="3"/>
  <c r="H75" i="3"/>
  <c r="G75" i="3"/>
  <c r="F75" i="3"/>
  <c r="E75" i="3"/>
  <c r="D75" i="3"/>
  <c r="C75" i="3"/>
  <c r="N74" i="3"/>
  <c r="M74" i="3"/>
  <c r="L74" i="3"/>
  <c r="K74" i="3"/>
  <c r="J74" i="3"/>
  <c r="I74" i="3"/>
  <c r="H74" i="3"/>
  <c r="G74" i="3"/>
  <c r="F74" i="3"/>
  <c r="E74" i="3"/>
  <c r="D74" i="3"/>
  <c r="C74" i="3"/>
  <c r="N73" i="3"/>
  <c r="M73" i="3"/>
  <c r="L73" i="3"/>
  <c r="K73" i="3"/>
  <c r="J73" i="3"/>
  <c r="I73" i="3"/>
  <c r="H73" i="3"/>
  <c r="G73" i="3"/>
  <c r="F73" i="3"/>
  <c r="E73" i="3"/>
  <c r="D73" i="3"/>
  <c r="C73" i="3"/>
  <c r="N72" i="3"/>
  <c r="M72" i="3"/>
  <c r="L72" i="3"/>
  <c r="K72" i="3"/>
  <c r="J72" i="3"/>
  <c r="I72" i="3"/>
  <c r="H72" i="3"/>
  <c r="G72" i="3"/>
  <c r="F72" i="3"/>
  <c r="E72" i="3"/>
  <c r="D72" i="3"/>
  <c r="C72" i="3"/>
  <c r="N71" i="3"/>
  <c r="M71" i="3"/>
  <c r="L71" i="3"/>
  <c r="K71" i="3"/>
  <c r="J71" i="3"/>
  <c r="I71" i="3"/>
  <c r="H71" i="3"/>
  <c r="G71" i="3"/>
  <c r="F71" i="3"/>
  <c r="E71" i="3"/>
  <c r="D71" i="3"/>
  <c r="C71" i="3"/>
  <c r="N70" i="3"/>
  <c r="M70" i="3"/>
  <c r="L70" i="3"/>
  <c r="K70" i="3"/>
  <c r="J70" i="3"/>
  <c r="I70" i="3"/>
  <c r="H70" i="3"/>
  <c r="G70" i="3"/>
  <c r="F70" i="3"/>
  <c r="E70" i="3"/>
  <c r="D70" i="3"/>
  <c r="C70" i="3"/>
  <c r="N69" i="3"/>
  <c r="M69" i="3"/>
  <c r="L69" i="3"/>
  <c r="K69" i="3"/>
  <c r="J69" i="3"/>
  <c r="I69" i="3"/>
  <c r="H69" i="3"/>
  <c r="G69" i="3"/>
  <c r="F69" i="3"/>
  <c r="E69" i="3"/>
  <c r="D69" i="3"/>
  <c r="C69" i="3"/>
  <c r="N68" i="3"/>
  <c r="M68" i="3"/>
  <c r="L68" i="3"/>
  <c r="K68" i="3"/>
  <c r="J68" i="3"/>
  <c r="I68" i="3"/>
  <c r="H68" i="3"/>
  <c r="G68" i="3"/>
  <c r="F68" i="3"/>
  <c r="E68" i="3"/>
  <c r="D68" i="3"/>
  <c r="C68" i="3"/>
  <c r="N67" i="3"/>
  <c r="M67" i="3"/>
  <c r="L67" i="3"/>
  <c r="K67" i="3"/>
  <c r="J67" i="3"/>
  <c r="I67" i="3"/>
  <c r="H67" i="3"/>
  <c r="G67" i="3"/>
  <c r="F67" i="3"/>
  <c r="E67" i="3"/>
  <c r="D67" i="3"/>
  <c r="C67" i="3"/>
  <c r="N66" i="3"/>
  <c r="M66" i="3"/>
  <c r="L66" i="3"/>
  <c r="K66" i="3"/>
  <c r="J66" i="3"/>
  <c r="I66" i="3"/>
  <c r="H66" i="3"/>
  <c r="G66" i="3"/>
  <c r="F66" i="3"/>
  <c r="E66" i="3"/>
  <c r="D66" i="3"/>
  <c r="C66" i="3"/>
  <c r="N65" i="3"/>
  <c r="M65" i="3"/>
  <c r="L65" i="3"/>
  <c r="K65" i="3"/>
  <c r="J65" i="3"/>
  <c r="I65" i="3"/>
  <c r="H65" i="3"/>
  <c r="G65" i="3"/>
  <c r="F65" i="3"/>
  <c r="E65" i="3"/>
  <c r="D65" i="3"/>
  <c r="C65" i="3"/>
  <c r="N64" i="3"/>
  <c r="M64" i="3"/>
  <c r="L64" i="3"/>
  <c r="K64" i="3"/>
  <c r="J64" i="3"/>
  <c r="I64" i="3"/>
  <c r="H64" i="3"/>
  <c r="G64" i="3"/>
  <c r="F64" i="3"/>
  <c r="E64" i="3"/>
  <c r="D64" i="3"/>
  <c r="C64" i="3"/>
  <c r="N63" i="3"/>
  <c r="M63" i="3"/>
  <c r="L63" i="3"/>
  <c r="K63" i="3"/>
  <c r="J63" i="3"/>
  <c r="I63" i="3"/>
  <c r="H63" i="3"/>
  <c r="G63" i="3"/>
  <c r="F63" i="3"/>
  <c r="E63" i="3"/>
  <c r="D63" i="3"/>
  <c r="C63" i="3"/>
  <c r="N62" i="3"/>
  <c r="M62" i="3"/>
  <c r="L62" i="3"/>
  <c r="K62" i="3"/>
  <c r="J62" i="3"/>
  <c r="I62" i="3"/>
  <c r="H62" i="3"/>
  <c r="G62" i="3"/>
  <c r="F62" i="3"/>
  <c r="E62" i="3"/>
  <c r="D62" i="3"/>
  <c r="C62" i="3"/>
  <c r="N61" i="3"/>
  <c r="M61" i="3"/>
  <c r="L61" i="3"/>
  <c r="K61" i="3"/>
  <c r="J61" i="3"/>
  <c r="I61" i="3"/>
  <c r="H61" i="3"/>
  <c r="G61" i="3"/>
  <c r="F61" i="3"/>
  <c r="E61" i="3"/>
  <c r="D61" i="3"/>
  <c r="C61" i="3"/>
  <c r="N60" i="3"/>
  <c r="M60" i="3"/>
  <c r="L60" i="3"/>
  <c r="K60" i="3"/>
  <c r="J60" i="3"/>
  <c r="I60" i="3"/>
  <c r="H60" i="3"/>
  <c r="G60" i="3"/>
  <c r="F60" i="3"/>
  <c r="E60" i="3"/>
  <c r="D60" i="3"/>
  <c r="C60" i="3"/>
  <c r="N59" i="3"/>
  <c r="M59" i="3"/>
  <c r="L59" i="3"/>
  <c r="K59" i="3"/>
  <c r="J59" i="3"/>
  <c r="I59" i="3"/>
  <c r="H59" i="3"/>
  <c r="G59" i="3"/>
  <c r="F59" i="3"/>
  <c r="E59" i="3"/>
  <c r="D59" i="3"/>
  <c r="C59" i="3"/>
  <c r="N58" i="3"/>
  <c r="M58" i="3"/>
  <c r="L58" i="3"/>
  <c r="K58" i="3"/>
  <c r="J58" i="3"/>
  <c r="I58" i="3"/>
  <c r="H58" i="3"/>
  <c r="G58" i="3"/>
  <c r="F58" i="3"/>
  <c r="E58" i="3"/>
  <c r="D58" i="3"/>
  <c r="C58" i="3"/>
  <c r="N57" i="3"/>
  <c r="M57" i="3"/>
  <c r="L57" i="3"/>
  <c r="K57" i="3"/>
  <c r="J57" i="3"/>
  <c r="I57" i="3"/>
  <c r="H57" i="3"/>
  <c r="G57" i="3"/>
  <c r="F57" i="3"/>
  <c r="E57" i="3"/>
  <c r="D57" i="3"/>
  <c r="C57" i="3"/>
  <c r="N56" i="3"/>
  <c r="M56" i="3"/>
  <c r="L56" i="3"/>
  <c r="K56" i="3"/>
  <c r="J56" i="3"/>
  <c r="I56" i="3"/>
  <c r="H56" i="3"/>
  <c r="G56" i="3"/>
  <c r="F56" i="3"/>
  <c r="E56" i="3"/>
  <c r="D56" i="3"/>
  <c r="C56" i="3"/>
  <c r="N55" i="3"/>
  <c r="M55" i="3"/>
  <c r="L55" i="3"/>
  <c r="K55" i="3"/>
  <c r="J55" i="3"/>
  <c r="I55" i="3"/>
  <c r="H55" i="3"/>
  <c r="G55" i="3"/>
  <c r="F55" i="3"/>
  <c r="E55" i="3"/>
  <c r="D55" i="3"/>
  <c r="C55" i="3"/>
  <c r="N54" i="3"/>
  <c r="M54" i="3"/>
  <c r="L54" i="3"/>
  <c r="K54" i="3"/>
  <c r="J54" i="3"/>
  <c r="I54" i="3"/>
  <c r="H54" i="3"/>
  <c r="G54" i="3"/>
  <c r="F54" i="3"/>
  <c r="E54" i="3"/>
  <c r="D54" i="3"/>
  <c r="C54" i="3"/>
  <c r="N53" i="3"/>
  <c r="M53" i="3"/>
  <c r="L53" i="3"/>
  <c r="K53" i="3"/>
  <c r="J53" i="3"/>
  <c r="I53" i="3"/>
  <c r="H53" i="3"/>
  <c r="G53" i="3"/>
  <c r="F53" i="3"/>
  <c r="E53" i="3"/>
  <c r="D53" i="3"/>
  <c r="C53" i="3"/>
  <c r="N52" i="3"/>
  <c r="M52" i="3"/>
  <c r="L52" i="3"/>
  <c r="K52" i="3"/>
  <c r="J52" i="3"/>
  <c r="I52" i="3"/>
  <c r="H52" i="3"/>
  <c r="G52" i="3"/>
  <c r="F52" i="3"/>
  <c r="E52" i="3"/>
  <c r="D52" i="3"/>
  <c r="C52" i="3"/>
  <c r="N51" i="3"/>
  <c r="M51" i="3"/>
  <c r="L51" i="3"/>
  <c r="K51" i="3"/>
  <c r="J51" i="3"/>
  <c r="I51" i="3"/>
  <c r="H51" i="3"/>
  <c r="G51" i="3"/>
  <c r="F51" i="3"/>
  <c r="E51" i="3"/>
  <c r="D51" i="3"/>
  <c r="C51" i="3"/>
  <c r="N50" i="3"/>
  <c r="M50" i="3"/>
  <c r="L50" i="3"/>
  <c r="K50" i="3"/>
  <c r="J50" i="3"/>
  <c r="I50" i="3"/>
  <c r="H50" i="3"/>
  <c r="G50" i="3"/>
  <c r="F50" i="3"/>
  <c r="E50" i="3"/>
  <c r="D50" i="3"/>
  <c r="C50" i="3"/>
  <c r="N49" i="3"/>
  <c r="M49" i="3"/>
  <c r="L49" i="3"/>
  <c r="K49" i="3"/>
  <c r="J49" i="3"/>
  <c r="I49" i="3"/>
  <c r="H49" i="3"/>
  <c r="G49" i="3"/>
  <c r="F49" i="3"/>
  <c r="E49" i="3"/>
  <c r="D49" i="3"/>
  <c r="C49" i="3"/>
  <c r="N48" i="3"/>
  <c r="M48" i="3"/>
  <c r="L48" i="3"/>
  <c r="K48" i="3"/>
  <c r="J48" i="3"/>
  <c r="I48" i="3"/>
  <c r="H48" i="3"/>
  <c r="G48" i="3"/>
  <c r="F48" i="3"/>
  <c r="E48" i="3"/>
  <c r="D48" i="3"/>
  <c r="C48" i="3"/>
  <c r="N47" i="3"/>
  <c r="M47" i="3"/>
  <c r="L47" i="3"/>
  <c r="K47" i="3"/>
  <c r="J47" i="3"/>
  <c r="I47" i="3"/>
  <c r="H47" i="3"/>
  <c r="G47" i="3"/>
  <c r="F47" i="3"/>
  <c r="E47" i="3"/>
  <c r="D47" i="3"/>
  <c r="C47" i="3"/>
  <c r="N46" i="3"/>
  <c r="M46" i="3"/>
  <c r="L46" i="3"/>
  <c r="K46" i="3"/>
  <c r="J46" i="3"/>
  <c r="I46" i="3"/>
  <c r="H46" i="3"/>
  <c r="G46" i="3"/>
  <c r="F46" i="3"/>
  <c r="E46" i="3"/>
  <c r="D46" i="3"/>
  <c r="C46" i="3"/>
  <c r="N45" i="3"/>
  <c r="M45" i="3"/>
  <c r="L45" i="3"/>
  <c r="K45" i="3"/>
  <c r="J45" i="3"/>
  <c r="I45" i="3"/>
  <c r="H45" i="3"/>
  <c r="G45" i="3"/>
  <c r="F45" i="3"/>
  <c r="E45" i="3"/>
  <c r="D45" i="3"/>
  <c r="C45" i="3"/>
  <c r="N44" i="3"/>
  <c r="M44" i="3"/>
  <c r="L44" i="3"/>
  <c r="K44" i="3"/>
  <c r="J44" i="3"/>
  <c r="I44" i="3"/>
  <c r="H44" i="3"/>
  <c r="G44" i="3"/>
  <c r="F44" i="3"/>
  <c r="E44" i="3"/>
  <c r="D44" i="3"/>
  <c r="C44" i="3"/>
  <c r="N43" i="3"/>
  <c r="M43" i="3"/>
  <c r="L43" i="3"/>
  <c r="K43" i="3"/>
  <c r="J43" i="3"/>
  <c r="I43" i="3"/>
  <c r="H43" i="3"/>
  <c r="G43" i="3"/>
  <c r="F43" i="3"/>
  <c r="E43" i="3"/>
  <c r="D43" i="3"/>
  <c r="C43" i="3"/>
  <c r="N42" i="3"/>
  <c r="M42" i="3"/>
  <c r="L42" i="3"/>
  <c r="K42" i="3"/>
  <c r="J42" i="3"/>
  <c r="I42" i="3"/>
  <c r="H42" i="3"/>
  <c r="G42" i="3"/>
  <c r="F42" i="3"/>
  <c r="E42" i="3"/>
  <c r="D42" i="3"/>
  <c r="C42" i="3"/>
  <c r="N41" i="3"/>
  <c r="M41" i="3"/>
  <c r="L41" i="3"/>
  <c r="K41" i="3"/>
  <c r="J41" i="3"/>
  <c r="I41" i="3"/>
  <c r="H41" i="3"/>
  <c r="G41" i="3"/>
  <c r="F41" i="3"/>
  <c r="E41" i="3"/>
  <c r="D41" i="3"/>
  <c r="C41" i="3"/>
  <c r="N40" i="3"/>
  <c r="M40" i="3"/>
  <c r="L40" i="3"/>
  <c r="K40" i="3"/>
  <c r="J40" i="3"/>
  <c r="I40" i="3"/>
  <c r="H40" i="3"/>
  <c r="G40" i="3"/>
  <c r="F40" i="3"/>
  <c r="E40" i="3"/>
  <c r="D40" i="3"/>
  <c r="C40" i="3"/>
  <c r="N39" i="3"/>
  <c r="M39" i="3"/>
  <c r="L39" i="3"/>
  <c r="K39" i="3"/>
  <c r="J39" i="3"/>
  <c r="I39" i="3"/>
  <c r="H39" i="3"/>
  <c r="G39" i="3"/>
  <c r="F39" i="3"/>
  <c r="E39" i="3"/>
  <c r="D39" i="3"/>
  <c r="C39" i="3"/>
  <c r="N38" i="3"/>
  <c r="M38" i="3"/>
  <c r="L38" i="3"/>
  <c r="K38" i="3"/>
  <c r="J38" i="3"/>
  <c r="I38" i="3"/>
  <c r="H38" i="3"/>
  <c r="G38" i="3"/>
  <c r="F38" i="3"/>
  <c r="E38" i="3"/>
  <c r="D38" i="3"/>
  <c r="C38" i="3"/>
  <c r="N37" i="3"/>
  <c r="M37" i="3"/>
  <c r="L37" i="3"/>
  <c r="K37" i="3"/>
  <c r="J37" i="3"/>
  <c r="I37" i="3"/>
  <c r="H37" i="3"/>
  <c r="G37" i="3"/>
  <c r="F37" i="3"/>
  <c r="E37" i="3"/>
  <c r="D37" i="3"/>
  <c r="C37" i="3"/>
  <c r="N36" i="3"/>
  <c r="M36" i="3"/>
  <c r="L36" i="3"/>
  <c r="K36" i="3"/>
  <c r="J36" i="3"/>
  <c r="I36" i="3"/>
  <c r="H36" i="3"/>
  <c r="G36" i="3"/>
  <c r="F36" i="3"/>
  <c r="E36" i="3"/>
  <c r="D36" i="3"/>
  <c r="C36" i="3"/>
  <c r="N35" i="3"/>
  <c r="M35" i="3"/>
  <c r="L35" i="3"/>
  <c r="K35" i="3"/>
  <c r="J35" i="3"/>
  <c r="I35" i="3"/>
  <c r="H35" i="3"/>
  <c r="G35" i="3"/>
  <c r="F35" i="3"/>
  <c r="E35" i="3"/>
  <c r="D35" i="3"/>
  <c r="C35" i="3"/>
  <c r="N34" i="3"/>
  <c r="M34" i="3"/>
  <c r="L34" i="3"/>
  <c r="K34" i="3"/>
  <c r="J34" i="3"/>
  <c r="I34" i="3"/>
  <c r="H34" i="3"/>
  <c r="G34" i="3"/>
  <c r="F34" i="3"/>
  <c r="E34" i="3"/>
  <c r="D34" i="3"/>
  <c r="C34" i="3"/>
  <c r="N33" i="3"/>
  <c r="M33" i="3"/>
  <c r="L33" i="3"/>
  <c r="K33" i="3"/>
  <c r="J33" i="3"/>
  <c r="I33" i="3"/>
  <c r="H33" i="3"/>
  <c r="G33" i="3"/>
  <c r="F33" i="3"/>
  <c r="E33" i="3"/>
  <c r="D33" i="3"/>
  <c r="C33" i="3"/>
  <c r="N32" i="3"/>
  <c r="M32" i="3"/>
  <c r="L32" i="3"/>
  <c r="K32" i="3"/>
  <c r="J32" i="3"/>
  <c r="I32" i="3"/>
  <c r="H32" i="3"/>
  <c r="G32" i="3"/>
  <c r="F32" i="3"/>
  <c r="E32" i="3"/>
  <c r="D32" i="3"/>
  <c r="C32" i="3"/>
  <c r="N31" i="3"/>
  <c r="M31" i="3"/>
  <c r="L31" i="3"/>
  <c r="K31" i="3"/>
  <c r="J31" i="3"/>
  <c r="I31" i="3"/>
  <c r="H31" i="3"/>
  <c r="G31" i="3"/>
  <c r="F31" i="3"/>
  <c r="E31" i="3"/>
  <c r="D31" i="3"/>
  <c r="C31" i="3"/>
  <c r="N30" i="3"/>
  <c r="M30" i="3"/>
  <c r="L30" i="3"/>
  <c r="K30" i="3"/>
  <c r="J30" i="3"/>
  <c r="I30" i="3"/>
  <c r="H30" i="3"/>
  <c r="G30" i="3"/>
  <c r="F30" i="3"/>
  <c r="E30" i="3"/>
  <c r="D30" i="3"/>
  <c r="C30" i="3"/>
  <c r="N29" i="3"/>
  <c r="M29" i="3"/>
  <c r="L29" i="3"/>
  <c r="K29" i="3"/>
  <c r="J29" i="3"/>
  <c r="I29" i="3"/>
  <c r="H29" i="3"/>
  <c r="G29" i="3"/>
  <c r="F29" i="3"/>
  <c r="E29" i="3"/>
  <c r="D29" i="3"/>
  <c r="C29" i="3"/>
  <c r="N28" i="3"/>
  <c r="M28" i="3"/>
  <c r="L28" i="3"/>
  <c r="K28" i="3"/>
  <c r="J28" i="3"/>
  <c r="I28" i="3"/>
  <c r="H28" i="3"/>
  <c r="G28" i="3"/>
  <c r="F28" i="3"/>
  <c r="E28" i="3"/>
  <c r="D28" i="3"/>
  <c r="C28" i="3"/>
  <c r="N27" i="3"/>
  <c r="M27" i="3"/>
  <c r="L27" i="3"/>
  <c r="K27" i="3"/>
  <c r="J27" i="3"/>
  <c r="I27" i="3"/>
  <c r="H27" i="3"/>
  <c r="G27" i="3"/>
  <c r="F27" i="3"/>
  <c r="E27" i="3"/>
  <c r="D27" i="3"/>
  <c r="C27" i="3"/>
  <c r="N26" i="3"/>
  <c r="M26" i="3"/>
  <c r="L26" i="3"/>
  <c r="K26" i="3"/>
  <c r="J26" i="3"/>
  <c r="I26" i="3"/>
  <c r="H26" i="3"/>
  <c r="G26" i="3"/>
  <c r="F26" i="3"/>
  <c r="E26" i="3"/>
  <c r="D26" i="3"/>
  <c r="C26" i="3"/>
  <c r="N25" i="3"/>
  <c r="M25" i="3"/>
  <c r="L25" i="3"/>
  <c r="K25" i="3"/>
  <c r="J25" i="3"/>
  <c r="I25" i="3"/>
  <c r="H25" i="3"/>
  <c r="G25" i="3"/>
  <c r="F25" i="3"/>
  <c r="E25" i="3"/>
  <c r="D25" i="3"/>
  <c r="C25" i="3"/>
  <c r="N24" i="3"/>
  <c r="M24" i="3"/>
  <c r="L24" i="3"/>
  <c r="K24" i="3"/>
  <c r="J24" i="3"/>
  <c r="I24" i="3"/>
  <c r="H24" i="3"/>
  <c r="G24" i="3"/>
  <c r="F24" i="3"/>
  <c r="E24" i="3"/>
  <c r="D24" i="3"/>
  <c r="C24" i="3"/>
  <c r="N23" i="3"/>
  <c r="M23" i="3"/>
  <c r="L23" i="3"/>
  <c r="K23" i="3"/>
  <c r="J23" i="3"/>
  <c r="I23" i="3"/>
  <c r="H23" i="3"/>
  <c r="G23" i="3"/>
  <c r="F23" i="3"/>
  <c r="E23" i="3"/>
  <c r="D23" i="3"/>
  <c r="C23" i="3"/>
  <c r="N22" i="3"/>
  <c r="M22" i="3"/>
  <c r="L22" i="3"/>
  <c r="K22" i="3"/>
  <c r="J22" i="3"/>
  <c r="I22" i="3"/>
  <c r="H22" i="3"/>
  <c r="G22" i="3"/>
  <c r="F22" i="3"/>
  <c r="E22" i="3"/>
  <c r="D22" i="3"/>
  <c r="C22" i="3"/>
  <c r="N21" i="3"/>
  <c r="M21" i="3"/>
  <c r="L21" i="3"/>
  <c r="K21" i="3"/>
  <c r="J21" i="3"/>
  <c r="I21" i="3"/>
  <c r="H21" i="3"/>
  <c r="G21" i="3"/>
  <c r="F21" i="3"/>
  <c r="E21" i="3"/>
  <c r="D21" i="3"/>
  <c r="C21" i="3"/>
  <c r="N20" i="3"/>
  <c r="M20" i="3"/>
  <c r="L20" i="3"/>
  <c r="K20" i="3"/>
  <c r="J20" i="3"/>
  <c r="I20" i="3"/>
  <c r="H20" i="3"/>
  <c r="G20" i="3"/>
  <c r="F20" i="3"/>
  <c r="E20" i="3"/>
  <c r="D20" i="3"/>
  <c r="C20" i="3"/>
  <c r="N19" i="3"/>
  <c r="M19" i="3"/>
  <c r="L19" i="3"/>
  <c r="K19" i="3"/>
  <c r="J19" i="3"/>
  <c r="I19" i="3"/>
  <c r="H19" i="3"/>
  <c r="G19" i="3"/>
  <c r="F19" i="3"/>
  <c r="E19" i="3"/>
  <c r="D19" i="3"/>
  <c r="C19" i="3"/>
  <c r="N18" i="3"/>
  <c r="M18" i="3"/>
  <c r="L18" i="3"/>
  <c r="K18" i="3"/>
  <c r="J18" i="3"/>
  <c r="I18" i="3"/>
  <c r="H18" i="3"/>
  <c r="G18" i="3"/>
  <c r="F18" i="3"/>
  <c r="E18" i="3"/>
  <c r="D18" i="3"/>
  <c r="C18" i="3"/>
  <c r="N17" i="3"/>
  <c r="M17" i="3"/>
  <c r="L17" i="3"/>
  <c r="K17" i="3"/>
  <c r="J17" i="3"/>
  <c r="I17" i="3"/>
  <c r="H17" i="3"/>
  <c r="G17" i="3"/>
  <c r="F17" i="3"/>
  <c r="E17" i="3"/>
  <c r="D17" i="3"/>
  <c r="C17" i="3"/>
  <c r="N16" i="3"/>
  <c r="M16" i="3"/>
  <c r="L16" i="3"/>
  <c r="K16" i="3"/>
  <c r="J16" i="3"/>
  <c r="I16" i="3"/>
  <c r="H16" i="3"/>
  <c r="G16" i="3"/>
  <c r="F16" i="3"/>
  <c r="E16" i="3"/>
  <c r="D16" i="3"/>
  <c r="C16" i="3"/>
  <c r="N15" i="3"/>
  <c r="M15" i="3"/>
  <c r="L15" i="3"/>
  <c r="K15" i="3"/>
  <c r="J15" i="3"/>
  <c r="I15" i="3"/>
  <c r="H15" i="3"/>
  <c r="G15" i="3"/>
  <c r="F15" i="3"/>
  <c r="E15" i="3"/>
  <c r="D15" i="3"/>
  <c r="C15" i="3"/>
  <c r="N14" i="3"/>
  <c r="M14" i="3"/>
  <c r="L14" i="3"/>
  <c r="K14" i="3"/>
  <c r="J14" i="3"/>
  <c r="I14" i="3"/>
  <c r="H14" i="3"/>
  <c r="G14" i="3"/>
  <c r="F14" i="3"/>
  <c r="E14" i="3"/>
  <c r="D14" i="3"/>
  <c r="C14" i="3"/>
  <c r="N13" i="3"/>
  <c r="M13" i="3"/>
  <c r="L13" i="3"/>
  <c r="K13" i="3"/>
  <c r="J13" i="3"/>
  <c r="I13" i="3"/>
  <c r="H13" i="3"/>
  <c r="G13" i="3"/>
  <c r="F13" i="3"/>
  <c r="E13" i="3"/>
  <c r="D13" i="3"/>
  <c r="C13" i="3"/>
  <c r="N12" i="3"/>
  <c r="M12" i="3"/>
  <c r="L12" i="3"/>
  <c r="K12" i="3"/>
  <c r="J12" i="3"/>
  <c r="I12" i="3"/>
  <c r="H12" i="3"/>
  <c r="G12" i="3"/>
  <c r="F12" i="3"/>
  <c r="E12" i="3"/>
  <c r="D12" i="3"/>
  <c r="C12" i="3"/>
  <c r="N11" i="3"/>
  <c r="M11" i="3"/>
  <c r="L11" i="3"/>
  <c r="K11" i="3"/>
  <c r="J11" i="3"/>
  <c r="I11" i="3"/>
  <c r="H11" i="3"/>
  <c r="G11" i="3"/>
  <c r="F11" i="3"/>
  <c r="E11" i="3"/>
  <c r="D11" i="3"/>
  <c r="C11" i="3"/>
  <c r="N10" i="3"/>
  <c r="M10" i="3"/>
  <c r="L10" i="3"/>
  <c r="K10" i="3"/>
  <c r="J10" i="3"/>
  <c r="I10" i="3"/>
  <c r="H10" i="3"/>
  <c r="G10" i="3"/>
  <c r="F10" i="3"/>
  <c r="E10" i="3"/>
  <c r="D10" i="3"/>
  <c r="C10" i="3"/>
  <c r="N9" i="3"/>
  <c r="M9" i="3"/>
  <c r="L9" i="3"/>
  <c r="K9" i="3"/>
  <c r="J9" i="3"/>
  <c r="I9" i="3"/>
  <c r="H9" i="3"/>
  <c r="G9" i="3"/>
  <c r="F9" i="3"/>
  <c r="E9" i="3"/>
  <c r="D9" i="3"/>
  <c r="C9" i="3"/>
  <c r="N8" i="3"/>
  <c r="M8" i="3"/>
  <c r="L8" i="3"/>
  <c r="K8" i="3"/>
  <c r="J8" i="3"/>
  <c r="I8" i="3"/>
  <c r="H8" i="3"/>
  <c r="G8" i="3"/>
  <c r="F8" i="3"/>
  <c r="E8" i="3"/>
  <c r="D8" i="3"/>
  <c r="C8" i="3"/>
  <c r="N7" i="3"/>
  <c r="M7" i="3"/>
  <c r="L7" i="3"/>
  <c r="K7" i="3"/>
  <c r="J7" i="3"/>
  <c r="I7" i="3"/>
  <c r="H7" i="3"/>
  <c r="G7" i="3"/>
  <c r="F7" i="3"/>
  <c r="E7" i="3"/>
  <c r="D7" i="3"/>
  <c r="C7" i="3"/>
  <c r="N6" i="3"/>
  <c r="M6" i="3"/>
  <c r="L6" i="3"/>
  <c r="K6" i="3"/>
  <c r="J6" i="3"/>
  <c r="I6" i="3"/>
  <c r="H6" i="3"/>
  <c r="G6" i="3"/>
  <c r="F6" i="3"/>
  <c r="E6" i="3"/>
  <c r="D6" i="3"/>
  <c r="C6" i="3"/>
  <c r="N5" i="3"/>
  <c r="M5" i="3"/>
  <c r="L5" i="3"/>
  <c r="K5" i="3"/>
  <c r="J5" i="3"/>
  <c r="I5" i="3"/>
  <c r="H5" i="3"/>
  <c r="G5" i="3"/>
  <c r="F5" i="3"/>
  <c r="E5" i="3"/>
  <c r="D5" i="3"/>
  <c r="C5" i="3"/>
  <c r="N4" i="3"/>
  <c r="M4" i="3"/>
  <c r="L4" i="3"/>
  <c r="K4" i="3"/>
  <c r="J4" i="3"/>
  <c r="I4" i="3"/>
  <c r="H4" i="3"/>
  <c r="G4" i="3"/>
  <c r="F4" i="3"/>
  <c r="E4" i="3"/>
  <c r="D4" i="3"/>
  <c r="C4" i="3"/>
  <c r="N3" i="3"/>
  <c r="M3" i="3"/>
  <c r="L3" i="3"/>
  <c r="K3" i="3"/>
  <c r="J3" i="3"/>
  <c r="I3" i="3"/>
  <c r="H3" i="3"/>
  <c r="G3" i="3"/>
  <c r="F3" i="3"/>
  <c r="E3" i="3"/>
  <c r="D3" i="3"/>
  <c r="C3" i="3"/>
  <c r="N2" i="3"/>
  <c r="M2" i="3"/>
  <c r="L2" i="3"/>
  <c r="K2" i="3"/>
  <c r="J2" i="3"/>
  <c r="I2" i="3"/>
  <c r="H2" i="3"/>
  <c r="G2" i="3"/>
  <c r="F2" i="3"/>
  <c r="E2" i="3"/>
  <c r="D2" i="3"/>
  <c r="C2" i="3"/>
  <c r="L457" i="2"/>
  <c r="K457" i="2"/>
  <c r="J457" i="2"/>
  <c r="I457" i="2"/>
  <c r="H457" i="2"/>
  <c r="G457" i="2"/>
  <c r="F457" i="2"/>
  <c r="E457" i="2"/>
  <c r="D457" i="2"/>
  <c r="C457" i="2"/>
  <c r="L456" i="2"/>
  <c r="K456" i="2"/>
  <c r="J456" i="2"/>
  <c r="I456" i="2"/>
  <c r="H456" i="2"/>
  <c r="G456" i="2"/>
  <c r="F456" i="2"/>
  <c r="E456" i="2"/>
  <c r="D456" i="2"/>
  <c r="C456" i="2"/>
  <c r="L455" i="2"/>
  <c r="K455" i="2"/>
  <c r="J455" i="2"/>
  <c r="I455" i="2"/>
  <c r="H455" i="2"/>
  <c r="G455" i="2"/>
  <c r="F455" i="2"/>
  <c r="E455" i="2"/>
  <c r="D455" i="2"/>
  <c r="C455" i="2"/>
  <c r="L454" i="2"/>
  <c r="K454" i="2"/>
  <c r="J454" i="2"/>
  <c r="I454" i="2"/>
  <c r="H454" i="2"/>
  <c r="G454" i="2"/>
  <c r="F454" i="2"/>
  <c r="E454" i="2"/>
  <c r="D454" i="2"/>
  <c r="C454" i="2"/>
  <c r="L453" i="2"/>
  <c r="K453" i="2"/>
  <c r="J453" i="2"/>
  <c r="I453" i="2"/>
  <c r="H453" i="2"/>
  <c r="G453" i="2"/>
  <c r="F453" i="2"/>
  <c r="E453" i="2"/>
  <c r="D453" i="2"/>
  <c r="C453" i="2"/>
  <c r="L452" i="2"/>
  <c r="K452" i="2"/>
  <c r="J452" i="2"/>
  <c r="I452" i="2"/>
  <c r="H452" i="2"/>
  <c r="G452" i="2"/>
  <c r="F452" i="2"/>
  <c r="E452" i="2"/>
  <c r="D452" i="2"/>
  <c r="C452" i="2"/>
  <c r="L451" i="2"/>
  <c r="K451" i="2"/>
  <c r="J451" i="2"/>
  <c r="I451" i="2"/>
  <c r="H451" i="2"/>
  <c r="G451" i="2"/>
  <c r="F451" i="2"/>
  <c r="E451" i="2"/>
  <c r="D451" i="2"/>
  <c r="C451" i="2"/>
  <c r="L450" i="2"/>
  <c r="K450" i="2"/>
  <c r="J450" i="2"/>
  <c r="I450" i="2"/>
  <c r="H450" i="2"/>
  <c r="G450" i="2"/>
  <c r="F450" i="2"/>
  <c r="E450" i="2"/>
  <c r="D450" i="2"/>
  <c r="C450" i="2"/>
  <c r="L449" i="2"/>
  <c r="K449" i="2"/>
  <c r="J449" i="2"/>
  <c r="I449" i="2"/>
  <c r="H449" i="2"/>
  <c r="G449" i="2"/>
  <c r="F449" i="2"/>
  <c r="E449" i="2"/>
  <c r="D449" i="2"/>
  <c r="C449" i="2"/>
  <c r="L448" i="2"/>
  <c r="K448" i="2"/>
  <c r="J448" i="2"/>
  <c r="I448" i="2"/>
  <c r="H448" i="2"/>
  <c r="G448" i="2"/>
  <c r="F448" i="2"/>
  <c r="E448" i="2"/>
  <c r="D448" i="2"/>
  <c r="C448" i="2"/>
  <c r="L447" i="2"/>
  <c r="K447" i="2"/>
  <c r="J447" i="2"/>
  <c r="I447" i="2"/>
  <c r="H447" i="2"/>
  <c r="G447" i="2"/>
  <c r="F447" i="2"/>
  <c r="E447" i="2"/>
  <c r="D447" i="2"/>
  <c r="C447" i="2"/>
  <c r="L446" i="2"/>
  <c r="K446" i="2"/>
  <c r="J446" i="2"/>
  <c r="I446" i="2"/>
  <c r="H446" i="2"/>
  <c r="G446" i="2"/>
  <c r="F446" i="2"/>
  <c r="E446" i="2"/>
  <c r="D446" i="2"/>
  <c r="C446" i="2"/>
  <c r="L445" i="2"/>
  <c r="K445" i="2"/>
  <c r="J445" i="2"/>
  <c r="I445" i="2"/>
  <c r="H445" i="2"/>
  <c r="G445" i="2"/>
  <c r="F445" i="2"/>
  <c r="E445" i="2"/>
  <c r="D445" i="2"/>
  <c r="C445" i="2"/>
  <c r="L444" i="2"/>
  <c r="K444" i="2"/>
  <c r="J444" i="2"/>
  <c r="I444" i="2"/>
  <c r="H444" i="2"/>
  <c r="G444" i="2"/>
  <c r="F444" i="2"/>
  <c r="E444" i="2"/>
  <c r="D444" i="2"/>
  <c r="C444" i="2"/>
  <c r="L443" i="2"/>
  <c r="K443" i="2"/>
  <c r="J443" i="2"/>
  <c r="I443" i="2"/>
  <c r="H443" i="2"/>
  <c r="G443" i="2"/>
  <c r="F443" i="2"/>
  <c r="E443" i="2"/>
  <c r="D443" i="2"/>
  <c r="C443" i="2"/>
  <c r="L442" i="2"/>
  <c r="K442" i="2"/>
  <c r="J442" i="2"/>
  <c r="I442" i="2"/>
  <c r="H442" i="2"/>
  <c r="G442" i="2"/>
  <c r="F442" i="2"/>
  <c r="E442" i="2"/>
  <c r="D442" i="2"/>
  <c r="C442" i="2"/>
  <c r="L441" i="2"/>
  <c r="K441" i="2"/>
  <c r="J441" i="2"/>
  <c r="I441" i="2"/>
  <c r="H441" i="2"/>
  <c r="G441" i="2"/>
  <c r="F441" i="2"/>
  <c r="E441" i="2"/>
  <c r="D441" i="2"/>
  <c r="C441" i="2"/>
  <c r="L440" i="2"/>
  <c r="K440" i="2"/>
  <c r="J440" i="2"/>
  <c r="I440" i="2"/>
  <c r="H440" i="2"/>
  <c r="G440" i="2"/>
  <c r="F440" i="2"/>
  <c r="E440" i="2"/>
  <c r="D440" i="2"/>
  <c r="C440" i="2"/>
  <c r="L439" i="2"/>
  <c r="K439" i="2"/>
  <c r="J439" i="2"/>
  <c r="I439" i="2"/>
  <c r="H439" i="2"/>
  <c r="G439" i="2"/>
  <c r="F439" i="2"/>
  <c r="E439" i="2"/>
  <c r="D439" i="2"/>
  <c r="C439" i="2"/>
  <c r="L438" i="2"/>
  <c r="K438" i="2"/>
  <c r="J438" i="2"/>
  <c r="I438" i="2"/>
  <c r="H438" i="2"/>
  <c r="G438" i="2"/>
  <c r="F438" i="2"/>
  <c r="E438" i="2"/>
  <c r="D438" i="2"/>
  <c r="C438" i="2"/>
  <c r="L437" i="2"/>
  <c r="K437" i="2"/>
  <c r="J437" i="2"/>
  <c r="I437" i="2"/>
  <c r="H437" i="2"/>
  <c r="G437" i="2"/>
  <c r="F437" i="2"/>
  <c r="E437" i="2"/>
  <c r="D437" i="2"/>
  <c r="C437" i="2"/>
  <c r="L436" i="2"/>
  <c r="K436" i="2"/>
  <c r="J436" i="2"/>
  <c r="I436" i="2"/>
  <c r="H436" i="2"/>
  <c r="G436" i="2"/>
  <c r="F436" i="2"/>
  <c r="E436" i="2"/>
  <c r="D436" i="2"/>
  <c r="C436" i="2"/>
  <c r="L435" i="2"/>
  <c r="K435" i="2"/>
  <c r="J435" i="2"/>
  <c r="I435" i="2"/>
  <c r="H435" i="2"/>
  <c r="G435" i="2"/>
  <c r="F435" i="2"/>
  <c r="E435" i="2"/>
  <c r="D435" i="2"/>
  <c r="C435" i="2"/>
  <c r="L434" i="2"/>
  <c r="K434" i="2"/>
  <c r="J434" i="2"/>
  <c r="I434" i="2"/>
  <c r="H434" i="2"/>
  <c r="G434" i="2"/>
  <c r="F434" i="2"/>
  <c r="E434" i="2"/>
  <c r="D434" i="2"/>
  <c r="C434" i="2"/>
  <c r="L433" i="2"/>
  <c r="K433" i="2"/>
  <c r="J433" i="2"/>
  <c r="I433" i="2"/>
  <c r="H433" i="2"/>
  <c r="G433" i="2"/>
  <c r="F433" i="2"/>
  <c r="E433" i="2"/>
  <c r="D433" i="2"/>
  <c r="C433" i="2"/>
  <c r="L432" i="2"/>
  <c r="K432" i="2"/>
  <c r="J432" i="2"/>
  <c r="I432" i="2"/>
  <c r="H432" i="2"/>
  <c r="G432" i="2"/>
  <c r="F432" i="2"/>
  <c r="E432" i="2"/>
  <c r="D432" i="2"/>
  <c r="C432" i="2"/>
  <c r="L431" i="2"/>
  <c r="K431" i="2"/>
  <c r="J431" i="2"/>
  <c r="I431" i="2"/>
  <c r="H431" i="2"/>
  <c r="G431" i="2"/>
  <c r="F431" i="2"/>
  <c r="E431" i="2"/>
  <c r="D431" i="2"/>
  <c r="C431" i="2"/>
  <c r="L430" i="2"/>
  <c r="K430" i="2"/>
  <c r="J430" i="2"/>
  <c r="I430" i="2"/>
  <c r="H430" i="2"/>
  <c r="G430" i="2"/>
  <c r="F430" i="2"/>
  <c r="E430" i="2"/>
  <c r="D430" i="2"/>
  <c r="C430" i="2"/>
  <c r="L429" i="2"/>
  <c r="K429" i="2"/>
  <c r="J429" i="2"/>
  <c r="I429" i="2"/>
  <c r="H429" i="2"/>
  <c r="G429" i="2"/>
  <c r="F429" i="2"/>
  <c r="E429" i="2"/>
  <c r="D429" i="2"/>
  <c r="C429" i="2"/>
  <c r="L428" i="2"/>
  <c r="K428" i="2"/>
  <c r="J428" i="2"/>
  <c r="I428" i="2"/>
  <c r="H428" i="2"/>
  <c r="G428" i="2"/>
  <c r="F428" i="2"/>
  <c r="E428" i="2"/>
  <c r="D428" i="2"/>
  <c r="C428" i="2"/>
  <c r="L427" i="2"/>
  <c r="K427" i="2"/>
  <c r="J427" i="2"/>
  <c r="I427" i="2"/>
  <c r="H427" i="2"/>
  <c r="G427" i="2"/>
  <c r="F427" i="2"/>
  <c r="E427" i="2"/>
  <c r="D427" i="2"/>
  <c r="C427" i="2"/>
  <c r="L426" i="2"/>
  <c r="K426" i="2"/>
  <c r="J426" i="2"/>
  <c r="I426" i="2"/>
  <c r="H426" i="2"/>
  <c r="G426" i="2"/>
  <c r="F426" i="2"/>
  <c r="E426" i="2"/>
  <c r="D426" i="2"/>
  <c r="C426" i="2"/>
  <c r="L425" i="2"/>
  <c r="K425" i="2"/>
  <c r="J425" i="2"/>
  <c r="I425" i="2"/>
  <c r="H425" i="2"/>
  <c r="G425" i="2"/>
  <c r="F425" i="2"/>
  <c r="E425" i="2"/>
  <c r="D425" i="2"/>
  <c r="C425" i="2"/>
  <c r="L424" i="2"/>
  <c r="K424" i="2"/>
  <c r="J424" i="2"/>
  <c r="I424" i="2"/>
  <c r="H424" i="2"/>
  <c r="G424" i="2"/>
  <c r="F424" i="2"/>
  <c r="E424" i="2"/>
  <c r="D424" i="2"/>
  <c r="C424" i="2"/>
  <c r="L423" i="2"/>
  <c r="K423" i="2"/>
  <c r="J423" i="2"/>
  <c r="I423" i="2"/>
  <c r="H423" i="2"/>
  <c r="G423" i="2"/>
  <c r="F423" i="2"/>
  <c r="E423" i="2"/>
  <c r="D423" i="2"/>
  <c r="C423" i="2"/>
  <c r="L422" i="2"/>
  <c r="K422" i="2"/>
  <c r="J422" i="2"/>
  <c r="I422" i="2"/>
  <c r="H422" i="2"/>
  <c r="G422" i="2"/>
  <c r="F422" i="2"/>
  <c r="E422" i="2"/>
  <c r="D422" i="2"/>
  <c r="C422" i="2"/>
  <c r="L421" i="2"/>
  <c r="K421" i="2"/>
  <c r="J421" i="2"/>
  <c r="I421" i="2"/>
  <c r="H421" i="2"/>
  <c r="G421" i="2"/>
  <c r="F421" i="2"/>
  <c r="E421" i="2"/>
  <c r="D421" i="2"/>
  <c r="C421" i="2"/>
  <c r="L420" i="2"/>
  <c r="K420" i="2"/>
  <c r="J420" i="2"/>
  <c r="I420" i="2"/>
  <c r="H420" i="2"/>
  <c r="G420" i="2"/>
  <c r="F420" i="2"/>
  <c r="E420" i="2"/>
  <c r="D420" i="2"/>
  <c r="C420" i="2"/>
  <c r="L419" i="2"/>
  <c r="K419" i="2"/>
  <c r="J419" i="2"/>
  <c r="I419" i="2"/>
  <c r="H419" i="2"/>
  <c r="G419" i="2"/>
  <c r="F419" i="2"/>
  <c r="E419" i="2"/>
  <c r="D419" i="2"/>
  <c r="C419" i="2"/>
  <c r="L418" i="2"/>
  <c r="K418" i="2"/>
  <c r="J418" i="2"/>
  <c r="I418" i="2"/>
  <c r="H418" i="2"/>
  <c r="G418" i="2"/>
  <c r="F418" i="2"/>
  <c r="E418" i="2"/>
  <c r="D418" i="2"/>
  <c r="C418" i="2"/>
  <c r="L417" i="2"/>
  <c r="K417" i="2"/>
  <c r="J417" i="2"/>
  <c r="I417" i="2"/>
  <c r="H417" i="2"/>
  <c r="G417" i="2"/>
  <c r="F417" i="2"/>
  <c r="E417" i="2"/>
  <c r="D417" i="2"/>
  <c r="C417" i="2"/>
  <c r="L416" i="2"/>
  <c r="K416" i="2"/>
  <c r="J416" i="2"/>
  <c r="I416" i="2"/>
  <c r="H416" i="2"/>
  <c r="G416" i="2"/>
  <c r="F416" i="2"/>
  <c r="E416" i="2"/>
  <c r="D416" i="2"/>
  <c r="C416" i="2"/>
  <c r="L415" i="2"/>
  <c r="K415" i="2"/>
  <c r="J415" i="2"/>
  <c r="I415" i="2"/>
  <c r="H415" i="2"/>
  <c r="G415" i="2"/>
  <c r="F415" i="2"/>
  <c r="E415" i="2"/>
  <c r="D415" i="2"/>
  <c r="C415" i="2"/>
  <c r="L414" i="2"/>
  <c r="K414" i="2"/>
  <c r="J414" i="2"/>
  <c r="I414" i="2"/>
  <c r="H414" i="2"/>
  <c r="G414" i="2"/>
  <c r="F414" i="2"/>
  <c r="E414" i="2"/>
  <c r="D414" i="2"/>
  <c r="C414" i="2"/>
  <c r="L413" i="2"/>
  <c r="K413" i="2"/>
  <c r="J413" i="2"/>
  <c r="I413" i="2"/>
  <c r="H413" i="2"/>
  <c r="G413" i="2"/>
  <c r="F413" i="2"/>
  <c r="E413" i="2"/>
  <c r="D413" i="2"/>
  <c r="C413" i="2"/>
  <c r="L412" i="2"/>
  <c r="K412" i="2"/>
  <c r="J412" i="2"/>
  <c r="I412" i="2"/>
  <c r="H412" i="2"/>
  <c r="G412" i="2"/>
  <c r="F412" i="2"/>
  <c r="E412" i="2"/>
  <c r="D412" i="2"/>
  <c r="C412" i="2"/>
  <c r="L411" i="2"/>
  <c r="K411" i="2"/>
  <c r="J411" i="2"/>
  <c r="I411" i="2"/>
  <c r="H411" i="2"/>
  <c r="G411" i="2"/>
  <c r="F411" i="2"/>
  <c r="E411" i="2"/>
  <c r="D411" i="2"/>
  <c r="C411" i="2"/>
  <c r="L410" i="2"/>
  <c r="K410" i="2"/>
  <c r="J410" i="2"/>
  <c r="I410" i="2"/>
  <c r="H410" i="2"/>
  <c r="G410" i="2"/>
  <c r="F410" i="2"/>
  <c r="E410" i="2"/>
  <c r="D410" i="2"/>
  <c r="C410" i="2"/>
  <c r="L409" i="2"/>
  <c r="K409" i="2"/>
  <c r="J409" i="2"/>
  <c r="I409" i="2"/>
  <c r="H409" i="2"/>
  <c r="G409" i="2"/>
  <c r="F409" i="2"/>
  <c r="E409" i="2"/>
  <c r="D409" i="2"/>
  <c r="C409" i="2"/>
  <c r="L408" i="2"/>
  <c r="K408" i="2"/>
  <c r="J408" i="2"/>
  <c r="I408" i="2"/>
  <c r="H408" i="2"/>
  <c r="G408" i="2"/>
  <c r="F408" i="2"/>
  <c r="E408" i="2"/>
  <c r="D408" i="2"/>
  <c r="C408" i="2"/>
  <c r="L407" i="2"/>
  <c r="K407" i="2"/>
  <c r="J407" i="2"/>
  <c r="I407" i="2"/>
  <c r="H407" i="2"/>
  <c r="G407" i="2"/>
  <c r="F407" i="2"/>
  <c r="E407" i="2"/>
  <c r="D407" i="2"/>
  <c r="C407" i="2"/>
  <c r="L406" i="2"/>
  <c r="K406" i="2"/>
  <c r="J406" i="2"/>
  <c r="I406" i="2"/>
  <c r="H406" i="2"/>
  <c r="G406" i="2"/>
  <c r="F406" i="2"/>
  <c r="E406" i="2"/>
  <c r="D406" i="2"/>
  <c r="C406" i="2"/>
  <c r="L405" i="2"/>
  <c r="K405" i="2"/>
  <c r="J405" i="2"/>
  <c r="I405" i="2"/>
  <c r="H405" i="2"/>
  <c r="G405" i="2"/>
  <c r="F405" i="2"/>
  <c r="E405" i="2"/>
  <c r="D405" i="2"/>
  <c r="C405" i="2"/>
  <c r="L404" i="2"/>
  <c r="K404" i="2"/>
  <c r="J404" i="2"/>
  <c r="I404" i="2"/>
  <c r="H404" i="2"/>
  <c r="G404" i="2"/>
  <c r="F404" i="2"/>
  <c r="E404" i="2"/>
  <c r="D404" i="2"/>
  <c r="C404" i="2"/>
  <c r="L403" i="2"/>
  <c r="K403" i="2"/>
  <c r="J403" i="2"/>
  <c r="I403" i="2"/>
  <c r="H403" i="2"/>
  <c r="G403" i="2"/>
  <c r="F403" i="2"/>
  <c r="E403" i="2"/>
  <c r="D403" i="2"/>
  <c r="C403" i="2"/>
  <c r="L402" i="2"/>
  <c r="K402" i="2"/>
  <c r="J402" i="2"/>
  <c r="I402" i="2"/>
  <c r="H402" i="2"/>
  <c r="G402" i="2"/>
  <c r="F402" i="2"/>
  <c r="E402" i="2"/>
  <c r="D402" i="2"/>
  <c r="C402" i="2"/>
  <c r="L401" i="2"/>
  <c r="K401" i="2"/>
  <c r="J401" i="2"/>
  <c r="I401" i="2"/>
  <c r="H401" i="2"/>
  <c r="G401" i="2"/>
  <c r="F401" i="2"/>
  <c r="E401" i="2"/>
  <c r="D401" i="2"/>
  <c r="C401" i="2"/>
  <c r="L400" i="2"/>
  <c r="K400" i="2"/>
  <c r="J400" i="2"/>
  <c r="I400" i="2"/>
  <c r="H400" i="2"/>
  <c r="G400" i="2"/>
  <c r="F400" i="2"/>
  <c r="E400" i="2"/>
  <c r="D400" i="2"/>
  <c r="C400" i="2"/>
  <c r="L399" i="2"/>
  <c r="K399" i="2"/>
  <c r="J399" i="2"/>
  <c r="I399" i="2"/>
  <c r="H399" i="2"/>
  <c r="G399" i="2"/>
  <c r="F399" i="2"/>
  <c r="E399" i="2"/>
  <c r="D399" i="2"/>
  <c r="C399" i="2"/>
  <c r="L398" i="2"/>
  <c r="K398" i="2"/>
  <c r="J398" i="2"/>
  <c r="I398" i="2"/>
  <c r="H398" i="2"/>
  <c r="G398" i="2"/>
  <c r="F398" i="2"/>
  <c r="E398" i="2"/>
  <c r="D398" i="2"/>
  <c r="C398" i="2"/>
  <c r="L397" i="2"/>
  <c r="K397" i="2"/>
  <c r="J397" i="2"/>
  <c r="I397" i="2"/>
  <c r="H397" i="2"/>
  <c r="G397" i="2"/>
  <c r="F397" i="2"/>
  <c r="E397" i="2"/>
  <c r="D397" i="2"/>
  <c r="C397" i="2"/>
  <c r="L396" i="2"/>
  <c r="K396" i="2"/>
  <c r="J396" i="2"/>
  <c r="I396" i="2"/>
  <c r="H396" i="2"/>
  <c r="G396" i="2"/>
  <c r="F396" i="2"/>
  <c r="E396" i="2"/>
  <c r="D396" i="2"/>
  <c r="C396" i="2"/>
  <c r="L395" i="2"/>
  <c r="K395" i="2"/>
  <c r="J395" i="2"/>
  <c r="I395" i="2"/>
  <c r="H395" i="2"/>
  <c r="G395" i="2"/>
  <c r="F395" i="2"/>
  <c r="E395" i="2"/>
  <c r="D395" i="2"/>
  <c r="C395" i="2"/>
  <c r="L394" i="2"/>
  <c r="K394" i="2"/>
  <c r="J394" i="2"/>
  <c r="I394" i="2"/>
  <c r="H394" i="2"/>
  <c r="G394" i="2"/>
  <c r="F394" i="2"/>
  <c r="E394" i="2"/>
  <c r="D394" i="2"/>
  <c r="C394" i="2"/>
  <c r="L393" i="2"/>
  <c r="K393" i="2"/>
  <c r="J393" i="2"/>
  <c r="I393" i="2"/>
  <c r="H393" i="2"/>
  <c r="G393" i="2"/>
  <c r="F393" i="2"/>
  <c r="E393" i="2"/>
  <c r="D393" i="2"/>
  <c r="C393" i="2"/>
  <c r="L392" i="2"/>
  <c r="K392" i="2"/>
  <c r="J392" i="2"/>
  <c r="I392" i="2"/>
  <c r="H392" i="2"/>
  <c r="G392" i="2"/>
  <c r="F392" i="2"/>
  <c r="E392" i="2"/>
  <c r="D392" i="2"/>
  <c r="C392" i="2"/>
  <c r="L391" i="2"/>
  <c r="K391" i="2"/>
  <c r="J391" i="2"/>
  <c r="I391" i="2"/>
  <c r="H391" i="2"/>
  <c r="G391" i="2"/>
  <c r="F391" i="2"/>
  <c r="E391" i="2"/>
  <c r="D391" i="2"/>
  <c r="C391" i="2"/>
  <c r="L390" i="2"/>
  <c r="K390" i="2"/>
  <c r="J390" i="2"/>
  <c r="I390" i="2"/>
  <c r="H390" i="2"/>
  <c r="G390" i="2"/>
  <c r="F390" i="2"/>
  <c r="E390" i="2"/>
  <c r="D390" i="2"/>
  <c r="C390" i="2"/>
  <c r="L389" i="2"/>
  <c r="K389" i="2"/>
  <c r="J389" i="2"/>
  <c r="I389" i="2"/>
  <c r="H389" i="2"/>
  <c r="G389" i="2"/>
  <c r="F389" i="2"/>
  <c r="E389" i="2"/>
  <c r="D389" i="2"/>
  <c r="C389" i="2"/>
  <c r="L388" i="2"/>
  <c r="K388" i="2"/>
  <c r="J388" i="2"/>
  <c r="I388" i="2"/>
  <c r="H388" i="2"/>
  <c r="G388" i="2"/>
  <c r="F388" i="2"/>
  <c r="E388" i="2"/>
  <c r="D388" i="2"/>
  <c r="C388" i="2"/>
  <c r="L387" i="2"/>
  <c r="K387" i="2"/>
  <c r="J387" i="2"/>
  <c r="I387" i="2"/>
  <c r="H387" i="2"/>
  <c r="G387" i="2"/>
  <c r="F387" i="2"/>
  <c r="E387" i="2"/>
  <c r="D387" i="2"/>
  <c r="C387" i="2"/>
  <c r="L386" i="2"/>
  <c r="K386" i="2"/>
  <c r="J386" i="2"/>
  <c r="I386" i="2"/>
  <c r="H386" i="2"/>
  <c r="G386" i="2"/>
  <c r="F386" i="2"/>
  <c r="E386" i="2"/>
  <c r="D386" i="2"/>
  <c r="C386" i="2"/>
  <c r="L385" i="2"/>
  <c r="K385" i="2"/>
  <c r="J385" i="2"/>
  <c r="I385" i="2"/>
  <c r="H385" i="2"/>
  <c r="G385" i="2"/>
  <c r="F385" i="2"/>
  <c r="E385" i="2"/>
  <c r="D385" i="2"/>
  <c r="C385" i="2"/>
  <c r="L384" i="2"/>
  <c r="K384" i="2"/>
  <c r="J384" i="2"/>
  <c r="I384" i="2"/>
  <c r="H384" i="2"/>
  <c r="G384" i="2"/>
  <c r="F384" i="2"/>
  <c r="E384" i="2"/>
  <c r="D384" i="2"/>
  <c r="C384" i="2"/>
  <c r="L383" i="2"/>
  <c r="K383" i="2"/>
  <c r="J383" i="2"/>
  <c r="I383" i="2"/>
  <c r="H383" i="2"/>
  <c r="G383" i="2"/>
  <c r="F383" i="2"/>
  <c r="E383" i="2"/>
  <c r="D383" i="2"/>
  <c r="C383" i="2"/>
  <c r="L382" i="2"/>
  <c r="K382" i="2"/>
  <c r="J382" i="2"/>
  <c r="I382" i="2"/>
  <c r="H382" i="2"/>
  <c r="G382" i="2"/>
  <c r="F382" i="2"/>
  <c r="E382" i="2"/>
  <c r="D382" i="2"/>
  <c r="C382" i="2"/>
  <c r="L381" i="2"/>
  <c r="K381" i="2"/>
  <c r="J381" i="2"/>
  <c r="I381" i="2"/>
  <c r="H381" i="2"/>
  <c r="G381" i="2"/>
  <c r="F381" i="2"/>
  <c r="E381" i="2"/>
  <c r="D381" i="2"/>
  <c r="C381" i="2"/>
  <c r="L380" i="2"/>
  <c r="K380" i="2"/>
  <c r="J380" i="2"/>
  <c r="I380" i="2"/>
  <c r="H380" i="2"/>
  <c r="G380" i="2"/>
  <c r="F380" i="2"/>
  <c r="E380" i="2"/>
  <c r="D380" i="2"/>
  <c r="C380" i="2"/>
  <c r="L379" i="2"/>
  <c r="K379" i="2"/>
  <c r="J379" i="2"/>
  <c r="I379" i="2"/>
  <c r="H379" i="2"/>
  <c r="G379" i="2"/>
  <c r="F379" i="2"/>
  <c r="E379" i="2"/>
  <c r="D379" i="2"/>
  <c r="C379" i="2"/>
  <c r="L378" i="2"/>
  <c r="K378" i="2"/>
  <c r="J378" i="2"/>
  <c r="I378" i="2"/>
  <c r="H378" i="2"/>
  <c r="G378" i="2"/>
  <c r="F378" i="2"/>
  <c r="E378" i="2"/>
  <c r="D378" i="2"/>
  <c r="C378" i="2"/>
  <c r="L377" i="2"/>
  <c r="K377" i="2"/>
  <c r="J377" i="2"/>
  <c r="I377" i="2"/>
  <c r="H377" i="2"/>
  <c r="G377" i="2"/>
  <c r="F377" i="2"/>
  <c r="E377" i="2"/>
  <c r="D377" i="2"/>
  <c r="C377" i="2"/>
  <c r="L376" i="2"/>
  <c r="K376" i="2"/>
  <c r="J376" i="2"/>
  <c r="I376" i="2"/>
  <c r="H376" i="2"/>
  <c r="G376" i="2"/>
  <c r="F376" i="2"/>
  <c r="E376" i="2"/>
  <c r="D376" i="2"/>
  <c r="C376" i="2"/>
  <c r="L375" i="2"/>
  <c r="K375" i="2"/>
  <c r="J375" i="2"/>
  <c r="I375" i="2"/>
  <c r="H375" i="2"/>
  <c r="G375" i="2"/>
  <c r="F375" i="2"/>
  <c r="E375" i="2"/>
  <c r="D375" i="2"/>
  <c r="C375" i="2"/>
  <c r="L374" i="2"/>
  <c r="K374" i="2"/>
  <c r="J374" i="2"/>
  <c r="I374" i="2"/>
  <c r="H374" i="2"/>
  <c r="G374" i="2"/>
  <c r="F374" i="2"/>
  <c r="E374" i="2"/>
  <c r="D374" i="2"/>
  <c r="C374" i="2"/>
  <c r="L373" i="2"/>
  <c r="K373" i="2"/>
  <c r="J373" i="2"/>
  <c r="I373" i="2"/>
  <c r="H373" i="2"/>
  <c r="G373" i="2"/>
  <c r="F373" i="2"/>
  <c r="E373" i="2"/>
  <c r="D373" i="2"/>
  <c r="C373" i="2"/>
  <c r="L372" i="2"/>
  <c r="K372" i="2"/>
  <c r="J372" i="2"/>
  <c r="I372" i="2"/>
  <c r="H372" i="2"/>
  <c r="G372" i="2"/>
  <c r="F372" i="2"/>
  <c r="E372" i="2"/>
  <c r="D372" i="2"/>
  <c r="C372" i="2"/>
  <c r="L371" i="2"/>
  <c r="K371" i="2"/>
  <c r="J371" i="2"/>
  <c r="I371" i="2"/>
  <c r="H371" i="2"/>
  <c r="G371" i="2"/>
  <c r="F371" i="2"/>
  <c r="E371" i="2"/>
  <c r="D371" i="2"/>
  <c r="C371" i="2"/>
  <c r="L370" i="2"/>
  <c r="K370" i="2"/>
  <c r="J370" i="2"/>
  <c r="I370" i="2"/>
  <c r="H370" i="2"/>
  <c r="G370" i="2"/>
  <c r="F370" i="2"/>
  <c r="E370" i="2"/>
  <c r="D370" i="2"/>
  <c r="C370" i="2"/>
  <c r="L369" i="2"/>
  <c r="K369" i="2"/>
  <c r="J369" i="2"/>
  <c r="I369" i="2"/>
  <c r="H369" i="2"/>
  <c r="G369" i="2"/>
  <c r="F369" i="2"/>
  <c r="E369" i="2"/>
  <c r="D369" i="2"/>
  <c r="C369" i="2"/>
  <c r="L368" i="2"/>
  <c r="K368" i="2"/>
  <c r="J368" i="2"/>
  <c r="I368" i="2"/>
  <c r="H368" i="2"/>
  <c r="G368" i="2"/>
  <c r="F368" i="2"/>
  <c r="E368" i="2"/>
  <c r="D368" i="2"/>
  <c r="C368" i="2"/>
  <c r="L367" i="2"/>
  <c r="K367" i="2"/>
  <c r="J367" i="2"/>
  <c r="I367" i="2"/>
  <c r="H367" i="2"/>
  <c r="G367" i="2"/>
  <c r="F367" i="2"/>
  <c r="E367" i="2"/>
  <c r="D367" i="2"/>
  <c r="C367" i="2"/>
  <c r="L366" i="2"/>
  <c r="K366" i="2"/>
  <c r="J366" i="2"/>
  <c r="I366" i="2"/>
  <c r="H366" i="2"/>
  <c r="G366" i="2"/>
  <c r="F366" i="2"/>
  <c r="E366" i="2"/>
  <c r="D366" i="2"/>
  <c r="C366" i="2"/>
  <c r="L365" i="2"/>
  <c r="K365" i="2"/>
  <c r="J365" i="2"/>
  <c r="I365" i="2"/>
  <c r="H365" i="2"/>
  <c r="G365" i="2"/>
  <c r="F365" i="2"/>
  <c r="E365" i="2"/>
  <c r="D365" i="2"/>
  <c r="C365" i="2"/>
  <c r="L364" i="2"/>
  <c r="K364" i="2"/>
  <c r="J364" i="2"/>
  <c r="I364" i="2"/>
  <c r="H364" i="2"/>
  <c r="G364" i="2"/>
  <c r="F364" i="2"/>
  <c r="E364" i="2"/>
  <c r="D364" i="2"/>
  <c r="C364" i="2"/>
  <c r="L363" i="2"/>
  <c r="K363" i="2"/>
  <c r="J363" i="2"/>
  <c r="I363" i="2"/>
  <c r="H363" i="2"/>
  <c r="G363" i="2"/>
  <c r="F363" i="2"/>
  <c r="E363" i="2"/>
  <c r="D363" i="2"/>
  <c r="C363" i="2"/>
  <c r="L362" i="2"/>
  <c r="K362" i="2"/>
  <c r="J362" i="2"/>
  <c r="I362" i="2"/>
  <c r="H362" i="2"/>
  <c r="G362" i="2"/>
  <c r="F362" i="2"/>
  <c r="E362" i="2"/>
  <c r="D362" i="2"/>
  <c r="C362" i="2"/>
  <c r="L361" i="2"/>
  <c r="K361" i="2"/>
  <c r="J361" i="2"/>
  <c r="I361" i="2"/>
  <c r="H361" i="2"/>
  <c r="G361" i="2"/>
  <c r="F361" i="2"/>
  <c r="E361" i="2"/>
  <c r="D361" i="2"/>
  <c r="C361" i="2"/>
  <c r="L360" i="2"/>
  <c r="K360" i="2"/>
  <c r="J360" i="2"/>
  <c r="I360" i="2"/>
  <c r="H360" i="2"/>
  <c r="G360" i="2"/>
  <c r="F360" i="2"/>
  <c r="E360" i="2"/>
  <c r="D360" i="2"/>
  <c r="C360" i="2"/>
  <c r="L359" i="2"/>
  <c r="K359" i="2"/>
  <c r="J359" i="2"/>
  <c r="I359" i="2"/>
  <c r="H359" i="2"/>
  <c r="G359" i="2"/>
  <c r="F359" i="2"/>
  <c r="E359" i="2"/>
  <c r="D359" i="2"/>
  <c r="C359" i="2"/>
  <c r="L358" i="2"/>
  <c r="K358" i="2"/>
  <c r="J358" i="2"/>
  <c r="I358" i="2"/>
  <c r="H358" i="2"/>
  <c r="G358" i="2"/>
  <c r="F358" i="2"/>
  <c r="E358" i="2"/>
  <c r="D358" i="2"/>
  <c r="C358" i="2"/>
  <c r="L357" i="2"/>
  <c r="K357" i="2"/>
  <c r="J357" i="2"/>
  <c r="I357" i="2"/>
  <c r="H357" i="2"/>
  <c r="G357" i="2"/>
  <c r="F357" i="2"/>
  <c r="E357" i="2"/>
  <c r="D357" i="2"/>
  <c r="C357" i="2"/>
  <c r="L356" i="2"/>
  <c r="K356" i="2"/>
  <c r="J356" i="2"/>
  <c r="I356" i="2"/>
  <c r="H356" i="2"/>
  <c r="G356" i="2"/>
  <c r="F356" i="2"/>
  <c r="E356" i="2"/>
  <c r="D356" i="2"/>
  <c r="C356" i="2"/>
  <c r="L355" i="2"/>
  <c r="K355" i="2"/>
  <c r="J355" i="2"/>
  <c r="I355" i="2"/>
  <c r="H355" i="2"/>
  <c r="G355" i="2"/>
  <c r="F355" i="2"/>
  <c r="E355" i="2"/>
  <c r="D355" i="2"/>
  <c r="C355" i="2"/>
  <c r="L354" i="2"/>
  <c r="K354" i="2"/>
  <c r="J354" i="2"/>
  <c r="I354" i="2"/>
  <c r="H354" i="2"/>
  <c r="G354" i="2"/>
  <c r="F354" i="2"/>
  <c r="E354" i="2"/>
  <c r="D354" i="2"/>
  <c r="C354" i="2"/>
  <c r="L353" i="2"/>
  <c r="K353" i="2"/>
  <c r="J353" i="2"/>
  <c r="I353" i="2"/>
  <c r="H353" i="2"/>
  <c r="G353" i="2"/>
  <c r="F353" i="2"/>
  <c r="E353" i="2"/>
  <c r="D353" i="2"/>
  <c r="C353" i="2"/>
  <c r="L352" i="2"/>
  <c r="K352" i="2"/>
  <c r="J352" i="2"/>
  <c r="I352" i="2"/>
  <c r="H352" i="2"/>
  <c r="G352" i="2"/>
  <c r="F352" i="2"/>
  <c r="E352" i="2"/>
  <c r="D352" i="2"/>
  <c r="C352" i="2"/>
  <c r="L351" i="2"/>
  <c r="K351" i="2"/>
  <c r="J351" i="2"/>
  <c r="I351" i="2"/>
  <c r="H351" i="2"/>
  <c r="G351" i="2"/>
  <c r="F351" i="2"/>
  <c r="E351" i="2"/>
  <c r="D351" i="2"/>
  <c r="C351" i="2"/>
  <c r="L350" i="2"/>
  <c r="K350" i="2"/>
  <c r="J350" i="2"/>
  <c r="I350" i="2"/>
  <c r="H350" i="2"/>
  <c r="G350" i="2"/>
  <c r="F350" i="2"/>
  <c r="E350" i="2"/>
  <c r="D350" i="2"/>
  <c r="C350" i="2"/>
  <c r="L349" i="2"/>
  <c r="K349" i="2"/>
  <c r="J349" i="2"/>
  <c r="I349" i="2"/>
  <c r="H349" i="2"/>
  <c r="G349" i="2"/>
  <c r="F349" i="2"/>
  <c r="E349" i="2"/>
  <c r="D349" i="2"/>
  <c r="C349" i="2"/>
  <c r="L348" i="2"/>
  <c r="K348" i="2"/>
  <c r="J348" i="2"/>
  <c r="I348" i="2"/>
  <c r="H348" i="2"/>
  <c r="G348" i="2"/>
  <c r="F348" i="2"/>
  <c r="E348" i="2"/>
  <c r="D348" i="2"/>
  <c r="C348" i="2"/>
  <c r="L347" i="2"/>
  <c r="K347" i="2"/>
  <c r="J347" i="2"/>
  <c r="I347" i="2"/>
  <c r="H347" i="2"/>
  <c r="G347" i="2"/>
  <c r="F347" i="2"/>
  <c r="E347" i="2"/>
  <c r="D347" i="2"/>
  <c r="C347" i="2"/>
  <c r="L346" i="2"/>
  <c r="K346" i="2"/>
  <c r="J346" i="2"/>
  <c r="I346" i="2"/>
  <c r="H346" i="2"/>
  <c r="G346" i="2"/>
  <c r="F346" i="2"/>
  <c r="E346" i="2"/>
  <c r="D346" i="2"/>
  <c r="C346" i="2"/>
  <c r="L345" i="2"/>
  <c r="K345" i="2"/>
  <c r="J345" i="2"/>
  <c r="I345" i="2"/>
  <c r="H345" i="2"/>
  <c r="G345" i="2"/>
  <c r="F345" i="2"/>
  <c r="E345" i="2"/>
  <c r="D345" i="2"/>
  <c r="C345" i="2"/>
  <c r="L344" i="2"/>
  <c r="K344" i="2"/>
  <c r="J344" i="2"/>
  <c r="I344" i="2"/>
  <c r="H344" i="2"/>
  <c r="G344" i="2"/>
  <c r="F344" i="2"/>
  <c r="E344" i="2"/>
  <c r="D344" i="2"/>
  <c r="C344" i="2"/>
  <c r="L343" i="2"/>
  <c r="K343" i="2"/>
  <c r="J343" i="2"/>
  <c r="I343" i="2"/>
  <c r="H343" i="2"/>
  <c r="G343" i="2"/>
  <c r="F343" i="2"/>
  <c r="E343" i="2"/>
  <c r="D343" i="2"/>
  <c r="C343" i="2"/>
  <c r="L342" i="2"/>
  <c r="K342" i="2"/>
  <c r="J342" i="2"/>
  <c r="I342" i="2"/>
  <c r="H342" i="2"/>
  <c r="G342" i="2"/>
  <c r="F342" i="2"/>
  <c r="E342" i="2"/>
  <c r="D342" i="2"/>
  <c r="C342" i="2"/>
  <c r="L341" i="2"/>
  <c r="K341" i="2"/>
  <c r="J341" i="2"/>
  <c r="I341" i="2"/>
  <c r="H341" i="2"/>
  <c r="G341" i="2"/>
  <c r="F341" i="2"/>
  <c r="E341" i="2"/>
  <c r="D341" i="2"/>
  <c r="C341" i="2"/>
  <c r="L340" i="2"/>
  <c r="K340" i="2"/>
  <c r="J340" i="2"/>
  <c r="I340" i="2"/>
  <c r="H340" i="2"/>
  <c r="G340" i="2"/>
  <c r="F340" i="2"/>
  <c r="E340" i="2"/>
  <c r="D340" i="2"/>
  <c r="C340" i="2"/>
  <c r="L339" i="2"/>
  <c r="K339" i="2"/>
  <c r="J339" i="2"/>
  <c r="I339" i="2"/>
  <c r="H339" i="2"/>
  <c r="G339" i="2"/>
  <c r="F339" i="2"/>
  <c r="E339" i="2"/>
  <c r="D339" i="2"/>
  <c r="C339" i="2"/>
  <c r="L338" i="2"/>
  <c r="K338" i="2"/>
  <c r="J338" i="2"/>
  <c r="I338" i="2"/>
  <c r="H338" i="2"/>
  <c r="G338" i="2"/>
  <c r="F338" i="2"/>
  <c r="E338" i="2"/>
  <c r="D338" i="2"/>
  <c r="C338" i="2"/>
  <c r="L337" i="2"/>
  <c r="K337" i="2"/>
  <c r="J337" i="2"/>
  <c r="I337" i="2"/>
  <c r="H337" i="2"/>
  <c r="G337" i="2"/>
  <c r="F337" i="2"/>
  <c r="E337" i="2"/>
  <c r="D337" i="2"/>
  <c r="C337" i="2"/>
  <c r="L336" i="2"/>
  <c r="K336" i="2"/>
  <c r="J336" i="2"/>
  <c r="I336" i="2"/>
  <c r="H336" i="2"/>
  <c r="G336" i="2"/>
  <c r="F336" i="2"/>
  <c r="E336" i="2"/>
  <c r="D336" i="2"/>
  <c r="C336" i="2"/>
  <c r="L335" i="2"/>
  <c r="K335" i="2"/>
  <c r="J335" i="2"/>
  <c r="I335" i="2"/>
  <c r="H335" i="2"/>
  <c r="G335" i="2"/>
  <c r="F335" i="2"/>
  <c r="E335" i="2"/>
  <c r="D335" i="2"/>
  <c r="C335" i="2"/>
  <c r="L334" i="2"/>
  <c r="K334" i="2"/>
  <c r="J334" i="2"/>
  <c r="I334" i="2"/>
  <c r="H334" i="2"/>
  <c r="G334" i="2"/>
  <c r="F334" i="2"/>
  <c r="E334" i="2"/>
  <c r="D334" i="2"/>
  <c r="C334" i="2"/>
  <c r="L333" i="2"/>
  <c r="K333" i="2"/>
  <c r="J333" i="2"/>
  <c r="I333" i="2"/>
  <c r="H333" i="2"/>
  <c r="G333" i="2"/>
  <c r="F333" i="2"/>
  <c r="E333" i="2"/>
  <c r="D333" i="2"/>
  <c r="C333" i="2"/>
  <c r="L332" i="2"/>
  <c r="K332" i="2"/>
  <c r="J332" i="2"/>
  <c r="I332" i="2"/>
  <c r="H332" i="2"/>
  <c r="G332" i="2"/>
  <c r="F332" i="2"/>
  <c r="E332" i="2"/>
  <c r="D332" i="2"/>
  <c r="C332" i="2"/>
  <c r="L331" i="2"/>
  <c r="K331" i="2"/>
  <c r="J331" i="2"/>
  <c r="I331" i="2"/>
  <c r="H331" i="2"/>
  <c r="G331" i="2"/>
  <c r="F331" i="2"/>
  <c r="E331" i="2"/>
  <c r="D331" i="2"/>
  <c r="C331" i="2"/>
  <c r="L330" i="2"/>
  <c r="K330" i="2"/>
  <c r="J330" i="2"/>
  <c r="I330" i="2"/>
  <c r="H330" i="2"/>
  <c r="G330" i="2"/>
  <c r="F330" i="2"/>
  <c r="E330" i="2"/>
  <c r="D330" i="2"/>
  <c r="C330" i="2"/>
  <c r="L329" i="2"/>
  <c r="K329" i="2"/>
  <c r="J329" i="2"/>
  <c r="I329" i="2"/>
  <c r="H329" i="2"/>
  <c r="G329" i="2"/>
  <c r="F329" i="2"/>
  <c r="E329" i="2"/>
  <c r="D329" i="2"/>
  <c r="C329" i="2"/>
  <c r="L328" i="2"/>
  <c r="K328" i="2"/>
  <c r="J328" i="2"/>
  <c r="I328" i="2"/>
  <c r="H328" i="2"/>
  <c r="G328" i="2"/>
  <c r="F328" i="2"/>
  <c r="E328" i="2"/>
  <c r="D328" i="2"/>
  <c r="C328" i="2"/>
  <c r="L327" i="2"/>
  <c r="K327" i="2"/>
  <c r="J327" i="2"/>
  <c r="I327" i="2"/>
  <c r="H327" i="2"/>
  <c r="G327" i="2"/>
  <c r="F327" i="2"/>
  <c r="E327" i="2"/>
  <c r="D327" i="2"/>
  <c r="C327" i="2"/>
  <c r="L326" i="2"/>
  <c r="K326" i="2"/>
  <c r="J326" i="2"/>
  <c r="I326" i="2"/>
  <c r="H326" i="2"/>
  <c r="G326" i="2"/>
  <c r="F326" i="2"/>
  <c r="E326" i="2"/>
  <c r="D326" i="2"/>
  <c r="C326" i="2"/>
  <c r="L325" i="2"/>
  <c r="K325" i="2"/>
  <c r="J325" i="2"/>
  <c r="I325" i="2"/>
  <c r="H325" i="2"/>
  <c r="G325" i="2"/>
  <c r="F325" i="2"/>
  <c r="E325" i="2"/>
  <c r="D325" i="2"/>
  <c r="C325" i="2"/>
  <c r="L324" i="2"/>
  <c r="K324" i="2"/>
  <c r="J324" i="2"/>
  <c r="I324" i="2"/>
  <c r="H324" i="2"/>
  <c r="G324" i="2"/>
  <c r="F324" i="2"/>
  <c r="E324" i="2"/>
  <c r="D324" i="2"/>
  <c r="C324" i="2"/>
  <c r="L323" i="2"/>
  <c r="K323" i="2"/>
  <c r="J323" i="2"/>
  <c r="I323" i="2"/>
  <c r="H323" i="2"/>
  <c r="G323" i="2"/>
  <c r="F323" i="2"/>
  <c r="E323" i="2"/>
  <c r="D323" i="2"/>
  <c r="C323" i="2"/>
  <c r="L322" i="2"/>
  <c r="K322" i="2"/>
  <c r="J322" i="2"/>
  <c r="I322" i="2"/>
  <c r="H322" i="2"/>
  <c r="G322" i="2"/>
  <c r="F322" i="2"/>
  <c r="E322" i="2"/>
  <c r="D322" i="2"/>
  <c r="C322" i="2"/>
  <c r="L321" i="2"/>
  <c r="K321" i="2"/>
  <c r="J321" i="2"/>
  <c r="I321" i="2"/>
  <c r="H321" i="2"/>
  <c r="G321" i="2"/>
  <c r="F321" i="2"/>
  <c r="E321" i="2"/>
  <c r="D321" i="2"/>
  <c r="C321" i="2"/>
  <c r="L320" i="2"/>
  <c r="K320" i="2"/>
  <c r="J320" i="2"/>
  <c r="I320" i="2"/>
  <c r="H320" i="2"/>
  <c r="G320" i="2"/>
  <c r="F320" i="2"/>
  <c r="E320" i="2"/>
  <c r="D320" i="2"/>
  <c r="C320" i="2"/>
  <c r="L319" i="2"/>
  <c r="K319" i="2"/>
  <c r="J319" i="2"/>
  <c r="I319" i="2"/>
  <c r="H319" i="2"/>
  <c r="G319" i="2"/>
  <c r="F319" i="2"/>
  <c r="E319" i="2"/>
  <c r="D319" i="2"/>
  <c r="C319" i="2"/>
  <c r="L318" i="2"/>
  <c r="K318" i="2"/>
  <c r="J318" i="2"/>
  <c r="I318" i="2"/>
  <c r="H318" i="2"/>
  <c r="G318" i="2"/>
  <c r="F318" i="2"/>
  <c r="E318" i="2"/>
  <c r="D318" i="2"/>
  <c r="C318" i="2"/>
  <c r="L317" i="2"/>
  <c r="K317" i="2"/>
  <c r="J317" i="2"/>
  <c r="I317" i="2"/>
  <c r="H317" i="2"/>
  <c r="G317" i="2"/>
  <c r="F317" i="2"/>
  <c r="E317" i="2"/>
  <c r="D317" i="2"/>
  <c r="C317" i="2"/>
  <c r="L316" i="2"/>
  <c r="K316" i="2"/>
  <c r="J316" i="2"/>
  <c r="I316" i="2"/>
  <c r="H316" i="2"/>
  <c r="G316" i="2"/>
  <c r="F316" i="2"/>
  <c r="E316" i="2"/>
  <c r="D316" i="2"/>
  <c r="C316" i="2"/>
  <c r="L315" i="2"/>
  <c r="K315" i="2"/>
  <c r="J315" i="2"/>
  <c r="I315" i="2"/>
  <c r="H315" i="2"/>
  <c r="G315" i="2"/>
  <c r="F315" i="2"/>
  <c r="E315" i="2"/>
  <c r="D315" i="2"/>
  <c r="C315" i="2"/>
  <c r="L314" i="2"/>
  <c r="K314" i="2"/>
  <c r="J314" i="2"/>
  <c r="I314" i="2"/>
  <c r="H314" i="2"/>
  <c r="G314" i="2"/>
  <c r="F314" i="2"/>
  <c r="E314" i="2"/>
  <c r="D314" i="2"/>
  <c r="C314" i="2"/>
  <c r="L313" i="2"/>
  <c r="K313" i="2"/>
  <c r="J313" i="2"/>
  <c r="I313" i="2"/>
  <c r="H313" i="2"/>
  <c r="G313" i="2"/>
  <c r="F313" i="2"/>
  <c r="E313" i="2"/>
  <c r="D313" i="2"/>
  <c r="C313" i="2"/>
  <c r="L312" i="2"/>
  <c r="K312" i="2"/>
  <c r="J312" i="2"/>
  <c r="I312" i="2"/>
  <c r="H312" i="2"/>
  <c r="G312" i="2"/>
  <c r="F312" i="2"/>
  <c r="E312" i="2"/>
  <c r="D312" i="2"/>
  <c r="C312" i="2"/>
  <c r="L311" i="2"/>
  <c r="K311" i="2"/>
  <c r="J311" i="2"/>
  <c r="I311" i="2"/>
  <c r="H311" i="2"/>
  <c r="G311" i="2"/>
  <c r="F311" i="2"/>
  <c r="E311" i="2"/>
  <c r="D311" i="2"/>
  <c r="C311" i="2"/>
  <c r="L310" i="2"/>
  <c r="K310" i="2"/>
  <c r="J310" i="2"/>
  <c r="I310" i="2"/>
  <c r="H310" i="2"/>
  <c r="G310" i="2"/>
  <c r="F310" i="2"/>
  <c r="E310" i="2"/>
  <c r="D310" i="2"/>
  <c r="C310" i="2"/>
  <c r="L309" i="2"/>
  <c r="K309" i="2"/>
  <c r="J309" i="2"/>
  <c r="I309" i="2"/>
  <c r="H309" i="2"/>
  <c r="G309" i="2"/>
  <c r="F309" i="2"/>
  <c r="E309" i="2"/>
  <c r="D309" i="2"/>
  <c r="C309" i="2"/>
  <c r="L308" i="2"/>
  <c r="K308" i="2"/>
  <c r="J308" i="2"/>
  <c r="I308" i="2"/>
  <c r="H308" i="2"/>
  <c r="G308" i="2"/>
  <c r="F308" i="2"/>
  <c r="E308" i="2"/>
  <c r="D308" i="2"/>
  <c r="C308" i="2"/>
  <c r="L307" i="2"/>
  <c r="K307" i="2"/>
  <c r="J307" i="2"/>
  <c r="I307" i="2"/>
  <c r="H307" i="2"/>
  <c r="G307" i="2"/>
  <c r="F307" i="2"/>
  <c r="E307" i="2"/>
  <c r="D307" i="2"/>
  <c r="C307" i="2"/>
  <c r="L306" i="2"/>
  <c r="K306" i="2"/>
  <c r="J306" i="2"/>
  <c r="I306" i="2"/>
  <c r="H306" i="2"/>
  <c r="G306" i="2"/>
  <c r="F306" i="2"/>
  <c r="E306" i="2"/>
  <c r="D306" i="2"/>
  <c r="C306" i="2"/>
  <c r="L305" i="2"/>
  <c r="K305" i="2"/>
  <c r="J305" i="2"/>
  <c r="I305" i="2"/>
  <c r="H305" i="2"/>
  <c r="G305" i="2"/>
  <c r="F305" i="2"/>
  <c r="E305" i="2"/>
  <c r="D305" i="2"/>
  <c r="C305" i="2"/>
  <c r="L304" i="2"/>
  <c r="K304" i="2"/>
  <c r="J304" i="2"/>
  <c r="I304" i="2"/>
  <c r="H304" i="2"/>
  <c r="G304" i="2"/>
  <c r="F304" i="2"/>
  <c r="E304" i="2"/>
  <c r="D304" i="2"/>
  <c r="C304" i="2"/>
  <c r="L303" i="2"/>
  <c r="K303" i="2"/>
  <c r="J303" i="2"/>
  <c r="I303" i="2"/>
  <c r="H303" i="2"/>
  <c r="G303" i="2"/>
  <c r="F303" i="2"/>
  <c r="E303" i="2"/>
  <c r="D303" i="2"/>
  <c r="C303" i="2"/>
  <c r="L302" i="2"/>
  <c r="K302" i="2"/>
  <c r="J302" i="2"/>
  <c r="I302" i="2"/>
  <c r="H302" i="2"/>
  <c r="G302" i="2"/>
  <c r="F302" i="2"/>
  <c r="E302" i="2"/>
  <c r="D302" i="2"/>
  <c r="C302" i="2"/>
  <c r="L301" i="2"/>
  <c r="K301" i="2"/>
  <c r="J301" i="2"/>
  <c r="I301" i="2"/>
  <c r="H301" i="2"/>
  <c r="G301" i="2"/>
  <c r="F301" i="2"/>
  <c r="E301" i="2"/>
  <c r="D301" i="2"/>
  <c r="C301" i="2"/>
  <c r="L300" i="2"/>
  <c r="K300" i="2"/>
  <c r="J300" i="2"/>
  <c r="I300" i="2"/>
  <c r="H300" i="2"/>
  <c r="G300" i="2"/>
  <c r="F300" i="2"/>
  <c r="E300" i="2"/>
  <c r="D300" i="2"/>
  <c r="C300" i="2"/>
  <c r="L299" i="2"/>
  <c r="K299" i="2"/>
  <c r="J299" i="2"/>
  <c r="I299" i="2"/>
  <c r="H299" i="2"/>
  <c r="G299" i="2"/>
  <c r="F299" i="2"/>
  <c r="E299" i="2"/>
  <c r="D299" i="2"/>
  <c r="C299" i="2"/>
  <c r="L298" i="2"/>
  <c r="K298" i="2"/>
  <c r="J298" i="2"/>
  <c r="I298" i="2"/>
  <c r="H298" i="2"/>
  <c r="G298" i="2"/>
  <c r="F298" i="2"/>
  <c r="E298" i="2"/>
  <c r="D298" i="2"/>
  <c r="C298" i="2"/>
  <c r="L297" i="2"/>
  <c r="K297" i="2"/>
  <c r="J297" i="2"/>
  <c r="I297" i="2"/>
  <c r="H297" i="2"/>
  <c r="G297" i="2"/>
  <c r="F297" i="2"/>
  <c r="E297" i="2"/>
  <c r="D297" i="2"/>
  <c r="C297" i="2"/>
  <c r="L296" i="2"/>
  <c r="K296" i="2"/>
  <c r="J296" i="2"/>
  <c r="I296" i="2"/>
  <c r="H296" i="2"/>
  <c r="G296" i="2"/>
  <c r="F296" i="2"/>
  <c r="E296" i="2"/>
  <c r="D296" i="2"/>
  <c r="C296" i="2"/>
  <c r="L295" i="2"/>
  <c r="K295" i="2"/>
  <c r="J295" i="2"/>
  <c r="I295" i="2"/>
  <c r="H295" i="2"/>
  <c r="G295" i="2"/>
  <c r="F295" i="2"/>
  <c r="E295" i="2"/>
  <c r="D295" i="2"/>
  <c r="C295" i="2"/>
  <c r="L294" i="2"/>
  <c r="K294" i="2"/>
  <c r="J294" i="2"/>
  <c r="I294" i="2"/>
  <c r="H294" i="2"/>
  <c r="G294" i="2"/>
  <c r="F294" i="2"/>
  <c r="E294" i="2"/>
  <c r="D294" i="2"/>
  <c r="C294" i="2"/>
  <c r="L293" i="2"/>
  <c r="K293" i="2"/>
  <c r="J293" i="2"/>
  <c r="I293" i="2"/>
  <c r="H293" i="2"/>
  <c r="G293" i="2"/>
  <c r="F293" i="2"/>
  <c r="E293" i="2"/>
  <c r="D293" i="2"/>
  <c r="C293" i="2"/>
  <c r="L292" i="2"/>
  <c r="K292" i="2"/>
  <c r="J292" i="2"/>
  <c r="I292" i="2"/>
  <c r="H292" i="2"/>
  <c r="G292" i="2"/>
  <c r="F292" i="2"/>
  <c r="E292" i="2"/>
  <c r="D292" i="2"/>
  <c r="C292" i="2"/>
  <c r="L291" i="2"/>
  <c r="K291" i="2"/>
  <c r="J291" i="2"/>
  <c r="I291" i="2"/>
  <c r="H291" i="2"/>
  <c r="G291" i="2"/>
  <c r="F291" i="2"/>
  <c r="E291" i="2"/>
  <c r="D291" i="2"/>
  <c r="C291" i="2"/>
  <c r="L290" i="2"/>
  <c r="K290" i="2"/>
  <c r="J290" i="2"/>
  <c r="I290" i="2"/>
  <c r="H290" i="2"/>
  <c r="G290" i="2"/>
  <c r="F290" i="2"/>
  <c r="E290" i="2"/>
  <c r="D290" i="2"/>
  <c r="C290" i="2"/>
  <c r="L289" i="2"/>
  <c r="K289" i="2"/>
  <c r="J289" i="2"/>
  <c r="I289" i="2"/>
  <c r="H289" i="2"/>
  <c r="G289" i="2"/>
  <c r="F289" i="2"/>
  <c r="E289" i="2"/>
  <c r="D289" i="2"/>
  <c r="C289" i="2"/>
  <c r="L288" i="2"/>
  <c r="K288" i="2"/>
  <c r="J288" i="2"/>
  <c r="I288" i="2"/>
  <c r="H288" i="2"/>
  <c r="G288" i="2"/>
  <c r="F288" i="2"/>
  <c r="E288" i="2"/>
  <c r="D288" i="2"/>
  <c r="C288" i="2"/>
  <c r="L287" i="2"/>
  <c r="K287" i="2"/>
  <c r="J287" i="2"/>
  <c r="I287" i="2"/>
  <c r="H287" i="2"/>
  <c r="G287" i="2"/>
  <c r="F287" i="2"/>
  <c r="E287" i="2"/>
  <c r="D287" i="2"/>
  <c r="C287" i="2"/>
  <c r="L286" i="2"/>
  <c r="K286" i="2"/>
  <c r="J286" i="2"/>
  <c r="I286" i="2"/>
  <c r="H286" i="2"/>
  <c r="G286" i="2"/>
  <c r="F286" i="2"/>
  <c r="E286" i="2"/>
  <c r="D286" i="2"/>
  <c r="C286" i="2"/>
  <c r="L285" i="2"/>
  <c r="K285" i="2"/>
  <c r="J285" i="2"/>
  <c r="I285" i="2"/>
  <c r="H285" i="2"/>
  <c r="G285" i="2"/>
  <c r="F285" i="2"/>
  <c r="E285" i="2"/>
  <c r="D285" i="2"/>
  <c r="C285" i="2"/>
  <c r="L284" i="2"/>
  <c r="K284" i="2"/>
  <c r="J284" i="2"/>
  <c r="I284" i="2"/>
  <c r="H284" i="2"/>
  <c r="G284" i="2"/>
  <c r="F284" i="2"/>
  <c r="E284" i="2"/>
  <c r="D284" i="2"/>
  <c r="C284" i="2"/>
  <c r="L283" i="2"/>
  <c r="K283" i="2"/>
  <c r="J283" i="2"/>
  <c r="I283" i="2"/>
  <c r="H283" i="2"/>
  <c r="G283" i="2"/>
  <c r="F283" i="2"/>
  <c r="E283" i="2"/>
  <c r="D283" i="2"/>
  <c r="C283" i="2"/>
  <c r="L282" i="2"/>
  <c r="K282" i="2"/>
  <c r="J282" i="2"/>
  <c r="I282" i="2"/>
  <c r="H282" i="2"/>
  <c r="G282" i="2"/>
  <c r="F282" i="2"/>
  <c r="E282" i="2"/>
  <c r="D282" i="2"/>
  <c r="C282" i="2"/>
  <c r="L281" i="2"/>
  <c r="K281" i="2"/>
  <c r="J281" i="2"/>
  <c r="I281" i="2"/>
  <c r="H281" i="2"/>
  <c r="G281" i="2"/>
  <c r="F281" i="2"/>
  <c r="E281" i="2"/>
  <c r="D281" i="2"/>
  <c r="C281" i="2"/>
  <c r="L280" i="2"/>
  <c r="K280" i="2"/>
  <c r="J280" i="2"/>
  <c r="I280" i="2"/>
  <c r="H280" i="2"/>
  <c r="G280" i="2"/>
  <c r="F280" i="2"/>
  <c r="E280" i="2"/>
  <c r="D280" i="2"/>
  <c r="C280" i="2"/>
  <c r="L279" i="2"/>
  <c r="K279" i="2"/>
  <c r="J279" i="2"/>
  <c r="I279" i="2"/>
  <c r="H279" i="2"/>
  <c r="G279" i="2"/>
  <c r="F279" i="2"/>
  <c r="E279" i="2"/>
  <c r="D279" i="2"/>
  <c r="C279" i="2"/>
  <c r="L278" i="2"/>
  <c r="K278" i="2"/>
  <c r="J278" i="2"/>
  <c r="I278" i="2"/>
  <c r="H278" i="2"/>
  <c r="G278" i="2"/>
  <c r="F278" i="2"/>
  <c r="E278" i="2"/>
  <c r="D278" i="2"/>
  <c r="C278" i="2"/>
  <c r="L277" i="2"/>
  <c r="K277" i="2"/>
  <c r="J277" i="2"/>
  <c r="I277" i="2"/>
  <c r="H277" i="2"/>
  <c r="G277" i="2"/>
  <c r="F277" i="2"/>
  <c r="E277" i="2"/>
  <c r="D277" i="2"/>
  <c r="C277" i="2"/>
  <c r="L276" i="2"/>
  <c r="K276" i="2"/>
  <c r="J276" i="2"/>
  <c r="I276" i="2"/>
  <c r="H276" i="2"/>
  <c r="G276" i="2"/>
  <c r="F276" i="2"/>
  <c r="E276" i="2"/>
  <c r="D276" i="2"/>
  <c r="C276" i="2"/>
  <c r="L275" i="2"/>
  <c r="K275" i="2"/>
  <c r="J275" i="2"/>
  <c r="I275" i="2"/>
  <c r="H275" i="2"/>
  <c r="G275" i="2"/>
  <c r="F275" i="2"/>
  <c r="E275" i="2"/>
  <c r="D275" i="2"/>
  <c r="C275" i="2"/>
  <c r="L274" i="2"/>
  <c r="K274" i="2"/>
  <c r="J274" i="2"/>
  <c r="I274" i="2"/>
  <c r="H274" i="2"/>
  <c r="G274" i="2"/>
  <c r="F274" i="2"/>
  <c r="E274" i="2"/>
  <c r="D274" i="2"/>
  <c r="C274" i="2"/>
  <c r="L273" i="2"/>
  <c r="K273" i="2"/>
  <c r="J273" i="2"/>
  <c r="I273" i="2"/>
  <c r="H273" i="2"/>
  <c r="G273" i="2"/>
  <c r="F273" i="2"/>
  <c r="E273" i="2"/>
  <c r="D273" i="2"/>
  <c r="C273" i="2"/>
  <c r="L272" i="2"/>
  <c r="K272" i="2"/>
  <c r="J272" i="2"/>
  <c r="I272" i="2"/>
  <c r="H272" i="2"/>
  <c r="G272" i="2"/>
  <c r="F272" i="2"/>
  <c r="E272" i="2"/>
  <c r="D272" i="2"/>
  <c r="C272" i="2"/>
  <c r="L271" i="2"/>
  <c r="K271" i="2"/>
  <c r="J271" i="2"/>
  <c r="I271" i="2"/>
  <c r="H271" i="2"/>
  <c r="G271" i="2"/>
  <c r="F271" i="2"/>
  <c r="E271" i="2"/>
  <c r="D271" i="2"/>
  <c r="C271" i="2"/>
  <c r="L270" i="2"/>
  <c r="K270" i="2"/>
  <c r="J270" i="2"/>
  <c r="I270" i="2"/>
  <c r="H270" i="2"/>
  <c r="G270" i="2"/>
  <c r="F270" i="2"/>
  <c r="E270" i="2"/>
  <c r="D270" i="2"/>
  <c r="C270" i="2"/>
  <c r="L269" i="2"/>
  <c r="K269" i="2"/>
  <c r="J269" i="2"/>
  <c r="I269" i="2"/>
  <c r="H269" i="2"/>
  <c r="G269" i="2"/>
  <c r="F269" i="2"/>
  <c r="E269" i="2"/>
  <c r="D269" i="2"/>
  <c r="C269" i="2"/>
  <c r="L268" i="2"/>
  <c r="K268" i="2"/>
  <c r="J268" i="2"/>
  <c r="I268" i="2"/>
  <c r="H268" i="2"/>
  <c r="G268" i="2"/>
  <c r="F268" i="2"/>
  <c r="E268" i="2"/>
  <c r="D268" i="2"/>
  <c r="C268" i="2"/>
  <c r="L267" i="2"/>
  <c r="K267" i="2"/>
  <c r="J267" i="2"/>
  <c r="I267" i="2"/>
  <c r="H267" i="2"/>
  <c r="G267" i="2"/>
  <c r="F267" i="2"/>
  <c r="E267" i="2"/>
  <c r="D267" i="2"/>
  <c r="C267" i="2"/>
  <c r="L266" i="2"/>
  <c r="K266" i="2"/>
  <c r="J266" i="2"/>
  <c r="I266" i="2"/>
  <c r="H266" i="2"/>
  <c r="G266" i="2"/>
  <c r="F266" i="2"/>
  <c r="E266" i="2"/>
  <c r="D266" i="2"/>
  <c r="C266" i="2"/>
  <c r="L265" i="2"/>
  <c r="K265" i="2"/>
  <c r="J265" i="2"/>
  <c r="I265" i="2"/>
  <c r="H265" i="2"/>
  <c r="G265" i="2"/>
  <c r="F265" i="2"/>
  <c r="E265" i="2"/>
  <c r="D265" i="2"/>
  <c r="C265" i="2"/>
  <c r="L264" i="2"/>
  <c r="K264" i="2"/>
  <c r="J264" i="2"/>
  <c r="I264" i="2"/>
  <c r="H264" i="2"/>
  <c r="G264" i="2"/>
  <c r="F264" i="2"/>
  <c r="E264" i="2"/>
  <c r="D264" i="2"/>
  <c r="C264" i="2"/>
  <c r="L263" i="2"/>
  <c r="K263" i="2"/>
  <c r="J263" i="2"/>
  <c r="I263" i="2"/>
  <c r="H263" i="2"/>
  <c r="G263" i="2"/>
  <c r="F263" i="2"/>
  <c r="E263" i="2"/>
  <c r="D263" i="2"/>
  <c r="C263" i="2"/>
  <c r="L262" i="2"/>
  <c r="K262" i="2"/>
  <c r="J262" i="2"/>
  <c r="I262" i="2"/>
  <c r="H262" i="2"/>
  <c r="G262" i="2"/>
  <c r="F262" i="2"/>
  <c r="E262" i="2"/>
  <c r="D262" i="2"/>
  <c r="C262" i="2"/>
  <c r="L261" i="2"/>
  <c r="K261" i="2"/>
  <c r="J261" i="2"/>
  <c r="I261" i="2"/>
  <c r="H261" i="2"/>
  <c r="G261" i="2"/>
  <c r="F261" i="2"/>
  <c r="E261" i="2"/>
  <c r="D261" i="2"/>
  <c r="C261" i="2"/>
  <c r="L260" i="2"/>
  <c r="K260" i="2"/>
  <c r="J260" i="2"/>
  <c r="I260" i="2"/>
  <c r="H260" i="2"/>
  <c r="G260" i="2"/>
  <c r="F260" i="2"/>
  <c r="E260" i="2"/>
  <c r="D260" i="2"/>
  <c r="C260" i="2"/>
  <c r="L259" i="2"/>
  <c r="K259" i="2"/>
  <c r="J259" i="2"/>
  <c r="I259" i="2"/>
  <c r="H259" i="2"/>
  <c r="G259" i="2"/>
  <c r="F259" i="2"/>
  <c r="E259" i="2"/>
  <c r="D259" i="2"/>
  <c r="C259" i="2"/>
  <c r="L258" i="2"/>
  <c r="K258" i="2"/>
  <c r="J258" i="2"/>
  <c r="I258" i="2"/>
  <c r="H258" i="2"/>
  <c r="G258" i="2"/>
  <c r="F258" i="2"/>
  <c r="E258" i="2"/>
  <c r="D258" i="2"/>
  <c r="C258" i="2"/>
  <c r="L257" i="2"/>
  <c r="K257" i="2"/>
  <c r="J257" i="2"/>
  <c r="I257" i="2"/>
  <c r="H257" i="2"/>
  <c r="G257" i="2"/>
  <c r="F257" i="2"/>
  <c r="E257" i="2"/>
  <c r="D257" i="2"/>
  <c r="C257" i="2"/>
  <c r="L256" i="2"/>
  <c r="K256" i="2"/>
  <c r="J256" i="2"/>
  <c r="I256" i="2"/>
  <c r="H256" i="2"/>
  <c r="G256" i="2"/>
  <c r="F256" i="2"/>
  <c r="E256" i="2"/>
  <c r="D256" i="2"/>
  <c r="C256" i="2"/>
  <c r="L255" i="2"/>
  <c r="K255" i="2"/>
  <c r="J255" i="2"/>
  <c r="I255" i="2"/>
  <c r="H255" i="2"/>
  <c r="G255" i="2"/>
  <c r="F255" i="2"/>
  <c r="E255" i="2"/>
  <c r="D255" i="2"/>
  <c r="C255" i="2"/>
  <c r="L254" i="2"/>
  <c r="K254" i="2"/>
  <c r="J254" i="2"/>
  <c r="I254" i="2"/>
  <c r="H254" i="2"/>
  <c r="G254" i="2"/>
  <c r="F254" i="2"/>
  <c r="E254" i="2"/>
  <c r="D254" i="2"/>
  <c r="C254" i="2"/>
  <c r="L253" i="2"/>
  <c r="K253" i="2"/>
  <c r="J253" i="2"/>
  <c r="I253" i="2"/>
  <c r="H253" i="2"/>
  <c r="G253" i="2"/>
  <c r="F253" i="2"/>
  <c r="E253" i="2"/>
  <c r="D253" i="2"/>
  <c r="C253" i="2"/>
  <c r="L252" i="2"/>
  <c r="K252" i="2"/>
  <c r="J252" i="2"/>
  <c r="I252" i="2"/>
  <c r="H252" i="2"/>
  <c r="G252" i="2"/>
  <c r="F252" i="2"/>
  <c r="E252" i="2"/>
  <c r="D252" i="2"/>
  <c r="C252" i="2"/>
  <c r="L251" i="2"/>
  <c r="K251" i="2"/>
  <c r="J251" i="2"/>
  <c r="I251" i="2"/>
  <c r="H251" i="2"/>
  <c r="G251" i="2"/>
  <c r="F251" i="2"/>
  <c r="E251" i="2"/>
  <c r="D251" i="2"/>
  <c r="C251" i="2"/>
  <c r="L250" i="2"/>
  <c r="K250" i="2"/>
  <c r="J250" i="2"/>
  <c r="I250" i="2"/>
  <c r="H250" i="2"/>
  <c r="G250" i="2"/>
  <c r="F250" i="2"/>
  <c r="E250" i="2"/>
  <c r="D250" i="2"/>
  <c r="C250" i="2"/>
  <c r="L249" i="2"/>
  <c r="K249" i="2"/>
  <c r="J249" i="2"/>
  <c r="I249" i="2"/>
  <c r="H249" i="2"/>
  <c r="G249" i="2"/>
  <c r="F249" i="2"/>
  <c r="E249" i="2"/>
  <c r="D249" i="2"/>
  <c r="C249" i="2"/>
  <c r="L248" i="2"/>
  <c r="K248" i="2"/>
  <c r="J248" i="2"/>
  <c r="I248" i="2"/>
  <c r="H248" i="2"/>
  <c r="G248" i="2"/>
  <c r="F248" i="2"/>
  <c r="E248" i="2"/>
  <c r="D248" i="2"/>
  <c r="C248" i="2"/>
  <c r="L247" i="2"/>
  <c r="K247" i="2"/>
  <c r="J247" i="2"/>
  <c r="I247" i="2"/>
  <c r="H247" i="2"/>
  <c r="G247" i="2"/>
  <c r="F247" i="2"/>
  <c r="E247" i="2"/>
  <c r="D247" i="2"/>
  <c r="C247" i="2"/>
  <c r="L246" i="2"/>
  <c r="K246" i="2"/>
  <c r="J246" i="2"/>
  <c r="I246" i="2"/>
  <c r="H246" i="2"/>
  <c r="G246" i="2"/>
  <c r="F246" i="2"/>
  <c r="E246" i="2"/>
  <c r="D246" i="2"/>
  <c r="C246" i="2"/>
  <c r="L245" i="2"/>
  <c r="K245" i="2"/>
  <c r="J245" i="2"/>
  <c r="I245" i="2"/>
  <c r="H245" i="2"/>
  <c r="G245" i="2"/>
  <c r="F245" i="2"/>
  <c r="E245" i="2"/>
  <c r="D245" i="2"/>
  <c r="C245" i="2"/>
  <c r="L244" i="2"/>
  <c r="K244" i="2"/>
  <c r="J244" i="2"/>
  <c r="I244" i="2"/>
  <c r="H244" i="2"/>
  <c r="G244" i="2"/>
  <c r="F244" i="2"/>
  <c r="E244" i="2"/>
  <c r="D244" i="2"/>
  <c r="C244" i="2"/>
  <c r="L243" i="2"/>
  <c r="K243" i="2"/>
  <c r="J243" i="2"/>
  <c r="I243" i="2"/>
  <c r="H243" i="2"/>
  <c r="G243" i="2"/>
  <c r="F243" i="2"/>
  <c r="E243" i="2"/>
  <c r="D243" i="2"/>
  <c r="C243" i="2"/>
  <c r="L242" i="2"/>
  <c r="K242" i="2"/>
  <c r="J242" i="2"/>
  <c r="I242" i="2"/>
  <c r="H242" i="2"/>
  <c r="G242" i="2"/>
  <c r="F242" i="2"/>
  <c r="E242" i="2"/>
  <c r="D242" i="2"/>
  <c r="C242" i="2"/>
  <c r="L241" i="2"/>
  <c r="K241" i="2"/>
  <c r="J241" i="2"/>
  <c r="I241" i="2"/>
  <c r="H241" i="2"/>
  <c r="G241" i="2"/>
  <c r="F241" i="2"/>
  <c r="E241" i="2"/>
  <c r="D241" i="2"/>
  <c r="C241" i="2"/>
  <c r="L240" i="2"/>
  <c r="K240" i="2"/>
  <c r="J240" i="2"/>
  <c r="I240" i="2"/>
  <c r="H240" i="2"/>
  <c r="G240" i="2"/>
  <c r="F240" i="2"/>
  <c r="E240" i="2"/>
  <c r="D240" i="2"/>
  <c r="C240" i="2"/>
  <c r="L239" i="2"/>
  <c r="K239" i="2"/>
  <c r="J239" i="2"/>
  <c r="I239" i="2"/>
  <c r="H239" i="2"/>
  <c r="G239" i="2"/>
  <c r="F239" i="2"/>
  <c r="E239" i="2"/>
  <c r="D239" i="2"/>
  <c r="C239" i="2"/>
  <c r="L238" i="2"/>
  <c r="K238" i="2"/>
  <c r="J238" i="2"/>
  <c r="I238" i="2"/>
  <c r="H238" i="2"/>
  <c r="G238" i="2"/>
  <c r="F238" i="2"/>
  <c r="E238" i="2"/>
  <c r="D238" i="2"/>
  <c r="C238" i="2"/>
  <c r="L237" i="2"/>
  <c r="K237" i="2"/>
  <c r="J237" i="2"/>
  <c r="I237" i="2"/>
  <c r="H237" i="2"/>
  <c r="G237" i="2"/>
  <c r="F237" i="2"/>
  <c r="E237" i="2"/>
  <c r="D237" i="2"/>
  <c r="C237" i="2"/>
  <c r="L236" i="2"/>
  <c r="K236" i="2"/>
  <c r="J236" i="2"/>
  <c r="I236" i="2"/>
  <c r="H236" i="2"/>
  <c r="G236" i="2"/>
  <c r="F236" i="2"/>
  <c r="E236" i="2"/>
  <c r="D236" i="2"/>
  <c r="C236" i="2"/>
  <c r="L235" i="2"/>
  <c r="K235" i="2"/>
  <c r="J235" i="2"/>
  <c r="I235" i="2"/>
  <c r="H235" i="2"/>
  <c r="G235" i="2"/>
  <c r="F235" i="2"/>
  <c r="E235" i="2"/>
  <c r="D235" i="2"/>
  <c r="C235" i="2"/>
  <c r="L234" i="2"/>
  <c r="K234" i="2"/>
  <c r="J234" i="2"/>
  <c r="I234" i="2"/>
  <c r="H234" i="2"/>
  <c r="G234" i="2"/>
  <c r="F234" i="2"/>
  <c r="E234" i="2"/>
  <c r="D234" i="2"/>
  <c r="C234" i="2"/>
  <c r="L233" i="2"/>
  <c r="K233" i="2"/>
  <c r="J233" i="2"/>
  <c r="I233" i="2"/>
  <c r="H233" i="2"/>
  <c r="G233" i="2"/>
  <c r="F233" i="2"/>
  <c r="E233" i="2"/>
  <c r="D233" i="2"/>
  <c r="C233" i="2"/>
  <c r="L232" i="2"/>
  <c r="K232" i="2"/>
  <c r="J232" i="2"/>
  <c r="I232" i="2"/>
  <c r="H232" i="2"/>
  <c r="G232" i="2"/>
  <c r="F232" i="2"/>
  <c r="E232" i="2"/>
  <c r="D232" i="2"/>
  <c r="C232" i="2"/>
  <c r="L231" i="2"/>
  <c r="K231" i="2"/>
  <c r="J231" i="2"/>
  <c r="I231" i="2"/>
  <c r="H231" i="2"/>
  <c r="G231" i="2"/>
  <c r="F231" i="2"/>
  <c r="E231" i="2"/>
  <c r="D231" i="2"/>
  <c r="C231" i="2"/>
  <c r="L230" i="2"/>
  <c r="K230" i="2"/>
  <c r="J230" i="2"/>
  <c r="I230" i="2"/>
  <c r="H230" i="2"/>
  <c r="G230" i="2"/>
  <c r="F230" i="2"/>
  <c r="E230" i="2"/>
  <c r="D230" i="2"/>
  <c r="C230" i="2"/>
  <c r="L229" i="2"/>
  <c r="K229" i="2"/>
  <c r="J229" i="2"/>
  <c r="I229" i="2"/>
  <c r="H229" i="2"/>
  <c r="G229" i="2"/>
  <c r="F229" i="2"/>
  <c r="E229" i="2"/>
  <c r="D229" i="2"/>
  <c r="C229" i="2"/>
  <c r="L228" i="2"/>
  <c r="K228" i="2"/>
  <c r="J228" i="2"/>
  <c r="I228" i="2"/>
  <c r="H228" i="2"/>
  <c r="G228" i="2"/>
  <c r="F228" i="2"/>
  <c r="E228" i="2"/>
  <c r="D228" i="2"/>
  <c r="C228" i="2"/>
  <c r="L227" i="2"/>
  <c r="K227" i="2"/>
  <c r="J227" i="2"/>
  <c r="I227" i="2"/>
  <c r="H227" i="2"/>
  <c r="G227" i="2"/>
  <c r="F227" i="2"/>
  <c r="E227" i="2"/>
  <c r="D227" i="2"/>
  <c r="C227" i="2"/>
  <c r="L226" i="2"/>
  <c r="K226" i="2"/>
  <c r="J226" i="2"/>
  <c r="I226" i="2"/>
  <c r="H226" i="2"/>
  <c r="G226" i="2"/>
  <c r="F226" i="2"/>
  <c r="E226" i="2"/>
  <c r="D226" i="2"/>
  <c r="C226" i="2"/>
  <c r="L225" i="2"/>
  <c r="K225" i="2"/>
  <c r="J225" i="2"/>
  <c r="I225" i="2"/>
  <c r="H225" i="2"/>
  <c r="G225" i="2"/>
  <c r="F225" i="2"/>
  <c r="E225" i="2"/>
  <c r="D225" i="2"/>
  <c r="C225" i="2"/>
  <c r="L224" i="2"/>
  <c r="K224" i="2"/>
  <c r="J224" i="2"/>
  <c r="I224" i="2"/>
  <c r="H224" i="2"/>
  <c r="G224" i="2"/>
  <c r="F224" i="2"/>
  <c r="E224" i="2"/>
  <c r="D224" i="2"/>
  <c r="C224" i="2"/>
  <c r="L223" i="2"/>
  <c r="K223" i="2"/>
  <c r="J223" i="2"/>
  <c r="I223" i="2"/>
  <c r="H223" i="2"/>
  <c r="G223" i="2"/>
  <c r="F223" i="2"/>
  <c r="E223" i="2"/>
  <c r="D223" i="2"/>
  <c r="C223" i="2"/>
  <c r="L222" i="2"/>
  <c r="K222" i="2"/>
  <c r="J222" i="2"/>
  <c r="I222" i="2"/>
  <c r="H222" i="2"/>
  <c r="G222" i="2"/>
  <c r="F222" i="2"/>
  <c r="E222" i="2"/>
  <c r="D222" i="2"/>
  <c r="C222" i="2"/>
  <c r="L221" i="2"/>
  <c r="K221" i="2"/>
  <c r="J221" i="2"/>
  <c r="I221" i="2"/>
  <c r="H221" i="2"/>
  <c r="G221" i="2"/>
  <c r="F221" i="2"/>
  <c r="E221" i="2"/>
  <c r="D221" i="2"/>
  <c r="C221" i="2"/>
  <c r="L220" i="2"/>
  <c r="K220" i="2"/>
  <c r="J220" i="2"/>
  <c r="I220" i="2"/>
  <c r="H220" i="2"/>
  <c r="G220" i="2"/>
  <c r="F220" i="2"/>
  <c r="E220" i="2"/>
  <c r="D220" i="2"/>
  <c r="C220" i="2"/>
  <c r="L219" i="2"/>
  <c r="K219" i="2"/>
  <c r="J219" i="2"/>
  <c r="I219" i="2"/>
  <c r="H219" i="2"/>
  <c r="G219" i="2"/>
  <c r="F219" i="2"/>
  <c r="E219" i="2"/>
  <c r="D219" i="2"/>
  <c r="C219" i="2"/>
  <c r="L218" i="2"/>
  <c r="K218" i="2"/>
  <c r="J218" i="2"/>
  <c r="I218" i="2"/>
  <c r="H218" i="2"/>
  <c r="G218" i="2"/>
  <c r="F218" i="2"/>
  <c r="E218" i="2"/>
  <c r="D218" i="2"/>
  <c r="C218" i="2"/>
  <c r="L217" i="2"/>
  <c r="K217" i="2"/>
  <c r="J217" i="2"/>
  <c r="I217" i="2"/>
  <c r="H217" i="2"/>
  <c r="G217" i="2"/>
  <c r="F217" i="2"/>
  <c r="E217" i="2"/>
  <c r="D217" i="2"/>
  <c r="C217" i="2"/>
  <c r="L216" i="2"/>
  <c r="K216" i="2"/>
  <c r="J216" i="2"/>
  <c r="I216" i="2"/>
  <c r="H216" i="2"/>
  <c r="G216" i="2"/>
  <c r="F216" i="2"/>
  <c r="E216" i="2"/>
  <c r="D216" i="2"/>
  <c r="C216" i="2"/>
  <c r="L215" i="2"/>
  <c r="K215" i="2"/>
  <c r="J215" i="2"/>
  <c r="I215" i="2"/>
  <c r="H215" i="2"/>
  <c r="G215" i="2"/>
  <c r="F215" i="2"/>
  <c r="E215" i="2"/>
  <c r="D215" i="2"/>
  <c r="C215" i="2"/>
  <c r="L214" i="2"/>
  <c r="K214" i="2"/>
  <c r="J214" i="2"/>
  <c r="I214" i="2"/>
  <c r="H214" i="2"/>
  <c r="G214" i="2"/>
  <c r="F214" i="2"/>
  <c r="E214" i="2"/>
  <c r="D214" i="2"/>
  <c r="C214" i="2"/>
  <c r="L213" i="2"/>
  <c r="K213" i="2"/>
  <c r="J213" i="2"/>
  <c r="I213" i="2"/>
  <c r="H213" i="2"/>
  <c r="G213" i="2"/>
  <c r="F213" i="2"/>
  <c r="E213" i="2"/>
  <c r="D213" i="2"/>
  <c r="C213" i="2"/>
  <c r="L212" i="2"/>
  <c r="K212" i="2"/>
  <c r="J212" i="2"/>
  <c r="I212" i="2"/>
  <c r="H212" i="2"/>
  <c r="G212" i="2"/>
  <c r="F212" i="2"/>
  <c r="E212" i="2"/>
  <c r="D212" i="2"/>
  <c r="C212" i="2"/>
  <c r="L211" i="2"/>
  <c r="K211" i="2"/>
  <c r="J211" i="2"/>
  <c r="I211" i="2"/>
  <c r="H211" i="2"/>
  <c r="G211" i="2"/>
  <c r="F211" i="2"/>
  <c r="E211" i="2"/>
  <c r="D211" i="2"/>
  <c r="C211" i="2"/>
  <c r="L210" i="2"/>
  <c r="K210" i="2"/>
  <c r="J210" i="2"/>
  <c r="I210" i="2"/>
  <c r="H210" i="2"/>
  <c r="G210" i="2"/>
  <c r="F210" i="2"/>
  <c r="E210" i="2"/>
  <c r="D210" i="2"/>
  <c r="C210" i="2"/>
  <c r="L209" i="2"/>
  <c r="K209" i="2"/>
  <c r="J209" i="2"/>
  <c r="I209" i="2"/>
  <c r="H209" i="2"/>
  <c r="G209" i="2"/>
  <c r="F209" i="2"/>
  <c r="E209" i="2"/>
  <c r="D209" i="2"/>
  <c r="C209" i="2"/>
  <c r="L208" i="2"/>
  <c r="K208" i="2"/>
  <c r="J208" i="2"/>
  <c r="I208" i="2"/>
  <c r="H208" i="2"/>
  <c r="G208" i="2"/>
  <c r="F208" i="2"/>
  <c r="E208" i="2"/>
  <c r="D208" i="2"/>
  <c r="C208" i="2"/>
  <c r="L207" i="2"/>
  <c r="K207" i="2"/>
  <c r="J207" i="2"/>
  <c r="I207" i="2"/>
  <c r="H207" i="2"/>
  <c r="G207" i="2"/>
  <c r="F207" i="2"/>
  <c r="E207" i="2"/>
  <c r="D207" i="2"/>
  <c r="C207" i="2"/>
  <c r="L206" i="2"/>
  <c r="K206" i="2"/>
  <c r="J206" i="2"/>
  <c r="I206" i="2"/>
  <c r="H206" i="2"/>
  <c r="G206" i="2"/>
  <c r="F206" i="2"/>
  <c r="E206" i="2"/>
  <c r="D206" i="2"/>
  <c r="C206" i="2"/>
  <c r="L205" i="2"/>
  <c r="K205" i="2"/>
  <c r="J205" i="2"/>
  <c r="I205" i="2"/>
  <c r="H205" i="2"/>
  <c r="G205" i="2"/>
  <c r="F205" i="2"/>
  <c r="E205" i="2"/>
  <c r="D205" i="2"/>
  <c r="C205" i="2"/>
  <c r="L204" i="2"/>
  <c r="K204" i="2"/>
  <c r="J204" i="2"/>
  <c r="I204" i="2"/>
  <c r="H204" i="2"/>
  <c r="G204" i="2"/>
  <c r="F204" i="2"/>
  <c r="E204" i="2"/>
  <c r="D204" i="2"/>
  <c r="C204" i="2"/>
  <c r="L203" i="2"/>
  <c r="K203" i="2"/>
  <c r="J203" i="2"/>
  <c r="I203" i="2"/>
  <c r="H203" i="2"/>
  <c r="G203" i="2"/>
  <c r="F203" i="2"/>
  <c r="E203" i="2"/>
  <c r="D203" i="2"/>
  <c r="C203" i="2"/>
  <c r="L202" i="2"/>
  <c r="K202" i="2"/>
  <c r="J202" i="2"/>
  <c r="I202" i="2"/>
  <c r="H202" i="2"/>
  <c r="G202" i="2"/>
  <c r="F202" i="2"/>
  <c r="E202" i="2"/>
  <c r="D202" i="2"/>
  <c r="C202" i="2"/>
  <c r="L201" i="2"/>
  <c r="K201" i="2"/>
  <c r="J201" i="2"/>
  <c r="I201" i="2"/>
  <c r="H201" i="2"/>
  <c r="G201" i="2"/>
  <c r="F201" i="2"/>
  <c r="E201" i="2"/>
  <c r="D201" i="2"/>
  <c r="C201" i="2"/>
  <c r="L200" i="2"/>
  <c r="K200" i="2"/>
  <c r="J200" i="2"/>
  <c r="I200" i="2"/>
  <c r="H200" i="2"/>
  <c r="G200" i="2"/>
  <c r="F200" i="2"/>
  <c r="E200" i="2"/>
  <c r="D200" i="2"/>
  <c r="C200" i="2"/>
  <c r="L199" i="2"/>
  <c r="K199" i="2"/>
  <c r="J199" i="2"/>
  <c r="I199" i="2"/>
  <c r="H199" i="2"/>
  <c r="G199" i="2"/>
  <c r="F199" i="2"/>
  <c r="E199" i="2"/>
  <c r="D199" i="2"/>
  <c r="C199" i="2"/>
  <c r="L198" i="2"/>
  <c r="K198" i="2"/>
  <c r="J198" i="2"/>
  <c r="I198" i="2"/>
  <c r="H198" i="2"/>
  <c r="G198" i="2"/>
  <c r="F198" i="2"/>
  <c r="E198" i="2"/>
  <c r="D198" i="2"/>
  <c r="C198" i="2"/>
  <c r="L197" i="2"/>
  <c r="K197" i="2"/>
  <c r="J197" i="2"/>
  <c r="I197" i="2"/>
  <c r="H197" i="2"/>
  <c r="G197" i="2"/>
  <c r="F197" i="2"/>
  <c r="E197" i="2"/>
  <c r="D197" i="2"/>
  <c r="C197" i="2"/>
  <c r="L196" i="2"/>
  <c r="K196" i="2"/>
  <c r="J196" i="2"/>
  <c r="I196" i="2"/>
  <c r="H196" i="2"/>
  <c r="G196" i="2"/>
  <c r="F196" i="2"/>
  <c r="E196" i="2"/>
  <c r="D196" i="2"/>
  <c r="C196" i="2"/>
  <c r="L195" i="2"/>
  <c r="K195" i="2"/>
  <c r="J195" i="2"/>
  <c r="I195" i="2"/>
  <c r="H195" i="2"/>
  <c r="G195" i="2"/>
  <c r="F195" i="2"/>
  <c r="E195" i="2"/>
  <c r="D195" i="2"/>
  <c r="C195" i="2"/>
  <c r="L194" i="2"/>
  <c r="K194" i="2"/>
  <c r="J194" i="2"/>
  <c r="I194" i="2"/>
  <c r="H194" i="2"/>
  <c r="G194" i="2"/>
  <c r="F194" i="2"/>
  <c r="E194" i="2"/>
  <c r="D194" i="2"/>
  <c r="C194" i="2"/>
  <c r="L193" i="2"/>
  <c r="K193" i="2"/>
  <c r="J193" i="2"/>
  <c r="I193" i="2"/>
  <c r="H193" i="2"/>
  <c r="G193" i="2"/>
  <c r="F193" i="2"/>
  <c r="E193" i="2"/>
  <c r="D193" i="2"/>
  <c r="C193" i="2"/>
  <c r="L192" i="2"/>
  <c r="K192" i="2"/>
  <c r="J192" i="2"/>
  <c r="I192" i="2"/>
  <c r="H192" i="2"/>
  <c r="G192" i="2"/>
  <c r="F192" i="2"/>
  <c r="E192" i="2"/>
  <c r="D192" i="2"/>
  <c r="C192" i="2"/>
  <c r="L191" i="2"/>
  <c r="K191" i="2"/>
  <c r="J191" i="2"/>
  <c r="I191" i="2"/>
  <c r="H191" i="2"/>
  <c r="G191" i="2"/>
  <c r="F191" i="2"/>
  <c r="E191" i="2"/>
  <c r="D191" i="2"/>
  <c r="C191" i="2"/>
  <c r="L190" i="2"/>
  <c r="K190" i="2"/>
  <c r="J190" i="2"/>
  <c r="I190" i="2"/>
  <c r="H190" i="2"/>
  <c r="G190" i="2"/>
  <c r="F190" i="2"/>
  <c r="E190" i="2"/>
  <c r="D190" i="2"/>
  <c r="C190" i="2"/>
  <c r="L189" i="2"/>
  <c r="K189" i="2"/>
  <c r="J189" i="2"/>
  <c r="I189" i="2"/>
  <c r="H189" i="2"/>
  <c r="G189" i="2"/>
  <c r="F189" i="2"/>
  <c r="E189" i="2"/>
  <c r="D189" i="2"/>
  <c r="C189" i="2"/>
  <c r="L188" i="2"/>
  <c r="K188" i="2"/>
  <c r="J188" i="2"/>
  <c r="I188" i="2"/>
  <c r="H188" i="2"/>
  <c r="G188" i="2"/>
  <c r="F188" i="2"/>
  <c r="E188" i="2"/>
  <c r="D188" i="2"/>
  <c r="C188" i="2"/>
  <c r="L187" i="2"/>
  <c r="K187" i="2"/>
  <c r="J187" i="2"/>
  <c r="I187" i="2"/>
  <c r="H187" i="2"/>
  <c r="G187" i="2"/>
  <c r="F187" i="2"/>
  <c r="E187" i="2"/>
  <c r="D187" i="2"/>
  <c r="C187" i="2"/>
  <c r="L186" i="2"/>
  <c r="K186" i="2"/>
  <c r="J186" i="2"/>
  <c r="I186" i="2"/>
  <c r="H186" i="2"/>
  <c r="G186" i="2"/>
  <c r="F186" i="2"/>
  <c r="E186" i="2"/>
  <c r="D186" i="2"/>
  <c r="C186" i="2"/>
  <c r="L185" i="2"/>
  <c r="K185" i="2"/>
  <c r="J185" i="2"/>
  <c r="I185" i="2"/>
  <c r="H185" i="2"/>
  <c r="G185" i="2"/>
  <c r="F185" i="2"/>
  <c r="E185" i="2"/>
  <c r="D185" i="2"/>
  <c r="C185" i="2"/>
  <c r="L184" i="2"/>
  <c r="K184" i="2"/>
  <c r="J184" i="2"/>
  <c r="I184" i="2"/>
  <c r="H184" i="2"/>
  <c r="G184" i="2"/>
  <c r="F184" i="2"/>
  <c r="E184" i="2"/>
  <c r="D184" i="2"/>
  <c r="C184" i="2"/>
  <c r="L183" i="2"/>
  <c r="K183" i="2"/>
  <c r="J183" i="2"/>
  <c r="I183" i="2"/>
  <c r="H183" i="2"/>
  <c r="G183" i="2"/>
  <c r="F183" i="2"/>
  <c r="E183" i="2"/>
  <c r="D183" i="2"/>
  <c r="C183" i="2"/>
  <c r="L182" i="2"/>
  <c r="K182" i="2"/>
  <c r="J182" i="2"/>
  <c r="I182" i="2"/>
  <c r="H182" i="2"/>
  <c r="G182" i="2"/>
  <c r="F182" i="2"/>
  <c r="E182" i="2"/>
  <c r="D182" i="2"/>
  <c r="C182" i="2"/>
  <c r="L181" i="2"/>
  <c r="K181" i="2"/>
  <c r="J181" i="2"/>
  <c r="I181" i="2"/>
  <c r="H181" i="2"/>
  <c r="G181" i="2"/>
  <c r="F181" i="2"/>
  <c r="E181" i="2"/>
  <c r="D181" i="2"/>
  <c r="C181" i="2"/>
  <c r="L180" i="2"/>
  <c r="K180" i="2"/>
  <c r="J180" i="2"/>
  <c r="I180" i="2"/>
  <c r="H180" i="2"/>
  <c r="G180" i="2"/>
  <c r="F180" i="2"/>
  <c r="E180" i="2"/>
  <c r="D180" i="2"/>
  <c r="C180" i="2"/>
  <c r="L179" i="2"/>
  <c r="K179" i="2"/>
  <c r="J179" i="2"/>
  <c r="I179" i="2"/>
  <c r="H179" i="2"/>
  <c r="G179" i="2"/>
  <c r="F179" i="2"/>
  <c r="E179" i="2"/>
  <c r="D179" i="2"/>
  <c r="C179" i="2"/>
  <c r="L178" i="2"/>
  <c r="K178" i="2"/>
  <c r="J178" i="2"/>
  <c r="I178" i="2"/>
  <c r="H178" i="2"/>
  <c r="G178" i="2"/>
  <c r="F178" i="2"/>
  <c r="E178" i="2"/>
  <c r="D178" i="2"/>
  <c r="C178" i="2"/>
  <c r="L177" i="2"/>
  <c r="K177" i="2"/>
  <c r="J177" i="2"/>
  <c r="I177" i="2"/>
  <c r="H177" i="2"/>
  <c r="G177" i="2"/>
  <c r="F177" i="2"/>
  <c r="E177" i="2"/>
  <c r="D177" i="2"/>
  <c r="C177" i="2"/>
  <c r="L176" i="2"/>
  <c r="K176" i="2"/>
  <c r="J176" i="2"/>
  <c r="I176" i="2"/>
  <c r="H176" i="2"/>
  <c r="G176" i="2"/>
  <c r="F176" i="2"/>
  <c r="E176" i="2"/>
  <c r="D176" i="2"/>
  <c r="C176" i="2"/>
  <c r="L175" i="2"/>
  <c r="K175" i="2"/>
  <c r="J175" i="2"/>
  <c r="I175" i="2"/>
  <c r="H175" i="2"/>
  <c r="G175" i="2"/>
  <c r="F175" i="2"/>
  <c r="E175" i="2"/>
  <c r="D175" i="2"/>
  <c r="C175" i="2"/>
  <c r="L174" i="2"/>
  <c r="K174" i="2"/>
  <c r="J174" i="2"/>
  <c r="I174" i="2"/>
  <c r="H174" i="2"/>
  <c r="G174" i="2"/>
  <c r="F174" i="2"/>
  <c r="E174" i="2"/>
  <c r="D174" i="2"/>
  <c r="C174" i="2"/>
  <c r="L173" i="2"/>
  <c r="K173" i="2"/>
  <c r="J173" i="2"/>
  <c r="I173" i="2"/>
  <c r="H173" i="2"/>
  <c r="G173" i="2"/>
  <c r="F173" i="2"/>
  <c r="E173" i="2"/>
  <c r="D173" i="2"/>
  <c r="C173" i="2"/>
  <c r="L172" i="2"/>
  <c r="K172" i="2"/>
  <c r="J172" i="2"/>
  <c r="I172" i="2"/>
  <c r="H172" i="2"/>
  <c r="G172" i="2"/>
  <c r="F172" i="2"/>
  <c r="E172" i="2"/>
  <c r="D172" i="2"/>
  <c r="C172" i="2"/>
  <c r="L171" i="2"/>
  <c r="K171" i="2"/>
  <c r="J171" i="2"/>
  <c r="I171" i="2"/>
  <c r="H171" i="2"/>
  <c r="G171" i="2"/>
  <c r="F171" i="2"/>
  <c r="E171" i="2"/>
  <c r="D171" i="2"/>
  <c r="C171" i="2"/>
  <c r="L170" i="2"/>
  <c r="K170" i="2"/>
  <c r="J170" i="2"/>
  <c r="I170" i="2"/>
  <c r="H170" i="2"/>
  <c r="G170" i="2"/>
  <c r="F170" i="2"/>
  <c r="E170" i="2"/>
  <c r="D170" i="2"/>
  <c r="C170" i="2"/>
  <c r="L169" i="2"/>
  <c r="K169" i="2"/>
  <c r="J169" i="2"/>
  <c r="I169" i="2"/>
  <c r="H169" i="2"/>
  <c r="G169" i="2"/>
  <c r="F169" i="2"/>
  <c r="E169" i="2"/>
  <c r="D169" i="2"/>
  <c r="C169" i="2"/>
  <c r="L168" i="2"/>
  <c r="K168" i="2"/>
  <c r="J168" i="2"/>
  <c r="I168" i="2"/>
  <c r="H168" i="2"/>
  <c r="G168" i="2"/>
  <c r="F168" i="2"/>
  <c r="E168" i="2"/>
  <c r="D168" i="2"/>
  <c r="C168" i="2"/>
  <c r="L167" i="2"/>
  <c r="K167" i="2"/>
  <c r="J167" i="2"/>
  <c r="I167" i="2"/>
  <c r="H167" i="2"/>
  <c r="G167" i="2"/>
  <c r="F167" i="2"/>
  <c r="E167" i="2"/>
  <c r="D167" i="2"/>
  <c r="C167" i="2"/>
  <c r="L166" i="2"/>
  <c r="K166" i="2"/>
  <c r="J166" i="2"/>
  <c r="I166" i="2"/>
  <c r="H166" i="2"/>
  <c r="G166" i="2"/>
  <c r="F166" i="2"/>
  <c r="E166" i="2"/>
  <c r="D166" i="2"/>
  <c r="C166" i="2"/>
  <c r="L165" i="2"/>
  <c r="K165" i="2"/>
  <c r="J165" i="2"/>
  <c r="I165" i="2"/>
  <c r="H165" i="2"/>
  <c r="G165" i="2"/>
  <c r="F165" i="2"/>
  <c r="E165" i="2"/>
  <c r="D165" i="2"/>
  <c r="C165" i="2"/>
  <c r="L164" i="2"/>
  <c r="K164" i="2"/>
  <c r="J164" i="2"/>
  <c r="I164" i="2"/>
  <c r="H164" i="2"/>
  <c r="G164" i="2"/>
  <c r="F164" i="2"/>
  <c r="E164" i="2"/>
  <c r="D164" i="2"/>
  <c r="C164" i="2"/>
  <c r="L163" i="2"/>
  <c r="K163" i="2"/>
  <c r="J163" i="2"/>
  <c r="I163" i="2"/>
  <c r="H163" i="2"/>
  <c r="G163" i="2"/>
  <c r="F163" i="2"/>
  <c r="E163" i="2"/>
  <c r="D163" i="2"/>
  <c r="C163" i="2"/>
  <c r="L162" i="2"/>
  <c r="K162" i="2"/>
  <c r="J162" i="2"/>
  <c r="I162" i="2"/>
  <c r="H162" i="2"/>
  <c r="G162" i="2"/>
  <c r="F162" i="2"/>
  <c r="E162" i="2"/>
  <c r="D162" i="2"/>
  <c r="C162" i="2"/>
  <c r="L161" i="2"/>
  <c r="K161" i="2"/>
  <c r="J161" i="2"/>
  <c r="I161" i="2"/>
  <c r="H161" i="2"/>
  <c r="G161" i="2"/>
  <c r="F161" i="2"/>
  <c r="E161" i="2"/>
  <c r="D161" i="2"/>
  <c r="C161" i="2"/>
  <c r="L160" i="2"/>
  <c r="K160" i="2"/>
  <c r="J160" i="2"/>
  <c r="I160" i="2"/>
  <c r="H160" i="2"/>
  <c r="G160" i="2"/>
  <c r="F160" i="2"/>
  <c r="E160" i="2"/>
  <c r="D160" i="2"/>
  <c r="C160" i="2"/>
  <c r="L159" i="2"/>
  <c r="K159" i="2"/>
  <c r="J159" i="2"/>
  <c r="I159" i="2"/>
  <c r="H159" i="2"/>
  <c r="G159" i="2"/>
  <c r="F159" i="2"/>
  <c r="E159" i="2"/>
  <c r="D159" i="2"/>
  <c r="C159" i="2"/>
  <c r="L158" i="2"/>
  <c r="K158" i="2"/>
  <c r="J158" i="2"/>
  <c r="I158" i="2"/>
  <c r="H158" i="2"/>
  <c r="G158" i="2"/>
  <c r="F158" i="2"/>
  <c r="E158" i="2"/>
  <c r="D158" i="2"/>
  <c r="C158" i="2"/>
  <c r="L157" i="2"/>
  <c r="K157" i="2"/>
  <c r="J157" i="2"/>
  <c r="I157" i="2"/>
  <c r="H157" i="2"/>
  <c r="G157" i="2"/>
  <c r="F157" i="2"/>
  <c r="E157" i="2"/>
  <c r="D157" i="2"/>
  <c r="C157" i="2"/>
  <c r="L156" i="2"/>
  <c r="K156" i="2"/>
  <c r="J156" i="2"/>
  <c r="I156" i="2"/>
  <c r="H156" i="2"/>
  <c r="G156" i="2"/>
  <c r="F156" i="2"/>
  <c r="E156" i="2"/>
  <c r="D156" i="2"/>
  <c r="C156" i="2"/>
  <c r="L155" i="2"/>
  <c r="K155" i="2"/>
  <c r="J155" i="2"/>
  <c r="I155" i="2"/>
  <c r="H155" i="2"/>
  <c r="G155" i="2"/>
  <c r="F155" i="2"/>
  <c r="E155" i="2"/>
  <c r="D155" i="2"/>
  <c r="C155" i="2"/>
  <c r="L154" i="2"/>
  <c r="K154" i="2"/>
  <c r="J154" i="2"/>
  <c r="I154" i="2"/>
  <c r="H154" i="2"/>
  <c r="G154" i="2"/>
  <c r="F154" i="2"/>
  <c r="E154" i="2"/>
  <c r="D154" i="2"/>
  <c r="C154" i="2"/>
  <c r="L153" i="2"/>
  <c r="K153" i="2"/>
  <c r="J153" i="2"/>
  <c r="I153" i="2"/>
  <c r="H153" i="2"/>
  <c r="G153" i="2"/>
  <c r="F153" i="2"/>
  <c r="E153" i="2"/>
  <c r="D153" i="2"/>
  <c r="C153" i="2"/>
  <c r="L152" i="2"/>
  <c r="K152" i="2"/>
  <c r="J152" i="2"/>
  <c r="I152" i="2"/>
  <c r="H152" i="2"/>
  <c r="G152" i="2"/>
  <c r="F152" i="2"/>
  <c r="E152" i="2"/>
  <c r="D152" i="2"/>
  <c r="C152" i="2"/>
  <c r="L151" i="2"/>
  <c r="K151" i="2"/>
  <c r="J151" i="2"/>
  <c r="I151" i="2"/>
  <c r="H151" i="2"/>
  <c r="G151" i="2"/>
  <c r="F151" i="2"/>
  <c r="E151" i="2"/>
  <c r="D151" i="2"/>
  <c r="C151" i="2"/>
  <c r="L150" i="2"/>
  <c r="K150" i="2"/>
  <c r="J150" i="2"/>
  <c r="I150" i="2"/>
  <c r="H150" i="2"/>
  <c r="G150" i="2"/>
  <c r="F150" i="2"/>
  <c r="E150" i="2"/>
  <c r="D150" i="2"/>
  <c r="C150" i="2"/>
  <c r="L149" i="2"/>
  <c r="K149" i="2"/>
  <c r="J149" i="2"/>
  <c r="I149" i="2"/>
  <c r="H149" i="2"/>
  <c r="G149" i="2"/>
  <c r="F149" i="2"/>
  <c r="E149" i="2"/>
  <c r="D149" i="2"/>
  <c r="C149" i="2"/>
  <c r="L148" i="2"/>
  <c r="K148" i="2"/>
  <c r="J148" i="2"/>
  <c r="I148" i="2"/>
  <c r="H148" i="2"/>
  <c r="G148" i="2"/>
  <c r="F148" i="2"/>
  <c r="E148" i="2"/>
  <c r="D148" i="2"/>
  <c r="C148" i="2"/>
  <c r="L147" i="2"/>
  <c r="K147" i="2"/>
  <c r="J147" i="2"/>
  <c r="I147" i="2"/>
  <c r="H147" i="2"/>
  <c r="G147" i="2"/>
  <c r="F147" i="2"/>
  <c r="E147" i="2"/>
  <c r="D147" i="2"/>
  <c r="C147" i="2"/>
  <c r="L146" i="2"/>
  <c r="K146" i="2"/>
  <c r="J146" i="2"/>
  <c r="I146" i="2"/>
  <c r="H146" i="2"/>
  <c r="G146" i="2"/>
  <c r="F146" i="2"/>
  <c r="E146" i="2"/>
  <c r="D146" i="2"/>
  <c r="C146" i="2"/>
  <c r="L145" i="2"/>
  <c r="K145" i="2"/>
  <c r="J145" i="2"/>
  <c r="I145" i="2"/>
  <c r="H145" i="2"/>
  <c r="G145" i="2"/>
  <c r="F145" i="2"/>
  <c r="E145" i="2"/>
  <c r="D145" i="2"/>
  <c r="C145" i="2"/>
  <c r="L144" i="2"/>
  <c r="K144" i="2"/>
  <c r="J144" i="2"/>
  <c r="I144" i="2"/>
  <c r="H144" i="2"/>
  <c r="G144" i="2"/>
  <c r="F144" i="2"/>
  <c r="E144" i="2"/>
  <c r="D144" i="2"/>
  <c r="C144" i="2"/>
  <c r="L143" i="2"/>
  <c r="K143" i="2"/>
  <c r="J143" i="2"/>
  <c r="I143" i="2"/>
  <c r="H143" i="2"/>
  <c r="G143" i="2"/>
  <c r="F143" i="2"/>
  <c r="E143" i="2"/>
  <c r="D143" i="2"/>
  <c r="C143" i="2"/>
  <c r="L142" i="2"/>
  <c r="K142" i="2"/>
  <c r="J142" i="2"/>
  <c r="I142" i="2"/>
  <c r="H142" i="2"/>
  <c r="G142" i="2"/>
  <c r="F142" i="2"/>
  <c r="E142" i="2"/>
  <c r="D142" i="2"/>
  <c r="C142" i="2"/>
  <c r="L141" i="2"/>
  <c r="K141" i="2"/>
  <c r="J141" i="2"/>
  <c r="I141" i="2"/>
  <c r="H141" i="2"/>
  <c r="G141" i="2"/>
  <c r="F141" i="2"/>
  <c r="E141" i="2"/>
  <c r="D141" i="2"/>
  <c r="C141" i="2"/>
  <c r="L140" i="2"/>
  <c r="K140" i="2"/>
  <c r="J140" i="2"/>
  <c r="I140" i="2"/>
  <c r="H140" i="2"/>
  <c r="G140" i="2"/>
  <c r="F140" i="2"/>
  <c r="E140" i="2"/>
  <c r="D140" i="2"/>
  <c r="C140" i="2"/>
  <c r="L139" i="2"/>
  <c r="K139" i="2"/>
  <c r="J139" i="2"/>
  <c r="I139" i="2"/>
  <c r="H139" i="2"/>
  <c r="G139" i="2"/>
  <c r="F139" i="2"/>
  <c r="E139" i="2"/>
  <c r="D139" i="2"/>
  <c r="C139" i="2"/>
  <c r="L138" i="2"/>
  <c r="K138" i="2"/>
  <c r="J138" i="2"/>
  <c r="I138" i="2"/>
  <c r="H138" i="2"/>
  <c r="G138" i="2"/>
  <c r="F138" i="2"/>
  <c r="E138" i="2"/>
  <c r="D138" i="2"/>
  <c r="C138" i="2"/>
  <c r="L137" i="2"/>
  <c r="K137" i="2"/>
  <c r="J137" i="2"/>
  <c r="I137" i="2"/>
  <c r="H137" i="2"/>
  <c r="G137" i="2"/>
  <c r="F137" i="2"/>
  <c r="E137" i="2"/>
  <c r="D137" i="2"/>
  <c r="C137" i="2"/>
  <c r="L136" i="2"/>
  <c r="K136" i="2"/>
  <c r="J136" i="2"/>
  <c r="I136" i="2"/>
  <c r="H136" i="2"/>
  <c r="G136" i="2"/>
  <c r="F136" i="2"/>
  <c r="E136" i="2"/>
  <c r="D136" i="2"/>
  <c r="C136" i="2"/>
  <c r="L135" i="2"/>
  <c r="K135" i="2"/>
  <c r="J135" i="2"/>
  <c r="I135" i="2"/>
  <c r="H135" i="2"/>
  <c r="G135" i="2"/>
  <c r="F135" i="2"/>
  <c r="E135" i="2"/>
  <c r="D135" i="2"/>
  <c r="C135" i="2"/>
  <c r="L134" i="2"/>
  <c r="K134" i="2"/>
  <c r="J134" i="2"/>
  <c r="I134" i="2"/>
  <c r="H134" i="2"/>
  <c r="G134" i="2"/>
  <c r="F134" i="2"/>
  <c r="E134" i="2"/>
  <c r="D134" i="2"/>
  <c r="C134" i="2"/>
  <c r="L133" i="2"/>
  <c r="K133" i="2"/>
  <c r="J133" i="2"/>
  <c r="I133" i="2"/>
  <c r="H133" i="2"/>
  <c r="G133" i="2"/>
  <c r="F133" i="2"/>
  <c r="E133" i="2"/>
  <c r="D133" i="2"/>
  <c r="C133" i="2"/>
  <c r="L132" i="2"/>
  <c r="K132" i="2"/>
  <c r="J132" i="2"/>
  <c r="I132" i="2"/>
  <c r="H132" i="2"/>
  <c r="G132" i="2"/>
  <c r="F132" i="2"/>
  <c r="E132" i="2"/>
  <c r="D132" i="2"/>
  <c r="C132" i="2"/>
  <c r="L131" i="2"/>
  <c r="K131" i="2"/>
  <c r="J131" i="2"/>
  <c r="I131" i="2"/>
  <c r="H131" i="2"/>
  <c r="G131" i="2"/>
  <c r="F131" i="2"/>
  <c r="E131" i="2"/>
  <c r="D131" i="2"/>
  <c r="C131" i="2"/>
  <c r="L130" i="2"/>
  <c r="K130" i="2"/>
  <c r="J130" i="2"/>
  <c r="I130" i="2"/>
  <c r="H130" i="2"/>
  <c r="G130" i="2"/>
  <c r="F130" i="2"/>
  <c r="E130" i="2"/>
  <c r="D130" i="2"/>
  <c r="C130" i="2"/>
  <c r="L129" i="2"/>
  <c r="K129" i="2"/>
  <c r="J129" i="2"/>
  <c r="I129" i="2"/>
  <c r="H129" i="2"/>
  <c r="G129" i="2"/>
  <c r="F129" i="2"/>
  <c r="E129" i="2"/>
  <c r="D129" i="2"/>
  <c r="C129" i="2"/>
  <c r="L128" i="2"/>
  <c r="K128" i="2"/>
  <c r="J128" i="2"/>
  <c r="I128" i="2"/>
  <c r="H128" i="2"/>
  <c r="G128" i="2"/>
  <c r="F128" i="2"/>
  <c r="E128" i="2"/>
  <c r="D128" i="2"/>
  <c r="C128" i="2"/>
  <c r="L127" i="2"/>
  <c r="K127" i="2"/>
  <c r="J127" i="2"/>
  <c r="I127" i="2"/>
  <c r="H127" i="2"/>
  <c r="G127" i="2"/>
  <c r="F127" i="2"/>
  <c r="E127" i="2"/>
  <c r="D127" i="2"/>
  <c r="C127" i="2"/>
  <c r="L126" i="2"/>
  <c r="K126" i="2"/>
  <c r="J126" i="2"/>
  <c r="I126" i="2"/>
  <c r="H126" i="2"/>
  <c r="G126" i="2"/>
  <c r="F126" i="2"/>
  <c r="E126" i="2"/>
  <c r="D126" i="2"/>
  <c r="C126" i="2"/>
  <c r="L125" i="2"/>
  <c r="K125" i="2"/>
  <c r="J125" i="2"/>
  <c r="I125" i="2"/>
  <c r="H125" i="2"/>
  <c r="G125" i="2"/>
  <c r="F125" i="2"/>
  <c r="E125" i="2"/>
  <c r="D125" i="2"/>
  <c r="C125" i="2"/>
  <c r="L124" i="2"/>
  <c r="K124" i="2"/>
  <c r="J124" i="2"/>
  <c r="I124" i="2"/>
  <c r="H124" i="2"/>
  <c r="G124" i="2"/>
  <c r="F124" i="2"/>
  <c r="E124" i="2"/>
  <c r="D124" i="2"/>
  <c r="C124" i="2"/>
  <c r="L123" i="2"/>
  <c r="K123" i="2"/>
  <c r="J123" i="2"/>
  <c r="I123" i="2"/>
  <c r="H123" i="2"/>
  <c r="G123" i="2"/>
  <c r="F123" i="2"/>
  <c r="E123" i="2"/>
  <c r="D123" i="2"/>
  <c r="C123" i="2"/>
  <c r="L122" i="2"/>
  <c r="K122" i="2"/>
  <c r="J122" i="2"/>
  <c r="I122" i="2"/>
  <c r="H122" i="2"/>
  <c r="G122" i="2"/>
  <c r="F122" i="2"/>
  <c r="E122" i="2"/>
  <c r="D122" i="2"/>
  <c r="C122" i="2"/>
  <c r="L121" i="2"/>
  <c r="K121" i="2"/>
  <c r="J121" i="2"/>
  <c r="I121" i="2"/>
  <c r="H121" i="2"/>
  <c r="G121" i="2"/>
  <c r="F121" i="2"/>
  <c r="E121" i="2"/>
  <c r="D121" i="2"/>
  <c r="C121" i="2"/>
  <c r="L120" i="2"/>
  <c r="K120" i="2"/>
  <c r="J120" i="2"/>
  <c r="I120" i="2"/>
  <c r="H120" i="2"/>
  <c r="G120" i="2"/>
  <c r="F120" i="2"/>
  <c r="E120" i="2"/>
  <c r="D120" i="2"/>
  <c r="C120" i="2"/>
  <c r="L119" i="2"/>
  <c r="K119" i="2"/>
  <c r="J119" i="2"/>
  <c r="I119" i="2"/>
  <c r="H119" i="2"/>
  <c r="G119" i="2"/>
  <c r="F119" i="2"/>
  <c r="E119" i="2"/>
  <c r="D119" i="2"/>
  <c r="C119" i="2"/>
  <c r="L118" i="2"/>
  <c r="K118" i="2"/>
  <c r="J118" i="2"/>
  <c r="I118" i="2"/>
  <c r="H118" i="2"/>
  <c r="G118" i="2"/>
  <c r="F118" i="2"/>
  <c r="E118" i="2"/>
  <c r="D118" i="2"/>
  <c r="C118" i="2"/>
  <c r="L117" i="2"/>
  <c r="K117" i="2"/>
  <c r="J117" i="2"/>
  <c r="I117" i="2"/>
  <c r="H117" i="2"/>
  <c r="G117" i="2"/>
  <c r="F117" i="2"/>
  <c r="E117" i="2"/>
  <c r="D117" i="2"/>
  <c r="C117" i="2"/>
  <c r="L116" i="2"/>
  <c r="K116" i="2"/>
  <c r="J116" i="2"/>
  <c r="I116" i="2"/>
  <c r="H116" i="2"/>
  <c r="G116" i="2"/>
  <c r="F116" i="2"/>
  <c r="E116" i="2"/>
  <c r="D116" i="2"/>
  <c r="C116" i="2"/>
  <c r="L115" i="2"/>
  <c r="K115" i="2"/>
  <c r="J115" i="2"/>
  <c r="I115" i="2"/>
  <c r="H115" i="2"/>
  <c r="G115" i="2"/>
  <c r="F115" i="2"/>
  <c r="E115" i="2"/>
  <c r="D115" i="2"/>
  <c r="C115" i="2"/>
  <c r="L114" i="2"/>
  <c r="K114" i="2"/>
  <c r="J114" i="2"/>
  <c r="I114" i="2"/>
  <c r="H114" i="2"/>
  <c r="G114" i="2"/>
  <c r="F114" i="2"/>
  <c r="E114" i="2"/>
  <c r="D114" i="2"/>
  <c r="C114" i="2"/>
  <c r="L113" i="2"/>
  <c r="K113" i="2"/>
  <c r="J113" i="2"/>
  <c r="I113" i="2"/>
  <c r="H113" i="2"/>
  <c r="G113" i="2"/>
  <c r="F113" i="2"/>
  <c r="E113" i="2"/>
  <c r="D113" i="2"/>
  <c r="C113" i="2"/>
  <c r="L112" i="2"/>
  <c r="K112" i="2"/>
  <c r="J112" i="2"/>
  <c r="I112" i="2"/>
  <c r="H112" i="2"/>
  <c r="G112" i="2"/>
  <c r="F112" i="2"/>
  <c r="E112" i="2"/>
  <c r="D112" i="2"/>
  <c r="C112" i="2"/>
  <c r="L111" i="2"/>
  <c r="K111" i="2"/>
  <c r="J111" i="2"/>
  <c r="I111" i="2"/>
  <c r="H111" i="2"/>
  <c r="G111" i="2"/>
  <c r="F111" i="2"/>
  <c r="E111" i="2"/>
  <c r="D111" i="2"/>
  <c r="C111" i="2"/>
  <c r="L110" i="2"/>
  <c r="K110" i="2"/>
  <c r="J110" i="2"/>
  <c r="I110" i="2"/>
  <c r="H110" i="2"/>
  <c r="G110" i="2"/>
  <c r="F110" i="2"/>
  <c r="E110" i="2"/>
  <c r="D110" i="2"/>
  <c r="C110" i="2"/>
  <c r="L109" i="2"/>
  <c r="K109" i="2"/>
  <c r="J109" i="2"/>
  <c r="I109" i="2"/>
  <c r="H109" i="2"/>
  <c r="G109" i="2"/>
  <c r="F109" i="2"/>
  <c r="E109" i="2"/>
  <c r="D109" i="2"/>
  <c r="C109" i="2"/>
  <c r="L108" i="2"/>
  <c r="K108" i="2"/>
  <c r="J108" i="2"/>
  <c r="I108" i="2"/>
  <c r="H108" i="2"/>
  <c r="G108" i="2"/>
  <c r="F108" i="2"/>
  <c r="E108" i="2"/>
  <c r="D108" i="2"/>
  <c r="C108" i="2"/>
  <c r="L107" i="2"/>
  <c r="K107" i="2"/>
  <c r="J107" i="2"/>
  <c r="I107" i="2"/>
  <c r="H107" i="2"/>
  <c r="G107" i="2"/>
  <c r="F107" i="2"/>
  <c r="E107" i="2"/>
  <c r="D107" i="2"/>
  <c r="C107" i="2"/>
  <c r="L106" i="2"/>
  <c r="K106" i="2"/>
  <c r="J106" i="2"/>
  <c r="I106" i="2"/>
  <c r="H106" i="2"/>
  <c r="G106" i="2"/>
  <c r="F106" i="2"/>
  <c r="E106" i="2"/>
  <c r="D106" i="2"/>
  <c r="C106" i="2"/>
  <c r="L105" i="2"/>
  <c r="K105" i="2"/>
  <c r="J105" i="2"/>
  <c r="I105" i="2"/>
  <c r="H105" i="2"/>
  <c r="G105" i="2"/>
  <c r="F105" i="2"/>
  <c r="E105" i="2"/>
  <c r="D105" i="2"/>
  <c r="C105" i="2"/>
  <c r="L104" i="2"/>
  <c r="K104" i="2"/>
  <c r="J104" i="2"/>
  <c r="I104" i="2"/>
  <c r="H104" i="2"/>
  <c r="G104" i="2"/>
  <c r="F104" i="2"/>
  <c r="E104" i="2"/>
  <c r="D104" i="2"/>
  <c r="C104" i="2"/>
  <c r="L103" i="2"/>
  <c r="K103" i="2"/>
  <c r="J103" i="2"/>
  <c r="I103" i="2"/>
  <c r="H103" i="2"/>
  <c r="G103" i="2"/>
  <c r="F103" i="2"/>
  <c r="E103" i="2"/>
  <c r="D103" i="2"/>
  <c r="C103" i="2"/>
  <c r="L102" i="2"/>
  <c r="K102" i="2"/>
  <c r="J102" i="2"/>
  <c r="I102" i="2"/>
  <c r="H102" i="2"/>
  <c r="G102" i="2"/>
  <c r="F102" i="2"/>
  <c r="E102" i="2"/>
  <c r="D102" i="2"/>
  <c r="C102" i="2"/>
  <c r="L101" i="2"/>
  <c r="K101" i="2"/>
  <c r="J101" i="2"/>
  <c r="I101" i="2"/>
  <c r="H101" i="2"/>
  <c r="G101" i="2"/>
  <c r="F101" i="2"/>
  <c r="E101" i="2"/>
  <c r="D101" i="2"/>
  <c r="C101" i="2"/>
  <c r="L100" i="2"/>
  <c r="K100" i="2"/>
  <c r="J100" i="2"/>
  <c r="I100" i="2"/>
  <c r="H100" i="2"/>
  <c r="G100" i="2"/>
  <c r="F100" i="2"/>
  <c r="E100" i="2"/>
  <c r="D100" i="2"/>
  <c r="C100" i="2"/>
  <c r="L99" i="2"/>
  <c r="K99" i="2"/>
  <c r="J99" i="2"/>
  <c r="I99" i="2"/>
  <c r="H99" i="2"/>
  <c r="G99" i="2"/>
  <c r="F99" i="2"/>
  <c r="E99" i="2"/>
  <c r="D99" i="2"/>
  <c r="C99" i="2"/>
  <c r="L98" i="2"/>
  <c r="K98" i="2"/>
  <c r="J98" i="2"/>
  <c r="I98" i="2"/>
  <c r="H98" i="2"/>
  <c r="G98" i="2"/>
  <c r="F98" i="2"/>
  <c r="E98" i="2"/>
  <c r="D98" i="2"/>
  <c r="C98" i="2"/>
  <c r="L97" i="2"/>
  <c r="K97" i="2"/>
  <c r="J97" i="2"/>
  <c r="I97" i="2"/>
  <c r="H97" i="2"/>
  <c r="G97" i="2"/>
  <c r="F97" i="2"/>
  <c r="E97" i="2"/>
  <c r="D97" i="2"/>
  <c r="C97" i="2"/>
  <c r="L96" i="2"/>
  <c r="K96" i="2"/>
  <c r="J96" i="2"/>
  <c r="I96" i="2"/>
  <c r="H96" i="2"/>
  <c r="G96" i="2"/>
  <c r="F96" i="2"/>
  <c r="E96" i="2"/>
  <c r="D96" i="2"/>
  <c r="C96" i="2"/>
  <c r="L95" i="2"/>
  <c r="K95" i="2"/>
  <c r="J95" i="2"/>
  <c r="I95" i="2"/>
  <c r="H95" i="2"/>
  <c r="G95" i="2"/>
  <c r="F95" i="2"/>
  <c r="E95" i="2"/>
  <c r="D95" i="2"/>
  <c r="C95" i="2"/>
  <c r="L94" i="2"/>
  <c r="K94" i="2"/>
  <c r="J94" i="2"/>
  <c r="I94" i="2"/>
  <c r="H94" i="2"/>
  <c r="G94" i="2"/>
  <c r="F94" i="2"/>
  <c r="E94" i="2"/>
  <c r="D94" i="2"/>
  <c r="C94" i="2"/>
  <c r="L93" i="2"/>
  <c r="K93" i="2"/>
  <c r="J93" i="2"/>
  <c r="I93" i="2"/>
  <c r="H93" i="2"/>
  <c r="G93" i="2"/>
  <c r="F93" i="2"/>
  <c r="E93" i="2"/>
  <c r="D93" i="2"/>
  <c r="C93" i="2"/>
  <c r="L92" i="2"/>
  <c r="K92" i="2"/>
  <c r="J92" i="2"/>
  <c r="I92" i="2"/>
  <c r="H92" i="2"/>
  <c r="G92" i="2"/>
  <c r="F92" i="2"/>
  <c r="E92" i="2"/>
  <c r="D92" i="2"/>
  <c r="C92" i="2"/>
  <c r="L91" i="2"/>
  <c r="K91" i="2"/>
  <c r="J91" i="2"/>
  <c r="I91" i="2"/>
  <c r="H91" i="2"/>
  <c r="G91" i="2"/>
  <c r="F91" i="2"/>
  <c r="E91" i="2"/>
  <c r="D91" i="2"/>
  <c r="C91" i="2"/>
  <c r="L90" i="2"/>
  <c r="K90" i="2"/>
  <c r="J90" i="2"/>
  <c r="I90" i="2"/>
  <c r="H90" i="2"/>
  <c r="G90" i="2"/>
  <c r="F90" i="2"/>
  <c r="E90" i="2"/>
  <c r="D90" i="2"/>
  <c r="C90" i="2"/>
  <c r="L89" i="2"/>
  <c r="K89" i="2"/>
  <c r="J89" i="2"/>
  <c r="I89" i="2"/>
  <c r="H89" i="2"/>
  <c r="G89" i="2"/>
  <c r="F89" i="2"/>
  <c r="E89" i="2"/>
  <c r="D89" i="2"/>
  <c r="C89" i="2"/>
  <c r="L88" i="2"/>
  <c r="K88" i="2"/>
  <c r="J88" i="2"/>
  <c r="I88" i="2"/>
  <c r="H88" i="2"/>
  <c r="G88" i="2"/>
  <c r="F88" i="2"/>
  <c r="E88" i="2"/>
  <c r="D88" i="2"/>
  <c r="C88" i="2"/>
  <c r="L87" i="2"/>
  <c r="K87" i="2"/>
  <c r="J87" i="2"/>
  <c r="I87" i="2"/>
  <c r="H87" i="2"/>
  <c r="G87" i="2"/>
  <c r="F87" i="2"/>
  <c r="E87" i="2"/>
  <c r="D87" i="2"/>
  <c r="C87" i="2"/>
  <c r="L86" i="2"/>
  <c r="K86" i="2"/>
  <c r="J86" i="2"/>
  <c r="I86" i="2"/>
  <c r="H86" i="2"/>
  <c r="G86" i="2"/>
  <c r="F86" i="2"/>
  <c r="E86" i="2"/>
  <c r="D86" i="2"/>
  <c r="C86" i="2"/>
  <c r="L85" i="2"/>
  <c r="K85" i="2"/>
  <c r="J85" i="2"/>
  <c r="I85" i="2"/>
  <c r="H85" i="2"/>
  <c r="G85" i="2"/>
  <c r="F85" i="2"/>
  <c r="E85" i="2"/>
  <c r="D85" i="2"/>
  <c r="C85" i="2"/>
  <c r="L84" i="2"/>
  <c r="K84" i="2"/>
  <c r="J84" i="2"/>
  <c r="I84" i="2"/>
  <c r="H84" i="2"/>
  <c r="G84" i="2"/>
  <c r="F84" i="2"/>
  <c r="E84" i="2"/>
  <c r="D84" i="2"/>
  <c r="C84" i="2"/>
  <c r="L83" i="2"/>
  <c r="K83" i="2"/>
  <c r="J83" i="2"/>
  <c r="I83" i="2"/>
  <c r="H83" i="2"/>
  <c r="G83" i="2"/>
  <c r="F83" i="2"/>
  <c r="E83" i="2"/>
  <c r="D83" i="2"/>
  <c r="C83" i="2"/>
  <c r="L82" i="2"/>
  <c r="K82" i="2"/>
  <c r="J82" i="2"/>
  <c r="I82" i="2"/>
  <c r="H82" i="2"/>
  <c r="G82" i="2"/>
  <c r="F82" i="2"/>
  <c r="E82" i="2"/>
  <c r="D82" i="2"/>
  <c r="C82" i="2"/>
  <c r="L81" i="2"/>
  <c r="K81" i="2"/>
  <c r="J81" i="2"/>
  <c r="I81" i="2"/>
  <c r="H81" i="2"/>
  <c r="G81" i="2"/>
  <c r="F81" i="2"/>
  <c r="E81" i="2"/>
  <c r="D81" i="2"/>
  <c r="C81" i="2"/>
  <c r="L80" i="2"/>
  <c r="K80" i="2"/>
  <c r="J80" i="2"/>
  <c r="I80" i="2"/>
  <c r="H80" i="2"/>
  <c r="G80" i="2"/>
  <c r="F80" i="2"/>
  <c r="E80" i="2"/>
  <c r="D80" i="2"/>
  <c r="C80" i="2"/>
  <c r="L79" i="2"/>
  <c r="K79" i="2"/>
  <c r="J79" i="2"/>
  <c r="I79" i="2"/>
  <c r="H79" i="2"/>
  <c r="G79" i="2"/>
  <c r="F79" i="2"/>
  <c r="E79" i="2"/>
  <c r="D79" i="2"/>
  <c r="C79" i="2"/>
  <c r="L78" i="2"/>
  <c r="K78" i="2"/>
  <c r="J78" i="2"/>
  <c r="I78" i="2"/>
  <c r="H78" i="2"/>
  <c r="G78" i="2"/>
  <c r="F78" i="2"/>
  <c r="E78" i="2"/>
  <c r="D78" i="2"/>
  <c r="C78" i="2"/>
  <c r="L77" i="2"/>
  <c r="K77" i="2"/>
  <c r="J77" i="2"/>
  <c r="I77" i="2"/>
  <c r="H77" i="2"/>
  <c r="G77" i="2"/>
  <c r="F77" i="2"/>
  <c r="E77" i="2"/>
  <c r="D77" i="2"/>
  <c r="C77" i="2"/>
  <c r="L76" i="2"/>
  <c r="K76" i="2"/>
  <c r="J76" i="2"/>
  <c r="I76" i="2"/>
  <c r="H76" i="2"/>
  <c r="G76" i="2"/>
  <c r="F76" i="2"/>
  <c r="E76" i="2"/>
  <c r="D76" i="2"/>
  <c r="C76" i="2"/>
  <c r="L75" i="2"/>
  <c r="K75" i="2"/>
  <c r="J75" i="2"/>
  <c r="I75" i="2"/>
  <c r="H75" i="2"/>
  <c r="G75" i="2"/>
  <c r="F75" i="2"/>
  <c r="E75" i="2"/>
  <c r="D75" i="2"/>
  <c r="C75" i="2"/>
  <c r="L74" i="2"/>
  <c r="K74" i="2"/>
  <c r="J74" i="2"/>
  <c r="I74" i="2"/>
  <c r="H74" i="2"/>
  <c r="G74" i="2"/>
  <c r="F74" i="2"/>
  <c r="E74" i="2"/>
  <c r="D74" i="2"/>
  <c r="C74" i="2"/>
  <c r="L73" i="2"/>
  <c r="K73" i="2"/>
  <c r="J73" i="2"/>
  <c r="I73" i="2"/>
  <c r="H73" i="2"/>
  <c r="G73" i="2"/>
  <c r="F73" i="2"/>
  <c r="E73" i="2"/>
  <c r="D73" i="2"/>
  <c r="C73" i="2"/>
  <c r="L72" i="2"/>
  <c r="K72" i="2"/>
  <c r="J72" i="2"/>
  <c r="I72" i="2"/>
  <c r="H72" i="2"/>
  <c r="G72" i="2"/>
  <c r="F72" i="2"/>
  <c r="E72" i="2"/>
  <c r="D72" i="2"/>
  <c r="C72" i="2"/>
  <c r="L71" i="2"/>
  <c r="K71" i="2"/>
  <c r="J71" i="2"/>
  <c r="I71" i="2"/>
  <c r="H71" i="2"/>
  <c r="G71" i="2"/>
  <c r="F71" i="2"/>
  <c r="E71" i="2"/>
  <c r="D71" i="2"/>
  <c r="C71" i="2"/>
  <c r="L70" i="2"/>
  <c r="K70" i="2"/>
  <c r="J70" i="2"/>
  <c r="I70" i="2"/>
  <c r="H70" i="2"/>
  <c r="G70" i="2"/>
  <c r="F70" i="2"/>
  <c r="E70" i="2"/>
  <c r="D70" i="2"/>
  <c r="C70" i="2"/>
  <c r="L69" i="2"/>
  <c r="K69" i="2"/>
  <c r="J69" i="2"/>
  <c r="I69" i="2"/>
  <c r="H69" i="2"/>
  <c r="G69" i="2"/>
  <c r="F69" i="2"/>
  <c r="E69" i="2"/>
  <c r="D69" i="2"/>
  <c r="C69" i="2"/>
  <c r="L68" i="2"/>
  <c r="K68" i="2"/>
  <c r="J68" i="2"/>
  <c r="I68" i="2"/>
  <c r="H68" i="2"/>
  <c r="G68" i="2"/>
  <c r="F68" i="2"/>
  <c r="E68" i="2"/>
  <c r="D68" i="2"/>
  <c r="C68" i="2"/>
  <c r="L67" i="2"/>
  <c r="K67" i="2"/>
  <c r="J67" i="2"/>
  <c r="I67" i="2"/>
  <c r="H67" i="2"/>
  <c r="G67" i="2"/>
  <c r="F67" i="2"/>
  <c r="E67" i="2"/>
  <c r="D67" i="2"/>
  <c r="C67" i="2"/>
  <c r="L66" i="2"/>
  <c r="K66" i="2"/>
  <c r="J66" i="2"/>
  <c r="I66" i="2"/>
  <c r="H66" i="2"/>
  <c r="G66" i="2"/>
  <c r="F66" i="2"/>
  <c r="E66" i="2"/>
  <c r="D66" i="2"/>
  <c r="C66" i="2"/>
  <c r="L65" i="2"/>
  <c r="K65" i="2"/>
  <c r="J65" i="2"/>
  <c r="I65" i="2"/>
  <c r="H65" i="2"/>
  <c r="G65" i="2"/>
  <c r="F65" i="2"/>
  <c r="E65" i="2"/>
  <c r="D65" i="2"/>
  <c r="C65" i="2"/>
  <c r="L64" i="2"/>
  <c r="K64" i="2"/>
  <c r="J64" i="2"/>
  <c r="I64" i="2"/>
  <c r="H64" i="2"/>
  <c r="G64" i="2"/>
  <c r="F64" i="2"/>
  <c r="E64" i="2"/>
  <c r="D64" i="2"/>
  <c r="C64" i="2"/>
  <c r="L63" i="2"/>
  <c r="K63" i="2"/>
  <c r="J63" i="2"/>
  <c r="I63" i="2"/>
  <c r="H63" i="2"/>
  <c r="G63" i="2"/>
  <c r="F63" i="2"/>
  <c r="E63" i="2"/>
  <c r="D63" i="2"/>
  <c r="C63" i="2"/>
  <c r="L62" i="2"/>
  <c r="K62" i="2"/>
  <c r="J62" i="2"/>
  <c r="I62" i="2"/>
  <c r="H62" i="2"/>
  <c r="G62" i="2"/>
  <c r="F62" i="2"/>
  <c r="E62" i="2"/>
  <c r="D62" i="2"/>
  <c r="C62" i="2"/>
  <c r="L61" i="2"/>
  <c r="K61" i="2"/>
  <c r="J61" i="2"/>
  <c r="I61" i="2"/>
  <c r="H61" i="2"/>
  <c r="G61" i="2"/>
  <c r="F61" i="2"/>
  <c r="E61" i="2"/>
  <c r="D61" i="2"/>
  <c r="C61" i="2"/>
  <c r="L60" i="2"/>
  <c r="K60" i="2"/>
  <c r="J60" i="2"/>
  <c r="I60" i="2"/>
  <c r="H60" i="2"/>
  <c r="G60" i="2"/>
  <c r="F60" i="2"/>
  <c r="E60" i="2"/>
  <c r="D60" i="2"/>
  <c r="C60" i="2"/>
  <c r="L59" i="2"/>
  <c r="K59" i="2"/>
  <c r="J59" i="2"/>
  <c r="I59" i="2"/>
  <c r="H59" i="2"/>
  <c r="G59" i="2"/>
  <c r="F59" i="2"/>
  <c r="E59" i="2"/>
  <c r="D59" i="2"/>
  <c r="C59" i="2"/>
  <c r="L58" i="2"/>
  <c r="K58" i="2"/>
  <c r="J58" i="2"/>
  <c r="I58" i="2"/>
  <c r="H58" i="2"/>
  <c r="G58" i="2"/>
  <c r="F58" i="2"/>
  <c r="E58" i="2"/>
  <c r="D58" i="2"/>
  <c r="C58" i="2"/>
  <c r="L57" i="2"/>
  <c r="K57" i="2"/>
  <c r="J57" i="2"/>
  <c r="I57" i="2"/>
  <c r="H57" i="2"/>
  <c r="G57" i="2"/>
  <c r="F57" i="2"/>
  <c r="E57" i="2"/>
  <c r="D57" i="2"/>
  <c r="C57" i="2"/>
  <c r="L56" i="2"/>
  <c r="K56" i="2"/>
  <c r="J56" i="2"/>
  <c r="I56" i="2"/>
  <c r="H56" i="2"/>
  <c r="G56" i="2"/>
  <c r="F56" i="2"/>
  <c r="E56" i="2"/>
  <c r="D56" i="2"/>
  <c r="C56" i="2"/>
  <c r="L55" i="2"/>
  <c r="K55" i="2"/>
  <c r="J55" i="2"/>
  <c r="I55" i="2"/>
  <c r="H55" i="2"/>
  <c r="G55" i="2"/>
  <c r="F55" i="2"/>
  <c r="E55" i="2"/>
  <c r="D55" i="2"/>
  <c r="C55" i="2"/>
  <c r="L54" i="2"/>
  <c r="K54" i="2"/>
  <c r="J54" i="2"/>
  <c r="I54" i="2"/>
  <c r="H54" i="2"/>
  <c r="G54" i="2"/>
  <c r="F54" i="2"/>
  <c r="E54" i="2"/>
  <c r="D54" i="2"/>
  <c r="C54" i="2"/>
  <c r="L53" i="2"/>
  <c r="K53" i="2"/>
  <c r="J53" i="2"/>
  <c r="I53" i="2"/>
  <c r="H53" i="2"/>
  <c r="G53" i="2"/>
  <c r="F53" i="2"/>
  <c r="E53" i="2"/>
  <c r="D53" i="2"/>
  <c r="C53" i="2"/>
  <c r="L52" i="2"/>
  <c r="K52" i="2"/>
  <c r="J52" i="2"/>
  <c r="I52" i="2"/>
  <c r="H52" i="2"/>
  <c r="G52" i="2"/>
  <c r="F52" i="2"/>
  <c r="E52" i="2"/>
  <c r="D52" i="2"/>
  <c r="C52" i="2"/>
  <c r="L51" i="2"/>
  <c r="K51" i="2"/>
  <c r="J51" i="2"/>
  <c r="I51" i="2"/>
  <c r="H51" i="2"/>
  <c r="G51" i="2"/>
  <c r="F51" i="2"/>
  <c r="E51" i="2"/>
  <c r="D51" i="2"/>
  <c r="C51" i="2"/>
  <c r="L50" i="2"/>
  <c r="K50" i="2"/>
  <c r="J50" i="2"/>
  <c r="I50" i="2"/>
  <c r="H50" i="2"/>
  <c r="G50" i="2"/>
  <c r="F50" i="2"/>
  <c r="E50" i="2"/>
  <c r="D50" i="2"/>
  <c r="C50" i="2"/>
  <c r="L49" i="2"/>
  <c r="K49" i="2"/>
  <c r="J49" i="2"/>
  <c r="I49" i="2"/>
  <c r="H49" i="2"/>
  <c r="G49" i="2"/>
  <c r="F49" i="2"/>
  <c r="E49" i="2"/>
  <c r="D49" i="2"/>
  <c r="C49" i="2"/>
  <c r="L48" i="2"/>
  <c r="K48" i="2"/>
  <c r="J48" i="2"/>
  <c r="I48" i="2"/>
  <c r="H48" i="2"/>
  <c r="G48" i="2"/>
  <c r="F48" i="2"/>
  <c r="E48" i="2"/>
  <c r="D48" i="2"/>
  <c r="C48" i="2"/>
  <c r="L47" i="2"/>
  <c r="K47" i="2"/>
  <c r="J47" i="2"/>
  <c r="I47" i="2"/>
  <c r="H47" i="2"/>
  <c r="G47" i="2"/>
  <c r="F47" i="2"/>
  <c r="E47" i="2"/>
  <c r="D47" i="2"/>
  <c r="C47" i="2"/>
  <c r="L46" i="2"/>
  <c r="K46" i="2"/>
  <c r="J46" i="2"/>
  <c r="I46" i="2"/>
  <c r="H46" i="2"/>
  <c r="G46" i="2"/>
  <c r="F46" i="2"/>
  <c r="E46" i="2"/>
  <c r="D46" i="2"/>
  <c r="C46" i="2"/>
  <c r="L45" i="2"/>
  <c r="K45" i="2"/>
  <c r="J45" i="2"/>
  <c r="I45" i="2"/>
  <c r="H45" i="2"/>
  <c r="G45" i="2"/>
  <c r="F45" i="2"/>
  <c r="E45" i="2"/>
  <c r="D45" i="2"/>
  <c r="C45" i="2"/>
  <c r="L44" i="2"/>
  <c r="K44" i="2"/>
  <c r="J44" i="2"/>
  <c r="I44" i="2"/>
  <c r="H44" i="2"/>
  <c r="G44" i="2"/>
  <c r="F44" i="2"/>
  <c r="E44" i="2"/>
  <c r="D44" i="2"/>
  <c r="C44" i="2"/>
  <c r="L43" i="2"/>
  <c r="K43" i="2"/>
  <c r="J43" i="2"/>
  <c r="I43" i="2"/>
  <c r="H43" i="2"/>
  <c r="G43" i="2"/>
  <c r="F43" i="2"/>
  <c r="E43" i="2"/>
  <c r="D43" i="2"/>
  <c r="C43" i="2"/>
  <c r="L42" i="2"/>
  <c r="K42" i="2"/>
  <c r="J42" i="2"/>
  <c r="I42" i="2"/>
  <c r="H42" i="2"/>
  <c r="G42" i="2"/>
  <c r="F42" i="2"/>
  <c r="E42" i="2"/>
  <c r="D42" i="2"/>
  <c r="C42" i="2"/>
  <c r="L41" i="2"/>
  <c r="K41" i="2"/>
  <c r="J41" i="2"/>
  <c r="I41" i="2"/>
  <c r="H41" i="2"/>
  <c r="G41" i="2"/>
  <c r="F41" i="2"/>
  <c r="E41" i="2"/>
  <c r="D41" i="2"/>
  <c r="C41" i="2"/>
  <c r="L40" i="2"/>
  <c r="K40" i="2"/>
  <c r="J40" i="2"/>
  <c r="I40" i="2"/>
  <c r="H40" i="2"/>
  <c r="G40" i="2"/>
  <c r="F40" i="2"/>
  <c r="E40" i="2"/>
  <c r="D40" i="2"/>
  <c r="C40" i="2"/>
  <c r="L39" i="2"/>
  <c r="K39" i="2"/>
  <c r="J39" i="2"/>
  <c r="I39" i="2"/>
  <c r="H39" i="2"/>
  <c r="G39" i="2"/>
  <c r="F39" i="2"/>
  <c r="E39" i="2"/>
  <c r="D39" i="2"/>
  <c r="C39" i="2"/>
  <c r="L38" i="2"/>
  <c r="K38" i="2"/>
  <c r="J38" i="2"/>
  <c r="I38" i="2"/>
  <c r="H38" i="2"/>
  <c r="G38" i="2"/>
  <c r="F38" i="2"/>
  <c r="E38" i="2"/>
  <c r="D38" i="2"/>
  <c r="C38" i="2"/>
  <c r="L37" i="2"/>
  <c r="K37" i="2"/>
  <c r="J37" i="2"/>
  <c r="I37" i="2"/>
  <c r="H37" i="2"/>
  <c r="G37" i="2"/>
  <c r="F37" i="2"/>
  <c r="E37" i="2"/>
  <c r="D37" i="2"/>
  <c r="C37" i="2"/>
  <c r="L36" i="2"/>
  <c r="K36" i="2"/>
  <c r="J36" i="2"/>
  <c r="I36" i="2"/>
  <c r="H36" i="2"/>
  <c r="G36" i="2"/>
  <c r="F36" i="2"/>
  <c r="E36" i="2"/>
  <c r="D36" i="2"/>
  <c r="C36" i="2"/>
  <c r="L35" i="2"/>
  <c r="K35" i="2"/>
  <c r="J35" i="2"/>
  <c r="I35" i="2"/>
  <c r="H35" i="2"/>
  <c r="G35" i="2"/>
  <c r="F35" i="2"/>
  <c r="E35" i="2"/>
  <c r="D35" i="2"/>
  <c r="C35" i="2"/>
  <c r="L34" i="2"/>
  <c r="K34" i="2"/>
  <c r="J34" i="2"/>
  <c r="I34" i="2"/>
  <c r="H34" i="2"/>
  <c r="G34" i="2"/>
  <c r="F34" i="2"/>
  <c r="E34" i="2"/>
  <c r="D34" i="2"/>
  <c r="C34" i="2"/>
  <c r="L33" i="2"/>
  <c r="K33" i="2"/>
  <c r="J33" i="2"/>
  <c r="I33" i="2"/>
  <c r="H33" i="2"/>
  <c r="G33" i="2"/>
  <c r="F33" i="2"/>
  <c r="E33" i="2"/>
  <c r="D33" i="2"/>
  <c r="C33" i="2"/>
  <c r="L32" i="2"/>
  <c r="K32" i="2"/>
  <c r="J32" i="2"/>
  <c r="I32" i="2"/>
  <c r="H32" i="2"/>
  <c r="G32" i="2"/>
  <c r="F32" i="2"/>
  <c r="E32" i="2"/>
  <c r="D32" i="2"/>
  <c r="C32" i="2"/>
  <c r="L31" i="2"/>
  <c r="K31" i="2"/>
  <c r="J31" i="2"/>
  <c r="I31" i="2"/>
  <c r="H31" i="2"/>
  <c r="G31" i="2"/>
  <c r="F31" i="2"/>
  <c r="E31" i="2"/>
  <c r="D31" i="2"/>
  <c r="C31" i="2"/>
  <c r="L30" i="2"/>
  <c r="K30" i="2"/>
  <c r="J30" i="2"/>
  <c r="I30" i="2"/>
  <c r="H30" i="2"/>
  <c r="G30" i="2"/>
  <c r="F30" i="2"/>
  <c r="E30" i="2"/>
  <c r="D30" i="2"/>
  <c r="C30" i="2"/>
  <c r="L29" i="2"/>
  <c r="K29" i="2"/>
  <c r="J29" i="2"/>
  <c r="I29" i="2"/>
  <c r="H29" i="2"/>
  <c r="G29" i="2"/>
  <c r="F29" i="2"/>
  <c r="E29" i="2"/>
  <c r="D29" i="2"/>
  <c r="C29" i="2"/>
  <c r="L28" i="2"/>
  <c r="K28" i="2"/>
  <c r="J28" i="2"/>
  <c r="I28" i="2"/>
  <c r="H28" i="2"/>
  <c r="G28" i="2"/>
  <c r="F28" i="2"/>
  <c r="E28" i="2"/>
  <c r="D28" i="2"/>
  <c r="C28" i="2"/>
  <c r="L27" i="2"/>
  <c r="K27" i="2"/>
  <c r="J27" i="2"/>
  <c r="I27" i="2"/>
  <c r="H27" i="2"/>
  <c r="G27" i="2"/>
  <c r="F27" i="2"/>
  <c r="E27" i="2"/>
  <c r="D27" i="2"/>
  <c r="C27" i="2"/>
  <c r="L26" i="2"/>
  <c r="K26" i="2"/>
  <c r="J26" i="2"/>
  <c r="I26" i="2"/>
  <c r="H26" i="2"/>
  <c r="G26" i="2"/>
  <c r="F26" i="2"/>
  <c r="E26" i="2"/>
  <c r="D26" i="2"/>
  <c r="C26" i="2"/>
  <c r="L25" i="2"/>
  <c r="K25" i="2"/>
  <c r="J25" i="2"/>
  <c r="I25" i="2"/>
  <c r="H25" i="2"/>
  <c r="G25" i="2"/>
  <c r="F25" i="2"/>
  <c r="E25" i="2"/>
  <c r="D25" i="2"/>
  <c r="C25" i="2"/>
  <c r="L24" i="2"/>
  <c r="K24" i="2"/>
  <c r="J24" i="2"/>
  <c r="I24" i="2"/>
  <c r="H24" i="2"/>
  <c r="G24" i="2"/>
  <c r="F24" i="2"/>
  <c r="E24" i="2"/>
  <c r="D24" i="2"/>
  <c r="C24" i="2"/>
  <c r="L23" i="2"/>
  <c r="K23" i="2"/>
  <c r="J23" i="2"/>
  <c r="I23" i="2"/>
  <c r="H23" i="2"/>
  <c r="G23" i="2"/>
  <c r="F23" i="2"/>
  <c r="E23" i="2"/>
  <c r="D23" i="2"/>
  <c r="C23" i="2"/>
  <c r="L22" i="2"/>
  <c r="K22" i="2"/>
  <c r="J22" i="2"/>
  <c r="I22" i="2"/>
  <c r="H22" i="2"/>
  <c r="G22" i="2"/>
  <c r="F22" i="2"/>
  <c r="E22" i="2"/>
  <c r="D22" i="2"/>
  <c r="C22" i="2"/>
  <c r="L21" i="2"/>
  <c r="K21" i="2"/>
  <c r="J21" i="2"/>
  <c r="I21" i="2"/>
  <c r="H21" i="2"/>
  <c r="G21" i="2"/>
  <c r="F21" i="2"/>
  <c r="E21" i="2"/>
  <c r="D21" i="2"/>
  <c r="C21" i="2"/>
  <c r="L20" i="2"/>
  <c r="K20" i="2"/>
  <c r="J20" i="2"/>
  <c r="I20" i="2"/>
  <c r="H20" i="2"/>
  <c r="G20" i="2"/>
  <c r="F20" i="2"/>
  <c r="E20" i="2"/>
  <c r="D20" i="2"/>
  <c r="C20" i="2"/>
  <c r="L19" i="2"/>
  <c r="K19" i="2"/>
  <c r="J19" i="2"/>
  <c r="I19" i="2"/>
  <c r="H19" i="2"/>
  <c r="G19" i="2"/>
  <c r="F19" i="2"/>
  <c r="E19" i="2"/>
  <c r="D19" i="2"/>
  <c r="C19" i="2"/>
  <c r="L18" i="2"/>
  <c r="K18" i="2"/>
  <c r="J18" i="2"/>
  <c r="I18" i="2"/>
  <c r="H18" i="2"/>
  <c r="G18" i="2"/>
  <c r="F18" i="2"/>
  <c r="E18" i="2"/>
  <c r="D18" i="2"/>
  <c r="C18" i="2"/>
  <c r="L17" i="2"/>
  <c r="K17" i="2"/>
  <c r="J17" i="2"/>
  <c r="I17" i="2"/>
  <c r="H17" i="2"/>
  <c r="G17" i="2"/>
  <c r="F17" i="2"/>
  <c r="E17" i="2"/>
  <c r="D17" i="2"/>
  <c r="C17" i="2"/>
  <c r="L16" i="2"/>
  <c r="K16" i="2"/>
  <c r="J16" i="2"/>
  <c r="I16" i="2"/>
  <c r="H16" i="2"/>
  <c r="G16" i="2"/>
  <c r="F16" i="2"/>
  <c r="E16" i="2"/>
  <c r="D16" i="2"/>
  <c r="C16" i="2"/>
  <c r="L15" i="2"/>
  <c r="K15" i="2"/>
  <c r="J15" i="2"/>
  <c r="I15" i="2"/>
  <c r="H15" i="2"/>
  <c r="G15" i="2"/>
  <c r="F15" i="2"/>
  <c r="E15" i="2"/>
  <c r="D15" i="2"/>
  <c r="C15" i="2"/>
  <c r="L14" i="2"/>
  <c r="K14" i="2"/>
  <c r="J14" i="2"/>
  <c r="I14" i="2"/>
  <c r="H14" i="2"/>
  <c r="G14" i="2"/>
  <c r="F14" i="2"/>
  <c r="E14" i="2"/>
  <c r="D14" i="2"/>
  <c r="C14" i="2"/>
  <c r="L13" i="2"/>
  <c r="K13" i="2"/>
  <c r="J13" i="2"/>
  <c r="I13" i="2"/>
  <c r="H13" i="2"/>
  <c r="G13" i="2"/>
  <c r="F13" i="2"/>
  <c r="E13" i="2"/>
  <c r="D13" i="2"/>
  <c r="C13" i="2"/>
  <c r="L12" i="2"/>
  <c r="K12" i="2"/>
  <c r="J12" i="2"/>
  <c r="I12" i="2"/>
  <c r="H12" i="2"/>
  <c r="G12" i="2"/>
  <c r="F12" i="2"/>
  <c r="E12" i="2"/>
  <c r="D12" i="2"/>
  <c r="C12" i="2"/>
  <c r="L11" i="2"/>
  <c r="K11" i="2"/>
  <c r="J11" i="2"/>
  <c r="I11" i="2"/>
  <c r="H11" i="2"/>
  <c r="G11" i="2"/>
  <c r="F11" i="2"/>
  <c r="E11" i="2"/>
  <c r="D11" i="2"/>
  <c r="C11" i="2"/>
  <c r="L10" i="2"/>
  <c r="K10" i="2"/>
  <c r="J10" i="2"/>
  <c r="I10" i="2"/>
  <c r="H10" i="2"/>
  <c r="G10" i="2"/>
  <c r="F10" i="2"/>
  <c r="E10" i="2"/>
  <c r="D10" i="2"/>
  <c r="C10" i="2"/>
  <c r="L9" i="2"/>
  <c r="K9" i="2"/>
  <c r="J9" i="2"/>
  <c r="I9" i="2"/>
  <c r="H9" i="2"/>
  <c r="G9" i="2"/>
  <c r="F9" i="2"/>
  <c r="E9" i="2"/>
  <c r="D9" i="2"/>
  <c r="C9" i="2"/>
  <c r="L8" i="2"/>
  <c r="K8" i="2"/>
  <c r="J8" i="2"/>
  <c r="I8" i="2"/>
  <c r="H8" i="2"/>
  <c r="G8" i="2"/>
  <c r="F8" i="2"/>
  <c r="E8" i="2"/>
  <c r="D8" i="2"/>
  <c r="C8" i="2"/>
  <c r="L7" i="2"/>
  <c r="K7" i="2"/>
  <c r="J7" i="2"/>
  <c r="I7" i="2"/>
  <c r="H7" i="2"/>
  <c r="G7" i="2"/>
  <c r="F7" i="2"/>
  <c r="E7" i="2"/>
  <c r="D7" i="2"/>
  <c r="C7" i="2"/>
  <c r="L6" i="2"/>
  <c r="K6" i="2"/>
  <c r="J6" i="2"/>
  <c r="I6" i="2"/>
  <c r="H6" i="2"/>
  <c r="G6" i="2"/>
  <c r="F6" i="2"/>
  <c r="E6" i="2"/>
  <c r="D6" i="2"/>
  <c r="C6" i="2"/>
  <c r="L5" i="2"/>
  <c r="K5" i="2"/>
  <c r="J5" i="2"/>
  <c r="I5" i="2"/>
  <c r="H5" i="2"/>
  <c r="G5" i="2"/>
  <c r="F5" i="2"/>
  <c r="E5" i="2"/>
  <c r="D5" i="2"/>
  <c r="C5" i="2"/>
  <c r="L4" i="2"/>
  <c r="K4" i="2"/>
  <c r="J4" i="2"/>
  <c r="I4" i="2"/>
  <c r="H4" i="2"/>
  <c r="G4" i="2"/>
  <c r="F4" i="2"/>
  <c r="E4" i="2"/>
  <c r="D4" i="2"/>
  <c r="C4" i="2"/>
  <c r="L3" i="2"/>
  <c r="K3" i="2"/>
  <c r="J3" i="2"/>
  <c r="I3" i="2"/>
  <c r="H3" i="2"/>
  <c r="G3" i="2"/>
  <c r="F3" i="2"/>
  <c r="E3" i="2"/>
  <c r="D3" i="2"/>
  <c r="C3" i="2"/>
  <c r="L2" i="2"/>
  <c r="K2" i="2"/>
  <c r="J2" i="2"/>
  <c r="I2" i="2"/>
  <c r="H2" i="2"/>
  <c r="G2" i="2"/>
  <c r="F2" i="2"/>
  <c r="E2" i="2"/>
  <c r="D2" i="2"/>
  <c r="C2" i="2"/>
  <c r="O741" i="1"/>
  <c r="N741" i="1"/>
  <c r="P741" i="1" s="1"/>
  <c r="M741" i="1"/>
  <c r="P740" i="1"/>
  <c r="O740" i="1"/>
  <c r="N740" i="1"/>
  <c r="M740" i="1"/>
  <c r="P739" i="1"/>
  <c r="O739" i="1"/>
  <c r="N739" i="1"/>
  <c r="M739" i="1"/>
  <c r="O738" i="1"/>
  <c r="N738" i="1"/>
  <c r="P738" i="1" s="1"/>
  <c r="M738" i="1"/>
  <c r="O737" i="1"/>
  <c r="P737" i="1" s="1"/>
  <c r="N737" i="1"/>
  <c r="M737" i="1"/>
  <c r="O736" i="1"/>
  <c r="P736" i="1" s="1"/>
  <c r="N736" i="1"/>
  <c r="M736" i="1"/>
  <c r="O735" i="1"/>
  <c r="P735" i="1" s="1"/>
  <c r="N735" i="1"/>
  <c r="M735" i="1"/>
  <c r="P734" i="1"/>
  <c r="O734" i="1"/>
  <c r="N734" i="1"/>
  <c r="M734" i="1"/>
  <c r="O733" i="1"/>
  <c r="P733" i="1" s="1"/>
  <c r="N733" i="1"/>
  <c r="M733" i="1"/>
  <c r="P732" i="1"/>
  <c r="O732" i="1"/>
  <c r="N732" i="1"/>
  <c r="M732" i="1"/>
  <c r="O731" i="1"/>
  <c r="N731" i="1"/>
  <c r="M731" i="1"/>
  <c r="O730" i="1"/>
  <c r="N730" i="1"/>
  <c r="P730" i="1" s="1"/>
  <c r="M730" i="1"/>
  <c r="O729" i="1"/>
  <c r="P729" i="1" s="1"/>
  <c r="N729" i="1"/>
  <c r="M729" i="1"/>
  <c r="O728" i="1"/>
  <c r="P728" i="1" s="1"/>
  <c r="N728" i="1"/>
  <c r="M728" i="1"/>
  <c r="P727" i="1"/>
  <c r="O727" i="1"/>
  <c r="N727" i="1"/>
  <c r="M727" i="1"/>
  <c r="P726" i="1"/>
  <c r="O726" i="1"/>
  <c r="N726" i="1"/>
  <c r="M726" i="1"/>
  <c r="O725" i="1"/>
  <c r="P725" i="1" s="1"/>
  <c r="N725" i="1"/>
  <c r="M725" i="1"/>
  <c r="O724" i="1"/>
  <c r="N724" i="1"/>
  <c r="M724" i="1"/>
  <c r="O723" i="1"/>
  <c r="P723" i="1" s="1"/>
  <c r="N723" i="1"/>
  <c r="M723" i="1"/>
  <c r="O722" i="1"/>
  <c r="N722" i="1"/>
  <c r="M722" i="1"/>
  <c r="P721" i="1"/>
  <c r="O721" i="1"/>
  <c r="N721" i="1"/>
  <c r="M721" i="1"/>
  <c r="O720" i="1"/>
  <c r="P720" i="1" s="1"/>
  <c r="N720" i="1"/>
  <c r="M720" i="1"/>
  <c r="O719" i="1"/>
  <c r="N719" i="1"/>
  <c r="P719" i="1" s="1"/>
  <c r="M719" i="1"/>
  <c r="O718" i="1"/>
  <c r="N718" i="1"/>
  <c r="M718" i="1"/>
  <c r="P717" i="1"/>
  <c r="O717" i="1"/>
  <c r="N717" i="1"/>
  <c r="M717" i="1"/>
  <c r="O716" i="1"/>
  <c r="N716" i="1"/>
  <c r="P716" i="1" s="1"/>
  <c r="M716" i="1"/>
  <c r="O715" i="1"/>
  <c r="P715" i="1" s="1"/>
  <c r="N715" i="1"/>
  <c r="M715" i="1"/>
  <c r="O714" i="1"/>
  <c r="P714" i="1" s="1"/>
  <c r="N714" i="1"/>
  <c r="M714" i="1"/>
  <c r="P713" i="1"/>
  <c r="O713" i="1"/>
  <c r="N713" i="1"/>
  <c r="M713" i="1"/>
  <c r="O712" i="1"/>
  <c r="N712" i="1"/>
  <c r="P712" i="1" s="1"/>
  <c r="M712" i="1"/>
  <c r="O711" i="1"/>
  <c r="N711" i="1"/>
  <c r="M711" i="1"/>
  <c r="O710" i="1"/>
  <c r="N710" i="1"/>
  <c r="P710" i="1" s="1"/>
  <c r="M710" i="1"/>
  <c r="O709" i="1"/>
  <c r="N709" i="1"/>
  <c r="M709" i="1"/>
  <c r="O708" i="1"/>
  <c r="N708" i="1"/>
  <c r="P708" i="1" s="1"/>
  <c r="M708" i="1"/>
  <c r="P707" i="1"/>
  <c r="O707" i="1"/>
  <c r="N707" i="1"/>
  <c r="M707" i="1"/>
  <c r="O706" i="1"/>
  <c r="P706" i="1" s="1"/>
  <c r="N706" i="1"/>
  <c r="M706" i="1"/>
  <c r="O705" i="1"/>
  <c r="P705" i="1" s="1"/>
  <c r="N705" i="1"/>
  <c r="M705" i="1"/>
  <c r="O704" i="1"/>
  <c r="P704" i="1" s="1"/>
  <c r="N704" i="1"/>
  <c r="M704" i="1"/>
  <c r="P703" i="1"/>
  <c r="O703" i="1"/>
  <c r="N703" i="1"/>
  <c r="M703" i="1"/>
  <c r="P702" i="1"/>
  <c r="O702" i="1"/>
  <c r="N702" i="1"/>
  <c r="M702" i="1"/>
  <c r="O701" i="1"/>
  <c r="N701" i="1"/>
  <c r="P701" i="1" s="1"/>
  <c r="M701" i="1"/>
  <c r="O700" i="1"/>
  <c r="N700" i="1"/>
  <c r="M700" i="1"/>
  <c r="O699" i="1"/>
  <c r="N699" i="1"/>
  <c r="P699" i="1" s="1"/>
  <c r="M699" i="1"/>
  <c r="O698" i="1"/>
  <c r="N698" i="1"/>
  <c r="M698" i="1"/>
  <c r="O697" i="1"/>
  <c r="N697" i="1"/>
  <c r="P697" i="1" s="1"/>
  <c r="M697" i="1"/>
  <c r="O696" i="1"/>
  <c r="P696" i="1" s="1"/>
  <c r="N696" i="1"/>
  <c r="M696" i="1"/>
  <c r="P695" i="1"/>
  <c r="O695" i="1"/>
  <c r="N695" i="1"/>
  <c r="M695" i="1"/>
  <c r="O694" i="1"/>
  <c r="N694" i="1"/>
  <c r="P694" i="1" s="1"/>
  <c r="M694" i="1"/>
  <c r="P693" i="1"/>
  <c r="O693" i="1"/>
  <c r="N693" i="1"/>
  <c r="M693" i="1"/>
  <c r="O692" i="1"/>
  <c r="P692" i="1" s="1"/>
  <c r="N692" i="1"/>
  <c r="M692" i="1"/>
  <c r="P691" i="1"/>
  <c r="O691" i="1"/>
  <c r="N691" i="1"/>
  <c r="M691" i="1"/>
  <c r="O690" i="1"/>
  <c r="P690" i="1" s="1"/>
  <c r="N690" i="1"/>
  <c r="M690" i="1"/>
  <c r="O689" i="1"/>
  <c r="N689" i="1"/>
  <c r="M689" i="1"/>
  <c r="O688" i="1"/>
  <c r="N688" i="1"/>
  <c r="P688" i="1" s="1"/>
  <c r="M688" i="1"/>
  <c r="O687" i="1"/>
  <c r="P687" i="1" s="1"/>
  <c r="N687" i="1"/>
  <c r="M687" i="1"/>
  <c r="O686" i="1"/>
  <c r="N686" i="1"/>
  <c r="P686" i="1" s="1"/>
  <c r="M686" i="1"/>
  <c r="O685" i="1"/>
  <c r="P685" i="1" s="1"/>
  <c r="N685" i="1"/>
  <c r="M685" i="1"/>
  <c r="P684" i="1"/>
  <c r="O684" i="1"/>
  <c r="N684" i="1"/>
  <c r="M684" i="1"/>
  <c r="O683" i="1"/>
  <c r="N683" i="1"/>
  <c r="P683" i="1" s="1"/>
  <c r="M683" i="1"/>
  <c r="O682" i="1"/>
  <c r="P682" i="1" s="1"/>
  <c r="N682" i="1"/>
  <c r="M682" i="1"/>
  <c r="O681" i="1"/>
  <c r="P681" i="1" s="1"/>
  <c r="N681" i="1"/>
  <c r="M681" i="1"/>
  <c r="O680" i="1"/>
  <c r="P680" i="1" s="1"/>
  <c r="N680" i="1"/>
  <c r="M680" i="1"/>
  <c r="O679" i="1"/>
  <c r="P679" i="1" s="1"/>
  <c r="N679" i="1"/>
  <c r="M679" i="1"/>
  <c r="O678" i="1"/>
  <c r="N678" i="1"/>
  <c r="M678" i="1"/>
  <c r="O677" i="1"/>
  <c r="N677" i="1"/>
  <c r="P677" i="1" s="1"/>
  <c r="M677" i="1"/>
  <c r="O676" i="1"/>
  <c r="N676" i="1"/>
  <c r="M676" i="1"/>
  <c r="O675" i="1"/>
  <c r="N675" i="1"/>
  <c r="P675" i="1" s="1"/>
  <c r="M675" i="1"/>
  <c r="O674" i="1"/>
  <c r="P674" i="1" s="1"/>
  <c r="N674" i="1"/>
  <c r="M674" i="1"/>
  <c r="P673" i="1"/>
  <c r="O673" i="1"/>
  <c r="N673" i="1"/>
  <c r="M673" i="1"/>
  <c r="O672" i="1"/>
  <c r="N672" i="1"/>
  <c r="M672" i="1"/>
  <c r="O671" i="1"/>
  <c r="P671" i="1" s="1"/>
  <c r="N671" i="1"/>
  <c r="M671" i="1"/>
  <c r="P670" i="1"/>
  <c r="O670" i="1"/>
  <c r="N670" i="1"/>
  <c r="M670" i="1"/>
  <c r="O669" i="1"/>
  <c r="N669" i="1"/>
  <c r="P669" i="1" s="1"/>
  <c r="M669" i="1"/>
  <c r="O668" i="1"/>
  <c r="P668" i="1" s="1"/>
  <c r="N668" i="1"/>
  <c r="M668" i="1"/>
  <c r="O667" i="1"/>
  <c r="P667" i="1" s="1"/>
  <c r="N667" i="1"/>
  <c r="M667" i="1"/>
  <c r="P666" i="1"/>
  <c r="O666" i="1"/>
  <c r="N666" i="1"/>
  <c r="M666" i="1"/>
  <c r="O665" i="1"/>
  <c r="P665" i="1" s="1"/>
  <c r="N665" i="1"/>
  <c r="M665" i="1"/>
  <c r="O664" i="1"/>
  <c r="N664" i="1"/>
  <c r="P664" i="1" s="1"/>
  <c r="M664" i="1"/>
  <c r="P663" i="1"/>
  <c r="O663" i="1"/>
  <c r="N663" i="1"/>
  <c r="M663" i="1"/>
  <c r="P662" i="1"/>
  <c r="O662" i="1"/>
  <c r="N662" i="1"/>
  <c r="M662" i="1"/>
  <c r="O661" i="1"/>
  <c r="P661" i="1" s="1"/>
  <c r="N661" i="1"/>
  <c r="M661" i="1"/>
  <c r="P660" i="1"/>
  <c r="O660" i="1"/>
  <c r="N660" i="1"/>
  <c r="M660" i="1"/>
  <c r="P659" i="1"/>
  <c r="O659" i="1"/>
  <c r="N659" i="1"/>
  <c r="M659" i="1"/>
  <c r="O658" i="1"/>
  <c r="N658" i="1"/>
  <c r="P658" i="1" s="1"/>
  <c r="M658" i="1"/>
  <c r="O657" i="1"/>
  <c r="P657" i="1" s="1"/>
  <c r="N657" i="1"/>
  <c r="M657" i="1"/>
  <c r="O656" i="1"/>
  <c r="N656" i="1"/>
  <c r="M656" i="1"/>
  <c r="P655" i="1"/>
  <c r="O655" i="1"/>
  <c r="N655" i="1"/>
  <c r="M655" i="1"/>
  <c r="O654" i="1"/>
  <c r="P654" i="1" s="1"/>
  <c r="N654" i="1"/>
  <c r="M654" i="1"/>
  <c r="O653" i="1"/>
  <c r="N653" i="1"/>
  <c r="P653" i="1" s="1"/>
  <c r="M653" i="1"/>
  <c r="O652" i="1"/>
  <c r="P652" i="1" s="1"/>
  <c r="N652" i="1"/>
  <c r="M652" i="1"/>
  <c r="P651" i="1"/>
  <c r="O651" i="1"/>
  <c r="N651" i="1"/>
  <c r="M651" i="1"/>
  <c r="O650" i="1"/>
  <c r="N650" i="1"/>
  <c r="P650" i="1" s="1"/>
  <c r="M650" i="1"/>
  <c r="O649" i="1"/>
  <c r="P649" i="1" s="1"/>
  <c r="N649" i="1"/>
  <c r="M649" i="1"/>
  <c r="P648" i="1"/>
  <c r="O648" i="1"/>
  <c r="N648" i="1"/>
  <c r="M648" i="1"/>
  <c r="P647" i="1"/>
  <c r="O647" i="1"/>
  <c r="N647" i="1"/>
  <c r="M647" i="1"/>
  <c r="O646" i="1"/>
  <c r="N646" i="1"/>
  <c r="P646" i="1" s="1"/>
  <c r="M646" i="1"/>
  <c r="O645" i="1"/>
  <c r="P645" i="1" s="1"/>
  <c r="N645" i="1"/>
  <c r="M645" i="1"/>
  <c r="P644" i="1"/>
  <c r="O644" i="1"/>
  <c r="N644" i="1"/>
  <c r="M644" i="1"/>
  <c r="O643" i="1"/>
  <c r="P643" i="1" s="1"/>
  <c r="N643" i="1"/>
  <c r="M643" i="1"/>
  <c r="P642" i="1"/>
  <c r="O642" i="1"/>
  <c r="N642" i="1"/>
  <c r="M642" i="1"/>
  <c r="P641" i="1"/>
  <c r="O641" i="1"/>
  <c r="N641" i="1"/>
  <c r="M641" i="1"/>
  <c r="P640" i="1"/>
  <c r="O640" i="1"/>
  <c r="N640" i="1"/>
  <c r="M640" i="1"/>
  <c r="P639" i="1"/>
  <c r="O639" i="1"/>
  <c r="N639" i="1"/>
  <c r="M639" i="1"/>
  <c r="P638" i="1"/>
  <c r="O638" i="1"/>
  <c r="N638" i="1"/>
  <c r="M638" i="1"/>
  <c r="O637" i="1"/>
  <c r="N637" i="1"/>
  <c r="M637" i="1"/>
  <c r="O636" i="1"/>
  <c r="N636" i="1"/>
  <c r="M636" i="1"/>
  <c r="P635" i="1"/>
  <c r="O635" i="1"/>
  <c r="N635" i="1"/>
  <c r="M635" i="1"/>
  <c r="O634" i="1"/>
  <c r="P634" i="1" s="1"/>
  <c r="N634" i="1"/>
  <c r="M634" i="1"/>
  <c r="O633" i="1"/>
  <c r="N633" i="1"/>
  <c r="P633" i="1" s="1"/>
  <c r="M633" i="1"/>
  <c r="O632" i="1"/>
  <c r="N632" i="1"/>
  <c r="M632" i="1"/>
  <c r="O631" i="1"/>
  <c r="N631" i="1"/>
  <c r="P631" i="1" s="1"/>
  <c r="M631" i="1"/>
  <c r="O630" i="1"/>
  <c r="N630" i="1"/>
  <c r="M630" i="1"/>
  <c r="O629" i="1"/>
  <c r="P629" i="1" s="1"/>
  <c r="N629" i="1"/>
  <c r="M629" i="1"/>
  <c r="O628" i="1"/>
  <c r="P628" i="1" s="1"/>
  <c r="N628" i="1"/>
  <c r="M628" i="1"/>
  <c r="P627" i="1"/>
  <c r="O627" i="1"/>
  <c r="N627" i="1"/>
  <c r="M627" i="1"/>
  <c r="P626" i="1"/>
  <c r="O626" i="1"/>
  <c r="N626" i="1"/>
  <c r="M626" i="1"/>
  <c r="P625" i="1"/>
  <c r="O625" i="1"/>
  <c r="N625" i="1"/>
  <c r="M625" i="1"/>
  <c r="P624" i="1"/>
  <c r="O624" i="1"/>
  <c r="N624" i="1"/>
  <c r="M624" i="1"/>
  <c r="O623" i="1"/>
  <c r="P623" i="1" s="1"/>
  <c r="N623" i="1"/>
  <c r="M623" i="1"/>
  <c r="P622" i="1"/>
  <c r="O622" i="1"/>
  <c r="N622" i="1"/>
  <c r="M622" i="1"/>
  <c r="O621" i="1"/>
  <c r="N621" i="1"/>
  <c r="M621" i="1"/>
  <c r="P620" i="1"/>
  <c r="O620" i="1"/>
  <c r="N620" i="1"/>
  <c r="M620" i="1"/>
  <c r="O619" i="1"/>
  <c r="P619" i="1" s="1"/>
  <c r="N619" i="1"/>
  <c r="M619" i="1"/>
  <c r="P618" i="1"/>
  <c r="O618" i="1"/>
  <c r="N618" i="1"/>
  <c r="M618" i="1"/>
  <c r="P617" i="1"/>
  <c r="O617" i="1"/>
  <c r="N617" i="1"/>
  <c r="M617" i="1"/>
  <c r="P616" i="1"/>
  <c r="O616" i="1"/>
  <c r="N616" i="1"/>
  <c r="M616" i="1"/>
  <c r="P615" i="1"/>
  <c r="O615" i="1"/>
  <c r="N615" i="1"/>
  <c r="M615" i="1"/>
  <c r="O614" i="1"/>
  <c r="P614" i="1" s="1"/>
  <c r="N614" i="1"/>
  <c r="M614" i="1"/>
  <c r="O613" i="1"/>
  <c r="P613" i="1" s="1"/>
  <c r="N613" i="1"/>
  <c r="M613" i="1"/>
  <c r="O612" i="1"/>
  <c r="P612" i="1" s="1"/>
  <c r="N612" i="1"/>
  <c r="M612" i="1"/>
  <c r="P611" i="1"/>
  <c r="O611" i="1"/>
  <c r="N611" i="1"/>
  <c r="M611" i="1"/>
  <c r="P610" i="1"/>
  <c r="O610" i="1"/>
  <c r="N610" i="1"/>
  <c r="M610" i="1"/>
  <c r="O609" i="1"/>
  <c r="N609" i="1"/>
  <c r="P609" i="1" s="1"/>
  <c r="M609" i="1"/>
  <c r="O608" i="1"/>
  <c r="P608" i="1" s="1"/>
  <c r="N608" i="1"/>
  <c r="M608" i="1"/>
  <c r="P607" i="1"/>
  <c r="O607" i="1"/>
  <c r="N607" i="1"/>
  <c r="M607" i="1"/>
  <c r="O606" i="1"/>
  <c r="P606" i="1" s="1"/>
  <c r="N606" i="1"/>
  <c r="M606" i="1"/>
  <c r="P605" i="1"/>
  <c r="O605" i="1"/>
  <c r="N605" i="1"/>
  <c r="M605" i="1"/>
  <c r="O604" i="1"/>
  <c r="P604" i="1" s="1"/>
  <c r="N604" i="1"/>
  <c r="M604" i="1"/>
  <c r="O603" i="1"/>
  <c r="N603" i="1"/>
  <c r="P603" i="1" s="1"/>
  <c r="M603" i="1"/>
  <c r="O602" i="1"/>
  <c r="N602" i="1"/>
  <c r="P602" i="1" s="1"/>
  <c r="M602" i="1"/>
  <c r="O601" i="1"/>
  <c r="N601" i="1"/>
  <c r="M601" i="1"/>
  <c r="O600" i="1"/>
  <c r="N600" i="1"/>
  <c r="P600" i="1" s="1"/>
  <c r="M600" i="1"/>
  <c r="O599" i="1"/>
  <c r="P599" i="1" s="1"/>
  <c r="N599" i="1"/>
  <c r="M599" i="1"/>
  <c r="O598" i="1"/>
  <c r="N598" i="1"/>
  <c r="P598" i="1" s="1"/>
  <c r="M598" i="1"/>
  <c r="O597" i="1"/>
  <c r="P597" i="1" s="1"/>
  <c r="N597" i="1"/>
  <c r="M597" i="1"/>
  <c r="O596" i="1"/>
  <c r="P596" i="1" s="1"/>
  <c r="N596" i="1"/>
  <c r="M596" i="1"/>
  <c r="O595" i="1"/>
  <c r="P595" i="1" s="1"/>
  <c r="N595" i="1"/>
  <c r="M595" i="1"/>
  <c r="O594" i="1"/>
  <c r="P594" i="1" s="1"/>
  <c r="N594" i="1"/>
  <c r="M594" i="1"/>
  <c r="O593" i="1"/>
  <c r="P593" i="1" s="1"/>
  <c r="N593" i="1"/>
  <c r="M593" i="1"/>
  <c r="P592" i="1"/>
  <c r="O592" i="1"/>
  <c r="N592" i="1"/>
  <c r="M592" i="1"/>
  <c r="P591" i="1"/>
  <c r="O591" i="1"/>
  <c r="N591" i="1"/>
  <c r="M591" i="1"/>
  <c r="O590" i="1"/>
  <c r="N590" i="1"/>
  <c r="M590" i="1"/>
  <c r="P589" i="1"/>
  <c r="O589" i="1"/>
  <c r="N589" i="1"/>
  <c r="M589" i="1"/>
  <c r="O588" i="1"/>
  <c r="P588" i="1" s="1"/>
  <c r="N588" i="1"/>
  <c r="M588" i="1"/>
  <c r="P587" i="1"/>
  <c r="O587" i="1"/>
  <c r="N587" i="1"/>
  <c r="M587" i="1"/>
  <c r="O586" i="1"/>
  <c r="N586" i="1"/>
  <c r="P586" i="1" s="1"/>
  <c r="M586" i="1"/>
  <c r="P585" i="1"/>
  <c r="O585" i="1"/>
  <c r="N585" i="1"/>
  <c r="M585" i="1"/>
  <c r="P584" i="1"/>
  <c r="O584" i="1"/>
  <c r="N584" i="1"/>
  <c r="M584" i="1"/>
  <c r="O583" i="1"/>
  <c r="P583" i="1" s="1"/>
  <c r="N583" i="1"/>
  <c r="M583" i="1"/>
  <c r="O582" i="1"/>
  <c r="N582" i="1"/>
  <c r="P582" i="1" s="1"/>
  <c r="M582" i="1"/>
  <c r="O581" i="1"/>
  <c r="P581" i="1" s="1"/>
  <c r="N581" i="1"/>
  <c r="M581" i="1"/>
  <c r="O580" i="1"/>
  <c r="P580" i="1" s="1"/>
  <c r="N580" i="1"/>
  <c r="M580" i="1"/>
  <c r="O579" i="1"/>
  <c r="N579" i="1"/>
  <c r="M579" i="1"/>
  <c r="O578" i="1"/>
  <c r="N578" i="1"/>
  <c r="P578" i="1" s="1"/>
  <c r="M578" i="1"/>
  <c r="O577" i="1"/>
  <c r="P577" i="1" s="1"/>
  <c r="N577" i="1"/>
  <c r="M577" i="1"/>
  <c r="O576" i="1"/>
  <c r="P576" i="1" s="1"/>
  <c r="N576" i="1"/>
  <c r="M576" i="1"/>
  <c r="P575" i="1"/>
  <c r="O575" i="1"/>
  <c r="N575" i="1"/>
  <c r="M575" i="1"/>
  <c r="P574" i="1"/>
  <c r="O574" i="1"/>
  <c r="N574" i="1"/>
  <c r="M574" i="1"/>
  <c r="O573" i="1"/>
  <c r="P573" i="1" s="1"/>
  <c r="N573" i="1"/>
  <c r="M573" i="1"/>
  <c r="P572" i="1"/>
  <c r="O572" i="1"/>
  <c r="N572" i="1"/>
  <c r="M572" i="1"/>
  <c r="P571" i="1"/>
  <c r="O571" i="1"/>
  <c r="N571" i="1"/>
  <c r="M571" i="1"/>
  <c r="O570" i="1"/>
  <c r="N570" i="1"/>
  <c r="P570" i="1" s="1"/>
  <c r="M570" i="1"/>
  <c r="O569" i="1"/>
  <c r="P569" i="1" s="1"/>
  <c r="N569" i="1"/>
  <c r="M569" i="1"/>
  <c r="O568" i="1"/>
  <c r="N568" i="1"/>
  <c r="M568" i="1"/>
  <c r="P567" i="1"/>
  <c r="O567" i="1"/>
  <c r="N567" i="1"/>
  <c r="M567" i="1"/>
  <c r="P566" i="1"/>
  <c r="O566" i="1"/>
  <c r="N566" i="1"/>
  <c r="M566" i="1"/>
  <c r="P565" i="1"/>
  <c r="O565" i="1"/>
  <c r="N565" i="1"/>
  <c r="M565" i="1"/>
  <c r="O564" i="1"/>
  <c r="P564" i="1" s="1"/>
  <c r="N564" i="1"/>
  <c r="M564" i="1"/>
  <c r="P563" i="1"/>
  <c r="O563" i="1"/>
  <c r="N563" i="1"/>
  <c r="M563" i="1"/>
  <c r="P562" i="1"/>
  <c r="O562" i="1"/>
  <c r="N562" i="1"/>
  <c r="M562" i="1"/>
  <c r="O561" i="1"/>
  <c r="P561" i="1" s="1"/>
  <c r="N561" i="1"/>
  <c r="M561" i="1"/>
  <c r="O560" i="1"/>
  <c r="P560" i="1" s="1"/>
  <c r="N560" i="1"/>
  <c r="M560" i="1"/>
  <c r="O559" i="1"/>
  <c r="P559" i="1" s="1"/>
  <c r="N559" i="1"/>
  <c r="M559" i="1"/>
  <c r="O558" i="1"/>
  <c r="N558" i="1"/>
  <c r="P558" i="1" s="1"/>
  <c r="M558" i="1"/>
  <c r="O557" i="1"/>
  <c r="P557" i="1" s="1"/>
  <c r="N557" i="1"/>
  <c r="M557" i="1"/>
  <c r="O556" i="1"/>
  <c r="P556" i="1" s="1"/>
  <c r="N556" i="1"/>
  <c r="M556" i="1"/>
  <c r="O555" i="1"/>
  <c r="P555" i="1" s="1"/>
  <c r="N555" i="1"/>
  <c r="M555" i="1"/>
  <c r="O554" i="1"/>
  <c r="P554" i="1" s="1"/>
  <c r="N554" i="1"/>
  <c r="M554" i="1"/>
  <c r="P553" i="1"/>
  <c r="O553" i="1"/>
  <c r="N553" i="1"/>
  <c r="M553" i="1"/>
  <c r="O552" i="1"/>
  <c r="N552" i="1"/>
  <c r="M552" i="1"/>
  <c r="O551" i="1"/>
  <c r="P551" i="1" s="1"/>
  <c r="N551" i="1"/>
  <c r="M551" i="1"/>
  <c r="O550" i="1"/>
  <c r="P550" i="1" s="1"/>
  <c r="N550" i="1"/>
  <c r="M550" i="1"/>
  <c r="O549" i="1"/>
  <c r="P549" i="1" s="1"/>
  <c r="N549" i="1"/>
  <c r="M549" i="1"/>
  <c r="O548" i="1"/>
  <c r="P548" i="1" s="1"/>
  <c r="N548" i="1"/>
  <c r="M548" i="1"/>
  <c r="P547" i="1"/>
  <c r="O547" i="1"/>
  <c r="N547" i="1"/>
  <c r="M547" i="1"/>
  <c r="O546" i="1"/>
  <c r="P546" i="1" s="1"/>
  <c r="N546" i="1"/>
  <c r="M546" i="1"/>
  <c r="O545" i="1"/>
  <c r="P545" i="1" s="1"/>
  <c r="N545" i="1"/>
  <c r="M545" i="1"/>
  <c r="P544" i="1"/>
  <c r="O544" i="1"/>
  <c r="N544" i="1"/>
  <c r="M544" i="1"/>
  <c r="O543" i="1"/>
  <c r="P543" i="1" s="1"/>
  <c r="N543" i="1"/>
  <c r="M543" i="1"/>
  <c r="O542" i="1"/>
  <c r="N542" i="1"/>
  <c r="P542" i="1" s="1"/>
  <c r="M542" i="1"/>
  <c r="O541" i="1"/>
  <c r="N541" i="1"/>
  <c r="M541" i="1"/>
  <c r="O540" i="1"/>
  <c r="N540" i="1"/>
  <c r="M540" i="1"/>
  <c r="O539" i="1"/>
  <c r="P539" i="1" s="1"/>
  <c r="N539" i="1"/>
  <c r="M539" i="1"/>
  <c r="P538" i="1"/>
  <c r="O538" i="1"/>
  <c r="N538" i="1"/>
  <c r="M538" i="1"/>
  <c r="O537" i="1"/>
  <c r="P537" i="1" s="1"/>
  <c r="N537" i="1"/>
  <c r="M537" i="1"/>
  <c r="P536" i="1"/>
  <c r="O536" i="1"/>
  <c r="N536" i="1"/>
  <c r="M536" i="1"/>
  <c r="O535" i="1"/>
  <c r="P535" i="1" s="1"/>
  <c r="N535" i="1"/>
  <c r="M535" i="1"/>
  <c r="P534" i="1"/>
  <c r="O534" i="1"/>
  <c r="N534" i="1"/>
  <c r="M534" i="1"/>
  <c r="O533" i="1"/>
  <c r="P533" i="1" s="1"/>
  <c r="N533" i="1"/>
  <c r="M533" i="1"/>
  <c r="O532" i="1"/>
  <c r="P532" i="1" s="1"/>
  <c r="N532" i="1"/>
  <c r="M532" i="1"/>
  <c r="O531" i="1"/>
  <c r="P531" i="1" s="1"/>
  <c r="N531" i="1"/>
  <c r="M531" i="1"/>
  <c r="O530" i="1"/>
  <c r="P530" i="1" s="1"/>
  <c r="N530" i="1"/>
  <c r="M530" i="1"/>
  <c r="O529" i="1"/>
  <c r="P529" i="1" s="1"/>
  <c r="N529" i="1"/>
  <c r="M529" i="1"/>
  <c r="P528" i="1"/>
  <c r="O528" i="1"/>
  <c r="N528" i="1"/>
  <c r="M528" i="1"/>
  <c r="O527" i="1"/>
  <c r="P527" i="1" s="1"/>
  <c r="N527" i="1"/>
  <c r="M527" i="1"/>
  <c r="O526" i="1"/>
  <c r="P526" i="1" s="1"/>
  <c r="N526" i="1"/>
  <c r="M526" i="1"/>
  <c r="O525" i="1"/>
  <c r="P525" i="1" s="1"/>
  <c r="N525" i="1"/>
  <c r="M525" i="1"/>
  <c r="P524" i="1"/>
  <c r="O524" i="1"/>
  <c r="N524" i="1"/>
  <c r="M524" i="1"/>
  <c r="O523" i="1"/>
  <c r="P523" i="1" s="1"/>
  <c r="N523" i="1"/>
  <c r="M523" i="1"/>
  <c r="O522" i="1"/>
  <c r="P522" i="1" s="1"/>
  <c r="N522" i="1"/>
  <c r="M522" i="1"/>
  <c r="P521" i="1"/>
  <c r="O521" i="1"/>
  <c r="N521" i="1"/>
  <c r="M521" i="1"/>
  <c r="O520" i="1"/>
  <c r="P520" i="1" s="1"/>
  <c r="N520" i="1"/>
  <c r="M520" i="1"/>
  <c r="O519" i="1"/>
  <c r="P519" i="1" s="1"/>
  <c r="N519" i="1"/>
  <c r="M519" i="1"/>
  <c r="O518" i="1"/>
  <c r="P518" i="1" s="1"/>
  <c r="N518" i="1"/>
  <c r="M518" i="1"/>
  <c r="O517" i="1"/>
  <c r="P517" i="1" s="1"/>
  <c r="N517" i="1"/>
  <c r="M517" i="1"/>
  <c r="O516" i="1"/>
  <c r="P516" i="1" s="1"/>
  <c r="N516" i="1"/>
  <c r="M516" i="1"/>
  <c r="P515" i="1"/>
  <c r="O515" i="1"/>
  <c r="N515" i="1"/>
  <c r="M515" i="1"/>
  <c r="O514" i="1"/>
  <c r="P514" i="1" s="1"/>
  <c r="N514" i="1"/>
  <c r="M514" i="1"/>
  <c r="P513" i="1"/>
  <c r="O513" i="1"/>
  <c r="N513" i="1"/>
  <c r="M513" i="1"/>
  <c r="O512" i="1"/>
  <c r="P512" i="1" s="1"/>
  <c r="N512" i="1"/>
  <c r="M512" i="1"/>
  <c r="O511" i="1"/>
  <c r="P511" i="1" s="1"/>
  <c r="N511" i="1"/>
  <c r="M511" i="1"/>
  <c r="O510" i="1"/>
  <c r="P510" i="1" s="1"/>
  <c r="N510" i="1"/>
  <c r="M510" i="1"/>
  <c r="O509" i="1"/>
  <c r="P509" i="1" s="1"/>
  <c r="N509" i="1"/>
  <c r="M509" i="1"/>
  <c r="O508" i="1"/>
  <c r="N508" i="1"/>
  <c r="M508" i="1"/>
  <c r="O507" i="1"/>
  <c r="N507" i="1"/>
  <c r="M507" i="1"/>
  <c r="O506" i="1"/>
  <c r="P506" i="1" s="1"/>
  <c r="N506" i="1"/>
  <c r="M506" i="1"/>
  <c r="O505" i="1"/>
  <c r="P505" i="1" s="1"/>
  <c r="N505" i="1"/>
  <c r="M505" i="1"/>
  <c r="O504" i="1"/>
  <c r="P504" i="1" s="1"/>
  <c r="N504" i="1"/>
  <c r="M504" i="1"/>
  <c r="O503" i="1"/>
  <c r="P503" i="1" s="1"/>
  <c r="N503" i="1"/>
  <c r="M503" i="1"/>
  <c r="O502" i="1"/>
  <c r="P502" i="1" s="1"/>
  <c r="N502" i="1"/>
  <c r="M502" i="1"/>
  <c r="P501" i="1"/>
  <c r="O501" i="1"/>
  <c r="N501" i="1"/>
  <c r="M501" i="1"/>
  <c r="O500" i="1"/>
  <c r="P500" i="1" s="1"/>
  <c r="N500" i="1"/>
  <c r="M500" i="1"/>
  <c r="O499" i="1"/>
  <c r="P499" i="1" s="1"/>
  <c r="N499" i="1"/>
  <c r="M499" i="1"/>
  <c r="P498" i="1"/>
  <c r="O498" i="1"/>
  <c r="N498" i="1"/>
  <c r="M498" i="1"/>
  <c r="O497" i="1"/>
  <c r="N497" i="1"/>
  <c r="M497" i="1"/>
  <c r="O496" i="1"/>
  <c r="P496" i="1" s="1"/>
  <c r="N496" i="1"/>
  <c r="M496" i="1"/>
  <c r="O495" i="1"/>
  <c r="N495" i="1"/>
  <c r="P495" i="1" s="1"/>
  <c r="M495" i="1"/>
  <c r="O494" i="1"/>
  <c r="P494" i="1" s="1"/>
  <c r="N494" i="1"/>
  <c r="M494" i="1"/>
  <c r="O493" i="1"/>
  <c r="P493" i="1" s="1"/>
  <c r="N493" i="1"/>
  <c r="M493" i="1"/>
  <c r="P492" i="1"/>
  <c r="O492" i="1"/>
  <c r="N492" i="1"/>
  <c r="M492" i="1"/>
  <c r="O491" i="1"/>
  <c r="P491" i="1" s="1"/>
  <c r="N491" i="1"/>
  <c r="M491" i="1"/>
  <c r="O490" i="1"/>
  <c r="N490" i="1"/>
  <c r="P490" i="1" s="1"/>
  <c r="M490" i="1"/>
  <c r="P489" i="1"/>
  <c r="O489" i="1"/>
  <c r="N489" i="1"/>
  <c r="M489" i="1"/>
  <c r="O488" i="1"/>
  <c r="P488" i="1" s="1"/>
  <c r="N488" i="1"/>
  <c r="M488" i="1"/>
  <c r="O487" i="1"/>
  <c r="P487" i="1" s="1"/>
  <c r="N487" i="1"/>
  <c r="M487" i="1"/>
  <c r="O486" i="1"/>
  <c r="N486" i="1"/>
  <c r="M486" i="1"/>
  <c r="O485" i="1"/>
  <c r="N485" i="1"/>
  <c r="M485" i="1"/>
  <c r="O484" i="1"/>
  <c r="N484" i="1"/>
  <c r="P484" i="1" s="1"/>
  <c r="M484" i="1"/>
  <c r="P483" i="1"/>
  <c r="O483" i="1"/>
  <c r="N483" i="1"/>
  <c r="M483" i="1"/>
  <c r="O482" i="1"/>
  <c r="P482" i="1" s="1"/>
  <c r="N482" i="1"/>
  <c r="M482" i="1"/>
  <c r="O481" i="1"/>
  <c r="P481" i="1" s="1"/>
  <c r="N481" i="1"/>
  <c r="M481" i="1"/>
  <c r="O480" i="1"/>
  <c r="P480" i="1" s="1"/>
  <c r="N480" i="1"/>
  <c r="M480" i="1"/>
  <c r="O479" i="1"/>
  <c r="P479" i="1" s="1"/>
  <c r="N479" i="1"/>
  <c r="M479" i="1"/>
  <c r="O478" i="1"/>
  <c r="N478" i="1"/>
  <c r="P478" i="1" s="1"/>
  <c r="M478" i="1"/>
  <c r="O477" i="1"/>
  <c r="P477" i="1" s="1"/>
  <c r="N477" i="1"/>
  <c r="M477" i="1"/>
  <c r="O476" i="1"/>
  <c r="P476" i="1" s="1"/>
  <c r="N476" i="1"/>
  <c r="M476" i="1"/>
  <c r="O475" i="1"/>
  <c r="P475" i="1" s="1"/>
  <c r="N475" i="1"/>
  <c r="M475" i="1"/>
  <c r="O474" i="1"/>
  <c r="P474" i="1" s="1"/>
  <c r="N474" i="1"/>
  <c r="M474" i="1"/>
  <c r="O473" i="1"/>
  <c r="P473" i="1" s="1"/>
  <c r="N473" i="1"/>
  <c r="M473" i="1"/>
  <c r="O472" i="1"/>
  <c r="N472" i="1"/>
  <c r="P472" i="1" s="1"/>
  <c r="M472" i="1"/>
  <c r="O471" i="1"/>
  <c r="P471" i="1" s="1"/>
  <c r="N471" i="1"/>
  <c r="M471" i="1"/>
  <c r="O470" i="1"/>
  <c r="P470" i="1" s="1"/>
  <c r="N470" i="1"/>
  <c r="M470" i="1"/>
  <c r="P469" i="1"/>
  <c r="O469" i="1"/>
  <c r="N469" i="1"/>
  <c r="M469" i="1"/>
  <c r="O468" i="1"/>
  <c r="P468" i="1" s="1"/>
  <c r="N468" i="1"/>
  <c r="M468" i="1"/>
  <c r="O467" i="1"/>
  <c r="N467" i="1"/>
  <c r="P467" i="1" s="1"/>
  <c r="M467" i="1"/>
  <c r="P466" i="1"/>
  <c r="O466" i="1"/>
  <c r="N466" i="1"/>
  <c r="M466" i="1"/>
  <c r="O465" i="1"/>
  <c r="P465" i="1" s="1"/>
  <c r="N465" i="1"/>
  <c r="M465" i="1"/>
  <c r="O464" i="1"/>
  <c r="N464" i="1"/>
  <c r="M464" i="1"/>
  <c r="O463" i="1"/>
  <c r="N463" i="1"/>
  <c r="M463" i="1"/>
  <c r="O462" i="1"/>
  <c r="P462" i="1" s="1"/>
  <c r="N462" i="1"/>
  <c r="M462" i="1"/>
  <c r="O461" i="1"/>
  <c r="N461" i="1"/>
  <c r="P461" i="1" s="1"/>
  <c r="M461" i="1"/>
  <c r="P460" i="1"/>
  <c r="O460" i="1"/>
  <c r="N460" i="1"/>
  <c r="M460" i="1"/>
  <c r="O459" i="1"/>
  <c r="P459" i="1" s="1"/>
  <c r="N459" i="1"/>
  <c r="M459" i="1"/>
  <c r="O458" i="1"/>
  <c r="P458" i="1" s="1"/>
  <c r="N458" i="1"/>
  <c r="M458" i="1"/>
  <c r="O457" i="1"/>
  <c r="P457" i="1" s="1"/>
  <c r="N457" i="1"/>
  <c r="M457" i="1"/>
  <c r="O456" i="1"/>
  <c r="P456" i="1" s="1"/>
  <c r="N456" i="1"/>
  <c r="M456" i="1"/>
  <c r="O455" i="1"/>
  <c r="N455" i="1"/>
  <c r="P455" i="1" s="1"/>
  <c r="M455" i="1"/>
  <c r="O454" i="1"/>
  <c r="P454" i="1" s="1"/>
  <c r="N454" i="1"/>
  <c r="M454" i="1"/>
  <c r="O453" i="1"/>
  <c r="N453" i="1"/>
  <c r="M453" i="1"/>
  <c r="O452" i="1"/>
  <c r="N452" i="1"/>
  <c r="M452" i="1"/>
  <c r="O451" i="1"/>
  <c r="P451" i="1" s="1"/>
  <c r="N451" i="1"/>
  <c r="M451" i="1"/>
  <c r="O450" i="1"/>
  <c r="P450" i="1" s="1"/>
  <c r="N450" i="1"/>
  <c r="M450" i="1"/>
  <c r="O449" i="1"/>
  <c r="N449" i="1"/>
  <c r="P449" i="1" s="1"/>
  <c r="M449" i="1"/>
  <c r="O448" i="1"/>
  <c r="P448" i="1" s="1"/>
  <c r="N448" i="1"/>
  <c r="M448" i="1"/>
  <c r="O447" i="1"/>
  <c r="P447" i="1" s="1"/>
  <c r="N447" i="1"/>
  <c r="M447" i="1"/>
  <c r="P446" i="1"/>
  <c r="O446" i="1"/>
  <c r="N446" i="1"/>
  <c r="M446" i="1"/>
  <c r="O445" i="1"/>
  <c r="P445" i="1" s="1"/>
  <c r="N445" i="1"/>
  <c r="M445" i="1"/>
  <c r="O444" i="1"/>
  <c r="N444" i="1"/>
  <c r="P444" i="1" s="1"/>
  <c r="M444" i="1"/>
  <c r="P443" i="1"/>
  <c r="O443" i="1"/>
  <c r="N443" i="1"/>
  <c r="M443" i="1"/>
  <c r="O442" i="1"/>
  <c r="N442" i="1"/>
  <c r="M442" i="1"/>
  <c r="O441" i="1"/>
  <c r="P441" i="1" s="1"/>
  <c r="N441" i="1"/>
  <c r="M441" i="1"/>
  <c r="P440" i="1"/>
  <c r="O440" i="1"/>
  <c r="N440" i="1"/>
  <c r="M440" i="1"/>
  <c r="O439" i="1"/>
  <c r="P439" i="1" s="1"/>
  <c r="N439" i="1"/>
  <c r="M439" i="1"/>
  <c r="O438" i="1"/>
  <c r="N438" i="1"/>
  <c r="P438" i="1" s="1"/>
  <c r="M438" i="1"/>
  <c r="P437" i="1"/>
  <c r="O437" i="1"/>
  <c r="N437" i="1"/>
  <c r="M437" i="1"/>
  <c r="O436" i="1"/>
  <c r="P436" i="1" s="1"/>
  <c r="N436" i="1"/>
  <c r="M436" i="1"/>
  <c r="O435" i="1"/>
  <c r="P435" i="1" s="1"/>
  <c r="N435" i="1"/>
  <c r="M435" i="1"/>
  <c r="O434" i="1"/>
  <c r="P434" i="1" s="1"/>
  <c r="N434" i="1"/>
  <c r="M434" i="1"/>
  <c r="O433" i="1"/>
  <c r="P433" i="1" s="1"/>
  <c r="N433" i="1"/>
  <c r="M433" i="1"/>
  <c r="O432" i="1"/>
  <c r="N432" i="1"/>
  <c r="P432" i="1" s="1"/>
  <c r="M432" i="1"/>
  <c r="O431" i="1"/>
  <c r="N431" i="1"/>
  <c r="M431" i="1"/>
  <c r="O430" i="1"/>
  <c r="P430" i="1" s="1"/>
  <c r="N430" i="1"/>
  <c r="M430" i="1"/>
  <c r="O429" i="1"/>
  <c r="P429" i="1" s="1"/>
  <c r="N429" i="1"/>
  <c r="M429" i="1"/>
  <c r="O428" i="1"/>
  <c r="P428" i="1" s="1"/>
  <c r="N428" i="1"/>
  <c r="M428" i="1"/>
  <c r="O427" i="1"/>
  <c r="P427" i="1" s="1"/>
  <c r="N427" i="1"/>
  <c r="M427" i="1"/>
  <c r="P426" i="1"/>
  <c r="O426" i="1"/>
  <c r="N426" i="1"/>
  <c r="M426" i="1"/>
  <c r="O425" i="1"/>
  <c r="P425" i="1" s="1"/>
  <c r="N425" i="1"/>
  <c r="M425" i="1"/>
  <c r="O424" i="1"/>
  <c r="P424" i="1" s="1"/>
  <c r="N424" i="1"/>
  <c r="M424" i="1"/>
  <c r="P423" i="1"/>
  <c r="O423" i="1"/>
  <c r="N423" i="1"/>
  <c r="M423" i="1"/>
  <c r="O422" i="1"/>
  <c r="P422" i="1" s="1"/>
  <c r="N422" i="1"/>
  <c r="M422" i="1"/>
  <c r="O421" i="1"/>
  <c r="N421" i="1"/>
  <c r="P421" i="1" s="1"/>
  <c r="M421" i="1"/>
  <c r="O420" i="1"/>
  <c r="P420" i="1" s="1"/>
  <c r="N420" i="1"/>
  <c r="M420" i="1"/>
  <c r="O419" i="1"/>
  <c r="P419" i="1" s="1"/>
  <c r="N419" i="1"/>
  <c r="M419" i="1"/>
  <c r="O418" i="1"/>
  <c r="P418" i="1" s="1"/>
  <c r="N418" i="1"/>
  <c r="M418" i="1"/>
  <c r="P417" i="1"/>
  <c r="O417" i="1"/>
  <c r="N417" i="1"/>
  <c r="M417" i="1"/>
  <c r="O416" i="1"/>
  <c r="P416" i="1" s="1"/>
  <c r="N416" i="1"/>
  <c r="M416" i="1"/>
  <c r="P415" i="1"/>
  <c r="O415" i="1"/>
  <c r="N415" i="1"/>
  <c r="M415" i="1"/>
  <c r="P414" i="1"/>
  <c r="O414" i="1"/>
  <c r="N414" i="1"/>
  <c r="M414" i="1"/>
  <c r="O413" i="1"/>
  <c r="P413" i="1" s="1"/>
  <c r="N413" i="1"/>
  <c r="M413" i="1"/>
  <c r="O412" i="1"/>
  <c r="P412" i="1" s="1"/>
  <c r="N412" i="1"/>
  <c r="M412" i="1"/>
  <c r="O411" i="1"/>
  <c r="P411" i="1" s="1"/>
  <c r="N411" i="1"/>
  <c r="M411" i="1"/>
  <c r="O410" i="1"/>
  <c r="P410" i="1" s="1"/>
  <c r="N410" i="1"/>
  <c r="M410" i="1"/>
  <c r="O409" i="1"/>
  <c r="P409" i="1" s="1"/>
  <c r="N409" i="1"/>
  <c r="M409" i="1"/>
  <c r="O408" i="1"/>
  <c r="P408" i="1" s="1"/>
  <c r="N408" i="1"/>
  <c r="M408" i="1"/>
  <c r="O407" i="1"/>
  <c r="P407" i="1" s="1"/>
  <c r="N407" i="1"/>
  <c r="M407" i="1"/>
  <c r="O406" i="1"/>
  <c r="P406" i="1" s="1"/>
  <c r="N406" i="1"/>
  <c r="M406" i="1"/>
  <c r="O405" i="1"/>
  <c r="P405" i="1" s="1"/>
  <c r="N405" i="1"/>
  <c r="M405" i="1"/>
  <c r="O404" i="1"/>
  <c r="P404" i="1" s="1"/>
  <c r="N404" i="1"/>
  <c r="M404" i="1"/>
  <c r="P403" i="1"/>
  <c r="O403" i="1"/>
  <c r="N403" i="1"/>
  <c r="M403" i="1"/>
  <c r="O402" i="1"/>
  <c r="P402" i="1" s="1"/>
  <c r="N402" i="1"/>
  <c r="M402" i="1"/>
  <c r="O401" i="1"/>
  <c r="P401" i="1" s="1"/>
  <c r="N401" i="1"/>
  <c r="M401" i="1"/>
  <c r="P400" i="1"/>
  <c r="O400" i="1"/>
  <c r="N400" i="1"/>
  <c r="M400" i="1"/>
  <c r="O399" i="1"/>
  <c r="P399" i="1" s="1"/>
  <c r="N399" i="1"/>
  <c r="M399" i="1"/>
  <c r="O398" i="1"/>
  <c r="N398" i="1"/>
  <c r="P398" i="1" s="1"/>
  <c r="M398" i="1"/>
  <c r="O397" i="1"/>
  <c r="P397" i="1" s="1"/>
  <c r="N397" i="1"/>
  <c r="M397" i="1"/>
  <c r="P396" i="1"/>
  <c r="O396" i="1"/>
  <c r="N396" i="1"/>
  <c r="M396" i="1"/>
  <c r="P395" i="1"/>
  <c r="O395" i="1"/>
  <c r="N395" i="1"/>
  <c r="M395" i="1"/>
  <c r="O394" i="1"/>
  <c r="P394" i="1" s="1"/>
  <c r="N394" i="1"/>
  <c r="M394" i="1"/>
  <c r="O393" i="1"/>
  <c r="P393" i="1" s="1"/>
  <c r="N393" i="1"/>
  <c r="M393" i="1"/>
  <c r="O392" i="1"/>
  <c r="P392" i="1" s="1"/>
  <c r="N392" i="1"/>
  <c r="M392" i="1"/>
  <c r="O391" i="1"/>
  <c r="N391" i="1"/>
  <c r="P391" i="1" s="1"/>
  <c r="M391" i="1"/>
  <c r="O390" i="1"/>
  <c r="N390" i="1"/>
  <c r="P390" i="1" s="1"/>
  <c r="M390" i="1"/>
  <c r="O389" i="1"/>
  <c r="P389" i="1" s="1"/>
  <c r="N389" i="1"/>
  <c r="M389" i="1"/>
  <c r="O388" i="1"/>
  <c r="N388" i="1"/>
  <c r="P388" i="1" s="1"/>
  <c r="M388" i="1"/>
  <c r="P387" i="1"/>
  <c r="O387" i="1"/>
  <c r="N387" i="1"/>
  <c r="M387" i="1"/>
  <c r="O386" i="1"/>
  <c r="N386" i="1"/>
  <c r="M386" i="1"/>
  <c r="O385" i="1"/>
  <c r="P385" i="1" s="1"/>
  <c r="N385" i="1"/>
  <c r="M385" i="1"/>
  <c r="O384" i="1"/>
  <c r="P384" i="1" s="1"/>
  <c r="N384" i="1"/>
  <c r="M384" i="1"/>
  <c r="P383" i="1"/>
  <c r="O383" i="1"/>
  <c r="N383" i="1"/>
  <c r="M383" i="1"/>
  <c r="O382" i="1"/>
  <c r="P382" i="1" s="1"/>
  <c r="N382" i="1"/>
  <c r="M382" i="1"/>
  <c r="P381" i="1"/>
  <c r="O381" i="1"/>
  <c r="N381" i="1"/>
  <c r="M381" i="1"/>
  <c r="P380" i="1"/>
  <c r="O380" i="1"/>
  <c r="N380" i="1"/>
  <c r="M380" i="1"/>
  <c r="O379" i="1"/>
  <c r="P379" i="1" s="1"/>
  <c r="N379" i="1"/>
  <c r="M379" i="1"/>
  <c r="O378" i="1"/>
  <c r="P378" i="1" s="1"/>
  <c r="N378" i="1"/>
  <c r="M378" i="1"/>
  <c r="O377" i="1"/>
  <c r="P377" i="1" s="1"/>
  <c r="N377" i="1"/>
  <c r="M377" i="1"/>
  <c r="O376" i="1"/>
  <c r="P376" i="1" s="1"/>
  <c r="N376" i="1"/>
  <c r="M376" i="1"/>
  <c r="O375" i="1"/>
  <c r="P375" i="1" s="1"/>
  <c r="N375" i="1"/>
  <c r="M375" i="1"/>
  <c r="O374" i="1"/>
  <c r="N374" i="1"/>
  <c r="P374" i="1" s="1"/>
  <c r="M374" i="1"/>
  <c r="O373" i="1"/>
  <c r="N373" i="1"/>
  <c r="P373" i="1" s="1"/>
  <c r="M373" i="1"/>
  <c r="O372" i="1"/>
  <c r="P372" i="1" s="1"/>
  <c r="N372" i="1"/>
  <c r="M372" i="1"/>
  <c r="O371" i="1"/>
  <c r="N371" i="1"/>
  <c r="P371" i="1" s="1"/>
  <c r="M371" i="1"/>
  <c r="P370" i="1"/>
  <c r="O370" i="1"/>
  <c r="N370" i="1"/>
  <c r="M370" i="1"/>
  <c r="O369" i="1"/>
  <c r="P369" i="1" s="1"/>
  <c r="N369" i="1"/>
  <c r="M369" i="1"/>
  <c r="P368" i="1"/>
  <c r="O368" i="1"/>
  <c r="N368" i="1"/>
  <c r="M368" i="1"/>
  <c r="P367" i="1"/>
  <c r="O367" i="1"/>
  <c r="N367" i="1"/>
  <c r="M367" i="1"/>
  <c r="O366" i="1"/>
  <c r="P366" i="1" s="1"/>
  <c r="N366" i="1"/>
  <c r="M366" i="1"/>
  <c r="O365" i="1"/>
  <c r="P365" i="1" s="1"/>
  <c r="N365" i="1"/>
  <c r="M365" i="1"/>
  <c r="O364" i="1"/>
  <c r="N364" i="1"/>
  <c r="M364" i="1"/>
  <c r="P363" i="1"/>
  <c r="O363" i="1"/>
  <c r="N363" i="1"/>
  <c r="M363" i="1"/>
  <c r="O362" i="1"/>
  <c r="P362" i="1" s="1"/>
  <c r="N362" i="1"/>
  <c r="M362" i="1"/>
  <c r="O361" i="1"/>
  <c r="P361" i="1" s="1"/>
  <c r="N361" i="1"/>
  <c r="M361" i="1"/>
  <c r="O360" i="1"/>
  <c r="P360" i="1" s="1"/>
  <c r="N360" i="1"/>
  <c r="M360" i="1"/>
  <c r="O359" i="1"/>
  <c r="P359" i="1" s="1"/>
  <c r="N359" i="1"/>
  <c r="M359" i="1"/>
  <c r="O358" i="1"/>
  <c r="N358" i="1"/>
  <c r="P358" i="1" s="1"/>
  <c r="M358" i="1"/>
  <c r="O357" i="1"/>
  <c r="P357" i="1" s="1"/>
  <c r="N357" i="1"/>
  <c r="M357" i="1"/>
  <c r="O356" i="1"/>
  <c r="P356" i="1" s="1"/>
  <c r="N356" i="1"/>
  <c r="M356" i="1"/>
  <c r="P355" i="1"/>
  <c r="O355" i="1"/>
  <c r="N355" i="1"/>
  <c r="M355" i="1"/>
  <c r="O354" i="1"/>
  <c r="P354" i="1" s="1"/>
  <c r="N354" i="1"/>
  <c r="M354" i="1"/>
  <c r="O353" i="1"/>
  <c r="P353" i="1" s="1"/>
  <c r="N353" i="1"/>
  <c r="M353" i="1"/>
  <c r="O352" i="1"/>
  <c r="P352" i="1" s="1"/>
  <c r="N352" i="1"/>
  <c r="M352" i="1"/>
  <c r="P351" i="1"/>
  <c r="O351" i="1"/>
  <c r="N351" i="1"/>
  <c r="M351" i="1"/>
  <c r="P350" i="1"/>
  <c r="O350" i="1"/>
  <c r="N350" i="1"/>
  <c r="M350" i="1"/>
  <c r="O349" i="1"/>
  <c r="P349" i="1" s="1"/>
  <c r="N349" i="1"/>
  <c r="M349" i="1"/>
  <c r="O348" i="1"/>
  <c r="P348" i="1" s="1"/>
  <c r="N348" i="1"/>
  <c r="M348" i="1"/>
  <c r="O347" i="1"/>
  <c r="P347" i="1" s="1"/>
  <c r="N347" i="1"/>
  <c r="M347" i="1"/>
  <c r="O346" i="1"/>
  <c r="N346" i="1"/>
  <c r="P346" i="1" s="1"/>
  <c r="M346" i="1"/>
  <c r="O345" i="1"/>
  <c r="N345" i="1"/>
  <c r="P345" i="1" s="1"/>
  <c r="M345" i="1"/>
  <c r="O344" i="1"/>
  <c r="P344" i="1" s="1"/>
  <c r="N344" i="1"/>
  <c r="M344" i="1"/>
  <c r="O343" i="1"/>
  <c r="N343" i="1"/>
  <c r="P343" i="1" s="1"/>
  <c r="M343" i="1"/>
  <c r="O342" i="1"/>
  <c r="P342" i="1" s="1"/>
  <c r="N342" i="1"/>
  <c r="M342" i="1"/>
  <c r="O341" i="1"/>
  <c r="N341" i="1"/>
  <c r="P341" i="1" s="1"/>
  <c r="M341" i="1"/>
  <c r="O340" i="1"/>
  <c r="P340" i="1" s="1"/>
  <c r="N340" i="1"/>
  <c r="M340" i="1"/>
  <c r="O339" i="1"/>
  <c r="P339" i="1" s="1"/>
  <c r="N339" i="1"/>
  <c r="M339" i="1"/>
  <c r="P338" i="1"/>
  <c r="O338" i="1"/>
  <c r="N338" i="1"/>
  <c r="M338" i="1"/>
  <c r="O337" i="1"/>
  <c r="P337" i="1" s="1"/>
  <c r="N337" i="1"/>
  <c r="M337" i="1"/>
  <c r="O336" i="1"/>
  <c r="N336" i="1"/>
  <c r="P336" i="1" s="1"/>
  <c r="M336" i="1"/>
  <c r="P335" i="1"/>
  <c r="O335" i="1"/>
  <c r="N335" i="1"/>
  <c r="M335" i="1"/>
  <c r="O334" i="1"/>
  <c r="P334" i="1" s="1"/>
  <c r="N334" i="1"/>
  <c r="M334" i="1"/>
  <c r="O333" i="1"/>
  <c r="P333" i="1" s="1"/>
  <c r="N333" i="1"/>
  <c r="M333" i="1"/>
  <c r="O332" i="1"/>
  <c r="P332" i="1" s="1"/>
  <c r="N332" i="1"/>
  <c r="M332" i="1"/>
  <c r="O331" i="1"/>
  <c r="N331" i="1"/>
  <c r="M331" i="1"/>
  <c r="O330" i="1"/>
  <c r="P330" i="1" s="1"/>
  <c r="N330" i="1"/>
  <c r="M330" i="1"/>
  <c r="O329" i="1"/>
  <c r="N329" i="1"/>
  <c r="P329" i="1" s="1"/>
  <c r="M329" i="1"/>
  <c r="O328" i="1"/>
  <c r="N328" i="1"/>
  <c r="P328" i="1" s="1"/>
  <c r="M328" i="1"/>
  <c r="O327" i="1"/>
  <c r="P327" i="1" s="1"/>
  <c r="N327" i="1"/>
  <c r="M327" i="1"/>
  <c r="P326" i="1"/>
  <c r="O326" i="1"/>
  <c r="N326" i="1"/>
  <c r="M326" i="1"/>
  <c r="P325" i="1"/>
  <c r="O325" i="1"/>
  <c r="N325" i="1"/>
  <c r="M325" i="1"/>
  <c r="O324" i="1"/>
  <c r="P324" i="1" s="1"/>
  <c r="N324" i="1"/>
  <c r="M324" i="1"/>
  <c r="P323" i="1"/>
  <c r="O323" i="1"/>
  <c r="N323" i="1"/>
  <c r="M323" i="1"/>
  <c r="P322" i="1"/>
  <c r="O322" i="1"/>
  <c r="N322" i="1"/>
  <c r="M322" i="1"/>
  <c r="O321" i="1"/>
  <c r="P321" i="1" s="1"/>
  <c r="N321" i="1"/>
  <c r="M321" i="1"/>
  <c r="O320" i="1"/>
  <c r="N320" i="1"/>
  <c r="M320" i="1"/>
  <c r="O319" i="1"/>
  <c r="N319" i="1"/>
  <c r="P319" i="1" s="1"/>
  <c r="M319" i="1"/>
  <c r="P318" i="1"/>
  <c r="O318" i="1"/>
  <c r="N318" i="1"/>
  <c r="M318" i="1"/>
  <c r="O317" i="1"/>
  <c r="P317" i="1" s="1"/>
  <c r="N317" i="1"/>
  <c r="M317" i="1"/>
  <c r="O316" i="1"/>
  <c r="P316" i="1" s="1"/>
  <c r="N316" i="1"/>
  <c r="M316" i="1"/>
  <c r="O315" i="1"/>
  <c r="P315" i="1" s="1"/>
  <c r="N315" i="1"/>
  <c r="M315" i="1"/>
  <c r="O314" i="1"/>
  <c r="P314" i="1" s="1"/>
  <c r="N314" i="1"/>
  <c r="M314" i="1"/>
  <c r="O313" i="1"/>
  <c r="N313" i="1"/>
  <c r="P313" i="1" s="1"/>
  <c r="M313" i="1"/>
  <c r="O312" i="1"/>
  <c r="P312" i="1" s="1"/>
  <c r="N312" i="1"/>
  <c r="M312" i="1"/>
  <c r="O311" i="1"/>
  <c r="P311" i="1" s="1"/>
  <c r="N311" i="1"/>
  <c r="M311" i="1"/>
  <c r="P310" i="1"/>
  <c r="O310" i="1"/>
  <c r="N310" i="1"/>
  <c r="M310" i="1"/>
  <c r="O309" i="1"/>
  <c r="N309" i="1"/>
  <c r="M309" i="1"/>
  <c r="P308" i="1"/>
  <c r="O308" i="1"/>
  <c r="N308" i="1"/>
  <c r="M308" i="1"/>
  <c r="O307" i="1"/>
  <c r="P307" i="1" s="1"/>
  <c r="N307" i="1"/>
  <c r="M307" i="1"/>
  <c r="O306" i="1"/>
  <c r="N306" i="1"/>
  <c r="P306" i="1" s="1"/>
  <c r="M306" i="1"/>
  <c r="P305" i="1"/>
  <c r="O305" i="1"/>
  <c r="N305" i="1"/>
  <c r="M305" i="1"/>
  <c r="O304" i="1"/>
  <c r="P304" i="1" s="1"/>
  <c r="N304" i="1"/>
  <c r="M304" i="1"/>
  <c r="O303" i="1"/>
  <c r="P303" i="1" s="1"/>
  <c r="N303" i="1"/>
  <c r="M303" i="1"/>
  <c r="O302" i="1"/>
  <c r="P302" i="1" s="1"/>
  <c r="N302" i="1"/>
  <c r="M302" i="1"/>
  <c r="O301" i="1"/>
  <c r="N301" i="1"/>
  <c r="P301" i="1" s="1"/>
  <c r="M301" i="1"/>
  <c r="O300" i="1"/>
  <c r="N300" i="1"/>
  <c r="P300" i="1" s="1"/>
  <c r="M300" i="1"/>
  <c r="O299" i="1"/>
  <c r="P299" i="1" s="1"/>
  <c r="N299" i="1"/>
  <c r="M299" i="1"/>
  <c r="O298" i="1"/>
  <c r="P298" i="1" s="1"/>
  <c r="N298" i="1"/>
  <c r="M298" i="1"/>
  <c r="O297" i="1"/>
  <c r="P297" i="1" s="1"/>
  <c r="N297" i="1"/>
  <c r="M297" i="1"/>
  <c r="O296" i="1"/>
  <c r="N296" i="1"/>
  <c r="P296" i="1" s="1"/>
  <c r="M296" i="1"/>
  <c r="O295" i="1"/>
  <c r="P295" i="1" s="1"/>
  <c r="N295" i="1"/>
  <c r="M295" i="1"/>
  <c r="O294" i="1"/>
  <c r="P294" i="1" s="1"/>
  <c r="N294" i="1"/>
  <c r="M294" i="1"/>
  <c r="P293" i="1"/>
  <c r="O293" i="1"/>
  <c r="N293" i="1"/>
  <c r="M293" i="1"/>
  <c r="O292" i="1"/>
  <c r="P292" i="1" s="1"/>
  <c r="N292" i="1"/>
  <c r="M292" i="1"/>
  <c r="O291" i="1"/>
  <c r="N291" i="1"/>
  <c r="P291" i="1" s="1"/>
  <c r="M291" i="1"/>
  <c r="P290" i="1"/>
  <c r="O290" i="1"/>
  <c r="N290" i="1"/>
  <c r="M290" i="1"/>
  <c r="O289" i="1"/>
  <c r="P289" i="1" s="1"/>
  <c r="N289" i="1"/>
  <c r="M289" i="1"/>
  <c r="O288" i="1"/>
  <c r="P288" i="1" s="1"/>
  <c r="N288" i="1"/>
  <c r="M288" i="1"/>
  <c r="O287" i="1"/>
  <c r="N287" i="1"/>
  <c r="M287" i="1"/>
  <c r="O286" i="1"/>
  <c r="P286" i="1" s="1"/>
  <c r="N286" i="1"/>
  <c r="M286" i="1"/>
  <c r="O285" i="1"/>
  <c r="P285" i="1" s="1"/>
  <c r="N285" i="1"/>
  <c r="M285" i="1"/>
  <c r="O284" i="1"/>
  <c r="N284" i="1"/>
  <c r="P284" i="1" s="1"/>
  <c r="M284" i="1"/>
  <c r="O283" i="1"/>
  <c r="N283" i="1"/>
  <c r="P283" i="1" s="1"/>
  <c r="M283" i="1"/>
  <c r="O282" i="1"/>
  <c r="P282" i="1" s="1"/>
  <c r="N282" i="1"/>
  <c r="M282" i="1"/>
  <c r="O281" i="1"/>
  <c r="N281" i="1"/>
  <c r="P281" i="1" s="1"/>
  <c r="M281" i="1"/>
  <c r="P280" i="1"/>
  <c r="O280" i="1"/>
  <c r="N280" i="1"/>
  <c r="M280" i="1"/>
  <c r="O279" i="1"/>
  <c r="P279" i="1" s="1"/>
  <c r="N279" i="1"/>
  <c r="M279" i="1"/>
  <c r="O278" i="1"/>
  <c r="N278" i="1"/>
  <c r="P278" i="1" s="1"/>
  <c r="M278" i="1"/>
  <c r="P277" i="1"/>
  <c r="O277" i="1"/>
  <c r="N277" i="1"/>
  <c r="M277" i="1"/>
  <c r="O276" i="1"/>
  <c r="N276" i="1"/>
  <c r="M276" i="1"/>
  <c r="O275" i="1"/>
  <c r="P275" i="1" s="1"/>
  <c r="N275" i="1"/>
  <c r="M275" i="1"/>
  <c r="O274" i="1"/>
  <c r="N274" i="1"/>
  <c r="P274" i="1" s="1"/>
  <c r="M274" i="1"/>
  <c r="P273" i="1"/>
  <c r="O273" i="1"/>
  <c r="N273" i="1"/>
  <c r="M273" i="1"/>
  <c r="O272" i="1"/>
  <c r="P272" i="1" s="1"/>
  <c r="N272" i="1"/>
  <c r="M272" i="1"/>
  <c r="O271" i="1"/>
  <c r="P271" i="1" s="1"/>
  <c r="N271" i="1"/>
  <c r="M271" i="1"/>
  <c r="O270" i="1"/>
  <c r="P270" i="1" s="1"/>
  <c r="N270" i="1"/>
  <c r="M270" i="1"/>
  <c r="O269" i="1"/>
  <c r="P269" i="1" s="1"/>
  <c r="N269" i="1"/>
  <c r="M269" i="1"/>
  <c r="O268" i="1"/>
  <c r="N268" i="1"/>
  <c r="P268" i="1" s="1"/>
  <c r="M268" i="1"/>
  <c r="O267" i="1"/>
  <c r="P267" i="1" s="1"/>
  <c r="N267" i="1"/>
  <c r="M267" i="1"/>
  <c r="O266" i="1"/>
  <c r="P266" i="1" s="1"/>
  <c r="N266" i="1"/>
  <c r="M266" i="1"/>
  <c r="O265" i="1"/>
  <c r="P265" i="1" s="1"/>
  <c r="N265" i="1"/>
  <c r="M265" i="1"/>
  <c r="O264" i="1"/>
  <c r="N264" i="1"/>
  <c r="P264" i="1" s="1"/>
  <c r="M264" i="1"/>
  <c r="P263" i="1"/>
  <c r="O263" i="1"/>
  <c r="N263" i="1"/>
  <c r="M263" i="1"/>
  <c r="O262" i="1"/>
  <c r="P262" i="1" s="1"/>
  <c r="N262" i="1"/>
  <c r="M262" i="1"/>
  <c r="O261" i="1"/>
  <c r="N261" i="1"/>
  <c r="P261" i="1" s="1"/>
  <c r="M261" i="1"/>
  <c r="P260" i="1"/>
  <c r="O260" i="1"/>
  <c r="N260" i="1"/>
  <c r="M260" i="1"/>
  <c r="O259" i="1"/>
  <c r="P259" i="1" s="1"/>
  <c r="N259" i="1"/>
  <c r="M259" i="1"/>
  <c r="O258" i="1"/>
  <c r="P258" i="1" s="1"/>
  <c r="N258" i="1"/>
  <c r="M258" i="1"/>
  <c r="O257" i="1"/>
  <c r="P257" i="1" s="1"/>
  <c r="N257" i="1"/>
  <c r="M257" i="1"/>
  <c r="O256" i="1"/>
  <c r="N256" i="1"/>
  <c r="P256" i="1" s="1"/>
  <c r="M256" i="1"/>
  <c r="O255" i="1"/>
  <c r="N255" i="1"/>
  <c r="P255" i="1" s="1"/>
  <c r="M255" i="1"/>
  <c r="O254" i="1"/>
  <c r="N254" i="1"/>
  <c r="M254" i="1"/>
  <c r="O253" i="1"/>
  <c r="P253" i="1" s="1"/>
  <c r="N253" i="1"/>
  <c r="M253" i="1"/>
  <c r="O252" i="1"/>
  <c r="P252" i="1" s="1"/>
  <c r="N252" i="1"/>
  <c r="M252" i="1"/>
  <c r="O251" i="1"/>
  <c r="N251" i="1"/>
  <c r="P251" i="1" s="1"/>
  <c r="M251" i="1"/>
  <c r="O250" i="1"/>
  <c r="P250" i="1" s="1"/>
  <c r="N250" i="1"/>
  <c r="M250" i="1"/>
  <c r="O249" i="1"/>
  <c r="P249" i="1" s="1"/>
  <c r="N249" i="1"/>
  <c r="M249" i="1"/>
  <c r="P248" i="1"/>
  <c r="O248" i="1"/>
  <c r="N248" i="1"/>
  <c r="M248" i="1"/>
  <c r="O247" i="1"/>
  <c r="P247" i="1" s="1"/>
  <c r="N247" i="1"/>
  <c r="M247" i="1"/>
  <c r="O246" i="1"/>
  <c r="N246" i="1"/>
  <c r="P246" i="1" s="1"/>
  <c r="M246" i="1"/>
  <c r="P245" i="1"/>
  <c r="O245" i="1"/>
  <c r="N245" i="1"/>
  <c r="M245" i="1"/>
  <c r="O244" i="1"/>
  <c r="P244" i="1" s="1"/>
  <c r="N244" i="1"/>
  <c r="M244" i="1"/>
  <c r="O243" i="1"/>
  <c r="N243" i="1"/>
  <c r="M243" i="1"/>
  <c r="O242" i="1"/>
  <c r="P242" i="1" s="1"/>
  <c r="N242" i="1"/>
  <c r="M242" i="1"/>
  <c r="O241" i="1"/>
  <c r="P241" i="1" s="1"/>
  <c r="N241" i="1"/>
  <c r="M241" i="1"/>
  <c r="O240" i="1"/>
  <c r="P240" i="1" s="1"/>
  <c r="N240" i="1"/>
  <c r="M240" i="1"/>
  <c r="O239" i="1"/>
  <c r="N239" i="1"/>
  <c r="P239" i="1" s="1"/>
  <c r="M239" i="1"/>
  <c r="P238" i="1"/>
  <c r="O238" i="1"/>
  <c r="N238" i="1"/>
  <c r="M238" i="1"/>
  <c r="O237" i="1"/>
  <c r="P237" i="1" s="1"/>
  <c r="N237" i="1"/>
  <c r="M237" i="1"/>
  <c r="O236" i="1"/>
  <c r="N236" i="1"/>
  <c r="P236" i="1" s="1"/>
  <c r="M236" i="1"/>
  <c r="P235" i="1"/>
  <c r="O235" i="1"/>
  <c r="N235" i="1"/>
  <c r="M235" i="1"/>
  <c r="O234" i="1"/>
  <c r="P234" i="1" s="1"/>
  <c r="N234" i="1"/>
  <c r="M234" i="1"/>
  <c r="O233" i="1"/>
  <c r="N233" i="1"/>
  <c r="P233" i="1" s="1"/>
  <c r="M233" i="1"/>
  <c r="O232" i="1"/>
  <c r="P232" i="1" s="1"/>
  <c r="N232" i="1"/>
  <c r="M232" i="1"/>
  <c r="P231" i="1"/>
  <c r="O231" i="1"/>
  <c r="N231" i="1"/>
  <c r="M231" i="1"/>
  <c r="O230" i="1"/>
  <c r="P230" i="1" s="1"/>
  <c r="N230" i="1"/>
  <c r="M230" i="1"/>
  <c r="O229" i="1"/>
  <c r="N229" i="1"/>
  <c r="P229" i="1" s="1"/>
  <c r="M229" i="1"/>
  <c r="P228" i="1"/>
  <c r="O228" i="1"/>
  <c r="N228" i="1"/>
  <c r="M228" i="1"/>
  <c r="O227" i="1"/>
  <c r="P227" i="1" s="1"/>
  <c r="N227" i="1"/>
  <c r="M227" i="1"/>
  <c r="O226" i="1"/>
  <c r="P226" i="1" s="1"/>
  <c r="N226" i="1"/>
  <c r="M226" i="1"/>
  <c r="O225" i="1"/>
  <c r="P225" i="1" s="1"/>
  <c r="N225" i="1"/>
  <c r="M225" i="1"/>
  <c r="O224" i="1"/>
  <c r="P224" i="1" s="1"/>
  <c r="N224" i="1"/>
  <c r="M224" i="1"/>
  <c r="O223" i="1"/>
  <c r="N223" i="1"/>
  <c r="P223" i="1" s="1"/>
  <c r="M223" i="1"/>
  <c r="O222" i="1"/>
  <c r="P222" i="1" s="1"/>
  <c r="N222" i="1"/>
  <c r="M222" i="1"/>
  <c r="O221" i="1"/>
  <c r="N221" i="1"/>
  <c r="M221" i="1"/>
  <c r="O220" i="1"/>
  <c r="P220" i="1" s="1"/>
  <c r="N220" i="1"/>
  <c r="M220" i="1"/>
  <c r="O219" i="1"/>
  <c r="N219" i="1"/>
  <c r="P219" i="1" s="1"/>
  <c r="M219" i="1"/>
  <c r="P218" i="1"/>
  <c r="O218" i="1"/>
  <c r="N218" i="1"/>
  <c r="M218" i="1"/>
  <c r="O217" i="1"/>
  <c r="P217" i="1" s="1"/>
  <c r="N217" i="1"/>
  <c r="M217" i="1"/>
  <c r="P216" i="1"/>
  <c r="O216" i="1"/>
  <c r="N216" i="1"/>
  <c r="M216" i="1"/>
  <c r="P215" i="1"/>
  <c r="O215" i="1"/>
  <c r="N215" i="1"/>
  <c r="M215" i="1"/>
  <c r="O214" i="1"/>
  <c r="P214" i="1" s="1"/>
  <c r="N214" i="1"/>
  <c r="M214" i="1"/>
  <c r="O213" i="1"/>
  <c r="P213" i="1" s="1"/>
  <c r="N213" i="1"/>
  <c r="M213" i="1"/>
  <c r="O212" i="1"/>
  <c r="P212" i="1" s="1"/>
  <c r="N212" i="1"/>
  <c r="M212" i="1"/>
  <c r="P211" i="1"/>
  <c r="O211" i="1"/>
  <c r="N211" i="1"/>
  <c r="M211" i="1"/>
  <c r="O210" i="1"/>
  <c r="P210" i="1" s="1"/>
  <c r="N210" i="1"/>
  <c r="M210" i="1"/>
  <c r="O209" i="1"/>
  <c r="P209" i="1" s="1"/>
  <c r="N209" i="1"/>
  <c r="M209" i="1"/>
  <c r="O208" i="1"/>
  <c r="P208" i="1" s="1"/>
  <c r="N208" i="1"/>
  <c r="M208" i="1"/>
  <c r="O207" i="1"/>
  <c r="P207" i="1" s="1"/>
  <c r="N207" i="1"/>
  <c r="M207" i="1"/>
  <c r="O206" i="1"/>
  <c r="N206" i="1"/>
  <c r="P206" i="1" s="1"/>
  <c r="M206" i="1"/>
  <c r="O205" i="1"/>
  <c r="P205" i="1" s="1"/>
  <c r="N205" i="1"/>
  <c r="M205" i="1"/>
  <c r="O204" i="1"/>
  <c r="P204" i="1" s="1"/>
  <c r="N204" i="1"/>
  <c r="M204" i="1"/>
  <c r="P203" i="1"/>
  <c r="O203" i="1"/>
  <c r="N203" i="1"/>
  <c r="M203" i="1"/>
  <c r="O202" i="1"/>
  <c r="P202" i="1" s="1"/>
  <c r="N202" i="1"/>
  <c r="M202" i="1"/>
  <c r="O201" i="1"/>
  <c r="N201" i="1"/>
  <c r="P201" i="1" s="1"/>
  <c r="M201" i="1"/>
  <c r="P200" i="1"/>
  <c r="O200" i="1"/>
  <c r="N200" i="1"/>
  <c r="M200" i="1"/>
  <c r="O199" i="1"/>
  <c r="N199" i="1"/>
  <c r="M199" i="1"/>
  <c r="P198" i="1"/>
  <c r="O198" i="1"/>
  <c r="N198" i="1"/>
  <c r="M198" i="1"/>
  <c r="O197" i="1"/>
  <c r="P197" i="1" s="1"/>
  <c r="N197" i="1"/>
  <c r="M197" i="1"/>
  <c r="O196" i="1"/>
  <c r="P196" i="1" s="1"/>
  <c r="N196" i="1"/>
  <c r="M196" i="1"/>
  <c r="O195" i="1"/>
  <c r="P195" i="1" s="1"/>
  <c r="N195" i="1"/>
  <c r="M195" i="1"/>
  <c r="P194" i="1"/>
  <c r="O194" i="1"/>
  <c r="N194" i="1"/>
  <c r="M194" i="1"/>
  <c r="O193" i="1"/>
  <c r="N193" i="1"/>
  <c r="P193" i="1" s="1"/>
  <c r="M193" i="1"/>
  <c r="O192" i="1"/>
  <c r="P192" i="1" s="1"/>
  <c r="N192" i="1"/>
  <c r="M192" i="1"/>
  <c r="O191" i="1"/>
  <c r="N191" i="1"/>
  <c r="P191" i="1" s="1"/>
  <c r="M191" i="1"/>
  <c r="P190" i="1"/>
  <c r="O190" i="1"/>
  <c r="N190" i="1"/>
  <c r="M190" i="1"/>
  <c r="O189" i="1"/>
  <c r="P189" i="1" s="1"/>
  <c r="N189" i="1"/>
  <c r="M189" i="1"/>
  <c r="O188" i="1"/>
  <c r="P188" i="1" s="1"/>
  <c r="N188" i="1"/>
  <c r="M188" i="1"/>
  <c r="O187" i="1"/>
  <c r="P187" i="1" s="1"/>
  <c r="N187" i="1"/>
  <c r="M187" i="1"/>
  <c r="P186" i="1"/>
  <c r="O186" i="1"/>
  <c r="N186" i="1"/>
  <c r="M186" i="1"/>
  <c r="O185" i="1"/>
  <c r="P185" i="1" s="1"/>
  <c r="N185" i="1"/>
  <c r="M185" i="1"/>
  <c r="O184" i="1"/>
  <c r="N184" i="1"/>
  <c r="P184" i="1" s="1"/>
  <c r="M184" i="1"/>
  <c r="O183" i="1"/>
  <c r="P183" i="1" s="1"/>
  <c r="N183" i="1"/>
  <c r="M183" i="1"/>
  <c r="O182" i="1"/>
  <c r="P182" i="1" s="1"/>
  <c r="N182" i="1"/>
  <c r="M182" i="1"/>
  <c r="O181" i="1"/>
  <c r="P181" i="1" s="1"/>
  <c r="N181" i="1"/>
  <c r="M181" i="1"/>
  <c r="O180" i="1"/>
  <c r="P180" i="1" s="1"/>
  <c r="N180" i="1"/>
  <c r="M180" i="1"/>
  <c r="O179" i="1"/>
  <c r="P179" i="1" s="1"/>
  <c r="N179" i="1"/>
  <c r="M179" i="1"/>
  <c r="O178" i="1"/>
  <c r="N178" i="1"/>
  <c r="P178" i="1" s="1"/>
  <c r="M178" i="1"/>
  <c r="O177" i="1"/>
  <c r="N177" i="1"/>
  <c r="M177" i="1"/>
  <c r="O176" i="1"/>
  <c r="N176" i="1"/>
  <c r="P176" i="1" s="1"/>
  <c r="M176" i="1"/>
  <c r="O175" i="1"/>
  <c r="P175" i="1" s="1"/>
  <c r="N175" i="1"/>
  <c r="M175" i="1"/>
  <c r="O174" i="1"/>
  <c r="N174" i="1"/>
  <c r="P174" i="1" s="1"/>
  <c r="M174" i="1"/>
  <c r="P173" i="1"/>
  <c r="O173" i="1"/>
  <c r="N173" i="1"/>
  <c r="M173" i="1"/>
  <c r="O172" i="1"/>
  <c r="P172" i="1" s="1"/>
  <c r="N172" i="1"/>
  <c r="M172" i="1"/>
  <c r="O171" i="1"/>
  <c r="N171" i="1"/>
  <c r="P171" i="1" s="1"/>
  <c r="M171" i="1"/>
  <c r="P170" i="1"/>
  <c r="O170" i="1"/>
  <c r="N170" i="1"/>
  <c r="M170" i="1"/>
  <c r="O169" i="1"/>
  <c r="P169" i="1" s="1"/>
  <c r="N169" i="1"/>
  <c r="M169" i="1"/>
  <c r="O168" i="1"/>
  <c r="P168" i="1" s="1"/>
  <c r="N168" i="1"/>
  <c r="M168" i="1"/>
  <c r="O167" i="1"/>
  <c r="P167" i="1" s="1"/>
  <c r="N167" i="1"/>
  <c r="M167" i="1"/>
  <c r="O166" i="1"/>
  <c r="P166" i="1" s="1"/>
  <c r="N166" i="1"/>
  <c r="M166" i="1"/>
  <c r="O165" i="1"/>
  <c r="P165" i="1" s="1"/>
  <c r="N165" i="1"/>
  <c r="M165" i="1"/>
  <c r="O164" i="1"/>
  <c r="P164" i="1" s="1"/>
  <c r="N164" i="1"/>
  <c r="M164" i="1"/>
  <c r="O163" i="1"/>
  <c r="P163" i="1" s="1"/>
  <c r="N163" i="1"/>
  <c r="M163" i="1"/>
  <c r="O162" i="1"/>
  <c r="P162" i="1" s="1"/>
  <c r="N162" i="1"/>
  <c r="M162" i="1"/>
  <c r="P161" i="1"/>
  <c r="O161" i="1"/>
  <c r="N161" i="1"/>
  <c r="M161" i="1"/>
  <c r="O160" i="1"/>
  <c r="P160" i="1" s="1"/>
  <c r="N160" i="1"/>
  <c r="M160" i="1"/>
  <c r="O159" i="1"/>
  <c r="P159" i="1" s="1"/>
  <c r="N159" i="1"/>
  <c r="M159" i="1"/>
  <c r="P158" i="1"/>
  <c r="O158" i="1"/>
  <c r="N158" i="1"/>
  <c r="M158" i="1"/>
  <c r="O157" i="1"/>
  <c r="P157" i="1" s="1"/>
  <c r="N157" i="1"/>
  <c r="M157" i="1"/>
  <c r="O156" i="1"/>
  <c r="N156" i="1"/>
  <c r="P156" i="1" s="1"/>
  <c r="M156" i="1"/>
  <c r="O155" i="1"/>
  <c r="N155" i="1"/>
  <c r="M155" i="1"/>
  <c r="O154" i="1"/>
  <c r="N154" i="1"/>
  <c r="P154" i="1" s="1"/>
  <c r="M154" i="1"/>
  <c r="P153" i="1"/>
  <c r="O153" i="1"/>
  <c r="N153" i="1"/>
  <c r="M153" i="1"/>
  <c r="O152" i="1"/>
  <c r="P152" i="1" s="1"/>
  <c r="N152" i="1"/>
  <c r="M152" i="1"/>
  <c r="O151" i="1"/>
  <c r="P151" i="1" s="1"/>
  <c r="N151" i="1"/>
  <c r="M151" i="1"/>
  <c r="O150" i="1"/>
  <c r="P150" i="1" s="1"/>
  <c r="N150" i="1"/>
  <c r="M150" i="1"/>
  <c r="P149" i="1"/>
  <c r="O149" i="1"/>
  <c r="N149" i="1"/>
  <c r="M149" i="1"/>
  <c r="O148" i="1"/>
  <c r="N148" i="1"/>
  <c r="P148" i="1" s="1"/>
  <c r="M148" i="1"/>
  <c r="O147" i="1"/>
  <c r="P147" i="1" s="1"/>
  <c r="N147" i="1"/>
  <c r="M147" i="1"/>
  <c r="O146" i="1"/>
  <c r="N146" i="1"/>
  <c r="P146" i="1" s="1"/>
  <c r="M146" i="1"/>
  <c r="P145" i="1"/>
  <c r="O145" i="1"/>
  <c r="N145" i="1"/>
  <c r="M145" i="1"/>
  <c r="O144" i="1"/>
  <c r="N144" i="1"/>
  <c r="M144" i="1"/>
  <c r="O143" i="1"/>
  <c r="P143" i="1" s="1"/>
  <c r="N143" i="1"/>
  <c r="M143" i="1"/>
  <c r="O142" i="1"/>
  <c r="P142" i="1" s="1"/>
  <c r="N142" i="1"/>
  <c r="M142" i="1"/>
  <c r="P141" i="1"/>
  <c r="O141" i="1"/>
  <c r="N141" i="1"/>
  <c r="M141" i="1"/>
  <c r="O140" i="1"/>
  <c r="P140" i="1" s="1"/>
  <c r="N140" i="1"/>
  <c r="M140" i="1"/>
  <c r="P139" i="1"/>
  <c r="O139" i="1"/>
  <c r="N139" i="1"/>
  <c r="M139" i="1"/>
  <c r="O138" i="1"/>
  <c r="P138" i="1" s="1"/>
  <c r="N138" i="1"/>
  <c r="M138" i="1"/>
  <c r="O137" i="1"/>
  <c r="P137" i="1" s="1"/>
  <c r="N137" i="1"/>
  <c r="M137" i="1"/>
  <c r="O136" i="1"/>
  <c r="P136" i="1" s="1"/>
  <c r="N136" i="1"/>
  <c r="M136" i="1"/>
  <c r="O135" i="1"/>
  <c r="P135" i="1" s="1"/>
  <c r="N135" i="1"/>
  <c r="M135" i="1"/>
  <c r="O134" i="1"/>
  <c r="P134" i="1" s="1"/>
  <c r="N134" i="1"/>
  <c r="M134" i="1"/>
  <c r="O133" i="1"/>
  <c r="P133" i="1" s="1"/>
  <c r="N133" i="1"/>
  <c r="M133" i="1"/>
  <c r="P132" i="1"/>
  <c r="O132" i="1"/>
  <c r="N132" i="1"/>
  <c r="M132" i="1"/>
  <c r="O131" i="1"/>
  <c r="N131" i="1"/>
  <c r="P131" i="1" s="1"/>
  <c r="M131" i="1"/>
  <c r="O130" i="1"/>
  <c r="P130" i="1" s="1"/>
  <c r="N130" i="1"/>
  <c r="M130" i="1"/>
  <c r="O129" i="1"/>
  <c r="N129" i="1"/>
  <c r="P129" i="1" s="1"/>
  <c r="M129" i="1"/>
  <c r="P128" i="1"/>
  <c r="O128" i="1"/>
  <c r="N128" i="1"/>
  <c r="M128" i="1"/>
  <c r="O127" i="1"/>
  <c r="P127" i="1" s="1"/>
  <c r="N127" i="1"/>
  <c r="M127" i="1"/>
  <c r="O126" i="1"/>
  <c r="N126" i="1"/>
  <c r="P126" i="1" s="1"/>
  <c r="M126" i="1"/>
  <c r="P125" i="1"/>
  <c r="O125" i="1"/>
  <c r="N125" i="1"/>
  <c r="M125" i="1"/>
  <c r="O124" i="1"/>
  <c r="P124" i="1" s="1"/>
  <c r="N124" i="1"/>
  <c r="M124" i="1"/>
  <c r="O123" i="1"/>
  <c r="P123" i="1" s="1"/>
  <c r="N123" i="1"/>
  <c r="M123" i="1"/>
  <c r="O122" i="1"/>
  <c r="N122" i="1"/>
  <c r="M122" i="1"/>
  <c r="O121" i="1"/>
  <c r="P121" i="1" s="1"/>
  <c r="N121" i="1"/>
  <c r="M121" i="1"/>
  <c r="O120" i="1"/>
  <c r="P120" i="1" s="1"/>
  <c r="N120" i="1"/>
  <c r="M120" i="1"/>
  <c r="O119" i="1"/>
  <c r="P119" i="1" s="1"/>
  <c r="N119" i="1"/>
  <c r="M119" i="1"/>
  <c r="O118" i="1"/>
  <c r="P118" i="1" s="1"/>
  <c r="N118" i="1"/>
  <c r="M118" i="1"/>
  <c r="O117" i="1"/>
  <c r="P117" i="1" s="1"/>
  <c r="N117" i="1"/>
  <c r="M117" i="1"/>
  <c r="O116" i="1"/>
  <c r="N116" i="1"/>
  <c r="P116" i="1" s="1"/>
  <c r="M116" i="1"/>
  <c r="O115" i="1"/>
  <c r="P115" i="1" s="1"/>
  <c r="N115" i="1"/>
  <c r="M115" i="1"/>
  <c r="O114" i="1"/>
  <c r="P114" i="1" s="1"/>
  <c r="N114" i="1"/>
  <c r="M114" i="1"/>
  <c r="P113" i="1"/>
  <c r="O113" i="1"/>
  <c r="N113" i="1"/>
  <c r="M113" i="1"/>
  <c r="O112" i="1"/>
  <c r="P112" i="1" s="1"/>
  <c r="N112" i="1"/>
  <c r="M112" i="1"/>
  <c r="O111" i="1"/>
  <c r="P111" i="1" s="1"/>
  <c r="N111" i="1"/>
  <c r="M111" i="1"/>
  <c r="O110" i="1"/>
  <c r="P110" i="1" s="1"/>
  <c r="N110" i="1"/>
  <c r="M110" i="1"/>
  <c r="O109" i="1"/>
  <c r="N109" i="1"/>
  <c r="P109" i="1" s="1"/>
  <c r="M109" i="1"/>
  <c r="P108" i="1"/>
  <c r="O108" i="1"/>
  <c r="N108" i="1"/>
  <c r="M108" i="1"/>
  <c r="O107" i="1"/>
  <c r="P107" i="1" s="1"/>
  <c r="N107" i="1"/>
  <c r="M107" i="1"/>
  <c r="O106" i="1"/>
  <c r="P106" i="1" s="1"/>
  <c r="N106" i="1"/>
  <c r="M106" i="1"/>
  <c r="O105" i="1"/>
  <c r="P105" i="1" s="1"/>
  <c r="N105" i="1"/>
  <c r="M105" i="1"/>
  <c r="P104" i="1"/>
  <c r="O104" i="1"/>
  <c r="N104" i="1"/>
  <c r="M104" i="1"/>
  <c r="O103" i="1"/>
  <c r="N103" i="1"/>
  <c r="P103" i="1" s="1"/>
  <c r="M103" i="1"/>
  <c r="O102" i="1"/>
  <c r="P102" i="1" s="1"/>
  <c r="N102" i="1"/>
  <c r="M102" i="1"/>
  <c r="O101" i="1"/>
  <c r="N101" i="1"/>
  <c r="P101" i="1" s="1"/>
  <c r="M101" i="1"/>
  <c r="O100" i="1"/>
  <c r="N100" i="1"/>
  <c r="M100" i="1"/>
  <c r="O99" i="1"/>
  <c r="N99" i="1"/>
  <c r="P99" i="1" s="1"/>
  <c r="M99" i="1"/>
  <c r="O98" i="1"/>
  <c r="P98" i="1" s="1"/>
  <c r="N98" i="1"/>
  <c r="M98" i="1"/>
  <c r="O97" i="1"/>
  <c r="P97" i="1" s="1"/>
  <c r="N97" i="1"/>
  <c r="M97" i="1"/>
  <c r="P96" i="1"/>
  <c r="O96" i="1"/>
  <c r="N96" i="1"/>
  <c r="M96" i="1"/>
  <c r="O95" i="1"/>
  <c r="P95" i="1" s="1"/>
  <c r="N95" i="1"/>
  <c r="M95" i="1"/>
  <c r="P94" i="1"/>
  <c r="O94" i="1"/>
  <c r="N94" i="1"/>
  <c r="M94" i="1"/>
  <c r="O93" i="1"/>
  <c r="P93" i="1" s="1"/>
  <c r="N93" i="1"/>
  <c r="M93" i="1"/>
  <c r="O92" i="1"/>
  <c r="P92" i="1" s="1"/>
  <c r="N92" i="1"/>
  <c r="M92" i="1"/>
  <c r="O91" i="1"/>
  <c r="P91" i="1" s="1"/>
  <c r="N91" i="1"/>
  <c r="M91" i="1"/>
  <c r="O90" i="1"/>
  <c r="P90" i="1" s="1"/>
  <c r="N90" i="1"/>
  <c r="M90" i="1"/>
  <c r="O89" i="1"/>
  <c r="N89" i="1"/>
  <c r="M89" i="1"/>
  <c r="O88" i="1"/>
  <c r="P88" i="1" s="1"/>
  <c r="N88" i="1"/>
  <c r="M88" i="1"/>
  <c r="O87" i="1"/>
  <c r="N87" i="1"/>
  <c r="P87" i="1" s="1"/>
  <c r="M87" i="1"/>
  <c r="O86" i="1"/>
  <c r="N86" i="1"/>
  <c r="P86" i="1" s="1"/>
  <c r="M86" i="1"/>
  <c r="O85" i="1"/>
  <c r="P85" i="1" s="1"/>
  <c r="N85" i="1"/>
  <c r="M85" i="1"/>
  <c r="P84" i="1"/>
  <c r="O84" i="1"/>
  <c r="N84" i="1"/>
  <c r="M84" i="1"/>
  <c r="O83" i="1"/>
  <c r="P83" i="1" s="1"/>
  <c r="N83" i="1"/>
  <c r="M83" i="1"/>
  <c r="O82" i="1"/>
  <c r="P82" i="1" s="1"/>
  <c r="N82" i="1"/>
  <c r="M82" i="1"/>
  <c r="O81" i="1"/>
  <c r="N81" i="1"/>
  <c r="P81" i="1" s="1"/>
  <c r="M81" i="1"/>
  <c r="P80" i="1"/>
  <c r="O80" i="1"/>
  <c r="N80" i="1"/>
  <c r="M80" i="1"/>
  <c r="O79" i="1"/>
  <c r="P79" i="1" s="1"/>
  <c r="N79" i="1"/>
  <c r="M79" i="1"/>
  <c r="O78" i="1"/>
  <c r="N78" i="1"/>
  <c r="M78" i="1"/>
  <c r="O77" i="1"/>
  <c r="N77" i="1"/>
  <c r="P77" i="1" s="1"/>
  <c r="M77" i="1"/>
  <c r="O76" i="1"/>
  <c r="P76" i="1" s="1"/>
  <c r="N76" i="1"/>
  <c r="M76" i="1"/>
  <c r="O75" i="1"/>
  <c r="P75" i="1" s="1"/>
  <c r="N75" i="1"/>
  <c r="M75" i="1"/>
  <c r="O74" i="1"/>
  <c r="P74" i="1" s="1"/>
  <c r="N74" i="1"/>
  <c r="M74" i="1"/>
  <c r="O73" i="1"/>
  <c r="P73" i="1" s="1"/>
  <c r="N73" i="1"/>
  <c r="M73" i="1"/>
  <c r="O72" i="1"/>
  <c r="P72" i="1" s="1"/>
  <c r="N72" i="1"/>
  <c r="M72" i="1"/>
  <c r="O71" i="1"/>
  <c r="N71" i="1"/>
  <c r="P71" i="1" s="1"/>
  <c r="M71" i="1"/>
  <c r="O70" i="1"/>
  <c r="P70" i="1" s="1"/>
  <c r="N70" i="1"/>
  <c r="M70" i="1"/>
  <c r="O69" i="1"/>
  <c r="P69" i="1" s="1"/>
  <c r="N69" i="1"/>
  <c r="M69" i="1"/>
  <c r="P68" i="1"/>
  <c r="O68" i="1"/>
  <c r="N68" i="1"/>
  <c r="M68" i="1"/>
  <c r="O67" i="1"/>
  <c r="N67" i="1"/>
  <c r="M67" i="1"/>
  <c r="O66" i="1"/>
  <c r="P66" i="1" s="1"/>
  <c r="N66" i="1"/>
  <c r="M66" i="1"/>
  <c r="O65" i="1"/>
  <c r="P65" i="1" s="1"/>
  <c r="N65" i="1"/>
  <c r="M65" i="1"/>
  <c r="O64" i="1"/>
  <c r="N64" i="1"/>
  <c r="P64" i="1" s="1"/>
  <c r="M64" i="1"/>
  <c r="P63" i="1"/>
  <c r="O63" i="1"/>
  <c r="N63" i="1"/>
  <c r="M63" i="1"/>
  <c r="O62" i="1"/>
  <c r="P62" i="1" s="1"/>
  <c r="N62" i="1"/>
  <c r="M62" i="1"/>
  <c r="O61" i="1"/>
  <c r="P61" i="1" s="1"/>
  <c r="N61" i="1"/>
  <c r="M61" i="1"/>
  <c r="O60" i="1"/>
  <c r="P60" i="1" s="1"/>
  <c r="N60" i="1"/>
  <c r="M60" i="1"/>
  <c r="O59" i="1"/>
  <c r="N59" i="1"/>
  <c r="P59" i="1" s="1"/>
  <c r="M59" i="1"/>
  <c r="O58" i="1"/>
  <c r="N58" i="1"/>
  <c r="P58" i="1" s="1"/>
  <c r="M58" i="1"/>
  <c r="O57" i="1"/>
  <c r="P57" i="1" s="1"/>
  <c r="N57" i="1"/>
  <c r="M57" i="1"/>
  <c r="O56" i="1"/>
  <c r="P56" i="1" s="1"/>
  <c r="N56" i="1"/>
  <c r="M56" i="1"/>
  <c r="O55" i="1"/>
  <c r="P55" i="1" s="1"/>
  <c r="N55" i="1"/>
  <c r="M55" i="1"/>
  <c r="O54" i="1"/>
  <c r="N54" i="1"/>
  <c r="P54" i="1" s="1"/>
  <c r="M54" i="1"/>
  <c r="O53" i="1"/>
  <c r="P53" i="1" s="1"/>
  <c r="N53" i="1"/>
  <c r="M53" i="1"/>
  <c r="O52" i="1"/>
  <c r="P52" i="1" s="1"/>
  <c r="N52" i="1"/>
  <c r="M52" i="1"/>
  <c r="P51" i="1"/>
  <c r="O51" i="1"/>
  <c r="N51" i="1"/>
  <c r="M51" i="1"/>
  <c r="O50" i="1"/>
  <c r="P50" i="1" s="1"/>
  <c r="N50" i="1"/>
  <c r="M50" i="1"/>
  <c r="O49" i="1"/>
  <c r="N49" i="1"/>
  <c r="P49" i="1" s="1"/>
  <c r="M49" i="1"/>
  <c r="O48" i="1"/>
  <c r="P48" i="1" s="1"/>
  <c r="N48" i="1"/>
  <c r="M48" i="1"/>
  <c r="O47" i="1"/>
  <c r="P47" i="1" s="1"/>
  <c r="N47" i="1"/>
  <c r="M47" i="1"/>
  <c r="O46" i="1"/>
  <c r="P46" i="1" s="1"/>
  <c r="N46" i="1"/>
  <c r="M46" i="1"/>
  <c r="O45" i="1"/>
  <c r="N45" i="1"/>
  <c r="M45" i="1"/>
  <c r="O44" i="1"/>
  <c r="P44" i="1" s="1"/>
  <c r="N44" i="1"/>
  <c r="M44" i="1"/>
  <c r="O43" i="1"/>
  <c r="P43" i="1" s="1"/>
  <c r="N43" i="1"/>
  <c r="M43" i="1"/>
  <c r="O42" i="1"/>
  <c r="N42" i="1"/>
  <c r="P42" i="1" s="1"/>
  <c r="M42" i="1"/>
  <c r="O41" i="1"/>
  <c r="N41" i="1"/>
  <c r="P41" i="1" s="1"/>
  <c r="M41" i="1"/>
  <c r="O40" i="1"/>
  <c r="P40" i="1" s="1"/>
  <c r="N40" i="1"/>
  <c r="M40" i="1"/>
  <c r="O39" i="1"/>
  <c r="N39" i="1"/>
  <c r="P39" i="1" s="1"/>
  <c r="M39" i="1"/>
  <c r="O38" i="1"/>
  <c r="P38" i="1" s="1"/>
  <c r="N38" i="1"/>
  <c r="M38" i="1"/>
  <c r="O37" i="1"/>
  <c r="P37" i="1" s="1"/>
  <c r="N37" i="1"/>
  <c r="M37" i="1"/>
  <c r="O36" i="1"/>
  <c r="N36" i="1"/>
  <c r="P36" i="1" s="1"/>
  <c r="M36" i="1"/>
  <c r="P35" i="1"/>
  <c r="O35" i="1"/>
  <c r="N35" i="1"/>
  <c r="M35" i="1"/>
  <c r="O34" i="1"/>
  <c r="N34" i="1"/>
  <c r="M34" i="1"/>
  <c r="O33" i="1"/>
  <c r="P33" i="1" s="1"/>
  <c r="N33" i="1"/>
  <c r="M33" i="1"/>
  <c r="O32" i="1"/>
  <c r="N32" i="1"/>
  <c r="P32" i="1" s="1"/>
  <c r="M32" i="1"/>
  <c r="O31" i="1"/>
  <c r="P31" i="1" s="1"/>
  <c r="N31" i="1"/>
  <c r="M31" i="1"/>
  <c r="O30" i="1"/>
  <c r="P30" i="1" s="1"/>
  <c r="N30" i="1"/>
  <c r="M30" i="1"/>
  <c r="O29" i="1"/>
  <c r="P29" i="1" s="1"/>
  <c r="N29" i="1"/>
  <c r="M29" i="1"/>
  <c r="O28" i="1"/>
  <c r="P28" i="1" s="1"/>
  <c r="N28" i="1"/>
  <c r="M28" i="1"/>
  <c r="O27" i="1"/>
  <c r="P27" i="1" s="1"/>
  <c r="N27" i="1"/>
  <c r="M27" i="1"/>
  <c r="O26" i="1"/>
  <c r="N26" i="1"/>
  <c r="P26" i="1" s="1"/>
  <c r="M26" i="1"/>
  <c r="O25" i="1"/>
  <c r="P25" i="1" s="1"/>
  <c r="N25" i="1"/>
  <c r="M25" i="1"/>
  <c r="O24" i="1"/>
  <c r="P24" i="1" s="1"/>
  <c r="N24" i="1"/>
  <c r="M24" i="1"/>
  <c r="O23" i="1"/>
  <c r="P23" i="1" s="1"/>
  <c r="N23" i="1"/>
  <c r="M23" i="1"/>
  <c r="O22" i="1"/>
  <c r="N22" i="1"/>
  <c r="P22" i="1" s="1"/>
  <c r="M22" i="1"/>
  <c r="O21" i="1"/>
  <c r="P21" i="1" s="1"/>
  <c r="N21" i="1"/>
  <c r="M21" i="1"/>
  <c r="O20" i="1"/>
  <c r="P20" i="1" s="1"/>
  <c r="N20" i="1"/>
  <c r="M20" i="1"/>
  <c r="O19" i="1"/>
  <c r="N19" i="1"/>
  <c r="P19" i="1" s="1"/>
  <c r="M19" i="1"/>
  <c r="P18" i="1"/>
  <c r="O18" i="1"/>
  <c r="N18" i="1"/>
  <c r="M18" i="1"/>
  <c r="O17" i="1"/>
  <c r="P17" i="1" s="1"/>
  <c r="N17" i="1"/>
  <c r="M17" i="1"/>
  <c r="O16" i="1"/>
  <c r="P16" i="1" s="1"/>
  <c r="N16" i="1"/>
  <c r="M16" i="1"/>
  <c r="O15" i="1"/>
  <c r="P15" i="1" s="1"/>
  <c r="N15" i="1"/>
  <c r="M15" i="1"/>
  <c r="O14" i="1"/>
  <c r="N14" i="1"/>
  <c r="P14" i="1" s="1"/>
  <c r="M14" i="1"/>
  <c r="O13" i="1"/>
  <c r="N13" i="1"/>
  <c r="P13" i="1" s="1"/>
  <c r="M13" i="1"/>
  <c r="O12" i="1"/>
  <c r="N12" i="1"/>
  <c r="M12" i="1"/>
  <c r="O11" i="1"/>
  <c r="P11" i="1" s="1"/>
  <c r="N11" i="1"/>
  <c r="M11" i="1"/>
  <c r="O10" i="1"/>
  <c r="P10" i="1" s="1"/>
  <c r="N10" i="1"/>
  <c r="M10" i="1"/>
  <c r="O9" i="1"/>
  <c r="N9" i="1"/>
  <c r="P9" i="1" s="1"/>
  <c r="M9" i="1"/>
  <c r="O8" i="1"/>
  <c r="P8" i="1" s="1"/>
  <c r="N8" i="1"/>
  <c r="M8" i="1"/>
  <c r="O7" i="1"/>
  <c r="P7" i="1" s="1"/>
  <c r="N7" i="1"/>
  <c r="M7" i="1"/>
  <c r="P6" i="1"/>
  <c r="O6" i="1"/>
  <c r="N6" i="1"/>
  <c r="M6" i="1"/>
  <c r="O5" i="1"/>
  <c r="P5" i="1" s="1"/>
  <c r="N5" i="1"/>
  <c r="M5" i="1"/>
  <c r="O4" i="1"/>
  <c r="P4" i="1" s="1"/>
  <c r="N4" i="1"/>
  <c r="M4" i="1"/>
  <c r="O3" i="1"/>
  <c r="P3" i="1" s="1"/>
  <c r="N3" i="1"/>
  <c r="M3" i="1"/>
  <c r="O2" i="1"/>
  <c r="P2" i="1" s="1"/>
  <c r="N2" i="1"/>
  <c r="M2" i="1"/>
  <c r="CG203" i="7" l="1"/>
  <c r="CG225" i="7"/>
  <c r="CG247" i="7"/>
  <c r="CG216" i="7"/>
  <c r="CG80" i="7"/>
  <c r="CG79" i="7"/>
  <c r="CG101" i="7"/>
  <c r="CG123" i="7"/>
  <c r="CG256" i="7"/>
  <c r="CG36" i="7"/>
  <c r="CG168" i="7"/>
  <c r="CG274" i="7"/>
  <c r="CG296" i="7"/>
  <c r="CG87" i="7"/>
  <c r="CG204" i="7"/>
  <c r="CG219" i="7"/>
  <c r="CG193" i="7"/>
  <c r="CG24" i="7"/>
  <c r="CG35" i="7"/>
  <c r="CG178" i="7"/>
  <c r="CG200" i="7"/>
  <c r="CG226" i="7"/>
  <c r="CG237" i="7"/>
  <c r="CG244" i="7"/>
  <c r="CG248" i="7"/>
  <c r="CG259" i="7"/>
  <c r="CG266" i="7"/>
  <c r="CG292" i="7"/>
  <c r="CG84" i="7"/>
  <c r="CG106" i="7"/>
  <c r="CG172" i="7"/>
  <c r="CG194" i="7"/>
  <c r="CG299" i="7"/>
  <c r="CG302" i="7"/>
  <c r="CG102" i="7"/>
  <c r="CG124" i="7"/>
  <c r="CG31" i="7"/>
  <c r="CG150" i="7"/>
  <c r="CG252" i="7"/>
  <c r="CG175" i="7"/>
  <c r="CG197" i="7"/>
  <c r="CG215" i="7"/>
  <c r="CG260" i="7"/>
  <c r="CG46" i="7"/>
  <c r="CG222" i="7"/>
  <c r="CG281" i="7"/>
  <c r="CG288" i="7"/>
  <c r="CG314" i="7"/>
  <c r="CG128" i="7"/>
  <c r="CG75" i="7"/>
  <c r="CG97" i="7"/>
  <c r="CG119" i="7"/>
  <c r="CG163" i="7"/>
  <c r="CG185" i="7"/>
  <c r="CG40" i="7"/>
  <c r="CG238" i="7"/>
  <c r="CG14" i="7"/>
  <c r="CG278" i="7"/>
  <c r="CG153" i="7"/>
  <c r="CG241" i="7"/>
  <c r="CG127" i="7"/>
  <c r="CG171" i="7"/>
  <c r="CG13" i="7"/>
  <c r="CG26" i="7"/>
  <c r="CG92" i="7"/>
  <c r="CG167" i="7"/>
  <c r="CG202" i="7"/>
  <c r="R317" i="5"/>
  <c r="Q317" i="5"/>
  <c r="P508" i="1"/>
  <c r="P678" i="1"/>
  <c r="Z14" i="5"/>
  <c r="J268" i="6"/>
  <c r="I268" i="6"/>
  <c r="J130" i="5"/>
  <c r="M130" i="5" s="1"/>
  <c r="P485" i="1"/>
  <c r="P709" i="1"/>
  <c r="N56" i="5"/>
  <c r="P155" i="1"/>
  <c r="P67" i="1"/>
  <c r="P309" i="1"/>
  <c r="P497" i="1"/>
  <c r="P636" i="1"/>
  <c r="P672" i="1"/>
  <c r="N7" i="5"/>
  <c r="N45" i="5"/>
  <c r="N48" i="5"/>
  <c r="J162" i="6"/>
  <c r="J96" i="5"/>
  <c r="M96" i="5" s="1"/>
  <c r="O59" i="5" s="1"/>
  <c r="I162" i="6"/>
  <c r="P78" i="1"/>
  <c r="P89" i="1"/>
  <c r="P45" i="1"/>
  <c r="P601" i="1"/>
  <c r="P630" i="1"/>
  <c r="N25" i="5"/>
  <c r="N43" i="5"/>
  <c r="P287" i="1"/>
  <c r="P486" i="1"/>
  <c r="P34" i="1"/>
  <c r="P276" i="1"/>
  <c r="P463" i="1"/>
  <c r="P637" i="1"/>
  <c r="N38" i="5"/>
  <c r="N30" i="5"/>
  <c r="N54" i="5"/>
  <c r="P331" i="1"/>
  <c r="P320" i="1"/>
  <c r="P452" i="1"/>
  <c r="P590" i="1"/>
  <c r="P698" i="1"/>
  <c r="P711" i="1"/>
  <c r="N10" i="5"/>
  <c r="P100" i="1"/>
  <c r="P12" i="1"/>
  <c r="P254" i="1"/>
  <c r="P243" i="1"/>
  <c r="P464" i="1"/>
  <c r="P579" i="1"/>
  <c r="N8" i="5"/>
  <c r="N36" i="5"/>
  <c r="N83" i="5"/>
  <c r="N41" i="5"/>
  <c r="N69" i="5"/>
  <c r="P221" i="1"/>
  <c r="P453" i="1"/>
  <c r="P632" i="1"/>
  <c r="P656" i="1"/>
  <c r="P724" i="1"/>
  <c r="N13" i="5"/>
  <c r="N46" i="5"/>
  <c r="N120" i="5"/>
  <c r="P199" i="1"/>
  <c r="P442" i="1"/>
  <c r="P718" i="1"/>
  <c r="N49" i="5"/>
  <c r="N115" i="5"/>
  <c r="N185" i="5"/>
  <c r="R191" i="5"/>
  <c r="Q191" i="5"/>
  <c r="P540" i="1"/>
  <c r="Z15" i="5"/>
  <c r="N6" i="5"/>
  <c r="N31" i="5"/>
  <c r="N39" i="5"/>
  <c r="N75" i="5"/>
  <c r="P177" i="1"/>
  <c r="P431" i="1"/>
  <c r="P552" i="1"/>
  <c r="P621" i="1"/>
  <c r="P700" i="1"/>
  <c r="P731" i="1"/>
  <c r="N11" i="5"/>
  <c r="N21" i="5"/>
  <c r="N26" i="5"/>
  <c r="N61" i="5"/>
  <c r="R166" i="5"/>
  <c r="Q166" i="5"/>
  <c r="P541" i="1"/>
  <c r="P676" i="1"/>
  <c r="N109" i="5"/>
  <c r="P144" i="1"/>
  <c r="P386" i="1"/>
  <c r="N4" i="5"/>
  <c r="N34" i="5"/>
  <c r="N64" i="5"/>
  <c r="N70" i="5"/>
  <c r="P122" i="1"/>
  <c r="P364" i="1"/>
  <c r="P507" i="1"/>
  <c r="N19" i="5"/>
  <c r="N198" i="5"/>
  <c r="N272" i="5"/>
  <c r="N181" i="5"/>
  <c r="N163" i="5"/>
  <c r="N208" i="5"/>
  <c r="N158" i="5"/>
  <c r="N253" i="5"/>
  <c r="N222" i="5"/>
  <c r="N200" i="5"/>
  <c r="N227" i="5"/>
  <c r="N205" i="5"/>
  <c r="N99" i="5"/>
  <c r="N78" i="5"/>
  <c r="N207" i="5"/>
  <c r="N202" i="5"/>
  <c r="N144" i="5"/>
  <c r="N129" i="5"/>
  <c r="N86" i="5"/>
  <c r="N62" i="5"/>
  <c r="N51" i="5"/>
  <c r="N40" i="5"/>
  <c r="N29" i="5"/>
  <c r="N18" i="5"/>
  <c r="N12" i="5"/>
  <c r="N182" i="5"/>
  <c r="N140" i="5"/>
  <c r="N112" i="5"/>
  <c r="N107" i="5"/>
  <c r="N94" i="5"/>
  <c r="N73" i="5"/>
  <c r="N15" i="5"/>
  <c r="N248" i="5"/>
  <c r="N209" i="5"/>
  <c r="N161" i="5"/>
  <c r="N184" i="5"/>
  <c r="P184" i="5" s="1"/>
  <c r="N157" i="5"/>
  <c r="N97" i="5"/>
  <c r="N175" i="5"/>
  <c r="N199" i="5"/>
  <c r="N188" i="5"/>
  <c r="N149" i="5"/>
  <c r="N136" i="5"/>
  <c r="N105" i="5"/>
  <c r="N92" i="5"/>
  <c r="N71" i="5"/>
  <c r="N60" i="5"/>
  <c r="N229" i="5"/>
  <c r="N125" i="5"/>
  <c r="N63" i="5"/>
  <c r="N118" i="5"/>
  <c r="N95" i="5"/>
  <c r="N87" i="5"/>
  <c r="N74" i="5"/>
  <c r="N123" i="5"/>
  <c r="N113" i="5"/>
  <c r="N108" i="5"/>
  <c r="N82" i="5"/>
  <c r="N66" i="5"/>
  <c r="N55" i="5"/>
  <c r="N44" i="5"/>
  <c r="N33" i="5"/>
  <c r="N168" i="5"/>
  <c r="P168" i="5" s="1"/>
  <c r="N194" i="5"/>
  <c r="N141" i="5"/>
  <c r="N139" i="5"/>
  <c r="N98" i="5"/>
  <c r="N85" i="5"/>
  <c r="N77" i="5"/>
  <c r="N111" i="5"/>
  <c r="N106" i="5"/>
  <c r="N101" i="5"/>
  <c r="N72" i="5"/>
  <c r="N17" i="5"/>
  <c r="N178" i="5"/>
  <c r="N100" i="5"/>
  <c r="N119" i="5"/>
  <c r="N2" i="5"/>
  <c r="N135" i="5"/>
  <c r="N114" i="5"/>
  <c r="P114" i="5" s="1"/>
  <c r="N189" i="5"/>
  <c r="N146" i="5"/>
  <c r="N110" i="5"/>
  <c r="N134" i="5"/>
  <c r="N68" i="5"/>
  <c r="N52" i="5"/>
  <c r="N35" i="5"/>
  <c r="N3" i="5"/>
  <c r="N104" i="5"/>
  <c r="N57" i="5"/>
  <c r="N5" i="5"/>
  <c r="N23" i="5"/>
  <c r="N32" i="5"/>
  <c r="N59" i="5"/>
  <c r="N37" i="5"/>
  <c r="N89" i="5"/>
  <c r="Q145" i="5"/>
  <c r="R145" i="5"/>
  <c r="N172" i="5"/>
  <c r="N154" i="5"/>
  <c r="N197" i="5"/>
  <c r="J72" i="6"/>
  <c r="I72" i="6"/>
  <c r="J82" i="5"/>
  <c r="M82" i="5" s="1"/>
  <c r="N47" i="5"/>
  <c r="N65" i="5"/>
  <c r="P65" i="5" s="1"/>
  <c r="N148" i="5"/>
  <c r="P568" i="1"/>
  <c r="P689" i="1"/>
  <c r="N9" i="5"/>
  <c r="N28" i="5"/>
  <c r="N81" i="5"/>
  <c r="N143" i="5"/>
  <c r="R312" i="5"/>
  <c r="Q312" i="5"/>
  <c r="P315" i="5"/>
  <c r="N42" i="5"/>
  <c r="N84" i="5"/>
  <c r="N76" i="5"/>
  <c r="N126" i="5"/>
  <c r="N90" i="5"/>
  <c r="N137" i="5"/>
  <c r="N164" i="5"/>
  <c r="N167" i="5"/>
  <c r="R268" i="5"/>
  <c r="Q268" i="5"/>
  <c r="N50" i="5"/>
  <c r="N93" i="5"/>
  <c r="N116" i="5"/>
  <c r="N121" i="5"/>
  <c r="N58" i="5"/>
  <c r="N96" i="5"/>
  <c r="N124" i="5"/>
  <c r="N102" i="5"/>
  <c r="R278" i="5"/>
  <c r="Q278" i="5"/>
  <c r="N127" i="5"/>
  <c r="N88" i="5"/>
  <c r="N159" i="5"/>
  <c r="P159" i="5" s="1"/>
  <c r="N91" i="5"/>
  <c r="N138" i="5"/>
  <c r="N171" i="5"/>
  <c r="N187" i="5"/>
  <c r="N53" i="5"/>
  <c r="N156" i="5"/>
  <c r="P722" i="1"/>
  <c r="N103" i="5"/>
  <c r="N80" i="5"/>
  <c r="N133" i="5"/>
  <c r="N150" i="5"/>
  <c r="N233" i="5"/>
  <c r="J247" i="6"/>
  <c r="I247" i="6"/>
  <c r="J316" i="6"/>
  <c r="J184" i="5"/>
  <c r="M184" i="5" s="1"/>
  <c r="O184" i="5" s="1"/>
  <c r="I316" i="6"/>
  <c r="N152" i="5"/>
  <c r="J193" i="6"/>
  <c r="I193" i="6"/>
  <c r="N162" i="5"/>
  <c r="N170" i="5"/>
  <c r="N217" i="5"/>
  <c r="I63" i="6"/>
  <c r="N252" i="5"/>
  <c r="R310" i="5"/>
  <c r="Q310" i="5"/>
  <c r="J87" i="6"/>
  <c r="I87" i="6"/>
  <c r="J215" i="6"/>
  <c r="I215" i="6"/>
  <c r="N183" i="5"/>
  <c r="P219" i="5"/>
  <c r="J305" i="5"/>
  <c r="M305" i="5" s="1"/>
  <c r="J260" i="6"/>
  <c r="I260" i="6"/>
  <c r="N203" i="5"/>
  <c r="P313" i="5"/>
  <c r="J3" i="6"/>
  <c r="I3" i="6"/>
  <c r="N132" i="5"/>
  <c r="N192" i="5"/>
  <c r="N247" i="5"/>
  <c r="P247" i="5" s="1"/>
  <c r="J196" i="5"/>
  <c r="M196" i="5" s="1"/>
  <c r="J24" i="6"/>
  <c r="I24" i="6"/>
  <c r="J242" i="5"/>
  <c r="M242" i="5" s="1"/>
  <c r="J123" i="6"/>
  <c r="I123" i="6"/>
  <c r="J318" i="5"/>
  <c r="M318" i="5" s="1"/>
  <c r="O318" i="5" s="1"/>
  <c r="P318" i="5" s="1"/>
  <c r="J273" i="6"/>
  <c r="I273" i="6"/>
  <c r="I296" i="6"/>
  <c r="J296" i="6"/>
  <c r="J309" i="5"/>
  <c r="M309" i="5" s="1"/>
  <c r="O309" i="5" s="1"/>
  <c r="P309" i="5" s="1"/>
  <c r="N179" i="5"/>
  <c r="N250" i="5"/>
  <c r="P250" i="5" s="1"/>
  <c r="R297" i="5"/>
  <c r="Q297" i="5"/>
  <c r="J146" i="6"/>
  <c r="I146" i="6"/>
  <c r="J207" i="5"/>
  <c r="M207" i="5" s="1"/>
  <c r="J168" i="6"/>
  <c r="I168" i="6"/>
  <c r="I227" i="6"/>
  <c r="J227" i="6"/>
  <c r="N186" i="5"/>
  <c r="N195" i="5"/>
  <c r="J111" i="6"/>
  <c r="I111" i="6"/>
  <c r="J137" i="6"/>
  <c r="J245" i="5"/>
  <c r="M245" i="5" s="1"/>
  <c r="J147" i="6"/>
  <c r="I147" i="6"/>
  <c r="J246" i="5"/>
  <c r="M246" i="5" s="1"/>
  <c r="O246" i="5" s="1"/>
  <c r="P246" i="5" s="1"/>
  <c r="J287" i="6"/>
  <c r="I287" i="6"/>
  <c r="P266" i="5"/>
  <c r="J16" i="6"/>
  <c r="I16" i="6"/>
  <c r="I137" i="6"/>
  <c r="N153" i="5"/>
  <c r="N155" i="5"/>
  <c r="J242" i="6"/>
  <c r="J198" i="5"/>
  <c r="M198" i="5" s="1"/>
  <c r="I242" i="6"/>
  <c r="J307" i="5"/>
  <c r="M307" i="5" s="1"/>
  <c r="J264" i="6"/>
  <c r="I264" i="6"/>
  <c r="J299" i="6"/>
  <c r="J302" i="5"/>
  <c r="M302" i="5" s="1"/>
  <c r="O302" i="5" s="1"/>
  <c r="P302" i="5" s="1"/>
  <c r="I299" i="6"/>
  <c r="R314" i="5"/>
  <c r="Q314" i="5"/>
  <c r="J188" i="6"/>
  <c r="I188" i="6"/>
  <c r="N232" i="5"/>
  <c r="J199" i="6"/>
  <c r="I199" i="6"/>
  <c r="N165" i="5"/>
  <c r="J180" i="6"/>
  <c r="J190" i="5"/>
  <c r="M190" i="5" s="1"/>
  <c r="O216" i="5" s="1"/>
  <c r="P216" i="5" s="1"/>
  <c r="N142" i="5"/>
  <c r="J28" i="6"/>
  <c r="I28" i="6"/>
  <c r="I180" i="6"/>
  <c r="N131" i="5"/>
  <c r="N235" i="5"/>
  <c r="J233" i="6"/>
  <c r="I233" i="6"/>
  <c r="J260" i="5"/>
  <c r="M260" i="5" s="1"/>
  <c r="N230" i="5"/>
  <c r="P273" i="5"/>
  <c r="J41" i="6"/>
  <c r="I41" i="6"/>
  <c r="J180" i="5"/>
  <c r="M180" i="5" s="1"/>
  <c r="J172" i="6"/>
  <c r="I172" i="6"/>
  <c r="J274" i="5"/>
  <c r="M274" i="5" s="1"/>
  <c r="J234" i="6"/>
  <c r="I234" i="6"/>
  <c r="J273" i="5"/>
  <c r="M273" i="5" s="1"/>
  <c r="O273" i="5" s="1"/>
  <c r="J312" i="6"/>
  <c r="I312" i="6"/>
  <c r="R289" i="5"/>
  <c r="Q289" i="5"/>
  <c r="J313" i="6"/>
  <c r="I313" i="6"/>
  <c r="J272" i="5"/>
  <c r="M272" i="5" s="1"/>
  <c r="O272" i="5" s="1"/>
  <c r="P316" i="5"/>
  <c r="J149" i="5"/>
  <c r="M149" i="5" s="1"/>
  <c r="P267" i="5"/>
  <c r="I8" i="6"/>
  <c r="I33" i="6"/>
  <c r="I96" i="6"/>
  <c r="I202" i="6"/>
  <c r="I256" i="6"/>
  <c r="I282" i="6"/>
  <c r="I291" i="6"/>
  <c r="I308" i="6"/>
  <c r="J170" i="5"/>
  <c r="M170" i="5" s="1"/>
  <c r="J252" i="5"/>
  <c r="M252" i="5" s="1"/>
  <c r="O151" i="5" s="1"/>
  <c r="P151" i="5" s="1"/>
  <c r="J277" i="5"/>
  <c r="M277" i="5" s="1"/>
  <c r="O277" i="5" s="1"/>
  <c r="P277" i="5" s="1"/>
  <c r="I274" i="6"/>
  <c r="J284" i="5"/>
  <c r="M284" i="5" s="1"/>
  <c r="O284" i="5" s="1"/>
  <c r="P284" i="5" s="1"/>
  <c r="J282" i="6"/>
  <c r="J291" i="6"/>
  <c r="N180" i="5"/>
  <c r="P287" i="5"/>
  <c r="I34" i="6"/>
  <c r="I79" i="6"/>
  <c r="I97" i="6"/>
  <c r="I106" i="6"/>
  <c r="I115" i="6"/>
  <c r="I160" i="6"/>
  <c r="I203" i="6"/>
  <c r="J230" i="6"/>
  <c r="I257" i="6"/>
  <c r="I283" i="6"/>
  <c r="N190" i="5"/>
  <c r="N234" i="5"/>
  <c r="P234" i="5" s="1"/>
  <c r="N256" i="5"/>
  <c r="P256" i="5" s="1"/>
  <c r="CG6" i="7"/>
  <c r="CG7" i="7"/>
  <c r="P295" i="5"/>
  <c r="C319" i="7"/>
  <c r="CG2" i="7"/>
  <c r="CG3" i="7"/>
  <c r="P299" i="5"/>
  <c r="Q301" i="5"/>
  <c r="P303" i="5"/>
  <c r="P12" i="6"/>
  <c r="J52" i="6"/>
  <c r="I52" i="6"/>
  <c r="J196" i="6"/>
  <c r="I196" i="6"/>
  <c r="I2" i="6"/>
  <c r="I19" i="6"/>
  <c r="J108" i="6"/>
  <c r="I108" i="6"/>
  <c r="I127" i="6"/>
  <c r="I136" i="6"/>
  <c r="I145" i="6"/>
  <c r="I276" i="6"/>
  <c r="CG9" i="7"/>
  <c r="J100" i="6"/>
  <c r="I100" i="6"/>
  <c r="H319" i="7"/>
  <c r="AD319" i="7"/>
  <c r="AZ319" i="7"/>
  <c r="BV319" i="7"/>
  <c r="N226" i="5"/>
  <c r="J295" i="6"/>
  <c r="I319" i="7"/>
  <c r="AE319" i="7"/>
  <c r="BA319" i="7"/>
  <c r="BW319" i="7"/>
  <c r="J92" i="6"/>
  <c r="I92" i="6"/>
  <c r="J298" i="5"/>
  <c r="M298" i="5" s="1"/>
  <c r="J5" i="6"/>
  <c r="I5" i="6"/>
  <c r="I83" i="6"/>
  <c r="J120" i="6"/>
  <c r="J164" i="6"/>
  <c r="J244" i="6"/>
  <c r="I244" i="6"/>
  <c r="L319" i="7"/>
  <c r="AH319" i="7"/>
  <c r="BD319" i="7"/>
  <c r="BZ319" i="7"/>
  <c r="N201" i="5"/>
  <c r="N223" i="5"/>
  <c r="P259" i="5"/>
  <c r="I39" i="6"/>
  <c r="I112" i="6"/>
  <c r="I121" i="6"/>
  <c r="J148" i="6"/>
  <c r="I200" i="6"/>
  <c r="I271" i="6"/>
  <c r="I314" i="6"/>
  <c r="N319" i="7"/>
  <c r="AJ319" i="7"/>
  <c r="BF319" i="7"/>
  <c r="CB319" i="7"/>
  <c r="P292" i="5"/>
  <c r="P304" i="5"/>
  <c r="J140" i="6"/>
  <c r="I140" i="6"/>
  <c r="I280" i="6"/>
  <c r="J294" i="5"/>
  <c r="M294" i="5" s="1"/>
  <c r="O294" i="5" s="1"/>
  <c r="P294" i="5" s="1"/>
  <c r="O319" i="7"/>
  <c r="AK319" i="7"/>
  <c r="BG319" i="7"/>
  <c r="CC319" i="7"/>
  <c r="P263" i="5"/>
  <c r="I40" i="6"/>
  <c r="I57" i="6"/>
  <c r="I75" i="6"/>
  <c r="I122" i="6"/>
  <c r="I192" i="6"/>
  <c r="I226" i="6"/>
  <c r="I263" i="6"/>
  <c r="J280" i="6"/>
  <c r="I298" i="6"/>
  <c r="I315" i="6"/>
  <c r="P319" i="7"/>
  <c r="AL319" i="7"/>
  <c r="BH319" i="7"/>
  <c r="CD319" i="7"/>
  <c r="I15" i="6"/>
  <c r="J23" i="6"/>
  <c r="J132" i="6"/>
  <c r="I132" i="6"/>
  <c r="J263" i="6"/>
  <c r="I272" i="6"/>
  <c r="J281" i="6"/>
  <c r="J308" i="5"/>
  <c r="M308" i="5" s="1"/>
  <c r="O308" i="5" s="1"/>
  <c r="P308" i="5" s="1"/>
  <c r="I290" i="6"/>
  <c r="Q319" i="7"/>
  <c r="AM319" i="7"/>
  <c r="BI319" i="7"/>
  <c r="CE319" i="7"/>
  <c r="CG21" i="7"/>
  <c r="CG17" i="7"/>
  <c r="CG5" i="7"/>
  <c r="CG12" i="7"/>
  <c r="CG8" i="7"/>
  <c r="CG27" i="7"/>
  <c r="S319" i="7"/>
  <c r="AO319" i="7"/>
  <c r="BK319" i="7"/>
  <c r="I13" i="6"/>
  <c r="I45" i="6"/>
  <c r="I77" i="6"/>
  <c r="I85" i="6"/>
  <c r="I116" i="6"/>
  <c r="I124" i="6"/>
  <c r="I149" i="6"/>
  <c r="I165" i="6"/>
  <c r="I204" i="6"/>
  <c r="J212" i="6"/>
  <c r="I228" i="6"/>
  <c r="I236" i="6"/>
  <c r="J252" i="6"/>
  <c r="I285" i="6"/>
  <c r="T319" i="7"/>
  <c r="AP319" i="7"/>
  <c r="BL319" i="7"/>
  <c r="CG19" i="7"/>
  <c r="CG30" i="7"/>
  <c r="U319" i="7"/>
  <c r="AQ319" i="7"/>
  <c r="BM319" i="7"/>
  <c r="V319" i="7"/>
  <c r="AR319" i="7"/>
  <c r="BN319" i="7"/>
  <c r="J228" i="5"/>
  <c r="M228" i="5" s="1"/>
  <c r="J30" i="6"/>
  <c r="I62" i="6"/>
  <c r="I70" i="6"/>
  <c r="I78" i="6"/>
  <c r="I86" i="6"/>
  <c r="I117" i="6"/>
  <c r="I125" i="6"/>
  <c r="I166" i="6"/>
  <c r="I229" i="6"/>
  <c r="I237" i="6"/>
  <c r="I286" i="6"/>
  <c r="J70" i="6"/>
  <c r="J286" i="6"/>
  <c r="X319" i="7"/>
  <c r="AT319" i="7"/>
  <c r="BP319" i="7"/>
  <c r="CG54" i="7"/>
  <c r="CG42" i="7"/>
  <c r="CG25" i="7"/>
  <c r="CG29" i="7"/>
  <c r="CG61" i="7"/>
  <c r="CG62" i="7"/>
  <c r="CG68" i="7"/>
  <c r="CG41" i="7"/>
  <c r="W319" i="7"/>
  <c r="AS319" i="7"/>
  <c r="BO319" i="7"/>
  <c r="CG20" i="7"/>
  <c r="CG64" i="7"/>
  <c r="CG32" i="7"/>
  <c r="CG58" i="7"/>
  <c r="CG60" i="7"/>
  <c r="CG56" i="7"/>
  <c r="CG48" i="7"/>
  <c r="CG67" i="7"/>
  <c r="CG52" i="7"/>
  <c r="CG44" i="7"/>
  <c r="CG55" i="7"/>
  <c r="CG39" i="7"/>
  <c r="CG47" i="7"/>
  <c r="CG51" i="7"/>
  <c r="CG70" i="7"/>
  <c r="CG77" i="7"/>
  <c r="M319" i="7"/>
  <c r="AI319" i="7"/>
  <c r="BE319" i="7"/>
  <c r="CA319" i="7"/>
  <c r="R216" i="5" l="1"/>
  <c r="Q216" i="5"/>
  <c r="R309" i="5"/>
  <c r="Q309" i="5"/>
  <c r="R277" i="5"/>
  <c r="Q277" i="5"/>
  <c r="R302" i="5"/>
  <c r="Q302" i="5"/>
  <c r="R151" i="5"/>
  <c r="Q151" i="5"/>
  <c r="P197" i="5"/>
  <c r="O226" i="5"/>
  <c r="P226" i="5" s="1"/>
  <c r="O117" i="5"/>
  <c r="P117" i="5" s="1"/>
  <c r="O283" i="5"/>
  <c r="P283" i="5" s="1"/>
  <c r="O99" i="5"/>
  <c r="O148" i="5"/>
  <c r="P66" i="5"/>
  <c r="P157" i="5"/>
  <c r="O18" i="5"/>
  <c r="O248" i="5"/>
  <c r="O206" i="5"/>
  <c r="P206" i="5" s="1"/>
  <c r="O194" i="5"/>
  <c r="R159" i="5"/>
  <c r="Q159" i="5"/>
  <c r="P93" i="5"/>
  <c r="O176" i="5"/>
  <c r="P176" i="5" s="1"/>
  <c r="O136" i="5"/>
  <c r="P136" i="5" s="1"/>
  <c r="R114" i="5"/>
  <c r="Q114" i="5"/>
  <c r="R184" i="5"/>
  <c r="Q184" i="5"/>
  <c r="O13" i="5"/>
  <c r="P13" i="5" s="1"/>
  <c r="O29" i="5"/>
  <c r="Q168" i="5"/>
  <c r="R168" i="5"/>
  <c r="O274" i="5"/>
  <c r="P274" i="5" s="1"/>
  <c r="O235" i="5"/>
  <c r="O232" i="5"/>
  <c r="O188" i="5"/>
  <c r="O271" i="5"/>
  <c r="P271" i="5" s="1"/>
  <c r="O183" i="5"/>
  <c r="O138" i="5"/>
  <c r="O14" i="5"/>
  <c r="P14" i="5" s="1"/>
  <c r="O57" i="5"/>
  <c r="O63" i="5"/>
  <c r="P63" i="5" s="1"/>
  <c r="O40" i="5"/>
  <c r="P188" i="5"/>
  <c r="O107" i="5"/>
  <c r="P88" i="5"/>
  <c r="O140" i="5"/>
  <c r="O146" i="5"/>
  <c r="O51" i="5"/>
  <c r="O175" i="5"/>
  <c r="O264" i="5"/>
  <c r="P264" i="5" s="1"/>
  <c r="O254" i="5"/>
  <c r="P254" i="5" s="1"/>
  <c r="P81" i="5"/>
  <c r="O41" i="5"/>
  <c r="O62" i="5"/>
  <c r="O130" i="5"/>
  <c r="P130" i="5" s="1"/>
  <c r="O156" i="5"/>
  <c r="O215" i="5"/>
  <c r="P215" i="5" s="1"/>
  <c r="O79" i="5"/>
  <c r="P79" i="5" s="1"/>
  <c r="P132" i="5"/>
  <c r="O69" i="5"/>
  <c r="O21" i="5"/>
  <c r="P21" i="5" s="1"/>
  <c r="O180" i="5"/>
  <c r="P180" i="5" s="1"/>
  <c r="O163" i="5"/>
  <c r="O214" i="5"/>
  <c r="P214" i="5" s="1"/>
  <c r="O47" i="5"/>
  <c r="O91" i="5"/>
  <c r="P91" i="5" s="1"/>
  <c r="O86" i="5"/>
  <c r="P86" i="5" s="1"/>
  <c r="O200" i="5"/>
  <c r="P200" i="5" s="1"/>
  <c r="P138" i="5"/>
  <c r="O177" i="5"/>
  <c r="P177" i="5" s="1"/>
  <c r="O42" i="5"/>
  <c r="O78" i="5"/>
  <c r="P78" i="5" s="1"/>
  <c r="P178" i="5"/>
  <c r="O150" i="5"/>
  <c r="O241" i="5"/>
  <c r="P241" i="5" s="1"/>
  <c r="O224" i="5"/>
  <c r="P224" i="5" s="1"/>
  <c r="O72" i="5"/>
  <c r="O306" i="5"/>
  <c r="P306" i="5" s="1"/>
  <c r="O131" i="5"/>
  <c r="P131" i="5" s="1"/>
  <c r="O174" i="5"/>
  <c r="P174" i="5" s="1"/>
  <c r="O161" i="5"/>
  <c r="O54" i="5"/>
  <c r="O39" i="5"/>
  <c r="O243" i="5"/>
  <c r="P243" i="5" s="1"/>
  <c r="R256" i="5"/>
  <c r="Q256" i="5"/>
  <c r="R234" i="5"/>
  <c r="Q234" i="5"/>
  <c r="P44" i="5"/>
  <c r="O190" i="5"/>
  <c r="O108" i="5"/>
  <c r="O96" i="5"/>
  <c r="O126" i="5"/>
  <c r="O88" i="5"/>
  <c r="O169" i="5"/>
  <c r="P169" i="5" s="1"/>
  <c r="O76" i="5"/>
  <c r="O15" i="5"/>
  <c r="P15" i="5" s="1"/>
  <c r="O70" i="5"/>
  <c r="P70" i="5" s="1"/>
  <c r="O45" i="5"/>
  <c r="P45" i="5" s="1"/>
  <c r="O106" i="5"/>
  <c r="P106" i="5" s="1"/>
  <c r="O227" i="5"/>
  <c r="O296" i="5"/>
  <c r="P296" i="5" s="1"/>
  <c r="O17" i="5"/>
  <c r="P17" i="5" s="1"/>
  <c r="O84" i="5"/>
  <c r="O52" i="5"/>
  <c r="O229" i="5"/>
  <c r="O122" i="5"/>
  <c r="P122" i="5" s="1"/>
  <c r="O222" i="5"/>
  <c r="P222" i="5" s="1"/>
  <c r="O237" i="5"/>
  <c r="P237" i="5" s="1"/>
  <c r="O218" i="5"/>
  <c r="P218" i="5" s="1"/>
  <c r="O195" i="5"/>
  <c r="P195" i="5" s="1"/>
  <c r="O9" i="5"/>
  <c r="O89" i="5"/>
  <c r="O143" i="5"/>
  <c r="P143" i="5" s="1"/>
  <c r="O66" i="5"/>
  <c r="O178" i="5"/>
  <c r="O253" i="5"/>
  <c r="O220" i="5"/>
  <c r="P220" i="5" s="1"/>
  <c r="O230" i="5"/>
  <c r="P230" i="5" s="1"/>
  <c r="O189" i="5"/>
  <c r="P189" i="5" s="1"/>
  <c r="O100" i="5"/>
  <c r="P100" i="5" s="1"/>
  <c r="O19" i="5"/>
  <c r="P19" i="5" s="1"/>
  <c r="O123" i="5"/>
  <c r="O16" i="5"/>
  <c r="P16" i="5" s="1"/>
  <c r="O113" i="5"/>
  <c r="O135" i="5"/>
  <c r="O244" i="5"/>
  <c r="P244" i="5" s="1"/>
  <c r="R294" i="5"/>
  <c r="Q294" i="5"/>
  <c r="R299" i="5"/>
  <c r="Q299" i="5"/>
  <c r="Q316" i="5"/>
  <c r="R316" i="5"/>
  <c r="P146" i="5"/>
  <c r="O50" i="5"/>
  <c r="R267" i="5"/>
  <c r="Q267" i="5"/>
  <c r="O199" i="5"/>
  <c r="P199" i="5" s="1"/>
  <c r="O22" i="5"/>
  <c r="P22" i="5" s="1"/>
  <c r="O251" i="5"/>
  <c r="P251" i="5" s="1"/>
  <c r="P175" i="5"/>
  <c r="O231" i="5"/>
  <c r="P231" i="5" s="1"/>
  <c r="O279" i="5"/>
  <c r="P279" i="5" s="1"/>
  <c r="O252" i="5"/>
  <c r="P252" i="5" s="1"/>
  <c r="P154" i="5"/>
  <c r="P46" i="5"/>
  <c r="R259" i="5"/>
  <c r="Q259" i="5"/>
  <c r="P9" i="5"/>
  <c r="O56" i="5"/>
  <c r="Q303" i="5"/>
  <c r="R303" i="5"/>
  <c r="R287" i="5"/>
  <c r="Q287" i="5"/>
  <c r="O162" i="5"/>
  <c r="P162" i="5" s="1"/>
  <c r="O149" i="5"/>
  <c r="R273" i="5"/>
  <c r="Q273" i="5"/>
  <c r="O275" i="5"/>
  <c r="P275" i="5" s="1"/>
  <c r="O103" i="5"/>
  <c r="P103" i="5" s="1"/>
  <c r="O55" i="5"/>
  <c r="P55" i="5" s="1"/>
  <c r="O217" i="5"/>
  <c r="R318" i="5"/>
  <c r="Q318" i="5"/>
  <c r="O288" i="5"/>
  <c r="P288" i="5" s="1"/>
  <c r="O64" i="5"/>
  <c r="P64" i="5" s="1"/>
  <c r="O238" i="5"/>
  <c r="P238" i="5" s="1"/>
  <c r="O157" i="5"/>
  <c r="O236" i="5"/>
  <c r="P236" i="5" s="1"/>
  <c r="O2" i="5"/>
  <c r="O193" i="5"/>
  <c r="P193" i="5" s="1"/>
  <c r="P186" i="5"/>
  <c r="O201" i="5"/>
  <c r="P201" i="5" s="1"/>
  <c r="O255" i="5"/>
  <c r="P255" i="5" s="1"/>
  <c r="O90" i="5"/>
  <c r="P90" i="5" s="1"/>
  <c r="P115" i="5"/>
  <c r="O270" i="5"/>
  <c r="P270" i="5" s="1"/>
  <c r="O203" i="5"/>
  <c r="CG319" i="7"/>
  <c r="O239" i="5"/>
  <c r="P239" i="5" s="1"/>
  <c r="O124" i="5"/>
  <c r="O233" i="5"/>
  <c r="P233" i="5" s="1"/>
  <c r="O262" i="5"/>
  <c r="P262" i="5" s="1"/>
  <c r="O58" i="5"/>
  <c r="P58" i="5" s="1"/>
  <c r="O75" i="5"/>
  <c r="O125" i="5"/>
  <c r="O132" i="5"/>
  <c r="O212" i="5"/>
  <c r="P212" i="5" s="1"/>
  <c r="O160" i="5"/>
  <c r="P160" i="5" s="1"/>
  <c r="O221" i="5"/>
  <c r="P221" i="5" s="1"/>
  <c r="O179" i="5"/>
  <c r="P179" i="5" s="1"/>
  <c r="O32" i="5"/>
  <c r="O77" i="5"/>
  <c r="P77" i="5" s="1"/>
  <c r="O74" i="5"/>
  <c r="P74" i="5" s="1"/>
  <c r="R304" i="5"/>
  <c r="Q304" i="5"/>
  <c r="R295" i="5"/>
  <c r="Q295" i="5"/>
  <c r="P153" i="5"/>
  <c r="O242" i="5"/>
  <c r="P242" i="5" s="1"/>
  <c r="O210" i="5"/>
  <c r="P210" i="5" s="1"/>
  <c r="O119" i="5"/>
  <c r="O141" i="5"/>
  <c r="P126" i="5"/>
  <c r="O24" i="5"/>
  <c r="P24" i="5" s="1"/>
  <c r="O48" i="5"/>
  <c r="P48" i="5" s="1"/>
  <c r="O87" i="5"/>
  <c r="P87" i="5" s="1"/>
  <c r="O182" i="5"/>
  <c r="R292" i="5"/>
  <c r="Q292" i="5"/>
  <c r="P232" i="5"/>
  <c r="O269" i="5"/>
  <c r="P269" i="5" s="1"/>
  <c r="P152" i="5"/>
  <c r="O97" i="5"/>
  <c r="P97" i="5" s="1"/>
  <c r="P124" i="5"/>
  <c r="P35" i="5"/>
  <c r="P141" i="5"/>
  <c r="P51" i="5"/>
  <c r="O95" i="5"/>
  <c r="P68" i="5"/>
  <c r="P235" i="5"/>
  <c r="O207" i="5"/>
  <c r="P207" i="5" s="1"/>
  <c r="O102" i="5"/>
  <c r="P102" i="5" s="1"/>
  <c r="P52" i="5"/>
  <c r="P194" i="5"/>
  <c r="P149" i="5"/>
  <c r="P62" i="5"/>
  <c r="Z17" i="5"/>
  <c r="O118" i="5"/>
  <c r="O120" i="5"/>
  <c r="O10" i="5"/>
  <c r="P10" i="5" s="1"/>
  <c r="P96" i="5"/>
  <c r="P148" i="5"/>
  <c r="P54" i="5"/>
  <c r="P190" i="5"/>
  <c r="R313" i="5"/>
  <c r="Q313" i="5"/>
  <c r="O298" i="5"/>
  <c r="P298" i="5" s="1"/>
  <c r="P217" i="5"/>
  <c r="P57" i="5"/>
  <c r="P85" i="5"/>
  <c r="P18" i="5"/>
  <c r="P29" i="5"/>
  <c r="P41" i="5"/>
  <c r="O82" i="5"/>
  <c r="P82" i="5" s="1"/>
  <c r="O38" i="5"/>
  <c r="O167" i="5"/>
  <c r="P167" i="5" s="1"/>
  <c r="O158" i="5"/>
  <c r="P158" i="5" s="1"/>
  <c r="O11" i="5"/>
  <c r="O20" i="5"/>
  <c r="P20" i="5" s="1"/>
  <c r="O185" i="5"/>
  <c r="P185" i="5" s="1"/>
  <c r="O192" i="5"/>
  <c r="P192" i="5" s="1"/>
  <c r="O139" i="5"/>
  <c r="O213" i="5"/>
  <c r="P213" i="5" s="1"/>
  <c r="O142" i="5"/>
  <c r="P142" i="5" s="1"/>
  <c r="O240" i="5"/>
  <c r="P240" i="5" s="1"/>
  <c r="O186" i="5"/>
  <c r="O104" i="5"/>
  <c r="P104" i="5" s="1"/>
  <c r="O30" i="5"/>
  <c r="O44" i="5"/>
  <c r="O112" i="5"/>
  <c r="P112" i="5" s="1"/>
  <c r="O34" i="5"/>
  <c r="O249" i="5"/>
  <c r="P249" i="5" s="1"/>
  <c r="O300" i="5"/>
  <c r="P300" i="5" s="1"/>
  <c r="O155" i="5"/>
  <c r="P155" i="5" s="1"/>
  <c r="O116" i="5"/>
  <c r="P116" i="5" s="1"/>
  <c r="O43" i="5"/>
  <c r="O115" i="5"/>
  <c r="O53" i="5"/>
  <c r="O92" i="5"/>
  <c r="P92" i="5" s="1"/>
  <c r="O68" i="5"/>
  <c r="O290" i="5"/>
  <c r="P290" i="5" s="1"/>
  <c r="O257" i="5"/>
  <c r="P257" i="5" s="1"/>
  <c r="O12" i="5"/>
  <c r="P12" i="5" s="1"/>
  <c r="O276" i="5"/>
  <c r="P276" i="5" s="1"/>
  <c r="O197" i="5"/>
  <c r="O93" i="5"/>
  <c r="O209" i="5"/>
  <c r="O71" i="5"/>
  <c r="P71" i="5" s="1"/>
  <c r="O105" i="5"/>
  <c r="O94" i="5"/>
  <c r="O205" i="5"/>
  <c r="O27" i="5"/>
  <c r="P27" i="5" s="1"/>
  <c r="O291" i="5"/>
  <c r="P291" i="5" s="1"/>
  <c r="O293" i="5"/>
  <c r="P293" i="5" s="1"/>
  <c r="O127" i="5"/>
  <c r="P127" i="5" s="1"/>
  <c r="O61" i="5"/>
  <c r="P61" i="5" s="1"/>
  <c r="O33" i="5"/>
  <c r="P33" i="5" s="1"/>
  <c r="O8" i="5"/>
  <c r="O171" i="5"/>
  <c r="P171" i="5" s="1"/>
  <c r="O165" i="5"/>
  <c r="P165" i="5" s="1"/>
  <c r="O137" i="5"/>
  <c r="P137" i="5" s="1"/>
  <c r="O109" i="5"/>
  <c r="O25" i="5"/>
  <c r="P25" i="5" s="1"/>
  <c r="O6" i="5"/>
  <c r="P6" i="5" s="1"/>
  <c r="O4" i="5"/>
  <c r="P4" i="5" s="1"/>
  <c r="O35" i="5"/>
  <c r="O285" i="5"/>
  <c r="P285" i="5" s="1"/>
  <c r="O152" i="5"/>
  <c r="O208" i="5"/>
  <c r="P208" i="5" s="1"/>
  <c r="O223" i="5"/>
  <c r="P223" i="5" s="1"/>
  <c r="O261" i="5"/>
  <c r="P261" i="5" s="1"/>
  <c r="O128" i="5"/>
  <c r="P128" i="5" s="1"/>
  <c r="O81" i="5"/>
  <c r="O281" i="5"/>
  <c r="P281" i="5" s="1"/>
  <c r="O282" i="5"/>
  <c r="P282" i="5" s="1"/>
  <c r="O225" i="5"/>
  <c r="P225" i="5" s="1"/>
  <c r="O80" i="5"/>
  <c r="P80" i="5" s="1"/>
  <c r="O49" i="5"/>
  <c r="P49" i="5" s="1"/>
  <c r="O85" i="5"/>
  <c r="O265" i="5"/>
  <c r="P265" i="5" s="1"/>
  <c r="O286" i="5"/>
  <c r="P286" i="5" s="1"/>
  <c r="O101" i="5"/>
  <c r="P101" i="5" s="1"/>
  <c r="O133" i="5"/>
  <c r="P133" i="5" s="1"/>
  <c r="O202" i="5"/>
  <c r="P202" i="5" s="1"/>
  <c r="O147" i="5"/>
  <c r="P147" i="5" s="1"/>
  <c r="O28" i="5"/>
  <c r="P28" i="5" s="1"/>
  <c r="O111" i="5"/>
  <c r="P111" i="5" s="1"/>
  <c r="O46" i="5"/>
  <c r="O23" i="5"/>
  <c r="O7" i="5"/>
  <c r="P7" i="5" s="1"/>
  <c r="O181" i="5"/>
  <c r="O211" i="5"/>
  <c r="P211" i="5" s="1"/>
  <c r="O153" i="5"/>
  <c r="O144" i="5"/>
  <c r="P144" i="5" s="1"/>
  <c r="O134" i="5"/>
  <c r="P134" i="5" s="1"/>
  <c r="O172" i="5"/>
  <c r="P172" i="5" s="1"/>
  <c r="O31" i="5"/>
  <c r="P31" i="5" s="1"/>
  <c r="O98" i="5"/>
  <c r="P98" i="5" s="1"/>
  <c r="O60" i="5"/>
  <c r="O204" i="5"/>
  <c r="P204" i="5" s="1"/>
  <c r="O187" i="5"/>
  <c r="P187" i="5" s="1"/>
  <c r="O173" i="5"/>
  <c r="P173" i="5" s="1"/>
  <c r="O129" i="5"/>
  <c r="P129" i="5" s="1"/>
  <c r="O110" i="5"/>
  <c r="P110" i="5" s="1"/>
  <c r="O121" i="5"/>
  <c r="P121" i="5" s="1"/>
  <c r="O83" i="5"/>
  <c r="P83" i="5" s="1"/>
  <c r="O67" i="5"/>
  <c r="P67" i="5" s="1"/>
  <c r="O3" i="5"/>
  <c r="P3" i="5" s="1"/>
  <c r="O164" i="5"/>
  <c r="P164" i="5" s="1"/>
  <c r="O280" i="5"/>
  <c r="P280" i="5" s="1"/>
  <c r="P139" i="5"/>
  <c r="P105" i="5"/>
  <c r="P40" i="5"/>
  <c r="O37" i="5"/>
  <c r="P37" i="5" s="1"/>
  <c r="O154" i="5"/>
  <c r="O36" i="5"/>
  <c r="O26" i="5"/>
  <c r="P26" i="5" s="1"/>
  <c r="O73" i="5"/>
  <c r="P73" i="5" s="1"/>
  <c r="O5" i="5"/>
  <c r="P5" i="5" s="1"/>
  <c r="P76" i="5"/>
  <c r="P135" i="5"/>
  <c r="P108" i="5"/>
  <c r="P161" i="5"/>
  <c r="P99" i="5"/>
  <c r="P11" i="5"/>
  <c r="P43" i="5"/>
  <c r="R284" i="5"/>
  <c r="Q284" i="5"/>
  <c r="O260" i="5"/>
  <c r="P260" i="5" s="1"/>
  <c r="R266" i="5"/>
  <c r="Q266" i="5"/>
  <c r="P203" i="5"/>
  <c r="P2" i="5"/>
  <c r="P113" i="5"/>
  <c r="P209" i="5"/>
  <c r="P205" i="5"/>
  <c r="P69" i="5"/>
  <c r="P156" i="5"/>
  <c r="P89" i="5"/>
  <c r="P119" i="5"/>
  <c r="P123" i="5"/>
  <c r="P248" i="5"/>
  <c r="P227" i="5"/>
  <c r="P34" i="5"/>
  <c r="P94" i="5"/>
  <c r="R308" i="5"/>
  <c r="Q308" i="5"/>
  <c r="O305" i="5"/>
  <c r="P305" i="5" s="1"/>
  <c r="P84" i="5"/>
  <c r="P72" i="5"/>
  <c r="P107" i="5"/>
  <c r="P120" i="5"/>
  <c r="P30" i="5"/>
  <c r="R246" i="5"/>
  <c r="Q246" i="5"/>
  <c r="P53" i="5"/>
  <c r="P109" i="5"/>
  <c r="P42" i="5"/>
  <c r="P140" i="5"/>
  <c r="P36" i="5"/>
  <c r="R250" i="5"/>
  <c r="Q250" i="5"/>
  <c r="R65" i="5"/>
  <c r="Q65" i="5"/>
  <c r="P23" i="5"/>
  <c r="P229" i="5"/>
  <c r="P182" i="5"/>
  <c r="P181" i="5"/>
  <c r="P75" i="5"/>
  <c r="P8" i="5"/>
  <c r="P56" i="5"/>
  <c r="P95" i="5"/>
  <c r="P253" i="5"/>
  <c r="R263" i="5"/>
  <c r="Q263" i="5"/>
  <c r="O170" i="5"/>
  <c r="P170" i="5" s="1"/>
  <c r="O196" i="5"/>
  <c r="P196" i="5" s="1"/>
  <c r="P59" i="5"/>
  <c r="P118" i="5"/>
  <c r="P50" i="5"/>
  <c r="P38" i="5"/>
  <c r="O307" i="5"/>
  <c r="P307" i="5" s="1"/>
  <c r="Q219" i="5"/>
  <c r="R219" i="5"/>
  <c r="P150" i="5"/>
  <c r="P32" i="5"/>
  <c r="P125" i="5"/>
  <c r="P163" i="5"/>
  <c r="P13" i="6"/>
  <c r="O228" i="5"/>
  <c r="P228" i="5" s="1"/>
  <c r="O198" i="5"/>
  <c r="P198" i="5" s="1"/>
  <c r="O245" i="5"/>
  <c r="P245" i="5" s="1"/>
  <c r="R247" i="5"/>
  <c r="Q247" i="5"/>
  <c r="P183" i="5"/>
  <c r="R315" i="5"/>
  <c r="Q315" i="5"/>
  <c r="P47" i="5"/>
  <c r="P60" i="5"/>
  <c r="P272" i="5"/>
  <c r="P39" i="5"/>
  <c r="Q134" i="5" l="1"/>
  <c r="R134" i="5"/>
  <c r="Q104" i="5"/>
  <c r="R104" i="5"/>
  <c r="R97" i="5"/>
  <c r="Q97" i="5"/>
  <c r="R26" i="5"/>
  <c r="Q26" i="5"/>
  <c r="R179" i="5"/>
  <c r="Q179" i="5"/>
  <c r="R208" i="5"/>
  <c r="Q208" i="5"/>
  <c r="R142" i="5"/>
  <c r="Q142" i="5"/>
  <c r="Q131" i="5"/>
  <c r="R131" i="5"/>
  <c r="R19" i="5"/>
  <c r="Q19" i="5"/>
  <c r="R106" i="5"/>
  <c r="Q106" i="5"/>
  <c r="R77" i="5"/>
  <c r="Q77" i="5"/>
  <c r="Q71" i="5"/>
  <c r="R71" i="5"/>
  <c r="R64" i="5"/>
  <c r="Q64" i="5"/>
  <c r="R10" i="5"/>
  <c r="Q10" i="5"/>
  <c r="R100" i="5"/>
  <c r="Q100" i="5"/>
  <c r="R45" i="5"/>
  <c r="Q45" i="5"/>
  <c r="R144" i="5"/>
  <c r="Q144" i="5"/>
  <c r="R37" i="5"/>
  <c r="Q37" i="5"/>
  <c r="R7" i="5"/>
  <c r="Q7" i="5"/>
  <c r="R170" i="5"/>
  <c r="Q170" i="5"/>
  <c r="R111" i="5"/>
  <c r="Q111" i="5"/>
  <c r="R12" i="5"/>
  <c r="Q12" i="5"/>
  <c r="R192" i="5"/>
  <c r="Q192" i="5"/>
  <c r="Q189" i="5"/>
  <c r="R189" i="5"/>
  <c r="R70" i="5"/>
  <c r="Q70" i="5"/>
  <c r="R74" i="5"/>
  <c r="Q74" i="5"/>
  <c r="R252" i="5"/>
  <c r="Q252" i="5"/>
  <c r="R164" i="5"/>
  <c r="Q164" i="5"/>
  <c r="R4" i="5"/>
  <c r="Q4" i="5"/>
  <c r="R3" i="5"/>
  <c r="Q3" i="5"/>
  <c r="R28" i="5"/>
  <c r="Q28" i="5"/>
  <c r="R6" i="5"/>
  <c r="Q6" i="5"/>
  <c r="R185" i="5"/>
  <c r="Q185" i="5"/>
  <c r="R87" i="5"/>
  <c r="Q87" i="5"/>
  <c r="R230" i="5"/>
  <c r="Q230" i="5"/>
  <c r="Q15" i="5"/>
  <c r="R15" i="5"/>
  <c r="R21" i="5"/>
  <c r="Q21" i="5"/>
  <c r="R202" i="5"/>
  <c r="Q202" i="5"/>
  <c r="R55" i="5"/>
  <c r="Q55" i="5"/>
  <c r="R121" i="5"/>
  <c r="Q121" i="5"/>
  <c r="R133" i="5"/>
  <c r="Q133" i="5"/>
  <c r="R137" i="5"/>
  <c r="Q137" i="5"/>
  <c r="R92" i="5"/>
  <c r="Q92" i="5"/>
  <c r="Q158" i="5"/>
  <c r="R158" i="5"/>
  <c r="R233" i="5"/>
  <c r="Q233" i="5"/>
  <c r="Q103" i="5"/>
  <c r="R103" i="5"/>
  <c r="R199" i="5"/>
  <c r="Q199" i="5"/>
  <c r="R78" i="5"/>
  <c r="Q78" i="5"/>
  <c r="R13" i="5"/>
  <c r="Q13" i="5"/>
  <c r="R223" i="5"/>
  <c r="Q223" i="5"/>
  <c r="R25" i="5"/>
  <c r="Q25" i="5"/>
  <c r="R83" i="5"/>
  <c r="Q83" i="5"/>
  <c r="Q129" i="5"/>
  <c r="R129" i="5"/>
  <c r="R171" i="5"/>
  <c r="Q171" i="5"/>
  <c r="R143" i="5"/>
  <c r="Q143" i="5"/>
  <c r="R180" i="5"/>
  <c r="Q180" i="5"/>
  <c r="Q226" i="5"/>
  <c r="R226" i="5"/>
  <c r="R187" i="5"/>
  <c r="Q187" i="5"/>
  <c r="R200" i="5"/>
  <c r="Q200" i="5"/>
  <c r="Q165" i="5"/>
  <c r="R165" i="5"/>
  <c r="Q198" i="5"/>
  <c r="R198" i="5"/>
  <c r="R207" i="5"/>
  <c r="Q207" i="5"/>
  <c r="R49" i="5"/>
  <c r="Q49" i="5"/>
  <c r="R155" i="5"/>
  <c r="Q155" i="5"/>
  <c r="R162" i="5"/>
  <c r="Q162" i="5"/>
  <c r="R136" i="5"/>
  <c r="Q136" i="5"/>
  <c r="R80" i="5"/>
  <c r="Q80" i="5"/>
  <c r="Q127" i="5"/>
  <c r="R127" i="5"/>
  <c r="R91" i="5"/>
  <c r="Q91" i="5"/>
  <c r="R17" i="5"/>
  <c r="Q17" i="5"/>
  <c r="R58" i="5"/>
  <c r="Q58" i="5"/>
  <c r="R101" i="5"/>
  <c r="Q101" i="5"/>
  <c r="R102" i="5"/>
  <c r="Q102" i="5"/>
  <c r="Q33" i="5"/>
  <c r="R33" i="5"/>
  <c r="R61" i="5"/>
  <c r="Q61" i="5"/>
  <c r="R195" i="5"/>
  <c r="Q195" i="5"/>
  <c r="Q86" i="5"/>
  <c r="R86" i="5"/>
  <c r="R98" i="5"/>
  <c r="Q98" i="5"/>
  <c r="R90" i="5"/>
  <c r="Q90" i="5"/>
  <c r="R48" i="5"/>
  <c r="Q48" i="5"/>
  <c r="R222" i="5"/>
  <c r="Q222" i="5"/>
  <c r="R110" i="5"/>
  <c r="Q110" i="5"/>
  <c r="Q167" i="5"/>
  <c r="R167" i="5"/>
  <c r="Q82" i="5"/>
  <c r="R82" i="5"/>
  <c r="Q116" i="5"/>
  <c r="R116" i="5"/>
  <c r="R5" i="5"/>
  <c r="Q5" i="5"/>
  <c r="R31" i="5"/>
  <c r="Q31" i="5"/>
  <c r="Q73" i="5"/>
  <c r="R73" i="5"/>
  <c r="R172" i="5"/>
  <c r="Q172" i="5"/>
  <c r="R112" i="5"/>
  <c r="Q112" i="5"/>
  <c r="R201" i="5"/>
  <c r="Q201" i="5"/>
  <c r="Q63" i="5"/>
  <c r="R63" i="5"/>
  <c r="R39" i="5"/>
  <c r="Q39" i="5"/>
  <c r="Q36" i="5"/>
  <c r="R36" i="5"/>
  <c r="R20" i="5"/>
  <c r="Q20" i="5"/>
  <c r="R237" i="5"/>
  <c r="Q237" i="5"/>
  <c r="Q178" i="5"/>
  <c r="R178" i="5"/>
  <c r="R257" i="5"/>
  <c r="Q257" i="5"/>
  <c r="R66" i="5"/>
  <c r="Q66" i="5"/>
  <c r="R248" i="5"/>
  <c r="Q248" i="5"/>
  <c r="R245" i="5"/>
  <c r="Q245" i="5"/>
  <c r="R123" i="5"/>
  <c r="Q123" i="5"/>
  <c r="R235" i="5"/>
  <c r="Q235" i="5"/>
  <c r="Q132" i="5"/>
  <c r="R132" i="5"/>
  <c r="R88" i="5"/>
  <c r="Q88" i="5"/>
  <c r="R274" i="5"/>
  <c r="Q274" i="5"/>
  <c r="R59" i="5"/>
  <c r="Q59" i="5"/>
  <c r="R227" i="5"/>
  <c r="Q227" i="5"/>
  <c r="R57" i="5"/>
  <c r="Q57" i="5"/>
  <c r="R126" i="5"/>
  <c r="Q126" i="5"/>
  <c r="R154" i="5"/>
  <c r="Q154" i="5"/>
  <c r="R196" i="5"/>
  <c r="Q196" i="5"/>
  <c r="Q140" i="5"/>
  <c r="R140" i="5"/>
  <c r="R43" i="5"/>
  <c r="Q43" i="5"/>
  <c r="R217" i="5"/>
  <c r="Q217" i="5"/>
  <c r="R68" i="5"/>
  <c r="Q68" i="5"/>
  <c r="R210" i="5"/>
  <c r="Q210" i="5"/>
  <c r="R279" i="5"/>
  <c r="Q279" i="5"/>
  <c r="R122" i="5"/>
  <c r="Q122" i="5"/>
  <c r="R177" i="5"/>
  <c r="Q177" i="5"/>
  <c r="Q79" i="5"/>
  <c r="R79" i="5"/>
  <c r="Q44" i="5"/>
  <c r="R44" i="5"/>
  <c r="R262" i="5"/>
  <c r="Q262" i="5"/>
  <c r="R290" i="5"/>
  <c r="Q290" i="5"/>
  <c r="R228" i="5"/>
  <c r="Q228" i="5"/>
  <c r="R298" i="5"/>
  <c r="Q298" i="5"/>
  <c r="R242" i="5"/>
  <c r="Q242" i="5"/>
  <c r="R239" i="5"/>
  <c r="Q239" i="5"/>
  <c r="Q243" i="5"/>
  <c r="R243" i="5"/>
  <c r="R183" i="5"/>
  <c r="Q183" i="5"/>
  <c r="R24" i="5"/>
  <c r="Q24" i="5"/>
  <c r="Q147" i="5"/>
  <c r="R147" i="5"/>
  <c r="R89" i="5"/>
  <c r="S89" i="5" s="1"/>
  <c r="Q89" i="5"/>
  <c r="R99" i="5"/>
  <c r="Q99" i="5"/>
  <c r="Q153" i="5"/>
  <c r="R153" i="5"/>
  <c r="R231" i="5"/>
  <c r="Q231" i="5"/>
  <c r="Q244" i="5"/>
  <c r="R244" i="5"/>
  <c r="R215" i="5"/>
  <c r="Q215" i="5"/>
  <c r="R283" i="5"/>
  <c r="Q283" i="5"/>
  <c r="R288" i="5"/>
  <c r="Q288" i="5"/>
  <c r="R42" i="5"/>
  <c r="Q42" i="5"/>
  <c r="R119" i="5"/>
  <c r="Q119" i="5"/>
  <c r="Q11" i="5"/>
  <c r="R11" i="5"/>
  <c r="R253" i="5"/>
  <c r="Q253" i="5"/>
  <c r="R161" i="5"/>
  <c r="Q161" i="5"/>
  <c r="R163" i="5"/>
  <c r="Q163" i="5"/>
  <c r="R95" i="5"/>
  <c r="Q95" i="5"/>
  <c r="Q156" i="5"/>
  <c r="R156" i="5"/>
  <c r="R108" i="5"/>
  <c r="Q108" i="5"/>
  <c r="R173" i="5"/>
  <c r="Q173" i="5"/>
  <c r="R265" i="5"/>
  <c r="Q265" i="5"/>
  <c r="R51" i="5"/>
  <c r="Q51" i="5"/>
  <c r="R275" i="5"/>
  <c r="Q275" i="5"/>
  <c r="R181" i="5"/>
  <c r="Q181" i="5"/>
  <c r="R69" i="5"/>
  <c r="Q69" i="5"/>
  <c r="R118" i="5"/>
  <c r="Q118" i="5"/>
  <c r="R85" i="5"/>
  <c r="Q85" i="5"/>
  <c r="R218" i="5"/>
  <c r="Q218" i="5"/>
  <c r="R67" i="5"/>
  <c r="Q67" i="5"/>
  <c r="R109" i="5"/>
  <c r="Q109" i="5"/>
  <c r="R286" i="5"/>
  <c r="Q286" i="5"/>
  <c r="R125" i="5"/>
  <c r="Q125" i="5"/>
  <c r="R56" i="5"/>
  <c r="Q56" i="5"/>
  <c r="Q135" i="5"/>
  <c r="R135" i="5"/>
  <c r="S135" i="5" s="1"/>
  <c r="R270" i="5"/>
  <c r="Q270" i="5"/>
  <c r="R138" i="5"/>
  <c r="Q138" i="5"/>
  <c r="Q117" i="5"/>
  <c r="R117" i="5"/>
  <c r="R204" i="5"/>
  <c r="Q204" i="5"/>
  <c r="R16" i="5"/>
  <c r="Q16" i="5"/>
  <c r="Q130" i="5"/>
  <c r="R130" i="5"/>
  <c r="Q188" i="5"/>
  <c r="R188" i="5"/>
  <c r="R34" i="5"/>
  <c r="Q34" i="5"/>
  <c r="Q52" i="5"/>
  <c r="R52" i="5"/>
  <c r="R46" i="5"/>
  <c r="Q46" i="5"/>
  <c r="R157" i="5"/>
  <c r="Q157" i="5"/>
  <c r="R32" i="5"/>
  <c r="Q32" i="5"/>
  <c r="Q8" i="5"/>
  <c r="R8" i="5"/>
  <c r="R53" i="5"/>
  <c r="Q53" i="5"/>
  <c r="R76" i="5"/>
  <c r="Q76" i="5"/>
  <c r="R190" i="5"/>
  <c r="Q190" i="5"/>
  <c r="R141" i="5"/>
  <c r="Q141" i="5"/>
  <c r="Q115" i="5"/>
  <c r="R115" i="5"/>
  <c r="R175" i="5"/>
  <c r="Q175" i="5"/>
  <c r="R296" i="5"/>
  <c r="Q296" i="5"/>
  <c r="Q150" i="5"/>
  <c r="R150" i="5"/>
  <c r="R75" i="5"/>
  <c r="Q75" i="5"/>
  <c r="R300" i="5"/>
  <c r="Q300" i="5"/>
  <c r="R35" i="5"/>
  <c r="Q35" i="5"/>
  <c r="R251" i="5"/>
  <c r="Q251" i="5"/>
  <c r="R81" i="5"/>
  <c r="Q81" i="5"/>
  <c r="R176" i="5"/>
  <c r="Q176" i="5"/>
  <c r="R148" i="5"/>
  <c r="Q148" i="5"/>
  <c r="Q264" i="5"/>
  <c r="R264" i="5"/>
  <c r="R307" i="5"/>
  <c r="Q307" i="5"/>
  <c r="R229" i="5"/>
  <c r="S229" i="5" s="1"/>
  <c r="Q229" i="5"/>
  <c r="R205" i="5"/>
  <c r="Q205" i="5"/>
  <c r="R23" i="5"/>
  <c r="Q23" i="5"/>
  <c r="Q107" i="5"/>
  <c r="R107" i="5"/>
  <c r="Q113" i="5"/>
  <c r="R113" i="5"/>
  <c r="R128" i="5"/>
  <c r="Q128" i="5"/>
  <c r="Q232" i="5"/>
  <c r="R232" i="5"/>
  <c r="R193" i="5"/>
  <c r="Q193" i="5"/>
  <c r="R220" i="5"/>
  <c r="Q220" i="5"/>
  <c r="Q249" i="5"/>
  <c r="R249" i="5"/>
  <c r="S249" i="5" s="1"/>
  <c r="R54" i="5"/>
  <c r="Q54" i="5"/>
  <c r="R124" i="5"/>
  <c r="Q124" i="5"/>
  <c r="R174" i="5"/>
  <c r="Q174" i="5"/>
  <c r="R282" i="5"/>
  <c r="Q282" i="5"/>
  <c r="R281" i="5"/>
  <c r="Q281" i="5"/>
  <c r="R96" i="5"/>
  <c r="Q96" i="5"/>
  <c r="R306" i="5"/>
  <c r="Q306" i="5"/>
  <c r="Q93" i="5"/>
  <c r="R93" i="5"/>
  <c r="R221" i="5"/>
  <c r="Q221" i="5"/>
  <c r="R169" i="5"/>
  <c r="Q169" i="5"/>
  <c r="R224" i="5"/>
  <c r="S224" i="5" s="1"/>
  <c r="Q224" i="5"/>
  <c r="Q293" i="5"/>
  <c r="R293" i="5"/>
  <c r="R22" i="5"/>
  <c r="Q22" i="5"/>
  <c r="R197" i="5"/>
  <c r="Q197" i="5"/>
  <c r="R272" i="5"/>
  <c r="Q272" i="5"/>
  <c r="R182" i="5"/>
  <c r="Q182" i="5"/>
  <c r="R255" i="5"/>
  <c r="Q255" i="5"/>
  <c r="R186" i="5"/>
  <c r="Q186" i="5"/>
  <c r="R72" i="5"/>
  <c r="Q72" i="5"/>
  <c r="R2" i="5"/>
  <c r="S313" i="5" s="1"/>
  <c r="Q2" i="5"/>
  <c r="R261" i="5"/>
  <c r="Q261" i="5"/>
  <c r="Q47" i="5"/>
  <c r="R47" i="5"/>
  <c r="R50" i="5"/>
  <c r="Q50" i="5"/>
  <c r="R84" i="5"/>
  <c r="Q84" i="5"/>
  <c r="R40" i="5"/>
  <c r="Q40" i="5"/>
  <c r="R211" i="5"/>
  <c r="Q211" i="5"/>
  <c r="R160" i="5"/>
  <c r="Q160" i="5"/>
  <c r="R146" i="5"/>
  <c r="Q146" i="5"/>
  <c r="R241" i="5"/>
  <c r="Q241" i="5"/>
  <c r="Q206" i="5"/>
  <c r="R206" i="5"/>
  <c r="R225" i="5"/>
  <c r="S225" i="5" s="1"/>
  <c r="Q225" i="5"/>
  <c r="R41" i="5"/>
  <c r="Q41" i="5"/>
  <c r="R30" i="5"/>
  <c r="Q30" i="5"/>
  <c r="R60" i="5"/>
  <c r="Q60" i="5"/>
  <c r="R38" i="5"/>
  <c r="Q38" i="5"/>
  <c r="R120" i="5"/>
  <c r="Q120" i="5"/>
  <c r="R209" i="5"/>
  <c r="Q209" i="5"/>
  <c r="R305" i="5"/>
  <c r="Q305" i="5"/>
  <c r="R203" i="5"/>
  <c r="Q203" i="5"/>
  <c r="Q105" i="5"/>
  <c r="R105" i="5"/>
  <c r="R240" i="5"/>
  <c r="Q240" i="5"/>
  <c r="R212" i="5"/>
  <c r="Q212" i="5"/>
  <c r="R236" i="5"/>
  <c r="Q236" i="5"/>
  <c r="R271" i="5"/>
  <c r="Q271" i="5"/>
  <c r="R27" i="5"/>
  <c r="Q27" i="5"/>
  <c r="R152" i="5"/>
  <c r="Q152" i="5"/>
  <c r="R254" i="5"/>
  <c r="Q254" i="5"/>
  <c r="R269" i="5"/>
  <c r="Q269" i="5"/>
  <c r="R139" i="5"/>
  <c r="Q139" i="5"/>
  <c r="R62" i="5"/>
  <c r="Q62" i="5"/>
  <c r="Q9" i="5"/>
  <c r="R9" i="5"/>
  <c r="S295" i="5" s="1"/>
  <c r="S309" i="5"/>
  <c r="R285" i="5"/>
  <c r="Q285" i="5"/>
  <c r="R213" i="5"/>
  <c r="Q213" i="5"/>
  <c r="R18" i="5"/>
  <c r="Q18" i="5"/>
  <c r="R149" i="5"/>
  <c r="Q149" i="5"/>
  <c r="R238" i="5"/>
  <c r="Q238" i="5"/>
  <c r="R214" i="5"/>
  <c r="Q214" i="5"/>
  <c r="Q291" i="5"/>
  <c r="R291" i="5"/>
  <c r="R14" i="5"/>
  <c r="Q14" i="5"/>
  <c r="R29" i="5"/>
  <c r="Q29" i="5"/>
  <c r="Q94" i="5"/>
  <c r="R94" i="5"/>
  <c r="R260" i="5"/>
  <c r="Q260" i="5"/>
  <c r="R280" i="5"/>
  <c r="Q280" i="5"/>
  <c r="R276" i="5"/>
  <c r="Q276" i="5"/>
  <c r="R194" i="5"/>
  <c r="Q194" i="5"/>
  <c r="S140" i="5" l="1"/>
  <c r="S267" i="5"/>
  <c r="S127" i="5"/>
  <c r="S315" i="5"/>
  <c r="S216" i="5"/>
  <c r="S86" i="5"/>
  <c r="S158" i="5"/>
  <c r="S316" i="5"/>
  <c r="S238" i="5"/>
  <c r="S254" i="5"/>
  <c r="S120" i="5"/>
  <c r="S96" i="5"/>
  <c r="S114" i="5"/>
  <c r="S190" i="5"/>
  <c r="S16" i="5"/>
  <c r="S67" i="5"/>
  <c r="S156" i="5"/>
  <c r="S294" i="5"/>
  <c r="S227" i="5"/>
  <c r="S257" i="5"/>
  <c r="S136" i="5"/>
  <c r="S143" i="5"/>
  <c r="S185" i="5"/>
  <c r="S12" i="5"/>
  <c r="S77" i="5"/>
  <c r="S103" i="5"/>
  <c r="S149" i="5"/>
  <c r="S152" i="5"/>
  <c r="S38" i="5"/>
  <c r="S281" i="5"/>
  <c r="S113" i="5"/>
  <c r="S251" i="5"/>
  <c r="S76" i="5"/>
  <c r="S204" i="5"/>
  <c r="S218" i="5"/>
  <c r="S244" i="5"/>
  <c r="S279" i="5"/>
  <c r="S59" i="5"/>
  <c r="S31" i="5"/>
  <c r="S195" i="5"/>
  <c r="S162" i="5"/>
  <c r="S171" i="5"/>
  <c r="S92" i="5"/>
  <c r="S6" i="5"/>
  <c r="S111" i="5"/>
  <c r="S106" i="5"/>
  <c r="S308" i="5"/>
  <c r="S46" i="5"/>
  <c r="S206" i="5"/>
  <c r="S14" i="5"/>
  <c r="S188" i="5"/>
  <c r="S211" i="5"/>
  <c r="S215" i="5"/>
  <c r="S129" i="5"/>
  <c r="S107" i="5"/>
  <c r="S5" i="5"/>
  <c r="S61" i="5"/>
  <c r="S155" i="5"/>
  <c r="S137" i="5"/>
  <c r="S28" i="5"/>
  <c r="S170" i="5"/>
  <c r="S19" i="5"/>
  <c r="S240" i="5"/>
  <c r="S169" i="5"/>
  <c r="S287" i="5"/>
  <c r="S291" i="5"/>
  <c r="S93" i="5"/>
  <c r="S248" i="5"/>
  <c r="S160" i="5"/>
  <c r="S108" i="5"/>
  <c r="S73" i="5"/>
  <c r="S259" i="5"/>
  <c r="S128" i="5"/>
  <c r="S239" i="5"/>
  <c r="S178" i="5"/>
  <c r="S194" i="5"/>
  <c r="S40" i="5"/>
  <c r="S117" i="5"/>
  <c r="S242" i="5"/>
  <c r="S18" i="5"/>
  <c r="S282" i="5"/>
  <c r="S197" i="5"/>
  <c r="S35" i="5"/>
  <c r="S8" i="5"/>
  <c r="S163" i="5"/>
  <c r="S231" i="5"/>
  <c r="S298" i="5"/>
  <c r="S237" i="5"/>
  <c r="S116" i="5"/>
  <c r="S33" i="5"/>
  <c r="S131" i="5"/>
  <c r="S72" i="5"/>
  <c r="S148" i="5"/>
  <c r="S305" i="5"/>
  <c r="S255" i="5"/>
  <c r="S138" i="5"/>
  <c r="S118" i="5"/>
  <c r="S153" i="5"/>
  <c r="S68" i="5"/>
  <c r="S88" i="5"/>
  <c r="S299" i="5"/>
  <c r="S49" i="5"/>
  <c r="S83" i="5"/>
  <c r="S133" i="5"/>
  <c r="S3" i="5"/>
  <c r="S7" i="5"/>
  <c r="S262" i="5"/>
  <c r="S261" i="5"/>
  <c r="S307" i="5"/>
  <c r="S241" i="5"/>
  <c r="S115" i="5"/>
  <c r="S226" i="5"/>
  <c r="S269" i="5"/>
  <c r="S81" i="5"/>
  <c r="S283" i="5"/>
  <c r="S182" i="5"/>
  <c r="S95" i="5"/>
  <c r="S234" i="5"/>
  <c r="S60" i="5"/>
  <c r="S85" i="5"/>
  <c r="S210" i="5"/>
  <c r="S276" i="5"/>
  <c r="S84" i="5"/>
  <c r="S213" i="5"/>
  <c r="S271" i="5"/>
  <c r="S65" i="5"/>
  <c r="S174" i="5"/>
  <c r="S280" i="5"/>
  <c r="S30" i="5"/>
  <c r="S22" i="5"/>
  <c r="S23" i="5"/>
  <c r="S300" i="5"/>
  <c r="S161" i="5"/>
  <c r="S228" i="5"/>
  <c r="S132" i="5"/>
  <c r="S82" i="5"/>
  <c r="S184" i="5"/>
  <c r="S165" i="5"/>
  <c r="S277" i="5"/>
  <c r="S263" i="5"/>
  <c r="S203" i="5"/>
  <c r="S220" i="5"/>
  <c r="S303" i="5"/>
  <c r="S265" i="5"/>
  <c r="S214" i="5"/>
  <c r="S209" i="5"/>
  <c r="S292" i="5"/>
  <c r="S122" i="5"/>
  <c r="S272" i="5"/>
  <c r="S304" i="5"/>
  <c r="S27" i="5"/>
  <c r="S53" i="5"/>
  <c r="S274" i="5"/>
  <c r="S151" i="5"/>
  <c r="S285" i="5"/>
  <c r="S236" i="5"/>
  <c r="S50" i="5"/>
  <c r="S293" i="5"/>
  <c r="S124" i="5"/>
  <c r="S32" i="5"/>
  <c r="S270" i="5"/>
  <c r="S69" i="5"/>
  <c r="S217" i="5"/>
  <c r="S20" i="5"/>
  <c r="S102" i="5"/>
  <c r="S207" i="5"/>
  <c r="S25" i="5"/>
  <c r="S121" i="5"/>
  <c r="S4" i="5"/>
  <c r="S37" i="5"/>
  <c r="S142" i="5"/>
  <c r="S235" i="5"/>
  <c r="S284" i="5"/>
  <c r="S139" i="5"/>
  <c r="S260" i="5"/>
  <c r="S266" i="5"/>
  <c r="S41" i="5"/>
  <c r="S47" i="5"/>
  <c r="S205" i="5"/>
  <c r="S75" i="5"/>
  <c r="S253" i="5"/>
  <c r="S99" i="5"/>
  <c r="S290" i="5"/>
  <c r="S318" i="5"/>
  <c r="S36" i="5"/>
  <c r="S167" i="5"/>
  <c r="S198" i="5"/>
  <c r="S94" i="5"/>
  <c r="S246" i="5"/>
  <c r="S212" i="5"/>
  <c r="S54" i="5"/>
  <c r="S150" i="5"/>
  <c r="S157" i="5"/>
  <c r="S181" i="5"/>
  <c r="S11" i="5"/>
  <c r="S43" i="5"/>
  <c r="S101" i="5"/>
  <c r="S223" i="5"/>
  <c r="S55" i="5"/>
  <c r="S164" i="5"/>
  <c r="S144" i="5"/>
  <c r="S208" i="5"/>
  <c r="S39" i="5"/>
  <c r="S110" i="5"/>
  <c r="S58" i="5"/>
  <c r="S13" i="5"/>
  <c r="S202" i="5"/>
  <c r="S252" i="5"/>
  <c r="S45" i="5"/>
  <c r="S179" i="5"/>
  <c r="S222" i="5"/>
  <c r="S17" i="5"/>
  <c r="S200" i="5"/>
  <c r="S78" i="5"/>
  <c r="S21" i="5"/>
  <c r="S74" i="5"/>
  <c r="S100" i="5"/>
  <c r="S26" i="5"/>
  <c r="S9" i="5"/>
  <c r="S302" i="5"/>
  <c r="S296" i="5"/>
  <c r="S52" i="5"/>
  <c r="S275" i="5"/>
  <c r="S119" i="5"/>
  <c r="S147" i="5"/>
  <c r="S44" i="5"/>
  <c r="S123" i="5"/>
  <c r="S63" i="5"/>
  <c r="S29" i="5"/>
  <c r="S301" i="5"/>
  <c r="S2" i="5"/>
  <c r="S258" i="5"/>
  <c r="S311" i="5"/>
  <c r="S166" i="5"/>
  <c r="S278" i="5"/>
  <c r="S268" i="5"/>
  <c r="S191" i="5"/>
  <c r="S312" i="5"/>
  <c r="S297" i="5"/>
  <c r="S314" i="5"/>
  <c r="S317" i="5"/>
  <c r="S289" i="5"/>
  <c r="S310" i="5"/>
  <c r="S145" i="5"/>
  <c r="S159" i="5"/>
  <c r="S264" i="5"/>
  <c r="S56" i="5"/>
  <c r="S196" i="5"/>
  <c r="S62" i="5"/>
  <c r="S221" i="5"/>
  <c r="S175" i="5"/>
  <c r="S51" i="5"/>
  <c r="S42" i="5"/>
  <c r="S79" i="5"/>
  <c r="S245" i="5"/>
  <c r="S15" i="5"/>
  <c r="S273" i="5"/>
  <c r="S34" i="5"/>
  <c r="S125" i="5"/>
  <c r="S168" i="5"/>
  <c r="S24" i="5"/>
  <c r="S154" i="5"/>
  <c r="S201" i="5"/>
  <c r="S48" i="5"/>
  <c r="S91" i="5"/>
  <c r="S187" i="5"/>
  <c r="S199" i="5"/>
  <c r="S70" i="5"/>
  <c r="S10" i="5"/>
  <c r="S97" i="5"/>
  <c r="S189" i="5"/>
  <c r="S104" i="5"/>
  <c r="S105" i="5"/>
  <c r="S146" i="5"/>
  <c r="S286" i="5"/>
  <c r="S288" i="5"/>
  <c r="S183" i="5"/>
  <c r="S177" i="5"/>
  <c r="S126" i="5"/>
  <c r="S247" i="5"/>
  <c r="S112" i="5"/>
  <c r="S90" i="5"/>
  <c r="S230" i="5"/>
  <c r="S64" i="5"/>
  <c r="S186" i="5"/>
  <c r="S193" i="5"/>
  <c r="S176" i="5"/>
  <c r="S130" i="5"/>
  <c r="S173" i="5"/>
  <c r="S250" i="5"/>
  <c r="S219" i="5"/>
  <c r="S256" i="5"/>
  <c r="S71" i="5"/>
  <c r="S134" i="5"/>
  <c r="S306" i="5"/>
  <c r="S232" i="5"/>
  <c r="S141" i="5"/>
  <c r="S109" i="5"/>
  <c r="S243" i="5"/>
  <c r="S57" i="5"/>
  <c r="S66" i="5"/>
  <c r="S172" i="5"/>
  <c r="S98" i="5"/>
  <c r="S80" i="5"/>
  <c r="S180" i="5"/>
  <c r="S233" i="5"/>
  <c r="S87" i="5"/>
  <c r="S192" i="5"/>
</calcChain>
</file>

<file path=xl/sharedStrings.xml><?xml version="1.0" encoding="utf-8"?>
<sst xmlns="http://schemas.openxmlformats.org/spreadsheetml/2006/main" count="11581" uniqueCount="2306">
  <si>
    <t>service_name</t>
  </si>
  <si>
    <t>agency_responsible</t>
  </si>
  <si>
    <t>agency_count</t>
  </si>
  <si>
    <t>total_tickets</t>
  </si>
  <si>
    <t>tickets_2026</t>
  </si>
  <si>
    <t>open_now</t>
  </si>
  <si>
    <t>open_now_gt60d</t>
  </si>
  <si>
    <t>closed_tickets_used</t>
  </si>
  <si>
    <t>median_days_to_close</t>
  </si>
  <si>
    <t>mean_days_to_close</t>
  </si>
  <si>
    <t>p90_days_to_close</t>
  </si>
  <si>
    <t>p90_own</t>
  </si>
  <si>
    <t>p90_flag</t>
  </si>
  <si>
    <t>pct_of_agency_volume</t>
  </si>
  <si>
    <t>cumulative_pct</t>
  </si>
  <si>
    <t>in_core_set</t>
  </si>
  <si>
    <t>work_type</t>
  </si>
  <si>
    <t>work_category</t>
  </si>
  <si>
    <t>call_confidence</t>
  </si>
  <si>
    <t>why</t>
  </si>
  <si>
    <t>Parameters (edit yellow cells)</t>
  </si>
  <si>
    <t>CED - Filming and Drone Activities (Behind The Scenes)</t>
  </si>
  <si>
    <t>AO - Calgary Economic Development</t>
  </si>
  <si>
    <t>Non-crew</t>
  </si>
  <si>
    <t>Booking / application / permit / registration</t>
  </si>
  <si>
    <t>Clear</t>
  </si>
  <si>
    <t>Admin: an application, booking, permit, licence or registration.</t>
  </si>
  <si>
    <t>Core-set cutoff: cumulative % of agency volume</t>
  </si>
  <si>
    <t>Calgary Housing - General Inquiry</t>
  </si>
  <si>
    <t>AO - Calgary Housing</t>
  </si>
  <si>
    <t>Inquiry / information</t>
  </si>
  <si>
    <t>Question or information request answered by staff.</t>
  </si>
  <si>
    <t>p90 flag: min absolute gap (days)</t>
  </si>
  <si>
    <t>CHO - Affordable Housing</t>
  </si>
  <si>
    <t>CEO - Chief Housing Office</t>
  </si>
  <si>
    <t>p90 flag: min relative gap (vs own p90)</t>
  </si>
  <si>
    <t>AT - Property Tax Account Inquiry</t>
  </si>
  <si>
    <t>CPFS - Assessment and Tax</t>
  </si>
  <si>
    <t>Billing / tax / accounts / claims</t>
  </si>
  <si>
    <t>Desk work: tax, billing, accounts or claims.</t>
  </si>
  <si>
    <t>Finance - Property Tax Account Inquiry</t>
  </si>
  <si>
    <t>Notes</t>
  </si>
  <si>
    <t>Finance - ONLINE TIPP Agreement Request</t>
  </si>
  <si>
    <t>Source: 311_Service_Requests_20261002.zip (City of Calgary Open Data), 1,936,033 tickets, requested 2023-01-02 to 2026-10-01.</t>
  </si>
  <si>
    <t>Finance - TIPP Agreement Request</t>
  </si>
  <si>
    <t>Columns A-P: the original reference table (unchanged). Columns Q-T (green headers): crew vs non-crew call, added on the right.</t>
  </si>
  <si>
    <t>AT - Assessed Value</t>
  </si>
  <si>
    <t>Crew = a City work crew must go to a location and do hands-on work (repair, clean, remove, collect, clear snow/ice, utility failure).</t>
  </si>
  <si>
    <t>Finance - ONLINE Property Tax Document Request</t>
  </si>
  <si>
    <t>Non-crew = desk work, officers (bylaw/animal/licensing), inspectors, planning/new-infrastructure requests, private vendors.</t>
  </si>
  <si>
    <t>AT - Property Tax Bill and Statement Request</t>
  </si>
  <si>
    <t>call_confidence = Borderline: the type mixes crew and non-crew work; read 'why' before relying on it.</t>
  </si>
  <si>
    <t>AT - ONLINE Property Tax Document Request</t>
  </si>
  <si>
    <t>As-of date for open-ticket age: 2026-10-02 (export date in the file name).</t>
  </si>
  <si>
    <t>AT - TIPP Agreement Request</t>
  </si>
  <si>
    <t>Dates: requested_date = start, closed_date = end; date-only timestamps, so durations are whole days (same-day close = 0).</t>
  </si>
  <si>
    <t>AT - ONLINE TIPP Information Request</t>
  </si>
  <si>
    <t>days_to_close basis: status 'Closed' only, 0 to 1,095 days (3 x 365). 'Duplicate (Closed)' excluded.</t>
  </si>
  <si>
    <t>AT - Property Tax Invoice and Charge Inquiry</t>
  </si>
  <si>
    <t>Excluded from median/mean/p90_own: 64 Closed tickets over 3 years; 0 negative; 0 Closed with no close date.</t>
  </si>
  <si>
    <t>AT - Assessment General Inquiry</t>
  </si>
  <si>
    <t>open_now = status 'Open'. open_now_gt60d = Open and requested more than 60 days before the as-of date.</t>
  </si>
  <si>
    <t>AT - ONLINE TIPP Agreement Request</t>
  </si>
  <si>
    <t>agency_responsible = most common agency for the service (labels kept as-is, not remapped after the 2023 reorg).</t>
  </si>
  <si>
    <t>AT - Tax Account Maintenance</t>
  </si>
  <si>
    <t>Rows sorted by agency, then total_tickets. pct/cumulative/in_core_set are formulas that rely on that sort.</t>
  </si>
  <si>
    <t>AT - Property Tax Payment Adjustments and Tax Programs</t>
  </si>
  <si>
    <t>Finance - Tax Account Maintenance</t>
  </si>
  <si>
    <t>AT - BIA Tax Account Inquiry</t>
  </si>
  <si>
    <t>AT - (PTAP) Property Tax Assistance Program Inquiry</t>
  </si>
  <si>
    <t>AT - Assessment General Inquiry - After Hours and Overflow</t>
  </si>
  <si>
    <t>AT - Property Details</t>
  </si>
  <si>
    <t>Finance - BIA and Business Tax Inquiry</t>
  </si>
  <si>
    <t>AT - BTIPP Agreement Request</t>
  </si>
  <si>
    <t>ASMT - Assessment General Concern - After Hours and Overflow</t>
  </si>
  <si>
    <t>Feedback / complaint / compliment</t>
  </si>
  <si>
    <t>Feedback, complaint or compliment answered by staff; no field work.</t>
  </si>
  <si>
    <t>AT - School Support Notice Document Request</t>
  </si>
  <si>
    <t>AT - Assessment Property Details</t>
  </si>
  <si>
    <t>Finance - BTIPP Agreement Request</t>
  </si>
  <si>
    <t>Finance - School Support Notice Document Request</t>
  </si>
  <si>
    <t>Finance - Credit and Collection Inquiries</t>
  </si>
  <si>
    <t>CPFS - Finance</t>
  </si>
  <si>
    <t>Finance - ONLINE eBill Inquiry</t>
  </si>
  <si>
    <t>Finance - Corporate Billing and eBill Inquiry</t>
  </si>
  <si>
    <t>Finance - Accounts Payable</t>
  </si>
  <si>
    <t>Regulatory Affairs - General Inquiry</t>
  </si>
  <si>
    <t>Supply - General Inquiries</t>
  </si>
  <si>
    <t>CPFS - Supply Management</t>
  </si>
  <si>
    <t>AS - Animal Licence - Concerns on Existing</t>
  </si>
  <si>
    <t>CS - Calgary Community Standards</t>
  </si>
  <si>
    <t>Enforcement (officer)</t>
  </si>
  <si>
    <t>Handled by a bylaw/animal/licensing officer who issues notices or fines, not a work crew.</t>
  </si>
  <si>
    <t>AS - No Cost Spay or Neuter Program Inquiries</t>
  </si>
  <si>
    <t>AS - Livestock - Bird(s) in the City</t>
  </si>
  <si>
    <t>Compliance - BL - Employee Complaint  Compliment</t>
  </si>
  <si>
    <t>CEMA - Ready Calgary Inquiries</t>
  </si>
  <si>
    <t>CS - Calgary Emergency Management Agency</t>
  </si>
  <si>
    <t>CFD - Business Licence Inspection - FHB</t>
  </si>
  <si>
    <t>CS - Calgary Fire</t>
  </si>
  <si>
    <t>Inspection (inspector)</t>
  </si>
  <si>
    <t>An inspector visits to assess or approve; no repair work by a crew.</t>
  </si>
  <si>
    <t>CFD - Fire Code and General Inquiries - FHB</t>
  </si>
  <si>
    <t>CFD - Provincial Licence Inspection - FHB</t>
  </si>
  <si>
    <t>CFD - Fire Station Tour</t>
  </si>
  <si>
    <t>Program / education / event / tour</t>
  </si>
  <si>
    <t>Program, event, tour or education request.</t>
  </si>
  <si>
    <t>CFD - Life Safety Systems Inspection - FHB</t>
  </si>
  <si>
    <t>CFD - Fire Code Hazard Complaint - FHB</t>
  </si>
  <si>
    <t>Borderline</t>
  </si>
  <si>
    <t>A fire inspector visits; no repair crew.</t>
  </si>
  <si>
    <t>CFD - Incident Report Request</t>
  </si>
  <si>
    <t>CFD - Special Events Inspection - FHB</t>
  </si>
  <si>
    <t>CFD - Lockbox Inquiry - FHB</t>
  </si>
  <si>
    <t>CFD - Land Search - Property Search</t>
  </si>
  <si>
    <t>CFD - Fire Safety Plan Review - FHB</t>
  </si>
  <si>
    <t>CFD - Fire Truck Booking</t>
  </si>
  <si>
    <t>CFD - Mobile Food Concession Inspection - FHB</t>
  </si>
  <si>
    <t>CFD - Fireworks Pyro Open Flame Blasting Inspection - FHB</t>
  </si>
  <si>
    <t>CFD - Occupant Load Inspection - FHB</t>
  </si>
  <si>
    <t>CFD - Lockbox Programming or Billing Concern</t>
  </si>
  <si>
    <t>CFD - Smoke Alarm Inquiries &amp; Asst. for Seniors/Disabled</t>
  </si>
  <si>
    <t>CFD - Fire Drill - Warden Lecture - FHB</t>
  </si>
  <si>
    <t>CFD - Safe Housing - FHB</t>
  </si>
  <si>
    <t>CFD - Fire Safety Presentation</t>
  </si>
  <si>
    <t>CFD - Request to attend a Fire Drill - FHB</t>
  </si>
  <si>
    <t>CFD - Community Safety Inquiries</t>
  </si>
  <si>
    <t>CFD - Smoke Alarm Inquiries - Asst. for Seniors/Disabled</t>
  </si>
  <si>
    <t>CFD - SCHOOL Fire Drill with Local Fire Station - ONLINE</t>
  </si>
  <si>
    <t>CFD - Tank Inspection - FHB</t>
  </si>
  <si>
    <t>CFD - Building in Progress Inspection - FHB</t>
  </si>
  <si>
    <t>CFD - Invoice Inquiry</t>
  </si>
  <si>
    <t>CFD - Missed Annual Inspection - FHB</t>
  </si>
  <si>
    <t>CFD - Compliments / Thank You / Recognition</t>
  </si>
  <si>
    <t>CFD - Technical Services Review - FHB</t>
  </si>
  <si>
    <t>CFD - Hazmat Inquiries</t>
  </si>
  <si>
    <t>CFD - Public Affairs Inquiries</t>
  </si>
  <si>
    <t>CFD - 100th Birthday Surprise</t>
  </si>
  <si>
    <t>CFD - Provincial Accreditation or Licence Inspection - FHB</t>
  </si>
  <si>
    <t>CFD - Pre-Purchase Insurance Inspection- FHB</t>
  </si>
  <si>
    <t>CFD - Occupancy Inspection - FHB</t>
  </si>
  <si>
    <t>CN - Subsidized Programs - Fair Entry</t>
  </si>
  <si>
    <t>CS - Calgary Neighbourhoods</t>
  </si>
  <si>
    <t>CN - Registered Social Worker Letter</t>
  </si>
  <si>
    <t>CN - Senior Services Home Maintenance Inquiry</t>
  </si>
  <si>
    <t>CN - Snow Angels Campaign</t>
  </si>
  <si>
    <t>CN - Volunteer Request - Summer</t>
  </si>
  <si>
    <t>CN - Property Tax Assistance Program (PTAP)</t>
  </si>
  <si>
    <t>CN - Employee Complaint - Compliment</t>
  </si>
  <si>
    <t>CN - Calgary After School Program Inquiry</t>
  </si>
  <si>
    <t>CN - Neighbourhood Services Programs</t>
  </si>
  <si>
    <t>Recreation - Athletic Park Application</t>
  </si>
  <si>
    <t>CS - Calgary Recreation</t>
  </si>
  <si>
    <t>REC - Pool - Canyon Meadows</t>
  </si>
  <si>
    <t>REC - Arena Inquiry</t>
  </si>
  <si>
    <t>Recreation - Athletic Park Special Event and Tournament Appl</t>
  </si>
  <si>
    <t>Recreation - Playfield (D &amp; E) Community Fields Application</t>
  </si>
  <si>
    <t>Recreation - Field Tournament Application</t>
  </si>
  <si>
    <t>REC - Southland Leisure Centre Inquiry</t>
  </si>
  <si>
    <t>REC - Pool - Administration Inquiry</t>
  </si>
  <si>
    <t>REC - Pool - Sir Winston Churchill</t>
  </si>
  <si>
    <t>REC - Pool - Thornhill</t>
  </si>
  <si>
    <t>REC - Pool - Renfrew</t>
  </si>
  <si>
    <t>REC - Pool - Killarney</t>
  </si>
  <si>
    <t>REC - Athletic Park Inquiry</t>
  </si>
  <si>
    <t>REC - Pool - Acadia</t>
  </si>
  <si>
    <t>REC - Pool - Glenmore</t>
  </si>
  <si>
    <t>REC - Program Registration Inquiry</t>
  </si>
  <si>
    <t>REC - Pool - Bob Bahan</t>
  </si>
  <si>
    <t>REC - Pool - Foothills</t>
  </si>
  <si>
    <t>Recreation - Volunteer Request</t>
  </si>
  <si>
    <t>REC - Booking Inquiry</t>
  </si>
  <si>
    <t>REC - Village Square Leisure Centre Inquiry</t>
  </si>
  <si>
    <t>REC - Pool - Shouldice</t>
  </si>
  <si>
    <t>REC - Pool - Inglewood</t>
  </si>
  <si>
    <t>REC - Calgary Soccer Centre Inquiry</t>
  </si>
  <si>
    <t>REC - Golf Course Inquiry</t>
  </si>
  <si>
    <t>Recreation - Calgary After School Program Inquiries</t>
  </si>
  <si>
    <t>Comm Strategies - General Concerns</t>
  </si>
  <si>
    <t>CS - Community Strategies</t>
  </si>
  <si>
    <t>CN - General Concerns</t>
  </si>
  <si>
    <t>CS - General Concerns</t>
  </si>
  <si>
    <t>Comm Strategies - Disability/Accessibility - Meeting &amp; Event</t>
  </si>
  <si>
    <t>CS - Disability/Accessibility - Meeting and Event Support</t>
  </si>
  <si>
    <t>CN - Disability/Accessibility - Meeting and Event Support</t>
  </si>
  <si>
    <t>CS - Employee Complaint - Compliment</t>
  </si>
  <si>
    <t>Comm Strategies - Disability/Accessibility - Meeting &amp; Eve</t>
  </si>
  <si>
    <t>Comm Strategies - Employee Complaint - Compliment</t>
  </si>
  <si>
    <t>Bylaw - Snow and Ice on Sidewalk</t>
  </si>
  <si>
    <t>CS - Emergency Management and Community Safety</t>
  </si>
  <si>
    <t>An officer issues a notice to the property owner; a City contractor clears it only if the owner does not.</t>
  </si>
  <si>
    <t>Corporate - Graffiti Concerns</t>
  </si>
  <si>
    <t>Crew</t>
  </si>
  <si>
    <t>Cleaning &amp; removal</t>
  </si>
  <si>
    <t>A crew physically cleans up or removes something from public property.</t>
  </si>
  <si>
    <t>Bylaw - Long Grass - Weeds Infraction</t>
  </si>
  <si>
    <t>Long grass/weeds on private property: an officer orders the owner to cut it. City mowing of public land is 'Parks - Mowing Request'.</t>
  </si>
  <si>
    <t>Bylaw - Material on Public Property</t>
  </si>
  <si>
    <t>An officer orders removal; a crew may clean up later if not removed.</t>
  </si>
  <si>
    <t>Corporate - Encampment Concerns</t>
  </si>
  <si>
    <t>Site clean-up is crew work, but outreach/peace officers lead the response.</t>
  </si>
  <si>
    <t>Bylaw - Noise Concerns</t>
  </si>
  <si>
    <t>Bylaw - Disturbance and Behavioural Concerns</t>
  </si>
  <si>
    <t>AS - Pick Up Stray</t>
  </si>
  <si>
    <t>An Animal Services officer picks up the animal: a field dispatch, but officers, not a work crew.</t>
  </si>
  <si>
    <t>Bylaw - Tree - Shrub Infraction</t>
  </si>
  <si>
    <t>Private trees/shrubs blocking a sidewalk or sightline: an officer orders the owner to trim. City trees are 'Parks - Tree Concern'.</t>
  </si>
  <si>
    <t>AS - Animal at Large</t>
  </si>
  <si>
    <t>Animal Services officer response: field dispatch, but officers, not a work crew.</t>
  </si>
  <si>
    <t>Bylaw - Waste and Recycling Infractions</t>
  </si>
  <si>
    <t>Residents breaking waste rules: an officer issues a notice. Missed City pickups are the WRS types.</t>
  </si>
  <si>
    <t>Bylaw - Water Misuse / Wasting Concern</t>
  </si>
  <si>
    <t>AS - Animal Noise</t>
  </si>
  <si>
    <t>Bylaw - Vehicle Concerns</t>
  </si>
  <si>
    <t>Bylaw - Property Maintenance Concerns</t>
  </si>
  <si>
    <t>Community Safety - Information Request</t>
  </si>
  <si>
    <t>ACPL - Animal Licence - Inquiries</t>
  </si>
  <si>
    <t>ACPL - Lost and Found Animal</t>
  </si>
  <si>
    <t>Lost and found</t>
  </si>
  <si>
    <t>Lost and found items or animals; handled at a counter or by phone.</t>
  </si>
  <si>
    <t>Business Safety - Business Licence Concern - RMS</t>
  </si>
  <si>
    <t>Bylaw - Temporary Signs Infraction on City Property</t>
  </si>
  <si>
    <t>Bylaw - Permit - Noise Exemption</t>
  </si>
  <si>
    <t>Compliance - Business Licence Concern</t>
  </si>
  <si>
    <t>Business Safety - Business Licence Concern</t>
  </si>
  <si>
    <t>Evacuated Residents Registration Form</t>
  </si>
  <si>
    <t>AS - Animal Bite</t>
  </si>
  <si>
    <t>AS - Animal Chase - Threat</t>
  </si>
  <si>
    <t>AS - Dog Defecation</t>
  </si>
  <si>
    <t>AS - Animal Damaging Pet or Property</t>
  </si>
  <si>
    <t>VFH - Taxi/Limousine/TNC (Ride Sharing) Concern - RMS</t>
  </si>
  <si>
    <t>Compliance - Taxi/Limousine/TNC (Ride Sharing) Concern</t>
  </si>
  <si>
    <t>VFH - Taxi/Limousine/TNC (Ride Sharing) Concern</t>
  </si>
  <si>
    <t>Animal / Bylaw - Information Request</t>
  </si>
  <si>
    <t>Bylaw - Spills Concerns</t>
  </si>
  <si>
    <t>An officer investigates; clean-up is the responsible party's job.</t>
  </si>
  <si>
    <t>AS - Lost and Found Animal</t>
  </si>
  <si>
    <t>Bylaw - Vandalism and Property Damage Concerns</t>
  </si>
  <si>
    <t>ACPL - No Cost Spay or Neuter Program Inquiries</t>
  </si>
  <si>
    <t>AS - Urban Livestock Licenses and Permits</t>
  </si>
  <si>
    <t>AS - Animal Public Relations</t>
  </si>
  <si>
    <t>Bylaw - Invoice Appeal</t>
  </si>
  <si>
    <t>AS - Animal Licence - Inquiries</t>
  </si>
  <si>
    <t>Bylaw - Water Services Request</t>
  </si>
  <si>
    <t>Community Safety - Employee Complaint - Compliment</t>
  </si>
  <si>
    <t>AS - Livestock and Bird(s) in the City</t>
  </si>
  <si>
    <t>Bylaw - Advocacy Sign Concerns</t>
  </si>
  <si>
    <t>ZZZ Business Safety - Business Licence Concern</t>
  </si>
  <si>
    <t>AS - Human Injury</t>
  </si>
  <si>
    <t>AS - Animal Injured</t>
  </si>
  <si>
    <t>AS - Animal Tethered -Tied</t>
  </si>
  <si>
    <t>ZZZ VFH - Taxi/Limousine/TNC (Ride Sharing) Concern</t>
  </si>
  <si>
    <t>AS - Rat Sighting</t>
  </si>
  <si>
    <t>AS - Animal Park - Pathway Concerns</t>
  </si>
  <si>
    <t>ACPL - Bite Prevention Program Application</t>
  </si>
  <si>
    <t>AS - Animal Services Assistance Required</t>
  </si>
  <si>
    <t>AS - No Control Dog in Off Leash Area</t>
  </si>
  <si>
    <t>AS - Unlicensed Animal</t>
  </si>
  <si>
    <t>Community Safety - Publications Request</t>
  </si>
  <si>
    <t>CEMA - Non Emergency Request</t>
  </si>
  <si>
    <t>Bylaw - Public Relations</t>
  </si>
  <si>
    <t>Animal / Bylaw - Employee Complaint - Compliment</t>
  </si>
  <si>
    <t>Bylaw - Cannabis Concerns</t>
  </si>
  <si>
    <t>AS - Excess Pet Concern</t>
  </si>
  <si>
    <t>AS - Animal Vehicle Offences</t>
  </si>
  <si>
    <t>AS - Honeybee Swarm or Beekeeping Inquiry</t>
  </si>
  <si>
    <t>ACPL - Magpie Trap Information Request</t>
  </si>
  <si>
    <t>VFH - Taxi/Limousine/TNC (Ride Sharing) Compliment - RMS</t>
  </si>
  <si>
    <t>AS - Animal Interference</t>
  </si>
  <si>
    <t>Animal / Bylaw - Publications Request</t>
  </si>
  <si>
    <t>AS - Professional Dogwalker Permit</t>
  </si>
  <si>
    <t>AS - Excess Pet Permit</t>
  </si>
  <si>
    <t>AS - Magpie Trap Information Request</t>
  </si>
  <si>
    <t>AS - Bee Concern or Inquiry</t>
  </si>
  <si>
    <t>Compliance - Taxi or Limousine Compliment</t>
  </si>
  <si>
    <t>Bylaw - Prohibited Business</t>
  </si>
  <si>
    <t>VFH - Taxi or Limousine Compliment - RMS</t>
  </si>
  <si>
    <t>ACPL - Wise Whiskers  Think Like a Scientist Class Kit</t>
  </si>
  <si>
    <t>VFH - Taxi or Limousine Compliment</t>
  </si>
  <si>
    <t>ZZZ VFH - Taxi or Limousine Compliment</t>
  </si>
  <si>
    <t>Business Safety - Employee Complaint -  Compliment</t>
  </si>
  <si>
    <t>Compliance - LTS - Employee Complaint - Compliment</t>
  </si>
  <si>
    <t>Bylaw - Beyond the Badge Program Request</t>
  </si>
  <si>
    <t>Community Clean Up Event - Application</t>
  </si>
  <si>
    <t>VFH - Employee Complaint - Compliment</t>
  </si>
  <si>
    <t>Partnerships - Community Association Inquiries</t>
  </si>
  <si>
    <t>CS - Partnerships</t>
  </si>
  <si>
    <t>BIA Requests</t>
  </si>
  <si>
    <t>Partnerships - Festival, Events and Cultural Development</t>
  </si>
  <si>
    <t>Planning / new infrastructure / capital project</t>
  </si>
  <si>
    <t>Request for new infrastructure, a capital project or engineering review; handled by planners/engineers over weeks or months, not dispatched to a crew.</t>
  </si>
  <si>
    <t>Partnerships - Arts and Culture</t>
  </si>
  <si>
    <t>Partnerships - Sport and Facility Development</t>
  </si>
  <si>
    <t>Partnerships - Public Art</t>
  </si>
  <si>
    <t>Partnerships - Housing Solutions</t>
  </si>
  <si>
    <t>Partnerships - Employee Complaint - Compliment</t>
  </si>
  <si>
    <t>RSP - Subsidized Programs - Fair Entry</t>
  </si>
  <si>
    <t>CS - Recreation and Social Programs</t>
  </si>
  <si>
    <t>Recreation - School Facility Booking Application</t>
  </si>
  <si>
    <t>Recreation - Arena Booking Application</t>
  </si>
  <si>
    <t>Recreation - Athletic Park Booking Application</t>
  </si>
  <si>
    <t>RSP - Registered Social Worker Letter</t>
  </si>
  <si>
    <t>Recreation - Playfield Booking Application</t>
  </si>
  <si>
    <t>Active Living Program Application</t>
  </si>
  <si>
    <t>Recreation - Pool Booking Application</t>
  </si>
  <si>
    <t>RSP - Senior Services Home Maintenance Inquiry</t>
  </si>
  <si>
    <t>Recreation - Boat Stall Application</t>
  </si>
  <si>
    <t>Recreation - Tennis / Pickleball Court Application</t>
  </si>
  <si>
    <t>RSP - Home Services for Seniors Inquiry</t>
  </si>
  <si>
    <t>RSP - Arena Inquiry</t>
  </si>
  <si>
    <t>Recreation - Arena Meeting Room Application</t>
  </si>
  <si>
    <t>RSP - Volunteer Request</t>
  </si>
  <si>
    <t>RSP - Athletic Park Inquiry</t>
  </si>
  <si>
    <t>Recreation - LC - Gym/Room/Courts Booking Application</t>
  </si>
  <si>
    <t>RSP - Property Tax Assistance Program (PTAP)</t>
  </si>
  <si>
    <t>RSP - Pool - Killarney</t>
  </si>
  <si>
    <t>RSP - Southland Leisure Centre Inquiry</t>
  </si>
  <si>
    <t>RSP - Pool - Renfrew</t>
  </si>
  <si>
    <t>RSP - Pool - Canyon Meadows</t>
  </si>
  <si>
    <t>RSP - Pool - Thornhill</t>
  </si>
  <si>
    <t>Recreation - Employee Complaint - Compliment</t>
  </si>
  <si>
    <t>Recreation - Arena Tournament and Special Event Application</t>
  </si>
  <si>
    <t>RSP - Pool - Sir Winston Churchill</t>
  </si>
  <si>
    <t>RSP - Pool - Bob Bahan</t>
  </si>
  <si>
    <t>RSP - Booking Inquiry</t>
  </si>
  <si>
    <t>RSP - Program Registration Inquiry</t>
  </si>
  <si>
    <t>RSP - Pool - Glenmore</t>
  </si>
  <si>
    <t>RSP - Pool - Administration Inquiry</t>
  </si>
  <si>
    <t>RSP - Pool - Inglewood</t>
  </si>
  <si>
    <t>RSP - Snow Angels Campaign</t>
  </si>
  <si>
    <t>RSP - Village Square Leisure Centre Inquiry</t>
  </si>
  <si>
    <t>RSP - Calgary AfterSchool Program Inquires</t>
  </si>
  <si>
    <t>RSP - Pool - Foothills</t>
  </si>
  <si>
    <t>RSP - Pool - Shouldice</t>
  </si>
  <si>
    <t>RSP - Pool - Acadia</t>
  </si>
  <si>
    <t>Recreation - School Connections Booking Application</t>
  </si>
  <si>
    <t>RSP - Sport Hub Inquiry</t>
  </si>
  <si>
    <t>RSP - Calgary Soccer Centre Inquiry</t>
  </si>
  <si>
    <t>Recreation - Sailing School Application</t>
  </si>
  <si>
    <t>RSP - Glenmore Reservoir - Boat Rentals</t>
  </si>
  <si>
    <t>LEAD Program Inquiry</t>
  </si>
  <si>
    <t>Recreation - Arena Tournament and Special Event Applicatio</t>
  </si>
  <si>
    <t>RSP - Mobile Adventure Playground</t>
  </si>
  <si>
    <t>RSP - Glenmore Sailing School Inquiry</t>
  </si>
  <si>
    <t>RSP - Glenmore Reservoir - Boat Dock/Storage Repair</t>
  </si>
  <si>
    <t>Facilities</t>
  </si>
  <si>
    <t>A repair job, but at a recreation facility rather than public infrastructure.</t>
  </si>
  <si>
    <t>RSP - Free Summer Programs</t>
  </si>
  <si>
    <t>RSP - Senior Services Home Maintenance - Bylaw Concern</t>
  </si>
  <si>
    <t>RSP - Home Services for Seniors - Bylaw Concern</t>
  </si>
  <si>
    <t>Opinions on Business Units</t>
  </si>
  <si>
    <t>Corporate Wide Service Requests</t>
  </si>
  <si>
    <t>CAI - Employee Complaint - Compliment</t>
  </si>
  <si>
    <t>DCMO - Corporate Analytics and Innovation</t>
  </si>
  <si>
    <t>Fleet - Inquiry</t>
  </si>
  <si>
    <t>DCMO - Fleet Services</t>
  </si>
  <si>
    <t>Mayor's Office - General Concerns</t>
  </si>
  <si>
    <t>Elected Officials</t>
  </si>
  <si>
    <t>Mayors Office - General Concerns</t>
  </si>
  <si>
    <t>Mayor's Office - Meeting Request</t>
  </si>
  <si>
    <t>Mayors Office - Meeting Request</t>
  </si>
  <si>
    <t>Mayor's Office - Neighbour Day Event Invite</t>
  </si>
  <si>
    <t>Mayors Office - Neighbour Day Event Invite</t>
  </si>
  <si>
    <t>Mayor's Office - Birthday or Anniversary Request</t>
  </si>
  <si>
    <t>Mayors Office - Birthday or Anniversary Request</t>
  </si>
  <si>
    <t>Mayors Office - Event Invitation</t>
  </si>
  <si>
    <t>Mayor's Office - Event Invitation</t>
  </si>
  <si>
    <t>Mayor's Office - Proclamation or Recognition Letter Request</t>
  </si>
  <si>
    <t>Mayors Office - Proclamation or Recognition Letter Request</t>
  </si>
  <si>
    <t>Mayor's Office - Greeting Message Request</t>
  </si>
  <si>
    <t>Mayors Office - Greeting Message Request</t>
  </si>
  <si>
    <t>CPBS - Bridge - Tunnel - Underpass Concern</t>
  </si>
  <si>
    <t>IS - Capital Planning and Business Services</t>
  </si>
  <si>
    <t>Road &amp; structure repair</t>
  </si>
  <si>
    <t>Same service as Roads - Bridge - Tunnel - Underpass Concern after it moved to Capital Planning; engineers often assess first.</t>
  </si>
  <si>
    <t>CPBS - Addressing Inquiry</t>
  </si>
  <si>
    <t>CPBS - Plus 15 Skywalk</t>
  </si>
  <si>
    <t>Skywalk maintenance is crew work; some tickets are building-owner issues.</t>
  </si>
  <si>
    <t>CPBS - Wooden Stairs - Repairs</t>
  </si>
  <si>
    <t>A crew physically repairs a road, sidewalk, lane, pathway or structure.</t>
  </si>
  <si>
    <t>CPBS - Water and Sewer Main Condition Inquiries</t>
  </si>
  <si>
    <t>TP - Future Road Planning and Upgrades</t>
  </si>
  <si>
    <t>IS - Capital Priorities and Investments</t>
  </si>
  <si>
    <t>TP - Noise Barrier Wall</t>
  </si>
  <si>
    <t>TP - Neighbourhood Streets Projects</t>
  </si>
  <si>
    <t>TP - Transportation Data</t>
  </si>
  <si>
    <t>TP - Employee Complaint - Compliment</t>
  </si>
  <si>
    <t>CPI - Employee Complaint - Compliment</t>
  </si>
  <si>
    <t>PD - Noise Barrier Wall</t>
  </si>
  <si>
    <t>IS - Project Development</t>
  </si>
  <si>
    <t>PD - Future Road Planning and Upgrades</t>
  </si>
  <si>
    <t>PD - Neighbourhood Streets Projects</t>
  </si>
  <si>
    <t>Project Development - Employee Complaint - Compliment</t>
  </si>
  <si>
    <t>PSD - Local Improvement Inquiry</t>
  </si>
  <si>
    <t>IS - Public Spaces Delivery</t>
  </si>
  <si>
    <t>PSD - Driveway Crossings - Curb Lowering</t>
  </si>
  <si>
    <t>PSD - Backlane Paving Construction</t>
  </si>
  <si>
    <t>PSD - Transportation Special Projects</t>
  </si>
  <si>
    <t>TI - Special Projects Inquiry</t>
  </si>
  <si>
    <t>PSD - Annual Paving Program - Major Roads</t>
  </si>
  <si>
    <t>TI - Major Road Projects Inquiry</t>
  </si>
  <si>
    <t>PSD - Major Road Projects Inquiry</t>
  </si>
  <si>
    <t>PSD - Parks and Open Spaces</t>
  </si>
  <si>
    <t>PSD - Various Street Improvements - Current Projects</t>
  </si>
  <si>
    <t>PSD - Special Projects Inquiry</t>
  </si>
  <si>
    <t>TI - Bridges and Structures Inquiry</t>
  </si>
  <si>
    <t>PSD - Bridges and Structures Inquiry</t>
  </si>
  <si>
    <t>PSD - Buildings - Architecture</t>
  </si>
  <si>
    <t>PSD - Urban Initiatives General Inquiries</t>
  </si>
  <si>
    <t>PSD - Major Transit Projects Inquiry</t>
  </si>
  <si>
    <t>PSD - Downtown Major Projects</t>
  </si>
  <si>
    <t>PSD - Geotechnical Inquiry</t>
  </si>
  <si>
    <t>TI - Major Transit Projects Inquiry</t>
  </si>
  <si>
    <t>PSD - Events Centre - Scotia Place</t>
  </si>
  <si>
    <t>PSD - Eau Claire Area Improvements</t>
  </si>
  <si>
    <t>PSD - Hillside Stability</t>
  </si>
  <si>
    <t>TI - Connections to South West Ring Road</t>
  </si>
  <si>
    <t>TI - Employee Complaint - Compliment</t>
  </si>
  <si>
    <t>PSD - Employee Complaint - Compliment</t>
  </si>
  <si>
    <t>Eau Claire Area Improvements</t>
  </si>
  <si>
    <t>PSD - Major Mobility - Paving Program</t>
  </si>
  <si>
    <t>Stewardship of City Owned Land</t>
  </si>
  <si>
    <t>IS - Real Estate and Development Services</t>
  </si>
  <si>
    <t>Clean-up/upkeep of City-owned lots is field work, often by contractors; some tickets are encroachment issues.</t>
  </si>
  <si>
    <t>REDS - Property Leasing and Sales Inquiry</t>
  </si>
  <si>
    <t>REDS - Encroachment Agreements on City Land</t>
  </si>
  <si>
    <t>REDS - Development Project Inquiry</t>
  </si>
  <si>
    <t>REDS - Acquisitions and Expropriations</t>
  </si>
  <si>
    <t>UD - Major Projects Inquiry</t>
  </si>
  <si>
    <t>IS - Utilities Delivery</t>
  </si>
  <si>
    <t>WATR - Major Projects Inquiry</t>
  </si>
  <si>
    <t>UD - Corrosion - Digging Close to Critical Main</t>
  </si>
  <si>
    <t>UD - Utility Inspection - Corrosion - Indemnification</t>
  </si>
  <si>
    <t>CAO - Chief Administrator's Office Inquiry</t>
  </si>
  <si>
    <t>LLSS - Chief Administrators Office</t>
  </si>
  <si>
    <t>City Clerks - Municipal Election Question</t>
  </si>
  <si>
    <t>LLSS - City Clerk's Office</t>
  </si>
  <si>
    <t>City Clerk's - General Concerns</t>
  </si>
  <si>
    <t>City Clerk's - Municipal Election Question</t>
  </si>
  <si>
    <t>City Clerks - General Concerns</t>
  </si>
  <si>
    <t>City Clerk's - Municipal Complex Tour</t>
  </si>
  <si>
    <t>City Clerks - Self-Guided Municipal Complex Tour</t>
  </si>
  <si>
    <t>City Clerk's - Census Inquiry</t>
  </si>
  <si>
    <t>CMO - City Manager's Office - General Concerns</t>
  </si>
  <si>
    <t>LLSS - City Manager's Office</t>
  </si>
  <si>
    <t>Law - Risk Management and Claims</t>
  </si>
  <si>
    <t>LLSS - Law</t>
  </si>
  <si>
    <t>Law - Insurance and Claims</t>
  </si>
  <si>
    <t>Law - General Concern - After Hours</t>
  </si>
  <si>
    <t>CT - Lost Property</t>
  </si>
  <si>
    <t>OS - Calgary Transit</t>
  </si>
  <si>
    <t>CT - Bus Route or Bus Schedule</t>
  </si>
  <si>
    <t>Transit service (routes, schedules, passes, trips)</t>
  </si>
  <si>
    <t>About transit routes, schedules, passes or trips; no field crew.</t>
  </si>
  <si>
    <t>CT - Bus Stops</t>
  </si>
  <si>
    <t>Stop repairs/cleaning are crew work; some tickets ask for new or moved stops.</t>
  </si>
  <si>
    <t>CT - Transit Pass Programs</t>
  </si>
  <si>
    <t>CT AC - Trip Feedback - CTA</t>
  </si>
  <si>
    <t>After Hours Transit - General Concerns</t>
  </si>
  <si>
    <t>CT - CTrain Stations</t>
  </si>
  <si>
    <t>Station repairs/cleaning are crew work; many tickets are general station feedback.</t>
  </si>
  <si>
    <t>CT - Transit Safety / Public Etiquette</t>
  </si>
  <si>
    <t>CT - Advertising and Communications</t>
  </si>
  <si>
    <t>CT AC - Activity Report - CTA INTERNAL</t>
  </si>
  <si>
    <t>Internal report</t>
  </si>
  <si>
    <t>Internal activity report, not a request from the public.</t>
  </si>
  <si>
    <t>CT - Snow and Ice Control</t>
  </si>
  <si>
    <t>Snow &amp; ice</t>
  </si>
  <si>
    <t>Clearing snow/ice on public roads, pathways, parks or transit stops.</t>
  </si>
  <si>
    <t>CT - Bus or CTrain Vehicle Maintenance</t>
  </si>
  <si>
    <t>Vehicle repairs happen in the transit garage, not at a location a crew is dispatched to.</t>
  </si>
  <si>
    <t>CT - CTrain Schedule</t>
  </si>
  <si>
    <t>CT - Park and Ride Lot - LRT or Bus</t>
  </si>
  <si>
    <t>Mostly parking/fee feedback; some lot maintenance.</t>
  </si>
  <si>
    <t>CT - Fair Entry Inquiry</t>
  </si>
  <si>
    <t>CT - Projects</t>
  </si>
  <si>
    <t>CT - Shared E-Scooter</t>
  </si>
  <si>
    <t>Vendor-operated (shared e-scooter/e-bike)</t>
  </si>
  <si>
    <t>Shared e-scooter/e-bike issues go to the private operator, not City crews.</t>
  </si>
  <si>
    <t>CT - Bikes on Transit</t>
  </si>
  <si>
    <t>CT AC - Fair Entry Inquiry</t>
  </si>
  <si>
    <t>CT AC - Activity Report INTERNAL</t>
  </si>
  <si>
    <t>CT - Shared E-Bike</t>
  </si>
  <si>
    <t>Facility Mgmt - FMCCC - Customer Care Centre</t>
  </si>
  <si>
    <t>OS - Facility Management</t>
  </si>
  <si>
    <t>Maintenance requests for City buildings (trades crews), internal rather than public infrastructure.</t>
  </si>
  <si>
    <t>Public - Municipal Complex - Atrium or Plaza Use Request</t>
  </si>
  <si>
    <t>Facility Mgmt - Facility - Public Use Booking</t>
  </si>
  <si>
    <t>Fleet and Inventory - Inquiry</t>
  </si>
  <si>
    <t>OS - Fleet and Inventory</t>
  </si>
  <si>
    <t>Fleet - Employee Complaint - Compliment</t>
  </si>
  <si>
    <t>Roads - Pothole Maintenance</t>
  </si>
  <si>
    <t>OS - Mobility</t>
  </si>
  <si>
    <t>Roads - Snow and Ice Control</t>
  </si>
  <si>
    <t>Roads - Debris on Street/Sidewalk/Boulevard</t>
  </si>
  <si>
    <t>Roads - Signs - Missing - Damaged</t>
  </si>
  <si>
    <t>Signs, signals &amp; lights</t>
  </si>
  <si>
    <t>Field repair or replacement of signs, markings, signals or lights.</t>
  </si>
  <si>
    <t>Roads - Streetlight Maintenance</t>
  </si>
  <si>
    <t>Roads - Backlane Maintenance</t>
  </si>
  <si>
    <t>Roads - Dead Animal Pick-Up</t>
  </si>
  <si>
    <t>Roads - Sidewalk - Curb and Gutter Repair</t>
  </si>
  <si>
    <t>Roads - Roadway Maintenance</t>
  </si>
  <si>
    <t>Roads - Traffic or Pedestrian Light Repair</t>
  </si>
  <si>
    <t>Roads - Signs - Traffic and Roadmarking</t>
  </si>
  <si>
    <t>Roads - Signs - Parking</t>
  </si>
  <si>
    <t>Roads - Traffic Signal Timing Inquiry</t>
  </si>
  <si>
    <t>Traffic engineers review signal timing from the office; no field crew.</t>
  </si>
  <si>
    <t>Roads - Temporary Sign Removal</t>
  </si>
  <si>
    <t>Roads - Detour Inquiry</t>
  </si>
  <si>
    <t>Roads - Pathway Concerns</t>
  </si>
  <si>
    <t>Roads - Detour Urgent (Safety) Concerns</t>
  </si>
  <si>
    <t>Someone has to go fix detour signs/traffic control, but it is often the construction contractor's job.</t>
  </si>
  <si>
    <t>Roads - Street Cleaning Annual Program</t>
  </si>
  <si>
    <t>Questions about the scheduled sweeping program; sweeping itself is planned, not dispatched per ticket.</t>
  </si>
  <si>
    <t>Roads - Safety and Education</t>
  </si>
  <si>
    <t>Traffic-safety concerns reviewed by traffic engineers (studies, education), not fixed by a crew.</t>
  </si>
  <si>
    <t>Roads - Pathway Snow and Ice Concerns</t>
  </si>
  <si>
    <t>Roads - Fence - Noise Barrier - Retaining Wall Repair</t>
  </si>
  <si>
    <t>Roads - NEW Signal, Left Turn or Pedestrian Light Request</t>
  </si>
  <si>
    <t>A request to build a new signal: a traffic-engineering study and capital project, not a repair.</t>
  </si>
  <si>
    <t>Roads - Permits - Requests and Inquiries</t>
  </si>
  <si>
    <t>Roads - Streetlight Damage</t>
  </si>
  <si>
    <t>Roads - Streetlight - General Inquiry</t>
  </si>
  <si>
    <t>Roads - Traffic Operational Improvement Suggestions</t>
  </si>
  <si>
    <t>Roads - Street Paving Program</t>
  </si>
  <si>
    <t>Roads - NEW Sidewalk - Curb and Gutter Repair</t>
  </si>
  <si>
    <t>Roads - Employee Complaint - Compliment</t>
  </si>
  <si>
    <t>Roads - Pavement Markings - Missing or Faded</t>
  </si>
  <si>
    <t>Roads - Repaving Candidate Street and Inquiries</t>
  </si>
  <si>
    <t>Roads - Boulevard Maintenance</t>
  </si>
  <si>
    <t>Roads - Traffic Signal Lane Designation Sign</t>
  </si>
  <si>
    <t>Roads - New Signal, Left Turn or Pedestrian Light Request</t>
  </si>
  <si>
    <t>Same as 'Roads - NEW Signal...' (different capitalization): a request to build a new signal, not a repair.</t>
  </si>
  <si>
    <t>Roads - E-Scooter</t>
  </si>
  <si>
    <t>Shared e-scooters belong to private operators, who move or fix them.</t>
  </si>
  <si>
    <t>Roads - Feedback - Community Traffic Safety Projects</t>
  </si>
  <si>
    <t>Roads - Bridge - Tunnel - Underpass Concern</t>
  </si>
  <si>
    <t>Structure repairs are crew work; some tickets are engineering assessments first.</t>
  </si>
  <si>
    <t>Roads - Traffic Signal Construction Inquiry</t>
  </si>
  <si>
    <t>Roads - Local Improvement Inquiry</t>
  </si>
  <si>
    <t>Roads - Curb Lowering for Existing Driveways</t>
  </si>
  <si>
    <t>Roads - Sidewalk Installation and Accessibility</t>
  </si>
  <si>
    <t>Roads - Traffic Signal Operation Report - Intersection Plan</t>
  </si>
  <si>
    <t>Roads - Wheelchair Slope - Request For</t>
  </si>
  <si>
    <t>Roads - BIA Maintenance</t>
  </si>
  <si>
    <t>Roads - Traffic Control Change Feedback</t>
  </si>
  <si>
    <t>Roads - Traffic Operational Improvement Inquiry</t>
  </si>
  <si>
    <t>Roads - Indemnification Agreement - Request For</t>
  </si>
  <si>
    <t>Roads - Minor Projects Construction</t>
  </si>
  <si>
    <t>Roads - Plus 15 Skywalk</t>
  </si>
  <si>
    <t>Roads - Utility Placement Inquiry</t>
  </si>
  <si>
    <t>Roads - New Subdivisions</t>
  </si>
  <si>
    <t>Roads - Backlane Paving Construction</t>
  </si>
  <si>
    <t>CPA - Employee Complaint - Compliment</t>
  </si>
  <si>
    <t>Roads - Shared E-Bike</t>
  </si>
  <si>
    <t>Roads - New Audible/Accessible Pedestrian Signal</t>
  </si>
  <si>
    <t>Roads - Traffic Camera and ATIS Inquiries</t>
  </si>
  <si>
    <t>Roads - Bike Rack Request - NEW</t>
  </si>
  <si>
    <t>Roads - Stairs - Damage</t>
  </si>
  <si>
    <t>Roads - Boulevard Garden and Landscaping Request</t>
  </si>
  <si>
    <t>Roads - Traffic Signal Operation Report - Intersection Pla</t>
  </si>
  <si>
    <t>Roads - Traffic Vibration Concerns</t>
  </si>
  <si>
    <t>Roads - Transportation Data</t>
  </si>
  <si>
    <t>Roads - Adaptive Roadways and Seasonal Patio Programs</t>
  </si>
  <si>
    <t>Roads - Load Ban and Overweight Vehicle on Road Inquiry</t>
  </si>
  <si>
    <t>Roads - Shared and Rental E-Scooter Program</t>
  </si>
  <si>
    <t>Roads - 5G Wireless Infrastructure Deployment Inquiry</t>
  </si>
  <si>
    <t>Roads - Shared and Rental E-Bike Program</t>
  </si>
  <si>
    <t>Roads - Agricultural Crossing Request</t>
  </si>
  <si>
    <t>Roads - Hillside Stability</t>
  </si>
  <si>
    <t>Roads - Shared E-Scooter</t>
  </si>
  <si>
    <t>Filming and Movie and Drone Activities</t>
  </si>
  <si>
    <t>OS - Operational Excellence</t>
  </si>
  <si>
    <t>Parks - Tree Concern - GIS</t>
  </si>
  <si>
    <t>OS - Parks and Open Spaces</t>
  </si>
  <si>
    <t>Parks &amp; trees</t>
  </si>
  <si>
    <t>Parks crew does hands-on work: trees, mowing, park repairs or upkeep.</t>
  </si>
  <si>
    <t>Parks - Tree Concern - WAM</t>
  </si>
  <si>
    <t>Parks - Garbage - GIS</t>
  </si>
  <si>
    <t>Parks - Wildlife Sightings</t>
  </si>
  <si>
    <t>A sighting report for tracking; no crew action.</t>
  </si>
  <si>
    <t>Parks - Wildlife Management</t>
  </si>
  <si>
    <t>Mostly advice; occasional field response by wildlife staff.</t>
  </si>
  <si>
    <t>Parks - Mowing Request - GIS</t>
  </si>
  <si>
    <t>Parks - Infrastructure - GIS</t>
  </si>
  <si>
    <t>Parks - Maintenance - GIS</t>
  </si>
  <si>
    <t>Parks - Snow and Ice Concerns - WAM</t>
  </si>
  <si>
    <t>Parks - Venue Bookings and Inquiries</t>
  </si>
  <si>
    <t>Parks - Garbage - WAM</t>
  </si>
  <si>
    <t>Parks - Parks and Open Spaces Bookings</t>
  </si>
  <si>
    <t>Parks - Roadside Greens - GIS</t>
  </si>
  <si>
    <t>Parks - Infrastructure - WAM</t>
  </si>
  <si>
    <t>Parks - Maintenance - WAM</t>
  </si>
  <si>
    <t>Parks - Irrigation Maintenance - GIS</t>
  </si>
  <si>
    <t>Parks - Natural Area Maintenance - GIS</t>
  </si>
  <si>
    <t>Parks - Weed Control Issues - GIS</t>
  </si>
  <si>
    <t>Parks - Pathway Concern - WAM</t>
  </si>
  <si>
    <t>Parks - Mowing Request - WAM</t>
  </si>
  <si>
    <t>Parks - General Concerns</t>
  </si>
  <si>
    <t>Mixed bag; specific repair issues have their own Parks types.</t>
  </si>
  <si>
    <t>Parks - Tree Planting and Tree Watering Inquiries - GIS</t>
  </si>
  <si>
    <t>Parks - Snow and Ice Concerns - GIS</t>
  </si>
  <si>
    <t>Parks - Pest Concerns - GIS</t>
  </si>
  <si>
    <t>Pest treatment is done by Parks crews, but many tickets are reports/advice only.</t>
  </si>
  <si>
    <t>Parks - Planning Inquiries</t>
  </si>
  <si>
    <t>Parks - Development - Tree Concern - GIS</t>
  </si>
  <si>
    <t>Urban Forestry inspects trees on development sites; no crew work.</t>
  </si>
  <si>
    <t>Parks - Irrigation Maintenance - WAM</t>
  </si>
  <si>
    <t>Parks - PlayBins</t>
  </si>
  <si>
    <t>Parks PlayBins</t>
  </si>
  <si>
    <t>Parks - Employee Complaint - Compliment</t>
  </si>
  <si>
    <t>Parks - Natural Area Inquiries - GIS</t>
  </si>
  <si>
    <t>Parks - Golf Course Inquiry</t>
  </si>
  <si>
    <t>Parks - Weed Control Issues - WAM</t>
  </si>
  <si>
    <t>Parks - Lighting Concern - GIS</t>
  </si>
  <si>
    <t>Parks - Branching Out Tree Program</t>
  </si>
  <si>
    <t>Parks - Lost and Found - GIS</t>
  </si>
  <si>
    <t>Parks - Natural Area Maintenance - WAM</t>
  </si>
  <si>
    <t>Parks - School Program Registration</t>
  </si>
  <si>
    <t>Parks - Pest Concerns - WAM</t>
  </si>
  <si>
    <t>Parks - Volunteer Request</t>
  </si>
  <si>
    <t>Parks - Community Inquiry</t>
  </si>
  <si>
    <t>Parks - Tree Education Programs</t>
  </si>
  <si>
    <t>Parks - Pest Management</t>
  </si>
  <si>
    <t>Parks - Lighting Concern - WAM</t>
  </si>
  <si>
    <t>Parks - Pathway Concern - GIS</t>
  </si>
  <si>
    <t>Parks - Development - Tree Concern - WAM</t>
  </si>
  <si>
    <t>Parks - Irrigation Line Location Request - GIS</t>
  </si>
  <si>
    <t>Staff mark irrigation lines for contractors; a locate service, not repair.</t>
  </si>
  <si>
    <t>Parks - Lost and Found - WAM</t>
  </si>
  <si>
    <t>Parks - Natural Area Inquiries - WAM</t>
  </si>
  <si>
    <t>Parks - Playfield Usage Concerns</t>
  </si>
  <si>
    <t>Parks - Irrigation Line Location Request - WAM</t>
  </si>
  <si>
    <t>Parks - NAM - Inactive Camp Clean Up - GIS INTERNAL</t>
  </si>
  <si>
    <t>Parks - Mosquito Concerns</t>
  </si>
  <si>
    <t>Mosquito program reports; treatment is scheduled, not dispatched per ticket.</t>
  </si>
  <si>
    <t>Parks - Roadside Greens</t>
  </si>
  <si>
    <t>Playfield Portisan Placement Request</t>
  </si>
  <si>
    <t>Parks - Seasonal Vendor Application</t>
  </si>
  <si>
    <t>Parks - Cemetery - Maintenance - GIS</t>
  </si>
  <si>
    <t>Parks Seasonal Vendor Application</t>
  </si>
  <si>
    <t>Parks - Cemetery - Maintenance - WAM</t>
  </si>
  <si>
    <t>Parks - Playfield Portable Toilet Concern After Placement</t>
  </si>
  <si>
    <t>Toilet servicing is field work, usually by the rental vendor.</t>
  </si>
  <si>
    <t>Parks - APT Maintenance</t>
  </si>
  <si>
    <t>Maintenance ticket, but very low volume and unclear scope.</t>
  </si>
  <si>
    <t>WRS - Cart Management</t>
  </si>
  <si>
    <t>OS - Waste and Recycling Services</t>
  </si>
  <si>
    <t>Waste collection</t>
  </si>
  <si>
    <t>Collection crew work: missed pickups, carts, special or commercial collection.</t>
  </si>
  <si>
    <t>WRS - Waste - Residential</t>
  </si>
  <si>
    <t>WRS - Recycling - Blue Cart</t>
  </si>
  <si>
    <t>WRS - Compost - Green Cart</t>
  </si>
  <si>
    <t>WRS - New Service - Carts</t>
  </si>
  <si>
    <t>WRS - Debris in Backlane</t>
  </si>
  <si>
    <t>WRS - Commercial Collection Services</t>
  </si>
  <si>
    <t>WRS - Programs</t>
  </si>
  <si>
    <t>Program questions (e.g. seasonal pickups); some may trigger a pickup.</t>
  </si>
  <si>
    <t>WRS - Employee - Complaint Compliment</t>
  </si>
  <si>
    <t>WRS - Brochures</t>
  </si>
  <si>
    <t>WRS - Landfill - Disposal Information</t>
  </si>
  <si>
    <t>WRS - Landfill - Industrial Permit or Inquiry</t>
  </si>
  <si>
    <t>WRS - Landfill - Accounts and Billing</t>
  </si>
  <si>
    <t>WRS - Collection Schedule Inquiry</t>
  </si>
  <si>
    <t>WRS - Landfill - Operations</t>
  </si>
  <si>
    <t>Landfill site issues handled by landfill staff on site, not a dispatched crew.</t>
  </si>
  <si>
    <t>WRS - Bin Checks</t>
  </si>
  <si>
    <t>A WRS staff member visits the bin, but it is a check, not collection.</t>
  </si>
  <si>
    <t>WRS - Waste Requirements for Businesses</t>
  </si>
  <si>
    <t>WRS - Disposal Guide Tool Feedback</t>
  </si>
  <si>
    <t>WRS - School Landfill Tours Lottery</t>
  </si>
  <si>
    <t>WRS - Recycling - Depots</t>
  </si>
  <si>
    <t>Servicing overflowing depot bins is crew work; some tickets are depot questions.</t>
  </si>
  <si>
    <t>WRS - Landfill - Clean Fill</t>
  </si>
  <si>
    <t>WRS - Multifamily Recycling and Composting</t>
  </si>
  <si>
    <t>WRS - Education Inquiries</t>
  </si>
  <si>
    <t>WRS - Special Collection</t>
  </si>
  <si>
    <t>WRS - Landfill - Diversion Programs</t>
  </si>
  <si>
    <t>WRS - Recycling - Community</t>
  </si>
  <si>
    <t>Servicing community recycling bins is crew work; some tickets are questions.</t>
  </si>
  <si>
    <t>WATR - Utility Inspection - Corrosion - Indemnification</t>
  </si>
  <si>
    <t>OS - Water Resources</t>
  </si>
  <si>
    <t>WATR - Water Development Inquiry</t>
  </si>
  <si>
    <t>WATR - Water and Sewer Main Condition Inquiries</t>
  </si>
  <si>
    <t>WATR - Re-Use of Existing Site Services</t>
  </si>
  <si>
    <t>WATS - Sewage Back-up</t>
  </si>
  <si>
    <t>OS - Water Services</t>
  </si>
  <si>
    <t>Water &amp; sewer</t>
  </si>
  <si>
    <t>Water/sewer crew goes to the site to fix or respond to a utility problem.</t>
  </si>
  <si>
    <t>WATS - Sewer Maintenance</t>
  </si>
  <si>
    <t>WATS - Catch Basin Concerns</t>
  </si>
  <si>
    <t>WATS - Service and Main Valve Issues</t>
  </si>
  <si>
    <t>WATS - Water Meter Issues</t>
  </si>
  <si>
    <t>WATS - Water Main Break or Leak</t>
  </si>
  <si>
    <t>WATS - Water Off-On Appointment</t>
  </si>
  <si>
    <t>Field job by Water Services, but booked by the customer, not a hazard to prioritize.</t>
  </si>
  <si>
    <t>WATS - Water Outage</t>
  </si>
  <si>
    <t>WATS - Water Meter Installation Request</t>
  </si>
  <si>
    <t>Field job by Water Services, but a booked installation, not a hazard.</t>
  </si>
  <si>
    <t>WATS - Fire Hydrant</t>
  </si>
  <si>
    <t>WATS - Construction Inquiry</t>
  </si>
  <si>
    <t>WATS - Emergency Water Temporary Off</t>
  </si>
  <si>
    <t>WATS - Water Pressure Issues</t>
  </si>
  <si>
    <t>Usually needs a field investigation; the cause may be on private property.</t>
  </si>
  <si>
    <t>UEP - Odour Inquiries</t>
  </si>
  <si>
    <t>Odour reports, mostly from treatment plants; no crew dispatch.</t>
  </si>
  <si>
    <t>WATS - Spills Entering Storm System</t>
  </si>
  <si>
    <t>WATS - Cross Connection Inquiries</t>
  </si>
  <si>
    <t>WATS - Water Quality</t>
  </si>
  <si>
    <t>Usually a field sampling visit; may not need repair work.</t>
  </si>
  <si>
    <t>WATS - Cross Connection Tester Support - ONLINE</t>
  </si>
  <si>
    <t>WATS - Manhole Concerns</t>
  </si>
  <si>
    <t>WATS - Erosion and Sediment Control</t>
  </si>
  <si>
    <t>WATS - Urgent Water Reconnect</t>
  </si>
  <si>
    <t>WATS - Construction Inquiry - MAX</t>
  </si>
  <si>
    <t>WATS - Fire Hydrant Flow Test</t>
  </si>
  <si>
    <t>A test requested by developers/engineers; a service, not a repair.</t>
  </si>
  <si>
    <t>WATS - Drainage Bylaw</t>
  </si>
  <si>
    <t>WATS - Hydrant Connection Unit - HCU Inspections</t>
  </si>
  <si>
    <t>WATS - Water Wagon Issues</t>
  </si>
  <si>
    <t>WATS - Property Rehab</t>
  </si>
  <si>
    <t>WATS - Tap Water Sampling Program</t>
  </si>
  <si>
    <t>WATS - Drainage Concerns</t>
  </si>
  <si>
    <t>Field investigation of drainage; may lead to repair or to a bylaw issue.</t>
  </si>
  <si>
    <t>WATS - Hydrant Control Unit - HCU Inspections</t>
  </si>
  <si>
    <t>WATS - Basement Seepage</t>
  </si>
  <si>
    <t>Field investigation to rule out a City main; often a private-property issue.</t>
  </si>
  <si>
    <t>WATS - Storm Pond Concerns</t>
  </si>
  <si>
    <t>Pond maintenance is crew work; some tickets are questions.</t>
  </si>
  <si>
    <t>WATS - Bulk Water Accounts and Air Gap Vehicle Inspection</t>
  </si>
  <si>
    <t>WATS - Water Equipment Pickup</t>
  </si>
  <si>
    <t>A crew picks up equipment, but it is logistics, not a repair.</t>
  </si>
  <si>
    <t>WATS - Water Billing Concerns</t>
  </si>
  <si>
    <t>WATS - Temporary Water Line Issues</t>
  </si>
  <si>
    <t>Field fix of temporary water lines, low volume.</t>
  </si>
  <si>
    <t>WATS - Water Service Fee Invoice</t>
  </si>
  <si>
    <t>WATS - Flat to Meter Appointment</t>
  </si>
  <si>
    <t>WATS - Water Equipment Pickup - MAX</t>
  </si>
  <si>
    <t>WATS - Water Treatment Inquiries</t>
  </si>
  <si>
    <t>WATS - Bulk Water Station Inquiries</t>
  </si>
  <si>
    <t>WATS - Wastewater Treatment Information</t>
  </si>
  <si>
    <t>WATS - Water Data Request</t>
  </si>
  <si>
    <t>WATS - Industrial Monitoring Inquiry</t>
  </si>
  <si>
    <t>WATS - Lot Grading</t>
  </si>
  <si>
    <t>WATS - Water Run Inquiry</t>
  </si>
  <si>
    <t>WATS - Developer Request for Parks Irrigation Meter</t>
  </si>
  <si>
    <t>WATS - Location of Underground Water Lines</t>
  </si>
  <si>
    <t>WATS - Location of Underground Water Lines - MAX</t>
  </si>
  <si>
    <t>Z - OLD - WATS - Construction Inquiry</t>
  </si>
  <si>
    <t>WATS - Water Run Inquiry - MAX</t>
  </si>
  <si>
    <t>WATS - Treatment Plant Tours</t>
  </si>
  <si>
    <t>CT AC - Trip Feedback - Checker Taxi</t>
  </si>
  <si>
    <t>OSC - Calgary Transit</t>
  </si>
  <si>
    <t>CT AC - Trip Feedback - Care Calgary</t>
  </si>
  <si>
    <t>CT AC - Trip Feedback - Southland</t>
  </si>
  <si>
    <t>CT AC - Activity Report - Checker INTERNAL</t>
  </si>
  <si>
    <t>CT AC - Activity Report - Care Calgary INTERNAL</t>
  </si>
  <si>
    <t>CT AC - Activity Report - Southland INTERNAL</t>
  </si>
  <si>
    <t>Green Line - Spill and Substance Release Report (X217)</t>
  </si>
  <si>
    <t>OSC - Greenline</t>
  </si>
  <si>
    <t>Spill reports on the Green Line construction project; handled by the project contractor.</t>
  </si>
  <si>
    <t>GFL - Black Cart Collection</t>
  </si>
  <si>
    <t>OSC - Waste and Recycling Services</t>
  </si>
  <si>
    <t>City Auditors - General Concerns</t>
  </si>
  <si>
    <t>Office of the City Auditor</t>
  </si>
  <si>
    <t>City Auditors - General Inquiries</t>
  </si>
  <si>
    <t>CAC - Public Infrastructure Inquiry</t>
  </si>
  <si>
    <t>PD - Calgary Approvals Coordination</t>
  </si>
  <si>
    <t>CBS Inspection - SCP - New Home</t>
  </si>
  <si>
    <t>PD - Calgary Building Services</t>
  </si>
  <si>
    <t>CBS Inspection - Furnace Replacement</t>
  </si>
  <si>
    <t>CBS - Code Inquiry</t>
  </si>
  <si>
    <t>CBS - RIM - Property Research</t>
  </si>
  <si>
    <t>CBS Concern - Electrical</t>
  </si>
  <si>
    <t>CBS Inspection - Gas Fireplace Installation</t>
  </si>
  <si>
    <t>CBS Concern - Plumbing and Gas</t>
  </si>
  <si>
    <t>CBS - RIM - Subscription Services</t>
  </si>
  <si>
    <t>CBS - RIM - Policy Document Requests</t>
  </si>
  <si>
    <t>CBS - Public Protection Site Safety Meeting</t>
  </si>
  <si>
    <t>CRP - Historical Hydrant Data or Flow Test</t>
  </si>
  <si>
    <t>PDS - City and Regional Planning</t>
  </si>
  <si>
    <t>CRP - City and Regional Planning General Concerns</t>
  </si>
  <si>
    <t>CRP - City and Regional Planning General Inquiries</t>
  </si>
  <si>
    <t>CGS - Urban Initiatives General Inquiries</t>
  </si>
  <si>
    <t>CGS - Calgary Growth Strategies - General Concerns</t>
  </si>
  <si>
    <t>CE - Water Restrictions</t>
  </si>
  <si>
    <t>PDS - Climate and Environment</t>
  </si>
  <si>
    <t>CE - Environmental Inquiries</t>
  </si>
  <si>
    <t>WATR - Water Restrictions</t>
  </si>
  <si>
    <t>CE - Water Conservation Programs</t>
  </si>
  <si>
    <t>CE - Treatment Plant Tours</t>
  </si>
  <si>
    <t>CE - Watershed</t>
  </si>
  <si>
    <t>ESM - Environmental Inquiries</t>
  </si>
  <si>
    <t>CE  - Environmental Inquiries</t>
  </si>
  <si>
    <t>CE - Riparian - Riverbank Inquiries</t>
  </si>
  <si>
    <t>WATR - Watershed</t>
  </si>
  <si>
    <t>WATR - Riparian - Riverbank Inquiries</t>
  </si>
  <si>
    <t>CE - Water Brochure</t>
  </si>
  <si>
    <t>CE - Dashboard Feedback</t>
  </si>
  <si>
    <t>WATR - Water Brochure</t>
  </si>
  <si>
    <t>CP - Indemnification Agreements</t>
  </si>
  <si>
    <t>PDS - Community Planning</t>
  </si>
  <si>
    <t>CP - Community Planning - General Concerns</t>
  </si>
  <si>
    <t>CP - Water Development Inquiry</t>
  </si>
  <si>
    <t>CP - Community Planning - General Inquiries</t>
  </si>
  <si>
    <t>CP - Re-Use of Existing Site Services</t>
  </si>
  <si>
    <t>CP - Public Infrastructure Inquiry</t>
  </si>
  <si>
    <t>DBBS - RIM - Property Research</t>
  </si>
  <si>
    <t>PDS - Development, Business and Building Services</t>
  </si>
  <si>
    <t>CBS Inspection - Electrical</t>
  </si>
  <si>
    <t>DBBS Inspection - Electrical</t>
  </si>
  <si>
    <t>CBS Inspection - Commercial or Multi-Family</t>
  </si>
  <si>
    <t>DBBS Inspection - Commercial or Multi-Family</t>
  </si>
  <si>
    <t>DBBS Inspection - Residential Improvement Project - RIP</t>
  </si>
  <si>
    <t>CBS Inspection - Residential Improvement Project - RIP</t>
  </si>
  <si>
    <t>DBBS Concern - Building Without a Permit</t>
  </si>
  <si>
    <t>DBBS Inspection - Gas</t>
  </si>
  <si>
    <t>DBBS Inspection - Plumbing</t>
  </si>
  <si>
    <t>DBBS - Infill Construction Concerns</t>
  </si>
  <si>
    <t>DBBS - Code Inquiry</t>
  </si>
  <si>
    <t>DBBS Inspection - Furnace Replacement</t>
  </si>
  <si>
    <t>CBS Inspection - Plumbing</t>
  </si>
  <si>
    <t>DBBS - Planning and Development - After Hours SR</t>
  </si>
  <si>
    <t>DBBS Inspection - SCP - New Home</t>
  </si>
  <si>
    <t>DBBS Inspection - Heating and Ventilation</t>
  </si>
  <si>
    <t>CBS Inspection - Cancellation or Reschedule</t>
  </si>
  <si>
    <t>DBBS - Building Construction Concerns and Inquiries</t>
  </si>
  <si>
    <t>CBS Inspection - Gas</t>
  </si>
  <si>
    <t>DBBS Inspection - Cancellation or Reschedule</t>
  </si>
  <si>
    <t>CBS Inspection - Heating and Ventilation</t>
  </si>
  <si>
    <t>DBBS - PRC - Property Research</t>
  </si>
  <si>
    <t>DBBS - Urgent Safety Response</t>
  </si>
  <si>
    <t>A building inspector responds to an unsafe site; no City repair crew.</t>
  </si>
  <si>
    <t>DBBS - SDI - New Subdivision Parks Inspection</t>
  </si>
  <si>
    <t>CBS - Infill Construction Concerns</t>
  </si>
  <si>
    <t>CBS Concern - Building Without a Permit</t>
  </si>
  <si>
    <t>DBBS Concern - Electrical</t>
  </si>
  <si>
    <t>DBBS - Unsafe Derelict or Grow Op Property</t>
  </si>
  <si>
    <t>CBS - Planning and Development - After Hours SR</t>
  </si>
  <si>
    <t>DBBS - Safety Response</t>
  </si>
  <si>
    <t>DBBS Concern - Heating and Ventilation</t>
  </si>
  <si>
    <t>CBS - Urgent Safety Response</t>
  </si>
  <si>
    <t>DBBS - SDI - New Subdivision Surface Inspection</t>
  </si>
  <si>
    <t>DBBS - Unsafe Derelict or Unsecure Property</t>
  </si>
  <si>
    <t>DBBS Concern - Plumbing and Gas</t>
  </si>
  <si>
    <t>DBBS - SDI - Utility Inspection</t>
  </si>
  <si>
    <t>CBS - Building Construction Concerns and Inquiries</t>
  </si>
  <si>
    <t>CBS - Unsafe Derelict or Grow Op Property</t>
  </si>
  <si>
    <t>DBBS - SDI - Surface Indemnification Inspection</t>
  </si>
  <si>
    <t>CBS Concern - Heating &amp; Ventilation</t>
  </si>
  <si>
    <t>DBBS Inspection - Gas Fireplace Installation</t>
  </si>
  <si>
    <t>DBBS - SDI - Surface Improvements Inspections</t>
  </si>
  <si>
    <t>DBBS - SDI - New Subdivisions Inspections</t>
  </si>
  <si>
    <t>DBBS - Unsafe Derelict or Insecure Property</t>
  </si>
  <si>
    <t>DBBS - Public Protection Site Safety Meeting</t>
  </si>
  <si>
    <t>DBBS - SDI - Surface Improvements Inspection</t>
  </si>
  <si>
    <t>DBBS - RIM - Subscription Services</t>
  </si>
  <si>
    <t>DBBS - Emergency Electrical Reconnection</t>
  </si>
  <si>
    <t>DBBS - RIM - Policy Document Requests</t>
  </si>
  <si>
    <t>CBS Concern - Special Event Tent</t>
  </si>
  <si>
    <t>DBBS - SDI - New Subdivision Inspection</t>
  </si>
  <si>
    <t>Downtown Strategy - General Inquiries</t>
  </si>
  <si>
    <t>PDS - Downtown Strategy</t>
  </si>
  <si>
    <t>ERR - Watering Schedule</t>
  </si>
  <si>
    <t>PDS - Environmental Risk &amp; Resilience</t>
  </si>
  <si>
    <t>ERR - Water Conservation Programs</t>
  </si>
  <si>
    <t>ERR - Environmental Inquiries</t>
  </si>
  <si>
    <t>ERR - Riparian - Riverbank Inquiries</t>
  </si>
  <si>
    <t>ERR - Watershed</t>
  </si>
  <si>
    <t>ERR - Treatment Plant Tours</t>
  </si>
  <si>
    <t>ERR - Water Restrictions</t>
  </si>
  <si>
    <t>ERR - Water Brochure</t>
  </si>
  <si>
    <t>Corporate Research Inquiry</t>
  </si>
  <si>
    <t>PICS - 311 and Insights</t>
  </si>
  <si>
    <t>CAI - City Online - Concern</t>
  </si>
  <si>
    <t>PICS - Collaboration, Analytics and Innovation</t>
  </si>
  <si>
    <t>CAI - GIS Mapping and Analysis Inquiry</t>
  </si>
  <si>
    <t>CAI - Addressing Inquiry</t>
  </si>
  <si>
    <t>CAI - City Online - Feedback Form Only</t>
  </si>
  <si>
    <t>CAI - Open Data Catalogue Inquiry</t>
  </si>
  <si>
    <t>CAI - Utility Placement Inquiry</t>
  </si>
  <si>
    <t>CAI - Electronic Data Request</t>
  </si>
  <si>
    <t>CAI - Block Profile Inquiry</t>
  </si>
  <si>
    <t>CAI - Cadastral Mapping Service Inquiry</t>
  </si>
  <si>
    <t>CAI - 5G Wireless Infrastructure Deployment Inquiry</t>
  </si>
  <si>
    <t>CAI - Commercial Electronic Data License Request</t>
  </si>
  <si>
    <t>CAI - Educational Electronic Data License Request</t>
  </si>
  <si>
    <t>311 Contact Us</t>
  </si>
  <si>
    <t>PICS - Customer Service and Communications</t>
  </si>
  <si>
    <t>Customer Service &amp; Communications - General Concerns</t>
  </si>
  <si>
    <t>CSC - Calgary.ca Feedback and Issue Report</t>
  </si>
  <si>
    <t>Customer Service and Communications - General Concerns</t>
  </si>
  <si>
    <t>CSC - Corporate Research Inquiry</t>
  </si>
  <si>
    <t>CSC - Communications and Marketing Initiatives</t>
  </si>
  <si>
    <t>311 Ambassador Program</t>
  </si>
  <si>
    <t>HR - Recruitment and Program Inquiry</t>
  </si>
  <si>
    <t>PICS - Human Resources</t>
  </si>
  <si>
    <t>IT - City Online - Concern</t>
  </si>
  <si>
    <t>PICS - Information Technology</t>
  </si>
  <si>
    <t>IT - Public WiFi - Shaw Go WiFi at City Facilities</t>
  </si>
  <si>
    <t>IT - GIS Mapping and Analysis Inquiry</t>
  </si>
  <si>
    <t>IT - City Fibre Request</t>
  </si>
  <si>
    <t>IT - Block Profile Inquiry</t>
  </si>
  <si>
    <t>IT - Electronic Data Request</t>
  </si>
  <si>
    <t>MC - calgary.ca Feedback</t>
  </si>
  <si>
    <t>PICS - Marketing and Communication</t>
  </si>
  <si>
    <t>MC - Calgary.ca Feedback and Issue Report</t>
  </si>
  <si>
    <t>Partnerships - Neighbourhood Services Programs</t>
  </si>
  <si>
    <t>Partnerships</t>
  </si>
  <si>
    <t>Recreation - Food Truck Parking Stall Application</t>
  </si>
  <si>
    <t>Recreation and Social Programs</t>
  </si>
  <si>
    <t>Green Line Inquiry</t>
  </si>
  <si>
    <t>TRAN - Green Line</t>
  </si>
  <si>
    <t>Roads Permits - Requests and Inquiries</t>
  </si>
  <si>
    <t>TRAN - Roads</t>
  </si>
  <si>
    <t>Roads - Speed Education</t>
  </si>
  <si>
    <t>TP - Community Traffic - Cycling - Pedestrian Inquiries</t>
  </si>
  <si>
    <t>TRAN - Transportation Planning</t>
  </si>
  <si>
    <t>ESM - Employee Complaint - Compliment</t>
  </si>
  <si>
    <t>UEP - Environmental and Safety Management</t>
  </si>
  <si>
    <t>WRS - Chatbot Feedback</t>
  </si>
  <si>
    <t>UEP - Waste and Recycling Services</t>
  </si>
  <si>
    <t>WATR - Erosion and Sediment Control</t>
  </si>
  <si>
    <t>UEP - Water Resources</t>
  </si>
  <si>
    <t>WATR - Water Billing Concerns</t>
  </si>
  <si>
    <t>WATR - Industrial Monitoring Inquiry</t>
  </si>
  <si>
    <t>WATR - Water Reporting and Information</t>
  </si>
  <si>
    <t>WATR - Water Conservation Programs</t>
  </si>
  <si>
    <t>WATR - Treatment Plant Tours</t>
  </si>
  <si>
    <t>WATS - Air Gap Vehicle Inspection - ONLINE</t>
  </si>
  <si>
    <t>UEP - Water Services</t>
  </si>
  <si>
    <t>CPI - Bridge - Tunnel - Underpass Concern</t>
  </si>
  <si>
    <t>(blank)</t>
  </si>
  <si>
    <t>Same service as Roads - Bridge - Tunnel - Underpass Concern (older label); engineers often assess first.</t>
  </si>
  <si>
    <t>CPI - Water and Sewer Main Condition Inquiries</t>
  </si>
  <si>
    <t>CPI - Plus 15 Skywalk</t>
  </si>
  <si>
    <t>CPI - Noise Barrier Wall</t>
  </si>
  <si>
    <t>CPI - Future Road Planning and Upgrades</t>
  </si>
  <si>
    <t>CPI - Wooden Stairs - Repairs</t>
  </si>
  <si>
    <t>CPI - Neighbourhood Streets Projects</t>
  </si>
  <si>
    <t>rank</t>
  </si>
  <si>
    <t>456 service types. All service types with at least 1 ticket in 2026, sorted by tickets_2026, largest first. work_type (green header) added on the right.</t>
  </si>
  <si>
    <t>Columns C onward link by formula to the same service's row on 'Service Types'.</t>
  </si>
  <si>
    <t>82 service types. Crew service types only, with at least 1 ticket in 2026 (Jan 1 to Oct 1), sorted by tickets_2026, largest first.</t>
  </si>
  <si>
    <t>Yellow call_confidence = Borderline call; read the 'why' column before relying on it.</t>
  </si>
  <si>
    <t>107 service types. Crew service types only, all years 2023-2026 (includes retired types), sorted by total_tickets, largest first.</t>
  </si>
  <si>
    <t>comm_code</t>
  </si>
  <si>
    <t>comm_name</t>
  </si>
  <si>
    <t>crew_tickets_2026</t>
  </si>
  <si>
    <t>crew_tickets_all_years</t>
  </si>
  <si>
    <t>crew_open_now</t>
  </si>
  <si>
    <t>crew_open_gt60d</t>
  </si>
  <si>
    <t>area_note</t>
  </si>
  <si>
    <t>population_2021</t>
  </si>
  <si>
    <t>business_licences</t>
  </si>
  <si>
    <t>area_km2</t>
  </si>
  <si>
    <t>resident_density</t>
  </si>
  <si>
    <t>business_density</t>
  </si>
  <si>
    <t>resident_percentile</t>
  </si>
  <si>
    <t>business_percentile</t>
  </si>
  <si>
    <t>exposure_percentile</t>
  </si>
  <si>
    <t>exposure_driver</t>
  </si>
  <si>
    <t>geo_score</t>
  </si>
  <si>
    <t>geo_rank</t>
  </si>
  <si>
    <t>crew_2026_per_1000_people</t>
  </si>
  <si>
    <t>traffic_flow_notes</t>
  </si>
  <si>
    <t>source</t>
  </si>
  <si>
    <t>Notes (full method: see GUIDE.md, 'How geo_score is calculated')</t>
  </si>
  <si>
    <t>BLN</t>
  </si>
  <si>
    <t>BELTLINE</t>
  </si>
  <si>
    <t>Residents: 2021 Federal Census by Community (f9wk-wej9). Businesses: 'Business Licences by Community' tab (Calgary Business Licences export, Oct 3 2026). Area: 2021 census boundary.</t>
  </si>
  <si>
    <t>316 communities plus one row for crew tickets with no community. Sorted by crew_tickets_2026, largest first.</t>
  </si>
  <si>
    <t>BOW</t>
  </si>
  <si>
    <t>BOWNESS</t>
  </si>
  <si>
    <t>Columns D-G count CREW tickets only, summed by formula from 'Pivot Data (Crew)'.</t>
  </si>
  <si>
    <t>DNC</t>
  </si>
  <si>
    <t>DOWNTOWN COMMERCIAL CORE</t>
  </si>
  <si>
    <t>resident_density = population_2021 / area_km2. business_density = business_licences / area_km2 (per km2).</t>
  </si>
  <si>
    <t>FAL</t>
  </si>
  <si>
    <t>FALCONRIDGE</t>
  </si>
  <si>
    <t>resident_percentile / business_percentile = share of communities with a value that are lower (0% to 100%).</t>
  </si>
  <si>
    <t>SAD</t>
  </si>
  <si>
    <t>SADDLE RIDGE</t>
  </si>
  <si>
    <t>exposure_percentile = the higher of the two: a community is 'busy' if many people live OR work/shop there.</t>
  </si>
  <si>
    <t>CRA</t>
  </si>
  <si>
    <t>CRANSTON</t>
  </si>
  <si>
    <t>geo_score = floor + (1 - floor) x exposure_percentile. No residents and no businesses = floor.</t>
  </si>
  <si>
    <t>BRD</t>
  </si>
  <si>
    <t>BRIDGELAND/RIVERSIDE</t>
  </si>
  <si>
    <t>206 communities have a 2021 resident count; 271 have at least one business licence (apartment-only excluded); 3 are not in the 2021 census.</t>
  </si>
  <si>
    <t>TUS</t>
  </si>
  <si>
    <t>TUSCANY</t>
  </si>
  <si>
    <t>business_licences comes from the 'Business Licences by Community' tab (apartment-operator-only licences excluded).</t>
  </si>
  <si>
    <t>MAH</t>
  </si>
  <si>
    <t>MAHOGANY</t>
  </si>
  <si>
    <t>Communities built after 2021 have no resident count yet. Type a newer population into population_2021 to override.</t>
  </si>
  <si>
    <t>HIL</t>
  </si>
  <si>
    <t>HILLHURST</t>
  </si>
  <si>
    <t>traffic_flow_notes (yellow) is free text; traffic volume is published per road segment, not per community.</t>
  </si>
  <si>
    <t>MCT</t>
  </si>
  <si>
    <t>MCKENZIE TOWNE</t>
  </si>
  <si>
    <t>Geography score floor (edit)</t>
  </si>
  <si>
    <t>HUN</t>
  </si>
  <si>
    <t>HUNTINGTON HILLS</t>
  </si>
  <si>
    <t>CRE</t>
  </si>
  <si>
    <t>CRESCENT HEIGHTS</t>
  </si>
  <si>
    <t>Check: total crew 2026 tickets</t>
  </si>
  <si>
    <t>ING</t>
  </si>
  <si>
    <t>INGLEWOOD</t>
  </si>
  <si>
    <t>Check: total crew tickets, all years</t>
  </si>
  <si>
    <t>CNS</t>
  </si>
  <si>
    <t>CORNERSTONE</t>
  </si>
  <si>
    <t>Check: total 2021 residents matched</t>
  </si>
  <si>
    <t>VAR</t>
  </si>
  <si>
    <t>VARSITY</t>
  </si>
  <si>
    <t>Check: total business licences matched</t>
  </si>
  <si>
    <t>KIL</t>
  </si>
  <si>
    <t>KILLARNEY/GLENGARRY</t>
  </si>
  <si>
    <t>OGD</t>
  </si>
  <si>
    <t>OGDEN</t>
  </si>
  <si>
    <t>ALT</t>
  </si>
  <si>
    <t>ALTADORE</t>
  </si>
  <si>
    <t>DOV</t>
  </si>
  <si>
    <t>DOVER</t>
  </si>
  <si>
    <t>EDG</t>
  </si>
  <si>
    <t>EDGEMONT</t>
  </si>
  <si>
    <t>WHL</t>
  </si>
  <si>
    <t>WEST HILLHURST</t>
  </si>
  <si>
    <t>DDG</t>
  </si>
  <si>
    <t>DOUGLASDALE/GLEN</t>
  </si>
  <si>
    <t>PAN</t>
  </si>
  <si>
    <t>PANORAMA HILLS</t>
  </si>
  <si>
    <t>REN</t>
  </si>
  <si>
    <t>RENFREW</t>
  </si>
  <si>
    <t>EVN</t>
  </si>
  <si>
    <t>EVANSTON</t>
  </si>
  <si>
    <t>COV</t>
  </si>
  <si>
    <t>COVENTRY HILLS</t>
  </si>
  <si>
    <t>AUB</t>
  </si>
  <si>
    <t>AUBURN BAY</t>
  </si>
  <si>
    <t>SIG</t>
  </si>
  <si>
    <t>SIGNAL HILL</t>
  </si>
  <si>
    <t>ACA</t>
  </si>
  <si>
    <t>ACADIA</t>
  </si>
  <si>
    <t>LKB</t>
  </si>
  <si>
    <t>LAKE BONAVISTA</t>
  </si>
  <si>
    <t>WHI</t>
  </si>
  <si>
    <t>WHITEHORN</t>
  </si>
  <si>
    <t>THO</t>
  </si>
  <si>
    <t>THORNCLIFFE</t>
  </si>
  <si>
    <t>MOP</t>
  </si>
  <si>
    <t>MOUNT PLEASANT</t>
  </si>
  <si>
    <t>FLN</t>
  </si>
  <si>
    <t>FOREST LAWN</t>
  </si>
  <si>
    <t>SSD</t>
  </si>
  <si>
    <t>SUNNYSIDE</t>
  </si>
  <si>
    <t>EVE</t>
  </si>
  <si>
    <t>EVERGREEN</t>
  </si>
  <si>
    <t>BED</t>
  </si>
  <si>
    <t>BEDDINGTON HEIGHTS</t>
  </si>
  <si>
    <t>MON</t>
  </si>
  <si>
    <t>MONTGOMERY</t>
  </si>
  <si>
    <t>RIC</t>
  </si>
  <si>
    <t>RICHMOND</t>
  </si>
  <si>
    <t>MCK</t>
  </si>
  <si>
    <t>MCKENZIE LAKE</t>
  </si>
  <si>
    <t>HAY</t>
  </si>
  <si>
    <t>HAYSBORO</t>
  </si>
  <si>
    <t>TAR</t>
  </si>
  <si>
    <t>TARADALE</t>
  </si>
  <si>
    <t>HID</t>
  </si>
  <si>
    <t>HIDDEN VALLEY</t>
  </si>
  <si>
    <t>EPK</t>
  </si>
  <si>
    <t>ELBOW PARK</t>
  </si>
  <si>
    <t>RIV</t>
  </si>
  <si>
    <t>RIVERBEND</t>
  </si>
  <si>
    <t>SIL</t>
  </si>
  <si>
    <t>SILVER SPRINGS</t>
  </si>
  <si>
    <t>DAL</t>
  </si>
  <si>
    <t>DALHOUSIE</t>
  </si>
  <si>
    <t>TUX</t>
  </si>
  <si>
    <t>TUXEDO PARK</t>
  </si>
  <si>
    <t>MRT</t>
  </si>
  <si>
    <t>MARTINDALE</t>
  </si>
  <si>
    <t>ALB</t>
  </si>
  <si>
    <t>ALBERT PARK/RADISSON HEIGHTS</t>
  </si>
  <si>
    <t>CAN</t>
  </si>
  <si>
    <t>CANYON MEADOWS</t>
  </si>
  <si>
    <t>SOW</t>
  </si>
  <si>
    <t>SOUTHWOOD</t>
  </si>
  <si>
    <t>RUN</t>
  </si>
  <si>
    <t>RUNDLE</t>
  </si>
  <si>
    <t>SCE</t>
  </si>
  <si>
    <t>SCENIC ACRES</t>
  </si>
  <si>
    <t>PIN</t>
  </si>
  <si>
    <t>PINERIDGE</t>
  </si>
  <si>
    <t>SHN</t>
  </si>
  <si>
    <t>SHAWNESSY</t>
  </si>
  <si>
    <t>CHA</t>
  </si>
  <si>
    <t>CHAPARRAL</t>
  </si>
  <si>
    <t>MRL</t>
  </si>
  <si>
    <t>MARLBOROUGH</t>
  </si>
  <si>
    <t>CAP</t>
  </si>
  <si>
    <t>CAPITOL HILL</t>
  </si>
  <si>
    <t>WBN</t>
  </si>
  <si>
    <t>WOODBINE</t>
  </si>
  <si>
    <t>ARB</t>
  </si>
  <si>
    <t>ARBOUR LAKE</t>
  </si>
  <si>
    <t>MPK</t>
  </si>
  <si>
    <t>MARLBOROUGH PARK</t>
  </si>
  <si>
    <t>LIV</t>
  </si>
  <si>
    <t>LIVINGSTON</t>
  </si>
  <si>
    <t>SGH</t>
  </si>
  <si>
    <t>SAGE HILL</t>
  </si>
  <si>
    <t>LMR</t>
  </si>
  <si>
    <t>LOWER MOUNT ROYAL</t>
  </si>
  <si>
    <t>TEM</t>
  </si>
  <si>
    <t>TEMPLE</t>
  </si>
  <si>
    <t>SNA</t>
  </si>
  <si>
    <t>SUNALTA</t>
  </si>
  <si>
    <t>WSP</t>
  </si>
  <si>
    <t>WEST SPRINGS</t>
  </si>
  <si>
    <t>WAL</t>
  </si>
  <si>
    <t>WALDEN</t>
  </si>
  <si>
    <t>GBK</t>
  </si>
  <si>
    <t>GLENBROOK</t>
  </si>
  <si>
    <t>SDC</t>
  </si>
  <si>
    <t>SUNDANCE</t>
  </si>
  <si>
    <t>WIL</t>
  </si>
  <si>
    <t>WILLOW PARK</t>
  </si>
  <si>
    <t>RAN</t>
  </si>
  <si>
    <t>RANCHLANDS</t>
  </si>
  <si>
    <t>CPF</t>
  </si>
  <si>
    <t>COPPERFIELD</t>
  </si>
  <si>
    <t>HAW</t>
  </si>
  <si>
    <t>HAWKWOOD</t>
  </si>
  <si>
    <t>CIT</t>
  </si>
  <si>
    <t>CITADEL</t>
  </si>
  <si>
    <t>MNI</t>
  </si>
  <si>
    <t>MANCHESTER INDUSTRIAL</t>
  </si>
  <si>
    <t>No 2021 resident count (industrial/business area, park, or built after 2021)</t>
  </si>
  <si>
    <t>SOC</t>
  </si>
  <si>
    <t>SOUTH CALGARY</t>
  </si>
  <si>
    <t>BRE</t>
  </si>
  <si>
    <t>BRENTWOOD</t>
  </si>
  <si>
    <t>LEG</t>
  </si>
  <si>
    <t>LEGACY</t>
  </si>
  <si>
    <t>OAK</t>
  </si>
  <si>
    <t>OAKRIDGE</t>
  </si>
  <si>
    <t>SET</t>
  </si>
  <si>
    <t>SETON</t>
  </si>
  <si>
    <t>KIN</t>
  </si>
  <si>
    <t>KINGSLAND</t>
  </si>
  <si>
    <t>PEN</t>
  </si>
  <si>
    <t>PENBROOKE MEADOWS</t>
  </si>
  <si>
    <t>NEB</t>
  </si>
  <si>
    <t>NEW BRIGHTON</t>
  </si>
  <si>
    <t>MOR</t>
  </si>
  <si>
    <t>MONTEREY PARK</t>
  </si>
  <si>
    <t>RAM</t>
  </si>
  <si>
    <t>RAMSAY</t>
  </si>
  <si>
    <t>BNK</t>
  </si>
  <si>
    <t>BANKVIEW</t>
  </si>
  <si>
    <t>LKV</t>
  </si>
  <si>
    <t>LAKEVIEW</t>
  </si>
  <si>
    <t>BRI</t>
  </si>
  <si>
    <t>BRIDLEWOOD</t>
  </si>
  <si>
    <t>SPH</t>
  </si>
  <si>
    <t>SPRINGBANK HILL</t>
  </si>
  <si>
    <t>SHG</t>
  </si>
  <si>
    <t>SHAGANAPPI</t>
  </si>
  <si>
    <t>CSC</t>
  </si>
  <si>
    <t>CITYSCAPE</t>
  </si>
  <si>
    <t>SVO</t>
  </si>
  <si>
    <t>SILVERADO</t>
  </si>
  <si>
    <t>BNF</t>
  </si>
  <si>
    <t>BANFF TRAIL</t>
  </si>
  <si>
    <t>HPK</t>
  </si>
  <si>
    <t>HIGHLAND PARK</t>
  </si>
  <si>
    <t>HAR</t>
  </si>
  <si>
    <t>HARVEST HILLS</t>
  </si>
  <si>
    <t>BRA</t>
  </si>
  <si>
    <t>BRAESIDE</t>
  </si>
  <si>
    <t>WIN</t>
  </si>
  <si>
    <t>WINSTON HEIGHTS/MOUNTVIEW</t>
  </si>
  <si>
    <t>GLA</t>
  </si>
  <si>
    <t>GLAMORGAN</t>
  </si>
  <si>
    <t>MAL</t>
  </si>
  <si>
    <t>MAYLAND HEIGHTS</t>
  </si>
  <si>
    <t>MIS</t>
  </si>
  <si>
    <t>MISSION</t>
  </si>
  <si>
    <t>SKR</t>
  </si>
  <si>
    <t>SKYVIEW RANCH</t>
  </si>
  <si>
    <t>CAR</t>
  </si>
  <si>
    <t>CARRINGTON</t>
  </si>
  <si>
    <t>ROY</t>
  </si>
  <si>
    <t>ROYAL OAK</t>
  </si>
  <si>
    <t>STR</t>
  </si>
  <si>
    <t>STRATHCONA PARK</t>
  </si>
  <si>
    <t>GDL</t>
  </si>
  <si>
    <t>GLENDALE</t>
  </si>
  <si>
    <t>ASP</t>
  </si>
  <si>
    <t>ASPEN WOODS</t>
  </si>
  <si>
    <t>CHW</t>
  </si>
  <si>
    <t>CHARLESWOOD</t>
  </si>
  <si>
    <t>ERI</t>
  </si>
  <si>
    <t>ERIN WOODS</t>
  </si>
  <si>
    <t>HOU</t>
  </si>
  <si>
    <t>HOUNSFIELD HEIGHTS/BRIAR HILL</t>
  </si>
  <si>
    <t>UMR</t>
  </si>
  <si>
    <t>UPPER MOUNT ROYAL</t>
  </si>
  <si>
    <t>FHT</t>
  </si>
  <si>
    <t>FOREST HEIGHTS</t>
  </si>
  <si>
    <t>NOL</t>
  </si>
  <si>
    <t>NOLAN HILL</t>
  </si>
  <si>
    <t>RVW</t>
  </si>
  <si>
    <t>RANGEVIEW</t>
  </si>
  <si>
    <t>SPR</t>
  </si>
  <si>
    <t>SPRUCE CLIFF</t>
  </si>
  <si>
    <t>RCK</t>
  </si>
  <si>
    <t>ROSSCARROCK</t>
  </si>
  <si>
    <t>SOV</t>
  </si>
  <si>
    <t>SOUTHVIEW</t>
  </si>
  <si>
    <t>WLD</t>
  </si>
  <si>
    <t>WILDWOOD</t>
  </si>
  <si>
    <t>GPK</t>
  </si>
  <si>
    <t>GLENMORE PARK</t>
  </si>
  <si>
    <t>SAN</t>
  </si>
  <si>
    <t>SANDSTONE VALLEY</t>
  </si>
  <si>
    <t>CED</t>
  </si>
  <si>
    <t>CEDARBRAE</t>
  </si>
  <si>
    <t>MID</t>
  </si>
  <si>
    <t>MIDNAPORE</t>
  </si>
  <si>
    <t>ROC</t>
  </si>
  <si>
    <t>ROCKY RIDGE</t>
  </si>
  <si>
    <t>PCK</t>
  </si>
  <si>
    <t>PINE CREEK</t>
  </si>
  <si>
    <t>GLR</t>
  </si>
  <si>
    <t>GLACIER RIDGE</t>
  </si>
  <si>
    <t>MLR</t>
  </si>
  <si>
    <t>MILLRISE</t>
  </si>
  <si>
    <t>HSN</t>
  </si>
  <si>
    <t>HASKAYNE</t>
  </si>
  <si>
    <t>NGM</t>
  </si>
  <si>
    <t>NORTH GLENMORE PARK</t>
  </si>
  <si>
    <t>DRN</t>
  </si>
  <si>
    <t>DEER RUN</t>
  </si>
  <si>
    <t>DNE</t>
  </si>
  <si>
    <t>DOWNTOWN EAST VILLAGE</t>
  </si>
  <si>
    <t>FAI</t>
  </si>
  <si>
    <t>FAIRVIEW</t>
  </si>
  <si>
    <t>WOO</t>
  </si>
  <si>
    <t>WOODLANDS</t>
  </si>
  <si>
    <t>PKD</t>
  </si>
  <si>
    <t>PARKDALE</t>
  </si>
  <si>
    <t>HAM</t>
  </si>
  <si>
    <t>HAMPTONS</t>
  </si>
  <si>
    <t>PKH</t>
  </si>
  <si>
    <t>PARKHILL</t>
  </si>
  <si>
    <t>ABB</t>
  </si>
  <si>
    <t>ABBEYDALE</t>
  </si>
  <si>
    <t>COR</t>
  </si>
  <si>
    <t>CORAL SPRINGS</t>
  </si>
  <si>
    <t>WGT</t>
  </si>
  <si>
    <t>WESTGATE</t>
  </si>
  <si>
    <t>DRG</t>
  </si>
  <si>
    <t>DEER RIDGE</t>
  </si>
  <si>
    <t>CAS</t>
  </si>
  <si>
    <t>CASTLERIDGE</t>
  </si>
  <si>
    <t>RSN</t>
  </si>
  <si>
    <t>REDSTONE</t>
  </si>
  <si>
    <t>MRN</t>
  </si>
  <si>
    <t>MORAINE</t>
  </si>
  <si>
    <t>PKL</t>
  </si>
  <si>
    <t>PARKLAND</t>
  </si>
  <si>
    <t>ALP</t>
  </si>
  <si>
    <t>ALPINE PARK</t>
  </si>
  <si>
    <t>CLI</t>
  </si>
  <si>
    <t>CLIFF BUNGALOW</t>
  </si>
  <si>
    <t>EAU</t>
  </si>
  <si>
    <t>EAU CLAIRE</t>
  </si>
  <si>
    <t>DNW</t>
  </si>
  <si>
    <t>DOWNTOWN WEST END</t>
  </si>
  <si>
    <t>FHI</t>
  </si>
  <si>
    <t>FOOTHILLS</t>
  </si>
  <si>
    <t>QLD</t>
  </si>
  <si>
    <t>QUEENSLAND</t>
  </si>
  <si>
    <t>VAL</t>
  </si>
  <si>
    <t>VALLEY RIDGE</t>
  </si>
  <si>
    <t>RDL</t>
  </si>
  <si>
    <t>ROSEDALE</t>
  </si>
  <si>
    <t>WND</t>
  </si>
  <si>
    <t>WINDSOR PARK</t>
  </si>
  <si>
    <t>MAC</t>
  </si>
  <si>
    <t>MACEWAN GLEN</t>
  </si>
  <si>
    <t>ERL</t>
  </si>
  <si>
    <t>ERLTON</t>
  </si>
  <si>
    <t>SOM</t>
  </si>
  <si>
    <t>SOMERSET</t>
  </si>
  <si>
    <t>KCA</t>
  </si>
  <si>
    <t>KINCORA</t>
  </si>
  <si>
    <t>ESH</t>
  </si>
  <si>
    <t>EAST SHEPARD INDUSTRIAL</t>
  </si>
  <si>
    <t>CGR</t>
  </si>
  <si>
    <t>COUGAR RIDGE</t>
  </si>
  <si>
    <t>WWO</t>
  </si>
  <si>
    <t>WOLF WILLOW</t>
  </si>
  <si>
    <t>BLM</t>
  </si>
  <si>
    <t>BELMONT</t>
  </si>
  <si>
    <t>DIS</t>
  </si>
  <si>
    <t>DISCOVERY RIDGE</t>
  </si>
  <si>
    <t>MPL</t>
  </si>
  <si>
    <t>MAPLE RIDGE</t>
  </si>
  <si>
    <t>HKS</t>
  </si>
  <si>
    <t>HOTCHKISS</t>
  </si>
  <si>
    <t>COL</t>
  </si>
  <si>
    <t>COLLINGWOOD</t>
  </si>
  <si>
    <t>COA</t>
  </si>
  <si>
    <t>COACH HILL</t>
  </si>
  <si>
    <t>WES</t>
  </si>
  <si>
    <t>WESTWINDS</t>
  </si>
  <si>
    <t>SHW</t>
  </si>
  <si>
    <t>SHERWOOD</t>
  </si>
  <si>
    <t>CAM</t>
  </si>
  <si>
    <t>CAMBRIAN HEIGHTS</t>
  </si>
  <si>
    <t>PAT</t>
  </si>
  <si>
    <t>PATTERSON</t>
  </si>
  <si>
    <t>AYB</t>
  </si>
  <si>
    <t>ALYTH/BONNYBROOK</t>
  </si>
  <si>
    <t>HSD</t>
  </si>
  <si>
    <t>HOMESTEAD</t>
  </si>
  <si>
    <t>GAW</t>
  </si>
  <si>
    <t>GARRISON WOODS</t>
  </si>
  <si>
    <t>BVD</t>
  </si>
  <si>
    <t>BELVEDERE</t>
  </si>
  <si>
    <t>GRI</t>
  </si>
  <si>
    <t>GREENVIEW INDUSTRIAL PARK</t>
  </si>
  <si>
    <t>STA</t>
  </si>
  <si>
    <t>ST. ANDREWS HEIGHTS</t>
  </si>
  <si>
    <t>HIW</t>
  </si>
  <si>
    <t>HIGHWOOD</t>
  </si>
  <si>
    <t>SHS</t>
  </si>
  <si>
    <t>SHAWNEE SLOPES</t>
  </si>
  <si>
    <t>EYA</t>
  </si>
  <si>
    <t>ELBOYA</t>
  </si>
  <si>
    <t>APP</t>
  </si>
  <si>
    <t>APPLEWOOD PARK</t>
  </si>
  <si>
    <t>COU</t>
  </si>
  <si>
    <t>COUNTRY HILLS</t>
  </si>
  <si>
    <t>SCA</t>
  </si>
  <si>
    <t>SCARBORO</t>
  </si>
  <si>
    <t>CHK</t>
  </si>
  <si>
    <t>CHINOOK PARK</t>
  </si>
  <si>
    <t>RUT</t>
  </si>
  <si>
    <t>RUTLAND PARK</t>
  </si>
  <si>
    <t>CHN</t>
  </si>
  <si>
    <t>CHINATOWN</t>
  </si>
  <si>
    <t>UNI</t>
  </si>
  <si>
    <t>UNIVERSITY HEIGHTS</t>
  </si>
  <si>
    <t>PAL</t>
  </si>
  <si>
    <t>PALLISER</t>
  </si>
  <si>
    <t>CUR</t>
  </si>
  <si>
    <t>CURRIE BARRACKS</t>
  </si>
  <si>
    <t>RRC</t>
  </si>
  <si>
    <t>RICARDO RANCH</t>
  </si>
  <si>
    <t>MEA</t>
  </si>
  <si>
    <t>MEADOWLARK PARK</t>
  </si>
  <si>
    <t>SUN</t>
  </si>
  <si>
    <t>SUNRIDGE</t>
  </si>
  <si>
    <t>YKV</t>
  </si>
  <si>
    <t>YORKVILLE</t>
  </si>
  <si>
    <t>VIS</t>
  </si>
  <si>
    <t>VISTA HEIGHTS</t>
  </si>
  <si>
    <t>BUR</t>
  </si>
  <si>
    <t>BURNS INDUSTRIAL</t>
  </si>
  <si>
    <t>CHR</t>
  </si>
  <si>
    <t>CHRISTIE PARK</t>
  </si>
  <si>
    <t>PUM</t>
  </si>
  <si>
    <t>PUMP HILL</t>
  </si>
  <si>
    <t>SSW</t>
  </si>
  <si>
    <t>SCARBORO/SUNALTA WEST</t>
  </si>
  <si>
    <t>CHV</t>
  </si>
  <si>
    <t>COUNTRY HILLS VILLAGE</t>
  </si>
  <si>
    <t>KEL</t>
  </si>
  <si>
    <t>KELVIN GROVE</t>
  </si>
  <si>
    <t>NHV</t>
  </si>
  <si>
    <t>NORTH HAVEN</t>
  </si>
  <si>
    <t>CRM</t>
  </si>
  <si>
    <t>CRESTMONT</t>
  </si>
  <si>
    <t>ST3</t>
  </si>
  <si>
    <t>STONEY 3</t>
  </si>
  <si>
    <t>BYV</t>
  </si>
  <si>
    <t>BAYVIEW</t>
  </si>
  <si>
    <t>NPK</t>
  </si>
  <si>
    <t>NOSE HILL PARK</t>
  </si>
  <si>
    <t>RMT</t>
  </si>
  <si>
    <t>ROSEMONT</t>
  </si>
  <si>
    <t>SHI</t>
  </si>
  <si>
    <t>SHEPARD INDUSTRIAL</t>
  </si>
  <si>
    <t>GAG</t>
  </si>
  <si>
    <t>GARRISON GREEN</t>
  </si>
  <si>
    <t>HOR</t>
  </si>
  <si>
    <t>HORIZON</t>
  </si>
  <si>
    <t>EFV</t>
  </si>
  <si>
    <t>EAST FAIRVIEW INDUSTRIAL</t>
  </si>
  <si>
    <t>FVI</t>
  </si>
  <si>
    <t>FAIRVIEW INDUSTRIAL</t>
  </si>
  <si>
    <t>SAW</t>
  </si>
  <si>
    <t>SOUTH AIRWAYS</t>
  </si>
  <si>
    <t>HIF</t>
  </si>
  <si>
    <t>HIGHFIELD</t>
  </si>
  <si>
    <t>ST1</t>
  </si>
  <si>
    <t>STONEY 1</t>
  </si>
  <si>
    <t>SGL</t>
  </si>
  <si>
    <t>STONEGATE LANDING</t>
  </si>
  <si>
    <t>BDO</t>
  </si>
  <si>
    <t>BONAVISTA DOWNS</t>
  </si>
  <si>
    <t>FRA</t>
  </si>
  <si>
    <t>FRANKLIN</t>
  </si>
  <si>
    <t>HUX</t>
  </si>
  <si>
    <t>HUXLEY</t>
  </si>
  <si>
    <t>SKW</t>
  </si>
  <si>
    <t>SKYLINE WEST</t>
  </si>
  <si>
    <t>MLI</t>
  </si>
  <si>
    <t>MAYLAND</t>
  </si>
  <si>
    <t>GRV</t>
  </si>
  <si>
    <t>GREENVIEW</t>
  </si>
  <si>
    <t>BRT</t>
  </si>
  <si>
    <t>BRITANNIA</t>
  </si>
  <si>
    <t>ABP</t>
  </si>
  <si>
    <t>AURORA BUSINESS PARK</t>
  </si>
  <si>
    <t>LEB</t>
  </si>
  <si>
    <t>LEWISBURG</t>
  </si>
  <si>
    <t>MAN</t>
  </si>
  <si>
    <t>MANCHESTER</t>
  </si>
  <si>
    <t>RID</t>
  </si>
  <si>
    <t>RIDEAU PARK</t>
  </si>
  <si>
    <t>CIA</t>
  </si>
  <si>
    <t>CALGARY INTERNATIONAL AIRPORT</t>
  </si>
  <si>
    <t>GRE</t>
  </si>
  <si>
    <t>GREENWOOD/GREENBRIAR</t>
  </si>
  <si>
    <t>UND</t>
  </si>
  <si>
    <t>UNIVERSITY DISTRICT</t>
  </si>
  <si>
    <t>MCI</t>
  </si>
  <si>
    <t>MCCALL</t>
  </si>
  <si>
    <t>LPK</t>
  </si>
  <si>
    <t>LINCOLN PARK</t>
  </si>
  <si>
    <t>FPK</t>
  </si>
  <si>
    <t>FISH CREEK PARK</t>
  </si>
  <si>
    <t>ROX</t>
  </si>
  <si>
    <t>ROXBORO</t>
  </si>
  <si>
    <t>EAG</t>
  </si>
  <si>
    <t>EAGLE RIDGE</t>
  </si>
  <si>
    <t>MER</t>
  </si>
  <si>
    <t>MERIDIAN</t>
  </si>
  <si>
    <t>FLI</t>
  </si>
  <si>
    <t>FOREST LAWN INDUSTRIAL</t>
  </si>
  <si>
    <t>S23</t>
  </si>
  <si>
    <t>SECTION 23</t>
  </si>
  <si>
    <t>UOC</t>
  </si>
  <si>
    <t>UNIVERSITY OF CALGARY</t>
  </si>
  <si>
    <t>RYV</t>
  </si>
  <si>
    <t>ROYAL VISTA</t>
  </si>
  <si>
    <t>NAW</t>
  </si>
  <si>
    <t>NORTH AIRWAYS</t>
  </si>
  <si>
    <t>SRI</t>
  </si>
  <si>
    <t>SADDLE RIDGE INDUSTRIAL</t>
  </si>
  <si>
    <t>SFH</t>
  </si>
  <si>
    <t>SOUTH FOOTHILLS</t>
  </si>
  <si>
    <t>VAF</t>
  </si>
  <si>
    <t>VALLEYFIELD</t>
  </si>
  <si>
    <t>MDH</t>
  </si>
  <si>
    <t>MEDICINE HILL</t>
  </si>
  <si>
    <t>09Q</t>
  </si>
  <si>
    <t>Residual sub-area: land outside a named community</t>
  </si>
  <si>
    <t>DIA</t>
  </si>
  <si>
    <t>DIAMOND COVE</t>
  </si>
  <si>
    <t>RED</t>
  </si>
  <si>
    <t>RED CARPET</t>
  </si>
  <si>
    <t>GPI</t>
  </si>
  <si>
    <t>GREAT PLAINS</t>
  </si>
  <si>
    <t>BEL</t>
  </si>
  <si>
    <t>BEL-AIRE</t>
  </si>
  <si>
    <t>DBC</t>
  </si>
  <si>
    <t>DEERFOOT BUSINESS CENTRE</t>
  </si>
  <si>
    <t>MAF</t>
  </si>
  <si>
    <t>MAYFAIR</t>
  </si>
  <si>
    <t>POI</t>
  </si>
  <si>
    <t>POINT MCKAY</t>
  </si>
  <si>
    <t>02F</t>
  </si>
  <si>
    <t>12A</t>
  </si>
  <si>
    <t>NHU</t>
  </si>
  <si>
    <t>NORTH HAVEN UPPER</t>
  </si>
  <si>
    <t>ST2</t>
  </si>
  <si>
    <t>STONEY 2</t>
  </si>
  <si>
    <t>ABR</t>
  </si>
  <si>
    <t>AMBLERIDGE</t>
  </si>
  <si>
    <t>12B</t>
  </si>
  <si>
    <t>05D</t>
  </si>
  <si>
    <t>STD</t>
  </si>
  <si>
    <t>STARFIELD</t>
  </si>
  <si>
    <t>01K</t>
  </si>
  <si>
    <t>09H</t>
  </si>
  <si>
    <t>PEG</t>
  </si>
  <si>
    <t>PEGASUS</t>
  </si>
  <si>
    <t>SKE</t>
  </si>
  <si>
    <t>SKYLINE EAST</t>
  </si>
  <si>
    <t>KSH</t>
  </si>
  <si>
    <t>KEYSTONE HILLS</t>
  </si>
  <si>
    <t>09D</t>
  </si>
  <si>
    <t>11B</t>
  </si>
  <si>
    <t>09P</t>
  </si>
  <si>
    <t>GBP</t>
  </si>
  <si>
    <t>GLENDEER BUSINESS PARK</t>
  </si>
  <si>
    <t>EFI</t>
  </si>
  <si>
    <t>EASTFIELD</t>
  </si>
  <si>
    <t>QPK</t>
  </si>
  <si>
    <t>QUEENS PARK VILLAGE</t>
  </si>
  <si>
    <t>OPH</t>
  </si>
  <si>
    <t>OSPREY HILL</t>
  </si>
  <si>
    <t>06A</t>
  </si>
  <si>
    <t>OSH</t>
  </si>
  <si>
    <t>OGDEN SHOPS</t>
  </si>
  <si>
    <t>01B</t>
  </si>
  <si>
    <t>ST4</t>
  </si>
  <si>
    <t>STONEY 4</t>
  </si>
  <si>
    <t>SVR</t>
  </si>
  <si>
    <t>SYMONS VALLEY RANCH</t>
  </si>
  <si>
    <t>STE</t>
  </si>
  <si>
    <t>STARFIELD EAST</t>
  </si>
  <si>
    <t>GTI</t>
  </si>
  <si>
    <t>GOLDEN TRIANGLE</t>
  </si>
  <si>
    <t>12J</t>
  </si>
  <si>
    <t>13F</t>
  </si>
  <si>
    <t>02C</t>
  </si>
  <si>
    <t>01F</t>
  </si>
  <si>
    <t>02E</t>
  </si>
  <si>
    <t>03W</t>
  </si>
  <si>
    <t>02K</t>
  </si>
  <si>
    <t>13G</t>
  </si>
  <si>
    <t>12C</t>
  </si>
  <si>
    <t>10E</t>
  </si>
  <si>
    <t>12L</t>
  </si>
  <si>
    <t>13E</t>
  </si>
  <si>
    <t>COP</t>
  </si>
  <si>
    <t>CANADA OLYMPIC PARK</t>
  </si>
  <si>
    <t>05F</t>
  </si>
  <si>
    <t>05E</t>
  </si>
  <si>
    <t>01C</t>
  </si>
  <si>
    <t>01H</t>
  </si>
  <si>
    <t>GPE</t>
  </si>
  <si>
    <t>GREAT PLAINS EAST</t>
  </si>
  <si>
    <t>10D</t>
  </si>
  <si>
    <t>THS</t>
  </si>
  <si>
    <t>TWINHILLS</t>
  </si>
  <si>
    <t>13I</t>
  </si>
  <si>
    <t>13N</t>
  </si>
  <si>
    <t>02L</t>
  </si>
  <si>
    <t>06C</t>
  </si>
  <si>
    <t>02B</t>
  </si>
  <si>
    <t>13M</t>
  </si>
  <si>
    <t>12K</t>
  </si>
  <si>
    <t>05G</t>
  </si>
  <si>
    <t>13H</t>
  </si>
  <si>
    <t>13J</t>
  </si>
  <si>
    <t>ABT</t>
  </si>
  <si>
    <t>AMBLETON</t>
  </si>
  <si>
    <t>Not in the 2021 census (no area, so no score)</t>
  </si>
  <si>
    <t>06B</t>
  </si>
  <si>
    <t>09O</t>
  </si>
  <si>
    <t>01I</t>
  </si>
  <si>
    <t>Residual sub-area: land outside a named community; Not in the 2021 census (no area, so no score)</t>
  </si>
  <si>
    <t>13C</t>
  </si>
  <si>
    <t>13A</t>
  </si>
  <si>
    <t>12I</t>
  </si>
  <si>
    <t>(no community recorded)</t>
  </si>
  <si>
    <t>customer_facing</t>
  </si>
  <si>
    <t>industrial_trades</t>
  </si>
  <si>
    <t>office_other</t>
  </si>
  <si>
    <t>apartment_operator_excluded</t>
  </si>
  <si>
    <t>all_licences</t>
  </si>
  <si>
    <t>main_activity</t>
  </si>
  <si>
    <t>Source: Calgary_Business_Licenses_20261003.csv (City of Calgary open data, Calgary Business Licences), 23,192 rows; all non-home businesses with a current licence status.</t>
  </si>
  <si>
    <t>11 rows removed: the same licence listed twice at the same address. 23,181 licences counted.</t>
  </si>
  <si>
    <t>Each licence is placed in a community by its map point (point-in-polygon) using the 2021 census boundaries, the same boundaries used for area.</t>
  </si>
  <si>
    <t>That placement agrees with the City's own community code for 99.74% of licences; 22 licences with no City code are placed this way too.</t>
  </si>
  <si>
    <t>customer_facing = retail, food &amp; drink, personal services, entertainment, hotels, schools, gas stations, vehicle dealers (public comes in).</t>
  </si>
  <si>
    <t>industrial_trades = manufacturers, wholesalers, warehouses, distribution, contractors, vehicle repair/body shops, salvage, cleaning/security firms (workers and trucks).</t>
  </si>
  <si>
    <t>office_other = everything else (e.g. charities, no-premises sellers). A licence with several types is counted once, in the first group that matches, in the order above.</t>
  </si>
  <si>
    <t>apartment_operator_excluded = licences that only cover running an apartment building. Excluded: residents are already counted by the census.</t>
  </si>
  <si>
    <t>business_licences = customer_facing + industrial_trades + office_other. This is the count used in 'Crew by Community' for geo_score.</t>
  </si>
  <si>
    <t>Check: total business licences</t>
  </si>
  <si>
    <t>Check: total all licences</t>
  </si>
  <si>
    <t>TOTAL crew 2026</t>
  </si>
  <si>
    <t>Rows: communities (same order as 'Crew by Community'). Columns: the 82 crew service types active in 2026, largest first.</t>
  </si>
  <si>
    <t>Cells: 2026 crew tickets for that community and service type (blank = 0). Darker green = more tickets.</t>
  </si>
  <si>
    <t>Built with SUMIFS from 'Pivot Data (Crew)'. For a drag-and-drop PivotTable, use Insert &gt; PivotTable on that tab.</t>
  </si>
  <si>
    <t>TOTAL (all communities)</t>
  </si>
  <si>
    <t>verdict</t>
  </si>
  <si>
    <t>is_primary</t>
  </si>
  <si>
    <t>tickets</t>
  </si>
  <si>
    <t>share_of_service</t>
  </si>
  <si>
    <t>first_seen</t>
  </si>
  <si>
    <t>last_seen</t>
  </si>
  <si>
    <t>pair_class</t>
  </si>
  <si>
    <t>note</t>
  </si>
  <si>
    <t>Classification rules</t>
  </si>
  <si>
    <t>Rename/merge</t>
  </si>
  <si>
    <t>Primary</t>
  </si>
  <si>
    <t>Used 2023-05-15 to 2024-02-27 (label retired)</t>
  </si>
  <si>
    <t>Rename (same unit, new label)</t>
  </si>
  <si>
    <t>Same unit name once the department prefix is stripped (e.g. UEP - Water Services -&gt; OS - Water Services).</t>
  </si>
  <si>
    <t>Affiliated Organizations</t>
  </si>
  <si>
    <t>Merge/reorg (old label retired)</t>
  </si>
  <si>
    <t>Used 2023-01-12 to 2023-05-04; overlap with primary 0 d (label retired)</t>
  </si>
  <si>
    <t>Different unit name; one label is unused anywhere in the final 12 months and the other takes over (e.g. TRAN - Roads -&gt; OS - Mobility).</t>
  </si>
  <si>
    <t>Used 2023-05-05 to 2026-09-23</t>
  </si>
  <si>
    <t>Merge/reorg (sequential handover)</t>
  </si>
  <si>
    <t>Different unit name; one stops, the other starts, little or no overlap.</t>
  </si>
  <si>
    <t>CS - Calgary Housing</t>
  </si>
  <si>
    <t>Used 2023-01-02 to 2023-04-21; overlap with primary 0 d (label retired)</t>
  </si>
  <si>
    <t>Concurrent - minor misrouting</t>
  </si>
  <si>
    <t>Minor agency used only inside the primary's active period, 5 or fewer tickets or under 2% share.</t>
  </si>
  <si>
    <t>Used 2026-04-19 to 2026-07-29</t>
  </si>
  <si>
    <t>Real split (temporary)</t>
  </si>
  <si>
    <t>Minor agency used inside the primary's active period with a material share.</t>
  </si>
  <si>
    <t>CS - Chief Housing Office</t>
  </si>
  <si>
    <t>Used 2026-08-11 to 2026-09-22; overlap with primary 0 d</t>
  </si>
  <si>
    <t>Service-level: REAL SPLIT if any row is a real split; otherwise Rename/merge (with minor misrouting noted).</t>
  </si>
  <si>
    <t>Used 2023-01-16 to 2024-05-15</t>
  </si>
  <si>
    <t>label retired</t>
  </si>
  <si>
    <t>Agency label has no tickets anywhere in the data after 2025-10-02.</t>
  </si>
  <si>
    <t>CFOD - Finance</t>
  </si>
  <si>
    <t>Used 2023-01-02 to 2023-05-09; overlap with primary 113 d (label retired)</t>
  </si>
  <si>
    <t>Used 2023-01-02 to 2024-06-19</t>
  </si>
  <si>
    <t>Used 2023-01-02 to 2023-05-01; overlap with primary 119 d (label retired)</t>
  </si>
  <si>
    <t>Used 2023-01-04 to 2024-05-14</t>
  </si>
  <si>
    <t>Used 2023-01-02 to 2023-05-01; overlap with primary 117 d (label retired)</t>
  </si>
  <si>
    <t>Used 2023-05-06 to 2024-06-17</t>
  </si>
  <si>
    <t>Used 2023-01-02 to 2023-05-06; overlap with primary 0 d (label retired)</t>
  </si>
  <si>
    <t>Used 2023-01-04 to 2024-07-04</t>
  </si>
  <si>
    <t>Used 2023-01-02 to 2023-05-09; overlap with primary 125 d (label retired)</t>
  </si>
  <si>
    <t>Used 2023-04-28 to 2024-04-01</t>
  </si>
  <si>
    <t>Used 2023-01-04 to 2023-05-01; overlap with primary 3 d (label retired)</t>
  </si>
  <si>
    <t>Used 2023-05-01 to 2024-04-17</t>
  </si>
  <si>
    <t>Used 2023-01-11 to 2023-04-27; overlap with primary 0 d (label retired)</t>
  </si>
  <si>
    <t>Used 2023-01-13 to 2024-06-28</t>
  </si>
  <si>
    <t>Used 2023-01-04 to 2023-05-03; overlap with primary 110 d (label retired)</t>
  </si>
  <si>
    <t>Used 2023-01-31 to 2026-10-01</t>
  </si>
  <si>
    <t>Used 2023-01-04 to 2023-05-09; overlap with primary 98 d (label retired)</t>
  </si>
  <si>
    <t>Used 2023-05-14 to 2026-10-01</t>
  </si>
  <si>
    <t>Used 2023-01-06 to 2023-05-09; overlap with primary 0 d (label retired)</t>
  </si>
  <si>
    <t>Used 2023-04-17 to 2026-10-01</t>
  </si>
  <si>
    <t>Used 2023-01-04 to 2023-05-09; overlap with primary 22 d (label retired)</t>
  </si>
  <si>
    <t>Used 2023-03-17 to 2026-10-01</t>
  </si>
  <si>
    <t>Used 2023-01-03 to 2023-05-02; overlap with primary 46 d (label retired)</t>
  </si>
  <si>
    <t>Used 2023-05-16 to 2026-09-20</t>
  </si>
  <si>
    <t>DCMO - Supply</t>
  </si>
  <si>
    <t>Used 2023-01-25 to 2023-03-28; overlap with primary 0 d (label retired)</t>
  </si>
  <si>
    <t>Used 2023-01-02 to 2023-05-09 (label retired)</t>
  </si>
  <si>
    <t>Used 2023-05-09 to 2023-05-17; overlap with primary 0 d</t>
  </si>
  <si>
    <t>Used 2023-05-09 to 2023-09-19; overlap with primary 0 d</t>
  </si>
  <si>
    <t>Used 2023-01-11 to 2023-04-27 (label retired)</t>
  </si>
  <si>
    <t>Used 2023-04-09 to 2023-05-29; overlap with primary 18 d</t>
  </si>
  <si>
    <t>Used 2023-01-07 to 2023-02-27 (label retired)</t>
  </si>
  <si>
    <t>Used 2023-07-10 to 2023-08-25; overlap with primary 0 d</t>
  </si>
  <si>
    <t>Used 2023-01-08 to 2023-03-03 (label retired)</t>
  </si>
  <si>
    <t>Used 2023-03-14 to 2023-03-20; overlap with primary 0 d (label retired)</t>
  </si>
  <si>
    <t>Used 2023-02-14 to 2023-03-15 (label retired)</t>
  </si>
  <si>
    <t>Used 2023-05-17 to 2023-10-11; overlap with primary 0 d</t>
  </si>
  <si>
    <t>Used 2023-01-09 to 2023-03-14 (label retired)</t>
  </si>
  <si>
    <t>Used 2023-01-13 to 2023-02-10; overlap with primary 28 d</t>
  </si>
  <si>
    <t>Used 2023-01-05 to 2023-03-22 (label retired)</t>
  </si>
  <si>
    <t>Used 2023-03-15 to 2023-03-15; overlap with primary 0 d</t>
  </si>
  <si>
    <t>Used 2023-01-03 to 2023-04-18 (label retired)</t>
  </si>
  <si>
    <t>Used 2023-04-14 to 2023-07-05; overlap with primary 4 d</t>
  </si>
  <si>
    <t>Used 2023-05-08 to 2023-09-29</t>
  </si>
  <si>
    <t>Used 2023-02-02 to 2023-05-02; overlap with primary 0 d (label retired)</t>
  </si>
  <si>
    <t>Used 2023-03-30 to 2023-05-09</t>
  </si>
  <si>
    <t>Used 2023-03-23 to 2023-03-23; overlap with primary 0 d (label retired)</t>
  </si>
  <si>
    <t>Used 2023-01-02 to 2026-06-16</t>
  </si>
  <si>
    <t>Used 2023-01-02 to 2023-04-21; overlap with primary 109 d (label retired)</t>
  </si>
  <si>
    <t>Used 2023-01-03 to 2026-10-01</t>
  </si>
  <si>
    <t>Used 2023-01-02 to 2023-05-09; overlap with primary 126 d (label retired)</t>
  </si>
  <si>
    <t>Used 2023-03-24 to 2026-10-01</t>
  </si>
  <si>
    <t>Used 2023-01-25 to 2023-05-07; overlap with primary 44 d (label retired)</t>
  </si>
  <si>
    <t>Used 2023-01-12 to 2026-10-01</t>
  </si>
  <si>
    <t>Used 2023-01-02 to 2023-05-09; overlap with primary 117 d (label retired)</t>
  </si>
  <si>
    <t>Used 2023-01-02 to 2026-10-01</t>
  </si>
  <si>
    <t>Used 2023-01-02 to 2023-05-09; overlap with primary 127 d (label retired)</t>
  </si>
  <si>
    <t>Used 2023-01-02 to 2023-05-08; overlap with primary 126 d (label retired)</t>
  </si>
  <si>
    <t>Used 2023-01-09 to 2026-10-01</t>
  </si>
  <si>
    <t>Used 2023-01-02 to 2023-05-09; overlap with primary 120 d (label retired)</t>
  </si>
  <si>
    <t>Used 2023-01-19 to 2026-10-01</t>
  </si>
  <si>
    <t>Used 2023-01-03 to 2023-05-08; overlap with primary 109 d (label retired)</t>
  </si>
  <si>
    <t>Used 2023-01-05 to 2026-10-01</t>
  </si>
  <si>
    <t>Used 2023-01-02 to 2023-05-09; overlap with primary 124 d (label retired)</t>
  </si>
  <si>
    <t>Used 2023-01-02 to 2023-05-08; overlap with primary 125 d (label retired)</t>
  </si>
  <si>
    <t>Used 2023-01-20 to 2023-05-02; overlap with primary 0 d (label retired)</t>
  </si>
  <si>
    <t>Used 2023-01-02 to 2023-05-07; overlap with primary 122 d (label retired)</t>
  </si>
  <si>
    <t>Used 2023-01-02 to 2023-05-03; overlap with primary 121 d (label retired)</t>
  </si>
  <si>
    <t>Used 2023-01-10 to 2026-10-01</t>
  </si>
  <si>
    <t>Used 2023-01-03 to 2023-05-08; overlap with primary 118 d (label retired)</t>
  </si>
  <si>
    <t>Used 2023-01-09 to 2024-03-24</t>
  </si>
  <si>
    <t>Used 2023-01-13 to 2026-10-01</t>
  </si>
  <si>
    <t>Used 2023-01-02 to 2023-05-02; overlap with primary 109 d (label retired)</t>
  </si>
  <si>
    <t>Used 2023-03-23 to 2023-09-18</t>
  </si>
  <si>
    <t>Used 2023-01-02 to 2023-05-09; overlap with primary 47 d (label retired)</t>
  </si>
  <si>
    <t>Used 2023-01-03 to 2023-05-06; overlap with primary 113 d (label retired)</t>
  </si>
  <si>
    <t>Used 2023-01-21 to 2026-10-01</t>
  </si>
  <si>
    <t>Used 2023-01-02 to 2023-05-07; overlap with primary 106 d (label retired)</t>
  </si>
  <si>
    <t>Used 2023-04-06 to 2023-04-06; overlap with primary 0 d (label retired)</t>
  </si>
  <si>
    <t>Used 2023-01-23 to 2026-09-22</t>
  </si>
  <si>
    <t>Used 2023-01-02 to 2023-05-05; overlap with primary 102 d (label retired)</t>
  </si>
  <si>
    <t>Used 2023-04-08 to 2023-09-19</t>
  </si>
  <si>
    <t>Used 2023-01-02 to 2023-05-08; overlap with primary 30 d (label retired)</t>
  </si>
  <si>
    <t>Used 2023-01-25 to 2023-09-17</t>
  </si>
  <si>
    <t>Used 2023-01-02 to 2023-05-09; overlap with primary 104 d (label retired)</t>
  </si>
  <si>
    <t>Used 2023-02-09 to 2026-09-28</t>
  </si>
  <si>
    <t>Used 2023-01-03 to 2023-05-07; overlap with primary 87 d (label retired)</t>
  </si>
  <si>
    <t>Used 2023-05-09 to 2023-09-19</t>
  </si>
  <si>
    <t>Used 2023-01-02 to 2023-05-09; overlap with primary 0 d (label retired)</t>
  </si>
  <si>
    <t>Used 2023-02-06 to 2026-10-01</t>
  </si>
  <si>
    <t>Used 2023-01-04 to 2023-05-08; overlap with primary 91 d (label retired)</t>
  </si>
  <si>
    <t>Used 2023-01-04 to 2026-09-28</t>
  </si>
  <si>
    <t>Used 2023-01-06 to 2026-09-30</t>
  </si>
  <si>
    <t>Used 2023-01-02 to 2023-05-04; overlap with primary 118 d (label retired)</t>
  </si>
  <si>
    <t>Used 2023-01-12 to 2025-08-07</t>
  </si>
  <si>
    <t>Used 2023-01-02 to 2023-05-01; overlap with primary 109 d (label retired)</t>
  </si>
  <si>
    <t>Used 2023-03-07 to 2026-09-28</t>
  </si>
  <si>
    <t>Used 2023-02-02 to 2023-04-11; overlap with primary 35 d (label retired)</t>
  </si>
  <si>
    <t>Used 2023-02-04 to 2026-09-15</t>
  </si>
  <si>
    <t>Used 2023-01-20 to 2023-04-25; overlap with primary 80 d (label retired)</t>
  </si>
  <si>
    <t>Used 2023-01-18 to 2026-09-28</t>
  </si>
  <si>
    <t>Used 2023-01-17 to 2023-05-02; overlap with primary 104 d (label retired)</t>
  </si>
  <si>
    <t>Used 2023-05-04 to 2026-09-29</t>
  </si>
  <si>
    <t>Used 2023-01-15 to 2023-05-09; overlap with primary 5 d (label retired)</t>
  </si>
  <si>
    <t>Used 2023-04-27 to 2026-09-28</t>
  </si>
  <si>
    <t>Used 2023-01-09 to 2023-05-07; overlap with primary 10 d (label retired)</t>
  </si>
  <si>
    <t>Used 2023-05-14 to 2026-09-24</t>
  </si>
  <si>
    <t>Used 2023-01-14 to 2023-04-16; overlap with primary 0 d (label retired)</t>
  </si>
  <si>
    <t>Used 2023-05-20 to 2026-09-22</t>
  </si>
  <si>
    <t>Used 2023-01-04 to 2023-04-30; overlap with primary 0 d (label retired)</t>
  </si>
  <si>
    <t>Used 2023-04-21 to 2026-09-04</t>
  </si>
  <si>
    <t>Used 2023-01-20 to 2023-05-03; overlap with primary 12 d (label retired)</t>
  </si>
  <si>
    <t>Used 2023-01-06 to 2023-04-26; overlap with primary 97 d (label retired)</t>
  </si>
  <si>
    <t>Used 2023-06-29 to 2026-09-21</t>
  </si>
  <si>
    <t>Used 2023-01-06 to 2023-05-04; overlap with primary 0 d (label retired)</t>
  </si>
  <si>
    <t>Used 2023-04-06 to 2026-09-27</t>
  </si>
  <si>
    <t>Used 2023-01-27 to 2023-05-05; overlap with primary 29 d (label retired)</t>
  </si>
  <si>
    <t>Used 2023-01-28 to 2023-09-08</t>
  </si>
  <si>
    <t>Used 2023-01-03 to 2023-04-25; overlap with primary 87 d (label retired)</t>
  </si>
  <si>
    <t>Used 2023-07-16 to 2026-09-24</t>
  </si>
  <si>
    <t>Used 2023-01-19 to 2023-04-26; overlap with primary 0 d (label retired)</t>
  </si>
  <si>
    <t>Used 2023-01-25 to 2026-08-12</t>
  </si>
  <si>
    <t>Used 2023-01-17 to 2023-04-12; overlap with primary 77 d (label retired)</t>
  </si>
  <si>
    <t>Used 2023-05-14 to 2026-08-15</t>
  </si>
  <si>
    <t>Used 2023-01-22 to 2023-05-07; overlap with primary 0 d (label retired)</t>
  </si>
  <si>
    <t>Used 2023-05-22 to 2026-06-22</t>
  </si>
  <si>
    <t>Used 2023-02-01 to 2023-04-26; overlap with primary 0 d (label retired)</t>
  </si>
  <si>
    <t>Used 2023-05-10 to 2023-09-08</t>
  </si>
  <si>
    <t>Used 2023-01-14 to 2026-09-14</t>
  </si>
  <si>
    <t>Used 2023-01-16 to 2023-03-22; overlap with primary 65 d (label retired)</t>
  </si>
  <si>
    <t>Used 2023-02-26 to 2026-07-10</t>
  </si>
  <si>
    <t>Used 2023-01-31 to 2023-02-28; overlap with primary 2 d (label retired)</t>
  </si>
  <si>
    <t>Used 2023-05-19 to 2023-09-12</t>
  </si>
  <si>
    <t>Used 2023-02-28 to 2023-04-29; overlap with primary 0 d (label retired)</t>
  </si>
  <si>
    <t>Used 2023-05-15 to 2023-08-19</t>
  </si>
  <si>
    <t>Used 2023-02-28 to 2023-02-28; overlap with primary 0 d (label retired)</t>
  </si>
  <si>
    <t>Used 2023-05-14 to 2023-09-18</t>
  </si>
  <si>
    <t>Used 2023-02-17 to 2023-05-07; overlap with primary 0 d (label retired)</t>
  </si>
  <si>
    <t>Used 2023-05-16 to 2023-08-01</t>
  </si>
  <si>
    <t>Used 2023-02-14 to 2023-02-14; overlap with primary 0 d (label retired)</t>
  </si>
  <si>
    <t>Used 2023-05-02 to 2026-10-01</t>
  </si>
  <si>
    <t>Used 2023-01-23 to 2023-04-28; overlap with primary 0 d (label retired)</t>
  </si>
  <si>
    <t>Used 2025-04-30 to 2026-09-29</t>
  </si>
  <si>
    <t>Used 2023-05-16 to 2025-04-30; overlap with primary 0 d</t>
  </si>
  <si>
    <t>Used 2023-01-05 to 2023-05-01; overlap with primary 0 d (label retired)</t>
  </si>
  <si>
    <t>Used 2023-04-16 to 2025-04-22</t>
  </si>
  <si>
    <t>Used 2023-01-02 to 2023-04-20; overlap with primary 4 d (label retired)</t>
  </si>
  <si>
    <t>Used 2023-04-25 to 2026-09-28</t>
  </si>
  <si>
    <t>Used 2023-01-26 to 2023-04-28; overlap with primary 3 d (label retired)</t>
  </si>
  <si>
    <t>Used 2023-01-02 to 2023-05-02; overlap with primary 120 d (label retired)</t>
  </si>
  <si>
    <t>Used 2023-01-31 to 2023-02-15; overlap with primary 15 d (label retired)</t>
  </si>
  <si>
    <t>Used 2023-01-02 to 2023-03-22; overlap with primary 72 d (label retired)</t>
  </si>
  <si>
    <t>Used 2023-03-07 to 2023-05-07; overlap with primary 61 d (label retired)</t>
  </si>
  <si>
    <t>Used 2023-01-02 to 2023-03-23; overlap with primary 77 d (label retired)</t>
  </si>
  <si>
    <t>Used 2023-02-14 to 2023-05-06; overlap with primary 81 d (label retired)</t>
  </si>
  <si>
    <t>Used 2023-03-14 to 2026-10-01</t>
  </si>
  <si>
    <t>Used 2023-03-09 to 2023-05-07; overlap with primary 54 d (label retired)</t>
  </si>
  <si>
    <t>Used 2023-04-22 to 2026-10-01</t>
  </si>
  <si>
    <t>Used 2023-01-07 to 2023-04-27; overlap with primary 5 d (label retired)</t>
  </si>
  <si>
    <t>Used 2023-01-17 to 2023-02-08; overlap with primary 0 d (label retired)</t>
  </si>
  <si>
    <t>Used 2023-03-22 to 2026-09-29</t>
  </si>
  <si>
    <t>Used 2023-03-21 to 2023-05-05; overlap with primary 44 d (label retired)</t>
  </si>
  <si>
    <t>Used 2023-01-02 to 2025-12-11</t>
  </si>
  <si>
    <t>Used 2023-01-02 to 2023-04-11; overlap with primary 99 d (label retired)</t>
  </si>
  <si>
    <t>Used 2023-01-05 to 2023-05-06; overlap with primary 121 d (label retired)</t>
  </si>
  <si>
    <t>Used 2023-01-02 to 2023-03-21; overlap with primary 68 d (label retired)</t>
  </si>
  <si>
    <t>Used 2023-03-03 to 2023-05-04; overlap with primary 62 d (label retired)</t>
  </si>
  <si>
    <t>Used 2023-01-11 to 2025-10-20</t>
  </si>
  <si>
    <t>Used 2023-01-30 to 2023-05-08; overlap with primary 98 d (label retired)</t>
  </si>
  <si>
    <t>Used 2023-02-15 to 2023-02-22; overlap with primary 7 d (label retired)</t>
  </si>
  <si>
    <t>Used 2023-04-06 to 2026-09-29</t>
  </si>
  <si>
    <t>Used 2023-03-23 to 2023-05-06; overlap with primary 30 d (label retired)</t>
  </si>
  <si>
    <t>Used 2023-02-17 to 2023-03-22; overlap with primary 0 d (label retired)</t>
  </si>
  <si>
    <t>Used 2023-01-30 to 2026-09-28</t>
  </si>
  <si>
    <t>Used 2023-01-03 to 2023-03-18; overlap with primary 47 d (label retired)</t>
  </si>
  <si>
    <t>Used 2023-01-14 to 2023-05-07; overlap with primary 97 d (label retired)</t>
  </si>
  <si>
    <t>Used 2023-04-27 to 2026-09-30</t>
  </si>
  <si>
    <t>Used 2023-01-31 to 2023-05-03; overlap with primary 6 d (label retired)</t>
  </si>
  <si>
    <t>Used 2023-04-18 to 2026-10-01</t>
  </si>
  <si>
    <t>Used 2023-01-02 to 2023-03-18; overlap with primary 0 d (label retired)</t>
  </si>
  <si>
    <t>Used 2023-02-22 to 2023-05-07; overlap with primary 19 d (label retired)</t>
  </si>
  <si>
    <t>Used 2023-05-09 to 2026-06-20</t>
  </si>
  <si>
    <t>Used 2023-03-22 to 2023-05-02; overlap with primary 0 d (label retired)</t>
  </si>
  <si>
    <t>Used 2023-03-01 to 2023-05-06; overlap with primary 9 d (label retired)</t>
  </si>
  <si>
    <t>Used 2023-04-27 to 2025-02-19</t>
  </si>
  <si>
    <t>Used 2023-01-17 to 2023-05-03; overlap with primary 6 d (label retired)</t>
  </si>
  <si>
    <t>Used 2023-02-07 to 2023-02-07; overlap with primary 0 d (label retired)</t>
  </si>
  <si>
    <t>Used 2023-05-16 to 2026-09-26</t>
  </si>
  <si>
    <t>Used 2023-03-02 to 2023-05-08; overlap with primary 0 d (label retired)</t>
  </si>
  <si>
    <t>Used 2023-05-18 to 2026-09-27</t>
  </si>
  <si>
    <t>Used 2023-03-03 to 2023-05-08; overlap with primary 0 d (label retired)</t>
  </si>
  <si>
    <t>Used 2023-03-06 to 2023-03-08; overlap with primary 0 d (label retired)</t>
  </si>
  <si>
    <t>Used 2023-05-07 to 2026-09-29</t>
  </si>
  <si>
    <t>Used 2023-02-16 to 2023-05-05; overlap with primary 0 d (label retired)</t>
  </si>
  <si>
    <t>Used 2023-05-08 to 2026-09-30</t>
  </si>
  <si>
    <t>Used 2023-02-03 to 2023-04-23; overlap with primary 0 d (label retired)</t>
  </si>
  <si>
    <t>Used 2023-05-09 to 2026-09-20</t>
  </si>
  <si>
    <t>Used 2023-03-02 to 2023-05-03; overlap with primary 0 d (label retired)</t>
  </si>
  <si>
    <t>Used 2023-05-09 to 2025-08-05</t>
  </si>
  <si>
    <t>Used 2023-02-09 to 2023-05-02; overlap with primary 0 d (label retired)</t>
  </si>
  <si>
    <t>Used 2023-01-05 to 2023-02-19; overlap with primary 0 d (label retired)</t>
  </si>
  <si>
    <t>Used 2023-01-06 to 2026-03-03</t>
  </si>
  <si>
    <t>Used 2023-01-02 to 2023-04-04; overlap with primary 88 d (label retired)</t>
  </si>
  <si>
    <t>Used 2023-05-08 to 2026-09-24</t>
  </si>
  <si>
    <t>Used 2023-03-04 to 2023-05-04; overlap with primary 0 d (label retired)</t>
  </si>
  <si>
    <t>Used 2023-05-05 to 2026-09-29</t>
  </si>
  <si>
    <t>Used 2023-03-04 to 2023-05-02; overlap with primary 0 d (label retired)</t>
  </si>
  <si>
    <t>Used 2023-04-22 to 2026-09-22</t>
  </si>
  <si>
    <t>Used 2023-03-06 to 2023-04-27; overlap with primary 5 d (label retired)</t>
  </si>
  <si>
    <t>Used 2023-05-05 to 2026-10-01</t>
  </si>
  <si>
    <t>Used 2023-03-07 to 2023-04-25; overlap with primary 0 d (label retired)</t>
  </si>
  <si>
    <t>Used 2023-04-27 to 2026-09-25</t>
  </si>
  <si>
    <t>Used 2023-02-24 to 2023-04-18; overlap with primary 0 d (label retired)</t>
  </si>
  <si>
    <t>Used 2023-02-21 to 2026-09-28</t>
  </si>
  <si>
    <t>Used 2023-03-02 to 2023-05-02; overlap with primary 61 d (label retired)</t>
  </si>
  <si>
    <t>Used 2023-05-11 to 2026-10-01</t>
  </si>
  <si>
    <t>Used 2023-02-21 to 2023-05-05; overlap with primary 0 d (label retired)</t>
  </si>
  <si>
    <t>Used 2023-10-16 to 2026-04-28</t>
  </si>
  <si>
    <t>Used 2023-02-21 to 2023-04-06; overlap with primary 0 d (label retired)</t>
  </si>
  <si>
    <t>Used 2023-02-09 to 2023-02-21; overlap with primary 0 d (label retired)</t>
  </si>
  <si>
    <t>Used 2023-03-31 to 2026-09-17</t>
  </si>
  <si>
    <t>Used 2023-01-12 to 2023-04-13; overlap with primary 13 d (label retired)</t>
  </si>
  <si>
    <t>Used 2023-02-14 to 2026-09-29</t>
  </si>
  <si>
    <t>Used 2023-02-13 to 2023-03-03; overlap with primary 17 d (label retired)</t>
  </si>
  <si>
    <t>Used 2023-01-25 to 2023-01-25; overlap with primary 0 d (label retired)</t>
  </si>
  <si>
    <t>Used 2023-05-10 to 2026-09-15</t>
  </si>
  <si>
    <t>Used 2023-04-11 to 2023-05-08; overlap with primary 0 d (label retired)</t>
  </si>
  <si>
    <t>Used 2023-05-10 to 2026-09-19</t>
  </si>
  <si>
    <t>Used 2023-03-11 to 2023-04-24; overlap with primary 0 d (label retired)</t>
  </si>
  <si>
    <t>Used 2023-05-06 to 2025-07-25</t>
  </si>
  <si>
    <t>Used 2023-03-02 to 2023-05-09; overlap with primary 3 d (label retired)</t>
  </si>
  <si>
    <t>Used 2023-05-10 to 2026-10-01</t>
  </si>
  <si>
    <t>Used 2023-02-18 to 2023-02-18; overlap with primary 0 d (label retired)</t>
  </si>
  <si>
    <t>Used 2023-04-24 to 2026-09-22</t>
  </si>
  <si>
    <t>Used 2023-01-11 to 2023-04-06; overlap with primary 0 d (label retired)</t>
  </si>
  <si>
    <t>Used 2023-05-10 to 2026-08-23</t>
  </si>
  <si>
    <t>Used 2023-01-29 to 2023-04-23; overlap with primary 0 d (label retired)</t>
  </si>
  <si>
    <t>Used 2023-03-28 to 2026-02-26</t>
  </si>
  <si>
    <t>Used 2023-03-01 to 2023-04-05; overlap with primary 8 d (label retired)</t>
  </si>
  <si>
    <t>Used 2023-05-03 to 2026-09-28</t>
  </si>
  <si>
    <t>Used 2023-04-18 to 2023-05-02; overlap with primary 0 d (label retired)</t>
  </si>
  <si>
    <t>Used 2023-05-20 to 2026-09-10</t>
  </si>
  <si>
    <t>Used 2023-03-06 to 2023-05-01; overlap with primary 0 d (label retired)</t>
  </si>
  <si>
    <t>Used 2023-06-02 to 2026-08-18</t>
  </si>
  <si>
    <t>Used 2023-03-23 to 2023-04-27; overlap with primary 0 d (label retired)</t>
  </si>
  <si>
    <t>Used 2023-12-20 to 2025-10-18</t>
  </si>
  <si>
    <t>Used 2023-02-26 to 2023-02-26; overlap with primary 0 d (label retired)</t>
  </si>
  <si>
    <t>Used 2023-05-05 to 2024-12-24 (label retired)</t>
  </si>
  <si>
    <t>Used 2023-01-07 to 2023-05-02; overlap with primary 0 d (label retired)</t>
  </si>
  <si>
    <t>Used 2023-05-02 to 2024-11-13 (label retired)</t>
  </si>
  <si>
    <t>Used 2023-01-10 to 2023-05-03; overlap with primary 1 d (label retired)</t>
  </si>
  <si>
    <t>Used 2023-05-12 to 2023-08-31 (label retired)</t>
  </si>
  <si>
    <t>Used 2023-02-02 to 2023-04-25; overlap with primary 0 d (label retired)</t>
  </si>
  <si>
    <t>Rename/merge + minor misrouting</t>
  </si>
  <si>
    <t>Used 2023-04-18 to 2026-09-28</t>
  </si>
  <si>
    <t>Used 2023-06-12 to 2023-10-30; overlap with primary 140 d</t>
  </si>
  <si>
    <t>Used 2023-10-18 to 2023-10-18; overlap with primary 0 d</t>
  </si>
  <si>
    <t>Used 2023-04-05 to 2024-12-04</t>
  </si>
  <si>
    <t>TRAN - Transportation Infrastructure</t>
  </si>
  <si>
    <t>Used 2023-01-06 to 2023-05-04; overlap with primary 29 d (label retired)</t>
  </si>
  <si>
    <t>Used 2023-02-13 to 2024-12-05</t>
  </si>
  <si>
    <t>Used 2023-01-10 to 2023-04-29; overlap with primary 75 d (label retired)</t>
  </si>
  <si>
    <t>Used 2023-05-10 to 2024-12-09</t>
  </si>
  <si>
    <t>Used 2023-01-18 to 2023-05-03; overlap with primary 0 d (label retired)</t>
  </si>
  <si>
    <t>Used 2023-05-30 to 2024-12-11</t>
  </si>
  <si>
    <t>Used 2023-01-09 to 2023-01-09; overlap with primary 0 d (label retired)</t>
  </si>
  <si>
    <t>Used 2023-06-20 to 2024-05-13</t>
  </si>
  <si>
    <t>Used 2023-01-04 to 2023-04-06; overlap with primary 0 d (label retired)</t>
  </si>
  <si>
    <t>Used 2023-01-26 to 2026-10-01</t>
  </si>
  <si>
    <t>DCMO - Real Estate and Development Services</t>
  </si>
  <si>
    <t>Used 2023-01-04 to 2023-05-08; overlap with primary 102 d (label retired)</t>
  </si>
  <si>
    <t>Used 2023-01-04 to 2023-05-04; overlap with primary 103 d (label retired)</t>
  </si>
  <si>
    <t>Used 2023-01-10 to 2023-05-02; overlap with primary 0 d (label retired)</t>
  </si>
  <si>
    <t>Used 2023-05-09 to 2026-07-30</t>
  </si>
  <si>
    <t>Used 2023-01-05 to 2023-05-02; overlap with primary 0 d (label retired)</t>
  </si>
  <si>
    <t>Used 2023-05-15 to 2026-08-24</t>
  </si>
  <si>
    <t>Used 2023-02-21 to 2023-04-20; overlap with primary 0 d (label retired)</t>
  </si>
  <si>
    <t>Used 2023-04-20 to 2023-11-20</t>
  </si>
  <si>
    <t>Used 2023-01-03 to 2023-05-09; overlap with primary 19 d (label retired)</t>
  </si>
  <si>
    <t>Used 2023-03-28 to 2025-02-27</t>
  </si>
  <si>
    <t>LL - City Clerk's</t>
  </si>
  <si>
    <t>Used 2023-01-25 to 2023-04-15; overlap with primary 18 d (label retired)</t>
  </si>
  <si>
    <t>Used 2023-05-09 to 2025-02-27</t>
  </si>
  <si>
    <t>Used 2023-02-21 to 2023-04-25; overlap with primary 0 d (label retired)</t>
  </si>
  <si>
    <t>Used 2023-03-17 to 2023-09-09</t>
  </si>
  <si>
    <t>Used 2023-01-11 to 2023-03-23; overlap with primary 6 d (label retired)</t>
  </si>
  <si>
    <t>Used 2023-07-25 to 2024-05-30</t>
  </si>
  <si>
    <t>Used 2023-01-13 to 2023-05-01; overlap with primary 0 d (label retired)</t>
  </si>
  <si>
    <t>Used 2023-01-10 to 2025-02-03 (label retired)</t>
  </si>
  <si>
    <t>LL - City Manager's Office</t>
  </si>
  <si>
    <t>Used 2023-03-06 to 2023-04-25; overlap with primary 50 d (label retired)</t>
  </si>
  <si>
    <t>Used 2023-02-14 to 2026-06-29</t>
  </si>
  <si>
    <t>LL - Law</t>
  </si>
  <si>
    <t>Used 2023-01-02 to 2023-05-09; overlap with primary 84 d (label retired)</t>
  </si>
  <si>
    <t>Used 2023-01-05 to 2026-08-19</t>
  </si>
  <si>
    <t>Used 2023-02-15 to 2023-03-27; overlap with primary 40 d (label retired)</t>
  </si>
  <si>
    <t>TRAN - Calgary Transit</t>
  </si>
  <si>
    <t>Used 2023-01-02 to 2023-05-05; overlap with primary 123 d (label retired)</t>
  </si>
  <si>
    <t>Used 2023-02-27 to 2026-10-01</t>
  </si>
  <si>
    <t>Used 2023-01-02 to 2023-05-08; overlap with primary 70 d (label retired)</t>
  </si>
  <si>
    <t>Used 2023-03-03 to 2026-10-01</t>
  </si>
  <si>
    <t>Used 2023-01-02 to 2023-05-05; overlap with primary 63 d (label retired)</t>
  </si>
  <si>
    <t>Used 2023-04-26 to 2026-10-01</t>
  </si>
  <si>
    <t>Used 2023-01-02 to 2023-05-08; overlap with primary 12 d (label retired)</t>
  </si>
  <si>
    <t>Used 2023-01-02 to 2023-05-09; overlap with primary 116 d (label retired)</t>
  </si>
  <si>
    <t>Used 2023-02-10 to 2026-10-01</t>
  </si>
  <si>
    <t>Used 2023-01-02 to 2023-05-05; overlap with primary 84 d (label retired)</t>
  </si>
  <si>
    <t>Used 2023-02-24 to 2026-10-01</t>
  </si>
  <si>
    <t>Used 2023-01-02 to 2023-05-08; overlap with primary 73 d (label retired)</t>
  </si>
  <si>
    <t>Used 2023-01-23 to 2026-10-01</t>
  </si>
  <si>
    <t>Used 2023-01-02 to 2023-05-09; overlap with primary 106 d (label retired)</t>
  </si>
  <si>
    <t>Used 2023-10-23 to 2026-04-23</t>
  </si>
  <si>
    <t>Used 2023-01-03 to 2023-04-01; overlap with primary 0 d (label retired)</t>
  </si>
  <si>
    <t>Used 2023-01-02 to 2023-05-08; overlap with primary 21 d (label retired)</t>
  </si>
  <si>
    <t>Used 2023-04-25 to 2026-10-01</t>
  </si>
  <si>
    <t>Used 2023-01-03 to 2023-05-06; overlap with primary 11 d (label retired)</t>
  </si>
  <si>
    <t>Used 2023-01-11 to 2023-04-28; overlap with primary 3 d (label retired)</t>
  </si>
  <si>
    <t>Used 2023-05-10 to 2024-07-30</t>
  </si>
  <si>
    <t>Used 2023-01-02 to 2023-05-05; overlap with primary 0 d (label retired)</t>
  </si>
  <si>
    <t>Used 2023-05-05 to 2026-09-25</t>
  </si>
  <si>
    <t>Used 2023-01-03 to 2023-04-25; overlap with primary 0 d (label retired)</t>
  </si>
  <si>
    <t>Used 2023-05-09 to 2023-11-14</t>
  </si>
  <si>
    <t>Used 2023-01-06 to 2023-05-08; overlap with primary 0 d (label retired)</t>
  </si>
  <si>
    <t>Used 2023-04-25 to 2026-09-21</t>
  </si>
  <si>
    <t>Used 2023-01-10 to 2023-04-12; overlap with primary 0 d (label retired)</t>
  </si>
  <si>
    <t>Used 2023-05-10 to 2024-07-17</t>
  </si>
  <si>
    <t>Used 2023-04-26 to 2023-04-26; overlap with primary 0 d (label retired)</t>
  </si>
  <si>
    <t>Used 2023-01-04 to 2026-10-01</t>
  </si>
  <si>
    <t>DCMO - Facility Management</t>
  </si>
  <si>
    <t>Used 2023-01-04 to 2023-05-09; overlap with primary 125 d (label retired)</t>
  </si>
  <si>
    <t>Used 2023-01-04 to 2026-09-30</t>
  </si>
  <si>
    <t>Used 2023-01-02 to 2023-05-07; overlap with primary 123 d (label retired)</t>
  </si>
  <si>
    <t>Used 2023-10-26 to 2025-08-18</t>
  </si>
  <si>
    <t>Used 2023-01-23 to 2023-02-06; overlap with primary 0 d (label retired)</t>
  </si>
  <si>
    <t>Used 2023-05-09 to 2026-09-28</t>
  </si>
  <si>
    <t>Fleet and Inventory</t>
  </si>
  <si>
    <t>Used 2023-01-18 to 2023-03-31; overlap with primary 0 d (label retired)</t>
  </si>
  <si>
    <t>Used 2023-05-26 to 2025-08-05</t>
  </si>
  <si>
    <t>Used 2023-01-16 to 2023-03-28; overlap with primary 0 d (label retired)</t>
  </si>
  <si>
    <t>Used 2023-01-02 to 2026-06-30</t>
  </si>
  <si>
    <t>Used 2023-01-07 to 2026-10-01</t>
  </si>
  <si>
    <t>Used 2023-01-03 to 2023-05-09; overlap with primary 122 d (label retired)</t>
  </si>
  <si>
    <t>Used 2023-01-06 to 2026-10-01</t>
  </si>
  <si>
    <t>Used 2023-01-02 to 2023-05-09; overlap with primary 123 d (label retired)</t>
  </si>
  <si>
    <t>Used 2023-01-02 to 2026-08-17</t>
  </si>
  <si>
    <t>Used 2023-01-11 to 2026-10-01</t>
  </si>
  <si>
    <t>Used 2023-01-02 to 2023-05-09; overlap with primary 118 d (label retired)</t>
  </si>
  <si>
    <t>Used 2023-01-03 to 2023-05-09; overlap with primary 120 d (label retired)</t>
  </si>
  <si>
    <t>Used 2023-01-02 to 2023-05-04; overlap with primary 122 d (label retired)</t>
  </si>
  <si>
    <t>Used 2023-04-06 to 2026-07-14</t>
  </si>
  <si>
    <t>Used 2023-01-12 to 2023-05-09; overlap with primary 33 d (label retired)</t>
  </si>
  <si>
    <t>Used 2023-01-02 to 2023-05-08; overlap with primary 124 d (label retired)</t>
  </si>
  <si>
    <t>Used 2023-01-03 to 2026-07-15</t>
  </si>
  <si>
    <t>Used 2023-01-27 to 2023-01-27; overlap with primary 0 d (label retired)</t>
  </si>
  <si>
    <t>Used 2023-01-02 to 2023-05-02; overlap with primary 115 d (label retired)</t>
  </si>
  <si>
    <t>Used 2023-02-11 to 2026-10-01</t>
  </si>
  <si>
    <t>Used 2023-01-02 to 2023-05-03; overlap with primary 81 d (label retired)</t>
  </si>
  <si>
    <t>Used 2023-01-10 to 2023-05-03; overlap with primary 15 d (label retired)</t>
  </si>
  <si>
    <t>Used 2023-04-26 to 2025-08-07</t>
  </si>
  <si>
    <t>Used 2023-01-04 to 2023-05-06; overlap with primary 10 d (label retired)</t>
  </si>
  <si>
    <t>Used 2023-01-18 to 2026-09-30</t>
  </si>
  <si>
    <t>Used 2023-01-12 to 2023-04-29; overlap with primary 101 d (label retired)</t>
  </si>
  <si>
    <t>Used 2023-01-03 to 2023-05-04; overlap with primary 62 d (label retired)</t>
  </si>
  <si>
    <t>Used 2023-01-07 to 2023-10-20</t>
  </si>
  <si>
    <t>Used 2023-01-03 to 2023-05-08; overlap with primary 121 d (label retired)</t>
  </si>
  <si>
    <t>Used 2023-02-09 to 2026-09-29</t>
  </si>
  <si>
    <t>Used 2023-01-04 to 2023-03-23; overlap with primary 42 d (label retired)</t>
  </si>
  <si>
    <t>Used 2023-04-12 to 2024-10-30</t>
  </si>
  <si>
    <t>Used 2023-01-04 to 2023-05-04; overlap with primary 22 d (label retired)</t>
  </si>
  <si>
    <t>Used 2023-01-16 to 2026-10-01</t>
  </si>
  <si>
    <t>Used 2023-01-04 to 2023-05-08; overlap with primary 112 d (label retired)</t>
  </si>
  <si>
    <t>Used 2023-02-15 to 2023-09-28</t>
  </si>
  <si>
    <t>Used 2023-01-07 to 2023-05-09; overlap with primary 83 d (label retired)</t>
  </si>
  <si>
    <t>Used 2023-03-23 to 2023-10-19</t>
  </si>
  <si>
    <t>Used 2023-03-13 to 2026-03-24</t>
  </si>
  <si>
    <t>Used 2023-01-02 to 2023-05-09; overlap with primary 57 d (label retired)</t>
  </si>
  <si>
    <t>Used 2023-01-09 to 2023-05-05; overlap with primary 17 d (label retired)</t>
  </si>
  <si>
    <t>Used 2023-03-26 to 2026-09-29</t>
  </si>
  <si>
    <t>Used 2023-01-15 to 2023-05-05; overlap with primary 40 d (label retired)</t>
  </si>
  <si>
    <t>Used 2023-02-14 to 2026-09-27</t>
  </si>
  <si>
    <t>Used 2023-01-13 to 2023-05-03; overlap with primary 78 d (label retired)</t>
  </si>
  <si>
    <t>Used 2023-03-18 to 2023-10-18</t>
  </si>
  <si>
    <t>Used 2023-01-05 to 2023-05-08; overlap with primary 51 d (label retired)</t>
  </si>
  <si>
    <t>Used 2023-01-05 to 2024-02-05</t>
  </si>
  <si>
    <t>Used 2023-01-04 to 2023-05-08; overlap with primary 123 d (label retired)</t>
  </si>
  <si>
    <t>Used 2023-05-09 to 2024-07-12</t>
  </si>
  <si>
    <t>Used 2023-01-22 to 2023-05-08; overlap with primary 0 d (label retired)</t>
  </si>
  <si>
    <t>Used 2023-05-04 to 2024-12-12</t>
  </si>
  <si>
    <t>Used 2023-01-03 to 2023-04-26; overlap with primary 0 d (label retired)</t>
  </si>
  <si>
    <t>Used 2023-04-13 to 2024-01-31</t>
  </si>
  <si>
    <t>Used 2023-01-19 to 2023-05-05; overlap with primary 22 d (label retired)</t>
  </si>
  <si>
    <t>Used 2023-04-11 to 2023-10-30</t>
  </si>
  <si>
    <t>Used 2023-01-17 to 2023-05-04; overlap with primary 23 d (label retired)</t>
  </si>
  <si>
    <t>Used 2023-01-09 to 2025-08-04</t>
  </si>
  <si>
    <t>AO - Calgary Parking Authority</t>
  </si>
  <si>
    <t>Used 2023-01-17 to 2023-03-24; overlap with primary 66 d (label retired)</t>
  </si>
  <si>
    <t>Used 2023-05-15 to 2026-09-30</t>
  </si>
  <si>
    <t>Used 2023-01-29 to 2023-05-03; overlap with primary 0 d (label retired)</t>
  </si>
  <si>
    <t>Used 2023-04-27 to 2026-09-16</t>
  </si>
  <si>
    <t>Used 2023-01-04 to 2023-05-09; overlap with primary 12 d (label retired)</t>
  </si>
  <si>
    <t>Used 2023-05-23 to 2024-10-28</t>
  </si>
  <si>
    <t>Used 2023-01-05 to 2023-03-29; overlap with primary 0 d (label retired)</t>
  </si>
  <si>
    <t>Used 2023-04-03 to 2023-09-19</t>
  </si>
  <si>
    <t>Used 2023-01-03 to 2023-05-04; overlap with primary 31 d (label retired)</t>
  </si>
  <si>
    <t>Used 2023-02-03 to 2026-09-23</t>
  </si>
  <si>
    <t>Used 2023-01-23 to 2023-04-01; overlap with primary 57 d (label retired)</t>
  </si>
  <si>
    <t>Used 2023-04-12 to 2026-07-18</t>
  </si>
  <si>
    <t>Used 2023-05-12 to 2026-09-24</t>
  </si>
  <si>
    <t>Used 2023-01-11 to 2023-04-24; overlap with primary 0 d (label retired)</t>
  </si>
  <si>
    <t>Used 2023-06-05 to 2024-08-06</t>
  </si>
  <si>
    <t>Used 2023-03-22 to 2023-04-19; overlap with primary 0 d (label retired)</t>
  </si>
  <si>
    <t>Used 2023-03-29 to 2023-11-09</t>
  </si>
  <si>
    <t>Used 2023-01-25 to 2023-02-17; overlap with primary 0 d (label retired)</t>
  </si>
  <si>
    <t>Used 2023-01-03 to 2024-04-22</t>
  </si>
  <si>
    <t>CS - Calgary Parks</t>
  </si>
  <si>
    <t>Used 2023-01-03 to 2023-04-23; overlap with primary 110 d (label retired)</t>
  </si>
  <si>
    <t>Used 2023-01-09 to 2024-04-22</t>
  </si>
  <si>
    <t>Used 2023-01-02 to 2023-04-11; overlap with primary 92 d (label retired)</t>
  </si>
  <si>
    <t>Used 2023-01-02 to 2023-05-02; overlap with primary 106 d (label retired)</t>
  </si>
  <si>
    <t>Used 2023-03-21 to 2024-04-23</t>
  </si>
  <si>
    <t>Used 2023-01-02 to 2023-05-09; overlap with primary 49 d (label retired)</t>
  </si>
  <si>
    <t>Used 2023-01-03 to 2023-04-06; overlap with primary 93 d (label retired)</t>
  </si>
  <si>
    <t>Used 2023-01-04 to 2023-05-04; overlap with primary 120 d (label retired)</t>
  </si>
  <si>
    <t>Used 2023-02-27 to 2024-04-22</t>
  </si>
  <si>
    <t>Used 2023-01-02 to 2023-05-09; overlap with primary 71 d (label retired)</t>
  </si>
  <si>
    <t>Used 2023-03-21 to 2024-04-22</t>
  </si>
  <si>
    <t>Used 2023-04-28 to 2024-04-22</t>
  </si>
  <si>
    <t>Used 2023-01-03 to 2023-05-08; overlap with primary 10 d (label retired)</t>
  </si>
  <si>
    <t>Used 2023-04-30 to 2024-04-18</t>
  </si>
  <si>
    <t>Used 2023-01-07 to 2023-05-08; overlap with primary 8 d (label retired)</t>
  </si>
  <si>
    <t>Used 2023-03-10 to 2026-10-01</t>
  </si>
  <si>
    <t>Used 2023-01-03 to 2023-05-08; overlap with primary 59 d (label retired)</t>
  </si>
  <si>
    <t>Used 2023-01-05 to 2023-05-08; overlap with primary 123 d (label retired)</t>
  </si>
  <si>
    <t>Used 2023-01-26 to 2024-04-22</t>
  </si>
  <si>
    <t>Used 2023-01-03 to 2023-05-07; overlap with primary 101 d (label retired)</t>
  </si>
  <si>
    <t>Used 2023-02-09 to 2025-03-02</t>
  </si>
  <si>
    <t>Used 2023-01-03 to 2023-04-12; overlap with primary 62 d (label retired)</t>
  </si>
  <si>
    <t>Used 2023-05-04 to 2025-08-07</t>
  </si>
  <si>
    <t>Used 2023-01-04 to 2023-05-05; overlap with primary 1 d (label retired)</t>
  </si>
  <si>
    <t>Used 2023-04-29 to 2026-09-29</t>
  </si>
  <si>
    <t>Used 2023-01-16 to 2023-05-08; overlap with primary 9 d (label retired)</t>
  </si>
  <si>
    <t>Used 2023-04-11 to 2024-04-22</t>
  </si>
  <si>
    <t>Used 2023-02-02 to 2023-04-28; overlap with primary 17 d (label retired)</t>
  </si>
  <si>
    <t>Used 2023-04-01 to 2024-04-23</t>
  </si>
  <si>
    <t>Used 2023-01-03 to 2023-05-08; overlap with primary 37 d (label retired)</t>
  </si>
  <si>
    <t>Used 2023-05-29 to 2026-10-01</t>
  </si>
  <si>
    <t>Used 2023-03-13 to 2023-03-13; overlap with primary 0 d (label retired)</t>
  </si>
  <si>
    <t>Used 2023-03-06 to 2024-04-22</t>
  </si>
  <si>
    <t>Used 2023-01-18 to 2023-05-05; overlap with primary 60 d (label retired)</t>
  </si>
  <si>
    <t>Used 2023-04-28 to 2026-09-30</t>
  </si>
  <si>
    <t>Used 2023-01-11 to 2023-05-05; overlap with primary 7 d (label retired)</t>
  </si>
  <si>
    <t>Used 2023-04-20 to 2026-09-28</t>
  </si>
  <si>
    <t>Used 2023-01-09 to 2023-05-03; overlap with primary 13 d (label retired)</t>
  </si>
  <si>
    <t>Used 2023-03-22 to 2026-09-09</t>
  </si>
  <si>
    <t>Used 2023-01-30 to 2023-04-27; overlap with primary 36 d (label retired)</t>
  </si>
  <si>
    <t>Used 2023-04-10 to 2026-10-01</t>
  </si>
  <si>
    <t>Used 2023-01-10 to 2023-05-03; overlap with primary 23 d (label retired)</t>
  </si>
  <si>
    <t>Used 2023-05-04 to 2024-04-17</t>
  </si>
  <si>
    <t>Used 2023-01-03 to 2023-05-08; overlap with primary 4 d (label retired)</t>
  </si>
  <si>
    <t>Used 2023-04-13 to 2024-05-30</t>
  </si>
  <si>
    <t>Used 2023-01-04 to 2023-05-08; overlap with primary 25 d (label retired)</t>
  </si>
  <si>
    <t>Used 2023-05-05 to 2024-04-16</t>
  </si>
  <si>
    <t>Used 2023-01-02 to 2023-05-07; overlap with primary 2 d (label retired)</t>
  </si>
  <si>
    <t>Used 2023-04-21 to 2024-04-16</t>
  </si>
  <si>
    <t>Used 2023-01-09 to 2023-05-08; overlap with primary 17 d (label retired)</t>
  </si>
  <si>
    <t>Used 2023-05-11 to 2024-04-18</t>
  </si>
  <si>
    <t>Used 2023-02-03 to 2023-05-08; overlap with primary 0 d (label retired)</t>
  </si>
  <si>
    <t>Used 2023-06-21 to 2025-03-07</t>
  </si>
  <si>
    <t>Used 2023-03-16 to 2023-06-08; overlap with primary 0 d</t>
  </si>
  <si>
    <t>Used 2023-04-17 to 2023-05-04; overlap with primary 0 d (label retired)</t>
  </si>
  <si>
    <t>Used 2023-03-17 to 2025-03-03</t>
  </si>
  <si>
    <t>Used 2023-01-16 to 2023-04-04; overlap with primary 18 d (label retired)</t>
  </si>
  <si>
    <t>Used 2023-02-20 to 2024-04-22</t>
  </si>
  <si>
    <t>Used 2023-01-09 to 2023-05-03; overlap with primary 72 d (label retired)</t>
  </si>
  <si>
    <t>Used 2023-01-04 to 2023-05-08; overlap with primary 124 d (label retired)</t>
  </si>
  <si>
    <t>Used 2023-05-04 to 2026-10-01</t>
  </si>
  <si>
    <t>Used 2023-01-02 to 2023-05-04; overlap with primary 0 d (label retired)</t>
  </si>
  <si>
    <t>Used 2023-01-03 to 2023-05-07; overlap with primary 124 d (label retired)</t>
  </si>
  <si>
    <t>Used 2023-01-03 to 2026-09-30</t>
  </si>
  <si>
    <t>Used 2023-01-06 to 2023-05-09; overlap with primary 123 d (label retired)</t>
  </si>
  <si>
    <t>Used 2023-01-06 to 2026-09-23</t>
  </si>
  <si>
    <t>Used 2023-01-03 to 2023-05-08; overlap with primary 122 d (label retired)</t>
  </si>
  <si>
    <t>Used 2023-04-19 to 2026-09-30</t>
  </si>
  <si>
    <t>Used 2023-01-03 to 2023-04-18; overlap with primary 0 d (label retired)</t>
  </si>
  <si>
    <t>Used 2023-04-24 to 2026-09-29</t>
  </si>
  <si>
    <t>Used 2023-01-04 to 2023-05-09; overlap with primary 15 d (label retired)</t>
  </si>
  <si>
    <t>Used 2023-05-15 to 2026-09-12</t>
  </si>
  <si>
    <t>Used 2023-04-27 to 2023-05-01; overlap with primary 0 d (label retired)</t>
  </si>
  <si>
    <t>Used 2023-01-02 to 2023-04-28; overlap with primary 1 d (label retired)</t>
  </si>
  <si>
    <t>Used 2023-01-10 to 2026-09-28</t>
  </si>
  <si>
    <t>Used 2023-01-27 to 2023-03-03; overlap with primary 35 d (label retired)</t>
  </si>
  <si>
    <t>Used 2023-01-02 to 2026-09-24</t>
  </si>
  <si>
    <t>Used 2023-01-16 to 2023-05-09; overlap with primary 113 d (label retired)</t>
  </si>
  <si>
    <t>Used 2023-05-01 to 2026-09-27</t>
  </si>
  <si>
    <t>Used 2023-01-02 to 2023-04-27; overlap with primary 0 d (label retired)</t>
  </si>
  <si>
    <t>Used 2023-01-16 to 2026-09-23</t>
  </si>
  <si>
    <t>Used 2023-01-10 to 2023-04-14; overlap with primary 88 d (label retired)</t>
  </si>
  <si>
    <t>Used 2023-05-10 to 2026-09-04</t>
  </si>
  <si>
    <t>Used 2023-01-09 to 2023-11-17 (label retired)</t>
  </si>
  <si>
    <t>Used 2023-01-02 to 2023-05-02; overlap with primary 113 d (label retired)</t>
  </si>
  <si>
    <t>Used 2023-02-09 to 2024-01-29 (label retired)</t>
  </si>
  <si>
    <t>Used 2023-01-03 to 2023-04-25; overlap with primary 75 d (label retired)</t>
  </si>
  <si>
    <t>Used 2023-05-08 to 2024-01-26 (label retired)</t>
  </si>
  <si>
    <t>Used 2023-01-30 to 2023-04-18; overlap with primary 0 d (label retired)</t>
  </si>
  <si>
    <t>Used 2023-01-19 to 2024-02-27 (label retired)</t>
  </si>
  <si>
    <t>Used 2023-01-02 to 2023-05-08; overlap with primary 87 d (label retired)</t>
  </si>
  <si>
    <t>Used 2023-02-01 to 2026-10-01</t>
  </si>
  <si>
    <t>Used 2023-01-02 to 2023-05-09; overlap with primary 97 d (label retired)</t>
  </si>
  <si>
    <t>Used 2023-03-02 to 2026-10-01</t>
  </si>
  <si>
    <t>Used 2023-01-02 to 2023-05-09; overlap with primary 68 d (label retired)</t>
  </si>
  <si>
    <t>Used 2023-01-02 to 2023-05-05; overlap with primary 121 d (label retired)</t>
  </si>
  <si>
    <t>Used 2023-01-02 to 2023-05-09; overlap with primary 122 d (label retired)</t>
  </si>
  <si>
    <t>Used 2023-01-03 to 2023-05-08; overlap with primary 105 d (label retired)</t>
  </si>
  <si>
    <t>Used 2023-01-16 to 2026-09-30</t>
  </si>
  <si>
    <t>Used 2023-01-04 to 2025-05-05</t>
  </si>
  <si>
    <t>Used 2023-01-02 to 2023-05-04; overlap with primary 115 d (label retired)</t>
  </si>
  <si>
    <t>Used 2023-01-02 to 2023-05-07; overlap with primary 115 d (label retired)</t>
  </si>
  <si>
    <t>Used 2023-02-01 to 2023-05-09; overlap with primary 97 d (label retired)</t>
  </si>
  <si>
    <t>Used 2023-04-14 to 2026-10-01</t>
  </si>
  <si>
    <t>Used 2023-01-03 to 2023-05-08; overlap with primary 24 d (label retired)</t>
  </si>
  <si>
    <t>Used 2023-04-13 to 2026-10-01</t>
  </si>
  <si>
    <t>Used 2023-01-02 to 2023-05-09; overlap with primary 26 d (label retired)</t>
  </si>
  <si>
    <t>Used 2023-03-01 to 2026-10-01</t>
  </si>
  <si>
    <t>Used 2023-01-03 to 2023-05-08; overlap with primary 68 d (label retired)</t>
  </si>
  <si>
    <t>Used 2023-02-14 to 2026-10-01</t>
  </si>
  <si>
    <t>Used 2023-01-03 to 2023-05-08; overlap with primary 83 d (label retired)</t>
  </si>
  <si>
    <t>Used 2023-01-30 to 2026-07-23</t>
  </si>
  <si>
    <t>Used 2023-01-04 to 2023-05-03; overlap with primary 93 d (label retired)</t>
  </si>
  <si>
    <t>Used 2023-01-04 to 2026-09-29</t>
  </si>
  <si>
    <t>Used 2023-02-08 to 2026-09-29</t>
  </si>
  <si>
    <t>Used 2023-01-10 to 2023-05-04; overlap with primary 85 d (label retired)</t>
  </si>
  <si>
    <t>Used 2023-01-06 to 2026-09-29</t>
  </si>
  <si>
    <t>Used 2023-01-09 to 2023-04-17; overlap with primary 98 d (label retired)</t>
  </si>
  <si>
    <t>Used 2023-01-02 to 2023-05-06; overlap with primary 100 d (label retired)</t>
  </si>
  <si>
    <t>Used 2023-05-09 to 2024-04-10</t>
  </si>
  <si>
    <t>Used 2023-01-05 to 2023-05-09; overlap with primary 0 d (label retired)</t>
  </si>
  <si>
    <t>Used 2023-03-30 to 2026-10-01</t>
  </si>
  <si>
    <t>Used 2023-01-05 to 2023-04-27; overlap with primary 28 d (label retired)</t>
  </si>
  <si>
    <t>Used 2023-01-27 to 2026-10-01</t>
  </si>
  <si>
    <t>Used 2023-01-02 to 2023-04-27; overlap with primary 90 d (label retired)</t>
  </si>
  <si>
    <t>Used 2023-03-31 to 2025-09-12</t>
  </si>
  <si>
    <t>Used 2023-01-03 to 2023-04-29; overlap with primary 29 d (label retired)</t>
  </si>
  <si>
    <t>Used 2023-04-05 to 2026-09-29</t>
  </si>
  <si>
    <t>Used 2023-01-11 to 2023-05-04; overlap with primary 29 d (label retired)</t>
  </si>
  <si>
    <t>Used 2023-03-13 to 2026-09-08</t>
  </si>
  <si>
    <t>Used 2023-01-04 to 2023-05-05; overlap with primary 53 d (label retired)</t>
  </si>
  <si>
    <t>Used 2023-05-16 to 2026-09-25</t>
  </si>
  <si>
    <t>Used 2023-01-13 to 2023-05-04; overlap with primary 0 d (label retired)</t>
  </si>
  <si>
    <t>Used 2023-05-05 to 2026-09-10</t>
  </si>
  <si>
    <t>Used 2023-01-09 to 2023-05-06; overlap with primary 1 d (label retired)</t>
  </si>
  <si>
    <t>Used 2023-04-30 to 2026-10-01</t>
  </si>
  <si>
    <t>Used 2023-01-18 to 2023-05-03; overlap with primary 3 d (label retired)</t>
  </si>
  <si>
    <t>Used 2023-02-02 to 2025-04-22</t>
  </si>
  <si>
    <t>Used 2023-01-05 to 2023-04-18; overlap with primary 75 d (label retired)</t>
  </si>
  <si>
    <t>Used 2023-03-29 to 2026-09-30</t>
  </si>
  <si>
    <t>Used 2023-05-02 to 2023-05-02; overlap with primary 0 d (label retired)</t>
  </si>
  <si>
    <t>Used 2023-05-11 to 2025-04-26</t>
  </si>
  <si>
    <t>Used 2023-01-16 to 2023-05-08; overlap with primary 0 d (label retired)</t>
  </si>
  <si>
    <t>Tranc - Calgary Transit</t>
  </si>
  <si>
    <t>Used 2023-01-02 to 2023-11-14; overlap with primary 309 d (label retired)</t>
  </si>
  <si>
    <t>Used 2023-01-20 to 2026-10-01</t>
  </si>
  <si>
    <t>Used 2023-01-04 to 2023-11-10; overlap with primary 294 d (label retired)</t>
  </si>
  <si>
    <t>Used 2023-05-24 to 2026-09-29</t>
  </si>
  <si>
    <t>Used 2023-01-03 to 2023-11-14; overlap with primary 174 d (label retired)</t>
  </si>
  <si>
    <t>Uepc - Waste and Recycling Services</t>
  </si>
  <si>
    <t>Used 2023-01-02 to 2023-08-25; overlap with primary 226 d (label retired)</t>
  </si>
  <si>
    <t>Used 2023-03-29 to 2023-09-05; overlap with primary 41 d</t>
  </si>
  <si>
    <t>Used 2023-04-27 to 2023-09-05; overlap with primary 12 d</t>
  </si>
  <si>
    <t>Used 2023-01-03 to 2023-05-09 (label retired)</t>
  </si>
  <si>
    <t>Used 2023-02-17 to 2023-09-05; overlap with primary 81 d</t>
  </si>
  <si>
    <t>Used 2023-03-07 to 2023-05-23; overlap with primary 63 d</t>
  </si>
  <si>
    <t>Used 2023-01-02 to 2023-05-08 (label retired)</t>
  </si>
  <si>
    <t>Used 2023-03-15 to 2023-09-05; overlap with primary 54 d</t>
  </si>
  <si>
    <t>Used 2023-01-06 to 2023-05-08 (label retired)</t>
  </si>
  <si>
    <t>Used 2023-05-09 to 2023-08-25; overlap with primary 0 d</t>
  </si>
  <si>
    <t>Used 2023-01-04 to 2023-05-09 (label retired)</t>
  </si>
  <si>
    <t>Used 2023-05-10 to 2023-09-05; overlap with primary 0 d</t>
  </si>
  <si>
    <t>Used 2023-01-03 to 2023-04-19 (label retired)</t>
  </si>
  <si>
    <t>Used 2023-05-23 to 2023-05-23; overlap with primary 0 d</t>
  </si>
  <si>
    <t>Used 2023-05-07 to 2023-11-04</t>
  </si>
  <si>
    <t>PD - Calgary Growth Strategies</t>
  </si>
  <si>
    <t>Used 2023-01-13 to 2023-04-04; overlap with primary 0 d (label retired)</t>
  </si>
  <si>
    <t>Used 2023-06-12 to 2023-09-29</t>
  </si>
  <si>
    <t>Used 2023-01-06 to 2023-04-15; overlap with primary 0 d (label retired)</t>
  </si>
  <si>
    <t>Used 2023-03-15 to 2023-07-26</t>
  </si>
  <si>
    <t>Used 2023-02-06 to 2023-04-04; overlap with primary 20 d (label retired)</t>
  </si>
  <si>
    <t>Used 2023-05-23 to 2023-09-18</t>
  </si>
  <si>
    <t>Used 2023-06-13 to 2023-08-16</t>
  </si>
  <si>
    <t>Used 2023-01-26 to 2023-01-26; overlap with primary 0 d (label retired)</t>
  </si>
  <si>
    <t>Used 2023-04-24 to 2025-05-26</t>
  </si>
  <si>
    <t>PD - Community Planning</t>
  </si>
  <si>
    <t>Used 2023-01-09 to 2023-04-13; overlap with primary 0 d (label retired)</t>
  </si>
  <si>
    <t>Used 2023-04-19 to 2023-09-05</t>
  </si>
  <si>
    <t>Used 2023-01-02 to 2023-05-09; overlap with primary 20 d (label retired)</t>
  </si>
  <si>
    <t>Used 2023-04-03 to 2023-09-05</t>
  </si>
  <si>
    <t>Used 2023-01-02 to 2023-05-09; overlap with primary 36 d (label retired)</t>
  </si>
  <si>
    <t>Used 2023-02-27 to 2023-09-05</t>
  </si>
  <si>
    <t>Used 2023-04-25 to 2023-09-05</t>
  </si>
  <si>
    <t>Used 2023-01-02 to 2023-05-09; overlap with primary 14 d (label retired)</t>
  </si>
  <si>
    <t>Used 2023-05-09 to 2023-09-05</t>
  </si>
  <si>
    <t>Used 2023-03-27 to 2023-09-05</t>
  </si>
  <si>
    <t>Used 2023-01-02 to 2023-05-08; overlap with primary 42 d (label retired)</t>
  </si>
  <si>
    <t>Used 2023-05-02 to 2023-09-01</t>
  </si>
  <si>
    <t>Used 2023-01-02 to 2023-05-09; overlap with primary 7 d (label retired)</t>
  </si>
  <si>
    <t>Used 2023-01-15 to 2023-09-05</t>
  </si>
  <si>
    <t>Used 2023-01-02 to 2023-05-08; overlap with primary 113 d (label retired)</t>
  </si>
  <si>
    <t>Used 2023-01-05 to 2023-09-05</t>
  </si>
  <si>
    <t>Used 2023-04-03 to 2023-09-03</t>
  </si>
  <si>
    <t>Used 2023-01-02 to 2023-05-08; overlap with primary 35 d (label retired)</t>
  </si>
  <si>
    <t>Used 2023-03-30 to 2023-08-31</t>
  </si>
  <si>
    <t>Used 2023-01-02 to 2023-05-09; overlap with primary 40 d (label retired)</t>
  </si>
  <si>
    <t>Used 2023-02-17 to 2023-09-03</t>
  </si>
  <si>
    <t>Used 2023-01-08 to 2023-05-08; overlap with primary 80 d (label retired)</t>
  </si>
  <si>
    <t>Used 2023-03-17 to 2023-08-31</t>
  </si>
  <si>
    <t>Used 2023-01-11 to 2023-05-08; overlap with primary 52 d (label retired)</t>
  </si>
  <si>
    <t>Used 2023-04-20 to 2026-03-31</t>
  </si>
  <si>
    <t>Used 2023-05-05 to 2026-03-24</t>
  </si>
  <si>
    <t>Used 2023-01-12 to 2023-05-05; overlap with primary 0 d (label retired)</t>
  </si>
  <si>
    <t>REAL SPLIT</t>
  </si>
  <si>
    <t>Used 2023-01-16 to 2026-03-12</t>
  </si>
  <si>
    <t>Used 2025-07-16 to 2025-12-11; overlap with primary 148 d</t>
  </si>
  <si>
    <t>Used 2023-02-01 to 2023-11-14</t>
  </si>
  <si>
    <t>Used 2023-01-05 to 2023-05-03; overlap with primary 91 d (label retired)</t>
  </si>
  <si>
    <t>Used 2023-01-19 to 2023-10-17</t>
  </si>
  <si>
    <t>Used 2023-03-22 to 2023-04-27; overlap with primary 36 d (label retired)</t>
  </si>
  <si>
    <t>Used 2023-05-09 to 2026-02-20</t>
  </si>
  <si>
    <t>Used 2023-01-05 to 2023-02-14; overlap with primary 0 d (label retired)</t>
  </si>
  <si>
    <t>Used 2023-12-05 to 2025-01-02</t>
  </si>
  <si>
    <t>Used 2023-01-02 to 2023-01-02; overlap with primary 0 d (label retired)</t>
  </si>
  <si>
    <t>Used 2023-07-10 to 2023-09-07</t>
  </si>
  <si>
    <t>Used 2023-01-15 to 2023-04-21; overlap with primary 0 d (label retired)</t>
  </si>
  <si>
    <t>Used 2023-06-09 to 2023-10-23</t>
  </si>
  <si>
    <t>Used 2023-02-15 to 2023-02-15; overlap with primary 0 d (label retired)</t>
  </si>
  <si>
    <t>Used 2023-06-26 to 2023-06-26</t>
  </si>
  <si>
    <t>Used 2023-03-02 to 2023-03-02; overlap with primary 0 d (label retired)</t>
  </si>
  <si>
    <t>Used 2023-03-01 to 2025-08-07</t>
  </si>
  <si>
    <t>CFOD - Customer Services and Communications</t>
  </si>
  <si>
    <t>Used 2023-01-02 to 2023-05-15; overlap with primary 75 d (label retired)</t>
  </si>
  <si>
    <t>Used 2023-05-05 to 2025-06-26</t>
  </si>
  <si>
    <t>Used 2023-01-02 to 2023-05-09; overlap with primary 4 d (label retired)</t>
  </si>
  <si>
    <t>Used 2023-01-03 to 2026-04-02</t>
  </si>
  <si>
    <t>Used 2023-05-02 to 2026-03-24</t>
  </si>
  <si>
    <t>Used 2023-01-02 to 2023-03-29; overlap with primary 0 d (label retired)</t>
  </si>
  <si>
    <t>Used 2023-03-31 to 2025-08-05</t>
  </si>
  <si>
    <t>Used 2023-02-27 to 2023-02-27; overlap with primary 0 d (label retired)</t>
  </si>
  <si>
    <t>CFOD - Human Resources</t>
  </si>
  <si>
    <t>Used 2023-01-03 to 2023-05-03; overlap with primary 120 d (label retired)</t>
  </si>
  <si>
    <t>Used 2023-08-16 to 2026-06-30</t>
  </si>
  <si>
    <t>CFOD - Information Technology</t>
  </si>
  <si>
    <t>Used 2023-01-31 to 2023-01-31; overlap with primary 0 d (label retired)</t>
  </si>
  <si>
    <t>Used 2023-01-26 to 2023-01-26 (label retired)</t>
  </si>
  <si>
    <t>Used 2023-01-19 to 2023-01-19; overlap with primary 0 d (label retired)</t>
  </si>
  <si>
    <t>Used 2023-01-03 to 2025-04-15 (label retired)</t>
  </si>
  <si>
    <t>IS - Green Line LRT - SE Project</t>
  </si>
  <si>
    <t>Used 2025-03-14 to 2026-09-21; overlap with primary 32 d</t>
  </si>
  <si>
    <t>Used 2023-04-18 to 2023-07-19; overlap with primary 21 d</t>
  </si>
  <si>
    <t>Used 2023-01-04 to 2023-04-30 (label retired)</t>
  </si>
  <si>
    <t>Used 2023-04-17 to 2023-05-12; overlap with primary 13 d</t>
  </si>
  <si>
    <t>Used 2023-03-10 to 2023-10-25; overlap with primary 60 d (label retired)</t>
  </si>
  <si>
    <t>Used 2023-01-05 to 2023-06-16; overlap with primary 123 d</t>
  </si>
  <si>
    <t>Used 2023-01-03 to 2023-05-08 (label retired)</t>
  </si>
  <si>
    <t>Used 2023-05-16 to 2023-06-14; overlap with primary 0 d</t>
  </si>
  <si>
    <t>Used 2023-01-05 to 2023-05-08 (label retired)</t>
  </si>
  <si>
    <t>Used 2023-05-09 to 2023-06-12; overlap with primary 0 d</t>
  </si>
  <si>
    <t>Used 2023-01-03 to 2023-04-26 (label retired)</t>
  </si>
  <si>
    <t>Used 2023-03-10 to 2023-03-10; overlap with primary 0 d</t>
  </si>
  <si>
    <t>Used 2023-01-05 to 2023-04-19 (label retired)</t>
  </si>
  <si>
    <t>Used 2023-05-02 to 2023-06-16; overlap with primary 0 d</t>
  </si>
  <si>
    <t>Used 2023-01-25 to 2023-04-13 (label retired)</t>
  </si>
  <si>
    <t>Used 2023-05-31 to 2023-07-12; overlap with primary 0 d</t>
  </si>
  <si>
    <t>Used 2023-01-26 to 2023-05-09 (label retired)</t>
  </si>
  <si>
    <t>Used 2023-05-03 to 2024-03-21; overlap with primary 6 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</si>
</sst>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%"/>
    <numFmt numFmtId="166" formatCode="0.000"/>
    <numFmt numFmtId="167" formatCode="#,##0;\-#,##0;&quot;&quot;"/>
    <numFmt numFmtId="168" formatCode="yyyy\-mm\-dd"/>
  </numFmts>
  <fonts count="5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375623"/>
        <bgColor rgb="FF333300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/>
      <right/>
      <top style="thin">
        <color rgb="FF808080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2" fillId="0" borderId="0" xfId="0" applyFont="1"/>
    <xf numFmtId="0" fontId="3" fillId="0" borderId="0" xfId="0" applyFont="1"/>
    <xf numFmtId="3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5" fontId="4" fillId="4" borderId="0" xfId="0" applyNumberFormat="1" applyFont="1" applyFill="1"/>
    <xf numFmtId="0" fontId="3" fillId="0" borderId="1" xfId="0" applyFont="1" applyBorder="1"/>
    <xf numFmtId="3" fontId="3" fillId="0" borderId="1" xfId="0" applyNumberFormat="1" applyFont="1" applyBorder="1"/>
    <xf numFmtId="164" fontId="3" fillId="0" borderId="1" xfId="0" applyNumberFormat="1" applyFont="1" applyBorder="1"/>
    <xf numFmtId="165" fontId="3" fillId="0" borderId="1" xfId="0" applyNumberFormat="1" applyFont="1" applyBorder="1"/>
    <xf numFmtId="1" fontId="4" fillId="4" borderId="0" xfId="0" applyNumberFormat="1" applyFont="1" applyFill="1"/>
    <xf numFmtId="1" fontId="3" fillId="0" borderId="0" xfId="0" applyNumberFormat="1" applyFont="1"/>
    <xf numFmtId="166" fontId="3" fillId="0" borderId="0" xfId="0" applyNumberFormat="1" applyFont="1"/>
    <xf numFmtId="2" fontId="2" fillId="0" borderId="0" xfId="0" applyNumberFormat="1" applyFont="1"/>
    <xf numFmtId="0" fontId="4" fillId="4" borderId="0" xfId="0" applyFont="1" applyFill="1"/>
    <xf numFmtId="2" fontId="4" fillId="4" borderId="0" xfId="0" applyNumberFormat="1" applyFont="1" applyFill="1"/>
    <xf numFmtId="3" fontId="2" fillId="0" borderId="0" xfId="0" applyNumberFormat="1" applyFont="1"/>
    <xf numFmtId="0" fontId="1" fillId="2" borderId="0" xfId="0" applyFont="1" applyFill="1"/>
    <xf numFmtId="0" fontId="1" fillId="2" borderId="0" xfId="0" applyFont="1" applyFill="1" applyAlignment="1">
      <alignment horizontal="center" textRotation="90" wrapText="1"/>
    </xf>
    <xf numFmtId="0" fontId="1" fillId="3" borderId="0" xfId="0" applyFont="1" applyFill="1" applyAlignment="1">
      <alignment horizontal="center" textRotation="90" wrapText="1"/>
    </xf>
    <xf numFmtId="0" fontId="2" fillId="0" borderId="0" xfId="0" applyFont="1" applyAlignment="1">
      <alignment vertical="top"/>
    </xf>
    <xf numFmtId="167" fontId="3" fillId="0" borderId="0" xfId="0" applyNumberFormat="1" applyFont="1"/>
    <xf numFmtId="3" fontId="2" fillId="0" borderId="1" xfId="0" applyNumberFormat="1" applyFont="1" applyBorder="1"/>
    <xf numFmtId="168" fontId="3" fillId="0" borderId="0" xfId="0" applyNumberFormat="1" applyFont="1"/>
    <xf numFmtId="168" fontId="3" fillId="0" borderId="1" xfId="0" applyNumberFormat="1" applyFont="1" applyBorder="1"/>
  </cellXfs>
  <cellStyles count="1">
    <cellStyle name="Normal" xfId="0" builtinId="0"/>
  </cellStyles>
  <dxfs count="8"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4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7" sqref="F7"/>
    </sheetView>
  </sheetViews>
  <sheetFormatPr defaultColWidth="8.6640625" defaultRowHeight="14.25" x14ac:dyDescent="0.45"/>
  <cols>
    <col min="1" max="1" width="52" customWidth="1"/>
    <col min="2" max="2" width="44" customWidth="1"/>
    <col min="3" max="3" width="9" customWidth="1"/>
    <col min="4" max="5" width="10" customWidth="1"/>
    <col min="6" max="6" width="9" customWidth="1"/>
    <col min="7" max="11" width="10" customWidth="1"/>
    <col min="12" max="12" width="9" customWidth="1"/>
    <col min="13" max="13" width="18" customWidth="1"/>
    <col min="14" max="15" width="10" customWidth="1"/>
    <col min="16" max="16" width="9" customWidth="1"/>
    <col min="17" max="17" width="10" customWidth="1"/>
    <col min="18" max="18" width="28" customWidth="1"/>
    <col min="19" max="19" width="11" customWidth="1"/>
    <col min="20" max="20" width="70" customWidth="1"/>
    <col min="22" max="22" width="46" customWidth="1"/>
    <col min="23" max="23" width="10" customWidth="1"/>
  </cols>
  <sheetData>
    <row r="1" spans="1:23" ht="30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V1" s="3" t="s">
        <v>20</v>
      </c>
    </row>
    <row r="2" spans="1:23" x14ac:dyDescent="0.45">
      <c r="A2" s="4" t="s">
        <v>21</v>
      </c>
      <c r="B2" s="4" t="s">
        <v>22</v>
      </c>
      <c r="C2" s="5">
        <v>2</v>
      </c>
      <c r="D2" s="5">
        <v>23</v>
      </c>
      <c r="E2" s="5">
        <v>0</v>
      </c>
      <c r="F2" s="5">
        <v>0</v>
      </c>
      <c r="G2" s="5">
        <v>0</v>
      </c>
      <c r="H2" s="5">
        <v>23</v>
      </c>
      <c r="I2" s="6">
        <v>0</v>
      </c>
      <c r="J2" s="6">
        <v>0</v>
      </c>
      <c r="K2" s="6">
        <v>0</v>
      </c>
      <c r="L2" s="6">
        <v>0</v>
      </c>
      <c r="M2" s="4" t="str">
        <f t="shared" ref="M2:M65" si="0">IF(AND(K2="",L2=""),"No closed tickets",IF(K2="","MISSING in catalog",IF(L2="","No valid closed tickets",IF(AND(ABS(K2-L2)&gt;=$W$3,ABS(K2-L2)&gt;=$W$4*MAX(L2,1)),"FAR OFF","OK"))))</f>
        <v>OK</v>
      </c>
      <c r="N2" s="7">
        <f t="shared" ref="N2:N65" si="1">D2/SUMIFS($D$2:$D$741,$B$2:$B$741,B2)</f>
        <v>1</v>
      </c>
      <c r="O2" s="7">
        <f>SUMIFS($D$2:D2,$B$2:B2,B2)/SUMIFS($D$2:$D$741,$B$2:$B$741,B2)</f>
        <v>1</v>
      </c>
      <c r="P2" s="4" t="b">
        <f t="shared" ref="P2:P65" si="2">O2-N2&lt;$W$2</f>
        <v>1</v>
      </c>
      <c r="Q2" s="4" t="s">
        <v>23</v>
      </c>
      <c r="R2" s="4" t="s">
        <v>24</v>
      </c>
      <c r="S2" s="4" t="s">
        <v>25</v>
      </c>
      <c r="T2" s="4" t="s">
        <v>26</v>
      </c>
      <c r="V2" s="4" t="s">
        <v>27</v>
      </c>
      <c r="W2" s="8">
        <v>0.95</v>
      </c>
    </row>
    <row r="3" spans="1:23" x14ac:dyDescent="0.45">
      <c r="A3" s="9" t="s">
        <v>28</v>
      </c>
      <c r="B3" s="9" t="s">
        <v>29</v>
      </c>
      <c r="C3" s="10">
        <v>2</v>
      </c>
      <c r="D3" s="10">
        <v>214</v>
      </c>
      <c r="E3" s="10">
        <v>37</v>
      </c>
      <c r="F3" s="10">
        <v>5</v>
      </c>
      <c r="G3" s="10">
        <v>3</v>
      </c>
      <c r="H3" s="10">
        <v>206</v>
      </c>
      <c r="I3" s="11">
        <v>7</v>
      </c>
      <c r="J3" s="11">
        <v>18.2</v>
      </c>
      <c r="K3" s="11">
        <v>46</v>
      </c>
      <c r="L3" s="11">
        <v>46</v>
      </c>
      <c r="M3" s="9" t="str">
        <f t="shared" si="0"/>
        <v>OK</v>
      </c>
      <c r="N3" s="12">
        <f t="shared" si="1"/>
        <v>1</v>
      </c>
      <c r="O3" s="12">
        <f>SUMIFS($D$2:D3,$B$2:B3,B3)/SUMIFS($D$2:$D$741,$B$2:$B$741,B3)</f>
        <v>1</v>
      </c>
      <c r="P3" s="9" t="b">
        <f t="shared" si="2"/>
        <v>1</v>
      </c>
      <c r="Q3" s="9" t="s">
        <v>23</v>
      </c>
      <c r="R3" s="9" t="s">
        <v>30</v>
      </c>
      <c r="S3" s="9" t="s">
        <v>25</v>
      </c>
      <c r="T3" s="9" t="s">
        <v>31</v>
      </c>
      <c r="V3" s="4" t="s">
        <v>32</v>
      </c>
      <c r="W3" s="13">
        <v>5</v>
      </c>
    </row>
    <row r="4" spans="1:23" x14ac:dyDescent="0.45">
      <c r="A4" s="9" t="s">
        <v>33</v>
      </c>
      <c r="B4" s="9" t="s">
        <v>34</v>
      </c>
      <c r="C4" s="10">
        <v>2</v>
      </c>
      <c r="D4" s="10">
        <v>25</v>
      </c>
      <c r="E4" s="10">
        <v>25</v>
      </c>
      <c r="F4" s="10">
        <v>0</v>
      </c>
      <c r="G4" s="10">
        <v>0</v>
      </c>
      <c r="H4" s="10">
        <v>25</v>
      </c>
      <c r="I4" s="11">
        <v>6</v>
      </c>
      <c r="J4" s="11">
        <v>21.6</v>
      </c>
      <c r="K4" s="11">
        <v>62</v>
      </c>
      <c r="L4" s="11">
        <v>62</v>
      </c>
      <c r="M4" s="9" t="str">
        <f t="shared" si="0"/>
        <v>OK</v>
      </c>
      <c r="N4" s="12">
        <f t="shared" si="1"/>
        <v>1</v>
      </c>
      <c r="O4" s="12">
        <f>SUMIFS($D$2:D4,$B$2:B4,B4)/SUMIFS($D$2:$D$741,$B$2:$B$741,B4)</f>
        <v>1</v>
      </c>
      <c r="P4" s="9" t="b">
        <f t="shared" si="2"/>
        <v>1</v>
      </c>
      <c r="Q4" s="9" t="s">
        <v>23</v>
      </c>
      <c r="R4" s="9" t="s">
        <v>30</v>
      </c>
      <c r="S4" s="9" t="s">
        <v>25</v>
      </c>
      <c r="T4" s="9" t="s">
        <v>31</v>
      </c>
      <c r="V4" s="4" t="s">
        <v>35</v>
      </c>
      <c r="W4" s="8">
        <v>0.2</v>
      </c>
    </row>
    <row r="5" spans="1:23" x14ac:dyDescent="0.45">
      <c r="A5" s="9" t="s">
        <v>36</v>
      </c>
      <c r="B5" s="9" t="s">
        <v>37</v>
      </c>
      <c r="C5" s="10">
        <v>1</v>
      </c>
      <c r="D5" s="10">
        <v>50951</v>
      </c>
      <c r="E5" s="10">
        <v>7326</v>
      </c>
      <c r="F5" s="10">
        <v>0</v>
      </c>
      <c r="G5" s="10">
        <v>0</v>
      </c>
      <c r="H5" s="10">
        <v>50951</v>
      </c>
      <c r="I5" s="11">
        <v>3</v>
      </c>
      <c r="J5" s="11">
        <v>6.7</v>
      </c>
      <c r="K5" s="11">
        <v>10</v>
      </c>
      <c r="L5" s="11">
        <v>10</v>
      </c>
      <c r="M5" s="9" t="str">
        <f t="shared" si="0"/>
        <v>OK</v>
      </c>
      <c r="N5" s="12">
        <f t="shared" si="1"/>
        <v>0.29134002344397747</v>
      </c>
      <c r="O5" s="12">
        <f>SUMIFS($D$2:D5,$B$2:B5,B5)/SUMIFS($D$2:$D$741,$B$2:$B$741,B5)</f>
        <v>0.29134002344397747</v>
      </c>
      <c r="P5" s="9" t="b">
        <f t="shared" si="2"/>
        <v>1</v>
      </c>
      <c r="Q5" s="9" t="s">
        <v>23</v>
      </c>
      <c r="R5" s="9" t="s">
        <v>38</v>
      </c>
      <c r="S5" s="9" t="s">
        <v>25</v>
      </c>
      <c r="T5" s="9" t="s">
        <v>39</v>
      </c>
    </row>
    <row r="6" spans="1:23" x14ac:dyDescent="0.45">
      <c r="A6" s="4" t="s">
        <v>40</v>
      </c>
      <c r="B6" s="4" t="s">
        <v>37</v>
      </c>
      <c r="C6" s="5">
        <v>2</v>
      </c>
      <c r="D6" s="5">
        <v>37458</v>
      </c>
      <c r="E6" s="5">
        <v>0</v>
      </c>
      <c r="F6" s="5">
        <v>0</v>
      </c>
      <c r="G6" s="5">
        <v>0</v>
      </c>
      <c r="H6" s="5">
        <v>37458</v>
      </c>
      <c r="I6" s="6">
        <v>5</v>
      </c>
      <c r="J6" s="6">
        <v>5.3</v>
      </c>
      <c r="K6" s="6">
        <v>9</v>
      </c>
      <c r="L6" s="6">
        <v>9</v>
      </c>
      <c r="M6" s="4" t="str">
        <f t="shared" si="0"/>
        <v>OK</v>
      </c>
      <c r="N6" s="7">
        <f t="shared" si="1"/>
        <v>0.21418646539154301</v>
      </c>
      <c r="O6" s="7">
        <f>SUMIFS($D$2:D6,$B$2:B6,B6)/SUMIFS($D$2:$D$741,$B$2:$B$741,B6)</f>
        <v>0.50552648883552054</v>
      </c>
      <c r="P6" s="4" t="b">
        <f t="shared" si="2"/>
        <v>1</v>
      </c>
      <c r="Q6" s="4" t="s">
        <v>23</v>
      </c>
      <c r="R6" s="4" t="s">
        <v>38</v>
      </c>
      <c r="S6" s="4" t="s">
        <v>25</v>
      </c>
      <c r="T6" s="4" t="s">
        <v>39</v>
      </c>
      <c r="V6" s="3" t="s">
        <v>41</v>
      </c>
    </row>
    <row r="7" spans="1:23" x14ac:dyDescent="0.45">
      <c r="A7" s="4" t="s">
        <v>42</v>
      </c>
      <c r="B7" s="4" t="s">
        <v>37</v>
      </c>
      <c r="C7" s="5">
        <v>2</v>
      </c>
      <c r="D7" s="5">
        <v>28318</v>
      </c>
      <c r="E7" s="5">
        <v>0</v>
      </c>
      <c r="F7" s="5">
        <v>0</v>
      </c>
      <c r="G7" s="5">
        <v>0</v>
      </c>
      <c r="H7" s="5">
        <v>28318</v>
      </c>
      <c r="I7" s="6">
        <v>4</v>
      </c>
      <c r="J7" s="6">
        <v>4.3</v>
      </c>
      <c r="K7" s="6">
        <v>7</v>
      </c>
      <c r="L7" s="6">
        <v>7</v>
      </c>
      <c r="M7" s="4" t="str">
        <f t="shared" si="0"/>
        <v>OK</v>
      </c>
      <c r="N7" s="7">
        <f t="shared" si="1"/>
        <v>0.16192354976127168</v>
      </c>
      <c r="O7" s="7">
        <f>SUMIFS($D$2:D7,$B$2:B7,B7)/SUMIFS($D$2:$D$741,$B$2:$B$741,B7)</f>
        <v>0.66745003859679219</v>
      </c>
      <c r="P7" s="4" t="b">
        <f t="shared" si="2"/>
        <v>1</v>
      </c>
      <c r="Q7" s="4" t="s">
        <v>23</v>
      </c>
      <c r="R7" s="4" t="s">
        <v>38</v>
      </c>
      <c r="S7" s="4" t="s">
        <v>25</v>
      </c>
      <c r="T7" s="4" t="s">
        <v>39</v>
      </c>
      <c r="V7" s="4" t="s">
        <v>43</v>
      </c>
    </row>
    <row r="8" spans="1:23" x14ac:dyDescent="0.45">
      <c r="A8" s="4" t="s">
        <v>44</v>
      </c>
      <c r="B8" s="4" t="s">
        <v>37</v>
      </c>
      <c r="C8" s="5">
        <v>2</v>
      </c>
      <c r="D8" s="5">
        <v>9991</v>
      </c>
      <c r="E8" s="5">
        <v>0</v>
      </c>
      <c r="F8" s="5">
        <v>0</v>
      </c>
      <c r="G8" s="5">
        <v>0</v>
      </c>
      <c r="H8" s="5">
        <v>9991</v>
      </c>
      <c r="I8" s="6">
        <v>4</v>
      </c>
      <c r="J8" s="6">
        <v>4.3</v>
      </c>
      <c r="K8" s="6">
        <v>8</v>
      </c>
      <c r="L8" s="6">
        <v>8</v>
      </c>
      <c r="M8" s="4" t="str">
        <f t="shared" si="0"/>
        <v>OK</v>
      </c>
      <c r="N8" s="7">
        <f t="shared" si="1"/>
        <v>5.7128970466306432E-2</v>
      </c>
      <c r="O8" s="7">
        <f>SUMIFS($D$2:D8,$B$2:B8,B8)/SUMIFS($D$2:$D$741,$B$2:$B$741,B8)</f>
        <v>0.72457900906309858</v>
      </c>
      <c r="P8" s="4" t="b">
        <f t="shared" si="2"/>
        <v>1</v>
      </c>
      <c r="Q8" s="4" t="s">
        <v>23</v>
      </c>
      <c r="R8" s="4" t="s">
        <v>38</v>
      </c>
      <c r="S8" s="4" t="s">
        <v>25</v>
      </c>
      <c r="T8" s="4" t="s">
        <v>39</v>
      </c>
      <c r="V8" s="4" t="s">
        <v>45</v>
      </c>
    </row>
    <row r="9" spans="1:23" x14ac:dyDescent="0.45">
      <c r="A9" s="4" t="s">
        <v>46</v>
      </c>
      <c r="B9" s="4" t="s">
        <v>37</v>
      </c>
      <c r="C9" s="5">
        <v>1</v>
      </c>
      <c r="D9" s="5">
        <v>9159</v>
      </c>
      <c r="E9" s="5">
        <v>7307</v>
      </c>
      <c r="F9" s="5">
        <v>24</v>
      </c>
      <c r="G9" s="5">
        <v>0</v>
      </c>
      <c r="H9" s="5">
        <v>9135</v>
      </c>
      <c r="I9" s="6">
        <v>4</v>
      </c>
      <c r="J9" s="6">
        <v>8.8000000000000007</v>
      </c>
      <c r="K9" s="6">
        <v>16</v>
      </c>
      <c r="L9" s="6">
        <v>16</v>
      </c>
      <c r="M9" s="4" t="str">
        <f t="shared" si="0"/>
        <v>OK</v>
      </c>
      <c r="N9" s="7">
        <f t="shared" si="1"/>
        <v>5.2371558452697489E-2</v>
      </c>
      <c r="O9" s="7">
        <f>SUMIFS($D$2:D9,$B$2:B9,B9)/SUMIFS($D$2:$D$741,$B$2:$B$741,B9)</f>
        <v>0.77695056751579605</v>
      </c>
      <c r="P9" s="4" t="b">
        <f t="shared" si="2"/>
        <v>1</v>
      </c>
      <c r="Q9" s="4" t="s">
        <v>23</v>
      </c>
      <c r="R9" s="4" t="s">
        <v>38</v>
      </c>
      <c r="S9" s="4" t="s">
        <v>25</v>
      </c>
      <c r="T9" s="4" t="s">
        <v>39</v>
      </c>
      <c r="V9" s="4" t="s">
        <v>47</v>
      </c>
    </row>
    <row r="10" spans="1:23" x14ac:dyDescent="0.45">
      <c r="A10" s="4" t="s">
        <v>48</v>
      </c>
      <c r="B10" s="4" t="s">
        <v>37</v>
      </c>
      <c r="C10" s="5">
        <v>2</v>
      </c>
      <c r="D10" s="5">
        <v>6901</v>
      </c>
      <c r="E10" s="5">
        <v>0</v>
      </c>
      <c r="F10" s="5">
        <v>0</v>
      </c>
      <c r="G10" s="5">
        <v>0</v>
      </c>
      <c r="H10" s="5">
        <v>6901</v>
      </c>
      <c r="I10" s="6">
        <v>2</v>
      </c>
      <c r="J10" s="6">
        <v>2.6</v>
      </c>
      <c r="K10" s="6">
        <v>6</v>
      </c>
      <c r="L10" s="6">
        <v>6</v>
      </c>
      <c r="M10" s="4" t="str">
        <f t="shared" si="0"/>
        <v>OK</v>
      </c>
      <c r="N10" s="7">
        <f t="shared" si="1"/>
        <v>3.9460216713840521E-2</v>
      </c>
      <c r="O10" s="7">
        <f>SUMIFS($D$2:D10,$B$2:B10,B10)/SUMIFS($D$2:$D$741,$B$2:$B$741,B10)</f>
        <v>0.81641078422963664</v>
      </c>
      <c r="P10" s="4" t="b">
        <f t="shared" si="2"/>
        <v>1</v>
      </c>
      <c r="Q10" s="4" t="s">
        <v>23</v>
      </c>
      <c r="R10" s="4" t="s">
        <v>38</v>
      </c>
      <c r="S10" s="4" t="s">
        <v>25</v>
      </c>
      <c r="T10" s="4" t="s">
        <v>39</v>
      </c>
      <c r="V10" s="4" t="s">
        <v>49</v>
      </c>
    </row>
    <row r="11" spans="1:23" x14ac:dyDescent="0.45">
      <c r="A11" s="4" t="s">
        <v>50</v>
      </c>
      <c r="B11" s="4" t="s">
        <v>37</v>
      </c>
      <c r="C11" s="5">
        <v>1</v>
      </c>
      <c r="D11" s="5">
        <v>5101</v>
      </c>
      <c r="E11" s="5">
        <v>5101</v>
      </c>
      <c r="F11" s="5">
        <v>99</v>
      </c>
      <c r="G11" s="5">
        <v>4</v>
      </c>
      <c r="H11" s="5">
        <v>5002</v>
      </c>
      <c r="I11" s="6">
        <v>2</v>
      </c>
      <c r="J11" s="6">
        <v>2.2000000000000002</v>
      </c>
      <c r="K11" s="6">
        <v>4</v>
      </c>
      <c r="L11" s="6">
        <v>4</v>
      </c>
      <c r="M11" s="4" t="str">
        <f t="shared" si="0"/>
        <v>OK</v>
      </c>
      <c r="N11" s="7">
        <f t="shared" si="1"/>
        <v>2.9167738799782714E-2</v>
      </c>
      <c r="O11" s="7">
        <f>SUMIFS($D$2:D11,$B$2:B11,B11)/SUMIFS($D$2:$D$741,$B$2:$B$741,B11)</f>
        <v>0.84557852302941938</v>
      </c>
      <c r="P11" s="4" t="b">
        <f t="shared" si="2"/>
        <v>1</v>
      </c>
      <c r="Q11" s="4" t="s">
        <v>23</v>
      </c>
      <c r="R11" s="4" t="s">
        <v>38</v>
      </c>
      <c r="S11" s="4" t="s">
        <v>25</v>
      </c>
      <c r="T11" s="4" t="s">
        <v>39</v>
      </c>
      <c r="V11" s="4" t="s">
        <v>51</v>
      </c>
    </row>
    <row r="12" spans="1:23" x14ac:dyDescent="0.45">
      <c r="A12" s="4" t="s">
        <v>52</v>
      </c>
      <c r="B12" s="4" t="s">
        <v>37</v>
      </c>
      <c r="C12" s="5">
        <v>1</v>
      </c>
      <c r="D12" s="5">
        <v>4360</v>
      </c>
      <c r="E12" s="5">
        <v>426</v>
      </c>
      <c r="F12" s="5">
        <v>0</v>
      </c>
      <c r="G12" s="5">
        <v>0</v>
      </c>
      <c r="H12" s="5">
        <v>4360</v>
      </c>
      <c r="I12" s="6">
        <v>2</v>
      </c>
      <c r="J12" s="6">
        <v>2.4</v>
      </c>
      <c r="K12" s="6">
        <v>4</v>
      </c>
      <c r="L12" s="6">
        <v>4</v>
      </c>
      <c r="M12" s="4" t="str">
        <f t="shared" si="0"/>
        <v>OK</v>
      </c>
      <c r="N12" s="7">
        <f t="shared" si="1"/>
        <v>2.4930668725162249E-2</v>
      </c>
      <c r="O12" s="7">
        <f>SUMIFS($D$2:D12,$B$2:B12,B12)/SUMIFS($D$2:$D$741,$B$2:$B$741,B12)</f>
        <v>0.87050919175458163</v>
      </c>
      <c r="P12" s="4" t="b">
        <f t="shared" si="2"/>
        <v>1</v>
      </c>
      <c r="Q12" s="4" t="s">
        <v>23</v>
      </c>
      <c r="R12" s="4" t="s">
        <v>38</v>
      </c>
      <c r="S12" s="4" t="s">
        <v>25</v>
      </c>
      <c r="T12" s="4" t="s">
        <v>39</v>
      </c>
      <c r="V12" s="4" t="s">
        <v>53</v>
      </c>
    </row>
    <row r="13" spans="1:23" x14ac:dyDescent="0.45">
      <c r="A13" s="4" t="s">
        <v>54</v>
      </c>
      <c r="B13" s="4" t="s">
        <v>37</v>
      </c>
      <c r="C13" s="5">
        <v>1</v>
      </c>
      <c r="D13" s="5">
        <v>4282</v>
      </c>
      <c r="E13" s="5">
        <v>1203</v>
      </c>
      <c r="F13" s="5">
        <v>28</v>
      </c>
      <c r="G13" s="5">
        <v>6</v>
      </c>
      <c r="H13" s="5">
        <v>4254</v>
      </c>
      <c r="I13" s="6">
        <v>3</v>
      </c>
      <c r="J13" s="6">
        <v>10.1</v>
      </c>
      <c r="K13" s="6">
        <v>8</v>
      </c>
      <c r="L13" s="6">
        <v>8</v>
      </c>
      <c r="M13" s="4" t="str">
        <f t="shared" si="0"/>
        <v>OK</v>
      </c>
      <c r="N13" s="7">
        <f t="shared" si="1"/>
        <v>2.4484661348886411E-2</v>
      </c>
      <c r="O13" s="7">
        <f>SUMIFS($D$2:D13,$B$2:B13,B13)/SUMIFS($D$2:$D$741,$B$2:$B$741,B13)</f>
        <v>0.89499385310346802</v>
      </c>
      <c r="P13" s="4" t="b">
        <f t="shared" si="2"/>
        <v>1</v>
      </c>
      <c r="Q13" s="4" t="s">
        <v>23</v>
      </c>
      <c r="R13" s="4" t="s">
        <v>38</v>
      </c>
      <c r="S13" s="4" t="s">
        <v>25</v>
      </c>
      <c r="T13" s="4" t="s">
        <v>39</v>
      </c>
      <c r="V13" s="4" t="s">
        <v>55</v>
      </c>
    </row>
    <row r="14" spans="1:23" x14ac:dyDescent="0.45">
      <c r="A14" s="4" t="s">
        <v>56</v>
      </c>
      <c r="B14" s="4" t="s">
        <v>37</v>
      </c>
      <c r="C14" s="5">
        <v>1</v>
      </c>
      <c r="D14" s="5">
        <v>2922</v>
      </c>
      <c r="E14" s="5">
        <v>1197</v>
      </c>
      <c r="F14" s="5">
        <v>9</v>
      </c>
      <c r="G14" s="5">
        <v>0</v>
      </c>
      <c r="H14" s="5">
        <v>2913</v>
      </c>
      <c r="I14" s="6">
        <v>3</v>
      </c>
      <c r="J14" s="6">
        <v>4.2</v>
      </c>
      <c r="K14" s="6">
        <v>7</v>
      </c>
      <c r="L14" s="6">
        <v>7</v>
      </c>
      <c r="M14" s="4" t="str">
        <f t="shared" si="0"/>
        <v>OK</v>
      </c>
      <c r="N14" s="7">
        <f t="shared" si="1"/>
        <v>1.6708122480487177E-2</v>
      </c>
      <c r="O14" s="7">
        <f>SUMIFS($D$2:D14,$B$2:B14,B14)/SUMIFS($D$2:$D$741,$B$2:$B$741,B14)</f>
        <v>0.91170197558395516</v>
      </c>
      <c r="P14" s="4" t="b">
        <f t="shared" si="2"/>
        <v>1</v>
      </c>
      <c r="Q14" s="4" t="s">
        <v>23</v>
      </c>
      <c r="R14" s="4" t="s">
        <v>38</v>
      </c>
      <c r="S14" s="4" t="s">
        <v>25</v>
      </c>
      <c r="T14" s="4" t="s">
        <v>39</v>
      </c>
      <c r="V14" s="4" t="s">
        <v>57</v>
      </c>
    </row>
    <row r="15" spans="1:23" x14ac:dyDescent="0.45">
      <c r="A15" s="4" t="s">
        <v>58</v>
      </c>
      <c r="B15" s="4" t="s">
        <v>37</v>
      </c>
      <c r="C15" s="5">
        <v>1</v>
      </c>
      <c r="D15" s="5">
        <v>2600</v>
      </c>
      <c r="E15" s="5">
        <v>2600</v>
      </c>
      <c r="F15" s="5">
        <v>66</v>
      </c>
      <c r="G15" s="5">
        <v>5</v>
      </c>
      <c r="H15" s="5">
        <v>2534</v>
      </c>
      <c r="I15" s="6">
        <v>3</v>
      </c>
      <c r="J15" s="6">
        <v>4.3</v>
      </c>
      <c r="K15" s="6">
        <v>8</v>
      </c>
      <c r="L15" s="6">
        <v>8</v>
      </c>
      <c r="M15" s="4" t="str">
        <f t="shared" si="0"/>
        <v>OK</v>
      </c>
      <c r="N15" s="7">
        <f t="shared" si="1"/>
        <v>1.4866912542527947E-2</v>
      </c>
      <c r="O15" s="7">
        <f>SUMIFS($D$2:D15,$B$2:B15,B15)/SUMIFS($D$2:$D$741,$B$2:$B$741,B15)</f>
        <v>0.92656888812648308</v>
      </c>
      <c r="P15" s="4" t="b">
        <f t="shared" si="2"/>
        <v>1</v>
      </c>
      <c r="Q15" s="4" t="s">
        <v>23</v>
      </c>
      <c r="R15" s="4" t="s">
        <v>38</v>
      </c>
      <c r="S15" s="4" t="s">
        <v>25</v>
      </c>
      <c r="T15" s="4" t="s">
        <v>39</v>
      </c>
      <c r="V15" s="4" t="s">
        <v>59</v>
      </c>
    </row>
    <row r="16" spans="1:23" x14ac:dyDescent="0.45">
      <c r="A16" s="4" t="s">
        <v>60</v>
      </c>
      <c r="B16" s="4" t="s">
        <v>37</v>
      </c>
      <c r="C16" s="5">
        <v>1</v>
      </c>
      <c r="D16" s="5">
        <v>2170</v>
      </c>
      <c r="E16" s="5">
        <v>1071</v>
      </c>
      <c r="F16" s="5">
        <v>13</v>
      </c>
      <c r="G16" s="5">
        <v>1</v>
      </c>
      <c r="H16" s="5">
        <v>2157</v>
      </c>
      <c r="I16" s="6">
        <v>4</v>
      </c>
      <c r="J16" s="6">
        <v>7.5</v>
      </c>
      <c r="K16" s="6">
        <v>15</v>
      </c>
      <c r="L16" s="6">
        <v>15.4</v>
      </c>
      <c r="M16" s="4" t="str">
        <f t="shared" si="0"/>
        <v>OK</v>
      </c>
      <c r="N16" s="7">
        <f t="shared" si="1"/>
        <v>1.2408153929725248E-2</v>
      </c>
      <c r="O16" s="7">
        <f>SUMIFS($D$2:D16,$B$2:B16,B16)/SUMIFS($D$2:$D$741,$B$2:$B$741,B16)</f>
        <v>0.93897704205620836</v>
      </c>
      <c r="P16" s="4" t="b">
        <f t="shared" si="2"/>
        <v>1</v>
      </c>
      <c r="Q16" s="4" t="s">
        <v>23</v>
      </c>
      <c r="R16" s="4" t="s">
        <v>38</v>
      </c>
      <c r="S16" s="4" t="s">
        <v>25</v>
      </c>
      <c r="T16" s="4" t="s">
        <v>39</v>
      </c>
      <c r="V16" s="4" t="s">
        <v>61</v>
      </c>
    </row>
    <row r="17" spans="1:22" x14ac:dyDescent="0.45">
      <c r="A17" s="4" t="s">
        <v>62</v>
      </c>
      <c r="B17" s="4" t="s">
        <v>37</v>
      </c>
      <c r="C17" s="5">
        <v>1</v>
      </c>
      <c r="D17" s="5">
        <v>1861</v>
      </c>
      <c r="E17" s="5">
        <v>0</v>
      </c>
      <c r="F17" s="5">
        <v>0</v>
      </c>
      <c r="G17" s="5">
        <v>0</v>
      </c>
      <c r="H17" s="5">
        <v>1861</v>
      </c>
      <c r="I17" s="6">
        <v>2</v>
      </c>
      <c r="J17" s="6">
        <v>3.1</v>
      </c>
      <c r="K17" s="6">
        <v>7</v>
      </c>
      <c r="L17" s="6">
        <v>7</v>
      </c>
      <c r="M17" s="4" t="str">
        <f t="shared" si="0"/>
        <v>OK</v>
      </c>
      <c r="N17" s="7">
        <f t="shared" si="1"/>
        <v>1.0641278554478658E-2</v>
      </c>
      <c r="O17" s="7">
        <f>SUMIFS($D$2:D17,$B$2:B17,B17)/SUMIFS($D$2:$D$741,$B$2:$B$741,B17)</f>
        <v>0.94961832061068707</v>
      </c>
      <c r="P17" s="4" t="b">
        <f t="shared" si="2"/>
        <v>1</v>
      </c>
      <c r="Q17" s="4" t="s">
        <v>23</v>
      </c>
      <c r="R17" s="4" t="s">
        <v>38</v>
      </c>
      <c r="S17" s="4" t="s">
        <v>25</v>
      </c>
      <c r="T17" s="4" t="s">
        <v>39</v>
      </c>
      <c r="V17" s="4" t="s">
        <v>63</v>
      </c>
    </row>
    <row r="18" spans="1:22" x14ac:dyDescent="0.45">
      <c r="A18" s="4" t="s">
        <v>64</v>
      </c>
      <c r="B18" s="4" t="s">
        <v>37</v>
      </c>
      <c r="C18" s="5">
        <v>1</v>
      </c>
      <c r="D18" s="5">
        <v>1344</v>
      </c>
      <c r="E18" s="5">
        <v>457</v>
      </c>
      <c r="F18" s="5">
        <v>10</v>
      </c>
      <c r="G18" s="5">
        <v>1</v>
      </c>
      <c r="H18" s="5">
        <v>1334</v>
      </c>
      <c r="I18" s="6">
        <v>3</v>
      </c>
      <c r="J18" s="6">
        <v>4.7</v>
      </c>
      <c r="K18" s="6">
        <v>8</v>
      </c>
      <c r="L18" s="6">
        <v>8</v>
      </c>
      <c r="M18" s="4" t="str">
        <f t="shared" si="0"/>
        <v>OK</v>
      </c>
      <c r="N18" s="7">
        <f t="shared" si="1"/>
        <v>7.6850501758298313E-3</v>
      </c>
      <c r="O18" s="7">
        <f>SUMIFS($D$2:D18,$B$2:B18,B18)/SUMIFS($D$2:$D$741,$B$2:$B$741,B18)</f>
        <v>0.95730337078651684</v>
      </c>
      <c r="P18" s="4" t="b">
        <f t="shared" si="2"/>
        <v>1</v>
      </c>
      <c r="Q18" s="4" t="s">
        <v>23</v>
      </c>
      <c r="R18" s="4" t="s">
        <v>38</v>
      </c>
      <c r="S18" s="4" t="s">
        <v>25</v>
      </c>
      <c r="T18" s="4" t="s">
        <v>39</v>
      </c>
      <c r="V18" s="4" t="s">
        <v>65</v>
      </c>
    </row>
    <row r="19" spans="1:22" x14ac:dyDescent="0.45">
      <c r="A19" s="4" t="s">
        <v>66</v>
      </c>
      <c r="B19" s="4" t="s">
        <v>37</v>
      </c>
      <c r="C19" s="5">
        <v>1</v>
      </c>
      <c r="D19" s="5">
        <v>1340</v>
      </c>
      <c r="E19" s="5">
        <v>1340</v>
      </c>
      <c r="F19" s="5">
        <v>54</v>
      </c>
      <c r="G19" s="5">
        <v>4</v>
      </c>
      <c r="H19" s="5">
        <v>1286</v>
      </c>
      <c r="I19" s="6">
        <v>4</v>
      </c>
      <c r="J19" s="6">
        <v>6.2</v>
      </c>
      <c r="K19" s="6">
        <v>11</v>
      </c>
      <c r="L19" s="6">
        <v>11</v>
      </c>
      <c r="M19" s="4" t="str">
        <f t="shared" si="0"/>
        <v>OK</v>
      </c>
      <c r="N19" s="7">
        <f t="shared" si="1"/>
        <v>7.66217800268748E-3</v>
      </c>
      <c r="O19" s="7">
        <f>SUMIFS($D$2:D19,$B$2:B19,B19)/SUMIFS($D$2:$D$741,$B$2:$B$741,B19)</f>
        <v>0.96496554878920437</v>
      </c>
      <c r="P19" s="4" t="b">
        <f t="shared" si="2"/>
        <v>0</v>
      </c>
      <c r="Q19" s="4" t="s">
        <v>23</v>
      </c>
      <c r="R19" s="4" t="s">
        <v>38</v>
      </c>
      <c r="S19" s="4" t="s">
        <v>25</v>
      </c>
      <c r="T19" s="4" t="s">
        <v>39</v>
      </c>
    </row>
    <row r="20" spans="1:22" x14ac:dyDescent="0.45">
      <c r="A20" s="4" t="s">
        <v>67</v>
      </c>
      <c r="B20" s="4" t="s">
        <v>37</v>
      </c>
      <c r="C20" s="5">
        <v>2</v>
      </c>
      <c r="D20" s="5">
        <v>1140</v>
      </c>
      <c r="E20" s="5">
        <v>0</v>
      </c>
      <c r="F20" s="5">
        <v>0</v>
      </c>
      <c r="G20" s="5">
        <v>0</v>
      </c>
      <c r="H20" s="5">
        <v>1140</v>
      </c>
      <c r="I20" s="6">
        <v>4</v>
      </c>
      <c r="J20" s="6">
        <v>5.5</v>
      </c>
      <c r="K20" s="6">
        <v>12</v>
      </c>
      <c r="L20" s="6">
        <v>12</v>
      </c>
      <c r="M20" s="4" t="str">
        <f t="shared" si="0"/>
        <v>OK</v>
      </c>
      <c r="N20" s="7">
        <f t="shared" si="1"/>
        <v>6.518569345569946E-3</v>
      </c>
      <c r="O20" s="7">
        <f>SUMIFS($D$2:D20,$B$2:B20,B20)/SUMIFS($D$2:$D$741,$B$2:$B$741,B20)</f>
        <v>0.97148411813477431</v>
      </c>
      <c r="P20" s="4" t="b">
        <f t="shared" si="2"/>
        <v>0</v>
      </c>
      <c r="Q20" s="4" t="s">
        <v>23</v>
      </c>
      <c r="R20" s="4" t="s">
        <v>38</v>
      </c>
      <c r="S20" s="4" t="s">
        <v>25</v>
      </c>
      <c r="T20" s="4" t="s">
        <v>39</v>
      </c>
    </row>
    <row r="21" spans="1:22" x14ac:dyDescent="0.45">
      <c r="A21" s="4" t="s">
        <v>68</v>
      </c>
      <c r="B21" s="4" t="s">
        <v>37</v>
      </c>
      <c r="C21" s="5">
        <v>1</v>
      </c>
      <c r="D21" s="5">
        <v>1001</v>
      </c>
      <c r="E21" s="5">
        <v>380</v>
      </c>
      <c r="F21" s="5">
        <v>3</v>
      </c>
      <c r="G21" s="5">
        <v>0</v>
      </c>
      <c r="H21" s="5">
        <v>998</v>
      </c>
      <c r="I21" s="6">
        <v>3</v>
      </c>
      <c r="J21" s="6">
        <v>4.7</v>
      </c>
      <c r="K21" s="6">
        <v>10</v>
      </c>
      <c r="L21" s="6">
        <v>10</v>
      </c>
      <c r="M21" s="4" t="str">
        <f t="shared" si="0"/>
        <v>OK</v>
      </c>
      <c r="N21" s="7">
        <f t="shared" si="1"/>
        <v>5.7237613288732593E-3</v>
      </c>
      <c r="O21" s="7">
        <f>SUMIFS($D$2:D21,$B$2:B21,B21)/SUMIFS($D$2:$D$741,$B$2:$B$741,B21)</f>
        <v>0.97720787946364751</v>
      </c>
      <c r="P21" s="4" t="b">
        <f t="shared" si="2"/>
        <v>0</v>
      </c>
      <c r="Q21" s="4" t="s">
        <v>23</v>
      </c>
      <c r="R21" s="4" t="s">
        <v>38</v>
      </c>
      <c r="S21" s="4" t="s">
        <v>25</v>
      </c>
      <c r="T21" s="4" t="s">
        <v>39</v>
      </c>
    </row>
    <row r="22" spans="1:22" x14ac:dyDescent="0.45">
      <c r="A22" s="4" t="s">
        <v>69</v>
      </c>
      <c r="B22" s="4" t="s">
        <v>37</v>
      </c>
      <c r="C22" s="5">
        <v>1</v>
      </c>
      <c r="D22" s="5">
        <v>853</v>
      </c>
      <c r="E22" s="5">
        <v>111</v>
      </c>
      <c r="F22" s="5">
        <v>0</v>
      </c>
      <c r="G22" s="5">
        <v>0</v>
      </c>
      <c r="H22" s="5">
        <v>853</v>
      </c>
      <c r="I22" s="6">
        <v>3</v>
      </c>
      <c r="J22" s="6">
        <v>9.5</v>
      </c>
      <c r="K22" s="6">
        <v>13</v>
      </c>
      <c r="L22" s="6">
        <v>13</v>
      </c>
      <c r="M22" s="4" t="str">
        <f t="shared" si="0"/>
        <v>OK</v>
      </c>
      <c r="N22" s="7">
        <f t="shared" si="1"/>
        <v>4.8774909226062839E-3</v>
      </c>
      <c r="O22" s="7">
        <f>SUMIFS($D$2:D22,$B$2:B22,B22)/SUMIFS($D$2:$D$741,$B$2:$B$741,B22)</f>
        <v>0.98208537038625388</v>
      </c>
      <c r="P22" s="4" t="b">
        <f t="shared" si="2"/>
        <v>0</v>
      </c>
      <c r="Q22" s="4" t="s">
        <v>23</v>
      </c>
      <c r="R22" s="4" t="s">
        <v>38</v>
      </c>
      <c r="S22" s="4" t="s">
        <v>25</v>
      </c>
      <c r="T22" s="4" t="s">
        <v>39</v>
      </c>
    </row>
    <row r="23" spans="1:22" x14ac:dyDescent="0.45">
      <c r="A23" s="4" t="s">
        <v>70</v>
      </c>
      <c r="B23" s="4" t="s">
        <v>37</v>
      </c>
      <c r="C23" s="5">
        <v>1</v>
      </c>
      <c r="D23" s="5">
        <v>745</v>
      </c>
      <c r="E23" s="5">
        <v>0</v>
      </c>
      <c r="F23" s="5">
        <v>0</v>
      </c>
      <c r="G23" s="5">
        <v>0</v>
      </c>
      <c r="H23" s="5">
        <v>745</v>
      </c>
      <c r="I23" s="6">
        <v>3</v>
      </c>
      <c r="J23" s="6">
        <v>3.1</v>
      </c>
      <c r="K23" s="6">
        <v>4</v>
      </c>
      <c r="L23" s="6">
        <v>4</v>
      </c>
      <c r="M23" s="4" t="str">
        <f t="shared" si="0"/>
        <v>OK</v>
      </c>
      <c r="N23" s="7">
        <f t="shared" si="1"/>
        <v>4.2599422477628155E-3</v>
      </c>
      <c r="O23" s="7">
        <f>SUMIFS($D$2:D23,$B$2:B23,B23)/SUMIFS($D$2:$D$741,$B$2:$B$741,B23)</f>
        <v>0.98634531263401659</v>
      </c>
      <c r="P23" s="4" t="b">
        <f t="shared" si="2"/>
        <v>0</v>
      </c>
      <c r="Q23" s="4" t="s">
        <v>23</v>
      </c>
      <c r="R23" s="4" t="s">
        <v>38</v>
      </c>
      <c r="S23" s="4" t="s">
        <v>25</v>
      </c>
      <c r="T23" s="4" t="s">
        <v>39</v>
      </c>
    </row>
    <row r="24" spans="1:22" x14ac:dyDescent="0.45">
      <c r="A24" s="4" t="s">
        <v>71</v>
      </c>
      <c r="B24" s="4" t="s">
        <v>37</v>
      </c>
      <c r="C24" s="5">
        <v>1</v>
      </c>
      <c r="D24" s="5">
        <v>653</v>
      </c>
      <c r="E24" s="5">
        <v>267</v>
      </c>
      <c r="F24" s="5">
        <v>0</v>
      </c>
      <c r="G24" s="5">
        <v>0</v>
      </c>
      <c r="H24" s="5">
        <v>653</v>
      </c>
      <c r="I24" s="6">
        <v>3</v>
      </c>
      <c r="J24" s="6">
        <v>6.9</v>
      </c>
      <c r="K24" s="6">
        <v>13</v>
      </c>
      <c r="L24" s="6">
        <v>13</v>
      </c>
      <c r="M24" s="4" t="str">
        <f t="shared" si="0"/>
        <v>OK</v>
      </c>
      <c r="N24" s="7">
        <f t="shared" si="1"/>
        <v>3.7338822654887499E-3</v>
      </c>
      <c r="O24" s="7">
        <f>SUMIFS($D$2:D24,$B$2:B24,B24)/SUMIFS($D$2:$D$741,$B$2:$B$741,B24)</f>
        <v>0.99007919489950535</v>
      </c>
      <c r="P24" s="4" t="b">
        <f t="shared" si="2"/>
        <v>0</v>
      </c>
      <c r="Q24" s="4" t="s">
        <v>23</v>
      </c>
      <c r="R24" s="4" t="s">
        <v>38</v>
      </c>
      <c r="S24" s="4" t="s">
        <v>25</v>
      </c>
      <c r="T24" s="4" t="s">
        <v>39</v>
      </c>
    </row>
    <row r="25" spans="1:22" x14ac:dyDescent="0.45">
      <c r="A25" s="4" t="s">
        <v>72</v>
      </c>
      <c r="B25" s="4" t="s">
        <v>37</v>
      </c>
      <c r="C25" s="5">
        <v>2</v>
      </c>
      <c r="D25" s="5">
        <v>476</v>
      </c>
      <c r="E25" s="5">
        <v>0</v>
      </c>
      <c r="F25" s="5">
        <v>0</v>
      </c>
      <c r="G25" s="5">
        <v>0</v>
      </c>
      <c r="H25" s="5">
        <v>476</v>
      </c>
      <c r="I25" s="6">
        <v>4</v>
      </c>
      <c r="J25" s="6">
        <v>4.8</v>
      </c>
      <c r="K25" s="6">
        <v>8</v>
      </c>
      <c r="L25" s="6">
        <v>8.5</v>
      </c>
      <c r="M25" s="4" t="str">
        <f t="shared" si="0"/>
        <v>OK</v>
      </c>
      <c r="N25" s="7">
        <f t="shared" si="1"/>
        <v>2.7217886039397317E-3</v>
      </c>
      <c r="O25" s="7">
        <f>SUMIFS($D$2:D25,$B$2:B25,B25)/SUMIFS($D$2:$D$741,$B$2:$B$741,B25)</f>
        <v>0.99280098350344514</v>
      </c>
      <c r="P25" s="4" t="b">
        <f t="shared" si="2"/>
        <v>0</v>
      </c>
      <c r="Q25" s="4" t="s">
        <v>23</v>
      </c>
      <c r="R25" s="4" t="s">
        <v>38</v>
      </c>
      <c r="S25" s="4" t="s">
        <v>25</v>
      </c>
      <c r="T25" s="4" t="s">
        <v>39</v>
      </c>
    </row>
    <row r="26" spans="1:22" x14ac:dyDescent="0.45">
      <c r="A26" s="4" t="s">
        <v>73</v>
      </c>
      <c r="B26" s="4" t="s">
        <v>37</v>
      </c>
      <c r="C26" s="5">
        <v>1</v>
      </c>
      <c r="D26" s="5">
        <v>284</v>
      </c>
      <c r="E26" s="5">
        <v>105</v>
      </c>
      <c r="F26" s="5">
        <v>0</v>
      </c>
      <c r="G26" s="5">
        <v>0</v>
      </c>
      <c r="H26" s="5">
        <v>284</v>
      </c>
      <c r="I26" s="6">
        <v>2.5</v>
      </c>
      <c r="J26" s="6">
        <v>4.0999999999999996</v>
      </c>
      <c r="K26" s="6">
        <v>7</v>
      </c>
      <c r="L26" s="6">
        <v>7</v>
      </c>
      <c r="M26" s="4" t="str">
        <f t="shared" si="0"/>
        <v>OK</v>
      </c>
      <c r="N26" s="7">
        <f t="shared" si="1"/>
        <v>1.6239242931068989E-3</v>
      </c>
      <c r="O26" s="7">
        <f>SUMIFS($D$2:D26,$B$2:B26,B26)/SUMIFS($D$2:$D$741,$B$2:$B$741,B26)</f>
        <v>0.99442490779655202</v>
      </c>
      <c r="P26" s="4" t="b">
        <f t="shared" si="2"/>
        <v>0</v>
      </c>
      <c r="Q26" s="4" t="s">
        <v>23</v>
      </c>
      <c r="R26" s="4" t="s">
        <v>38</v>
      </c>
      <c r="S26" s="4" t="s">
        <v>25</v>
      </c>
      <c r="T26" s="4" t="s">
        <v>39</v>
      </c>
    </row>
    <row r="27" spans="1:22" x14ac:dyDescent="0.45">
      <c r="A27" s="4" t="s">
        <v>74</v>
      </c>
      <c r="B27" s="4" t="s">
        <v>37</v>
      </c>
      <c r="C27" s="5">
        <v>1</v>
      </c>
      <c r="D27" s="5">
        <v>269</v>
      </c>
      <c r="E27" s="5">
        <v>0</v>
      </c>
      <c r="F27" s="5">
        <v>0</v>
      </c>
      <c r="G27" s="5">
        <v>0</v>
      </c>
      <c r="H27" s="5">
        <v>269</v>
      </c>
      <c r="I27" s="6">
        <v>2</v>
      </c>
      <c r="J27" s="6">
        <v>2.9</v>
      </c>
      <c r="K27" s="6">
        <v>4</v>
      </c>
      <c r="L27" s="6">
        <v>4</v>
      </c>
      <c r="M27" s="4" t="str">
        <f t="shared" si="0"/>
        <v>OK</v>
      </c>
      <c r="N27" s="7">
        <f t="shared" si="1"/>
        <v>1.5381536438230838E-3</v>
      </c>
      <c r="O27" s="7">
        <f>SUMIFS($D$2:D27,$B$2:B27,B27)/SUMIFS($D$2:$D$741,$B$2:$B$741,B27)</f>
        <v>0.99596306144037505</v>
      </c>
      <c r="P27" s="4" t="b">
        <f t="shared" si="2"/>
        <v>0</v>
      </c>
      <c r="Q27" s="4" t="s">
        <v>23</v>
      </c>
      <c r="R27" s="4" t="s">
        <v>75</v>
      </c>
      <c r="S27" s="4" t="s">
        <v>25</v>
      </c>
      <c r="T27" s="4" t="s">
        <v>76</v>
      </c>
    </row>
    <row r="28" spans="1:22" x14ac:dyDescent="0.45">
      <c r="A28" s="4" t="s">
        <v>77</v>
      </c>
      <c r="B28" s="4" t="s">
        <v>37</v>
      </c>
      <c r="C28" s="5">
        <v>1</v>
      </c>
      <c r="D28" s="5">
        <v>191</v>
      </c>
      <c r="E28" s="5">
        <v>87</v>
      </c>
      <c r="F28" s="5">
        <v>0</v>
      </c>
      <c r="G28" s="5">
        <v>0</v>
      </c>
      <c r="H28" s="5">
        <v>191</v>
      </c>
      <c r="I28" s="6">
        <v>6</v>
      </c>
      <c r="J28" s="6">
        <v>16.600000000000001</v>
      </c>
      <c r="K28" s="6">
        <v>47</v>
      </c>
      <c r="L28" s="6">
        <v>47</v>
      </c>
      <c r="M28" s="4" t="str">
        <f t="shared" si="0"/>
        <v>OK</v>
      </c>
      <c r="N28" s="7">
        <f t="shared" si="1"/>
        <v>1.0921462675472454E-3</v>
      </c>
      <c r="O28" s="7">
        <f>SUMIFS($D$2:D28,$B$2:B28,B28)/SUMIFS($D$2:$D$741,$B$2:$B$741,B28)</f>
        <v>0.99705520770792233</v>
      </c>
      <c r="P28" s="4" t="b">
        <f t="shared" si="2"/>
        <v>0</v>
      </c>
      <c r="Q28" s="4" t="s">
        <v>23</v>
      </c>
      <c r="R28" s="4" t="s">
        <v>38</v>
      </c>
      <c r="S28" s="4" t="s">
        <v>25</v>
      </c>
      <c r="T28" s="4" t="s">
        <v>39</v>
      </c>
    </row>
    <row r="29" spans="1:22" x14ac:dyDescent="0.45">
      <c r="A29" s="4" t="s">
        <v>78</v>
      </c>
      <c r="B29" s="4" t="s">
        <v>37</v>
      </c>
      <c r="C29" s="5">
        <v>1</v>
      </c>
      <c r="D29" s="5">
        <v>183</v>
      </c>
      <c r="E29" s="5">
        <v>183</v>
      </c>
      <c r="F29" s="5">
        <v>5</v>
      </c>
      <c r="G29" s="5">
        <v>2</v>
      </c>
      <c r="H29" s="5">
        <v>178</v>
      </c>
      <c r="I29" s="6">
        <v>5</v>
      </c>
      <c r="J29" s="6">
        <v>7.6</v>
      </c>
      <c r="K29" s="6">
        <v>12</v>
      </c>
      <c r="L29" s="6">
        <v>12</v>
      </c>
      <c r="M29" s="4" t="str">
        <f t="shared" si="0"/>
        <v>OK</v>
      </c>
      <c r="N29" s="7">
        <f t="shared" si="1"/>
        <v>1.0464019212625439E-3</v>
      </c>
      <c r="O29" s="7">
        <f>SUMIFS($D$2:D29,$B$2:B29,B29)/SUMIFS($D$2:$D$741,$B$2:$B$741,B29)</f>
        <v>0.99810160962918493</v>
      </c>
      <c r="P29" s="4" t="b">
        <f t="shared" si="2"/>
        <v>0</v>
      </c>
      <c r="Q29" s="4" t="s">
        <v>23</v>
      </c>
      <c r="R29" s="4" t="s">
        <v>38</v>
      </c>
      <c r="S29" s="4" t="s">
        <v>25</v>
      </c>
      <c r="T29" s="4" t="s">
        <v>39</v>
      </c>
    </row>
    <row r="30" spans="1:22" x14ac:dyDescent="0.45">
      <c r="A30" s="4" t="s">
        <v>79</v>
      </c>
      <c r="B30" s="4" t="s">
        <v>37</v>
      </c>
      <c r="C30" s="5">
        <v>2</v>
      </c>
      <c r="D30" s="5">
        <v>172</v>
      </c>
      <c r="E30" s="5">
        <v>0</v>
      </c>
      <c r="F30" s="5">
        <v>0</v>
      </c>
      <c r="G30" s="5">
        <v>0</v>
      </c>
      <c r="H30" s="5">
        <v>172</v>
      </c>
      <c r="I30" s="6">
        <v>4</v>
      </c>
      <c r="J30" s="6">
        <v>4.7</v>
      </c>
      <c r="K30" s="6">
        <v>8</v>
      </c>
      <c r="L30" s="6">
        <v>8</v>
      </c>
      <c r="M30" s="4" t="str">
        <f t="shared" si="0"/>
        <v>OK</v>
      </c>
      <c r="N30" s="7">
        <f t="shared" si="1"/>
        <v>9.8350344512107947E-4</v>
      </c>
      <c r="O30" s="7">
        <f>SUMIFS($D$2:D30,$B$2:B30,B30)/SUMIFS($D$2:$D$741,$B$2:$B$741,B30)</f>
        <v>0.99908511307430592</v>
      </c>
      <c r="P30" s="4" t="b">
        <f t="shared" si="2"/>
        <v>0</v>
      </c>
      <c r="Q30" s="4" t="s">
        <v>23</v>
      </c>
      <c r="R30" s="4" t="s">
        <v>38</v>
      </c>
      <c r="S30" s="4" t="s">
        <v>25</v>
      </c>
      <c r="T30" s="4" t="s">
        <v>39</v>
      </c>
    </row>
    <row r="31" spans="1:22" x14ac:dyDescent="0.45">
      <c r="A31" s="4" t="s">
        <v>80</v>
      </c>
      <c r="B31" s="4" t="s">
        <v>37</v>
      </c>
      <c r="C31" s="5">
        <v>2</v>
      </c>
      <c r="D31" s="5">
        <v>160</v>
      </c>
      <c r="E31" s="5">
        <v>0</v>
      </c>
      <c r="F31" s="5">
        <v>0</v>
      </c>
      <c r="G31" s="5">
        <v>0</v>
      </c>
      <c r="H31" s="5">
        <v>160</v>
      </c>
      <c r="I31" s="6">
        <v>22</v>
      </c>
      <c r="J31" s="6">
        <v>28.5</v>
      </c>
      <c r="K31" s="6">
        <v>57</v>
      </c>
      <c r="L31" s="6">
        <v>57</v>
      </c>
      <c r="M31" s="4" t="str">
        <f t="shared" si="0"/>
        <v>OK</v>
      </c>
      <c r="N31" s="7">
        <f t="shared" si="1"/>
        <v>9.1488692569402746E-4</v>
      </c>
      <c r="O31" s="7">
        <f>SUMIFS($D$2:D31,$B$2:B31,B31)/SUMIFS($D$2:$D$741,$B$2:$B$741,B31)</f>
        <v>1</v>
      </c>
      <c r="P31" s="4" t="b">
        <f t="shared" si="2"/>
        <v>0</v>
      </c>
      <c r="Q31" s="4" t="s">
        <v>23</v>
      </c>
      <c r="R31" s="4" t="s">
        <v>38</v>
      </c>
      <c r="S31" s="4" t="s">
        <v>25</v>
      </c>
      <c r="T31" s="4" t="s">
        <v>39</v>
      </c>
    </row>
    <row r="32" spans="1:22" x14ac:dyDescent="0.45">
      <c r="A32" s="9" t="s">
        <v>81</v>
      </c>
      <c r="B32" s="9" t="s">
        <v>82</v>
      </c>
      <c r="C32" s="10">
        <v>2</v>
      </c>
      <c r="D32" s="10">
        <v>3430</v>
      </c>
      <c r="E32" s="10">
        <v>910</v>
      </c>
      <c r="F32" s="10">
        <v>2</v>
      </c>
      <c r="G32" s="10">
        <v>0</v>
      </c>
      <c r="H32" s="10">
        <v>3428</v>
      </c>
      <c r="I32" s="11">
        <v>1</v>
      </c>
      <c r="J32" s="11">
        <v>2.2999999999999998</v>
      </c>
      <c r="K32" s="11">
        <v>4</v>
      </c>
      <c r="L32" s="11">
        <v>4</v>
      </c>
      <c r="M32" s="9" t="str">
        <f t="shared" si="0"/>
        <v>OK</v>
      </c>
      <c r="N32" s="12">
        <f t="shared" si="1"/>
        <v>0.60632844263744035</v>
      </c>
      <c r="O32" s="12">
        <f>SUMIFS($D$2:D32,$B$2:B32,B32)/SUMIFS($D$2:$D$741,$B$2:$B$741,B32)</f>
        <v>0.60632844263744035</v>
      </c>
      <c r="P32" s="9" t="b">
        <f t="shared" si="2"/>
        <v>1</v>
      </c>
      <c r="Q32" s="9" t="s">
        <v>23</v>
      </c>
      <c r="R32" s="9" t="s">
        <v>38</v>
      </c>
      <c r="S32" s="9" t="s">
        <v>25</v>
      </c>
      <c r="T32" s="9" t="s">
        <v>39</v>
      </c>
    </row>
    <row r="33" spans="1:20" x14ac:dyDescent="0.45">
      <c r="A33" s="4" t="s">
        <v>83</v>
      </c>
      <c r="B33" s="4" t="s">
        <v>82</v>
      </c>
      <c r="C33" s="5">
        <v>2</v>
      </c>
      <c r="D33" s="5">
        <v>1033</v>
      </c>
      <c r="E33" s="5">
        <v>233</v>
      </c>
      <c r="F33" s="5">
        <v>0</v>
      </c>
      <c r="G33" s="5">
        <v>0</v>
      </c>
      <c r="H33" s="5">
        <v>1033</v>
      </c>
      <c r="I33" s="6">
        <v>0</v>
      </c>
      <c r="J33" s="6">
        <v>1.3</v>
      </c>
      <c r="K33" s="6">
        <v>3</v>
      </c>
      <c r="L33" s="6">
        <v>3</v>
      </c>
      <c r="M33" s="4" t="str">
        <f t="shared" si="0"/>
        <v>OK</v>
      </c>
      <c r="N33" s="7">
        <f t="shared" si="1"/>
        <v>0.1826056213540746</v>
      </c>
      <c r="O33" s="7">
        <f>SUMIFS($D$2:D33,$B$2:B33,B33)/SUMIFS($D$2:$D$741,$B$2:$B$741,B33)</f>
        <v>0.78893406399151489</v>
      </c>
      <c r="P33" s="4" t="b">
        <f t="shared" si="2"/>
        <v>1</v>
      </c>
      <c r="Q33" s="4" t="s">
        <v>23</v>
      </c>
      <c r="R33" s="4" t="s">
        <v>38</v>
      </c>
      <c r="S33" s="4" t="s">
        <v>25</v>
      </c>
      <c r="T33" s="4" t="s">
        <v>39</v>
      </c>
    </row>
    <row r="34" spans="1:20" x14ac:dyDescent="0.45">
      <c r="A34" s="4" t="s">
        <v>84</v>
      </c>
      <c r="B34" s="4" t="s">
        <v>82</v>
      </c>
      <c r="C34" s="5">
        <v>2</v>
      </c>
      <c r="D34" s="5">
        <v>759</v>
      </c>
      <c r="E34" s="5">
        <v>195</v>
      </c>
      <c r="F34" s="5">
        <v>0</v>
      </c>
      <c r="G34" s="5">
        <v>0</v>
      </c>
      <c r="H34" s="5">
        <v>759</v>
      </c>
      <c r="I34" s="6">
        <v>0</v>
      </c>
      <c r="J34" s="6">
        <v>1.5</v>
      </c>
      <c r="K34" s="6">
        <v>3</v>
      </c>
      <c r="L34" s="6">
        <v>3</v>
      </c>
      <c r="M34" s="4" t="str">
        <f t="shared" si="0"/>
        <v>OK</v>
      </c>
      <c r="N34" s="7">
        <f t="shared" si="1"/>
        <v>0.13417005479936361</v>
      </c>
      <c r="O34" s="7">
        <f>SUMIFS($D$2:D34,$B$2:B34,B34)/SUMIFS($D$2:$D$741,$B$2:$B$741,B34)</f>
        <v>0.9231041187908785</v>
      </c>
      <c r="P34" s="4" t="b">
        <f t="shared" si="2"/>
        <v>1</v>
      </c>
      <c r="Q34" s="4" t="s">
        <v>23</v>
      </c>
      <c r="R34" s="4" t="s">
        <v>38</v>
      </c>
      <c r="S34" s="4" t="s">
        <v>25</v>
      </c>
      <c r="T34" s="4" t="s">
        <v>39</v>
      </c>
    </row>
    <row r="35" spans="1:20" x14ac:dyDescent="0.45">
      <c r="A35" s="4" t="s">
        <v>85</v>
      </c>
      <c r="B35" s="4" t="s">
        <v>82</v>
      </c>
      <c r="C35" s="5">
        <v>2</v>
      </c>
      <c r="D35" s="5">
        <v>423</v>
      </c>
      <c r="E35" s="5">
        <v>85</v>
      </c>
      <c r="F35" s="5">
        <v>1</v>
      </c>
      <c r="G35" s="5">
        <v>0</v>
      </c>
      <c r="H35" s="5">
        <v>422</v>
      </c>
      <c r="I35" s="6">
        <v>3</v>
      </c>
      <c r="J35" s="6">
        <v>10.8</v>
      </c>
      <c r="K35" s="6">
        <v>22</v>
      </c>
      <c r="L35" s="6">
        <v>21.9</v>
      </c>
      <c r="M35" s="4" t="str">
        <f t="shared" si="0"/>
        <v>OK</v>
      </c>
      <c r="N35" s="7">
        <f t="shared" si="1"/>
        <v>7.4774615520593959E-2</v>
      </c>
      <c r="O35" s="7">
        <f>SUMIFS($D$2:D35,$B$2:B35,B35)/SUMIFS($D$2:$D$741,$B$2:$B$741,B35)</f>
        <v>0.99787873431147256</v>
      </c>
      <c r="P35" s="4" t="b">
        <f t="shared" si="2"/>
        <v>1</v>
      </c>
      <c r="Q35" s="4" t="s">
        <v>23</v>
      </c>
      <c r="R35" s="4" t="s">
        <v>38</v>
      </c>
      <c r="S35" s="4" t="s">
        <v>25</v>
      </c>
      <c r="T35" s="4" t="s">
        <v>39</v>
      </c>
    </row>
    <row r="36" spans="1:20" x14ac:dyDescent="0.45">
      <c r="A36" s="4" t="s">
        <v>86</v>
      </c>
      <c r="B36" s="4" t="s">
        <v>82</v>
      </c>
      <c r="C36" s="5">
        <v>1</v>
      </c>
      <c r="D36" s="5">
        <v>12</v>
      </c>
      <c r="E36" s="5">
        <v>2</v>
      </c>
      <c r="F36" s="5">
        <v>0</v>
      </c>
      <c r="G36" s="5">
        <v>0</v>
      </c>
      <c r="H36" s="5">
        <v>12</v>
      </c>
      <c r="I36" s="6">
        <v>0</v>
      </c>
      <c r="J36" s="6">
        <v>0</v>
      </c>
      <c r="K36" s="6">
        <v>0</v>
      </c>
      <c r="L36" s="6">
        <v>0</v>
      </c>
      <c r="M36" s="4" t="str">
        <f t="shared" si="0"/>
        <v>OK</v>
      </c>
      <c r="N36" s="7">
        <f t="shared" si="1"/>
        <v>2.1212656885274883E-3</v>
      </c>
      <c r="O36" s="7">
        <f>SUMIFS($D$2:D36,$B$2:B36,B36)/SUMIFS($D$2:$D$741,$B$2:$B$741,B36)</f>
        <v>1</v>
      </c>
      <c r="P36" s="4" t="b">
        <f t="shared" si="2"/>
        <v>0</v>
      </c>
      <c r="Q36" s="4" t="s">
        <v>23</v>
      </c>
      <c r="R36" s="4" t="s">
        <v>30</v>
      </c>
      <c r="S36" s="4" t="s">
        <v>25</v>
      </c>
      <c r="T36" s="4" t="s">
        <v>31</v>
      </c>
    </row>
    <row r="37" spans="1:20" x14ac:dyDescent="0.45">
      <c r="A37" s="9" t="s">
        <v>87</v>
      </c>
      <c r="B37" s="9" t="s">
        <v>88</v>
      </c>
      <c r="C37" s="10">
        <v>2</v>
      </c>
      <c r="D37" s="10">
        <v>144</v>
      </c>
      <c r="E37" s="10">
        <v>33</v>
      </c>
      <c r="F37" s="10">
        <v>1</v>
      </c>
      <c r="G37" s="10">
        <v>1</v>
      </c>
      <c r="H37" s="10">
        <v>143</v>
      </c>
      <c r="I37" s="11">
        <v>1</v>
      </c>
      <c r="J37" s="11">
        <v>7.6</v>
      </c>
      <c r="K37" s="11">
        <v>7</v>
      </c>
      <c r="L37" s="11">
        <v>7</v>
      </c>
      <c r="M37" s="9" t="str">
        <f t="shared" si="0"/>
        <v>OK</v>
      </c>
      <c r="N37" s="12">
        <f t="shared" si="1"/>
        <v>1</v>
      </c>
      <c r="O37" s="12">
        <f>SUMIFS($D$2:D37,$B$2:B37,B37)/SUMIFS($D$2:$D$741,$B$2:$B$741,B37)</f>
        <v>1</v>
      </c>
      <c r="P37" s="9" t="b">
        <f t="shared" si="2"/>
        <v>1</v>
      </c>
      <c r="Q37" s="9" t="s">
        <v>23</v>
      </c>
      <c r="R37" s="9" t="s">
        <v>30</v>
      </c>
      <c r="S37" s="9" t="s">
        <v>25</v>
      </c>
      <c r="T37" s="9" t="s">
        <v>31</v>
      </c>
    </row>
    <row r="38" spans="1:20" x14ac:dyDescent="0.45">
      <c r="A38" s="9" t="s">
        <v>89</v>
      </c>
      <c r="B38" s="9" t="s">
        <v>90</v>
      </c>
      <c r="C38" s="10">
        <v>2</v>
      </c>
      <c r="D38" s="10">
        <v>507</v>
      </c>
      <c r="E38" s="10">
        <v>0</v>
      </c>
      <c r="F38" s="10">
        <v>0</v>
      </c>
      <c r="G38" s="10">
        <v>0</v>
      </c>
      <c r="H38" s="10">
        <v>507</v>
      </c>
      <c r="I38" s="11">
        <v>1</v>
      </c>
      <c r="J38" s="11">
        <v>0.9</v>
      </c>
      <c r="K38" s="11">
        <v>2</v>
      </c>
      <c r="L38" s="11">
        <v>2</v>
      </c>
      <c r="M38" s="9" t="str">
        <f t="shared" si="0"/>
        <v>OK</v>
      </c>
      <c r="N38" s="12">
        <f t="shared" si="1"/>
        <v>0.7051460361613352</v>
      </c>
      <c r="O38" s="12">
        <f>SUMIFS($D$2:D38,$B$2:B38,B38)/SUMIFS($D$2:$D$741,$B$2:$B$741,B38)</f>
        <v>0.7051460361613352</v>
      </c>
      <c r="P38" s="9" t="b">
        <f t="shared" si="2"/>
        <v>1</v>
      </c>
      <c r="Q38" s="9" t="s">
        <v>23</v>
      </c>
      <c r="R38" s="9" t="s">
        <v>91</v>
      </c>
      <c r="S38" s="9" t="s">
        <v>25</v>
      </c>
      <c r="T38" s="9" t="s">
        <v>92</v>
      </c>
    </row>
    <row r="39" spans="1:20" x14ac:dyDescent="0.45">
      <c r="A39" s="4" t="s">
        <v>93</v>
      </c>
      <c r="B39" s="4" t="s">
        <v>90</v>
      </c>
      <c r="C39" s="5">
        <v>2</v>
      </c>
      <c r="D39" s="5">
        <v>195</v>
      </c>
      <c r="E39" s="5">
        <v>0</v>
      </c>
      <c r="F39" s="5">
        <v>1</v>
      </c>
      <c r="G39" s="5">
        <v>1</v>
      </c>
      <c r="H39" s="5">
        <v>194</v>
      </c>
      <c r="I39" s="6">
        <v>1</v>
      </c>
      <c r="J39" s="6">
        <v>0.9</v>
      </c>
      <c r="K39" s="6">
        <v>2</v>
      </c>
      <c r="L39" s="6">
        <v>2</v>
      </c>
      <c r="M39" s="4" t="str">
        <f t="shared" si="0"/>
        <v>OK</v>
      </c>
      <c r="N39" s="7">
        <f t="shared" si="1"/>
        <v>0.27121001390820582</v>
      </c>
      <c r="O39" s="7">
        <f>SUMIFS($D$2:D39,$B$2:B39,B39)/SUMIFS($D$2:$D$741,$B$2:$B$741,B39)</f>
        <v>0.97635605006954107</v>
      </c>
      <c r="P39" s="4" t="b">
        <f t="shared" si="2"/>
        <v>1</v>
      </c>
      <c r="Q39" s="4" t="s">
        <v>23</v>
      </c>
      <c r="R39" s="4" t="s">
        <v>91</v>
      </c>
      <c r="S39" s="4" t="s">
        <v>25</v>
      </c>
      <c r="T39" s="4" t="s">
        <v>92</v>
      </c>
    </row>
    <row r="40" spans="1:20" x14ac:dyDescent="0.45">
      <c r="A40" s="4" t="s">
        <v>94</v>
      </c>
      <c r="B40" s="4" t="s">
        <v>90</v>
      </c>
      <c r="C40" s="5">
        <v>2</v>
      </c>
      <c r="D40" s="5">
        <v>9</v>
      </c>
      <c r="E40" s="5">
        <v>0</v>
      </c>
      <c r="F40" s="5">
        <v>0</v>
      </c>
      <c r="G40" s="5">
        <v>0</v>
      </c>
      <c r="H40" s="5">
        <v>9</v>
      </c>
      <c r="I40" s="6">
        <v>3</v>
      </c>
      <c r="J40" s="6">
        <v>12.9</v>
      </c>
      <c r="K40" s="6">
        <v>35</v>
      </c>
      <c r="L40" s="6">
        <v>34.6</v>
      </c>
      <c r="M40" s="4" t="str">
        <f t="shared" si="0"/>
        <v>OK</v>
      </c>
      <c r="N40" s="7">
        <f t="shared" si="1"/>
        <v>1.2517385257301807E-2</v>
      </c>
      <c r="O40" s="7">
        <f>SUMIFS($D$2:D40,$B$2:B40,B40)/SUMIFS($D$2:$D$741,$B$2:$B$741,B40)</f>
        <v>0.9888734353268428</v>
      </c>
      <c r="P40" s="4" t="b">
        <f t="shared" si="2"/>
        <v>0</v>
      </c>
      <c r="Q40" s="4" t="s">
        <v>23</v>
      </c>
      <c r="R40" s="4" t="s">
        <v>91</v>
      </c>
      <c r="S40" s="4" t="s">
        <v>25</v>
      </c>
      <c r="T40" s="4" t="s">
        <v>92</v>
      </c>
    </row>
    <row r="41" spans="1:20" x14ac:dyDescent="0.45">
      <c r="A41" s="4" t="s">
        <v>95</v>
      </c>
      <c r="B41" s="4" t="s">
        <v>90</v>
      </c>
      <c r="C41" s="5">
        <v>2</v>
      </c>
      <c r="D41" s="5">
        <v>8</v>
      </c>
      <c r="E41" s="5">
        <v>0</v>
      </c>
      <c r="F41" s="5">
        <v>0</v>
      </c>
      <c r="G41" s="5">
        <v>0</v>
      </c>
      <c r="H41" s="5">
        <v>8</v>
      </c>
      <c r="I41" s="6">
        <v>4.5</v>
      </c>
      <c r="J41" s="6">
        <v>4.4000000000000004</v>
      </c>
      <c r="K41" s="6">
        <v>7</v>
      </c>
      <c r="L41" s="6">
        <v>7.2</v>
      </c>
      <c r="M41" s="4" t="str">
        <f t="shared" si="0"/>
        <v>OK</v>
      </c>
      <c r="N41" s="7">
        <f t="shared" si="1"/>
        <v>1.1126564673157162E-2</v>
      </c>
      <c r="O41" s="7">
        <f>SUMIFS($D$2:D41,$B$2:B41,B41)/SUMIFS($D$2:$D$741,$B$2:$B$741,B41)</f>
        <v>1</v>
      </c>
      <c r="P41" s="4" t="b">
        <f t="shared" si="2"/>
        <v>0</v>
      </c>
      <c r="Q41" s="4" t="s">
        <v>23</v>
      </c>
      <c r="R41" s="4" t="s">
        <v>75</v>
      </c>
      <c r="S41" s="4" t="s">
        <v>25</v>
      </c>
      <c r="T41" s="4" t="s">
        <v>76</v>
      </c>
    </row>
    <row r="42" spans="1:20" x14ac:dyDescent="0.45">
      <c r="A42" s="9" t="s">
        <v>96</v>
      </c>
      <c r="B42" s="9" t="s">
        <v>97</v>
      </c>
      <c r="C42" s="10">
        <v>1</v>
      </c>
      <c r="D42" s="10">
        <v>2</v>
      </c>
      <c r="E42" s="10">
        <v>0</v>
      </c>
      <c r="F42" s="10">
        <v>0</v>
      </c>
      <c r="G42" s="10">
        <v>0</v>
      </c>
      <c r="H42" s="10">
        <v>2</v>
      </c>
      <c r="I42" s="11">
        <v>3</v>
      </c>
      <c r="J42" s="11">
        <v>3</v>
      </c>
      <c r="K42" s="11">
        <v>5</v>
      </c>
      <c r="L42" s="11">
        <v>4.5999999999999996</v>
      </c>
      <c r="M42" s="9" t="str">
        <f t="shared" si="0"/>
        <v>OK</v>
      </c>
      <c r="N42" s="12">
        <f t="shared" si="1"/>
        <v>1</v>
      </c>
      <c r="O42" s="12">
        <f>SUMIFS($D$2:D42,$B$2:B42,B42)/SUMIFS($D$2:$D$741,$B$2:$B$741,B42)</f>
        <v>1</v>
      </c>
      <c r="P42" s="9" t="b">
        <f t="shared" si="2"/>
        <v>1</v>
      </c>
      <c r="Q42" s="9" t="s">
        <v>23</v>
      </c>
      <c r="R42" s="9" t="s">
        <v>30</v>
      </c>
      <c r="S42" s="9" t="s">
        <v>25</v>
      </c>
      <c r="T42" s="9" t="s">
        <v>31</v>
      </c>
    </row>
    <row r="43" spans="1:20" x14ac:dyDescent="0.45">
      <c r="A43" s="9" t="s">
        <v>98</v>
      </c>
      <c r="B43" s="9" t="s">
        <v>99</v>
      </c>
      <c r="C43" s="10">
        <v>1</v>
      </c>
      <c r="D43" s="10">
        <v>17433</v>
      </c>
      <c r="E43" s="10">
        <v>3276</v>
      </c>
      <c r="F43" s="10">
        <v>214</v>
      </c>
      <c r="G43" s="10">
        <v>74</v>
      </c>
      <c r="H43" s="10">
        <v>17218</v>
      </c>
      <c r="I43" s="11">
        <v>6</v>
      </c>
      <c r="J43" s="11">
        <v>21</v>
      </c>
      <c r="K43" s="11">
        <v>43</v>
      </c>
      <c r="L43" s="11">
        <v>43</v>
      </c>
      <c r="M43" s="9" t="str">
        <f t="shared" si="0"/>
        <v>OK</v>
      </c>
      <c r="N43" s="12">
        <f t="shared" si="1"/>
        <v>0.3685389932985223</v>
      </c>
      <c r="O43" s="12">
        <f>SUMIFS($D$2:D43,$B$2:B43,B43)/SUMIFS($D$2:$D$741,$B$2:$B$741,B43)</f>
        <v>0.3685389932985223</v>
      </c>
      <c r="P43" s="9" t="b">
        <f t="shared" si="2"/>
        <v>1</v>
      </c>
      <c r="Q43" s="9" t="s">
        <v>23</v>
      </c>
      <c r="R43" s="9" t="s">
        <v>100</v>
      </c>
      <c r="S43" s="9" t="s">
        <v>25</v>
      </c>
      <c r="T43" s="9" t="s">
        <v>101</v>
      </c>
    </row>
    <row r="44" spans="1:20" x14ac:dyDescent="0.45">
      <c r="A44" s="4" t="s">
        <v>102</v>
      </c>
      <c r="B44" s="4" t="s">
        <v>99</v>
      </c>
      <c r="C44" s="5">
        <v>1</v>
      </c>
      <c r="D44" s="5">
        <v>4895</v>
      </c>
      <c r="E44" s="5">
        <v>1060</v>
      </c>
      <c r="F44" s="5">
        <v>29</v>
      </c>
      <c r="G44" s="5">
        <v>11</v>
      </c>
      <c r="H44" s="5">
        <v>4866</v>
      </c>
      <c r="I44" s="6">
        <v>2</v>
      </c>
      <c r="J44" s="6">
        <v>8.9</v>
      </c>
      <c r="K44" s="6">
        <v>10</v>
      </c>
      <c r="L44" s="6">
        <v>10</v>
      </c>
      <c r="M44" s="4" t="str">
        <f t="shared" si="0"/>
        <v>OK</v>
      </c>
      <c r="N44" s="7">
        <f t="shared" si="1"/>
        <v>0.1034818087647718</v>
      </c>
      <c r="O44" s="7">
        <f>SUMIFS($D$2:D44,$B$2:B44,B44)/SUMIFS($D$2:$D$741,$B$2:$B$741,B44)</f>
        <v>0.47202080206329411</v>
      </c>
      <c r="P44" s="4" t="b">
        <f t="shared" si="2"/>
        <v>1</v>
      </c>
      <c r="Q44" s="4" t="s">
        <v>23</v>
      </c>
      <c r="R44" s="4" t="s">
        <v>30</v>
      </c>
      <c r="S44" s="4" t="s">
        <v>25</v>
      </c>
      <c r="T44" s="4" t="s">
        <v>31</v>
      </c>
    </row>
    <row r="45" spans="1:20" x14ac:dyDescent="0.45">
      <c r="A45" s="4" t="s">
        <v>103</v>
      </c>
      <c r="B45" s="4" t="s">
        <v>99</v>
      </c>
      <c r="C45" s="5">
        <v>1</v>
      </c>
      <c r="D45" s="5">
        <v>4150</v>
      </c>
      <c r="E45" s="5">
        <v>948</v>
      </c>
      <c r="F45" s="5">
        <v>38</v>
      </c>
      <c r="G45" s="5">
        <v>11</v>
      </c>
      <c r="H45" s="5">
        <v>4112</v>
      </c>
      <c r="I45" s="6">
        <v>8</v>
      </c>
      <c r="J45" s="6">
        <v>16.8</v>
      </c>
      <c r="K45" s="6">
        <v>35</v>
      </c>
      <c r="L45" s="6">
        <v>35</v>
      </c>
      <c r="M45" s="4" t="str">
        <f t="shared" si="0"/>
        <v>OK</v>
      </c>
      <c r="N45" s="7">
        <f t="shared" si="1"/>
        <v>8.7732279136629815E-2</v>
      </c>
      <c r="O45" s="7">
        <f>SUMIFS($D$2:D45,$B$2:B45,B45)/SUMIFS($D$2:$D$741,$B$2:$B$741,B45)</f>
        <v>0.55975308119992384</v>
      </c>
      <c r="P45" s="4" t="b">
        <f t="shared" si="2"/>
        <v>1</v>
      </c>
      <c r="Q45" s="4" t="s">
        <v>23</v>
      </c>
      <c r="R45" s="4" t="s">
        <v>100</v>
      </c>
      <c r="S45" s="4" t="s">
        <v>25</v>
      </c>
      <c r="T45" s="4" t="s">
        <v>101</v>
      </c>
    </row>
    <row r="46" spans="1:20" x14ac:dyDescent="0.45">
      <c r="A46" s="4" t="s">
        <v>104</v>
      </c>
      <c r="B46" s="4" t="s">
        <v>99</v>
      </c>
      <c r="C46" s="5">
        <v>1</v>
      </c>
      <c r="D46" s="5">
        <v>3123</v>
      </c>
      <c r="E46" s="5">
        <v>715</v>
      </c>
      <c r="F46" s="5">
        <v>10</v>
      </c>
      <c r="G46" s="5">
        <v>3</v>
      </c>
      <c r="H46" s="5">
        <v>3113</v>
      </c>
      <c r="I46" s="6">
        <v>1</v>
      </c>
      <c r="J46" s="6">
        <v>4.5999999999999996</v>
      </c>
      <c r="K46" s="6">
        <v>6</v>
      </c>
      <c r="L46" s="6">
        <v>6</v>
      </c>
      <c r="M46" s="4" t="str">
        <f t="shared" si="0"/>
        <v>OK</v>
      </c>
      <c r="N46" s="7">
        <f t="shared" si="1"/>
        <v>6.6021182588842139E-2</v>
      </c>
      <c r="O46" s="7">
        <f>SUMIFS($D$2:D46,$B$2:B46,B46)/SUMIFS($D$2:$D$741,$B$2:$B$741,B46)</f>
        <v>0.62577426378876599</v>
      </c>
      <c r="P46" s="4" t="b">
        <f t="shared" si="2"/>
        <v>1</v>
      </c>
      <c r="Q46" s="4" t="s">
        <v>23</v>
      </c>
      <c r="R46" s="4" t="s">
        <v>105</v>
      </c>
      <c r="S46" s="4" t="s">
        <v>25</v>
      </c>
      <c r="T46" s="4" t="s">
        <v>106</v>
      </c>
    </row>
    <row r="47" spans="1:20" x14ac:dyDescent="0.45">
      <c r="A47" s="4" t="s">
        <v>107</v>
      </c>
      <c r="B47" s="4" t="s">
        <v>99</v>
      </c>
      <c r="C47" s="5">
        <v>1</v>
      </c>
      <c r="D47" s="5">
        <v>2106</v>
      </c>
      <c r="E47" s="5">
        <v>378</v>
      </c>
      <c r="F47" s="5">
        <v>132</v>
      </c>
      <c r="G47" s="5">
        <v>77</v>
      </c>
      <c r="H47" s="5">
        <v>1974</v>
      </c>
      <c r="I47" s="6">
        <v>43</v>
      </c>
      <c r="J47" s="6">
        <v>73.599999999999994</v>
      </c>
      <c r="K47" s="6">
        <v>169</v>
      </c>
      <c r="L47" s="6">
        <v>169</v>
      </c>
      <c r="M47" s="4" t="str">
        <f t="shared" si="0"/>
        <v>OK</v>
      </c>
      <c r="N47" s="7">
        <f t="shared" si="1"/>
        <v>4.4521489123311421E-2</v>
      </c>
      <c r="O47" s="7">
        <f>SUMIFS($D$2:D47,$B$2:B47,B47)/SUMIFS($D$2:$D$741,$B$2:$B$741,B47)</f>
        <v>0.67029575291207744</v>
      </c>
      <c r="P47" s="4" t="b">
        <f t="shared" si="2"/>
        <v>1</v>
      </c>
      <c r="Q47" s="4" t="s">
        <v>23</v>
      </c>
      <c r="R47" s="4" t="s">
        <v>100</v>
      </c>
      <c r="S47" s="4" t="s">
        <v>25</v>
      </c>
      <c r="T47" s="4" t="s">
        <v>101</v>
      </c>
    </row>
    <row r="48" spans="1:20" x14ac:dyDescent="0.45">
      <c r="A48" s="4" t="s">
        <v>108</v>
      </c>
      <c r="B48" s="4" t="s">
        <v>99</v>
      </c>
      <c r="C48" s="5">
        <v>1</v>
      </c>
      <c r="D48" s="5">
        <v>1692</v>
      </c>
      <c r="E48" s="5">
        <v>503</v>
      </c>
      <c r="F48" s="5">
        <v>18</v>
      </c>
      <c r="G48" s="5">
        <v>9</v>
      </c>
      <c r="H48" s="5">
        <v>1674</v>
      </c>
      <c r="I48" s="6">
        <v>3</v>
      </c>
      <c r="J48" s="6">
        <v>13.6</v>
      </c>
      <c r="K48" s="6">
        <v>33</v>
      </c>
      <c r="L48" s="6">
        <v>33</v>
      </c>
      <c r="M48" s="4" t="str">
        <f t="shared" si="0"/>
        <v>OK</v>
      </c>
      <c r="N48" s="7">
        <f t="shared" si="1"/>
        <v>3.5769401517874132E-2</v>
      </c>
      <c r="O48" s="7">
        <f>SUMIFS($D$2:D48,$B$2:B48,B48)/SUMIFS($D$2:$D$741,$B$2:$B$741,B48)</f>
        <v>0.70606515442995155</v>
      </c>
      <c r="P48" s="4" t="b">
        <f t="shared" si="2"/>
        <v>1</v>
      </c>
      <c r="Q48" s="4" t="s">
        <v>23</v>
      </c>
      <c r="R48" s="4" t="s">
        <v>100</v>
      </c>
      <c r="S48" s="4" t="s">
        <v>109</v>
      </c>
      <c r="T48" s="4" t="s">
        <v>110</v>
      </c>
    </row>
    <row r="49" spans="1:20" x14ac:dyDescent="0.45">
      <c r="A49" s="4" t="s">
        <v>111</v>
      </c>
      <c r="B49" s="4" t="s">
        <v>99</v>
      </c>
      <c r="C49" s="5">
        <v>1</v>
      </c>
      <c r="D49" s="5">
        <v>1553</v>
      </c>
      <c r="E49" s="5">
        <v>408</v>
      </c>
      <c r="F49" s="5">
        <v>320</v>
      </c>
      <c r="G49" s="5">
        <v>243</v>
      </c>
      <c r="H49" s="5">
        <v>1233</v>
      </c>
      <c r="I49" s="6">
        <v>50</v>
      </c>
      <c r="J49" s="6">
        <v>57.8</v>
      </c>
      <c r="K49" s="6">
        <v>112</v>
      </c>
      <c r="L49" s="6">
        <v>111.8</v>
      </c>
      <c r="M49" s="4" t="str">
        <f t="shared" si="0"/>
        <v>OK</v>
      </c>
      <c r="N49" s="7">
        <f t="shared" si="1"/>
        <v>3.2830898674502673E-2</v>
      </c>
      <c r="O49" s="7">
        <f>SUMIFS($D$2:D49,$B$2:B49,B49)/SUMIFS($D$2:$D$741,$B$2:$B$741,B49)</f>
        <v>0.73889605310445428</v>
      </c>
      <c r="P49" s="4" t="b">
        <f t="shared" si="2"/>
        <v>1</v>
      </c>
      <c r="Q49" s="4" t="s">
        <v>23</v>
      </c>
      <c r="R49" s="4" t="s">
        <v>30</v>
      </c>
      <c r="S49" s="4" t="s">
        <v>25</v>
      </c>
      <c r="T49" s="4" t="s">
        <v>31</v>
      </c>
    </row>
    <row r="50" spans="1:20" x14ac:dyDescent="0.45">
      <c r="A50" s="4" t="s">
        <v>112</v>
      </c>
      <c r="B50" s="4" t="s">
        <v>99</v>
      </c>
      <c r="C50" s="5">
        <v>1</v>
      </c>
      <c r="D50" s="5">
        <v>1462</v>
      </c>
      <c r="E50" s="5">
        <v>385</v>
      </c>
      <c r="F50" s="5">
        <v>15</v>
      </c>
      <c r="G50" s="5">
        <v>4</v>
      </c>
      <c r="H50" s="5">
        <v>1447</v>
      </c>
      <c r="I50" s="6">
        <v>10</v>
      </c>
      <c r="J50" s="6">
        <v>14.5</v>
      </c>
      <c r="K50" s="6">
        <v>32</v>
      </c>
      <c r="L50" s="6">
        <v>32</v>
      </c>
      <c r="M50" s="4" t="str">
        <f t="shared" si="0"/>
        <v>OK</v>
      </c>
      <c r="N50" s="7">
        <f t="shared" si="1"/>
        <v>3.0907130625964528E-2</v>
      </c>
      <c r="O50" s="7">
        <f>SUMIFS($D$2:D50,$B$2:B50,B50)/SUMIFS($D$2:$D$741,$B$2:$B$741,B50)</f>
        <v>0.76980318373041878</v>
      </c>
      <c r="P50" s="4" t="b">
        <f t="shared" si="2"/>
        <v>1</v>
      </c>
      <c r="Q50" s="4" t="s">
        <v>23</v>
      </c>
      <c r="R50" s="4" t="s">
        <v>100</v>
      </c>
      <c r="S50" s="4" t="s">
        <v>25</v>
      </c>
      <c r="T50" s="4" t="s">
        <v>101</v>
      </c>
    </row>
    <row r="51" spans="1:20" x14ac:dyDescent="0.45">
      <c r="A51" s="4" t="s">
        <v>113</v>
      </c>
      <c r="B51" s="4" t="s">
        <v>99</v>
      </c>
      <c r="C51" s="5">
        <v>1</v>
      </c>
      <c r="D51" s="5">
        <v>1461</v>
      </c>
      <c r="E51" s="5">
        <v>729</v>
      </c>
      <c r="F51" s="5">
        <v>36</v>
      </c>
      <c r="G51" s="5">
        <v>7</v>
      </c>
      <c r="H51" s="5">
        <v>1425</v>
      </c>
      <c r="I51" s="6">
        <v>5</v>
      </c>
      <c r="J51" s="6">
        <v>18</v>
      </c>
      <c r="K51" s="6">
        <v>47</v>
      </c>
      <c r="L51" s="6">
        <v>47</v>
      </c>
      <c r="M51" s="4" t="str">
        <f t="shared" si="0"/>
        <v>OK</v>
      </c>
      <c r="N51" s="7">
        <f t="shared" si="1"/>
        <v>3.0885990317738834E-2</v>
      </c>
      <c r="O51" s="7">
        <f>SUMIFS($D$2:D51,$B$2:B51,B51)/SUMIFS($D$2:$D$741,$B$2:$B$741,B51)</f>
        <v>0.80068917404815765</v>
      </c>
      <c r="P51" s="4" t="b">
        <f t="shared" si="2"/>
        <v>1</v>
      </c>
      <c r="Q51" s="4" t="s">
        <v>23</v>
      </c>
      <c r="R51" s="4" t="s">
        <v>30</v>
      </c>
      <c r="S51" s="4" t="s">
        <v>25</v>
      </c>
      <c r="T51" s="4" t="s">
        <v>31</v>
      </c>
    </row>
    <row r="52" spans="1:20" x14ac:dyDescent="0.45">
      <c r="A52" s="4" t="s">
        <v>114</v>
      </c>
      <c r="B52" s="4" t="s">
        <v>99</v>
      </c>
      <c r="C52" s="5">
        <v>1</v>
      </c>
      <c r="D52" s="5">
        <v>1270</v>
      </c>
      <c r="E52" s="5">
        <v>359</v>
      </c>
      <c r="F52" s="5">
        <v>167</v>
      </c>
      <c r="G52" s="5">
        <v>103</v>
      </c>
      <c r="H52" s="5">
        <v>1103</v>
      </c>
      <c r="I52" s="6">
        <v>21</v>
      </c>
      <c r="J52" s="6">
        <v>33.700000000000003</v>
      </c>
      <c r="K52" s="6">
        <v>65</v>
      </c>
      <c r="L52" s="6">
        <v>65</v>
      </c>
      <c r="M52" s="4" t="str">
        <f t="shared" si="0"/>
        <v>OK</v>
      </c>
      <c r="N52" s="7">
        <f t="shared" si="1"/>
        <v>2.6848191446631291E-2</v>
      </c>
      <c r="O52" s="7">
        <f>SUMIFS($D$2:D52,$B$2:B52,B52)/SUMIFS($D$2:$D$741,$B$2:$B$741,B52)</f>
        <v>0.82753736549478896</v>
      </c>
      <c r="P52" s="4" t="b">
        <f t="shared" si="2"/>
        <v>1</v>
      </c>
      <c r="Q52" s="4" t="s">
        <v>23</v>
      </c>
      <c r="R52" s="4" t="s">
        <v>30</v>
      </c>
      <c r="S52" s="4" t="s">
        <v>25</v>
      </c>
      <c r="T52" s="4" t="s">
        <v>31</v>
      </c>
    </row>
    <row r="53" spans="1:20" x14ac:dyDescent="0.45">
      <c r="A53" s="4" t="s">
        <v>115</v>
      </c>
      <c r="B53" s="4" t="s">
        <v>99</v>
      </c>
      <c r="C53" s="5">
        <v>1</v>
      </c>
      <c r="D53" s="5">
        <v>1260</v>
      </c>
      <c r="E53" s="5">
        <v>302</v>
      </c>
      <c r="F53" s="5">
        <v>33</v>
      </c>
      <c r="G53" s="5">
        <v>3</v>
      </c>
      <c r="H53" s="5">
        <v>1227</v>
      </c>
      <c r="I53" s="6">
        <v>11</v>
      </c>
      <c r="J53" s="6">
        <v>22.9</v>
      </c>
      <c r="K53" s="6">
        <v>44</v>
      </c>
      <c r="L53" s="6">
        <v>44</v>
      </c>
      <c r="M53" s="4" t="str">
        <f t="shared" si="0"/>
        <v>OK</v>
      </c>
      <c r="N53" s="7">
        <f t="shared" si="1"/>
        <v>2.6636788364374352E-2</v>
      </c>
      <c r="O53" s="7">
        <f>SUMIFS($D$2:D53,$B$2:B53,B53)/SUMIFS($D$2:$D$741,$B$2:$B$741,B53)</f>
        <v>0.85417415385916329</v>
      </c>
      <c r="P53" s="4" t="b">
        <f t="shared" si="2"/>
        <v>1</v>
      </c>
      <c r="Q53" s="4" t="s">
        <v>23</v>
      </c>
      <c r="R53" s="4" t="s">
        <v>24</v>
      </c>
      <c r="S53" s="4" t="s">
        <v>25</v>
      </c>
      <c r="T53" s="4" t="s">
        <v>26</v>
      </c>
    </row>
    <row r="54" spans="1:20" x14ac:dyDescent="0.45">
      <c r="A54" s="4" t="s">
        <v>116</v>
      </c>
      <c r="B54" s="4" t="s">
        <v>99</v>
      </c>
      <c r="C54" s="5">
        <v>1</v>
      </c>
      <c r="D54" s="5">
        <v>902</v>
      </c>
      <c r="E54" s="5">
        <v>248</v>
      </c>
      <c r="F54" s="5">
        <v>39</v>
      </c>
      <c r="G54" s="5">
        <v>36</v>
      </c>
      <c r="H54" s="5">
        <v>863</v>
      </c>
      <c r="I54" s="6">
        <v>3</v>
      </c>
      <c r="J54" s="6">
        <v>5.2</v>
      </c>
      <c r="K54" s="6">
        <v>12</v>
      </c>
      <c r="L54" s="6">
        <v>12</v>
      </c>
      <c r="M54" s="4" t="str">
        <f t="shared" si="0"/>
        <v>OK</v>
      </c>
      <c r="N54" s="7">
        <f t="shared" si="1"/>
        <v>1.9068558019575927E-2</v>
      </c>
      <c r="O54" s="7">
        <f>SUMIFS($D$2:D54,$B$2:B54,B54)/SUMIFS($D$2:$D$741,$B$2:$B$741,B54)</f>
        <v>0.87324271187873914</v>
      </c>
      <c r="P54" s="4" t="b">
        <f t="shared" si="2"/>
        <v>1</v>
      </c>
      <c r="Q54" s="4" t="s">
        <v>23</v>
      </c>
      <c r="R54" s="4" t="s">
        <v>24</v>
      </c>
      <c r="S54" s="4" t="s">
        <v>25</v>
      </c>
      <c r="T54" s="4" t="s">
        <v>26</v>
      </c>
    </row>
    <row r="55" spans="1:20" x14ac:dyDescent="0.45">
      <c r="A55" s="4" t="s">
        <v>117</v>
      </c>
      <c r="B55" s="4" t="s">
        <v>99</v>
      </c>
      <c r="C55" s="5">
        <v>1</v>
      </c>
      <c r="D55" s="5">
        <v>650</v>
      </c>
      <c r="E55" s="5">
        <v>233</v>
      </c>
      <c r="F55" s="5">
        <v>5</v>
      </c>
      <c r="G55" s="5">
        <v>1</v>
      </c>
      <c r="H55" s="5">
        <v>645</v>
      </c>
      <c r="I55" s="6">
        <v>13</v>
      </c>
      <c r="J55" s="6">
        <v>19.7</v>
      </c>
      <c r="K55" s="6">
        <v>34</v>
      </c>
      <c r="L55" s="6">
        <v>34</v>
      </c>
      <c r="M55" s="4" t="str">
        <f t="shared" si="0"/>
        <v>OK</v>
      </c>
      <c r="N55" s="7">
        <f t="shared" si="1"/>
        <v>1.3741200346701055E-2</v>
      </c>
      <c r="O55" s="7">
        <f>SUMIFS($D$2:D55,$B$2:B55,B55)/SUMIFS($D$2:$D$741,$B$2:$B$741,B55)</f>
        <v>0.88698391222544026</v>
      </c>
      <c r="P55" s="4" t="b">
        <f t="shared" si="2"/>
        <v>1</v>
      </c>
      <c r="Q55" s="4" t="s">
        <v>23</v>
      </c>
      <c r="R55" s="4" t="s">
        <v>100</v>
      </c>
      <c r="S55" s="4" t="s">
        <v>25</v>
      </c>
      <c r="T55" s="4" t="s">
        <v>101</v>
      </c>
    </row>
    <row r="56" spans="1:20" x14ac:dyDescent="0.45">
      <c r="A56" s="4" t="s">
        <v>118</v>
      </c>
      <c r="B56" s="4" t="s">
        <v>99</v>
      </c>
      <c r="C56" s="5">
        <v>1</v>
      </c>
      <c r="D56" s="5">
        <v>601</v>
      </c>
      <c r="E56" s="5">
        <v>127</v>
      </c>
      <c r="F56" s="5">
        <v>4</v>
      </c>
      <c r="G56" s="5">
        <v>0</v>
      </c>
      <c r="H56" s="5">
        <v>597</v>
      </c>
      <c r="I56" s="6">
        <v>10</v>
      </c>
      <c r="J56" s="6">
        <v>15</v>
      </c>
      <c r="K56" s="6">
        <v>31</v>
      </c>
      <c r="L56" s="6">
        <v>31</v>
      </c>
      <c r="M56" s="4" t="str">
        <f t="shared" si="0"/>
        <v>OK</v>
      </c>
      <c r="N56" s="7">
        <f t="shared" si="1"/>
        <v>1.2705325243642053E-2</v>
      </c>
      <c r="O56" s="7">
        <f>SUMIFS($D$2:D56,$B$2:B56,B56)/SUMIFS($D$2:$D$741,$B$2:$B$741,B56)</f>
        <v>0.89968923746908225</v>
      </c>
      <c r="P56" s="4" t="b">
        <f t="shared" si="2"/>
        <v>1</v>
      </c>
      <c r="Q56" s="4" t="s">
        <v>23</v>
      </c>
      <c r="R56" s="4" t="s">
        <v>100</v>
      </c>
      <c r="S56" s="4" t="s">
        <v>25</v>
      </c>
      <c r="T56" s="4" t="s">
        <v>101</v>
      </c>
    </row>
    <row r="57" spans="1:20" x14ac:dyDescent="0.45">
      <c r="A57" s="4" t="s">
        <v>119</v>
      </c>
      <c r="B57" s="4" t="s">
        <v>99</v>
      </c>
      <c r="C57" s="5">
        <v>1</v>
      </c>
      <c r="D57" s="5">
        <v>524</v>
      </c>
      <c r="E57" s="5">
        <v>102</v>
      </c>
      <c r="F57" s="5">
        <v>8</v>
      </c>
      <c r="G57" s="5">
        <v>2</v>
      </c>
      <c r="H57" s="5">
        <v>516</v>
      </c>
      <c r="I57" s="6">
        <v>6</v>
      </c>
      <c r="J57" s="6">
        <v>14.3</v>
      </c>
      <c r="K57" s="6">
        <v>24</v>
      </c>
      <c r="L57" s="6">
        <v>23.5</v>
      </c>
      <c r="M57" s="4" t="str">
        <f t="shared" si="0"/>
        <v>OK</v>
      </c>
      <c r="N57" s="7">
        <f t="shared" si="1"/>
        <v>1.1077521510263619E-2</v>
      </c>
      <c r="O57" s="7">
        <f>SUMIFS($D$2:D57,$B$2:B57,B57)/SUMIFS($D$2:$D$741,$B$2:$B$741,B57)</f>
        <v>0.91076675897934589</v>
      </c>
      <c r="P57" s="4" t="b">
        <f t="shared" si="2"/>
        <v>1</v>
      </c>
      <c r="Q57" s="4" t="s">
        <v>23</v>
      </c>
      <c r="R57" s="4" t="s">
        <v>100</v>
      </c>
      <c r="S57" s="4" t="s">
        <v>25</v>
      </c>
      <c r="T57" s="4" t="s">
        <v>101</v>
      </c>
    </row>
    <row r="58" spans="1:20" x14ac:dyDescent="0.45">
      <c r="A58" s="4" t="s">
        <v>120</v>
      </c>
      <c r="B58" s="4" t="s">
        <v>99</v>
      </c>
      <c r="C58" s="5">
        <v>1</v>
      </c>
      <c r="D58" s="5">
        <v>483</v>
      </c>
      <c r="E58" s="5">
        <v>13</v>
      </c>
      <c r="F58" s="5">
        <v>0</v>
      </c>
      <c r="G58" s="5">
        <v>0</v>
      </c>
      <c r="H58" s="5">
        <v>483</v>
      </c>
      <c r="I58" s="6">
        <v>1</v>
      </c>
      <c r="J58" s="6">
        <v>3.4</v>
      </c>
      <c r="K58" s="6">
        <v>6</v>
      </c>
      <c r="L58" s="6">
        <v>6</v>
      </c>
      <c r="M58" s="4" t="str">
        <f t="shared" si="0"/>
        <v>OK</v>
      </c>
      <c r="N58" s="7">
        <f t="shared" si="1"/>
        <v>1.0210768873010168E-2</v>
      </c>
      <c r="O58" s="7">
        <f>SUMIFS($D$2:D58,$B$2:B58,B58)/SUMIFS($D$2:$D$741,$B$2:$B$741,B58)</f>
        <v>0.92097752785235609</v>
      </c>
      <c r="P58" s="4" t="b">
        <f t="shared" si="2"/>
        <v>1</v>
      </c>
      <c r="Q58" s="4" t="s">
        <v>23</v>
      </c>
      <c r="R58" s="4" t="s">
        <v>38</v>
      </c>
      <c r="S58" s="4" t="s">
        <v>25</v>
      </c>
      <c r="T58" s="4" t="s">
        <v>39</v>
      </c>
    </row>
    <row r="59" spans="1:20" x14ac:dyDescent="0.45">
      <c r="A59" s="4" t="s">
        <v>121</v>
      </c>
      <c r="B59" s="4" t="s">
        <v>99</v>
      </c>
      <c r="C59" s="5">
        <v>1</v>
      </c>
      <c r="D59" s="5">
        <v>473</v>
      </c>
      <c r="E59" s="5">
        <v>0</v>
      </c>
      <c r="F59" s="5">
        <v>4</v>
      </c>
      <c r="G59" s="5">
        <v>4</v>
      </c>
      <c r="H59" s="5">
        <v>469</v>
      </c>
      <c r="I59" s="6">
        <v>2</v>
      </c>
      <c r="J59" s="6">
        <v>2.9</v>
      </c>
      <c r="K59" s="6">
        <v>6</v>
      </c>
      <c r="L59" s="6">
        <v>6</v>
      </c>
      <c r="M59" s="4" t="str">
        <f t="shared" si="0"/>
        <v>OK</v>
      </c>
      <c r="N59" s="7">
        <f t="shared" si="1"/>
        <v>9.9993657907532299E-3</v>
      </c>
      <c r="O59" s="7">
        <f>SUMIFS($D$2:D59,$B$2:B59,B59)/SUMIFS($D$2:$D$741,$B$2:$B$741,B59)</f>
        <v>0.93097689364310932</v>
      </c>
      <c r="P59" s="4" t="b">
        <f t="shared" si="2"/>
        <v>1</v>
      </c>
      <c r="Q59" s="4" t="s">
        <v>23</v>
      </c>
      <c r="R59" s="4" t="s">
        <v>30</v>
      </c>
      <c r="S59" s="4" t="s">
        <v>25</v>
      </c>
      <c r="T59" s="4" t="s">
        <v>31</v>
      </c>
    </row>
    <row r="60" spans="1:20" x14ac:dyDescent="0.45">
      <c r="A60" s="4" t="s">
        <v>122</v>
      </c>
      <c r="B60" s="4" t="s">
        <v>99</v>
      </c>
      <c r="C60" s="5">
        <v>1</v>
      </c>
      <c r="D60" s="5">
        <v>406</v>
      </c>
      <c r="E60" s="5">
        <v>0</v>
      </c>
      <c r="F60" s="5">
        <v>0</v>
      </c>
      <c r="G60" s="5">
        <v>0</v>
      </c>
      <c r="H60" s="5">
        <v>406</v>
      </c>
      <c r="I60" s="6">
        <v>27</v>
      </c>
      <c r="J60" s="6">
        <v>33.4</v>
      </c>
      <c r="K60" s="6">
        <v>68</v>
      </c>
      <c r="L60" s="6">
        <v>68</v>
      </c>
      <c r="M60" s="4" t="str">
        <f t="shared" si="0"/>
        <v>OK</v>
      </c>
      <c r="N60" s="7">
        <f t="shared" si="1"/>
        <v>8.5829651396317364E-3</v>
      </c>
      <c r="O60" s="7">
        <f>SUMIFS($D$2:D60,$B$2:B60,B60)/SUMIFS($D$2:$D$741,$B$2:$B$741,B60)</f>
        <v>0.93955985878274106</v>
      </c>
      <c r="P60" s="4" t="b">
        <f t="shared" si="2"/>
        <v>1</v>
      </c>
      <c r="Q60" s="4" t="s">
        <v>23</v>
      </c>
      <c r="R60" s="4" t="s">
        <v>105</v>
      </c>
      <c r="S60" s="4" t="s">
        <v>25</v>
      </c>
      <c r="T60" s="4" t="s">
        <v>106</v>
      </c>
    </row>
    <row r="61" spans="1:20" x14ac:dyDescent="0.45">
      <c r="A61" s="4" t="s">
        <v>123</v>
      </c>
      <c r="B61" s="4" t="s">
        <v>99</v>
      </c>
      <c r="C61" s="5">
        <v>1</v>
      </c>
      <c r="D61" s="5">
        <v>398</v>
      </c>
      <c r="E61" s="5">
        <v>100</v>
      </c>
      <c r="F61" s="5">
        <v>1</v>
      </c>
      <c r="G61" s="5">
        <v>0</v>
      </c>
      <c r="H61" s="5">
        <v>397</v>
      </c>
      <c r="I61" s="6">
        <v>5</v>
      </c>
      <c r="J61" s="6">
        <v>14.3</v>
      </c>
      <c r="K61" s="6">
        <v>28</v>
      </c>
      <c r="L61" s="6">
        <v>28</v>
      </c>
      <c r="M61" s="4" t="str">
        <f t="shared" si="0"/>
        <v>OK</v>
      </c>
      <c r="N61" s="7">
        <f t="shared" si="1"/>
        <v>8.4138426738261836E-3</v>
      </c>
      <c r="O61" s="7">
        <f>SUMIFS($D$2:D61,$B$2:B61,B61)/SUMIFS($D$2:$D$741,$B$2:$B$741,B61)</f>
        <v>0.94797370145656723</v>
      </c>
      <c r="P61" s="4" t="b">
        <f t="shared" si="2"/>
        <v>1</v>
      </c>
      <c r="Q61" s="4" t="s">
        <v>23</v>
      </c>
      <c r="R61" s="4" t="s">
        <v>100</v>
      </c>
      <c r="S61" s="4" t="s">
        <v>25</v>
      </c>
      <c r="T61" s="4" t="s">
        <v>101</v>
      </c>
    </row>
    <row r="62" spans="1:20" x14ac:dyDescent="0.45">
      <c r="A62" s="4" t="s">
        <v>124</v>
      </c>
      <c r="B62" s="4" t="s">
        <v>99</v>
      </c>
      <c r="C62" s="5">
        <v>1</v>
      </c>
      <c r="D62" s="5">
        <v>372</v>
      </c>
      <c r="E62" s="5">
        <v>85</v>
      </c>
      <c r="F62" s="5">
        <v>0</v>
      </c>
      <c r="G62" s="5">
        <v>0</v>
      </c>
      <c r="H62" s="5">
        <v>372</v>
      </c>
      <c r="I62" s="6">
        <v>2</v>
      </c>
      <c r="J62" s="6">
        <v>3.6</v>
      </c>
      <c r="K62" s="6">
        <v>8</v>
      </c>
      <c r="L62" s="6">
        <v>8</v>
      </c>
      <c r="M62" s="4" t="str">
        <f t="shared" si="0"/>
        <v>OK</v>
      </c>
      <c r="N62" s="7">
        <f t="shared" si="1"/>
        <v>7.8641946599581417E-3</v>
      </c>
      <c r="O62" s="7">
        <f>SUMIFS($D$2:D62,$B$2:B62,B62)/SUMIFS($D$2:$D$741,$B$2:$B$741,B62)</f>
        <v>0.95583789611652537</v>
      </c>
      <c r="P62" s="4" t="b">
        <f t="shared" si="2"/>
        <v>1</v>
      </c>
      <c r="Q62" s="4" t="s">
        <v>23</v>
      </c>
      <c r="R62" s="4" t="s">
        <v>105</v>
      </c>
      <c r="S62" s="4" t="s">
        <v>25</v>
      </c>
      <c r="T62" s="4" t="s">
        <v>106</v>
      </c>
    </row>
    <row r="63" spans="1:20" x14ac:dyDescent="0.45">
      <c r="A63" s="4" t="s">
        <v>125</v>
      </c>
      <c r="B63" s="4" t="s">
        <v>99</v>
      </c>
      <c r="C63" s="5">
        <v>1</v>
      </c>
      <c r="D63" s="5">
        <v>293</v>
      </c>
      <c r="E63" s="5">
        <v>140</v>
      </c>
      <c r="F63" s="5">
        <v>43</v>
      </c>
      <c r="G63" s="5">
        <v>7</v>
      </c>
      <c r="H63" s="5">
        <v>250</v>
      </c>
      <c r="I63" s="6">
        <v>60.5</v>
      </c>
      <c r="J63" s="6">
        <v>65.599999999999994</v>
      </c>
      <c r="K63" s="6">
        <v>120</v>
      </c>
      <c r="L63" s="6">
        <v>120</v>
      </c>
      <c r="M63" s="4" t="str">
        <f t="shared" si="0"/>
        <v>OK</v>
      </c>
      <c r="N63" s="7">
        <f t="shared" si="1"/>
        <v>6.1941103101283215E-3</v>
      </c>
      <c r="O63" s="7">
        <f>SUMIFS($D$2:D63,$B$2:B63,B63)/SUMIFS($D$2:$D$741,$B$2:$B$741,B63)</f>
        <v>0.96203200642665365</v>
      </c>
      <c r="P63" s="4" t="b">
        <f t="shared" si="2"/>
        <v>0</v>
      </c>
      <c r="Q63" s="4" t="s">
        <v>23</v>
      </c>
      <c r="R63" s="4" t="s">
        <v>105</v>
      </c>
      <c r="S63" s="4" t="s">
        <v>25</v>
      </c>
      <c r="T63" s="4" t="s">
        <v>106</v>
      </c>
    </row>
    <row r="64" spans="1:20" x14ac:dyDescent="0.45">
      <c r="A64" s="4" t="s">
        <v>126</v>
      </c>
      <c r="B64" s="4" t="s">
        <v>99</v>
      </c>
      <c r="C64" s="5">
        <v>1</v>
      </c>
      <c r="D64" s="5">
        <v>261</v>
      </c>
      <c r="E64" s="5">
        <v>49</v>
      </c>
      <c r="F64" s="5">
        <v>4</v>
      </c>
      <c r="G64" s="5">
        <v>3</v>
      </c>
      <c r="H64" s="5">
        <v>257</v>
      </c>
      <c r="I64" s="6">
        <v>3</v>
      </c>
      <c r="J64" s="6">
        <v>22.8</v>
      </c>
      <c r="K64" s="6">
        <v>14</v>
      </c>
      <c r="L64" s="6">
        <v>14.4</v>
      </c>
      <c r="M64" s="4" t="str">
        <f t="shared" si="0"/>
        <v>OK</v>
      </c>
      <c r="N64" s="7">
        <f t="shared" si="1"/>
        <v>5.5176204469061163E-3</v>
      </c>
      <c r="O64" s="7">
        <f>SUMIFS($D$2:D64,$B$2:B64,B64)/SUMIFS($D$2:$D$741,$B$2:$B$741,B64)</f>
        <v>0.96754962687355983</v>
      </c>
      <c r="P64" s="4" t="b">
        <f t="shared" si="2"/>
        <v>0</v>
      </c>
      <c r="Q64" s="4" t="s">
        <v>23</v>
      </c>
      <c r="R64" s="4" t="s">
        <v>30</v>
      </c>
      <c r="S64" s="4" t="s">
        <v>25</v>
      </c>
      <c r="T64" s="4" t="s">
        <v>31</v>
      </c>
    </row>
    <row r="65" spans="1:20" x14ac:dyDescent="0.45">
      <c r="A65" s="4" t="s">
        <v>127</v>
      </c>
      <c r="B65" s="4" t="s">
        <v>99</v>
      </c>
      <c r="C65" s="5">
        <v>1</v>
      </c>
      <c r="D65" s="5">
        <v>215</v>
      </c>
      <c r="E65" s="5">
        <v>173</v>
      </c>
      <c r="F65" s="5">
        <v>4</v>
      </c>
      <c r="G65" s="5">
        <v>2</v>
      </c>
      <c r="H65" s="5">
        <v>211</v>
      </c>
      <c r="I65" s="6">
        <v>2</v>
      </c>
      <c r="J65" s="6">
        <v>3</v>
      </c>
      <c r="K65" s="6">
        <v>7</v>
      </c>
      <c r="L65" s="6">
        <v>7</v>
      </c>
      <c r="M65" s="4" t="str">
        <f t="shared" si="0"/>
        <v>OK</v>
      </c>
      <c r="N65" s="7">
        <f t="shared" si="1"/>
        <v>4.5451662685241949E-3</v>
      </c>
      <c r="O65" s="7">
        <f>SUMIFS($D$2:D65,$B$2:B65,B65)/SUMIFS($D$2:$D$741,$B$2:$B$741,B65)</f>
        <v>0.97209479314208402</v>
      </c>
      <c r="P65" s="4" t="b">
        <f t="shared" si="2"/>
        <v>0</v>
      </c>
      <c r="Q65" s="4" t="s">
        <v>23</v>
      </c>
      <c r="R65" s="4" t="s">
        <v>30</v>
      </c>
      <c r="S65" s="4" t="s">
        <v>25</v>
      </c>
      <c r="T65" s="4" t="s">
        <v>31</v>
      </c>
    </row>
    <row r="66" spans="1:20" x14ac:dyDescent="0.45">
      <c r="A66" s="4" t="s">
        <v>128</v>
      </c>
      <c r="B66" s="4" t="s">
        <v>99</v>
      </c>
      <c r="C66" s="5">
        <v>1</v>
      </c>
      <c r="D66" s="5">
        <v>208</v>
      </c>
      <c r="E66" s="5">
        <v>47</v>
      </c>
      <c r="F66" s="5">
        <v>0</v>
      </c>
      <c r="G66" s="5">
        <v>0</v>
      </c>
      <c r="H66" s="5">
        <v>208</v>
      </c>
      <c r="I66" s="6">
        <v>1</v>
      </c>
      <c r="J66" s="6">
        <v>5.6</v>
      </c>
      <c r="K66" s="6">
        <v>4</v>
      </c>
      <c r="L66" s="6">
        <v>4.3</v>
      </c>
      <c r="M66" s="4" t="str">
        <f t="shared" ref="M66:M129" si="3">IF(AND(K66="",L66=""),"No closed tickets",IF(K66="","MISSING in catalog",IF(L66="","No valid closed tickets",IF(AND(ABS(K66-L66)&gt;=$W$3,ABS(K66-L66)&gt;=$W$4*MAX(L66,1)),"FAR OFF","OK"))))</f>
        <v>OK</v>
      </c>
      <c r="N66" s="7">
        <f t="shared" ref="N66:N129" si="4">D66/SUMIFS($D$2:$D$741,$B$2:$B$741,B66)</f>
        <v>4.3971841109443372E-3</v>
      </c>
      <c r="O66" s="7">
        <f>SUMIFS($D$2:D66,$B$2:B66,B66)/SUMIFS($D$2:$D$741,$B$2:$B$741,B66)</f>
        <v>0.97649197725302839</v>
      </c>
      <c r="P66" s="4" t="b">
        <f t="shared" ref="P66:P129" si="5">O66-N66&lt;$W$2</f>
        <v>0</v>
      </c>
      <c r="Q66" s="4" t="s">
        <v>23</v>
      </c>
      <c r="R66" s="4" t="s">
        <v>105</v>
      </c>
      <c r="S66" s="4" t="s">
        <v>25</v>
      </c>
      <c r="T66" s="4" t="s">
        <v>106</v>
      </c>
    </row>
    <row r="67" spans="1:20" x14ac:dyDescent="0.45">
      <c r="A67" s="4" t="s">
        <v>129</v>
      </c>
      <c r="B67" s="4" t="s">
        <v>99</v>
      </c>
      <c r="C67" s="5">
        <v>1</v>
      </c>
      <c r="D67" s="5">
        <v>190</v>
      </c>
      <c r="E67" s="5">
        <v>19</v>
      </c>
      <c r="F67" s="5">
        <v>1</v>
      </c>
      <c r="G67" s="5">
        <v>0</v>
      </c>
      <c r="H67" s="5">
        <v>189</v>
      </c>
      <c r="I67" s="6">
        <v>5</v>
      </c>
      <c r="J67" s="6">
        <v>13.3</v>
      </c>
      <c r="K67" s="6">
        <v>35</v>
      </c>
      <c r="L67" s="6">
        <v>35</v>
      </c>
      <c r="M67" s="4" t="str">
        <f t="shared" si="3"/>
        <v>OK</v>
      </c>
      <c r="N67" s="7">
        <f t="shared" si="4"/>
        <v>4.0166585628818472E-3</v>
      </c>
      <c r="O67" s="7">
        <f>SUMIFS($D$2:D67,$B$2:B67,B67)/SUMIFS($D$2:$D$741,$B$2:$B$741,B67)</f>
        <v>0.98050863581591019</v>
      </c>
      <c r="P67" s="4" t="b">
        <f t="shared" si="5"/>
        <v>0</v>
      </c>
      <c r="Q67" s="4" t="s">
        <v>23</v>
      </c>
      <c r="R67" s="4" t="s">
        <v>100</v>
      </c>
      <c r="S67" s="4" t="s">
        <v>25</v>
      </c>
      <c r="T67" s="4" t="s">
        <v>101</v>
      </c>
    </row>
    <row r="68" spans="1:20" x14ac:dyDescent="0.45">
      <c r="A68" s="4" t="s">
        <v>130</v>
      </c>
      <c r="B68" s="4" t="s">
        <v>99</v>
      </c>
      <c r="C68" s="5">
        <v>1</v>
      </c>
      <c r="D68" s="5">
        <v>164</v>
      </c>
      <c r="E68" s="5">
        <v>25</v>
      </c>
      <c r="F68" s="5">
        <v>1</v>
      </c>
      <c r="G68" s="5">
        <v>0</v>
      </c>
      <c r="H68" s="5">
        <v>163</v>
      </c>
      <c r="I68" s="6">
        <v>4</v>
      </c>
      <c r="J68" s="6">
        <v>6.5</v>
      </c>
      <c r="K68" s="6">
        <v>13</v>
      </c>
      <c r="L68" s="6">
        <v>13</v>
      </c>
      <c r="M68" s="4" t="str">
        <f t="shared" si="3"/>
        <v>OK</v>
      </c>
      <c r="N68" s="7">
        <f t="shared" si="4"/>
        <v>3.4670105490138044E-3</v>
      </c>
      <c r="O68" s="7">
        <f>SUMIFS($D$2:D68,$B$2:B68,B68)/SUMIFS($D$2:$D$741,$B$2:$B$741,B68)</f>
        <v>0.98397564636492396</v>
      </c>
      <c r="P68" s="4" t="b">
        <f t="shared" si="5"/>
        <v>0</v>
      </c>
      <c r="Q68" s="4" t="s">
        <v>23</v>
      </c>
      <c r="R68" s="4" t="s">
        <v>100</v>
      </c>
      <c r="S68" s="4" t="s">
        <v>25</v>
      </c>
      <c r="T68" s="4" t="s">
        <v>101</v>
      </c>
    </row>
    <row r="69" spans="1:20" x14ac:dyDescent="0.45">
      <c r="A69" s="4" t="s">
        <v>131</v>
      </c>
      <c r="B69" s="4" t="s">
        <v>99</v>
      </c>
      <c r="C69" s="5">
        <v>1</v>
      </c>
      <c r="D69" s="5">
        <v>157</v>
      </c>
      <c r="E69" s="5">
        <v>115</v>
      </c>
      <c r="F69" s="5">
        <v>13</v>
      </c>
      <c r="G69" s="5">
        <v>1</v>
      </c>
      <c r="H69" s="5">
        <v>144</v>
      </c>
      <c r="I69" s="6">
        <v>10</v>
      </c>
      <c r="J69" s="6">
        <v>12.9</v>
      </c>
      <c r="K69" s="6">
        <v>27</v>
      </c>
      <c r="L69" s="6">
        <v>27</v>
      </c>
      <c r="M69" s="4" t="str">
        <f t="shared" si="3"/>
        <v>OK</v>
      </c>
      <c r="N69" s="7">
        <f t="shared" si="4"/>
        <v>3.3190283914339472E-3</v>
      </c>
      <c r="O69" s="7">
        <f>SUMIFS($D$2:D69,$B$2:B69,B69)/SUMIFS($D$2:$D$741,$B$2:$B$741,B69)</f>
        <v>0.9872946747563579</v>
      </c>
      <c r="P69" s="4" t="b">
        <f t="shared" si="5"/>
        <v>0</v>
      </c>
      <c r="Q69" s="4" t="s">
        <v>23</v>
      </c>
      <c r="R69" s="4" t="s">
        <v>38</v>
      </c>
      <c r="S69" s="4" t="s">
        <v>25</v>
      </c>
      <c r="T69" s="4" t="s">
        <v>39</v>
      </c>
    </row>
    <row r="70" spans="1:20" x14ac:dyDescent="0.45">
      <c r="A70" s="4" t="s">
        <v>132</v>
      </c>
      <c r="B70" s="4" t="s">
        <v>99</v>
      </c>
      <c r="C70" s="5">
        <v>1</v>
      </c>
      <c r="D70" s="5">
        <v>135</v>
      </c>
      <c r="E70" s="5">
        <v>13</v>
      </c>
      <c r="F70" s="5">
        <v>4</v>
      </c>
      <c r="G70" s="5">
        <v>1</v>
      </c>
      <c r="H70" s="5">
        <v>131</v>
      </c>
      <c r="I70" s="6">
        <v>6</v>
      </c>
      <c r="J70" s="6">
        <v>44.8</v>
      </c>
      <c r="K70" s="6">
        <v>105</v>
      </c>
      <c r="L70" s="6">
        <v>105</v>
      </c>
      <c r="M70" s="4" t="str">
        <f t="shared" si="3"/>
        <v>OK</v>
      </c>
      <c r="N70" s="7">
        <f t="shared" si="4"/>
        <v>2.8539416104686808E-3</v>
      </c>
      <c r="O70" s="7">
        <f>SUMIFS($D$2:D70,$B$2:B70,B70)/SUMIFS($D$2:$D$741,$B$2:$B$741,B70)</f>
        <v>0.99014861636682661</v>
      </c>
      <c r="P70" s="4" t="b">
        <f t="shared" si="5"/>
        <v>0</v>
      </c>
      <c r="Q70" s="4" t="s">
        <v>23</v>
      </c>
      <c r="R70" s="4" t="s">
        <v>100</v>
      </c>
      <c r="S70" s="4" t="s">
        <v>25</v>
      </c>
      <c r="T70" s="4" t="s">
        <v>101</v>
      </c>
    </row>
    <row r="71" spans="1:20" x14ac:dyDescent="0.45">
      <c r="A71" s="4" t="s">
        <v>133</v>
      </c>
      <c r="B71" s="4" t="s">
        <v>99</v>
      </c>
      <c r="C71" s="5">
        <v>1</v>
      </c>
      <c r="D71" s="5">
        <v>114</v>
      </c>
      <c r="E71" s="5">
        <v>27</v>
      </c>
      <c r="F71" s="5">
        <v>4</v>
      </c>
      <c r="G71" s="5">
        <v>2</v>
      </c>
      <c r="H71" s="5">
        <v>110</v>
      </c>
      <c r="I71" s="6">
        <v>4.5</v>
      </c>
      <c r="J71" s="6">
        <v>7.3</v>
      </c>
      <c r="K71" s="6">
        <v>15</v>
      </c>
      <c r="L71" s="6">
        <v>15</v>
      </c>
      <c r="M71" s="4" t="str">
        <f t="shared" si="3"/>
        <v>OK</v>
      </c>
      <c r="N71" s="7">
        <f t="shared" si="4"/>
        <v>2.4099951377291079E-3</v>
      </c>
      <c r="O71" s="7">
        <f>SUMIFS($D$2:D71,$B$2:B71,B71)/SUMIFS($D$2:$D$741,$B$2:$B$741,B71)</f>
        <v>0.99255861150455571</v>
      </c>
      <c r="P71" s="4" t="b">
        <f t="shared" si="5"/>
        <v>0</v>
      </c>
      <c r="Q71" s="4" t="s">
        <v>23</v>
      </c>
      <c r="R71" s="4" t="s">
        <v>75</v>
      </c>
      <c r="S71" s="4" t="s">
        <v>25</v>
      </c>
      <c r="T71" s="4" t="s">
        <v>76</v>
      </c>
    </row>
    <row r="72" spans="1:20" x14ac:dyDescent="0.45">
      <c r="A72" s="4" t="s">
        <v>134</v>
      </c>
      <c r="B72" s="4" t="s">
        <v>99</v>
      </c>
      <c r="C72" s="5">
        <v>1</v>
      </c>
      <c r="D72" s="5">
        <v>103</v>
      </c>
      <c r="E72" s="5">
        <v>14</v>
      </c>
      <c r="F72" s="5">
        <v>2</v>
      </c>
      <c r="G72" s="5">
        <v>0</v>
      </c>
      <c r="H72" s="5">
        <v>101</v>
      </c>
      <c r="I72" s="6">
        <v>14</v>
      </c>
      <c r="J72" s="6">
        <v>174.6</v>
      </c>
      <c r="K72" s="6">
        <v>714</v>
      </c>
      <c r="L72" s="6">
        <v>714</v>
      </c>
      <c r="M72" s="4" t="str">
        <f t="shared" si="3"/>
        <v>OK</v>
      </c>
      <c r="N72" s="7">
        <f t="shared" si="4"/>
        <v>2.1774517472464747E-3</v>
      </c>
      <c r="O72" s="7">
        <f>SUMIFS($D$2:D72,$B$2:B72,B72)/SUMIFS($D$2:$D$741,$B$2:$B$741,B72)</f>
        <v>0.99473606325180219</v>
      </c>
      <c r="P72" s="4" t="b">
        <f t="shared" si="5"/>
        <v>0</v>
      </c>
      <c r="Q72" s="4" t="s">
        <v>23</v>
      </c>
      <c r="R72" s="4" t="s">
        <v>24</v>
      </c>
      <c r="S72" s="4" t="s">
        <v>25</v>
      </c>
      <c r="T72" s="4" t="s">
        <v>26</v>
      </c>
    </row>
    <row r="73" spans="1:20" x14ac:dyDescent="0.45">
      <c r="A73" s="4" t="s">
        <v>135</v>
      </c>
      <c r="B73" s="4" t="s">
        <v>99</v>
      </c>
      <c r="C73" s="5">
        <v>1</v>
      </c>
      <c r="D73" s="5">
        <v>68</v>
      </c>
      <c r="E73" s="5">
        <v>14</v>
      </c>
      <c r="F73" s="5">
        <v>3</v>
      </c>
      <c r="G73" s="5">
        <v>1</v>
      </c>
      <c r="H73" s="5">
        <v>65</v>
      </c>
      <c r="I73" s="6">
        <v>4</v>
      </c>
      <c r="J73" s="6">
        <v>46.7</v>
      </c>
      <c r="K73" s="6">
        <v>220</v>
      </c>
      <c r="L73" s="6">
        <v>220.2</v>
      </c>
      <c r="M73" s="4" t="str">
        <f t="shared" si="3"/>
        <v>OK</v>
      </c>
      <c r="N73" s="7">
        <f t="shared" si="4"/>
        <v>1.4375409593471874E-3</v>
      </c>
      <c r="O73" s="7">
        <f>SUMIFS($D$2:D73,$B$2:B73,B73)/SUMIFS($D$2:$D$741,$B$2:$B$741,B73)</f>
        <v>0.99617360421114942</v>
      </c>
      <c r="P73" s="4" t="b">
        <f t="shared" si="5"/>
        <v>0</v>
      </c>
      <c r="Q73" s="4" t="s">
        <v>23</v>
      </c>
      <c r="R73" s="4" t="s">
        <v>30</v>
      </c>
      <c r="S73" s="4" t="s">
        <v>25</v>
      </c>
      <c r="T73" s="4" t="s">
        <v>31</v>
      </c>
    </row>
    <row r="74" spans="1:20" x14ac:dyDescent="0.45">
      <c r="A74" s="4" t="s">
        <v>136</v>
      </c>
      <c r="B74" s="4" t="s">
        <v>99</v>
      </c>
      <c r="C74" s="5">
        <v>1</v>
      </c>
      <c r="D74" s="5">
        <v>67</v>
      </c>
      <c r="E74" s="5">
        <v>13</v>
      </c>
      <c r="F74" s="5">
        <v>2</v>
      </c>
      <c r="G74" s="5">
        <v>0</v>
      </c>
      <c r="H74" s="5">
        <v>65</v>
      </c>
      <c r="I74" s="6">
        <v>4</v>
      </c>
      <c r="J74" s="6">
        <v>6.4</v>
      </c>
      <c r="K74" s="6">
        <v>13</v>
      </c>
      <c r="L74" s="6">
        <v>13</v>
      </c>
      <c r="M74" s="4" t="str">
        <f t="shared" si="3"/>
        <v>OK</v>
      </c>
      <c r="N74" s="7">
        <f t="shared" si="4"/>
        <v>1.4164006511214933E-3</v>
      </c>
      <c r="O74" s="7">
        <f>SUMIFS($D$2:D74,$B$2:B74,B74)/SUMIFS($D$2:$D$741,$B$2:$B$741,B74)</f>
        <v>0.9975900048622709</v>
      </c>
      <c r="P74" s="4" t="b">
        <f t="shared" si="5"/>
        <v>0</v>
      </c>
      <c r="Q74" s="4" t="s">
        <v>23</v>
      </c>
      <c r="R74" s="4" t="s">
        <v>30</v>
      </c>
      <c r="S74" s="4" t="s">
        <v>25</v>
      </c>
      <c r="T74" s="4" t="s">
        <v>31</v>
      </c>
    </row>
    <row r="75" spans="1:20" x14ac:dyDescent="0.45">
      <c r="A75" s="4" t="s">
        <v>137</v>
      </c>
      <c r="B75" s="4" t="s">
        <v>99</v>
      </c>
      <c r="C75" s="5">
        <v>1</v>
      </c>
      <c r="D75" s="5">
        <v>50</v>
      </c>
      <c r="E75" s="5">
        <v>20</v>
      </c>
      <c r="F75" s="5">
        <v>1</v>
      </c>
      <c r="G75" s="5">
        <v>1</v>
      </c>
      <c r="H75" s="5">
        <v>49</v>
      </c>
      <c r="I75" s="6">
        <v>2</v>
      </c>
      <c r="J75" s="6">
        <v>6.7</v>
      </c>
      <c r="K75" s="6">
        <v>8</v>
      </c>
      <c r="L75" s="6">
        <v>8.1999999999999993</v>
      </c>
      <c r="M75" s="4" t="str">
        <f t="shared" si="3"/>
        <v>OK</v>
      </c>
      <c r="N75" s="7">
        <f t="shared" si="4"/>
        <v>1.0570154112846965E-3</v>
      </c>
      <c r="O75" s="7">
        <f>SUMIFS($D$2:D75,$B$2:B75,B75)/SUMIFS($D$2:$D$741,$B$2:$B$741,B75)</f>
        <v>0.99864702027355556</v>
      </c>
      <c r="P75" s="4" t="b">
        <f t="shared" si="5"/>
        <v>0</v>
      </c>
      <c r="Q75" s="4" t="s">
        <v>23</v>
      </c>
      <c r="R75" s="4" t="s">
        <v>105</v>
      </c>
      <c r="S75" s="4" t="s">
        <v>25</v>
      </c>
      <c r="T75" s="4" t="s">
        <v>106</v>
      </c>
    </row>
    <row r="76" spans="1:20" x14ac:dyDescent="0.45">
      <c r="A76" s="4" t="s">
        <v>138</v>
      </c>
      <c r="B76" s="4" t="s">
        <v>99</v>
      </c>
      <c r="C76" s="5">
        <v>1</v>
      </c>
      <c r="D76" s="5">
        <v>33</v>
      </c>
      <c r="E76" s="5">
        <v>0</v>
      </c>
      <c r="F76" s="5">
        <v>0</v>
      </c>
      <c r="G76" s="5">
        <v>0</v>
      </c>
      <c r="H76" s="5">
        <v>33</v>
      </c>
      <c r="I76" s="6">
        <v>4</v>
      </c>
      <c r="J76" s="6">
        <v>4.5999999999999996</v>
      </c>
      <c r="K76" s="6">
        <v>8</v>
      </c>
      <c r="L76" s="6">
        <v>8</v>
      </c>
      <c r="M76" s="4" t="str">
        <f t="shared" si="3"/>
        <v>OK</v>
      </c>
      <c r="N76" s="7">
        <f t="shared" si="4"/>
        <v>6.9763017144789969E-4</v>
      </c>
      <c r="O76" s="7">
        <f>SUMIFS($D$2:D76,$B$2:B76,B76)/SUMIFS($D$2:$D$741,$B$2:$B$741,B76)</f>
        <v>0.99934465044500354</v>
      </c>
      <c r="P76" s="4" t="b">
        <f t="shared" si="5"/>
        <v>0</v>
      </c>
      <c r="Q76" s="4" t="s">
        <v>23</v>
      </c>
      <c r="R76" s="4" t="s">
        <v>100</v>
      </c>
      <c r="S76" s="4" t="s">
        <v>25</v>
      </c>
      <c r="T76" s="4" t="s">
        <v>101</v>
      </c>
    </row>
    <row r="77" spans="1:20" x14ac:dyDescent="0.45">
      <c r="A77" s="4" t="s">
        <v>139</v>
      </c>
      <c r="B77" s="4" t="s">
        <v>99</v>
      </c>
      <c r="C77" s="5">
        <v>1</v>
      </c>
      <c r="D77" s="5">
        <v>25</v>
      </c>
      <c r="E77" s="5">
        <v>6</v>
      </c>
      <c r="F77" s="5">
        <v>1</v>
      </c>
      <c r="G77" s="5">
        <v>1</v>
      </c>
      <c r="H77" s="5">
        <v>24</v>
      </c>
      <c r="I77" s="6">
        <v>10.5</v>
      </c>
      <c r="J77" s="6">
        <v>14.7</v>
      </c>
      <c r="K77" s="6">
        <v>26</v>
      </c>
      <c r="L77" s="6">
        <v>26.4</v>
      </c>
      <c r="M77" s="4" t="str">
        <f t="shared" si="3"/>
        <v>OK</v>
      </c>
      <c r="N77" s="7">
        <f t="shared" si="4"/>
        <v>5.2850770564234826E-4</v>
      </c>
      <c r="O77" s="7">
        <f>SUMIFS($D$2:D77,$B$2:B77,B77)/SUMIFS($D$2:$D$741,$B$2:$B$741,B77)</f>
        <v>0.99987315815064581</v>
      </c>
      <c r="P77" s="4" t="b">
        <f t="shared" si="5"/>
        <v>0</v>
      </c>
      <c r="Q77" s="4" t="s">
        <v>23</v>
      </c>
      <c r="R77" s="4" t="s">
        <v>100</v>
      </c>
      <c r="S77" s="4" t="s">
        <v>25</v>
      </c>
      <c r="T77" s="4" t="s">
        <v>101</v>
      </c>
    </row>
    <row r="78" spans="1:20" x14ac:dyDescent="0.45">
      <c r="A78" s="4" t="s">
        <v>140</v>
      </c>
      <c r="B78" s="4" t="s">
        <v>99</v>
      </c>
      <c r="C78" s="5">
        <v>1</v>
      </c>
      <c r="D78" s="5">
        <v>6</v>
      </c>
      <c r="E78" s="5">
        <v>0</v>
      </c>
      <c r="F78" s="5">
        <v>0</v>
      </c>
      <c r="G78" s="5">
        <v>0</v>
      </c>
      <c r="H78" s="5">
        <v>6</v>
      </c>
      <c r="I78" s="6">
        <v>2.5</v>
      </c>
      <c r="J78" s="6">
        <v>2.8</v>
      </c>
      <c r="K78" s="6">
        <v>5</v>
      </c>
      <c r="L78" s="6">
        <v>5</v>
      </c>
      <c r="M78" s="4" t="str">
        <f t="shared" si="3"/>
        <v>OK</v>
      </c>
      <c r="N78" s="7">
        <f t="shared" si="4"/>
        <v>1.2684184935416359E-4</v>
      </c>
      <c r="O78" s="7">
        <f>SUMIFS($D$2:D78,$B$2:B78,B78)/SUMIFS($D$2:$D$741,$B$2:$B$741,B78)</f>
        <v>1</v>
      </c>
      <c r="P78" s="4" t="b">
        <f t="shared" si="5"/>
        <v>0</v>
      </c>
      <c r="Q78" s="4" t="s">
        <v>23</v>
      </c>
      <c r="R78" s="4" t="s">
        <v>100</v>
      </c>
      <c r="S78" s="4" t="s">
        <v>25</v>
      </c>
      <c r="T78" s="4" t="s">
        <v>101</v>
      </c>
    </row>
    <row r="79" spans="1:20" x14ac:dyDescent="0.45">
      <c r="A79" s="9" t="s">
        <v>141</v>
      </c>
      <c r="B79" s="9" t="s">
        <v>142</v>
      </c>
      <c r="C79" s="10">
        <v>1</v>
      </c>
      <c r="D79" s="10">
        <v>413</v>
      </c>
      <c r="E79" s="10">
        <v>0</v>
      </c>
      <c r="F79" s="10">
        <v>0</v>
      </c>
      <c r="G79" s="10">
        <v>0</v>
      </c>
      <c r="H79" s="10">
        <v>413</v>
      </c>
      <c r="I79" s="11">
        <v>7</v>
      </c>
      <c r="J79" s="11">
        <v>6.4</v>
      </c>
      <c r="K79" s="11">
        <v>10</v>
      </c>
      <c r="L79" s="11">
        <v>10</v>
      </c>
      <c r="M79" s="9" t="str">
        <f t="shared" si="3"/>
        <v>OK</v>
      </c>
      <c r="N79" s="12">
        <f t="shared" si="4"/>
        <v>0.66080000000000005</v>
      </c>
      <c r="O79" s="12">
        <f>SUMIFS($D$2:D79,$B$2:B79,B79)/SUMIFS($D$2:$D$741,$B$2:$B$741,B79)</f>
        <v>0.66080000000000005</v>
      </c>
      <c r="P79" s="9" t="b">
        <f t="shared" si="5"/>
        <v>1</v>
      </c>
      <c r="Q79" s="9" t="s">
        <v>23</v>
      </c>
      <c r="R79" s="9" t="s">
        <v>24</v>
      </c>
      <c r="S79" s="9" t="s">
        <v>25</v>
      </c>
      <c r="T79" s="9" t="s">
        <v>26</v>
      </c>
    </row>
    <row r="80" spans="1:20" x14ac:dyDescent="0.45">
      <c r="A80" s="4" t="s">
        <v>143</v>
      </c>
      <c r="B80" s="4" t="s">
        <v>142</v>
      </c>
      <c r="C80" s="5">
        <v>1</v>
      </c>
      <c r="D80" s="5">
        <v>86</v>
      </c>
      <c r="E80" s="5">
        <v>0</v>
      </c>
      <c r="F80" s="5">
        <v>0</v>
      </c>
      <c r="G80" s="5">
        <v>0</v>
      </c>
      <c r="H80" s="5">
        <v>86</v>
      </c>
      <c r="I80" s="6">
        <v>10</v>
      </c>
      <c r="J80" s="6">
        <v>9.8000000000000007</v>
      </c>
      <c r="K80" s="6">
        <v>13</v>
      </c>
      <c r="L80" s="6">
        <v>13</v>
      </c>
      <c r="M80" s="4" t="str">
        <f t="shared" si="3"/>
        <v>OK</v>
      </c>
      <c r="N80" s="7">
        <f t="shared" si="4"/>
        <v>0.1376</v>
      </c>
      <c r="O80" s="7">
        <f>SUMIFS($D$2:D80,$B$2:B80,B80)/SUMIFS($D$2:$D$741,$B$2:$B$741,B80)</f>
        <v>0.7984</v>
      </c>
      <c r="P80" s="4" t="b">
        <f t="shared" si="5"/>
        <v>1</v>
      </c>
      <c r="Q80" s="4" t="s">
        <v>23</v>
      </c>
      <c r="R80" s="4" t="s">
        <v>30</v>
      </c>
      <c r="S80" s="4" t="s">
        <v>25</v>
      </c>
      <c r="T80" s="4" t="s">
        <v>31</v>
      </c>
    </row>
    <row r="81" spans="1:20" x14ac:dyDescent="0.45">
      <c r="A81" s="4" t="s">
        <v>144</v>
      </c>
      <c r="B81" s="4" t="s">
        <v>142</v>
      </c>
      <c r="C81" s="5">
        <v>1</v>
      </c>
      <c r="D81" s="5">
        <v>77</v>
      </c>
      <c r="E81" s="5">
        <v>0</v>
      </c>
      <c r="F81" s="5">
        <v>0</v>
      </c>
      <c r="G81" s="5">
        <v>0</v>
      </c>
      <c r="H81" s="5">
        <v>77</v>
      </c>
      <c r="I81" s="6">
        <v>1</v>
      </c>
      <c r="J81" s="6">
        <v>1.7</v>
      </c>
      <c r="K81" s="6">
        <v>3</v>
      </c>
      <c r="L81" s="6">
        <v>3</v>
      </c>
      <c r="M81" s="4" t="str">
        <f t="shared" si="3"/>
        <v>OK</v>
      </c>
      <c r="N81" s="7">
        <f t="shared" si="4"/>
        <v>0.1232</v>
      </c>
      <c r="O81" s="7">
        <f>SUMIFS($D$2:D81,$B$2:B81,B81)/SUMIFS($D$2:$D$741,$B$2:$B$741,B81)</f>
        <v>0.92159999999999997</v>
      </c>
      <c r="P81" s="4" t="b">
        <f t="shared" si="5"/>
        <v>1</v>
      </c>
      <c r="Q81" s="4" t="s">
        <v>23</v>
      </c>
      <c r="R81" s="4" t="s">
        <v>30</v>
      </c>
      <c r="S81" s="4" t="s">
        <v>25</v>
      </c>
      <c r="T81" s="4" t="s">
        <v>31</v>
      </c>
    </row>
    <row r="82" spans="1:20" x14ac:dyDescent="0.45">
      <c r="A82" s="4" t="s">
        <v>145</v>
      </c>
      <c r="B82" s="4" t="s">
        <v>142</v>
      </c>
      <c r="C82" s="5">
        <v>1</v>
      </c>
      <c r="D82" s="5">
        <v>19</v>
      </c>
      <c r="E82" s="5">
        <v>0</v>
      </c>
      <c r="F82" s="5">
        <v>0</v>
      </c>
      <c r="G82" s="5">
        <v>0</v>
      </c>
      <c r="H82" s="5">
        <v>19</v>
      </c>
      <c r="I82" s="6">
        <v>4</v>
      </c>
      <c r="J82" s="6">
        <v>3.4</v>
      </c>
      <c r="K82" s="6">
        <v>5</v>
      </c>
      <c r="L82" s="6">
        <v>5.4</v>
      </c>
      <c r="M82" s="4" t="str">
        <f t="shared" si="3"/>
        <v>OK</v>
      </c>
      <c r="N82" s="7">
        <f t="shared" si="4"/>
        <v>3.04E-2</v>
      </c>
      <c r="O82" s="7">
        <f>SUMIFS($D$2:D82,$B$2:B82,B82)/SUMIFS($D$2:$D$741,$B$2:$B$741,B82)</f>
        <v>0.95199999999999996</v>
      </c>
      <c r="P82" s="4" t="b">
        <f t="shared" si="5"/>
        <v>1</v>
      </c>
      <c r="Q82" s="4" t="s">
        <v>23</v>
      </c>
      <c r="R82" s="4" t="s">
        <v>105</v>
      </c>
      <c r="S82" s="4" t="s">
        <v>25</v>
      </c>
      <c r="T82" s="4" t="s">
        <v>106</v>
      </c>
    </row>
    <row r="83" spans="1:20" x14ac:dyDescent="0.45">
      <c r="A83" s="4" t="s">
        <v>146</v>
      </c>
      <c r="B83" s="4" t="s">
        <v>142</v>
      </c>
      <c r="C83" s="5">
        <v>2</v>
      </c>
      <c r="D83" s="5">
        <v>11</v>
      </c>
      <c r="E83" s="5">
        <v>0</v>
      </c>
      <c r="F83" s="5">
        <v>0</v>
      </c>
      <c r="G83" s="5">
        <v>0</v>
      </c>
      <c r="H83" s="5">
        <v>11</v>
      </c>
      <c r="I83" s="6">
        <v>2</v>
      </c>
      <c r="J83" s="6">
        <v>2.1</v>
      </c>
      <c r="K83" s="6">
        <v>4</v>
      </c>
      <c r="L83" s="6">
        <v>4</v>
      </c>
      <c r="M83" s="4" t="str">
        <f t="shared" si="3"/>
        <v>OK</v>
      </c>
      <c r="N83" s="7">
        <f t="shared" si="4"/>
        <v>1.7600000000000001E-2</v>
      </c>
      <c r="O83" s="7">
        <f>SUMIFS($D$2:D83,$B$2:B83,B83)/SUMIFS($D$2:$D$741,$B$2:$B$741,B83)</f>
        <v>0.96960000000000002</v>
      </c>
      <c r="P83" s="4" t="b">
        <f t="shared" si="5"/>
        <v>0</v>
      </c>
      <c r="Q83" s="4" t="s">
        <v>23</v>
      </c>
      <c r="R83" s="4" t="s">
        <v>105</v>
      </c>
      <c r="S83" s="4" t="s">
        <v>25</v>
      </c>
      <c r="T83" s="4" t="s">
        <v>106</v>
      </c>
    </row>
    <row r="84" spans="1:20" x14ac:dyDescent="0.45">
      <c r="A84" s="4" t="s">
        <v>147</v>
      </c>
      <c r="B84" s="4" t="s">
        <v>142</v>
      </c>
      <c r="C84" s="5">
        <v>1</v>
      </c>
      <c r="D84" s="5">
        <v>8</v>
      </c>
      <c r="E84" s="5">
        <v>0</v>
      </c>
      <c r="F84" s="5">
        <v>0</v>
      </c>
      <c r="G84" s="5">
        <v>0</v>
      </c>
      <c r="H84" s="5">
        <v>8</v>
      </c>
      <c r="I84" s="6">
        <v>4</v>
      </c>
      <c r="J84" s="6">
        <v>5.6</v>
      </c>
      <c r="K84" s="6">
        <v>13</v>
      </c>
      <c r="L84" s="6">
        <v>13</v>
      </c>
      <c r="M84" s="4" t="str">
        <f t="shared" si="3"/>
        <v>OK</v>
      </c>
      <c r="N84" s="7">
        <f t="shared" si="4"/>
        <v>1.2800000000000001E-2</v>
      </c>
      <c r="O84" s="7">
        <f>SUMIFS($D$2:D84,$B$2:B84,B84)/SUMIFS($D$2:$D$741,$B$2:$B$741,B84)</f>
        <v>0.98240000000000005</v>
      </c>
      <c r="P84" s="4" t="b">
        <f t="shared" si="5"/>
        <v>0</v>
      </c>
      <c r="Q84" s="4" t="s">
        <v>23</v>
      </c>
      <c r="R84" s="4" t="s">
        <v>38</v>
      </c>
      <c r="S84" s="4" t="s">
        <v>25</v>
      </c>
      <c r="T84" s="4" t="s">
        <v>39</v>
      </c>
    </row>
    <row r="85" spans="1:20" x14ac:dyDescent="0.45">
      <c r="A85" s="4" t="s">
        <v>148</v>
      </c>
      <c r="B85" s="4" t="s">
        <v>142</v>
      </c>
      <c r="C85" s="5">
        <v>2</v>
      </c>
      <c r="D85" s="5">
        <v>7</v>
      </c>
      <c r="E85" s="5">
        <v>0</v>
      </c>
      <c r="F85" s="5">
        <v>0</v>
      </c>
      <c r="G85" s="5">
        <v>0</v>
      </c>
      <c r="H85" s="5">
        <v>7</v>
      </c>
      <c r="I85" s="6">
        <v>14</v>
      </c>
      <c r="J85" s="6">
        <v>10.9</v>
      </c>
      <c r="K85" s="6">
        <v>18</v>
      </c>
      <c r="L85" s="6">
        <v>17.8</v>
      </c>
      <c r="M85" s="4" t="str">
        <f t="shared" si="3"/>
        <v>OK</v>
      </c>
      <c r="N85" s="7">
        <f t="shared" si="4"/>
        <v>1.12E-2</v>
      </c>
      <c r="O85" s="7">
        <f>SUMIFS($D$2:D85,$B$2:B85,B85)/SUMIFS($D$2:$D$741,$B$2:$B$741,B85)</f>
        <v>0.99360000000000004</v>
      </c>
      <c r="P85" s="4" t="b">
        <f t="shared" si="5"/>
        <v>0</v>
      </c>
      <c r="Q85" s="4" t="s">
        <v>23</v>
      </c>
      <c r="R85" s="4" t="s">
        <v>75</v>
      </c>
      <c r="S85" s="4" t="s">
        <v>25</v>
      </c>
      <c r="T85" s="4" t="s">
        <v>76</v>
      </c>
    </row>
    <row r="86" spans="1:20" x14ac:dyDescent="0.45">
      <c r="A86" s="4" t="s">
        <v>149</v>
      </c>
      <c r="B86" s="4" t="s">
        <v>142</v>
      </c>
      <c r="C86" s="5">
        <v>1</v>
      </c>
      <c r="D86" s="5">
        <v>2</v>
      </c>
      <c r="E86" s="5">
        <v>0</v>
      </c>
      <c r="F86" s="5">
        <v>0</v>
      </c>
      <c r="G86" s="5">
        <v>0</v>
      </c>
      <c r="H86" s="5">
        <v>2</v>
      </c>
      <c r="I86" s="6">
        <v>1.5</v>
      </c>
      <c r="J86" s="6">
        <v>1.5</v>
      </c>
      <c r="K86" s="6">
        <v>2</v>
      </c>
      <c r="L86" s="6">
        <v>1.9</v>
      </c>
      <c r="M86" s="4" t="str">
        <f t="shared" si="3"/>
        <v>OK</v>
      </c>
      <c r="N86" s="7">
        <f t="shared" si="4"/>
        <v>3.2000000000000002E-3</v>
      </c>
      <c r="O86" s="7">
        <f>SUMIFS($D$2:D86,$B$2:B86,B86)/SUMIFS($D$2:$D$741,$B$2:$B$741,B86)</f>
        <v>0.99680000000000002</v>
      </c>
      <c r="P86" s="4" t="b">
        <f t="shared" si="5"/>
        <v>0</v>
      </c>
      <c r="Q86" s="4" t="s">
        <v>23</v>
      </c>
      <c r="R86" s="4" t="s">
        <v>105</v>
      </c>
      <c r="S86" s="4" t="s">
        <v>25</v>
      </c>
      <c r="T86" s="4" t="s">
        <v>106</v>
      </c>
    </row>
    <row r="87" spans="1:20" x14ac:dyDescent="0.45">
      <c r="A87" s="4" t="s">
        <v>150</v>
      </c>
      <c r="B87" s="4" t="s">
        <v>142</v>
      </c>
      <c r="C87" s="5">
        <v>1</v>
      </c>
      <c r="D87" s="5">
        <v>2</v>
      </c>
      <c r="E87" s="5">
        <v>0</v>
      </c>
      <c r="F87" s="5">
        <v>0</v>
      </c>
      <c r="G87" s="5">
        <v>0</v>
      </c>
      <c r="H87" s="5">
        <v>2</v>
      </c>
      <c r="I87" s="6">
        <v>6</v>
      </c>
      <c r="J87" s="6">
        <v>6</v>
      </c>
      <c r="K87" s="6">
        <v>7</v>
      </c>
      <c r="L87" s="6">
        <v>6.8</v>
      </c>
      <c r="M87" s="4" t="str">
        <f t="shared" si="3"/>
        <v>OK</v>
      </c>
      <c r="N87" s="7">
        <f t="shared" si="4"/>
        <v>3.2000000000000002E-3</v>
      </c>
      <c r="O87" s="7">
        <f>SUMIFS($D$2:D87,$B$2:B87,B87)/SUMIFS($D$2:$D$741,$B$2:$B$741,B87)</f>
        <v>1</v>
      </c>
      <c r="P87" s="4" t="b">
        <f t="shared" si="5"/>
        <v>0</v>
      </c>
      <c r="Q87" s="4" t="s">
        <v>23</v>
      </c>
      <c r="R87" s="4" t="s">
        <v>105</v>
      </c>
      <c r="S87" s="4" t="s">
        <v>25</v>
      </c>
      <c r="T87" s="4" t="s">
        <v>106</v>
      </c>
    </row>
    <row r="88" spans="1:20" x14ac:dyDescent="0.45">
      <c r="A88" s="9" t="s">
        <v>151</v>
      </c>
      <c r="B88" s="9" t="s">
        <v>152</v>
      </c>
      <c r="C88" s="10">
        <v>1</v>
      </c>
      <c r="D88" s="10">
        <v>186</v>
      </c>
      <c r="E88" s="10">
        <v>0</v>
      </c>
      <c r="F88" s="10">
        <v>0</v>
      </c>
      <c r="G88" s="10">
        <v>0</v>
      </c>
      <c r="H88" s="10">
        <v>186</v>
      </c>
      <c r="I88" s="11">
        <v>2</v>
      </c>
      <c r="J88" s="11">
        <v>3.6</v>
      </c>
      <c r="K88" s="11">
        <v>8</v>
      </c>
      <c r="L88" s="11">
        <v>7.5</v>
      </c>
      <c r="M88" s="9" t="str">
        <f t="shared" si="3"/>
        <v>OK</v>
      </c>
      <c r="N88" s="12">
        <f t="shared" si="4"/>
        <v>0.24473684210526317</v>
      </c>
      <c r="O88" s="12">
        <f>SUMIFS($D$2:D88,$B$2:B88,B88)/SUMIFS($D$2:$D$741,$B$2:$B$741,B88)</f>
        <v>0.24473684210526317</v>
      </c>
      <c r="P88" s="9" t="b">
        <f t="shared" si="5"/>
        <v>1</v>
      </c>
      <c r="Q88" s="9" t="s">
        <v>23</v>
      </c>
      <c r="R88" s="9" t="s">
        <v>24</v>
      </c>
      <c r="S88" s="9" t="s">
        <v>25</v>
      </c>
      <c r="T88" s="9" t="s">
        <v>26</v>
      </c>
    </row>
    <row r="89" spans="1:20" x14ac:dyDescent="0.45">
      <c r="A89" s="4" t="s">
        <v>153</v>
      </c>
      <c r="B89" s="4" t="s">
        <v>152</v>
      </c>
      <c r="C89" s="5">
        <v>1</v>
      </c>
      <c r="D89" s="5">
        <v>84</v>
      </c>
      <c r="E89" s="5">
        <v>0</v>
      </c>
      <c r="F89" s="5">
        <v>0</v>
      </c>
      <c r="G89" s="5">
        <v>0</v>
      </c>
      <c r="H89" s="5">
        <v>84</v>
      </c>
      <c r="I89" s="6">
        <v>1</v>
      </c>
      <c r="J89" s="6">
        <v>2.2000000000000002</v>
      </c>
      <c r="K89" s="6">
        <v>5</v>
      </c>
      <c r="L89" s="6">
        <v>5</v>
      </c>
      <c r="M89" s="4" t="str">
        <f t="shared" si="3"/>
        <v>OK</v>
      </c>
      <c r="N89" s="7">
        <f t="shared" si="4"/>
        <v>0.11052631578947368</v>
      </c>
      <c r="O89" s="7">
        <f>SUMIFS($D$2:D89,$B$2:B89,B89)/SUMIFS($D$2:$D$741,$B$2:$B$741,B89)</f>
        <v>0.35526315789473684</v>
      </c>
      <c r="P89" s="4" t="b">
        <f t="shared" si="5"/>
        <v>1</v>
      </c>
      <c r="Q89" s="4" t="s">
        <v>23</v>
      </c>
      <c r="R89" s="4" t="s">
        <v>30</v>
      </c>
      <c r="S89" s="4" t="s">
        <v>25</v>
      </c>
      <c r="T89" s="4" t="s">
        <v>31</v>
      </c>
    </row>
    <row r="90" spans="1:20" x14ac:dyDescent="0.45">
      <c r="A90" s="4" t="s">
        <v>154</v>
      </c>
      <c r="B90" s="4" t="s">
        <v>152</v>
      </c>
      <c r="C90" s="5">
        <v>1</v>
      </c>
      <c r="D90" s="5">
        <v>67</v>
      </c>
      <c r="E90" s="5">
        <v>0</v>
      </c>
      <c r="F90" s="5">
        <v>0</v>
      </c>
      <c r="G90" s="5">
        <v>0</v>
      </c>
      <c r="H90" s="5">
        <v>67</v>
      </c>
      <c r="I90" s="6">
        <v>2</v>
      </c>
      <c r="J90" s="6">
        <v>4.5999999999999996</v>
      </c>
      <c r="K90" s="6">
        <v>12</v>
      </c>
      <c r="L90" s="6">
        <v>12</v>
      </c>
      <c r="M90" s="4" t="str">
        <f t="shared" si="3"/>
        <v>OK</v>
      </c>
      <c r="N90" s="7">
        <f t="shared" si="4"/>
        <v>8.8157894736842102E-2</v>
      </c>
      <c r="O90" s="7">
        <f>SUMIFS($D$2:D90,$B$2:B90,B90)/SUMIFS($D$2:$D$741,$B$2:$B$741,B90)</f>
        <v>0.44342105263157894</v>
      </c>
      <c r="P90" s="4" t="b">
        <f t="shared" si="5"/>
        <v>1</v>
      </c>
      <c r="Q90" s="4" t="s">
        <v>23</v>
      </c>
      <c r="R90" s="4" t="s">
        <v>30</v>
      </c>
      <c r="S90" s="4" t="s">
        <v>25</v>
      </c>
      <c r="T90" s="4" t="s">
        <v>31</v>
      </c>
    </row>
    <row r="91" spans="1:20" x14ac:dyDescent="0.45">
      <c r="A91" s="4" t="s">
        <v>155</v>
      </c>
      <c r="B91" s="4" t="s">
        <v>152</v>
      </c>
      <c r="C91" s="5">
        <v>2</v>
      </c>
      <c r="D91" s="5">
        <v>61</v>
      </c>
      <c r="E91" s="5">
        <v>0</v>
      </c>
      <c r="F91" s="5">
        <v>0</v>
      </c>
      <c r="G91" s="5">
        <v>0</v>
      </c>
      <c r="H91" s="5">
        <v>61</v>
      </c>
      <c r="I91" s="6">
        <v>36</v>
      </c>
      <c r="J91" s="6">
        <v>35.299999999999997</v>
      </c>
      <c r="K91" s="6">
        <v>50</v>
      </c>
      <c r="L91" s="6">
        <v>50</v>
      </c>
      <c r="M91" s="4" t="str">
        <f t="shared" si="3"/>
        <v>OK</v>
      </c>
      <c r="N91" s="7">
        <f t="shared" si="4"/>
        <v>8.0263157894736842E-2</v>
      </c>
      <c r="O91" s="7">
        <f>SUMIFS($D$2:D91,$B$2:B91,B91)/SUMIFS($D$2:$D$741,$B$2:$B$741,B91)</f>
        <v>0.52368421052631575</v>
      </c>
      <c r="P91" s="4" t="b">
        <f t="shared" si="5"/>
        <v>1</v>
      </c>
      <c r="Q91" s="4" t="s">
        <v>23</v>
      </c>
      <c r="R91" s="4" t="s">
        <v>105</v>
      </c>
      <c r="S91" s="4" t="s">
        <v>25</v>
      </c>
      <c r="T91" s="4" t="s">
        <v>106</v>
      </c>
    </row>
    <row r="92" spans="1:20" x14ac:dyDescent="0.45">
      <c r="A92" s="4" t="s">
        <v>156</v>
      </c>
      <c r="B92" s="4" t="s">
        <v>152</v>
      </c>
      <c r="C92" s="5">
        <v>2</v>
      </c>
      <c r="D92" s="5">
        <v>38</v>
      </c>
      <c r="E92" s="5">
        <v>0</v>
      </c>
      <c r="F92" s="5">
        <v>0</v>
      </c>
      <c r="G92" s="5">
        <v>0</v>
      </c>
      <c r="H92" s="5">
        <v>38</v>
      </c>
      <c r="I92" s="6">
        <v>1</v>
      </c>
      <c r="J92" s="6">
        <v>5</v>
      </c>
      <c r="K92" s="6">
        <v>11</v>
      </c>
      <c r="L92" s="6">
        <v>10.5</v>
      </c>
      <c r="M92" s="4" t="str">
        <f t="shared" si="3"/>
        <v>OK</v>
      </c>
      <c r="N92" s="7">
        <f t="shared" si="4"/>
        <v>0.05</v>
      </c>
      <c r="O92" s="7">
        <f>SUMIFS($D$2:D92,$B$2:B92,B92)/SUMIFS($D$2:$D$741,$B$2:$B$741,B92)</f>
        <v>0.5736842105263158</v>
      </c>
      <c r="P92" s="4" t="b">
        <f t="shared" si="5"/>
        <v>1</v>
      </c>
      <c r="Q92" s="4" t="s">
        <v>23</v>
      </c>
      <c r="R92" s="4" t="s">
        <v>24</v>
      </c>
      <c r="S92" s="4" t="s">
        <v>25</v>
      </c>
      <c r="T92" s="4" t="s">
        <v>26</v>
      </c>
    </row>
    <row r="93" spans="1:20" x14ac:dyDescent="0.45">
      <c r="A93" s="4" t="s">
        <v>157</v>
      </c>
      <c r="B93" s="4" t="s">
        <v>152</v>
      </c>
      <c r="C93" s="5">
        <v>2</v>
      </c>
      <c r="D93" s="5">
        <v>36</v>
      </c>
      <c r="E93" s="5">
        <v>0</v>
      </c>
      <c r="F93" s="5">
        <v>0</v>
      </c>
      <c r="G93" s="5">
        <v>0</v>
      </c>
      <c r="H93" s="5">
        <v>36</v>
      </c>
      <c r="I93" s="6">
        <v>34</v>
      </c>
      <c r="J93" s="6">
        <v>38.700000000000003</v>
      </c>
      <c r="K93" s="6">
        <v>79</v>
      </c>
      <c r="L93" s="6">
        <v>79</v>
      </c>
      <c r="M93" s="4" t="str">
        <f t="shared" si="3"/>
        <v>OK</v>
      </c>
      <c r="N93" s="7">
        <f t="shared" si="4"/>
        <v>4.736842105263158E-2</v>
      </c>
      <c r="O93" s="7">
        <f>SUMIFS($D$2:D93,$B$2:B93,B93)/SUMIFS($D$2:$D$741,$B$2:$B$741,B93)</f>
        <v>0.62105263157894741</v>
      </c>
      <c r="P93" s="4" t="b">
        <f t="shared" si="5"/>
        <v>1</v>
      </c>
      <c r="Q93" s="4" t="s">
        <v>23</v>
      </c>
      <c r="R93" s="4" t="s">
        <v>24</v>
      </c>
      <c r="S93" s="4" t="s">
        <v>25</v>
      </c>
      <c r="T93" s="4" t="s">
        <v>26</v>
      </c>
    </row>
    <row r="94" spans="1:20" x14ac:dyDescent="0.45">
      <c r="A94" s="4" t="s">
        <v>158</v>
      </c>
      <c r="B94" s="4" t="s">
        <v>152</v>
      </c>
      <c r="C94" s="5">
        <v>1</v>
      </c>
      <c r="D94" s="5">
        <v>35</v>
      </c>
      <c r="E94" s="5">
        <v>0</v>
      </c>
      <c r="F94" s="5">
        <v>0</v>
      </c>
      <c r="G94" s="5">
        <v>0</v>
      </c>
      <c r="H94" s="5">
        <v>35</v>
      </c>
      <c r="I94" s="6">
        <v>1</v>
      </c>
      <c r="J94" s="6">
        <v>2</v>
      </c>
      <c r="K94" s="6">
        <v>4</v>
      </c>
      <c r="L94" s="6">
        <v>4</v>
      </c>
      <c r="M94" s="4" t="str">
        <f t="shared" si="3"/>
        <v>OK</v>
      </c>
      <c r="N94" s="7">
        <f t="shared" si="4"/>
        <v>4.6052631578947366E-2</v>
      </c>
      <c r="O94" s="7">
        <f>SUMIFS($D$2:D94,$B$2:B94,B94)/SUMIFS($D$2:$D$741,$B$2:$B$741,B94)</f>
        <v>0.66710526315789476</v>
      </c>
      <c r="P94" s="4" t="b">
        <f t="shared" si="5"/>
        <v>1</v>
      </c>
      <c r="Q94" s="4" t="s">
        <v>23</v>
      </c>
      <c r="R94" s="4" t="s">
        <v>30</v>
      </c>
      <c r="S94" s="4" t="s">
        <v>25</v>
      </c>
      <c r="T94" s="4" t="s">
        <v>31</v>
      </c>
    </row>
    <row r="95" spans="1:20" x14ac:dyDescent="0.45">
      <c r="A95" s="4" t="s">
        <v>159</v>
      </c>
      <c r="B95" s="4" t="s">
        <v>152</v>
      </c>
      <c r="C95" s="5">
        <v>1</v>
      </c>
      <c r="D95" s="5">
        <v>31</v>
      </c>
      <c r="E95" s="5">
        <v>0</v>
      </c>
      <c r="F95" s="5">
        <v>0</v>
      </c>
      <c r="G95" s="5">
        <v>0</v>
      </c>
      <c r="H95" s="5">
        <v>31</v>
      </c>
      <c r="I95" s="6">
        <v>0</v>
      </c>
      <c r="J95" s="6">
        <v>2.5</v>
      </c>
      <c r="K95" s="6">
        <v>3</v>
      </c>
      <c r="L95" s="6">
        <v>3</v>
      </c>
      <c r="M95" s="4" t="str">
        <f t="shared" si="3"/>
        <v>OK</v>
      </c>
      <c r="N95" s="7">
        <f t="shared" si="4"/>
        <v>4.0789473684210528E-2</v>
      </c>
      <c r="O95" s="7">
        <f>SUMIFS($D$2:D95,$B$2:B95,B95)/SUMIFS($D$2:$D$741,$B$2:$B$741,B95)</f>
        <v>0.70789473684210524</v>
      </c>
      <c r="P95" s="4" t="b">
        <f t="shared" si="5"/>
        <v>1</v>
      </c>
      <c r="Q95" s="4" t="s">
        <v>23</v>
      </c>
      <c r="R95" s="4" t="s">
        <v>30</v>
      </c>
      <c r="S95" s="4" t="s">
        <v>25</v>
      </c>
      <c r="T95" s="4" t="s">
        <v>31</v>
      </c>
    </row>
    <row r="96" spans="1:20" x14ac:dyDescent="0.45">
      <c r="A96" s="4" t="s">
        <v>160</v>
      </c>
      <c r="B96" s="4" t="s">
        <v>152</v>
      </c>
      <c r="C96" s="5">
        <v>1</v>
      </c>
      <c r="D96" s="5">
        <v>31</v>
      </c>
      <c r="E96" s="5">
        <v>0</v>
      </c>
      <c r="F96" s="5">
        <v>0</v>
      </c>
      <c r="G96" s="5">
        <v>0</v>
      </c>
      <c r="H96" s="5">
        <v>31</v>
      </c>
      <c r="I96" s="6">
        <v>2</v>
      </c>
      <c r="J96" s="6">
        <v>4.3</v>
      </c>
      <c r="K96" s="6">
        <v>14</v>
      </c>
      <c r="L96" s="6">
        <v>14</v>
      </c>
      <c r="M96" s="4" t="str">
        <f t="shared" si="3"/>
        <v>OK</v>
      </c>
      <c r="N96" s="7">
        <f t="shared" si="4"/>
        <v>4.0789473684210528E-2</v>
      </c>
      <c r="O96" s="7">
        <f>SUMIFS($D$2:D96,$B$2:B96,B96)/SUMIFS($D$2:$D$741,$B$2:$B$741,B96)</f>
        <v>0.74868421052631584</v>
      </c>
      <c r="P96" s="4" t="b">
        <f t="shared" si="5"/>
        <v>1</v>
      </c>
      <c r="Q96" s="4" t="s">
        <v>23</v>
      </c>
      <c r="R96" s="4" t="s">
        <v>30</v>
      </c>
      <c r="S96" s="4" t="s">
        <v>25</v>
      </c>
      <c r="T96" s="4" t="s">
        <v>31</v>
      </c>
    </row>
    <row r="97" spans="1:20" x14ac:dyDescent="0.45">
      <c r="A97" s="4" t="s">
        <v>161</v>
      </c>
      <c r="B97" s="4" t="s">
        <v>152</v>
      </c>
      <c r="C97" s="5">
        <v>1</v>
      </c>
      <c r="D97" s="5">
        <v>31</v>
      </c>
      <c r="E97" s="5">
        <v>0</v>
      </c>
      <c r="F97" s="5">
        <v>0</v>
      </c>
      <c r="G97" s="5">
        <v>0</v>
      </c>
      <c r="H97" s="5">
        <v>31</v>
      </c>
      <c r="I97" s="6">
        <v>2</v>
      </c>
      <c r="J97" s="6">
        <v>3.3</v>
      </c>
      <c r="K97" s="6">
        <v>5</v>
      </c>
      <c r="L97" s="6">
        <v>5</v>
      </c>
      <c r="M97" s="4" t="str">
        <f t="shared" si="3"/>
        <v>OK</v>
      </c>
      <c r="N97" s="7">
        <f t="shared" si="4"/>
        <v>4.0789473684210528E-2</v>
      </c>
      <c r="O97" s="7">
        <f>SUMIFS($D$2:D97,$B$2:B97,B97)/SUMIFS($D$2:$D$741,$B$2:$B$741,B97)</f>
        <v>0.78947368421052633</v>
      </c>
      <c r="P97" s="4" t="b">
        <f t="shared" si="5"/>
        <v>1</v>
      </c>
      <c r="Q97" s="4" t="s">
        <v>23</v>
      </c>
      <c r="R97" s="4" t="s">
        <v>30</v>
      </c>
      <c r="S97" s="4" t="s">
        <v>25</v>
      </c>
      <c r="T97" s="4" t="s">
        <v>31</v>
      </c>
    </row>
    <row r="98" spans="1:20" x14ac:dyDescent="0.45">
      <c r="A98" s="4" t="s">
        <v>162</v>
      </c>
      <c r="B98" s="4" t="s">
        <v>152</v>
      </c>
      <c r="C98" s="5">
        <v>1</v>
      </c>
      <c r="D98" s="5">
        <v>27</v>
      </c>
      <c r="E98" s="5">
        <v>0</v>
      </c>
      <c r="F98" s="5">
        <v>0</v>
      </c>
      <c r="G98" s="5">
        <v>0</v>
      </c>
      <c r="H98" s="5">
        <v>27</v>
      </c>
      <c r="I98" s="6">
        <v>2</v>
      </c>
      <c r="J98" s="6">
        <v>3.3</v>
      </c>
      <c r="K98" s="6">
        <v>9</v>
      </c>
      <c r="L98" s="6">
        <v>9</v>
      </c>
      <c r="M98" s="4" t="str">
        <f t="shared" si="3"/>
        <v>OK</v>
      </c>
      <c r="N98" s="7">
        <f t="shared" si="4"/>
        <v>3.5526315789473684E-2</v>
      </c>
      <c r="O98" s="7">
        <f>SUMIFS($D$2:D98,$B$2:B98,B98)/SUMIFS($D$2:$D$741,$B$2:$B$741,B98)</f>
        <v>0.82499999999999996</v>
      </c>
      <c r="P98" s="4" t="b">
        <f t="shared" si="5"/>
        <v>1</v>
      </c>
      <c r="Q98" s="4" t="s">
        <v>23</v>
      </c>
      <c r="R98" s="4" t="s">
        <v>30</v>
      </c>
      <c r="S98" s="4" t="s">
        <v>25</v>
      </c>
      <c r="T98" s="4" t="s">
        <v>31</v>
      </c>
    </row>
    <row r="99" spans="1:20" x14ac:dyDescent="0.45">
      <c r="A99" s="4" t="s">
        <v>163</v>
      </c>
      <c r="B99" s="4" t="s">
        <v>152</v>
      </c>
      <c r="C99" s="5">
        <v>1</v>
      </c>
      <c r="D99" s="5">
        <v>23</v>
      </c>
      <c r="E99" s="5">
        <v>0</v>
      </c>
      <c r="F99" s="5">
        <v>0</v>
      </c>
      <c r="G99" s="5">
        <v>0</v>
      </c>
      <c r="H99" s="5">
        <v>23</v>
      </c>
      <c r="I99" s="6">
        <v>2</v>
      </c>
      <c r="J99" s="6">
        <v>2.6</v>
      </c>
      <c r="K99" s="6">
        <v>6</v>
      </c>
      <c r="L99" s="6">
        <v>5.8</v>
      </c>
      <c r="M99" s="4" t="str">
        <f t="shared" si="3"/>
        <v>OK</v>
      </c>
      <c r="N99" s="7">
        <f t="shared" si="4"/>
        <v>3.0263157894736843E-2</v>
      </c>
      <c r="O99" s="7">
        <f>SUMIFS($D$2:D99,$B$2:B99,B99)/SUMIFS($D$2:$D$741,$B$2:$B$741,B99)</f>
        <v>0.85526315789473684</v>
      </c>
      <c r="P99" s="4" t="b">
        <f t="shared" si="5"/>
        <v>1</v>
      </c>
      <c r="Q99" s="4" t="s">
        <v>23</v>
      </c>
      <c r="R99" s="4" t="s">
        <v>30</v>
      </c>
      <c r="S99" s="4" t="s">
        <v>25</v>
      </c>
      <c r="T99" s="4" t="s">
        <v>31</v>
      </c>
    </row>
    <row r="100" spans="1:20" x14ac:dyDescent="0.45">
      <c r="A100" s="4" t="s">
        <v>164</v>
      </c>
      <c r="B100" s="4" t="s">
        <v>152</v>
      </c>
      <c r="C100" s="5">
        <v>1</v>
      </c>
      <c r="D100" s="5">
        <v>18</v>
      </c>
      <c r="E100" s="5">
        <v>0</v>
      </c>
      <c r="F100" s="5">
        <v>0</v>
      </c>
      <c r="G100" s="5">
        <v>0</v>
      </c>
      <c r="H100" s="5">
        <v>18</v>
      </c>
      <c r="I100" s="6">
        <v>2</v>
      </c>
      <c r="J100" s="6">
        <v>4.8</v>
      </c>
      <c r="K100" s="6">
        <v>13</v>
      </c>
      <c r="L100" s="6">
        <v>12.6</v>
      </c>
      <c r="M100" s="4" t="str">
        <f t="shared" si="3"/>
        <v>OK</v>
      </c>
      <c r="N100" s="7">
        <f t="shared" si="4"/>
        <v>2.368421052631579E-2</v>
      </c>
      <c r="O100" s="7">
        <f>SUMIFS($D$2:D100,$B$2:B100,B100)/SUMIFS($D$2:$D$741,$B$2:$B$741,B100)</f>
        <v>0.87894736842105259</v>
      </c>
      <c r="P100" s="4" t="b">
        <f t="shared" si="5"/>
        <v>1</v>
      </c>
      <c r="Q100" s="4" t="s">
        <v>23</v>
      </c>
      <c r="R100" s="4" t="s">
        <v>30</v>
      </c>
      <c r="S100" s="4" t="s">
        <v>25</v>
      </c>
      <c r="T100" s="4" t="s">
        <v>31</v>
      </c>
    </row>
    <row r="101" spans="1:20" x14ac:dyDescent="0.45">
      <c r="A101" s="4" t="s">
        <v>165</v>
      </c>
      <c r="B101" s="4" t="s">
        <v>152</v>
      </c>
      <c r="C101" s="5">
        <v>1</v>
      </c>
      <c r="D101" s="5">
        <v>15</v>
      </c>
      <c r="E101" s="5">
        <v>0</v>
      </c>
      <c r="F101" s="5">
        <v>0</v>
      </c>
      <c r="G101" s="5">
        <v>0</v>
      </c>
      <c r="H101" s="5">
        <v>15</v>
      </c>
      <c r="I101" s="6">
        <v>3</v>
      </c>
      <c r="J101" s="6">
        <v>2.8</v>
      </c>
      <c r="K101" s="6">
        <v>5</v>
      </c>
      <c r="L101" s="6">
        <v>5</v>
      </c>
      <c r="M101" s="4" t="str">
        <f t="shared" si="3"/>
        <v>OK</v>
      </c>
      <c r="N101" s="7">
        <f t="shared" si="4"/>
        <v>1.9736842105263157E-2</v>
      </c>
      <c r="O101" s="7">
        <f>SUMIFS($D$2:D101,$B$2:B101,B101)/SUMIFS($D$2:$D$741,$B$2:$B$741,B101)</f>
        <v>0.89868421052631575</v>
      </c>
      <c r="P101" s="4" t="b">
        <f t="shared" si="5"/>
        <v>1</v>
      </c>
      <c r="Q101" s="4" t="s">
        <v>23</v>
      </c>
      <c r="R101" s="4" t="s">
        <v>30</v>
      </c>
      <c r="S101" s="4" t="s">
        <v>25</v>
      </c>
      <c r="T101" s="4" t="s">
        <v>31</v>
      </c>
    </row>
    <row r="102" spans="1:20" x14ac:dyDescent="0.45">
      <c r="A102" s="4" t="s">
        <v>166</v>
      </c>
      <c r="B102" s="4" t="s">
        <v>152</v>
      </c>
      <c r="C102" s="5">
        <v>1</v>
      </c>
      <c r="D102" s="5">
        <v>12</v>
      </c>
      <c r="E102" s="5">
        <v>0</v>
      </c>
      <c r="F102" s="5">
        <v>0</v>
      </c>
      <c r="G102" s="5">
        <v>0</v>
      </c>
      <c r="H102" s="5">
        <v>12</v>
      </c>
      <c r="I102" s="6">
        <v>1</v>
      </c>
      <c r="J102" s="6">
        <v>2.2000000000000002</v>
      </c>
      <c r="K102" s="6">
        <v>5</v>
      </c>
      <c r="L102" s="6">
        <v>4.9000000000000004</v>
      </c>
      <c r="M102" s="4" t="str">
        <f t="shared" si="3"/>
        <v>OK</v>
      </c>
      <c r="N102" s="7">
        <f t="shared" si="4"/>
        <v>1.5789473684210527E-2</v>
      </c>
      <c r="O102" s="7">
        <f>SUMIFS($D$2:D102,$B$2:B102,B102)/SUMIFS($D$2:$D$741,$B$2:$B$741,B102)</f>
        <v>0.91447368421052633</v>
      </c>
      <c r="P102" s="4" t="b">
        <f t="shared" si="5"/>
        <v>1</v>
      </c>
      <c r="Q102" s="4" t="s">
        <v>23</v>
      </c>
      <c r="R102" s="4" t="s">
        <v>30</v>
      </c>
      <c r="S102" s="4" t="s">
        <v>25</v>
      </c>
      <c r="T102" s="4" t="s">
        <v>31</v>
      </c>
    </row>
    <row r="103" spans="1:20" x14ac:dyDescent="0.45">
      <c r="A103" s="4" t="s">
        <v>167</v>
      </c>
      <c r="B103" s="4" t="s">
        <v>152</v>
      </c>
      <c r="C103" s="5">
        <v>1</v>
      </c>
      <c r="D103" s="5">
        <v>12</v>
      </c>
      <c r="E103" s="5">
        <v>0</v>
      </c>
      <c r="F103" s="5">
        <v>0</v>
      </c>
      <c r="G103" s="5">
        <v>0</v>
      </c>
      <c r="H103" s="5">
        <v>12</v>
      </c>
      <c r="I103" s="6">
        <v>3</v>
      </c>
      <c r="J103" s="6">
        <v>3.2</v>
      </c>
      <c r="K103" s="6">
        <v>6</v>
      </c>
      <c r="L103" s="6">
        <v>5.9</v>
      </c>
      <c r="M103" s="4" t="str">
        <f t="shared" si="3"/>
        <v>OK</v>
      </c>
      <c r="N103" s="7">
        <f t="shared" si="4"/>
        <v>1.5789473684210527E-2</v>
      </c>
      <c r="O103" s="7">
        <f>SUMIFS($D$2:D103,$B$2:B103,B103)/SUMIFS($D$2:$D$741,$B$2:$B$741,B103)</f>
        <v>0.93026315789473679</v>
      </c>
      <c r="P103" s="4" t="b">
        <f t="shared" si="5"/>
        <v>1</v>
      </c>
      <c r="Q103" s="4" t="s">
        <v>23</v>
      </c>
      <c r="R103" s="4" t="s">
        <v>24</v>
      </c>
      <c r="S103" s="4" t="s">
        <v>25</v>
      </c>
      <c r="T103" s="4" t="s">
        <v>26</v>
      </c>
    </row>
    <row r="104" spans="1:20" x14ac:dyDescent="0.45">
      <c r="A104" s="4" t="s">
        <v>168</v>
      </c>
      <c r="B104" s="4" t="s">
        <v>152</v>
      </c>
      <c r="C104" s="5">
        <v>1</v>
      </c>
      <c r="D104" s="5">
        <v>10</v>
      </c>
      <c r="E104" s="5">
        <v>0</v>
      </c>
      <c r="F104" s="5">
        <v>0</v>
      </c>
      <c r="G104" s="5">
        <v>0</v>
      </c>
      <c r="H104" s="5">
        <v>10</v>
      </c>
      <c r="I104" s="6">
        <v>2</v>
      </c>
      <c r="J104" s="6">
        <v>4.0999999999999996</v>
      </c>
      <c r="K104" s="6">
        <v>6</v>
      </c>
      <c r="L104" s="6">
        <v>5.9</v>
      </c>
      <c r="M104" s="4" t="str">
        <f t="shared" si="3"/>
        <v>OK</v>
      </c>
      <c r="N104" s="7">
        <f t="shared" si="4"/>
        <v>1.3157894736842105E-2</v>
      </c>
      <c r="O104" s="7">
        <f>SUMIFS($D$2:D104,$B$2:B104,B104)/SUMIFS($D$2:$D$741,$B$2:$B$741,B104)</f>
        <v>0.94342105263157894</v>
      </c>
      <c r="P104" s="4" t="b">
        <f t="shared" si="5"/>
        <v>1</v>
      </c>
      <c r="Q104" s="4" t="s">
        <v>23</v>
      </c>
      <c r="R104" s="4" t="s">
        <v>30</v>
      </c>
      <c r="S104" s="4" t="s">
        <v>25</v>
      </c>
      <c r="T104" s="4" t="s">
        <v>31</v>
      </c>
    </row>
    <row r="105" spans="1:20" x14ac:dyDescent="0.45">
      <c r="A105" s="4" t="s">
        <v>169</v>
      </c>
      <c r="B105" s="4" t="s">
        <v>152</v>
      </c>
      <c r="C105" s="5">
        <v>1</v>
      </c>
      <c r="D105" s="5">
        <v>10</v>
      </c>
      <c r="E105" s="5">
        <v>0</v>
      </c>
      <c r="F105" s="5">
        <v>0</v>
      </c>
      <c r="G105" s="5">
        <v>0</v>
      </c>
      <c r="H105" s="5">
        <v>10</v>
      </c>
      <c r="I105" s="6">
        <v>1.5</v>
      </c>
      <c r="J105" s="6">
        <v>1.9</v>
      </c>
      <c r="K105" s="6">
        <v>4</v>
      </c>
      <c r="L105" s="6">
        <v>4.0999999999999996</v>
      </c>
      <c r="M105" s="4" t="str">
        <f t="shared" si="3"/>
        <v>OK</v>
      </c>
      <c r="N105" s="7">
        <f t="shared" si="4"/>
        <v>1.3157894736842105E-2</v>
      </c>
      <c r="O105" s="7">
        <f>SUMIFS($D$2:D105,$B$2:B105,B105)/SUMIFS($D$2:$D$741,$B$2:$B$741,B105)</f>
        <v>0.95657894736842108</v>
      </c>
      <c r="P105" s="4" t="b">
        <f t="shared" si="5"/>
        <v>1</v>
      </c>
      <c r="Q105" s="4" t="s">
        <v>23</v>
      </c>
      <c r="R105" s="4" t="s">
        <v>30</v>
      </c>
      <c r="S105" s="4" t="s">
        <v>25</v>
      </c>
      <c r="T105" s="4" t="s">
        <v>31</v>
      </c>
    </row>
    <row r="106" spans="1:20" x14ac:dyDescent="0.45">
      <c r="A106" s="4" t="s">
        <v>170</v>
      </c>
      <c r="B106" s="4" t="s">
        <v>152</v>
      </c>
      <c r="C106" s="5">
        <v>1</v>
      </c>
      <c r="D106" s="5">
        <v>9</v>
      </c>
      <c r="E106" s="5">
        <v>0</v>
      </c>
      <c r="F106" s="5">
        <v>0</v>
      </c>
      <c r="G106" s="5">
        <v>0</v>
      </c>
      <c r="H106" s="5">
        <v>9</v>
      </c>
      <c r="I106" s="6">
        <v>7</v>
      </c>
      <c r="J106" s="6">
        <v>15.9</v>
      </c>
      <c r="K106" s="6">
        <v>42</v>
      </c>
      <c r="L106" s="6">
        <v>42.4</v>
      </c>
      <c r="M106" s="4" t="str">
        <f t="shared" si="3"/>
        <v>OK</v>
      </c>
      <c r="N106" s="7">
        <f t="shared" si="4"/>
        <v>1.1842105263157895E-2</v>
      </c>
      <c r="O106" s="7">
        <f>SUMIFS($D$2:D106,$B$2:B106,B106)/SUMIFS($D$2:$D$741,$B$2:$B$741,B106)</f>
        <v>0.96842105263157896</v>
      </c>
      <c r="P106" s="4" t="b">
        <f t="shared" si="5"/>
        <v>0</v>
      </c>
      <c r="Q106" s="4" t="s">
        <v>23</v>
      </c>
      <c r="R106" s="4" t="s">
        <v>105</v>
      </c>
      <c r="S106" s="4" t="s">
        <v>25</v>
      </c>
      <c r="T106" s="4" t="s">
        <v>106</v>
      </c>
    </row>
    <row r="107" spans="1:20" x14ac:dyDescent="0.45">
      <c r="A107" s="4" t="s">
        <v>171</v>
      </c>
      <c r="B107" s="4" t="s">
        <v>152</v>
      </c>
      <c r="C107" s="5">
        <v>1</v>
      </c>
      <c r="D107" s="5">
        <v>6</v>
      </c>
      <c r="E107" s="5">
        <v>0</v>
      </c>
      <c r="F107" s="5">
        <v>0</v>
      </c>
      <c r="G107" s="5">
        <v>0</v>
      </c>
      <c r="H107" s="5">
        <v>6</v>
      </c>
      <c r="I107" s="6">
        <v>5</v>
      </c>
      <c r="J107" s="6">
        <v>7.3</v>
      </c>
      <c r="K107" s="6">
        <v>16</v>
      </c>
      <c r="L107" s="6">
        <v>15.5</v>
      </c>
      <c r="M107" s="4" t="str">
        <f t="shared" si="3"/>
        <v>OK</v>
      </c>
      <c r="N107" s="7">
        <f t="shared" si="4"/>
        <v>7.8947368421052634E-3</v>
      </c>
      <c r="O107" s="7">
        <f>SUMIFS($D$2:D107,$B$2:B107,B107)/SUMIFS($D$2:$D$741,$B$2:$B$741,B107)</f>
        <v>0.97631578947368425</v>
      </c>
      <c r="P107" s="4" t="b">
        <f t="shared" si="5"/>
        <v>0</v>
      </c>
      <c r="Q107" s="4" t="s">
        <v>23</v>
      </c>
      <c r="R107" s="4" t="s">
        <v>24</v>
      </c>
      <c r="S107" s="4" t="s">
        <v>25</v>
      </c>
      <c r="T107" s="4" t="s">
        <v>26</v>
      </c>
    </row>
    <row r="108" spans="1:20" x14ac:dyDescent="0.45">
      <c r="A108" s="4" t="s">
        <v>172</v>
      </c>
      <c r="B108" s="4" t="s">
        <v>152</v>
      </c>
      <c r="C108" s="5">
        <v>1</v>
      </c>
      <c r="D108" s="5">
        <v>6</v>
      </c>
      <c r="E108" s="5">
        <v>0</v>
      </c>
      <c r="F108" s="5">
        <v>0</v>
      </c>
      <c r="G108" s="5">
        <v>0</v>
      </c>
      <c r="H108" s="5">
        <v>6</v>
      </c>
      <c r="I108" s="6">
        <v>20</v>
      </c>
      <c r="J108" s="6">
        <v>18.7</v>
      </c>
      <c r="K108" s="6">
        <v>22</v>
      </c>
      <c r="L108" s="6">
        <v>21.5</v>
      </c>
      <c r="M108" s="4" t="str">
        <f t="shared" si="3"/>
        <v>OK</v>
      </c>
      <c r="N108" s="7">
        <f t="shared" si="4"/>
        <v>7.8947368421052634E-3</v>
      </c>
      <c r="O108" s="7">
        <f>SUMIFS($D$2:D108,$B$2:B108,B108)/SUMIFS($D$2:$D$741,$B$2:$B$741,B108)</f>
        <v>0.98421052631578942</v>
      </c>
      <c r="P108" s="4" t="b">
        <f t="shared" si="5"/>
        <v>0</v>
      </c>
      <c r="Q108" s="4" t="s">
        <v>23</v>
      </c>
      <c r="R108" s="4" t="s">
        <v>30</v>
      </c>
      <c r="S108" s="4" t="s">
        <v>25</v>
      </c>
      <c r="T108" s="4" t="s">
        <v>31</v>
      </c>
    </row>
    <row r="109" spans="1:20" x14ac:dyDescent="0.45">
      <c r="A109" s="4" t="s">
        <v>173</v>
      </c>
      <c r="B109" s="4" t="s">
        <v>152</v>
      </c>
      <c r="C109" s="5">
        <v>1</v>
      </c>
      <c r="D109" s="5">
        <v>5</v>
      </c>
      <c r="E109" s="5">
        <v>0</v>
      </c>
      <c r="F109" s="5">
        <v>0</v>
      </c>
      <c r="G109" s="5">
        <v>0</v>
      </c>
      <c r="H109" s="5">
        <v>5</v>
      </c>
      <c r="I109" s="6">
        <v>1</v>
      </c>
      <c r="J109" s="6">
        <v>2.6</v>
      </c>
      <c r="K109" s="6">
        <v>5</v>
      </c>
      <c r="L109" s="6">
        <v>5.4</v>
      </c>
      <c r="M109" s="4" t="str">
        <f t="shared" si="3"/>
        <v>OK</v>
      </c>
      <c r="N109" s="7">
        <f t="shared" si="4"/>
        <v>6.5789473684210523E-3</v>
      </c>
      <c r="O109" s="7">
        <f>SUMIFS($D$2:D109,$B$2:B109,B109)/SUMIFS($D$2:$D$741,$B$2:$B$741,B109)</f>
        <v>0.99078947368421055</v>
      </c>
      <c r="P109" s="4" t="b">
        <f t="shared" si="5"/>
        <v>0</v>
      </c>
      <c r="Q109" s="4" t="s">
        <v>23</v>
      </c>
      <c r="R109" s="4" t="s">
        <v>30</v>
      </c>
      <c r="S109" s="4" t="s">
        <v>25</v>
      </c>
      <c r="T109" s="4" t="s">
        <v>31</v>
      </c>
    </row>
    <row r="110" spans="1:20" x14ac:dyDescent="0.45">
      <c r="A110" s="4" t="s">
        <v>174</v>
      </c>
      <c r="B110" s="4" t="s">
        <v>152</v>
      </c>
      <c r="C110" s="5">
        <v>1</v>
      </c>
      <c r="D110" s="5">
        <v>4</v>
      </c>
      <c r="E110" s="5">
        <v>0</v>
      </c>
      <c r="F110" s="5">
        <v>0</v>
      </c>
      <c r="G110" s="5">
        <v>0</v>
      </c>
      <c r="H110" s="5">
        <v>4</v>
      </c>
      <c r="I110" s="6">
        <v>3</v>
      </c>
      <c r="J110" s="6">
        <v>6.2</v>
      </c>
      <c r="K110" s="6">
        <v>14</v>
      </c>
      <c r="L110" s="6">
        <v>13.8</v>
      </c>
      <c r="M110" s="4" t="str">
        <f t="shared" si="3"/>
        <v>OK</v>
      </c>
      <c r="N110" s="7">
        <f t="shared" si="4"/>
        <v>5.263157894736842E-3</v>
      </c>
      <c r="O110" s="7">
        <f>SUMIFS($D$2:D110,$B$2:B110,B110)/SUMIFS($D$2:$D$741,$B$2:$B$741,B110)</f>
        <v>0.99605263157894741</v>
      </c>
      <c r="P110" s="4" t="b">
        <f t="shared" si="5"/>
        <v>0</v>
      </c>
      <c r="Q110" s="4" t="s">
        <v>23</v>
      </c>
      <c r="R110" s="4" t="s">
        <v>30</v>
      </c>
      <c r="S110" s="4" t="s">
        <v>25</v>
      </c>
      <c r="T110" s="4" t="s">
        <v>31</v>
      </c>
    </row>
    <row r="111" spans="1:20" x14ac:dyDescent="0.45">
      <c r="A111" s="4" t="s">
        <v>175</v>
      </c>
      <c r="B111" s="4" t="s">
        <v>152</v>
      </c>
      <c r="C111" s="5">
        <v>1</v>
      </c>
      <c r="D111" s="5">
        <v>1</v>
      </c>
      <c r="E111" s="5">
        <v>0</v>
      </c>
      <c r="F111" s="5">
        <v>0</v>
      </c>
      <c r="G111" s="5">
        <v>0</v>
      </c>
      <c r="H111" s="5">
        <v>1</v>
      </c>
      <c r="I111" s="6">
        <v>0</v>
      </c>
      <c r="J111" s="6">
        <v>0</v>
      </c>
      <c r="K111" s="6">
        <v>0</v>
      </c>
      <c r="L111" s="6">
        <v>0</v>
      </c>
      <c r="M111" s="4" t="str">
        <f t="shared" si="3"/>
        <v>OK</v>
      </c>
      <c r="N111" s="7">
        <f t="shared" si="4"/>
        <v>1.3157894736842105E-3</v>
      </c>
      <c r="O111" s="7">
        <f>SUMIFS($D$2:D111,$B$2:B111,B111)/SUMIFS($D$2:$D$741,$B$2:$B$741,B111)</f>
        <v>0.99736842105263157</v>
      </c>
      <c r="P111" s="4" t="b">
        <f t="shared" si="5"/>
        <v>0</v>
      </c>
      <c r="Q111" s="4" t="s">
        <v>23</v>
      </c>
      <c r="R111" s="4" t="s">
        <v>30</v>
      </c>
      <c r="S111" s="4" t="s">
        <v>25</v>
      </c>
      <c r="T111" s="4" t="s">
        <v>31</v>
      </c>
    </row>
    <row r="112" spans="1:20" x14ac:dyDescent="0.45">
      <c r="A112" s="4" t="s">
        <v>176</v>
      </c>
      <c r="B112" s="4" t="s">
        <v>152</v>
      </c>
      <c r="C112" s="5">
        <v>1</v>
      </c>
      <c r="D112" s="5">
        <v>1</v>
      </c>
      <c r="E112" s="5">
        <v>0</v>
      </c>
      <c r="F112" s="5">
        <v>0</v>
      </c>
      <c r="G112" s="5">
        <v>0</v>
      </c>
      <c r="H112" s="5">
        <v>1</v>
      </c>
      <c r="I112" s="6">
        <v>0</v>
      </c>
      <c r="J112" s="6">
        <v>0</v>
      </c>
      <c r="K112" s="6">
        <v>0</v>
      </c>
      <c r="L112" s="6">
        <v>0</v>
      </c>
      <c r="M112" s="4" t="str">
        <f t="shared" si="3"/>
        <v>OK</v>
      </c>
      <c r="N112" s="7">
        <f t="shared" si="4"/>
        <v>1.3157894736842105E-3</v>
      </c>
      <c r="O112" s="7">
        <f>SUMIFS($D$2:D112,$B$2:B112,B112)/SUMIFS($D$2:$D$741,$B$2:$B$741,B112)</f>
        <v>0.99868421052631584</v>
      </c>
      <c r="P112" s="4" t="b">
        <f t="shared" si="5"/>
        <v>0</v>
      </c>
      <c r="Q112" s="4" t="s">
        <v>23</v>
      </c>
      <c r="R112" s="4" t="s">
        <v>30</v>
      </c>
      <c r="S112" s="4" t="s">
        <v>25</v>
      </c>
      <c r="T112" s="4" t="s">
        <v>31</v>
      </c>
    </row>
    <row r="113" spans="1:20" x14ac:dyDescent="0.45">
      <c r="A113" s="4" t="s">
        <v>177</v>
      </c>
      <c r="B113" s="4" t="s">
        <v>152</v>
      </c>
      <c r="C113" s="5">
        <v>1</v>
      </c>
      <c r="D113" s="5">
        <v>1</v>
      </c>
      <c r="E113" s="5">
        <v>0</v>
      </c>
      <c r="F113" s="5">
        <v>0</v>
      </c>
      <c r="G113" s="5">
        <v>0</v>
      </c>
      <c r="H113" s="5">
        <v>1</v>
      </c>
      <c r="I113" s="6">
        <v>94</v>
      </c>
      <c r="J113" s="6">
        <v>94</v>
      </c>
      <c r="K113" s="6">
        <v>94</v>
      </c>
      <c r="L113" s="6">
        <v>94</v>
      </c>
      <c r="M113" s="4" t="str">
        <f t="shared" si="3"/>
        <v>OK</v>
      </c>
      <c r="N113" s="7">
        <f t="shared" si="4"/>
        <v>1.3157894736842105E-3</v>
      </c>
      <c r="O113" s="7">
        <f>SUMIFS($D$2:D113,$B$2:B113,B113)/SUMIFS($D$2:$D$741,$B$2:$B$741,B113)</f>
        <v>1</v>
      </c>
      <c r="P113" s="4" t="b">
        <f t="shared" si="5"/>
        <v>0</v>
      </c>
      <c r="Q113" s="4" t="s">
        <v>23</v>
      </c>
      <c r="R113" s="4" t="s">
        <v>105</v>
      </c>
      <c r="S113" s="4" t="s">
        <v>25</v>
      </c>
      <c r="T113" s="4" t="s">
        <v>106</v>
      </c>
    </row>
    <row r="114" spans="1:20" x14ac:dyDescent="0.45">
      <c r="A114" s="9" t="s">
        <v>178</v>
      </c>
      <c r="B114" s="9" t="s">
        <v>179</v>
      </c>
      <c r="C114" s="10">
        <v>1</v>
      </c>
      <c r="D114" s="10">
        <v>30</v>
      </c>
      <c r="E114" s="10">
        <v>12</v>
      </c>
      <c r="F114" s="10">
        <v>0</v>
      </c>
      <c r="G114" s="10">
        <v>0</v>
      </c>
      <c r="H114" s="10">
        <v>30</v>
      </c>
      <c r="I114" s="11">
        <v>4.5</v>
      </c>
      <c r="J114" s="11">
        <v>4.4000000000000004</v>
      </c>
      <c r="K114" s="11">
        <v>7</v>
      </c>
      <c r="L114" s="11">
        <v>7.1</v>
      </c>
      <c r="M114" s="9" t="str">
        <f t="shared" si="3"/>
        <v>OK</v>
      </c>
      <c r="N114" s="12">
        <f t="shared" si="4"/>
        <v>0.25423728813559321</v>
      </c>
      <c r="O114" s="12">
        <f>SUMIFS($D$2:D114,$B$2:B114,B114)/SUMIFS($D$2:$D$741,$B$2:$B$741,B114)</f>
        <v>0.25423728813559321</v>
      </c>
      <c r="P114" s="9" t="b">
        <f t="shared" si="5"/>
        <v>1</v>
      </c>
      <c r="Q114" s="9" t="s">
        <v>23</v>
      </c>
      <c r="R114" s="9" t="s">
        <v>75</v>
      </c>
      <c r="S114" s="9" t="s">
        <v>25</v>
      </c>
      <c r="T114" s="9" t="s">
        <v>76</v>
      </c>
    </row>
    <row r="115" spans="1:20" x14ac:dyDescent="0.45">
      <c r="A115" s="4" t="s">
        <v>180</v>
      </c>
      <c r="B115" s="4" t="s">
        <v>179</v>
      </c>
      <c r="C115" s="5">
        <v>2</v>
      </c>
      <c r="D115" s="5">
        <v>21</v>
      </c>
      <c r="E115" s="5">
        <v>0</v>
      </c>
      <c r="F115" s="5">
        <v>0</v>
      </c>
      <c r="G115" s="5">
        <v>0</v>
      </c>
      <c r="H115" s="5">
        <v>21</v>
      </c>
      <c r="I115" s="6">
        <v>5</v>
      </c>
      <c r="J115" s="6">
        <v>7.7</v>
      </c>
      <c r="K115" s="6">
        <v>19</v>
      </c>
      <c r="L115" s="6">
        <v>19</v>
      </c>
      <c r="M115" s="4" t="str">
        <f t="shared" si="3"/>
        <v>OK</v>
      </c>
      <c r="N115" s="7">
        <f t="shared" si="4"/>
        <v>0.17796610169491525</v>
      </c>
      <c r="O115" s="7">
        <f>SUMIFS($D$2:D115,$B$2:B115,B115)/SUMIFS($D$2:$D$741,$B$2:$B$741,B115)</f>
        <v>0.43220338983050849</v>
      </c>
      <c r="P115" s="4" t="b">
        <f t="shared" si="5"/>
        <v>1</v>
      </c>
      <c r="Q115" s="4" t="s">
        <v>23</v>
      </c>
      <c r="R115" s="4" t="s">
        <v>75</v>
      </c>
      <c r="S115" s="4" t="s">
        <v>25</v>
      </c>
      <c r="T115" s="4" t="s">
        <v>76</v>
      </c>
    </row>
    <row r="116" spans="1:20" x14ac:dyDescent="0.45">
      <c r="A116" s="4" t="s">
        <v>181</v>
      </c>
      <c r="B116" s="4" t="s">
        <v>179</v>
      </c>
      <c r="C116" s="5">
        <v>1</v>
      </c>
      <c r="D116" s="5">
        <v>19</v>
      </c>
      <c r="E116" s="5">
        <v>0</v>
      </c>
      <c r="F116" s="5">
        <v>0</v>
      </c>
      <c r="G116" s="5">
        <v>0</v>
      </c>
      <c r="H116" s="5">
        <v>19</v>
      </c>
      <c r="I116" s="6">
        <v>3</v>
      </c>
      <c r="J116" s="6">
        <v>3.7</v>
      </c>
      <c r="K116" s="6">
        <v>7</v>
      </c>
      <c r="L116" s="6">
        <v>7</v>
      </c>
      <c r="M116" s="4" t="str">
        <f t="shared" si="3"/>
        <v>OK</v>
      </c>
      <c r="N116" s="7">
        <f t="shared" si="4"/>
        <v>0.16101694915254236</v>
      </c>
      <c r="O116" s="7">
        <f>SUMIFS($D$2:D116,$B$2:B116,B116)/SUMIFS($D$2:$D$741,$B$2:$B$741,B116)</f>
        <v>0.59322033898305082</v>
      </c>
      <c r="P116" s="4" t="b">
        <f t="shared" si="5"/>
        <v>1</v>
      </c>
      <c r="Q116" s="4" t="s">
        <v>23</v>
      </c>
      <c r="R116" s="4" t="s">
        <v>75</v>
      </c>
      <c r="S116" s="4" t="s">
        <v>25</v>
      </c>
      <c r="T116" s="4" t="s">
        <v>76</v>
      </c>
    </row>
    <row r="117" spans="1:20" x14ac:dyDescent="0.45">
      <c r="A117" s="4" t="s">
        <v>182</v>
      </c>
      <c r="B117" s="4" t="s">
        <v>179</v>
      </c>
      <c r="C117" s="5">
        <v>1</v>
      </c>
      <c r="D117" s="5">
        <v>18</v>
      </c>
      <c r="E117" s="5">
        <v>3</v>
      </c>
      <c r="F117" s="5">
        <v>0</v>
      </c>
      <c r="G117" s="5">
        <v>0</v>
      </c>
      <c r="H117" s="5">
        <v>18</v>
      </c>
      <c r="I117" s="6">
        <v>19</v>
      </c>
      <c r="J117" s="6">
        <v>40.299999999999997</v>
      </c>
      <c r="K117" s="6">
        <v>107</v>
      </c>
      <c r="L117" s="6">
        <v>107.2</v>
      </c>
      <c r="M117" s="4" t="str">
        <f t="shared" si="3"/>
        <v>OK</v>
      </c>
      <c r="N117" s="7">
        <f t="shared" si="4"/>
        <v>0.15254237288135594</v>
      </c>
      <c r="O117" s="7">
        <f>SUMIFS($D$2:D117,$B$2:B117,B117)/SUMIFS($D$2:$D$741,$B$2:$B$741,B117)</f>
        <v>0.74576271186440679</v>
      </c>
      <c r="P117" s="4" t="b">
        <f t="shared" si="5"/>
        <v>1</v>
      </c>
      <c r="Q117" s="4" t="s">
        <v>23</v>
      </c>
      <c r="R117" s="4" t="s">
        <v>105</v>
      </c>
      <c r="S117" s="4" t="s">
        <v>25</v>
      </c>
      <c r="T117" s="4" t="s">
        <v>106</v>
      </c>
    </row>
    <row r="118" spans="1:20" x14ac:dyDescent="0.45">
      <c r="A118" s="4" t="s">
        <v>183</v>
      </c>
      <c r="B118" s="4" t="s">
        <v>179</v>
      </c>
      <c r="C118" s="5">
        <v>1</v>
      </c>
      <c r="D118" s="5">
        <v>16</v>
      </c>
      <c r="E118" s="5">
        <v>0</v>
      </c>
      <c r="F118" s="5">
        <v>0</v>
      </c>
      <c r="G118" s="5">
        <v>0</v>
      </c>
      <c r="H118" s="5">
        <v>16</v>
      </c>
      <c r="I118" s="6">
        <v>20</v>
      </c>
      <c r="J118" s="6">
        <v>21.1</v>
      </c>
      <c r="K118" s="6">
        <v>34</v>
      </c>
      <c r="L118" s="6">
        <v>34.5</v>
      </c>
      <c r="M118" s="4" t="str">
        <f t="shared" si="3"/>
        <v>OK</v>
      </c>
      <c r="N118" s="7">
        <f t="shared" si="4"/>
        <v>0.13559322033898305</v>
      </c>
      <c r="O118" s="7">
        <f>SUMIFS($D$2:D118,$B$2:B118,B118)/SUMIFS($D$2:$D$741,$B$2:$B$741,B118)</f>
        <v>0.88135593220338981</v>
      </c>
      <c r="P118" s="4" t="b">
        <f t="shared" si="5"/>
        <v>1</v>
      </c>
      <c r="Q118" s="4" t="s">
        <v>23</v>
      </c>
      <c r="R118" s="4" t="s">
        <v>105</v>
      </c>
      <c r="S118" s="4" t="s">
        <v>25</v>
      </c>
      <c r="T118" s="4" t="s">
        <v>106</v>
      </c>
    </row>
    <row r="119" spans="1:20" x14ac:dyDescent="0.45">
      <c r="A119" s="4" t="s">
        <v>184</v>
      </c>
      <c r="B119" s="4" t="s">
        <v>179</v>
      </c>
      <c r="C119" s="5">
        <v>2</v>
      </c>
      <c r="D119" s="5">
        <v>4</v>
      </c>
      <c r="E119" s="5">
        <v>0</v>
      </c>
      <c r="F119" s="5">
        <v>0</v>
      </c>
      <c r="G119" s="5">
        <v>0</v>
      </c>
      <c r="H119" s="5">
        <v>4</v>
      </c>
      <c r="I119" s="6">
        <v>6.5</v>
      </c>
      <c r="J119" s="6">
        <v>15.8</v>
      </c>
      <c r="K119" s="6">
        <v>36</v>
      </c>
      <c r="L119" s="6">
        <v>35.700000000000003</v>
      </c>
      <c r="M119" s="4" t="str">
        <f t="shared" si="3"/>
        <v>OK</v>
      </c>
      <c r="N119" s="7">
        <f t="shared" si="4"/>
        <v>3.3898305084745763E-2</v>
      </c>
      <c r="O119" s="7">
        <f>SUMIFS($D$2:D119,$B$2:B119,B119)/SUMIFS($D$2:$D$741,$B$2:$B$741,B119)</f>
        <v>0.9152542372881356</v>
      </c>
      <c r="P119" s="4" t="b">
        <f t="shared" si="5"/>
        <v>1</v>
      </c>
      <c r="Q119" s="4" t="s">
        <v>23</v>
      </c>
      <c r="R119" s="4" t="s">
        <v>105</v>
      </c>
      <c r="S119" s="4" t="s">
        <v>25</v>
      </c>
      <c r="T119" s="4" t="s">
        <v>106</v>
      </c>
    </row>
    <row r="120" spans="1:20" x14ac:dyDescent="0.45">
      <c r="A120" s="4" t="s">
        <v>185</v>
      </c>
      <c r="B120" s="4" t="s">
        <v>179</v>
      </c>
      <c r="C120" s="5">
        <v>1</v>
      </c>
      <c r="D120" s="5">
        <v>4</v>
      </c>
      <c r="E120" s="5">
        <v>0</v>
      </c>
      <c r="F120" s="5">
        <v>0</v>
      </c>
      <c r="G120" s="5">
        <v>0</v>
      </c>
      <c r="H120" s="5">
        <v>4</v>
      </c>
      <c r="I120" s="6">
        <v>1</v>
      </c>
      <c r="J120" s="6">
        <v>1.8</v>
      </c>
      <c r="K120" s="6">
        <v>4</v>
      </c>
      <c r="L120" s="6">
        <v>4.0999999999999996</v>
      </c>
      <c r="M120" s="4" t="str">
        <f t="shared" si="3"/>
        <v>OK</v>
      </c>
      <c r="N120" s="7">
        <f t="shared" si="4"/>
        <v>3.3898305084745763E-2</v>
      </c>
      <c r="O120" s="7">
        <f>SUMIFS($D$2:D120,$B$2:B120,B120)/SUMIFS($D$2:$D$741,$B$2:$B$741,B120)</f>
        <v>0.94915254237288138</v>
      </c>
      <c r="P120" s="4" t="b">
        <f t="shared" si="5"/>
        <v>1</v>
      </c>
      <c r="Q120" s="4" t="s">
        <v>23</v>
      </c>
      <c r="R120" s="4" t="s">
        <v>75</v>
      </c>
      <c r="S120" s="4" t="s">
        <v>25</v>
      </c>
      <c r="T120" s="4" t="s">
        <v>76</v>
      </c>
    </row>
    <row r="121" spans="1:20" x14ac:dyDescent="0.45">
      <c r="A121" s="4" t="s">
        <v>186</v>
      </c>
      <c r="B121" s="4" t="s">
        <v>179</v>
      </c>
      <c r="C121" s="5">
        <v>1</v>
      </c>
      <c r="D121" s="5">
        <v>4</v>
      </c>
      <c r="E121" s="5">
        <v>3</v>
      </c>
      <c r="F121" s="5">
        <v>1</v>
      </c>
      <c r="G121" s="5">
        <v>1</v>
      </c>
      <c r="H121" s="5">
        <v>3</v>
      </c>
      <c r="I121" s="6">
        <v>53</v>
      </c>
      <c r="J121" s="6">
        <v>60</v>
      </c>
      <c r="K121" s="6">
        <v>101</v>
      </c>
      <c r="L121" s="6">
        <v>101</v>
      </c>
      <c r="M121" s="4" t="str">
        <f t="shared" si="3"/>
        <v>OK</v>
      </c>
      <c r="N121" s="7">
        <f t="shared" si="4"/>
        <v>3.3898305084745763E-2</v>
      </c>
      <c r="O121" s="7">
        <f>SUMIFS($D$2:D121,$B$2:B121,B121)/SUMIFS($D$2:$D$741,$B$2:$B$741,B121)</f>
        <v>0.98305084745762716</v>
      </c>
      <c r="P121" s="4" t="b">
        <f t="shared" si="5"/>
        <v>1</v>
      </c>
      <c r="Q121" s="4" t="s">
        <v>23</v>
      </c>
      <c r="R121" s="4" t="s">
        <v>30</v>
      </c>
      <c r="S121" s="4" t="s">
        <v>25</v>
      </c>
      <c r="T121" s="4" t="s">
        <v>31</v>
      </c>
    </row>
    <row r="122" spans="1:20" x14ac:dyDescent="0.45">
      <c r="A122" s="4" t="s">
        <v>187</v>
      </c>
      <c r="B122" s="4" t="s">
        <v>179</v>
      </c>
      <c r="C122" s="5">
        <v>1</v>
      </c>
      <c r="D122" s="5">
        <v>2</v>
      </c>
      <c r="E122" s="5">
        <v>0</v>
      </c>
      <c r="F122" s="5">
        <v>0</v>
      </c>
      <c r="G122" s="5">
        <v>0</v>
      </c>
      <c r="H122" s="5">
        <v>2</v>
      </c>
      <c r="I122" s="6">
        <v>2</v>
      </c>
      <c r="J122" s="6">
        <v>2</v>
      </c>
      <c r="K122" s="6">
        <v>3</v>
      </c>
      <c r="L122" s="6">
        <v>2.8</v>
      </c>
      <c r="M122" s="4" t="str">
        <f t="shared" si="3"/>
        <v>OK</v>
      </c>
      <c r="N122" s="7">
        <f t="shared" si="4"/>
        <v>1.6949152542372881E-2</v>
      </c>
      <c r="O122" s="7">
        <f>SUMIFS($D$2:D122,$B$2:B122,B122)/SUMIFS($D$2:$D$741,$B$2:$B$741,B122)</f>
        <v>1</v>
      </c>
      <c r="P122" s="4" t="b">
        <f t="shared" si="5"/>
        <v>0</v>
      </c>
      <c r="Q122" s="4" t="s">
        <v>23</v>
      </c>
      <c r="R122" s="4" t="s">
        <v>75</v>
      </c>
      <c r="S122" s="4" t="s">
        <v>25</v>
      </c>
      <c r="T122" s="4" t="s">
        <v>76</v>
      </c>
    </row>
    <row r="123" spans="1:20" x14ac:dyDescent="0.45">
      <c r="A123" s="9" t="s">
        <v>188</v>
      </c>
      <c r="B123" s="9" t="s">
        <v>189</v>
      </c>
      <c r="C123" s="10">
        <v>2</v>
      </c>
      <c r="D123" s="10">
        <v>49297</v>
      </c>
      <c r="E123" s="10">
        <v>6028</v>
      </c>
      <c r="F123" s="10">
        <v>46</v>
      </c>
      <c r="G123" s="10">
        <v>46</v>
      </c>
      <c r="H123" s="10">
        <v>48657</v>
      </c>
      <c r="I123" s="11">
        <v>5</v>
      </c>
      <c r="J123" s="11">
        <v>9.3000000000000007</v>
      </c>
      <c r="K123" s="11">
        <v>19</v>
      </c>
      <c r="L123" s="11">
        <v>19</v>
      </c>
      <c r="M123" s="9" t="str">
        <f t="shared" si="3"/>
        <v>OK</v>
      </c>
      <c r="N123" s="12">
        <f t="shared" si="4"/>
        <v>0.13791029410530498</v>
      </c>
      <c r="O123" s="12">
        <f>SUMIFS($D$2:D123,$B$2:B123,B123)/SUMIFS($D$2:$D$741,$B$2:$B$741,B123)</f>
        <v>0.13791029410530498</v>
      </c>
      <c r="P123" s="9" t="b">
        <f t="shared" si="5"/>
        <v>1</v>
      </c>
      <c r="Q123" s="9" t="s">
        <v>23</v>
      </c>
      <c r="R123" s="9" t="s">
        <v>91</v>
      </c>
      <c r="S123" s="9" t="s">
        <v>109</v>
      </c>
      <c r="T123" s="9" t="s">
        <v>190</v>
      </c>
    </row>
    <row r="124" spans="1:20" x14ac:dyDescent="0.45">
      <c r="A124" s="4" t="s">
        <v>191</v>
      </c>
      <c r="B124" s="4" t="s">
        <v>189</v>
      </c>
      <c r="C124" s="5">
        <v>2</v>
      </c>
      <c r="D124" s="5">
        <v>44141</v>
      </c>
      <c r="E124" s="5">
        <v>11071</v>
      </c>
      <c r="F124" s="5">
        <v>617</v>
      </c>
      <c r="G124" s="5">
        <v>293</v>
      </c>
      <c r="H124" s="5">
        <v>43523</v>
      </c>
      <c r="I124" s="6">
        <v>8</v>
      </c>
      <c r="J124" s="6">
        <v>13.5</v>
      </c>
      <c r="K124" s="6">
        <v>23</v>
      </c>
      <c r="L124" s="6">
        <v>23</v>
      </c>
      <c r="M124" s="4" t="str">
        <f t="shared" si="3"/>
        <v>OK</v>
      </c>
      <c r="N124" s="7">
        <f t="shared" si="4"/>
        <v>0.12348618155470448</v>
      </c>
      <c r="O124" s="7">
        <f>SUMIFS($D$2:D124,$B$2:B124,B124)/SUMIFS($D$2:$D$741,$B$2:$B$741,B124)</f>
        <v>0.26139647566000945</v>
      </c>
      <c r="P124" s="4" t="b">
        <f t="shared" si="5"/>
        <v>1</v>
      </c>
      <c r="Q124" s="4" t="s">
        <v>192</v>
      </c>
      <c r="R124" s="4" t="s">
        <v>193</v>
      </c>
      <c r="S124" s="4" t="s">
        <v>25</v>
      </c>
      <c r="T124" s="4" t="s">
        <v>194</v>
      </c>
    </row>
    <row r="125" spans="1:20" x14ac:dyDescent="0.45">
      <c r="A125" s="4" t="s">
        <v>195</v>
      </c>
      <c r="B125" s="4" t="s">
        <v>189</v>
      </c>
      <c r="C125" s="5">
        <v>2</v>
      </c>
      <c r="D125" s="5">
        <v>39298</v>
      </c>
      <c r="E125" s="5">
        <v>10003</v>
      </c>
      <c r="F125" s="5">
        <v>895</v>
      </c>
      <c r="G125" s="5">
        <v>180</v>
      </c>
      <c r="H125" s="5">
        <v>38403</v>
      </c>
      <c r="I125" s="6">
        <v>30</v>
      </c>
      <c r="J125" s="6">
        <v>26.5</v>
      </c>
      <c r="K125" s="6">
        <v>41</v>
      </c>
      <c r="L125" s="6">
        <v>41</v>
      </c>
      <c r="M125" s="4" t="str">
        <f t="shared" si="3"/>
        <v>OK</v>
      </c>
      <c r="N125" s="7">
        <f t="shared" si="4"/>
        <v>0.1099376988001354</v>
      </c>
      <c r="O125" s="7">
        <f>SUMIFS($D$2:D125,$B$2:B125,B125)/SUMIFS($D$2:$D$741,$B$2:$B$741,B125)</f>
        <v>0.37133417446014488</v>
      </c>
      <c r="P125" s="4" t="b">
        <f t="shared" si="5"/>
        <v>1</v>
      </c>
      <c r="Q125" s="4" t="s">
        <v>23</v>
      </c>
      <c r="R125" s="4" t="s">
        <v>91</v>
      </c>
      <c r="S125" s="4" t="s">
        <v>25</v>
      </c>
      <c r="T125" s="4" t="s">
        <v>196</v>
      </c>
    </row>
    <row r="126" spans="1:20" x14ac:dyDescent="0.45">
      <c r="A126" s="4" t="s">
        <v>197</v>
      </c>
      <c r="B126" s="4" t="s">
        <v>189</v>
      </c>
      <c r="C126" s="5">
        <v>2</v>
      </c>
      <c r="D126" s="5">
        <v>33965</v>
      </c>
      <c r="E126" s="5">
        <v>7844</v>
      </c>
      <c r="F126" s="5">
        <v>694</v>
      </c>
      <c r="G126" s="5">
        <v>309</v>
      </c>
      <c r="H126" s="5">
        <v>33271</v>
      </c>
      <c r="I126" s="6">
        <v>5</v>
      </c>
      <c r="J126" s="6">
        <v>15.1</v>
      </c>
      <c r="K126" s="6">
        <v>33</v>
      </c>
      <c r="L126" s="6">
        <v>33</v>
      </c>
      <c r="M126" s="4" t="str">
        <f t="shared" si="3"/>
        <v>OK</v>
      </c>
      <c r="N126" s="7">
        <f t="shared" si="4"/>
        <v>9.5018421796188079E-2</v>
      </c>
      <c r="O126" s="7">
        <f>SUMIFS($D$2:D126,$B$2:B126,B126)/SUMIFS($D$2:$D$741,$B$2:$B$741,B126)</f>
        <v>0.46635259625633291</v>
      </c>
      <c r="P126" s="4" t="b">
        <f t="shared" si="5"/>
        <v>1</v>
      </c>
      <c r="Q126" s="4" t="s">
        <v>23</v>
      </c>
      <c r="R126" s="4" t="s">
        <v>91</v>
      </c>
      <c r="S126" s="4" t="s">
        <v>109</v>
      </c>
      <c r="T126" s="4" t="s">
        <v>198</v>
      </c>
    </row>
    <row r="127" spans="1:20" x14ac:dyDescent="0.45">
      <c r="A127" s="4" t="s">
        <v>199</v>
      </c>
      <c r="B127" s="4" t="s">
        <v>189</v>
      </c>
      <c r="C127" s="5">
        <v>2</v>
      </c>
      <c r="D127" s="5">
        <v>29665</v>
      </c>
      <c r="E127" s="5">
        <v>5404</v>
      </c>
      <c r="F127" s="5">
        <v>388</v>
      </c>
      <c r="G127" s="5">
        <v>165</v>
      </c>
      <c r="H127" s="5">
        <v>29277</v>
      </c>
      <c r="I127" s="6">
        <v>4</v>
      </c>
      <c r="J127" s="6">
        <v>12.7</v>
      </c>
      <c r="K127" s="6">
        <v>29</v>
      </c>
      <c r="L127" s="6">
        <v>29</v>
      </c>
      <c r="M127" s="4" t="str">
        <f t="shared" si="3"/>
        <v>OK</v>
      </c>
      <c r="N127" s="7">
        <f t="shared" si="4"/>
        <v>8.2989002873072842E-2</v>
      </c>
      <c r="O127" s="7">
        <f>SUMIFS($D$2:D127,$B$2:B127,B127)/SUMIFS($D$2:$D$741,$B$2:$B$741,B127)</f>
        <v>0.54934159912940572</v>
      </c>
      <c r="P127" s="4" t="b">
        <f t="shared" si="5"/>
        <v>1</v>
      </c>
      <c r="Q127" s="4" t="s">
        <v>192</v>
      </c>
      <c r="R127" s="4" t="s">
        <v>193</v>
      </c>
      <c r="S127" s="4" t="s">
        <v>109</v>
      </c>
      <c r="T127" s="4" t="s">
        <v>200</v>
      </c>
    </row>
    <row r="128" spans="1:20" x14ac:dyDescent="0.45">
      <c r="A128" s="4" t="s">
        <v>201</v>
      </c>
      <c r="B128" s="4" t="s">
        <v>189</v>
      </c>
      <c r="C128" s="5">
        <v>2</v>
      </c>
      <c r="D128" s="5">
        <v>20961</v>
      </c>
      <c r="E128" s="5">
        <v>5598</v>
      </c>
      <c r="F128" s="5">
        <v>432</v>
      </c>
      <c r="G128" s="5">
        <v>216</v>
      </c>
      <c r="H128" s="5">
        <v>20529</v>
      </c>
      <c r="I128" s="6">
        <v>5</v>
      </c>
      <c r="J128" s="6">
        <v>14.5</v>
      </c>
      <c r="K128" s="6">
        <v>34</v>
      </c>
      <c r="L128" s="6">
        <v>34</v>
      </c>
      <c r="M128" s="4" t="str">
        <f t="shared" si="3"/>
        <v>OK</v>
      </c>
      <c r="N128" s="7">
        <f t="shared" si="4"/>
        <v>5.8639220941260069E-2</v>
      </c>
      <c r="O128" s="7">
        <f>SUMIFS($D$2:D128,$B$2:B128,B128)/SUMIFS($D$2:$D$741,$B$2:$B$741,B128)</f>
        <v>0.60798082007066589</v>
      </c>
      <c r="P128" s="4" t="b">
        <f t="shared" si="5"/>
        <v>1</v>
      </c>
      <c r="Q128" s="4" t="s">
        <v>23</v>
      </c>
      <c r="R128" s="4" t="s">
        <v>91</v>
      </c>
      <c r="S128" s="4" t="s">
        <v>25</v>
      </c>
      <c r="T128" s="4" t="s">
        <v>92</v>
      </c>
    </row>
    <row r="129" spans="1:20" x14ac:dyDescent="0.45">
      <c r="A129" s="4" t="s">
        <v>202</v>
      </c>
      <c r="B129" s="4" t="s">
        <v>189</v>
      </c>
      <c r="C129" s="5">
        <v>2</v>
      </c>
      <c r="D129" s="5">
        <v>13264</v>
      </c>
      <c r="E129" s="5">
        <v>3938</v>
      </c>
      <c r="F129" s="5">
        <v>1005</v>
      </c>
      <c r="G129" s="5">
        <v>625</v>
      </c>
      <c r="H129" s="5">
        <v>12259</v>
      </c>
      <c r="I129" s="6">
        <v>3</v>
      </c>
      <c r="J129" s="6">
        <v>11.8</v>
      </c>
      <c r="K129" s="6">
        <v>25</v>
      </c>
      <c r="L129" s="6">
        <v>25</v>
      </c>
      <c r="M129" s="4" t="str">
        <f t="shared" si="3"/>
        <v>OK</v>
      </c>
      <c r="N129" s="7">
        <f t="shared" si="4"/>
        <v>3.7106561068883812E-2</v>
      </c>
      <c r="O129" s="7">
        <f>SUMIFS($D$2:D129,$B$2:B129,B129)/SUMIFS($D$2:$D$741,$B$2:$B$741,B129)</f>
        <v>0.64508738113954966</v>
      </c>
      <c r="P129" s="4" t="b">
        <f t="shared" si="5"/>
        <v>1</v>
      </c>
      <c r="Q129" s="4" t="s">
        <v>23</v>
      </c>
      <c r="R129" s="4" t="s">
        <v>91</v>
      </c>
      <c r="S129" s="4" t="s">
        <v>25</v>
      </c>
      <c r="T129" s="4" t="s">
        <v>92</v>
      </c>
    </row>
    <row r="130" spans="1:20" x14ac:dyDescent="0.45">
      <c r="A130" s="4" t="s">
        <v>203</v>
      </c>
      <c r="B130" s="4" t="s">
        <v>189</v>
      </c>
      <c r="C130" s="5">
        <v>2</v>
      </c>
      <c r="D130" s="5">
        <v>12305</v>
      </c>
      <c r="E130" s="5">
        <v>2121</v>
      </c>
      <c r="F130" s="5">
        <v>32</v>
      </c>
      <c r="G130" s="5">
        <v>22</v>
      </c>
      <c r="H130" s="5">
        <v>12273</v>
      </c>
      <c r="I130" s="6">
        <v>0</v>
      </c>
      <c r="J130" s="6">
        <v>3.6</v>
      </c>
      <c r="K130" s="6">
        <v>1</v>
      </c>
      <c r="L130" s="6">
        <v>1</v>
      </c>
      <c r="M130" s="4" t="str">
        <f t="shared" ref="M130:M193" si="6">IF(AND(K130="",L130=""),"No closed tickets",IF(K130="","MISSING in catalog",IF(L130="","No valid closed tickets",IF(AND(ABS(K130-L130)&gt;=$W$3,ABS(K130-L130)&gt;=$W$4*MAX(L130,1)),"FAR OFF","OK"))))</f>
        <v>OK</v>
      </c>
      <c r="N130" s="7">
        <f t="shared" ref="N130:N193" si="7">D130/SUMIFS($D$2:$D$741,$B$2:$B$741,B130)</f>
        <v>3.4423720895100672E-2</v>
      </c>
      <c r="O130" s="7">
        <f>SUMIFS($D$2:D130,$B$2:B130,B130)/SUMIFS($D$2:$D$741,$B$2:$B$741,B130)</f>
        <v>0.67951110203465037</v>
      </c>
      <c r="P130" s="4" t="b">
        <f t="shared" ref="P130:P193" si="8">O130-N130&lt;$W$2</f>
        <v>1</v>
      </c>
      <c r="Q130" s="4" t="s">
        <v>23</v>
      </c>
      <c r="R130" s="4" t="s">
        <v>91</v>
      </c>
      <c r="S130" s="4" t="s">
        <v>109</v>
      </c>
      <c r="T130" s="4" t="s">
        <v>204</v>
      </c>
    </row>
    <row r="131" spans="1:20" x14ac:dyDescent="0.45">
      <c r="A131" s="4" t="s">
        <v>205</v>
      </c>
      <c r="B131" s="4" t="s">
        <v>189</v>
      </c>
      <c r="C131" s="5">
        <v>2</v>
      </c>
      <c r="D131" s="5">
        <v>12115</v>
      </c>
      <c r="E131" s="5">
        <v>2911</v>
      </c>
      <c r="F131" s="5">
        <v>445</v>
      </c>
      <c r="G131" s="5">
        <v>162</v>
      </c>
      <c r="H131" s="5">
        <v>11622</v>
      </c>
      <c r="I131" s="6">
        <v>16</v>
      </c>
      <c r="J131" s="6">
        <v>27.4</v>
      </c>
      <c r="K131" s="6">
        <v>67</v>
      </c>
      <c r="L131" s="6">
        <v>67</v>
      </c>
      <c r="M131" s="4" t="str">
        <f t="shared" si="6"/>
        <v>OK</v>
      </c>
      <c r="N131" s="7">
        <f t="shared" si="7"/>
        <v>3.3892188431056042E-2</v>
      </c>
      <c r="O131" s="7">
        <f>SUMIFS($D$2:D131,$B$2:B131,B131)/SUMIFS($D$2:$D$741,$B$2:$B$741,B131)</f>
        <v>0.71340329046570639</v>
      </c>
      <c r="P131" s="4" t="b">
        <f t="shared" si="8"/>
        <v>1</v>
      </c>
      <c r="Q131" s="4" t="s">
        <v>23</v>
      </c>
      <c r="R131" s="4" t="s">
        <v>91</v>
      </c>
      <c r="S131" s="4" t="s">
        <v>25</v>
      </c>
      <c r="T131" s="4" t="s">
        <v>206</v>
      </c>
    </row>
    <row r="132" spans="1:20" x14ac:dyDescent="0.45">
      <c r="A132" s="4" t="s">
        <v>207</v>
      </c>
      <c r="B132" s="4" t="s">
        <v>189</v>
      </c>
      <c r="C132" s="5">
        <v>2</v>
      </c>
      <c r="D132" s="5">
        <v>11477</v>
      </c>
      <c r="E132" s="5">
        <v>2402</v>
      </c>
      <c r="F132" s="5">
        <v>93</v>
      </c>
      <c r="G132" s="5">
        <v>55</v>
      </c>
      <c r="H132" s="5">
        <v>11380</v>
      </c>
      <c r="I132" s="6">
        <v>0</v>
      </c>
      <c r="J132" s="6">
        <v>5.8</v>
      </c>
      <c r="K132" s="6">
        <v>12</v>
      </c>
      <c r="L132" s="6">
        <v>12</v>
      </c>
      <c r="M132" s="4" t="str">
        <f t="shared" si="6"/>
        <v>OK</v>
      </c>
      <c r="N132" s="7">
        <f t="shared" si="7"/>
        <v>3.2107358367579879E-2</v>
      </c>
      <c r="O132" s="7">
        <f>SUMIFS($D$2:D132,$B$2:B132,B132)/SUMIFS($D$2:$D$741,$B$2:$B$741,B132)</f>
        <v>0.74551064883328622</v>
      </c>
      <c r="P132" s="4" t="b">
        <f t="shared" si="8"/>
        <v>1</v>
      </c>
      <c r="Q132" s="4" t="s">
        <v>23</v>
      </c>
      <c r="R132" s="4" t="s">
        <v>91</v>
      </c>
      <c r="S132" s="4" t="s">
        <v>109</v>
      </c>
      <c r="T132" s="4" t="s">
        <v>208</v>
      </c>
    </row>
    <row r="133" spans="1:20" x14ac:dyDescent="0.45">
      <c r="A133" s="4" t="s">
        <v>209</v>
      </c>
      <c r="B133" s="4" t="s">
        <v>189</v>
      </c>
      <c r="C133" s="5">
        <v>2</v>
      </c>
      <c r="D133" s="5">
        <v>10657</v>
      </c>
      <c r="E133" s="5">
        <v>2875</v>
      </c>
      <c r="F133" s="5">
        <v>173</v>
      </c>
      <c r="G133" s="5">
        <v>71</v>
      </c>
      <c r="H133" s="5">
        <v>10484</v>
      </c>
      <c r="I133" s="6">
        <v>5</v>
      </c>
      <c r="J133" s="6">
        <v>11.1</v>
      </c>
      <c r="K133" s="6">
        <v>25</v>
      </c>
      <c r="L133" s="6">
        <v>25</v>
      </c>
      <c r="M133" s="4" t="str">
        <f t="shared" si="6"/>
        <v>OK</v>
      </c>
      <c r="N133" s="7">
        <f t="shared" si="7"/>
        <v>2.9813376154334648E-2</v>
      </c>
      <c r="O133" s="7">
        <f>SUMIFS($D$2:D133,$B$2:B133,B133)/SUMIFS($D$2:$D$741,$B$2:$B$741,B133)</f>
        <v>0.77532402498762087</v>
      </c>
      <c r="P133" s="4" t="b">
        <f t="shared" si="8"/>
        <v>1</v>
      </c>
      <c r="Q133" s="4" t="s">
        <v>23</v>
      </c>
      <c r="R133" s="4" t="s">
        <v>91</v>
      </c>
      <c r="S133" s="4" t="s">
        <v>25</v>
      </c>
      <c r="T133" s="4" t="s">
        <v>210</v>
      </c>
    </row>
    <row r="134" spans="1:20" x14ac:dyDescent="0.45">
      <c r="A134" s="4" t="s">
        <v>211</v>
      </c>
      <c r="B134" s="4" t="s">
        <v>189</v>
      </c>
      <c r="C134" s="5">
        <v>2</v>
      </c>
      <c r="D134" s="5">
        <v>8010</v>
      </c>
      <c r="E134" s="5">
        <v>490</v>
      </c>
      <c r="F134" s="5">
        <v>34</v>
      </c>
      <c r="G134" s="5">
        <v>20</v>
      </c>
      <c r="H134" s="5">
        <v>7976</v>
      </c>
      <c r="I134" s="6">
        <v>1</v>
      </c>
      <c r="J134" s="6">
        <v>7.1</v>
      </c>
      <c r="K134" s="6">
        <v>13</v>
      </c>
      <c r="L134" s="6">
        <v>13</v>
      </c>
      <c r="M134" s="4" t="str">
        <f t="shared" si="6"/>
        <v>OK</v>
      </c>
      <c r="N134" s="7">
        <f t="shared" si="7"/>
        <v>2.2408289668407667E-2</v>
      </c>
      <c r="O134" s="7">
        <f>SUMIFS($D$2:D134,$B$2:B134,B134)/SUMIFS($D$2:$D$741,$B$2:$B$741,B134)</f>
        <v>0.79773231465602856</v>
      </c>
      <c r="P134" s="4" t="b">
        <f t="shared" si="8"/>
        <v>1</v>
      </c>
      <c r="Q134" s="4" t="s">
        <v>23</v>
      </c>
      <c r="R134" s="4" t="s">
        <v>91</v>
      </c>
      <c r="S134" s="4" t="s">
        <v>25</v>
      </c>
      <c r="T134" s="4" t="s">
        <v>92</v>
      </c>
    </row>
    <row r="135" spans="1:20" x14ac:dyDescent="0.45">
      <c r="A135" s="4" t="s">
        <v>212</v>
      </c>
      <c r="B135" s="4" t="s">
        <v>189</v>
      </c>
      <c r="C135" s="5">
        <v>2</v>
      </c>
      <c r="D135" s="5">
        <v>7854</v>
      </c>
      <c r="E135" s="5">
        <v>1876</v>
      </c>
      <c r="F135" s="5">
        <v>103</v>
      </c>
      <c r="G135" s="5">
        <v>87</v>
      </c>
      <c r="H135" s="5">
        <v>7751</v>
      </c>
      <c r="I135" s="6">
        <v>2</v>
      </c>
      <c r="J135" s="6">
        <v>6.7</v>
      </c>
      <c r="K135" s="6">
        <v>12</v>
      </c>
      <c r="L135" s="6">
        <v>12</v>
      </c>
      <c r="M135" s="4" t="str">
        <f t="shared" si="6"/>
        <v>OK</v>
      </c>
      <c r="N135" s="7">
        <f t="shared" si="7"/>
        <v>2.1971873540034187E-2</v>
      </c>
      <c r="O135" s="7">
        <f>SUMIFS($D$2:D135,$B$2:B135,B135)/SUMIFS($D$2:$D$741,$B$2:$B$741,B135)</f>
        <v>0.81970418819606272</v>
      </c>
      <c r="P135" s="4" t="b">
        <f t="shared" si="8"/>
        <v>1</v>
      </c>
      <c r="Q135" s="4" t="s">
        <v>23</v>
      </c>
      <c r="R135" s="4" t="s">
        <v>91</v>
      </c>
      <c r="S135" s="4" t="s">
        <v>25</v>
      </c>
      <c r="T135" s="4" t="s">
        <v>92</v>
      </c>
    </row>
    <row r="136" spans="1:20" x14ac:dyDescent="0.45">
      <c r="A136" s="4" t="s">
        <v>213</v>
      </c>
      <c r="B136" s="4" t="s">
        <v>189</v>
      </c>
      <c r="C136" s="5">
        <v>2</v>
      </c>
      <c r="D136" s="5">
        <v>7646</v>
      </c>
      <c r="E136" s="5">
        <v>2005</v>
      </c>
      <c r="F136" s="5">
        <v>1279</v>
      </c>
      <c r="G136" s="5">
        <v>894</v>
      </c>
      <c r="H136" s="5">
        <v>6367</v>
      </c>
      <c r="I136" s="6">
        <v>19</v>
      </c>
      <c r="J136" s="6">
        <v>27.2</v>
      </c>
      <c r="K136" s="6">
        <v>70</v>
      </c>
      <c r="L136" s="6">
        <v>70</v>
      </c>
      <c r="M136" s="4" t="str">
        <f t="shared" si="6"/>
        <v>OK</v>
      </c>
      <c r="N136" s="7">
        <f t="shared" si="7"/>
        <v>2.1389985368869543E-2</v>
      </c>
      <c r="O136" s="7">
        <f>SUMIFS($D$2:D136,$B$2:B136,B136)/SUMIFS($D$2:$D$741,$B$2:$B$741,B136)</f>
        <v>0.84109417356493232</v>
      </c>
      <c r="P136" s="4" t="b">
        <f t="shared" si="8"/>
        <v>1</v>
      </c>
      <c r="Q136" s="4" t="s">
        <v>23</v>
      </c>
      <c r="R136" s="4" t="s">
        <v>91</v>
      </c>
      <c r="S136" s="4" t="s">
        <v>25</v>
      </c>
      <c r="T136" s="4" t="s">
        <v>92</v>
      </c>
    </row>
    <row r="137" spans="1:20" x14ac:dyDescent="0.45">
      <c r="A137" s="4" t="s">
        <v>214</v>
      </c>
      <c r="B137" s="4" t="s">
        <v>189</v>
      </c>
      <c r="C137" s="5">
        <v>2</v>
      </c>
      <c r="D137" s="5">
        <v>6634</v>
      </c>
      <c r="E137" s="5">
        <v>1568</v>
      </c>
      <c r="F137" s="5">
        <v>144</v>
      </c>
      <c r="G137" s="5">
        <v>72</v>
      </c>
      <c r="H137" s="5">
        <v>6315</v>
      </c>
      <c r="I137" s="6">
        <v>6</v>
      </c>
      <c r="J137" s="6">
        <v>18.2</v>
      </c>
      <c r="K137" s="6">
        <v>45</v>
      </c>
      <c r="L137" s="6">
        <v>44.6</v>
      </c>
      <c r="M137" s="4" t="str">
        <f t="shared" si="6"/>
        <v>OK</v>
      </c>
      <c r="N137" s="7">
        <f t="shared" si="7"/>
        <v>1.8558875613010797E-2</v>
      </c>
      <c r="O137" s="7">
        <f>SUMIFS($D$2:D137,$B$2:B137,B137)/SUMIFS($D$2:$D$741,$B$2:$B$741,B137)</f>
        <v>0.85965304917794305</v>
      </c>
      <c r="P137" s="4" t="b">
        <f t="shared" si="8"/>
        <v>1</v>
      </c>
      <c r="Q137" s="4" t="s">
        <v>23</v>
      </c>
      <c r="R137" s="4" t="s">
        <v>91</v>
      </c>
      <c r="S137" s="4" t="s">
        <v>25</v>
      </c>
      <c r="T137" s="4" t="s">
        <v>92</v>
      </c>
    </row>
    <row r="138" spans="1:20" x14ac:dyDescent="0.45">
      <c r="A138" s="4" t="s">
        <v>215</v>
      </c>
      <c r="B138" s="4" t="s">
        <v>189</v>
      </c>
      <c r="C138" s="5">
        <v>1</v>
      </c>
      <c r="D138" s="5">
        <v>6369</v>
      </c>
      <c r="E138" s="5">
        <v>1756</v>
      </c>
      <c r="F138" s="5">
        <v>109</v>
      </c>
      <c r="G138" s="5">
        <v>40</v>
      </c>
      <c r="H138" s="5">
        <v>6260</v>
      </c>
      <c r="I138" s="6">
        <v>4</v>
      </c>
      <c r="J138" s="6">
        <v>13.3</v>
      </c>
      <c r="K138" s="6">
        <v>31</v>
      </c>
      <c r="L138" s="6">
        <v>31</v>
      </c>
      <c r="M138" s="4" t="str">
        <f t="shared" si="6"/>
        <v>OK</v>
      </c>
      <c r="N138" s="7">
        <f t="shared" si="7"/>
        <v>1.7817527702632764E-2</v>
      </c>
      <c r="O138" s="7">
        <f>SUMIFS($D$2:D138,$B$2:B138,B138)/SUMIFS($D$2:$D$741,$B$2:$B$741,B138)</f>
        <v>0.87747057688057584</v>
      </c>
      <c r="P138" s="4" t="b">
        <f t="shared" si="8"/>
        <v>1</v>
      </c>
      <c r="Q138" s="4" t="s">
        <v>23</v>
      </c>
      <c r="R138" s="4" t="s">
        <v>30</v>
      </c>
      <c r="S138" s="4" t="s">
        <v>25</v>
      </c>
      <c r="T138" s="4" t="s">
        <v>31</v>
      </c>
    </row>
    <row r="139" spans="1:20" x14ac:dyDescent="0.45">
      <c r="A139" s="4" t="s">
        <v>216</v>
      </c>
      <c r="B139" s="4" t="s">
        <v>189</v>
      </c>
      <c r="C139" s="5">
        <v>1</v>
      </c>
      <c r="D139" s="5">
        <v>3513</v>
      </c>
      <c r="E139" s="5">
        <v>867</v>
      </c>
      <c r="F139" s="5">
        <v>15</v>
      </c>
      <c r="G139" s="5">
        <v>9</v>
      </c>
      <c r="H139" s="5">
        <v>3498</v>
      </c>
      <c r="I139" s="6">
        <v>0</v>
      </c>
      <c r="J139" s="6">
        <v>0.9</v>
      </c>
      <c r="K139" s="6">
        <v>2</v>
      </c>
      <c r="L139" s="6">
        <v>2</v>
      </c>
      <c r="M139" s="4" t="str">
        <f t="shared" si="6"/>
        <v>OK</v>
      </c>
      <c r="N139" s="7">
        <f t="shared" si="7"/>
        <v>9.8277555062566968E-3</v>
      </c>
      <c r="O139" s="7">
        <f>SUMIFS($D$2:D139,$B$2:B139,B139)/SUMIFS($D$2:$D$741,$B$2:$B$741,B139)</f>
        <v>0.88729833238683253</v>
      </c>
      <c r="P139" s="4" t="b">
        <f t="shared" si="8"/>
        <v>1</v>
      </c>
      <c r="Q139" s="4" t="s">
        <v>23</v>
      </c>
      <c r="R139" s="4" t="s">
        <v>24</v>
      </c>
      <c r="S139" s="4" t="s">
        <v>25</v>
      </c>
      <c r="T139" s="4" t="s">
        <v>26</v>
      </c>
    </row>
    <row r="140" spans="1:20" x14ac:dyDescent="0.45">
      <c r="A140" s="4" t="s">
        <v>217</v>
      </c>
      <c r="B140" s="4" t="s">
        <v>189</v>
      </c>
      <c r="C140" s="5">
        <v>1</v>
      </c>
      <c r="D140" s="5">
        <v>3450</v>
      </c>
      <c r="E140" s="5">
        <v>811</v>
      </c>
      <c r="F140" s="5">
        <v>28</v>
      </c>
      <c r="G140" s="5">
        <v>22</v>
      </c>
      <c r="H140" s="5">
        <v>3422</v>
      </c>
      <c r="I140" s="6">
        <v>1</v>
      </c>
      <c r="J140" s="6">
        <v>1.4</v>
      </c>
      <c r="K140" s="6">
        <v>2</v>
      </c>
      <c r="L140" s="6">
        <v>2</v>
      </c>
      <c r="M140" s="4" t="str">
        <f t="shared" si="6"/>
        <v>OK</v>
      </c>
      <c r="N140" s="7">
        <f t="shared" si="7"/>
        <v>9.6515105313366364E-3</v>
      </c>
      <c r="O140" s="7">
        <f>SUMIFS($D$2:D140,$B$2:B140,B140)/SUMIFS($D$2:$D$741,$B$2:$B$741,B140)</f>
        <v>0.89694984291816915</v>
      </c>
      <c r="P140" s="4" t="b">
        <f t="shared" si="8"/>
        <v>1</v>
      </c>
      <c r="Q140" s="4" t="s">
        <v>23</v>
      </c>
      <c r="R140" s="4" t="s">
        <v>218</v>
      </c>
      <c r="S140" s="4" t="s">
        <v>25</v>
      </c>
      <c r="T140" s="4" t="s">
        <v>219</v>
      </c>
    </row>
    <row r="141" spans="1:20" x14ac:dyDescent="0.45">
      <c r="A141" s="4" t="s">
        <v>220</v>
      </c>
      <c r="B141" s="4" t="s">
        <v>189</v>
      </c>
      <c r="C141" s="5">
        <v>1</v>
      </c>
      <c r="D141" s="5">
        <v>3450</v>
      </c>
      <c r="E141" s="5">
        <v>1323</v>
      </c>
      <c r="F141" s="5">
        <v>154</v>
      </c>
      <c r="G141" s="5">
        <v>52</v>
      </c>
      <c r="H141" s="5">
        <v>3296</v>
      </c>
      <c r="I141" s="6">
        <v>10</v>
      </c>
      <c r="J141" s="6">
        <v>24.9</v>
      </c>
      <c r="K141" s="6">
        <v>62</v>
      </c>
      <c r="L141" s="6">
        <v>62</v>
      </c>
      <c r="M141" s="4" t="str">
        <f t="shared" si="6"/>
        <v>OK</v>
      </c>
      <c r="N141" s="7">
        <f t="shared" si="7"/>
        <v>9.6515105313366364E-3</v>
      </c>
      <c r="O141" s="7">
        <f>SUMIFS($D$2:D141,$B$2:B141,B141)/SUMIFS($D$2:$D$741,$B$2:$B$741,B141)</f>
        <v>0.90660135344950576</v>
      </c>
      <c r="P141" s="4" t="b">
        <f t="shared" si="8"/>
        <v>1</v>
      </c>
      <c r="Q141" s="4" t="s">
        <v>23</v>
      </c>
      <c r="R141" s="4" t="s">
        <v>91</v>
      </c>
      <c r="S141" s="4" t="s">
        <v>25</v>
      </c>
      <c r="T141" s="4" t="s">
        <v>92</v>
      </c>
    </row>
    <row r="142" spans="1:20" x14ac:dyDescent="0.45">
      <c r="A142" s="4" t="s">
        <v>221</v>
      </c>
      <c r="B142" s="4" t="s">
        <v>189</v>
      </c>
      <c r="C142" s="5">
        <v>2</v>
      </c>
      <c r="D142" s="5">
        <v>3100</v>
      </c>
      <c r="E142" s="5">
        <v>0</v>
      </c>
      <c r="F142" s="5">
        <v>0</v>
      </c>
      <c r="G142" s="5">
        <v>0</v>
      </c>
      <c r="H142" s="5">
        <v>3100</v>
      </c>
      <c r="I142" s="6">
        <v>6</v>
      </c>
      <c r="J142" s="6">
        <v>13.1</v>
      </c>
      <c r="K142" s="6">
        <v>34</v>
      </c>
      <c r="L142" s="6">
        <v>34</v>
      </c>
      <c r="M142" s="4" t="str">
        <f t="shared" si="6"/>
        <v>OK</v>
      </c>
      <c r="N142" s="7">
        <f t="shared" si="7"/>
        <v>8.6723717817807459E-3</v>
      </c>
      <c r="O142" s="7">
        <f>SUMIFS($D$2:D142,$B$2:B142,B142)/SUMIFS($D$2:$D$741,$B$2:$B$741,B142)</f>
        <v>0.91527372523128658</v>
      </c>
      <c r="P142" s="4" t="b">
        <f t="shared" si="8"/>
        <v>1</v>
      </c>
      <c r="Q142" s="4" t="s">
        <v>23</v>
      </c>
      <c r="R142" s="4" t="s">
        <v>91</v>
      </c>
      <c r="S142" s="4" t="s">
        <v>25</v>
      </c>
      <c r="T142" s="4" t="s">
        <v>92</v>
      </c>
    </row>
    <row r="143" spans="1:20" x14ac:dyDescent="0.45">
      <c r="A143" s="4" t="s">
        <v>222</v>
      </c>
      <c r="B143" s="4" t="s">
        <v>189</v>
      </c>
      <c r="C143" s="5">
        <v>2</v>
      </c>
      <c r="D143" s="5">
        <v>2677</v>
      </c>
      <c r="E143" s="5">
        <v>687</v>
      </c>
      <c r="F143" s="5">
        <v>10</v>
      </c>
      <c r="G143" s="5">
        <v>0</v>
      </c>
      <c r="H143" s="5">
        <v>2664</v>
      </c>
      <c r="I143" s="6">
        <v>5</v>
      </c>
      <c r="J143" s="6">
        <v>10.6</v>
      </c>
      <c r="K143" s="6">
        <v>20</v>
      </c>
      <c r="L143" s="6">
        <v>20</v>
      </c>
      <c r="M143" s="4" t="str">
        <f t="shared" si="6"/>
        <v>OK</v>
      </c>
      <c r="N143" s="7">
        <f t="shared" si="7"/>
        <v>7.4890126644603407E-3</v>
      </c>
      <c r="O143" s="7">
        <f>SUMIFS($D$2:D143,$B$2:B143,B143)/SUMIFS($D$2:$D$741,$B$2:$B$741,B143)</f>
        <v>0.92276273789574692</v>
      </c>
      <c r="P143" s="4" t="b">
        <f t="shared" si="8"/>
        <v>1</v>
      </c>
      <c r="Q143" s="4" t="s">
        <v>23</v>
      </c>
      <c r="R143" s="4" t="s">
        <v>24</v>
      </c>
      <c r="S143" s="4" t="s">
        <v>25</v>
      </c>
      <c r="T143" s="4" t="s">
        <v>26</v>
      </c>
    </row>
    <row r="144" spans="1:20" x14ac:dyDescent="0.45">
      <c r="A144" s="4" t="s">
        <v>223</v>
      </c>
      <c r="B144" s="4" t="s">
        <v>189</v>
      </c>
      <c r="C144" s="5">
        <v>2</v>
      </c>
      <c r="D144" s="5">
        <v>2176</v>
      </c>
      <c r="E144" s="5">
        <v>0</v>
      </c>
      <c r="F144" s="5">
        <v>0</v>
      </c>
      <c r="G144" s="5">
        <v>0</v>
      </c>
      <c r="H144" s="5">
        <v>2176</v>
      </c>
      <c r="I144" s="6">
        <v>7</v>
      </c>
      <c r="J144" s="6">
        <v>13.6</v>
      </c>
      <c r="K144" s="6">
        <v>43</v>
      </c>
      <c r="L144" s="6">
        <v>43</v>
      </c>
      <c r="M144" s="4" t="str">
        <f t="shared" si="6"/>
        <v>OK</v>
      </c>
      <c r="N144" s="7">
        <f t="shared" si="7"/>
        <v>6.0874454829531943E-3</v>
      </c>
      <c r="O144" s="7">
        <f>SUMIFS($D$2:D144,$B$2:B144,B144)/SUMIFS($D$2:$D$741,$B$2:$B$741,B144)</f>
        <v>0.92885018337870007</v>
      </c>
      <c r="P144" s="4" t="b">
        <f t="shared" si="8"/>
        <v>1</v>
      </c>
      <c r="Q144" s="4" t="s">
        <v>23</v>
      </c>
      <c r="R144" s="4" t="s">
        <v>91</v>
      </c>
      <c r="S144" s="4" t="s">
        <v>25</v>
      </c>
      <c r="T144" s="4" t="s">
        <v>92</v>
      </c>
    </row>
    <row r="145" spans="1:20" x14ac:dyDescent="0.45">
      <c r="A145" s="4" t="s">
        <v>224</v>
      </c>
      <c r="B145" s="4" t="s">
        <v>189</v>
      </c>
      <c r="C145" s="5">
        <v>1</v>
      </c>
      <c r="D145" s="5">
        <v>1985</v>
      </c>
      <c r="E145" s="5">
        <v>0</v>
      </c>
      <c r="F145" s="5">
        <v>0</v>
      </c>
      <c r="G145" s="5">
        <v>0</v>
      </c>
      <c r="H145" s="5">
        <v>1985</v>
      </c>
      <c r="I145" s="6">
        <v>12</v>
      </c>
      <c r="J145" s="6">
        <v>19.399999999999999</v>
      </c>
      <c r="K145" s="6">
        <v>46</v>
      </c>
      <c r="L145" s="6">
        <v>46</v>
      </c>
      <c r="M145" s="4" t="str">
        <f t="shared" si="6"/>
        <v>OK</v>
      </c>
      <c r="N145" s="7">
        <f t="shared" si="7"/>
        <v>5.5531154796241225E-3</v>
      </c>
      <c r="O145" s="7">
        <f>SUMIFS($D$2:D145,$B$2:B145,B145)/SUMIFS($D$2:$D$741,$B$2:$B$741,B145)</f>
        <v>0.93440329885832418</v>
      </c>
      <c r="P145" s="4" t="b">
        <f t="shared" si="8"/>
        <v>1</v>
      </c>
      <c r="Q145" s="4" t="s">
        <v>23</v>
      </c>
      <c r="R145" s="4" t="s">
        <v>91</v>
      </c>
      <c r="S145" s="4" t="s">
        <v>25</v>
      </c>
      <c r="T145" s="4" t="s">
        <v>92</v>
      </c>
    </row>
    <row r="146" spans="1:20" x14ac:dyDescent="0.45">
      <c r="A146" s="4" t="s">
        <v>225</v>
      </c>
      <c r="B146" s="4" t="s">
        <v>189</v>
      </c>
      <c r="C146" s="5">
        <v>1</v>
      </c>
      <c r="D146" s="5">
        <v>1921</v>
      </c>
      <c r="E146" s="5">
        <v>0</v>
      </c>
      <c r="F146" s="5">
        <v>0</v>
      </c>
      <c r="G146" s="5">
        <v>0</v>
      </c>
      <c r="H146" s="5">
        <v>1921</v>
      </c>
      <c r="I146" s="6">
        <v>42</v>
      </c>
      <c r="J146" s="6">
        <v>39.299999999999997</v>
      </c>
      <c r="K146" s="6">
        <v>43</v>
      </c>
      <c r="L146" s="6">
        <v>43</v>
      </c>
      <c r="M146" s="4" t="str">
        <f t="shared" si="6"/>
        <v>OK</v>
      </c>
      <c r="N146" s="7">
        <f t="shared" si="7"/>
        <v>5.3740729654196172E-3</v>
      </c>
      <c r="O146" s="7">
        <f>SUMIFS($D$2:D146,$B$2:B146,B146)/SUMIFS($D$2:$D$741,$B$2:$B$741,B146)</f>
        <v>0.93977737182374388</v>
      </c>
      <c r="P146" s="4" t="b">
        <f t="shared" si="8"/>
        <v>1</v>
      </c>
      <c r="Q146" s="4" t="s">
        <v>23</v>
      </c>
      <c r="R146" s="4" t="s">
        <v>24</v>
      </c>
      <c r="S146" s="4" t="s">
        <v>25</v>
      </c>
      <c r="T146" s="4" t="s">
        <v>26</v>
      </c>
    </row>
    <row r="147" spans="1:20" x14ac:dyDescent="0.45">
      <c r="A147" s="4" t="s">
        <v>226</v>
      </c>
      <c r="B147" s="4" t="s">
        <v>189</v>
      </c>
      <c r="C147" s="5">
        <v>2</v>
      </c>
      <c r="D147" s="5">
        <v>1834</v>
      </c>
      <c r="E147" s="5">
        <v>369</v>
      </c>
      <c r="F147" s="5">
        <v>13</v>
      </c>
      <c r="G147" s="5">
        <v>10</v>
      </c>
      <c r="H147" s="5">
        <v>1821</v>
      </c>
      <c r="I147" s="6">
        <v>2</v>
      </c>
      <c r="J147" s="6">
        <v>5.4</v>
      </c>
      <c r="K147" s="6">
        <v>9</v>
      </c>
      <c r="L147" s="6">
        <v>9</v>
      </c>
      <c r="M147" s="4" t="str">
        <f t="shared" si="6"/>
        <v>OK</v>
      </c>
      <c r="N147" s="7">
        <f t="shared" si="7"/>
        <v>5.1306870476728666E-3</v>
      </c>
      <c r="O147" s="7">
        <f>SUMIFS($D$2:D147,$B$2:B147,B147)/SUMIFS($D$2:$D$741,$B$2:$B$741,B147)</f>
        <v>0.94490805887141671</v>
      </c>
      <c r="P147" s="4" t="b">
        <f t="shared" si="8"/>
        <v>1</v>
      </c>
      <c r="Q147" s="4" t="s">
        <v>23</v>
      </c>
      <c r="R147" s="4" t="s">
        <v>91</v>
      </c>
      <c r="S147" s="4" t="s">
        <v>25</v>
      </c>
      <c r="T147" s="4" t="s">
        <v>92</v>
      </c>
    </row>
    <row r="148" spans="1:20" x14ac:dyDescent="0.45">
      <c r="A148" s="4" t="s">
        <v>227</v>
      </c>
      <c r="B148" s="4" t="s">
        <v>189</v>
      </c>
      <c r="C148" s="5">
        <v>2</v>
      </c>
      <c r="D148" s="5">
        <v>1588</v>
      </c>
      <c r="E148" s="5">
        <v>315</v>
      </c>
      <c r="F148" s="5">
        <v>6</v>
      </c>
      <c r="G148" s="5">
        <v>3</v>
      </c>
      <c r="H148" s="5">
        <v>1582</v>
      </c>
      <c r="I148" s="6">
        <v>1</v>
      </c>
      <c r="J148" s="6">
        <v>4.7</v>
      </c>
      <c r="K148" s="6">
        <v>9</v>
      </c>
      <c r="L148" s="6">
        <v>9</v>
      </c>
      <c r="M148" s="4" t="str">
        <f t="shared" si="6"/>
        <v>OK</v>
      </c>
      <c r="N148" s="7">
        <f t="shared" si="7"/>
        <v>4.4424923836992982E-3</v>
      </c>
      <c r="O148" s="7">
        <f>SUMIFS($D$2:D148,$B$2:B148,B148)/SUMIFS($D$2:$D$741,$B$2:$B$741,B148)</f>
        <v>0.94935055125511603</v>
      </c>
      <c r="P148" s="4" t="b">
        <f t="shared" si="8"/>
        <v>1</v>
      </c>
      <c r="Q148" s="4" t="s">
        <v>23</v>
      </c>
      <c r="R148" s="4" t="s">
        <v>91</v>
      </c>
      <c r="S148" s="4" t="s">
        <v>25</v>
      </c>
      <c r="T148" s="4" t="s">
        <v>92</v>
      </c>
    </row>
    <row r="149" spans="1:20" x14ac:dyDescent="0.45">
      <c r="A149" s="4" t="s">
        <v>228</v>
      </c>
      <c r="B149" s="4" t="s">
        <v>189</v>
      </c>
      <c r="C149" s="5">
        <v>2</v>
      </c>
      <c r="D149" s="5">
        <v>1493</v>
      </c>
      <c r="E149" s="5">
        <v>429</v>
      </c>
      <c r="F149" s="5">
        <v>9</v>
      </c>
      <c r="G149" s="5">
        <v>5</v>
      </c>
      <c r="H149" s="5">
        <v>1484</v>
      </c>
      <c r="I149" s="6">
        <v>3</v>
      </c>
      <c r="J149" s="6">
        <v>6.1</v>
      </c>
      <c r="K149" s="6">
        <v>14</v>
      </c>
      <c r="L149" s="6">
        <v>14</v>
      </c>
      <c r="M149" s="4" t="str">
        <f t="shared" si="6"/>
        <v>OK</v>
      </c>
      <c r="N149" s="7">
        <f t="shared" si="7"/>
        <v>4.1767261516769847E-3</v>
      </c>
      <c r="O149" s="7">
        <f>SUMIFS($D$2:D149,$B$2:B149,B149)/SUMIFS($D$2:$D$741,$B$2:$B$741,B149)</f>
        <v>0.95352727740679299</v>
      </c>
      <c r="P149" s="4" t="b">
        <f t="shared" si="8"/>
        <v>1</v>
      </c>
      <c r="Q149" s="4" t="s">
        <v>23</v>
      </c>
      <c r="R149" s="4" t="s">
        <v>91</v>
      </c>
      <c r="S149" s="4" t="s">
        <v>25</v>
      </c>
      <c r="T149" s="4" t="s">
        <v>92</v>
      </c>
    </row>
    <row r="150" spans="1:20" x14ac:dyDescent="0.45">
      <c r="A150" s="4" t="s">
        <v>229</v>
      </c>
      <c r="B150" s="4" t="s">
        <v>189</v>
      </c>
      <c r="C150" s="5">
        <v>2</v>
      </c>
      <c r="D150" s="5">
        <v>1426</v>
      </c>
      <c r="E150" s="5">
        <v>299</v>
      </c>
      <c r="F150" s="5">
        <v>13</v>
      </c>
      <c r="G150" s="5">
        <v>13</v>
      </c>
      <c r="H150" s="5">
        <v>1413</v>
      </c>
      <c r="I150" s="6">
        <v>2</v>
      </c>
      <c r="J150" s="6">
        <v>7.3</v>
      </c>
      <c r="K150" s="6">
        <v>13</v>
      </c>
      <c r="L150" s="6">
        <v>13</v>
      </c>
      <c r="M150" s="4" t="str">
        <f t="shared" si="6"/>
        <v>OK</v>
      </c>
      <c r="N150" s="7">
        <f t="shared" si="7"/>
        <v>3.989291019619143E-3</v>
      </c>
      <c r="O150" s="7">
        <f>SUMIFS($D$2:D150,$B$2:B150,B150)/SUMIFS($D$2:$D$741,$B$2:$B$741,B150)</f>
        <v>0.95751656842641208</v>
      </c>
      <c r="P150" s="4" t="b">
        <f t="shared" si="8"/>
        <v>0</v>
      </c>
      <c r="Q150" s="4" t="s">
        <v>23</v>
      </c>
      <c r="R150" s="4" t="s">
        <v>91</v>
      </c>
      <c r="S150" s="4" t="s">
        <v>25</v>
      </c>
      <c r="T150" s="4" t="s">
        <v>92</v>
      </c>
    </row>
    <row r="151" spans="1:20" x14ac:dyDescent="0.45">
      <c r="A151" s="4" t="s">
        <v>230</v>
      </c>
      <c r="B151" s="4" t="s">
        <v>189</v>
      </c>
      <c r="C151" s="5">
        <v>1</v>
      </c>
      <c r="D151" s="5">
        <v>1292</v>
      </c>
      <c r="E151" s="5">
        <v>407</v>
      </c>
      <c r="F151" s="5">
        <v>8</v>
      </c>
      <c r="G151" s="5">
        <v>1</v>
      </c>
      <c r="H151" s="5">
        <v>1284</v>
      </c>
      <c r="I151" s="6">
        <v>4</v>
      </c>
      <c r="J151" s="6">
        <v>6.3</v>
      </c>
      <c r="K151" s="6">
        <v>15</v>
      </c>
      <c r="L151" s="6">
        <v>15</v>
      </c>
      <c r="M151" s="4" t="str">
        <f t="shared" si="6"/>
        <v>OK</v>
      </c>
      <c r="N151" s="7">
        <f t="shared" si="7"/>
        <v>3.614420755503459E-3</v>
      </c>
      <c r="O151" s="7">
        <f>SUMIFS($D$2:D151,$B$2:B151,B151)/SUMIFS($D$2:$D$741,$B$2:$B$741,B151)</f>
        <v>0.96113098918191564</v>
      </c>
      <c r="P151" s="4" t="b">
        <f t="shared" si="8"/>
        <v>0</v>
      </c>
      <c r="Q151" s="4" t="s">
        <v>23</v>
      </c>
      <c r="R151" s="4" t="s">
        <v>91</v>
      </c>
      <c r="S151" s="4" t="s">
        <v>25</v>
      </c>
      <c r="T151" s="4" t="s">
        <v>92</v>
      </c>
    </row>
    <row r="152" spans="1:20" x14ac:dyDescent="0.45">
      <c r="A152" s="4" t="s">
        <v>231</v>
      </c>
      <c r="B152" s="4" t="s">
        <v>189</v>
      </c>
      <c r="C152" s="5">
        <v>2</v>
      </c>
      <c r="D152" s="5">
        <v>1172</v>
      </c>
      <c r="E152" s="5">
        <v>0</v>
      </c>
      <c r="F152" s="5">
        <v>0</v>
      </c>
      <c r="G152" s="5">
        <v>0</v>
      </c>
      <c r="H152" s="5">
        <v>1172</v>
      </c>
      <c r="I152" s="6">
        <v>3</v>
      </c>
      <c r="J152" s="6">
        <v>5.0999999999999996</v>
      </c>
      <c r="K152" s="6">
        <v>13</v>
      </c>
      <c r="L152" s="6">
        <v>13</v>
      </c>
      <c r="M152" s="4" t="str">
        <f t="shared" si="6"/>
        <v>OK</v>
      </c>
      <c r="N152" s="7">
        <f t="shared" si="7"/>
        <v>3.2787160413700108E-3</v>
      </c>
      <c r="O152" s="7">
        <f>SUMIFS($D$2:D152,$B$2:B152,B152)/SUMIFS($D$2:$D$741,$B$2:$B$741,B152)</f>
        <v>0.96440970522328562</v>
      </c>
      <c r="P152" s="4" t="b">
        <f t="shared" si="8"/>
        <v>0</v>
      </c>
      <c r="Q152" s="4" t="s">
        <v>23</v>
      </c>
      <c r="R152" s="4" t="s">
        <v>91</v>
      </c>
      <c r="S152" s="4" t="s">
        <v>25</v>
      </c>
      <c r="T152" s="4" t="s">
        <v>92</v>
      </c>
    </row>
    <row r="153" spans="1:20" x14ac:dyDescent="0.45">
      <c r="A153" s="4" t="s">
        <v>232</v>
      </c>
      <c r="B153" s="4" t="s">
        <v>189</v>
      </c>
      <c r="C153" s="5">
        <v>1</v>
      </c>
      <c r="D153" s="5">
        <v>1170</v>
      </c>
      <c r="E153" s="5">
        <v>0</v>
      </c>
      <c r="F153" s="5">
        <v>0</v>
      </c>
      <c r="G153" s="5">
        <v>0</v>
      </c>
      <c r="H153" s="5">
        <v>1170</v>
      </c>
      <c r="I153" s="6">
        <v>3</v>
      </c>
      <c r="J153" s="6">
        <v>6.4</v>
      </c>
      <c r="K153" s="6">
        <v>13</v>
      </c>
      <c r="L153" s="6">
        <v>13</v>
      </c>
      <c r="M153" s="4" t="str">
        <f t="shared" si="6"/>
        <v>OK</v>
      </c>
      <c r="N153" s="7">
        <f t="shared" si="7"/>
        <v>3.2731209628011201E-3</v>
      </c>
      <c r="O153" s="7">
        <f>SUMIFS($D$2:D153,$B$2:B153,B153)/SUMIFS($D$2:$D$741,$B$2:$B$741,B153)</f>
        <v>0.9676828261860867</v>
      </c>
      <c r="P153" s="4" t="b">
        <f t="shared" si="8"/>
        <v>0</v>
      </c>
      <c r="Q153" s="4" t="s">
        <v>23</v>
      </c>
      <c r="R153" s="4" t="s">
        <v>91</v>
      </c>
      <c r="S153" s="4" t="s">
        <v>25</v>
      </c>
      <c r="T153" s="4" t="s">
        <v>92</v>
      </c>
    </row>
    <row r="154" spans="1:20" x14ac:dyDescent="0.45">
      <c r="A154" s="4" t="s">
        <v>233</v>
      </c>
      <c r="B154" s="4" t="s">
        <v>189</v>
      </c>
      <c r="C154" s="5">
        <v>2</v>
      </c>
      <c r="D154" s="5">
        <v>1166</v>
      </c>
      <c r="E154" s="5">
        <v>0</v>
      </c>
      <c r="F154" s="5">
        <v>1</v>
      </c>
      <c r="G154" s="5">
        <v>1</v>
      </c>
      <c r="H154" s="5">
        <v>1165</v>
      </c>
      <c r="I154" s="6">
        <v>4</v>
      </c>
      <c r="J154" s="6">
        <v>11.8</v>
      </c>
      <c r="K154" s="6">
        <v>35</v>
      </c>
      <c r="L154" s="6">
        <v>35</v>
      </c>
      <c r="M154" s="4" t="str">
        <f t="shared" si="6"/>
        <v>OK</v>
      </c>
      <c r="N154" s="7">
        <f t="shared" si="7"/>
        <v>3.2619308056633387E-3</v>
      </c>
      <c r="O154" s="7">
        <f>SUMIFS($D$2:D154,$B$2:B154,B154)/SUMIFS($D$2:$D$741,$B$2:$B$741,B154)</f>
        <v>0.97094475699175009</v>
      </c>
      <c r="P154" s="4" t="b">
        <f t="shared" si="8"/>
        <v>0</v>
      </c>
      <c r="Q154" s="4" t="s">
        <v>23</v>
      </c>
      <c r="R154" s="4" t="s">
        <v>30</v>
      </c>
      <c r="S154" s="4" t="s">
        <v>25</v>
      </c>
      <c r="T154" s="4" t="s">
        <v>31</v>
      </c>
    </row>
    <row r="155" spans="1:20" x14ac:dyDescent="0.45">
      <c r="A155" s="4" t="s">
        <v>234</v>
      </c>
      <c r="B155" s="4" t="s">
        <v>189</v>
      </c>
      <c r="C155" s="5">
        <v>2</v>
      </c>
      <c r="D155" s="5">
        <v>983</v>
      </c>
      <c r="E155" s="5">
        <v>279</v>
      </c>
      <c r="F155" s="5">
        <v>51</v>
      </c>
      <c r="G155" s="5">
        <v>6</v>
      </c>
      <c r="H155" s="5">
        <v>932</v>
      </c>
      <c r="I155" s="6">
        <v>10</v>
      </c>
      <c r="J155" s="6">
        <v>28.5</v>
      </c>
      <c r="K155" s="6">
        <v>79</v>
      </c>
      <c r="L155" s="6">
        <v>78.900000000000006</v>
      </c>
      <c r="M155" s="4" t="str">
        <f t="shared" si="6"/>
        <v>OK</v>
      </c>
      <c r="N155" s="7">
        <f t="shared" si="7"/>
        <v>2.7499811166098302E-3</v>
      </c>
      <c r="O155" s="7">
        <f>SUMIFS($D$2:D155,$B$2:B155,B155)/SUMIFS($D$2:$D$741,$B$2:$B$741,B155)</f>
        <v>0.97369473810835994</v>
      </c>
      <c r="P155" s="4" t="b">
        <f t="shared" si="8"/>
        <v>0</v>
      </c>
      <c r="Q155" s="4" t="s">
        <v>23</v>
      </c>
      <c r="R155" s="4" t="s">
        <v>91</v>
      </c>
      <c r="S155" s="4" t="s">
        <v>109</v>
      </c>
      <c r="T155" s="4" t="s">
        <v>235</v>
      </c>
    </row>
    <row r="156" spans="1:20" x14ac:dyDescent="0.45">
      <c r="A156" s="4" t="s">
        <v>236</v>
      </c>
      <c r="B156" s="4" t="s">
        <v>189</v>
      </c>
      <c r="C156" s="5">
        <v>2</v>
      </c>
      <c r="D156" s="5">
        <v>968</v>
      </c>
      <c r="E156" s="5">
        <v>0</v>
      </c>
      <c r="F156" s="5">
        <v>1</v>
      </c>
      <c r="G156" s="5">
        <v>1</v>
      </c>
      <c r="H156" s="5">
        <v>967</v>
      </c>
      <c r="I156" s="6">
        <v>1</v>
      </c>
      <c r="J156" s="6">
        <v>1.1000000000000001</v>
      </c>
      <c r="K156" s="6">
        <v>2</v>
      </c>
      <c r="L156" s="6">
        <v>2</v>
      </c>
      <c r="M156" s="4" t="str">
        <f t="shared" si="6"/>
        <v>OK</v>
      </c>
      <c r="N156" s="7">
        <f t="shared" si="7"/>
        <v>2.708018027343149E-3</v>
      </c>
      <c r="O156" s="7">
        <f>SUMIFS($D$2:D156,$B$2:B156,B156)/SUMIFS($D$2:$D$741,$B$2:$B$741,B156)</f>
        <v>0.97640275613570304</v>
      </c>
      <c r="P156" s="4" t="b">
        <f t="shared" si="8"/>
        <v>0</v>
      </c>
      <c r="Q156" s="4" t="s">
        <v>23</v>
      </c>
      <c r="R156" s="4" t="s">
        <v>218</v>
      </c>
      <c r="S156" s="4" t="s">
        <v>25</v>
      </c>
      <c r="T156" s="4" t="s">
        <v>219</v>
      </c>
    </row>
    <row r="157" spans="1:20" x14ac:dyDescent="0.45">
      <c r="A157" s="4" t="s">
        <v>237</v>
      </c>
      <c r="B157" s="4" t="s">
        <v>189</v>
      </c>
      <c r="C157" s="5">
        <v>2</v>
      </c>
      <c r="D157" s="5">
        <v>811</v>
      </c>
      <c r="E157" s="5">
        <v>221</v>
      </c>
      <c r="F157" s="5">
        <v>22</v>
      </c>
      <c r="G157" s="5">
        <v>6</v>
      </c>
      <c r="H157" s="5">
        <v>789</v>
      </c>
      <c r="I157" s="6">
        <v>5</v>
      </c>
      <c r="J157" s="6">
        <v>17.899999999999999</v>
      </c>
      <c r="K157" s="6">
        <v>41</v>
      </c>
      <c r="L157" s="6">
        <v>41</v>
      </c>
      <c r="M157" s="4" t="str">
        <f t="shared" si="6"/>
        <v>OK</v>
      </c>
      <c r="N157" s="7">
        <f t="shared" si="7"/>
        <v>2.268804359685221E-3</v>
      </c>
      <c r="O157" s="7">
        <f>SUMIFS($D$2:D157,$B$2:B157,B157)/SUMIFS($D$2:$D$741,$B$2:$B$741,B157)</f>
        <v>0.97867156049538828</v>
      </c>
      <c r="P157" s="4" t="b">
        <f t="shared" si="8"/>
        <v>0</v>
      </c>
      <c r="Q157" s="4" t="s">
        <v>23</v>
      </c>
      <c r="R157" s="4" t="s">
        <v>91</v>
      </c>
      <c r="S157" s="4" t="s">
        <v>25</v>
      </c>
      <c r="T157" s="4" t="s">
        <v>92</v>
      </c>
    </row>
    <row r="158" spans="1:20" x14ac:dyDescent="0.45">
      <c r="A158" s="4" t="s">
        <v>238</v>
      </c>
      <c r="B158" s="4" t="s">
        <v>189</v>
      </c>
      <c r="C158" s="5">
        <v>1</v>
      </c>
      <c r="D158" s="5">
        <v>728</v>
      </c>
      <c r="E158" s="5">
        <v>182</v>
      </c>
      <c r="F158" s="5">
        <v>10</v>
      </c>
      <c r="G158" s="5">
        <v>7</v>
      </c>
      <c r="H158" s="5">
        <v>718</v>
      </c>
      <c r="I158" s="6">
        <v>1</v>
      </c>
      <c r="J158" s="6">
        <v>1.6</v>
      </c>
      <c r="K158" s="6">
        <v>2</v>
      </c>
      <c r="L158" s="6">
        <v>2</v>
      </c>
      <c r="M158" s="4" t="str">
        <f t="shared" si="6"/>
        <v>OK</v>
      </c>
      <c r="N158" s="7">
        <f t="shared" si="7"/>
        <v>2.0366085990762527E-3</v>
      </c>
      <c r="O158" s="7">
        <f>SUMIFS($D$2:D158,$B$2:B158,B158)/SUMIFS($D$2:$D$741,$B$2:$B$741,B158)</f>
        <v>0.98070816909446445</v>
      </c>
      <c r="P158" s="4" t="b">
        <f t="shared" si="8"/>
        <v>0</v>
      </c>
      <c r="Q158" s="4" t="s">
        <v>23</v>
      </c>
      <c r="R158" s="4" t="s">
        <v>105</v>
      </c>
      <c r="S158" s="4" t="s">
        <v>25</v>
      </c>
      <c r="T158" s="4" t="s">
        <v>106</v>
      </c>
    </row>
    <row r="159" spans="1:20" x14ac:dyDescent="0.45">
      <c r="A159" s="4" t="s">
        <v>239</v>
      </c>
      <c r="B159" s="4" t="s">
        <v>189</v>
      </c>
      <c r="C159" s="5">
        <v>2</v>
      </c>
      <c r="D159" s="5">
        <v>651</v>
      </c>
      <c r="E159" s="5">
        <v>116</v>
      </c>
      <c r="F159" s="5">
        <v>9</v>
      </c>
      <c r="G159" s="5">
        <v>5</v>
      </c>
      <c r="H159" s="5">
        <v>642</v>
      </c>
      <c r="I159" s="6">
        <v>12</v>
      </c>
      <c r="J159" s="6">
        <v>28.9</v>
      </c>
      <c r="K159" s="6">
        <v>48</v>
      </c>
      <c r="L159" s="6">
        <v>48</v>
      </c>
      <c r="M159" s="4" t="str">
        <f t="shared" si="6"/>
        <v>OK</v>
      </c>
      <c r="N159" s="7">
        <f t="shared" si="7"/>
        <v>1.8211980741739567E-3</v>
      </c>
      <c r="O159" s="7">
        <f>SUMIFS($D$2:D159,$B$2:B159,B159)/SUMIFS($D$2:$D$741,$B$2:$B$741,B159)</f>
        <v>0.98252936716863848</v>
      </c>
      <c r="P159" s="4" t="b">
        <f t="shared" si="8"/>
        <v>0</v>
      </c>
      <c r="Q159" s="4" t="s">
        <v>23</v>
      </c>
      <c r="R159" s="4" t="s">
        <v>24</v>
      </c>
      <c r="S159" s="4" t="s">
        <v>25</v>
      </c>
      <c r="T159" s="4" t="s">
        <v>26</v>
      </c>
    </row>
    <row r="160" spans="1:20" x14ac:dyDescent="0.45">
      <c r="A160" s="4" t="s">
        <v>240</v>
      </c>
      <c r="B160" s="4" t="s">
        <v>189</v>
      </c>
      <c r="C160" s="5">
        <v>2</v>
      </c>
      <c r="D160" s="5">
        <v>619</v>
      </c>
      <c r="E160" s="5">
        <v>121</v>
      </c>
      <c r="F160" s="5">
        <v>0</v>
      </c>
      <c r="G160" s="5">
        <v>0</v>
      </c>
      <c r="H160" s="5">
        <v>619</v>
      </c>
      <c r="I160" s="6">
        <v>2</v>
      </c>
      <c r="J160" s="6">
        <v>5.3</v>
      </c>
      <c r="K160" s="6">
        <v>12</v>
      </c>
      <c r="L160" s="6">
        <v>12</v>
      </c>
      <c r="M160" s="4" t="str">
        <f t="shared" si="6"/>
        <v>OK</v>
      </c>
      <c r="N160" s="7">
        <f t="shared" si="7"/>
        <v>1.7316768170717038E-3</v>
      </c>
      <c r="O160" s="7">
        <f>SUMIFS($D$2:D160,$B$2:B160,B160)/SUMIFS($D$2:$D$741,$B$2:$B$741,B160)</f>
        <v>0.98426104398571013</v>
      </c>
      <c r="P160" s="4" t="b">
        <f t="shared" si="8"/>
        <v>0</v>
      </c>
      <c r="Q160" s="4" t="s">
        <v>23</v>
      </c>
      <c r="R160" s="4" t="s">
        <v>91</v>
      </c>
      <c r="S160" s="4" t="s">
        <v>25</v>
      </c>
      <c r="T160" s="4" t="s">
        <v>92</v>
      </c>
    </row>
    <row r="161" spans="1:20" x14ac:dyDescent="0.45">
      <c r="A161" s="4" t="s">
        <v>241</v>
      </c>
      <c r="B161" s="4" t="s">
        <v>189</v>
      </c>
      <c r="C161" s="5">
        <v>2</v>
      </c>
      <c r="D161" s="5">
        <v>474</v>
      </c>
      <c r="E161" s="5">
        <v>0</v>
      </c>
      <c r="F161" s="5">
        <v>13</v>
      </c>
      <c r="G161" s="5">
        <v>13</v>
      </c>
      <c r="H161" s="5">
        <v>461</v>
      </c>
      <c r="I161" s="6">
        <v>36</v>
      </c>
      <c r="J161" s="6">
        <v>46.1</v>
      </c>
      <c r="K161" s="6">
        <v>99</v>
      </c>
      <c r="L161" s="6">
        <v>99</v>
      </c>
      <c r="M161" s="4" t="str">
        <f t="shared" si="6"/>
        <v>OK</v>
      </c>
      <c r="N161" s="7">
        <f t="shared" si="7"/>
        <v>1.3260336208271205E-3</v>
      </c>
      <c r="O161" s="7">
        <f>SUMIFS($D$2:D161,$B$2:B161,B161)/SUMIFS($D$2:$D$741,$B$2:$B$741,B161)</f>
        <v>0.9855870776065373</v>
      </c>
      <c r="P161" s="4" t="b">
        <f t="shared" si="8"/>
        <v>0</v>
      </c>
      <c r="Q161" s="4" t="s">
        <v>23</v>
      </c>
      <c r="R161" s="4" t="s">
        <v>91</v>
      </c>
      <c r="S161" s="4" t="s">
        <v>25</v>
      </c>
      <c r="T161" s="4" t="s">
        <v>92</v>
      </c>
    </row>
    <row r="162" spans="1:20" x14ac:dyDescent="0.45">
      <c r="A162" s="4" t="s">
        <v>242</v>
      </c>
      <c r="B162" s="4" t="s">
        <v>189</v>
      </c>
      <c r="C162" s="5">
        <v>1</v>
      </c>
      <c r="D162" s="5">
        <v>416</v>
      </c>
      <c r="E162" s="5">
        <v>0</v>
      </c>
      <c r="F162" s="5">
        <v>0</v>
      </c>
      <c r="G162" s="5">
        <v>0</v>
      </c>
      <c r="H162" s="5">
        <v>416</v>
      </c>
      <c r="I162" s="6">
        <v>1</v>
      </c>
      <c r="J162" s="6">
        <v>1</v>
      </c>
      <c r="K162" s="6">
        <v>2</v>
      </c>
      <c r="L162" s="6">
        <v>2</v>
      </c>
      <c r="M162" s="4" t="str">
        <f t="shared" si="6"/>
        <v>OK</v>
      </c>
      <c r="N162" s="7">
        <f t="shared" si="7"/>
        <v>1.1637763423292871E-3</v>
      </c>
      <c r="O162" s="7">
        <f>SUMIFS($D$2:D162,$B$2:B162,B162)/SUMIFS($D$2:$D$741,$B$2:$B$741,B162)</f>
        <v>0.98675085394886652</v>
      </c>
      <c r="P162" s="4" t="b">
        <f t="shared" si="8"/>
        <v>0</v>
      </c>
      <c r="Q162" s="4" t="s">
        <v>23</v>
      </c>
      <c r="R162" s="4" t="s">
        <v>24</v>
      </c>
      <c r="S162" s="4" t="s">
        <v>25</v>
      </c>
      <c r="T162" s="4" t="s">
        <v>26</v>
      </c>
    </row>
    <row r="163" spans="1:20" x14ac:dyDescent="0.45">
      <c r="A163" s="4" t="s">
        <v>243</v>
      </c>
      <c r="B163" s="4" t="s">
        <v>189</v>
      </c>
      <c r="C163" s="5">
        <v>2</v>
      </c>
      <c r="D163" s="5">
        <v>403</v>
      </c>
      <c r="E163" s="5">
        <v>87</v>
      </c>
      <c r="F163" s="5">
        <v>19</v>
      </c>
      <c r="G163" s="5">
        <v>10</v>
      </c>
      <c r="H163" s="5">
        <v>384</v>
      </c>
      <c r="I163" s="6">
        <v>29</v>
      </c>
      <c r="J163" s="6">
        <v>58.5</v>
      </c>
      <c r="K163" s="6">
        <v>174</v>
      </c>
      <c r="L163" s="6">
        <v>174</v>
      </c>
      <c r="M163" s="4" t="str">
        <f t="shared" si="6"/>
        <v>OK</v>
      </c>
      <c r="N163" s="7">
        <f t="shared" si="7"/>
        <v>1.1274083316314969E-3</v>
      </c>
      <c r="O163" s="7">
        <f>SUMIFS($D$2:D163,$B$2:B163,B163)/SUMIFS($D$2:$D$741,$B$2:$B$741,B163)</f>
        <v>0.98787826228049802</v>
      </c>
      <c r="P163" s="4" t="b">
        <f t="shared" si="8"/>
        <v>0</v>
      </c>
      <c r="Q163" s="4" t="s">
        <v>23</v>
      </c>
      <c r="R163" s="4" t="s">
        <v>91</v>
      </c>
      <c r="S163" s="4" t="s">
        <v>25</v>
      </c>
      <c r="T163" s="4" t="s">
        <v>92</v>
      </c>
    </row>
    <row r="164" spans="1:20" x14ac:dyDescent="0.45">
      <c r="A164" s="4" t="s">
        <v>244</v>
      </c>
      <c r="B164" s="4" t="s">
        <v>189</v>
      </c>
      <c r="C164" s="5">
        <v>1</v>
      </c>
      <c r="D164" s="5">
        <v>393</v>
      </c>
      <c r="E164" s="5">
        <v>0</v>
      </c>
      <c r="F164" s="5">
        <v>23</v>
      </c>
      <c r="G164" s="5">
        <v>23</v>
      </c>
      <c r="H164" s="5">
        <v>370</v>
      </c>
      <c r="I164" s="6">
        <v>33</v>
      </c>
      <c r="J164" s="6">
        <v>49.5</v>
      </c>
      <c r="K164" s="6">
        <v>98</v>
      </c>
      <c r="L164" s="6">
        <v>98.1</v>
      </c>
      <c r="M164" s="4" t="str">
        <f t="shared" si="6"/>
        <v>OK</v>
      </c>
      <c r="N164" s="7">
        <f t="shared" si="7"/>
        <v>1.0994329387870429E-3</v>
      </c>
      <c r="O164" s="7">
        <f>SUMIFS($D$2:D164,$B$2:B164,B164)/SUMIFS($D$2:$D$741,$B$2:$B$741,B164)</f>
        <v>0.98897769521928514</v>
      </c>
      <c r="P164" s="4" t="b">
        <f t="shared" si="8"/>
        <v>0</v>
      </c>
      <c r="Q164" s="4" t="s">
        <v>23</v>
      </c>
      <c r="R164" s="4" t="s">
        <v>75</v>
      </c>
      <c r="S164" s="4" t="s">
        <v>25</v>
      </c>
      <c r="T164" s="4" t="s">
        <v>76</v>
      </c>
    </row>
    <row r="165" spans="1:20" x14ac:dyDescent="0.45">
      <c r="A165" s="4" t="s">
        <v>245</v>
      </c>
      <c r="B165" s="4" t="s">
        <v>189</v>
      </c>
      <c r="C165" s="5">
        <v>1</v>
      </c>
      <c r="D165" s="5">
        <v>308</v>
      </c>
      <c r="E165" s="5">
        <v>76</v>
      </c>
      <c r="F165" s="5">
        <v>5</v>
      </c>
      <c r="G165" s="5">
        <v>2</v>
      </c>
      <c r="H165" s="5">
        <v>303</v>
      </c>
      <c r="I165" s="6">
        <v>4</v>
      </c>
      <c r="J165" s="6">
        <v>22.5</v>
      </c>
      <c r="K165" s="6">
        <v>37</v>
      </c>
      <c r="L165" s="6">
        <v>37.4</v>
      </c>
      <c r="M165" s="4" t="str">
        <f t="shared" si="6"/>
        <v>OK</v>
      </c>
      <c r="N165" s="7">
        <f t="shared" si="7"/>
        <v>8.6164209960918378E-4</v>
      </c>
      <c r="O165" s="7">
        <f>SUMIFS($D$2:D165,$B$2:B165,B165)/SUMIFS($D$2:$D$741,$B$2:$B$741,B165)</f>
        <v>0.98983933731889429</v>
      </c>
      <c r="P165" s="4" t="b">
        <f t="shared" si="8"/>
        <v>0</v>
      </c>
      <c r="Q165" s="4" t="s">
        <v>23</v>
      </c>
      <c r="R165" s="4" t="s">
        <v>91</v>
      </c>
      <c r="S165" s="4" t="s">
        <v>25</v>
      </c>
      <c r="T165" s="4" t="s">
        <v>92</v>
      </c>
    </row>
    <row r="166" spans="1:20" x14ac:dyDescent="0.45">
      <c r="A166" s="4" t="s">
        <v>246</v>
      </c>
      <c r="B166" s="4" t="s">
        <v>189</v>
      </c>
      <c r="C166" s="5">
        <v>1</v>
      </c>
      <c r="D166" s="5">
        <v>284</v>
      </c>
      <c r="E166" s="5">
        <v>48</v>
      </c>
      <c r="F166" s="5">
        <v>0</v>
      </c>
      <c r="G166" s="5">
        <v>0</v>
      </c>
      <c r="H166" s="5">
        <v>284</v>
      </c>
      <c r="I166" s="6">
        <v>4</v>
      </c>
      <c r="J166" s="6">
        <v>35.6</v>
      </c>
      <c r="K166" s="6">
        <v>115</v>
      </c>
      <c r="L166" s="6">
        <v>114.7</v>
      </c>
      <c r="M166" s="4" t="str">
        <f t="shared" si="6"/>
        <v>OK</v>
      </c>
      <c r="N166" s="7">
        <f t="shared" si="7"/>
        <v>7.9450115678249408E-4</v>
      </c>
      <c r="O166" s="7">
        <f>SUMIFS($D$2:D166,$B$2:B166,B166)/SUMIFS($D$2:$D$741,$B$2:$B$741,B166)</f>
        <v>0.99063383847567676</v>
      </c>
      <c r="P166" s="4" t="b">
        <f t="shared" si="8"/>
        <v>0</v>
      </c>
      <c r="Q166" s="4" t="s">
        <v>23</v>
      </c>
      <c r="R166" s="4" t="s">
        <v>91</v>
      </c>
      <c r="S166" s="4" t="s">
        <v>25</v>
      </c>
      <c r="T166" s="4" t="s">
        <v>92</v>
      </c>
    </row>
    <row r="167" spans="1:20" x14ac:dyDescent="0.45">
      <c r="A167" s="4" t="s">
        <v>247</v>
      </c>
      <c r="B167" s="4" t="s">
        <v>189</v>
      </c>
      <c r="C167" s="5">
        <v>1</v>
      </c>
      <c r="D167" s="5">
        <v>273</v>
      </c>
      <c r="E167" s="5">
        <v>0</v>
      </c>
      <c r="F167" s="5">
        <v>1</v>
      </c>
      <c r="G167" s="5">
        <v>1</v>
      </c>
      <c r="H167" s="5">
        <v>272</v>
      </c>
      <c r="I167" s="6">
        <v>24</v>
      </c>
      <c r="J167" s="6">
        <v>30</v>
      </c>
      <c r="K167" s="6">
        <v>48</v>
      </c>
      <c r="L167" s="6">
        <v>48</v>
      </c>
      <c r="M167" s="4" t="str">
        <f t="shared" si="6"/>
        <v>OK</v>
      </c>
      <c r="N167" s="7">
        <f t="shared" si="7"/>
        <v>7.6372822465359475E-4</v>
      </c>
      <c r="O167" s="7">
        <f>SUMIFS($D$2:D167,$B$2:B167,B167)/SUMIFS($D$2:$D$741,$B$2:$B$741,B167)</f>
        <v>0.99139756670033041</v>
      </c>
      <c r="P167" s="4" t="b">
        <f t="shared" si="8"/>
        <v>0</v>
      </c>
      <c r="Q167" s="4" t="s">
        <v>23</v>
      </c>
      <c r="R167" s="4" t="s">
        <v>91</v>
      </c>
      <c r="S167" s="4" t="s">
        <v>25</v>
      </c>
      <c r="T167" s="4" t="s">
        <v>92</v>
      </c>
    </row>
    <row r="168" spans="1:20" x14ac:dyDescent="0.45">
      <c r="A168" s="4" t="s">
        <v>248</v>
      </c>
      <c r="B168" s="4" t="s">
        <v>189</v>
      </c>
      <c r="C168" s="5">
        <v>2</v>
      </c>
      <c r="D168" s="5">
        <v>259</v>
      </c>
      <c r="E168" s="5">
        <v>52</v>
      </c>
      <c r="F168" s="5">
        <v>0</v>
      </c>
      <c r="G168" s="5">
        <v>0</v>
      </c>
      <c r="H168" s="5">
        <v>259</v>
      </c>
      <c r="I168" s="6">
        <v>2</v>
      </c>
      <c r="J168" s="6">
        <v>6.3</v>
      </c>
      <c r="K168" s="6">
        <v>12</v>
      </c>
      <c r="L168" s="6">
        <v>12</v>
      </c>
      <c r="M168" s="4" t="str">
        <f t="shared" si="6"/>
        <v>OK</v>
      </c>
      <c r="N168" s="7">
        <f t="shared" si="7"/>
        <v>7.2456267467135903E-4</v>
      </c>
      <c r="O168" s="7">
        <f>SUMIFS($D$2:D168,$B$2:B168,B168)/SUMIFS($D$2:$D$741,$B$2:$B$741,B168)</f>
        <v>0.99212212937500177</v>
      </c>
      <c r="P168" s="4" t="b">
        <f t="shared" si="8"/>
        <v>0</v>
      </c>
      <c r="Q168" s="4" t="s">
        <v>23</v>
      </c>
      <c r="R168" s="4" t="s">
        <v>91</v>
      </c>
      <c r="S168" s="4" t="s">
        <v>25</v>
      </c>
      <c r="T168" s="4" t="s">
        <v>92</v>
      </c>
    </row>
    <row r="169" spans="1:20" x14ac:dyDescent="0.45">
      <c r="A169" s="4" t="s">
        <v>249</v>
      </c>
      <c r="B169" s="4" t="s">
        <v>189</v>
      </c>
      <c r="C169" s="5">
        <v>2</v>
      </c>
      <c r="D169" s="5">
        <v>254</v>
      </c>
      <c r="E169" s="5">
        <v>34</v>
      </c>
      <c r="F169" s="5">
        <v>2</v>
      </c>
      <c r="G169" s="5">
        <v>2</v>
      </c>
      <c r="H169" s="5">
        <v>252</v>
      </c>
      <c r="I169" s="6">
        <v>0</v>
      </c>
      <c r="J169" s="6">
        <v>2.1</v>
      </c>
      <c r="K169" s="6">
        <v>1</v>
      </c>
      <c r="L169" s="6">
        <v>1</v>
      </c>
      <c r="M169" s="4" t="str">
        <f t="shared" si="6"/>
        <v>OK</v>
      </c>
      <c r="N169" s="7">
        <f t="shared" si="7"/>
        <v>7.1057497824913204E-4</v>
      </c>
      <c r="O169" s="7">
        <f>SUMIFS($D$2:D169,$B$2:B169,B169)/SUMIFS($D$2:$D$741,$B$2:$B$741,B169)</f>
        <v>0.99283270435325088</v>
      </c>
      <c r="P169" s="4" t="b">
        <f t="shared" si="8"/>
        <v>0</v>
      </c>
      <c r="Q169" s="4" t="s">
        <v>23</v>
      </c>
      <c r="R169" s="4" t="s">
        <v>91</v>
      </c>
      <c r="S169" s="4" t="s">
        <v>109</v>
      </c>
      <c r="T169" s="4" t="s">
        <v>208</v>
      </c>
    </row>
    <row r="170" spans="1:20" x14ac:dyDescent="0.45">
      <c r="A170" s="4" t="s">
        <v>250</v>
      </c>
      <c r="B170" s="4" t="s">
        <v>189</v>
      </c>
      <c r="C170" s="5">
        <v>2</v>
      </c>
      <c r="D170" s="5">
        <v>244</v>
      </c>
      <c r="E170" s="5">
        <v>53</v>
      </c>
      <c r="F170" s="5">
        <v>1</v>
      </c>
      <c r="G170" s="5">
        <v>1</v>
      </c>
      <c r="H170" s="5">
        <v>243</v>
      </c>
      <c r="I170" s="6">
        <v>0</v>
      </c>
      <c r="J170" s="6">
        <v>2.6</v>
      </c>
      <c r="K170" s="6">
        <v>8</v>
      </c>
      <c r="L170" s="6">
        <v>8</v>
      </c>
      <c r="M170" s="4" t="str">
        <f t="shared" si="6"/>
        <v>OK</v>
      </c>
      <c r="N170" s="7">
        <f t="shared" si="7"/>
        <v>6.8259958540467806E-4</v>
      </c>
      <c r="O170" s="7">
        <f>SUMIFS($D$2:D170,$B$2:B170,B170)/SUMIFS($D$2:$D$741,$B$2:$B$741,B170)</f>
        <v>0.99351530393865561</v>
      </c>
      <c r="P170" s="4" t="b">
        <f t="shared" si="8"/>
        <v>0</v>
      </c>
      <c r="Q170" s="4" t="s">
        <v>23</v>
      </c>
      <c r="R170" s="4" t="s">
        <v>91</v>
      </c>
      <c r="S170" s="4" t="s">
        <v>25</v>
      </c>
      <c r="T170" s="4" t="s">
        <v>92</v>
      </c>
    </row>
    <row r="171" spans="1:20" x14ac:dyDescent="0.45">
      <c r="A171" s="4" t="s">
        <v>251</v>
      </c>
      <c r="B171" s="4" t="s">
        <v>189</v>
      </c>
      <c r="C171" s="5">
        <v>1</v>
      </c>
      <c r="D171" s="5">
        <v>231</v>
      </c>
      <c r="E171" s="5">
        <v>0</v>
      </c>
      <c r="F171" s="5">
        <v>0</v>
      </c>
      <c r="G171" s="5">
        <v>0</v>
      </c>
      <c r="H171" s="5">
        <v>231</v>
      </c>
      <c r="I171" s="6">
        <v>2</v>
      </c>
      <c r="J171" s="6">
        <v>5.8</v>
      </c>
      <c r="K171" s="6">
        <v>11</v>
      </c>
      <c r="L171" s="6">
        <v>11</v>
      </c>
      <c r="M171" s="4" t="str">
        <f t="shared" si="6"/>
        <v>OK</v>
      </c>
      <c r="N171" s="7">
        <f t="shared" si="7"/>
        <v>6.4623157470688781E-4</v>
      </c>
      <c r="O171" s="7">
        <f>SUMIFS($D$2:D171,$B$2:B171,B171)/SUMIFS($D$2:$D$741,$B$2:$B$741,B171)</f>
        <v>0.99416153551336239</v>
      </c>
      <c r="P171" s="4" t="b">
        <f t="shared" si="8"/>
        <v>0</v>
      </c>
      <c r="Q171" s="4" t="s">
        <v>23</v>
      </c>
      <c r="R171" s="4" t="s">
        <v>91</v>
      </c>
      <c r="S171" s="4" t="s">
        <v>25</v>
      </c>
      <c r="T171" s="4" t="s">
        <v>92</v>
      </c>
    </row>
    <row r="172" spans="1:20" x14ac:dyDescent="0.45">
      <c r="A172" s="4" t="s">
        <v>252</v>
      </c>
      <c r="B172" s="4" t="s">
        <v>189</v>
      </c>
      <c r="C172" s="5">
        <v>2</v>
      </c>
      <c r="D172" s="5">
        <v>209</v>
      </c>
      <c r="E172" s="5">
        <v>60</v>
      </c>
      <c r="F172" s="5">
        <v>2</v>
      </c>
      <c r="G172" s="5">
        <v>1</v>
      </c>
      <c r="H172" s="5">
        <v>207</v>
      </c>
      <c r="I172" s="6">
        <v>1</v>
      </c>
      <c r="J172" s="6">
        <v>2.4</v>
      </c>
      <c r="K172" s="6">
        <v>8</v>
      </c>
      <c r="L172" s="6">
        <v>8</v>
      </c>
      <c r="M172" s="4" t="str">
        <f t="shared" si="6"/>
        <v>OK</v>
      </c>
      <c r="N172" s="7">
        <f t="shared" si="7"/>
        <v>5.8468571044908903E-4</v>
      </c>
      <c r="O172" s="7">
        <f>SUMIFS($D$2:D172,$B$2:B172,B172)/SUMIFS($D$2:$D$741,$B$2:$B$741,B172)</f>
        <v>0.99474622122381151</v>
      </c>
      <c r="P172" s="4" t="b">
        <f t="shared" si="8"/>
        <v>0</v>
      </c>
      <c r="Q172" s="4" t="s">
        <v>23</v>
      </c>
      <c r="R172" s="4" t="s">
        <v>91</v>
      </c>
      <c r="S172" s="4" t="s">
        <v>25</v>
      </c>
      <c r="T172" s="4" t="s">
        <v>92</v>
      </c>
    </row>
    <row r="173" spans="1:20" x14ac:dyDescent="0.45">
      <c r="A173" s="4" t="s">
        <v>253</v>
      </c>
      <c r="B173" s="4" t="s">
        <v>189</v>
      </c>
      <c r="C173" s="5">
        <v>2</v>
      </c>
      <c r="D173" s="5">
        <v>201</v>
      </c>
      <c r="E173" s="5">
        <v>59</v>
      </c>
      <c r="F173" s="5">
        <v>5</v>
      </c>
      <c r="G173" s="5">
        <v>5</v>
      </c>
      <c r="H173" s="5">
        <v>196</v>
      </c>
      <c r="I173" s="6">
        <v>1</v>
      </c>
      <c r="J173" s="6">
        <v>3.1</v>
      </c>
      <c r="K173" s="6">
        <v>8</v>
      </c>
      <c r="L173" s="6">
        <v>8</v>
      </c>
      <c r="M173" s="4" t="str">
        <f t="shared" si="6"/>
        <v>OK</v>
      </c>
      <c r="N173" s="7">
        <f t="shared" si="7"/>
        <v>5.6230539617352577E-4</v>
      </c>
      <c r="O173" s="7">
        <f>SUMIFS($D$2:D173,$B$2:B173,B173)/SUMIFS($D$2:$D$741,$B$2:$B$741,B173)</f>
        <v>0.99530852661998503</v>
      </c>
      <c r="P173" s="4" t="b">
        <f t="shared" si="8"/>
        <v>0</v>
      </c>
      <c r="Q173" s="4" t="s">
        <v>23</v>
      </c>
      <c r="R173" s="4" t="s">
        <v>91</v>
      </c>
      <c r="S173" s="4" t="s">
        <v>25</v>
      </c>
      <c r="T173" s="4" t="s">
        <v>92</v>
      </c>
    </row>
    <row r="174" spans="1:20" x14ac:dyDescent="0.45">
      <c r="A174" s="4" t="s">
        <v>254</v>
      </c>
      <c r="B174" s="4" t="s">
        <v>189</v>
      </c>
      <c r="C174" s="5">
        <v>1</v>
      </c>
      <c r="D174" s="5">
        <v>187</v>
      </c>
      <c r="E174" s="5">
        <v>51</v>
      </c>
      <c r="F174" s="5">
        <v>25</v>
      </c>
      <c r="G174" s="5">
        <v>14</v>
      </c>
      <c r="H174" s="5">
        <v>162</v>
      </c>
      <c r="I174" s="6">
        <v>119.5</v>
      </c>
      <c r="J174" s="6">
        <v>116.2</v>
      </c>
      <c r="K174" s="6">
        <v>238</v>
      </c>
      <c r="L174" s="6">
        <v>237.8</v>
      </c>
      <c r="M174" s="4" t="str">
        <f t="shared" si="6"/>
        <v>OK</v>
      </c>
      <c r="N174" s="7">
        <f t="shared" si="7"/>
        <v>5.2313984619129015E-4</v>
      </c>
      <c r="O174" s="7">
        <f>SUMIFS($D$2:D174,$B$2:B174,B174)/SUMIFS($D$2:$D$741,$B$2:$B$741,B174)</f>
        <v>0.99583166646617638</v>
      </c>
      <c r="P174" s="4" t="b">
        <f t="shared" si="8"/>
        <v>0</v>
      </c>
      <c r="Q174" s="4" t="s">
        <v>23</v>
      </c>
      <c r="R174" s="4" t="s">
        <v>24</v>
      </c>
      <c r="S174" s="4" t="s">
        <v>25</v>
      </c>
      <c r="T174" s="4" t="s">
        <v>26</v>
      </c>
    </row>
    <row r="175" spans="1:20" x14ac:dyDescent="0.45">
      <c r="A175" s="4" t="s">
        <v>255</v>
      </c>
      <c r="B175" s="4" t="s">
        <v>189</v>
      </c>
      <c r="C175" s="5">
        <v>2</v>
      </c>
      <c r="D175" s="5">
        <v>165</v>
      </c>
      <c r="E175" s="5">
        <v>32</v>
      </c>
      <c r="F175" s="5">
        <v>1</v>
      </c>
      <c r="G175" s="5">
        <v>0</v>
      </c>
      <c r="H175" s="5">
        <v>164</v>
      </c>
      <c r="I175" s="6">
        <v>0</v>
      </c>
      <c r="J175" s="6">
        <v>4.5</v>
      </c>
      <c r="K175" s="6">
        <v>6</v>
      </c>
      <c r="L175" s="6">
        <v>5.7</v>
      </c>
      <c r="M175" s="4" t="str">
        <f t="shared" si="6"/>
        <v>OK</v>
      </c>
      <c r="N175" s="7">
        <f t="shared" si="7"/>
        <v>4.6159398193349127E-4</v>
      </c>
      <c r="O175" s="7">
        <f>SUMIFS($D$2:D175,$B$2:B175,B175)/SUMIFS($D$2:$D$741,$B$2:$B$741,B175)</f>
        <v>0.99629326044810984</v>
      </c>
      <c r="P175" s="4" t="b">
        <f t="shared" si="8"/>
        <v>0</v>
      </c>
      <c r="Q175" s="4" t="s">
        <v>23</v>
      </c>
      <c r="R175" s="4" t="s">
        <v>91</v>
      </c>
      <c r="S175" s="4" t="s">
        <v>25</v>
      </c>
      <c r="T175" s="4" t="s">
        <v>92</v>
      </c>
    </row>
    <row r="176" spans="1:20" x14ac:dyDescent="0.45">
      <c r="A176" s="4" t="s">
        <v>256</v>
      </c>
      <c r="B176" s="4" t="s">
        <v>189</v>
      </c>
      <c r="C176" s="5">
        <v>2</v>
      </c>
      <c r="D176" s="5">
        <v>123</v>
      </c>
      <c r="E176" s="5">
        <v>22</v>
      </c>
      <c r="F176" s="5">
        <v>0</v>
      </c>
      <c r="G176" s="5">
        <v>0</v>
      </c>
      <c r="H176" s="5">
        <v>123</v>
      </c>
      <c r="I176" s="6">
        <v>2</v>
      </c>
      <c r="J176" s="6">
        <v>5.8</v>
      </c>
      <c r="K176" s="6">
        <v>12</v>
      </c>
      <c r="L176" s="6">
        <v>12</v>
      </c>
      <c r="M176" s="4" t="str">
        <f t="shared" si="6"/>
        <v>OK</v>
      </c>
      <c r="N176" s="7">
        <f t="shared" si="7"/>
        <v>3.4409733198678444E-4</v>
      </c>
      <c r="O176" s="7">
        <f>SUMIFS($D$2:D176,$B$2:B176,B176)/SUMIFS($D$2:$D$741,$B$2:$B$741,B176)</f>
        <v>0.99663735778009666</v>
      </c>
      <c r="P176" s="4" t="b">
        <f t="shared" si="8"/>
        <v>0</v>
      </c>
      <c r="Q176" s="4" t="s">
        <v>23</v>
      </c>
      <c r="R176" s="4" t="s">
        <v>91</v>
      </c>
      <c r="S176" s="4" t="s">
        <v>25</v>
      </c>
      <c r="T176" s="4" t="s">
        <v>92</v>
      </c>
    </row>
    <row r="177" spans="1:20" x14ac:dyDescent="0.45">
      <c r="A177" s="4" t="s">
        <v>257</v>
      </c>
      <c r="B177" s="4" t="s">
        <v>189</v>
      </c>
      <c r="C177" s="5">
        <v>2</v>
      </c>
      <c r="D177" s="5">
        <v>120</v>
      </c>
      <c r="E177" s="5">
        <v>16</v>
      </c>
      <c r="F177" s="5">
        <v>0</v>
      </c>
      <c r="G177" s="5">
        <v>0</v>
      </c>
      <c r="H177" s="5">
        <v>120</v>
      </c>
      <c r="I177" s="6">
        <v>3</v>
      </c>
      <c r="J177" s="6">
        <v>7.8</v>
      </c>
      <c r="K177" s="6">
        <v>15</v>
      </c>
      <c r="L177" s="6">
        <v>15.4</v>
      </c>
      <c r="M177" s="4" t="str">
        <f t="shared" si="6"/>
        <v>OK</v>
      </c>
      <c r="N177" s="7">
        <f t="shared" si="7"/>
        <v>3.3570471413344821E-4</v>
      </c>
      <c r="O177" s="7">
        <f>SUMIFS($D$2:D177,$B$2:B177,B177)/SUMIFS($D$2:$D$741,$B$2:$B$741,B177)</f>
        <v>0.99697306249423012</v>
      </c>
      <c r="P177" s="4" t="b">
        <f t="shared" si="8"/>
        <v>0</v>
      </c>
      <c r="Q177" s="4" t="s">
        <v>23</v>
      </c>
      <c r="R177" s="4" t="s">
        <v>91</v>
      </c>
      <c r="S177" s="4" t="s">
        <v>25</v>
      </c>
      <c r="T177" s="4" t="s">
        <v>92</v>
      </c>
    </row>
    <row r="178" spans="1:20" x14ac:dyDescent="0.45">
      <c r="A178" s="4" t="s">
        <v>258</v>
      </c>
      <c r="B178" s="4" t="s">
        <v>189</v>
      </c>
      <c r="C178" s="5">
        <v>1</v>
      </c>
      <c r="D178" s="5">
        <v>116</v>
      </c>
      <c r="E178" s="5">
        <v>20</v>
      </c>
      <c r="F178" s="5">
        <v>1</v>
      </c>
      <c r="G178" s="5">
        <v>1</v>
      </c>
      <c r="H178" s="5">
        <v>115</v>
      </c>
      <c r="I178" s="6">
        <v>1</v>
      </c>
      <c r="J178" s="6">
        <v>6.7</v>
      </c>
      <c r="K178" s="6">
        <v>8</v>
      </c>
      <c r="L178" s="6">
        <v>7.6</v>
      </c>
      <c r="M178" s="4" t="str">
        <f t="shared" si="6"/>
        <v>OK</v>
      </c>
      <c r="N178" s="7">
        <f t="shared" si="7"/>
        <v>3.2451455699566663E-4</v>
      </c>
      <c r="O178" s="7">
        <f>SUMIFS($D$2:D178,$B$2:B178,B178)/SUMIFS($D$2:$D$741,$B$2:$B$741,B178)</f>
        <v>0.99729757705122579</v>
      </c>
      <c r="P178" s="4" t="b">
        <f t="shared" si="8"/>
        <v>0</v>
      </c>
      <c r="Q178" s="4" t="s">
        <v>23</v>
      </c>
      <c r="R178" s="4" t="s">
        <v>30</v>
      </c>
      <c r="S178" s="4" t="s">
        <v>25</v>
      </c>
      <c r="T178" s="4" t="s">
        <v>31</v>
      </c>
    </row>
    <row r="179" spans="1:20" x14ac:dyDescent="0.45">
      <c r="A179" s="4" t="s">
        <v>259</v>
      </c>
      <c r="B179" s="4" t="s">
        <v>189</v>
      </c>
      <c r="C179" s="5">
        <v>2</v>
      </c>
      <c r="D179" s="5">
        <v>101</v>
      </c>
      <c r="E179" s="5">
        <v>27</v>
      </c>
      <c r="F179" s="5">
        <v>0</v>
      </c>
      <c r="G179" s="5">
        <v>0</v>
      </c>
      <c r="H179" s="5">
        <v>101</v>
      </c>
      <c r="I179" s="6">
        <v>3</v>
      </c>
      <c r="J179" s="6">
        <v>3.7</v>
      </c>
      <c r="K179" s="6">
        <v>7</v>
      </c>
      <c r="L179" s="6">
        <v>7</v>
      </c>
      <c r="M179" s="4" t="str">
        <f t="shared" si="6"/>
        <v>OK</v>
      </c>
      <c r="N179" s="7">
        <f t="shared" si="7"/>
        <v>2.8255146772898556E-4</v>
      </c>
      <c r="O179" s="7">
        <f>SUMIFS($D$2:D179,$B$2:B179,B179)/SUMIFS($D$2:$D$741,$B$2:$B$741,B179)</f>
        <v>0.99758012851895472</v>
      </c>
      <c r="P179" s="4" t="b">
        <f t="shared" si="8"/>
        <v>0</v>
      </c>
      <c r="Q179" s="4" t="s">
        <v>23</v>
      </c>
      <c r="R179" s="4" t="s">
        <v>30</v>
      </c>
      <c r="S179" s="4" t="s">
        <v>25</v>
      </c>
      <c r="T179" s="4" t="s">
        <v>31</v>
      </c>
    </row>
    <row r="180" spans="1:20" x14ac:dyDescent="0.45">
      <c r="A180" s="4" t="s">
        <v>260</v>
      </c>
      <c r="B180" s="4" t="s">
        <v>189</v>
      </c>
      <c r="C180" s="5">
        <v>2</v>
      </c>
      <c r="D180" s="5">
        <v>97</v>
      </c>
      <c r="E180" s="5">
        <v>24</v>
      </c>
      <c r="F180" s="5">
        <v>0</v>
      </c>
      <c r="G180" s="5">
        <v>0</v>
      </c>
      <c r="H180" s="5">
        <v>97</v>
      </c>
      <c r="I180" s="6">
        <v>0</v>
      </c>
      <c r="J180" s="6">
        <v>10.5</v>
      </c>
      <c r="K180" s="6">
        <v>28</v>
      </c>
      <c r="L180" s="6">
        <v>28.2</v>
      </c>
      <c r="M180" s="4" t="str">
        <f t="shared" si="6"/>
        <v>OK</v>
      </c>
      <c r="N180" s="7">
        <f t="shared" si="7"/>
        <v>2.7136131059120398E-4</v>
      </c>
      <c r="O180" s="7">
        <f>SUMIFS($D$2:D180,$B$2:B180,B180)/SUMIFS($D$2:$D$741,$B$2:$B$741,B180)</f>
        <v>0.99785148982954597</v>
      </c>
      <c r="P180" s="4" t="b">
        <f t="shared" si="8"/>
        <v>0</v>
      </c>
      <c r="Q180" s="4" t="s">
        <v>23</v>
      </c>
      <c r="R180" s="4" t="s">
        <v>91</v>
      </c>
      <c r="S180" s="4" t="s">
        <v>25</v>
      </c>
      <c r="T180" s="4" t="s">
        <v>92</v>
      </c>
    </row>
    <row r="181" spans="1:20" x14ac:dyDescent="0.45">
      <c r="A181" s="4" t="s">
        <v>261</v>
      </c>
      <c r="B181" s="4" t="s">
        <v>189</v>
      </c>
      <c r="C181" s="5">
        <v>2</v>
      </c>
      <c r="D181" s="5">
        <v>83</v>
      </c>
      <c r="E181" s="5">
        <v>0</v>
      </c>
      <c r="F181" s="5">
        <v>1</v>
      </c>
      <c r="G181" s="5">
        <v>1</v>
      </c>
      <c r="H181" s="5">
        <v>82</v>
      </c>
      <c r="I181" s="6">
        <v>28.5</v>
      </c>
      <c r="J181" s="6">
        <v>37</v>
      </c>
      <c r="K181" s="6">
        <v>81</v>
      </c>
      <c r="L181" s="6">
        <v>80.8</v>
      </c>
      <c r="M181" s="4" t="str">
        <f t="shared" si="6"/>
        <v>OK</v>
      </c>
      <c r="N181" s="7">
        <f t="shared" si="7"/>
        <v>2.3219576060896834E-4</v>
      </c>
      <c r="O181" s="7">
        <f>SUMIFS($D$2:D181,$B$2:B181,B181)/SUMIFS($D$2:$D$741,$B$2:$B$741,B181)</f>
        <v>0.99808368559015492</v>
      </c>
      <c r="P181" s="4" t="b">
        <f t="shared" si="8"/>
        <v>0</v>
      </c>
      <c r="Q181" s="4" t="s">
        <v>23</v>
      </c>
      <c r="R181" s="4" t="s">
        <v>75</v>
      </c>
      <c r="S181" s="4" t="s">
        <v>25</v>
      </c>
      <c r="T181" s="4" t="s">
        <v>76</v>
      </c>
    </row>
    <row r="182" spans="1:20" x14ac:dyDescent="0.45">
      <c r="A182" s="4" t="s">
        <v>262</v>
      </c>
      <c r="B182" s="4" t="s">
        <v>189</v>
      </c>
      <c r="C182" s="5">
        <v>2</v>
      </c>
      <c r="D182" s="5">
        <v>78</v>
      </c>
      <c r="E182" s="5">
        <v>30</v>
      </c>
      <c r="F182" s="5">
        <v>20</v>
      </c>
      <c r="G182" s="5">
        <v>10</v>
      </c>
      <c r="H182" s="5">
        <v>58</v>
      </c>
      <c r="I182" s="6">
        <v>3</v>
      </c>
      <c r="J182" s="6">
        <v>7.8</v>
      </c>
      <c r="K182" s="6">
        <v>26</v>
      </c>
      <c r="L182" s="6">
        <v>26.3</v>
      </c>
      <c r="M182" s="4" t="str">
        <f t="shared" si="6"/>
        <v>OK</v>
      </c>
      <c r="N182" s="7">
        <f t="shared" si="7"/>
        <v>2.1820806418674135E-4</v>
      </c>
      <c r="O182" s="7">
        <f>SUMIFS($D$2:D182,$B$2:B182,B182)/SUMIFS($D$2:$D$741,$B$2:$B$741,B182)</f>
        <v>0.99830189365434163</v>
      </c>
      <c r="P182" s="4" t="b">
        <f t="shared" si="8"/>
        <v>0</v>
      </c>
      <c r="Q182" s="4" t="s">
        <v>23</v>
      </c>
      <c r="R182" s="4" t="s">
        <v>91</v>
      </c>
      <c r="S182" s="4" t="s">
        <v>25</v>
      </c>
      <c r="T182" s="4" t="s">
        <v>92</v>
      </c>
    </row>
    <row r="183" spans="1:20" x14ac:dyDescent="0.45">
      <c r="A183" s="4" t="s">
        <v>263</v>
      </c>
      <c r="B183" s="4" t="s">
        <v>189</v>
      </c>
      <c r="C183" s="5">
        <v>2</v>
      </c>
      <c r="D183" s="5">
        <v>73</v>
      </c>
      <c r="E183" s="5">
        <v>11</v>
      </c>
      <c r="F183" s="5">
        <v>0</v>
      </c>
      <c r="G183" s="5">
        <v>0</v>
      </c>
      <c r="H183" s="5">
        <v>73</v>
      </c>
      <c r="I183" s="6">
        <v>4</v>
      </c>
      <c r="J183" s="6">
        <v>7.4</v>
      </c>
      <c r="K183" s="6">
        <v>15</v>
      </c>
      <c r="L183" s="6">
        <v>14.8</v>
      </c>
      <c r="M183" s="4" t="str">
        <f t="shared" si="6"/>
        <v>OK</v>
      </c>
      <c r="N183" s="7">
        <f t="shared" si="7"/>
        <v>2.0422036776451434E-4</v>
      </c>
      <c r="O183" s="7">
        <f>SUMIFS($D$2:D183,$B$2:B183,B183)/SUMIFS($D$2:$D$741,$B$2:$B$741,B183)</f>
        <v>0.99850611402210621</v>
      </c>
      <c r="P183" s="4" t="b">
        <f t="shared" si="8"/>
        <v>0</v>
      </c>
      <c r="Q183" s="4" t="s">
        <v>23</v>
      </c>
      <c r="R183" s="4" t="s">
        <v>91</v>
      </c>
      <c r="S183" s="4" t="s">
        <v>25</v>
      </c>
      <c r="T183" s="4" t="s">
        <v>92</v>
      </c>
    </row>
    <row r="184" spans="1:20" x14ac:dyDescent="0.45">
      <c r="A184" s="4" t="s">
        <v>264</v>
      </c>
      <c r="B184" s="4" t="s">
        <v>189</v>
      </c>
      <c r="C184" s="5">
        <v>2</v>
      </c>
      <c r="D184" s="5">
        <v>70</v>
      </c>
      <c r="E184" s="5">
        <v>8</v>
      </c>
      <c r="F184" s="5">
        <v>0</v>
      </c>
      <c r="G184" s="5">
        <v>0</v>
      </c>
      <c r="H184" s="5">
        <v>70</v>
      </c>
      <c r="I184" s="6">
        <v>1</v>
      </c>
      <c r="J184" s="6">
        <v>5.4</v>
      </c>
      <c r="K184" s="6">
        <v>13</v>
      </c>
      <c r="L184" s="6">
        <v>13.3</v>
      </c>
      <c r="M184" s="4" t="str">
        <f t="shared" si="6"/>
        <v>OK</v>
      </c>
      <c r="N184" s="7">
        <f t="shared" si="7"/>
        <v>1.9582774991117814E-4</v>
      </c>
      <c r="O184" s="7">
        <f>SUMIFS($D$2:D184,$B$2:B184,B184)/SUMIFS($D$2:$D$741,$B$2:$B$741,B184)</f>
        <v>0.99870194177201732</v>
      </c>
      <c r="P184" s="4" t="b">
        <f t="shared" si="8"/>
        <v>0</v>
      </c>
      <c r="Q184" s="4" t="s">
        <v>23</v>
      </c>
      <c r="R184" s="4" t="s">
        <v>91</v>
      </c>
      <c r="S184" s="4" t="s">
        <v>25</v>
      </c>
      <c r="T184" s="4" t="s">
        <v>92</v>
      </c>
    </row>
    <row r="185" spans="1:20" x14ac:dyDescent="0.45">
      <c r="A185" s="4" t="s">
        <v>265</v>
      </c>
      <c r="B185" s="4" t="s">
        <v>189</v>
      </c>
      <c r="C185" s="5">
        <v>1</v>
      </c>
      <c r="D185" s="5">
        <v>53</v>
      </c>
      <c r="E185" s="5">
        <v>0</v>
      </c>
      <c r="F185" s="5">
        <v>0</v>
      </c>
      <c r="G185" s="5">
        <v>0</v>
      </c>
      <c r="H185" s="5">
        <v>53</v>
      </c>
      <c r="I185" s="6">
        <v>0</v>
      </c>
      <c r="J185" s="6">
        <v>44.8</v>
      </c>
      <c r="K185" s="6">
        <v>130</v>
      </c>
      <c r="L185" s="6">
        <v>130</v>
      </c>
      <c r="M185" s="4" t="str">
        <f t="shared" si="6"/>
        <v>OK</v>
      </c>
      <c r="N185" s="7">
        <f t="shared" si="7"/>
        <v>1.482695820756063E-4</v>
      </c>
      <c r="O185" s="7">
        <f>SUMIFS($D$2:D185,$B$2:B185,B185)/SUMIFS($D$2:$D$741,$B$2:$B$741,B185)</f>
        <v>0.99885021135409291</v>
      </c>
      <c r="P185" s="4" t="b">
        <f t="shared" si="8"/>
        <v>0</v>
      </c>
      <c r="Q185" s="4" t="s">
        <v>23</v>
      </c>
      <c r="R185" s="4" t="s">
        <v>91</v>
      </c>
      <c r="S185" s="4" t="s">
        <v>25</v>
      </c>
      <c r="T185" s="4" t="s">
        <v>92</v>
      </c>
    </row>
    <row r="186" spans="1:20" x14ac:dyDescent="0.45">
      <c r="A186" s="4" t="s">
        <v>266</v>
      </c>
      <c r="B186" s="4" t="s">
        <v>189</v>
      </c>
      <c r="C186" s="5">
        <v>1</v>
      </c>
      <c r="D186" s="5">
        <v>50</v>
      </c>
      <c r="E186" s="5">
        <v>0</v>
      </c>
      <c r="F186" s="5">
        <v>0</v>
      </c>
      <c r="G186" s="5">
        <v>0</v>
      </c>
      <c r="H186" s="5">
        <v>50</v>
      </c>
      <c r="I186" s="6">
        <v>0</v>
      </c>
      <c r="J186" s="6">
        <v>0.1</v>
      </c>
      <c r="K186" s="6">
        <v>0</v>
      </c>
      <c r="L186" s="6">
        <v>0</v>
      </c>
      <c r="M186" s="4" t="str">
        <f t="shared" si="6"/>
        <v>OK</v>
      </c>
      <c r="N186" s="7">
        <f t="shared" si="7"/>
        <v>1.398769642222701E-4</v>
      </c>
      <c r="O186" s="7">
        <f>SUMIFS($D$2:D186,$B$2:B186,B186)/SUMIFS($D$2:$D$741,$B$2:$B$741,B186)</f>
        <v>0.99899008831831526</v>
      </c>
      <c r="P186" s="4" t="b">
        <f t="shared" si="8"/>
        <v>0</v>
      </c>
      <c r="Q186" s="4" t="s">
        <v>23</v>
      </c>
      <c r="R186" s="4" t="s">
        <v>30</v>
      </c>
      <c r="S186" s="4" t="s">
        <v>25</v>
      </c>
      <c r="T186" s="4" t="s">
        <v>31</v>
      </c>
    </row>
    <row r="187" spans="1:20" x14ac:dyDescent="0.45">
      <c r="A187" s="4" t="s">
        <v>267</v>
      </c>
      <c r="B187" s="4" t="s">
        <v>189</v>
      </c>
      <c r="C187" s="5">
        <v>1</v>
      </c>
      <c r="D187" s="5">
        <v>46</v>
      </c>
      <c r="E187" s="5">
        <v>22</v>
      </c>
      <c r="F187" s="5">
        <v>1</v>
      </c>
      <c r="G187" s="5">
        <v>0</v>
      </c>
      <c r="H187" s="5">
        <v>45</v>
      </c>
      <c r="I187" s="6">
        <v>3</v>
      </c>
      <c r="J187" s="6">
        <v>4.3</v>
      </c>
      <c r="K187" s="6">
        <v>8</v>
      </c>
      <c r="L187" s="6">
        <v>8</v>
      </c>
      <c r="M187" s="4" t="str">
        <f t="shared" si="6"/>
        <v>OK</v>
      </c>
      <c r="N187" s="7">
        <f t="shared" si="7"/>
        <v>1.286868070844885E-4</v>
      </c>
      <c r="O187" s="7">
        <f>SUMIFS($D$2:D187,$B$2:B187,B187)/SUMIFS($D$2:$D$741,$B$2:$B$741,B187)</f>
        <v>0.99911877512539971</v>
      </c>
      <c r="P187" s="4" t="b">
        <f t="shared" si="8"/>
        <v>0</v>
      </c>
      <c r="Q187" s="4" t="s">
        <v>23</v>
      </c>
      <c r="R187" s="4" t="s">
        <v>75</v>
      </c>
      <c r="S187" s="4" t="s">
        <v>25</v>
      </c>
      <c r="T187" s="4" t="s">
        <v>76</v>
      </c>
    </row>
    <row r="188" spans="1:20" x14ac:dyDescent="0.45">
      <c r="A188" s="4" t="s">
        <v>268</v>
      </c>
      <c r="B188" s="4" t="s">
        <v>189</v>
      </c>
      <c r="C188" s="5">
        <v>2</v>
      </c>
      <c r="D188" s="5">
        <v>38</v>
      </c>
      <c r="E188" s="5">
        <v>7</v>
      </c>
      <c r="F188" s="5">
        <v>0</v>
      </c>
      <c r="G188" s="5">
        <v>0</v>
      </c>
      <c r="H188" s="5">
        <v>38</v>
      </c>
      <c r="I188" s="6">
        <v>2</v>
      </c>
      <c r="J188" s="6">
        <v>6.7</v>
      </c>
      <c r="K188" s="6">
        <v>18</v>
      </c>
      <c r="L188" s="6">
        <v>17.8</v>
      </c>
      <c r="M188" s="4" t="str">
        <f t="shared" si="6"/>
        <v>OK</v>
      </c>
      <c r="N188" s="7">
        <f t="shared" si="7"/>
        <v>1.0630649280892527E-4</v>
      </c>
      <c r="O188" s="7">
        <f>SUMIFS($D$2:D188,$B$2:B188,B188)/SUMIFS($D$2:$D$741,$B$2:$B$741,B188)</f>
        <v>0.99922508161820867</v>
      </c>
      <c r="P188" s="4" t="b">
        <f t="shared" si="8"/>
        <v>0</v>
      </c>
      <c r="Q188" s="4" t="s">
        <v>23</v>
      </c>
      <c r="R188" s="4" t="s">
        <v>91</v>
      </c>
      <c r="S188" s="4" t="s">
        <v>25</v>
      </c>
      <c r="T188" s="4" t="s">
        <v>92</v>
      </c>
    </row>
    <row r="189" spans="1:20" x14ac:dyDescent="0.45">
      <c r="A189" s="4" t="s">
        <v>269</v>
      </c>
      <c r="B189" s="4" t="s">
        <v>189</v>
      </c>
      <c r="C189" s="5">
        <v>2</v>
      </c>
      <c r="D189" s="5">
        <v>35</v>
      </c>
      <c r="E189" s="5">
        <v>0</v>
      </c>
      <c r="F189" s="5">
        <v>0</v>
      </c>
      <c r="G189" s="5">
        <v>0</v>
      </c>
      <c r="H189" s="5">
        <v>35</v>
      </c>
      <c r="I189" s="6">
        <v>1</v>
      </c>
      <c r="J189" s="6">
        <v>2.1</v>
      </c>
      <c r="K189" s="6">
        <v>4</v>
      </c>
      <c r="L189" s="6">
        <v>3.6</v>
      </c>
      <c r="M189" s="4" t="str">
        <f t="shared" si="6"/>
        <v>OK</v>
      </c>
      <c r="N189" s="7">
        <f t="shared" si="7"/>
        <v>9.7913874955589069E-5</v>
      </c>
      <c r="O189" s="7">
        <f>SUMIFS($D$2:D189,$B$2:B189,B189)/SUMIFS($D$2:$D$741,$B$2:$B$741,B189)</f>
        <v>0.99932299549316417</v>
      </c>
      <c r="P189" s="4" t="b">
        <f t="shared" si="8"/>
        <v>0</v>
      </c>
      <c r="Q189" s="4" t="s">
        <v>23</v>
      </c>
      <c r="R189" s="4" t="s">
        <v>30</v>
      </c>
      <c r="S189" s="4" t="s">
        <v>25</v>
      </c>
      <c r="T189" s="4" t="s">
        <v>31</v>
      </c>
    </row>
    <row r="190" spans="1:20" x14ac:dyDescent="0.45">
      <c r="A190" s="4" t="s">
        <v>270</v>
      </c>
      <c r="B190" s="4" t="s">
        <v>189</v>
      </c>
      <c r="C190" s="5">
        <v>2</v>
      </c>
      <c r="D190" s="5">
        <v>34</v>
      </c>
      <c r="E190" s="5">
        <v>8</v>
      </c>
      <c r="F190" s="5">
        <v>0</v>
      </c>
      <c r="G190" s="5">
        <v>0</v>
      </c>
      <c r="H190" s="5">
        <v>34</v>
      </c>
      <c r="I190" s="6">
        <v>29.5</v>
      </c>
      <c r="J190" s="6">
        <v>39.299999999999997</v>
      </c>
      <c r="K190" s="6">
        <v>82</v>
      </c>
      <c r="L190" s="6">
        <v>82</v>
      </c>
      <c r="M190" s="4" t="str">
        <f t="shared" si="6"/>
        <v>OK</v>
      </c>
      <c r="N190" s="7">
        <f t="shared" si="7"/>
        <v>9.5116335671143661E-5</v>
      </c>
      <c r="O190" s="7">
        <f>SUMIFS($D$2:D190,$B$2:B190,B190)/SUMIFS($D$2:$D$741,$B$2:$B$741,B190)</f>
        <v>0.99941811182883533</v>
      </c>
      <c r="P190" s="4" t="b">
        <f t="shared" si="8"/>
        <v>0</v>
      </c>
      <c r="Q190" s="4" t="s">
        <v>23</v>
      </c>
      <c r="R190" s="4" t="s">
        <v>24</v>
      </c>
      <c r="S190" s="4" t="s">
        <v>25</v>
      </c>
      <c r="T190" s="4" t="s">
        <v>26</v>
      </c>
    </row>
    <row r="191" spans="1:20" x14ac:dyDescent="0.45">
      <c r="A191" s="4" t="s">
        <v>271</v>
      </c>
      <c r="B191" s="4" t="s">
        <v>189</v>
      </c>
      <c r="C191" s="5">
        <v>2</v>
      </c>
      <c r="D191" s="5">
        <v>33</v>
      </c>
      <c r="E191" s="5">
        <v>3</v>
      </c>
      <c r="F191" s="5">
        <v>2</v>
      </c>
      <c r="G191" s="5">
        <v>2</v>
      </c>
      <c r="H191" s="5">
        <v>31</v>
      </c>
      <c r="I191" s="6">
        <v>33</v>
      </c>
      <c r="J191" s="6">
        <v>42.8</v>
      </c>
      <c r="K191" s="6">
        <v>99</v>
      </c>
      <c r="L191" s="6">
        <v>99</v>
      </c>
      <c r="M191" s="4" t="str">
        <f t="shared" si="6"/>
        <v>OK</v>
      </c>
      <c r="N191" s="7">
        <f t="shared" si="7"/>
        <v>9.2318796386698266E-5</v>
      </c>
      <c r="O191" s="7">
        <f>SUMIFS($D$2:D191,$B$2:B191,B191)/SUMIFS($D$2:$D$741,$B$2:$B$741,B191)</f>
        <v>0.99951043062522205</v>
      </c>
      <c r="P191" s="4" t="b">
        <f t="shared" si="8"/>
        <v>0</v>
      </c>
      <c r="Q191" s="4" t="s">
        <v>23</v>
      </c>
      <c r="R191" s="4" t="s">
        <v>24</v>
      </c>
      <c r="S191" s="4" t="s">
        <v>25</v>
      </c>
      <c r="T191" s="4" t="s">
        <v>26</v>
      </c>
    </row>
    <row r="192" spans="1:20" x14ac:dyDescent="0.45">
      <c r="A192" s="4" t="s">
        <v>272</v>
      </c>
      <c r="B192" s="4" t="s">
        <v>189</v>
      </c>
      <c r="C192" s="5">
        <v>2</v>
      </c>
      <c r="D192" s="5">
        <v>30</v>
      </c>
      <c r="E192" s="5">
        <v>0</v>
      </c>
      <c r="F192" s="5">
        <v>0</v>
      </c>
      <c r="G192" s="5">
        <v>0</v>
      </c>
      <c r="H192" s="5">
        <v>30</v>
      </c>
      <c r="I192" s="6">
        <v>0</v>
      </c>
      <c r="J192" s="6">
        <v>0</v>
      </c>
      <c r="K192" s="6">
        <v>0</v>
      </c>
      <c r="L192" s="6">
        <v>0</v>
      </c>
      <c r="M192" s="4" t="str">
        <f t="shared" si="6"/>
        <v>OK</v>
      </c>
      <c r="N192" s="7">
        <f t="shared" si="7"/>
        <v>8.3926178533362054E-5</v>
      </c>
      <c r="O192" s="7">
        <f>SUMIFS($D$2:D192,$B$2:B192,B192)/SUMIFS($D$2:$D$741,$B$2:$B$741,B192)</f>
        <v>0.99959435680375541</v>
      </c>
      <c r="P192" s="4" t="b">
        <f t="shared" si="8"/>
        <v>0</v>
      </c>
      <c r="Q192" s="4" t="s">
        <v>23</v>
      </c>
      <c r="R192" s="4" t="s">
        <v>91</v>
      </c>
      <c r="S192" s="4" t="s">
        <v>25</v>
      </c>
      <c r="T192" s="4" t="s">
        <v>92</v>
      </c>
    </row>
    <row r="193" spans="1:20" x14ac:dyDescent="0.45">
      <c r="A193" s="4" t="s">
        <v>273</v>
      </c>
      <c r="B193" s="4" t="s">
        <v>189</v>
      </c>
      <c r="C193" s="5">
        <v>2</v>
      </c>
      <c r="D193" s="5">
        <v>27</v>
      </c>
      <c r="E193" s="5">
        <v>0</v>
      </c>
      <c r="F193" s="5">
        <v>0</v>
      </c>
      <c r="G193" s="5">
        <v>0</v>
      </c>
      <c r="H193" s="5">
        <v>27</v>
      </c>
      <c r="I193" s="6">
        <v>39</v>
      </c>
      <c r="J193" s="6">
        <v>48.6</v>
      </c>
      <c r="K193" s="6">
        <v>99</v>
      </c>
      <c r="L193" s="6">
        <v>99.4</v>
      </c>
      <c r="M193" s="4" t="str">
        <f t="shared" si="6"/>
        <v>OK</v>
      </c>
      <c r="N193" s="7">
        <f t="shared" si="7"/>
        <v>7.5533560680025855E-5</v>
      </c>
      <c r="O193" s="7">
        <f>SUMIFS($D$2:D193,$B$2:B193,B193)/SUMIFS($D$2:$D$741,$B$2:$B$741,B193)</f>
        <v>0.99966989036443543</v>
      </c>
      <c r="P193" s="4" t="b">
        <f t="shared" si="8"/>
        <v>0</v>
      </c>
      <c r="Q193" s="4" t="s">
        <v>23</v>
      </c>
      <c r="R193" s="4" t="s">
        <v>91</v>
      </c>
      <c r="S193" s="4" t="s">
        <v>25</v>
      </c>
      <c r="T193" s="4" t="s">
        <v>92</v>
      </c>
    </row>
    <row r="194" spans="1:20" x14ac:dyDescent="0.45">
      <c r="A194" s="4" t="s">
        <v>274</v>
      </c>
      <c r="B194" s="4" t="s">
        <v>189</v>
      </c>
      <c r="C194" s="5">
        <v>2</v>
      </c>
      <c r="D194" s="5">
        <v>26</v>
      </c>
      <c r="E194" s="5">
        <v>0</v>
      </c>
      <c r="F194" s="5">
        <v>0</v>
      </c>
      <c r="G194" s="5">
        <v>0</v>
      </c>
      <c r="H194" s="5">
        <v>26</v>
      </c>
      <c r="I194" s="6">
        <v>1.5</v>
      </c>
      <c r="J194" s="6">
        <v>2.8</v>
      </c>
      <c r="K194" s="6">
        <v>6</v>
      </c>
      <c r="L194" s="6">
        <v>6</v>
      </c>
      <c r="M194" s="4" t="str">
        <f t="shared" ref="M194:M257" si="9">IF(AND(K194="",L194=""),"No closed tickets",IF(K194="","MISSING in catalog",IF(L194="","No valid closed tickets",IF(AND(ABS(K194-L194)&gt;=$W$3,ABS(K194-L194)&gt;=$W$4*MAX(L194,1)),"FAR OFF","OK"))))</f>
        <v>OK</v>
      </c>
      <c r="N194" s="7">
        <f t="shared" ref="N194:N257" si="10">D194/SUMIFS($D$2:$D$741,$B$2:$B$741,B194)</f>
        <v>7.2736021395580446E-5</v>
      </c>
      <c r="O194" s="7">
        <f>SUMIFS($D$2:D194,$B$2:B194,B194)/SUMIFS($D$2:$D$741,$B$2:$B$741,B194)</f>
        <v>0.999742626385831</v>
      </c>
      <c r="P194" s="4" t="b">
        <f t="shared" ref="P194:P257" si="11">O194-N194&lt;$W$2</f>
        <v>0</v>
      </c>
      <c r="Q194" s="4" t="s">
        <v>23</v>
      </c>
      <c r="R194" s="4" t="s">
        <v>75</v>
      </c>
      <c r="S194" s="4" t="s">
        <v>25</v>
      </c>
      <c r="T194" s="4" t="s">
        <v>76</v>
      </c>
    </row>
    <row r="195" spans="1:20" x14ac:dyDescent="0.45">
      <c r="A195" s="4" t="s">
        <v>275</v>
      </c>
      <c r="B195" s="4" t="s">
        <v>189</v>
      </c>
      <c r="C195" s="5">
        <v>1</v>
      </c>
      <c r="D195" s="5">
        <v>22</v>
      </c>
      <c r="E195" s="5">
        <v>0</v>
      </c>
      <c r="F195" s="5">
        <v>0</v>
      </c>
      <c r="G195" s="5">
        <v>0</v>
      </c>
      <c r="H195" s="5">
        <v>22</v>
      </c>
      <c r="I195" s="6">
        <v>7.5</v>
      </c>
      <c r="J195" s="6">
        <v>38.700000000000003</v>
      </c>
      <c r="K195" s="6">
        <v>72</v>
      </c>
      <c r="L195" s="6">
        <v>72.400000000000006</v>
      </c>
      <c r="M195" s="4" t="str">
        <f t="shared" si="9"/>
        <v>OK</v>
      </c>
      <c r="N195" s="7">
        <f t="shared" si="10"/>
        <v>6.1545864257798839E-5</v>
      </c>
      <c r="O195" s="7">
        <f>SUMIFS($D$2:D195,$B$2:B195,B195)/SUMIFS($D$2:$D$741,$B$2:$B$741,B195)</f>
        <v>0.99980417225008877</v>
      </c>
      <c r="P195" s="4" t="b">
        <f t="shared" si="11"/>
        <v>0</v>
      </c>
      <c r="Q195" s="4" t="s">
        <v>23</v>
      </c>
      <c r="R195" s="4" t="s">
        <v>91</v>
      </c>
      <c r="S195" s="4" t="s">
        <v>25</v>
      </c>
      <c r="T195" s="4" t="s">
        <v>92</v>
      </c>
    </row>
    <row r="196" spans="1:20" x14ac:dyDescent="0.45">
      <c r="A196" s="4" t="s">
        <v>276</v>
      </c>
      <c r="B196" s="4" t="s">
        <v>189</v>
      </c>
      <c r="C196" s="5">
        <v>1</v>
      </c>
      <c r="D196" s="5">
        <v>22</v>
      </c>
      <c r="E196" s="5">
        <v>0</v>
      </c>
      <c r="F196" s="5">
        <v>0</v>
      </c>
      <c r="G196" s="5">
        <v>0</v>
      </c>
      <c r="H196" s="5">
        <v>22</v>
      </c>
      <c r="I196" s="6">
        <v>2.5</v>
      </c>
      <c r="J196" s="6">
        <v>3.5</v>
      </c>
      <c r="K196" s="6">
        <v>8</v>
      </c>
      <c r="L196" s="6">
        <v>7.9</v>
      </c>
      <c r="M196" s="4" t="str">
        <f t="shared" si="9"/>
        <v>OK</v>
      </c>
      <c r="N196" s="7">
        <f t="shared" si="10"/>
        <v>6.1545864257798839E-5</v>
      </c>
      <c r="O196" s="7">
        <f>SUMIFS($D$2:D196,$B$2:B196,B196)/SUMIFS($D$2:$D$741,$B$2:$B$741,B196)</f>
        <v>0.99986571811434666</v>
      </c>
      <c r="P196" s="4" t="b">
        <f t="shared" si="11"/>
        <v>0</v>
      </c>
      <c r="Q196" s="4" t="s">
        <v>23</v>
      </c>
      <c r="R196" s="4" t="s">
        <v>75</v>
      </c>
      <c r="S196" s="4" t="s">
        <v>25</v>
      </c>
      <c r="T196" s="4" t="s">
        <v>76</v>
      </c>
    </row>
    <row r="197" spans="1:20" x14ac:dyDescent="0.45">
      <c r="A197" s="4" t="s">
        <v>277</v>
      </c>
      <c r="B197" s="4" t="s">
        <v>189</v>
      </c>
      <c r="C197" s="5">
        <v>1</v>
      </c>
      <c r="D197" s="5">
        <v>17</v>
      </c>
      <c r="E197" s="5">
        <v>17</v>
      </c>
      <c r="F197" s="5">
        <v>7</v>
      </c>
      <c r="G197" s="5">
        <v>0</v>
      </c>
      <c r="H197" s="5">
        <v>10</v>
      </c>
      <c r="I197" s="6">
        <v>11</v>
      </c>
      <c r="J197" s="6">
        <v>13.7</v>
      </c>
      <c r="K197" s="6">
        <v>35</v>
      </c>
      <c r="L197" s="6">
        <v>35</v>
      </c>
      <c r="M197" s="4" t="str">
        <f t="shared" si="9"/>
        <v>OK</v>
      </c>
      <c r="N197" s="7">
        <f t="shared" si="10"/>
        <v>4.755816783557183E-5</v>
      </c>
      <c r="O197" s="7">
        <f>SUMIFS($D$2:D197,$B$2:B197,B197)/SUMIFS($D$2:$D$741,$B$2:$B$741,B197)</f>
        <v>0.99991327628218218</v>
      </c>
      <c r="P197" s="4" t="b">
        <f t="shared" si="11"/>
        <v>0</v>
      </c>
      <c r="Q197" s="4" t="s">
        <v>23</v>
      </c>
      <c r="R197" s="4" t="s">
        <v>105</v>
      </c>
      <c r="S197" s="4" t="s">
        <v>25</v>
      </c>
      <c r="T197" s="4" t="s">
        <v>106</v>
      </c>
    </row>
    <row r="198" spans="1:20" x14ac:dyDescent="0.45">
      <c r="A198" s="4" t="s">
        <v>278</v>
      </c>
      <c r="B198" s="4" t="s">
        <v>189</v>
      </c>
      <c r="C198" s="5">
        <v>1</v>
      </c>
      <c r="D198" s="5">
        <v>14</v>
      </c>
      <c r="E198" s="5">
        <v>0</v>
      </c>
      <c r="F198" s="5">
        <v>0</v>
      </c>
      <c r="G198" s="5">
        <v>0</v>
      </c>
      <c r="H198" s="5">
        <v>14</v>
      </c>
      <c r="I198" s="6">
        <v>2</v>
      </c>
      <c r="J198" s="6">
        <v>2.1</v>
      </c>
      <c r="K198" s="6">
        <v>3</v>
      </c>
      <c r="L198" s="6">
        <v>3</v>
      </c>
      <c r="M198" s="4" t="str">
        <f t="shared" si="9"/>
        <v>OK</v>
      </c>
      <c r="N198" s="7">
        <f t="shared" si="10"/>
        <v>3.9165549982235625E-5</v>
      </c>
      <c r="O198" s="7">
        <f>SUMIFS($D$2:D198,$B$2:B198,B198)/SUMIFS($D$2:$D$741,$B$2:$B$741,B198)</f>
        <v>0.99995244183216447</v>
      </c>
      <c r="P198" s="4" t="b">
        <f t="shared" si="11"/>
        <v>0</v>
      </c>
      <c r="Q198" s="4" t="s">
        <v>23</v>
      </c>
      <c r="R198" s="4" t="s">
        <v>75</v>
      </c>
      <c r="S198" s="4" t="s">
        <v>25</v>
      </c>
      <c r="T198" s="4" t="s">
        <v>76</v>
      </c>
    </row>
    <row r="199" spans="1:20" x14ac:dyDescent="0.45">
      <c r="A199" s="4" t="s">
        <v>279</v>
      </c>
      <c r="B199" s="4" t="s">
        <v>189</v>
      </c>
      <c r="C199" s="5">
        <v>1</v>
      </c>
      <c r="D199" s="5">
        <v>5</v>
      </c>
      <c r="E199" s="5">
        <v>0</v>
      </c>
      <c r="F199" s="5">
        <v>0</v>
      </c>
      <c r="G199" s="5">
        <v>0</v>
      </c>
      <c r="H199" s="5">
        <v>5</v>
      </c>
      <c r="I199" s="6">
        <v>2</v>
      </c>
      <c r="J199" s="6">
        <v>3.2</v>
      </c>
      <c r="K199" s="6">
        <v>7</v>
      </c>
      <c r="L199" s="6">
        <v>7</v>
      </c>
      <c r="M199" s="4" t="str">
        <f t="shared" si="9"/>
        <v>OK</v>
      </c>
      <c r="N199" s="7">
        <f t="shared" si="10"/>
        <v>1.3987696422227009E-5</v>
      </c>
      <c r="O199" s="7">
        <f>SUMIFS($D$2:D199,$B$2:B199,B199)/SUMIFS($D$2:$D$741,$B$2:$B$741,B199)</f>
        <v>0.99996642952858661</v>
      </c>
      <c r="P199" s="4" t="b">
        <f t="shared" si="11"/>
        <v>0</v>
      </c>
      <c r="Q199" s="4" t="s">
        <v>23</v>
      </c>
      <c r="R199" s="4" t="s">
        <v>75</v>
      </c>
      <c r="S199" s="4" t="s">
        <v>25</v>
      </c>
      <c r="T199" s="4" t="s">
        <v>76</v>
      </c>
    </row>
    <row r="200" spans="1:20" x14ac:dyDescent="0.45">
      <c r="A200" s="4" t="s">
        <v>280</v>
      </c>
      <c r="B200" s="4" t="s">
        <v>189</v>
      </c>
      <c r="C200" s="5">
        <v>1</v>
      </c>
      <c r="D200" s="5">
        <v>3</v>
      </c>
      <c r="E200" s="5">
        <v>0</v>
      </c>
      <c r="F200" s="5">
        <v>0</v>
      </c>
      <c r="G200" s="5">
        <v>0</v>
      </c>
      <c r="H200" s="5">
        <v>3</v>
      </c>
      <c r="I200" s="6">
        <v>4</v>
      </c>
      <c r="J200" s="6">
        <v>84</v>
      </c>
      <c r="K200" s="6">
        <v>196</v>
      </c>
      <c r="L200" s="6">
        <v>196</v>
      </c>
      <c r="M200" s="4" t="str">
        <f t="shared" si="9"/>
        <v>OK</v>
      </c>
      <c r="N200" s="7">
        <f t="shared" si="10"/>
        <v>8.3926178533362054E-6</v>
      </c>
      <c r="O200" s="7">
        <f>SUMIFS($D$2:D200,$B$2:B200,B200)/SUMIFS($D$2:$D$741,$B$2:$B$741,B200)</f>
        <v>0.99997482214643996</v>
      </c>
      <c r="P200" s="4" t="b">
        <f t="shared" si="11"/>
        <v>0</v>
      </c>
      <c r="Q200" s="4" t="s">
        <v>23</v>
      </c>
      <c r="R200" s="4" t="s">
        <v>75</v>
      </c>
      <c r="S200" s="4" t="s">
        <v>25</v>
      </c>
      <c r="T200" s="4" t="s">
        <v>76</v>
      </c>
    </row>
    <row r="201" spans="1:20" x14ac:dyDescent="0.45">
      <c r="A201" s="4" t="s">
        <v>281</v>
      </c>
      <c r="B201" s="4" t="s">
        <v>189</v>
      </c>
      <c r="C201" s="5">
        <v>2</v>
      </c>
      <c r="D201" s="5">
        <v>3</v>
      </c>
      <c r="E201" s="5">
        <v>0</v>
      </c>
      <c r="F201" s="5">
        <v>0</v>
      </c>
      <c r="G201" s="5">
        <v>0</v>
      </c>
      <c r="H201" s="5">
        <v>3</v>
      </c>
      <c r="I201" s="6">
        <v>1</v>
      </c>
      <c r="J201" s="6">
        <v>22.3</v>
      </c>
      <c r="K201" s="6">
        <v>53</v>
      </c>
      <c r="L201" s="6">
        <v>53</v>
      </c>
      <c r="M201" s="4" t="str">
        <f t="shared" si="9"/>
        <v>OK</v>
      </c>
      <c r="N201" s="7">
        <f t="shared" si="10"/>
        <v>8.3926178533362054E-6</v>
      </c>
      <c r="O201" s="7">
        <f>SUMIFS($D$2:D201,$B$2:B201,B201)/SUMIFS($D$2:$D$741,$B$2:$B$741,B201)</f>
        <v>0.9999832147642933</v>
      </c>
      <c r="P201" s="4" t="b">
        <f t="shared" si="11"/>
        <v>0</v>
      </c>
      <c r="Q201" s="4" t="s">
        <v>23</v>
      </c>
      <c r="R201" s="4" t="s">
        <v>75</v>
      </c>
      <c r="S201" s="4" t="s">
        <v>25</v>
      </c>
      <c r="T201" s="4" t="s">
        <v>76</v>
      </c>
    </row>
    <row r="202" spans="1:20" x14ac:dyDescent="0.45">
      <c r="A202" s="4" t="s">
        <v>282</v>
      </c>
      <c r="B202" s="4" t="s">
        <v>189</v>
      </c>
      <c r="C202" s="5">
        <v>1</v>
      </c>
      <c r="D202" s="5">
        <v>2</v>
      </c>
      <c r="E202" s="5">
        <v>2</v>
      </c>
      <c r="F202" s="5">
        <v>2</v>
      </c>
      <c r="G202" s="5">
        <v>0</v>
      </c>
      <c r="H202" s="5">
        <v>0</v>
      </c>
      <c r="I202" s="6"/>
      <c r="J202" s="6"/>
      <c r="K202" s="6"/>
      <c r="L202" s="6"/>
      <c r="M202" s="4" t="str">
        <f t="shared" si="9"/>
        <v>No closed tickets</v>
      </c>
      <c r="N202" s="7">
        <f t="shared" si="10"/>
        <v>5.5950785688908036E-6</v>
      </c>
      <c r="O202" s="7">
        <f>SUMIFS($D$2:D202,$B$2:B202,B202)/SUMIFS($D$2:$D$741,$B$2:$B$741,B202)</f>
        <v>0.9999888098428622</v>
      </c>
      <c r="P202" s="4" t="b">
        <f t="shared" si="11"/>
        <v>0</v>
      </c>
      <c r="Q202" s="4" t="s">
        <v>23</v>
      </c>
      <c r="R202" s="4" t="s">
        <v>91</v>
      </c>
      <c r="S202" s="4" t="s">
        <v>25</v>
      </c>
      <c r="T202" s="4" t="s">
        <v>92</v>
      </c>
    </row>
    <row r="203" spans="1:20" x14ac:dyDescent="0.45">
      <c r="A203" s="4" t="s">
        <v>283</v>
      </c>
      <c r="B203" s="4" t="s">
        <v>189</v>
      </c>
      <c r="C203" s="5">
        <v>1</v>
      </c>
      <c r="D203" s="5">
        <v>2</v>
      </c>
      <c r="E203" s="5">
        <v>0</v>
      </c>
      <c r="F203" s="5">
        <v>0</v>
      </c>
      <c r="G203" s="5">
        <v>0</v>
      </c>
      <c r="H203" s="5">
        <v>2</v>
      </c>
      <c r="I203" s="6">
        <v>178</v>
      </c>
      <c r="J203" s="6">
        <v>178</v>
      </c>
      <c r="K203" s="6">
        <v>316</v>
      </c>
      <c r="L203" s="6">
        <v>315.60000000000002</v>
      </c>
      <c r="M203" s="4" t="str">
        <f t="shared" si="9"/>
        <v>OK</v>
      </c>
      <c r="N203" s="7">
        <f t="shared" si="10"/>
        <v>5.5950785688908036E-6</v>
      </c>
      <c r="O203" s="7">
        <f>SUMIFS($D$2:D203,$B$2:B203,B203)/SUMIFS($D$2:$D$741,$B$2:$B$741,B203)</f>
        <v>0.9999944049214311</v>
      </c>
      <c r="P203" s="4" t="b">
        <f t="shared" si="11"/>
        <v>0</v>
      </c>
      <c r="Q203" s="4" t="s">
        <v>23</v>
      </c>
      <c r="R203" s="4" t="s">
        <v>24</v>
      </c>
      <c r="S203" s="4" t="s">
        <v>25</v>
      </c>
      <c r="T203" s="4" t="s">
        <v>26</v>
      </c>
    </row>
    <row r="204" spans="1:20" x14ac:dyDescent="0.45">
      <c r="A204" s="4" t="s">
        <v>284</v>
      </c>
      <c r="B204" s="4" t="s">
        <v>189</v>
      </c>
      <c r="C204" s="5">
        <v>1</v>
      </c>
      <c r="D204" s="5">
        <v>2</v>
      </c>
      <c r="E204" s="5">
        <v>0</v>
      </c>
      <c r="F204" s="5">
        <v>0</v>
      </c>
      <c r="G204" s="5">
        <v>0</v>
      </c>
      <c r="H204" s="5">
        <v>2</v>
      </c>
      <c r="I204" s="6">
        <v>0</v>
      </c>
      <c r="J204" s="6">
        <v>0</v>
      </c>
      <c r="K204" s="6">
        <v>0</v>
      </c>
      <c r="L204" s="6">
        <v>0</v>
      </c>
      <c r="M204" s="4" t="str">
        <f t="shared" si="9"/>
        <v>OK</v>
      </c>
      <c r="N204" s="7">
        <f t="shared" si="10"/>
        <v>5.5950785688908036E-6</v>
      </c>
      <c r="O204" s="7">
        <f>SUMIFS($D$2:D204,$B$2:B204,B204)/SUMIFS($D$2:$D$741,$B$2:$B$741,B204)</f>
        <v>1</v>
      </c>
      <c r="P204" s="4" t="b">
        <f t="shared" si="11"/>
        <v>0</v>
      </c>
      <c r="Q204" s="4" t="s">
        <v>23</v>
      </c>
      <c r="R204" s="4" t="s">
        <v>75</v>
      </c>
      <c r="S204" s="4" t="s">
        <v>25</v>
      </c>
      <c r="T204" s="4" t="s">
        <v>76</v>
      </c>
    </row>
    <row r="205" spans="1:20" x14ac:dyDescent="0.45">
      <c r="A205" s="9" t="s">
        <v>285</v>
      </c>
      <c r="B205" s="9" t="s">
        <v>286</v>
      </c>
      <c r="C205" s="10">
        <v>2</v>
      </c>
      <c r="D205" s="10">
        <v>453</v>
      </c>
      <c r="E205" s="10">
        <v>128</v>
      </c>
      <c r="F205" s="10">
        <v>2</v>
      </c>
      <c r="G205" s="10">
        <v>0</v>
      </c>
      <c r="H205" s="10">
        <v>451</v>
      </c>
      <c r="I205" s="11">
        <v>3</v>
      </c>
      <c r="J205" s="11">
        <v>4.8</v>
      </c>
      <c r="K205" s="11">
        <v>9</v>
      </c>
      <c r="L205" s="11">
        <v>9</v>
      </c>
      <c r="M205" s="9" t="str">
        <f t="shared" si="9"/>
        <v>OK</v>
      </c>
      <c r="N205" s="12">
        <f t="shared" si="10"/>
        <v>0.31878958479943703</v>
      </c>
      <c r="O205" s="12">
        <f>SUMIFS($D$2:D205,$B$2:B205,B205)/SUMIFS($D$2:$D$741,$B$2:$B$741,B205)</f>
        <v>0.31878958479943703</v>
      </c>
      <c r="P205" s="9" t="b">
        <f t="shared" si="11"/>
        <v>1</v>
      </c>
      <c r="Q205" s="9" t="s">
        <v>23</v>
      </c>
      <c r="R205" s="9" t="s">
        <v>30</v>
      </c>
      <c r="S205" s="9" t="s">
        <v>25</v>
      </c>
      <c r="T205" s="9" t="s">
        <v>31</v>
      </c>
    </row>
    <row r="206" spans="1:20" x14ac:dyDescent="0.45">
      <c r="A206" s="4" t="s">
        <v>287</v>
      </c>
      <c r="B206" s="4" t="s">
        <v>286</v>
      </c>
      <c r="C206" s="5">
        <v>3</v>
      </c>
      <c r="D206" s="5">
        <v>237</v>
      </c>
      <c r="E206" s="5">
        <v>144</v>
      </c>
      <c r="F206" s="5">
        <v>0</v>
      </c>
      <c r="G206" s="5">
        <v>0</v>
      </c>
      <c r="H206" s="5">
        <v>237</v>
      </c>
      <c r="I206" s="6">
        <v>0</v>
      </c>
      <c r="J206" s="6">
        <v>0.8</v>
      </c>
      <c r="K206" s="6">
        <v>2</v>
      </c>
      <c r="L206" s="6">
        <v>2</v>
      </c>
      <c r="M206" s="4" t="str">
        <f t="shared" si="9"/>
        <v>OK</v>
      </c>
      <c r="N206" s="7">
        <f t="shared" si="10"/>
        <v>0.16678395496129486</v>
      </c>
      <c r="O206" s="7">
        <f>SUMIFS($D$2:D206,$B$2:B206,B206)/SUMIFS($D$2:$D$741,$B$2:$B$741,B206)</f>
        <v>0.48557353976073186</v>
      </c>
      <c r="P206" s="4" t="b">
        <f t="shared" si="11"/>
        <v>1</v>
      </c>
      <c r="Q206" s="4" t="s">
        <v>23</v>
      </c>
      <c r="R206" s="4" t="s">
        <v>30</v>
      </c>
      <c r="S206" s="4" t="s">
        <v>25</v>
      </c>
      <c r="T206" s="4" t="s">
        <v>31</v>
      </c>
    </row>
    <row r="207" spans="1:20" x14ac:dyDescent="0.45">
      <c r="A207" s="4" t="s">
        <v>288</v>
      </c>
      <c r="B207" s="4" t="s">
        <v>286</v>
      </c>
      <c r="C207" s="5">
        <v>1</v>
      </c>
      <c r="D207" s="5">
        <v>230</v>
      </c>
      <c r="E207" s="5">
        <v>110</v>
      </c>
      <c r="F207" s="5">
        <v>3</v>
      </c>
      <c r="G207" s="5">
        <v>1</v>
      </c>
      <c r="H207" s="5">
        <v>227</v>
      </c>
      <c r="I207" s="6">
        <v>2</v>
      </c>
      <c r="J207" s="6">
        <v>5</v>
      </c>
      <c r="K207" s="6">
        <v>12</v>
      </c>
      <c r="L207" s="6">
        <v>12.4</v>
      </c>
      <c r="M207" s="4" t="str">
        <f t="shared" si="9"/>
        <v>OK</v>
      </c>
      <c r="N207" s="7">
        <f t="shared" si="10"/>
        <v>0.16185784658691063</v>
      </c>
      <c r="O207" s="7">
        <f>SUMIFS($D$2:D207,$B$2:B207,B207)/SUMIFS($D$2:$D$741,$B$2:$B$741,B207)</f>
        <v>0.64743138634764252</v>
      </c>
      <c r="P207" s="4" t="b">
        <f t="shared" si="11"/>
        <v>1</v>
      </c>
      <c r="Q207" s="4" t="s">
        <v>23</v>
      </c>
      <c r="R207" s="4" t="s">
        <v>289</v>
      </c>
      <c r="S207" s="4" t="s">
        <v>25</v>
      </c>
      <c r="T207" s="4" t="s">
        <v>290</v>
      </c>
    </row>
    <row r="208" spans="1:20" x14ac:dyDescent="0.45">
      <c r="A208" s="4" t="s">
        <v>291</v>
      </c>
      <c r="B208" s="4" t="s">
        <v>286</v>
      </c>
      <c r="C208" s="5">
        <v>2</v>
      </c>
      <c r="D208" s="5">
        <v>221</v>
      </c>
      <c r="E208" s="5">
        <v>0</v>
      </c>
      <c r="F208" s="5">
        <v>0</v>
      </c>
      <c r="G208" s="5">
        <v>0</v>
      </c>
      <c r="H208" s="5">
        <v>221</v>
      </c>
      <c r="I208" s="6">
        <v>3</v>
      </c>
      <c r="J208" s="6">
        <v>7</v>
      </c>
      <c r="K208" s="6">
        <v>18</v>
      </c>
      <c r="L208" s="6">
        <v>18</v>
      </c>
      <c r="M208" s="4" t="str">
        <f t="shared" si="9"/>
        <v>OK</v>
      </c>
      <c r="N208" s="7">
        <f t="shared" si="10"/>
        <v>0.15552427867698804</v>
      </c>
      <c r="O208" s="7">
        <f>SUMIFS($D$2:D208,$B$2:B208,B208)/SUMIFS($D$2:$D$741,$B$2:$B$741,B208)</f>
        <v>0.80295566502463056</v>
      </c>
      <c r="P208" s="4" t="b">
        <f t="shared" si="11"/>
        <v>1</v>
      </c>
      <c r="Q208" s="4" t="s">
        <v>23</v>
      </c>
      <c r="R208" s="4" t="s">
        <v>30</v>
      </c>
      <c r="S208" s="4" t="s">
        <v>25</v>
      </c>
      <c r="T208" s="4" t="s">
        <v>31</v>
      </c>
    </row>
    <row r="209" spans="1:20" x14ac:dyDescent="0.45">
      <c r="A209" s="4" t="s">
        <v>292</v>
      </c>
      <c r="B209" s="4" t="s">
        <v>286</v>
      </c>
      <c r="C209" s="5">
        <v>2</v>
      </c>
      <c r="D209" s="5">
        <v>137</v>
      </c>
      <c r="E209" s="5">
        <v>19</v>
      </c>
      <c r="F209" s="5">
        <v>0</v>
      </c>
      <c r="G209" s="5">
        <v>0</v>
      </c>
      <c r="H209" s="5">
        <v>137</v>
      </c>
      <c r="I209" s="6">
        <v>2</v>
      </c>
      <c r="J209" s="6">
        <v>5.9</v>
      </c>
      <c r="K209" s="6">
        <v>15</v>
      </c>
      <c r="L209" s="6">
        <v>15</v>
      </c>
      <c r="M209" s="4" t="str">
        <f t="shared" si="9"/>
        <v>OK</v>
      </c>
      <c r="N209" s="7">
        <f t="shared" si="10"/>
        <v>9.6410978184377202E-2</v>
      </c>
      <c r="O209" s="7">
        <f>SUMIFS($D$2:D209,$B$2:B209,B209)/SUMIFS($D$2:$D$741,$B$2:$B$741,B209)</f>
        <v>0.89936664320900772</v>
      </c>
      <c r="P209" s="4" t="b">
        <f t="shared" si="11"/>
        <v>1</v>
      </c>
      <c r="Q209" s="4" t="s">
        <v>23</v>
      </c>
      <c r="R209" s="4" t="s">
        <v>289</v>
      </c>
      <c r="S209" s="4" t="s">
        <v>25</v>
      </c>
      <c r="T209" s="4" t="s">
        <v>290</v>
      </c>
    </row>
    <row r="210" spans="1:20" x14ac:dyDescent="0.45">
      <c r="A210" s="4" t="s">
        <v>293</v>
      </c>
      <c r="B210" s="4" t="s">
        <v>286</v>
      </c>
      <c r="C210" s="5">
        <v>1</v>
      </c>
      <c r="D210" s="5">
        <v>79</v>
      </c>
      <c r="E210" s="5">
        <v>30</v>
      </c>
      <c r="F210" s="5">
        <v>1</v>
      </c>
      <c r="G210" s="5">
        <v>1</v>
      </c>
      <c r="H210" s="5">
        <v>78</v>
      </c>
      <c r="I210" s="6">
        <v>2</v>
      </c>
      <c r="J210" s="6">
        <v>5.6</v>
      </c>
      <c r="K210" s="6">
        <v>15</v>
      </c>
      <c r="L210" s="6">
        <v>14.6</v>
      </c>
      <c r="M210" s="4" t="str">
        <f t="shared" si="9"/>
        <v>OK</v>
      </c>
      <c r="N210" s="7">
        <f t="shared" si="10"/>
        <v>5.5594651653764954E-2</v>
      </c>
      <c r="O210" s="7">
        <f>SUMIFS($D$2:D210,$B$2:B210,B210)/SUMIFS($D$2:$D$741,$B$2:$B$741,B210)</f>
        <v>0.9549612948627727</v>
      </c>
      <c r="P210" s="4" t="b">
        <f t="shared" si="11"/>
        <v>1</v>
      </c>
      <c r="Q210" s="4" t="s">
        <v>23</v>
      </c>
      <c r="R210" s="4" t="s">
        <v>30</v>
      </c>
      <c r="S210" s="4" t="s">
        <v>25</v>
      </c>
      <c r="T210" s="4" t="s">
        <v>31</v>
      </c>
    </row>
    <row r="211" spans="1:20" x14ac:dyDescent="0.45">
      <c r="A211" s="4" t="s">
        <v>294</v>
      </c>
      <c r="B211" s="4" t="s">
        <v>286</v>
      </c>
      <c r="C211" s="5">
        <v>1</v>
      </c>
      <c r="D211" s="5">
        <v>52</v>
      </c>
      <c r="E211" s="5">
        <v>1</v>
      </c>
      <c r="F211" s="5">
        <v>0</v>
      </c>
      <c r="G211" s="5">
        <v>0</v>
      </c>
      <c r="H211" s="5">
        <v>52</v>
      </c>
      <c r="I211" s="6">
        <v>5</v>
      </c>
      <c r="J211" s="6">
        <v>8.6</v>
      </c>
      <c r="K211" s="6">
        <v>20</v>
      </c>
      <c r="L211" s="6">
        <v>20</v>
      </c>
      <c r="M211" s="4" t="str">
        <f t="shared" si="9"/>
        <v>OK</v>
      </c>
      <c r="N211" s="7">
        <f t="shared" si="10"/>
        <v>3.6593947923997186E-2</v>
      </c>
      <c r="O211" s="7">
        <f>SUMIFS($D$2:D211,$B$2:B211,B211)/SUMIFS($D$2:$D$741,$B$2:$B$741,B211)</f>
        <v>0.99155524278676987</v>
      </c>
      <c r="P211" s="4" t="b">
        <f t="shared" si="11"/>
        <v>0</v>
      </c>
      <c r="Q211" s="4" t="s">
        <v>23</v>
      </c>
      <c r="R211" s="4" t="s">
        <v>30</v>
      </c>
      <c r="S211" s="4" t="s">
        <v>25</v>
      </c>
      <c r="T211" s="4" t="s">
        <v>31</v>
      </c>
    </row>
    <row r="212" spans="1:20" x14ac:dyDescent="0.45">
      <c r="A212" s="4" t="s">
        <v>295</v>
      </c>
      <c r="B212" s="4" t="s">
        <v>286</v>
      </c>
      <c r="C212" s="5">
        <v>1</v>
      </c>
      <c r="D212" s="5">
        <v>12</v>
      </c>
      <c r="E212" s="5">
        <v>0</v>
      </c>
      <c r="F212" s="5">
        <v>0</v>
      </c>
      <c r="G212" s="5">
        <v>0</v>
      </c>
      <c r="H212" s="5">
        <v>12</v>
      </c>
      <c r="I212" s="6">
        <v>1</v>
      </c>
      <c r="J212" s="6">
        <v>3.2</v>
      </c>
      <c r="K212" s="6">
        <v>8</v>
      </c>
      <c r="L212" s="6">
        <v>7.7</v>
      </c>
      <c r="M212" s="4" t="str">
        <f t="shared" si="9"/>
        <v>OK</v>
      </c>
      <c r="N212" s="7">
        <f t="shared" si="10"/>
        <v>8.44475721323012E-3</v>
      </c>
      <c r="O212" s="7">
        <f>SUMIFS($D$2:D212,$B$2:B212,B212)/SUMIFS($D$2:$D$741,$B$2:$B$741,B212)</f>
        <v>1</v>
      </c>
      <c r="P212" s="4" t="b">
        <f t="shared" si="11"/>
        <v>0</v>
      </c>
      <c r="Q212" s="4" t="s">
        <v>23</v>
      </c>
      <c r="R212" s="4" t="s">
        <v>75</v>
      </c>
      <c r="S212" s="4" t="s">
        <v>25</v>
      </c>
      <c r="T212" s="4" t="s">
        <v>76</v>
      </c>
    </row>
    <row r="213" spans="1:20" x14ac:dyDescent="0.45">
      <c r="A213" s="9" t="s">
        <v>296</v>
      </c>
      <c r="B213" s="9" t="s">
        <v>297</v>
      </c>
      <c r="C213" s="10">
        <v>3</v>
      </c>
      <c r="D213" s="10">
        <v>23846</v>
      </c>
      <c r="E213" s="10">
        <v>5364</v>
      </c>
      <c r="F213" s="10">
        <v>134</v>
      </c>
      <c r="G213" s="10">
        <v>3</v>
      </c>
      <c r="H213" s="10">
        <v>23712</v>
      </c>
      <c r="I213" s="11">
        <v>11</v>
      </c>
      <c r="J213" s="11">
        <v>18.5</v>
      </c>
      <c r="K213" s="11">
        <v>45</v>
      </c>
      <c r="L213" s="11">
        <v>45</v>
      </c>
      <c r="M213" s="9" t="str">
        <f t="shared" si="9"/>
        <v>OK</v>
      </c>
      <c r="N213" s="12">
        <f t="shared" si="10"/>
        <v>0.30369332654100867</v>
      </c>
      <c r="O213" s="12">
        <f>SUMIFS($D$2:D213,$B$2:B213,B213)/SUMIFS($D$2:$D$741,$B$2:$B$741,B213)</f>
        <v>0.30369332654100867</v>
      </c>
      <c r="P213" s="9" t="b">
        <f t="shared" si="11"/>
        <v>1</v>
      </c>
      <c r="Q213" s="9" t="s">
        <v>23</v>
      </c>
      <c r="R213" s="9" t="s">
        <v>24</v>
      </c>
      <c r="S213" s="9" t="s">
        <v>25</v>
      </c>
      <c r="T213" s="9" t="s">
        <v>26</v>
      </c>
    </row>
    <row r="214" spans="1:20" x14ac:dyDescent="0.45">
      <c r="A214" s="4" t="s">
        <v>298</v>
      </c>
      <c r="B214" s="4" t="s">
        <v>297</v>
      </c>
      <c r="C214" s="5">
        <v>3</v>
      </c>
      <c r="D214" s="5">
        <v>7596</v>
      </c>
      <c r="E214" s="5">
        <v>1752</v>
      </c>
      <c r="F214" s="5">
        <v>108</v>
      </c>
      <c r="G214" s="5">
        <v>49</v>
      </c>
      <c r="H214" s="5">
        <v>7488</v>
      </c>
      <c r="I214" s="6">
        <v>9</v>
      </c>
      <c r="J214" s="6">
        <v>21.1</v>
      </c>
      <c r="K214" s="6">
        <v>49</v>
      </c>
      <c r="L214" s="6">
        <v>49</v>
      </c>
      <c r="M214" s="4" t="str">
        <f t="shared" si="9"/>
        <v>OK</v>
      </c>
      <c r="N214" s="7">
        <f t="shared" si="10"/>
        <v>9.6739684156902706E-2</v>
      </c>
      <c r="O214" s="7">
        <f>SUMIFS($D$2:D214,$B$2:B214,B214)/SUMIFS($D$2:$D$741,$B$2:$B$741,B214)</f>
        <v>0.40043301069791137</v>
      </c>
      <c r="P214" s="4" t="b">
        <f t="shared" si="11"/>
        <v>1</v>
      </c>
      <c r="Q214" s="4" t="s">
        <v>23</v>
      </c>
      <c r="R214" s="4" t="s">
        <v>24</v>
      </c>
      <c r="S214" s="4" t="s">
        <v>25</v>
      </c>
      <c r="T214" s="4" t="s">
        <v>26</v>
      </c>
    </row>
    <row r="215" spans="1:20" x14ac:dyDescent="0.45">
      <c r="A215" s="4" t="s">
        <v>299</v>
      </c>
      <c r="B215" s="4" t="s">
        <v>297</v>
      </c>
      <c r="C215" s="5">
        <v>3</v>
      </c>
      <c r="D215" s="5">
        <v>6657</v>
      </c>
      <c r="E215" s="5">
        <v>1388</v>
      </c>
      <c r="F215" s="5">
        <v>25</v>
      </c>
      <c r="G215" s="5">
        <v>17</v>
      </c>
      <c r="H215" s="5">
        <v>6632</v>
      </c>
      <c r="I215" s="6">
        <v>2</v>
      </c>
      <c r="J215" s="6">
        <v>12.7</v>
      </c>
      <c r="K215" s="6">
        <v>23</v>
      </c>
      <c r="L215" s="6">
        <v>23</v>
      </c>
      <c r="M215" s="4" t="str">
        <f t="shared" si="9"/>
        <v>OK</v>
      </c>
      <c r="N215" s="7">
        <f t="shared" si="10"/>
        <v>8.4780947529291897E-2</v>
      </c>
      <c r="O215" s="7">
        <f>SUMIFS($D$2:D215,$B$2:B215,B215)/SUMIFS($D$2:$D$741,$B$2:$B$741,B215)</f>
        <v>0.48521395822720326</v>
      </c>
      <c r="P215" s="4" t="b">
        <f t="shared" si="11"/>
        <v>1</v>
      </c>
      <c r="Q215" s="4" t="s">
        <v>23</v>
      </c>
      <c r="R215" s="4" t="s">
        <v>24</v>
      </c>
      <c r="S215" s="4" t="s">
        <v>25</v>
      </c>
      <c r="T215" s="4" t="s">
        <v>26</v>
      </c>
    </row>
    <row r="216" spans="1:20" x14ac:dyDescent="0.45">
      <c r="A216" s="4" t="s">
        <v>300</v>
      </c>
      <c r="B216" s="4" t="s">
        <v>297</v>
      </c>
      <c r="C216" s="5">
        <v>2</v>
      </c>
      <c r="D216" s="5">
        <v>5707</v>
      </c>
      <c r="E216" s="5">
        <v>1248</v>
      </c>
      <c r="F216" s="5">
        <v>89</v>
      </c>
      <c r="G216" s="5">
        <v>63</v>
      </c>
      <c r="H216" s="5">
        <v>5618</v>
      </c>
      <c r="I216" s="6">
        <v>3</v>
      </c>
      <c r="J216" s="6">
        <v>16.7</v>
      </c>
      <c r="K216" s="6">
        <v>35</v>
      </c>
      <c r="L216" s="6">
        <v>35</v>
      </c>
      <c r="M216" s="4" t="str">
        <f t="shared" si="9"/>
        <v>OK</v>
      </c>
      <c r="N216" s="7">
        <f t="shared" si="10"/>
        <v>7.2682119205298018E-2</v>
      </c>
      <c r="O216" s="7">
        <f>SUMIFS($D$2:D216,$B$2:B216,B216)/SUMIFS($D$2:$D$741,$B$2:$B$741,B216)</f>
        <v>0.55789607743250125</v>
      </c>
      <c r="P216" s="4" t="b">
        <f t="shared" si="11"/>
        <v>1</v>
      </c>
      <c r="Q216" s="4" t="s">
        <v>23</v>
      </c>
      <c r="R216" s="4" t="s">
        <v>24</v>
      </c>
      <c r="S216" s="4" t="s">
        <v>25</v>
      </c>
      <c r="T216" s="4" t="s">
        <v>26</v>
      </c>
    </row>
    <row r="217" spans="1:20" x14ac:dyDescent="0.45">
      <c r="A217" s="4" t="s">
        <v>301</v>
      </c>
      <c r="B217" s="4" t="s">
        <v>297</v>
      </c>
      <c r="C217" s="5">
        <v>3</v>
      </c>
      <c r="D217" s="5">
        <v>5606</v>
      </c>
      <c r="E217" s="5">
        <v>342</v>
      </c>
      <c r="F217" s="5">
        <v>8</v>
      </c>
      <c r="G217" s="5">
        <v>0</v>
      </c>
      <c r="H217" s="5">
        <v>5598</v>
      </c>
      <c r="I217" s="6">
        <v>13</v>
      </c>
      <c r="J217" s="6">
        <v>12.6</v>
      </c>
      <c r="K217" s="6">
        <v>19</v>
      </c>
      <c r="L217" s="6">
        <v>19</v>
      </c>
      <c r="M217" s="4" t="str">
        <f t="shared" si="9"/>
        <v>OK</v>
      </c>
      <c r="N217" s="7">
        <f t="shared" si="10"/>
        <v>7.1395822720326033E-2</v>
      </c>
      <c r="O217" s="7">
        <f>SUMIFS($D$2:D217,$B$2:B217,B217)/SUMIFS($D$2:$D$741,$B$2:$B$741,B217)</f>
        <v>0.62929190015282732</v>
      </c>
      <c r="P217" s="4" t="b">
        <f t="shared" si="11"/>
        <v>1</v>
      </c>
      <c r="Q217" s="4" t="s">
        <v>23</v>
      </c>
      <c r="R217" s="4" t="s">
        <v>30</v>
      </c>
      <c r="S217" s="4" t="s">
        <v>25</v>
      </c>
      <c r="T217" s="4" t="s">
        <v>31</v>
      </c>
    </row>
    <row r="218" spans="1:20" x14ac:dyDescent="0.45">
      <c r="A218" s="4" t="s">
        <v>302</v>
      </c>
      <c r="B218" s="4" t="s">
        <v>297</v>
      </c>
      <c r="C218" s="5">
        <v>2</v>
      </c>
      <c r="D218" s="5">
        <v>4346</v>
      </c>
      <c r="E218" s="5">
        <v>1150</v>
      </c>
      <c r="F218" s="5">
        <v>7</v>
      </c>
      <c r="G218" s="5">
        <v>6</v>
      </c>
      <c r="H218" s="5">
        <v>4339</v>
      </c>
      <c r="I218" s="6">
        <v>12</v>
      </c>
      <c r="J218" s="6">
        <v>24</v>
      </c>
      <c r="K218" s="6">
        <v>51</v>
      </c>
      <c r="L218" s="6">
        <v>51</v>
      </c>
      <c r="M218" s="4" t="str">
        <f t="shared" si="9"/>
        <v>OK</v>
      </c>
      <c r="N218" s="7">
        <f t="shared" si="10"/>
        <v>5.534895568008151E-2</v>
      </c>
      <c r="O218" s="7">
        <f>SUMIFS($D$2:D218,$B$2:B218,B218)/SUMIFS($D$2:$D$741,$B$2:$B$741,B218)</f>
        <v>0.68464085583290879</v>
      </c>
      <c r="P218" s="4" t="b">
        <f t="shared" si="11"/>
        <v>1</v>
      </c>
      <c r="Q218" s="4" t="s">
        <v>23</v>
      </c>
      <c r="R218" s="4" t="s">
        <v>24</v>
      </c>
      <c r="S218" s="4" t="s">
        <v>25</v>
      </c>
      <c r="T218" s="4" t="s">
        <v>26</v>
      </c>
    </row>
    <row r="219" spans="1:20" x14ac:dyDescent="0.45">
      <c r="A219" s="4" t="s">
        <v>303</v>
      </c>
      <c r="B219" s="4" t="s">
        <v>297</v>
      </c>
      <c r="C219" s="5">
        <v>3</v>
      </c>
      <c r="D219" s="5">
        <v>3458</v>
      </c>
      <c r="E219" s="5">
        <v>0</v>
      </c>
      <c r="F219" s="5">
        <v>5</v>
      </c>
      <c r="G219" s="5">
        <v>5</v>
      </c>
      <c r="H219" s="5">
        <v>3453</v>
      </c>
      <c r="I219" s="6">
        <v>97</v>
      </c>
      <c r="J219" s="6">
        <v>168.1</v>
      </c>
      <c r="K219" s="6">
        <v>372</v>
      </c>
      <c r="L219" s="6">
        <v>372</v>
      </c>
      <c r="M219" s="4" t="str">
        <f t="shared" si="9"/>
        <v>OK</v>
      </c>
      <c r="N219" s="7">
        <f t="shared" si="10"/>
        <v>4.403973509933775E-2</v>
      </c>
      <c r="O219" s="7">
        <f>SUMIFS($D$2:D219,$B$2:B219,B219)/SUMIFS($D$2:$D$741,$B$2:$B$741,B219)</f>
        <v>0.72868059093224657</v>
      </c>
      <c r="P219" s="4" t="b">
        <f t="shared" si="11"/>
        <v>1</v>
      </c>
      <c r="Q219" s="4" t="s">
        <v>23</v>
      </c>
      <c r="R219" s="4" t="s">
        <v>24</v>
      </c>
      <c r="S219" s="4" t="s">
        <v>25</v>
      </c>
      <c r="T219" s="4" t="s">
        <v>26</v>
      </c>
    </row>
    <row r="220" spans="1:20" x14ac:dyDescent="0.45">
      <c r="A220" s="4" t="s">
        <v>304</v>
      </c>
      <c r="B220" s="4" t="s">
        <v>297</v>
      </c>
      <c r="C220" s="5">
        <v>3</v>
      </c>
      <c r="D220" s="5">
        <v>2469</v>
      </c>
      <c r="E220" s="5">
        <v>593</v>
      </c>
      <c r="F220" s="5">
        <v>48</v>
      </c>
      <c r="G220" s="5">
        <v>13</v>
      </c>
      <c r="H220" s="5">
        <v>2421</v>
      </c>
      <c r="I220" s="6">
        <v>8</v>
      </c>
      <c r="J220" s="6">
        <v>15.4</v>
      </c>
      <c r="K220" s="6">
        <v>35</v>
      </c>
      <c r="L220" s="6">
        <v>35</v>
      </c>
      <c r="M220" s="4" t="str">
        <f t="shared" si="9"/>
        <v>OK</v>
      </c>
      <c r="N220" s="7">
        <f t="shared" si="10"/>
        <v>3.1444218033622004E-2</v>
      </c>
      <c r="O220" s="7">
        <f>SUMIFS($D$2:D220,$B$2:B220,B220)/SUMIFS($D$2:$D$741,$B$2:$B$741,B220)</f>
        <v>0.76012480896586854</v>
      </c>
      <c r="P220" s="4" t="b">
        <f t="shared" si="11"/>
        <v>1</v>
      </c>
      <c r="Q220" s="4" t="s">
        <v>23</v>
      </c>
      <c r="R220" s="4" t="s">
        <v>24</v>
      </c>
      <c r="S220" s="4" t="s">
        <v>25</v>
      </c>
      <c r="T220" s="4" t="s">
        <v>26</v>
      </c>
    </row>
    <row r="221" spans="1:20" x14ac:dyDescent="0.45">
      <c r="A221" s="4" t="s">
        <v>305</v>
      </c>
      <c r="B221" s="4" t="s">
        <v>297</v>
      </c>
      <c r="C221" s="5">
        <v>3</v>
      </c>
      <c r="D221" s="5">
        <v>2109</v>
      </c>
      <c r="E221" s="5">
        <v>0</v>
      </c>
      <c r="F221" s="5">
        <v>0</v>
      </c>
      <c r="G221" s="5">
        <v>0</v>
      </c>
      <c r="H221" s="5">
        <v>2109</v>
      </c>
      <c r="I221" s="6">
        <v>2</v>
      </c>
      <c r="J221" s="6">
        <v>4.4000000000000004</v>
      </c>
      <c r="K221" s="6">
        <v>7</v>
      </c>
      <c r="L221" s="6">
        <v>7</v>
      </c>
      <c r="M221" s="4" t="str">
        <f t="shared" si="9"/>
        <v>OK</v>
      </c>
      <c r="N221" s="7">
        <f t="shared" si="10"/>
        <v>2.685939887926643E-2</v>
      </c>
      <c r="O221" s="7">
        <f>SUMIFS($D$2:D221,$B$2:B221,B221)/SUMIFS($D$2:$D$741,$B$2:$B$741,B221)</f>
        <v>0.78698420784513501</v>
      </c>
      <c r="P221" s="4" t="b">
        <f t="shared" si="11"/>
        <v>1</v>
      </c>
      <c r="Q221" s="4" t="s">
        <v>23</v>
      </c>
      <c r="R221" s="4" t="s">
        <v>30</v>
      </c>
      <c r="S221" s="4" t="s">
        <v>25</v>
      </c>
      <c r="T221" s="4" t="s">
        <v>31</v>
      </c>
    </row>
    <row r="222" spans="1:20" x14ac:dyDescent="0.45">
      <c r="A222" s="4" t="s">
        <v>306</v>
      </c>
      <c r="B222" s="4" t="s">
        <v>297</v>
      </c>
      <c r="C222" s="5">
        <v>3</v>
      </c>
      <c r="D222" s="5">
        <v>1726</v>
      </c>
      <c r="E222" s="5">
        <v>388</v>
      </c>
      <c r="F222" s="5">
        <v>4</v>
      </c>
      <c r="G222" s="5">
        <v>3</v>
      </c>
      <c r="H222" s="5">
        <v>1722</v>
      </c>
      <c r="I222" s="6">
        <v>3</v>
      </c>
      <c r="J222" s="6">
        <v>6.2</v>
      </c>
      <c r="K222" s="6">
        <v>9</v>
      </c>
      <c r="L222" s="6">
        <v>9</v>
      </c>
      <c r="M222" s="4" t="str">
        <f t="shared" si="9"/>
        <v>OK</v>
      </c>
      <c r="N222" s="7">
        <f t="shared" si="10"/>
        <v>2.1981660723382576E-2</v>
      </c>
      <c r="O222" s="7">
        <f>SUMIFS($D$2:D222,$B$2:B222,B222)/SUMIFS($D$2:$D$741,$B$2:$B$741,B222)</f>
        <v>0.8089658685685176</v>
      </c>
      <c r="P222" s="4" t="b">
        <f t="shared" si="11"/>
        <v>1</v>
      </c>
      <c r="Q222" s="4" t="s">
        <v>23</v>
      </c>
      <c r="R222" s="4" t="s">
        <v>24</v>
      </c>
      <c r="S222" s="4" t="s">
        <v>25</v>
      </c>
      <c r="T222" s="4" t="s">
        <v>26</v>
      </c>
    </row>
    <row r="223" spans="1:20" x14ac:dyDescent="0.45">
      <c r="A223" s="4" t="s">
        <v>307</v>
      </c>
      <c r="B223" s="4" t="s">
        <v>297</v>
      </c>
      <c r="C223" s="5">
        <v>3</v>
      </c>
      <c r="D223" s="5">
        <v>1586</v>
      </c>
      <c r="E223" s="5">
        <v>311</v>
      </c>
      <c r="F223" s="5">
        <v>8</v>
      </c>
      <c r="G223" s="5">
        <v>8</v>
      </c>
      <c r="H223" s="5">
        <v>1578</v>
      </c>
      <c r="I223" s="6">
        <v>3</v>
      </c>
      <c r="J223" s="6">
        <v>13.8</v>
      </c>
      <c r="K223" s="6">
        <v>50</v>
      </c>
      <c r="L223" s="6">
        <v>50</v>
      </c>
      <c r="M223" s="4" t="str">
        <f t="shared" si="9"/>
        <v>OK</v>
      </c>
      <c r="N223" s="7">
        <f t="shared" si="10"/>
        <v>2.0198675496688741E-2</v>
      </c>
      <c r="O223" s="7">
        <f>SUMIFS($D$2:D223,$B$2:B223,B223)/SUMIFS($D$2:$D$741,$B$2:$B$741,B223)</f>
        <v>0.82916454406520634</v>
      </c>
      <c r="P223" s="4" t="b">
        <f t="shared" si="11"/>
        <v>1</v>
      </c>
      <c r="Q223" s="4" t="s">
        <v>23</v>
      </c>
      <c r="R223" s="4" t="s">
        <v>24</v>
      </c>
      <c r="S223" s="4" t="s">
        <v>25</v>
      </c>
      <c r="T223" s="4" t="s">
        <v>26</v>
      </c>
    </row>
    <row r="224" spans="1:20" x14ac:dyDescent="0.45">
      <c r="A224" s="4" t="s">
        <v>308</v>
      </c>
      <c r="B224" s="4" t="s">
        <v>297</v>
      </c>
      <c r="C224" s="5">
        <v>1</v>
      </c>
      <c r="D224" s="5">
        <v>1229</v>
      </c>
      <c r="E224" s="5">
        <v>931</v>
      </c>
      <c r="F224" s="5">
        <v>0</v>
      </c>
      <c r="G224" s="5">
        <v>0</v>
      </c>
      <c r="H224" s="5">
        <v>1229</v>
      </c>
      <c r="I224" s="6">
        <v>2</v>
      </c>
      <c r="J224" s="6">
        <v>3.3</v>
      </c>
      <c r="K224" s="6">
        <v>6</v>
      </c>
      <c r="L224" s="6">
        <v>6</v>
      </c>
      <c r="M224" s="4" t="str">
        <f t="shared" si="9"/>
        <v>OK</v>
      </c>
      <c r="N224" s="7">
        <f t="shared" si="10"/>
        <v>1.5652063168619459E-2</v>
      </c>
      <c r="O224" s="7">
        <f>SUMIFS($D$2:D224,$B$2:B224,B224)/SUMIFS($D$2:$D$741,$B$2:$B$741,B224)</f>
        <v>0.84481660723382579</v>
      </c>
      <c r="P224" s="4" t="b">
        <f t="shared" si="11"/>
        <v>1</v>
      </c>
      <c r="Q224" s="4" t="s">
        <v>23</v>
      </c>
      <c r="R224" s="4" t="s">
        <v>30</v>
      </c>
      <c r="S224" s="4" t="s">
        <v>25</v>
      </c>
      <c r="T224" s="4" t="s">
        <v>31</v>
      </c>
    </row>
    <row r="225" spans="1:20" x14ac:dyDescent="0.45">
      <c r="A225" s="4" t="s">
        <v>309</v>
      </c>
      <c r="B225" s="4" t="s">
        <v>297</v>
      </c>
      <c r="C225" s="5">
        <v>2</v>
      </c>
      <c r="D225" s="5">
        <v>1136</v>
      </c>
      <c r="E225" s="5">
        <v>186</v>
      </c>
      <c r="F225" s="5">
        <v>6</v>
      </c>
      <c r="G225" s="5">
        <v>2</v>
      </c>
      <c r="H225" s="5">
        <v>1130</v>
      </c>
      <c r="I225" s="6">
        <v>5</v>
      </c>
      <c r="J225" s="6">
        <v>12.4</v>
      </c>
      <c r="K225" s="6">
        <v>30</v>
      </c>
      <c r="L225" s="6">
        <v>30</v>
      </c>
      <c r="M225" s="4" t="str">
        <f t="shared" si="9"/>
        <v>OK</v>
      </c>
      <c r="N225" s="7">
        <f t="shared" si="10"/>
        <v>1.4467651553744269E-2</v>
      </c>
      <c r="O225" s="7">
        <f>SUMIFS($D$2:D225,$B$2:B225,B225)/SUMIFS($D$2:$D$741,$B$2:$B$741,B225)</f>
        <v>0.85928425878757009</v>
      </c>
      <c r="P225" s="4" t="b">
        <f t="shared" si="11"/>
        <v>1</v>
      </c>
      <c r="Q225" s="4" t="s">
        <v>23</v>
      </c>
      <c r="R225" s="4" t="s">
        <v>30</v>
      </c>
      <c r="S225" s="4" t="s">
        <v>25</v>
      </c>
      <c r="T225" s="4" t="s">
        <v>31</v>
      </c>
    </row>
    <row r="226" spans="1:20" x14ac:dyDescent="0.45">
      <c r="A226" s="4" t="s">
        <v>310</v>
      </c>
      <c r="B226" s="4" t="s">
        <v>297</v>
      </c>
      <c r="C226" s="5">
        <v>3</v>
      </c>
      <c r="D226" s="5">
        <v>1035</v>
      </c>
      <c r="E226" s="5">
        <v>232</v>
      </c>
      <c r="F226" s="5">
        <v>17</v>
      </c>
      <c r="G226" s="5">
        <v>12</v>
      </c>
      <c r="H226" s="5">
        <v>1018</v>
      </c>
      <c r="I226" s="6">
        <v>2</v>
      </c>
      <c r="J226" s="6">
        <v>5.9</v>
      </c>
      <c r="K226" s="6">
        <v>6</v>
      </c>
      <c r="L226" s="6">
        <v>6</v>
      </c>
      <c r="M226" s="4" t="str">
        <f t="shared" si="9"/>
        <v>OK</v>
      </c>
      <c r="N226" s="7">
        <f t="shared" si="10"/>
        <v>1.3181355068772287E-2</v>
      </c>
      <c r="O226" s="7">
        <f>SUMIFS($D$2:D226,$B$2:B226,B226)/SUMIFS($D$2:$D$741,$B$2:$B$741,B226)</f>
        <v>0.87246561385634236</v>
      </c>
      <c r="P226" s="4" t="b">
        <f t="shared" si="11"/>
        <v>1</v>
      </c>
      <c r="Q226" s="4" t="s">
        <v>23</v>
      </c>
      <c r="R226" s="4" t="s">
        <v>24</v>
      </c>
      <c r="S226" s="4" t="s">
        <v>25</v>
      </c>
      <c r="T226" s="4" t="s">
        <v>26</v>
      </c>
    </row>
    <row r="227" spans="1:20" x14ac:dyDescent="0.45">
      <c r="A227" s="4" t="s">
        <v>311</v>
      </c>
      <c r="B227" s="4" t="s">
        <v>297</v>
      </c>
      <c r="C227" s="5">
        <v>2</v>
      </c>
      <c r="D227" s="5">
        <v>1033</v>
      </c>
      <c r="E227" s="5">
        <v>357</v>
      </c>
      <c r="F227" s="5">
        <v>0</v>
      </c>
      <c r="G227" s="5">
        <v>0</v>
      </c>
      <c r="H227" s="5">
        <v>1033</v>
      </c>
      <c r="I227" s="6">
        <v>5</v>
      </c>
      <c r="J227" s="6">
        <v>9</v>
      </c>
      <c r="K227" s="6">
        <v>14</v>
      </c>
      <c r="L227" s="6">
        <v>14</v>
      </c>
      <c r="M227" s="4" t="str">
        <f t="shared" si="9"/>
        <v>OK</v>
      </c>
      <c r="N227" s="7">
        <f t="shared" si="10"/>
        <v>1.315588385124809E-2</v>
      </c>
      <c r="O227" s="7">
        <f>SUMIFS($D$2:D227,$B$2:B227,B227)/SUMIFS($D$2:$D$741,$B$2:$B$741,B227)</f>
        <v>0.88562149770759047</v>
      </c>
      <c r="P227" s="4" t="b">
        <f t="shared" si="11"/>
        <v>1</v>
      </c>
      <c r="Q227" s="4" t="s">
        <v>23</v>
      </c>
      <c r="R227" s="4" t="s">
        <v>105</v>
      </c>
      <c r="S227" s="4" t="s">
        <v>25</v>
      </c>
      <c r="T227" s="4" t="s">
        <v>106</v>
      </c>
    </row>
    <row r="228" spans="1:20" x14ac:dyDescent="0.45">
      <c r="A228" s="4" t="s">
        <v>312</v>
      </c>
      <c r="B228" s="4" t="s">
        <v>297</v>
      </c>
      <c r="C228" s="5">
        <v>2</v>
      </c>
      <c r="D228" s="5">
        <v>837</v>
      </c>
      <c r="E228" s="5">
        <v>192</v>
      </c>
      <c r="F228" s="5">
        <v>10</v>
      </c>
      <c r="G228" s="5">
        <v>3</v>
      </c>
      <c r="H228" s="5">
        <v>827</v>
      </c>
      <c r="I228" s="6">
        <v>6</v>
      </c>
      <c r="J228" s="6">
        <v>15.8</v>
      </c>
      <c r="K228" s="6">
        <v>41</v>
      </c>
      <c r="L228" s="6">
        <v>41</v>
      </c>
      <c r="M228" s="4" t="str">
        <f t="shared" si="9"/>
        <v>OK</v>
      </c>
      <c r="N228" s="7">
        <f t="shared" si="10"/>
        <v>1.065970453387672E-2</v>
      </c>
      <c r="O228" s="7">
        <f>SUMIFS($D$2:D228,$B$2:B228,B228)/SUMIFS($D$2:$D$741,$B$2:$B$741,B228)</f>
        <v>0.89628120224146712</v>
      </c>
      <c r="P228" s="4" t="b">
        <f t="shared" si="11"/>
        <v>1</v>
      </c>
      <c r="Q228" s="4" t="s">
        <v>23</v>
      </c>
      <c r="R228" s="4" t="s">
        <v>30</v>
      </c>
      <c r="S228" s="4" t="s">
        <v>25</v>
      </c>
      <c r="T228" s="4" t="s">
        <v>31</v>
      </c>
    </row>
    <row r="229" spans="1:20" x14ac:dyDescent="0.45">
      <c r="A229" s="4" t="s">
        <v>313</v>
      </c>
      <c r="B229" s="4" t="s">
        <v>297</v>
      </c>
      <c r="C229" s="5">
        <v>1</v>
      </c>
      <c r="D229" s="5">
        <v>642</v>
      </c>
      <c r="E229" s="5">
        <v>139</v>
      </c>
      <c r="F229" s="5">
        <v>6</v>
      </c>
      <c r="G229" s="5">
        <v>2</v>
      </c>
      <c r="H229" s="5">
        <v>636</v>
      </c>
      <c r="I229" s="6">
        <v>2</v>
      </c>
      <c r="J229" s="6">
        <v>3.4</v>
      </c>
      <c r="K229" s="6">
        <v>8</v>
      </c>
      <c r="L229" s="6">
        <v>8</v>
      </c>
      <c r="M229" s="4" t="str">
        <f t="shared" si="9"/>
        <v>OK</v>
      </c>
      <c r="N229" s="7">
        <f t="shared" si="10"/>
        <v>8.1762608252674476E-3</v>
      </c>
      <c r="O229" s="7">
        <f>SUMIFS($D$2:D229,$B$2:B229,B229)/SUMIFS($D$2:$D$741,$B$2:$B$741,B229)</f>
        <v>0.90445746306673458</v>
      </c>
      <c r="P229" s="4" t="b">
        <f t="shared" si="11"/>
        <v>1</v>
      </c>
      <c r="Q229" s="4" t="s">
        <v>23</v>
      </c>
      <c r="R229" s="4" t="s">
        <v>24</v>
      </c>
      <c r="S229" s="4" t="s">
        <v>25</v>
      </c>
      <c r="T229" s="4" t="s">
        <v>26</v>
      </c>
    </row>
    <row r="230" spans="1:20" x14ac:dyDescent="0.45">
      <c r="A230" s="4" t="s">
        <v>314</v>
      </c>
      <c r="B230" s="4" t="s">
        <v>297</v>
      </c>
      <c r="C230" s="5">
        <v>3</v>
      </c>
      <c r="D230" s="5">
        <v>585</v>
      </c>
      <c r="E230" s="5">
        <v>0</v>
      </c>
      <c r="F230" s="5">
        <v>0</v>
      </c>
      <c r="G230" s="5">
        <v>0</v>
      </c>
      <c r="H230" s="5">
        <v>585</v>
      </c>
      <c r="I230" s="6">
        <v>17</v>
      </c>
      <c r="J230" s="6">
        <v>26</v>
      </c>
      <c r="K230" s="6">
        <v>60</v>
      </c>
      <c r="L230" s="6">
        <v>60.4</v>
      </c>
      <c r="M230" s="4" t="str">
        <f t="shared" si="9"/>
        <v>OK</v>
      </c>
      <c r="N230" s="7">
        <f t="shared" si="10"/>
        <v>7.4503311258278145E-3</v>
      </c>
      <c r="O230" s="7">
        <f>SUMIFS($D$2:D230,$B$2:B230,B230)/SUMIFS($D$2:$D$741,$B$2:$B$741,B230)</f>
        <v>0.9119077941925624</v>
      </c>
      <c r="P230" s="4" t="b">
        <f t="shared" si="11"/>
        <v>1</v>
      </c>
      <c r="Q230" s="4" t="s">
        <v>23</v>
      </c>
      <c r="R230" s="4" t="s">
        <v>38</v>
      </c>
      <c r="S230" s="4" t="s">
        <v>25</v>
      </c>
      <c r="T230" s="4" t="s">
        <v>39</v>
      </c>
    </row>
    <row r="231" spans="1:20" x14ac:dyDescent="0.45">
      <c r="A231" s="4" t="s">
        <v>315</v>
      </c>
      <c r="B231" s="4" t="s">
        <v>297</v>
      </c>
      <c r="C231" s="5">
        <v>2</v>
      </c>
      <c r="D231" s="5">
        <v>506</v>
      </c>
      <c r="E231" s="5">
        <v>86</v>
      </c>
      <c r="F231" s="5">
        <v>0</v>
      </c>
      <c r="G231" s="5">
        <v>0</v>
      </c>
      <c r="H231" s="5">
        <v>506</v>
      </c>
      <c r="I231" s="6">
        <v>3</v>
      </c>
      <c r="J231" s="6">
        <v>5</v>
      </c>
      <c r="K231" s="6">
        <v>11</v>
      </c>
      <c r="L231" s="6">
        <v>11</v>
      </c>
      <c r="M231" s="4" t="str">
        <f t="shared" si="9"/>
        <v>OK</v>
      </c>
      <c r="N231" s="7">
        <f t="shared" si="10"/>
        <v>6.4442180336220069E-3</v>
      </c>
      <c r="O231" s="7">
        <f>SUMIFS($D$2:D231,$B$2:B231,B231)/SUMIFS($D$2:$D$741,$B$2:$B$741,B231)</f>
        <v>0.91835201222618446</v>
      </c>
      <c r="P231" s="4" t="b">
        <f t="shared" si="11"/>
        <v>1</v>
      </c>
      <c r="Q231" s="4" t="s">
        <v>23</v>
      </c>
      <c r="R231" s="4" t="s">
        <v>30</v>
      </c>
      <c r="S231" s="4" t="s">
        <v>25</v>
      </c>
      <c r="T231" s="4" t="s">
        <v>31</v>
      </c>
    </row>
    <row r="232" spans="1:20" x14ac:dyDescent="0.45">
      <c r="A232" s="4" t="s">
        <v>316</v>
      </c>
      <c r="B232" s="4" t="s">
        <v>297</v>
      </c>
      <c r="C232" s="5">
        <v>3</v>
      </c>
      <c r="D232" s="5">
        <v>475</v>
      </c>
      <c r="E232" s="5">
        <v>84</v>
      </c>
      <c r="F232" s="5">
        <v>2</v>
      </c>
      <c r="G232" s="5">
        <v>1</v>
      </c>
      <c r="H232" s="5">
        <v>473</v>
      </c>
      <c r="I232" s="6">
        <v>4</v>
      </c>
      <c r="J232" s="6">
        <v>7.5</v>
      </c>
      <c r="K232" s="6">
        <v>17</v>
      </c>
      <c r="L232" s="6">
        <v>17</v>
      </c>
      <c r="M232" s="4" t="str">
        <f t="shared" si="9"/>
        <v>OK</v>
      </c>
      <c r="N232" s="7">
        <f t="shared" si="10"/>
        <v>6.0494141619969431E-3</v>
      </c>
      <c r="O232" s="7">
        <f>SUMIFS($D$2:D232,$B$2:B232,B232)/SUMIFS($D$2:$D$741,$B$2:$B$741,B232)</f>
        <v>0.92440142638818135</v>
      </c>
      <c r="P232" s="4" t="b">
        <f t="shared" si="11"/>
        <v>1</v>
      </c>
      <c r="Q232" s="4" t="s">
        <v>23</v>
      </c>
      <c r="R232" s="4" t="s">
        <v>30</v>
      </c>
      <c r="S232" s="4" t="s">
        <v>25</v>
      </c>
      <c r="T232" s="4" t="s">
        <v>31</v>
      </c>
    </row>
    <row r="233" spans="1:20" x14ac:dyDescent="0.45">
      <c r="A233" s="4" t="s">
        <v>317</v>
      </c>
      <c r="B233" s="4" t="s">
        <v>297</v>
      </c>
      <c r="C233" s="5">
        <v>2</v>
      </c>
      <c r="D233" s="5">
        <v>430</v>
      </c>
      <c r="E233" s="5">
        <v>66</v>
      </c>
      <c r="F233" s="5">
        <v>0</v>
      </c>
      <c r="G233" s="5">
        <v>0</v>
      </c>
      <c r="H233" s="5">
        <v>430</v>
      </c>
      <c r="I233" s="6">
        <v>3</v>
      </c>
      <c r="J233" s="6">
        <v>6</v>
      </c>
      <c r="K233" s="6">
        <v>13</v>
      </c>
      <c r="L233" s="6">
        <v>13</v>
      </c>
      <c r="M233" s="4" t="str">
        <f t="shared" si="9"/>
        <v>OK</v>
      </c>
      <c r="N233" s="7">
        <f t="shared" si="10"/>
        <v>5.4763117677024964E-3</v>
      </c>
      <c r="O233" s="7">
        <f>SUMIFS($D$2:D233,$B$2:B233,B233)/SUMIFS($D$2:$D$741,$B$2:$B$741,B233)</f>
        <v>0.92987773815588382</v>
      </c>
      <c r="P233" s="4" t="b">
        <f t="shared" si="11"/>
        <v>1</v>
      </c>
      <c r="Q233" s="4" t="s">
        <v>23</v>
      </c>
      <c r="R233" s="4" t="s">
        <v>30</v>
      </c>
      <c r="S233" s="4" t="s">
        <v>25</v>
      </c>
      <c r="T233" s="4" t="s">
        <v>31</v>
      </c>
    </row>
    <row r="234" spans="1:20" x14ac:dyDescent="0.45">
      <c r="A234" s="4" t="s">
        <v>318</v>
      </c>
      <c r="B234" s="4" t="s">
        <v>297</v>
      </c>
      <c r="C234" s="5">
        <v>2</v>
      </c>
      <c r="D234" s="5">
        <v>417</v>
      </c>
      <c r="E234" s="5">
        <v>75</v>
      </c>
      <c r="F234" s="5">
        <v>4</v>
      </c>
      <c r="G234" s="5">
        <v>0</v>
      </c>
      <c r="H234" s="5">
        <v>413</v>
      </c>
      <c r="I234" s="6">
        <v>5</v>
      </c>
      <c r="J234" s="6">
        <v>9.8000000000000007</v>
      </c>
      <c r="K234" s="6">
        <v>22</v>
      </c>
      <c r="L234" s="6">
        <v>21.8</v>
      </c>
      <c r="M234" s="4" t="str">
        <f t="shared" si="9"/>
        <v>OK</v>
      </c>
      <c r="N234" s="7">
        <f t="shared" si="10"/>
        <v>5.3107488537952113E-3</v>
      </c>
      <c r="O234" s="7">
        <f>SUMIFS($D$2:D234,$B$2:B234,B234)/SUMIFS($D$2:$D$741,$B$2:$B$741,B234)</f>
        <v>0.93518848700967905</v>
      </c>
      <c r="P234" s="4" t="b">
        <f t="shared" si="11"/>
        <v>1</v>
      </c>
      <c r="Q234" s="4" t="s">
        <v>23</v>
      </c>
      <c r="R234" s="4" t="s">
        <v>30</v>
      </c>
      <c r="S234" s="4" t="s">
        <v>25</v>
      </c>
      <c r="T234" s="4" t="s">
        <v>31</v>
      </c>
    </row>
    <row r="235" spans="1:20" x14ac:dyDescent="0.45">
      <c r="A235" s="4" t="s">
        <v>319</v>
      </c>
      <c r="B235" s="4" t="s">
        <v>297</v>
      </c>
      <c r="C235" s="5">
        <v>2</v>
      </c>
      <c r="D235" s="5">
        <v>416</v>
      </c>
      <c r="E235" s="5">
        <v>60</v>
      </c>
      <c r="F235" s="5">
        <v>0</v>
      </c>
      <c r="G235" s="5">
        <v>0</v>
      </c>
      <c r="H235" s="5">
        <v>416</v>
      </c>
      <c r="I235" s="6">
        <v>5</v>
      </c>
      <c r="J235" s="6">
        <v>7.9</v>
      </c>
      <c r="K235" s="6">
        <v>18</v>
      </c>
      <c r="L235" s="6">
        <v>18</v>
      </c>
      <c r="M235" s="4" t="str">
        <f t="shared" si="9"/>
        <v>OK</v>
      </c>
      <c r="N235" s="7">
        <f t="shared" si="10"/>
        <v>5.2980132450331126E-3</v>
      </c>
      <c r="O235" s="7">
        <f>SUMIFS($D$2:D235,$B$2:B235,B235)/SUMIFS($D$2:$D$741,$B$2:$B$741,B235)</f>
        <v>0.94048650025471214</v>
      </c>
      <c r="P235" s="4" t="b">
        <f t="shared" si="11"/>
        <v>1</v>
      </c>
      <c r="Q235" s="4" t="s">
        <v>23</v>
      </c>
      <c r="R235" s="4" t="s">
        <v>30</v>
      </c>
      <c r="S235" s="4" t="s">
        <v>25</v>
      </c>
      <c r="T235" s="4" t="s">
        <v>31</v>
      </c>
    </row>
    <row r="236" spans="1:20" x14ac:dyDescent="0.45">
      <c r="A236" s="4" t="s">
        <v>320</v>
      </c>
      <c r="B236" s="4" t="s">
        <v>297</v>
      </c>
      <c r="C236" s="5">
        <v>3</v>
      </c>
      <c r="D236" s="5">
        <v>403</v>
      </c>
      <c r="E236" s="5">
        <v>0</v>
      </c>
      <c r="F236" s="5">
        <v>2</v>
      </c>
      <c r="G236" s="5">
        <v>2</v>
      </c>
      <c r="H236" s="5">
        <v>401</v>
      </c>
      <c r="I236" s="6">
        <v>3</v>
      </c>
      <c r="J236" s="6">
        <v>5.3</v>
      </c>
      <c r="K236" s="6">
        <v>14</v>
      </c>
      <c r="L236" s="6">
        <v>14</v>
      </c>
      <c r="M236" s="4" t="str">
        <f t="shared" si="9"/>
        <v>OK</v>
      </c>
      <c r="N236" s="7">
        <f t="shared" si="10"/>
        <v>5.1324503311258275E-3</v>
      </c>
      <c r="O236" s="7">
        <f>SUMIFS($D$2:D236,$B$2:B236,B236)/SUMIFS($D$2:$D$741,$B$2:$B$741,B236)</f>
        <v>0.945618950585838</v>
      </c>
      <c r="P236" s="4" t="b">
        <f t="shared" si="11"/>
        <v>1</v>
      </c>
      <c r="Q236" s="4" t="s">
        <v>23</v>
      </c>
      <c r="R236" s="4" t="s">
        <v>75</v>
      </c>
      <c r="S236" s="4" t="s">
        <v>25</v>
      </c>
      <c r="T236" s="4" t="s">
        <v>76</v>
      </c>
    </row>
    <row r="237" spans="1:20" x14ac:dyDescent="0.45">
      <c r="A237" s="4" t="s">
        <v>321</v>
      </c>
      <c r="B237" s="4" t="s">
        <v>297</v>
      </c>
      <c r="C237" s="5">
        <v>2</v>
      </c>
      <c r="D237" s="5">
        <v>379</v>
      </c>
      <c r="E237" s="5">
        <v>10</v>
      </c>
      <c r="F237" s="5">
        <v>1</v>
      </c>
      <c r="G237" s="5">
        <v>1</v>
      </c>
      <c r="H237" s="5">
        <v>378</v>
      </c>
      <c r="I237" s="6">
        <v>23</v>
      </c>
      <c r="J237" s="6">
        <v>48.5</v>
      </c>
      <c r="K237" s="6">
        <v>134</v>
      </c>
      <c r="L237" s="6">
        <v>134.30000000000001</v>
      </c>
      <c r="M237" s="4" t="str">
        <f t="shared" si="9"/>
        <v>OK</v>
      </c>
      <c r="N237" s="7">
        <f t="shared" si="10"/>
        <v>4.8267957208354556E-3</v>
      </c>
      <c r="O237" s="7">
        <f>SUMIFS($D$2:D237,$B$2:B237,B237)/SUMIFS($D$2:$D$741,$B$2:$B$741,B237)</f>
        <v>0.95044574630667344</v>
      </c>
      <c r="P237" s="4" t="b">
        <f t="shared" si="11"/>
        <v>1</v>
      </c>
      <c r="Q237" s="4" t="s">
        <v>23</v>
      </c>
      <c r="R237" s="4" t="s">
        <v>24</v>
      </c>
      <c r="S237" s="4" t="s">
        <v>25</v>
      </c>
      <c r="T237" s="4" t="s">
        <v>26</v>
      </c>
    </row>
    <row r="238" spans="1:20" x14ac:dyDescent="0.45">
      <c r="A238" s="4" t="s">
        <v>322</v>
      </c>
      <c r="B238" s="4" t="s">
        <v>297</v>
      </c>
      <c r="C238" s="5">
        <v>2</v>
      </c>
      <c r="D238" s="5">
        <v>327</v>
      </c>
      <c r="E238" s="5">
        <v>56</v>
      </c>
      <c r="F238" s="5">
        <v>0</v>
      </c>
      <c r="G238" s="5">
        <v>0</v>
      </c>
      <c r="H238" s="5">
        <v>327</v>
      </c>
      <c r="I238" s="6">
        <v>4</v>
      </c>
      <c r="J238" s="6">
        <v>9.4</v>
      </c>
      <c r="K238" s="6">
        <v>19</v>
      </c>
      <c r="L238" s="6">
        <v>19</v>
      </c>
      <c r="M238" s="4" t="str">
        <f t="shared" si="9"/>
        <v>OK</v>
      </c>
      <c r="N238" s="7">
        <f t="shared" si="10"/>
        <v>4.164544065206317E-3</v>
      </c>
      <c r="O238" s="7">
        <f>SUMIFS($D$2:D238,$B$2:B238,B238)/SUMIFS($D$2:$D$741,$B$2:$B$741,B238)</f>
        <v>0.95461029037187972</v>
      </c>
      <c r="P238" s="4" t="b">
        <f t="shared" si="11"/>
        <v>0</v>
      </c>
      <c r="Q238" s="4" t="s">
        <v>23</v>
      </c>
      <c r="R238" s="4" t="s">
        <v>30</v>
      </c>
      <c r="S238" s="4" t="s">
        <v>25</v>
      </c>
      <c r="T238" s="4" t="s">
        <v>31</v>
      </c>
    </row>
    <row r="239" spans="1:20" x14ac:dyDescent="0.45">
      <c r="A239" s="4" t="s">
        <v>323</v>
      </c>
      <c r="B239" s="4" t="s">
        <v>297</v>
      </c>
      <c r="C239" s="5">
        <v>2</v>
      </c>
      <c r="D239" s="5">
        <v>313</v>
      </c>
      <c r="E239" s="5">
        <v>60</v>
      </c>
      <c r="F239" s="5">
        <v>8</v>
      </c>
      <c r="G239" s="5">
        <v>0</v>
      </c>
      <c r="H239" s="5">
        <v>305</v>
      </c>
      <c r="I239" s="6">
        <v>8</v>
      </c>
      <c r="J239" s="6">
        <v>15.2</v>
      </c>
      <c r="K239" s="6">
        <v>35</v>
      </c>
      <c r="L239" s="6">
        <v>34.6</v>
      </c>
      <c r="M239" s="4" t="str">
        <f t="shared" si="9"/>
        <v>OK</v>
      </c>
      <c r="N239" s="7">
        <f t="shared" si="10"/>
        <v>3.9862455425369332E-3</v>
      </c>
      <c r="O239" s="7">
        <f>SUMIFS($D$2:D239,$B$2:B239,B239)/SUMIFS($D$2:$D$741,$B$2:$B$741,B239)</f>
        <v>0.95859653591441674</v>
      </c>
      <c r="P239" s="4" t="b">
        <f t="shared" si="11"/>
        <v>0</v>
      </c>
      <c r="Q239" s="4" t="s">
        <v>23</v>
      </c>
      <c r="R239" s="4" t="s">
        <v>30</v>
      </c>
      <c r="S239" s="4" t="s">
        <v>25</v>
      </c>
      <c r="T239" s="4" t="s">
        <v>31</v>
      </c>
    </row>
    <row r="240" spans="1:20" x14ac:dyDescent="0.45">
      <c r="A240" s="4" t="s">
        <v>324</v>
      </c>
      <c r="B240" s="4" t="s">
        <v>297</v>
      </c>
      <c r="C240" s="5">
        <v>2</v>
      </c>
      <c r="D240" s="5">
        <v>290</v>
      </c>
      <c r="E240" s="5">
        <v>44</v>
      </c>
      <c r="F240" s="5">
        <v>1</v>
      </c>
      <c r="G240" s="5">
        <v>1</v>
      </c>
      <c r="H240" s="5">
        <v>289</v>
      </c>
      <c r="I240" s="6">
        <v>3</v>
      </c>
      <c r="J240" s="6">
        <v>5.6</v>
      </c>
      <c r="K240" s="6">
        <v>13</v>
      </c>
      <c r="L240" s="6">
        <v>13.2</v>
      </c>
      <c r="M240" s="4" t="str">
        <f t="shared" si="9"/>
        <v>OK</v>
      </c>
      <c r="N240" s="7">
        <f t="shared" si="10"/>
        <v>3.6933265410086604E-3</v>
      </c>
      <c r="O240" s="7">
        <f>SUMIFS($D$2:D240,$B$2:B240,B240)/SUMIFS($D$2:$D$741,$B$2:$B$741,B240)</f>
        <v>0.96228986245542536</v>
      </c>
      <c r="P240" s="4" t="b">
        <f t="shared" si="11"/>
        <v>0</v>
      </c>
      <c r="Q240" s="4" t="s">
        <v>23</v>
      </c>
      <c r="R240" s="4" t="s">
        <v>24</v>
      </c>
      <c r="S240" s="4" t="s">
        <v>25</v>
      </c>
      <c r="T240" s="4" t="s">
        <v>26</v>
      </c>
    </row>
    <row r="241" spans="1:20" x14ac:dyDescent="0.45">
      <c r="A241" s="4" t="s">
        <v>325</v>
      </c>
      <c r="B241" s="4" t="s">
        <v>297</v>
      </c>
      <c r="C241" s="5">
        <v>2</v>
      </c>
      <c r="D241" s="5">
        <v>257</v>
      </c>
      <c r="E241" s="5">
        <v>44</v>
      </c>
      <c r="F241" s="5">
        <v>3</v>
      </c>
      <c r="G241" s="5">
        <v>2</v>
      </c>
      <c r="H241" s="5">
        <v>254</v>
      </c>
      <c r="I241" s="6">
        <v>3</v>
      </c>
      <c r="J241" s="6">
        <v>6.2</v>
      </c>
      <c r="K241" s="6">
        <v>16</v>
      </c>
      <c r="L241" s="6">
        <v>16</v>
      </c>
      <c r="M241" s="4" t="str">
        <f t="shared" si="9"/>
        <v>OK</v>
      </c>
      <c r="N241" s="7">
        <f t="shared" si="10"/>
        <v>3.2730514518593988E-3</v>
      </c>
      <c r="O241" s="7">
        <f>SUMIFS($D$2:D241,$B$2:B241,B241)/SUMIFS($D$2:$D$741,$B$2:$B$741,B241)</f>
        <v>0.96556291390728477</v>
      </c>
      <c r="P241" s="4" t="b">
        <f t="shared" si="11"/>
        <v>0</v>
      </c>
      <c r="Q241" s="4" t="s">
        <v>23</v>
      </c>
      <c r="R241" s="4" t="s">
        <v>24</v>
      </c>
      <c r="S241" s="4" t="s">
        <v>25</v>
      </c>
      <c r="T241" s="4" t="s">
        <v>26</v>
      </c>
    </row>
    <row r="242" spans="1:20" x14ac:dyDescent="0.45">
      <c r="A242" s="4" t="s">
        <v>326</v>
      </c>
      <c r="B242" s="4" t="s">
        <v>297</v>
      </c>
      <c r="C242" s="5">
        <v>2</v>
      </c>
      <c r="D242" s="5">
        <v>240</v>
      </c>
      <c r="E242" s="5">
        <v>38</v>
      </c>
      <c r="F242" s="5">
        <v>0</v>
      </c>
      <c r="G242" s="5">
        <v>0</v>
      </c>
      <c r="H242" s="5">
        <v>240</v>
      </c>
      <c r="I242" s="6">
        <v>4</v>
      </c>
      <c r="J242" s="6">
        <v>7.5</v>
      </c>
      <c r="K242" s="6">
        <v>15</v>
      </c>
      <c r="L242" s="6">
        <v>15</v>
      </c>
      <c r="M242" s="4" t="str">
        <f t="shared" si="9"/>
        <v>OK</v>
      </c>
      <c r="N242" s="7">
        <f t="shared" si="10"/>
        <v>3.0565461029037188E-3</v>
      </c>
      <c r="O242" s="7">
        <f>SUMIFS($D$2:D242,$B$2:B242,B242)/SUMIFS($D$2:$D$741,$B$2:$B$741,B242)</f>
        <v>0.9686194600101885</v>
      </c>
      <c r="P242" s="4" t="b">
        <f t="shared" si="11"/>
        <v>0</v>
      </c>
      <c r="Q242" s="4" t="s">
        <v>23</v>
      </c>
      <c r="R242" s="4" t="s">
        <v>30</v>
      </c>
      <c r="S242" s="4" t="s">
        <v>25</v>
      </c>
      <c r="T242" s="4" t="s">
        <v>31</v>
      </c>
    </row>
    <row r="243" spans="1:20" x14ac:dyDescent="0.45">
      <c r="A243" s="4" t="s">
        <v>327</v>
      </c>
      <c r="B243" s="4" t="s">
        <v>297</v>
      </c>
      <c r="C243" s="5">
        <v>2</v>
      </c>
      <c r="D243" s="5">
        <v>239</v>
      </c>
      <c r="E243" s="5">
        <v>36</v>
      </c>
      <c r="F243" s="5">
        <v>0</v>
      </c>
      <c r="G243" s="5">
        <v>0</v>
      </c>
      <c r="H243" s="5">
        <v>239</v>
      </c>
      <c r="I243" s="6">
        <v>2</v>
      </c>
      <c r="J243" s="6">
        <v>6.2</v>
      </c>
      <c r="K243" s="6">
        <v>14</v>
      </c>
      <c r="L243" s="6">
        <v>14</v>
      </c>
      <c r="M243" s="4" t="str">
        <f t="shared" si="9"/>
        <v>OK</v>
      </c>
      <c r="N243" s="7">
        <f t="shared" si="10"/>
        <v>3.0438104941416201E-3</v>
      </c>
      <c r="O243" s="7">
        <f>SUMIFS($D$2:D243,$B$2:B243,B243)/SUMIFS($D$2:$D$741,$B$2:$B$741,B243)</f>
        <v>0.9716632705043301</v>
      </c>
      <c r="P243" s="4" t="b">
        <f t="shared" si="11"/>
        <v>0</v>
      </c>
      <c r="Q243" s="4" t="s">
        <v>23</v>
      </c>
      <c r="R243" s="4" t="s">
        <v>30</v>
      </c>
      <c r="S243" s="4" t="s">
        <v>25</v>
      </c>
      <c r="T243" s="4" t="s">
        <v>31</v>
      </c>
    </row>
    <row r="244" spans="1:20" x14ac:dyDescent="0.45">
      <c r="A244" s="4" t="s">
        <v>328</v>
      </c>
      <c r="B244" s="4" t="s">
        <v>297</v>
      </c>
      <c r="C244" s="5">
        <v>2</v>
      </c>
      <c r="D244" s="5">
        <v>192</v>
      </c>
      <c r="E244" s="5">
        <v>41</v>
      </c>
      <c r="F244" s="5">
        <v>3</v>
      </c>
      <c r="G244" s="5">
        <v>0</v>
      </c>
      <c r="H244" s="5">
        <v>189</v>
      </c>
      <c r="I244" s="6">
        <v>2</v>
      </c>
      <c r="J244" s="6">
        <v>5.4</v>
      </c>
      <c r="K244" s="6">
        <v>14</v>
      </c>
      <c r="L244" s="6">
        <v>14.2</v>
      </c>
      <c r="M244" s="4" t="str">
        <f t="shared" si="9"/>
        <v>OK</v>
      </c>
      <c r="N244" s="7">
        <f t="shared" si="10"/>
        <v>2.445236882322975E-3</v>
      </c>
      <c r="O244" s="7">
        <f>SUMIFS($D$2:D244,$B$2:B244,B244)/SUMIFS($D$2:$D$741,$B$2:$B$741,B244)</f>
        <v>0.97410850738665311</v>
      </c>
      <c r="P244" s="4" t="b">
        <f t="shared" si="11"/>
        <v>0</v>
      </c>
      <c r="Q244" s="4" t="s">
        <v>23</v>
      </c>
      <c r="R244" s="4" t="s">
        <v>30</v>
      </c>
      <c r="S244" s="4" t="s">
        <v>25</v>
      </c>
      <c r="T244" s="4" t="s">
        <v>31</v>
      </c>
    </row>
    <row r="245" spans="1:20" x14ac:dyDescent="0.45">
      <c r="A245" s="4" t="s">
        <v>329</v>
      </c>
      <c r="B245" s="4" t="s">
        <v>297</v>
      </c>
      <c r="C245" s="5">
        <v>3</v>
      </c>
      <c r="D245" s="5">
        <v>180</v>
      </c>
      <c r="E245" s="5">
        <v>25</v>
      </c>
      <c r="F245" s="5">
        <v>0</v>
      </c>
      <c r="G245" s="5">
        <v>0</v>
      </c>
      <c r="H245" s="5">
        <v>180</v>
      </c>
      <c r="I245" s="6">
        <v>5</v>
      </c>
      <c r="J245" s="6">
        <v>6.1</v>
      </c>
      <c r="K245" s="6">
        <v>11</v>
      </c>
      <c r="L245" s="6">
        <v>11</v>
      </c>
      <c r="M245" s="4" t="str">
        <f t="shared" si="9"/>
        <v>OK</v>
      </c>
      <c r="N245" s="7">
        <f t="shared" si="10"/>
        <v>2.2924095771777891E-3</v>
      </c>
      <c r="O245" s="7">
        <f>SUMIFS($D$2:D245,$B$2:B245,B245)/SUMIFS($D$2:$D$741,$B$2:$B$741,B245)</f>
        <v>0.97640091696383091</v>
      </c>
      <c r="P245" s="4" t="b">
        <f t="shared" si="11"/>
        <v>0</v>
      </c>
      <c r="Q245" s="4" t="s">
        <v>23</v>
      </c>
      <c r="R245" s="4" t="s">
        <v>105</v>
      </c>
      <c r="S245" s="4" t="s">
        <v>25</v>
      </c>
      <c r="T245" s="4" t="s">
        <v>106</v>
      </c>
    </row>
    <row r="246" spans="1:20" x14ac:dyDescent="0.45">
      <c r="A246" s="4" t="s">
        <v>330</v>
      </c>
      <c r="B246" s="4" t="s">
        <v>297</v>
      </c>
      <c r="C246" s="5">
        <v>2</v>
      </c>
      <c r="D246" s="5">
        <v>180</v>
      </c>
      <c r="E246" s="5">
        <v>35</v>
      </c>
      <c r="F246" s="5">
        <v>1</v>
      </c>
      <c r="G246" s="5">
        <v>0</v>
      </c>
      <c r="H246" s="5">
        <v>179</v>
      </c>
      <c r="I246" s="6">
        <v>9</v>
      </c>
      <c r="J246" s="6">
        <v>18.600000000000001</v>
      </c>
      <c r="K246" s="6">
        <v>51</v>
      </c>
      <c r="L246" s="6">
        <v>51.2</v>
      </c>
      <c r="M246" s="4" t="str">
        <f t="shared" si="9"/>
        <v>OK</v>
      </c>
      <c r="N246" s="7">
        <f t="shared" si="10"/>
        <v>2.2924095771777891E-3</v>
      </c>
      <c r="O246" s="7">
        <f>SUMIFS($D$2:D246,$B$2:B246,B246)/SUMIFS($D$2:$D$741,$B$2:$B$741,B246)</f>
        <v>0.97869332654100871</v>
      </c>
      <c r="P246" s="4" t="b">
        <f t="shared" si="11"/>
        <v>0</v>
      </c>
      <c r="Q246" s="4" t="s">
        <v>23</v>
      </c>
      <c r="R246" s="4" t="s">
        <v>30</v>
      </c>
      <c r="S246" s="4" t="s">
        <v>25</v>
      </c>
      <c r="T246" s="4" t="s">
        <v>31</v>
      </c>
    </row>
    <row r="247" spans="1:20" x14ac:dyDescent="0.45">
      <c r="A247" s="4" t="s">
        <v>331</v>
      </c>
      <c r="B247" s="4" t="s">
        <v>297</v>
      </c>
      <c r="C247" s="5">
        <v>3</v>
      </c>
      <c r="D247" s="5">
        <v>172</v>
      </c>
      <c r="E247" s="5">
        <v>53</v>
      </c>
      <c r="F247" s="5">
        <v>2</v>
      </c>
      <c r="G247" s="5">
        <v>0</v>
      </c>
      <c r="H247" s="5">
        <v>170</v>
      </c>
      <c r="I247" s="6">
        <v>4</v>
      </c>
      <c r="J247" s="6">
        <v>7.1</v>
      </c>
      <c r="K247" s="6">
        <v>14</v>
      </c>
      <c r="L247" s="6">
        <v>14.1</v>
      </c>
      <c r="M247" s="4" t="str">
        <f t="shared" si="9"/>
        <v>OK</v>
      </c>
      <c r="N247" s="7">
        <f t="shared" si="10"/>
        <v>2.1905247070809985E-3</v>
      </c>
      <c r="O247" s="7">
        <f>SUMIFS($D$2:D247,$B$2:B247,B247)/SUMIFS($D$2:$D$741,$B$2:$B$741,B247)</f>
        <v>0.98088385124808963</v>
      </c>
      <c r="P247" s="4" t="b">
        <f t="shared" si="11"/>
        <v>0</v>
      </c>
      <c r="Q247" s="4" t="s">
        <v>23</v>
      </c>
      <c r="R247" s="4" t="s">
        <v>105</v>
      </c>
      <c r="S247" s="4" t="s">
        <v>25</v>
      </c>
      <c r="T247" s="4" t="s">
        <v>106</v>
      </c>
    </row>
    <row r="248" spans="1:20" x14ac:dyDescent="0.45">
      <c r="A248" s="4" t="s">
        <v>332</v>
      </c>
      <c r="B248" s="4" t="s">
        <v>297</v>
      </c>
      <c r="C248" s="5">
        <v>2</v>
      </c>
      <c r="D248" s="5">
        <v>172</v>
      </c>
      <c r="E248" s="5">
        <v>30</v>
      </c>
      <c r="F248" s="5">
        <v>0</v>
      </c>
      <c r="G248" s="5">
        <v>0</v>
      </c>
      <c r="H248" s="5">
        <v>172</v>
      </c>
      <c r="I248" s="6">
        <v>6</v>
      </c>
      <c r="J248" s="6">
        <v>8.9</v>
      </c>
      <c r="K248" s="6">
        <v>19</v>
      </c>
      <c r="L248" s="6">
        <v>19</v>
      </c>
      <c r="M248" s="4" t="str">
        <f t="shared" si="9"/>
        <v>OK</v>
      </c>
      <c r="N248" s="7">
        <f t="shared" si="10"/>
        <v>2.1905247070809985E-3</v>
      </c>
      <c r="O248" s="7">
        <f>SUMIFS($D$2:D248,$B$2:B248,B248)/SUMIFS($D$2:$D$741,$B$2:$B$741,B248)</f>
        <v>0.98307437595517067</v>
      </c>
      <c r="P248" s="4" t="b">
        <f t="shared" si="11"/>
        <v>0</v>
      </c>
      <c r="Q248" s="4" t="s">
        <v>23</v>
      </c>
      <c r="R248" s="4" t="s">
        <v>30</v>
      </c>
      <c r="S248" s="4" t="s">
        <v>25</v>
      </c>
      <c r="T248" s="4" t="s">
        <v>31</v>
      </c>
    </row>
    <row r="249" spans="1:20" x14ac:dyDescent="0.45">
      <c r="A249" s="4" t="s">
        <v>333</v>
      </c>
      <c r="B249" s="4" t="s">
        <v>297</v>
      </c>
      <c r="C249" s="5">
        <v>2</v>
      </c>
      <c r="D249" s="5">
        <v>170</v>
      </c>
      <c r="E249" s="5">
        <v>24</v>
      </c>
      <c r="F249" s="5">
        <v>0</v>
      </c>
      <c r="G249" s="5">
        <v>0</v>
      </c>
      <c r="H249" s="5">
        <v>170</v>
      </c>
      <c r="I249" s="6">
        <v>2.5</v>
      </c>
      <c r="J249" s="6">
        <v>8.4</v>
      </c>
      <c r="K249" s="6">
        <v>19</v>
      </c>
      <c r="L249" s="6">
        <v>19</v>
      </c>
      <c r="M249" s="4" t="str">
        <f t="shared" si="9"/>
        <v>OK</v>
      </c>
      <c r="N249" s="7">
        <f t="shared" si="10"/>
        <v>2.165053489556801E-3</v>
      </c>
      <c r="O249" s="7">
        <f>SUMIFS($D$2:D249,$B$2:B249,B249)/SUMIFS($D$2:$D$741,$B$2:$B$741,B249)</f>
        <v>0.98523942944472742</v>
      </c>
      <c r="P249" s="4" t="b">
        <f t="shared" si="11"/>
        <v>0</v>
      </c>
      <c r="Q249" s="4" t="s">
        <v>23</v>
      </c>
      <c r="R249" s="4" t="s">
        <v>30</v>
      </c>
      <c r="S249" s="4" t="s">
        <v>25</v>
      </c>
      <c r="T249" s="4" t="s">
        <v>31</v>
      </c>
    </row>
    <row r="250" spans="1:20" x14ac:dyDescent="0.45">
      <c r="A250" s="4" t="s">
        <v>334</v>
      </c>
      <c r="B250" s="4" t="s">
        <v>297</v>
      </c>
      <c r="C250" s="5">
        <v>2</v>
      </c>
      <c r="D250" s="5">
        <v>144</v>
      </c>
      <c r="E250" s="5">
        <v>0</v>
      </c>
      <c r="F250" s="5">
        <v>0</v>
      </c>
      <c r="G250" s="5">
        <v>0</v>
      </c>
      <c r="H250" s="5">
        <v>144</v>
      </c>
      <c r="I250" s="6">
        <v>4.5</v>
      </c>
      <c r="J250" s="6">
        <v>8.6999999999999993</v>
      </c>
      <c r="K250" s="6">
        <v>20</v>
      </c>
      <c r="L250" s="6">
        <v>20</v>
      </c>
      <c r="M250" s="4" t="str">
        <f t="shared" si="9"/>
        <v>OK</v>
      </c>
      <c r="N250" s="7">
        <f t="shared" si="10"/>
        <v>1.8339276617422313E-3</v>
      </c>
      <c r="O250" s="7">
        <f>SUMIFS($D$2:D250,$B$2:B250,B250)/SUMIFS($D$2:$D$741,$B$2:$B$741,B250)</f>
        <v>0.98707335710646971</v>
      </c>
      <c r="P250" s="4" t="b">
        <f t="shared" si="11"/>
        <v>0</v>
      </c>
      <c r="Q250" s="4" t="s">
        <v>23</v>
      </c>
      <c r="R250" s="4" t="s">
        <v>30</v>
      </c>
      <c r="S250" s="4" t="s">
        <v>25</v>
      </c>
      <c r="T250" s="4" t="s">
        <v>31</v>
      </c>
    </row>
    <row r="251" spans="1:20" x14ac:dyDescent="0.45">
      <c r="A251" s="4" t="s">
        <v>335</v>
      </c>
      <c r="B251" s="4" t="s">
        <v>297</v>
      </c>
      <c r="C251" s="5">
        <v>1</v>
      </c>
      <c r="D251" s="5">
        <v>129</v>
      </c>
      <c r="E251" s="5">
        <v>125</v>
      </c>
      <c r="F251" s="5">
        <v>18</v>
      </c>
      <c r="G251" s="5">
        <v>7</v>
      </c>
      <c r="H251" s="5">
        <v>111</v>
      </c>
      <c r="I251" s="6">
        <v>31</v>
      </c>
      <c r="J251" s="6">
        <v>51.2</v>
      </c>
      <c r="K251" s="6">
        <v>130</v>
      </c>
      <c r="L251" s="6">
        <v>130</v>
      </c>
      <c r="M251" s="4" t="str">
        <f t="shared" si="9"/>
        <v>OK</v>
      </c>
      <c r="N251" s="7">
        <f t="shared" si="10"/>
        <v>1.642893530310749E-3</v>
      </c>
      <c r="O251" s="7">
        <f>SUMIFS($D$2:D251,$B$2:B251,B251)/SUMIFS($D$2:$D$741,$B$2:$B$741,B251)</f>
        <v>0.98871625063678048</v>
      </c>
      <c r="P251" s="4" t="b">
        <f t="shared" si="11"/>
        <v>0</v>
      </c>
      <c r="Q251" s="4" t="s">
        <v>23</v>
      </c>
      <c r="R251" s="4" t="s">
        <v>24</v>
      </c>
      <c r="S251" s="4" t="s">
        <v>25</v>
      </c>
      <c r="T251" s="4" t="s">
        <v>26</v>
      </c>
    </row>
    <row r="252" spans="1:20" x14ac:dyDescent="0.45">
      <c r="A252" s="4" t="s">
        <v>336</v>
      </c>
      <c r="B252" s="4" t="s">
        <v>297</v>
      </c>
      <c r="C252" s="5">
        <v>1</v>
      </c>
      <c r="D252" s="5">
        <v>119</v>
      </c>
      <c r="E252" s="5">
        <v>61</v>
      </c>
      <c r="F252" s="5">
        <v>0</v>
      </c>
      <c r="G252" s="5">
        <v>0</v>
      </c>
      <c r="H252" s="5">
        <v>119</v>
      </c>
      <c r="I252" s="6">
        <v>3</v>
      </c>
      <c r="J252" s="6">
        <v>5.0999999999999996</v>
      </c>
      <c r="K252" s="6">
        <v>12</v>
      </c>
      <c r="L252" s="6">
        <v>12</v>
      </c>
      <c r="M252" s="4" t="str">
        <f t="shared" si="9"/>
        <v>OK</v>
      </c>
      <c r="N252" s="7">
        <f t="shared" si="10"/>
        <v>1.5155374426897607E-3</v>
      </c>
      <c r="O252" s="7">
        <f>SUMIFS($D$2:D252,$B$2:B252,B252)/SUMIFS($D$2:$D$741,$B$2:$B$741,B252)</f>
        <v>0.99023178807947021</v>
      </c>
      <c r="P252" s="4" t="b">
        <f t="shared" si="11"/>
        <v>0</v>
      </c>
      <c r="Q252" s="4" t="s">
        <v>23</v>
      </c>
      <c r="R252" s="4" t="s">
        <v>30</v>
      </c>
      <c r="S252" s="4" t="s">
        <v>25</v>
      </c>
      <c r="T252" s="4" t="s">
        <v>31</v>
      </c>
    </row>
    <row r="253" spans="1:20" x14ac:dyDescent="0.45">
      <c r="A253" s="4" t="s">
        <v>337</v>
      </c>
      <c r="B253" s="4" t="s">
        <v>297</v>
      </c>
      <c r="C253" s="5">
        <v>2</v>
      </c>
      <c r="D253" s="5">
        <v>112</v>
      </c>
      <c r="E253" s="5">
        <v>39</v>
      </c>
      <c r="F253" s="5">
        <v>0</v>
      </c>
      <c r="G253" s="5">
        <v>0</v>
      </c>
      <c r="H253" s="5">
        <v>112</v>
      </c>
      <c r="I253" s="6">
        <v>2</v>
      </c>
      <c r="J253" s="6">
        <v>5.3</v>
      </c>
      <c r="K253" s="6">
        <v>17</v>
      </c>
      <c r="L253" s="6">
        <v>17</v>
      </c>
      <c r="M253" s="4" t="str">
        <f t="shared" si="9"/>
        <v>OK</v>
      </c>
      <c r="N253" s="7">
        <f t="shared" si="10"/>
        <v>1.4263881813550688E-3</v>
      </c>
      <c r="O253" s="7">
        <f>SUMIFS($D$2:D253,$B$2:B253,B253)/SUMIFS($D$2:$D$741,$B$2:$B$741,B253)</f>
        <v>0.99165817626082531</v>
      </c>
      <c r="P253" s="4" t="b">
        <f t="shared" si="11"/>
        <v>0</v>
      </c>
      <c r="Q253" s="4" t="s">
        <v>23</v>
      </c>
      <c r="R253" s="4" t="s">
        <v>30</v>
      </c>
      <c r="S253" s="4" t="s">
        <v>25</v>
      </c>
      <c r="T253" s="4" t="s">
        <v>31</v>
      </c>
    </row>
    <row r="254" spans="1:20" x14ac:dyDescent="0.45">
      <c r="A254" s="4" t="s">
        <v>338</v>
      </c>
      <c r="B254" s="4" t="s">
        <v>297</v>
      </c>
      <c r="C254" s="5">
        <v>2</v>
      </c>
      <c r="D254" s="5">
        <v>111</v>
      </c>
      <c r="E254" s="5">
        <v>38</v>
      </c>
      <c r="F254" s="5">
        <v>4</v>
      </c>
      <c r="G254" s="5">
        <v>2</v>
      </c>
      <c r="H254" s="5">
        <v>107</v>
      </c>
      <c r="I254" s="6">
        <v>22</v>
      </c>
      <c r="J254" s="6">
        <v>36.1</v>
      </c>
      <c r="K254" s="6">
        <v>77</v>
      </c>
      <c r="L254" s="6">
        <v>77.400000000000006</v>
      </c>
      <c r="M254" s="4" t="str">
        <f t="shared" si="9"/>
        <v>OK</v>
      </c>
      <c r="N254" s="7">
        <f t="shared" si="10"/>
        <v>1.4136525725929701E-3</v>
      </c>
      <c r="O254" s="7">
        <f>SUMIFS($D$2:D254,$B$2:B254,B254)/SUMIFS($D$2:$D$741,$B$2:$B$741,B254)</f>
        <v>0.99307182883341827</v>
      </c>
      <c r="P254" s="4" t="b">
        <f t="shared" si="11"/>
        <v>0</v>
      </c>
      <c r="Q254" s="4" t="s">
        <v>23</v>
      </c>
      <c r="R254" s="4" t="s">
        <v>24</v>
      </c>
      <c r="S254" s="4" t="s">
        <v>25</v>
      </c>
      <c r="T254" s="4" t="s">
        <v>26</v>
      </c>
    </row>
    <row r="255" spans="1:20" x14ac:dyDescent="0.45">
      <c r="A255" s="4" t="s">
        <v>339</v>
      </c>
      <c r="B255" s="4" t="s">
        <v>297</v>
      </c>
      <c r="C255" s="5">
        <v>1</v>
      </c>
      <c r="D255" s="5">
        <v>102</v>
      </c>
      <c r="E255" s="5">
        <v>34</v>
      </c>
      <c r="F255" s="5">
        <v>0</v>
      </c>
      <c r="G255" s="5">
        <v>0</v>
      </c>
      <c r="H255" s="5">
        <v>102</v>
      </c>
      <c r="I255" s="6">
        <v>3.5</v>
      </c>
      <c r="J255" s="6">
        <v>14.2</v>
      </c>
      <c r="K255" s="6">
        <v>48</v>
      </c>
      <c r="L255" s="6">
        <v>48</v>
      </c>
      <c r="M255" s="4" t="str">
        <f t="shared" si="9"/>
        <v>OK</v>
      </c>
      <c r="N255" s="7">
        <f t="shared" si="10"/>
        <v>1.2990320937340805E-3</v>
      </c>
      <c r="O255" s="7">
        <f>SUMIFS($D$2:D255,$B$2:B255,B255)/SUMIFS($D$2:$D$741,$B$2:$B$741,B255)</f>
        <v>0.99437086092715232</v>
      </c>
      <c r="P255" s="4" t="b">
        <f t="shared" si="11"/>
        <v>0</v>
      </c>
      <c r="Q255" s="4" t="s">
        <v>23</v>
      </c>
      <c r="R255" s="4" t="s">
        <v>105</v>
      </c>
      <c r="S255" s="4" t="s">
        <v>25</v>
      </c>
      <c r="T255" s="4" t="s">
        <v>106</v>
      </c>
    </row>
    <row r="256" spans="1:20" x14ac:dyDescent="0.45">
      <c r="A256" s="4" t="s">
        <v>340</v>
      </c>
      <c r="B256" s="4" t="s">
        <v>297</v>
      </c>
      <c r="C256" s="5">
        <v>2</v>
      </c>
      <c r="D256" s="5">
        <v>86</v>
      </c>
      <c r="E256" s="5">
        <v>14</v>
      </c>
      <c r="F256" s="5">
        <v>0</v>
      </c>
      <c r="G256" s="5">
        <v>0</v>
      </c>
      <c r="H256" s="5">
        <v>86</v>
      </c>
      <c r="I256" s="6">
        <v>3.5</v>
      </c>
      <c r="J256" s="6">
        <v>12.9</v>
      </c>
      <c r="K256" s="6">
        <v>54</v>
      </c>
      <c r="L256" s="6">
        <v>54</v>
      </c>
      <c r="M256" s="4" t="str">
        <f t="shared" si="9"/>
        <v>OK</v>
      </c>
      <c r="N256" s="7">
        <f t="shared" si="10"/>
        <v>1.0952623535404992E-3</v>
      </c>
      <c r="O256" s="7">
        <f>SUMIFS($D$2:D256,$B$2:B256,B256)/SUMIFS($D$2:$D$741,$B$2:$B$741,B256)</f>
        <v>0.99546612328069284</v>
      </c>
      <c r="P256" s="4" t="b">
        <f t="shared" si="11"/>
        <v>0</v>
      </c>
      <c r="Q256" s="4" t="s">
        <v>23</v>
      </c>
      <c r="R256" s="4" t="s">
        <v>105</v>
      </c>
      <c r="S256" s="4" t="s">
        <v>25</v>
      </c>
      <c r="T256" s="4" t="s">
        <v>106</v>
      </c>
    </row>
    <row r="257" spans="1:20" x14ac:dyDescent="0.45">
      <c r="A257" s="4" t="s">
        <v>341</v>
      </c>
      <c r="B257" s="4" t="s">
        <v>297</v>
      </c>
      <c r="C257" s="5">
        <v>1</v>
      </c>
      <c r="D257" s="5">
        <v>85</v>
      </c>
      <c r="E257" s="5">
        <v>69</v>
      </c>
      <c r="F257" s="5">
        <v>11</v>
      </c>
      <c r="G257" s="5">
        <v>9</v>
      </c>
      <c r="H257" s="5">
        <v>74</v>
      </c>
      <c r="I257" s="6">
        <v>44</v>
      </c>
      <c r="J257" s="6">
        <v>68.8</v>
      </c>
      <c r="K257" s="6">
        <v>169</v>
      </c>
      <c r="L257" s="6">
        <v>168.7</v>
      </c>
      <c r="M257" s="4" t="str">
        <f t="shared" si="9"/>
        <v>OK</v>
      </c>
      <c r="N257" s="7">
        <f t="shared" si="10"/>
        <v>1.0825267447784005E-3</v>
      </c>
      <c r="O257" s="7">
        <f>SUMIFS($D$2:D257,$B$2:B257,B257)/SUMIFS($D$2:$D$741,$B$2:$B$741,B257)</f>
        <v>0.99654865002547122</v>
      </c>
      <c r="P257" s="4" t="b">
        <f t="shared" si="11"/>
        <v>0</v>
      </c>
      <c r="Q257" s="4" t="s">
        <v>23</v>
      </c>
      <c r="R257" s="4" t="s">
        <v>105</v>
      </c>
      <c r="S257" s="4" t="s">
        <v>25</v>
      </c>
      <c r="T257" s="4" t="s">
        <v>106</v>
      </c>
    </row>
    <row r="258" spans="1:20" x14ac:dyDescent="0.45">
      <c r="A258" s="4" t="s">
        <v>342</v>
      </c>
      <c r="B258" s="4" t="s">
        <v>297</v>
      </c>
      <c r="C258" s="5">
        <v>2</v>
      </c>
      <c r="D258" s="5">
        <v>83</v>
      </c>
      <c r="E258" s="5">
        <v>3</v>
      </c>
      <c r="F258" s="5">
        <v>0</v>
      </c>
      <c r="G258" s="5">
        <v>0</v>
      </c>
      <c r="H258" s="5">
        <v>83</v>
      </c>
      <c r="I258" s="6">
        <v>7</v>
      </c>
      <c r="J258" s="6">
        <v>8.1999999999999993</v>
      </c>
      <c r="K258" s="6">
        <v>17</v>
      </c>
      <c r="L258" s="6">
        <v>17</v>
      </c>
      <c r="M258" s="4" t="str">
        <f t="shared" ref="M258:M321" si="12">IF(AND(K258="",L258=""),"No closed tickets",IF(K258="","MISSING in catalog",IF(L258="","No valid closed tickets",IF(AND(ABS(K258-L258)&gt;=$W$3,ABS(K258-L258)&gt;=$W$4*MAX(L258,1)),"FAR OFF","OK"))))</f>
        <v>OK</v>
      </c>
      <c r="N258" s="7">
        <f t="shared" ref="N258:N321" si="13">D258/SUMIFS($D$2:$D$741,$B$2:$B$741,B258)</f>
        <v>1.0570555272542029E-3</v>
      </c>
      <c r="O258" s="7">
        <f>SUMIFS($D$2:D258,$B$2:B258,B258)/SUMIFS($D$2:$D$741,$B$2:$B$741,B258)</f>
        <v>0.99760570555272543</v>
      </c>
      <c r="P258" s="4" t="b">
        <f t="shared" ref="P258:P321" si="14">O258-N258&lt;$W$2</f>
        <v>0</v>
      </c>
      <c r="Q258" s="4" t="s">
        <v>23</v>
      </c>
      <c r="R258" s="4" t="s">
        <v>105</v>
      </c>
      <c r="S258" s="4" t="s">
        <v>25</v>
      </c>
      <c r="T258" s="4" t="s">
        <v>106</v>
      </c>
    </row>
    <row r="259" spans="1:20" x14ac:dyDescent="0.45">
      <c r="A259" s="4" t="s">
        <v>343</v>
      </c>
      <c r="B259" s="4" t="s">
        <v>297</v>
      </c>
      <c r="C259" s="5">
        <v>2</v>
      </c>
      <c r="D259" s="5">
        <v>59</v>
      </c>
      <c r="E259" s="5">
        <v>16</v>
      </c>
      <c r="F259" s="5">
        <v>1</v>
      </c>
      <c r="G259" s="5">
        <v>0</v>
      </c>
      <c r="H259" s="5">
        <v>58</v>
      </c>
      <c r="I259" s="6">
        <v>8</v>
      </c>
      <c r="J259" s="6">
        <v>16.399999999999999</v>
      </c>
      <c r="K259" s="6">
        <v>43</v>
      </c>
      <c r="L259" s="6">
        <v>42.6</v>
      </c>
      <c r="M259" s="4" t="str">
        <f t="shared" si="12"/>
        <v>OK</v>
      </c>
      <c r="N259" s="7">
        <f t="shared" si="13"/>
        <v>7.5140091696383087E-4</v>
      </c>
      <c r="O259" s="7">
        <f>SUMIFS($D$2:D259,$B$2:B259,B259)/SUMIFS($D$2:$D$741,$B$2:$B$741,B259)</f>
        <v>0.99835710646968923</v>
      </c>
      <c r="P259" s="4" t="b">
        <f t="shared" si="14"/>
        <v>0</v>
      </c>
      <c r="Q259" s="4" t="s">
        <v>23</v>
      </c>
      <c r="R259" s="4" t="s">
        <v>105</v>
      </c>
      <c r="S259" s="4" t="s">
        <v>25</v>
      </c>
      <c r="T259" s="4" t="s">
        <v>106</v>
      </c>
    </row>
    <row r="260" spans="1:20" x14ac:dyDescent="0.45">
      <c r="A260" s="4" t="s">
        <v>344</v>
      </c>
      <c r="B260" s="4" t="s">
        <v>297</v>
      </c>
      <c r="C260" s="5">
        <v>2</v>
      </c>
      <c r="D260" s="5">
        <v>49</v>
      </c>
      <c r="E260" s="5">
        <v>18</v>
      </c>
      <c r="F260" s="5">
        <v>0</v>
      </c>
      <c r="G260" s="5">
        <v>0</v>
      </c>
      <c r="H260" s="5">
        <v>49</v>
      </c>
      <c r="I260" s="6">
        <v>6</v>
      </c>
      <c r="J260" s="6">
        <v>19.899999999999999</v>
      </c>
      <c r="K260" s="6">
        <v>57</v>
      </c>
      <c r="L260" s="6">
        <v>57.4</v>
      </c>
      <c r="M260" s="4" t="str">
        <f t="shared" si="12"/>
        <v>OK</v>
      </c>
      <c r="N260" s="7">
        <f t="shared" si="13"/>
        <v>6.2404482934284259E-4</v>
      </c>
      <c r="O260" s="7">
        <f>SUMIFS($D$2:D260,$B$2:B260,B260)/SUMIFS($D$2:$D$741,$B$2:$B$741,B260)</f>
        <v>0.99898115129903209</v>
      </c>
      <c r="P260" s="4" t="b">
        <f t="shared" si="14"/>
        <v>0</v>
      </c>
      <c r="Q260" s="4" t="s">
        <v>192</v>
      </c>
      <c r="R260" s="4" t="s">
        <v>345</v>
      </c>
      <c r="S260" s="4" t="s">
        <v>109</v>
      </c>
      <c r="T260" s="4" t="s">
        <v>346</v>
      </c>
    </row>
    <row r="261" spans="1:20" x14ac:dyDescent="0.45">
      <c r="A261" s="4" t="s">
        <v>347</v>
      </c>
      <c r="B261" s="4" t="s">
        <v>297</v>
      </c>
      <c r="C261" s="5">
        <v>2</v>
      </c>
      <c r="D261" s="5">
        <v>41</v>
      </c>
      <c r="E261" s="5">
        <v>10</v>
      </c>
      <c r="F261" s="5">
        <v>0</v>
      </c>
      <c r="G261" s="5">
        <v>0</v>
      </c>
      <c r="H261" s="5">
        <v>41</v>
      </c>
      <c r="I261" s="6">
        <v>4</v>
      </c>
      <c r="J261" s="6">
        <v>6.1</v>
      </c>
      <c r="K261" s="6">
        <v>11</v>
      </c>
      <c r="L261" s="6">
        <v>11</v>
      </c>
      <c r="M261" s="4" t="str">
        <f t="shared" si="12"/>
        <v>OK</v>
      </c>
      <c r="N261" s="7">
        <f t="shared" si="13"/>
        <v>5.2215995924605196E-4</v>
      </c>
      <c r="O261" s="7">
        <f>SUMIFS($D$2:D261,$B$2:B261,B261)/SUMIFS($D$2:$D$741,$B$2:$B$741,B261)</f>
        <v>0.99950331125827818</v>
      </c>
      <c r="P261" s="4" t="b">
        <f t="shared" si="14"/>
        <v>0</v>
      </c>
      <c r="Q261" s="4" t="s">
        <v>23</v>
      </c>
      <c r="R261" s="4" t="s">
        <v>105</v>
      </c>
      <c r="S261" s="4" t="s">
        <v>25</v>
      </c>
      <c r="T261" s="4" t="s">
        <v>106</v>
      </c>
    </row>
    <row r="262" spans="1:20" x14ac:dyDescent="0.45">
      <c r="A262" s="4" t="s">
        <v>348</v>
      </c>
      <c r="B262" s="4" t="s">
        <v>297</v>
      </c>
      <c r="C262" s="5">
        <v>2</v>
      </c>
      <c r="D262" s="5">
        <v>28</v>
      </c>
      <c r="E262" s="5">
        <v>0</v>
      </c>
      <c r="F262" s="5">
        <v>0</v>
      </c>
      <c r="G262" s="5">
        <v>0</v>
      </c>
      <c r="H262" s="5">
        <v>28</v>
      </c>
      <c r="I262" s="6">
        <v>4</v>
      </c>
      <c r="J262" s="6">
        <v>8.1999999999999993</v>
      </c>
      <c r="K262" s="6">
        <v>19</v>
      </c>
      <c r="L262" s="6">
        <v>18.600000000000001</v>
      </c>
      <c r="M262" s="4" t="str">
        <f t="shared" si="12"/>
        <v>OK</v>
      </c>
      <c r="N262" s="7">
        <f t="shared" si="13"/>
        <v>3.5659704533876719E-4</v>
      </c>
      <c r="O262" s="7">
        <f>SUMIFS($D$2:D262,$B$2:B262,B262)/SUMIFS($D$2:$D$741,$B$2:$B$741,B262)</f>
        <v>0.99985990830361693</v>
      </c>
      <c r="P262" s="4" t="b">
        <f t="shared" si="14"/>
        <v>0</v>
      </c>
      <c r="Q262" s="4" t="s">
        <v>23</v>
      </c>
      <c r="R262" s="4" t="s">
        <v>91</v>
      </c>
      <c r="S262" s="4" t="s">
        <v>25</v>
      </c>
      <c r="T262" s="4" t="s">
        <v>92</v>
      </c>
    </row>
    <row r="263" spans="1:20" x14ac:dyDescent="0.45">
      <c r="A263" s="4" t="s">
        <v>349</v>
      </c>
      <c r="B263" s="4" t="s">
        <v>297</v>
      </c>
      <c r="C263" s="5">
        <v>1</v>
      </c>
      <c r="D263" s="5">
        <v>11</v>
      </c>
      <c r="E263" s="5">
        <v>10</v>
      </c>
      <c r="F263" s="5">
        <v>0</v>
      </c>
      <c r="G263" s="5">
        <v>0</v>
      </c>
      <c r="H263" s="5">
        <v>11</v>
      </c>
      <c r="I263" s="6">
        <v>5</v>
      </c>
      <c r="J263" s="6">
        <v>9.5</v>
      </c>
      <c r="K263" s="6">
        <v>11</v>
      </c>
      <c r="L263" s="6">
        <v>11</v>
      </c>
      <c r="M263" s="4" t="str">
        <f t="shared" si="12"/>
        <v>OK</v>
      </c>
      <c r="N263" s="7">
        <f t="shared" si="13"/>
        <v>1.4009169638308711E-4</v>
      </c>
      <c r="O263" s="7">
        <f>SUMIFS($D$2:D263,$B$2:B263,B263)/SUMIFS($D$2:$D$741,$B$2:$B$741,B263)</f>
        <v>1</v>
      </c>
      <c r="P263" s="4" t="b">
        <f t="shared" si="14"/>
        <v>0</v>
      </c>
      <c r="Q263" s="4" t="s">
        <v>23</v>
      </c>
      <c r="R263" s="4" t="s">
        <v>91</v>
      </c>
      <c r="S263" s="4" t="s">
        <v>25</v>
      </c>
      <c r="T263" s="4" t="s">
        <v>92</v>
      </c>
    </row>
    <row r="264" spans="1:20" x14ac:dyDescent="0.45">
      <c r="A264" s="9" t="s">
        <v>350</v>
      </c>
      <c r="B264" s="9" t="s">
        <v>351</v>
      </c>
      <c r="C264" s="10">
        <v>1</v>
      </c>
      <c r="D264" s="10">
        <v>8984</v>
      </c>
      <c r="E264" s="10">
        <v>1708</v>
      </c>
      <c r="F264" s="10">
        <v>18</v>
      </c>
      <c r="G264" s="10">
        <v>8</v>
      </c>
      <c r="H264" s="10">
        <v>8966</v>
      </c>
      <c r="I264" s="11">
        <v>0</v>
      </c>
      <c r="J264" s="11">
        <v>4.8</v>
      </c>
      <c r="K264" s="11">
        <v>2</v>
      </c>
      <c r="L264" s="11">
        <v>2</v>
      </c>
      <c r="M264" s="9" t="str">
        <f t="shared" si="12"/>
        <v>OK</v>
      </c>
      <c r="N264" s="12">
        <f t="shared" si="13"/>
        <v>1</v>
      </c>
      <c r="O264" s="12">
        <f>SUMIFS($D$2:D264,$B$2:B264,B264)/SUMIFS($D$2:$D$741,$B$2:$B$741,B264)</f>
        <v>1</v>
      </c>
      <c r="P264" s="9" t="b">
        <f t="shared" si="14"/>
        <v>1</v>
      </c>
      <c r="Q264" s="9" t="s">
        <v>23</v>
      </c>
      <c r="R264" s="9" t="s">
        <v>75</v>
      </c>
      <c r="S264" s="9" t="s">
        <v>25</v>
      </c>
      <c r="T264" s="9" t="s">
        <v>76</v>
      </c>
    </row>
    <row r="265" spans="1:20" x14ac:dyDescent="0.45">
      <c r="A265" s="9" t="s">
        <v>352</v>
      </c>
      <c r="B265" s="9" t="s">
        <v>353</v>
      </c>
      <c r="C265" s="10">
        <v>1</v>
      </c>
      <c r="D265" s="10">
        <v>1</v>
      </c>
      <c r="E265" s="10">
        <v>0</v>
      </c>
      <c r="F265" s="10">
        <v>0</v>
      </c>
      <c r="G265" s="10">
        <v>0</v>
      </c>
      <c r="H265" s="10">
        <v>1</v>
      </c>
      <c r="I265" s="11">
        <v>0</v>
      </c>
      <c r="J265" s="11">
        <v>0</v>
      </c>
      <c r="K265" s="11">
        <v>0</v>
      </c>
      <c r="L265" s="11">
        <v>0</v>
      </c>
      <c r="M265" s="9" t="str">
        <f t="shared" si="12"/>
        <v>OK</v>
      </c>
      <c r="N265" s="12">
        <f t="shared" si="13"/>
        <v>1</v>
      </c>
      <c r="O265" s="12">
        <f>SUMIFS($D$2:D265,$B$2:B265,B265)/SUMIFS($D$2:$D$741,$B$2:$B$741,B265)</f>
        <v>1</v>
      </c>
      <c r="P265" s="9" t="b">
        <f t="shared" si="14"/>
        <v>1</v>
      </c>
      <c r="Q265" s="9" t="s">
        <v>23</v>
      </c>
      <c r="R265" s="9" t="s">
        <v>75</v>
      </c>
      <c r="S265" s="9" t="s">
        <v>25</v>
      </c>
      <c r="T265" s="9" t="s">
        <v>76</v>
      </c>
    </row>
    <row r="266" spans="1:20" x14ac:dyDescent="0.45">
      <c r="A266" s="9" t="s">
        <v>354</v>
      </c>
      <c r="B266" s="9" t="s">
        <v>355</v>
      </c>
      <c r="C266" s="10">
        <v>1</v>
      </c>
      <c r="D266" s="10">
        <v>4</v>
      </c>
      <c r="E266" s="10">
        <v>0</v>
      </c>
      <c r="F266" s="10">
        <v>0</v>
      </c>
      <c r="G266" s="10">
        <v>0</v>
      </c>
      <c r="H266" s="10">
        <v>4</v>
      </c>
      <c r="I266" s="11">
        <v>1</v>
      </c>
      <c r="J266" s="11">
        <v>0.8</v>
      </c>
      <c r="K266" s="11">
        <v>1</v>
      </c>
      <c r="L266" s="11">
        <v>1</v>
      </c>
      <c r="M266" s="9" t="str">
        <f t="shared" si="12"/>
        <v>OK</v>
      </c>
      <c r="N266" s="12">
        <f t="shared" si="13"/>
        <v>1</v>
      </c>
      <c r="O266" s="12">
        <f>SUMIFS($D$2:D266,$B$2:B266,B266)/SUMIFS($D$2:$D$741,$B$2:$B$741,B266)</f>
        <v>1</v>
      </c>
      <c r="P266" s="9" t="b">
        <f t="shared" si="14"/>
        <v>1</v>
      </c>
      <c r="Q266" s="9" t="s">
        <v>23</v>
      </c>
      <c r="R266" s="9" t="s">
        <v>30</v>
      </c>
      <c r="S266" s="9" t="s">
        <v>25</v>
      </c>
      <c r="T266" s="9" t="s">
        <v>31</v>
      </c>
    </row>
    <row r="267" spans="1:20" x14ac:dyDescent="0.45">
      <c r="A267" s="9" t="s">
        <v>356</v>
      </c>
      <c r="B267" s="9" t="s">
        <v>357</v>
      </c>
      <c r="C267" s="10">
        <v>1</v>
      </c>
      <c r="D267" s="10">
        <v>341</v>
      </c>
      <c r="E267" s="10">
        <v>0</v>
      </c>
      <c r="F267" s="10">
        <v>0</v>
      </c>
      <c r="G267" s="10">
        <v>0</v>
      </c>
      <c r="H267" s="10">
        <v>341</v>
      </c>
      <c r="I267" s="11">
        <v>0</v>
      </c>
      <c r="J267" s="11">
        <v>0</v>
      </c>
      <c r="K267" s="11">
        <v>0</v>
      </c>
      <c r="L267" s="11">
        <v>0</v>
      </c>
      <c r="M267" s="9" t="str">
        <f t="shared" si="12"/>
        <v>OK</v>
      </c>
      <c r="N267" s="12">
        <f t="shared" si="13"/>
        <v>0.54213036565977746</v>
      </c>
      <c r="O267" s="12">
        <f>SUMIFS($D$2:D267,$B$2:B267,B267)/SUMIFS($D$2:$D$741,$B$2:$B$741,B267)</f>
        <v>0.54213036565977746</v>
      </c>
      <c r="P267" s="9" t="b">
        <f t="shared" si="14"/>
        <v>1</v>
      </c>
      <c r="Q267" s="9" t="s">
        <v>23</v>
      </c>
      <c r="R267" s="9" t="s">
        <v>75</v>
      </c>
      <c r="S267" s="9" t="s">
        <v>25</v>
      </c>
      <c r="T267" s="9" t="s">
        <v>76</v>
      </c>
    </row>
    <row r="268" spans="1:20" x14ac:dyDescent="0.45">
      <c r="A268" s="4" t="s">
        <v>358</v>
      </c>
      <c r="B268" s="4" t="s">
        <v>357</v>
      </c>
      <c r="C268" s="5">
        <v>1</v>
      </c>
      <c r="D268" s="5">
        <v>148</v>
      </c>
      <c r="E268" s="5">
        <v>88</v>
      </c>
      <c r="F268" s="5">
        <v>0</v>
      </c>
      <c r="G268" s="5">
        <v>0</v>
      </c>
      <c r="H268" s="5">
        <v>148</v>
      </c>
      <c r="I268" s="6">
        <v>0</v>
      </c>
      <c r="J268" s="6">
        <v>0</v>
      </c>
      <c r="K268" s="6">
        <v>0</v>
      </c>
      <c r="L268" s="6">
        <v>0</v>
      </c>
      <c r="M268" s="4" t="str">
        <f t="shared" si="12"/>
        <v>OK</v>
      </c>
      <c r="N268" s="7">
        <f t="shared" si="13"/>
        <v>0.23529411764705882</v>
      </c>
      <c r="O268" s="7">
        <f>SUMIFS($D$2:D268,$B$2:B268,B268)/SUMIFS($D$2:$D$741,$B$2:$B$741,B268)</f>
        <v>0.77742448330683622</v>
      </c>
      <c r="P268" s="4" t="b">
        <f t="shared" si="14"/>
        <v>1</v>
      </c>
      <c r="Q268" s="4" t="s">
        <v>23</v>
      </c>
      <c r="R268" s="4" t="s">
        <v>75</v>
      </c>
      <c r="S268" s="4" t="s">
        <v>25</v>
      </c>
      <c r="T268" s="4" t="s">
        <v>76</v>
      </c>
    </row>
    <row r="269" spans="1:20" x14ac:dyDescent="0.45">
      <c r="A269" s="4" t="s">
        <v>359</v>
      </c>
      <c r="B269" s="4" t="s">
        <v>357</v>
      </c>
      <c r="C269" s="5">
        <v>1</v>
      </c>
      <c r="D269" s="5">
        <v>34</v>
      </c>
      <c r="E269" s="5">
        <v>0</v>
      </c>
      <c r="F269" s="5">
        <v>0</v>
      </c>
      <c r="G269" s="5">
        <v>0</v>
      </c>
      <c r="H269" s="5">
        <v>34</v>
      </c>
      <c r="I269" s="6">
        <v>0</v>
      </c>
      <c r="J269" s="6">
        <v>0</v>
      </c>
      <c r="K269" s="6">
        <v>0</v>
      </c>
      <c r="L269" s="6">
        <v>0</v>
      </c>
      <c r="M269" s="4" t="str">
        <f t="shared" si="12"/>
        <v>OK</v>
      </c>
      <c r="N269" s="7">
        <f t="shared" si="13"/>
        <v>5.4054054054054057E-2</v>
      </c>
      <c r="O269" s="7">
        <f>SUMIFS($D$2:D269,$B$2:B269,B269)/SUMIFS($D$2:$D$741,$B$2:$B$741,B269)</f>
        <v>0.83147853736089028</v>
      </c>
      <c r="P269" s="4" t="b">
        <f t="shared" si="14"/>
        <v>1</v>
      </c>
      <c r="Q269" s="4" t="s">
        <v>23</v>
      </c>
      <c r="R269" s="4" t="s">
        <v>105</v>
      </c>
      <c r="S269" s="4" t="s">
        <v>25</v>
      </c>
      <c r="T269" s="4" t="s">
        <v>106</v>
      </c>
    </row>
    <row r="270" spans="1:20" x14ac:dyDescent="0.45">
      <c r="A270" s="4" t="s">
        <v>360</v>
      </c>
      <c r="B270" s="4" t="s">
        <v>357</v>
      </c>
      <c r="C270" s="5">
        <v>1</v>
      </c>
      <c r="D270" s="5">
        <v>25</v>
      </c>
      <c r="E270" s="5">
        <v>14</v>
      </c>
      <c r="F270" s="5">
        <v>0</v>
      </c>
      <c r="G270" s="5">
        <v>0</v>
      </c>
      <c r="H270" s="5">
        <v>25</v>
      </c>
      <c r="I270" s="6">
        <v>0</v>
      </c>
      <c r="J270" s="6">
        <v>0</v>
      </c>
      <c r="K270" s="6">
        <v>0</v>
      </c>
      <c r="L270" s="6">
        <v>0</v>
      </c>
      <c r="M270" s="4" t="str">
        <f t="shared" si="12"/>
        <v>OK</v>
      </c>
      <c r="N270" s="7">
        <f t="shared" si="13"/>
        <v>3.9745627980922099E-2</v>
      </c>
      <c r="O270" s="7">
        <f>SUMIFS($D$2:D270,$B$2:B270,B270)/SUMIFS($D$2:$D$741,$B$2:$B$741,B270)</f>
        <v>0.87122416534181235</v>
      </c>
      <c r="P270" s="4" t="b">
        <f t="shared" si="14"/>
        <v>1</v>
      </c>
      <c r="Q270" s="4" t="s">
        <v>23</v>
      </c>
      <c r="R270" s="4" t="s">
        <v>105</v>
      </c>
      <c r="S270" s="4" t="s">
        <v>25</v>
      </c>
      <c r="T270" s="4" t="s">
        <v>106</v>
      </c>
    </row>
    <row r="271" spans="1:20" x14ac:dyDescent="0.45">
      <c r="A271" s="4" t="s">
        <v>361</v>
      </c>
      <c r="B271" s="4" t="s">
        <v>357</v>
      </c>
      <c r="C271" s="5">
        <v>1</v>
      </c>
      <c r="D271" s="5">
        <v>21</v>
      </c>
      <c r="E271" s="5">
        <v>0</v>
      </c>
      <c r="F271" s="5">
        <v>0</v>
      </c>
      <c r="G271" s="5">
        <v>0</v>
      </c>
      <c r="H271" s="5">
        <v>21</v>
      </c>
      <c r="I271" s="6">
        <v>0</v>
      </c>
      <c r="J271" s="6">
        <v>0</v>
      </c>
      <c r="K271" s="6">
        <v>0</v>
      </c>
      <c r="L271" s="6">
        <v>0</v>
      </c>
      <c r="M271" s="4" t="str">
        <f t="shared" si="12"/>
        <v>OK</v>
      </c>
      <c r="N271" s="7">
        <f t="shared" si="13"/>
        <v>3.3386327503974564E-2</v>
      </c>
      <c r="O271" s="7">
        <f>SUMIFS($D$2:D271,$B$2:B271,B271)/SUMIFS($D$2:$D$741,$B$2:$B$741,B271)</f>
        <v>0.90461049284578698</v>
      </c>
      <c r="P271" s="4" t="b">
        <f t="shared" si="14"/>
        <v>1</v>
      </c>
      <c r="Q271" s="4" t="s">
        <v>23</v>
      </c>
      <c r="R271" s="4" t="s">
        <v>105</v>
      </c>
      <c r="S271" s="4" t="s">
        <v>25</v>
      </c>
      <c r="T271" s="4" t="s">
        <v>106</v>
      </c>
    </row>
    <row r="272" spans="1:20" x14ac:dyDescent="0.45">
      <c r="A272" s="4" t="s">
        <v>362</v>
      </c>
      <c r="B272" s="4" t="s">
        <v>357</v>
      </c>
      <c r="C272" s="5">
        <v>1</v>
      </c>
      <c r="D272" s="5">
        <v>20</v>
      </c>
      <c r="E272" s="5">
        <v>19</v>
      </c>
      <c r="F272" s="5">
        <v>0</v>
      </c>
      <c r="G272" s="5">
        <v>0</v>
      </c>
      <c r="H272" s="5">
        <v>20</v>
      </c>
      <c r="I272" s="6">
        <v>0</v>
      </c>
      <c r="J272" s="6">
        <v>0</v>
      </c>
      <c r="K272" s="6">
        <v>0</v>
      </c>
      <c r="L272" s="6">
        <v>0</v>
      </c>
      <c r="M272" s="4" t="str">
        <f t="shared" si="12"/>
        <v>OK</v>
      </c>
      <c r="N272" s="7">
        <f t="shared" si="13"/>
        <v>3.1796502384737677E-2</v>
      </c>
      <c r="O272" s="7">
        <f>SUMIFS($D$2:D272,$B$2:B272,B272)/SUMIFS($D$2:$D$741,$B$2:$B$741,B272)</f>
        <v>0.93640699523052462</v>
      </c>
      <c r="P272" s="4" t="b">
        <f t="shared" si="14"/>
        <v>1</v>
      </c>
      <c r="Q272" s="4" t="s">
        <v>23</v>
      </c>
      <c r="R272" s="4" t="s">
        <v>105</v>
      </c>
      <c r="S272" s="4" t="s">
        <v>25</v>
      </c>
      <c r="T272" s="4" t="s">
        <v>106</v>
      </c>
    </row>
    <row r="273" spans="1:20" x14ac:dyDescent="0.45">
      <c r="A273" s="4" t="s">
        <v>363</v>
      </c>
      <c r="B273" s="4" t="s">
        <v>357</v>
      </c>
      <c r="C273" s="5">
        <v>1</v>
      </c>
      <c r="D273" s="5">
        <v>13</v>
      </c>
      <c r="E273" s="5">
        <v>0</v>
      </c>
      <c r="F273" s="5">
        <v>0</v>
      </c>
      <c r="G273" s="5">
        <v>0</v>
      </c>
      <c r="H273" s="5">
        <v>13</v>
      </c>
      <c r="I273" s="6">
        <v>0</v>
      </c>
      <c r="J273" s="6">
        <v>0</v>
      </c>
      <c r="K273" s="6">
        <v>0</v>
      </c>
      <c r="L273" s="6">
        <v>0</v>
      </c>
      <c r="M273" s="4" t="str">
        <f t="shared" si="12"/>
        <v>OK</v>
      </c>
      <c r="N273" s="7">
        <f t="shared" si="13"/>
        <v>2.066772655007949E-2</v>
      </c>
      <c r="O273" s="7">
        <f>SUMIFS($D$2:D273,$B$2:B273,B273)/SUMIFS($D$2:$D$741,$B$2:$B$741,B273)</f>
        <v>0.95707472178060415</v>
      </c>
      <c r="P273" s="4" t="b">
        <f t="shared" si="14"/>
        <v>1</v>
      </c>
      <c r="Q273" s="4" t="s">
        <v>23</v>
      </c>
      <c r="R273" s="4" t="s">
        <v>105</v>
      </c>
      <c r="S273" s="4" t="s">
        <v>25</v>
      </c>
      <c r="T273" s="4" t="s">
        <v>106</v>
      </c>
    </row>
    <row r="274" spans="1:20" x14ac:dyDescent="0.45">
      <c r="A274" s="4" t="s">
        <v>364</v>
      </c>
      <c r="B274" s="4" t="s">
        <v>357</v>
      </c>
      <c r="C274" s="5">
        <v>1</v>
      </c>
      <c r="D274" s="5">
        <v>9</v>
      </c>
      <c r="E274" s="5">
        <v>8</v>
      </c>
      <c r="F274" s="5">
        <v>0</v>
      </c>
      <c r="G274" s="5">
        <v>0</v>
      </c>
      <c r="H274" s="5">
        <v>9</v>
      </c>
      <c r="I274" s="6">
        <v>0</v>
      </c>
      <c r="J274" s="6">
        <v>0</v>
      </c>
      <c r="K274" s="6">
        <v>0</v>
      </c>
      <c r="L274" s="6">
        <v>0</v>
      </c>
      <c r="M274" s="4" t="str">
        <f t="shared" si="12"/>
        <v>OK</v>
      </c>
      <c r="N274" s="7">
        <f t="shared" si="13"/>
        <v>1.4308426073131956E-2</v>
      </c>
      <c r="O274" s="7">
        <f>SUMIFS($D$2:D274,$B$2:B274,B274)/SUMIFS($D$2:$D$741,$B$2:$B$741,B274)</f>
        <v>0.97138314785373614</v>
      </c>
      <c r="P274" s="4" t="b">
        <f t="shared" si="14"/>
        <v>0</v>
      </c>
      <c r="Q274" s="4" t="s">
        <v>23</v>
      </c>
      <c r="R274" s="4" t="s">
        <v>105</v>
      </c>
      <c r="S274" s="4" t="s">
        <v>25</v>
      </c>
      <c r="T274" s="4" t="s">
        <v>106</v>
      </c>
    </row>
    <row r="275" spans="1:20" x14ac:dyDescent="0.45">
      <c r="A275" s="4" t="s">
        <v>365</v>
      </c>
      <c r="B275" s="4" t="s">
        <v>357</v>
      </c>
      <c r="C275" s="5">
        <v>1</v>
      </c>
      <c r="D275" s="5">
        <v>7</v>
      </c>
      <c r="E275" s="5">
        <v>1</v>
      </c>
      <c r="F275" s="5">
        <v>0</v>
      </c>
      <c r="G275" s="5">
        <v>0</v>
      </c>
      <c r="H275" s="5">
        <v>7</v>
      </c>
      <c r="I275" s="6">
        <v>0</v>
      </c>
      <c r="J275" s="6">
        <v>0.1</v>
      </c>
      <c r="K275" s="6">
        <v>0</v>
      </c>
      <c r="L275" s="6">
        <v>0.4</v>
      </c>
      <c r="M275" s="4" t="str">
        <f t="shared" si="12"/>
        <v>OK</v>
      </c>
      <c r="N275" s="7">
        <f t="shared" si="13"/>
        <v>1.1128775834658187E-2</v>
      </c>
      <c r="O275" s="7">
        <f>SUMIFS($D$2:D275,$B$2:B275,B275)/SUMIFS($D$2:$D$741,$B$2:$B$741,B275)</f>
        <v>0.98251192368839424</v>
      </c>
      <c r="P275" s="4" t="b">
        <f t="shared" si="14"/>
        <v>0</v>
      </c>
      <c r="Q275" s="4" t="s">
        <v>23</v>
      </c>
      <c r="R275" s="4" t="s">
        <v>105</v>
      </c>
      <c r="S275" s="4" t="s">
        <v>25</v>
      </c>
      <c r="T275" s="4" t="s">
        <v>106</v>
      </c>
    </row>
    <row r="276" spans="1:20" x14ac:dyDescent="0.45">
      <c r="A276" s="4" t="s">
        <v>366</v>
      </c>
      <c r="B276" s="4" t="s">
        <v>357</v>
      </c>
      <c r="C276" s="5">
        <v>1</v>
      </c>
      <c r="D276" s="5">
        <v>4</v>
      </c>
      <c r="E276" s="5">
        <v>0</v>
      </c>
      <c r="F276" s="5">
        <v>0</v>
      </c>
      <c r="G276" s="5">
        <v>0</v>
      </c>
      <c r="H276" s="5">
        <v>4</v>
      </c>
      <c r="I276" s="6">
        <v>0</v>
      </c>
      <c r="J276" s="6">
        <v>0</v>
      </c>
      <c r="K276" s="6">
        <v>0</v>
      </c>
      <c r="L276" s="6">
        <v>0</v>
      </c>
      <c r="M276" s="4" t="str">
        <f t="shared" si="12"/>
        <v>OK</v>
      </c>
      <c r="N276" s="7">
        <f t="shared" si="13"/>
        <v>6.3593004769475362E-3</v>
      </c>
      <c r="O276" s="7">
        <f>SUMIFS($D$2:D276,$B$2:B276,B276)/SUMIFS($D$2:$D$741,$B$2:$B$741,B276)</f>
        <v>0.98887122416534179</v>
      </c>
      <c r="P276" s="4" t="b">
        <f t="shared" si="14"/>
        <v>0</v>
      </c>
      <c r="Q276" s="4" t="s">
        <v>23</v>
      </c>
      <c r="R276" s="4" t="s">
        <v>105</v>
      </c>
      <c r="S276" s="4" t="s">
        <v>25</v>
      </c>
      <c r="T276" s="4" t="s">
        <v>106</v>
      </c>
    </row>
    <row r="277" spans="1:20" x14ac:dyDescent="0.45">
      <c r="A277" s="4" t="s">
        <v>367</v>
      </c>
      <c r="B277" s="4" t="s">
        <v>357</v>
      </c>
      <c r="C277" s="5">
        <v>1</v>
      </c>
      <c r="D277" s="5">
        <v>3</v>
      </c>
      <c r="E277" s="5">
        <v>0</v>
      </c>
      <c r="F277" s="5">
        <v>0</v>
      </c>
      <c r="G277" s="5">
        <v>0</v>
      </c>
      <c r="H277" s="5">
        <v>3</v>
      </c>
      <c r="I277" s="6">
        <v>0</v>
      </c>
      <c r="J277" s="6">
        <v>0</v>
      </c>
      <c r="K277" s="6">
        <v>0</v>
      </c>
      <c r="L277" s="6">
        <v>0</v>
      </c>
      <c r="M277" s="4" t="str">
        <f t="shared" si="12"/>
        <v>OK</v>
      </c>
      <c r="N277" s="7">
        <f t="shared" si="13"/>
        <v>4.7694753577106515E-3</v>
      </c>
      <c r="O277" s="7">
        <f>SUMIFS($D$2:D277,$B$2:B277,B277)/SUMIFS($D$2:$D$741,$B$2:$B$741,B277)</f>
        <v>0.99364069952305245</v>
      </c>
      <c r="P277" s="4" t="b">
        <f t="shared" si="14"/>
        <v>0</v>
      </c>
      <c r="Q277" s="4" t="s">
        <v>23</v>
      </c>
      <c r="R277" s="4" t="s">
        <v>75</v>
      </c>
      <c r="S277" s="4" t="s">
        <v>25</v>
      </c>
      <c r="T277" s="4" t="s">
        <v>76</v>
      </c>
    </row>
    <row r="278" spans="1:20" x14ac:dyDescent="0.45">
      <c r="A278" s="4" t="s">
        <v>368</v>
      </c>
      <c r="B278" s="4" t="s">
        <v>357</v>
      </c>
      <c r="C278" s="5">
        <v>1</v>
      </c>
      <c r="D278" s="5">
        <v>2</v>
      </c>
      <c r="E278" s="5">
        <v>0</v>
      </c>
      <c r="F278" s="5">
        <v>0</v>
      </c>
      <c r="G278" s="5">
        <v>0</v>
      </c>
      <c r="H278" s="5">
        <v>2</v>
      </c>
      <c r="I278" s="6">
        <v>0</v>
      </c>
      <c r="J278" s="6">
        <v>0</v>
      </c>
      <c r="K278" s="6">
        <v>0</v>
      </c>
      <c r="L278" s="6">
        <v>0</v>
      </c>
      <c r="M278" s="4" t="str">
        <f t="shared" si="12"/>
        <v>OK</v>
      </c>
      <c r="N278" s="7">
        <f t="shared" si="13"/>
        <v>3.1796502384737681E-3</v>
      </c>
      <c r="O278" s="7">
        <f>SUMIFS($D$2:D278,$B$2:B278,B278)/SUMIFS($D$2:$D$741,$B$2:$B$741,B278)</f>
        <v>0.99682034976152623</v>
      </c>
      <c r="P278" s="4" t="b">
        <f t="shared" si="14"/>
        <v>0</v>
      </c>
      <c r="Q278" s="4" t="s">
        <v>23</v>
      </c>
      <c r="R278" s="4" t="s">
        <v>75</v>
      </c>
      <c r="S278" s="4" t="s">
        <v>25</v>
      </c>
      <c r="T278" s="4" t="s">
        <v>76</v>
      </c>
    </row>
    <row r="279" spans="1:20" x14ac:dyDescent="0.45">
      <c r="A279" s="4" t="s">
        <v>369</v>
      </c>
      <c r="B279" s="4" t="s">
        <v>357</v>
      </c>
      <c r="C279" s="5">
        <v>1</v>
      </c>
      <c r="D279" s="5">
        <v>1</v>
      </c>
      <c r="E279" s="5">
        <v>0</v>
      </c>
      <c r="F279" s="5">
        <v>0</v>
      </c>
      <c r="G279" s="5">
        <v>0</v>
      </c>
      <c r="H279" s="5">
        <v>1</v>
      </c>
      <c r="I279" s="6">
        <v>0</v>
      </c>
      <c r="J279" s="6">
        <v>0</v>
      </c>
      <c r="K279" s="6">
        <v>0</v>
      </c>
      <c r="L279" s="6">
        <v>0</v>
      </c>
      <c r="M279" s="4" t="str">
        <f t="shared" si="12"/>
        <v>OK</v>
      </c>
      <c r="N279" s="7">
        <f t="shared" si="13"/>
        <v>1.589825119236884E-3</v>
      </c>
      <c r="O279" s="7">
        <f>SUMIFS($D$2:D279,$B$2:B279,B279)/SUMIFS($D$2:$D$741,$B$2:$B$741,B279)</f>
        <v>0.99841017488076311</v>
      </c>
      <c r="P279" s="4" t="b">
        <f t="shared" si="14"/>
        <v>0</v>
      </c>
      <c r="Q279" s="4" t="s">
        <v>23</v>
      </c>
      <c r="R279" s="4" t="s">
        <v>105</v>
      </c>
      <c r="S279" s="4" t="s">
        <v>25</v>
      </c>
      <c r="T279" s="4" t="s">
        <v>106</v>
      </c>
    </row>
    <row r="280" spans="1:20" x14ac:dyDescent="0.45">
      <c r="A280" s="4" t="s">
        <v>370</v>
      </c>
      <c r="B280" s="4" t="s">
        <v>357</v>
      </c>
      <c r="C280" s="5">
        <v>1</v>
      </c>
      <c r="D280" s="5">
        <v>1</v>
      </c>
      <c r="E280" s="5">
        <v>0</v>
      </c>
      <c r="F280" s="5">
        <v>0</v>
      </c>
      <c r="G280" s="5">
        <v>0</v>
      </c>
      <c r="H280" s="5">
        <v>1</v>
      </c>
      <c r="I280" s="6">
        <v>0</v>
      </c>
      <c r="J280" s="6">
        <v>0</v>
      </c>
      <c r="K280" s="6">
        <v>0</v>
      </c>
      <c r="L280" s="6">
        <v>0</v>
      </c>
      <c r="M280" s="4" t="str">
        <f t="shared" si="12"/>
        <v>OK</v>
      </c>
      <c r="N280" s="7">
        <f t="shared" si="13"/>
        <v>1.589825119236884E-3</v>
      </c>
      <c r="O280" s="7">
        <f>SUMIFS($D$2:D280,$B$2:B280,B280)/SUMIFS($D$2:$D$741,$B$2:$B$741,B280)</f>
        <v>1</v>
      </c>
      <c r="P280" s="4" t="b">
        <f t="shared" si="14"/>
        <v>0</v>
      </c>
      <c r="Q280" s="4" t="s">
        <v>23</v>
      </c>
      <c r="R280" s="4" t="s">
        <v>105</v>
      </c>
      <c r="S280" s="4" t="s">
        <v>25</v>
      </c>
      <c r="T280" s="4" t="s">
        <v>106</v>
      </c>
    </row>
    <row r="281" spans="1:20" x14ac:dyDescent="0.45">
      <c r="A281" s="9" t="s">
        <v>371</v>
      </c>
      <c r="B281" s="9" t="s">
        <v>372</v>
      </c>
      <c r="C281" s="10">
        <v>1</v>
      </c>
      <c r="D281" s="10">
        <v>502</v>
      </c>
      <c r="E281" s="10">
        <v>273</v>
      </c>
      <c r="F281" s="10">
        <v>8</v>
      </c>
      <c r="G281" s="10">
        <v>3</v>
      </c>
      <c r="H281" s="10">
        <v>493</v>
      </c>
      <c r="I281" s="11">
        <v>2</v>
      </c>
      <c r="J281" s="11">
        <v>21.2</v>
      </c>
      <c r="K281" s="11">
        <v>11</v>
      </c>
      <c r="L281" s="11">
        <v>11</v>
      </c>
      <c r="M281" s="9" t="str">
        <f t="shared" si="12"/>
        <v>OK</v>
      </c>
      <c r="N281" s="12">
        <f t="shared" si="13"/>
        <v>0.5368983957219251</v>
      </c>
      <c r="O281" s="12">
        <f>SUMIFS($D$2:D281,$B$2:B281,B281)/SUMIFS($D$2:$D$741,$B$2:$B$741,B281)</f>
        <v>0.5368983957219251</v>
      </c>
      <c r="P281" s="9" t="b">
        <f t="shared" si="14"/>
        <v>1</v>
      </c>
      <c r="Q281" s="9" t="s">
        <v>192</v>
      </c>
      <c r="R281" s="9" t="s">
        <v>373</v>
      </c>
      <c r="S281" s="9" t="s">
        <v>109</v>
      </c>
      <c r="T281" s="9" t="s">
        <v>374</v>
      </c>
    </row>
    <row r="282" spans="1:20" x14ac:dyDescent="0.45">
      <c r="A282" s="4" t="s">
        <v>375</v>
      </c>
      <c r="B282" s="4" t="s">
        <v>372</v>
      </c>
      <c r="C282" s="5">
        <v>1</v>
      </c>
      <c r="D282" s="5">
        <v>141</v>
      </c>
      <c r="E282" s="5">
        <v>138</v>
      </c>
      <c r="F282" s="5">
        <v>8</v>
      </c>
      <c r="G282" s="5">
        <v>0</v>
      </c>
      <c r="H282" s="5">
        <v>133</v>
      </c>
      <c r="I282" s="6">
        <v>4</v>
      </c>
      <c r="J282" s="6">
        <v>5.7</v>
      </c>
      <c r="K282" s="6">
        <v>12</v>
      </c>
      <c r="L282" s="6">
        <v>12</v>
      </c>
      <c r="M282" s="4" t="str">
        <f t="shared" si="12"/>
        <v>OK</v>
      </c>
      <c r="N282" s="7">
        <f t="shared" si="13"/>
        <v>0.15080213903743314</v>
      </c>
      <c r="O282" s="7">
        <f>SUMIFS($D$2:D282,$B$2:B282,B282)/SUMIFS($D$2:$D$741,$B$2:$B$741,B282)</f>
        <v>0.68770053475935833</v>
      </c>
      <c r="P282" s="4" t="b">
        <f t="shared" si="14"/>
        <v>1</v>
      </c>
      <c r="Q282" s="4" t="s">
        <v>23</v>
      </c>
      <c r="R282" s="4" t="s">
        <v>30</v>
      </c>
      <c r="S282" s="4" t="s">
        <v>25</v>
      </c>
      <c r="T282" s="4" t="s">
        <v>31</v>
      </c>
    </row>
    <row r="283" spans="1:20" x14ac:dyDescent="0.45">
      <c r="A283" s="4" t="s">
        <v>376</v>
      </c>
      <c r="B283" s="4" t="s">
        <v>372</v>
      </c>
      <c r="C283" s="5">
        <v>1</v>
      </c>
      <c r="D283" s="5">
        <v>131</v>
      </c>
      <c r="E283" s="5">
        <v>55</v>
      </c>
      <c r="F283" s="5">
        <v>0</v>
      </c>
      <c r="G283" s="5">
        <v>0</v>
      </c>
      <c r="H283" s="5">
        <v>131</v>
      </c>
      <c r="I283" s="6">
        <v>3</v>
      </c>
      <c r="J283" s="6">
        <v>6.4</v>
      </c>
      <c r="K283" s="6">
        <v>7</v>
      </c>
      <c r="L283" s="6">
        <v>7</v>
      </c>
      <c r="M283" s="4" t="str">
        <f t="shared" si="12"/>
        <v>OK</v>
      </c>
      <c r="N283" s="7">
        <f t="shared" si="13"/>
        <v>0.14010695187165775</v>
      </c>
      <c r="O283" s="7">
        <f>SUMIFS($D$2:D283,$B$2:B283,B283)/SUMIFS($D$2:$D$741,$B$2:$B$741,B283)</f>
        <v>0.827807486631016</v>
      </c>
      <c r="P283" s="4" t="b">
        <f t="shared" si="14"/>
        <v>1</v>
      </c>
      <c r="Q283" s="4" t="s">
        <v>192</v>
      </c>
      <c r="R283" s="4" t="s">
        <v>345</v>
      </c>
      <c r="S283" s="4" t="s">
        <v>109</v>
      </c>
      <c r="T283" s="4" t="s">
        <v>377</v>
      </c>
    </row>
    <row r="284" spans="1:20" x14ac:dyDescent="0.45">
      <c r="A284" s="4" t="s">
        <v>378</v>
      </c>
      <c r="B284" s="4" t="s">
        <v>372</v>
      </c>
      <c r="C284" s="5">
        <v>1</v>
      </c>
      <c r="D284" s="5">
        <v>89</v>
      </c>
      <c r="E284" s="5">
        <v>33</v>
      </c>
      <c r="F284" s="5">
        <v>0</v>
      </c>
      <c r="G284" s="5">
        <v>0</v>
      </c>
      <c r="H284" s="5">
        <v>89</v>
      </c>
      <c r="I284" s="6">
        <v>1</v>
      </c>
      <c r="J284" s="6">
        <v>24.4</v>
      </c>
      <c r="K284" s="6">
        <v>11</v>
      </c>
      <c r="L284" s="6">
        <v>11.2</v>
      </c>
      <c r="M284" s="4" t="str">
        <f t="shared" si="12"/>
        <v>OK</v>
      </c>
      <c r="N284" s="7">
        <f t="shared" si="13"/>
        <v>9.5187165775401067E-2</v>
      </c>
      <c r="O284" s="7">
        <f>SUMIFS($D$2:D284,$B$2:B284,B284)/SUMIFS($D$2:$D$741,$B$2:$B$741,B284)</f>
        <v>0.92299465240641709</v>
      </c>
      <c r="P284" s="4" t="b">
        <f t="shared" si="14"/>
        <v>1</v>
      </c>
      <c r="Q284" s="4" t="s">
        <v>192</v>
      </c>
      <c r="R284" s="4" t="s">
        <v>373</v>
      </c>
      <c r="S284" s="4" t="s">
        <v>25</v>
      </c>
      <c r="T284" s="4" t="s">
        <v>379</v>
      </c>
    </row>
    <row r="285" spans="1:20" x14ac:dyDescent="0.45">
      <c r="A285" s="4" t="s">
        <v>380</v>
      </c>
      <c r="B285" s="4" t="s">
        <v>372</v>
      </c>
      <c r="C285" s="5">
        <v>1</v>
      </c>
      <c r="D285" s="5">
        <v>72</v>
      </c>
      <c r="E285" s="5">
        <v>33</v>
      </c>
      <c r="F285" s="5">
        <v>3</v>
      </c>
      <c r="G285" s="5">
        <v>0</v>
      </c>
      <c r="H285" s="5">
        <v>69</v>
      </c>
      <c r="I285" s="6">
        <v>11</v>
      </c>
      <c r="J285" s="6">
        <v>146.19999999999999</v>
      </c>
      <c r="K285" s="6">
        <v>647</v>
      </c>
      <c r="L285" s="6">
        <v>647.20000000000005</v>
      </c>
      <c r="M285" s="4" t="str">
        <f t="shared" si="12"/>
        <v>OK</v>
      </c>
      <c r="N285" s="7">
        <f t="shared" si="13"/>
        <v>7.7005347593582893E-2</v>
      </c>
      <c r="O285" s="7">
        <f>SUMIFS($D$2:D285,$B$2:B285,B285)/SUMIFS($D$2:$D$741,$B$2:$B$741,B285)</f>
        <v>1</v>
      </c>
      <c r="P285" s="4" t="b">
        <f t="shared" si="14"/>
        <v>1</v>
      </c>
      <c r="Q285" s="4" t="s">
        <v>23</v>
      </c>
      <c r="R285" s="4" t="s">
        <v>289</v>
      </c>
      <c r="S285" s="4" t="s">
        <v>25</v>
      </c>
      <c r="T285" s="4" t="s">
        <v>290</v>
      </c>
    </row>
    <row r="286" spans="1:20" x14ac:dyDescent="0.45">
      <c r="A286" s="9" t="s">
        <v>381</v>
      </c>
      <c r="B286" s="9" t="s">
        <v>382</v>
      </c>
      <c r="C286" s="10">
        <v>2</v>
      </c>
      <c r="D286" s="10">
        <v>308</v>
      </c>
      <c r="E286" s="10">
        <v>0</v>
      </c>
      <c r="F286" s="10">
        <v>0</v>
      </c>
      <c r="G286" s="10">
        <v>0</v>
      </c>
      <c r="H286" s="10">
        <v>308</v>
      </c>
      <c r="I286" s="11">
        <v>9.5</v>
      </c>
      <c r="J286" s="11">
        <v>13.3</v>
      </c>
      <c r="K286" s="11">
        <v>26</v>
      </c>
      <c r="L286" s="11">
        <v>26</v>
      </c>
      <c r="M286" s="9" t="str">
        <f t="shared" si="12"/>
        <v>OK</v>
      </c>
      <c r="N286" s="12">
        <f t="shared" si="13"/>
        <v>0.48580441640378547</v>
      </c>
      <c r="O286" s="12">
        <f>SUMIFS($D$2:D286,$B$2:B286,B286)/SUMIFS($D$2:$D$741,$B$2:$B$741,B286)</f>
        <v>0.48580441640378547</v>
      </c>
      <c r="P286" s="9" t="b">
        <f t="shared" si="14"/>
        <v>1</v>
      </c>
      <c r="Q286" s="9" t="s">
        <v>23</v>
      </c>
      <c r="R286" s="9" t="s">
        <v>289</v>
      </c>
      <c r="S286" s="9" t="s">
        <v>25</v>
      </c>
      <c r="T286" s="9" t="s">
        <v>290</v>
      </c>
    </row>
    <row r="287" spans="1:20" x14ac:dyDescent="0.45">
      <c r="A287" s="4" t="s">
        <v>383</v>
      </c>
      <c r="B287" s="4" t="s">
        <v>382</v>
      </c>
      <c r="C287" s="5">
        <v>2</v>
      </c>
      <c r="D287" s="5">
        <v>253</v>
      </c>
      <c r="E287" s="5">
        <v>0</v>
      </c>
      <c r="F287" s="5">
        <v>0</v>
      </c>
      <c r="G287" s="5">
        <v>0</v>
      </c>
      <c r="H287" s="5">
        <v>253</v>
      </c>
      <c r="I287" s="6">
        <v>9</v>
      </c>
      <c r="J287" s="6">
        <v>13.5</v>
      </c>
      <c r="K287" s="6">
        <v>19</v>
      </c>
      <c r="L287" s="6">
        <v>19</v>
      </c>
      <c r="M287" s="4" t="str">
        <f t="shared" si="12"/>
        <v>OK</v>
      </c>
      <c r="N287" s="7">
        <f t="shared" si="13"/>
        <v>0.39905362776025238</v>
      </c>
      <c r="O287" s="7">
        <f>SUMIFS($D$2:D287,$B$2:B287,B287)/SUMIFS($D$2:$D$741,$B$2:$B$741,B287)</f>
        <v>0.8848580441640379</v>
      </c>
      <c r="P287" s="4" t="b">
        <f t="shared" si="14"/>
        <v>1</v>
      </c>
      <c r="Q287" s="4" t="s">
        <v>23</v>
      </c>
      <c r="R287" s="4" t="s">
        <v>289</v>
      </c>
      <c r="S287" s="4" t="s">
        <v>25</v>
      </c>
      <c r="T287" s="4" t="s">
        <v>290</v>
      </c>
    </row>
    <row r="288" spans="1:20" x14ac:dyDescent="0.45">
      <c r="A288" s="4" t="s">
        <v>384</v>
      </c>
      <c r="B288" s="4" t="s">
        <v>382</v>
      </c>
      <c r="C288" s="5">
        <v>1</v>
      </c>
      <c r="D288" s="5">
        <v>44</v>
      </c>
      <c r="E288" s="5">
        <v>0</v>
      </c>
      <c r="F288" s="5">
        <v>0</v>
      </c>
      <c r="G288" s="5">
        <v>0</v>
      </c>
      <c r="H288" s="5">
        <v>44</v>
      </c>
      <c r="I288" s="6">
        <v>3.5</v>
      </c>
      <c r="J288" s="6">
        <v>22</v>
      </c>
      <c r="K288" s="6">
        <v>28</v>
      </c>
      <c r="L288" s="6">
        <v>27.5</v>
      </c>
      <c r="M288" s="4" t="str">
        <f t="shared" si="12"/>
        <v>OK</v>
      </c>
      <c r="N288" s="7">
        <f t="shared" si="13"/>
        <v>6.9400630914826497E-2</v>
      </c>
      <c r="O288" s="7">
        <f>SUMIFS($D$2:D288,$B$2:B288,B288)/SUMIFS($D$2:$D$741,$B$2:$B$741,B288)</f>
        <v>0.9542586750788643</v>
      </c>
      <c r="P288" s="4" t="b">
        <f t="shared" si="14"/>
        <v>1</v>
      </c>
      <c r="Q288" s="4" t="s">
        <v>23</v>
      </c>
      <c r="R288" s="4" t="s">
        <v>289</v>
      </c>
      <c r="S288" s="4" t="s">
        <v>25</v>
      </c>
      <c r="T288" s="4" t="s">
        <v>290</v>
      </c>
    </row>
    <row r="289" spans="1:20" x14ac:dyDescent="0.45">
      <c r="A289" s="4" t="s">
        <v>385</v>
      </c>
      <c r="B289" s="4" t="s">
        <v>382</v>
      </c>
      <c r="C289" s="5">
        <v>2</v>
      </c>
      <c r="D289" s="5">
        <v>21</v>
      </c>
      <c r="E289" s="5">
        <v>0</v>
      </c>
      <c r="F289" s="5">
        <v>0</v>
      </c>
      <c r="G289" s="5">
        <v>0</v>
      </c>
      <c r="H289" s="5">
        <v>21</v>
      </c>
      <c r="I289" s="6">
        <v>7</v>
      </c>
      <c r="J289" s="6">
        <v>10.6</v>
      </c>
      <c r="K289" s="6">
        <v>24</v>
      </c>
      <c r="L289" s="6">
        <v>24</v>
      </c>
      <c r="M289" s="4" t="str">
        <f t="shared" si="12"/>
        <v>OK</v>
      </c>
      <c r="N289" s="7">
        <f t="shared" si="13"/>
        <v>3.3123028391167195E-2</v>
      </c>
      <c r="O289" s="7">
        <f>SUMIFS($D$2:D289,$B$2:B289,B289)/SUMIFS($D$2:$D$741,$B$2:$B$741,B289)</f>
        <v>0.98738170347003151</v>
      </c>
      <c r="P289" s="4" t="b">
        <f t="shared" si="14"/>
        <v>0</v>
      </c>
      <c r="Q289" s="4" t="s">
        <v>23</v>
      </c>
      <c r="R289" s="4" t="s">
        <v>289</v>
      </c>
      <c r="S289" s="4" t="s">
        <v>25</v>
      </c>
      <c r="T289" s="4" t="s">
        <v>290</v>
      </c>
    </row>
    <row r="290" spans="1:20" x14ac:dyDescent="0.45">
      <c r="A290" s="4" t="s">
        <v>386</v>
      </c>
      <c r="B290" s="4" t="s">
        <v>382</v>
      </c>
      <c r="C290" s="5">
        <v>1</v>
      </c>
      <c r="D290" s="5">
        <v>7</v>
      </c>
      <c r="E290" s="5">
        <v>0</v>
      </c>
      <c r="F290" s="5">
        <v>0</v>
      </c>
      <c r="G290" s="5">
        <v>0</v>
      </c>
      <c r="H290" s="5">
        <v>7</v>
      </c>
      <c r="I290" s="6">
        <v>4</v>
      </c>
      <c r="J290" s="6">
        <v>4</v>
      </c>
      <c r="K290" s="6">
        <v>9</v>
      </c>
      <c r="L290" s="6">
        <v>8.8000000000000007</v>
      </c>
      <c r="M290" s="4" t="str">
        <f t="shared" si="12"/>
        <v>OK</v>
      </c>
      <c r="N290" s="7">
        <f t="shared" si="13"/>
        <v>1.1041009463722398E-2</v>
      </c>
      <c r="O290" s="7">
        <f>SUMIFS($D$2:D290,$B$2:B290,B290)/SUMIFS($D$2:$D$741,$B$2:$B$741,B290)</f>
        <v>0.99842271293375395</v>
      </c>
      <c r="P290" s="4" t="b">
        <f t="shared" si="14"/>
        <v>0</v>
      </c>
      <c r="Q290" s="4" t="s">
        <v>23</v>
      </c>
      <c r="R290" s="4" t="s">
        <v>75</v>
      </c>
      <c r="S290" s="4" t="s">
        <v>25</v>
      </c>
      <c r="T290" s="4" t="s">
        <v>76</v>
      </c>
    </row>
    <row r="291" spans="1:20" x14ac:dyDescent="0.45">
      <c r="A291" s="4" t="s">
        <v>387</v>
      </c>
      <c r="B291" s="4" t="s">
        <v>382</v>
      </c>
      <c r="C291" s="5">
        <v>1</v>
      </c>
      <c r="D291" s="5">
        <v>1</v>
      </c>
      <c r="E291" s="5">
        <v>0</v>
      </c>
      <c r="F291" s="5">
        <v>0</v>
      </c>
      <c r="G291" s="5">
        <v>0</v>
      </c>
      <c r="H291" s="5">
        <v>1</v>
      </c>
      <c r="I291" s="6">
        <v>3</v>
      </c>
      <c r="J291" s="6">
        <v>3</v>
      </c>
      <c r="K291" s="6">
        <v>3</v>
      </c>
      <c r="L291" s="6">
        <v>3</v>
      </c>
      <c r="M291" s="4" t="str">
        <f t="shared" si="12"/>
        <v>OK</v>
      </c>
      <c r="N291" s="7">
        <f t="shared" si="13"/>
        <v>1.5772870662460567E-3</v>
      </c>
      <c r="O291" s="7">
        <f>SUMIFS($D$2:D291,$B$2:B291,B291)/SUMIFS($D$2:$D$741,$B$2:$B$741,B291)</f>
        <v>1</v>
      </c>
      <c r="P291" s="4" t="b">
        <f t="shared" si="14"/>
        <v>0</v>
      </c>
      <c r="Q291" s="4" t="s">
        <v>23</v>
      </c>
      <c r="R291" s="4" t="s">
        <v>75</v>
      </c>
      <c r="S291" s="4" t="s">
        <v>25</v>
      </c>
      <c r="T291" s="4" t="s">
        <v>76</v>
      </c>
    </row>
    <row r="292" spans="1:20" x14ac:dyDescent="0.45">
      <c r="A292" s="9" t="s">
        <v>388</v>
      </c>
      <c r="B292" s="9" t="s">
        <v>389</v>
      </c>
      <c r="C292" s="10">
        <v>1</v>
      </c>
      <c r="D292" s="10">
        <v>269</v>
      </c>
      <c r="E292" s="10">
        <v>154</v>
      </c>
      <c r="F292" s="10">
        <v>9</v>
      </c>
      <c r="G292" s="10">
        <v>0</v>
      </c>
      <c r="H292" s="10">
        <v>260</v>
      </c>
      <c r="I292" s="11">
        <v>9</v>
      </c>
      <c r="J292" s="11">
        <v>19.600000000000001</v>
      </c>
      <c r="K292" s="11">
        <v>20</v>
      </c>
      <c r="L292" s="11">
        <v>20</v>
      </c>
      <c r="M292" s="9" t="str">
        <f t="shared" si="12"/>
        <v>OK</v>
      </c>
      <c r="N292" s="12">
        <f t="shared" si="13"/>
        <v>0.55578512396694213</v>
      </c>
      <c r="O292" s="12">
        <f>SUMIFS($D$2:D292,$B$2:B292,B292)/SUMIFS($D$2:$D$741,$B$2:$B$741,B292)</f>
        <v>0.55578512396694213</v>
      </c>
      <c r="P292" s="9" t="b">
        <f t="shared" si="14"/>
        <v>1</v>
      </c>
      <c r="Q292" s="9" t="s">
        <v>23</v>
      </c>
      <c r="R292" s="9" t="s">
        <v>289</v>
      </c>
      <c r="S292" s="9" t="s">
        <v>25</v>
      </c>
      <c r="T292" s="9" t="s">
        <v>290</v>
      </c>
    </row>
    <row r="293" spans="1:20" x14ac:dyDescent="0.45">
      <c r="A293" s="4" t="s">
        <v>390</v>
      </c>
      <c r="B293" s="4" t="s">
        <v>389</v>
      </c>
      <c r="C293" s="5">
        <v>1</v>
      </c>
      <c r="D293" s="5">
        <v>170</v>
      </c>
      <c r="E293" s="5">
        <v>77</v>
      </c>
      <c r="F293" s="5">
        <v>3</v>
      </c>
      <c r="G293" s="5">
        <v>0</v>
      </c>
      <c r="H293" s="5">
        <v>167</v>
      </c>
      <c r="I293" s="6">
        <v>4</v>
      </c>
      <c r="J293" s="6">
        <v>18.8</v>
      </c>
      <c r="K293" s="6">
        <v>17</v>
      </c>
      <c r="L293" s="6">
        <v>17</v>
      </c>
      <c r="M293" s="4" t="str">
        <f t="shared" si="12"/>
        <v>OK</v>
      </c>
      <c r="N293" s="7">
        <f t="shared" si="13"/>
        <v>0.3512396694214876</v>
      </c>
      <c r="O293" s="7">
        <f>SUMIFS($D$2:D293,$B$2:B293,B293)/SUMIFS($D$2:$D$741,$B$2:$B$741,B293)</f>
        <v>0.90702479338842978</v>
      </c>
      <c r="P293" s="4" t="b">
        <f t="shared" si="14"/>
        <v>1</v>
      </c>
      <c r="Q293" s="4" t="s">
        <v>23</v>
      </c>
      <c r="R293" s="4" t="s">
        <v>289</v>
      </c>
      <c r="S293" s="4" t="s">
        <v>25</v>
      </c>
      <c r="T293" s="4" t="s">
        <v>290</v>
      </c>
    </row>
    <row r="294" spans="1:20" x14ac:dyDescent="0.45">
      <c r="A294" s="4" t="s">
        <v>391</v>
      </c>
      <c r="B294" s="4" t="s">
        <v>389</v>
      </c>
      <c r="C294" s="5">
        <v>1</v>
      </c>
      <c r="D294" s="5">
        <v>43</v>
      </c>
      <c r="E294" s="5">
        <v>20</v>
      </c>
      <c r="F294" s="5">
        <v>0</v>
      </c>
      <c r="G294" s="5">
        <v>0</v>
      </c>
      <c r="H294" s="5">
        <v>43</v>
      </c>
      <c r="I294" s="6">
        <v>3</v>
      </c>
      <c r="J294" s="6">
        <v>9.6</v>
      </c>
      <c r="K294" s="6">
        <v>12</v>
      </c>
      <c r="L294" s="6">
        <v>12</v>
      </c>
      <c r="M294" s="4" t="str">
        <f t="shared" si="12"/>
        <v>OK</v>
      </c>
      <c r="N294" s="7">
        <f t="shared" si="13"/>
        <v>8.8842975206611566E-2</v>
      </c>
      <c r="O294" s="7">
        <f>SUMIFS($D$2:D294,$B$2:B294,B294)/SUMIFS($D$2:$D$741,$B$2:$B$741,B294)</f>
        <v>0.99586776859504134</v>
      </c>
      <c r="P294" s="4" t="b">
        <f t="shared" si="14"/>
        <v>1</v>
      </c>
      <c r="Q294" s="4" t="s">
        <v>23</v>
      </c>
      <c r="R294" s="4" t="s">
        <v>289</v>
      </c>
      <c r="S294" s="4" t="s">
        <v>25</v>
      </c>
      <c r="T294" s="4" t="s">
        <v>290</v>
      </c>
    </row>
    <row r="295" spans="1:20" x14ac:dyDescent="0.45">
      <c r="A295" s="4" t="s">
        <v>392</v>
      </c>
      <c r="B295" s="4" t="s">
        <v>389</v>
      </c>
      <c r="C295" s="5">
        <v>1</v>
      </c>
      <c r="D295" s="5">
        <v>2</v>
      </c>
      <c r="E295" s="5">
        <v>2</v>
      </c>
      <c r="F295" s="5">
        <v>0</v>
      </c>
      <c r="G295" s="5">
        <v>0</v>
      </c>
      <c r="H295" s="5">
        <v>2</v>
      </c>
      <c r="I295" s="6">
        <v>19.5</v>
      </c>
      <c r="J295" s="6">
        <v>19.5</v>
      </c>
      <c r="K295" s="6">
        <v>26</v>
      </c>
      <c r="L295" s="6">
        <v>25.5</v>
      </c>
      <c r="M295" s="4" t="str">
        <f t="shared" si="12"/>
        <v>OK</v>
      </c>
      <c r="N295" s="7">
        <f t="shared" si="13"/>
        <v>4.1322314049586778E-3</v>
      </c>
      <c r="O295" s="7">
        <f>SUMIFS($D$2:D295,$B$2:B295,B295)/SUMIFS($D$2:$D$741,$B$2:$B$741,B295)</f>
        <v>1</v>
      </c>
      <c r="P295" s="4" t="b">
        <f t="shared" si="14"/>
        <v>0</v>
      </c>
      <c r="Q295" s="4" t="s">
        <v>23</v>
      </c>
      <c r="R295" s="4" t="s">
        <v>75</v>
      </c>
      <c r="S295" s="4" t="s">
        <v>25</v>
      </c>
      <c r="T295" s="4" t="s">
        <v>76</v>
      </c>
    </row>
    <row r="296" spans="1:20" x14ac:dyDescent="0.45">
      <c r="A296" s="9" t="s">
        <v>393</v>
      </c>
      <c r="B296" s="9" t="s">
        <v>394</v>
      </c>
      <c r="C296" s="10">
        <v>1</v>
      </c>
      <c r="D296" s="10">
        <v>1450</v>
      </c>
      <c r="E296" s="10">
        <v>331</v>
      </c>
      <c r="F296" s="10">
        <v>7</v>
      </c>
      <c r="G296" s="10">
        <v>1</v>
      </c>
      <c r="H296" s="10">
        <v>1443</v>
      </c>
      <c r="I296" s="11">
        <v>6</v>
      </c>
      <c r="J296" s="11">
        <v>11.2</v>
      </c>
      <c r="K296" s="11">
        <v>23</v>
      </c>
      <c r="L296" s="11">
        <v>22.8</v>
      </c>
      <c r="M296" s="9" t="str">
        <f t="shared" si="12"/>
        <v>OK</v>
      </c>
      <c r="N296" s="12">
        <f t="shared" si="13"/>
        <v>0.26831976313841599</v>
      </c>
      <c r="O296" s="12">
        <f>SUMIFS($D$2:D296,$B$2:B296,B296)/SUMIFS($D$2:$D$741,$B$2:$B$741,B296)</f>
        <v>0.26831976313841599</v>
      </c>
      <c r="P296" s="9" t="b">
        <f t="shared" si="14"/>
        <v>1</v>
      </c>
      <c r="Q296" s="9" t="s">
        <v>23</v>
      </c>
      <c r="R296" s="9" t="s">
        <v>289</v>
      </c>
      <c r="S296" s="9" t="s">
        <v>25</v>
      </c>
      <c r="T296" s="9" t="s">
        <v>290</v>
      </c>
    </row>
    <row r="297" spans="1:20" x14ac:dyDescent="0.45">
      <c r="A297" s="4" t="s">
        <v>395</v>
      </c>
      <c r="B297" s="4" t="s">
        <v>394</v>
      </c>
      <c r="C297" s="5">
        <v>2</v>
      </c>
      <c r="D297" s="5">
        <v>955</v>
      </c>
      <c r="E297" s="5">
        <v>263</v>
      </c>
      <c r="F297" s="5">
        <v>9</v>
      </c>
      <c r="G297" s="5">
        <v>2</v>
      </c>
      <c r="H297" s="5">
        <v>946</v>
      </c>
      <c r="I297" s="6">
        <v>5</v>
      </c>
      <c r="J297" s="6">
        <v>14.8</v>
      </c>
      <c r="K297" s="6">
        <v>25</v>
      </c>
      <c r="L297" s="6">
        <v>25</v>
      </c>
      <c r="M297" s="4" t="str">
        <f t="shared" si="12"/>
        <v>OK</v>
      </c>
      <c r="N297" s="7">
        <f t="shared" si="13"/>
        <v>0.17672094744633604</v>
      </c>
      <c r="O297" s="7">
        <f>SUMIFS($D$2:D297,$B$2:B297,B297)/SUMIFS($D$2:$D$741,$B$2:$B$741,B297)</f>
        <v>0.44504071058475203</v>
      </c>
      <c r="P297" s="4" t="b">
        <f t="shared" si="14"/>
        <v>1</v>
      </c>
      <c r="Q297" s="4" t="s">
        <v>23</v>
      </c>
      <c r="R297" s="4" t="s">
        <v>289</v>
      </c>
      <c r="S297" s="4" t="s">
        <v>25</v>
      </c>
      <c r="T297" s="4" t="s">
        <v>290</v>
      </c>
    </row>
    <row r="298" spans="1:20" x14ac:dyDescent="0.45">
      <c r="A298" s="4" t="s">
        <v>396</v>
      </c>
      <c r="B298" s="4" t="s">
        <v>394</v>
      </c>
      <c r="C298" s="5">
        <v>2</v>
      </c>
      <c r="D298" s="5">
        <v>433</v>
      </c>
      <c r="E298" s="5">
        <v>126</v>
      </c>
      <c r="F298" s="5">
        <v>2</v>
      </c>
      <c r="G298" s="5">
        <v>0</v>
      </c>
      <c r="H298" s="5">
        <v>431</v>
      </c>
      <c r="I298" s="6">
        <v>2</v>
      </c>
      <c r="J298" s="6">
        <v>8.5</v>
      </c>
      <c r="K298" s="6">
        <v>8</v>
      </c>
      <c r="L298" s="6">
        <v>8</v>
      </c>
      <c r="M298" s="4" t="str">
        <f t="shared" si="12"/>
        <v>OK</v>
      </c>
      <c r="N298" s="7">
        <f t="shared" si="13"/>
        <v>8.0125832716506293E-2</v>
      </c>
      <c r="O298" s="7">
        <f>SUMIFS($D$2:D298,$B$2:B298,B298)/SUMIFS($D$2:$D$741,$B$2:$B$741,B298)</f>
        <v>0.52516654330125834</v>
      </c>
      <c r="P298" s="4" t="b">
        <f t="shared" si="14"/>
        <v>1</v>
      </c>
      <c r="Q298" s="4" t="s">
        <v>23</v>
      </c>
      <c r="R298" s="4" t="s">
        <v>289</v>
      </c>
      <c r="S298" s="4" t="s">
        <v>25</v>
      </c>
      <c r="T298" s="4" t="s">
        <v>290</v>
      </c>
    </row>
    <row r="299" spans="1:20" x14ac:dyDescent="0.45">
      <c r="A299" s="4" t="s">
        <v>397</v>
      </c>
      <c r="B299" s="4" t="s">
        <v>394</v>
      </c>
      <c r="C299" s="5">
        <v>1</v>
      </c>
      <c r="D299" s="5">
        <v>380</v>
      </c>
      <c r="E299" s="5">
        <v>187</v>
      </c>
      <c r="F299" s="5">
        <v>8</v>
      </c>
      <c r="G299" s="5">
        <v>0</v>
      </c>
      <c r="H299" s="5">
        <v>372</v>
      </c>
      <c r="I299" s="6">
        <v>6</v>
      </c>
      <c r="J299" s="6">
        <v>9</v>
      </c>
      <c r="K299" s="6">
        <v>19</v>
      </c>
      <c r="L299" s="6">
        <v>19</v>
      </c>
      <c r="M299" s="4" t="str">
        <f t="shared" si="12"/>
        <v>OK</v>
      </c>
      <c r="N299" s="7">
        <f t="shared" si="13"/>
        <v>7.0318282753515912E-2</v>
      </c>
      <c r="O299" s="7">
        <f>SUMIFS($D$2:D299,$B$2:B299,B299)/SUMIFS($D$2:$D$741,$B$2:$B$741,B299)</f>
        <v>0.59548482605477426</v>
      </c>
      <c r="P299" s="4" t="b">
        <f t="shared" si="14"/>
        <v>1</v>
      </c>
      <c r="Q299" s="4" t="s">
        <v>23</v>
      </c>
      <c r="R299" s="4" t="s">
        <v>289</v>
      </c>
      <c r="S299" s="4" t="s">
        <v>25</v>
      </c>
      <c r="T299" s="4" t="s">
        <v>290</v>
      </c>
    </row>
    <row r="300" spans="1:20" x14ac:dyDescent="0.45">
      <c r="A300" s="4" t="s">
        <v>398</v>
      </c>
      <c r="B300" s="4" t="s">
        <v>394</v>
      </c>
      <c r="C300" s="5">
        <v>2</v>
      </c>
      <c r="D300" s="5">
        <v>290</v>
      </c>
      <c r="E300" s="5">
        <v>0</v>
      </c>
      <c r="F300" s="5">
        <v>0</v>
      </c>
      <c r="G300" s="5">
        <v>0</v>
      </c>
      <c r="H300" s="5">
        <v>290</v>
      </c>
      <c r="I300" s="6">
        <v>9</v>
      </c>
      <c r="J300" s="6">
        <v>14.5</v>
      </c>
      <c r="K300" s="6">
        <v>25</v>
      </c>
      <c r="L300" s="6">
        <v>25</v>
      </c>
      <c r="M300" s="4" t="str">
        <f t="shared" si="12"/>
        <v>OK</v>
      </c>
      <c r="N300" s="7">
        <f t="shared" si="13"/>
        <v>5.3663952627683198E-2</v>
      </c>
      <c r="O300" s="7">
        <f>SUMIFS($D$2:D300,$B$2:B300,B300)/SUMIFS($D$2:$D$741,$B$2:$B$741,B300)</f>
        <v>0.64914877868245746</v>
      </c>
      <c r="P300" s="4" t="b">
        <f t="shared" si="14"/>
        <v>1</v>
      </c>
      <c r="Q300" s="4" t="s">
        <v>23</v>
      </c>
      <c r="R300" s="4" t="s">
        <v>289</v>
      </c>
      <c r="S300" s="4" t="s">
        <v>25</v>
      </c>
      <c r="T300" s="4" t="s">
        <v>290</v>
      </c>
    </row>
    <row r="301" spans="1:20" x14ac:dyDescent="0.45">
      <c r="A301" s="4" t="s">
        <v>399</v>
      </c>
      <c r="B301" s="4" t="s">
        <v>394</v>
      </c>
      <c r="C301" s="5">
        <v>1</v>
      </c>
      <c r="D301" s="5">
        <v>281</v>
      </c>
      <c r="E301" s="5">
        <v>151</v>
      </c>
      <c r="F301" s="5">
        <v>5</v>
      </c>
      <c r="G301" s="5">
        <v>0</v>
      </c>
      <c r="H301" s="5">
        <v>276</v>
      </c>
      <c r="I301" s="6">
        <v>2</v>
      </c>
      <c r="J301" s="6">
        <v>3.4</v>
      </c>
      <c r="K301" s="6">
        <v>9</v>
      </c>
      <c r="L301" s="6">
        <v>9</v>
      </c>
      <c r="M301" s="4" t="str">
        <f t="shared" si="12"/>
        <v>OK</v>
      </c>
      <c r="N301" s="7">
        <f t="shared" si="13"/>
        <v>5.1998519615099929E-2</v>
      </c>
      <c r="O301" s="7">
        <f>SUMIFS($D$2:D301,$B$2:B301,B301)/SUMIFS($D$2:$D$741,$B$2:$B$741,B301)</f>
        <v>0.7011472982975574</v>
      </c>
      <c r="P301" s="4" t="b">
        <f t="shared" si="14"/>
        <v>1</v>
      </c>
      <c r="Q301" s="4" t="s">
        <v>23</v>
      </c>
      <c r="R301" s="4" t="s">
        <v>289</v>
      </c>
      <c r="S301" s="4" t="s">
        <v>25</v>
      </c>
      <c r="T301" s="4" t="s">
        <v>290</v>
      </c>
    </row>
    <row r="302" spans="1:20" x14ac:dyDescent="0.45">
      <c r="A302" s="4" t="s">
        <v>400</v>
      </c>
      <c r="B302" s="4" t="s">
        <v>394</v>
      </c>
      <c r="C302" s="5">
        <v>2</v>
      </c>
      <c r="D302" s="5">
        <v>224</v>
      </c>
      <c r="E302" s="5">
        <v>0</v>
      </c>
      <c r="F302" s="5">
        <v>0</v>
      </c>
      <c r="G302" s="5">
        <v>0</v>
      </c>
      <c r="H302" s="5">
        <v>224</v>
      </c>
      <c r="I302" s="6">
        <v>3</v>
      </c>
      <c r="J302" s="6">
        <v>8.4</v>
      </c>
      <c r="K302" s="6">
        <v>14</v>
      </c>
      <c r="L302" s="6">
        <v>13.7</v>
      </c>
      <c r="M302" s="4" t="str">
        <f t="shared" si="12"/>
        <v>OK</v>
      </c>
      <c r="N302" s="7">
        <f t="shared" si="13"/>
        <v>4.145077720207254E-2</v>
      </c>
      <c r="O302" s="7">
        <f>SUMIFS($D$2:D302,$B$2:B302,B302)/SUMIFS($D$2:$D$741,$B$2:$B$741,B302)</f>
        <v>0.74259807549962986</v>
      </c>
      <c r="P302" s="4" t="b">
        <f t="shared" si="14"/>
        <v>1</v>
      </c>
      <c r="Q302" s="4" t="s">
        <v>23</v>
      </c>
      <c r="R302" s="4" t="s">
        <v>289</v>
      </c>
      <c r="S302" s="4" t="s">
        <v>25</v>
      </c>
      <c r="T302" s="4" t="s">
        <v>290</v>
      </c>
    </row>
    <row r="303" spans="1:20" x14ac:dyDescent="0.45">
      <c r="A303" s="4" t="s">
        <v>401</v>
      </c>
      <c r="B303" s="4" t="s">
        <v>394</v>
      </c>
      <c r="C303" s="5">
        <v>1</v>
      </c>
      <c r="D303" s="5">
        <v>218</v>
      </c>
      <c r="E303" s="5">
        <v>107</v>
      </c>
      <c r="F303" s="5">
        <v>5</v>
      </c>
      <c r="G303" s="5">
        <v>0</v>
      </c>
      <c r="H303" s="5">
        <v>213</v>
      </c>
      <c r="I303" s="6">
        <v>1</v>
      </c>
      <c r="J303" s="6">
        <v>10.3</v>
      </c>
      <c r="K303" s="6">
        <v>7</v>
      </c>
      <c r="L303" s="6">
        <v>6.8</v>
      </c>
      <c r="M303" s="4" t="str">
        <f t="shared" si="12"/>
        <v>OK</v>
      </c>
      <c r="N303" s="7">
        <f t="shared" si="13"/>
        <v>4.0340488527017021E-2</v>
      </c>
      <c r="O303" s="7">
        <f>SUMIFS($D$2:D303,$B$2:B303,B303)/SUMIFS($D$2:$D$741,$B$2:$B$741,B303)</f>
        <v>0.78293856402664697</v>
      </c>
      <c r="P303" s="4" t="b">
        <f t="shared" si="14"/>
        <v>1</v>
      </c>
      <c r="Q303" s="4" t="s">
        <v>23</v>
      </c>
      <c r="R303" s="4" t="s">
        <v>289</v>
      </c>
      <c r="S303" s="4" t="s">
        <v>25</v>
      </c>
      <c r="T303" s="4" t="s">
        <v>290</v>
      </c>
    </row>
    <row r="304" spans="1:20" x14ac:dyDescent="0.45">
      <c r="A304" s="4" t="s">
        <v>402</v>
      </c>
      <c r="B304" s="4" t="s">
        <v>394</v>
      </c>
      <c r="C304" s="5">
        <v>1</v>
      </c>
      <c r="D304" s="5">
        <v>211</v>
      </c>
      <c r="E304" s="5">
        <v>91</v>
      </c>
      <c r="F304" s="5">
        <v>1</v>
      </c>
      <c r="G304" s="5">
        <v>0</v>
      </c>
      <c r="H304" s="5">
        <v>210</v>
      </c>
      <c r="I304" s="6">
        <v>3</v>
      </c>
      <c r="J304" s="6">
        <v>4.3</v>
      </c>
      <c r="K304" s="6">
        <v>9</v>
      </c>
      <c r="L304" s="6">
        <v>9.1</v>
      </c>
      <c r="M304" s="4" t="str">
        <f t="shared" si="12"/>
        <v>OK</v>
      </c>
      <c r="N304" s="7">
        <f t="shared" si="13"/>
        <v>3.9045151739452257E-2</v>
      </c>
      <c r="O304" s="7">
        <f>SUMIFS($D$2:D304,$B$2:B304,B304)/SUMIFS($D$2:$D$741,$B$2:$B$741,B304)</f>
        <v>0.82198371576609919</v>
      </c>
      <c r="P304" s="4" t="b">
        <f t="shared" si="14"/>
        <v>1</v>
      </c>
      <c r="Q304" s="4" t="s">
        <v>23</v>
      </c>
      <c r="R304" s="4" t="s">
        <v>289</v>
      </c>
      <c r="S304" s="4" t="s">
        <v>25</v>
      </c>
      <c r="T304" s="4" t="s">
        <v>290</v>
      </c>
    </row>
    <row r="305" spans="1:20" x14ac:dyDescent="0.45">
      <c r="A305" s="4" t="s">
        <v>403</v>
      </c>
      <c r="B305" s="4" t="s">
        <v>394</v>
      </c>
      <c r="C305" s="5">
        <v>1</v>
      </c>
      <c r="D305" s="5">
        <v>189</v>
      </c>
      <c r="E305" s="5">
        <v>61</v>
      </c>
      <c r="F305" s="5">
        <v>3</v>
      </c>
      <c r="G305" s="5">
        <v>0</v>
      </c>
      <c r="H305" s="5">
        <v>186</v>
      </c>
      <c r="I305" s="6">
        <v>1</v>
      </c>
      <c r="J305" s="6">
        <v>3.5</v>
      </c>
      <c r="K305" s="6">
        <v>12</v>
      </c>
      <c r="L305" s="6">
        <v>11.5</v>
      </c>
      <c r="M305" s="4" t="str">
        <f t="shared" si="12"/>
        <v>OK</v>
      </c>
      <c r="N305" s="7">
        <f t="shared" si="13"/>
        <v>3.4974093264248704E-2</v>
      </c>
      <c r="O305" s="7">
        <f>SUMIFS($D$2:D305,$B$2:B305,B305)/SUMIFS($D$2:$D$741,$B$2:$B$741,B305)</f>
        <v>0.85695780903034791</v>
      </c>
      <c r="P305" s="4" t="b">
        <f t="shared" si="14"/>
        <v>1</v>
      </c>
      <c r="Q305" s="4" t="s">
        <v>23</v>
      </c>
      <c r="R305" s="4" t="s">
        <v>289</v>
      </c>
      <c r="S305" s="4" t="s">
        <v>25</v>
      </c>
      <c r="T305" s="4" t="s">
        <v>290</v>
      </c>
    </row>
    <row r="306" spans="1:20" x14ac:dyDescent="0.45">
      <c r="A306" s="4" t="s">
        <v>404</v>
      </c>
      <c r="B306" s="4" t="s">
        <v>394</v>
      </c>
      <c r="C306" s="5">
        <v>1</v>
      </c>
      <c r="D306" s="5">
        <v>152</v>
      </c>
      <c r="E306" s="5">
        <v>0</v>
      </c>
      <c r="F306" s="5">
        <v>0</v>
      </c>
      <c r="G306" s="5">
        <v>0</v>
      </c>
      <c r="H306" s="5">
        <v>152</v>
      </c>
      <c r="I306" s="6">
        <v>6</v>
      </c>
      <c r="J306" s="6">
        <v>8.9</v>
      </c>
      <c r="K306" s="6">
        <v>18</v>
      </c>
      <c r="L306" s="6">
        <v>17.899999999999999</v>
      </c>
      <c r="M306" s="4" t="str">
        <f t="shared" si="12"/>
        <v>OK</v>
      </c>
      <c r="N306" s="7">
        <f t="shared" si="13"/>
        <v>2.8127313101406367E-2</v>
      </c>
      <c r="O306" s="7">
        <f>SUMIFS($D$2:D306,$B$2:B306,B306)/SUMIFS($D$2:$D$741,$B$2:$B$741,B306)</f>
        <v>0.88508512213175428</v>
      </c>
      <c r="P306" s="4" t="b">
        <f t="shared" si="14"/>
        <v>1</v>
      </c>
      <c r="Q306" s="4" t="s">
        <v>23</v>
      </c>
      <c r="R306" s="4" t="s">
        <v>289</v>
      </c>
      <c r="S306" s="4" t="s">
        <v>25</v>
      </c>
      <c r="T306" s="4" t="s">
        <v>290</v>
      </c>
    </row>
    <row r="307" spans="1:20" x14ac:dyDescent="0.45">
      <c r="A307" s="4" t="s">
        <v>405</v>
      </c>
      <c r="B307" s="4" t="s">
        <v>394</v>
      </c>
      <c r="C307" s="5">
        <v>2</v>
      </c>
      <c r="D307" s="5">
        <v>138</v>
      </c>
      <c r="E307" s="5">
        <v>0</v>
      </c>
      <c r="F307" s="5">
        <v>0</v>
      </c>
      <c r="G307" s="5">
        <v>0</v>
      </c>
      <c r="H307" s="5">
        <v>138</v>
      </c>
      <c r="I307" s="6">
        <v>2</v>
      </c>
      <c r="J307" s="6">
        <v>4.0999999999999996</v>
      </c>
      <c r="K307" s="6">
        <v>11</v>
      </c>
      <c r="L307" s="6">
        <v>11</v>
      </c>
      <c r="M307" s="4" t="str">
        <f t="shared" si="12"/>
        <v>OK</v>
      </c>
      <c r="N307" s="7">
        <f t="shared" si="13"/>
        <v>2.5536639526276831E-2</v>
      </c>
      <c r="O307" s="7">
        <f>SUMIFS($D$2:D307,$B$2:B307,B307)/SUMIFS($D$2:$D$741,$B$2:$B$741,B307)</f>
        <v>0.9106217616580311</v>
      </c>
      <c r="P307" s="4" t="b">
        <f t="shared" si="14"/>
        <v>1</v>
      </c>
      <c r="Q307" s="4" t="s">
        <v>23</v>
      </c>
      <c r="R307" s="4" t="s">
        <v>289</v>
      </c>
      <c r="S307" s="4" t="s">
        <v>25</v>
      </c>
      <c r="T307" s="4" t="s">
        <v>290</v>
      </c>
    </row>
    <row r="308" spans="1:20" x14ac:dyDescent="0.45">
      <c r="A308" s="4" t="s">
        <v>406</v>
      </c>
      <c r="B308" s="4" t="s">
        <v>394</v>
      </c>
      <c r="C308" s="5">
        <v>1</v>
      </c>
      <c r="D308" s="5">
        <v>100</v>
      </c>
      <c r="E308" s="5">
        <v>35</v>
      </c>
      <c r="F308" s="5">
        <v>1</v>
      </c>
      <c r="G308" s="5">
        <v>0</v>
      </c>
      <c r="H308" s="5">
        <v>99</v>
      </c>
      <c r="I308" s="6">
        <v>2</v>
      </c>
      <c r="J308" s="6">
        <v>3.1</v>
      </c>
      <c r="K308" s="6">
        <v>7</v>
      </c>
      <c r="L308" s="6">
        <v>7.2</v>
      </c>
      <c r="M308" s="4" t="str">
        <f t="shared" si="12"/>
        <v>OK</v>
      </c>
      <c r="N308" s="7">
        <f t="shared" si="13"/>
        <v>1.8504811250925242E-2</v>
      </c>
      <c r="O308" s="7">
        <f>SUMIFS($D$2:D308,$B$2:B308,B308)/SUMIFS($D$2:$D$741,$B$2:$B$741,B308)</f>
        <v>0.92912657290895628</v>
      </c>
      <c r="P308" s="4" t="b">
        <f t="shared" si="14"/>
        <v>1</v>
      </c>
      <c r="Q308" s="4" t="s">
        <v>23</v>
      </c>
      <c r="R308" s="4" t="s">
        <v>289</v>
      </c>
      <c r="S308" s="4" t="s">
        <v>25</v>
      </c>
      <c r="T308" s="4" t="s">
        <v>290</v>
      </c>
    </row>
    <row r="309" spans="1:20" x14ac:dyDescent="0.45">
      <c r="A309" s="4" t="s">
        <v>407</v>
      </c>
      <c r="B309" s="4" t="s">
        <v>394</v>
      </c>
      <c r="C309" s="5">
        <v>1</v>
      </c>
      <c r="D309" s="5">
        <v>71</v>
      </c>
      <c r="E309" s="5">
        <v>18</v>
      </c>
      <c r="F309" s="5">
        <v>0</v>
      </c>
      <c r="G309" s="5">
        <v>0</v>
      </c>
      <c r="H309" s="5">
        <v>71</v>
      </c>
      <c r="I309" s="6">
        <v>2</v>
      </c>
      <c r="J309" s="6">
        <v>12</v>
      </c>
      <c r="K309" s="6">
        <v>15</v>
      </c>
      <c r="L309" s="6">
        <v>15</v>
      </c>
      <c r="M309" s="4" t="str">
        <f t="shared" si="12"/>
        <v>OK</v>
      </c>
      <c r="N309" s="7">
        <f t="shared" si="13"/>
        <v>1.3138415988156921E-2</v>
      </c>
      <c r="O309" s="7">
        <f>SUMIFS($D$2:D309,$B$2:B309,B309)/SUMIFS($D$2:$D$741,$B$2:$B$741,B309)</f>
        <v>0.9422649888971133</v>
      </c>
      <c r="P309" s="4" t="b">
        <f t="shared" si="14"/>
        <v>1</v>
      </c>
      <c r="Q309" s="4" t="s">
        <v>23</v>
      </c>
      <c r="R309" s="4" t="s">
        <v>289</v>
      </c>
      <c r="S309" s="4" t="s">
        <v>25</v>
      </c>
      <c r="T309" s="4" t="s">
        <v>290</v>
      </c>
    </row>
    <row r="310" spans="1:20" x14ac:dyDescent="0.45">
      <c r="A310" s="4" t="s">
        <v>408</v>
      </c>
      <c r="B310" s="4" t="s">
        <v>394</v>
      </c>
      <c r="C310" s="5">
        <v>1</v>
      </c>
      <c r="D310" s="5">
        <v>53</v>
      </c>
      <c r="E310" s="5">
        <v>0</v>
      </c>
      <c r="F310" s="5">
        <v>0</v>
      </c>
      <c r="G310" s="5">
        <v>0</v>
      </c>
      <c r="H310" s="5">
        <v>53</v>
      </c>
      <c r="I310" s="6">
        <v>6</v>
      </c>
      <c r="J310" s="6">
        <v>10.8</v>
      </c>
      <c r="K310" s="6">
        <v>21</v>
      </c>
      <c r="L310" s="6">
        <v>20.8</v>
      </c>
      <c r="M310" s="4" t="str">
        <f t="shared" si="12"/>
        <v>OK</v>
      </c>
      <c r="N310" s="7">
        <f t="shared" si="13"/>
        <v>9.8075499629903772E-3</v>
      </c>
      <c r="O310" s="7">
        <f>SUMIFS($D$2:D310,$B$2:B310,B310)/SUMIFS($D$2:$D$741,$B$2:$B$741,B310)</f>
        <v>0.95207253886010368</v>
      </c>
      <c r="P310" s="4" t="b">
        <f t="shared" si="14"/>
        <v>1</v>
      </c>
      <c r="Q310" s="4" t="s">
        <v>23</v>
      </c>
      <c r="R310" s="4" t="s">
        <v>289</v>
      </c>
      <c r="S310" s="4" t="s">
        <v>25</v>
      </c>
      <c r="T310" s="4" t="s">
        <v>290</v>
      </c>
    </row>
    <row r="311" spans="1:20" x14ac:dyDescent="0.45">
      <c r="A311" s="4" t="s">
        <v>409</v>
      </c>
      <c r="B311" s="4" t="s">
        <v>394</v>
      </c>
      <c r="C311" s="5">
        <v>1</v>
      </c>
      <c r="D311" s="5">
        <v>45</v>
      </c>
      <c r="E311" s="5">
        <v>18</v>
      </c>
      <c r="F311" s="5">
        <v>0</v>
      </c>
      <c r="G311" s="5">
        <v>0</v>
      </c>
      <c r="H311" s="5">
        <v>45</v>
      </c>
      <c r="I311" s="6">
        <v>1</v>
      </c>
      <c r="J311" s="6">
        <v>9.8000000000000007</v>
      </c>
      <c r="K311" s="6">
        <v>5</v>
      </c>
      <c r="L311" s="6">
        <v>5.2</v>
      </c>
      <c r="M311" s="4" t="str">
        <f t="shared" si="12"/>
        <v>OK</v>
      </c>
      <c r="N311" s="7">
        <f t="shared" si="13"/>
        <v>8.3271650629163588E-3</v>
      </c>
      <c r="O311" s="7">
        <f>SUMIFS($D$2:D311,$B$2:B311,B311)/SUMIFS($D$2:$D$741,$B$2:$B$741,B311)</f>
        <v>0.96039970392301999</v>
      </c>
      <c r="P311" s="4" t="b">
        <f t="shared" si="14"/>
        <v>0</v>
      </c>
      <c r="Q311" s="4" t="s">
        <v>23</v>
      </c>
      <c r="R311" s="4" t="s">
        <v>289</v>
      </c>
      <c r="S311" s="4" t="s">
        <v>25</v>
      </c>
      <c r="T311" s="4" t="s">
        <v>290</v>
      </c>
    </row>
    <row r="312" spans="1:20" x14ac:dyDescent="0.45">
      <c r="A312" s="4" t="s">
        <v>410</v>
      </c>
      <c r="B312" s="4" t="s">
        <v>394</v>
      </c>
      <c r="C312" s="5">
        <v>1</v>
      </c>
      <c r="D312" s="5">
        <v>39</v>
      </c>
      <c r="E312" s="5">
        <v>24</v>
      </c>
      <c r="F312" s="5">
        <v>1</v>
      </c>
      <c r="G312" s="5">
        <v>0</v>
      </c>
      <c r="H312" s="5">
        <v>38</v>
      </c>
      <c r="I312" s="6">
        <v>6</v>
      </c>
      <c r="J312" s="6">
        <v>9.6999999999999993</v>
      </c>
      <c r="K312" s="6">
        <v>16</v>
      </c>
      <c r="L312" s="6">
        <v>16.3</v>
      </c>
      <c r="M312" s="4" t="str">
        <f t="shared" si="12"/>
        <v>OK</v>
      </c>
      <c r="N312" s="7">
        <f t="shared" si="13"/>
        <v>7.2168763878608438E-3</v>
      </c>
      <c r="O312" s="7">
        <f>SUMIFS($D$2:D312,$B$2:B312,B312)/SUMIFS($D$2:$D$741,$B$2:$B$741,B312)</f>
        <v>0.96761658031088082</v>
      </c>
      <c r="P312" s="4" t="b">
        <f t="shared" si="14"/>
        <v>0</v>
      </c>
      <c r="Q312" s="4" t="s">
        <v>23</v>
      </c>
      <c r="R312" s="4" t="s">
        <v>289</v>
      </c>
      <c r="S312" s="4" t="s">
        <v>25</v>
      </c>
      <c r="T312" s="4" t="s">
        <v>290</v>
      </c>
    </row>
    <row r="313" spans="1:20" x14ac:dyDescent="0.45">
      <c r="A313" s="4" t="s">
        <v>411</v>
      </c>
      <c r="B313" s="4" t="s">
        <v>394</v>
      </c>
      <c r="C313" s="5">
        <v>1</v>
      </c>
      <c r="D313" s="5">
        <v>37</v>
      </c>
      <c r="E313" s="5">
        <v>21</v>
      </c>
      <c r="F313" s="5">
        <v>0</v>
      </c>
      <c r="G313" s="5">
        <v>0</v>
      </c>
      <c r="H313" s="5">
        <v>37</v>
      </c>
      <c r="I313" s="6">
        <v>8</v>
      </c>
      <c r="J313" s="6">
        <v>14.6</v>
      </c>
      <c r="K313" s="6">
        <v>38</v>
      </c>
      <c r="L313" s="6">
        <v>38</v>
      </c>
      <c r="M313" s="4" t="str">
        <f t="shared" si="12"/>
        <v>OK</v>
      </c>
      <c r="N313" s="7">
        <f t="shared" si="13"/>
        <v>6.8467801628423388E-3</v>
      </c>
      <c r="O313" s="7">
        <f>SUMIFS($D$2:D313,$B$2:B313,B313)/SUMIFS($D$2:$D$741,$B$2:$B$741,B313)</f>
        <v>0.97446336047372317</v>
      </c>
      <c r="P313" s="4" t="b">
        <f t="shared" si="14"/>
        <v>0</v>
      </c>
      <c r="Q313" s="4" t="s">
        <v>23</v>
      </c>
      <c r="R313" s="4" t="s">
        <v>289</v>
      </c>
      <c r="S313" s="4" t="s">
        <v>25</v>
      </c>
      <c r="T313" s="4" t="s">
        <v>290</v>
      </c>
    </row>
    <row r="314" spans="1:20" x14ac:dyDescent="0.45">
      <c r="A314" s="4" t="s">
        <v>412</v>
      </c>
      <c r="B314" s="4" t="s">
        <v>394</v>
      </c>
      <c r="C314" s="5">
        <v>2</v>
      </c>
      <c r="D314" s="5">
        <v>37</v>
      </c>
      <c r="E314" s="5">
        <v>0</v>
      </c>
      <c r="F314" s="5">
        <v>0</v>
      </c>
      <c r="G314" s="5">
        <v>0</v>
      </c>
      <c r="H314" s="5">
        <v>37</v>
      </c>
      <c r="I314" s="6">
        <v>1</v>
      </c>
      <c r="J314" s="6">
        <v>8.1999999999999993</v>
      </c>
      <c r="K314" s="6">
        <v>8</v>
      </c>
      <c r="L314" s="6">
        <v>7.8</v>
      </c>
      <c r="M314" s="4" t="str">
        <f t="shared" si="12"/>
        <v>OK</v>
      </c>
      <c r="N314" s="7">
        <f t="shared" si="13"/>
        <v>6.8467801628423388E-3</v>
      </c>
      <c r="O314" s="7">
        <f>SUMIFS($D$2:D314,$B$2:B314,B314)/SUMIFS($D$2:$D$741,$B$2:$B$741,B314)</f>
        <v>0.98131014063656552</v>
      </c>
      <c r="P314" s="4" t="b">
        <f t="shared" si="14"/>
        <v>0</v>
      </c>
      <c r="Q314" s="4" t="s">
        <v>23</v>
      </c>
      <c r="R314" s="4" t="s">
        <v>289</v>
      </c>
      <c r="S314" s="4" t="s">
        <v>25</v>
      </c>
      <c r="T314" s="4" t="s">
        <v>290</v>
      </c>
    </row>
    <row r="315" spans="1:20" x14ac:dyDescent="0.45">
      <c r="A315" s="4" t="s">
        <v>413</v>
      </c>
      <c r="B315" s="4" t="s">
        <v>394</v>
      </c>
      <c r="C315" s="5">
        <v>1</v>
      </c>
      <c r="D315" s="5">
        <v>28</v>
      </c>
      <c r="E315" s="5">
        <v>21</v>
      </c>
      <c r="F315" s="5">
        <v>0</v>
      </c>
      <c r="G315" s="5">
        <v>0</v>
      </c>
      <c r="H315" s="5">
        <v>28</v>
      </c>
      <c r="I315" s="6">
        <v>2</v>
      </c>
      <c r="J315" s="6">
        <v>10.8</v>
      </c>
      <c r="K315" s="6">
        <v>24</v>
      </c>
      <c r="L315" s="6">
        <v>24.4</v>
      </c>
      <c r="M315" s="4" t="str">
        <f t="shared" si="12"/>
        <v>OK</v>
      </c>
      <c r="N315" s="7">
        <f t="shared" si="13"/>
        <v>5.1813471502590676E-3</v>
      </c>
      <c r="O315" s="7">
        <f>SUMIFS($D$2:D315,$B$2:B315,B315)/SUMIFS($D$2:$D$741,$B$2:$B$741,B315)</f>
        <v>0.98649148778682461</v>
      </c>
      <c r="P315" s="4" t="b">
        <f t="shared" si="14"/>
        <v>0</v>
      </c>
      <c r="Q315" s="4" t="s">
        <v>23</v>
      </c>
      <c r="R315" s="4" t="s">
        <v>289</v>
      </c>
      <c r="S315" s="4" t="s">
        <v>25</v>
      </c>
      <c r="T315" s="4" t="s">
        <v>290</v>
      </c>
    </row>
    <row r="316" spans="1:20" x14ac:dyDescent="0.45">
      <c r="A316" s="4" t="s">
        <v>414</v>
      </c>
      <c r="B316" s="4" t="s">
        <v>394</v>
      </c>
      <c r="C316" s="5">
        <v>1</v>
      </c>
      <c r="D316" s="5">
        <v>24</v>
      </c>
      <c r="E316" s="5">
        <v>0</v>
      </c>
      <c r="F316" s="5">
        <v>0</v>
      </c>
      <c r="G316" s="5">
        <v>0</v>
      </c>
      <c r="H316" s="5">
        <v>24</v>
      </c>
      <c r="I316" s="6">
        <v>6</v>
      </c>
      <c r="J316" s="6">
        <v>8.5</v>
      </c>
      <c r="K316" s="6">
        <v>21</v>
      </c>
      <c r="L316" s="6">
        <v>20.7</v>
      </c>
      <c r="M316" s="4" t="str">
        <f t="shared" si="12"/>
        <v>OK</v>
      </c>
      <c r="N316" s="7">
        <f t="shared" si="13"/>
        <v>4.4411547002220575E-3</v>
      </c>
      <c r="O316" s="7">
        <f>SUMIFS($D$2:D316,$B$2:B316,B316)/SUMIFS($D$2:$D$741,$B$2:$B$741,B316)</f>
        <v>0.9909326424870466</v>
      </c>
      <c r="P316" s="4" t="b">
        <f t="shared" si="14"/>
        <v>0</v>
      </c>
      <c r="Q316" s="4" t="s">
        <v>23</v>
      </c>
      <c r="R316" s="4" t="s">
        <v>289</v>
      </c>
      <c r="S316" s="4" t="s">
        <v>25</v>
      </c>
      <c r="T316" s="4" t="s">
        <v>290</v>
      </c>
    </row>
    <row r="317" spans="1:20" x14ac:dyDescent="0.45">
      <c r="A317" s="4" t="s">
        <v>415</v>
      </c>
      <c r="B317" s="4" t="s">
        <v>394</v>
      </c>
      <c r="C317" s="5">
        <v>1</v>
      </c>
      <c r="D317" s="5">
        <v>22</v>
      </c>
      <c r="E317" s="5">
        <v>0</v>
      </c>
      <c r="F317" s="5">
        <v>0</v>
      </c>
      <c r="G317" s="5">
        <v>0</v>
      </c>
      <c r="H317" s="5">
        <v>22</v>
      </c>
      <c r="I317" s="6">
        <v>7.5</v>
      </c>
      <c r="J317" s="6">
        <v>11</v>
      </c>
      <c r="K317" s="6">
        <v>28</v>
      </c>
      <c r="L317" s="6">
        <v>27.6</v>
      </c>
      <c r="M317" s="4" t="str">
        <f t="shared" si="12"/>
        <v>OK</v>
      </c>
      <c r="N317" s="7">
        <f t="shared" si="13"/>
        <v>4.0710584752035525E-3</v>
      </c>
      <c r="O317" s="7">
        <f>SUMIFS($D$2:D317,$B$2:B317,B317)/SUMIFS($D$2:$D$741,$B$2:$B$741,B317)</f>
        <v>0.99500370096225021</v>
      </c>
      <c r="P317" s="4" t="b">
        <f t="shared" si="14"/>
        <v>0</v>
      </c>
      <c r="Q317" s="4" t="s">
        <v>23</v>
      </c>
      <c r="R317" s="4" t="s">
        <v>289</v>
      </c>
      <c r="S317" s="4" t="s">
        <v>25</v>
      </c>
      <c r="T317" s="4" t="s">
        <v>290</v>
      </c>
    </row>
    <row r="318" spans="1:20" x14ac:dyDescent="0.45">
      <c r="A318" s="4" t="s">
        <v>416</v>
      </c>
      <c r="B318" s="4" t="s">
        <v>394</v>
      </c>
      <c r="C318" s="5">
        <v>2</v>
      </c>
      <c r="D318" s="5">
        <v>16</v>
      </c>
      <c r="E318" s="5">
        <v>0</v>
      </c>
      <c r="F318" s="5">
        <v>0</v>
      </c>
      <c r="G318" s="5">
        <v>0</v>
      </c>
      <c r="H318" s="5">
        <v>16</v>
      </c>
      <c r="I318" s="6">
        <v>5.5</v>
      </c>
      <c r="J318" s="6">
        <v>9.6</v>
      </c>
      <c r="K318" s="6">
        <v>26</v>
      </c>
      <c r="L318" s="6">
        <v>26</v>
      </c>
      <c r="M318" s="4" t="str">
        <f t="shared" si="12"/>
        <v>OK</v>
      </c>
      <c r="N318" s="7">
        <f t="shared" si="13"/>
        <v>2.9607698001480384E-3</v>
      </c>
      <c r="O318" s="7">
        <f>SUMIFS($D$2:D318,$B$2:B318,B318)/SUMIFS($D$2:$D$741,$B$2:$B$741,B318)</f>
        <v>0.99796447076239825</v>
      </c>
      <c r="P318" s="4" t="b">
        <f t="shared" si="14"/>
        <v>0</v>
      </c>
      <c r="Q318" s="4" t="s">
        <v>23</v>
      </c>
      <c r="R318" s="4" t="s">
        <v>289</v>
      </c>
      <c r="S318" s="4" t="s">
        <v>25</v>
      </c>
      <c r="T318" s="4" t="s">
        <v>290</v>
      </c>
    </row>
    <row r="319" spans="1:20" x14ac:dyDescent="0.45">
      <c r="A319" s="4" t="s">
        <v>417</v>
      </c>
      <c r="B319" s="4" t="s">
        <v>394</v>
      </c>
      <c r="C319" s="5">
        <v>1</v>
      </c>
      <c r="D319" s="5">
        <v>7</v>
      </c>
      <c r="E319" s="5">
        <v>0</v>
      </c>
      <c r="F319" s="5">
        <v>0</v>
      </c>
      <c r="G319" s="5">
        <v>0</v>
      </c>
      <c r="H319" s="5">
        <v>7</v>
      </c>
      <c r="I319" s="6">
        <v>160</v>
      </c>
      <c r="J319" s="6">
        <v>162.9</v>
      </c>
      <c r="K319" s="6">
        <v>355</v>
      </c>
      <c r="L319" s="6">
        <v>354.8</v>
      </c>
      <c r="M319" s="4" t="str">
        <f t="shared" si="12"/>
        <v>OK</v>
      </c>
      <c r="N319" s="7">
        <f t="shared" si="13"/>
        <v>1.2953367875647669E-3</v>
      </c>
      <c r="O319" s="7">
        <f>SUMIFS($D$2:D319,$B$2:B319,B319)/SUMIFS($D$2:$D$741,$B$2:$B$741,B319)</f>
        <v>0.99925980754996302</v>
      </c>
      <c r="P319" s="4" t="b">
        <f t="shared" si="14"/>
        <v>0</v>
      </c>
      <c r="Q319" s="4" t="s">
        <v>23</v>
      </c>
      <c r="R319" s="4" t="s">
        <v>75</v>
      </c>
      <c r="S319" s="4" t="s">
        <v>25</v>
      </c>
      <c r="T319" s="4" t="s">
        <v>76</v>
      </c>
    </row>
    <row r="320" spans="1:20" x14ac:dyDescent="0.45">
      <c r="A320" s="4" t="s">
        <v>418</v>
      </c>
      <c r="B320" s="4" t="s">
        <v>394</v>
      </c>
      <c r="C320" s="5">
        <v>1</v>
      </c>
      <c r="D320" s="5">
        <v>2</v>
      </c>
      <c r="E320" s="5">
        <v>0</v>
      </c>
      <c r="F320" s="5">
        <v>0</v>
      </c>
      <c r="G320" s="5">
        <v>0</v>
      </c>
      <c r="H320" s="5">
        <v>2</v>
      </c>
      <c r="I320" s="6">
        <v>4</v>
      </c>
      <c r="J320" s="6">
        <v>4</v>
      </c>
      <c r="K320" s="6">
        <v>7</v>
      </c>
      <c r="L320" s="6">
        <v>7.2</v>
      </c>
      <c r="M320" s="4" t="str">
        <f t="shared" si="12"/>
        <v>OK</v>
      </c>
      <c r="N320" s="7">
        <f t="shared" si="13"/>
        <v>3.7009622501850479E-4</v>
      </c>
      <c r="O320" s="7">
        <f>SUMIFS($D$2:D320,$B$2:B320,B320)/SUMIFS($D$2:$D$741,$B$2:$B$741,B320)</f>
        <v>0.99962990377498151</v>
      </c>
      <c r="P320" s="4" t="b">
        <f t="shared" si="14"/>
        <v>0</v>
      </c>
      <c r="Q320" s="4" t="s">
        <v>23</v>
      </c>
      <c r="R320" s="4" t="s">
        <v>75</v>
      </c>
      <c r="S320" s="4" t="s">
        <v>25</v>
      </c>
      <c r="T320" s="4" t="s">
        <v>76</v>
      </c>
    </row>
    <row r="321" spans="1:20" x14ac:dyDescent="0.45">
      <c r="A321" s="4" t="s">
        <v>419</v>
      </c>
      <c r="B321" s="4" t="s">
        <v>394</v>
      </c>
      <c r="C321" s="5">
        <v>1</v>
      </c>
      <c r="D321" s="5">
        <v>1</v>
      </c>
      <c r="E321" s="5">
        <v>0</v>
      </c>
      <c r="F321" s="5">
        <v>0</v>
      </c>
      <c r="G321" s="5">
        <v>0</v>
      </c>
      <c r="H321" s="5">
        <v>1</v>
      </c>
      <c r="I321" s="6">
        <v>34</v>
      </c>
      <c r="J321" s="6">
        <v>34</v>
      </c>
      <c r="K321" s="6">
        <v>34</v>
      </c>
      <c r="L321" s="6">
        <v>34</v>
      </c>
      <c r="M321" s="4" t="str">
        <f t="shared" si="12"/>
        <v>OK</v>
      </c>
      <c r="N321" s="7">
        <f t="shared" si="13"/>
        <v>1.850481125092524E-4</v>
      </c>
      <c r="O321" s="7">
        <f>SUMIFS($D$2:D321,$B$2:B321,B321)/SUMIFS($D$2:$D$741,$B$2:$B$741,B321)</f>
        <v>0.9998149518874907</v>
      </c>
      <c r="P321" s="4" t="b">
        <f t="shared" si="14"/>
        <v>0</v>
      </c>
      <c r="Q321" s="4" t="s">
        <v>23</v>
      </c>
      <c r="R321" s="4" t="s">
        <v>289</v>
      </c>
      <c r="S321" s="4" t="s">
        <v>25</v>
      </c>
      <c r="T321" s="4" t="s">
        <v>290</v>
      </c>
    </row>
    <row r="322" spans="1:20" x14ac:dyDescent="0.45">
      <c r="A322" s="4" t="s">
        <v>420</v>
      </c>
      <c r="B322" s="4" t="s">
        <v>394</v>
      </c>
      <c r="C322" s="5">
        <v>1</v>
      </c>
      <c r="D322" s="5">
        <v>1</v>
      </c>
      <c r="E322" s="5">
        <v>0</v>
      </c>
      <c r="F322" s="5">
        <v>0</v>
      </c>
      <c r="G322" s="5">
        <v>0</v>
      </c>
      <c r="H322" s="5">
        <v>1</v>
      </c>
      <c r="I322" s="6">
        <v>7</v>
      </c>
      <c r="J322" s="6">
        <v>7</v>
      </c>
      <c r="K322" s="6">
        <v>7</v>
      </c>
      <c r="L322" s="6">
        <v>7</v>
      </c>
      <c r="M322" s="4" t="str">
        <f t="shared" ref="M322:M385" si="15">IF(AND(K322="",L322=""),"No closed tickets",IF(K322="","MISSING in catalog",IF(L322="","No valid closed tickets",IF(AND(ABS(K322-L322)&gt;=$W$3,ABS(K322-L322)&gt;=$W$4*MAX(L322,1)),"FAR OFF","OK"))))</f>
        <v>OK</v>
      </c>
      <c r="N322" s="7">
        <f t="shared" ref="N322:N385" si="16">D322/SUMIFS($D$2:$D$741,$B$2:$B$741,B322)</f>
        <v>1.850481125092524E-4</v>
      </c>
      <c r="O322" s="7">
        <f>SUMIFS($D$2:D322,$B$2:B322,B322)/SUMIFS($D$2:$D$741,$B$2:$B$741,B322)</f>
        <v>1</v>
      </c>
      <c r="P322" s="4" t="b">
        <f t="shared" ref="P322:P385" si="17">O322-N322&lt;$W$2</f>
        <v>0</v>
      </c>
      <c r="Q322" s="4" t="s">
        <v>23</v>
      </c>
      <c r="R322" s="4" t="s">
        <v>289</v>
      </c>
      <c r="S322" s="4" t="s">
        <v>25</v>
      </c>
      <c r="T322" s="4" t="s">
        <v>290</v>
      </c>
    </row>
    <row r="323" spans="1:20" x14ac:dyDescent="0.45">
      <c r="A323" s="9" t="s">
        <v>421</v>
      </c>
      <c r="B323" s="9" t="s">
        <v>422</v>
      </c>
      <c r="C323" s="10">
        <v>2</v>
      </c>
      <c r="D323" s="10">
        <v>2006</v>
      </c>
      <c r="E323" s="10">
        <v>442</v>
      </c>
      <c r="F323" s="10">
        <v>29</v>
      </c>
      <c r="G323" s="10">
        <v>15</v>
      </c>
      <c r="H323" s="10">
        <v>1977</v>
      </c>
      <c r="I323" s="11">
        <v>3</v>
      </c>
      <c r="J323" s="11">
        <v>18.2</v>
      </c>
      <c r="K323" s="11">
        <v>24</v>
      </c>
      <c r="L323" s="11">
        <v>24</v>
      </c>
      <c r="M323" s="9" t="str">
        <f t="shared" si="15"/>
        <v>OK</v>
      </c>
      <c r="N323" s="12">
        <f t="shared" si="16"/>
        <v>0.62785602503912363</v>
      </c>
      <c r="O323" s="12">
        <f>SUMIFS($D$2:D323,$B$2:B323,B323)/SUMIFS($D$2:$D$741,$B$2:$B$741,B323)</f>
        <v>0.62785602503912363</v>
      </c>
      <c r="P323" s="9" t="b">
        <f t="shared" si="17"/>
        <v>1</v>
      </c>
      <c r="Q323" s="9" t="s">
        <v>192</v>
      </c>
      <c r="R323" s="9" t="s">
        <v>345</v>
      </c>
      <c r="S323" s="9" t="s">
        <v>109</v>
      </c>
      <c r="T323" s="9" t="s">
        <v>423</v>
      </c>
    </row>
    <row r="324" spans="1:20" x14ac:dyDescent="0.45">
      <c r="A324" s="4" t="s">
        <v>424</v>
      </c>
      <c r="B324" s="4" t="s">
        <v>422</v>
      </c>
      <c r="C324" s="5">
        <v>2</v>
      </c>
      <c r="D324" s="5">
        <v>559</v>
      </c>
      <c r="E324" s="5">
        <v>84</v>
      </c>
      <c r="F324" s="5">
        <v>1</v>
      </c>
      <c r="G324" s="5">
        <v>0</v>
      </c>
      <c r="H324" s="5">
        <v>558</v>
      </c>
      <c r="I324" s="6">
        <v>3</v>
      </c>
      <c r="J324" s="6">
        <v>5.4</v>
      </c>
      <c r="K324" s="6">
        <v>7</v>
      </c>
      <c r="L324" s="6">
        <v>7</v>
      </c>
      <c r="M324" s="4" t="str">
        <f t="shared" si="15"/>
        <v>OK</v>
      </c>
      <c r="N324" s="7">
        <f t="shared" si="16"/>
        <v>0.17496087636932708</v>
      </c>
      <c r="O324" s="7">
        <f>SUMIFS($D$2:D324,$B$2:B324,B324)/SUMIFS($D$2:$D$741,$B$2:$B$741,B324)</f>
        <v>0.80281690140845074</v>
      </c>
      <c r="P324" s="4" t="b">
        <f t="shared" si="17"/>
        <v>1</v>
      </c>
      <c r="Q324" s="4" t="s">
        <v>23</v>
      </c>
      <c r="R324" s="4" t="s">
        <v>289</v>
      </c>
      <c r="S324" s="4" t="s">
        <v>25</v>
      </c>
      <c r="T324" s="4" t="s">
        <v>290</v>
      </c>
    </row>
    <row r="325" spans="1:20" x14ac:dyDescent="0.45">
      <c r="A325" s="4" t="s">
        <v>425</v>
      </c>
      <c r="B325" s="4" t="s">
        <v>422</v>
      </c>
      <c r="C325" s="5">
        <v>2</v>
      </c>
      <c r="D325" s="5">
        <v>482</v>
      </c>
      <c r="E325" s="5">
        <v>76</v>
      </c>
      <c r="F325" s="5">
        <v>0</v>
      </c>
      <c r="G325" s="5">
        <v>0</v>
      </c>
      <c r="H325" s="5">
        <v>482</v>
      </c>
      <c r="I325" s="6">
        <v>3</v>
      </c>
      <c r="J325" s="6">
        <v>7.9</v>
      </c>
      <c r="K325" s="6">
        <v>8</v>
      </c>
      <c r="L325" s="6">
        <v>8</v>
      </c>
      <c r="M325" s="4" t="str">
        <f t="shared" si="15"/>
        <v>OK</v>
      </c>
      <c r="N325" s="7">
        <f t="shared" si="16"/>
        <v>0.15086071987480437</v>
      </c>
      <c r="O325" s="7">
        <f>SUMIFS($D$2:D325,$B$2:B325,B325)/SUMIFS($D$2:$D$741,$B$2:$B$741,B325)</f>
        <v>0.95367762128325506</v>
      </c>
      <c r="P325" s="4" t="b">
        <f t="shared" si="17"/>
        <v>1</v>
      </c>
      <c r="Q325" s="4" t="s">
        <v>23</v>
      </c>
      <c r="R325" s="4" t="s">
        <v>289</v>
      </c>
      <c r="S325" s="4" t="s">
        <v>25</v>
      </c>
      <c r="T325" s="4" t="s">
        <v>290</v>
      </c>
    </row>
    <row r="326" spans="1:20" x14ac:dyDescent="0.45">
      <c r="A326" s="4" t="s">
        <v>426</v>
      </c>
      <c r="B326" s="4" t="s">
        <v>422</v>
      </c>
      <c r="C326" s="5">
        <v>2</v>
      </c>
      <c r="D326" s="5">
        <v>88</v>
      </c>
      <c r="E326" s="5">
        <v>13</v>
      </c>
      <c r="F326" s="5">
        <v>0</v>
      </c>
      <c r="G326" s="5">
        <v>0</v>
      </c>
      <c r="H326" s="5">
        <v>88</v>
      </c>
      <c r="I326" s="6">
        <v>3</v>
      </c>
      <c r="J326" s="6">
        <v>6</v>
      </c>
      <c r="K326" s="6">
        <v>11</v>
      </c>
      <c r="L326" s="6">
        <v>11</v>
      </c>
      <c r="M326" s="4" t="str">
        <f t="shared" si="15"/>
        <v>OK</v>
      </c>
      <c r="N326" s="7">
        <f t="shared" si="16"/>
        <v>2.7543035993740219E-2</v>
      </c>
      <c r="O326" s="7">
        <f>SUMIFS($D$2:D326,$B$2:B326,B326)/SUMIFS($D$2:$D$741,$B$2:$B$741,B326)</f>
        <v>0.98122065727699526</v>
      </c>
      <c r="P326" s="4" t="b">
        <f t="shared" si="17"/>
        <v>0</v>
      </c>
      <c r="Q326" s="4" t="s">
        <v>23</v>
      </c>
      <c r="R326" s="4" t="s">
        <v>289</v>
      </c>
      <c r="S326" s="4" t="s">
        <v>25</v>
      </c>
      <c r="T326" s="4" t="s">
        <v>290</v>
      </c>
    </row>
    <row r="327" spans="1:20" x14ac:dyDescent="0.45">
      <c r="A327" s="4" t="s">
        <v>427</v>
      </c>
      <c r="B327" s="4" t="s">
        <v>422</v>
      </c>
      <c r="C327" s="5">
        <v>2</v>
      </c>
      <c r="D327" s="5">
        <v>60</v>
      </c>
      <c r="E327" s="5">
        <v>13</v>
      </c>
      <c r="F327" s="5">
        <v>0</v>
      </c>
      <c r="G327" s="5">
        <v>0</v>
      </c>
      <c r="H327" s="5">
        <v>60</v>
      </c>
      <c r="I327" s="6">
        <v>3</v>
      </c>
      <c r="J327" s="6">
        <v>3.7</v>
      </c>
      <c r="K327" s="6">
        <v>7</v>
      </c>
      <c r="L327" s="6">
        <v>7.1</v>
      </c>
      <c r="M327" s="4" t="str">
        <f t="shared" si="15"/>
        <v>OK</v>
      </c>
      <c r="N327" s="7">
        <f t="shared" si="16"/>
        <v>1.8779342723004695E-2</v>
      </c>
      <c r="O327" s="7">
        <f>SUMIFS($D$2:D327,$B$2:B327,B327)/SUMIFS($D$2:$D$741,$B$2:$B$741,B327)</f>
        <v>1</v>
      </c>
      <c r="P327" s="4" t="b">
        <f t="shared" si="17"/>
        <v>0</v>
      </c>
      <c r="Q327" s="4" t="s">
        <v>23</v>
      </c>
      <c r="R327" s="4" t="s">
        <v>289</v>
      </c>
      <c r="S327" s="4" t="s">
        <v>25</v>
      </c>
      <c r="T327" s="4" t="s">
        <v>290</v>
      </c>
    </row>
    <row r="328" spans="1:20" x14ac:dyDescent="0.45">
      <c r="A328" s="9" t="s">
        <v>428</v>
      </c>
      <c r="B328" s="9" t="s">
        <v>429</v>
      </c>
      <c r="C328" s="10">
        <v>1</v>
      </c>
      <c r="D328" s="10">
        <v>1304</v>
      </c>
      <c r="E328" s="10">
        <v>480</v>
      </c>
      <c r="F328" s="10">
        <v>15</v>
      </c>
      <c r="G328" s="10">
        <v>2</v>
      </c>
      <c r="H328" s="10">
        <v>1289</v>
      </c>
      <c r="I328" s="11">
        <v>2</v>
      </c>
      <c r="J328" s="11">
        <v>7</v>
      </c>
      <c r="K328" s="11">
        <v>19</v>
      </c>
      <c r="L328" s="11">
        <v>19.2</v>
      </c>
      <c r="M328" s="9" t="str">
        <f t="shared" si="15"/>
        <v>OK</v>
      </c>
      <c r="N328" s="12">
        <f t="shared" si="16"/>
        <v>0.70869565217391306</v>
      </c>
      <c r="O328" s="12">
        <f>SUMIFS($D$2:D328,$B$2:B328,B328)/SUMIFS($D$2:$D$741,$B$2:$B$741,B328)</f>
        <v>0.70869565217391306</v>
      </c>
      <c r="P328" s="9" t="b">
        <f t="shared" si="17"/>
        <v>1</v>
      </c>
      <c r="Q328" s="9" t="s">
        <v>23</v>
      </c>
      <c r="R328" s="9" t="s">
        <v>289</v>
      </c>
      <c r="S328" s="9" t="s">
        <v>25</v>
      </c>
      <c r="T328" s="9" t="s">
        <v>290</v>
      </c>
    </row>
    <row r="329" spans="1:20" x14ac:dyDescent="0.45">
      <c r="A329" s="4" t="s">
        <v>430</v>
      </c>
      <c r="B329" s="4" t="s">
        <v>429</v>
      </c>
      <c r="C329" s="5">
        <v>2</v>
      </c>
      <c r="D329" s="5">
        <v>265</v>
      </c>
      <c r="E329" s="5">
        <v>0</v>
      </c>
      <c r="F329" s="5">
        <v>0</v>
      </c>
      <c r="G329" s="5">
        <v>0</v>
      </c>
      <c r="H329" s="5">
        <v>265</v>
      </c>
      <c r="I329" s="6">
        <v>3</v>
      </c>
      <c r="J329" s="6">
        <v>6.1</v>
      </c>
      <c r="K329" s="6">
        <v>13</v>
      </c>
      <c r="L329" s="6">
        <v>13</v>
      </c>
      <c r="M329" s="4" t="str">
        <f t="shared" si="15"/>
        <v>OK</v>
      </c>
      <c r="N329" s="7">
        <f t="shared" si="16"/>
        <v>0.14402173913043478</v>
      </c>
      <c r="O329" s="7">
        <f>SUMIFS($D$2:D329,$B$2:B329,B329)/SUMIFS($D$2:$D$741,$B$2:$B$741,B329)</f>
        <v>0.85271739130434787</v>
      </c>
      <c r="P329" s="4" t="b">
        <f t="shared" si="17"/>
        <v>1</v>
      </c>
      <c r="Q329" s="4" t="s">
        <v>23</v>
      </c>
      <c r="R329" s="4" t="s">
        <v>289</v>
      </c>
      <c r="S329" s="4" t="s">
        <v>25</v>
      </c>
      <c r="T329" s="4" t="s">
        <v>290</v>
      </c>
    </row>
    <row r="330" spans="1:20" x14ac:dyDescent="0.45">
      <c r="A330" s="4" t="s">
        <v>431</v>
      </c>
      <c r="B330" s="4" t="s">
        <v>429</v>
      </c>
      <c r="C330" s="5">
        <v>1</v>
      </c>
      <c r="D330" s="5">
        <v>185</v>
      </c>
      <c r="E330" s="5">
        <v>23</v>
      </c>
      <c r="F330" s="5">
        <v>0</v>
      </c>
      <c r="G330" s="5">
        <v>0</v>
      </c>
      <c r="H330" s="5">
        <v>185</v>
      </c>
      <c r="I330" s="6">
        <v>6</v>
      </c>
      <c r="J330" s="6">
        <v>20</v>
      </c>
      <c r="K330" s="6">
        <v>21</v>
      </c>
      <c r="L330" s="6">
        <v>21</v>
      </c>
      <c r="M330" s="4" t="str">
        <f t="shared" si="15"/>
        <v>OK</v>
      </c>
      <c r="N330" s="7">
        <f t="shared" si="16"/>
        <v>0.10054347826086957</v>
      </c>
      <c r="O330" s="7">
        <f>SUMIFS($D$2:D330,$B$2:B330,B330)/SUMIFS($D$2:$D$741,$B$2:$B$741,B330)</f>
        <v>0.95326086956521738</v>
      </c>
      <c r="P330" s="4" t="b">
        <f t="shared" si="17"/>
        <v>1</v>
      </c>
      <c r="Q330" s="4" t="s">
        <v>23</v>
      </c>
      <c r="R330" s="4" t="s">
        <v>289</v>
      </c>
      <c r="S330" s="4" t="s">
        <v>25</v>
      </c>
      <c r="T330" s="4" t="s">
        <v>290</v>
      </c>
    </row>
    <row r="331" spans="1:20" x14ac:dyDescent="0.45">
      <c r="A331" s="4" t="s">
        <v>432</v>
      </c>
      <c r="B331" s="4" t="s">
        <v>429</v>
      </c>
      <c r="C331" s="5">
        <v>1</v>
      </c>
      <c r="D331" s="5">
        <v>86</v>
      </c>
      <c r="E331" s="5">
        <v>0</v>
      </c>
      <c r="F331" s="5">
        <v>0</v>
      </c>
      <c r="G331" s="5">
        <v>0</v>
      </c>
      <c r="H331" s="5">
        <v>86</v>
      </c>
      <c r="I331" s="6">
        <v>2</v>
      </c>
      <c r="J331" s="6">
        <v>12.5</v>
      </c>
      <c r="K331" s="6">
        <v>18</v>
      </c>
      <c r="L331" s="6">
        <v>18.5</v>
      </c>
      <c r="M331" s="4" t="str">
        <f t="shared" si="15"/>
        <v>OK</v>
      </c>
      <c r="N331" s="7">
        <f t="shared" si="16"/>
        <v>4.6739130434782609E-2</v>
      </c>
      <c r="O331" s="7">
        <f>SUMIFS($D$2:D331,$B$2:B331,B331)/SUMIFS($D$2:$D$741,$B$2:$B$741,B331)</f>
        <v>1</v>
      </c>
      <c r="P331" s="4" t="b">
        <f t="shared" si="17"/>
        <v>0</v>
      </c>
      <c r="Q331" s="4" t="s">
        <v>23</v>
      </c>
      <c r="R331" s="4" t="s">
        <v>100</v>
      </c>
      <c r="S331" s="4" t="s">
        <v>25</v>
      </c>
      <c r="T331" s="4" t="s">
        <v>101</v>
      </c>
    </row>
    <row r="332" spans="1:20" x14ac:dyDescent="0.45">
      <c r="A332" s="9" t="s">
        <v>433</v>
      </c>
      <c r="B332" s="9" t="s">
        <v>434</v>
      </c>
      <c r="C332" s="10">
        <v>1</v>
      </c>
      <c r="D332" s="10">
        <v>38</v>
      </c>
      <c r="E332" s="10">
        <v>19</v>
      </c>
      <c r="F332" s="10">
        <v>0</v>
      </c>
      <c r="G332" s="10">
        <v>0</v>
      </c>
      <c r="H332" s="10">
        <v>38</v>
      </c>
      <c r="I332" s="11">
        <v>0</v>
      </c>
      <c r="J332" s="11">
        <v>9.4</v>
      </c>
      <c r="K332" s="11">
        <v>2</v>
      </c>
      <c r="L332" s="11">
        <v>2</v>
      </c>
      <c r="M332" s="9" t="str">
        <f t="shared" si="15"/>
        <v>OK</v>
      </c>
      <c r="N332" s="12">
        <f t="shared" si="16"/>
        <v>1</v>
      </c>
      <c r="O332" s="12">
        <f>SUMIFS($D$2:D332,$B$2:B332,B332)/SUMIFS($D$2:$D$741,$B$2:$B$741,B332)</f>
        <v>1</v>
      </c>
      <c r="P332" s="9" t="b">
        <f t="shared" si="17"/>
        <v>1</v>
      </c>
      <c r="Q332" s="9" t="s">
        <v>23</v>
      </c>
      <c r="R332" s="9" t="s">
        <v>30</v>
      </c>
      <c r="S332" s="9" t="s">
        <v>25</v>
      </c>
      <c r="T332" s="9" t="s">
        <v>31</v>
      </c>
    </row>
    <row r="333" spans="1:20" x14ac:dyDescent="0.45">
      <c r="A333" s="9" t="s">
        <v>435</v>
      </c>
      <c r="B333" s="9" t="s">
        <v>436</v>
      </c>
      <c r="C333" s="10">
        <v>1</v>
      </c>
      <c r="D333" s="10">
        <v>378</v>
      </c>
      <c r="E333" s="10">
        <v>28</v>
      </c>
      <c r="F333" s="10">
        <v>0</v>
      </c>
      <c r="G333" s="10">
        <v>0</v>
      </c>
      <c r="H333" s="10">
        <v>378</v>
      </c>
      <c r="I333" s="11">
        <v>4</v>
      </c>
      <c r="J333" s="11">
        <v>5.9</v>
      </c>
      <c r="K333" s="11">
        <v>11</v>
      </c>
      <c r="L333" s="11">
        <v>11.3</v>
      </c>
      <c r="M333" s="9" t="str">
        <f t="shared" si="15"/>
        <v>OK</v>
      </c>
      <c r="N333" s="12">
        <f t="shared" si="16"/>
        <v>0.6737967914438503</v>
      </c>
      <c r="O333" s="12">
        <f>SUMIFS($D$2:D333,$B$2:B333,B333)/SUMIFS($D$2:$D$741,$B$2:$B$741,B333)</f>
        <v>0.6737967914438503</v>
      </c>
      <c r="P333" s="9" t="b">
        <f t="shared" si="17"/>
        <v>1</v>
      </c>
      <c r="Q333" s="9" t="s">
        <v>23</v>
      </c>
      <c r="R333" s="9" t="s">
        <v>30</v>
      </c>
      <c r="S333" s="9" t="s">
        <v>25</v>
      </c>
      <c r="T333" s="9" t="s">
        <v>31</v>
      </c>
    </row>
    <row r="334" spans="1:20" x14ac:dyDescent="0.45">
      <c r="A334" s="4" t="s">
        <v>437</v>
      </c>
      <c r="B334" s="4" t="s">
        <v>436</v>
      </c>
      <c r="C334" s="5">
        <v>2</v>
      </c>
      <c r="D334" s="5">
        <v>50</v>
      </c>
      <c r="E334" s="5">
        <v>0</v>
      </c>
      <c r="F334" s="5">
        <v>0</v>
      </c>
      <c r="G334" s="5">
        <v>0</v>
      </c>
      <c r="H334" s="5">
        <v>50</v>
      </c>
      <c r="I334" s="6">
        <v>2</v>
      </c>
      <c r="J334" s="6">
        <v>3.3</v>
      </c>
      <c r="K334" s="6">
        <v>6</v>
      </c>
      <c r="L334" s="6">
        <v>6</v>
      </c>
      <c r="M334" s="4" t="str">
        <f t="shared" si="15"/>
        <v>OK</v>
      </c>
      <c r="N334" s="7">
        <f t="shared" si="16"/>
        <v>8.9126559714795009E-2</v>
      </c>
      <c r="O334" s="7">
        <f>SUMIFS($D$2:D334,$B$2:B334,B334)/SUMIFS($D$2:$D$741,$B$2:$B$741,B334)</f>
        <v>0.76292335115864529</v>
      </c>
      <c r="P334" s="4" t="b">
        <f t="shared" si="17"/>
        <v>1</v>
      </c>
      <c r="Q334" s="4" t="s">
        <v>23</v>
      </c>
      <c r="R334" s="4" t="s">
        <v>75</v>
      </c>
      <c r="S334" s="4" t="s">
        <v>25</v>
      </c>
      <c r="T334" s="4" t="s">
        <v>76</v>
      </c>
    </row>
    <row r="335" spans="1:20" x14ac:dyDescent="0.45">
      <c r="A335" s="4" t="s">
        <v>438</v>
      </c>
      <c r="B335" s="4" t="s">
        <v>436</v>
      </c>
      <c r="C335" s="5">
        <v>2</v>
      </c>
      <c r="D335" s="5">
        <v>37</v>
      </c>
      <c r="E335" s="5">
        <v>0</v>
      </c>
      <c r="F335" s="5">
        <v>0</v>
      </c>
      <c r="G335" s="5">
        <v>0</v>
      </c>
      <c r="H335" s="5">
        <v>37</v>
      </c>
      <c r="I335" s="6">
        <v>3</v>
      </c>
      <c r="J335" s="6">
        <v>4.2</v>
      </c>
      <c r="K335" s="6">
        <v>9</v>
      </c>
      <c r="L335" s="6">
        <v>9.4</v>
      </c>
      <c r="M335" s="4" t="str">
        <f t="shared" si="15"/>
        <v>OK</v>
      </c>
      <c r="N335" s="7">
        <f t="shared" si="16"/>
        <v>6.5953654188948302E-2</v>
      </c>
      <c r="O335" s="7">
        <f>SUMIFS($D$2:D335,$B$2:B335,B335)/SUMIFS($D$2:$D$741,$B$2:$B$741,B335)</f>
        <v>0.82887700534759357</v>
      </c>
      <c r="P335" s="4" t="b">
        <f t="shared" si="17"/>
        <v>1</v>
      </c>
      <c r="Q335" s="4" t="s">
        <v>23</v>
      </c>
      <c r="R335" s="4" t="s">
        <v>30</v>
      </c>
      <c r="S335" s="4" t="s">
        <v>25</v>
      </c>
      <c r="T335" s="4" t="s">
        <v>31</v>
      </c>
    </row>
    <row r="336" spans="1:20" x14ac:dyDescent="0.45">
      <c r="A336" s="4" t="s">
        <v>439</v>
      </c>
      <c r="B336" s="4" t="s">
        <v>436</v>
      </c>
      <c r="C336" s="5">
        <v>1</v>
      </c>
      <c r="D336" s="5">
        <v>36</v>
      </c>
      <c r="E336" s="5">
        <v>13</v>
      </c>
      <c r="F336" s="5">
        <v>0</v>
      </c>
      <c r="G336" s="5">
        <v>0</v>
      </c>
      <c r="H336" s="5">
        <v>36</v>
      </c>
      <c r="I336" s="6">
        <v>2</v>
      </c>
      <c r="J336" s="6">
        <v>3.2</v>
      </c>
      <c r="K336" s="6">
        <v>6</v>
      </c>
      <c r="L336" s="6">
        <v>6</v>
      </c>
      <c r="M336" s="4" t="str">
        <f t="shared" si="15"/>
        <v>OK</v>
      </c>
      <c r="N336" s="7">
        <f t="shared" si="16"/>
        <v>6.4171122994652413E-2</v>
      </c>
      <c r="O336" s="7">
        <f>SUMIFS($D$2:D336,$B$2:B336,B336)/SUMIFS($D$2:$D$741,$B$2:$B$741,B336)</f>
        <v>0.89304812834224601</v>
      </c>
      <c r="P336" s="4" t="b">
        <f t="shared" si="17"/>
        <v>1</v>
      </c>
      <c r="Q336" s="4" t="s">
        <v>23</v>
      </c>
      <c r="R336" s="4" t="s">
        <v>75</v>
      </c>
      <c r="S336" s="4" t="s">
        <v>25</v>
      </c>
      <c r="T336" s="4" t="s">
        <v>76</v>
      </c>
    </row>
    <row r="337" spans="1:20" x14ac:dyDescent="0.45">
      <c r="A337" s="4" t="s">
        <v>440</v>
      </c>
      <c r="B337" s="4" t="s">
        <v>436</v>
      </c>
      <c r="C337" s="5">
        <v>2</v>
      </c>
      <c r="D337" s="5">
        <v>29</v>
      </c>
      <c r="E337" s="5">
        <v>0</v>
      </c>
      <c r="F337" s="5">
        <v>0</v>
      </c>
      <c r="G337" s="5">
        <v>0</v>
      </c>
      <c r="H337" s="5">
        <v>29</v>
      </c>
      <c r="I337" s="6">
        <v>28</v>
      </c>
      <c r="J337" s="6">
        <v>47.4</v>
      </c>
      <c r="K337" s="6">
        <v>105</v>
      </c>
      <c r="L337" s="6">
        <v>104.6</v>
      </c>
      <c r="M337" s="4" t="str">
        <f t="shared" si="15"/>
        <v>OK</v>
      </c>
      <c r="N337" s="7">
        <f t="shared" si="16"/>
        <v>5.1693404634581108E-2</v>
      </c>
      <c r="O337" s="7">
        <f>SUMIFS($D$2:D337,$B$2:B337,B337)/SUMIFS($D$2:$D$741,$B$2:$B$741,B337)</f>
        <v>0.94474153297682706</v>
      </c>
      <c r="P337" s="4" t="b">
        <f t="shared" si="17"/>
        <v>1</v>
      </c>
      <c r="Q337" s="4" t="s">
        <v>23</v>
      </c>
      <c r="R337" s="4" t="s">
        <v>105</v>
      </c>
      <c r="S337" s="4" t="s">
        <v>25</v>
      </c>
      <c r="T337" s="4" t="s">
        <v>106</v>
      </c>
    </row>
    <row r="338" spans="1:20" x14ac:dyDescent="0.45">
      <c r="A338" s="4" t="s">
        <v>441</v>
      </c>
      <c r="B338" s="4" t="s">
        <v>436</v>
      </c>
      <c r="C338" s="5">
        <v>1</v>
      </c>
      <c r="D338" s="5">
        <v>24</v>
      </c>
      <c r="E338" s="5">
        <v>14</v>
      </c>
      <c r="F338" s="5">
        <v>3</v>
      </c>
      <c r="G338" s="5">
        <v>0</v>
      </c>
      <c r="H338" s="5">
        <v>21</v>
      </c>
      <c r="I338" s="6">
        <v>17</v>
      </c>
      <c r="J338" s="6">
        <v>40.9</v>
      </c>
      <c r="K338" s="6">
        <v>94</v>
      </c>
      <c r="L338" s="6">
        <v>94</v>
      </c>
      <c r="M338" s="4" t="str">
        <f t="shared" si="15"/>
        <v>OK</v>
      </c>
      <c r="N338" s="7">
        <f t="shared" si="16"/>
        <v>4.2780748663101602E-2</v>
      </c>
      <c r="O338" s="7">
        <f>SUMIFS($D$2:D338,$B$2:B338,B338)/SUMIFS($D$2:$D$741,$B$2:$B$741,B338)</f>
        <v>0.98752228163992872</v>
      </c>
      <c r="P338" s="4" t="b">
        <f t="shared" si="17"/>
        <v>1</v>
      </c>
      <c r="Q338" s="4" t="s">
        <v>23</v>
      </c>
      <c r="R338" s="4" t="s">
        <v>105</v>
      </c>
      <c r="S338" s="4" t="s">
        <v>25</v>
      </c>
      <c r="T338" s="4" t="s">
        <v>106</v>
      </c>
    </row>
    <row r="339" spans="1:20" x14ac:dyDescent="0.45">
      <c r="A339" s="4" t="s">
        <v>442</v>
      </c>
      <c r="B339" s="4" t="s">
        <v>436</v>
      </c>
      <c r="C339" s="5">
        <v>2</v>
      </c>
      <c r="D339" s="5">
        <v>7</v>
      </c>
      <c r="E339" s="5">
        <v>0</v>
      </c>
      <c r="F339" s="5">
        <v>0</v>
      </c>
      <c r="G339" s="5">
        <v>0</v>
      </c>
      <c r="H339" s="5">
        <v>7</v>
      </c>
      <c r="I339" s="6">
        <v>6</v>
      </c>
      <c r="J339" s="6">
        <v>24</v>
      </c>
      <c r="K339" s="6">
        <v>67</v>
      </c>
      <c r="L339" s="6">
        <v>66.599999999999994</v>
      </c>
      <c r="M339" s="4" t="str">
        <f t="shared" si="15"/>
        <v>OK</v>
      </c>
      <c r="N339" s="7">
        <f t="shared" si="16"/>
        <v>1.2477718360071301E-2</v>
      </c>
      <c r="O339" s="7">
        <f>SUMIFS($D$2:D339,$B$2:B339,B339)/SUMIFS($D$2:$D$741,$B$2:$B$741,B339)</f>
        <v>1</v>
      </c>
      <c r="P339" s="4" t="b">
        <f t="shared" si="17"/>
        <v>0</v>
      </c>
      <c r="Q339" s="4" t="s">
        <v>23</v>
      </c>
      <c r="R339" s="4" t="s">
        <v>30</v>
      </c>
      <c r="S339" s="4" t="s">
        <v>25</v>
      </c>
      <c r="T339" s="4" t="s">
        <v>31</v>
      </c>
    </row>
    <row r="340" spans="1:20" x14ac:dyDescent="0.45">
      <c r="A340" s="9" t="s">
        <v>443</v>
      </c>
      <c r="B340" s="9" t="s">
        <v>444</v>
      </c>
      <c r="C340" s="10">
        <v>2</v>
      </c>
      <c r="D340" s="10">
        <v>25</v>
      </c>
      <c r="E340" s="10">
        <v>0</v>
      </c>
      <c r="F340" s="10">
        <v>0</v>
      </c>
      <c r="G340" s="10">
        <v>0</v>
      </c>
      <c r="H340" s="10">
        <v>25</v>
      </c>
      <c r="I340" s="11">
        <v>0</v>
      </c>
      <c r="J340" s="11">
        <v>0</v>
      </c>
      <c r="K340" s="11">
        <v>0</v>
      </c>
      <c r="L340" s="11">
        <v>0</v>
      </c>
      <c r="M340" s="9" t="str">
        <f t="shared" si="15"/>
        <v>OK</v>
      </c>
      <c r="N340" s="12">
        <f t="shared" si="16"/>
        <v>1</v>
      </c>
      <c r="O340" s="12">
        <f>SUMIFS($D$2:D340,$B$2:B340,B340)/SUMIFS($D$2:$D$741,$B$2:$B$741,B340)</f>
        <v>1</v>
      </c>
      <c r="P340" s="9" t="b">
        <f t="shared" si="17"/>
        <v>1</v>
      </c>
      <c r="Q340" s="9" t="s">
        <v>23</v>
      </c>
      <c r="R340" s="9" t="s">
        <v>75</v>
      </c>
      <c r="S340" s="9" t="s">
        <v>25</v>
      </c>
      <c r="T340" s="9" t="s">
        <v>76</v>
      </c>
    </row>
    <row r="341" spans="1:20" x14ac:dyDescent="0.45">
      <c r="A341" s="9" t="s">
        <v>445</v>
      </c>
      <c r="B341" s="9" t="s">
        <v>446</v>
      </c>
      <c r="C341" s="10">
        <v>2</v>
      </c>
      <c r="D341" s="10">
        <v>4416</v>
      </c>
      <c r="E341" s="10">
        <v>607</v>
      </c>
      <c r="F341" s="10">
        <v>1</v>
      </c>
      <c r="G341" s="10">
        <v>1</v>
      </c>
      <c r="H341" s="10">
        <v>4415</v>
      </c>
      <c r="I341" s="11">
        <v>0</v>
      </c>
      <c r="J341" s="11">
        <v>4.5999999999999996</v>
      </c>
      <c r="K341" s="11">
        <v>3</v>
      </c>
      <c r="L341" s="11">
        <v>3</v>
      </c>
      <c r="M341" s="9" t="str">
        <f t="shared" si="15"/>
        <v>OK</v>
      </c>
      <c r="N341" s="12">
        <f t="shared" si="16"/>
        <v>0.91070323778098572</v>
      </c>
      <c r="O341" s="12">
        <f>SUMIFS($D$2:D341,$B$2:B341,B341)/SUMIFS($D$2:$D$741,$B$2:$B$741,B341)</f>
        <v>0.91070323778098572</v>
      </c>
      <c r="P341" s="9" t="b">
        <f t="shared" si="17"/>
        <v>1</v>
      </c>
      <c r="Q341" s="9" t="s">
        <v>23</v>
      </c>
      <c r="R341" s="9" t="s">
        <v>38</v>
      </c>
      <c r="S341" s="9" t="s">
        <v>25</v>
      </c>
      <c r="T341" s="9" t="s">
        <v>39</v>
      </c>
    </row>
    <row r="342" spans="1:20" x14ac:dyDescent="0.45">
      <c r="A342" s="4" t="s">
        <v>447</v>
      </c>
      <c r="B342" s="4" t="s">
        <v>446</v>
      </c>
      <c r="C342" s="5">
        <v>1</v>
      </c>
      <c r="D342" s="5">
        <v>359</v>
      </c>
      <c r="E342" s="5">
        <v>357</v>
      </c>
      <c r="F342" s="5">
        <v>3</v>
      </c>
      <c r="G342" s="5">
        <v>0</v>
      </c>
      <c r="H342" s="5">
        <v>356</v>
      </c>
      <c r="I342" s="6">
        <v>1</v>
      </c>
      <c r="J342" s="6">
        <v>6.6</v>
      </c>
      <c r="K342" s="6">
        <v>4</v>
      </c>
      <c r="L342" s="6">
        <v>4</v>
      </c>
      <c r="M342" s="4" t="str">
        <f t="shared" si="15"/>
        <v>OK</v>
      </c>
      <c r="N342" s="7">
        <f t="shared" si="16"/>
        <v>7.4035883687358223E-2</v>
      </c>
      <c r="O342" s="7">
        <f>SUMIFS($D$2:D342,$B$2:B342,B342)/SUMIFS($D$2:$D$741,$B$2:$B$741,B342)</f>
        <v>0.98473912146834397</v>
      </c>
      <c r="P342" s="4" t="b">
        <f t="shared" si="17"/>
        <v>1</v>
      </c>
      <c r="Q342" s="4" t="s">
        <v>23</v>
      </c>
      <c r="R342" s="4" t="s">
        <v>38</v>
      </c>
      <c r="S342" s="4" t="s">
        <v>25</v>
      </c>
      <c r="T342" s="4" t="s">
        <v>39</v>
      </c>
    </row>
    <row r="343" spans="1:20" x14ac:dyDescent="0.45">
      <c r="A343" s="4" t="s">
        <v>448</v>
      </c>
      <c r="B343" s="4" t="s">
        <v>446</v>
      </c>
      <c r="C343" s="5">
        <v>2</v>
      </c>
      <c r="D343" s="5">
        <v>74</v>
      </c>
      <c r="E343" s="5">
        <v>8</v>
      </c>
      <c r="F343" s="5">
        <v>1</v>
      </c>
      <c r="G343" s="5">
        <v>1</v>
      </c>
      <c r="H343" s="5">
        <v>73</v>
      </c>
      <c r="I343" s="6">
        <v>8</v>
      </c>
      <c r="J343" s="6">
        <v>8.3000000000000007</v>
      </c>
      <c r="K343" s="6">
        <v>11</v>
      </c>
      <c r="L343" s="6">
        <v>11</v>
      </c>
      <c r="M343" s="4" t="str">
        <f t="shared" si="15"/>
        <v>OK</v>
      </c>
      <c r="N343" s="7">
        <f t="shared" si="16"/>
        <v>1.5260878531656011E-2</v>
      </c>
      <c r="O343" s="7">
        <f>SUMIFS($D$2:D343,$B$2:B343,B343)/SUMIFS($D$2:$D$741,$B$2:$B$741,B343)</f>
        <v>1</v>
      </c>
      <c r="P343" s="4" t="b">
        <f t="shared" si="17"/>
        <v>0</v>
      </c>
      <c r="Q343" s="4" t="s">
        <v>23</v>
      </c>
      <c r="R343" s="4" t="s">
        <v>75</v>
      </c>
      <c r="S343" s="4" t="s">
        <v>25</v>
      </c>
      <c r="T343" s="4" t="s">
        <v>76</v>
      </c>
    </row>
    <row r="344" spans="1:20" x14ac:dyDescent="0.45">
      <c r="A344" s="9" t="s">
        <v>449</v>
      </c>
      <c r="B344" s="9" t="s">
        <v>450</v>
      </c>
      <c r="C344" s="10">
        <v>2</v>
      </c>
      <c r="D344" s="10">
        <v>18016</v>
      </c>
      <c r="E344" s="10">
        <v>2600</v>
      </c>
      <c r="F344" s="10">
        <v>155</v>
      </c>
      <c r="G344" s="10">
        <v>2</v>
      </c>
      <c r="H344" s="10">
        <v>17861</v>
      </c>
      <c r="I344" s="11">
        <v>9</v>
      </c>
      <c r="J344" s="11">
        <v>7.8</v>
      </c>
      <c r="K344" s="11">
        <v>11</v>
      </c>
      <c r="L344" s="11">
        <v>11</v>
      </c>
      <c r="M344" s="9" t="str">
        <f t="shared" si="15"/>
        <v>OK</v>
      </c>
      <c r="N344" s="12">
        <f t="shared" si="16"/>
        <v>0.22764433100415712</v>
      </c>
      <c r="O344" s="12">
        <f>SUMIFS($D$2:D344,$B$2:B344,B344)/SUMIFS($D$2:$D$741,$B$2:$B$741,B344)</f>
        <v>0.22764433100415712</v>
      </c>
      <c r="P344" s="9" t="b">
        <f t="shared" si="17"/>
        <v>1</v>
      </c>
      <c r="Q344" s="9" t="s">
        <v>23</v>
      </c>
      <c r="R344" s="9" t="s">
        <v>218</v>
      </c>
      <c r="S344" s="9" t="s">
        <v>25</v>
      </c>
      <c r="T344" s="9" t="s">
        <v>219</v>
      </c>
    </row>
    <row r="345" spans="1:20" x14ac:dyDescent="0.45">
      <c r="A345" s="4" t="s">
        <v>451</v>
      </c>
      <c r="B345" s="4" t="s">
        <v>450</v>
      </c>
      <c r="C345" s="5">
        <v>2</v>
      </c>
      <c r="D345" s="5">
        <v>14434</v>
      </c>
      <c r="E345" s="5">
        <v>3042</v>
      </c>
      <c r="F345" s="5">
        <v>523</v>
      </c>
      <c r="G345" s="5">
        <v>69</v>
      </c>
      <c r="H345" s="5">
        <v>13911</v>
      </c>
      <c r="I345" s="6">
        <v>11</v>
      </c>
      <c r="J345" s="6">
        <v>18.8</v>
      </c>
      <c r="K345" s="6">
        <v>44</v>
      </c>
      <c r="L345" s="6">
        <v>44</v>
      </c>
      <c r="M345" s="4" t="str">
        <f t="shared" si="15"/>
        <v>OK</v>
      </c>
      <c r="N345" s="7">
        <f t="shared" si="16"/>
        <v>0.18238334112533328</v>
      </c>
      <c r="O345" s="7">
        <f>SUMIFS($D$2:D345,$B$2:B345,B345)/SUMIFS($D$2:$D$741,$B$2:$B$741,B345)</f>
        <v>0.41002767212949043</v>
      </c>
      <c r="P345" s="4" t="b">
        <f t="shared" si="17"/>
        <v>1</v>
      </c>
      <c r="Q345" s="4" t="s">
        <v>23</v>
      </c>
      <c r="R345" s="4" t="s">
        <v>452</v>
      </c>
      <c r="S345" s="4" t="s">
        <v>25</v>
      </c>
      <c r="T345" s="4" t="s">
        <v>453</v>
      </c>
    </row>
    <row r="346" spans="1:20" x14ac:dyDescent="0.45">
      <c r="A346" s="4" t="s">
        <v>454</v>
      </c>
      <c r="B346" s="4" t="s">
        <v>450</v>
      </c>
      <c r="C346" s="5">
        <v>2</v>
      </c>
      <c r="D346" s="5">
        <v>13452</v>
      </c>
      <c r="E346" s="5">
        <v>3040</v>
      </c>
      <c r="F346" s="5">
        <v>442</v>
      </c>
      <c r="G346" s="5">
        <v>84</v>
      </c>
      <c r="H346" s="5">
        <v>13010</v>
      </c>
      <c r="I346" s="6">
        <v>25</v>
      </c>
      <c r="J346" s="6">
        <v>38.700000000000003</v>
      </c>
      <c r="K346" s="6">
        <v>90</v>
      </c>
      <c r="L346" s="6">
        <v>90</v>
      </c>
      <c r="M346" s="4" t="str">
        <f t="shared" si="15"/>
        <v>OK</v>
      </c>
      <c r="N346" s="7">
        <f t="shared" si="16"/>
        <v>0.16997510771913421</v>
      </c>
      <c r="O346" s="7">
        <f>SUMIFS($D$2:D346,$B$2:B346,B346)/SUMIFS($D$2:$D$741,$B$2:$B$741,B346)</f>
        <v>0.58000277984862458</v>
      </c>
      <c r="P346" s="4" t="b">
        <f t="shared" si="17"/>
        <v>1</v>
      </c>
      <c r="Q346" s="4" t="s">
        <v>192</v>
      </c>
      <c r="R346" s="4" t="s">
        <v>345</v>
      </c>
      <c r="S346" s="4" t="s">
        <v>109</v>
      </c>
      <c r="T346" s="4" t="s">
        <v>455</v>
      </c>
    </row>
    <row r="347" spans="1:20" x14ac:dyDescent="0.45">
      <c r="A347" s="4" t="s">
        <v>456</v>
      </c>
      <c r="B347" s="4" t="s">
        <v>450</v>
      </c>
      <c r="C347" s="5">
        <v>2</v>
      </c>
      <c r="D347" s="5">
        <v>9052</v>
      </c>
      <c r="E347" s="5">
        <v>1835</v>
      </c>
      <c r="F347" s="5">
        <v>20</v>
      </c>
      <c r="G347" s="5">
        <v>8</v>
      </c>
      <c r="H347" s="5">
        <v>9032</v>
      </c>
      <c r="I347" s="6">
        <v>6</v>
      </c>
      <c r="J347" s="6">
        <v>9.9</v>
      </c>
      <c r="K347" s="6">
        <v>27</v>
      </c>
      <c r="L347" s="6">
        <v>27</v>
      </c>
      <c r="M347" s="4" t="str">
        <f t="shared" si="15"/>
        <v>OK</v>
      </c>
      <c r="N347" s="7">
        <f t="shared" si="16"/>
        <v>0.11437813522699991</v>
      </c>
      <c r="O347" s="7">
        <f>SUMIFS($D$2:D347,$B$2:B347,B347)/SUMIFS($D$2:$D$741,$B$2:$B$741,B347)</f>
        <v>0.69438091507562449</v>
      </c>
      <c r="P347" s="4" t="b">
        <f t="shared" si="17"/>
        <v>1</v>
      </c>
      <c r="Q347" s="4" t="s">
        <v>23</v>
      </c>
      <c r="R347" s="4" t="s">
        <v>452</v>
      </c>
      <c r="S347" s="4" t="s">
        <v>25</v>
      </c>
      <c r="T347" s="4" t="s">
        <v>453</v>
      </c>
    </row>
    <row r="348" spans="1:20" x14ac:dyDescent="0.45">
      <c r="A348" s="4" t="s">
        <v>457</v>
      </c>
      <c r="B348" s="4" t="s">
        <v>450</v>
      </c>
      <c r="C348" s="5">
        <v>2</v>
      </c>
      <c r="D348" s="5">
        <v>4404</v>
      </c>
      <c r="E348" s="5">
        <v>798</v>
      </c>
      <c r="F348" s="5">
        <v>46</v>
      </c>
      <c r="G348" s="5">
        <v>7</v>
      </c>
      <c r="H348" s="5">
        <v>4358</v>
      </c>
      <c r="I348" s="6">
        <v>5</v>
      </c>
      <c r="J348" s="6">
        <v>8.6</v>
      </c>
      <c r="K348" s="6">
        <v>21</v>
      </c>
      <c r="L348" s="6">
        <v>21</v>
      </c>
      <c r="M348" s="4" t="str">
        <f t="shared" si="15"/>
        <v>OK</v>
      </c>
      <c r="N348" s="7">
        <f t="shared" si="16"/>
        <v>5.5647515194399866E-2</v>
      </c>
      <c r="O348" s="7">
        <f>SUMIFS($D$2:D348,$B$2:B348,B348)/SUMIFS($D$2:$D$741,$B$2:$B$741,B348)</f>
        <v>0.75002843027002442</v>
      </c>
      <c r="P348" s="4" t="b">
        <f t="shared" si="17"/>
        <v>1</v>
      </c>
      <c r="Q348" s="4" t="s">
        <v>23</v>
      </c>
      <c r="R348" s="4" t="s">
        <v>75</v>
      </c>
      <c r="S348" s="4" t="s">
        <v>25</v>
      </c>
      <c r="T348" s="4" t="s">
        <v>76</v>
      </c>
    </row>
    <row r="349" spans="1:20" x14ac:dyDescent="0.45">
      <c r="A349" s="4" t="s">
        <v>458</v>
      </c>
      <c r="B349" s="4" t="s">
        <v>450</v>
      </c>
      <c r="C349" s="5">
        <v>2</v>
      </c>
      <c r="D349" s="5">
        <v>4336</v>
      </c>
      <c r="E349" s="5">
        <v>1044</v>
      </c>
      <c r="F349" s="5">
        <v>45</v>
      </c>
      <c r="G349" s="5">
        <v>3</v>
      </c>
      <c r="H349" s="5">
        <v>4291</v>
      </c>
      <c r="I349" s="6">
        <v>1</v>
      </c>
      <c r="J349" s="6">
        <v>2.2999999999999998</v>
      </c>
      <c r="K349" s="6">
        <v>5</v>
      </c>
      <c r="L349" s="6">
        <v>5</v>
      </c>
      <c r="M349" s="4" t="str">
        <f t="shared" si="15"/>
        <v>OK</v>
      </c>
      <c r="N349" s="7">
        <f t="shared" si="16"/>
        <v>5.4788289255885067E-2</v>
      </c>
      <c r="O349" s="7">
        <f>SUMIFS($D$2:D349,$B$2:B349,B349)/SUMIFS($D$2:$D$741,$B$2:$B$741,B349)</f>
        <v>0.8048167195259095</v>
      </c>
      <c r="P349" s="4" t="b">
        <f t="shared" si="17"/>
        <v>1</v>
      </c>
      <c r="Q349" s="4" t="s">
        <v>23</v>
      </c>
      <c r="R349" s="4" t="s">
        <v>75</v>
      </c>
      <c r="S349" s="4" t="s">
        <v>25</v>
      </c>
      <c r="T349" s="4" t="s">
        <v>76</v>
      </c>
    </row>
    <row r="350" spans="1:20" x14ac:dyDescent="0.45">
      <c r="A350" s="4" t="s">
        <v>459</v>
      </c>
      <c r="B350" s="4" t="s">
        <v>450</v>
      </c>
      <c r="C350" s="5">
        <v>2</v>
      </c>
      <c r="D350" s="5">
        <v>4005</v>
      </c>
      <c r="E350" s="5">
        <v>794</v>
      </c>
      <c r="F350" s="5">
        <v>118</v>
      </c>
      <c r="G350" s="5">
        <v>19</v>
      </c>
      <c r="H350" s="5">
        <v>3887</v>
      </c>
      <c r="I350" s="6">
        <v>7</v>
      </c>
      <c r="J350" s="6">
        <v>16.5</v>
      </c>
      <c r="K350" s="6">
        <v>42</v>
      </c>
      <c r="L350" s="6">
        <v>42</v>
      </c>
      <c r="M350" s="4" t="str">
        <f t="shared" si="15"/>
        <v>OK</v>
      </c>
      <c r="N350" s="7">
        <f t="shared" si="16"/>
        <v>5.0605880643408603E-2</v>
      </c>
      <c r="O350" s="7">
        <f>SUMIFS($D$2:D350,$B$2:B350,B350)/SUMIFS($D$2:$D$741,$B$2:$B$741,B350)</f>
        <v>0.85542260016931804</v>
      </c>
      <c r="P350" s="4" t="b">
        <f t="shared" si="17"/>
        <v>1</v>
      </c>
      <c r="Q350" s="4" t="s">
        <v>192</v>
      </c>
      <c r="R350" s="4" t="s">
        <v>345</v>
      </c>
      <c r="S350" s="4" t="s">
        <v>109</v>
      </c>
      <c r="T350" s="4" t="s">
        <v>460</v>
      </c>
    </row>
    <row r="351" spans="1:20" x14ac:dyDescent="0.45">
      <c r="A351" s="4" t="s">
        <v>461</v>
      </c>
      <c r="B351" s="4" t="s">
        <v>450</v>
      </c>
      <c r="C351" s="5">
        <v>2</v>
      </c>
      <c r="D351" s="5">
        <v>2086</v>
      </c>
      <c r="E351" s="5">
        <v>449</v>
      </c>
      <c r="F351" s="5">
        <v>125</v>
      </c>
      <c r="G351" s="5">
        <v>34</v>
      </c>
      <c r="H351" s="5">
        <v>1961</v>
      </c>
      <c r="I351" s="6">
        <v>8</v>
      </c>
      <c r="J351" s="6">
        <v>16.3</v>
      </c>
      <c r="K351" s="6">
        <v>41</v>
      </c>
      <c r="L351" s="6">
        <v>41</v>
      </c>
      <c r="M351" s="4" t="str">
        <f t="shared" si="15"/>
        <v>OK</v>
      </c>
      <c r="N351" s="7">
        <f t="shared" si="16"/>
        <v>2.6358019231498213E-2</v>
      </c>
      <c r="O351" s="7">
        <f>SUMIFS($D$2:D351,$B$2:B351,B351)/SUMIFS($D$2:$D$741,$B$2:$B$741,B351)</f>
        <v>0.88178061940081631</v>
      </c>
      <c r="P351" s="4" t="b">
        <f t="shared" si="17"/>
        <v>1</v>
      </c>
      <c r="Q351" s="4" t="s">
        <v>23</v>
      </c>
      <c r="R351" s="4" t="s">
        <v>91</v>
      </c>
      <c r="S351" s="4" t="s">
        <v>25</v>
      </c>
      <c r="T351" s="4" t="s">
        <v>92</v>
      </c>
    </row>
    <row r="352" spans="1:20" x14ac:dyDescent="0.45">
      <c r="A352" s="4" t="s">
        <v>462</v>
      </c>
      <c r="B352" s="4" t="s">
        <v>450</v>
      </c>
      <c r="C352" s="5">
        <v>2</v>
      </c>
      <c r="D352" s="5">
        <v>1976</v>
      </c>
      <c r="E352" s="5">
        <v>450</v>
      </c>
      <c r="F352" s="5">
        <v>158</v>
      </c>
      <c r="G352" s="5">
        <v>87</v>
      </c>
      <c r="H352" s="5">
        <v>1818</v>
      </c>
      <c r="I352" s="6">
        <v>9</v>
      </c>
      <c r="J352" s="6">
        <v>25.6</v>
      </c>
      <c r="K352" s="6">
        <v>63</v>
      </c>
      <c r="L352" s="6">
        <v>63</v>
      </c>
      <c r="M352" s="4" t="str">
        <f t="shared" si="15"/>
        <v>OK</v>
      </c>
      <c r="N352" s="7">
        <f t="shared" si="16"/>
        <v>2.4968094919194855E-2</v>
      </c>
      <c r="O352" s="7">
        <f>SUMIFS($D$2:D352,$B$2:B352,B352)/SUMIFS($D$2:$D$741,$B$2:$B$741,B352)</f>
        <v>0.90674871432001114</v>
      </c>
      <c r="P352" s="4" t="b">
        <f t="shared" si="17"/>
        <v>1</v>
      </c>
      <c r="Q352" s="4" t="s">
        <v>23</v>
      </c>
      <c r="R352" s="4" t="s">
        <v>452</v>
      </c>
      <c r="S352" s="4" t="s">
        <v>25</v>
      </c>
      <c r="T352" s="4" t="s">
        <v>453</v>
      </c>
    </row>
    <row r="353" spans="1:20" x14ac:dyDescent="0.45">
      <c r="A353" s="4" t="s">
        <v>463</v>
      </c>
      <c r="B353" s="4" t="s">
        <v>450</v>
      </c>
      <c r="C353" s="5">
        <v>1</v>
      </c>
      <c r="D353" s="5">
        <v>1431</v>
      </c>
      <c r="E353" s="5">
        <v>1430</v>
      </c>
      <c r="F353" s="5">
        <v>16</v>
      </c>
      <c r="G353" s="5">
        <v>2</v>
      </c>
      <c r="H353" s="5">
        <v>1415</v>
      </c>
      <c r="I353" s="6">
        <v>1</v>
      </c>
      <c r="J353" s="6">
        <v>1.8</v>
      </c>
      <c r="K353" s="6">
        <v>4</v>
      </c>
      <c r="L353" s="6">
        <v>4</v>
      </c>
      <c r="M353" s="4" t="str">
        <f t="shared" si="15"/>
        <v>OK</v>
      </c>
      <c r="N353" s="7">
        <f t="shared" si="16"/>
        <v>1.8081651735510039E-2</v>
      </c>
      <c r="O353" s="7">
        <f>SUMIFS($D$2:D353,$B$2:B353,B353)/SUMIFS($D$2:$D$741,$B$2:$B$741,B353)</f>
        <v>0.92483036605552116</v>
      </c>
      <c r="P353" s="4" t="b">
        <f t="shared" si="17"/>
        <v>1</v>
      </c>
      <c r="Q353" s="4" t="s">
        <v>23</v>
      </c>
      <c r="R353" s="4" t="s">
        <v>464</v>
      </c>
      <c r="S353" s="4" t="s">
        <v>25</v>
      </c>
      <c r="T353" s="4" t="s">
        <v>465</v>
      </c>
    </row>
    <row r="354" spans="1:20" x14ac:dyDescent="0.45">
      <c r="A354" s="4" t="s">
        <v>466</v>
      </c>
      <c r="B354" s="4" t="s">
        <v>450</v>
      </c>
      <c r="C354" s="5">
        <v>2</v>
      </c>
      <c r="D354" s="5">
        <v>1409</v>
      </c>
      <c r="E354" s="5">
        <v>174</v>
      </c>
      <c r="F354" s="5">
        <v>7</v>
      </c>
      <c r="G354" s="5">
        <v>7</v>
      </c>
      <c r="H354" s="5">
        <v>1402</v>
      </c>
      <c r="I354" s="6">
        <v>4</v>
      </c>
      <c r="J354" s="6">
        <v>7</v>
      </c>
      <c r="K354" s="6">
        <v>18</v>
      </c>
      <c r="L354" s="6">
        <v>18</v>
      </c>
      <c r="M354" s="4" t="str">
        <f t="shared" si="15"/>
        <v>OK</v>
      </c>
      <c r="N354" s="7">
        <f t="shared" si="16"/>
        <v>1.7803666873049368E-2</v>
      </c>
      <c r="O354" s="7">
        <f>SUMIFS($D$2:D354,$B$2:B354,B354)/SUMIFS($D$2:$D$741,$B$2:$B$741,B354)</f>
        <v>0.94263403292857051</v>
      </c>
      <c r="P354" s="4" t="b">
        <f t="shared" si="17"/>
        <v>1</v>
      </c>
      <c r="Q354" s="4" t="s">
        <v>192</v>
      </c>
      <c r="R354" s="4" t="s">
        <v>467</v>
      </c>
      <c r="S354" s="4" t="s">
        <v>25</v>
      </c>
      <c r="T354" s="4" t="s">
        <v>468</v>
      </c>
    </row>
    <row r="355" spans="1:20" x14ac:dyDescent="0.45">
      <c r="A355" s="4" t="s">
        <v>469</v>
      </c>
      <c r="B355" s="4" t="s">
        <v>450</v>
      </c>
      <c r="C355" s="5">
        <v>2</v>
      </c>
      <c r="D355" s="5">
        <v>1369</v>
      </c>
      <c r="E355" s="5">
        <v>291</v>
      </c>
      <c r="F355" s="5">
        <v>18</v>
      </c>
      <c r="G355" s="5">
        <v>5</v>
      </c>
      <c r="H355" s="5">
        <v>1351</v>
      </c>
      <c r="I355" s="6">
        <v>4</v>
      </c>
      <c r="J355" s="6">
        <v>7.8</v>
      </c>
      <c r="K355" s="6">
        <v>21</v>
      </c>
      <c r="L355" s="6">
        <v>21</v>
      </c>
      <c r="M355" s="4" t="str">
        <f t="shared" si="15"/>
        <v>OK</v>
      </c>
      <c r="N355" s="7">
        <f t="shared" si="16"/>
        <v>1.7298239850393603E-2</v>
      </c>
      <c r="O355" s="7">
        <f>SUMIFS($D$2:D355,$B$2:B355,B355)/SUMIFS($D$2:$D$741,$B$2:$B$741,B355)</f>
        <v>0.95993227277896409</v>
      </c>
      <c r="P355" s="4" t="b">
        <f t="shared" si="17"/>
        <v>1</v>
      </c>
      <c r="Q355" s="4" t="s">
        <v>23</v>
      </c>
      <c r="R355" s="4" t="s">
        <v>452</v>
      </c>
      <c r="S355" s="4" t="s">
        <v>25</v>
      </c>
      <c r="T355" s="4" t="s">
        <v>470</v>
      </c>
    </row>
    <row r="356" spans="1:20" x14ac:dyDescent="0.45">
      <c r="A356" s="4" t="s">
        <v>471</v>
      </c>
      <c r="B356" s="4" t="s">
        <v>450</v>
      </c>
      <c r="C356" s="5">
        <v>2</v>
      </c>
      <c r="D356" s="5">
        <v>1232</v>
      </c>
      <c r="E356" s="5">
        <v>324</v>
      </c>
      <c r="F356" s="5">
        <v>22</v>
      </c>
      <c r="G356" s="5">
        <v>9</v>
      </c>
      <c r="H356" s="5">
        <v>1210</v>
      </c>
      <c r="I356" s="6">
        <v>6</v>
      </c>
      <c r="J356" s="6">
        <v>12.6</v>
      </c>
      <c r="K356" s="6">
        <v>33</v>
      </c>
      <c r="L356" s="6">
        <v>33</v>
      </c>
      <c r="M356" s="4" t="str">
        <f t="shared" si="15"/>
        <v>OK</v>
      </c>
      <c r="N356" s="7">
        <f t="shared" si="16"/>
        <v>1.5567152297797602E-2</v>
      </c>
      <c r="O356" s="7">
        <f>SUMIFS($D$2:D356,$B$2:B356,B356)/SUMIFS($D$2:$D$741,$B$2:$B$741,B356)</f>
        <v>0.97549942507676168</v>
      </c>
      <c r="P356" s="4" t="b">
        <f t="shared" si="17"/>
        <v>0</v>
      </c>
      <c r="Q356" s="4" t="s">
        <v>23</v>
      </c>
      <c r="R356" s="4" t="s">
        <v>452</v>
      </c>
      <c r="S356" s="4" t="s">
        <v>25</v>
      </c>
      <c r="T356" s="4" t="s">
        <v>453</v>
      </c>
    </row>
    <row r="357" spans="1:20" x14ac:dyDescent="0.45">
      <c r="A357" s="4" t="s">
        <v>472</v>
      </c>
      <c r="B357" s="4" t="s">
        <v>450</v>
      </c>
      <c r="C357" s="5">
        <v>2</v>
      </c>
      <c r="D357" s="5">
        <v>958</v>
      </c>
      <c r="E357" s="5">
        <v>199</v>
      </c>
      <c r="F357" s="5">
        <v>29</v>
      </c>
      <c r="G357" s="5">
        <v>7</v>
      </c>
      <c r="H357" s="5">
        <v>929</v>
      </c>
      <c r="I357" s="6">
        <v>10</v>
      </c>
      <c r="J357" s="6">
        <v>18.100000000000001</v>
      </c>
      <c r="K357" s="6">
        <v>46</v>
      </c>
      <c r="L357" s="6">
        <v>46</v>
      </c>
      <c r="M357" s="4" t="str">
        <f t="shared" si="15"/>
        <v>OK</v>
      </c>
      <c r="N357" s="7">
        <f t="shared" si="16"/>
        <v>1.2104977192605603E-2</v>
      </c>
      <c r="O357" s="7">
        <f>SUMIFS($D$2:D357,$B$2:B357,B357)/SUMIFS($D$2:$D$741,$B$2:$B$741,B357)</f>
        <v>0.9876044022693673</v>
      </c>
      <c r="P357" s="4" t="b">
        <f t="shared" si="17"/>
        <v>0</v>
      </c>
      <c r="Q357" s="4" t="s">
        <v>23</v>
      </c>
      <c r="R357" s="4" t="s">
        <v>452</v>
      </c>
      <c r="S357" s="4" t="s">
        <v>109</v>
      </c>
      <c r="T357" s="4" t="s">
        <v>473</v>
      </c>
    </row>
    <row r="358" spans="1:20" x14ac:dyDescent="0.45">
      <c r="A358" s="4" t="s">
        <v>474</v>
      </c>
      <c r="B358" s="4" t="s">
        <v>450</v>
      </c>
      <c r="C358" s="5">
        <v>2</v>
      </c>
      <c r="D358" s="5">
        <v>424</v>
      </c>
      <c r="E358" s="5">
        <v>0</v>
      </c>
      <c r="F358" s="5">
        <v>0</v>
      </c>
      <c r="G358" s="5">
        <v>0</v>
      </c>
      <c r="H358" s="5">
        <v>424</v>
      </c>
      <c r="I358" s="6">
        <v>1</v>
      </c>
      <c r="J358" s="6">
        <v>4.5</v>
      </c>
      <c r="K358" s="6">
        <v>6</v>
      </c>
      <c r="L358" s="6">
        <v>6</v>
      </c>
      <c r="M358" s="4" t="str">
        <f t="shared" si="15"/>
        <v>OK</v>
      </c>
      <c r="N358" s="7">
        <f t="shared" si="16"/>
        <v>5.3575264401511226E-3</v>
      </c>
      <c r="O358" s="7">
        <f>SUMIFS($D$2:D358,$B$2:B358,B358)/SUMIFS($D$2:$D$741,$B$2:$B$741,B358)</f>
        <v>0.99296192870951849</v>
      </c>
      <c r="P358" s="4" t="b">
        <f t="shared" si="17"/>
        <v>0</v>
      </c>
      <c r="Q358" s="4" t="s">
        <v>23</v>
      </c>
      <c r="R358" s="4" t="s">
        <v>452</v>
      </c>
      <c r="S358" s="4" t="s">
        <v>25</v>
      </c>
      <c r="T358" s="4" t="s">
        <v>453</v>
      </c>
    </row>
    <row r="359" spans="1:20" x14ac:dyDescent="0.45">
      <c r="A359" s="4" t="s">
        <v>475</v>
      </c>
      <c r="B359" s="4" t="s">
        <v>450</v>
      </c>
      <c r="C359" s="5">
        <v>2</v>
      </c>
      <c r="D359" s="5">
        <v>204</v>
      </c>
      <c r="E359" s="5">
        <v>30</v>
      </c>
      <c r="F359" s="5">
        <v>6</v>
      </c>
      <c r="G359" s="5">
        <v>1</v>
      </c>
      <c r="H359" s="5">
        <v>198</v>
      </c>
      <c r="I359" s="6">
        <v>4</v>
      </c>
      <c r="J359" s="6">
        <v>14.7</v>
      </c>
      <c r="K359" s="6">
        <v>53</v>
      </c>
      <c r="L359" s="6">
        <v>52.5</v>
      </c>
      <c r="M359" s="4" t="str">
        <f t="shared" si="15"/>
        <v>OK</v>
      </c>
      <c r="N359" s="7">
        <f t="shared" si="16"/>
        <v>2.5776778155444081E-3</v>
      </c>
      <c r="O359" s="7">
        <f>SUMIFS($D$2:D359,$B$2:B359,B359)/SUMIFS($D$2:$D$741,$B$2:$B$741,B359)</f>
        <v>0.9955396065250629</v>
      </c>
      <c r="P359" s="4" t="b">
        <f t="shared" si="17"/>
        <v>0</v>
      </c>
      <c r="Q359" s="4" t="s">
        <v>23</v>
      </c>
      <c r="R359" s="4" t="s">
        <v>289</v>
      </c>
      <c r="S359" s="4" t="s">
        <v>25</v>
      </c>
      <c r="T359" s="4" t="s">
        <v>290</v>
      </c>
    </row>
    <row r="360" spans="1:20" x14ac:dyDescent="0.45">
      <c r="A360" s="4" t="s">
        <v>476</v>
      </c>
      <c r="B360" s="4" t="s">
        <v>450</v>
      </c>
      <c r="C360" s="5">
        <v>2</v>
      </c>
      <c r="D360" s="5">
        <v>186</v>
      </c>
      <c r="E360" s="5">
        <v>0</v>
      </c>
      <c r="F360" s="5">
        <v>0</v>
      </c>
      <c r="G360" s="5">
        <v>0</v>
      </c>
      <c r="H360" s="5">
        <v>186</v>
      </c>
      <c r="I360" s="6">
        <v>2</v>
      </c>
      <c r="J360" s="6">
        <v>4</v>
      </c>
      <c r="K360" s="6">
        <v>8</v>
      </c>
      <c r="L360" s="6">
        <v>8.5</v>
      </c>
      <c r="M360" s="4" t="str">
        <f t="shared" si="15"/>
        <v>OK</v>
      </c>
      <c r="N360" s="7">
        <f t="shared" si="16"/>
        <v>2.3502356553493134E-3</v>
      </c>
      <c r="O360" s="7">
        <f>SUMIFS($D$2:D360,$B$2:B360,B360)/SUMIFS($D$2:$D$741,$B$2:$B$741,B360)</f>
        <v>0.99788984218041221</v>
      </c>
      <c r="P360" s="4" t="b">
        <f t="shared" si="17"/>
        <v>0</v>
      </c>
      <c r="Q360" s="4" t="s">
        <v>23</v>
      </c>
      <c r="R360" s="4" t="s">
        <v>477</v>
      </c>
      <c r="S360" s="4" t="s">
        <v>25</v>
      </c>
      <c r="T360" s="4" t="s">
        <v>478</v>
      </c>
    </row>
    <row r="361" spans="1:20" x14ac:dyDescent="0.45">
      <c r="A361" s="4" t="s">
        <v>479</v>
      </c>
      <c r="B361" s="4" t="s">
        <v>450</v>
      </c>
      <c r="C361" s="5">
        <v>2</v>
      </c>
      <c r="D361" s="5">
        <v>124</v>
      </c>
      <c r="E361" s="5">
        <v>18</v>
      </c>
      <c r="F361" s="5">
        <v>4</v>
      </c>
      <c r="G361" s="5">
        <v>0</v>
      </c>
      <c r="H361" s="5">
        <v>120</v>
      </c>
      <c r="I361" s="6">
        <v>18.5</v>
      </c>
      <c r="J361" s="6">
        <v>28.1</v>
      </c>
      <c r="K361" s="6">
        <v>67</v>
      </c>
      <c r="L361" s="6">
        <v>67.099999999999994</v>
      </c>
      <c r="M361" s="4" t="str">
        <f t="shared" si="15"/>
        <v>OK</v>
      </c>
      <c r="N361" s="7">
        <f t="shared" si="16"/>
        <v>1.5668237702328755E-3</v>
      </c>
      <c r="O361" s="7">
        <f>SUMIFS($D$2:D361,$B$2:B361,B361)/SUMIFS($D$2:$D$741,$B$2:$B$741,B361)</f>
        <v>0.99945666595064508</v>
      </c>
      <c r="P361" s="4" t="b">
        <f t="shared" si="17"/>
        <v>0</v>
      </c>
      <c r="Q361" s="4" t="s">
        <v>23</v>
      </c>
      <c r="R361" s="4" t="s">
        <v>452</v>
      </c>
      <c r="S361" s="4" t="s">
        <v>25</v>
      </c>
      <c r="T361" s="4" t="s">
        <v>453</v>
      </c>
    </row>
    <row r="362" spans="1:20" x14ac:dyDescent="0.45">
      <c r="A362" s="4" t="s">
        <v>480</v>
      </c>
      <c r="B362" s="4" t="s">
        <v>450</v>
      </c>
      <c r="C362" s="5">
        <v>2</v>
      </c>
      <c r="D362" s="5">
        <v>24</v>
      </c>
      <c r="E362" s="5">
        <v>0</v>
      </c>
      <c r="F362" s="5">
        <v>0</v>
      </c>
      <c r="G362" s="5">
        <v>0</v>
      </c>
      <c r="H362" s="5">
        <v>24</v>
      </c>
      <c r="I362" s="6">
        <v>2.5</v>
      </c>
      <c r="J362" s="6">
        <v>10.7</v>
      </c>
      <c r="K362" s="6">
        <v>6</v>
      </c>
      <c r="L362" s="6">
        <v>6.4</v>
      </c>
      <c r="M362" s="4" t="str">
        <f t="shared" si="15"/>
        <v>OK</v>
      </c>
      <c r="N362" s="7">
        <f t="shared" si="16"/>
        <v>3.0325621359345977E-4</v>
      </c>
      <c r="O362" s="7">
        <f>SUMIFS($D$2:D362,$B$2:B362,B362)/SUMIFS($D$2:$D$741,$B$2:$B$741,B362)</f>
        <v>0.99975992216423848</v>
      </c>
      <c r="P362" s="4" t="b">
        <f t="shared" si="17"/>
        <v>0</v>
      </c>
      <c r="Q362" s="4" t="s">
        <v>23</v>
      </c>
      <c r="R362" s="4" t="s">
        <v>452</v>
      </c>
      <c r="S362" s="4" t="s">
        <v>25</v>
      </c>
      <c r="T362" s="4" t="s">
        <v>453</v>
      </c>
    </row>
    <row r="363" spans="1:20" x14ac:dyDescent="0.45">
      <c r="A363" s="4" t="s">
        <v>481</v>
      </c>
      <c r="B363" s="4" t="s">
        <v>450</v>
      </c>
      <c r="C363" s="5">
        <v>1</v>
      </c>
      <c r="D363" s="5">
        <v>14</v>
      </c>
      <c r="E363" s="5">
        <v>0</v>
      </c>
      <c r="F363" s="5">
        <v>0</v>
      </c>
      <c r="G363" s="5">
        <v>0</v>
      </c>
      <c r="H363" s="5">
        <v>14</v>
      </c>
      <c r="I363" s="6">
        <v>10</v>
      </c>
      <c r="J363" s="6">
        <v>9.3000000000000007</v>
      </c>
      <c r="K363" s="6">
        <v>11</v>
      </c>
      <c r="L363" s="6">
        <v>11</v>
      </c>
      <c r="M363" s="4" t="str">
        <f t="shared" si="15"/>
        <v>OK</v>
      </c>
      <c r="N363" s="7">
        <f t="shared" si="16"/>
        <v>1.768994579295182E-4</v>
      </c>
      <c r="O363" s="7">
        <f>SUMIFS($D$2:D363,$B$2:B363,B363)/SUMIFS($D$2:$D$741,$B$2:$B$741,B363)</f>
        <v>0.99993682162216802</v>
      </c>
      <c r="P363" s="4" t="b">
        <f t="shared" si="17"/>
        <v>0</v>
      </c>
      <c r="Q363" s="4" t="s">
        <v>23</v>
      </c>
      <c r="R363" s="4" t="s">
        <v>464</v>
      </c>
      <c r="S363" s="4" t="s">
        <v>25</v>
      </c>
      <c r="T363" s="4" t="s">
        <v>465</v>
      </c>
    </row>
    <row r="364" spans="1:20" x14ac:dyDescent="0.45">
      <c r="A364" s="4" t="s">
        <v>482</v>
      </c>
      <c r="B364" s="4" t="s">
        <v>450</v>
      </c>
      <c r="C364" s="5">
        <v>1</v>
      </c>
      <c r="D364" s="5">
        <v>5</v>
      </c>
      <c r="E364" s="5">
        <v>0</v>
      </c>
      <c r="F364" s="5">
        <v>0</v>
      </c>
      <c r="G364" s="5">
        <v>0</v>
      </c>
      <c r="H364" s="5">
        <v>5</v>
      </c>
      <c r="I364" s="6">
        <v>1</v>
      </c>
      <c r="J364" s="6">
        <v>2</v>
      </c>
      <c r="K364" s="6">
        <v>4</v>
      </c>
      <c r="L364" s="6">
        <v>3.8</v>
      </c>
      <c r="M364" s="4" t="str">
        <f t="shared" si="15"/>
        <v>OK</v>
      </c>
      <c r="N364" s="7">
        <f t="shared" si="16"/>
        <v>6.3178377831970786E-5</v>
      </c>
      <c r="O364" s="7">
        <f>SUMIFS($D$2:D364,$B$2:B364,B364)/SUMIFS($D$2:$D$741,$B$2:$B$741,B364)</f>
        <v>1</v>
      </c>
      <c r="P364" s="4" t="b">
        <f t="shared" si="17"/>
        <v>0</v>
      </c>
      <c r="Q364" s="4" t="s">
        <v>23</v>
      </c>
      <c r="R364" s="4" t="s">
        <v>477</v>
      </c>
      <c r="S364" s="4" t="s">
        <v>25</v>
      </c>
      <c r="T364" s="4" t="s">
        <v>478</v>
      </c>
    </row>
    <row r="365" spans="1:20" x14ac:dyDescent="0.45">
      <c r="A365" s="9" t="s">
        <v>483</v>
      </c>
      <c r="B365" s="9" t="s">
        <v>484</v>
      </c>
      <c r="C365" s="10">
        <v>2</v>
      </c>
      <c r="D365" s="10">
        <v>1434</v>
      </c>
      <c r="E365" s="10">
        <v>329</v>
      </c>
      <c r="F365" s="10">
        <v>12</v>
      </c>
      <c r="G365" s="10">
        <v>9</v>
      </c>
      <c r="H365" s="10">
        <v>1422</v>
      </c>
      <c r="I365" s="11">
        <v>1</v>
      </c>
      <c r="J365" s="11">
        <v>10.3</v>
      </c>
      <c r="K365" s="11">
        <v>11</v>
      </c>
      <c r="L365" s="11">
        <v>10.9</v>
      </c>
      <c r="M365" s="9" t="str">
        <f t="shared" si="15"/>
        <v>OK</v>
      </c>
      <c r="N365" s="12">
        <f t="shared" si="16"/>
        <v>0.67450611476952027</v>
      </c>
      <c r="O365" s="12">
        <f>SUMIFS($D$2:D365,$B$2:B365,B365)/SUMIFS($D$2:$D$741,$B$2:$B$741,B365)</f>
        <v>0.67450611476952027</v>
      </c>
      <c r="P365" s="9" t="b">
        <f t="shared" si="17"/>
        <v>1</v>
      </c>
      <c r="Q365" s="9" t="s">
        <v>192</v>
      </c>
      <c r="R365" s="9" t="s">
        <v>345</v>
      </c>
      <c r="S365" s="9" t="s">
        <v>109</v>
      </c>
      <c r="T365" s="9" t="s">
        <v>485</v>
      </c>
    </row>
    <row r="366" spans="1:20" x14ac:dyDescent="0.45">
      <c r="A366" s="4" t="s">
        <v>486</v>
      </c>
      <c r="B366" s="4" t="s">
        <v>484</v>
      </c>
      <c r="C366" s="5">
        <v>2</v>
      </c>
      <c r="D366" s="5">
        <v>680</v>
      </c>
      <c r="E366" s="5">
        <v>187</v>
      </c>
      <c r="F366" s="5">
        <v>86</v>
      </c>
      <c r="G366" s="5">
        <v>56</v>
      </c>
      <c r="H366" s="5">
        <v>594</v>
      </c>
      <c r="I366" s="6">
        <v>55</v>
      </c>
      <c r="J366" s="6">
        <v>110</v>
      </c>
      <c r="K366" s="6">
        <v>337</v>
      </c>
      <c r="L366" s="6">
        <v>336.5</v>
      </c>
      <c r="M366" s="4" t="str">
        <f t="shared" si="15"/>
        <v>OK</v>
      </c>
      <c r="N366" s="7">
        <f t="shared" si="16"/>
        <v>0.31984948259642521</v>
      </c>
      <c r="O366" s="7">
        <f>SUMIFS($D$2:D366,$B$2:B366,B366)/SUMIFS($D$2:$D$741,$B$2:$B$741,B366)</f>
        <v>0.99435559736594548</v>
      </c>
      <c r="P366" s="4" t="b">
        <f t="shared" si="17"/>
        <v>1</v>
      </c>
      <c r="Q366" s="4" t="s">
        <v>23</v>
      </c>
      <c r="R366" s="4" t="s">
        <v>24</v>
      </c>
      <c r="S366" s="4" t="s">
        <v>25</v>
      </c>
      <c r="T366" s="4" t="s">
        <v>26</v>
      </c>
    </row>
    <row r="367" spans="1:20" x14ac:dyDescent="0.45">
      <c r="A367" s="4" t="s">
        <v>487</v>
      </c>
      <c r="B367" s="4" t="s">
        <v>484</v>
      </c>
      <c r="C367" s="5">
        <v>2</v>
      </c>
      <c r="D367" s="5">
        <v>12</v>
      </c>
      <c r="E367" s="5">
        <v>0</v>
      </c>
      <c r="F367" s="5">
        <v>0</v>
      </c>
      <c r="G367" s="5">
        <v>0</v>
      </c>
      <c r="H367" s="5">
        <v>12</v>
      </c>
      <c r="I367" s="6">
        <v>199</v>
      </c>
      <c r="J367" s="6">
        <v>251.6</v>
      </c>
      <c r="K367" s="6">
        <v>456</v>
      </c>
      <c r="L367" s="6">
        <v>456.4</v>
      </c>
      <c r="M367" s="4" t="str">
        <f t="shared" si="15"/>
        <v>OK</v>
      </c>
      <c r="N367" s="7">
        <f t="shared" si="16"/>
        <v>5.6444026340545629E-3</v>
      </c>
      <c r="O367" s="7">
        <f>SUMIFS($D$2:D367,$B$2:B367,B367)/SUMIFS($D$2:$D$741,$B$2:$B$741,B367)</f>
        <v>1</v>
      </c>
      <c r="P367" s="4" t="b">
        <f t="shared" si="17"/>
        <v>0</v>
      </c>
      <c r="Q367" s="4" t="s">
        <v>23</v>
      </c>
      <c r="R367" s="4" t="s">
        <v>24</v>
      </c>
      <c r="S367" s="4" t="s">
        <v>25</v>
      </c>
      <c r="T367" s="4" t="s">
        <v>26</v>
      </c>
    </row>
    <row r="368" spans="1:20" x14ac:dyDescent="0.45">
      <c r="A368" s="9" t="s">
        <v>488</v>
      </c>
      <c r="B368" s="9" t="s">
        <v>489</v>
      </c>
      <c r="C368" s="10">
        <v>2</v>
      </c>
      <c r="D368" s="10">
        <v>126</v>
      </c>
      <c r="E368" s="10">
        <v>45</v>
      </c>
      <c r="F368" s="10">
        <v>0</v>
      </c>
      <c r="G368" s="10">
        <v>0</v>
      </c>
      <c r="H368" s="10">
        <v>126</v>
      </c>
      <c r="I368" s="11">
        <v>4</v>
      </c>
      <c r="J368" s="11">
        <v>14.6</v>
      </c>
      <c r="K368" s="11">
        <v>24</v>
      </c>
      <c r="L368" s="11">
        <v>23.5</v>
      </c>
      <c r="M368" s="9" t="str">
        <f t="shared" si="15"/>
        <v>OK</v>
      </c>
      <c r="N368" s="12">
        <f t="shared" si="16"/>
        <v>0.67021276595744683</v>
      </c>
      <c r="O368" s="12">
        <f>SUMIFS($D$2:D368,$B$2:B368,B368)/SUMIFS($D$2:$D$741,$B$2:$B$741,B368)</f>
        <v>0.67021276595744683</v>
      </c>
      <c r="P368" s="9" t="b">
        <f t="shared" si="17"/>
        <v>1</v>
      </c>
      <c r="Q368" s="9" t="s">
        <v>23</v>
      </c>
      <c r="R368" s="9" t="s">
        <v>30</v>
      </c>
      <c r="S368" s="9" t="s">
        <v>25</v>
      </c>
      <c r="T368" s="9" t="s">
        <v>31</v>
      </c>
    </row>
    <row r="369" spans="1:20" x14ac:dyDescent="0.45">
      <c r="A369" s="4" t="s">
        <v>490</v>
      </c>
      <c r="B369" s="4" t="s">
        <v>489</v>
      </c>
      <c r="C369" s="5">
        <v>2</v>
      </c>
      <c r="D369" s="5">
        <v>62</v>
      </c>
      <c r="E369" s="5">
        <v>0</v>
      </c>
      <c r="F369" s="5">
        <v>0</v>
      </c>
      <c r="G369" s="5">
        <v>0</v>
      </c>
      <c r="H369" s="5">
        <v>62</v>
      </c>
      <c r="I369" s="6">
        <v>4</v>
      </c>
      <c r="J369" s="6">
        <v>4.8</v>
      </c>
      <c r="K369" s="6">
        <v>11</v>
      </c>
      <c r="L369" s="6">
        <v>11</v>
      </c>
      <c r="M369" s="4" t="str">
        <f t="shared" si="15"/>
        <v>OK</v>
      </c>
      <c r="N369" s="7">
        <f t="shared" si="16"/>
        <v>0.32978723404255317</v>
      </c>
      <c r="O369" s="7">
        <f>SUMIFS($D$2:D369,$B$2:B369,B369)/SUMIFS($D$2:$D$741,$B$2:$B$741,B369)</f>
        <v>1</v>
      </c>
      <c r="P369" s="4" t="b">
        <f t="shared" si="17"/>
        <v>1</v>
      </c>
      <c r="Q369" s="4" t="s">
        <v>23</v>
      </c>
      <c r="R369" s="4" t="s">
        <v>75</v>
      </c>
      <c r="S369" s="4" t="s">
        <v>25</v>
      </c>
      <c r="T369" s="4" t="s">
        <v>76</v>
      </c>
    </row>
    <row r="370" spans="1:20" x14ac:dyDescent="0.45">
      <c r="A370" s="9" t="s">
        <v>491</v>
      </c>
      <c r="B370" s="9" t="s">
        <v>492</v>
      </c>
      <c r="C370" s="10">
        <v>2</v>
      </c>
      <c r="D370" s="10">
        <v>34790</v>
      </c>
      <c r="E370" s="10">
        <v>7889</v>
      </c>
      <c r="F370" s="10">
        <v>990</v>
      </c>
      <c r="G370" s="10">
        <v>924</v>
      </c>
      <c r="H370" s="10">
        <v>30396</v>
      </c>
      <c r="I370" s="11">
        <v>1</v>
      </c>
      <c r="J370" s="11">
        <v>5.9</v>
      </c>
      <c r="K370" s="11">
        <v>6</v>
      </c>
      <c r="L370" s="11">
        <v>6</v>
      </c>
      <c r="M370" s="9" t="str">
        <f t="shared" si="15"/>
        <v>OK</v>
      </c>
      <c r="N370" s="12">
        <f t="shared" si="16"/>
        <v>0.10198009643993024</v>
      </c>
      <c r="O370" s="12">
        <f>SUMIFS($D$2:D370,$B$2:B370,B370)/SUMIFS($D$2:$D$741,$B$2:$B$741,B370)</f>
        <v>0.10198009643993024</v>
      </c>
      <c r="P370" s="9" t="b">
        <f t="shared" si="17"/>
        <v>1</v>
      </c>
      <c r="Q370" s="9" t="s">
        <v>192</v>
      </c>
      <c r="R370" s="9" t="s">
        <v>373</v>
      </c>
      <c r="S370" s="9" t="s">
        <v>25</v>
      </c>
      <c r="T370" s="9" t="s">
        <v>379</v>
      </c>
    </row>
    <row r="371" spans="1:20" x14ac:dyDescent="0.45">
      <c r="A371" s="4" t="s">
        <v>493</v>
      </c>
      <c r="B371" s="4" t="s">
        <v>492</v>
      </c>
      <c r="C371" s="5">
        <v>2</v>
      </c>
      <c r="D371" s="5">
        <v>28005</v>
      </c>
      <c r="E371" s="5">
        <v>3786</v>
      </c>
      <c r="F371" s="5">
        <v>561</v>
      </c>
      <c r="G371" s="5">
        <v>561</v>
      </c>
      <c r="H371" s="5">
        <v>25812</v>
      </c>
      <c r="I371" s="6">
        <v>1</v>
      </c>
      <c r="J371" s="6">
        <v>3.3</v>
      </c>
      <c r="K371" s="6">
        <v>4</v>
      </c>
      <c r="L371" s="6">
        <v>4</v>
      </c>
      <c r="M371" s="4" t="str">
        <f t="shared" si="15"/>
        <v>OK</v>
      </c>
      <c r="N371" s="7">
        <f t="shared" si="16"/>
        <v>8.2091192894516996E-2</v>
      </c>
      <c r="O371" s="7">
        <f>SUMIFS($D$2:D371,$B$2:B371,B371)/SUMIFS($D$2:$D$741,$B$2:$B$741,B371)</f>
        <v>0.18407128933444722</v>
      </c>
      <c r="P371" s="4" t="b">
        <f t="shared" si="17"/>
        <v>1</v>
      </c>
      <c r="Q371" s="4" t="s">
        <v>192</v>
      </c>
      <c r="R371" s="4" t="s">
        <v>467</v>
      </c>
      <c r="S371" s="4" t="s">
        <v>25</v>
      </c>
      <c r="T371" s="4" t="s">
        <v>468</v>
      </c>
    </row>
    <row r="372" spans="1:20" x14ac:dyDescent="0.45">
      <c r="A372" s="4" t="s">
        <v>494</v>
      </c>
      <c r="B372" s="4" t="s">
        <v>492</v>
      </c>
      <c r="C372" s="5">
        <v>2</v>
      </c>
      <c r="D372" s="5">
        <v>24787</v>
      </c>
      <c r="E372" s="5">
        <v>6096</v>
      </c>
      <c r="F372" s="5">
        <v>1454</v>
      </c>
      <c r="G372" s="5">
        <v>1262</v>
      </c>
      <c r="H372" s="5">
        <v>22427</v>
      </c>
      <c r="I372" s="6">
        <v>1</v>
      </c>
      <c r="J372" s="6">
        <v>13.3</v>
      </c>
      <c r="K372" s="6">
        <v>24</v>
      </c>
      <c r="L372" s="6">
        <v>24</v>
      </c>
      <c r="M372" s="4" t="str">
        <f t="shared" si="15"/>
        <v>OK</v>
      </c>
      <c r="N372" s="7">
        <f t="shared" si="16"/>
        <v>7.2658253821688723E-2</v>
      </c>
      <c r="O372" s="7">
        <f>SUMIFS($D$2:D372,$B$2:B372,B372)/SUMIFS($D$2:$D$741,$B$2:$B$741,B372)</f>
        <v>0.25672954315613594</v>
      </c>
      <c r="P372" s="4" t="b">
        <f t="shared" si="17"/>
        <v>1</v>
      </c>
      <c r="Q372" s="4" t="s">
        <v>192</v>
      </c>
      <c r="R372" s="4" t="s">
        <v>193</v>
      </c>
      <c r="S372" s="4" t="s">
        <v>25</v>
      </c>
      <c r="T372" s="4" t="s">
        <v>194</v>
      </c>
    </row>
    <row r="373" spans="1:20" x14ac:dyDescent="0.45">
      <c r="A373" s="4" t="s">
        <v>495</v>
      </c>
      <c r="B373" s="4" t="s">
        <v>492</v>
      </c>
      <c r="C373" s="5">
        <v>2</v>
      </c>
      <c r="D373" s="5">
        <v>22676</v>
      </c>
      <c r="E373" s="5">
        <v>5375</v>
      </c>
      <c r="F373" s="5">
        <v>3812</v>
      </c>
      <c r="G373" s="5">
        <v>3328</v>
      </c>
      <c r="H373" s="5">
        <v>18864</v>
      </c>
      <c r="I373" s="6">
        <v>145</v>
      </c>
      <c r="J373" s="6">
        <v>166.9</v>
      </c>
      <c r="K373" s="6">
        <v>393</v>
      </c>
      <c r="L373" s="6">
        <v>393</v>
      </c>
      <c r="M373" s="4" t="str">
        <f t="shared" si="15"/>
        <v>OK</v>
      </c>
      <c r="N373" s="7">
        <f t="shared" si="16"/>
        <v>6.6470269240352348E-2</v>
      </c>
      <c r="O373" s="7">
        <f>SUMIFS($D$2:D373,$B$2:B373,B373)/SUMIFS($D$2:$D$741,$B$2:$B$741,B373)</f>
        <v>0.32319981239648832</v>
      </c>
      <c r="P373" s="4" t="b">
        <f t="shared" si="17"/>
        <v>1</v>
      </c>
      <c r="Q373" s="4" t="s">
        <v>192</v>
      </c>
      <c r="R373" s="4" t="s">
        <v>496</v>
      </c>
      <c r="S373" s="4" t="s">
        <v>25</v>
      </c>
      <c r="T373" s="4" t="s">
        <v>497</v>
      </c>
    </row>
    <row r="374" spans="1:20" x14ac:dyDescent="0.45">
      <c r="A374" s="4" t="s">
        <v>498</v>
      </c>
      <c r="B374" s="4" t="s">
        <v>492</v>
      </c>
      <c r="C374" s="5">
        <v>2</v>
      </c>
      <c r="D374" s="5">
        <v>22223</v>
      </c>
      <c r="E374" s="5">
        <v>2743</v>
      </c>
      <c r="F374" s="5">
        <v>11</v>
      </c>
      <c r="G374" s="5">
        <v>2</v>
      </c>
      <c r="H374" s="5">
        <v>21717</v>
      </c>
      <c r="I374" s="6">
        <v>0</v>
      </c>
      <c r="J374" s="6">
        <v>4.2</v>
      </c>
      <c r="K374" s="6">
        <v>1</v>
      </c>
      <c r="L374" s="6">
        <v>1</v>
      </c>
      <c r="M374" s="4" t="str">
        <f t="shared" si="15"/>
        <v>OK</v>
      </c>
      <c r="N374" s="7">
        <f t="shared" si="16"/>
        <v>6.5142388134077883E-2</v>
      </c>
      <c r="O374" s="7">
        <f>SUMIFS($D$2:D374,$B$2:B374,B374)/SUMIFS($D$2:$D$741,$B$2:$B$741,B374)</f>
        <v>0.38834220053056617</v>
      </c>
      <c r="P374" s="4" t="b">
        <f t="shared" si="17"/>
        <v>1</v>
      </c>
      <c r="Q374" s="4" t="s">
        <v>192</v>
      </c>
      <c r="R374" s="4" t="s">
        <v>496</v>
      </c>
      <c r="S374" s="4" t="s">
        <v>25</v>
      </c>
      <c r="T374" s="4" t="s">
        <v>497</v>
      </c>
    </row>
    <row r="375" spans="1:20" x14ac:dyDescent="0.45">
      <c r="A375" s="4" t="s">
        <v>499</v>
      </c>
      <c r="B375" s="4" t="s">
        <v>492</v>
      </c>
      <c r="C375" s="5">
        <v>2</v>
      </c>
      <c r="D375" s="5">
        <v>21509</v>
      </c>
      <c r="E375" s="5">
        <v>4256</v>
      </c>
      <c r="F375" s="5">
        <v>2949</v>
      </c>
      <c r="G375" s="5">
        <v>2667</v>
      </c>
      <c r="H375" s="5">
        <v>16640</v>
      </c>
      <c r="I375" s="6">
        <v>3</v>
      </c>
      <c r="J375" s="6">
        <v>37.1</v>
      </c>
      <c r="K375" s="6">
        <v>108</v>
      </c>
      <c r="L375" s="6">
        <v>107</v>
      </c>
      <c r="M375" s="4" t="str">
        <f t="shared" si="15"/>
        <v>OK</v>
      </c>
      <c r="N375" s="7">
        <f t="shared" si="16"/>
        <v>6.3049436456638672E-2</v>
      </c>
      <c r="O375" s="7">
        <f>SUMIFS($D$2:D375,$B$2:B375,B375)/SUMIFS($D$2:$D$741,$B$2:$B$741,B375)</f>
        <v>0.45139163698720486</v>
      </c>
      <c r="P375" s="4" t="b">
        <f t="shared" si="17"/>
        <v>1</v>
      </c>
      <c r="Q375" s="4" t="s">
        <v>192</v>
      </c>
      <c r="R375" s="4" t="s">
        <v>373</v>
      </c>
      <c r="S375" s="4" t="s">
        <v>25</v>
      </c>
      <c r="T375" s="4" t="s">
        <v>379</v>
      </c>
    </row>
    <row r="376" spans="1:20" x14ac:dyDescent="0.45">
      <c r="A376" s="4" t="s">
        <v>500</v>
      </c>
      <c r="B376" s="4" t="s">
        <v>492</v>
      </c>
      <c r="C376" s="5">
        <v>2</v>
      </c>
      <c r="D376" s="5">
        <v>19741</v>
      </c>
      <c r="E376" s="5">
        <v>5296</v>
      </c>
      <c r="F376" s="5">
        <v>18</v>
      </c>
      <c r="G376" s="5">
        <v>9</v>
      </c>
      <c r="H376" s="5">
        <v>18744</v>
      </c>
      <c r="I376" s="6">
        <v>0</v>
      </c>
      <c r="J376" s="6">
        <v>0.3</v>
      </c>
      <c r="K376" s="6">
        <v>1</v>
      </c>
      <c r="L376" s="6">
        <v>1</v>
      </c>
      <c r="M376" s="4" t="str">
        <f t="shared" si="15"/>
        <v>OK</v>
      </c>
      <c r="N376" s="7">
        <f t="shared" si="16"/>
        <v>5.7866889445836817E-2</v>
      </c>
      <c r="O376" s="7">
        <f>SUMIFS($D$2:D376,$B$2:B376,B376)/SUMIFS($D$2:$D$741,$B$2:$B$741,B376)</f>
        <v>0.5092585264330417</v>
      </c>
      <c r="P376" s="4" t="b">
        <f t="shared" si="17"/>
        <v>1</v>
      </c>
      <c r="Q376" s="4" t="s">
        <v>192</v>
      </c>
      <c r="R376" s="4" t="s">
        <v>193</v>
      </c>
      <c r="S376" s="4" t="s">
        <v>25</v>
      </c>
      <c r="T376" s="4" t="s">
        <v>194</v>
      </c>
    </row>
    <row r="377" spans="1:20" x14ac:dyDescent="0.45">
      <c r="A377" s="4" t="s">
        <v>501</v>
      </c>
      <c r="B377" s="4" t="s">
        <v>492</v>
      </c>
      <c r="C377" s="5">
        <v>2</v>
      </c>
      <c r="D377" s="5">
        <v>19032</v>
      </c>
      <c r="E377" s="5">
        <v>3089</v>
      </c>
      <c r="F377" s="5">
        <v>4690</v>
      </c>
      <c r="G377" s="5">
        <v>4680</v>
      </c>
      <c r="H377" s="5">
        <v>13968</v>
      </c>
      <c r="I377" s="6">
        <v>4</v>
      </c>
      <c r="J377" s="6">
        <v>46.7</v>
      </c>
      <c r="K377" s="6">
        <v>133</v>
      </c>
      <c r="L377" s="6">
        <v>133</v>
      </c>
      <c r="M377" s="4" t="str">
        <f t="shared" si="15"/>
        <v>OK</v>
      </c>
      <c r="N377" s="7">
        <f t="shared" si="16"/>
        <v>5.5788594292749419E-2</v>
      </c>
      <c r="O377" s="7">
        <f>SUMIFS($D$2:D377,$B$2:B377,B377)/SUMIFS($D$2:$D$741,$B$2:$B$741,B377)</f>
        <v>0.56504712072579111</v>
      </c>
      <c r="P377" s="4" t="b">
        <f t="shared" si="17"/>
        <v>1</v>
      </c>
      <c r="Q377" s="4" t="s">
        <v>192</v>
      </c>
      <c r="R377" s="4" t="s">
        <v>373</v>
      </c>
      <c r="S377" s="4" t="s">
        <v>25</v>
      </c>
      <c r="T377" s="4" t="s">
        <v>379</v>
      </c>
    </row>
    <row r="378" spans="1:20" x14ac:dyDescent="0.45">
      <c r="A378" s="4" t="s">
        <v>502</v>
      </c>
      <c r="B378" s="4" t="s">
        <v>492</v>
      </c>
      <c r="C378" s="5">
        <v>2</v>
      </c>
      <c r="D378" s="5">
        <v>17883</v>
      </c>
      <c r="E378" s="5">
        <v>3770</v>
      </c>
      <c r="F378" s="5">
        <v>2268</v>
      </c>
      <c r="G378" s="5">
        <v>2095</v>
      </c>
      <c r="H378" s="5">
        <v>14022</v>
      </c>
      <c r="I378" s="6">
        <v>2</v>
      </c>
      <c r="J378" s="6">
        <v>23.2</v>
      </c>
      <c r="K378" s="6">
        <v>38</v>
      </c>
      <c r="L378" s="6">
        <v>38</v>
      </c>
      <c r="M378" s="4" t="str">
        <f t="shared" si="15"/>
        <v>OK</v>
      </c>
      <c r="N378" s="7">
        <f t="shared" si="16"/>
        <v>5.2420524996702279E-2</v>
      </c>
      <c r="O378" s="7">
        <f>SUMIFS($D$2:D378,$B$2:B378,B378)/SUMIFS($D$2:$D$741,$B$2:$B$741,B378)</f>
        <v>0.61746764572249335</v>
      </c>
      <c r="P378" s="4" t="b">
        <f t="shared" si="17"/>
        <v>1</v>
      </c>
      <c r="Q378" s="4" t="s">
        <v>192</v>
      </c>
      <c r="R378" s="4" t="s">
        <v>373</v>
      </c>
      <c r="S378" s="4" t="s">
        <v>25</v>
      </c>
      <c r="T378" s="4" t="s">
        <v>379</v>
      </c>
    </row>
    <row r="379" spans="1:20" x14ac:dyDescent="0.45">
      <c r="A379" s="4" t="s">
        <v>503</v>
      </c>
      <c r="B379" s="4" t="s">
        <v>492</v>
      </c>
      <c r="C379" s="5">
        <v>2</v>
      </c>
      <c r="D379" s="5">
        <v>17517</v>
      </c>
      <c r="E379" s="5">
        <v>4320</v>
      </c>
      <c r="F379" s="5">
        <v>64</v>
      </c>
      <c r="G379" s="5">
        <v>61</v>
      </c>
      <c r="H379" s="5">
        <v>13848</v>
      </c>
      <c r="I379" s="6">
        <v>0</v>
      </c>
      <c r="J379" s="6">
        <v>0.7</v>
      </c>
      <c r="K379" s="6">
        <v>1</v>
      </c>
      <c r="L379" s="6">
        <v>1</v>
      </c>
      <c r="M379" s="4" t="str">
        <f t="shared" si="15"/>
        <v>OK</v>
      </c>
      <c r="N379" s="7">
        <f t="shared" si="16"/>
        <v>5.1347667414149409E-2</v>
      </c>
      <c r="O379" s="7">
        <f>SUMIFS($D$2:D379,$B$2:B379,B379)/SUMIFS($D$2:$D$741,$B$2:$B$741,B379)</f>
        <v>0.66881531313664278</v>
      </c>
      <c r="P379" s="4" t="b">
        <f t="shared" si="17"/>
        <v>1</v>
      </c>
      <c r="Q379" s="4" t="s">
        <v>192</v>
      </c>
      <c r="R379" s="4" t="s">
        <v>496</v>
      </c>
      <c r="S379" s="4" t="s">
        <v>25</v>
      </c>
      <c r="T379" s="4" t="s">
        <v>497</v>
      </c>
    </row>
    <row r="380" spans="1:20" x14ac:dyDescent="0.45">
      <c r="A380" s="4" t="s">
        <v>504</v>
      </c>
      <c r="B380" s="4" t="s">
        <v>492</v>
      </c>
      <c r="C380" s="5">
        <v>2</v>
      </c>
      <c r="D380" s="5">
        <v>12093</v>
      </c>
      <c r="E380" s="5">
        <v>2844</v>
      </c>
      <c r="F380" s="5">
        <v>1636</v>
      </c>
      <c r="G380" s="5">
        <v>1065</v>
      </c>
      <c r="H380" s="5">
        <v>10456</v>
      </c>
      <c r="I380" s="6">
        <v>4</v>
      </c>
      <c r="J380" s="6">
        <v>170.3</v>
      </c>
      <c r="K380" s="6">
        <v>679</v>
      </c>
      <c r="L380" s="6">
        <v>679</v>
      </c>
      <c r="M380" s="4" t="str">
        <f t="shared" si="15"/>
        <v>OK</v>
      </c>
      <c r="N380" s="7">
        <f t="shared" si="16"/>
        <v>3.5448269797300265E-2</v>
      </c>
      <c r="O380" s="7">
        <f>SUMIFS($D$2:D380,$B$2:B380,B380)/SUMIFS($D$2:$D$741,$B$2:$B$741,B380)</f>
        <v>0.70426358293394309</v>
      </c>
      <c r="P380" s="4" t="b">
        <f t="shared" si="17"/>
        <v>1</v>
      </c>
      <c r="Q380" s="4" t="s">
        <v>192</v>
      </c>
      <c r="R380" s="4" t="s">
        <v>496</v>
      </c>
      <c r="S380" s="4" t="s">
        <v>25</v>
      </c>
      <c r="T380" s="4" t="s">
        <v>497</v>
      </c>
    </row>
    <row r="381" spans="1:20" x14ac:dyDescent="0.45">
      <c r="A381" s="4" t="s">
        <v>505</v>
      </c>
      <c r="B381" s="4" t="s">
        <v>492</v>
      </c>
      <c r="C381" s="5">
        <v>2</v>
      </c>
      <c r="D381" s="5">
        <v>11999</v>
      </c>
      <c r="E381" s="5">
        <v>2495</v>
      </c>
      <c r="F381" s="5">
        <v>1048</v>
      </c>
      <c r="G381" s="5">
        <v>762</v>
      </c>
      <c r="H381" s="5">
        <v>10951</v>
      </c>
      <c r="I381" s="6">
        <v>4</v>
      </c>
      <c r="J381" s="6">
        <v>78.3</v>
      </c>
      <c r="K381" s="6">
        <v>257</v>
      </c>
      <c r="L381" s="6">
        <v>257</v>
      </c>
      <c r="M381" s="4" t="str">
        <f t="shared" si="15"/>
        <v>OK</v>
      </c>
      <c r="N381" s="7">
        <f t="shared" si="16"/>
        <v>3.5172727139486146E-2</v>
      </c>
      <c r="O381" s="7">
        <f>SUMIFS($D$2:D381,$B$2:B381,B381)/SUMIFS($D$2:$D$741,$B$2:$B$741,B381)</f>
        <v>0.73943631007342914</v>
      </c>
      <c r="P381" s="4" t="b">
        <f t="shared" si="17"/>
        <v>1</v>
      </c>
      <c r="Q381" s="4" t="s">
        <v>192</v>
      </c>
      <c r="R381" s="4" t="s">
        <v>496</v>
      </c>
      <c r="S381" s="4" t="s">
        <v>25</v>
      </c>
      <c r="T381" s="4" t="s">
        <v>497</v>
      </c>
    </row>
    <row r="382" spans="1:20" x14ac:dyDescent="0.45">
      <c r="A382" s="4" t="s">
        <v>506</v>
      </c>
      <c r="B382" s="4" t="s">
        <v>492</v>
      </c>
      <c r="C382" s="5">
        <v>2</v>
      </c>
      <c r="D382" s="5">
        <v>11775</v>
      </c>
      <c r="E382" s="5">
        <v>2472</v>
      </c>
      <c r="F382" s="5">
        <v>109</v>
      </c>
      <c r="G382" s="5">
        <v>91</v>
      </c>
      <c r="H382" s="5">
        <v>11666</v>
      </c>
      <c r="I382" s="6">
        <v>1</v>
      </c>
      <c r="J382" s="6">
        <v>13.7</v>
      </c>
      <c r="K382" s="6">
        <v>9</v>
      </c>
      <c r="L382" s="6">
        <v>9</v>
      </c>
      <c r="M382" s="4" t="str">
        <f t="shared" si="15"/>
        <v>OK</v>
      </c>
      <c r="N382" s="7">
        <f t="shared" si="16"/>
        <v>3.451611484852482E-2</v>
      </c>
      <c r="O382" s="7">
        <f>SUMIFS($D$2:D382,$B$2:B382,B382)/SUMIFS($D$2:$D$741,$B$2:$B$741,B382)</f>
        <v>0.77395242492195404</v>
      </c>
      <c r="P382" s="4" t="b">
        <f t="shared" si="17"/>
        <v>1</v>
      </c>
      <c r="Q382" s="4" t="s">
        <v>23</v>
      </c>
      <c r="R382" s="4" t="s">
        <v>289</v>
      </c>
      <c r="S382" s="4" t="s">
        <v>25</v>
      </c>
      <c r="T382" s="4" t="s">
        <v>507</v>
      </c>
    </row>
    <row r="383" spans="1:20" x14ac:dyDescent="0.45">
      <c r="A383" s="4" t="s">
        <v>508</v>
      </c>
      <c r="B383" s="4" t="s">
        <v>492</v>
      </c>
      <c r="C383" s="5">
        <v>1</v>
      </c>
      <c r="D383" s="5">
        <v>9325</v>
      </c>
      <c r="E383" s="5">
        <v>2616</v>
      </c>
      <c r="F383" s="5">
        <v>120</v>
      </c>
      <c r="G383" s="5">
        <v>5</v>
      </c>
      <c r="H383" s="5">
        <v>9205</v>
      </c>
      <c r="I383" s="6">
        <v>4</v>
      </c>
      <c r="J383" s="6">
        <v>11</v>
      </c>
      <c r="K383" s="6">
        <v>25</v>
      </c>
      <c r="L383" s="6">
        <v>25</v>
      </c>
      <c r="M383" s="4" t="str">
        <f t="shared" si="15"/>
        <v>OK</v>
      </c>
      <c r="N383" s="7">
        <f t="shared" si="16"/>
        <v>2.7334417916135369E-2</v>
      </c>
      <c r="O383" s="7">
        <f>SUMIFS($D$2:D383,$B$2:B383,B383)/SUMIFS($D$2:$D$741,$B$2:$B$741,B383)</f>
        <v>0.80128684283808937</v>
      </c>
      <c r="P383" s="4" t="b">
        <f t="shared" si="17"/>
        <v>1</v>
      </c>
      <c r="Q383" s="4" t="s">
        <v>192</v>
      </c>
      <c r="R383" s="4" t="s">
        <v>193</v>
      </c>
      <c r="S383" s="4" t="s">
        <v>25</v>
      </c>
      <c r="T383" s="4" t="s">
        <v>194</v>
      </c>
    </row>
    <row r="384" spans="1:20" x14ac:dyDescent="0.45">
      <c r="A384" s="4" t="s">
        <v>509</v>
      </c>
      <c r="B384" s="4" t="s">
        <v>492</v>
      </c>
      <c r="C384" s="5">
        <v>2</v>
      </c>
      <c r="D384" s="5">
        <v>6995</v>
      </c>
      <c r="E384" s="5">
        <v>1807</v>
      </c>
      <c r="F384" s="5">
        <v>86</v>
      </c>
      <c r="G384" s="5">
        <v>61</v>
      </c>
      <c r="H384" s="5">
        <v>6909</v>
      </c>
      <c r="I384" s="6">
        <v>2</v>
      </c>
      <c r="J384" s="6">
        <v>6</v>
      </c>
      <c r="K384" s="6">
        <v>13</v>
      </c>
      <c r="L384" s="6">
        <v>13</v>
      </c>
      <c r="M384" s="4" t="str">
        <f t="shared" si="15"/>
        <v>OK</v>
      </c>
      <c r="N384" s="7">
        <f t="shared" si="16"/>
        <v>2.0504477568189478E-2</v>
      </c>
      <c r="O384" s="7">
        <f>SUMIFS($D$2:D384,$B$2:B384,B384)/SUMIFS($D$2:$D$741,$B$2:$B$741,B384)</f>
        <v>0.82179132040627889</v>
      </c>
      <c r="P384" s="4" t="b">
        <f t="shared" si="17"/>
        <v>1</v>
      </c>
      <c r="Q384" s="4" t="s">
        <v>23</v>
      </c>
      <c r="R384" s="4" t="s">
        <v>30</v>
      </c>
      <c r="S384" s="4" t="s">
        <v>25</v>
      </c>
      <c r="T384" s="4" t="s">
        <v>31</v>
      </c>
    </row>
    <row r="385" spans="1:20" x14ac:dyDescent="0.45">
      <c r="A385" s="4" t="s">
        <v>510</v>
      </c>
      <c r="B385" s="4" t="s">
        <v>492</v>
      </c>
      <c r="C385" s="5">
        <v>1</v>
      </c>
      <c r="D385" s="5">
        <v>6103</v>
      </c>
      <c r="E385" s="5">
        <v>2109</v>
      </c>
      <c r="F385" s="5">
        <v>20</v>
      </c>
      <c r="G385" s="5">
        <v>1</v>
      </c>
      <c r="H385" s="5">
        <v>6083</v>
      </c>
      <c r="I385" s="6">
        <v>1</v>
      </c>
      <c r="J385" s="6">
        <v>6.5</v>
      </c>
      <c r="K385" s="6">
        <v>9</v>
      </c>
      <c r="L385" s="6">
        <v>9</v>
      </c>
      <c r="M385" s="4" t="str">
        <f t="shared" si="15"/>
        <v>OK</v>
      </c>
      <c r="N385" s="7">
        <f t="shared" si="16"/>
        <v>1.7889753623825645E-2</v>
      </c>
      <c r="O385" s="7">
        <f>SUMIFS($D$2:D385,$B$2:B385,B385)/SUMIFS($D$2:$D$741,$B$2:$B$741,B385)</f>
        <v>0.8396810740301045</v>
      </c>
      <c r="P385" s="4" t="b">
        <f t="shared" si="17"/>
        <v>1</v>
      </c>
      <c r="Q385" s="4" t="s">
        <v>192</v>
      </c>
      <c r="R385" s="4" t="s">
        <v>373</v>
      </c>
      <c r="S385" s="4" t="s">
        <v>25</v>
      </c>
      <c r="T385" s="4" t="s">
        <v>379</v>
      </c>
    </row>
    <row r="386" spans="1:20" x14ac:dyDescent="0.45">
      <c r="A386" s="4" t="s">
        <v>511</v>
      </c>
      <c r="B386" s="4" t="s">
        <v>492</v>
      </c>
      <c r="C386" s="5">
        <v>2</v>
      </c>
      <c r="D386" s="5">
        <v>5693</v>
      </c>
      <c r="E386" s="5">
        <v>1353</v>
      </c>
      <c r="F386" s="5">
        <v>34</v>
      </c>
      <c r="G386" s="5">
        <v>17</v>
      </c>
      <c r="H386" s="5">
        <v>5659</v>
      </c>
      <c r="I386" s="6">
        <v>2</v>
      </c>
      <c r="J386" s="6">
        <v>15.8</v>
      </c>
      <c r="K386" s="6">
        <v>15</v>
      </c>
      <c r="L386" s="6">
        <v>15</v>
      </c>
      <c r="M386" s="4" t="str">
        <f t="shared" ref="M386:M449" si="18">IF(AND(K386="",L386=""),"No closed tickets",IF(K386="","MISSING in catalog",IF(L386="","No valid closed tickets",IF(AND(ABS(K386-L386)&gt;=$W$3,ABS(K386-L386)&gt;=$W$4*MAX(L386,1)),"FAR OFF","OK"))))</f>
        <v>OK</v>
      </c>
      <c r="N386" s="7">
        <f t="shared" ref="N386:N449" si="19">D386/SUMIFS($D$2:$D$741,$B$2:$B$741,B386)</f>
        <v>1.66879186269768E-2</v>
      </c>
      <c r="O386" s="7">
        <f>SUMIFS($D$2:D386,$B$2:B386,B386)/SUMIFS($D$2:$D$741,$B$2:$B$741,B386)</f>
        <v>0.85636899265708133</v>
      </c>
      <c r="P386" s="4" t="b">
        <f t="shared" ref="P386:P449" si="20">O386-N386&lt;$W$2</f>
        <v>1</v>
      </c>
      <c r="Q386" s="4" t="s">
        <v>192</v>
      </c>
      <c r="R386" s="4" t="s">
        <v>373</v>
      </c>
      <c r="S386" s="4" t="s">
        <v>109</v>
      </c>
      <c r="T386" s="4" t="s">
        <v>512</v>
      </c>
    </row>
    <row r="387" spans="1:20" x14ac:dyDescent="0.45">
      <c r="A387" s="4" t="s">
        <v>513</v>
      </c>
      <c r="B387" s="4" t="s">
        <v>492</v>
      </c>
      <c r="C387" s="5">
        <v>2</v>
      </c>
      <c r="D387" s="5">
        <v>4893</v>
      </c>
      <c r="E387" s="5">
        <v>930</v>
      </c>
      <c r="F387" s="5">
        <v>351</v>
      </c>
      <c r="G387" s="5">
        <v>351</v>
      </c>
      <c r="H387" s="5">
        <v>4218</v>
      </c>
      <c r="I387" s="6">
        <v>2</v>
      </c>
      <c r="J387" s="6">
        <v>23.2</v>
      </c>
      <c r="K387" s="6">
        <v>53</v>
      </c>
      <c r="L387" s="6">
        <v>53</v>
      </c>
      <c r="M387" s="4" t="str">
        <f t="shared" si="18"/>
        <v>OK</v>
      </c>
      <c r="N387" s="7">
        <f t="shared" si="19"/>
        <v>1.4342874730686366E-2</v>
      </c>
      <c r="O387" s="7">
        <f>SUMIFS($D$2:D387,$B$2:B387,B387)/SUMIFS($D$2:$D$741,$B$2:$B$741,B387)</f>
        <v>0.87071186738776762</v>
      </c>
      <c r="P387" s="4" t="b">
        <f t="shared" si="20"/>
        <v>1</v>
      </c>
      <c r="Q387" s="4" t="s">
        <v>23</v>
      </c>
      <c r="R387" s="4" t="s">
        <v>105</v>
      </c>
      <c r="S387" s="4" t="s">
        <v>109</v>
      </c>
      <c r="T387" s="4" t="s">
        <v>514</v>
      </c>
    </row>
    <row r="388" spans="1:20" x14ac:dyDescent="0.45">
      <c r="A388" s="4" t="s">
        <v>515</v>
      </c>
      <c r="B388" s="4" t="s">
        <v>492</v>
      </c>
      <c r="C388" s="5">
        <v>1</v>
      </c>
      <c r="D388" s="5">
        <v>4710</v>
      </c>
      <c r="E388" s="5">
        <v>1285</v>
      </c>
      <c r="F388" s="5">
        <v>2004</v>
      </c>
      <c r="G388" s="5">
        <v>1778</v>
      </c>
      <c r="H388" s="5">
        <v>2705</v>
      </c>
      <c r="I388" s="6">
        <v>28</v>
      </c>
      <c r="J388" s="6">
        <v>70.099999999999994</v>
      </c>
      <c r="K388" s="6">
        <v>196</v>
      </c>
      <c r="L388" s="6">
        <v>195</v>
      </c>
      <c r="M388" s="4" t="str">
        <f t="shared" si="18"/>
        <v>OK</v>
      </c>
      <c r="N388" s="7">
        <f t="shared" si="19"/>
        <v>1.3806445939409929E-2</v>
      </c>
      <c r="O388" s="7">
        <f>SUMIFS($D$2:D388,$B$2:B388,B388)/SUMIFS($D$2:$D$741,$B$2:$B$741,B388)</f>
        <v>0.88451831332717756</v>
      </c>
      <c r="P388" s="4" t="b">
        <f t="shared" si="20"/>
        <v>1</v>
      </c>
      <c r="Q388" s="4" t="s">
        <v>23</v>
      </c>
      <c r="R388" s="4" t="s">
        <v>289</v>
      </c>
      <c r="S388" s="4" t="s">
        <v>25</v>
      </c>
      <c r="T388" s="4" t="s">
        <v>516</v>
      </c>
    </row>
    <row r="389" spans="1:20" x14ac:dyDescent="0.45">
      <c r="A389" s="4" t="s">
        <v>517</v>
      </c>
      <c r="B389" s="4" t="s">
        <v>492</v>
      </c>
      <c r="C389" s="5">
        <v>1</v>
      </c>
      <c r="D389" s="5">
        <v>4633</v>
      </c>
      <c r="E389" s="5">
        <v>1634</v>
      </c>
      <c r="F389" s="5">
        <v>0</v>
      </c>
      <c r="G389" s="5">
        <v>0</v>
      </c>
      <c r="H389" s="5">
        <v>4633</v>
      </c>
      <c r="I389" s="6">
        <v>2</v>
      </c>
      <c r="J389" s="6">
        <v>6.1</v>
      </c>
      <c r="K389" s="6">
        <v>13</v>
      </c>
      <c r="L389" s="6">
        <v>13</v>
      </c>
      <c r="M389" s="4" t="str">
        <f t="shared" si="18"/>
        <v>OK</v>
      </c>
      <c r="N389" s="7">
        <f t="shared" si="19"/>
        <v>1.3580735464391975E-2</v>
      </c>
      <c r="O389" s="7">
        <f>SUMIFS($D$2:D389,$B$2:B389,B389)/SUMIFS($D$2:$D$741,$B$2:$B$741,B389)</f>
        <v>0.89809904879156954</v>
      </c>
      <c r="P389" s="4" t="b">
        <f t="shared" si="20"/>
        <v>1</v>
      </c>
      <c r="Q389" s="4" t="s">
        <v>192</v>
      </c>
      <c r="R389" s="4" t="s">
        <v>467</v>
      </c>
      <c r="S389" s="4" t="s">
        <v>25</v>
      </c>
      <c r="T389" s="4" t="s">
        <v>468</v>
      </c>
    </row>
    <row r="390" spans="1:20" x14ac:dyDescent="0.45">
      <c r="A390" s="4" t="s">
        <v>518</v>
      </c>
      <c r="B390" s="4" t="s">
        <v>492</v>
      </c>
      <c r="C390" s="5">
        <v>2</v>
      </c>
      <c r="D390" s="5">
        <v>4548</v>
      </c>
      <c r="E390" s="5">
        <v>911</v>
      </c>
      <c r="F390" s="5">
        <v>453</v>
      </c>
      <c r="G390" s="5">
        <v>402</v>
      </c>
      <c r="H390" s="5">
        <v>3784</v>
      </c>
      <c r="I390" s="6">
        <v>3</v>
      </c>
      <c r="J390" s="6">
        <v>50.8</v>
      </c>
      <c r="K390" s="6">
        <v>157</v>
      </c>
      <c r="L390" s="6">
        <v>157</v>
      </c>
      <c r="M390" s="4" t="str">
        <f t="shared" si="18"/>
        <v>OK</v>
      </c>
      <c r="N390" s="7">
        <f t="shared" si="19"/>
        <v>1.3331574550411115E-2</v>
      </c>
      <c r="O390" s="7">
        <f>SUMIFS($D$2:D390,$B$2:B390,B390)/SUMIFS($D$2:$D$741,$B$2:$B$741,B390)</f>
        <v>0.91143062334198066</v>
      </c>
      <c r="P390" s="4" t="b">
        <f t="shared" si="20"/>
        <v>1</v>
      </c>
      <c r="Q390" s="4" t="s">
        <v>192</v>
      </c>
      <c r="R390" s="4" t="s">
        <v>373</v>
      </c>
      <c r="S390" s="4" t="s">
        <v>25</v>
      </c>
      <c r="T390" s="4" t="s">
        <v>379</v>
      </c>
    </row>
    <row r="391" spans="1:20" x14ac:dyDescent="0.45">
      <c r="A391" s="4" t="s">
        <v>519</v>
      </c>
      <c r="B391" s="4" t="s">
        <v>492</v>
      </c>
      <c r="C391" s="5">
        <v>2</v>
      </c>
      <c r="D391" s="5">
        <v>4346</v>
      </c>
      <c r="E391" s="5">
        <v>780</v>
      </c>
      <c r="F391" s="5">
        <v>2071</v>
      </c>
      <c r="G391" s="5">
        <v>2071</v>
      </c>
      <c r="H391" s="5">
        <v>2265</v>
      </c>
      <c r="I391" s="6">
        <v>325</v>
      </c>
      <c r="J391" s="6">
        <v>309.60000000000002</v>
      </c>
      <c r="K391" s="6">
        <v>586</v>
      </c>
      <c r="L391" s="6">
        <v>582</v>
      </c>
      <c r="M391" s="4" t="str">
        <f t="shared" si="18"/>
        <v>OK</v>
      </c>
      <c r="N391" s="7">
        <f t="shared" si="19"/>
        <v>1.273945096659778E-2</v>
      </c>
      <c r="O391" s="7">
        <f>SUMIFS($D$2:D391,$B$2:B391,B391)/SUMIFS($D$2:$D$741,$B$2:$B$741,B391)</f>
        <v>0.92417007430857845</v>
      </c>
      <c r="P391" s="4" t="b">
        <f t="shared" si="20"/>
        <v>1</v>
      </c>
      <c r="Q391" s="4" t="s">
        <v>23</v>
      </c>
      <c r="R391" s="4" t="s">
        <v>289</v>
      </c>
      <c r="S391" s="4" t="s">
        <v>25</v>
      </c>
      <c r="T391" s="4" t="s">
        <v>520</v>
      </c>
    </row>
    <row r="392" spans="1:20" x14ac:dyDescent="0.45">
      <c r="A392" s="4" t="s">
        <v>521</v>
      </c>
      <c r="B392" s="4" t="s">
        <v>492</v>
      </c>
      <c r="C392" s="5">
        <v>1</v>
      </c>
      <c r="D392" s="5">
        <v>3438</v>
      </c>
      <c r="E392" s="5">
        <v>856</v>
      </c>
      <c r="F392" s="5">
        <v>46</v>
      </c>
      <c r="G392" s="5">
        <v>42</v>
      </c>
      <c r="H392" s="5">
        <v>3392</v>
      </c>
      <c r="I392" s="6">
        <v>2</v>
      </c>
      <c r="J392" s="6">
        <v>4.2</v>
      </c>
      <c r="K392" s="6">
        <v>9</v>
      </c>
      <c r="L392" s="6">
        <v>9</v>
      </c>
      <c r="M392" s="4" t="str">
        <f t="shared" si="18"/>
        <v>OK</v>
      </c>
      <c r="N392" s="7">
        <f t="shared" si="19"/>
        <v>1.0077826144308138E-2</v>
      </c>
      <c r="O392" s="7">
        <f>SUMIFS($D$2:D392,$B$2:B392,B392)/SUMIFS($D$2:$D$741,$B$2:$B$741,B392)</f>
        <v>0.93424790045288664</v>
      </c>
      <c r="P392" s="4" t="b">
        <f t="shared" si="20"/>
        <v>1</v>
      </c>
      <c r="Q392" s="4" t="s">
        <v>23</v>
      </c>
      <c r="R392" s="4" t="s">
        <v>24</v>
      </c>
      <c r="S392" s="4" t="s">
        <v>25</v>
      </c>
      <c r="T392" s="4" t="s">
        <v>26</v>
      </c>
    </row>
    <row r="393" spans="1:20" x14ac:dyDescent="0.45">
      <c r="A393" s="4" t="s">
        <v>522</v>
      </c>
      <c r="B393" s="4" t="s">
        <v>492</v>
      </c>
      <c r="C393" s="5">
        <v>2</v>
      </c>
      <c r="D393" s="5">
        <v>2418</v>
      </c>
      <c r="E393" s="5">
        <v>622</v>
      </c>
      <c r="F393" s="5">
        <v>0</v>
      </c>
      <c r="G393" s="5">
        <v>0</v>
      </c>
      <c r="H393" s="5">
        <v>2391</v>
      </c>
      <c r="I393" s="6">
        <v>0</v>
      </c>
      <c r="J393" s="6">
        <v>18.100000000000001</v>
      </c>
      <c r="K393" s="6">
        <v>58</v>
      </c>
      <c r="L393" s="6">
        <v>58</v>
      </c>
      <c r="M393" s="4" t="str">
        <f t="shared" si="18"/>
        <v>OK</v>
      </c>
      <c r="N393" s="7">
        <f t="shared" si="19"/>
        <v>7.0878951765378359E-3</v>
      </c>
      <c r="O393" s="7">
        <f>SUMIFS($D$2:D393,$B$2:B393,B393)/SUMIFS($D$2:$D$741,$B$2:$B$741,B393)</f>
        <v>0.94133579562942449</v>
      </c>
      <c r="P393" s="4" t="b">
        <f t="shared" si="20"/>
        <v>1</v>
      </c>
      <c r="Q393" s="4" t="s">
        <v>192</v>
      </c>
      <c r="R393" s="4" t="s">
        <v>496</v>
      </c>
      <c r="S393" s="4" t="s">
        <v>25</v>
      </c>
      <c r="T393" s="4" t="s">
        <v>497</v>
      </c>
    </row>
    <row r="394" spans="1:20" x14ac:dyDescent="0.45">
      <c r="A394" s="4" t="s">
        <v>523</v>
      </c>
      <c r="B394" s="4" t="s">
        <v>492</v>
      </c>
      <c r="C394" s="5">
        <v>2</v>
      </c>
      <c r="D394" s="5">
        <v>2033</v>
      </c>
      <c r="E394" s="5">
        <v>419</v>
      </c>
      <c r="F394" s="5">
        <v>50</v>
      </c>
      <c r="G394" s="5">
        <v>7</v>
      </c>
      <c r="H394" s="5">
        <v>1983</v>
      </c>
      <c r="I394" s="6">
        <v>26</v>
      </c>
      <c r="J394" s="6">
        <v>36.5</v>
      </c>
      <c r="K394" s="6">
        <v>76</v>
      </c>
      <c r="L394" s="6">
        <v>76</v>
      </c>
      <c r="M394" s="4" t="str">
        <f t="shared" si="18"/>
        <v>OK</v>
      </c>
      <c r="N394" s="7">
        <f t="shared" si="19"/>
        <v>5.9593428014480644E-3</v>
      </c>
      <c r="O394" s="7">
        <f>SUMIFS($D$2:D394,$B$2:B394,B394)/SUMIFS($D$2:$D$741,$B$2:$B$741,B394)</f>
        <v>0.94729513843087254</v>
      </c>
      <c r="P394" s="4" t="b">
        <f t="shared" si="20"/>
        <v>1</v>
      </c>
      <c r="Q394" s="4" t="s">
        <v>23</v>
      </c>
      <c r="R394" s="4" t="s">
        <v>30</v>
      </c>
      <c r="S394" s="4" t="s">
        <v>25</v>
      </c>
      <c r="T394" s="4" t="s">
        <v>31</v>
      </c>
    </row>
    <row r="395" spans="1:20" x14ac:dyDescent="0.45">
      <c r="A395" s="4" t="s">
        <v>524</v>
      </c>
      <c r="B395" s="4" t="s">
        <v>492</v>
      </c>
      <c r="C395" s="5">
        <v>1</v>
      </c>
      <c r="D395" s="5">
        <v>1719</v>
      </c>
      <c r="E395" s="5">
        <v>455</v>
      </c>
      <c r="F395" s="5">
        <v>46</v>
      </c>
      <c r="G395" s="5">
        <v>45</v>
      </c>
      <c r="H395" s="5">
        <v>1673</v>
      </c>
      <c r="I395" s="6">
        <v>0</v>
      </c>
      <c r="J395" s="6">
        <v>9.1999999999999993</v>
      </c>
      <c r="K395" s="6">
        <v>7</v>
      </c>
      <c r="L395" s="6">
        <v>7</v>
      </c>
      <c r="M395" s="4" t="str">
        <f t="shared" si="18"/>
        <v>OK</v>
      </c>
      <c r="N395" s="7">
        <f t="shared" si="19"/>
        <v>5.0389130721540691E-3</v>
      </c>
      <c r="O395" s="7">
        <f>SUMIFS($D$2:D395,$B$2:B395,B395)/SUMIFS($D$2:$D$741,$B$2:$B$741,B395)</f>
        <v>0.95233405150302652</v>
      </c>
      <c r="P395" s="4" t="b">
        <f t="shared" si="20"/>
        <v>1</v>
      </c>
      <c r="Q395" s="4" t="s">
        <v>23</v>
      </c>
      <c r="R395" s="4" t="s">
        <v>289</v>
      </c>
      <c r="S395" s="4" t="s">
        <v>25</v>
      </c>
      <c r="T395" s="4" t="s">
        <v>290</v>
      </c>
    </row>
    <row r="396" spans="1:20" x14ac:dyDescent="0.45">
      <c r="A396" s="4" t="s">
        <v>525</v>
      </c>
      <c r="B396" s="4" t="s">
        <v>492</v>
      </c>
      <c r="C396" s="5">
        <v>2</v>
      </c>
      <c r="D396" s="5">
        <v>1554</v>
      </c>
      <c r="E396" s="5">
        <v>398</v>
      </c>
      <c r="F396" s="5">
        <v>205</v>
      </c>
      <c r="G396" s="5">
        <v>93</v>
      </c>
      <c r="H396" s="5">
        <v>1349</v>
      </c>
      <c r="I396" s="6">
        <v>5</v>
      </c>
      <c r="J396" s="6">
        <v>13.9</v>
      </c>
      <c r="K396" s="6">
        <v>28</v>
      </c>
      <c r="L396" s="6">
        <v>28</v>
      </c>
      <c r="M396" s="4" t="str">
        <f t="shared" si="18"/>
        <v>OK</v>
      </c>
      <c r="N396" s="7">
        <f t="shared" si="19"/>
        <v>4.5552477685441677E-3</v>
      </c>
      <c r="O396" s="7">
        <f>SUMIFS($D$2:D396,$B$2:B396,B396)/SUMIFS($D$2:$D$741,$B$2:$B$741,B396)</f>
        <v>0.95688929927157074</v>
      </c>
      <c r="P396" s="4" t="b">
        <f t="shared" si="20"/>
        <v>0</v>
      </c>
      <c r="Q396" s="4" t="s">
        <v>23</v>
      </c>
      <c r="R396" s="4" t="s">
        <v>289</v>
      </c>
      <c r="S396" s="4" t="s">
        <v>25</v>
      </c>
      <c r="T396" s="4" t="s">
        <v>290</v>
      </c>
    </row>
    <row r="397" spans="1:20" x14ac:dyDescent="0.45">
      <c r="A397" s="4" t="s">
        <v>526</v>
      </c>
      <c r="B397" s="4" t="s">
        <v>492</v>
      </c>
      <c r="C397" s="5">
        <v>1</v>
      </c>
      <c r="D397" s="5">
        <v>1456</v>
      </c>
      <c r="E397" s="5">
        <v>1456</v>
      </c>
      <c r="F397" s="5">
        <v>970</v>
      </c>
      <c r="G397" s="5">
        <v>207</v>
      </c>
      <c r="H397" s="5">
        <v>470</v>
      </c>
      <c r="I397" s="6">
        <v>13</v>
      </c>
      <c r="J397" s="6">
        <v>13.9</v>
      </c>
      <c r="K397" s="6">
        <v>21</v>
      </c>
      <c r="L397" s="6">
        <v>21</v>
      </c>
      <c r="M397" s="4" t="str">
        <f t="shared" si="18"/>
        <v>OK</v>
      </c>
      <c r="N397" s="7">
        <f t="shared" si="19"/>
        <v>4.2679798912485896E-3</v>
      </c>
      <c r="O397" s="7">
        <f>SUMIFS($D$2:D397,$B$2:B397,B397)/SUMIFS($D$2:$D$741,$B$2:$B$741,B397)</f>
        <v>0.96115727916281934</v>
      </c>
      <c r="P397" s="4" t="b">
        <f t="shared" si="20"/>
        <v>0</v>
      </c>
      <c r="Q397" s="4" t="s">
        <v>192</v>
      </c>
      <c r="R397" s="4" t="s">
        <v>373</v>
      </c>
      <c r="S397" s="4" t="s">
        <v>25</v>
      </c>
      <c r="T397" s="4" t="s">
        <v>379</v>
      </c>
    </row>
    <row r="398" spans="1:20" x14ac:dyDescent="0.45">
      <c r="A398" s="4" t="s">
        <v>527</v>
      </c>
      <c r="B398" s="4" t="s">
        <v>492</v>
      </c>
      <c r="C398" s="5">
        <v>2</v>
      </c>
      <c r="D398" s="5">
        <v>1395</v>
      </c>
      <c r="E398" s="5">
        <v>0</v>
      </c>
      <c r="F398" s="5">
        <v>34</v>
      </c>
      <c r="G398" s="5">
        <v>34</v>
      </c>
      <c r="H398" s="5">
        <v>1361</v>
      </c>
      <c r="I398" s="6">
        <v>6</v>
      </c>
      <c r="J398" s="6">
        <v>10</v>
      </c>
      <c r="K398" s="6">
        <v>23</v>
      </c>
      <c r="L398" s="6">
        <v>23</v>
      </c>
      <c r="M398" s="4" t="str">
        <f t="shared" si="18"/>
        <v>OK</v>
      </c>
      <c r="N398" s="7">
        <f t="shared" si="19"/>
        <v>4.0891702941564436E-3</v>
      </c>
      <c r="O398" s="7">
        <f>SUMIFS($D$2:D398,$B$2:B398,B398)/SUMIFS($D$2:$D$741,$B$2:$B$741,B398)</f>
        <v>0.9652464494569758</v>
      </c>
      <c r="P398" s="4" t="b">
        <f t="shared" si="20"/>
        <v>0</v>
      </c>
      <c r="Q398" s="4" t="s">
        <v>23</v>
      </c>
      <c r="R398" s="4" t="s">
        <v>75</v>
      </c>
      <c r="S398" s="4" t="s">
        <v>25</v>
      </c>
      <c r="T398" s="4" t="s">
        <v>76</v>
      </c>
    </row>
    <row r="399" spans="1:20" x14ac:dyDescent="0.45">
      <c r="A399" s="4" t="s">
        <v>528</v>
      </c>
      <c r="B399" s="4" t="s">
        <v>492</v>
      </c>
      <c r="C399" s="5">
        <v>2</v>
      </c>
      <c r="D399" s="5">
        <v>1357</v>
      </c>
      <c r="E399" s="5">
        <v>313</v>
      </c>
      <c r="F399" s="5">
        <v>34</v>
      </c>
      <c r="G399" s="5">
        <v>16</v>
      </c>
      <c r="H399" s="5">
        <v>1323</v>
      </c>
      <c r="I399" s="6">
        <v>82</v>
      </c>
      <c r="J399" s="6">
        <v>126.2</v>
      </c>
      <c r="K399" s="6">
        <v>410</v>
      </c>
      <c r="L399" s="6">
        <v>410</v>
      </c>
      <c r="M399" s="4" t="str">
        <f t="shared" si="18"/>
        <v>OK</v>
      </c>
      <c r="N399" s="7">
        <f t="shared" si="19"/>
        <v>3.9777807090826478E-3</v>
      </c>
      <c r="O399" s="7">
        <f>SUMIFS($D$2:D399,$B$2:B399,B399)/SUMIFS($D$2:$D$741,$B$2:$B$741,B399)</f>
        <v>0.96922423016605841</v>
      </c>
      <c r="P399" s="4" t="b">
        <f t="shared" si="20"/>
        <v>0</v>
      </c>
      <c r="Q399" s="4" t="s">
        <v>192</v>
      </c>
      <c r="R399" s="4" t="s">
        <v>496</v>
      </c>
      <c r="S399" s="4" t="s">
        <v>25</v>
      </c>
      <c r="T399" s="4" t="s">
        <v>497</v>
      </c>
    </row>
    <row r="400" spans="1:20" x14ac:dyDescent="0.45">
      <c r="A400" s="4" t="s">
        <v>529</v>
      </c>
      <c r="B400" s="4" t="s">
        <v>492</v>
      </c>
      <c r="C400" s="5">
        <v>2</v>
      </c>
      <c r="D400" s="5">
        <v>1210</v>
      </c>
      <c r="E400" s="5">
        <v>254</v>
      </c>
      <c r="F400" s="5">
        <v>32</v>
      </c>
      <c r="G400" s="5">
        <v>13</v>
      </c>
      <c r="H400" s="5">
        <v>1178</v>
      </c>
      <c r="I400" s="6">
        <v>20</v>
      </c>
      <c r="J400" s="6">
        <v>27.2</v>
      </c>
      <c r="K400" s="6">
        <v>67</v>
      </c>
      <c r="L400" s="6">
        <v>67</v>
      </c>
      <c r="M400" s="4" t="str">
        <f t="shared" si="18"/>
        <v>OK</v>
      </c>
      <c r="N400" s="7">
        <f t="shared" si="19"/>
        <v>3.5468788931392811E-3</v>
      </c>
      <c r="O400" s="7">
        <f>SUMIFS($D$2:D400,$B$2:B400,B400)/SUMIFS($D$2:$D$741,$B$2:$B$741,B400)</f>
        <v>0.97277110905919772</v>
      </c>
      <c r="P400" s="4" t="b">
        <f t="shared" si="20"/>
        <v>0</v>
      </c>
      <c r="Q400" s="4" t="s">
        <v>23</v>
      </c>
      <c r="R400" s="4" t="s">
        <v>289</v>
      </c>
      <c r="S400" s="4" t="s">
        <v>25</v>
      </c>
      <c r="T400" s="4" t="s">
        <v>290</v>
      </c>
    </row>
    <row r="401" spans="1:20" x14ac:dyDescent="0.45">
      <c r="A401" s="4" t="s">
        <v>530</v>
      </c>
      <c r="B401" s="4" t="s">
        <v>492</v>
      </c>
      <c r="C401" s="5">
        <v>2</v>
      </c>
      <c r="D401" s="5">
        <v>942</v>
      </c>
      <c r="E401" s="5">
        <v>0</v>
      </c>
      <c r="F401" s="5">
        <v>4</v>
      </c>
      <c r="G401" s="5">
        <v>4</v>
      </c>
      <c r="H401" s="5">
        <v>906</v>
      </c>
      <c r="I401" s="6">
        <v>3</v>
      </c>
      <c r="J401" s="6">
        <v>8.9</v>
      </c>
      <c r="K401" s="6">
        <v>13</v>
      </c>
      <c r="L401" s="6">
        <v>13</v>
      </c>
      <c r="M401" s="4" t="str">
        <f t="shared" si="18"/>
        <v>OK</v>
      </c>
      <c r="N401" s="7">
        <f t="shared" si="19"/>
        <v>2.7612891878819857E-3</v>
      </c>
      <c r="O401" s="7">
        <f>SUMIFS($D$2:D401,$B$2:B401,B401)/SUMIFS($D$2:$D$741,$B$2:$B$741,B401)</f>
        <v>0.97553239824707971</v>
      </c>
      <c r="P401" s="4" t="b">
        <f t="shared" si="20"/>
        <v>0</v>
      </c>
      <c r="Q401" s="4" t="s">
        <v>192</v>
      </c>
      <c r="R401" s="4" t="s">
        <v>373</v>
      </c>
      <c r="S401" s="4" t="s">
        <v>25</v>
      </c>
      <c r="T401" s="4" t="s">
        <v>379</v>
      </c>
    </row>
    <row r="402" spans="1:20" x14ac:dyDescent="0.45">
      <c r="A402" s="4" t="s">
        <v>531</v>
      </c>
      <c r="B402" s="4" t="s">
        <v>492</v>
      </c>
      <c r="C402" s="5">
        <v>2</v>
      </c>
      <c r="D402" s="5">
        <v>805</v>
      </c>
      <c r="E402" s="5">
        <v>154</v>
      </c>
      <c r="F402" s="5">
        <v>492</v>
      </c>
      <c r="G402" s="5">
        <v>476</v>
      </c>
      <c r="H402" s="5">
        <v>313</v>
      </c>
      <c r="I402" s="6">
        <v>10</v>
      </c>
      <c r="J402" s="6">
        <v>121.6</v>
      </c>
      <c r="K402" s="6">
        <v>542</v>
      </c>
      <c r="L402" s="6">
        <v>541.79999999999995</v>
      </c>
      <c r="M402" s="4" t="str">
        <f t="shared" si="18"/>
        <v>OK</v>
      </c>
      <c r="N402" s="7">
        <f t="shared" si="19"/>
        <v>2.3597004206422491E-3</v>
      </c>
      <c r="O402" s="7">
        <f>SUMIFS($D$2:D402,$B$2:B402,B402)/SUMIFS($D$2:$D$741,$B$2:$B$741,B402)</f>
        <v>0.97789209866772198</v>
      </c>
      <c r="P402" s="4" t="b">
        <f t="shared" si="20"/>
        <v>0</v>
      </c>
      <c r="Q402" s="4" t="s">
        <v>192</v>
      </c>
      <c r="R402" s="4" t="s">
        <v>496</v>
      </c>
      <c r="S402" s="4" t="s">
        <v>25</v>
      </c>
      <c r="T402" s="4" t="s">
        <v>497</v>
      </c>
    </row>
    <row r="403" spans="1:20" x14ac:dyDescent="0.45">
      <c r="A403" s="4" t="s">
        <v>532</v>
      </c>
      <c r="B403" s="4" t="s">
        <v>492</v>
      </c>
      <c r="C403" s="5">
        <v>1</v>
      </c>
      <c r="D403" s="5">
        <v>770</v>
      </c>
      <c r="E403" s="5">
        <v>412</v>
      </c>
      <c r="F403" s="5">
        <v>490</v>
      </c>
      <c r="G403" s="5">
        <v>224</v>
      </c>
      <c r="H403" s="5">
        <v>280</v>
      </c>
      <c r="I403" s="6">
        <v>303</v>
      </c>
      <c r="J403" s="6">
        <v>293.7</v>
      </c>
      <c r="K403" s="6">
        <v>470</v>
      </c>
      <c r="L403" s="6">
        <v>470.3</v>
      </c>
      <c r="M403" s="4" t="str">
        <f t="shared" si="18"/>
        <v>OK</v>
      </c>
      <c r="N403" s="7">
        <f t="shared" si="19"/>
        <v>2.2571047501795424E-3</v>
      </c>
      <c r="O403" s="7">
        <f>SUMIFS($D$2:D403,$B$2:B403,B403)/SUMIFS($D$2:$D$741,$B$2:$B$741,B403)</f>
        <v>0.98014920341790146</v>
      </c>
      <c r="P403" s="4" t="b">
        <f t="shared" si="20"/>
        <v>0</v>
      </c>
      <c r="Q403" s="4" t="s">
        <v>23</v>
      </c>
      <c r="R403" s="4" t="s">
        <v>289</v>
      </c>
      <c r="S403" s="4" t="s">
        <v>25</v>
      </c>
      <c r="T403" s="4" t="s">
        <v>533</v>
      </c>
    </row>
    <row r="404" spans="1:20" x14ac:dyDescent="0.45">
      <c r="A404" s="4" t="s">
        <v>534</v>
      </c>
      <c r="B404" s="4" t="s">
        <v>492</v>
      </c>
      <c r="C404" s="5">
        <v>1</v>
      </c>
      <c r="D404" s="5">
        <v>597</v>
      </c>
      <c r="E404" s="5">
        <v>164</v>
      </c>
      <c r="F404" s="5">
        <v>74</v>
      </c>
      <c r="G404" s="5">
        <v>73</v>
      </c>
      <c r="H404" s="5">
        <v>523</v>
      </c>
      <c r="I404" s="6">
        <v>46</v>
      </c>
      <c r="J404" s="6">
        <v>203.7</v>
      </c>
      <c r="K404" s="6">
        <v>461</v>
      </c>
      <c r="L404" s="6">
        <v>460.8</v>
      </c>
      <c r="M404" s="4" t="str">
        <f t="shared" si="18"/>
        <v>OK</v>
      </c>
      <c r="N404" s="7">
        <f t="shared" si="19"/>
        <v>1.7499890076067362E-3</v>
      </c>
      <c r="O404" s="7">
        <f>SUMIFS($D$2:D404,$B$2:B404,B404)/SUMIFS($D$2:$D$741,$B$2:$B$741,B404)</f>
        <v>0.98189919242550816</v>
      </c>
      <c r="P404" s="4" t="b">
        <f t="shared" si="20"/>
        <v>0</v>
      </c>
      <c r="Q404" s="4" t="s">
        <v>23</v>
      </c>
      <c r="R404" s="4" t="s">
        <v>477</v>
      </c>
      <c r="S404" s="4" t="s">
        <v>25</v>
      </c>
      <c r="T404" s="4" t="s">
        <v>535</v>
      </c>
    </row>
    <row r="405" spans="1:20" x14ac:dyDescent="0.45">
      <c r="A405" s="4" t="s">
        <v>536</v>
      </c>
      <c r="B405" s="4" t="s">
        <v>492</v>
      </c>
      <c r="C405" s="5">
        <v>1</v>
      </c>
      <c r="D405" s="5">
        <v>522</v>
      </c>
      <c r="E405" s="5">
        <v>64</v>
      </c>
      <c r="F405" s="5">
        <v>4</v>
      </c>
      <c r="G405" s="5">
        <v>4</v>
      </c>
      <c r="H405" s="5">
        <v>518</v>
      </c>
      <c r="I405" s="6">
        <v>0</v>
      </c>
      <c r="J405" s="6">
        <v>3.8</v>
      </c>
      <c r="K405" s="6">
        <v>0</v>
      </c>
      <c r="L405" s="6">
        <v>0</v>
      </c>
      <c r="M405" s="4" t="str">
        <f t="shared" si="18"/>
        <v>OK</v>
      </c>
      <c r="N405" s="7">
        <f t="shared" si="19"/>
        <v>1.530141142329508E-3</v>
      </c>
      <c r="O405" s="7">
        <f>SUMIFS($D$2:D405,$B$2:B405,B405)/SUMIFS($D$2:$D$741,$B$2:$B$741,B405)</f>
        <v>0.98342933356783768</v>
      </c>
      <c r="P405" s="4" t="b">
        <f t="shared" si="20"/>
        <v>0</v>
      </c>
      <c r="Q405" s="4" t="s">
        <v>23</v>
      </c>
      <c r="R405" s="4" t="s">
        <v>75</v>
      </c>
      <c r="S405" s="4" t="s">
        <v>25</v>
      </c>
      <c r="T405" s="4" t="s">
        <v>76</v>
      </c>
    </row>
    <row r="406" spans="1:20" x14ac:dyDescent="0.45">
      <c r="A406" s="4" t="s">
        <v>537</v>
      </c>
      <c r="B406" s="4" t="s">
        <v>492</v>
      </c>
      <c r="C406" s="5">
        <v>2</v>
      </c>
      <c r="D406" s="5">
        <v>481</v>
      </c>
      <c r="E406" s="5">
        <v>0</v>
      </c>
      <c r="F406" s="5">
        <v>0</v>
      </c>
      <c r="G406" s="5">
        <v>0</v>
      </c>
      <c r="H406" s="5">
        <v>481</v>
      </c>
      <c r="I406" s="6">
        <v>12</v>
      </c>
      <c r="J406" s="6">
        <v>33</v>
      </c>
      <c r="K406" s="6">
        <v>70</v>
      </c>
      <c r="L406" s="6">
        <v>70</v>
      </c>
      <c r="M406" s="4" t="str">
        <f t="shared" si="18"/>
        <v>OK</v>
      </c>
      <c r="N406" s="7">
        <f t="shared" si="19"/>
        <v>1.4099576426446232E-3</v>
      </c>
      <c r="O406" s="7">
        <f>SUMIFS($D$2:D406,$B$2:B406,B406)/SUMIFS($D$2:$D$741,$B$2:$B$741,B406)</f>
        <v>0.9848392912104823</v>
      </c>
      <c r="P406" s="4" t="b">
        <f t="shared" si="20"/>
        <v>0</v>
      </c>
      <c r="Q406" s="4" t="s">
        <v>192</v>
      </c>
      <c r="R406" s="4" t="s">
        <v>373</v>
      </c>
      <c r="S406" s="4" t="s">
        <v>109</v>
      </c>
      <c r="T406" s="4" t="s">
        <v>538</v>
      </c>
    </row>
    <row r="407" spans="1:20" x14ac:dyDescent="0.45">
      <c r="A407" s="4" t="s">
        <v>539</v>
      </c>
      <c r="B407" s="4" t="s">
        <v>492</v>
      </c>
      <c r="C407" s="5">
        <v>2</v>
      </c>
      <c r="D407" s="5">
        <v>466</v>
      </c>
      <c r="E407" s="5">
        <v>96</v>
      </c>
      <c r="F407" s="5">
        <v>110</v>
      </c>
      <c r="G407" s="5">
        <v>102</v>
      </c>
      <c r="H407" s="5">
        <v>356</v>
      </c>
      <c r="I407" s="6">
        <v>2</v>
      </c>
      <c r="J407" s="6">
        <v>14.8</v>
      </c>
      <c r="K407" s="6">
        <v>22</v>
      </c>
      <c r="L407" s="6">
        <v>22</v>
      </c>
      <c r="M407" s="4" t="str">
        <f t="shared" si="18"/>
        <v>OK</v>
      </c>
      <c r="N407" s="7">
        <f t="shared" si="19"/>
        <v>1.3659880695891776E-3</v>
      </c>
      <c r="O407" s="7">
        <f>SUMIFS($D$2:D407,$B$2:B407,B407)/SUMIFS($D$2:$D$741,$B$2:$B$741,B407)</f>
        <v>0.98620527928007151</v>
      </c>
      <c r="P407" s="4" t="b">
        <f t="shared" si="20"/>
        <v>0</v>
      </c>
      <c r="Q407" s="4" t="s">
        <v>23</v>
      </c>
      <c r="R407" s="4" t="s">
        <v>289</v>
      </c>
      <c r="S407" s="4" t="s">
        <v>25</v>
      </c>
      <c r="T407" s="4" t="s">
        <v>290</v>
      </c>
    </row>
    <row r="408" spans="1:20" x14ac:dyDescent="0.45">
      <c r="A408" s="4" t="s">
        <v>540</v>
      </c>
      <c r="B408" s="4" t="s">
        <v>492</v>
      </c>
      <c r="C408" s="5">
        <v>2</v>
      </c>
      <c r="D408" s="5">
        <v>388</v>
      </c>
      <c r="E408" s="5">
        <v>0</v>
      </c>
      <c r="F408" s="5">
        <v>0</v>
      </c>
      <c r="G408" s="5">
        <v>0</v>
      </c>
      <c r="H408" s="5">
        <v>388</v>
      </c>
      <c r="I408" s="6">
        <v>7</v>
      </c>
      <c r="J408" s="6">
        <v>11.3</v>
      </c>
      <c r="K408" s="6">
        <v>27</v>
      </c>
      <c r="L408" s="6">
        <v>27</v>
      </c>
      <c r="M408" s="4" t="str">
        <f t="shared" si="18"/>
        <v>OK</v>
      </c>
      <c r="N408" s="7">
        <f t="shared" si="19"/>
        <v>1.1373462897008603E-3</v>
      </c>
      <c r="O408" s="7">
        <f>SUMIFS($D$2:D408,$B$2:B408,B408)/SUMIFS($D$2:$D$741,$B$2:$B$741,B408)</f>
        <v>0.98734262556977237</v>
      </c>
      <c r="P408" s="4" t="b">
        <f t="shared" si="20"/>
        <v>0</v>
      </c>
      <c r="Q408" s="4" t="s">
        <v>23</v>
      </c>
      <c r="R408" s="4" t="s">
        <v>289</v>
      </c>
      <c r="S408" s="4" t="s">
        <v>25</v>
      </c>
      <c r="T408" s="4" t="s">
        <v>290</v>
      </c>
    </row>
    <row r="409" spans="1:20" x14ac:dyDescent="0.45">
      <c r="A409" s="4" t="s">
        <v>541</v>
      </c>
      <c r="B409" s="4" t="s">
        <v>492</v>
      </c>
      <c r="C409" s="5">
        <v>2</v>
      </c>
      <c r="D409" s="5">
        <v>366</v>
      </c>
      <c r="E409" s="5">
        <v>0</v>
      </c>
      <c r="F409" s="5">
        <v>0</v>
      </c>
      <c r="G409" s="5">
        <v>0</v>
      </c>
      <c r="H409" s="5">
        <v>366</v>
      </c>
      <c r="I409" s="6">
        <v>2</v>
      </c>
      <c r="J409" s="6">
        <v>8.8000000000000007</v>
      </c>
      <c r="K409" s="6">
        <v>21</v>
      </c>
      <c r="L409" s="6">
        <v>21</v>
      </c>
      <c r="M409" s="4" t="str">
        <f t="shared" si="18"/>
        <v>OK</v>
      </c>
      <c r="N409" s="7">
        <f t="shared" si="19"/>
        <v>1.0728575825528733E-3</v>
      </c>
      <c r="O409" s="7">
        <f>SUMIFS($D$2:D409,$B$2:B409,B409)/SUMIFS($D$2:$D$741,$B$2:$B$741,B409)</f>
        <v>0.9884154831523253</v>
      </c>
      <c r="P409" s="4" t="b">
        <f t="shared" si="20"/>
        <v>0</v>
      </c>
      <c r="Q409" s="4" t="s">
        <v>23</v>
      </c>
      <c r="R409" s="4" t="s">
        <v>289</v>
      </c>
      <c r="S409" s="4" t="s">
        <v>25</v>
      </c>
      <c r="T409" s="4" t="s">
        <v>290</v>
      </c>
    </row>
    <row r="410" spans="1:20" x14ac:dyDescent="0.45">
      <c r="A410" s="4" t="s">
        <v>542</v>
      </c>
      <c r="B410" s="4" t="s">
        <v>492</v>
      </c>
      <c r="C410" s="5">
        <v>1</v>
      </c>
      <c r="D410" s="5">
        <v>347</v>
      </c>
      <c r="E410" s="5">
        <v>70</v>
      </c>
      <c r="F410" s="5">
        <v>53</v>
      </c>
      <c r="G410" s="5">
        <v>40</v>
      </c>
      <c r="H410" s="5">
        <v>294</v>
      </c>
      <c r="I410" s="6">
        <v>148</v>
      </c>
      <c r="J410" s="6">
        <v>202.4</v>
      </c>
      <c r="K410" s="6">
        <v>568</v>
      </c>
      <c r="L410" s="6">
        <v>567.6</v>
      </c>
      <c r="M410" s="4" t="str">
        <f t="shared" si="18"/>
        <v>OK</v>
      </c>
      <c r="N410" s="7">
        <f t="shared" si="19"/>
        <v>1.0171627900159757E-3</v>
      </c>
      <c r="O410" s="7">
        <f>SUMIFS($D$2:D410,$B$2:B410,B410)/SUMIFS($D$2:$D$741,$B$2:$B$741,B410)</f>
        <v>0.98943264594234126</v>
      </c>
      <c r="P410" s="4" t="b">
        <f t="shared" si="20"/>
        <v>0</v>
      </c>
      <c r="Q410" s="4" t="s">
        <v>23</v>
      </c>
      <c r="R410" s="4" t="s">
        <v>289</v>
      </c>
      <c r="S410" s="4" t="s">
        <v>25</v>
      </c>
      <c r="T410" s="4" t="s">
        <v>290</v>
      </c>
    </row>
    <row r="411" spans="1:20" x14ac:dyDescent="0.45">
      <c r="A411" s="4" t="s">
        <v>543</v>
      </c>
      <c r="B411" s="4" t="s">
        <v>492</v>
      </c>
      <c r="C411" s="5">
        <v>2</v>
      </c>
      <c r="D411" s="5">
        <v>329</v>
      </c>
      <c r="E411" s="5">
        <v>17</v>
      </c>
      <c r="F411" s="5">
        <v>1</v>
      </c>
      <c r="G411" s="5">
        <v>1</v>
      </c>
      <c r="H411" s="5">
        <v>328</v>
      </c>
      <c r="I411" s="6">
        <v>27</v>
      </c>
      <c r="J411" s="6">
        <v>29.1</v>
      </c>
      <c r="K411" s="6">
        <v>50</v>
      </c>
      <c r="L411" s="6">
        <v>50</v>
      </c>
      <c r="M411" s="4" t="str">
        <f t="shared" si="18"/>
        <v>OK</v>
      </c>
      <c r="N411" s="7">
        <f t="shared" si="19"/>
        <v>9.6439930234944085E-4</v>
      </c>
      <c r="O411" s="7">
        <f>SUMIFS($D$2:D411,$B$2:B411,B411)/SUMIFS($D$2:$D$741,$B$2:$B$741,B411)</f>
        <v>0.99039704524469063</v>
      </c>
      <c r="P411" s="4" t="b">
        <f t="shared" si="20"/>
        <v>0</v>
      </c>
      <c r="Q411" s="4" t="s">
        <v>23</v>
      </c>
      <c r="R411" s="4" t="s">
        <v>289</v>
      </c>
      <c r="S411" s="4" t="s">
        <v>25</v>
      </c>
      <c r="T411" s="4" t="s">
        <v>290</v>
      </c>
    </row>
    <row r="412" spans="1:20" x14ac:dyDescent="0.45">
      <c r="A412" s="4" t="s">
        <v>544</v>
      </c>
      <c r="B412" s="4" t="s">
        <v>492</v>
      </c>
      <c r="C412" s="5">
        <v>2</v>
      </c>
      <c r="D412" s="5">
        <v>320</v>
      </c>
      <c r="E412" s="5">
        <v>60</v>
      </c>
      <c r="F412" s="5">
        <v>31</v>
      </c>
      <c r="G412" s="5">
        <v>18</v>
      </c>
      <c r="H412" s="5">
        <v>289</v>
      </c>
      <c r="I412" s="6">
        <v>7</v>
      </c>
      <c r="J412" s="6">
        <v>18.3</v>
      </c>
      <c r="K412" s="6">
        <v>41</v>
      </c>
      <c r="L412" s="6">
        <v>41</v>
      </c>
      <c r="M412" s="4" t="str">
        <f t="shared" si="18"/>
        <v>OK</v>
      </c>
      <c r="N412" s="7">
        <f t="shared" si="19"/>
        <v>9.380175585161735E-4</v>
      </c>
      <c r="O412" s="7">
        <f>SUMIFS($D$2:D412,$B$2:B412,B412)/SUMIFS($D$2:$D$741,$B$2:$B$741,B412)</f>
        <v>0.99133506280320682</v>
      </c>
      <c r="P412" s="4" t="b">
        <f t="shared" si="20"/>
        <v>0</v>
      </c>
      <c r="Q412" s="4" t="s">
        <v>23</v>
      </c>
      <c r="R412" s="4" t="s">
        <v>289</v>
      </c>
      <c r="S412" s="4" t="s">
        <v>25</v>
      </c>
      <c r="T412" s="4" t="s">
        <v>290</v>
      </c>
    </row>
    <row r="413" spans="1:20" x14ac:dyDescent="0.45">
      <c r="A413" s="4" t="s">
        <v>545</v>
      </c>
      <c r="B413" s="4" t="s">
        <v>492</v>
      </c>
      <c r="C413" s="5">
        <v>2</v>
      </c>
      <c r="D413" s="5">
        <v>319</v>
      </c>
      <c r="E413" s="5">
        <v>110</v>
      </c>
      <c r="F413" s="5">
        <v>33</v>
      </c>
      <c r="G413" s="5">
        <v>29</v>
      </c>
      <c r="H413" s="5">
        <v>283</v>
      </c>
      <c r="I413" s="6">
        <v>2</v>
      </c>
      <c r="J413" s="6">
        <v>8.6</v>
      </c>
      <c r="K413" s="6">
        <v>13</v>
      </c>
      <c r="L413" s="6">
        <v>12.6</v>
      </c>
      <c r="M413" s="4" t="str">
        <f t="shared" si="18"/>
        <v>OK</v>
      </c>
      <c r="N413" s="7">
        <f t="shared" si="19"/>
        <v>9.3508625364581042E-4</v>
      </c>
      <c r="O413" s="7">
        <f>SUMIFS($D$2:D413,$B$2:B413,B413)/SUMIFS($D$2:$D$741,$B$2:$B$741,B413)</f>
        <v>0.99227014905685262</v>
      </c>
      <c r="P413" s="4" t="b">
        <f t="shared" si="20"/>
        <v>0</v>
      </c>
      <c r="Q413" s="4" t="s">
        <v>192</v>
      </c>
      <c r="R413" s="4" t="s">
        <v>373</v>
      </c>
      <c r="S413" s="4" t="s">
        <v>25</v>
      </c>
      <c r="T413" s="4" t="s">
        <v>379</v>
      </c>
    </row>
    <row r="414" spans="1:20" x14ac:dyDescent="0.45">
      <c r="A414" s="4" t="s">
        <v>546</v>
      </c>
      <c r="B414" s="4" t="s">
        <v>492</v>
      </c>
      <c r="C414" s="5">
        <v>2</v>
      </c>
      <c r="D414" s="5">
        <v>268</v>
      </c>
      <c r="E414" s="5">
        <v>25</v>
      </c>
      <c r="F414" s="5">
        <v>8</v>
      </c>
      <c r="G414" s="5">
        <v>8</v>
      </c>
      <c r="H414" s="5">
        <v>260</v>
      </c>
      <c r="I414" s="6">
        <v>0</v>
      </c>
      <c r="J414" s="6">
        <v>1.5</v>
      </c>
      <c r="K414" s="6">
        <v>4</v>
      </c>
      <c r="L414" s="6">
        <v>4</v>
      </c>
      <c r="M414" s="4" t="str">
        <f t="shared" si="18"/>
        <v>OK</v>
      </c>
      <c r="N414" s="7">
        <f t="shared" si="19"/>
        <v>7.8558970525729533E-4</v>
      </c>
      <c r="O414" s="7">
        <f>SUMIFS($D$2:D414,$B$2:B414,B414)/SUMIFS($D$2:$D$741,$B$2:$B$741,B414)</f>
        <v>0.99305573876210995</v>
      </c>
      <c r="P414" s="4" t="b">
        <f t="shared" si="20"/>
        <v>0</v>
      </c>
      <c r="Q414" s="4" t="s">
        <v>23</v>
      </c>
      <c r="R414" s="4" t="s">
        <v>75</v>
      </c>
      <c r="S414" s="4" t="s">
        <v>25</v>
      </c>
      <c r="T414" s="4" t="s">
        <v>76</v>
      </c>
    </row>
    <row r="415" spans="1:20" x14ac:dyDescent="0.45">
      <c r="A415" s="4" t="s">
        <v>547</v>
      </c>
      <c r="B415" s="4" t="s">
        <v>492</v>
      </c>
      <c r="C415" s="5">
        <v>2</v>
      </c>
      <c r="D415" s="5">
        <v>246</v>
      </c>
      <c r="E415" s="5">
        <v>0</v>
      </c>
      <c r="F415" s="5">
        <v>24</v>
      </c>
      <c r="G415" s="5">
        <v>24</v>
      </c>
      <c r="H415" s="5">
        <v>222</v>
      </c>
      <c r="I415" s="6">
        <v>0</v>
      </c>
      <c r="J415" s="6">
        <v>2</v>
      </c>
      <c r="K415" s="6">
        <v>3</v>
      </c>
      <c r="L415" s="6">
        <v>3</v>
      </c>
      <c r="M415" s="4" t="str">
        <f t="shared" si="18"/>
        <v>OK</v>
      </c>
      <c r="N415" s="7">
        <f t="shared" si="19"/>
        <v>7.2110099810930833E-4</v>
      </c>
      <c r="O415" s="7">
        <f>SUMIFS($D$2:D415,$B$2:B415,B415)/SUMIFS($D$2:$D$741,$B$2:$B$741,B415)</f>
        <v>0.99377683976021924</v>
      </c>
      <c r="P415" s="4" t="b">
        <f t="shared" si="20"/>
        <v>0</v>
      </c>
      <c r="Q415" s="4" t="s">
        <v>23</v>
      </c>
      <c r="R415" s="4" t="s">
        <v>289</v>
      </c>
      <c r="S415" s="4" t="s">
        <v>25</v>
      </c>
      <c r="T415" s="4" t="s">
        <v>290</v>
      </c>
    </row>
    <row r="416" spans="1:20" x14ac:dyDescent="0.45">
      <c r="A416" s="4" t="s">
        <v>548</v>
      </c>
      <c r="B416" s="4" t="s">
        <v>492</v>
      </c>
      <c r="C416" s="5">
        <v>2</v>
      </c>
      <c r="D416" s="5">
        <v>213</v>
      </c>
      <c r="E416" s="5">
        <v>0</v>
      </c>
      <c r="F416" s="5">
        <v>0</v>
      </c>
      <c r="G416" s="5">
        <v>0</v>
      </c>
      <c r="H416" s="5">
        <v>213</v>
      </c>
      <c r="I416" s="6">
        <v>3</v>
      </c>
      <c r="J416" s="6">
        <v>14</v>
      </c>
      <c r="K416" s="6">
        <v>36</v>
      </c>
      <c r="L416" s="6">
        <v>35.6</v>
      </c>
      <c r="M416" s="4" t="str">
        <f t="shared" si="18"/>
        <v>OK</v>
      </c>
      <c r="N416" s="7">
        <f t="shared" si="19"/>
        <v>6.2436793738732794E-4</v>
      </c>
      <c r="O416" s="7">
        <f>SUMIFS($D$2:D416,$B$2:B416,B416)/SUMIFS($D$2:$D$741,$B$2:$B$741,B416)</f>
        <v>0.99440120769760654</v>
      </c>
      <c r="P416" s="4" t="b">
        <f t="shared" si="20"/>
        <v>0</v>
      </c>
      <c r="Q416" s="4" t="s">
        <v>23</v>
      </c>
      <c r="R416" s="4" t="s">
        <v>289</v>
      </c>
      <c r="S416" s="4" t="s">
        <v>25</v>
      </c>
      <c r="T416" s="4" t="s">
        <v>290</v>
      </c>
    </row>
    <row r="417" spans="1:20" x14ac:dyDescent="0.45">
      <c r="A417" s="4" t="s">
        <v>549</v>
      </c>
      <c r="B417" s="4" t="s">
        <v>492</v>
      </c>
      <c r="C417" s="5">
        <v>2</v>
      </c>
      <c r="D417" s="5">
        <v>183</v>
      </c>
      <c r="E417" s="5">
        <v>0</v>
      </c>
      <c r="F417" s="5">
        <v>10</v>
      </c>
      <c r="G417" s="5">
        <v>10</v>
      </c>
      <c r="H417" s="5">
        <v>173</v>
      </c>
      <c r="I417" s="6">
        <v>9</v>
      </c>
      <c r="J417" s="6">
        <v>21.1</v>
      </c>
      <c r="K417" s="6">
        <v>62</v>
      </c>
      <c r="L417" s="6">
        <v>61.6</v>
      </c>
      <c r="M417" s="4" t="str">
        <f t="shared" si="18"/>
        <v>OK</v>
      </c>
      <c r="N417" s="7">
        <f t="shared" si="19"/>
        <v>5.3642879127643666E-4</v>
      </c>
      <c r="O417" s="7">
        <f>SUMIFS($D$2:D417,$B$2:B417,B417)/SUMIFS($D$2:$D$741,$B$2:$B$741,B417)</f>
        <v>0.994937636488883</v>
      </c>
      <c r="P417" s="4" t="b">
        <f t="shared" si="20"/>
        <v>0</v>
      </c>
      <c r="Q417" s="4" t="s">
        <v>23</v>
      </c>
      <c r="R417" s="4" t="s">
        <v>289</v>
      </c>
      <c r="S417" s="4" t="s">
        <v>25</v>
      </c>
      <c r="T417" s="4" t="s">
        <v>290</v>
      </c>
    </row>
    <row r="418" spans="1:20" x14ac:dyDescent="0.45">
      <c r="A418" s="4" t="s">
        <v>550</v>
      </c>
      <c r="B418" s="4" t="s">
        <v>492</v>
      </c>
      <c r="C418" s="5">
        <v>2</v>
      </c>
      <c r="D418" s="5">
        <v>166</v>
      </c>
      <c r="E418" s="5">
        <v>0</v>
      </c>
      <c r="F418" s="5">
        <v>0</v>
      </c>
      <c r="G418" s="5">
        <v>0</v>
      </c>
      <c r="H418" s="5">
        <v>166</v>
      </c>
      <c r="I418" s="6">
        <v>3</v>
      </c>
      <c r="J418" s="6">
        <v>5.8</v>
      </c>
      <c r="K418" s="6">
        <v>10</v>
      </c>
      <c r="L418" s="6">
        <v>10</v>
      </c>
      <c r="M418" s="4" t="str">
        <f t="shared" si="18"/>
        <v>OK</v>
      </c>
      <c r="N418" s="7">
        <f t="shared" si="19"/>
        <v>4.8659660848026498E-4</v>
      </c>
      <c r="O418" s="7">
        <f>SUMIFS($D$2:D418,$B$2:B418,B418)/SUMIFS($D$2:$D$741,$B$2:$B$741,B418)</f>
        <v>0.99542423309736328</v>
      </c>
      <c r="P418" s="4" t="b">
        <f t="shared" si="20"/>
        <v>0</v>
      </c>
      <c r="Q418" s="4" t="s">
        <v>192</v>
      </c>
      <c r="R418" s="4" t="s">
        <v>345</v>
      </c>
      <c r="S418" s="4" t="s">
        <v>109</v>
      </c>
      <c r="T418" s="4" t="s">
        <v>377</v>
      </c>
    </row>
    <row r="419" spans="1:20" x14ac:dyDescent="0.45">
      <c r="A419" s="4" t="s">
        <v>551</v>
      </c>
      <c r="B419" s="4" t="s">
        <v>492</v>
      </c>
      <c r="C419" s="5">
        <v>1</v>
      </c>
      <c r="D419" s="5">
        <v>159</v>
      </c>
      <c r="E419" s="5">
        <v>59</v>
      </c>
      <c r="F419" s="5">
        <v>6</v>
      </c>
      <c r="G419" s="5">
        <v>5</v>
      </c>
      <c r="H419" s="5">
        <v>153</v>
      </c>
      <c r="I419" s="6">
        <v>3</v>
      </c>
      <c r="J419" s="6">
        <v>5.2</v>
      </c>
      <c r="K419" s="6">
        <v>12</v>
      </c>
      <c r="L419" s="6">
        <v>12</v>
      </c>
      <c r="M419" s="4" t="str">
        <f t="shared" si="18"/>
        <v>OK</v>
      </c>
      <c r="N419" s="7">
        <f t="shared" si="19"/>
        <v>4.6607747438772367E-4</v>
      </c>
      <c r="O419" s="7">
        <f>SUMIFS($D$2:D419,$B$2:B419,B419)/SUMIFS($D$2:$D$741,$B$2:$B$741,B419)</f>
        <v>0.99589031057175104</v>
      </c>
      <c r="P419" s="4" t="b">
        <f t="shared" si="20"/>
        <v>0</v>
      </c>
      <c r="Q419" s="4" t="s">
        <v>23</v>
      </c>
      <c r="R419" s="4" t="s">
        <v>289</v>
      </c>
      <c r="S419" s="4" t="s">
        <v>25</v>
      </c>
      <c r="T419" s="4" t="s">
        <v>290</v>
      </c>
    </row>
    <row r="420" spans="1:20" x14ac:dyDescent="0.45">
      <c r="A420" s="4" t="s">
        <v>552</v>
      </c>
      <c r="B420" s="4" t="s">
        <v>492</v>
      </c>
      <c r="C420" s="5">
        <v>2</v>
      </c>
      <c r="D420" s="5">
        <v>132</v>
      </c>
      <c r="E420" s="5">
        <v>0</v>
      </c>
      <c r="F420" s="5">
        <v>0</v>
      </c>
      <c r="G420" s="5">
        <v>0</v>
      </c>
      <c r="H420" s="5">
        <v>132</v>
      </c>
      <c r="I420" s="6">
        <v>4</v>
      </c>
      <c r="J420" s="6">
        <v>7.5</v>
      </c>
      <c r="K420" s="6">
        <v>12</v>
      </c>
      <c r="L420" s="6">
        <v>11.9</v>
      </c>
      <c r="M420" s="4" t="str">
        <f t="shared" si="18"/>
        <v>OK</v>
      </c>
      <c r="N420" s="7">
        <f t="shared" si="19"/>
        <v>3.8693224288792157E-4</v>
      </c>
      <c r="O420" s="7">
        <f>SUMIFS($D$2:D420,$B$2:B420,B420)/SUMIFS($D$2:$D$741,$B$2:$B$741,B420)</f>
        <v>0.99627724281463892</v>
      </c>
      <c r="P420" s="4" t="b">
        <f t="shared" si="20"/>
        <v>0</v>
      </c>
      <c r="Q420" s="4" t="s">
        <v>23</v>
      </c>
      <c r="R420" s="4" t="s">
        <v>289</v>
      </c>
      <c r="S420" s="4" t="s">
        <v>25</v>
      </c>
      <c r="T420" s="4" t="s">
        <v>290</v>
      </c>
    </row>
    <row r="421" spans="1:20" x14ac:dyDescent="0.45">
      <c r="A421" s="4" t="s">
        <v>553</v>
      </c>
      <c r="B421" s="4" t="s">
        <v>492</v>
      </c>
      <c r="C421" s="5">
        <v>2</v>
      </c>
      <c r="D421" s="5">
        <v>131</v>
      </c>
      <c r="E421" s="5">
        <v>0</v>
      </c>
      <c r="F421" s="5">
        <v>0</v>
      </c>
      <c r="G421" s="5">
        <v>0</v>
      </c>
      <c r="H421" s="5">
        <v>131</v>
      </c>
      <c r="I421" s="6">
        <v>3</v>
      </c>
      <c r="J421" s="6">
        <v>7.3</v>
      </c>
      <c r="K421" s="6">
        <v>15</v>
      </c>
      <c r="L421" s="6">
        <v>15</v>
      </c>
      <c r="M421" s="4" t="str">
        <f t="shared" si="18"/>
        <v>OK</v>
      </c>
      <c r="N421" s="7">
        <f t="shared" si="19"/>
        <v>3.8400093801755849E-4</v>
      </c>
      <c r="O421" s="7">
        <f>SUMIFS($D$2:D421,$B$2:B421,B421)/SUMIFS($D$2:$D$741,$B$2:$B$741,B421)</f>
        <v>0.99666124375265652</v>
      </c>
      <c r="P421" s="4" t="b">
        <f t="shared" si="20"/>
        <v>0</v>
      </c>
      <c r="Q421" s="4" t="s">
        <v>23</v>
      </c>
      <c r="R421" s="4" t="s">
        <v>289</v>
      </c>
      <c r="S421" s="4" t="s">
        <v>25</v>
      </c>
      <c r="T421" s="4" t="s">
        <v>290</v>
      </c>
    </row>
    <row r="422" spans="1:20" x14ac:dyDescent="0.45">
      <c r="A422" s="4" t="s">
        <v>554</v>
      </c>
      <c r="B422" s="4" t="s">
        <v>492</v>
      </c>
      <c r="C422" s="5">
        <v>2</v>
      </c>
      <c r="D422" s="5">
        <v>117</v>
      </c>
      <c r="E422" s="5">
        <v>0</v>
      </c>
      <c r="F422" s="5">
        <v>1</v>
      </c>
      <c r="G422" s="5">
        <v>1</v>
      </c>
      <c r="H422" s="5">
        <v>116</v>
      </c>
      <c r="I422" s="6">
        <v>1</v>
      </c>
      <c r="J422" s="6">
        <v>34.6</v>
      </c>
      <c r="K422" s="6">
        <v>150</v>
      </c>
      <c r="L422" s="6">
        <v>150.5</v>
      </c>
      <c r="M422" s="4" t="str">
        <f t="shared" si="18"/>
        <v>OK</v>
      </c>
      <c r="N422" s="7">
        <f t="shared" si="19"/>
        <v>3.4296266983247593E-4</v>
      </c>
      <c r="O422" s="7">
        <f>SUMIFS($D$2:D422,$B$2:B422,B422)/SUMIFS($D$2:$D$741,$B$2:$B$741,B422)</f>
        <v>0.99700420642248899</v>
      </c>
      <c r="P422" s="4" t="b">
        <f t="shared" si="20"/>
        <v>0</v>
      </c>
      <c r="Q422" s="4" t="s">
        <v>23</v>
      </c>
      <c r="R422" s="4" t="s">
        <v>75</v>
      </c>
      <c r="S422" s="4" t="s">
        <v>25</v>
      </c>
      <c r="T422" s="4" t="s">
        <v>76</v>
      </c>
    </row>
    <row r="423" spans="1:20" x14ac:dyDescent="0.45">
      <c r="A423" s="4" t="s">
        <v>555</v>
      </c>
      <c r="B423" s="4" t="s">
        <v>492</v>
      </c>
      <c r="C423" s="5">
        <v>1</v>
      </c>
      <c r="D423" s="5">
        <v>110</v>
      </c>
      <c r="E423" s="5">
        <v>55</v>
      </c>
      <c r="F423" s="5">
        <v>56</v>
      </c>
      <c r="G423" s="5">
        <v>54</v>
      </c>
      <c r="H423" s="5">
        <v>54</v>
      </c>
      <c r="I423" s="6">
        <v>26</v>
      </c>
      <c r="J423" s="6">
        <v>103.2</v>
      </c>
      <c r="K423" s="6">
        <v>329</v>
      </c>
      <c r="L423" s="6">
        <v>328.6</v>
      </c>
      <c r="M423" s="4" t="str">
        <f t="shared" si="18"/>
        <v>OK</v>
      </c>
      <c r="N423" s="7">
        <f t="shared" si="19"/>
        <v>3.2244353573993462E-4</v>
      </c>
      <c r="O423" s="7">
        <f>SUMIFS($D$2:D423,$B$2:B423,B423)/SUMIFS($D$2:$D$741,$B$2:$B$741,B423)</f>
        <v>0.99732664995822895</v>
      </c>
      <c r="P423" s="4" t="b">
        <f t="shared" si="20"/>
        <v>0</v>
      </c>
      <c r="Q423" s="4" t="s">
        <v>23</v>
      </c>
      <c r="R423" s="4" t="s">
        <v>477</v>
      </c>
      <c r="S423" s="4" t="s">
        <v>25</v>
      </c>
      <c r="T423" s="4" t="s">
        <v>478</v>
      </c>
    </row>
    <row r="424" spans="1:20" x14ac:dyDescent="0.45">
      <c r="A424" s="4" t="s">
        <v>556</v>
      </c>
      <c r="B424" s="4" t="s">
        <v>492</v>
      </c>
      <c r="C424" s="5">
        <v>2</v>
      </c>
      <c r="D424" s="5">
        <v>103</v>
      </c>
      <c r="E424" s="5">
        <v>23</v>
      </c>
      <c r="F424" s="5">
        <v>18</v>
      </c>
      <c r="G424" s="5">
        <v>17</v>
      </c>
      <c r="H424" s="5">
        <v>85</v>
      </c>
      <c r="I424" s="6">
        <v>2</v>
      </c>
      <c r="J424" s="6">
        <v>33</v>
      </c>
      <c r="K424" s="6">
        <v>26</v>
      </c>
      <c r="L424" s="6">
        <v>26.2</v>
      </c>
      <c r="M424" s="4" t="str">
        <f t="shared" si="18"/>
        <v>OK</v>
      </c>
      <c r="N424" s="7">
        <f t="shared" si="19"/>
        <v>3.0192440164739331E-4</v>
      </c>
      <c r="O424" s="7">
        <f>SUMIFS($D$2:D424,$B$2:B424,B424)/SUMIFS($D$2:$D$741,$B$2:$B$741,B424)</f>
        <v>0.99762857435987629</v>
      </c>
      <c r="P424" s="4" t="b">
        <f t="shared" si="20"/>
        <v>0</v>
      </c>
      <c r="Q424" s="4" t="s">
        <v>23</v>
      </c>
      <c r="R424" s="4" t="s">
        <v>289</v>
      </c>
      <c r="S424" s="4" t="s">
        <v>25</v>
      </c>
      <c r="T424" s="4" t="s">
        <v>290</v>
      </c>
    </row>
    <row r="425" spans="1:20" x14ac:dyDescent="0.45">
      <c r="A425" s="4" t="s">
        <v>557</v>
      </c>
      <c r="B425" s="4" t="s">
        <v>492</v>
      </c>
      <c r="C425" s="5">
        <v>2</v>
      </c>
      <c r="D425" s="5">
        <v>98</v>
      </c>
      <c r="E425" s="5">
        <v>27</v>
      </c>
      <c r="F425" s="5">
        <v>1</v>
      </c>
      <c r="G425" s="5">
        <v>1</v>
      </c>
      <c r="H425" s="5">
        <v>97</v>
      </c>
      <c r="I425" s="6">
        <v>1</v>
      </c>
      <c r="J425" s="6">
        <v>4.7</v>
      </c>
      <c r="K425" s="6">
        <v>17</v>
      </c>
      <c r="L425" s="6">
        <v>17.399999999999999</v>
      </c>
      <c r="M425" s="4" t="str">
        <f t="shared" si="18"/>
        <v>OK</v>
      </c>
      <c r="N425" s="7">
        <f t="shared" si="19"/>
        <v>2.872678772955781E-4</v>
      </c>
      <c r="O425" s="7">
        <f>SUMIFS($D$2:D425,$B$2:B425,B425)/SUMIFS($D$2:$D$741,$B$2:$B$741,B425)</f>
        <v>0.99791584223717189</v>
      </c>
      <c r="P425" s="4" t="b">
        <f t="shared" si="20"/>
        <v>0</v>
      </c>
      <c r="Q425" s="4" t="s">
        <v>23</v>
      </c>
      <c r="R425" s="4" t="s">
        <v>30</v>
      </c>
      <c r="S425" s="4" t="s">
        <v>25</v>
      </c>
      <c r="T425" s="4" t="s">
        <v>31</v>
      </c>
    </row>
    <row r="426" spans="1:20" x14ac:dyDescent="0.45">
      <c r="A426" s="4" t="s">
        <v>558</v>
      </c>
      <c r="B426" s="4" t="s">
        <v>492</v>
      </c>
      <c r="C426" s="5">
        <v>1</v>
      </c>
      <c r="D426" s="5">
        <v>95</v>
      </c>
      <c r="E426" s="5">
        <v>23</v>
      </c>
      <c r="F426" s="5">
        <v>70</v>
      </c>
      <c r="G426" s="5">
        <v>65</v>
      </c>
      <c r="H426" s="5">
        <v>25</v>
      </c>
      <c r="I426" s="6">
        <v>143</v>
      </c>
      <c r="J426" s="6">
        <v>208.9</v>
      </c>
      <c r="K426" s="6">
        <v>595</v>
      </c>
      <c r="L426" s="6">
        <v>595</v>
      </c>
      <c r="M426" s="4" t="str">
        <f t="shared" si="18"/>
        <v>OK</v>
      </c>
      <c r="N426" s="7">
        <f t="shared" si="19"/>
        <v>2.7847396268448898E-4</v>
      </c>
      <c r="O426" s="7">
        <f>SUMIFS($D$2:D426,$B$2:B426,B426)/SUMIFS($D$2:$D$741,$B$2:$B$741,B426)</f>
        <v>0.99819431619985632</v>
      </c>
      <c r="P426" s="4" t="b">
        <f t="shared" si="20"/>
        <v>0</v>
      </c>
      <c r="Q426" s="4" t="s">
        <v>23</v>
      </c>
      <c r="R426" s="4" t="s">
        <v>289</v>
      </c>
      <c r="S426" s="4" t="s">
        <v>25</v>
      </c>
      <c r="T426" s="4" t="s">
        <v>290</v>
      </c>
    </row>
    <row r="427" spans="1:20" x14ac:dyDescent="0.45">
      <c r="A427" s="4" t="s">
        <v>559</v>
      </c>
      <c r="B427" s="4" t="s">
        <v>492</v>
      </c>
      <c r="C427" s="5">
        <v>2</v>
      </c>
      <c r="D427" s="5">
        <v>95</v>
      </c>
      <c r="E427" s="5">
        <v>0</v>
      </c>
      <c r="F427" s="5">
        <v>0</v>
      </c>
      <c r="G427" s="5">
        <v>0</v>
      </c>
      <c r="H427" s="5">
        <v>95</v>
      </c>
      <c r="I427" s="6">
        <v>1</v>
      </c>
      <c r="J427" s="6">
        <v>13.6</v>
      </c>
      <c r="K427" s="6">
        <v>32</v>
      </c>
      <c r="L427" s="6">
        <v>32.4</v>
      </c>
      <c r="M427" s="4" t="str">
        <f t="shared" si="18"/>
        <v>OK</v>
      </c>
      <c r="N427" s="7">
        <f t="shared" si="19"/>
        <v>2.7847396268448898E-4</v>
      </c>
      <c r="O427" s="7">
        <f>SUMIFS($D$2:D427,$B$2:B427,B427)/SUMIFS($D$2:$D$741,$B$2:$B$741,B427)</f>
        <v>0.99847279016254087</v>
      </c>
      <c r="P427" s="4" t="b">
        <f t="shared" si="20"/>
        <v>0</v>
      </c>
      <c r="Q427" s="4" t="s">
        <v>192</v>
      </c>
      <c r="R427" s="4" t="s">
        <v>373</v>
      </c>
      <c r="S427" s="4" t="s">
        <v>25</v>
      </c>
      <c r="T427" s="4" t="s">
        <v>379</v>
      </c>
    </row>
    <row r="428" spans="1:20" x14ac:dyDescent="0.45">
      <c r="A428" s="4" t="s">
        <v>560</v>
      </c>
      <c r="B428" s="4" t="s">
        <v>492</v>
      </c>
      <c r="C428" s="5">
        <v>2</v>
      </c>
      <c r="D428" s="5">
        <v>78</v>
      </c>
      <c r="E428" s="5">
        <v>0</v>
      </c>
      <c r="F428" s="5">
        <v>2</v>
      </c>
      <c r="G428" s="5">
        <v>2</v>
      </c>
      <c r="H428" s="5">
        <v>76</v>
      </c>
      <c r="I428" s="6">
        <v>2</v>
      </c>
      <c r="J428" s="6">
        <v>7.9</v>
      </c>
      <c r="K428" s="6">
        <v>26</v>
      </c>
      <c r="L428" s="6">
        <v>26.5</v>
      </c>
      <c r="M428" s="4" t="str">
        <f t="shared" si="18"/>
        <v>OK</v>
      </c>
      <c r="N428" s="7">
        <f t="shared" si="19"/>
        <v>2.2864177988831728E-4</v>
      </c>
      <c r="O428" s="7">
        <f>SUMIFS($D$2:D428,$B$2:B428,B428)/SUMIFS($D$2:$D$741,$B$2:$B$741,B428)</f>
        <v>0.99870143194242922</v>
      </c>
      <c r="P428" s="4" t="b">
        <f t="shared" si="20"/>
        <v>0</v>
      </c>
      <c r="Q428" s="4" t="s">
        <v>23</v>
      </c>
      <c r="R428" s="4" t="s">
        <v>289</v>
      </c>
      <c r="S428" s="4" t="s">
        <v>25</v>
      </c>
      <c r="T428" s="4" t="s">
        <v>290</v>
      </c>
    </row>
    <row r="429" spans="1:20" x14ac:dyDescent="0.45">
      <c r="A429" s="4" t="s">
        <v>561</v>
      </c>
      <c r="B429" s="4" t="s">
        <v>492</v>
      </c>
      <c r="C429" s="5">
        <v>1</v>
      </c>
      <c r="D429" s="5">
        <v>74</v>
      </c>
      <c r="E429" s="5">
        <v>67</v>
      </c>
      <c r="F429" s="5">
        <v>12</v>
      </c>
      <c r="G429" s="5">
        <v>0</v>
      </c>
      <c r="H429" s="5">
        <v>62</v>
      </c>
      <c r="I429" s="6">
        <v>27</v>
      </c>
      <c r="J429" s="6">
        <v>37.6</v>
      </c>
      <c r="K429" s="6">
        <v>56</v>
      </c>
      <c r="L429" s="6">
        <v>55.8</v>
      </c>
      <c r="M429" s="4" t="str">
        <f t="shared" si="18"/>
        <v>OK</v>
      </c>
      <c r="N429" s="7">
        <f t="shared" si="19"/>
        <v>2.1691656040686511E-4</v>
      </c>
      <c r="O429" s="7">
        <f>SUMIFS($D$2:D429,$B$2:B429,B429)/SUMIFS($D$2:$D$741,$B$2:$B$741,B429)</f>
        <v>0.99891834850283601</v>
      </c>
      <c r="P429" s="4" t="b">
        <f t="shared" si="20"/>
        <v>0</v>
      </c>
      <c r="Q429" s="4" t="s">
        <v>23</v>
      </c>
      <c r="R429" s="4" t="s">
        <v>289</v>
      </c>
      <c r="S429" s="4" t="s">
        <v>25</v>
      </c>
      <c r="T429" s="4" t="s">
        <v>290</v>
      </c>
    </row>
    <row r="430" spans="1:20" x14ac:dyDescent="0.45">
      <c r="A430" s="4" t="s">
        <v>562</v>
      </c>
      <c r="B430" s="4" t="s">
        <v>492</v>
      </c>
      <c r="C430" s="5">
        <v>2</v>
      </c>
      <c r="D430" s="5">
        <v>72</v>
      </c>
      <c r="E430" s="5">
        <v>19</v>
      </c>
      <c r="F430" s="5">
        <v>3</v>
      </c>
      <c r="G430" s="5">
        <v>1</v>
      </c>
      <c r="H430" s="5">
        <v>69</v>
      </c>
      <c r="I430" s="6">
        <v>7</v>
      </c>
      <c r="J430" s="6">
        <v>16.3</v>
      </c>
      <c r="K430" s="6">
        <v>21</v>
      </c>
      <c r="L430" s="6">
        <v>21.2</v>
      </c>
      <c r="M430" s="4" t="str">
        <f t="shared" si="18"/>
        <v>OK</v>
      </c>
      <c r="N430" s="7">
        <f t="shared" si="19"/>
        <v>2.1105395066613904E-4</v>
      </c>
      <c r="O430" s="7">
        <f>SUMIFS($D$2:D430,$B$2:B430,B430)/SUMIFS($D$2:$D$741,$B$2:$B$741,B430)</f>
        <v>0.99912940245350212</v>
      </c>
      <c r="P430" s="4" t="b">
        <f t="shared" si="20"/>
        <v>0</v>
      </c>
      <c r="Q430" s="4" t="s">
        <v>23</v>
      </c>
      <c r="R430" s="4" t="s">
        <v>289</v>
      </c>
      <c r="S430" s="4" t="s">
        <v>25</v>
      </c>
      <c r="T430" s="4" t="s">
        <v>290</v>
      </c>
    </row>
    <row r="431" spans="1:20" x14ac:dyDescent="0.45">
      <c r="A431" s="4" t="s">
        <v>563</v>
      </c>
      <c r="B431" s="4" t="s">
        <v>492</v>
      </c>
      <c r="C431" s="5">
        <v>1</v>
      </c>
      <c r="D431" s="5">
        <v>69</v>
      </c>
      <c r="E431" s="5">
        <v>20</v>
      </c>
      <c r="F431" s="5">
        <v>10</v>
      </c>
      <c r="G431" s="5">
        <v>9</v>
      </c>
      <c r="H431" s="5">
        <v>59</v>
      </c>
      <c r="I431" s="6">
        <v>4</v>
      </c>
      <c r="J431" s="6">
        <v>58.8</v>
      </c>
      <c r="K431" s="6">
        <v>220</v>
      </c>
      <c r="L431" s="6">
        <v>220.2</v>
      </c>
      <c r="M431" s="4" t="str">
        <f t="shared" si="18"/>
        <v>OK</v>
      </c>
      <c r="N431" s="7">
        <f t="shared" si="19"/>
        <v>2.022600360550499E-4</v>
      </c>
      <c r="O431" s="7">
        <f>SUMIFS($D$2:D431,$B$2:B431,B431)/SUMIFS($D$2:$D$741,$B$2:$B$741,B431)</f>
        <v>0.99933166248955718</v>
      </c>
      <c r="P431" s="4" t="b">
        <f t="shared" si="20"/>
        <v>0</v>
      </c>
      <c r="Q431" s="4" t="s">
        <v>23</v>
      </c>
      <c r="R431" s="4" t="s">
        <v>289</v>
      </c>
      <c r="S431" s="4" t="s">
        <v>25</v>
      </c>
      <c r="T431" s="4" t="s">
        <v>290</v>
      </c>
    </row>
    <row r="432" spans="1:20" x14ac:dyDescent="0.45">
      <c r="A432" s="4" t="s">
        <v>564</v>
      </c>
      <c r="B432" s="4" t="s">
        <v>492</v>
      </c>
      <c r="C432" s="5">
        <v>2</v>
      </c>
      <c r="D432" s="5">
        <v>61</v>
      </c>
      <c r="E432" s="5">
        <v>5</v>
      </c>
      <c r="F432" s="5">
        <v>0</v>
      </c>
      <c r="G432" s="5">
        <v>0</v>
      </c>
      <c r="H432" s="5">
        <v>61</v>
      </c>
      <c r="I432" s="6">
        <v>0</v>
      </c>
      <c r="J432" s="6">
        <v>6.3</v>
      </c>
      <c r="K432" s="6">
        <v>34</v>
      </c>
      <c r="L432" s="6">
        <v>34</v>
      </c>
      <c r="M432" s="4" t="str">
        <f t="shared" si="18"/>
        <v>OK</v>
      </c>
      <c r="N432" s="7">
        <f t="shared" si="19"/>
        <v>1.7880959709214557E-4</v>
      </c>
      <c r="O432" s="7">
        <f>SUMIFS($D$2:D432,$B$2:B432,B432)/SUMIFS($D$2:$D$741,$B$2:$B$741,B432)</f>
        <v>0.99951047208664934</v>
      </c>
      <c r="P432" s="4" t="b">
        <f t="shared" si="20"/>
        <v>0</v>
      </c>
      <c r="Q432" s="4" t="s">
        <v>23</v>
      </c>
      <c r="R432" s="4" t="s">
        <v>289</v>
      </c>
      <c r="S432" s="4" t="s">
        <v>25</v>
      </c>
      <c r="T432" s="4" t="s">
        <v>290</v>
      </c>
    </row>
    <row r="433" spans="1:20" x14ac:dyDescent="0.45">
      <c r="A433" s="4" t="s">
        <v>565</v>
      </c>
      <c r="B433" s="4" t="s">
        <v>492</v>
      </c>
      <c r="C433" s="5">
        <v>2</v>
      </c>
      <c r="D433" s="5">
        <v>61</v>
      </c>
      <c r="E433" s="5">
        <v>11</v>
      </c>
      <c r="F433" s="5">
        <v>4</v>
      </c>
      <c r="G433" s="5">
        <v>4</v>
      </c>
      <c r="H433" s="5">
        <v>57</v>
      </c>
      <c r="I433" s="6">
        <v>6</v>
      </c>
      <c r="J433" s="6">
        <v>46</v>
      </c>
      <c r="K433" s="6">
        <v>181</v>
      </c>
      <c r="L433" s="6">
        <v>180.8</v>
      </c>
      <c r="M433" s="4" t="str">
        <f t="shared" si="18"/>
        <v>OK</v>
      </c>
      <c r="N433" s="7">
        <f t="shared" si="19"/>
        <v>1.7880959709214557E-4</v>
      </c>
      <c r="O433" s="7">
        <f>SUMIFS($D$2:D433,$B$2:B433,B433)/SUMIFS($D$2:$D$741,$B$2:$B$741,B433)</f>
        <v>0.99968928168374149</v>
      </c>
      <c r="P433" s="4" t="b">
        <f t="shared" si="20"/>
        <v>0</v>
      </c>
      <c r="Q433" s="4" t="s">
        <v>23</v>
      </c>
      <c r="R433" s="4" t="s">
        <v>289</v>
      </c>
      <c r="S433" s="4" t="s">
        <v>25</v>
      </c>
      <c r="T433" s="4" t="s">
        <v>290</v>
      </c>
    </row>
    <row r="434" spans="1:20" x14ac:dyDescent="0.45">
      <c r="A434" s="4" t="s">
        <v>566</v>
      </c>
      <c r="B434" s="4" t="s">
        <v>492</v>
      </c>
      <c r="C434" s="5">
        <v>1</v>
      </c>
      <c r="D434" s="5">
        <v>56</v>
      </c>
      <c r="E434" s="5">
        <v>56</v>
      </c>
      <c r="F434" s="5">
        <v>38</v>
      </c>
      <c r="G434" s="5">
        <v>0</v>
      </c>
      <c r="H434" s="5">
        <v>18</v>
      </c>
      <c r="I434" s="6">
        <v>0</v>
      </c>
      <c r="J434" s="6">
        <v>0.1</v>
      </c>
      <c r="K434" s="6">
        <v>0</v>
      </c>
      <c r="L434" s="6">
        <v>0</v>
      </c>
      <c r="M434" s="4" t="str">
        <f t="shared" si="18"/>
        <v>OK</v>
      </c>
      <c r="N434" s="7">
        <f t="shared" si="19"/>
        <v>1.6415307274033036E-4</v>
      </c>
      <c r="O434" s="7">
        <f>SUMIFS($D$2:D434,$B$2:B434,B434)/SUMIFS($D$2:$D$741,$B$2:$B$741,B434)</f>
        <v>0.99985343475648181</v>
      </c>
      <c r="P434" s="4" t="b">
        <f t="shared" si="20"/>
        <v>0</v>
      </c>
      <c r="Q434" s="4" t="s">
        <v>23</v>
      </c>
      <c r="R434" s="4" t="s">
        <v>477</v>
      </c>
      <c r="S434" s="4" t="s">
        <v>25</v>
      </c>
      <c r="T434" s="4" t="s">
        <v>478</v>
      </c>
    </row>
    <row r="435" spans="1:20" x14ac:dyDescent="0.45">
      <c r="A435" s="4" t="s">
        <v>567</v>
      </c>
      <c r="B435" s="4" t="s">
        <v>492</v>
      </c>
      <c r="C435" s="5">
        <v>1</v>
      </c>
      <c r="D435" s="5">
        <v>14</v>
      </c>
      <c r="E435" s="5">
        <v>1</v>
      </c>
      <c r="F435" s="5">
        <v>1</v>
      </c>
      <c r="G435" s="5">
        <v>0</v>
      </c>
      <c r="H435" s="5">
        <v>13</v>
      </c>
      <c r="I435" s="6">
        <v>1</v>
      </c>
      <c r="J435" s="6">
        <v>2.4</v>
      </c>
      <c r="K435" s="6">
        <v>4</v>
      </c>
      <c r="L435" s="6">
        <v>4</v>
      </c>
      <c r="M435" s="4" t="str">
        <f t="shared" si="18"/>
        <v>OK</v>
      </c>
      <c r="N435" s="7">
        <f t="shared" si="19"/>
        <v>4.103826818508259E-5</v>
      </c>
      <c r="O435" s="7">
        <f>SUMIFS($D$2:D435,$B$2:B435,B435)/SUMIFS($D$2:$D$741,$B$2:$B$741,B435)</f>
        <v>0.99989447302466694</v>
      </c>
      <c r="P435" s="4" t="b">
        <f t="shared" si="20"/>
        <v>0</v>
      </c>
      <c r="Q435" s="4" t="s">
        <v>23</v>
      </c>
      <c r="R435" s="4" t="s">
        <v>289</v>
      </c>
      <c r="S435" s="4" t="s">
        <v>25</v>
      </c>
      <c r="T435" s="4" t="s">
        <v>290</v>
      </c>
    </row>
    <row r="436" spans="1:20" x14ac:dyDescent="0.45">
      <c r="A436" s="4" t="s">
        <v>568</v>
      </c>
      <c r="B436" s="4" t="s">
        <v>492</v>
      </c>
      <c r="C436" s="5">
        <v>1</v>
      </c>
      <c r="D436" s="5">
        <v>14</v>
      </c>
      <c r="E436" s="5">
        <v>14</v>
      </c>
      <c r="F436" s="5">
        <v>10</v>
      </c>
      <c r="G436" s="5">
        <v>0</v>
      </c>
      <c r="H436" s="5">
        <v>4</v>
      </c>
      <c r="I436" s="6">
        <v>0</v>
      </c>
      <c r="J436" s="6">
        <v>0</v>
      </c>
      <c r="K436" s="6">
        <v>0</v>
      </c>
      <c r="L436" s="6">
        <v>0</v>
      </c>
      <c r="M436" s="4" t="str">
        <f t="shared" si="18"/>
        <v>OK</v>
      </c>
      <c r="N436" s="7">
        <f t="shared" si="19"/>
        <v>4.103826818508259E-5</v>
      </c>
      <c r="O436" s="7">
        <f>SUMIFS($D$2:D436,$B$2:B436,B436)/SUMIFS($D$2:$D$741,$B$2:$B$741,B436)</f>
        <v>0.99993551129285196</v>
      </c>
      <c r="P436" s="4" t="b">
        <f t="shared" si="20"/>
        <v>0</v>
      </c>
      <c r="Q436" s="4" t="s">
        <v>23</v>
      </c>
      <c r="R436" s="4" t="s">
        <v>477</v>
      </c>
      <c r="S436" s="4" t="s">
        <v>25</v>
      </c>
      <c r="T436" s="4" t="s">
        <v>478</v>
      </c>
    </row>
    <row r="437" spans="1:20" x14ac:dyDescent="0.45">
      <c r="A437" s="4" t="s">
        <v>569</v>
      </c>
      <c r="B437" s="4" t="s">
        <v>492</v>
      </c>
      <c r="C437" s="5">
        <v>2</v>
      </c>
      <c r="D437" s="5">
        <v>10</v>
      </c>
      <c r="E437" s="5">
        <v>0</v>
      </c>
      <c r="F437" s="5">
        <v>0</v>
      </c>
      <c r="G437" s="5">
        <v>0</v>
      </c>
      <c r="H437" s="5">
        <v>10</v>
      </c>
      <c r="I437" s="6">
        <v>2</v>
      </c>
      <c r="J437" s="6">
        <v>13.8</v>
      </c>
      <c r="K437" s="6">
        <v>30</v>
      </c>
      <c r="L437" s="6">
        <v>30.4</v>
      </c>
      <c r="M437" s="4" t="str">
        <f t="shared" si="18"/>
        <v>OK</v>
      </c>
      <c r="N437" s="7">
        <f t="shared" si="19"/>
        <v>2.9313048703630422E-5</v>
      </c>
      <c r="O437" s="7">
        <f>SUMIFS($D$2:D437,$B$2:B437,B437)/SUMIFS($D$2:$D$741,$B$2:$B$741,B437)</f>
        <v>0.99996482434155565</v>
      </c>
      <c r="P437" s="4" t="b">
        <f t="shared" si="20"/>
        <v>0</v>
      </c>
      <c r="Q437" s="4" t="s">
        <v>23</v>
      </c>
      <c r="R437" s="4" t="s">
        <v>289</v>
      </c>
      <c r="S437" s="4" t="s">
        <v>25</v>
      </c>
      <c r="T437" s="4" t="s">
        <v>290</v>
      </c>
    </row>
    <row r="438" spans="1:20" x14ac:dyDescent="0.45">
      <c r="A438" s="4" t="s">
        <v>570</v>
      </c>
      <c r="B438" s="4" t="s">
        <v>492</v>
      </c>
      <c r="C438" s="5">
        <v>2</v>
      </c>
      <c r="D438" s="5">
        <v>7</v>
      </c>
      <c r="E438" s="5">
        <v>0</v>
      </c>
      <c r="F438" s="5">
        <v>0</v>
      </c>
      <c r="G438" s="5">
        <v>0</v>
      </c>
      <c r="H438" s="5">
        <v>7</v>
      </c>
      <c r="I438" s="6">
        <v>25</v>
      </c>
      <c r="J438" s="6">
        <v>33.700000000000003</v>
      </c>
      <c r="K438" s="6">
        <v>80</v>
      </c>
      <c r="L438" s="6">
        <v>80</v>
      </c>
      <c r="M438" s="4" t="str">
        <f t="shared" si="18"/>
        <v>OK</v>
      </c>
      <c r="N438" s="7">
        <f t="shared" si="19"/>
        <v>2.0519134092541295E-5</v>
      </c>
      <c r="O438" s="7">
        <f>SUMIFS($D$2:D438,$B$2:B438,B438)/SUMIFS($D$2:$D$741,$B$2:$B$741,B438)</f>
        <v>0.99998534347564816</v>
      </c>
      <c r="P438" s="4" t="b">
        <f t="shared" si="20"/>
        <v>0</v>
      </c>
      <c r="Q438" s="4" t="s">
        <v>23</v>
      </c>
      <c r="R438" s="4" t="s">
        <v>289</v>
      </c>
      <c r="S438" s="4" t="s">
        <v>25</v>
      </c>
      <c r="T438" s="4" t="s">
        <v>290</v>
      </c>
    </row>
    <row r="439" spans="1:20" x14ac:dyDescent="0.45">
      <c r="A439" s="4" t="s">
        <v>571</v>
      </c>
      <c r="B439" s="4" t="s">
        <v>492</v>
      </c>
      <c r="C439" s="5">
        <v>1</v>
      </c>
      <c r="D439" s="5">
        <v>5</v>
      </c>
      <c r="E439" s="5">
        <v>0</v>
      </c>
      <c r="F439" s="5">
        <v>0</v>
      </c>
      <c r="G439" s="5">
        <v>0</v>
      </c>
      <c r="H439" s="5">
        <v>5</v>
      </c>
      <c r="I439" s="6">
        <v>2</v>
      </c>
      <c r="J439" s="6">
        <v>12</v>
      </c>
      <c r="K439" s="6">
        <v>34</v>
      </c>
      <c r="L439" s="6">
        <v>34.200000000000003</v>
      </c>
      <c r="M439" s="4" t="str">
        <f t="shared" si="18"/>
        <v>OK</v>
      </c>
      <c r="N439" s="7">
        <f t="shared" si="19"/>
        <v>1.4656524351815211E-5</v>
      </c>
      <c r="O439" s="7">
        <f>SUMIFS($D$2:D439,$B$2:B439,B439)/SUMIFS($D$2:$D$741,$B$2:$B$741,B439)</f>
        <v>1</v>
      </c>
      <c r="P439" s="4" t="b">
        <f t="shared" si="20"/>
        <v>0</v>
      </c>
      <c r="Q439" s="4" t="s">
        <v>23</v>
      </c>
      <c r="R439" s="4" t="s">
        <v>477</v>
      </c>
      <c r="S439" s="4" t="s">
        <v>25</v>
      </c>
      <c r="T439" s="4" t="s">
        <v>478</v>
      </c>
    </row>
    <row r="440" spans="1:20" x14ac:dyDescent="0.45">
      <c r="A440" s="9" t="s">
        <v>572</v>
      </c>
      <c r="B440" s="9" t="s">
        <v>573</v>
      </c>
      <c r="C440" s="10">
        <v>1</v>
      </c>
      <c r="D440" s="10">
        <v>92</v>
      </c>
      <c r="E440" s="10">
        <v>21</v>
      </c>
      <c r="F440" s="10">
        <v>2</v>
      </c>
      <c r="G440" s="10">
        <v>0</v>
      </c>
      <c r="H440" s="10">
        <v>90</v>
      </c>
      <c r="I440" s="11">
        <v>1</v>
      </c>
      <c r="J440" s="11">
        <v>5.2</v>
      </c>
      <c r="K440" s="11">
        <v>5</v>
      </c>
      <c r="L440" s="11">
        <v>5.2</v>
      </c>
      <c r="M440" s="9" t="str">
        <f t="shared" si="18"/>
        <v>OK</v>
      </c>
      <c r="N440" s="12">
        <f t="shared" si="19"/>
        <v>1</v>
      </c>
      <c r="O440" s="12">
        <f>SUMIFS($D$2:D440,$B$2:B440,B440)/SUMIFS($D$2:$D$741,$B$2:$B$741,B440)</f>
        <v>1</v>
      </c>
      <c r="P440" s="9" t="b">
        <f t="shared" si="20"/>
        <v>1</v>
      </c>
      <c r="Q440" s="9" t="s">
        <v>23</v>
      </c>
      <c r="R440" s="9" t="s">
        <v>24</v>
      </c>
      <c r="S440" s="9" t="s">
        <v>25</v>
      </c>
      <c r="T440" s="9" t="s">
        <v>26</v>
      </c>
    </row>
    <row r="441" spans="1:20" x14ac:dyDescent="0.45">
      <c r="A441" s="9" t="s">
        <v>574</v>
      </c>
      <c r="B441" s="9" t="s">
        <v>575</v>
      </c>
      <c r="C441" s="10">
        <v>1</v>
      </c>
      <c r="D441" s="10">
        <v>42457</v>
      </c>
      <c r="E441" s="10">
        <v>12952</v>
      </c>
      <c r="F441" s="10">
        <v>1192</v>
      </c>
      <c r="G441" s="10">
        <v>471</v>
      </c>
      <c r="H441" s="10">
        <v>41265</v>
      </c>
      <c r="I441" s="11">
        <v>7</v>
      </c>
      <c r="J441" s="11">
        <v>16.600000000000001</v>
      </c>
      <c r="K441" s="11">
        <v>39</v>
      </c>
      <c r="L441" s="11">
        <v>39</v>
      </c>
      <c r="M441" s="9" t="str">
        <f t="shared" si="18"/>
        <v>OK</v>
      </c>
      <c r="N441" s="12">
        <f t="shared" si="19"/>
        <v>0.23371297402332891</v>
      </c>
      <c r="O441" s="12">
        <f>SUMIFS($D$2:D441,$B$2:B441,B441)/SUMIFS($D$2:$D$741,$B$2:$B$741,B441)</f>
        <v>0.23371297402332891</v>
      </c>
      <c r="P441" s="9" t="b">
        <f t="shared" si="20"/>
        <v>1</v>
      </c>
      <c r="Q441" s="9" t="s">
        <v>192</v>
      </c>
      <c r="R441" s="9" t="s">
        <v>576</v>
      </c>
      <c r="S441" s="9" t="s">
        <v>25</v>
      </c>
      <c r="T441" s="9" t="s">
        <v>577</v>
      </c>
    </row>
    <row r="442" spans="1:20" x14ac:dyDescent="0.45">
      <c r="A442" s="4" t="s">
        <v>578</v>
      </c>
      <c r="B442" s="4" t="s">
        <v>575</v>
      </c>
      <c r="C442" s="5">
        <v>2</v>
      </c>
      <c r="D442" s="5">
        <v>15018</v>
      </c>
      <c r="E442" s="5">
        <v>0</v>
      </c>
      <c r="F442" s="5">
        <v>24</v>
      </c>
      <c r="G442" s="5">
        <v>24</v>
      </c>
      <c r="H442" s="5">
        <v>14994</v>
      </c>
      <c r="I442" s="6">
        <v>4</v>
      </c>
      <c r="J442" s="6">
        <v>9.4</v>
      </c>
      <c r="K442" s="6">
        <v>20</v>
      </c>
      <c r="L442" s="6">
        <v>20</v>
      </c>
      <c r="M442" s="4" t="str">
        <f t="shared" si="18"/>
        <v>OK</v>
      </c>
      <c r="N442" s="7">
        <f t="shared" si="19"/>
        <v>8.2669558468152562E-2</v>
      </c>
      <c r="O442" s="7">
        <f>SUMIFS($D$2:D442,$B$2:B442,B442)/SUMIFS($D$2:$D$741,$B$2:$B$741,B442)</f>
        <v>0.31638253249148146</v>
      </c>
      <c r="P442" s="4" t="b">
        <f t="shared" si="20"/>
        <v>1</v>
      </c>
      <c r="Q442" s="4" t="s">
        <v>192</v>
      </c>
      <c r="R442" s="4" t="s">
        <v>576</v>
      </c>
      <c r="S442" s="4" t="s">
        <v>25</v>
      </c>
      <c r="T442" s="4" t="s">
        <v>577</v>
      </c>
    </row>
    <row r="443" spans="1:20" x14ac:dyDescent="0.45">
      <c r="A443" s="4" t="s">
        <v>579</v>
      </c>
      <c r="B443" s="4" t="s">
        <v>575</v>
      </c>
      <c r="C443" s="5">
        <v>1</v>
      </c>
      <c r="D443" s="5">
        <v>13340</v>
      </c>
      <c r="E443" s="5">
        <v>4233</v>
      </c>
      <c r="F443" s="5">
        <v>65</v>
      </c>
      <c r="G443" s="5">
        <v>26</v>
      </c>
      <c r="H443" s="5">
        <v>13275</v>
      </c>
      <c r="I443" s="6">
        <v>3</v>
      </c>
      <c r="J443" s="6">
        <v>5</v>
      </c>
      <c r="K443" s="6">
        <v>10</v>
      </c>
      <c r="L443" s="6">
        <v>10</v>
      </c>
      <c r="M443" s="4" t="str">
        <f t="shared" si="18"/>
        <v>OK</v>
      </c>
      <c r="N443" s="7">
        <f t="shared" si="19"/>
        <v>7.3432674787931501E-2</v>
      </c>
      <c r="O443" s="7">
        <f>SUMIFS($D$2:D443,$B$2:B443,B443)/SUMIFS($D$2:$D$741,$B$2:$B$741,B443)</f>
        <v>0.38981520727941299</v>
      </c>
      <c r="P443" s="4" t="b">
        <f t="shared" si="20"/>
        <v>1</v>
      </c>
      <c r="Q443" s="4" t="s">
        <v>192</v>
      </c>
      <c r="R443" s="4" t="s">
        <v>193</v>
      </c>
      <c r="S443" s="4" t="s">
        <v>25</v>
      </c>
      <c r="T443" s="4" t="s">
        <v>194</v>
      </c>
    </row>
    <row r="444" spans="1:20" x14ac:dyDescent="0.45">
      <c r="A444" s="4" t="s">
        <v>580</v>
      </c>
      <c r="B444" s="4" t="s">
        <v>575</v>
      </c>
      <c r="C444" s="5">
        <v>2</v>
      </c>
      <c r="D444" s="5">
        <v>11358</v>
      </c>
      <c r="E444" s="5">
        <v>2081</v>
      </c>
      <c r="F444" s="5">
        <v>21</v>
      </c>
      <c r="G444" s="5">
        <v>21</v>
      </c>
      <c r="H444" s="5">
        <v>11337</v>
      </c>
      <c r="I444" s="6">
        <v>0</v>
      </c>
      <c r="J444" s="6">
        <v>0</v>
      </c>
      <c r="K444" s="6">
        <v>0</v>
      </c>
      <c r="L444" s="6">
        <v>0</v>
      </c>
      <c r="M444" s="4" t="str">
        <f t="shared" si="18"/>
        <v>OK</v>
      </c>
      <c r="N444" s="7">
        <f t="shared" si="19"/>
        <v>6.2522362836681111E-2</v>
      </c>
      <c r="O444" s="7">
        <f>SUMIFS($D$2:D444,$B$2:B444,B444)/SUMIFS($D$2:$D$741,$B$2:$B$741,B444)</f>
        <v>0.4523375701160941</v>
      </c>
      <c r="P444" s="4" t="b">
        <f t="shared" si="20"/>
        <v>1</v>
      </c>
      <c r="Q444" s="4" t="s">
        <v>23</v>
      </c>
      <c r="R444" s="4" t="s">
        <v>30</v>
      </c>
      <c r="S444" s="4" t="s">
        <v>25</v>
      </c>
      <c r="T444" s="4" t="s">
        <v>581</v>
      </c>
    </row>
    <row r="445" spans="1:20" x14ac:dyDescent="0.45">
      <c r="A445" s="4" t="s">
        <v>582</v>
      </c>
      <c r="B445" s="4" t="s">
        <v>575</v>
      </c>
      <c r="C445" s="5">
        <v>2</v>
      </c>
      <c r="D445" s="5">
        <v>9522</v>
      </c>
      <c r="E445" s="5">
        <v>1857</v>
      </c>
      <c r="F445" s="5">
        <v>6</v>
      </c>
      <c r="G445" s="5">
        <v>3</v>
      </c>
      <c r="H445" s="5">
        <v>9516</v>
      </c>
      <c r="I445" s="6">
        <v>0</v>
      </c>
      <c r="J445" s="6">
        <v>1</v>
      </c>
      <c r="K445" s="6">
        <v>2</v>
      </c>
      <c r="L445" s="6">
        <v>2</v>
      </c>
      <c r="M445" s="4" t="str">
        <f t="shared" si="18"/>
        <v>OK</v>
      </c>
      <c r="N445" s="7">
        <f t="shared" si="19"/>
        <v>5.241573683138559E-2</v>
      </c>
      <c r="O445" s="7">
        <f>SUMIFS($D$2:D445,$B$2:B445,B445)/SUMIFS($D$2:$D$741,$B$2:$B$741,B445)</f>
        <v>0.50475330694747966</v>
      </c>
      <c r="P445" s="4" t="b">
        <f t="shared" si="20"/>
        <v>1</v>
      </c>
      <c r="Q445" s="4" t="s">
        <v>23</v>
      </c>
      <c r="R445" s="4" t="s">
        <v>30</v>
      </c>
      <c r="S445" s="4" t="s">
        <v>109</v>
      </c>
      <c r="T445" s="4" t="s">
        <v>583</v>
      </c>
    </row>
    <row r="446" spans="1:20" x14ac:dyDescent="0.45">
      <c r="A446" s="4" t="s">
        <v>584</v>
      </c>
      <c r="B446" s="4" t="s">
        <v>575</v>
      </c>
      <c r="C446" s="5">
        <v>1</v>
      </c>
      <c r="D446" s="5">
        <v>7682</v>
      </c>
      <c r="E446" s="5">
        <v>1520</v>
      </c>
      <c r="F446" s="5">
        <v>36</v>
      </c>
      <c r="G446" s="5">
        <v>29</v>
      </c>
      <c r="H446" s="5">
        <v>7646</v>
      </c>
      <c r="I446" s="6">
        <v>3</v>
      </c>
      <c r="J446" s="6">
        <v>5.9</v>
      </c>
      <c r="K446" s="6">
        <v>14</v>
      </c>
      <c r="L446" s="6">
        <v>14</v>
      </c>
      <c r="M446" s="4" t="str">
        <f t="shared" si="18"/>
        <v>OK</v>
      </c>
      <c r="N446" s="7">
        <f t="shared" si="19"/>
        <v>4.2287092033050207E-2</v>
      </c>
      <c r="O446" s="7">
        <f>SUMIFS($D$2:D446,$B$2:B446,B446)/SUMIFS($D$2:$D$741,$B$2:$B$741,B446)</f>
        <v>0.54704039898052992</v>
      </c>
      <c r="P446" s="4" t="b">
        <f t="shared" si="20"/>
        <v>1</v>
      </c>
      <c r="Q446" s="4" t="s">
        <v>192</v>
      </c>
      <c r="R446" s="4" t="s">
        <v>576</v>
      </c>
      <c r="S446" s="4" t="s">
        <v>25</v>
      </c>
      <c r="T446" s="4" t="s">
        <v>577</v>
      </c>
    </row>
    <row r="447" spans="1:20" x14ac:dyDescent="0.45">
      <c r="A447" s="4" t="s">
        <v>585</v>
      </c>
      <c r="B447" s="4" t="s">
        <v>575</v>
      </c>
      <c r="C447" s="5">
        <v>1</v>
      </c>
      <c r="D447" s="5">
        <v>7166</v>
      </c>
      <c r="E447" s="5">
        <v>2284</v>
      </c>
      <c r="F447" s="5">
        <v>87</v>
      </c>
      <c r="G447" s="5">
        <v>39</v>
      </c>
      <c r="H447" s="5">
        <v>7079</v>
      </c>
      <c r="I447" s="6">
        <v>3</v>
      </c>
      <c r="J447" s="6">
        <v>5</v>
      </c>
      <c r="K447" s="6">
        <v>10</v>
      </c>
      <c r="L447" s="6">
        <v>10</v>
      </c>
      <c r="M447" s="4" t="str">
        <f t="shared" si="18"/>
        <v>OK</v>
      </c>
      <c r="N447" s="7">
        <f t="shared" si="19"/>
        <v>3.9446667730908332E-2</v>
      </c>
      <c r="O447" s="7">
        <f>SUMIFS($D$2:D447,$B$2:B447,B447)/SUMIFS($D$2:$D$741,$B$2:$B$741,B447)</f>
        <v>0.58648706671143824</v>
      </c>
      <c r="P447" s="4" t="b">
        <f t="shared" si="20"/>
        <v>1</v>
      </c>
      <c r="Q447" s="4" t="s">
        <v>192</v>
      </c>
      <c r="R447" s="4" t="s">
        <v>576</v>
      </c>
      <c r="S447" s="4" t="s">
        <v>25</v>
      </c>
      <c r="T447" s="4" t="s">
        <v>577</v>
      </c>
    </row>
    <row r="448" spans="1:20" x14ac:dyDescent="0.45">
      <c r="A448" s="4" t="s">
        <v>586</v>
      </c>
      <c r="B448" s="4" t="s">
        <v>575</v>
      </c>
      <c r="C448" s="5">
        <v>1</v>
      </c>
      <c r="D448" s="5">
        <v>6669</v>
      </c>
      <c r="E448" s="5">
        <v>2045</v>
      </c>
      <c r="F448" s="5">
        <v>39</v>
      </c>
      <c r="G448" s="5">
        <v>19</v>
      </c>
      <c r="H448" s="5">
        <v>6630</v>
      </c>
      <c r="I448" s="6">
        <v>4</v>
      </c>
      <c r="J448" s="6">
        <v>6.3</v>
      </c>
      <c r="K448" s="6">
        <v>14</v>
      </c>
      <c r="L448" s="6">
        <v>14</v>
      </c>
      <c r="M448" s="4" t="str">
        <f t="shared" si="18"/>
        <v>OK</v>
      </c>
      <c r="N448" s="7">
        <f t="shared" si="19"/>
        <v>3.6710832695705783E-2</v>
      </c>
      <c r="O448" s="7">
        <f>SUMIFS($D$2:D448,$B$2:B448,B448)/SUMIFS($D$2:$D$741,$B$2:$B$741,B448)</f>
        <v>0.62319789940714398</v>
      </c>
      <c r="P448" s="4" t="b">
        <f t="shared" si="20"/>
        <v>1</v>
      </c>
      <c r="Q448" s="4" t="s">
        <v>192</v>
      </c>
      <c r="R448" s="4" t="s">
        <v>576</v>
      </c>
      <c r="S448" s="4" t="s">
        <v>25</v>
      </c>
      <c r="T448" s="4" t="s">
        <v>577</v>
      </c>
    </row>
    <row r="449" spans="1:20" x14ac:dyDescent="0.45">
      <c r="A449" s="4" t="s">
        <v>587</v>
      </c>
      <c r="B449" s="4" t="s">
        <v>575</v>
      </c>
      <c r="C449" s="5">
        <v>2</v>
      </c>
      <c r="D449" s="5">
        <v>6245</v>
      </c>
      <c r="E449" s="5">
        <v>0</v>
      </c>
      <c r="F449" s="5">
        <v>2</v>
      </c>
      <c r="G449" s="5">
        <v>2</v>
      </c>
      <c r="H449" s="5">
        <v>6243</v>
      </c>
      <c r="I449" s="6">
        <v>2</v>
      </c>
      <c r="J449" s="6">
        <v>3.7</v>
      </c>
      <c r="K449" s="6">
        <v>7</v>
      </c>
      <c r="L449" s="6">
        <v>7</v>
      </c>
      <c r="M449" s="4" t="str">
        <f t="shared" si="18"/>
        <v>OK</v>
      </c>
      <c r="N449" s="7">
        <f t="shared" si="19"/>
        <v>3.4376840633480676E-2</v>
      </c>
      <c r="O449" s="7">
        <f>SUMIFS($D$2:D449,$B$2:B449,B449)/SUMIFS($D$2:$D$741,$B$2:$B$741,B449)</f>
        <v>0.65757474004062466</v>
      </c>
      <c r="P449" s="4" t="b">
        <f t="shared" si="20"/>
        <v>1</v>
      </c>
      <c r="Q449" s="4" t="s">
        <v>192</v>
      </c>
      <c r="R449" s="4" t="s">
        <v>467</v>
      </c>
      <c r="S449" s="4" t="s">
        <v>25</v>
      </c>
      <c r="T449" s="4" t="s">
        <v>468</v>
      </c>
    </row>
    <row r="450" spans="1:20" x14ac:dyDescent="0.45">
      <c r="A450" s="4" t="s">
        <v>588</v>
      </c>
      <c r="B450" s="4" t="s">
        <v>575</v>
      </c>
      <c r="C450" s="5">
        <v>2</v>
      </c>
      <c r="D450" s="5">
        <v>5214</v>
      </c>
      <c r="E450" s="5">
        <v>1464</v>
      </c>
      <c r="F450" s="5">
        <v>34</v>
      </c>
      <c r="G450" s="5">
        <v>0</v>
      </c>
      <c r="H450" s="5">
        <v>5180</v>
      </c>
      <c r="I450" s="6">
        <v>2</v>
      </c>
      <c r="J450" s="6">
        <v>5.3</v>
      </c>
      <c r="K450" s="6">
        <v>8</v>
      </c>
      <c r="L450" s="6">
        <v>8</v>
      </c>
      <c r="M450" s="4" t="str">
        <f t="shared" ref="M450:M513" si="21">IF(AND(K450="",L450=""),"No closed tickets",IF(K450="","MISSING in catalog",IF(L450="","No valid closed tickets",IF(AND(ABS(K450-L450)&gt;=$W$3,ABS(K450-L450)&gt;=$W$4*MAX(L450,1)),"FAR OFF","OK"))))</f>
        <v>OK</v>
      </c>
      <c r="N450" s="7">
        <f t="shared" ref="N450:N513" si="22">D450/SUMIFS($D$2:$D$741,$B$2:$B$741,B450)</f>
        <v>2.8701496727456883E-2</v>
      </c>
      <c r="O450" s="7">
        <f>SUMIFS($D$2:D450,$B$2:B450,B450)/SUMIFS($D$2:$D$741,$B$2:$B$741,B450)</f>
        <v>0.68627623676808158</v>
      </c>
      <c r="P450" s="4" t="b">
        <f t="shared" ref="P450:P513" si="23">O450-N450&lt;$W$2</f>
        <v>1</v>
      </c>
      <c r="Q450" s="4" t="s">
        <v>23</v>
      </c>
      <c r="R450" s="4" t="s">
        <v>24</v>
      </c>
      <c r="S450" s="4" t="s">
        <v>25</v>
      </c>
      <c r="T450" s="4" t="s">
        <v>26</v>
      </c>
    </row>
    <row r="451" spans="1:20" x14ac:dyDescent="0.45">
      <c r="A451" s="4" t="s">
        <v>589</v>
      </c>
      <c r="B451" s="4" t="s">
        <v>575</v>
      </c>
      <c r="C451" s="5">
        <v>2</v>
      </c>
      <c r="D451" s="5">
        <v>4916</v>
      </c>
      <c r="E451" s="5">
        <v>0</v>
      </c>
      <c r="F451" s="5">
        <v>2</v>
      </c>
      <c r="G451" s="5">
        <v>2</v>
      </c>
      <c r="H451" s="5">
        <v>4914</v>
      </c>
      <c r="I451" s="6">
        <v>3</v>
      </c>
      <c r="J451" s="6">
        <v>5</v>
      </c>
      <c r="K451" s="6">
        <v>9</v>
      </c>
      <c r="L451" s="6">
        <v>9</v>
      </c>
      <c r="M451" s="4" t="str">
        <f t="shared" si="21"/>
        <v>OK</v>
      </c>
      <c r="N451" s="7">
        <f t="shared" si="22"/>
        <v>2.706109664598735E-2</v>
      </c>
      <c r="O451" s="7">
        <f>SUMIFS($D$2:D451,$B$2:B451,B451)/SUMIFS($D$2:$D$741,$B$2:$B$741,B451)</f>
        <v>0.71333733341406891</v>
      </c>
      <c r="P451" s="4" t="b">
        <f t="shared" si="23"/>
        <v>1</v>
      </c>
      <c r="Q451" s="4" t="s">
        <v>192</v>
      </c>
      <c r="R451" s="4" t="s">
        <v>193</v>
      </c>
      <c r="S451" s="4" t="s">
        <v>25</v>
      </c>
      <c r="T451" s="4" t="s">
        <v>194</v>
      </c>
    </row>
    <row r="452" spans="1:20" x14ac:dyDescent="0.45">
      <c r="A452" s="4" t="s">
        <v>590</v>
      </c>
      <c r="B452" s="4" t="s">
        <v>575</v>
      </c>
      <c r="C452" s="5">
        <v>3</v>
      </c>
      <c r="D452" s="5">
        <v>4726</v>
      </c>
      <c r="E452" s="5">
        <v>1040</v>
      </c>
      <c r="F452" s="5">
        <v>63</v>
      </c>
      <c r="G452" s="5">
        <v>27</v>
      </c>
      <c r="H452" s="5">
        <v>4663</v>
      </c>
      <c r="I452" s="6">
        <v>40</v>
      </c>
      <c r="J452" s="6">
        <v>61.4</v>
      </c>
      <c r="K452" s="6">
        <v>148</v>
      </c>
      <c r="L452" s="6">
        <v>148</v>
      </c>
      <c r="M452" s="4" t="str">
        <f t="shared" si="21"/>
        <v>OK</v>
      </c>
      <c r="N452" s="7">
        <f t="shared" si="22"/>
        <v>2.6015203976594022E-2</v>
      </c>
      <c r="O452" s="7">
        <f>SUMIFS($D$2:D452,$B$2:B452,B452)/SUMIFS($D$2:$D$741,$B$2:$B$741,B452)</f>
        <v>0.73935253739066298</v>
      </c>
      <c r="P452" s="4" t="b">
        <f t="shared" si="23"/>
        <v>1</v>
      </c>
      <c r="Q452" s="4" t="s">
        <v>23</v>
      </c>
      <c r="R452" s="4" t="s">
        <v>24</v>
      </c>
      <c r="S452" s="4" t="s">
        <v>25</v>
      </c>
      <c r="T452" s="4" t="s">
        <v>26</v>
      </c>
    </row>
    <row r="453" spans="1:20" x14ac:dyDescent="0.45">
      <c r="A453" s="4" t="s">
        <v>591</v>
      </c>
      <c r="B453" s="4" t="s">
        <v>575</v>
      </c>
      <c r="C453" s="5">
        <v>1</v>
      </c>
      <c r="D453" s="5">
        <v>4333</v>
      </c>
      <c r="E453" s="5">
        <v>1292</v>
      </c>
      <c r="F453" s="5">
        <v>85</v>
      </c>
      <c r="G453" s="5">
        <v>35</v>
      </c>
      <c r="H453" s="5">
        <v>4248</v>
      </c>
      <c r="I453" s="6">
        <v>3</v>
      </c>
      <c r="J453" s="6">
        <v>6.6</v>
      </c>
      <c r="K453" s="6">
        <v>15</v>
      </c>
      <c r="L453" s="6">
        <v>15</v>
      </c>
      <c r="M453" s="4" t="str">
        <f t="shared" si="21"/>
        <v>OK</v>
      </c>
      <c r="N453" s="7">
        <f t="shared" si="22"/>
        <v>2.3851857560427826E-2</v>
      </c>
      <c r="O453" s="7">
        <f>SUMIFS($D$2:D453,$B$2:B453,B453)/SUMIFS($D$2:$D$741,$B$2:$B$741,B453)</f>
        <v>0.76320439495109071</v>
      </c>
      <c r="P453" s="4" t="b">
        <f t="shared" si="23"/>
        <v>1</v>
      </c>
      <c r="Q453" s="4" t="s">
        <v>192</v>
      </c>
      <c r="R453" s="4" t="s">
        <v>576</v>
      </c>
      <c r="S453" s="4" t="s">
        <v>25</v>
      </c>
      <c r="T453" s="4" t="s">
        <v>577</v>
      </c>
    </row>
    <row r="454" spans="1:20" x14ac:dyDescent="0.45">
      <c r="A454" s="4" t="s">
        <v>592</v>
      </c>
      <c r="B454" s="4" t="s">
        <v>575</v>
      </c>
      <c r="C454" s="5">
        <v>2</v>
      </c>
      <c r="D454" s="5">
        <v>3512</v>
      </c>
      <c r="E454" s="5">
        <v>0</v>
      </c>
      <c r="F454" s="5">
        <v>3</v>
      </c>
      <c r="G454" s="5">
        <v>3</v>
      </c>
      <c r="H454" s="5">
        <v>3509</v>
      </c>
      <c r="I454" s="6">
        <v>2</v>
      </c>
      <c r="J454" s="6">
        <v>5.3</v>
      </c>
      <c r="K454" s="6">
        <v>11</v>
      </c>
      <c r="L454" s="6">
        <v>11</v>
      </c>
      <c r="M454" s="4" t="str">
        <f t="shared" si="21"/>
        <v>OK</v>
      </c>
      <c r="N454" s="7">
        <f t="shared" si="22"/>
        <v>1.9332500288996659E-2</v>
      </c>
      <c r="O454" s="7">
        <f>SUMIFS($D$2:D454,$B$2:B454,B454)/SUMIFS($D$2:$D$741,$B$2:$B$741,B454)</f>
        <v>0.7825368952400874</v>
      </c>
      <c r="P454" s="4" t="b">
        <f t="shared" si="23"/>
        <v>1</v>
      </c>
      <c r="Q454" s="4" t="s">
        <v>192</v>
      </c>
      <c r="R454" s="4" t="s">
        <v>576</v>
      </c>
      <c r="S454" s="4" t="s">
        <v>25</v>
      </c>
      <c r="T454" s="4" t="s">
        <v>577</v>
      </c>
    </row>
    <row r="455" spans="1:20" x14ac:dyDescent="0.45">
      <c r="A455" s="4" t="s">
        <v>593</v>
      </c>
      <c r="B455" s="4" t="s">
        <v>575</v>
      </c>
      <c r="C455" s="5">
        <v>2</v>
      </c>
      <c r="D455" s="5">
        <v>3045</v>
      </c>
      <c r="E455" s="5">
        <v>0</v>
      </c>
      <c r="F455" s="5">
        <v>4</v>
      </c>
      <c r="G455" s="5">
        <v>4</v>
      </c>
      <c r="H455" s="5">
        <v>3041</v>
      </c>
      <c r="I455" s="6">
        <v>3</v>
      </c>
      <c r="J455" s="6">
        <v>6</v>
      </c>
      <c r="K455" s="6">
        <v>12</v>
      </c>
      <c r="L455" s="6">
        <v>12</v>
      </c>
      <c r="M455" s="4" t="str">
        <f t="shared" si="21"/>
        <v>OK</v>
      </c>
      <c r="N455" s="7">
        <f t="shared" si="22"/>
        <v>1.6761806201593059E-2</v>
      </c>
      <c r="O455" s="7">
        <f>SUMIFS($D$2:D455,$B$2:B455,B455)/SUMIFS($D$2:$D$741,$B$2:$B$741,B455)</f>
        <v>0.79929870144168047</v>
      </c>
      <c r="P455" s="4" t="b">
        <f t="shared" si="23"/>
        <v>1</v>
      </c>
      <c r="Q455" s="4" t="s">
        <v>192</v>
      </c>
      <c r="R455" s="4" t="s">
        <v>576</v>
      </c>
      <c r="S455" s="4" t="s">
        <v>25</v>
      </c>
      <c r="T455" s="4" t="s">
        <v>577</v>
      </c>
    </row>
    <row r="456" spans="1:20" x14ac:dyDescent="0.45">
      <c r="A456" s="4" t="s">
        <v>594</v>
      </c>
      <c r="B456" s="4" t="s">
        <v>575</v>
      </c>
      <c r="C456" s="5">
        <v>1</v>
      </c>
      <c r="D456" s="5">
        <v>2754</v>
      </c>
      <c r="E456" s="5">
        <v>969</v>
      </c>
      <c r="F456" s="5">
        <v>54</v>
      </c>
      <c r="G456" s="5">
        <v>36</v>
      </c>
      <c r="H456" s="5">
        <v>2700</v>
      </c>
      <c r="I456" s="6">
        <v>2</v>
      </c>
      <c r="J456" s="6">
        <v>6.9</v>
      </c>
      <c r="K456" s="6">
        <v>8</v>
      </c>
      <c r="L456" s="6">
        <v>8</v>
      </c>
      <c r="M456" s="4" t="str">
        <f t="shared" si="21"/>
        <v>OK</v>
      </c>
      <c r="N456" s="7">
        <f t="shared" si="22"/>
        <v>1.5159939007943279E-2</v>
      </c>
      <c r="O456" s="7">
        <f>SUMIFS($D$2:D456,$B$2:B456,B456)/SUMIFS($D$2:$D$741,$B$2:$B$741,B456)</f>
        <v>0.81445864044962379</v>
      </c>
      <c r="P456" s="4" t="b">
        <f t="shared" si="23"/>
        <v>1</v>
      </c>
      <c r="Q456" s="4" t="s">
        <v>192</v>
      </c>
      <c r="R456" s="4" t="s">
        <v>576</v>
      </c>
      <c r="S456" s="4" t="s">
        <v>25</v>
      </c>
      <c r="T456" s="4" t="s">
        <v>577</v>
      </c>
    </row>
    <row r="457" spans="1:20" x14ac:dyDescent="0.45">
      <c r="A457" s="4" t="s">
        <v>595</v>
      </c>
      <c r="B457" s="4" t="s">
        <v>575</v>
      </c>
      <c r="C457" s="5">
        <v>1</v>
      </c>
      <c r="D457" s="5">
        <v>2576</v>
      </c>
      <c r="E457" s="5">
        <v>1372</v>
      </c>
      <c r="F457" s="5">
        <v>33</v>
      </c>
      <c r="G457" s="5">
        <v>13</v>
      </c>
      <c r="H457" s="5">
        <v>2543</v>
      </c>
      <c r="I457" s="6">
        <v>4</v>
      </c>
      <c r="J457" s="6">
        <v>8.6999999999999993</v>
      </c>
      <c r="K457" s="6">
        <v>19</v>
      </c>
      <c r="L457" s="6">
        <v>19</v>
      </c>
      <c r="M457" s="4" t="str">
        <f t="shared" si="21"/>
        <v>OK</v>
      </c>
      <c r="N457" s="7">
        <f t="shared" si="22"/>
        <v>1.4180102717669531E-2</v>
      </c>
      <c r="O457" s="7">
        <f>SUMIFS($D$2:D457,$B$2:B457,B457)/SUMIFS($D$2:$D$741,$B$2:$B$741,B457)</f>
        <v>0.82863874316729325</v>
      </c>
      <c r="P457" s="4" t="b">
        <f t="shared" si="23"/>
        <v>1</v>
      </c>
      <c r="Q457" s="4" t="s">
        <v>192</v>
      </c>
      <c r="R457" s="4" t="s">
        <v>576</v>
      </c>
      <c r="S457" s="4" t="s">
        <v>25</v>
      </c>
      <c r="T457" s="4" t="s">
        <v>577</v>
      </c>
    </row>
    <row r="458" spans="1:20" x14ac:dyDescent="0.45">
      <c r="A458" s="4" t="s">
        <v>596</v>
      </c>
      <c r="B458" s="4" t="s">
        <v>575</v>
      </c>
      <c r="C458" s="5">
        <v>1</v>
      </c>
      <c r="D458" s="5">
        <v>2420</v>
      </c>
      <c r="E458" s="5">
        <v>726</v>
      </c>
      <c r="F458" s="5">
        <v>4</v>
      </c>
      <c r="G458" s="5">
        <v>2</v>
      </c>
      <c r="H458" s="5">
        <v>2416</v>
      </c>
      <c r="I458" s="6">
        <v>6</v>
      </c>
      <c r="J458" s="6">
        <v>9.6999999999999993</v>
      </c>
      <c r="K458" s="6">
        <v>22</v>
      </c>
      <c r="L458" s="6">
        <v>22</v>
      </c>
      <c r="M458" s="4" t="str">
        <f t="shared" si="21"/>
        <v>OK</v>
      </c>
      <c r="N458" s="7">
        <f t="shared" si="22"/>
        <v>1.3321369789115009E-2</v>
      </c>
      <c r="O458" s="7">
        <f>SUMIFS($D$2:D458,$B$2:B458,B458)/SUMIFS($D$2:$D$741,$B$2:$B$741,B458)</f>
        <v>0.84196011295640827</v>
      </c>
      <c r="P458" s="4" t="b">
        <f t="shared" si="23"/>
        <v>1</v>
      </c>
      <c r="Q458" s="4" t="s">
        <v>192</v>
      </c>
      <c r="R458" s="4" t="s">
        <v>576</v>
      </c>
      <c r="S458" s="4" t="s">
        <v>25</v>
      </c>
      <c r="T458" s="4" t="s">
        <v>577</v>
      </c>
    </row>
    <row r="459" spans="1:20" x14ac:dyDescent="0.45">
      <c r="A459" s="4" t="s">
        <v>597</v>
      </c>
      <c r="B459" s="4" t="s">
        <v>575</v>
      </c>
      <c r="C459" s="5">
        <v>2</v>
      </c>
      <c r="D459" s="5">
        <v>2189</v>
      </c>
      <c r="E459" s="5">
        <v>0</v>
      </c>
      <c r="F459" s="5">
        <v>1</v>
      </c>
      <c r="G459" s="5">
        <v>1</v>
      </c>
      <c r="H459" s="5">
        <v>2188</v>
      </c>
      <c r="I459" s="6">
        <v>3</v>
      </c>
      <c r="J459" s="6">
        <v>4.9000000000000004</v>
      </c>
      <c r="K459" s="6">
        <v>11</v>
      </c>
      <c r="L459" s="6">
        <v>11</v>
      </c>
      <c r="M459" s="4" t="str">
        <f t="shared" si="21"/>
        <v>OK</v>
      </c>
      <c r="N459" s="7">
        <f t="shared" si="22"/>
        <v>1.2049784491063122E-2</v>
      </c>
      <c r="O459" s="7">
        <f>SUMIFS($D$2:D459,$B$2:B459,B459)/SUMIFS($D$2:$D$741,$B$2:$B$741,B459)</f>
        <v>0.85400989744747147</v>
      </c>
      <c r="P459" s="4" t="b">
        <f t="shared" si="23"/>
        <v>1</v>
      </c>
      <c r="Q459" s="4" t="s">
        <v>192</v>
      </c>
      <c r="R459" s="4" t="s">
        <v>576</v>
      </c>
      <c r="S459" s="4" t="s">
        <v>25</v>
      </c>
      <c r="T459" s="4" t="s">
        <v>577</v>
      </c>
    </row>
    <row r="460" spans="1:20" x14ac:dyDescent="0.45">
      <c r="A460" s="4" t="s">
        <v>598</v>
      </c>
      <c r="B460" s="4" t="s">
        <v>575</v>
      </c>
      <c r="C460" s="5">
        <v>2</v>
      </c>
      <c r="D460" s="5">
        <v>2032</v>
      </c>
      <c r="E460" s="5">
        <v>0</v>
      </c>
      <c r="F460" s="5">
        <v>0</v>
      </c>
      <c r="G460" s="5">
        <v>0</v>
      </c>
      <c r="H460" s="5">
        <v>2032</v>
      </c>
      <c r="I460" s="6">
        <v>2</v>
      </c>
      <c r="J460" s="6">
        <v>3.8</v>
      </c>
      <c r="K460" s="6">
        <v>8</v>
      </c>
      <c r="L460" s="6">
        <v>8</v>
      </c>
      <c r="M460" s="4" t="str">
        <f t="shared" si="21"/>
        <v>OK</v>
      </c>
      <c r="N460" s="7">
        <f t="shared" si="22"/>
        <v>1.1185546864248636E-2</v>
      </c>
      <c r="O460" s="7">
        <f>SUMIFS($D$2:D460,$B$2:B460,B460)/SUMIFS($D$2:$D$741,$B$2:$B$741,B460)</f>
        <v>0.86519544431172002</v>
      </c>
      <c r="P460" s="4" t="b">
        <f t="shared" si="23"/>
        <v>1</v>
      </c>
      <c r="Q460" s="4" t="s">
        <v>192</v>
      </c>
      <c r="R460" s="4" t="s">
        <v>576</v>
      </c>
      <c r="S460" s="4" t="s">
        <v>25</v>
      </c>
      <c r="T460" s="4" t="s">
        <v>577</v>
      </c>
    </row>
    <row r="461" spans="1:20" x14ac:dyDescent="0.45">
      <c r="A461" s="4" t="s">
        <v>599</v>
      </c>
      <c r="B461" s="4" t="s">
        <v>575</v>
      </c>
      <c r="C461" s="5">
        <v>2</v>
      </c>
      <c r="D461" s="5">
        <v>1979</v>
      </c>
      <c r="E461" s="5">
        <v>363</v>
      </c>
      <c r="F461" s="5">
        <v>23</v>
      </c>
      <c r="G461" s="5">
        <v>7</v>
      </c>
      <c r="H461" s="5">
        <v>1956</v>
      </c>
      <c r="I461" s="6">
        <v>4</v>
      </c>
      <c r="J461" s="6">
        <v>12.3</v>
      </c>
      <c r="K461" s="6">
        <v>40</v>
      </c>
      <c r="L461" s="6">
        <v>40</v>
      </c>
      <c r="M461" s="4" t="str">
        <f t="shared" si="21"/>
        <v>OK</v>
      </c>
      <c r="N461" s="7">
        <f t="shared" si="22"/>
        <v>1.0893797856470497E-2</v>
      </c>
      <c r="O461" s="7">
        <f>SUMIFS($D$2:D461,$B$2:B461,B461)/SUMIFS($D$2:$D$741,$B$2:$B$741,B461)</f>
        <v>0.87608924216819051</v>
      </c>
      <c r="P461" s="4" t="b">
        <f t="shared" si="23"/>
        <v>1</v>
      </c>
      <c r="Q461" s="4" t="s">
        <v>23</v>
      </c>
      <c r="R461" s="4" t="s">
        <v>75</v>
      </c>
      <c r="S461" s="4" t="s">
        <v>109</v>
      </c>
      <c r="T461" s="4" t="s">
        <v>600</v>
      </c>
    </row>
    <row r="462" spans="1:20" x14ac:dyDescent="0.45">
      <c r="A462" s="4" t="s">
        <v>601</v>
      </c>
      <c r="B462" s="4" t="s">
        <v>575</v>
      </c>
      <c r="C462" s="5">
        <v>1</v>
      </c>
      <c r="D462" s="5">
        <v>1896</v>
      </c>
      <c r="E462" s="5">
        <v>1836</v>
      </c>
      <c r="F462" s="5">
        <v>136</v>
      </c>
      <c r="G462" s="5">
        <v>31</v>
      </c>
      <c r="H462" s="5">
        <v>1760</v>
      </c>
      <c r="I462" s="6">
        <v>5</v>
      </c>
      <c r="J462" s="6">
        <v>10.1</v>
      </c>
      <c r="K462" s="6">
        <v>27</v>
      </c>
      <c r="L462" s="6">
        <v>27</v>
      </c>
      <c r="M462" s="4" t="str">
        <f t="shared" si="21"/>
        <v>OK</v>
      </c>
      <c r="N462" s="7">
        <f t="shared" si="22"/>
        <v>1.0436907900893412E-2</v>
      </c>
      <c r="O462" s="7">
        <f>SUMIFS($D$2:D462,$B$2:B462,B462)/SUMIFS($D$2:$D$741,$B$2:$B$741,B462)</f>
        <v>0.88652615006908397</v>
      </c>
      <c r="P462" s="4" t="b">
        <f t="shared" si="23"/>
        <v>1</v>
      </c>
      <c r="Q462" s="4" t="s">
        <v>23</v>
      </c>
      <c r="R462" s="4" t="s">
        <v>30</v>
      </c>
      <c r="S462" s="4" t="s">
        <v>25</v>
      </c>
      <c r="T462" s="4" t="s">
        <v>31</v>
      </c>
    </row>
    <row r="463" spans="1:20" x14ac:dyDescent="0.45">
      <c r="A463" s="4" t="s">
        <v>602</v>
      </c>
      <c r="B463" s="4" t="s">
        <v>575</v>
      </c>
      <c r="C463" s="5">
        <v>1</v>
      </c>
      <c r="D463" s="5">
        <v>1760</v>
      </c>
      <c r="E463" s="5">
        <v>24</v>
      </c>
      <c r="F463" s="5">
        <v>24</v>
      </c>
      <c r="G463" s="5">
        <v>24</v>
      </c>
      <c r="H463" s="5">
        <v>1736</v>
      </c>
      <c r="I463" s="6">
        <v>1</v>
      </c>
      <c r="J463" s="6">
        <v>3.6</v>
      </c>
      <c r="K463" s="6">
        <v>6</v>
      </c>
      <c r="L463" s="6">
        <v>6</v>
      </c>
      <c r="M463" s="4" t="str">
        <f t="shared" si="21"/>
        <v>OK</v>
      </c>
      <c r="N463" s="7">
        <f t="shared" si="22"/>
        <v>9.6882689375381893E-3</v>
      </c>
      <c r="O463" s="7">
        <f>SUMIFS($D$2:D463,$B$2:B463,B463)/SUMIFS($D$2:$D$741,$B$2:$B$741,B463)</f>
        <v>0.89621441900662213</v>
      </c>
      <c r="P463" s="4" t="b">
        <f t="shared" si="23"/>
        <v>1</v>
      </c>
      <c r="Q463" s="4" t="s">
        <v>192</v>
      </c>
      <c r="R463" s="4" t="s">
        <v>467</v>
      </c>
      <c r="S463" s="4" t="s">
        <v>25</v>
      </c>
      <c r="T463" s="4" t="s">
        <v>468</v>
      </c>
    </row>
    <row r="464" spans="1:20" x14ac:dyDescent="0.45">
      <c r="A464" s="4" t="s">
        <v>603</v>
      </c>
      <c r="B464" s="4" t="s">
        <v>575</v>
      </c>
      <c r="C464" s="5">
        <v>1</v>
      </c>
      <c r="D464" s="5">
        <v>1543</v>
      </c>
      <c r="E464" s="5">
        <v>535</v>
      </c>
      <c r="F464" s="5">
        <v>7</v>
      </c>
      <c r="G464" s="5">
        <v>0</v>
      </c>
      <c r="H464" s="5">
        <v>1536</v>
      </c>
      <c r="I464" s="6">
        <v>6</v>
      </c>
      <c r="J464" s="6">
        <v>9.5</v>
      </c>
      <c r="K464" s="6">
        <v>18</v>
      </c>
      <c r="L464" s="6">
        <v>18</v>
      </c>
      <c r="M464" s="4" t="str">
        <f t="shared" si="21"/>
        <v>OK</v>
      </c>
      <c r="N464" s="7">
        <f t="shared" si="22"/>
        <v>8.4937494151258106E-3</v>
      </c>
      <c r="O464" s="7">
        <f>SUMIFS($D$2:D464,$B$2:B464,B464)/SUMIFS($D$2:$D$741,$B$2:$B$741,B464)</f>
        <v>0.90470816842174795</v>
      </c>
      <c r="P464" s="4" t="b">
        <f t="shared" si="23"/>
        <v>1</v>
      </c>
      <c r="Q464" s="4" t="s">
        <v>192</v>
      </c>
      <c r="R464" s="4" t="s">
        <v>576</v>
      </c>
      <c r="S464" s="4" t="s">
        <v>109</v>
      </c>
      <c r="T464" s="4" t="s">
        <v>604</v>
      </c>
    </row>
    <row r="465" spans="1:20" x14ac:dyDescent="0.45">
      <c r="A465" s="4" t="s">
        <v>605</v>
      </c>
      <c r="B465" s="4" t="s">
        <v>575</v>
      </c>
      <c r="C465" s="5">
        <v>2</v>
      </c>
      <c r="D465" s="5">
        <v>1472</v>
      </c>
      <c r="E465" s="5">
        <v>280</v>
      </c>
      <c r="F465" s="5">
        <v>24</v>
      </c>
      <c r="G465" s="5">
        <v>8</v>
      </c>
      <c r="H465" s="5">
        <v>1448</v>
      </c>
      <c r="I465" s="6">
        <v>5</v>
      </c>
      <c r="J465" s="6">
        <v>14.9</v>
      </c>
      <c r="K465" s="6">
        <v>37</v>
      </c>
      <c r="L465" s="6">
        <v>37</v>
      </c>
      <c r="M465" s="4" t="str">
        <f t="shared" si="21"/>
        <v>OK</v>
      </c>
      <c r="N465" s="7">
        <f t="shared" si="22"/>
        <v>8.1029158386683037E-3</v>
      </c>
      <c r="O465" s="7">
        <f>SUMIFS($D$2:D465,$B$2:B465,B465)/SUMIFS($D$2:$D$741,$B$2:$B$741,B465)</f>
        <v>0.91281108426041624</v>
      </c>
      <c r="P465" s="4" t="b">
        <f t="shared" si="23"/>
        <v>1</v>
      </c>
      <c r="Q465" s="4" t="s">
        <v>23</v>
      </c>
      <c r="R465" s="4" t="s">
        <v>289</v>
      </c>
      <c r="S465" s="4" t="s">
        <v>25</v>
      </c>
      <c r="T465" s="4" t="s">
        <v>290</v>
      </c>
    </row>
    <row r="466" spans="1:20" x14ac:dyDescent="0.45">
      <c r="A466" s="4" t="s">
        <v>606</v>
      </c>
      <c r="B466" s="4" t="s">
        <v>575</v>
      </c>
      <c r="C466" s="5">
        <v>1</v>
      </c>
      <c r="D466" s="5">
        <v>1316</v>
      </c>
      <c r="E466" s="5">
        <v>497</v>
      </c>
      <c r="F466" s="5">
        <v>41</v>
      </c>
      <c r="G466" s="5">
        <v>13</v>
      </c>
      <c r="H466" s="5">
        <v>1275</v>
      </c>
      <c r="I466" s="6">
        <v>10</v>
      </c>
      <c r="J466" s="6">
        <v>16.5</v>
      </c>
      <c r="K466" s="6">
        <v>34</v>
      </c>
      <c r="L466" s="6">
        <v>34</v>
      </c>
      <c r="M466" s="4" t="str">
        <f t="shared" si="21"/>
        <v>OK</v>
      </c>
      <c r="N466" s="7">
        <f t="shared" si="22"/>
        <v>7.2441829101137821E-3</v>
      </c>
      <c r="O466" s="7">
        <f>SUMIFS($D$2:D466,$B$2:B466,B466)/SUMIFS($D$2:$D$741,$B$2:$B$741,B466)</f>
        <v>0.9200552671705301</v>
      </c>
      <c r="P466" s="4" t="b">
        <f t="shared" si="23"/>
        <v>1</v>
      </c>
      <c r="Q466" s="4" t="s">
        <v>23</v>
      </c>
      <c r="R466" s="4" t="s">
        <v>100</v>
      </c>
      <c r="S466" s="4" t="s">
        <v>109</v>
      </c>
      <c r="T466" s="4" t="s">
        <v>607</v>
      </c>
    </row>
    <row r="467" spans="1:20" x14ac:dyDescent="0.45">
      <c r="A467" s="4" t="s">
        <v>608</v>
      </c>
      <c r="B467" s="4" t="s">
        <v>575</v>
      </c>
      <c r="C467" s="5">
        <v>2</v>
      </c>
      <c r="D467" s="5">
        <v>1117</v>
      </c>
      <c r="E467" s="5">
        <v>0</v>
      </c>
      <c r="F467" s="5">
        <v>1</v>
      </c>
      <c r="G467" s="5">
        <v>1</v>
      </c>
      <c r="H467" s="5">
        <v>1116</v>
      </c>
      <c r="I467" s="6">
        <v>2</v>
      </c>
      <c r="J467" s="6">
        <v>8.1999999999999993</v>
      </c>
      <c r="K467" s="6">
        <v>13</v>
      </c>
      <c r="L467" s="6">
        <v>13</v>
      </c>
      <c r="M467" s="4" t="str">
        <f t="shared" si="21"/>
        <v>OK</v>
      </c>
      <c r="N467" s="7">
        <f t="shared" si="22"/>
        <v>6.148747956380771E-3</v>
      </c>
      <c r="O467" s="7">
        <f>SUMIFS($D$2:D467,$B$2:B467,B467)/SUMIFS($D$2:$D$741,$B$2:$B$741,B467)</f>
        <v>0.92620401512691086</v>
      </c>
      <c r="P467" s="4" t="b">
        <f t="shared" si="23"/>
        <v>1</v>
      </c>
      <c r="Q467" s="4" t="s">
        <v>192</v>
      </c>
      <c r="R467" s="4" t="s">
        <v>576</v>
      </c>
      <c r="S467" s="4" t="s">
        <v>25</v>
      </c>
      <c r="T467" s="4" t="s">
        <v>577</v>
      </c>
    </row>
    <row r="468" spans="1:20" x14ac:dyDescent="0.45">
      <c r="A468" s="4" t="s">
        <v>609</v>
      </c>
      <c r="B468" s="4" t="s">
        <v>575</v>
      </c>
      <c r="C468" s="5">
        <v>1</v>
      </c>
      <c r="D468" s="5">
        <v>1012</v>
      </c>
      <c r="E468" s="5">
        <v>587</v>
      </c>
      <c r="F468" s="5">
        <v>17</v>
      </c>
      <c r="G468" s="5">
        <v>0</v>
      </c>
      <c r="H468" s="5">
        <v>995</v>
      </c>
      <c r="I468" s="6">
        <v>2</v>
      </c>
      <c r="J468" s="6">
        <v>3.2</v>
      </c>
      <c r="K468" s="6">
        <v>7</v>
      </c>
      <c r="L468" s="6">
        <v>7</v>
      </c>
      <c r="M468" s="4" t="str">
        <f t="shared" si="21"/>
        <v>OK</v>
      </c>
      <c r="N468" s="7">
        <f t="shared" si="22"/>
        <v>5.5707546390844588E-3</v>
      </c>
      <c r="O468" s="7">
        <f>SUMIFS($D$2:D468,$B$2:B468,B468)/SUMIFS($D$2:$D$741,$B$2:$B$741,B468)</f>
        <v>0.93177476976599527</v>
      </c>
      <c r="P468" s="4" t="b">
        <f t="shared" si="23"/>
        <v>1</v>
      </c>
      <c r="Q468" s="4" t="s">
        <v>23</v>
      </c>
      <c r="R468" s="4" t="s">
        <v>105</v>
      </c>
      <c r="S468" s="4" t="s">
        <v>25</v>
      </c>
      <c r="T468" s="4" t="s">
        <v>106</v>
      </c>
    </row>
    <row r="469" spans="1:20" x14ac:dyDescent="0.45">
      <c r="A469" s="4" t="s">
        <v>610</v>
      </c>
      <c r="B469" s="4" t="s">
        <v>575</v>
      </c>
      <c r="C469" s="5">
        <v>2</v>
      </c>
      <c r="D469" s="5">
        <v>1003</v>
      </c>
      <c r="E469" s="5">
        <v>0</v>
      </c>
      <c r="F469" s="5">
        <v>0</v>
      </c>
      <c r="G469" s="5">
        <v>0</v>
      </c>
      <c r="H469" s="5">
        <v>1003</v>
      </c>
      <c r="I469" s="6">
        <v>4</v>
      </c>
      <c r="J469" s="6">
        <v>8.3000000000000007</v>
      </c>
      <c r="K469" s="6">
        <v>29</v>
      </c>
      <c r="L469" s="6">
        <v>29</v>
      </c>
      <c r="M469" s="4" t="str">
        <f t="shared" si="21"/>
        <v>OK</v>
      </c>
      <c r="N469" s="7">
        <f t="shared" si="22"/>
        <v>5.5212123547447745E-3</v>
      </c>
      <c r="O469" s="7">
        <f>SUMIFS($D$2:D469,$B$2:B469,B469)/SUMIFS($D$2:$D$741,$B$2:$B$741,B469)</f>
        <v>0.93729598212074006</v>
      </c>
      <c r="P469" s="4" t="b">
        <f t="shared" si="23"/>
        <v>1</v>
      </c>
      <c r="Q469" s="4" t="s">
        <v>23</v>
      </c>
      <c r="R469" s="4" t="s">
        <v>105</v>
      </c>
      <c r="S469" s="4" t="s">
        <v>25</v>
      </c>
      <c r="T469" s="4" t="s">
        <v>106</v>
      </c>
    </row>
    <row r="470" spans="1:20" x14ac:dyDescent="0.45">
      <c r="A470" s="4" t="s">
        <v>611</v>
      </c>
      <c r="B470" s="4" t="s">
        <v>575</v>
      </c>
      <c r="C470" s="5">
        <v>2</v>
      </c>
      <c r="D470" s="5">
        <v>923</v>
      </c>
      <c r="E470" s="5">
        <v>0</v>
      </c>
      <c r="F470" s="5">
        <v>9</v>
      </c>
      <c r="G470" s="5">
        <v>9</v>
      </c>
      <c r="H470" s="5">
        <v>914</v>
      </c>
      <c r="I470" s="6">
        <v>2</v>
      </c>
      <c r="J470" s="6">
        <v>4.3</v>
      </c>
      <c r="K470" s="6">
        <v>10</v>
      </c>
      <c r="L470" s="6">
        <v>10</v>
      </c>
      <c r="M470" s="4" t="str">
        <f t="shared" si="21"/>
        <v>OK</v>
      </c>
      <c r="N470" s="7">
        <f t="shared" si="22"/>
        <v>5.0808364939475843E-3</v>
      </c>
      <c r="O470" s="7">
        <f>SUMIFS($D$2:D470,$B$2:B470,B470)/SUMIFS($D$2:$D$741,$B$2:$B$741,B470)</f>
        <v>0.94237681861468758</v>
      </c>
      <c r="P470" s="4" t="b">
        <f t="shared" si="23"/>
        <v>1</v>
      </c>
      <c r="Q470" s="4" t="s">
        <v>23</v>
      </c>
      <c r="R470" s="4" t="s">
        <v>75</v>
      </c>
      <c r="S470" s="4" t="s">
        <v>25</v>
      </c>
      <c r="T470" s="4" t="s">
        <v>76</v>
      </c>
    </row>
    <row r="471" spans="1:20" x14ac:dyDescent="0.45">
      <c r="A471" s="4" t="s">
        <v>612</v>
      </c>
      <c r="B471" s="4" t="s">
        <v>575</v>
      </c>
      <c r="C471" s="5">
        <v>1</v>
      </c>
      <c r="D471" s="5">
        <v>719</v>
      </c>
      <c r="E471" s="5">
        <v>519</v>
      </c>
      <c r="F471" s="5">
        <v>38</v>
      </c>
      <c r="G471" s="5">
        <v>2</v>
      </c>
      <c r="H471" s="5">
        <v>681</v>
      </c>
      <c r="I471" s="6">
        <v>8</v>
      </c>
      <c r="J471" s="6">
        <v>13.3</v>
      </c>
      <c r="K471" s="6">
        <v>28</v>
      </c>
      <c r="L471" s="6">
        <v>28</v>
      </c>
      <c r="M471" s="4" t="str">
        <f t="shared" si="21"/>
        <v>OK</v>
      </c>
      <c r="N471" s="7">
        <f t="shared" si="22"/>
        <v>3.9578780489147487E-3</v>
      </c>
      <c r="O471" s="7">
        <f>SUMIFS($D$2:D471,$B$2:B471,B471)/SUMIFS($D$2:$D$741,$B$2:$B$741,B471)</f>
        <v>0.94633469666360237</v>
      </c>
      <c r="P471" s="4" t="b">
        <f t="shared" si="23"/>
        <v>1</v>
      </c>
      <c r="Q471" s="4" t="s">
        <v>23</v>
      </c>
      <c r="R471" s="4" t="s">
        <v>30</v>
      </c>
      <c r="S471" s="4" t="s">
        <v>25</v>
      </c>
      <c r="T471" s="4" t="s">
        <v>31</v>
      </c>
    </row>
    <row r="472" spans="1:20" x14ac:dyDescent="0.45">
      <c r="A472" s="4" t="s">
        <v>613</v>
      </c>
      <c r="B472" s="4" t="s">
        <v>575</v>
      </c>
      <c r="C472" s="5">
        <v>2</v>
      </c>
      <c r="D472" s="5">
        <v>701</v>
      </c>
      <c r="E472" s="5">
        <v>221</v>
      </c>
      <c r="F472" s="5">
        <v>3</v>
      </c>
      <c r="G472" s="5">
        <v>2</v>
      </c>
      <c r="H472" s="5">
        <v>698</v>
      </c>
      <c r="I472" s="6">
        <v>1</v>
      </c>
      <c r="J472" s="6">
        <v>3.7</v>
      </c>
      <c r="K472" s="6">
        <v>8</v>
      </c>
      <c r="L472" s="6">
        <v>8</v>
      </c>
      <c r="M472" s="4" t="str">
        <f t="shared" si="21"/>
        <v>OK</v>
      </c>
      <c r="N472" s="7">
        <f t="shared" si="22"/>
        <v>3.8587934802353811E-3</v>
      </c>
      <c r="O472" s="7">
        <f>SUMIFS($D$2:D472,$B$2:B472,B472)/SUMIFS($D$2:$D$741,$B$2:$B$741,B472)</f>
        <v>0.9501934901438378</v>
      </c>
      <c r="P472" s="4" t="b">
        <f t="shared" si="23"/>
        <v>1</v>
      </c>
      <c r="Q472" s="4" t="s">
        <v>23</v>
      </c>
      <c r="R472" s="4" t="s">
        <v>30</v>
      </c>
      <c r="S472" s="4" t="s">
        <v>25</v>
      </c>
      <c r="T472" s="4" t="s">
        <v>31</v>
      </c>
    </row>
    <row r="473" spans="1:20" x14ac:dyDescent="0.45">
      <c r="A473" s="4" t="s">
        <v>614</v>
      </c>
      <c r="B473" s="4" t="s">
        <v>575</v>
      </c>
      <c r="C473" s="5">
        <v>2</v>
      </c>
      <c r="D473" s="5">
        <v>699</v>
      </c>
      <c r="E473" s="5">
        <v>0</v>
      </c>
      <c r="F473" s="5">
        <v>0</v>
      </c>
      <c r="G473" s="5">
        <v>0</v>
      </c>
      <c r="H473" s="5">
        <v>699</v>
      </c>
      <c r="I473" s="6">
        <v>3</v>
      </c>
      <c r="J473" s="6">
        <v>6.4</v>
      </c>
      <c r="K473" s="6">
        <v>12</v>
      </c>
      <c r="L473" s="6">
        <v>12</v>
      </c>
      <c r="M473" s="4" t="str">
        <f t="shared" si="21"/>
        <v>OK</v>
      </c>
      <c r="N473" s="7">
        <f t="shared" si="22"/>
        <v>3.8477840837154512E-3</v>
      </c>
      <c r="O473" s="7">
        <f>SUMIFS($D$2:D473,$B$2:B473,B473)/SUMIFS($D$2:$D$741,$B$2:$B$741,B473)</f>
        <v>0.95404127422755325</v>
      </c>
      <c r="P473" s="4" t="b">
        <f t="shared" si="23"/>
        <v>0</v>
      </c>
      <c r="Q473" s="4" t="s">
        <v>192</v>
      </c>
      <c r="R473" s="4" t="s">
        <v>576</v>
      </c>
      <c r="S473" s="4" t="s">
        <v>25</v>
      </c>
      <c r="T473" s="4" t="s">
        <v>577</v>
      </c>
    </row>
    <row r="474" spans="1:20" x14ac:dyDescent="0.45">
      <c r="A474" s="4" t="s">
        <v>615</v>
      </c>
      <c r="B474" s="4" t="s">
        <v>575</v>
      </c>
      <c r="C474" s="5">
        <v>1</v>
      </c>
      <c r="D474" s="5">
        <v>688</v>
      </c>
      <c r="E474" s="5">
        <v>210</v>
      </c>
      <c r="F474" s="5">
        <v>4</v>
      </c>
      <c r="G474" s="5">
        <v>1</v>
      </c>
      <c r="H474" s="5">
        <v>684</v>
      </c>
      <c r="I474" s="6">
        <v>4</v>
      </c>
      <c r="J474" s="6">
        <v>5.9</v>
      </c>
      <c r="K474" s="6">
        <v>13</v>
      </c>
      <c r="L474" s="6">
        <v>13</v>
      </c>
      <c r="M474" s="4" t="str">
        <f t="shared" si="21"/>
        <v>OK</v>
      </c>
      <c r="N474" s="7">
        <f t="shared" si="22"/>
        <v>3.7872324028558374E-3</v>
      </c>
      <c r="O474" s="7">
        <f>SUMIFS($D$2:D474,$B$2:B474,B474)/SUMIFS($D$2:$D$741,$B$2:$B$741,B474)</f>
        <v>0.95782850663040908</v>
      </c>
      <c r="P474" s="4" t="b">
        <f t="shared" si="23"/>
        <v>0</v>
      </c>
      <c r="Q474" s="4" t="s">
        <v>192</v>
      </c>
      <c r="R474" s="4" t="s">
        <v>496</v>
      </c>
      <c r="S474" s="4" t="s">
        <v>25</v>
      </c>
      <c r="T474" s="4" t="s">
        <v>497</v>
      </c>
    </row>
    <row r="475" spans="1:20" x14ac:dyDescent="0.45">
      <c r="A475" s="4" t="s">
        <v>616</v>
      </c>
      <c r="B475" s="4" t="s">
        <v>575</v>
      </c>
      <c r="C475" s="5">
        <v>1</v>
      </c>
      <c r="D475" s="5">
        <v>676</v>
      </c>
      <c r="E475" s="5">
        <v>0</v>
      </c>
      <c r="F475" s="5">
        <v>0</v>
      </c>
      <c r="G475" s="5">
        <v>0</v>
      </c>
      <c r="H475" s="5">
        <v>676</v>
      </c>
      <c r="I475" s="6">
        <v>0</v>
      </c>
      <c r="J475" s="6">
        <v>0.3</v>
      </c>
      <c r="K475" s="6">
        <v>0</v>
      </c>
      <c r="L475" s="6">
        <v>0</v>
      </c>
      <c r="M475" s="4" t="str">
        <f t="shared" si="21"/>
        <v>OK</v>
      </c>
      <c r="N475" s="7">
        <f t="shared" si="22"/>
        <v>3.7211760237362587E-3</v>
      </c>
      <c r="O475" s="7">
        <f>SUMIFS($D$2:D475,$B$2:B475,B475)/SUMIFS($D$2:$D$741,$B$2:$B$741,B475)</f>
        <v>0.96154968265414531</v>
      </c>
      <c r="P475" s="4" t="b">
        <f t="shared" si="23"/>
        <v>0</v>
      </c>
      <c r="Q475" s="4" t="s">
        <v>23</v>
      </c>
      <c r="R475" s="4" t="s">
        <v>105</v>
      </c>
      <c r="S475" s="4" t="s">
        <v>25</v>
      </c>
      <c r="T475" s="4" t="s">
        <v>106</v>
      </c>
    </row>
    <row r="476" spans="1:20" x14ac:dyDescent="0.45">
      <c r="A476" s="4" t="s">
        <v>617</v>
      </c>
      <c r="B476" s="4" t="s">
        <v>575</v>
      </c>
      <c r="C476" s="5">
        <v>1</v>
      </c>
      <c r="D476" s="5">
        <v>595</v>
      </c>
      <c r="E476" s="5">
        <v>199</v>
      </c>
      <c r="F476" s="5">
        <v>8</v>
      </c>
      <c r="G476" s="5">
        <v>2</v>
      </c>
      <c r="H476" s="5">
        <v>587</v>
      </c>
      <c r="I476" s="6">
        <v>4</v>
      </c>
      <c r="J476" s="6">
        <v>6.1</v>
      </c>
      <c r="K476" s="6">
        <v>12</v>
      </c>
      <c r="L476" s="6">
        <v>12.4</v>
      </c>
      <c r="M476" s="4" t="str">
        <f t="shared" si="21"/>
        <v>OK</v>
      </c>
      <c r="N476" s="7">
        <f t="shared" si="22"/>
        <v>3.2752954646791035E-3</v>
      </c>
      <c r="O476" s="7">
        <f>SUMIFS($D$2:D476,$B$2:B476,B476)/SUMIFS($D$2:$D$741,$B$2:$B$741,B476)</f>
        <v>0.96482497811882439</v>
      </c>
      <c r="P476" s="4" t="b">
        <f t="shared" si="23"/>
        <v>0</v>
      </c>
      <c r="Q476" s="4" t="s">
        <v>23</v>
      </c>
      <c r="R476" s="4" t="s">
        <v>218</v>
      </c>
      <c r="S476" s="4" t="s">
        <v>25</v>
      </c>
      <c r="T476" s="4" t="s">
        <v>219</v>
      </c>
    </row>
    <row r="477" spans="1:20" x14ac:dyDescent="0.45">
      <c r="A477" s="4" t="s">
        <v>618</v>
      </c>
      <c r="B477" s="4" t="s">
        <v>575</v>
      </c>
      <c r="C477" s="5">
        <v>2</v>
      </c>
      <c r="D477" s="5">
        <v>592</v>
      </c>
      <c r="E477" s="5">
        <v>0</v>
      </c>
      <c r="F477" s="5">
        <v>0</v>
      </c>
      <c r="G477" s="5">
        <v>0</v>
      </c>
      <c r="H477" s="5">
        <v>592</v>
      </c>
      <c r="I477" s="6">
        <v>3</v>
      </c>
      <c r="J477" s="6">
        <v>6.6</v>
      </c>
      <c r="K477" s="6">
        <v>11</v>
      </c>
      <c r="L477" s="6">
        <v>11</v>
      </c>
      <c r="M477" s="4" t="str">
        <f t="shared" si="21"/>
        <v>OK</v>
      </c>
      <c r="N477" s="7">
        <f t="shared" si="22"/>
        <v>3.258781369899209E-3</v>
      </c>
      <c r="O477" s="7">
        <f>SUMIFS($D$2:D477,$B$2:B477,B477)/SUMIFS($D$2:$D$741,$B$2:$B$741,B477)</f>
        <v>0.96808375948872361</v>
      </c>
      <c r="P477" s="4" t="b">
        <f t="shared" si="23"/>
        <v>0</v>
      </c>
      <c r="Q477" s="4" t="s">
        <v>192</v>
      </c>
      <c r="R477" s="4" t="s">
        <v>576</v>
      </c>
      <c r="S477" s="4" t="s">
        <v>25</v>
      </c>
      <c r="T477" s="4" t="s">
        <v>577</v>
      </c>
    </row>
    <row r="478" spans="1:20" x14ac:dyDescent="0.45">
      <c r="A478" s="4" t="s">
        <v>619</v>
      </c>
      <c r="B478" s="4" t="s">
        <v>575</v>
      </c>
      <c r="C478" s="5">
        <v>2</v>
      </c>
      <c r="D478" s="5">
        <v>591</v>
      </c>
      <c r="E478" s="5">
        <v>154</v>
      </c>
      <c r="F478" s="5">
        <v>2</v>
      </c>
      <c r="G478" s="5">
        <v>0</v>
      </c>
      <c r="H478" s="5">
        <v>589</v>
      </c>
      <c r="I478" s="6">
        <v>1</v>
      </c>
      <c r="J478" s="6">
        <v>2.8</v>
      </c>
      <c r="K478" s="6">
        <v>7</v>
      </c>
      <c r="L478" s="6">
        <v>7</v>
      </c>
      <c r="M478" s="4" t="str">
        <f t="shared" si="21"/>
        <v>OK</v>
      </c>
      <c r="N478" s="7">
        <f t="shared" si="22"/>
        <v>3.253276671639244E-3</v>
      </c>
      <c r="O478" s="7">
        <f>SUMIFS($D$2:D478,$B$2:B478,B478)/SUMIFS($D$2:$D$741,$B$2:$B$741,B478)</f>
        <v>0.97133703616036282</v>
      </c>
      <c r="P478" s="4" t="b">
        <f t="shared" si="23"/>
        <v>0</v>
      </c>
      <c r="Q478" s="4" t="s">
        <v>23</v>
      </c>
      <c r="R478" s="4" t="s">
        <v>24</v>
      </c>
      <c r="S478" s="4" t="s">
        <v>25</v>
      </c>
      <c r="T478" s="4" t="s">
        <v>26</v>
      </c>
    </row>
    <row r="479" spans="1:20" x14ac:dyDescent="0.45">
      <c r="A479" s="4" t="s">
        <v>620</v>
      </c>
      <c r="B479" s="4" t="s">
        <v>575</v>
      </c>
      <c r="C479" s="5">
        <v>2</v>
      </c>
      <c r="D479" s="5">
        <v>519</v>
      </c>
      <c r="E479" s="5">
        <v>0</v>
      </c>
      <c r="F479" s="5">
        <v>0</v>
      </c>
      <c r="G479" s="5">
        <v>0</v>
      </c>
      <c r="H479" s="5">
        <v>519</v>
      </c>
      <c r="I479" s="6">
        <v>5</v>
      </c>
      <c r="J479" s="6">
        <v>7.9</v>
      </c>
      <c r="K479" s="6">
        <v>14</v>
      </c>
      <c r="L479" s="6">
        <v>14</v>
      </c>
      <c r="M479" s="4" t="str">
        <f t="shared" si="21"/>
        <v>OK</v>
      </c>
      <c r="N479" s="7">
        <f t="shared" si="22"/>
        <v>2.8569383969217726E-3</v>
      </c>
      <c r="O479" s="7">
        <f>SUMIFS($D$2:D479,$B$2:B479,B479)/SUMIFS($D$2:$D$741,$B$2:$B$741,B479)</f>
        <v>0.97419397455728463</v>
      </c>
      <c r="P479" s="4" t="b">
        <f t="shared" si="23"/>
        <v>0</v>
      </c>
      <c r="Q479" s="4" t="s">
        <v>192</v>
      </c>
      <c r="R479" s="4" t="s">
        <v>576</v>
      </c>
      <c r="S479" s="4" t="s">
        <v>109</v>
      </c>
      <c r="T479" s="4" t="s">
        <v>604</v>
      </c>
    </row>
    <row r="480" spans="1:20" x14ac:dyDescent="0.45">
      <c r="A480" s="4" t="s">
        <v>621</v>
      </c>
      <c r="B480" s="4" t="s">
        <v>575</v>
      </c>
      <c r="C480" s="5">
        <v>2</v>
      </c>
      <c r="D480" s="5">
        <v>507</v>
      </c>
      <c r="E480" s="5">
        <v>92</v>
      </c>
      <c r="F480" s="5">
        <v>3</v>
      </c>
      <c r="G480" s="5">
        <v>3</v>
      </c>
      <c r="H480" s="5">
        <v>504</v>
      </c>
      <c r="I480" s="6">
        <v>2</v>
      </c>
      <c r="J480" s="6">
        <v>3.2</v>
      </c>
      <c r="K480" s="6">
        <v>7</v>
      </c>
      <c r="L480" s="6">
        <v>7</v>
      </c>
      <c r="M480" s="4" t="str">
        <f t="shared" si="21"/>
        <v>OK</v>
      </c>
      <c r="N480" s="7">
        <f t="shared" si="22"/>
        <v>2.7908820178021944E-3</v>
      </c>
      <c r="O480" s="7">
        <f>SUMIFS($D$2:D480,$B$2:B480,B480)/SUMIFS($D$2:$D$741,$B$2:$B$741,B480)</f>
        <v>0.97698485657508682</v>
      </c>
      <c r="P480" s="4" t="b">
        <f t="shared" si="23"/>
        <v>0</v>
      </c>
      <c r="Q480" s="4" t="s">
        <v>23</v>
      </c>
      <c r="R480" s="4" t="s">
        <v>105</v>
      </c>
      <c r="S480" s="4" t="s">
        <v>25</v>
      </c>
      <c r="T480" s="4" t="s">
        <v>106</v>
      </c>
    </row>
    <row r="481" spans="1:20" x14ac:dyDescent="0.45">
      <c r="A481" s="4" t="s">
        <v>622</v>
      </c>
      <c r="B481" s="4" t="s">
        <v>575</v>
      </c>
      <c r="C481" s="5">
        <v>2</v>
      </c>
      <c r="D481" s="5">
        <v>487</v>
      </c>
      <c r="E481" s="5">
        <v>120</v>
      </c>
      <c r="F481" s="5">
        <v>9</v>
      </c>
      <c r="G481" s="5">
        <v>2</v>
      </c>
      <c r="H481" s="5">
        <v>478</v>
      </c>
      <c r="I481" s="6">
        <v>6</v>
      </c>
      <c r="J481" s="6">
        <v>16.8</v>
      </c>
      <c r="K481" s="6">
        <v>46</v>
      </c>
      <c r="L481" s="6">
        <v>46.3</v>
      </c>
      <c r="M481" s="4" t="str">
        <f t="shared" si="21"/>
        <v>OK</v>
      </c>
      <c r="N481" s="7">
        <f t="shared" si="22"/>
        <v>2.6807880526028968E-3</v>
      </c>
      <c r="O481" s="7">
        <f>SUMIFS($D$2:D481,$B$2:B481,B481)/SUMIFS($D$2:$D$741,$B$2:$B$741,B481)</f>
        <v>0.97966564462768968</v>
      </c>
      <c r="P481" s="4" t="b">
        <f t="shared" si="23"/>
        <v>0</v>
      </c>
      <c r="Q481" s="4" t="s">
        <v>23</v>
      </c>
      <c r="R481" s="4" t="s">
        <v>30</v>
      </c>
      <c r="S481" s="4" t="s">
        <v>25</v>
      </c>
      <c r="T481" s="4" t="s">
        <v>31</v>
      </c>
    </row>
    <row r="482" spans="1:20" x14ac:dyDescent="0.45">
      <c r="A482" s="4" t="s">
        <v>623</v>
      </c>
      <c r="B482" s="4" t="s">
        <v>575</v>
      </c>
      <c r="C482" s="5">
        <v>2</v>
      </c>
      <c r="D482" s="5">
        <v>431</v>
      </c>
      <c r="E482" s="5">
        <v>116</v>
      </c>
      <c r="F482" s="5">
        <v>0</v>
      </c>
      <c r="G482" s="5">
        <v>0</v>
      </c>
      <c r="H482" s="5">
        <v>431</v>
      </c>
      <c r="I482" s="6">
        <v>3</v>
      </c>
      <c r="J482" s="6">
        <v>6.9</v>
      </c>
      <c r="K482" s="6">
        <v>14</v>
      </c>
      <c r="L482" s="6">
        <v>14</v>
      </c>
      <c r="M482" s="4" t="str">
        <f t="shared" si="21"/>
        <v>OK</v>
      </c>
      <c r="N482" s="7">
        <f t="shared" si="22"/>
        <v>2.3725249500448631E-3</v>
      </c>
      <c r="O482" s="7">
        <f>SUMIFS($D$2:D482,$B$2:B482,B482)/SUMIFS($D$2:$D$741,$B$2:$B$741,B482)</f>
        <v>0.9820381695777346</v>
      </c>
      <c r="P482" s="4" t="b">
        <f t="shared" si="23"/>
        <v>0</v>
      </c>
      <c r="Q482" s="4" t="s">
        <v>23</v>
      </c>
      <c r="R482" s="4" t="s">
        <v>105</v>
      </c>
      <c r="S482" s="4" t="s">
        <v>25</v>
      </c>
      <c r="T482" s="4" t="s">
        <v>106</v>
      </c>
    </row>
    <row r="483" spans="1:20" x14ac:dyDescent="0.45">
      <c r="A483" s="4" t="s">
        <v>624</v>
      </c>
      <c r="B483" s="4" t="s">
        <v>575</v>
      </c>
      <c r="C483" s="5">
        <v>2</v>
      </c>
      <c r="D483" s="5">
        <v>385</v>
      </c>
      <c r="E483" s="5">
        <v>125</v>
      </c>
      <c r="F483" s="5">
        <v>2</v>
      </c>
      <c r="G483" s="5">
        <v>1</v>
      </c>
      <c r="H483" s="5">
        <v>383</v>
      </c>
      <c r="I483" s="6">
        <v>1</v>
      </c>
      <c r="J483" s="6">
        <v>4.8</v>
      </c>
      <c r="K483" s="6">
        <v>13</v>
      </c>
      <c r="L483" s="6">
        <v>12.8</v>
      </c>
      <c r="M483" s="4" t="str">
        <f t="shared" si="21"/>
        <v>OK</v>
      </c>
      <c r="N483" s="7">
        <f t="shared" si="22"/>
        <v>2.119308830086479E-3</v>
      </c>
      <c r="O483" s="7">
        <f>SUMIFS($D$2:D483,$B$2:B483,B483)/SUMIFS($D$2:$D$741,$B$2:$B$741,B483)</f>
        <v>0.98415747840782108</v>
      </c>
      <c r="P483" s="4" t="b">
        <f t="shared" si="23"/>
        <v>0</v>
      </c>
      <c r="Q483" s="4" t="s">
        <v>192</v>
      </c>
      <c r="R483" s="4" t="s">
        <v>576</v>
      </c>
      <c r="S483" s="4" t="s">
        <v>109</v>
      </c>
      <c r="T483" s="4" t="s">
        <v>604</v>
      </c>
    </row>
    <row r="484" spans="1:20" x14ac:dyDescent="0.45">
      <c r="A484" s="4" t="s">
        <v>625</v>
      </c>
      <c r="B484" s="4" t="s">
        <v>575</v>
      </c>
      <c r="C484" s="5">
        <v>2</v>
      </c>
      <c r="D484" s="5">
        <v>375</v>
      </c>
      <c r="E484" s="5">
        <v>0</v>
      </c>
      <c r="F484" s="5">
        <v>0</v>
      </c>
      <c r="G484" s="5">
        <v>0</v>
      </c>
      <c r="H484" s="5">
        <v>375</v>
      </c>
      <c r="I484" s="6">
        <v>3</v>
      </c>
      <c r="J484" s="6">
        <v>4.5999999999999996</v>
      </c>
      <c r="K484" s="6">
        <v>7</v>
      </c>
      <c r="L484" s="6">
        <v>7</v>
      </c>
      <c r="M484" s="4" t="str">
        <f t="shared" si="21"/>
        <v>OK</v>
      </c>
      <c r="N484" s="7">
        <f t="shared" si="22"/>
        <v>2.0642618474868298E-3</v>
      </c>
      <c r="O484" s="7">
        <f>SUMIFS($D$2:D484,$B$2:B484,B484)/SUMIFS($D$2:$D$741,$B$2:$B$741,B484)</f>
        <v>0.98622174025530795</v>
      </c>
      <c r="P484" s="4" t="b">
        <f t="shared" si="23"/>
        <v>0</v>
      </c>
      <c r="Q484" s="4" t="s">
        <v>192</v>
      </c>
      <c r="R484" s="4" t="s">
        <v>496</v>
      </c>
      <c r="S484" s="4" t="s">
        <v>25</v>
      </c>
      <c r="T484" s="4" t="s">
        <v>497</v>
      </c>
    </row>
    <row r="485" spans="1:20" x14ac:dyDescent="0.45">
      <c r="A485" s="4" t="s">
        <v>626</v>
      </c>
      <c r="B485" s="4" t="s">
        <v>575</v>
      </c>
      <c r="C485" s="5">
        <v>1</v>
      </c>
      <c r="D485" s="5">
        <v>348</v>
      </c>
      <c r="E485" s="5">
        <v>0</v>
      </c>
      <c r="F485" s="5">
        <v>0</v>
      </c>
      <c r="G485" s="5">
        <v>0</v>
      </c>
      <c r="H485" s="5">
        <v>348</v>
      </c>
      <c r="I485" s="6">
        <v>1</v>
      </c>
      <c r="J485" s="6">
        <v>3.3</v>
      </c>
      <c r="K485" s="6">
        <v>4</v>
      </c>
      <c r="L485" s="6">
        <v>4</v>
      </c>
      <c r="M485" s="4" t="str">
        <f t="shared" si="21"/>
        <v>OK</v>
      </c>
      <c r="N485" s="7">
        <f t="shared" si="22"/>
        <v>1.9156349944677784E-3</v>
      </c>
      <c r="O485" s="7">
        <f>SUMIFS($D$2:D485,$B$2:B485,B485)/SUMIFS($D$2:$D$741,$B$2:$B$741,B485)</f>
        <v>0.98813737524977563</v>
      </c>
      <c r="P485" s="4" t="b">
        <f t="shared" si="23"/>
        <v>0</v>
      </c>
      <c r="Q485" s="4" t="s">
        <v>192</v>
      </c>
      <c r="R485" s="4" t="s">
        <v>576</v>
      </c>
      <c r="S485" s="4" t="s">
        <v>25</v>
      </c>
      <c r="T485" s="4" t="s">
        <v>577</v>
      </c>
    </row>
    <row r="486" spans="1:20" x14ac:dyDescent="0.45">
      <c r="A486" s="4" t="s">
        <v>627</v>
      </c>
      <c r="B486" s="4" t="s">
        <v>575</v>
      </c>
      <c r="C486" s="5">
        <v>2</v>
      </c>
      <c r="D486" s="5">
        <v>335</v>
      </c>
      <c r="E486" s="5">
        <v>0</v>
      </c>
      <c r="F486" s="5">
        <v>0</v>
      </c>
      <c r="G486" s="5">
        <v>0</v>
      </c>
      <c r="H486" s="5">
        <v>335</v>
      </c>
      <c r="I486" s="6">
        <v>8</v>
      </c>
      <c r="J486" s="6">
        <v>13.4</v>
      </c>
      <c r="K486" s="6">
        <v>20</v>
      </c>
      <c r="L486" s="6">
        <v>20</v>
      </c>
      <c r="M486" s="4" t="str">
        <f t="shared" si="21"/>
        <v>OK</v>
      </c>
      <c r="N486" s="7">
        <f t="shared" si="22"/>
        <v>1.8440739170882349E-3</v>
      </c>
      <c r="O486" s="7">
        <f>SUMIFS($D$2:D486,$B$2:B486,B486)/SUMIFS($D$2:$D$741,$B$2:$B$741,B486)</f>
        <v>0.98998144916686392</v>
      </c>
      <c r="P486" s="4" t="b">
        <f t="shared" si="23"/>
        <v>0</v>
      </c>
      <c r="Q486" s="4" t="s">
        <v>23</v>
      </c>
      <c r="R486" s="4" t="s">
        <v>100</v>
      </c>
      <c r="S486" s="4" t="s">
        <v>109</v>
      </c>
      <c r="T486" s="4" t="s">
        <v>607</v>
      </c>
    </row>
    <row r="487" spans="1:20" x14ac:dyDescent="0.45">
      <c r="A487" s="4" t="s">
        <v>628</v>
      </c>
      <c r="B487" s="4" t="s">
        <v>575</v>
      </c>
      <c r="C487" s="5">
        <v>1</v>
      </c>
      <c r="D487" s="5">
        <v>301</v>
      </c>
      <c r="E487" s="5">
        <v>93</v>
      </c>
      <c r="F487" s="5">
        <v>7</v>
      </c>
      <c r="G487" s="5">
        <v>3</v>
      </c>
      <c r="H487" s="5">
        <v>294</v>
      </c>
      <c r="I487" s="6">
        <v>4</v>
      </c>
      <c r="J487" s="6">
        <v>7.3</v>
      </c>
      <c r="K487" s="6">
        <v>18</v>
      </c>
      <c r="L487" s="6">
        <v>17.7</v>
      </c>
      <c r="M487" s="4" t="str">
        <f t="shared" si="21"/>
        <v>OK</v>
      </c>
      <c r="N487" s="7">
        <f t="shared" si="22"/>
        <v>1.6569141762494289E-3</v>
      </c>
      <c r="O487" s="7">
        <f>SUMIFS($D$2:D487,$B$2:B487,B487)/SUMIFS($D$2:$D$741,$B$2:$B$741,B487)</f>
        <v>0.99163836334311339</v>
      </c>
      <c r="P487" s="4" t="b">
        <f t="shared" si="23"/>
        <v>0</v>
      </c>
      <c r="Q487" s="4" t="s">
        <v>23</v>
      </c>
      <c r="R487" s="4" t="s">
        <v>30</v>
      </c>
      <c r="S487" s="4" t="s">
        <v>109</v>
      </c>
      <c r="T487" s="4" t="s">
        <v>629</v>
      </c>
    </row>
    <row r="488" spans="1:20" x14ac:dyDescent="0.45">
      <c r="A488" s="4" t="s">
        <v>630</v>
      </c>
      <c r="B488" s="4" t="s">
        <v>575</v>
      </c>
      <c r="C488" s="5">
        <v>2</v>
      </c>
      <c r="D488" s="5">
        <v>215</v>
      </c>
      <c r="E488" s="5">
        <v>0</v>
      </c>
      <c r="F488" s="5">
        <v>0</v>
      </c>
      <c r="G488" s="5">
        <v>0</v>
      </c>
      <c r="H488" s="5">
        <v>215</v>
      </c>
      <c r="I488" s="6">
        <v>3</v>
      </c>
      <c r="J488" s="6">
        <v>5</v>
      </c>
      <c r="K488" s="6">
        <v>10</v>
      </c>
      <c r="L488" s="6">
        <v>10</v>
      </c>
      <c r="M488" s="4" t="str">
        <f t="shared" si="21"/>
        <v>OK</v>
      </c>
      <c r="N488" s="7">
        <f t="shared" si="22"/>
        <v>1.1835101258924493E-3</v>
      </c>
      <c r="O488" s="7">
        <f>SUMIFS($D$2:D488,$B$2:B488,B488)/SUMIFS($D$2:$D$741,$B$2:$B$741,B488)</f>
        <v>0.99282187346900574</v>
      </c>
      <c r="P488" s="4" t="b">
        <f t="shared" si="23"/>
        <v>0</v>
      </c>
      <c r="Q488" s="4" t="s">
        <v>23</v>
      </c>
      <c r="R488" s="4" t="s">
        <v>218</v>
      </c>
      <c r="S488" s="4" t="s">
        <v>25</v>
      </c>
      <c r="T488" s="4" t="s">
        <v>219</v>
      </c>
    </row>
    <row r="489" spans="1:20" x14ac:dyDescent="0.45">
      <c r="A489" s="4" t="s">
        <v>631</v>
      </c>
      <c r="B489" s="4" t="s">
        <v>575</v>
      </c>
      <c r="C489" s="5">
        <v>2</v>
      </c>
      <c r="D489" s="5">
        <v>183</v>
      </c>
      <c r="E489" s="5">
        <v>0</v>
      </c>
      <c r="F489" s="5">
        <v>0</v>
      </c>
      <c r="G489" s="5">
        <v>0</v>
      </c>
      <c r="H489" s="5">
        <v>183</v>
      </c>
      <c r="I489" s="6">
        <v>4</v>
      </c>
      <c r="J489" s="6">
        <v>6.8</v>
      </c>
      <c r="K489" s="6">
        <v>16</v>
      </c>
      <c r="L489" s="6">
        <v>15.6</v>
      </c>
      <c r="M489" s="4" t="str">
        <f t="shared" si="21"/>
        <v>OK</v>
      </c>
      <c r="N489" s="7">
        <f t="shared" si="22"/>
        <v>1.007359781573573E-3</v>
      </c>
      <c r="O489" s="7">
        <f>SUMIFS($D$2:D489,$B$2:B489,B489)/SUMIFS($D$2:$D$741,$B$2:$B$741,B489)</f>
        <v>0.99382923325057937</v>
      </c>
      <c r="P489" s="4" t="b">
        <f t="shared" si="23"/>
        <v>0</v>
      </c>
      <c r="Q489" s="4" t="s">
        <v>23</v>
      </c>
      <c r="R489" s="4" t="s">
        <v>30</v>
      </c>
      <c r="S489" s="4" t="s">
        <v>25</v>
      </c>
      <c r="T489" s="4" t="s">
        <v>31</v>
      </c>
    </row>
    <row r="490" spans="1:20" x14ac:dyDescent="0.45">
      <c r="A490" s="4" t="s">
        <v>632</v>
      </c>
      <c r="B490" s="4" t="s">
        <v>575</v>
      </c>
      <c r="C490" s="5">
        <v>1</v>
      </c>
      <c r="D490" s="5">
        <v>169</v>
      </c>
      <c r="E490" s="5">
        <v>142</v>
      </c>
      <c r="F490" s="5">
        <v>7</v>
      </c>
      <c r="G490" s="5">
        <v>2</v>
      </c>
      <c r="H490" s="5">
        <v>162</v>
      </c>
      <c r="I490" s="6">
        <v>7</v>
      </c>
      <c r="J490" s="6">
        <v>10</v>
      </c>
      <c r="K490" s="6">
        <v>22</v>
      </c>
      <c r="L490" s="6">
        <v>22</v>
      </c>
      <c r="M490" s="4" t="str">
        <f t="shared" si="21"/>
        <v>OK</v>
      </c>
      <c r="N490" s="7">
        <f t="shared" si="22"/>
        <v>9.3029400593406468E-4</v>
      </c>
      <c r="O490" s="7">
        <f>SUMIFS($D$2:D490,$B$2:B490,B490)/SUMIFS($D$2:$D$741,$B$2:$B$741,B490)</f>
        <v>0.9947595272565134</v>
      </c>
      <c r="P490" s="4" t="b">
        <f t="shared" si="23"/>
        <v>0</v>
      </c>
      <c r="Q490" s="4" t="s">
        <v>23</v>
      </c>
      <c r="R490" s="4" t="s">
        <v>30</v>
      </c>
      <c r="S490" s="4" t="s">
        <v>25</v>
      </c>
      <c r="T490" s="4" t="s">
        <v>31</v>
      </c>
    </row>
    <row r="491" spans="1:20" x14ac:dyDescent="0.45">
      <c r="A491" s="4" t="s">
        <v>633</v>
      </c>
      <c r="B491" s="4" t="s">
        <v>575</v>
      </c>
      <c r="C491" s="5">
        <v>2</v>
      </c>
      <c r="D491" s="5">
        <v>149</v>
      </c>
      <c r="E491" s="5">
        <v>0</v>
      </c>
      <c r="F491" s="5">
        <v>0</v>
      </c>
      <c r="G491" s="5">
        <v>0</v>
      </c>
      <c r="H491" s="5">
        <v>149</v>
      </c>
      <c r="I491" s="6">
        <v>3</v>
      </c>
      <c r="J491" s="6">
        <v>8.1999999999999993</v>
      </c>
      <c r="K491" s="6">
        <v>12</v>
      </c>
      <c r="L491" s="6">
        <v>12.4</v>
      </c>
      <c r="M491" s="4" t="str">
        <f t="shared" si="21"/>
        <v>OK</v>
      </c>
      <c r="N491" s="7">
        <f t="shared" si="22"/>
        <v>8.2020004073476711E-4</v>
      </c>
      <c r="O491" s="7">
        <f>SUMIFS($D$2:D491,$B$2:B491,B491)/SUMIFS($D$2:$D$741,$B$2:$B$741,B491)</f>
        <v>0.9955797272972482</v>
      </c>
      <c r="P491" s="4" t="b">
        <f t="shared" si="23"/>
        <v>0</v>
      </c>
      <c r="Q491" s="4" t="s">
        <v>23</v>
      </c>
      <c r="R491" s="4" t="s">
        <v>30</v>
      </c>
      <c r="S491" s="4" t="s">
        <v>109</v>
      </c>
      <c r="T491" s="4" t="s">
        <v>629</v>
      </c>
    </row>
    <row r="492" spans="1:20" x14ac:dyDescent="0.45">
      <c r="A492" s="4" t="s">
        <v>634</v>
      </c>
      <c r="B492" s="4" t="s">
        <v>575</v>
      </c>
      <c r="C492" s="5">
        <v>1</v>
      </c>
      <c r="D492" s="5">
        <v>144</v>
      </c>
      <c r="E492" s="5">
        <v>144</v>
      </c>
      <c r="F492" s="5">
        <v>13</v>
      </c>
      <c r="G492" s="5">
        <v>0</v>
      </c>
      <c r="H492" s="5">
        <v>131</v>
      </c>
      <c r="I492" s="6">
        <v>4</v>
      </c>
      <c r="J492" s="6">
        <v>4.5999999999999996</v>
      </c>
      <c r="K492" s="6">
        <v>11</v>
      </c>
      <c r="L492" s="6">
        <v>11</v>
      </c>
      <c r="M492" s="4" t="str">
        <f t="shared" si="21"/>
        <v>OK</v>
      </c>
      <c r="N492" s="7">
        <f t="shared" si="22"/>
        <v>7.9267654943494272E-4</v>
      </c>
      <c r="O492" s="7">
        <f>SUMIFS($D$2:D492,$B$2:B492,B492)/SUMIFS($D$2:$D$741,$B$2:$B$741,B492)</f>
        <v>0.99637240384668313</v>
      </c>
      <c r="P492" s="4" t="b">
        <f t="shared" si="23"/>
        <v>0</v>
      </c>
      <c r="Q492" s="4" t="s">
        <v>192</v>
      </c>
      <c r="R492" s="4" t="s">
        <v>193</v>
      </c>
      <c r="S492" s="4" t="s">
        <v>25</v>
      </c>
      <c r="T492" s="4" t="s">
        <v>194</v>
      </c>
    </row>
    <row r="493" spans="1:20" x14ac:dyDescent="0.45">
      <c r="A493" s="4" t="s">
        <v>635</v>
      </c>
      <c r="B493" s="4" t="s">
        <v>575</v>
      </c>
      <c r="C493" s="5">
        <v>1</v>
      </c>
      <c r="D493" s="5">
        <v>128</v>
      </c>
      <c r="E493" s="5">
        <v>39</v>
      </c>
      <c r="F493" s="5">
        <v>1</v>
      </c>
      <c r="G493" s="5">
        <v>0</v>
      </c>
      <c r="H493" s="5">
        <v>127</v>
      </c>
      <c r="I493" s="6">
        <v>12</v>
      </c>
      <c r="J493" s="6">
        <v>11.5</v>
      </c>
      <c r="K493" s="6">
        <v>15</v>
      </c>
      <c r="L493" s="6">
        <v>15</v>
      </c>
      <c r="M493" s="4" t="str">
        <f t="shared" si="21"/>
        <v>OK</v>
      </c>
      <c r="N493" s="7">
        <f t="shared" si="22"/>
        <v>7.0460137727550469E-4</v>
      </c>
      <c r="O493" s="7">
        <f>SUMIFS($D$2:D493,$B$2:B493,B493)/SUMIFS($D$2:$D$741,$B$2:$B$741,B493)</f>
        <v>0.9970770052239587</v>
      </c>
      <c r="P493" s="4" t="b">
        <f t="shared" si="23"/>
        <v>0</v>
      </c>
      <c r="Q493" s="4" t="s">
        <v>23</v>
      </c>
      <c r="R493" s="4" t="s">
        <v>30</v>
      </c>
      <c r="S493" s="4" t="s">
        <v>109</v>
      </c>
      <c r="T493" s="4" t="s">
        <v>636</v>
      </c>
    </row>
    <row r="494" spans="1:20" x14ac:dyDescent="0.45">
      <c r="A494" s="4" t="s">
        <v>637</v>
      </c>
      <c r="B494" s="4" t="s">
        <v>575</v>
      </c>
      <c r="C494" s="5">
        <v>1</v>
      </c>
      <c r="D494" s="5">
        <v>112</v>
      </c>
      <c r="E494" s="5">
        <v>0</v>
      </c>
      <c r="F494" s="5">
        <v>0</v>
      </c>
      <c r="G494" s="5">
        <v>0</v>
      </c>
      <c r="H494" s="5">
        <v>112</v>
      </c>
      <c r="I494" s="6">
        <v>4</v>
      </c>
      <c r="J494" s="6">
        <v>5.7</v>
      </c>
      <c r="K494" s="6">
        <v>11</v>
      </c>
      <c r="L494" s="6">
        <v>11</v>
      </c>
      <c r="M494" s="4" t="str">
        <f t="shared" si="21"/>
        <v>OK</v>
      </c>
      <c r="N494" s="7">
        <f t="shared" si="22"/>
        <v>6.1652620511606655E-4</v>
      </c>
      <c r="O494" s="7">
        <f>SUMIFS($D$2:D494,$B$2:B494,B494)/SUMIFS($D$2:$D$741,$B$2:$B$741,B494)</f>
        <v>0.99769353142907469</v>
      </c>
      <c r="P494" s="4" t="b">
        <f t="shared" si="23"/>
        <v>0</v>
      </c>
      <c r="Q494" s="4" t="s">
        <v>192</v>
      </c>
      <c r="R494" s="4" t="s">
        <v>576</v>
      </c>
      <c r="S494" s="4" t="s">
        <v>25</v>
      </c>
      <c r="T494" s="4" t="s">
        <v>577</v>
      </c>
    </row>
    <row r="495" spans="1:20" x14ac:dyDescent="0.45">
      <c r="A495" s="4" t="s">
        <v>638</v>
      </c>
      <c r="B495" s="4" t="s">
        <v>575</v>
      </c>
      <c r="C495" s="5">
        <v>3</v>
      </c>
      <c r="D495" s="5">
        <v>95</v>
      </c>
      <c r="E495" s="5">
        <v>0</v>
      </c>
      <c r="F495" s="5">
        <v>0</v>
      </c>
      <c r="G495" s="5">
        <v>0</v>
      </c>
      <c r="H495" s="5">
        <v>95</v>
      </c>
      <c r="I495" s="6">
        <v>19</v>
      </c>
      <c r="J495" s="6">
        <v>27.2</v>
      </c>
      <c r="K495" s="6">
        <v>55</v>
      </c>
      <c r="L495" s="6">
        <v>55</v>
      </c>
      <c r="M495" s="4" t="str">
        <f t="shared" si="21"/>
        <v>OK</v>
      </c>
      <c r="N495" s="7">
        <f t="shared" si="22"/>
        <v>5.2294633469666355E-4</v>
      </c>
      <c r="O495" s="7">
        <f>SUMIFS($D$2:D495,$B$2:B495,B495)/SUMIFS($D$2:$D$741,$B$2:$B$741,B495)</f>
        <v>0.99821647776377143</v>
      </c>
      <c r="P495" s="4" t="b">
        <f t="shared" si="23"/>
        <v>0</v>
      </c>
      <c r="Q495" s="4" t="s">
        <v>23</v>
      </c>
      <c r="R495" s="4" t="s">
        <v>24</v>
      </c>
      <c r="S495" s="4" t="s">
        <v>25</v>
      </c>
      <c r="T495" s="4" t="s">
        <v>26</v>
      </c>
    </row>
    <row r="496" spans="1:20" x14ac:dyDescent="0.45">
      <c r="A496" s="4" t="s">
        <v>639</v>
      </c>
      <c r="B496" s="4" t="s">
        <v>575</v>
      </c>
      <c r="C496" s="5">
        <v>1</v>
      </c>
      <c r="D496" s="5">
        <v>91</v>
      </c>
      <c r="E496" s="5">
        <v>44</v>
      </c>
      <c r="F496" s="5">
        <v>0</v>
      </c>
      <c r="G496" s="5">
        <v>0</v>
      </c>
      <c r="H496" s="5">
        <v>91</v>
      </c>
      <c r="I496" s="6">
        <v>54</v>
      </c>
      <c r="J496" s="6">
        <v>82.7</v>
      </c>
      <c r="K496" s="6">
        <v>178</v>
      </c>
      <c r="L496" s="6">
        <v>178</v>
      </c>
      <c r="M496" s="4" t="str">
        <f t="shared" si="21"/>
        <v>OK</v>
      </c>
      <c r="N496" s="7">
        <f t="shared" si="22"/>
        <v>5.0092754165680412E-4</v>
      </c>
      <c r="O496" s="7">
        <f>SUMIFS($D$2:D496,$B$2:B496,B496)/SUMIFS($D$2:$D$741,$B$2:$B$741,B496)</f>
        <v>0.99871740530542819</v>
      </c>
      <c r="P496" s="4" t="b">
        <f t="shared" si="23"/>
        <v>0</v>
      </c>
      <c r="Q496" s="4" t="s">
        <v>23</v>
      </c>
      <c r="R496" s="4" t="s">
        <v>24</v>
      </c>
      <c r="S496" s="4" t="s">
        <v>25</v>
      </c>
      <c r="T496" s="4" t="s">
        <v>26</v>
      </c>
    </row>
    <row r="497" spans="1:20" x14ac:dyDescent="0.45">
      <c r="A497" s="4" t="s">
        <v>640</v>
      </c>
      <c r="B497" s="4" t="s">
        <v>575</v>
      </c>
      <c r="C497" s="5">
        <v>1</v>
      </c>
      <c r="D497" s="5">
        <v>77</v>
      </c>
      <c r="E497" s="5">
        <v>25</v>
      </c>
      <c r="F497" s="5">
        <v>1</v>
      </c>
      <c r="G497" s="5">
        <v>0</v>
      </c>
      <c r="H497" s="5">
        <v>76</v>
      </c>
      <c r="I497" s="6">
        <v>8</v>
      </c>
      <c r="J497" s="6">
        <v>11.5</v>
      </c>
      <c r="K497" s="6">
        <v>24</v>
      </c>
      <c r="L497" s="6">
        <v>23.5</v>
      </c>
      <c r="M497" s="4" t="str">
        <f t="shared" si="21"/>
        <v>OK</v>
      </c>
      <c r="N497" s="7">
        <f t="shared" si="22"/>
        <v>4.2386176601729575E-4</v>
      </c>
      <c r="O497" s="7">
        <f>SUMIFS($D$2:D497,$B$2:B497,B497)/SUMIFS($D$2:$D$741,$B$2:$B$741,B497)</f>
        <v>0.99914126707144546</v>
      </c>
      <c r="P497" s="4" t="b">
        <f t="shared" si="23"/>
        <v>0</v>
      </c>
      <c r="Q497" s="4" t="s">
        <v>192</v>
      </c>
      <c r="R497" s="4" t="s">
        <v>576</v>
      </c>
      <c r="S497" s="4" t="s">
        <v>25</v>
      </c>
      <c r="T497" s="4" t="s">
        <v>577</v>
      </c>
    </row>
    <row r="498" spans="1:20" x14ac:dyDescent="0.45">
      <c r="A498" s="4" t="s">
        <v>641</v>
      </c>
      <c r="B498" s="4" t="s">
        <v>575</v>
      </c>
      <c r="C498" s="5">
        <v>2</v>
      </c>
      <c r="D498" s="5">
        <v>66</v>
      </c>
      <c r="E498" s="5">
        <v>0</v>
      </c>
      <c r="F498" s="5">
        <v>0</v>
      </c>
      <c r="G498" s="5">
        <v>0</v>
      </c>
      <c r="H498" s="5">
        <v>66</v>
      </c>
      <c r="I498" s="6">
        <v>212.5</v>
      </c>
      <c r="J498" s="6">
        <v>171</v>
      </c>
      <c r="K498" s="6">
        <v>296</v>
      </c>
      <c r="L498" s="6">
        <v>296.5</v>
      </c>
      <c r="M498" s="4" t="str">
        <f t="shared" si="21"/>
        <v>OK</v>
      </c>
      <c r="N498" s="7">
        <f t="shared" si="22"/>
        <v>3.6331008515768206E-4</v>
      </c>
      <c r="O498" s="7">
        <f>SUMIFS($D$2:D498,$B$2:B498,B498)/SUMIFS($D$2:$D$741,$B$2:$B$741,B498)</f>
        <v>0.99950457715660312</v>
      </c>
      <c r="P498" s="4" t="b">
        <f t="shared" si="23"/>
        <v>0</v>
      </c>
      <c r="Q498" s="4" t="s">
        <v>23</v>
      </c>
      <c r="R498" s="4" t="s">
        <v>24</v>
      </c>
      <c r="S498" s="4" t="s">
        <v>25</v>
      </c>
      <c r="T498" s="4" t="s">
        <v>26</v>
      </c>
    </row>
    <row r="499" spans="1:20" x14ac:dyDescent="0.45">
      <c r="A499" s="4" t="s">
        <v>642</v>
      </c>
      <c r="B499" s="4" t="s">
        <v>575</v>
      </c>
      <c r="C499" s="5">
        <v>2</v>
      </c>
      <c r="D499" s="5">
        <v>50</v>
      </c>
      <c r="E499" s="5">
        <v>0</v>
      </c>
      <c r="F499" s="5">
        <v>0</v>
      </c>
      <c r="G499" s="5">
        <v>0</v>
      </c>
      <c r="H499" s="5">
        <v>50</v>
      </c>
      <c r="I499" s="6">
        <v>4</v>
      </c>
      <c r="J499" s="6">
        <v>25.1</v>
      </c>
      <c r="K499" s="6">
        <v>19</v>
      </c>
      <c r="L499" s="6">
        <v>19</v>
      </c>
      <c r="M499" s="4" t="str">
        <f t="shared" si="21"/>
        <v>OK</v>
      </c>
      <c r="N499" s="7">
        <f t="shared" si="22"/>
        <v>2.7523491299824402E-4</v>
      </c>
      <c r="O499" s="7">
        <f>SUMIFS($D$2:D499,$B$2:B499,B499)/SUMIFS($D$2:$D$741,$B$2:$B$741,B499)</f>
        <v>0.99977981206960143</v>
      </c>
      <c r="P499" s="4" t="b">
        <f t="shared" si="23"/>
        <v>0</v>
      </c>
      <c r="Q499" s="4" t="s">
        <v>192</v>
      </c>
      <c r="R499" s="4" t="s">
        <v>576</v>
      </c>
      <c r="S499" s="4" t="s">
        <v>25</v>
      </c>
      <c r="T499" s="4" t="s">
        <v>577</v>
      </c>
    </row>
    <row r="500" spans="1:20" x14ac:dyDescent="0.45">
      <c r="A500" s="4" t="s">
        <v>643</v>
      </c>
      <c r="B500" s="4" t="s">
        <v>575</v>
      </c>
      <c r="C500" s="5">
        <v>1</v>
      </c>
      <c r="D500" s="5">
        <v>34</v>
      </c>
      <c r="E500" s="5">
        <v>0</v>
      </c>
      <c r="F500" s="5">
        <v>0</v>
      </c>
      <c r="G500" s="5">
        <v>0</v>
      </c>
      <c r="H500" s="5">
        <v>34</v>
      </c>
      <c r="I500" s="6">
        <v>3.5</v>
      </c>
      <c r="J500" s="6">
        <v>5.9</v>
      </c>
      <c r="K500" s="6">
        <v>11</v>
      </c>
      <c r="L500" s="6">
        <v>11.4</v>
      </c>
      <c r="M500" s="4" t="str">
        <f t="shared" si="21"/>
        <v>OK</v>
      </c>
      <c r="N500" s="7">
        <f t="shared" si="22"/>
        <v>1.8715974083880591E-4</v>
      </c>
      <c r="O500" s="7">
        <f>SUMIFS($D$2:D500,$B$2:B500,B500)/SUMIFS($D$2:$D$741,$B$2:$B$741,B500)</f>
        <v>0.99996697181044025</v>
      </c>
      <c r="P500" s="4" t="b">
        <f t="shared" si="23"/>
        <v>0</v>
      </c>
      <c r="Q500" s="4" t="s">
        <v>192</v>
      </c>
      <c r="R500" s="4" t="s">
        <v>576</v>
      </c>
      <c r="S500" s="4" t="s">
        <v>109</v>
      </c>
      <c r="T500" s="4" t="s">
        <v>644</v>
      </c>
    </row>
    <row r="501" spans="1:20" x14ac:dyDescent="0.45">
      <c r="A501" s="4" t="s">
        <v>645</v>
      </c>
      <c r="B501" s="4" t="s">
        <v>575</v>
      </c>
      <c r="C501" s="5">
        <v>1</v>
      </c>
      <c r="D501" s="5">
        <v>6</v>
      </c>
      <c r="E501" s="5">
        <v>0</v>
      </c>
      <c r="F501" s="5">
        <v>1</v>
      </c>
      <c r="G501" s="5">
        <v>1</v>
      </c>
      <c r="H501" s="5">
        <v>5</v>
      </c>
      <c r="I501" s="6">
        <v>5</v>
      </c>
      <c r="J501" s="6">
        <v>9.1999999999999993</v>
      </c>
      <c r="K501" s="6">
        <v>22</v>
      </c>
      <c r="L501" s="6">
        <v>21.8</v>
      </c>
      <c r="M501" s="4" t="str">
        <f t="shared" si="21"/>
        <v>OK</v>
      </c>
      <c r="N501" s="7">
        <f t="shared" si="22"/>
        <v>3.3028189559789282E-5</v>
      </c>
      <c r="O501" s="7">
        <f>SUMIFS($D$2:D501,$B$2:B501,B501)/SUMIFS($D$2:$D$741,$B$2:$B$741,B501)</f>
        <v>1</v>
      </c>
      <c r="P501" s="4" t="b">
        <f t="shared" si="23"/>
        <v>0</v>
      </c>
      <c r="Q501" s="4" t="s">
        <v>192</v>
      </c>
      <c r="R501" s="4" t="s">
        <v>576</v>
      </c>
      <c r="S501" s="4" t="s">
        <v>109</v>
      </c>
      <c r="T501" s="4" t="s">
        <v>646</v>
      </c>
    </row>
    <row r="502" spans="1:20" x14ac:dyDescent="0.45">
      <c r="A502" s="9" t="s">
        <v>647</v>
      </c>
      <c r="B502" s="9" t="s">
        <v>648</v>
      </c>
      <c r="C502" s="10">
        <v>2</v>
      </c>
      <c r="D502" s="10">
        <v>102428</v>
      </c>
      <c r="E502" s="10">
        <v>23454</v>
      </c>
      <c r="F502" s="10">
        <v>140</v>
      </c>
      <c r="G502" s="10">
        <v>0</v>
      </c>
      <c r="H502" s="10">
        <v>102288</v>
      </c>
      <c r="I502" s="11">
        <v>3</v>
      </c>
      <c r="J502" s="11">
        <v>4.3</v>
      </c>
      <c r="K502" s="11">
        <v>8</v>
      </c>
      <c r="L502" s="11">
        <v>8</v>
      </c>
      <c r="M502" s="9" t="str">
        <f t="shared" si="21"/>
        <v>OK</v>
      </c>
      <c r="N502" s="12">
        <f t="shared" si="22"/>
        <v>0.35420031053215806</v>
      </c>
      <c r="O502" s="12">
        <f>SUMIFS($D$2:D502,$B$2:B502,B502)/SUMIFS($D$2:$D$741,$B$2:$B$741,B502)</f>
        <v>0.35420031053215806</v>
      </c>
      <c r="P502" s="9" t="b">
        <f t="shared" si="23"/>
        <v>1</v>
      </c>
      <c r="Q502" s="9" t="s">
        <v>192</v>
      </c>
      <c r="R502" s="9" t="s">
        <v>649</v>
      </c>
      <c r="S502" s="9" t="s">
        <v>25</v>
      </c>
      <c r="T502" s="9" t="s">
        <v>650</v>
      </c>
    </row>
    <row r="503" spans="1:20" x14ac:dyDescent="0.45">
      <c r="A503" s="4" t="s">
        <v>651</v>
      </c>
      <c r="B503" s="4" t="s">
        <v>648</v>
      </c>
      <c r="C503" s="5">
        <v>2</v>
      </c>
      <c r="D503" s="5">
        <v>36710</v>
      </c>
      <c r="E503" s="5">
        <v>9256</v>
      </c>
      <c r="F503" s="5">
        <v>38</v>
      </c>
      <c r="G503" s="5">
        <v>0</v>
      </c>
      <c r="H503" s="5">
        <v>36672</v>
      </c>
      <c r="I503" s="6">
        <v>1</v>
      </c>
      <c r="J503" s="6">
        <v>1.6</v>
      </c>
      <c r="K503" s="6">
        <v>4</v>
      </c>
      <c r="L503" s="6">
        <v>4</v>
      </c>
      <c r="M503" s="4" t="str">
        <f t="shared" si="21"/>
        <v>OK</v>
      </c>
      <c r="N503" s="7">
        <f t="shared" si="22"/>
        <v>0.12694471628495649</v>
      </c>
      <c r="O503" s="7">
        <f>SUMIFS($D$2:D503,$B$2:B503,B503)/SUMIFS($D$2:$D$741,$B$2:$B$741,B503)</f>
        <v>0.48114502681711452</v>
      </c>
      <c r="P503" s="4" t="b">
        <f t="shared" si="23"/>
        <v>1</v>
      </c>
      <c r="Q503" s="4" t="s">
        <v>192</v>
      </c>
      <c r="R503" s="4" t="s">
        <v>649</v>
      </c>
      <c r="S503" s="4" t="s">
        <v>25</v>
      </c>
      <c r="T503" s="4" t="s">
        <v>650</v>
      </c>
    </row>
    <row r="504" spans="1:20" x14ac:dyDescent="0.45">
      <c r="A504" s="4" t="s">
        <v>652</v>
      </c>
      <c r="B504" s="4" t="s">
        <v>648</v>
      </c>
      <c r="C504" s="5">
        <v>2</v>
      </c>
      <c r="D504" s="5">
        <v>36309</v>
      </c>
      <c r="E504" s="5">
        <v>9327</v>
      </c>
      <c r="F504" s="5">
        <v>44</v>
      </c>
      <c r="G504" s="5">
        <v>0</v>
      </c>
      <c r="H504" s="5">
        <v>36265</v>
      </c>
      <c r="I504" s="6">
        <v>1</v>
      </c>
      <c r="J504" s="6">
        <v>1.6</v>
      </c>
      <c r="K504" s="6">
        <v>4</v>
      </c>
      <c r="L504" s="6">
        <v>4</v>
      </c>
      <c r="M504" s="4" t="str">
        <f t="shared" si="21"/>
        <v>OK</v>
      </c>
      <c r="N504" s="7">
        <f t="shared" si="22"/>
        <v>0.12555804150341826</v>
      </c>
      <c r="O504" s="7">
        <f>SUMIFS($D$2:D504,$B$2:B504,B504)/SUMIFS($D$2:$D$741,$B$2:$B$741,B504)</f>
        <v>0.60670306832053278</v>
      </c>
      <c r="P504" s="4" t="b">
        <f t="shared" si="23"/>
        <v>1</v>
      </c>
      <c r="Q504" s="4" t="s">
        <v>192</v>
      </c>
      <c r="R504" s="4" t="s">
        <v>649</v>
      </c>
      <c r="S504" s="4" t="s">
        <v>25</v>
      </c>
      <c r="T504" s="4" t="s">
        <v>650</v>
      </c>
    </row>
    <row r="505" spans="1:20" x14ac:dyDescent="0.45">
      <c r="A505" s="4" t="s">
        <v>653</v>
      </c>
      <c r="B505" s="4" t="s">
        <v>648</v>
      </c>
      <c r="C505" s="5">
        <v>2</v>
      </c>
      <c r="D505" s="5">
        <v>33263</v>
      </c>
      <c r="E505" s="5">
        <v>6896</v>
      </c>
      <c r="F505" s="5">
        <v>37</v>
      </c>
      <c r="G505" s="5">
        <v>0</v>
      </c>
      <c r="H505" s="5">
        <v>33226</v>
      </c>
      <c r="I505" s="6">
        <v>1</v>
      </c>
      <c r="J505" s="6">
        <v>1.5</v>
      </c>
      <c r="K505" s="6">
        <v>4</v>
      </c>
      <c r="L505" s="6">
        <v>4</v>
      </c>
      <c r="M505" s="4" t="str">
        <f t="shared" si="21"/>
        <v>OK</v>
      </c>
      <c r="N505" s="7">
        <f t="shared" si="22"/>
        <v>0.11502484603068666</v>
      </c>
      <c r="O505" s="7">
        <f>SUMIFS($D$2:D505,$B$2:B505,B505)/SUMIFS($D$2:$D$741,$B$2:$B$741,B505)</f>
        <v>0.72172791435121952</v>
      </c>
      <c r="P505" s="4" t="b">
        <f t="shared" si="23"/>
        <v>1</v>
      </c>
      <c r="Q505" s="4" t="s">
        <v>192</v>
      </c>
      <c r="R505" s="4" t="s">
        <v>649</v>
      </c>
      <c r="S505" s="4" t="s">
        <v>25</v>
      </c>
      <c r="T505" s="4" t="s">
        <v>650</v>
      </c>
    </row>
    <row r="506" spans="1:20" x14ac:dyDescent="0.45">
      <c r="A506" s="4" t="s">
        <v>654</v>
      </c>
      <c r="B506" s="4" t="s">
        <v>648</v>
      </c>
      <c r="C506" s="5">
        <v>2</v>
      </c>
      <c r="D506" s="5">
        <v>30520</v>
      </c>
      <c r="E506" s="5">
        <v>6165</v>
      </c>
      <c r="F506" s="5">
        <v>55</v>
      </c>
      <c r="G506" s="5">
        <v>0</v>
      </c>
      <c r="H506" s="5">
        <v>30465</v>
      </c>
      <c r="I506" s="6">
        <v>4</v>
      </c>
      <c r="J506" s="6">
        <v>5</v>
      </c>
      <c r="K506" s="6">
        <v>11</v>
      </c>
      <c r="L506" s="6">
        <v>11</v>
      </c>
      <c r="M506" s="4" t="str">
        <f t="shared" si="21"/>
        <v>OK</v>
      </c>
      <c r="N506" s="7">
        <f t="shared" si="22"/>
        <v>0.10553943723826946</v>
      </c>
      <c r="O506" s="7">
        <f>SUMIFS($D$2:D506,$B$2:B506,B506)/SUMIFS($D$2:$D$741,$B$2:$B$741,B506)</f>
        <v>0.82726735158948894</v>
      </c>
      <c r="P506" s="4" t="b">
        <f t="shared" si="23"/>
        <v>1</v>
      </c>
      <c r="Q506" s="4" t="s">
        <v>192</v>
      </c>
      <c r="R506" s="4" t="s">
        <v>649</v>
      </c>
      <c r="S506" s="4" t="s">
        <v>25</v>
      </c>
      <c r="T506" s="4" t="s">
        <v>650</v>
      </c>
    </row>
    <row r="507" spans="1:20" x14ac:dyDescent="0.45">
      <c r="A507" s="4" t="s">
        <v>655</v>
      </c>
      <c r="B507" s="4" t="s">
        <v>648</v>
      </c>
      <c r="C507" s="5">
        <v>2</v>
      </c>
      <c r="D507" s="5">
        <v>15742</v>
      </c>
      <c r="E507" s="5">
        <v>4158</v>
      </c>
      <c r="F507" s="5">
        <v>74</v>
      </c>
      <c r="G507" s="5">
        <v>0</v>
      </c>
      <c r="H507" s="5">
        <v>15668</v>
      </c>
      <c r="I507" s="6">
        <v>1</v>
      </c>
      <c r="J507" s="6">
        <v>2.2000000000000002</v>
      </c>
      <c r="K507" s="6">
        <v>4</v>
      </c>
      <c r="L507" s="6">
        <v>4</v>
      </c>
      <c r="M507" s="4" t="str">
        <f t="shared" si="21"/>
        <v>OK</v>
      </c>
      <c r="N507" s="7">
        <f t="shared" si="22"/>
        <v>5.4436494790459956E-2</v>
      </c>
      <c r="O507" s="7">
        <f>SUMIFS($D$2:D507,$B$2:B507,B507)/SUMIFS($D$2:$D$741,$B$2:$B$741,B507)</f>
        <v>0.88170384637994892</v>
      </c>
      <c r="P507" s="4" t="b">
        <f t="shared" si="23"/>
        <v>1</v>
      </c>
      <c r="Q507" s="4" t="s">
        <v>192</v>
      </c>
      <c r="R507" s="4" t="s">
        <v>649</v>
      </c>
      <c r="S507" s="4" t="s">
        <v>25</v>
      </c>
      <c r="T507" s="4" t="s">
        <v>650</v>
      </c>
    </row>
    <row r="508" spans="1:20" x14ac:dyDescent="0.45">
      <c r="A508" s="4" t="s">
        <v>656</v>
      </c>
      <c r="B508" s="4" t="s">
        <v>648</v>
      </c>
      <c r="C508" s="5">
        <v>2</v>
      </c>
      <c r="D508" s="5">
        <v>12601</v>
      </c>
      <c r="E508" s="5">
        <v>3124</v>
      </c>
      <c r="F508" s="5">
        <v>20</v>
      </c>
      <c r="G508" s="5">
        <v>0</v>
      </c>
      <c r="H508" s="5">
        <v>12581</v>
      </c>
      <c r="I508" s="6">
        <v>1</v>
      </c>
      <c r="J508" s="6">
        <v>1.4</v>
      </c>
      <c r="K508" s="6">
        <v>4</v>
      </c>
      <c r="L508" s="6">
        <v>4</v>
      </c>
      <c r="M508" s="4" t="str">
        <f t="shared" si="21"/>
        <v>OK</v>
      </c>
      <c r="N508" s="7">
        <f t="shared" si="22"/>
        <v>4.3574785342052211E-2</v>
      </c>
      <c r="O508" s="7">
        <f>SUMIFS($D$2:D508,$B$2:B508,B508)/SUMIFS($D$2:$D$741,$B$2:$B$741,B508)</f>
        <v>0.92527863172200109</v>
      </c>
      <c r="P508" s="4" t="b">
        <f t="shared" si="23"/>
        <v>1</v>
      </c>
      <c r="Q508" s="4" t="s">
        <v>192</v>
      </c>
      <c r="R508" s="4" t="s">
        <v>649</v>
      </c>
      <c r="S508" s="4" t="s">
        <v>25</v>
      </c>
      <c r="T508" s="4" t="s">
        <v>650</v>
      </c>
    </row>
    <row r="509" spans="1:20" x14ac:dyDescent="0.45">
      <c r="A509" s="4" t="s">
        <v>657</v>
      </c>
      <c r="B509" s="4" t="s">
        <v>648</v>
      </c>
      <c r="C509" s="5">
        <v>2</v>
      </c>
      <c r="D509" s="5">
        <v>10037</v>
      </c>
      <c r="E509" s="5">
        <v>2638</v>
      </c>
      <c r="F509" s="5">
        <v>28</v>
      </c>
      <c r="G509" s="5">
        <v>0</v>
      </c>
      <c r="H509" s="5">
        <v>10009</v>
      </c>
      <c r="I509" s="6">
        <v>3</v>
      </c>
      <c r="J509" s="6">
        <v>5.2</v>
      </c>
      <c r="K509" s="6">
        <v>12</v>
      </c>
      <c r="L509" s="6">
        <v>12</v>
      </c>
      <c r="M509" s="4" t="str">
        <f t="shared" si="21"/>
        <v>OK</v>
      </c>
      <c r="N509" s="7">
        <f t="shared" si="22"/>
        <v>3.4708366040645824E-2</v>
      </c>
      <c r="O509" s="7">
        <f>SUMIFS($D$2:D509,$B$2:B509,B509)/SUMIFS($D$2:$D$741,$B$2:$B$741,B509)</f>
        <v>0.95998699776264695</v>
      </c>
      <c r="P509" s="4" t="b">
        <f t="shared" si="23"/>
        <v>1</v>
      </c>
      <c r="Q509" s="4" t="s">
        <v>23</v>
      </c>
      <c r="R509" s="4" t="s">
        <v>105</v>
      </c>
      <c r="S509" s="4" t="s">
        <v>109</v>
      </c>
      <c r="T509" s="4" t="s">
        <v>658</v>
      </c>
    </row>
    <row r="510" spans="1:20" x14ac:dyDescent="0.45">
      <c r="A510" s="4" t="s">
        <v>659</v>
      </c>
      <c r="B510" s="4" t="s">
        <v>648</v>
      </c>
      <c r="C510" s="5">
        <v>2</v>
      </c>
      <c r="D510" s="5">
        <v>2565</v>
      </c>
      <c r="E510" s="5">
        <v>584</v>
      </c>
      <c r="F510" s="5">
        <v>1</v>
      </c>
      <c r="G510" s="5">
        <v>0</v>
      </c>
      <c r="H510" s="5">
        <v>2564</v>
      </c>
      <c r="I510" s="6">
        <v>1</v>
      </c>
      <c r="J510" s="6">
        <v>1.9</v>
      </c>
      <c r="K510" s="6">
        <v>5</v>
      </c>
      <c r="L510" s="6">
        <v>5</v>
      </c>
      <c r="M510" s="4" t="str">
        <f t="shared" si="21"/>
        <v>OK</v>
      </c>
      <c r="N510" s="7">
        <f t="shared" si="22"/>
        <v>8.8698773432556079E-3</v>
      </c>
      <c r="O510" s="7">
        <f>SUMIFS($D$2:D510,$B$2:B510,B510)/SUMIFS($D$2:$D$741,$B$2:$B$741,B510)</f>
        <v>0.96885687510590257</v>
      </c>
      <c r="P510" s="4" t="b">
        <f t="shared" si="23"/>
        <v>0</v>
      </c>
      <c r="Q510" s="4" t="s">
        <v>23</v>
      </c>
      <c r="R510" s="4" t="s">
        <v>75</v>
      </c>
      <c r="S510" s="4" t="s">
        <v>25</v>
      </c>
      <c r="T510" s="4" t="s">
        <v>76</v>
      </c>
    </row>
    <row r="511" spans="1:20" x14ac:dyDescent="0.45">
      <c r="A511" s="4" t="s">
        <v>660</v>
      </c>
      <c r="B511" s="4" t="s">
        <v>648</v>
      </c>
      <c r="C511" s="5">
        <v>2</v>
      </c>
      <c r="D511" s="5">
        <v>1600</v>
      </c>
      <c r="E511" s="5">
        <v>258</v>
      </c>
      <c r="F511" s="5">
        <v>8</v>
      </c>
      <c r="G511" s="5">
        <v>0</v>
      </c>
      <c r="H511" s="5">
        <v>1592</v>
      </c>
      <c r="I511" s="6">
        <v>1</v>
      </c>
      <c r="J511" s="6">
        <v>3.4</v>
      </c>
      <c r="K511" s="6">
        <v>10</v>
      </c>
      <c r="L511" s="6">
        <v>10</v>
      </c>
      <c r="M511" s="4" t="str">
        <f t="shared" si="21"/>
        <v>OK</v>
      </c>
      <c r="N511" s="7">
        <f t="shared" si="22"/>
        <v>5.5328669587559349E-3</v>
      </c>
      <c r="O511" s="7">
        <f>SUMIFS($D$2:D511,$B$2:B511,B511)/SUMIFS($D$2:$D$741,$B$2:$B$741,B511)</f>
        <v>0.97438974206465845</v>
      </c>
      <c r="P511" s="4" t="b">
        <f t="shared" si="23"/>
        <v>0</v>
      </c>
      <c r="Q511" s="4" t="s">
        <v>23</v>
      </c>
      <c r="R511" s="4" t="s">
        <v>30</v>
      </c>
      <c r="S511" s="4" t="s">
        <v>25</v>
      </c>
      <c r="T511" s="4" t="s">
        <v>31</v>
      </c>
    </row>
    <row r="512" spans="1:20" x14ac:dyDescent="0.45">
      <c r="A512" s="4" t="s">
        <v>661</v>
      </c>
      <c r="B512" s="4" t="s">
        <v>648</v>
      </c>
      <c r="C512" s="5">
        <v>2</v>
      </c>
      <c r="D512" s="5">
        <v>1532</v>
      </c>
      <c r="E512" s="5">
        <v>341</v>
      </c>
      <c r="F512" s="5">
        <v>5</v>
      </c>
      <c r="G512" s="5">
        <v>0</v>
      </c>
      <c r="H512" s="5">
        <v>1527</v>
      </c>
      <c r="I512" s="6">
        <v>1</v>
      </c>
      <c r="J512" s="6">
        <v>1.8</v>
      </c>
      <c r="K512" s="6">
        <v>4</v>
      </c>
      <c r="L512" s="6">
        <v>4</v>
      </c>
      <c r="M512" s="4" t="str">
        <f t="shared" si="21"/>
        <v>OK</v>
      </c>
      <c r="N512" s="7">
        <f t="shared" si="22"/>
        <v>5.2977201130088077E-3</v>
      </c>
      <c r="O512" s="7">
        <f>SUMIFS($D$2:D512,$B$2:B512,B512)/SUMIFS($D$2:$D$741,$B$2:$B$741,B512)</f>
        <v>0.97968746217766722</v>
      </c>
      <c r="P512" s="4" t="b">
        <f t="shared" si="23"/>
        <v>0</v>
      </c>
      <c r="Q512" s="4" t="s">
        <v>23</v>
      </c>
      <c r="R512" s="4" t="s">
        <v>30</v>
      </c>
      <c r="S512" s="4" t="s">
        <v>25</v>
      </c>
      <c r="T512" s="4" t="s">
        <v>31</v>
      </c>
    </row>
    <row r="513" spans="1:20" x14ac:dyDescent="0.45">
      <c r="A513" s="4" t="s">
        <v>662</v>
      </c>
      <c r="B513" s="4" t="s">
        <v>648</v>
      </c>
      <c r="C513" s="5">
        <v>2</v>
      </c>
      <c r="D513" s="5">
        <v>834</v>
      </c>
      <c r="E513" s="5">
        <v>154</v>
      </c>
      <c r="F513" s="5">
        <v>0</v>
      </c>
      <c r="G513" s="5">
        <v>0</v>
      </c>
      <c r="H513" s="5">
        <v>834</v>
      </c>
      <c r="I513" s="6">
        <v>0</v>
      </c>
      <c r="J513" s="6">
        <v>1.2</v>
      </c>
      <c r="K513" s="6">
        <v>4</v>
      </c>
      <c r="L513" s="6">
        <v>4</v>
      </c>
      <c r="M513" s="4" t="str">
        <f t="shared" si="21"/>
        <v>OK</v>
      </c>
      <c r="N513" s="7">
        <f t="shared" si="22"/>
        <v>2.884006902251531E-3</v>
      </c>
      <c r="O513" s="7">
        <f>SUMIFS($D$2:D513,$B$2:B513,B513)/SUMIFS($D$2:$D$741,$B$2:$B$741,B513)</f>
        <v>0.98257146907991877</v>
      </c>
      <c r="P513" s="4" t="b">
        <f t="shared" si="23"/>
        <v>0</v>
      </c>
      <c r="Q513" s="4" t="s">
        <v>23</v>
      </c>
      <c r="R513" s="4" t="s">
        <v>24</v>
      </c>
      <c r="S513" s="4" t="s">
        <v>25</v>
      </c>
      <c r="T513" s="4" t="s">
        <v>26</v>
      </c>
    </row>
    <row r="514" spans="1:20" x14ac:dyDescent="0.45">
      <c r="A514" s="4" t="s">
        <v>663</v>
      </c>
      <c r="B514" s="4" t="s">
        <v>648</v>
      </c>
      <c r="C514" s="5">
        <v>2</v>
      </c>
      <c r="D514" s="5">
        <v>650</v>
      </c>
      <c r="E514" s="5">
        <v>128</v>
      </c>
      <c r="F514" s="5">
        <v>0</v>
      </c>
      <c r="G514" s="5">
        <v>0</v>
      </c>
      <c r="H514" s="5">
        <v>650</v>
      </c>
      <c r="I514" s="6">
        <v>1</v>
      </c>
      <c r="J514" s="6">
        <v>2.2999999999999998</v>
      </c>
      <c r="K514" s="6">
        <v>5</v>
      </c>
      <c r="L514" s="6">
        <v>5</v>
      </c>
      <c r="M514" s="4" t="str">
        <f t="shared" ref="M514:M577" si="24">IF(AND(K514="",L514=""),"No closed tickets",IF(K514="","MISSING in catalog",IF(L514="","No valid closed tickets",IF(AND(ABS(K514-L514)&gt;=$W$3,ABS(K514-L514)&gt;=$W$4*MAX(L514,1)),"FAR OFF","OK"))))</f>
        <v>OK</v>
      </c>
      <c r="N514" s="7">
        <f t="shared" ref="N514:N577" si="25">D514/SUMIFS($D$2:$D$741,$B$2:$B$741,B514)</f>
        <v>2.2477272019945987E-3</v>
      </c>
      <c r="O514" s="7">
        <f>SUMIFS($D$2:D514,$B$2:B514,B514)/SUMIFS($D$2:$D$741,$B$2:$B$741,B514)</f>
        <v>0.98481919628191339</v>
      </c>
      <c r="P514" s="4" t="b">
        <f t="shared" ref="P514:P577" si="26">O514-N514&lt;$W$2</f>
        <v>0</v>
      </c>
      <c r="Q514" s="4" t="s">
        <v>23</v>
      </c>
      <c r="R514" s="4" t="s">
        <v>38</v>
      </c>
      <c r="S514" s="4" t="s">
        <v>25</v>
      </c>
      <c r="T514" s="4" t="s">
        <v>39</v>
      </c>
    </row>
    <row r="515" spans="1:20" x14ac:dyDescent="0.45">
      <c r="A515" s="4" t="s">
        <v>664</v>
      </c>
      <c r="B515" s="4" t="s">
        <v>648</v>
      </c>
      <c r="C515" s="5">
        <v>2</v>
      </c>
      <c r="D515" s="5">
        <v>605</v>
      </c>
      <c r="E515" s="5">
        <v>116</v>
      </c>
      <c r="F515" s="5">
        <v>1</v>
      </c>
      <c r="G515" s="5">
        <v>0</v>
      </c>
      <c r="H515" s="5">
        <v>604</v>
      </c>
      <c r="I515" s="6">
        <v>10</v>
      </c>
      <c r="J515" s="6">
        <v>16.5</v>
      </c>
      <c r="K515" s="6">
        <v>40</v>
      </c>
      <c r="L515" s="6">
        <v>40</v>
      </c>
      <c r="M515" s="4" t="str">
        <f t="shared" si="24"/>
        <v>OK</v>
      </c>
      <c r="N515" s="7">
        <f t="shared" si="25"/>
        <v>2.0921153187795877E-3</v>
      </c>
      <c r="O515" s="7">
        <f>SUMIFS($D$2:D515,$B$2:B515,B515)/SUMIFS($D$2:$D$741,$B$2:$B$741,B515)</f>
        <v>0.98691131160069301</v>
      </c>
      <c r="P515" s="4" t="b">
        <f t="shared" si="26"/>
        <v>0</v>
      </c>
      <c r="Q515" s="4" t="s">
        <v>23</v>
      </c>
      <c r="R515" s="4" t="s">
        <v>30</v>
      </c>
      <c r="S515" s="4" t="s">
        <v>25</v>
      </c>
      <c r="T515" s="4" t="s">
        <v>31</v>
      </c>
    </row>
    <row r="516" spans="1:20" x14ac:dyDescent="0.45">
      <c r="A516" s="4" t="s">
        <v>665</v>
      </c>
      <c r="B516" s="4" t="s">
        <v>648</v>
      </c>
      <c r="C516" s="5">
        <v>2</v>
      </c>
      <c r="D516" s="5">
        <v>476</v>
      </c>
      <c r="E516" s="5">
        <v>117</v>
      </c>
      <c r="F516" s="5">
        <v>1</v>
      </c>
      <c r="G516" s="5">
        <v>0</v>
      </c>
      <c r="H516" s="5">
        <v>475</v>
      </c>
      <c r="I516" s="6">
        <v>4</v>
      </c>
      <c r="J516" s="6">
        <v>5.4</v>
      </c>
      <c r="K516" s="6">
        <v>13</v>
      </c>
      <c r="L516" s="6">
        <v>13</v>
      </c>
      <c r="M516" s="4" t="str">
        <f t="shared" si="24"/>
        <v>OK</v>
      </c>
      <c r="N516" s="7">
        <f t="shared" si="25"/>
        <v>1.6460279202298905E-3</v>
      </c>
      <c r="O516" s="7">
        <f>SUMIFS($D$2:D516,$B$2:B516,B516)/SUMIFS($D$2:$D$741,$B$2:$B$741,B516)</f>
        <v>0.98855733952092284</v>
      </c>
      <c r="P516" s="4" t="b">
        <f t="shared" si="26"/>
        <v>0</v>
      </c>
      <c r="Q516" s="4" t="s">
        <v>23</v>
      </c>
      <c r="R516" s="4" t="s">
        <v>30</v>
      </c>
      <c r="S516" s="4" t="s">
        <v>109</v>
      </c>
      <c r="T516" s="4" t="s">
        <v>666</v>
      </c>
    </row>
    <row r="517" spans="1:20" x14ac:dyDescent="0.45">
      <c r="A517" s="4" t="s">
        <v>667</v>
      </c>
      <c r="B517" s="4" t="s">
        <v>648</v>
      </c>
      <c r="C517" s="5">
        <v>2</v>
      </c>
      <c r="D517" s="5">
        <v>474</v>
      </c>
      <c r="E517" s="5">
        <v>96</v>
      </c>
      <c r="F517" s="5">
        <v>0</v>
      </c>
      <c r="G517" s="5">
        <v>0</v>
      </c>
      <c r="H517" s="5">
        <v>474</v>
      </c>
      <c r="I517" s="6">
        <v>3</v>
      </c>
      <c r="J517" s="6">
        <v>3.7</v>
      </c>
      <c r="K517" s="6">
        <v>7</v>
      </c>
      <c r="L517" s="6">
        <v>7</v>
      </c>
      <c r="M517" s="4" t="str">
        <f t="shared" si="24"/>
        <v>OK</v>
      </c>
      <c r="N517" s="7">
        <f t="shared" si="25"/>
        <v>1.6391118365314456E-3</v>
      </c>
      <c r="O517" s="7">
        <f>SUMIFS($D$2:D517,$B$2:B517,B517)/SUMIFS($D$2:$D$741,$B$2:$B$741,B517)</f>
        <v>0.99019645135745438</v>
      </c>
      <c r="P517" s="4" t="b">
        <f t="shared" si="26"/>
        <v>0</v>
      </c>
      <c r="Q517" s="4" t="s">
        <v>192</v>
      </c>
      <c r="R517" s="4" t="s">
        <v>649</v>
      </c>
      <c r="S517" s="4" t="s">
        <v>109</v>
      </c>
      <c r="T517" s="4" t="s">
        <v>668</v>
      </c>
    </row>
    <row r="518" spans="1:20" x14ac:dyDescent="0.45">
      <c r="A518" s="4" t="s">
        <v>669</v>
      </c>
      <c r="B518" s="4" t="s">
        <v>648</v>
      </c>
      <c r="C518" s="5">
        <v>2</v>
      </c>
      <c r="D518" s="5">
        <v>436</v>
      </c>
      <c r="E518" s="5">
        <v>17</v>
      </c>
      <c r="F518" s="5">
        <v>0</v>
      </c>
      <c r="G518" s="5">
        <v>0</v>
      </c>
      <c r="H518" s="5">
        <v>436</v>
      </c>
      <c r="I518" s="6">
        <v>2</v>
      </c>
      <c r="J518" s="6">
        <v>4</v>
      </c>
      <c r="K518" s="6">
        <v>8</v>
      </c>
      <c r="L518" s="6">
        <v>8</v>
      </c>
      <c r="M518" s="4" t="str">
        <f t="shared" si="24"/>
        <v>OK</v>
      </c>
      <c r="N518" s="7">
        <f t="shared" si="25"/>
        <v>1.5077062462609922E-3</v>
      </c>
      <c r="O518" s="7">
        <f>SUMIFS($D$2:D518,$B$2:B518,B518)/SUMIFS($D$2:$D$741,$B$2:$B$741,B518)</f>
        <v>0.99170415760371533</v>
      </c>
      <c r="P518" s="4" t="b">
        <f t="shared" si="26"/>
        <v>0</v>
      </c>
      <c r="Q518" s="4" t="s">
        <v>23</v>
      </c>
      <c r="R518" s="4" t="s">
        <v>30</v>
      </c>
      <c r="S518" s="4" t="s">
        <v>25</v>
      </c>
      <c r="T518" s="4" t="s">
        <v>31</v>
      </c>
    </row>
    <row r="519" spans="1:20" x14ac:dyDescent="0.45">
      <c r="A519" s="4" t="s">
        <v>670</v>
      </c>
      <c r="B519" s="4" t="s">
        <v>648</v>
      </c>
      <c r="C519" s="5">
        <v>1</v>
      </c>
      <c r="D519" s="5">
        <v>414</v>
      </c>
      <c r="E519" s="5">
        <v>90</v>
      </c>
      <c r="F519" s="5">
        <v>0</v>
      </c>
      <c r="G519" s="5">
        <v>0</v>
      </c>
      <c r="H519" s="5">
        <v>414</v>
      </c>
      <c r="I519" s="6">
        <v>0</v>
      </c>
      <c r="J519" s="6">
        <v>0</v>
      </c>
      <c r="K519" s="6">
        <v>0</v>
      </c>
      <c r="L519" s="6">
        <v>0</v>
      </c>
      <c r="M519" s="4" t="str">
        <f t="shared" si="24"/>
        <v>OK</v>
      </c>
      <c r="N519" s="7">
        <f t="shared" si="25"/>
        <v>1.4316293255780981E-3</v>
      </c>
      <c r="O519" s="7">
        <f>SUMIFS($D$2:D519,$B$2:B519,B519)/SUMIFS($D$2:$D$741,$B$2:$B$741,B519)</f>
        <v>0.99313578692929338</v>
      </c>
      <c r="P519" s="4" t="b">
        <f t="shared" si="26"/>
        <v>0</v>
      </c>
      <c r="Q519" s="4" t="s">
        <v>23</v>
      </c>
      <c r="R519" s="4" t="s">
        <v>75</v>
      </c>
      <c r="S519" s="4" t="s">
        <v>25</v>
      </c>
      <c r="T519" s="4" t="s">
        <v>76</v>
      </c>
    </row>
    <row r="520" spans="1:20" x14ac:dyDescent="0.45">
      <c r="A520" s="4" t="s">
        <v>671</v>
      </c>
      <c r="B520" s="4" t="s">
        <v>648</v>
      </c>
      <c r="C520" s="5">
        <v>2</v>
      </c>
      <c r="D520" s="5">
        <v>400</v>
      </c>
      <c r="E520" s="5">
        <v>107</v>
      </c>
      <c r="F520" s="5">
        <v>0</v>
      </c>
      <c r="G520" s="5">
        <v>0</v>
      </c>
      <c r="H520" s="5">
        <v>400</v>
      </c>
      <c r="I520" s="6">
        <v>0</v>
      </c>
      <c r="J520" s="6">
        <v>0.6</v>
      </c>
      <c r="K520" s="6">
        <v>0</v>
      </c>
      <c r="L520" s="6">
        <v>0</v>
      </c>
      <c r="M520" s="4" t="str">
        <f t="shared" si="24"/>
        <v>OK</v>
      </c>
      <c r="N520" s="7">
        <f t="shared" si="25"/>
        <v>1.3832167396889837E-3</v>
      </c>
      <c r="O520" s="7">
        <f>SUMIFS($D$2:D520,$B$2:B520,B520)/SUMIFS($D$2:$D$741,$B$2:$B$741,B520)</f>
        <v>0.99451900366898238</v>
      </c>
      <c r="P520" s="4" t="b">
        <f t="shared" si="26"/>
        <v>0</v>
      </c>
      <c r="Q520" s="4" t="s">
        <v>23</v>
      </c>
      <c r="R520" s="4" t="s">
        <v>24</v>
      </c>
      <c r="S520" s="4" t="s">
        <v>25</v>
      </c>
      <c r="T520" s="4" t="s">
        <v>26</v>
      </c>
    </row>
    <row r="521" spans="1:20" x14ac:dyDescent="0.45">
      <c r="A521" s="4" t="s">
        <v>672</v>
      </c>
      <c r="B521" s="4" t="s">
        <v>648</v>
      </c>
      <c r="C521" s="5">
        <v>2</v>
      </c>
      <c r="D521" s="5">
        <v>342</v>
      </c>
      <c r="E521" s="5">
        <v>64</v>
      </c>
      <c r="F521" s="5">
        <v>0</v>
      </c>
      <c r="G521" s="5">
        <v>0</v>
      </c>
      <c r="H521" s="5">
        <v>342</v>
      </c>
      <c r="I521" s="6">
        <v>1</v>
      </c>
      <c r="J521" s="6">
        <v>1.2</v>
      </c>
      <c r="K521" s="6">
        <v>2</v>
      </c>
      <c r="L521" s="6">
        <v>2</v>
      </c>
      <c r="M521" s="4" t="str">
        <f t="shared" si="24"/>
        <v>OK</v>
      </c>
      <c r="N521" s="7">
        <f t="shared" si="25"/>
        <v>1.1826503124340811E-3</v>
      </c>
      <c r="O521" s="7">
        <f>SUMIFS($D$2:D521,$B$2:B521,B521)/SUMIFS($D$2:$D$741,$B$2:$B$741,B521)</f>
        <v>0.99570165398141652</v>
      </c>
      <c r="P521" s="4" t="b">
        <f t="shared" si="26"/>
        <v>0</v>
      </c>
      <c r="Q521" s="4" t="s">
        <v>192</v>
      </c>
      <c r="R521" s="4" t="s">
        <v>649</v>
      </c>
      <c r="S521" s="4" t="s">
        <v>109</v>
      </c>
      <c r="T521" s="4" t="s">
        <v>673</v>
      </c>
    </row>
    <row r="522" spans="1:20" x14ac:dyDescent="0.45">
      <c r="A522" s="4" t="s">
        <v>674</v>
      </c>
      <c r="B522" s="4" t="s">
        <v>648</v>
      </c>
      <c r="C522" s="5">
        <v>2</v>
      </c>
      <c r="D522" s="5">
        <v>335</v>
      </c>
      <c r="E522" s="5">
        <v>78</v>
      </c>
      <c r="F522" s="5">
        <v>2</v>
      </c>
      <c r="G522" s="5">
        <v>0</v>
      </c>
      <c r="H522" s="5">
        <v>333</v>
      </c>
      <c r="I522" s="6">
        <v>0</v>
      </c>
      <c r="J522" s="6">
        <v>1.1000000000000001</v>
      </c>
      <c r="K522" s="6">
        <v>4</v>
      </c>
      <c r="L522" s="6">
        <v>3.8</v>
      </c>
      <c r="M522" s="4" t="str">
        <f t="shared" si="24"/>
        <v>OK</v>
      </c>
      <c r="N522" s="7">
        <f t="shared" si="25"/>
        <v>1.1584440194895239E-3</v>
      </c>
      <c r="O522" s="7">
        <f>SUMIFS($D$2:D522,$B$2:B522,B522)/SUMIFS($D$2:$D$741,$B$2:$B$741,B522)</f>
        <v>0.99686009800090603</v>
      </c>
      <c r="P522" s="4" t="b">
        <f t="shared" si="26"/>
        <v>0</v>
      </c>
      <c r="Q522" s="4" t="s">
        <v>23</v>
      </c>
      <c r="R522" s="4" t="s">
        <v>30</v>
      </c>
      <c r="S522" s="4" t="s">
        <v>25</v>
      </c>
      <c r="T522" s="4" t="s">
        <v>31</v>
      </c>
    </row>
    <row r="523" spans="1:20" x14ac:dyDescent="0.45">
      <c r="A523" s="4" t="s">
        <v>675</v>
      </c>
      <c r="B523" s="4" t="s">
        <v>648</v>
      </c>
      <c r="C523" s="5">
        <v>2</v>
      </c>
      <c r="D523" s="5">
        <v>282</v>
      </c>
      <c r="E523" s="5">
        <v>49</v>
      </c>
      <c r="F523" s="5">
        <v>0</v>
      </c>
      <c r="G523" s="5">
        <v>0</v>
      </c>
      <c r="H523" s="5">
        <v>282</v>
      </c>
      <c r="I523" s="6">
        <v>4</v>
      </c>
      <c r="J523" s="6">
        <v>5.9</v>
      </c>
      <c r="K523" s="6">
        <v>12</v>
      </c>
      <c r="L523" s="6">
        <v>12</v>
      </c>
      <c r="M523" s="4" t="str">
        <f t="shared" si="24"/>
        <v>OK</v>
      </c>
      <c r="N523" s="7">
        <f t="shared" si="25"/>
        <v>9.7516780148073354E-4</v>
      </c>
      <c r="O523" s="7">
        <f>SUMIFS($D$2:D523,$B$2:B523,B523)/SUMIFS($D$2:$D$741,$B$2:$B$741,B523)</f>
        <v>0.99783526580238679</v>
      </c>
      <c r="P523" s="4" t="b">
        <f t="shared" si="26"/>
        <v>0</v>
      </c>
      <c r="Q523" s="4" t="s">
        <v>23</v>
      </c>
      <c r="R523" s="4" t="s">
        <v>30</v>
      </c>
      <c r="S523" s="4" t="s">
        <v>25</v>
      </c>
      <c r="T523" s="4" t="s">
        <v>31</v>
      </c>
    </row>
    <row r="524" spans="1:20" x14ac:dyDescent="0.45">
      <c r="A524" s="4" t="s">
        <v>676</v>
      </c>
      <c r="B524" s="4" t="s">
        <v>648</v>
      </c>
      <c r="C524" s="5">
        <v>1</v>
      </c>
      <c r="D524" s="5">
        <v>242</v>
      </c>
      <c r="E524" s="5">
        <v>38</v>
      </c>
      <c r="F524" s="5">
        <v>1</v>
      </c>
      <c r="G524" s="5">
        <v>0</v>
      </c>
      <c r="H524" s="5">
        <v>241</v>
      </c>
      <c r="I524" s="6">
        <v>4</v>
      </c>
      <c r="J524" s="6">
        <v>11.1</v>
      </c>
      <c r="K524" s="6">
        <v>16</v>
      </c>
      <c r="L524" s="6">
        <v>16</v>
      </c>
      <c r="M524" s="4" t="str">
        <f t="shared" si="24"/>
        <v>OK</v>
      </c>
      <c r="N524" s="7">
        <f t="shared" si="25"/>
        <v>8.3684612751183511E-4</v>
      </c>
      <c r="O524" s="7">
        <f>SUMIFS($D$2:D524,$B$2:B524,B524)/SUMIFS($D$2:$D$741,$B$2:$B$741,B524)</f>
        <v>0.99867211192989858</v>
      </c>
      <c r="P524" s="4" t="b">
        <f t="shared" si="26"/>
        <v>0</v>
      </c>
      <c r="Q524" s="4" t="s">
        <v>23</v>
      </c>
      <c r="R524" s="4" t="s">
        <v>105</v>
      </c>
      <c r="S524" s="4" t="s">
        <v>25</v>
      </c>
      <c r="T524" s="4" t="s">
        <v>106</v>
      </c>
    </row>
    <row r="525" spans="1:20" x14ac:dyDescent="0.45">
      <c r="A525" s="4" t="s">
        <v>677</v>
      </c>
      <c r="B525" s="4" t="s">
        <v>648</v>
      </c>
      <c r="C525" s="5">
        <v>2</v>
      </c>
      <c r="D525" s="5">
        <v>210</v>
      </c>
      <c r="E525" s="5">
        <v>34</v>
      </c>
      <c r="F525" s="5">
        <v>0</v>
      </c>
      <c r="G525" s="5">
        <v>0</v>
      </c>
      <c r="H525" s="5">
        <v>210</v>
      </c>
      <c r="I525" s="6">
        <v>1</v>
      </c>
      <c r="J525" s="6">
        <v>4.5999999999999996</v>
      </c>
      <c r="K525" s="6">
        <v>11</v>
      </c>
      <c r="L525" s="6">
        <v>11.1</v>
      </c>
      <c r="M525" s="4" t="str">
        <f t="shared" si="24"/>
        <v>OK</v>
      </c>
      <c r="N525" s="7">
        <f t="shared" si="25"/>
        <v>7.2618878833671644E-4</v>
      </c>
      <c r="O525" s="7">
        <f>SUMIFS($D$2:D525,$B$2:B525,B525)/SUMIFS($D$2:$D$741,$B$2:$B$741,B525)</f>
        <v>0.99939830071823532</v>
      </c>
      <c r="P525" s="4" t="b">
        <f t="shared" si="26"/>
        <v>0</v>
      </c>
      <c r="Q525" s="4" t="s">
        <v>192</v>
      </c>
      <c r="R525" s="4" t="s">
        <v>649</v>
      </c>
      <c r="S525" s="4" t="s">
        <v>25</v>
      </c>
      <c r="T525" s="4" t="s">
        <v>650</v>
      </c>
    </row>
    <row r="526" spans="1:20" x14ac:dyDescent="0.45">
      <c r="A526" s="4" t="s">
        <v>678</v>
      </c>
      <c r="B526" s="4" t="s">
        <v>648</v>
      </c>
      <c r="C526" s="5">
        <v>2</v>
      </c>
      <c r="D526" s="5">
        <v>129</v>
      </c>
      <c r="E526" s="5">
        <v>21</v>
      </c>
      <c r="F526" s="5">
        <v>0</v>
      </c>
      <c r="G526" s="5">
        <v>0</v>
      </c>
      <c r="H526" s="5">
        <v>129</v>
      </c>
      <c r="I526" s="6">
        <v>1</v>
      </c>
      <c r="J526" s="6">
        <v>1.8</v>
      </c>
      <c r="K526" s="6">
        <v>4</v>
      </c>
      <c r="L526" s="6">
        <v>4</v>
      </c>
      <c r="M526" s="4" t="str">
        <f t="shared" si="24"/>
        <v>OK</v>
      </c>
      <c r="N526" s="7">
        <f t="shared" si="25"/>
        <v>4.4608739854969727E-4</v>
      </c>
      <c r="O526" s="7">
        <f>SUMIFS($D$2:D526,$B$2:B526,B526)/SUMIFS($D$2:$D$741,$B$2:$B$741,B526)</f>
        <v>0.999844388116785</v>
      </c>
      <c r="P526" s="4" t="b">
        <f t="shared" si="26"/>
        <v>0</v>
      </c>
      <c r="Q526" s="4" t="s">
        <v>23</v>
      </c>
      <c r="R526" s="4" t="s">
        <v>105</v>
      </c>
      <c r="S526" s="4" t="s">
        <v>25</v>
      </c>
      <c r="T526" s="4" t="s">
        <v>106</v>
      </c>
    </row>
    <row r="527" spans="1:20" x14ac:dyDescent="0.45">
      <c r="A527" s="4" t="s">
        <v>679</v>
      </c>
      <c r="B527" s="4" t="s">
        <v>648</v>
      </c>
      <c r="C527" s="5">
        <v>1</v>
      </c>
      <c r="D527" s="5">
        <v>45</v>
      </c>
      <c r="E527" s="5">
        <v>16</v>
      </c>
      <c r="F527" s="5">
        <v>0</v>
      </c>
      <c r="G527" s="5">
        <v>0</v>
      </c>
      <c r="H527" s="5">
        <v>45</v>
      </c>
      <c r="I527" s="6">
        <v>2</v>
      </c>
      <c r="J527" s="6">
        <v>3.6</v>
      </c>
      <c r="K527" s="6">
        <v>10</v>
      </c>
      <c r="L527" s="6">
        <v>9.8000000000000007</v>
      </c>
      <c r="M527" s="4" t="str">
        <f t="shared" si="24"/>
        <v>OK</v>
      </c>
      <c r="N527" s="7">
        <f t="shared" si="25"/>
        <v>1.5561188321501067E-4</v>
      </c>
      <c r="O527" s="7">
        <f>SUMIFS($D$2:D527,$B$2:B527,B527)/SUMIFS($D$2:$D$741,$B$2:$B$741,B527)</f>
        <v>1</v>
      </c>
      <c r="P527" s="4" t="b">
        <f t="shared" si="26"/>
        <v>0</v>
      </c>
      <c r="Q527" s="4" t="s">
        <v>192</v>
      </c>
      <c r="R527" s="4" t="s">
        <v>649</v>
      </c>
      <c r="S527" s="4" t="s">
        <v>109</v>
      </c>
      <c r="T527" s="4" t="s">
        <v>680</v>
      </c>
    </row>
    <row r="528" spans="1:20" x14ac:dyDescent="0.45">
      <c r="A528" s="9" t="s">
        <v>681</v>
      </c>
      <c r="B528" s="9" t="s">
        <v>682</v>
      </c>
      <c r="C528" s="10">
        <v>2</v>
      </c>
      <c r="D528" s="10">
        <v>202</v>
      </c>
      <c r="E528" s="10">
        <v>0</v>
      </c>
      <c r="F528" s="10">
        <v>0</v>
      </c>
      <c r="G528" s="10">
        <v>0</v>
      </c>
      <c r="H528" s="10">
        <v>202</v>
      </c>
      <c r="I528" s="11">
        <v>4</v>
      </c>
      <c r="J528" s="11">
        <v>10.8</v>
      </c>
      <c r="K528" s="11">
        <v>29</v>
      </c>
      <c r="L528" s="11">
        <v>28.9</v>
      </c>
      <c r="M528" s="9" t="str">
        <f t="shared" si="24"/>
        <v>OK</v>
      </c>
      <c r="N528" s="12">
        <f t="shared" si="25"/>
        <v>0.60119047619047616</v>
      </c>
      <c r="O528" s="12">
        <f>SUMIFS($D$2:D528,$B$2:B528,B528)/SUMIFS($D$2:$D$741,$B$2:$B$741,B528)</f>
        <v>0.60119047619047616</v>
      </c>
      <c r="P528" s="9" t="b">
        <f t="shared" si="26"/>
        <v>1</v>
      </c>
      <c r="Q528" s="9" t="s">
        <v>23</v>
      </c>
      <c r="R528" s="9" t="s">
        <v>100</v>
      </c>
      <c r="S528" s="9" t="s">
        <v>25</v>
      </c>
      <c r="T528" s="9" t="s">
        <v>101</v>
      </c>
    </row>
    <row r="529" spans="1:20" x14ac:dyDescent="0.45">
      <c r="A529" s="4" t="s">
        <v>683</v>
      </c>
      <c r="B529" s="4" t="s">
        <v>682</v>
      </c>
      <c r="C529" s="5">
        <v>2</v>
      </c>
      <c r="D529" s="5">
        <v>89</v>
      </c>
      <c r="E529" s="5">
        <v>0</v>
      </c>
      <c r="F529" s="5">
        <v>0</v>
      </c>
      <c r="G529" s="5">
        <v>0</v>
      </c>
      <c r="H529" s="5">
        <v>88</v>
      </c>
      <c r="I529" s="6">
        <v>8.5</v>
      </c>
      <c r="J529" s="6">
        <v>126.8</v>
      </c>
      <c r="K529" s="6">
        <v>879</v>
      </c>
      <c r="L529" s="6">
        <v>876.9</v>
      </c>
      <c r="M529" s="4" t="str">
        <f t="shared" si="24"/>
        <v>OK</v>
      </c>
      <c r="N529" s="7">
        <f t="shared" si="25"/>
        <v>0.26488095238095238</v>
      </c>
      <c r="O529" s="7">
        <f>SUMIFS($D$2:D529,$B$2:B529,B529)/SUMIFS($D$2:$D$741,$B$2:$B$741,B529)</f>
        <v>0.8660714285714286</v>
      </c>
      <c r="P529" s="4" t="b">
        <f t="shared" si="26"/>
        <v>1</v>
      </c>
      <c r="Q529" s="4" t="s">
        <v>23</v>
      </c>
      <c r="R529" s="4" t="s">
        <v>289</v>
      </c>
      <c r="S529" s="4" t="s">
        <v>25</v>
      </c>
      <c r="T529" s="4" t="s">
        <v>290</v>
      </c>
    </row>
    <row r="530" spans="1:20" x14ac:dyDescent="0.45">
      <c r="A530" s="4" t="s">
        <v>684</v>
      </c>
      <c r="B530" s="4" t="s">
        <v>682</v>
      </c>
      <c r="C530" s="5">
        <v>2</v>
      </c>
      <c r="D530" s="5">
        <v>37</v>
      </c>
      <c r="E530" s="5">
        <v>0</v>
      </c>
      <c r="F530" s="5">
        <v>0</v>
      </c>
      <c r="G530" s="5">
        <v>0</v>
      </c>
      <c r="H530" s="5">
        <v>37</v>
      </c>
      <c r="I530" s="6">
        <v>5</v>
      </c>
      <c r="J530" s="6">
        <v>8.8000000000000007</v>
      </c>
      <c r="K530" s="6">
        <v>14</v>
      </c>
      <c r="L530" s="6">
        <v>13.8</v>
      </c>
      <c r="M530" s="4" t="str">
        <f t="shared" si="24"/>
        <v>OK</v>
      </c>
      <c r="N530" s="7">
        <f t="shared" si="25"/>
        <v>0.11011904761904762</v>
      </c>
      <c r="O530" s="7">
        <f>SUMIFS($D$2:D530,$B$2:B530,B530)/SUMIFS($D$2:$D$741,$B$2:$B$741,B530)</f>
        <v>0.97619047619047616</v>
      </c>
      <c r="P530" s="4" t="b">
        <f t="shared" si="26"/>
        <v>1</v>
      </c>
      <c r="Q530" s="4" t="s">
        <v>23</v>
      </c>
      <c r="R530" s="4" t="s">
        <v>289</v>
      </c>
      <c r="S530" s="4" t="s">
        <v>25</v>
      </c>
      <c r="T530" s="4" t="s">
        <v>290</v>
      </c>
    </row>
    <row r="531" spans="1:20" x14ac:dyDescent="0.45">
      <c r="A531" s="4" t="s">
        <v>685</v>
      </c>
      <c r="B531" s="4" t="s">
        <v>682</v>
      </c>
      <c r="C531" s="5">
        <v>2</v>
      </c>
      <c r="D531" s="5">
        <v>8</v>
      </c>
      <c r="E531" s="5">
        <v>0</v>
      </c>
      <c r="F531" s="5">
        <v>0</v>
      </c>
      <c r="G531" s="5">
        <v>0</v>
      </c>
      <c r="H531" s="5">
        <v>8</v>
      </c>
      <c r="I531" s="6">
        <v>17.5</v>
      </c>
      <c r="J531" s="6">
        <v>159.80000000000001</v>
      </c>
      <c r="K531" s="6">
        <v>496</v>
      </c>
      <c r="L531" s="6">
        <v>496.3</v>
      </c>
      <c r="M531" s="4" t="str">
        <f t="shared" si="24"/>
        <v>OK</v>
      </c>
      <c r="N531" s="7">
        <f t="shared" si="25"/>
        <v>2.3809523809523808E-2</v>
      </c>
      <c r="O531" s="7">
        <f>SUMIFS($D$2:D531,$B$2:B531,B531)/SUMIFS($D$2:$D$741,$B$2:$B$741,B531)</f>
        <v>1</v>
      </c>
      <c r="P531" s="4" t="b">
        <f t="shared" si="26"/>
        <v>0</v>
      </c>
      <c r="Q531" s="4" t="s">
        <v>23</v>
      </c>
      <c r="R531" s="4" t="s">
        <v>289</v>
      </c>
      <c r="S531" s="4" t="s">
        <v>25</v>
      </c>
      <c r="T531" s="4" t="s">
        <v>290</v>
      </c>
    </row>
    <row r="532" spans="1:20" x14ac:dyDescent="0.45">
      <c r="A532" s="9" t="s">
        <v>686</v>
      </c>
      <c r="B532" s="9" t="s">
        <v>687</v>
      </c>
      <c r="C532" s="10">
        <v>2</v>
      </c>
      <c r="D532" s="10">
        <v>25079</v>
      </c>
      <c r="E532" s="10">
        <v>4422</v>
      </c>
      <c r="F532" s="10">
        <v>5</v>
      </c>
      <c r="G532" s="10">
        <v>0</v>
      </c>
      <c r="H532" s="10">
        <v>25074</v>
      </c>
      <c r="I532" s="11">
        <v>0</v>
      </c>
      <c r="J532" s="11">
        <v>0.6</v>
      </c>
      <c r="K532" s="11">
        <v>1</v>
      </c>
      <c r="L532" s="11">
        <v>1</v>
      </c>
      <c r="M532" s="9" t="str">
        <f t="shared" si="24"/>
        <v>OK</v>
      </c>
      <c r="N532" s="12">
        <f t="shared" si="25"/>
        <v>0.16503576575568732</v>
      </c>
      <c r="O532" s="12">
        <f>SUMIFS($D$2:D532,$B$2:B532,B532)/SUMIFS($D$2:$D$741,$B$2:$B$741,B532)</f>
        <v>0.16503576575568732</v>
      </c>
      <c r="P532" s="9" t="b">
        <f t="shared" si="26"/>
        <v>1</v>
      </c>
      <c r="Q532" s="9" t="s">
        <v>192</v>
      </c>
      <c r="R532" s="9" t="s">
        <v>688</v>
      </c>
      <c r="S532" s="9" t="s">
        <v>25</v>
      </c>
      <c r="T532" s="9" t="s">
        <v>689</v>
      </c>
    </row>
    <row r="533" spans="1:20" x14ac:dyDescent="0.45">
      <c r="A533" s="4" t="s">
        <v>690</v>
      </c>
      <c r="B533" s="4" t="s">
        <v>687</v>
      </c>
      <c r="C533" s="5">
        <v>2</v>
      </c>
      <c r="D533" s="5">
        <v>14891</v>
      </c>
      <c r="E533" s="5">
        <v>3324</v>
      </c>
      <c r="F533" s="5">
        <v>146</v>
      </c>
      <c r="G533" s="5">
        <v>0</v>
      </c>
      <c r="H533" s="5">
        <v>14724</v>
      </c>
      <c r="I533" s="6">
        <v>11</v>
      </c>
      <c r="J533" s="6">
        <v>11.8</v>
      </c>
      <c r="K533" s="6">
        <v>25</v>
      </c>
      <c r="L533" s="6">
        <v>25</v>
      </c>
      <c r="M533" s="4" t="str">
        <f t="shared" si="24"/>
        <v>OK</v>
      </c>
      <c r="N533" s="7">
        <f t="shared" si="25"/>
        <v>9.7992248011002828E-2</v>
      </c>
      <c r="O533" s="7">
        <f>SUMIFS($D$2:D533,$B$2:B533,B533)/SUMIFS($D$2:$D$741,$B$2:$B$741,B533)</f>
        <v>0.26302801376669016</v>
      </c>
      <c r="P533" s="4" t="b">
        <f t="shared" si="26"/>
        <v>1</v>
      </c>
      <c r="Q533" s="4" t="s">
        <v>192</v>
      </c>
      <c r="R533" s="4" t="s">
        <v>688</v>
      </c>
      <c r="S533" s="4" t="s">
        <v>25</v>
      </c>
      <c r="T533" s="4" t="s">
        <v>689</v>
      </c>
    </row>
    <row r="534" spans="1:20" x14ac:dyDescent="0.45">
      <c r="A534" s="4" t="s">
        <v>691</v>
      </c>
      <c r="B534" s="4" t="s">
        <v>687</v>
      </c>
      <c r="C534" s="5">
        <v>2</v>
      </c>
      <c r="D534" s="5">
        <v>13039</v>
      </c>
      <c r="E534" s="5">
        <v>2387</v>
      </c>
      <c r="F534" s="5">
        <v>25</v>
      </c>
      <c r="G534" s="5">
        <v>7</v>
      </c>
      <c r="H534" s="5">
        <v>12869</v>
      </c>
      <c r="I534" s="6">
        <v>3</v>
      </c>
      <c r="J534" s="6">
        <v>6.7</v>
      </c>
      <c r="K534" s="6">
        <v>14</v>
      </c>
      <c r="L534" s="6">
        <v>14</v>
      </c>
      <c r="M534" s="4" t="str">
        <f t="shared" si="24"/>
        <v>OK</v>
      </c>
      <c r="N534" s="7">
        <f t="shared" si="25"/>
        <v>8.580491047044965E-2</v>
      </c>
      <c r="O534" s="7">
        <f>SUMIFS($D$2:D534,$B$2:B534,B534)/SUMIFS($D$2:$D$741,$B$2:$B$741,B534)</f>
        <v>0.3488329242371398</v>
      </c>
      <c r="P534" s="4" t="b">
        <f t="shared" si="26"/>
        <v>1</v>
      </c>
      <c r="Q534" s="4" t="s">
        <v>192</v>
      </c>
      <c r="R534" s="4" t="s">
        <v>688</v>
      </c>
      <c r="S534" s="4" t="s">
        <v>25</v>
      </c>
      <c r="T534" s="4" t="s">
        <v>689</v>
      </c>
    </row>
    <row r="535" spans="1:20" x14ac:dyDescent="0.45">
      <c r="A535" s="4" t="s">
        <v>692</v>
      </c>
      <c r="B535" s="4" t="s">
        <v>687</v>
      </c>
      <c r="C535" s="5">
        <v>2</v>
      </c>
      <c r="D535" s="5">
        <v>9672</v>
      </c>
      <c r="E535" s="5">
        <v>2103</v>
      </c>
      <c r="F535" s="5">
        <v>398</v>
      </c>
      <c r="G535" s="5">
        <v>187</v>
      </c>
      <c r="H535" s="5">
        <v>9274</v>
      </c>
      <c r="I535" s="6">
        <v>87</v>
      </c>
      <c r="J535" s="6">
        <v>103.9</v>
      </c>
      <c r="K535" s="6">
        <v>224</v>
      </c>
      <c r="L535" s="6">
        <v>224</v>
      </c>
      <c r="M535" s="4" t="str">
        <f t="shared" si="24"/>
        <v>OK</v>
      </c>
      <c r="N535" s="7">
        <f t="shared" si="25"/>
        <v>6.3647909661031454E-2</v>
      </c>
      <c r="O535" s="7">
        <f>SUMIFS($D$2:D535,$B$2:B535,B535)/SUMIFS($D$2:$D$741,$B$2:$B$741,B535)</f>
        <v>0.41248083389817125</v>
      </c>
      <c r="P535" s="4" t="b">
        <f t="shared" si="26"/>
        <v>1</v>
      </c>
      <c r="Q535" s="4" t="s">
        <v>192</v>
      </c>
      <c r="R535" s="4" t="s">
        <v>688</v>
      </c>
      <c r="S535" s="4" t="s">
        <v>25</v>
      </c>
      <c r="T535" s="4" t="s">
        <v>689</v>
      </c>
    </row>
    <row r="536" spans="1:20" x14ac:dyDescent="0.45">
      <c r="A536" s="4" t="s">
        <v>693</v>
      </c>
      <c r="B536" s="4" t="s">
        <v>687</v>
      </c>
      <c r="C536" s="5">
        <v>2</v>
      </c>
      <c r="D536" s="5">
        <v>8915</v>
      </c>
      <c r="E536" s="5">
        <v>2342</v>
      </c>
      <c r="F536" s="5">
        <v>124</v>
      </c>
      <c r="G536" s="5">
        <v>1</v>
      </c>
      <c r="H536" s="5">
        <v>8788</v>
      </c>
      <c r="I536" s="6">
        <v>13</v>
      </c>
      <c r="J536" s="6">
        <v>33.1</v>
      </c>
      <c r="K536" s="6">
        <v>55</v>
      </c>
      <c r="L536" s="6">
        <v>54</v>
      </c>
      <c r="M536" s="4" t="str">
        <f t="shared" si="24"/>
        <v>OK</v>
      </c>
      <c r="N536" s="7">
        <f t="shared" si="25"/>
        <v>5.8666368344509445E-2</v>
      </c>
      <c r="O536" s="7">
        <f>SUMIFS($D$2:D536,$B$2:B536,B536)/SUMIFS($D$2:$D$741,$B$2:$B$741,B536)</f>
        <v>0.4711472022426807</v>
      </c>
      <c r="P536" s="4" t="b">
        <f t="shared" si="26"/>
        <v>1</v>
      </c>
      <c r="Q536" s="4" t="s">
        <v>192</v>
      </c>
      <c r="R536" s="4" t="s">
        <v>688</v>
      </c>
      <c r="S536" s="4" t="s">
        <v>25</v>
      </c>
      <c r="T536" s="4" t="s">
        <v>689</v>
      </c>
    </row>
    <row r="537" spans="1:20" x14ac:dyDescent="0.45">
      <c r="A537" s="4" t="s">
        <v>694</v>
      </c>
      <c r="B537" s="4" t="s">
        <v>687</v>
      </c>
      <c r="C537" s="5">
        <v>2</v>
      </c>
      <c r="D537" s="5">
        <v>8470</v>
      </c>
      <c r="E537" s="5">
        <v>1675</v>
      </c>
      <c r="F537" s="5">
        <v>10</v>
      </c>
      <c r="G537" s="5">
        <v>8</v>
      </c>
      <c r="H537" s="5">
        <v>7516</v>
      </c>
      <c r="I537" s="6">
        <v>0</v>
      </c>
      <c r="J537" s="6">
        <v>1.2</v>
      </c>
      <c r="K537" s="6">
        <v>1</v>
      </c>
      <c r="L537" s="6">
        <v>1</v>
      </c>
      <c r="M537" s="4" t="str">
        <f t="shared" si="24"/>
        <v>OK</v>
      </c>
      <c r="N537" s="7">
        <f t="shared" si="25"/>
        <v>5.5737985404149752E-2</v>
      </c>
      <c r="O537" s="7">
        <f>SUMIFS($D$2:D537,$B$2:B537,B537)/SUMIFS($D$2:$D$741,$B$2:$B$741,B537)</f>
        <v>0.52688518764683046</v>
      </c>
      <c r="P537" s="4" t="b">
        <f t="shared" si="26"/>
        <v>1</v>
      </c>
      <c r="Q537" s="4" t="s">
        <v>192</v>
      </c>
      <c r="R537" s="4" t="s">
        <v>688</v>
      </c>
      <c r="S537" s="4" t="s">
        <v>25</v>
      </c>
      <c r="T537" s="4" t="s">
        <v>689</v>
      </c>
    </row>
    <row r="538" spans="1:20" x14ac:dyDescent="0.45">
      <c r="A538" s="4" t="s">
        <v>695</v>
      </c>
      <c r="B538" s="4" t="s">
        <v>687</v>
      </c>
      <c r="C538" s="5">
        <v>2</v>
      </c>
      <c r="D538" s="5">
        <v>5592</v>
      </c>
      <c r="E538" s="5">
        <v>1043</v>
      </c>
      <c r="F538" s="5">
        <v>34</v>
      </c>
      <c r="G538" s="5">
        <v>2</v>
      </c>
      <c r="H538" s="5">
        <v>5557</v>
      </c>
      <c r="I538" s="6">
        <v>20</v>
      </c>
      <c r="J538" s="6">
        <v>58</v>
      </c>
      <c r="K538" s="6">
        <v>149</v>
      </c>
      <c r="L538" s="6">
        <v>149</v>
      </c>
      <c r="M538" s="4" t="str">
        <f t="shared" si="24"/>
        <v>OK</v>
      </c>
      <c r="N538" s="7">
        <f t="shared" si="25"/>
        <v>3.6798915511216695E-2</v>
      </c>
      <c r="O538" s="7">
        <f>SUMIFS($D$2:D538,$B$2:B538,B538)/SUMIFS($D$2:$D$741,$B$2:$B$741,B538)</f>
        <v>0.56368410315804718</v>
      </c>
      <c r="P538" s="4" t="b">
        <f t="shared" si="26"/>
        <v>1</v>
      </c>
      <c r="Q538" s="4" t="s">
        <v>192</v>
      </c>
      <c r="R538" s="4" t="s">
        <v>688</v>
      </c>
      <c r="S538" s="4" t="s">
        <v>109</v>
      </c>
      <c r="T538" s="4" t="s">
        <v>696</v>
      </c>
    </row>
    <row r="539" spans="1:20" x14ac:dyDescent="0.45">
      <c r="A539" s="4" t="s">
        <v>697</v>
      </c>
      <c r="B539" s="4" t="s">
        <v>687</v>
      </c>
      <c r="C539" s="5">
        <v>2</v>
      </c>
      <c r="D539" s="5">
        <v>4107</v>
      </c>
      <c r="E539" s="5">
        <v>937</v>
      </c>
      <c r="F539" s="5">
        <v>15</v>
      </c>
      <c r="G539" s="5">
        <v>6</v>
      </c>
      <c r="H539" s="5">
        <v>3390</v>
      </c>
      <c r="I539" s="6">
        <v>1</v>
      </c>
      <c r="J539" s="6">
        <v>2.9</v>
      </c>
      <c r="K539" s="6">
        <v>3</v>
      </c>
      <c r="L539" s="6">
        <v>3</v>
      </c>
      <c r="M539" s="4" t="str">
        <f t="shared" si="24"/>
        <v>OK</v>
      </c>
      <c r="N539" s="7">
        <f t="shared" si="25"/>
        <v>2.7026671316982647E-2</v>
      </c>
      <c r="O539" s="7">
        <f>SUMIFS($D$2:D539,$B$2:B539,B539)/SUMIFS($D$2:$D$741,$B$2:$B$741,B539)</f>
        <v>0.59071077447502973</v>
      </c>
      <c r="P539" s="4" t="b">
        <f t="shared" si="26"/>
        <v>1</v>
      </c>
      <c r="Q539" s="4" t="s">
        <v>192</v>
      </c>
      <c r="R539" s="4" t="s">
        <v>688</v>
      </c>
      <c r="S539" s="4" t="s">
        <v>25</v>
      </c>
      <c r="T539" s="4" t="s">
        <v>689</v>
      </c>
    </row>
    <row r="540" spans="1:20" x14ac:dyDescent="0.45">
      <c r="A540" s="4" t="s">
        <v>698</v>
      </c>
      <c r="B540" s="4" t="s">
        <v>687</v>
      </c>
      <c r="C540" s="5">
        <v>2</v>
      </c>
      <c r="D540" s="5">
        <v>3870</v>
      </c>
      <c r="E540" s="5">
        <v>900</v>
      </c>
      <c r="F540" s="5">
        <v>35</v>
      </c>
      <c r="G540" s="5">
        <v>5</v>
      </c>
      <c r="H540" s="5">
        <v>3831</v>
      </c>
      <c r="I540" s="6">
        <v>9</v>
      </c>
      <c r="J540" s="6">
        <v>56.4</v>
      </c>
      <c r="K540" s="6">
        <v>170</v>
      </c>
      <c r="L540" s="6">
        <v>167</v>
      </c>
      <c r="M540" s="4" t="str">
        <f t="shared" si="24"/>
        <v>OK</v>
      </c>
      <c r="N540" s="7">
        <f t="shared" si="25"/>
        <v>2.5467060627397821E-2</v>
      </c>
      <c r="O540" s="7">
        <f>SUMIFS($D$2:D540,$B$2:B540,B540)/SUMIFS($D$2:$D$741,$B$2:$B$741,B540)</f>
        <v>0.61617783510242763</v>
      </c>
      <c r="P540" s="4" t="b">
        <f t="shared" si="26"/>
        <v>1</v>
      </c>
      <c r="Q540" s="4" t="s">
        <v>192</v>
      </c>
      <c r="R540" s="4" t="s">
        <v>688</v>
      </c>
      <c r="S540" s="4" t="s">
        <v>109</v>
      </c>
      <c r="T540" s="4" t="s">
        <v>699</v>
      </c>
    </row>
    <row r="541" spans="1:20" x14ac:dyDescent="0.45">
      <c r="A541" s="4" t="s">
        <v>700</v>
      </c>
      <c r="B541" s="4" t="s">
        <v>687</v>
      </c>
      <c r="C541" s="5">
        <v>2</v>
      </c>
      <c r="D541" s="5">
        <v>3720</v>
      </c>
      <c r="E541" s="5">
        <v>908</v>
      </c>
      <c r="F541" s="5">
        <v>21</v>
      </c>
      <c r="G541" s="5">
        <v>11</v>
      </c>
      <c r="H541" s="5">
        <v>3699</v>
      </c>
      <c r="I541" s="6">
        <v>3</v>
      </c>
      <c r="J541" s="6">
        <v>13.7</v>
      </c>
      <c r="K541" s="6">
        <v>29</v>
      </c>
      <c r="L541" s="6">
        <v>29</v>
      </c>
      <c r="M541" s="4" t="str">
        <f t="shared" si="24"/>
        <v>OK</v>
      </c>
      <c r="N541" s="7">
        <f t="shared" si="25"/>
        <v>2.4479965254242866E-2</v>
      </c>
      <c r="O541" s="7">
        <f>SUMIFS($D$2:D541,$B$2:B541,B541)/SUMIFS($D$2:$D$741,$B$2:$B$741,B541)</f>
        <v>0.64065780035667041</v>
      </c>
      <c r="P541" s="4" t="b">
        <f t="shared" si="26"/>
        <v>1</v>
      </c>
      <c r="Q541" s="4" t="s">
        <v>192</v>
      </c>
      <c r="R541" s="4" t="s">
        <v>688</v>
      </c>
      <c r="S541" s="4" t="s">
        <v>25</v>
      </c>
      <c r="T541" s="4" t="s">
        <v>689</v>
      </c>
    </row>
    <row r="542" spans="1:20" x14ac:dyDescent="0.45">
      <c r="A542" s="4" t="s">
        <v>701</v>
      </c>
      <c r="B542" s="4" t="s">
        <v>687</v>
      </c>
      <c r="C542" s="5">
        <v>2</v>
      </c>
      <c r="D542" s="5">
        <v>3622</v>
      </c>
      <c r="E542" s="5">
        <v>0</v>
      </c>
      <c r="F542" s="5">
        <v>0</v>
      </c>
      <c r="G542" s="5">
        <v>0</v>
      </c>
      <c r="H542" s="5">
        <v>3622</v>
      </c>
      <c r="I542" s="6">
        <v>1</v>
      </c>
      <c r="J542" s="6">
        <v>8</v>
      </c>
      <c r="K542" s="6">
        <v>6</v>
      </c>
      <c r="L542" s="6">
        <v>6</v>
      </c>
      <c r="M542" s="4" t="str">
        <f t="shared" si="24"/>
        <v>OK</v>
      </c>
      <c r="N542" s="7">
        <f t="shared" si="25"/>
        <v>2.383506294378163E-2</v>
      </c>
      <c r="O542" s="7">
        <f>SUMIFS($D$2:D542,$B$2:B542,B542)/SUMIFS($D$2:$D$741,$B$2:$B$741,B542)</f>
        <v>0.6644928633004521</v>
      </c>
      <c r="P542" s="4" t="b">
        <f t="shared" si="26"/>
        <v>1</v>
      </c>
      <c r="Q542" s="4" t="s">
        <v>23</v>
      </c>
      <c r="R542" s="4" t="s">
        <v>289</v>
      </c>
      <c r="S542" s="4" t="s">
        <v>25</v>
      </c>
      <c r="T542" s="4" t="s">
        <v>290</v>
      </c>
    </row>
    <row r="543" spans="1:20" x14ac:dyDescent="0.45">
      <c r="A543" s="4" t="s">
        <v>702</v>
      </c>
      <c r="B543" s="4" t="s">
        <v>687</v>
      </c>
      <c r="C543" s="5">
        <v>2</v>
      </c>
      <c r="D543" s="5">
        <v>3618</v>
      </c>
      <c r="E543" s="5">
        <v>759</v>
      </c>
      <c r="F543" s="5">
        <v>6</v>
      </c>
      <c r="G543" s="5">
        <v>6</v>
      </c>
      <c r="H543" s="5">
        <v>3612</v>
      </c>
      <c r="I543" s="6">
        <v>0</v>
      </c>
      <c r="J543" s="6">
        <v>0.7</v>
      </c>
      <c r="K543" s="6">
        <v>0</v>
      </c>
      <c r="L543" s="6">
        <v>0</v>
      </c>
      <c r="M543" s="4" t="str">
        <f t="shared" si="24"/>
        <v>OK</v>
      </c>
      <c r="N543" s="7">
        <f t="shared" si="25"/>
        <v>2.3808740400497495E-2</v>
      </c>
      <c r="O543" s="7">
        <f>SUMIFS($D$2:D543,$B$2:B543,B543)/SUMIFS($D$2:$D$741,$B$2:$B$741,B543)</f>
        <v>0.68830160370094962</v>
      </c>
      <c r="P543" s="4" t="b">
        <f t="shared" si="26"/>
        <v>1</v>
      </c>
      <c r="Q543" s="4" t="s">
        <v>192</v>
      </c>
      <c r="R543" s="4" t="s">
        <v>688</v>
      </c>
      <c r="S543" s="4" t="s">
        <v>25</v>
      </c>
      <c r="T543" s="4" t="s">
        <v>689</v>
      </c>
    </row>
    <row r="544" spans="1:20" x14ac:dyDescent="0.45">
      <c r="A544" s="4" t="s">
        <v>703</v>
      </c>
      <c r="B544" s="4" t="s">
        <v>687</v>
      </c>
      <c r="C544" s="5">
        <v>2</v>
      </c>
      <c r="D544" s="5">
        <v>3544</v>
      </c>
      <c r="E544" s="5">
        <v>693</v>
      </c>
      <c r="F544" s="5">
        <v>28</v>
      </c>
      <c r="G544" s="5">
        <v>6</v>
      </c>
      <c r="H544" s="5">
        <v>3479</v>
      </c>
      <c r="I544" s="6">
        <v>3</v>
      </c>
      <c r="J544" s="6">
        <v>9.4</v>
      </c>
      <c r="K544" s="6">
        <v>20</v>
      </c>
      <c r="L544" s="6">
        <v>20</v>
      </c>
      <c r="M544" s="4" t="str">
        <f t="shared" si="24"/>
        <v>OK</v>
      </c>
      <c r="N544" s="7">
        <f t="shared" si="25"/>
        <v>2.3321773349741053E-2</v>
      </c>
      <c r="O544" s="7">
        <f>SUMIFS($D$2:D544,$B$2:B544,B544)/SUMIFS($D$2:$D$741,$B$2:$B$741,B544)</f>
        <v>0.71162337705069068</v>
      </c>
      <c r="P544" s="4" t="b">
        <f t="shared" si="26"/>
        <v>1</v>
      </c>
      <c r="Q544" s="4" t="s">
        <v>192</v>
      </c>
      <c r="R544" s="4" t="s">
        <v>688</v>
      </c>
      <c r="S544" s="4" t="s">
        <v>109</v>
      </c>
      <c r="T544" s="4" t="s">
        <v>704</v>
      </c>
    </row>
    <row r="545" spans="1:20" x14ac:dyDescent="0.45">
      <c r="A545" s="4" t="s">
        <v>705</v>
      </c>
      <c r="B545" s="4" t="s">
        <v>687</v>
      </c>
      <c r="C545" s="5">
        <v>2</v>
      </c>
      <c r="D545" s="5">
        <v>3286</v>
      </c>
      <c r="E545" s="5">
        <v>652</v>
      </c>
      <c r="F545" s="5">
        <v>8</v>
      </c>
      <c r="G545" s="5">
        <v>1</v>
      </c>
      <c r="H545" s="5">
        <v>3278</v>
      </c>
      <c r="I545" s="6">
        <v>2</v>
      </c>
      <c r="J545" s="6">
        <v>6.6</v>
      </c>
      <c r="K545" s="6">
        <v>11</v>
      </c>
      <c r="L545" s="6">
        <v>11</v>
      </c>
      <c r="M545" s="4" t="str">
        <f t="shared" si="24"/>
        <v>OK</v>
      </c>
      <c r="N545" s="7">
        <f t="shared" si="25"/>
        <v>2.1623969307914531E-2</v>
      </c>
      <c r="O545" s="7">
        <f>SUMIFS($D$2:D545,$B$2:B545,B545)/SUMIFS($D$2:$D$741,$B$2:$B$741,B545)</f>
        <v>0.73324734635860522</v>
      </c>
      <c r="P545" s="4" t="b">
        <f t="shared" si="26"/>
        <v>1</v>
      </c>
      <c r="Q545" s="4" t="s">
        <v>23</v>
      </c>
      <c r="R545" s="4" t="s">
        <v>30</v>
      </c>
      <c r="S545" s="4" t="s">
        <v>109</v>
      </c>
      <c r="T545" s="4" t="s">
        <v>706</v>
      </c>
    </row>
    <row r="546" spans="1:20" x14ac:dyDescent="0.45">
      <c r="A546" s="4" t="s">
        <v>707</v>
      </c>
      <c r="B546" s="4" t="s">
        <v>687</v>
      </c>
      <c r="C546" s="5">
        <v>2</v>
      </c>
      <c r="D546" s="5">
        <v>3091</v>
      </c>
      <c r="E546" s="5">
        <v>791</v>
      </c>
      <c r="F546" s="5">
        <v>12</v>
      </c>
      <c r="G546" s="5">
        <v>9</v>
      </c>
      <c r="H546" s="5">
        <v>3079</v>
      </c>
      <c r="I546" s="6">
        <v>1</v>
      </c>
      <c r="J546" s="6">
        <v>4.5999999999999996</v>
      </c>
      <c r="K546" s="6">
        <v>3</v>
      </c>
      <c r="L546" s="6">
        <v>3</v>
      </c>
      <c r="M546" s="4" t="str">
        <f t="shared" si="24"/>
        <v>OK</v>
      </c>
      <c r="N546" s="7">
        <f t="shared" si="25"/>
        <v>2.0340745322813089E-2</v>
      </c>
      <c r="O546" s="7">
        <f>SUMIFS($D$2:D546,$B$2:B546,B546)/SUMIFS($D$2:$D$741,$B$2:$B$741,B546)</f>
        <v>0.75358809168141827</v>
      </c>
      <c r="P546" s="4" t="b">
        <f t="shared" si="26"/>
        <v>1</v>
      </c>
      <c r="Q546" s="4" t="s">
        <v>192</v>
      </c>
      <c r="R546" s="4" t="s">
        <v>193</v>
      </c>
      <c r="S546" s="4" t="s">
        <v>25</v>
      </c>
      <c r="T546" s="4" t="s">
        <v>194</v>
      </c>
    </row>
    <row r="547" spans="1:20" x14ac:dyDescent="0.45">
      <c r="A547" s="4" t="s">
        <v>708</v>
      </c>
      <c r="B547" s="4" t="s">
        <v>687</v>
      </c>
      <c r="C547" s="5">
        <v>2</v>
      </c>
      <c r="D547" s="5">
        <v>3064</v>
      </c>
      <c r="E547" s="5">
        <v>631</v>
      </c>
      <c r="F547" s="5">
        <v>6</v>
      </c>
      <c r="G547" s="5">
        <v>0</v>
      </c>
      <c r="H547" s="5">
        <v>3058</v>
      </c>
      <c r="I547" s="6">
        <v>4</v>
      </c>
      <c r="J547" s="6">
        <v>7.2</v>
      </c>
      <c r="K547" s="6">
        <v>20</v>
      </c>
      <c r="L547" s="6">
        <v>20</v>
      </c>
      <c r="M547" s="4" t="str">
        <f t="shared" si="24"/>
        <v>OK</v>
      </c>
      <c r="N547" s="7">
        <f t="shared" si="25"/>
        <v>2.0163068155645197E-2</v>
      </c>
      <c r="O547" s="7">
        <f>SUMIFS($D$2:D547,$B$2:B547,B547)/SUMIFS($D$2:$D$741,$B$2:$B$741,B547)</f>
        <v>0.77375115983706344</v>
      </c>
      <c r="P547" s="4" t="b">
        <f t="shared" si="26"/>
        <v>1</v>
      </c>
      <c r="Q547" s="4" t="s">
        <v>23</v>
      </c>
      <c r="R547" s="4" t="s">
        <v>30</v>
      </c>
      <c r="S547" s="4" t="s">
        <v>25</v>
      </c>
      <c r="T547" s="4" t="s">
        <v>31</v>
      </c>
    </row>
    <row r="548" spans="1:20" x14ac:dyDescent="0.45">
      <c r="A548" s="4" t="s">
        <v>709</v>
      </c>
      <c r="B548" s="4" t="s">
        <v>687</v>
      </c>
      <c r="C548" s="5">
        <v>2</v>
      </c>
      <c r="D548" s="5">
        <v>2939</v>
      </c>
      <c r="E548" s="5">
        <v>660</v>
      </c>
      <c r="F548" s="5">
        <v>0</v>
      </c>
      <c r="G548" s="5">
        <v>0</v>
      </c>
      <c r="H548" s="5">
        <v>2934</v>
      </c>
      <c r="I548" s="6">
        <v>2</v>
      </c>
      <c r="J548" s="6">
        <v>9.5</v>
      </c>
      <c r="K548" s="6">
        <v>18</v>
      </c>
      <c r="L548" s="6">
        <v>18</v>
      </c>
      <c r="M548" s="4" t="str">
        <f t="shared" si="24"/>
        <v>OK</v>
      </c>
      <c r="N548" s="7">
        <f t="shared" si="25"/>
        <v>1.934048867801607E-2</v>
      </c>
      <c r="O548" s="7">
        <f>SUMIFS($D$2:D548,$B$2:B548,B548)/SUMIFS($D$2:$D$741,$B$2:$B$741,B548)</f>
        <v>0.79309164851507952</v>
      </c>
      <c r="P548" s="4" t="b">
        <f t="shared" si="26"/>
        <v>1</v>
      </c>
      <c r="Q548" s="4" t="s">
        <v>192</v>
      </c>
      <c r="R548" s="4" t="s">
        <v>688</v>
      </c>
      <c r="S548" s="4" t="s">
        <v>109</v>
      </c>
      <c r="T548" s="4" t="s">
        <v>710</v>
      </c>
    </row>
    <row r="549" spans="1:20" x14ac:dyDescent="0.45">
      <c r="A549" s="4" t="s">
        <v>711</v>
      </c>
      <c r="B549" s="4" t="s">
        <v>687</v>
      </c>
      <c r="C549" s="5">
        <v>2</v>
      </c>
      <c r="D549" s="5">
        <v>2923</v>
      </c>
      <c r="E549" s="5">
        <v>675</v>
      </c>
      <c r="F549" s="5">
        <v>7</v>
      </c>
      <c r="G549" s="5">
        <v>0</v>
      </c>
      <c r="H549" s="5">
        <v>2916</v>
      </c>
      <c r="I549" s="6">
        <v>3</v>
      </c>
      <c r="J549" s="6">
        <v>6</v>
      </c>
      <c r="K549" s="6">
        <v>16</v>
      </c>
      <c r="L549" s="6">
        <v>16</v>
      </c>
      <c r="M549" s="4" t="str">
        <f t="shared" si="24"/>
        <v>OK</v>
      </c>
      <c r="N549" s="7">
        <f t="shared" si="25"/>
        <v>1.9235198504879543E-2</v>
      </c>
      <c r="O549" s="7">
        <f>SUMIFS($D$2:D549,$B$2:B549,B549)/SUMIFS($D$2:$D$741,$B$2:$B$741,B549)</f>
        <v>0.81232684701995905</v>
      </c>
      <c r="P549" s="4" t="b">
        <f t="shared" si="26"/>
        <v>1</v>
      </c>
      <c r="Q549" s="4" t="s">
        <v>23</v>
      </c>
      <c r="R549" s="4" t="s">
        <v>30</v>
      </c>
      <c r="S549" s="4" t="s">
        <v>25</v>
      </c>
      <c r="T549" s="4" t="s">
        <v>31</v>
      </c>
    </row>
    <row r="550" spans="1:20" x14ac:dyDescent="0.45">
      <c r="A550" s="4" t="s">
        <v>712</v>
      </c>
      <c r="B550" s="4" t="s">
        <v>687</v>
      </c>
      <c r="C550" s="5">
        <v>2</v>
      </c>
      <c r="D550" s="5">
        <v>2836</v>
      </c>
      <c r="E550" s="5">
        <v>721</v>
      </c>
      <c r="F550" s="5">
        <v>27</v>
      </c>
      <c r="G550" s="5">
        <v>0</v>
      </c>
      <c r="H550" s="5">
        <v>2804</v>
      </c>
      <c r="I550" s="6">
        <v>6</v>
      </c>
      <c r="J550" s="6">
        <v>8.9</v>
      </c>
      <c r="K550" s="6">
        <v>19</v>
      </c>
      <c r="L550" s="6">
        <v>19</v>
      </c>
      <c r="M550" s="4" t="str">
        <f t="shared" si="24"/>
        <v>OK</v>
      </c>
      <c r="N550" s="7">
        <f t="shared" si="25"/>
        <v>1.8662683188449668E-2</v>
      </c>
      <c r="O550" s="7">
        <f>SUMIFS($D$2:D550,$B$2:B550,B550)/SUMIFS($D$2:$D$741,$B$2:$B$741,B550)</f>
        <v>0.83098953020840871</v>
      </c>
      <c r="P550" s="4" t="b">
        <f t="shared" si="26"/>
        <v>1</v>
      </c>
      <c r="Q550" s="4" t="s">
        <v>192</v>
      </c>
      <c r="R550" s="4" t="s">
        <v>688</v>
      </c>
      <c r="S550" s="4" t="s">
        <v>25</v>
      </c>
      <c r="T550" s="4" t="s">
        <v>689</v>
      </c>
    </row>
    <row r="551" spans="1:20" x14ac:dyDescent="0.45">
      <c r="A551" s="4" t="s">
        <v>713</v>
      </c>
      <c r="B551" s="4" t="s">
        <v>687</v>
      </c>
      <c r="C551" s="5">
        <v>1</v>
      </c>
      <c r="D551" s="5">
        <v>2805</v>
      </c>
      <c r="E551" s="5">
        <v>726</v>
      </c>
      <c r="F551" s="5">
        <v>265</v>
      </c>
      <c r="G551" s="5">
        <v>200</v>
      </c>
      <c r="H551" s="5">
        <v>2540</v>
      </c>
      <c r="I551" s="6">
        <v>29.5</v>
      </c>
      <c r="J551" s="6">
        <v>84.7</v>
      </c>
      <c r="K551" s="6">
        <v>237</v>
      </c>
      <c r="L551" s="6">
        <v>237</v>
      </c>
      <c r="M551" s="4" t="str">
        <f t="shared" si="24"/>
        <v>OK</v>
      </c>
      <c r="N551" s="7">
        <f t="shared" si="25"/>
        <v>1.8458683477997645E-2</v>
      </c>
      <c r="O551" s="7">
        <f>SUMIFS($D$2:D551,$B$2:B551,B551)/SUMIFS($D$2:$D$741,$B$2:$B$741,B551)</f>
        <v>0.84944821368640633</v>
      </c>
      <c r="P551" s="4" t="b">
        <f t="shared" si="26"/>
        <v>1</v>
      </c>
      <c r="Q551" s="4" t="s">
        <v>23</v>
      </c>
      <c r="R551" s="4" t="s">
        <v>91</v>
      </c>
      <c r="S551" s="4" t="s">
        <v>25</v>
      </c>
      <c r="T551" s="4" t="s">
        <v>92</v>
      </c>
    </row>
    <row r="552" spans="1:20" x14ac:dyDescent="0.45">
      <c r="A552" s="4" t="s">
        <v>714</v>
      </c>
      <c r="B552" s="4" t="s">
        <v>687</v>
      </c>
      <c r="C552" s="5">
        <v>2</v>
      </c>
      <c r="D552" s="5">
        <v>2455</v>
      </c>
      <c r="E552" s="5">
        <v>553</v>
      </c>
      <c r="F552" s="5">
        <v>13</v>
      </c>
      <c r="G552" s="5">
        <v>0</v>
      </c>
      <c r="H552" s="5">
        <v>2442</v>
      </c>
      <c r="I552" s="6">
        <v>1</v>
      </c>
      <c r="J552" s="6">
        <v>7.9</v>
      </c>
      <c r="K552" s="6">
        <v>14</v>
      </c>
      <c r="L552" s="6">
        <v>13.9</v>
      </c>
      <c r="M552" s="4" t="str">
        <f t="shared" si="24"/>
        <v>OK</v>
      </c>
      <c r="N552" s="7">
        <f t="shared" si="25"/>
        <v>1.6155460940636083E-2</v>
      </c>
      <c r="O552" s="7">
        <f>SUMIFS($D$2:D552,$B$2:B552,B552)/SUMIFS($D$2:$D$741,$B$2:$B$741,B552)</f>
        <v>0.86560367462704246</v>
      </c>
      <c r="P552" s="4" t="b">
        <f t="shared" si="26"/>
        <v>1</v>
      </c>
      <c r="Q552" s="4" t="s">
        <v>192</v>
      </c>
      <c r="R552" s="4" t="s">
        <v>688</v>
      </c>
      <c r="S552" s="4" t="s">
        <v>25</v>
      </c>
      <c r="T552" s="4" t="s">
        <v>689</v>
      </c>
    </row>
    <row r="553" spans="1:20" x14ac:dyDescent="0.45">
      <c r="A553" s="4" t="s">
        <v>715</v>
      </c>
      <c r="B553" s="4" t="s">
        <v>687</v>
      </c>
      <c r="C553" s="5">
        <v>1</v>
      </c>
      <c r="D553" s="5">
        <v>2024</v>
      </c>
      <c r="E553" s="5">
        <v>1083</v>
      </c>
      <c r="F553" s="5">
        <v>11</v>
      </c>
      <c r="G553" s="5">
        <v>4</v>
      </c>
      <c r="H553" s="5">
        <v>2013</v>
      </c>
      <c r="I553" s="6">
        <v>1</v>
      </c>
      <c r="J553" s="6">
        <v>3.8</v>
      </c>
      <c r="K553" s="6">
        <v>5</v>
      </c>
      <c r="L553" s="6">
        <v>5</v>
      </c>
      <c r="M553" s="4" t="str">
        <f t="shared" si="24"/>
        <v>OK</v>
      </c>
      <c r="N553" s="7">
        <f t="shared" si="25"/>
        <v>1.3319206901770849E-2</v>
      </c>
      <c r="O553" s="7">
        <f>SUMIFS($D$2:D553,$B$2:B553,B553)/SUMIFS($D$2:$D$741,$B$2:$B$741,B553)</f>
        <v>0.87892288152881326</v>
      </c>
      <c r="P553" s="4" t="b">
        <f t="shared" si="26"/>
        <v>1</v>
      </c>
      <c r="Q553" s="4" t="s">
        <v>23</v>
      </c>
      <c r="R553" s="4" t="s">
        <v>289</v>
      </c>
      <c r="S553" s="4" t="s">
        <v>25</v>
      </c>
      <c r="T553" s="4" t="s">
        <v>290</v>
      </c>
    </row>
    <row r="554" spans="1:20" x14ac:dyDescent="0.45">
      <c r="A554" s="4" t="s">
        <v>716</v>
      </c>
      <c r="B554" s="4" t="s">
        <v>687</v>
      </c>
      <c r="C554" s="5">
        <v>2</v>
      </c>
      <c r="D554" s="5">
        <v>1723</v>
      </c>
      <c r="E554" s="5">
        <v>286</v>
      </c>
      <c r="F554" s="5">
        <v>2</v>
      </c>
      <c r="G554" s="5">
        <v>2</v>
      </c>
      <c r="H554" s="5">
        <v>1721</v>
      </c>
      <c r="I554" s="6">
        <v>3</v>
      </c>
      <c r="J554" s="6">
        <v>8.4</v>
      </c>
      <c r="K554" s="6">
        <v>20</v>
      </c>
      <c r="L554" s="6">
        <v>20</v>
      </c>
      <c r="M554" s="4" t="str">
        <f t="shared" si="24"/>
        <v>OK</v>
      </c>
      <c r="N554" s="7">
        <f t="shared" si="25"/>
        <v>1.1338435519639908E-2</v>
      </c>
      <c r="O554" s="7">
        <f>SUMIFS($D$2:D554,$B$2:B554,B554)/SUMIFS($D$2:$D$741,$B$2:$B$741,B554)</f>
        <v>0.89026131704845324</v>
      </c>
      <c r="P554" s="4" t="b">
        <f t="shared" si="26"/>
        <v>1</v>
      </c>
      <c r="Q554" s="4" t="s">
        <v>23</v>
      </c>
      <c r="R554" s="4" t="s">
        <v>289</v>
      </c>
      <c r="S554" s="4" t="s">
        <v>109</v>
      </c>
      <c r="T554" s="4" t="s">
        <v>717</v>
      </c>
    </row>
    <row r="555" spans="1:20" x14ac:dyDescent="0.45">
      <c r="A555" s="4" t="s">
        <v>718</v>
      </c>
      <c r="B555" s="4" t="s">
        <v>687</v>
      </c>
      <c r="C555" s="5">
        <v>2</v>
      </c>
      <c r="D555" s="5">
        <v>1616</v>
      </c>
      <c r="E555" s="5">
        <v>352</v>
      </c>
      <c r="F555" s="5">
        <v>211</v>
      </c>
      <c r="G555" s="5">
        <v>134</v>
      </c>
      <c r="H555" s="5">
        <v>1405</v>
      </c>
      <c r="I555" s="6">
        <v>33</v>
      </c>
      <c r="J555" s="6">
        <v>50.9</v>
      </c>
      <c r="K555" s="6">
        <v>120</v>
      </c>
      <c r="L555" s="6">
        <v>120</v>
      </c>
      <c r="M555" s="4" t="str">
        <f t="shared" si="24"/>
        <v>OK</v>
      </c>
      <c r="N555" s="7">
        <f t="shared" si="25"/>
        <v>1.0634307486789374E-2</v>
      </c>
      <c r="O555" s="7">
        <f>SUMIFS($D$2:D555,$B$2:B555,B555)/SUMIFS($D$2:$D$741,$B$2:$B$741,B555)</f>
        <v>0.90089562453524263</v>
      </c>
      <c r="P555" s="4" t="b">
        <f t="shared" si="26"/>
        <v>1</v>
      </c>
      <c r="Q555" s="4" t="s">
        <v>23</v>
      </c>
      <c r="R555" s="4" t="s">
        <v>91</v>
      </c>
      <c r="S555" s="4" t="s">
        <v>25</v>
      </c>
      <c r="T555" s="4" t="s">
        <v>92</v>
      </c>
    </row>
    <row r="556" spans="1:20" x14ac:dyDescent="0.45">
      <c r="A556" s="4" t="s">
        <v>719</v>
      </c>
      <c r="B556" s="4" t="s">
        <v>687</v>
      </c>
      <c r="C556" s="5">
        <v>1</v>
      </c>
      <c r="D556" s="5">
        <v>1420</v>
      </c>
      <c r="E556" s="5">
        <v>395</v>
      </c>
      <c r="F556" s="5">
        <v>3</v>
      </c>
      <c r="G556" s="5">
        <v>0</v>
      </c>
      <c r="H556" s="5">
        <v>1417</v>
      </c>
      <c r="I556" s="6">
        <v>1</v>
      </c>
      <c r="J556" s="6">
        <v>2.8</v>
      </c>
      <c r="K556" s="6">
        <v>6</v>
      </c>
      <c r="L556" s="6">
        <v>6</v>
      </c>
      <c r="M556" s="4" t="str">
        <f t="shared" si="24"/>
        <v>OK</v>
      </c>
      <c r="N556" s="7">
        <f t="shared" si="25"/>
        <v>9.3445028658669001E-3</v>
      </c>
      <c r="O556" s="7">
        <f>SUMIFS($D$2:D556,$B$2:B556,B556)/SUMIFS($D$2:$D$741,$B$2:$B$741,B556)</f>
        <v>0.91024012740110949</v>
      </c>
      <c r="P556" s="4" t="b">
        <f t="shared" si="26"/>
        <v>1</v>
      </c>
      <c r="Q556" s="4" t="s">
        <v>23</v>
      </c>
      <c r="R556" s="4" t="s">
        <v>100</v>
      </c>
      <c r="S556" s="4" t="s">
        <v>25</v>
      </c>
      <c r="T556" s="4" t="s">
        <v>101</v>
      </c>
    </row>
    <row r="557" spans="1:20" x14ac:dyDescent="0.45">
      <c r="A557" s="4" t="s">
        <v>720</v>
      </c>
      <c r="B557" s="4" t="s">
        <v>687</v>
      </c>
      <c r="C557" s="5">
        <v>2</v>
      </c>
      <c r="D557" s="5">
        <v>1397</v>
      </c>
      <c r="E557" s="5">
        <v>234</v>
      </c>
      <c r="F557" s="5">
        <v>0</v>
      </c>
      <c r="G557" s="5">
        <v>0</v>
      </c>
      <c r="H557" s="5">
        <v>1397</v>
      </c>
      <c r="I557" s="6">
        <v>1</v>
      </c>
      <c r="J557" s="6">
        <v>3.4</v>
      </c>
      <c r="K557" s="6">
        <v>2</v>
      </c>
      <c r="L557" s="6">
        <v>2</v>
      </c>
      <c r="M557" s="4" t="str">
        <f t="shared" si="24"/>
        <v>OK</v>
      </c>
      <c r="N557" s="7">
        <f t="shared" si="25"/>
        <v>9.1931482419831401E-3</v>
      </c>
      <c r="O557" s="7">
        <f>SUMIFS($D$2:D557,$B$2:B557,B557)/SUMIFS($D$2:$D$741,$B$2:$B$741,B557)</f>
        <v>0.91943327564309263</v>
      </c>
      <c r="P557" s="4" t="b">
        <f t="shared" si="26"/>
        <v>1</v>
      </c>
      <c r="Q557" s="4" t="s">
        <v>23</v>
      </c>
      <c r="R557" s="4" t="s">
        <v>30</v>
      </c>
      <c r="S557" s="4" t="s">
        <v>25</v>
      </c>
      <c r="T557" s="4" t="s">
        <v>31</v>
      </c>
    </row>
    <row r="558" spans="1:20" x14ac:dyDescent="0.45">
      <c r="A558" s="4" t="s">
        <v>721</v>
      </c>
      <c r="B558" s="4" t="s">
        <v>687</v>
      </c>
      <c r="C558" s="5">
        <v>2</v>
      </c>
      <c r="D558" s="5">
        <v>1350</v>
      </c>
      <c r="E558" s="5">
        <v>399</v>
      </c>
      <c r="F558" s="5">
        <v>103</v>
      </c>
      <c r="G558" s="5">
        <v>63</v>
      </c>
      <c r="H558" s="5">
        <v>1247</v>
      </c>
      <c r="I558" s="6">
        <v>26</v>
      </c>
      <c r="J558" s="6">
        <v>65.7</v>
      </c>
      <c r="K558" s="6">
        <v>190</v>
      </c>
      <c r="L558" s="6">
        <v>190</v>
      </c>
      <c r="M558" s="4" t="str">
        <f t="shared" si="24"/>
        <v>OK</v>
      </c>
      <c r="N558" s="7">
        <f t="shared" si="25"/>
        <v>8.883858358394588E-3</v>
      </c>
      <c r="O558" s="7">
        <f>SUMIFS($D$2:D558,$B$2:B558,B558)/SUMIFS($D$2:$D$741,$B$2:$B$741,B558)</f>
        <v>0.92831713400148719</v>
      </c>
      <c r="P558" s="4" t="b">
        <f t="shared" si="26"/>
        <v>1</v>
      </c>
      <c r="Q558" s="4" t="s">
        <v>23</v>
      </c>
      <c r="R558" s="4" t="s">
        <v>30</v>
      </c>
      <c r="S558" s="4" t="s">
        <v>25</v>
      </c>
      <c r="T558" s="4" t="s">
        <v>31</v>
      </c>
    </row>
    <row r="559" spans="1:20" x14ac:dyDescent="0.45">
      <c r="A559" s="4" t="s">
        <v>722</v>
      </c>
      <c r="B559" s="4" t="s">
        <v>687</v>
      </c>
      <c r="C559" s="5">
        <v>2</v>
      </c>
      <c r="D559" s="5">
        <v>1019</v>
      </c>
      <c r="E559" s="5">
        <v>189</v>
      </c>
      <c r="F559" s="5">
        <v>155</v>
      </c>
      <c r="G559" s="5">
        <v>121</v>
      </c>
      <c r="H559" s="5">
        <v>864</v>
      </c>
      <c r="I559" s="6">
        <v>49</v>
      </c>
      <c r="J559" s="6">
        <v>85.4</v>
      </c>
      <c r="K559" s="6">
        <v>210</v>
      </c>
      <c r="L559" s="6">
        <v>210</v>
      </c>
      <c r="M559" s="4" t="str">
        <f t="shared" si="24"/>
        <v>OK</v>
      </c>
      <c r="N559" s="7">
        <f t="shared" si="25"/>
        <v>6.7056679016326559E-3</v>
      </c>
      <c r="O559" s="7">
        <f>SUMIFS($D$2:D559,$B$2:B559,B559)/SUMIFS($D$2:$D$741,$B$2:$B$741,B559)</f>
        <v>0.93502280190311993</v>
      </c>
      <c r="P559" s="4" t="b">
        <f t="shared" si="26"/>
        <v>1</v>
      </c>
      <c r="Q559" s="4" t="s">
        <v>23</v>
      </c>
      <c r="R559" s="4" t="s">
        <v>105</v>
      </c>
      <c r="S559" s="4" t="s">
        <v>25</v>
      </c>
      <c r="T559" s="4" t="s">
        <v>106</v>
      </c>
    </row>
    <row r="560" spans="1:20" x14ac:dyDescent="0.45">
      <c r="A560" s="4" t="s">
        <v>723</v>
      </c>
      <c r="B560" s="4" t="s">
        <v>687</v>
      </c>
      <c r="C560" s="5">
        <v>2</v>
      </c>
      <c r="D560" s="5">
        <v>1016</v>
      </c>
      <c r="E560" s="5">
        <v>197</v>
      </c>
      <c r="F560" s="5">
        <v>77</v>
      </c>
      <c r="G560" s="5">
        <v>50</v>
      </c>
      <c r="H560" s="5">
        <v>938</v>
      </c>
      <c r="I560" s="6">
        <v>15</v>
      </c>
      <c r="J560" s="6">
        <v>48.8</v>
      </c>
      <c r="K560" s="6">
        <v>127</v>
      </c>
      <c r="L560" s="6">
        <v>127</v>
      </c>
      <c r="M560" s="4" t="str">
        <f t="shared" si="24"/>
        <v>OK</v>
      </c>
      <c r="N560" s="7">
        <f t="shared" si="25"/>
        <v>6.6859259941695563E-3</v>
      </c>
      <c r="O560" s="7">
        <f>SUMIFS($D$2:D560,$B$2:B560,B560)/SUMIFS($D$2:$D$741,$B$2:$B$741,B560)</f>
        <v>0.94170872789728943</v>
      </c>
      <c r="P560" s="4" t="b">
        <f t="shared" si="26"/>
        <v>1</v>
      </c>
      <c r="Q560" s="4" t="s">
        <v>192</v>
      </c>
      <c r="R560" s="4" t="s">
        <v>688</v>
      </c>
      <c r="S560" s="4" t="s">
        <v>109</v>
      </c>
      <c r="T560" s="4" t="s">
        <v>724</v>
      </c>
    </row>
    <row r="561" spans="1:20" x14ac:dyDescent="0.45">
      <c r="A561" s="4" t="s">
        <v>725</v>
      </c>
      <c r="B561" s="4" t="s">
        <v>687</v>
      </c>
      <c r="C561" s="5">
        <v>2</v>
      </c>
      <c r="D561" s="5">
        <v>982</v>
      </c>
      <c r="E561" s="5">
        <v>0</v>
      </c>
      <c r="F561" s="5">
        <v>0</v>
      </c>
      <c r="G561" s="5">
        <v>0</v>
      </c>
      <c r="H561" s="5">
        <v>982</v>
      </c>
      <c r="I561" s="6">
        <v>1</v>
      </c>
      <c r="J561" s="6">
        <v>3.5</v>
      </c>
      <c r="K561" s="6">
        <v>9</v>
      </c>
      <c r="L561" s="6">
        <v>9</v>
      </c>
      <c r="M561" s="4" t="str">
        <f t="shared" si="24"/>
        <v>OK</v>
      </c>
      <c r="N561" s="7">
        <f t="shared" si="25"/>
        <v>6.462184376254434E-3</v>
      </c>
      <c r="O561" s="7">
        <f>SUMIFS($D$2:D561,$B$2:B561,B561)/SUMIFS($D$2:$D$741,$B$2:$B$741,B561)</f>
        <v>0.94817091227354389</v>
      </c>
      <c r="P561" s="4" t="b">
        <f t="shared" si="26"/>
        <v>1</v>
      </c>
      <c r="Q561" s="4" t="s">
        <v>23</v>
      </c>
      <c r="R561" s="4" t="s">
        <v>100</v>
      </c>
      <c r="S561" s="4" t="s">
        <v>25</v>
      </c>
      <c r="T561" s="4" t="s">
        <v>101</v>
      </c>
    </row>
    <row r="562" spans="1:20" x14ac:dyDescent="0.45">
      <c r="A562" s="4" t="s">
        <v>726</v>
      </c>
      <c r="B562" s="4" t="s">
        <v>687</v>
      </c>
      <c r="C562" s="5">
        <v>2</v>
      </c>
      <c r="D562" s="5">
        <v>935</v>
      </c>
      <c r="E562" s="5">
        <v>149</v>
      </c>
      <c r="F562" s="5">
        <v>0</v>
      </c>
      <c r="G562" s="5">
        <v>0</v>
      </c>
      <c r="H562" s="5">
        <v>931</v>
      </c>
      <c r="I562" s="6">
        <v>1</v>
      </c>
      <c r="J562" s="6">
        <v>2.7</v>
      </c>
      <c r="K562" s="6">
        <v>5</v>
      </c>
      <c r="L562" s="6">
        <v>5</v>
      </c>
      <c r="M562" s="4" t="str">
        <f t="shared" si="24"/>
        <v>OK</v>
      </c>
      <c r="N562" s="7">
        <f t="shared" si="25"/>
        <v>6.1528944926658811E-3</v>
      </c>
      <c r="O562" s="7">
        <f>SUMIFS($D$2:D562,$B$2:B562,B562)/SUMIFS($D$2:$D$741,$B$2:$B$741,B562)</f>
        <v>0.95432380676620976</v>
      </c>
      <c r="P562" s="4" t="b">
        <f t="shared" si="26"/>
        <v>1</v>
      </c>
      <c r="Q562" s="4" t="s">
        <v>192</v>
      </c>
      <c r="R562" s="4" t="s">
        <v>688</v>
      </c>
      <c r="S562" s="4" t="s">
        <v>109</v>
      </c>
      <c r="T562" s="4" t="s">
        <v>727</v>
      </c>
    </row>
    <row r="563" spans="1:20" x14ac:dyDescent="0.45">
      <c r="A563" s="4" t="s">
        <v>728</v>
      </c>
      <c r="B563" s="4" t="s">
        <v>687</v>
      </c>
      <c r="C563" s="5">
        <v>2</v>
      </c>
      <c r="D563" s="5">
        <v>821</v>
      </c>
      <c r="E563" s="5">
        <v>189</v>
      </c>
      <c r="F563" s="5">
        <v>8</v>
      </c>
      <c r="G563" s="5">
        <v>0</v>
      </c>
      <c r="H563" s="5">
        <v>813</v>
      </c>
      <c r="I563" s="6">
        <v>3</v>
      </c>
      <c r="J563" s="6">
        <v>6.4</v>
      </c>
      <c r="K563" s="6">
        <v>14</v>
      </c>
      <c r="L563" s="6">
        <v>14</v>
      </c>
      <c r="M563" s="4" t="str">
        <f t="shared" si="24"/>
        <v>OK</v>
      </c>
      <c r="N563" s="7">
        <f t="shared" si="25"/>
        <v>5.4027020090681157E-3</v>
      </c>
      <c r="O563" s="7">
        <f>SUMIFS($D$2:D563,$B$2:B563,B563)/SUMIFS($D$2:$D$741,$B$2:$B$741,B563)</f>
        <v>0.95972650877527788</v>
      </c>
      <c r="P563" s="4" t="b">
        <f t="shared" si="26"/>
        <v>0</v>
      </c>
      <c r="Q563" s="4" t="s">
        <v>192</v>
      </c>
      <c r="R563" s="4" t="s">
        <v>688</v>
      </c>
      <c r="S563" s="4" t="s">
        <v>109</v>
      </c>
      <c r="T563" s="4" t="s">
        <v>729</v>
      </c>
    </row>
    <row r="564" spans="1:20" x14ac:dyDescent="0.45">
      <c r="A564" s="4" t="s">
        <v>730</v>
      </c>
      <c r="B564" s="4" t="s">
        <v>687</v>
      </c>
      <c r="C564" s="5">
        <v>1</v>
      </c>
      <c r="D564" s="5">
        <v>738</v>
      </c>
      <c r="E564" s="5">
        <v>191</v>
      </c>
      <c r="F564" s="5">
        <v>3</v>
      </c>
      <c r="G564" s="5">
        <v>0</v>
      </c>
      <c r="H564" s="5">
        <v>735</v>
      </c>
      <c r="I564" s="6">
        <v>5</v>
      </c>
      <c r="J564" s="6">
        <v>66.099999999999994</v>
      </c>
      <c r="K564" s="6">
        <v>219</v>
      </c>
      <c r="L564" s="6">
        <v>219</v>
      </c>
      <c r="M564" s="4" t="str">
        <f t="shared" si="24"/>
        <v>OK</v>
      </c>
      <c r="N564" s="7">
        <f t="shared" si="25"/>
        <v>4.8565092359223747E-3</v>
      </c>
      <c r="O564" s="7">
        <f>SUMIFS($D$2:D564,$B$2:B564,B564)/SUMIFS($D$2:$D$741,$B$2:$B$741,B564)</f>
        <v>0.96458301801120028</v>
      </c>
      <c r="P564" s="4" t="b">
        <f t="shared" si="26"/>
        <v>0</v>
      </c>
      <c r="Q564" s="4" t="s">
        <v>23</v>
      </c>
      <c r="R564" s="4" t="s">
        <v>100</v>
      </c>
      <c r="S564" s="4" t="s">
        <v>25</v>
      </c>
      <c r="T564" s="4" t="s">
        <v>101</v>
      </c>
    </row>
    <row r="565" spans="1:20" x14ac:dyDescent="0.45">
      <c r="A565" s="4" t="s">
        <v>731</v>
      </c>
      <c r="B565" s="4" t="s">
        <v>687</v>
      </c>
      <c r="C565" s="5">
        <v>2</v>
      </c>
      <c r="D565" s="5">
        <v>590</v>
      </c>
      <c r="E565" s="5">
        <v>0</v>
      </c>
      <c r="F565" s="5">
        <v>2</v>
      </c>
      <c r="G565" s="5">
        <v>2</v>
      </c>
      <c r="H565" s="5">
        <v>586</v>
      </c>
      <c r="I565" s="6">
        <v>3</v>
      </c>
      <c r="J565" s="6">
        <v>17.899999999999999</v>
      </c>
      <c r="K565" s="6">
        <v>56</v>
      </c>
      <c r="L565" s="6">
        <v>55.5</v>
      </c>
      <c r="M565" s="4" t="str">
        <f t="shared" si="24"/>
        <v>OK</v>
      </c>
      <c r="N565" s="7">
        <f t="shared" si="25"/>
        <v>3.8825751344094867E-3</v>
      </c>
      <c r="O565" s="7">
        <f>SUMIFS($D$2:D565,$B$2:B565,B565)/SUMIFS($D$2:$D$741,$B$2:$B$741,B565)</f>
        <v>0.96846559314560976</v>
      </c>
      <c r="P565" s="4" t="b">
        <f t="shared" si="26"/>
        <v>0</v>
      </c>
      <c r="Q565" s="4" t="s">
        <v>192</v>
      </c>
      <c r="R565" s="4" t="s">
        <v>688</v>
      </c>
      <c r="S565" s="4" t="s">
        <v>109</v>
      </c>
      <c r="T565" s="4" t="s">
        <v>732</v>
      </c>
    </row>
    <row r="566" spans="1:20" x14ac:dyDescent="0.45">
      <c r="A566" s="4" t="s">
        <v>733</v>
      </c>
      <c r="B566" s="4" t="s">
        <v>687</v>
      </c>
      <c r="C566" s="5">
        <v>1</v>
      </c>
      <c r="D566" s="5">
        <v>525</v>
      </c>
      <c r="E566" s="5">
        <v>132</v>
      </c>
      <c r="F566" s="5">
        <v>1</v>
      </c>
      <c r="G566" s="5">
        <v>0</v>
      </c>
      <c r="H566" s="5">
        <v>524</v>
      </c>
      <c r="I566" s="6">
        <v>1</v>
      </c>
      <c r="J566" s="6">
        <v>13.1</v>
      </c>
      <c r="K566" s="6">
        <v>10</v>
      </c>
      <c r="L566" s="6">
        <v>10</v>
      </c>
      <c r="M566" s="4" t="str">
        <f t="shared" si="24"/>
        <v>OK</v>
      </c>
      <c r="N566" s="7">
        <f t="shared" si="25"/>
        <v>3.4548338060423397E-3</v>
      </c>
      <c r="O566" s="7">
        <f>SUMIFS($D$2:D566,$B$2:B566,B566)/SUMIFS($D$2:$D$741,$B$2:$B$741,B566)</f>
        <v>0.97192042695165204</v>
      </c>
      <c r="P566" s="4" t="b">
        <f t="shared" si="26"/>
        <v>0</v>
      </c>
      <c r="Q566" s="4" t="s">
        <v>23</v>
      </c>
      <c r="R566" s="4" t="s">
        <v>38</v>
      </c>
      <c r="S566" s="4" t="s">
        <v>25</v>
      </c>
      <c r="T566" s="4" t="s">
        <v>39</v>
      </c>
    </row>
    <row r="567" spans="1:20" x14ac:dyDescent="0.45">
      <c r="A567" s="4" t="s">
        <v>734</v>
      </c>
      <c r="B567" s="4" t="s">
        <v>687</v>
      </c>
      <c r="C567" s="5">
        <v>2</v>
      </c>
      <c r="D567" s="5">
        <v>510</v>
      </c>
      <c r="E567" s="5">
        <v>111</v>
      </c>
      <c r="F567" s="5">
        <v>0</v>
      </c>
      <c r="G567" s="5">
        <v>0</v>
      </c>
      <c r="H567" s="5">
        <v>510</v>
      </c>
      <c r="I567" s="6">
        <v>1</v>
      </c>
      <c r="J567" s="6">
        <v>5.9</v>
      </c>
      <c r="K567" s="6">
        <v>4</v>
      </c>
      <c r="L567" s="6">
        <v>4</v>
      </c>
      <c r="M567" s="4" t="str">
        <f t="shared" si="24"/>
        <v>OK</v>
      </c>
      <c r="N567" s="7">
        <f t="shared" si="25"/>
        <v>3.3561242687268444E-3</v>
      </c>
      <c r="O567" s="7">
        <f>SUMIFS($D$2:D567,$B$2:B567,B567)/SUMIFS($D$2:$D$741,$B$2:$B$741,B567)</f>
        <v>0.97527655122037893</v>
      </c>
      <c r="P567" s="4" t="b">
        <f t="shared" si="26"/>
        <v>0</v>
      </c>
      <c r="Q567" s="4" t="s">
        <v>192</v>
      </c>
      <c r="R567" s="4" t="s">
        <v>688</v>
      </c>
      <c r="S567" s="4" t="s">
        <v>109</v>
      </c>
      <c r="T567" s="4" t="s">
        <v>735</v>
      </c>
    </row>
    <row r="568" spans="1:20" x14ac:dyDescent="0.45">
      <c r="A568" s="4" t="s">
        <v>736</v>
      </c>
      <c r="B568" s="4" t="s">
        <v>687</v>
      </c>
      <c r="C568" s="5">
        <v>1</v>
      </c>
      <c r="D568" s="5">
        <v>502</v>
      </c>
      <c r="E568" s="5">
        <v>199</v>
      </c>
      <c r="F568" s="5">
        <v>1</v>
      </c>
      <c r="G568" s="5">
        <v>0</v>
      </c>
      <c r="H568" s="5">
        <v>501</v>
      </c>
      <c r="I568" s="6">
        <v>1</v>
      </c>
      <c r="J568" s="6">
        <v>5.8</v>
      </c>
      <c r="K568" s="6">
        <v>7</v>
      </c>
      <c r="L568" s="6">
        <v>7</v>
      </c>
      <c r="M568" s="4" t="str">
        <f t="shared" si="24"/>
        <v>OK</v>
      </c>
      <c r="N568" s="7">
        <f t="shared" si="25"/>
        <v>3.3034791821585801E-3</v>
      </c>
      <c r="O568" s="7">
        <f>SUMIFS($D$2:D568,$B$2:B568,B568)/SUMIFS($D$2:$D$741,$B$2:$B$741,B568)</f>
        <v>0.97858003040253749</v>
      </c>
      <c r="P568" s="4" t="b">
        <f t="shared" si="26"/>
        <v>0</v>
      </c>
      <c r="Q568" s="4" t="s">
        <v>23</v>
      </c>
      <c r="R568" s="4" t="s">
        <v>38</v>
      </c>
      <c r="S568" s="4" t="s">
        <v>25</v>
      </c>
      <c r="T568" s="4" t="s">
        <v>39</v>
      </c>
    </row>
    <row r="569" spans="1:20" x14ac:dyDescent="0.45">
      <c r="A569" s="4" t="s">
        <v>737</v>
      </c>
      <c r="B569" s="4" t="s">
        <v>687</v>
      </c>
      <c r="C569" s="5">
        <v>1</v>
      </c>
      <c r="D569" s="5">
        <v>499</v>
      </c>
      <c r="E569" s="5">
        <v>137</v>
      </c>
      <c r="F569" s="5">
        <v>129</v>
      </c>
      <c r="G569" s="5">
        <v>103</v>
      </c>
      <c r="H569" s="5">
        <v>370</v>
      </c>
      <c r="I569" s="6">
        <v>43</v>
      </c>
      <c r="J569" s="6">
        <v>132.69999999999999</v>
      </c>
      <c r="K569" s="6">
        <v>412</v>
      </c>
      <c r="L569" s="6">
        <v>412</v>
      </c>
      <c r="M569" s="4" t="str">
        <f t="shared" si="24"/>
        <v>OK</v>
      </c>
      <c r="N569" s="7">
        <f t="shared" si="25"/>
        <v>3.2837372746954809E-3</v>
      </c>
      <c r="O569" s="7">
        <f>SUMIFS($D$2:D569,$B$2:B569,B569)/SUMIFS($D$2:$D$741,$B$2:$B$741,B569)</f>
        <v>0.98186376767723293</v>
      </c>
      <c r="P569" s="4" t="b">
        <f t="shared" si="26"/>
        <v>0</v>
      </c>
      <c r="Q569" s="4" t="s">
        <v>192</v>
      </c>
      <c r="R569" s="4" t="s">
        <v>688</v>
      </c>
      <c r="S569" s="4" t="s">
        <v>109</v>
      </c>
      <c r="T569" s="4" t="s">
        <v>699</v>
      </c>
    </row>
    <row r="570" spans="1:20" x14ac:dyDescent="0.45">
      <c r="A570" s="4" t="s">
        <v>738</v>
      </c>
      <c r="B570" s="4" t="s">
        <v>687</v>
      </c>
      <c r="C570" s="5">
        <v>1</v>
      </c>
      <c r="D570" s="5">
        <v>406</v>
      </c>
      <c r="E570" s="5">
        <v>242</v>
      </c>
      <c r="F570" s="5">
        <v>3</v>
      </c>
      <c r="G570" s="5">
        <v>1</v>
      </c>
      <c r="H570" s="5">
        <v>403</v>
      </c>
      <c r="I570" s="6">
        <v>1</v>
      </c>
      <c r="J570" s="6">
        <v>4.5</v>
      </c>
      <c r="K570" s="6">
        <v>10</v>
      </c>
      <c r="L570" s="6">
        <v>9.8000000000000007</v>
      </c>
      <c r="M570" s="4" t="str">
        <f t="shared" si="24"/>
        <v>OK</v>
      </c>
      <c r="N570" s="7">
        <f t="shared" si="25"/>
        <v>2.6717381433394092E-3</v>
      </c>
      <c r="O570" s="7">
        <f>SUMIFS($D$2:D570,$B$2:B570,B570)/SUMIFS($D$2:$D$741,$B$2:$B$741,B570)</f>
        <v>0.98453550582057237</v>
      </c>
      <c r="P570" s="4" t="b">
        <f t="shared" si="26"/>
        <v>0</v>
      </c>
      <c r="Q570" s="4" t="s">
        <v>192</v>
      </c>
      <c r="R570" s="4" t="s">
        <v>688</v>
      </c>
      <c r="S570" s="4" t="s">
        <v>109</v>
      </c>
      <c r="T570" s="4" t="s">
        <v>732</v>
      </c>
    </row>
    <row r="571" spans="1:20" x14ac:dyDescent="0.45">
      <c r="A571" s="4" t="s">
        <v>739</v>
      </c>
      <c r="B571" s="4" t="s">
        <v>687</v>
      </c>
      <c r="C571" s="5">
        <v>2</v>
      </c>
      <c r="D571" s="5">
        <v>365</v>
      </c>
      <c r="E571" s="5">
        <v>62</v>
      </c>
      <c r="F571" s="5">
        <v>1</v>
      </c>
      <c r="G571" s="5">
        <v>1</v>
      </c>
      <c r="H571" s="5">
        <v>364</v>
      </c>
      <c r="I571" s="6">
        <v>4</v>
      </c>
      <c r="J571" s="6">
        <v>32.1</v>
      </c>
      <c r="K571" s="6">
        <v>23</v>
      </c>
      <c r="L571" s="6">
        <v>23.4</v>
      </c>
      <c r="M571" s="4" t="str">
        <f t="shared" si="24"/>
        <v>OK</v>
      </c>
      <c r="N571" s="7">
        <f t="shared" si="25"/>
        <v>2.4019320746770552E-3</v>
      </c>
      <c r="O571" s="7">
        <f>SUMIFS($D$2:D571,$B$2:B571,B571)/SUMIFS($D$2:$D$741,$B$2:$B$741,B571)</f>
        <v>0.98693743789524946</v>
      </c>
      <c r="P571" s="4" t="b">
        <f t="shared" si="26"/>
        <v>0</v>
      </c>
      <c r="Q571" s="4" t="s">
        <v>23</v>
      </c>
      <c r="R571" s="4" t="s">
        <v>30</v>
      </c>
      <c r="S571" s="4" t="s">
        <v>25</v>
      </c>
      <c r="T571" s="4" t="s">
        <v>31</v>
      </c>
    </row>
    <row r="572" spans="1:20" x14ac:dyDescent="0.45">
      <c r="A572" s="4" t="s">
        <v>740</v>
      </c>
      <c r="B572" s="4" t="s">
        <v>687</v>
      </c>
      <c r="C572" s="5">
        <v>2</v>
      </c>
      <c r="D572" s="5">
        <v>361</v>
      </c>
      <c r="E572" s="5">
        <v>116</v>
      </c>
      <c r="F572" s="5">
        <v>0</v>
      </c>
      <c r="G572" s="5">
        <v>0</v>
      </c>
      <c r="H572" s="5">
        <v>361</v>
      </c>
      <c r="I572" s="6">
        <v>1</v>
      </c>
      <c r="J572" s="6">
        <v>4.3</v>
      </c>
      <c r="K572" s="6">
        <v>11</v>
      </c>
      <c r="L572" s="6">
        <v>11</v>
      </c>
      <c r="M572" s="4" t="str">
        <f t="shared" si="24"/>
        <v>OK</v>
      </c>
      <c r="N572" s="7">
        <f t="shared" si="25"/>
        <v>2.375609531392923E-3</v>
      </c>
      <c r="O572" s="7">
        <f>SUMIFS($D$2:D572,$B$2:B572,B572)/SUMIFS($D$2:$D$741,$B$2:$B$741,B572)</f>
        <v>0.98931304742664239</v>
      </c>
      <c r="P572" s="4" t="b">
        <f t="shared" si="26"/>
        <v>0</v>
      </c>
      <c r="Q572" s="4" t="s">
        <v>23</v>
      </c>
      <c r="R572" s="4" t="s">
        <v>30</v>
      </c>
      <c r="S572" s="4" t="s">
        <v>25</v>
      </c>
      <c r="T572" s="4" t="s">
        <v>31</v>
      </c>
    </row>
    <row r="573" spans="1:20" x14ac:dyDescent="0.45">
      <c r="A573" s="4" t="s">
        <v>741</v>
      </c>
      <c r="B573" s="4" t="s">
        <v>687</v>
      </c>
      <c r="C573" s="5">
        <v>2</v>
      </c>
      <c r="D573" s="5">
        <v>265</v>
      </c>
      <c r="E573" s="5">
        <v>45</v>
      </c>
      <c r="F573" s="5">
        <v>1</v>
      </c>
      <c r="G573" s="5">
        <v>0</v>
      </c>
      <c r="H573" s="5">
        <v>264</v>
      </c>
      <c r="I573" s="6">
        <v>3</v>
      </c>
      <c r="J573" s="6">
        <v>3.9</v>
      </c>
      <c r="K573" s="6">
        <v>7</v>
      </c>
      <c r="L573" s="6">
        <v>7</v>
      </c>
      <c r="M573" s="4" t="str">
        <f t="shared" si="24"/>
        <v>OK</v>
      </c>
      <c r="N573" s="7">
        <f t="shared" si="25"/>
        <v>1.7438684925737524E-3</v>
      </c>
      <c r="O573" s="7">
        <f>SUMIFS($D$2:D573,$B$2:B573,B573)/SUMIFS($D$2:$D$741,$B$2:$B$741,B573)</f>
        <v>0.99105691591921607</v>
      </c>
      <c r="P573" s="4" t="b">
        <f t="shared" si="26"/>
        <v>0</v>
      </c>
      <c r="Q573" s="4" t="s">
        <v>23</v>
      </c>
      <c r="R573" s="4" t="s">
        <v>30</v>
      </c>
      <c r="S573" s="4" t="s">
        <v>25</v>
      </c>
      <c r="T573" s="4" t="s">
        <v>31</v>
      </c>
    </row>
    <row r="574" spans="1:20" x14ac:dyDescent="0.45">
      <c r="A574" s="4" t="s">
        <v>742</v>
      </c>
      <c r="B574" s="4" t="s">
        <v>687</v>
      </c>
      <c r="C574" s="5">
        <v>1</v>
      </c>
      <c r="D574" s="5">
        <v>259</v>
      </c>
      <c r="E574" s="5">
        <v>60</v>
      </c>
      <c r="F574" s="5">
        <v>1</v>
      </c>
      <c r="G574" s="5">
        <v>0</v>
      </c>
      <c r="H574" s="5">
        <v>258</v>
      </c>
      <c r="I574" s="6">
        <v>4</v>
      </c>
      <c r="J574" s="6">
        <v>22.2</v>
      </c>
      <c r="K574" s="6">
        <v>42</v>
      </c>
      <c r="L574" s="6">
        <v>42</v>
      </c>
      <c r="M574" s="4" t="str">
        <f t="shared" si="24"/>
        <v>OK</v>
      </c>
      <c r="N574" s="7">
        <f t="shared" si="25"/>
        <v>1.7043846776475544E-3</v>
      </c>
      <c r="O574" s="7">
        <f>SUMIFS($D$2:D574,$B$2:B574,B574)/SUMIFS($D$2:$D$741,$B$2:$B$741,B574)</f>
        <v>0.99276130059686363</v>
      </c>
      <c r="P574" s="4" t="b">
        <f t="shared" si="26"/>
        <v>0</v>
      </c>
      <c r="Q574" s="4" t="s">
        <v>23</v>
      </c>
      <c r="R574" s="4" t="s">
        <v>30</v>
      </c>
      <c r="S574" s="4" t="s">
        <v>25</v>
      </c>
      <c r="T574" s="4" t="s">
        <v>31</v>
      </c>
    </row>
    <row r="575" spans="1:20" x14ac:dyDescent="0.45">
      <c r="A575" s="4" t="s">
        <v>743</v>
      </c>
      <c r="B575" s="4" t="s">
        <v>687</v>
      </c>
      <c r="C575" s="5">
        <v>1</v>
      </c>
      <c r="D575" s="5">
        <v>252</v>
      </c>
      <c r="E575" s="5">
        <v>60</v>
      </c>
      <c r="F575" s="5">
        <v>2</v>
      </c>
      <c r="G575" s="5">
        <v>0</v>
      </c>
      <c r="H575" s="5">
        <v>250</v>
      </c>
      <c r="I575" s="6">
        <v>2</v>
      </c>
      <c r="J575" s="6">
        <v>7.9</v>
      </c>
      <c r="K575" s="6">
        <v>13</v>
      </c>
      <c r="L575" s="6">
        <v>13.1</v>
      </c>
      <c r="M575" s="4" t="str">
        <f t="shared" si="24"/>
        <v>OK</v>
      </c>
      <c r="N575" s="7">
        <f t="shared" si="25"/>
        <v>1.6583202269003232E-3</v>
      </c>
      <c r="O575" s="7">
        <f>SUMIFS($D$2:D575,$B$2:B575,B575)/SUMIFS($D$2:$D$741,$B$2:$B$741,B575)</f>
        <v>0.99441962082376401</v>
      </c>
      <c r="P575" s="4" t="b">
        <f t="shared" si="26"/>
        <v>0</v>
      </c>
      <c r="Q575" s="4" t="s">
        <v>23</v>
      </c>
      <c r="R575" s="4" t="s">
        <v>30</v>
      </c>
      <c r="S575" s="4" t="s">
        <v>25</v>
      </c>
      <c r="T575" s="4" t="s">
        <v>31</v>
      </c>
    </row>
    <row r="576" spans="1:20" x14ac:dyDescent="0.45">
      <c r="A576" s="4" t="s">
        <v>744</v>
      </c>
      <c r="B576" s="4" t="s">
        <v>687</v>
      </c>
      <c r="C576" s="5">
        <v>2</v>
      </c>
      <c r="D576" s="5">
        <v>213</v>
      </c>
      <c r="E576" s="5">
        <v>75</v>
      </c>
      <c r="F576" s="5">
        <v>35</v>
      </c>
      <c r="G576" s="5">
        <v>21</v>
      </c>
      <c r="H576" s="5">
        <v>178</v>
      </c>
      <c r="I576" s="6">
        <v>15.5</v>
      </c>
      <c r="J576" s="6">
        <v>40.9</v>
      </c>
      <c r="K576" s="6">
        <v>113</v>
      </c>
      <c r="L576" s="6">
        <v>112.5</v>
      </c>
      <c r="M576" s="4" t="str">
        <f t="shared" si="24"/>
        <v>OK</v>
      </c>
      <c r="N576" s="7">
        <f t="shared" si="25"/>
        <v>1.401675429880035E-3</v>
      </c>
      <c r="O576" s="7">
        <f>SUMIFS($D$2:D576,$B$2:B576,B576)/SUMIFS($D$2:$D$741,$B$2:$B$741,B576)</f>
        <v>0.99582129625364402</v>
      </c>
      <c r="P576" s="4" t="b">
        <f t="shared" si="26"/>
        <v>0</v>
      </c>
      <c r="Q576" s="4" t="s">
        <v>23</v>
      </c>
      <c r="R576" s="4" t="s">
        <v>100</v>
      </c>
      <c r="S576" s="4" t="s">
        <v>25</v>
      </c>
      <c r="T576" s="4" t="s">
        <v>101</v>
      </c>
    </row>
    <row r="577" spans="1:20" x14ac:dyDescent="0.45">
      <c r="A577" s="4" t="s">
        <v>745</v>
      </c>
      <c r="B577" s="4" t="s">
        <v>687</v>
      </c>
      <c r="C577" s="5">
        <v>2</v>
      </c>
      <c r="D577" s="5">
        <v>173</v>
      </c>
      <c r="E577" s="5">
        <v>0</v>
      </c>
      <c r="F577" s="5">
        <v>0</v>
      </c>
      <c r="G577" s="5">
        <v>0</v>
      </c>
      <c r="H577" s="5">
        <v>173</v>
      </c>
      <c r="I577" s="6">
        <v>1</v>
      </c>
      <c r="J577" s="6">
        <v>6.7</v>
      </c>
      <c r="K577" s="6">
        <v>6</v>
      </c>
      <c r="L577" s="6">
        <v>5.8</v>
      </c>
      <c r="M577" s="4" t="str">
        <f t="shared" si="24"/>
        <v>OK</v>
      </c>
      <c r="N577" s="7">
        <f t="shared" si="25"/>
        <v>1.1384499970387139E-3</v>
      </c>
      <c r="O577" s="7">
        <f>SUMIFS($D$2:D577,$B$2:B577,B577)/SUMIFS($D$2:$D$741,$B$2:$B$741,B577)</f>
        <v>0.99695974625068273</v>
      </c>
      <c r="P577" s="4" t="b">
        <f t="shared" si="26"/>
        <v>0</v>
      </c>
      <c r="Q577" s="4" t="s">
        <v>23</v>
      </c>
      <c r="R577" s="4" t="s">
        <v>30</v>
      </c>
      <c r="S577" s="4" t="s">
        <v>25</v>
      </c>
      <c r="T577" s="4" t="s">
        <v>31</v>
      </c>
    </row>
    <row r="578" spans="1:20" x14ac:dyDescent="0.45">
      <c r="A578" s="4" t="s">
        <v>746</v>
      </c>
      <c r="B578" s="4" t="s">
        <v>687</v>
      </c>
      <c r="C578" s="5">
        <v>2</v>
      </c>
      <c r="D578" s="5">
        <v>162</v>
      </c>
      <c r="E578" s="5">
        <v>45</v>
      </c>
      <c r="F578" s="5">
        <v>28</v>
      </c>
      <c r="G578" s="5">
        <v>11</v>
      </c>
      <c r="H578" s="5">
        <v>134</v>
      </c>
      <c r="I578" s="6">
        <v>173.5</v>
      </c>
      <c r="J578" s="6">
        <v>259.8</v>
      </c>
      <c r="K578" s="6">
        <v>662</v>
      </c>
      <c r="L578" s="6">
        <v>662.5</v>
      </c>
      <c r="M578" s="4" t="str">
        <f t="shared" ref="M578:M641" si="27">IF(AND(K578="",L578=""),"No closed tickets",IF(K578="","MISSING in catalog",IF(L578="","No valid closed tickets",IF(AND(ABS(K578-L578)&gt;=$W$3,ABS(K578-L578)&gt;=$W$4*MAX(L578,1)),"FAR OFF","OK"))))</f>
        <v>OK</v>
      </c>
      <c r="N578" s="7">
        <f t="shared" ref="N578:N641" si="28">D578/SUMIFS($D$2:$D$741,$B$2:$B$741,B578)</f>
        <v>1.0660630030073506E-3</v>
      </c>
      <c r="O578" s="7">
        <f>SUMIFS($D$2:D578,$B$2:B578,B578)/SUMIFS($D$2:$D$741,$B$2:$B$741,B578)</f>
        <v>0.99802580925369011</v>
      </c>
      <c r="P578" s="4" t="b">
        <f t="shared" ref="P578:P641" si="29">O578-N578&lt;$W$2</f>
        <v>0</v>
      </c>
      <c r="Q578" s="4" t="s">
        <v>23</v>
      </c>
      <c r="R578" s="4" t="s">
        <v>289</v>
      </c>
      <c r="S578" s="4" t="s">
        <v>25</v>
      </c>
      <c r="T578" s="4" t="s">
        <v>290</v>
      </c>
    </row>
    <row r="579" spans="1:20" x14ac:dyDescent="0.45">
      <c r="A579" s="4" t="s">
        <v>747</v>
      </c>
      <c r="B579" s="4" t="s">
        <v>687</v>
      </c>
      <c r="C579" s="5">
        <v>2</v>
      </c>
      <c r="D579" s="5">
        <v>120</v>
      </c>
      <c r="E579" s="5">
        <v>0</v>
      </c>
      <c r="F579" s="5">
        <v>0</v>
      </c>
      <c r="G579" s="5">
        <v>0</v>
      </c>
      <c r="H579" s="5">
        <v>120</v>
      </c>
      <c r="I579" s="6">
        <v>1</v>
      </c>
      <c r="J579" s="6">
        <v>1.5</v>
      </c>
      <c r="K579" s="6">
        <v>4</v>
      </c>
      <c r="L579" s="6">
        <v>4</v>
      </c>
      <c r="M579" s="4" t="str">
        <f t="shared" si="27"/>
        <v>OK</v>
      </c>
      <c r="N579" s="7">
        <f t="shared" si="28"/>
        <v>7.8967629852396337E-4</v>
      </c>
      <c r="O579" s="7">
        <f>SUMIFS($D$2:D579,$B$2:B579,B579)/SUMIFS($D$2:$D$741,$B$2:$B$741,B579)</f>
        <v>0.998815485552214</v>
      </c>
      <c r="P579" s="4" t="b">
        <f t="shared" si="29"/>
        <v>0</v>
      </c>
      <c r="Q579" s="4" t="s">
        <v>23</v>
      </c>
      <c r="R579" s="4" t="s">
        <v>30</v>
      </c>
      <c r="S579" s="4" t="s">
        <v>25</v>
      </c>
      <c r="T579" s="4" t="s">
        <v>31</v>
      </c>
    </row>
    <row r="580" spans="1:20" x14ac:dyDescent="0.45">
      <c r="A580" s="4" t="s">
        <v>748</v>
      </c>
      <c r="B580" s="4" t="s">
        <v>687</v>
      </c>
      <c r="C580" s="5">
        <v>1</v>
      </c>
      <c r="D580" s="5">
        <v>84</v>
      </c>
      <c r="E580" s="5">
        <v>41</v>
      </c>
      <c r="F580" s="5">
        <v>0</v>
      </c>
      <c r="G580" s="5">
        <v>0</v>
      </c>
      <c r="H580" s="5">
        <v>84</v>
      </c>
      <c r="I580" s="6">
        <v>1</v>
      </c>
      <c r="J580" s="6">
        <v>36.299999999999997</v>
      </c>
      <c r="K580" s="6">
        <v>198</v>
      </c>
      <c r="L580" s="6">
        <v>198.2</v>
      </c>
      <c r="M580" s="4" t="str">
        <f t="shared" si="27"/>
        <v>OK</v>
      </c>
      <c r="N580" s="7">
        <f t="shared" si="28"/>
        <v>5.527734089667744E-4</v>
      </c>
      <c r="O580" s="7">
        <f>SUMIFS($D$2:D580,$B$2:B580,B580)/SUMIFS($D$2:$D$741,$B$2:$B$741,B580)</f>
        <v>0.99936825896118087</v>
      </c>
      <c r="P580" s="4" t="b">
        <f t="shared" si="29"/>
        <v>0</v>
      </c>
      <c r="Q580" s="4" t="s">
        <v>23</v>
      </c>
      <c r="R580" s="4" t="s">
        <v>30</v>
      </c>
      <c r="S580" s="4" t="s">
        <v>25</v>
      </c>
      <c r="T580" s="4" t="s">
        <v>31</v>
      </c>
    </row>
    <row r="581" spans="1:20" x14ac:dyDescent="0.45">
      <c r="A581" s="4" t="s">
        <v>749</v>
      </c>
      <c r="B581" s="4" t="s">
        <v>687</v>
      </c>
      <c r="C581" s="5">
        <v>1</v>
      </c>
      <c r="D581" s="5">
        <v>52</v>
      </c>
      <c r="E581" s="5">
        <v>0</v>
      </c>
      <c r="F581" s="5">
        <v>0</v>
      </c>
      <c r="G581" s="5">
        <v>0</v>
      </c>
      <c r="H581" s="5">
        <v>52</v>
      </c>
      <c r="I581" s="6">
        <v>2</v>
      </c>
      <c r="J581" s="6">
        <v>5.3</v>
      </c>
      <c r="K581" s="6">
        <v>7</v>
      </c>
      <c r="L581" s="6">
        <v>6.9</v>
      </c>
      <c r="M581" s="4" t="str">
        <f t="shared" si="27"/>
        <v>OK</v>
      </c>
      <c r="N581" s="7">
        <f t="shared" si="28"/>
        <v>3.4219306269371748E-4</v>
      </c>
      <c r="O581" s="7">
        <f>SUMIFS($D$2:D581,$B$2:B581,B581)/SUMIFS($D$2:$D$741,$B$2:$B$741,B581)</f>
        <v>0.99971045202387454</v>
      </c>
      <c r="P581" s="4" t="b">
        <f t="shared" si="29"/>
        <v>0</v>
      </c>
      <c r="Q581" s="4" t="s">
        <v>23</v>
      </c>
      <c r="R581" s="4" t="s">
        <v>289</v>
      </c>
      <c r="S581" s="4" t="s">
        <v>25</v>
      </c>
      <c r="T581" s="4" t="s">
        <v>290</v>
      </c>
    </row>
    <row r="582" spans="1:20" x14ac:dyDescent="0.45">
      <c r="A582" s="4" t="s">
        <v>750</v>
      </c>
      <c r="B582" s="4" t="s">
        <v>687</v>
      </c>
      <c r="C582" s="5">
        <v>1</v>
      </c>
      <c r="D582" s="5">
        <v>40</v>
      </c>
      <c r="E582" s="5">
        <v>21</v>
      </c>
      <c r="F582" s="5">
        <v>0</v>
      </c>
      <c r="G582" s="5">
        <v>0</v>
      </c>
      <c r="H582" s="5">
        <v>40</v>
      </c>
      <c r="I582" s="6">
        <v>1</v>
      </c>
      <c r="J582" s="6">
        <v>2.8</v>
      </c>
      <c r="K582" s="6">
        <v>5</v>
      </c>
      <c r="L582" s="6">
        <v>5.2</v>
      </c>
      <c r="M582" s="4" t="str">
        <f t="shared" si="27"/>
        <v>OK</v>
      </c>
      <c r="N582" s="7">
        <f t="shared" si="28"/>
        <v>2.6322543284132112E-4</v>
      </c>
      <c r="O582" s="7">
        <f>SUMIFS($D$2:D582,$B$2:B582,B582)/SUMIFS($D$2:$D$741,$B$2:$B$741,B582)</f>
        <v>0.99997367745671584</v>
      </c>
      <c r="P582" s="4" t="b">
        <f t="shared" si="29"/>
        <v>0</v>
      </c>
      <c r="Q582" s="4" t="s">
        <v>23</v>
      </c>
      <c r="R582" s="4" t="s">
        <v>30</v>
      </c>
      <c r="S582" s="4" t="s">
        <v>25</v>
      </c>
      <c r="T582" s="4" t="s">
        <v>31</v>
      </c>
    </row>
    <row r="583" spans="1:20" x14ac:dyDescent="0.45">
      <c r="A583" s="4" t="s">
        <v>751</v>
      </c>
      <c r="B583" s="4" t="s">
        <v>687</v>
      </c>
      <c r="C583" s="5">
        <v>1</v>
      </c>
      <c r="D583" s="5">
        <v>4</v>
      </c>
      <c r="E583" s="5">
        <v>4</v>
      </c>
      <c r="F583" s="5">
        <v>0</v>
      </c>
      <c r="G583" s="5">
        <v>0</v>
      </c>
      <c r="H583" s="5">
        <v>4</v>
      </c>
      <c r="I583" s="6">
        <v>5.5</v>
      </c>
      <c r="J583" s="6">
        <v>5</v>
      </c>
      <c r="K583" s="6">
        <v>7</v>
      </c>
      <c r="L583" s="6">
        <v>6.7</v>
      </c>
      <c r="M583" s="4" t="str">
        <f t="shared" si="27"/>
        <v>OK</v>
      </c>
      <c r="N583" s="7">
        <f t="shared" si="28"/>
        <v>2.6322543284132112E-5</v>
      </c>
      <c r="O583" s="7">
        <f>SUMIFS($D$2:D583,$B$2:B583,B583)/SUMIFS($D$2:$D$741,$B$2:$B$741,B583)</f>
        <v>1</v>
      </c>
      <c r="P583" s="4" t="b">
        <f t="shared" si="29"/>
        <v>0</v>
      </c>
      <c r="Q583" s="4" t="s">
        <v>23</v>
      </c>
      <c r="R583" s="4" t="s">
        <v>105</v>
      </c>
      <c r="S583" s="4" t="s">
        <v>25</v>
      </c>
      <c r="T583" s="4" t="s">
        <v>106</v>
      </c>
    </row>
    <row r="584" spans="1:20" x14ac:dyDescent="0.45">
      <c r="A584" s="9" t="s">
        <v>752</v>
      </c>
      <c r="B584" s="9" t="s">
        <v>753</v>
      </c>
      <c r="C584" s="10">
        <v>2</v>
      </c>
      <c r="D584" s="10">
        <v>4100</v>
      </c>
      <c r="E584" s="10">
        <v>939</v>
      </c>
      <c r="F584" s="10">
        <v>2</v>
      </c>
      <c r="G584" s="10">
        <v>1</v>
      </c>
      <c r="H584" s="10">
        <v>4098</v>
      </c>
      <c r="I584" s="11">
        <v>1</v>
      </c>
      <c r="J584" s="11">
        <v>1.3</v>
      </c>
      <c r="K584" s="11">
        <v>3</v>
      </c>
      <c r="L584" s="11">
        <v>3</v>
      </c>
      <c r="M584" s="9" t="str">
        <f t="shared" si="27"/>
        <v>OK</v>
      </c>
      <c r="N584" s="12">
        <f t="shared" si="28"/>
        <v>0.50067163267798265</v>
      </c>
      <c r="O584" s="12">
        <f>SUMIFS($D$2:D584,$B$2:B584,B584)/SUMIFS($D$2:$D$741,$B$2:$B$741,B584)</f>
        <v>0.50067163267798265</v>
      </c>
      <c r="P584" s="9" t="b">
        <f t="shared" si="29"/>
        <v>1</v>
      </c>
      <c r="Q584" s="9" t="s">
        <v>23</v>
      </c>
      <c r="R584" s="9" t="s">
        <v>75</v>
      </c>
      <c r="S584" s="9" t="s">
        <v>25</v>
      </c>
      <c r="T584" s="9" t="s">
        <v>76</v>
      </c>
    </row>
    <row r="585" spans="1:20" x14ac:dyDescent="0.45">
      <c r="A585" s="4" t="s">
        <v>754</v>
      </c>
      <c r="B585" s="4" t="s">
        <v>753</v>
      </c>
      <c r="C585" s="5">
        <v>2</v>
      </c>
      <c r="D585" s="5">
        <v>2206</v>
      </c>
      <c r="E585" s="5">
        <v>421</v>
      </c>
      <c r="F585" s="5">
        <v>3</v>
      </c>
      <c r="G585" s="5">
        <v>0</v>
      </c>
      <c r="H585" s="5">
        <v>2203</v>
      </c>
      <c r="I585" s="6">
        <v>2</v>
      </c>
      <c r="J585" s="6">
        <v>3</v>
      </c>
      <c r="K585" s="6">
        <v>6</v>
      </c>
      <c r="L585" s="6">
        <v>6</v>
      </c>
      <c r="M585" s="4" t="str">
        <f t="shared" si="27"/>
        <v>OK</v>
      </c>
      <c r="N585" s="7">
        <f t="shared" si="28"/>
        <v>0.26938576138722675</v>
      </c>
      <c r="O585" s="7">
        <f>SUMIFS($D$2:D585,$B$2:B585,B585)/SUMIFS($D$2:$D$741,$B$2:$B$741,B585)</f>
        <v>0.77005739406520946</v>
      </c>
      <c r="P585" s="4" t="b">
        <f t="shared" si="29"/>
        <v>1</v>
      </c>
      <c r="Q585" s="4" t="s">
        <v>23</v>
      </c>
      <c r="R585" s="4" t="s">
        <v>75</v>
      </c>
      <c r="S585" s="4" t="s">
        <v>25</v>
      </c>
      <c r="T585" s="4" t="s">
        <v>76</v>
      </c>
    </row>
    <row r="586" spans="1:20" x14ac:dyDescent="0.45">
      <c r="A586" s="4" t="s">
        <v>755</v>
      </c>
      <c r="B586" s="4" t="s">
        <v>753</v>
      </c>
      <c r="C586" s="5">
        <v>2</v>
      </c>
      <c r="D586" s="5">
        <v>1603</v>
      </c>
      <c r="E586" s="5">
        <v>376</v>
      </c>
      <c r="F586" s="5">
        <v>0</v>
      </c>
      <c r="G586" s="5">
        <v>0</v>
      </c>
      <c r="H586" s="5">
        <v>1603</v>
      </c>
      <c r="I586" s="6">
        <v>1</v>
      </c>
      <c r="J586" s="6">
        <v>3.5</v>
      </c>
      <c r="K586" s="6">
        <v>7</v>
      </c>
      <c r="L586" s="6">
        <v>7</v>
      </c>
      <c r="M586" s="4" t="str">
        <f t="shared" si="27"/>
        <v>OK</v>
      </c>
      <c r="N586" s="7">
        <f t="shared" si="28"/>
        <v>0.19575039687385518</v>
      </c>
      <c r="O586" s="7">
        <f>SUMIFS($D$2:D586,$B$2:B586,B586)/SUMIFS($D$2:$D$741,$B$2:$B$741,B586)</f>
        <v>0.96580779093906455</v>
      </c>
      <c r="P586" s="4" t="b">
        <f t="shared" si="29"/>
        <v>1</v>
      </c>
      <c r="Q586" s="4" t="s">
        <v>23</v>
      </c>
      <c r="R586" s="4" t="s">
        <v>75</v>
      </c>
      <c r="S586" s="4" t="s">
        <v>25</v>
      </c>
      <c r="T586" s="4" t="s">
        <v>76</v>
      </c>
    </row>
    <row r="587" spans="1:20" x14ac:dyDescent="0.45">
      <c r="A587" s="4" t="s">
        <v>756</v>
      </c>
      <c r="B587" s="4" t="s">
        <v>753</v>
      </c>
      <c r="C587" s="5">
        <v>1</v>
      </c>
      <c r="D587" s="5">
        <v>111</v>
      </c>
      <c r="E587" s="5">
        <v>111</v>
      </c>
      <c r="F587" s="5">
        <v>1</v>
      </c>
      <c r="G587" s="5">
        <v>0</v>
      </c>
      <c r="H587" s="5">
        <v>110</v>
      </c>
      <c r="I587" s="6">
        <v>1.5</v>
      </c>
      <c r="J587" s="6">
        <v>2.9</v>
      </c>
      <c r="K587" s="6">
        <v>4</v>
      </c>
      <c r="L587" s="6">
        <v>4</v>
      </c>
      <c r="M587" s="4" t="str">
        <f t="shared" si="27"/>
        <v>OK</v>
      </c>
      <c r="N587" s="7">
        <f t="shared" si="28"/>
        <v>1.3554768592013678E-2</v>
      </c>
      <c r="O587" s="7">
        <f>SUMIFS($D$2:D587,$B$2:B587,B587)/SUMIFS($D$2:$D$741,$B$2:$B$741,B587)</f>
        <v>0.97936255953107831</v>
      </c>
      <c r="P587" s="4" t="b">
        <f t="shared" si="29"/>
        <v>0</v>
      </c>
      <c r="Q587" s="4" t="s">
        <v>23</v>
      </c>
      <c r="R587" s="4" t="s">
        <v>464</v>
      </c>
      <c r="S587" s="4" t="s">
        <v>25</v>
      </c>
      <c r="T587" s="4" t="s">
        <v>465</v>
      </c>
    </row>
    <row r="588" spans="1:20" x14ac:dyDescent="0.45">
      <c r="A588" s="4" t="s">
        <v>757</v>
      </c>
      <c r="B588" s="4" t="s">
        <v>753</v>
      </c>
      <c r="C588" s="5">
        <v>1</v>
      </c>
      <c r="D588" s="5">
        <v>93</v>
      </c>
      <c r="E588" s="5">
        <v>93</v>
      </c>
      <c r="F588" s="5">
        <v>1</v>
      </c>
      <c r="G588" s="5">
        <v>0</v>
      </c>
      <c r="H588" s="5">
        <v>92</v>
      </c>
      <c r="I588" s="6">
        <v>5</v>
      </c>
      <c r="J588" s="6">
        <v>5.0999999999999996</v>
      </c>
      <c r="K588" s="6">
        <v>9</v>
      </c>
      <c r="L588" s="6">
        <v>8.9</v>
      </c>
      <c r="M588" s="4" t="str">
        <f t="shared" si="27"/>
        <v>OK</v>
      </c>
      <c r="N588" s="7">
        <f t="shared" si="28"/>
        <v>1.1356698009524973E-2</v>
      </c>
      <c r="O588" s="7">
        <f>SUMIFS($D$2:D588,$B$2:B588,B588)/SUMIFS($D$2:$D$741,$B$2:$B$741,B588)</f>
        <v>0.99071925754060319</v>
      </c>
      <c r="P588" s="4" t="b">
        <f t="shared" si="29"/>
        <v>0</v>
      </c>
      <c r="Q588" s="4" t="s">
        <v>23</v>
      </c>
      <c r="R588" s="4" t="s">
        <v>464</v>
      </c>
      <c r="S588" s="4" t="s">
        <v>25</v>
      </c>
      <c r="T588" s="4" t="s">
        <v>465</v>
      </c>
    </row>
    <row r="589" spans="1:20" x14ac:dyDescent="0.45">
      <c r="A589" s="4" t="s">
        <v>758</v>
      </c>
      <c r="B589" s="4" t="s">
        <v>753</v>
      </c>
      <c r="C589" s="5">
        <v>1</v>
      </c>
      <c r="D589" s="5">
        <v>76</v>
      </c>
      <c r="E589" s="5">
        <v>76</v>
      </c>
      <c r="F589" s="5">
        <v>0</v>
      </c>
      <c r="G589" s="5">
        <v>0</v>
      </c>
      <c r="H589" s="5">
        <v>76</v>
      </c>
      <c r="I589" s="6">
        <v>1.5</v>
      </c>
      <c r="J589" s="6">
        <v>2.2999999999999998</v>
      </c>
      <c r="K589" s="6">
        <v>5</v>
      </c>
      <c r="L589" s="6">
        <v>5</v>
      </c>
      <c r="M589" s="4" t="str">
        <f t="shared" si="27"/>
        <v>OK</v>
      </c>
      <c r="N589" s="7">
        <f t="shared" si="28"/>
        <v>9.2807424593967514E-3</v>
      </c>
      <c r="O589" s="7">
        <f>SUMIFS($D$2:D589,$B$2:B589,B589)/SUMIFS($D$2:$D$741,$B$2:$B$741,B589)</f>
        <v>1</v>
      </c>
      <c r="P589" s="4" t="b">
        <f t="shared" si="29"/>
        <v>0</v>
      </c>
      <c r="Q589" s="4" t="s">
        <v>23</v>
      </c>
      <c r="R589" s="4" t="s">
        <v>464</v>
      </c>
      <c r="S589" s="4" t="s">
        <v>25</v>
      </c>
      <c r="T589" s="4" t="s">
        <v>465</v>
      </c>
    </row>
    <row r="590" spans="1:20" x14ac:dyDescent="0.45">
      <c r="A590" s="9" t="s">
        <v>759</v>
      </c>
      <c r="B590" s="9" t="s">
        <v>760</v>
      </c>
      <c r="C590" s="10">
        <v>1</v>
      </c>
      <c r="D590" s="10">
        <v>86</v>
      </c>
      <c r="E590" s="10">
        <v>86</v>
      </c>
      <c r="F590" s="10">
        <v>3</v>
      </c>
      <c r="G590" s="10">
        <v>1</v>
      </c>
      <c r="H590" s="10">
        <v>83</v>
      </c>
      <c r="I590" s="11">
        <v>1</v>
      </c>
      <c r="J590" s="11">
        <v>1.7</v>
      </c>
      <c r="K590" s="11">
        <v>3</v>
      </c>
      <c r="L590" s="11">
        <v>3</v>
      </c>
      <c r="M590" s="9" t="str">
        <f t="shared" si="27"/>
        <v>OK</v>
      </c>
      <c r="N590" s="12">
        <f t="shared" si="28"/>
        <v>1</v>
      </c>
      <c r="O590" s="12">
        <f>SUMIFS($D$2:D590,$B$2:B590,B590)/SUMIFS($D$2:$D$741,$B$2:$B$741,B590)</f>
        <v>1</v>
      </c>
      <c r="P590" s="9" t="b">
        <f t="shared" si="29"/>
        <v>1</v>
      </c>
      <c r="Q590" s="9" t="s">
        <v>23</v>
      </c>
      <c r="R590" s="9" t="s">
        <v>30</v>
      </c>
      <c r="S590" s="9" t="s">
        <v>109</v>
      </c>
      <c r="T590" s="9" t="s">
        <v>761</v>
      </c>
    </row>
    <row r="591" spans="1:20" x14ac:dyDescent="0.45">
      <c r="A591" s="9" t="s">
        <v>762</v>
      </c>
      <c r="B591" s="9" t="s">
        <v>763</v>
      </c>
      <c r="C591" s="10">
        <v>2</v>
      </c>
      <c r="D591" s="10">
        <v>15182</v>
      </c>
      <c r="E591" s="10">
        <v>3546</v>
      </c>
      <c r="F591" s="10">
        <v>26</v>
      </c>
      <c r="G591" s="10">
        <v>0</v>
      </c>
      <c r="H591" s="10">
        <v>15156</v>
      </c>
      <c r="I591" s="11">
        <v>1</v>
      </c>
      <c r="J591" s="11">
        <v>2.5</v>
      </c>
      <c r="K591" s="11">
        <v>4</v>
      </c>
      <c r="L591" s="11">
        <v>4</v>
      </c>
      <c r="M591" s="9" t="str">
        <f t="shared" si="27"/>
        <v>OK</v>
      </c>
      <c r="N591" s="12">
        <f t="shared" si="28"/>
        <v>1</v>
      </c>
      <c r="O591" s="12">
        <f>SUMIFS($D$2:D591,$B$2:B591,B591)/SUMIFS($D$2:$D$741,$B$2:$B$741,B591)</f>
        <v>1</v>
      </c>
      <c r="P591" s="9" t="b">
        <f t="shared" si="29"/>
        <v>1</v>
      </c>
      <c r="Q591" s="9" t="s">
        <v>192</v>
      </c>
      <c r="R591" s="9" t="s">
        <v>649</v>
      </c>
      <c r="S591" s="9" t="s">
        <v>25</v>
      </c>
      <c r="T591" s="9" t="s">
        <v>650</v>
      </c>
    </row>
    <row r="592" spans="1:20" x14ac:dyDescent="0.45">
      <c r="A592" s="9" t="s">
        <v>764</v>
      </c>
      <c r="B592" s="9" t="s">
        <v>765</v>
      </c>
      <c r="C592" s="10">
        <v>1</v>
      </c>
      <c r="D592" s="10">
        <v>7</v>
      </c>
      <c r="E592" s="10">
        <v>0</v>
      </c>
      <c r="F592" s="10">
        <v>0</v>
      </c>
      <c r="G592" s="10">
        <v>0</v>
      </c>
      <c r="H592" s="10">
        <v>7</v>
      </c>
      <c r="I592" s="11">
        <v>2</v>
      </c>
      <c r="J592" s="11">
        <v>36.9</v>
      </c>
      <c r="K592" s="11">
        <v>100</v>
      </c>
      <c r="L592" s="11">
        <v>100.4</v>
      </c>
      <c r="M592" s="9" t="str">
        <f t="shared" si="27"/>
        <v>OK</v>
      </c>
      <c r="N592" s="12">
        <f t="shared" si="28"/>
        <v>0.7</v>
      </c>
      <c r="O592" s="12">
        <f>SUMIFS($D$2:D592,$B$2:B592,B592)/SUMIFS($D$2:$D$741,$B$2:$B$741,B592)</f>
        <v>0.7</v>
      </c>
      <c r="P592" s="9" t="b">
        <f t="shared" si="29"/>
        <v>1</v>
      </c>
      <c r="Q592" s="9" t="s">
        <v>23</v>
      </c>
      <c r="R592" s="9" t="s">
        <v>75</v>
      </c>
      <c r="S592" s="9" t="s">
        <v>25</v>
      </c>
      <c r="T592" s="9" t="s">
        <v>76</v>
      </c>
    </row>
    <row r="593" spans="1:20" x14ac:dyDescent="0.45">
      <c r="A593" s="4" t="s">
        <v>766</v>
      </c>
      <c r="B593" s="4" t="s">
        <v>765</v>
      </c>
      <c r="C593" s="5">
        <v>1</v>
      </c>
      <c r="D593" s="5">
        <v>3</v>
      </c>
      <c r="E593" s="5">
        <v>3</v>
      </c>
      <c r="F593" s="5">
        <v>0</v>
      </c>
      <c r="G593" s="5">
        <v>0</v>
      </c>
      <c r="H593" s="5">
        <v>3</v>
      </c>
      <c r="I593" s="6">
        <v>3</v>
      </c>
      <c r="J593" s="6">
        <v>3.3</v>
      </c>
      <c r="K593" s="6">
        <v>5</v>
      </c>
      <c r="L593" s="6">
        <v>5.4</v>
      </c>
      <c r="M593" s="4" t="str">
        <f t="shared" si="27"/>
        <v>OK</v>
      </c>
      <c r="N593" s="7">
        <f t="shared" si="28"/>
        <v>0.3</v>
      </c>
      <c r="O593" s="7">
        <f>SUMIFS($D$2:D593,$B$2:B593,B593)/SUMIFS($D$2:$D$741,$B$2:$B$741,B593)</f>
        <v>1</v>
      </c>
      <c r="P593" s="4" t="b">
        <f t="shared" si="29"/>
        <v>1</v>
      </c>
      <c r="Q593" s="4" t="s">
        <v>23</v>
      </c>
      <c r="R593" s="4" t="s">
        <v>30</v>
      </c>
      <c r="S593" s="4" t="s">
        <v>25</v>
      </c>
      <c r="T593" s="4" t="s">
        <v>31</v>
      </c>
    </row>
    <row r="594" spans="1:20" x14ac:dyDescent="0.45">
      <c r="A594" s="9" t="s">
        <v>767</v>
      </c>
      <c r="B594" s="9" t="s">
        <v>768</v>
      </c>
      <c r="C594" s="10">
        <v>1</v>
      </c>
      <c r="D594" s="10">
        <v>1</v>
      </c>
      <c r="E594" s="10">
        <v>0</v>
      </c>
      <c r="F594" s="10">
        <v>0</v>
      </c>
      <c r="G594" s="10">
        <v>0</v>
      </c>
      <c r="H594" s="10">
        <v>1</v>
      </c>
      <c r="I594" s="11">
        <v>31</v>
      </c>
      <c r="J594" s="11">
        <v>31</v>
      </c>
      <c r="K594" s="11">
        <v>31</v>
      </c>
      <c r="L594" s="11">
        <v>31</v>
      </c>
      <c r="M594" s="9" t="str">
        <f t="shared" si="27"/>
        <v>OK</v>
      </c>
      <c r="N594" s="12">
        <f t="shared" si="28"/>
        <v>1</v>
      </c>
      <c r="O594" s="12">
        <f>SUMIFS($D$2:D594,$B$2:B594,B594)/SUMIFS($D$2:$D$741,$B$2:$B$741,B594)</f>
        <v>1</v>
      </c>
      <c r="P594" s="9" t="b">
        <f t="shared" si="29"/>
        <v>1</v>
      </c>
      <c r="Q594" s="9" t="s">
        <v>23</v>
      </c>
      <c r="R594" s="9" t="s">
        <v>30</v>
      </c>
      <c r="S594" s="9" t="s">
        <v>25</v>
      </c>
      <c r="T594" s="9" t="s">
        <v>31</v>
      </c>
    </row>
    <row r="595" spans="1:20" x14ac:dyDescent="0.45">
      <c r="A595" s="9" t="s">
        <v>769</v>
      </c>
      <c r="B595" s="9" t="s">
        <v>770</v>
      </c>
      <c r="C595" s="10">
        <v>2</v>
      </c>
      <c r="D595" s="10">
        <v>4028</v>
      </c>
      <c r="E595" s="10">
        <v>0</v>
      </c>
      <c r="F595" s="10">
        <v>1</v>
      </c>
      <c r="G595" s="10">
        <v>1</v>
      </c>
      <c r="H595" s="10">
        <v>4027</v>
      </c>
      <c r="I595" s="11">
        <v>3</v>
      </c>
      <c r="J595" s="11">
        <v>3.9</v>
      </c>
      <c r="K595" s="11">
        <v>7</v>
      </c>
      <c r="L595" s="11">
        <v>7</v>
      </c>
      <c r="M595" s="9" t="str">
        <f t="shared" si="27"/>
        <v>OK</v>
      </c>
      <c r="N595" s="12">
        <f t="shared" si="28"/>
        <v>0.41607271976035531</v>
      </c>
      <c r="O595" s="12">
        <f>SUMIFS($D$2:D595,$B$2:B595,B595)/SUMIFS($D$2:$D$741,$B$2:$B$741,B595)</f>
        <v>0.41607271976035531</v>
      </c>
      <c r="P595" s="9" t="b">
        <f t="shared" si="29"/>
        <v>1</v>
      </c>
      <c r="Q595" s="9" t="s">
        <v>23</v>
      </c>
      <c r="R595" s="9" t="s">
        <v>100</v>
      </c>
      <c r="S595" s="9" t="s">
        <v>25</v>
      </c>
      <c r="T595" s="9" t="s">
        <v>101</v>
      </c>
    </row>
    <row r="596" spans="1:20" x14ac:dyDescent="0.45">
      <c r="A596" s="4" t="s">
        <v>771</v>
      </c>
      <c r="B596" s="4" t="s">
        <v>770</v>
      </c>
      <c r="C596" s="5">
        <v>2</v>
      </c>
      <c r="D596" s="5">
        <v>3056</v>
      </c>
      <c r="E596" s="5">
        <v>0</v>
      </c>
      <c r="F596" s="5">
        <v>0</v>
      </c>
      <c r="G596" s="5">
        <v>0</v>
      </c>
      <c r="H596" s="5">
        <v>3056</v>
      </c>
      <c r="I596" s="6">
        <v>5</v>
      </c>
      <c r="J596" s="6">
        <v>5.4</v>
      </c>
      <c r="K596" s="6">
        <v>10</v>
      </c>
      <c r="L596" s="6">
        <v>10</v>
      </c>
      <c r="M596" s="4" t="str">
        <f t="shared" si="27"/>
        <v>OK</v>
      </c>
      <c r="N596" s="7">
        <f t="shared" si="28"/>
        <v>0.31566986881520503</v>
      </c>
      <c r="O596" s="7">
        <f>SUMIFS($D$2:D596,$B$2:B596,B596)/SUMIFS($D$2:$D$741,$B$2:$B$741,B596)</f>
        <v>0.7317425885755604</v>
      </c>
      <c r="P596" s="4" t="b">
        <f t="shared" si="29"/>
        <v>1</v>
      </c>
      <c r="Q596" s="4" t="s">
        <v>23</v>
      </c>
      <c r="R596" s="4" t="s">
        <v>100</v>
      </c>
      <c r="S596" s="4" t="s">
        <v>25</v>
      </c>
      <c r="T596" s="4" t="s">
        <v>101</v>
      </c>
    </row>
    <row r="597" spans="1:20" x14ac:dyDescent="0.45">
      <c r="A597" s="4" t="s">
        <v>772</v>
      </c>
      <c r="B597" s="4" t="s">
        <v>770</v>
      </c>
      <c r="C597" s="5">
        <v>2</v>
      </c>
      <c r="D597" s="5">
        <v>1371</v>
      </c>
      <c r="E597" s="5">
        <v>0</v>
      </c>
      <c r="F597" s="5">
        <v>0</v>
      </c>
      <c r="G597" s="5">
        <v>0</v>
      </c>
      <c r="H597" s="5">
        <v>1371</v>
      </c>
      <c r="I597" s="6">
        <v>0</v>
      </c>
      <c r="J597" s="6">
        <v>0.8</v>
      </c>
      <c r="K597" s="6">
        <v>2</v>
      </c>
      <c r="L597" s="6">
        <v>2</v>
      </c>
      <c r="M597" s="4" t="str">
        <f t="shared" si="27"/>
        <v>OK</v>
      </c>
      <c r="N597" s="7">
        <f t="shared" si="28"/>
        <v>0.14161760148744965</v>
      </c>
      <c r="O597" s="7">
        <f>SUMIFS($D$2:D597,$B$2:B597,B597)/SUMIFS($D$2:$D$741,$B$2:$B$741,B597)</f>
        <v>0.87336019006301002</v>
      </c>
      <c r="P597" s="4" t="b">
        <f t="shared" si="29"/>
        <v>1</v>
      </c>
      <c r="Q597" s="4" t="s">
        <v>23</v>
      </c>
      <c r="R597" s="4" t="s">
        <v>30</v>
      </c>
      <c r="S597" s="4" t="s">
        <v>25</v>
      </c>
      <c r="T597" s="4" t="s">
        <v>31</v>
      </c>
    </row>
    <row r="598" spans="1:20" x14ac:dyDescent="0.45">
      <c r="A598" s="4" t="s">
        <v>773</v>
      </c>
      <c r="B598" s="4" t="s">
        <v>770</v>
      </c>
      <c r="C598" s="5">
        <v>2</v>
      </c>
      <c r="D598" s="5">
        <v>970</v>
      </c>
      <c r="E598" s="5">
        <v>0</v>
      </c>
      <c r="F598" s="5">
        <v>0</v>
      </c>
      <c r="G598" s="5">
        <v>0</v>
      </c>
      <c r="H598" s="5">
        <v>970</v>
      </c>
      <c r="I598" s="6">
        <v>15</v>
      </c>
      <c r="J598" s="6">
        <v>18.8</v>
      </c>
      <c r="K598" s="6">
        <v>35</v>
      </c>
      <c r="L598" s="6">
        <v>35</v>
      </c>
      <c r="M598" s="4" t="str">
        <f t="shared" si="27"/>
        <v>OK</v>
      </c>
      <c r="N598" s="7">
        <f t="shared" si="28"/>
        <v>0.10019626071686809</v>
      </c>
      <c r="O598" s="7">
        <f>SUMIFS($D$2:D598,$B$2:B598,B598)/SUMIFS($D$2:$D$741,$B$2:$B$741,B598)</f>
        <v>0.97355645077987807</v>
      </c>
      <c r="P598" s="4" t="b">
        <f t="shared" si="29"/>
        <v>1</v>
      </c>
      <c r="Q598" s="4" t="s">
        <v>23</v>
      </c>
      <c r="R598" s="4" t="s">
        <v>30</v>
      </c>
      <c r="S598" s="4" t="s">
        <v>25</v>
      </c>
      <c r="T598" s="4" t="s">
        <v>31</v>
      </c>
    </row>
    <row r="599" spans="1:20" x14ac:dyDescent="0.45">
      <c r="A599" s="4" t="s">
        <v>774</v>
      </c>
      <c r="B599" s="4" t="s">
        <v>770</v>
      </c>
      <c r="C599" s="5">
        <v>2</v>
      </c>
      <c r="D599" s="5">
        <v>132</v>
      </c>
      <c r="E599" s="5">
        <v>0</v>
      </c>
      <c r="F599" s="5">
        <v>0</v>
      </c>
      <c r="G599" s="5">
        <v>0</v>
      </c>
      <c r="H599" s="5">
        <v>132</v>
      </c>
      <c r="I599" s="6">
        <v>1</v>
      </c>
      <c r="J599" s="6">
        <v>8.6</v>
      </c>
      <c r="K599" s="6">
        <v>40</v>
      </c>
      <c r="L599" s="6">
        <v>39.9</v>
      </c>
      <c r="M599" s="4" t="str">
        <f t="shared" si="27"/>
        <v>OK</v>
      </c>
      <c r="N599" s="7">
        <f t="shared" si="28"/>
        <v>1.3634955066625348E-2</v>
      </c>
      <c r="O599" s="7">
        <f>SUMIFS($D$2:D599,$B$2:B599,B599)/SUMIFS($D$2:$D$741,$B$2:$B$741,B599)</f>
        <v>0.98719140584650344</v>
      </c>
      <c r="P599" s="4" t="b">
        <f t="shared" si="29"/>
        <v>0</v>
      </c>
      <c r="Q599" s="4" t="s">
        <v>23</v>
      </c>
      <c r="R599" s="4" t="s">
        <v>100</v>
      </c>
      <c r="S599" s="4" t="s">
        <v>25</v>
      </c>
      <c r="T599" s="4" t="s">
        <v>101</v>
      </c>
    </row>
    <row r="600" spans="1:20" x14ac:dyDescent="0.45">
      <c r="A600" s="4" t="s">
        <v>775</v>
      </c>
      <c r="B600" s="4" t="s">
        <v>770</v>
      </c>
      <c r="C600" s="5">
        <v>2</v>
      </c>
      <c r="D600" s="5">
        <v>54</v>
      </c>
      <c r="E600" s="5">
        <v>0</v>
      </c>
      <c r="F600" s="5">
        <v>0</v>
      </c>
      <c r="G600" s="5">
        <v>0</v>
      </c>
      <c r="H600" s="5">
        <v>54</v>
      </c>
      <c r="I600" s="6">
        <v>4</v>
      </c>
      <c r="J600" s="6">
        <v>4</v>
      </c>
      <c r="K600" s="6">
        <v>7</v>
      </c>
      <c r="L600" s="6">
        <v>7</v>
      </c>
      <c r="M600" s="4" t="str">
        <f t="shared" si="27"/>
        <v>OK</v>
      </c>
      <c r="N600" s="7">
        <f t="shared" si="28"/>
        <v>5.5779361636194612E-3</v>
      </c>
      <c r="O600" s="7">
        <f>SUMIFS($D$2:D600,$B$2:B600,B600)/SUMIFS($D$2:$D$741,$B$2:$B$741,B600)</f>
        <v>0.9927693420101229</v>
      </c>
      <c r="P600" s="4" t="b">
        <f t="shared" si="29"/>
        <v>0</v>
      </c>
      <c r="Q600" s="4" t="s">
        <v>23</v>
      </c>
      <c r="R600" s="4" t="s">
        <v>100</v>
      </c>
      <c r="S600" s="4" t="s">
        <v>25</v>
      </c>
      <c r="T600" s="4" t="s">
        <v>101</v>
      </c>
    </row>
    <row r="601" spans="1:20" x14ac:dyDescent="0.45">
      <c r="A601" s="4" t="s">
        <v>776</v>
      </c>
      <c r="B601" s="4" t="s">
        <v>770</v>
      </c>
      <c r="C601" s="5">
        <v>2</v>
      </c>
      <c r="D601" s="5">
        <v>50</v>
      </c>
      <c r="E601" s="5">
        <v>0</v>
      </c>
      <c r="F601" s="5">
        <v>0</v>
      </c>
      <c r="G601" s="5">
        <v>0</v>
      </c>
      <c r="H601" s="5">
        <v>50</v>
      </c>
      <c r="I601" s="6">
        <v>0</v>
      </c>
      <c r="J601" s="6">
        <v>2.2000000000000002</v>
      </c>
      <c r="K601" s="6">
        <v>3</v>
      </c>
      <c r="L601" s="6">
        <v>3</v>
      </c>
      <c r="M601" s="4" t="str">
        <f t="shared" si="27"/>
        <v>OK</v>
      </c>
      <c r="N601" s="7">
        <f t="shared" si="28"/>
        <v>5.164755707055056E-3</v>
      </c>
      <c r="O601" s="7">
        <f>SUMIFS($D$2:D601,$B$2:B601,B601)/SUMIFS($D$2:$D$741,$B$2:$B$741,B601)</f>
        <v>0.997934097717178</v>
      </c>
      <c r="P601" s="4" t="b">
        <f t="shared" si="29"/>
        <v>0</v>
      </c>
      <c r="Q601" s="4" t="s">
        <v>23</v>
      </c>
      <c r="R601" s="4" t="s">
        <v>100</v>
      </c>
      <c r="S601" s="4" t="s">
        <v>25</v>
      </c>
      <c r="T601" s="4" t="s">
        <v>101</v>
      </c>
    </row>
    <row r="602" spans="1:20" x14ac:dyDescent="0.45">
      <c r="A602" s="4" t="s">
        <v>777</v>
      </c>
      <c r="B602" s="4" t="s">
        <v>770</v>
      </c>
      <c r="C602" s="5">
        <v>2</v>
      </c>
      <c r="D602" s="5">
        <v>14</v>
      </c>
      <c r="E602" s="5">
        <v>0</v>
      </c>
      <c r="F602" s="5">
        <v>0</v>
      </c>
      <c r="G602" s="5">
        <v>0</v>
      </c>
      <c r="H602" s="5">
        <v>14</v>
      </c>
      <c r="I602" s="6">
        <v>2</v>
      </c>
      <c r="J602" s="6">
        <v>4.5999999999999996</v>
      </c>
      <c r="K602" s="6">
        <v>10</v>
      </c>
      <c r="L602" s="6">
        <v>9.6999999999999993</v>
      </c>
      <c r="M602" s="4" t="str">
        <f t="shared" si="27"/>
        <v>OK</v>
      </c>
      <c r="N602" s="7">
        <f t="shared" si="28"/>
        <v>1.4461315979754157E-3</v>
      </c>
      <c r="O602" s="7">
        <f>SUMIFS($D$2:D602,$B$2:B602,B602)/SUMIFS($D$2:$D$741,$B$2:$B$741,B602)</f>
        <v>0.99938022931515336</v>
      </c>
      <c r="P602" s="4" t="b">
        <f t="shared" si="29"/>
        <v>0</v>
      </c>
      <c r="Q602" s="4" t="s">
        <v>23</v>
      </c>
      <c r="R602" s="4" t="s">
        <v>30</v>
      </c>
      <c r="S602" s="4" t="s">
        <v>25</v>
      </c>
      <c r="T602" s="4" t="s">
        <v>31</v>
      </c>
    </row>
    <row r="603" spans="1:20" x14ac:dyDescent="0.45">
      <c r="A603" s="4" t="s">
        <v>778</v>
      </c>
      <c r="B603" s="4" t="s">
        <v>770</v>
      </c>
      <c r="C603" s="5">
        <v>1</v>
      </c>
      <c r="D603" s="5">
        <v>5</v>
      </c>
      <c r="E603" s="5">
        <v>0</v>
      </c>
      <c r="F603" s="5">
        <v>0</v>
      </c>
      <c r="G603" s="5">
        <v>0</v>
      </c>
      <c r="H603" s="5">
        <v>5</v>
      </c>
      <c r="I603" s="6">
        <v>1</v>
      </c>
      <c r="J603" s="6">
        <v>12.4</v>
      </c>
      <c r="K603" s="6">
        <v>35</v>
      </c>
      <c r="L603" s="6">
        <v>35</v>
      </c>
      <c r="M603" s="4" t="str">
        <f t="shared" si="27"/>
        <v>OK</v>
      </c>
      <c r="N603" s="7">
        <f t="shared" si="28"/>
        <v>5.164755707055056E-4</v>
      </c>
      <c r="O603" s="7">
        <f>SUMIFS($D$2:D603,$B$2:B603,B603)/SUMIFS($D$2:$D$741,$B$2:$B$741,B603)</f>
        <v>0.99989670488585891</v>
      </c>
      <c r="P603" s="4" t="b">
        <f t="shared" si="29"/>
        <v>0</v>
      </c>
      <c r="Q603" s="4" t="s">
        <v>23</v>
      </c>
      <c r="R603" s="4" t="s">
        <v>30</v>
      </c>
      <c r="S603" s="4" t="s">
        <v>25</v>
      </c>
      <c r="T603" s="4" t="s">
        <v>31</v>
      </c>
    </row>
    <row r="604" spans="1:20" x14ac:dyDescent="0.45">
      <c r="A604" s="4" t="s">
        <v>779</v>
      </c>
      <c r="B604" s="4" t="s">
        <v>770</v>
      </c>
      <c r="C604" s="5">
        <v>1</v>
      </c>
      <c r="D604" s="5">
        <v>1</v>
      </c>
      <c r="E604" s="5">
        <v>0</v>
      </c>
      <c r="F604" s="5">
        <v>0</v>
      </c>
      <c r="G604" s="5">
        <v>0</v>
      </c>
      <c r="H604" s="5">
        <v>1</v>
      </c>
      <c r="I604" s="6">
        <v>4</v>
      </c>
      <c r="J604" s="6">
        <v>4</v>
      </c>
      <c r="K604" s="6">
        <v>4</v>
      </c>
      <c r="L604" s="6">
        <v>4</v>
      </c>
      <c r="M604" s="4" t="str">
        <f t="shared" si="27"/>
        <v>OK</v>
      </c>
      <c r="N604" s="7">
        <f t="shared" si="28"/>
        <v>1.0329511414110113E-4</v>
      </c>
      <c r="O604" s="7">
        <f>SUMIFS($D$2:D604,$B$2:B604,B604)/SUMIFS($D$2:$D$741,$B$2:$B$741,B604)</f>
        <v>1</v>
      </c>
      <c r="P604" s="4" t="b">
        <f t="shared" si="29"/>
        <v>0</v>
      </c>
      <c r="Q604" s="4" t="s">
        <v>23</v>
      </c>
      <c r="R604" s="4" t="s">
        <v>30</v>
      </c>
      <c r="S604" s="4" t="s">
        <v>25</v>
      </c>
      <c r="T604" s="4" t="s">
        <v>31</v>
      </c>
    </row>
    <row r="605" spans="1:20" x14ac:dyDescent="0.45">
      <c r="A605" s="9" t="s">
        <v>780</v>
      </c>
      <c r="B605" s="9" t="s">
        <v>781</v>
      </c>
      <c r="C605" s="10">
        <v>1</v>
      </c>
      <c r="D605" s="10">
        <v>97</v>
      </c>
      <c r="E605" s="10">
        <v>97</v>
      </c>
      <c r="F605" s="10">
        <v>19</v>
      </c>
      <c r="G605" s="10">
        <v>0</v>
      </c>
      <c r="H605" s="10">
        <v>78</v>
      </c>
      <c r="I605" s="11">
        <v>14.5</v>
      </c>
      <c r="J605" s="11">
        <v>13.9</v>
      </c>
      <c r="K605" s="11">
        <v>22</v>
      </c>
      <c r="L605" s="11">
        <v>22</v>
      </c>
      <c r="M605" s="9" t="str">
        <f t="shared" si="27"/>
        <v>OK</v>
      </c>
      <c r="N605" s="12">
        <f t="shared" si="28"/>
        <v>0.42543859649122806</v>
      </c>
      <c r="O605" s="12">
        <f>SUMIFS($D$2:D605,$B$2:B605,B605)/SUMIFS($D$2:$D$741,$B$2:$B$741,B605)</f>
        <v>0.42543859649122806</v>
      </c>
      <c r="P605" s="9" t="b">
        <f t="shared" si="29"/>
        <v>1</v>
      </c>
      <c r="Q605" s="9" t="s">
        <v>23</v>
      </c>
      <c r="R605" s="9" t="s">
        <v>289</v>
      </c>
      <c r="S605" s="9" t="s">
        <v>25</v>
      </c>
      <c r="T605" s="9" t="s">
        <v>290</v>
      </c>
    </row>
    <row r="606" spans="1:20" x14ac:dyDescent="0.45">
      <c r="A606" s="4" t="s">
        <v>782</v>
      </c>
      <c r="B606" s="4" t="s">
        <v>781</v>
      </c>
      <c r="C606" s="5">
        <v>1</v>
      </c>
      <c r="D606" s="5">
        <v>61</v>
      </c>
      <c r="E606" s="5">
        <v>0</v>
      </c>
      <c r="F606" s="5">
        <v>0</v>
      </c>
      <c r="G606" s="5">
        <v>0</v>
      </c>
      <c r="H606" s="5">
        <v>61</v>
      </c>
      <c r="I606" s="6">
        <v>6</v>
      </c>
      <c r="J606" s="6">
        <v>11.2</v>
      </c>
      <c r="K606" s="6">
        <v>28</v>
      </c>
      <c r="L606" s="6">
        <v>28</v>
      </c>
      <c r="M606" s="4" t="str">
        <f t="shared" si="27"/>
        <v>OK</v>
      </c>
      <c r="N606" s="7">
        <f t="shared" si="28"/>
        <v>0.26754385964912281</v>
      </c>
      <c r="O606" s="7">
        <f>SUMIFS($D$2:D606,$B$2:B606,B606)/SUMIFS($D$2:$D$741,$B$2:$B$741,B606)</f>
        <v>0.69298245614035092</v>
      </c>
      <c r="P606" s="4" t="b">
        <f t="shared" si="29"/>
        <v>1</v>
      </c>
      <c r="Q606" s="4" t="s">
        <v>23</v>
      </c>
      <c r="R606" s="4" t="s">
        <v>75</v>
      </c>
      <c r="S606" s="4" t="s">
        <v>25</v>
      </c>
      <c r="T606" s="4" t="s">
        <v>76</v>
      </c>
    </row>
    <row r="607" spans="1:20" x14ac:dyDescent="0.45">
      <c r="A607" s="4" t="s">
        <v>783</v>
      </c>
      <c r="B607" s="4" t="s">
        <v>781</v>
      </c>
      <c r="C607" s="5">
        <v>1</v>
      </c>
      <c r="D607" s="5">
        <v>41</v>
      </c>
      <c r="E607" s="5">
        <v>25</v>
      </c>
      <c r="F607" s="5">
        <v>1</v>
      </c>
      <c r="G607" s="5">
        <v>0</v>
      </c>
      <c r="H607" s="5">
        <v>40</v>
      </c>
      <c r="I607" s="6">
        <v>6</v>
      </c>
      <c r="J607" s="6">
        <v>36.4</v>
      </c>
      <c r="K607" s="6">
        <v>75</v>
      </c>
      <c r="L607" s="6">
        <v>75.099999999999994</v>
      </c>
      <c r="M607" s="4" t="str">
        <f t="shared" si="27"/>
        <v>OK</v>
      </c>
      <c r="N607" s="7">
        <f t="shared" si="28"/>
        <v>0.17982456140350878</v>
      </c>
      <c r="O607" s="7">
        <f>SUMIFS($D$2:D607,$B$2:B607,B607)/SUMIFS($D$2:$D$741,$B$2:$B$741,B607)</f>
        <v>0.8728070175438597</v>
      </c>
      <c r="P607" s="4" t="b">
        <f t="shared" si="29"/>
        <v>1</v>
      </c>
      <c r="Q607" s="4" t="s">
        <v>23</v>
      </c>
      <c r="R607" s="4" t="s">
        <v>289</v>
      </c>
      <c r="S607" s="4" t="s">
        <v>25</v>
      </c>
      <c r="T607" s="4" t="s">
        <v>290</v>
      </c>
    </row>
    <row r="608" spans="1:20" x14ac:dyDescent="0.45">
      <c r="A608" s="4" t="s">
        <v>784</v>
      </c>
      <c r="B608" s="4" t="s">
        <v>781</v>
      </c>
      <c r="C608" s="5">
        <v>2</v>
      </c>
      <c r="D608" s="5">
        <v>17</v>
      </c>
      <c r="E608" s="5">
        <v>0</v>
      </c>
      <c r="F608" s="5">
        <v>0</v>
      </c>
      <c r="G608" s="5">
        <v>0</v>
      </c>
      <c r="H608" s="5">
        <v>17</v>
      </c>
      <c r="I608" s="6">
        <v>10</v>
      </c>
      <c r="J608" s="6">
        <v>16.100000000000001</v>
      </c>
      <c r="K608" s="6">
        <v>45</v>
      </c>
      <c r="L608" s="6">
        <v>45</v>
      </c>
      <c r="M608" s="4" t="str">
        <f t="shared" si="27"/>
        <v>OK</v>
      </c>
      <c r="N608" s="7">
        <f t="shared" si="28"/>
        <v>7.4561403508771926E-2</v>
      </c>
      <c r="O608" s="7">
        <f>SUMIFS($D$2:D608,$B$2:B608,B608)/SUMIFS($D$2:$D$741,$B$2:$B$741,B608)</f>
        <v>0.94736842105263153</v>
      </c>
      <c r="P608" s="4" t="b">
        <f t="shared" si="29"/>
        <v>1</v>
      </c>
      <c r="Q608" s="4" t="s">
        <v>23</v>
      </c>
      <c r="R608" s="4" t="s">
        <v>30</v>
      </c>
      <c r="S608" s="4" t="s">
        <v>25</v>
      </c>
      <c r="T608" s="4" t="s">
        <v>31</v>
      </c>
    </row>
    <row r="609" spans="1:20" x14ac:dyDescent="0.45">
      <c r="A609" s="4" t="s">
        <v>785</v>
      </c>
      <c r="B609" s="4" t="s">
        <v>781</v>
      </c>
      <c r="C609" s="5">
        <v>2</v>
      </c>
      <c r="D609" s="5">
        <v>12</v>
      </c>
      <c r="E609" s="5">
        <v>0</v>
      </c>
      <c r="F609" s="5">
        <v>0</v>
      </c>
      <c r="G609" s="5">
        <v>0</v>
      </c>
      <c r="H609" s="5">
        <v>12</v>
      </c>
      <c r="I609" s="6">
        <v>3</v>
      </c>
      <c r="J609" s="6">
        <v>8</v>
      </c>
      <c r="K609" s="6">
        <v>18</v>
      </c>
      <c r="L609" s="6">
        <v>18</v>
      </c>
      <c r="M609" s="4" t="str">
        <f t="shared" si="27"/>
        <v>OK</v>
      </c>
      <c r="N609" s="7">
        <f t="shared" si="28"/>
        <v>5.2631578947368418E-2</v>
      </c>
      <c r="O609" s="7">
        <f>SUMIFS($D$2:D609,$B$2:B609,B609)/SUMIFS($D$2:$D$741,$B$2:$B$741,B609)</f>
        <v>1</v>
      </c>
      <c r="P609" s="4" t="b">
        <f t="shared" si="29"/>
        <v>1</v>
      </c>
      <c r="Q609" s="4" t="s">
        <v>23</v>
      </c>
      <c r="R609" s="4" t="s">
        <v>75</v>
      </c>
      <c r="S609" s="4" t="s">
        <v>25</v>
      </c>
      <c r="T609" s="4" t="s">
        <v>76</v>
      </c>
    </row>
    <row r="610" spans="1:20" x14ac:dyDescent="0.45">
      <c r="A610" s="9" t="s">
        <v>786</v>
      </c>
      <c r="B610" s="9" t="s">
        <v>787</v>
      </c>
      <c r="C610" s="10">
        <v>1</v>
      </c>
      <c r="D610" s="10">
        <v>909</v>
      </c>
      <c r="E610" s="10">
        <v>65</v>
      </c>
      <c r="F610" s="10">
        <v>0</v>
      </c>
      <c r="G610" s="10">
        <v>0</v>
      </c>
      <c r="H610" s="10">
        <v>909</v>
      </c>
      <c r="I610" s="11">
        <v>2</v>
      </c>
      <c r="J610" s="11">
        <v>13</v>
      </c>
      <c r="K610" s="11">
        <v>12</v>
      </c>
      <c r="L610" s="11">
        <v>12.2</v>
      </c>
      <c r="M610" s="9" t="str">
        <f t="shared" si="27"/>
        <v>OK</v>
      </c>
      <c r="N610" s="12">
        <f t="shared" si="28"/>
        <v>0.60119047619047616</v>
      </c>
      <c r="O610" s="12">
        <f>SUMIFS($D$2:D610,$B$2:B610,B610)/SUMIFS($D$2:$D$741,$B$2:$B$741,B610)</f>
        <v>0.60119047619047616</v>
      </c>
      <c r="P610" s="9" t="b">
        <f t="shared" si="29"/>
        <v>1</v>
      </c>
      <c r="Q610" s="9" t="s">
        <v>23</v>
      </c>
      <c r="R610" s="9" t="s">
        <v>91</v>
      </c>
      <c r="S610" s="9" t="s">
        <v>25</v>
      </c>
      <c r="T610" s="9" t="s">
        <v>92</v>
      </c>
    </row>
    <row r="611" spans="1:20" x14ac:dyDescent="0.45">
      <c r="A611" s="4" t="s">
        <v>788</v>
      </c>
      <c r="B611" s="4" t="s">
        <v>787</v>
      </c>
      <c r="C611" s="5">
        <v>1</v>
      </c>
      <c r="D611" s="5">
        <v>174</v>
      </c>
      <c r="E611" s="5">
        <v>23</v>
      </c>
      <c r="F611" s="5">
        <v>0</v>
      </c>
      <c r="G611" s="5">
        <v>0</v>
      </c>
      <c r="H611" s="5">
        <v>174</v>
      </c>
      <c r="I611" s="6">
        <v>4</v>
      </c>
      <c r="J611" s="6">
        <v>12.4</v>
      </c>
      <c r="K611" s="6">
        <v>16</v>
      </c>
      <c r="L611" s="6">
        <v>15.7</v>
      </c>
      <c r="M611" s="4" t="str">
        <f t="shared" si="27"/>
        <v>OK</v>
      </c>
      <c r="N611" s="7">
        <f t="shared" si="28"/>
        <v>0.11507936507936507</v>
      </c>
      <c r="O611" s="7">
        <f>SUMIFS($D$2:D611,$B$2:B611,B611)/SUMIFS($D$2:$D$741,$B$2:$B$741,B611)</f>
        <v>0.71626984126984128</v>
      </c>
      <c r="P611" s="4" t="b">
        <f t="shared" si="29"/>
        <v>1</v>
      </c>
      <c r="Q611" s="4" t="s">
        <v>23</v>
      </c>
      <c r="R611" s="4" t="s">
        <v>30</v>
      </c>
      <c r="S611" s="4" t="s">
        <v>25</v>
      </c>
      <c r="T611" s="4" t="s">
        <v>31</v>
      </c>
    </row>
    <row r="612" spans="1:20" x14ac:dyDescent="0.45">
      <c r="A612" s="4" t="s">
        <v>789</v>
      </c>
      <c r="B612" s="4" t="s">
        <v>787</v>
      </c>
      <c r="C612" s="5">
        <v>1</v>
      </c>
      <c r="D612" s="5">
        <v>121</v>
      </c>
      <c r="E612" s="5">
        <v>0</v>
      </c>
      <c r="F612" s="5">
        <v>0</v>
      </c>
      <c r="G612" s="5">
        <v>0</v>
      </c>
      <c r="H612" s="5">
        <v>121</v>
      </c>
      <c r="I612" s="6">
        <v>2</v>
      </c>
      <c r="J612" s="6">
        <v>2.1</v>
      </c>
      <c r="K612" s="6">
        <v>5</v>
      </c>
      <c r="L612" s="6">
        <v>5</v>
      </c>
      <c r="M612" s="4" t="str">
        <f t="shared" si="27"/>
        <v>OK</v>
      </c>
      <c r="N612" s="7">
        <f t="shared" si="28"/>
        <v>8.0026455026455029E-2</v>
      </c>
      <c r="O612" s="7">
        <f>SUMIFS($D$2:D612,$B$2:B612,B612)/SUMIFS($D$2:$D$741,$B$2:$B$741,B612)</f>
        <v>0.79629629629629628</v>
      </c>
      <c r="P612" s="4" t="b">
        <f t="shared" si="29"/>
        <v>1</v>
      </c>
      <c r="Q612" s="4" t="s">
        <v>23</v>
      </c>
      <c r="R612" s="4" t="s">
        <v>91</v>
      </c>
      <c r="S612" s="4" t="s">
        <v>25</v>
      </c>
      <c r="T612" s="4" t="s">
        <v>92</v>
      </c>
    </row>
    <row r="613" spans="1:20" x14ac:dyDescent="0.45">
      <c r="A613" s="4" t="s">
        <v>790</v>
      </c>
      <c r="B613" s="4" t="s">
        <v>787</v>
      </c>
      <c r="C613" s="5">
        <v>1</v>
      </c>
      <c r="D613" s="5">
        <v>120</v>
      </c>
      <c r="E613" s="5">
        <v>24</v>
      </c>
      <c r="F613" s="5">
        <v>0</v>
      </c>
      <c r="G613" s="5">
        <v>0</v>
      </c>
      <c r="H613" s="5">
        <v>120</v>
      </c>
      <c r="I613" s="6">
        <v>3</v>
      </c>
      <c r="J613" s="6">
        <v>7</v>
      </c>
      <c r="K613" s="6">
        <v>11</v>
      </c>
      <c r="L613" s="6">
        <v>11</v>
      </c>
      <c r="M613" s="4" t="str">
        <f t="shared" si="27"/>
        <v>OK</v>
      </c>
      <c r="N613" s="7">
        <f t="shared" si="28"/>
        <v>7.9365079365079361E-2</v>
      </c>
      <c r="O613" s="7">
        <f>SUMIFS($D$2:D613,$B$2:B613,B613)/SUMIFS($D$2:$D$741,$B$2:$B$741,B613)</f>
        <v>0.8756613756613757</v>
      </c>
      <c r="P613" s="4" t="b">
        <f t="shared" si="29"/>
        <v>1</v>
      </c>
      <c r="Q613" s="4" t="s">
        <v>23</v>
      </c>
      <c r="R613" s="4" t="s">
        <v>105</v>
      </c>
      <c r="S613" s="4" t="s">
        <v>25</v>
      </c>
      <c r="T613" s="4" t="s">
        <v>106</v>
      </c>
    </row>
    <row r="614" spans="1:20" x14ac:dyDescent="0.45">
      <c r="A614" s="4" t="s">
        <v>791</v>
      </c>
      <c r="B614" s="4" t="s">
        <v>787</v>
      </c>
      <c r="C614" s="5">
        <v>1</v>
      </c>
      <c r="D614" s="5">
        <v>67</v>
      </c>
      <c r="E614" s="5">
        <v>7</v>
      </c>
      <c r="F614" s="5">
        <v>0</v>
      </c>
      <c r="G614" s="5">
        <v>0</v>
      </c>
      <c r="H614" s="5">
        <v>67</v>
      </c>
      <c r="I614" s="6">
        <v>7</v>
      </c>
      <c r="J614" s="6">
        <v>24.6</v>
      </c>
      <c r="K614" s="6">
        <v>28</v>
      </c>
      <c r="L614" s="6">
        <v>27.8</v>
      </c>
      <c r="M614" s="4" t="str">
        <f t="shared" si="27"/>
        <v>OK</v>
      </c>
      <c r="N614" s="7">
        <f t="shared" si="28"/>
        <v>4.431216931216931E-2</v>
      </c>
      <c r="O614" s="7">
        <f>SUMIFS($D$2:D614,$B$2:B614,B614)/SUMIFS($D$2:$D$741,$B$2:$B$741,B614)</f>
        <v>0.919973544973545</v>
      </c>
      <c r="P614" s="4" t="b">
        <f t="shared" si="29"/>
        <v>1</v>
      </c>
      <c r="Q614" s="4" t="s">
        <v>23</v>
      </c>
      <c r="R614" s="4" t="s">
        <v>105</v>
      </c>
      <c r="S614" s="4" t="s">
        <v>25</v>
      </c>
      <c r="T614" s="4" t="s">
        <v>106</v>
      </c>
    </row>
    <row r="615" spans="1:20" x14ac:dyDescent="0.45">
      <c r="A615" s="4" t="s">
        <v>792</v>
      </c>
      <c r="B615" s="4" t="s">
        <v>787</v>
      </c>
      <c r="C615" s="5">
        <v>1</v>
      </c>
      <c r="D615" s="5">
        <v>37</v>
      </c>
      <c r="E615" s="5">
        <v>6</v>
      </c>
      <c r="F615" s="5">
        <v>0</v>
      </c>
      <c r="G615" s="5">
        <v>0</v>
      </c>
      <c r="H615" s="5">
        <v>37</v>
      </c>
      <c r="I615" s="6">
        <v>2</v>
      </c>
      <c r="J615" s="6">
        <v>8.9</v>
      </c>
      <c r="K615" s="6">
        <v>16</v>
      </c>
      <c r="L615" s="6">
        <v>16</v>
      </c>
      <c r="M615" s="4" t="str">
        <f t="shared" si="27"/>
        <v>OK</v>
      </c>
      <c r="N615" s="7">
        <f t="shared" si="28"/>
        <v>2.447089947089947E-2</v>
      </c>
      <c r="O615" s="7">
        <f>SUMIFS($D$2:D615,$B$2:B615,B615)/SUMIFS($D$2:$D$741,$B$2:$B$741,B615)</f>
        <v>0.94444444444444442</v>
      </c>
      <c r="P615" s="4" t="b">
        <f t="shared" si="29"/>
        <v>1</v>
      </c>
      <c r="Q615" s="4" t="s">
        <v>23</v>
      </c>
      <c r="R615" s="4" t="s">
        <v>30</v>
      </c>
      <c r="S615" s="4" t="s">
        <v>25</v>
      </c>
      <c r="T615" s="4" t="s">
        <v>31</v>
      </c>
    </row>
    <row r="616" spans="1:20" x14ac:dyDescent="0.45">
      <c r="A616" s="4" t="s">
        <v>793</v>
      </c>
      <c r="B616" s="4" t="s">
        <v>787</v>
      </c>
      <c r="C616" s="5">
        <v>2</v>
      </c>
      <c r="D616" s="5">
        <v>25</v>
      </c>
      <c r="E616" s="5">
        <v>0</v>
      </c>
      <c r="F616" s="5">
        <v>0</v>
      </c>
      <c r="G616" s="5">
        <v>0</v>
      </c>
      <c r="H616" s="5">
        <v>25</v>
      </c>
      <c r="I616" s="6">
        <v>11</v>
      </c>
      <c r="J616" s="6">
        <v>17.5</v>
      </c>
      <c r="K616" s="6">
        <v>24</v>
      </c>
      <c r="L616" s="6">
        <v>24</v>
      </c>
      <c r="M616" s="4" t="str">
        <f t="shared" si="27"/>
        <v>OK</v>
      </c>
      <c r="N616" s="7">
        <f t="shared" si="28"/>
        <v>1.6534391534391533E-2</v>
      </c>
      <c r="O616" s="7">
        <f>SUMIFS($D$2:D616,$B$2:B616,B616)/SUMIFS($D$2:$D$741,$B$2:$B$741,B616)</f>
        <v>0.96097883597883593</v>
      </c>
      <c r="P616" s="4" t="b">
        <f t="shared" si="29"/>
        <v>1</v>
      </c>
      <c r="Q616" s="4" t="s">
        <v>23</v>
      </c>
      <c r="R616" s="4" t="s">
        <v>30</v>
      </c>
      <c r="S616" s="4" t="s">
        <v>25</v>
      </c>
      <c r="T616" s="4" t="s">
        <v>31</v>
      </c>
    </row>
    <row r="617" spans="1:20" x14ac:dyDescent="0.45">
      <c r="A617" s="4" t="s">
        <v>794</v>
      </c>
      <c r="B617" s="4" t="s">
        <v>787</v>
      </c>
      <c r="C617" s="5">
        <v>1</v>
      </c>
      <c r="D617" s="5">
        <v>18</v>
      </c>
      <c r="E617" s="5">
        <v>0</v>
      </c>
      <c r="F617" s="5">
        <v>0</v>
      </c>
      <c r="G617" s="5">
        <v>0</v>
      </c>
      <c r="H617" s="5">
        <v>18</v>
      </c>
      <c r="I617" s="6">
        <v>3</v>
      </c>
      <c r="J617" s="6">
        <v>5.0999999999999996</v>
      </c>
      <c r="K617" s="6">
        <v>11</v>
      </c>
      <c r="L617" s="6">
        <v>11.4</v>
      </c>
      <c r="M617" s="4" t="str">
        <f t="shared" si="27"/>
        <v>OK</v>
      </c>
      <c r="N617" s="7">
        <f t="shared" si="28"/>
        <v>1.1904761904761904E-2</v>
      </c>
      <c r="O617" s="7">
        <f>SUMIFS($D$2:D617,$B$2:B617,B617)/SUMIFS($D$2:$D$741,$B$2:$B$741,B617)</f>
        <v>0.97288359788359791</v>
      </c>
      <c r="P617" s="4" t="b">
        <f t="shared" si="29"/>
        <v>0</v>
      </c>
      <c r="Q617" s="4" t="s">
        <v>23</v>
      </c>
      <c r="R617" s="4" t="s">
        <v>30</v>
      </c>
      <c r="S617" s="4" t="s">
        <v>25</v>
      </c>
      <c r="T617" s="4" t="s">
        <v>31</v>
      </c>
    </row>
    <row r="618" spans="1:20" x14ac:dyDescent="0.45">
      <c r="A618" s="4" t="s">
        <v>795</v>
      </c>
      <c r="B618" s="4" t="s">
        <v>787</v>
      </c>
      <c r="C618" s="5">
        <v>1</v>
      </c>
      <c r="D618" s="5">
        <v>14</v>
      </c>
      <c r="E618" s="5">
        <v>2</v>
      </c>
      <c r="F618" s="5">
        <v>0</v>
      </c>
      <c r="G618" s="5">
        <v>0</v>
      </c>
      <c r="H618" s="5">
        <v>14</v>
      </c>
      <c r="I618" s="6">
        <v>8.5</v>
      </c>
      <c r="J618" s="6">
        <v>27.9</v>
      </c>
      <c r="K618" s="6">
        <v>20</v>
      </c>
      <c r="L618" s="6">
        <v>19.600000000000001</v>
      </c>
      <c r="M618" s="4" t="str">
        <f t="shared" si="27"/>
        <v>OK</v>
      </c>
      <c r="N618" s="7">
        <f t="shared" si="28"/>
        <v>9.2592592592592587E-3</v>
      </c>
      <c r="O618" s="7">
        <f>SUMIFS($D$2:D618,$B$2:B618,B618)/SUMIFS($D$2:$D$741,$B$2:$B$741,B618)</f>
        <v>0.9821428571428571</v>
      </c>
      <c r="P618" s="4" t="b">
        <f t="shared" si="29"/>
        <v>0</v>
      </c>
      <c r="Q618" s="4" t="s">
        <v>23</v>
      </c>
      <c r="R618" s="4" t="s">
        <v>30</v>
      </c>
      <c r="S618" s="4" t="s">
        <v>25</v>
      </c>
      <c r="T618" s="4" t="s">
        <v>31</v>
      </c>
    </row>
    <row r="619" spans="1:20" x14ac:dyDescent="0.45">
      <c r="A619" s="4" t="s">
        <v>796</v>
      </c>
      <c r="B619" s="4" t="s">
        <v>787</v>
      </c>
      <c r="C619" s="5">
        <v>2</v>
      </c>
      <c r="D619" s="5">
        <v>14</v>
      </c>
      <c r="E619" s="5">
        <v>0</v>
      </c>
      <c r="F619" s="5">
        <v>0</v>
      </c>
      <c r="G619" s="5">
        <v>0</v>
      </c>
      <c r="H619" s="5">
        <v>14</v>
      </c>
      <c r="I619" s="6">
        <v>1.5</v>
      </c>
      <c r="J619" s="6">
        <v>3.1</v>
      </c>
      <c r="K619" s="6">
        <v>7</v>
      </c>
      <c r="L619" s="6">
        <v>7</v>
      </c>
      <c r="M619" s="4" t="str">
        <f t="shared" si="27"/>
        <v>OK</v>
      </c>
      <c r="N619" s="7">
        <f t="shared" si="28"/>
        <v>9.2592592592592587E-3</v>
      </c>
      <c r="O619" s="7">
        <f>SUMIFS($D$2:D619,$B$2:B619,B619)/SUMIFS($D$2:$D$741,$B$2:$B$741,B619)</f>
        <v>0.9914021164021164</v>
      </c>
      <c r="P619" s="4" t="b">
        <f t="shared" si="29"/>
        <v>0</v>
      </c>
      <c r="Q619" s="4" t="s">
        <v>23</v>
      </c>
      <c r="R619" s="4" t="s">
        <v>289</v>
      </c>
      <c r="S619" s="4" t="s">
        <v>25</v>
      </c>
      <c r="T619" s="4" t="s">
        <v>290</v>
      </c>
    </row>
    <row r="620" spans="1:20" x14ac:dyDescent="0.45">
      <c r="A620" s="4" t="s">
        <v>797</v>
      </c>
      <c r="B620" s="4" t="s">
        <v>787</v>
      </c>
      <c r="C620" s="5">
        <v>2</v>
      </c>
      <c r="D620" s="5">
        <v>7</v>
      </c>
      <c r="E620" s="5">
        <v>0</v>
      </c>
      <c r="F620" s="5">
        <v>0</v>
      </c>
      <c r="G620" s="5">
        <v>0</v>
      </c>
      <c r="H620" s="5">
        <v>7</v>
      </c>
      <c r="I620" s="6">
        <v>19</v>
      </c>
      <c r="J620" s="6">
        <v>17.3</v>
      </c>
      <c r="K620" s="6">
        <v>24</v>
      </c>
      <c r="L620" s="6">
        <v>24</v>
      </c>
      <c r="M620" s="4" t="str">
        <f t="shared" si="27"/>
        <v>OK</v>
      </c>
      <c r="N620" s="7">
        <f t="shared" si="28"/>
        <v>4.6296296296296294E-3</v>
      </c>
      <c r="O620" s="7">
        <f>SUMIFS($D$2:D620,$B$2:B620,B620)/SUMIFS($D$2:$D$741,$B$2:$B$741,B620)</f>
        <v>0.99603174603174605</v>
      </c>
      <c r="P620" s="4" t="b">
        <f t="shared" si="29"/>
        <v>0</v>
      </c>
      <c r="Q620" s="4" t="s">
        <v>23</v>
      </c>
      <c r="R620" s="4" t="s">
        <v>289</v>
      </c>
      <c r="S620" s="4" t="s">
        <v>25</v>
      </c>
      <c r="T620" s="4" t="s">
        <v>290</v>
      </c>
    </row>
    <row r="621" spans="1:20" x14ac:dyDescent="0.45">
      <c r="A621" s="4" t="s">
        <v>798</v>
      </c>
      <c r="B621" s="4" t="s">
        <v>787</v>
      </c>
      <c r="C621" s="5">
        <v>1</v>
      </c>
      <c r="D621" s="5">
        <v>3</v>
      </c>
      <c r="E621" s="5">
        <v>2</v>
      </c>
      <c r="F621" s="5">
        <v>0</v>
      </c>
      <c r="G621" s="5">
        <v>0</v>
      </c>
      <c r="H621" s="5">
        <v>3</v>
      </c>
      <c r="I621" s="6">
        <v>4</v>
      </c>
      <c r="J621" s="6">
        <v>4</v>
      </c>
      <c r="K621" s="6">
        <v>5</v>
      </c>
      <c r="L621" s="6">
        <v>4.8</v>
      </c>
      <c r="M621" s="4" t="str">
        <f t="shared" si="27"/>
        <v>OK</v>
      </c>
      <c r="N621" s="7">
        <f t="shared" si="28"/>
        <v>1.984126984126984E-3</v>
      </c>
      <c r="O621" s="7">
        <f>SUMIFS($D$2:D621,$B$2:B621,B621)/SUMIFS($D$2:$D$741,$B$2:$B$741,B621)</f>
        <v>0.99801587301587302</v>
      </c>
      <c r="P621" s="4" t="b">
        <f t="shared" si="29"/>
        <v>0</v>
      </c>
      <c r="Q621" s="4" t="s">
        <v>23</v>
      </c>
      <c r="R621" s="4" t="s">
        <v>30</v>
      </c>
      <c r="S621" s="4" t="s">
        <v>25</v>
      </c>
      <c r="T621" s="4" t="s">
        <v>31</v>
      </c>
    </row>
    <row r="622" spans="1:20" x14ac:dyDescent="0.45">
      <c r="A622" s="4" t="s">
        <v>799</v>
      </c>
      <c r="B622" s="4" t="s">
        <v>787</v>
      </c>
      <c r="C622" s="5">
        <v>1</v>
      </c>
      <c r="D622" s="5">
        <v>2</v>
      </c>
      <c r="E622" s="5">
        <v>0</v>
      </c>
      <c r="F622" s="5">
        <v>0</v>
      </c>
      <c r="G622" s="5">
        <v>0</v>
      </c>
      <c r="H622" s="5">
        <v>2</v>
      </c>
      <c r="I622" s="6">
        <v>36</v>
      </c>
      <c r="J622" s="6">
        <v>36</v>
      </c>
      <c r="K622" s="6">
        <v>49</v>
      </c>
      <c r="L622" s="6">
        <v>48.8</v>
      </c>
      <c r="M622" s="4" t="str">
        <f t="shared" si="27"/>
        <v>OK</v>
      </c>
      <c r="N622" s="7">
        <f t="shared" si="28"/>
        <v>1.3227513227513227E-3</v>
      </c>
      <c r="O622" s="7">
        <f>SUMIFS($D$2:D622,$B$2:B622,B622)/SUMIFS($D$2:$D$741,$B$2:$B$741,B622)</f>
        <v>0.9993386243386243</v>
      </c>
      <c r="P622" s="4" t="b">
        <f t="shared" si="29"/>
        <v>0</v>
      </c>
      <c r="Q622" s="4" t="s">
        <v>23</v>
      </c>
      <c r="R622" s="4" t="s">
        <v>75</v>
      </c>
      <c r="S622" s="4" t="s">
        <v>25</v>
      </c>
      <c r="T622" s="4" t="s">
        <v>76</v>
      </c>
    </row>
    <row r="623" spans="1:20" x14ac:dyDescent="0.45">
      <c r="A623" s="4" t="s">
        <v>800</v>
      </c>
      <c r="B623" s="4" t="s">
        <v>787</v>
      </c>
      <c r="C623" s="5">
        <v>1</v>
      </c>
      <c r="D623" s="5">
        <v>1</v>
      </c>
      <c r="E623" s="5">
        <v>0</v>
      </c>
      <c r="F623" s="5">
        <v>0</v>
      </c>
      <c r="G623" s="5">
        <v>0</v>
      </c>
      <c r="H623" s="5">
        <v>1</v>
      </c>
      <c r="I623" s="6">
        <v>9</v>
      </c>
      <c r="J623" s="6">
        <v>9</v>
      </c>
      <c r="K623" s="6">
        <v>9</v>
      </c>
      <c r="L623" s="6">
        <v>9</v>
      </c>
      <c r="M623" s="4" t="str">
        <f t="shared" si="27"/>
        <v>OK</v>
      </c>
      <c r="N623" s="7">
        <f t="shared" si="28"/>
        <v>6.6137566137566134E-4</v>
      </c>
      <c r="O623" s="7">
        <f>SUMIFS($D$2:D623,$B$2:B623,B623)/SUMIFS($D$2:$D$741,$B$2:$B$741,B623)</f>
        <v>1</v>
      </c>
      <c r="P623" s="4" t="b">
        <f t="shared" si="29"/>
        <v>0</v>
      </c>
      <c r="Q623" s="4" t="s">
        <v>23</v>
      </c>
      <c r="R623" s="4" t="s">
        <v>289</v>
      </c>
      <c r="S623" s="4" t="s">
        <v>25</v>
      </c>
      <c r="T623" s="4" t="s">
        <v>290</v>
      </c>
    </row>
    <row r="624" spans="1:20" x14ac:dyDescent="0.45">
      <c r="A624" s="9" t="s">
        <v>801</v>
      </c>
      <c r="B624" s="9" t="s">
        <v>802</v>
      </c>
      <c r="C624" s="10">
        <v>1</v>
      </c>
      <c r="D624" s="10">
        <v>332</v>
      </c>
      <c r="E624" s="10">
        <v>120</v>
      </c>
      <c r="F624" s="10">
        <v>15</v>
      </c>
      <c r="G624" s="10">
        <v>1</v>
      </c>
      <c r="H624" s="10">
        <v>317</v>
      </c>
      <c r="I624" s="11">
        <v>15</v>
      </c>
      <c r="J624" s="11">
        <v>17.7</v>
      </c>
      <c r="K624" s="11">
        <v>31</v>
      </c>
      <c r="L624" s="11">
        <v>30.8</v>
      </c>
      <c r="M624" s="9" t="str">
        <f t="shared" si="27"/>
        <v>OK</v>
      </c>
      <c r="N624" s="12">
        <f t="shared" si="28"/>
        <v>0.43342036553524804</v>
      </c>
      <c r="O624" s="12">
        <f>SUMIFS($D$2:D624,$B$2:B624,B624)/SUMIFS($D$2:$D$741,$B$2:$B$741,B624)</f>
        <v>0.43342036553524804</v>
      </c>
      <c r="P624" s="9" t="b">
        <f t="shared" si="29"/>
        <v>1</v>
      </c>
      <c r="Q624" s="9" t="s">
        <v>23</v>
      </c>
      <c r="R624" s="9" t="s">
        <v>289</v>
      </c>
      <c r="S624" s="9" t="s">
        <v>25</v>
      </c>
      <c r="T624" s="9" t="s">
        <v>290</v>
      </c>
    </row>
    <row r="625" spans="1:20" x14ac:dyDescent="0.45">
      <c r="A625" s="4" t="s">
        <v>803</v>
      </c>
      <c r="B625" s="4" t="s">
        <v>802</v>
      </c>
      <c r="C625" s="5">
        <v>2</v>
      </c>
      <c r="D625" s="5">
        <v>161</v>
      </c>
      <c r="E625" s="5">
        <v>0</v>
      </c>
      <c r="F625" s="5">
        <v>1</v>
      </c>
      <c r="G625" s="5">
        <v>1</v>
      </c>
      <c r="H625" s="5">
        <v>160</v>
      </c>
      <c r="I625" s="6">
        <v>7</v>
      </c>
      <c r="J625" s="6">
        <v>42.9</v>
      </c>
      <c r="K625" s="6">
        <v>158</v>
      </c>
      <c r="L625" s="6">
        <v>158.4</v>
      </c>
      <c r="M625" s="4" t="str">
        <f t="shared" si="27"/>
        <v>OK</v>
      </c>
      <c r="N625" s="7">
        <f t="shared" si="28"/>
        <v>0.21018276762402088</v>
      </c>
      <c r="O625" s="7">
        <f>SUMIFS($D$2:D625,$B$2:B625,B625)/SUMIFS($D$2:$D$741,$B$2:$B$741,B625)</f>
        <v>0.64360313315926898</v>
      </c>
      <c r="P625" s="4" t="b">
        <f t="shared" si="29"/>
        <v>1</v>
      </c>
      <c r="Q625" s="4" t="s">
        <v>23</v>
      </c>
      <c r="R625" s="4" t="s">
        <v>75</v>
      </c>
      <c r="S625" s="4" t="s">
        <v>25</v>
      </c>
      <c r="T625" s="4" t="s">
        <v>76</v>
      </c>
    </row>
    <row r="626" spans="1:20" x14ac:dyDescent="0.45">
      <c r="A626" s="4" t="s">
        <v>804</v>
      </c>
      <c r="B626" s="4" t="s">
        <v>802</v>
      </c>
      <c r="C626" s="5">
        <v>1</v>
      </c>
      <c r="D626" s="5">
        <v>154</v>
      </c>
      <c r="E626" s="5">
        <v>35</v>
      </c>
      <c r="F626" s="5">
        <v>0</v>
      </c>
      <c r="G626" s="5">
        <v>0</v>
      </c>
      <c r="H626" s="5">
        <v>154</v>
      </c>
      <c r="I626" s="6">
        <v>20</v>
      </c>
      <c r="J626" s="6">
        <v>26.1</v>
      </c>
      <c r="K626" s="6">
        <v>52</v>
      </c>
      <c r="L626" s="6">
        <v>52</v>
      </c>
      <c r="M626" s="4" t="str">
        <f t="shared" si="27"/>
        <v>OK</v>
      </c>
      <c r="N626" s="7">
        <f t="shared" si="28"/>
        <v>0.20104438642297651</v>
      </c>
      <c r="O626" s="7">
        <f>SUMIFS($D$2:D626,$B$2:B626,B626)/SUMIFS($D$2:$D$741,$B$2:$B$741,B626)</f>
        <v>0.84464751958224538</v>
      </c>
      <c r="P626" s="4" t="b">
        <f t="shared" si="29"/>
        <v>1</v>
      </c>
      <c r="Q626" s="4" t="s">
        <v>23</v>
      </c>
      <c r="R626" s="4" t="s">
        <v>289</v>
      </c>
      <c r="S626" s="4" t="s">
        <v>25</v>
      </c>
      <c r="T626" s="4" t="s">
        <v>290</v>
      </c>
    </row>
    <row r="627" spans="1:20" x14ac:dyDescent="0.45">
      <c r="A627" s="4" t="s">
        <v>805</v>
      </c>
      <c r="B627" s="4" t="s">
        <v>802</v>
      </c>
      <c r="C627" s="5">
        <v>1</v>
      </c>
      <c r="D627" s="5">
        <v>99</v>
      </c>
      <c r="E627" s="5">
        <v>47</v>
      </c>
      <c r="F627" s="5">
        <v>2</v>
      </c>
      <c r="G627" s="5">
        <v>0</v>
      </c>
      <c r="H627" s="5">
        <v>97</v>
      </c>
      <c r="I627" s="6">
        <v>9</v>
      </c>
      <c r="J627" s="6">
        <v>12.7</v>
      </c>
      <c r="K627" s="6">
        <v>27</v>
      </c>
      <c r="L627" s="6">
        <v>27</v>
      </c>
      <c r="M627" s="4" t="str">
        <f t="shared" si="27"/>
        <v>OK</v>
      </c>
      <c r="N627" s="7">
        <f t="shared" si="28"/>
        <v>0.12924281984334204</v>
      </c>
      <c r="O627" s="7">
        <f>SUMIFS($D$2:D627,$B$2:B627,B627)/SUMIFS($D$2:$D$741,$B$2:$B$741,B627)</f>
        <v>0.97389033942558745</v>
      </c>
      <c r="P627" s="4" t="b">
        <f t="shared" si="29"/>
        <v>1</v>
      </c>
      <c r="Q627" s="4" t="s">
        <v>23</v>
      </c>
      <c r="R627" s="4" t="s">
        <v>289</v>
      </c>
      <c r="S627" s="4" t="s">
        <v>25</v>
      </c>
      <c r="T627" s="4" t="s">
        <v>290</v>
      </c>
    </row>
    <row r="628" spans="1:20" x14ac:dyDescent="0.45">
      <c r="A628" s="4" t="s">
        <v>806</v>
      </c>
      <c r="B628" s="4" t="s">
        <v>802</v>
      </c>
      <c r="C628" s="5">
        <v>1</v>
      </c>
      <c r="D628" s="5">
        <v>11</v>
      </c>
      <c r="E628" s="5">
        <v>1</v>
      </c>
      <c r="F628" s="5">
        <v>1</v>
      </c>
      <c r="G628" s="5">
        <v>0</v>
      </c>
      <c r="H628" s="5">
        <v>10</v>
      </c>
      <c r="I628" s="6">
        <v>24</v>
      </c>
      <c r="J628" s="6">
        <v>31.1</v>
      </c>
      <c r="K628" s="6">
        <v>65</v>
      </c>
      <c r="L628" s="6">
        <v>64.900000000000006</v>
      </c>
      <c r="M628" s="4" t="str">
        <f t="shared" si="27"/>
        <v>OK</v>
      </c>
      <c r="N628" s="7">
        <f t="shared" si="28"/>
        <v>1.4360313315926894E-2</v>
      </c>
      <c r="O628" s="7">
        <f>SUMIFS($D$2:D628,$B$2:B628,B628)/SUMIFS($D$2:$D$741,$B$2:$B$741,B628)</f>
        <v>0.98825065274151436</v>
      </c>
      <c r="P628" s="4" t="b">
        <f t="shared" si="29"/>
        <v>0</v>
      </c>
      <c r="Q628" s="4" t="s">
        <v>23</v>
      </c>
      <c r="R628" s="4" t="s">
        <v>289</v>
      </c>
      <c r="S628" s="4" t="s">
        <v>25</v>
      </c>
      <c r="T628" s="4" t="s">
        <v>290</v>
      </c>
    </row>
    <row r="629" spans="1:20" x14ac:dyDescent="0.45">
      <c r="A629" s="4" t="s">
        <v>807</v>
      </c>
      <c r="B629" s="4" t="s">
        <v>802</v>
      </c>
      <c r="C629" s="5">
        <v>1</v>
      </c>
      <c r="D629" s="5">
        <v>9</v>
      </c>
      <c r="E629" s="5">
        <v>3</v>
      </c>
      <c r="F629" s="5">
        <v>0</v>
      </c>
      <c r="G629" s="5">
        <v>0</v>
      </c>
      <c r="H629" s="5">
        <v>9</v>
      </c>
      <c r="I629" s="6">
        <v>14</v>
      </c>
      <c r="J629" s="6">
        <v>30.3</v>
      </c>
      <c r="K629" s="6">
        <v>81</v>
      </c>
      <c r="L629" s="6">
        <v>81.400000000000006</v>
      </c>
      <c r="M629" s="4" t="str">
        <f t="shared" si="27"/>
        <v>OK</v>
      </c>
      <c r="N629" s="7">
        <f t="shared" si="28"/>
        <v>1.1749347258485639E-2</v>
      </c>
      <c r="O629" s="7">
        <f>SUMIFS($D$2:D629,$B$2:B629,B629)/SUMIFS($D$2:$D$741,$B$2:$B$741,B629)</f>
        <v>1</v>
      </c>
      <c r="P629" s="4" t="b">
        <f t="shared" si="29"/>
        <v>0</v>
      </c>
      <c r="Q629" s="4" t="s">
        <v>23</v>
      </c>
      <c r="R629" s="4" t="s">
        <v>30</v>
      </c>
      <c r="S629" s="4" t="s">
        <v>25</v>
      </c>
      <c r="T629" s="4" t="s">
        <v>31</v>
      </c>
    </row>
    <row r="630" spans="1:20" x14ac:dyDescent="0.45">
      <c r="A630" s="9" t="s">
        <v>808</v>
      </c>
      <c r="B630" s="9" t="s">
        <v>809</v>
      </c>
      <c r="C630" s="10">
        <v>1</v>
      </c>
      <c r="D630" s="10">
        <v>16747</v>
      </c>
      <c r="E630" s="10">
        <v>2104</v>
      </c>
      <c r="F630" s="10">
        <v>15</v>
      </c>
      <c r="G630" s="10">
        <v>15</v>
      </c>
      <c r="H630" s="10">
        <v>16732</v>
      </c>
      <c r="I630" s="11">
        <v>40</v>
      </c>
      <c r="J630" s="11">
        <v>53.7</v>
      </c>
      <c r="K630" s="11">
        <v>74</v>
      </c>
      <c r="L630" s="11">
        <v>74</v>
      </c>
      <c r="M630" s="9" t="str">
        <f t="shared" si="27"/>
        <v>OK</v>
      </c>
      <c r="N630" s="12">
        <f t="shared" si="28"/>
        <v>0.13936786391931028</v>
      </c>
      <c r="O630" s="12">
        <f>SUMIFS($D$2:D630,$B$2:B630,B630)/SUMIFS($D$2:$D$741,$B$2:$B$741,B630)</f>
        <v>0.13936786391931028</v>
      </c>
      <c r="P630" s="9" t="b">
        <f t="shared" si="29"/>
        <v>1</v>
      </c>
      <c r="Q630" s="9" t="s">
        <v>23</v>
      </c>
      <c r="R630" s="9" t="s">
        <v>30</v>
      </c>
      <c r="S630" s="9" t="s">
        <v>25</v>
      </c>
      <c r="T630" s="9" t="s">
        <v>31</v>
      </c>
    </row>
    <row r="631" spans="1:20" x14ac:dyDescent="0.45">
      <c r="A631" s="4" t="s">
        <v>810</v>
      </c>
      <c r="B631" s="4" t="s">
        <v>809</v>
      </c>
      <c r="C631" s="5">
        <v>2</v>
      </c>
      <c r="D631" s="5">
        <v>10483</v>
      </c>
      <c r="E631" s="5">
        <v>0</v>
      </c>
      <c r="F631" s="5">
        <v>0</v>
      </c>
      <c r="G631" s="5">
        <v>0</v>
      </c>
      <c r="H631" s="5">
        <v>10483</v>
      </c>
      <c r="I631" s="6">
        <v>6</v>
      </c>
      <c r="J631" s="6">
        <v>6.5</v>
      </c>
      <c r="K631" s="6">
        <v>13</v>
      </c>
      <c r="L631" s="6">
        <v>13</v>
      </c>
      <c r="M631" s="4" t="str">
        <f t="shared" si="27"/>
        <v>OK</v>
      </c>
      <c r="N631" s="7">
        <f t="shared" si="28"/>
        <v>8.7239106554375681E-2</v>
      </c>
      <c r="O631" s="7">
        <f>SUMIFS($D$2:D631,$B$2:B631,B631)/SUMIFS($D$2:$D$741,$B$2:$B$741,B631)</f>
        <v>0.22660697047368597</v>
      </c>
      <c r="P631" s="4" t="b">
        <f t="shared" si="29"/>
        <v>1</v>
      </c>
      <c r="Q631" s="4" t="s">
        <v>23</v>
      </c>
      <c r="R631" s="4" t="s">
        <v>100</v>
      </c>
      <c r="S631" s="4" t="s">
        <v>25</v>
      </c>
      <c r="T631" s="4" t="s">
        <v>101</v>
      </c>
    </row>
    <row r="632" spans="1:20" x14ac:dyDescent="0.45">
      <c r="A632" s="4" t="s">
        <v>811</v>
      </c>
      <c r="B632" s="4" t="s">
        <v>809</v>
      </c>
      <c r="C632" s="5">
        <v>1</v>
      </c>
      <c r="D632" s="5">
        <v>8419</v>
      </c>
      <c r="E632" s="5">
        <v>0</v>
      </c>
      <c r="F632" s="5">
        <v>0</v>
      </c>
      <c r="G632" s="5">
        <v>0</v>
      </c>
      <c r="H632" s="5">
        <v>8419</v>
      </c>
      <c r="I632" s="6">
        <v>3</v>
      </c>
      <c r="J632" s="6">
        <v>4.0999999999999996</v>
      </c>
      <c r="K632" s="6">
        <v>8</v>
      </c>
      <c r="L632" s="6">
        <v>8</v>
      </c>
      <c r="M632" s="4" t="str">
        <f t="shared" si="27"/>
        <v>OK</v>
      </c>
      <c r="N632" s="7">
        <f t="shared" si="28"/>
        <v>7.0062581139109889E-2</v>
      </c>
      <c r="O632" s="7">
        <f>SUMIFS($D$2:D632,$B$2:B632,B632)/SUMIFS($D$2:$D$741,$B$2:$B$741,B632)</f>
        <v>0.29666955161279585</v>
      </c>
      <c r="P632" s="4" t="b">
        <f t="shared" si="29"/>
        <v>1</v>
      </c>
      <c r="Q632" s="4" t="s">
        <v>23</v>
      </c>
      <c r="R632" s="4" t="s">
        <v>100</v>
      </c>
      <c r="S632" s="4" t="s">
        <v>25</v>
      </c>
      <c r="T632" s="4" t="s">
        <v>101</v>
      </c>
    </row>
    <row r="633" spans="1:20" x14ac:dyDescent="0.45">
      <c r="A633" s="4" t="s">
        <v>812</v>
      </c>
      <c r="B633" s="4" t="s">
        <v>809</v>
      </c>
      <c r="C633" s="5">
        <v>2</v>
      </c>
      <c r="D633" s="5">
        <v>6382</v>
      </c>
      <c r="E633" s="5">
        <v>0</v>
      </c>
      <c r="F633" s="5">
        <v>0</v>
      </c>
      <c r="G633" s="5">
        <v>0</v>
      </c>
      <c r="H633" s="5">
        <v>6382</v>
      </c>
      <c r="I633" s="6">
        <v>2</v>
      </c>
      <c r="J633" s="6">
        <v>3.2</v>
      </c>
      <c r="K633" s="6">
        <v>6</v>
      </c>
      <c r="L633" s="6">
        <v>6</v>
      </c>
      <c r="M633" s="4" t="str">
        <f t="shared" si="27"/>
        <v>OK</v>
      </c>
      <c r="N633" s="7">
        <f t="shared" si="28"/>
        <v>5.3110748643520521E-2</v>
      </c>
      <c r="O633" s="7">
        <f>SUMIFS($D$2:D633,$B$2:B633,B633)/SUMIFS($D$2:$D$741,$B$2:$B$741,B633)</f>
        <v>0.34978030025631635</v>
      </c>
      <c r="P633" s="4" t="b">
        <f t="shared" si="29"/>
        <v>1</v>
      </c>
      <c r="Q633" s="4" t="s">
        <v>23</v>
      </c>
      <c r="R633" s="4" t="s">
        <v>100</v>
      </c>
      <c r="S633" s="4" t="s">
        <v>25</v>
      </c>
      <c r="T633" s="4" t="s">
        <v>101</v>
      </c>
    </row>
    <row r="634" spans="1:20" x14ac:dyDescent="0.45">
      <c r="A634" s="4" t="s">
        <v>813</v>
      </c>
      <c r="B634" s="4" t="s">
        <v>809</v>
      </c>
      <c r="C634" s="5">
        <v>1</v>
      </c>
      <c r="D634" s="5">
        <v>6362</v>
      </c>
      <c r="E634" s="5">
        <v>0</v>
      </c>
      <c r="F634" s="5">
        <v>0</v>
      </c>
      <c r="G634" s="5">
        <v>0</v>
      </c>
      <c r="H634" s="5">
        <v>6362</v>
      </c>
      <c r="I634" s="6">
        <v>3</v>
      </c>
      <c r="J634" s="6">
        <v>4</v>
      </c>
      <c r="K634" s="6">
        <v>7</v>
      </c>
      <c r="L634" s="6">
        <v>7</v>
      </c>
      <c r="M634" s="4" t="str">
        <f t="shared" si="27"/>
        <v>OK</v>
      </c>
      <c r="N634" s="7">
        <f t="shared" si="28"/>
        <v>5.2944309443760197E-2</v>
      </c>
      <c r="O634" s="7">
        <f>SUMIFS($D$2:D634,$B$2:B634,B634)/SUMIFS($D$2:$D$741,$B$2:$B$741,B634)</f>
        <v>0.40272460970007656</v>
      </c>
      <c r="P634" s="4" t="b">
        <f t="shared" si="29"/>
        <v>1</v>
      </c>
      <c r="Q634" s="4" t="s">
        <v>23</v>
      </c>
      <c r="R634" s="4" t="s">
        <v>100</v>
      </c>
      <c r="S634" s="4" t="s">
        <v>25</v>
      </c>
      <c r="T634" s="4" t="s">
        <v>101</v>
      </c>
    </row>
    <row r="635" spans="1:20" x14ac:dyDescent="0.45">
      <c r="A635" s="4" t="s">
        <v>814</v>
      </c>
      <c r="B635" s="4" t="s">
        <v>809</v>
      </c>
      <c r="C635" s="5">
        <v>1</v>
      </c>
      <c r="D635" s="5">
        <v>6188</v>
      </c>
      <c r="E635" s="5">
        <v>0</v>
      </c>
      <c r="F635" s="5">
        <v>0</v>
      </c>
      <c r="G635" s="5">
        <v>0</v>
      </c>
      <c r="H635" s="5">
        <v>6188</v>
      </c>
      <c r="I635" s="6">
        <v>3</v>
      </c>
      <c r="J635" s="6">
        <v>3.7</v>
      </c>
      <c r="K635" s="6">
        <v>7</v>
      </c>
      <c r="L635" s="6">
        <v>7</v>
      </c>
      <c r="M635" s="4" t="str">
        <f t="shared" si="27"/>
        <v>OK</v>
      </c>
      <c r="N635" s="7">
        <f t="shared" si="28"/>
        <v>5.1496288405845345E-2</v>
      </c>
      <c r="O635" s="7">
        <f>SUMIFS($D$2:D635,$B$2:B635,B635)/SUMIFS($D$2:$D$741,$B$2:$B$741,B635)</f>
        <v>0.45422089810592192</v>
      </c>
      <c r="P635" s="4" t="b">
        <f t="shared" si="29"/>
        <v>1</v>
      </c>
      <c r="Q635" s="4" t="s">
        <v>23</v>
      </c>
      <c r="R635" s="4" t="s">
        <v>100</v>
      </c>
      <c r="S635" s="4" t="s">
        <v>25</v>
      </c>
      <c r="T635" s="4" t="s">
        <v>101</v>
      </c>
    </row>
    <row r="636" spans="1:20" x14ac:dyDescent="0.45">
      <c r="A636" s="4" t="s">
        <v>815</v>
      </c>
      <c r="B636" s="4" t="s">
        <v>809</v>
      </c>
      <c r="C636" s="5">
        <v>2</v>
      </c>
      <c r="D636" s="5">
        <v>6067</v>
      </c>
      <c r="E636" s="5">
        <v>0</v>
      </c>
      <c r="F636" s="5">
        <v>0</v>
      </c>
      <c r="G636" s="5">
        <v>0</v>
      </c>
      <c r="H636" s="5">
        <v>6067</v>
      </c>
      <c r="I636" s="6">
        <v>3</v>
      </c>
      <c r="J636" s="6">
        <v>3.6</v>
      </c>
      <c r="K636" s="6">
        <v>7</v>
      </c>
      <c r="L636" s="6">
        <v>7</v>
      </c>
      <c r="M636" s="4" t="str">
        <f t="shared" si="27"/>
        <v>OK</v>
      </c>
      <c r="N636" s="7">
        <f t="shared" si="28"/>
        <v>5.0489331247295363E-2</v>
      </c>
      <c r="O636" s="7">
        <f>SUMIFS($D$2:D636,$B$2:B636,B636)/SUMIFS($D$2:$D$741,$B$2:$B$741,B636)</f>
        <v>0.5047102293532173</v>
      </c>
      <c r="P636" s="4" t="b">
        <f t="shared" si="29"/>
        <v>1</v>
      </c>
      <c r="Q636" s="4" t="s">
        <v>23</v>
      </c>
      <c r="R636" s="4" t="s">
        <v>100</v>
      </c>
      <c r="S636" s="4" t="s">
        <v>25</v>
      </c>
      <c r="T636" s="4" t="s">
        <v>101</v>
      </c>
    </row>
    <row r="637" spans="1:20" x14ac:dyDescent="0.45">
      <c r="A637" s="4" t="s">
        <v>816</v>
      </c>
      <c r="B637" s="4" t="s">
        <v>809</v>
      </c>
      <c r="C637" s="5">
        <v>1</v>
      </c>
      <c r="D637" s="5">
        <v>3703</v>
      </c>
      <c r="E637" s="5">
        <v>832</v>
      </c>
      <c r="F637" s="5">
        <v>16</v>
      </c>
      <c r="G637" s="5">
        <v>1</v>
      </c>
      <c r="H637" s="5">
        <v>3679</v>
      </c>
      <c r="I637" s="6">
        <v>2</v>
      </c>
      <c r="J637" s="6">
        <v>22.6</v>
      </c>
      <c r="K637" s="6">
        <v>41</v>
      </c>
      <c r="L637" s="6">
        <v>41</v>
      </c>
      <c r="M637" s="4" t="str">
        <f t="shared" si="27"/>
        <v>OK</v>
      </c>
      <c r="N637" s="7">
        <f t="shared" si="28"/>
        <v>3.0816217835624646E-2</v>
      </c>
      <c r="O637" s="7">
        <f>SUMIFS($D$2:D637,$B$2:B637,B637)/SUMIFS($D$2:$D$741,$B$2:$B$741,B637)</f>
        <v>0.5355264471888419</v>
      </c>
      <c r="P637" s="4" t="b">
        <f t="shared" si="29"/>
        <v>1</v>
      </c>
      <c r="Q637" s="4" t="s">
        <v>23</v>
      </c>
      <c r="R637" s="4" t="s">
        <v>100</v>
      </c>
      <c r="S637" s="4" t="s">
        <v>25</v>
      </c>
      <c r="T637" s="4" t="s">
        <v>101</v>
      </c>
    </row>
    <row r="638" spans="1:20" x14ac:dyDescent="0.45">
      <c r="A638" s="4" t="s">
        <v>817</v>
      </c>
      <c r="B638" s="4" t="s">
        <v>809</v>
      </c>
      <c r="C638" s="5">
        <v>1</v>
      </c>
      <c r="D638" s="5">
        <v>3699</v>
      </c>
      <c r="E638" s="5">
        <v>0</v>
      </c>
      <c r="F638" s="5">
        <v>0</v>
      </c>
      <c r="G638" s="5">
        <v>0</v>
      </c>
      <c r="H638" s="5">
        <v>3699</v>
      </c>
      <c r="I638" s="6">
        <v>4</v>
      </c>
      <c r="J638" s="6">
        <v>4.0999999999999996</v>
      </c>
      <c r="K638" s="6">
        <v>8</v>
      </c>
      <c r="L638" s="6">
        <v>8</v>
      </c>
      <c r="M638" s="4" t="str">
        <f t="shared" si="27"/>
        <v>OK</v>
      </c>
      <c r="N638" s="7">
        <f t="shared" si="28"/>
        <v>3.078292999567258E-2</v>
      </c>
      <c r="O638" s="7">
        <f>SUMIFS($D$2:D638,$B$2:B638,B638)/SUMIFS($D$2:$D$741,$B$2:$B$741,B638)</f>
        <v>0.56630937718451446</v>
      </c>
      <c r="P638" s="4" t="b">
        <f t="shared" si="29"/>
        <v>1</v>
      </c>
      <c r="Q638" s="4" t="s">
        <v>23</v>
      </c>
      <c r="R638" s="4" t="s">
        <v>100</v>
      </c>
      <c r="S638" s="4" t="s">
        <v>25</v>
      </c>
      <c r="T638" s="4" t="s">
        <v>101</v>
      </c>
    </row>
    <row r="639" spans="1:20" x14ac:dyDescent="0.45">
      <c r="A639" s="4" t="s">
        <v>818</v>
      </c>
      <c r="B639" s="4" t="s">
        <v>809</v>
      </c>
      <c r="C639" s="5">
        <v>1</v>
      </c>
      <c r="D639" s="5">
        <v>3594</v>
      </c>
      <c r="E639" s="5">
        <v>0</v>
      </c>
      <c r="F639" s="5">
        <v>0</v>
      </c>
      <c r="G639" s="5">
        <v>0</v>
      </c>
      <c r="H639" s="5">
        <v>3594</v>
      </c>
      <c r="I639" s="6">
        <v>3</v>
      </c>
      <c r="J639" s="6">
        <v>3.8</v>
      </c>
      <c r="K639" s="6">
        <v>7</v>
      </c>
      <c r="L639" s="6">
        <v>7</v>
      </c>
      <c r="M639" s="4" t="str">
        <f t="shared" si="27"/>
        <v>OK</v>
      </c>
      <c r="N639" s="7">
        <f t="shared" si="28"/>
        <v>2.9909124196930863E-2</v>
      </c>
      <c r="O639" s="7">
        <f>SUMIFS($D$2:D639,$B$2:B639,B639)/SUMIFS($D$2:$D$741,$B$2:$B$741,B639)</f>
        <v>0.59621850138144539</v>
      </c>
      <c r="P639" s="4" t="b">
        <f t="shared" si="29"/>
        <v>1</v>
      </c>
      <c r="Q639" s="4" t="s">
        <v>23</v>
      </c>
      <c r="R639" s="4" t="s">
        <v>100</v>
      </c>
      <c r="S639" s="4" t="s">
        <v>25</v>
      </c>
      <c r="T639" s="4" t="s">
        <v>101</v>
      </c>
    </row>
    <row r="640" spans="1:20" x14ac:dyDescent="0.45">
      <c r="A640" s="4" t="s">
        <v>819</v>
      </c>
      <c r="B640" s="4" t="s">
        <v>809</v>
      </c>
      <c r="C640" s="5">
        <v>1</v>
      </c>
      <c r="D640" s="5">
        <v>3523</v>
      </c>
      <c r="E640" s="5">
        <v>0</v>
      </c>
      <c r="F640" s="5">
        <v>1</v>
      </c>
      <c r="G640" s="5">
        <v>1</v>
      </c>
      <c r="H640" s="5">
        <v>3522</v>
      </c>
      <c r="I640" s="6">
        <v>0</v>
      </c>
      <c r="J640" s="6">
        <v>4.4000000000000004</v>
      </c>
      <c r="K640" s="6">
        <v>3</v>
      </c>
      <c r="L640" s="6">
        <v>3</v>
      </c>
      <c r="M640" s="4" t="str">
        <f t="shared" si="27"/>
        <v>OK</v>
      </c>
      <c r="N640" s="7">
        <f t="shared" si="28"/>
        <v>2.9318265037781698E-2</v>
      </c>
      <c r="O640" s="7">
        <f>SUMIFS($D$2:D640,$B$2:B640,B640)/SUMIFS($D$2:$D$741,$B$2:$B$741,B640)</f>
        <v>0.62553676641922706</v>
      </c>
      <c r="P640" s="4" t="b">
        <f t="shared" si="29"/>
        <v>1</v>
      </c>
      <c r="Q640" s="4" t="s">
        <v>23</v>
      </c>
      <c r="R640" s="4" t="s">
        <v>100</v>
      </c>
      <c r="S640" s="4" t="s">
        <v>25</v>
      </c>
      <c r="T640" s="4" t="s">
        <v>101</v>
      </c>
    </row>
    <row r="641" spans="1:20" x14ac:dyDescent="0.45">
      <c r="A641" s="4" t="s">
        <v>820</v>
      </c>
      <c r="B641" s="4" t="s">
        <v>809</v>
      </c>
      <c r="C641" s="5">
        <v>1</v>
      </c>
      <c r="D641" s="5">
        <v>3510</v>
      </c>
      <c r="E641" s="5">
        <v>797</v>
      </c>
      <c r="F641" s="5">
        <v>4</v>
      </c>
      <c r="G641" s="5">
        <v>0</v>
      </c>
      <c r="H641" s="5">
        <v>3506</v>
      </c>
      <c r="I641" s="6">
        <v>0</v>
      </c>
      <c r="J641" s="6">
        <v>7.3</v>
      </c>
      <c r="K641" s="6">
        <v>3</v>
      </c>
      <c r="L641" s="6">
        <v>3</v>
      </c>
      <c r="M641" s="4" t="str">
        <f t="shared" si="27"/>
        <v>OK</v>
      </c>
      <c r="N641" s="7">
        <f t="shared" si="28"/>
        <v>2.9210079557937484E-2</v>
      </c>
      <c r="O641" s="7">
        <f>SUMIFS($D$2:D641,$B$2:B641,B641)/SUMIFS($D$2:$D$741,$B$2:$B$741,B641)</f>
        <v>0.65474684597716459</v>
      </c>
      <c r="P641" s="4" t="b">
        <f t="shared" si="29"/>
        <v>1</v>
      </c>
      <c r="Q641" s="4" t="s">
        <v>23</v>
      </c>
      <c r="R641" s="4" t="s">
        <v>30</v>
      </c>
      <c r="S641" s="4" t="s">
        <v>25</v>
      </c>
      <c r="T641" s="4" t="s">
        <v>31</v>
      </c>
    </row>
    <row r="642" spans="1:20" x14ac:dyDescent="0.45">
      <c r="A642" s="4" t="s">
        <v>821</v>
      </c>
      <c r="B642" s="4" t="s">
        <v>809</v>
      </c>
      <c r="C642" s="5">
        <v>1</v>
      </c>
      <c r="D642" s="5">
        <v>3491</v>
      </c>
      <c r="E642" s="5">
        <v>0</v>
      </c>
      <c r="F642" s="5">
        <v>0</v>
      </c>
      <c r="G642" s="5">
        <v>0</v>
      </c>
      <c r="H642" s="5">
        <v>3491</v>
      </c>
      <c r="I642" s="6">
        <v>6</v>
      </c>
      <c r="J642" s="6">
        <v>6.1</v>
      </c>
      <c r="K642" s="6">
        <v>10</v>
      </c>
      <c r="L642" s="6">
        <v>10</v>
      </c>
      <c r="M642" s="4" t="str">
        <f t="shared" ref="M642:M705" si="30">IF(AND(K642="",L642=""),"No closed tickets",IF(K642="","MISSING in catalog",IF(L642="","No valid closed tickets",IF(AND(ABS(K642-L642)&gt;=$W$3,ABS(K642-L642)&gt;=$W$4*MAX(L642,1)),"FAR OFF","OK"))))</f>
        <v>OK</v>
      </c>
      <c r="N642" s="7">
        <f t="shared" ref="N642:N705" si="31">D642/SUMIFS($D$2:$D$741,$B$2:$B$741,B642)</f>
        <v>2.9051962318165175E-2</v>
      </c>
      <c r="O642" s="7">
        <f>SUMIFS($D$2:D642,$B$2:B642,B642)/SUMIFS($D$2:$D$741,$B$2:$B$741,B642)</f>
        <v>0.68379880829532969</v>
      </c>
      <c r="P642" s="4" t="b">
        <f t="shared" ref="P642:P705" si="32">O642-N642&lt;$W$2</f>
        <v>1</v>
      </c>
      <c r="Q642" s="4" t="s">
        <v>23</v>
      </c>
      <c r="R642" s="4" t="s">
        <v>100</v>
      </c>
      <c r="S642" s="4" t="s">
        <v>25</v>
      </c>
      <c r="T642" s="4" t="s">
        <v>101</v>
      </c>
    </row>
    <row r="643" spans="1:20" x14ac:dyDescent="0.45">
      <c r="A643" s="4" t="s">
        <v>822</v>
      </c>
      <c r="B643" s="4" t="s">
        <v>809</v>
      </c>
      <c r="C643" s="5">
        <v>2</v>
      </c>
      <c r="D643" s="5">
        <v>3328</v>
      </c>
      <c r="E643" s="5">
        <v>0</v>
      </c>
      <c r="F643" s="5">
        <v>0</v>
      </c>
      <c r="G643" s="5">
        <v>0</v>
      </c>
      <c r="H643" s="5">
        <v>3328</v>
      </c>
      <c r="I643" s="6">
        <v>3</v>
      </c>
      <c r="J643" s="6">
        <v>3.7</v>
      </c>
      <c r="K643" s="6">
        <v>7</v>
      </c>
      <c r="L643" s="6">
        <v>7</v>
      </c>
      <c r="M643" s="4" t="str">
        <f t="shared" si="30"/>
        <v>OK</v>
      </c>
      <c r="N643" s="7">
        <f t="shared" si="31"/>
        <v>2.7695482840118503E-2</v>
      </c>
      <c r="O643" s="7">
        <f>SUMIFS($D$2:D643,$B$2:B643,B643)/SUMIFS($D$2:$D$741,$B$2:$B$741,B643)</f>
        <v>0.71149429113544826</v>
      </c>
      <c r="P643" s="4" t="b">
        <f t="shared" si="32"/>
        <v>1</v>
      </c>
      <c r="Q643" s="4" t="s">
        <v>23</v>
      </c>
      <c r="R643" s="4" t="s">
        <v>100</v>
      </c>
      <c r="S643" s="4" t="s">
        <v>25</v>
      </c>
      <c r="T643" s="4" t="s">
        <v>101</v>
      </c>
    </row>
    <row r="644" spans="1:20" x14ac:dyDescent="0.45">
      <c r="A644" s="4" t="s">
        <v>823</v>
      </c>
      <c r="B644" s="4" t="s">
        <v>809</v>
      </c>
      <c r="C644" s="5">
        <v>1</v>
      </c>
      <c r="D644" s="5">
        <v>3132</v>
      </c>
      <c r="E644" s="5">
        <v>741</v>
      </c>
      <c r="F644" s="5">
        <v>7</v>
      </c>
      <c r="G644" s="5">
        <v>0</v>
      </c>
      <c r="H644" s="5">
        <v>3125</v>
      </c>
      <c r="I644" s="6">
        <v>4</v>
      </c>
      <c r="J644" s="6">
        <v>8.8000000000000007</v>
      </c>
      <c r="K644" s="6">
        <v>12</v>
      </c>
      <c r="L644" s="6">
        <v>12</v>
      </c>
      <c r="M644" s="4" t="str">
        <f t="shared" si="30"/>
        <v>OK</v>
      </c>
      <c r="N644" s="7">
        <f t="shared" si="31"/>
        <v>2.6064378682467294E-2</v>
      </c>
      <c r="O644" s="7">
        <f>SUMIFS($D$2:D644,$B$2:B644,B644)/SUMIFS($D$2:$D$741,$B$2:$B$741,B644)</f>
        <v>0.73755866981791551</v>
      </c>
      <c r="P644" s="4" t="b">
        <f t="shared" si="32"/>
        <v>1</v>
      </c>
      <c r="Q644" s="4" t="s">
        <v>23</v>
      </c>
      <c r="R644" s="4" t="s">
        <v>289</v>
      </c>
      <c r="S644" s="4" t="s">
        <v>25</v>
      </c>
      <c r="T644" s="4" t="s">
        <v>290</v>
      </c>
    </row>
    <row r="645" spans="1:20" x14ac:dyDescent="0.45">
      <c r="A645" s="4" t="s">
        <v>824</v>
      </c>
      <c r="B645" s="4" t="s">
        <v>809</v>
      </c>
      <c r="C645" s="5">
        <v>1</v>
      </c>
      <c r="D645" s="5">
        <v>3117</v>
      </c>
      <c r="E645" s="5">
        <v>0</v>
      </c>
      <c r="F645" s="5">
        <v>0</v>
      </c>
      <c r="G645" s="5">
        <v>0</v>
      </c>
      <c r="H645" s="5">
        <v>3117</v>
      </c>
      <c r="I645" s="6">
        <v>3</v>
      </c>
      <c r="J645" s="6">
        <v>3.7</v>
      </c>
      <c r="K645" s="6">
        <v>8</v>
      </c>
      <c r="L645" s="6">
        <v>8</v>
      </c>
      <c r="M645" s="4" t="str">
        <f t="shared" si="30"/>
        <v>OK</v>
      </c>
      <c r="N645" s="7">
        <f t="shared" si="31"/>
        <v>2.5939549282647047E-2</v>
      </c>
      <c r="O645" s="7">
        <f>SUMIFS($D$2:D645,$B$2:B645,B645)/SUMIFS($D$2:$D$741,$B$2:$B$741,B645)</f>
        <v>0.76349821910056259</v>
      </c>
      <c r="P645" s="4" t="b">
        <f t="shared" si="32"/>
        <v>1</v>
      </c>
      <c r="Q645" s="4" t="s">
        <v>23</v>
      </c>
      <c r="R645" s="4" t="s">
        <v>100</v>
      </c>
      <c r="S645" s="4" t="s">
        <v>25</v>
      </c>
      <c r="T645" s="4" t="s">
        <v>101</v>
      </c>
    </row>
    <row r="646" spans="1:20" x14ac:dyDescent="0.45">
      <c r="A646" s="4" t="s">
        <v>825</v>
      </c>
      <c r="B646" s="4" t="s">
        <v>809</v>
      </c>
      <c r="C646" s="5">
        <v>1</v>
      </c>
      <c r="D646" s="5">
        <v>3112</v>
      </c>
      <c r="E646" s="5">
        <v>0</v>
      </c>
      <c r="F646" s="5">
        <v>0</v>
      </c>
      <c r="G646" s="5">
        <v>0</v>
      </c>
      <c r="H646" s="5">
        <v>3112</v>
      </c>
      <c r="I646" s="6">
        <v>4</v>
      </c>
      <c r="J646" s="6">
        <v>4.4000000000000004</v>
      </c>
      <c r="K646" s="6">
        <v>8</v>
      </c>
      <c r="L646" s="6">
        <v>8</v>
      </c>
      <c r="M646" s="4" t="str">
        <f t="shared" si="30"/>
        <v>OK</v>
      </c>
      <c r="N646" s="7">
        <f t="shared" si="31"/>
        <v>2.5897939482706966E-2</v>
      </c>
      <c r="O646" s="7">
        <f>SUMIFS($D$2:D646,$B$2:B646,B646)/SUMIFS($D$2:$D$741,$B$2:$B$741,B646)</f>
        <v>0.7893961585832695</v>
      </c>
      <c r="P646" s="4" t="b">
        <f t="shared" si="32"/>
        <v>1</v>
      </c>
      <c r="Q646" s="4" t="s">
        <v>23</v>
      </c>
      <c r="R646" s="4" t="s">
        <v>100</v>
      </c>
      <c r="S646" s="4" t="s">
        <v>25</v>
      </c>
      <c r="T646" s="4" t="s">
        <v>101</v>
      </c>
    </row>
    <row r="647" spans="1:20" x14ac:dyDescent="0.45">
      <c r="A647" s="4" t="s">
        <v>826</v>
      </c>
      <c r="B647" s="4" t="s">
        <v>809</v>
      </c>
      <c r="C647" s="5">
        <v>2</v>
      </c>
      <c r="D647" s="5">
        <v>3003</v>
      </c>
      <c r="E647" s="5">
        <v>0</v>
      </c>
      <c r="F647" s="5">
        <v>0</v>
      </c>
      <c r="G647" s="5">
        <v>0</v>
      </c>
      <c r="H647" s="5">
        <v>3003</v>
      </c>
      <c r="I647" s="6">
        <v>0</v>
      </c>
      <c r="J647" s="6">
        <v>0.4</v>
      </c>
      <c r="K647" s="6">
        <v>1</v>
      </c>
      <c r="L647" s="6">
        <v>1</v>
      </c>
      <c r="M647" s="4" t="str">
        <f t="shared" si="30"/>
        <v>OK</v>
      </c>
      <c r="N647" s="7">
        <f t="shared" si="31"/>
        <v>2.4990845844013183E-2</v>
      </c>
      <c r="O647" s="7">
        <f>SUMIFS($D$2:D647,$B$2:B647,B647)/SUMIFS($D$2:$D$741,$B$2:$B$741,B647)</f>
        <v>0.81438700442728273</v>
      </c>
      <c r="P647" s="4" t="b">
        <f t="shared" si="32"/>
        <v>1</v>
      </c>
      <c r="Q647" s="4" t="s">
        <v>23</v>
      </c>
      <c r="R647" s="4" t="s">
        <v>100</v>
      </c>
      <c r="S647" s="4" t="s">
        <v>25</v>
      </c>
      <c r="T647" s="4" t="s">
        <v>101</v>
      </c>
    </row>
    <row r="648" spans="1:20" x14ac:dyDescent="0.45">
      <c r="A648" s="4" t="s">
        <v>827</v>
      </c>
      <c r="B648" s="4" t="s">
        <v>809</v>
      </c>
      <c r="C648" s="5">
        <v>1</v>
      </c>
      <c r="D648" s="5">
        <v>2966</v>
      </c>
      <c r="E648" s="5">
        <v>763</v>
      </c>
      <c r="F648" s="5">
        <v>6</v>
      </c>
      <c r="G648" s="5">
        <v>0</v>
      </c>
      <c r="H648" s="5">
        <v>2960</v>
      </c>
      <c r="I648" s="6">
        <v>1</v>
      </c>
      <c r="J648" s="6">
        <v>6.6</v>
      </c>
      <c r="K648" s="6">
        <v>7</v>
      </c>
      <c r="L648" s="6">
        <v>7</v>
      </c>
      <c r="M648" s="4" t="str">
        <f t="shared" si="30"/>
        <v>OK</v>
      </c>
      <c r="N648" s="7">
        <f t="shared" si="31"/>
        <v>2.4682933324456577E-2</v>
      </c>
      <c r="O648" s="7">
        <f>SUMIFS($D$2:D648,$B$2:B648,B648)/SUMIFS($D$2:$D$741,$B$2:$B$741,B648)</f>
        <v>0.83906993775173933</v>
      </c>
      <c r="P648" s="4" t="b">
        <f t="shared" si="32"/>
        <v>1</v>
      </c>
      <c r="Q648" s="4" t="s">
        <v>23</v>
      </c>
      <c r="R648" s="4" t="s">
        <v>100</v>
      </c>
      <c r="S648" s="4" t="s">
        <v>25</v>
      </c>
      <c r="T648" s="4" t="s">
        <v>101</v>
      </c>
    </row>
    <row r="649" spans="1:20" x14ac:dyDescent="0.45">
      <c r="A649" s="4" t="s">
        <v>828</v>
      </c>
      <c r="B649" s="4" t="s">
        <v>809</v>
      </c>
      <c r="C649" s="5">
        <v>2</v>
      </c>
      <c r="D649" s="5">
        <v>2864</v>
      </c>
      <c r="E649" s="5">
        <v>0</v>
      </c>
      <c r="F649" s="5">
        <v>0</v>
      </c>
      <c r="G649" s="5">
        <v>0</v>
      </c>
      <c r="H649" s="5">
        <v>2864</v>
      </c>
      <c r="I649" s="6">
        <v>3</v>
      </c>
      <c r="J649" s="6">
        <v>3.9</v>
      </c>
      <c r="K649" s="6">
        <v>7</v>
      </c>
      <c r="L649" s="6">
        <v>7</v>
      </c>
      <c r="M649" s="4" t="str">
        <f t="shared" si="30"/>
        <v>OK</v>
      </c>
      <c r="N649" s="7">
        <f t="shared" si="31"/>
        <v>2.3834093405678904E-2</v>
      </c>
      <c r="O649" s="7">
        <f>SUMIFS($D$2:D649,$B$2:B649,B649)/SUMIFS($D$2:$D$741,$B$2:$B$741,B649)</f>
        <v>0.86290403115741821</v>
      </c>
      <c r="P649" s="4" t="b">
        <f t="shared" si="32"/>
        <v>1</v>
      </c>
      <c r="Q649" s="4" t="s">
        <v>23</v>
      </c>
      <c r="R649" s="4" t="s">
        <v>100</v>
      </c>
      <c r="S649" s="4" t="s">
        <v>25</v>
      </c>
      <c r="T649" s="4" t="s">
        <v>101</v>
      </c>
    </row>
    <row r="650" spans="1:20" x14ac:dyDescent="0.45">
      <c r="A650" s="4" t="s">
        <v>829</v>
      </c>
      <c r="B650" s="4" t="s">
        <v>809</v>
      </c>
      <c r="C650" s="5">
        <v>1</v>
      </c>
      <c r="D650" s="5">
        <v>2833</v>
      </c>
      <c r="E650" s="5">
        <v>0</v>
      </c>
      <c r="F650" s="5">
        <v>0</v>
      </c>
      <c r="G650" s="5">
        <v>0</v>
      </c>
      <c r="H650" s="5">
        <v>2833</v>
      </c>
      <c r="I650" s="6">
        <v>0</v>
      </c>
      <c r="J650" s="6">
        <v>0.4</v>
      </c>
      <c r="K650" s="6">
        <v>1</v>
      </c>
      <c r="L650" s="6">
        <v>1</v>
      </c>
      <c r="M650" s="4" t="str">
        <f t="shared" si="30"/>
        <v>OK</v>
      </c>
      <c r="N650" s="7">
        <f t="shared" si="31"/>
        <v>2.3576112646050397E-2</v>
      </c>
      <c r="O650" s="7">
        <f>SUMIFS($D$2:D650,$B$2:B650,B650)/SUMIFS($D$2:$D$741,$B$2:$B$741,B650)</f>
        <v>0.88648014380346862</v>
      </c>
      <c r="P650" s="4" t="b">
        <f t="shared" si="32"/>
        <v>1</v>
      </c>
      <c r="Q650" s="4" t="s">
        <v>23</v>
      </c>
      <c r="R650" s="4" t="s">
        <v>100</v>
      </c>
      <c r="S650" s="4" t="s">
        <v>25</v>
      </c>
      <c r="T650" s="4" t="s">
        <v>101</v>
      </c>
    </row>
    <row r="651" spans="1:20" x14ac:dyDescent="0.45">
      <c r="A651" s="4" t="s">
        <v>830</v>
      </c>
      <c r="B651" s="4" t="s">
        <v>809</v>
      </c>
      <c r="C651" s="5">
        <v>2</v>
      </c>
      <c r="D651" s="5">
        <v>2517</v>
      </c>
      <c r="E651" s="5">
        <v>0</v>
      </c>
      <c r="F651" s="5">
        <v>0</v>
      </c>
      <c r="G651" s="5">
        <v>0</v>
      </c>
      <c r="H651" s="5">
        <v>2517</v>
      </c>
      <c r="I651" s="6">
        <v>2</v>
      </c>
      <c r="J651" s="6">
        <v>3.5</v>
      </c>
      <c r="K651" s="6">
        <v>9</v>
      </c>
      <c r="L651" s="6">
        <v>9</v>
      </c>
      <c r="M651" s="4" t="str">
        <f t="shared" si="30"/>
        <v>OK</v>
      </c>
      <c r="N651" s="7">
        <f t="shared" si="31"/>
        <v>2.0946373289837221E-2</v>
      </c>
      <c r="O651" s="7">
        <f>SUMIFS($D$2:D651,$B$2:B651,B651)/SUMIFS($D$2:$D$741,$B$2:$B$741,B651)</f>
        <v>0.9074265170933058</v>
      </c>
      <c r="P651" s="4" t="b">
        <f t="shared" si="32"/>
        <v>1</v>
      </c>
      <c r="Q651" s="4" t="s">
        <v>23</v>
      </c>
      <c r="R651" s="4" t="s">
        <v>100</v>
      </c>
      <c r="S651" s="4" t="s">
        <v>25</v>
      </c>
      <c r="T651" s="4" t="s">
        <v>101</v>
      </c>
    </row>
    <row r="652" spans="1:20" x14ac:dyDescent="0.45">
      <c r="A652" s="4" t="s">
        <v>831</v>
      </c>
      <c r="B652" s="4" t="s">
        <v>809</v>
      </c>
      <c r="C652" s="5">
        <v>1</v>
      </c>
      <c r="D652" s="5">
        <v>2394</v>
      </c>
      <c r="E652" s="5">
        <v>2365</v>
      </c>
      <c r="F652" s="5">
        <v>781</v>
      </c>
      <c r="G652" s="5">
        <v>94</v>
      </c>
      <c r="H652" s="5">
        <v>1613</v>
      </c>
      <c r="I652" s="6">
        <v>40</v>
      </c>
      <c r="J652" s="6">
        <v>41.7</v>
      </c>
      <c r="K652" s="6">
        <v>57</v>
      </c>
      <c r="L652" s="6">
        <v>57</v>
      </c>
      <c r="M652" s="4" t="str">
        <f t="shared" si="30"/>
        <v>OK</v>
      </c>
      <c r="N652" s="7">
        <f t="shared" si="31"/>
        <v>1.9922772211311206E-2</v>
      </c>
      <c r="O652" s="7">
        <f>SUMIFS($D$2:D652,$B$2:B652,B652)/SUMIFS($D$2:$D$741,$B$2:$B$741,B652)</f>
        <v>0.92734928930461702</v>
      </c>
      <c r="P652" s="4" t="b">
        <f t="shared" si="32"/>
        <v>1</v>
      </c>
      <c r="Q652" s="4" t="s">
        <v>23</v>
      </c>
      <c r="R652" s="4" t="s">
        <v>30</v>
      </c>
      <c r="S652" s="4" t="s">
        <v>25</v>
      </c>
      <c r="T652" s="4" t="s">
        <v>31</v>
      </c>
    </row>
    <row r="653" spans="1:20" x14ac:dyDescent="0.45">
      <c r="A653" s="4" t="s">
        <v>832</v>
      </c>
      <c r="B653" s="4" t="s">
        <v>809</v>
      </c>
      <c r="C653" s="5">
        <v>1</v>
      </c>
      <c r="D653" s="5">
        <v>1536</v>
      </c>
      <c r="E653" s="5">
        <v>170</v>
      </c>
      <c r="F653" s="5">
        <v>0</v>
      </c>
      <c r="G653" s="5">
        <v>0</v>
      </c>
      <c r="H653" s="5">
        <v>1536</v>
      </c>
      <c r="I653" s="6">
        <v>1</v>
      </c>
      <c r="J653" s="6">
        <v>7.1</v>
      </c>
      <c r="K653" s="6">
        <v>7</v>
      </c>
      <c r="L653" s="6">
        <v>7</v>
      </c>
      <c r="M653" s="4" t="str">
        <f t="shared" si="30"/>
        <v>OK</v>
      </c>
      <c r="N653" s="7">
        <f t="shared" si="31"/>
        <v>1.2782530541593156E-2</v>
      </c>
      <c r="O653" s="7">
        <f>SUMIFS($D$2:D653,$B$2:B653,B653)/SUMIFS($D$2:$D$741,$B$2:$B$741,B653)</f>
        <v>0.94013181984621019</v>
      </c>
      <c r="P653" s="4" t="b">
        <f t="shared" si="32"/>
        <v>1</v>
      </c>
      <c r="Q653" s="4" t="s">
        <v>23</v>
      </c>
      <c r="R653" s="4" t="s">
        <v>100</v>
      </c>
      <c r="S653" s="4" t="s">
        <v>109</v>
      </c>
      <c r="T653" s="4" t="s">
        <v>833</v>
      </c>
    </row>
    <row r="654" spans="1:20" x14ac:dyDescent="0.45">
      <c r="A654" s="4" t="s">
        <v>834</v>
      </c>
      <c r="B654" s="4" t="s">
        <v>809</v>
      </c>
      <c r="C654" s="5">
        <v>1</v>
      </c>
      <c r="D654" s="5">
        <v>1209</v>
      </c>
      <c r="E654" s="5">
        <v>544</v>
      </c>
      <c r="F654" s="5">
        <v>74</v>
      </c>
      <c r="G654" s="5">
        <v>26</v>
      </c>
      <c r="H654" s="5">
        <v>1135</v>
      </c>
      <c r="I654" s="6">
        <v>7</v>
      </c>
      <c r="J654" s="6">
        <v>15.8</v>
      </c>
      <c r="K654" s="6">
        <v>39</v>
      </c>
      <c r="L654" s="6">
        <v>39.200000000000003</v>
      </c>
      <c r="M654" s="4" t="str">
        <f t="shared" si="30"/>
        <v>OK</v>
      </c>
      <c r="N654" s="7">
        <f t="shared" si="31"/>
        <v>1.00612496255118E-2</v>
      </c>
      <c r="O654" s="7">
        <f>SUMIFS($D$2:D654,$B$2:B654,B654)/SUMIFS($D$2:$D$741,$B$2:$B$741,B654)</f>
        <v>0.950193069471722</v>
      </c>
      <c r="P654" s="4" t="b">
        <f t="shared" si="32"/>
        <v>1</v>
      </c>
      <c r="Q654" s="4" t="s">
        <v>23</v>
      </c>
      <c r="R654" s="4" t="s">
        <v>100</v>
      </c>
      <c r="S654" s="4" t="s">
        <v>25</v>
      </c>
      <c r="T654" s="4" t="s">
        <v>101</v>
      </c>
    </row>
    <row r="655" spans="1:20" x14ac:dyDescent="0.45">
      <c r="A655" s="4" t="s">
        <v>835</v>
      </c>
      <c r="B655" s="4" t="s">
        <v>809</v>
      </c>
      <c r="C655" s="5">
        <v>2</v>
      </c>
      <c r="D655" s="5">
        <v>805</v>
      </c>
      <c r="E655" s="5">
        <v>0</v>
      </c>
      <c r="F655" s="5">
        <v>0</v>
      </c>
      <c r="G655" s="5">
        <v>0</v>
      </c>
      <c r="H655" s="5">
        <v>805</v>
      </c>
      <c r="I655" s="6">
        <v>0</v>
      </c>
      <c r="J655" s="6">
        <v>3.1</v>
      </c>
      <c r="K655" s="6">
        <v>6</v>
      </c>
      <c r="L655" s="6">
        <v>6</v>
      </c>
      <c r="M655" s="4" t="str">
        <f t="shared" si="30"/>
        <v>OK</v>
      </c>
      <c r="N655" s="7">
        <f t="shared" si="31"/>
        <v>6.6991777903531837E-3</v>
      </c>
      <c r="O655" s="7">
        <f>SUMIFS($D$2:D655,$B$2:B655,B655)/SUMIFS($D$2:$D$741,$B$2:$B$741,B655)</f>
        <v>0.95689224726207511</v>
      </c>
      <c r="P655" s="4" t="b">
        <f t="shared" si="32"/>
        <v>0</v>
      </c>
      <c r="Q655" s="4" t="s">
        <v>23</v>
      </c>
      <c r="R655" s="4" t="s">
        <v>100</v>
      </c>
      <c r="S655" s="4" t="s">
        <v>25</v>
      </c>
      <c r="T655" s="4" t="s">
        <v>101</v>
      </c>
    </row>
    <row r="656" spans="1:20" x14ac:dyDescent="0.45">
      <c r="A656" s="4" t="s">
        <v>836</v>
      </c>
      <c r="B656" s="4" t="s">
        <v>809</v>
      </c>
      <c r="C656" s="5">
        <v>2</v>
      </c>
      <c r="D656" s="5">
        <v>641</v>
      </c>
      <c r="E656" s="5">
        <v>0</v>
      </c>
      <c r="F656" s="5">
        <v>0</v>
      </c>
      <c r="G656" s="5">
        <v>0</v>
      </c>
      <c r="H656" s="5">
        <v>641</v>
      </c>
      <c r="I656" s="6">
        <v>2</v>
      </c>
      <c r="J656" s="6">
        <v>8.6999999999999993</v>
      </c>
      <c r="K656" s="6">
        <v>35</v>
      </c>
      <c r="L656" s="6">
        <v>35</v>
      </c>
      <c r="M656" s="4" t="str">
        <f t="shared" si="30"/>
        <v>OK</v>
      </c>
      <c r="N656" s="7">
        <f t="shared" si="31"/>
        <v>5.3343763523184982E-3</v>
      </c>
      <c r="O656" s="7">
        <f>SUMIFS($D$2:D656,$B$2:B656,B656)/SUMIFS($D$2:$D$741,$B$2:$B$741,B656)</f>
        <v>0.96222662361439371</v>
      </c>
      <c r="P656" s="4" t="b">
        <f t="shared" si="32"/>
        <v>0</v>
      </c>
      <c r="Q656" s="4" t="s">
        <v>23</v>
      </c>
      <c r="R656" s="4" t="s">
        <v>100</v>
      </c>
      <c r="S656" s="4" t="s">
        <v>25</v>
      </c>
      <c r="T656" s="4" t="s">
        <v>101</v>
      </c>
    </row>
    <row r="657" spans="1:20" x14ac:dyDescent="0.45">
      <c r="A657" s="4" t="s">
        <v>837</v>
      </c>
      <c r="B657" s="4" t="s">
        <v>809</v>
      </c>
      <c r="C657" s="5">
        <v>1</v>
      </c>
      <c r="D657" s="5">
        <v>622</v>
      </c>
      <c r="E657" s="5">
        <v>200</v>
      </c>
      <c r="F657" s="5">
        <v>8</v>
      </c>
      <c r="G657" s="5">
        <v>0</v>
      </c>
      <c r="H657" s="5">
        <v>614</v>
      </c>
      <c r="I657" s="6">
        <v>1</v>
      </c>
      <c r="J657" s="6">
        <v>9.6999999999999993</v>
      </c>
      <c r="K657" s="6">
        <v>16</v>
      </c>
      <c r="L657" s="6">
        <v>16</v>
      </c>
      <c r="M657" s="4" t="str">
        <f t="shared" si="30"/>
        <v>OK</v>
      </c>
      <c r="N657" s="7">
        <f t="shared" si="31"/>
        <v>5.1762591125461867E-3</v>
      </c>
      <c r="O657" s="7">
        <f>SUMIFS($D$2:D657,$B$2:B657,B657)/SUMIFS($D$2:$D$741,$B$2:$B$741,B657)</f>
        <v>0.96740288272693986</v>
      </c>
      <c r="P657" s="4" t="b">
        <f t="shared" si="32"/>
        <v>0</v>
      </c>
      <c r="Q657" s="4" t="s">
        <v>23</v>
      </c>
      <c r="R657" s="4" t="s">
        <v>100</v>
      </c>
      <c r="S657" s="4" t="s">
        <v>25</v>
      </c>
      <c r="T657" s="4" t="s">
        <v>101</v>
      </c>
    </row>
    <row r="658" spans="1:20" x14ac:dyDescent="0.45">
      <c r="A658" s="4" t="s">
        <v>838</v>
      </c>
      <c r="B658" s="4" t="s">
        <v>809</v>
      </c>
      <c r="C658" s="5">
        <v>1</v>
      </c>
      <c r="D658" s="5">
        <v>613</v>
      </c>
      <c r="E658" s="5">
        <v>0</v>
      </c>
      <c r="F658" s="5">
        <v>0</v>
      </c>
      <c r="G658" s="5">
        <v>0</v>
      </c>
      <c r="H658" s="5">
        <v>613</v>
      </c>
      <c r="I658" s="6">
        <v>1</v>
      </c>
      <c r="J658" s="6">
        <v>6.1</v>
      </c>
      <c r="K658" s="6">
        <v>6</v>
      </c>
      <c r="L658" s="6">
        <v>6</v>
      </c>
      <c r="M658" s="4" t="str">
        <f t="shared" si="30"/>
        <v>OK</v>
      </c>
      <c r="N658" s="7">
        <f t="shared" si="31"/>
        <v>5.1013614726540396E-3</v>
      </c>
      <c r="O658" s="7">
        <f>SUMIFS($D$2:D658,$B$2:B658,B658)/SUMIFS($D$2:$D$741,$B$2:$B$741,B658)</f>
        <v>0.97250424419959391</v>
      </c>
      <c r="P658" s="4" t="b">
        <f t="shared" si="32"/>
        <v>0</v>
      </c>
      <c r="Q658" s="4" t="s">
        <v>23</v>
      </c>
      <c r="R658" s="4" t="s">
        <v>100</v>
      </c>
      <c r="S658" s="4" t="s">
        <v>25</v>
      </c>
      <c r="T658" s="4" t="s">
        <v>101</v>
      </c>
    </row>
    <row r="659" spans="1:20" x14ac:dyDescent="0.45">
      <c r="A659" s="4" t="s">
        <v>839</v>
      </c>
      <c r="B659" s="4" t="s">
        <v>809</v>
      </c>
      <c r="C659" s="5">
        <v>2</v>
      </c>
      <c r="D659" s="5">
        <v>591</v>
      </c>
      <c r="E659" s="5">
        <v>0</v>
      </c>
      <c r="F659" s="5">
        <v>0</v>
      </c>
      <c r="G659" s="5">
        <v>0</v>
      </c>
      <c r="H659" s="5">
        <v>591</v>
      </c>
      <c r="I659" s="6">
        <v>2</v>
      </c>
      <c r="J659" s="6">
        <v>3</v>
      </c>
      <c r="K659" s="6">
        <v>6</v>
      </c>
      <c r="L659" s="6">
        <v>6</v>
      </c>
      <c r="M659" s="4" t="str">
        <f t="shared" si="30"/>
        <v>OK</v>
      </c>
      <c r="N659" s="7">
        <f t="shared" si="31"/>
        <v>4.9182783529176793E-3</v>
      </c>
      <c r="O659" s="7">
        <f>SUMIFS($D$2:D659,$B$2:B659,B659)/SUMIFS($D$2:$D$741,$B$2:$B$741,B659)</f>
        <v>0.97742252255251161</v>
      </c>
      <c r="P659" s="4" t="b">
        <f t="shared" si="32"/>
        <v>0</v>
      </c>
      <c r="Q659" s="4" t="s">
        <v>23</v>
      </c>
      <c r="R659" s="4" t="s">
        <v>289</v>
      </c>
      <c r="S659" s="4" t="s">
        <v>25</v>
      </c>
      <c r="T659" s="4" t="s">
        <v>290</v>
      </c>
    </row>
    <row r="660" spans="1:20" x14ac:dyDescent="0.45">
      <c r="A660" s="4" t="s">
        <v>840</v>
      </c>
      <c r="B660" s="4" t="s">
        <v>809</v>
      </c>
      <c r="C660" s="5">
        <v>1</v>
      </c>
      <c r="D660" s="5">
        <v>460</v>
      </c>
      <c r="E660" s="5">
        <v>457</v>
      </c>
      <c r="F660" s="5">
        <v>1</v>
      </c>
      <c r="G660" s="5">
        <v>0</v>
      </c>
      <c r="H660" s="5">
        <v>459</v>
      </c>
      <c r="I660" s="6">
        <v>1</v>
      </c>
      <c r="J660" s="6">
        <v>5.4</v>
      </c>
      <c r="K660" s="6">
        <v>4</v>
      </c>
      <c r="L660" s="6">
        <v>4</v>
      </c>
      <c r="M660" s="4" t="str">
        <f t="shared" si="30"/>
        <v>OK</v>
      </c>
      <c r="N660" s="7">
        <f t="shared" si="31"/>
        <v>3.8281015944875338E-3</v>
      </c>
      <c r="O660" s="7">
        <f>SUMIFS($D$2:D660,$B$2:B660,B660)/SUMIFS($D$2:$D$741,$B$2:$B$741,B660)</f>
        <v>0.98125062414699915</v>
      </c>
      <c r="P660" s="4" t="b">
        <f t="shared" si="32"/>
        <v>0</v>
      </c>
      <c r="Q660" s="4" t="s">
        <v>23</v>
      </c>
      <c r="R660" s="4" t="s">
        <v>100</v>
      </c>
      <c r="S660" s="4" t="s">
        <v>109</v>
      </c>
      <c r="T660" s="4" t="s">
        <v>833</v>
      </c>
    </row>
    <row r="661" spans="1:20" x14ac:dyDescent="0.45">
      <c r="A661" s="4" t="s">
        <v>841</v>
      </c>
      <c r="B661" s="4" t="s">
        <v>809</v>
      </c>
      <c r="C661" s="5">
        <v>1</v>
      </c>
      <c r="D661" s="5">
        <v>378</v>
      </c>
      <c r="E661" s="5">
        <v>93</v>
      </c>
      <c r="F661" s="5">
        <v>3</v>
      </c>
      <c r="G661" s="5">
        <v>2</v>
      </c>
      <c r="H661" s="5">
        <v>375</v>
      </c>
      <c r="I661" s="6">
        <v>1</v>
      </c>
      <c r="J661" s="6">
        <v>14</v>
      </c>
      <c r="K661" s="6">
        <v>44</v>
      </c>
      <c r="L661" s="6">
        <v>44.2</v>
      </c>
      <c r="M661" s="4" t="str">
        <f t="shared" si="30"/>
        <v>OK</v>
      </c>
      <c r="N661" s="7">
        <f t="shared" si="31"/>
        <v>3.1457008754701907E-3</v>
      </c>
      <c r="O661" s="7">
        <f>SUMIFS($D$2:D661,$B$2:B661,B661)/SUMIFS($D$2:$D$741,$B$2:$B$741,B661)</f>
        <v>0.98439632502246932</v>
      </c>
      <c r="P661" s="4" t="b">
        <f t="shared" si="32"/>
        <v>0</v>
      </c>
      <c r="Q661" s="4" t="s">
        <v>23</v>
      </c>
      <c r="R661" s="4" t="s">
        <v>100</v>
      </c>
      <c r="S661" s="4" t="s">
        <v>25</v>
      </c>
      <c r="T661" s="4" t="s">
        <v>101</v>
      </c>
    </row>
    <row r="662" spans="1:20" x14ac:dyDescent="0.45">
      <c r="A662" s="4" t="s">
        <v>842</v>
      </c>
      <c r="B662" s="4" t="s">
        <v>809</v>
      </c>
      <c r="C662" s="5">
        <v>2</v>
      </c>
      <c r="D662" s="5">
        <v>338</v>
      </c>
      <c r="E662" s="5">
        <v>0</v>
      </c>
      <c r="F662" s="5">
        <v>0</v>
      </c>
      <c r="G662" s="5">
        <v>0</v>
      </c>
      <c r="H662" s="5">
        <v>338</v>
      </c>
      <c r="I662" s="6">
        <v>0</v>
      </c>
      <c r="J662" s="6">
        <v>4.8</v>
      </c>
      <c r="K662" s="6">
        <v>10</v>
      </c>
      <c r="L662" s="6">
        <v>9.6</v>
      </c>
      <c r="M662" s="4" t="str">
        <f t="shared" si="30"/>
        <v>OK</v>
      </c>
      <c r="N662" s="7">
        <f t="shared" si="31"/>
        <v>2.8128224759495358E-3</v>
      </c>
      <c r="O662" s="7">
        <f>SUMIFS($D$2:D662,$B$2:B662,B662)/SUMIFS($D$2:$D$741,$B$2:$B$741,B662)</f>
        <v>0.98720914749841882</v>
      </c>
      <c r="P662" s="4" t="b">
        <f t="shared" si="32"/>
        <v>0</v>
      </c>
      <c r="Q662" s="4" t="s">
        <v>23</v>
      </c>
      <c r="R662" s="4" t="s">
        <v>100</v>
      </c>
      <c r="S662" s="4" t="s">
        <v>109</v>
      </c>
      <c r="T662" s="4" t="s">
        <v>833</v>
      </c>
    </row>
    <row r="663" spans="1:20" x14ac:dyDescent="0.45">
      <c r="A663" s="4" t="s">
        <v>843</v>
      </c>
      <c r="B663" s="4" t="s">
        <v>809</v>
      </c>
      <c r="C663" s="5">
        <v>1</v>
      </c>
      <c r="D663" s="5">
        <v>265</v>
      </c>
      <c r="E663" s="5">
        <v>108</v>
      </c>
      <c r="F663" s="5">
        <v>2</v>
      </c>
      <c r="G663" s="5">
        <v>0</v>
      </c>
      <c r="H663" s="5">
        <v>263</v>
      </c>
      <c r="I663" s="6">
        <v>7</v>
      </c>
      <c r="J663" s="6">
        <v>18.8</v>
      </c>
      <c r="K663" s="6">
        <v>36</v>
      </c>
      <c r="L663" s="6">
        <v>35.6</v>
      </c>
      <c r="M663" s="4" t="str">
        <f t="shared" si="30"/>
        <v>OK</v>
      </c>
      <c r="N663" s="7">
        <f t="shared" si="31"/>
        <v>2.2053193968243402E-3</v>
      </c>
      <c r="O663" s="7">
        <f>SUMIFS($D$2:D663,$B$2:B663,B663)/SUMIFS($D$2:$D$741,$B$2:$B$741,B663)</f>
        <v>0.98941446689524315</v>
      </c>
      <c r="P663" s="4" t="b">
        <f t="shared" si="32"/>
        <v>0</v>
      </c>
      <c r="Q663" s="4" t="s">
        <v>23</v>
      </c>
      <c r="R663" s="4" t="s">
        <v>100</v>
      </c>
      <c r="S663" s="4" t="s">
        <v>25</v>
      </c>
      <c r="T663" s="4" t="s">
        <v>101</v>
      </c>
    </row>
    <row r="664" spans="1:20" x14ac:dyDescent="0.45">
      <c r="A664" s="4" t="s">
        <v>844</v>
      </c>
      <c r="B664" s="4" t="s">
        <v>809</v>
      </c>
      <c r="C664" s="5">
        <v>1</v>
      </c>
      <c r="D664" s="5">
        <v>227</v>
      </c>
      <c r="E664" s="5">
        <v>226</v>
      </c>
      <c r="F664" s="5">
        <v>0</v>
      </c>
      <c r="G664" s="5">
        <v>0</v>
      </c>
      <c r="H664" s="5">
        <v>227</v>
      </c>
      <c r="I664" s="6">
        <v>0</v>
      </c>
      <c r="J664" s="6">
        <v>2.6</v>
      </c>
      <c r="K664" s="6">
        <v>2</v>
      </c>
      <c r="L664" s="6">
        <v>2</v>
      </c>
      <c r="M664" s="4" t="str">
        <f t="shared" si="30"/>
        <v>OK</v>
      </c>
      <c r="N664" s="7">
        <f t="shared" si="31"/>
        <v>1.8890849172797178E-3</v>
      </c>
      <c r="O664" s="7">
        <f>SUMIFS($D$2:D664,$B$2:B664,B664)/SUMIFS($D$2:$D$741,$B$2:$B$741,B664)</f>
        <v>0.99130355181252283</v>
      </c>
      <c r="P664" s="4" t="b">
        <f t="shared" si="32"/>
        <v>0</v>
      </c>
      <c r="Q664" s="4" t="s">
        <v>23</v>
      </c>
      <c r="R664" s="4" t="s">
        <v>100</v>
      </c>
      <c r="S664" s="4" t="s">
        <v>25</v>
      </c>
      <c r="T664" s="4" t="s">
        <v>101</v>
      </c>
    </row>
    <row r="665" spans="1:20" x14ac:dyDescent="0.45">
      <c r="A665" s="4" t="s">
        <v>845</v>
      </c>
      <c r="B665" s="4" t="s">
        <v>809</v>
      </c>
      <c r="C665" s="5">
        <v>1</v>
      </c>
      <c r="D665" s="5">
        <v>197</v>
      </c>
      <c r="E665" s="5">
        <v>37</v>
      </c>
      <c r="F665" s="5">
        <v>1</v>
      </c>
      <c r="G665" s="5">
        <v>0</v>
      </c>
      <c r="H665" s="5">
        <v>196</v>
      </c>
      <c r="I665" s="6">
        <v>0</v>
      </c>
      <c r="J665" s="6">
        <v>2.6</v>
      </c>
      <c r="K665" s="6">
        <v>3</v>
      </c>
      <c r="L665" s="6">
        <v>3</v>
      </c>
      <c r="M665" s="4" t="str">
        <f t="shared" si="30"/>
        <v>OK</v>
      </c>
      <c r="N665" s="7">
        <f t="shared" si="31"/>
        <v>1.6394261176392263E-3</v>
      </c>
      <c r="O665" s="7">
        <f>SUMIFS($D$2:D665,$B$2:B665,B665)/SUMIFS($D$2:$D$741,$B$2:$B$741,B665)</f>
        <v>0.99294297793016206</v>
      </c>
      <c r="P665" s="4" t="b">
        <f t="shared" si="32"/>
        <v>0</v>
      </c>
      <c r="Q665" s="4" t="s">
        <v>23</v>
      </c>
      <c r="R665" s="4" t="s">
        <v>100</v>
      </c>
      <c r="S665" s="4" t="s">
        <v>25</v>
      </c>
      <c r="T665" s="4" t="s">
        <v>101</v>
      </c>
    </row>
    <row r="666" spans="1:20" x14ac:dyDescent="0.45">
      <c r="A666" s="4" t="s">
        <v>846</v>
      </c>
      <c r="B666" s="4" t="s">
        <v>809</v>
      </c>
      <c r="C666" s="5">
        <v>1</v>
      </c>
      <c r="D666" s="5">
        <v>196</v>
      </c>
      <c r="E666" s="5">
        <v>59</v>
      </c>
      <c r="F666" s="5">
        <v>2</v>
      </c>
      <c r="G666" s="5">
        <v>1</v>
      </c>
      <c r="H666" s="5">
        <v>194</v>
      </c>
      <c r="I666" s="6">
        <v>2</v>
      </c>
      <c r="J666" s="6">
        <v>12.1</v>
      </c>
      <c r="K666" s="6">
        <v>18</v>
      </c>
      <c r="L666" s="6">
        <v>18</v>
      </c>
      <c r="M666" s="4" t="str">
        <f t="shared" si="30"/>
        <v>OK</v>
      </c>
      <c r="N666" s="7">
        <f t="shared" si="31"/>
        <v>1.63110415765121E-3</v>
      </c>
      <c r="O666" s="7">
        <f>SUMIFS($D$2:D666,$B$2:B666,B666)/SUMIFS($D$2:$D$741,$B$2:$B$741,B666)</f>
        <v>0.99457408208781328</v>
      </c>
      <c r="P666" s="4" t="b">
        <f t="shared" si="32"/>
        <v>0</v>
      </c>
      <c r="Q666" s="4" t="s">
        <v>23</v>
      </c>
      <c r="R666" s="4" t="s">
        <v>100</v>
      </c>
      <c r="S666" s="4" t="s">
        <v>25</v>
      </c>
      <c r="T666" s="4" t="s">
        <v>101</v>
      </c>
    </row>
    <row r="667" spans="1:20" x14ac:dyDescent="0.45">
      <c r="A667" s="4" t="s">
        <v>847</v>
      </c>
      <c r="B667" s="4" t="s">
        <v>809</v>
      </c>
      <c r="C667" s="5">
        <v>1</v>
      </c>
      <c r="D667" s="5">
        <v>134</v>
      </c>
      <c r="E667" s="5">
        <v>0</v>
      </c>
      <c r="F667" s="5">
        <v>0</v>
      </c>
      <c r="G667" s="5">
        <v>0</v>
      </c>
      <c r="H667" s="5">
        <v>134</v>
      </c>
      <c r="I667" s="6">
        <v>2</v>
      </c>
      <c r="J667" s="6">
        <v>6.1</v>
      </c>
      <c r="K667" s="6">
        <v>14</v>
      </c>
      <c r="L667" s="6">
        <v>13.7</v>
      </c>
      <c r="M667" s="4" t="str">
        <f t="shared" si="30"/>
        <v>OK</v>
      </c>
      <c r="N667" s="7">
        <f t="shared" si="31"/>
        <v>1.1151426383941947E-3</v>
      </c>
      <c r="O667" s="7">
        <f>SUMIFS($D$2:D667,$B$2:B667,B667)/SUMIFS($D$2:$D$741,$B$2:$B$741,B667)</f>
        <v>0.99568922472620747</v>
      </c>
      <c r="P667" s="4" t="b">
        <f t="shared" si="32"/>
        <v>0</v>
      </c>
      <c r="Q667" s="4" t="s">
        <v>23</v>
      </c>
      <c r="R667" s="4" t="s">
        <v>100</v>
      </c>
      <c r="S667" s="4" t="s">
        <v>25</v>
      </c>
      <c r="T667" s="4" t="s">
        <v>101</v>
      </c>
    </row>
    <row r="668" spans="1:20" x14ac:dyDescent="0.45">
      <c r="A668" s="4" t="s">
        <v>848</v>
      </c>
      <c r="B668" s="4" t="s">
        <v>809</v>
      </c>
      <c r="C668" s="5">
        <v>2</v>
      </c>
      <c r="D668" s="5">
        <v>126</v>
      </c>
      <c r="E668" s="5">
        <v>0</v>
      </c>
      <c r="F668" s="5">
        <v>0</v>
      </c>
      <c r="G668" s="5">
        <v>0</v>
      </c>
      <c r="H668" s="5">
        <v>126</v>
      </c>
      <c r="I668" s="6">
        <v>1</v>
      </c>
      <c r="J668" s="6">
        <v>7.7</v>
      </c>
      <c r="K668" s="6">
        <v>14</v>
      </c>
      <c r="L668" s="6">
        <v>13.5</v>
      </c>
      <c r="M668" s="4" t="str">
        <f t="shared" si="30"/>
        <v>OK</v>
      </c>
      <c r="N668" s="7">
        <f t="shared" si="31"/>
        <v>1.0485669584900635E-3</v>
      </c>
      <c r="O668" s="7">
        <f>SUMIFS($D$2:D668,$B$2:B668,B668)/SUMIFS($D$2:$D$741,$B$2:$B$741,B668)</f>
        <v>0.99673779168469756</v>
      </c>
      <c r="P668" s="4" t="b">
        <f t="shared" si="32"/>
        <v>0</v>
      </c>
      <c r="Q668" s="4" t="s">
        <v>23</v>
      </c>
      <c r="R668" s="4" t="s">
        <v>100</v>
      </c>
      <c r="S668" s="4" t="s">
        <v>25</v>
      </c>
      <c r="T668" s="4" t="s">
        <v>101</v>
      </c>
    </row>
    <row r="669" spans="1:20" x14ac:dyDescent="0.45">
      <c r="A669" s="4" t="s">
        <v>849</v>
      </c>
      <c r="B669" s="4" t="s">
        <v>809</v>
      </c>
      <c r="C669" s="5">
        <v>1</v>
      </c>
      <c r="D669" s="5">
        <v>111</v>
      </c>
      <c r="E669" s="5">
        <v>27</v>
      </c>
      <c r="F669" s="5">
        <v>4</v>
      </c>
      <c r="G669" s="5">
        <v>1</v>
      </c>
      <c r="H669" s="5">
        <v>107</v>
      </c>
      <c r="I669" s="6">
        <v>5</v>
      </c>
      <c r="J669" s="6">
        <v>19.399999999999999</v>
      </c>
      <c r="K669" s="6">
        <v>41</v>
      </c>
      <c r="L669" s="6">
        <v>41</v>
      </c>
      <c r="M669" s="4" t="str">
        <f t="shared" si="30"/>
        <v>OK</v>
      </c>
      <c r="N669" s="7">
        <f t="shared" si="31"/>
        <v>9.2373755866981787E-4</v>
      </c>
      <c r="O669" s="7">
        <f>SUMIFS($D$2:D669,$B$2:B669,B669)/SUMIFS($D$2:$D$741,$B$2:$B$741,B669)</f>
        <v>0.99766152924336737</v>
      </c>
      <c r="P669" s="4" t="b">
        <f t="shared" si="32"/>
        <v>0</v>
      </c>
      <c r="Q669" s="4" t="s">
        <v>23</v>
      </c>
      <c r="R669" s="4" t="s">
        <v>100</v>
      </c>
      <c r="S669" s="4" t="s">
        <v>25</v>
      </c>
      <c r="T669" s="4" t="s">
        <v>101</v>
      </c>
    </row>
    <row r="670" spans="1:20" x14ac:dyDescent="0.45">
      <c r="A670" s="4" t="s">
        <v>850</v>
      </c>
      <c r="B670" s="4" t="s">
        <v>809</v>
      </c>
      <c r="C670" s="5">
        <v>2</v>
      </c>
      <c r="D670" s="5">
        <v>59</v>
      </c>
      <c r="E670" s="5">
        <v>0</v>
      </c>
      <c r="F670" s="5">
        <v>0</v>
      </c>
      <c r="G670" s="5">
        <v>0</v>
      </c>
      <c r="H670" s="5">
        <v>59</v>
      </c>
      <c r="I670" s="6">
        <v>2</v>
      </c>
      <c r="J670" s="6">
        <v>7.4</v>
      </c>
      <c r="K670" s="6">
        <v>19</v>
      </c>
      <c r="L670" s="6">
        <v>19</v>
      </c>
      <c r="M670" s="4" t="str">
        <f t="shared" si="30"/>
        <v>OK</v>
      </c>
      <c r="N670" s="7">
        <f t="shared" si="31"/>
        <v>4.9099563929296626E-4</v>
      </c>
      <c r="O670" s="7">
        <f>SUMIFS($D$2:D670,$B$2:B670,B670)/SUMIFS($D$2:$D$741,$B$2:$B$741,B670)</f>
        <v>0.99815252488266037</v>
      </c>
      <c r="P670" s="4" t="b">
        <f t="shared" si="32"/>
        <v>0</v>
      </c>
      <c r="Q670" s="4" t="s">
        <v>23</v>
      </c>
      <c r="R670" s="4" t="s">
        <v>100</v>
      </c>
      <c r="S670" s="4" t="s">
        <v>25</v>
      </c>
      <c r="T670" s="4" t="s">
        <v>101</v>
      </c>
    </row>
    <row r="671" spans="1:20" x14ac:dyDescent="0.45">
      <c r="A671" s="4" t="s">
        <v>851</v>
      </c>
      <c r="B671" s="4" t="s">
        <v>809</v>
      </c>
      <c r="C671" s="5">
        <v>1</v>
      </c>
      <c r="D671" s="5">
        <v>54</v>
      </c>
      <c r="E671" s="5">
        <v>0</v>
      </c>
      <c r="F671" s="5">
        <v>0</v>
      </c>
      <c r="G671" s="5">
        <v>0</v>
      </c>
      <c r="H671" s="5">
        <v>54</v>
      </c>
      <c r="I671" s="6">
        <v>4</v>
      </c>
      <c r="J671" s="6">
        <v>4.3</v>
      </c>
      <c r="K671" s="6">
        <v>7</v>
      </c>
      <c r="L671" s="6">
        <v>7</v>
      </c>
      <c r="M671" s="4" t="str">
        <f t="shared" si="30"/>
        <v>OK</v>
      </c>
      <c r="N671" s="7">
        <f t="shared" si="31"/>
        <v>4.493858393528844E-4</v>
      </c>
      <c r="O671" s="7">
        <f>SUMIFS($D$2:D671,$B$2:B671,B671)/SUMIFS($D$2:$D$741,$B$2:$B$741,B671)</f>
        <v>0.99860191072201321</v>
      </c>
      <c r="P671" s="4" t="b">
        <f t="shared" si="32"/>
        <v>0</v>
      </c>
      <c r="Q671" s="4" t="s">
        <v>23</v>
      </c>
      <c r="R671" s="4" t="s">
        <v>100</v>
      </c>
      <c r="S671" s="4" t="s">
        <v>25</v>
      </c>
      <c r="T671" s="4" t="s">
        <v>101</v>
      </c>
    </row>
    <row r="672" spans="1:20" x14ac:dyDescent="0.45">
      <c r="A672" s="4" t="s">
        <v>852</v>
      </c>
      <c r="B672" s="4" t="s">
        <v>809</v>
      </c>
      <c r="C672" s="5">
        <v>1</v>
      </c>
      <c r="D672" s="5">
        <v>48</v>
      </c>
      <c r="E672" s="5">
        <v>0</v>
      </c>
      <c r="F672" s="5">
        <v>0</v>
      </c>
      <c r="G672" s="5">
        <v>0</v>
      </c>
      <c r="H672" s="5">
        <v>48</v>
      </c>
      <c r="I672" s="6">
        <v>2.5</v>
      </c>
      <c r="J672" s="6">
        <v>4.7</v>
      </c>
      <c r="K672" s="6">
        <v>10</v>
      </c>
      <c r="L672" s="6">
        <v>10</v>
      </c>
      <c r="M672" s="4" t="str">
        <f t="shared" si="30"/>
        <v>OK</v>
      </c>
      <c r="N672" s="7">
        <f t="shared" si="31"/>
        <v>3.9945407942478613E-4</v>
      </c>
      <c r="O672" s="7">
        <f>SUMIFS($D$2:D672,$B$2:B672,B672)/SUMIFS($D$2:$D$741,$B$2:$B$741,B672)</f>
        <v>0.99900136480143809</v>
      </c>
      <c r="P672" s="4" t="b">
        <f t="shared" si="32"/>
        <v>0</v>
      </c>
      <c r="Q672" s="4" t="s">
        <v>23</v>
      </c>
      <c r="R672" s="4" t="s">
        <v>100</v>
      </c>
      <c r="S672" s="4" t="s">
        <v>25</v>
      </c>
      <c r="T672" s="4" t="s">
        <v>101</v>
      </c>
    </row>
    <row r="673" spans="1:20" x14ac:dyDescent="0.45">
      <c r="A673" s="4" t="s">
        <v>853</v>
      </c>
      <c r="B673" s="4" t="s">
        <v>809</v>
      </c>
      <c r="C673" s="5">
        <v>1</v>
      </c>
      <c r="D673" s="5">
        <v>35</v>
      </c>
      <c r="E673" s="5">
        <v>0</v>
      </c>
      <c r="F673" s="5">
        <v>0</v>
      </c>
      <c r="G673" s="5">
        <v>0</v>
      </c>
      <c r="H673" s="5">
        <v>35</v>
      </c>
      <c r="I673" s="6">
        <v>4</v>
      </c>
      <c r="J673" s="6">
        <v>6.6</v>
      </c>
      <c r="K673" s="6">
        <v>13</v>
      </c>
      <c r="L673" s="6">
        <v>13</v>
      </c>
      <c r="M673" s="4" t="str">
        <f t="shared" si="30"/>
        <v>OK</v>
      </c>
      <c r="N673" s="7">
        <f t="shared" si="31"/>
        <v>2.912685995805732E-4</v>
      </c>
      <c r="O673" s="7">
        <f>SUMIFS($D$2:D673,$B$2:B673,B673)/SUMIFS($D$2:$D$741,$B$2:$B$741,B673)</f>
        <v>0.99929263340101859</v>
      </c>
      <c r="P673" s="4" t="b">
        <f t="shared" si="32"/>
        <v>0</v>
      </c>
      <c r="Q673" s="4" t="s">
        <v>23</v>
      </c>
      <c r="R673" s="4" t="s">
        <v>100</v>
      </c>
      <c r="S673" s="4" t="s">
        <v>25</v>
      </c>
      <c r="T673" s="4" t="s">
        <v>101</v>
      </c>
    </row>
    <row r="674" spans="1:20" x14ac:dyDescent="0.45">
      <c r="A674" s="4" t="s">
        <v>854</v>
      </c>
      <c r="B674" s="4" t="s">
        <v>809</v>
      </c>
      <c r="C674" s="5">
        <v>1</v>
      </c>
      <c r="D674" s="5">
        <v>25</v>
      </c>
      <c r="E674" s="5">
        <v>23</v>
      </c>
      <c r="F674" s="5">
        <v>0</v>
      </c>
      <c r="G674" s="5">
        <v>0</v>
      </c>
      <c r="H674" s="5">
        <v>25</v>
      </c>
      <c r="I674" s="6">
        <v>0</v>
      </c>
      <c r="J674" s="6">
        <v>0.5</v>
      </c>
      <c r="K674" s="6">
        <v>1</v>
      </c>
      <c r="L674" s="6">
        <v>1</v>
      </c>
      <c r="M674" s="4" t="str">
        <f t="shared" si="30"/>
        <v>OK</v>
      </c>
      <c r="N674" s="7">
        <f t="shared" si="31"/>
        <v>2.0804899970040943E-4</v>
      </c>
      <c r="O674" s="7">
        <f>SUMIFS($D$2:D674,$B$2:B674,B674)/SUMIFS($D$2:$D$741,$B$2:$B$741,B674)</f>
        <v>0.99950068240071899</v>
      </c>
      <c r="P674" s="4" t="b">
        <f t="shared" si="32"/>
        <v>0</v>
      </c>
      <c r="Q674" s="4" t="s">
        <v>23</v>
      </c>
      <c r="R674" s="4" t="s">
        <v>100</v>
      </c>
      <c r="S674" s="4" t="s">
        <v>25</v>
      </c>
      <c r="T674" s="4" t="s">
        <v>101</v>
      </c>
    </row>
    <row r="675" spans="1:20" x14ac:dyDescent="0.45">
      <c r="A675" s="4" t="s">
        <v>855</v>
      </c>
      <c r="B675" s="4" t="s">
        <v>809</v>
      </c>
      <c r="C675" s="5">
        <v>1</v>
      </c>
      <c r="D675" s="5">
        <v>16</v>
      </c>
      <c r="E675" s="5">
        <v>0</v>
      </c>
      <c r="F675" s="5">
        <v>0</v>
      </c>
      <c r="G675" s="5">
        <v>0</v>
      </c>
      <c r="H675" s="5">
        <v>16</v>
      </c>
      <c r="I675" s="6">
        <v>161</v>
      </c>
      <c r="J675" s="6">
        <v>145.80000000000001</v>
      </c>
      <c r="K675" s="6">
        <v>286</v>
      </c>
      <c r="L675" s="6">
        <v>286</v>
      </c>
      <c r="M675" s="4" t="str">
        <f t="shared" si="30"/>
        <v>OK</v>
      </c>
      <c r="N675" s="7">
        <f t="shared" si="31"/>
        <v>1.3315135980826204E-4</v>
      </c>
      <c r="O675" s="7">
        <f>SUMIFS($D$2:D675,$B$2:B675,B675)/SUMIFS($D$2:$D$741,$B$2:$B$741,B675)</f>
        <v>0.99963383376052728</v>
      </c>
      <c r="P675" s="4" t="b">
        <f t="shared" si="32"/>
        <v>0</v>
      </c>
      <c r="Q675" s="4" t="s">
        <v>23</v>
      </c>
      <c r="R675" s="4" t="s">
        <v>30</v>
      </c>
      <c r="S675" s="4" t="s">
        <v>25</v>
      </c>
      <c r="T675" s="4" t="s">
        <v>31</v>
      </c>
    </row>
    <row r="676" spans="1:20" x14ac:dyDescent="0.45">
      <c r="A676" s="4" t="s">
        <v>856</v>
      </c>
      <c r="B676" s="4" t="s">
        <v>809</v>
      </c>
      <c r="C676" s="5">
        <v>1</v>
      </c>
      <c r="D676" s="5">
        <v>12</v>
      </c>
      <c r="E676" s="5">
        <v>0</v>
      </c>
      <c r="F676" s="5">
        <v>0</v>
      </c>
      <c r="G676" s="5">
        <v>0</v>
      </c>
      <c r="H676" s="5">
        <v>12</v>
      </c>
      <c r="I676" s="6">
        <v>3.5</v>
      </c>
      <c r="J676" s="6">
        <v>3</v>
      </c>
      <c r="K676" s="6">
        <v>5</v>
      </c>
      <c r="L676" s="6">
        <v>5</v>
      </c>
      <c r="M676" s="4" t="str">
        <f t="shared" si="30"/>
        <v>OK</v>
      </c>
      <c r="N676" s="7">
        <f t="shared" si="31"/>
        <v>9.9863519856196531E-5</v>
      </c>
      <c r="O676" s="7">
        <f>SUMIFS($D$2:D676,$B$2:B676,B676)/SUMIFS($D$2:$D$741,$B$2:$B$741,B676)</f>
        <v>0.99973369728038353</v>
      </c>
      <c r="P676" s="4" t="b">
        <f t="shared" si="32"/>
        <v>0</v>
      </c>
      <c r="Q676" s="4" t="s">
        <v>23</v>
      </c>
      <c r="R676" s="4" t="s">
        <v>100</v>
      </c>
      <c r="S676" s="4" t="s">
        <v>25</v>
      </c>
      <c r="T676" s="4" t="s">
        <v>101</v>
      </c>
    </row>
    <row r="677" spans="1:20" x14ac:dyDescent="0.45">
      <c r="A677" s="4" t="s">
        <v>857</v>
      </c>
      <c r="B677" s="4" t="s">
        <v>809</v>
      </c>
      <c r="C677" s="5">
        <v>1</v>
      </c>
      <c r="D677" s="5">
        <v>10</v>
      </c>
      <c r="E677" s="5">
        <v>0</v>
      </c>
      <c r="F677" s="5">
        <v>0</v>
      </c>
      <c r="G677" s="5">
        <v>0</v>
      </c>
      <c r="H677" s="5">
        <v>10</v>
      </c>
      <c r="I677" s="6">
        <v>9.5</v>
      </c>
      <c r="J677" s="6">
        <v>22.9</v>
      </c>
      <c r="K677" s="6">
        <v>71</v>
      </c>
      <c r="L677" s="6">
        <v>70.7</v>
      </c>
      <c r="M677" s="4" t="str">
        <f t="shared" si="30"/>
        <v>OK</v>
      </c>
      <c r="N677" s="7">
        <f t="shared" si="31"/>
        <v>8.3219599880163776E-5</v>
      </c>
      <c r="O677" s="7">
        <f>SUMIFS($D$2:D677,$B$2:B677,B677)/SUMIFS($D$2:$D$741,$B$2:$B$741,B677)</f>
        <v>0.99981691688026364</v>
      </c>
      <c r="P677" s="4" t="b">
        <f t="shared" si="32"/>
        <v>0</v>
      </c>
      <c r="Q677" s="4" t="s">
        <v>23</v>
      </c>
      <c r="R677" s="4" t="s">
        <v>30</v>
      </c>
      <c r="S677" s="4" t="s">
        <v>25</v>
      </c>
      <c r="T677" s="4" t="s">
        <v>31</v>
      </c>
    </row>
    <row r="678" spans="1:20" x14ac:dyDescent="0.45">
      <c r="A678" s="4" t="s">
        <v>858</v>
      </c>
      <c r="B678" s="4" t="s">
        <v>809</v>
      </c>
      <c r="C678" s="5">
        <v>1</v>
      </c>
      <c r="D678" s="5">
        <v>9</v>
      </c>
      <c r="E678" s="5">
        <v>3</v>
      </c>
      <c r="F678" s="5">
        <v>2</v>
      </c>
      <c r="G678" s="5">
        <v>2</v>
      </c>
      <c r="H678" s="5">
        <v>7</v>
      </c>
      <c r="I678" s="6">
        <v>3</v>
      </c>
      <c r="J678" s="6">
        <v>51.1</v>
      </c>
      <c r="K678" s="6">
        <v>166</v>
      </c>
      <c r="L678" s="6">
        <v>165.6</v>
      </c>
      <c r="M678" s="4" t="str">
        <f t="shared" si="30"/>
        <v>OK</v>
      </c>
      <c r="N678" s="7">
        <f t="shared" si="31"/>
        <v>7.4897639892147392E-5</v>
      </c>
      <c r="O678" s="7">
        <f>SUMIFS($D$2:D678,$B$2:B678,B678)/SUMIFS($D$2:$D$741,$B$2:$B$741,B678)</f>
        <v>0.99989181452015574</v>
      </c>
      <c r="P678" s="4" t="b">
        <f t="shared" si="32"/>
        <v>0</v>
      </c>
      <c r="Q678" s="4" t="s">
        <v>23</v>
      </c>
      <c r="R678" s="4" t="s">
        <v>30</v>
      </c>
      <c r="S678" s="4" t="s">
        <v>25</v>
      </c>
      <c r="T678" s="4" t="s">
        <v>31</v>
      </c>
    </row>
    <row r="679" spans="1:20" x14ac:dyDescent="0.45">
      <c r="A679" s="4" t="s">
        <v>859</v>
      </c>
      <c r="B679" s="4" t="s">
        <v>809</v>
      </c>
      <c r="C679" s="5">
        <v>1</v>
      </c>
      <c r="D679" s="5">
        <v>7</v>
      </c>
      <c r="E679" s="5">
        <v>0</v>
      </c>
      <c r="F679" s="5">
        <v>0</v>
      </c>
      <c r="G679" s="5">
        <v>0</v>
      </c>
      <c r="H679" s="5">
        <v>7</v>
      </c>
      <c r="I679" s="6">
        <v>3</v>
      </c>
      <c r="J679" s="6">
        <v>8.4</v>
      </c>
      <c r="K679" s="6">
        <v>20</v>
      </c>
      <c r="L679" s="6">
        <v>20</v>
      </c>
      <c r="M679" s="4" t="str">
        <f t="shared" si="30"/>
        <v>OK</v>
      </c>
      <c r="N679" s="7">
        <f t="shared" si="31"/>
        <v>5.8253719916114643E-5</v>
      </c>
      <c r="O679" s="7">
        <f>SUMIFS($D$2:D679,$B$2:B679,B679)/SUMIFS($D$2:$D$741,$B$2:$B$741,B679)</f>
        <v>0.99995006824007193</v>
      </c>
      <c r="P679" s="4" t="b">
        <f t="shared" si="32"/>
        <v>0</v>
      </c>
      <c r="Q679" s="4" t="s">
        <v>23</v>
      </c>
      <c r="R679" s="4" t="s">
        <v>30</v>
      </c>
      <c r="S679" s="4" t="s">
        <v>25</v>
      </c>
      <c r="T679" s="4" t="s">
        <v>31</v>
      </c>
    </row>
    <row r="680" spans="1:20" x14ac:dyDescent="0.45">
      <c r="A680" s="4" t="s">
        <v>860</v>
      </c>
      <c r="B680" s="4" t="s">
        <v>809</v>
      </c>
      <c r="C680" s="5">
        <v>1</v>
      </c>
      <c r="D680" s="5">
        <v>3</v>
      </c>
      <c r="E680" s="5">
        <v>0</v>
      </c>
      <c r="F680" s="5">
        <v>0</v>
      </c>
      <c r="G680" s="5">
        <v>0</v>
      </c>
      <c r="H680" s="5">
        <v>3</v>
      </c>
      <c r="I680" s="6">
        <v>5</v>
      </c>
      <c r="J680" s="6">
        <v>10.3</v>
      </c>
      <c r="K680" s="6">
        <v>20</v>
      </c>
      <c r="L680" s="6">
        <v>20.2</v>
      </c>
      <c r="M680" s="4" t="str">
        <f t="shared" si="30"/>
        <v>OK</v>
      </c>
      <c r="N680" s="7">
        <f t="shared" si="31"/>
        <v>2.4965879964049133E-5</v>
      </c>
      <c r="O680" s="7">
        <f>SUMIFS($D$2:D680,$B$2:B680,B680)/SUMIFS($D$2:$D$741,$B$2:$B$741,B680)</f>
        <v>0.99997503412003597</v>
      </c>
      <c r="P680" s="4" t="b">
        <f t="shared" si="32"/>
        <v>0</v>
      </c>
      <c r="Q680" s="4" t="s">
        <v>23</v>
      </c>
      <c r="R680" s="4" t="s">
        <v>100</v>
      </c>
      <c r="S680" s="4" t="s">
        <v>25</v>
      </c>
      <c r="T680" s="4" t="s">
        <v>101</v>
      </c>
    </row>
    <row r="681" spans="1:20" x14ac:dyDescent="0.45">
      <c r="A681" s="4" t="s">
        <v>861</v>
      </c>
      <c r="B681" s="4" t="s">
        <v>809</v>
      </c>
      <c r="C681" s="5">
        <v>1</v>
      </c>
      <c r="D681" s="5">
        <v>3</v>
      </c>
      <c r="E681" s="5">
        <v>0</v>
      </c>
      <c r="F681" s="5">
        <v>0</v>
      </c>
      <c r="G681" s="5">
        <v>0</v>
      </c>
      <c r="H681" s="5">
        <v>3</v>
      </c>
      <c r="I681" s="6">
        <v>6</v>
      </c>
      <c r="J681" s="6">
        <v>22.3</v>
      </c>
      <c r="K681" s="6">
        <v>46</v>
      </c>
      <c r="L681" s="6">
        <v>46</v>
      </c>
      <c r="M681" s="4" t="str">
        <f t="shared" si="30"/>
        <v>OK</v>
      </c>
      <c r="N681" s="7">
        <f t="shared" si="31"/>
        <v>2.4965879964049133E-5</v>
      </c>
      <c r="O681" s="7">
        <f>SUMIFS($D$2:D681,$B$2:B681,B681)/SUMIFS($D$2:$D$741,$B$2:$B$741,B681)</f>
        <v>1</v>
      </c>
      <c r="P681" s="4" t="b">
        <f t="shared" si="32"/>
        <v>0</v>
      </c>
      <c r="Q681" s="4" t="s">
        <v>23</v>
      </c>
      <c r="R681" s="4" t="s">
        <v>100</v>
      </c>
      <c r="S681" s="4" t="s">
        <v>25</v>
      </c>
      <c r="T681" s="4" t="s">
        <v>101</v>
      </c>
    </row>
    <row r="682" spans="1:20" x14ac:dyDescent="0.45">
      <c r="A682" s="9" t="s">
        <v>862</v>
      </c>
      <c r="B682" s="9" t="s">
        <v>863</v>
      </c>
      <c r="C682" s="10">
        <v>1</v>
      </c>
      <c r="D682" s="10">
        <v>12</v>
      </c>
      <c r="E682" s="10">
        <v>12</v>
      </c>
      <c r="F682" s="10">
        <v>1</v>
      </c>
      <c r="G682" s="10">
        <v>0</v>
      </c>
      <c r="H682" s="10">
        <v>11</v>
      </c>
      <c r="I682" s="11">
        <v>6</v>
      </c>
      <c r="J682" s="11">
        <v>19.7</v>
      </c>
      <c r="K682" s="11">
        <v>54</v>
      </c>
      <c r="L682" s="11">
        <v>54</v>
      </c>
      <c r="M682" s="9" t="str">
        <f t="shared" si="30"/>
        <v>OK</v>
      </c>
      <c r="N682" s="12">
        <f t="shared" si="31"/>
        <v>1</v>
      </c>
      <c r="O682" s="12">
        <f>SUMIFS($D$2:D682,$B$2:B682,B682)/SUMIFS($D$2:$D$741,$B$2:$B$741,B682)</f>
        <v>1</v>
      </c>
      <c r="P682" s="9" t="b">
        <f t="shared" si="32"/>
        <v>1</v>
      </c>
      <c r="Q682" s="9" t="s">
        <v>23</v>
      </c>
      <c r="R682" s="9" t="s">
        <v>30</v>
      </c>
      <c r="S682" s="9" t="s">
        <v>25</v>
      </c>
      <c r="T682" s="9" t="s">
        <v>31</v>
      </c>
    </row>
    <row r="683" spans="1:20" x14ac:dyDescent="0.45">
      <c r="A683" s="9" t="s">
        <v>864</v>
      </c>
      <c r="B683" s="9" t="s">
        <v>865</v>
      </c>
      <c r="C683" s="10">
        <v>1</v>
      </c>
      <c r="D683" s="10">
        <v>154</v>
      </c>
      <c r="E683" s="10">
        <v>154</v>
      </c>
      <c r="F683" s="10">
        <v>4</v>
      </c>
      <c r="G683" s="10">
        <v>3</v>
      </c>
      <c r="H683" s="10">
        <v>150</v>
      </c>
      <c r="I683" s="11">
        <v>12.5</v>
      </c>
      <c r="J683" s="11">
        <v>21.1</v>
      </c>
      <c r="K683" s="11">
        <v>47</v>
      </c>
      <c r="L683" s="11">
        <v>47.2</v>
      </c>
      <c r="M683" s="9" t="str">
        <f t="shared" si="30"/>
        <v>OK</v>
      </c>
      <c r="N683" s="12">
        <f t="shared" si="31"/>
        <v>0.5811320754716981</v>
      </c>
      <c r="O683" s="12">
        <f>SUMIFS($D$2:D683,$B$2:B683,B683)/SUMIFS($D$2:$D$741,$B$2:$B$741,B683)</f>
        <v>0.5811320754716981</v>
      </c>
      <c r="P683" s="9" t="b">
        <f t="shared" si="32"/>
        <v>1</v>
      </c>
      <c r="Q683" s="9" t="s">
        <v>23</v>
      </c>
      <c r="R683" s="9" t="s">
        <v>91</v>
      </c>
      <c r="S683" s="9" t="s">
        <v>25</v>
      </c>
      <c r="T683" s="9" t="s">
        <v>92</v>
      </c>
    </row>
    <row r="684" spans="1:20" x14ac:dyDescent="0.45">
      <c r="A684" s="4" t="s">
        <v>866</v>
      </c>
      <c r="B684" s="4" t="s">
        <v>865</v>
      </c>
      <c r="C684" s="5">
        <v>1</v>
      </c>
      <c r="D684" s="5">
        <v>51</v>
      </c>
      <c r="E684" s="5">
        <v>51</v>
      </c>
      <c r="F684" s="5">
        <v>1</v>
      </c>
      <c r="G684" s="5">
        <v>0</v>
      </c>
      <c r="H684" s="5">
        <v>50</v>
      </c>
      <c r="I684" s="6">
        <v>6.5</v>
      </c>
      <c r="J684" s="6">
        <v>10</v>
      </c>
      <c r="K684" s="6">
        <v>21</v>
      </c>
      <c r="L684" s="6">
        <v>21</v>
      </c>
      <c r="M684" s="4" t="str">
        <f t="shared" si="30"/>
        <v>OK</v>
      </c>
      <c r="N684" s="7">
        <f t="shared" si="31"/>
        <v>0.19245283018867926</v>
      </c>
      <c r="O684" s="7">
        <f>SUMIFS($D$2:D684,$B$2:B684,B684)/SUMIFS($D$2:$D$741,$B$2:$B$741,B684)</f>
        <v>0.77358490566037741</v>
      </c>
      <c r="P684" s="4" t="b">
        <f t="shared" si="32"/>
        <v>1</v>
      </c>
      <c r="Q684" s="4" t="s">
        <v>23</v>
      </c>
      <c r="R684" s="4" t="s">
        <v>105</v>
      </c>
      <c r="S684" s="4" t="s">
        <v>25</v>
      </c>
      <c r="T684" s="4" t="s">
        <v>106</v>
      </c>
    </row>
    <row r="685" spans="1:20" x14ac:dyDescent="0.45">
      <c r="A685" s="4" t="s">
        <v>867</v>
      </c>
      <c r="B685" s="4" t="s">
        <v>865</v>
      </c>
      <c r="C685" s="5">
        <v>1</v>
      </c>
      <c r="D685" s="5">
        <v>26</v>
      </c>
      <c r="E685" s="5">
        <v>26</v>
      </c>
      <c r="F685" s="5">
        <v>1</v>
      </c>
      <c r="G685" s="5">
        <v>1</v>
      </c>
      <c r="H685" s="5">
        <v>25</v>
      </c>
      <c r="I685" s="6">
        <v>3</v>
      </c>
      <c r="J685" s="6">
        <v>7.9</v>
      </c>
      <c r="K685" s="6">
        <v>12</v>
      </c>
      <c r="L685" s="6">
        <v>12</v>
      </c>
      <c r="M685" s="4" t="str">
        <f t="shared" si="30"/>
        <v>OK</v>
      </c>
      <c r="N685" s="7">
        <f t="shared" si="31"/>
        <v>9.8113207547169817E-2</v>
      </c>
      <c r="O685" s="7">
        <f>SUMIFS($D$2:D685,$B$2:B685,B685)/SUMIFS($D$2:$D$741,$B$2:$B$741,B685)</f>
        <v>0.8716981132075472</v>
      </c>
      <c r="P685" s="4" t="b">
        <f t="shared" si="32"/>
        <v>1</v>
      </c>
      <c r="Q685" s="4" t="s">
        <v>23</v>
      </c>
      <c r="R685" s="4" t="s">
        <v>30</v>
      </c>
      <c r="S685" s="4" t="s">
        <v>25</v>
      </c>
      <c r="T685" s="4" t="s">
        <v>31</v>
      </c>
    </row>
    <row r="686" spans="1:20" x14ac:dyDescent="0.45">
      <c r="A686" s="4" t="s">
        <v>868</v>
      </c>
      <c r="B686" s="4" t="s">
        <v>865</v>
      </c>
      <c r="C686" s="5">
        <v>1</v>
      </c>
      <c r="D686" s="5">
        <v>11</v>
      </c>
      <c r="E686" s="5">
        <v>11</v>
      </c>
      <c r="F686" s="5">
        <v>1</v>
      </c>
      <c r="G686" s="5">
        <v>0</v>
      </c>
      <c r="H686" s="5">
        <v>10</v>
      </c>
      <c r="I686" s="6">
        <v>5.5</v>
      </c>
      <c r="J686" s="6">
        <v>10.1</v>
      </c>
      <c r="K686" s="6">
        <v>22</v>
      </c>
      <c r="L686" s="6">
        <v>22</v>
      </c>
      <c r="M686" s="4" t="str">
        <f t="shared" si="30"/>
        <v>OK</v>
      </c>
      <c r="N686" s="7">
        <f t="shared" si="31"/>
        <v>4.1509433962264149E-2</v>
      </c>
      <c r="O686" s="7">
        <f>SUMIFS($D$2:D686,$B$2:B686,B686)/SUMIFS($D$2:$D$741,$B$2:$B$741,B686)</f>
        <v>0.91320754716981134</v>
      </c>
      <c r="P686" s="4" t="b">
        <f t="shared" si="32"/>
        <v>1</v>
      </c>
      <c r="Q686" s="4" t="s">
        <v>23</v>
      </c>
      <c r="R686" s="4" t="s">
        <v>30</v>
      </c>
      <c r="S686" s="4" t="s">
        <v>25</v>
      </c>
      <c r="T686" s="4" t="s">
        <v>31</v>
      </c>
    </row>
    <row r="687" spans="1:20" x14ac:dyDescent="0.45">
      <c r="A687" s="4" t="s">
        <v>869</v>
      </c>
      <c r="B687" s="4" t="s">
        <v>865</v>
      </c>
      <c r="C687" s="5">
        <v>1</v>
      </c>
      <c r="D687" s="5">
        <v>11</v>
      </c>
      <c r="E687" s="5">
        <v>11</v>
      </c>
      <c r="F687" s="5">
        <v>1</v>
      </c>
      <c r="G687" s="5">
        <v>0</v>
      </c>
      <c r="H687" s="5">
        <v>10</v>
      </c>
      <c r="I687" s="6">
        <v>2.5</v>
      </c>
      <c r="J687" s="6">
        <v>4.5</v>
      </c>
      <c r="K687" s="6">
        <v>11</v>
      </c>
      <c r="L687" s="6">
        <v>10.9</v>
      </c>
      <c r="M687" s="4" t="str">
        <f t="shared" si="30"/>
        <v>OK</v>
      </c>
      <c r="N687" s="7">
        <f t="shared" si="31"/>
        <v>4.1509433962264149E-2</v>
      </c>
      <c r="O687" s="7">
        <f>SUMIFS($D$2:D687,$B$2:B687,B687)/SUMIFS($D$2:$D$741,$B$2:$B$741,B687)</f>
        <v>0.95471698113207548</v>
      </c>
      <c r="P687" s="4" t="b">
        <f t="shared" si="32"/>
        <v>1</v>
      </c>
      <c r="Q687" s="4" t="s">
        <v>23</v>
      </c>
      <c r="R687" s="4" t="s">
        <v>30</v>
      </c>
      <c r="S687" s="4" t="s">
        <v>25</v>
      </c>
      <c r="T687" s="4" t="s">
        <v>31</v>
      </c>
    </row>
    <row r="688" spans="1:20" x14ac:dyDescent="0.45">
      <c r="A688" s="4" t="s">
        <v>870</v>
      </c>
      <c r="B688" s="4" t="s">
        <v>865</v>
      </c>
      <c r="C688" s="5">
        <v>1</v>
      </c>
      <c r="D688" s="5">
        <v>5</v>
      </c>
      <c r="E688" s="5">
        <v>5</v>
      </c>
      <c r="F688" s="5">
        <v>0</v>
      </c>
      <c r="G688" s="5">
        <v>0</v>
      </c>
      <c r="H688" s="5">
        <v>5</v>
      </c>
      <c r="I688" s="6">
        <v>5</v>
      </c>
      <c r="J688" s="6">
        <v>16.2</v>
      </c>
      <c r="K688" s="6">
        <v>40</v>
      </c>
      <c r="L688" s="6">
        <v>40.4</v>
      </c>
      <c r="M688" s="4" t="str">
        <f t="shared" si="30"/>
        <v>OK</v>
      </c>
      <c r="N688" s="7">
        <f t="shared" si="31"/>
        <v>1.8867924528301886E-2</v>
      </c>
      <c r="O688" s="7">
        <f>SUMIFS($D$2:D688,$B$2:B688,B688)/SUMIFS($D$2:$D$741,$B$2:$B$741,B688)</f>
        <v>0.97358490566037736</v>
      </c>
      <c r="P688" s="4" t="b">
        <f t="shared" si="32"/>
        <v>0</v>
      </c>
      <c r="Q688" s="4" t="s">
        <v>23</v>
      </c>
      <c r="R688" s="4" t="s">
        <v>105</v>
      </c>
      <c r="S688" s="4" t="s">
        <v>25</v>
      </c>
      <c r="T688" s="4" t="s">
        <v>106</v>
      </c>
    </row>
    <row r="689" spans="1:20" x14ac:dyDescent="0.45">
      <c r="A689" s="4" t="s">
        <v>871</v>
      </c>
      <c r="B689" s="4" t="s">
        <v>865</v>
      </c>
      <c r="C689" s="5">
        <v>1</v>
      </c>
      <c r="D689" s="5">
        <v>5</v>
      </c>
      <c r="E689" s="5">
        <v>5</v>
      </c>
      <c r="F689" s="5">
        <v>0</v>
      </c>
      <c r="G689" s="5">
        <v>0</v>
      </c>
      <c r="H689" s="5">
        <v>5</v>
      </c>
      <c r="I689" s="6">
        <v>3</v>
      </c>
      <c r="J689" s="6">
        <v>5.8</v>
      </c>
      <c r="K689" s="6">
        <v>12</v>
      </c>
      <c r="L689" s="6">
        <v>12.2</v>
      </c>
      <c r="M689" s="4" t="str">
        <f t="shared" si="30"/>
        <v>OK</v>
      </c>
      <c r="N689" s="7">
        <f t="shared" si="31"/>
        <v>1.8867924528301886E-2</v>
      </c>
      <c r="O689" s="7">
        <f>SUMIFS($D$2:D689,$B$2:B689,B689)/SUMIFS($D$2:$D$741,$B$2:$B$741,B689)</f>
        <v>0.99245283018867925</v>
      </c>
      <c r="P689" s="4" t="b">
        <f t="shared" si="32"/>
        <v>0</v>
      </c>
      <c r="Q689" s="4" t="s">
        <v>23</v>
      </c>
      <c r="R689" s="4" t="s">
        <v>91</v>
      </c>
      <c r="S689" s="4" t="s">
        <v>25</v>
      </c>
      <c r="T689" s="4" t="s">
        <v>92</v>
      </c>
    </row>
    <row r="690" spans="1:20" x14ac:dyDescent="0.45">
      <c r="A690" s="4" t="s">
        <v>872</v>
      </c>
      <c r="B690" s="4" t="s">
        <v>865</v>
      </c>
      <c r="C690" s="5">
        <v>1</v>
      </c>
      <c r="D690" s="5">
        <v>2</v>
      </c>
      <c r="E690" s="5">
        <v>2</v>
      </c>
      <c r="F690" s="5">
        <v>0</v>
      </c>
      <c r="G690" s="5">
        <v>0</v>
      </c>
      <c r="H690" s="5">
        <v>2</v>
      </c>
      <c r="I690" s="6">
        <v>6.5</v>
      </c>
      <c r="J690" s="6">
        <v>6.5</v>
      </c>
      <c r="K690" s="6">
        <v>8</v>
      </c>
      <c r="L690" s="6">
        <v>7.7</v>
      </c>
      <c r="M690" s="4" t="str">
        <f t="shared" si="30"/>
        <v>OK</v>
      </c>
      <c r="N690" s="7">
        <f t="shared" si="31"/>
        <v>7.5471698113207548E-3</v>
      </c>
      <c r="O690" s="7">
        <f>SUMIFS($D$2:D690,$B$2:B690,B690)/SUMIFS($D$2:$D$741,$B$2:$B$741,B690)</f>
        <v>1</v>
      </c>
      <c r="P690" s="4" t="b">
        <f t="shared" si="32"/>
        <v>0</v>
      </c>
      <c r="Q690" s="4" t="s">
        <v>23</v>
      </c>
      <c r="R690" s="4" t="s">
        <v>30</v>
      </c>
      <c r="S690" s="4" t="s">
        <v>25</v>
      </c>
      <c r="T690" s="4" t="s">
        <v>31</v>
      </c>
    </row>
    <row r="691" spans="1:20" x14ac:dyDescent="0.45">
      <c r="A691" s="9" t="s">
        <v>873</v>
      </c>
      <c r="B691" s="9" t="s">
        <v>874</v>
      </c>
      <c r="C691" s="10">
        <v>1</v>
      </c>
      <c r="D691" s="10">
        <v>17</v>
      </c>
      <c r="E691" s="10">
        <v>12</v>
      </c>
      <c r="F691" s="10">
        <v>2</v>
      </c>
      <c r="G691" s="10">
        <v>2</v>
      </c>
      <c r="H691" s="10">
        <v>15</v>
      </c>
      <c r="I691" s="11">
        <v>3</v>
      </c>
      <c r="J691" s="11">
        <v>3.3</v>
      </c>
      <c r="K691" s="11">
        <v>6</v>
      </c>
      <c r="L691" s="11">
        <v>5.6</v>
      </c>
      <c r="M691" s="9" t="str">
        <f t="shared" si="30"/>
        <v>OK</v>
      </c>
      <c r="N691" s="12">
        <f t="shared" si="31"/>
        <v>1</v>
      </c>
      <c r="O691" s="12">
        <f>SUMIFS($D$2:D691,$B$2:B691,B691)/SUMIFS($D$2:$D$741,$B$2:$B$741,B691)</f>
        <v>1</v>
      </c>
      <c r="P691" s="9" t="b">
        <f t="shared" si="32"/>
        <v>1</v>
      </c>
      <c r="Q691" s="9" t="s">
        <v>23</v>
      </c>
      <c r="R691" s="9" t="s">
        <v>30</v>
      </c>
      <c r="S691" s="9" t="s">
        <v>25</v>
      </c>
      <c r="T691" s="9" t="s">
        <v>31</v>
      </c>
    </row>
    <row r="692" spans="1:20" x14ac:dyDescent="0.45">
      <c r="A692" s="9" t="s">
        <v>875</v>
      </c>
      <c r="B692" s="9" t="s">
        <v>876</v>
      </c>
      <c r="C692" s="10">
        <v>2</v>
      </c>
      <c r="D692" s="10">
        <v>750</v>
      </c>
      <c r="E692" s="10">
        <v>35</v>
      </c>
      <c r="F692" s="10">
        <v>2</v>
      </c>
      <c r="G692" s="10">
        <v>2</v>
      </c>
      <c r="H692" s="10">
        <v>748</v>
      </c>
      <c r="I692" s="11">
        <v>1</v>
      </c>
      <c r="J692" s="11">
        <v>1.6</v>
      </c>
      <c r="K692" s="11">
        <v>3</v>
      </c>
      <c r="L692" s="11">
        <v>3</v>
      </c>
      <c r="M692" s="9" t="str">
        <f t="shared" si="30"/>
        <v>OK</v>
      </c>
      <c r="N692" s="12">
        <f t="shared" si="31"/>
        <v>0.67628494138863837</v>
      </c>
      <c r="O692" s="12">
        <f>SUMIFS($D$2:D692,$B$2:B692,B692)/SUMIFS($D$2:$D$741,$B$2:$B$741,B692)</f>
        <v>0.67628494138863837</v>
      </c>
      <c r="P692" s="9" t="b">
        <f t="shared" si="32"/>
        <v>1</v>
      </c>
      <c r="Q692" s="9" t="s">
        <v>23</v>
      </c>
      <c r="R692" s="9" t="s">
        <v>30</v>
      </c>
      <c r="S692" s="9" t="s">
        <v>25</v>
      </c>
      <c r="T692" s="9" t="s">
        <v>31</v>
      </c>
    </row>
    <row r="693" spans="1:20" x14ac:dyDescent="0.45">
      <c r="A693" s="4" t="s">
        <v>877</v>
      </c>
      <c r="B693" s="4" t="s">
        <v>876</v>
      </c>
      <c r="C693" s="5">
        <v>2</v>
      </c>
      <c r="D693" s="5">
        <v>77</v>
      </c>
      <c r="E693" s="5">
        <v>9</v>
      </c>
      <c r="F693" s="5">
        <v>0</v>
      </c>
      <c r="G693" s="5">
        <v>0</v>
      </c>
      <c r="H693" s="5">
        <v>77</v>
      </c>
      <c r="I693" s="6">
        <v>6</v>
      </c>
      <c r="J693" s="6">
        <v>17.600000000000001</v>
      </c>
      <c r="K693" s="6">
        <v>59</v>
      </c>
      <c r="L693" s="6">
        <v>59.2</v>
      </c>
      <c r="M693" s="4" t="str">
        <f t="shared" si="30"/>
        <v>OK</v>
      </c>
      <c r="N693" s="7">
        <f t="shared" si="31"/>
        <v>6.943192064923355E-2</v>
      </c>
      <c r="O693" s="7">
        <f>SUMIFS($D$2:D693,$B$2:B693,B693)/SUMIFS($D$2:$D$741,$B$2:$B$741,B693)</f>
        <v>0.74571686203787191</v>
      </c>
      <c r="P693" s="4" t="b">
        <f t="shared" si="32"/>
        <v>1</v>
      </c>
      <c r="Q693" s="4" t="s">
        <v>23</v>
      </c>
      <c r="R693" s="4" t="s">
        <v>30</v>
      </c>
      <c r="S693" s="4" t="s">
        <v>25</v>
      </c>
      <c r="T693" s="4" t="s">
        <v>31</v>
      </c>
    </row>
    <row r="694" spans="1:20" x14ac:dyDescent="0.45">
      <c r="A694" s="4" t="s">
        <v>878</v>
      </c>
      <c r="B694" s="4" t="s">
        <v>876</v>
      </c>
      <c r="C694" s="5">
        <v>1</v>
      </c>
      <c r="D694" s="5">
        <v>72</v>
      </c>
      <c r="E694" s="5">
        <v>58</v>
      </c>
      <c r="F694" s="5">
        <v>0</v>
      </c>
      <c r="G694" s="5">
        <v>0</v>
      </c>
      <c r="H694" s="5">
        <v>72</v>
      </c>
      <c r="I694" s="6">
        <v>4</v>
      </c>
      <c r="J694" s="6">
        <v>7.1</v>
      </c>
      <c r="K694" s="6">
        <v>15</v>
      </c>
      <c r="L694" s="6">
        <v>14.9</v>
      </c>
      <c r="M694" s="4" t="str">
        <f t="shared" si="30"/>
        <v>OK</v>
      </c>
      <c r="N694" s="7">
        <f t="shared" si="31"/>
        <v>6.4923354373309289E-2</v>
      </c>
      <c r="O694" s="7">
        <f>SUMIFS($D$2:D694,$B$2:B694,B694)/SUMIFS($D$2:$D$741,$B$2:$B$741,B694)</f>
        <v>0.81064021641118122</v>
      </c>
      <c r="P694" s="4" t="b">
        <f t="shared" si="32"/>
        <v>1</v>
      </c>
      <c r="Q694" s="4" t="s">
        <v>23</v>
      </c>
      <c r="R694" s="4" t="s">
        <v>30</v>
      </c>
      <c r="S694" s="4" t="s">
        <v>25</v>
      </c>
      <c r="T694" s="4" t="s">
        <v>31</v>
      </c>
    </row>
    <row r="695" spans="1:20" x14ac:dyDescent="0.45">
      <c r="A695" s="4" t="s">
        <v>879</v>
      </c>
      <c r="B695" s="4" t="s">
        <v>876</v>
      </c>
      <c r="C695" s="5">
        <v>2</v>
      </c>
      <c r="D695" s="5">
        <v>52</v>
      </c>
      <c r="E695" s="5">
        <v>2</v>
      </c>
      <c r="F695" s="5">
        <v>0</v>
      </c>
      <c r="G695" s="5">
        <v>0</v>
      </c>
      <c r="H695" s="5">
        <v>52</v>
      </c>
      <c r="I695" s="6">
        <v>0</v>
      </c>
      <c r="J695" s="6">
        <v>2.8</v>
      </c>
      <c r="K695" s="6">
        <v>0</v>
      </c>
      <c r="L695" s="6">
        <v>0</v>
      </c>
      <c r="M695" s="4" t="str">
        <f t="shared" si="30"/>
        <v>OK</v>
      </c>
      <c r="N695" s="7">
        <f t="shared" si="31"/>
        <v>4.6889089269612265E-2</v>
      </c>
      <c r="O695" s="7">
        <f>SUMIFS($D$2:D695,$B$2:B695,B695)/SUMIFS($D$2:$D$741,$B$2:$B$741,B695)</f>
        <v>0.85752930568079355</v>
      </c>
      <c r="P695" s="4" t="b">
        <f t="shared" si="32"/>
        <v>1</v>
      </c>
      <c r="Q695" s="4" t="s">
        <v>23</v>
      </c>
      <c r="R695" s="4" t="s">
        <v>75</v>
      </c>
      <c r="S695" s="4" t="s">
        <v>25</v>
      </c>
      <c r="T695" s="4" t="s">
        <v>76</v>
      </c>
    </row>
    <row r="696" spans="1:20" x14ac:dyDescent="0.45">
      <c r="A696" s="4" t="s">
        <v>880</v>
      </c>
      <c r="B696" s="4" t="s">
        <v>876</v>
      </c>
      <c r="C696" s="5">
        <v>2</v>
      </c>
      <c r="D696" s="5">
        <v>46</v>
      </c>
      <c r="E696" s="5">
        <v>0</v>
      </c>
      <c r="F696" s="5">
        <v>0</v>
      </c>
      <c r="G696" s="5">
        <v>0</v>
      </c>
      <c r="H696" s="5">
        <v>46</v>
      </c>
      <c r="I696" s="6">
        <v>3</v>
      </c>
      <c r="J696" s="6">
        <v>11</v>
      </c>
      <c r="K696" s="6">
        <v>28</v>
      </c>
      <c r="L696" s="6">
        <v>27.5</v>
      </c>
      <c r="M696" s="4" t="str">
        <f t="shared" si="30"/>
        <v>OK</v>
      </c>
      <c r="N696" s="7">
        <f t="shared" si="31"/>
        <v>4.1478809738503153E-2</v>
      </c>
      <c r="O696" s="7">
        <f>SUMIFS($D$2:D696,$B$2:B696,B696)/SUMIFS($D$2:$D$741,$B$2:$B$741,B696)</f>
        <v>0.89900811541929671</v>
      </c>
      <c r="P696" s="4" t="b">
        <f t="shared" si="32"/>
        <v>1</v>
      </c>
      <c r="Q696" s="4" t="s">
        <v>23</v>
      </c>
      <c r="R696" s="4" t="s">
        <v>30</v>
      </c>
      <c r="S696" s="4" t="s">
        <v>25</v>
      </c>
      <c r="T696" s="4" t="s">
        <v>31</v>
      </c>
    </row>
    <row r="697" spans="1:20" x14ac:dyDescent="0.45">
      <c r="A697" s="4" t="s">
        <v>881</v>
      </c>
      <c r="B697" s="4" t="s">
        <v>876</v>
      </c>
      <c r="C697" s="5">
        <v>2</v>
      </c>
      <c r="D697" s="5">
        <v>41</v>
      </c>
      <c r="E697" s="5">
        <v>0</v>
      </c>
      <c r="F697" s="5">
        <v>0</v>
      </c>
      <c r="G697" s="5">
        <v>0</v>
      </c>
      <c r="H697" s="5">
        <v>41</v>
      </c>
      <c r="I697" s="6">
        <v>20</v>
      </c>
      <c r="J697" s="6">
        <v>43.7</v>
      </c>
      <c r="K697" s="6">
        <v>136</v>
      </c>
      <c r="L697" s="6">
        <v>136</v>
      </c>
      <c r="M697" s="4" t="str">
        <f t="shared" si="30"/>
        <v>OK</v>
      </c>
      <c r="N697" s="7">
        <f t="shared" si="31"/>
        <v>3.6970243462578899E-2</v>
      </c>
      <c r="O697" s="7">
        <f>SUMIFS($D$2:D697,$B$2:B697,B697)/SUMIFS($D$2:$D$741,$B$2:$B$741,B697)</f>
        <v>0.93597835888187553</v>
      </c>
      <c r="P697" s="4" t="b">
        <f t="shared" si="32"/>
        <v>1</v>
      </c>
      <c r="Q697" s="4" t="s">
        <v>23</v>
      </c>
      <c r="R697" s="4" t="s">
        <v>289</v>
      </c>
      <c r="S697" s="4" t="s">
        <v>25</v>
      </c>
      <c r="T697" s="4" t="s">
        <v>290</v>
      </c>
    </row>
    <row r="698" spans="1:20" x14ac:dyDescent="0.45">
      <c r="A698" s="4" t="s">
        <v>882</v>
      </c>
      <c r="B698" s="4" t="s">
        <v>876</v>
      </c>
      <c r="C698" s="5">
        <v>1</v>
      </c>
      <c r="D698" s="5">
        <v>34</v>
      </c>
      <c r="E698" s="5">
        <v>2</v>
      </c>
      <c r="F698" s="5">
        <v>0</v>
      </c>
      <c r="G698" s="5">
        <v>0</v>
      </c>
      <c r="H698" s="5">
        <v>34</v>
      </c>
      <c r="I698" s="6">
        <v>2.5</v>
      </c>
      <c r="J698" s="6">
        <v>7.2</v>
      </c>
      <c r="K698" s="6">
        <v>8</v>
      </c>
      <c r="L698" s="6">
        <v>7.7</v>
      </c>
      <c r="M698" s="4" t="str">
        <f t="shared" si="30"/>
        <v>OK</v>
      </c>
      <c r="N698" s="7">
        <f t="shared" si="31"/>
        <v>3.0658250676284943E-2</v>
      </c>
      <c r="O698" s="7">
        <f>SUMIFS($D$2:D698,$B$2:B698,B698)/SUMIFS($D$2:$D$741,$B$2:$B$741,B698)</f>
        <v>0.96663660955816055</v>
      </c>
      <c r="P698" s="4" t="b">
        <f t="shared" si="32"/>
        <v>1</v>
      </c>
      <c r="Q698" s="4" t="s">
        <v>23</v>
      </c>
      <c r="R698" s="4" t="s">
        <v>30</v>
      </c>
      <c r="S698" s="4" t="s">
        <v>25</v>
      </c>
      <c r="T698" s="4" t="s">
        <v>31</v>
      </c>
    </row>
    <row r="699" spans="1:20" x14ac:dyDescent="0.45">
      <c r="A699" s="4" t="s">
        <v>883</v>
      </c>
      <c r="B699" s="4" t="s">
        <v>876</v>
      </c>
      <c r="C699" s="5">
        <v>2</v>
      </c>
      <c r="D699" s="5">
        <v>19</v>
      </c>
      <c r="E699" s="5">
        <v>2</v>
      </c>
      <c r="F699" s="5">
        <v>0</v>
      </c>
      <c r="G699" s="5">
        <v>0</v>
      </c>
      <c r="H699" s="5">
        <v>19</v>
      </c>
      <c r="I699" s="6">
        <v>4</v>
      </c>
      <c r="J699" s="6">
        <v>17.5</v>
      </c>
      <c r="K699" s="6">
        <v>66</v>
      </c>
      <c r="L699" s="6">
        <v>66.2</v>
      </c>
      <c r="M699" s="4" t="str">
        <f t="shared" si="30"/>
        <v>OK</v>
      </c>
      <c r="N699" s="7">
        <f t="shared" si="31"/>
        <v>1.7132551848512173E-2</v>
      </c>
      <c r="O699" s="7">
        <f>SUMIFS($D$2:D699,$B$2:B699,B699)/SUMIFS($D$2:$D$741,$B$2:$B$741,B699)</f>
        <v>0.9837691614066727</v>
      </c>
      <c r="P699" s="4" t="b">
        <f t="shared" si="32"/>
        <v>0</v>
      </c>
      <c r="Q699" s="4" t="s">
        <v>23</v>
      </c>
      <c r="R699" s="4" t="s">
        <v>30</v>
      </c>
      <c r="S699" s="4" t="s">
        <v>25</v>
      </c>
      <c r="T699" s="4" t="s">
        <v>31</v>
      </c>
    </row>
    <row r="700" spans="1:20" x14ac:dyDescent="0.45">
      <c r="A700" s="4" t="s">
        <v>884</v>
      </c>
      <c r="B700" s="4" t="s">
        <v>876</v>
      </c>
      <c r="C700" s="5">
        <v>2</v>
      </c>
      <c r="D700" s="5">
        <v>6</v>
      </c>
      <c r="E700" s="5">
        <v>0</v>
      </c>
      <c r="F700" s="5">
        <v>0</v>
      </c>
      <c r="G700" s="5">
        <v>0</v>
      </c>
      <c r="H700" s="5">
        <v>6</v>
      </c>
      <c r="I700" s="6">
        <v>1</v>
      </c>
      <c r="J700" s="6">
        <v>15.8</v>
      </c>
      <c r="K700" s="6">
        <v>46</v>
      </c>
      <c r="L700" s="6">
        <v>46.5</v>
      </c>
      <c r="M700" s="4" t="str">
        <f t="shared" si="30"/>
        <v>OK</v>
      </c>
      <c r="N700" s="7">
        <f t="shared" si="31"/>
        <v>5.4102795311091077E-3</v>
      </c>
      <c r="O700" s="7">
        <f>SUMIFS($D$2:D700,$B$2:B700,B700)/SUMIFS($D$2:$D$741,$B$2:$B$741,B700)</f>
        <v>0.98917944093778176</v>
      </c>
      <c r="P700" s="4" t="b">
        <f t="shared" si="32"/>
        <v>0</v>
      </c>
      <c r="Q700" s="4" t="s">
        <v>23</v>
      </c>
      <c r="R700" s="4" t="s">
        <v>30</v>
      </c>
      <c r="S700" s="4" t="s">
        <v>25</v>
      </c>
      <c r="T700" s="4" t="s">
        <v>31</v>
      </c>
    </row>
    <row r="701" spans="1:20" x14ac:dyDescent="0.45">
      <c r="A701" s="4" t="s">
        <v>885</v>
      </c>
      <c r="B701" s="4" t="s">
        <v>876</v>
      </c>
      <c r="C701" s="5">
        <v>2</v>
      </c>
      <c r="D701" s="5">
        <v>5</v>
      </c>
      <c r="E701" s="5">
        <v>0</v>
      </c>
      <c r="F701" s="5">
        <v>0</v>
      </c>
      <c r="G701" s="5">
        <v>0</v>
      </c>
      <c r="H701" s="5">
        <v>5</v>
      </c>
      <c r="I701" s="6">
        <v>12</v>
      </c>
      <c r="J701" s="6">
        <v>12.6</v>
      </c>
      <c r="K701" s="6">
        <v>21</v>
      </c>
      <c r="L701" s="6">
        <v>21.2</v>
      </c>
      <c r="M701" s="4" t="str">
        <f t="shared" si="30"/>
        <v>OK</v>
      </c>
      <c r="N701" s="7">
        <f t="shared" si="31"/>
        <v>4.508566275924256E-3</v>
      </c>
      <c r="O701" s="7">
        <f>SUMIFS($D$2:D701,$B$2:B701,B701)/SUMIFS($D$2:$D$741,$B$2:$B$741,B701)</f>
        <v>0.99368800721370609</v>
      </c>
      <c r="P701" s="4" t="b">
        <f t="shared" si="32"/>
        <v>0</v>
      </c>
      <c r="Q701" s="4" t="s">
        <v>23</v>
      </c>
      <c r="R701" s="4" t="s">
        <v>289</v>
      </c>
      <c r="S701" s="4" t="s">
        <v>25</v>
      </c>
      <c r="T701" s="4" t="s">
        <v>290</v>
      </c>
    </row>
    <row r="702" spans="1:20" x14ac:dyDescent="0.45">
      <c r="A702" s="4" t="s">
        <v>886</v>
      </c>
      <c r="B702" s="4" t="s">
        <v>876</v>
      </c>
      <c r="C702" s="5">
        <v>2</v>
      </c>
      <c r="D702" s="5">
        <v>5</v>
      </c>
      <c r="E702" s="5">
        <v>0</v>
      </c>
      <c r="F702" s="5">
        <v>0</v>
      </c>
      <c r="G702" s="5">
        <v>0</v>
      </c>
      <c r="H702" s="5">
        <v>5</v>
      </c>
      <c r="I702" s="6">
        <v>4</v>
      </c>
      <c r="J702" s="6">
        <v>3.4</v>
      </c>
      <c r="K702" s="6">
        <v>6</v>
      </c>
      <c r="L702" s="6">
        <v>6.4</v>
      </c>
      <c r="M702" s="4" t="str">
        <f t="shared" si="30"/>
        <v>OK</v>
      </c>
      <c r="N702" s="7">
        <f t="shared" si="31"/>
        <v>4.508566275924256E-3</v>
      </c>
      <c r="O702" s="7">
        <f>SUMIFS($D$2:D702,$B$2:B702,B702)/SUMIFS($D$2:$D$741,$B$2:$B$741,B702)</f>
        <v>0.99819657348963031</v>
      </c>
      <c r="P702" s="4" t="b">
        <f t="shared" si="32"/>
        <v>0</v>
      </c>
      <c r="Q702" s="4" t="s">
        <v>23</v>
      </c>
      <c r="R702" s="4" t="s">
        <v>24</v>
      </c>
      <c r="S702" s="4" t="s">
        <v>25</v>
      </c>
      <c r="T702" s="4" t="s">
        <v>26</v>
      </c>
    </row>
    <row r="703" spans="1:20" x14ac:dyDescent="0.45">
      <c r="A703" s="4" t="s">
        <v>887</v>
      </c>
      <c r="B703" s="4" t="s">
        <v>876</v>
      </c>
      <c r="C703" s="5">
        <v>2</v>
      </c>
      <c r="D703" s="5">
        <v>2</v>
      </c>
      <c r="E703" s="5">
        <v>0</v>
      </c>
      <c r="F703" s="5">
        <v>0</v>
      </c>
      <c r="G703" s="5">
        <v>0</v>
      </c>
      <c r="H703" s="5">
        <v>2</v>
      </c>
      <c r="I703" s="6">
        <v>1</v>
      </c>
      <c r="J703" s="6">
        <v>1</v>
      </c>
      <c r="K703" s="6">
        <v>1</v>
      </c>
      <c r="L703" s="6">
        <v>1</v>
      </c>
      <c r="M703" s="4" t="str">
        <f t="shared" si="30"/>
        <v>OK</v>
      </c>
      <c r="N703" s="7">
        <f t="shared" si="31"/>
        <v>1.8034265103697023E-3</v>
      </c>
      <c r="O703" s="7">
        <f>SUMIFS($D$2:D703,$B$2:B703,B703)/SUMIFS($D$2:$D$741,$B$2:$B$741,B703)</f>
        <v>1</v>
      </c>
      <c r="P703" s="4" t="b">
        <f t="shared" si="32"/>
        <v>0</v>
      </c>
      <c r="Q703" s="4" t="s">
        <v>23</v>
      </c>
      <c r="R703" s="4" t="s">
        <v>24</v>
      </c>
      <c r="S703" s="4" t="s">
        <v>25</v>
      </c>
      <c r="T703" s="4" t="s">
        <v>26</v>
      </c>
    </row>
    <row r="704" spans="1:20" x14ac:dyDescent="0.45">
      <c r="A704" s="9" t="s">
        <v>888</v>
      </c>
      <c r="B704" s="9" t="s">
        <v>889</v>
      </c>
      <c r="C704" s="10">
        <v>2</v>
      </c>
      <c r="D704" s="10">
        <v>26020</v>
      </c>
      <c r="E704" s="10">
        <v>0</v>
      </c>
      <c r="F704" s="10">
        <v>12549</v>
      </c>
      <c r="G704" s="10">
        <v>12549</v>
      </c>
      <c r="H704" s="10">
        <v>13470</v>
      </c>
      <c r="I704" s="11">
        <v>2</v>
      </c>
      <c r="J704" s="11">
        <v>5.0999999999999996</v>
      </c>
      <c r="K704" s="11">
        <v>16</v>
      </c>
      <c r="L704" s="11">
        <v>16</v>
      </c>
      <c r="M704" s="9" t="str">
        <f t="shared" si="30"/>
        <v>OK</v>
      </c>
      <c r="N704" s="12">
        <f t="shared" si="31"/>
        <v>0.85286308958012391</v>
      </c>
      <c r="O704" s="12">
        <f>SUMIFS($D$2:D704,$B$2:B704,B704)/SUMIFS($D$2:$D$741,$B$2:$B$741,B704)</f>
        <v>0.85286308958012391</v>
      </c>
      <c r="P704" s="9" t="b">
        <f t="shared" si="32"/>
        <v>1</v>
      </c>
      <c r="Q704" s="9" t="s">
        <v>23</v>
      </c>
      <c r="R704" s="9" t="s">
        <v>30</v>
      </c>
      <c r="S704" s="9" t="s">
        <v>25</v>
      </c>
      <c r="T704" s="9" t="s">
        <v>31</v>
      </c>
    </row>
    <row r="705" spans="1:20" x14ac:dyDescent="0.45">
      <c r="A705" s="4" t="s">
        <v>890</v>
      </c>
      <c r="B705" s="4" t="s">
        <v>889</v>
      </c>
      <c r="C705" s="5">
        <v>2</v>
      </c>
      <c r="D705" s="5">
        <v>2425</v>
      </c>
      <c r="E705" s="5">
        <v>0</v>
      </c>
      <c r="F705" s="5">
        <v>7</v>
      </c>
      <c r="G705" s="5">
        <v>7</v>
      </c>
      <c r="H705" s="5">
        <v>2418</v>
      </c>
      <c r="I705" s="6">
        <v>0</v>
      </c>
      <c r="J705" s="6">
        <v>1.6</v>
      </c>
      <c r="K705" s="6">
        <v>3</v>
      </c>
      <c r="L705" s="6">
        <v>3</v>
      </c>
      <c r="M705" s="4" t="str">
        <f t="shared" si="30"/>
        <v>OK</v>
      </c>
      <c r="N705" s="7">
        <f t="shared" si="31"/>
        <v>7.9484742207217546E-2</v>
      </c>
      <c r="O705" s="7">
        <f>SUMIFS($D$2:D705,$B$2:B705,B705)/SUMIFS($D$2:$D$741,$B$2:$B$741,B705)</f>
        <v>0.93234783178734149</v>
      </c>
      <c r="P705" s="4" t="b">
        <f t="shared" si="32"/>
        <v>1</v>
      </c>
      <c r="Q705" s="4" t="s">
        <v>23</v>
      </c>
      <c r="R705" s="4" t="s">
        <v>75</v>
      </c>
      <c r="S705" s="4" t="s">
        <v>25</v>
      </c>
      <c r="T705" s="4" t="s">
        <v>76</v>
      </c>
    </row>
    <row r="706" spans="1:20" x14ac:dyDescent="0.45">
      <c r="A706" s="4" t="s">
        <v>891</v>
      </c>
      <c r="B706" s="4" t="s">
        <v>889</v>
      </c>
      <c r="C706" s="5">
        <v>2</v>
      </c>
      <c r="D706" s="5">
        <v>1820</v>
      </c>
      <c r="E706" s="5">
        <v>90</v>
      </c>
      <c r="F706" s="5">
        <v>0</v>
      </c>
      <c r="G706" s="5">
        <v>0</v>
      </c>
      <c r="H706" s="5">
        <v>1820</v>
      </c>
      <c r="I706" s="6">
        <v>2</v>
      </c>
      <c r="J706" s="6">
        <v>9.4</v>
      </c>
      <c r="K706" s="6">
        <v>23</v>
      </c>
      <c r="L706" s="6">
        <v>23</v>
      </c>
      <c r="M706" s="4" t="str">
        <f t="shared" ref="M706:M769" si="33">IF(AND(K706="",L706=""),"No closed tickets",IF(K706="","MISSING in catalog",IF(L706="","No valid closed tickets",IF(AND(ABS(K706-L706)&gt;=$W$3,ABS(K706-L706)&gt;=$W$4*MAX(L706,1)),"FAR OFF","OK"))))</f>
        <v>OK</v>
      </c>
      <c r="N706" s="7">
        <f t="shared" ref="N706:N741" si="34">D706/SUMIFS($D$2:$D$741,$B$2:$B$741,B706)</f>
        <v>5.9654528172014817E-2</v>
      </c>
      <c r="O706" s="7">
        <f>SUMIFS($D$2:D706,$B$2:B706,B706)/SUMIFS($D$2:$D$741,$B$2:$B$741,B706)</f>
        <v>0.99200235995935626</v>
      </c>
      <c r="P706" s="4" t="b">
        <f t="shared" ref="P706:P769" si="35">O706-N706&lt;$W$2</f>
        <v>1</v>
      </c>
      <c r="Q706" s="4" t="s">
        <v>23</v>
      </c>
      <c r="R706" s="4" t="s">
        <v>75</v>
      </c>
      <c r="S706" s="4" t="s">
        <v>25</v>
      </c>
      <c r="T706" s="4" t="s">
        <v>76</v>
      </c>
    </row>
    <row r="707" spans="1:20" x14ac:dyDescent="0.45">
      <c r="A707" s="4" t="s">
        <v>892</v>
      </c>
      <c r="B707" s="4" t="s">
        <v>889</v>
      </c>
      <c r="C707" s="5">
        <v>1</v>
      </c>
      <c r="D707" s="5">
        <v>104</v>
      </c>
      <c r="E707" s="5">
        <v>0</v>
      </c>
      <c r="F707" s="5">
        <v>3</v>
      </c>
      <c r="G707" s="5">
        <v>3</v>
      </c>
      <c r="H707" s="5">
        <v>101</v>
      </c>
      <c r="I707" s="6">
        <v>0</v>
      </c>
      <c r="J707" s="6">
        <v>4</v>
      </c>
      <c r="K707" s="6">
        <v>7</v>
      </c>
      <c r="L707" s="6">
        <v>7</v>
      </c>
      <c r="M707" s="4" t="str">
        <f t="shared" si="33"/>
        <v>OK</v>
      </c>
      <c r="N707" s="7">
        <f t="shared" si="34"/>
        <v>3.4088301812579894E-3</v>
      </c>
      <c r="O707" s="7">
        <f>SUMIFS($D$2:D707,$B$2:B707,B707)/SUMIFS($D$2:$D$741,$B$2:$B$741,B707)</f>
        <v>0.9954111901406143</v>
      </c>
      <c r="P707" s="4" t="b">
        <f t="shared" si="35"/>
        <v>0</v>
      </c>
      <c r="Q707" s="4" t="s">
        <v>23</v>
      </c>
      <c r="R707" s="4" t="s">
        <v>75</v>
      </c>
      <c r="S707" s="4" t="s">
        <v>25</v>
      </c>
      <c r="T707" s="4" t="s">
        <v>76</v>
      </c>
    </row>
    <row r="708" spans="1:20" x14ac:dyDescent="0.45">
      <c r="A708" s="4" t="s">
        <v>893</v>
      </c>
      <c r="B708" s="4" t="s">
        <v>889</v>
      </c>
      <c r="C708" s="5">
        <v>2</v>
      </c>
      <c r="D708" s="5">
        <v>75</v>
      </c>
      <c r="E708" s="5">
        <v>5</v>
      </c>
      <c r="F708" s="5">
        <v>2</v>
      </c>
      <c r="G708" s="5">
        <v>2</v>
      </c>
      <c r="H708" s="5">
        <v>73</v>
      </c>
      <c r="I708" s="6">
        <v>4</v>
      </c>
      <c r="J708" s="6">
        <v>50.6</v>
      </c>
      <c r="K708" s="6">
        <v>245</v>
      </c>
      <c r="L708" s="6">
        <v>244.8</v>
      </c>
      <c r="M708" s="4" t="str">
        <f t="shared" si="33"/>
        <v>OK</v>
      </c>
      <c r="N708" s="7">
        <f t="shared" si="34"/>
        <v>2.4582909960995116E-3</v>
      </c>
      <c r="O708" s="7">
        <f>SUMIFS($D$2:D708,$B$2:B708,B708)/SUMIFS($D$2:$D$741,$B$2:$B$741,B708)</f>
        <v>0.99786948113671381</v>
      </c>
      <c r="P708" s="4" t="b">
        <f t="shared" si="35"/>
        <v>0</v>
      </c>
      <c r="Q708" s="4" t="s">
        <v>23</v>
      </c>
      <c r="R708" s="4" t="s">
        <v>30</v>
      </c>
      <c r="S708" s="4" t="s">
        <v>25</v>
      </c>
      <c r="T708" s="4" t="s">
        <v>31</v>
      </c>
    </row>
    <row r="709" spans="1:20" x14ac:dyDescent="0.45">
      <c r="A709" s="4" t="s">
        <v>894</v>
      </c>
      <c r="B709" s="4" t="s">
        <v>889</v>
      </c>
      <c r="C709" s="5">
        <v>2</v>
      </c>
      <c r="D709" s="5">
        <v>64</v>
      </c>
      <c r="E709" s="5">
        <v>0</v>
      </c>
      <c r="F709" s="5">
        <v>27</v>
      </c>
      <c r="G709" s="5">
        <v>27</v>
      </c>
      <c r="H709" s="5">
        <v>37</v>
      </c>
      <c r="I709" s="6">
        <v>7</v>
      </c>
      <c r="J709" s="6">
        <v>49.5</v>
      </c>
      <c r="K709" s="6">
        <v>182</v>
      </c>
      <c r="L709" s="6">
        <v>182.2</v>
      </c>
      <c r="M709" s="4" t="str">
        <f t="shared" si="33"/>
        <v>OK</v>
      </c>
      <c r="N709" s="7">
        <f t="shared" si="34"/>
        <v>2.0977416500049164E-3</v>
      </c>
      <c r="O709" s="7">
        <f>SUMIFS($D$2:D709,$B$2:B709,B709)/SUMIFS($D$2:$D$741,$B$2:$B$741,B709)</f>
        <v>0.99996722278671868</v>
      </c>
      <c r="P709" s="4" t="b">
        <f t="shared" si="35"/>
        <v>0</v>
      </c>
      <c r="Q709" s="4" t="s">
        <v>23</v>
      </c>
      <c r="R709" s="4" t="s">
        <v>30</v>
      </c>
      <c r="S709" s="4" t="s">
        <v>25</v>
      </c>
      <c r="T709" s="4" t="s">
        <v>31</v>
      </c>
    </row>
    <row r="710" spans="1:20" x14ac:dyDescent="0.45">
      <c r="A710" s="4" t="s">
        <v>895</v>
      </c>
      <c r="B710" s="4" t="s">
        <v>889</v>
      </c>
      <c r="C710" s="5">
        <v>1</v>
      </c>
      <c r="D710" s="5">
        <v>1</v>
      </c>
      <c r="E710" s="5">
        <v>0</v>
      </c>
      <c r="F710" s="5">
        <v>1</v>
      </c>
      <c r="G710" s="5">
        <v>1</v>
      </c>
      <c r="H710" s="5">
        <v>0</v>
      </c>
      <c r="I710" s="6"/>
      <c r="J710" s="6"/>
      <c r="K710" s="6"/>
      <c r="L710" s="6"/>
      <c r="M710" s="4" t="str">
        <f t="shared" si="33"/>
        <v>No closed tickets</v>
      </c>
      <c r="N710" s="7">
        <f t="shared" si="34"/>
        <v>3.2777213281326819E-5</v>
      </c>
      <c r="O710" s="7">
        <f>SUMIFS($D$2:D710,$B$2:B710,B710)/SUMIFS($D$2:$D$741,$B$2:$B$741,B710)</f>
        <v>1</v>
      </c>
      <c r="P710" s="4" t="b">
        <f t="shared" si="35"/>
        <v>0</v>
      </c>
      <c r="Q710" s="4" t="s">
        <v>23</v>
      </c>
      <c r="R710" s="4" t="s">
        <v>105</v>
      </c>
      <c r="S710" s="4" t="s">
        <v>25</v>
      </c>
      <c r="T710" s="4" t="s">
        <v>106</v>
      </c>
    </row>
    <row r="711" spans="1:20" x14ac:dyDescent="0.45">
      <c r="A711" s="9" t="s">
        <v>896</v>
      </c>
      <c r="B711" s="9" t="s">
        <v>897</v>
      </c>
      <c r="C711" s="10">
        <v>2</v>
      </c>
      <c r="D711" s="10">
        <v>4611</v>
      </c>
      <c r="E711" s="10">
        <v>1083</v>
      </c>
      <c r="F711" s="10">
        <v>46</v>
      </c>
      <c r="G711" s="10">
        <v>34</v>
      </c>
      <c r="H711" s="10">
        <v>4565</v>
      </c>
      <c r="I711" s="11">
        <v>0</v>
      </c>
      <c r="J711" s="11">
        <v>1.5</v>
      </c>
      <c r="K711" s="11">
        <v>4</v>
      </c>
      <c r="L711" s="11">
        <v>4</v>
      </c>
      <c r="M711" s="9" t="str">
        <f t="shared" si="33"/>
        <v>OK</v>
      </c>
      <c r="N711" s="12">
        <f t="shared" si="34"/>
        <v>1</v>
      </c>
      <c r="O711" s="12">
        <f>SUMIFS($D$2:D711,$B$2:B711,B711)/SUMIFS($D$2:$D$741,$B$2:$B$741,B711)</f>
        <v>1</v>
      </c>
      <c r="P711" s="9" t="b">
        <f t="shared" si="35"/>
        <v>1</v>
      </c>
      <c r="Q711" s="9" t="s">
        <v>23</v>
      </c>
      <c r="R711" s="9" t="s">
        <v>105</v>
      </c>
      <c r="S711" s="9" t="s">
        <v>25</v>
      </c>
      <c r="T711" s="9" t="s">
        <v>106</v>
      </c>
    </row>
    <row r="712" spans="1:20" x14ac:dyDescent="0.45">
      <c r="A712" s="9" t="s">
        <v>898</v>
      </c>
      <c r="B712" s="9" t="s">
        <v>899</v>
      </c>
      <c r="C712" s="10">
        <v>1</v>
      </c>
      <c r="D712" s="10">
        <v>124</v>
      </c>
      <c r="E712" s="10">
        <v>123</v>
      </c>
      <c r="F712" s="10">
        <v>2</v>
      </c>
      <c r="G712" s="10">
        <v>0</v>
      </c>
      <c r="H712" s="10">
        <v>122</v>
      </c>
      <c r="I712" s="11">
        <v>1</v>
      </c>
      <c r="J712" s="11">
        <v>2.1</v>
      </c>
      <c r="K712" s="11">
        <v>3</v>
      </c>
      <c r="L712" s="11">
        <v>3</v>
      </c>
      <c r="M712" s="9" t="str">
        <f t="shared" si="33"/>
        <v>OK</v>
      </c>
      <c r="N712" s="12">
        <f t="shared" si="34"/>
        <v>0.65608465608465605</v>
      </c>
      <c r="O712" s="12">
        <f>SUMIFS($D$2:D712,$B$2:B712,B712)/SUMIFS($D$2:$D$741,$B$2:$B$741,B712)</f>
        <v>0.65608465608465605</v>
      </c>
      <c r="P712" s="9" t="b">
        <f t="shared" si="35"/>
        <v>1</v>
      </c>
      <c r="Q712" s="9" t="s">
        <v>23</v>
      </c>
      <c r="R712" s="9" t="s">
        <v>30</v>
      </c>
      <c r="S712" s="9" t="s">
        <v>25</v>
      </c>
      <c r="T712" s="9" t="s">
        <v>31</v>
      </c>
    </row>
    <row r="713" spans="1:20" x14ac:dyDescent="0.45">
      <c r="A713" s="4" t="s">
        <v>900</v>
      </c>
      <c r="B713" s="4" t="s">
        <v>899</v>
      </c>
      <c r="C713" s="5">
        <v>1</v>
      </c>
      <c r="D713" s="5">
        <v>25</v>
      </c>
      <c r="E713" s="5">
        <v>7</v>
      </c>
      <c r="F713" s="5">
        <v>0</v>
      </c>
      <c r="G713" s="5">
        <v>0</v>
      </c>
      <c r="H713" s="5">
        <v>25</v>
      </c>
      <c r="I713" s="6">
        <v>0</v>
      </c>
      <c r="J713" s="6">
        <v>0</v>
      </c>
      <c r="K713" s="6">
        <v>0</v>
      </c>
      <c r="L713" s="6">
        <v>0</v>
      </c>
      <c r="M713" s="4" t="str">
        <f t="shared" si="33"/>
        <v>OK</v>
      </c>
      <c r="N713" s="7">
        <f t="shared" si="34"/>
        <v>0.13227513227513227</v>
      </c>
      <c r="O713" s="7">
        <f>SUMIFS($D$2:D713,$B$2:B713,B713)/SUMIFS($D$2:$D$741,$B$2:$B$741,B713)</f>
        <v>0.78835978835978837</v>
      </c>
      <c r="P713" s="4" t="b">
        <f t="shared" si="35"/>
        <v>1</v>
      </c>
      <c r="Q713" s="4" t="s">
        <v>23</v>
      </c>
      <c r="R713" s="4" t="s">
        <v>30</v>
      </c>
      <c r="S713" s="4" t="s">
        <v>25</v>
      </c>
      <c r="T713" s="4" t="s">
        <v>31</v>
      </c>
    </row>
    <row r="714" spans="1:20" x14ac:dyDescent="0.45">
      <c r="A714" s="4" t="s">
        <v>901</v>
      </c>
      <c r="B714" s="4" t="s">
        <v>899</v>
      </c>
      <c r="C714" s="5">
        <v>1</v>
      </c>
      <c r="D714" s="5">
        <v>22</v>
      </c>
      <c r="E714" s="5">
        <v>12</v>
      </c>
      <c r="F714" s="5">
        <v>0</v>
      </c>
      <c r="G714" s="5">
        <v>0</v>
      </c>
      <c r="H714" s="5">
        <v>22</v>
      </c>
      <c r="I714" s="6">
        <v>4</v>
      </c>
      <c r="J714" s="6">
        <v>11.2</v>
      </c>
      <c r="K714" s="6">
        <v>7</v>
      </c>
      <c r="L714" s="6">
        <v>7</v>
      </c>
      <c r="M714" s="4" t="str">
        <f t="shared" si="33"/>
        <v>OK</v>
      </c>
      <c r="N714" s="7">
        <f t="shared" si="34"/>
        <v>0.1164021164021164</v>
      </c>
      <c r="O714" s="7">
        <f>SUMIFS($D$2:D714,$B$2:B714,B714)/SUMIFS($D$2:$D$741,$B$2:$B$741,B714)</f>
        <v>0.90476190476190477</v>
      </c>
      <c r="P714" s="4" t="b">
        <f t="shared" si="35"/>
        <v>1</v>
      </c>
      <c r="Q714" s="4" t="s">
        <v>23</v>
      </c>
      <c r="R714" s="4" t="s">
        <v>30</v>
      </c>
      <c r="S714" s="4" t="s">
        <v>25</v>
      </c>
      <c r="T714" s="4" t="s">
        <v>31</v>
      </c>
    </row>
    <row r="715" spans="1:20" x14ac:dyDescent="0.45">
      <c r="A715" s="4" t="s">
        <v>902</v>
      </c>
      <c r="B715" s="4" t="s">
        <v>899</v>
      </c>
      <c r="C715" s="5">
        <v>2</v>
      </c>
      <c r="D715" s="5">
        <v>11</v>
      </c>
      <c r="E715" s="5">
        <v>2</v>
      </c>
      <c r="F715" s="5">
        <v>4</v>
      </c>
      <c r="G715" s="5">
        <v>4</v>
      </c>
      <c r="H715" s="5">
        <v>7</v>
      </c>
      <c r="I715" s="6">
        <v>6</v>
      </c>
      <c r="J715" s="6">
        <v>8.1</v>
      </c>
      <c r="K715" s="6">
        <v>15</v>
      </c>
      <c r="L715" s="6">
        <v>15.4</v>
      </c>
      <c r="M715" s="4" t="str">
        <f t="shared" si="33"/>
        <v>OK</v>
      </c>
      <c r="N715" s="7">
        <f t="shared" si="34"/>
        <v>5.8201058201058198E-2</v>
      </c>
      <c r="O715" s="7">
        <f>SUMIFS($D$2:D715,$B$2:B715,B715)/SUMIFS($D$2:$D$741,$B$2:$B$741,B715)</f>
        <v>0.96296296296296291</v>
      </c>
      <c r="P715" s="4" t="b">
        <f t="shared" si="35"/>
        <v>1</v>
      </c>
      <c r="Q715" s="4" t="s">
        <v>23</v>
      </c>
      <c r="R715" s="4" t="s">
        <v>30</v>
      </c>
      <c r="S715" s="4" t="s">
        <v>25</v>
      </c>
      <c r="T715" s="4" t="s">
        <v>31</v>
      </c>
    </row>
    <row r="716" spans="1:20" x14ac:dyDescent="0.45">
      <c r="A716" s="4" t="s">
        <v>903</v>
      </c>
      <c r="B716" s="4" t="s">
        <v>899</v>
      </c>
      <c r="C716" s="5">
        <v>1</v>
      </c>
      <c r="D716" s="5">
        <v>4</v>
      </c>
      <c r="E716" s="5">
        <v>2</v>
      </c>
      <c r="F716" s="5">
        <v>0</v>
      </c>
      <c r="G716" s="5">
        <v>0</v>
      </c>
      <c r="H716" s="5">
        <v>4</v>
      </c>
      <c r="I716" s="6">
        <v>1</v>
      </c>
      <c r="J716" s="6">
        <v>1</v>
      </c>
      <c r="K716" s="6">
        <v>2</v>
      </c>
      <c r="L716" s="6">
        <v>1.7</v>
      </c>
      <c r="M716" s="4" t="str">
        <f t="shared" si="33"/>
        <v>OK</v>
      </c>
      <c r="N716" s="7">
        <f t="shared" si="34"/>
        <v>2.1164021164021163E-2</v>
      </c>
      <c r="O716" s="7">
        <f>SUMIFS($D$2:D716,$B$2:B716,B716)/SUMIFS($D$2:$D$741,$B$2:$B$741,B716)</f>
        <v>0.98412698412698407</v>
      </c>
      <c r="P716" s="4" t="b">
        <f t="shared" si="35"/>
        <v>0</v>
      </c>
      <c r="Q716" s="4" t="s">
        <v>23</v>
      </c>
      <c r="R716" s="4" t="s">
        <v>30</v>
      </c>
      <c r="S716" s="4" t="s">
        <v>25</v>
      </c>
      <c r="T716" s="4" t="s">
        <v>31</v>
      </c>
    </row>
    <row r="717" spans="1:20" x14ac:dyDescent="0.45">
      <c r="A717" s="4" t="s">
        <v>904</v>
      </c>
      <c r="B717" s="4" t="s">
        <v>899</v>
      </c>
      <c r="C717" s="5">
        <v>1</v>
      </c>
      <c r="D717" s="5">
        <v>3</v>
      </c>
      <c r="E717" s="5">
        <v>2</v>
      </c>
      <c r="F717" s="5">
        <v>1</v>
      </c>
      <c r="G717" s="5">
        <v>0</v>
      </c>
      <c r="H717" s="5">
        <v>2</v>
      </c>
      <c r="I717" s="6">
        <v>10</v>
      </c>
      <c r="J717" s="6">
        <v>10</v>
      </c>
      <c r="K717" s="6">
        <v>14</v>
      </c>
      <c r="L717" s="6">
        <v>14</v>
      </c>
      <c r="M717" s="4" t="str">
        <f t="shared" si="33"/>
        <v>OK</v>
      </c>
      <c r="N717" s="7">
        <f t="shared" si="34"/>
        <v>1.5873015873015872E-2</v>
      </c>
      <c r="O717" s="7">
        <f>SUMIFS($D$2:D717,$B$2:B717,B717)/SUMIFS($D$2:$D$741,$B$2:$B$741,B717)</f>
        <v>1</v>
      </c>
      <c r="P717" s="4" t="b">
        <f t="shared" si="35"/>
        <v>0</v>
      </c>
      <c r="Q717" s="4" t="s">
        <v>23</v>
      </c>
      <c r="R717" s="4" t="s">
        <v>30</v>
      </c>
      <c r="S717" s="4" t="s">
        <v>25</v>
      </c>
      <c r="T717" s="4" t="s">
        <v>31</v>
      </c>
    </row>
    <row r="718" spans="1:20" x14ac:dyDescent="0.45">
      <c r="A718" s="9" t="s">
        <v>905</v>
      </c>
      <c r="B718" s="9" t="s">
        <v>906</v>
      </c>
      <c r="C718" s="10">
        <v>1</v>
      </c>
      <c r="D718" s="10">
        <v>210</v>
      </c>
      <c r="E718" s="10">
        <v>204</v>
      </c>
      <c r="F718" s="10">
        <v>11</v>
      </c>
      <c r="G718" s="10">
        <v>0</v>
      </c>
      <c r="H718" s="10">
        <v>199</v>
      </c>
      <c r="I718" s="11">
        <v>3</v>
      </c>
      <c r="J718" s="11">
        <v>8.4</v>
      </c>
      <c r="K718" s="11">
        <v>19</v>
      </c>
      <c r="L718" s="11">
        <v>18.600000000000001</v>
      </c>
      <c r="M718" s="9" t="str">
        <f t="shared" si="33"/>
        <v>OK</v>
      </c>
      <c r="N718" s="12">
        <f t="shared" si="34"/>
        <v>0.8502024291497976</v>
      </c>
      <c r="O718" s="12">
        <f>SUMIFS($D$2:D718,$B$2:B718,B718)/SUMIFS($D$2:$D$741,$B$2:$B$741,B718)</f>
        <v>0.8502024291497976</v>
      </c>
      <c r="P718" s="9" t="b">
        <f t="shared" si="35"/>
        <v>1</v>
      </c>
      <c r="Q718" s="9" t="s">
        <v>23</v>
      </c>
      <c r="R718" s="9" t="s">
        <v>75</v>
      </c>
      <c r="S718" s="9" t="s">
        <v>25</v>
      </c>
      <c r="T718" s="9" t="s">
        <v>76</v>
      </c>
    </row>
    <row r="719" spans="1:20" x14ac:dyDescent="0.45">
      <c r="A719" s="4" t="s">
        <v>907</v>
      </c>
      <c r="B719" s="4" t="s">
        <v>906</v>
      </c>
      <c r="C719" s="5">
        <v>1</v>
      </c>
      <c r="D719" s="5">
        <v>37</v>
      </c>
      <c r="E719" s="5">
        <v>37</v>
      </c>
      <c r="F719" s="5">
        <v>0</v>
      </c>
      <c r="G719" s="5">
        <v>0</v>
      </c>
      <c r="H719" s="5">
        <v>37</v>
      </c>
      <c r="I719" s="6">
        <v>3</v>
      </c>
      <c r="J719" s="6">
        <v>4.5999999999999996</v>
      </c>
      <c r="K719" s="6">
        <v>11</v>
      </c>
      <c r="L719" s="6">
        <v>11.4</v>
      </c>
      <c r="M719" s="4" t="str">
        <f t="shared" si="33"/>
        <v>OK</v>
      </c>
      <c r="N719" s="7">
        <f t="shared" si="34"/>
        <v>0.14979757085020243</v>
      </c>
      <c r="O719" s="7">
        <f>SUMIFS($D$2:D719,$B$2:B719,B719)/SUMIFS($D$2:$D$741,$B$2:$B$741,B719)</f>
        <v>1</v>
      </c>
      <c r="P719" s="4" t="b">
        <f t="shared" si="35"/>
        <v>1</v>
      </c>
      <c r="Q719" s="4" t="s">
        <v>23</v>
      </c>
      <c r="R719" s="4" t="s">
        <v>75</v>
      </c>
      <c r="S719" s="4" t="s">
        <v>25</v>
      </c>
      <c r="T719" s="4" t="s">
        <v>76</v>
      </c>
    </row>
    <row r="720" spans="1:20" x14ac:dyDescent="0.45">
      <c r="A720" s="9" t="s">
        <v>908</v>
      </c>
      <c r="B720" s="9" t="s">
        <v>909</v>
      </c>
      <c r="C720" s="10">
        <v>2</v>
      </c>
      <c r="D720" s="10">
        <v>2</v>
      </c>
      <c r="E720" s="10">
        <v>0</v>
      </c>
      <c r="F720" s="10">
        <v>0</v>
      </c>
      <c r="G720" s="10">
        <v>0</v>
      </c>
      <c r="H720" s="10">
        <v>2</v>
      </c>
      <c r="I720" s="11">
        <v>2.5</v>
      </c>
      <c r="J720" s="11">
        <v>2.5</v>
      </c>
      <c r="K720" s="11">
        <v>4</v>
      </c>
      <c r="L720" s="11">
        <v>4.5</v>
      </c>
      <c r="M720" s="9" t="str">
        <f t="shared" si="33"/>
        <v>OK</v>
      </c>
      <c r="N720" s="12">
        <f t="shared" si="34"/>
        <v>1</v>
      </c>
      <c r="O720" s="12">
        <f>SUMIFS($D$2:D720,$B$2:B720,B720)/SUMIFS($D$2:$D$741,$B$2:$B$741,B720)</f>
        <v>1</v>
      </c>
      <c r="P720" s="9" t="b">
        <f t="shared" si="35"/>
        <v>1</v>
      </c>
      <c r="Q720" s="9" t="s">
        <v>23</v>
      </c>
      <c r="R720" s="9" t="s">
        <v>105</v>
      </c>
      <c r="S720" s="9" t="s">
        <v>25</v>
      </c>
      <c r="T720" s="9" t="s">
        <v>106</v>
      </c>
    </row>
    <row r="721" spans="1:20" x14ac:dyDescent="0.45">
      <c r="A721" s="9" t="s">
        <v>910</v>
      </c>
      <c r="B721" s="9" t="s">
        <v>911</v>
      </c>
      <c r="C721" s="10">
        <v>1</v>
      </c>
      <c r="D721" s="10">
        <v>1</v>
      </c>
      <c r="E721" s="10">
        <v>0</v>
      </c>
      <c r="F721" s="10">
        <v>0</v>
      </c>
      <c r="G721" s="10">
        <v>0</v>
      </c>
      <c r="H721" s="10">
        <v>1</v>
      </c>
      <c r="I721" s="11">
        <v>0</v>
      </c>
      <c r="J721" s="11">
        <v>0</v>
      </c>
      <c r="K721" s="11">
        <v>0</v>
      </c>
      <c r="L721" s="11">
        <v>0</v>
      </c>
      <c r="M721" s="9" t="str">
        <f t="shared" si="33"/>
        <v>OK</v>
      </c>
      <c r="N721" s="12">
        <f t="shared" si="34"/>
        <v>1</v>
      </c>
      <c r="O721" s="12">
        <f>SUMIFS($D$2:D721,$B$2:B721,B721)/SUMIFS($D$2:$D$741,$B$2:$B$741,B721)</f>
        <v>1</v>
      </c>
      <c r="P721" s="9" t="b">
        <f t="shared" si="35"/>
        <v>1</v>
      </c>
      <c r="Q721" s="9" t="s">
        <v>23</v>
      </c>
      <c r="R721" s="9" t="s">
        <v>24</v>
      </c>
      <c r="S721" s="9" t="s">
        <v>25</v>
      </c>
      <c r="T721" s="9" t="s">
        <v>26</v>
      </c>
    </row>
    <row r="722" spans="1:20" x14ac:dyDescent="0.45">
      <c r="A722" s="9" t="s">
        <v>912</v>
      </c>
      <c r="B722" s="9" t="s">
        <v>913</v>
      </c>
      <c r="C722" s="10">
        <v>2</v>
      </c>
      <c r="D722" s="10">
        <v>414</v>
      </c>
      <c r="E722" s="10">
        <v>85</v>
      </c>
      <c r="F722" s="10">
        <v>2</v>
      </c>
      <c r="G722" s="10">
        <v>2</v>
      </c>
      <c r="H722" s="10">
        <v>412</v>
      </c>
      <c r="I722" s="11">
        <v>4</v>
      </c>
      <c r="J722" s="11">
        <v>8</v>
      </c>
      <c r="K722" s="11">
        <v>14</v>
      </c>
      <c r="L722" s="11">
        <v>14</v>
      </c>
      <c r="M722" s="9" t="str">
        <f t="shared" si="33"/>
        <v>OK</v>
      </c>
      <c r="N722" s="12">
        <f t="shared" si="34"/>
        <v>1</v>
      </c>
      <c r="O722" s="12">
        <f>SUMIFS($D$2:D722,$B$2:B722,B722)/SUMIFS($D$2:$D$741,$B$2:$B$741,B722)</f>
        <v>1</v>
      </c>
      <c r="P722" s="9" t="b">
        <f t="shared" si="35"/>
        <v>1</v>
      </c>
      <c r="Q722" s="9" t="s">
        <v>23</v>
      </c>
      <c r="R722" s="9" t="s">
        <v>30</v>
      </c>
      <c r="S722" s="9" t="s">
        <v>25</v>
      </c>
      <c r="T722" s="9" t="s">
        <v>31</v>
      </c>
    </row>
    <row r="723" spans="1:20" x14ac:dyDescent="0.45">
      <c r="A723" s="9" t="s">
        <v>914</v>
      </c>
      <c r="B723" s="9" t="s">
        <v>915</v>
      </c>
      <c r="C723" s="10">
        <v>2</v>
      </c>
      <c r="D723" s="10">
        <v>545</v>
      </c>
      <c r="E723" s="10">
        <v>0</v>
      </c>
      <c r="F723" s="10">
        <v>0</v>
      </c>
      <c r="G723" s="10">
        <v>0</v>
      </c>
      <c r="H723" s="10">
        <v>545</v>
      </c>
      <c r="I723" s="11">
        <v>2</v>
      </c>
      <c r="J723" s="11">
        <v>4.0999999999999996</v>
      </c>
      <c r="K723" s="11">
        <v>10</v>
      </c>
      <c r="L723" s="11">
        <v>10</v>
      </c>
      <c r="M723" s="9" t="str">
        <f t="shared" si="33"/>
        <v>OK</v>
      </c>
      <c r="N723" s="12">
        <f t="shared" si="34"/>
        <v>0.89198036006546644</v>
      </c>
      <c r="O723" s="12">
        <f>SUMIFS($D$2:D723,$B$2:B723,B723)/SUMIFS($D$2:$D$741,$B$2:$B$741,B723)</f>
        <v>0.89198036006546644</v>
      </c>
      <c r="P723" s="9" t="b">
        <f t="shared" si="35"/>
        <v>1</v>
      </c>
      <c r="Q723" s="9" t="s">
        <v>23</v>
      </c>
      <c r="R723" s="9" t="s">
        <v>24</v>
      </c>
      <c r="S723" s="9" t="s">
        <v>25</v>
      </c>
      <c r="T723" s="9" t="s">
        <v>26</v>
      </c>
    </row>
    <row r="724" spans="1:20" x14ac:dyDescent="0.45">
      <c r="A724" s="4" t="s">
        <v>916</v>
      </c>
      <c r="B724" s="4" t="s">
        <v>915</v>
      </c>
      <c r="C724" s="5">
        <v>2</v>
      </c>
      <c r="D724" s="5">
        <v>66</v>
      </c>
      <c r="E724" s="5">
        <v>0</v>
      </c>
      <c r="F724" s="5">
        <v>0</v>
      </c>
      <c r="G724" s="5">
        <v>0</v>
      </c>
      <c r="H724" s="5">
        <v>66</v>
      </c>
      <c r="I724" s="6">
        <v>19</v>
      </c>
      <c r="J724" s="6">
        <v>21</v>
      </c>
      <c r="K724" s="6">
        <v>34</v>
      </c>
      <c r="L724" s="6">
        <v>34.5</v>
      </c>
      <c r="M724" s="4" t="str">
        <f t="shared" si="33"/>
        <v>OK</v>
      </c>
      <c r="N724" s="7">
        <f t="shared" si="34"/>
        <v>0.10801963993453355</v>
      </c>
      <c r="O724" s="7">
        <f>SUMIFS($D$2:D724,$B$2:B724,B724)/SUMIFS($D$2:$D$741,$B$2:$B$741,B724)</f>
        <v>1</v>
      </c>
      <c r="P724" s="4" t="b">
        <f t="shared" si="35"/>
        <v>1</v>
      </c>
      <c r="Q724" s="4" t="s">
        <v>23</v>
      </c>
      <c r="R724" s="4" t="s">
        <v>289</v>
      </c>
      <c r="S724" s="4" t="s">
        <v>25</v>
      </c>
      <c r="T724" s="4" t="s">
        <v>290</v>
      </c>
    </row>
    <row r="725" spans="1:20" x14ac:dyDescent="0.45">
      <c r="A725" s="9" t="s">
        <v>917</v>
      </c>
      <c r="B725" s="9" t="s">
        <v>918</v>
      </c>
      <c r="C725" s="10">
        <v>2</v>
      </c>
      <c r="D725" s="10">
        <v>275</v>
      </c>
      <c r="E725" s="10">
        <v>0</v>
      </c>
      <c r="F725" s="10">
        <v>0</v>
      </c>
      <c r="G725" s="10">
        <v>0</v>
      </c>
      <c r="H725" s="10">
        <v>275</v>
      </c>
      <c r="I725" s="11">
        <v>5</v>
      </c>
      <c r="J725" s="11">
        <v>8.1999999999999993</v>
      </c>
      <c r="K725" s="11">
        <v>21</v>
      </c>
      <c r="L725" s="11">
        <v>21</v>
      </c>
      <c r="M725" s="9" t="str">
        <f t="shared" si="33"/>
        <v>OK</v>
      </c>
      <c r="N725" s="12">
        <f t="shared" si="34"/>
        <v>1</v>
      </c>
      <c r="O725" s="12">
        <f>SUMIFS($D$2:D725,$B$2:B725,B725)/SUMIFS($D$2:$D$741,$B$2:$B$741,B725)</f>
        <v>1</v>
      </c>
      <c r="P725" s="9" t="b">
        <f t="shared" si="35"/>
        <v>1</v>
      </c>
      <c r="Q725" s="9" t="s">
        <v>23</v>
      </c>
      <c r="R725" s="9" t="s">
        <v>289</v>
      </c>
      <c r="S725" s="9" t="s">
        <v>25</v>
      </c>
      <c r="T725" s="9" t="s">
        <v>290</v>
      </c>
    </row>
    <row r="726" spans="1:20" x14ac:dyDescent="0.45">
      <c r="A726" s="9" t="s">
        <v>919</v>
      </c>
      <c r="B726" s="9" t="s">
        <v>920</v>
      </c>
      <c r="C726" s="10">
        <v>1</v>
      </c>
      <c r="D726" s="10">
        <v>1</v>
      </c>
      <c r="E726" s="10">
        <v>0</v>
      </c>
      <c r="F726" s="10">
        <v>0</v>
      </c>
      <c r="G726" s="10">
        <v>0</v>
      </c>
      <c r="H726" s="10">
        <v>1</v>
      </c>
      <c r="I726" s="11">
        <v>0</v>
      </c>
      <c r="J726" s="11">
        <v>0</v>
      </c>
      <c r="K726" s="11">
        <v>0</v>
      </c>
      <c r="L726" s="11">
        <v>0</v>
      </c>
      <c r="M726" s="9" t="str">
        <f t="shared" si="33"/>
        <v>OK</v>
      </c>
      <c r="N726" s="12">
        <f t="shared" si="34"/>
        <v>1</v>
      </c>
      <c r="O726" s="12">
        <f>SUMIFS($D$2:D726,$B$2:B726,B726)/SUMIFS($D$2:$D$741,$B$2:$B$741,B726)</f>
        <v>1</v>
      </c>
      <c r="P726" s="9" t="b">
        <f t="shared" si="35"/>
        <v>1</v>
      </c>
      <c r="Q726" s="9" t="s">
        <v>23</v>
      </c>
      <c r="R726" s="9" t="s">
        <v>75</v>
      </c>
      <c r="S726" s="9" t="s">
        <v>25</v>
      </c>
      <c r="T726" s="9" t="s">
        <v>76</v>
      </c>
    </row>
    <row r="727" spans="1:20" x14ac:dyDescent="0.45">
      <c r="A727" s="9" t="s">
        <v>921</v>
      </c>
      <c r="B727" s="9" t="s">
        <v>922</v>
      </c>
      <c r="C727" s="10">
        <v>1</v>
      </c>
      <c r="D727" s="10">
        <v>1</v>
      </c>
      <c r="E727" s="10">
        <v>0</v>
      </c>
      <c r="F727" s="10">
        <v>0</v>
      </c>
      <c r="G727" s="10">
        <v>0</v>
      </c>
      <c r="H727" s="10">
        <v>1</v>
      </c>
      <c r="I727" s="11">
        <v>0</v>
      </c>
      <c r="J727" s="11">
        <v>0</v>
      </c>
      <c r="K727" s="11">
        <v>0</v>
      </c>
      <c r="L727" s="11">
        <v>0</v>
      </c>
      <c r="M727" s="9" t="str">
        <f t="shared" si="33"/>
        <v>OK</v>
      </c>
      <c r="N727" s="12">
        <f t="shared" si="34"/>
        <v>1</v>
      </c>
      <c r="O727" s="12">
        <f>SUMIFS($D$2:D727,$B$2:B727,B727)/SUMIFS($D$2:$D$741,$B$2:$B$741,B727)</f>
        <v>1</v>
      </c>
      <c r="P727" s="9" t="b">
        <f t="shared" si="35"/>
        <v>1</v>
      </c>
      <c r="Q727" s="9" t="s">
        <v>23</v>
      </c>
      <c r="R727" s="9" t="s">
        <v>75</v>
      </c>
      <c r="S727" s="9" t="s">
        <v>25</v>
      </c>
      <c r="T727" s="9" t="s">
        <v>76</v>
      </c>
    </row>
    <row r="728" spans="1:20" x14ac:dyDescent="0.45">
      <c r="A728" s="9" t="s">
        <v>923</v>
      </c>
      <c r="B728" s="9" t="s">
        <v>924</v>
      </c>
      <c r="C728" s="10">
        <v>2</v>
      </c>
      <c r="D728" s="10">
        <v>154</v>
      </c>
      <c r="E728" s="10">
        <v>0</v>
      </c>
      <c r="F728" s="10">
        <v>0</v>
      </c>
      <c r="G728" s="10">
        <v>0</v>
      </c>
      <c r="H728" s="10">
        <v>154</v>
      </c>
      <c r="I728" s="11">
        <v>0</v>
      </c>
      <c r="J728" s="11">
        <v>8.1999999999999993</v>
      </c>
      <c r="K728" s="11">
        <v>30</v>
      </c>
      <c r="L728" s="11">
        <v>29.7</v>
      </c>
      <c r="M728" s="9" t="str">
        <f t="shared" si="33"/>
        <v>OK</v>
      </c>
      <c r="N728" s="12">
        <f t="shared" si="34"/>
        <v>0.48427672955974843</v>
      </c>
      <c r="O728" s="12">
        <f>SUMIFS($D$2:D728,$B$2:B728,B728)/SUMIFS($D$2:$D$741,$B$2:$B$741,B728)</f>
        <v>0.48427672955974843</v>
      </c>
      <c r="P728" s="9" t="b">
        <f t="shared" si="35"/>
        <v>1</v>
      </c>
      <c r="Q728" s="9" t="s">
        <v>23</v>
      </c>
      <c r="R728" s="9" t="s">
        <v>91</v>
      </c>
      <c r="S728" s="9" t="s">
        <v>25</v>
      </c>
      <c r="T728" s="9" t="s">
        <v>92</v>
      </c>
    </row>
    <row r="729" spans="1:20" x14ac:dyDescent="0.45">
      <c r="A729" s="4" t="s">
        <v>925</v>
      </c>
      <c r="B729" s="4" t="s">
        <v>924</v>
      </c>
      <c r="C729" s="5">
        <v>2</v>
      </c>
      <c r="D729" s="5">
        <v>68</v>
      </c>
      <c r="E729" s="5">
        <v>0</v>
      </c>
      <c r="F729" s="5">
        <v>0</v>
      </c>
      <c r="G729" s="5">
        <v>0</v>
      </c>
      <c r="H729" s="5">
        <v>68</v>
      </c>
      <c r="I729" s="6">
        <v>1</v>
      </c>
      <c r="J729" s="6">
        <v>1.9</v>
      </c>
      <c r="K729" s="6">
        <v>4</v>
      </c>
      <c r="L729" s="6">
        <v>4</v>
      </c>
      <c r="M729" s="4" t="str">
        <f t="shared" si="33"/>
        <v>OK</v>
      </c>
      <c r="N729" s="7">
        <f t="shared" si="34"/>
        <v>0.21383647798742139</v>
      </c>
      <c r="O729" s="7">
        <f>SUMIFS($D$2:D729,$B$2:B729,B729)/SUMIFS($D$2:$D$741,$B$2:$B$741,B729)</f>
        <v>0.69811320754716977</v>
      </c>
      <c r="P729" s="4" t="b">
        <f t="shared" si="35"/>
        <v>1</v>
      </c>
      <c r="Q729" s="4" t="s">
        <v>23</v>
      </c>
      <c r="R729" s="4" t="s">
        <v>38</v>
      </c>
      <c r="S729" s="4" t="s">
        <v>25</v>
      </c>
      <c r="T729" s="4" t="s">
        <v>39</v>
      </c>
    </row>
    <row r="730" spans="1:20" x14ac:dyDescent="0.45">
      <c r="A730" s="4" t="s">
        <v>926</v>
      </c>
      <c r="B730" s="4" t="s">
        <v>924</v>
      </c>
      <c r="C730" s="5">
        <v>2</v>
      </c>
      <c r="D730" s="5">
        <v>43</v>
      </c>
      <c r="E730" s="5">
        <v>0</v>
      </c>
      <c r="F730" s="5">
        <v>0</v>
      </c>
      <c r="G730" s="5">
        <v>0</v>
      </c>
      <c r="H730" s="5">
        <v>43</v>
      </c>
      <c r="I730" s="6">
        <v>2</v>
      </c>
      <c r="J730" s="6">
        <v>4.7</v>
      </c>
      <c r="K730" s="6">
        <v>11</v>
      </c>
      <c r="L730" s="6">
        <v>10.8</v>
      </c>
      <c r="M730" s="4" t="str">
        <f t="shared" si="33"/>
        <v>OK</v>
      </c>
      <c r="N730" s="7">
        <f t="shared" si="34"/>
        <v>0.13522012578616352</v>
      </c>
      <c r="O730" s="7">
        <f>SUMIFS($D$2:D730,$B$2:B730,B730)/SUMIFS($D$2:$D$741,$B$2:$B$741,B730)</f>
        <v>0.83333333333333337</v>
      </c>
      <c r="P730" s="4" t="b">
        <f t="shared" si="35"/>
        <v>1</v>
      </c>
      <c r="Q730" s="4" t="s">
        <v>23</v>
      </c>
      <c r="R730" s="4" t="s">
        <v>289</v>
      </c>
      <c r="S730" s="4" t="s">
        <v>25</v>
      </c>
      <c r="T730" s="4" t="s">
        <v>290</v>
      </c>
    </row>
    <row r="731" spans="1:20" x14ac:dyDescent="0.45">
      <c r="A731" s="4" t="s">
        <v>927</v>
      </c>
      <c r="B731" s="4" t="s">
        <v>924</v>
      </c>
      <c r="C731" s="5">
        <v>2</v>
      </c>
      <c r="D731" s="5">
        <v>30</v>
      </c>
      <c r="E731" s="5">
        <v>0</v>
      </c>
      <c r="F731" s="5">
        <v>0</v>
      </c>
      <c r="G731" s="5">
        <v>0</v>
      </c>
      <c r="H731" s="5">
        <v>30</v>
      </c>
      <c r="I731" s="6">
        <v>1</v>
      </c>
      <c r="J731" s="6">
        <v>22.6</v>
      </c>
      <c r="K731" s="6">
        <v>4</v>
      </c>
      <c r="L731" s="6">
        <v>4.4000000000000004</v>
      </c>
      <c r="M731" s="4" t="str">
        <f t="shared" si="33"/>
        <v>OK</v>
      </c>
      <c r="N731" s="7">
        <f t="shared" si="34"/>
        <v>9.4339622641509441E-2</v>
      </c>
      <c r="O731" s="7">
        <f>SUMIFS($D$2:D731,$B$2:B731,B731)/SUMIFS($D$2:$D$741,$B$2:$B$741,B731)</f>
        <v>0.92767295597484278</v>
      </c>
      <c r="P731" s="4" t="b">
        <f t="shared" si="35"/>
        <v>1</v>
      </c>
      <c r="Q731" s="4" t="s">
        <v>23</v>
      </c>
      <c r="R731" s="4" t="s">
        <v>289</v>
      </c>
      <c r="S731" s="4" t="s">
        <v>25</v>
      </c>
      <c r="T731" s="4" t="s">
        <v>290</v>
      </c>
    </row>
    <row r="732" spans="1:20" x14ac:dyDescent="0.45">
      <c r="A732" s="4" t="s">
        <v>928</v>
      </c>
      <c r="B732" s="4" t="s">
        <v>924</v>
      </c>
      <c r="C732" s="5">
        <v>2</v>
      </c>
      <c r="D732" s="5">
        <v>13</v>
      </c>
      <c r="E732" s="5">
        <v>0</v>
      </c>
      <c r="F732" s="5">
        <v>0</v>
      </c>
      <c r="G732" s="5">
        <v>0</v>
      </c>
      <c r="H732" s="5">
        <v>13</v>
      </c>
      <c r="I732" s="6">
        <v>13</v>
      </c>
      <c r="J732" s="6">
        <v>13.2</v>
      </c>
      <c r="K732" s="6">
        <v>19</v>
      </c>
      <c r="L732" s="6">
        <v>19</v>
      </c>
      <c r="M732" s="4" t="str">
        <f t="shared" si="33"/>
        <v>OK</v>
      </c>
      <c r="N732" s="7">
        <f t="shared" si="34"/>
        <v>4.0880503144654086E-2</v>
      </c>
      <c r="O732" s="7">
        <f>SUMIFS($D$2:D732,$B$2:B732,B732)/SUMIFS($D$2:$D$741,$B$2:$B$741,B732)</f>
        <v>0.96855345911949686</v>
      </c>
      <c r="P732" s="4" t="b">
        <f t="shared" si="35"/>
        <v>1</v>
      </c>
      <c r="Q732" s="4" t="s">
        <v>23</v>
      </c>
      <c r="R732" s="4" t="s">
        <v>289</v>
      </c>
      <c r="S732" s="4" t="s">
        <v>25</v>
      </c>
      <c r="T732" s="4" t="s">
        <v>290</v>
      </c>
    </row>
    <row r="733" spans="1:20" x14ac:dyDescent="0.45">
      <c r="A733" s="4" t="s">
        <v>929</v>
      </c>
      <c r="B733" s="4" t="s">
        <v>924</v>
      </c>
      <c r="C733" s="5">
        <v>2</v>
      </c>
      <c r="D733" s="5">
        <v>10</v>
      </c>
      <c r="E733" s="5">
        <v>0</v>
      </c>
      <c r="F733" s="5">
        <v>0</v>
      </c>
      <c r="G733" s="5">
        <v>0</v>
      </c>
      <c r="H733" s="5">
        <v>10</v>
      </c>
      <c r="I733" s="6">
        <v>9.5</v>
      </c>
      <c r="J733" s="6">
        <v>9.1999999999999993</v>
      </c>
      <c r="K733" s="6">
        <v>12</v>
      </c>
      <c r="L733" s="6">
        <v>12.2</v>
      </c>
      <c r="M733" s="4" t="str">
        <f t="shared" si="33"/>
        <v>OK</v>
      </c>
      <c r="N733" s="7">
        <f t="shared" si="34"/>
        <v>3.1446540880503145E-2</v>
      </c>
      <c r="O733" s="7">
        <f>SUMIFS($D$2:D733,$B$2:B733,B733)/SUMIFS($D$2:$D$741,$B$2:$B$741,B733)</f>
        <v>1</v>
      </c>
      <c r="P733" s="4" t="b">
        <f t="shared" si="35"/>
        <v>0</v>
      </c>
      <c r="Q733" s="4" t="s">
        <v>23</v>
      </c>
      <c r="R733" s="4" t="s">
        <v>289</v>
      </c>
      <c r="S733" s="4" t="s">
        <v>25</v>
      </c>
      <c r="T733" s="4" t="s">
        <v>290</v>
      </c>
    </row>
    <row r="734" spans="1:20" x14ac:dyDescent="0.45">
      <c r="A734" s="9" t="s">
        <v>930</v>
      </c>
      <c r="B734" s="9" t="s">
        <v>931</v>
      </c>
      <c r="C734" s="10">
        <v>2</v>
      </c>
      <c r="D734" s="10">
        <v>102</v>
      </c>
      <c r="E734" s="10">
        <v>0</v>
      </c>
      <c r="F734" s="10">
        <v>0</v>
      </c>
      <c r="G734" s="10">
        <v>0</v>
      </c>
      <c r="H734" s="10">
        <v>102</v>
      </c>
      <c r="I734" s="11">
        <v>1</v>
      </c>
      <c r="J734" s="11">
        <v>3.3</v>
      </c>
      <c r="K734" s="11">
        <v>13</v>
      </c>
      <c r="L734" s="11">
        <v>13</v>
      </c>
      <c r="M734" s="9" t="str">
        <f t="shared" si="33"/>
        <v>OK</v>
      </c>
      <c r="N734" s="12">
        <f t="shared" si="34"/>
        <v>1</v>
      </c>
      <c r="O734" s="12">
        <f>SUMIFS($D$2:D734,$B$2:B734,B734)/SUMIFS($D$2:$D$741,$B$2:$B$741,B734)</f>
        <v>1</v>
      </c>
      <c r="P734" s="9" t="b">
        <f t="shared" si="35"/>
        <v>1</v>
      </c>
      <c r="Q734" s="9" t="s">
        <v>23</v>
      </c>
      <c r="R734" s="9" t="s">
        <v>100</v>
      </c>
      <c r="S734" s="9" t="s">
        <v>25</v>
      </c>
      <c r="T734" s="9" t="s">
        <v>101</v>
      </c>
    </row>
    <row r="735" spans="1:20" x14ac:dyDescent="0.45">
      <c r="A735" s="9" t="s">
        <v>932</v>
      </c>
      <c r="B735" s="9" t="s">
        <v>933</v>
      </c>
      <c r="C735" s="10">
        <v>0</v>
      </c>
      <c r="D735" s="10">
        <v>101</v>
      </c>
      <c r="E735" s="10">
        <v>0</v>
      </c>
      <c r="F735" s="10">
        <v>0</v>
      </c>
      <c r="G735" s="10">
        <v>0</v>
      </c>
      <c r="H735" s="10">
        <v>101</v>
      </c>
      <c r="I735" s="11">
        <v>12</v>
      </c>
      <c r="J735" s="11">
        <v>83.2</v>
      </c>
      <c r="K735" s="11">
        <v>257</v>
      </c>
      <c r="L735" s="11">
        <v>257</v>
      </c>
      <c r="M735" s="9" t="str">
        <f t="shared" si="33"/>
        <v>OK</v>
      </c>
      <c r="N735" s="12">
        <f t="shared" si="34"/>
        <v>0.41908713692946059</v>
      </c>
      <c r="O735" s="12">
        <f>SUMIFS($D$2:D735,$B$2:B735,B735)/SUMIFS($D$2:$D$741,$B$2:$B$741,B735)</f>
        <v>0.41908713692946059</v>
      </c>
      <c r="P735" s="9" t="b">
        <f t="shared" si="35"/>
        <v>1</v>
      </c>
      <c r="Q735" s="9" t="s">
        <v>192</v>
      </c>
      <c r="R735" s="9" t="s">
        <v>373</v>
      </c>
      <c r="S735" s="9" t="s">
        <v>109</v>
      </c>
      <c r="T735" s="9" t="s">
        <v>934</v>
      </c>
    </row>
    <row r="736" spans="1:20" x14ac:dyDescent="0.45">
      <c r="A736" s="4" t="s">
        <v>935</v>
      </c>
      <c r="B736" s="4" t="s">
        <v>933</v>
      </c>
      <c r="C736" s="5">
        <v>0</v>
      </c>
      <c r="D736" s="5">
        <v>49</v>
      </c>
      <c r="E736" s="5">
        <v>0</v>
      </c>
      <c r="F736" s="5">
        <v>0</v>
      </c>
      <c r="G736" s="5">
        <v>0</v>
      </c>
      <c r="H736" s="5">
        <v>49</v>
      </c>
      <c r="I736" s="6">
        <v>18</v>
      </c>
      <c r="J736" s="6">
        <v>41.5</v>
      </c>
      <c r="K736" s="6">
        <v>138</v>
      </c>
      <c r="L736" s="6">
        <v>137.80000000000001</v>
      </c>
      <c r="M736" s="4" t="str">
        <f t="shared" si="33"/>
        <v>OK</v>
      </c>
      <c r="N736" s="7">
        <f t="shared" si="34"/>
        <v>0.2033195020746888</v>
      </c>
      <c r="O736" s="7">
        <f>SUMIFS($D$2:D736,$B$2:B736,B736)/SUMIFS($D$2:$D$741,$B$2:$B$741,B736)</f>
        <v>0.62240663900414939</v>
      </c>
      <c r="P736" s="4" t="b">
        <f t="shared" si="35"/>
        <v>1</v>
      </c>
      <c r="Q736" s="4" t="s">
        <v>23</v>
      </c>
      <c r="R736" s="4" t="s">
        <v>289</v>
      </c>
      <c r="S736" s="4" t="s">
        <v>25</v>
      </c>
      <c r="T736" s="4" t="s">
        <v>290</v>
      </c>
    </row>
    <row r="737" spans="1:20" x14ac:dyDescent="0.45">
      <c r="A737" s="4" t="s">
        <v>936</v>
      </c>
      <c r="B737" s="4" t="s">
        <v>933</v>
      </c>
      <c r="C737" s="5">
        <v>0</v>
      </c>
      <c r="D737" s="5">
        <v>36</v>
      </c>
      <c r="E737" s="5">
        <v>0</v>
      </c>
      <c r="F737" s="5">
        <v>0</v>
      </c>
      <c r="G737" s="5">
        <v>0</v>
      </c>
      <c r="H737" s="5">
        <v>36</v>
      </c>
      <c r="I737" s="6">
        <v>2.5</v>
      </c>
      <c r="J737" s="6">
        <v>22</v>
      </c>
      <c r="K737" s="6">
        <v>29</v>
      </c>
      <c r="L737" s="6">
        <v>29</v>
      </c>
      <c r="M737" s="4" t="str">
        <f t="shared" si="33"/>
        <v>OK</v>
      </c>
      <c r="N737" s="7">
        <f t="shared" si="34"/>
        <v>0.14937759336099585</v>
      </c>
      <c r="O737" s="7">
        <f>SUMIFS($D$2:D737,$B$2:B737,B737)/SUMIFS($D$2:$D$741,$B$2:$B$741,B737)</f>
        <v>0.77178423236514526</v>
      </c>
      <c r="P737" s="4" t="b">
        <f t="shared" si="35"/>
        <v>1</v>
      </c>
      <c r="Q737" s="4" t="s">
        <v>192</v>
      </c>
      <c r="R737" s="4" t="s">
        <v>345</v>
      </c>
      <c r="S737" s="4" t="s">
        <v>109</v>
      </c>
      <c r="T737" s="4" t="s">
        <v>377</v>
      </c>
    </row>
    <row r="738" spans="1:20" x14ac:dyDescent="0.45">
      <c r="A738" s="4" t="s">
        <v>937</v>
      </c>
      <c r="B738" s="4" t="s">
        <v>933</v>
      </c>
      <c r="C738" s="5">
        <v>0</v>
      </c>
      <c r="D738" s="5">
        <v>20</v>
      </c>
      <c r="E738" s="5">
        <v>0</v>
      </c>
      <c r="F738" s="5">
        <v>0</v>
      </c>
      <c r="G738" s="5">
        <v>0</v>
      </c>
      <c r="H738" s="5">
        <v>20</v>
      </c>
      <c r="I738" s="6">
        <v>6.5</v>
      </c>
      <c r="J738" s="6">
        <v>22.6</v>
      </c>
      <c r="K738" s="6">
        <v>20</v>
      </c>
      <c r="L738" s="6">
        <v>20.100000000000001</v>
      </c>
      <c r="M738" s="4" t="str">
        <f t="shared" si="33"/>
        <v>OK</v>
      </c>
      <c r="N738" s="7">
        <f t="shared" si="34"/>
        <v>8.2987551867219914E-2</v>
      </c>
      <c r="O738" s="7">
        <f>SUMIFS($D$2:D738,$B$2:B738,B738)/SUMIFS($D$2:$D$741,$B$2:$B$741,B738)</f>
        <v>0.85477178423236511</v>
      </c>
      <c r="P738" s="4" t="b">
        <f t="shared" si="35"/>
        <v>1</v>
      </c>
      <c r="Q738" s="4" t="s">
        <v>23</v>
      </c>
      <c r="R738" s="4" t="s">
        <v>289</v>
      </c>
      <c r="S738" s="4" t="s">
        <v>25</v>
      </c>
      <c r="T738" s="4" t="s">
        <v>290</v>
      </c>
    </row>
    <row r="739" spans="1:20" x14ac:dyDescent="0.45">
      <c r="A739" s="4" t="s">
        <v>938</v>
      </c>
      <c r="B739" s="4" t="s">
        <v>933</v>
      </c>
      <c r="C739" s="5">
        <v>0</v>
      </c>
      <c r="D739" s="5">
        <v>15</v>
      </c>
      <c r="E739" s="5">
        <v>0</v>
      </c>
      <c r="F739" s="5">
        <v>0</v>
      </c>
      <c r="G739" s="5">
        <v>0</v>
      </c>
      <c r="H739" s="5">
        <v>15</v>
      </c>
      <c r="I739" s="6">
        <v>8</v>
      </c>
      <c r="J739" s="6">
        <v>9.1</v>
      </c>
      <c r="K739" s="6">
        <v>20</v>
      </c>
      <c r="L739" s="6">
        <v>20.2</v>
      </c>
      <c r="M739" s="4" t="str">
        <f t="shared" si="33"/>
        <v>OK</v>
      </c>
      <c r="N739" s="7">
        <f t="shared" si="34"/>
        <v>6.2240663900414939E-2</v>
      </c>
      <c r="O739" s="7">
        <f>SUMIFS($D$2:D739,$B$2:B739,B739)/SUMIFS($D$2:$D$741,$B$2:$B$741,B739)</f>
        <v>0.91701244813278004</v>
      </c>
      <c r="P739" s="4" t="b">
        <f t="shared" si="35"/>
        <v>1</v>
      </c>
      <c r="Q739" s="4" t="s">
        <v>23</v>
      </c>
      <c r="R739" s="4" t="s">
        <v>289</v>
      </c>
      <c r="S739" s="4" t="s">
        <v>25</v>
      </c>
      <c r="T739" s="4" t="s">
        <v>290</v>
      </c>
    </row>
    <row r="740" spans="1:20" x14ac:dyDescent="0.45">
      <c r="A740" s="4" t="s">
        <v>939</v>
      </c>
      <c r="B740" s="4" t="s">
        <v>933</v>
      </c>
      <c r="C740" s="5">
        <v>0</v>
      </c>
      <c r="D740" s="5">
        <v>11</v>
      </c>
      <c r="E740" s="5">
        <v>0</v>
      </c>
      <c r="F740" s="5">
        <v>0</v>
      </c>
      <c r="G740" s="5">
        <v>0</v>
      </c>
      <c r="H740" s="5">
        <v>11</v>
      </c>
      <c r="I740" s="6">
        <v>62</v>
      </c>
      <c r="J740" s="6">
        <v>58.3</v>
      </c>
      <c r="K740" s="6">
        <v>132</v>
      </c>
      <c r="L740" s="6">
        <v>132</v>
      </c>
      <c r="M740" s="4" t="str">
        <f t="shared" si="33"/>
        <v>OK</v>
      </c>
      <c r="N740" s="7">
        <f t="shared" si="34"/>
        <v>4.5643153526970952E-2</v>
      </c>
      <c r="O740" s="7">
        <f>SUMIFS($D$2:D740,$B$2:B740,B740)/SUMIFS($D$2:$D$741,$B$2:$B$741,B740)</f>
        <v>0.96265560165975106</v>
      </c>
      <c r="P740" s="4" t="b">
        <f t="shared" si="35"/>
        <v>1</v>
      </c>
      <c r="Q740" s="4" t="s">
        <v>192</v>
      </c>
      <c r="R740" s="4" t="s">
        <v>373</v>
      </c>
      <c r="S740" s="4" t="s">
        <v>25</v>
      </c>
      <c r="T740" s="4" t="s">
        <v>379</v>
      </c>
    </row>
    <row r="741" spans="1:20" x14ac:dyDescent="0.45">
      <c r="A741" s="4" t="s">
        <v>940</v>
      </c>
      <c r="B741" s="4" t="s">
        <v>933</v>
      </c>
      <c r="C741" s="5">
        <v>0</v>
      </c>
      <c r="D741" s="5">
        <v>9</v>
      </c>
      <c r="E741" s="5">
        <v>0</v>
      </c>
      <c r="F741" s="5">
        <v>0</v>
      </c>
      <c r="G741" s="5">
        <v>0</v>
      </c>
      <c r="H741" s="5">
        <v>9</v>
      </c>
      <c r="I741" s="6">
        <v>4</v>
      </c>
      <c r="J741" s="6">
        <v>7.2</v>
      </c>
      <c r="K741" s="6">
        <v>16</v>
      </c>
      <c r="L741" s="6">
        <v>15.6</v>
      </c>
      <c r="M741" s="4" t="str">
        <f t="shared" si="33"/>
        <v>OK</v>
      </c>
      <c r="N741" s="7">
        <f t="shared" si="34"/>
        <v>3.7344398340248962E-2</v>
      </c>
      <c r="O741" s="7">
        <f>SUMIFS($D$2:D741,$B$2:B741,B741)/SUMIFS($D$2:$D$741,$B$2:$B$741,B741)</f>
        <v>1</v>
      </c>
      <c r="P741" s="4" t="b">
        <f t="shared" si="35"/>
        <v>0</v>
      </c>
      <c r="Q741" s="4" t="s">
        <v>23</v>
      </c>
      <c r="R741" s="4" t="s">
        <v>289</v>
      </c>
      <c r="S741" s="4" t="s">
        <v>25</v>
      </c>
      <c r="T741" s="4" t="s">
        <v>290</v>
      </c>
    </row>
  </sheetData>
  <autoFilter ref="A1:T741" xr:uid="{00000000-0009-0000-0000-000000000000}"/>
  <conditionalFormatting sqref="M2:M741">
    <cfRule type="expression" dxfId="7" priority="2">
      <formula>M2&lt;&gt;"OK"</formula>
    </cfRule>
  </conditionalFormatting>
  <conditionalFormatting sqref="Q2:Q741">
    <cfRule type="expression" dxfId="6" priority="3">
      <formula>$Q2="Crew"</formula>
    </cfRule>
  </conditionalFormatting>
  <conditionalFormatting sqref="S2:S741">
    <cfRule type="expression" dxfId="5" priority="4">
      <formula>$S2="Borderline"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57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5" sqref="D15"/>
    </sheetView>
  </sheetViews>
  <sheetFormatPr defaultColWidth="8.6640625" defaultRowHeight="14.25" x14ac:dyDescent="0.45"/>
  <cols>
    <col min="1" max="1" width="6" customWidth="1"/>
    <col min="2" max="2" width="52" customWidth="1"/>
    <col min="3" max="3" width="40" customWidth="1"/>
    <col min="4" max="5" width="10" customWidth="1"/>
    <col min="6" max="6" width="9" customWidth="1"/>
    <col min="7" max="12" width="10" customWidth="1"/>
    <col min="14" max="14" width="12" customWidth="1"/>
  </cols>
  <sheetData>
    <row r="1" spans="1:14" ht="30" customHeight="1" x14ac:dyDescent="0.45">
      <c r="A1" s="1" t="s">
        <v>941</v>
      </c>
      <c r="B1" s="1" t="s">
        <v>0</v>
      </c>
      <c r="C1" s="1" t="s">
        <v>1</v>
      </c>
      <c r="D1" s="1" t="s">
        <v>4</v>
      </c>
      <c r="E1" s="1" t="s">
        <v>3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16</v>
      </c>
      <c r="N1" s="3" t="s">
        <v>41</v>
      </c>
    </row>
    <row r="2" spans="1:14" x14ac:dyDescent="0.45">
      <c r="A2" s="14">
        <v>1</v>
      </c>
      <c r="B2" s="4" t="s">
        <v>647</v>
      </c>
      <c r="C2" s="4" t="str">
        <f>IF('Service Types'!B502="","",'Service Types'!B502)</f>
        <v>OS - Waste and Recycling Services</v>
      </c>
      <c r="D2" s="5">
        <f>IF('Service Types'!E502="","",'Service Types'!E502)</f>
        <v>23454</v>
      </c>
      <c r="E2" s="5">
        <f>IF('Service Types'!D502="","",'Service Types'!D502)</f>
        <v>102428</v>
      </c>
      <c r="F2" s="5">
        <f>IF('Service Types'!F502="","",'Service Types'!F502)</f>
        <v>140</v>
      </c>
      <c r="G2" s="5">
        <f>IF('Service Types'!G502="","",'Service Types'!G502)</f>
        <v>0</v>
      </c>
      <c r="H2" s="5">
        <f>IF('Service Types'!H502="","",'Service Types'!H502)</f>
        <v>102288</v>
      </c>
      <c r="I2" s="6">
        <f>IF('Service Types'!I502="","",'Service Types'!I502)</f>
        <v>3</v>
      </c>
      <c r="J2" s="6">
        <f>IF('Service Types'!J502="","",'Service Types'!J502)</f>
        <v>4.3</v>
      </c>
      <c r="K2" s="6">
        <f>IF('Service Types'!K502="","",'Service Types'!K502)</f>
        <v>8</v>
      </c>
      <c r="L2" s="4" t="str">
        <f>IF('Service Types'!Q502="","",'Service Types'!Q502)</f>
        <v>Crew</v>
      </c>
      <c r="N2" s="4" t="s">
        <v>942</v>
      </c>
    </row>
    <row r="3" spans="1:14" x14ac:dyDescent="0.45">
      <c r="A3" s="14">
        <v>2</v>
      </c>
      <c r="B3" s="4" t="s">
        <v>574</v>
      </c>
      <c r="C3" s="4" t="str">
        <f>IF('Service Types'!B441="","",'Service Types'!B441)</f>
        <v>OS - Parks and Open Spaces</v>
      </c>
      <c r="D3" s="5">
        <f>IF('Service Types'!E441="","",'Service Types'!E441)</f>
        <v>12952</v>
      </c>
      <c r="E3" s="5">
        <f>IF('Service Types'!D441="","",'Service Types'!D441)</f>
        <v>42457</v>
      </c>
      <c r="F3" s="5">
        <f>IF('Service Types'!F441="","",'Service Types'!F441)</f>
        <v>1192</v>
      </c>
      <c r="G3" s="5">
        <f>IF('Service Types'!G441="","",'Service Types'!G441)</f>
        <v>471</v>
      </c>
      <c r="H3" s="5">
        <f>IF('Service Types'!H441="","",'Service Types'!H441)</f>
        <v>41265</v>
      </c>
      <c r="I3" s="6">
        <f>IF('Service Types'!I441="","",'Service Types'!I441)</f>
        <v>7</v>
      </c>
      <c r="J3" s="6">
        <f>IF('Service Types'!J441="","",'Service Types'!J441)</f>
        <v>16.600000000000001</v>
      </c>
      <c r="K3" s="6">
        <f>IF('Service Types'!K441="","",'Service Types'!K441)</f>
        <v>39</v>
      </c>
      <c r="L3" s="4" t="str">
        <f>IF('Service Types'!Q441="","",'Service Types'!Q441)</f>
        <v>Crew</v>
      </c>
      <c r="N3" s="4" t="s">
        <v>943</v>
      </c>
    </row>
    <row r="4" spans="1:14" x14ac:dyDescent="0.45">
      <c r="A4" s="14">
        <v>3</v>
      </c>
      <c r="B4" s="4" t="s">
        <v>191</v>
      </c>
      <c r="C4" s="4" t="str">
        <f>IF('Service Types'!B124="","",'Service Types'!B124)</f>
        <v>CS - Emergency Management and Community Safety</v>
      </c>
      <c r="D4" s="5">
        <f>IF('Service Types'!E124="","",'Service Types'!E124)</f>
        <v>11071</v>
      </c>
      <c r="E4" s="5">
        <f>IF('Service Types'!D124="","",'Service Types'!D124)</f>
        <v>44141</v>
      </c>
      <c r="F4" s="5">
        <f>IF('Service Types'!F124="","",'Service Types'!F124)</f>
        <v>617</v>
      </c>
      <c r="G4" s="5">
        <f>IF('Service Types'!G124="","",'Service Types'!G124)</f>
        <v>293</v>
      </c>
      <c r="H4" s="5">
        <f>IF('Service Types'!H124="","",'Service Types'!H124)</f>
        <v>43523</v>
      </c>
      <c r="I4" s="6">
        <f>IF('Service Types'!I124="","",'Service Types'!I124)</f>
        <v>8</v>
      </c>
      <c r="J4" s="6">
        <f>IF('Service Types'!J124="","",'Service Types'!J124)</f>
        <v>13.5</v>
      </c>
      <c r="K4" s="6">
        <f>IF('Service Types'!K124="","",'Service Types'!K124)</f>
        <v>23</v>
      </c>
      <c r="L4" s="4" t="str">
        <f>IF('Service Types'!Q124="","",'Service Types'!Q124)</f>
        <v>Crew</v>
      </c>
    </row>
    <row r="5" spans="1:14" x14ac:dyDescent="0.45">
      <c r="A5" s="14">
        <v>4</v>
      </c>
      <c r="B5" s="4" t="s">
        <v>195</v>
      </c>
      <c r="C5" s="4" t="str">
        <f>IF('Service Types'!B125="","",'Service Types'!B125)</f>
        <v>CS - Emergency Management and Community Safety</v>
      </c>
      <c r="D5" s="5">
        <f>IF('Service Types'!E125="","",'Service Types'!E125)</f>
        <v>10003</v>
      </c>
      <c r="E5" s="5">
        <f>IF('Service Types'!D125="","",'Service Types'!D125)</f>
        <v>39298</v>
      </c>
      <c r="F5" s="5">
        <f>IF('Service Types'!F125="","",'Service Types'!F125)</f>
        <v>895</v>
      </c>
      <c r="G5" s="5">
        <f>IF('Service Types'!G125="","",'Service Types'!G125)</f>
        <v>180</v>
      </c>
      <c r="H5" s="5">
        <f>IF('Service Types'!H125="","",'Service Types'!H125)</f>
        <v>38403</v>
      </c>
      <c r="I5" s="6">
        <f>IF('Service Types'!I125="","",'Service Types'!I125)</f>
        <v>30</v>
      </c>
      <c r="J5" s="6">
        <f>IF('Service Types'!J125="","",'Service Types'!J125)</f>
        <v>26.5</v>
      </c>
      <c r="K5" s="6">
        <f>IF('Service Types'!K125="","",'Service Types'!K125)</f>
        <v>41</v>
      </c>
      <c r="L5" s="4" t="str">
        <f>IF('Service Types'!Q125="","",'Service Types'!Q125)</f>
        <v>Non-crew</v>
      </c>
    </row>
    <row r="6" spans="1:14" x14ac:dyDescent="0.45">
      <c r="A6" s="14">
        <v>5</v>
      </c>
      <c r="B6" s="4" t="s">
        <v>652</v>
      </c>
      <c r="C6" s="4" t="str">
        <f>IF('Service Types'!B504="","",'Service Types'!B504)</f>
        <v>OS - Waste and Recycling Services</v>
      </c>
      <c r="D6" s="5">
        <f>IF('Service Types'!E504="","",'Service Types'!E504)</f>
        <v>9327</v>
      </c>
      <c r="E6" s="5">
        <f>IF('Service Types'!D504="","",'Service Types'!D504)</f>
        <v>36309</v>
      </c>
      <c r="F6" s="5">
        <f>IF('Service Types'!F504="","",'Service Types'!F504)</f>
        <v>44</v>
      </c>
      <c r="G6" s="5">
        <f>IF('Service Types'!G504="","",'Service Types'!G504)</f>
        <v>0</v>
      </c>
      <c r="H6" s="5">
        <f>IF('Service Types'!H504="","",'Service Types'!H504)</f>
        <v>36265</v>
      </c>
      <c r="I6" s="6">
        <f>IF('Service Types'!I504="","",'Service Types'!I504)</f>
        <v>1</v>
      </c>
      <c r="J6" s="6">
        <f>IF('Service Types'!J504="","",'Service Types'!J504)</f>
        <v>1.6</v>
      </c>
      <c r="K6" s="6">
        <f>IF('Service Types'!K504="","",'Service Types'!K504)</f>
        <v>4</v>
      </c>
      <c r="L6" s="4" t="str">
        <f>IF('Service Types'!Q504="","",'Service Types'!Q504)</f>
        <v>Crew</v>
      </c>
    </row>
    <row r="7" spans="1:14" x14ac:dyDescent="0.45">
      <c r="A7" s="14">
        <v>6</v>
      </c>
      <c r="B7" s="4" t="s">
        <v>651</v>
      </c>
      <c r="C7" s="4" t="str">
        <f>IF('Service Types'!B503="","",'Service Types'!B503)</f>
        <v>OS - Waste and Recycling Services</v>
      </c>
      <c r="D7" s="5">
        <f>IF('Service Types'!E503="","",'Service Types'!E503)</f>
        <v>9256</v>
      </c>
      <c r="E7" s="5">
        <f>IF('Service Types'!D503="","",'Service Types'!D503)</f>
        <v>36710</v>
      </c>
      <c r="F7" s="5">
        <f>IF('Service Types'!F503="","",'Service Types'!F503)</f>
        <v>38</v>
      </c>
      <c r="G7" s="5">
        <f>IF('Service Types'!G503="","",'Service Types'!G503)</f>
        <v>0</v>
      </c>
      <c r="H7" s="5">
        <f>IF('Service Types'!H503="","",'Service Types'!H503)</f>
        <v>36672</v>
      </c>
      <c r="I7" s="6">
        <f>IF('Service Types'!I503="","",'Service Types'!I503)</f>
        <v>1</v>
      </c>
      <c r="J7" s="6">
        <f>IF('Service Types'!J503="","",'Service Types'!J503)</f>
        <v>1.6</v>
      </c>
      <c r="K7" s="6">
        <f>IF('Service Types'!K503="","",'Service Types'!K503)</f>
        <v>4</v>
      </c>
      <c r="L7" s="4" t="str">
        <f>IF('Service Types'!Q503="","",'Service Types'!Q503)</f>
        <v>Crew</v>
      </c>
    </row>
    <row r="8" spans="1:14" x14ac:dyDescent="0.45">
      <c r="A8" s="14">
        <v>7</v>
      </c>
      <c r="B8" s="4" t="s">
        <v>491</v>
      </c>
      <c r="C8" s="4" t="str">
        <f>IF('Service Types'!B370="","",'Service Types'!B370)</f>
        <v>OS - Mobility</v>
      </c>
      <c r="D8" s="5">
        <f>IF('Service Types'!E370="","",'Service Types'!E370)</f>
        <v>7889</v>
      </c>
      <c r="E8" s="5">
        <f>IF('Service Types'!D370="","",'Service Types'!D370)</f>
        <v>34790</v>
      </c>
      <c r="F8" s="5">
        <f>IF('Service Types'!F370="","",'Service Types'!F370)</f>
        <v>990</v>
      </c>
      <c r="G8" s="5">
        <f>IF('Service Types'!G370="","",'Service Types'!G370)</f>
        <v>924</v>
      </c>
      <c r="H8" s="5">
        <f>IF('Service Types'!H370="","",'Service Types'!H370)</f>
        <v>30396</v>
      </c>
      <c r="I8" s="6">
        <f>IF('Service Types'!I370="","",'Service Types'!I370)</f>
        <v>1</v>
      </c>
      <c r="J8" s="6">
        <f>IF('Service Types'!J370="","",'Service Types'!J370)</f>
        <v>5.9</v>
      </c>
      <c r="K8" s="6">
        <f>IF('Service Types'!K370="","",'Service Types'!K370)</f>
        <v>6</v>
      </c>
      <c r="L8" s="4" t="str">
        <f>IF('Service Types'!Q370="","",'Service Types'!Q370)</f>
        <v>Crew</v>
      </c>
    </row>
    <row r="9" spans="1:14" x14ac:dyDescent="0.45">
      <c r="A9" s="14">
        <v>8</v>
      </c>
      <c r="B9" s="4" t="s">
        <v>197</v>
      </c>
      <c r="C9" s="4" t="str">
        <f>IF('Service Types'!B126="","",'Service Types'!B126)</f>
        <v>CS - Emergency Management and Community Safety</v>
      </c>
      <c r="D9" s="5">
        <f>IF('Service Types'!E126="","",'Service Types'!E126)</f>
        <v>7844</v>
      </c>
      <c r="E9" s="5">
        <f>IF('Service Types'!D126="","",'Service Types'!D126)</f>
        <v>33965</v>
      </c>
      <c r="F9" s="5">
        <f>IF('Service Types'!F126="","",'Service Types'!F126)</f>
        <v>694</v>
      </c>
      <c r="G9" s="5">
        <f>IF('Service Types'!G126="","",'Service Types'!G126)</f>
        <v>309</v>
      </c>
      <c r="H9" s="5">
        <f>IF('Service Types'!H126="","",'Service Types'!H126)</f>
        <v>33271</v>
      </c>
      <c r="I9" s="6">
        <f>IF('Service Types'!I126="","",'Service Types'!I126)</f>
        <v>5</v>
      </c>
      <c r="J9" s="6">
        <f>IF('Service Types'!J126="","",'Service Types'!J126)</f>
        <v>15.1</v>
      </c>
      <c r="K9" s="6">
        <f>IF('Service Types'!K126="","",'Service Types'!K126)</f>
        <v>33</v>
      </c>
      <c r="L9" s="4" t="str">
        <f>IF('Service Types'!Q126="","",'Service Types'!Q126)</f>
        <v>Non-crew</v>
      </c>
    </row>
    <row r="10" spans="1:14" x14ac:dyDescent="0.45">
      <c r="A10" s="14">
        <v>9</v>
      </c>
      <c r="B10" s="4" t="s">
        <v>36</v>
      </c>
      <c r="C10" s="4" t="str">
        <f>IF('Service Types'!B5="","",'Service Types'!B5)</f>
        <v>CPFS - Assessment and Tax</v>
      </c>
      <c r="D10" s="5">
        <f>IF('Service Types'!E5="","",'Service Types'!E5)</f>
        <v>7326</v>
      </c>
      <c r="E10" s="5">
        <f>IF('Service Types'!D5="","",'Service Types'!D5)</f>
        <v>50951</v>
      </c>
      <c r="F10" s="5">
        <f>IF('Service Types'!F5="","",'Service Types'!F5)</f>
        <v>0</v>
      </c>
      <c r="G10" s="5">
        <f>IF('Service Types'!G5="","",'Service Types'!G5)</f>
        <v>0</v>
      </c>
      <c r="H10" s="5">
        <f>IF('Service Types'!H5="","",'Service Types'!H5)</f>
        <v>50951</v>
      </c>
      <c r="I10" s="6">
        <f>IF('Service Types'!I5="","",'Service Types'!I5)</f>
        <v>3</v>
      </c>
      <c r="J10" s="6">
        <f>IF('Service Types'!J5="","",'Service Types'!J5)</f>
        <v>6.7</v>
      </c>
      <c r="K10" s="6">
        <f>IF('Service Types'!K5="","",'Service Types'!K5)</f>
        <v>10</v>
      </c>
      <c r="L10" s="4" t="str">
        <f>IF('Service Types'!Q5="","",'Service Types'!Q5)</f>
        <v>Non-crew</v>
      </c>
    </row>
    <row r="11" spans="1:14" x14ac:dyDescent="0.45">
      <c r="A11" s="14">
        <v>10</v>
      </c>
      <c r="B11" s="4" t="s">
        <v>46</v>
      </c>
      <c r="C11" s="4" t="str">
        <f>IF('Service Types'!B9="","",'Service Types'!B9)</f>
        <v>CPFS - Assessment and Tax</v>
      </c>
      <c r="D11" s="5">
        <f>IF('Service Types'!E9="","",'Service Types'!E9)</f>
        <v>7307</v>
      </c>
      <c r="E11" s="5">
        <f>IF('Service Types'!D9="","",'Service Types'!D9)</f>
        <v>9159</v>
      </c>
      <c r="F11" s="5">
        <f>IF('Service Types'!F9="","",'Service Types'!F9)</f>
        <v>24</v>
      </c>
      <c r="G11" s="5">
        <f>IF('Service Types'!G9="","",'Service Types'!G9)</f>
        <v>0</v>
      </c>
      <c r="H11" s="5">
        <f>IF('Service Types'!H9="","",'Service Types'!H9)</f>
        <v>9135</v>
      </c>
      <c r="I11" s="6">
        <f>IF('Service Types'!I9="","",'Service Types'!I9)</f>
        <v>4</v>
      </c>
      <c r="J11" s="6">
        <f>IF('Service Types'!J9="","",'Service Types'!J9)</f>
        <v>8.8000000000000007</v>
      </c>
      <c r="K11" s="6">
        <f>IF('Service Types'!K9="","",'Service Types'!K9)</f>
        <v>16</v>
      </c>
      <c r="L11" s="4" t="str">
        <f>IF('Service Types'!Q9="","",'Service Types'!Q9)</f>
        <v>Non-crew</v>
      </c>
    </row>
    <row r="12" spans="1:14" x14ac:dyDescent="0.45">
      <c r="A12" s="14">
        <v>11</v>
      </c>
      <c r="B12" s="4" t="s">
        <v>653</v>
      </c>
      <c r="C12" s="4" t="str">
        <f>IF('Service Types'!B505="","",'Service Types'!B505)</f>
        <v>OS - Waste and Recycling Services</v>
      </c>
      <c r="D12" s="5">
        <f>IF('Service Types'!E505="","",'Service Types'!E505)</f>
        <v>6896</v>
      </c>
      <c r="E12" s="5">
        <f>IF('Service Types'!D505="","",'Service Types'!D505)</f>
        <v>33263</v>
      </c>
      <c r="F12" s="5">
        <f>IF('Service Types'!F505="","",'Service Types'!F505)</f>
        <v>37</v>
      </c>
      <c r="G12" s="5">
        <f>IF('Service Types'!G505="","",'Service Types'!G505)</f>
        <v>0</v>
      </c>
      <c r="H12" s="5">
        <f>IF('Service Types'!H505="","",'Service Types'!H505)</f>
        <v>33226</v>
      </c>
      <c r="I12" s="6">
        <f>IF('Service Types'!I505="","",'Service Types'!I505)</f>
        <v>1</v>
      </c>
      <c r="J12" s="6">
        <f>IF('Service Types'!J505="","",'Service Types'!J505)</f>
        <v>1.5</v>
      </c>
      <c r="K12" s="6">
        <f>IF('Service Types'!K505="","",'Service Types'!K505)</f>
        <v>4</v>
      </c>
      <c r="L12" s="4" t="str">
        <f>IF('Service Types'!Q505="","",'Service Types'!Q505)</f>
        <v>Crew</v>
      </c>
    </row>
    <row r="13" spans="1:14" x14ac:dyDescent="0.45">
      <c r="A13" s="14">
        <v>12</v>
      </c>
      <c r="B13" s="4" t="s">
        <v>654</v>
      </c>
      <c r="C13" s="4" t="str">
        <f>IF('Service Types'!B506="","",'Service Types'!B506)</f>
        <v>OS - Waste and Recycling Services</v>
      </c>
      <c r="D13" s="5">
        <f>IF('Service Types'!E506="","",'Service Types'!E506)</f>
        <v>6165</v>
      </c>
      <c r="E13" s="5">
        <f>IF('Service Types'!D506="","",'Service Types'!D506)</f>
        <v>30520</v>
      </c>
      <c r="F13" s="5">
        <f>IF('Service Types'!F506="","",'Service Types'!F506)</f>
        <v>55</v>
      </c>
      <c r="G13" s="5">
        <f>IF('Service Types'!G506="","",'Service Types'!G506)</f>
        <v>0</v>
      </c>
      <c r="H13" s="5">
        <f>IF('Service Types'!H506="","",'Service Types'!H506)</f>
        <v>30465</v>
      </c>
      <c r="I13" s="6">
        <f>IF('Service Types'!I506="","",'Service Types'!I506)</f>
        <v>4</v>
      </c>
      <c r="J13" s="6">
        <f>IF('Service Types'!J506="","",'Service Types'!J506)</f>
        <v>5</v>
      </c>
      <c r="K13" s="6">
        <f>IF('Service Types'!K506="","",'Service Types'!K506)</f>
        <v>11</v>
      </c>
      <c r="L13" s="4" t="str">
        <f>IF('Service Types'!Q506="","",'Service Types'!Q506)</f>
        <v>Crew</v>
      </c>
    </row>
    <row r="14" spans="1:14" x14ac:dyDescent="0.45">
      <c r="A14" s="14">
        <v>13</v>
      </c>
      <c r="B14" s="4" t="s">
        <v>494</v>
      </c>
      <c r="C14" s="4" t="str">
        <f>IF('Service Types'!B372="","",'Service Types'!B372)</f>
        <v>OS - Mobility</v>
      </c>
      <c r="D14" s="5">
        <f>IF('Service Types'!E372="","",'Service Types'!E372)</f>
        <v>6096</v>
      </c>
      <c r="E14" s="5">
        <f>IF('Service Types'!D372="","",'Service Types'!D372)</f>
        <v>24787</v>
      </c>
      <c r="F14" s="5">
        <f>IF('Service Types'!F372="","",'Service Types'!F372)</f>
        <v>1454</v>
      </c>
      <c r="G14" s="5">
        <f>IF('Service Types'!G372="","",'Service Types'!G372)</f>
        <v>1262</v>
      </c>
      <c r="H14" s="5">
        <f>IF('Service Types'!H372="","",'Service Types'!H372)</f>
        <v>22427</v>
      </c>
      <c r="I14" s="6">
        <f>IF('Service Types'!I372="","",'Service Types'!I372)</f>
        <v>1</v>
      </c>
      <c r="J14" s="6">
        <f>IF('Service Types'!J372="","",'Service Types'!J372)</f>
        <v>13.3</v>
      </c>
      <c r="K14" s="6">
        <f>IF('Service Types'!K372="","",'Service Types'!K372)</f>
        <v>24</v>
      </c>
      <c r="L14" s="4" t="str">
        <f>IF('Service Types'!Q372="","",'Service Types'!Q372)</f>
        <v>Crew</v>
      </c>
    </row>
    <row r="15" spans="1:14" x14ac:dyDescent="0.45">
      <c r="A15" s="14">
        <v>14</v>
      </c>
      <c r="B15" s="4" t="s">
        <v>188</v>
      </c>
      <c r="C15" s="4" t="str">
        <f>IF('Service Types'!B123="","",'Service Types'!B123)</f>
        <v>CS - Emergency Management and Community Safety</v>
      </c>
      <c r="D15" s="5">
        <f>IF('Service Types'!E123="","",'Service Types'!E123)</f>
        <v>6028</v>
      </c>
      <c r="E15" s="5">
        <f>IF('Service Types'!D123="","",'Service Types'!D123)</f>
        <v>49297</v>
      </c>
      <c r="F15" s="5">
        <f>IF('Service Types'!F123="","",'Service Types'!F123)</f>
        <v>46</v>
      </c>
      <c r="G15" s="5">
        <f>IF('Service Types'!G123="","",'Service Types'!G123)</f>
        <v>46</v>
      </c>
      <c r="H15" s="5">
        <f>IF('Service Types'!H123="","",'Service Types'!H123)</f>
        <v>48657</v>
      </c>
      <c r="I15" s="6">
        <f>IF('Service Types'!I123="","",'Service Types'!I123)</f>
        <v>5</v>
      </c>
      <c r="J15" s="6">
        <f>IF('Service Types'!J123="","",'Service Types'!J123)</f>
        <v>9.3000000000000007</v>
      </c>
      <c r="K15" s="6">
        <f>IF('Service Types'!K123="","",'Service Types'!K123)</f>
        <v>19</v>
      </c>
      <c r="L15" s="4" t="str">
        <f>IF('Service Types'!Q123="","",'Service Types'!Q123)</f>
        <v>Non-crew</v>
      </c>
    </row>
    <row r="16" spans="1:14" x14ac:dyDescent="0.45">
      <c r="A16" s="14">
        <v>15</v>
      </c>
      <c r="B16" s="4" t="s">
        <v>201</v>
      </c>
      <c r="C16" s="4" t="str">
        <f>IF('Service Types'!B128="","",'Service Types'!B128)</f>
        <v>CS - Emergency Management and Community Safety</v>
      </c>
      <c r="D16" s="5">
        <f>IF('Service Types'!E128="","",'Service Types'!E128)</f>
        <v>5598</v>
      </c>
      <c r="E16" s="5">
        <f>IF('Service Types'!D128="","",'Service Types'!D128)</f>
        <v>20961</v>
      </c>
      <c r="F16" s="5">
        <f>IF('Service Types'!F128="","",'Service Types'!F128)</f>
        <v>432</v>
      </c>
      <c r="G16" s="5">
        <f>IF('Service Types'!G128="","",'Service Types'!G128)</f>
        <v>216</v>
      </c>
      <c r="H16" s="5">
        <f>IF('Service Types'!H128="","",'Service Types'!H128)</f>
        <v>20529</v>
      </c>
      <c r="I16" s="6">
        <f>IF('Service Types'!I128="","",'Service Types'!I128)</f>
        <v>5</v>
      </c>
      <c r="J16" s="6">
        <f>IF('Service Types'!J128="","",'Service Types'!J128)</f>
        <v>14.5</v>
      </c>
      <c r="K16" s="6">
        <f>IF('Service Types'!K128="","",'Service Types'!K128)</f>
        <v>34</v>
      </c>
      <c r="L16" s="4" t="str">
        <f>IF('Service Types'!Q128="","",'Service Types'!Q128)</f>
        <v>Non-crew</v>
      </c>
    </row>
    <row r="17" spans="1:12" x14ac:dyDescent="0.45">
      <c r="A17" s="14">
        <v>16</v>
      </c>
      <c r="B17" s="4" t="s">
        <v>199</v>
      </c>
      <c r="C17" s="4" t="str">
        <f>IF('Service Types'!B127="","",'Service Types'!B127)</f>
        <v>CS - Emergency Management and Community Safety</v>
      </c>
      <c r="D17" s="5">
        <f>IF('Service Types'!E127="","",'Service Types'!E127)</f>
        <v>5404</v>
      </c>
      <c r="E17" s="5">
        <f>IF('Service Types'!D127="","",'Service Types'!D127)</f>
        <v>29665</v>
      </c>
      <c r="F17" s="5">
        <f>IF('Service Types'!F127="","",'Service Types'!F127)</f>
        <v>388</v>
      </c>
      <c r="G17" s="5">
        <f>IF('Service Types'!G127="","",'Service Types'!G127)</f>
        <v>165</v>
      </c>
      <c r="H17" s="5">
        <f>IF('Service Types'!H127="","",'Service Types'!H127)</f>
        <v>29277</v>
      </c>
      <c r="I17" s="6">
        <f>IF('Service Types'!I127="","",'Service Types'!I127)</f>
        <v>4</v>
      </c>
      <c r="J17" s="6">
        <f>IF('Service Types'!J127="","",'Service Types'!J127)</f>
        <v>12.7</v>
      </c>
      <c r="K17" s="6">
        <f>IF('Service Types'!K127="","",'Service Types'!K127)</f>
        <v>29</v>
      </c>
      <c r="L17" s="4" t="str">
        <f>IF('Service Types'!Q127="","",'Service Types'!Q127)</f>
        <v>Crew</v>
      </c>
    </row>
    <row r="18" spans="1:12" x14ac:dyDescent="0.45">
      <c r="A18" s="14">
        <v>17</v>
      </c>
      <c r="B18" s="4" t="s">
        <v>495</v>
      </c>
      <c r="C18" s="4" t="str">
        <f>IF('Service Types'!B373="","",'Service Types'!B373)</f>
        <v>OS - Mobility</v>
      </c>
      <c r="D18" s="5">
        <f>IF('Service Types'!E373="","",'Service Types'!E373)</f>
        <v>5375</v>
      </c>
      <c r="E18" s="5">
        <f>IF('Service Types'!D373="","",'Service Types'!D373)</f>
        <v>22676</v>
      </c>
      <c r="F18" s="5">
        <f>IF('Service Types'!F373="","",'Service Types'!F373)</f>
        <v>3812</v>
      </c>
      <c r="G18" s="5">
        <f>IF('Service Types'!G373="","",'Service Types'!G373)</f>
        <v>3328</v>
      </c>
      <c r="H18" s="5">
        <f>IF('Service Types'!H373="","",'Service Types'!H373)</f>
        <v>18864</v>
      </c>
      <c r="I18" s="6">
        <f>IF('Service Types'!I373="","",'Service Types'!I373)</f>
        <v>145</v>
      </c>
      <c r="J18" s="6">
        <f>IF('Service Types'!J373="","",'Service Types'!J373)</f>
        <v>166.9</v>
      </c>
      <c r="K18" s="6">
        <f>IF('Service Types'!K373="","",'Service Types'!K373)</f>
        <v>393</v>
      </c>
      <c r="L18" s="4" t="str">
        <f>IF('Service Types'!Q373="","",'Service Types'!Q373)</f>
        <v>Crew</v>
      </c>
    </row>
    <row r="19" spans="1:12" x14ac:dyDescent="0.45">
      <c r="A19" s="14">
        <v>18</v>
      </c>
      <c r="B19" s="4" t="s">
        <v>296</v>
      </c>
      <c r="C19" s="4" t="str">
        <f>IF('Service Types'!B213="","",'Service Types'!B213)</f>
        <v>CS - Recreation and Social Programs</v>
      </c>
      <c r="D19" s="5">
        <f>IF('Service Types'!E213="","",'Service Types'!E213)</f>
        <v>5364</v>
      </c>
      <c r="E19" s="5">
        <f>IF('Service Types'!D213="","",'Service Types'!D213)</f>
        <v>23846</v>
      </c>
      <c r="F19" s="5">
        <f>IF('Service Types'!F213="","",'Service Types'!F213)</f>
        <v>134</v>
      </c>
      <c r="G19" s="5">
        <f>IF('Service Types'!G213="","",'Service Types'!G213)</f>
        <v>3</v>
      </c>
      <c r="H19" s="5">
        <f>IF('Service Types'!H213="","",'Service Types'!H213)</f>
        <v>23712</v>
      </c>
      <c r="I19" s="6">
        <f>IF('Service Types'!I213="","",'Service Types'!I213)</f>
        <v>11</v>
      </c>
      <c r="J19" s="6">
        <f>IF('Service Types'!J213="","",'Service Types'!J213)</f>
        <v>18.5</v>
      </c>
      <c r="K19" s="6">
        <f>IF('Service Types'!K213="","",'Service Types'!K213)</f>
        <v>45</v>
      </c>
      <c r="L19" s="4" t="str">
        <f>IF('Service Types'!Q213="","",'Service Types'!Q213)</f>
        <v>Non-crew</v>
      </c>
    </row>
    <row r="20" spans="1:12" x14ac:dyDescent="0.45">
      <c r="A20" s="14">
        <v>19</v>
      </c>
      <c r="B20" s="4" t="s">
        <v>500</v>
      </c>
      <c r="C20" s="4" t="str">
        <f>IF('Service Types'!B376="","",'Service Types'!B376)</f>
        <v>OS - Mobility</v>
      </c>
      <c r="D20" s="5">
        <f>IF('Service Types'!E376="","",'Service Types'!E376)</f>
        <v>5296</v>
      </c>
      <c r="E20" s="5">
        <f>IF('Service Types'!D376="","",'Service Types'!D376)</f>
        <v>19741</v>
      </c>
      <c r="F20" s="5">
        <f>IF('Service Types'!F376="","",'Service Types'!F376)</f>
        <v>18</v>
      </c>
      <c r="G20" s="5">
        <f>IF('Service Types'!G376="","",'Service Types'!G376)</f>
        <v>9</v>
      </c>
      <c r="H20" s="5">
        <f>IF('Service Types'!H376="","",'Service Types'!H376)</f>
        <v>18744</v>
      </c>
      <c r="I20" s="6">
        <f>IF('Service Types'!I376="","",'Service Types'!I376)</f>
        <v>0</v>
      </c>
      <c r="J20" s="6">
        <f>IF('Service Types'!J376="","",'Service Types'!J376)</f>
        <v>0.3</v>
      </c>
      <c r="K20" s="6">
        <f>IF('Service Types'!K376="","",'Service Types'!K376)</f>
        <v>1</v>
      </c>
      <c r="L20" s="4" t="str">
        <f>IF('Service Types'!Q376="","",'Service Types'!Q376)</f>
        <v>Crew</v>
      </c>
    </row>
    <row r="21" spans="1:12" x14ac:dyDescent="0.45">
      <c r="A21" s="14">
        <v>20</v>
      </c>
      <c r="B21" s="4" t="s">
        <v>50</v>
      </c>
      <c r="C21" s="4" t="str">
        <f>IF('Service Types'!B11="","",'Service Types'!B11)</f>
        <v>CPFS - Assessment and Tax</v>
      </c>
      <c r="D21" s="5">
        <f>IF('Service Types'!E11="","",'Service Types'!E11)</f>
        <v>5101</v>
      </c>
      <c r="E21" s="5">
        <f>IF('Service Types'!D11="","",'Service Types'!D11)</f>
        <v>5101</v>
      </c>
      <c r="F21" s="5">
        <f>IF('Service Types'!F11="","",'Service Types'!F11)</f>
        <v>99</v>
      </c>
      <c r="G21" s="5">
        <f>IF('Service Types'!G11="","",'Service Types'!G11)</f>
        <v>4</v>
      </c>
      <c r="H21" s="5">
        <f>IF('Service Types'!H11="","",'Service Types'!H11)</f>
        <v>5002</v>
      </c>
      <c r="I21" s="6">
        <f>IF('Service Types'!I11="","",'Service Types'!I11)</f>
        <v>2</v>
      </c>
      <c r="J21" s="6">
        <f>IF('Service Types'!J11="","",'Service Types'!J11)</f>
        <v>2.2000000000000002</v>
      </c>
      <c r="K21" s="6">
        <f>IF('Service Types'!K11="","",'Service Types'!K11)</f>
        <v>4</v>
      </c>
      <c r="L21" s="4" t="str">
        <f>IF('Service Types'!Q11="","",'Service Types'!Q11)</f>
        <v>Non-crew</v>
      </c>
    </row>
    <row r="22" spans="1:12" x14ac:dyDescent="0.45">
      <c r="A22" s="14">
        <v>21</v>
      </c>
      <c r="B22" s="4" t="s">
        <v>686</v>
      </c>
      <c r="C22" s="4" t="str">
        <f>IF('Service Types'!B532="","",'Service Types'!B532)</f>
        <v>OS - Water Services</v>
      </c>
      <c r="D22" s="5">
        <f>IF('Service Types'!E532="","",'Service Types'!E532)</f>
        <v>4422</v>
      </c>
      <c r="E22" s="5">
        <f>IF('Service Types'!D532="","",'Service Types'!D532)</f>
        <v>25079</v>
      </c>
      <c r="F22" s="5">
        <f>IF('Service Types'!F532="","",'Service Types'!F532)</f>
        <v>5</v>
      </c>
      <c r="G22" s="5">
        <f>IF('Service Types'!G532="","",'Service Types'!G532)</f>
        <v>0</v>
      </c>
      <c r="H22" s="5">
        <f>IF('Service Types'!H532="","",'Service Types'!H532)</f>
        <v>25074</v>
      </c>
      <c r="I22" s="6">
        <f>IF('Service Types'!I532="","",'Service Types'!I532)</f>
        <v>0</v>
      </c>
      <c r="J22" s="6">
        <f>IF('Service Types'!J532="","",'Service Types'!J532)</f>
        <v>0.6</v>
      </c>
      <c r="K22" s="6">
        <f>IF('Service Types'!K532="","",'Service Types'!K532)</f>
        <v>1</v>
      </c>
      <c r="L22" s="4" t="str">
        <f>IF('Service Types'!Q532="","",'Service Types'!Q532)</f>
        <v>Crew</v>
      </c>
    </row>
    <row r="23" spans="1:12" x14ac:dyDescent="0.45">
      <c r="A23" s="14">
        <v>22</v>
      </c>
      <c r="B23" s="4" t="s">
        <v>503</v>
      </c>
      <c r="C23" s="4" t="str">
        <f>IF('Service Types'!B379="","",'Service Types'!B379)</f>
        <v>OS - Mobility</v>
      </c>
      <c r="D23" s="5">
        <f>IF('Service Types'!E379="","",'Service Types'!E379)</f>
        <v>4320</v>
      </c>
      <c r="E23" s="5">
        <f>IF('Service Types'!D379="","",'Service Types'!D379)</f>
        <v>17517</v>
      </c>
      <c r="F23" s="5">
        <f>IF('Service Types'!F379="","",'Service Types'!F379)</f>
        <v>64</v>
      </c>
      <c r="G23" s="5">
        <f>IF('Service Types'!G379="","",'Service Types'!G379)</f>
        <v>61</v>
      </c>
      <c r="H23" s="5">
        <f>IF('Service Types'!H379="","",'Service Types'!H379)</f>
        <v>13848</v>
      </c>
      <c r="I23" s="6">
        <f>IF('Service Types'!I379="","",'Service Types'!I379)</f>
        <v>0</v>
      </c>
      <c r="J23" s="6">
        <f>IF('Service Types'!J379="","",'Service Types'!J379)</f>
        <v>0.7</v>
      </c>
      <c r="K23" s="6">
        <f>IF('Service Types'!K379="","",'Service Types'!K379)</f>
        <v>1</v>
      </c>
      <c r="L23" s="4" t="str">
        <f>IF('Service Types'!Q379="","",'Service Types'!Q379)</f>
        <v>Crew</v>
      </c>
    </row>
    <row r="24" spans="1:12" x14ac:dyDescent="0.45">
      <c r="A24" s="14">
        <v>23</v>
      </c>
      <c r="B24" s="4" t="s">
        <v>499</v>
      </c>
      <c r="C24" s="4" t="str">
        <f>IF('Service Types'!B375="","",'Service Types'!B375)</f>
        <v>OS - Mobility</v>
      </c>
      <c r="D24" s="5">
        <f>IF('Service Types'!E375="","",'Service Types'!E375)</f>
        <v>4256</v>
      </c>
      <c r="E24" s="5">
        <f>IF('Service Types'!D375="","",'Service Types'!D375)</f>
        <v>21509</v>
      </c>
      <c r="F24" s="5">
        <f>IF('Service Types'!F375="","",'Service Types'!F375)</f>
        <v>2949</v>
      </c>
      <c r="G24" s="5">
        <f>IF('Service Types'!G375="","",'Service Types'!G375)</f>
        <v>2667</v>
      </c>
      <c r="H24" s="5">
        <f>IF('Service Types'!H375="","",'Service Types'!H375)</f>
        <v>16640</v>
      </c>
      <c r="I24" s="6">
        <f>IF('Service Types'!I375="","",'Service Types'!I375)</f>
        <v>3</v>
      </c>
      <c r="J24" s="6">
        <f>IF('Service Types'!J375="","",'Service Types'!J375)</f>
        <v>37.1</v>
      </c>
      <c r="K24" s="6">
        <f>IF('Service Types'!K375="","",'Service Types'!K375)</f>
        <v>108</v>
      </c>
      <c r="L24" s="4" t="str">
        <f>IF('Service Types'!Q375="","",'Service Types'!Q375)</f>
        <v>Crew</v>
      </c>
    </row>
    <row r="25" spans="1:12" x14ac:dyDescent="0.45">
      <c r="A25" s="14">
        <v>24</v>
      </c>
      <c r="B25" s="4" t="s">
        <v>579</v>
      </c>
      <c r="C25" s="4" t="str">
        <f>IF('Service Types'!B443="","",'Service Types'!B443)</f>
        <v>OS - Parks and Open Spaces</v>
      </c>
      <c r="D25" s="5">
        <f>IF('Service Types'!E443="","",'Service Types'!E443)</f>
        <v>4233</v>
      </c>
      <c r="E25" s="5">
        <f>IF('Service Types'!D443="","",'Service Types'!D443)</f>
        <v>13340</v>
      </c>
      <c r="F25" s="5">
        <f>IF('Service Types'!F443="","",'Service Types'!F443)</f>
        <v>65</v>
      </c>
      <c r="G25" s="5">
        <f>IF('Service Types'!G443="","",'Service Types'!G443)</f>
        <v>26</v>
      </c>
      <c r="H25" s="5">
        <f>IF('Service Types'!H443="","",'Service Types'!H443)</f>
        <v>13275</v>
      </c>
      <c r="I25" s="6">
        <f>IF('Service Types'!I443="","",'Service Types'!I443)</f>
        <v>3</v>
      </c>
      <c r="J25" s="6">
        <f>IF('Service Types'!J443="","",'Service Types'!J443)</f>
        <v>5</v>
      </c>
      <c r="K25" s="6">
        <f>IF('Service Types'!K443="","",'Service Types'!K443)</f>
        <v>10</v>
      </c>
      <c r="L25" s="4" t="str">
        <f>IF('Service Types'!Q443="","",'Service Types'!Q443)</f>
        <v>Crew</v>
      </c>
    </row>
    <row r="26" spans="1:12" x14ac:dyDescent="0.45">
      <c r="A26" s="14">
        <v>25</v>
      </c>
      <c r="B26" s="4" t="s">
        <v>655</v>
      </c>
      <c r="C26" s="4" t="str">
        <f>IF('Service Types'!B507="","",'Service Types'!B507)</f>
        <v>OS - Waste and Recycling Services</v>
      </c>
      <c r="D26" s="5">
        <f>IF('Service Types'!E507="","",'Service Types'!E507)</f>
        <v>4158</v>
      </c>
      <c r="E26" s="5">
        <f>IF('Service Types'!D507="","",'Service Types'!D507)</f>
        <v>15742</v>
      </c>
      <c r="F26" s="5">
        <f>IF('Service Types'!F507="","",'Service Types'!F507)</f>
        <v>74</v>
      </c>
      <c r="G26" s="5">
        <f>IF('Service Types'!G507="","",'Service Types'!G507)</f>
        <v>0</v>
      </c>
      <c r="H26" s="5">
        <f>IF('Service Types'!H507="","",'Service Types'!H507)</f>
        <v>15668</v>
      </c>
      <c r="I26" s="6">
        <f>IF('Service Types'!I507="","",'Service Types'!I507)</f>
        <v>1</v>
      </c>
      <c r="J26" s="6">
        <f>IF('Service Types'!J507="","",'Service Types'!J507)</f>
        <v>2.2000000000000002</v>
      </c>
      <c r="K26" s="6">
        <f>IF('Service Types'!K507="","",'Service Types'!K507)</f>
        <v>4</v>
      </c>
      <c r="L26" s="4" t="str">
        <f>IF('Service Types'!Q507="","",'Service Types'!Q507)</f>
        <v>Crew</v>
      </c>
    </row>
    <row r="27" spans="1:12" x14ac:dyDescent="0.45">
      <c r="A27" s="14">
        <v>26</v>
      </c>
      <c r="B27" s="4" t="s">
        <v>202</v>
      </c>
      <c r="C27" s="4" t="str">
        <f>IF('Service Types'!B129="","",'Service Types'!B129)</f>
        <v>CS - Emergency Management and Community Safety</v>
      </c>
      <c r="D27" s="5">
        <f>IF('Service Types'!E129="","",'Service Types'!E129)</f>
        <v>3938</v>
      </c>
      <c r="E27" s="5">
        <f>IF('Service Types'!D129="","",'Service Types'!D129)</f>
        <v>13264</v>
      </c>
      <c r="F27" s="5">
        <f>IF('Service Types'!F129="","",'Service Types'!F129)</f>
        <v>1005</v>
      </c>
      <c r="G27" s="5">
        <f>IF('Service Types'!G129="","",'Service Types'!G129)</f>
        <v>625</v>
      </c>
      <c r="H27" s="5">
        <f>IF('Service Types'!H129="","",'Service Types'!H129)</f>
        <v>12259</v>
      </c>
      <c r="I27" s="6">
        <f>IF('Service Types'!I129="","",'Service Types'!I129)</f>
        <v>3</v>
      </c>
      <c r="J27" s="6">
        <f>IF('Service Types'!J129="","",'Service Types'!J129)</f>
        <v>11.8</v>
      </c>
      <c r="K27" s="6">
        <f>IF('Service Types'!K129="","",'Service Types'!K129)</f>
        <v>25</v>
      </c>
      <c r="L27" s="4" t="str">
        <f>IF('Service Types'!Q129="","",'Service Types'!Q129)</f>
        <v>Non-crew</v>
      </c>
    </row>
    <row r="28" spans="1:12" x14ac:dyDescent="0.45">
      <c r="A28" s="14">
        <v>27</v>
      </c>
      <c r="B28" s="4" t="s">
        <v>493</v>
      </c>
      <c r="C28" s="4" t="str">
        <f>IF('Service Types'!B371="","",'Service Types'!B371)</f>
        <v>OS - Mobility</v>
      </c>
      <c r="D28" s="5">
        <f>IF('Service Types'!E371="","",'Service Types'!E371)</f>
        <v>3786</v>
      </c>
      <c r="E28" s="5">
        <f>IF('Service Types'!D371="","",'Service Types'!D371)</f>
        <v>28005</v>
      </c>
      <c r="F28" s="5">
        <f>IF('Service Types'!F371="","",'Service Types'!F371)</f>
        <v>561</v>
      </c>
      <c r="G28" s="5">
        <f>IF('Service Types'!G371="","",'Service Types'!G371)</f>
        <v>561</v>
      </c>
      <c r="H28" s="5">
        <f>IF('Service Types'!H371="","",'Service Types'!H371)</f>
        <v>25812</v>
      </c>
      <c r="I28" s="6">
        <f>IF('Service Types'!I371="","",'Service Types'!I371)</f>
        <v>1</v>
      </c>
      <c r="J28" s="6">
        <f>IF('Service Types'!J371="","",'Service Types'!J371)</f>
        <v>3.3</v>
      </c>
      <c r="K28" s="6">
        <f>IF('Service Types'!K371="","",'Service Types'!K371)</f>
        <v>4</v>
      </c>
      <c r="L28" s="4" t="str">
        <f>IF('Service Types'!Q371="","",'Service Types'!Q371)</f>
        <v>Crew</v>
      </c>
    </row>
    <row r="29" spans="1:12" x14ac:dyDescent="0.45">
      <c r="A29" s="14">
        <v>28</v>
      </c>
      <c r="B29" s="4" t="s">
        <v>502</v>
      </c>
      <c r="C29" s="4" t="str">
        <f>IF('Service Types'!B378="","",'Service Types'!B378)</f>
        <v>OS - Mobility</v>
      </c>
      <c r="D29" s="5">
        <f>IF('Service Types'!E378="","",'Service Types'!E378)</f>
        <v>3770</v>
      </c>
      <c r="E29" s="5">
        <f>IF('Service Types'!D378="","",'Service Types'!D378)</f>
        <v>17883</v>
      </c>
      <c r="F29" s="5">
        <f>IF('Service Types'!F378="","",'Service Types'!F378)</f>
        <v>2268</v>
      </c>
      <c r="G29" s="5">
        <f>IF('Service Types'!G378="","",'Service Types'!G378)</f>
        <v>2095</v>
      </c>
      <c r="H29" s="5">
        <f>IF('Service Types'!H378="","",'Service Types'!H378)</f>
        <v>14022</v>
      </c>
      <c r="I29" s="6">
        <f>IF('Service Types'!I378="","",'Service Types'!I378)</f>
        <v>2</v>
      </c>
      <c r="J29" s="6">
        <f>IF('Service Types'!J378="","",'Service Types'!J378)</f>
        <v>23.2</v>
      </c>
      <c r="K29" s="6">
        <f>IF('Service Types'!K378="","",'Service Types'!K378)</f>
        <v>38</v>
      </c>
      <c r="L29" s="4" t="str">
        <f>IF('Service Types'!Q378="","",'Service Types'!Q378)</f>
        <v>Crew</v>
      </c>
    </row>
    <row r="30" spans="1:12" x14ac:dyDescent="0.45">
      <c r="A30" s="14">
        <v>29</v>
      </c>
      <c r="B30" s="4" t="s">
        <v>762</v>
      </c>
      <c r="C30" s="4" t="str">
        <f>IF('Service Types'!B591="","",'Service Types'!B591)</f>
        <v>OSC - Waste and Recycling Services</v>
      </c>
      <c r="D30" s="5">
        <f>IF('Service Types'!E591="","",'Service Types'!E591)</f>
        <v>3546</v>
      </c>
      <c r="E30" s="5">
        <f>IF('Service Types'!D591="","",'Service Types'!D591)</f>
        <v>15182</v>
      </c>
      <c r="F30" s="5">
        <f>IF('Service Types'!F591="","",'Service Types'!F591)</f>
        <v>26</v>
      </c>
      <c r="G30" s="5">
        <f>IF('Service Types'!G591="","",'Service Types'!G591)</f>
        <v>0</v>
      </c>
      <c r="H30" s="5">
        <f>IF('Service Types'!H591="","",'Service Types'!H591)</f>
        <v>15156</v>
      </c>
      <c r="I30" s="6">
        <f>IF('Service Types'!I591="","",'Service Types'!I591)</f>
        <v>1</v>
      </c>
      <c r="J30" s="6">
        <f>IF('Service Types'!J591="","",'Service Types'!J591)</f>
        <v>2.5</v>
      </c>
      <c r="K30" s="6">
        <f>IF('Service Types'!K591="","",'Service Types'!K591)</f>
        <v>4</v>
      </c>
      <c r="L30" s="4" t="str">
        <f>IF('Service Types'!Q591="","",'Service Types'!Q591)</f>
        <v>Crew</v>
      </c>
    </row>
    <row r="31" spans="1:12" x14ac:dyDescent="0.45">
      <c r="A31" s="14">
        <v>30</v>
      </c>
      <c r="B31" s="4" t="s">
        <v>690</v>
      </c>
      <c r="C31" s="4" t="str">
        <f>IF('Service Types'!B533="","",'Service Types'!B533)</f>
        <v>OS - Water Services</v>
      </c>
      <c r="D31" s="5">
        <f>IF('Service Types'!E533="","",'Service Types'!E533)</f>
        <v>3324</v>
      </c>
      <c r="E31" s="5">
        <f>IF('Service Types'!D533="","",'Service Types'!D533)</f>
        <v>14891</v>
      </c>
      <c r="F31" s="5">
        <f>IF('Service Types'!F533="","",'Service Types'!F533)</f>
        <v>146</v>
      </c>
      <c r="G31" s="5">
        <f>IF('Service Types'!G533="","",'Service Types'!G533)</f>
        <v>0</v>
      </c>
      <c r="H31" s="5">
        <f>IF('Service Types'!H533="","",'Service Types'!H533)</f>
        <v>14724</v>
      </c>
      <c r="I31" s="6">
        <f>IF('Service Types'!I533="","",'Service Types'!I533)</f>
        <v>11</v>
      </c>
      <c r="J31" s="6">
        <f>IF('Service Types'!J533="","",'Service Types'!J533)</f>
        <v>11.8</v>
      </c>
      <c r="K31" s="6">
        <f>IF('Service Types'!K533="","",'Service Types'!K533)</f>
        <v>25</v>
      </c>
      <c r="L31" s="4" t="str">
        <f>IF('Service Types'!Q533="","",'Service Types'!Q533)</f>
        <v>Crew</v>
      </c>
    </row>
    <row r="32" spans="1:12" x14ac:dyDescent="0.45">
      <c r="A32" s="14">
        <v>31</v>
      </c>
      <c r="B32" s="4" t="s">
        <v>98</v>
      </c>
      <c r="C32" s="4" t="str">
        <f>IF('Service Types'!B43="","",'Service Types'!B43)</f>
        <v>CS - Calgary Fire</v>
      </c>
      <c r="D32" s="5">
        <f>IF('Service Types'!E43="","",'Service Types'!E43)</f>
        <v>3276</v>
      </c>
      <c r="E32" s="5">
        <f>IF('Service Types'!D43="","",'Service Types'!D43)</f>
        <v>17433</v>
      </c>
      <c r="F32" s="5">
        <f>IF('Service Types'!F43="","",'Service Types'!F43)</f>
        <v>214</v>
      </c>
      <c r="G32" s="5">
        <f>IF('Service Types'!G43="","",'Service Types'!G43)</f>
        <v>74</v>
      </c>
      <c r="H32" s="5">
        <f>IF('Service Types'!H43="","",'Service Types'!H43)</f>
        <v>17218</v>
      </c>
      <c r="I32" s="6">
        <f>IF('Service Types'!I43="","",'Service Types'!I43)</f>
        <v>6</v>
      </c>
      <c r="J32" s="6">
        <f>IF('Service Types'!J43="","",'Service Types'!J43)</f>
        <v>21</v>
      </c>
      <c r="K32" s="6">
        <f>IF('Service Types'!K43="","",'Service Types'!K43)</f>
        <v>43</v>
      </c>
      <c r="L32" s="4" t="str">
        <f>IF('Service Types'!Q43="","",'Service Types'!Q43)</f>
        <v>Non-crew</v>
      </c>
    </row>
    <row r="33" spans="1:12" x14ac:dyDescent="0.45">
      <c r="A33" s="14">
        <v>32</v>
      </c>
      <c r="B33" s="4" t="s">
        <v>656</v>
      </c>
      <c r="C33" s="4" t="str">
        <f>IF('Service Types'!B508="","",'Service Types'!B508)</f>
        <v>OS - Waste and Recycling Services</v>
      </c>
      <c r="D33" s="5">
        <f>IF('Service Types'!E508="","",'Service Types'!E508)</f>
        <v>3124</v>
      </c>
      <c r="E33" s="5">
        <f>IF('Service Types'!D508="","",'Service Types'!D508)</f>
        <v>12601</v>
      </c>
      <c r="F33" s="5">
        <f>IF('Service Types'!F508="","",'Service Types'!F508)</f>
        <v>20</v>
      </c>
      <c r="G33" s="5">
        <f>IF('Service Types'!G508="","",'Service Types'!G508)</f>
        <v>0</v>
      </c>
      <c r="H33" s="5">
        <f>IF('Service Types'!H508="","",'Service Types'!H508)</f>
        <v>12581</v>
      </c>
      <c r="I33" s="6">
        <f>IF('Service Types'!I508="","",'Service Types'!I508)</f>
        <v>1</v>
      </c>
      <c r="J33" s="6">
        <f>IF('Service Types'!J508="","",'Service Types'!J508)</f>
        <v>1.4</v>
      </c>
      <c r="K33" s="6">
        <f>IF('Service Types'!K508="","",'Service Types'!K508)</f>
        <v>4</v>
      </c>
      <c r="L33" s="4" t="str">
        <f>IF('Service Types'!Q508="","",'Service Types'!Q508)</f>
        <v>Crew</v>
      </c>
    </row>
    <row r="34" spans="1:12" x14ac:dyDescent="0.45">
      <c r="A34" s="14">
        <v>33</v>
      </c>
      <c r="B34" s="4" t="s">
        <v>501</v>
      </c>
      <c r="C34" s="4" t="str">
        <f>IF('Service Types'!B377="","",'Service Types'!B377)</f>
        <v>OS - Mobility</v>
      </c>
      <c r="D34" s="5">
        <f>IF('Service Types'!E377="","",'Service Types'!E377)</f>
        <v>3089</v>
      </c>
      <c r="E34" s="5">
        <f>IF('Service Types'!D377="","",'Service Types'!D377)</f>
        <v>19032</v>
      </c>
      <c r="F34" s="5">
        <f>IF('Service Types'!F377="","",'Service Types'!F377)</f>
        <v>4690</v>
      </c>
      <c r="G34" s="5">
        <f>IF('Service Types'!G377="","",'Service Types'!G377)</f>
        <v>4680</v>
      </c>
      <c r="H34" s="5">
        <f>IF('Service Types'!H377="","",'Service Types'!H377)</f>
        <v>13968</v>
      </c>
      <c r="I34" s="6">
        <f>IF('Service Types'!I377="","",'Service Types'!I377)</f>
        <v>4</v>
      </c>
      <c r="J34" s="6">
        <f>IF('Service Types'!J377="","",'Service Types'!J377)</f>
        <v>46.7</v>
      </c>
      <c r="K34" s="6">
        <f>IF('Service Types'!K377="","",'Service Types'!K377)</f>
        <v>133</v>
      </c>
      <c r="L34" s="4" t="str">
        <f>IF('Service Types'!Q377="","",'Service Types'!Q377)</f>
        <v>Crew</v>
      </c>
    </row>
    <row r="35" spans="1:12" x14ac:dyDescent="0.45">
      <c r="A35" s="14">
        <v>34</v>
      </c>
      <c r="B35" s="4" t="s">
        <v>451</v>
      </c>
      <c r="C35" s="4" t="str">
        <f>IF('Service Types'!B345="","",'Service Types'!B345)</f>
        <v>OS - Calgary Transit</v>
      </c>
      <c r="D35" s="5">
        <f>IF('Service Types'!E345="","",'Service Types'!E345)</f>
        <v>3042</v>
      </c>
      <c r="E35" s="5">
        <f>IF('Service Types'!D345="","",'Service Types'!D345)</f>
        <v>14434</v>
      </c>
      <c r="F35" s="5">
        <f>IF('Service Types'!F345="","",'Service Types'!F345)</f>
        <v>523</v>
      </c>
      <c r="G35" s="5">
        <f>IF('Service Types'!G345="","",'Service Types'!G345)</f>
        <v>69</v>
      </c>
      <c r="H35" s="5">
        <f>IF('Service Types'!H345="","",'Service Types'!H345)</f>
        <v>13911</v>
      </c>
      <c r="I35" s="6">
        <f>IF('Service Types'!I345="","",'Service Types'!I345)</f>
        <v>11</v>
      </c>
      <c r="J35" s="6">
        <f>IF('Service Types'!J345="","",'Service Types'!J345)</f>
        <v>18.8</v>
      </c>
      <c r="K35" s="6">
        <f>IF('Service Types'!K345="","",'Service Types'!K345)</f>
        <v>44</v>
      </c>
      <c r="L35" s="4" t="str">
        <f>IF('Service Types'!Q345="","",'Service Types'!Q345)</f>
        <v>Non-crew</v>
      </c>
    </row>
    <row r="36" spans="1:12" x14ac:dyDescent="0.45">
      <c r="A36" s="14">
        <v>35</v>
      </c>
      <c r="B36" s="4" t="s">
        <v>454</v>
      </c>
      <c r="C36" s="4" t="str">
        <f>IF('Service Types'!B346="","",'Service Types'!B346)</f>
        <v>OS - Calgary Transit</v>
      </c>
      <c r="D36" s="5">
        <f>IF('Service Types'!E346="","",'Service Types'!E346)</f>
        <v>3040</v>
      </c>
      <c r="E36" s="5">
        <f>IF('Service Types'!D346="","",'Service Types'!D346)</f>
        <v>13452</v>
      </c>
      <c r="F36" s="5">
        <f>IF('Service Types'!F346="","",'Service Types'!F346)</f>
        <v>442</v>
      </c>
      <c r="G36" s="5">
        <f>IF('Service Types'!G346="","",'Service Types'!G346)</f>
        <v>84</v>
      </c>
      <c r="H36" s="5">
        <f>IF('Service Types'!H346="","",'Service Types'!H346)</f>
        <v>13010</v>
      </c>
      <c r="I36" s="6">
        <f>IF('Service Types'!I346="","",'Service Types'!I346)</f>
        <v>25</v>
      </c>
      <c r="J36" s="6">
        <f>IF('Service Types'!J346="","",'Service Types'!J346)</f>
        <v>38.700000000000003</v>
      </c>
      <c r="K36" s="6">
        <f>IF('Service Types'!K346="","",'Service Types'!K346)</f>
        <v>90</v>
      </c>
      <c r="L36" s="4" t="str">
        <f>IF('Service Types'!Q346="","",'Service Types'!Q346)</f>
        <v>Crew</v>
      </c>
    </row>
    <row r="37" spans="1:12" x14ac:dyDescent="0.45">
      <c r="A37" s="14">
        <v>36</v>
      </c>
      <c r="B37" s="4" t="s">
        <v>205</v>
      </c>
      <c r="C37" s="4" t="str">
        <f>IF('Service Types'!B131="","",'Service Types'!B131)</f>
        <v>CS - Emergency Management and Community Safety</v>
      </c>
      <c r="D37" s="5">
        <f>IF('Service Types'!E131="","",'Service Types'!E131)</f>
        <v>2911</v>
      </c>
      <c r="E37" s="5">
        <f>IF('Service Types'!D131="","",'Service Types'!D131)</f>
        <v>12115</v>
      </c>
      <c r="F37" s="5">
        <f>IF('Service Types'!F131="","",'Service Types'!F131)</f>
        <v>445</v>
      </c>
      <c r="G37" s="5">
        <f>IF('Service Types'!G131="","",'Service Types'!G131)</f>
        <v>162</v>
      </c>
      <c r="H37" s="5">
        <f>IF('Service Types'!H131="","",'Service Types'!H131)</f>
        <v>11622</v>
      </c>
      <c r="I37" s="6">
        <f>IF('Service Types'!I131="","",'Service Types'!I131)</f>
        <v>16</v>
      </c>
      <c r="J37" s="6">
        <f>IF('Service Types'!J131="","",'Service Types'!J131)</f>
        <v>27.4</v>
      </c>
      <c r="K37" s="6">
        <f>IF('Service Types'!K131="","",'Service Types'!K131)</f>
        <v>67</v>
      </c>
      <c r="L37" s="4" t="str">
        <f>IF('Service Types'!Q131="","",'Service Types'!Q131)</f>
        <v>Non-crew</v>
      </c>
    </row>
    <row r="38" spans="1:12" x14ac:dyDescent="0.45">
      <c r="A38" s="14">
        <v>37</v>
      </c>
      <c r="B38" s="4" t="s">
        <v>209</v>
      </c>
      <c r="C38" s="4" t="str">
        <f>IF('Service Types'!B133="","",'Service Types'!B133)</f>
        <v>CS - Emergency Management and Community Safety</v>
      </c>
      <c r="D38" s="5">
        <f>IF('Service Types'!E133="","",'Service Types'!E133)</f>
        <v>2875</v>
      </c>
      <c r="E38" s="5">
        <f>IF('Service Types'!D133="","",'Service Types'!D133)</f>
        <v>10657</v>
      </c>
      <c r="F38" s="5">
        <f>IF('Service Types'!F133="","",'Service Types'!F133)</f>
        <v>173</v>
      </c>
      <c r="G38" s="5">
        <f>IF('Service Types'!G133="","",'Service Types'!G133)</f>
        <v>71</v>
      </c>
      <c r="H38" s="5">
        <f>IF('Service Types'!H133="","",'Service Types'!H133)</f>
        <v>10484</v>
      </c>
      <c r="I38" s="6">
        <f>IF('Service Types'!I133="","",'Service Types'!I133)</f>
        <v>5</v>
      </c>
      <c r="J38" s="6">
        <f>IF('Service Types'!J133="","",'Service Types'!J133)</f>
        <v>11.1</v>
      </c>
      <c r="K38" s="6">
        <f>IF('Service Types'!K133="","",'Service Types'!K133)</f>
        <v>25</v>
      </c>
      <c r="L38" s="4" t="str">
        <f>IF('Service Types'!Q133="","",'Service Types'!Q133)</f>
        <v>Non-crew</v>
      </c>
    </row>
    <row r="39" spans="1:12" x14ac:dyDescent="0.45">
      <c r="A39" s="14">
        <v>38</v>
      </c>
      <c r="B39" s="4" t="s">
        <v>504</v>
      </c>
      <c r="C39" s="4" t="str">
        <f>IF('Service Types'!B380="","",'Service Types'!B380)</f>
        <v>OS - Mobility</v>
      </c>
      <c r="D39" s="5">
        <f>IF('Service Types'!E380="","",'Service Types'!E380)</f>
        <v>2844</v>
      </c>
      <c r="E39" s="5">
        <f>IF('Service Types'!D380="","",'Service Types'!D380)</f>
        <v>12093</v>
      </c>
      <c r="F39" s="5">
        <f>IF('Service Types'!F380="","",'Service Types'!F380)</f>
        <v>1636</v>
      </c>
      <c r="G39" s="5">
        <f>IF('Service Types'!G380="","",'Service Types'!G380)</f>
        <v>1065</v>
      </c>
      <c r="H39" s="5">
        <f>IF('Service Types'!H380="","",'Service Types'!H380)</f>
        <v>10456</v>
      </c>
      <c r="I39" s="6">
        <f>IF('Service Types'!I380="","",'Service Types'!I380)</f>
        <v>4</v>
      </c>
      <c r="J39" s="6">
        <f>IF('Service Types'!J380="","",'Service Types'!J380)</f>
        <v>170.3</v>
      </c>
      <c r="K39" s="6">
        <f>IF('Service Types'!K380="","",'Service Types'!K380)</f>
        <v>679</v>
      </c>
      <c r="L39" s="4" t="str">
        <f>IF('Service Types'!Q380="","",'Service Types'!Q380)</f>
        <v>Crew</v>
      </c>
    </row>
    <row r="40" spans="1:12" x14ac:dyDescent="0.45">
      <c r="A40" s="14">
        <v>39</v>
      </c>
      <c r="B40" s="4" t="s">
        <v>498</v>
      </c>
      <c r="C40" s="4" t="str">
        <f>IF('Service Types'!B374="","",'Service Types'!B374)</f>
        <v>OS - Mobility</v>
      </c>
      <c r="D40" s="5">
        <f>IF('Service Types'!E374="","",'Service Types'!E374)</f>
        <v>2743</v>
      </c>
      <c r="E40" s="5">
        <f>IF('Service Types'!D374="","",'Service Types'!D374)</f>
        <v>22223</v>
      </c>
      <c r="F40" s="5">
        <f>IF('Service Types'!F374="","",'Service Types'!F374)</f>
        <v>11</v>
      </c>
      <c r="G40" s="5">
        <f>IF('Service Types'!G374="","",'Service Types'!G374)</f>
        <v>2</v>
      </c>
      <c r="H40" s="5">
        <f>IF('Service Types'!H374="","",'Service Types'!H374)</f>
        <v>21717</v>
      </c>
      <c r="I40" s="6">
        <f>IF('Service Types'!I374="","",'Service Types'!I374)</f>
        <v>0</v>
      </c>
      <c r="J40" s="6">
        <f>IF('Service Types'!J374="","",'Service Types'!J374)</f>
        <v>4.2</v>
      </c>
      <c r="K40" s="6">
        <f>IF('Service Types'!K374="","",'Service Types'!K374)</f>
        <v>1</v>
      </c>
      <c r="L40" s="4" t="str">
        <f>IF('Service Types'!Q374="","",'Service Types'!Q374)</f>
        <v>Crew</v>
      </c>
    </row>
    <row r="41" spans="1:12" x14ac:dyDescent="0.45">
      <c r="A41" s="14">
        <v>40</v>
      </c>
      <c r="B41" s="4" t="s">
        <v>657</v>
      </c>
      <c r="C41" s="4" t="str">
        <f>IF('Service Types'!B509="","",'Service Types'!B509)</f>
        <v>OS - Waste and Recycling Services</v>
      </c>
      <c r="D41" s="5">
        <f>IF('Service Types'!E509="","",'Service Types'!E509)</f>
        <v>2638</v>
      </c>
      <c r="E41" s="5">
        <f>IF('Service Types'!D509="","",'Service Types'!D509)</f>
        <v>10037</v>
      </c>
      <c r="F41" s="5">
        <f>IF('Service Types'!F509="","",'Service Types'!F509)</f>
        <v>28</v>
      </c>
      <c r="G41" s="5">
        <f>IF('Service Types'!G509="","",'Service Types'!G509)</f>
        <v>0</v>
      </c>
      <c r="H41" s="5">
        <f>IF('Service Types'!H509="","",'Service Types'!H509)</f>
        <v>10009</v>
      </c>
      <c r="I41" s="6">
        <f>IF('Service Types'!I509="","",'Service Types'!I509)</f>
        <v>3</v>
      </c>
      <c r="J41" s="6">
        <f>IF('Service Types'!J509="","",'Service Types'!J509)</f>
        <v>5.2</v>
      </c>
      <c r="K41" s="6">
        <f>IF('Service Types'!K509="","",'Service Types'!K509)</f>
        <v>12</v>
      </c>
      <c r="L41" s="4" t="str">
        <f>IF('Service Types'!Q509="","",'Service Types'!Q509)</f>
        <v>Non-crew</v>
      </c>
    </row>
    <row r="42" spans="1:12" x14ac:dyDescent="0.45">
      <c r="A42" s="14">
        <v>41</v>
      </c>
      <c r="B42" s="4" t="s">
        <v>508</v>
      </c>
      <c r="C42" s="4" t="str">
        <f>IF('Service Types'!B383="","",'Service Types'!B383)</f>
        <v>OS - Mobility</v>
      </c>
      <c r="D42" s="5">
        <f>IF('Service Types'!E383="","",'Service Types'!E383)</f>
        <v>2616</v>
      </c>
      <c r="E42" s="5">
        <f>IF('Service Types'!D383="","",'Service Types'!D383)</f>
        <v>9325</v>
      </c>
      <c r="F42" s="5">
        <f>IF('Service Types'!F383="","",'Service Types'!F383)</f>
        <v>120</v>
      </c>
      <c r="G42" s="5">
        <f>IF('Service Types'!G383="","",'Service Types'!G383)</f>
        <v>5</v>
      </c>
      <c r="H42" s="5">
        <f>IF('Service Types'!H383="","",'Service Types'!H383)</f>
        <v>9205</v>
      </c>
      <c r="I42" s="6">
        <f>IF('Service Types'!I383="","",'Service Types'!I383)</f>
        <v>4</v>
      </c>
      <c r="J42" s="6">
        <f>IF('Service Types'!J383="","",'Service Types'!J383)</f>
        <v>11</v>
      </c>
      <c r="K42" s="6">
        <f>IF('Service Types'!K383="","",'Service Types'!K383)</f>
        <v>25</v>
      </c>
      <c r="L42" s="4" t="str">
        <f>IF('Service Types'!Q383="","",'Service Types'!Q383)</f>
        <v>Crew</v>
      </c>
    </row>
    <row r="43" spans="1:12" x14ac:dyDescent="0.45">
      <c r="A43" s="14">
        <v>42</v>
      </c>
      <c r="B43" s="4" t="s">
        <v>449</v>
      </c>
      <c r="C43" s="4" t="str">
        <f>IF('Service Types'!B344="","",'Service Types'!B344)</f>
        <v>OS - Calgary Transit</v>
      </c>
      <c r="D43" s="5">
        <f>IF('Service Types'!E344="","",'Service Types'!E344)</f>
        <v>2600</v>
      </c>
      <c r="E43" s="5">
        <f>IF('Service Types'!D344="","",'Service Types'!D344)</f>
        <v>18016</v>
      </c>
      <c r="F43" s="5">
        <f>IF('Service Types'!F344="","",'Service Types'!F344)</f>
        <v>155</v>
      </c>
      <c r="G43" s="5">
        <f>IF('Service Types'!G344="","",'Service Types'!G344)</f>
        <v>2</v>
      </c>
      <c r="H43" s="5">
        <f>IF('Service Types'!H344="","",'Service Types'!H344)</f>
        <v>17861</v>
      </c>
      <c r="I43" s="6">
        <f>IF('Service Types'!I344="","",'Service Types'!I344)</f>
        <v>9</v>
      </c>
      <c r="J43" s="6">
        <f>IF('Service Types'!J344="","",'Service Types'!J344)</f>
        <v>7.8</v>
      </c>
      <c r="K43" s="6">
        <f>IF('Service Types'!K344="","",'Service Types'!K344)</f>
        <v>11</v>
      </c>
      <c r="L43" s="4" t="str">
        <f>IF('Service Types'!Q344="","",'Service Types'!Q344)</f>
        <v>Non-crew</v>
      </c>
    </row>
    <row r="44" spans="1:12" x14ac:dyDescent="0.45">
      <c r="A44" s="14">
        <v>43</v>
      </c>
      <c r="B44" s="4" t="s">
        <v>58</v>
      </c>
      <c r="C44" s="4" t="str">
        <f>IF('Service Types'!B15="","",'Service Types'!B15)</f>
        <v>CPFS - Assessment and Tax</v>
      </c>
      <c r="D44" s="5">
        <f>IF('Service Types'!E15="","",'Service Types'!E15)</f>
        <v>2600</v>
      </c>
      <c r="E44" s="5">
        <f>IF('Service Types'!D15="","",'Service Types'!D15)</f>
        <v>2600</v>
      </c>
      <c r="F44" s="5">
        <f>IF('Service Types'!F15="","",'Service Types'!F15)</f>
        <v>66</v>
      </c>
      <c r="G44" s="5">
        <f>IF('Service Types'!G15="","",'Service Types'!G15)</f>
        <v>5</v>
      </c>
      <c r="H44" s="5">
        <f>IF('Service Types'!H15="","",'Service Types'!H15)</f>
        <v>2534</v>
      </c>
      <c r="I44" s="6">
        <f>IF('Service Types'!I15="","",'Service Types'!I15)</f>
        <v>3</v>
      </c>
      <c r="J44" s="6">
        <f>IF('Service Types'!J15="","",'Service Types'!J15)</f>
        <v>4.3</v>
      </c>
      <c r="K44" s="6">
        <f>IF('Service Types'!K15="","",'Service Types'!K15)</f>
        <v>8</v>
      </c>
      <c r="L44" s="4" t="str">
        <f>IF('Service Types'!Q15="","",'Service Types'!Q15)</f>
        <v>Non-crew</v>
      </c>
    </row>
    <row r="45" spans="1:12" x14ac:dyDescent="0.45">
      <c r="A45" s="14">
        <v>44</v>
      </c>
      <c r="B45" s="4" t="s">
        <v>505</v>
      </c>
      <c r="C45" s="4" t="str">
        <f>IF('Service Types'!B381="","",'Service Types'!B381)</f>
        <v>OS - Mobility</v>
      </c>
      <c r="D45" s="5">
        <f>IF('Service Types'!E381="","",'Service Types'!E381)</f>
        <v>2495</v>
      </c>
      <c r="E45" s="5">
        <f>IF('Service Types'!D381="","",'Service Types'!D381)</f>
        <v>11999</v>
      </c>
      <c r="F45" s="5">
        <f>IF('Service Types'!F381="","",'Service Types'!F381)</f>
        <v>1048</v>
      </c>
      <c r="G45" s="5">
        <f>IF('Service Types'!G381="","",'Service Types'!G381)</f>
        <v>762</v>
      </c>
      <c r="H45" s="5">
        <f>IF('Service Types'!H381="","",'Service Types'!H381)</f>
        <v>10951</v>
      </c>
      <c r="I45" s="6">
        <f>IF('Service Types'!I381="","",'Service Types'!I381)</f>
        <v>4</v>
      </c>
      <c r="J45" s="6">
        <f>IF('Service Types'!J381="","",'Service Types'!J381)</f>
        <v>78.3</v>
      </c>
      <c r="K45" s="6">
        <f>IF('Service Types'!K381="","",'Service Types'!K381)</f>
        <v>257</v>
      </c>
      <c r="L45" s="4" t="str">
        <f>IF('Service Types'!Q381="","",'Service Types'!Q381)</f>
        <v>Crew</v>
      </c>
    </row>
    <row r="46" spans="1:12" x14ac:dyDescent="0.45">
      <c r="A46" s="14">
        <v>45</v>
      </c>
      <c r="B46" s="4" t="s">
        <v>506</v>
      </c>
      <c r="C46" s="4" t="str">
        <f>IF('Service Types'!B382="","",'Service Types'!B382)</f>
        <v>OS - Mobility</v>
      </c>
      <c r="D46" s="5">
        <f>IF('Service Types'!E382="","",'Service Types'!E382)</f>
        <v>2472</v>
      </c>
      <c r="E46" s="5">
        <f>IF('Service Types'!D382="","",'Service Types'!D382)</f>
        <v>11775</v>
      </c>
      <c r="F46" s="5">
        <f>IF('Service Types'!F382="","",'Service Types'!F382)</f>
        <v>109</v>
      </c>
      <c r="G46" s="5">
        <f>IF('Service Types'!G382="","",'Service Types'!G382)</f>
        <v>91</v>
      </c>
      <c r="H46" s="5">
        <f>IF('Service Types'!H382="","",'Service Types'!H382)</f>
        <v>11666</v>
      </c>
      <c r="I46" s="6">
        <f>IF('Service Types'!I382="","",'Service Types'!I382)</f>
        <v>1</v>
      </c>
      <c r="J46" s="6">
        <f>IF('Service Types'!J382="","",'Service Types'!J382)</f>
        <v>13.7</v>
      </c>
      <c r="K46" s="6">
        <f>IF('Service Types'!K382="","",'Service Types'!K382)</f>
        <v>9</v>
      </c>
      <c r="L46" s="4" t="str">
        <f>IF('Service Types'!Q382="","",'Service Types'!Q382)</f>
        <v>Non-crew</v>
      </c>
    </row>
    <row r="47" spans="1:12" x14ac:dyDescent="0.45">
      <c r="A47" s="14">
        <v>46</v>
      </c>
      <c r="B47" s="4" t="s">
        <v>207</v>
      </c>
      <c r="C47" s="4" t="str">
        <f>IF('Service Types'!B132="","",'Service Types'!B132)</f>
        <v>CS - Emergency Management and Community Safety</v>
      </c>
      <c r="D47" s="5">
        <f>IF('Service Types'!E132="","",'Service Types'!E132)</f>
        <v>2402</v>
      </c>
      <c r="E47" s="5">
        <f>IF('Service Types'!D132="","",'Service Types'!D132)</f>
        <v>11477</v>
      </c>
      <c r="F47" s="5">
        <f>IF('Service Types'!F132="","",'Service Types'!F132)</f>
        <v>93</v>
      </c>
      <c r="G47" s="5">
        <f>IF('Service Types'!G132="","",'Service Types'!G132)</f>
        <v>55</v>
      </c>
      <c r="H47" s="5">
        <f>IF('Service Types'!H132="","",'Service Types'!H132)</f>
        <v>11380</v>
      </c>
      <c r="I47" s="6">
        <f>IF('Service Types'!I132="","",'Service Types'!I132)</f>
        <v>0</v>
      </c>
      <c r="J47" s="6">
        <f>IF('Service Types'!J132="","",'Service Types'!J132)</f>
        <v>5.8</v>
      </c>
      <c r="K47" s="6">
        <f>IF('Service Types'!K132="","",'Service Types'!K132)</f>
        <v>12</v>
      </c>
      <c r="L47" s="4" t="str">
        <f>IF('Service Types'!Q132="","",'Service Types'!Q132)</f>
        <v>Non-crew</v>
      </c>
    </row>
    <row r="48" spans="1:12" x14ac:dyDescent="0.45">
      <c r="A48" s="14">
        <v>47</v>
      </c>
      <c r="B48" s="4" t="s">
        <v>691</v>
      </c>
      <c r="C48" s="4" t="str">
        <f>IF('Service Types'!B534="","",'Service Types'!B534)</f>
        <v>OS - Water Services</v>
      </c>
      <c r="D48" s="5">
        <f>IF('Service Types'!E534="","",'Service Types'!E534)</f>
        <v>2387</v>
      </c>
      <c r="E48" s="5">
        <f>IF('Service Types'!D534="","",'Service Types'!D534)</f>
        <v>13039</v>
      </c>
      <c r="F48" s="5">
        <f>IF('Service Types'!F534="","",'Service Types'!F534)</f>
        <v>25</v>
      </c>
      <c r="G48" s="5">
        <f>IF('Service Types'!G534="","",'Service Types'!G534)</f>
        <v>7</v>
      </c>
      <c r="H48" s="5">
        <f>IF('Service Types'!H534="","",'Service Types'!H534)</f>
        <v>12869</v>
      </c>
      <c r="I48" s="6">
        <f>IF('Service Types'!I534="","",'Service Types'!I534)</f>
        <v>3</v>
      </c>
      <c r="J48" s="6">
        <f>IF('Service Types'!J534="","",'Service Types'!J534)</f>
        <v>6.7</v>
      </c>
      <c r="K48" s="6">
        <f>IF('Service Types'!K534="","",'Service Types'!K534)</f>
        <v>14</v>
      </c>
      <c r="L48" s="4" t="str">
        <f>IF('Service Types'!Q534="","",'Service Types'!Q534)</f>
        <v>Crew</v>
      </c>
    </row>
    <row r="49" spans="1:12" x14ac:dyDescent="0.45">
      <c r="A49" s="14">
        <v>48</v>
      </c>
      <c r="B49" s="4" t="s">
        <v>831</v>
      </c>
      <c r="C49" s="4" t="str">
        <f>IF('Service Types'!B652="","",'Service Types'!B652)</f>
        <v>PDS - Development, Business and Building Services</v>
      </c>
      <c r="D49" s="5">
        <f>IF('Service Types'!E652="","",'Service Types'!E652)</f>
        <v>2365</v>
      </c>
      <c r="E49" s="5">
        <f>IF('Service Types'!D652="","",'Service Types'!D652)</f>
        <v>2394</v>
      </c>
      <c r="F49" s="5">
        <f>IF('Service Types'!F652="","",'Service Types'!F652)</f>
        <v>781</v>
      </c>
      <c r="G49" s="5">
        <f>IF('Service Types'!G652="","",'Service Types'!G652)</f>
        <v>94</v>
      </c>
      <c r="H49" s="5">
        <f>IF('Service Types'!H652="","",'Service Types'!H652)</f>
        <v>1613</v>
      </c>
      <c r="I49" s="6">
        <f>IF('Service Types'!I652="","",'Service Types'!I652)</f>
        <v>40</v>
      </c>
      <c r="J49" s="6">
        <f>IF('Service Types'!J652="","",'Service Types'!J652)</f>
        <v>41.7</v>
      </c>
      <c r="K49" s="6">
        <f>IF('Service Types'!K652="","",'Service Types'!K652)</f>
        <v>57</v>
      </c>
      <c r="L49" s="4" t="str">
        <f>IF('Service Types'!Q652="","",'Service Types'!Q652)</f>
        <v>Non-crew</v>
      </c>
    </row>
    <row r="50" spans="1:12" x14ac:dyDescent="0.45">
      <c r="A50" s="14">
        <v>49</v>
      </c>
      <c r="B50" s="4" t="s">
        <v>693</v>
      </c>
      <c r="C50" s="4" t="str">
        <f>IF('Service Types'!B536="","",'Service Types'!B536)</f>
        <v>OS - Water Services</v>
      </c>
      <c r="D50" s="5">
        <f>IF('Service Types'!E536="","",'Service Types'!E536)</f>
        <v>2342</v>
      </c>
      <c r="E50" s="5">
        <f>IF('Service Types'!D536="","",'Service Types'!D536)</f>
        <v>8915</v>
      </c>
      <c r="F50" s="5">
        <f>IF('Service Types'!F536="","",'Service Types'!F536)</f>
        <v>124</v>
      </c>
      <c r="G50" s="5">
        <f>IF('Service Types'!G536="","",'Service Types'!G536)</f>
        <v>1</v>
      </c>
      <c r="H50" s="5">
        <f>IF('Service Types'!H536="","",'Service Types'!H536)</f>
        <v>8788</v>
      </c>
      <c r="I50" s="6">
        <f>IF('Service Types'!I536="","",'Service Types'!I536)</f>
        <v>13</v>
      </c>
      <c r="J50" s="6">
        <f>IF('Service Types'!J536="","",'Service Types'!J536)</f>
        <v>33.1</v>
      </c>
      <c r="K50" s="6">
        <f>IF('Service Types'!K536="","",'Service Types'!K536)</f>
        <v>55</v>
      </c>
      <c r="L50" s="4" t="str">
        <f>IF('Service Types'!Q536="","",'Service Types'!Q536)</f>
        <v>Crew</v>
      </c>
    </row>
    <row r="51" spans="1:12" x14ac:dyDescent="0.45">
      <c r="A51" s="14">
        <v>50</v>
      </c>
      <c r="B51" s="4" t="s">
        <v>585</v>
      </c>
      <c r="C51" s="4" t="str">
        <f>IF('Service Types'!B447="","",'Service Types'!B447)</f>
        <v>OS - Parks and Open Spaces</v>
      </c>
      <c r="D51" s="5">
        <f>IF('Service Types'!E447="","",'Service Types'!E447)</f>
        <v>2284</v>
      </c>
      <c r="E51" s="5">
        <f>IF('Service Types'!D447="","",'Service Types'!D447)</f>
        <v>7166</v>
      </c>
      <c r="F51" s="5">
        <f>IF('Service Types'!F447="","",'Service Types'!F447)</f>
        <v>87</v>
      </c>
      <c r="G51" s="5">
        <f>IF('Service Types'!G447="","",'Service Types'!G447)</f>
        <v>39</v>
      </c>
      <c r="H51" s="5">
        <f>IF('Service Types'!H447="","",'Service Types'!H447)</f>
        <v>7079</v>
      </c>
      <c r="I51" s="6">
        <f>IF('Service Types'!I447="","",'Service Types'!I447)</f>
        <v>3</v>
      </c>
      <c r="J51" s="6">
        <f>IF('Service Types'!J447="","",'Service Types'!J447)</f>
        <v>5</v>
      </c>
      <c r="K51" s="6">
        <f>IF('Service Types'!K447="","",'Service Types'!K447)</f>
        <v>10</v>
      </c>
      <c r="L51" s="4" t="str">
        <f>IF('Service Types'!Q447="","",'Service Types'!Q447)</f>
        <v>Crew</v>
      </c>
    </row>
    <row r="52" spans="1:12" x14ac:dyDescent="0.45">
      <c r="A52" s="14">
        <v>51</v>
      </c>
      <c r="B52" s="4" t="s">
        <v>203</v>
      </c>
      <c r="C52" s="4" t="str">
        <f>IF('Service Types'!B130="","",'Service Types'!B130)</f>
        <v>CS - Emergency Management and Community Safety</v>
      </c>
      <c r="D52" s="5">
        <f>IF('Service Types'!E130="","",'Service Types'!E130)</f>
        <v>2121</v>
      </c>
      <c r="E52" s="5">
        <f>IF('Service Types'!D130="","",'Service Types'!D130)</f>
        <v>12305</v>
      </c>
      <c r="F52" s="5">
        <f>IF('Service Types'!F130="","",'Service Types'!F130)</f>
        <v>32</v>
      </c>
      <c r="G52" s="5">
        <f>IF('Service Types'!G130="","",'Service Types'!G130)</f>
        <v>22</v>
      </c>
      <c r="H52" s="5">
        <f>IF('Service Types'!H130="","",'Service Types'!H130)</f>
        <v>12273</v>
      </c>
      <c r="I52" s="6">
        <f>IF('Service Types'!I130="","",'Service Types'!I130)</f>
        <v>0</v>
      </c>
      <c r="J52" s="6">
        <f>IF('Service Types'!J130="","",'Service Types'!J130)</f>
        <v>3.6</v>
      </c>
      <c r="K52" s="6">
        <f>IF('Service Types'!K130="","",'Service Types'!K130)</f>
        <v>1</v>
      </c>
      <c r="L52" s="4" t="str">
        <f>IF('Service Types'!Q130="","",'Service Types'!Q130)</f>
        <v>Non-crew</v>
      </c>
    </row>
    <row r="53" spans="1:12" x14ac:dyDescent="0.45">
      <c r="A53" s="14">
        <v>52</v>
      </c>
      <c r="B53" s="4" t="s">
        <v>510</v>
      </c>
      <c r="C53" s="4" t="str">
        <f>IF('Service Types'!B385="","",'Service Types'!B385)</f>
        <v>OS - Mobility</v>
      </c>
      <c r="D53" s="5">
        <f>IF('Service Types'!E385="","",'Service Types'!E385)</f>
        <v>2109</v>
      </c>
      <c r="E53" s="5">
        <f>IF('Service Types'!D385="","",'Service Types'!D385)</f>
        <v>6103</v>
      </c>
      <c r="F53" s="5">
        <f>IF('Service Types'!F385="","",'Service Types'!F385)</f>
        <v>20</v>
      </c>
      <c r="G53" s="5">
        <f>IF('Service Types'!G385="","",'Service Types'!G385)</f>
        <v>1</v>
      </c>
      <c r="H53" s="5">
        <f>IF('Service Types'!H385="","",'Service Types'!H385)</f>
        <v>6083</v>
      </c>
      <c r="I53" s="6">
        <f>IF('Service Types'!I385="","",'Service Types'!I385)</f>
        <v>1</v>
      </c>
      <c r="J53" s="6">
        <f>IF('Service Types'!J385="","",'Service Types'!J385)</f>
        <v>6.5</v>
      </c>
      <c r="K53" s="6">
        <f>IF('Service Types'!K385="","",'Service Types'!K385)</f>
        <v>9</v>
      </c>
      <c r="L53" s="4" t="str">
        <f>IF('Service Types'!Q385="","",'Service Types'!Q385)</f>
        <v>Crew</v>
      </c>
    </row>
    <row r="54" spans="1:12" x14ac:dyDescent="0.45">
      <c r="A54" s="14">
        <v>53</v>
      </c>
      <c r="B54" s="4" t="s">
        <v>808</v>
      </c>
      <c r="C54" s="4" t="str">
        <f>IF('Service Types'!B630="","",'Service Types'!B630)</f>
        <v>PDS - Development, Business and Building Services</v>
      </c>
      <c r="D54" s="5">
        <f>IF('Service Types'!E630="","",'Service Types'!E630)</f>
        <v>2104</v>
      </c>
      <c r="E54" s="5">
        <f>IF('Service Types'!D630="","",'Service Types'!D630)</f>
        <v>16747</v>
      </c>
      <c r="F54" s="5">
        <f>IF('Service Types'!F630="","",'Service Types'!F630)</f>
        <v>15</v>
      </c>
      <c r="G54" s="5">
        <f>IF('Service Types'!G630="","",'Service Types'!G630)</f>
        <v>15</v>
      </c>
      <c r="H54" s="5">
        <f>IF('Service Types'!H630="","",'Service Types'!H630)</f>
        <v>16732</v>
      </c>
      <c r="I54" s="6">
        <f>IF('Service Types'!I630="","",'Service Types'!I630)</f>
        <v>40</v>
      </c>
      <c r="J54" s="6">
        <f>IF('Service Types'!J630="","",'Service Types'!J630)</f>
        <v>53.7</v>
      </c>
      <c r="K54" s="6">
        <f>IF('Service Types'!K630="","",'Service Types'!K630)</f>
        <v>74</v>
      </c>
      <c r="L54" s="4" t="str">
        <f>IF('Service Types'!Q630="","",'Service Types'!Q630)</f>
        <v>Non-crew</v>
      </c>
    </row>
    <row r="55" spans="1:12" x14ac:dyDescent="0.45">
      <c r="A55" s="14">
        <v>54</v>
      </c>
      <c r="B55" s="4" t="s">
        <v>692</v>
      </c>
      <c r="C55" s="4" t="str">
        <f>IF('Service Types'!B535="","",'Service Types'!B535)</f>
        <v>OS - Water Services</v>
      </c>
      <c r="D55" s="5">
        <f>IF('Service Types'!E535="","",'Service Types'!E535)</f>
        <v>2103</v>
      </c>
      <c r="E55" s="5">
        <f>IF('Service Types'!D535="","",'Service Types'!D535)</f>
        <v>9672</v>
      </c>
      <c r="F55" s="5">
        <f>IF('Service Types'!F535="","",'Service Types'!F535)</f>
        <v>398</v>
      </c>
      <c r="G55" s="5">
        <f>IF('Service Types'!G535="","",'Service Types'!G535)</f>
        <v>187</v>
      </c>
      <c r="H55" s="5">
        <f>IF('Service Types'!H535="","",'Service Types'!H535)</f>
        <v>9274</v>
      </c>
      <c r="I55" s="6">
        <f>IF('Service Types'!I535="","",'Service Types'!I535)</f>
        <v>87</v>
      </c>
      <c r="J55" s="6">
        <f>IF('Service Types'!J535="","",'Service Types'!J535)</f>
        <v>103.9</v>
      </c>
      <c r="K55" s="6">
        <f>IF('Service Types'!K535="","",'Service Types'!K535)</f>
        <v>224</v>
      </c>
      <c r="L55" s="4" t="str">
        <f>IF('Service Types'!Q535="","",'Service Types'!Q535)</f>
        <v>Crew</v>
      </c>
    </row>
    <row r="56" spans="1:12" x14ac:dyDescent="0.45">
      <c r="A56" s="14">
        <v>55</v>
      </c>
      <c r="B56" s="4" t="s">
        <v>580</v>
      </c>
      <c r="C56" s="4" t="str">
        <f>IF('Service Types'!B444="","",'Service Types'!B444)</f>
        <v>OS - Parks and Open Spaces</v>
      </c>
      <c r="D56" s="5">
        <f>IF('Service Types'!E444="","",'Service Types'!E444)</f>
        <v>2081</v>
      </c>
      <c r="E56" s="5">
        <f>IF('Service Types'!D444="","",'Service Types'!D444)</f>
        <v>11358</v>
      </c>
      <c r="F56" s="5">
        <f>IF('Service Types'!F444="","",'Service Types'!F444)</f>
        <v>21</v>
      </c>
      <c r="G56" s="5">
        <f>IF('Service Types'!G444="","",'Service Types'!G444)</f>
        <v>21</v>
      </c>
      <c r="H56" s="5">
        <f>IF('Service Types'!H444="","",'Service Types'!H444)</f>
        <v>11337</v>
      </c>
      <c r="I56" s="6">
        <f>IF('Service Types'!I444="","",'Service Types'!I444)</f>
        <v>0</v>
      </c>
      <c r="J56" s="6">
        <f>IF('Service Types'!J444="","",'Service Types'!J444)</f>
        <v>0</v>
      </c>
      <c r="K56" s="6">
        <f>IF('Service Types'!K444="","",'Service Types'!K444)</f>
        <v>0</v>
      </c>
      <c r="L56" s="4" t="str">
        <f>IF('Service Types'!Q444="","",'Service Types'!Q444)</f>
        <v>Non-crew</v>
      </c>
    </row>
    <row r="57" spans="1:12" x14ac:dyDescent="0.45">
      <c r="A57" s="14">
        <v>56</v>
      </c>
      <c r="B57" s="4" t="s">
        <v>586</v>
      </c>
      <c r="C57" s="4" t="str">
        <f>IF('Service Types'!B448="","",'Service Types'!B448)</f>
        <v>OS - Parks and Open Spaces</v>
      </c>
      <c r="D57" s="5">
        <f>IF('Service Types'!E448="","",'Service Types'!E448)</f>
        <v>2045</v>
      </c>
      <c r="E57" s="5">
        <f>IF('Service Types'!D448="","",'Service Types'!D448)</f>
        <v>6669</v>
      </c>
      <c r="F57" s="5">
        <f>IF('Service Types'!F448="","",'Service Types'!F448)</f>
        <v>39</v>
      </c>
      <c r="G57" s="5">
        <f>IF('Service Types'!G448="","",'Service Types'!G448)</f>
        <v>19</v>
      </c>
      <c r="H57" s="5">
        <f>IF('Service Types'!H448="","",'Service Types'!H448)</f>
        <v>6630</v>
      </c>
      <c r="I57" s="6">
        <f>IF('Service Types'!I448="","",'Service Types'!I448)</f>
        <v>4</v>
      </c>
      <c r="J57" s="6">
        <f>IF('Service Types'!J448="","",'Service Types'!J448)</f>
        <v>6.3</v>
      </c>
      <c r="K57" s="6">
        <f>IF('Service Types'!K448="","",'Service Types'!K448)</f>
        <v>14</v>
      </c>
      <c r="L57" s="4" t="str">
        <f>IF('Service Types'!Q448="","",'Service Types'!Q448)</f>
        <v>Crew</v>
      </c>
    </row>
    <row r="58" spans="1:12" x14ac:dyDescent="0.45">
      <c r="A58" s="14">
        <v>57</v>
      </c>
      <c r="B58" s="4" t="s">
        <v>213</v>
      </c>
      <c r="C58" s="4" t="str">
        <f>IF('Service Types'!B136="","",'Service Types'!B136)</f>
        <v>CS - Emergency Management and Community Safety</v>
      </c>
      <c r="D58" s="5">
        <f>IF('Service Types'!E136="","",'Service Types'!E136)</f>
        <v>2005</v>
      </c>
      <c r="E58" s="5">
        <f>IF('Service Types'!D136="","",'Service Types'!D136)</f>
        <v>7646</v>
      </c>
      <c r="F58" s="5">
        <f>IF('Service Types'!F136="","",'Service Types'!F136)</f>
        <v>1279</v>
      </c>
      <c r="G58" s="5">
        <f>IF('Service Types'!G136="","",'Service Types'!G136)</f>
        <v>894</v>
      </c>
      <c r="H58" s="5">
        <f>IF('Service Types'!H136="","",'Service Types'!H136)</f>
        <v>6367</v>
      </c>
      <c r="I58" s="6">
        <f>IF('Service Types'!I136="","",'Service Types'!I136)</f>
        <v>19</v>
      </c>
      <c r="J58" s="6">
        <f>IF('Service Types'!J136="","",'Service Types'!J136)</f>
        <v>27.2</v>
      </c>
      <c r="K58" s="6">
        <f>IF('Service Types'!K136="","",'Service Types'!K136)</f>
        <v>70</v>
      </c>
      <c r="L58" s="4" t="str">
        <f>IF('Service Types'!Q136="","",'Service Types'!Q136)</f>
        <v>Non-crew</v>
      </c>
    </row>
    <row r="59" spans="1:12" x14ac:dyDescent="0.45">
      <c r="A59" s="14">
        <v>58</v>
      </c>
      <c r="B59" s="4" t="s">
        <v>212</v>
      </c>
      <c r="C59" s="4" t="str">
        <f>IF('Service Types'!B135="","",'Service Types'!B135)</f>
        <v>CS - Emergency Management and Community Safety</v>
      </c>
      <c r="D59" s="5">
        <f>IF('Service Types'!E135="","",'Service Types'!E135)</f>
        <v>1876</v>
      </c>
      <c r="E59" s="5">
        <f>IF('Service Types'!D135="","",'Service Types'!D135)</f>
        <v>7854</v>
      </c>
      <c r="F59" s="5">
        <f>IF('Service Types'!F135="","",'Service Types'!F135)</f>
        <v>103</v>
      </c>
      <c r="G59" s="5">
        <f>IF('Service Types'!G135="","",'Service Types'!G135)</f>
        <v>87</v>
      </c>
      <c r="H59" s="5">
        <f>IF('Service Types'!H135="","",'Service Types'!H135)</f>
        <v>7751</v>
      </c>
      <c r="I59" s="6">
        <f>IF('Service Types'!I135="","",'Service Types'!I135)</f>
        <v>2</v>
      </c>
      <c r="J59" s="6">
        <f>IF('Service Types'!J135="","",'Service Types'!J135)</f>
        <v>6.7</v>
      </c>
      <c r="K59" s="6">
        <f>IF('Service Types'!K135="","",'Service Types'!K135)</f>
        <v>12</v>
      </c>
      <c r="L59" s="4" t="str">
        <f>IF('Service Types'!Q135="","",'Service Types'!Q135)</f>
        <v>Non-crew</v>
      </c>
    </row>
    <row r="60" spans="1:12" x14ac:dyDescent="0.45">
      <c r="A60" s="14">
        <v>59</v>
      </c>
      <c r="B60" s="4" t="s">
        <v>582</v>
      </c>
      <c r="C60" s="4" t="str">
        <f>IF('Service Types'!B445="","",'Service Types'!B445)</f>
        <v>OS - Parks and Open Spaces</v>
      </c>
      <c r="D60" s="5">
        <f>IF('Service Types'!E445="","",'Service Types'!E445)</f>
        <v>1857</v>
      </c>
      <c r="E60" s="5">
        <f>IF('Service Types'!D445="","",'Service Types'!D445)</f>
        <v>9522</v>
      </c>
      <c r="F60" s="5">
        <f>IF('Service Types'!F445="","",'Service Types'!F445)</f>
        <v>6</v>
      </c>
      <c r="G60" s="5">
        <f>IF('Service Types'!G445="","",'Service Types'!G445)</f>
        <v>3</v>
      </c>
      <c r="H60" s="5">
        <f>IF('Service Types'!H445="","",'Service Types'!H445)</f>
        <v>9516</v>
      </c>
      <c r="I60" s="6">
        <f>IF('Service Types'!I445="","",'Service Types'!I445)</f>
        <v>0</v>
      </c>
      <c r="J60" s="6">
        <f>IF('Service Types'!J445="","",'Service Types'!J445)</f>
        <v>1</v>
      </c>
      <c r="K60" s="6">
        <f>IF('Service Types'!K445="","",'Service Types'!K445)</f>
        <v>2</v>
      </c>
      <c r="L60" s="4" t="str">
        <f>IF('Service Types'!Q445="","",'Service Types'!Q445)</f>
        <v>Non-crew</v>
      </c>
    </row>
    <row r="61" spans="1:12" x14ac:dyDescent="0.45">
      <c r="A61" s="14">
        <v>60</v>
      </c>
      <c r="B61" s="4" t="s">
        <v>601</v>
      </c>
      <c r="C61" s="4" t="str">
        <f>IF('Service Types'!B462="","",'Service Types'!B462)</f>
        <v>OS - Parks and Open Spaces</v>
      </c>
      <c r="D61" s="5">
        <f>IF('Service Types'!E462="","",'Service Types'!E462)</f>
        <v>1836</v>
      </c>
      <c r="E61" s="5">
        <f>IF('Service Types'!D462="","",'Service Types'!D462)</f>
        <v>1896</v>
      </c>
      <c r="F61" s="5">
        <f>IF('Service Types'!F462="","",'Service Types'!F462)</f>
        <v>136</v>
      </c>
      <c r="G61" s="5">
        <f>IF('Service Types'!G462="","",'Service Types'!G462)</f>
        <v>31</v>
      </c>
      <c r="H61" s="5">
        <f>IF('Service Types'!H462="","",'Service Types'!H462)</f>
        <v>1760</v>
      </c>
      <c r="I61" s="6">
        <f>IF('Service Types'!I462="","",'Service Types'!I462)</f>
        <v>5</v>
      </c>
      <c r="J61" s="6">
        <f>IF('Service Types'!J462="","",'Service Types'!J462)</f>
        <v>10.1</v>
      </c>
      <c r="K61" s="6">
        <f>IF('Service Types'!K462="","",'Service Types'!K462)</f>
        <v>27</v>
      </c>
      <c r="L61" s="4" t="str">
        <f>IF('Service Types'!Q462="","",'Service Types'!Q462)</f>
        <v>Non-crew</v>
      </c>
    </row>
    <row r="62" spans="1:12" x14ac:dyDescent="0.45">
      <c r="A62" s="14">
        <v>61</v>
      </c>
      <c r="B62" s="4" t="s">
        <v>456</v>
      </c>
      <c r="C62" s="4" t="str">
        <f>IF('Service Types'!B347="","",'Service Types'!B347)</f>
        <v>OS - Calgary Transit</v>
      </c>
      <c r="D62" s="5">
        <f>IF('Service Types'!E347="","",'Service Types'!E347)</f>
        <v>1835</v>
      </c>
      <c r="E62" s="5">
        <f>IF('Service Types'!D347="","",'Service Types'!D347)</f>
        <v>9052</v>
      </c>
      <c r="F62" s="5">
        <f>IF('Service Types'!F347="","",'Service Types'!F347)</f>
        <v>20</v>
      </c>
      <c r="G62" s="5">
        <f>IF('Service Types'!G347="","",'Service Types'!G347)</f>
        <v>8</v>
      </c>
      <c r="H62" s="5">
        <f>IF('Service Types'!H347="","",'Service Types'!H347)</f>
        <v>9032</v>
      </c>
      <c r="I62" s="6">
        <f>IF('Service Types'!I347="","",'Service Types'!I347)</f>
        <v>6</v>
      </c>
      <c r="J62" s="6">
        <f>IF('Service Types'!J347="","",'Service Types'!J347)</f>
        <v>9.9</v>
      </c>
      <c r="K62" s="6">
        <f>IF('Service Types'!K347="","",'Service Types'!K347)</f>
        <v>27</v>
      </c>
      <c r="L62" s="4" t="str">
        <f>IF('Service Types'!Q347="","",'Service Types'!Q347)</f>
        <v>Non-crew</v>
      </c>
    </row>
    <row r="63" spans="1:12" x14ac:dyDescent="0.45">
      <c r="A63" s="14">
        <v>62</v>
      </c>
      <c r="B63" s="4" t="s">
        <v>509</v>
      </c>
      <c r="C63" s="4" t="str">
        <f>IF('Service Types'!B384="","",'Service Types'!B384)</f>
        <v>OS - Mobility</v>
      </c>
      <c r="D63" s="5">
        <f>IF('Service Types'!E384="","",'Service Types'!E384)</f>
        <v>1807</v>
      </c>
      <c r="E63" s="5">
        <f>IF('Service Types'!D384="","",'Service Types'!D384)</f>
        <v>6995</v>
      </c>
      <c r="F63" s="5">
        <f>IF('Service Types'!F384="","",'Service Types'!F384)</f>
        <v>86</v>
      </c>
      <c r="G63" s="5">
        <f>IF('Service Types'!G384="","",'Service Types'!G384)</f>
        <v>61</v>
      </c>
      <c r="H63" s="5">
        <f>IF('Service Types'!H384="","",'Service Types'!H384)</f>
        <v>6909</v>
      </c>
      <c r="I63" s="6">
        <f>IF('Service Types'!I384="","",'Service Types'!I384)</f>
        <v>2</v>
      </c>
      <c r="J63" s="6">
        <f>IF('Service Types'!J384="","",'Service Types'!J384)</f>
        <v>6</v>
      </c>
      <c r="K63" s="6">
        <f>IF('Service Types'!K384="","",'Service Types'!K384)</f>
        <v>13</v>
      </c>
      <c r="L63" s="4" t="str">
        <f>IF('Service Types'!Q384="","",'Service Types'!Q384)</f>
        <v>Non-crew</v>
      </c>
    </row>
    <row r="64" spans="1:12" x14ac:dyDescent="0.45">
      <c r="A64" s="14">
        <v>63</v>
      </c>
      <c r="B64" s="4" t="s">
        <v>215</v>
      </c>
      <c r="C64" s="4" t="str">
        <f>IF('Service Types'!B138="","",'Service Types'!B138)</f>
        <v>CS - Emergency Management and Community Safety</v>
      </c>
      <c r="D64" s="5">
        <f>IF('Service Types'!E138="","",'Service Types'!E138)</f>
        <v>1756</v>
      </c>
      <c r="E64" s="5">
        <f>IF('Service Types'!D138="","",'Service Types'!D138)</f>
        <v>6369</v>
      </c>
      <c r="F64" s="5">
        <f>IF('Service Types'!F138="","",'Service Types'!F138)</f>
        <v>109</v>
      </c>
      <c r="G64" s="5">
        <f>IF('Service Types'!G138="","",'Service Types'!G138)</f>
        <v>40</v>
      </c>
      <c r="H64" s="5">
        <f>IF('Service Types'!H138="","",'Service Types'!H138)</f>
        <v>6260</v>
      </c>
      <c r="I64" s="6">
        <f>IF('Service Types'!I138="","",'Service Types'!I138)</f>
        <v>4</v>
      </c>
      <c r="J64" s="6">
        <f>IF('Service Types'!J138="","",'Service Types'!J138)</f>
        <v>13.3</v>
      </c>
      <c r="K64" s="6">
        <f>IF('Service Types'!K138="","",'Service Types'!K138)</f>
        <v>31</v>
      </c>
      <c r="L64" s="4" t="str">
        <f>IF('Service Types'!Q138="","",'Service Types'!Q138)</f>
        <v>Non-crew</v>
      </c>
    </row>
    <row r="65" spans="1:12" x14ac:dyDescent="0.45">
      <c r="A65" s="14">
        <v>64</v>
      </c>
      <c r="B65" s="4" t="s">
        <v>298</v>
      </c>
      <c r="C65" s="4" t="str">
        <f>IF('Service Types'!B214="","",'Service Types'!B214)</f>
        <v>CS - Recreation and Social Programs</v>
      </c>
      <c r="D65" s="5">
        <f>IF('Service Types'!E214="","",'Service Types'!E214)</f>
        <v>1752</v>
      </c>
      <c r="E65" s="5">
        <f>IF('Service Types'!D214="","",'Service Types'!D214)</f>
        <v>7596</v>
      </c>
      <c r="F65" s="5">
        <f>IF('Service Types'!F214="","",'Service Types'!F214)</f>
        <v>108</v>
      </c>
      <c r="G65" s="5">
        <f>IF('Service Types'!G214="","",'Service Types'!G214)</f>
        <v>49</v>
      </c>
      <c r="H65" s="5">
        <f>IF('Service Types'!H214="","",'Service Types'!H214)</f>
        <v>7488</v>
      </c>
      <c r="I65" s="6">
        <f>IF('Service Types'!I214="","",'Service Types'!I214)</f>
        <v>9</v>
      </c>
      <c r="J65" s="6">
        <f>IF('Service Types'!J214="","",'Service Types'!J214)</f>
        <v>21.1</v>
      </c>
      <c r="K65" s="6">
        <f>IF('Service Types'!K214="","",'Service Types'!K214)</f>
        <v>49</v>
      </c>
      <c r="L65" s="4" t="str">
        <f>IF('Service Types'!Q214="","",'Service Types'!Q214)</f>
        <v>Non-crew</v>
      </c>
    </row>
    <row r="66" spans="1:12" x14ac:dyDescent="0.45">
      <c r="A66" s="14">
        <v>65</v>
      </c>
      <c r="B66" s="4" t="s">
        <v>350</v>
      </c>
      <c r="C66" s="4" t="str">
        <f>IF('Service Types'!B264="","",'Service Types'!B264)</f>
        <v>Corporate Wide Service Requests</v>
      </c>
      <c r="D66" s="5">
        <f>IF('Service Types'!E264="","",'Service Types'!E264)</f>
        <v>1708</v>
      </c>
      <c r="E66" s="5">
        <f>IF('Service Types'!D264="","",'Service Types'!D264)</f>
        <v>8984</v>
      </c>
      <c r="F66" s="5">
        <f>IF('Service Types'!F264="","",'Service Types'!F264)</f>
        <v>18</v>
      </c>
      <c r="G66" s="5">
        <f>IF('Service Types'!G264="","",'Service Types'!G264)</f>
        <v>8</v>
      </c>
      <c r="H66" s="5">
        <f>IF('Service Types'!H264="","",'Service Types'!H264)</f>
        <v>8966</v>
      </c>
      <c r="I66" s="6">
        <f>IF('Service Types'!I264="","",'Service Types'!I264)</f>
        <v>0</v>
      </c>
      <c r="J66" s="6">
        <f>IF('Service Types'!J264="","",'Service Types'!J264)</f>
        <v>4.8</v>
      </c>
      <c r="K66" s="6">
        <f>IF('Service Types'!K264="","",'Service Types'!K264)</f>
        <v>2</v>
      </c>
      <c r="L66" s="4" t="str">
        <f>IF('Service Types'!Q264="","",'Service Types'!Q264)</f>
        <v>Non-crew</v>
      </c>
    </row>
    <row r="67" spans="1:12" x14ac:dyDescent="0.45">
      <c r="A67" s="14">
        <v>66</v>
      </c>
      <c r="B67" s="4" t="s">
        <v>694</v>
      </c>
      <c r="C67" s="4" t="str">
        <f>IF('Service Types'!B537="","",'Service Types'!B537)</f>
        <v>OS - Water Services</v>
      </c>
      <c r="D67" s="5">
        <f>IF('Service Types'!E537="","",'Service Types'!E537)</f>
        <v>1675</v>
      </c>
      <c r="E67" s="5">
        <f>IF('Service Types'!D537="","",'Service Types'!D537)</f>
        <v>8470</v>
      </c>
      <c r="F67" s="5">
        <f>IF('Service Types'!F537="","",'Service Types'!F537)</f>
        <v>10</v>
      </c>
      <c r="G67" s="5">
        <f>IF('Service Types'!G537="","",'Service Types'!G537)</f>
        <v>8</v>
      </c>
      <c r="H67" s="5">
        <f>IF('Service Types'!H537="","",'Service Types'!H537)</f>
        <v>7516</v>
      </c>
      <c r="I67" s="6">
        <f>IF('Service Types'!I537="","",'Service Types'!I537)</f>
        <v>0</v>
      </c>
      <c r="J67" s="6">
        <f>IF('Service Types'!J537="","",'Service Types'!J537)</f>
        <v>1.2</v>
      </c>
      <c r="K67" s="6">
        <f>IF('Service Types'!K537="","",'Service Types'!K537)</f>
        <v>1</v>
      </c>
      <c r="L67" s="4" t="str">
        <f>IF('Service Types'!Q537="","",'Service Types'!Q537)</f>
        <v>Crew</v>
      </c>
    </row>
    <row r="68" spans="1:12" x14ac:dyDescent="0.45">
      <c r="A68" s="14">
        <v>67</v>
      </c>
      <c r="B68" s="4" t="s">
        <v>517</v>
      </c>
      <c r="C68" s="4" t="str">
        <f>IF('Service Types'!B389="","",'Service Types'!B389)</f>
        <v>OS - Mobility</v>
      </c>
      <c r="D68" s="5">
        <f>IF('Service Types'!E389="","",'Service Types'!E389)</f>
        <v>1634</v>
      </c>
      <c r="E68" s="5">
        <f>IF('Service Types'!D389="","",'Service Types'!D389)</f>
        <v>4633</v>
      </c>
      <c r="F68" s="5">
        <f>IF('Service Types'!F389="","",'Service Types'!F389)</f>
        <v>0</v>
      </c>
      <c r="G68" s="5">
        <f>IF('Service Types'!G389="","",'Service Types'!G389)</f>
        <v>0</v>
      </c>
      <c r="H68" s="5">
        <f>IF('Service Types'!H389="","",'Service Types'!H389)</f>
        <v>4633</v>
      </c>
      <c r="I68" s="6">
        <f>IF('Service Types'!I389="","",'Service Types'!I389)</f>
        <v>2</v>
      </c>
      <c r="J68" s="6">
        <f>IF('Service Types'!J389="","",'Service Types'!J389)</f>
        <v>6.1</v>
      </c>
      <c r="K68" s="6">
        <f>IF('Service Types'!K389="","",'Service Types'!K389)</f>
        <v>13</v>
      </c>
      <c r="L68" s="4" t="str">
        <f>IF('Service Types'!Q389="","",'Service Types'!Q389)</f>
        <v>Crew</v>
      </c>
    </row>
    <row r="69" spans="1:12" x14ac:dyDescent="0.45">
      <c r="A69" s="14">
        <v>68</v>
      </c>
      <c r="B69" s="4" t="s">
        <v>214</v>
      </c>
      <c r="C69" s="4" t="str">
        <f>IF('Service Types'!B137="","",'Service Types'!B137)</f>
        <v>CS - Emergency Management and Community Safety</v>
      </c>
      <c r="D69" s="5">
        <f>IF('Service Types'!E137="","",'Service Types'!E137)</f>
        <v>1568</v>
      </c>
      <c r="E69" s="5">
        <f>IF('Service Types'!D137="","",'Service Types'!D137)</f>
        <v>6634</v>
      </c>
      <c r="F69" s="5">
        <f>IF('Service Types'!F137="","",'Service Types'!F137)</f>
        <v>144</v>
      </c>
      <c r="G69" s="5">
        <f>IF('Service Types'!G137="","",'Service Types'!G137)</f>
        <v>72</v>
      </c>
      <c r="H69" s="5">
        <f>IF('Service Types'!H137="","",'Service Types'!H137)</f>
        <v>6315</v>
      </c>
      <c r="I69" s="6">
        <f>IF('Service Types'!I137="","",'Service Types'!I137)</f>
        <v>6</v>
      </c>
      <c r="J69" s="6">
        <f>IF('Service Types'!J137="","",'Service Types'!J137)</f>
        <v>18.2</v>
      </c>
      <c r="K69" s="6">
        <f>IF('Service Types'!K137="","",'Service Types'!K137)</f>
        <v>45</v>
      </c>
      <c r="L69" s="4" t="str">
        <f>IF('Service Types'!Q137="","",'Service Types'!Q137)</f>
        <v>Non-crew</v>
      </c>
    </row>
    <row r="70" spans="1:12" x14ac:dyDescent="0.45">
      <c r="A70" s="14">
        <v>69</v>
      </c>
      <c r="B70" s="4" t="s">
        <v>584</v>
      </c>
      <c r="C70" s="4" t="str">
        <f>IF('Service Types'!B446="","",'Service Types'!B446)</f>
        <v>OS - Parks and Open Spaces</v>
      </c>
      <c r="D70" s="5">
        <f>IF('Service Types'!E446="","",'Service Types'!E446)</f>
        <v>1520</v>
      </c>
      <c r="E70" s="5">
        <f>IF('Service Types'!D446="","",'Service Types'!D446)</f>
        <v>7682</v>
      </c>
      <c r="F70" s="5">
        <f>IF('Service Types'!F446="","",'Service Types'!F446)</f>
        <v>36</v>
      </c>
      <c r="G70" s="5">
        <f>IF('Service Types'!G446="","",'Service Types'!G446)</f>
        <v>29</v>
      </c>
      <c r="H70" s="5">
        <f>IF('Service Types'!H446="","",'Service Types'!H446)</f>
        <v>7646</v>
      </c>
      <c r="I70" s="6">
        <f>IF('Service Types'!I446="","",'Service Types'!I446)</f>
        <v>3</v>
      </c>
      <c r="J70" s="6">
        <f>IF('Service Types'!J446="","",'Service Types'!J446)</f>
        <v>5.9</v>
      </c>
      <c r="K70" s="6">
        <f>IF('Service Types'!K446="","",'Service Types'!K446)</f>
        <v>14</v>
      </c>
      <c r="L70" s="4" t="str">
        <f>IF('Service Types'!Q446="","",'Service Types'!Q446)</f>
        <v>Crew</v>
      </c>
    </row>
    <row r="71" spans="1:12" x14ac:dyDescent="0.45">
      <c r="A71" s="14">
        <v>70</v>
      </c>
      <c r="B71" s="4" t="s">
        <v>588</v>
      </c>
      <c r="C71" s="4" t="str">
        <f>IF('Service Types'!B450="","",'Service Types'!B450)</f>
        <v>OS - Parks and Open Spaces</v>
      </c>
      <c r="D71" s="5">
        <f>IF('Service Types'!E450="","",'Service Types'!E450)</f>
        <v>1464</v>
      </c>
      <c r="E71" s="5">
        <f>IF('Service Types'!D450="","",'Service Types'!D450)</f>
        <v>5214</v>
      </c>
      <c r="F71" s="5">
        <f>IF('Service Types'!F450="","",'Service Types'!F450)</f>
        <v>34</v>
      </c>
      <c r="G71" s="5">
        <f>IF('Service Types'!G450="","",'Service Types'!G450)</f>
        <v>0</v>
      </c>
      <c r="H71" s="5">
        <f>IF('Service Types'!H450="","",'Service Types'!H450)</f>
        <v>5180</v>
      </c>
      <c r="I71" s="6">
        <f>IF('Service Types'!I450="","",'Service Types'!I450)</f>
        <v>2</v>
      </c>
      <c r="J71" s="6">
        <f>IF('Service Types'!J450="","",'Service Types'!J450)</f>
        <v>5.3</v>
      </c>
      <c r="K71" s="6">
        <f>IF('Service Types'!K450="","",'Service Types'!K450)</f>
        <v>8</v>
      </c>
      <c r="L71" s="4" t="str">
        <f>IF('Service Types'!Q450="","",'Service Types'!Q450)</f>
        <v>Non-crew</v>
      </c>
    </row>
    <row r="72" spans="1:12" x14ac:dyDescent="0.45">
      <c r="A72" s="14">
        <v>71</v>
      </c>
      <c r="B72" s="4" t="s">
        <v>526</v>
      </c>
      <c r="C72" s="4" t="str">
        <f>IF('Service Types'!B397="","",'Service Types'!B397)</f>
        <v>OS - Mobility</v>
      </c>
      <c r="D72" s="5">
        <f>IF('Service Types'!E397="","",'Service Types'!E397)</f>
        <v>1456</v>
      </c>
      <c r="E72" s="5">
        <f>IF('Service Types'!D397="","",'Service Types'!D397)</f>
        <v>1456</v>
      </c>
      <c r="F72" s="5">
        <f>IF('Service Types'!F397="","",'Service Types'!F397)</f>
        <v>970</v>
      </c>
      <c r="G72" s="5">
        <f>IF('Service Types'!G397="","",'Service Types'!G397)</f>
        <v>207</v>
      </c>
      <c r="H72" s="5">
        <f>IF('Service Types'!H397="","",'Service Types'!H397)</f>
        <v>470</v>
      </c>
      <c r="I72" s="6">
        <f>IF('Service Types'!I397="","",'Service Types'!I397)</f>
        <v>13</v>
      </c>
      <c r="J72" s="6">
        <f>IF('Service Types'!J397="","",'Service Types'!J397)</f>
        <v>13.9</v>
      </c>
      <c r="K72" s="6">
        <f>IF('Service Types'!K397="","",'Service Types'!K397)</f>
        <v>21</v>
      </c>
      <c r="L72" s="4" t="str">
        <f>IF('Service Types'!Q397="","",'Service Types'!Q397)</f>
        <v>Crew</v>
      </c>
    </row>
    <row r="73" spans="1:12" x14ac:dyDescent="0.45">
      <c r="A73" s="14">
        <v>72</v>
      </c>
      <c r="B73" s="4" t="s">
        <v>463</v>
      </c>
      <c r="C73" s="4" t="str">
        <f>IF('Service Types'!B353="","",'Service Types'!B353)</f>
        <v>OS - Calgary Transit</v>
      </c>
      <c r="D73" s="5">
        <f>IF('Service Types'!E353="","",'Service Types'!E353)</f>
        <v>1430</v>
      </c>
      <c r="E73" s="5">
        <f>IF('Service Types'!D353="","",'Service Types'!D353)</f>
        <v>1431</v>
      </c>
      <c r="F73" s="5">
        <f>IF('Service Types'!F353="","",'Service Types'!F353)</f>
        <v>16</v>
      </c>
      <c r="G73" s="5">
        <f>IF('Service Types'!G353="","",'Service Types'!G353)</f>
        <v>2</v>
      </c>
      <c r="H73" s="5">
        <f>IF('Service Types'!H353="","",'Service Types'!H353)</f>
        <v>1415</v>
      </c>
      <c r="I73" s="6">
        <f>IF('Service Types'!I353="","",'Service Types'!I353)</f>
        <v>1</v>
      </c>
      <c r="J73" s="6">
        <f>IF('Service Types'!J353="","",'Service Types'!J353)</f>
        <v>1.8</v>
      </c>
      <c r="K73" s="6">
        <f>IF('Service Types'!K353="","",'Service Types'!K353)</f>
        <v>4</v>
      </c>
      <c r="L73" s="4" t="str">
        <f>IF('Service Types'!Q353="","",'Service Types'!Q353)</f>
        <v>Non-crew</v>
      </c>
    </row>
    <row r="74" spans="1:12" x14ac:dyDescent="0.45">
      <c r="A74" s="14">
        <v>73</v>
      </c>
      <c r="B74" s="4" t="s">
        <v>299</v>
      </c>
      <c r="C74" s="4" t="str">
        <f>IF('Service Types'!B215="","",'Service Types'!B215)</f>
        <v>CS - Recreation and Social Programs</v>
      </c>
      <c r="D74" s="5">
        <f>IF('Service Types'!E215="","",'Service Types'!E215)</f>
        <v>1388</v>
      </c>
      <c r="E74" s="5">
        <f>IF('Service Types'!D215="","",'Service Types'!D215)</f>
        <v>6657</v>
      </c>
      <c r="F74" s="5">
        <f>IF('Service Types'!F215="","",'Service Types'!F215)</f>
        <v>25</v>
      </c>
      <c r="G74" s="5">
        <f>IF('Service Types'!G215="","",'Service Types'!G215)</f>
        <v>17</v>
      </c>
      <c r="H74" s="5">
        <f>IF('Service Types'!H215="","",'Service Types'!H215)</f>
        <v>6632</v>
      </c>
      <c r="I74" s="6">
        <f>IF('Service Types'!I215="","",'Service Types'!I215)</f>
        <v>2</v>
      </c>
      <c r="J74" s="6">
        <f>IF('Service Types'!J215="","",'Service Types'!J215)</f>
        <v>12.7</v>
      </c>
      <c r="K74" s="6">
        <f>IF('Service Types'!K215="","",'Service Types'!K215)</f>
        <v>23</v>
      </c>
      <c r="L74" s="4" t="str">
        <f>IF('Service Types'!Q215="","",'Service Types'!Q215)</f>
        <v>Non-crew</v>
      </c>
    </row>
    <row r="75" spans="1:12" x14ac:dyDescent="0.45">
      <c r="A75" s="14">
        <v>74</v>
      </c>
      <c r="B75" s="4" t="s">
        <v>595</v>
      </c>
      <c r="C75" s="4" t="str">
        <f>IF('Service Types'!B457="","",'Service Types'!B457)</f>
        <v>OS - Parks and Open Spaces</v>
      </c>
      <c r="D75" s="5">
        <f>IF('Service Types'!E457="","",'Service Types'!E457)</f>
        <v>1372</v>
      </c>
      <c r="E75" s="5">
        <f>IF('Service Types'!D457="","",'Service Types'!D457)</f>
        <v>2576</v>
      </c>
      <c r="F75" s="5">
        <f>IF('Service Types'!F457="","",'Service Types'!F457)</f>
        <v>33</v>
      </c>
      <c r="G75" s="5">
        <f>IF('Service Types'!G457="","",'Service Types'!G457)</f>
        <v>13</v>
      </c>
      <c r="H75" s="5">
        <f>IF('Service Types'!H457="","",'Service Types'!H457)</f>
        <v>2543</v>
      </c>
      <c r="I75" s="6">
        <f>IF('Service Types'!I457="","",'Service Types'!I457)</f>
        <v>4</v>
      </c>
      <c r="J75" s="6">
        <f>IF('Service Types'!J457="","",'Service Types'!J457)</f>
        <v>8.6999999999999993</v>
      </c>
      <c r="K75" s="6">
        <f>IF('Service Types'!K457="","",'Service Types'!K457)</f>
        <v>19</v>
      </c>
      <c r="L75" s="4" t="str">
        <f>IF('Service Types'!Q457="","",'Service Types'!Q457)</f>
        <v>Crew</v>
      </c>
    </row>
    <row r="76" spans="1:12" x14ac:dyDescent="0.45">
      <c r="A76" s="14">
        <v>75</v>
      </c>
      <c r="B76" s="4" t="s">
        <v>511</v>
      </c>
      <c r="C76" s="4" t="str">
        <f>IF('Service Types'!B386="","",'Service Types'!B386)</f>
        <v>OS - Mobility</v>
      </c>
      <c r="D76" s="5">
        <f>IF('Service Types'!E386="","",'Service Types'!E386)</f>
        <v>1353</v>
      </c>
      <c r="E76" s="5">
        <f>IF('Service Types'!D386="","",'Service Types'!D386)</f>
        <v>5693</v>
      </c>
      <c r="F76" s="5">
        <f>IF('Service Types'!F386="","",'Service Types'!F386)</f>
        <v>34</v>
      </c>
      <c r="G76" s="5">
        <f>IF('Service Types'!G386="","",'Service Types'!G386)</f>
        <v>17</v>
      </c>
      <c r="H76" s="5">
        <f>IF('Service Types'!H386="","",'Service Types'!H386)</f>
        <v>5659</v>
      </c>
      <c r="I76" s="6">
        <f>IF('Service Types'!I386="","",'Service Types'!I386)</f>
        <v>2</v>
      </c>
      <c r="J76" s="6">
        <f>IF('Service Types'!J386="","",'Service Types'!J386)</f>
        <v>15.8</v>
      </c>
      <c r="K76" s="6">
        <f>IF('Service Types'!K386="","",'Service Types'!K386)</f>
        <v>15</v>
      </c>
      <c r="L76" s="4" t="str">
        <f>IF('Service Types'!Q386="","",'Service Types'!Q386)</f>
        <v>Crew</v>
      </c>
    </row>
    <row r="77" spans="1:12" x14ac:dyDescent="0.45">
      <c r="A77" s="14">
        <v>76</v>
      </c>
      <c r="B77" s="4" t="s">
        <v>66</v>
      </c>
      <c r="C77" s="4" t="str">
        <f>IF('Service Types'!B19="","",'Service Types'!B19)</f>
        <v>CPFS - Assessment and Tax</v>
      </c>
      <c r="D77" s="5">
        <f>IF('Service Types'!E19="","",'Service Types'!E19)</f>
        <v>1340</v>
      </c>
      <c r="E77" s="5">
        <f>IF('Service Types'!D19="","",'Service Types'!D19)</f>
        <v>1340</v>
      </c>
      <c r="F77" s="5">
        <f>IF('Service Types'!F19="","",'Service Types'!F19)</f>
        <v>54</v>
      </c>
      <c r="G77" s="5">
        <f>IF('Service Types'!G19="","",'Service Types'!G19)</f>
        <v>4</v>
      </c>
      <c r="H77" s="5">
        <f>IF('Service Types'!H19="","",'Service Types'!H19)</f>
        <v>1286</v>
      </c>
      <c r="I77" s="6">
        <f>IF('Service Types'!I19="","",'Service Types'!I19)</f>
        <v>4</v>
      </c>
      <c r="J77" s="6">
        <f>IF('Service Types'!J19="","",'Service Types'!J19)</f>
        <v>6.2</v>
      </c>
      <c r="K77" s="6">
        <f>IF('Service Types'!K19="","",'Service Types'!K19)</f>
        <v>11</v>
      </c>
      <c r="L77" s="4" t="str">
        <f>IF('Service Types'!Q19="","",'Service Types'!Q19)</f>
        <v>Non-crew</v>
      </c>
    </row>
    <row r="78" spans="1:12" x14ac:dyDescent="0.45">
      <c r="A78" s="14">
        <v>77</v>
      </c>
      <c r="B78" s="4" t="s">
        <v>220</v>
      </c>
      <c r="C78" s="4" t="str">
        <f>IF('Service Types'!B141="","",'Service Types'!B141)</f>
        <v>CS - Emergency Management and Community Safety</v>
      </c>
      <c r="D78" s="5">
        <f>IF('Service Types'!E141="","",'Service Types'!E141)</f>
        <v>1323</v>
      </c>
      <c r="E78" s="5">
        <f>IF('Service Types'!D141="","",'Service Types'!D141)</f>
        <v>3450</v>
      </c>
      <c r="F78" s="5">
        <f>IF('Service Types'!F141="","",'Service Types'!F141)</f>
        <v>154</v>
      </c>
      <c r="G78" s="5">
        <f>IF('Service Types'!G141="","",'Service Types'!G141)</f>
        <v>52</v>
      </c>
      <c r="H78" s="5">
        <f>IF('Service Types'!H141="","",'Service Types'!H141)</f>
        <v>3296</v>
      </c>
      <c r="I78" s="6">
        <f>IF('Service Types'!I141="","",'Service Types'!I141)</f>
        <v>10</v>
      </c>
      <c r="J78" s="6">
        <f>IF('Service Types'!J141="","",'Service Types'!J141)</f>
        <v>24.9</v>
      </c>
      <c r="K78" s="6">
        <f>IF('Service Types'!K141="","",'Service Types'!K141)</f>
        <v>62</v>
      </c>
      <c r="L78" s="4" t="str">
        <f>IF('Service Types'!Q141="","",'Service Types'!Q141)</f>
        <v>Non-crew</v>
      </c>
    </row>
    <row r="79" spans="1:12" x14ac:dyDescent="0.45">
      <c r="A79" s="14">
        <v>78</v>
      </c>
      <c r="B79" s="4" t="s">
        <v>591</v>
      </c>
      <c r="C79" s="4" t="str">
        <f>IF('Service Types'!B453="","",'Service Types'!B453)</f>
        <v>OS - Parks and Open Spaces</v>
      </c>
      <c r="D79" s="5">
        <f>IF('Service Types'!E453="","",'Service Types'!E453)</f>
        <v>1292</v>
      </c>
      <c r="E79" s="5">
        <f>IF('Service Types'!D453="","",'Service Types'!D453)</f>
        <v>4333</v>
      </c>
      <c r="F79" s="5">
        <f>IF('Service Types'!F453="","",'Service Types'!F453)</f>
        <v>85</v>
      </c>
      <c r="G79" s="5">
        <f>IF('Service Types'!G453="","",'Service Types'!G453)</f>
        <v>35</v>
      </c>
      <c r="H79" s="5">
        <f>IF('Service Types'!H453="","",'Service Types'!H453)</f>
        <v>4248</v>
      </c>
      <c r="I79" s="6">
        <f>IF('Service Types'!I453="","",'Service Types'!I453)</f>
        <v>3</v>
      </c>
      <c r="J79" s="6">
        <f>IF('Service Types'!J453="","",'Service Types'!J453)</f>
        <v>6.6</v>
      </c>
      <c r="K79" s="6">
        <f>IF('Service Types'!K453="","",'Service Types'!K453)</f>
        <v>15</v>
      </c>
      <c r="L79" s="4" t="str">
        <f>IF('Service Types'!Q453="","",'Service Types'!Q453)</f>
        <v>Crew</v>
      </c>
    </row>
    <row r="80" spans="1:12" x14ac:dyDescent="0.45">
      <c r="A80" s="14">
        <v>79</v>
      </c>
      <c r="B80" s="4" t="s">
        <v>515</v>
      </c>
      <c r="C80" s="4" t="str">
        <f>IF('Service Types'!B388="","",'Service Types'!B388)</f>
        <v>OS - Mobility</v>
      </c>
      <c r="D80" s="5">
        <f>IF('Service Types'!E388="","",'Service Types'!E388)</f>
        <v>1285</v>
      </c>
      <c r="E80" s="5">
        <f>IF('Service Types'!D388="","",'Service Types'!D388)</f>
        <v>4710</v>
      </c>
      <c r="F80" s="5">
        <f>IF('Service Types'!F388="","",'Service Types'!F388)</f>
        <v>2004</v>
      </c>
      <c r="G80" s="5">
        <f>IF('Service Types'!G388="","",'Service Types'!G388)</f>
        <v>1778</v>
      </c>
      <c r="H80" s="5">
        <f>IF('Service Types'!H388="","",'Service Types'!H388)</f>
        <v>2705</v>
      </c>
      <c r="I80" s="6">
        <f>IF('Service Types'!I388="","",'Service Types'!I388)</f>
        <v>28</v>
      </c>
      <c r="J80" s="6">
        <f>IF('Service Types'!J388="","",'Service Types'!J388)</f>
        <v>70.099999999999994</v>
      </c>
      <c r="K80" s="6">
        <f>IF('Service Types'!K388="","",'Service Types'!K388)</f>
        <v>196</v>
      </c>
      <c r="L80" s="4" t="str">
        <f>IF('Service Types'!Q388="","",'Service Types'!Q388)</f>
        <v>Non-crew</v>
      </c>
    </row>
    <row r="81" spans="1:12" x14ac:dyDescent="0.45">
      <c r="A81" s="14">
        <v>80</v>
      </c>
      <c r="B81" s="4" t="s">
        <v>300</v>
      </c>
      <c r="C81" s="4" t="str">
        <f>IF('Service Types'!B216="","",'Service Types'!B216)</f>
        <v>CS - Recreation and Social Programs</v>
      </c>
      <c r="D81" s="5">
        <f>IF('Service Types'!E216="","",'Service Types'!E216)</f>
        <v>1248</v>
      </c>
      <c r="E81" s="5">
        <f>IF('Service Types'!D216="","",'Service Types'!D216)</f>
        <v>5707</v>
      </c>
      <c r="F81" s="5">
        <f>IF('Service Types'!F216="","",'Service Types'!F216)</f>
        <v>89</v>
      </c>
      <c r="G81" s="5">
        <f>IF('Service Types'!G216="","",'Service Types'!G216)</f>
        <v>63</v>
      </c>
      <c r="H81" s="5">
        <f>IF('Service Types'!H216="","",'Service Types'!H216)</f>
        <v>5618</v>
      </c>
      <c r="I81" s="6">
        <f>IF('Service Types'!I216="","",'Service Types'!I216)</f>
        <v>3</v>
      </c>
      <c r="J81" s="6">
        <f>IF('Service Types'!J216="","",'Service Types'!J216)</f>
        <v>16.7</v>
      </c>
      <c r="K81" s="6">
        <f>IF('Service Types'!K216="","",'Service Types'!K216)</f>
        <v>35</v>
      </c>
      <c r="L81" s="4" t="str">
        <f>IF('Service Types'!Q216="","",'Service Types'!Q216)</f>
        <v>Non-crew</v>
      </c>
    </row>
    <row r="82" spans="1:12" x14ac:dyDescent="0.45">
      <c r="A82" s="14">
        <v>81</v>
      </c>
      <c r="B82" s="4" t="s">
        <v>54</v>
      </c>
      <c r="C82" s="4" t="str">
        <f>IF('Service Types'!B13="","",'Service Types'!B13)</f>
        <v>CPFS - Assessment and Tax</v>
      </c>
      <c r="D82" s="5">
        <f>IF('Service Types'!E13="","",'Service Types'!E13)</f>
        <v>1203</v>
      </c>
      <c r="E82" s="5">
        <f>IF('Service Types'!D13="","",'Service Types'!D13)</f>
        <v>4282</v>
      </c>
      <c r="F82" s="5">
        <f>IF('Service Types'!F13="","",'Service Types'!F13)</f>
        <v>28</v>
      </c>
      <c r="G82" s="5">
        <f>IF('Service Types'!G13="","",'Service Types'!G13)</f>
        <v>6</v>
      </c>
      <c r="H82" s="5">
        <f>IF('Service Types'!H13="","",'Service Types'!H13)</f>
        <v>4254</v>
      </c>
      <c r="I82" s="6">
        <f>IF('Service Types'!I13="","",'Service Types'!I13)</f>
        <v>3</v>
      </c>
      <c r="J82" s="6">
        <f>IF('Service Types'!J13="","",'Service Types'!J13)</f>
        <v>10.1</v>
      </c>
      <c r="K82" s="6">
        <f>IF('Service Types'!K13="","",'Service Types'!K13)</f>
        <v>8</v>
      </c>
      <c r="L82" s="4" t="str">
        <f>IF('Service Types'!Q13="","",'Service Types'!Q13)</f>
        <v>Non-crew</v>
      </c>
    </row>
    <row r="83" spans="1:12" x14ac:dyDescent="0.45">
      <c r="A83" s="14">
        <v>82</v>
      </c>
      <c r="B83" s="4" t="s">
        <v>56</v>
      </c>
      <c r="C83" s="4" t="str">
        <f>IF('Service Types'!B14="","",'Service Types'!B14)</f>
        <v>CPFS - Assessment and Tax</v>
      </c>
      <c r="D83" s="5">
        <f>IF('Service Types'!E14="","",'Service Types'!E14)</f>
        <v>1197</v>
      </c>
      <c r="E83" s="5">
        <f>IF('Service Types'!D14="","",'Service Types'!D14)</f>
        <v>2922</v>
      </c>
      <c r="F83" s="5">
        <f>IF('Service Types'!F14="","",'Service Types'!F14)</f>
        <v>9</v>
      </c>
      <c r="G83" s="5">
        <f>IF('Service Types'!G14="","",'Service Types'!G14)</f>
        <v>0</v>
      </c>
      <c r="H83" s="5">
        <f>IF('Service Types'!H14="","",'Service Types'!H14)</f>
        <v>2913</v>
      </c>
      <c r="I83" s="6">
        <f>IF('Service Types'!I14="","",'Service Types'!I14)</f>
        <v>3</v>
      </c>
      <c r="J83" s="6">
        <f>IF('Service Types'!J14="","",'Service Types'!J14)</f>
        <v>4.2</v>
      </c>
      <c r="K83" s="6">
        <f>IF('Service Types'!K14="","",'Service Types'!K14)</f>
        <v>7</v>
      </c>
      <c r="L83" s="4" t="str">
        <f>IF('Service Types'!Q14="","",'Service Types'!Q14)</f>
        <v>Non-crew</v>
      </c>
    </row>
    <row r="84" spans="1:12" x14ac:dyDescent="0.45">
      <c r="A84" s="14">
        <v>83</v>
      </c>
      <c r="B84" s="4" t="s">
        <v>302</v>
      </c>
      <c r="C84" s="4" t="str">
        <f>IF('Service Types'!B218="","",'Service Types'!B218)</f>
        <v>CS - Recreation and Social Programs</v>
      </c>
      <c r="D84" s="5">
        <f>IF('Service Types'!E218="","",'Service Types'!E218)</f>
        <v>1150</v>
      </c>
      <c r="E84" s="5">
        <f>IF('Service Types'!D218="","",'Service Types'!D218)</f>
        <v>4346</v>
      </c>
      <c r="F84" s="5">
        <f>IF('Service Types'!F218="","",'Service Types'!F218)</f>
        <v>7</v>
      </c>
      <c r="G84" s="5">
        <f>IF('Service Types'!G218="","",'Service Types'!G218)</f>
        <v>6</v>
      </c>
      <c r="H84" s="5">
        <f>IF('Service Types'!H218="","",'Service Types'!H218)</f>
        <v>4339</v>
      </c>
      <c r="I84" s="6">
        <f>IF('Service Types'!I218="","",'Service Types'!I218)</f>
        <v>12</v>
      </c>
      <c r="J84" s="6">
        <f>IF('Service Types'!J218="","",'Service Types'!J218)</f>
        <v>24</v>
      </c>
      <c r="K84" s="6">
        <f>IF('Service Types'!K218="","",'Service Types'!K218)</f>
        <v>51</v>
      </c>
      <c r="L84" s="4" t="str">
        <f>IF('Service Types'!Q218="","",'Service Types'!Q218)</f>
        <v>Non-crew</v>
      </c>
    </row>
    <row r="85" spans="1:12" x14ac:dyDescent="0.45">
      <c r="A85" s="14">
        <v>84</v>
      </c>
      <c r="B85" s="4" t="s">
        <v>896</v>
      </c>
      <c r="C85" s="4" t="str">
        <f>IF('Service Types'!B711="","",'Service Types'!B711)</f>
        <v>PICS - Human Resources</v>
      </c>
      <c r="D85" s="5">
        <f>IF('Service Types'!E711="","",'Service Types'!E711)</f>
        <v>1083</v>
      </c>
      <c r="E85" s="5">
        <f>IF('Service Types'!D711="","",'Service Types'!D711)</f>
        <v>4611</v>
      </c>
      <c r="F85" s="5">
        <f>IF('Service Types'!F711="","",'Service Types'!F711)</f>
        <v>46</v>
      </c>
      <c r="G85" s="5">
        <f>IF('Service Types'!G711="","",'Service Types'!G711)</f>
        <v>34</v>
      </c>
      <c r="H85" s="5">
        <f>IF('Service Types'!H711="","",'Service Types'!H711)</f>
        <v>4565</v>
      </c>
      <c r="I85" s="6">
        <f>IF('Service Types'!I711="","",'Service Types'!I711)</f>
        <v>0</v>
      </c>
      <c r="J85" s="6">
        <f>IF('Service Types'!J711="","",'Service Types'!J711)</f>
        <v>1.5</v>
      </c>
      <c r="K85" s="6">
        <f>IF('Service Types'!K711="","",'Service Types'!K711)</f>
        <v>4</v>
      </c>
      <c r="L85" s="4" t="str">
        <f>IF('Service Types'!Q711="","",'Service Types'!Q711)</f>
        <v>Non-crew</v>
      </c>
    </row>
    <row r="86" spans="1:12" x14ac:dyDescent="0.45">
      <c r="A86" s="14">
        <v>85</v>
      </c>
      <c r="B86" s="4" t="s">
        <v>715</v>
      </c>
      <c r="C86" s="4" t="str">
        <f>IF('Service Types'!B553="","",'Service Types'!B553)</f>
        <v>OS - Water Services</v>
      </c>
      <c r="D86" s="5">
        <f>IF('Service Types'!E553="","",'Service Types'!E553)</f>
        <v>1083</v>
      </c>
      <c r="E86" s="5">
        <f>IF('Service Types'!D553="","",'Service Types'!D553)</f>
        <v>2024</v>
      </c>
      <c r="F86" s="5">
        <f>IF('Service Types'!F553="","",'Service Types'!F553)</f>
        <v>11</v>
      </c>
      <c r="G86" s="5">
        <f>IF('Service Types'!G553="","",'Service Types'!G553)</f>
        <v>4</v>
      </c>
      <c r="H86" s="5">
        <f>IF('Service Types'!H553="","",'Service Types'!H553)</f>
        <v>2013</v>
      </c>
      <c r="I86" s="6">
        <f>IF('Service Types'!I553="","",'Service Types'!I553)</f>
        <v>1</v>
      </c>
      <c r="J86" s="6">
        <f>IF('Service Types'!J553="","",'Service Types'!J553)</f>
        <v>3.8</v>
      </c>
      <c r="K86" s="6">
        <f>IF('Service Types'!K553="","",'Service Types'!K553)</f>
        <v>5</v>
      </c>
      <c r="L86" s="4" t="str">
        <f>IF('Service Types'!Q553="","",'Service Types'!Q553)</f>
        <v>Non-crew</v>
      </c>
    </row>
    <row r="87" spans="1:12" x14ac:dyDescent="0.45">
      <c r="A87" s="14">
        <v>86</v>
      </c>
      <c r="B87" s="4" t="s">
        <v>60</v>
      </c>
      <c r="C87" s="4" t="str">
        <f>IF('Service Types'!B16="","",'Service Types'!B16)</f>
        <v>CPFS - Assessment and Tax</v>
      </c>
      <c r="D87" s="5">
        <f>IF('Service Types'!E16="","",'Service Types'!E16)</f>
        <v>1071</v>
      </c>
      <c r="E87" s="5">
        <f>IF('Service Types'!D16="","",'Service Types'!D16)</f>
        <v>2170</v>
      </c>
      <c r="F87" s="5">
        <f>IF('Service Types'!F16="","",'Service Types'!F16)</f>
        <v>13</v>
      </c>
      <c r="G87" s="5">
        <f>IF('Service Types'!G16="","",'Service Types'!G16)</f>
        <v>1</v>
      </c>
      <c r="H87" s="5">
        <f>IF('Service Types'!H16="","",'Service Types'!H16)</f>
        <v>2157</v>
      </c>
      <c r="I87" s="6">
        <f>IF('Service Types'!I16="","",'Service Types'!I16)</f>
        <v>4</v>
      </c>
      <c r="J87" s="6">
        <f>IF('Service Types'!J16="","",'Service Types'!J16)</f>
        <v>7.5</v>
      </c>
      <c r="K87" s="6">
        <f>IF('Service Types'!K16="","",'Service Types'!K16)</f>
        <v>15</v>
      </c>
      <c r="L87" s="4" t="str">
        <f>IF('Service Types'!Q16="","",'Service Types'!Q16)</f>
        <v>Non-crew</v>
      </c>
    </row>
    <row r="88" spans="1:12" x14ac:dyDescent="0.45">
      <c r="A88" s="14">
        <v>87</v>
      </c>
      <c r="B88" s="4" t="s">
        <v>102</v>
      </c>
      <c r="C88" s="4" t="str">
        <f>IF('Service Types'!B44="","",'Service Types'!B44)</f>
        <v>CS - Calgary Fire</v>
      </c>
      <c r="D88" s="5">
        <f>IF('Service Types'!E44="","",'Service Types'!E44)</f>
        <v>1060</v>
      </c>
      <c r="E88" s="5">
        <f>IF('Service Types'!D44="","",'Service Types'!D44)</f>
        <v>4895</v>
      </c>
      <c r="F88" s="5">
        <f>IF('Service Types'!F44="","",'Service Types'!F44)</f>
        <v>29</v>
      </c>
      <c r="G88" s="5">
        <f>IF('Service Types'!G44="","",'Service Types'!G44)</f>
        <v>11</v>
      </c>
      <c r="H88" s="5">
        <f>IF('Service Types'!H44="","",'Service Types'!H44)</f>
        <v>4866</v>
      </c>
      <c r="I88" s="6">
        <f>IF('Service Types'!I44="","",'Service Types'!I44)</f>
        <v>2</v>
      </c>
      <c r="J88" s="6">
        <f>IF('Service Types'!J44="","",'Service Types'!J44)</f>
        <v>8.9</v>
      </c>
      <c r="K88" s="6">
        <f>IF('Service Types'!K44="","",'Service Types'!K44)</f>
        <v>10</v>
      </c>
      <c r="L88" s="4" t="str">
        <f>IF('Service Types'!Q44="","",'Service Types'!Q44)</f>
        <v>Non-crew</v>
      </c>
    </row>
    <row r="89" spans="1:12" x14ac:dyDescent="0.45">
      <c r="A89" s="14">
        <v>88</v>
      </c>
      <c r="B89" s="4" t="s">
        <v>458</v>
      </c>
      <c r="C89" s="4" t="str">
        <f>IF('Service Types'!B349="","",'Service Types'!B349)</f>
        <v>OS - Calgary Transit</v>
      </c>
      <c r="D89" s="5">
        <f>IF('Service Types'!E349="","",'Service Types'!E349)</f>
        <v>1044</v>
      </c>
      <c r="E89" s="5">
        <f>IF('Service Types'!D349="","",'Service Types'!D349)</f>
        <v>4336</v>
      </c>
      <c r="F89" s="5">
        <f>IF('Service Types'!F349="","",'Service Types'!F349)</f>
        <v>45</v>
      </c>
      <c r="G89" s="5">
        <f>IF('Service Types'!G349="","",'Service Types'!G349)</f>
        <v>3</v>
      </c>
      <c r="H89" s="5">
        <f>IF('Service Types'!H349="","",'Service Types'!H349)</f>
        <v>4291</v>
      </c>
      <c r="I89" s="6">
        <f>IF('Service Types'!I349="","",'Service Types'!I349)</f>
        <v>1</v>
      </c>
      <c r="J89" s="6">
        <f>IF('Service Types'!J349="","",'Service Types'!J349)</f>
        <v>2.2999999999999998</v>
      </c>
      <c r="K89" s="6">
        <f>IF('Service Types'!K349="","",'Service Types'!K349)</f>
        <v>5</v>
      </c>
      <c r="L89" s="4" t="str">
        <f>IF('Service Types'!Q349="","",'Service Types'!Q349)</f>
        <v>Non-crew</v>
      </c>
    </row>
    <row r="90" spans="1:12" x14ac:dyDescent="0.45">
      <c r="A90" s="14">
        <v>89</v>
      </c>
      <c r="B90" s="4" t="s">
        <v>695</v>
      </c>
      <c r="C90" s="4" t="str">
        <f>IF('Service Types'!B538="","",'Service Types'!B538)</f>
        <v>OS - Water Services</v>
      </c>
      <c r="D90" s="5">
        <f>IF('Service Types'!E538="","",'Service Types'!E538)</f>
        <v>1043</v>
      </c>
      <c r="E90" s="5">
        <f>IF('Service Types'!D538="","",'Service Types'!D538)</f>
        <v>5592</v>
      </c>
      <c r="F90" s="5">
        <f>IF('Service Types'!F538="","",'Service Types'!F538)</f>
        <v>34</v>
      </c>
      <c r="G90" s="5">
        <f>IF('Service Types'!G538="","",'Service Types'!G538)</f>
        <v>2</v>
      </c>
      <c r="H90" s="5">
        <f>IF('Service Types'!H538="","",'Service Types'!H538)</f>
        <v>5557</v>
      </c>
      <c r="I90" s="6">
        <f>IF('Service Types'!I538="","",'Service Types'!I538)</f>
        <v>20</v>
      </c>
      <c r="J90" s="6">
        <f>IF('Service Types'!J538="","",'Service Types'!J538)</f>
        <v>58</v>
      </c>
      <c r="K90" s="6">
        <f>IF('Service Types'!K538="","",'Service Types'!K538)</f>
        <v>149</v>
      </c>
      <c r="L90" s="4" t="str">
        <f>IF('Service Types'!Q538="","",'Service Types'!Q538)</f>
        <v>Crew</v>
      </c>
    </row>
    <row r="91" spans="1:12" x14ac:dyDescent="0.45">
      <c r="A91" s="14">
        <v>90</v>
      </c>
      <c r="B91" s="4" t="s">
        <v>590</v>
      </c>
      <c r="C91" s="4" t="str">
        <f>IF('Service Types'!B452="","",'Service Types'!B452)</f>
        <v>OS - Parks and Open Spaces</v>
      </c>
      <c r="D91" s="5">
        <f>IF('Service Types'!E452="","",'Service Types'!E452)</f>
        <v>1040</v>
      </c>
      <c r="E91" s="5">
        <f>IF('Service Types'!D452="","",'Service Types'!D452)</f>
        <v>4726</v>
      </c>
      <c r="F91" s="5">
        <f>IF('Service Types'!F452="","",'Service Types'!F452)</f>
        <v>63</v>
      </c>
      <c r="G91" s="5">
        <f>IF('Service Types'!G452="","",'Service Types'!G452)</f>
        <v>27</v>
      </c>
      <c r="H91" s="5">
        <f>IF('Service Types'!H452="","",'Service Types'!H452)</f>
        <v>4663</v>
      </c>
      <c r="I91" s="6">
        <f>IF('Service Types'!I452="","",'Service Types'!I452)</f>
        <v>40</v>
      </c>
      <c r="J91" s="6">
        <f>IF('Service Types'!J452="","",'Service Types'!J452)</f>
        <v>61.4</v>
      </c>
      <c r="K91" s="6">
        <f>IF('Service Types'!K452="","",'Service Types'!K452)</f>
        <v>148</v>
      </c>
      <c r="L91" s="4" t="str">
        <f>IF('Service Types'!Q452="","",'Service Types'!Q452)</f>
        <v>Non-crew</v>
      </c>
    </row>
    <row r="92" spans="1:12" x14ac:dyDescent="0.45">
      <c r="A92" s="14">
        <v>91</v>
      </c>
      <c r="B92" s="4" t="s">
        <v>594</v>
      </c>
      <c r="C92" s="4" t="str">
        <f>IF('Service Types'!B456="","",'Service Types'!B456)</f>
        <v>OS - Parks and Open Spaces</v>
      </c>
      <c r="D92" s="5">
        <f>IF('Service Types'!E456="","",'Service Types'!E456)</f>
        <v>969</v>
      </c>
      <c r="E92" s="5">
        <f>IF('Service Types'!D456="","",'Service Types'!D456)</f>
        <v>2754</v>
      </c>
      <c r="F92" s="5">
        <f>IF('Service Types'!F456="","",'Service Types'!F456)</f>
        <v>54</v>
      </c>
      <c r="G92" s="5">
        <f>IF('Service Types'!G456="","",'Service Types'!G456)</f>
        <v>36</v>
      </c>
      <c r="H92" s="5">
        <f>IF('Service Types'!H456="","",'Service Types'!H456)</f>
        <v>2700</v>
      </c>
      <c r="I92" s="6">
        <f>IF('Service Types'!I456="","",'Service Types'!I456)</f>
        <v>2</v>
      </c>
      <c r="J92" s="6">
        <f>IF('Service Types'!J456="","",'Service Types'!J456)</f>
        <v>6.9</v>
      </c>
      <c r="K92" s="6">
        <f>IF('Service Types'!K456="","",'Service Types'!K456)</f>
        <v>8</v>
      </c>
      <c r="L92" s="4" t="str">
        <f>IF('Service Types'!Q456="","",'Service Types'!Q456)</f>
        <v>Crew</v>
      </c>
    </row>
    <row r="93" spans="1:12" x14ac:dyDescent="0.45">
      <c r="A93" s="14">
        <v>92</v>
      </c>
      <c r="B93" s="4" t="s">
        <v>103</v>
      </c>
      <c r="C93" s="4" t="str">
        <f>IF('Service Types'!B45="","",'Service Types'!B45)</f>
        <v>CS - Calgary Fire</v>
      </c>
      <c r="D93" s="5">
        <f>IF('Service Types'!E45="","",'Service Types'!E45)</f>
        <v>948</v>
      </c>
      <c r="E93" s="5">
        <f>IF('Service Types'!D45="","",'Service Types'!D45)</f>
        <v>4150</v>
      </c>
      <c r="F93" s="5">
        <f>IF('Service Types'!F45="","",'Service Types'!F45)</f>
        <v>38</v>
      </c>
      <c r="G93" s="5">
        <f>IF('Service Types'!G45="","",'Service Types'!G45)</f>
        <v>11</v>
      </c>
      <c r="H93" s="5">
        <f>IF('Service Types'!H45="","",'Service Types'!H45)</f>
        <v>4112</v>
      </c>
      <c r="I93" s="6">
        <f>IF('Service Types'!I45="","",'Service Types'!I45)</f>
        <v>8</v>
      </c>
      <c r="J93" s="6">
        <f>IF('Service Types'!J45="","",'Service Types'!J45)</f>
        <v>16.8</v>
      </c>
      <c r="K93" s="6">
        <f>IF('Service Types'!K45="","",'Service Types'!K45)</f>
        <v>35</v>
      </c>
      <c r="L93" s="4" t="str">
        <f>IF('Service Types'!Q45="","",'Service Types'!Q45)</f>
        <v>Non-crew</v>
      </c>
    </row>
    <row r="94" spans="1:12" x14ac:dyDescent="0.45">
      <c r="A94" s="14">
        <v>93</v>
      </c>
      <c r="B94" s="4" t="s">
        <v>752</v>
      </c>
      <c r="C94" s="4" t="str">
        <f>IF('Service Types'!B584="","",'Service Types'!B584)</f>
        <v>OSC - Calgary Transit</v>
      </c>
      <c r="D94" s="5">
        <f>IF('Service Types'!E584="","",'Service Types'!E584)</f>
        <v>939</v>
      </c>
      <c r="E94" s="5">
        <f>IF('Service Types'!D584="","",'Service Types'!D584)</f>
        <v>4100</v>
      </c>
      <c r="F94" s="5">
        <f>IF('Service Types'!F584="","",'Service Types'!F584)</f>
        <v>2</v>
      </c>
      <c r="G94" s="5">
        <f>IF('Service Types'!G584="","",'Service Types'!G584)</f>
        <v>1</v>
      </c>
      <c r="H94" s="5">
        <f>IF('Service Types'!H584="","",'Service Types'!H584)</f>
        <v>4098</v>
      </c>
      <c r="I94" s="6">
        <f>IF('Service Types'!I584="","",'Service Types'!I584)</f>
        <v>1</v>
      </c>
      <c r="J94" s="6">
        <f>IF('Service Types'!J584="","",'Service Types'!J584)</f>
        <v>1.3</v>
      </c>
      <c r="K94" s="6">
        <f>IF('Service Types'!K584="","",'Service Types'!K584)</f>
        <v>3</v>
      </c>
      <c r="L94" s="4" t="str">
        <f>IF('Service Types'!Q584="","",'Service Types'!Q584)</f>
        <v>Non-crew</v>
      </c>
    </row>
    <row r="95" spans="1:12" x14ac:dyDescent="0.45">
      <c r="A95" s="14">
        <v>94</v>
      </c>
      <c r="B95" s="4" t="s">
        <v>697</v>
      </c>
      <c r="C95" s="4" t="str">
        <f>IF('Service Types'!B539="","",'Service Types'!B539)</f>
        <v>OS - Water Services</v>
      </c>
      <c r="D95" s="5">
        <f>IF('Service Types'!E539="","",'Service Types'!E539)</f>
        <v>937</v>
      </c>
      <c r="E95" s="5">
        <f>IF('Service Types'!D539="","",'Service Types'!D539)</f>
        <v>4107</v>
      </c>
      <c r="F95" s="5">
        <f>IF('Service Types'!F539="","",'Service Types'!F539)</f>
        <v>15</v>
      </c>
      <c r="G95" s="5">
        <f>IF('Service Types'!G539="","",'Service Types'!G539)</f>
        <v>6</v>
      </c>
      <c r="H95" s="5">
        <f>IF('Service Types'!H539="","",'Service Types'!H539)</f>
        <v>3390</v>
      </c>
      <c r="I95" s="6">
        <f>IF('Service Types'!I539="","",'Service Types'!I539)</f>
        <v>1</v>
      </c>
      <c r="J95" s="6">
        <f>IF('Service Types'!J539="","",'Service Types'!J539)</f>
        <v>2.9</v>
      </c>
      <c r="K95" s="6">
        <f>IF('Service Types'!K539="","",'Service Types'!K539)</f>
        <v>3</v>
      </c>
      <c r="L95" s="4" t="str">
        <f>IF('Service Types'!Q539="","",'Service Types'!Q539)</f>
        <v>Crew</v>
      </c>
    </row>
    <row r="96" spans="1:12" x14ac:dyDescent="0.45">
      <c r="A96" s="14">
        <v>95</v>
      </c>
      <c r="B96" s="4" t="s">
        <v>308</v>
      </c>
      <c r="C96" s="4" t="str">
        <f>IF('Service Types'!B224="","",'Service Types'!B224)</f>
        <v>CS - Recreation and Social Programs</v>
      </c>
      <c r="D96" s="5">
        <f>IF('Service Types'!E224="","",'Service Types'!E224)</f>
        <v>931</v>
      </c>
      <c r="E96" s="5">
        <f>IF('Service Types'!D224="","",'Service Types'!D224)</f>
        <v>1229</v>
      </c>
      <c r="F96" s="5">
        <f>IF('Service Types'!F224="","",'Service Types'!F224)</f>
        <v>0</v>
      </c>
      <c r="G96" s="5">
        <f>IF('Service Types'!G224="","",'Service Types'!G224)</f>
        <v>0</v>
      </c>
      <c r="H96" s="5">
        <f>IF('Service Types'!H224="","",'Service Types'!H224)</f>
        <v>1229</v>
      </c>
      <c r="I96" s="6">
        <f>IF('Service Types'!I224="","",'Service Types'!I224)</f>
        <v>2</v>
      </c>
      <c r="J96" s="6">
        <f>IF('Service Types'!J224="","",'Service Types'!J224)</f>
        <v>3.3</v>
      </c>
      <c r="K96" s="6">
        <f>IF('Service Types'!K224="","",'Service Types'!K224)</f>
        <v>6</v>
      </c>
      <c r="L96" s="4" t="str">
        <f>IF('Service Types'!Q224="","",'Service Types'!Q224)</f>
        <v>Non-crew</v>
      </c>
    </row>
    <row r="97" spans="1:12" x14ac:dyDescent="0.45">
      <c r="A97" s="14">
        <v>96</v>
      </c>
      <c r="B97" s="4" t="s">
        <v>513</v>
      </c>
      <c r="C97" s="4" t="str">
        <f>IF('Service Types'!B387="","",'Service Types'!B387)</f>
        <v>OS - Mobility</v>
      </c>
      <c r="D97" s="5">
        <f>IF('Service Types'!E387="","",'Service Types'!E387)</f>
        <v>930</v>
      </c>
      <c r="E97" s="5">
        <f>IF('Service Types'!D387="","",'Service Types'!D387)</f>
        <v>4893</v>
      </c>
      <c r="F97" s="5">
        <f>IF('Service Types'!F387="","",'Service Types'!F387)</f>
        <v>351</v>
      </c>
      <c r="G97" s="5">
        <f>IF('Service Types'!G387="","",'Service Types'!G387)</f>
        <v>351</v>
      </c>
      <c r="H97" s="5">
        <f>IF('Service Types'!H387="","",'Service Types'!H387)</f>
        <v>4218</v>
      </c>
      <c r="I97" s="6">
        <f>IF('Service Types'!I387="","",'Service Types'!I387)</f>
        <v>2</v>
      </c>
      <c r="J97" s="6">
        <f>IF('Service Types'!J387="","",'Service Types'!J387)</f>
        <v>23.2</v>
      </c>
      <c r="K97" s="6">
        <f>IF('Service Types'!K387="","",'Service Types'!K387)</f>
        <v>53</v>
      </c>
      <c r="L97" s="4" t="str">
        <f>IF('Service Types'!Q387="","",'Service Types'!Q387)</f>
        <v>Non-crew</v>
      </c>
    </row>
    <row r="98" spans="1:12" x14ac:dyDescent="0.45">
      <c r="A98" s="14">
        <v>97</v>
      </c>
      <c r="B98" s="4" t="s">
        <v>518</v>
      </c>
      <c r="C98" s="4" t="str">
        <f>IF('Service Types'!B390="","",'Service Types'!B390)</f>
        <v>OS - Mobility</v>
      </c>
      <c r="D98" s="5">
        <f>IF('Service Types'!E390="","",'Service Types'!E390)</f>
        <v>911</v>
      </c>
      <c r="E98" s="5">
        <f>IF('Service Types'!D390="","",'Service Types'!D390)</f>
        <v>4548</v>
      </c>
      <c r="F98" s="5">
        <f>IF('Service Types'!F390="","",'Service Types'!F390)</f>
        <v>453</v>
      </c>
      <c r="G98" s="5">
        <f>IF('Service Types'!G390="","",'Service Types'!G390)</f>
        <v>402</v>
      </c>
      <c r="H98" s="5">
        <f>IF('Service Types'!H390="","",'Service Types'!H390)</f>
        <v>3784</v>
      </c>
      <c r="I98" s="6">
        <f>IF('Service Types'!I390="","",'Service Types'!I390)</f>
        <v>3</v>
      </c>
      <c r="J98" s="6">
        <f>IF('Service Types'!J390="","",'Service Types'!J390)</f>
        <v>50.8</v>
      </c>
      <c r="K98" s="6">
        <f>IF('Service Types'!K390="","",'Service Types'!K390)</f>
        <v>157</v>
      </c>
      <c r="L98" s="4" t="str">
        <f>IF('Service Types'!Q390="","",'Service Types'!Q390)</f>
        <v>Crew</v>
      </c>
    </row>
    <row r="99" spans="1:12" x14ac:dyDescent="0.45">
      <c r="A99" s="14">
        <v>98</v>
      </c>
      <c r="B99" s="4" t="s">
        <v>81</v>
      </c>
      <c r="C99" s="4" t="str">
        <f>IF('Service Types'!B32="","",'Service Types'!B32)</f>
        <v>CPFS - Finance</v>
      </c>
      <c r="D99" s="5">
        <f>IF('Service Types'!E32="","",'Service Types'!E32)</f>
        <v>910</v>
      </c>
      <c r="E99" s="5">
        <f>IF('Service Types'!D32="","",'Service Types'!D32)</f>
        <v>3430</v>
      </c>
      <c r="F99" s="5">
        <f>IF('Service Types'!F32="","",'Service Types'!F32)</f>
        <v>2</v>
      </c>
      <c r="G99" s="5">
        <f>IF('Service Types'!G32="","",'Service Types'!G32)</f>
        <v>0</v>
      </c>
      <c r="H99" s="5">
        <f>IF('Service Types'!H32="","",'Service Types'!H32)</f>
        <v>3428</v>
      </c>
      <c r="I99" s="6">
        <f>IF('Service Types'!I32="","",'Service Types'!I32)</f>
        <v>1</v>
      </c>
      <c r="J99" s="6">
        <f>IF('Service Types'!J32="","",'Service Types'!J32)</f>
        <v>2.2999999999999998</v>
      </c>
      <c r="K99" s="6">
        <f>IF('Service Types'!K32="","",'Service Types'!K32)</f>
        <v>4</v>
      </c>
      <c r="L99" s="4" t="str">
        <f>IF('Service Types'!Q32="","",'Service Types'!Q32)</f>
        <v>Non-crew</v>
      </c>
    </row>
    <row r="100" spans="1:12" x14ac:dyDescent="0.45">
      <c r="A100" s="14">
        <v>99</v>
      </c>
      <c r="B100" s="4" t="s">
        <v>700</v>
      </c>
      <c r="C100" s="4" t="str">
        <f>IF('Service Types'!B541="","",'Service Types'!B541)</f>
        <v>OS - Water Services</v>
      </c>
      <c r="D100" s="5">
        <f>IF('Service Types'!E541="","",'Service Types'!E541)</f>
        <v>908</v>
      </c>
      <c r="E100" s="5">
        <f>IF('Service Types'!D541="","",'Service Types'!D541)</f>
        <v>3720</v>
      </c>
      <c r="F100" s="5">
        <f>IF('Service Types'!F541="","",'Service Types'!F541)</f>
        <v>21</v>
      </c>
      <c r="G100" s="5">
        <f>IF('Service Types'!G541="","",'Service Types'!G541)</f>
        <v>11</v>
      </c>
      <c r="H100" s="5">
        <f>IF('Service Types'!H541="","",'Service Types'!H541)</f>
        <v>3699</v>
      </c>
      <c r="I100" s="6">
        <f>IF('Service Types'!I541="","",'Service Types'!I541)</f>
        <v>3</v>
      </c>
      <c r="J100" s="6">
        <f>IF('Service Types'!J541="","",'Service Types'!J541)</f>
        <v>13.7</v>
      </c>
      <c r="K100" s="6">
        <f>IF('Service Types'!K541="","",'Service Types'!K541)</f>
        <v>29</v>
      </c>
      <c r="L100" s="4" t="str">
        <f>IF('Service Types'!Q541="","",'Service Types'!Q541)</f>
        <v>Crew</v>
      </c>
    </row>
    <row r="101" spans="1:12" x14ac:dyDescent="0.45">
      <c r="A101" s="14">
        <v>100</v>
      </c>
      <c r="B101" s="4" t="s">
        <v>698</v>
      </c>
      <c r="C101" s="4" t="str">
        <f>IF('Service Types'!B540="","",'Service Types'!B540)</f>
        <v>OS - Water Services</v>
      </c>
      <c r="D101" s="5">
        <f>IF('Service Types'!E540="","",'Service Types'!E540)</f>
        <v>900</v>
      </c>
      <c r="E101" s="5">
        <f>IF('Service Types'!D540="","",'Service Types'!D540)</f>
        <v>3870</v>
      </c>
      <c r="F101" s="5">
        <f>IF('Service Types'!F540="","",'Service Types'!F540)</f>
        <v>35</v>
      </c>
      <c r="G101" s="5">
        <f>IF('Service Types'!G540="","",'Service Types'!G540)</f>
        <v>5</v>
      </c>
      <c r="H101" s="5">
        <f>IF('Service Types'!H540="","",'Service Types'!H540)</f>
        <v>3831</v>
      </c>
      <c r="I101" s="6">
        <f>IF('Service Types'!I540="","",'Service Types'!I540)</f>
        <v>9</v>
      </c>
      <c r="J101" s="6">
        <f>IF('Service Types'!J540="","",'Service Types'!J540)</f>
        <v>56.4</v>
      </c>
      <c r="K101" s="6">
        <f>IF('Service Types'!K540="","",'Service Types'!K540)</f>
        <v>170</v>
      </c>
      <c r="L101" s="4" t="str">
        <f>IF('Service Types'!Q540="","",'Service Types'!Q540)</f>
        <v>Crew</v>
      </c>
    </row>
    <row r="102" spans="1:12" x14ac:dyDescent="0.45">
      <c r="A102" s="14">
        <v>101</v>
      </c>
      <c r="B102" s="4" t="s">
        <v>216</v>
      </c>
      <c r="C102" s="4" t="str">
        <f>IF('Service Types'!B139="","",'Service Types'!B139)</f>
        <v>CS - Emergency Management and Community Safety</v>
      </c>
      <c r="D102" s="5">
        <f>IF('Service Types'!E139="","",'Service Types'!E139)</f>
        <v>867</v>
      </c>
      <c r="E102" s="5">
        <f>IF('Service Types'!D139="","",'Service Types'!D139)</f>
        <v>3513</v>
      </c>
      <c r="F102" s="5">
        <f>IF('Service Types'!F139="","",'Service Types'!F139)</f>
        <v>15</v>
      </c>
      <c r="G102" s="5">
        <f>IF('Service Types'!G139="","",'Service Types'!G139)</f>
        <v>9</v>
      </c>
      <c r="H102" s="5">
        <f>IF('Service Types'!H139="","",'Service Types'!H139)</f>
        <v>3498</v>
      </c>
      <c r="I102" s="6">
        <f>IF('Service Types'!I139="","",'Service Types'!I139)</f>
        <v>0</v>
      </c>
      <c r="J102" s="6">
        <f>IF('Service Types'!J139="","",'Service Types'!J139)</f>
        <v>0.9</v>
      </c>
      <c r="K102" s="6">
        <f>IF('Service Types'!K139="","",'Service Types'!K139)</f>
        <v>2</v>
      </c>
      <c r="L102" s="4" t="str">
        <f>IF('Service Types'!Q139="","",'Service Types'!Q139)</f>
        <v>Non-crew</v>
      </c>
    </row>
    <row r="103" spans="1:12" x14ac:dyDescent="0.45">
      <c r="A103" s="14">
        <v>102</v>
      </c>
      <c r="B103" s="4" t="s">
        <v>521</v>
      </c>
      <c r="C103" s="4" t="str">
        <f>IF('Service Types'!B392="","",'Service Types'!B392)</f>
        <v>OS - Mobility</v>
      </c>
      <c r="D103" s="5">
        <f>IF('Service Types'!E392="","",'Service Types'!E392)</f>
        <v>856</v>
      </c>
      <c r="E103" s="5">
        <f>IF('Service Types'!D392="","",'Service Types'!D392)</f>
        <v>3438</v>
      </c>
      <c r="F103" s="5">
        <f>IF('Service Types'!F392="","",'Service Types'!F392)</f>
        <v>46</v>
      </c>
      <c r="G103" s="5">
        <f>IF('Service Types'!G392="","",'Service Types'!G392)</f>
        <v>42</v>
      </c>
      <c r="H103" s="5">
        <f>IF('Service Types'!H392="","",'Service Types'!H392)</f>
        <v>3392</v>
      </c>
      <c r="I103" s="6">
        <f>IF('Service Types'!I392="","",'Service Types'!I392)</f>
        <v>2</v>
      </c>
      <c r="J103" s="6">
        <f>IF('Service Types'!J392="","",'Service Types'!J392)</f>
        <v>4.2</v>
      </c>
      <c r="K103" s="6">
        <f>IF('Service Types'!K392="","",'Service Types'!K392)</f>
        <v>9</v>
      </c>
      <c r="L103" s="4" t="str">
        <f>IF('Service Types'!Q392="","",'Service Types'!Q392)</f>
        <v>Non-crew</v>
      </c>
    </row>
    <row r="104" spans="1:12" x14ac:dyDescent="0.45">
      <c r="A104" s="14">
        <v>103</v>
      </c>
      <c r="B104" s="4" t="s">
        <v>816</v>
      </c>
      <c r="C104" s="4" t="str">
        <f>IF('Service Types'!B637="","",'Service Types'!B637)</f>
        <v>PDS - Development, Business and Building Services</v>
      </c>
      <c r="D104" s="5">
        <f>IF('Service Types'!E637="","",'Service Types'!E637)</f>
        <v>832</v>
      </c>
      <c r="E104" s="5">
        <f>IF('Service Types'!D637="","",'Service Types'!D637)</f>
        <v>3703</v>
      </c>
      <c r="F104" s="5">
        <f>IF('Service Types'!F637="","",'Service Types'!F637)</f>
        <v>16</v>
      </c>
      <c r="G104" s="5">
        <f>IF('Service Types'!G637="","",'Service Types'!G637)</f>
        <v>1</v>
      </c>
      <c r="H104" s="5">
        <f>IF('Service Types'!H637="","",'Service Types'!H637)</f>
        <v>3679</v>
      </c>
      <c r="I104" s="6">
        <f>IF('Service Types'!I637="","",'Service Types'!I637)</f>
        <v>2</v>
      </c>
      <c r="J104" s="6">
        <f>IF('Service Types'!J637="","",'Service Types'!J637)</f>
        <v>22.6</v>
      </c>
      <c r="K104" s="6">
        <f>IF('Service Types'!K637="","",'Service Types'!K637)</f>
        <v>41</v>
      </c>
      <c r="L104" s="4" t="str">
        <f>IF('Service Types'!Q637="","",'Service Types'!Q637)</f>
        <v>Non-crew</v>
      </c>
    </row>
    <row r="105" spans="1:12" x14ac:dyDescent="0.45">
      <c r="A105" s="14">
        <v>104</v>
      </c>
      <c r="B105" s="4" t="s">
        <v>217</v>
      </c>
      <c r="C105" s="4" t="str">
        <f>IF('Service Types'!B140="","",'Service Types'!B140)</f>
        <v>CS - Emergency Management and Community Safety</v>
      </c>
      <c r="D105" s="5">
        <f>IF('Service Types'!E140="","",'Service Types'!E140)</f>
        <v>811</v>
      </c>
      <c r="E105" s="5">
        <f>IF('Service Types'!D140="","",'Service Types'!D140)</f>
        <v>3450</v>
      </c>
      <c r="F105" s="5">
        <f>IF('Service Types'!F140="","",'Service Types'!F140)</f>
        <v>28</v>
      </c>
      <c r="G105" s="5">
        <f>IF('Service Types'!G140="","",'Service Types'!G140)</f>
        <v>22</v>
      </c>
      <c r="H105" s="5">
        <f>IF('Service Types'!H140="","",'Service Types'!H140)</f>
        <v>3422</v>
      </c>
      <c r="I105" s="6">
        <f>IF('Service Types'!I140="","",'Service Types'!I140)</f>
        <v>1</v>
      </c>
      <c r="J105" s="6">
        <f>IF('Service Types'!J140="","",'Service Types'!J140)</f>
        <v>1.4</v>
      </c>
      <c r="K105" s="6">
        <f>IF('Service Types'!K140="","",'Service Types'!K140)</f>
        <v>2</v>
      </c>
      <c r="L105" s="4" t="str">
        <f>IF('Service Types'!Q140="","",'Service Types'!Q140)</f>
        <v>Non-crew</v>
      </c>
    </row>
    <row r="106" spans="1:12" x14ac:dyDescent="0.45">
      <c r="A106" s="14">
        <v>105</v>
      </c>
      <c r="B106" s="4" t="s">
        <v>457</v>
      </c>
      <c r="C106" s="4" t="str">
        <f>IF('Service Types'!B348="","",'Service Types'!B348)</f>
        <v>OS - Calgary Transit</v>
      </c>
      <c r="D106" s="5">
        <f>IF('Service Types'!E348="","",'Service Types'!E348)</f>
        <v>798</v>
      </c>
      <c r="E106" s="5">
        <f>IF('Service Types'!D348="","",'Service Types'!D348)</f>
        <v>4404</v>
      </c>
      <c r="F106" s="5">
        <f>IF('Service Types'!F348="","",'Service Types'!F348)</f>
        <v>46</v>
      </c>
      <c r="G106" s="5">
        <f>IF('Service Types'!G348="","",'Service Types'!G348)</f>
        <v>7</v>
      </c>
      <c r="H106" s="5">
        <f>IF('Service Types'!H348="","",'Service Types'!H348)</f>
        <v>4358</v>
      </c>
      <c r="I106" s="6">
        <f>IF('Service Types'!I348="","",'Service Types'!I348)</f>
        <v>5</v>
      </c>
      <c r="J106" s="6">
        <f>IF('Service Types'!J348="","",'Service Types'!J348)</f>
        <v>8.6</v>
      </c>
      <c r="K106" s="6">
        <f>IF('Service Types'!K348="","",'Service Types'!K348)</f>
        <v>21</v>
      </c>
      <c r="L106" s="4" t="str">
        <f>IF('Service Types'!Q348="","",'Service Types'!Q348)</f>
        <v>Non-crew</v>
      </c>
    </row>
    <row r="107" spans="1:12" x14ac:dyDescent="0.45">
      <c r="A107" s="14">
        <v>106</v>
      </c>
      <c r="B107" s="4" t="s">
        <v>820</v>
      </c>
      <c r="C107" s="4" t="str">
        <f>IF('Service Types'!B641="","",'Service Types'!B641)</f>
        <v>PDS - Development, Business and Building Services</v>
      </c>
      <c r="D107" s="5">
        <f>IF('Service Types'!E641="","",'Service Types'!E641)</f>
        <v>797</v>
      </c>
      <c r="E107" s="5">
        <f>IF('Service Types'!D641="","",'Service Types'!D641)</f>
        <v>3510</v>
      </c>
      <c r="F107" s="5">
        <f>IF('Service Types'!F641="","",'Service Types'!F641)</f>
        <v>4</v>
      </c>
      <c r="G107" s="5">
        <f>IF('Service Types'!G641="","",'Service Types'!G641)</f>
        <v>0</v>
      </c>
      <c r="H107" s="5">
        <f>IF('Service Types'!H641="","",'Service Types'!H641)</f>
        <v>3506</v>
      </c>
      <c r="I107" s="6">
        <f>IF('Service Types'!I641="","",'Service Types'!I641)</f>
        <v>0</v>
      </c>
      <c r="J107" s="6">
        <f>IF('Service Types'!J641="","",'Service Types'!J641)</f>
        <v>7.3</v>
      </c>
      <c r="K107" s="6">
        <f>IF('Service Types'!K641="","",'Service Types'!K641)</f>
        <v>3</v>
      </c>
      <c r="L107" s="4" t="str">
        <f>IF('Service Types'!Q641="","",'Service Types'!Q641)</f>
        <v>Non-crew</v>
      </c>
    </row>
    <row r="108" spans="1:12" x14ac:dyDescent="0.45">
      <c r="A108" s="14">
        <v>107</v>
      </c>
      <c r="B108" s="4" t="s">
        <v>459</v>
      </c>
      <c r="C108" s="4" t="str">
        <f>IF('Service Types'!B350="","",'Service Types'!B350)</f>
        <v>OS - Calgary Transit</v>
      </c>
      <c r="D108" s="5">
        <f>IF('Service Types'!E350="","",'Service Types'!E350)</f>
        <v>794</v>
      </c>
      <c r="E108" s="5">
        <f>IF('Service Types'!D350="","",'Service Types'!D350)</f>
        <v>4005</v>
      </c>
      <c r="F108" s="5">
        <f>IF('Service Types'!F350="","",'Service Types'!F350)</f>
        <v>118</v>
      </c>
      <c r="G108" s="5">
        <f>IF('Service Types'!G350="","",'Service Types'!G350)</f>
        <v>19</v>
      </c>
      <c r="H108" s="5">
        <f>IF('Service Types'!H350="","",'Service Types'!H350)</f>
        <v>3887</v>
      </c>
      <c r="I108" s="6">
        <f>IF('Service Types'!I350="","",'Service Types'!I350)</f>
        <v>7</v>
      </c>
      <c r="J108" s="6">
        <f>IF('Service Types'!J350="","",'Service Types'!J350)</f>
        <v>16.5</v>
      </c>
      <c r="K108" s="6">
        <f>IF('Service Types'!K350="","",'Service Types'!K350)</f>
        <v>42</v>
      </c>
      <c r="L108" s="4" t="str">
        <f>IF('Service Types'!Q350="","",'Service Types'!Q350)</f>
        <v>Crew</v>
      </c>
    </row>
    <row r="109" spans="1:12" x14ac:dyDescent="0.45">
      <c r="A109" s="14">
        <v>108</v>
      </c>
      <c r="B109" s="4" t="s">
        <v>707</v>
      </c>
      <c r="C109" s="4" t="str">
        <f>IF('Service Types'!B546="","",'Service Types'!B546)</f>
        <v>OS - Water Services</v>
      </c>
      <c r="D109" s="5">
        <f>IF('Service Types'!E546="","",'Service Types'!E546)</f>
        <v>791</v>
      </c>
      <c r="E109" s="5">
        <f>IF('Service Types'!D546="","",'Service Types'!D546)</f>
        <v>3091</v>
      </c>
      <c r="F109" s="5">
        <f>IF('Service Types'!F546="","",'Service Types'!F546)</f>
        <v>12</v>
      </c>
      <c r="G109" s="5">
        <f>IF('Service Types'!G546="","",'Service Types'!G546)</f>
        <v>9</v>
      </c>
      <c r="H109" s="5">
        <f>IF('Service Types'!H546="","",'Service Types'!H546)</f>
        <v>3079</v>
      </c>
      <c r="I109" s="6">
        <f>IF('Service Types'!I546="","",'Service Types'!I546)</f>
        <v>1</v>
      </c>
      <c r="J109" s="6">
        <f>IF('Service Types'!J546="","",'Service Types'!J546)</f>
        <v>4.5999999999999996</v>
      </c>
      <c r="K109" s="6">
        <f>IF('Service Types'!K546="","",'Service Types'!K546)</f>
        <v>3</v>
      </c>
      <c r="L109" s="4" t="str">
        <f>IF('Service Types'!Q546="","",'Service Types'!Q546)</f>
        <v>Crew</v>
      </c>
    </row>
    <row r="110" spans="1:12" x14ac:dyDescent="0.45">
      <c r="A110" s="14">
        <v>109</v>
      </c>
      <c r="B110" s="4" t="s">
        <v>519</v>
      </c>
      <c r="C110" s="4" t="str">
        <f>IF('Service Types'!B391="","",'Service Types'!B391)</f>
        <v>OS - Mobility</v>
      </c>
      <c r="D110" s="5">
        <f>IF('Service Types'!E391="","",'Service Types'!E391)</f>
        <v>780</v>
      </c>
      <c r="E110" s="5">
        <f>IF('Service Types'!D391="","",'Service Types'!D391)</f>
        <v>4346</v>
      </c>
      <c r="F110" s="5">
        <f>IF('Service Types'!F391="","",'Service Types'!F391)</f>
        <v>2071</v>
      </c>
      <c r="G110" s="5">
        <f>IF('Service Types'!G391="","",'Service Types'!G391)</f>
        <v>2071</v>
      </c>
      <c r="H110" s="5">
        <f>IF('Service Types'!H391="","",'Service Types'!H391)</f>
        <v>2265</v>
      </c>
      <c r="I110" s="6">
        <f>IF('Service Types'!I391="","",'Service Types'!I391)</f>
        <v>325</v>
      </c>
      <c r="J110" s="6">
        <f>IF('Service Types'!J391="","",'Service Types'!J391)</f>
        <v>309.60000000000002</v>
      </c>
      <c r="K110" s="6">
        <f>IF('Service Types'!K391="","",'Service Types'!K391)</f>
        <v>586</v>
      </c>
      <c r="L110" s="4" t="str">
        <f>IF('Service Types'!Q391="","",'Service Types'!Q391)</f>
        <v>Non-crew</v>
      </c>
    </row>
    <row r="111" spans="1:12" x14ac:dyDescent="0.45">
      <c r="A111" s="14">
        <v>110</v>
      </c>
      <c r="B111" s="4" t="s">
        <v>827</v>
      </c>
      <c r="C111" s="4" t="str">
        <f>IF('Service Types'!B648="","",'Service Types'!B648)</f>
        <v>PDS - Development, Business and Building Services</v>
      </c>
      <c r="D111" s="5">
        <f>IF('Service Types'!E648="","",'Service Types'!E648)</f>
        <v>763</v>
      </c>
      <c r="E111" s="5">
        <f>IF('Service Types'!D648="","",'Service Types'!D648)</f>
        <v>2966</v>
      </c>
      <c r="F111" s="5">
        <f>IF('Service Types'!F648="","",'Service Types'!F648)</f>
        <v>6</v>
      </c>
      <c r="G111" s="5">
        <f>IF('Service Types'!G648="","",'Service Types'!G648)</f>
        <v>0</v>
      </c>
      <c r="H111" s="5">
        <f>IF('Service Types'!H648="","",'Service Types'!H648)</f>
        <v>2960</v>
      </c>
      <c r="I111" s="6">
        <f>IF('Service Types'!I648="","",'Service Types'!I648)</f>
        <v>1</v>
      </c>
      <c r="J111" s="6">
        <f>IF('Service Types'!J648="","",'Service Types'!J648)</f>
        <v>6.6</v>
      </c>
      <c r="K111" s="6">
        <f>IF('Service Types'!K648="","",'Service Types'!K648)</f>
        <v>7</v>
      </c>
      <c r="L111" s="4" t="str">
        <f>IF('Service Types'!Q648="","",'Service Types'!Q648)</f>
        <v>Non-crew</v>
      </c>
    </row>
    <row r="112" spans="1:12" x14ac:dyDescent="0.45">
      <c r="A112" s="14">
        <v>111</v>
      </c>
      <c r="B112" s="4" t="s">
        <v>702</v>
      </c>
      <c r="C112" s="4" t="str">
        <f>IF('Service Types'!B543="","",'Service Types'!B543)</f>
        <v>OS - Water Services</v>
      </c>
      <c r="D112" s="5">
        <f>IF('Service Types'!E543="","",'Service Types'!E543)</f>
        <v>759</v>
      </c>
      <c r="E112" s="5">
        <f>IF('Service Types'!D543="","",'Service Types'!D543)</f>
        <v>3618</v>
      </c>
      <c r="F112" s="5">
        <f>IF('Service Types'!F543="","",'Service Types'!F543)</f>
        <v>6</v>
      </c>
      <c r="G112" s="5">
        <f>IF('Service Types'!G543="","",'Service Types'!G543)</f>
        <v>6</v>
      </c>
      <c r="H112" s="5">
        <f>IF('Service Types'!H543="","",'Service Types'!H543)</f>
        <v>3612</v>
      </c>
      <c r="I112" s="6">
        <f>IF('Service Types'!I543="","",'Service Types'!I543)</f>
        <v>0</v>
      </c>
      <c r="J112" s="6">
        <f>IF('Service Types'!J543="","",'Service Types'!J543)</f>
        <v>0.7</v>
      </c>
      <c r="K112" s="6">
        <f>IF('Service Types'!K543="","",'Service Types'!K543)</f>
        <v>0</v>
      </c>
      <c r="L112" s="4" t="str">
        <f>IF('Service Types'!Q543="","",'Service Types'!Q543)</f>
        <v>Crew</v>
      </c>
    </row>
    <row r="113" spans="1:12" x14ac:dyDescent="0.45">
      <c r="A113" s="14">
        <v>112</v>
      </c>
      <c r="B113" s="4" t="s">
        <v>823</v>
      </c>
      <c r="C113" s="4" t="str">
        <f>IF('Service Types'!B644="","",'Service Types'!B644)</f>
        <v>PDS - Development, Business and Building Services</v>
      </c>
      <c r="D113" s="5">
        <f>IF('Service Types'!E644="","",'Service Types'!E644)</f>
        <v>741</v>
      </c>
      <c r="E113" s="5">
        <f>IF('Service Types'!D644="","",'Service Types'!D644)</f>
        <v>3132</v>
      </c>
      <c r="F113" s="5">
        <f>IF('Service Types'!F644="","",'Service Types'!F644)</f>
        <v>7</v>
      </c>
      <c r="G113" s="5">
        <f>IF('Service Types'!G644="","",'Service Types'!G644)</f>
        <v>0</v>
      </c>
      <c r="H113" s="5">
        <f>IF('Service Types'!H644="","",'Service Types'!H644)</f>
        <v>3125</v>
      </c>
      <c r="I113" s="6">
        <f>IF('Service Types'!I644="","",'Service Types'!I644)</f>
        <v>4</v>
      </c>
      <c r="J113" s="6">
        <f>IF('Service Types'!J644="","",'Service Types'!J644)</f>
        <v>8.8000000000000007</v>
      </c>
      <c r="K113" s="6">
        <f>IF('Service Types'!K644="","",'Service Types'!K644)</f>
        <v>12</v>
      </c>
      <c r="L113" s="4" t="str">
        <f>IF('Service Types'!Q644="","",'Service Types'!Q644)</f>
        <v>Non-crew</v>
      </c>
    </row>
    <row r="114" spans="1:12" x14ac:dyDescent="0.45">
      <c r="A114" s="14">
        <v>113</v>
      </c>
      <c r="B114" s="4" t="s">
        <v>113</v>
      </c>
      <c r="C114" s="4" t="str">
        <f>IF('Service Types'!B51="","",'Service Types'!B51)</f>
        <v>CS - Calgary Fire</v>
      </c>
      <c r="D114" s="5">
        <f>IF('Service Types'!E51="","",'Service Types'!E51)</f>
        <v>729</v>
      </c>
      <c r="E114" s="5">
        <f>IF('Service Types'!D51="","",'Service Types'!D51)</f>
        <v>1461</v>
      </c>
      <c r="F114" s="5">
        <f>IF('Service Types'!F51="","",'Service Types'!F51)</f>
        <v>36</v>
      </c>
      <c r="G114" s="5">
        <f>IF('Service Types'!G51="","",'Service Types'!G51)</f>
        <v>7</v>
      </c>
      <c r="H114" s="5">
        <f>IF('Service Types'!H51="","",'Service Types'!H51)</f>
        <v>1425</v>
      </c>
      <c r="I114" s="6">
        <f>IF('Service Types'!I51="","",'Service Types'!I51)</f>
        <v>5</v>
      </c>
      <c r="J114" s="6">
        <f>IF('Service Types'!J51="","",'Service Types'!J51)</f>
        <v>18</v>
      </c>
      <c r="K114" s="6">
        <f>IF('Service Types'!K51="","",'Service Types'!K51)</f>
        <v>47</v>
      </c>
      <c r="L114" s="4" t="str">
        <f>IF('Service Types'!Q51="","",'Service Types'!Q51)</f>
        <v>Non-crew</v>
      </c>
    </row>
    <row r="115" spans="1:12" x14ac:dyDescent="0.45">
      <c r="A115" s="14">
        <v>114</v>
      </c>
      <c r="B115" s="4" t="s">
        <v>713</v>
      </c>
      <c r="C115" s="4" t="str">
        <f>IF('Service Types'!B551="","",'Service Types'!B551)</f>
        <v>OS - Water Services</v>
      </c>
      <c r="D115" s="5">
        <f>IF('Service Types'!E551="","",'Service Types'!E551)</f>
        <v>726</v>
      </c>
      <c r="E115" s="5">
        <f>IF('Service Types'!D551="","",'Service Types'!D551)</f>
        <v>2805</v>
      </c>
      <c r="F115" s="5">
        <f>IF('Service Types'!F551="","",'Service Types'!F551)</f>
        <v>265</v>
      </c>
      <c r="G115" s="5">
        <f>IF('Service Types'!G551="","",'Service Types'!G551)</f>
        <v>200</v>
      </c>
      <c r="H115" s="5">
        <f>IF('Service Types'!H551="","",'Service Types'!H551)</f>
        <v>2540</v>
      </c>
      <c r="I115" s="6">
        <f>IF('Service Types'!I551="","",'Service Types'!I551)</f>
        <v>29.5</v>
      </c>
      <c r="J115" s="6">
        <f>IF('Service Types'!J551="","",'Service Types'!J551)</f>
        <v>84.7</v>
      </c>
      <c r="K115" s="6">
        <f>IF('Service Types'!K551="","",'Service Types'!K551)</f>
        <v>237</v>
      </c>
      <c r="L115" s="4" t="str">
        <f>IF('Service Types'!Q551="","",'Service Types'!Q551)</f>
        <v>Non-crew</v>
      </c>
    </row>
    <row r="116" spans="1:12" x14ac:dyDescent="0.45">
      <c r="A116" s="14">
        <v>115</v>
      </c>
      <c r="B116" s="4" t="s">
        <v>596</v>
      </c>
      <c r="C116" s="4" t="str">
        <f>IF('Service Types'!B458="","",'Service Types'!B458)</f>
        <v>OS - Parks and Open Spaces</v>
      </c>
      <c r="D116" s="5">
        <f>IF('Service Types'!E458="","",'Service Types'!E458)</f>
        <v>726</v>
      </c>
      <c r="E116" s="5">
        <f>IF('Service Types'!D458="","",'Service Types'!D458)</f>
        <v>2420</v>
      </c>
      <c r="F116" s="5">
        <f>IF('Service Types'!F458="","",'Service Types'!F458)</f>
        <v>4</v>
      </c>
      <c r="G116" s="5">
        <f>IF('Service Types'!G458="","",'Service Types'!G458)</f>
        <v>2</v>
      </c>
      <c r="H116" s="5">
        <f>IF('Service Types'!H458="","",'Service Types'!H458)</f>
        <v>2416</v>
      </c>
      <c r="I116" s="6">
        <f>IF('Service Types'!I458="","",'Service Types'!I458)</f>
        <v>6</v>
      </c>
      <c r="J116" s="6">
        <f>IF('Service Types'!J458="","",'Service Types'!J458)</f>
        <v>9.6999999999999993</v>
      </c>
      <c r="K116" s="6">
        <f>IF('Service Types'!K458="","",'Service Types'!K458)</f>
        <v>22</v>
      </c>
      <c r="L116" s="4" t="str">
        <f>IF('Service Types'!Q458="","",'Service Types'!Q458)</f>
        <v>Crew</v>
      </c>
    </row>
    <row r="117" spans="1:12" x14ac:dyDescent="0.45">
      <c r="A117" s="14">
        <v>116</v>
      </c>
      <c r="B117" s="4" t="s">
        <v>712</v>
      </c>
      <c r="C117" s="4" t="str">
        <f>IF('Service Types'!B550="","",'Service Types'!B550)</f>
        <v>OS - Water Services</v>
      </c>
      <c r="D117" s="5">
        <f>IF('Service Types'!E550="","",'Service Types'!E550)</f>
        <v>721</v>
      </c>
      <c r="E117" s="5">
        <f>IF('Service Types'!D550="","",'Service Types'!D550)</f>
        <v>2836</v>
      </c>
      <c r="F117" s="5">
        <f>IF('Service Types'!F550="","",'Service Types'!F550)</f>
        <v>27</v>
      </c>
      <c r="G117" s="5">
        <f>IF('Service Types'!G550="","",'Service Types'!G550)</f>
        <v>0</v>
      </c>
      <c r="H117" s="5">
        <f>IF('Service Types'!H550="","",'Service Types'!H550)</f>
        <v>2804</v>
      </c>
      <c r="I117" s="6">
        <f>IF('Service Types'!I550="","",'Service Types'!I550)</f>
        <v>6</v>
      </c>
      <c r="J117" s="6">
        <f>IF('Service Types'!J550="","",'Service Types'!J550)</f>
        <v>8.9</v>
      </c>
      <c r="K117" s="6">
        <f>IF('Service Types'!K550="","",'Service Types'!K550)</f>
        <v>19</v>
      </c>
      <c r="L117" s="4" t="str">
        <f>IF('Service Types'!Q550="","",'Service Types'!Q550)</f>
        <v>Crew</v>
      </c>
    </row>
    <row r="118" spans="1:12" x14ac:dyDescent="0.45">
      <c r="A118" s="14">
        <v>117</v>
      </c>
      <c r="B118" s="4" t="s">
        <v>104</v>
      </c>
      <c r="C118" s="4" t="str">
        <f>IF('Service Types'!B46="","",'Service Types'!B46)</f>
        <v>CS - Calgary Fire</v>
      </c>
      <c r="D118" s="5">
        <f>IF('Service Types'!E46="","",'Service Types'!E46)</f>
        <v>715</v>
      </c>
      <c r="E118" s="5">
        <f>IF('Service Types'!D46="","",'Service Types'!D46)</f>
        <v>3123</v>
      </c>
      <c r="F118" s="5">
        <f>IF('Service Types'!F46="","",'Service Types'!F46)</f>
        <v>10</v>
      </c>
      <c r="G118" s="5">
        <f>IF('Service Types'!G46="","",'Service Types'!G46)</f>
        <v>3</v>
      </c>
      <c r="H118" s="5">
        <f>IF('Service Types'!H46="","",'Service Types'!H46)</f>
        <v>3113</v>
      </c>
      <c r="I118" s="6">
        <f>IF('Service Types'!I46="","",'Service Types'!I46)</f>
        <v>1</v>
      </c>
      <c r="J118" s="6">
        <f>IF('Service Types'!J46="","",'Service Types'!J46)</f>
        <v>4.5999999999999996</v>
      </c>
      <c r="K118" s="6">
        <f>IF('Service Types'!K46="","",'Service Types'!K46)</f>
        <v>6</v>
      </c>
      <c r="L118" s="4" t="str">
        <f>IF('Service Types'!Q46="","",'Service Types'!Q46)</f>
        <v>Non-crew</v>
      </c>
    </row>
    <row r="119" spans="1:12" x14ac:dyDescent="0.45">
      <c r="A119" s="14">
        <v>118</v>
      </c>
      <c r="B119" s="4" t="s">
        <v>703</v>
      </c>
      <c r="C119" s="4" t="str">
        <f>IF('Service Types'!B544="","",'Service Types'!B544)</f>
        <v>OS - Water Services</v>
      </c>
      <c r="D119" s="5">
        <f>IF('Service Types'!E544="","",'Service Types'!E544)</f>
        <v>693</v>
      </c>
      <c r="E119" s="5">
        <f>IF('Service Types'!D544="","",'Service Types'!D544)</f>
        <v>3544</v>
      </c>
      <c r="F119" s="5">
        <f>IF('Service Types'!F544="","",'Service Types'!F544)</f>
        <v>28</v>
      </c>
      <c r="G119" s="5">
        <f>IF('Service Types'!G544="","",'Service Types'!G544)</f>
        <v>6</v>
      </c>
      <c r="H119" s="5">
        <f>IF('Service Types'!H544="","",'Service Types'!H544)</f>
        <v>3479</v>
      </c>
      <c r="I119" s="6">
        <f>IF('Service Types'!I544="","",'Service Types'!I544)</f>
        <v>3</v>
      </c>
      <c r="J119" s="6">
        <f>IF('Service Types'!J544="","",'Service Types'!J544)</f>
        <v>9.4</v>
      </c>
      <c r="K119" s="6">
        <f>IF('Service Types'!K544="","",'Service Types'!K544)</f>
        <v>20</v>
      </c>
      <c r="L119" s="4" t="str">
        <f>IF('Service Types'!Q544="","",'Service Types'!Q544)</f>
        <v>Crew</v>
      </c>
    </row>
    <row r="120" spans="1:12" x14ac:dyDescent="0.45">
      <c r="A120" s="14">
        <v>119</v>
      </c>
      <c r="B120" s="4" t="s">
        <v>222</v>
      </c>
      <c r="C120" s="4" t="str">
        <f>IF('Service Types'!B143="","",'Service Types'!B143)</f>
        <v>CS - Emergency Management and Community Safety</v>
      </c>
      <c r="D120" s="5">
        <f>IF('Service Types'!E143="","",'Service Types'!E143)</f>
        <v>687</v>
      </c>
      <c r="E120" s="5">
        <f>IF('Service Types'!D143="","",'Service Types'!D143)</f>
        <v>2677</v>
      </c>
      <c r="F120" s="5">
        <f>IF('Service Types'!F143="","",'Service Types'!F143)</f>
        <v>10</v>
      </c>
      <c r="G120" s="5">
        <f>IF('Service Types'!G143="","",'Service Types'!G143)</f>
        <v>0</v>
      </c>
      <c r="H120" s="5">
        <f>IF('Service Types'!H143="","",'Service Types'!H143)</f>
        <v>2664</v>
      </c>
      <c r="I120" s="6">
        <f>IF('Service Types'!I143="","",'Service Types'!I143)</f>
        <v>5</v>
      </c>
      <c r="J120" s="6">
        <f>IF('Service Types'!J143="","",'Service Types'!J143)</f>
        <v>10.6</v>
      </c>
      <c r="K120" s="6">
        <f>IF('Service Types'!K143="","",'Service Types'!K143)</f>
        <v>20</v>
      </c>
      <c r="L120" s="4" t="str">
        <f>IF('Service Types'!Q143="","",'Service Types'!Q143)</f>
        <v>Non-crew</v>
      </c>
    </row>
    <row r="121" spans="1:12" x14ac:dyDescent="0.45">
      <c r="A121" s="14">
        <v>120</v>
      </c>
      <c r="B121" s="4" t="s">
        <v>711</v>
      </c>
      <c r="C121" s="4" t="str">
        <f>IF('Service Types'!B549="","",'Service Types'!B549)</f>
        <v>OS - Water Services</v>
      </c>
      <c r="D121" s="5">
        <f>IF('Service Types'!E549="","",'Service Types'!E549)</f>
        <v>675</v>
      </c>
      <c r="E121" s="5">
        <f>IF('Service Types'!D549="","",'Service Types'!D549)</f>
        <v>2923</v>
      </c>
      <c r="F121" s="5">
        <f>IF('Service Types'!F549="","",'Service Types'!F549)</f>
        <v>7</v>
      </c>
      <c r="G121" s="5">
        <f>IF('Service Types'!G549="","",'Service Types'!G549)</f>
        <v>0</v>
      </c>
      <c r="H121" s="5">
        <f>IF('Service Types'!H549="","",'Service Types'!H549)</f>
        <v>2916</v>
      </c>
      <c r="I121" s="6">
        <f>IF('Service Types'!I549="","",'Service Types'!I549)</f>
        <v>3</v>
      </c>
      <c r="J121" s="6">
        <f>IF('Service Types'!J549="","",'Service Types'!J549)</f>
        <v>6</v>
      </c>
      <c r="K121" s="6">
        <f>IF('Service Types'!K549="","",'Service Types'!K549)</f>
        <v>16</v>
      </c>
      <c r="L121" s="4" t="str">
        <f>IF('Service Types'!Q549="","",'Service Types'!Q549)</f>
        <v>Non-crew</v>
      </c>
    </row>
    <row r="122" spans="1:12" x14ac:dyDescent="0.45">
      <c r="A122" s="14">
        <v>121</v>
      </c>
      <c r="B122" s="4" t="s">
        <v>709</v>
      </c>
      <c r="C122" s="4" t="str">
        <f>IF('Service Types'!B548="","",'Service Types'!B548)</f>
        <v>OS - Water Services</v>
      </c>
      <c r="D122" s="5">
        <f>IF('Service Types'!E548="","",'Service Types'!E548)</f>
        <v>660</v>
      </c>
      <c r="E122" s="5">
        <f>IF('Service Types'!D548="","",'Service Types'!D548)</f>
        <v>2939</v>
      </c>
      <c r="F122" s="5">
        <f>IF('Service Types'!F548="","",'Service Types'!F548)</f>
        <v>0</v>
      </c>
      <c r="G122" s="5">
        <f>IF('Service Types'!G548="","",'Service Types'!G548)</f>
        <v>0</v>
      </c>
      <c r="H122" s="5">
        <f>IF('Service Types'!H548="","",'Service Types'!H548)</f>
        <v>2934</v>
      </c>
      <c r="I122" s="6">
        <f>IF('Service Types'!I548="","",'Service Types'!I548)</f>
        <v>2</v>
      </c>
      <c r="J122" s="6">
        <f>IF('Service Types'!J548="","",'Service Types'!J548)</f>
        <v>9.5</v>
      </c>
      <c r="K122" s="6">
        <f>IF('Service Types'!K548="","",'Service Types'!K548)</f>
        <v>18</v>
      </c>
      <c r="L122" s="4" t="str">
        <f>IF('Service Types'!Q548="","",'Service Types'!Q548)</f>
        <v>Crew</v>
      </c>
    </row>
    <row r="123" spans="1:12" x14ac:dyDescent="0.45">
      <c r="A123" s="14">
        <v>122</v>
      </c>
      <c r="B123" s="4" t="s">
        <v>705</v>
      </c>
      <c r="C123" s="4" t="str">
        <f>IF('Service Types'!B545="","",'Service Types'!B545)</f>
        <v>OS - Water Services</v>
      </c>
      <c r="D123" s="5">
        <f>IF('Service Types'!E545="","",'Service Types'!E545)</f>
        <v>652</v>
      </c>
      <c r="E123" s="5">
        <f>IF('Service Types'!D545="","",'Service Types'!D545)</f>
        <v>3286</v>
      </c>
      <c r="F123" s="5">
        <f>IF('Service Types'!F545="","",'Service Types'!F545)</f>
        <v>8</v>
      </c>
      <c r="G123" s="5">
        <f>IF('Service Types'!G545="","",'Service Types'!G545)</f>
        <v>1</v>
      </c>
      <c r="H123" s="5">
        <f>IF('Service Types'!H545="","",'Service Types'!H545)</f>
        <v>3278</v>
      </c>
      <c r="I123" s="6">
        <f>IF('Service Types'!I545="","",'Service Types'!I545)</f>
        <v>2</v>
      </c>
      <c r="J123" s="6">
        <f>IF('Service Types'!J545="","",'Service Types'!J545)</f>
        <v>6.6</v>
      </c>
      <c r="K123" s="6">
        <f>IF('Service Types'!K545="","",'Service Types'!K545)</f>
        <v>11</v>
      </c>
      <c r="L123" s="4" t="str">
        <f>IF('Service Types'!Q545="","",'Service Types'!Q545)</f>
        <v>Non-crew</v>
      </c>
    </row>
    <row r="124" spans="1:12" x14ac:dyDescent="0.45">
      <c r="A124" s="14">
        <v>123</v>
      </c>
      <c r="B124" s="4" t="s">
        <v>708</v>
      </c>
      <c r="C124" s="4" t="str">
        <f>IF('Service Types'!B547="","",'Service Types'!B547)</f>
        <v>OS - Water Services</v>
      </c>
      <c r="D124" s="5">
        <f>IF('Service Types'!E547="","",'Service Types'!E547)</f>
        <v>631</v>
      </c>
      <c r="E124" s="5">
        <f>IF('Service Types'!D547="","",'Service Types'!D547)</f>
        <v>3064</v>
      </c>
      <c r="F124" s="5">
        <f>IF('Service Types'!F547="","",'Service Types'!F547)</f>
        <v>6</v>
      </c>
      <c r="G124" s="5">
        <f>IF('Service Types'!G547="","",'Service Types'!G547)</f>
        <v>0</v>
      </c>
      <c r="H124" s="5">
        <f>IF('Service Types'!H547="","",'Service Types'!H547)</f>
        <v>3058</v>
      </c>
      <c r="I124" s="6">
        <f>IF('Service Types'!I547="","",'Service Types'!I547)</f>
        <v>4</v>
      </c>
      <c r="J124" s="6">
        <f>IF('Service Types'!J547="","",'Service Types'!J547)</f>
        <v>7.2</v>
      </c>
      <c r="K124" s="6">
        <f>IF('Service Types'!K547="","",'Service Types'!K547)</f>
        <v>20</v>
      </c>
      <c r="L124" s="4" t="str">
        <f>IF('Service Types'!Q547="","",'Service Types'!Q547)</f>
        <v>Non-crew</v>
      </c>
    </row>
    <row r="125" spans="1:12" x14ac:dyDescent="0.45">
      <c r="A125" s="14">
        <v>124</v>
      </c>
      <c r="B125" s="4" t="s">
        <v>522</v>
      </c>
      <c r="C125" s="4" t="str">
        <f>IF('Service Types'!B393="","",'Service Types'!B393)</f>
        <v>OS - Mobility</v>
      </c>
      <c r="D125" s="5">
        <f>IF('Service Types'!E393="","",'Service Types'!E393)</f>
        <v>622</v>
      </c>
      <c r="E125" s="5">
        <f>IF('Service Types'!D393="","",'Service Types'!D393)</f>
        <v>2418</v>
      </c>
      <c r="F125" s="5">
        <f>IF('Service Types'!F393="","",'Service Types'!F393)</f>
        <v>0</v>
      </c>
      <c r="G125" s="5">
        <f>IF('Service Types'!G393="","",'Service Types'!G393)</f>
        <v>0</v>
      </c>
      <c r="H125" s="5">
        <f>IF('Service Types'!H393="","",'Service Types'!H393)</f>
        <v>2391</v>
      </c>
      <c r="I125" s="6">
        <f>IF('Service Types'!I393="","",'Service Types'!I393)</f>
        <v>0</v>
      </c>
      <c r="J125" s="6">
        <f>IF('Service Types'!J393="","",'Service Types'!J393)</f>
        <v>18.100000000000001</v>
      </c>
      <c r="K125" s="6">
        <f>IF('Service Types'!K393="","",'Service Types'!K393)</f>
        <v>58</v>
      </c>
      <c r="L125" s="4" t="str">
        <f>IF('Service Types'!Q393="","",'Service Types'!Q393)</f>
        <v>Crew</v>
      </c>
    </row>
    <row r="126" spans="1:12" x14ac:dyDescent="0.45">
      <c r="A126" s="14">
        <v>125</v>
      </c>
      <c r="B126" s="4" t="s">
        <v>445</v>
      </c>
      <c r="C126" s="4" t="str">
        <f>IF('Service Types'!B341="","",'Service Types'!B341)</f>
        <v>LLSS - Law</v>
      </c>
      <c r="D126" s="5">
        <f>IF('Service Types'!E341="","",'Service Types'!E341)</f>
        <v>607</v>
      </c>
      <c r="E126" s="5">
        <f>IF('Service Types'!D341="","",'Service Types'!D341)</f>
        <v>4416</v>
      </c>
      <c r="F126" s="5">
        <f>IF('Service Types'!F341="","",'Service Types'!F341)</f>
        <v>1</v>
      </c>
      <c r="G126" s="5">
        <f>IF('Service Types'!G341="","",'Service Types'!G341)</f>
        <v>1</v>
      </c>
      <c r="H126" s="5">
        <f>IF('Service Types'!H341="","",'Service Types'!H341)</f>
        <v>4415</v>
      </c>
      <c r="I126" s="6">
        <f>IF('Service Types'!I341="","",'Service Types'!I341)</f>
        <v>0</v>
      </c>
      <c r="J126" s="6">
        <f>IF('Service Types'!J341="","",'Service Types'!J341)</f>
        <v>4.5999999999999996</v>
      </c>
      <c r="K126" s="6">
        <f>IF('Service Types'!K341="","",'Service Types'!K341)</f>
        <v>3</v>
      </c>
      <c r="L126" s="4" t="str">
        <f>IF('Service Types'!Q341="","",'Service Types'!Q341)</f>
        <v>Non-crew</v>
      </c>
    </row>
    <row r="127" spans="1:12" x14ac:dyDescent="0.45">
      <c r="A127" s="14">
        <v>126</v>
      </c>
      <c r="B127" s="4" t="s">
        <v>304</v>
      </c>
      <c r="C127" s="4" t="str">
        <f>IF('Service Types'!B220="","",'Service Types'!B220)</f>
        <v>CS - Recreation and Social Programs</v>
      </c>
      <c r="D127" s="5">
        <f>IF('Service Types'!E220="","",'Service Types'!E220)</f>
        <v>593</v>
      </c>
      <c r="E127" s="5">
        <f>IF('Service Types'!D220="","",'Service Types'!D220)</f>
        <v>2469</v>
      </c>
      <c r="F127" s="5">
        <f>IF('Service Types'!F220="","",'Service Types'!F220)</f>
        <v>48</v>
      </c>
      <c r="G127" s="5">
        <f>IF('Service Types'!G220="","",'Service Types'!G220)</f>
        <v>13</v>
      </c>
      <c r="H127" s="5">
        <f>IF('Service Types'!H220="","",'Service Types'!H220)</f>
        <v>2421</v>
      </c>
      <c r="I127" s="6">
        <f>IF('Service Types'!I220="","",'Service Types'!I220)</f>
        <v>8</v>
      </c>
      <c r="J127" s="6">
        <f>IF('Service Types'!J220="","",'Service Types'!J220)</f>
        <v>15.4</v>
      </c>
      <c r="K127" s="6">
        <f>IF('Service Types'!K220="","",'Service Types'!K220)</f>
        <v>35</v>
      </c>
      <c r="L127" s="4" t="str">
        <f>IF('Service Types'!Q220="","",'Service Types'!Q220)</f>
        <v>Non-crew</v>
      </c>
    </row>
    <row r="128" spans="1:12" x14ac:dyDescent="0.45">
      <c r="A128" s="14">
        <v>127</v>
      </c>
      <c r="B128" s="4" t="s">
        <v>609</v>
      </c>
      <c r="C128" s="4" t="str">
        <f>IF('Service Types'!B468="","",'Service Types'!B468)</f>
        <v>OS - Parks and Open Spaces</v>
      </c>
      <c r="D128" s="5">
        <f>IF('Service Types'!E468="","",'Service Types'!E468)</f>
        <v>587</v>
      </c>
      <c r="E128" s="5">
        <f>IF('Service Types'!D468="","",'Service Types'!D468)</f>
        <v>1012</v>
      </c>
      <c r="F128" s="5">
        <f>IF('Service Types'!F468="","",'Service Types'!F468)</f>
        <v>17</v>
      </c>
      <c r="G128" s="5">
        <f>IF('Service Types'!G468="","",'Service Types'!G468)</f>
        <v>0</v>
      </c>
      <c r="H128" s="5">
        <f>IF('Service Types'!H468="","",'Service Types'!H468)</f>
        <v>995</v>
      </c>
      <c r="I128" s="6">
        <f>IF('Service Types'!I468="","",'Service Types'!I468)</f>
        <v>2</v>
      </c>
      <c r="J128" s="6">
        <f>IF('Service Types'!J468="","",'Service Types'!J468)</f>
        <v>3.2</v>
      </c>
      <c r="K128" s="6">
        <f>IF('Service Types'!K468="","",'Service Types'!K468)</f>
        <v>7</v>
      </c>
      <c r="L128" s="4" t="str">
        <f>IF('Service Types'!Q468="","",'Service Types'!Q468)</f>
        <v>Non-crew</v>
      </c>
    </row>
    <row r="129" spans="1:12" x14ac:dyDescent="0.45">
      <c r="A129" s="14">
        <v>128</v>
      </c>
      <c r="B129" s="4" t="s">
        <v>659</v>
      </c>
      <c r="C129" s="4" t="str">
        <f>IF('Service Types'!B510="","",'Service Types'!B510)</f>
        <v>OS - Waste and Recycling Services</v>
      </c>
      <c r="D129" s="5">
        <f>IF('Service Types'!E510="","",'Service Types'!E510)</f>
        <v>584</v>
      </c>
      <c r="E129" s="5">
        <f>IF('Service Types'!D510="","",'Service Types'!D510)</f>
        <v>2565</v>
      </c>
      <c r="F129" s="5">
        <f>IF('Service Types'!F510="","",'Service Types'!F510)</f>
        <v>1</v>
      </c>
      <c r="G129" s="5">
        <f>IF('Service Types'!G510="","",'Service Types'!G510)</f>
        <v>0</v>
      </c>
      <c r="H129" s="5">
        <f>IF('Service Types'!H510="","",'Service Types'!H510)</f>
        <v>2564</v>
      </c>
      <c r="I129" s="6">
        <f>IF('Service Types'!I510="","",'Service Types'!I510)</f>
        <v>1</v>
      </c>
      <c r="J129" s="6">
        <f>IF('Service Types'!J510="","",'Service Types'!J510)</f>
        <v>1.9</v>
      </c>
      <c r="K129" s="6">
        <f>IF('Service Types'!K510="","",'Service Types'!K510)</f>
        <v>5</v>
      </c>
      <c r="L129" s="4" t="str">
        <f>IF('Service Types'!Q510="","",'Service Types'!Q510)</f>
        <v>Non-crew</v>
      </c>
    </row>
    <row r="130" spans="1:12" x14ac:dyDescent="0.45">
      <c r="A130" s="14">
        <v>129</v>
      </c>
      <c r="B130" s="4" t="s">
        <v>714</v>
      </c>
      <c r="C130" s="4" t="str">
        <f>IF('Service Types'!B552="","",'Service Types'!B552)</f>
        <v>OS - Water Services</v>
      </c>
      <c r="D130" s="5">
        <f>IF('Service Types'!E552="","",'Service Types'!E552)</f>
        <v>553</v>
      </c>
      <c r="E130" s="5">
        <f>IF('Service Types'!D552="","",'Service Types'!D552)</f>
        <v>2455</v>
      </c>
      <c r="F130" s="5">
        <f>IF('Service Types'!F552="","",'Service Types'!F552)</f>
        <v>13</v>
      </c>
      <c r="G130" s="5">
        <f>IF('Service Types'!G552="","",'Service Types'!G552)</f>
        <v>0</v>
      </c>
      <c r="H130" s="5">
        <f>IF('Service Types'!H552="","",'Service Types'!H552)</f>
        <v>2442</v>
      </c>
      <c r="I130" s="6">
        <f>IF('Service Types'!I552="","",'Service Types'!I552)</f>
        <v>1</v>
      </c>
      <c r="J130" s="6">
        <f>IF('Service Types'!J552="","",'Service Types'!J552)</f>
        <v>7.9</v>
      </c>
      <c r="K130" s="6">
        <f>IF('Service Types'!K552="","",'Service Types'!K552)</f>
        <v>14</v>
      </c>
      <c r="L130" s="4" t="str">
        <f>IF('Service Types'!Q552="","",'Service Types'!Q552)</f>
        <v>Crew</v>
      </c>
    </row>
    <row r="131" spans="1:12" x14ac:dyDescent="0.45">
      <c r="A131" s="14">
        <v>130</v>
      </c>
      <c r="B131" s="4" t="s">
        <v>834</v>
      </c>
      <c r="C131" s="4" t="str">
        <f>IF('Service Types'!B654="","",'Service Types'!B654)</f>
        <v>PDS - Development, Business and Building Services</v>
      </c>
      <c r="D131" s="5">
        <f>IF('Service Types'!E654="","",'Service Types'!E654)</f>
        <v>544</v>
      </c>
      <c r="E131" s="5">
        <f>IF('Service Types'!D654="","",'Service Types'!D654)</f>
        <v>1209</v>
      </c>
      <c r="F131" s="5">
        <f>IF('Service Types'!F654="","",'Service Types'!F654)</f>
        <v>74</v>
      </c>
      <c r="G131" s="5">
        <f>IF('Service Types'!G654="","",'Service Types'!G654)</f>
        <v>26</v>
      </c>
      <c r="H131" s="5">
        <f>IF('Service Types'!H654="","",'Service Types'!H654)</f>
        <v>1135</v>
      </c>
      <c r="I131" s="6">
        <f>IF('Service Types'!I654="","",'Service Types'!I654)</f>
        <v>7</v>
      </c>
      <c r="J131" s="6">
        <f>IF('Service Types'!J654="","",'Service Types'!J654)</f>
        <v>15.8</v>
      </c>
      <c r="K131" s="6">
        <f>IF('Service Types'!K654="","",'Service Types'!K654)</f>
        <v>39</v>
      </c>
      <c r="L131" s="4" t="str">
        <f>IF('Service Types'!Q654="","",'Service Types'!Q654)</f>
        <v>Non-crew</v>
      </c>
    </row>
    <row r="132" spans="1:12" x14ac:dyDescent="0.45">
      <c r="A132" s="14">
        <v>131</v>
      </c>
      <c r="B132" s="4" t="s">
        <v>603</v>
      </c>
      <c r="C132" s="4" t="str">
        <f>IF('Service Types'!B464="","",'Service Types'!B464)</f>
        <v>OS - Parks and Open Spaces</v>
      </c>
      <c r="D132" s="5">
        <f>IF('Service Types'!E464="","",'Service Types'!E464)</f>
        <v>535</v>
      </c>
      <c r="E132" s="5">
        <f>IF('Service Types'!D464="","",'Service Types'!D464)</f>
        <v>1543</v>
      </c>
      <c r="F132" s="5">
        <f>IF('Service Types'!F464="","",'Service Types'!F464)</f>
        <v>7</v>
      </c>
      <c r="G132" s="5">
        <f>IF('Service Types'!G464="","",'Service Types'!G464)</f>
        <v>0</v>
      </c>
      <c r="H132" s="5">
        <f>IF('Service Types'!H464="","",'Service Types'!H464)</f>
        <v>1536</v>
      </c>
      <c r="I132" s="6">
        <f>IF('Service Types'!I464="","",'Service Types'!I464)</f>
        <v>6</v>
      </c>
      <c r="J132" s="6">
        <f>IF('Service Types'!J464="","",'Service Types'!J464)</f>
        <v>9.5</v>
      </c>
      <c r="K132" s="6">
        <f>IF('Service Types'!K464="","",'Service Types'!K464)</f>
        <v>18</v>
      </c>
      <c r="L132" s="4" t="str">
        <f>IF('Service Types'!Q464="","",'Service Types'!Q464)</f>
        <v>Crew</v>
      </c>
    </row>
    <row r="133" spans="1:12" x14ac:dyDescent="0.45">
      <c r="A133" s="14">
        <v>132</v>
      </c>
      <c r="B133" s="4" t="s">
        <v>612</v>
      </c>
      <c r="C133" s="4" t="str">
        <f>IF('Service Types'!B471="","",'Service Types'!B471)</f>
        <v>OS - Parks and Open Spaces</v>
      </c>
      <c r="D133" s="5">
        <f>IF('Service Types'!E471="","",'Service Types'!E471)</f>
        <v>519</v>
      </c>
      <c r="E133" s="5">
        <f>IF('Service Types'!D471="","",'Service Types'!D471)</f>
        <v>719</v>
      </c>
      <c r="F133" s="5">
        <f>IF('Service Types'!F471="","",'Service Types'!F471)</f>
        <v>38</v>
      </c>
      <c r="G133" s="5">
        <f>IF('Service Types'!G471="","",'Service Types'!G471)</f>
        <v>2</v>
      </c>
      <c r="H133" s="5">
        <f>IF('Service Types'!H471="","",'Service Types'!H471)</f>
        <v>681</v>
      </c>
      <c r="I133" s="6">
        <f>IF('Service Types'!I471="","",'Service Types'!I471)</f>
        <v>8</v>
      </c>
      <c r="J133" s="6">
        <f>IF('Service Types'!J471="","",'Service Types'!J471)</f>
        <v>13.3</v>
      </c>
      <c r="K133" s="6">
        <f>IF('Service Types'!K471="","",'Service Types'!K471)</f>
        <v>28</v>
      </c>
      <c r="L133" s="4" t="str">
        <f>IF('Service Types'!Q471="","",'Service Types'!Q471)</f>
        <v>Non-crew</v>
      </c>
    </row>
    <row r="134" spans="1:12" x14ac:dyDescent="0.45">
      <c r="A134" s="14">
        <v>133</v>
      </c>
      <c r="B134" s="4" t="s">
        <v>108</v>
      </c>
      <c r="C134" s="4" t="str">
        <f>IF('Service Types'!B48="","",'Service Types'!B48)</f>
        <v>CS - Calgary Fire</v>
      </c>
      <c r="D134" s="5">
        <f>IF('Service Types'!E48="","",'Service Types'!E48)</f>
        <v>503</v>
      </c>
      <c r="E134" s="5">
        <f>IF('Service Types'!D48="","",'Service Types'!D48)</f>
        <v>1692</v>
      </c>
      <c r="F134" s="5">
        <f>IF('Service Types'!F48="","",'Service Types'!F48)</f>
        <v>18</v>
      </c>
      <c r="G134" s="5">
        <f>IF('Service Types'!G48="","",'Service Types'!G48)</f>
        <v>9</v>
      </c>
      <c r="H134" s="5">
        <f>IF('Service Types'!H48="","",'Service Types'!H48)</f>
        <v>1674</v>
      </c>
      <c r="I134" s="6">
        <f>IF('Service Types'!I48="","",'Service Types'!I48)</f>
        <v>3</v>
      </c>
      <c r="J134" s="6">
        <f>IF('Service Types'!J48="","",'Service Types'!J48)</f>
        <v>13.6</v>
      </c>
      <c r="K134" s="6">
        <f>IF('Service Types'!K48="","",'Service Types'!K48)</f>
        <v>33</v>
      </c>
      <c r="L134" s="4" t="str">
        <f>IF('Service Types'!Q48="","",'Service Types'!Q48)</f>
        <v>Non-crew</v>
      </c>
    </row>
    <row r="135" spans="1:12" x14ac:dyDescent="0.45">
      <c r="A135" s="14">
        <v>134</v>
      </c>
      <c r="B135" s="4" t="s">
        <v>606</v>
      </c>
      <c r="C135" s="4" t="str">
        <f>IF('Service Types'!B466="","",'Service Types'!B466)</f>
        <v>OS - Parks and Open Spaces</v>
      </c>
      <c r="D135" s="5">
        <f>IF('Service Types'!E466="","",'Service Types'!E466)</f>
        <v>497</v>
      </c>
      <c r="E135" s="5">
        <f>IF('Service Types'!D466="","",'Service Types'!D466)</f>
        <v>1316</v>
      </c>
      <c r="F135" s="5">
        <f>IF('Service Types'!F466="","",'Service Types'!F466)</f>
        <v>41</v>
      </c>
      <c r="G135" s="5">
        <f>IF('Service Types'!G466="","",'Service Types'!G466)</f>
        <v>13</v>
      </c>
      <c r="H135" s="5">
        <f>IF('Service Types'!H466="","",'Service Types'!H466)</f>
        <v>1275</v>
      </c>
      <c r="I135" s="6">
        <f>IF('Service Types'!I466="","",'Service Types'!I466)</f>
        <v>10</v>
      </c>
      <c r="J135" s="6">
        <f>IF('Service Types'!J466="","",'Service Types'!J466)</f>
        <v>16.5</v>
      </c>
      <c r="K135" s="6">
        <f>IF('Service Types'!K466="","",'Service Types'!K466)</f>
        <v>34</v>
      </c>
      <c r="L135" s="4" t="str">
        <f>IF('Service Types'!Q466="","",'Service Types'!Q466)</f>
        <v>Non-crew</v>
      </c>
    </row>
    <row r="136" spans="1:12" x14ac:dyDescent="0.45">
      <c r="A136" s="14">
        <v>135</v>
      </c>
      <c r="B136" s="4" t="s">
        <v>211</v>
      </c>
      <c r="C136" s="4" t="str">
        <f>IF('Service Types'!B134="","",'Service Types'!B134)</f>
        <v>CS - Emergency Management and Community Safety</v>
      </c>
      <c r="D136" s="5">
        <f>IF('Service Types'!E134="","",'Service Types'!E134)</f>
        <v>490</v>
      </c>
      <c r="E136" s="5">
        <f>IF('Service Types'!D134="","",'Service Types'!D134)</f>
        <v>8010</v>
      </c>
      <c r="F136" s="5">
        <f>IF('Service Types'!F134="","",'Service Types'!F134)</f>
        <v>34</v>
      </c>
      <c r="G136" s="5">
        <f>IF('Service Types'!G134="","",'Service Types'!G134)</f>
        <v>20</v>
      </c>
      <c r="H136" s="5">
        <f>IF('Service Types'!H134="","",'Service Types'!H134)</f>
        <v>7976</v>
      </c>
      <c r="I136" s="6">
        <f>IF('Service Types'!I134="","",'Service Types'!I134)</f>
        <v>1</v>
      </c>
      <c r="J136" s="6">
        <f>IF('Service Types'!J134="","",'Service Types'!J134)</f>
        <v>7.1</v>
      </c>
      <c r="K136" s="6">
        <f>IF('Service Types'!K134="","",'Service Types'!K134)</f>
        <v>13</v>
      </c>
      <c r="L136" s="4" t="str">
        <f>IF('Service Types'!Q134="","",'Service Types'!Q134)</f>
        <v>Non-crew</v>
      </c>
    </row>
    <row r="137" spans="1:12" x14ac:dyDescent="0.45">
      <c r="A137" s="14">
        <v>136</v>
      </c>
      <c r="B137" s="4" t="s">
        <v>428</v>
      </c>
      <c r="C137" s="4" t="str">
        <f>IF('Service Types'!B328="","",'Service Types'!B328)</f>
        <v>IS - Utilities Delivery</v>
      </c>
      <c r="D137" s="5">
        <f>IF('Service Types'!E328="","",'Service Types'!E328)</f>
        <v>480</v>
      </c>
      <c r="E137" s="5">
        <f>IF('Service Types'!D328="","",'Service Types'!D328)</f>
        <v>1304</v>
      </c>
      <c r="F137" s="5">
        <f>IF('Service Types'!F328="","",'Service Types'!F328)</f>
        <v>15</v>
      </c>
      <c r="G137" s="5">
        <f>IF('Service Types'!G328="","",'Service Types'!G328)</f>
        <v>2</v>
      </c>
      <c r="H137" s="5">
        <f>IF('Service Types'!H328="","",'Service Types'!H328)</f>
        <v>1289</v>
      </c>
      <c r="I137" s="6">
        <f>IF('Service Types'!I328="","",'Service Types'!I328)</f>
        <v>2</v>
      </c>
      <c r="J137" s="6">
        <f>IF('Service Types'!J328="","",'Service Types'!J328)</f>
        <v>7</v>
      </c>
      <c r="K137" s="6">
        <f>IF('Service Types'!K328="","",'Service Types'!K328)</f>
        <v>19</v>
      </c>
      <c r="L137" s="4" t="str">
        <f>IF('Service Types'!Q328="","",'Service Types'!Q328)</f>
        <v>Non-crew</v>
      </c>
    </row>
    <row r="138" spans="1:12" x14ac:dyDescent="0.45">
      <c r="A138" s="14">
        <v>137</v>
      </c>
      <c r="B138" s="4" t="s">
        <v>64</v>
      </c>
      <c r="C138" s="4" t="str">
        <f>IF('Service Types'!B18="","",'Service Types'!B18)</f>
        <v>CPFS - Assessment and Tax</v>
      </c>
      <c r="D138" s="5">
        <f>IF('Service Types'!E18="","",'Service Types'!E18)</f>
        <v>457</v>
      </c>
      <c r="E138" s="5">
        <f>IF('Service Types'!D18="","",'Service Types'!D18)</f>
        <v>1344</v>
      </c>
      <c r="F138" s="5">
        <f>IF('Service Types'!F18="","",'Service Types'!F18)</f>
        <v>10</v>
      </c>
      <c r="G138" s="5">
        <f>IF('Service Types'!G18="","",'Service Types'!G18)</f>
        <v>1</v>
      </c>
      <c r="H138" s="5">
        <f>IF('Service Types'!H18="","",'Service Types'!H18)</f>
        <v>1334</v>
      </c>
      <c r="I138" s="6">
        <f>IF('Service Types'!I18="","",'Service Types'!I18)</f>
        <v>3</v>
      </c>
      <c r="J138" s="6">
        <f>IF('Service Types'!J18="","",'Service Types'!J18)</f>
        <v>4.7</v>
      </c>
      <c r="K138" s="6">
        <f>IF('Service Types'!K18="","",'Service Types'!K18)</f>
        <v>8</v>
      </c>
      <c r="L138" s="4" t="str">
        <f>IF('Service Types'!Q18="","",'Service Types'!Q18)</f>
        <v>Non-crew</v>
      </c>
    </row>
    <row r="139" spans="1:12" x14ac:dyDescent="0.45">
      <c r="A139" s="14">
        <v>138</v>
      </c>
      <c r="B139" s="4" t="s">
        <v>840</v>
      </c>
      <c r="C139" s="4" t="str">
        <f>IF('Service Types'!B660="","",'Service Types'!B660)</f>
        <v>PDS - Development, Business and Building Services</v>
      </c>
      <c r="D139" s="5">
        <f>IF('Service Types'!E660="","",'Service Types'!E660)</f>
        <v>457</v>
      </c>
      <c r="E139" s="5">
        <f>IF('Service Types'!D660="","",'Service Types'!D660)</f>
        <v>460</v>
      </c>
      <c r="F139" s="5">
        <f>IF('Service Types'!F660="","",'Service Types'!F660)</f>
        <v>1</v>
      </c>
      <c r="G139" s="5">
        <f>IF('Service Types'!G660="","",'Service Types'!G660)</f>
        <v>0</v>
      </c>
      <c r="H139" s="5">
        <f>IF('Service Types'!H660="","",'Service Types'!H660)</f>
        <v>459</v>
      </c>
      <c r="I139" s="6">
        <f>IF('Service Types'!I660="","",'Service Types'!I660)</f>
        <v>1</v>
      </c>
      <c r="J139" s="6">
        <f>IF('Service Types'!J660="","",'Service Types'!J660)</f>
        <v>5.4</v>
      </c>
      <c r="K139" s="6">
        <f>IF('Service Types'!K660="","",'Service Types'!K660)</f>
        <v>4</v>
      </c>
      <c r="L139" s="4" t="str">
        <f>IF('Service Types'!Q660="","",'Service Types'!Q660)</f>
        <v>Non-crew</v>
      </c>
    </row>
    <row r="140" spans="1:12" x14ac:dyDescent="0.45">
      <c r="A140" s="14">
        <v>139</v>
      </c>
      <c r="B140" s="4" t="s">
        <v>524</v>
      </c>
      <c r="C140" s="4" t="str">
        <f>IF('Service Types'!B395="","",'Service Types'!B395)</f>
        <v>OS - Mobility</v>
      </c>
      <c r="D140" s="5">
        <f>IF('Service Types'!E395="","",'Service Types'!E395)</f>
        <v>455</v>
      </c>
      <c r="E140" s="5">
        <f>IF('Service Types'!D395="","",'Service Types'!D395)</f>
        <v>1719</v>
      </c>
      <c r="F140" s="5">
        <f>IF('Service Types'!F395="","",'Service Types'!F395)</f>
        <v>46</v>
      </c>
      <c r="G140" s="5">
        <f>IF('Service Types'!G395="","",'Service Types'!G395)</f>
        <v>45</v>
      </c>
      <c r="H140" s="5">
        <f>IF('Service Types'!H395="","",'Service Types'!H395)</f>
        <v>1673</v>
      </c>
      <c r="I140" s="6">
        <f>IF('Service Types'!I395="","",'Service Types'!I395)</f>
        <v>0</v>
      </c>
      <c r="J140" s="6">
        <f>IF('Service Types'!J395="","",'Service Types'!J395)</f>
        <v>9.1999999999999993</v>
      </c>
      <c r="K140" s="6">
        <f>IF('Service Types'!K395="","",'Service Types'!K395)</f>
        <v>7</v>
      </c>
      <c r="L140" s="4" t="str">
        <f>IF('Service Types'!Q395="","",'Service Types'!Q395)</f>
        <v>Non-crew</v>
      </c>
    </row>
    <row r="141" spans="1:12" x14ac:dyDescent="0.45">
      <c r="A141" s="14">
        <v>140</v>
      </c>
      <c r="B141" s="4" t="s">
        <v>462</v>
      </c>
      <c r="C141" s="4" t="str">
        <f>IF('Service Types'!B352="","",'Service Types'!B352)</f>
        <v>OS - Calgary Transit</v>
      </c>
      <c r="D141" s="5">
        <f>IF('Service Types'!E352="","",'Service Types'!E352)</f>
        <v>450</v>
      </c>
      <c r="E141" s="5">
        <f>IF('Service Types'!D352="","",'Service Types'!D352)</f>
        <v>1976</v>
      </c>
      <c r="F141" s="5">
        <f>IF('Service Types'!F352="","",'Service Types'!F352)</f>
        <v>158</v>
      </c>
      <c r="G141" s="5">
        <f>IF('Service Types'!G352="","",'Service Types'!G352)</f>
        <v>87</v>
      </c>
      <c r="H141" s="5">
        <f>IF('Service Types'!H352="","",'Service Types'!H352)</f>
        <v>1818</v>
      </c>
      <c r="I141" s="6">
        <f>IF('Service Types'!I352="","",'Service Types'!I352)</f>
        <v>9</v>
      </c>
      <c r="J141" s="6">
        <f>IF('Service Types'!J352="","",'Service Types'!J352)</f>
        <v>25.6</v>
      </c>
      <c r="K141" s="6">
        <f>IF('Service Types'!K352="","",'Service Types'!K352)</f>
        <v>63</v>
      </c>
      <c r="L141" s="4" t="str">
        <f>IF('Service Types'!Q352="","",'Service Types'!Q352)</f>
        <v>Non-crew</v>
      </c>
    </row>
    <row r="142" spans="1:12" x14ac:dyDescent="0.45">
      <c r="A142" s="14">
        <v>141</v>
      </c>
      <c r="B142" s="4" t="s">
        <v>461</v>
      </c>
      <c r="C142" s="4" t="str">
        <f>IF('Service Types'!B351="","",'Service Types'!B351)</f>
        <v>OS - Calgary Transit</v>
      </c>
      <c r="D142" s="5">
        <f>IF('Service Types'!E351="","",'Service Types'!E351)</f>
        <v>449</v>
      </c>
      <c r="E142" s="5">
        <f>IF('Service Types'!D351="","",'Service Types'!D351)</f>
        <v>2086</v>
      </c>
      <c r="F142" s="5">
        <f>IF('Service Types'!F351="","",'Service Types'!F351)</f>
        <v>125</v>
      </c>
      <c r="G142" s="5">
        <f>IF('Service Types'!G351="","",'Service Types'!G351)</f>
        <v>34</v>
      </c>
      <c r="H142" s="5">
        <f>IF('Service Types'!H351="","",'Service Types'!H351)</f>
        <v>1961</v>
      </c>
      <c r="I142" s="6">
        <f>IF('Service Types'!I351="","",'Service Types'!I351)</f>
        <v>8</v>
      </c>
      <c r="J142" s="6">
        <f>IF('Service Types'!J351="","",'Service Types'!J351)</f>
        <v>16.3</v>
      </c>
      <c r="K142" s="6">
        <f>IF('Service Types'!K351="","",'Service Types'!K351)</f>
        <v>41</v>
      </c>
      <c r="L142" s="4" t="str">
        <f>IF('Service Types'!Q351="","",'Service Types'!Q351)</f>
        <v>Non-crew</v>
      </c>
    </row>
    <row r="143" spans="1:12" x14ac:dyDescent="0.45">
      <c r="A143" s="14">
        <v>142</v>
      </c>
      <c r="B143" s="4" t="s">
        <v>421</v>
      </c>
      <c r="C143" s="4" t="str">
        <f>IF('Service Types'!B323="","",'Service Types'!B323)</f>
        <v>IS - Real Estate and Development Services</v>
      </c>
      <c r="D143" s="5">
        <f>IF('Service Types'!E323="","",'Service Types'!E323)</f>
        <v>442</v>
      </c>
      <c r="E143" s="5">
        <f>IF('Service Types'!D323="","",'Service Types'!D323)</f>
        <v>2006</v>
      </c>
      <c r="F143" s="5">
        <f>IF('Service Types'!F323="","",'Service Types'!F323)</f>
        <v>29</v>
      </c>
      <c r="G143" s="5">
        <f>IF('Service Types'!G323="","",'Service Types'!G323)</f>
        <v>15</v>
      </c>
      <c r="H143" s="5">
        <f>IF('Service Types'!H323="","",'Service Types'!H323)</f>
        <v>1977</v>
      </c>
      <c r="I143" s="6">
        <f>IF('Service Types'!I323="","",'Service Types'!I323)</f>
        <v>3</v>
      </c>
      <c r="J143" s="6">
        <f>IF('Service Types'!J323="","",'Service Types'!J323)</f>
        <v>18.2</v>
      </c>
      <c r="K143" s="6">
        <f>IF('Service Types'!K323="","",'Service Types'!K323)</f>
        <v>24</v>
      </c>
      <c r="L143" s="4" t="str">
        <f>IF('Service Types'!Q323="","",'Service Types'!Q323)</f>
        <v>Crew</v>
      </c>
    </row>
    <row r="144" spans="1:12" x14ac:dyDescent="0.45">
      <c r="A144" s="14">
        <v>143</v>
      </c>
      <c r="B144" s="4" t="s">
        <v>228</v>
      </c>
      <c r="C144" s="4" t="str">
        <f>IF('Service Types'!B149="","",'Service Types'!B149)</f>
        <v>CS - Emergency Management and Community Safety</v>
      </c>
      <c r="D144" s="5">
        <f>IF('Service Types'!E149="","",'Service Types'!E149)</f>
        <v>429</v>
      </c>
      <c r="E144" s="5">
        <f>IF('Service Types'!D149="","",'Service Types'!D149)</f>
        <v>1493</v>
      </c>
      <c r="F144" s="5">
        <f>IF('Service Types'!F149="","",'Service Types'!F149)</f>
        <v>9</v>
      </c>
      <c r="G144" s="5">
        <f>IF('Service Types'!G149="","",'Service Types'!G149)</f>
        <v>5</v>
      </c>
      <c r="H144" s="5">
        <f>IF('Service Types'!H149="","",'Service Types'!H149)</f>
        <v>1484</v>
      </c>
      <c r="I144" s="6">
        <f>IF('Service Types'!I149="","",'Service Types'!I149)</f>
        <v>3</v>
      </c>
      <c r="J144" s="6">
        <f>IF('Service Types'!J149="","",'Service Types'!J149)</f>
        <v>6.1</v>
      </c>
      <c r="K144" s="6">
        <f>IF('Service Types'!K149="","",'Service Types'!K149)</f>
        <v>14</v>
      </c>
      <c r="L144" s="4" t="str">
        <f>IF('Service Types'!Q149="","",'Service Types'!Q149)</f>
        <v>Non-crew</v>
      </c>
    </row>
    <row r="145" spans="1:12" x14ac:dyDescent="0.45">
      <c r="A145" s="14">
        <v>144</v>
      </c>
      <c r="B145" s="4" t="s">
        <v>52</v>
      </c>
      <c r="C145" s="4" t="str">
        <f>IF('Service Types'!B12="","",'Service Types'!B12)</f>
        <v>CPFS - Assessment and Tax</v>
      </c>
      <c r="D145" s="5">
        <f>IF('Service Types'!E12="","",'Service Types'!E12)</f>
        <v>426</v>
      </c>
      <c r="E145" s="5">
        <f>IF('Service Types'!D12="","",'Service Types'!D12)</f>
        <v>4360</v>
      </c>
      <c r="F145" s="5">
        <f>IF('Service Types'!F12="","",'Service Types'!F12)</f>
        <v>0</v>
      </c>
      <c r="G145" s="5">
        <f>IF('Service Types'!G12="","",'Service Types'!G12)</f>
        <v>0</v>
      </c>
      <c r="H145" s="5">
        <f>IF('Service Types'!H12="","",'Service Types'!H12)</f>
        <v>4360</v>
      </c>
      <c r="I145" s="6">
        <f>IF('Service Types'!I12="","",'Service Types'!I12)</f>
        <v>2</v>
      </c>
      <c r="J145" s="6">
        <f>IF('Service Types'!J12="","",'Service Types'!J12)</f>
        <v>2.4</v>
      </c>
      <c r="K145" s="6">
        <f>IF('Service Types'!K12="","",'Service Types'!K12)</f>
        <v>4</v>
      </c>
      <c r="L145" s="4" t="str">
        <f>IF('Service Types'!Q12="","",'Service Types'!Q12)</f>
        <v>Non-crew</v>
      </c>
    </row>
    <row r="146" spans="1:12" x14ac:dyDescent="0.45">
      <c r="A146" s="14">
        <v>145</v>
      </c>
      <c r="B146" s="4" t="s">
        <v>754</v>
      </c>
      <c r="C146" s="4" t="str">
        <f>IF('Service Types'!B585="","",'Service Types'!B585)</f>
        <v>OSC - Calgary Transit</v>
      </c>
      <c r="D146" s="5">
        <f>IF('Service Types'!E585="","",'Service Types'!E585)</f>
        <v>421</v>
      </c>
      <c r="E146" s="5">
        <f>IF('Service Types'!D585="","",'Service Types'!D585)</f>
        <v>2206</v>
      </c>
      <c r="F146" s="5">
        <f>IF('Service Types'!F585="","",'Service Types'!F585)</f>
        <v>3</v>
      </c>
      <c r="G146" s="5">
        <f>IF('Service Types'!G585="","",'Service Types'!G585)</f>
        <v>0</v>
      </c>
      <c r="H146" s="5">
        <f>IF('Service Types'!H585="","",'Service Types'!H585)</f>
        <v>2203</v>
      </c>
      <c r="I146" s="6">
        <f>IF('Service Types'!I585="","",'Service Types'!I585)</f>
        <v>2</v>
      </c>
      <c r="J146" s="6">
        <f>IF('Service Types'!J585="","",'Service Types'!J585)</f>
        <v>3</v>
      </c>
      <c r="K146" s="6">
        <f>IF('Service Types'!K585="","",'Service Types'!K585)</f>
        <v>6</v>
      </c>
      <c r="L146" s="4" t="str">
        <f>IF('Service Types'!Q585="","",'Service Types'!Q585)</f>
        <v>Non-crew</v>
      </c>
    </row>
    <row r="147" spans="1:12" x14ac:dyDescent="0.45">
      <c r="A147" s="14">
        <v>146</v>
      </c>
      <c r="B147" s="4" t="s">
        <v>523</v>
      </c>
      <c r="C147" s="4" t="str">
        <f>IF('Service Types'!B394="","",'Service Types'!B394)</f>
        <v>OS - Mobility</v>
      </c>
      <c r="D147" s="5">
        <f>IF('Service Types'!E394="","",'Service Types'!E394)</f>
        <v>419</v>
      </c>
      <c r="E147" s="5">
        <f>IF('Service Types'!D394="","",'Service Types'!D394)</f>
        <v>2033</v>
      </c>
      <c r="F147" s="5">
        <f>IF('Service Types'!F394="","",'Service Types'!F394)</f>
        <v>50</v>
      </c>
      <c r="G147" s="5">
        <f>IF('Service Types'!G394="","",'Service Types'!G394)</f>
        <v>7</v>
      </c>
      <c r="H147" s="5">
        <f>IF('Service Types'!H394="","",'Service Types'!H394)</f>
        <v>1983</v>
      </c>
      <c r="I147" s="6">
        <f>IF('Service Types'!I394="","",'Service Types'!I394)</f>
        <v>26</v>
      </c>
      <c r="J147" s="6">
        <f>IF('Service Types'!J394="","",'Service Types'!J394)</f>
        <v>36.5</v>
      </c>
      <c r="K147" s="6">
        <f>IF('Service Types'!K394="","",'Service Types'!K394)</f>
        <v>76</v>
      </c>
      <c r="L147" s="4" t="str">
        <f>IF('Service Types'!Q394="","",'Service Types'!Q394)</f>
        <v>Non-crew</v>
      </c>
    </row>
    <row r="148" spans="1:12" x14ac:dyDescent="0.45">
      <c r="A148" s="14">
        <v>147</v>
      </c>
      <c r="B148" s="4" t="s">
        <v>532</v>
      </c>
      <c r="C148" s="4" t="str">
        <f>IF('Service Types'!B403="","",'Service Types'!B403)</f>
        <v>OS - Mobility</v>
      </c>
      <c r="D148" s="5">
        <f>IF('Service Types'!E403="","",'Service Types'!E403)</f>
        <v>412</v>
      </c>
      <c r="E148" s="5">
        <f>IF('Service Types'!D403="","",'Service Types'!D403)</f>
        <v>770</v>
      </c>
      <c r="F148" s="5">
        <f>IF('Service Types'!F403="","",'Service Types'!F403)</f>
        <v>490</v>
      </c>
      <c r="G148" s="5">
        <f>IF('Service Types'!G403="","",'Service Types'!G403)</f>
        <v>224</v>
      </c>
      <c r="H148" s="5">
        <f>IF('Service Types'!H403="","",'Service Types'!H403)</f>
        <v>280</v>
      </c>
      <c r="I148" s="6">
        <f>IF('Service Types'!I403="","",'Service Types'!I403)</f>
        <v>303</v>
      </c>
      <c r="J148" s="6">
        <f>IF('Service Types'!J403="","",'Service Types'!J403)</f>
        <v>293.7</v>
      </c>
      <c r="K148" s="6">
        <f>IF('Service Types'!K403="","",'Service Types'!K403)</f>
        <v>470</v>
      </c>
      <c r="L148" s="4" t="str">
        <f>IF('Service Types'!Q403="","",'Service Types'!Q403)</f>
        <v>Non-crew</v>
      </c>
    </row>
    <row r="149" spans="1:12" x14ac:dyDescent="0.45">
      <c r="A149" s="14">
        <v>148</v>
      </c>
      <c r="B149" s="4" t="s">
        <v>111</v>
      </c>
      <c r="C149" s="4" t="str">
        <f>IF('Service Types'!B49="","",'Service Types'!B49)</f>
        <v>CS - Calgary Fire</v>
      </c>
      <c r="D149" s="5">
        <f>IF('Service Types'!E49="","",'Service Types'!E49)</f>
        <v>408</v>
      </c>
      <c r="E149" s="5">
        <f>IF('Service Types'!D49="","",'Service Types'!D49)</f>
        <v>1553</v>
      </c>
      <c r="F149" s="5">
        <f>IF('Service Types'!F49="","",'Service Types'!F49)</f>
        <v>320</v>
      </c>
      <c r="G149" s="5">
        <f>IF('Service Types'!G49="","",'Service Types'!G49)</f>
        <v>243</v>
      </c>
      <c r="H149" s="5">
        <f>IF('Service Types'!H49="","",'Service Types'!H49)</f>
        <v>1233</v>
      </c>
      <c r="I149" s="6">
        <f>IF('Service Types'!I49="","",'Service Types'!I49)</f>
        <v>50</v>
      </c>
      <c r="J149" s="6">
        <f>IF('Service Types'!J49="","",'Service Types'!J49)</f>
        <v>57.8</v>
      </c>
      <c r="K149" s="6">
        <f>IF('Service Types'!K49="","",'Service Types'!K49)</f>
        <v>112</v>
      </c>
      <c r="L149" s="4" t="str">
        <f>IF('Service Types'!Q49="","",'Service Types'!Q49)</f>
        <v>Non-crew</v>
      </c>
    </row>
    <row r="150" spans="1:12" x14ac:dyDescent="0.45">
      <c r="A150" s="14">
        <v>149</v>
      </c>
      <c r="B150" s="4" t="s">
        <v>230</v>
      </c>
      <c r="C150" s="4" t="str">
        <f>IF('Service Types'!B151="","",'Service Types'!B151)</f>
        <v>CS - Emergency Management and Community Safety</v>
      </c>
      <c r="D150" s="5">
        <f>IF('Service Types'!E151="","",'Service Types'!E151)</f>
        <v>407</v>
      </c>
      <c r="E150" s="5">
        <f>IF('Service Types'!D151="","",'Service Types'!D151)</f>
        <v>1292</v>
      </c>
      <c r="F150" s="5">
        <f>IF('Service Types'!F151="","",'Service Types'!F151)</f>
        <v>8</v>
      </c>
      <c r="G150" s="5">
        <f>IF('Service Types'!G151="","",'Service Types'!G151)</f>
        <v>1</v>
      </c>
      <c r="H150" s="5">
        <f>IF('Service Types'!H151="","",'Service Types'!H151)</f>
        <v>1284</v>
      </c>
      <c r="I150" s="6">
        <f>IF('Service Types'!I151="","",'Service Types'!I151)</f>
        <v>4</v>
      </c>
      <c r="J150" s="6">
        <f>IF('Service Types'!J151="","",'Service Types'!J151)</f>
        <v>6.3</v>
      </c>
      <c r="K150" s="6">
        <f>IF('Service Types'!K151="","",'Service Types'!K151)</f>
        <v>15</v>
      </c>
      <c r="L150" s="4" t="str">
        <f>IF('Service Types'!Q151="","",'Service Types'!Q151)</f>
        <v>Non-crew</v>
      </c>
    </row>
    <row r="151" spans="1:12" x14ac:dyDescent="0.45">
      <c r="A151" s="14">
        <v>150</v>
      </c>
      <c r="B151" s="4" t="s">
        <v>721</v>
      </c>
      <c r="C151" s="4" t="str">
        <f>IF('Service Types'!B558="","",'Service Types'!B558)</f>
        <v>OS - Water Services</v>
      </c>
      <c r="D151" s="5">
        <f>IF('Service Types'!E558="","",'Service Types'!E558)</f>
        <v>399</v>
      </c>
      <c r="E151" s="5">
        <f>IF('Service Types'!D558="","",'Service Types'!D558)</f>
        <v>1350</v>
      </c>
      <c r="F151" s="5">
        <f>IF('Service Types'!F558="","",'Service Types'!F558)</f>
        <v>103</v>
      </c>
      <c r="G151" s="5">
        <f>IF('Service Types'!G558="","",'Service Types'!G558)</f>
        <v>63</v>
      </c>
      <c r="H151" s="5">
        <f>IF('Service Types'!H558="","",'Service Types'!H558)</f>
        <v>1247</v>
      </c>
      <c r="I151" s="6">
        <f>IF('Service Types'!I558="","",'Service Types'!I558)</f>
        <v>26</v>
      </c>
      <c r="J151" s="6">
        <f>IF('Service Types'!J558="","",'Service Types'!J558)</f>
        <v>65.7</v>
      </c>
      <c r="K151" s="6">
        <f>IF('Service Types'!K558="","",'Service Types'!K558)</f>
        <v>190</v>
      </c>
      <c r="L151" s="4" t="str">
        <f>IF('Service Types'!Q558="","",'Service Types'!Q558)</f>
        <v>Non-crew</v>
      </c>
    </row>
    <row r="152" spans="1:12" x14ac:dyDescent="0.45">
      <c r="A152" s="14">
        <v>151</v>
      </c>
      <c r="B152" s="4" t="s">
        <v>525</v>
      </c>
      <c r="C152" s="4" t="str">
        <f>IF('Service Types'!B396="","",'Service Types'!B396)</f>
        <v>OS - Mobility</v>
      </c>
      <c r="D152" s="5">
        <f>IF('Service Types'!E396="","",'Service Types'!E396)</f>
        <v>398</v>
      </c>
      <c r="E152" s="5">
        <f>IF('Service Types'!D396="","",'Service Types'!D396)</f>
        <v>1554</v>
      </c>
      <c r="F152" s="5">
        <f>IF('Service Types'!F396="","",'Service Types'!F396)</f>
        <v>205</v>
      </c>
      <c r="G152" s="5">
        <f>IF('Service Types'!G396="","",'Service Types'!G396)</f>
        <v>93</v>
      </c>
      <c r="H152" s="5">
        <f>IF('Service Types'!H396="","",'Service Types'!H396)</f>
        <v>1349</v>
      </c>
      <c r="I152" s="6">
        <f>IF('Service Types'!I396="","",'Service Types'!I396)</f>
        <v>5</v>
      </c>
      <c r="J152" s="6">
        <f>IF('Service Types'!J396="","",'Service Types'!J396)</f>
        <v>13.9</v>
      </c>
      <c r="K152" s="6">
        <f>IF('Service Types'!K396="","",'Service Types'!K396)</f>
        <v>28</v>
      </c>
      <c r="L152" s="4" t="str">
        <f>IF('Service Types'!Q396="","",'Service Types'!Q396)</f>
        <v>Non-crew</v>
      </c>
    </row>
    <row r="153" spans="1:12" x14ac:dyDescent="0.45">
      <c r="A153" s="14">
        <v>152</v>
      </c>
      <c r="B153" s="4" t="s">
        <v>719</v>
      </c>
      <c r="C153" s="4" t="str">
        <f>IF('Service Types'!B556="","",'Service Types'!B556)</f>
        <v>OS - Water Services</v>
      </c>
      <c r="D153" s="5">
        <f>IF('Service Types'!E556="","",'Service Types'!E556)</f>
        <v>395</v>
      </c>
      <c r="E153" s="5">
        <f>IF('Service Types'!D556="","",'Service Types'!D556)</f>
        <v>1420</v>
      </c>
      <c r="F153" s="5">
        <f>IF('Service Types'!F556="","",'Service Types'!F556)</f>
        <v>3</v>
      </c>
      <c r="G153" s="5">
        <f>IF('Service Types'!G556="","",'Service Types'!G556)</f>
        <v>0</v>
      </c>
      <c r="H153" s="5">
        <f>IF('Service Types'!H556="","",'Service Types'!H556)</f>
        <v>1417</v>
      </c>
      <c r="I153" s="6">
        <f>IF('Service Types'!I556="","",'Service Types'!I556)</f>
        <v>1</v>
      </c>
      <c r="J153" s="6">
        <f>IF('Service Types'!J556="","",'Service Types'!J556)</f>
        <v>2.8</v>
      </c>
      <c r="K153" s="6">
        <f>IF('Service Types'!K556="","",'Service Types'!K556)</f>
        <v>6</v>
      </c>
      <c r="L153" s="4" t="str">
        <f>IF('Service Types'!Q556="","",'Service Types'!Q556)</f>
        <v>Non-crew</v>
      </c>
    </row>
    <row r="154" spans="1:12" x14ac:dyDescent="0.45">
      <c r="A154" s="14">
        <v>153</v>
      </c>
      <c r="B154" s="4" t="s">
        <v>306</v>
      </c>
      <c r="C154" s="4" t="str">
        <f>IF('Service Types'!B222="","",'Service Types'!B222)</f>
        <v>CS - Recreation and Social Programs</v>
      </c>
      <c r="D154" s="5">
        <f>IF('Service Types'!E222="","",'Service Types'!E222)</f>
        <v>388</v>
      </c>
      <c r="E154" s="5">
        <f>IF('Service Types'!D222="","",'Service Types'!D222)</f>
        <v>1726</v>
      </c>
      <c r="F154" s="5">
        <f>IF('Service Types'!F222="","",'Service Types'!F222)</f>
        <v>4</v>
      </c>
      <c r="G154" s="5">
        <f>IF('Service Types'!G222="","",'Service Types'!G222)</f>
        <v>3</v>
      </c>
      <c r="H154" s="5">
        <f>IF('Service Types'!H222="","",'Service Types'!H222)</f>
        <v>1722</v>
      </c>
      <c r="I154" s="6">
        <f>IF('Service Types'!I222="","",'Service Types'!I222)</f>
        <v>3</v>
      </c>
      <c r="J154" s="6">
        <f>IF('Service Types'!J222="","",'Service Types'!J222)</f>
        <v>6.2</v>
      </c>
      <c r="K154" s="6">
        <f>IF('Service Types'!K222="","",'Service Types'!K222)</f>
        <v>9</v>
      </c>
      <c r="L154" s="4" t="str">
        <f>IF('Service Types'!Q222="","",'Service Types'!Q222)</f>
        <v>Non-crew</v>
      </c>
    </row>
    <row r="155" spans="1:12" x14ac:dyDescent="0.45">
      <c r="A155" s="14">
        <v>154</v>
      </c>
      <c r="B155" s="4" t="s">
        <v>112</v>
      </c>
      <c r="C155" s="4" t="str">
        <f>IF('Service Types'!B50="","",'Service Types'!B50)</f>
        <v>CS - Calgary Fire</v>
      </c>
      <c r="D155" s="5">
        <f>IF('Service Types'!E50="","",'Service Types'!E50)</f>
        <v>385</v>
      </c>
      <c r="E155" s="5">
        <f>IF('Service Types'!D50="","",'Service Types'!D50)</f>
        <v>1462</v>
      </c>
      <c r="F155" s="5">
        <f>IF('Service Types'!F50="","",'Service Types'!F50)</f>
        <v>15</v>
      </c>
      <c r="G155" s="5">
        <f>IF('Service Types'!G50="","",'Service Types'!G50)</f>
        <v>4</v>
      </c>
      <c r="H155" s="5">
        <f>IF('Service Types'!H50="","",'Service Types'!H50)</f>
        <v>1447</v>
      </c>
      <c r="I155" s="6">
        <f>IF('Service Types'!I50="","",'Service Types'!I50)</f>
        <v>10</v>
      </c>
      <c r="J155" s="6">
        <f>IF('Service Types'!J50="","",'Service Types'!J50)</f>
        <v>14.5</v>
      </c>
      <c r="K155" s="6">
        <f>IF('Service Types'!K50="","",'Service Types'!K50)</f>
        <v>32</v>
      </c>
      <c r="L155" s="4" t="str">
        <f>IF('Service Types'!Q50="","",'Service Types'!Q50)</f>
        <v>Non-crew</v>
      </c>
    </row>
    <row r="156" spans="1:12" x14ac:dyDescent="0.45">
      <c r="A156" s="14">
        <v>155</v>
      </c>
      <c r="B156" s="4" t="s">
        <v>68</v>
      </c>
      <c r="C156" s="4" t="str">
        <f>IF('Service Types'!B21="","",'Service Types'!B21)</f>
        <v>CPFS - Assessment and Tax</v>
      </c>
      <c r="D156" s="5">
        <f>IF('Service Types'!E21="","",'Service Types'!E21)</f>
        <v>380</v>
      </c>
      <c r="E156" s="5">
        <f>IF('Service Types'!D21="","",'Service Types'!D21)</f>
        <v>1001</v>
      </c>
      <c r="F156" s="5">
        <f>IF('Service Types'!F21="","",'Service Types'!F21)</f>
        <v>3</v>
      </c>
      <c r="G156" s="5">
        <f>IF('Service Types'!G21="","",'Service Types'!G21)</f>
        <v>0</v>
      </c>
      <c r="H156" s="5">
        <f>IF('Service Types'!H21="","",'Service Types'!H21)</f>
        <v>998</v>
      </c>
      <c r="I156" s="6">
        <f>IF('Service Types'!I21="","",'Service Types'!I21)</f>
        <v>3</v>
      </c>
      <c r="J156" s="6">
        <f>IF('Service Types'!J21="","",'Service Types'!J21)</f>
        <v>4.7</v>
      </c>
      <c r="K156" s="6">
        <f>IF('Service Types'!K21="","",'Service Types'!K21)</f>
        <v>10</v>
      </c>
      <c r="L156" s="4" t="str">
        <f>IF('Service Types'!Q21="","",'Service Types'!Q21)</f>
        <v>Non-crew</v>
      </c>
    </row>
    <row r="157" spans="1:12" x14ac:dyDescent="0.45">
      <c r="A157" s="14">
        <v>156</v>
      </c>
      <c r="B157" s="4" t="s">
        <v>107</v>
      </c>
      <c r="C157" s="4" t="str">
        <f>IF('Service Types'!B47="","",'Service Types'!B47)</f>
        <v>CS - Calgary Fire</v>
      </c>
      <c r="D157" s="5">
        <f>IF('Service Types'!E47="","",'Service Types'!E47)</f>
        <v>378</v>
      </c>
      <c r="E157" s="5">
        <f>IF('Service Types'!D47="","",'Service Types'!D47)</f>
        <v>2106</v>
      </c>
      <c r="F157" s="5">
        <f>IF('Service Types'!F47="","",'Service Types'!F47)</f>
        <v>132</v>
      </c>
      <c r="G157" s="5">
        <f>IF('Service Types'!G47="","",'Service Types'!G47)</f>
        <v>77</v>
      </c>
      <c r="H157" s="5">
        <f>IF('Service Types'!H47="","",'Service Types'!H47)</f>
        <v>1974</v>
      </c>
      <c r="I157" s="6">
        <f>IF('Service Types'!I47="","",'Service Types'!I47)</f>
        <v>43</v>
      </c>
      <c r="J157" s="6">
        <f>IF('Service Types'!J47="","",'Service Types'!J47)</f>
        <v>73.599999999999994</v>
      </c>
      <c r="K157" s="6">
        <f>IF('Service Types'!K47="","",'Service Types'!K47)</f>
        <v>169</v>
      </c>
      <c r="L157" s="4" t="str">
        <f>IF('Service Types'!Q47="","",'Service Types'!Q47)</f>
        <v>Non-crew</v>
      </c>
    </row>
    <row r="158" spans="1:12" x14ac:dyDescent="0.45">
      <c r="A158" s="14">
        <v>157</v>
      </c>
      <c r="B158" s="4" t="s">
        <v>755</v>
      </c>
      <c r="C158" s="4" t="str">
        <f>IF('Service Types'!B586="","",'Service Types'!B586)</f>
        <v>OSC - Calgary Transit</v>
      </c>
      <c r="D158" s="5">
        <f>IF('Service Types'!E586="","",'Service Types'!E586)</f>
        <v>376</v>
      </c>
      <c r="E158" s="5">
        <f>IF('Service Types'!D586="","",'Service Types'!D586)</f>
        <v>1603</v>
      </c>
      <c r="F158" s="5">
        <f>IF('Service Types'!F586="","",'Service Types'!F586)</f>
        <v>0</v>
      </c>
      <c r="G158" s="5">
        <f>IF('Service Types'!G586="","",'Service Types'!G586)</f>
        <v>0</v>
      </c>
      <c r="H158" s="5">
        <f>IF('Service Types'!H586="","",'Service Types'!H586)</f>
        <v>1603</v>
      </c>
      <c r="I158" s="6">
        <f>IF('Service Types'!I586="","",'Service Types'!I586)</f>
        <v>1</v>
      </c>
      <c r="J158" s="6">
        <f>IF('Service Types'!J586="","",'Service Types'!J586)</f>
        <v>3.5</v>
      </c>
      <c r="K158" s="6">
        <f>IF('Service Types'!K586="","",'Service Types'!K586)</f>
        <v>7</v>
      </c>
      <c r="L158" s="4" t="str">
        <f>IF('Service Types'!Q586="","",'Service Types'!Q586)</f>
        <v>Non-crew</v>
      </c>
    </row>
    <row r="159" spans="1:12" x14ac:dyDescent="0.45">
      <c r="A159" s="14">
        <v>158</v>
      </c>
      <c r="B159" s="4" t="s">
        <v>226</v>
      </c>
      <c r="C159" s="4" t="str">
        <f>IF('Service Types'!B147="","",'Service Types'!B147)</f>
        <v>CS - Emergency Management and Community Safety</v>
      </c>
      <c r="D159" s="5">
        <f>IF('Service Types'!E147="","",'Service Types'!E147)</f>
        <v>369</v>
      </c>
      <c r="E159" s="5">
        <f>IF('Service Types'!D147="","",'Service Types'!D147)</f>
        <v>1834</v>
      </c>
      <c r="F159" s="5">
        <f>IF('Service Types'!F147="","",'Service Types'!F147)</f>
        <v>13</v>
      </c>
      <c r="G159" s="5">
        <f>IF('Service Types'!G147="","",'Service Types'!G147)</f>
        <v>10</v>
      </c>
      <c r="H159" s="5">
        <f>IF('Service Types'!H147="","",'Service Types'!H147)</f>
        <v>1821</v>
      </c>
      <c r="I159" s="6">
        <f>IF('Service Types'!I147="","",'Service Types'!I147)</f>
        <v>2</v>
      </c>
      <c r="J159" s="6">
        <f>IF('Service Types'!J147="","",'Service Types'!J147)</f>
        <v>5.4</v>
      </c>
      <c r="K159" s="6">
        <f>IF('Service Types'!K147="","",'Service Types'!K147)</f>
        <v>9</v>
      </c>
      <c r="L159" s="4" t="str">
        <f>IF('Service Types'!Q147="","",'Service Types'!Q147)</f>
        <v>Non-crew</v>
      </c>
    </row>
    <row r="160" spans="1:12" x14ac:dyDescent="0.45">
      <c r="A160" s="14">
        <v>159</v>
      </c>
      <c r="B160" s="4" t="s">
        <v>599</v>
      </c>
      <c r="C160" s="4" t="str">
        <f>IF('Service Types'!B461="","",'Service Types'!B461)</f>
        <v>OS - Parks and Open Spaces</v>
      </c>
      <c r="D160" s="5">
        <f>IF('Service Types'!E461="","",'Service Types'!E461)</f>
        <v>363</v>
      </c>
      <c r="E160" s="5">
        <f>IF('Service Types'!D461="","",'Service Types'!D461)</f>
        <v>1979</v>
      </c>
      <c r="F160" s="5">
        <f>IF('Service Types'!F461="","",'Service Types'!F461)</f>
        <v>23</v>
      </c>
      <c r="G160" s="5">
        <f>IF('Service Types'!G461="","",'Service Types'!G461)</f>
        <v>7</v>
      </c>
      <c r="H160" s="5">
        <f>IF('Service Types'!H461="","",'Service Types'!H461)</f>
        <v>1956</v>
      </c>
      <c r="I160" s="6">
        <f>IF('Service Types'!I461="","",'Service Types'!I461)</f>
        <v>4</v>
      </c>
      <c r="J160" s="6">
        <f>IF('Service Types'!J461="","",'Service Types'!J461)</f>
        <v>12.3</v>
      </c>
      <c r="K160" s="6">
        <f>IF('Service Types'!K461="","",'Service Types'!K461)</f>
        <v>40</v>
      </c>
      <c r="L160" s="4" t="str">
        <f>IF('Service Types'!Q461="","",'Service Types'!Q461)</f>
        <v>Non-crew</v>
      </c>
    </row>
    <row r="161" spans="1:12" x14ac:dyDescent="0.45">
      <c r="A161" s="14">
        <v>160</v>
      </c>
      <c r="B161" s="4" t="s">
        <v>114</v>
      </c>
      <c r="C161" s="4" t="str">
        <f>IF('Service Types'!B52="","",'Service Types'!B52)</f>
        <v>CS - Calgary Fire</v>
      </c>
      <c r="D161" s="5">
        <f>IF('Service Types'!E52="","",'Service Types'!E52)</f>
        <v>359</v>
      </c>
      <c r="E161" s="5">
        <f>IF('Service Types'!D52="","",'Service Types'!D52)</f>
        <v>1270</v>
      </c>
      <c r="F161" s="5">
        <f>IF('Service Types'!F52="","",'Service Types'!F52)</f>
        <v>167</v>
      </c>
      <c r="G161" s="5">
        <f>IF('Service Types'!G52="","",'Service Types'!G52)</f>
        <v>103</v>
      </c>
      <c r="H161" s="5">
        <f>IF('Service Types'!H52="","",'Service Types'!H52)</f>
        <v>1103</v>
      </c>
      <c r="I161" s="6">
        <f>IF('Service Types'!I52="","",'Service Types'!I52)</f>
        <v>21</v>
      </c>
      <c r="J161" s="6">
        <f>IF('Service Types'!J52="","",'Service Types'!J52)</f>
        <v>33.700000000000003</v>
      </c>
      <c r="K161" s="6">
        <f>IF('Service Types'!K52="","",'Service Types'!K52)</f>
        <v>65</v>
      </c>
      <c r="L161" s="4" t="str">
        <f>IF('Service Types'!Q52="","",'Service Types'!Q52)</f>
        <v>Non-crew</v>
      </c>
    </row>
    <row r="162" spans="1:12" x14ac:dyDescent="0.45">
      <c r="A162" s="14">
        <v>161</v>
      </c>
      <c r="B162" s="4" t="s">
        <v>311</v>
      </c>
      <c r="C162" s="4" t="str">
        <f>IF('Service Types'!B227="","",'Service Types'!B227)</f>
        <v>CS - Recreation and Social Programs</v>
      </c>
      <c r="D162" s="5">
        <f>IF('Service Types'!E227="","",'Service Types'!E227)</f>
        <v>357</v>
      </c>
      <c r="E162" s="5">
        <f>IF('Service Types'!D227="","",'Service Types'!D227)</f>
        <v>1033</v>
      </c>
      <c r="F162" s="5">
        <f>IF('Service Types'!F227="","",'Service Types'!F227)</f>
        <v>0</v>
      </c>
      <c r="G162" s="5">
        <f>IF('Service Types'!G227="","",'Service Types'!G227)</f>
        <v>0</v>
      </c>
      <c r="H162" s="5">
        <f>IF('Service Types'!H227="","",'Service Types'!H227)</f>
        <v>1033</v>
      </c>
      <c r="I162" s="6">
        <f>IF('Service Types'!I227="","",'Service Types'!I227)</f>
        <v>5</v>
      </c>
      <c r="J162" s="6">
        <f>IF('Service Types'!J227="","",'Service Types'!J227)</f>
        <v>9</v>
      </c>
      <c r="K162" s="6">
        <f>IF('Service Types'!K227="","",'Service Types'!K227)</f>
        <v>14</v>
      </c>
      <c r="L162" s="4" t="str">
        <f>IF('Service Types'!Q227="","",'Service Types'!Q227)</f>
        <v>Non-crew</v>
      </c>
    </row>
    <row r="163" spans="1:12" x14ac:dyDescent="0.45">
      <c r="A163" s="14">
        <v>162</v>
      </c>
      <c r="B163" s="4" t="s">
        <v>447</v>
      </c>
      <c r="C163" s="4" t="str">
        <f>IF('Service Types'!B342="","",'Service Types'!B342)</f>
        <v>LLSS - Law</v>
      </c>
      <c r="D163" s="5">
        <f>IF('Service Types'!E342="","",'Service Types'!E342)</f>
        <v>357</v>
      </c>
      <c r="E163" s="5">
        <f>IF('Service Types'!D342="","",'Service Types'!D342)</f>
        <v>359</v>
      </c>
      <c r="F163" s="5">
        <f>IF('Service Types'!F342="","",'Service Types'!F342)</f>
        <v>3</v>
      </c>
      <c r="G163" s="5">
        <f>IF('Service Types'!G342="","",'Service Types'!G342)</f>
        <v>0</v>
      </c>
      <c r="H163" s="5">
        <f>IF('Service Types'!H342="","",'Service Types'!H342)</f>
        <v>356</v>
      </c>
      <c r="I163" s="6">
        <f>IF('Service Types'!I342="","",'Service Types'!I342)</f>
        <v>1</v>
      </c>
      <c r="J163" s="6">
        <f>IF('Service Types'!J342="","",'Service Types'!J342)</f>
        <v>6.6</v>
      </c>
      <c r="K163" s="6">
        <f>IF('Service Types'!K342="","",'Service Types'!K342)</f>
        <v>4</v>
      </c>
      <c r="L163" s="4" t="str">
        <f>IF('Service Types'!Q342="","",'Service Types'!Q342)</f>
        <v>Non-crew</v>
      </c>
    </row>
    <row r="164" spans="1:12" x14ac:dyDescent="0.45">
      <c r="A164" s="14">
        <v>163</v>
      </c>
      <c r="B164" s="4" t="s">
        <v>718</v>
      </c>
      <c r="C164" s="4" t="str">
        <f>IF('Service Types'!B555="","",'Service Types'!B555)</f>
        <v>OS - Water Services</v>
      </c>
      <c r="D164" s="5">
        <f>IF('Service Types'!E555="","",'Service Types'!E555)</f>
        <v>352</v>
      </c>
      <c r="E164" s="5">
        <f>IF('Service Types'!D555="","",'Service Types'!D555)</f>
        <v>1616</v>
      </c>
      <c r="F164" s="5">
        <f>IF('Service Types'!F555="","",'Service Types'!F555)</f>
        <v>211</v>
      </c>
      <c r="G164" s="5">
        <f>IF('Service Types'!G555="","",'Service Types'!G555)</f>
        <v>134</v>
      </c>
      <c r="H164" s="5">
        <f>IF('Service Types'!H555="","",'Service Types'!H555)</f>
        <v>1405</v>
      </c>
      <c r="I164" s="6">
        <f>IF('Service Types'!I555="","",'Service Types'!I555)</f>
        <v>33</v>
      </c>
      <c r="J164" s="6">
        <f>IF('Service Types'!J555="","",'Service Types'!J555)</f>
        <v>50.9</v>
      </c>
      <c r="K164" s="6">
        <f>IF('Service Types'!K555="","",'Service Types'!K555)</f>
        <v>120</v>
      </c>
      <c r="L164" s="4" t="str">
        <f>IF('Service Types'!Q555="","",'Service Types'!Q555)</f>
        <v>Non-crew</v>
      </c>
    </row>
    <row r="165" spans="1:12" x14ac:dyDescent="0.45">
      <c r="A165" s="14">
        <v>164</v>
      </c>
      <c r="B165" s="4" t="s">
        <v>301</v>
      </c>
      <c r="C165" s="4" t="str">
        <f>IF('Service Types'!B217="","",'Service Types'!B217)</f>
        <v>CS - Recreation and Social Programs</v>
      </c>
      <c r="D165" s="5">
        <f>IF('Service Types'!E217="","",'Service Types'!E217)</f>
        <v>342</v>
      </c>
      <c r="E165" s="5">
        <f>IF('Service Types'!D217="","",'Service Types'!D217)</f>
        <v>5606</v>
      </c>
      <c r="F165" s="5">
        <f>IF('Service Types'!F217="","",'Service Types'!F217)</f>
        <v>8</v>
      </c>
      <c r="G165" s="5">
        <f>IF('Service Types'!G217="","",'Service Types'!G217)</f>
        <v>0</v>
      </c>
      <c r="H165" s="5">
        <f>IF('Service Types'!H217="","",'Service Types'!H217)</f>
        <v>5598</v>
      </c>
      <c r="I165" s="6">
        <f>IF('Service Types'!I217="","",'Service Types'!I217)</f>
        <v>13</v>
      </c>
      <c r="J165" s="6">
        <f>IF('Service Types'!J217="","",'Service Types'!J217)</f>
        <v>12.6</v>
      </c>
      <c r="K165" s="6">
        <f>IF('Service Types'!K217="","",'Service Types'!K217)</f>
        <v>19</v>
      </c>
      <c r="L165" s="4" t="str">
        <f>IF('Service Types'!Q217="","",'Service Types'!Q217)</f>
        <v>Non-crew</v>
      </c>
    </row>
    <row r="166" spans="1:12" x14ac:dyDescent="0.45">
      <c r="A166" s="14">
        <v>165</v>
      </c>
      <c r="B166" s="4" t="s">
        <v>661</v>
      </c>
      <c r="C166" s="4" t="str">
        <f>IF('Service Types'!B512="","",'Service Types'!B512)</f>
        <v>OS - Waste and Recycling Services</v>
      </c>
      <c r="D166" s="5">
        <f>IF('Service Types'!E512="","",'Service Types'!E512)</f>
        <v>341</v>
      </c>
      <c r="E166" s="5">
        <f>IF('Service Types'!D512="","",'Service Types'!D512)</f>
        <v>1532</v>
      </c>
      <c r="F166" s="5">
        <f>IF('Service Types'!F512="","",'Service Types'!F512)</f>
        <v>5</v>
      </c>
      <c r="G166" s="5">
        <f>IF('Service Types'!G512="","",'Service Types'!G512)</f>
        <v>0</v>
      </c>
      <c r="H166" s="5">
        <f>IF('Service Types'!H512="","",'Service Types'!H512)</f>
        <v>1527</v>
      </c>
      <c r="I166" s="6">
        <f>IF('Service Types'!I512="","",'Service Types'!I512)</f>
        <v>1</v>
      </c>
      <c r="J166" s="6">
        <f>IF('Service Types'!J512="","",'Service Types'!J512)</f>
        <v>1.8</v>
      </c>
      <c r="K166" s="6">
        <f>IF('Service Types'!K512="","",'Service Types'!K512)</f>
        <v>4</v>
      </c>
      <c r="L166" s="4" t="str">
        <f>IF('Service Types'!Q512="","",'Service Types'!Q512)</f>
        <v>Non-crew</v>
      </c>
    </row>
    <row r="167" spans="1:12" x14ac:dyDescent="0.45">
      <c r="A167" s="14">
        <v>166</v>
      </c>
      <c r="B167" s="4" t="s">
        <v>393</v>
      </c>
      <c r="C167" s="4" t="str">
        <f>IF('Service Types'!B296="","",'Service Types'!B296)</f>
        <v>IS - Public Spaces Delivery</v>
      </c>
      <c r="D167" s="5">
        <f>IF('Service Types'!E296="","",'Service Types'!E296)</f>
        <v>331</v>
      </c>
      <c r="E167" s="5">
        <f>IF('Service Types'!D296="","",'Service Types'!D296)</f>
        <v>1450</v>
      </c>
      <c r="F167" s="5">
        <f>IF('Service Types'!F296="","",'Service Types'!F296)</f>
        <v>7</v>
      </c>
      <c r="G167" s="5">
        <f>IF('Service Types'!G296="","",'Service Types'!G296)</f>
        <v>1</v>
      </c>
      <c r="H167" s="5">
        <f>IF('Service Types'!H296="","",'Service Types'!H296)</f>
        <v>1443</v>
      </c>
      <c r="I167" s="6">
        <f>IF('Service Types'!I296="","",'Service Types'!I296)</f>
        <v>6</v>
      </c>
      <c r="J167" s="6">
        <f>IF('Service Types'!J296="","",'Service Types'!J296)</f>
        <v>11.2</v>
      </c>
      <c r="K167" s="6">
        <f>IF('Service Types'!K296="","",'Service Types'!K296)</f>
        <v>23</v>
      </c>
      <c r="L167" s="4" t="str">
        <f>IF('Service Types'!Q296="","",'Service Types'!Q296)</f>
        <v>Non-crew</v>
      </c>
    </row>
    <row r="168" spans="1:12" x14ac:dyDescent="0.45">
      <c r="A168" s="14">
        <v>167</v>
      </c>
      <c r="B168" s="4" t="s">
        <v>483</v>
      </c>
      <c r="C168" s="4" t="str">
        <f>IF('Service Types'!B365="","",'Service Types'!B365)</f>
        <v>OS - Facility Management</v>
      </c>
      <c r="D168" s="5">
        <f>IF('Service Types'!E365="","",'Service Types'!E365)</f>
        <v>329</v>
      </c>
      <c r="E168" s="5">
        <f>IF('Service Types'!D365="","",'Service Types'!D365)</f>
        <v>1434</v>
      </c>
      <c r="F168" s="5">
        <f>IF('Service Types'!F365="","",'Service Types'!F365)</f>
        <v>12</v>
      </c>
      <c r="G168" s="5">
        <f>IF('Service Types'!G365="","",'Service Types'!G365)</f>
        <v>9</v>
      </c>
      <c r="H168" s="5">
        <f>IF('Service Types'!H365="","",'Service Types'!H365)</f>
        <v>1422</v>
      </c>
      <c r="I168" s="6">
        <f>IF('Service Types'!I365="","",'Service Types'!I365)</f>
        <v>1</v>
      </c>
      <c r="J168" s="6">
        <f>IF('Service Types'!J365="","",'Service Types'!J365)</f>
        <v>10.3</v>
      </c>
      <c r="K168" s="6">
        <f>IF('Service Types'!K365="","",'Service Types'!K365)</f>
        <v>11</v>
      </c>
      <c r="L168" s="4" t="str">
        <f>IF('Service Types'!Q365="","",'Service Types'!Q365)</f>
        <v>Crew</v>
      </c>
    </row>
    <row r="169" spans="1:12" x14ac:dyDescent="0.45">
      <c r="A169" s="14">
        <v>168</v>
      </c>
      <c r="B169" s="4" t="s">
        <v>471</v>
      </c>
      <c r="C169" s="4" t="str">
        <f>IF('Service Types'!B356="","",'Service Types'!B356)</f>
        <v>OS - Calgary Transit</v>
      </c>
      <c r="D169" s="5">
        <f>IF('Service Types'!E356="","",'Service Types'!E356)</f>
        <v>324</v>
      </c>
      <c r="E169" s="5">
        <f>IF('Service Types'!D356="","",'Service Types'!D356)</f>
        <v>1232</v>
      </c>
      <c r="F169" s="5">
        <f>IF('Service Types'!F356="","",'Service Types'!F356)</f>
        <v>22</v>
      </c>
      <c r="G169" s="5">
        <f>IF('Service Types'!G356="","",'Service Types'!G356)</f>
        <v>9</v>
      </c>
      <c r="H169" s="5">
        <f>IF('Service Types'!H356="","",'Service Types'!H356)</f>
        <v>1210</v>
      </c>
      <c r="I169" s="6">
        <f>IF('Service Types'!I356="","",'Service Types'!I356)</f>
        <v>6</v>
      </c>
      <c r="J169" s="6">
        <f>IF('Service Types'!J356="","",'Service Types'!J356)</f>
        <v>12.6</v>
      </c>
      <c r="K169" s="6">
        <f>IF('Service Types'!K356="","",'Service Types'!K356)</f>
        <v>33</v>
      </c>
      <c r="L169" s="4" t="str">
        <f>IF('Service Types'!Q356="","",'Service Types'!Q356)</f>
        <v>Non-crew</v>
      </c>
    </row>
    <row r="170" spans="1:12" x14ac:dyDescent="0.45">
      <c r="A170" s="14">
        <v>169</v>
      </c>
      <c r="B170" s="4" t="s">
        <v>227</v>
      </c>
      <c r="C170" s="4" t="str">
        <f>IF('Service Types'!B148="","",'Service Types'!B148)</f>
        <v>CS - Emergency Management and Community Safety</v>
      </c>
      <c r="D170" s="5">
        <f>IF('Service Types'!E148="","",'Service Types'!E148)</f>
        <v>315</v>
      </c>
      <c r="E170" s="5">
        <f>IF('Service Types'!D148="","",'Service Types'!D148)</f>
        <v>1588</v>
      </c>
      <c r="F170" s="5">
        <f>IF('Service Types'!F148="","",'Service Types'!F148)</f>
        <v>6</v>
      </c>
      <c r="G170" s="5">
        <f>IF('Service Types'!G148="","",'Service Types'!G148)</f>
        <v>3</v>
      </c>
      <c r="H170" s="5">
        <f>IF('Service Types'!H148="","",'Service Types'!H148)</f>
        <v>1582</v>
      </c>
      <c r="I170" s="6">
        <f>IF('Service Types'!I148="","",'Service Types'!I148)</f>
        <v>1</v>
      </c>
      <c r="J170" s="6">
        <f>IF('Service Types'!J148="","",'Service Types'!J148)</f>
        <v>4.7</v>
      </c>
      <c r="K170" s="6">
        <f>IF('Service Types'!K148="","",'Service Types'!K148)</f>
        <v>9</v>
      </c>
      <c r="L170" s="4" t="str">
        <f>IF('Service Types'!Q148="","",'Service Types'!Q148)</f>
        <v>Non-crew</v>
      </c>
    </row>
    <row r="171" spans="1:12" x14ac:dyDescent="0.45">
      <c r="A171" s="14">
        <v>170</v>
      </c>
      <c r="B171" s="4" t="s">
        <v>528</v>
      </c>
      <c r="C171" s="4" t="str">
        <f>IF('Service Types'!B399="","",'Service Types'!B399)</f>
        <v>OS - Mobility</v>
      </c>
      <c r="D171" s="5">
        <f>IF('Service Types'!E399="","",'Service Types'!E399)</f>
        <v>313</v>
      </c>
      <c r="E171" s="5">
        <f>IF('Service Types'!D399="","",'Service Types'!D399)</f>
        <v>1357</v>
      </c>
      <c r="F171" s="5">
        <f>IF('Service Types'!F399="","",'Service Types'!F399)</f>
        <v>34</v>
      </c>
      <c r="G171" s="5">
        <f>IF('Service Types'!G399="","",'Service Types'!G399)</f>
        <v>16</v>
      </c>
      <c r="H171" s="5">
        <f>IF('Service Types'!H399="","",'Service Types'!H399)</f>
        <v>1323</v>
      </c>
      <c r="I171" s="6">
        <f>IF('Service Types'!I399="","",'Service Types'!I399)</f>
        <v>82</v>
      </c>
      <c r="J171" s="6">
        <f>IF('Service Types'!J399="","",'Service Types'!J399)</f>
        <v>126.2</v>
      </c>
      <c r="K171" s="6">
        <f>IF('Service Types'!K399="","",'Service Types'!K399)</f>
        <v>410</v>
      </c>
      <c r="L171" s="4" t="str">
        <f>IF('Service Types'!Q399="","",'Service Types'!Q399)</f>
        <v>Crew</v>
      </c>
    </row>
    <row r="172" spans="1:12" x14ac:dyDescent="0.45">
      <c r="A172" s="14">
        <v>171</v>
      </c>
      <c r="B172" s="4" t="s">
        <v>307</v>
      </c>
      <c r="C172" s="4" t="str">
        <f>IF('Service Types'!B223="","",'Service Types'!B223)</f>
        <v>CS - Recreation and Social Programs</v>
      </c>
      <c r="D172" s="5">
        <f>IF('Service Types'!E223="","",'Service Types'!E223)</f>
        <v>311</v>
      </c>
      <c r="E172" s="5">
        <f>IF('Service Types'!D223="","",'Service Types'!D223)</f>
        <v>1586</v>
      </c>
      <c r="F172" s="5">
        <f>IF('Service Types'!F223="","",'Service Types'!F223)</f>
        <v>8</v>
      </c>
      <c r="G172" s="5">
        <f>IF('Service Types'!G223="","",'Service Types'!G223)</f>
        <v>8</v>
      </c>
      <c r="H172" s="5">
        <f>IF('Service Types'!H223="","",'Service Types'!H223)</f>
        <v>1578</v>
      </c>
      <c r="I172" s="6">
        <f>IF('Service Types'!I223="","",'Service Types'!I223)</f>
        <v>3</v>
      </c>
      <c r="J172" s="6">
        <f>IF('Service Types'!J223="","",'Service Types'!J223)</f>
        <v>13.8</v>
      </c>
      <c r="K172" s="6">
        <f>IF('Service Types'!K223="","",'Service Types'!K223)</f>
        <v>50</v>
      </c>
      <c r="L172" s="4" t="str">
        <f>IF('Service Types'!Q223="","",'Service Types'!Q223)</f>
        <v>Non-crew</v>
      </c>
    </row>
    <row r="173" spans="1:12" x14ac:dyDescent="0.45">
      <c r="A173" s="14">
        <v>172</v>
      </c>
      <c r="B173" s="4" t="s">
        <v>115</v>
      </c>
      <c r="C173" s="4" t="str">
        <f>IF('Service Types'!B53="","",'Service Types'!B53)</f>
        <v>CS - Calgary Fire</v>
      </c>
      <c r="D173" s="5">
        <f>IF('Service Types'!E53="","",'Service Types'!E53)</f>
        <v>302</v>
      </c>
      <c r="E173" s="5">
        <f>IF('Service Types'!D53="","",'Service Types'!D53)</f>
        <v>1260</v>
      </c>
      <c r="F173" s="5">
        <f>IF('Service Types'!F53="","",'Service Types'!F53)</f>
        <v>33</v>
      </c>
      <c r="G173" s="5">
        <f>IF('Service Types'!G53="","",'Service Types'!G53)</f>
        <v>3</v>
      </c>
      <c r="H173" s="5">
        <f>IF('Service Types'!H53="","",'Service Types'!H53)</f>
        <v>1227</v>
      </c>
      <c r="I173" s="6">
        <f>IF('Service Types'!I53="","",'Service Types'!I53)</f>
        <v>11</v>
      </c>
      <c r="J173" s="6">
        <f>IF('Service Types'!J53="","",'Service Types'!J53)</f>
        <v>22.9</v>
      </c>
      <c r="K173" s="6">
        <f>IF('Service Types'!K53="","",'Service Types'!K53)</f>
        <v>44</v>
      </c>
      <c r="L173" s="4" t="str">
        <f>IF('Service Types'!Q53="","",'Service Types'!Q53)</f>
        <v>Non-crew</v>
      </c>
    </row>
    <row r="174" spans="1:12" x14ac:dyDescent="0.45">
      <c r="A174" s="14">
        <v>173</v>
      </c>
      <c r="B174" s="4" t="s">
        <v>229</v>
      </c>
      <c r="C174" s="4" t="str">
        <f>IF('Service Types'!B150="","",'Service Types'!B150)</f>
        <v>CS - Emergency Management and Community Safety</v>
      </c>
      <c r="D174" s="5">
        <f>IF('Service Types'!E150="","",'Service Types'!E150)</f>
        <v>299</v>
      </c>
      <c r="E174" s="5">
        <f>IF('Service Types'!D150="","",'Service Types'!D150)</f>
        <v>1426</v>
      </c>
      <c r="F174" s="5">
        <f>IF('Service Types'!F150="","",'Service Types'!F150)</f>
        <v>13</v>
      </c>
      <c r="G174" s="5">
        <f>IF('Service Types'!G150="","",'Service Types'!G150)</f>
        <v>13</v>
      </c>
      <c r="H174" s="5">
        <f>IF('Service Types'!H150="","",'Service Types'!H150)</f>
        <v>1413</v>
      </c>
      <c r="I174" s="6">
        <f>IF('Service Types'!I150="","",'Service Types'!I150)</f>
        <v>2</v>
      </c>
      <c r="J174" s="6">
        <f>IF('Service Types'!J150="","",'Service Types'!J150)</f>
        <v>7.3</v>
      </c>
      <c r="K174" s="6">
        <f>IF('Service Types'!K150="","",'Service Types'!K150)</f>
        <v>13</v>
      </c>
      <c r="L174" s="4" t="str">
        <f>IF('Service Types'!Q150="","",'Service Types'!Q150)</f>
        <v>Non-crew</v>
      </c>
    </row>
    <row r="175" spans="1:12" x14ac:dyDescent="0.45">
      <c r="A175" s="14">
        <v>174</v>
      </c>
      <c r="B175" s="4" t="s">
        <v>469</v>
      </c>
      <c r="C175" s="4" t="str">
        <f>IF('Service Types'!B355="","",'Service Types'!B355)</f>
        <v>OS - Calgary Transit</v>
      </c>
      <c r="D175" s="5">
        <f>IF('Service Types'!E355="","",'Service Types'!E355)</f>
        <v>291</v>
      </c>
      <c r="E175" s="5">
        <f>IF('Service Types'!D355="","",'Service Types'!D355)</f>
        <v>1369</v>
      </c>
      <c r="F175" s="5">
        <f>IF('Service Types'!F355="","",'Service Types'!F355)</f>
        <v>18</v>
      </c>
      <c r="G175" s="5">
        <f>IF('Service Types'!G355="","",'Service Types'!G355)</f>
        <v>5</v>
      </c>
      <c r="H175" s="5">
        <f>IF('Service Types'!H355="","",'Service Types'!H355)</f>
        <v>1351</v>
      </c>
      <c r="I175" s="6">
        <f>IF('Service Types'!I355="","",'Service Types'!I355)</f>
        <v>4</v>
      </c>
      <c r="J175" s="6">
        <f>IF('Service Types'!J355="","",'Service Types'!J355)</f>
        <v>7.8</v>
      </c>
      <c r="K175" s="6">
        <f>IF('Service Types'!K355="","",'Service Types'!K355)</f>
        <v>21</v>
      </c>
      <c r="L175" s="4" t="str">
        <f>IF('Service Types'!Q355="","",'Service Types'!Q355)</f>
        <v>Non-crew</v>
      </c>
    </row>
    <row r="176" spans="1:12" x14ac:dyDescent="0.45">
      <c r="A176" s="14">
        <v>175</v>
      </c>
      <c r="B176" s="4" t="s">
        <v>716</v>
      </c>
      <c r="C176" s="4" t="str">
        <f>IF('Service Types'!B554="","",'Service Types'!B554)</f>
        <v>OS - Water Services</v>
      </c>
      <c r="D176" s="5">
        <f>IF('Service Types'!E554="","",'Service Types'!E554)</f>
        <v>286</v>
      </c>
      <c r="E176" s="5">
        <f>IF('Service Types'!D554="","",'Service Types'!D554)</f>
        <v>1723</v>
      </c>
      <c r="F176" s="5">
        <f>IF('Service Types'!F554="","",'Service Types'!F554)</f>
        <v>2</v>
      </c>
      <c r="G176" s="5">
        <f>IF('Service Types'!G554="","",'Service Types'!G554)</f>
        <v>2</v>
      </c>
      <c r="H176" s="5">
        <f>IF('Service Types'!H554="","",'Service Types'!H554)</f>
        <v>1721</v>
      </c>
      <c r="I176" s="6">
        <f>IF('Service Types'!I554="","",'Service Types'!I554)</f>
        <v>3</v>
      </c>
      <c r="J176" s="6">
        <f>IF('Service Types'!J554="","",'Service Types'!J554)</f>
        <v>8.4</v>
      </c>
      <c r="K176" s="6">
        <f>IF('Service Types'!K554="","",'Service Types'!K554)</f>
        <v>20</v>
      </c>
      <c r="L176" s="4" t="str">
        <f>IF('Service Types'!Q554="","",'Service Types'!Q554)</f>
        <v>Non-crew</v>
      </c>
    </row>
    <row r="177" spans="1:12" x14ac:dyDescent="0.45">
      <c r="A177" s="14">
        <v>176</v>
      </c>
      <c r="B177" s="4" t="s">
        <v>605</v>
      </c>
      <c r="C177" s="4" t="str">
        <f>IF('Service Types'!B465="","",'Service Types'!B465)</f>
        <v>OS - Parks and Open Spaces</v>
      </c>
      <c r="D177" s="5">
        <f>IF('Service Types'!E465="","",'Service Types'!E465)</f>
        <v>280</v>
      </c>
      <c r="E177" s="5">
        <f>IF('Service Types'!D465="","",'Service Types'!D465)</f>
        <v>1472</v>
      </c>
      <c r="F177" s="5">
        <f>IF('Service Types'!F465="","",'Service Types'!F465)</f>
        <v>24</v>
      </c>
      <c r="G177" s="5">
        <f>IF('Service Types'!G465="","",'Service Types'!G465)</f>
        <v>8</v>
      </c>
      <c r="H177" s="5">
        <f>IF('Service Types'!H465="","",'Service Types'!H465)</f>
        <v>1448</v>
      </c>
      <c r="I177" s="6">
        <f>IF('Service Types'!I465="","",'Service Types'!I465)</f>
        <v>5</v>
      </c>
      <c r="J177" s="6">
        <f>IF('Service Types'!J465="","",'Service Types'!J465)</f>
        <v>14.9</v>
      </c>
      <c r="K177" s="6">
        <f>IF('Service Types'!K465="","",'Service Types'!K465)</f>
        <v>37</v>
      </c>
      <c r="L177" s="4" t="str">
        <f>IF('Service Types'!Q465="","",'Service Types'!Q465)</f>
        <v>Non-crew</v>
      </c>
    </row>
    <row r="178" spans="1:12" x14ac:dyDescent="0.45">
      <c r="A178" s="14">
        <v>177</v>
      </c>
      <c r="B178" s="4" t="s">
        <v>234</v>
      </c>
      <c r="C178" s="4" t="str">
        <f>IF('Service Types'!B155="","",'Service Types'!B155)</f>
        <v>CS - Emergency Management and Community Safety</v>
      </c>
      <c r="D178" s="5">
        <f>IF('Service Types'!E155="","",'Service Types'!E155)</f>
        <v>279</v>
      </c>
      <c r="E178" s="5">
        <f>IF('Service Types'!D155="","",'Service Types'!D155)</f>
        <v>983</v>
      </c>
      <c r="F178" s="5">
        <f>IF('Service Types'!F155="","",'Service Types'!F155)</f>
        <v>51</v>
      </c>
      <c r="G178" s="5">
        <f>IF('Service Types'!G155="","",'Service Types'!G155)</f>
        <v>6</v>
      </c>
      <c r="H178" s="5">
        <f>IF('Service Types'!H155="","",'Service Types'!H155)</f>
        <v>932</v>
      </c>
      <c r="I178" s="6">
        <f>IF('Service Types'!I155="","",'Service Types'!I155)</f>
        <v>10</v>
      </c>
      <c r="J178" s="6">
        <f>IF('Service Types'!J155="","",'Service Types'!J155)</f>
        <v>28.5</v>
      </c>
      <c r="K178" s="6">
        <f>IF('Service Types'!K155="","",'Service Types'!K155)</f>
        <v>79</v>
      </c>
      <c r="L178" s="4" t="str">
        <f>IF('Service Types'!Q155="","",'Service Types'!Q155)</f>
        <v>Non-crew</v>
      </c>
    </row>
    <row r="179" spans="1:12" x14ac:dyDescent="0.45">
      <c r="A179" s="14">
        <v>178</v>
      </c>
      <c r="B179" s="4" t="s">
        <v>371</v>
      </c>
      <c r="C179" s="4" t="str">
        <f>IF('Service Types'!B281="","",'Service Types'!B281)</f>
        <v>IS - Capital Planning and Business Services</v>
      </c>
      <c r="D179" s="5">
        <f>IF('Service Types'!E281="","",'Service Types'!E281)</f>
        <v>273</v>
      </c>
      <c r="E179" s="5">
        <f>IF('Service Types'!D281="","",'Service Types'!D281)</f>
        <v>502</v>
      </c>
      <c r="F179" s="5">
        <f>IF('Service Types'!F281="","",'Service Types'!F281)</f>
        <v>8</v>
      </c>
      <c r="G179" s="5">
        <f>IF('Service Types'!G281="","",'Service Types'!G281)</f>
        <v>3</v>
      </c>
      <c r="H179" s="5">
        <f>IF('Service Types'!H281="","",'Service Types'!H281)</f>
        <v>493</v>
      </c>
      <c r="I179" s="6">
        <f>IF('Service Types'!I281="","",'Service Types'!I281)</f>
        <v>2</v>
      </c>
      <c r="J179" s="6">
        <f>IF('Service Types'!J281="","",'Service Types'!J281)</f>
        <v>21.2</v>
      </c>
      <c r="K179" s="6">
        <f>IF('Service Types'!K281="","",'Service Types'!K281)</f>
        <v>11</v>
      </c>
      <c r="L179" s="4" t="str">
        <f>IF('Service Types'!Q281="","",'Service Types'!Q281)</f>
        <v>Crew</v>
      </c>
    </row>
    <row r="180" spans="1:12" x14ac:dyDescent="0.45">
      <c r="A180" s="14">
        <v>179</v>
      </c>
      <c r="B180" s="4" t="s">
        <v>71</v>
      </c>
      <c r="C180" s="4" t="str">
        <f>IF('Service Types'!B24="","",'Service Types'!B24)</f>
        <v>CPFS - Assessment and Tax</v>
      </c>
      <c r="D180" s="5">
        <f>IF('Service Types'!E24="","",'Service Types'!E24)</f>
        <v>267</v>
      </c>
      <c r="E180" s="5">
        <f>IF('Service Types'!D24="","",'Service Types'!D24)</f>
        <v>653</v>
      </c>
      <c r="F180" s="5">
        <f>IF('Service Types'!F24="","",'Service Types'!F24)</f>
        <v>0</v>
      </c>
      <c r="G180" s="5">
        <f>IF('Service Types'!G24="","",'Service Types'!G24)</f>
        <v>0</v>
      </c>
      <c r="H180" s="5">
        <f>IF('Service Types'!H24="","",'Service Types'!H24)</f>
        <v>653</v>
      </c>
      <c r="I180" s="6">
        <f>IF('Service Types'!I24="","",'Service Types'!I24)</f>
        <v>3</v>
      </c>
      <c r="J180" s="6">
        <f>IF('Service Types'!J24="","",'Service Types'!J24)</f>
        <v>6.9</v>
      </c>
      <c r="K180" s="6">
        <f>IF('Service Types'!K24="","",'Service Types'!K24)</f>
        <v>13</v>
      </c>
      <c r="L180" s="4" t="str">
        <f>IF('Service Types'!Q24="","",'Service Types'!Q24)</f>
        <v>Non-crew</v>
      </c>
    </row>
    <row r="181" spans="1:12" x14ac:dyDescent="0.45">
      <c r="A181" s="14">
        <v>180</v>
      </c>
      <c r="B181" s="4" t="s">
        <v>395</v>
      </c>
      <c r="C181" s="4" t="str">
        <f>IF('Service Types'!B297="","",'Service Types'!B297)</f>
        <v>IS - Public Spaces Delivery</v>
      </c>
      <c r="D181" s="5">
        <f>IF('Service Types'!E297="","",'Service Types'!E297)</f>
        <v>263</v>
      </c>
      <c r="E181" s="5">
        <f>IF('Service Types'!D297="","",'Service Types'!D297)</f>
        <v>955</v>
      </c>
      <c r="F181" s="5">
        <f>IF('Service Types'!F297="","",'Service Types'!F297)</f>
        <v>9</v>
      </c>
      <c r="G181" s="5">
        <f>IF('Service Types'!G297="","",'Service Types'!G297)</f>
        <v>2</v>
      </c>
      <c r="H181" s="5">
        <f>IF('Service Types'!H297="","",'Service Types'!H297)</f>
        <v>946</v>
      </c>
      <c r="I181" s="6">
        <f>IF('Service Types'!I297="","",'Service Types'!I297)</f>
        <v>5</v>
      </c>
      <c r="J181" s="6">
        <f>IF('Service Types'!J297="","",'Service Types'!J297)</f>
        <v>14.8</v>
      </c>
      <c r="K181" s="6">
        <f>IF('Service Types'!K297="","",'Service Types'!K297)</f>
        <v>25</v>
      </c>
      <c r="L181" s="4" t="str">
        <f>IF('Service Types'!Q297="","",'Service Types'!Q297)</f>
        <v>Non-crew</v>
      </c>
    </row>
    <row r="182" spans="1:12" x14ac:dyDescent="0.45">
      <c r="A182" s="14">
        <v>181</v>
      </c>
      <c r="B182" s="4" t="s">
        <v>660</v>
      </c>
      <c r="C182" s="4" t="str">
        <f>IF('Service Types'!B511="","",'Service Types'!B511)</f>
        <v>OS - Waste and Recycling Services</v>
      </c>
      <c r="D182" s="5">
        <f>IF('Service Types'!E511="","",'Service Types'!E511)</f>
        <v>258</v>
      </c>
      <c r="E182" s="5">
        <f>IF('Service Types'!D511="","",'Service Types'!D511)</f>
        <v>1600</v>
      </c>
      <c r="F182" s="5">
        <f>IF('Service Types'!F511="","",'Service Types'!F511)</f>
        <v>8</v>
      </c>
      <c r="G182" s="5">
        <f>IF('Service Types'!G511="","",'Service Types'!G511)</f>
        <v>0</v>
      </c>
      <c r="H182" s="5">
        <f>IF('Service Types'!H511="","",'Service Types'!H511)</f>
        <v>1592</v>
      </c>
      <c r="I182" s="6">
        <f>IF('Service Types'!I511="","",'Service Types'!I511)</f>
        <v>1</v>
      </c>
      <c r="J182" s="6">
        <f>IF('Service Types'!J511="","",'Service Types'!J511)</f>
        <v>3.4</v>
      </c>
      <c r="K182" s="6">
        <f>IF('Service Types'!K511="","",'Service Types'!K511)</f>
        <v>10</v>
      </c>
      <c r="L182" s="4" t="str">
        <f>IF('Service Types'!Q511="","",'Service Types'!Q511)</f>
        <v>Non-crew</v>
      </c>
    </row>
    <row r="183" spans="1:12" x14ac:dyDescent="0.45">
      <c r="A183" s="14">
        <v>182</v>
      </c>
      <c r="B183" s="4" t="s">
        <v>529</v>
      </c>
      <c r="C183" s="4" t="str">
        <f>IF('Service Types'!B400="","",'Service Types'!B400)</f>
        <v>OS - Mobility</v>
      </c>
      <c r="D183" s="5">
        <f>IF('Service Types'!E400="","",'Service Types'!E400)</f>
        <v>254</v>
      </c>
      <c r="E183" s="5">
        <f>IF('Service Types'!D400="","",'Service Types'!D400)</f>
        <v>1210</v>
      </c>
      <c r="F183" s="5">
        <f>IF('Service Types'!F400="","",'Service Types'!F400)</f>
        <v>32</v>
      </c>
      <c r="G183" s="5">
        <f>IF('Service Types'!G400="","",'Service Types'!G400)</f>
        <v>13</v>
      </c>
      <c r="H183" s="5">
        <f>IF('Service Types'!H400="","",'Service Types'!H400)</f>
        <v>1178</v>
      </c>
      <c r="I183" s="6">
        <f>IF('Service Types'!I400="","",'Service Types'!I400)</f>
        <v>20</v>
      </c>
      <c r="J183" s="6">
        <f>IF('Service Types'!J400="","",'Service Types'!J400)</f>
        <v>27.2</v>
      </c>
      <c r="K183" s="6">
        <f>IF('Service Types'!K400="","",'Service Types'!K400)</f>
        <v>67</v>
      </c>
      <c r="L183" s="4" t="str">
        <f>IF('Service Types'!Q400="","",'Service Types'!Q400)</f>
        <v>Non-crew</v>
      </c>
    </row>
    <row r="184" spans="1:12" x14ac:dyDescent="0.45">
      <c r="A184" s="14">
        <v>183</v>
      </c>
      <c r="B184" s="4" t="s">
        <v>116</v>
      </c>
      <c r="C184" s="4" t="str">
        <f>IF('Service Types'!B54="","",'Service Types'!B54)</f>
        <v>CS - Calgary Fire</v>
      </c>
      <c r="D184" s="5">
        <f>IF('Service Types'!E54="","",'Service Types'!E54)</f>
        <v>248</v>
      </c>
      <c r="E184" s="5">
        <f>IF('Service Types'!D54="","",'Service Types'!D54)</f>
        <v>902</v>
      </c>
      <c r="F184" s="5">
        <f>IF('Service Types'!F54="","",'Service Types'!F54)</f>
        <v>39</v>
      </c>
      <c r="G184" s="5">
        <f>IF('Service Types'!G54="","",'Service Types'!G54)</f>
        <v>36</v>
      </c>
      <c r="H184" s="5">
        <f>IF('Service Types'!H54="","",'Service Types'!H54)</f>
        <v>863</v>
      </c>
      <c r="I184" s="6">
        <f>IF('Service Types'!I54="","",'Service Types'!I54)</f>
        <v>3</v>
      </c>
      <c r="J184" s="6">
        <f>IF('Service Types'!J54="","",'Service Types'!J54)</f>
        <v>5.2</v>
      </c>
      <c r="K184" s="6">
        <f>IF('Service Types'!K54="","",'Service Types'!K54)</f>
        <v>12</v>
      </c>
      <c r="L184" s="4" t="str">
        <f>IF('Service Types'!Q54="","",'Service Types'!Q54)</f>
        <v>Non-crew</v>
      </c>
    </row>
    <row r="185" spans="1:12" x14ac:dyDescent="0.45">
      <c r="A185" s="14">
        <v>184</v>
      </c>
      <c r="B185" s="4" t="s">
        <v>738</v>
      </c>
      <c r="C185" s="4" t="str">
        <f>IF('Service Types'!B570="","",'Service Types'!B570)</f>
        <v>OS - Water Services</v>
      </c>
      <c r="D185" s="5">
        <f>IF('Service Types'!E570="","",'Service Types'!E570)</f>
        <v>242</v>
      </c>
      <c r="E185" s="5">
        <f>IF('Service Types'!D570="","",'Service Types'!D570)</f>
        <v>406</v>
      </c>
      <c r="F185" s="5">
        <f>IF('Service Types'!F570="","",'Service Types'!F570)</f>
        <v>3</v>
      </c>
      <c r="G185" s="5">
        <f>IF('Service Types'!G570="","",'Service Types'!G570)</f>
        <v>1</v>
      </c>
      <c r="H185" s="5">
        <f>IF('Service Types'!H570="","",'Service Types'!H570)</f>
        <v>403</v>
      </c>
      <c r="I185" s="6">
        <f>IF('Service Types'!I570="","",'Service Types'!I570)</f>
        <v>1</v>
      </c>
      <c r="J185" s="6">
        <f>IF('Service Types'!J570="","",'Service Types'!J570)</f>
        <v>4.5</v>
      </c>
      <c r="K185" s="6">
        <f>IF('Service Types'!K570="","",'Service Types'!K570)</f>
        <v>10</v>
      </c>
      <c r="L185" s="4" t="str">
        <f>IF('Service Types'!Q570="","",'Service Types'!Q570)</f>
        <v>Crew</v>
      </c>
    </row>
    <row r="186" spans="1:12" x14ac:dyDescent="0.45">
      <c r="A186" s="14">
        <v>185</v>
      </c>
      <c r="B186" s="4" t="s">
        <v>720</v>
      </c>
      <c r="C186" s="4" t="str">
        <f>IF('Service Types'!B557="","",'Service Types'!B557)</f>
        <v>OS - Water Services</v>
      </c>
      <c r="D186" s="5">
        <f>IF('Service Types'!E557="","",'Service Types'!E557)</f>
        <v>234</v>
      </c>
      <c r="E186" s="5">
        <f>IF('Service Types'!D557="","",'Service Types'!D557)</f>
        <v>1397</v>
      </c>
      <c r="F186" s="5">
        <f>IF('Service Types'!F557="","",'Service Types'!F557)</f>
        <v>0</v>
      </c>
      <c r="G186" s="5">
        <f>IF('Service Types'!G557="","",'Service Types'!G557)</f>
        <v>0</v>
      </c>
      <c r="H186" s="5">
        <f>IF('Service Types'!H557="","",'Service Types'!H557)</f>
        <v>1397</v>
      </c>
      <c r="I186" s="6">
        <f>IF('Service Types'!I557="","",'Service Types'!I557)</f>
        <v>1</v>
      </c>
      <c r="J186" s="6">
        <f>IF('Service Types'!J557="","",'Service Types'!J557)</f>
        <v>3.4</v>
      </c>
      <c r="K186" s="6">
        <f>IF('Service Types'!K557="","",'Service Types'!K557)</f>
        <v>2</v>
      </c>
      <c r="L186" s="4" t="str">
        <f>IF('Service Types'!Q557="","",'Service Types'!Q557)</f>
        <v>Non-crew</v>
      </c>
    </row>
    <row r="187" spans="1:12" x14ac:dyDescent="0.45">
      <c r="A187" s="14">
        <v>186</v>
      </c>
      <c r="B187" s="4" t="s">
        <v>83</v>
      </c>
      <c r="C187" s="4" t="str">
        <f>IF('Service Types'!B33="","",'Service Types'!B33)</f>
        <v>CPFS - Finance</v>
      </c>
      <c r="D187" s="5">
        <f>IF('Service Types'!E33="","",'Service Types'!E33)</f>
        <v>233</v>
      </c>
      <c r="E187" s="5">
        <f>IF('Service Types'!D33="","",'Service Types'!D33)</f>
        <v>1033</v>
      </c>
      <c r="F187" s="5">
        <f>IF('Service Types'!F33="","",'Service Types'!F33)</f>
        <v>0</v>
      </c>
      <c r="G187" s="5">
        <f>IF('Service Types'!G33="","",'Service Types'!G33)</f>
        <v>0</v>
      </c>
      <c r="H187" s="5">
        <f>IF('Service Types'!H33="","",'Service Types'!H33)</f>
        <v>1033</v>
      </c>
      <c r="I187" s="6">
        <f>IF('Service Types'!I33="","",'Service Types'!I33)</f>
        <v>0</v>
      </c>
      <c r="J187" s="6">
        <f>IF('Service Types'!J33="","",'Service Types'!J33)</f>
        <v>1.3</v>
      </c>
      <c r="K187" s="6">
        <f>IF('Service Types'!K33="","",'Service Types'!K33)</f>
        <v>3</v>
      </c>
      <c r="L187" s="4" t="str">
        <f>IF('Service Types'!Q33="","",'Service Types'!Q33)</f>
        <v>Non-crew</v>
      </c>
    </row>
    <row r="188" spans="1:12" x14ac:dyDescent="0.45">
      <c r="A188" s="14">
        <v>187</v>
      </c>
      <c r="B188" s="4" t="s">
        <v>117</v>
      </c>
      <c r="C188" s="4" t="str">
        <f>IF('Service Types'!B55="","",'Service Types'!B55)</f>
        <v>CS - Calgary Fire</v>
      </c>
      <c r="D188" s="5">
        <f>IF('Service Types'!E55="","",'Service Types'!E55)</f>
        <v>233</v>
      </c>
      <c r="E188" s="5">
        <f>IF('Service Types'!D55="","",'Service Types'!D55)</f>
        <v>650</v>
      </c>
      <c r="F188" s="5">
        <f>IF('Service Types'!F55="","",'Service Types'!F55)</f>
        <v>5</v>
      </c>
      <c r="G188" s="5">
        <f>IF('Service Types'!G55="","",'Service Types'!G55)</f>
        <v>1</v>
      </c>
      <c r="H188" s="5">
        <f>IF('Service Types'!H55="","",'Service Types'!H55)</f>
        <v>645</v>
      </c>
      <c r="I188" s="6">
        <f>IF('Service Types'!I55="","",'Service Types'!I55)</f>
        <v>13</v>
      </c>
      <c r="J188" s="6">
        <f>IF('Service Types'!J55="","",'Service Types'!J55)</f>
        <v>19.7</v>
      </c>
      <c r="K188" s="6">
        <f>IF('Service Types'!K55="","",'Service Types'!K55)</f>
        <v>34</v>
      </c>
      <c r="L188" s="4" t="str">
        <f>IF('Service Types'!Q55="","",'Service Types'!Q55)</f>
        <v>Non-crew</v>
      </c>
    </row>
    <row r="189" spans="1:12" x14ac:dyDescent="0.45">
      <c r="A189" s="14">
        <v>188</v>
      </c>
      <c r="B189" s="4" t="s">
        <v>310</v>
      </c>
      <c r="C189" s="4" t="str">
        <f>IF('Service Types'!B226="","",'Service Types'!B226)</f>
        <v>CS - Recreation and Social Programs</v>
      </c>
      <c r="D189" s="5">
        <f>IF('Service Types'!E226="","",'Service Types'!E226)</f>
        <v>232</v>
      </c>
      <c r="E189" s="5">
        <f>IF('Service Types'!D226="","",'Service Types'!D226)</f>
        <v>1035</v>
      </c>
      <c r="F189" s="5">
        <f>IF('Service Types'!F226="","",'Service Types'!F226)</f>
        <v>17</v>
      </c>
      <c r="G189" s="5">
        <f>IF('Service Types'!G226="","",'Service Types'!G226)</f>
        <v>12</v>
      </c>
      <c r="H189" s="5">
        <f>IF('Service Types'!H226="","",'Service Types'!H226)</f>
        <v>1018</v>
      </c>
      <c r="I189" s="6">
        <f>IF('Service Types'!I226="","",'Service Types'!I226)</f>
        <v>2</v>
      </c>
      <c r="J189" s="6">
        <f>IF('Service Types'!J226="","",'Service Types'!J226)</f>
        <v>5.9</v>
      </c>
      <c r="K189" s="6">
        <f>IF('Service Types'!K226="","",'Service Types'!K226)</f>
        <v>6</v>
      </c>
      <c r="L189" s="4" t="str">
        <f>IF('Service Types'!Q226="","",'Service Types'!Q226)</f>
        <v>Non-crew</v>
      </c>
    </row>
    <row r="190" spans="1:12" x14ac:dyDescent="0.45">
      <c r="A190" s="14">
        <v>189</v>
      </c>
      <c r="B190" s="4" t="s">
        <v>844</v>
      </c>
      <c r="C190" s="4" t="str">
        <f>IF('Service Types'!B664="","",'Service Types'!B664)</f>
        <v>PDS - Development, Business and Building Services</v>
      </c>
      <c r="D190" s="5">
        <f>IF('Service Types'!E664="","",'Service Types'!E664)</f>
        <v>226</v>
      </c>
      <c r="E190" s="5">
        <f>IF('Service Types'!D664="","",'Service Types'!D664)</f>
        <v>227</v>
      </c>
      <c r="F190" s="5">
        <f>IF('Service Types'!F664="","",'Service Types'!F664)</f>
        <v>0</v>
      </c>
      <c r="G190" s="5">
        <f>IF('Service Types'!G664="","",'Service Types'!G664)</f>
        <v>0</v>
      </c>
      <c r="H190" s="5">
        <f>IF('Service Types'!H664="","",'Service Types'!H664)</f>
        <v>227</v>
      </c>
      <c r="I190" s="6">
        <f>IF('Service Types'!I664="","",'Service Types'!I664)</f>
        <v>0</v>
      </c>
      <c r="J190" s="6">
        <f>IF('Service Types'!J664="","",'Service Types'!J664)</f>
        <v>2.6</v>
      </c>
      <c r="K190" s="6">
        <f>IF('Service Types'!K664="","",'Service Types'!K664)</f>
        <v>2</v>
      </c>
      <c r="L190" s="4" t="str">
        <f>IF('Service Types'!Q664="","",'Service Types'!Q664)</f>
        <v>Non-crew</v>
      </c>
    </row>
    <row r="191" spans="1:12" x14ac:dyDescent="0.45">
      <c r="A191" s="14">
        <v>190</v>
      </c>
      <c r="B191" s="4" t="s">
        <v>237</v>
      </c>
      <c r="C191" s="4" t="str">
        <f>IF('Service Types'!B157="","",'Service Types'!B157)</f>
        <v>CS - Emergency Management and Community Safety</v>
      </c>
      <c r="D191" s="5">
        <f>IF('Service Types'!E157="","",'Service Types'!E157)</f>
        <v>221</v>
      </c>
      <c r="E191" s="5">
        <f>IF('Service Types'!D157="","",'Service Types'!D157)</f>
        <v>811</v>
      </c>
      <c r="F191" s="5">
        <f>IF('Service Types'!F157="","",'Service Types'!F157)</f>
        <v>22</v>
      </c>
      <c r="G191" s="5">
        <f>IF('Service Types'!G157="","",'Service Types'!G157)</f>
        <v>6</v>
      </c>
      <c r="H191" s="5">
        <f>IF('Service Types'!H157="","",'Service Types'!H157)</f>
        <v>789</v>
      </c>
      <c r="I191" s="6">
        <f>IF('Service Types'!I157="","",'Service Types'!I157)</f>
        <v>5</v>
      </c>
      <c r="J191" s="6">
        <f>IF('Service Types'!J157="","",'Service Types'!J157)</f>
        <v>17.899999999999999</v>
      </c>
      <c r="K191" s="6">
        <f>IF('Service Types'!K157="","",'Service Types'!K157)</f>
        <v>41</v>
      </c>
      <c r="L191" s="4" t="str">
        <f>IF('Service Types'!Q157="","",'Service Types'!Q157)</f>
        <v>Non-crew</v>
      </c>
    </row>
    <row r="192" spans="1:12" x14ac:dyDescent="0.45">
      <c r="A192" s="14">
        <v>191</v>
      </c>
      <c r="B192" s="4" t="s">
        <v>613</v>
      </c>
      <c r="C192" s="4" t="str">
        <f>IF('Service Types'!B472="","",'Service Types'!B472)</f>
        <v>OS - Parks and Open Spaces</v>
      </c>
      <c r="D192" s="5">
        <f>IF('Service Types'!E472="","",'Service Types'!E472)</f>
        <v>221</v>
      </c>
      <c r="E192" s="5">
        <f>IF('Service Types'!D472="","",'Service Types'!D472)</f>
        <v>701</v>
      </c>
      <c r="F192" s="5">
        <f>IF('Service Types'!F472="","",'Service Types'!F472)</f>
        <v>3</v>
      </c>
      <c r="G192" s="5">
        <f>IF('Service Types'!G472="","",'Service Types'!G472)</f>
        <v>2</v>
      </c>
      <c r="H192" s="5">
        <f>IF('Service Types'!H472="","",'Service Types'!H472)</f>
        <v>698</v>
      </c>
      <c r="I192" s="6">
        <f>IF('Service Types'!I472="","",'Service Types'!I472)</f>
        <v>1</v>
      </c>
      <c r="J192" s="6">
        <f>IF('Service Types'!J472="","",'Service Types'!J472)</f>
        <v>3.7</v>
      </c>
      <c r="K192" s="6">
        <f>IF('Service Types'!K472="","",'Service Types'!K472)</f>
        <v>8</v>
      </c>
      <c r="L192" s="4" t="str">
        <f>IF('Service Types'!Q472="","",'Service Types'!Q472)</f>
        <v>Non-crew</v>
      </c>
    </row>
    <row r="193" spans="1:12" x14ac:dyDescent="0.45">
      <c r="A193" s="14">
        <v>192</v>
      </c>
      <c r="B193" s="4" t="s">
        <v>615</v>
      </c>
      <c r="C193" s="4" t="str">
        <f>IF('Service Types'!B474="","",'Service Types'!B474)</f>
        <v>OS - Parks and Open Spaces</v>
      </c>
      <c r="D193" s="5">
        <f>IF('Service Types'!E474="","",'Service Types'!E474)</f>
        <v>210</v>
      </c>
      <c r="E193" s="5">
        <f>IF('Service Types'!D474="","",'Service Types'!D474)</f>
        <v>688</v>
      </c>
      <c r="F193" s="5">
        <f>IF('Service Types'!F474="","",'Service Types'!F474)</f>
        <v>4</v>
      </c>
      <c r="G193" s="5">
        <f>IF('Service Types'!G474="","",'Service Types'!G474)</f>
        <v>1</v>
      </c>
      <c r="H193" s="5">
        <f>IF('Service Types'!H474="","",'Service Types'!H474)</f>
        <v>684</v>
      </c>
      <c r="I193" s="6">
        <f>IF('Service Types'!I474="","",'Service Types'!I474)</f>
        <v>4</v>
      </c>
      <c r="J193" s="6">
        <f>IF('Service Types'!J474="","",'Service Types'!J474)</f>
        <v>5.9</v>
      </c>
      <c r="K193" s="6">
        <f>IF('Service Types'!K474="","",'Service Types'!K474)</f>
        <v>13</v>
      </c>
      <c r="L193" s="4" t="str">
        <f>IF('Service Types'!Q474="","",'Service Types'!Q474)</f>
        <v>Crew</v>
      </c>
    </row>
    <row r="194" spans="1:12" x14ac:dyDescent="0.45">
      <c r="A194" s="14">
        <v>193</v>
      </c>
      <c r="B194" s="4" t="s">
        <v>905</v>
      </c>
      <c r="C194" s="4" t="str">
        <f>IF('Service Types'!B718="","",'Service Types'!B718)</f>
        <v>PICS - Marketing and Communication</v>
      </c>
      <c r="D194" s="5">
        <f>IF('Service Types'!E718="","",'Service Types'!E718)</f>
        <v>204</v>
      </c>
      <c r="E194" s="5">
        <f>IF('Service Types'!D718="","",'Service Types'!D718)</f>
        <v>210</v>
      </c>
      <c r="F194" s="5">
        <f>IF('Service Types'!F718="","",'Service Types'!F718)</f>
        <v>11</v>
      </c>
      <c r="G194" s="5">
        <f>IF('Service Types'!G718="","",'Service Types'!G718)</f>
        <v>0</v>
      </c>
      <c r="H194" s="5">
        <f>IF('Service Types'!H718="","",'Service Types'!H718)</f>
        <v>199</v>
      </c>
      <c r="I194" s="6">
        <f>IF('Service Types'!I718="","",'Service Types'!I718)</f>
        <v>3</v>
      </c>
      <c r="J194" s="6">
        <f>IF('Service Types'!J718="","",'Service Types'!J718)</f>
        <v>8.4</v>
      </c>
      <c r="K194" s="6">
        <f>IF('Service Types'!K718="","",'Service Types'!K718)</f>
        <v>19</v>
      </c>
      <c r="L194" s="4" t="str">
        <f>IF('Service Types'!Q718="","",'Service Types'!Q718)</f>
        <v>Non-crew</v>
      </c>
    </row>
    <row r="195" spans="1:12" x14ac:dyDescent="0.45">
      <c r="A195" s="14">
        <v>194</v>
      </c>
      <c r="B195" s="4" t="s">
        <v>837</v>
      </c>
      <c r="C195" s="4" t="str">
        <f>IF('Service Types'!B657="","",'Service Types'!B657)</f>
        <v>PDS - Development, Business and Building Services</v>
      </c>
      <c r="D195" s="5">
        <f>IF('Service Types'!E657="","",'Service Types'!E657)</f>
        <v>200</v>
      </c>
      <c r="E195" s="5">
        <f>IF('Service Types'!D657="","",'Service Types'!D657)</f>
        <v>622</v>
      </c>
      <c r="F195" s="5">
        <f>IF('Service Types'!F657="","",'Service Types'!F657)</f>
        <v>8</v>
      </c>
      <c r="G195" s="5">
        <f>IF('Service Types'!G657="","",'Service Types'!G657)</f>
        <v>0</v>
      </c>
      <c r="H195" s="5">
        <f>IF('Service Types'!H657="","",'Service Types'!H657)</f>
        <v>614</v>
      </c>
      <c r="I195" s="6">
        <f>IF('Service Types'!I657="","",'Service Types'!I657)</f>
        <v>1</v>
      </c>
      <c r="J195" s="6">
        <f>IF('Service Types'!J657="","",'Service Types'!J657)</f>
        <v>9.6999999999999993</v>
      </c>
      <c r="K195" s="6">
        <f>IF('Service Types'!K657="","",'Service Types'!K657)</f>
        <v>16</v>
      </c>
      <c r="L195" s="4" t="str">
        <f>IF('Service Types'!Q657="","",'Service Types'!Q657)</f>
        <v>Non-crew</v>
      </c>
    </row>
    <row r="196" spans="1:12" x14ac:dyDescent="0.45">
      <c r="A196" s="14">
        <v>195</v>
      </c>
      <c r="B196" s="4" t="s">
        <v>472</v>
      </c>
      <c r="C196" s="4" t="str">
        <f>IF('Service Types'!B357="","",'Service Types'!B357)</f>
        <v>OS - Calgary Transit</v>
      </c>
      <c r="D196" s="5">
        <f>IF('Service Types'!E357="","",'Service Types'!E357)</f>
        <v>199</v>
      </c>
      <c r="E196" s="5">
        <f>IF('Service Types'!D357="","",'Service Types'!D357)</f>
        <v>958</v>
      </c>
      <c r="F196" s="5">
        <f>IF('Service Types'!F357="","",'Service Types'!F357)</f>
        <v>29</v>
      </c>
      <c r="G196" s="5">
        <f>IF('Service Types'!G357="","",'Service Types'!G357)</f>
        <v>7</v>
      </c>
      <c r="H196" s="5">
        <f>IF('Service Types'!H357="","",'Service Types'!H357)</f>
        <v>929</v>
      </c>
      <c r="I196" s="6">
        <f>IF('Service Types'!I357="","",'Service Types'!I357)</f>
        <v>10</v>
      </c>
      <c r="J196" s="6">
        <f>IF('Service Types'!J357="","",'Service Types'!J357)</f>
        <v>18.100000000000001</v>
      </c>
      <c r="K196" s="6">
        <f>IF('Service Types'!K357="","",'Service Types'!K357)</f>
        <v>46</v>
      </c>
      <c r="L196" s="4" t="str">
        <f>IF('Service Types'!Q357="","",'Service Types'!Q357)</f>
        <v>Non-crew</v>
      </c>
    </row>
    <row r="197" spans="1:12" x14ac:dyDescent="0.45">
      <c r="A197" s="14">
        <v>196</v>
      </c>
      <c r="B197" s="4" t="s">
        <v>617</v>
      </c>
      <c r="C197" s="4" t="str">
        <f>IF('Service Types'!B476="","",'Service Types'!B476)</f>
        <v>OS - Parks and Open Spaces</v>
      </c>
      <c r="D197" s="5">
        <f>IF('Service Types'!E476="","",'Service Types'!E476)</f>
        <v>199</v>
      </c>
      <c r="E197" s="5">
        <f>IF('Service Types'!D476="","",'Service Types'!D476)</f>
        <v>595</v>
      </c>
      <c r="F197" s="5">
        <f>IF('Service Types'!F476="","",'Service Types'!F476)</f>
        <v>8</v>
      </c>
      <c r="G197" s="5">
        <f>IF('Service Types'!G476="","",'Service Types'!G476)</f>
        <v>2</v>
      </c>
      <c r="H197" s="5">
        <f>IF('Service Types'!H476="","",'Service Types'!H476)</f>
        <v>587</v>
      </c>
      <c r="I197" s="6">
        <f>IF('Service Types'!I476="","",'Service Types'!I476)</f>
        <v>4</v>
      </c>
      <c r="J197" s="6">
        <f>IF('Service Types'!J476="","",'Service Types'!J476)</f>
        <v>6.1</v>
      </c>
      <c r="K197" s="6">
        <f>IF('Service Types'!K476="","",'Service Types'!K476)</f>
        <v>12</v>
      </c>
      <c r="L197" s="4" t="str">
        <f>IF('Service Types'!Q476="","",'Service Types'!Q476)</f>
        <v>Non-crew</v>
      </c>
    </row>
    <row r="198" spans="1:12" x14ac:dyDescent="0.45">
      <c r="A198" s="14">
        <v>197</v>
      </c>
      <c r="B198" s="4" t="s">
        <v>736</v>
      </c>
      <c r="C198" s="4" t="str">
        <f>IF('Service Types'!B568="","",'Service Types'!B568)</f>
        <v>OS - Water Services</v>
      </c>
      <c r="D198" s="5">
        <f>IF('Service Types'!E568="","",'Service Types'!E568)</f>
        <v>199</v>
      </c>
      <c r="E198" s="5">
        <f>IF('Service Types'!D568="","",'Service Types'!D568)</f>
        <v>502</v>
      </c>
      <c r="F198" s="5">
        <f>IF('Service Types'!F568="","",'Service Types'!F568)</f>
        <v>1</v>
      </c>
      <c r="G198" s="5">
        <f>IF('Service Types'!G568="","",'Service Types'!G568)</f>
        <v>0</v>
      </c>
      <c r="H198" s="5">
        <f>IF('Service Types'!H568="","",'Service Types'!H568)</f>
        <v>501</v>
      </c>
      <c r="I198" s="6">
        <f>IF('Service Types'!I568="","",'Service Types'!I568)</f>
        <v>1</v>
      </c>
      <c r="J198" s="6">
        <f>IF('Service Types'!J568="","",'Service Types'!J568)</f>
        <v>5.8</v>
      </c>
      <c r="K198" s="6">
        <f>IF('Service Types'!K568="","",'Service Types'!K568)</f>
        <v>7</v>
      </c>
      <c r="L198" s="4" t="str">
        <f>IF('Service Types'!Q568="","",'Service Types'!Q568)</f>
        <v>Non-crew</v>
      </c>
    </row>
    <row r="199" spans="1:12" x14ac:dyDescent="0.45">
      <c r="A199" s="14">
        <v>198</v>
      </c>
      <c r="B199" s="4" t="s">
        <v>723</v>
      </c>
      <c r="C199" s="4" t="str">
        <f>IF('Service Types'!B560="","",'Service Types'!B560)</f>
        <v>OS - Water Services</v>
      </c>
      <c r="D199" s="5">
        <f>IF('Service Types'!E560="","",'Service Types'!E560)</f>
        <v>197</v>
      </c>
      <c r="E199" s="5">
        <f>IF('Service Types'!D560="","",'Service Types'!D560)</f>
        <v>1016</v>
      </c>
      <c r="F199" s="5">
        <f>IF('Service Types'!F560="","",'Service Types'!F560)</f>
        <v>77</v>
      </c>
      <c r="G199" s="5">
        <f>IF('Service Types'!G560="","",'Service Types'!G560)</f>
        <v>50</v>
      </c>
      <c r="H199" s="5">
        <f>IF('Service Types'!H560="","",'Service Types'!H560)</f>
        <v>938</v>
      </c>
      <c r="I199" s="6">
        <f>IF('Service Types'!I560="","",'Service Types'!I560)</f>
        <v>15</v>
      </c>
      <c r="J199" s="6">
        <f>IF('Service Types'!J560="","",'Service Types'!J560)</f>
        <v>48.8</v>
      </c>
      <c r="K199" s="6">
        <f>IF('Service Types'!K560="","",'Service Types'!K560)</f>
        <v>127</v>
      </c>
      <c r="L199" s="4" t="str">
        <f>IF('Service Types'!Q560="","",'Service Types'!Q560)</f>
        <v>Crew</v>
      </c>
    </row>
    <row r="200" spans="1:12" x14ac:dyDescent="0.45">
      <c r="A200" s="14">
        <v>199</v>
      </c>
      <c r="B200" s="4" t="s">
        <v>84</v>
      </c>
      <c r="C200" s="4" t="str">
        <f>IF('Service Types'!B34="","",'Service Types'!B34)</f>
        <v>CPFS - Finance</v>
      </c>
      <c r="D200" s="5">
        <f>IF('Service Types'!E34="","",'Service Types'!E34)</f>
        <v>195</v>
      </c>
      <c r="E200" s="5">
        <f>IF('Service Types'!D34="","",'Service Types'!D34)</f>
        <v>759</v>
      </c>
      <c r="F200" s="5">
        <f>IF('Service Types'!F34="","",'Service Types'!F34)</f>
        <v>0</v>
      </c>
      <c r="G200" s="5">
        <f>IF('Service Types'!G34="","",'Service Types'!G34)</f>
        <v>0</v>
      </c>
      <c r="H200" s="5">
        <f>IF('Service Types'!H34="","",'Service Types'!H34)</f>
        <v>759</v>
      </c>
      <c r="I200" s="6">
        <f>IF('Service Types'!I34="","",'Service Types'!I34)</f>
        <v>0</v>
      </c>
      <c r="J200" s="6">
        <f>IF('Service Types'!J34="","",'Service Types'!J34)</f>
        <v>1.5</v>
      </c>
      <c r="K200" s="6">
        <f>IF('Service Types'!K34="","",'Service Types'!K34)</f>
        <v>3</v>
      </c>
      <c r="L200" s="4" t="str">
        <f>IF('Service Types'!Q34="","",'Service Types'!Q34)</f>
        <v>Non-crew</v>
      </c>
    </row>
    <row r="201" spans="1:12" x14ac:dyDescent="0.45">
      <c r="A201" s="14">
        <v>200</v>
      </c>
      <c r="B201" s="4" t="s">
        <v>312</v>
      </c>
      <c r="C201" s="4" t="str">
        <f>IF('Service Types'!B228="","",'Service Types'!B228)</f>
        <v>CS - Recreation and Social Programs</v>
      </c>
      <c r="D201" s="5">
        <f>IF('Service Types'!E228="","",'Service Types'!E228)</f>
        <v>192</v>
      </c>
      <c r="E201" s="5">
        <f>IF('Service Types'!D228="","",'Service Types'!D228)</f>
        <v>837</v>
      </c>
      <c r="F201" s="5">
        <f>IF('Service Types'!F228="","",'Service Types'!F228)</f>
        <v>10</v>
      </c>
      <c r="G201" s="5">
        <f>IF('Service Types'!G228="","",'Service Types'!G228)</f>
        <v>3</v>
      </c>
      <c r="H201" s="5">
        <f>IF('Service Types'!H228="","",'Service Types'!H228)</f>
        <v>827</v>
      </c>
      <c r="I201" s="6">
        <f>IF('Service Types'!I228="","",'Service Types'!I228)</f>
        <v>6</v>
      </c>
      <c r="J201" s="6">
        <f>IF('Service Types'!J228="","",'Service Types'!J228)</f>
        <v>15.8</v>
      </c>
      <c r="K201" s="6">
        <f>IF('Service Types'!K228="","",'Service Types'!K228)</f>
        <v>41</v>
      </c>
      <c r="L201" s="4" t="str">
        <f>IF('Service Types'!Q228="","",'Service Types'!Q228)</f>
        <v>Non-crew</v>
      </c>
    </row>
    <row r="202" spans="1:12" x14ac:dyDescent="0.45">
      <c r="A202" s="14">
        <v>201</v>
      </c>
      <c r="B202" s="4" t="s">
        <v>730</v>
      </c>
      <c r="C202" s="4" t="str">
        <f>IF('Service Types'!B564="","",'Service Types'!B564)</f>
        <v>OS - Water Services</v>
      </c>
      <c r="D202" s="5">
        <f>IF('Service Types'!E564="","",'Service Types'!E564)</f>
        <v>191</v>
      </c>
      <c r="E202" s="5">
        <f>IF('Service Types'!D564="","",'Service Types'!D564)</f>
        <v>738</v>
      </c>
      <c r="F202" s="5">
        <f>IF('Service Types'!F564="","",'Service Types'!F564)</f>
        <v>3</v>
      </c>
      <c r="G202" s="5">
        <f>IF('Service Types'!G564="","",'Service Types'!G564)</f>
        <v>0</v>
      </c>
      <c r="H202" s="5">
        <f>IF('Service Types'!H564="","",'Service Types'!H564)</f>
        <v>735</v>
      </c>
      <c r="I202" s="6">
        <f>IF('Service Types'!I564="","",'Service Types'!I564)</f>
        <v>5</v>
      </c>
      <c r="J202" s="6">
        <f>IF('Service Types'!J564="","",'Service Types'!J564)</f>
        <v>66.099999999999994</v>
      </c>
      <c r="K202" s="6">
        <f>IF('Service Types'!K564="","",'Service Types'!K564)</f>
        <v>219</v>
      </c>
      <c r="L202" s="4" t="str">
        <f>IF('Service Types'!Q564="","",'Service Types'!Q564)</f>
        <v>Non-crew</v>
      </c>
    </row>
    <row r="203" spans="1:12" x14ac:dyDescent="0.45">
      <c r="A203" s="14">
        <v>202</v>
      </c>
      <c r="B203" s="4" t="s">
        <v>722</v>
      </c>
      <c r="C203" s="4" t="str">
        <f>IF('Service Types'!B559="","",'Service Types'!B559)</f>
        <v>OS - Water Services</v>
      </c>
      <c r="D203" s="5">
        <f>IF('Service Types'!E559="","",'Service Types'!E559)</f>
        <v>189</v>
      </c>
      <c r="E203" s="5">
        <f>IF('Service Types'!D559="","",'Service Types'!D559)</f>
        <v>1019</v>
      </c>
      <c r="F203" s="5">
        <f>IF('Service Types'!F559="","",'Service Types'!F559)</f>
        <v>155</v>
      </c>
      <c r="G203" s="5">
        <f>IF('Service Types'!G559="","",'Service Types'!G559)</f>
        <v>121</v>
      </c>
      <c r="H203" s="5">
        <f>IF('Service Types'!H559="","",'Service Types'!H559)</f>
        <v>864</v>
      </c>
      <c r="I203" s="6">
        <f>IF('Service Types'!I559="","",'Service Types'!I559)</f>
        <v>49</v>
      </c>
      <c r="J203" s="6">
        <f>IF('Service Types'!J559="","",'Service Types'!J559)</f>
        <v>85.4</v>
      </c>
      <c r="K203" s="6">
        <f>IF('Service Types'!K559="","",'Service Types'!K559)</f>
        <v>210</v>
      </c>
      <c r="L203" s="4" t="str">
        <f>IF('Service Types'!Q559="","",'Service Types'!Q559)</f>
        <v>Non-crew</v>
      </c>
    </row>
    <row r="204" spans="1:12" x14ac:dyDescent="0.45">
      <c r="A204" s="14">
        <v>203</v>
      </c>
      <c r="B204" s="4" t="s">
        <v>728</v>
      </c>
      <c r="C204" s="4" t="str">
        <f>IF('Service Types'!B563="","",'Service Types'!B563)</f>
        <v>OS - Water Services</v>
      </c>
      <c r="D204" s="5">
        <f>IF('Service Types'!E563="","",'Service Types'!E563)</f>
        <v>189</v>
      </c>
      <c r="E204" s="5">
        <f>IF('Service Types'!D563="","",'Service Types'!D563)</f>
        <v>821</v>
      </c>
      <c r="F204" s="5">
        <f>IF('Service Types'!F563="","",'Service Types'!F563)</f>
        <v>8</v>
      </c>
      <c r="G204" s="5">
        <f>IF('Service Types'!G563="","",'Service Types'!G563)</f>
        <v>0</v>
      </c>
      <c r="H204" s="5">
        <f>IF('Service Types'!H563="","",'Service Types'!H563)</f>
        <v>813</v>
      </c>
      <c r="I204" s="6">
        <f>IF('Service Types'!I563="","",'Service Types'!I563)</f>
        <v>3</v>
      </c>
      <c r="J204" s="6">
        <f>IF('Service Types'!J563="","",'Service Types'!J563)</f>
        <v>6.4</v>
      </c>
      <c r="K204" s="6">
        <f>IF('Service Types'!K563="","",'Service Types'!K563)</f>
        <v>14</v>
      </c>
      <c r="L204" s="4" t="str">
        <f>IF('Service Types'!Q563="","",'Service Types'!Q563)</f>
        <v>Crew</v>
      </c>
    </row>
    <row r="205" spans="1:12" x14ac:dyDescent="0.45">
      <c r="A205" s="14">
        <v>204</v>
      </c>
      <c r="B205" s="4" t="s">
        <v>486</v>
      </c>
      <c r="C205" s="4" t="str">
        <f>IF('Service Types'!B366="","",'Service Types'!B366)</f>
        <v>OS - Facility Management</v>
      </c>
      <c r="D205" s="5">
        <f>IF('Service Types'!E366="","",'Service Types'!E366)</f>
        <v>187</v>
      </c>
      <c r="E205" s="5">
        <f>IF('Service Types'!D366="","",'Service Types'!D366)</f>
        <v>680</v>
      </c>
      <c r="F205" s="5">
        <f>IF('Service Types'!F366="","",'Service Types'!F366)</f>
        <v>86</v>
      </c>
      <c r="G205" s="5">
        <f>IF('Service Types'!G366="","",'Service Types'!G366)</f>
        <v>56</v>
      </c>
      <c r="H205" s="5">
        <f>IF('Service Types'!H366="","",'Service Types'!H366)</f>
        <v>594</v>
      </c>
      <c r="I205" s="6">
        <f>IF('Service Types'!I366="","",'Service Types'!I366)</f>
        <v>55</v>
      </c>
      <c r="J205" s="6">
        <f>IF('Service Types'!J366="","",'Service Types'!J366)</f>
        <v>110</v>
      </c>
      <c r="K205" s="6">
        <f>IF('Service Types'!K366="","",'Service Types'!K366)</f>
        <v>337</v>
      </c>
      <c r="L205" s="4" t="str">
        <f>IF('Service Types'!Q366="","",'Service Types'!Q366)</f>
        <v>Non-crew</v>
      </c>
    </row>
    <row r="206" spans="1:12" x14ac:dyDescent="0.45">
      <c r="A206" s="14">
        <v>205</v>
      </c>
      <c r="B206" s="4" t="s">
        <v>397</v>
      </c>
      <c r="C206" s="4" t="str">
        <f>IF('Service Types'!B299="","",'Service Types'!B299)</f>
        <v>IS - Public Spaces Delivery</v>
      </c>
      <c r="D206" s="5">
        <f>IF('Service Types'!E299="","",'Service Types'!E299)</f>
        <v>187</v>
      </c>
      <c r="E206" s="5">
        <f>IF('Service Types'!D299="","",'Service Types'!D299)</f>
        <v>380</v>
      </c>
      <c r="F206" s="5">
        <f>IF('Service Types'!F299="","",'Service Types'!F299)</f>
        <v>8</v>
      </c>
      <c r="G206" s="5">
        <f>IF('Service Types'!G299="","",'Service Types'!G299)</f>
        <v>0</v>
      </c>
      <c r="H206" s="5">
        <f>IF('Service Types'!H299="","",'Service Types'!H299)</f>
        <v>372</v>
      </c>
      <c r="I206" s="6">
        <f>IF('Service Types'!I299="","",'Service Types'!I299)</f>
        <v>6</v>
      </c>
      <c r="J206" s="6">
        <f>IF('Service Types'!J299="","",'Service Types'!J299)</f>
        <v>9</v>
      </c>
      <c r="K206" s="6">
        <f>IF('Service Types'!K299="","",'Service Types'!K299)</f>
        <v>19</v>
      </c>
      <c r="L206" s="4" t="str">
        <f>IF('Service Types'!Q299="","",'Service Types'!Q299)</f>
        <v>Non-crew</v>
      </c>
    </row>
    <row r="207" spans="1:12" x14ac:dyDescent="0.45">
      <c r="A207" s="14">
        <v>206</v>
      </c>
      <c r="B207" s="4" t="s">
        <v>309</v>
      </c>
      <c r="C207" s="4" t="str">
        <f>IF('Service Types'!B225="","",'Service Types'!B225)</f>
        <v>CS - Recreation and Social Programs</v>
      </c>
      <c r="D207" s="5">
        <f>IF('Service Types'!E225="","",'Service Types'!E225)</f>
        <v>186</v>
      </c>
      <c r="E207" s="5">
        <f>IF('Service Types'!D225="","",'Service Types'!D225)</f>
        <v>1136</v>
      </c>
      <c r="F207" s="5">
        <f>IF('Service Types'!F225="","",'Service Types'!F225)</f>
        <v>6</v>
      </c>
      <c r="G207" s="5">
        <f>IF('Service Types'!G225="","",'Service Types'!G225)</f>
        <v>2</v>
      </c>
      <c r="H207" s="5">
        <f>IF('Service Types'!H225="","",'Service Types'!H225)</f>
        <v>1130</v>
      </c>
      <c r="I207" s="6">
        <f>IF('Service Types'!I225="","",'Service Types'!I225)</f>
        <v>5</v>
      </c>
      <c r="J207" s="6">
        <f>IF('Service Types'!J225="","",'Service Types'!J225)</f>
        <v>12.4</v>
      </c>
      <c r="K207" s="6">
        <f>IF('Service Types'!K225="","",'Service Types'!K225)</f>
        <v>30</v>
      </c>
      <c r="L207" s="4" t="str">
        <f>IF('Service Types'!Q225="","",'Service Types'!Q225)</f>
        <v>Non-crew</v>
      </c>
    </row>
    <row r="208" spans="1:12" x14ac:dyDescent="0.45">
      <c r="A208" s="14">
        <v>207</v>
      </c>
      <c r="B208" s="4" t="s">
        <v>78</v>
      </c>
      <c r="C208" s="4" t="str">
        <f>IF('Service Types'!B29="","",'Service Types'!B29)</f>
        <v>CPFS - Assessment and Tax</v>
      </c>
      <c r="D208" s="5">
        <f>IF('Service Types'!E29="","",'Service Types'!E29)</f>
        <v>183</v>
      </c>
      <c r="E208" s="5">
        <f>IF('Service Types'!D29="","",'Service Types'!D29)</f>
        <v>183</v>
      </c>
      <c r="F208" s="5">
        <f>IF('Service Types'!F29="","",'Service Types'!F29)</f>
        <v>5</v>
      </c>
      <c r="G208" s="5">
        <f>IF('Service Types'!G29="","",'Service Types'!G29)</f>
        <v>2</v>
      </c>
      <c r="H208" s="5">
        <f>IF('Service Types'!H29="","",'Service Types'!H29)</f>
        <v>178</v>
      </c>
      <c r="I208" s="6">
        <f>IF('Service Types'!I29="","",'Service Types'!I29)</f>
        <v>5</v>
      </c>
      <c r="J208" s="6">
        <f>IF('Service Types'!J29="","",'Service Types'!J29)</f>
        <v>7.6</v>
      </c>
      <c r="K208" s="6">
        <f>IF('Service Types'!K29="","",'Service Types'!K29)</f>
        <v>12</v>
      </c>
      <c r="L208" s="4" t="str">
        <f>IF('Service Types'!Q29="","",'Service Types'!Q29)</f>
        <v>Non-crew</v>
      </c>
    </row>
    <row r="209" spans="1:12" x14ac:dyDescent="0.45">
      <c r="A209" s="14">
        <v>208</v>
      </c>
      <c r="B209" s="4" t="s">
        <v>238</v>
      </c>
      <c r="C209" s="4" t="str">
        <f>IF('Service Types'!B158="","",'Service Types'!B158)</f>
        <v>CS - Emergency Management and Community Safety</v>
      </c>
      <c r="D209" s="5">
        <f>IF('Service Types'!E158="","",'Service Types'!E158)</f>
        <v>182</v>
      </c>
      <c r="E209" s="5">
        <f>IF('Service Types'!D158="","",'Service Types'!D158)</f>
        <v>728</v>
      </c>
      <c r="F209" s="5">
        <f>IF('Service Types'!F158="","",'Service Types'!F158)</f>
        <v>10</v>
      </c>
      <c r="G209" s="5">
        <f>IF('Service Types'!G158="","",'Service Types'!G158)</f>
        <v>7</v>
      </c>
      <c r="H209" s="5">
        <f>IF('Service Types'!H158="","",'Service Types'!H158)</f>
        <v>718</v>
      </c>
      <c r="I209" s="6">
        <f>IF('Service Types'!I158="","",'Service Types'!I158)</f>
        <v>1</v>
      </c>
      <c r="J209" s="6">
        <f>IF('Service Types'!J158="","",'Service Types'!J158)</f>
        <v>1.6</v>
      </c>
      <c r="K209" s="6">
        <f>IF('Service Types'!K158="","",'Service Types'!K158)</f>
        <v>2</v>
      </c>
      <c r="L209" s="4" t="str">
        <f>IF('Service Types'!Q158="","",'Service Types'!Q158)</f>
        <v>Non-crew</v>
      </c>
    </row>
    <row r="210" spans="1:12" x14ac:dyDescent="0.45">
      <c r="A210" s="14">
        <v>209</v>
      </c>
      <c r="B210" s="4" t="s">
        <v>466</v>
      </c>
      <c r="C210" s="4" t="str">
        <f>IF('Service Types'!B354="","",'Service Types'!B354)</f>
        <v>OS - Calgary Transit</v>
      </c>
      <c r="D210" s="5">
        <f>IF('Service Types'!E354="","",'Service Types'!E354)</f>
        <v>174</v>
      </c>
      <c r="E210" s="5">
        <f>IF('Service Types'!D354="","",'Service Types'!D354)</f>
        <v>1409</v>
      </c>
      <c r="F210" s="5">
        <f>IF('Service Types'!F354="","",'Service Types'!F354)</f>
        <v>7</v>
      </c>
      <c r="G210" s="5">
        <f>IF('Service Types'!G354="","",'Service Types'!G354)</f>
        <v>7</v>
      </c>
      <c r="H210" s="5">
        <f>IF('Service Types'!H354="","",'Service Types'!H354)</f>
        <v>1402</v>
      </c>
      <c r="I210" s="6">
        <f>IF('Service Types'!I354="","",'Service Types'!I354)</f>
        <v>4</v>
      </c>
      <c r="J210" s="6">
        <f>IF('Service Types'!J354="","",'Service Types'!J354)</f>
        <v>7</v>
      </c>
      <c r="K210" s="6">
        <f>IF('Service Types'!K354="","",'Service Types'!K354)</f>
        <v>18</v>
      </c>
      <c r="L210" s="4" t="str">
        <f>IF('Service Types'!Q354="","",'Service Types'!Q354)</f>
        <v>Crew</v>
      </c>
    </row>
    <row r="211" spans="1:12" x14ac:dyDescent="0.45">
      <c r="A211" s="14">
        <v>210</v>
      </c>
      <c r="B211" s="4" t="s">
        <v>127</v>
      </c>
      <c r="C211" s="4" t="str">
        <f>IF('Service Types'!B65="","",'Service Types'!B65)</f>
        <v>CS - Calgary Fire</v>
      </c>
      <c r="D211" s="5">
        <f>IF('Service Types'!E65="","",'Service Types'!E65)</f>
        <v>173</v>
      </c>
      <c r="E211" s="5">
        <f>IF('Service Types'!D65="","",'Service Types'!D65)</f>
        <v>215</v>
      </c>
      <c r="F211" s="5">
        <f>IF('Service Types'!F65="","",'Service Types'!F65)</f>
        <v>4</v>
      </c>
      <c r="G211" s="5">
        <f>IF('Service Types'!G65="","",'Service Types'!G65)</f>
        <v>2</v>
      </c>
      <c r="H211" s="5">
        <f>IF('Service Types'!H65="","",'Service Types'!H65)</f>
        <v>211</v>
      </c>
      <c r="I211" s="6">
        <f>IF('Service Types'!I65="","",'Service Types'!I65)</f>
        <v>2</v>
      </c>
      <c r="J211" s="6">
        <f>IF('Service Types'!J65="","",'Service Types'!J65)</f>
        <v>3</v>
      </c>
      <c r="K211" s="6">
        <f>IF('Service Types'!K65="","",'Service Types'!K65)</f>
        <v>7</v>
      </c>
      <c r="L211" s="4" t="str">
        <f>IF('Service Types'!Q65="","",'Service Types'!Q65)</f>
        <v>Non-crew</v>
      </c>
    </row>
    <row r="212" spans="1:12" x14ac:dyDescent="0.45">
      <c r="A212" s="14">
        <v>211</v>
      </c>
      <c r="B212" s="4" t="s">
        <v>832</v>
      </c>
      <c r="C212" s="4" t="str">
        <f>IF('Service Types'!B653="","",'Service Types'!B653)</f>
        <v>PDS - Development, Business and Building Services</v>
      </c>
      <c r="D212" s="5">
        <f>IF('Service Types'!E653="","",'Service Types'!E653)</f>
        <v>170</v>
      </c>
      <c r="E212" s="5">
        <f>IF('Service Types'!D653="","",'Service Types'!D653)</f>
        <v>1536</v>
      </c>
      <c r="F212" s="5">
        <f>IF('Service Types'!F653="","",'Service Types'!F653)</f>
        <v>0</v>
      </c>
      <c r="G212" s="5">
        <f>IF('Service Types'!G653="","",'Service Types'!G653)</f>
        <v>0</v>
      </c>
      <c r="H212" s="5">
        <f>IF('Service Types'!H653="","",'Service Types'!H653)</f>
        <v>1536</v>
      </c>
      <c r="I212" s="6">
        <f>IF('Service Types'!I653="","",'Service Types'!I653)</f>
        <v>1</v>
      </c>
      <c r="J212" s="6">
        <f>IF('Service Types'!J653="","",'Service Types'!J653)</f>
        <v>7.1</v>
      </c>
      <c r="K212" s="6">
        <f>IF('Service Types'!K653="","",'Service Types'!K653)</f>
        <v>7</v>
      </c>
      <c r="L212" s="4" t="str">
        <f>IF('Service Types'!Q653="","",'Service Types'!Q653)</f>
        <v>Non-crew</v>
      </c>
    </row>
    <row r="213" spans="1:12" x14ac:dyDescent="0.45">
      <c r="A213" s="14">
        <v>212</v>
      </c>
      <c r="B213" s="4" t="s">
        <v>534</v>
      </c>
      <c r="C213" s="4" t="str">
        <f>IF('Service Types'!B404="","",'Service Types'!B404)</f>
        <v>OS - Mobility</v>
      </c>
      <c r="D213" s="5">
        <f>IF('Service Types'!E404="","",'Service Types'!E404)</f>
        <v>164</v>
      </c>
      <c r="E213" s="5">
        <f>IF('Service Types'!D404="","",'Service Types'!D404)</f>
        <v>597</v>
      </c>
      <c r="F213" s="5">
        <f>IF('Service Types'!F404="","",'Service Types'!F404)</f>
        <v>74</v>
      </c>
      <c r="G213" s="5">
        <f>IF('Service Types'!G404="","",'Service Types'!G404)</f>
        <v>73</v>
      </c>
      <c r="H213" s="5">
        <f>IF('Service Types'!H404="","",'Service Types'!H404)</f>
        <v>523</v>
      </c>
      <c r="I213" s="6">
        <f>IF('Service Types'!I404="","",'Service Types'!I404)</f>
        <v>46</v>
      </c>
      <c r="J213" s="6">
        <f>IF('Service Types'!J404="","",'Service Types'!J404)</f>
        <v>203.7</v>
      </c>
      <c r="K213" s="6">
        <f>IF('Service Types'!K404="","",'Service Types'!K404)</f>
        <v>461</v>
      </c>
      <c r="L213" s="4" t="str">
        <f>IF('Service Types'!Q404="","",'Service Types'!Q404)</f>
        <v>Non-crew</v>
      </c>
    </row>
    <row r="214" spans="1:12" x14ac:dyDescent="0.45">
      <c r="A214" s="14">
        <v>213</v>
      </c>
      <c r="B214" s="4" t="s">
        <v>662</v>
      </c>
      <c r="C214" s="4" t="str">
        <f>IF('Service Types'!B513="","",'Service Types'!B513)</f>
        <v>OS - Waste and Recycling Services</v>
      </c>
      <c r="D214" s="5">
        <f>IF('Service Types'!E513="","",'Service Types'!E513)</f>
        <v>154</v>
      </c>
      <c r="E214" s="5">
        <f>IF('Service Types'!D513="","",'Service Types'!D513)</f>
        <v>834</v>
      </c>
      <c r="F214" s="5">
        <f>IF('Service Types'!F513="","",'Service Types'!F513)</f>
        <v>0</v>
      </c>
      <c r="G214" s="5">
        <f>IF('Service Types'!G513="","",'Service Types'!G513)</f>
        <v>0</v>
      </c>
      <c r="H214" s="5">
        <f>IF('Service Types'!H513="","",'Service Types'!H513)</f>
        <v>834</v>
      </c>
      <c r="I214" s="6">
        <f>IF('Service Types'!I513="","",'Service Types'!I513)</f>
        <v>0</v>
      </c>
      <c r="J214" s="6">
        <f>IF('Service Types'!J513="","",'Service Types'!J513)</f>
        <v>1.2</v>
      </c>
      <c r="K214" s="6">
        <f>IF('Service Types'!K513="","",'Service Types'!K513)</f>
        <v>4</v>
      </c>
      <c r="L214" s="4" t="str">
        <f>IF('Service Types'!Q513="","",'Service Types'!Q513)</f>
        <v>Non-crew</v>
      </c>
    </row>
    <row r="215" spans="1:12" x14ac:dyDescent="0.45">
      <c r="A215" s="14">
        <v>214</v>
      </c>
      <c r="B215" s="4" t="s">
        <v>531</v>
      </c>
      <c r="C215" s="4" t="str">
        <f>IF('Service Types'!B402="","",'Service Types'!B402)</f>
        <v>OS - Mobility</v>
      </c>
      <c r="D215" s="5">
        <f>IF('Service Types'!E402="","",'Service Types'!E402)</f>
        <v>154</v>
      </c>
      <c r="E215" s="5">
        <f>IF('Service Types'!D402="","",'Service Types'!D402)</f>
        <v>805</v>
      </c>
      <c r="F215" s="5">
        <f>IF('Service Types'!F402="","",'Service Types'!F402)</f>
        <v>492</v>
      </c>
      <c r="G215" s="5">
        <f>IF('Service Types'!G402="","",'Service Types'!G402)</f>
        <v>476</v>
      </c>
      <c r="H215" s="5">
        <f>IF('Service Types'!H402="","",'Service Types'!H402)</f>
        <v>313</v>
      </c>
      <c r="I215" s="6">
        <f>IF('Service Types'!I402="","",'Service Types'!I402)</f>
        <v>10</v>
      </c>
      <c r="J215" s="6">
        <f>IF('Service Types'!J402="","",'Service Types'!J402)</f>
        <v>121.6</v>
      </c>
      <c r="K215" s="6">
        <f>IF('Service Types'!K402="","",'Service Types'!K402)</f>
        <v>542</v>
      </c>
      <c r="L215" s="4" t="str">
        <f>IF('Service Types'!Q402="","",'Service Types'!Q402)</f>
        <v>Crew</v>
      </c>
    </row>
    <row r="216" spans="1:12" x14ac:dyDescent="0.45">
      <c r="A216" s="14">
        <v>215</v>
      </c>
      <c r="B216" s="4" t="s">
        <v>619</v>
      </c>
      <c r="C216" s="4" t="str">
        <f>IF('Service Types'!B478="","",'Service Types'!B478)</f>
        <v>OS - Parks and Open Spaces</v>
      </c>
      <c r="D216" s="5">
        <f>IF('Service Types'!E478="","",'Service Types'!E478)</f>
        <v>154</v>
      </c>
      <c r="E216" s="5">
        <f>IF('Service Types'!D478="","",'Service Types'!D478)</f>
        <v>591</v>
      </c>
      <c r="F216" s="5">
        <f>IF('Service Types'!F478="","",'Service Types'!F478)</f>
        <v>2</v>
      </c>
      <c r="G216" s="5">
        <f>IF('Service Types'!G478="","",'Service Types'!G478)</f>
        <v>0</v>
      </c>
      <c r="H216" s="5">
        <f>IF('Service Types'!H478="","",'Service Types'!H478)</f>
        <v>589</v>
      </c>
      <c r="I216" s="6">
        <f>IF('Service Types'!I478="","",'Service Types'!I478)</f>
        <v>1</v>
      </c>
      <c r="J216" s="6">
        <f>IF('Service Types'!J478="","",'Service Types'!J478)</f>
        <v>2.8</v>
      </c>
      <c r="K216" s="6">
        <f>IF('Service Types'!K478="","",'Service Types'!K478)</f>
        <v>7</v>
      </c>
      <c r="L216" s="4" t="str">
        <f>IF('Service Types'!Q478="","",'Service Types'!Q478)</f>
        <v>Non-crew</v>
      </c>
    </row>
    <row r="217" spans="1:12" x14ac:dyDescent="0.45">
      <c r="A217" s="14">
        <v>216</v>
      </c>
      <c r="B217" s="4" t="s">
        <v>388</v>
      </c>
      <c r="C217" s="4" t="str">
        <f>IF('Service Types'!B292="","",'Service Types'!B292)</f>
        <v>IS - Project Development</v>
      </c>
      <c r="D217" s="5">
        <f>IF('Service Types'!E292="","",'Service Types'!E292)</f>
        <v>154</v>
      </c>
      <c r="E217" s="5">
        <f>IF('Service Types'!D292="","",'Service Types'!D292)</f>
        <v>269</v>
      </c>
      <c r="F217" s="5">
        <f>IF('Service Types'!F292="","",'Service Types'!F292)</f>
        <v>9</v>
      </c>
      <c r="G217" s="5">
        <f>IF('Service Types'!G292="","",'Service Types'!G292)</f>
        <v>0</v>
      </c>
      <c r="H217" s="5">
        <f>IF('Service Types'!H292="","",'Service Types'!H292)</f>
        <v>260</v>
      </c>
      <c r="I217" s="6">
        <f>IF('Service Types'!I292="","",'Service Types'!I292)</f>
        <v>9</v>
      </c>
      <c r="J217" s="6">
        <f>IF('Service Types'!J292="","",'Service Types'!J292)</f>
        <v>19.600000000000001</v>
      </c>
      <c r="K217" s="6">
        <f>IF('Service Types'!K292="","",'Service Types'!K292)</f>
        <v>20</v>
      </c>
      <c r="L217" s="4" t="str">
        <f>IF('Service Types'!Q292="","",'Service Types'!Q292)</f>
        <v>Non-crew</v>
      </c>
    </row>
    <row r="218" spans="1:12" x14ac:dyDescent="0.45">
      <c r="A218" s="14">
        <v>217</v>
      </c>
      <c r="B218" s="4" t="s">
        <v>864</v>
      </c>
      <c r="C218" s="4" t="str">
        <f>IF('Service Types'!B683="","",'Service Types'!B683)</f>
        <v>PDS - Environmental Risk &amp; Resilience</v>
      </c>
      <c r="D218" s="5">
        <f>IF('Service Types'!E683="","",'Service Types'!E683)</f>
        <v>154</v>
      </c>
      <c r="E218" s="5">
        <f>IF('Service Types'!D683="","",'Service Types'!D683)</f>
        <v>154</v>
      </c>
      <c r="F218" s="5">
        <f>IF('Service Types'!F683="","",'Service Types'!F683)</f>
        <v>4</v>
      </c>
      <c r="G218" s="5">
        <f>IF('Service Types'!G683="","",'Service Types'!G683)</f>
        <v>3</v>
      </c>
      <c r="H218" s="5">
        <f>IF('Service Types'!H683="","",'Service Types'!H683)</f>
        <v>150</v>
      </c>
      <c r="I218" s="6">
        <f>IF('Service Types'!I683="","",'Service Types'!I683)</f>
        <v>12.5</v>
      </c>
      <c r="J218" s="6">
        <f>IF('Service Types'!J683="","",'Service Types'!J683)</f>
        <v>21.1</v>
      </c>
      <c r="K218" s="6">
        <f>IF('Service Types'!K683="","",'Service Types'!K683)</f>
        <v>47</v>
      </c>
      <c r="L218" s="4" t="str">
        <f>IF('Service Types'!Q683="","",'Service Types'!Q683)</f>
        <v>Non-crew</v>
      </c>
    </row>
    <row r="219" spans="1:12" x14ac:dyDescent="0.45">
      <c r="A219" s="14">
        <v>218</v>
      </c>
      <c r="B219" s="4" t="s">
        <v>399</v>
      </c>
      <c r="C219" s="4" t="str">
        <f>IF('Service Types'!B301="","",'Service Types'!B301)</f>
        <v>IS - Public Spaces Delivery</v>
      </c>
      <c r="D219" s="5">
        <f>IF('Service Types'!E301="","",'Service Types'!E301)</f>
        <v>151</v>
      </c>
      <c r="E219" s="5">
        <f>IF('Service Types'!D301="","",'Service Types'!D301)</f>
        <v>281</v>
      </c>
      <c r="F219" s="5">
        <f>IF('Service Types'!F301="","",'Service Types'!F301)</f>
        <v>5</v>
      </c>
      <c r="G219" s="5">
        <f>IF('Service Types'!G301="","",'Service Types'!G301)</f>
        <v>0</v>
      </c>
      <c r="H219" s="5">
        <f>IF('Service Types'!H301="","",'Service Types'!H301)</f>
        <v>276</v>
      </c>
      <c r="I219" s="6">
        <f>IF('Service Types'!I301="","",'Service Types'!I301)</f>
        <v>2</v>
      </c>
      <c r="J219" s="6">
        <f>IF('Service Types'!J301="","",'Service Types'!J301)</f>
        <v>3.4</v>
      </c>
      <c r="K219" s="6">
        <f>IF('Service Types'!K301="","",'Service Types'!K301)</f>
        <v>9</v>
      </c>
      <c r="L219" s="4" t="str">
        <f>IF('Service Types'!Q301="","",'Service Types'!Q301)</f>
        <v>Non-crew</v>
      </c>
    </row>
    <row r="220" spans="1:12" x14ac:dyDescent="0.45">
      <c r="A220" s="14">
        <v>219</v>
      </c>
      <c r="B220" s="4" t="s">
        <v>726</v>
      </c>
      <c r="C220" s="4" t="str">
        <f>IF('Service Types'!B562="","",'Service Types'!B562)</f>
        <v>OS - Water Services</v>
      </c>
      <c r="D220" s="5">
        <f>IF('Service Types'!E562="","",'Service Types'!E562)</f>
        <v>149</v>
      </c>
      <c r="E220" s="5">
        <f>IF('Service Types'!D562="","",'Service Types'!D562)</f>
        <v>935</v>
      </c>
      <c r="F220" s="5">
        <f>IF('Service Types'!F562="","",'Service Types'!F562)</f>
        <v>0</v>
      </c>
      <c r="G220" s="5">
        <f>IF('Service Types'!G562="","",'Service Types'!G562)</f>
        <v>0</v>
      </c>
      <c r="H220" s="5">
        <f>IF('Service Types'!H562="","",'Service Types'!H562)</f>
        <v>931</v>
      </c>
      <c r="I220" s="6">
        <f>IF('Service Types'!I562="","",'Service Types'!I562)</f>
        <v>1</v>
      </c>
      <c r="J220" s="6">
        <f>IF('Service Types'!J562="","",'Service Types'!J562)</f>
        <v>2.7</v>
      </c>
      <c r="K220" s="6">
        <f>IF('Service Types'!K562="","",'Service Types'!K562)</f>
        <v>5</v>
      </c>
      <c r="L220" s="4" t="str">
        <f>IF('Service Types'!Q562="","",'Service Types'!Q562)</f>
        <v>Crew</v>
      </c>
    </row>
    <row r="221" spans="1:12" x14ac:dyDescent="0.45">
      <c r="A221" s="14">
        <v>220</v>
      </c>
      <c r="B221" s="4" t="s">
        <v>287</v>
      </c>
      <c r="C221" s="4" t="str">
        <f>IF('Service Types'!B206="","",'Service Types'!B206)</f>
        <v>CS - Partnerships</v>
      </c>
      <c r="D221" s="5">
        <f>IF('Service Types'!E206="","",'Service Types'!E206)</f>
        <v>144</v>
      </c>
      <c r="E221" s="5">
        <f>IF('Service Types'!D206="","",'Service Types'!D206)</f>
        <v>237</v>
      </c>
      <c r="F221" s="5">
        <f>IF('Service Types'!F206="","",'Service Types'!F206)</f>
        <v>0</v>
      </c>
      <c r="G221" s="5">
        <f>IF('Service Types'!G206="","",'Service Types'!G206)</f>
        <v>0</v>
      </c>
      <c r="H221" s="5">
        <f>IF('Service Types'!H206="","",'Service Types'!H206)</f>
        <v>237</v>
      </c>
      <c r="I221" s="6">
        <f>IF('Service Types'!I206="","",'Service Types'!I206)</f>
        <v>0</v>
      </c>
      <c r="J221" s="6">
        <f>IF('Service Types'!J206="","",'Service Types'!J206)</f>
        <v>0.8</v>
      </c>
      <c r="K221" s="6">
        <f>IF('Service Types'!K206="","",'Service Types'!K206)</f>
        <v>2</v>
      </c>
      <c r="L221" s="4" t="str">
        <f>IF('Service Types'!Q206="","",'Service Types'!Q206)</f>
        <v>Non-crew</v>
      </c>
    </row>
    <row r="222" spans="1:12" x14ac:dyDescent="0.45">
      <c r="A222" s="14">
        <v>221</v>
      </c>
      <c r="B222" s="4" t="s">
        <v>634</v>
      </c>
      <c r="C222" s="4" t="str">
        <f>IF('Service Types'!B492="","",'Service Types'!B492)</f>
        <v>OS - Parks and Open Spaces</v>
      </c>
      <c r="D222" s="5">
        <f>IF('Service Types'!E492="","",'Service Types'!E492)</f>
        <v>144</v>
      </c>
      <c r="E222" s="5">
        <f>IF('Service Types'!D492="","",'Service Types'!D492)</f>
        <v>144</v>
      </c>
      <c r="F222" s="5">
        <f>IF('Service Types'!F492="","",'Service Types'!F492)</f>
        <v>13</v>
      </c>
      <c r="G222" s="5">
        <f>IF('Service Types'!G492="","",'Service Types'!G492)</f>
        <v>0</v>
      </c>
      <c r="H222" s="5">
        <f>IF('Service Types'!H492="","",'Service Types'!H492)</f>
        <v>131</v>
      </c>
      <c r="I222" s="6">
        <f>IF('Service Types'!I492="","",'Service Types'!I492)</f>
        <v>4</v>
      </c>
      <c r="J222" s="6">
        <f>IF('Service Types'!J492="","",'Service Types'!J492)</f>
        <v>4.5999999999999996</v>
      </c>
      <c r="K222" s="6">
        <f>IF('Service Types'!K492="","",'Service Types'!K492)</f>
        <v>11</v>
      </c>
      <c r="L222" s="4" t="str">
        <f>IF('Service Types'!Q492="","",'Service Types'!Q492)</f>
        <v>Crew</v>
      </c>
    </row>
    <row r="223" spans="1:12" x14ac:dyDescent="0.45">
      <c r="A223" s="14">
        <v>222</v>
      </c>
      <c r="B223" s="4" t="s">
        <v>632</v>
      </c>
      <c r="C223" s="4" t="str">
        <f>IF('Service Types'!B490="","",'Service Types'!B490)</f>
        <v>OS - Parks and Open Spaces</v>
      </c>
      <c r="D223" s="5">
        <f>IF('Service Types'!E490="","",'Service Types'!E490)</f>
        <v>142</v>
      </c>
      <c r="E223" s="5">
        <f>IF('Service Types'!D490="","",'Service Types'!D490)</f>
        <v>169</v>
      </c>
      <c r="F223" s="5">
        <f>IF('Service Types'!F490="","",'Service Types'!F490)</f>
        <v>7</v>
      </c>
      <c r="G223" s="5">
        <f>IF('Service Types'!G490="","",'Service Types'!G490)</f>
        <v>2</v>
      </c>
      <c r="H223" s="5">
        <f>IF('Service Types'!H490="","",'Service Types'!H490)</f>
        <v>162</v>
      </c>
      <c r="I223" s="6">
        <f>IF('Service Types'!I490="","",'Service Types'!I490)</f>
        <v>7</v>
      </c>
      <c r="J223" s="6">
        <f>IF('Service Types'!J490="","",'Service Types'!J490)</f>
        <v>10</v>
      </c>
      <c r="K223" s="6">
        <f>IF('Service Types'!K490="","",'Service Types'!K490)</f>
        <v>22</v>
      </c>
      <c r="L223" s="4" t="str">
        <f>IF('Service Types'!Q490="","",'Service Types'!Q490)</f>
        <v>Non-crew</v>
      </c>
    </row>
    <row r="224" spans="1:12" x14ac:dyDescent="0.45">
      <c r="A224" s="14">
        <v>223</v>
      </c>
      <c r="B224" s="4" t="s">
        <v>125</v>
      </c>
      <c r="C224" s="4" t="str">
        <f>IF('Service Types'!B63="","",'Service Types'!B63)</f>
        <v>CS - Calgary Fire</v>
      </c>
      <c r="D224" s="5">
        <f>IF('Service Types'!E63="","",'Service Types'!E63)</f>
        <v>140</v>
      </c>
      <c r="E224" s="5">
        <f>IF('Service Types'!D63="","",'Service Types'!D63)</f>
        <v>293</v>
      </c>
      <c r="F224" s="5">
        <f>IF('Service Types'!F63="","",'Service Types'!F63)</f>
        <v>43</v>
      </c>
      <c r="G224" s="5">
        <f>IF('Service Types'!G63="","",'Service Types'!G63)</f>
        <v>7</v>
      </c>
      <c r="H224" s="5">
        <f>IF('Service Types'!H63="","",'Service Types'!H63)</f>
        <v>250</v>
      </c>
      <c r="I224" s="6">
        <f>IF('Service Types'!I63="","",'Service Types'!I63)</f>
        <v>60.5</v>
      </c>
      <c r="J224" s="6">
        <f>IF('Service Types'!J63="","",'Service Types'!J63)</f>
        <v>65.599999999999994</v>
      </c>
      <c r="K224" s="6">
        <f>IF('Service Types'!K63="","",'Service Types'!K63)</f>
        <v>120</v>
      </c>
      <c r="L224" s="4" t="str">
        <f>IF('Service Types'!Q63="","",'Service Types'!Q63)</f>
        <v>Non-crew</v>
      </c>
    </row>
    <row r="225" spans="1:12" x14ac:dyDescent="0.45">
      <c r="A225" s="14">
        <v>224</v>
      </c>
      <c r="B225" s="4" t="s">
        <v>313</v>
      </c>
      <c r="C225" s="4" t="str">
        <f>IF('Service Types'!B229="","",'Service Types'!B229)</f>
        <v>CS - Recreation and Social Programs</v>
      </c>
      <c r="D225" s="5">
        <f>IF('Service Types'!E229="","",'Service Types'!E229)</f>
        <v>139</v>
      </c>
      <c r="E225" s="5">
        <f>IF('Service Types'!D229="","",'Service Types'!D229)</f>
        <v>642</v>
      </c>
      <c r="F225" s="5">
        <f>IF('Service Types'!F229="","",'Service Types'!F229)</f>
        <v>6</v>
      </c>
      <c r="G225" s="5">
        <f>IF('Service Types'!G229="","",'Service Types'!G229)</f>
        <v>2</v>
      </c>
      <c r="H225" s="5">
        <f>IF('Service Types'!H229="","",'Service Types'!H229)</f>
        <v>636</v>
      </c>
      <c r="I225" s="6">
        <f>IF('Service Types'!I229="","",'Service Types'!I229)</f>
        <v>2</v>
      </c>
      <c r="J225" s="6">
        <f>IF('Service Types'!J229="","",'Service Types'!J229)</f>
        <v>3.4</v>
      </c>
      <c r="K225" s="6">
        <f>IF('Service Types'!K229="","",'Service Types'!K229)</f>
        <v>8</v>
      </c>
      <c r="L225" s="4" t="str">
        <f>IF('Service Types'!Q229="","",'Service Types'!Q229)</f>
        <v>Non-crew</v>
      </c>
    </row>
    <row r="226" spans="1:12" x14ac:dyDescent="0.45">
      <c r="A226" s="14">
        <v>225</v>
      </c>
      <c r="B226" s="4" t="s">
        <v>375</v>
      </c>
      <c r="C226" s="4" t="str">
        <f>IF('Service Types'!B282="","",'Service Types'!B282)</f>
        <v>IS - Capital Planning and Business Services</v>
      </c>
      <c r="D226" s="5">
        <f>IF('Service Types'!E282="","",'Service Types'!E282)</f>
        <v>138</v>
      </c>
      <c r="E226" s="5">
        <f>IF('Service Types'!D282="","",'Service Types'!D282)</f>
        <v>141</v>
      </c>
      <c r="F226" s="5">
        <f>IF('Service Types'!F282="","",'Service Types'!F282)</f>
        <v>8</v>
      </c>
      <c r="G226" s="5">
        <f>IF('Service Types'!G282="","",'Service Types'!G282)</f>
        <v>0</v>
      </c>
      <c r="H226" s="5">
        <f>IF('Service Types'!H282="","",'Service Types'!H282)</f>
        <v>133</v>
      </c>
      <c r="I226" s="6">
        <f>IF('Service Types'!I282="","",'Service Types'!I282)</f>
        <v>4</v>
      </c>
      <c r="J226" s="6">
        <f>IF('Service Types'!J282="","",'Service Types'!J282)</f>
        <v>5.7</v>
      </c>
      <c r="K226" s="6">
        <f>IF('Service Types'!K282="","",'Service Types'!K282)</f>
        <v>12</v>
      </c>
      <c r="L226" s="4" t="str">
        <f>IF('Service Types'!Q282="","",'Service Types'!Q282)</f>
        <v>Non-crew</v>
      </c>
    </row>
    <row r="227" spans="1:12" x14ac:dyDescent="0.45">
      <c r="A227" s="14">
        <v>226</v>
      </c>
      <c r="B227" s="4" t="s">
        <v>737</v>
      </c>
      <c r="C227" s="4" t="str">
        <f>IF('Service Types'!B569="","",'Service Types'!B569)</f>
        <v>OS - Water Services</v>
      </c>
      <c r="D227" s="5">
        <f>IF('Service Types'!E569="","",'Service Types'!E569)</f>
        <v>137</v>
      </c>
      <c r="E227" s="5">
        <f>IF('Service Types'!D569="","",'Service Types'!D569)</f>
        <v>499</v>
      </c>
      <c r="F227" s="5">
        <f>IF('Service Types'!F569="","",'Service Types'!F569)</f>
        <v>129</v>
      </c>
      <c r="G227" s="5">
        <f>IF('Service Types'!G569="","",'Service Types'!G569)</f>
        <v>103</v>
      </c>
      <c r="H227" s="5">
        <f>IF('Service Types'!H569="","",'Service Types'!H569)</f>
        <v>370</v>
      </c>
      <c r="I227" s="6">
        <f>IF('Service Types'!I569="","",'Service Types'!I569)</f>
        <v>43</v>
      </c>
      <c r="J227" s="6">
        <f>IF('Service Types'!J569="","",'Service Types'!J569)</f>
        <v>132.69999999999999</v>
      </c>
      <c r="K227" s="6">
        <f>IF('Service Types'!K569="","",'Service Types'!K569)</f>
        <v>412</v>
      </c>
      <c r="L227" s="4" t="str">
        <f>IF('Service Types'!Q569="","",'Service Types'!Q569)</f>
        <v>Crew</v>
      </c>
    </row>
    <row r="228" spans="1:12" x14ac:dyDescent="0.45">
      <c r="A228" s="14">
        <v>227</v>
      </c>
      <c r="B228" s="4" t="s">
        <v>733</v>
      </c>
      <c r="C228" s="4" t="str">
        <f>IF('Service Types'!B566="","",'Service Types'!B566)</f>
        <v>OS - Water Services</v>
      </c>
      <c r="D228" s="5">
        <f>IF('Service Types'!E566="","",'Service Types'!E566)</f>
        <v>132</v>
      </c>
      <c r="E228" s="5">
        <f>IF('Service Types'!D566="","",'Service Types'!D566)</f>
        <v>525</v>
      </c>
      <c r="F228" s="5">
        <f>IF('Service Types'!F566="","",'Service Types'!F566)</f>
        <v>1</v>
      </c>
      <c r="G228" s="5">
        <f>IF('Service Types'!G566="","",'Service Types'!G566)</f>
        <v>0</v>
      </c>
      <c r="H228" s="5">
        <f>IF('Service Types'!H566="","",'Service Types'!H566)</f>
        <v>524</v>
      </c>
      <c r="I228" s="6">
        <f>IF('Service Types'!I566="","",'Service Types'!I566)</f>
        <v>1</v>
      </c>
      <c r="J228" s="6">
        <f>IF('Service Types'!J566="","",'Service Types'!J566)</f>
        <v>13.1</v>
      </c>
      <c r="K228" s="6">
        <f>IF('Service Types'!K566="","",'Service Types'!K566)</f>
        <v>10</v>
      </c>
      <c r="L228" s="4" t="str">
        <f>IF('Service Types'!Q566="","",'Service Types'!Q566)</f>
        <v>Non-crew</v>
      </c>
    </row>
    <row r="229" spans="1:12" x14ac:dyDescent="0.45">
      <c r="A229" s="14">
        <v>228</v>
      </c>
      <c r="B229" s="4" t="s">
        <v>663</v>
      </c>
      <c r="C229" s="4" t="str">
        <f>IF('Service Types'!B514="","",'Service Types'!B514)</f>
        <v>OS - Waste and Recycling Services</v>
      </c>
      <c r="D229" s="5">
        <f>IF('Service Types'!E514="","",'Service Types'!E514)</f>
        <v>128</v>
      </c>
      <c r="E229" s="5">
        <f>IF('Service Types'!D514="","",'Service Types'!D514)</f>
        <v>650</v>
      </c>
      <c r="F229" s="5">
        <f>IF('Service Types'!F514="","",'Service Types'!F514)</f>
        <v>0</v>
      </c>
      <c r="G229" s="5">
        <f>IF('Service Types'!G514="","",'Service Types'!G514)</f>
        <v>0</v>
      </c>
      <c r="H229" s="5">
        <f>IF('Service Types'!H514="","",'Service Types'!H514)</f>
        <v>650</v>
      </c>
      <c r="I229" s="6">
        <f>IF('Service Types'!I514="","",'Service Types'!I514)</f>
        <v>1</v>
      </c>
      <c r="J229" s="6">
        <f>IF('Service Types'!J514="","",'Service Types'!J514)</f>
        <v>2.2999999999999998</v>
      </c>
      <c r="K229" s="6">
        <f>IF('Service Types'!K514="","",'Service Types'!K514)</f>
        <v>5</v>
      </c>
      <c r="L229" s="4" t="str">
        <f>IF('Service Types'!Q514="","",'Service Types'!Q514)</f>
        <v>Non-crew</v>
      </c>
    </row>
    <row r="230" spans="1:12" x14ac:dyDescent="0.45">
      <c r="A230" s="14">
        <v>229</v>
      </c>
      <c r="B230" s="4" t="s">
        <v>285</v>
      </c>
      <c r="C230" s="4" t="str">
        <f>IF('Service Types'!B205="","",'Service Types'!B205)</f>
        <v>CS - Partnerships</v>
      </c>
      <c r="D230" s="5">
        <f>IF('Service Types'!E205="","",'Service Types'!E205)</f>
        <v>128</v>
      </c>
      <c r="E230" s="5">
        <f>IF('Service Types'!D205="","",'Service Types'!D205)</f>
        <v>453</v>
      </c>
      <c r="F230" s="5">
        <f>IF('Service Types'!F205="","",'Service Types'!F205)</f>
        <v>2</v>
      </c>
      <c r="G230" s="5">
        <f>IF('Service Types'!G205="","",'Service Types'!G205)</f>
        <v>0</v>
      </c>
      <c r="H230" s="5">
        <f>IF('Service Types'!H205="","",'Service Types'!H205)</f>
        <v>451</v>
      </c>
      <c r="I230" s="6">
        <f>IF('Service Types'!I205="","",'Service Types'!I205)</f>
        <v>3</v>
      </c>
      <c r="J230" s="6">
        <f>IF('Service Types'!J205="","",'Service Types'!J205)</f>
        <v>4.8</v>
      </c>
      <c r="K230" s="6">
        <f>IF('Service Types'!K205="","",'Service Types'!K205)</f>
        <v>9</v>
      </c>
      <c r="L230" s="4" t="str">
        <f>IF('Service Types'!Q205="","",'Service Types'!Q205)</f>
        <v>Non-crew</v>
      </c>
    </row>
    <row r="231" spans="1:12" x14ac:dyDescent="0.45">
      <c r="A231" s="14">
        <v>230</v>
      </c>
      <c r="B231" s="4" t="s">
        <v>118</v>
      </c>
      <c r="C231" s="4" t="str">
        <f>IF('Service Types'!B56="","",'Service Types'!B56)</f>
        <v>CS - Calgary Fire</v>
      </c>
      <c r="D231" s="5">
        <f>IF('Service Types'!E56="","",'Service Types'!E56)</f>
        <v>127</v>
      </c>
      <c r="E231" s="5">
        <f>IF('Service Types'!D56="","",'Service Types'!D56)</f>
        <v>601</v>
      </c>
      <c r="F231" s="5">
        <f>IF('Service Types'!F56="","",'Service Types'!F56)</f>
        <v>4</v>
      </c>
      <c r="G231" s="5">
        <f>IF('Service Types'!G56="","",'Service Types'!G56)</f>
        <v>0</v>
      </c>
      <c r="H231" s="5">
        <f>IF('Service Types'!H56="","",'Service Types'!H56)</f>
        <v>597</v>
      </c>
      <c r="I231" s="6">
        <f>IF('Service Types'!I56="","",'Service Types'!I56)</f>
        <v>10</v>
      </c>
      <c r="J231" s="6">
        <f>IF('Service Types'!J56="","",'Service Types'!J56)</f>
        <v>15</v>
      </c>
      <c r="K231" s="6">
        <f>IF('Service Types'!K56="","",'Service Types'!K56)</f>
        <v>31</v>
      </c>
      <c r="L231" s="4" t="str">
        <f>IF('Service Types'!Q56="","",'Service Types'!Q56)</f>
        <v>Non-crew</v>
      </c>
    </row>
    <row r="232" spans="1:12" x14ac:dyDescent="0.45">
      <c r="A232" s="14">
        <v>231</v>
      </c>
      <c r="B232" s="4" t="s">
        <v>396</v>
      </c>
      <c r="C232" s="4" t="str">
        <f>IF('Service Types'!B298="","",'Service Types'!B298)</f>
        <v>IS - Public Spaces Delivery</v>
      </c>
      <c r="D232" s="5">
        <f>IF('Service Types'!E298="","",'Service Types'!E298)</f>
        <v>126</v>
      </c>
      <c r="E232" s="5">
        <f>IF('Service Types'!D298="","",'Service Types'!D298)</f>
        <v>433</v>
      </c>
      <c r="F232" s="5">
        <f>IF('Service Types'!F298="","",'Service Types'!F298)</f>
        <v>2</v>
      </c>
      <c r="G232" s="5">
        <f>IF('Service Types'!G298="","",'Service Types'!G298)</f>
        <v>0</v>
      </c>
      <c r="H232" s="5">
        <f>IF('Service Types'!H298="","",'Service Types'!H298)</f>
        <v>431</v>
      </c>
      <c r="I232" s="6">
        <f>IF('Service Types'!I298="","",'Service Types'!I298)</f>
        <v>2</v>
      </c>
      <c r="J232" s="6">
        <f>IF('Service Types'!J298="","",'Service Types'!J298)</f>
        <v>8.5</v>
      </c>
      <c r="K232" s="6">
        <f>IF('Service Types'!K298="","",'Service Types'!K298)</f>
        <v>8</v>
      </c>
      <c r="L232" s="4" t="str">
        <f>IF('Service Types'!Q298="","",'Service Types'!Q298)</f>
        <v>Non-crew</v>
      </c>
    </row>
    <row r="233" spans="1:12" x14ac:dyDescent="0.45">
      <c r="A233" s="14">
        <v>232</v>
      </c>
      <c r="B233" s="4" t="s">
        <v>624</v>
      </c>
      <c r="C233" s="4" t="str">
        <f>IF('Service Types'!B483="","",'Service Types'!B483)</f>
        <v>OS - Parks and Open Spaces</v>
      </c>
      <c r="D233" s="5">
        <f>IF('Service Types'!E483="","",'Service Types'!E483)</f>
        <v>125</v>
      </c>
      <c r="E233" s="5">
        <f>IF('Service Types'!D483="","",'Service Types'!D483)</f>
        <v>385</v>
      </c>
      <c r="F233" s="5">
        <f>IF('Service Types'!F483="","",'Service Types'!F483)</f>
        <v>2</v>
      </c>
      <c r="G233" s="5">
        <f>IF('Service Types'!G483="","",'Service Types'!G483)</f>
        <v>1</v>
      </c>
      <c r="H233" s="5">
        <f>IF('Service Types'!H483="","",'Service Types'!H483)</f>
        <v>383</v>
      </c>
      <c r="I233" s="6">
        <f>IF('Service Types'!I483="","",'Service Types'!I483)</f>
        <v>1</v>
      </c>
      <c r="J233" s="6">
        <f>IF('Service Types'!J483="","",'Service Types'!J483)</f>
        <v>4.8</v>
      </c>
      <c r="K233" s="6">
        <f>IF('Service Types'!K483="","",'Service Types'!K483)</f>
        <v>13</v>
      </c>
      <c r="L233" s="4" t="str">
        <f>IF('Service Types'!Q483="","",'Service Types'!Q483)</f>
        <v>Crew</v>
      </c>
    </row>
    <row r="234" spans="1:12" x14ac:dyDescent="0.45">
      <c r="A234" s="14">
        <v>233</v>
      </c>
      <c r="B234" s="4" t="s">
        <v>335</v>
      </c>
      <c r="C234" s="4" t="str">
        <f>IF('Service Types'!B251="","",'Service Types'!B251)</f>
        <v>CS - Recreation and Social Programs</v>
      </c>
      <c r="D234" s="5">
        <f>IF('Service Types'!E251="","",'Service Types'!E251)</f>
        <v>125</v>
      </c>
      <c r="E234" s="5">
        <f>IF('Service Types'!D251="","",'Service Types'!D251)</f>
        <v>129</v>
      </c>
      <c r="F234" s="5">
        <f>IF('Service Types'!F251="","",'Service Types'!F251)</f>
        <v>18</v>
      </c>
      <c r="G234" s="5">
        <f>IF('Service Types'!G251="","",'Service Types'!G251)</f>
        <v>7</v>
      </c>
      <c r="H234" s="5">
        <f>IF('Service Types'!H251="","",'Service Types'!H251)</f>
        <v>111</v>
      </c>
      <c r="I234" s="6">
        <f>IF('Service Types'!I251="","",'Service Types'!I251)</f>
        <v>31</v>
      </c>
      <c r="J234" s="6">
        <f>IF('Service Types'!J251="","",'Service Types'!J251)</f>
        <v>51.2</v>
      </c>
      <c r="K234" s="6">
        <f>IF('Service Types'!K251="","",'Service Types'!K251)</f>
        <v>130</v>
      </c>
      <c r="L234" s="4" t="str">
        <f>IF('Service Types'!Q251="","",'Service Types'!Q251)</f>
        <v>Non-crew</v>
      </c>
    </row>
    <row r="235" spans="1:12" x14ac:dyDescent="0.45">
      <c r="A235" s="14">
        <v>234</v>
      </c>
      <c r="B235" s="4" t="s">
        <v>898</v>
      </c>
      <c r="C235" s="4" t="str">
        <f>IF('Service Types'!B712="","",'Service Types'!B712)</f>
        <v>PICS - Information Technology</v>
      </c>
      <c r="D235" s="5">
        <f>IF('Service Types'!E712="","",'Service Types'!E712)</f>
        <v>123</v>
      </c>
      <c r="E235" s="5">
        <f>IF('Service Types'!D712="","",'Service Types'!D712)</f>
        <v>124</v>
      </c>
      <c r="F235" s="5">
        <f>IF('Service Types'!F712="","",'Service Types'!F712)</f>
        <v>2</v>
      </c>
      <c r="G235" s="5">
        <f>IF('Service Types'!G712="","",'Service Types'!G712)</f>
        <v>0</v>
      </c>
      <c r="H235" s="5">
        <f>IF('Service Types'!H712="","",'Service Types'!H712)</f>
        <v>122</v>
      </c>
      <c r="I235" s="6">
        <f>IF('Service Types'!I712="","",'Service Types'!I712)</f>
        <v>1</v>
      </c>
      <c r="J235" s="6">
        <f>IF('Service Types'!J712="","",'Service Types'!J712)</f>
        <v>2.1</v>
      </c>
      <c r="K235" s="6">
        <f>IF('Service Types'!K712="","",'Service Types'!K712)</f>
        <v>3</v>
      </c>
      <c r="L235" s="4" t="str">
        <f>IF('Service Types'!Q712="","",'Service Types'!Q712)</f>
        <v>Non-crew</v>
      </c>
    </row>
    <row r="236" spans="1:12" x14ac:dyDescent="0.45">
      <c r="A236" s="14">
        <v>235</v>
      </c>
      <c r="B236" s="4" t="s">
        <v>240</v>
      </c>
      <c r="C236" s="4" t="str">
        <f>IF('Service Types'!B160="","",'Service Types'!B160)</f>
        <v>CS - Emergency Management and Community Safety</v>
      </c>
      <c r="D236" s="5">
        <f>IF('Service Types'!E160="","",'Service Types'!E160)</f>
        <v>121</v>
      </c>
      <c r="E236" s="5">
        <f>IF('Service Types'!D160="","",'Service Types'!D160)</f>
        <v>619</v>
      </c>
      <c r="F236" s="5">
        <f>IF('Service Types'!F160="","",'Service Types'!F160)</f>
        <v>0</v>
      </c>
      <c r="G236" s="5">
        <f>IF('Service Types'!G160="","",'Service Types'!G160)</f>
        <v>0</v>
      </c>
      <c r="H236" s="5">
        <f>IF('Service Types'!H160="","",'Service Types'!H160)</f>
        <v>619</v>
      </c>
      <c r="I236" s="6">
        <f>IF('Service Types'!I160="","",'Service Types'!I160)</f>
        <v>2</v>
      </c>
      <c r="J236" s="6">
        <f>IF('Service Types'!J160="","",'Service Types'!J160)</f>
        <v>5.3</v>
      </c>
      <c r="K236" s="6">
        <f>IF('Service Types'!K160="","",'Service Types'!K160)</f>
        <v>12</v>
      </c>
      <c r="L236" s="4" t="str">
        <f>IF('Service Types'!Q160="","",'Service Types'!Q160)</f>
        <v>Non-crew</v>
      </c>
    </row>
    <row r="237" spans="1:12" x14ac:dyDescent="0.45">
      <c r="A237" s="14">
        <v>236</v>
      </c>
      <c r="B237" s="4" t="s">
        <v>622</v>
      </c>
      <c r="C237" s="4" t="str">
        <f>IF('Service Types'!B481="","",'Service Types'!B481)</f>
        <v>OS - Parks and Open Spaces</v>
      </c>
      <c r="D237" s="5">
        <f>IF('Service Types'!E481="","",'Service Types'!E481)</f>
        <v>120</v>
      </c>
      <c r="E237" s="5">
        <f>IF('Service Types'!D481="","",'Service Types'!D481)</f>
        <v>487</v>
      </c>
      <c r="F237" s="5">
        <f>IF('Service Types'!F481="","",'Service Types'!F481)</f>
        <v>9</v>
      </c>
      <c r="G237" s="5">
        <f>IF('Service Types'!G481="","",'Service Types'!G481)</f>
        <v>2</v>
      </c>
      <c r="H237" s="5">
        <f>IF('Service Types'!H481="","",'Service Types'!H481)</f>
        <v>478</v>
      </c>
      <c r="I237" s="6">
        <f>IF('Service Types'!I481="","",'Service Types'!I481)</f>
        <v>6</v>
      </c>
      <c r="J237" s="6">
        <f>IF('Service Types'!J481="","",'Service Types'!J481)</f>
        <v>16.8</v>
      </c>
      <c r="K237" s="6">
        <f>IF('Service Types'!K481="","",'Service Types'!K481)</f>
        <v>46</v>
      </c>
      <c r="L237" s="4" t="str">
        <f>IF('Service Types'!Q481="","",'Service Types'!Q481)</f>
        <v>Non-crew</v>
      </c>
    </row>
    <row r="238" spans="1:12" x14ac:dyDescent="0.45">
      <c r="A238" s="14">
        <v>237</v>
      </c>
      <c r="B238" s="4" t="s">
        <v>801</v>
      </c>
      <c r="C238" s="4" t="str">
        <f>IF('Service Types'!B624="","",'Service Types'!B624)</f>
        <v>PDS - Community Planning</v>
      </c>
      <c r="D238" s="5">
        <f>IF('Service Types'!E624="","",'Service Types'!E624)</f>
        <v>120</v>
      </c>
      <c r="E238" s="5">
        <f>IF('Service Types'!D624="","",'Service Types'!D624)</f>
        <v>332</v>
      </c>
      <c r="F238" s="5">
        <f>IF('Service Types'!F624="","",'Service Types'!F624)</f>
        <v>15</v>
      </c>
      <c r="G238" s="5">
        <f>IF('Service Types'!G624="","",'Service Types'!G624)</f>
        <v>1</v>
      </c>
      <c r="H238" s="5">
        <f>IF('Service Types'!H624="","",'Service Types'!H624)</f>
        <v>317</v>
      </c>
      <c r="I238" s="6">
        <f>IF('Service Types'!I624="","",'Service Types'!I624)</f>
        <v>15</v>
      </c>
      <c r="J238" s="6">
        <f>IF('Service Types'!J624="","",'Service Types'!J624)</f>
        <v>17.7</v>
      </c>
      <c r="K238" s="6">
        <f>IF('Service Types'!K624="","",'Service Types'!K624)</f>
        <v>31</v>
      </c>
      <c r="L238" s="4" t="str">
        <f>IF('Service Types'!Q624="","",'Service Types'!Q624)</f>
        <v>Non-crew</v>
      </c>
    </row>
    <row r="239" spans="1:12" x14ac:dyDescent="0.45">
      <c r="A239" s="14">
        <v>238</v>
      </c>
      <c r="B239" s="4" t="s">
        <v>665</v>
      </c>
      <c r="C239" s="4" t="str">
        <f>IF('Service Types'!B516="","",'Service Types'!B516)</f>
        <v>OS - Waste and Recycling Services</v>
      </c>
      <c r="D239" s="5">
        <f>IF('Service Types'!E516="","",'Service Types'!E516)</f>
        <v>117</v>
      </c>
      <c r="E239" s="5">
        <f>IF('Service Types'!D516="","",'Service Types'!D516)</f>
        <v>476</v>
      </c>
      <c r="F239" s="5">
        <f>IF('Service Types'!F516="","",'Service Types'!F516)</f>
        <v>1</v>
      </c>
      <c r="G239" s="5">
        <f>IF('Service Types'!G516="","",'Service Types'!G516)</f>
        <v>0</v>
      </c>
      <c r="H239" s="5">
        <f>IF('Service Types'!H516="","",'Service Types'!H516)</f>
        <v>475</v>
      </c>
      <c r="I239" s="6">
        <f>IF('Service Types'!I516="","",'Service Types'!I516)</f>
        <v>4</v>
      </c>
      <c r="J239" s="6">
        <f>IF('Service Types'!J516="","",'Service Types'!J516)</f>
        <v>5.4</v>
      </c>
      <c r="K239" s="6">
        <f>IF('Service Types'!K516="","",'Service Types'!K516)</f>
        <v>13</v>
      </c>
      <c r="L239" s="4" t="str">
        <f>IF('Service Types'!Q516="","",'Service Types'!Q516)</f>
        <v>Non-crew</v>
      </c>
    </row>
    <row r="240" spans="1:12" x14ac:dyDescent="0.45">
      <c r="A240" s="14">
        <v>239</v>
      </c>
      <c r="B240" s="4" t="s">
        <v>239</v>
      </c>
      <c r="C240" s="4" t="str">
        <f>IF('Service Types'!B159="","",'Service Types'!B159)</f>
        <v>CS - Emergency Management and Community Safety</v>
      </c>
      <c r="D240" s="5">
        <f>IF('Service Types'!E159="","",'Service Types'!E159)</f>
        <v>116</v>
      </c>
      <c r="E240" s="5">
        <f>IF('Service Types'!D159="","",'Service Types'!D159)</f>
        <v>651</v>
      </c>
      <c r="F240" s="5">
        <f>IF('Service Types'!F159="","",'Service Types'!F159)</f>
        <v>9</v>
      </c>
      <c r="G240" s="5">
        <f>IF('Service Types'!G159="","",'Service Types'!G159)</f>
        <v>5</v>
      </c>
      <c r="H240" s="5">
        <f>IF('Service Types'!H159="","",'Service Types'!H159)</f>
        <v>642</v>
      </c>
      <c r="I240" s="6">
        <f>IF('Service Types'!I159="","",'Service Types'!I159)</f>
        <v>12</v>
      </c>
      <c r="J240" s="6">
        <f>IF('Service Types'!J159="","",'Service Types'!J159)</f>
        <v>28.9</v>
      </c>
      <c r="K240" s="6">
        <f>IF('Service Types'!K159="","",'Service Types'!K159)</f>
        <v>48</v>
      </c>
      <c r="L240" s="4" t="str">
        <f>IF('Service Types'!Q159="","",'Service Types'!Q159)</f>
        <v>Non-crew</v>
      </c>
    </row>
    <row r="241" spans="1:12" x14ac:dyDescent="0.45">
      <c r="A241" s="14">
        <v>240</v>
      </c>
      <c r="B241" s="4" t="s">
        <v>664</v>
      </c>
      <c r="C241" s="4" t="str">
        <f>IF('Service Types'!B515="","",'Service Types'!B515)</f>
        <v>OS - Waste and Recycling Services</v>
      </c>
      <c r="D241" s="5">
        <f>IF('Service Types'!E515="","",'Service Types'!E515)</f>
        <v>116</v>
      </c>
      <c r="E241" s="5">
        <f>IF('Service Types'!D515="","",'Service Types'!D515)</f>
        <v>605</v>
      </c>
      <c r="F241" s="5">
        <f>IF('Service Types'!F515="","",'Service Types'!F515)</f>
        <v>1</v>
      </c>
      <c r="G241" s="5">
        <f>IF('Service Types'!G515="","",'Service Types'!G515)</f>
        <v>0</v>
      </c>
      <c r="H241" s="5">
        <f>IF('Service Types'!H515="","",'Service Types'!H515)</f>
        <v>604</v>
      </c>
      <c r="I241" s="6">
        <f>IF('Service Types'!I515="","",'Service Types'!I515)</f>
        <v>10</v>
      </c>
      <c r="J241" s="6">
        <f>IF('Service Types'!J515="","",'Service Types'!J515)</f>
        <v>16.5</v>
      </c>
      <c r="K241" s="6">
        <f>IF('Service Types'!K515="","",'Service Types'!K515)</f>
        <v>40</v>
      </c>
      <c r="L241" s="4" t="str">
        <f>IF('Service Types'!Q515="","",'Service Types'!Q515)</f>
        <v>Non-crew</v>
      </c>
    </row>
    <row r="242" spans="1:12" x14ac:dyDescent="0.45">
      <c r="A242" s="14">
        <v>241</v>
      </c>
      <c r="B242" s="4" t="s">
        <v>623</v>
      </c>
      <c r="C242" s="4" t="str">
        <f>IF('Service Types'!B482="","",'Service Types'!B482)</f>
        <v>OS - Parks and Open Spaces</v>
      </c>
      <c r="D242" s="5">
        <f>IF('Service Types'!E482="","",'Service Types'!E482)</f>
        <v>116</v>
      </c>
      <c r="E242" s="5">
        <f>IF('Service Types'!D482="","",'Service Types'!D482)</f>
        <v>431</v>
      </c>
      <c r="F242" s="5">
        <f>IF('Service Types'!F482="","",'Service Types'!F482)</f>
        <v>0</v>
      </c>
      <c r="G242" s="5">
        <f>IF('Service Types'!G482="","",'Service Types'!G482)</f>
        <v>0</v>
      </c>
      <c r="H242" s="5">
        <f>IF('Service Types'!H482="","",'Service Types'!H482)</f>
        <v>431</v>
      </c>
      <c r="I242" s="6">
        <f>IF('Service Types'!I482="","",'Service Types'!I482)</f>
        <v>3</v>
      </c>
      <c r="J242" s="6">
        <f>IF('Service Types'!J482="","",'Service Types'!J482)</f>
        <v>6.9</v>
      </c>
      <c r="K242" s="6">
        <f>IF('Service Types'!K482="","",'Service Types'!K482)</f>
        <v>14</v>
      </c>
      <c r="L242" s="4" t="str">
        <f>IF('Service Types'!Q482="","",'Service Types'!Q482)</f>
        <v>Non-crew</v>
      </c>
    </row>
    <row r="243" spans="1:12" x14ac:dyDescent="0.45">
      <c r="A243" s="14">
        <v>242</v>
      </c>
      <c r="B243" s="4" t="s">
        <v>740</v>
      </c>
      <c r="C243" s="4" t="str">
        <f>IF('Service Types'!B572="","",'Service Types'!B572)</f>
        <v>OS - Water Services</v>
      </c>
      <c r="D243" s="5">
        <f>IF('Service Types'!E572="","",'Service Types'!E572)</f>
        <v>116</v>
      </c>
      <c r="E243" s="5">
        <f>IF('Service Types'!D572="","",'Service Types'!D572)</f>
        <v>361</v>
      </c>
      <c r="F243" s="5">
        <f>IF('Service Types'!F572="","",'Service Types'!F572)</f>
        <v>0</v>
      </c>
      <c r="G243" s="5">
        <f>IF('Service Types'!G572="","",'Service Types'!G572)</f>
        <v>0</v>
      </c>
      <c r="H243" s="5">
        <f>IF('Service Types'!H572="","",'Service Types'!H572)</f>
        <v>361</v>
      </c>
      <c r="I243" s="6">
        <f>IF('Service Types'!I572="","",'Service Types'!I572)</f>
        <v>1</v>
      </c>
      <c r="J243" s="6">
        <f>IF('Service Types'!J572="","",'Service Types'!J572)</f>
        <v>4.3</v>
      </c>
      <c r="K243" s="6">
        <f>IF('Service Types'!K572="","",'Service Types'!K572)</f>
        <v>11</v>
      </c>
      <c r="L243" s="4" t="str">
        <f>IF('Service Types'!Q572="","",'Service Types'!Q572)</f>
        <v>Non-crew</v>
      </c>
    </row>
    <row r="244" spans="1:12" x14ac:dyDescent="0.45">
      <c r="A244" s="14">
        <v>243</v>
      </c>
      <c r="B244" s="4" t="s">
        <v>131</v>
      </c>
      <c r="C244" s="4" t="str">
        <f>IF('Service Types'!B69="","",'Service Types'!B69)</f>
        <v>CS - Calgary Fire</v>
      </c>
      <c r="D244" s="5">
        <f>IF('Service Types'!E69="","",'Service Types'!E69)</f>
        <v>115</v>
      </c>
      <c r="E244" s="5">
        <f>IF('Service Types'!D69="","",'Service Types'!D69)</f>
        <v>157</v>
      </c>
      <c r="F244" s="5">
        <f>IF('Service Types'!F69="","",'Service Types'!F69)</f>
        <v>13</v>
      </c>
      <c r="G244" s="5">
        <f>IF('Service Types'!G69="","",'Service Types'!G69)</f>
        <v>1</v>
      </c>
      <c r="H244" s="5">
        <f>IF('Service Types'!H69="","",'Service Types'!H69)</f>
        <v>144</v>
      </c>
      <c r="I244" s="6">
        <f>IF('Service Types'!I69="","",'Service Types'!I69)</f>
        <v>10</v>
      </c>
      <c r="J244" s="6">
        <f>IF('Service Types'!J69="","",'Service Types'!J69)</f>
        <v>12.9</v>
      </c>
      <c r="K244" s="6">
        <f>IF('Service Types'!K69="","",'Service Types'!K69)</f>
        <v>27</v>
      </c>
      <c r="L244" s="4" t="str">
        <f>IF('Service Types'!Q69="","",'Service Types'!Q69)</f>
        <v>Non-crew</v>
      </c>
    </row>
    <row r="245" spans="1:12" x14ac:dyDescent="0.45">
      <c r="A245" s="14">
        <v>244</v>
      </c>
      <c r="B245" s="4" t="s">
        <v>69</v>
      </c>
      <c r="C245" s="4" t="str">
        <f>IF('Service Types'!B22="","",'Service Types'!B22)</f>
        <v>CPFS - Assessment and Tax</v>
      </c>
      <c r="D245" s="5">
        <f>IF('Service Types'!E22="","",'Service Types'!E22)</f>
        <v>111</v>
      </c>
      <c r="E245" s="5">
        <f>IF('Service Types'!D22="","",'Service Types'!D22)</f>
        <v>853</v>
      </c>
      <c r="F245" s="5">
        <f>IF('Service Types'!F22="","",'Service Types'!F22)</f>
        <v>0</v>
      </c>
      <c r="G245" s="5">
        <f>IF('Service Types'!G22="","",'Service Types'!G22)</f>
        <v>0</v>
      </c>
      <c r="H245" s="5">
        <f>IF('Service Types'!H22="","",'Service Types'!H22)</f>
        <v>853</v>
      </c>
      <c r="I245" s="6">
        <f>IF('Service Types'!I22="","",'Service Types'!I22)</f>
        <v>3</v>
      </c>
      <c r="J245" s="6">
        <f>IF('Service Types'!J22="","",'Service Types'!J22)</f>
        <v>9.5</v>
      </c>
      <c r="K245" s="6">
        <f>IF('Service Types'!K22="","",'Service Types'!K22)</f>
        <v>13</v>
      </c>
      <c r="L245" s="4" t="str">
        <f>IF('Service Types'!Q22="","",'Service Types'!Q22)</f>
        <v>Non-crew</v>
      </c>
    </row>
    <row r="246" spans="1:12" x14ac:dyDescent="0.45">
      <c r="A246" s="14">
        <v>245</v>
      </c>
      <c r="B246" s="4" t="s">
        <v>734</v>
      </c>
      <c r="C246" s="4" t="str">
        <f>IF('Service Types'!B567="","",'Service Types'!B567)</f>
        <v>OS - Water Services</v>
      </c>
      <c r="D246" s="5">
        <f>IF('Service Types'!E567="","",'Service Types'!E567)</f>
        <v>111</v>
      </c>
      <c r="E246" s="5">
        <f>IF('Service Types'!D567="","",'Service Types'!D567)</f>
        <v>510</v>
      </c>
      <c r="F246" s="5">
        <f>IF('Service Types'!F567="","",'Service Types'!F567)</f>
        <v>0</v>
      </c>
      <c r="G246" s="5">
        <f>IF('Service Types'!G567="","",'Service Types'!G567)</f>
        <v>0</v>
      </c>
      <c r="H246" s="5">
        <f>IF('Service Types'!H567="","",'Service Types'!H567)</f>
        <v>510</v>
      </c>
      <c r="I246" s="6">
        <f>IF('Service Types'!I567="","",'Service Types'!I567)</f>
        <v>1</v>
      </c>
      <c r="J246" s="6">
        <f>IF('Service Types'!J567="","",'Service Types'!J567)</f>
        <v>5.9</v>
      </c>
      <c r="K246" s="6">
        <f>IF('Service Types'!K567="","",'Service Types'!K567)</f>
        <v>4</v>
      </c>
      <c r="L246" s="4" t="str">
        <f>IF('Service Types'!Q567="","",'Service Types'!Q567)</f>
        <v>Crew</v>
      </c>
    </row>
    <row r="247" spans="1:12" x14ac:dyDescent="0.45">
      <c r="A247" s="14">
        <v>246</v>
      </c>
      <c r="B247" s="4" t="s">
        <v>756</v>
      </c>
      <c r="C247" s="4" t="str">
        <f>IF('Service Types'!B587="","",'Service Types'!B587)</f>
        <v>OSC - Calgary Transit</v>
      </c>
      <c r="D247" s="5">
        <f>IF('Service Types'!E587="","",'Service Types'!E587)</f>
        <v>111</v>
      </c>
      <c r="E247" s="5">
        <f>IF('Service Types'!D587="","",'Service Types'!D587)</f>
        <v>111</v>
      </c>
      <c r="F247" s="5">
        <f>IF('Service Types'!F587="","",'Service Types'!F587)</f>
        <v>1</v>
      </c>
      <c r="G247" s="5">
        <f>IF('Service Types'!G587="","",'Service Types'!G587)</f>
        <v>0</v>
      </c>
      <c r="H247" s="5">
        <f>IF('Service Types'!H587="","",'Service Types'!H587)</f>
        <v>110</v>
      </c>
      <c r="I247" s="6">
        <f>IF('Service Types'!I587="","",'Service Types'!I587)</f>
        <v>1.5</v>
      </c>
      <c r="J247" s="6">
        <f>IF('Service Types'!J587="","",'Service Types'!J587)</f>
        <v>2.9</v>
      </c>
      <c r="K247" s="6">
        <f>IF('Service Types'!K587="","",'Service Types'!K587)</f>
        <v>4</v>
      </c>
      <c r="L247" s="4" t="str">
        <f>IF('Service Types'!Q587="","",'Service Types'!Q587)</f>
        <v>Non-crew</v>
      </c>
    </row>
    <row r="248" spans="1:12" x14ac:dyDescent="0.45">
      <c r="A248" s="14">
        <v>247</v>
      </c>
      <c r="B248" s="4" t="s">
        <v>545</v>
      </c>
      <c r="C248" s="4" t="str">
        <f>IF('Service Types'!B413="","",'Service Types'!B413)</f>
        <v>OS - Mobility</v>
      </c>
      <c r="D248" s="5">
        <f>IF('Service Types'!E413="","",'Service Types'!E413)</f>
        <v>110</v>
      </c>
      <c r="E248" s="5">
        <f>IF('Service Types'!D413="","",'Service Types'!D413)</f>
        <v>319</v>
      </c>
      <c r="F248" s="5">
        <f>IF('Service Types'!F413="","",'Service Types'!F413)</f>
        <v>33</v>
      </c>
      <c r="G248" s="5">
        <f>IF('Service Types'!G413="","",'Service Types'!G413)</f>
        <v>29</v>
      </c>
      <c r="H248" s="5">
        <f>IF('Service Types'!H413="","",'Service Types'!H413)</f>
        <v>283</v>
      </c>
      <c r="I248" s="6">
        <f>IF('Service Types'!I413="","",'Service Types'!I413)</f>
        <v>2</v>
      </c>
      <c r="J248" s="6">
        <f>IF('Service Types'!J413="","",'Service Types'!J413)</f>
        <v>8.6</v>
      </c>
      <c r="K248" s="6">
        <f>IF('Service Types'!K413="","",'Service Types'!K413)</f>
        <v>13</v>
      </c>
      <c r="L248" s="4" t="str">
        <f>IF('Service Types'!Q413="","",'Service Types'!Q413)</f>
        <v>Crew</v>
      </c>
    </row>
    <row r="249" spans="1:12" x14ac:dyDescent="0.45">
      <c r="A249" s="14">
        <v>248</v>
      </c>
      <c r="B249" s="4" t="s">
        <v>288</v>
      </c>
      <c r="C249" s="4" t="str">
        <f>IF('Service Types'!B207="","",'Service Types'!B207)</f>
        <v>CS - Partnerships</v>
      </c>
      <c r="D249" s="5">
        <f>IF('Service Types'!E207="","",'Service Types'!E207)</f>
        <v>110</v>
      </c>
      <c r="E249" s="5">
        <f>IF('Service Types'!D207="","",'Service Types'!D207)</f>
        <v>230</v>
      </c>
      <c r="F249" s="5">
        <f>IF('Service Types'!F207="","",'Service Types'!F207)</f>
        <v>3</v>
      </c>
      <c r="G249" s="5">
        <f>IF('Service Types'!G207="","",'Service Types'!G207)</f>
        <v>1</v>
      </c>
      <c r="H249" s="5">
        <f>IF('Service Types'!H207="","",'Service Types'!H207)</f>
        <v>227</v>
      </c>
      <c r="I249" s="6">
        <f>IF('Service Types'!I207="","",'Service Types'!I207)</f>
        <v>2</v>
      </c>
      <c r="J249" s="6">
        <f>IF('Service Types'!J207="","",'Service Types'!J207)</f>
        <v>5</v>
      </c>
      <c r="K249" s="6">
        <f>IF('Service Types'!K207="","",'Service Types'!K207)</f>
        <v>12</v>
      </c>
      <c r="L249" s="4" t="str">
        <f>IF('Service Types'!Q207="","",'Service Types'!Q207)</f>
        <v>Non-crew</v>
      </c>
    </row>
    <row r="250" spans="1:12" x14ac:dyDescent="0.45">
      <c r="A250" s="14">
        <v>249</v>
      </c>
      <c r="B250" s="4" t="s">
        <v>843</v>
      </c>
      <c r="C250" s="4" t="str">
        <f>IF('Service Types'!B663="","",'Service Types'!B663)</f>
        <v>PDS - Development, Business and Building Services</v>
      </c>
      <c r="D250" s="5">
        <f>IF('Service Types'!E663="","",'Service Types'!E663)</f>
        <v>108</v>
      </c>
      <c r="E250" s="5">
        <f>IF('Service Types'!D663="","",'Service Types'!D663)</f>
        <v>265</v>
      </c>
      <c r="F250" s="5">
        <f>IF('Service Types'!F663="","",'Service Types'!F663)</f>
        <v>2</v>
      </c>
      <c r="G250" s="5">
        <f>IF('Service Types'!G663="","",'Service Types'!G663)</f>
        <v>0</v>
      </c>
      <c r="H250" s="5">
        <f>IF('Service Types'!H663="","",'Service Types'!H663)</f>
        <v>263</v>
      </c>
      <c r="I250" s="6">
        <f>IF('Service Types'!I663="","",'Service Types'!I663)</f>
        <v>7</v>
      </c>
      <c r="J250" s="6">
        <f>IF('Service Types'!J663="","",'Service Types'!J663)</f>
        <v>18.8</v>
      </c>
      <c r="K250" s="6">
        <f>IF('Service Types'!K663="","",'Service Types'!K663)</f>
        <v>36</v>
      </c>
      <c r="L250" s="4" t="str">
        <f>IF('Service Types'!Q663="","",'Service Types'!Q663)</f>
        <v>Non-crew</v>
      </c>
    </row>
    <row r="251" spans="1:12" x14ac:dyDescent="0.45">
      <c r="A251" s="14">
        <v>250</v>
      </c>
      <c r="B251" s="4" t="s">
        <v>671</v>
      </c>
      <c r="C251" s="4" t="str">
        <f>IF('Service Types'!B520="","",'Service Types'!B520)</f>
        <v>OS - Waste and Recycling Services</v>
      </c>
      <c r="D251" s="5">
        <f>IF('Service Types'!E520="","",'Service Types'!E520)</f>
        <v>107</v>
      </c>
      <c r="E251" s="5">
        <f>IF('Service Types'!D520="","",'Service Types'!D520)</f>
        <v>400</v>
      </c>
      <c r="F251" s="5">
        <f>IF('Service Types'!F520="","",'Service Types'!F520)</f>
        <v>0</v>
      </c>
      <c r="G251" s="5">
        <f>IF('Service Types'!G520="","",'Service Types'!G520)</f>
        <v>0</v>
      </c>
      <c r="H251" s="5">
        <f>IF('Service Types'!H520="","",'Service Types'!H520)</f>
        <v>400</v>
      </c>
      <c r="I251" s="6">
        <f>IF('Service Types'!I520="","",'Service Types'!I520)</f>
        <v>0</v>
      </c>
      <c r="J251" s="6">
        <f>IF('Service Types'!J520="","",'Service Types'!J520)</f>
        <v>0.6</v>
      </c>
      <c r="K251" s="6">
        <f>IF('Service Types'!K520="","",'Service Types'!K520)</f>
        <v>0</v>
      </c>
      <c r="L251" s="4" t="str">
        <f>IF('Service Types'!Q520="","",'Service Types'!Q520)</f>
        <v>Non-crew</v>
      </c>
    </row>
    <row r="252" spans="1:12" x14ac:dyDescent="0.45">
      <c r="A252" s="14">
        <v>251</v>
      </c>
      <c r="B252" s="4" t="s">
        <v>401</v>
      </c>
      <c r="C252" s="4" t="str">
        <f>IF('Service Types'!B303="","",'Service Types'!B303)</f>
        <v>IS - Public Spaces Delivery</v>
      </c>
      <c r="D252" s="5">
        <f>IF('Service Types'!E303="","",'Service Types'!E303)</f>
        <v>107</v>
      </c>
      <c r="E252" s="5">
        <f>IF('Service Types'!D303="","",'Service Types'!D303)</f>
        <v>218</v>
      </c>
      <c r="F252" s="5">
        <f>IF('Service Types'!F303="","",'Service Types'!F303)</f>
        <v>5</v>
      </c>
      <c r="G252" s="5">
        <f>IF('Service Types'!G303="","",'Service Types'!G303)</f>
        <v>0</v>
      </c>
      <c r="H252" s="5">
        <f>IF('Service Types'!H303="","",'Service Types'!H303)</f>
        <v>213</v>
      </c>
      <c r="I252" s="6">
        <f>IF('Service Types'!I303="","",'Service Types'!I303)</f>
        <v>1</v>
      </c>
      <c r="J252" s="6">
        <f>IF('Service Types'!J303="","",'Service Types'!J303)</f>
        <v>10.3</v>
      </c>
      <c r="K252" s="6">
        <f>IF('Service Types'!K303="","",'Service Types'!K303)</f>
        <v>7</v>
      </c>
      <c r="L252" s="4" t="str">
        <f>IF('Service Types'!Q303="","",'Service Types'!Q303)</f>
        <v>Non-crew</v>
      </c>
    </row>
    <row r="253" spans="1:12" x14ac:dyDescent="0.45">
      <c r="A253" s="14">
        <v>252</v>
      </c>
      <c r="B253" s="4" t="s">
        <v>73</v>
      </c>
      <c r="C253" s="4" t="str">
        <f>IF('Service Types'!B26="","",'Service Types'!B26)</f>
        <v>CPFS - Assessment and Tax</v>
      </c>
      <c r="D253" s="5">
        <f>IF('Service Types'!E26="","",'Service Types'!E26)</f>
        <v>105</v>
      </c>
      <c r="E253" s="5">
        <f>IF('Service Types'!D26="","",'Service Types'!D26)</f>
        <v>284</v>
      </c>
      <c r="F253" s="5">
        <f>IF('Service Types'!F26="","",'Service Types'!F26)</f>
        <v>0</v>
      </c>
      <c r="G253" s="5">
        <f>IF('Service Types'!G26="","",'Service Types'!G26)</f>
        <v>0</v>
      </c>
      <c r="H253" s="5">
        <f>IF('Service Types'!H26="","",'Service Types'!H26)</f>
        <v>284</v>
      </c>
      <c r="I253" s="6">
        <f>IF('Service Types'!I26="","",'Service Types'!I26)</f>
        <v>2.5</v>
      </c>
      <c r="J253" s="6">
        <f>IF('Service Types'!J26="","",'Service Types'!J26)</f>
        <v>4.0999999999999996</v>
      </c>
      <c r="K253" s="6">
        <f>IF('Service Types'!K26="","",'Service Types'!K26)</f>
        <v>7</v>
      </c>
      <c r="L253" s="4" t="str">
        <f>IF('Service Types'!Q26="","",'Service Types'!Q26)</f>
        <v>Non-crew</v>
      </c>
    </row>
    <row r="254" spans="1:12" x14ac:dyDescent="0.45">
      <c r="A254" s="14">
        <v>253</v>
      </c>
      <c r="B254" s="4" t="s">
        <v>119</v>
      </c>
      <c r="C254" s="4" t="str">
        <f>IF('Service Types'!B57="","",'Service Types'!B57)</f>
        <v>CS - Calgary Fire</v>
      </c>
      <c r="D254" s="5">
        <f>IF('Service Types'!E57="","",'Service Types'!E57)</f>
        <v>102</v>
      </c>
      <c r="E254" s="5">
        <f>IF('Service Types'!D57="","",'Service Types'!D57)</f>
        <v>524</v>
      </c>
      <c r="F254" s="5">
        <f>IF('Service Types'!F57="","",'Service Types'!F57)</f>
        <v>8</v>
      </c>
      <c r="G254" s="5">
        <f>IF('Service Types'!G57="","",'Service Types'!G57)</f>
        <v>2</v>
      </c>
      <c r="H254" s="5">
        <f>IF('Service Types'!H57="","",'Service Types'!H57)</f>
        <v>516</v>
      </c>
      <c r="I254" s="6">
        <f>IF('Service Types'!I57="","",'Service Types'!I57)</f>
        <v>6</v>
      </c>
      <c r="J254" s="6">
        <f>IF('Service Types'!J57="","",'Service Types'!J57)</f>
        <v>14.3</v>
      </c>
      <c r="K254" s="6">
        <f>IF('Service Types'!K57="","",'Service Types'!K57)</f>
        <v>24</v>
      </c>
      <c r="L254" s="4" t="str">
        <f>IF('Service Types'!Q57="","",'Service Types'!Q57)</f>
        <v>Non-crew</v>
      </c>
    </row>
    <row r="255" spans="1:12" x14ac:dyDescent="0.45">
      <c r="A255" s="14">
        <v>254</v>
      </c>
      <c r="B255" s="4" t="s">
        <v>123</v>
      </c>
      <c r="C255" s="4" t="str">
        <f>IF('Service Types'!B61="","",'Service Types'!B61)</f>
        <v>CS - Calgary Fire</v>
      </c>
      <c r="D255" s="5">
        <f>IF('Service Types'!E61="","",'Service Types'!E61)</f>
        <v>100</v>
      </c>
      <c r="E255" s="5">
        <f>IF('Service Types'!D61="","",'Service Types'!D61)</f>
        <v>398</v>
      </c>
      <c r="F255" s="5">
        <f>IF('Service Types'!F61="","",'Service Types'!F61)</f>
        <v>1</v>
      </c>
      <c r="G255" s="5">
        <f>IF('Service Types'!G61="","",'Service Types'!G61)</f>
        <v>0</v>
      </c>
      <c r="H255" s="5">
        <f>IF('Service Types'!H61="","",'Service Types'!H61)</f>
        <v>397</v>
      </c>
      <c r="I255" s="6">
        <f>IF('Service Types'!I61="","",'Service Types'!I61)</f>
        <v>5</v>
      </c>
      <c r="J255" s="6">
        <f>IF('Service Types'!J61="","",'Service Types'!J61)</f>
        <v>14.3</v>
      </c>
      <c r="K255" s="6">
        <f>IF('Service Types'!K61="","",'Service Types'!K61)</f>
        <v>28</v>
      </c>
      <c r="L255" s="4" t="str">
        <f>IF('Service Types'!Q61="","",'Service Types'!Q61)</f>
        <v>Non-crew</v>
      </c>
    </row>
    <row r="256" spans="1:12" x14ac:dyDescent="0.45">
      <c r="A256" s="14">
        <v>255</v>
      </c>
      <c r="B256" s="4" t="s">
        <v>780</v>
      </c>
      <c r="C256" s="4" t="str">
        <f>IF('Service Types'!B605="","",'Service Types'!B605)</f>
        <v>PDS - City and Regional Planning</v>
      </c>
      <c r="D256" s="5">
        <f>IF('Service Types'!E605="","",'Service Types'!E605)</f>
        <v>97</v>
      </c>
      <c r="E256" s="5">
        <f>IF('Service Types'!D605="","",'Service Types'!D605)</f>
        <v>97</v>
      </c>
      <c r="F256" s="5">
        <f>IF('Service Types'!F605="","",'Service Types'!F605)</f>
        <v>19</v>
      </c>
      <c r="G256" s="5">
        <f>IF('Service Types'!G605="","",'Service Types'!G605)</f>
        <v>0</v>
      </c>
      <c r="H256" s="5">
        <f>IF('Service Types'!H605="","",'Service Types'!H605)</f>
        <v>78</v>
      </c>
      <c r="I256" s="6">
        <f>IF('Service Types'!I605="","",'Service Types'!I605)</f>
        <v>14.5</v>
      </c>
      <c r="J256" s="6">
        <f>IF('Service Types'!J605="","",'Service Types'!J605)</f>
        <v>13.9</v>
      </c>
      <c r="K256" s="6">
        <f>IF('Service Types'!K605="","",'Service Types'!K605)</f>
        <v>22</v>
      </c>
      <c r="L256" s="4" t="str">
        <f>IF('Service Types'!Q605="","",'Service Types'!Q605)</f>
        <v>Non-crew</v>
      </c>
    </row>
    <row r="257" spans="1:12" x14ac:dyDescent="0.45">
      <c r="A257" s="14">
        <v>256</v>
      </c>
      <c r="B257" s="4" t="s">
        <v>667</v>
      </c>
      <c r="C257" s="4" t="str">
        <f>IF('Service Types'!B517="","",'Service Types'!B517)</f>
        <v>OS - Waste and Recycling Services</v>
      </c>
      <c r="D257" s="5">
        <f>IF('Service Types'!E517="","",'Service Types'!E517)</f>
        <v>96</v>
      </c>
      <c r="E257" s="5">
        <f>IF('Service Types'!D517="","",'Service Types'!D517)</f>
        <v>474</v>
      </c>
      <c r="F257" s="5">
        <f>IF('Service Types'!F517="","",'Service Types'!F517)</f>
        <v>0</v>
      </c>
      <c r="G257" s="5">
        <f>IF('Service Types'!G517="","",'Service Types'!G517)</f>
        <v>0</v>
      </c>
      <c r="H257" s="5">
        <f>IF('Service Types'!H517="","",'Service Types'!H517)</f>
        <v>474</v>
      </c>
      <c r="I257" s="6">
        <f>IF('Service Types'!I517="","",'Service Types'!I517)</f>
        <v>3</v>
      </c>
      <c r="J257" s="6">
        <f>IF('Service Types'!J517="","",'Service Types'!J517)</f>
        <v>3.7</v>
      </c>
      <c r="K257" s="6">
        <f>IF('Service Types'!K517="","",'Service Types'!K517)</f>
        <v>7</v>
      </c>
      <c r="L257" s="4" t="str">
        <f>IF('Service Types'!Q517="","",'Service Types'!Q517)</f>
        <v>Crew</v>
      </c>
    </row>
    <row r="258" spans="1:12" x14ac:dyDescent="0.45">
      <c r="A258" s="14">
        <v>257</v>
      </c>
      <c r="B258" s="4" t="s">
        <v>539</v>
      </c>
      <c r="C258" s="4" t="str">
        <f>IF('Service Types'!B407="","",'Service Types'!B407)</f>
        <v>OS - Mobility</v>
      </c>
      <c r="D258" s="5">
        <f>IF('Service Types'!E407="","",'Service Types'!E407)</f>
        <v>96</v>
      </c>
      <c r="E258" s="5">
        <f>IF('Service Types'!D407="","",'Service Types'!D407)</f>
        <v>466</v>
      </c>
      <c r="F258" s="5">
        <f>IF('Service Types'!F407="","",'Service Types'!F407)</f>
        <v>110</v>
      </c>
      <c r="G258" s="5">
        <f>IF('Service Types'!G407="","",'Service Types'!G407)</f>
        <v>102</v>
      </c>
      <c r="H258" s="5">
        <f>IF('Service Types'!H407="","",'Service Types'!H407)</f>
        <v>356</v>
      </c>
      <c r="I258" s="6">
        <f>IF('Service Types'!I407="","",'Service Types'!I407)</f>
        <v>2</v>
      </c>
      <c r="J258" s="6">
        <f>IF('Service Types'!J407="","",'Service Types'!J407)</f>
        <v>14.8</v>
      </c>
      <c r="K258" s="6">
        <f>IF('Service Types'!K407="","",'Service Types'!K407)</f>
        <v>22</v>
      </c>
      <c r="L258" s="4" t="str">
        <f>IF('Service Types'!Q407="","",'Service Types'!Q407)</f>
        <v>Non-crew</v>
      </c>
    </row>
    <row r="259" spans="1:12" x14ac:dyDescent="0.45">
      <c r="A259" s="14">
        <v>258</v>
      </c>
      <c r="B259" s="4" t="s">
        <v>841</v>
      </c>
      <c r="C259" s="4" t="str">
        <f>IF('Service Types'!B661="","",'Service Types'!B661)</f>
        <v>PDS - Development, Business and Building Services</v>
      </c>
      <c r="D259" s="5">
        <f>IF('Service Types'!E661="","",'Service Types'!E661)</f>
        <v>93</v>
      </c>
      <c r="E259" s="5">
        <f>IF('Service Types'!D661="","",'Service Types'!D661)</f>
        <v>378</v>
      </c>
      <c r="F259" s="5">
        <f>IF('Service Types'!F661="","",'Service Types'!F661)</f>
        <v>3</v>
      </c>
      <c r="G259" s="5">
        <f>IF('Service Types'!G661="","",'Service Types'!G661)</f>
        <v>2</v>
      </c>
      <c r="H259" s="5">
        <f>IF('Service Types'!H661="","",'Service Types'!H661)</f>
        <v>375</v>
      </c>
      <c r="I259" s="6">
        <f>IF('Service Types'!I661="","",'Service Types'!I661)</f>
        <v>1</v>
      </c>
      <c r="J259" s="6">
        <f>IF('Service Types'!J661="","",'Service Types'!J661)</f>
        <v>14</v>
      </c>
      <c r="K259" s="6">
        <f>IF('Service Types'!K661="","",'Service Types'!K661)</f>
        <v>44</v>
      </c>
      <c r="L259" s="4" t="str">
        <f>IF('Service Types'!Q661="","",'Service Types'!Q661)</f>
        <v>Non-crew</v>
      </c>
    </row>
    <row r="260" spans="1:12" x14ac:dyDescent="0.45">
      <c r="A260" s="14">
        <v>259</v>
      </c>
      <c r="B260" s="4" t="s">
        <v>628</v>
      </c>
      <c r="C260" s="4" t="str">
        <f>IF('Service Types'!B487="","",'Service Types'!B487)</f>
        <v>OS - Parks and Open Spaces</v>
      </c>
      <c r="D260" s="5">
        <f>IF('Service Types'!E487="","",'Service Types'!E487)</f>
        <v>93</v>
      </c>
      <c r="E260" s="5">
        <f>IF('Service Types'!D487="","",'Service Types'!D487)</f>
        <v>301</v>
      </c>
      <c r="F260" s="5">
        <f>IF('Service Types'!F487="","",'Service Types'!F487)</f>
        <v>7</v>
      </c>
      <c r="G260" s="5">
        <f>IF('Service Types'!G487="","",'Service Types'!G487)</f>
        <v>3</v>
      </c>
      <c r="H260" s="5">
        <f>IF('Service Types'!H487="","",'Service Types'!H487)</f>
        <v>294</v>
      </c>
      <c r="I260" s="6">
        <f>IF('Service Types'!I487="","",'Service Types'!I487)</f>
        <v>4</v>
      </c>
      <c r="J260" s="6">
        <f>IF('Service Types'!J487="","",'Service Types'!J487)</f>
        <v>7.3</v>
      </c>
      <c r="K260" s="6">
        <f>IF('Service Types'!K487="","",'Service Types'!K487)</f>
        <v>18</v>
      </c>
      <c r="L260" s="4" t="str">
        <f>IF('Service Types'!Q487="","",'Service Types'!Q487)</f>
        <v>Non-crew</v>
      </c>
    </row>
    <row r="261" spans="1:12" x14ac:dyDescent="0.45">
      <c r="A261" s="14">
        <v>260</v>
      </c>
      <c r="B261" s="4" t="s">
        <v>757</v>
      </c>
      <c r="C261" s="4" t="str">
        <f>IF('Service Types'!B588="","",'Service Types'!B588)</f>
        <v>OSC - Calgary Transit</v>
      </c>
      <c r="D261" s="5">
        <f>IF('Service Types'!E588="","",'Service Types'!E588)</f>
        <v>93</v>
      </c>
      <c r="E261" s="5">
        <f>IF('Service Types'!D588="","",'Service Types'!D588)</f>
        <v>93</v>
      </c>
      <c r="F261" s="5">
        <f>IF('Service Types'!F588="","",'Service Types'!F588)</f>
        <v>1</v>
      </c>
      <c r="G261" s="5">
        <f>IF('Service Types'!G588="","",'Service Types'!G588)</f>
        <v>0</v>
      </c>
      <c r="H261" s="5">
        <f>IF('Service Types'!H588="","",'Service Types'!H588)</f>
        <v>92</v>
      </c>
      <c r="I261" s="6">
        <f>IF('Service Types'!I588="","",'Service Types'!I588)</f>
        <v>5</v>
      </c>
      <c r="J261" s="6">
        <f>IF('Service Types'!J588="","",'Service Types'!J588)</f>
        <v>5.0999999999999996</v>
      </c>
      <c r="K261" s="6">
        <f>IF('Service Types'!K588="","",'Service Types'!K588)</f>
        <v>9</v>
      </c>
      <c r="L261" s="4" t="str">
        <f>IF('Service Types'!Q588="","",'Service Types'!Q588)</f>
        <v>Non-crew</v>
      </c>
    </row>
    <row r="262" spans="1:12" x14ac:dyDescent="0.45">
      <c r="A262" s="14">
        <v>261</v>
      </c>
      <c r="B262" s="4" t="s">
        <v>621</v>
      </c>
      <c r="C262" s="4" t="str">
        <f>IF('Service Types'!B480="","",'Service Types'!B480)</f>
        <v>OS - Parks and Open Spaces</v>
      </c>
      <c r="D262" s="5">
        <f>IF('Service Types'!E480="","",'Service Types'!E480)</f>
        <v>92</v>
      </c>
      <c r="E262" s="5">
        <f>IF('Service Types'!D480="","",'Service Types'!D480)</f>
        <v>507</v>
      </c>
      <c r="F262" s="5">
        <f>IF('Service Types'!F480="","",'Service Types'!F480)</f>
        <v>3</v>
      </c>
      <c r="G262" s="5">
        <f>IF('Service Types'!G480="","",'Service Types'!G480)</f>
        <v>3</v>
      </c>
      <c r="H262" s="5">
        <f>IF('Service Types'!H480="","",'Service Types'!H480)</f>
        <v>504</v>
      </c>
      <c r="I262" s="6">
        <f>IF('Service Types'!I480="","",'Service Types'!I480)</f>
        <v>2</v>
      </c>
      <c r="J262" s="6">
        <f>IF('Service Types'!J480="","",'Service Types'!J480)</f>
        <v>3.2</v>
      </c>
      <c r="K262" s="6">
        <f>IF('Service Types'!K480="","",'Service Types'!K480)</f>
        <v>7</v>
      </c>
      <c r="L262" s="4" t="str">
        <f>IF('Service Types'!Q480="","",'Service Types'!Q480)</f>
        <v>Non-crew</v>
      </c>
    </row>
    <row r="263" spans="1:12" x14ac:dyDescent="0.45">
      <c r="A263" s="14">
        <v>262</v>
      </c>
      <c r="B263" s="4" t="s">
        <v>402</v>
      </c>
      <c r="C263" s="4" t="str">
        <f>IF('Service Types'!B304="","",'Service Types'!B304)</f>
        <v>IS - Public Spaces Delivery</v>
      </c>
      <c r="D263" s="5">
        <f>IF('Service Types'!E304="","",'Service Types'!E304)</f>
        <v>91</v>
      </c>
      <c r="E263" s="5">
        <f>IF('Service Types'!D304="","",'Service Types'!D304)</f>
        <v>211</v>
      </c>
      <c r="F263" s="5">
        <f>IF('Service Types'!F304="","",'Service Types'!F304)</f>
        <v>1</v>
      </c>
      <c r="G263" s="5">
        <f>IF('Service Types'!G304="","",'Service Types'!G304)</f>
        <v>0</v>
      </c>
      <c r="H263" s="5">
        <f>IF('Service Types'!H304="","",'Service Types'!H304)</f>
        <v>210</v>
      </c>
      <c r="I263" s="6">
        <f>IF('Service Types'!I304="","",'Service Types'!I304)</f>
        <v>3</v>
      </c>
      <c r="J263" s="6">
        <f>IF('Service Types'!J304="","",'Service Types'!J304)</f>
        <v>4.3</v>
      </c>
      <c r="K263" s="6">
        <f>IF('Service Types'!K304="","",'Service Types'!K304)</f>
        <v>9</v>
      </c>
      <c r="L263" s="4" t="str">
        <f>IF('Service Types'!Q304="","",'Service Types'!Q304)</f>
        <v>Non-crew</v>
      </c>
    </row>
    <row r="264" spans="1:12" x14ac:dyDescent="0.45">
      <c r="A264" s="14">
        <v>263</v>
      </c>
      <c r="B264" s="4" t="s">
        <v>891</v>
      </c>
      <c r="C264" s="4" t="str">
        <f>IF('Service Types'!B706="","",'Service Types'!B706)</f>
        <v>PICS - Customer Service and Communications</v>
      </c>
      <c r="D264" s="5">
        <f>IF('Service Types'!E706="","",'Service Types'!E706)</f>
        <v>90</v>
      </c>
      <c r="E264" s="5">
        <f>IF('Service Types'!D706="","",'Service Types'!D706)</f>
        <v>1820</v>
      </c>
      <c r="F264" s="5">
        <f>IF('Service Types'!F706="","",'Service Types'!F706)</f>
        <v>0</v>
      </c>
      <c r="G264" s="5">
        <f>IF('Service Types'!G706="","",'Service Types'!G706)</f>
        <v>0</v>
      </c>
      <c r="H264" s="5">
        <f>IF('Service Types'!H706="","",'Service Types'!H706)</f>
        <v>1820</v>
      </c>
      <c r="I264" s="6">
        <f>IF('Service Types'!I706="","",'Service Types'!I706)</f>
        <v>2</v>
      </c>
      <c r="J264" s="6">
        <f>IF('Service Types'!J706="","",'Service Types'!J706)</f>
        <v>9.4</v>
      </c>
      <c r="K264" s="6">
        <f>IF('Service Types'!K706="","",'Service Types'!K706)</f>
        <v>23</v>
      </c>
      <c r="L264" s="4" t="str">
        <f>IF('Service Types'!Q706="","",'Service Types'!Q706)</f>
        <v>Non-crew</v>
      </c>
    </row>
    <row r="265" spans="1:12" x14ac:dyDescent="0.45">
      <c r="A265" s="14">
        <v>264</v>
      </c>
      <c r="B265" s="4" t="s">
        <v>670</v>
      </c>
      <c r="C265" s="4" t="str">
        <f>IF('Service Types'!B519="","",'Service Types'!B519)</f>
        <v>OS - Waste and Recycling Services</v>
      </c>
      <c r="D265" s="5">
        <f>IF('Service Types'!E519="","",'Service Types'!E519)</f>
        <v>90</v>
      </c>
      <c r="E265" s="5">
        <f>IF('Service Types'!D519="","",'Service Types'!D519)</f>
        <v>414</v>
      </c>
      <c r="F265" s="5">
        <f>IF('Service Types'!F519="","",'Service Types'!F519)</f>
        <v>0</v>
      </c>
      <c r="G265" s="5">
        <f>IF('Service Types'!G519="","",'Service Types'!G519)</f>
        <v>0</v>
      </c>
      <c r="H265" s="5">
        <f>IF('Service Types'!H519="","",'Service Types'!H519)</f>
        <v>414</v>
      </c>
      <c r="I265" s="6">
        <f>IF('Service Types'!I519="","",'Service Types'!I519)</f>
        <v>0</v>
      </c>
      <c r="J265" s="6">
        <f>IF('Service Types'!J519="","",'Service Types'!J519)</f>
        <v>0</v>
      </c>
      <c r="K265" s="6">
        <f>IF('Service Types'!K519="","",'Service Types'!K519)</f>
        <v>0</v>
      </c>
      <c r="L265" s="4" t="str">
        <f>IF('Service Types'!Q519="","",'Service Types'!Q519)</f>
        <v>Non-crew</v>
      </c>
    </row>
    <row r="266" spans="1:12" x14ac:dyDescent="0.45">
      <c r="A266" s="14">
        <v>265</v>
      </c>
      <c r="B266" s="4" t="s">
        <v>358</v>
      </c>
      <c r="C266" s="4" t="str">
        <f>IF('Service Types'!B268="","",'Service Types'!B268)</f>
        <v>Elected Officials</v>
      </c>
      <c r="D266" s="5">
        <f>IF('Service Types'!E268="","",'Service Types'!E268)</f>
        <v>88</v>
      </c>
      <c r="E266" s="5">
        <f>IF('Service Types'!D268="","",'Service Types'!D268)</f>
        <v>148</v>
      </c>
      <c r="F266" s="5">
        <f>IF('Service Types'!F268="","",'Service Types'!F268)</f>
        <v>0</v>
      </c>
      <c r="G266" s="5">
        <f>IF('Service Types'!G268="","",'Service Types'!G268)</f>
        <v>0</v>
      </c>
      <c r="H266" s="5">
        <f>IF('Service Types'!H268="","",'Service Types'!H268)</f>
        <v>148</v>
      </c>
      <c r="I266" s="6">
        <f>IF('Service Types'!I268="","",'Service Types'!I268)</f>
        <v>0</v>
      </c>
      <c r="J266" s="6">
        <f>IF('Service Types'!J268="","",'Service Types'!J268)</f>
        <v>0</v>
      </c>
      <c r="K266" s="6">
        <f>IF('Service Types'!K268="","",'Service Types'!K268)</f>
        <v>0</v>
      </c>
      <c r="L266" s="4" t="str">
        <f>IF('Service Types'!Q268="","",'Service Types'!Q268)</f>
        <v>Non-crew</v>
      </c>
    </row>
    <row r="267" spans="1:12" x14ac:dyDescent="0.45">
      <c r="A267" s="14">
        <v>266</v>
      </c>
      <c r="B267" s="4" t="s">
        <v>243</v>
      </c>
      <c r="C267" s="4" t="str">
        <f>IF('Service Types'!B163="","",'Service Types'!B163)</f>
        <v>CS - Emergency Management and Community Safety</v>
      </c>
      <c r="D267" s="5">
        <f>IF('Service Types'!E163="","",'Service Types'!E163)</f>
        <v>87</v>
      </c>
      <c r="E267" s="5">
        <f>IF('Service Types'!D163="","",'Service Types'!D163)</f>
        <v>403</v>
      </c>
      <c r="F267" s="5">
        <f>IF('Service Types'!F163="","",'Service Types'!F163)</f>
        <v>19</v>
      </c>
      <c r="G267" s="5">
        <f>IF('Service Types'!G163="","",'Service Types'!G163)</f>
        <v>10</v>
      </c>
      <c r="H267" s="5">
        <f>IF('Service Types'!H163="","",'Service Types'!H163)</f>
        <v>384</v>
      </c>
      <c r="I267" s="6">
        <f>IF('Service Types'!I163="","",'Service Types'!I163)</f>
        <v>29</v>
      </c>
      <c r="J267" s="6">
        <f>IF('Service Types'!J163="","",'Service Types'!J163)</f>
        <v>58.5</v>
      </c>
      <c r="K267" s="6">
        <f>IF('Service Types'!K163="","",'Service Types'!K163)</f>
        <v>174</v>
      </c>
      <c r="L267" s="4" t="str">
        <f>IF('Service Types'!Q163="","",'Service Types'!Q163)</f>
        <v>Non-crew</v>
      </c>
    </row>
    <row r="268" spans="1:12" x14ac:dyDescent="0.45">
      <c r="A268" s="14">
        <v>267</v>
      </c>
      <c r="B268" s="4" t="s">
        <v>77</v>
      </c>
      <c r="C268" s="4" t="str">
        <f>IF('Service Types'!B28="","",'Service Types'!B28)</f>
        <v>CPFS - Assessment and Tax</v>
      </c>
      <c r="D268" s="5">
        <f>IF('Service Types'!E28="","",'Service Types'!E28)</f>
        <v>87</v>
      </c>
      <c r="E268" s="5">
        <f>IF('Service Types'!D28="","",'Service Types'!D28)</f>
        <v>191</v>
      </c>
      <c r="F268" s="5">
        <f>IF('Service Types'!F28="","",'Service Types'!F28)</f>
        <v>0</v>
      </c>
      <c r="G268" s="5">
        <f>IF('Service Types'!G28="","",'Service Types'!G28)</f>
        <v>0</v>
      </c>
      <c r="H268" s="5">
        <f>IF('Service Types'!H28="","",'Service Types'!H28)</f>
        <v>191</v>
      </c>
      <c r="I268" s="6">
        <f>IF('Service Types'!I28="","",'Service Types'!I28)</f>
        <v>6</v>
      </c>
      <c r="J268" s="6">
        <f>IF('Service Types'!J28="","",'Service Types'!J28)</f>
        <v>16.600000000000001</v>
      </c>
      <c r="K268" s="6">
        <f>IF('Service Types'!K28="","",'Service Types'!K28)</f>
        <v>47</v>
      </c>
      <c r="L268" s="4" t="str">
        <f>IF('Service Types'!Q28="","",'Service Types'!Q28)</f>
        <v>Non-crew</v>
      </c>
    </row>
    <row r="269" spans="1:12" x14ac:dyDescent="0.45">
      <c r="A269" s="14">
        <v>268</v>
      </c>
      <c r="B269" s="4" t="s">
        <v>315</v>
      </c>
      <c r="C269" s="4" t="str">
        <f>IF('Service Types'!B231="","",'Service Types'!B231)</f>
        <v>CS - Recreation and Social Programs</v>
      </c>
      <c r="D269" s="5">
        <f>IF('Service Types'!E231="","",'Service Types'!E231)</f>
        <v>86</v>
      </c>
      <c r="E269" s="5">
        <f>IF('Service Types'!D231="","",'Service Types'!D231)</f>
        <v>506</v>
      </c>
      <c r="F269" s="5">
        <f>IF('Service Types'!F231="","",'Service Types'!F231)</f>
        <v>0</v>
      </c>
      <c r="G269" s="5">
        <f>IF('Service Types'!G231="","",'Service Types'!G231)</f>
        <v>0</v>
      </c>
      <c r="H269" s="5">
        <f>IF('Service Types'!H231="","",'Service Types'!H231)</f>
        <v>506</v>
      </c>
      <c r="I269" s="6">
        <f>IF('Service Types'!I231="","",'Service Types'!I231)</f>
        <v>3</v>
      </c>
      <c r="J269" s="6">
        <f>IF('Service Types'!J231="","",'Service Types'!J231)</f>
        <v>5</v>
      </c>
      <c r="K269" s="6">
        <f>IF('Service Types'!K231="","",'Service Types'!K231)</f>
        <v>11</v>
      </c>
      <c r="L269" s="4" t="str">
        <f>IF('Service Types'!Q231="","",'Service Types'!Q231)</f>
        <v>Non-crew</v>
      </c>
    </row>
    <row r="270" spans="1:12" x14ac:dyDescent="0.45">
      <c r="A270" s="14">
        <v>269</v>
      </c>
      <c r="B270" s="4" t="s">
        <v>759</v>
      </c>
      <c r="C270" s="4" t="str">
        <f>IF('Service Types'!B590="","",'Service Types'!B590)</f>
        <v>OSC - Greenline</v>
      </c>
      <c r="D270" s="5">
        <f>IF('Service Types'!E590="","",'Service Types'!E590)</f>
        <v>86</v>
      </c>
      <c r="E270" s="5">
        <f>IF('Service Types'!D590="","",'Service Types'!D590)</f>
        <v>86</v>
      </c>
      <c r="F270" s="5">
        <f>IF('Service Types'!F590="","",'Service Types'!F590)</f>
        <v>3</v>
      </c>
      <c r="G270" s="5">
        <f>IF('Service Types'!G590="","",'Service Types'!G590)</f>
        <v>1</v>
      </c>
      <c r="H270" s="5">
        <f>IF('Service Types'!H590="","",'Service Types'!H590)</f>
        <v>83</v>
      </c>
      <c r="I270" s="6">
        <f>IF('Service Types'!I590="","",'Service Types'!I590)</f>
        <v>1</v>
      </c>
      <c r="J270" s="6">
        <f>IF('Service Types'!J590="","",'Service Types'!J590)</f>
        <v>1.7</v>
      </c>
      <c r="K270" s="6">
        <f>IF('Service Types'!K590="","",'Service Types'!K590)</f>
        <v>3</v>
      </c>
      <c r="L270" s="4" t="str">
        <f>IF('Service Types'!Q590="","",'Service Types'!Q590)</f>
        <v>Non-crew</v>
      </c>
    </row>
    <row r="271" spans="1:12" x14ac:dyDescent="0.45">
      <c r="A271" s="14">
        <v>270</v>
      </c>
      <c r="B271" s="4" t="s">
        <v>85</v>
      </c>
      <c r="C271" s="4" t="str">
        <f>IF('Service Types'!B35="","",'Service Types'!B35)</f>
        <v>CPFS - Finance</v>
      </c>
      <c r="D271" s="5">
        <f>IF('Service Types'!E35="","",'Service Types'!E35)</f>
        <v>85</v>
      </c>
      <c r="E271" s="5">
        <f>IF('Service Types'!D35="","",'Service Types'!D35)</f>
        <v>423</v>
      </c>
      <c r="F271" s="5">
        <f>IF('Service Types'!F35="","",'Service Types'!F35)</f>
        <v>1</v>
      </c>
      <c r="G271" s="5">
        <f>IF('Service Types'!G35="","",'Service Types'!G35)</f>
        <v>0</v>
      </c>
      <c r="H271" s="5">
        <f>IF('Service Types'!H35="","",'Service Types'!H35)</f>
        <v>422</v>
      </c>
      <c r="I271" s="6">
        <f>IF('Service Types'!I35="","",'Service Types'!I35)</f>
        <v>3</v>
      </c>
      <c r="J271" s="6">
        <f>IF('Service Types'!J35="","",'Service Types'!J35)</f>
        <v>10.8</v>
      </c>
      <c r="K271" s="6">
        <f>IF('Service Types'!K35="","",'Service Types'!K35)</f>
        <v>22</v>
      </c>
      <c r="L271" s="4" t="str">
        <f>IF('Service Types'!Q35="","",'Service Types'!Q35)</f>
        <v>Non-crew</v>
      </c>
    </row>
    <row r="272" spans="1:12" x14ac:dyDescent="0.45">
      <c r="A272" s="14">
        <v>271</v>
      </c>
      <c r="B272" s="4" t="s">
        <v>912</v>
      </c>
      <c r="C272" s="4" t="str">
        <f>IF('Service Types'!B722="","",'Service Types'!B722)</f>
        <v>TRAN - Green Line</v>
      </c>
      <c r="D272" s="5">
        <f>IF('Service Types'!E722="","",'Service Types'!E722)</f>
        <v>85</v>
      </c>
      <c r="E272" s="5">
        <f>IF('Service Types'!D722="","",'Service Types'!D722)</f>
        <v>414</v>
      </c>
      <c r="F272" s="5">
        <f>IF('Service Types'!F722="","",'Service Types'!F722)</f>
        <v>2</v>
      </c>
      <c r="G272" s="5">
        <f>IF('Service Types'!G722="","",'Service Types'!G722)</f>
        <v>2</v>
      </c>
      <c r="H272" s="5">
        <f>IF('Service Types'!H722="","",'Service Types'!H722)</f>
        <v>412</v>
      </c>
      <c r="I272" s="6">
        <f>IF('Service Types'!I722="","",'Service Types'!I722)</f>
        <v>4</v>
      </c>
      <c r="J272" s="6">
        <f>IF('Service Types'!J722="","",'Service Types'!J722)</f>
        <v>8</v>
      </c>
      <c r="K272" s="6">
        <f>IF('Service Types'!K722="","",'Service Types'!K722)</f>
        <v>14</v>
      </c>
      <c r="L272" s="4" t="str">
        <f>IF('Service Types'!Q722="","",'Service Types'!Q722)</f>
        <v>Non-crew</v>
      </c>
    </row>
    <row r="273" spans="1:12" x14ac:dyDescent="0.45">
      <c r="A273" s="14">
        <v>272</v>
      </c>
      <c r="B273" s="4" t="s">
        <v>124</v>
      </c>
      <c r="C273" s="4" t="str">
        <f>IF('Service Types'!B62="","",'Service Types'!B62)</f>
        <v>CS - Calgary Fire</v>
      </c>
      <c r="D273" s="5">
        <f>IF('Service Types'!E62="","",'Service Types'!E62)</f>
        <v>85</v>
      </c>
      <c r="E273" s="5">
        <f>IF('Service Types'!D62="","",'Service Types'!D62)</f>
        <v>372</v>
      </c>
      <c r="F273" s="5">
        <f>IF('Service Types'!F62="","",'Service Types'!F62)</f>
        <v>0</v>
      </c>
      <c r="G273" s="5">
        <f>IF('Service Types'!G62="","",'Service Types'!G62)</f>
        <v>0</v>
      </c>
      <c r="H273" s="5">
        <f>IF('Service Types'!H62="","",'Service Types'!H62)</f>
        <v>372</v>
      </c>
      <c r="I273" s="6">
        <f>IF('Service Types'!I62="","",'Service Types'!I62)</f>
        <v>2</v>
      </c>
      <c r="J273" s="6">
        <f>IF('Service Types'!J62="","",'Service Types'!J62)</f>
        <v>3.6</v>
      </c>
      <c r="K273" s="6">
        <f>IF('Service Types'!K62="","",'Service Types'!K62)</f>
        <v>8</v>
      </c>
      <c r="L273" s="4" t="str">
        <f>IF('Service Types'!Q62="","",'Service Types'!Q62)</f>
        <v>Non-crew</v>
      </c>
    </row>
    <row r="274" spans="1:12" x14ac:dyDescent="0.45">
      <c r="A274" s="14">
        <v>273</v>
      </c>
      <c r="B274" s="4" t="s">
        <v>424</v>
      </c>
      <c r="C274" s="4" t="str">
        <f>IF('Service Types'!B324="","",'Service Types'!B324)</f>
        <v>IS - Real Estate and Development Services</v>
      </c>
      <c r="D274" s="5">
        <f>IF('Service Types'!E324="","",'Service Types'!E324)</f>
        <v>84</v>
      </c>
      <c r="E274" s="5">
        <f>IF('Service Types'!D324="","",'Service Types'!D324)</f>
        <v>559</v>
      </c>
      <c r="F274" s="5">
        <f>IF('Service Types'!F324="","",'Service Types'!F324)</f>
        <v>1</v>
      </c>
      <c r="G274" s="5">
        <f>IF('Service Types'!G324="","",'Service Types'!G324)</f>
        <v>0</v>
      </c>
      <c r="H274" s="5">
        <f>IF('Service Types'!H324="","",'Service Types'!H324)</f>
        <v>558</v>
      </c>
      <c r="I274" s="6">
        <f>IF('Service Types'!I324="","",'Service Types'!I324)</f>
        <v>3</v>
      </c>
      <c r="J274" s="6">
        <f>IF('Service Types'!J324="","",'Service Types'!J324)</f>
        <v>5.4</v>
      </c>
      <c r="K274" s="6">
        <f>IF('Service Types'!K324="","",'Service Types'!K324)</f>
        <v>7</v>
      </c>
      <c r="L274" s="4" t="str">
        <f>IF('Service Types'!Q324="","",'Service Types'!Q324)</f>
        <v>Non-crew</v>
      </c>
    </row>
    <row r="275" spans="1:12" x14ac:dyDescent="0.45">
      <c r="A275" s="14">
        <v>274</v>
      </c>
      <c r="B275" s="4" t="s">
        <v>316</v>
      </c>
      <c r="C275" s="4" t="str">
        <f>IF('Service Types'!B232="","",'Service Types'!B232)</f>
        <v>CS - Recreation and Social Programs</v>
      </c>
      <c r="D275" s="5">
        <f>IF('Service Types'!E232="","",'Service Types'!E232)</f>
        <v>84</v>
      </c>
      <c r="E275" s="5">
        <f>IF('Service Types'!D232="","",'Service Types'!D232)</f>
        <v>475</v>
      </c>
      <c r="F275" s="5">
        <f>IF('Service Types'!F232="","",'Service Types'!F232)</f>
        <v>2</v>
      </c>
      <c r="G275" s="5">
        <f>IF('Service Types'!G232="","",'Service Types'!G232)</f>
        <v>1</v>
      </c>
      <c r="H275" s="5">
        <f>IF('Service Types'!H232="","",'Service Types'!H232)</f>
        <v>473</v>
      </c>
      <c r="I275" s="6">
        <f>IF('Service Types'!I232="","",'Service Types'!I232)</f>
        <v>4</v>
      </c>
      <c r="J275" s="6">
        <f>IF('Service Types'!J232="","",'Service Types'!J232)</f>
        <v>7.5</v>
      </c>
      <c r="K275" s="6">
        <f>IF('Service Types'!K232="","",'Service Types'!K232)</f>
        <v>17</v>
      </c>
      <c r="L275" s="4" t="str">
        <f>IF('Service Types'!Q232="","",'Service Types'!Q232)</f>
        <v>Non-crew</v>
      </c>
    </row>
    <row r="276" spans="1:12" x14ac:dyDescent="0.45">
      <c r="A276" s="14">
        <v>275</v>
      </c>
      <c r="B276" s="4" t="s">
        <v>674</v>
      </c>
      <c r="C276" s="4" t="str">
        <f>IF('Service Types'!B522="","",'Service Types'!B522)</f>
        <v>OS - Waste and Recycling Services</v>
      </c>
      <c r="D276" s="5">
        <f>IF('Service Types'!E522="","",'Service Types'!E522)</f>
        <v>78</v>
      </c>
      <c r="E276" s="5">
        <f>IF('Service Types'!D522="","",'Service Types'!D522)</f>
        <v>335</v>
      </c>
      <c r="F276" s="5">
        <f>IF('Service Types'!F522="","",'Service Types'!F522)</f>
        <v>2</v>
      </c>
      <c r="G276" s="5">
        <f>IF('Service Types'!G522="","",'Service Types'!G522)</f>
        <v>0</v>
      </c>
      <c r="H276" s="5">
        <f>IF('Service Types'!H522="","",'Service Types'!H522)</f>
        <v>333</v>
      </c>
      <c r="I276" s="6">
        <f>IF('Service Types'!I522="","",'Service Types'!I522)</f>
        <v>0</v>
      </c>
      <c r="J276" s="6">
        <f>IF('Service Types'!J522="","",'Service Types'!J522)</f>
        <v>1.1000000000000001</v>
      </c>
      <c r="K276" s="6">
        <f>IF('Service Types'!K522="","",'Service Types'!K522)</f>
        <v>4</v>
      </c>
      <c r="L276" s="4" t="str">
        <f>IF('Service Types'!Q522="","",'Service Types'!Q522)</f>
        <v>Non-crew</v>
      </c>
    </row>
    <row r="277" spans="1:12" x14ac:dyDescent="0.45">
      <c r="A277" s="14">
        <v>276</v>
      </c>
      <c r="B277" s="4" t="s">
        <v>390</v>
      </c>
      <c r="C277" s="4" t="str">
        <f>IF('Service Types'!B293="","",'Service Types'!B293)</f>
        <v>IS - Project Development</v>
      </c>
      <c r="D277" s="5">
        <f>IF('Service Types'!E293="","",'Service Types'!E293)</f>
        <v>77</v>
      </c>
      <c r="E277" s="5">
        <f>IF('Service Types'!D293="","",'Service Types'!D293)</f>
        <v>170</v>
      </c>
      <c r="F277" s="5">
        <f>IF('Service Types'!F293="","",'Service Types'!F293)</f>
        <v>3</v>
      </c>
      <c r="G277" s="5">
        <f>IF('Service Types'!G293="","",'Service Types'!G293)</f>
        <v>0</v>
      </c>
      <c r="H277" s="5">
        <f>IF('Service Types'!H293="","",'Service Types'!H293)</f>
        <v>167</v>
      </c>
      <c r="I277" s="6">
        <f>IF('Service Types'!I293="","",'Service Types'!I293)</f>
        <v>4</v>
      </c>
      <c r="J277" s="6">
        <f>IF('Service Types'!J293="","",'Service Types'!J293)</f>
        <v>18.8</v>
      </c>
      <c r="K277" s="6">
        <f>IF('Service Types'!K293="","",'Service Types'!K293)</f>
        <v>17</v>
      </c>
      <c r="L277" s="4" t="str">
        <f>IF('Service Types'!Q293="","",'Service Types'!Q293)</f>
        <v>Non-crew</v>
      </c>
    </row>
    <row r="278" spans="1:12" x14ac:dyDescent="0.45">
      <c r="A278" s="14">
        <v>277</v>
      </c>
      <c r="B278" s="4" t="s">
        <v>425</v>
      </c>
      <c r="C278" s="4" t="str">
        <f>IF('Service Types'!B325="","",'Service Types'!B325)</f>
        <v>IS - Real Estate and Development Services</v>
      </c>
      <c r="D278" s="5">
        <f>IF('Service Types'!E325="","",'Service Types'!E325)</f>
        <v>76</v>
      </c>
      <c r="E278" s="5">
        <f>IF('Service Types'!D325="","",'Service Types'!D325)</f>
        <v>482</v>
      </c>
      <c r="F278" s="5">
        <f>IF('Service Types'!F325="","",'Service Types'!F325)</f>
        <v>0</v>
      </c>
      <c r="G278" s="5">
        <f>IF('Service Types'!G325="","",'Service Types'!G325)</f>
        <v>0</v>
      </c>
      <c r="H278" s="5">
        <f>IF('Service Types'!H325="","",'Service Types'!H325)</f>
        <v>482</v>
      </c>
      <c r="I278" s="6">
        <f>IF('Service Types'!I325="","",'Service Types'!I325)</f>
        <v>3</v>
      </c>
      <c r="J278" s="6">
        <f>IF('Service Types'!J325="","",'Service Types'!J325)</f>
        <v>7.9</v>
      </c>
      <c r="K278" s="6">
        <f>IF('Service Types'!K325="","",'Service Types'!K325)</f>
        <v>8</v>
      </c>
      <c r="L278" s="4" t="str">
        <f>IF('Service Types'!Q325="","",'Service Types'!Q325)</f>
        <v>Non-crew</v>
      </c>
    </row>
    <row r="279" spans="1:12" x14ac:dyDescent="0.45">
      <c r="A279" s="14">
        <v>278</v>
      </c>
      <c r="B279" s="4" t="s">
        <v>245</v>
      </c>
      <c r="C279" s="4" t="str">
        <f>IF('Service Types'!B165="","",'Service Types'!B165)</f>
        <v>CS - Emergency Management and Community Safety</v>
      </c>
      <c r="D279" s="5">
        <f>IF('Service Types'!E165="","",'Service Types'!E165)</f>
        <v>76</v>
      </c>
      <c r="E279" s="5">
        <f>IF('Service Types'!D165="","",'Service Types'!D165)</f>
        <v>308</v>
      </c>
      <c r="F279" s="5">
        <f>IF('Service Types'!F165="","",'Service Types'!F165)</f>
        <v>5</v>
      </c>
      <c r="G279" s="5">
        <f>IF('Service Types'!G165="","",'Service Types'!G165)</f>
        <v>2</v>
      </c>
      <c r="H279" s="5">
        <f>IF('Service Types'!H165="","",'Service Types'!H165)</f>
        <v>303</v>
      </c>
      <c r="I279" s="6">
        <f>IF('Service Types'!I165="","",'Service Types'!I165)</f>
        <v>4</v>
      </c>
      <c r="J279" s="6">
        <f>IF('Service Types'!J165="","",'Service Types'!J165)</f>
        <v>22.5</v>
      </c>
      <c r="K279" s="6">
        <f>IF('Service Types'!K165="","",'Service Types'!K165)</f>
        <v>37</v>
      </c>
      <c r="L279" s="4" t="str">
        <f>IF('Service Types'!Q165="","",'Service Types'!Q165)</f>
        <v>Non-crew</v>
      </c>
    </row>
    <row r="280" spans="1:12" x14ac:dyDescent="0.45">
      <c r="A280" s="14">
        <v>279</v>
      </c>
      <c r="B280" s="4" t="s">
        <v>758</v>
      </c>
      <c r="C280" s="4" t="str">
        <f>IF('Service Types'!B589="","",'Service Types'!B589)</f>
        <v>OSC - Calgary Transit</v>
      </c>
      <c r="D280" s="5">
        <f>IF('Service Types'!E589="","",'Service Types'!E589)</f>
        <v>76</v>
      </c>
      <c r="E280" s="5">
        <f>IF('Service Types'!D589="","",'Service Types'!D589)</f>
        <v>76</v>
      </c>
      <c r="F280" s="5">
        <f>IF('Service Types'!F589="","",'Service Types'!F589)</f>
        <v>0</v>
      </c>
      <c r="G280" s="5">
        <f>IF('Service Types'!G589="","",'Service Types'!G589)</f>
        <v>0</v>
      </c>
      <c r="H280" s="5">
        <f>IF('Service Types'!H589="","",'Service Types'!H589)</f>
        <v>76</v>
      </c>
      <c r="I280" s="6">
        <f>IF('Service Types'!I589="","",'Service Types'!I589)</f>
        <v>1.5</v>
      </c>
      <c r="J280" s="6">
        <f>IF('Service Types'!J589="","",'Service Types'!J589)</f>
        <v>2.2999999999999998</v>
      </c>
      <c r="K280" s="6">
        <f>IF('Service Types'!K589="","",'Service Types'!K589)</f>
        <v>5</v>
      </c>
      <c r="L280" s="4" t="str">
        <f>IF('Service Types'!Q589="","",'Service Types'!Q589)</f>
        <v>Non-crew</v>
      </c>
    </row>
    <row r="281" spans="1:12" x14ac:dyDescent="0.45">
      <c r="A281" s="14">
        <v>280</v>
      </c>
      <c r="B281" s="4" t="s">
        <v>318</v>
      </c>
      <c r="C281" s="4" t="str">
        <f>IF('Service Types'!B234="","",'Service Types'!B234)</f>
        <v>CS - Recreation and Social Programs</v>
      </c>
      <c r="D281" s="5">
        <f>IF('Service Types'!E234="","",'Service Types'!E234)</f>
        <v>75</v>
      </c>
      <c r="E281" s="5">
        <f>IF('Service Types'!D234="","",'Service Types'!D234)</f>
        <v>417</v>
      </c>
      <c r="F281" s="5">
        <f>IF('Service Types'!F234="","",'Service Types'!F234)</f>
        <v>4</v>
      </c>
      <c r="G281" s="5">
        <f>IF('Service Types'!G234="","",'Service Types'!G234)</f>
        <v>0</v>
      </c>
      <c r="H281" s="5">
        <f>IF('Service Types'!H234="","",'Service Types'!H234)</f>
        <v>413</v>
      </c>
      <c r="I281" s="6">
        <f>IF('Service Types'!I234="","",'Service Types'!I234)</f>
        <v>5</v>
      </c>
      <c r="J281" s="6">
        <f>IF('Service Types'!J234="","",'Service Types'!J234)</f>
        <v>9.8000000000000007</v>
      </c>
      <c r="K281" s="6">
        <f>IF('Service Types'!K234="","",'Service Types'!K234)</f>
        <v>22</v>
      </c>
      <c r="L281" s="4" t="str">
        <f>IF('Service Types'!Q234="","",'Service Types'!Q234)</f>
        <v>Non-crew</v>
      </c>
    </row>
    <row r="282" spans="1:12" x14ac:dyDescent="0.45">
      <c r="A282" s="14">
        <v>281</v>
      </c>
      <c r="B282" s="4" t="s">
        <v>744</v>
      </c>
      <c r="C282" s="4" t="str">
        <f>IF('Service Types'!B576="","",'Service Types'!B576)</f>
        <v>OS - Water Services</v>
      </c>
      <c r="D282" s="5">
        <f>IF('Service Types'!E576="","",'Service Types'!E576)</f>
        <v>75</v>
      </c>
      <c r="E282" s="5">
        <f>IF('Service Types'!D576="","",'Service Types'!D576)</f>
        <v>213</v>
      </c>
      <c r="F282" s="5">
        <f>IF('Service Types'!F576="","",'Service Types'!F576)</f>
        <v>35</v>
      </c>
      <c r="G282" s="5">
        <f>IF('Service Types'!G576="","",'Service Types'!G576)</f>
        <v>21</v>
      </c>
      <c r="H282" s="5">
        <f>IF('Service Types'!H576="","",'Service Types'!H576)</f>
        <v>178</v>
      </c>
      <c r="I282" s="6">
        <f>IF('Service Types'!I576="","",'Service Types'!I576)</f>
        <v>15.5</v>
      </c>
      <c r="J282" s="6">
        <f>IF('Service Types'!J576="","",'Service Types'!J576)</f>
        <v>40.9</v>
      </c>
      <c r="K282" s="6">
        <f>IF('Service Types'!K576="","",'Service Types'!K576)</f>
        <v>113</v>
      </c>
      <c r="L282" s="4" t="str">
        <f>IF('Service Types'!Q576="","",'Service Types'!Q576)</f>
        <v>Non-crew</v>
      </c>
    </row>
    <row r="283" spans="1:12" x14ac:dyDescent="0.45">
      <c r="A283" s="14">
        <v>282</v>
      </c>
      <c r="B283" s="4" t="s">
        <v>542</v>
      </c>
      <c r="C283" s="4" t="str">
        <f>IF('Service Types'!B410="","",'Service Types'!B410)</f>
        <v>OS - Mobility</v>
      </c>
      <c r="D283" s="5">
        <f>IF('Service Types'!E410="","",'Service Types'!E410)</f>
        <v>70</v>
      </c>
      <c r="E283" s="5">
        <f>IF('Service Types'!D410="","",'Service Types'!D410)</f>
        <v>347</v>
      </c>
      <c r="F283" s="5">
        <f>IF('Service Types'!F410="","",'Service Types'!F410)</f>
        <v>53</v>
      </c>
      <c r="G283" s="5">
        <f>IF('Service Types'!G410="","",'Service Types'!G410)</f>
        <v>40</v>
      </c>
      <c r="H283" s="5">
        <f>IF('Service Types'!H410="","",'Service Types'!H410)</f>
        <v>294</v>
      </c>
      <c r="I283" s="6">
        <f>IF('Service Types'!I410="","",'Service Types'!I410)</f>
        <v>148</v>
      </c>
      <c r="J283" s="6">
        <f>IF('Service Types'!J410="","",'Service Types'!J410)</f>
        <v>202.4</v>
      </c>
      <c r="K283" s="6">
        <f>IF('Service Types'!K410="","",'Service Types'!K410)</f>
        <v>568</v>
      </c>
      <c r="L283" s="4" t="str">
        <f>IF('Service Types'!Q410="","",'Service Types'!Q410)</f>
        <v>Non-crew</v>
      </c>
    </row>
    <row r="284" spans="1:12" x14ac:dyDescent="0.45">
      <c r="A284" s="14">
        <v>283</v>
      </c>
      <c r="B284" s="4" t="s">
        <v>341</v>
      </c>
      <c r="C284" s="4" t="str">
        <f>IF('Service Types'!B257="","",'Service Types'!B257)</f>
        <v>CS - Recreation and Social Programs</v>
      </c>
      <c r="D284" s="5">
        <f>IF('Service Types'!E257="","",'Service Types'!E257)</f>
        <v>69</v>
      </c>
      <c r="E284" s="5">
        <f>IF('Service Types'!D257="","",'Service Types'!D257)</f>
        <v>85</v>
      </c>
      <c r="F284" s="5">
        <f>IF('Service Types'!F257="","",'Service Types'!F257)</f>
        <v>11</v>
      </c>
      <c r="G284" s="5">
        <f>IF('Service Types'!G257="","",'Service Types'!G257)</f>
        <v>9</v>
      </c>
      <c r="H284" s="5">
        <f>IF('Service Types'!H257="","",'Service Types'!H257)</f>
        <v>74</v>
      </c>
      <c r="I284" s="6">
        <f>IF('Service Types'!I257="","",'Service Types'!I257)</f>
        <v>44</v>
      </c>
      <c r="J284" s="6">
        <f>IF('Service Types'!J257="","",'Service Types'!J257)</f>
        <v>68.8</v>
      </c>
      <c r="K284" s="6">
        <f>IF('Service Types'!K257="","",'Service Types'!K257)</f>
        <v>169</v>
      </c>
      <c r="L284" s="4" t="str">
        <f>IF('Service Types'!Q257="","",'Service Types'!Q257)</f>
        <v>Non-crew</v>
      </c>
    </row>
    <row r="285" spans="1:12" x14ac:dyDescent="0.45">
      <c r="A285" s="14">
        <v>284</v>
      </c>
      <c r="B285" s="4" t="s">
        <v>561</v>
      </c>
      <c r="C285" s="4" t="str">
        <f>IF('Service Types'!B429="","",'Service Types'!B429)</f>
        <v>OS - Mobility</v>
      </c>
      <c r="D285" s="5">
        <f>IF('Service Types'!E429="","",'Service Types'!E429)</f>
        <v>67</v>
      </c>
      <c r="E285" s="5">
        <f>IF('Service Types'!D429="","",'Service Types'!D429)</f>
        <v>74</v>
      </c>
      <c r="F285" s="5">
        <f>IF('Service Types'!F429="","",'Service Types'!F429)</f>
        <v>12</v>
      </c>
      <c r="G285" s="5">
        <f>IF('Service Types'!G429="","",'Service Types'!G429)</f>
        <v>0</v>
      </c>
      <c r="H285" s="5">
        <f>IF('Service Types'!H429="","",'Service Types'!H429)</f>
        <v>62</v>
      </c>
      <c r="I285" s="6">
        <f>IF('Service Types'!I429="","",'Service Types'!I429)</f>
        <v>27</v>
      </c>
      <c r="J285" s="6">
        <f>IF('Service Types'!J429="","",'Service Types'!J429)</f>
        <v>37.6</v>
      </c>
      <c r="K285" s="6">
        <f>IF('Service Types'!K429="","",'Service Types'!K429)</f>
        <v>56</v>
      </c>
      <c r="L285" s="4" t="str">
        <f>IF('Service Types'!Q429="","",'Service Types'!Q429)</f>
        <v>Non-crew</v>
      </c>
    </row>
    <row r="286" spans="1:12" x14ac:dyDescent="0.45">
      <c r="A286" s="14">
        <v>285</v>
      </c>
      <c r="B286" s="4" t="s">
        <v>317</v>
      </c>
      <c r="C286" s="4" t="str">
        <f>IF('Service Types'!B233="","",'Service Types'!B233)</f>
        <v>CS - Recreation and Social Programs</v>
      </c>
      <c r="D286" s="5">
        <f>IF('Service Types'!E233="","",'Service Types'!E233)</f>
        <v>66</v>
      </c>
      <c r="E286" s="5">
        <f>IF('Service Types'!D233="","",'Service Types'!D233)</f>
        <v>430</v>
      </c>
      <c r="F286" s="5">
        <f>IF('Service Types'!F233="","",'Service Types'!F233)</f>
        <v>0</v>
      </c>
      <c r="G286" s="5">
        <f>IF('Service Types'!G233="","",'Service Types'!G233)</f>
        <v>0</v>
      </c>
      <c r="H286" s="5">
        <f>IF('Service Types'!H233="","",'Service Types'!H233)</f>
        <v>430</v>
      </c>
      <c r="I286" s="6">
        <f>IF('Service Types'!I233="","",'Service Types'!I233)</f>
        <v>3</v>
      </c>
      <c r="J286" s="6">
        <f>IF('Service Types'!J233="","",'Service Types'!J233)</f>
        <v>6</v>
      </c>
      <c r="K286" s="6">
        <f>IF('Service Types'!K233="","",'Service Types'!K233)</f>
        <v>13</v>
      </c>
      <c r="L286" s="4" t="str">
        <f>IF('Service Types'!Q233="","",'Service Types'!Q233)</f>
        <v>Non-crew</v>
      </c>
    </row>
    <row r="287" spans="1:12" x14ac:dyDescent="0.45">
      <c r="A287" s="14">
        <v>286</v>
      </c>
      <c r="B287" s="4" t="s">
        <v>786</v>
      </c>
      <c r="C287" s="4" t="str">
        <f>IF('Service Types'!B610="","",'Service Types'!B610)</f>
        <v>PDS - Climate and Environment</v>
      </c>
      <c r="D287" s="5">
        <f>IF('Service Types'!E610="","",'Service Types'!E610)</f>
        <v>65</v>
      </c>
      <c r="E287" s="5">
        <f>IF('Service Types'!D610="","",'Service Types'!D610)</f>
        <v>909</v>
      </c>
      <c r="F287" s="5">
        <f>IF('Service Types'!F610="","",'Service Types'!F610)</f>
        <v>0</v>
      </c>
      <c r="G287" s="5">
        <f>IF('Service Types'!G610="","",'Service Types'!G610)</f>
        <v>0</v>
      </c>
      <c r="H287" s="5">
        <f>IF('Service Types'!H610="","",'Service Types'!H610)</f>
        <v>909</v>
      </c>
      <c r="I287" s="6">
        <f>IF('Service Types'!I610="","",'Service Types'!I610)</f>
        <v>2</v>
      </c>
      <c r="J287" s="6">
        <f>IF('Service Types'!J610="","",'Service Types'!J610)</f>
        <v>13</v>
      </c>
      <c r="K287" s="6">
        <f>IF('Service Types'!K610="","",'Service Types'!K610)</f>
        <v>12</v>
      </c>
      <c r="L287" s="4" t="str">
        <f>IF('Service Types'!Q610="","",'Service Types'!Q610)</f>
        <v>Non-crew</v>
      </c>
    </row>
    <row r="288" spans="1:12" x14ac:dyDescent="0.45">
      <c r="A288" s="14">
        <v>287</v>
      </c>
      <c r="B288" s="4" t="s">
        <v>536</v>
      </c>
      <c r="C288" s="4" t="str">
        <f>IF('Service Types'!B405="","",'Service Types'!B405)</f>
        <v>OS - Mobility</v>
      </c>
      <c r="D288" s="5">
        <f>IF('Service Types'!E405="","",'Service Types'!E405)</f>
        <v>64</v>
      </c>
      <c r="E288" s="5">
        <f>IF('Service Types'!D405="","",'Service Types'!D405)</f>
        <v>522</v>
      </c>
      <c r="F288" s="5">
        <f>IF('Service Types'!F405="","",'Service Types'!F405)</f>
        <v>4</v>
      </c>
      <c r="G288" s="5">
        <f>IF('Service Types'!G405="","",'Service Types'!G405)</f>
        <v>4</v>
      </c>
      <c r="H288" s="5">
        <f>IF('Service Types'!H405="","",'Service Types'!H405)</f>
        <v>518</v>
      </c>
      <c r="I288" s="6">
        <f>IF('Service Types'!I405="","",'Service Types'!I405)</f>
        <v>0</v>
      </c>
      <c r="J288" s="6">
        <f>IF('Service Types'!J405="","",'Service Types'!J405)</f>
        <v>3.8</v>
      </c>
      <c r="K288" s="6">
        <f>IF('Service Types'!K405="","",'Service Types'!K405)</f>
        <v>0</v>
      </c>
      <c r="L288" s="4" t="str">
        <f>IF('Service Types'!Q405="","",'Service Types'!Q405)</f>
        <v>Non-crew</v>
      </c>
    </row>
    <row r="289" spans="1:12" x14ac:dyDescent="0.45">
      <c r="A289" s="14">
        <v>288</v>
      </c>
      <c r="B289" s="4" t="s">
        <v>672</v>
      </c>
      <c r="C289" s="4" t="str">
        <f>IF('Service Types'!B521="","",'Service Types'!B521)</f>
        <v>OS - Waste and Recycling Services</v>
      </c>
      <c r="D289" s="5">
        <f>IF('Service Types'!E521="","",'Service Types'!E521)</f>
        <v>64</v>
      </c>
      <c r="E289" s="5">
        <f>IF('Service Types'!D521="","",'Service Types'!D521)</f>
        <v>342</v>
      </c>
      <c r="F289" s="5">
        <f>IF('Service Types'!F521="","",'Service Types'!F521)</f>
        <v>0</v>
      </c>
      <c r="G289" s="5">
        <f>IF('Service Types'!G521="","",'Service Types'!G521)</f>
        <v>0</v>
      </c>
      <c r="H289" s="5">
        <f>IF('Service Types'!H521="","",'Service Types'!H521)</f>
        <v>342</v>
      </c>
      <c r="I289" s="6">
        <f>IF('Service Types'!I521="","",'Service Types'!I521)</f>
        <v>1</v>
      </c>
      <c r="J289" s="6">
        <f>IF('Service Types'!J521="","",'Service Types'!J521)</f>
        <v>1.2</v>
      </c>
      <c r="K289" s="6">
        <f>IF('Service Types'!K521="","",'Service Types'!K521)</f>
        <v>2</v>
      </c>
      <c r="L289" s="4" t="str">
        <f>IF('Service Types'!Q521="","",'Service Types'!Q521)</f>
        <v>Crew</v>
      </c>
    </row>
    <row r="290" spans="1:12" x14ac:dyDescent="0.45">
      <c r="A290" s="14">
        <v>289</v>
      </c>
      <c r="B290" s="4" t="s">
        <v>739</v>
      </c>
      <c r="C290" s="4" t="str">
        <f>IF('Service Types'!B571="","",'Service Types'!B571)</f>
        <v>OS - Water Services</v>
      </c>
      <c r="D290" s="5">
        <f>IF('Service Types'!E571="","",'Service Types'!E571)</f>
        <v>62</v>
      </c>
      <c r="E290" s="5">
        <f>IF('Service Types'!D571="","",'Service Types'!D571)</f>
        <v>365</v>
      </c>
      <c r="F290" s="5">
        <f>IF('Service Types'!F571="","",'Service Types'!F571)</f>
        <v>1</v>
      </c>
      <c r="G290" s="5">
        <f>IF('Service Types'!G571="","",'Service Types'!G571)</f>
        <v>1</v>
      </c>
      <c r="H290" s="5">
        <f>IF('Service Types'!H571="","",'Service Types'!H571)</f>
        <v>364</v>
      </c>
      <c r="I290" s="6">
        <f>IF('Service Types'!I571="","",'Service Types'!I571)</f>
        <v>4</v>
      </c>
      <c r="J290" s="6">
        <f>IF('Service Types'!J571="","",'Service Types'!J571)</f>
        <v>32.1</v>
      </c>
      <c r="K290" s="6">
        <f>IF('Service Types'!K571="","",'Service Types'!K571)</f>
        <v>23</v>
      </c>
      <c r="L290" s="4" t="str">
        <f>IF('Service Types'!Q571="","",'Service Types'!Q571)</f>
        <v>Non-crew</v>
      </c>
    </row>
    <row r="291" spans="1:12" x14ac:dyDescent="0.45">
      <c r="A291" s="14">
        <v>290</v>
      </c>
      <c r="B291" s="4" t="s">
        <v>403</v>
      </c>
      <c r="C291" s="4" t="str">
        <f>IF('Service Types'!B305="","",'Service Types'!B305)</f>
        <v>IS - Public Spaces Delivery</v>
      </c>
      <c r="D291" s="5">
        <f>IF('Service Types'!E305="","",'Service Types'!E305)</f>
        <v>61</v>
      </c>
      <c r="E291" s="5">
        <f>IF('Service Types'!D305="","",'Service Types'!D305)</f>
        <v>189</v>
      </c>
      <c r="F291" s="5">
        <f>IF('Service Types'!F305="","",'Service Types'!F305)</f>
        <v>3</v>
      </c>
      <c r="G291" s="5">
        <f>IF('Service Types'!G305="","",'Service Types'!G305)</f>
        <v>0</v>
      </c>
      <c r="H291" s="5">
        <f>IF('Service Types'!H305="","",'Service Types'!H305)</f>
        <v>186</v>
      </c>
      <c r="I291" s="6">
        <f>IF('Service Types'!I305="","",'Service Types'!I305)</f>
        <v>1</v>
      </c>
      <c r="J291" s="6">
        <f>IF('Service Types'!J305="","",'Service Types'!J305)</f>
        <v>3.5</v>
      </c>
      <c r="K291" s="6">
        <f>IF('Service Types'!K305="","",'Service Types'!K305)</f>
        <v>12</v>
      </c>
      <c r="L291" s="4" t="str">
        <f>IF('Service Types'!Q305="","",'Service Types'!Q305)</f>
        <v>Non-crew</v>
      </c>
    </row>
    <row r="292" spans="1:12" x14ac:dyDescent="0.45">
      <c r="A292" s="14">
        <v>291</v>
      </c>
      <c r="B292" s="4" t="s">
        <v>336</v>
      </c>
      <c r="C292" s="4" t="str">
        <f>IF('Service Types'!B252="","",'Service Types'!B252)</f>
        <v>CS - Recreation and Social Programs</v>
      </c>
      <c r="D292" s="5">
        <f>IF('Service Types'!E252="","",'Service Types'!E252)</f>
        <v>61</v>
      </c>
      <c r="E292" s="5">
        <f>IF('Service Types'!D252="","",'Service Types'!D252)</f>
        <v>119</v>
      </c>
      <c r="F292" s="5">
        <f>IF('Service Types'!F252="","",'Service Types'!F252)</f>
        <v>0</v>
      </c>
      <c r="G292" s="5">
        <f>IF('Service Types'!G252="","",'Service Types'!G252)</f>
        <v>0</v>
      </c>
      <c r="H292" s="5">
        <f>IF('Service Types'!H252="","",'Service Types'!H252)</f>
        <v>119</v>
      </c>
      <c r="I292" s="6">
        <f>IF('Service Types'!I252="","",'Service Types'!I252)</f>
        <v>3</v>
      </c>
      <c r="J292" s="6">
        <f>IF('Service Types'!J252="","",'Service Types'!J252)</f>
        <v>5.0999999999999996</v>
      </c>
      <c r="K292" s="6">
        <f>IF('Service Types'!K252="","",'Service Types'!K252)</f>
        <v>12</v>
      </c>
      <c r="L292" s="4" t="str">
        <f>IF('Service Types'!Q252="","",'Service Types'!Q252)</f>
        <v>Non-crew</v>
      </c>
    </row>
    <row r="293" spans="1:12" x14ac:dyDescent="0.45">
      <c r="A293" s="14">
        <v>292</v>
      </c>
      <c r="B293" s="4" t="s">
        <v>319</v>
      </c>
      <c r="C293" s="4" t="str">
        <f>IF('Service Types'!B235="","",'Service Types'!B235)</f>
        <v>CS - Recreation and Social Programs</v>
      </c>
      <c r="D293" s="5">
        <f>IF('Service Types'!E235="","",'Service Types'!E235)</f>
        <v>60</v>
      </c>
      <c r="E293" s="5">
        <f>IF('Service Types'!D235="","",'Service Types'!D235)</f>
        <v>416</v>
      </c>
      <c r="F293" s="5">
        <f>IF('Service Types'!F235="","",'Service Types'!F235)</f>
        <v>0</v>
      </c>
      <c r="G293" s="5">
        <f>IF('Service Types'!G235="","",'Service Types'!G235)</f>
        <v>0</v>
      </c>
      <c r="H293" s="5">
        <f>IF('Service Types'!H235="","",'Service Types'!H235)</f>
        <v>416</v>
      </c>
      <c r="I293" s="6">
        <f>IF('Service Types'!I235="","",'Service Types'!I235)</f>
        <v>5</v>
      </c>
      <c r="J293" s="6">
        <f>IF('Service Types'!J235="","",'Service Types'!J235)</f>
        <v>7.9</v>
      </c>
      <c r="K293" s="6">
        <f>IF('Service Types'!K235="","",'Service Types'!K235)</f>
        <v>18</v>
      </c>
      <c r="L293" s="4" t="str">
        <f>IF('Service Types'!Q235="","",'Service Types'!Q235)</f>
        <v>Non-crew</v>
      </c>
    </row>
    <row r="294" spans="1:12" x14ac:dyDescent="0.45">
      <c r="A294" s="14">
        <v>293</v>
      </c>
      <c r="B294" s="4" t="s">
        <v>544</v>
      </c>
      <c r="C294" s="4" t="str">
        <f>IF('Service Types'!B412="","",'Service Types'!B412)</f>
        <v>OS - Mobility</v>
      </c>
      <c r="D294" s="5">
        <f>IF('Service Types'!E412="","",'Service Types'!E412)</f>
        <v>60</v>
      </c>
      <c r="E294" s="5">
        <f>IF('Service Types'!D412="","",'Service Types'!D412)</f>
        <v>320</v>
      </c>
      <c r="F294" s="5">
        <f>IF('Service Types'!F412="","",'Service Types'!F412)</f>
        <v>31</v>
      </c>
      <c r="G294" s="5">
        <f>IF('Service Types'!G412="","",'Service Types'!G412)</f>
        <v>18</v>
      </c>
      <c r="H294" s="5">
        <f>IF('Service Types'!H412="","",'Service Types'!H412)</f>
        <v>289</v>
      </c>
      <c r="I294" s="6">
        <f>IF('Service Types'!I412="","",'Service Types'!I412)</f>
        <v>7</v>
      </c>
      <c r="J294" s="6">
        <f>IF('Service Types'!J412="","",'Service Types'!J412)</f>
        <v>18.3</v>
      </c>
      <c r="K294" s="6">
        <f>IF('Service Types'!K412="","",'Service Types'!K412)</f>
        <v>41</v>
      </c>
      <c r="L294" s="4" t="str">
        <f>IF('Service Types'!Q412="","",'Service Types'!Q412)</f>
        <v>Non-crew</v>
      </c>
    </row>
    <row r="295" spans="1:12" x14ac:dyDescent="0.45">
      <c r="A295" s="14">
        <v>294</v>
      </c>
      <c r="B295" s="4" t="s">
        <v>323</v>
      </c>
      <c r="C295" s="4" t="str">
        <f>IF('Service Types'!B239="","",'Service Types'!B239)</f>
        <v>CS - Recreation and Social Programs</v>
      </c>
      <c r="D295" s="5">
        <f>IF('Service Types'!E239="","",'Service Types'!E239)</f>
        <v>60</v>
      </c>
      <c r="E295" s="5">
        <f>IF('Service Types'!D239="","",'Service Types'!D239)</f>
        <v>313</v>
      </c>
      <c r="F295" s="5">
        <f>IF('Service Types'!F239="","",'Service Types'!F239)</f>
        <v>8</v>
      </c>
      <c r="G295" s="5">
        <f>IF('Service Types'!G239="","",'Service Types'!G239)</f>
        <v>0</v>
      </c>
      <c r="H295" s="5">
        <f>IF('Service Types'!H239="","",'Service Types'!H239)</f>
        <v>305</v>
      </c>
      <c r="I295" s="6">
        <f>IF('Service Types'!I239="","",'Service Types'!I239)</f>
        <v>8</v>
      </c>
      <c r="J295" s="6">
        <f>IF('Service Types'!J239="","",'Service Types'!J239)</f>
        <v>15.2</v>
      </c>
      <c r="K295" s="6">
        <f>IF('Service Types'!K239="","",'Service Types'!K239)</f>
        <v>35</v>
      </c>
      <c r="L295" s="4" t="str">
        <f>IF('Service Types'!Q239="","",'Service Types'!Q239)</f>
        <v>Non-crew</v>
      </c>
    </row>
    <row r="296" spans="1:12" x14ac:dyDescent="0.45">
      <c r="A296" s="14">
        <v>295</v>
      </c>
      <c r="B296" s="4" t="s">
        <v>742</v>
      </c>
      <c r="C296" s="4" t="str">
        <f>IF('Service Types'!B574="","",'Service Types'!B574)</f>
        <v>OS - Water Services</v>
      </c>
      <c r="D296" s="5">
        <f>IF('Service Types'!E574="","",'Service Types'!E574)</f>
        <v>60</v>
      </c>
      <c r="E296" s="5">
        <f>IF('Service Types'!D574="","",'Service Types'!D574)</f>
        <v>259</v>
      </c>
      <c r="F296" s="5">
        <f>IF('Service Types'!F574="","",'Service Types'!F574)</f>
        <v>1</v>
      </c>
      <c r="G296" s="5">
        <f>IF('Service Types'!G574="","",'Service Types'!G574)</f>
        <v>0</v>
      </c>
      <c r="H296" s="5">
        <f>IF('Service Types'!H574="","",'Service Types'!H574)</f>
        <v>258</v>
      </c>
      <c r="I296" s="6">
        <f>IF('Service Types'!I574="","",'Service Types'!I574)</f>
        <v>4</v>
      </c>
      <c r="J296" s="6">
        <f>IF('Service Types'!J574="","",'Service Types'!J574)</f>
        <v>22.2</v>
      </c>
      <c r="K296" s="6">
        <f>IF('Service Types'!K574="","",'Service Types'!K574)</f>
        <v>42</v>
      </c>
      <c r="L296" s="4" t="str">
        <f>IF('Service Types'!Q574="","",'Service Types'!Q574)</f>
        <v>Non-crew</v>
      </c>
    </row>
    <row r="297" spans="1:12" x14ac:dyDescent="0.45">
      <c r="A297" s="14">
        <v>296</v>
      </c>
      <c r="B297" s="4" t="s">
        <v>743</v>
      </c>
      <c r="C297" s="4" t="str">
        <f>IF('Service Types'!B575="","",'Service Types'!B575)</f>
        <v>OS - Water Services</v>
      </c>
      <c r="D297" s="5">
        <f>IF('Service Types'!E575="","",'Service Types'!E575)</f>
        <v>60</v>
      </c>
      <c r="E297" s="5">
        <f>IF('Service Types'!D575="","",'Service Types'!D575)</f>
        <v>252</v>
      </c>
      <c r="F297" s="5">
        <f>IF('Service Types'!F575="","",'Service Types'!F575)</f>
        <v>2</v>
      </c>
      <c r="G297" s="5">
        <f>IF('Service Types'!G575="","",'Service Types'!G575)</f>
        <v>0</v>
      </c>
      <c r="H297" s="5">
        <f>IF('Service Types'!H575="","",'Service Types'!H575)</f>
        <v>250</v>
      </c>
      <c r="I297" s="6">
        <f>IF('Service Types'!I575="","",'Service Types'!I575)</f>
        <v>2</v>
      </c>
      <c r="J297" s="6">
        <f>IF('Service Types'!J575="","",'Service Types'!J575)</f>
        <v>7.9</v>
      </c>
      <c r="K297" s="6">
        <f>IF('Service Types'!K575="","",'Service Types'!K575)</f>
        <v>13</v>
      </c>
      <c r="L297" s="4" t="str">
        <f>IF('Service Types'!Q575="","",'Service Types'!Q575)</f>
        <v>Non-crew</v>
      </c>
    </row>
    <row r="298" spans="1:12" x14ac:dyDescent="0.45">
      <c r="A298" s="14">
        <v>297</v>
      </c>
      <c r="B298" s="4" t="s">
        <v>252</v>
      </c>
      <c r="C298" s="4" t="str">
        <f>IF('Service Types'!B172="","",'Service Types'!B172)</f>
        <v>CS - Emergency Management and Community Safety</v>
      </c>
      <c r="D298" s="5">
        <f>IF('Service Types'!E172="","",'Service Types'!E172)</f>
        <v>60</v>
      </c>
      <c r="E298" s="5">
        <f>IF('Service Types'!D172="","",'Service Types'!D172)</f>
        <v>209</v>
      </c>
      <c r="F298" s="5">
        <f>IF('Service Types'!F172="","",'Service Types'!F172)</f>
        <v>2</v>
      </c>
      <c r="G298" s="5">
        <f>IF('Service Types'!G172="","",'Service Types'!G172)</f>
        <v>1</v>
      </c>
      <c r="H298" s="5">
        <f>IF('Service Types'!H172="","",'Service Types'!H172)</f>
        <v>207</v>
      </c>
      <c r="I298" s="6">
        <f>IF('Service Types'!I172="","",'Service Types'!I172)</f>
        <v>1</v>
      </c>
      <c r="J298" s="6">
        <f>IF('Service Types'!J172="","",'Service Types'!J172)</f>
        <v>2.4</v>
      </c>
      <c r="K298" s="6">
        <f>IF('Service Types'!K172="","",'Service Types'!K172)</f>
        <v>8</v>
      </c>
      <c r="L298" s="4" t="str">
        <f>IF('Service Types'!Q172="","",'Service Types'!Q172)</f>
        <v>Non-crew</v>
      </c>
    </row>
    <row r="299" spans="1:12" x14ac:dyDescent="0.45">
      <c r="A299" s="14">
        <v>298</v>
      </c>
      <c r="B299" s="4" t="s">
        <v>253</v>
      </c>
      <c r="C299" s="4" t="str">
        <f>IF('Service Types'!B173="","",'Service Types'!B173)</f>
        <v>CS - Emergency Management and Community Safety</v>
      </c>
      <c r="D299" s="5">
        <f>IF('Service Types'!E173="","",'Service Types'!E173)</f>
        <v>59</v>
      </c>
      <c r="E299" s="5">
        <f>IF('Service Types'!D173="","",'Service Types'!D173)</f>
        <v>201</v>
      </c>
      <c r="F299" s="5">
        <f>IF('Service Types'!F173="","",'Service Types'!F173)</f>
        <v>5</v>
      </c>
      <c r="G299" s="5">
        <f>IF('Service Types'!G173="","",'Service Types'!G173)</f>
        <v>5</v>
      </c>
      <c r="H299" s="5">
        <f>IF('Service Types'!H173="","",'Service Types'!H173)</f>
        <v>196</v>
      </c>
      <c r="I299" s="6">
        <f>IF('Service Types'!I173="","",'Service Types'!I173)</f>
        <v>1</v>
      </c>
      <c r="J299" s="6">
        <f>IF('Service Types'!J173="","",'Service Types'!J173)</f>
        <v>3.1</v>
      </c>
      <c r="K299" s="6">
        <f>IF('Service Types'!K173="","",'Service Types'!K173)</f>
        <v>8</v>
      </c>
      <c r="L299" s="4" t="str">
        <f>IF('Service Types'!Q173="","",'Service Types'!Q173)</f>
        <v>Non-crew</v>
      </c>
    </row>
    <row r="300" spans="1:12" x14ac:dyDescent="0.45">
      <c r="A300" s="14">
        <v>299</v>
      </c>
      <c r="B300" s="4" t="s">
        <v>846</v>
      </c>
      <c r="C300" s="4" t="str">
        <f>IF('Service Types'!B666="","",'Service Types'!B666)</f>
        <v>PDS - Development, Business and Building Services</v>
      </c>
      <c r="D300" s="5">
        <f>IF('Service Types'!E666="","",'Service Types'!E666)</f>
        <v>59</v>
      </c>
      <c r="E300" s="5">
        <f>IF('Service Types'!D666="","",'Service Types'!D666)</f>
        <v>196</v>
      </c>
      <c r="F300" s="5">
        <f>IF('Service Types'!F666="","",'Service Types'!F666)</f>
        <v>2</v>
      </c>
      <c r="G300" s="5">
        <f>IF('Service Types'!G666="","",'Service Types'!G666)</f>
        <v>1</v>
      </c>
      <c r="H300" s="5">
        <f>IF('Service Types'!H666="","",'Service Types'!H666)</f>
        <v>194</v>
      </c>
      <c r="I300" s="6">
        <f>IF('Service Types'!I666="","",'Service Types'!I666)</f>
        <v>2</v>
      </c>
      <c r="J300" s="6">
        <f>IF('Service Types'!J666="","",'Service Types'!J666)</f>
        <v>12.1</v>
      </c>
      <c r="K300" s="6">
        <f>IF('Service Types'!K666="","",'Service Types'!K666)</f>
        <v>18</v>
      </c>
      <c r="L300" s="4" t="str">
        <f>IF('Service Types'!Q666="","",'Service Types'!Q666)</f>
        <v>Non-crew</v>
      </c>
    </row>
    <row r="301" spans="1:12" x14ac:dyDescent="0.45">
      <c r="A301" s="14">
        <v>300</v>
      </c>
      <c r="B301" s="4" t="s">
        <v>551</v>
      </c>
      <c r="C301" s="4" t="str">
        <f>IF('Service Types'!B419="","",'Service Types'!B419)</f>
        <v>OS - Mobility</v>
      </c>
      <c r="D301" s="5">
        <f>IF('Service Types'!E419="","",'Service Types'!E419)</f>
        <v>59</v>
      </c>
      <c r="E301" s="5">
        <f>IF('Service Types'!D419="","",'Service Types'!D419)</f>
        <v>159</v>
      </c>
      <c r="F301" s="5">
        <f>IF('Service Types'!F419="","",'Service Types'!F419)</f>
        <v>6</v>
      </c>
      <c r="G301" s="5">
        <f>IF('Service Types'!G419="","",'Service Types'!G419)</f>
        <v>5</v>
      </c>
      <c r="H301" s="5">
        <f>IF('Service Types'!H419="","",'Service Types'!H419)</f>
        <v>153</v>
      </c>
      <c r="I301" s="6">
        <f>IF('Service Types'!I419="","",'Service Types'!I419)</f>
        <v>3</v>
      </c>
      <c r="J301" s="6">
        <f>IF('Service Types'!J419="","",'Service Types'!J419)</f>
        <v>5.2</v>
      </c>
      <c r="K301" s="6">
        <f>IF('Service Types'!K419="","",'Service Types'!K419)</f>
        <v>12</v>
      </c>
      <c r="L301" s="4" t="str">
        <f>IF('Service Types'!Q419="","",'Service Types'!Q419)</f>
        <v>Non-crew</v>
      </c>
    </row>
    <row r="302" spans="1:12" x14ac:dyDescent="0.45">
      <c r="A302" s="14">
        <v>301</v>
      </c>
      <c r="B302" s="4" t="s">
        <v>878</v>
      </c>
      <c r="C302" s="4" t="str">
        <f>IF('Service Types'!B694="","",'Service Types'!B694)</f>
        <v>PICS - Collaboration, Analytics and Innovation</v>
      </c>
      <c r="D302" s="5">
        <f>IF('Service Types'!E694="","",'Service Types'!E694)</f>
        <v>58</v>
      </c>
      <c r="E302" s="5">
        <f>IF('Service Types'!D694="","",'Service Types'!D694)</f>
        <v>72</v>
      </c>
      <c r="F302" s="5">
        <f>IF('Service Types'!F694="","",'Service Types'!F694)</f>
        <v>0</v>
      </c>
      <c r="G302" s="5">
        <f>IF('Service Types'!G694="","",'Service Types'!G694)</f>
        <v>0</v>
      </c>
      <c r="H302" s="5">
        <f>IF('Service Types'!H694="","",'Service Types'!H694)</f>
        <v>72</v>
      </c>
      <c r="I302" s="6">
        <f>IF('Service Types'!I694="","",'Service Types'!I694)</f>
        <v>4</v>
      </c>
      <c r="J302" s="6">
        <f>IF('Service Types'!J694="","",'Service Types'!J694)</f>
        <v>7.1</v>
      </c>
      <c r="K302" s="6">
        <f>IF('Service Types'!K694="","",'Service Types'!K694)</f>
        <v>15</v>
      </c>
      <c r="L302" s="4" t="str">
        <f>IF('Service Types'!Q694="","",'Service Types'!Q694)</f>
        <v>Non-crew</v>
      </c>
    </row>
    <row r="303" spans="1:12" x14ac:dyDescent="0.45">
      <c r="A303" s="14">
        <v>302</v>
      </c>
      <c r="B303" s="4" t="s">
        <v>322</v>
      </c>
      <c r="C303" s="4" t="str">
        <f>IF('Service Types'!B238="","",'Service Types'!B238)</f>
        <v>CS - Recreation and Social Programs</v>
      </c>
      <c r="D303" s="5">
        <f>IF('Service Types'!E238="","",'Service Types'!E238)</f>
        <v>56</v>
      </c>
      <c r="E303" s="5">
        <f>IF('Service Types'!D238="","",'Service Types'!D238)</f>
        <v>327</v>
      </c>
      <c r="F303" s="5">
        <f>IF('Service Types'!F238="","",'Service Types'!F238)</f>
        <v>0</v>
      </c>
      <c r="G303" s="5">
        <f>IF('Service Types'!G238="","",'Service Types'!G238)</f>
        <v>0</v>
      </c>
      <c r="H303" s="5">
        <f>IF('Service Types'!H238="","",'Service Types'!H238)</f>
        <v>327</v>
      </c>
      <c r="I303" s="6">
        <f>IF('Service Types'!I238="","",'Service Types'!I238)</f>
        <v>4</v>
      </c>
      <c r="J303" s="6">
        <f>IF('Service Types'!J238="","",'Service Types'!J238)</f>
        <v>9.4</v>
      </c>
      <c r="K303" s="6">
        <f>IF('Service Types'!K238="","",'Service Types'!K238)</f>
        <v>19</v>
      </c>
      <c r="L303" s="4" t="str">
        <f>IF('Service Types'!Q238="","",'Service Types'!Q238)</f>
        <v>Non-crew</v>
      </c>
    </row>
    <row r="304" spans="1:12" x14ac:dyDescent="0.45">
      <c r="A304" s="14">
        <v>303</v>
      </c>
      <c r="B304" s="4" t="s">
        <v>566</v>
      </c>
      <c r="C304" s="4" t="str">
        <f>IF('Service Types'!B434="","",'Service Types'!B434)</f>
        <v>OS - Mobility</v>
      </c>
      <c r="D304" s="5">
        <f>IF('Service Types'!E434="","",'Service Types'!E434)</f>
        <v>56</v>
      </c>
      <c r="E304" s="5">
        <f>IF('Service Types'!D434="","",'Service Types'!D434)</f>
        <v>56</v>
      </c>
      <c r="F304" s="5">
        <f>IF('Service Types'!F434="","",'Service Types'!F434)</f>
        <v>38</v>
      </c>
      <c r="G304" s="5">
        <f>IF('Service Types'!G434="","",'Service Types'!G434)</f>
        <v>0</v>
      </c>
      <c r="H304" s="5">
        <f>IF('Service Types'!H434="","",'Service Types'!H434)</f>
        <v>18</v>
      </c>
      <c r="I304" s="6">
        <f>IF('Service Types'!I434="","",'Service Types'!I434)</f>
        <v>0</v>
      </c>
      <c r="J304" s="6">
        <f>IF('Service Types'!J434="","",'Service Types'!J434)</f>
        <v>0.1</v>
      </c>
      <c r="K304" s="6">
        <f>IF('Service Types'!K434="","",'Service Types'!K434)</f>
        <v>0</v>
      </c>
      <c r="L304" s="4" t="str">
        <f>IF('Service Types'!Q434="","",'Service Types'!Q434)</f>
        <v>Non-crew</v>
      </c>
    </row>
    <row r="305" spans="1:12" x14ac:dyDescent="0.45">
      <c r="A305" s="14">
        <v>304</v>
      </c>
      <c r="B305" s="4" t="s">
        <v>376</v>
      </c>
      <c r="C305" s="4" t="str">
        <f>IF('Service Types'!B283="","",'Service Types'!B283)</f>
        <v>IS - Capital Planning and Business Services</v>
      </c>
      <c r="D305" s="5">
        <f>IF('Service Types'!E283="","",'Service Types'!E283)</f>
        <v>55</v>
      </c>
      <c r="E305" s="5">
        <f>IF('Service Types'!D283="","",'Service Types'!D283)</f>
        <v>131</v>
      </c>
      <c r="F305" s="5">
        <f>IF('Service Types'!F283="","",'Service Types'!F283)</f>
        <v>0</v>
      </c>
      <c r="G305" s="5">
        <f>IF('Service Types'!G283="","",'Service Types'!G283)</f>
        <v>0</v>
      </c>
      <c r="H305" s="5">
        <f>IF('Service Types'!H283="","",'Service Types'!H283)</f>
        <v>131</v>
      </c>
      <c r="I305" s="6">
        <f>IF('Service Types'!I283="","",'Service Types'!I283)</f>
        <v>3</v>
      </c>
      <c r="J305" s="6">
        <f>IF('Service Types'!J283="","",'Service Types'!J283)</f>
        <v>6.4</v>
      </c>
      <c r="K305" s="6">
        <f>IF('Service Types'!K283="","",'Service Types'!K283)</f>
        <v>7</v>
      </c>
      <c r="L305" s="4" t="str">
        <f>IF('Service Types'!Q283="","",'Service Types'!Q283)</f>
        <v>Crew</v>
      </c>
    </row>
    <row r="306" spans="1:12" x14ac:dyDescent="0.45">
      <c r="A306" s="14">
        <v>305</v>
      </c>
      <c r="B306" s="4" t="s">
        <v>555</v>
      </c>
      <c r="C306" s="4" t="str">
        <f>IF('Service Types'!B423="","",'Service Types'!B423)</f>
        <v>OS - Mobility</v>
      </c>
      <c r="D306" s="5">
        <f>IF('Service Types'!E423="","",'Service Types'!E423)</f>
        <v>55</v>
      </c>
      <c r="E306" s="5">
        <f>IF('Service Types'!D423="","",'Service Types'!D423)</f>
        <v>110</v>
      </c>
      <c r="F306" s="5">
        <f>IF('Service Types'!F423="","",'Service Types'!F423)</f>
        <v>56</v>
      </c>
      <c r="G306" s="5">
        <f>IF('Service Types'!G423="","",'Service Types'!G423)</f>
        <v>54</v>
      </c>
      <c r="H306" s="5">
        <f>IF('Service Types'!H423="","",'Service Types'!H423)</f>
        <v>54</v>
      </c>
      <c r="I306" s="6">
        <f>IF('Service Types'!I423="","",'Service Types'!I423)</f>
        <v>26</v>
      </c>
      <c r="J306" s="6">
        <f>IF('Service Types'!J423="","",'Service Types'!J423)</f>
        <v>103.2</v>
      </c>
      <c r="K306" s="6">
        <f>IF('Service Types'!K423="","",'Service Types'!K423)</f>
        <v>329</v>
      </c>
      <c r="L306" s="4" t="str">
        <f>IF('Service Types'!Q423="","",'Service Types'!Q423)</f>
        <v>Non-crew</v>
      </c>
    </row>
    <row r="307" spans="1:12" x14ac:dyDescent="0.45">
      <c r="A307" s="14">
        <v>306</v>
      </c>
      <c r="B307" s="4" t="s">
        <v>250</v>
      </c>
      <c r="C307" s="4" t="str">
        <f>IF('Service Types'!B170="","",'Service Types'!B170)</f>
        <v>CS - Emergency Management and Community Safety</v>
      </c>
      <c r="D307" s="5">
        <f>IF('Service Types'!E170="","",'Service Types'!E170)</f>
        <v>53</v>
      </c>
      <c r="E307" s="5">
        <f>IF('Service Types'!D170="","",'Service Types'!D170)</f>
        <v>244</v>
      </c>
      <c r="F307" s="5">
        <f>IF('Service Types'!F170="","",'Service Types'!F170)</f>
        <v>1</v>
      </c>
      <c r="G307" s="5">
        <f>IF('Service Types'!G170="","",'Service Types'!G170)</f>
        <v>1</v>
      </c>
      <c r="H307" s="5">
        <f>IF('Service Types'!H170="","",'Service Types'!H170)</f>
        <v>243</v>
      </c>
      <c r="I307" s="6">
        <f>IF('Service Types'!I170="","",'Service Types'!I170)</f>
        <v>0</v>
      </c>
      <c r="J307" s="6">
        <f>IF('Service Types'!J170="","",'Service Types'!J170)</f>
        <v>2.6</v>
      </c>
      <c r="K307" s="6">
        <f>IF('Service Types'!K170="","",'Service Types'!K170)</f>
        <v>8</v>
      </c>
      <c r="L307" s="4" t="str">
        <f>IF('Service Types'!Q170="","",'Service Types'!Q170)</f>
        <v>Non-crew</v>
      </c>
    </row>
    <row r="308" spans="1:12" x14ac:dyDescent="0.45">
      <c r="A308" s="14">
        <v>307</v>
      </c>
      <c r="B308" s="4" t="s">
        <v>331</v>
      </c>
      <c r="C308" s="4" t="str">
        <f>IF('Service Types'!B247="","",'Service Types'!B247)</f>
        <v>CS - Recreation and Social Programs</v>
      </c>
      <c r="D308" s="5">
        <f>IF('Service Types'!E247="","",'Service Types'!E247)</f>
        <v>53</v>
      </c>
      <c r="E308" s="5">
        <f>IF('Service Types'!D247="","",'Service Types'!D247)</f>
        <v>172</v>
      </c>
      <c r="F308" s="5">
        <f>IF('Service Types'!F247="","",'Service Types'!F247)</f>
        <v>2</v>
      </c>
      <c r="G308" s="5">
        <f>IF('Service Types'!G247="","",'Service Types'!G247)</f>
        <v>0</v>
      </c>
      <c r="H308" s="5">
        <f>IF('Service Types'!H247="","",'Service Types'!H247)</f>
        <v>170</v>
      </c>
      <c r="I308" s="6">
        <f>IF('Service Types'!I247="","",'Service Types'!I247)</f>
        <v>4</v>
      </c>
      <c r="J308" s="6">
        <f>IF('Service Types'!J247="","",'Service Types'!J247)</f>
        <v>7.1</v>
      </c>
      <c r="K308" s="6">
        <f>IF('Service Types'!K247="","",'Service Types'!K247)</f>
        <v>14</v>
      </c>
      <c r="L308" s="4" t="str">
        <f>IF('Service Types'!Q247="","",'Service Types'!Q247)</f>
        <v>Non-crew</v>
      </c>
    </row>
    <row r="309" spans="1:12" x14ac:dyDescent="0.45">
      <c r="A309" s="14">
        <v>308</v>
      </c>
      <c r="B309" s="4" t="s">
        <v>248</v>
      </c>
      <c r="C309" s="4" t="str">
        <f>IF('Service Types'!B168="","",'Service Types'!B168)</f>
        <v>CS - Emergency Management and Community Safety</v>
      </c>
      <c r="D309" s="5">
        <f>IF('Service Types'!E168="","",'Service Types'!E168)</f>
        <v>52</v>
      </c>
      <c r="E309" s="5">
        <f>IF('Service Types'!D168="","",'Service Types'!D168)</f>
        <v>259</v>
      </c>
      <c r="F309" s="5">
        <f>IF('Service Types'!F168="","",'Service Types'!F168)</f>
        <v>0</v>
      </c>
      <c r="G309" s="5">
        <f>IF('Service Types'!G168="","",'Service Types'!G168)</f>
        <v>0</v>
      </c>
      <c r="H309" s="5">
        <f>IF('Service Types'!H168="","",'Service Types'!H168)</f>
        <v>259</v>
      </c>
      <c r="I309" s="6">
        <f>IF('Service Types'!I168="","",'Service Types'!I168)</f>
        <v>2</v>
      </c>
      <c r="J309" s="6">
        <f>IF('Service Types'!J168="","",'Service Types'!J168)</f>
        <v>6.3</v>
      </c>
      <c r="K309" s="6">
        <f>IF('Service Types'!K168="","",'Service Types'!K168)</f>
        <v>12</v>
      </c>
      <c r="L309" s="4" t="str">
        <f>IF('Service Types'!Q168="","",'Service Types'!Q168)</f>
        <v>Non-crew</v>
      </c>
    </row>
    <row r="310" spans="1:12" x14ac:dyDescent="0.45">
      <c r="A310" s="14">
        <v>309</v>
      </c>
      <c r="B310" s="4" t="s">
        <v>254</v>
      </c>
      <c r="C310" s="4" t="str">
        <f>IF('Service Types'!B174="","",'Service Types'!B174)</f>
        <v>CS - Emergency Management and Community Safety</v>
      </c>
      <c r="D310" s="5">
        <f>IF('Service Types'!E174="","",'Service Types'!E174)</f>
        <v>51</v>
      </c>
      <c r="E310" s="5">
        <f>IF('Service Types'!D174="","",'Service Types'!D174)</f>
        <v>187</v>
      </c>
      <c r="F310" s="5">
        <f>IF('Service Types'!F174="","",'Service Types'!F174)</f>
        <v>25</v>
      </c>
      <c r="G310" s="5">
        <f>IF('Service Types'!G174="","",'Service Types'!G174)</f>
        <v>14</v>
      </c>
      <c r="H310" s="5">
        <f>IF('Service Types'!H174="","",'Service Types'!H174)</f>
        <v>162</v>
      </c>
      <c r="I310" s="6">
        <f>IF('Service Types'!I174="","",'Service Types'!I174)</f>
        <v>119.5</v>
      </c>
      <c r="J310" s="6">
        <f>IF('Service Types'!J174="","",'Service Types'!J174)</f>
        <v>116.2</v>
      </c>
      <c r="K310" s="6">
        <f>IF('Service Types'!K174="","",'Service Types'!K174)</f>
        <v>238</v>
      </c>
      <c r="L310" s="4" t="str">
        <f>IF('Service Types'!Q174="","",'Service Types'!Q174)</f>
        <v>Non-crew</v>
      </c>
    </row>
    <row r="311" spans="1:12" x14ac:dyDescent="0.45">
      <c r="A311" s="14">
        <v>310</v>
      </c>
      <c r="B311" s="4" t="s">
        <v>866</v>
      </c>
      <c r="C311" s="4" t="str">
        <f>IF('Service Types'!B684="","",'Service Types'!B684)</f>
        <v>PDS - Environmental Risk &amp; Resilience</v>
      </c>
      <c r="D311" s="5">
        <f>IF('Service Types'!E684="","",'Service Types'!E684)</f>
        <v>51</v>
      </c>
      <c r="E311" s="5">
        <f>IF('Service Types'!D684="","",'Service Types'!D684)</f>
        <v>51</v>
      </c>
      <c r="F311" s="5">
        <f>IF('Service Types'!F684="","",'Service Types'!F684)</f>
        <v>1</v>
      </c>
      <c r="G311" s="5">
        <f>IF('Service Types'!G684="","",'Service Types'!G684)</f>
        <v>0</v>
      </c>
      <c r="H311" s="5">
        <f>IF('Service Types'!H684="","",'Service Types'!H684)</f>
        <v>50</v>
      </c>
      <c r="I311" s="6">
        <f>IF('Service Types'!I684="","",'Service Types'!I684)</f>
        <v>6.5</v>
      </c>
      <c r="J311" s="6">
        <f>IF('Service Types'!J684="","",'Service Types'!J684)</f>
        <v>10</v>
      </c>
      <c r="K311" s="6">
        <f>IF('Service Types'!K684="","",'Service Types'!K684)</f>
        <v>21</v>
      </c>
      <c r="L311" s="4" t="str">
        <f>IF('Service Types'!Q684="","",'Service Types'!Q684)</f>
        <v>Non-crew</v>
      </c>
    </row>
    <row r="312" spans="1:12" x14ac:dyDescent="0.45">
      <c r="A312" s="14">
        <v>311</v>
      </c>
      <c r="B312" s="4" t="s">
        <v>675</v>
      </c>
      <c r="C312" s="4" t="str">
        <f>IF('Service Types'!B523="","",'Service Types'!B523)</f>
        <v>OS - Waste and Recycling Services</v>
      </c>
      <c r="D312" s="5">
        <f>IF('Service Types'!E523="","",'Service Types'!E523)</f>
        <v>49</v>
      </c>
      <c r="E312" s="5">
        <f>IF('Service Types'!D523="","",'Service Types'!D523)</f>
        <v>282</v>
      </c>
      <c r="F312" s="5">
        <f>IF('Service Types'!F523="","",'Service Types'!F523)</f>
        <v>0</v>
      </c>
      <c r="G312" s="5">
        <f>IF('Service Types'!G523="","",'Service Types'!G523)</f>
        <v>0</v>
      </c>
      <c r="H312" s="5">
        <f>IF('Service Types'!H523="","",'Service Types'!H523)</f>
        <v>282</v>
      </c>
      <c r="I312" s="6">
        <f>IF('Service Types'!I523="","",'Service Types'!I523)</f>
        <v>4</v>
      </c>
      <c r="J312" s="6">
        <f>IF('Service Types'!J523="","",'Service Types'!J523)</f>
        <v>5.9</v>
      </c>
      <c r="K312" s="6">
        <f>IF('Service Types'!K523="","",'Service Types'!K523)</f>
        <v>12</v>
      </c>
      <c r="L312" s="4" t="str">
        <f>IF('Service Types'!Q523="","",'Service Types'!Q523)</f>
        <v>Non-crew</v>
      </c>
    </row>
    <row r="313" spans="1:12" x14ac:dyDescent="0.45">
      <c r="A313" s="14">
        <v>312</v>
      </c>
      <c r="B313" s="4" t="s">
        <v>126</v>
      </c>
      <c r="C313" s="4" t="str">
        <f>IF('Service Types'!B64="","",'Service Types'!B64)</f>
        <v>CS - Calgary Fire</v>
      </c>
      <c r="D313" s="5">
        <f>IF('Service Types'!E64="","",'Service Types'!E64)</f>
        <v>49</v>
      </c>
      <c r="E313" s="5">
        <f>IF('Service Types'!D64="","",'Service Types'!D64)</f>
        <v>261</v>
      </c>
      <c r="F313" s="5">
        <f>IF('Service Types'!F64="","",'Service Types'!F64)</f>
        <v>4</v>
      </c>
      <c r="G313" s="5">
        <f>IF('Service Types'!G64="","",'Service Types'!G64)</f>
        <v>3</v>
      </c>
      <c r="H313" s="5">
        <f>IF('Service Types'!H64="","",'Service Types'!H64)</f>
        <v>257</v>
      </c>
      <c r="I313" s="6">
        <f>IF('Service Types'!I64="","",'Service Types'!I64)</f>
        <v>3</v>
      </c>
      <c r="J313" s="6">
        <f>IF('Service Types'!J64="","",'Service Types'!J64)</f>
        <v>22.8</v>
      </c>
      <c r="K313" s="6">
        <f>IF('Service Types'!K64="","",'Service Types'!K64)</f>
        <v>14</v>
      </c>
      <c r="L313" s="4" t="str">
        <f>IF('Service Types'!Q64="","",'Service Types'!Q64)</f>
        <v>Non-crew</v>
      </c>
    </row>
    <row r="314" spans="1:12" x14ac:dyDescent="0.45">
      <c r="A314" s="14">
        <v>313</v>
      </c>
      <c r="B314" s="4" t="s">
        <v>246</v>
      </c>
      <c r="C314" s="4" t="str">
        <f>IF('Service Types'!B166="","",'Service Types'!B166)</f>
        <v>CS - Emergency Management and Community Safety</v>
      </c>
      <c r="D314" s="5">
        <f>IF('Service Types'!E166="","",'Service Types'!E166)</f>
        <v>48</v>
      </c>
      <c r="E314" s="5">
        <f>IF('Service Types'!D166="","",'Service Types'!D166)</f>
        <v>284</v>
      </c>
      <c r="F314" s="5">
        <f>IF('Service Types'!F166="","",'Service Types'!F166)</f>
        <v>0</v>
      </c>
      <c r="G314" s="5">
        <f>IF('Service Types'!G166="","",'Service Types'!G166)</f>
        <v>0</v>
      </c>
      <c r="H314" s="5">
        <f>IF('Service Types'!H166="","",'Service Types'!H166)</f>
        <v>284</v>
      </c>
      <c r="I314" s="6">
        <f>IF('Service Types'!I166="","",'Service Types'!I166)</f>
        <v>4</v>
      </c>
      <c r="J314" s="6">
        <f>IF('Service Types'!J166="","",'Service Types'!J166)</f>
        <v>35.6</v>
      </c>
      <c r="K314" s="6">
        <f>IF('Service Types'!K166="","",'Service Types'!K166)</f>
        <v>115</v>
      </c>
      <c r="L314" s="4" t="str">
        <f>IF('Service Types'!Q166="","",'Service Types'!Q166)</f>
        <v>Non-crew</v>
      </c>
    </row>
    <row r="315" spans="1:12" x14ac:dyDescent="0.45">
      <c r="A315" s="14">
        <v>314</v>
      </c>
      <c r="B315" s="4" t="s">
        <v>128</v>
      </c>
      <c r="C315" s="4" t="str">
        <f>IF('Service Types'!B66="","",'Service Types'!B66)</f>
        <v>CS - Calgary Fire</v>
      </c>
      <c r="D315" s="5">
        <f>IF('Service Types'!E66="","",'Service Types'!E66)</f>
        <v>47</v>
      </c>
      <c r="E315" s="5">
        <f>IF('Service Types'!D66="","",'Service Types'!D66)</f>
        <v>208</v>
      </c>
      <c r="F315" s="5">
        <f>IF('Service Types'!F66="","",'Service Types'!F66)</f>
        <v>0</v>
      </c>
      <c r="G315" s="5">
        <f>IF('Service Types'!G66="","",'Service Types'!G66)</f>
        <v>0</v>
      </c>
      <c r="H315" s="5">
        <f>IF('Service Types'!H66="","",'Service Types'!H66)</f>
        <v>208</v>
      </c>
      <c r="I315" s="6">
        <f>IF('Service Types'!I66="","",'Service Types'!I66)</f>
        <v>1</v>
      </c>
      <c r="J315" s="6">
        <f>IF('Service Types'!J66="","",'Service Types'!J66)</f>
        <v>5.6</v>
      </c>
      <c r="K315" s="6">
        <f>IF('Service Types'!K66="","",'Service Types'!K66)</f>
        <v>4</v>
      </c>
      <c r="L315" s="4" t="str">
        <f>IF('Service Types'!Q66="","",'Service Types'!Q66)</f>
        <v>Non-crew</v>
      </c>
    </row>
    <row r="316" spans="1:12" x14ac:dyDescent="0.45">
      <c r="A316" s="14">
        <v>315</v>
      </c>
      <c r="B316" s="4" t="s">
        <v>805</v>
      </c>
      <c r="C316" s="4" t="str">
        <f>IF('Service Types'!B627="","",'Service Types'!B627)</f>
        <v>PDS - Community Planning</v>
      </c>
      <c r="D316" s="5">
        <f>IF('Service Types'!E627="","",'Service Types'!E627)</f>
        <v>47</v>
      </c>
      <c r="E316" s="5">
        <f>IF('Service Types'!D627="","",'Service Types'!D627)</f>
        <v>99</v>
      </c>
      <c r="F316" s="5">
        <f>IF('Service Types'!F627="","",'Service Types'!F627)</f>
        <v>2</v>
      </c>
      <c r="G316" s="5">
        <f>IF('Service Types'!G627="","",'Service Types'!G627)</f>
        <v>0</v>
      </c>
      <c r="H316" s="5">
        <f>IF('Service Types'!H627="","",'Service Types'!H627)</f>
        <v>97</v>
      </c>
      <c r="I316" s="6">
        <f>IF('Service Types'!I627="","",'Service Types'!I627)</f>
        <v>9</v>
      </c>
      <c r="J316" s="6">
        <f>IF('Service Types'!J627="","",'Service Types'!J627)</f>
        <v>12.7</v>
      </c>
      <c r="K316" s="6">
        <f>IF('Service Types'!K627="","",'Service Types'!K627)</f>
        <v>27</v>
      </c>
      <c r="L316" s="4" t="str">
        <f>IF('Service Types'!Q627="","",'Service Types'!Q627)</f>
        <v>Non-crew</v>
      </c>
    </row>
    <row r="317" spans="1:12" x14ac:dyDescent="0.45">
      <c r="A317" s="14">
        <v>316</v>
      </c>
      <c r="B317" s="4" t="s">
        <v>741</v>
      </c>
      <c r="C317" s="4" t="str">
        <f>IF('Service Types'!B573="","",'Service Types'!B573)</f>
        <v>OS - Water Services</v>
      </c>
      <c r="D317" s="5">
        <f>IF('Service Types'!E573="","",'Service Types'!E573)</f>
        <v>45</v>
      </c>
      <c r="E317" s="5">
        <f>IF('Service Types'!D573="","",'Service Types'!D573)</f>
        <v>265</v>
      </c>
      <c r="F317" s="5">
        <f>IF('Service Types'!F573="","",'Service Types'!F573)</f>
        <v>1</v>
      </c>
      <c r="G317" s="5">
        <f>IF('Service Types'!G573="","",'Service Types'!G573)</f>
        <v>0</v>
      </c>
      <c r="H317" s="5">
        <f>IF('Service Types'!H573="","",'Service Types'!H573)</f>
        <v>264</v>
      </c>
      <c r="I317" s="6">
        <f>IF('Service Types'!I573="","",'Service Types'!I573)</f>
        <v>3</v>
      </c>
      <c r="J317" s="6">
        <f>IF('Service Types'!J573="","",'Service Types'!J573)</f>
        <v>3.9</v>
      </c>
      <c r="K317" s="6">
        <f>IF('Service Types'!K573="","",'Service Types'!K573)</f>
        <v>7</v>
      </c>
      <c r="L317" s="4" t="str">
        <f>IF('Service Types'!Q573="","",'Service Types'!Q573)</f>
        <v>Non-crew</v>
      </c>
    </row>
    <row r="318" spans="1:12" x14ac:dyDescent="0.45">
      <c r="A318" s="14">
        <v>317</v>
      </c>
      <c r="B318" s="4" t="s">
        <v>746</v>
      </c>
      <c r="C318" s="4" t="str">
        <f>IF('Service Types'!B578="","",'Service Types'!B578)</f>
        <v>OS - Water Services</v>
      </c>
      <c r="D318" s="5">
        <f>IF('Service Types'!E578="","",'Service Types'!E578)</f>
        <v>45</v>
      </c>
      <c r="E318" s="5">
        <f>IF('Service Types'!D578="","",'Service Types'!D578)</f>
        <v>162</v>
      </c>
      <c r="F318" s="5">
        <f>IF('Service Types'!F578="","",'Service Types'!F578)</f>
        <v>28</v>
      </c>
      <c r="G318" s="5">
        <f>IF('Service Types'!G578="","",'Service Types'!G578)</f>
        <v>11</v>
      </c>
      <c r="H318" s="5">
        <f>IF('Service Types'!H578="","",'Service Types'!H578)</f>
        <v>134</v>
      </c>
      <c r="I318" s="6">
        <f>IF('Service Types'!I578="","",'Service Types'!I578)</f>
        <v>173.5</v>
      </c>
      <c r="J318" s="6">
        <f>IF('Service Types'!J578="","",'Service Types'!J578)</f>
        <v>259.8</v>
      </c>
      <c r="K318" s="6">
        <f>IF('Service Types'!K578="","",'Service Types'!K578)</f>
        <v>662</v>
      </c>
      <c r="L318" s="4" t="str">
        <f>IF('Service Types'!Q578="","",'Service Types'!Q578)</f>
        <v>Non-crew</v>
      </c>
    </row>
    <row r="319" spans="1:12" x14ac:dyDescent="0.45">
      <c r="A319" s="14">
        <v>318</v>
      </c>
      <c r="B319" s="4" t="s">
        <v>488</v>
      </c>
      <c r="C319" s="4" t="str">
        <f>IF('Service Types'!B368="","",'Service Types'!B368)</f>
        <v>OS - Fleet and Inventory</v>
      </c>
      <c r="D319" s="5">
        <f>IF('Service Types'!E368="","",'Service Types'!E368)</f>
        <v>45</v>
      </c>
      <c r="E319" s="5">
        <f>IF('Service Types'!D368="","",'Service Types'!D368)</f>
        <v>126</v>
      </c>
      <c r="F319" s="5">
        <f>IF('Service Types'!F368="","",'Service Types'!F368)</f>
        <v>0</v>
      </c>
      <c r="G319" s="5">
        <f>IF('Service Types'!G368="","",'Service Types'!G368)</f>
        <v>0</v>
      </c>
      <c r="H319" s="5">
        <f>IF('Service Types'!H368="","",'Service Types'!H368)</f>
        <v>126</v>
      </c>
      <c r="I319" s="6">
        <f>IF('Service Types'!I368="","",'Service Types'!I368)</f>
        <v>4</v>
      </c>
      <c r="J319" s="6">
        <f>IF('Service Types'!J368="","",'Service Types'!J368)</f>
        <v>14.6</v>
      </c>
      <c r="K319" s="6">
        <f>IF('Service Types'!K368="","",'Service Types'!K368)</f>
        <v>24</v>
      </c>
      <c r="L319" s="4" t="str">
        <f>IF('Service Types'!Q368="","",'Service Types'!Q368)</f>
        <v>Non-crew</v>
      </c>
    </row>
    <row r="320" spans="1:12" x14ac:dyDescent="0.45">
      <c r="A320" s="14">
        <v>319</v>
      </c>
      <c r="B320" s="4" t="s">
        <v>324</v>
      </c>
      <c r="C320" s="4" t="str">
        <f>IF('Service Types'!B240="","",'Service Types'!B240)</f>
        <v>CS - Recreation and Social Programs</v>
      </c>
      <c r="D320" s="5">
        <f>IF('Service Types'!E240="","",'Service Types'!E240)</f>
        <v>44</v>
      </c>
      <c r="E320" s="5">
        <f>IF('Service Types'!D240="","",'Service Types'!D240)</f>
        <v>290</v>
      </c>
      <c r="F320" s="5">
        <f>IF('Service Types'!F240="","",'Service Types'!F240)</f>
        <v>1</v>
      </c>
      <c r="G320" s="5">
        <f>IF('Service Types'!G240="","",'Service Types'!G240)</f>
        <v>1</v>
      </c>
      <c r="H320" s="5">
        <f>IF('Service Types'!H240="","",'Service Types'!H240)</f>
        <v>289</v>
      </c>
      <c r="I320" s="6">
        <f>IF('Service Types'!I240="","",'Service Types'!I240)</f>
        <v>3</v>
      </c>
      <c r="J320" s="6">
        <f>IF('Service Types'!J240="","",'Service Types'!J240)</f>
        <v>5.6</v>
      </c>
      <c r="K320" s="6">
        <f>IF('Service Types'!K240="","",'Service Types'!K240)</f>
        <v>13</v>
      </c>
      <c r="L320" s="4" t="str">
        <f>IF('Service Types'!Q240="","",'Service Types'!Q240)</f>
        <v>Non-crew</v>
      </c>
    </row>
    <row r="321" spans="1:12" x14ac:dyDescent="0.45">
      <c r="A321" s="14">
        <v>320</v>
      </c>
      <c r="B321" s="4" t="s">
        <v>325</v>
      </c>
      <c r="C321" s="4" t="str">
        <f>IF('Service Types'!B241="","",'Service Types'!B241)</f>
        <v>CS - Recreation and Social Programs</v>
      </c>
      <c r="D321" s="5">
        <f>IF('Service Types'!E241="","",'Service Types'!E241)</f>
        <v>44</v>
      </c>
      <c r="E321" s="5">
        <f>IF('Service Types'!D241="","",'Service Types'!D241)</f>
        <v>257</v>
      </c>
      <c r="F321" s="5">
        <f>IF('Service Types'!F241="","",'Service Types'!F241)</f>
        <v>3</v>
      </c>
      <c r="G321" s="5">
        <f>IF('Service Types'!G241="","",'Service Types'!G241)</f>
        <v>2</v>
      </c>
      <c r="H321" s="5">
        <f>IF('Service Types'!H241="","",'Service Types'!H241)</f>
        <v>254</v>
      </c>
      <c r="I321" s="6">
        <f>IF('Service Types'!I241="","",'Service Types'!I241)</f>
        <v>3</v>
      </c>
      <c r="J321" s="6">
        <f>IF('Service Types'!J241="","",'Service Types'!J241)</f>
        <v>6.2</v>
      </c>
      <c r="K321" s="6">
        <f>IF('Service Types'!K241="","",'Service Types'!K241)</f>
        <v>16</v>
      </c>
      <c r="L321" s="4" t="str">
        <f>IF('Service Types'!Q241="","",'Service Types'!Q241)</f>
        <v>Non-crew</v>
      </c>
    </row>
    <row r="322" spans="1:12" x14ac:dyDescent="0.45">
      <c r="A322" s="14">
        <v>321</v>
      </c>
      <c r="B322" s="4" t="s">
        <v>639</v>
      </c>
      <c r="C322" s="4" t="str">
        <f>IF('Service Types'!B496="","",'Service Types'!B496)</f>
        <v>OS - Parks and Open Spaces</v>
      </c>
      <c r="D322" s="5">
        <f>IF('Service Types'!E496="","",'Service Types'!E496)</f>
        <v>44</v>
      </c>
      <c r="E322" s="5">
        <f>IF('Service Types'!D496="","",'Service Types'!D496)</f>
        <v>91</v>
      </c>
      <c r="F322" s="5">
        <f>IF('Service Types'!F496="","",'Service Types'!F496)</f>
        <v>0</v>
      </c>
      <c r="G322" s="5">
        <f>IF('Service Types'!G496="","",'Service Types'!G496)</f>
        <v>0</v>
      </c>
      <c r="H322" s="5">
        <f>IF('Service Types'!H496="","",'Service Types'!H496)</f>
        <v>91</v>
      </c>
      <c r="I322" s="6">
        <f>IF('Service Types'!I496="","",'Service Types'!I496)</f>
        <v>54</v>
      </c>
      <c r="J322" s="6">
        <f>IF('Service Types'!J496="","",'Service Types'!J496)</f>
        <v>82.7</v>
      </c>
      <c r="K322" s="6">
        <f>IF('Service Types'!K496="","",'Service Types'!K496)</f>
        <v>178</v>
      </c>
      <c r="L322" s="4" t="str">
        <f>IF('Service Types'!Q496="","",'Service Types'!Q496)</f>
        <v>Non-crew</v>
      </c>
    </row>
    <row r="323" spans="1:12" x14ac:dyDescent="0.45">
      <c r="A323" s="14">
        <v>322</v>
      </c>
      <c r="B323" s="4" t="s">
        <v>328</v>
      </c>
      <c r="C323" s="4" t="str">
        <f>IF('Service Types'!B244="","",'Service Types'!B244)</f>
        <v>CS - Recreation and Social Programs</v>
      </c>
      <c r="D323" s="5">
        <f>IF('Service Types'!E244="","",'Service Types'!E244)</f>
        <v>41</v>
      </c>
      <c r="E323" s="5">
        <f>IF('Service Types'!D244="","",'Service Types'!D244)</f>
        <v>192</v>
      </c>
      <c r="F323" s="5">
        <f>IF('Service Types'!F244="","",'Service Types'!F244)</f>
        <v>3</v>
      </c>
      <c r="G323" s="5">
        <f>IF('Service Types'!G244="","",'Service Types'!G244)</f>
        <v>0</v>
      </c>
      <c r="H323" s="5">
        <f>IF('Service Types'!H244="","",'Service Types'!H244)</f>
        <v>189</v>
      </c>
      <c r="I323" s="6">
        <f>IF('Service Types'!I244="","",'Service Types'!I244)</f>
        <v>2</v>
      </c>
      <c r="J323" s="6">
        <f>IF('Service Types'!J244="","",'Service Types'!J244)</f>
        <v>5.4</v>
      </c>
      <c r="K323" s="6">
        <f>IF('Service Types'!K244="","",'Service Types'!K244)</f>
        <v>14</v>
      </c>
      <c r="L323" s="4" t="str">
        <f>IF('Service Types'!Q244="","",'Service Types'!Q244)</f>
        <v>Non-crew</v>
      </c>
    </row>
    <row r="324" spans="1:12" x14ac:dyDescent="0.45">
      <c r="A324" s="14">
        <v>323</v>
      </c>
      <c r="B324" s="4" t="s">
        <v>748</v>
      </c>
      <c r="C324" s="4" t="str">
        <f>IF('Service Types'!B580="","",'Service Types'!B580)</f>
        <v>OS - Water Services</v>
      </c>
      <c r="D324" s="5">
        <f>IF('Service Types'!E580="","",'Service Types'!E580)</f>
        <v>41</v>
      </c>
      <c r="E324" s="5">
        <f>IF('Service Types'!D580="","",'Service Types'!D580)</f>
        <v>84</v>
      </c>
      <c r="F324" s="5">
        <f>IF('Service Types'!F580="","",'Service Types'!F580)</f>
        <v>0</v>
      </c>
      <c r="G324" s="5">
        <f>IF('Service Types'!G580="","",'Service Types'!G580)</f>
        <v>0</v>
      </c>
      <c r="H324" s="5">
        <f>IF('Service Types'!H580="","",'Service Types'!H580)</f>
        <v>84</v>
      </c>
      <c r="I324" s="6">
        <f>IF('Service Types'!I580="","",'Service Types'!I580)</f>
        <v>1</v>
      </c>
      <c r="J324" s="6">
        <f>IF('Service Types'!J580="","",'Service Types'!J580)</f>
        <v>36.299999999999997</v>
      </c>
      <c r="K324" s="6">
        <f>IF('Service Types'!K580="","",'Service Types'!K580)</f>
        <v>198</v>
      </c>
      <c r="L324" s="4" t="str">
        <f>IF('Service Types'!Q580="","",'Service Types'!Q580)</f>
        <v>Non-crew</v>
      </c>
    </row>
    <row r="325" spans="1:12" x14ac:dyDescent="0.45">
      <c r="A325" s="14">
        <v>324</v>
      </c>
      <c r="B325" s="4" t="s">
        <v>635</v>
      </c>
      <c r="C325" s="4" t="str">
        <f>IF('Service Types'!B493="","",'Service Types'!B493)</f>
        <v>OS - Parks and Open Spaces</v>
      </c>
      <c r="D325" s="5">
        <f>IF('Service Types'!E493="","",'Service Types'!E493)</f>
        <v>39</v>
      </c>
      <c r="E325" s="5">
        <f>IF('Service Types'!D493="","",'Service Types'!D493)</f>
        <v>128</v>
      </c>
      <c r="F325" s="5">
        <f>IF('Service Types'!F493="","",'Service Types'!F493)</f>
        <v>1</v>
      </c>
      <c r="G325" s="5">
        <f>IF('Service Types'!G493="","",'Service Types'!G493)</f>
        <v>0</v>
      </c>
      <c r="H325" s="5">
        <f>IF('Service Types'!H493="","",'Service Types'!H493)</f>
        <v>127</v>
      </c>
      <c r="I325" s="6">
        <f>IF('Service Types'!I493="","",'Service Types'!I493)</f>
        <v>12</v>
      </c>
      <c r="J325" s="6">
        <f>IF('Service Types'!J493="","",'Service Types'!J493)</f>
        <v>11.5</v>
      </c>
      <c r="K325" s="6">
        <f>IF('Service Types'!K493="","",'Service Types'!K493)</f>
        <v>15</v>
      </c>
      <c r="L325" s="4" t="str">
        <f>IF('Service Types'!Q493="","",'Service Types'!Q493)</f>
        <v>Non-crew</v>
      </c>
    </row>
    <row r="326" spans="1:12" x14ac:dyDescent="0.45">
      <c r="A326" s="14">
        <v>325</v>
      </c>
      <c r="B326" s="4" t="s">
        <v>337</v>
      </c>
      <c r="C326" s="4" t="str">
        <f>IF('Service Types'!B253="","",'Service Types'!B253)</f>
        <v>CS - Recreation and Social Programs</v>
      </c>
      <c r="D326" s="5">
        <f>IF('Service Types'!E253="","",'Service Types'!E253)</f>
        <v>39</v>
      </c>
      <c r="E326" s="5">
        <f>IF('Service Types'!D253="","",'Service Types'!D253)</f>
        <v>112</v>
      </c>
      <c r="F326" s="5">
        <f>IF('Service Types'!F253="","",'Service Types'!F253)</f>
        <v>0</v>
      </c>
      <c r="G326" s="5">
        <f>IF('Service Types'!G253="","",'Service Types'!G253)</f>
        <v>0</v>
      </c>
      <c r="H326" s="5">
        <f>IF('Service Types'!H253="","",'Service Types'!H253)</f>
        <v>112</v>
      </c>
      <c r="I326" s="6">
        <f>IF('Service Types'!I253="","",'Service Types'!I253)</f>
        <v>2</v>
      </c>
      <c r="J326" s="6">
        <f>IF('Service Types'!J253="","",'Service Types'!J253)</f>
        <v>5.3</v>
      </c>
      <c r="K326" s="6">
        <f>IF('Service Types'!K253="","",'Service Types'!K253)</f>
        <v>17</v>
      </c>
      <c r="L326" s="4" t="str">
        <f>IF('Service Types'!Q253="","",'Service Types'!Q253)</f>
        <v>Non-crew</v>
      </c>
    </row>
    <row r="327" spans="1:12" x14ac:dyDescent="0.45">
      <c r="A327" s="14">
        <v>326</v>
      </c>
      <c r="B327" s="4" t="s">
        <v>676</v>
      </c>
      <c r="C327" s="4" t="str">
        <f>IF('Service Types'!B524="","",'Service Types'!B524)</f>
        <v>OS - Waste and Recycling Services</v>
      </c>
      <c r="D327" s="5">
        <f>IF('Service Types'!E524="","",'Service Types'!E524)</f>
        <v>38</v>
      </c>
      <c r="E327" s="5">
        <f>IF('Service Types'!D524="","",'Service Types'!D524)</f>
        <v>242</v>
      </c>
      <c r="F327" s="5">
        <f>IF('Service Types'!F524="","",'Service Types'!F524)</f>
        <v>1</v>
      </c>
      <c r="G327" s="5">
        <f>IF('Service Types'!G524="","",'Service Types'!G524)</f>
        <v>0</v>
      </c>
      <c r="H327" s="5">
        <f>IF('Service Types'!H524="","",'Service Types'!H524)</f>
        <v>241</v>
      </c>
      <c r="I327" s="6">
        <f>IF('Service Types'!I524="","",'Service Types'!I524)</f>
        <v>4</v>
      </c>
      <c r="J327" s="6">
        <f>IF('Service Types'!J524="","",'Service Types'!J524)</f>
        <v>11.1</v>
      </c>
      <c r="K327" s="6">
        <f>IF('Service Types'!K524="","",'Service Types'!K524)</f>
        <v>16</v>
      </c>
      <c r="L327" s="4" t="str">
        <f>IF('Service Types'!Q524="","",'Service Types'!Q524)</f>
        <v>Non-crew</v>
      </c>
    </row>
    <row r="328" spans="1:12" x14ac:dyDescent="0.45">
      <c r="A328" s="14">
        <v>327</v>
      </c>
      <c r="B328" s="4" t="s">
        <v>326</v>
      </c>
      <c r="C328" s="4" t="str">
        <f>IF('Service Types'!B242="","",'Service Types'!B242)</f>
        <v>CS - Recreation and Social Programs</v>
      </c>
      <c r="D328" s="5">
        <f>IF('Service Types'!E242="","",'Service Types'!E242)</f>
        <v>38</v>
      </c>
      <c r="E328" s="5">
        <f>IF('Service Types'!D242="","",'Service Types'!D242)</f>
        <v>240</v>
      </c>
      <c r="F328" s="5">
        <f>IF('Service Types'!F242="","",'Service Types'!F242)</f>
        <v>0</v>
      </c>
      <c r="G328" s="5">
        <f>IF('Service Types'!G242="","",'Service Types'!G242)</f>
        <v>0</v>
      </c>
      <c r="H328" s="5">
        <f>IF('Service Types'!H242="","",'Service Types'!H242)</f>
        <v>240</v>
      </c>
      <c r="I328" s="6">
        <f>IF('Service Types'!I242="","",'Service Types'!I242)</f>
        <v>4</v>
      </c>
      <c r="J328" s="6">
        <f>IF('Service Types'!J242="","",'Service Types'!J242)</f>
        <v>7.5</v>
      </c>
      <c r="K328" s="6">
        <f>IF('Service Types'!K242="","",'Service Types'!K242)</f>
        <v>15</v>
      </c>
      <c r="L328" s="4" t="str">
        <f>IF('Service Types'!Q242="","",'Service Types'!Q242)</f>
        <v>Non-crew</v>
      </c>
    </row>
    <row r="329" spans="1:12" x14ac:dyDescent="0.45">
      <c r="A329" s="14">
        <v>328</v>
      </c>
      <c r="B329" s="4" t="s">
        <v>338</v>
      </c>
      <c r="C329" s="4" t="str">
        <f>IF('Service Types'!B254="","",'Service Types'!B254)</f>
        <v>CS - Recreation and Social Programs</v>
      </c>
      <c r="D329" s="5">
        <f>IF('Service Types'!E254="","",'Service Types'!E254)</f>
        <v>38</v>
      </c>
      <c r="E329" s="5">
        <f>IF('Service Types'!D254="","",'Service Types'!D254)</f>
        <v>111</v>
      </c>
      <c r="F329" s="5">
        <f>IF('Service Types'!F254="","",'Service Types'!F254)</f>
        <v>4</v>
      </c>
      <c r="G329" s="5">
        <f>IF('Service Types'!G254="","",'Service Types'!G254)</f>
        <v>2</v>
      </c>
      <c r="H329" s="5">
        <f>IF('Service Types'!H254="","",'Service Types'!H254)</f>
        <v>107</v>
      </c>
      <c r="I329" s="6">
        <f>IF('Service Types'!I254="","",'Service Types'!I254)</f>
        <v>22</v>
      </c>
      <c r="J329" s="6">
        <f>IF('Service Types'!J254="","",'Service Types'!J254)</f>
        <v>36.1</v>
      </c>
      <c r="K329" s="6">
        <f>IF('Service Types'!K254="","",'Service Types'!K254)</f>
        <v>77</v>
      </c>
      <c r="L329" s="4" t="str">
        <f>IF('Service Types'!Q254="","",'Service Types'!Q254)</f>
        <v>Non-crew</v>
      </c>
    </row>
    <row r="330" spans="1:12" x14ac:dyDescent="0.45">
      <c r="A330" s="14">
        <v>329</v>
      </c>
      <c r="B330" s="4" t="s">
        <v>28</v>
      </c>
      <c r="C330" s="4" t="str">
        <f>IF('Service Types'!B3="","",'Service Types'!B3)</f>
        <v>AO - Calgary Housing</v>
      </c>
      <c r="D330" s="5">
        <f>IF('Service Types'!E3="","",'Service Types'!E3)</f>
        <v>37</v>
      </c>
      <c r="E330" s="5">
        <f>IF('Service Types'!D3="","",'Service Types'!D3)</f>
        <v>214</v>
      </c>
      <c r="F330" s="5">
        <f>IF('Service Types'!F3="","",'Service Types'!F3)</f>
        <v>5</v>
      </c>
      <c r="G330" s="5">
        <f>IF('Service Types'!G3="","",'Service Types'!G3)</f>
        <v>3</v>
      </c>
      <c r="H330" s="5">
        <f>IF('Service Types'!H3="","",'Service Types'!H3)</f>
        <v>206</v>
      </c>
      <c r="I330" s="6">
        <f>IF('Service Types'!I3="","",'Service Types'!I3)</f>
        <v>7</v>
      </c>
      <c r="J330" s="6">
        <f>IF('Service Types'!J3="","",'Service Types'!J3)</f>
        <v>18.2</v>
      </c>
      <c r="K330" s="6">
        <f>IF('Service Types'!K3="","",'Service Types'!K3)</f>
        <v>46</v>
      </c>
      <c r="L330" s="4" t="str">
        <f>IF('Service Types'!Q3="","",'Service Types'!Q3)</f>
        <v>Non-crew</v>
      </c>
    </row>
    <row r="331" spans="1:12" x14ac:dyDescent="0.45">
      <c r="A331" s="14">
        <v>330</v>
      </c>
      <c r="B331" s="4" t="s">
        <v>845</v>
      </c>
      <c r="C331" s="4" t="str">
        <f>IF('Service Types'!B665="","",'Service Types'!B665)</f>
        <v>PDS - Development, Business and Building Services</v>
      </c>
      <c r="D331" s="5">
        <f>IF('Service Types'!E665="","",'Service Types'!E665)</f>
        <v>37</v>
      </c>
      <c r="E331" s="5">
        <f>IF('Service Types'!D665="","",'Service Types'!D665)</f>
        <v>197</v>
      </c>
      <c r="F331" s="5">
        <f>IF('Service Types'!F665="","",'Service Types'!F665)</f>
        <v>1</v>
      </c>
      <c r="G331" s="5">
        <f>IF('Service Types'!G665="","",'Service Types'!G665)</f>
        <v>0</v>
      </c>
      <c r="H331" s="5">
        <f>IF('Service Types'!H665="","",'Service Types'!H665)</f>
        <v>196</v>
      </c>
      <c r="I331" s="6">
        <f>IF('Service Types'!I665="","",'Service Types'!I665)</f>
        <v>0</v>
      </c>
      <c r="J331" s="6">
        <f>IF('Service Types'!J665="","",'Service Types'!J665)</f>
        <v>2.6</v>
      </c>
      <c r="K331" s="6">
        <f>IF('Service Types'!K665="","",'Service Types'!K665)</f>
        <v>3</v>
      </c>
      <c r="L331" s="4" t="str">
        <f>IF('Service Types'!Q665="","",'Service Types'!Q665)</f>
        <v>Non-crew</v>
      </c>
    </row>
    <row r="332" spans="1:12" x14ac:dyDescent="0.45">
      <c r="A332" s="14">
        <v>331</v>
      </c>
      <c r="B332" s="4" t="s">
        <v>907</v>
      </c>
      <c r="C332" s="4" t="str">
        <f>IF('Service Types'!B719="","",'Service Types'!B719)</f>
        <v>PICS - Marketing and Communication</v>
      </c>
      <c r="D332" s="5">
        <f>IF('Service Types'!E719="","",'Service Types'!E719)</f>
        <v>37</v>
      </c>
      <c r="E332" s="5">
        <f>IF('Service Types'!D719="","",'Service Types'!D719)</f>
        <v>37</v>
      </c>
      <c r="F332" s="5">
        <f>IF('Service Types'!F719="","",'Service Types'!F719)</f>
        <v>0</v>
      </c>
      <c r="G332" s="5">
        <f>IF('Service Types'!G719="","",'Service Types'!G719)</f>
        <v>0</v>
      </c>
      <c r="H332" s="5">
        <f>IF('Service Types'!H719="","",'Service Types'!H719)</f>
        <v>37</v>
      </c>
      <c r="I332" s="6">
        <f>IF('Service Types'!I719="","",'Service Types'!I719)</f>
        <v>3</v>
      </c>
      <c r="J332" s="6">
        <f>IF('Service Types'!J719="","",'Service Types'!J719)</f>
        <v>4.5999999999999996</v>
      </c>
      <c r="K332" s="6">
        <f>IF('Service Types'!K719="","",'Service Types'!K719)</f>
        <v>11</v>
      </c>
      <c r="L332" s="4" t="str">
        <f>IF('Service Types'!Q719="","",'Service Types'!Q719)</f>
        <v>Non-crew</v>
      </c>
    </row>
    <row r="333" spans="1:12" x14ac:dyDescent="0.45">
      <c r="A333" s="14">
        <v>332</v>
      </c>
      <c r="B333" s="4" t="s">
        <v>327</v>
      </c>
      <c r="C333" s="4" t="str">
        <f>IF('Service Types'!B243="","",'Service Types'!B243)</f>
        <v>CS - Recreation and Social Programs</v>
      </c>
      <c r="D333" s="5">
        <f>IF('Service Types'!E243="","",'Service Types'!E243)</f>
        <v>36</v>
      </c>
      <c r="E333" s="5">
        <f>IF('Service Types'!D243="","",'Service Types'!D243)</f>
        <v>239</v>
      </c>
      <c r="F333" s="5">
        <f>IF('Service Types'!F243="","",'Service Types'!F243)</f>
        <v>0</v>
      </c>
      <c r="G333" s="5">
        <f>IF('Service Types'!G243="","",'Service Types'!G243)</f>
        <v>0</v>
      </c>
      <c r="H333" s="5">
        <f>IF('Service Types'!H243="","",'Service Types'!H243)</f>
        <v>239</v>
      </c>
      <c r="I333" s="6">
        <f>IF('Service Types'!I243="","",'Service Types'!I243)</f>
        <v>2</v>
      </c>
      <c r="J333" s="6">
        <f>IF('Service Types'!J243="","",'Service Types'!J243)</f>
        <v>6.2</v>
      </c>
      <c r="K333" s="6">
        <f>IF('Service Types'!K243="","",'Service Types'!K243)</f>
        <v>14</v>
      </c>
      <c r="L333" s="4" t="str">
        <f>IF('Service Types'!Q243="","",'Service Types'!Q243)</f>
        <v>Non-crew</v>
      </c>
    </row>
    <row r="334" spans="1:12" x14ac:dyDescent="0.45">
      <c r="A334" s="14">
        <v>333</v>
      </c>
      <c r="B334" s="4" t="s">
        <v>875</v>
      </c>
      <c r="C334" s="4" t="str">
        <f>IF('Service Types'!B692="","",'Service Types'!B692)</f>
        <v>PICS - Collaboration, Analytics and Innovation</v>
      </c>
      <c r="D334" s="5">
        <f>IF('Service Types'!E692="","",'Service Types'!E692)</f>
        <v>35</v>
      </c>
      <c r="E334" s="5">
        <f>IF('Service Types'!D692="","",'Service Types'!D692)</f>
        <v>750</v>
      </c>
      <c r="F334" s="5">
        <f>IF('Service Types'!F692="","",'Service Types'!F692)</f>
        <v>2</v>
      </c>
      <c r="G334" s="5">
        <f>IF('Service Types'!G692="","",'Service Types'!G692)</f>
        <v>2</v>
      </c>
      <c r="H334" s="5">
        <f>IF('Service Types'!H692="","",'Service Types'!H692)</f>
        <v>748</v>
      </c>
      <c r="I334" s="6">
        <f>IF('Service Types'!I692="","",'Service Types'!I692)</f>
        <v>1</v>
      </c>
      <c r="J334" s="6">
        <f>IF('Service Types'!J692="","",'Service Types'!J692)</f>
        <v>1.6</v>
      </c>
      <c r="K334" s="6">
        <f>IF('Service Types'!K692="","",'Service Types'!K692)</f>
        <v>3</v>
      </c>
      <c r="L334" s="4" t="str">
        <f>IF('Service Types'!Q692="","",'Service Types'!Q692)</f>
        <v>Non-crew</v>
      </c>
    </row>
    <row r="335" spans="1:12" x14ac:dyDescent="0.45">
      <c r="A335" s="14">
        <v>334</v>
      </c>
      <c r="B335" s="4" t="s">
        <v>330</v>
      </c>
      <c r="C335" s="4" t="str">
        <f>IF('Service Types'!B246="","",'Service Types'!B246)</f>
        <v>CS - Recreation and Social Programs</v>
      </c>
      <c r="D335" s="5">
        <f>IF('Service Types'!E246="","",'Service Types'!E246)</f>
        <v>35</v>
      </c>
      <c r="E335" s="5">
        <f>IF('Service Types'!D246="","",'Service Types'!D246)</f>
        <v>180</v>
      </c>
      <c r="F335" s="5">
        <f>IF('Service Types'!F246="","",'Service Types'!F246)</f>
        <v>1</v>
      </c>
      <c r="G335" s="5">
        <f>IF('Service Types'!G246="","",'Service Types'!G246)</f>
        <v>0</v>
      </c>
      <c r="H335" s="5">
        <f>IF('Service Types'!H246="","",'Service Types'!H246)</f>
        <v>179</v>
      </c>
      <c r="I335" s="6">
        <f>IF('Service Types'!I246="","",'Service Types'!I246)</f>
        <v>9</v>
      </c>
      <c r="J335" s="6">
        <f>IF('Service Types'!J246="","",'Service Types'!J246)</f>
        <v>18.600000000000001</v>
      </c>
      <c r="K335" s="6">
        <f>IF('Service Types'!K246="","",'Service Types'!K246)</f>
        <v>51</v>
      </c>
      <c r="L335" s="4" t="str">
        <f>IF('Service Types'!Q246="","",'Service Types'!Q246)</f>
        <v>Non-crew</v>
      </c>
    </row>
    <row r="336" spans="1:12" x14ac:dyDescent="0.45">
      <c r="A336" s="14">
        <v>335</v>
      </c>
      <c r="B336" s="4" t="s">
        <v>804</v>
      </c>
      <c r="C336" s="4" t="str">
        <f>IF('Service Types'!B626="","",'Service Types'!B626)</f>
        <v>PDS - Community Planning</v>
      </c>
      <c r="D336" s="5">
        <f>IF('Service Types'!E626="","",'Service Types'!E626)</f>
        <v>35</v>
      </c>
      <c r="E336" s="5">
        <f>IF('Service Types'!D626="","",'Service Types'!D626)</f>
        <v>154</v>
      </c>
      <c r="F336" s="5">
        <f>IF('Service Types'!F626="","",'Service Types'!F626)</f>
        <v>0</v>
      </c>
      <c r="G336" s="5">
        <f>IF('Service Types'!G626="","",'Service Types'!G626)</f>
        <v>0</v>
      </c>
      <c r="H336" s="5">
        <f>IF('Service Types'!H626="","",'Service Types'!H626)</f>
        <v>154</v>
      </c>
      <c r="I336" s="6">
        <f>IF('Service Types'!I626="","",'Service Types'!I626)</f>
        <v>20</v>
      </c>
      <c r="J336" s="6">
        <f>IF('Service Types'!J626="","",'Service Types'!J626)</f>
        <v>26.1</v>
      </c>
      <c r="K336" s="6">
        <f>IF('Service Types'!K626="","",'Service Types'!K626)</f>
        <v>52</v>
      </c>
      <c r="L336" s="4" t="str">
        <f>IF('Service Types'!Q626="","",'Service Types'!Q626)</f>
        <v>Non-crew</v>
      </c>
    </row>
    <row r="337" spans="1:12" x14ac:dyDescent="0.45">
      <c r="A337" s="14">
        <v>336</v>
      </c>
      <c r="B337" s="4" t="s">
        <v>406</v>
      </c>
      <c r="C337" s="4" t="str">
        <f>IF('Service Types'!B308="","",'Service Types'!B308)</f>
        <v>IS - Public Spaces Delivery</v>
      </c>
      <c r="D337" s="5">
        <f>IF('Service Types'!E308="","",'Service Types'!E308)</f>
        <v>35</v>
      </c>
      <c r="E337" s="5">
        <f>IF('Service Types'!D308="","",'Service Types'!D308)</f>
        <v>100</v>
      </c>
      <c r="F337" s="5">
        <f>IF('Service Types'!F308="","",'Service Types'!F308)</f>
        <v>1</v>
      </c>
      <c r="G337" s="5">
        <f>IF('Service Types'!G308="","",'Service Types'!G308)</f>
        <v>0</v>
      </c>
      <c r="H337" s="5">
        <f>IF('Service Types'!H308="","",'Service Types'!H308)</f>
        <v>99</v>
      </c>
      <c r="I337" s="6">
        <f>IF('Service Types'!I308="","",'Service Types'!I308)</f>
        <v>2</v>
      </c>
      <c r="J337" s="6">
        <f>IF('Service Types'!J308="","",'Service Types'!J308)</f>
        <v>3.1</v>
      </c>
      <c r="K337" s="6">
        <f>IF('Service Types'!K308="","",'Service Types'!K308)</f>
        <v>7</v>
      </c>
      <c r="L337" s="4" t="str">
        <f>IF('Service Types'!Q308="","",'Service Types'!Q308)</f>
        <v>Non-crew</v>
      </c>
    </row>
    <row r="338" spans="1:12" x14ac:dyDescent="0.45">
      <c r="A338" s="14">
        <v>337</v>
      </c>
      <c r="B338" s="4" t="s">
        <v>249</v>
      </c>
      <c r="C338" s="4" t="str">
        <f>IF('Service Types'!B169="","",'Service Types'!B169)</f>
        <v>CS - Emergency Management and Community Safety</v>
      </c>
      <c r="D338" s="5">
        <f>IF('Service Types'!E169="","",'Service Types'!E169)</f>
        <v>34</v>
      </c>
      <c r="E338" s="5">
        <f>IF('Service Types'!D169="","",'Service Types'!D169)</f>
        <v>254</v>
      </c>
      <c r="F338" s="5">
        <f>IF('Service Types'!F169="","",'Service Types'!F169)</f>
        <v>2</v>
      </c>
      <c r="G338" s="5">
        <f>IF('Service Types'!G169="","",'Service Types'!G169)</f>
        <v>2</v>
      </c>
      <c r="H338" s="5">
        <f>IF('Service Types'!H169="","",'Service Types'!H169)</f>
        <v>252</v>
      </c>
      <c r="I338" s="6">
        <f>IF('Service Types'!I169="","",'Service Types'!I169)</f>
        <v>0</v>
      </c>
      <c r="J338" s="6">
        <f>IF('Service Types'!J169="","",'Service Types'!J169)</f>
        <v>2.1</v>
      </c>
      <c r="K338" s="6">
        <f>IF('Service Types'!K169="","",'Service Types'!K169)</f>
        <v>1</v>
      </c>
      <c r="L338" s="4" t="str">
        <f>IF('Service Types'!Q169="","",'Service Types'!Q169)</f>
        <v>Non-crew</v>
      </c>
    </row>
    <row r="339" spans="1:12" x14ac:dyDescent="0.45">
      <c r="A339" s="14">
        <v>338</v>
      </c>
      <c r="B339" s="4" t="s">
        <v>677</v>
      </c>
      <c r="C339" s="4" t="str">
        <f>IF('Service Types'!B525="","",'Service Types'!B525)</f>
        <v>OS - Waste and Recycling Services</v>
      </c>
      <c r="D339" s="5">
        <f>IF('Service Types'!E525="","",'Service Types'!E525)</f>
        <v>34</v>
      </c>
      <c r="E339" s="5">
        <f>IF('Service Types'!D525="","",'Service Types'!D525)</f>
        <v>210</v>
      </c>
      <c r="F339" s="5">
        <f>IF('Service Types'!F525="","",'Service Types'!F525)</f>
        <v>0</v>
      </c>
      <c r="G339" s="5">
        <f>IF('Service Types'!G525="","",'Service Types'!G525)</f>
        <v>0</v>
      </c>
      <c r="H339" s="5">
        <f>IF('Service Types'!H525="","",'Service Types'!H525)</f>
        <v>210</v>
      </c>
      <c r="I339" s="6">
        <f>IF('Service Types'!I525="","",'Service Types'!I525)</f>
        <v>1</v>
      </c>
      <c r="J339" s="6">
        <f>IF('Service Types'!J525="","",'Service Types'!J525)</f>
        <v>4.5999999999999996</v>
      </c>
      <c r="K339" s="6">
        <f>IF('Service Types'!K525="","",'Service Types'!K525)</f>
        <v>11</v>
      </c>
      <c r="L339" s="4" t="str">
        <f>IF('Service Types'!Q525="","",'Service Types'!Q525)</f>
        <v>Crew</v>
      </c>
    </row>
    <row r="340" spans="1:12" x14ac:dyDescent="0.45">
      <c r="A340" s="14">
        <v>339</v>
      </c>
      <c r="B340" s="4" t="s">
        <v>339</v>
      </c>
      <c r="C340" s="4" t="str">
        <f>IF('Service Types'!B255="","",'Service Types'!B255)</f>
        <v>CS - Recreation and Social Programs</v>
      </c>
      <c r="D340" s="5">
        <f>IF('Service Types'!E255="","",'Service Types'!E255)</f>
        <v>34</v>
      </c>
      <c r="E340" s="5">
        <f>IF('Service Types'!D255="","",'Service Types'!D255)</f>
        <v>102</v>
      </c>
      <c r="F340" s="5">
        <f>IF('Service Types'!F255="","",'Service Types'!F255)</f>
        <v>0</v>
      </c>
      <c r="G340" s="5">
        <f>IF('Service Types'!G255="","",'Service Types'!G255)</f>
        <v>0</v>
      </c>
      <c r="H340" s="5">
        <f>IF('Service Types'!H255="","",'Service Types'!H255)</f>
        <v>102</v>
      </c>
      <c r="I340" s="6">
        <f>IF('Service Types'!I255="","",'Service Types'!I255)</f>
        <v>3.5</v>
      </c>
      <c r="J340" s="6">
        <f>IF('Service Types'!J255="","",'Service Types'!J255)</f>
        <v>14.2</v>
      </c>
      <c r="K340" s="6">
        <f>IF('Service Types'!K255="","",'Service Types'!K255)</f>
        <v>48</v>
      </c>
      <c r="L340" s="4" t="str">
        <f>IF('Service Types'!Q255="","",'Service Types'!Q255)</f>
        <v>Non-crew</v>
      </c>
    </row>
    <row r="341" spans="1:12" x14ac:dyDescent="0.45">
      <c r="A341" s="14">
        <v>340</v>
      </c>
      <c r="B341" s="4" t="s">
        <v>87</v>
      </c>
      <c r="C341" s="4" t="str">
        <f>IF('Service Types'!B37="","",'Service Types'!B37)</f>
        <v>CPFS - Supply Management</v>
      </c>
      <c r="D341" s="5">
        <f>IF('Service Types'!E37="","",'Service Types'!E37)</f>
        <v>33</v>
      </c>
      <c r="E341" s="5">
        <f>IF('Service Types'!D37="","",'Service Types'!D37)</f>
        <v>144</v>
      </c>
      <c r="F341" s="5">
        <f>IF('Service Types'!F37="","",'Service Types'!F37)</f>
        <v>1</v>
      </c>
      <c r="G341" s="5">
        <f>IF('Service Types'!G37="","",'Service Types'!G37)</f>
        <v>1</v>
      </c>
      <c r="H341" s="5">
        <f>IF('Service Types'!H37="","",'Service Types'!H37)</f>
        <v>143</v>
      </c>
      <c r="I341" s="6">
        <f>IF('Service Types'!I37="","",'Service Types'!I37)</f>
        <v>1</v>
      </c>
      <c r="J341" s="6">
        <f>IF('Service Types'!J37="","",'Service Types'!J37)</f>
        <v>7.6</v>
      </c>
      <c r="K341" s="6">
        <f>IF('Service Types'!K37="","",'Service Types'!K37)</f>
        <v>7</v>
      </c>
      <c r="L341" s="4" t="str">
        <f>IF('Service Types'!Q37="","",'Service Types'!Q37)</f>
        <v>Non-crew</v>
      </c>
    </row>
    <row r="342" spans="1:12" x14ac:dyDescent="0.45">
      <c r="A342" s="14">
        <v>341</v>
      </c>
      <c r="B342" s="4" t="s">
        <v>378</v>
      </c>
      <c r="C342" s="4" t="str">
        <f>IF('Service Types'!B284="","",'Service Types'!B284)</f>
        <v>IS - Capital Planning and Business Services</v>
      </c>
      <c r="D342" s="5">
        <f>IF('Service Types'!E284="","",'Service Types'!E284)</f>
        <v>33</v>
      </c>
      <c r="E342" s="5">
        <f>IF('Service Types'!D284="","",'Service Types'!D284)</f>
        <v>89</v>
      </c>
      <c r="F342" s="5">
        <f>IF('Service Types'!F284="","",'Service Types'!F284)</f>
        <v>0</v>
      </c>
      <c r="G342" s="5">
        <f>IF('Service Types'!G284="","",'Service Types'!G284)</f>
        <v>0</v>
      </c>
      <c r="H342" s="5">
        <f>IF('Service Types'!H284="","",'Service Types'!H284)</f>
        <v>89</v>
      </c>
      <c r="I342" s="6">
        <f>IF('Service Types'!I284="","",'Service Types'!I284)</f>
        <v>1</v>
      </c>
      <c r="J342" s="6">
        <f>IF('Service Types'!J284="","",'Service Types'!J284)</f>
        <v>24.4</v>
      </c>
      <c r="K342" s="6">
        <f>IF('Service Types'!K284="","",'Service Types'!K284)</f>
        <v>11</v>
      </c>
      <c r="L342" s="4" t="str">
        <f>IF('Service Types'!Q284="","",'Service Types'!Q284)</f>
        <v>Crew</v>
      </c>
    </row>
    <row r="343" spans="1:12" x14ac:dyDescent="0.45">
      <c r="A343" s="14">
        <v>342</v>
      </c>
      <c r="B343" s="4" t="s">
        <v>380</v>
      </c>
      <c r="C343" s="4" t="str">
        <f>IF('Service Types'!B285="","",'Service Types'!B285)</f>
        <v>IS - Capital Planning and Business Services</v>
      </c>
      <c r="D343" s="5">
        <f>IF('Service Types'!E285="","",'Service Types'!E285)</f>
        <v>33</v>
      </c>
      <c r="E343" s="5">
        <f>IF('Service Types'!D285="","",'Service Types'!D285)</f>
        <v>72</v>
      </c>
      <c r="F343" s="5">
        <f>IF('Service Types'!F285="","",'Service Types'!F285)</f>
        <v>3</v>
      </c>
      <c r="G343" s="5">
        <f>IF('Service Types'!G285="","",'Service Types'!G285)</f>
        <v>0</v>
      </c>
      <c r="H343" s="5">
        <f>IF('Service Types'!H285="","",'Service Types'!H285)</f>
        <v>69</v>
      </c>
      <c r="I343" s="6">
        <f>IF('Service Types'!I285="","",'Service Types'!I285)</f>
        <v>11</v>
      </c>
      <c r="J343" s="6">
        <f>IF('Service Types'!J285="","",'Service Types'!J285)</f>
        <v>146.19999999999999</v>
      </c>
      <c r="K343" s="6">
        <f>IF('Service Types'!K285="","",'Service Types'!K285)</f>
        <v>647</v>
      </c>
      <c r="L343" s="4" t="str">
        <f>IF('Service Types'!Q285="","",'Service Types'!Q285)</f>
        <v>Non-crew</v>
      </c>
    </row>
    <row r="344" spans="1:12" x14ac:dyDescent="0.45">
      <c r="A344" s="14">
        <v>343</v>
      </c>
      <c r="B344" s="4" t="s">
        <v>255</v>
      </c>
      <c r="C344" s="4" t="str">
        <f>IF('Service Types'!B175="","",'Service Types'!B175)</f>
        <v>CS - Emergency Management and Community Safety</v>
      </c>
      <c r="D344" s="5">
        <f>IF('Service Types'!E175="","",'Service Types'!E175)</f>
        <v>32</v>
      </c>
      <c r="E344" s="5">
        <f>IF('Service Types'!D175="","",'Service Types'!D175)</f>
        <v>165</v>
      </c>
      <c r="F344" s="5">
        <f>IF('Service Types'!F175="","",'Service Types'!F175)</f>
        <v>1</v>
      </c>
      <c r="G344" s="5">
        <f>IF('Service Types'!G175="","",'Service Types'!G175)</f>
        <v>0</v>
      </c>
      <c r="H344" s="5">
        <f>IF('Service Types'!H175="","",'Service Types'!H175)</f>
        <v>164</v>
      </c>
      <c r="I344" s="6">
        <f>IF('Service Types'!I175="","",'Service Types'!I175)</f>
        <v>0</v>
      </c>
      <c r="J344" s="6">
        <f>IF('Service Types'!J175="","",'Service Types'!J175)</f>
        <v>4.5</v>
      </c>
      <c r="K344" s="6">
        <f>IF('Service Types'!K175="","",'Service Types'!K175)</f>
        <v>6</v>
      </c>
      <c r="L344" s="4" t="str">
        <f>IF('Service Types'!Q175="","",'Service Types'!Q175)</f>
        <v>Non-crew</v>
      </c>
    </row>
    <row r="345" spans="1:12" x14ac:dyDescent="0.45">
      <c r="A345" s="14">
        <v>344</v>
      </c>
      <c r="B345" s="4" t="s">
        <v>475</v>
      </c>
      <c r="C345" s="4" t="str">
        <f>IF('Service Types'!B359="","",'Service Types'!B359)</f>
        <v>OS - Calgary Transit</v>
      </c>
      <c r="D345" s="5">
        <f>IF('Service Types'!E359="","",'Service Types'!E359)</f>
        <v>30</v>
      </c>
      <c r="E345" s="5">
        <f>IF('Service Types'!D359="","",'Service Types'!D359)</f>
        <v>204</v>
      </c>
      <c r="F345" s="5">
        <f>IF('Service Types'!F359="","",'Service Types'!F359)</f>
        <v>6</v>
      </c>
      <c r="G345" s="5">
        <f>IF('Service Types'!G359="","",'Service Types'!G359)</f>
        <v>1</v>
      </c>
      <c r="H345" s="5">
        <f>IF('Service Types'!H359="","",'Service Types'!H359)</f>
        <v>198</v>
      </c>
      <c r="I345" s="6">
        <f>IF('Service Types'!I359="","",'Service Types'!I359)</f>
        <v>4</v>
      </c>
      <c r="J345" s="6">
        <f>IF('Service Types'!J359="","",'Service Types'!J359)</f>
        <v>14.7</v>
      </c>
      <c r="K345" s="6">
        <f>IF('Service Types'!K359="","",'Service Types'!K359)</f>
        <v>53</v>
      </c>
      <c r="L345" s="4" t="str">
        <f>IF('Service Types'!Q359="","",'Service Types'!Q359)</f>
        <v>Non-crew</v>
      </c>
    </row>
    <row r="346" spans="1:12" x14ac:dyDescent="0.45">
      <c r="A346" s="14">
        <v>345</v>
      </c>
      <c r="B346" s="4" t="s">
        <v>332</v>
      </c>
      <c r="C346" s="4" t="str">
        <f>IF('Service Types'!B248="","",'Service Types'!B248)</f>
        <v>CS - Recreation and Social Programs</v>
      </c>
      <c r="D346" s="5">
        <f>IF('Service Types'!E248="","",'Service Types'!E248)</f>
        <v>30</v>
      </c>
      <c r="E346" s="5">
        <f>IF('Service Types'!D248="","",'Service Types'!D248)</f>
        <v>172</v>
      </c>
      <c r="F346" s="5">
        <f>IF('Service Types'!F248="","",'Service Types'!F248)</f>
        <v>0</v>
      </c>
      <c r="G346" s="5">
        <f>IF('Service Types'!G248="","",'Service Types'!G248)</f>
        <v>0</v>
      </c>
      <c r="H346" s="5">
        <f>IF('Service Types'!H248="","",'Service Types'!H248)</f>
        <v>172</v>
      </c>
      <c r="I346" s="6">
        <f>IF('Service Types'!I248="","",'Service Types'!I248)</f>
        <v>6</v>
      </c>
      <c r="J346" s="6">
        <f>IF('Service Types'!J248="","",'Service Types'!J248)</f>
        <v>8.9</v>
      </c>
      <c r="K346" s="6">
        <f>IF('Service Types'!K248="","",'Service Types'!K248)</f>
        <v>19</v>
      </c>
      <c r="L346" s="4" t="str">
        <f>IF('Service Types'!Q248="","",'Service Types'!Q248)</f>
        <v>Non-crew</v>
      </c>
    </row>
    <row r="347" spans="1:12" x14ac:dyDescent="0.45">
      <c r="A347" s="14">
        <v>346</v>
      </c>
      <c r="B347" s="4" t="s">
        <v>293</v>
      </c>
      <c r="C347" s="4" t="str">
        <f>IF('Service Types'!B210="","",'Service Types'!B210)</f>
        <v>CS - Partnerships</v>
      </c>
      <c r="D347" s="5">
        <f>IF('Service Types'!E210="","",'Service Types'!E210)</f>
        <v>30</v>
      </c>
      <c r="E347" s="5">
        <f>IF('Service Types'!D210="","",'Service Types'!D210)</f>
        <v>79</v>
      </c>
      <c r="F347" s="5">
        <f>IF('Service Types'!F210="","",'Service Types'!F210)</f>
        <v>1</v>
      </c>
      <c r="G347" s="5">
        <f>IF('Service Types'!G210="","",'Service Types'!G210)</f>
        <v>1</v>
      </c>
      <c r="H347" s="5">
        <f>IF('Service Types'!H210="","",'Service Types'!H210)</f>
        <v>78</v>
      </c>
      <c r="I347" s="6">
        <f>IF('Service Types'!I210="","",'Service Types'!I210)</f>
        <v>2</v>
      </c>
      <c r="J347" s="6">
        <f>IF('Service Types'!J210="","",'Service Types'!J210)</f>
        <v>5.6</v>
      </c>
      <c r="K347" s="6">
        <f>IF('Service Types'!K210="","",'Service Types'!K210)</f>
        <v>15</v>
      </c>
      <c r="L347" s="4" t="str">
        <f>IF('Service Types'!Q210="","",'Service Types'!Q210)</f>
        <v>Non-crew</v>
      </c>
    </row>
    <row r="348" spans="1:12" x14ac:dyDescent="0.45">
      <c r="A348" s="14">
        <v>347</v>
      </c>
      <c r="B348" s="4" t="s">
        <v>262</v>
      </c>
      <c r="C348" s="4" t="str">
        <f>IF('Service Types'!B182="","",'Service Types'!B182)</f>
        <v>CS - Emergency Management and Community Safety</v>
      </c>
      <c r="D348" s="5">
        <f>IF('Service Types'!E182="","",'Service Types'!E182)</f>
        <v>30</v>
      </c>
      <c r="E348" s="5">
        <f>IF('Service Types'!D182="","",'Service Types'!D182)</f>
        <v>78</v>
      </c>
      <c r="F348" s="5">
        <f>IF('Service Types'!F182="","",'Service Types'!F182)</f>
        <v>20</v>
      </c>
      <c r="G348" s="5">
        <f>IF('Service Types'!G182="","",'Service Types'!G182)</f>
        <v>10</v>
      </c>
      <c r="H348" s="5">
        <f>IF('Service Types'!H182="","",'Service Types'!H182)</f>
        <v>58</v>
      </c>
      <c r="I348" s="6">
        <f>IF('Service Types'!I182="","",'Service Types'!I182)</f>
        <v>3</v>
      </c>
      <c r="J348" s="6">
        <f>IF('Service Types'!J182="","",'Service Types'!J182)</f>
        <v>7.8</v>
      </c>
      <c r="K348" s="6">
        <f>IF('Service Types'!K182="","",'Service Types'!K182)</f>
        <v>26</v>
      </c>
      <c r="L348" s="4" t="str">
        <f>IF('Service Types'!Q182="","",'Service Types'!Q182)</f>
        <v>Non-crew</v>
      </c>
    </row>
    <row r="349" spans="1:12" x14ac:dyDescent="0.45">
      <c r="A349" s="14">
        <v>348</v>
      </c>
      <c r="B349" s="4" t="s">
        <v>435</v>
      </c>
      <c r="C349" s="4" t="str">
        <f>IF('Service Types'!B333="","",'Service Types'!B333)</f>
        <v>LLSS - City Clerk's Office</v>
      </c>
      <c r="D349" s="5">
        <f>IF('Service Types'!E333="","",'Service Types'!E333)</f>
        <v>28</v>
      </c>
      <c r="E349" s="5">
        <f>IF('Service Types'!D333="","",'Service Types'!D333)</f>
        <v>378</v>
      </c>
      <c r="F349" s="5">
        <f>IF('Service Types'!F333="","",'Service Types'!F333)</f>
        <v>0</v>
      </c>
      <c r="G349" s="5">
        <f>IF('Service Types'!G333="","",'Service Types'!G333)</f>
        <v>0</v>
      </c>
      <c r="H349" s="5">
        <f>IF('Service Types'!H333="","",'Service Types'!H333)</f>
        <v>378</v>
      </c>
      <c r="I349" s="6">
        <f>IF('Service Types'!I333="","",'Service Types'!I333)</f>
        <v>4</v>
      </c>
      <c r="J349" s="6">
        <f>IF('Service Types'!J333="","",'Service Types'!J333)</f>
        <v>5.9</v>
      </c>
      <c r="K349" s="6">
        <f>IF('Service Types'!K333="","",'Service Types'!K333)</f>
        <v>11</v>
      </c>
      <c r="L349" s="4" t="str">
        <f>IF('Service Types'!Q333="","",'Service Types'!Q333)</f>
        <v>Non-crew</v>
      </c>
    </row>
    <row r="350" spans="1:12" x14ac:dyDescent="0.45">
      <c r="A350" s="14">
        <v>349</v>
      </c>
      <c r="B350" s="4" t="s">
        <v>133</v>
      </c>
      <c r="C350" s="4" t="str">
        <f>IF('Service Types'!B71="","",'Service Types'!B71)</f>
        <v>CS - Calgary Fire</v>
      </c>
      <c r="D350" s="5">
        <f>IF('Service Types'!E71="","",'Service Types'!E71)</f>
        <v>27</v>
      </c>
      <c r="E350" s="5">
        <f>IF('Service Types'!D71="","",'Service Types'!D71)</f>
        <v>114</v>
      </c>
      <c r="F350" s="5">
        <f>IF('Service Types'!F71="","",'Service Types'!F71)</f>
        <v>4</v>
      </c>
      <c r="G350" s="5">
        <f>IF('Service Types'!G71="","",'Service Types'!G71)</f>
        <v>2</v>
      </c>
      <c r="H350" s="5">
        <f>IF('Service Types'!H71="","",'Service Types'!H71)</f>
        <v>110</v>
      </c>
      <c r="I350" s="6">
        <f>IF('Service Types'!I71="","",'Service Types'!I71)</f>
        <v>4.5</v>
      </c>
      <c r="J350" s="6">
        <f>IF('Service Types'!J71="","",'Service Types'!J71)</f>
        <v>7.3</v>
      </c>
      <c r="K350" s="6">
        <f>IF('Service Types'!K71="","",'Service Types'!K71)</f>
        <v>15</v>
      </c>
      <c r="L350" s="4" t="str">
        <f>IF('Service Types'!Q71="","",'Service Types'!Q71)</f>
        <v>Non-crew</v>
      </c>
    </row>
    <row r="351" spans="1:12" x14ac:dyDescent="0.45">
      <c r="A351" s="14">
        <v>350</v>
      </c>
      <c r="B351" s="4" t="s">
        <v>849</v>
      </c>
      <c r="C351" s="4" t="str">
        <f>IF('Service Types'!B669="","",'Service Types'!B669)</f>
        <v>PDS - Development, Business and Building Services</v>
      </c>
      <c r="D351" s="5">
        <f>IF('Service Types'!E669="","",'Service Types'!E669)</f>
        <v>27</v>
      </c>
      <c r="E351" s="5">
        <f>IF('Service Types'!D669="","",'Service Types'!D669)</f>
        <v>111</v>
      </c>
      <c r="F351" s="5">
        <f>IF('Service Types'!F669="","",'Service Types'!F669)</f>
        <v>4</v>
      </c>
      <c r="G351" s="5">
        <f>IF('Service Types'!G669="","",'Service Types'!G669)</f>
        <v>1</v>
      </c>
      <c r="H351" s="5">
        <f>IF('Service Types'!H669="","",'Service Types'!H669)</f>
        <v>107</v>
      </c>
      <c r="I351" s="6">
        <f>IF('Service Types'!I669="","",'Service Types'!I669)</f>
        <v>5</v>
      </c>
      <c r="J351" s="6">
        <f>IF('Service Types'!J669="","",'Service Types'!J669)</f>
        <v>19.399999999999999</v>
      </c>
      <c r="K351" s="6">
        <f>IF('Service Types'!K669="","",'Service Types'!K669)</f>
        <v>41</v>
      </c>
      <c r="L351" s="4" t="str">
        <f>IF('Service Types'!Q669="","",'Service Types'!Q669)</f>
        <v>Non-crew</v>
      </c>
    </row>
    <row r="352" spans="1:12" x14ac:dyDescent="0.45">
      <c r="A352" s="14">
        <v>351</v>
      </c>
      <c r="B352" s="4" t="s">
        <v>259</v>
      </c>
      <c r="C352" s="4" t="str">
        <f>IF('Service Types'!B179="","",'Service Types'!B179)</f>
        <v>CS - Emergency Management and Community Safety</v>
      </c>
      <c r="D352" s="5">
        <f>IF('Service Types'!E179="","",'Service Types'!E179)</f>
        <v>27</v>
      </c>
      <c r="E352" s="5">
        <f>IF('Service Types'!D179="","",'Service Types'!D179)</f>
        <v>101</v>
      </c>
      <c r="F352" s="5">
        <f>IF('Service Types'!F179="","",'Service Types'!F179)</f>
        <v>0</v>
      </c>
      <c r="G352" s="5">
        <f>IF('Service Types'!G179="","",'Service Types'!G179)</f>
        <v>0</v>
      </c>
      <c r="H352" s="5">
        <f>IF('Service Types'!H179="","",'Service Types'!H179)</f>
        <v>101</v>
      </c>
      <c r="I352" s="6">
        <f>IF('Service Types'!I179="","",'Service Types'!I179)</f>
        <v>3</v>
      </c>
      <c r="J352" s="6">
        <f>IF('Service Types'!J179="","",'Service Types'!J179)</f>
        <v>3.7</v>
      </c>
      <c r="K352" s="6">
        <f>IF('Service Types'!K179="","",'Service Types'!K179)</f>
        <v>7</v>
      </c>
      <c r="L352" s="4" t="str">
        <f>IF('Service Types'!Q179="","",'Service Types'!Q179)</f>
        <v>Non-crew</v>
      </c>
    </row>
    <row r="353" spans="1:12" x14ac:dyDescent="0.45">
      <c r="A353" s="14">
        <v>352</v>
      </c>
      <c r="B353" s="4" t="s">
        <v>557</v>
      </c>
      <c r="C353" s="4" t="str">
        <f>IF('Service Types'!B425="","",'Service Types'!B425)</f>
        <v>OS - Mobility</v>
      </c>
      <c r="D353" s="5">
        <f>IF('Service Types'!E425="","",'Service Types'!E425)</f>
        <v>27</v>
      </c>
      <c r="E353" s="5">
        <f>IF('Service Types'!D425="","",'Service Types'!D425)</f>
        <v>98</v>
      </c>
      <c r="F353" s="5">
        <f>IF('Service Types'!F425="","",'Service Types'!F425)</f>
        <v>1</v>
      </c>
      <c r="G353" s="5">
        <f>IF('Service Types'!G425="","",'Service Types'!G425)</f>
        <v>1</v>
      </c>
      <c r="H353" s="5">
        <f>IF('Service Types'!H425="","",'Service Types'!H425)</f>
        <v>97</v>
      </c>
      <c r="I353" s="6">
        <f>IF('Service Types'!I425="","",'Service Types'!I425)</f>
        <v>1</v>
      </c>
      <c r="J353" s="6">
        <f>IF('Service Types'!J425="","",'Service Types'!J425)</f>
        <v>4.7</v>
      </c>
      <c r="K353" s="6">
        <f>IF('Service Types'!K425="","",'Service Types'!K425)</f>
        <v>17</v>
      </c>
      <c r="L353" s="4" t="str">
        <f>IF('Service Types'!Q425="","",'Service Types'!Q425)</f>
        <v>Non-crew</v>
      </c>
    </row>
    <row r="354" spans="1:12" x14ac:dyDescent="0.45">
      <c r="A354" s="14">
        <v>353</v>
      </c>
      <c r="B354" s="4" t="s">
        <v>867</v>
      </c>
      <c r="C354" s="4" t="str">
        <f>IF('Service Types'!B685="","",'Service Types'!B685)</f>
        <v>PDS - Environmental Risk &amp; Resilience</v>
      </c>
      <c r="D354" s="5">
        <f>IF('Service Types'!E685="","",'Service Types'!E685)</f>
        <v>26</v>
      </c>
      <c r="E354" s="5">
        <f>IF('Service Types'!D685="","",'Service Types'!D685)</f>
        <v>26</v>
      </c>
      <c r="F354" s="5">
        <f>IF('Service Types'!F685="","",'Service Types'!F685)</f>
        <v>1</v>
      </c>
      <c r="G354" s="5">
        <f>IF('Service Types'!G685="","",'Service Types'!G685)</f>
        <v>1</v>
      </c>
      <c r="H354" s="5">
        <f>IF('Service Types'!H685="","",'Service Types'!H685)</f>
        <v>25</v>
      </c>
      <c r="I354" s="6">
        <f>IF('Service Types'!I685="","",'Service Types'!I685)</f>
        <v>3</v>
      </c>
      <c r="J354" s="6">
        <f>IF('Service Types'!J685="","",'Service Types'!J685)</f>
        <v>7.9</v>
      </c>
      <c r="K354" s="6">
        <f>IF('Service Types'!K685="","",'Service Types'!K685)</f>
        <v>12</v>
      </c>
      <c r="L354" s="4" t="str">
        <f>IF('Service Types'!Q685="","",'Service Types'!Q685)</f>
        <v>Non-crew</v>
      </c>
    </row>
    <row r="355" spans="1:12" x14ac:dyDescent="0.45">
      <c r="A355" s="14">
        <v>354</v>
      </c>
      <c r="B355" s="4" t="s">
        <v>546</v>
      </c>
      <c r="C355" s="4" t="str">
        <f>IF('Service Types'!B414="","",'Service Types'!B414)</f>
        <v>OS - Mobility</v>
      </c>
      <c r="D355" s="5">
        <f>IF('Service Types'!E414="","",'Service Types'!E414)</f>
        <v>25</v>
      </c>
      <c r="E355" s="5">
        <f>IF('Service Types'!D414="","",'Service Types'!D414)</f>
        <v>268</v>
      </c>
      <c r="F355" s="5">
        <f>IF('Service Types'!F414="","",'Service Types'!F414)</f>
        <v>8</v>
      </c>
      <c r="G355" s="5">
        <f>IF('Service Types'!G414="","",'Service Types'!G414)</f>
        <v>8</v>
      </c>
      <c r="H355" s="5">
        <f>IF('Service Types'!H414="","",'Service Types'!H414)</f>
        <v>260</v>
      </c>
      <c r="I355" s="6">
        <f>IF('Service Types'!I414="","",'Service Types'!I414)</f>
        <v>0</v>
      </c>
      <c r="J355" s="6">
        <f>IF('Service Types'!J414="","",'Service Types'!J414)</f>
        <v>1.5</v>
      </c>
      <c r="K355" s="6">
        <f>IF('Service Types'!K414="","",'Service Types'!K414)</f>
        <v>4</v>
      </c>
      <c r="L355" s="4" t="str">
        <f>IF('Service Types'!Q414="","",'Service Types'!Q414)</f>
        <v>Non-crew</v>
      </c>
    </row>
    <row r="356" spans="1:12" x14ac:dyDescent="0.45">
      <c r="A356" s="14">
        <v>355</v>
      </c>
      <c r="B356" s="4" t="s">
        <v>329</v>
      </c>
      <c r="C356" s="4" t="str">
        <f>IF('Service Types'!B245="","",'Service Types'!B245)</f>
        <v>CS - Recreation and Social Programs</v>
      </c>
      <c r="D356" s="5">
        <f>IF('Service Types'!E245="","",'Service Types'!E245)</f>
        <v>25</v>
      </c>
      <c r="E356" s="5">
        <f>IF('Service Types'!D245="","",'Service Types'!D245)</f>
        <v>180</v>
      </c>
      <c r="F356" s="5">
        <f>IF('Service Types'!F245="","",'Service Types'!F245)</f>
        <v>0</v>
      </c>
      <c r="G356" s="5">
        <f>IF('Service Types'!G245="","",'Service Types'!G245)</f>
        <v>0</v>
      </c>
      <c r="H356" s="5">
        <f>IF('Service Types'!H245="","",'Service Types'!H245)</f>
        <v>180</v>
      </c>
      <c r="I356" s="6">
        <f>IF('Service Types'!I245="","",'Service Types'!I245)</f>
        <v>5</v>
      </c>
      <c r="J356" s="6">
        <f>IF('Service Types'!J245="","",'Service Types'!J245)</f>
        <v>6.1</v>
      </c>
      <c r="K356" s="6">
        <f>IF('Service Types'!K245="","",'Service Types'!K245)</f>
        <v>11</v>
      </c>
      <c r="L356" s="4" t="str">
        <f>IF('Service Types'!Q245="","",'Service Types'!Q245)</f>
        <v>Non-crew</v>
      </c>
    </row>
    <row r="357" spans="1:12" x14ac:dyDescent="0.45">
      <c r="A357" s="14">
        <v>356</v>
      </c>
      <c r="B357" s="4" t="s">
        <v>130</v>
      </c>
      <c r="C357" s="4" t="str">
        <f>IF('Service Types'!B68="","",'Service Types'!B68)</f>
        <v>CS - Calgary Fire</v>
      </c>
      <c r="D357" s="5">
        <f>IF('Service Types'!E68="","",'Service Types'!E68)</f>
        <v>25</v>
      </c>
      <c r="E357" s="5">
        <f>IF('Service Types'!D68="","",'Service Types'!D68)</f>
        <v>164</v>
      </c>
      <c r="F357" s="5">
        <f>IF('Service Types'!F68="","",'Service Types'!F68)</f>
        <v>1</v>
      </c>
      <c r="G357" s="5">
        <f>IF('Service Types'!G68="","",'Service Types'!G68)</f>
        <v>0</v>
      </c>
      <c r="H357" s="5">
        <f>IF('Service Types'!H68="","",'Service Types'!H68)</f>
        <v>163</v>
      </c>
      <c r="I357" s="6">
        <f>IF('Service Types'!I68="","",'Service Types'!I68)</f>
        <v>4</v>
      </c>
      <c r="J357" s="6">
        <f>IF('Service Types'!J68="","",'Service Types'!J68)</f>
        <v>6.5</v>
      </c>
      <c r="K357" s="6">
        <f>IF('Service Types'!K68="","",'Service Types'!K68)</f>
        <v>13</v>
      </c>
      <c r="L357" s="4" t="str">
        <f>IF('Service Types'!Q68="","",'Service Types'!Q68)</f>
        <v>Non-crew</v>
      </c>
    </row>
    <row r="358" spans="1:12" x14ac:dyDescent="0.45">
      <c r="A358" s="14">
        <v>357</v>
      </c>
      <c r="B358" s="4" t="s">
        <v>640</v>
      </c>
      <c r="C358" s="4" t="str">
        <f>IF('Service Types'!B497="","",'Service Types'!B497)</f>
        <v>OS - Parks and Open Spaces</v>
      </c>
      <c r="D358" s="5">
        <f>IF('Service Types'!E497="","",'Service Types'!E497)</f>
        <v>25</v>
      </c>
      <c r="E358" s="5">
        <f>IF('Service Types'!D497="","",'Service Types'!D497)</f>
        <v>77</v>
      </c>
      <c r="F358" s="5">
        <f>IF('Service Types'!F497="","",'Service Types'!F497)</f>
        <v>1</v>
      </c>
      <c r="G358" s="5">
        <f>IF('Service Types'!G497="","",'Service Types'!G497)</f>
        <v>0</v>
      </c>
      <c r="H358" s="5">
        <f>IF('Service Types'!H497="","",'Service Types'!H497)</f>
        <v>76</v>
      </c>
      <c r="I358" s="6">
        <f>IF('Service Types'!I497="","",'Service Types'!I497)</f>
        <v>8</v>
      </c>
      <c r="J358" s="6">
        <f>IF('Service Types'!J497="","",'Service Types'!J497)</f>
        <v>11.5</v>
      </c>
      <c r="K358" s="6">
        <f>IF('Service Types'!K497="","",'Service Types'!K497)</f>
        <v>24</v>
      </c>
      <c r="L358" s="4" t="str">
        <f>IF('Service Types'!Q497="","",'Service Types'!Q497)</f>
        <v>Crew</v>
      </c>
    </row>
    <row r="359" spans="1:12" x14ac:dyDescent="0.45">
      <c r="A359" s="14">
        <v>358</v>
      </c>
      <c r="B359" s="4" t="s">
        <v>783</v>
      </c>
      <c r="C359" s="4" t="str">
        <f>IF('Service Types'!B607="","",'Service Types'!B607)</f>
        <v>PDS - City and Regional Planning</v>
      </c>
      <c r="D359" s="5">
        <f>IF('Service Types'!E607="","",'Service Types'!E607)</f>
        <v>25</v>
      </c>
      <c r="E359" s="5">
        <f>IF('Service Types'!D607="","",'Service Types'!D607)</f>
        <v>41</v>
      </c>
      <c r="F359" s="5">
        <f>IF('Service Types'!F607="","",'Service Types'!F607)</f>
        <v>1</v>
      </c>
      <c r="G359" s="5">
        <f>IF('Service Types'!G607="","",'Service Types'!G607)</f>
        <v>0</v>
      </c>
      <c r="H359" s="5">
        <f>IF('Service Types'!H607="","",'Service Types'!H607)</f>
        <v>40</v>
      </c>
      <c r="I359" s="6">
        <f>IF('Service Types'!I607="","",'Service Types'!I607)</f>
        <v>6</v>
      </c>
      <c r="J359" s="6">
        <f>IF('Service Types'!J607="","",'Service Types'!J607)</f>
        <v>36.4</v>
      </c>
      <c r="K359" s="6">
        <f>IF('Service Types'!K607="","",'Service Types'!K607)</f>
        <v>75</v>
      </c>
      <c r="L359" s="4" t="str">
        <f>IF('Service Types'!Q607="","",'Service Types'!Q607)</f>
        <v>Non-crew</v>
      </c>
    </row>
    <row r="360" spans="1:12" x14ac:dyDescent="0.45">
      <c r="A360" s="14">
        <v>359</v>
      </c>
      <c r="B360" s="4" t="s">
        <v>33</v>
      </c>
      <c r="C360" s="4" t="str">
        <f>IF('Service Types'!B4="","",'Service Types'!B4)</f>
        <v>CEO - Chief Housing Office</v>
      </c>
      <c r="D360" s="5">
        <f>IF('Service Types'!E4="","",'Service Types'!E4)</f>
        <v>25</v>
      </c>
      <c r="E360" s="5">
        <f>IF('Service Types'!D4="","",'Service Types'!D4)</f>
        <v>25</v>
      </c>
      <c r="F360" s="5">
        <f>IF('Service Types'!F4="","",'Service Types'!F4)</f>
        <v>0</v>
      </c>
      <c r="G360" s="5">
        <f>IF('Service Types'!G4="","",'Service Types'!G4)</f>
        <v>0</v>
      </c>
      <c r="H360" s="5">
        <f>IF('Service Types'!H4="","",'Service Types'!H4)</f>
        <v>25</v>
      </c>
      <c r="I360" s="6">
        <f>IF('Service Types'!I4="","",'Service Types'!I4)</f>
        <v>6</v>
      </c>
      <c r="J360" s="6">
        <f>IF('Service Types'!J4="","",'Service Types'!J4)</f>
        <v>21.6</v>
      </c>
      <c r="K360" s="6">
        <f>IF('Service Types'!K4="","",'Service Types'!K4)</f>
        <v>62</v>
      </c>
      <c r="L360" s="4" t="str">
        <f>IF('Service Types'!Q4="","",'Service Types'!Q4)</f>
        <v>Non-crew</v>
      </c>
    </row>
    <row r="361" spans="1:12" x14ac:dyDescent="0.45">
      <c r="A361" s="14">
        <v>360</v>
      </c>
      <c r="B361" s="4" t="s">
        <v>602</v>
      </c>
      <c r="C361" s="4" t="str">
        <f>IF('Service Types'!B463="","",'Service Types'!B463)</f>
        <v>OS - Parks and Open Spaces</v>
      </c>
      <c r="D361" s="5">
        <f>IF('Service Types'!E463="","",'Service Types'!E463)</f>
        <v>24</v>
      </c>
      <c r="E361" s="5">
        <f>IF('Service Types'!D463="","",'Service Types'!D463)</f>
        <v>1760</v>
      </c>
      <c r="F361" s="5">
        <f>IF('Service Types'!F463="","",'Service Types'!F463)</f>
        <v>24</v>
      </c>
      <c r="G361" s="5">
        <f>IF('Service Types'!G463="","",'Service Types'!G463)</f>
        <v>24</v>
      </c>
      <c r="H361" s="5">
        <f>IF('Service Types'!H463="","",'Service Types'!H463)</f>
        <v>1736</v>
      </c>
      <c r="I361" s="6">
        <f>IF('Service Types'!I463="","",'Service Types'!I463)</f>
        <v>1</v>
      </c>
      <c r="J361" s="6">
        <f>IF('Service Types'!J463="","",'Service Types'!J463)</f>
        <v>3.6</v>
      </c>
      <c r="K361" s="6">
        <f>IF('Service Types'!K463="","",'Service Types'!K463)</f>
        <v>6</v>
      </c>
      <c r="L361" s="4" t="str">
        <f>IF('Service Types'!Q463="","",'Service Types'!Q463)</f>
        <v>Crew</v>
      </c>
    </row>
    <row r="362" spans="1:12" x14ac:dyDescent="0.45">
      <c r="A362" s="14">
        <v>361</v>
      </c>
      <c r="B362" s="4" t="s">
        <v>333</v>
      </c>
      <c r="C362" s="4" t="str">
        <f>IF('Service Types'!B249="","",'Service Types'!B249)</f>
        <v>CS - Recreation and Social Programs</v>
      </c>
      <c r="D362" s="5">
        <f>IF('Service Types'!E249="","",'Service Types'!E249)</f>
        <v>24</v>
      </c>
      <c r="E362" s="5">
        <f>IF('Service Types'!D249="","",'Service Types'!D249)</f>
        <v>170</v>
      </c>
      <c r="F362" s="5">
        <f>IF('Service Types'!F249="","",'Service Types'!F249)</f>
        <v>0</v>
      </c>
      <c r="G362" s="5">
        <f>IF('Service Types'!G249="","",'Service Types'!G249)</f>
        <v>0</v>
      </c>
      <c r="H362" s="5">
        <f>IF('Service Types'!H249="","",'Service Types'!H249)</f>
        <v>170</v>
      </c>
      <c r="I362" s="6">
        <f>IF('Service Types'!I249="","",'Service Types'!I249)</f>
        <v>2.5</v>
      </c>
      <c r="J362" s="6">
        <f>IF('Service Types'!J249="","",'Service Types'!J249)</f>
        <v>8.4</v>
      </c>
      <c r="K362" s="6">
        <f>IF('Service Types'!K249="","",'Service Types'!K249)</f>
        <v>19</v>
      </c>
      <c r="L362" s="4" t="str">
        <f>IF('Service Types'!Q249="","",'Service Types'!Q249)</f>
        <v>Non-crew</v>
      </c>
    </row>
    <row r="363" spans="1:12" x14ac:dyDescent="0.45">
      <c r="A363" s="14">
        <v>362</v>
      </c>
      <c r="B363" s="4" t="s">
        <v>790</v>
      </c>
      <c r="C363" s="4" t="str">
        <f>IF('Service Types'!B613="","",'Service Types'!B613)</f>
        <v>PDS - Climate and Environment</v>
      </c>
      <c r="D363" s="5">
        <f>IF('Service Types'!E613="","",'Service Types'!E613)</f>
        <v>24</v>
      </c>
      <c r="E363" s="5">
        <f>IF('Service Types'!D613="","",'Service Types'!D613)</f>
        <v>120</v>
      </c>
      <c r="F363" s="5">
        <f>IF('Service Types'!F613="","",'Service Types'!F613)</f>
        <v>0</v>
      </c>
      <c r="G363" s="5">
        <f>IF('Service Types'!G613="","",'Service Types'!G613)</f>
        <v>0</v>
      </c>
      <c r="H363" s="5">
        <f>IF('Service Types'!H613="","",'Service Types'!H613)</f>
        <v>120</v>
      </c>
      <c r="I363" s="6">
        <f>IF('Service Types'!I613="","",'Service Types'!I613)</f>
        <v>3</v>
      </c>
      <c r="J363" s="6">
        <f>IF('Service Types'!J613="","",'Service Types'!J613)</f>
        <v>7</v>
      </c>
      <c r="K363" s="6">
        <f>IF('Service Types'!K613="","",'Service Types'!K613)</f>
        <v>11</v>
      </c>
      <c r="L363" s="4" t="str">
        <f>IF('Service Types'!Q613="","",'Service Types'!Q613)</f>
        <v>Non-crew</v>
      </c>
    </row>
    <row r="364" spans="1:12" x14ac:dyDescent="0.45">
      <c r="A364" s="14">
        <v>363</v>
      </c>
      <c r="B364" s="4" t="s">
        <v>260</v>
      </c>
      <c r="C364" s="4" t="str">
        <f>IF('Service Types'!B180="","",'Service Types'!B180)</f>
        <v>CS - Emergency Management and Community Safety</v>
      </c>
      <c r="D364" s="5">
        <f>IF('Service Types'!E180="","",'Service Types'!E180)</f>
        <v>24</v>
      </c>
      <c r="E364" s="5">
        <f>IF('Service Types'!D180="","",'Service Types'!D180)</f>
        <v>97</v>
      </c>
      <c r="F364" s="5">
        <f>IF('Service Types'!F180="","",'Service Types'!F180)</f>
        <v>0</v>
      </c>
      <c r="G364" s="5">
        <f>IF('Service Types'!G180="","",'Service Types'!G180)</f>
        <v>0</v>
      </c>
      <c r="H364" s="5">
        <f>IF('Service Types'!H180="","",'Service Types'!H180)</f>
        <v>97</v>
      </c>
      <c r="I364" s="6">
        <f>IF('Service Types'!I180="","",'Service Types'!I180)</f>
        <v>0</v>
      </c>
      <c r="J364" s="6">
        <f>IF('Service Types'!J180="","",'Service Types'!J180)</f>
        <v>10.5</v>
      </c>
      <c r="K364" s="6">
        <f>IF('Service Types'!K180="","",'Service Types'!K180)</f>
        <v>28</v>
      </c>
      <c r="L364" s="4" t="str">
        <f>IF('Service Types'!Q180="","",'Service Types'!Q180)</f>
        <v>Non-crew</v>
      </c>
    </row>
    <row r="365" spans="1:12" x14ac:dyDescent="0.45">
      <c r="A365" s="14">
        <v>364</v>
      </c>
      <c r="B365" s="4" t="s">
        <v>410</v>
      </c>
      <c r="C365" s="4" t="str">
        <f>IF('Service Types'!B312="","",'Service Types'!B312)</f>
        <v>IS - Public Spaces Delivery</v>
      </c>
      <c r="D365" s="5">
        <f>IF('Service Types'!E312="","",'Service Types'!E312)</f>
        <v>24</v>
      </c>
      <c r="E365" s="5">
        <f>IF('Service Types'!D312="","",'Service Types'!D312)</f>
        <v>39</v>
      </c>
      <c r="F365" s="5">
        <f>IF('Service Types'!F312="","",'Service Types'!F312)</f>
        <v>1</v>
      </c>
      <c r="G365" s="5">
        <f>IF('Service Types'!G312="","",'Service Types'!G312)</f>
        <v>0</v>
      </c>
      <c r="H365" s="5">
        <f>IF('Service Types'!H312="","",'Service Types'!H312)</f>
        <v>38</v>
      </c>
      <c r="I365" s="6">
        <f>IF('Service Types'!I312="","",'Service Types'!I312)</f>
        <v>6</v>
      </c>
      <c r="J365" s="6">
        <f>IF('Service Types'!J312="","",'Service Types'!J312)</f>
        <v>9.6999999999999993</v>
      </c>
      <c r="K365" s="6">
        <f>IF('Service Types'!K312="","",'Service Types'!K312)</f>
        <v>16</v>
      </c>
      <c r="L365" s="4" t="str">
        <f>IF('Service Types'!Q312="","",'Service Types'!Q312)</f>
        <v>Non-crew</v>
      </c>
    </row>
    <row r="366" spans="1:12" x14ac:dyDescent="0.45">
      <c r="A366" s="14">
        <v>365</v>
      </c>
      <c r="B366" s="4" t="s">
        <v>431</v>
      </c>
      <c r="C366" s="4" t="str">
        <f>IF('Service Types'!B330="","",'Service Types'!B330)</f>
        <v>IS - Utilities Delivery</v>
      </c>
      <c r="D366" s="5">
        <f>IF('Service Types'!E330="","",'Service Types'!E330)</f>
        <v>23</v>
      </c>
      <c r="E366" s="5">
        <f>IF('Service Types'!D330="","",'Service Types'!D330)</f>
        <v>185</v>
      </c>
      <c r="F366" s="5">
        <f>IF('Service Types'!F330="","",'Service Types'!F330)</f>
        <v>0</v>
      </c>
      <c r="G366" s="5">
        <f>IF('Service Types'!G330="","",'Service Types'!G330)</f>
        <v>0</v>
      </c>
      <c r="H366" s="5">
        <f>IF('Service Types'!H330="","",'Service Types'!H330)</f>
        <v>185</v>
      </c>
      <c r="I366" s="6">
        <f>IF('Service Types'!I330="","",'Service Types'!I330)</f>
        <v>6</v>
      </c>
      <c r="J366" s="6">
        <f>IF('Service Types'!J330="","",'Service Types'!J330)</f>
        <v>20</v>
      </c>
      <c r="K366" s="6">
        <f>IF('Service Types'!K330="","",'Service Types'!K330)</f>
        <v>21</v>
      </c>
      <c r="L366" s="4" t="str">
        <f>IF('Service Types'!Q330="","",'Service Types'!Q330)</f>
        <v>Non-crew</v>
      </c>
    </row>
    <row r="367" spans="1:12" x14ac:dyDescent="0.45">
      <c r="A367" s="14">
        <v>366</v>
      </c>
      <c r="B367" s="4" t="s">
        <v>788</v>
      </c>
      <c r="C367" s="4" t="str">
        <f>IF('Service Types'!B611="","",'Service Types'!B611)</f>
        <v>PDS - Climate and Environment</v>
      </c>
      <c r="D367" s="5">
        <f>IF('Service Types'!E611="","",'Service Types'!E611)</f>
        <v>23</v>
      </c>
      <c r="E367" s="5">
        <f>IF('Service Types'!D611="","",'Service Types'!D611)</f>
        <v>174</v>
      </c>
      <c r="F367" s="5">
        <f>IF('Service Types'!F611="","",'Service Types'!F611)</f>
        <v>0</v>
      </c>
      <c r="G367" s="5">
        <f>IF('Service Types'!G611="","",'Service Types'!G611)</f>
        <v>0</v>
      </c>
      <c r="H367" s="5">
        <f>IF('Service Types'!H611="","",'Service Types'!H611)</f>
        <v>174</v>
      </c>
      <c r="I367" s="6">
        <f>IF('Service Types'!I611="","",'Service Types'!I611)</f>
        <v>4</v>
      </c>
      <c r="J367" s="6">
        <f>IF('Service Types'!J611="","",'Service Types'!J611)</f>
        <v>12.4</v>
      </c>
      <c r="K367" s="6">
        <f>IF('Service Types'!K611="","",'Service Types'!K611)</f>
        <v>16</v>
      </c>
      <c r="L367" s="4" t="str">
        <f>IF('Service Types'!Q611="","",'Service Types'!Q611)</f>
        <v>Non-crew</v>
      </c>
    </row>
    <row r="368" spans="1:12" x14ac:dyDescent="0.45">
      <c r="A368" s="14">
        <v>367</v>
      </c>
      <c r="B368" s="4" t="s">
        <v>556</v>
      </c>
      <c r="C368" s="4" t="str">
        <f>IF('Service Types'!B424="","",'Service Types'!B424)</f>
        <v>OS - Mobility</v>
      </c>
      <c r="D368" s="5">
        <f>IF('Service Types'!E424="","",'Service Types'!E424)</f>
        <v>23</v>
      </c>
      <c r="E368" s="5">
        <f>IF('Service Types'!D424="","",'Service Types'!D424)</f>
        <v>103</v>
      </c>
      <c r="F368" s="5">
        <f>IF('Service Types'!F424="","",'Service Types'!F424)</f>
        <v>18</v>
      </c>
      <c r="G368" s="5">
        <f>IF('Service Types'!G424="","",'Service Types'!G424)</f>
        <v>17</v>
      </c>
      <c r="H368" s="5">
        <f>IF('Service Types'!H424="","",'Service Types'!H424)</f>
        <v>85</v>
      </c>
      <c r="I368" s="6">
        <f>IF('Service Types'!I424="","",'Service Types'!I424)</f>
        <v>2</v>
      </c>
      <c r="J368" s="6">
        <f>IF('Service Types'!J424="","",'Service Types'!J424)</f>
        <v>33</v>
      </c>
      <c r="K368" s="6">
        <f>IF('Service Types'!K424="","",'Service Types'!K424)</f>
        <v>26</v>
      </c>
      <c r="L368" s="4" t="str">
        <f>IF('Service Types'!Q424="","",'Service Types'!Q424)</f>
        <v>Non-crew</v>
      </c>
    </row>
    <row r="369" spans="1:12" x14ac:dyDescent="0.45">
      <c r="A369" s="14">
        <v>368</v>
      </c>
      <c r="B369" s="4" t="s">
        <v>558</v>
      </c>
      <c r="C369" s="4" t="str">
        <f>IF('Service Types'!B426="","",'Service Types'!B426)</f>
        <v>OS - Mobility</v>
      </c>
      <c r="D369" s="5">
        <f>IF('Service Types'!E426="","",'Service Types'!E426)</f>
        <v>23</v>
      </c>
      <c r="E369" s="5">
        <f>IF('Service Types'!D426="","",'Service Types'!D426)</f>
        <v>95</v>
      </c>
      <c r="F369" s="5">
        <f>IF('Service Types'!F426="","",'Service Types'!F426)</f>
        <v>70</v>
      </c>
      <c r="G369" s="5">
        <f>IF('Service Types'!G426="","",'Service Types'!G426)</f>
        <v>65</v>
      </c>
      <c r="H369" s="5">
        <f>IF('Service Types'!H426="","",'Service Types'!H426)</f>
        <v>25</v>
      </c>
      <c r="I369" s="6">
        <f>IF('Service Types'!I426="","",'Service Types'!I426)</f>
        <v>143</v>
      </c>
      <c r="J369" s="6">
        <f>IF('Service Types'!J426="","",'Service Types'!J426)</f>
        <v>208.9</v>
      </c>
      <c r="K369" s="6">
        <f>IF('Service Types'!K426="","",'Service Types'!K426)</f>
        <v>595</v>
      </c>
      <c r="L369" s="4" t="str">
        <f>IF('Service Types'!Q426="","",'Service Types'!Q426)</f>
        <v>Non-crew</v>
      </c>
    </row>
    <row r="370" spans="1:12" x14ac:dyDescent="0.45">
      <c r="A370" s="14">
        <v>369</v>
      </c>
      <c r="B370" s="4" t="s">
        <v>854</v>
      </c>
      <c r="C370" s="4" t="str">
        <f>IF('Service Types'!B674="","",'Service Types'!B674)</f>
        <v>PDS - Development, Business and Building Services</v>
      </c>
      <c r="D370" s="5">
        <f>IF('Service Types'!E674="","",'Service Types'!E674)</f>
        <v>23</v>
      </c>
      <c r="E370" s="5">
        <f>IF('Service Types'!D674="","",'Service Types'!D674)</f>
        <v>25</v>
      </c>
      <c r="F370" s="5">
        <f>IF('Service Types'!F674="","",'Service Types'!F674)</f>
        <v>0</v>
      </c>
      <c r="G370" s="5">
        <f>IF('Service Types'!G674="","",'Service Types'!G674)</f>
        <v>0</v>
      </c>
      <c r="H370" s="5">
        <f>IF('Service Types'!H674="","",'Service Types'!H674)</f>
        <v>25</v>
      </c>
      <c r="I370" s="6">
        <f>IF('Service Types'!I674="","",'Service Types'!I674)</f>
        <v>0</v>
      </c>
      <c r="J370" s="6">
        <f>IF('Service Types'!J674="","",'Service Types'!J674)</f>
        <v>0.5</v>
      </c>
      <c r="K370" s="6">
        <f>IF('Service Types'!K674="","",'Service Types'!K674)</f>
        <v>1</v>
      </c>
      <c r="L370" s="4" t="str">
        <f>IF('Service Types'!Q674="","",'Service Types'!Q674)</f>
        <v>Non-crew</v>
      </c>
    </row>
    <row r="371" spans="1:12" x14ac:dyDescent="0.45">
      <c r="A371" s="14">
        <v>370</v>
      </c>
      <c r="B371" s="4" t="s">
        <v>256</v>
      </c>
      <c r="C371" s="4" t="str">
        <f>IF('Service Types'!B176="","",'Service Types'!B176)</f>
        <v>CS - Emergency Management and Community Safety</v>
      </c>
      <c r="D371" s="5">
        <f>IF('Service Types'!E176="","",'Service Types'!E176)</f>
        <v>22</v>
      </c>
      <c r="E371" s="5">
        <f>IF('Service Types'!D176="","",'Service Types'!D176)</f>
        <v>123</v>
      </c>
      <c r="F371" s="5">
        <f>IF('Service Types'!F176="","",'Service Types'!F176)</f>
        <v>0</v>
      </c>
      <c r="G371" s="5">
        <f>IF('Service Types'!G176="","",'Service Types'!G176)</f>
        <v>0</v>
      </c>
      <c r="H371" s="5">
        <f>IF('Service Types'!H176="","",'Service Types'!H176)</f>
        <v>123</v>
      </c>
      <c r="I371" s="6">
        <f>IF('Service Types'!I176="","",'Service Types'!I176)</f>
        <v>2</v>
      </c>
      <c r="J371" s="6">
        <f>IF('Service Types'!J176="","",'Service Types'!J176)</f>
        <v>5.8</v>
      </c>
      <c r="K371" s="6">
        <f>IF('Service Types'!K176="","",'Service Types'!K176)</f>
        <v>12</v>
      </c>
      <c r="L371" s="4" t="str">
        <f>IF('Service Types'!Q176="","",'Service Types'!Q176)</f>
        <v>Non-crew</v>
      </c>
    </row>
    <row r="372" spans="1:12" x14ac:dyDescent="0.45">
      <c r="A372" s="14">
        <v>371</v>
      </c>
      <c r="B372" s="4" t="s">
        <v>267</v>
      </c>
      <c r="C372" s="4" t="str">
        <f>IF('Service Types'!B187="","",'Service Types'!B187)</f>
        <v>CS - Emergency Management and Community Safety</v>
      </c>
      <c r="D372" s="5">
        <f>IF('Service Types'!E187="","",'Service Types'!E187)</f>
        <v>22</v>
      </c>
      <c r="E372" s="5">
        <f>IF('Service Types'!D187="","",'Service Types'!D187)</f>
        <v>46</v>
      </c>
      <c r="F372" s="5">
        <f>IF('Service Types'!F187="","",'Service Types'!F187)</f>
        <v>1</v>
      </c>
      <c r="G372" s="5">
        <f>IF('Service Types'!G187="","",'Service Types'!G187)</f>
        <v>0</v>
      </c>
      <c r="H372" s="5">
        <f>IF('Service Types'!H187="","",'Service Types'!H187)</f>
        <v>45</v>
      </c>
      <c r="I372" s="6">
        <f>IF('Service Types'!I187="","",'Service Types'!I187)</f>
        <v>3</v>
      </c>
      <c r="J372" s="6">
        <f>IF('Service Types'!J187="","",'Service Types'!J187)</f>
        <v>4.3</v>
      </c>
      <c r="K372" s="6">
        <f>IF('Service Types'!K187="","",'Service Types'!K187)</f>
        <v>8</v>
      </c>
      <c r="L372" s="4" t="str">
        <f>IF('Service Types'!Q187="","",'Service Types'!Q187)</f>
        <v>Non-crew</v>
      </c>
    </row>
    <row r="373" spans="1:12" x14ac:dyDescent="0.45">
      <c r="A373" s="14">
        <v>372</v>
      </c>
      <c r="B373" s="4" t="s">
        <v>678</v>
      </c>
      <c r="C373" s="4" t="str">
        <f>IF('Service Types'!B526="","",'Service Types'!B526)</f>
        <v>OS - Waste and Recycling Services</v>
      </c>
      <c r="D373" s="5">
        <f>IF('Service Types'!E526="","",'Service Types'!E526)</f>
        <v>21</v>
      </c>
      <c r="E373" s="5">
        <f>IF('Service Types'!D526="","",'Service Types'!D526)</f>
        <v>129</v>
      </c>
      <c r="F373" s="5">
        <f>IF('Service Types'!F526="","",'Service Types'!F526)</f>
        <v>0</v>
      </c>
      <c r="G373" s="5">
        <f>IF('Service Types'!G526="","",'Service Types'!G526)</f>
        <v>0</v>
      </c>
      <c r="H373" s="5">
        <f>IF('Service Types'!H526="","",'Service Types'!H526)</f>
        <v>129</v>
      </c>
      <c r="I373" s="6">
        <f>IF('Service Types'!I526="","",'Service Types'!I526)</f>
        <v>1</v>
      </c>
      <c r="J373" s="6">
        <f>IF('Service Types'!J526="","",'Service Types'!J526)</f>
        <v>1.8</v>
      </c>
      <c r="K373" s="6">
        <f>IF('Service Types'!K526="","",'Service Types'!K526)</f>
        <v>4</v>
      </c>
      <c r="L373" s="4" t="str">
        <f>IF('Service Types'!Q526="","",'Service Types'!Q526)</f>
        <v>Non-crew</v>
      </c>
    </row>
    <row r="374" spans="1:12" x14ac:dyDescent="0.45">
      <c r="A374" s="14">
        <v>373</v>
      </c>
      <c r="B374" s="4" t="s">
        <v>572</v>
      </c>
      <c r="C374" s="4" t="str">
        <f>IF('Service Types'!B440="","",'Service Types'!B440)</f>
        <v>OS - Operational Excellence</v>
      </c>
      <c r="D374" s="5">
        <f>IF('Service Types'!E440="","",'Service Types'!E440)</f>
        <v>21</v>
      </c>
      <c r="E374" s="5">
        <f>IF('Service Types'!D440="","",'Service Types'!D440)</f>
        <v>92</v>
      </c>
      <c r="F374" s="5">
        <f>IF('Service Types'!F440="","",'Service Types'!F440)</f>
        <v>2</v>
      </c>
      <c r="G374" s="5">
        <f>IF('Service Types'!G440="","",'Service Types'!G440)</f>
        <v>0</v>
      </c>
      <c r="H374" s="5">
        <f>IF('Service Types'!H440="","",'Service Types'!H440)</f>
        <v>90</v>
      </c>
      <c r="I374" s="6">
        <f>IF('Service Types'!I440="","",'Service Types'!I440)</f>
        <v>1</v>
      </c>
      <c r="J374" s="6">
        <f>IF('Service Types'!J440="","",'Service Types'!J440)</f>
        <v>5.2</v>
      </c>
      <c r="K374" s="6">
        <f>IF('Service Types'!K440="","",'Service Types'!K440)</f>
        <v>5</v>
      </c>
      <c r="L374" s="4" t="str">
        <f>IF('Service Types'!Q440="","",'Service Types'!Q440)</f>
        <v>Non-crew</v>
      </c>
    </row>
    <row r="375" spans="1:12" x14ac:dyDescent="0.45">
      <c r="A375" s="14">
        <v>374</v>
      </c>
      <c r="B375" s="4" t="s">
        <v>750</v>
      </c>
      <c r="C375" s="4" t="str">
        <f>IF('Service Types'!B582="","",'Service Types'!B582)</f>
        <v>OS - Water Services</v>
      </c>
      <c r="D375" s="5">
        <f>IF('Service Types'!E582="","",'Service Types'!E582)</f>
        <v>21</v>
      </c>
      <c r="E375" s="5">
        <f>IF('Service Types'!D582="","",'Service Types'!D582)</f>
        <v>40</v>
      </c>
      <c r="F375" s="5">
        <f>IF('Service Types'!F582="","",'Service Types'!F582)</f>
        <v>0</v>
      </c>
      <c r="G375" s="5">
        <f>IF('Service Types'!G582="","",'Service Types'!G582)</f>
        <v>0</v>
      </c>
      <c r="H375" s="5">
        <f>IF('Service Types'!H582="","",'Service Types'!H582)</f>
        <v>40</v>
      </c>
      <c r="I375" s="6">
        <f>IF('Service Types'!I582="","",'Service Types'!I582)</f>
        <v>1</v>
      </c>
      <c r="J375" s="6">
        <f>IF('Service Types'!J582="","",'Service Types'!J582)</f>
        <v>2.8</v>
      </c>
      <c r="K375" s="6">
        <f>IF('Service Types'!K582="","",'Service Types'!K582)</f>
        <v>5</v>
      </c>
      <c r="L375" s="4" t="str">
        <f>IF('Service Types'!Q582="","",'Service Types'!Q582)</f>
        <v>Non-crew</v>
      </c>
    </row>
    <row r="376" spans="1:12" x14ac:dyDescent="0.45">
      <c r="A376" s="14">
        <v>375</v>
      </c>
      <c r="B376" s="4" t="s">
        <v>411</v>
      </c>
      <c r="C376" s="4" t="str">
        <f>IF('Service Types'!B313="","",'Service Types'!B313)</f>
        <v>IS - Public Spaces Delivery</v>
      </c>
      <c r="D376" s="5">
        <f>IF('Service Types'!E313="","",'Service Types'!E313)</f>
        <v>21</v>
      </c>
      <c r="E376" s="5">
        <f>IF('Service Types'!D313="","",'Service Types'!D313)</f>
        <v>37</v>
      </c>
      <c r="F376" s="5">
        <f>IF('Service Types'!F313="","",'Service Types'!F313)</f>
        <v>0</v>
      </c>
      <c r="G376" s="5">
        <f>IF('Service Types'!G313="","",'Service Types'!G313)</f>
        <v>0</v>
      </c>
      <c r="H376" s="5">
        <f>IF('Service Types'!H313="","",'Service Types'!H313)</f>
        <v>37</v>
      </c>
      <c r="I376" s="6">
        <f>IF('Service Types'!I313="","",'Service Types'!I313)</f>
        <v>8</v>
      </c>
      <c r="J376" s="6">
        <f>IF('Service Types'!J313="","",'Service Types'!J313)</f>
        <v>14.6</v>
      </c>
      <c r="K376" s="6">
        <f>IF('Service Types'!K313="","",'Service Types'!K313)</f>
        <v>38</v>
      </c>
      <c r="L376" s="4" t="str">
        <f>IF('Service Types'!Q313="","",'Service Types'!Q313)</f>
        <v>Non-crew</v>
      </c>
    </row>
    <row r="377" spans="1:12" x14ac:dyDescent="0.45">
      <c r="A377" s="14">
        <v>376</v>
      </c>
      <c r="B377" s="4" t="s">
        <v>413</v>
      </c>
      <c r="C377" s="4" t="str">
        <f>IF('Service Types'!B315="","",'Service Types'!B315)</f>
        <v>IS - Public Spaces Delivery</v>
      </c>
      <c r="D377" s="5">
        <f>IF('Service Types'!E315="","",'Service Types'!E315)</f>
        <v>21</v>
      </c>
      <c r="E377" s="5">
        <f>IF('Service Types'!D315="","",'Service Types'!D315)</f>
        <v>28</v>
      </c>
      <c r="F377" s="5">
        <f>IF('Service Types'!F315="","",'Service Types'!F315)</f>
        <v>0</v>
      </c>
      <c r="G377" s="5">
        <f>IF('Service Types'!G315="","",'Service Types'!G315)</f>
        <v>0</v>
      </c>
      <c r="H377" s="5">
        <f>IF('Service Types'!H315="","",'Service Types'!H315)</f>
        <v>28</v>
      </c>
      <c r="I377" s="6">
        <f>IF('Service Types'!I315="","",'Service Types'!I315)</f>
        <v>2</v>
      </c>
      <c r="J377" s="6">
        <f>IF('Service Types'!J315="","",'Service Types'!J315)</f>
        <v>10.8</v>
      </c>
      <c r="K377" s="6">
        <f>IF('Service Types'!K315="","",'Service Types'!K315)</f>
        <v>24</v>
      </c>
      <c r="L377" s="4" t="str">
        <f>IF('Service Types'!Q315="","",'Service Types'!Q315)</f>
        <v>Non-crew</v>
      </c>
    </row>
    <row r="378" spans="1:12" x14ac:dyDescent="0.45">
      <c r="A378" s="14">
        <v>377</v>
      </c>
      <c r="B378" s="4" t="s">
        <v>258</v>
      </c>
      <c r="C378" s="4" t="str">
        <f>IF('Service Types'!B178="","",'Service Types'!B178)</f>
        <v>CS - Emergency Management and Community Safety</v>
      </c>
      <c r="D378" s="5">
        <f>IF('Service Types'!E178="","",'Service Types'!E178)</f>
        <v>20</v>
      </c>
      <c r="E378" s="5">
        <f>IF('Service Types'!D178="","",'Service Types'!D178)</f>
        <v>116</v>
      </c>
      <c r="F378" s="5">
        <f>IF('Service Types'!F178="","",'Service Types'!F178)</f>
        <v>1</v>
      </c>
      <c r="G378" s="5">
        <f>IF('Service Types'!G178="","",'Service Types'!G178)</f>
        <v>1</v>
      </c>
      <c r="H378" s="5">
        <f>IF('Service Types'!H178="","",'Service Types'!H178)</f>
        <v>115</v>
      </c>
      <c r="I378" s="6">
        <f>IF('Service Types'!I178="","",'Service Types'!I178)</f>
        <v>1</v>
      </c>
      <c r="J378" s="6">
        <f>IF('Service Types'!J178="","",'Service Types'!J178)</f>
        <v>6.7</v>
      </c>
      <c r="K378" s="6">
        <f>IF('Service Types'!K178="","",'Service Types'!K178)</f>
        <v>8</v>
      </c>
      <c r="L378" s="4" t="str">
        <f>IF('Service Types'!Q178="","",'Service Types'!Q178)</f>
        <v>Non-crew</v>
      </c>
    </row>
    <row r="379" spans="1:12" x14ac:dyDescent="0.45">
      <c r="A379" s="14">
        <v>378</v>
      </c>
      <c r="B379" s="4" t="s">
        <v>563</v>
      </c>
      <c r="C379" s="4" t="str">
        <f>IF('Service Types'!B431="","",'Service Types'!B431)</f>
        <v>OS - Mobility</v>
      </c>
      <c r="D379" s="5">
        <f>IF('Service Types'!E431="","",'Service Types'!E431)</f>
        <v>20</v>
      </c>
      <c r="E379" s="5">
        <f>IF('Service Types'!D431="","",'Service Types'!D431)</f>
        <v>69</v>
      </c>
      <c r="F379" s="5">
        <f>IF('Service Types'!F431="","",'Service Types'!F431)</f>
        <v>10</v>
      </c>
      <c r="G379" s="5">
        <f>IF('Service Types'!G431="","",'Service Types'!G431)</f>
        <v>9</v>
      </c>
      <c r="H379" s="5">
        <f>IF('Service Types'!H431="","",'Service Types'!H431)</f>
        <v>59</v>
      </c>
      <c r="I379" s="6">
        <f>IF('Service Types'!I431="","",'Service Types'!I431)</f>
        <v>4</v>
      </c>
      <c r="J379" s="6">
        <f>IF('Service Types'!J431="","",'Service Types'!J431)</f>
        <v>58.8</v>
      </c>
      <c r="K379" s="6">
        <f>IF('Service Types'!K431="","",'Service Types'!K431)</f>
        <v>220</v>
      </c>
      <c r="L379" s="4" t="str">
        <f>IF('Service Types'!Q431="","",'Service Types'!Q431)</f>
        <v>Non-crew</v>
      </c>
    </row>
    <row r="380" spans="1:12" x14ac:dyDescent="0.45">
      <c r="A380" s="14">
        <v>379</v>
      </c>
      <c r="B380" s="4" t="s">
        <v>137</v>
      </c>
      <c r="C380" s="4" t="str">
        <f>IF('Service Types'!B75="","",'Service Types'!B75)</f>
        <v>CS - Calgary Fire</v>
      </c>
      <c r="D380" s="5">
        <f>IF('Service Types'!E75="","",'Service Types'!E75)</f>
        <v>20</v>
      </c>
      <c r="E380" s="5">
        <f>IF('Service Types'!D75="","",'Service Types'!D75)</f>
        <v>50</v>
      </c>
      <c r="F380" s="5">
        <f>IF('Service Types'!F75="","",'Service Types'!F75)</f>
        <v>1</v>
      </c>
      <c r="G380" s="5">
        <f>IF('Service Types'!G75="","",'Service Types'!G75)</f>
        <v>1</v>
      </c>
      <c r="H380" s="5">
        <f>IF('Service Types'!H75="","",'Service Types'!H75)</f>
        <v>49</v>
      </c>
      <c r="I380" s="6">
        <f>IF('Service Types'!I75="","",'Service Types'!I75)</f>
        <v>2</v>
      </c>
      <c r="J380" s="6">
        <f>IF('Service Types'!J75="","",'Service Types'!J75)</f>
        <v>6.7</v>
      </c>
      <c r="K380" s="6">
        <f>IF('Service Types'!K75="","",'Service Types'!K75)</f>
        <v>8</v>
      </c>
      <c r="L380" s="4" t="str">
        <f>IF('Service Types'!Q75="","",'Service Types'!Q75)</f>
        <v>Non-crew</v>
      </c>
    </row>
    <row r="381" spans="1:12" x14ac:dyDescent="0.45">
      <c r="A381" s="14">
        <v>380</v>
      </c>
      <c r="B381" s="4" t="s">
        <v>391</v>
      </c>
      <c r="C381" s="4" t="str">
        <f>IF('Service Types'!B294="","",'Service Types'!B294)</f>
        <v>IS - Project Development</v>
      </c>
      <c r="D381" s="5">
        <f>IF('Service Types'!E294="","",'Service Types'!E294)</f>
        <v>20</v>
      </c>
      <c r="E381" s="5">
        <f>IF('Service Types'!D294="","",'Service Types'!D294)</f>
        <v>43</v>
      </c>
      <c r="F381" s="5">
        <f>IF('Service Types'!F294="","",'Service Types'!F294)</f>
        <v>0</v>
      </c>
      <c r="G381" s="5">
        <f>IF('Service Types'!G294="","",'Service Types'!G294)</f>
        <v>0</v>
      </c>
      <c r="H381" s="5">
        <f>IF('Service Types'!H294="","",'Service Types'!H294)</f>
        <v>43</v>
      </c>
      <c r="I381" s="6">
        <f>IF('Service Types'!I294="","",'Service Types'!I294)</f>
        <v>3</v>
      </c>
      <c r="J381" s="6">
        <f>IF('Service Types'!J294="","",'Service Types'!J294)</f>
        <v>9.6</v>
      </c>
      <c r="K381" s="6">
        <f>IF('Service Types'!K294="","",'Service Types'!K294)</f>
        <v>12</v>
      </c>
      <c r="L381" s="4" t="str">
        <f>IF('Service Types'!Q294="","",'Service Types'!Q294)</f>
        <v>Non-crew</v>
      </c>
    </row>
    <row r="382" spans="1:12" x14ac:dyDescent="0.45">
      <c r="A382" s="14">
        <v>381</v>
      </c>
      <c r="B382" s="4" t="s">
        <v>129</v>
      </c>
      <c r="C382" s="4" t="str">
        <f>IF('Service Types'!B67="","",'Service Types'!B67)</f>
        <v>CS - Calgary Fire</v>
      </c>
      <c r="D382" s="5">
        <f>IF('Service Types'!E67="","",'Service Types'!E67)</f>
        <v>19</v>
      </c>
      <c r="E382" s="5">
        <f>IF('Service Types'!D67="","",'Service Types'!D67)</f>
        <v>190</v>
      </c>
      <c r="F382" s="5">
        <f>IF('Service Types'!F67="","",'Service Types'!F67)</f>
        <v>1</v>
      </c>
      <c r="G382" s="5">
        <f>IF('Service Types'!G67="","",'Service Types'!G67)</f>
        <v>0</v>
      </c>
      <c r="H382" s="5">
        <f>IF('Service Types'!H67="","",'Service Types'!H67)</f>
        <v>189</v>
      </c>
      <c r="I382" s="6">
        <f>IF('Service Types'!I67="","",'Service Types'!I67)</f>
        <v>5</v>
      </c>
      <c r="J382" s="6">
        <f>IF('Service Types'!J67="","",'Service Types'!J67)</f>
        <v>13.3</v>
      </c>
      <c r="K382" s="6">
        <f>IF('Service Types'!K67="","",'Service Types'!K67)</f>
        <v>35</v>
      </c>
      <c r="L382" s="4" t="str">
        <f>IF('Service Types'!Q67="","",'Service Types'!Q67)</f>
        <v>Non-crew</v>
      </c>
    </row>
    <row r="383" spans="1:12" x14ac:dyDescent="0.45">
      <c r="A383" s="14">
        <v>382</v>
      </c>
      <c r="B383" s="4" t="s">
        <v>292</v>
      </c>
      <c r="C383" s="4" t="str">
        <f>IF('Service Types'!B209="","",'Service Types'!B209)</f>
        <v>CS - Partnerships</v>
      </c>
      <c r="D383" s="5">
        <f>IF('Service Types'!E209="","",'Service Types'!E209)</f>
        <v>19</v>
      </c>
      <c r="E383" s="5">
        <f>IF('Service Types'!D209="","",'Service Types'!D209)</f>
        <v>137</v>
      </c>
      <c r="F383" s="5">
        <f>IF('Service Types'!F209="","",'Service Types'!F209)</f>
        <v>0</v>
      </c>
      <c r="G383" s="5">
        <f>IF('Service Types'!G209="","",'Service Types'!G209)</f>
        <v>0</v>
      </c>
      <c r="H383" s="5">
        <f>IF('Service Types'!H209="","",'Service Types'!H209)</f>
        <v>137</v>
      </c>
      <c r="I383" s="6">
        <f>IF('Service Types'!I209="","",'Service Types'!I209)</f>
        <v>2</v>
      </c>
      <c r="J383" s="6">
        <f>IF('Service Types'!J209="","",'Service Types'!J209)</f>
        <v>5.9</v>
      </c>
      <c r="K383" s="6">
        <f>IF('Service Types'!K209="","",'Service Types'!K209)</f>
        <v>15</v>
      </c>
      <c r="L383" s="4" t="str">
        <f>IF('Service Types'!Q209="","",'Service Types'!Q209)</f>
        <v>Non-crew</v>
      </c>
    </row>
    <row r="384" spans="1:12" x14ac:dyDescent="0.45">
      <c r="A384" s="14">
        <v>383</v>
      </c>
      <c r="B384" s="4" t="s">
        <v>562</v>
      </c>
      <c r="C384" s="4" t="str">
        <f>IF('Service Types'!B430="","",'Service Types'!B430)</f>
        <v>OS - Mobility</v>
      </c>
      <c r="D384" s="5">
        <f>IF('Service Types'!E430="","",'Service Types'!E430)</f>
        <v>19</v>
      </c>
      <c r="E384" s="5">
        <f>IF('Service Types'!D430="","",'Service Types'!D430)</f>
        <v>72</v>
      </c>
      <c r="F384" s="5">
        <f>IF('Service Types'!F430="","",'Service Types'!F430)</f>
        <v>3</v>
      </c>
      <c r="G384" s="5">
        <f>IF('Service Types'!G430="","",'Service Types'!G430)</f>
        <v>1</v>
      </c>
      <c r="H384" s="5">
        <f>IF('Service Types'!H430="","",'Service Types'!H430)</f>
        <v>69</v>
      </c>
      <c r="I384" s="6">
        <f>IF('Service Types'!I430="","",'Service Types'!I430)</f>
        <v>7</v>
      </c>
      <c r="J384" s="6">
        <f>IF('Service Types'!J430="","",'Service Types'!J430)</f>
        <v>16.3</v>
      </c>
      <c r="K384" s="6">
        <f>IF('Service Types'!K430="","",'Service Types'!K430)</f>
        <v>21</v>
      </c>
      <c r="L384" s="4" t="str">
        <f>IF('Service Types'!Q430="","",'Service Types'!Q430)</f>
        <v>Non-crew</v>
      </c>
    </row>
    <row r="385" spans="1:12" x14ac:dyDescent="0.45">
      <c r="A385" s="14">
        <v>384</v>
      </c>
      <c r="B385" s="4" t="s">
        <v>433</v>
      </c>
      <c r="C385" s="4" t="str">
        <f>IF('Service Types'!B332="","",'Service Types'!B332)</f>
        <v>LLSS - Chief Administrators Office</v>
      </c>
      <c r="D385" s="5">
        <f>IF('Service Types'!E332="","",'Service Types'!E332)</f>
        <v>19</v>
      </c>
      <c r="E385" s="5">
        <f>IF('Service Types'!D332="","",'Service Types'!D332)</f>
        <v>38</v>
      </c>
      <c r="F385" s="5">
        <f>IF('Service Types'!F332="","",'Service Types'!F332)</f>
        <v>0</v>
      </c>
      <c r="G385" s="5">
        <f>IF('Service Types'!G332="","",'Service Types'!G332)</f>
        <v>0</v>
      </c>
      <c r="H385" s="5">
        <f>IF('Service Types'!H332="","",'Service Types'!H332)</f>
        <v>38</v>
      </c>
      <c r="I385" s="6">
        <f>IF('Service Types'!I332="","",'Service Types'!I332)</f>
        <v>0</v>
      </c>
      <c r="J385" s="6">
        <f>IF('Service Types'!J332="","",'Service Types'!J332)</f>
        <v>9.4</v>
      </c>
      <c r="K385" s="6">
        <f>IF('Service Types'!K332="","",'Service Types'!K332)</f>
        <v>2</v>
      </c>
      <c r="L385" s="4" t="str">
        <f>IF('Service Types'!Q332="","",'Service Types'!Q332)</f>
        <v>Non-crew</v>
      </c>
    </row>
    <row r="386" spans="1:12" x14ac:dyDescent="0.45">
      <c r="A386" s="14">
        <v>385</v>
      </c>
      <c r="B386" s="4" t="s">
        <v>362</v>
      </c>
      <c r="C386" s="4" t="str">
        <f>IF('Service Types'!B272="","",'Service Types'!B272)</f>
        <v>Elected Officials</v>
      </c>
      <c r="D386" s="5">
        <f>IF('Service Types'!E272="","",'Service Types'!E272)</f>
        <v>19</v>
      </c>
      <c r="E386" s="5">
        <f>IF('Service Types'!D272="","",'Service Types'!D272)</f>
        <v>20</v>
      </c>
      <c r="F386" s="5">
        <f>IF('Service Types'!F272="","",'Service Types'!F272)</f>
        <v>0</v>
      </c>
      <c r="G386" s="5">
        <f>IF('Service Types'!G272="","",'Service Types'!G272)</f>
        <v>0</v>
      </c>
      <c r="H386" s="5">
        <f>IF('Service Types'!H272="","",'Service Types'!H272)</f>
        <v>20</v>
      </c>
      <c r="I386" s="6">
        <f>IF('Service Types'!I272="","",'Service Types'!I272)</f>
        <v>0</v>
      </c>
      <c r="J386" s="6">
        <f>IF('Service Types'!J272="","",'Service Types'!J272)</f>
        <v>0</v>
      </c>
      <c r="K386" s="6">
        <f>IF('Service Types'!K272="","",'Service Types'!K272)</f>
        <v>0</v>
      </c>
      <c r="L386" s="4" t="str">
        <f>IF('Service Types'!Q272="","",'Service Types'!Q272)</f>
        <v>Non-crew</v>
      </c>
    </row>
    <row r="387" spans="1:12" x14ac:dyDescent="0.45">
      <c r="A387" s="14">
        <v>386</v>
      </c>
      <c r="B387" s="4" t="s">
        <v>479</v>
      </c>
      <c r="C387" s="4" t="str">
        <f>IF('Service Types'!B361="","",'Service Types'!B361)</f>
        <v>OS - Calgary Transit</v>
      </c>
      <c r="D387" s="5">
        <f>IF('Service Types'!E361="","",'Service Types'!E361)</f>
        <v>18</v>
      </c>
      <c r="E387" s="5">
        <f>IF('Service Types'!D361="","",'Service Types'!D361)</f>
        <v>124</v>
      </c>
      <c r="F387" s="5">
        <f>IF('Service Types'!F361="","",'Service Types'!F361)</f>
        <v>4</v>
      </c>
      <c r="G387" s="5">
        <f>IF('Service Types'!G361="","",'Service Types'!G361)</f>
        <v>0</v>
      </c>
      <c r="H387" s="5">
        <f>IF('Service Types'!H361="","",'Service Types'!H361)</f>
        <v>120</v>
      </c>
      <c r="I387" s="6">
        <f>IF('Service Types'!I361="","",'Service Types'!I361)</f>
        <v>18.5</v>
      </c>
      <c r="J387" s="6">
        <f>IF('Service Types'!J361="","",'Service Types'!J361)</f>
        <v>28.1</v>
      </c>
      <c r="K387" s="6">
        <f>IF('Service Types'!K361="","",'Service Types'!K361)</f>
        <v>67</v>
      </c>
      <c r="L387" s="4" t="str">
        <f>IF('Service Types'!Q361="","",'Service Types'!Q361)</f>
        <v>Non-crew</v>
      </c>
    </row>
    <row r="388" spans="1:12" x14ac:dyDescent="0.45">
      <c r="A388" s="14">
        <v>387</v>
      </c>
      <c r="B388" s="4" t="s">
        <v>407</v>
      </c>
      <c r="C388" s="4" t="str">
        <f>IF('Service Types'!B309="","",'Service Types'!B309)</f>
        <v>IS - Public Spaces Delivery</v>
      </c>
      <c r="D388" s="5">
        <f>IF('Service Types'!E309="","",'Service Types'!E309)</f>
        <v>18</v>
      </c>
      <c r="E388" s="5">
        <f>IF('Service Types'!D309="","",'Service Types'!D309)</f>
        <v>71</v>
      </c>
      <c r="F388" s="5">
        <f>IF('Service Types'!F309="","",'Service Types'!F309)</f>
        <v>0</v>
      </c>
      <c r="G388" s="5">
        <f>IF('Service Types'!G309="","",'Service Types'!G309)</f>
        <v>0</v>
      </c>
      <c r="H388" s="5">
        <f>IF('Service Types'!H309="","",'Service Types'!H309)</f>
        <v>71</v>
      </c>
      <c r="I388" s="6">
        <f>IF('Service Types'!I309="","",'Service Types'!I309)</f>
        <v>2</v>
      </c>
      <c r="J388" s="6">
        <f>IF('Service Types'!J309="","",'Service Types'!J309)</f>
        <v>12</v>
      </c>
      <c r="K388" s="6">
        <f>IF('Service Types'!K309="","",'Service Types'!K309)</f>
        <v>15</v>
      </c>
      <c r="L388" s="4" t="str">
        <f>IF('Service Types'!Q309="","",'Service Types'!Q309)</f>
        <v>Non-crew</v>
      </c>
    </row>
    <row r="389" spans="1:12" x14ac:dyDescent="0.45">
      <c r="A389" s="14">
        <v>388</v>
      </c>
      <c r="B389" s="4" t="s">
        <v>344</v>
      </c>
      <c r="C389" s="4" t="str">
        <f>IF('Service Types'!B260="","",'Service Types'!B260)</f>
        <v>CS - Recreation and Social Programs</v>
      </c>
      <c r="D389" s="5">
        <f>IF('Service Types'!E260="","",'Service Types'!E260)</f>
        <v>18</v>
      </c>
      <c r="E389" s="5">
        <f>IF('Service Types'!D260="","",'Service Types'!D260)</f>
        <v>49</v>
      </c>
      <c r="F389" s="5">
        <f>IF('Service Types'!F260="","",'Service Types'!F260)</f>
        <v>0</v>
      </c>
      <c r="G389" s="5">
        <f>IF('Service Types'!G260="","",'Service Types'!G260)</f>
        <v>0</v>
      </c>
      <c r="H389" s="5">
        <f>IF('Service Types'!H260="","",'Service Types'!H260)</f>
        <v>49</v>
      </c>
      <c r="I389" s="6">
        <f>IF('Service Types'!I260="","",'Service Types'!I260)</f>
        <v>6</v>
      </c>
      <c r="J389" s="6">
        <f>IF('Service Types'!J260="","",'Service Types'!J260)</f>
        <v>19.899999999999999</v>
      </c>
      <c r="K389" s="6">
        <f>IF('Service Types'!K260="","",'Service Types'!K260)</f>
        <v>57</v>
      </c>
      <c r="L389" s="4" t="str">
        <f>IF('Service Types'!Q260="","",'Service Types'!Q260)</f>
        <v>Crew</v>
      </c>
    </row>
    <row r="390" spans="1:12" x14ac:dyDescent="0.45">
      <c r="A390" s="14">
        <v>389</v>
      </c>
      <c r="B390" s="4" t="s">
        <v>409</v>
      </c>
      <c r="C390" s="4" t="str">
        <f>IF('Service Types'!B311="","",'Service Types'!B311)</f>
        <v>IS - Public Spaces Delivery</v>
      </c>
      <c r="D390" s="5">
        <f>IF('Service Types'!E311="","",'Service Types'!E311)</f>
        <v>18</v>
      </c>
      <c r="E390" s="5">
        <f>IF('Service Types'!D311="","",'Service Types'!D311)</f>
        <v>45</v>
      </c>
      <c r="F390" s="5">
        <f>IF('Service Types'!F311="","",'Service Types'!F311)</f>
        <v>0</v>
      </c>
      <c r="G390" s="5">
        <f>IF('Service Types'!G311="","",'Service Types'!G311)</f>
        <v>0</v>
      </c>
      <c r="H390" s="5">
        <f>IF('Service Types'!H311="","",'Service Types'!H311)</f>
        <v>45</v>
      </c>
      <c r="I390" s="6">
        <f>IF('Service Types'!I311="","",'Service Types'!I311)</f>
        <v>1</v>
      </c>
      <c r="J390" s="6">
        <f>IF('Service Types'!J311="","",'Service Types'!J311)</f>
        <v>9.8000000000000007</v>
      </c>
      <c r="K390" s="6">
        <f>IF('Service Types'!K311="","",'Service Types'!K311)</f>
        <v>5</v>
      </c>
      <c r="L390" s="4" t="str">
        <f>IF('Service Types'!Q311="","",'Service Types'!Q311)</f>
        <v>Non-crew</v>
      </c>
    </row>
    <row r="391" spans="1:12" x14ac:dyDescent="0.45">
      <c r="A391" s="14">
        <v>390</v>
      </c>
      <c r="B391" s="4" t="s">
        <v>669</v>
      </c>
      <c r="C391" s="4" t="str">
        <f>IF('Service Types'!B518="","",'Service Types'!B518)</f>
        <v>OS - Waste and Recycling Services</v>
      </c>
      <c r="D391" s="5">
        <f>IF('Service Types'!E518="","",'Service Types'!E518)</f>
        <v>17</v>
      </c>
      <c r="E391" s="5">
        <f>IF('Service Types'!D518="","",'Service Types'!D518)</f>
        <v>436</v>
      </c>
      <c r="F391" s="5">
        <f>IF('Service Types'!F518="","",'Service Types'!F518)</f>
        <v>0</v>
      </c>
      <c r="G391" s="5">
        <f>IF('Service Types'!G518="","",'Service Types'!G518)</f>
        <v>0</v>
      </c>
      <c r="H391" s="5">
        <f>IF('Service Types'!H518="","",'Service Types'!H518)</f>
        <v>436</v>
      </c>
      <c r="I391" s="6">
        <f>IF('Service Types'!I518="","",'Service Types'!I518)</f>
        <v>2</v>
      </c>
      <c r="J391" s="6">
        <f>IF('Service Types'!J518="","",'Service Types'!J518)</f>
        <v>4</v>
      </c>
      <c r="K391" s="6">
        <f>IF('Service Types'!K518="","",'Service Types'!K518)</f>
        <v>8</v>
      </c>
      <c r="L391" s="4" t="str">
        <f>IF('Service Types'!Q518="","",'Service Types'!Q518)</f>
        <v>Non-crew</v>
      </c>
    </row>
    <row r="392" spans="1:12" x14ac:dyDescent="0.45">
      <c r="A392" s="14">
        <v>391</v>
      </c>
      <c r="B392" s="4" t="s">
        <v>543</v>
      </c>
      <c r="C392" s="4" t="str">
        <f>IF('Service Types'!B411="","",'Service Types'!B411)</f>
        <v>OS - Mobility</v>
      </c>
      <c r="D392" s="5">
        <f>IF('Service Types'!E411="","",'Service Types'!E411)</f>
        <v>17</v>
      </c>
      <c r="E392" s="5">
        <f>IF('Service Types'!D411="","",'Service Types'!D411)</f>
        <v>329</v>
      </c>
      <c r="F392" s="5">
        <f>IF('Service Types'!F411="","",'Service Types'!F411)</f>
        <v>1</v>
      </c>
      <c r="G392" s="5">
        <f>IF('Service Types'!G411="","",'Service Types'!G411)</f>
        <v>1</v>
      </c>
      <c r="H392" s="5">
        <f>IF('Service Types'!H411="","",'Service Types'!H411)</f>
        <v>328</v>
      </c>
      <c r="I392" s="6">
        <f>IF('Service Types'!I411="","",'Service Types'!I411)</f>
        <v>27</v>
      </c>
      <c r="J392" s="6">
        <f>IF('Service Types'!J411="","",'Service Types'!J411)</f>
        <v>29.1</v>
      </c>
      <c r="K392" s="6">
        <f>IF('Service Types'!K411="","",'Service Types'!K411)</f>
        <v>50</v>
      </c>
      <c r="L392" s="4" t="str">
        <f>IF('Service Types'!Q411="","",'Service Types'!Q411)</f>
        <v>Non-crew</v>
      </c>
    </row>
    <row r="393" spans="1:12" x14ac:dyDescent="0.45">
      <c r="A393" s="14">
        <v>392</v>
      </c>
      <c r="B393" s="4" t="s">
        <v>277</v>
      </c>
      <c r="C393" s="4" t="str">
        <f>IF('Service Types'!B197="","",'Service Types'!B197)</f>
        <v>CS - Emergency Management and Community Safety</v>
      </c>
      <c r="D393" s="5">
        <f>IF('Service Types'!E197="","",'Service Types'!E197)</f>
        <v>17</v>
      </c>
      <c r="E393" s="5">
        <f>IF('Service Types'!D197="","",'Service Types'!D197)</f>
        <v>17</v>
      </c>
      <c r="F393" s="5">
        <f>IF('Service Types'!F197="","",'Service Types'!F197)</f>
        <v>7</v>
      </c>
      <c r="G393" s="5">
        <f>IF('Service Types'!G197="","",'Service Types'!G197)</f>
        <v>0</v>
      </c>
      <c r="H393" s="5">
        <f>IF('Service Types'!H197="","",'Service Types'!H197)</f>
        <v>10</v>
      </c>
      <c r="I393" s="6">
        <f>IF('Service Types'!I197="","",'Service Types'!I197)</f>
        <v>11</v>
      </c>
      <c r="J393" s="6">
        <f>IF('Service Types'!J197="","",'Service Types'!J197)</f>
        <v>13.7</v>
      </c>
      <c r="K393" s="6">
        <f>IF('Service Types'!K197="","",'Service Types'!K197)</f>
        <v>35</v>
      </c>
      <c r="L393" s="4" t="str">
        <f>IF('Service Types'!Q197="","",'Service Types'!Q197)</f>
        <v>Non-crew</v>
      </c>
    </row>
    <row r="394" spans="1:12" x14ac:dyDescent="0.45">
      <c r="A394" s="14">
        <v>393</v>
      </c>
      <c r="B394" s="4" t="s">
        <v>257</v>
      </c>
      <c r="C394" s="4" t="str">
        <f>IF('Service Types'!B177="","",'Service Types'!B177)</f>
        <v>CS - Emergency Management and Community Safety</v>
      </c>
      <c r="D394" s="5">
        <f>IF('Service Types'!E177="","",'Service Types'!E177)</f>
        <v>16</v>
      </c>
      <c r="E394" s="5">
        <f>IF('Service Types'!D177="","",'Service Types'!D177)</f>
        <v>120</v>
      </c>
      <c r="F394" s="5">
        <f>IF('Service Types'!F177="","",'Service Types'!F177)</f>
        <v>0</v>
      </c>
      <c r="G394" s="5">
        <f>IF('Service Types'!G177="","",'Service Types'!G177)</f>
        <v>0</v>
      </c>
      <c r="H394" s="5">
        <f>IF('Service Types'!H177="","",'Service Types'!H177)</f>
        <v>120</v>
      </c>
      <c r="I394" s="6">
        <f>IF('Service Types'!I177="","",'Service Types'!I177)</f>
        <v>3</v>
      </c>
      <c r="J394" s="6">
        <f>IF('Service Types'!J177="","",'Service Types'!J177)</f>
        <v>7.8</v>
      </c>
      <c r="K394" s="6">
        <f>IF('Service Types'!K177="","",'Service Types'!K177)</f>
        <v>15</v>
      </c>
      <c r="L394" s="4" t="str">
        <f>IF('Service Types'!Q177="","",'Service Types'!Q177)</f>
        <v>Non-crew</v>
      </c>
    </row>
    <row r="395" spans="1:12" x14ac:dyDescent="0.45">
      <c r="A395" s="14">
        <v>394</v>
      </c>
      <c r="B395" s="4" t="s">
        <v>343</v>
      </c>
      <c r="C395" s="4" t="str">
        <f>IF('Service Types'!B259="","",'Service Types'!B259)</f>
        <v>CS - Recreation and Social Programs</v>
      </c>
      <c r="D395" s="5">
        <f>IF('Service Types'!E259="","",'Service Types'!E259)</f>
        <v>16</v>
      </c>
      <c r="E395" s="5">
        <f>IF('Service Types'!D259="","",'Service Types'!D259)</f>
        <v>59</v>
      </c>
      <c r="F395" s="5">
        <f>IF('Service Types'!F259="","",'Service Types'!F259)</f>
        <v>1</v>
      </c>
      <c r="G395" s="5">
        <f>IF('Service Types'!G259="","",'Service Types'!G259)</f>
        <v>0</v>
      </c>
      <c r="H395" s="5">
        <f>IF('Service Types'!H259="","",'Service Types'!H259)</f>
        <v>58</v>
      </c>
      <c r="I395" s="6">
        <f>IF('Service Types'!I259="","",'Service Types'!I259)</f>
        <v>8</v>
      </c>
      <c r="J395" s="6">
        <f>IF('Service Types'!J259="","",'Service Types'!J259)</f>
        <v>16.399999999999999</v>
      </c>
      <c r="K395" s="6">
        <f>IF('Service Types'!K259="","",'Service Types'!K259)</f>
        <v>43</v>
      </c>
      <c r="L395" s="4" t="str">
        <f>IF('Service Types'!Q259="","",'Service Types'!Q259)</f>
        <v>Non-crew</v>
      </c>
    </row>
    <row r="396" spans="1:12" x14ac:dyDescent="0.45">
      <c r="A396" s="14">
        <v>395</v>
      </c>
      <c r="B396" s="4" t="s">
        <v>679</v>
      </c>
      <c r="C396" s="4" t="str">
        <f>IF('Service Types'!B527="","",'Service Types'!B527)</f>
        <v>OS - Waste and Recycling Services</v>
      </c>
      <c r="D396" s="5">
        <f>IF('Service Types'!E527="","",'Service Types'!E527)</f>
        <v>16</v>
      </c>
      <c r="E396" s="5">
        <f>IF('Service Types'!D527="","",'Service Types'!D527)</f>
        <v>45</v>
      </c>
      <c r="F396" s="5">
        <f>IF('Service Types'!F527="","",'Service Types'!F527)</f>
        <v>0</v>
      </c>
      <c r="G396" s="5">
        <f>IF('Service Types'!G527="","",'Service Types'!G527)</f>
        <v>0</v>
      </c>
      <c r="H396" s="5">
        <f>IF('Service Types'!H527="","",'Service Types'!H527)</f>
        <v>45</v>
      </c>
      <c r="I396" s="6">
        <f>IF('Service Types'!I527="","",'Service Types'!I527)</f>
        <v>2</v>
      </c>
      <c r="J396" s="6">
        <f>IF('Service Types'!J527="","",'Service Types'!J527)</f>
        <v>3.6</v>
      </c>
      <c r="K396" s="6">
        <f>IF('Service Types'!K527="","",'Service Types'!K527)</f>
        <v>10</v>
      </c>
      <c r="L396" s="4" t="str">
        <f>IF('Service Types'!Q527="","",'Service Types'!Q527)</f>
        <v>Crew</v>
      </c>
    </row>
    <row r="397" spans="1:12" x14ac:dyDescent="0.45">
      <c r="A397" s="14">
        <v>396</v>
      </c>
      <c r="B397" s="4" t="s">
        <v>134</v>
      </c>
      <c r="C397" s="4" t="str">
        <f>IF('Service Types'!B72="","",'Service Types'!B72)</f>
        <v>CS - Calgary Fire</v>
      </c>
      <c r="D397" s="5">
        <f>IF('Service Types'!E72="","",'Service Types'!E72)</f>
        <v>14</v>
      </c>
      <c r="E397" s="5">
        <f>IF('Service Types'!D72="","",'Service Types'!D72)</f>
        <v>103</v>
      </c>
      <c r="F397" s="5">
        <f>IF('Service Types'!F72="","",'Service Types'!F72)</f>
        <v>2</v>
      </c>
      <c r="G397" s="5">
        <f>IF('Service Types'!G72="","",'Service Types'!G72)</f>
        <v>0</v>
      </c>
      <c r="H397" s="5">
        <f>IF('Service Types'!H72="","",'Service Types'!H72)</f>
        <v>101</v>
      </c>
      <c r="I397" s="6">
        <f>IF('Service Types'!I72="","",'Service Types'!I72)</f>
        <v>14</v>
      </c>
      <c r="J397" s="6">
        <f>IF('Service Types'!J72="","",'Service Types'!J72)</f>
        <v>174.6</v>
      </c>
      <c r="K397" s="6">
        <f>IF('Service Types'!K72="","",'Service Types'!K72)</f>
        <v>714</v>
      </c>
      <c r="L397" s="4" t="str">
        <f>IF('Service Types'!Q72="","",'Service Types'!Q72)</f>
        <v>Non-crew</v>
      </c>
    </row>
    <row r="398" spans="1:12" x14ac:dyDescent="0.45">
      <c r="A398" s="14">
        <v>397</v>
      </c>
      <c r="B398" s="4" t="s">
        <v>340</v>
      </c>
      <c r="C398" s="4" t="str">
        <f>IF('Service Types'!B256="","",'Service Types'!B256)</f>
        <v>CS - Recreation and Social Programs</v>
      </c>
      <c r="D398" s="5">
        <f>IF('Service Types'!E256="","",'Service Types'!E256)</f>
        <v>14</v>
      </c>
      <c r="E398" s="5">
        <f>IF('Service Types'!D256="","",'Service Types'!D256)</f>
        <v>86</v>
      </c>
      <c r="F398" s="5">
        <f>IF('Service Types'!F256="","",'Service Types'!F256)</f>
        <v>0</v>
      </c>
      <c r="G398" s="5">
        <f>IF('Service Types'!G256="","",'Service Types'!G256)</f>
        <v>0</v>
      </c>
      <c r="H398" s="5">
        <f>IF('Service Types'!H256="","",'Service Types'!H256)</f>
        <v>86</v>
      </c>
      <c r="I398" s="6">
        <f>IF('Service Types'!I256="","",'Service Types'!I256)</f>
        <v>3.5</v>
      </c>
      <c r="J398" s="6">
        <f>IF('Service Types'!J256="","",'Service Types'!J256)</f>
        <v>12.9</v>
      </c>
      <c r="K398" s="6">
        <f>IF('Service Types'!K256="","",'Service Types'!K256)</f>
        <v>54</v>
      </c>
      <c r="L398" s="4" t="str">
        <f>IF('Service Types'!Q256="","",'Service Types'!Q256)</f>
        <v>Non-crew</v>
      </c>
    </row>
    <row r="399" spans="1:12" x14ac:dyDescent="0.45">
      <c r="A399" s="14">
        <v>398</v>
      </c>
      <c r="B399" s="4" t="s">
        <v>135</v>
      </c>
      <c r="C399" s="4" t="str">
        <f>IF('Service Types'!B73="","",'Service Types'!B73)</f>
        <v>CS - Calgary Fire</v>
      </c>
      <c r="D399" s="5">
        <f>IF('Service Types'!E73="","",'Service Types'!E73)</f>
        <v>14</v>
      </c>
      <c r="E399" s="5">
        <f>IF('Service Types'!D73="","",'Service Types'!D73)</f>
        <v>68</v>
      </c>
      <c r="F399" s="5">
        <f>IF('Service Types'!F73="","",'Service Types'!F73)</f>
        <v>3</v>
      </c>
      <c r="G399" s="5">
        <f>IF('Service Types'!G73="","",'Service Types'!G73)</f>
        <v>1</v>
      </c>
      <c r="H399" s="5">
        <f>IF('Service Types'!H73="","",'Service Types'!H73)</f>
        <v>65</v>
      </c>
      <c r="I399" s="6">
        <f>IF('Service Types'!I73="","",'Service Types'!I73)</f>
        <v>4</v>
      </c>
      <c r="J399" s="6">
        <f>IF('Service Types'!J73="","",'Service Types'!J73)</f>
        <v>46.7</v>
      </c>
      <c r="K399" s="6">
        <f>IF('Service Types'!K73="","",'Service Types'!K73)</f>
        <v>220</v>
      </c>
      <c r="L399" s="4" t="str">
        <f>IF('Service Types'!Q73="","",'Service Types'!Q73)</f>
        <v>Non-crew</v>
      </c>
    </row>
    <row r="400" spans="1:12" x14ac:dyDescent="0.45">
      <c r="A400" s="14">
        <v>399</v>
      </c>
      <c r="B400" s="4" t="s">
        <v>360</v>
      </c>
      <c r="C400" s="4" t="str">
        <f>IF('Service Types'!B270="","",'Service Types'!B270)</f>
        <v>Elected Officials</v>
      </c>
      <c r="D400" s="5">
        <f>IF('Service Types'!E270="","",'Service Types'!E270)</f>
        <v>14</v>
      </c>
      <c r="E400" s="5">
        <f>IF('Service Types'!D270="","",'Service Types'!D270)</f>
        <v>25</v>
      </c>
      <c r="F400" s="5">
        <f>IF('Service Types'!F270="","",'Service Types'!F270)</f>
        <v>0</v>
      </c>
      <c r="G400" s="5">
        <f>IF('Service Types'!G270="","",'Service Types'!G270)</f>
        <v>0</v>
      </c>
      <c r="H400" s="5">
        <f>IF('Service Types'!H270="","",'Service Types'!H270)</f>
        <v>25</v>
      </c>
      <c r="I400" s="6">
        <f>IF('Service Types'!I270="","",'Service Types'!I270)</f>
        <v>0</v>
      </c>
      <c r="J400" s="6">
        <f>IF('Service Types'!J270="","",'Service Types'!J270)</f>
        <v>0</v>
      </c>
      <c r="K400" s="6">
        <f>IF('Service Types'!K270="","",'Service Types'!K270)</f>
        <v>0</v>
      </c>
      <c r="L400" s="4" t="str">
        <f>IF('Service Types'!Q270="","",'Service Types'!Q270)</f>
        <v>Non-crew</v>
      </c>
    </row>
    <row r="401" spans="1:12" x14ac:dyDescent="0.45">
      <c r="A401" s="14">
        <v>400</v>
      </c>
      <c r="B401" s="4" t="s">
        <v>441</v>
      </c>
      <c r="C401" s="4" t="str">
        <f>IF('Service Types'!B338="","",'Service Types'!B338)</f>
        <v>LLSS - City Clerk's Office</v>
      </c>
      <c r="D401" s="5">
        <f>IF('Service Types'!E338="","",'Service Types'!E338)</f>
        <v>14</v>
      </c>
      <c r="E401" s="5">
        <f>IF('Service Types'!D338="","",'Service Types'!D338)</f>
        <v>24</v>
      </c>
      <c r="F401" s="5">
        <f>IF('Service Types'!F338="","",'Service Types'!F338)</f>
        <v>3</v>
      </c>
      <c r="G401" s="5">
        <f>IF('Service Types'!G338="","",'Service Types'!G338)</f>
        <v>0</v>
      </c>
      <c r="H401" s="5">
        <f>IF('Service Types'!H338="","",'Service Types'!H338)</f>
        <v>21</v>
      </c>
      <c r="I401" s="6">
        <f>IF('Service Types'!I338="","",'Service Types'!I338)</f>
        <v>17</v>
      </c>
      <c r="J401" s="6">
        <f>IF('Service Types'!J338="","",'Service Types'!J338)</f>
        <v>40.9</v>
      </c>
      <c r="K401" s="6">
        <f>IF('Service Types'!K338="","",'Service Types'!K338)</f>
        <v>94</v>
      </c>
      <c r="L401" s="4" t="str">
        <f>IF('Service Types'!Q338="","",'Service Types'!Q338)</f>
        <v>Non-crew</v>
      </c>
    </row>
    <row r="402" spans="1:12" x14ac:dyDescent="0.45">
      <c r="A402" s="14">
        <v>401</v>
      </c>
      <c r="B402" s="4" t="s">
        <v>568</v>
      </c>
      <c r="C402" s="4" t="str">
        <f>IF('Service Types'!B436="","",'Service Types'!B436)</f>
        <v>OS - Mobility</v>
      </c>
      <c r="D402" s="5">
        <f>IF('Service Types'!E436="","",'Service Types'!E436)</f>
        <v>14</v>
      </c>
      <c r="E402" s="5">
        <f>IF('Service Types'!D436="","",'Service Types'!D436)</f>
        <v>14</v>
      </c>
      <c r="F402" s="5">
        <f>IF('Service Types'!F436="","",'Service Types'!F436)</f>
        <v>10</v>
      </c>
      <c r="G402" s="5">
        <f>IF('Service Types'!G436="","",'Service Types'!G436)</f>
        <v>0</v>
      </c>
      <c r="H402" s="5">
        <f>IF('Service Types'!H436="","",'Service Types'!H436)</f>
        <v>4</v>
      </c>
      <c r="I402" s="6">
        <f>IF('Service Types'!I436="","",'Service Types'!I436)</f>
        <v>0</v>
      </c>
      <c r="J402" s="6">
        <f>IF('Service Types'!J436="","",'Service Types'!J436)</f>
        <v>0</v>
      </c>
      <c r="K402" s="6">
        <f>IF('Service Types'!K436="","",'Service Types'!K436)</f>
        <v>0</v>
      </c>
      <c r="L402" s="4" t="str">
        <f>IF('Service Types'!Q436="","",'Service Types'!Q436)</f>
        <v>Non-crew</v>
      </c>
    </row>
    <row r="403" spans="1:12" x14ac:dyDescent="0.45">
      <c r="A403" s="14">
        <v>402</v>
      </c>
      <c r="B403" s="4" t="s">
        <v>120</v>
      </c>
      <c r="C403" s="4" t="str">
        <f>IF('Service Types'!B58="","",'Service Types'!B58)</f>
        <v>CS - Calgary Fire</v>
      </c>
      <c r="D403" s="5">
        <f>IF('Service Types'!E58="","",'Service Types'!E58)</f>
        <v>13</v>
      </c>
      <c r="E403" s="5">
        <f>IF('Service Types'!D58="","",'Service Types'!D58)</f>
        <v>483</v>
      </c>
      <c r="F403" s="5">
        <f>IF('Service Types'!F58="","",'Service Types'!F58)</f>
        <v>0</v>
      </c>
      <c r="G403" s="5">
        <f>IF('Service Types'!G58="","",'Service Types'!G58)</f>
        <v>0</v>
      </c>
      <c r="H403" s="5">
        <f>IF('Service Types'!H58="","",'Service Types'!H58)</f>
        <v>483</v>
      </c>
      <c r="I403" s="6">
        <f>IF('Service Types'!I58="","",'Service Types'!I58)</f>
        <v>1</v>
      </c>
      <c r="J403" s="6">
        <f>IF('Service Types'!J58="","",'Service Types'!J58)</f>
        <v>3.4</v>
      </c>
      <c r="K403" s="6">
        <f>IF('Service Types'!K58="","",'Service Types'!K58)</f>
        <v>6</v>
      </c>
      <c r="L403" s="4" t="str">
        <f>IF('Service Types'!Q58="","",'Service Types'!Q58)</f>
        <v>Non-crew</v>
      </c>
    </row>
    <row r="404" spans="1:12" x14ac:dyDescent="0.45">
      <c r="A404" s="14">
        <v>403</v>
      </c>
      <c r="B404" s="4" t="s">
        <v>132</v>
      </c>
      <c r="C404" s="4" t="str">
        <f>IF('Service Types'!B70="","",'Service Types'!B70)</f>
        <v>CS - Calgary Fire</v>
      </c>
      <c r="D404" s="5">
        <f>IF('Service Types'!E70="","",'Service Types'!E70)</f>
        <v>13</v>
      </c>
      <c r="E404" s="5">
        <f>IF('Service Types'!D70="","",'Service Types'!D70)</f>
        <v>135</v>
      </c>
      <c r="F404" s="5">
        <f>IF('Service Types'!F70="","",'Service Types'!F70)</f>
        <v>4</v>
      </c>
      <c r="G404" s="5">
        <f>IF('Service Types'!G70="","",'Service Types'!G70)</f>
        <v>1</v>
      </c>
      <c r="H404" s="5">
        <f>IF('Service Types'!H70="","",'Service Types'!H70)</f>
        <v>131</v>
      </c>
      <c r="I404" s="6">
        <f>IF('Service Types'!I70="","",'Service Types'!I70)</f>
        <v>6</v>
      </c>
      <c r="J404" s="6">
        <f>IF('Service Types'!J70="","",'Service Types'!J70)</f>
        <v>44.8</v>
      </c>
      <c r="K404" s="6">
        <f>IF('Service Types'!K70="","",'Service Types'!K70)</f>
        <v>105</v>
      </c>
      <c r="L404" s="4" t="str">
        <f>IF('Service Types'!Q70="","",'Service Types'!Q70)</f>
        <v>Non-crew</v>
      </c>
    </row>
    <row r="405" spans="1:12" x14ac:dyDescent="0.45">
      <c r="A405" s="14">
        <v>404</v>
      </c>
      <c r="B405" s="4" t="s">
        <v>426</v>
      </c>
      <c r="C405" s="4" t="str">
        <f>IF('Service Types'!B326="","",'Service Types'!B326)</f>
        <v>IS - Real Estate and Development Services</v>
      </c>
      <c r="D405" s="5">
        <f>IF('Service Types'!E326="","",'Service Types'!E326)</f>
        <v>13</v>
      </c>
      <c r="E405" s="5">
        <f>IF('Service Types'!D326="","",'Service Types'!D326)</f>
        <v>88</v>
      </c>
      <c r="F405" s="5">
        <f>IF('Service Types'!F326="","",'Service Types'!F326)</f>
        <v>0</v>
      </c>
      <c r="G405" s="5">
        <f>IF('Service Types'!G326="","",'Service Types'!G326)</f>
        <v>0</v>
      </c>
      <c r="H405" s="5">
        <f>IF('Service Types'!H326="","",'Service Types'!H326)</f>
        <v>88</v>
      </c>
      <c r="I405" s="6">
        <f>IF('Service Types'!I326="","",'Service Types'!I326)</f>
        <v>3</v>
      </c>
      <c r="J405" s="6">
        <f>IF('Service Types'!J326="","",'Service Types'!J326)</f>
        <v>6</v>
      </c>
      <c r="K405" s="6">
        <f>IF('Service Types'!K326="","",'Service Types'!K326)</f>
        <v>11</v>
      </c>
      <c r="L405" s="4" t="str">
        <f>IF('Service Types'!Q326="","",'Service Types'!Q326)</f>
        <v>Non-crew</v>
      </c>
    </row>
    <row r="406" spans="1:12" x14ac:dyDescent="0.45">
      <c r="A406" s="14">
        <v>405</v>
      </c>
      <c r="B406" s="4" t="s">
        <v>136</v>
      </c>
      <c r="C406" s="4" t="str">
        <f>IF('Service Types'!B74="","",'Service Types'!B74)</f>
        <v>CS - Calgary Fire</v>
      </c>
      <c r="D406" s="5">
        <f>IF('Service Types'!E74="","",'Service Types'!E74)</f>
        <v>13</v>
      </c>
      <c r="E406" s="5">
        <f>IF('Service Types'!D74="","",'Service Types'!D74)</f>
        <v>67</v>
      </c>
      <c r="F406" s="5">
        <f>IF('Service Types'!F74="","",'Service Types'!F74)</f>
        <v>2</v>
      </c>
      <c r="G406" s="5">
        <f>IF('Service Types'!G74="","",'Service Types'!G74)</f>
        <v>0</v>
      </c>
      <c r="H406" s="5">
        <f>IF('Service Types'!H74="","",'Service Types'!H74)</f>
        <v>65</v>
      </c>
      <c r="I406" s="6">
        <f>IF('Service Types'!I74="","",'Service Types'!I74)</f>
        <v>4</v>
      </c>
      <c r="J406" s="6">
        <f>IF('Service Types'!J74="","",'Service Types'!J74)</f>
        <v>6.4</v>
      </c>
      <c r="K406" s="6">
        <f>IF('Service Types'!K74="","",'Service Types'!K74)</f>
        <v>13</v>
      </c>
      <c r="L406" s="4" t="str">
        <f>IF('Service Types'!Q74="","",'Service Types'!Q74)</f>
        <v>Non-crew</v>
      </c>
    </row>
    <row r="407" spans="1:12" x14ac:dyDescent="0.45">
      <c r="A407" s="14">
        <v>406</v>
      </c>
      <c r="B407" s="4" t="s">
        <v>427</v>
      </c>
      <c r="C407" s="4" t="str">
        <f>IF('Service Types'!B327="","",'Service Types'!B327)</f>
        <v>IS - Real Estate and Development Services</v>
      </c>
      <c r="D407" s="5">
        <f>IF('Service Types'!E327="","",'Service Types'!E327)</f>
        <v>13</v>
      </c>
      <c r="E407" s="5">
        <f>IF('Service Types'!D327="","",'Service Types'!D327)</f>
        <v>60</v>
      </c>
      <c r="F407" s="5">
        <f>IF('Service Types'!F327="","",'Service Types'!F327)</f>
        <v>0</v>
      </c>
      <c r="G407" s="5">
        <f>IF('Service Types'!G327="","",'Service Types'!G327)</f>
        <v>0</v>
      </c>
      <c r="H407" s="5">
        <f>IF('Service Types'!H327="","",'Service Types'!H327)</f>
        <v>60</v>
      </c>
      <c r="I407" s="6">
        <f>IF('Service Types'!I327="","",'Service Types'!I327)</f>
        <v>3</v>
      </c>
      <c r="J407" s="6">
        <f>IF('Service Types'!J327="","",'Service Types'!J327)</f>
        <v>3.7</v>
      </c>
      <c r="K407" s="6">
        <f>IF('Service Types'!K327="","",'Service Types'!K327)</f>
        <v>7</v>
      </c>
      <c r="L407" s="4" t="str">
        <f>IF('Service Types'!Q327="","",'Service Types'!Q327)</f>
        <v>Non-crew</v>
      </c>
    </row>
    <row r="408" spans="1:12" x14ac:dyDescent="0.45">
      <c r="A408" s="14">
        <v>407</v>
      </c>
      <c r="B408" s="4" t="s">
        <v>439</v>
      </c>
      <c r="C408" s="4" t="str">
        <f>IF('Service Types'!B336="","",'Service Types'!B336)</f>
        <v>LLSS - City Clerk's Office</v>
      </c>
      <c r="D408" s="5">
        <f>IF('Service Types'!E336="","",'Service Types'!E336)</f>
        <v>13</v>
      </c>
      <c r="E408" s="5">
        <f>IF('Service Types'!D336="","",'Service Types'!D336)</f>
        <v>36</v>
      </c>
      <c r="F408" s="5">
        <f>IF('Service Types'!F336="","",'Service Types'!F336)</f>
        <v>0</v>
      </c>
      <c r="G408" s="5">
        <f>IF('Service Types'!G336="","",'Service Types'!G336)</f>
        <v>0</v>
      </c>
      <c r="H408" s="5">
        <f>IF('Service Types'!H336="","",'Service Types'!H336)</f>
        <v>36</v>
      </c>
      <c r="I408" s="6">
        <f>IF('Service Types'!I336="","",'Service Types'!I336)</f>
        <v>2</v>
      </c>
      <c r="J408" s="6">
        <f>IF('Service Types'!J336="","",'Service Types'!J336)</f>
        <v>3.2</v>
      </c>
      <c r="K408" s="6">
        <f>IF('Service Types'!K336="","",'Service Types'!K336)</f>
        <v>6</v>
      </c>
      <c r="L408" s="4" t="str">
        <f>IF('Service Types'!Q336="","",'Service Types'!Q336)</f>
        <v>Non-crew</v>
      </c>
    </row>
    <row r="409" spans="1:12" x14ac:dyDescent="0.45">
      <c r="A409" s="14">
        <v>408</v>
      </c>
      <c r="B409" s="4" t="s">
        <v>178</v>
      </c>
      <c r="C409" s="4" t="str">
        <f>IF('Service Types'!B114="","",'Service Types'!B114)</f>
        <v>CS - Community Strategies</v>
      </c>
      <c r="D409" s="5">
        <f>IF('Service Types'!E114="","",'Service Types'!E114)</f>
        <v>12</v>
      </c>
      <c r="E409" s="5">
        <f>IF('Service Types'!D114="","",'Service Types'!D114)</f>
        <v>30</v>
      </c>
      <c r="F409" s="5">
        <f>IF('Service Types'!F114="","",'Service Types'!F114)</f>
        <v>0</v>
      </c>
      <c r="G409" s="5">
        <f>IF('Service Types'!G114="","",'Service Types'!G114)</f>
        <v>0</v>
      </c>
      <c r="H409" s="5">
        <f>IF('Service Types'!H114="","",'Service Types'!H114)</f>
        <v>30</v>
      </c>
      <c r="I409" s="6">
        <f>IF('Service Types'!I114="","",'Service Types'!I114)</f>
        <v>4.5</v>
      </c>
      <c r="J409" s="6">
        <f>IF('Service Types'!J114="","",'Service Types'!J114)</f>
        <v>4.4000000000000004</v>
      </c>
      <c r="K409" s="6">
        <f>IF('Service Types'!K114="","",'Service Types'!K114)</f>
        <v>7</v>
      </c>
      <c r="L409" s="4" t="str">
        <f>IF('Service Types'!Q114="","",'Service Types'!Q114)</f>
        <v>Non-crew</v>
      </c>
    </row>
    <row r="410" spans="1:12" x14ac:dyDescent="0.45">
      <c r="A410" s="14">
        <v>409</v>
      </c>
      <c r="B410" s="4" t="s">
        <v>901</v>
      </c>
      <c r="C410" s="4" t="str">
        <f>IF('Service Types'!B714="","",'Service Types'!B714)</f>
        <v>PICS - Information Technology</v>
      </c>
      <c r="D410" s="5">
        <f>IF('Service Types'!E714="","",'Service Types'!E714)</f>
        <v>12</v>
      </c>
      <c r="E410" s="5">
        <f>IF('Service Types'!D714="","",'Service Types'!D714)</f>
        <v>22</v>
      </c>
      <c r="F410" s="5">
        <f>IF('Service Types'!F714="","",'Service Types'!F714)</f>
        <v>0</v>
      </c>
      <c r="G410" s="5">
        <f>IF('Service Types'!G714="","",'Service Types'!G714)</f>
        <v>0</v>
      </c>
      <c r="H410" s="5">
        <f>IF('Service Types'!H714="","",'Service Types'!H714)</f>
        <v>22</v>
      </c>
      <c r="I410" s="6">
        <f>IF('Service Types'!I714="","",'Service Types'!I714)</f>
        <v>4</v>
      </c>
      <c r="J410" s="6">
        <f>IF('Service Types'!J714="","",'Service Types'!J714)</f>
        <v>11.2</v>
      </c>
      <c r="K410" s="6">
        <f>IF('Service Types'!K714="","",'Service Types'!K714)</f>
        <v>7</v>
      </c>
      <c r="L410" s="4" t="str">
        <f>IF('Service Types'!Q714="","",'Service Types'!Q714)</f>
        <v>Non-crew</v>
      </c>
    </row>
    <row r="411" spans="1:12" x14ac:dyDescent="0.45">
      <c r="A411" s="14">
        <v>410</v>
      </c>
      <c r="B411" s="4" t="s">
        <v>873</v>
      </c>
      <c r="C411" s="4" t="str">
        <f>IF('Service Types'!B691="","",'Service Types'!B691)</f>
        <v>PICS - 311 and Insights</v>
      </c>
      <c r="D411" s="5">
        <f>IF('Service Types'!E691="","",'Service Types'!E691)</f>
        <v>12</v>
      </c>
      <c r="E411" s="5">
        <f>IF('Service Types'!D691="","",'Service Types'!D691)</f>
        <v>17</v>
      </c>
      <c r="F411" s="5">
        <f>IF('Service Types'!F691="","",'Service Types'!F691)</f>
        <v>2</v>
      </c>
      <c r="G411" s="5">
        <f>IF('Service Types'!G691="","",'Service Types'!G691)</f>
        <v>2</v>
      </c>
      <c r="H411" s="5">
        <f>IF('Service Types'!H691="","",'Service Types'!H691)</f>
        <v>15</v>
      </c>
      <c r="I411" s="6">
        <f>IF('Service Types'!I691="","",'Service Types'!I691)</f>
        <v>3</v>
      </c>
      <c r="J411" s="6">
        <f>IF('Service Types'!J691="","",'Service Types'!J691)</f>
        <v>3.3</v>
      </c>
      <c r="K411" s="6">
        <f>IF('Service Types'!K691="","",'Service Types'!K691)</f>
        <v>6</v>
      </c>
      <c r="L411" s="4" t="str">
        <f>IF('Service Types'!Q691="","",'Service Types'!Q691)</f>
        <v>Non-crew</v>
      </c>
    </row>
    <row r="412" spans="1:12" x14ac:dyDescent="0.45">
      <c r="A412" s="14">
        <v>411</v>
      </c>
      <c r="B412" s="4" t="s">
        <v>862</v>
      </c>
      <c r="C412" s="4" t="str">
        <f>IF('Service Types'!B682="","",'Service Types'!B682)</f>
        <v>PDS - Downtown Strategy</v>
      </c>
      <c r="D412" s="5">
        <f>IF('Service Types'!E682="","",'Service Types'!E682)</f>
        <v>12</v>
      </c>
      <c r="E412" s="5">
        <f>IF('Service Types'!D682="","",'Service Types'!D682)</f>
        <v>12</v>
      </c>
      <c r="F412" s="5">
        <f>IF('Service Types'!F682="","",'Service Types'!F682)</f>
        <v>1</v>
      </c>
      <c r="G412" s="5">
        <f>IF('Service Types'!G682="","",'Service Types'!G682)</f>
        <v>0</v>
      </c>
      <c r="H412" s="5">
        <f>IF('Service Types'!H682="","",'Service Types'!H682)</f>
        <v>11</v>
      </c>
      <c r="I412" s="6">
        <f>IF('Service Types'!I682="","",'Service Types'!I682)</f>
        <v>6</v>
      </c>
      <c r="J412" s="6">
        <f>IF('Service Types'!J682="","",'Service Types'!J682)</f>
        <v>19.7</v>
      </c>
      <c r="K412" s="6">
        <f>IF('Service Types'!K682="","",'Service Types'!K682)</f>
        <v>54</v>
      </c>
      <c r="L412" s="4" t="str">
        <f>IF('Service Types'!Q682="","",'Service Types'!Q682)</f>
        <v>Non-crew</v>
      </c>
    </row>
    <row r="413" spans="1:12" x14ac:dyDescent="0.45">
      <c r="A413" s="14">
        <v>412</v>
      </c>
      <c r="B413" s="4" t="s">
        <v>263</v>
      </c>
      <c r="C413" s="4" t="str">
        <f>IF('Service Types'!B183="","",'Service Types'!B183)</f>
        <v>CS - Emergency Management and Community Safety</v>
      </c>
      <c r="D413" s="5">
        <f>IF('Service Types'!E183="","",'Service Types'!E183)</f>
        <v>11</v>
      </c>
      <c r="E413" s="5">
        <f>IF('Service Types'!D183="","",'Service Types'!D183)</f>
        <v>73</v>
      </c>
      <c r="F413" s="5">
        <f>IF('Service Types'!F183="","",'Service Types'!F183)</f>
        <v>0</v>
      </c>
      <c r="G413" s="5">
        <f>IF('Service Types'!G183="","",'Service Types'!G183)</f>
        <v>0</v>
      </c>
      <c r="H413" s="5">
        <f>IF('Service Types'!H183="","",'Service Types'!H183)</f>
        <v>73</v>
      </c>
      <c r="I413" s="6">
        <f>IF('Service Types'!I183="","",'Service Types'!I183)</f>
        <v>4</v>
      </c>
      <c r="J413" s="6">
        <f>IF('Service Types'!J183="","",'Service Types'!J183)</f>
        <v>7.4</v>
      </c>
      <c r="K413" s="6">
        <f>IF('Service Types'!K183="","",'Service Types'!K183)</f>
        <v>15</v>
      </c>
      <c r="L413" s="4" t="str">
        <f>IF('Service Types'!Q183="","",'Service Types'!Q183)</f>
        <v>Non-crew</v>
      </c>
    </row>
    <row r="414" spans="1:12" x14ac:dyDescent="0.45">
      <c r="A414" s="14">
        <v>413</v>
      </c>
      <c r="B414" s="4" t="s">
        <v>565</v>
      </c>
      <c r="C414" s="4" t="str">
        <f>IF('Service Types'!B433="","",'Service Types'!B433)</f>
        <v>OS - Mobility</v>
      </c>
      <c r="D414" s="5">
        <f>IF('Service Types'!E433="","",'Service Types'!E433)</f>
        <v>11</v>
      </c>
      <c r="E414" s="5">
        <f>IF('Service Types'!D433="","",'Service Types'!D433)</f>
        <v>61</v>
      </c>
      <c r="F414" s="5">
        <f>IF('Service Types'!F433="","",'Service Types'!F433)</f>
        <v>4</v>
      </c>
      <c r="G414" s="5">
        <f>IF('Service Types'!G433="","",'Service Types'!G433)</f>
        <v>4</v>
      </c>
      <c r="H414" s="5">
        <f>IF('Service Types'!H433="","",'Service Types'!H433)</f>
        <v>57</v>
      </c>
      <c r="I414" s="6">
        <f>IF('Service Types'!I433="","",'Service Types'!I433)</f>
        <v>6</v>
      </c>
      <c r="J414" s="6">
        <f>IF('Service Types'!J433="","",'Service Types'!J433)</f>
        <v>46</v>
      </c>
      <c r="K414" s="6">
        <f>IF('Service Types'!K433="","",'Service Types'!K433)</f>
        <v>181</v>
      </c>
      <c r="L414" s="4" t="str">
        <f>IF('Service Types'!Q433="","",'Service Types'!Q433)</f>
        <v>Non-crew</v>
      </c>
    </row>
    <row r="415" spans="1:12" x14ac:dyDescent="0.45">
      <c r="A415" s="14">
        <v>414</v>
      </c>
      <c r="B415" s="4" t="s">
        <v>868</v>
      </c>
      <c r="C415" s="4" t="str">
        <f>IF('Service Types'!B686="","",'Service Types'!B686)</f>
        <v>PDS - Environmental Risk &amp; Resilience</v>
      </c>
      <c r="D415" s="5">
        <f>IF('Service Types'!E686="","",'Service Types'!E686)</f>
        <v>11</v>
      </c>
      <c r="E415" s="5">
        <f>IF('Service Types'!D686="","",'Service Types'!D686)</f>
        <v>11</v>
      </c>
      <c r="F415" s="5">
        <f>IF('Service Types'!F686="","",'Service Types'!F686)</f>
        <v>1</v>
      </c>
      <c r="G415" s="5">
        <f>IF('Service Types'!G686="","",'Service Types'!G686)</f>
        <v>0</v>
      </c>
      <c r="H415" s="5">
        <f>IF('Service Types'!H686="","",'Service Types'!H686)</f>
        <v>10</v>
      </c>
      <c r="I415" s="6">
        <f>IF('Service Types'!I686="","",'Service Types'!I686)</f>
        <v>5.5</v>
      </c>
      <c r="J415" s="6">
        <f>IF('Service Types'!J686="","",'Service Types'!J686)</f>
        <v>10.1</v>
      </c>
      <c r="K415" s="6">
        <f>IF('Service Types'!K686="","",'Service Types'!K686)</f>
        <v>22</v>
      </c>
      <c r="L415" s="4" t="str">
        <f>IF('Service Types'!Q686="","",'Service Types'!Q686)</f>
        <v>Non-crew</v>
      </c>
    </row>
    <row r="416" spans="1:12" x14ac:dyDescent="0.45">
      <c r="A416" s="14">
        <v>415</v>
      </c>
      <c r="B416" s="4" t="s">
        <v>869</v>
      </c>
      <c r="C416" s="4" t="str">
        <f>IF('Service Types'!B687="","",'Service Types'!B687)</f>
        <v>PDS - Environmental Risk &amp; Resilience</v>
      </c>
      <c r="D416" s="5">
        <f>IF('Service Types'!E687="","",'Service Types'!E687)</f>
        <v>11</v>
      </c>
      <c r="E416" s="5">
        <f>IF('Service Types'!D687="","",'Service Types'!D687)</f>
        <v>11</v>
      </c>
      <c r="F416" s="5">
        <f>IF('Service Types'!F687="","",'Service Types'!F687)</f>
        <v>1</v>
      </c>
      <c r="G416" s="5">
        <f>IF('Service Types'!G687="","",'Service Types'!G687)</f>
        <v>0</v>
      </c>
      <c r="H416" s="5">
        <f>IF('Service Types'!H687="","",'Service Types'!H687)</f>
        <v>10</v>
      </c>
      <c r="I416" s="6">
        <f>IF('Service Types'!I687="","",'Service Types'!I687)</f>
        <v>2.5</v>
      </c>
      <c r="J416" s="6">
        <f>IF('Service Types'!J687="","",'Service Types'!J687)</f>
        <v>4.5</v>
      </c>
      <c r="K416" s="6">
        <f>IF('Service Types'!K687="","",'Service Types'!K687)</f>
        <v>11</v>
      </c>
      <c r="L416" s="4" t="str">
        <f>IF('Service Types'!Q687="","",'Service Types'!Q687)</f>
        <v>Non-crew</v>
      </c>
    </row>
    <row r="417" spans="1:12" x14ac:dyDescent="0.45">
      <c r="A417" s="14">
        <v>416</v>
      </c>
      <c r="B417" s="4" t="s">
        <v>321</v>
      </c>
      <c r="C417" s="4" t="str">
        <f>IF('Service Types'!B237="","",'Service Types'!B237)</f>
        <v>CS - Recreation and Social Programs</v>
      </c>
      <c r="D417" s="5">
        <f>IF('Service Types'!E237="","",'Service Types'!E237)</f>
        <v>10</v>
      </c>
      <c r="E417" s="5">
        <f>IF('Service Types'!D237="","",'Service Types'!D237)</f>
        <v>379</v>
      </c>
      <c r="F417" s="5">
        <f>IF('Service Types'!F237="","",'Service Types'!F237)</f>
        <v>1</v>
      </c>
      <c r="G417" s="5">
        <f>IF('Service Types'!G237="","",'Service Types'!G237)</f>
        <v>1</v>
      </c>
      <c r="H417" s="5">
        <f>IF('Service Types'!H237="","",'Service Types'!H237)</f>
        <v>378</v>
      </c>
      <c r="I417" s="6">
        <f>IF('Service Types'!I237="","",'Service Types'!I237)</f>
        <v>23</v>
      </c>
      <c r="J417" s="6">
        <f>IF('Service Types'!J237="","",'Service Types'!J237)</f>
        <v>48.5</v>
      </c>
      <c r="K417" s="6">
        <f>IF('Service Types'!K237="","",'Service Types'!K237)</f>
        <v>134</v>
      </c>
      <c r="L417" s="4" t="str">
        <f>IF('Service Types'!Q237="","",'Service Types'!Q237)</f>
        <v>Non-crew</v>
      </c>
    </row>
    <row r="418" spans="1:12" x14ac:dyDescent="0.45">
      <c r="A418" s="14">
        <v>417</v>
      </c>
      <c r="B418" s="4" t="s">
        <v>347</v>
      </c>
      <c r="C418" s="4" t="str">
        <f>IF('Service Types'!B261="","",'Service Types'!B261)</f>
        <v>CS - Recreation and Social Programs</v>
      </c>
      <c r="D418" s="5">
        <f>IF('Service Types'!E261="","",'Service Types'!E261)</f>
        <v>10</v>
      </c>
      <c r="E418" s="5">
        <f>IF('Service Types'!D261="","",'Service Types'!D261)</f>
        <v>41</v>
      </c>
      <c r="F418" s="5">
        <f>IF('Service Types'!F261="","",'Service Types'!F261)</f>
        <v>0</v>
      </c>
      <c r="G418" s="5">
        <f>IF('Service Types'!G261="","",'Service Types'!G261)</f>
        <v>0</v>
      </c>
      <c r="H418" s="5">
        <f>IF('Service Types'!H261="","",'Service Types'!H261)</f>
        <v>41</v>
      </c>
      <c r="I418" s="6">
        <f>IF('Service Types'!I261="","",'Service Types'!I261)</f>
        <v>4</v>
      </c>
      <c r="J418" s="6">
        <f>IF('Service Types'!J261="","",'Service Types'!J261)</f>
        <v>6.1</v>
      </c>
      <c r="K418" s="6">
        <f>IF('Service Types'!K261="","",'Service Types'!K261)</f>
        <v>11</v>
      </c>
      <c r="L418" s="4" t="str">
        <f>IF('Service Types'!Q261="","",'Service Types'!Q261)</f>
        <v>Non-crew</v>
      </c>
    </row>
    <row r="419" spans="1:12" x14ac:dyDescent="0.45">
      <c r="A419" s="14">
        <v>418</v>
      </c>
      <c r="B419" s="4" t="s">
        <v>349</v>
      </c>
      <c r="C419" s="4" t="str">
        <f>IF('Service Types'!B263="","",'Service Types'!B263)</f>
        <v>CS - Recreation and Social Programs</v>
      </c>
      <c r="D419" s="5">
        <f>IF('Service Types'!E263="","",'Service Types'!E263)</f>
        <v>10</v>
      </c>
      <c r="E419" s="5">
        <f>IF('Service Types'!D263="","",'Service Types'!D263)</f>
        <v>11</v>
      </c>
      <c r="F419" s="5">
        <f>IF('Service Types'!F263="","",'Service Types'!F263)</f>
        <v>0</v>
      </c>
      <c r="G419" s="5">
        <f>IF('Service Types'!G263="","",'Service Types'!G263)</f>
        <v>0</v>
      </c>
      <c r="H419" s="5">
        <f>IF('Service Types'!H263="","",'Service Types'!H263)</f>
        <v>11</v>
      </c>
      <c r="I419" s="6">
        <f>IF('Service Types'!I263="","",'Service Types'!I263)</f>
        <v>5</v>
      </c>
      <c r="J419" s="6">
        <f>IF('Service Types'!J263="","",'Service Types'!J263)</f>
        <v>9.5</v>
      </c>
      <c r="K419" s="6">
        <f>IF('Service Types'!K263="","",'Service Types'!K263)</f>
        <v>11</v>
      </c>
      <c r="L419" s="4" t="str">
        <f>IF('Service Types'!Q263="","",'Service Types'!Q263)</f>
        <v>Non-crew</v>
      </c>
    </row>
    <row r="420" spans="1:12" x14ac:dyDescent="0.45">
      <c r="A420" s="14">
        <v>419</v>
      </c>
      <c r="B420" s="4" t="s">
        <v>877</v>
      </c>
      <c r="C420" s="4" t="str">
        <f>IF('Service Types'!B693="","",'Service Types'!B693)</f>
        <v>PICS - Collaboration, Analytics and Innovation</v>
      </c>
      <c r="D420" s="5">
        <f>IF('Service Types'!E693="","",'Service Types'!E693)</f>
        <v>9</v>
      </c>
      <c r="E420" s="5">
        <f>IF('Service Types'!D693="","",'Service Types'!D693)</f>
        <v>77</v>
      </c>
      <c r="F420" s="5">
        <f>IF('Service Types'!F693="","",'Service Types'!F693)</f>
        <v>0</v>
      </c>
      <c r="G420" s="5">
        <f>IF('Service Types'!G693="","",'Service Types'!G693)</f>
        <v>0</v>
      </c>
      <c r="H420" s="5">
        <f>IF('Service Types'!H693="","",'Service Types'!H693)</f>
        <v>77</v>
      </c>
      <c r="I420" s="6">
        <f>IF('Service Types'!I693="","",'Service Types'!I693)</f>
        <v>6</v>
      </c>
      <c r="J420" s="6">
        <f>IF('Service Types'!J693="","",'Service Types'!J693)</f>
        <v>17.600000000000001</v>
      </c>
      <c r="K420" s="6">
        <f>IF('Service Types'!K693="","",'Service Types'!K693)</f>
        <v>59</v>
      </c>
      <c r="L420" s="4" t="str">
        <f>IF('Service Types'!Q693="","",'Service Types'!Q693)</f>
        <v>Non-crew</v>
      </c>
    </row>
    <row r="421" spans="1:12" x14ac:dyDescent="0.45">
      <c r="A421" s="14">
        <v>420</v>
      </c>
      <c r="B421" s="4" t="s">
        <v>448</v>
      </c>
      <c r="C421" s="4" t="str">
        <f>IF('Service Types'!B343="","",'Service Types'!B343)</f>
        <v>LLSS - Law</v>
      </c>
      <c r="D421" s="5">
        <f>IF('Service Types'!E343="","",'Service Types'!E343)</f>
        <v>8</v>
      </c>
      <c r="E421" s="5">
        <f>IF('Service Types'!D343="","",'Service Types'!D343)</f>
        <v>74</v>
      </c>
      <c r="F421" s="5">
        <f>IF('Service Types'!F343="","",'Service Types'!F343)</f>
        <v>1</v>
      </c>
      <c r="G421" s="5">
        <f>IF('Service Types'!G343="","",'Service Types'!G343)</f>
        <v>1</v>
      </c>
      <c r="H421" s="5">
        <f>IF('Service Types'!H343="","",'Service Types'!H343)</f>
        <v>73</v>
      </c>
      <c r="I421" s="6">
        <f>IF('Service Types'!I343="","",'Service Types'!I343)</f>
        <v>8</v>
      </c>
      <c r="J421" s="6">
        <f>IF('Service Types'!J343="","",'Service Types'!J343)</f>
        <v>8.3000000000000007</v>
      </c>
      <c r="K421" s="6">
        <f>IF('Service Types'!K343="","",'Service Types'!K343)</f>
        <v>11</v>
      </c>
      <c r="L421" s="4" t="str">
        <f>IF('Service Types'!Q343="","",'Service Types'!Q343)</f>
        <v>Non-crew</v>
      </c>
    </row>
    <row r="422" spans="1:12" x14ac:dyDescent="0.45">
      <c r="A422" s="14">
        <v>421</v>
      </c>
      <c r="B422" s="4" t="s">
        <v>264</v>
      </c>
      <c r="C422" s="4" t="str">
        <f>IF('Service Types'!B184="","",'Service Types'!B184)</f>
        <v>CS - Emergency Management and Community Safety</v>
      </c>
      <c r="D422" s="5">
        <f>IF('Service Types'!E184="","",'Service Types'!E184)</f>
        <v>8</v>
      </c>
      <c r="E422" s="5">
        <f>IF('Service Types'!D184="","",'Service Types'!D184)</f>
        <v>70</v>
      </c>
      <c r="F422" s="5">
        <f>IF('Service Types'!F184="","",'Service Types'!F184)</f>
        <v>0</v>
      </c>
      <c r="G422" s="5">
        <f>IF('Service Types'!G184="","",'Service Types'!G184)</f>
        <v>0</v>
      </c>
      <c r="H422" s="5">
        <f>IF('Service Types'!H184="","",'Service Types'!H184)</f>
        <v>70</v>
      </c>
      <c r="I422" s="6">
        <f>IF('Service Types'!I184="","",'Service Types'!I184)</f>
        <v>1</v>
      </c>
      <c r="J422" s="6">
        <f>IF('Service Types'!J184="","",'Service Types'!J184)</f>
        <v>5.4</v>
      </c>
      <c r="K422" s="6">
        <f>IF('Service Types'!K184="","",'Service Types'!K184)</f>
        <v>13</v>
      </c>
      <c r="L422" s="4" t="str">
        <f>IF('Service Types'!Q184="","",'Service Types'!Q184)</f>
        <v>Non-crew</v>
      </c>
    </row>
    <row r="423" spans="1:12" x14ac:dyDescent="0.45">
      <c r="A423" s="14">
        <v>422</v>
      </c>
      <c r="B423" s="4" t="s">
        <v>270</v>
      </c>
      <c r="C423" s="4" t="str">
        <f>IF('Service Types'!B190="","",'Service Types'!B190)</f>
        <v>CS - Emergency Management and Community Safety</v>
      </c>
      <c r="D423" s="5">
        <f>IF('Service Types'!E190="","",'Service Types'!E190)</f>
        <v>8</v>
      </c>
      <c r="E423" s="5">
        <f>IF('Service Types'!D190="","",'Service Types'!D190)</f>
        <v>34</v>
      </c>
      <c r="F423" s="5">
        <f>IF('Service Types'!F190="","",'Service Types'!F190)</f>
        <v>0</v>
      </c>
      <c r="G423" s="5">
        <f>IF('Service Types'!G190="","",'Service Types'!G190)</f>
        <v>0</v>
      </c>
      <c r="H423" s="5">
        <f>IF('Service Types'!H190="","",'Service Types'!H190)</f>
        <v>34</v>
      </c>
      <c r="I423" s="6">
        <f>IF('Service Types'!I190="","",'Service Types'!I190)</f>
        <v>29.5</v>
      </c>
      <c r="J423" s="6">
        <f>IF('Service Types'!J190="","",'Service Types'!J190)</f>
        <v>39.299999999999997</v>
      </c>
      <c r="K423" s="6">
        <f>IF('Service Types'!K190="","",'Service Types'!K190)</f>
        <v>82</v>
      </c>
      <c r="L423" s="4" t="str">
        <f>IF('Service Types'!Q190="","",'Service Types'!Q190)</f>
        <v>Non-crew</v>
      </c>
    </row>
    <row r="424" spans="1:12" x14ac:dyDescent="0.45">
      <c r="A424" s="14">
        <v>423</v>
      </c>
      <c r="B424" s="4" t="s">
        <v>364</v>
      </c>
      <c r="C424" s="4" t="str">
        <f>IF('Service Types'!B274="","",'Service Types'!B274)</f>
        <v>Elected Officials</v>
      </c>
      <c r="D424" s="5">
        <f>IF('Service Types'!E274="","",'Service Types'!E274)</f>
        <v>8</v>
      </c>
      <c r="E424" s="5">
        <f>IF('Service Types'!D274="","",'Service Types'!D274)</f>
        <v>9</v>
      </c>
      <c r="F424" s="5">
        <f>IF('Service Types'!F274="","",'Service Types'!F274)</f>
        <v>0</v>
      </c>
      <c r="G424" s="5">
        <f>IF('Service Types'!G274="","",'Service Types'!G274)</f>
        <v>0</v>
      </c>
      <c r="H424" s="5">
        <f>IF('Service Types'!H274="","",'Service Types'!H274)</f>
        <v>9</v>
      </c>
      <c r="I424" s="6">
        <f>IF('Service Types'!I274="","",'Service Types'!I274)</f>
        <v>0</v>
      </c>
      <c r="J424" s="6">
        <f>IF('Service Types'!J274="","",'Service Types'!J274)</f>
        <v>0</v>
      </c>
      <c r="K424" s="6">
        <f>IF('Service Types'!K274="","",'Service Types'!K274)</f>
        <v>0</v>
      </c>
      <c r="L424" s="4" t="str">
        <f>IF('Service Types'!Q274="","",'Service Types'!Q274)</f>
        <v>Non-crew</v>
      </c>
    </row>
    <row r="425" spans="1:12" x14ac:dyDescent="0.45">
      <c r="A425" s="14">
        <v>424</v>
      </c>
      <c r="B425" s="4" t="s">
        <v>791</v>
      </c>
      <c r="C425" s="4" t="str">
        <f>IF('Service Types'!B614="","",'Service Types'!B614)</f>
        <v>PDS - Climate and Environment</v>
      </c>
      <c r="D425" s="5">
        <f>IF('Service Types'!E614="","",'Service Types'!E614)</f>
        <v>7</v>
      </c>
      <c r="E425" s="5">
        <f>IF('Service Types'!D614="","",'Service Types'!D614)</f>
        <v>67</v>
      </c>
      <c r="F425" s="5">
        <f>IF('Service Types'!F614="","",'Service Types'!F614)</f>
        <v>0</v>
      </c>
      <c r="G425" s="5">
        <f>IF('Service Types'!G614="","",'Service Types'!G614)</f>
        <v>0</v>
      </c>
      <c r="H425" s="5">
        <f>IF('Service Types'!H614="","",'Service Types'!H614)</f>
        <v>67</v>
      </c>
      <c r="I425" s="6">
        <f>IF('Service Types'!I614="","",'Service Types'!I614)</f>
        <v>7</v>
      </c>
      <c r="J425" s="6">
        <f>IF('Service Types'!J614="","",'Service Types'!J614)</f>
        <v>24.6</v>
      </c>
      <c r="K425" s="6">
        <f>IF('Service Types'!K614="","",'Service Types'!K614)</f>
        <v>28</v>
      </c>
      <c r="L425" s="4" t="str">
        <f>IF('Service Types'!Q614="","",'Service Types'!Q614)</f>
        <v>Non-crew</v>
      </c>
    </row>
    <row r="426" spans="1:12" x14ac:dyDescent="0.45">
      <c r="A426" s="14">
        <v>425</v>
      </c>
      <c r="B426" s="4" t="s">
        <v>268</v>
      </c>
      <c r="C426" s="4" t="str">
        <f>IF('Service Types'!B188="","",'Service Types'!B188)</f>
        <v>CS - Emergency Management and Community Safety</v>
      </c>
      <c r="D426" s="5">
        <f>IF('Service Types'!E188="","",'Service Types'!E188)</f>
        <v>7</v>
      </c>
      <c r="E426" s="5">
        <f>IF('Service Types'!D188="","",'Service Types'!D188)</f>
        <v>38</v>
      </c>
      <c r="F426" s="5">
        <f>IF('Service Types'!F188="","",'Service Types'!F188)</f>
        <v>0</v>
      </c>
      <c r="G426" s="5">
        <f>IF('Service Types'!G188="","",'Service Types'!G188)</f>
        <v>0</v>
      </c>
      <c r="H426" s="5">
        <f>IF('Service Types'!H188="","",'Service Types'!H188)</f>
        <v>38</v>
      </c>
      <c r="I426" s="6">
        <f>IF('Service Types'!I188="","",'Service Types'!I188)</f>
        <v>2</v>
      </c>
      <c r="J426" s="6">
        <f>IF('Service Types'!J188="","",'Service Types'!J188)</f>
        <v>6.7</v>
      </c>
      <c r="K426" s="6">
        <f>IF('Service Types'!K188="","",'Service Types'!K188)</f>
        <v>18</v>
      </c>
      <c r="L426" s="4" t="str">
        <f>IF('Service Types'!Q188="","",'Service Types'!Q188)</f>
        <v>Non-crew</v>
      </c>
    </row>
    <row r="427" spans="1:12" x14ac:dyDescent="0.45">
      <c r="A427" s="14">
        <v>426</v>
      </c>
      <c r="B427" s="4" t="s">
        <v>900</v>
      </c>
      <c r="C427" s="4" t="str">
        <f>IF('Service Types'!B713="","",'Service Types'!B713)</f>
        <v>PICS - Information Technology</v>
      </c>
      <c r="D427" s="5">
        <f>IF('Service Types'!E713="","",'Service Types'!E713)</f>
        <v>7</v>
      </c>
      <c r="E427" s="5">
        <f>IF('Service Types'!D713="","",'Service Types'!D713)</f>
        <v>25</v>
      </c>
      <c r="F427" s="5">
        <f>IF('Service Types'!F713="","",'Service Types'!F713)</f>
        <v>0</v>
      </c>
      <c r="G427" s="5">
        <f>IF('Service Types'!G713="","",'Service Types'!G713)</f>
        <v>0</v>
      </c>
      <c r="H427" s="5">
        <f>IF('Service Types'!H713="","",'Service Types'!H713)</f>
        <v>25</v>
      </c>
      <c r="I427" s="6">
        <f>IF('Service Types'!I713="","",'Service Types'!I713)</f>
        <v>0</v>
      </c>
      <c r="J427" s="6">
        <f>IF('Service Types'!J713="","",'Service Types'!J713)</f>
        <v>0</v>
      </c>
      <c r="K427" s="6">
        <f>IF('Service Types'!K713="","",'Service Types'!K713)</f>
        <v>0</v>
      </c>
      <c r="L427" s="4" t="str">
        <f>IF('Service Types'!Q713="","",'Service Types'!Q713)</f>
        <v>Non-crew</v>
      </c>
    </row>
    <row r="428" spans="1:12" x14ac:dyDescent="0.45">
      <c r="A428" s="14">
        <v>427</v>
      </c>
      <c r="B428" s="4" t="s">
        <v>792</v>
      </c>
      <c r="C428" s="4" t="str">
        <f>IF('Service Types'!B615="","",'Service Types'!B615)</f>
        <v>PDS - Climate and Environment</v>
      </c>
      <c r="D428" s="5">
        <f>IF('Service Types'!E615="","",'Service Types'!E615)</f>
        <v>6</v>
      </c>
      <c r="E428" s="5">
        <f>IF('Service Types'!D615="","",'Service Types'!D615)</f>
        <v>37</v>
      </c>
      <c r="F428" s="5">
        <f>IF('Service Types'!F615="","",'Service Types'!F615)</f>
        <v>0</v>
      </c>
      <c r="G428" s="5">
        <f>IF('Service Types'!G615="","",'Service Types'!G615)</f>
        <v>0</v>
      </c>
      <c r="H428" s="5">
        <f>IF('Service Types'!H615="","",'Service Types'!H615)</f>
        <v>37</v>
      </c>
      <c r="I428" s="6">
        <f>IF('Service Types'!I615="","",'Service Types'!I615)</f>
        <v>2</v>
      </c>
      <c r="J428" s="6">
        <f>IF('Service Types'!J615="","",'Service Types'!J615)</f>
        <v>8.9</v>
      </c>
      <c r="K428" s="6">
        <f>IF('Service Types'!K615="","",'Service Types'!K615)</f>
        <v>16</v>
      </c>
      <c r="L428" s="4" t="str">
        <f>IF('Service Types'!Q615="","",'Service Types'!Q615)</f>
        <v>Non-crew</v>
      </c>
    </row>
    <row r="429" spans="1:12" x14ac:dyDescent="0.45">
      <c r="A429" s="14">
        <v>428</v>
      </c>
      <c r="B429" s="4" t="s">
        <v>139</v>
      </c>
      <c r="C429" s="4" t="str">
        <f>IF('Service Types'!B77="","",'Service Types'!B77)</f>
        <v>CS - Calgary Fire</v>
      </c>
      <c r="D429" s="5">
        <f>IF('Service Types'!E77="","",'Service Types'!E77)</f>
        <v>6</v>
      </c>
      <c r="E429" s="5">
        <f>IF('Service Types'!D77="","",'Service Types'!D77)</f>
        <v>25</v>
      </c>
      <c r="F429" s="5">
        <f>IF('Service Types'!F77="","",'Service Types'!F77)</f>
        <v>1</v>
      </c>
      <c r="G429" s="5">
        <f>IF('Service Types'!G77="","",'Service Types'!G77)</f>
        <v>1</v>
      </c>
      <c r="H429" s="5">
        <f>IF('Service Types'!H77="","",'Service Types'!H77)</f>
        <v>24</v>
      </c>
      <c r="I429" s="6">
        <f>IF('Service Types'!I77="","",'Service Types'!I77)</f>
        <v>10.5</v>
      </c>
      <c r="J429" s="6">
        <f>IF('Service Types'!J77="","",'Service Types'!J77)</f>
        <v>14.7</v>
      </c>
      <c r="K429" s="6">
        <f>IF('Service Types'!K77="","",'Service Types'!K77)</f>
        <v>26</v>
      </c>
      <c r="L429" s="4" t="str">
        <f>IF('Service Types'!Q77="","",'Service Types'!Q77)</f>
        <v>Non-crew</v>
      </c>
    </row>
    <row r="430" spans="1:12" x14ac:dyDescent="0.45">
      <c r="A430" s="14">
        <v>429</v>
      </c>
      <c r="B430" s="4" t="s">
        <v>893</v>
      </c>
      <c r="C430" s="4" t="str">
        <f>IF('Service Types'!B708="","",'Service Types'!B708)</f>
        <v>PICS - Customer Service and Communications</v>
      </c>
      <c r="D430" s="5">
        <f>IF('Service Types'!E708="","",'Service Types'!E708)</f>
        <v>5</v>
      </c>
      <c r="E430" s="5">
        <f>IF('Service Types'!D708="","",'Service Types'!D708)</f>
        <v>75</v>
      </c>
      <c r="F430" s="5">
        <f>IF('Service Types'!F708="","",'Service Types'!F708)</f>
        <v>2</v>
      </c>
      <c r="G430" s="5">
        <f>IF('Service Types'!G708="","",'Service Types'!G708)</f>
        <v>2</v>
      </c>
      <c r="H430" s="5">
        <f>IF('Service Types'!H708="","",'Service Types'!H708)</f>
        <v>73</v>
      </c>
      <c r="I430" s="6">
        <f>IF('Service Types'!I708="","",'Service Types'!I708)</f>
        <v>4</v>
      </c>
      <c r="J430" s="6">
        <f>IF('Service Types'!J708="","",'Service Types'!J708)</f>
        <v>50.6</v>
      </c>
      <c r="K430" s="6">
        <f>IF('Service Types'!K708="","",'Service Types'!K708)</f>
        <v>245</v>
      </c>
      <c r="L430" s="4" t="str">
        <f>IF('Service Types'!Q708="","",'Service Types'!Q708)</f>
        <v>Non-crew</v>
      </c>
    </row>
    <row r="431" spans="1:12" x14ac:dyDescent="0.45">
      <c r="A431" s="14">
        <v>430</v>
      </c>
      <c r="B431" s="4" t="s">
        <v>564</v>
      </c>
      <c r="C431" s="4" t="str">
        <f>IF('Service Types'!B432="","",'Service Types'!B432)</f>
        <v>OS - Mobility</v>
      </c>
      <c r="D431" s="5">
        <f>IF('Service Types'!E432="","",'Service Types'!E432)</f>
        <v>5</v>
      </c>
      <c r="E431" s="5">
        <f>IF('Service Types'!D432="","",'Service Types'!D432)</f>
        <v>61</v>
      </c>
      <c r="F431" s="5">
        <f>IF('Service Types'!F432="","",'Service Types'!F432)</f>
        <v>0</v>
      </c>
      <c r="G431" s="5">
        <f>IF('Service Types'!G432="","",'Service Types'!G432)</f>
        <v>0</v>
      </c>
      <c r="H431" s="5">
        <f>IF('Service Types'!H432="","",'Service Types'!H432)</f>
        <v>61</v>
      </c>
      <c r="I431" s="6">
        <f>IF('Service Types'!I432="","",'Service Types'!I432)</f>
        <v>0</v>
      </c>
      <c r="J431" s="6">
        <f>IF('Service Types'!J432="","",'Service Types'!J432)</f>
        <v>6.3</v>
      </c>
      <c r="K431" s="6">
        <f>IF('Service Types'!K432="","",'Service Types'!K432)</f>
        <v>34</v>
      </c>
      <c r="L431" s="4" t="str">
        <f>IF('Service Types'!Q432="","",'Service Types'!Q432)</f>
        <v>Non-crew</v>
      </c>
    </row>
    <row r="432" spans="1:12" x14ac:dyDescent="0.45">
      <c r="A432" s="14">
        <v>431</v>
      </c>
      <c r="B432" s="4" t="s">
        <v>870</v>
      </c>
      <c r="C432" s="4" t="str">
        <f>IF('Service Types'!B688="","",'Service Types'!B688)</f>
        <v>PDS - Environmental Risk &amp; Resilience</v>
      </c>
      <c r="D432" s="5">
        <f>IF('Service Types'!E688="","",'Service Types'!E688)</f>
        <v>5</v>
      </c>
      <c r="E432" s="5">
        <f>IF('Service Types'!D688="","",'Service Types'!D688)</f>
        <v>5</v>
      </c>
      <c r="F432" s="5">
        <f>IF('Service Types'!F688="","",'Service Types'!F688)</f>
        <v>0</v>
      </c>
      <c r="G432" s="5">
        <f>IF('Service Types'!G688="","",'Service Types'!G688)</f>
        <v>0</v>
      </c>
      <c r="H432" s="5">
        <f>IF('Service Types'!H688="","",'Service Types'!H688)</f>
        <v>5</v>
      </c>
      <c r="I432" s="6">
        <f>IF('Service Types'!I688="","",'Service Types'!I688)</f>
        <v>5</v>
      </c>
      <c r="J432" s="6">
        <f>IF('Service Types'!J688="","",'Service Types'!J688)</f>
        <v>16.2</v>
      </c>
      <c r="K432" s="6">
        <f>IF('Service Types'!K688="","",'Service Types'!K688)</f>
        <v>40</v>
      </c>
      <c r="L432" s="4" t="str">
        <f>IF('Service Types'!Q688="","",'Service Types'!Q688)</f>
        <v>Non-crew</v>
      </c>
    </row>
    <row r="433" spans="1:12" x14ac:dyDescent="0.45">
      <c r="A433" s="14">
        <v>432</v>
      </c>
      <c r="B433" s="4" t="s">
        <v>871</v>
      </c>
      <c r="C433" s="4" t="str">
        <f>IF('Service Types'!B689="","",'Service Types'!B689)</f>
        <v>PDS - Environmental Risk &amp; Resilience</v>
      </c>
      <c r="D433" s="5">
        <f>IF('Service Types'!E689="","",'Service Types'!E689)</f>
        <v>5</v>
      </c>
      <c r="E433" s="5">
        <f>IF('Service Types'!D689="","",'Service Types'!D689)</f>
        <v>5</v>
      </c>
      <c r="F433" s="5">
        <f>IF('Service Types'!F689="","",'Service Types'!F689)</f>
        <v>0</v>
      </c>
      <c r="G433" s="5">
        <f>IF('Service Types'!G689="","",'Service Types'!G689)</f>
        <v>0</v>
      </c>
      <c r="H433" s="5">
        <f>IF('Service Types'!H689="","",'Service Types'!H689)</f>
        <v>5</v>
      </c>
      <c r="I433" s="6">
        <f>IF('Service Types'!I689="","",'Service Types'!I689)</f>
        <v>3</v>
      </c>
      <c r="J433" s="6">
        <f>IF('Service Types'!J689="","",'Service Types'!J689)</f>
        <v>5.8</v>
      </c>
      <c r="K433" s="6">
        <f>IF('Service Types'!K689="","",'Service Types'!K689)</f>
        <v>12</v>
      </c>
      <c r="L433" s="4" t="str">
        <f>IF('Service Types'!Q689="","",'Service Types'!Q689)</f>
        <v>Non-crew</v>
      </c>
    </row>
    <row r="434" spans="1:12" x14ac:dyDescent="0.45">
      <c r="A434" s="14">
        <v>433</v>
      </c>
      <c r="B434" s="4" t="s">
        <v>751</v>
      </c>
      <c r="C434" s="4" t="str">
        <f>IF('Service Types'!B583="","",'Service Types'!B583)</f>
        <v>OS - Water Services</v>
      </c>
      <c r="D434" s="5">
        <f>IF('Service Types'!E583="","",'Service Types'!E583)</f>
        <v>4</v>
      </c>
      <c r="E434" s="5">
        <f>IF('Service Types'!D583="","",'Service Types'!D583)</f>
        <v>4</v>
      </c>
      <c r="F434" s="5">
        <f>IF('Service Types'!F583="","",'Service Types'!F583)</f>
        <v>0</v>
      </c>
      <c r="G434" s="5">
        <f>IF('Service Types'!G583="","",'Service Types'!G583)</f>
        <v>0</v>
      </c>
      <c r="H434" s="5">
        <f>IF('Service Types'!H583="","",'Service Types'!H583)</f>
        <v>4</v>
      </c>
      <c r="I434" s="6">
        <f>IF('Service Types'!I583="","",'Service Types'!I583)</f>
        <v>5.5</v>
      </c>
      <c r="J434" s="6">
        <f>IF('Service Types'!J583="","",'Service Types'!J583)</f>
        <v>5</v>
      </c>
      <c r="K434" s="6">
        <f>IF('Service Types'!K583="","",'Service Types'!K583)</f>
        <v>7</v>
      </c>
      <c r="L434" s="4" t="str">
        <f>IF('Service Types'!Q583="","",'Service Types'!Q583)</f>
        <v>Non-crew</v>
      </c>
    </row>
    <row r="435" spans="1:12" x14ac:dyDescent="0.45">
      <c r="A435" s="14">
        <v>434</v>
      </c>
      <c r="B435" s="4" t="s">
        <v>342</v>
      </c>
      <c r="C435" s="4" t="str">
        <f>IF('Service Types'!B258="","",'Service Types'!B258)</f>
        <v>CS - Recreation and Social Programs</v>
      </c>
      <c r="D435" s="5">
        <f>IF('Service Types'!E258="","",'Service Types'!E258)</f>
        <v>3</v>
      </c>
      <c r="E435" s="5">
        <f>IF('Service Types'!D258="","",'Service Types'!D258)</f>
        <v>83</v>
      </c>
      <c r="F435" s="5">
        <f>IF('Service Types'!F258="","",'Service Types'!F258)</f>
        <v>0</v>
      </c>
      <c r="G435" s="5">
        <f>IF('Service Types'!G258="","",'Service Types'!G258)</f>
        <v>0</v>
      </c>
      <c r="H435" s="5">
        <f>IF('Service Types'!H258="","",'Service Types'!H258)</f>
        <v>83</v>
      </c>
      <c r="I435" s="6">
        <f>IF('Service Types'!I258="","",'Service Types'!I258)</f>
        <v>7</v>
      </c>
      <c r="J435" s="6">
        <f>IF('Service Types'!J258="","",'Service Types'!J258)</f>
        <v>8.1999999999999993</v>
      </c>
      <c r="K435" s="6">
        <f>IF('Service Types'!K258="","",'Service Types'!K258)</f>
        <v>17</v>
      </c>
      <c r="L435" s="4" t="str">
        <f>IF('Service Types'!Q258="","",'Service Types'!Q258)</f>
        <v>Non-crew</v>
      </c>
    </row>
    <row r="436" spans="1:12" x14ac:dyDescent="0.45">
      <c r="A436" s="14">
        <v>435</v>
      </c>
      <c r="B436" s="4" t="s">
        <v>271</v>
      </c>
      <c r="C436" s="4" t="str">
        <f>IF('Service Types'!B191="","",'Service Types'!B191)</f>
        <v>CS - Emergency Management and Community Safety</v>
      </c>
      <c r="D436" s="5">
        <f>IF('Service Types'!E191="","",'Service Types'!E191)</f>
        <v>3</v>
      </c>
      <c r="E436" s="5">
        <f>IF('Service Types'!D191="","",'Service Types'!D191)</f>
        <v>33</v>
      </c>
      <c r="F436" s="5">
        <f>IF('Service Types'!F191="","",'Service Types'!F191)</f>
        <v>2</v>
      </c>
      <c r="G436" s="5">
        <f>IF('Service Types'!G191="","",'Service Types'!G191)</f>
        <v>2</v>
      </c>
      <c r="H436" s="5">
        <f>IF('Service Types'!H191="","",'Service Types'!H191)</f>
        <v>31</v>
      </c>
      <c r="I436" s="6">
        <f>IF('Service Types'!I191="","",'Service Types'!I191)</f>
        <v>33</v>
      </c>
      <c r="J436" s="6">
        <f>IF('Service Types'!J191="","",'Service Types'!J191)</f>
        <v>42.8</v>
      </c>
      <c r="K436" s="6">
        <f>IF('Service Types'!K191="","",'Service Types'!K191)</f>
        <v>99</v>
      </c>
      <c r="L436" s="4" t="str">
        <f>IF('Service Types'!Q191="","",'Service Types'!Q191)</f>
        <v>Non-crew</v>
      </c>
    </row>
    <row r="437" spans="1:12" x14ac:dyDescent="0.45">
      <c r="A437" s="14">
        <v>436</v>
      </c>
      <c r="B437" s="4" t="s">
        <v>182</v>
      </c>
      <c r="C437" s="4" t="str">
        <f>IF('Service Types'!B117="","",'Service Types'!B117)</f>
        <v>CS - Community Strategies</v>
      </c>
      <c r="D437" s="5">
        <f>IF('Service Types'!E117="","",'Service Types'!E117)</f>
        <v>3</v>
      </c>
      <c r="E437" s="5">
        <f>IF('Service Types'!D117="","",'Service Types'!D117)</f>
        <v>18</v>
      </c>
      <c r="F437" s="5">
        <f>IF('Service Types'!F117="","",'Service Types'!F117)</f>
        <v>0</v>
      </c>
      <c r="G437" s="5">
        <f>IF('Service Types'!G117="","",'Service Types'!G117)</f>
        <v>0</v>
      </c>
      <c r="H437" s="5">
        <f>IF('Service Types'!H117="","",'Service Types'!H117)</f>
        <v>18</v>
      </c>
      <c r="I437" s="6">
        <f>IF('Service Types'!I117="","",'Service Types'!I117)</f>
        <v>19</v>
      </c>
      <c r="J437" s="6">
        <f>IF('Service Types'!J117="","",'Service Types'!J117)</f>
        <v>40.299999999999997</v>
      </c>
      <c r="K437" s="6">
        <f>IF('Service Types'!K117="","",'Service Types'!K117)</f>
        <v>107</v>
      </c>
      <c r="L437" s="4" t="str">
        <f>IF('Service Types'!Q117="","",'Service Types'!Q117)</f>
        <v>Non-crew</v>
      </c>
    </row>
    <row r="438" spans="1:12" x14ac:dyDescent="0.45">
      <c r="A438" s="14">
        <v>437</v>
      </c>
      <c r="B438" s="4" t="s">
        <v>807</v>
      </c>
      <c r="C438" s="4" t="str">
        <f>IF('Service Types'!B629="","",'Service Types'!B629)</f>
        <v>PDS - Community Planning</v>
      </c>
      <c r="D438" s="5">
        <f>IF('Service Types'!E629="","",'Service Types'!E629)</f>
        <v>3</v>
      </c>
      <c r="E438" s="5">
        <f>IF('Service Types'!D629="","",'Service Types'!D629)</f>
        <v>9</v>
      </c>
      <c r="F438" s="5">
        <f>IF('Service Types'!F629="","",'Service Types'!F629)</f>
        <v>0</v>
      </c>
      <c r="G438" s="5">
        <f>IF('Service Types'!G629="","",'Service Types'!G629)</f>
        <v>0</v>
      </c>
      <c r="H438" s="5">
        <f>IF('Service Types'!H629="","",'Service Types'!H629)</f>
        <v>9</v>
      </c>
      <c r="I438" s="6">
        <f>IF('Service Types'!I629="","",'Service Types'!I629)</f>
        <v>14</v>
      </c>
      <c r="J438" s="6">
        <f>IF('Service Types'!J629="","",'Service Types'!J629)</f>
        <v>30.3</v>
      </c>
      <c r="K438" s="6">
        <f>IF('Service Types'!K629="","",'Service Types'!K629)</f>
        <v>81</v>
      </c>
      <c r="L438" s="4" t="str">
        <f>IF('Service Types'!Q629="","",'Service Types'!Q629)</f>
        <v>Non-crew</v>
      </c>
    </row>
    <row r="439" spans="1:12" x14ac:dyDescent="0.45">
      <c r="A439" s="14">
        <v>438</v>
      </c>
      <c r="B439" s="4" t="s">
        <v>858</v>
      </c>
      <c r="C439" s="4" t="str">
        <f>IF('Service Types'!B678="","",'Service Types'!B678)</f>
        <v>PDS - Development, Business and Building Services</v>
      </c>
      <c r="D439" s="5">
        <f>IF('Service Types'!E678="","",'Service Types'!E678)</f>
        <v>3</v>
      </c>
      <c r="E439" s="5">
        <f>IF('Service Types'!D678="","",'Service Types'!D678)</f>
        <v>9</v>
      </c>
      <c r="F439" s="5">
        <f>IF('Service Types'!F678="","",'Service Types'!F678)</f>
        <v>2</v>
      </c>
      <c r="G439" s="5">
        <f>IF('Service Types'!G678="","",'Service Types'!G678)</f>
        <v>2</v>
      </c>
      <c r="H439" s="5">
        <f>IF('Service Types'!H678="","",'Service Types'!H678)</f>
        <v>7</v>
      </c>
      <c r="I439" s="6">
        <f>IF('Service Types'!I678="","",'Service Types'!I678)</f>
        <v>3</v>
      </c>
      <c r="J439" s="6">
        <f>IF('Service Types'!J678="","",'Service Types'!J678)</f>
        <v>51.1</v>
      </c>
      <c r="K439" s="6">
        <f>IF('Service Types'!K678="","",'Service Types'!K678)</f>
        <v>166</v>
      </c>
      <c r="L439" s="4" t="str">
        <f>IF('Service Types'!Q678="","",'Service Types'!Q678)</f>
        <v>Non-crew</v>
      </c>
    </row>
    <row r="440" spans="1:12" x14ac:dyDescent="0.45">
      <c r="A440" s="14">
        <v>439</v>
      </c>
      <c r="B440" s="4" t="s">
        <v>186</v>
      </c>
      <c r="C440" s="4" t="str">
        <f>IF('Service Types'!B121="","",'Service Types'!B121)</f>
        <v>CS - Community Strategies</v>
      </c>
      <c r="D440" s="5">
        <f>IF('Service Types'!E121="","",'Service Types'!E121)</f>
        <v>3</v>
      </c>
      <c r="E440" s="5">
        <f>IF('Service Types'!D121="","",'Service Types'!D121)</f>
        <v>4</v>
      </c>
      <c r="F440" s="5">
        <f>IF('Service Types'!F121="","",'Service Types'!F121)</f>
        <v>1</v>
      </c>
      <c r="G440" s="5">
        <f>IF('Service Types'!G121="","",'Service Types'!G121)</f>
        <v>1</v>
      </c>
      <c r="H440" s="5">
        <f>IF('Service Types'!H121="","",'Service Types'!H121)</f>
        <v>3</v>
      </c>
      <c r="I440" s="6">
        <f>IF('Service Types'!I121="","",'Service Types'!I121)</f>
        <v>53</v>
      </c>
      <c r="J440" s="6">
        <f>IF('Service Types'!J121="","",'Service Types'!J121)</f>
        <v>60</v>
      </c>
      <c r="K440" s="6">
        <f>IF('Service Types'!K121="","",'Service Types'!K121)</f>
        <v>101</v>
      </c>
      <c r="L440" s="4" t="str">
        <f>IF('Service Types'!Q121="","",'Service Types'!Q121)</f>
        <v>Non-crew</v>
      </c>
    </row>
    <row r="441" spans="1:12" x14ac:dyDescent="0.45">
      <c r="A441" s="14">
        <v>440</v>
      </c>
      <c r="B441" s="4" t="s">
        <v>766</v>
      </c>
      <c r="C441" s="4" t="str">
        <f>IF('Service Types'!B593="","",'Service Types'!B593)</f>
        <v>Office of the City Auditor</v>
      </c>
      <c r="D441" s="5">
        <f>IF('Service Types'!E593="","",'Service Types'!E593)</f>
        <v>3</v>
      </c>
      <c r="E441" s="5">
        <f>IF('Service Types'!D593="","",'Service Types'!D593)</f>
        <v>3</v>
      </c>
      <c r="F441" s="5">
        <f>IF('Service Types'!F593="","",'Service Types'!F593)</f>
        <v>0</v>
      </c>
      <c r="G441" s="5">
        <f>IF('Service Types'!G593="","",'Service Types'!G593)</f>
        <v>0</v>
      </c>
      <c r="H441" s="5">
        <f>IF('Service Types'!H593="","",'Service Types'!H593)</f>
        <v>3</v>
      </c>
      <c r="I441" s="6">
        <f>IF('Service Types'!I593="","",'Service Types'!I593)</f>
        <v>3</v>
      </c>
      <c r="J441" s="6">
        <f>IF('Service Types'!J593="","",'Service Types'!J593)</f>
        <v>3.3</v>
      </c>
      <c r="K441" s="6">
        <f>IF('Service Types'!K593="","",'Service Types'!K593)</f>
        <v>5</v>
      </c>
      <c r="L441" s="4" t="str">
        <f>IF('Service Types'!Q593="","",'Service Types'!Q593)</f>
        <v>Non-crew</v>
      </c>
    </row>
    <row r="442" spans="1:12" x14ac:dyDescent="0.45">
      <c r="A442" s="14">
        <v>441</v>
      </c>
      <c r="B442" s="4" t="s">
        <v>879</v>
      </c>
      <c r="C442" s="4" t="str">
        <f>IF('Service Types'!B695="","",'Service Types'!B695)</f>
        <v>PICS - Collaboration, Analytics and Innovation</v>
      </c>
      <c r="D442" s="5">
        <f>IF('Service Types'!E695="","",'Service Types'!E695)</f>
        <v>2</v>
      </c>
      <c r="E442" s="5">
        <f>IF('Service Types'!D695="","",'Service Types'!D695)</f>
        <v>52</v>
      </c>
      <c r="F442" s="5">
        <f>IF('Service Types'!F695="","",'Service Types'!F695)</f>
        <v>0</v>
      </c>
      <c r="G442" s="5">
        <f>IF('Service Types'!G695="","",'Service Types'!G695)</f>
        <v>0</v>
      </c>
      <c r="H442" s="5">
        <f>IF('Service Types'!H695="","",'Service Types'!H695)</f>
        <v>52</v>
      </c>
      <c r="I442" s="6">
        <f>IF('Service Types'!I695="","",'Service Types'!I695)</f>
        <v>0</v>
      </c>
      <c r="J442" s="6">
        <f>IF('Service Types'!J695="","",'Service Types'!J695)</f>
        <v>2.8</v>
      </c>
      <c r="K442" s="6">
        <f>IF('Service Types'!K695="","",'Service Types'!K695)</f>
        <v>0</v>
      </c>
      <c r="L442" s="4" t="str">
        <f>IF('Service Types'!Q695="","",'Service Types'!Q695)</f>
        <v>Non-crew</v>
      </c>
    </row>
    <row r="443" spans="1:12" x14ac:dyDescent="0.45">
      <c r="A443" s="14">
        <v>442</v>
      </c>
      <c r="B443" s="4" t="s">
        <v>882</v>
      </c>
      <c r="C443" s="4" t="str">
        <f>IF('Service Types'!B698="","",'Service Types'!B698)</f>
        <v>PICS - Collaboration, Analytics and Innovation</v>
      </c>
      <c r="D443" s="5">
        <f>IF('Service Types'!E698="","",'Service Types'!E698)</f>
        <v>2</v>
      </c>
      <c r="E443" s="5">
        <f>IF('Service Types'!D698="","",'Service Types'!D698)</f>
        <v>34</v>
      </c>
      <c r="F443" s="5">
        <f>IF('Service Types'!F698="","",'Service Types'!F698)</f>
        <v>0</v>
      </c>
      <c r="G443" s="5">
        <f>IF('Service Types'!G698="","",'Service Types'!G698)</f>
        <v>0</v>
      </c>
      <c r="H443" s="5">
        <f>IF('Service Types'!H698="","",'Service Types'!H698)</f>
        <v>34</v>
      </c>
      <c r="I443" s="6">
        <f>IF('Service Types'!I698="","",'Service Types'!I698)</f>
        <v>2.5</v>
      </c>
      <c r="J443" s="6">
        <f>IF('Service Types'!J698="","",'Service Types'!J698)</f>
        <v>7.2</v>
      </c>
      <c r="K443" s="6">
        <f>IF('Service Types'!K698="","",'Service Types'!K698)</f>
        <v>8</v>
      </c>
      <c r="L443" s="4" t="str">
        <f>IF('Service Types'!Q698="","",'Service Types'!Q698)</f>
        <v>Non-crew</v>
      </c>
    </row>
    <row r="444" spans="1:12" x14ac:dyDescent="0.45">
      <c r="A444" s="14">
        <v>443</v>
      </c>
      <c r="B444" s="4" t="s">
        <v>883</v>
      </c>
      <c r="C444" s="4" t="str">
        <f>IF('Service Types'!B699="","",'Service Types'!B699)</f>
        <v>PICS - Collaboration, Analytics and Innovation</v>
      </c>
      <c r="D444" s="5">
        <f>IF('Service Types'!E699="","",'Service Types'!E699)</f>
        <v>2</v>
      </c>
      <c r="E444" s="5">
        <f>IF('Service Types'!D699="","",'Service Types'!D699)</f>
        <v>19</v>
      </c>
      <c r="F444" s="5">
        <f>IF('Service Types'!F699="","",'Service Types'!F699)</f>
        <v>0</v>
      </c>
      <c r="G444" s="5">
        <f>IF('Service Types'!G699="","",'Service Types'!G699)</f>
        <v>0</v>
      </c>
      <c r="H444" s="5">
        <f>IF('Service Types'!H699="","",'Service Types'!H699)</f>
        <v>19</v>
      </c>
      <c r="I444" s="6">
        <f>IF('Service Types'!I699="","",'Service Types'!I699)</f>
        <v>4</v>
      </c>
      <c r="J444" s="6">
        <f>IF('Service Types'!J699="","",'Service Types'!J699)</f>
        <v>17.5</v>
      </c>
      <c r="K444" s="6">
        <f>IF('Service Types'!K699="","",'Service Types'!K699)</f>
        <v>66</v>
      </c>
      <c r="L444" s="4" t="str">
        <f>IF('Service Types'!Q699="","",'Service Types'!Q699)</f>
        <v>Non-crew</v>
      </c>
    </row>
    <row r="445" spans="1:12" x14ac:dyDescent="0.45">
      <c r="A445" s="14">
        <v>444</v>
      </c>
      <c r="B445" s="4" t="s">
        <v>795</v>
      </c>
      <c r="C445" s="4" t="str">
        <f>IF('Service Types'!B618="","",'Service Types'!B618)</f>
        <v>PDS - Climate and Environment</v>
      </c>
      <c r="D445" s="5">
        <f>IF('Service Types'!E618="","",'Service Types'!E618)</f>
        <v>2</v>
      </c>
      <c r="E445" s="5">
        <f>IF('Service Types'!D618="","",'Service Types'!D618)</f>
        <v>14</v>
      </c>
      <c r="F445" s="5">
        <f>IF('Service Types'!F618="","",'Service Types'!F618)</f>
        <v>0</v>
      </c>
      <c r="G445" s="5">
        <f>IF('Service Types'!G618="","",'Service Types'!G618)</f>
        <v>0</v>
      </c>
      <c r="H445" s="5">
        <f>IF('Service Types'!H618="","",'Service Types'!H618)</f>
        <v>14</v>
      </c>
      <c r="I445" s="6">
        <f>IF('Service Types'!I618="","",'Service Types'!I618)</f>
        <v>8.5</v>
      </c>
      <c r="J445" s="6">
        <f>IF('Service Types'!J618="","",'Service Types'!J618)</f>
        <v>27.9</v>
      </c>
      <c r="K445" s="6">
        <f>IF('Service Types'!K618="","",'Service Types'!K618)</f>
        <v>20</v>
      </c>
      <c r="L445" s="4" t="str">
        <f>IF('Service Types'!Q618="","",'Service Types'!Q618)</f>
        <v>Non-crew</v>
      </c>
    </row>
    <row r="446" spans="1:12" x14ac:dyDescent="0.45">
      <c r="A446" s="14">
        <v>445</v>
      </c>
      <c r="B446" s="4" t="s">
        <v>86</v>
      </c>
      <c r="C446" s="4" t="str">
        <f>IF('Service Types'!B36="","",'Service Types'!B36)</f>
        <v>CPFS - Finance</v>
      </c>
      <c r="D446" s="5">
        <f>IF('Service Types'!E36="","",'Service Types'!E36)</f>
        <v>2</v>
      </c>
      <c r="E446" s="5">
        <f>IF('Service Types'!D36="","",'Service Types'!D36)</f>
        <v>12</v>
      </c>
      <c r="F446" s="5">
        <f>IF('Service Types'!F36="","",'Service Types'!F36)</f>
        <v>0</v>
      </c>
      <c r="G446" s="5">
        <f>IF('Service Types'!G36="","",'Service Types'!G36)</f>
        <v>0</v>
      </c>
      <c r="H446" s="5">
        <f>IF('Service Types'!H36="","",'Service Types'!H36)</f>
        <v>12</v>
      </c>
      <c r="I446" s="6">
        <f>IF('Service Types'!I36="","",'Service Types'!I36)</f>
        <v>0</v>
      </c>
      <c r="J446" s="6">
        <f>IF('Service Types'!J36="","",'Service Types'!J36)</f>
        <v>0</v>
      </c>
      <c r="K446" s="6">
        <f>IF('Service Types'!K36="","",'Service Types'!K36)</f>
        <v>0</v>
      </c>
      <c r="L446" s="4" t="str">
        <f>IF('Service Types'!Q36="","",'Service Types'!Q36)</f>
        <v>Non-crew</v>
      </c>
    </row>
    <row r="447" spans="1:12" x14ac:dyDescent="0.45">
      <c r="A447" s="14">
        <v>446</v>
      </c>
      <c r="B447" s="4" t="s">
        <v>902</v>
      </c>
      <c r="C447" s="4" t="str">
        <f>IF('Service Types'!B715="","",'Service Types'!B715)</f>
        <v>PICS - Information Technology</v>
      </c>
      <c r="D447" s="5">
        <f>IF('Service Types'!E715="","",'Service Types'!E715)</f>
        <v>2</v>
      </c>
      <c r="E447" s="5">
        <f>IF('Service Types'!D715="","",'Service Types'!D715)</f>
        <v>11</v>
      </c>
      <c r="F447" s="5">
        <f>IF('Service Types'!F715="","",'Service Types'!F715)</f>
        <v>4</v>
      </c>
      <c r="G447" s="5">
        <f>IF('Service Types'!G715="","",'Service Types'!G715)</f>
        <v>4</v>
      </c>
      <c r="H447" s="5">
        <f>IF('Service Types'!H715="","",'Service Types'!H715)</f>
        <v>7</v>
      </c>
      <c r="I447" s="6">
        <f>IF('Service Types'!I715="","",'Service Types'!I715)</f>
        <v>6</v>
      </c>
      <c r="J447" s="6">
        <f>IF('Service Types'!J715="","",'Service Types'!J715)</f>
        <v>8.1</v>
      </c>
      <c r="K447" s="6">
        <f>IF('Service Types'!K715="","",'Service Types'!K715)</f>
        <v>15</v>
      </c>
      <c r="L447" s="4" t="str">
        <f>IF('Service Types'!Q715="","",'Service Types'!Q715)</f>
        <v>Non-crew</v>
      </c>
    </row>
    <row r="448" spans="1:12" x14ac:dyDescent="0.45">
      <c r="A448" s="14">
        <v>447</v>
      </c>
      <c r="B448" s="4" t="s">
        <v>903</v>
      </c>
      <c r="C448" s="4" t="str">
        <f>IF('Service Types'!B716="","",'Service Types'!B716)</f>
        <v>PICS - Information Technology</v>
      </c>
      <c r="D448" s="5">
        <f>IF('Service Types'!E716="","",'Service Types'!E716)</f>
        <v>2</v>
      </c>
      <c r="E448" s="5">
        <f>IF('Service Types'!D716="","",'Service Types'!D716)</f>
        <v>4</v>
      </c>
      <c r="F448" s="5">
        <f>IF('Service Types'!F716="","",'Service Types'!F716)</f>
        <v>0</v>
      </c>
      <c r="G448" s="5">
        <f>IF('Service Types'!G716="","",'Service Types'!G716)</f>
        <v>0</v>
      </c>
      <c r="H448" s="5">
        <f>IF('Service Types'!H716="","",'Service Types'!H716)</f>
        <v>4</v>
      </c>
      <c r="I448" s="6">
        <f>IF('Service Types'!I716="","",'Service Types'!I716)</f>
        <v>1</v>
      </c>
      <c r="J448" s="6">
        <f>IF('Service Types'!J716="","",'Service Types'!J716)</f>
        <v>1</v>
      </c>
      <c r="K448" s="6">
        <f>IF('Service Types'!K716="","",'Service Types'!K716)</f>
        <v>2</v>
      </c>
      <c r="L448" s="4" t="str">
        <f>IF('Service Types'!Q716="","",'Service Types'!Q716)</f>
        <v>Non-crew</v>
      </c>
    </row>
    <row r="449" spans="1:12" x14ac:dyDescent="0.45">
      <c r="A449" s="14">
        <v>448</v>
      </c>
      <c r="B449" s="4" t="s">
        <v>798</v>
      </c>
      <c r="C449" s="4" t="str">
        <f>IF('Service Types'!B621="","",'Service Types'!B621)</f>
        <v>PDS - Climate and Environment</v>
      </c>
      <c r="D449" s="5">
        <f>IF('Service Types'!E621="","",'Service Types'!E621)</f>
        <v>2</v>
      </c>
      <c r="E449" s="5">
        <f>IF('Service Types'!D621="","",'Service Types'!D621)</f>
        <v>3</v>
      </c>
      <c r="F449" s="5">
        <f>IF('Service Types'!F621="","",'Service Types'!F621)</f>
        <v>0</v>
      </c>
      <c r="G449" s="5">
        <f>IF('Service Types'!G621="","",'Service Types'!G621)</f>
        <v>0</v>
      </c>
      <c r="H449" s="5">
        <f>IF('Service Types'!H621="","",'Service Types'!H621)</f>
        <v>3</v>
      </c>
      <c r="I449" s="6">
        <f>IF('Service Types'!I621="","",'Service Types'!I621)</f>
        <v>4</v>
      </c>
      <c r="J449" s="6">
        <f>IF('Service Types'!J621="","",'Service Types'!J621)</f>
        <v>4</v>
      </c>
      <c r="K449" s="6">
        <f>IF('Service Types'!K621="","",'Service Types'!K621)</f>
        <v>5</v>
      </c>
      <c r="L449" s="4" t="str">
        <f>IF('Service Types'!Q621="","",'Service Types'!Q621)</f>
        <v>Non-crew</v>
      </c>
    </row>
    <row r="450" spans="1:12" x14ac:dyDescent="0.45">
      <c r="A450" s="14">
        <v>449</v>
      </c>
      <c r="B450" s="4" t="s">
        <v>904</v>
      </c>
      <c r="C450" s="4" t="str">
        <f>IF('Service Types'!B717="","",'Service Types'!B717)</f>
        <v>PICS - Information Technology</v>
      </c>
      <c r="D450" s="5">
        <f>IF('Service Types'!E717="","",'Service Types'!E717)</f>
        <v>2</v>
      </c>
      <c r="E450" s="5">
        <f>IF('Service Types'!D717="","",'Service Types'!D717)</f>
        <v>3</v>
      </c>
      <c r="F450" s="5">
        <f>IF('Service Types'!F717="","",'Service Types'!F717)</f>
        <v>1</v>
      </c>
      <c r="G450" s="5">
        <f>IF('Service Types'!G717="","",'Service Types'!G717)</f>
        <v>0</v>
      </c>
      <c r="H450" s="5">
        <f>IF('Service Types'!H717="","",'Service Types'!H717)</f>
        <v>2</v>
      </c>
      <c r="I450" s="6">
        <f>IF('Service Types'!I717="","",'Service Types'!I717)</f>
        <v>10</v>
      </c>
      <c r="J450" s="6">
        <f>IF('Service Types'!J717="","",'Service Types'!J717)</f>
        <v>10</v>
      </c>
      <c r="K450" s="6">
        <f>IF('Service Types'!K717="","",'Service Types'!K717)</f>
        <v>14</v>
      </c>
      <c r="L450" s="4" t="str">
        <f>IF('Service Types'!Q717="","",'Service Types'!Q717)</f>
        <v>Non-crew</v>
      </c>
    </row>
    <row r="451" spans="1:12" x14ac:dyDescent="0.45">
      <c r="A451" s="14">
        <v>450</v>
      </c>
      <c r="B451" s="4" t="s">
        <v>282</v>
      </c>
      <c r="C451" s="4" t="str">
        <f>IF('Service Types'!B202="","",'Service Types'!B202)</f>
        <v>CS - Emergency Management and Community Safety</v>
      </c>
      <c r="D451" s="5">
        <f>IF('Service Types'!E202="","",'Service Types'!E202)</f>
        <v>2</v>
      </c>
      <c r="E451" s="5">
        <f>IF('Service Types'!D202="","",'Service Types'!D202)</f>
        <v>2</v>
      </c>
      <c r="F451" s="5">
        <f>IF('Service Types'!F202="","",'Service Types'!F202)</f>
        <v>2</v>
      </c>
      <c r="G451" s="5">
        <f>IF('Service Types'!G202="","",'Service Types'!G202)</f>
        <v>0</v>
      </c>
      <c r="H451" s="5">
        <f>IF('Service Types'!H202="","",'Service Types'!H202)</f>
        <v>0</v>
      </c>
      <c r="I451" s="6" t="str">
        <f>IF('Service Types'!I202="","",'Service Types'!I202)</f>
        <v/>
      </c>
      <c r="J451" s="6" t="str">
        <f>IF('Service Types'!J202="","",'Service Types'!J202)</f>
        <v/>
      </c>
      <c r="K451" s="6" t="str">
        <f>IF('Service Types'!K202="","",'Service Types'!K202)</f>
        <v/>
      </c>
      <c r="L451" s="4" t="str">
        <f>IF('Service Types'!Q202="","",'Service Types'!Q202)</f>
        <v>Non-crew</v>
      </c>
    </row>
    <row r="452" spans="1:12" x14ac:dyDescent="0.45">
      <c r="A452" s="14">
        <v>451</v>
      </c>
      <c r="B452" s="4" t="s">
        <v>872</v>
      </c>
      <c r="C452" s="4" t="str">
        <f>IF('Service Types'!B690="","",'Service Types'!B690)</f>
        <v>PDS - Environmental Risk &amp; Resilience</v>
      </c>
      <c r="D452" s="5">
        <f>IF('Service Types'!E690="","",'Service Types'!E690)</f>
        <v>2</v>
      </c>
      <c r="E452" s="5">
        <f>IF('Service Types'!D690="","",'Service Types'!D690)</f>
        <v>2</v>
      </c>
      <c r="F452" s="5">
        <f>IF('Service Types'!F690="","",'Service Types'!F690)</f>
        <v>0</v>
      </c>
      <c r="G452" s="5">
        <f>IF('Service Types'!G690="","",'Service Types'!G690)</f>
        <v>0</v>
      </c>
      <c r="H452" s="5">
        <f>IF('Service Types'!H690="","",'Service Types'!H690)</f>
        <v>2</v>
      </c>
      <c r="I452" s="6">
        <f>IF('Service Types'!I690="","",'Service Types'!I690)</f>
        <v>6.5</v>
      </c>
      <c r="J452" s="6">
        <f>IF('Service Types'!J690="","",'Service Types'!J690)</f>
        <v>6.5</v>
      </c>
      <c r="K452" s="6">
        <f>IF('Service Types'!K690="","",'Service Types'!K690)</f>
        <v>8</v>
      </c>
      <c r="L452" s="4" t="str">
        <f>IF('Service Types'!Q690="","",'Service Types'!Q690)</f>
        <v>Non-crew</v>
      </c>
    </row>
    <row r="453" spans="1:12" x14ac:dyDescent="0.45">
      <c r="A453" s="14">
        <v>452</v>
      </c>
      <c r="B453" s="4" t="s">
        <v>392</v>
      </c>
      <c r="C453" s="4" t="str">
        <f>IF('Service Types'!B295="","",'Service Types'!B295)</f>
        <v>IS - Project Development</v>
      </c>
      <c r="D453" s="5">
        <f>IF('Service Types'!E295="","",'Service Types'!E295)</f>
        <v>2</v>
      </c>
      <c r="E453" s="5">
        <f>IF('Service Types'!D295="","",'Service Types'!D295)</f>
        <v>2</v>
      </c>
      <c r="F453" s="5">
        <f>IF('Service Types'!F295="","",'Service Types'!F295)</f>
        <v>0</v>
      </c>
      <c r="G453" s="5">
        <f>IF('Service Types'!G295="","",'Service Types'!G295)</f>
        <v>0</v>
      </c>
      <c r="H453" s="5">
        <f>IF('Service Types'!H295="","",'Service Types'!H295)</f>
        <v>2</v>
      </c>
      <c r="I453" s="6">
        <f>IF('Service Types'!I295="","",'Service Types'!I295)</f>
        <v>19.5</v>
      </c>
      <c r="J453" s="6">
        <f>IF('Service Types'!J295="","",'Service Types'!J295)</f>
        <v>19.5</v>
      </c>
      <c r="K453" s="6">
        <f>IF('Service Types'!K295="","",'Service Types'!K295)</f>
        <v>26</v>
      </c>
      <c r="L453" s="4" t="str">
        <f>IF('Service Types'!Q295="","",'Service Types'!Q295)</f>
        <v>Non-crew</v>
      </c>
    </row>
    <row r="454" spans="1:12" x14ac:dyDescent="0.45">
      <c r="A454" s="14">
        <v>453</v>
      </c>
      <c r="B454" s="4" t="s">
        <v>294</v>
      </c>
      <c r="C454" s="4" t="str">
        <f>IF('Service Types'!B211="","",'Service Types'!B211)</f>
        <v>CS - Partnerships</v>
      </c>
      <c r="D454" s="5">
        <f>IF('Service Types'!E211="","",'Service Types'!E211)</f>
        <v>1</v>
      </c>
      <c r="E454" s="5">
        <f>IF('Service Types'!D211="","",'Service Types'!D211)</f>
        <v>52</v>
      </c>
      <c r="F454" s="5">
        <f>IF('Service Types'!F211="","",'Service Types'!F211)</f>
        <v>0</v>
      </c>
      <c r="G454" s="5">
        <f>IF('Service Types'!G211="","",'Service Types'!G211)</f>
        <v>0</v>
      </c>
      <c r="H454" s="5">
        <f>IF('Service Types'!H211="","",'Service Types'!H211)</f>
        <v>52</v>
      </c>
      <c r="I454" s="6">
        <f>IF('Service Types'!I211="","",'Service Types'!I211)</f>
        <v>5</v>
      </c>
      <c r="J454" s="6">
        <f>IF('Service Types'!J211="","",'Service Types'!J211)</f>
        <v>8.6</v>
      </c>
      <c r="K454" s="6">
        <f>IF('Service Types'!K211="","",'Service Types'!K211)</f>
        <v>20</v>
      </c>
      <c r="L454" s="4" t="str">
        <f>IF('Service Types'!Q211="","",'Service Types'!Q211)</f>
        <v>Non-crew</v>
      </c>
    </row>
    <row r="455" spans="1:12" x14ac:dyDescent="0.45">
      <c r="A455" s="14">
        <v>454</v>
      </c>
      <c r="B455" s="4" t="s">
        <v>567</v>
      </c>
      <c r="C455" s="4" t="str">
        <f>IF('Service Types'!B435="","",'Service Types'!B435)</f>
        <v>OS - Mobility</v>
      </c>
      <c r="D455" s="5">
        <f>IF('Service Types'!E435="","",'Service Types'!E435)</f>
        <v>1</v>
      </c>
      <c r="E455" s="5">
        <f>IF('Service Types'!D435="","",'Service Types'!D435)</f>
        <v>14</v>
      </c>
      <c r="F455" s="5">
        <f>IF('Service Types'!F435="","",'Service Types'!F435)</f>
        <v>1</v>
      </c>
      <c r="G455" s="5">
        <f>IF('Service Types'!G435="","",'Service Types'!G435)</f>
        <v>0</v>
      </c>
      <c r="H455" s="5">
        <f>IF('Service Types'!H435="","",'Service Types'!H435)</f>
        <v>13</v>
      </c>
      <c r="I455" s="6">
        <f>IF('Service Types'!I435="","",'Service Types'!I435)</f>
        <v>1</v>
      </c>
      <c r="J455" s="6">
        <f>IF('Service Types'!J435="","",'Service Types'!J435)</f>
        <v>2.4</v>
      </c>
      <c r="K455" s="6">
        <f>IF('Service Types'!K435="","",'Service Types'!K435)</f>
        <v>4</v>
      </c>
      <c r="L455" s="4" t="str">
        <f>IF('Service Types'!Q435="","",'Service Types'!Q435)</f>
        <v>Non-crew</v>
      </c>
    </row>
    <row r="456" spans="1:12" x14ac:dyDescent="0.45">
      <c r="A456" s="14">
        <v>455</v>
      </c>
      <c r="B456" s="4" t="s">
        <v>806</v>
      </c>
      <c r="C456" s="4" t="str">
        <f>IF('Service Types'!B628="","",'Service Types'!B628)</f>
        <v>PDS - Community Planning</v>
      </c>
      <c r="D456" s="5">
        <f>IF('Service Types'!E628="","",'Service Types'!E628)</f>
        <v>1</v>
      </c>
      <c r="E456" s="5">
        <f>IF('Service Types'!D628="","",'Service Types'!D628)</f>
        <v>11</v>
      </c>
      <c r="F456" s="5">
        <f>IF('Service Types'!F628="","",'Service Types'!F628)</f>
        <v>1</v>
      </c>
      <c r="G456" s="5">
        <f>IF('Service Types'!G628="","",'Service Types'!G628)</f>
        <v>0</v>
      </c>
      <c r="H456" s="5">
        <f>IF('Service Types'!H628="","",'Service Types'!H628)</f>
        <v>10</v>
      </c>
      <c r="I456" s="6">
        <f>IF('Service Types'!I628="","",'Service Types'!I628)</f>
        <v>24</v>
      </c>
      <c r="J456" s="6">
        <f>IF('Service Types'!J628="","",'Service Types'!J628)</f>
        <v>31.1</v>
      </c>
      <c r="K456" s="6">
        <f>IF('Service Types'!K628="","",'Service Types'!K628)</f>
        <v>65</v>
      </c>
      <c r="L456" s="4" t="str">
        <f>IF('Service Types'!Q628="","",'Service Types'!Q628)</f>
        <v>Non-crew</v>
      </c>
    </row>
    <row r="457" spans="1:12" x14ac:dyDescent="0.45">
      <c r="A457" s="14">
        <v>456</v>
      </c>
      <c r="B457" s="4" t="s">
        <v>365</v>
      </c>
      <c r="C457" s="4" t="str">
        <f>IF('Service Types'!B275="","",'Service Types'!B275)</f>
        <v>Elected Officials</v>
      </c>
      <c r="D457" s="5">
        <f>IF('Service Types'!E275="","",'Service Types'!E275)</f>
        <v>1</v>
      </c>
      <c r="E457" s="5">
        <f>IF('Service Types'!D275="","",'Service Types'!D275)</f>
        <v>7</v>
      </c>
      <c r="F457" s="5">
        <f>IF('Service Types'!F275="","",'Service Types'!F275)</f>
        <v>0</v>
      </c>
      <c r="G457" s="5">
        <f>IF('Service Types'!G275="","",'Service Types'!G275)</f>
        <v>0</v>
      </c>
      <c r="H457" s="5">
        <f>IF('Service Types'!H275="","",'Service Types'!H275)</f>
        <v>7</v>
      </c>
      <c r="I457" s="6">
        <f>IF('Service Types'!I275="","",'Service Types'!I275)</f>
        <v>0</v>
      </c>
      <c r="J457" s="6">
        <f>IF('Service Types'!J275="","",'Service Types'!J275)</f>
        <v>0.1</v>
      </c>
      <c r="K457" s="6">
        <f>IF('Service Types'!K275="","",'Service Types'!K275)</f>
        <v>0</v>
      </c>
      <c r="L457" s="4" t="str">
        <f>IF('Service Types'!Q275="","",'Service Types'!Q275)</f>
        <v>Non-crew</v>
      </c>
    </row>
  </sheetData>
  <autoFilter ref="A1:L457" xr:uid="{00000000-0009-0000-0000-000001000000}"/>
  <conditionalFormatting sqref="L2:L457">
    <cfRule type="expression" dxfId="4" priority="2">
      <formula>$L2="Crew"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83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2" sqref="F2"/>
    </sheetView>
  </sheetViews>
  <sheetFormatPr defaultColWidth="8.6640625" defaultRowHeight="14.25" x14ac:dyDescent="0.45"/>
  <cols>
    <col min="1" max="1" width="6" customWidth="1"/>
    <col min="2" max="2" width="52" customWidth="1"/>
    <col min="3" max="3" width="40" customWidth="1"/>
    <col min="4" max="5" width="10" customWidth="1"/>
    <col min="6" max="6" width="10.59765625" bestFit="1" customWidth="1"/>
    <col min="7" max="7" width="17.9296875" bestFit="1" customWidth="1"/>
    <col min="8" max="8" width="20.86328125" bestFit="1" customWidth="1"/>
    <col min="9" max="9" width="22.1328125" bestFit="1" customWidth="1"/>
    <col min="10" max="11" width="10" customWidth="1"/>
    <col min="12" max="12" width="26" customWidth="1"/>
    <col min="13" max="13" width="11" customWidth="1"/>
    <col min="14" max="14" width="70" customWidth="1"/>
    <col min="16" max="16" width="12" customWidth="1"/>
  </cols>
  <sheetData>
    <row r="1" spans="1:16" ht="30" customHeight="1" x14ac:dyDescent="0.45">
      <c r="A1" s="1" t="s">
        <v>941</v>
      </c>
      <c r="B1" s="1" t="s">
        <v>0</v>
      </c>
      <c r="C1" s="1" t="s">
        <v>1</v>
      </c>
      <c r="D1" s="1" t="s">
        <v>4</v>
      </c>
      <c r="E1" s="1" t="s">
        <v>3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17</v>
      </c>
      <c r="M1" s="2" t="s">
        <v>18</v>
      </c>
      <c r="N1" s="2" t="s">
        <v>19</v>
      </c>
      <c r="P1" s="3" t="s">
        <v>41</v>
      </c>
    </row>
    <row r="2" spans="1:16" x14ac:dyDescent="0.45">
      <c r="A2" s="14">
        <v>1</v>
      </c>
      <c r="B2" s="4" t="s">
        <v>647</v>
      </c>
      <c r="C2" s="4" t="str">
        <f>IF('Service Types'!B502="","",'Service Types'!B502)</f>
        <v>OS - Waste and Recycling Services</v>
      </c>
      <c r="D2" s="5">
        <f>IF('Service Types'!E502="","",'Service Types'!E502)</f>
        <v>23454</v>
      </c>
      <c r="E2" s="5">
        <f>IF('Service Types'!D502="","",'Service Types'!D502)</f>
        <v>102428</v>
      </c>
      <c r="F2" s="5">
        <f>IF('Service Types'!F502="","",'Service Types'!F502)</f>
        <v>140</v>
      </c>
      <c r="G2" s="5">
        <f>IF('Service Types'!G502="","",'Service Types'!G502)</f>
        <v>0</v>
      </c>
      <c r="H2" s="5">
        <f>IF('Service Types'!H502="","",'Service Types'!H502)</f>
        <v>102288</v>
      </c>
      <c r="I2" s="6">
        <f>IF('Service Types'!I502="","",'Service Types'!I502)</f>
        <v>3</v>
      </c>
      <c r="J2" s="6">
        <f>IF('Service Types'!J502="","",'Service Types'!J502)</f>
        <v>4.3</v>
      </c>
      <c r="K2" s="6">
        <f>IF('Service Types'!K502="","",'Service Types'!K502)</f>
        <v>8</v>
      </c>
      <c r="L2" s="4" t="str">
        <f>IF('Service Types'!R502="","",'Service Types'!R502)</f>
        <v>Waste collection</v>
      </c>
      <c r="M2" s="4" t="str">
        <f>IF('Service Types'!S502="","",'Service Types'!S502)</f>
        <v>Clear</v>
      </c>
      <c r="N2" s="4" t="str">
        <f>IF('Service Types'!T502="","",'Service Types'!T502)</f>
        <v>Collection crew work: missed pickups, carts, special or commercial collection.</v>
      </c>
      <c r="P2" s="4" t="s">
        <v>944</v>
      </c>
    </row>
    <row r="3" spans="1:16" x14ac:dyDescent="0.45">
      <c r="A3" s="14">
        <v>2</v>
      </c>
      <c r="B3" s="4" t="s">
        <v>574</v>
      </c>
      <c r="C3" s="4" t="str">
        <f>IF('Service Types'!B441="","",'Service Types'!B441)</f>
        <v>OS - Parks and Open Spaces</v>
      </c>
      <c r="D3" s="5">
        <f>IF('Service Types'!E441="","",'Service Types'!E441)</f>
        <v>12952</v>
      </c>
      <c r="E3" s="5">
        <f>IF('Service Types'!D441="","",'Service Types'!D441)</f>
        <v>42457</v>
      </c>
      <c r="F3" s="5">
        <f>IF('Service Types'!F441="","",'Service Types'!F441)</f>
        <v>1192</v>
      </c>
      <c r="G3" s="5">
        <f>IF('Service Types'!G441="","",'Service Types'!G441)</f>
        <v>471</v>
      </c>
      <c r="H3" s="5">
        <f>IF('Service Types'!H441="","",'Service Types'!H441)</f>
        <v>41265</v>
      </c>
      <c r="I3" s="6">
        <f>IF('Service Types'!I441="","",'Service Types'!I441)</f>
        <v>7</v>
      </c>
      <c r="J3" s="6">
        <f>IF('Service Types'!J441="","",'Service Types'!J441)</f>
        <v>16.600000000000001</v>
      </c>
      <c r="K3" s="6">
        <f>IF('Service Types'!K441="","",'Service Types'!K441)</f>
        <v>39</v>
      </c>
      <c r="L3" s="4" t="str">
        <f>IF('Service Types'!R441="","",'Service Types'!R441)</f>
        <v>Parks &amp; trees</v>
      </c>
      <c r="M3" s="4" t="str">
        <f>IF('Service Types'!S441="","",'Service Types'!S441)</f>
        <v>Clear</v>
      </c>
      <c r="N3" s="4" t="str">
        <f>IF('Service Types'!T441="","",'Service Types'!T441)</f>
        <v>Parks crew does hands-on work: trees, mowing, park repairs or upkeep.</v>
      </c>
      <c r="P3" s="4" t="s">
        <v>943</v>
      </c>
    </row>
    <row r="4" spans="1:16" x14ac:dyDescent="0.45">
      <c r="A4" s="14">
        <v>3</v>
      </c>
      <c r="B4" s="4" t="s">
        <v>191</v>
      </c>
      <c r="C4" s="4" t="str">
        <f>IF('Service Types'!B124="","",'Service Types'!B124)</f>
        <v>CS - Emergency Management and Community Safety</v>
      </c>
      <c r="D4" s="5">
        <f>IF('Service Types'!E124="","",'Service Types'!E124)</f>
        <v>11071</v>
      </c>
      <c r="E4" s="5">
        <f>IF('Service Types'!D124="","",'Service Types'!D124)</f>
        <v>44141</v>
      </c>
      <c r="F4" s="5">
        <f>IF('Service Types'!F124="","",'Service Types'!F124)</f>
        <v>617</v>
      </c>
      <c r="G4" s="5">
        <f>IF('Service Types'!G124="","",'Service Types'!G124)</f>
        <v>293</v>
      </c>
      <c r="H4" s="5">
        <f>IF('Service Types'!H124="","",'Service Types'!H124)</f>
        <v>43523</v>
      </c>
      <c r="I4" s="6">
        <f>IF('Service Types'!I124="","",'Service Types'!I124)</f>
        <v>8</v>
      </c>
      <c r="J4" s="6">
        <f>IF('Service Types'!J124="","",'Service Types'!J124)</f>
        <v>13.5</v>
      </c>
      <c r="K4" s="6">
        <f>IF('Service Types'!K124="","",'Service Types'!K124)</f>
        <v>23</v>
      </c>
      <c r="L4" s="4" t="str">
        <f>IF('Service Types'!R124="","",'Service Types'!R124)</f>
        <v>Cleaning &amp; removal</v>
      </c>
      <c r="M4" s="4" t="str">
        <f>IF('Service Types'!S124="","",'Service Types'!S124)</f>
        <v>Clear</v>
      </c>
      <c r="N4" s="4" t="str">
        <f>IF('Service Types'!T124="","",'Service Types'!T124)</f>
        <v>A crew physically cleans up or removes something from public property.</v>
      </c>
      <c r="P4" s="4" t="s">
        <v>945</v>
      </c>
    </row>
    <row r="5" spans="1:16" x14ac:dyDescent="0.45">
      <c r="A5" s="14">
        <v>4</v>
      </c>
      <c r="B5" s="4" t="s">
        <v>652</v>
      </c>
      <c r="C5" s="4" t="str">
        <f>IF('Service Types'!B504="","",'Service Types'!B504)</f>
        <v>OS - Waste and Recycling Services</v>
      </c>
      <c r="D5" s="5">
        <f>IF('Service Types'!E504="","",'Service Types'!E504)</f>
        <v>9327</v>
      </c>
      <c r="E5" s="5">
        <f>IF('Service Types'!D504="","",'Service Types'!D504)</f>
        <v>36309</v>
      </c>
      <c r="F5" s="5">
        <f>IF('Service Types'!F504="","",'Service Types'!F504)</f>
        <v>44</v>
      </c>
      <c r="G5" s="5">
        <f>IF('Service Types'!G504="","",'Service Types'!G504)</f>
        <v>0</v>
      </c>
      <c r="H5" s="5">
        <f>IF('Service Types'!H504="","",'Service Types'!H504)</f>
        <v>36265</v>
      </c>
      <c r="I5" s="6">
        <f>IF('Service Types'!I504="","",'Service Types'!I504)</f>
        <v>1</v>
      </c>
      <c r="J5" s="6">
        <f>IF('Service Types'!J504="","",'Service Types'!J504)</f>
        <v>1.6</v>
      </c>
      <c r="K5" s="6">
        <f>IF('Service Types'!K504="","",'Service Types'!K504)</f>
        <v>4</v>
      </c>
      <c r="L5" s="4" t="str">
        <f>IF('Service Types'!R504="","",'Service Types'!R504)</f>
        <v>Waste collection</v>
      </c>
      <c r="M5" s="4" t="str">
        <f>IF('Service Types'!S504="","",'Service Types'!S504)</f>
        <v>Clear</v>
      </c>
      <c r="N5" s="4" t="str">
        <f>IF('Service Types'!T504="","",'Service Types'!T504)</f>
        <v>Collection crew work: missed pickups, carts, special or commercial collection.</v>
      </c>
    </row>
    <row r="6" spans="1:16" x14ac:dyDescent="0.45">
      <c r="A6" s="14">
        <v>5</v>
      </c>
      <c r="B6" s="4" t="s">
        <v>651</v>
      </c>
      <c r="C6" s="4" t="str">
        <f>IF('Service Types'!B503="","",'Service Types'!B503)</f>
        <v>OS - Waste and Recycling Services</v>
      </c>
      <c r="D6" s="5">
        <f>IF('Service Types'!E503="","",'Service Types'!E503)</f>
        <v>9256</v>
      </c>
      <c r="E6" s="5">
        <f>IF('Service Types'!D503="","",'Service Types'!D503)</f>
        <v>36710</v>
      </c>
      <c r="F6" s="5">
        <f>IF('Service Types'!F503="","",'Service Types'!F503)</f>
        <v>38</v>
      </c>
      <c r="G6" s="5">
        <f>IF('Service Types'!G503="","",'Service Types'!G503)</f>
        <v>0</v>
      </c>
      <c r="H6" s="5">
        <f>IF('Service Types'!H503="","",'Service Types'!H503)</f>
        <v>36672</v>
      </c>
      <c r="I6" s="6">
        <f>IF('Service Types'!I503="","",'Service Types'!I503)</f>
        <v>1</v>
      </c>
      <c r="J6" s="6">
        <f>IF('Service Types'!J503="","",'Service Types'!J503)</f>
        <v>1.6</v>
      </c>
      <c r="K6" s="6">
        <f>IF('Service Types'!K503="","",'Service Types'!K503)</f>
        <v>4</v>
      </c>
      <c r="L6" s="4" t="str">
        <f>IF('Service Types'!R503="","",'Service Types'!R503)</f>
        <v>Waste collection</v>
      </c>
      <c r="M6" s="4" t="str">
        <f>IF('Service Types'!S503="","",'Service Types'!S503)</f>
        <v>Clear</v>
      </c>
      <c r="N6" s="4" t="str">
        <f>IF('Service Types'!T503="","",'Service Types'!T503)</f>
        <v>Collection crew work: missed pickups, carts, special or commercial collection.</v>
      </c>
    </row>
    <row r="7" spans="1:16" x14ac:dyDescent="0.45">
      <c r="A7" s="14">
        <v>6</v>
      </c>
      <c r="B7" s="4" t="s">
        <v>491</v>
      </c>
      <c r="C7" s="4" t="str">
        <f>IF('Service Types'!B370="","",'Service Types'!B370)</f>
        <v>OS - Mobility</v>
      </c>
      <c r="D7" s="5">
        <f>IF('Service Types'!E370="","",'Service Types'!E370)</f>
        <v>7889</v>
      </c>
      <c r="E7" s="5">
        <f>IF('Service Types'!D370="","",'Service Types'!D370)</f>
        <v>34790</v>
      </c>
      <c r="F7" s="5">
        <f>IF('Service Types'!F370="","",'Service Types'!F370)</f>
        <v>990</v>
      </c>
      <c r="G7" s="5">
        <f>IF('Service Types'!G370="","",'Service Types'!G370)</f>
        <v>924</v>
      </c>
      <c r="H7" s="5">
        <f>IF('Service Types'!H370="","",'Service Types'!H370)</f>
        <v>30396</v>
      </c>
      <c r="I7" s="6">
        <f>IF('Service Types'!I370="","",'Service Types'!I370)</f>
        <v>1</v>
      </c>
      <c r="J7" s="6">
        <f>IF('Service Types'!J370="","",'Service Types'!J370)</f>
        <v>5.9</v>
      </c>
      <c r="K7" s="6">
        <f>IF('Service Types'!K370="","",'Service Types'!K370)</f>
        <v>6</v>
      </c>
      <c r="L7" s="4" t="str">
        <f>IF('Service Types'!R370="","",'Service Types'!R370)</f>
        <v>Road &amp; structure repair</v>
      </c>
      <c r="M7" s="4" t="str">
        <f>IF('Service Types'!S370="","",'Service Types'!S370)</f>
        <v>Clear</v>
      </c>
      <c r="N7" s="4" t="str">
        <f>IF('Service Types'!T370="","",'Service Types'!T370)</f>
        <v>A crew physically repairs a road, sidewalk, lane, pathway or structure.</v>
      </c>
    </row>
    <row r="8" spans="1:16" x14ac:dyDescent="0.45">
      <c r="A8" s="14">
        <v>7</v>
      </c>
      <c r="B8" s="4" t="s">
        <v>653</v>
      </c>
      <c r="C8" s="4" t="str">
        <f>IF('Service Types'!B505="","",'Service Types'!B505)</f>
        <v>OS - Waste and Recycling Services</v>
      </c>
      <c r="D8" s="5">
        <f>IF('Service Types'!E505="","",'Service Types'!E505)</f>
        <v>6896</v>
      </c>
      <c r="E8" s="5">
        <f>IF('Service Types'!D505="","",'Service Types'!D505)</f>
        <v>33263</v>
      </c>
      <c r="F8" s="5">
        <f>IF('Service Types'!F505="","",'Service Types'!F505)</f>
        <v>37</v>
      </c>
      <c r="G8" s="5">
        <f>IF('Service Types'!G505="","",'Service Types'!G505)</f>
        <v>0</v>
      </c>
      <c r="H8" s="5">
        <f>IF('Service Types'!H505="","",'Service Types'!H505)</f>
        <v>33226</v>
      </c>
      <c r="I8" s="6">
        <f>IF('Service Types'!I505="","",'Service Types'!I505)</f>
        <v>1</v>
      </c>
      <c r="J8" s="6">
        <f>IF('Service Types'!J505="","",'Service Types'!J505)</f>
        <v>1.5</v>
      </c>
      <c r="K8" s="6">
        <f>IF('Service Types'!K505="","",'Service Types'!K505)</f>
        <v>4</v>
      </c>
      <c r="L8" s="4" t="str">
        <f>IF('Service Types'!R505="","",'Service Types'!R505)</f>
        <v>Waste collection</v>
      </c>
      <c r="M8" s="4" t="str">
        <f>IF('Service Types'!S505="","",'Service Types'!S505)</f>
        <v>Clear</v>
      </c>
      <c r="N8" s="4" t="str">
        <f>IF('Service Types'!T505="","",'Service Types'!T505)</f>
        <v>Collection crew work: missed pickups, carts, special or commercial collection.</v>
      </c>
    </row>
    <row r="9" spans="1:16" x14ac:dyDescent="0.45">
      <c r="A9" s="14">
        <v>8</v>
      </c>
      <c r="B9" s="4" t="s">
        <v>654</v>
      </c>
      <c r="C9" s="4" t="str">
        <f>IF('Service Types'!B506="","",'Service Types'!B506)</f>
        <v>OS - Waste and Recycling Services</v>
      </c>
      <c r="D9" s="5">
        <f>IF('Service Types'!E506="","",'Service Types'!E506)</f>
        <v>6165</v>
      </c>
      <c r="E9" s="5">
        <f>IF('Service Types'!D506="","",'Service Types'!D506)</f>
        <v>30520</v>
      </c>
      <c r="F9" s="5">
        <f>IF('Service Types'!F506="","",'Service Types'!F506)</f>
        <v>55</v>
      </c>
      <c r="G9" s="5">
        <f>IF('Service Types'!G506="","",'Service Types'!G506)</f>
        <v>0</v>
      </c>
      <c r="H9" s="5">
        <f>IF('Service Types'!H506="","",'Service Types'!H506)</f>
        <v>30465</v>
      </c>
      <c r="I9" s="6">
        <f>IF('Service Types'!I506="","",'Service Types'!I506)</f>
        <v>4</v>
      </c>
      <c r="J9" s="6">
        <f>IF('Service Types'!J506="","",'Service Types'!J506)</f>
        <v>5</v>
      </c>
      <c r="K9" s="6">
        <f>IF('Service Types'!K506="","",'Service Types'!K506)</f>
        <v>11</v>
      </c>
      <c r="L9" s="4" t="str">
        <f>IF('Service Types'!R506="","",'Service Types'!R506)</f>
        <v>Waste collection</v>
      </c>
      <c r="M9" s="4" t="str">
        <f>IF('Service Types'!S506="","",'Service Types'!S506)</f>
        <v>Clear</v>
      </c>
      <c r="N9" s="4" t="str">
        <f>IF('Service Types'!T506="","",'Service Types'!T506)</f>
        <v>Collection crew work: missed pickups, carts, special or commercial collection.</v>
      </c>
    </row>
    <row r="10" spans="1:16" x14ac:dyDescent="0.45">
      <c r="A10" s="14">
        <v>9</v>
      </c>
      <c r="B10" s="4" t="s">
        <v>494</v>
      </c>
      <c r="C10" s="4" t="str">
        <f>IF('Service Types'!B372="","",'Service Types'!B372)</f>
        <v>OS - Mobility</v>
      </c>
      <c r="D10" s="5">
        <f>IF('Service Types'!E372="","",'Service Types'!E372)</f>
        <v>6096</v>
      </c>
      <c r="E10" s="5">
        <f>IF('Service Types'!D372="","",'Service Types'!D372)</f>
        <v>24787</v>
      </c>
      <c r="F10" s="5">
        <f>IF('Service Types'!F372="","",'Service Types'!F372)</f>
        <v>1454</v>
      </c>
      <c r="G10" s="5">
        <f>IF('Service Types'!G372="","",'Service Types'!G372)</f>
        <v>1262</v>
      </c>
      <c r="H10" s="5">
        <f>IF('Service Types'!H372="","",'Service Types'!H372)</f>
        <v>22427</v>
      </c>
      <c r="I10" s="6">
        <f>IF('Service Types'!I372="","",'Service Types'!I372)</f>
        <v>1</v>
      </c>
      <c r="J10" s="6">
        <f>IF('Service Types'!J372="","",'Service Types'!J372)</f>
        <v>13.3</v>
      </c>
      <c r="K10" s="6">
        <f>IF('Service Types'!K372="","",'Service Types'!K372)</f>
        <v>24</v>
      </c>
      <c r="L10" s="4" t="str">
        <f>IF('Service Types'!R372="","",'Service Types'!R372)</f>
        <v>Cleaning &amp; removal</v>
      </c>
      <c r="M10" s="4" t="str">
        <f>IF('Service Types'!S372="","",'Service Types'!S372)</f>
        <v>Clear</v>
      </c>
      <c r="N10" s="4" t="str">
        <f>IF('Service Types'!T372="","",'Service Types'!T372)</f>
        <v>A crew physically cleans up or removes something from public property.</v>
      </c>
    </row>
    <row r="11" spans="1:16" x14ac:dyDescent="0.45">
      <c r="A11" s="14">
        <v>10</v>
      </c>
      <c r="B11" s="4" t="s">
        <v>199</v>
      </c>
      <c r="C11" s="4" t="str">
        <f>IF('Service Types'!B127="","",'Service Types'!B127)</f>
        <v>CS - Emergency Management and Community Safety</v>
      </c>
      <c r="D11" s="5">
        <f>IF('Service Types'!E127="","",'Service Types'!E127)</f>
        <v>5404</v>
      </c>
      <c r="E11" s="5">
        <f>IF('Service Types'!D127="","",'Service Types'!D127)</f>
        <v>29665</v>
      </c>
      <c r="F11" s="5">
        <f>IF('Service Types'!F127="","",'Service Types'!F127)</f>
        <v>388</v>
      </c>
      <c r="G11" s="5">
        <f>IF('Service Types'!G127="","",'Service Types'!G127)</f>
        <v>165</v>
      </c>
      <c r="H11" s="5">
        <f>IF('Service Types'!H127="","",'Service Types'!H127)</f>
        <v>29277</v>
      </c>
      <c r="I11" s="6">
        <f>IF('Service Types'!I127="","",'Service Types'!I127)</f>
        <v>4</v>
      </c>
      <c r="J11" s="6">
        <f>IF('Service Types'!J127="","",'Service Types'!J127)</f>
        <v>12.7</v>
      </c>
      <c r="K11" s="6">
        <f>IF('Service Types'!K127="","",'Service Types'!K127)</f>
        <v>29</v>
      </c>
      <c r="L11" s="4" t="str">
        <f>IF('Service Types'!R127="","",'Service Types'!R127)</f>
        <v>Cleaning &amp; removal</v>
      </c>
      <c r="M11" s="4" t="str">
        <f>IF('Service Types'!S127="","",'Service Types'!S127)</f>
        <v>Borderline</v>
      </c>
      <c r="N11" s="4" t="str">
        <f>IF('Service Types'!T127="","",'Service Types'!T127)</f>
        <v>Site clean-up is crew work, but outreach/peace officers lead the response.</v>
      </c>
    </row>
    <row r="12" spans="1:16" x14ac:dyDescent="0.45">
      <c r="A12" s="14">
        <v>11</v>
      </c>
      <c r="B12" s="4" t="s">
        <v>495</v>
      </c>
      <c r="C12" s="4" t="str">
        <f>IF('Service Types'!B373="","",'Service Types'!B373)</f>
        <v>OS - Mobility</v>
      </c>
      <c r="D12" s="5">
        <f>IF('Service Types'!E373="","",'Service Types'!E373)</f>
        <v>5375</v>
      </c>
      <c r="E12" s="5">
        <f>IF('Service Types'!D373="","",'Service Types'!D373)</f>
        <v>22676</v>
      </c>
      <c r="F12" s="5">
        <f>IF('Service Types'!F373="","",'Service Types'!F373)</f>
        <v>3812</v>
      </c>
      <c r="G12" s="5">
        <f>IF('Service Types'!G373="","",'Service Types'!G373)</f>
        <v>3328</v>
      </c>
      <c r="H12" s="5">
        <f>IF('Service Types'!H373="","",'Service Types'!H373)</f>
        <v>18864</v>
      </c>
      <c r="I12" s="6">
        <f>IF('Service Types'!I373="","",'Service Types'!I373)</f>
        <v>145</v>
      </c>
      <c r="J12" s="6">
        <f>IF('Service Types'!J373="","",'Service Types'!J373)</f>
        <v>166.9</v>
      </c>
      <c r="K12" s="6">
        <f>IF('Service Types'!K373="","",'Service Types'!K373)</f>
        <v>393</v>
      </c>
      <c r="L12" s="4" t="str">
        <f>IF('Service Types'!R373="","",'Service Types'!R373)</f>
        <v>Signs, signals &amp; lights</v>
      </c>
      <c r="M12" s="4" t="str">
        <f>IF('Service Types'!S373="","",'Service Types'!S373)</f>
        <v>Clear</v>
      </c>
      <c r="N12" s="4" t="str">
        <f>IF('Service Types'!T373="","",'Service Types'!T373)</f>
        <v>Field repair or replacement of signs, markings, signals or lights.</v>
      </c>
    </row>
    <row r="13" spans="1:16" x14ac:dyDescent="0.45">
      <c r="A13" s="14">
        <v>12</v>
      </c>
      <c r="B13" s="4" t="s">
        <v>500</v>
      </c>
      <c r="C13" s="4" t="str">
        <f>IF('Service Types'!B376="","",'Service Types'!B376)</f>
        <v>OS - Mobility</v>
      </c>
      <c r="D13" s="5">
        <f>IF('Service Types'!E376="","",'Service Types'!E376)</f>
        <v>5296</v>
      </c>
      <c r="E13" s="5">
        <f>IF('Service Types'!D376="","",'Service Types'!D376)</f>
        <v>19741</v>
      </c>
      <c r="F13" s="5">
        <f>IF('Service Types'!F376="","",'Service Types'!F376)</f>
        <v>18</v>
      </c>
      <c r="G13" s="5">
        <f>IF('Service Types'!G376="","",'Service Types'!G376)</f>
        <v>9</v>
      </c>
      <c r="H13" s="5">
        <f>IF('Service Types'!H376="","",'Service Types'!H376)</f>
        <v>18744</v>
      </c>
      <c r="I13" s="6">
        <f>IF('Service Types'!I376="","",'Service Types'!I376)</f>
        <v>0</v>
      </c>
      <c r="J13" s="6">
        <f>IF('Service Types'!J376="","",'Service Types'!J376)</f>
        <v>0.3</v>
      </c>
      <c r="K13" s="6">
        <f>IF('Service Types'!K376="","",'Service Types'!K376)</f>
        <v>1</v>
      </c>
      <c r="L13" s="4" t="str">
        <f>IF('Service Types'!R376="","",'Service Types'!R376)</f>
        <v>Cleaning &amp; removal</v>
      </c>
      <c r="M13" s="4" t="str">
        <f>IF('Service Types'!S376="","",'Service Types'!S376)</f>
        <v>Clear</v>
      </c>
      <c r="N13" s="4" t="str">
        <f>IF('Service Types'!T376="","",'Service Types'!T376)</f>
        <v>A crew physically cleans up or removes something from public property.</v>
      </c>
    </row>
    <row r="14" spans="1:16" x14ac:dyDescent="0.45">
      <c r="A14" s="14">
        <v>13</v>
      </c>
      <c r="B14" s="4" t="s">
        <v>686</v>
      </c>
      <c r="C14" s="4" t="str">
        <f>IF('Service Types'!B532="","",'Service Types'!B532)</f>
        <v>OS - Water Services</v>
      </c>
      <c r="D14" s="5">
        <f>IF('Service Types'!E532="","",'Service Types'!E532)</f>
        <v>4422</v>
      </c>
      <c r="E14" s="5">
        <f>IF('Service Types'!D532="","",'Service Types'!D532)</f>
        <v>25079</v>
      </c>
      <c r="F14" s="5">
        <f>IF('Service Types'!F532="","",'Service Types'!F532)</f>
        <v>5</v>
      </c>
      <c r="G14" s="5">
        <f>IF('Service Types'!G532="","",'Service Types'!G532)</f>
        <v>0</v>
      </c>
      <c r="H14" s="5">
        <f>IF('Service Types'!H532="","",'Service Types'!H532)</f>
        <v>25074</v>
      </c>
      <c r="I14" s="6">
        <f>IF('Service Types'!I532="","",'Service Types'!I532)</f>
        <v>0</v>
      </c>
      <c r="J14" s="6">
        <f>IF('Service Types'!J532="","",'Service Types'!J532)</f>
        <v>0.6</v>
      </c>
      <c r="K14" s="6">
        <f>IF('Service Types'!K532="","",'Service Types'!K532)</f>
        <v>1</v>
      </c>
      <c r="L14" s="4" t="str">
        <f>IF('Service Types'!R532="","",'Service Types'!R532)</f>
        <v>Water &amp; sewer</v>
      </c>
      <c r="M14" s="4" t="str">
        <f>IF('Service Types'!S532="","",'Service Types'!S532)</f>
        <v>Clear</v>
      </c>
      <c r="N14" s="4" t="str">
        <f>IF('Service Types'!T532="","",'Service Types'!T532)</f>
        <v>Water/sewer crew goes to the site to fix or respond to a utility problem.</v>
      </c>
    </row>
    <row r="15" spans="1:16" x14ac:dyDescent="0.45">
      <c r="A15" s="14">
        <v>14</v>
      </c>
      <c r="B15" s="4" t="s">
        <v>503</v>
      </c>
      <c r="C15" s="4" t="str">
        <f>IF('Service Types'!B379="","",'Service Types'!B379)</f>
        <v>OS - Mobility</v>
      </c>
      <c r="D15" s="5">
        <f>IF('Service Types'!E379="","",'Service Types'!E379)</f>
        <v>4320</v>
      </c>
      <c r="E15" s="5">
        <f>IF('Service Types'!D379="","",'Service Types'!D379)</f>
        <v>17517</v>
      </c>
      <c r="F15" s="5">
        <f>IF('Service Types'!F379="","",'Service Types'!F379)</f>
        <v>64</v>
      </c>
      <c r="G15" s="5">
        <f>IF('Service Types'!G379="","",'Service Types'!G379)</f>
        <v>61</v>
      </c>
      <c r="H15" s="5">
        <f>IF('Service Types'!H379="","",'Service Types'!H379)</f>
        <v>13848</v>
      </c>
      <c r="I15" s="6">
        <f>IF('Service Types'!I379="","",'Service Types'!I379)</f>
        <v>0</v>
      </c>
      <c r="J15" s="6">
        <f>IF('Service Types'!J379="","",'Service Types'!J379)</f>
        <v>0.7</v>
      </c>
      <c r="K15" s="6">
        <f>IF('Service Types'!K379="","",'Service Types'!K379)</f>
        <v>1</v>
      </c>
      <c r="L15" s="4" t="str">
        <f>IF('Service Types'!R379="","",'Service Types'!R379)</f>
        <v>Signs, signals &amp; lights</v>
      </c>
      <c r="M15" s="4" t="str">
        <f>IF('Service Types'!S379="","",'Service Types'!S379)</f>
        <v>Clear</v>
      </c>
      <c r="N15" s="4" t="str">
        <f>IF('Service Types'!T379="","",'Service Types'!T379)</f>
        <v>Field repair or replacement of signs, markings, signals or lights.</v>
      </c>
    </row>
    <row r="16" spans="1:16" x14ac:dyDescent="0.45">
      <c r="A16" s="14">
        <v>15</v>
      </c>
      <c r="B16" s="4" t="s">
        <v>499</v>
      </c>
      <c r="C16" s="4" t="str">
        <f>IF('Service Types'!B375="","",'Service Types'!B375)</f>
        <v>OS - Mobility</v>
      </c>
      <c r="D16" s="5">
        <f>IF('Service Types'!E375="","",'Service Types'!E375)</f>
        <v>4256</v>
      </c>
      <c r="E16" s="5">
        <f>IF('Service Types'!D375="","",'Service Types'!D375)</f>
        <v>21509</v>
      </c>
      <c r="F16" s="5">
        <f>IF('Service Types'!F375="","",'Service Types'!F375)</f>
        <v>2949</v>
      </c>
      <c r="G16" s="5">
        <f>IF('Service Types'!G375="","",'Service Types'!G375)</f>
        <v>2667</v>
      </c>
      <c r="H16" s="5">
        <f>IF('Service Types'!H375="","",'Service Types'!H375)</f>
        <v>16640</v>
      </c>
      <c r="I16" s="6">
        <f>IF('Service Types'!I375="","",'Service Types'!I375)</f>
        <v>3</v>
      </c>
      <c r="J16" s="6">
        <f>IF('Service Types'!J375="","",'Service Types'!J375)</f>
        <v>37.1</v>
      </c>
      <c r="K16" s="6">
        <f>IF('Service Types'!K375="","",'Service Types'!K375)</f>
        <v>108</v>
      </c>
      <c r="L16" s="4" t="str">
        <f>IF('Service Types'!R375="","",'Service Types'!R375)</f>
        <v>Road &amp; structure repair</v>
      </c>
      <c r="M16" s="4" t="str">
        <f>IF('Service Types'!S375="","",'Service Types'!S375)</f>
        <v>Clear</v>
      </c>
      <c r="N16" s="4" t="str">
        <f>IF('Service Types'!T375="","",'Service Types'!T375)</f>
        <v>A crew physically repairs a road, sidewalk, lane, pathway or structure.</v>
      </c>
    </row>
    <row r="17" spans="1:14" x14ac:dyDescent="0.45">
      <c r="A17" s="14">
        <v>16</v>
      </c>
      <c r="B17" s="4" t="s">
        <v>579</v>
      </c>
      <c r="C17" s="4" t="str">
        <f>IF('Service Types'!B443="","",'Service Types'!B443)</f>
        <v>OS - Parks and Open Spaces</v>
      </c>
      <c r="D17" s="5">
        <f>IF('Service Types'!E443="","",'Service Types'!E443)</f>
        <v>4233</v>
      </c>
      <c r="E17" s="5">
        <f>IF('Service Types'!D443="","",'Service Types'!D443)</f>
        <v>13340</v>
      </c>
      <c r="F17" s="5">
        <f>IF('Service Types'!F443="","",'Service Types'!F443)</f>
        <v>65</v>
      </c>
      <c r="G17" s="5">
        <f>IF('Service Types'!G443="","",'Service Types'!G443)</f>
        <v>26</v>
      </c>
      <c r="H17" s="5">
        <f>IF('Service Types'!H443="","",'Service Types'!H443)</f>
        <v>13275</v>
      </c>
      <c r="I17" s="6">
        <f>IF('Service Types'!I443="","",'Service Types'!I443)</f>
        <v>3</v>
      </c>
      <c r="J17" s="6">
        <f>IF('Service Types'!J443="","",'Service Types'!J443)</f>
        <v>5</v>
      </c>
      <c r="K17" s="6">
        <f>IF('Service Types'!K443="","",'Service Types'!K443)</f>
        <v>10</v>
      </c>
      <c r="L17" s="4" t="str">
        <f>IF('Service Types'!R443="","",'Service Types'!R443)</f>
        <v>Cleaning &amp; removal</v>
      </c>
      <c r="M17" s="4" t="str">
        <f>IF('Service Types'!S443="","",'Service Types'!S443)</f>
        <v>Clear</v>
      </c>
      <c r="N17" s="4" t="str">
        <f>IF('Service Types'!T443="","",'Service Types'!T443)</f>
        <v>A crew physically cleans up or removes something from public property.</v>
      </c>
    </row>
    <row r="18" spans="1:14" x14ac:dyDescent="0.45">
      <c r="A18" s="14">
        <v>17</v>
      </c>
      <c r="B18" s="4" t="s">
        <v>655</v>
      </c>
      <c r="C18" s="4" t="str">
        <f>IF('Service Types'!B507="","",'Service Types'!B507)</f>
        <v>OS - Waste and Recycling Services</v>
      </c>
      <c r="D18" s="5">
        <f>IF('Service Types'!E507="","",'Service Types'!E507)</f>
        <v>4158</v>
      </c>
      <c r="E18" s="5">
        <f>IF('Service Types'!D507="","",'Service Types'!D507)</f>
        <v>15742</v>
      </c>
      <c r="F18" s="5">
        <f>IF('Service Types'!F507="","",'Service Types'!F507)</f>
        <v>74</v>
      </c>
      <c r="G18" s="5">
        <f>IF('Service Types'!G507="","",'Service Types'!G507)</f>
        <v>0</v>
      </c>
      <c r="H18" s="5">
        <f>IF('Service Types'!H507="","",'Service Types'!H507)</f>
        <v>15668</v>
      </c>
      <c r="I18" s="6">
        <f>IF('Service Types'!I507="","",'Service Types'!I507)</f>
        <v>1</v>
      </c>
      <c r="J18" s="6">
        <f>IF('Service Types'!J507="","",'Service Types'!J507)</f>
        <v>2.2000000000000002</v>
      </c>
      <c r="K18" s="6">
        <f>IF('Service Types'!K507="","",'Service Types'!K507)</f>
        <v>4</v>
      </c>
      <c r="L18" s="4" t="str">
        <f>IF('Service Types'!R507="","",'Service Types'!R507)</f>
        <v>Waste collection</v>
      </c>
      <c r="M18" s="4" t="str">
        <f>IF('Service Types'!S507="","",'Service Types'!S507)</f>
        <v>Clear</v>
      </c>
      <c r="N18" s="4" t="str">
        <f>IF('Service Types'!T507="","",'Service Types'!T507)</f>
        <v>Collection crew work: missed pickups, carts, special or commercial collection.</v>
      </c>
    </row>
    <row r="19" spans="1:14" x14ac:dyDescent="0.45">
      <c r="A19" s="14">
        <v>18</v>
      </c>
      <c r="B19" s="4" t="s">
        <v>493</v>
      </c>
      <c r="C19" s="4" t="str">
        <f>IF('Service Types'!B371="","",'Service Types'!B371)</f>
        <v>OS - Mobility</v>
      </c>
      <c r="D19" s="5">
        <f>IF('Service Types'!E371="","",'Service Types'!E371)</f>
        <v>3786</v>
      </c>
      <c r="E19" s="5">
        <f>IF('Service Types'!D371="","",'Service Types'!D371)</f>
        <v>28005</v>
      </c>
      <c r="F19" s="5">
        <f>IF('Service Types'!F371="","",'Service Types'!F371)</f>
        <v>561</v>
      </c>
      <c r="G19" s="5">
        <f>IF('Service Types'!G371="","",'Service Types'!G371)</f>
        <v>561</v>
      </c>
      <c r="H19" s="5">
        <f>IF('Service Types'!H371="","",'Service Types'!H371)</f>
        <v>25812</v>
      </c>
      <c r="I19" s="6">
        <f>IF('Service Types'!I371="","",'Service Types'!I371)</f>
        <v>1</v>
      </c>
      <c r="J19" s="6">
        <f>IF('Service Types'!J371="","",'Service Types'!J371)</f>
        <v>3.3</v>
      </c>
      <c r="K19" s="6">
        <f>IF('Service Types'!K371="","",'Service Types'!K371)</f>
        <v>4</v>
      </c>
      <c r="L19" s="4" t="str">
        <f>IF('Service Types'!R371="","",'Service Types'!R371)</f>
        <v>Snow &amp; ice</v>
      </c>
      <c r="M19" s="4" t="str">
        <f>IF('Service Types'!S371="","",'Service Types'!S371)</f>
        <v>Clear</v>
      </c>
      <c r="N19" s="4" t="str">
        <f>IF('Service Types'!T371="","",'Service Types'!T371)</f>
        <v>Clearing snow/ice on public roads, pathways, parks or transit stops.</v>
      </c>
    </row>
    <row r="20" spans="1:14" x14ac:dyDescent="0.45">
      <c r="A20" s="14">
        <v>19</v>
      </c>
      <c r="B20" s="4" t="s">
        <v>502</v>
      </c>
      <c r="C20" s="4" t="str">
        <f>IF('Service Types'!B378="","",'Service Types'!B378)</f>
        <v>OS - Mobility</v>
      </c>
      <c r="D20" s="5">
        <f>IF('Service Types'!E378="","",'Service Types'!E378)</f>
        <v>3770</v>
      </c>
      <c r="E20" s="5">
        <f>IF('Service Types'!D378="","",'Service Types'!D378)</f>
        <v>17883</v>
      </c>
      <c r="F20" s="5">
        <f>IF('Service Types'!F378="","",'Service Types'!F378)</f>
        <v>2268</v>
      </c>
      <c r="G20" s="5">
        <f>IF('Service Types'!G378="","",'Service Types'!G378)</f>
        <v>2095</v>
      </c>
      <c r="H20" s="5">
        <f>IF('Service Types'!H378="","",'Service Types'!H378)</f>
        <v>14022</v>
      </c>
      <c r="I20" s="6">
        <f>IF('Service Types'!I378="","",'Service Types'!I378)</f>
        <v>2</v>
      </c>
      <c r="J20" s="6">
        <f>IF('Service Types'!J378="","",'Service Types'!J378)</f>
        <v>23.2</v>
      </c>
      <c r="K20" s="6">
        <f>IF('Service Types'!K378="","",'Service Types'!K378)</f>
        <v>38</v>
      </c>
      <c r="L20" s="4" t="str">
        <f>IF('Service Types'!R378="","",'Service Types'!R378)</f>
        <v>Road &amp; structure repair</v>
      </c>
      <c r="M20" s="4" t="str">
        <f>IF('Service Types'!S378="","",'Service Types'!S378)</f>
        <v>Clear</v>
      </c>
      <c r="N20" s="4" t="str">
        <f>IF('Service Types'!T378="","",'Service Types'!T378)</f>
        <v>A crew physically repairs a road, sidewalk, lane, pathway or structure.</v>
      </c>
    </row>
    <row r="21" spans="1:14" x14ac:dyDescent="0.45">
      <c r="A21" s="14">
        <v>20</v>
      </c>
      <c r="B21" s="4" t="s">
        <v>762</v>
      </c>
      <c r="C21" s="4" t="str">
        <f>IF('Service Types'!B591="","",'Service Types'!B591)</f>
        <v>OSC - Waste and Recycling Services</v>
      </c>
      <c r="D21" s="5">
        <f>IF('Service Types'!E591="","",'Service Types'!E591)</f>
        <v>3546</v>
      </c>
      <c r="E21" s="5">
        <f>IF('Service Types'!D591="","",'Service Types'!D591)</f>
        <v>15182</v>
      </c>
      <c r="F21" s="5">
        <f>IF('Service Types'!F591="","",'Service Types'!F591)</f>
        <v>26</v>
      </c>
      <c r="G21" s="5">
        <f>IF('Service Types'!G591="","",'Service Types'!G591)</f>
        <v>0</v>
      </c>
      <c r="H21" s="5">
        <f>IF('Service Types'!H591="","",'Service Types'!H591)</f>
        <v>15156</v>
      </c>
      <c r="I21" s="6">
        <f>IF('Service Types'!I591="","",'Service Types'!I591)</f>
        <v>1</v>
      </c>
      <c r="J21" s="6">
        <f>IF('Service Types'!J591="","",'Service Types'!J591)</f>
        <v>2.5</v>
      </c>
      <c r="K21" s="6">
        <f>IF('Service Types'!K591="","",'Service Types'!K591)</f>
        <v>4</v>
      </c>
      <c r="L21" s="4" t="str">
        <f>IF('Service Types'!R591="","",'Service Types'!R591)</f>
        <v>Waste collection</v>
      </c>
      <c r="M21" s="4" t="str">
        <f>IF('Service Types'!S591="","",'Service Types'!S591)</f>
        <v>Clear</v>
      </c>
      <c r="N21" s="4" t="str">
        <f>IF('Service Types'!T591="","",'Service Types'!T591)</f>
        <v>Collection crew work: missed pickups, carts, special or commercial collection.</v>
      </c>
    </row>
    <row r="22" spans="1:14" x14ac:dyDescent="0.45">
      <c r="A22" s="14">
        <v>21</v>
      </c>
      <c r="B22" s="4" t="s">
        <v>690</v>
      </c>
      <c r="C22" s="4" t="str">
        <f>IF('Service Types'!B533="","",'Service Types'!B533)</f>
        <v>OS - Water Services</v>
      </c>
      <c r="D22" s="5">
        <f>IF('Service Types'!E533="","",'Service Types'!E533)</f>
        <v>3324</v>
      </c>
      <c r="E22" s="5">
        <f>IF('Service Types'!D533="","",'Service Types'!D533)</f>
        <v>14891</v>
      </c>
      <c r="F22" s="5">
        <f>IF('Service Types'!F533="","",'Service Types'!F533)</f>
        <v>146</v>
      </c>
      <c r="G22" s="5">
        <f>IF('Service Types'!G533="","",'Service Types'!G533)</f>
        <v>0</v>
      </c>
      <c r="H22" s="5">
        <f>IF('Service Types'!H533="","",'Service Types'!H533)</f>
        <v>14724</v>
      </c>
      <c r="I22" s="6">
        <f>IF('Service Types'!I533="","",'Service Types'!I533)</f>
        <v>11</v>
      </c>
      <c r="J22" s="6">
        <f>IF('Service Types'!J533="","",'Service Types'!J533)</f>
        <v>11.8</v>
      </c>
      <c r="K22" s="6">
        <f>IF('Service Types'!K533="","",'Service Types'!K533)</f>
        <v>25</v>
      </c>
      <c r="L22" s="4" t="str">
        <f>IF('Service Types'!R533="","",'Service Types'!R533)</f>
        <v>Water &amp; sewer</v>
      </c>
      <c r="M22" s="4" t="str">
        <f>IF('Service Types'!S533="","",'Service Types'!S533)</f>
        <v>Clear</v>
      </c>
      <c r="N22" s="4" t="str">
        <f>IF('Service Types'!T533="","",'Service Types'!T533)</f>
        <v>Water/sewer crew goes to the site to fix or respond to a utility problem.</v>
      </c>
    </row>
    <row r="23" spans="1:14" x14ac:dyDescent="0.45">
      <c r="A23" s="14">
        <v>22</v>
      </c>
      <c r="B23" s="4" t="s">
        <v>656</v>
      </c>
      <c r="C23" s="4" t="str">
        <f>IF('Service Types'!B508="","",'Service Types'!B508)</f>
        <v>OS - Waste and Recycling Services</v>
      </c>
      <c r="D23" s="5">
        <f>IF('Service Types'!E508="","",'Service Types'!E508)</f>
        <v>3124</v>
      </c>
      <c r="E23" s="5">
        <f>IF('Service Types'!D508="","",'Service Types'!D508)</f>
        <v>12601</v>
      </c>
      <c r="F23" s="5">
        <f>IF('Service Types'!F508="","",'Service Types'!F508)</f>
        <v>20</v>
      </c>
      <c r="G23" s="5">
        <f>IF('Service Types'!G508="","",'Service Types'!G508)</f>
        <v>0</v>
      </c>
      <c r="H23" s="5">
        <f>IF('Service Types'!H508="","",'Service Types'!H508)</f>
        <v>12581</v>
      </c>
      <c r="I23" s="6">
        <f>IF('Service Types'!I508="","",'Service Types'!I508)</f>
        <v>1</v>
      </c>
      <c r="J23" s="6">
        <f>IF('Service Types'!J508="","",'Service Types'!J508)</f>
        <v>1.4</v>
      </c>
      <c r="K23" s="6">
        <f>IF('Service Types'!K508="","",'Service Types'!K508)</f>
        <v>4</v>
      </c>
      <c r="L23" s="4" t="str">
        <f>IF('Service Types'!R508="","",'Service Types'!R508)</f>
        <v>Waste collection</v>
      </c>
      <c r="M23" s="4" t="str">
        <f>IF('Service Types'!S508="","",'Service Types'!S508)</f>
        <v>Clear</v>
      </c>
      <c r="N23" s="4" t="str">
        <f>IF('Service Types'!T508="","",'Service Types'!T508)</f>
        <v>Collection crew work: missed pickups, carts, special or commercial collection.</v>
      </c>
    </row>
    <row r="24" spans="1:14" x14ac:dyDescent="0.45">
      <c r="A24" s="14">
        <v>23</v>
      </c>
      <c r="B24" s="4" t="s">
        <v>501</v>
      </c>
      <c r="C24" s="4" t="str">
        <f>IF('Service Types'!B377="","",'Service Types'!B377)</f>
        <v>OS - Mobility</v>
      </c>
      <c r="D24" s="5">
        <f>IF('Service Types'!E377="","",'Service Types'!E377)</f>
        <v>3089</v>
      </c>
      <c r="E24" s="5">
        <f>IF('Service Types'!D377="","",'Service Types'!D377)</f>
        <v>19032</v>
      </c>
      <c r="F24" s="5">
        <f>IF('Service Types'!F377="","",'Service Types'!F377)</f>
        <v>4690</v>
      </c>
      <c r="G24" s="5">
        <f>IF('Service Types'!G377="","",'Service Types'!G377)</f>
        <v>4680</v>
      </c>
      <c r="H24" s="5">
        <f>IF('Service Types'!H377="","",'Service Types'!H377)</f>
        <v>13968</v>
      </c>
      <c r="I24" s="6">
        <f>IF('Service Types'!I377="","",'Service Types'!I377)</f>
        <v>4</v>
      </c>
      <c r="J24" s="6">
        <f>IF('Service Types'!J377="","",'Service Types'!J377)</f>
        <v>46.7</v>
      </c>
      <c r="K24" s="6">
        <f>IF('Service Types'!K377="","",'Service Types'!K377)</f>
        <v>133</v>
      </c>
      <c r="L24" s="4" t="str">
        <f>IF('Service Types'!R377="","",'Service Types'!R377)</f>
        <v>Road &amp; structure repair</v>
      </c>
      <c r="M24" s="4" t="str">
        <f>IF('Service Types'!S377="","",'Service Types'!S377)</f>
        <v>Clear</v>
      </c>
      <c r="N24" s="4" t="str">
        <f>IF('Service Types'!T377="","",'Service Types'!T377)</f>
        <v>A crew physically repairs a road, sidewalk, lane, pathway or structure.</v>
      </c>
    </row>
    <row r="25" spans="1:14" x14ac:dyDescent="0.45">
      <c r="A25" s="14">
        <v>24</v>
      </c>
      <c r="B25" s="4" t="s">
        <v>454</v>
      </c>
      <c r="C25" s="4" t="str">
        <f>IF('Service Types'!B346="","",'Service Types'!B346)</f>
        <v>OS - Calgary Transit</v>
      </c>
      <c r="D25" s="5">
        <f>IF('Service Types'!E346="","",'Service Types'!E346)</f>
        <v>3040</v>
      </c>
      <c r="E25" s="5">
        <f>IF('Service Types'!D346="","",'Service Types'!D346)</f>
        <v>13452</v>
      </c>
      <c r="F25" s="5">
        <f>IF('Service Types'!F346="","",'Service Types'!F346)</f>
        <v>442</v>
      </c>
      <c r="G25" s="5">
        <f>IF('Service Types'!G346="","",'Service Types'!G346)</f>
        <v>84</v>
      </c>
      <c r="H25" s="5">
        <f>IF('Service Types'!H346="","",'Service Types'!H346)</f>
        <v>13010</v>
      </c>
      <c r="I25" s="6">
        <f>IF('Service Types'!I346="","",'Service Types'!I346)</f>
        <v>25</v>
      </c>
      <c r="J25" s="6">
        <f>IF('Service Types'!J346="","",'Service Types'!J346)</f>
        <v>38.700000000000003</v>
      </c>
      <c r="K25" s="6">
        <f>IF('Service Types'!K346="","",'Service Types'!K346)</f>
        <v>90</v>
      </c>
      <c r="L25" s="4" t="str">
        <f>IF('Service Types'!R346="","",'Service Types'!R346)</f>
        <v>Facilities</v>
      </c>
      <c r="M25" s="4" t="str">
        <f>IF('Service Types'!S346="","",'Service Types'!S346)</f>
        <v>Borderline</v>
      </c>
      <c r="N25" s="4" t="str">
        <f>IF('Service Types'!T346="","",'Service Types'!T346)</f>
        <v>Stop repairs/cleaning are crew work; some tickets ask for new or moved stops.</v>
      </c>
    </row>
    <row r="26" spans="1:14" x14ac:dyDescent="0.45">
      <c r="A26" s="14">
        <v>25</v>
      </c>
      <c r="B26" s="4" t="s">
        <v>504</v>
      </c>
      <c r="C26" s="4" t="str">
        <f>IF('Service Types'!B380="","",'Service Types'!B380)</f>
        <v>OS - Mobility</v>
      </c>
      <c r="D26" s="5">
        <f>IF('Service Types'!E380="","",'Service Types'!E380)</f>
        <v>2844</v>
      </c>
      <c r="E26" s="5">
        <f>IF('Service Types'!D380="","",'Service Types'!D380)</f>
        <v>12093</v>
      </c>
      <c r="F26" s="5">
        <f>IF('Service Types'!F380="","",'Service Types'!F380)</f>
        <v>1636</v>
      </c>
      <c r="G26" s="5">
        <f>IF('Service Types'!G380="","",'Service Types'!G380)</f>
        <v>1065</v>
      </c>
      <c r="H26" s="5">
        <f>IF('Service Types'!H380="","",'Service Types'!H380)</f>
        <v>10456</v>
      </c>
      <c r="I26" s="6">
        <f>IF('Service Types'!I380="","",'Service Types'!I380)</f>
        <v>4</v>
      </c>
      <c r="J26" s="6">
        <f>IF('Service Types'!J380="","",'Service Types'!J380)</f>
        <v>170.3</v>
      </c>
      <c r="K26" s="6">
        <f>IF('Service Types'!K380="","",'Service Types'!K380)</f>
        <v>679</v>
      </c>
      <c r="L26" s="4" t="str">
        <f>IF('Service Types'!R380="","",'Service Types'!R380)</f>
        <v>Signs, signals &amp; lights</v>
      </c>
      <c r="M26" s="4" t="str">
        <f>IF('Service Types'!S380="","",'Service Types'!S380)</f>
        <v>Clear</v>
      </c>
      <c r="N26" s="4" t="str">
        <f>IF('Service Types'!T380="","",'Service Types'!T380)</f>
        <v>Field repair or replacement of signs, markings, signals or lights.</v>
      </c>
    </row>
    <row r="27" spans="1:14" x14ac:dyDescent="0.45">
      <c r="A27" s="14">
        <v>26</v>
      </c>
      <c r="B27" s="4" t="s">
        <v>498</v>
      </c>
      <c r="C27" s="4" t="str">
        <f>IF('Service Types'!B374="","",'Service Types'!B374)</f>
        <v>OS - Mobility</v>
      </c>
      <c r="D27" s="5">
        <f>IF('Service Types'!E374="","",'Service Types'!E374)</f>
        <v>2743</v>
      </c>
      <c r="E27" s="5">
        <f>IF('Service Types'!D374="","",'Service Types'!D374)</f>
        <v>22223</v>
      </c>
      <c r="F27" s="5">
        <f>IF('Service Types'!F374="","",'Service Types'!F374)</f>
        <v>11</v>
      </c>
      <c r="G27" s="5">
        <f>IF('Service Types'!G374="","",'Service Types'!G374)</f>
        <v>2</v>
      </c>
      <c r="H27" s="5">
        <f>IF('Service Types'!H374="","",'Service Types'!H374)</f>
        <v>21717</v>
      </c>
      <c r="I27" s="6">
        <f>IF('Service Types'!I374="","",'Service Types'!I374)</f>
        <v>0</v>
      </c>
      <c r="J27" s="6">
        <f>IF('Service Types'!J374="","",'Service Types'!J374)</f>
        <v>4.2</v>
      </c>
      <c r="K27" s="6">
        <f>IF('Service Types'!K374="","",'Service Types'!K374)</f>
        <v>1</v>
      </c>
      <c r="L27" s="4" t="str">
        <f>IF('Service Types'!R374="","",'Service Types'!R374)</f>
        <v>Signs, signals &amp; lights</v>
      </c>
      <c r="M27" s="4" t="str">
        <f>IF('Service Types'!S374="","",'Service Types'!S374)</f>
        <v>Clear</v>
      </c>
      <c r="N27" s="4" t="str">
        <f>IF('Service Types'!T374="","",'Service Types'!T374)</f>
        <v>Field repair or replacement of signs, markings, signals or lights.</v>
      </c>
    </row>
    <row r="28" spans="1:14" x14ac:dyDescent="0.45">
      <c r="A28" s="14">
        <v>27</v>
      </c>
      <c r="B28" s="4" t="s">
        <v>508</v>
      </c>
      <c r="C28" s="4" t="str">
        <f>IF('Service Types'!B383="","",'Service Types'!B383)</f>
        <v>OS - Mobility</v>
      </c>
      <c r="D28" s="5">
        <f>IF('Service Types'!E383="","",'Service Types'!E383)</f>
        <v>2616</v>
      </c>
      <c r="E28" s="5">
        <f>IF('Service Types'!D383="","",'Service Types'!D383)</f>
        <v>9325</v>
      </c>
      <c r="F28" s="5">
        <f>IF('Service Types'!F383="","",'Service Types'!F383)</f>
        <v>120</v>
      </c>
      <c r="G28" s="5">
        <f>IF('Service Types'!G383="","",'Service Types'!G383)</f>
        <v>5</v>
      </c>
      <c r="H28" s="5">
        <f>IF('Service Types'!H383="","",'Service Types'!H383)</f>
        <v>9205</v>
      </c>
      <c r="I28" s="6">
        <f>IF('Service Types'!I383="","",'Service Types'!I383)</f>
        <v>4</v>
      </c>
      <c r="J28" s="6">
        <f>IF('Service Types'!J383="","",'Service Types'!J383)</f>
        <v>11</v>
      </c>
      <c r="K28" s="6">
        <f>IF('Service Types'!K383="","",'Service Types'!K383)</f>
        <v>25</v>
      </c>
      <c r="L28" s="4" t="str">
        <f>IF('Service Types'!R383="","",'Service Types'!R383)</f>
        <v>Cleaning &amp; removal</v>
      </c>
      <c r="M28" s="4" t="str">
        <f>IF('Service Types'!S383="","",'Service Types'!S383)</f>
        <v>Clear</v>
      </c>
      <c r="N28" s="4" t="str">
        <f>IF('Service Types'!T383="","",'Service Types'!T383)</f>
        <v>A crew physically cleans up or removes something from public property.</v>
      </c>
    </row>
    <row r="29" spans="1:14" x14ac:dyDescent="0.45">
      <c r="A29" s="14">
        <v>28</v>
      </c>
      <c r="B29" s="4" t="s">
        <v>505</v>
      </c>
      <c r="C29" s="4" t="str">
        <f>IF('Service Types'!B381="","",'Service Types'!B381)</f>
        <v>OS - Mobility</v>
      </c>
      <c r="D29" s="5">
        <f>IF('Service Types'!E381="","",'Service Types'!E381)</f>
        <v>2495</v>
      </c>
      <c r="E29" s="5">
        <f>IF('Service Types'!D381="","",'Service Types'!D381)</f>
        <v>11999</v>
      </c>
      <c r="F29" s="5">
        <f>IF('Service Types'!F381="","",'Service Types'!F381)</f>
        <v>1048</v>
      </c>
      <c r="G29" s="5">
        <f>IF('Service Types'!G381="","",'Service Types'!G381)</f>
        <v>762</v>
      </c>
      <c r="H29" s="5">
        <f>IF('Service Types'!H381="","",'Service Types'!H381)</f>
        <v>10951</v>
      </c>
      <c r="I29" s="6">
        <f>IF('Service Types'!I381="","",'Service Types'!I381)</f>
        <v>4</v>
      </c>
      <c r="J29" s="6">
        <f>IF('Service Types'!J381="","",'Service Types'!J381)</f>
        <v>78.3</v>
      </c>
      <c r="K29" s="6">
        <f>IF('Service Types'!K381="","",'Service Types'!K381)</f>
        <v>257</v>
      </c>
      <c r="L29" s="4" t="str">
        <f>IF('Service Types'!R381="","",'Service Types'!R381)</f>
        <v>Signs, signals &amp; lights</v>
      </c>
      <c r="M29" s="4" t="str">
        <f>IF('Service Types'!S381="","",'Service Types'!S381)</f>
        <v>Clear</v>
      </c>
      <c r="N29" s="4" t="str">
        <f>IF('Service Types'!T381="","",'Service Types'!T381)</f>
        <v>Field repair or replacement of signs, markings, signals or lights.</v>
      </c>
    </row>
    <row r="30" spans="1:14" x14ac:dyDescent="0.45">
      <c r="A30" s="14">
        <v>29</v>
      </c>
      <c r="B30" s="4" t="s">
        <v>691</v>
      </c>
      <c r="C30" s="4" t="str">
        <f>IF('Service Types'!B534="","",'Service Types'!B534)</f>
        <v>OS - Water Services</v>
      </c>
      <c r="D30" s="5">
        <f>IF('Service Types'!E534="","",'Service Types'!E534)</f>
        <v>2387</v>
      </c>
      <c r="E30" s="5">
        <f>IF('Service Types'!D534="","",'Service Types'!D534)</f>
        <v>13039</v>
      </c>
      <c r="F30" s="5">
        <f>IF('Service Types'!F534="","",'Service Types'!F534)</f>
        <v>25</v>
      </c>
      <c r="G30" s="5">
        <f>IF('Service Types'!G534="","",'Service Types'!G534)</f>
        <v>7</v>
      </c>
      <c r="H30" s="5">
        <f>IF('Service Types'!H534="","",'Service Types'!H534)</f>
        <v>12869</v>
      </c>
      <c r="I30" s="6">
        <f>IF('Service Types'!I534="","",'Service Types'!I534)</f>
        <v>3</v>
      </c>
      <c r="J30" s="6">
        <f>IF('Service Types'!J534="","",'Service Types'!J534)</f>
        <v>6.7</v>
      </c>
      <c r="K30" s="6">
        <f>IF('Service Types'!K534="","",'Service Types'!K534)</f>
        <v>14</v>
      </c>
      <c r="L30" s="4" t="str">
        <f>IF('Service Types'!R534="","",'Service Types'!R534)</f>
        <v>Water &amp; sewer</v>
      </c>
      <c r="M30" s="4" t="str">
        <f>IF('Service Types'!S534="","",'Service Types'!S534)</f>
        <v>Clear</v>
      </c>
      <c r="N30" s="4" t="str">
        <f>IF('Service Types'!T534="","",'Service Types'!T534)</f>
        <v>Water/sewer crew goes to the site to fix or respond to a utility problem.</v>
      </c>
    </row>
    <row r="31" spans="1:14" x14ac:dyDescent="0.45">
      <c r="A31" s="14">
        <v>30</v>
      </c>
      <c r="B31" s="4" t="s">
        <v>693</v>
      </c>
      <c r="C31" s="4" t="str">
        <f>IF('Service Types'!B536="","",'Service Types'!B536)</f>
        <v>OS - Water Services</v>
      </c>
      <c r="D31" s="5">
        <f>IF('Service Types'!E536="","",'Service Types'!E536)</f>
        <v>2342</v>
      </c>
      <c r="E31" s="5">
        <f>IF('Service Types'!D536="","",'Service Types'!D536)</f>
        <v>8915</v>
      </c>
      <c r="F31" s="5">
        <f>IF('Service Types'!F536="","",'Service Types'!F536)</f>
        <v>124</v>
      </c>
      <c r="G31" s="5">
        <f>IF('Service Types'!G536="","",'Service Types'!G536)</f>
        <v>1</v>
      </c>
      <c r="H31" s="5">
        <f>IF('Service Types'!H536="","",'Service Types'!H536)</f>
        <v>8788</v>
      </c>
      <c r="I31" s="6">
        <f>IF('Service Types'!I536="","",'Service Types'!I536)</f>
        <v>13</v>
      </c>
      <c r="J31" s="6">
        <f>IF('Service Types'!J536="","",'Service Types'!J536)</f>
        <v>33.1</v>
      </c>
      <c r="K31" s="6">
        <f>IF('Service Types'!K536="","",'Service Types'!K536)</f>
        <v>55</v>
      </c>
      <c r="L31" s="4" t="str">
        <f>IF('Service Types'!R536="","",'Service Types'!R536)</f>
        <v>Water &amp; sewer</v>
      </c>
      <c r="M31" s="4" t="str">
        <f>IF('Service Types'!S536="","",'Service Types'!S536)</f>
        <v>Clear</v>
      </c>
      <c r="N31" s="4" t="str">
        <f>IF('Service Types'!T536="","",'Service Types'!T536)</f>
        <v>Water/sewer crew goes to the site to fix or respond to a utility problem.</v>
      </c>
    </row>
    <row r="32" spans="1:14" x14ac:dyDescent="0.45">
      <c r="A32" s="14">
        <v>31</v>
      </c>
      <c r="B32" s="4" t="s">
        <v>585</v>
      </c>
      <c r="C32" s="4" t="str">
        <f>IF('Service Types'!B447="","",'Service Types'!B447)</f>
        <v>OS - Parks and Open Spaces</v>
      </c>
      <c r="D32" s="5">
        <f>IF('Service Types'!E447="","",'Service Types'!E447)</f>
        <v>2284</v>
      </c>
      <c r="E32" s="5">
        <f>IF('Service Types'!D447="","",'Service Types'!D447)</f>
        <v>7166</v>
      </c>
      <c r="F32" s="5">
        <f>IF('Service Types'!F447="","",'Service Types'!F447)</f>
        <v>87</v>
      </c>
      <c r="G32" s="5">
        <f>IF('Service Types'!G447="","",'Service Types'!G447)</f>
        <v>39</v>
      </c>
      <c r="H32" s="5">
        <f>IF('Service Types'!H447="","",'Service Types'!H447)</f>
        <v>7079</v>
      </c>
      <c r="I32" s="6">
        <f>IF('Service Types'!I447="","",'Service Types'!I447)</f>
        <v>3</v>
      </c>
      <c r="J32" s="6">
        <f>IF('Service Types'!J447="","",'Service Types'!J447)</f>
        <v>5</v>
      </c>
      <c r="K32" s="6">
        <f>IF('Service Types'!K447="","",'Service Types'!K447)</f>
        <v>10</v>
      </c>
      <c r="L32" s="4" t="str">
        <f>IF('Service Types'!R447="","",'Service Types'!R447)</f>
        <v>Parks &amp; trees</v>
      </c>
      <c r="M32" s="4" t="str">
        <f>IF('Service Types'!S447="","",'Service Types'!S447)</f>
        <v>Clear</v>
      </c>
      <c r="N32" s="4" t="str">
        <f>IF('Service Types'!T447="","",'Service Types'!T447)</f>
        <v>Parks crew does hands-on work: trees, mowing, park repairs or upkeep.</v>
      </c>
    </row>
    <row r="33" spans="1:14" x14ac:dyDescent="0.45">
      <c r="A33" s="14">
        <v>32</v>
      </c>
      <c r="B33" s="4" t="s">
        <v>510</v>
      </c>
      <c r="C33" s="4" t="str">
        <f>IF('Service Types'!B385="","",'Service Types'!B385)</f>
        <v>OS - Mobility</v>
      </c>
      <c r="D33" s="5">
        <f>IF('Service Types'!E385="","",'Service Types'!E385)</f>
        <v>2109</v>
      </c>
      <c r="E33" s="5">
        <f>IF('Service Types'!D385="","",'Service Types'!D385)</f>
        <v>6103</v>
      </c>
      <c r="F33" s="5">
        <f>IF('Service Types'!F385="","",'Service Types'!F385)</f>
        <v>20</v>
      </c>
      <c r="G33" s="5">
        <f>IF('Service Types'!G385="","",'Service Types'!G385)</f>
        <v>1</v>
      </c>
      <c r="H33" s="5">
        <f>IF('Service Types'!H385="","",'Service Types'!H385)</f>
        <v>6083</v>
      </c>
      <c r="I33" s="6">
        <f>IF('Service Types'!I385="","",'Service Types'!I385)</f>
        <v>1</v>
      </c>
      <c r="J33" s="6">
        <f>IF('Service Types'!J385="","",'Service Types'!J385)</f>
        <v>6.5</v>
      </c>
      <c r="K33" s="6">
        <f>IF('Service Types'!K385="","",'Service Types'!K385)</f>
        <v>9</v>
      </c>
      <c r="L33" s="4" t="str">
        <f>IF('Service Types'!R385="","",'Service Types'!R385)</f>
        <v>Road &amp; structure repair</v>
      </c>
      <c r="M33" s="4" t="str">
        <f>IF('Service Types'!S385="","",'Service Types'!S385)</f>
        <v>Clear</v>
      </c>
      <c r="N33" s="4" t="str">
        <f>IF('Service Types'!T385="","",'Service Types'!T385)</f>
        <v>A crew physically repairs a road, sidewalk, lane, pathway or structure.</v>
      </c>
    </row>
    <row r="34" spans="1:14" x14ac:dyDescent="0.45">
      <c r="A34" s="14">
        <v>33</v>
      </c>
      <c r="B34" s="4" t="s">
        <v>692</v>
      </c>
      <c r="C34" s="4" t="str">
        <f>IF('Service Types'!B535="","",'Service Types'!B535)</f>
        <v>OS - Water Services</v>
      </c>
      <c r="D34" s="5">
        <f>IF('Service Types'!E535="","",'Service Types'!E535)</f>
        <v>2103</v>
      </c>
      <c r="E34" s="5">
        <f>IF('Service Types'!D535="","",'Service Types'!D535)</f>
        <v>9672</v>
      </c>
      <c r="F34" s="5">
        <f>IF('Service Types'!F535="","",'Service Types'!F535)</f>
        <v>398</v>
      </c>
      <c r="G34" s="5">
        <f>IF('Service Types'!G535="","",'Service Types'!G535)</f>
        <v>187</v>
      </c>
      <c r="H34" s="5">
        <f>IF('Service Types'!H535="","",'Service Types'!H535)</f>
        <v>9274</v>
      </c>
      <c r="I34" s="6">
        <f>IF('Service Types'!I535="","",'Service Types'!I535)</f>
        <v>87</v>
      </c>
      <c r="J34" s="6">
        <f>IF('Service Types'!J535="","",'Service Types'!J535)</f>
        <v>103.9</v>
      </c>
      <c r="K34" s="6">
        <f>IF('Service Types'!K535="","",'Service Types'!K535)</f>
        <v>224</v>
      </c>
      <c r="L34" s="4" t="str">
        <f>IF('Service Types'!R535="","",'Service Types'!R535)</f>
        <v>Water &amp; sewer</v>
      </c>
      <c r="M34" s="4" t="str">
        <f>IF('Service Types'!S535="","",'Service Types'!S535)</f>
        <v>Clear</v>
      </c>
      <c r="N34" s="4" t="str">
        <f>IF('Service Types'!T535="","",'Service Types'!T535)</f>
        <v>Water/sewer crew goes to the site to fix or respond to a utility problem.</v>
      </c>
    </row>
    <row r="35" spans="1:14" x14ac:dyDescent="0.45">
      <c r="A35" s="14">
        <v>34</v>
      </c>
      <c r="B35" s="4" t="s">
        <v>586</v>
      </c>
      <c r="C35" s="4" t="str">
        <f>IF('Service Types'!B448="","",'Service Types'!B448)</f>
        <v>OS - Parks and Open Spaces</v>
      </c>
      <c r="D35" s="5">
        <f>IF('Service Types'!E448="","",'Service Types'!E448)</f>
        <v>2045</v>
      </c>
      <c r="E35" s="5">
        <f>IF('Service Types'!D448="","",'Service Types'!D448)</f>
        <v>6669</v>
      </c>
      <c r="F35" s="5">
        <f>IF('Service Types'!F448="","",'Service Types'!F448)</f>
        <v>39</v>
      </c>
      <c r="G35" s="5">
        <f>IF('Service Types'!G448="","",'Service Types'!G448)</f>
        <v>19</v>
      </c>
      <c r="H35" s="5">
        <f>IF('Service Types'!H448="","",'Service Types'!H448)</f>
        <v>6630</v>
      </c>
      <c r="I35" s="6">
        <f>IF('Service Types'!I448="","",'Service Types'!I448)</f>
        <v>4</v>
      </c>
      <c r="J35" s="6">
        <f>IF('Service Types'!J448="","",'Service Types'!J448)</f>
        <v>6.3</v>
      </c>
      <c r="K35" s="6">
        <f>IF('Service Types'!K448="","",'Service Types'!K448)</f>
        <v>14</v>
      </c>
      <c r="L35" s="4" t="str">
        <f>IF('Service Types'!R448="","",'Service Types'!R448)</f>
        <v>Parks &amp; trees</v>
      </c>
      <c r="M35" s="4" t="str">
        <f>IF('Service Types'!S448="","",'Service Types'!S448)</f>
        <v>Clear</v>
      </c>
      <c r="N35" s="4" t="str">
        <f>IF('Service Types'!T448="","",'Service Types'!T448)</f>
        <v>Parks crew does hands-on work: trees, mowing, park repairs or upkeep.</v>
      </c>
    </row>
    <row r="36" spans="1:14" x14ac:dyDescent="0.45">
      <c r="A36" s="14">
        <v>35</v>
      </c>
      <c r="B36" s="4" t="s">
        <v>694</v>
      </c>
      <c r="C36" s="4" t="str">
        <f>IF('Service Types'!B537="","",'Service Types'!B537)</f>
        <v>OS - Water Services</v>
      </c>
      <c r="D36" s="5">
        <f>IF('Service Types'!E537="","",'Service Types'!E537)</f>
        <v>1675</v>
      </c>
      <c r="E36" s="5">
        <f>IF('Service Types'!D537="","",'Service Types'!D537)</f>
        <v>8470</v>
      </c>
      <c r="F36" s="5">
        <f>IF('Service Types'!F537="","",'Service Types'!F537)</f>
        <v>10</v>
      </c>
      <c r="G36" s="5">
        <f>IF('Service Types'!G537="","",'Service Types'!G537)</f>
        <v>8</v>
      </c>
      <c r="H36" s="5">
        <f>IF('Service Types'!H537="","",'Service Types'!H537)</f>
        <v>7516</v>
      </c>
      <c r="I36" s="6">
        <f>IF('Service Types'!I537="","",'Service Types'!I537)</f>
        <v>0</v>
      </c>
      <c r="J36" s="6">
        <f>IF('Service Types'!J537="","",'Service Types'!J537)</f>
        <v>1.2</v>
      </c>
      <c r="K36" s="6">
        <f>IF('Service Types'!K537="","",'Service Types'!K537)</f>
        <v>1</v>
      </c>
      <c r="L36" s="4" t="str">
        <f>IF('Service Types'!R537="","",'Service Types'!R537)</f>
        <v>Water &amp; sewer</v>
      </c>
      <c r="M36" s="4" t="str">
        <f>IF('Service Types'!S537="","",'Service Types'!S537)</f>
        <v>Clear</v>
      </c>
      <c r="N36" s="4" t="str">
        <f>IF('Service Types'!T537="","",'Service Types'!T537)</f>
        <v>Water/sewer crew goes to the site to fix or respond to a utility problem.</v>
      </c>
    </row>
    <row r="37" spans="1:14" x14ac:dyDescent="0.45">
      <c r="A37" s="14">
        <v>36</v>
      </c>
      <c r="B37" s="4" t="s">
        <v>517</v>
      </c>
      <c r="C37" s="4" t="str">
        <f>IF('Service Types'!B389="","",'Service Types'!B389)</f>
        <v>OS - Mobility</v>
      </c>
      <c r="D37" s="5">
        <f>IF('Service Types'!E389="","",'Service Types'!E389)</f>
        <v>1634</v>
      </c>
      <c r="E37" s="5">
        <f>IF('Service Types'!D389="","",'Service Types'!D389)</f>
        <v>4633</v>
      </c>
      <c r="F37" s="5">
        <f>IF('Service Types'!F389="","",'Service Types'!F389)</f>
        <v>0</v>
      </c>
      <c r="G37" s="5">
        <f>IF('Service Types'!G389="","",'Service Types'!G389)</f>
        <v>0</v>
      </c>
      <c r="H37" s="5">
        <f>IF('Service Types'!H389="","",'Service Types'!H389)</f>
        <v>4633</v>
      </c>
      <c r="I37" s="6">
        <f>IF('Service Types'!I389="","",'Service Types'!I389)</f>
        <v>2</v>
      </c>
      <c r="J37" s="6">
        <f>IF('Service Types'!J389="","",'Service Types'!J389)</f>
        <v>6.1</v>
      </c>
      <c r="K37" s="6">
        <f>IF('Service Types'!K389="","",'Service Types'!K389)</f>
        <v>13</v>
      </c>
      <c r="L37" s="4" t="str">
        <f>IF('Service Types'!R389="","",'Service Types'!R389)</f>
        <v>Snow &amp; ice</v>
      </c>
      <c r="M37" s="4" t="str">
        <f>IF('Service Types'!S389="","",'Service Types'!S389)</f>
        <v>Clear</v>
      </c>
      <c r="N37" s="4" t="str">
        <f>IF('Service Types'!T389="","",'Service Types'!T389)</f>
        <v>Clearing snow/ice on public roads, pathways, parks or transit stops.</v>
      </c>
    </row>
    <row r="38" spans="1:14" x14ac:dyDescent="0.45">
      <c r="A38" s="14">
        <v>37</v>
      </c>
      <c r="B38" s="4" t="s">
        <v>584</v>
      </c>
      <c r="C38" s="4" t="str">
        <f>IF('Service Types'!B446="","",'Service Types'!B446)</f>
        <v>OS - Parks and Open Spaces</v>
      </c>
      <c r="D38" s="5">
        <f>IF('Service Types'!E446="","",'Service Types'!E446)</f>
        <v>1520</v>
      </c>
      <c r="E38" s="5">
        <f>IF('Service Types'!D446="","",'Service Types'!D446)</f>
        <v>7682</v>
      </c>
      <c r="F38" s="5">
        <f>IF('Service Types'!F446="","",'Service Types'!F446)</f>
        <v>36</v>
      </c>
      <c r="G38" s="5">
        <f>IF('Service Types'!G446="","",'Service Types'!G446)</f>
        <v>29</v>
      </c>
      <c r="H38" s="5">
        <f>IF('Service Types'!H446="","",'Service Types'!H446)</f>
        <v>7646</v>
      </c>
      <c r="I38" s="6">
        <f>IF('Service Types'!I446="","",'Service Types'!I446)</f>
        <v>3</v>
      </c>
      <c r="J38" s="6">
        <f>IF('Service Types'!J446="","",'Service Types'!J446)</f>
        <v>5.9</v>
      </c>
      <c r="K38" s="6">
        <f>IF('Service Types'!K446="","",'Service Types'!K446)</f>
        <v>14</v>
      </c>
      <c r="L38" s="4" t="str">
        <f>IF('Service Types'!R446="","",'Service Types'!R446)</f>
        <v>Parks &amp; trees</v>
      </c>
      <c r="M38" s="4" t="str">
        <f>IF('Service Types'!S446="","",'Service Types'!S446)</f>
        <v>Clear</v>
      </c>
      <c r="N38" s="4" t="str">
        <f>IF('Service Types'!T446="","",'Service Types'!T446)</f>
        <v>Parks crew does hands-on work: trees, mowing, park repairs or upkeep.</v>
      </c>
    </row>
    <row r="39" spans="1:14" x14ac:dyDescent="0.45">
      <c r="A39" s="14">
        <v>38</v>
      </c>
      <c r="B39" s="4" t="s">
        <v>526</v>
      </c>
      <c r="C39" s="4" t="str">
        <f>IF('Service Types'!B397="","",'Service Types'!B397)</f>
        <v>OS - Mobility</v>
      </c>
      <c r="D39" s="5">
        <f>IF('Service Types'!E397="","",'Service Types'!E397)</f>
        <v>1456</v>
      </c>
      <c r="E39" s="5">
        <f>IF('Service Types'!D397="","",'Service Types'!D397)</f>
        <v>1456</v>
      </c>
      <c r="F39" s="5">
        <f>IF('Service Types'!F397="","",'Service Types'!F397)</f>
        <v>970</v>
      </c>
      <c r="G39" s="5">
        <f>IF('Service Types'!G397="","",'Service Types'!G397)</f>
        <v>207</v>
      </c>
      <c r="H39" s="5">
        <f>IF('Service Types'!H397="","",'Service Types'!H397)</f>
        <v>470</v>
      </c>
      <c r="I39" s="6">
        <f>IF('Service Types'!I397="","",'Service Types'!I397)</f>
        <v>13</v>
      </c>
      <c r="J39" s="6">
        <f>IF('Service Types'!J397="","",'Service Types'!J397)</f>
        <v>13.9</v>
      </c>
      <c r="K39" s="6">
        <f>IF('Service Types'!K397="","",'Service Types'!K397)</f>
        <v>21</v>
      </c>
      <c r="L39" s="4" t="str">
        <f>IF('Service Types'!R397="","",'Service Types'!R397)</f>
        <v>Road &amp; structure repair</v>
      </c>
      <c r="M39" s="4" t="str">
        <f>IF('Service Types'!S397="","",'Service Types'!S397)</f>
        <v>Clear</v>
      </c>
      <c r="N39" s="4" t="str">
        <f>IF('Service Types'!T397="","",'Service Types'!T397)</f>
        <v>A crew physically repairs a road, sidewalk, lane, pathway or structure.</v>
      </c>
    </row>
    <row r="40" spans="1:14" x14ac:dyDescent="0.45">
      <c r="A40" s="14">
        <v>39</v>
      </c>
      <c r="B40" s="4" t="s">
        <v>595</v>
      </c>
      <c r="C40" s="4" t="str">
        <f>IF('Service Types'!B457="","",'Service Types'!B457)</f>
        <v>OS - Parks and Open Spaces</v>
      </c>
      <c r="D40" s="5">
        <f>IF('Service Types'!E457="","",'Service Types'!E457)</f>
        <v>1372</v>
      </c>
      <c r="E40" s="5">
        <f>IF('Service Types'!D457="","",'Service Types'!D457)</f>
        <v>2576</v>
      </c>
      <c r="F40" s="5">
        <f>IF('Service Types'!F457="","",'Service Types'!F457)</f>
        <v>33</v>
      </c>
      <c r="G40" s="5">
        <f>IF('Service Types'!G457="","",'Service Types'!G457)</f>
        <v>13</v>
      </c>
      <c r="H40" s="5">
        <f>IF('Service Types'!H457="","",'Service Types'!H457)</f>
        <v>2543</v>
      </c>
      <c r="I40" s="6">
        <f>IF('Service Types'!I457="","",'Service Types'!I457)</f>
        <v>4</v>
      </c>
      <c r="J40" s="6">
        <f>IF('Service Types'!J457="","",'Service Types'!J457)</f>
        <v>8.6999999999999993</v>
      </c>
      <c r="K40" s="6">
        <f>IF('Service Types'!K457="","",'Service Types'!K457)</f>
        <v>19</v>
      </c>
      <c r="L40" s="4" t="str">
        <f>IF('Service Types'!R457="","",'Service Types'!R457)</f>
        <v>Parks &amp; trees</v>
      </c>
      <c r="M40" s="4" t="str">
        <f>IF('Service Types'!S457="","",'Service Types'!S457)</f>
        <v>Clear</v>
      </c>
      <c r="N40" s="4" t="str">
        <f>IF('Service Types'!T457="","",'Service Types'!T457)</f>
        <v>Parks crew does hands-on work: trees, mowing, park repairs or upkeep.</v>
      </c>
    </row>
    <row r="41" spans="1:14" x14ac:dyDescent="0.45">
      <c r="A41" s="14">
        <v>40</v>
      </c>
      <c r="B41" s="4" t="s">
        <v>511</v>
      </c>
      <c r="C41" s="4" t="str">
        <f>IF('Service Types'!B386="","",'Service Types'!B386)</f>
        <v>OS - Mobility</v>
      </c>
      <c r="D41" s="5">
        <f>IF('Service Types'!E386="","",'Service Types'!E386)</f>
        <v>1353</v>
      </c>
      <c r="E41" s="5">
        <f>IF('Service Types'!D386="","",'Service Types'!D386)</f>
        <v>5693</v>
      </c>
      <c r="F41" s="5">
        <f>IF('Service Types'!F386="","",'Service Types'!F386)</f>
        <v>34</v>
      </c>
      <c r="G41" s="5">
        <f>IF('Service Types'!G386="","",'Service Types'!G386)</f>
        <v>17</v>
      </c>
      <c r="H41" s="5">
        <f>IF('Service Types'!H386="","",'Service Types'!H386)</f>
        <v>5659</v>
      </c>
      <c r="I41" s="6">
        <f>IF('Service Types'!I386="","",'Service Types'!I386)</f>
        <v>2</v>
      </c>
      <c r="J41" s="6">
        <f>IF('Service Types'!J386="","",'Service Types'!J386)</f>
        <v>15.8</v>
      </c>
      <c r="K41" s="6">
        <f>IF('Service Types'!K386="","",'Service Types'!K386)</f>
        <v>15</v>
      </c>
      <c r="L41" s="4" t="str">
        <f>IF('Service Types'!R386="","",'Service Types'!R386)</f>
        <v>Road &amp; structure repair</v>
      </c>
      <c r="M41" s="4" t="str">
        <f>IF('Service Types'!S386="","",'Service Types'!S386)</f>
        <v>Borderline</v>
      </c>
      <c r="N41" s="4" t="str">
        <f>IF('Service Types'!T386="","",'Service Types'!T386)</f>
        <v>Someone has to go fix detour signs/traffic control, but it is often the construction contractor's job.</v>
      </c>
    </row>
    <row r="42" spans="1:14" x14ac:dyDescent="0.45">
      <c r="A42" s="14">
        <v>41</v>
      </c>
      <c r="B42" s="4" t="s">
        <v>591</v>
      </c>
      <c r="C42" s="4" t="str">
        <f>IF('Service Types'!B453="","",'Service Types'!B453)</f>
        <v>OS - Parks and Open Spaces</v>
      </c>
      <c r="D42" s="5">
        <f>IF('Service Types'!E453="","",'Service Types'!E453)</f>
        <v>1292</v>
      </c>
      <c r="E42" s="5">
        <f>IF('Service Types'!D453="","",'Service Types'!D453)</f>
        <v>4333</v>
      </c>
      <c r="F42" s="5">
        <f>IF('Service Types'!F453="","",'Service Types'!F453)</f>
        <v>85</v>
      </c>
      <c r="G42" s="5">
        <f>IF('Service Types'!G453="","",'Service Types'!G453)</f>
        <v>35</v>
      </c>
      <c r="H42" s="5">
        <f>IF('Service Types'!H453="","",'Service Types'!H453)</f>
        <v>4248</v>
      </c>
      <c r="I42" s="6">
        <f>IF('Service Types'!I453="","",'Service Types'!I453)</f>
        <v>3</v>
      </c>
      <c r="J42" s="6">
        <f>IF('Service Types'!J453="","",'Service Types'!J453)</f>
        <v>6.6</v>
      </c>
      <c r="K42" s="6">
        <f>IF('Service Types'!K453="","",'Service Types'!K453)</f>
        <v>15</v>
      </c>
      <c r="L42" s="4" t="str">
        <f>IF('Service Types'!R453="","",'Service Types'!R453)</f>
        <v>Parks &amp; trees</v>
      </c>
      <c r="M42" s="4" t="str">
        <f>IF('Service Types'!S453="","",'Service Types'!S453)</f>
        <v>Clear</v>
      </c>
      <c r="N42" s="4" t="str">
        <f>IF('Service Types'!T453="","",'Service Types'!T453)</f>
        <v>Parks crew does hands-on work: trees, mowing, park repairs or upkeep.</v>
      </c>
    </row>
    <row r="43" spans="1:14" x14ac:dyDescent="0.45">
      <c r="A43" s="14">
        <v>42</v>
      </c>
      <c r="B43" s="4" t="s">
        <v>695</v>
      </c>
      <c r="C43" s="4" t="str">
        <f>IF('Service Types'!B538="","",'Service Types'!B538)</f>
        <v>OS - Water Services</v>
      </c>
      <c r="D43" s="5">
        <f>IF('Service Types'!E538="","",'Service Types'!E538)</f>
        <v>1043</v>
      </c>
      <c r="E43" s="5">
        <f>IF('Service Types'!D538="","",'Service Types'!D538)</f>
        <v>5592</v>
      </c>
      <c r="F43" s="5">
        <f>IF('Service Types'!F538="","",'Service Types'!F538)</f>
        <v>34</v>
      </c>
      <c r="G43" s="5">
        <f>IF('Service Types'!G538="","",'Service Types'!G538)</f>
        <v>2</v>
      </c>
      <c r="H43" s="5">
        <f>IF('Service Types'!H538="","",'Service Types'!H538)</f>
        <v>5557</v>
      </c>
      <c r="I43" s="6">
        <f>IF('Service Types'!I538="","",'Service Types'!I538)</f>
        <v>20</v>
      </c>
      <c r="J43" s="6">
        <f>IF('Service Types'!J538="","",'Service Types'!J538)</f>
        <v>58</v>
      </c>
      <c r="K43" s="6">
        <f>IF('Service Types'!K538="","",'Service Types'!K538)</f>
        <v>149</v>
      </c>
      <c r="L43" s="4" t="str">
        <f>IF('Service Types'!R538="","",'Service Types'!R538)</f>
        <v>Water &amp; sewer</v>
      </c>
      <c r="M43" s="4" t="str">
        <f>IF('Service Types'!S538="","",'Service Types'!S538)</f>
        <v>Borderline</v>
      </c>
      <c r="N43" s="4" t="str">
        <f>IF('Service Types'!T538="","",'Service Types'!T538)</f>
        <v>Field job by Water Services, but booked by the customer, not a hazard to prioritize.</v>
      </c>
    </row>
    <row r="44" spans="1:14" x14ac:dyDescent="0.45">
      <c r="A44" s="14">
        <v>43</v>
      </c>
      <c r="B44" s="4" t="s">
        <v>594</v>
      </c>
      <c r="C44" s="4" t="str">
        <f>IF('Service Types'!B456="","",'Service Types'!B456)</f>
        <v>OS - Parks and Open Spaces</v>
      </c>
      <c r="D44" s="5">
        <f>IF('Service Types'!E456="","",'Service Types'!E456)</f>
        <v>969</v>
      </c>
      <c r="E44" s="5">
        <f>IF('Service Types'!D456="","",'Service Types'!D456)</f>
        <v>2754</v>
      </c>
      <c r="F44" s="5">
        <f>IF('Service Types'!F456="","",'Service Types'!F456)</f>
        <v>54</v>
      </c>
      <c r="G44" s="5">
        <f>IF('Service Types'!G456="","",'Service Types'!G456)</f>
        <v>36</v>
      </c>
      <c r="H44" s="5">
        <f>IF('Service Types'!H456="","",'Service Types'!H456)</f>
        <v>2700</v>
      </c>
      <c r="I44" s="6">
        <f>IF('Service Types'!I456="","",'Service Types'!I456)</f>
        <v>2</v>
      </c>
      <c r="J44" s="6">
        <f>IF('Service Types'!J456="","",'Service Types'!J456)</f>
        <v>6.9</v>
      </c>
      <c r="K44" s="6">
        <f>IF('Service Types'!K456="","",'Service Types'!K456)</f>
        <v>8</v>
      </c>
      <c r="L44" s="4" t="str">
        <f>IF('Service Types'!R456="","",'Service Types'!R456)</f>
        <v>Parks &amp; trees</v>
      </c>
      <c r="M44" s="4" t="str">
        <f>IF('Service Types'!S456="","",'Service Types'!S456)</f>
        <v>Clear</v>
      </c>
      <c r="N44" s="4" t="str">
        <f>IF('Service Types'!T456="","",'Service Types'!T456)</f>
        <v>Parks crew does hands-on work: trees, mowing, park repairs or upkeep.</v>
      </c>
    </row>
    <row r="45" spans="1:14" x14ac:dyDescent="0.45">
      <c r="A45" s="14">
        <v>44</v>
      </c>
      <c r="B45" s="4" t="s">
        <v>697</v>
      </c>
      <c r="C45" s="4" t="str">
        <f>IF('Service Types'!B539="","",'Service Types'!B539)</f>
        <v>OS - Water Services</v>
      </c>
      <c r="D45" s="5">
        <f>IF('Service Types'!E539="","",'Service Types'!E539)</f>
        <v>937</v>
      </c>
      <c r="E45" s="5">
        <f>IF('Service Types'!D539="","",'Service Types'!D539)</f>
        <v>4107</v>
      </c>
      <c r="F45" s="5">
        <f>IF('Service Types'!F539="","",'Service Types'!F539)</f>
        <v>15</v>
      </c>
      <c r="G45" s="5">
        <f>IF('Service Types'!G539="","",'Service Types'!G539)</f>
        <v>6</v>
      </c>
      <c r="H45" s="5">
        <f>IF('Service Types'!H539="","",'Service Types'!H539)</f>
        <v>3390</v>
      </c>
      <c r="I45" s="6">
        <f>IF('Service Types'!I539="","",'Service Types'!I539)</f>
        <v>1</v>
      </c>
      <c r="J45" s="6">
        <f>IF('Service Types'!J539="","",'Service Types'!J539)</f>
        <v>2.9</v>
      </c>
      <c r="K45" s="6">
        <f>IF('Service Types'!K539="","",'Service Types'!K539)</f>
        <v>3</v>
      </c>
      <c r="L45" s="4" t="str">
        <f>IF('Service Types'!R539="","",'Service Types'!R539)</f>
        <v>Water &amp; sewer</v>
      </c>
      <c r="M45" s="4" t="str">
        <f>IF('Service Types'!S539="","",'Service Types'!S539)</f>
        <v>Clear</v>
      </c>
      <c r="N45" s="4" t="str">
        <f>IF('Service Types'!T539="","",'Service Types'!T539)</f>
        <v>Water/sewer crew goes to the site to fix or respond to a utility problem.</v>
      </c>
    </row>
    <row r="46" spans="1:14" x14ac:dyDescent="0.45">
      <c r="A46" s="14">
        <v>45</v>
      </c>
      <c r="B46" s="4" t="s">
        <v>518</v>
      </c>
      <c r="C46" s="4" t="str">
        <f>IF('Service Types'!B390="","",'Service Types'!B390)</f>
        <v>OS - Mobility</v>
      </c>
      <c r="D46" s="5">
        <f>IF('Service Types'!E390="","",'Service Types'!E390)</f>
        <v>911</v>
      </c>
      <c r="E46" s="5">
        <f>IF('Service Types'!D390="","",'Service Types'!D390)</f>
        <v>4548</v>
      </c>
      <c r="F46" s="5">
        <f>IF('Service Types'!F390="","",'Service Types'!F390)</f>
        <v>453</v>
      </c>
      <c r="G46" s="5">
        <f>IF('Service Types'!G390="","",'Service Types'!G390)</f>
        <v>402</v>
      </c>
      <c r="H46" s="5">
        <f>IF('Service Types'!H390="","",'Service Types'!H390)</f>
        <v>3784</v>
      </c>
      <c r="I46" s="6">
        <f>IF('Service Types'!I390="","",'Service Types'!I390)</f>
        <v>3</v>
      </c>
      <c r="J46" s="6">
        <f>IF('Service Types'!J390="","",'Service Types'!J390)</f>
        <v>50.8</v>
      </c>
      <c r="K46" s="6">
        <f>IF('Service Types'!K390="","",'Service Types'!K390)</f>
        <v>157</v>
      </c>
      <c r="L46" s="4" t="str">
        <f>IF('Service Types'!R390="","",'Service Types'!R390)</f>
        <v>Road &amp; structure repair</v>
      </c>
      <c r="M46" s="4" t="str">
        <f>IF('Service Types'!S390="","",'Service Types'!S390)</f>
        <v>Clear</v>
      </c>
      <c r="N46" s="4" t="str">
        <f>IF('Service Types'!T390="","",'Service Types'!T390)</f>
        <v>A crew physically repairs a road, sidewalk, lane, pathway or structure.</v>
      </c>
    </row>
    <row r="47" spans="1:14" x14ac:dyDescent="0.45">
      <c r="A47" s="14">
        <v>46</v>
      </c>
      <c r="B47" s="4" t="s">
        <v>700</v>
      </c>
      <c r="C47" s="4" t="str">
        <f>IF('Service Types'!B541="","",'Service Types'!B541)</f>
        <v>OS - Water Services</v>
      </c>
      <c r="D47" s="5">
        <f>IF('Service Types'!E541="","",'Service Types'!E541)</f>
        <v>908</v>
      </c>
      <c r="E47" s="5">
        <f>IF('Service Types'!D541="","",'Service Types'!D541)</f>
        <v>3720</v>
      </c>
      <c r="F47" s="5">
        <f>IF('Service Types'!F541="","",'Service Types'!F541)</f>
        <v>21</v>
      </c>
      <c r="G47" s="5">
        <f>IF('Service Types'!G541="","",'Service Types'!G541)</f>
        <v>11</v>
      </c>
      <c r="H47" s="5">
        <f>IF('Service Types'!H541="","",'Service Types'!H541)</f>
        <v>3699</v>
      </c>
      <c r="I47" s="6">
        <f>IF('Service Types'!I541="","",'Service Types'!I541)</f>
        <v>3</v>
      </c>
      <c r="J47" s="6">
        <f>IF('Service Types'!J541="","",'Service Types'!J541)</f>
        <v>13.7</v>
      </c>
      <c r="K47" s="6">
        <f>IF('Service Types'!K541="","",'Service Types'!K541)</f>
        <v>29</v>
      </c>
      <c r="L47" s="4" t="str">
        <f>IF('Service Types'!R541="","",'Service Types'!R541)</f>
        <v>Water &amp; sewer</v>
      </c>
      <c r="M47" s="4" t="str">
        <f>IF('Service Types'!S541="","",'Service Types'!S541)</f>
        <v>Clear</v>
      </c>
      <c r="N47" s="4" t="str">
        <f>IF('Service Types'!T541="","",'Service Types'!T541)</f>
        <v>Water/sewer crew goes to the site to fix or respond to a utility problem.</v>
      </c>
    </row>
    <row r="48" spans="1:14" x14ac:dyDescent="0.45">
      <c r="A48" s="14">
        <v>47</v>
      </c>
      <c r="B48" s="4" t="s">
        <v>698</v>
      </c>
      <c r="C48" s="4" t="str">
        <f>IF('Service Types'!B540="","",'Service Types'!B540)</f>
        <v>OS - Water Services</v>
      </c>
      <c r="D48" s="5">
        <f>IF('Service Types'!E540="","",'Service Types'!E540)</f>
        <v>900</v>
      </c>
      <c r="E48" s="5">
        <f>IF('Service Types'!D540="","",'Service Types'!D540)</f>
        <v>3870</v>
      </c>
      <c r="F48" s="5">
        <f>IF('Service Types'!F540="","",'Service Types'!F540)</f>
        <v>35</v>
      </c>
      <c r="G48" s="5">
        <f>IF('Service Types'!G540="","",'Service Types'!G540)</f>
        <v>5</v>
      </c>
      <c r="H48" s="5">
        <f>IF('Service Types'!H540="","",'Service Types'!H540)</f>
        <v>3831</v>
      </c>
      <c r="I48" s="6">
        <f>IF('Service Types'!I540="","",'Service Types'!I540)</f>
        <v>9</v>
      </c>
      <c r="J48" s="6">
        <f>IF('Service Types'!J540="","",'Service Types'!J540)</f>
        <v>56.4</v>
      </c>
      <c r="K48" s="6">
        <f>IF('Service Types'!K540="","",'Service Types'!K540)</f>
        <v>170</v>
      </c>
      <c r="L48" s="4" t="str">
        <f>IF('Service Types'!R540="","",'Service Types'!R540)</f>
        <v>Water &amp; sewer</v>
      </c>
      <c r="M48" s="4" t="str">
        <f>IF('Service Types'!S540="","",'Service Types'!S540)</f>
        <v>Borderline</v>
      </c>
      <c r="N48" s="4" t="str">
        <f>IF('Service Types'!T540="","",'Service Types'!T540)</f>
        <v>Field job by Water Services, but a booked installation, not a hazard.</v>
      </c>
    </row>
    <row r="49" spans="1:14" x14ac:dyDescent="0.45">
      <c r="A49" s="14">
        <v>48</v>
      </c>
      <c r="B49" s="4" t="s">
        <v>459</v>
      </c>
      <c r="C49" s="4" t="str">
        <f>IF('Service Types'!B350="","",'Service Types'!B350)</f>
        <v>OS - Calgary Transit</v>
      </c>
      <c r="D49" s="5">
        <f>IF('Service Types'!E350="","",'Service Types'!E350)</f>
        <v>794</v>
      </c>
      <c r="E49" s="5">
        <f>IF('Service Types'!D350="","",'Service Types'!D350)</f>
        <v>4005</v>
      </c>
      <c r="F49" s="5">
        <f>IF('Service Types'!F350="","",'Service Types'!F350)</f>
        <v>118</v>
      </c>
      <c r="G49" s="5">
        <f>IF('Service Types'!G350="","",'Service Types'!G350)</f>
        <v>19</v>
      </c>
      <c r="H49" s="5">
        <f>IF('Service Types'!H350="","",'Service Types'!H350)</f>
        <v>3887</v>
      </c>
      <c r="I49" s="6">
        <f>IF('Service Types'!I350="","",'Service Types'!I350)</f>
        <v>7</v>
      </c>
      <c r="J49" s="6">
        <f>IF('Service Types'!J350="","",'Service Types'!J350)</f>
        <v>16.5</v>
      </c>
      <c r="K49" s="6">
        <f>IF('Service Types'!K350="","",'Service Types'!K350)</f>
        <v>42</v>
      </c>
      <c r="L49" s="4" t="str">
        <f>IF('Service Types'!R350="","",'Service Types'!R350)</f>
        <v>Facilities</v>
      </c>
      <c r="M49" s="4" t="str">
        <f>IF('Service Types'!S350="","",'Service Types'!S350)</f>
        <v>Borderline</v>
      </c>
      <c r="N49" s="4" t="str">
        <f>IF('Service Types'!T350="","",'Service Types'!T350)</f>
        <v>Station repairs/cleaning are crew work; many tickets are general station feedback.</v>
      </c>
    </row>
    <row r="50" spans="1:14" x14ac:dyDescent="0.45">
      <c r="A50" s="14">
        <v>49</v>
      </c>
      <c r="B50" s="4" t="s">
        <v>707</v>
      </c>
      <c r="C50" s="4" t="str">
        <f>IF('Service Types'!B546="","",'Service Types'!B546)</f>
        <v>OS - Water Services</v>
      </c>
      <c r="D50" s="5">
        <f>IF('Service Types'!E546="","",'Service Types'!E546)</f>
        <v>791</v>
      </c>
      <c r="E50" s="5">
        <f>IF('Service Types'!D546="","",'Service Types'!D546)</f>
        <v>3091</v>
      </c>
      <c r="F50" s="5">
        <f>IF('Service Types'!F546="","",'Service Types'!F546)</f>
        <v>12</v>
      </c>
      <c r="G50" s="5">
        <f>IF('Service Types'!G546="","",'Service Types'!G546)</f>
        <v>9</v>
      </c>
      <c r="H50" s="5">
        <f>IF('Service Types'!H546="","",'Service Types'!H546)</f>
        <v>3079</v>
      </c>
      <c r="I50" s="6">
        <f>IF('Service Types'!I546="","",'Service Types'!I546)</f>
        <v>1</v>
      </c>
      <c r="J50" s="6">
        <f>IF('Service Types'!J546="","",'Service Types'!J546)</f>
        <v>4.5999999999999996</v>
      </c>
      <c r="K50" s="6">
        <f>IF('Service Types'!K546="","",'Service Types'!K546)</f>
        <v>3</v>
      </c>
      <c r="L50" s="4" t="str">
        <f>IF('Service Types'!R546="","",'Service Types'!R546)</f>
        <v>Cleaning &amp; removal</v>
      </c>
      <c r="M50" s="4" t="str">
        <f>IF('Service Types'!S546="","",'Service Types'!S546)</f>
        <v>Clear</v>
      </c>
      <c r="N50" s="4" t="str">
        <f>IF('Service Types'!T546="","",'Service Types'!T546)</f>
        <v>A crew physically cleans up or removes something from public property.</v>
      </c>
    </row>
    <row r="51" spans="1:14" x14ac:dyDescent="0.45">
      <c r="A51" s="14">
        <v>50</v>
      </c>
      <c r="B51" s="4" t="s">
        <v>702</v>
      </c>
      <c r="C51" s="4" t="str">
        <f>IF('Service Types'!B543="","",'Service Types'!B543)</f>
        <v>OS - Water Services</v>
      </c>
      <c r="D51" s="5">
        <f>IF('Service Types'!E543="","",'Service Types'!E543)</f>
        <v>759</v>
      </c>
      <c r="E51" s="5">
        <f>IF('Service Types'!D543="","",'Service Types'!D543)</f>
        <v>3618</v>
      </c>
      <c r="F51" s="5">
        <f>IF('Service Types'!F543="","",'Service Types'!F543)</f>
        <v>6</v>
      </c>
      <c r="G51" s="5">
        <f>IF('Service Types'!G543="","",'Service Types'!G543)</f>
        <v>6</v>
      </c>
      <c r="H51" s="5">
        <f>IF('Service Types'!H543="","",'Service Types'!H543)</f>
        <v>3612</v>
      </c>
      <c r="I51" s="6">
        <f>IF('Service Types'!I543="","",'Service Types'!I543)</f>
        <v>0</v>
      </c>
      <c r="J51" s="6">
        <f>IF('Service Types'!J543="","",'Service Types'!J543)</f>
        <v>0.7</v>
      </c>
      <c r="K51" s="6">
        <f>IF('Service Types'!K543="","",'Service Types'!K543)</f>
        <v>0</v>
      </c>
      <c r="L51" s="4" t="str">
        <f>IF('Service Types'!R543="","",'Service Types'!R543)</f>
        <v>Water &amp; sewer</v>
      </c>
      <c r="M51" s="4" t="str">
        <f>IF('Service Types'!S543="","",'Service Types'!S543)</f>
        <v>Clear</v>
      </c>
      <c r="N51" s="4" t="str">
        <f>IF('Service Types'!T543="","",'Service Types'!T543)</f>
        <v>Water/sewer crew goes to the site to fix or respond to a utility problem.</v>
      </c>
    </row>
    <row r="52" spans="1:14" x14ac:dyDescent="0.45">
      <c r="A52" s="14">
        <v>51</v>
      </c>
      <c r="B52" s="4" t="s">
        <v>596</v>
      </c>
      <c r="C52" s="4" t="str">
        <f>IF('Service Types'!B458="","",'Service Types'!B458)</f>
        <v>OS - Parks and Open Spaces</v>
      </c>
      <c r="D52" s="5">
        <f>IF('Service Types'!E458="","",'Service Types'!E458)</f>
        <v>726</v>
      </c>
      <c r="E52" s="5">
        <f>IF('Service Types'!D458="","",'Service Types'!D458)</f>
        <v>2420</v>
      </c>
      <c r="F52" s="5">
        <f>IF('Service Types'!F458="","",'Service Types'!F458)</f>
        <v>4</v>
      </c>
      <c r="G52" s="5">
        <f>IF('Service Types'!G458="","",'Service Types'!G458)</f>
        <v>2</v>
      </c>
      <c r="H52" s="5">
        <f>IF('Service Types'!H458="","",'Service Types'!H458)</f>
        <v>2416</v>
      </c>
      <c r="I52" s="6">
        <f>IF('Service Types'!I458="","",'Service Types'!I458)</f>
        <v>6</v>
      </c>
      <c r="J52" s="6">
        <f>IF('Service Types'!J458="","",'Service Types'!J458)</f>
        <v>9.6999999999999993</v>
      </c>
      <c r="K52" s="6">
        <f>IF('Service Types'!K458="","",'Service Types'!K458)</f>
        <v>22</v>
      </c>
      <c r="L52" s="4" t="str">
        <f>IF('Service Types'!R458="","",'Service Types'!R458)</f>
        <v>Parks &amp; trees</v>
      </c>
      <c r="M52" s="4" t="str">
        <f>IF('Service Types'!S458="","",'Service Types'!S458)</f>
        <v>Clear</v>
      </c>
      <c r="N52" s="4" t="str">
        <f>IF('Service Types'!T458="","",'Service Types'!T458)</f>
        <v>Parks crew does hands-on work: trees, mowing, park repairs or upkeep.</v>
      </c>
    </row>
    <row r="53" spans="1:14" x14ac:dyDescent="0.45">
      <c r="A53" s="14">
        <v>52</v>
      </c>
      <c r="B53" s="4" t="s">
        <v>712</v>
      </c>
      <c r="C53" s="4" t="str">
        <f>IF('Service Types'!B550="","",'Service Types'!B550)</f>
        <v>OS - Water Services</v>
      </c>
      <c r="D53" s="5">
        <f>IF('Service Types'!E550="","",'Service Types'!E550)</f>
        <v>721</v>
      </c>
      <c r="E53" s="5">
        <f>IF('Service Types'!D550="","",'Service Types'!D550)</f>
        <v>2836</v>
      </c>
      <c r="F53" s="5">
        <f>IF('Service Types'!F550="","",'Service Types'!F550)</f>
        <v>27</v>
      </c>
      <c r="G53" s="5">
        <f>IF('Service Types'!G550="","",'Service Types'!G550)</f>
        <v>0</v>
      </c>
      <c r="H53" s="5">
        <f>IF('Service Types'!H550="","",'Service Types'!H550)</f>
        <v>2804</v>
      </c>
      <c r="I53" s="6">
        <f>IF('Service Types'!I550="","",'Service Types'!I550)</f>
        <v>6</v>
      </c>
      <c r="J53" s="6">
        <f>IF('Service Types'!J550="","",'Service Types'!J550)</f>
        <v>8.9</v>
      </c>
      <c r="K53" s="6">
        <f>IF('Service Types'!K550="","",'Service Types'!K550)</f>
        <v>19</v>
      </c>
      <c r="L53" s="4" t="str">
        <f>IF('Service Types'!R550="","",'Service Types'!R550)</f>
        <v>Water &amp; sewer</v>
      </c>
      <c r="M53" s="4" t="str">
        <f>IF('Service Types'!S550="","",'Service Types'!S550)</f>
        <v>Clear</v>
      </c>
      <c r="N53" s="4" t="str">
        <f>IF('Service Types'!T550="","",'Service Types'!T550)</f>
        <v>Water/sewer crew goes to the site to fix or respond to a utility problem.</v>
      </c>
    </row>
    <row r="54" spans="1:14" x14ac:dyDescent="0.45">
      <c r="A54" s="14">
        <v>53</v>
      </c>
      <c r="B54" s="4" t="s">
        <v>703</v>
      </c>
      <c r="C54" s="4" t="str">
        <f>IF('Service Types'!B544="","",'Service Types'!B544)</f>
        <v>OS - Water Services</v>
      </c>
      <c r="D54" s="5">
        <f>IF('Service Types'!E544="","",'Service Types'!E544)</f>
        <v>693</v>
      </c>
      <c r="E54" s="5">
        <f>IF('Service Types'!D544="","",'Service Types'!D544)</f>
        <v>3544</v>
      </c>
      <c r="F54" s="5">
        <f>IF('Service Types'!F544="","",'Service Types'!F544)</f>
        <v>28</v>
      </c>
      <c r="G54" s="5">
        <f>IF('Service Types'!G544="","",'Service Types'!G544)</f>
        <v>6</v>
      </c>
      <c r="H54" s="5">
        <f>IF('Service Types'!H544="","",'Service Types'!H544)</f>
        <v>3479</v>
      </c>
      <c r="I54" s="6">
        <f>IF('Service Types'!I544="","",'Service Types'!I544)</f>
        <v>3</v>
      </c>
      <c r="J54" s="6">
        <f>IF('Service Types'!J544="","",'Service Types'!J544)</f>
        <v>9.4</v>
      </c>
      <c r="K54" s="6">
        <f>IF('Service Types'!K544="","",'Service Types'!K544)</f>
        <v>20</v>
      </c>
      <c r="L54" s="4" t="str">
        <f>IF('Service Types'!R544="","",'Service Types'!R544)</f>
        <v>Water &amp; sewer</v>
      </c>
      <c r="M54" s="4" t="str">
        <f>IF('Service Types'!S544="","",'Service Types'!S544)</f>
        <v>Borderline</v>
      </c>
      <c r="N54" s="4" t="str">
        <f>IF('Service Types'!T544="","",'Service Types'!T544)</f>
        <v>Usually needs a field investigation; the cause may be on private property.</v>
      </c>
    </row>
    <row r="55" spans="1:14" x14ac:dyDescent="0.45">
      <c r="A55" s="14">
        <v>54</v>
      </c>
      <c r="B55" s="4" t="s">
        <v>709</v>
      </c>
      <c r="C55" s="4" t="str">
        <f>IF('Service Types'!B548="","",'Service Types'!B548)</f>
        <v>OS - Water Services</v>
      </c>
      <c r="D55" s="5">
        <f>IF('Service Types'!E548="","",'Service Types'!E548)</f>
        <v>660</v>
      </c>
      <c r="E55" s="5">
        <f>IF('Service Types'!D548="","",'Service Types'!D548)</f>
        <v>2939</v>
      </c>
      <c r="F55" s="5">
        <f>IF('Service Types'!F548="","",'Service Types'!F548)</f>
        <v>0</v>
      </c>
      <c r="G55" s="5">
        <f>IF('Service Types'!G548="","",'Service Types'!G548)</f>
        <v>0</v>
      </c>
      <c r="H55" s="5">
        <f>IF('Service Types'!H548="","",'Service Types'!H548)</f>
        <v>2934</v>
      </c>
      <c r="I55" s="6">
        <f>IF('Service Types'!I548="","",'Service Types'!I548)</f>
        <v>2</v>
      </c>
      <c r="J55" s="6">
        <f>IF('Service Types'!J548="","",'Service Types'!J548)</f>
        <v>9.5</v>
      </c>
      <c r="K55" s="6">
        <f>IF('Service Types'!K548="","",'Service Types'!K548)</f>
        <v>18</v>
      </c>
      <c r="L55" s="4" t="str">
        <f>IF('Service Types'!R548="","",'Service Types'!R548)</f>
        <v>Water &amp; sewer</v>
      </c>
      <c r="M55" s="4" t="str">
        <f>IF('Service Types'!S548="","",'Service Types'!S548)</f>
        <v>Borderline</v>
      </c>
      <c r="N55" s="4" t="str">
        <f>IF('Service Types'!T548="","",'Service Types'!T548)</f>
        <v>Usually a field sampling visit; may not need repair work.</v>
      </c>
    </row>
    <row r="56" spans="1:14" x14ac:dyDescent="0.45">
      <c r="A56" s="14">
        <v>55</v>
      </c>
      <c r="B56" s="4" t="s">
        <v>522</v>
      </c>
      <c r="C56" s="4" t="str">
        <f>IF('Service Types'!B393="","",'Service Types'!B393)</f>
        <v>OS - Mobility</v>
      </c>
      <c r="D56" s="5">
        <f>IF('Service Types'!E393="","",'Service Types'!E393)</f>
        <v>622</v>
      </c>
      <c r="E56" s="5">
        <f>IF('Service Types'!D393="","",'Service Types'!D393)</f>
        <v>2418</v>
      </c>
      <c r="F56" s="5">
        <f>IF('Service Types'!F393="","",'Service Types'!F393)</f>
        <v>0</v>
      </c>
      <c r="G56" s="5">
        <f>IF('Service Types'!G393="","",'Service Types'!G393)</f>
        <v>0</v>
      </c>
      <c r="H56" s="5">
        <f>IF('Service Types'!H393="","",'Service Types'!H393)</f>
        <v>2391</v>
      </c>
      <c r="I56" s="6">
        <f>IF('Service Types'!I393="","",'Service Types'!I393)</f>
        <v>0</v>
      </c>
      <c r="J56" s="6">
        <f>IF('Service Types'!J393="","",'Service Types'!J393)</f>
        <v>18.100000000000001</v>
      </c>
      <c r="K56" s="6">
        <f>IF('Service Types'!K393="","",'Service Types'!K393)</f>
        <v>58</v>
      </c>
      <c r="L56" s="4" t="str">
        <f>IF('Service Types'!R393="","",'Service Types'!R393)</f>
        <v>Signs, signals &amp; lights</v>
      </c>
      <c r="M56" s="4" t="str">
        <f>IF('Service Types'!S393="","",'Service Types'!S393)</f>
        <v>Clear</v>
      </c>
      <c r="N56" s="4" t="str">
        <f>IF('Service Types'!T393="","",'Service Types'!T393)</f>
        <v>Field repair or replacement of signs, markings, signals or lights.</v>
      </c>
    </row>
    <row r="57" spans="1:14" x14ac:dyDescent="0.45">
      <c r="A57" s="14">
        <v>56</v>
      </c>
      <c r="B57" s="4" t="s">
        <v>714</v>
      </c>
      <c r="C57" s="4" t="str">
        <f>IF('Service Types'!B552="","",'Service Types'!B552)</f>
        <v>OS - Water Services</v>
      </c>
      <c r="D57" s="5">
        <f>IF('Service Types'!E552="","",'Service Types'!E552)</f>
        <v>553</v>
      </c>
      <c r="E57" s="5">
        <f>IF('Service Types'!D552="","",'Service Types'!D552)</f>
        <v>2455</v>
      </c>
      <c r="F57" s="5">
        <f>IF('Service Types'!F552="","",'Service Types'!F552)</f>
        <v>13</v>
      </c>
      <c r="G57" s="5">
        <f>IF('Service Types'!G552="","",'Service Types'!G552)</f>
        <v>0</v>
      </c>
      <c r="H57" s="5">
        <f>IF('Service Types'!H552="","",'Service Types'!H552)</f>
        <v>2442</v>
      </c>
      <c r="I57" s="6">
        <f>IF('Service Types'!I552="","",'Service Types'!I552)</f>
        <v>1</v>
      </c>
      <c r="J57" s="6">
        <f>IF('Service Types'!J552="","",'Service Types'!J552)</f>
        <v>7.9</v>
      </c>
      <c r="K57" s="6">
        <f>IF('Service Types'!K552="","",'Service Types'!K552)</f>
        <v>14</v>
      </c>
      <c r="L57" s="4" t="str">
        <f>IF('Service Types'!R552="","",'Service Types'!R552)</f>
        <v>Water &amp; sewer</v>
      </c>
      <c r="M57" s="4" t="str">
        <f>IF('Service Types'!S552="","",'Service Types'!S552)</f>
        <v>Clear</v>
      </c>
      <c r="N57" s="4" t="str">
        <f>IF('Service Types'!T552="","",'Service Types'!T552)</f>
        <v>Water/sewer crew goes to the site to fix or respond to a utility problem.</v>
      </c>
    </row>
    <row r="58" spans="1:14" x14ac:dyDescent="0.45">
      <c r="A58" s="14">
        <v>57</v>
      </c>
      <c r="B58" s="4" t="s">
        <v>603</v>
      </c>
      <c r="C58" s="4" t="str">
        <f>IF('Service Types'!B464="","",'Service Types'!B464)</f>
        <v>OS - Parks and Open Spaces</v>
      </c>
      <c r="D58" s="5">
        <f>IF('Service Types'!E464="","",'Service Types'!E464)</f>
        <v>535</v>
      </c>
      <c r="E58" s="5">
        <f>IF('Service Types'!D464="","",'Service Types'!D464)</f>
        <v>1543</v>
      </c>
      <c r="F58" s="5">
        <f>IF('Service Types'!F464="","",'Service Types'!F464)</f>
        <v>7</v>
      </c>
      <c r="G58" s="5">
        <f>IF('Service Types'!G464="","",'Service Types'!G464)</f>
        <v>0</v>
      </c>
      <c r="H58" s="5">
        <f>IF('Service Types'!H464="","",'Service Types'!H464)</f>
        <v>1536</v>
      </c>
      <c r="I58" s="6">
        <f>IF('Service Types'!I464="","",'Service Types'!I464)</f>
        <v>6</v>
      </c>
      <c r="J58" s="6">
        <f>IF('Service Types'!J464="","",'Service Types'!J464)</f>
        <v>9.5</v>
      </c>
      <c r="K58" s="6">
        <f>IF('Service Types'!K464="","",'Service Types'!K464)</f>
        <v>18</v>
      </c>
      <c r="L58" s="4" t="str">
        <f>IF('Service Types'!R464="","",'Service Types'!R464)</f>
        <v>Parks &amp; trees</v>
      </c>
      <c r="M58" s="4" t="str">
        <f>IF('Service Types'!S464="","",'Service Types'!S464)</f>
        <v>Borderline</v>
      </c>
      <c r="N58" s="4" t="str">
        <f>IF('Service Types'!T464="","",'Service Types'!T464)</f>
        <v>Pest treatment is done by Parks crews, but many tickets are reports/advice only.</v>
      </c>
    </row>
    <row r="59" spans="1:14" x14ac:dyDescent="0.45">
      <c r="A59" s="14">
        <v>58</v>
      </c>
      <c r="B59" s="4" t="s">
        <v>421</v>
      </c>
      <c r="C59" s="4" t="str">
        <f>IF('Service Types'!B323="","",'Service Types'!B323)</f>
        <v>IS - Real Estate and Development Services</v>
      </c>
      <c r="D59" s="5">
        <f>IF('Service Types'!E323="","",'Service Types'!E323)</f>
        <v>442</v>
      </c>
      <c r="E59" s="5">
        <f>IF('Service Types'!D323="","",'Service Types'!D323)</f>
        <v>2006</v>
      </c>
      <c r="F59" s="5">
        <f>IF('Service Types'!F323="","",'Service Types'!F323)</f>
        <v>29</v>
      </c>
      <c r="G59" s="5">
        <f>IF('Service Types'!G323="","",'Service Types'!G323)</f>
        <v>15</v>
      </c>
      <c r="H59" s="5">
        <f>IF('Service Types'!H323="","",'Service Types'!H323)</f>
        <v>1977</v>
      </c>
      <c r="I59" s="6">
        <f>IF('Service Types'!I323="","",'Service Types'!I323)</f>
        <v>3</v>
      </c>
      <c r="J59" s="6">
        <f>IF('Service Types'!J323="","",'Service Types'!J323)</f>
        <v>18.2</v>
      </c>
      <c r="K59" s="6">
        <f>IF('Service Types'!K323="","",'Service Types'!K323)</f>
        <v>24</v>
      </c>
      <c r="L59" s="4" t="str">
        <f>IF('Service Types'!R323="","",'Service Types'!R323)</f>
        <v>Facilities</v>
      </c>
      <c r="M59" s="4" t="str">
        <f>IF('Service Types'!S323="","",'Service Types'!S323)</f>
        <v>Borderline</v>
      </c>
      <c r="N59" s="4" t="str">
        <f>IF('Service Types'!T323="","",'Service Types'!T323)</f>
        <v>Clean-up/upkeep of City-owned lots is field work, often by contractors; some tickets are encroachment issues.</v>
      </c>
    </row>
    <row r="60" spans="1:14" x14ac:dyDescent="0.45">
      <c r="A60" s="14">
        <v>59</v>
      </c>
      <c r="B60" s="4" t="s">
        <v>483</v>
      </c>
      <c r="C60" s="4" t="str">
        <f>IF('Service Types'!B365="","",'Service Types'!B365)</f>
        <v>OS - Facility Management</v>
      </c>
      <c r="D60" s="5">
        <f>IF('Service Types'!E365="","",'Service Types'!E365)</f>
        <v>329</v>
      </c>
      <c r="E60" s="5">
        <f>IF('Service Types'!D365="","",'Service Types'!D365)</f>
        <v>1434</v>
      </c>
      <c r="F60" s="5">
        <f>IF('Service Types'!F365="","",'Service Types'!F365)</f>
        <v>12</v>
      </c>
      <c r="G60" s="5">
        <f>IF('Service Types'!G365="","",'Service Types'!G365)</f>
        <v>9</v>
      </c>
      <c r="H60" s="5">
        <f>IF('Service Types'!H365="","",'Service Types'!H365)</f>
        <v>1422</v>
      </c>
      <c r="I60" s="6">
        <f>IF('Service Types'!I365="","",'Service Types'!I365)</f>
        <v>1</v>
      </c>
      <c r="J60" s="6">
        <f>IF('Service Types'!J365="","",'Service Types'!J365)</f>
        <v>10.3</v>
      </c>
      <c r="K60" s="6">
        <f>IF('Service Types'!K365="","",'Service Types'!K365)</f>
        <v>11</v>
      </c>
      <c r="L60" s="4" t="str">
        <f>IF('Service Types'!R365="","",'Service Types'!R365)</f>
        <v>Facilities</v>
      </c>
      <c r="M60" s="4" t="str">
        <f>IF('Service Types'!S365="","",'Service Types'!S365)</f>
        <v>Borderline</v>
      </c>
      <c r="N60" s="4" t="str">
        <f>IF('Service Types'!T365="","",'Service Types'!T365)</f>
        <v>Maintenance requests for City buildings (trades crews), internal rather than public infrastructure.</v>
      </c>
    </row>
    <row r="61" spans="1:14" x14ac:dyDescent="0.45">
      <c r="A61" s="14">
        <v>60</v>
      </c>
      <c r="B61" s="4" t="s">
        <v>528</v>
      </c>
      <c r="C61" s="4" t="str">
        <f>IF('Service Types'!B399="","",'Service Types'!B399)</f>
        <v>OS - Mobility</v>
      </c>
      <c r="D61" s="5">
        <f>IF('Service Types'!E399="","",'Service Types'!E399)</f>
        <v>313</v>
      </c>
      <c r="E61" s="5">
        <f>IF('Service Types'!D399="","",'Service Types'!D399)</f>
        <v>1357</v>
      </c>
      <c r="F61" s="5">
        <f>IF('Service Types'!F399="","",'Service Types'!F399)</f>
        <v>34</v>
      </c>
      <c r="G61" s="5">
        <f>IF('Service Types'!G399="","",'Service Types'!G399)</f>
        <v>16</v>
      </c>
      <c r="H61" s="5">
        <f>IF('Service Types'!H399="","",'Service Types'!H399)</f>
        <v>1323</v>
      </c>
      <c r="I61" s="6">
        <f>IF('Service Types'!I399="","",'Service Types'!I399)</f>
        <v>82</v>
      </c>
      <c r="J61" s="6">
        <f>IF('Service Types'!J399="","",'Service Types'!J399)</f>
        <v>126.2</v>
      </c>
      <c r="K61" s="6">
        <f>IF('Service Types'!K399="","",'Service Types'!K399)</f>
        <v>410</v>
      </c>
      <c r="L61" s="4" t="str">
        <f>IF('Service Types'!R399="","",'Service Types'!R399)</f>
        <v>Signs, signals &amp; lights</v>
      </c>
      <c r="M61" s="4" t="str">
        <f>IF('Service Types'!S399="","",'Service Types'!S399)</f>
        <v>Clear</v>
      </c>
      <c r="N61" s="4" t="str">
        <f>IF('Service Types'!T399="","",'Service Types'!T399)</f>
        <v>Field repair or replacement of signs, markings, signals or lights.</v>
      </c>
    </row>
    <row r="62" spans="1:14" x14ac:dyDescent="0.45">
      <c r="A62" s="14">
        <v>61</v>
      </c>
      <c r="B62" s="4" t="s">
        <v>371</v>
      </c>
      <c r="C62" s="4" t="str">
        <f>IF('Service Types'!B281="","",'Service Types'!B281)</f>
        <v>IS - Capital Planning and Business Services</v>
      </c>
      <c r="D62" s="5">
        <f>IF('Service Types'!E281="","",'Service Types'!E281)</f>
        <v>273</v>
      </c>
      <c r="E62" s="5">
        <f>IF('Service Types'!D281="","",'Service Types'!D281)</f>
        <v>502</v>
      </c>
      <c r="F62" s="5">
        <f>IF('Service Types'!F281="","",'Service Types'!F281)</f>
        <v>8</v>
      </c>
      <c r="G62" s="5">
        <f>IF('Service Types'!G281="","",'Service Types'!G281)</f>
        <v>3</v>
      </c>
      <c r="H62" s="5">
        <f>IF('Service Types'!H281="","",'Service Types'!H281)</f>
        <v>493</v>
      </c>
      <c r="I62" s="6">
        <f>IF('Service Types'!I281="","",'Service Types'!I281)</f>
        <v>2</v>
      </c>
      <c r="J62" s="6">
        <f>IF('Service Types'!J281="","",'Service Types'!J281)</f>
        <v>21.2</v>
      </c>
      <c r="K62" s="6">
        <f>IF('Service Types'!K281="","",'Service Types'!K281)</f>
        <v>11</v>
      </c>
      <c r="L62" s="4" t="str">
        <f>IF('Service Types'!R281="","",'Service Types'!R281)</f>
        <v>Road &amp; structure repair</v>
      </c>
      <c r="M62" s="4" t="str">
        <f>IF('Service Types'!S281="","",'Service Types'!S281)</f>
        <v>Borderline</v>
      </c>
      <c r="N62" s="4" t="str">
        <f>IF('Service Types'!T281="","",'Service Types'!T281)</f>
        <v>Same service as Roads - Bridge - Tunnel - Underpass Concern after it moved to Capital Planning; engineers often assess first.</v>
      </c>
    </row>
    <row r="63" spans="1:14" x14ac:dyDescent="0.45">
      <c r="A63" s="14">
        <v>62</v>
      </c>
      <c r="B63" s="4" t="s">
        <v>738</v>
      </c>
      <c r="C63" s="4" t="str">
        <f>IF('Service Types'!B570="","",'Service Types'!B570)</f>
        <v>OS - Water Services</v>
      </c>
      <c r="D63" s="5">
        <f>IF('Service Types'!E570="","",'Service Types'!E570)</f>
        <v>242</v>
      </c>
      <c r="E63" s="5">
        <f>IF('Service Types'!D570="","",'Service Types'!D570)</f>
        <v>406</v>
      </c>
      <c r="F63" s="5">
        <f>IF('Service Types'!F570="","",'Service Types'!F570)</f>
        <v>3</v>
      </c>
      <c r="G63" s="5">
        <f>IF('Service Types'!G570="","",'Service Types'!G570)</f>
        <v>1</v>
      </c>
      <c r="H63" s="5">
        <f>IF('Service Types'!H570="","",'Service Types'!H570)</f>
        <v>403</v>
      </c>
      <c r="I63" s="6">
        <f>IF('Service Types'!I570="","",'Service Types'!I570)</f>
        <v>1</v>
      </c>
      <c r="J63" s="6">
        <f>IF('Service Types'!J570="","",'Service Types'!J570)</f>
        <v>4.5</v>
      </c>
      <c r="K63" s="6">
        <f>IF('Service Types'!K570="","",'Service Types'!K570)</f>
        <v>10</v>
      </c>
      <c r="L63" s="4" t="str">
        <f>IF('Service Types'!R570="","",'Service Types'!R570)</f>
        <v>Water &amp; sewer</v>
      </c>
      <c r="M63" s="4" t="str">
        <f>IF('Service Types'!S570="","",'Service Types'!S570)</f>
        <v>Borderline</v>
      </c>
      <c r="N63" s="4" t="str">
        <f>IF('Service Types'!T570="","",'Service Types'!T570)</f>
        <v>A crew picks up equipment, but it is logistics, not a repair.</v>
      </c>
    </row>
    <row r="64" spans="1:14" x14ac:dyDescent="0.45">
      <c r="A64" s="14">
        <v>63</v>
      </c>
      <c r="B64" s="4" t="s">
        <v>615</v>
      </c>
      <c r="C64" s="4" t="str">
        <f>IF('Service Types'!B474="","",'Service Types'!B474)</f>
        <v>OS - Parks and Open Spaces</v>
      </c>
      <c r="D64" s="5">
        <f>IF('Service Types'!E474="","",'Service Types'!E474)</f>
        <v>210</v>
      </c>
      <c r="E64" s="5">
        <f>IF('Service Types'!D474="","",'Service Types'!D474)</f>
        <v>688</v>
      </c>
      <c r="F64" s="5">
        <f>IF('Service Types'!F474="","",'Service Types'!F474)</f>
        <v>4</v>
      </c>
      <c r="G64" s="5">
        <f>IF('Service Types'!G474="","",'Service Types'!G474)</f>
        <v>1</v>
      </c>
      <c r="H64" s="5">
        <f>IF('Service Types'!H474="","",'Service Types'!H474)</f>
        <v>684</v>
      </c>
      <c r="I64" s="6">
        <f>IF('Service Types'!I474="","",'Service Types'!I474)</f>
        <v>4</v>
      </c>
      <c r="J64" s="6">
        <f>IF('Service Types'!J474="","",'Service Types'!J474)</f>
        <v>5.9</v>
      </c>
      <c r="K64" s="6">
        <f>IF('Service Types'!K474="","",'Service Types'!K474)</f>
        <v>13</v>
      </c>
      <c r="L64" s="4" t="str">
        <f>IF('Service Types'!R474="","",'Service Types'!R474)</f>
        <v>Signs, signals &amp; lights</v>
      </c>
      <c r="M64" s="4" t="str">
        <f>IF('Service Types'!S474="","",'Service Types'!S474)</f>
        <v>Clear</v>
      </c>
      <c r="N64" s="4" t="str">
        <f>IF('Service Types'!T474="","",'Service Types'!T474)</f>
        <v>Field repair or replacement of signs, markings, signals or lights.</v>
      </c>
    </row>
    <row r="65" spans="1:14" x14ac:dyDescent="0.45">
      <c r="A65" s="14">
        <v>64</v>
      </c>
      <c r="B65" s="4" t="s">
        <v>723</v>
      </c>
      <c r="C65" s="4" t="str">
        <f>IF('Service Types'!B560="","",'Service Types'!B560)</f>
        <v>OS - Water Services</v>
      </c>
      <c r="D65" s="5">
        <f>IF('Service Types'!E560="","",'Service Types'!E560)</f>
        <v>197</v>
      </c>
      <c r="E65" s="5">
        <f>IF('Service Types'!D560="","",'Service Types'!D560)</f>
        <v>1016</v>
      </c>
      <c r="F65" s="5">
        <f>IF('Service Types'!F560="","",'Service Types'!F560)</f>
        <v>77</v>
      </c>
      <c r="G65" s="5">
        <f>IF('Service Types'!G560="","",'Service Types'!G560)</f>
        <v>50</v>
      </c>
      <c r="H65" s="5">
        <f>IF('Service Types'!H560="","",'Service Types'!H560)</f>
        <v>938</v>
      </c>
      <c r="I65" s="6">
        <f>IF('Service Types'!I560="","",'Service Types'!I560)</f>
        <v>15</v>
      </c>
      <c r="J65" s="6">
        <f>IF('Service Types'!J560="","",'Service Types'!J560)</f>
        <v>48.8</v>
      </c>
      <c r="K65" s="6">
        <f>IF('Service Types'!K560="","",'Service Types'!K560)</f>
        <v>127</v>
      </c>
      <c r="L65" s="4" t="str">
        <f>IF('Service Types'!R560="","",'Service Types'!R560)</f>
        <v>Water &amp; sewer</v>
      </c>
      <c r="M65" s="4" t="str">
        <f>IF('Service Types'!S560="","",'Service Types'!S560)</f>
        <v>Borderline</v>
      </c>
      <c r="N65" s="4" t="str">
        <f>IF('Service Types'!T560="","",'Service Types'!T560)</f>
        <v>Field investigation of drainage; may lead to repair or to a bylaw issue.</v>
      </c>
    </row>
    <row r="66" spans="1:14" x14ac:dyDescent="0.45">
      <c r="A66" s="14">
        <v>65</v>
      </c>
      <c r="B66" s="4" t="s">
        <v>728</v>
      </c>
      <c r="C66" s="4" t="str">
        <f>IF('Service Types'!B563="","",'Service Types'!B563)</f>
        <v>OS - Water Services</v>
      </c>
      <c r="D66" s="5">
        <f>IF('Service Types'!E563="","",'Service Types'!E563)</f>
        <v>189</v>
      </c>
      <c r="E66" s="5">
        <f>IF('Service Types'!D563="","",'Service Types'!D563)</f>
        <v>821</v>
      </c>
      <c r="F66" s="5">
        <f>IF('Service Types'!F563="","",'Service Types'!F563)</f>
        <v>8</v>
      </c>
      <c r="G66" s="5">
        <f>IF('Service Types'!G563="","",'Service Types'!G563)</f>
        <v>0</v>
      </c>
      <c r="H66" s="5">
        <f>IF('Service Types'!H563="","",'Service Types'!H563)</f>
        <v>813</v>
      </c>
      <c r="I66" s="6">
        <f>IF('Service Types'!I563="","",'Service Types'!I563)</f>
        <v>3</v>
      </c>
      <c r="J66" s="6">
        <f>IF('Service Types'!J563="","",'Service Types'!J563)</f>
        <v>6.4</v>
      </c>
      <c r="K66" s="6">
        <f>IF('Service Types'!K563="","",'Service Types'!K563)</f>
        <v>14</v>
      </c>
      <c r="L66" s="4" t="str">
        <f>IF('Service Types'!R563="","",'Service Types'!R563)</f>
        <v>Water &amp; sewer</v>
      </c>
      <c r="M66" s="4" t="str">
        <f>IF('Service Types'!S563="","",'Service Types'!S563)</f>
        <v>Borderline</v>
      </c>
      <c r="N66" s="4" t="str">
        <f>IF('Service Types'!T563="","",'Service Types'!T563)</f>
        <v>Pond maintenance is crew work; some tickets are questions.</v>
      </c>
    </row>
    <row r="67" spans="1:14" x14ac:dyDescent="0.45">
      <c r="A67" s="14">
        <v>66</v>
      </c>
      <c r="B67" s="4" t="s">
        <v>466</v>
      </c>
      <c r="C67" s="4" t="str">
        <f>IF('Service Types'!B354="","",'Service Types'!B354)</f>
        <v>OS - Calgary Transit</v>
      </c>
      <c r="D67" s="5">
        <f>IF('Service Types'!E354="","",'Service Types'!E354)</f>
        <v>174</v>
      </c>
      <c r="E67" s="5">
        <f>IF('Service Types'!D354="","",'Service Types'!D354)</f>
        <v>1409</v>
      </c>
      <c r="F67" s="5">
        <f>IF('Service Types'!F354="","",'Service Types'!F354)</f>
        <v>7</v>
      </c>
      <c r="G67" s="5">
        <f>IF('Service Types'!G354="","",'Service Types'!G354)</f>
        <v>7</v>
      </c>
      <c r="H67" s="5">
        <f>IF('Service Types'!H354="","",'Service Types'!H354)</f>
        <v>1402</v>
      </c>
      <c r="I67" s="6">
        <f>IF('Service Types'!I354="","",'Service Types'!I354)</f>
        <v>4</v>
      </c>
      <c r="J67" s="6">
        <f>IF('Service Types'!J354="","",'Service Types'!J354)</f>
        <v>7</v>
      </c>
      <c r="K67" s="6">
        <f>IF('Service Types'!K354="","",'Service Types'!K354)</f>
        <v>18</v>
      </c>
      <c r="L67" s="4" t="str">
        <f>IF('Service Types'!R354="","",'Service Types'!R354)</f>
        <v>Snow &amp; ice</v>
      </c>
      <c r="M67" s="4" t="str">
        <f>IF('Service Types'!S354="","",'Service Types'!S354)</f>
        <v>Clear</v>
      </c>
      <c r="N67" s="4" t="str">
        <f>IF('Service Types'!T354="","",'Service Types'!T354)</f>
        <v>Clearing snow/ice on public roads, pathways, parks or transit stops.</v>
      </c>
    </row>
    <row r="68" spans="1:14" x14ac:dyDescent="0.45">
      <c r="A68" s="14">
        <v>67</v>
      </c>
      <c r="B68" s="4" t="s">
        <v>531</v>
      </c>
      <c r="C68" s="4" t="str">
        <f>IF('Service Types'!B402="","",'Service Types'!B402)</f>
        <v>OS - Mobility</v>
      </c>
      <c r="D68" s="5">
        <f>IF('Service Types'!E402="","",'Service Types'!E402)</f>
        <v>154</v>
      </c>
      <c r="E68" s="5">
        <f>IF('Service Types'!D402="","",'Service Types'!D402)</f>
        <v>805</v>
      </c>
      <c r="F68" s="5">
        <f>IF('Service Types'!F402="","",'Service Types'!F402)</f>
        <v>492</v>
      </c>
      <c r="G68" s="5">
        <f>IF('Service Types'!G402="","",'Service Types'!G402)</f>
        <v>476</v>
      </c>
      <c r="H68" s="5">
        <f>IF('Service Types'!H402="","",'Service Types'!H402)</f>
        <v>313</v>
      </c>
      <c r="I68" s="6">
        <f>IF('Service Types'!I402="","",'Service Types'!I402)</f>
        <v>10</v>
      </c>
      <c r="J68" s="6">
        <f>IF('Service Types'!J402="","",'Service Types'!J402)</f>
        <v>121.6</v>
      </c>
      <c r="K68" s="6">
        <f>IF('Service Types'!K402="","",'Service Types'!K402)</f>
        <v>542</v>
      </c>
      <c r="L68" s="4" t="str">
        <f>IF('Service Types'!R402="","",'Service Types'!R402)</f>
        <v>Signs, signals &amp; lights</v>
      </c>
      <c r="M68" s="4" t="str">
        <f>IF('Service Types'!S402="","",'Service Types'!S402)</f>
        <v>Clear</v>
      </c>
      <c r="N68" s="4" t="str">
        <f>IF('Service Types'!T402="","",'Service Types'!T402)</f>
        <v>Field repair or replacement of signs, markings, signals or lights.</v>
      </c>
    </row>
    <row r="69" spans="1:14" x14ac:dyDescent="0.45">
      <c r="A69" s="14">
        <v>68</v>
      </c>
      <c r="B69" s="4" t="s">
        <v>726</v>
      </c>
      <c r="C69" s="4" t="str">
        <f>IF('Service Types'!B562="","",'Service Types'!B562)</f>
        <v>OS - Water Services</v>
      </c>
      <c r="D69" s="5">
        <f>IF('Service Types'!E562="","",'Service Types'!E562)</f>
        <v>149</v>
      </c>
      <c r="E69" s="5">
        <f>IF('Service Types'!D562="","",'Service Types'!D562)</f>
        <v>935</v>
      </c>
      <c r="F69" s="5">
        <f>IF('Service Types'!F562="","",'Service Types'!F562)</f>
        <v>0</v>
      </c>
      <c r="G69" s="5">
        <f>IF('Service Types'!G562="","",'Service Types'!G562)</f>
        <v>0</v>
      </c>
      <c r="H69" s="5">
        <f>IF('Service Types'!H562="","",'Service Types'!H562)</f>
        <v>931</v>
      </c>
      <c r="I69" s="6">
        <f>IF('Service Types'!I562="","",'Service Types'!I562)</f>
        <v>1</v>
      </c>
      <c r="J69" s="6">
        <f>IF('Service Types'!J562="","",'Service Types'!J562)</f>
        <v>2.7</v>
      </c>
      <c r="K69" s="6">
        <f>IF('Service Types'!K562="","",'Service Types'!K562)</f>
        <v>5</v>
      </c>
      <c r="L69" s="4" t="str">
        <f>IF('Service Types'!R562="","",'Service Types'!R562)</f>
        <v>Water &amp; sewer</v>
      </c>
      <c r="M69" s="4" t="str">
        <f>IF('Service Types'!S562="","",'Service Types'!S562)</f>
        <v>Borderline</v>
      </c>
      <c r="N69" s="4" t="str">
        <f>IF('Service Types'!T562="","",'Service Types'!T562)</f>
        <v>Field investigation to rule out a City main; often a private-property issue.</v>
      </c>
    </row>
    <row r="70" spans="1:14" x14ac:dyDescent="0.45">
      <c r="A70" s="14">
        <v>69</v>
      </c>
      <c r="B70" s="4" t="s">
        <v>634</v>
      </c>
      <c r="C70" s="4" t="str">
        <f>IF('Service Types'!B492="","",'Service Types'!B492)</f>
        <v>OS - Parks and Open Spaces</v>
      </c>
      <c r="D70" s="5">
        <f>IF('Service Types'!E492="","",'Service Types'!E492)</f>
        <v>144</v>
      </c>
      <c r="E70" s="5">
        <f>IF('Service Types'!D492="","",'Service Types'!D492)</f>
        <v>144</v>
      </c>
      <c r="F70" s="5">
        <f>IF('Service Types'!F492="","",'Service Types'!F492)</f>
        <v>13</v>
      </c>
      <c r="G70" s="5">
        <f>IF('Service Types'!G492="","",'Service Types'!G492)</f>
        <v>0</v>
      </c>
      <c r="H70" s="5">
        <f>IF('Service Types'!H492="","",'Service Types'!H492)</f>
        <v>131</v>
      </c>
      <c r="I70" s="6">
        <f>IF('Service Types'!I492="","",'Service Types'!I492)</f>
        <v>4</v>
      </c>
      <c r="J70" s="6">
        <f>IF('Service Types'!J492="","",'Service Types'!J492)</f>
        <v>4.5999999999999996</v>
      </c>
      <c r="K70" s="6">
        <f>IF('Service Types'!K492="","",'Service Types'!K492)</f>
        <v>11</v>
      </c>
      <c r="L70" s="4" t="str">
        <f>IF('Service Types'!R492="","",'Service Types'!R492)</f>
        <v>Cleaning &amp; removal</v>
      </c>
      <c r="M70" s="4" t="str">
        <f>IF('Service Types'!S492="","",'Service Types'!S492)</f>
        <v>Clear</v>
      </c>
      <c r="N70" s="4" t="str">
        <f>IF('Service Types'!T492="","",'Service Types'!T492)</f>
        <v>A crew physically cleans up or removes something from public property.</v>
      </c>
    </row>
    <row r="71" spans="1:14" x14ac:dyDescent="0.45">
      <c r="A71" s="14">
        <v>70</v>
      </c>
      <c r="B71" s="4" t="s">
        <v>737</v>
      </c>
      <c r="C71" s="4" t="str">
        <f>IF('Service Types'!B569="","",'Service Types'!B569)</f>
        <v>OS - Water Services</v>
      </c>
      <c r="D71" s="5">
        <f>IF('Service Types'!E569="","",'Service Types'!E569)</f>
        <v>137</v>
      </c>
      <c r="E71" s="5">
        <f>IF('Service Types'!D569="","",'Service Types'!D569)</f>
        <v>499</v>
      </c>
      <c r="F71" s="5">
        <f>IF('Service Types'!F569="","",'Service Types'!F569)</f>
        <v>129</v>
      </c>
      <c r="G71" s="5">
        <f>IF('Service Types'!G569="","",'Service Types'!G569)</f>
        <v>103</v>
      </c>
      <c r="H71" s="5">
        <f>IF('Service Types'!H569="","",'Service Types'!H569)</f>
        <v>370</v>
      </c>
      <c r="I71" s="6">
        <f>IF('Service Types'!I569="","",'Service Types'!I569)</f>
        <v>43</v>
      </c>
      <c r="J71" s="6">
        <f>IF('Service Types'!J569="","",'Service Types'!J569)</f>
        <v>132.69999999999999</v>
      </c>
      <c r="K71" s="6">
        <f>IF('Service Types'!K569="","",'Service Types'!K569)</f>
        <v>412</v>
      </c>
      <c r="L71" s="4" t="str">
        <f>IF('Service Types'!R569="","",'Service Types'!R569)</f>
        <v>Water &amp; sewer</v>
      </c>
      <c r="M71" s="4" t="str">
        <f>IF('Service Types'!S569="","",'Service Types'!S569)</f>
        <v>Borderline</v>
      </c>
      <c r="N71" s="4" t="str">
        <f>IF('Service Types'!T569="","",'Service Types'!T569)</f>
        <v>Field job by Water Services, but a booked installation, not a hazard.</v>
      </c>
    </row>
    <row r="72" spans="1:14" x14ac:dyDescent="0.45">
      <c r="A72" s="14">
        <v>71</v>
      </c>
      <c r="B72" s="4" t="s">
        <v>624</v>
      </c>
      <c r="C72" s="4" t="str">
        <f>IF('Service Types'!B483="","",'Service Types'!B483)</f>
        <v>OS - Parks and Open Spaces</v>
      </c>
      <c r="D72" s="5">
        <f>IF('Service Types'!E483="","",'Service Types'!E483)</f>
        <v>125</v>
      </c>
      <c r="E72" s="5">
        <f>IF('Service Types'!D483="","",'Service Types'!D483)</f>
        <v>385</v>
      </c>
      <c r="F72" s="5">
        <f>IF('Service Types'!F483="","",'Service Types'!F483)</f>
        <v>2</v>
      </c>
      <c r="G72" s="5">
        <f>IF('Service Types'!G483="","",'Service Types'!G483)</f>
        <v>1</v>
      </c>
      <c r="H72" s="5">
        <f>IF('Service Types'!H483="","",'Service Types'!H483)</f>
        <v>383</v>
      </c>
      <c r="I72" s="6">
        <f>IF('Service Types'!I483="","",'Service Types'!I483)</f>
        <v>1</v>
      </c>
      <c r="J72" s="6">
        <f>IF('Service Types'!J483="","",'Service Types'!J483)</f>
        <v>4.8</v>
      </c>
      <c r="K72" s="6">
        <f>IF('Service Types'!K483="","",'Service Types'!K483)</f>
        <v>13</v>
      </c>
      <c r="L72" s="4" t="str">
        <f>IF('Service Types'!R483="","",'Service Types'!R483)</f>
        <v>Parks &amp; trees</v>
      </c>
      <c r="M72" s="4" t="str">
        <f>IF('Service Types'!S483="","",'Service Types'!S483)</f>
        <v>Borderline</v>
      </c>
      <c r="N72" s="4" t="str">
        <f>IF('Service Types'!T483="","",'Service Types'!T483)</f>
        <v>Pest treatment is done by Parks crews, but many tickets are reports/advice only.</v>
      </c>
    </row>
    <row r="73" spans="1:14" x14ac:dyDescent="0.45">
      <c r="A73" s="14">
        <v>72</v>
      </c>
      <c r="B73" s="4" t="s">
        <v>734</v>
      </c>
      <c r="C73" s="4" t="str">
        <f>IF('Service Types'!B567="","",'Service Types'!B567)</f>
        <v>OS - Water Services</v>
      </c>
      <c r="D73" s="5">
        <f>IF('Service Types'!E567="","",'Service Types'!E567)</f>
        <v>111</v>
      </c>
      <c r="E73" s="5">
        <f>IF('Service Types'!D567="","",'Service Types'!D567)</f>
        <v>510</v>
      </c>
      <c r="F73" s="5">
        <f>IF('Service Types'!F567="","",'Service Types'!F567)</f>
        <v>0</v>
      </c>
      <c r="G73" s="5">
        <f>IF('Service Types'!G567="","",'Service Types'!G567)</f>
        <v>0</v>
      </c>
      <c r="H73" s="5">
        <f>IF('Service Types'!H567="","",'Service Types'!H567)</f>
        <v>510</v>
      </c>
      <c r="I73" s="6">
        <f>IF('Service Types'!I567="","",'Service Types'!I567)</f>
        <v>1</v>
      </c>
      <c r="J73" s="6">
        <f>IF('Service Types'!J567="","",'Service Types'!J567)</f>
        <v>5.9</v>
      </c>
      <c r="K73" s="6">
        <f>IF('Service Types'!K567="","",'Service Types'!K567)</f>
        <v>4</v>
      </c>
      <c r="L73" s="4" t="str">
        <f>IF('Service Types'!R567="","",'Service Types'!R567)</f>
        <v>Water &amp; sewer</v>
      </c>
      <c r="M73" s="4" t="str">
        <f>IF('Service Types'!S567="","",'Service Types'!S567)</f>
        <v>Borderline</v>
      </c>
      <c r="N73" s="4" t="str">
        <f>IF('Service Types'!T567="","",'Service Types'!T567)</f>
        <v>Field fix of temporary water lines, low volume.</v>
      </c>
    </row>
    <row r="74" spans="1:14" x14ac:dyDescent="0.45">
      <c r="A74" s="14">
        <v>73</v>
      </c>
      <c r="B74" s="4" t="s">
        <v>545</v>
      </c>
      <c r="C74" s="4" t="str">
        <f>IF('Service Types'!B413="","",'Service Types'!B413)</f>
        <v>OS - Mobility</v>
      </c>
      <c r="D74" s="5">
        <f>IF('Service Types'!E413="","",'Service Types'!E413)</f>
        <v>110</v>
      </c>
      <c r="E74" s="5">
        <f>IF('Service Types'!D413="","",'Service Types'!D413)</f>
        <v>319</v>
      </c>
      <c r="F74" s="5">
        <f>IF('Service Types'!F413="","",'Service Types'!F413)</f>
        <v>33</v>
      </c>
      <c r="G74" s="5">
        <f>IF('Service Types'!G413="","",'Service Types'!G413)</f>
        <v>29</v>
      </c>
      <c r="H74" s="5">
        <f>IF('Service Types'!H413="","",'Service Types'!H413)</f>
        <v>283</v>
      </c>
      <c r="I74" s="6">
        <f>IF('Service Types'!I413="","",'Service Types'!I413)</f>
        <v>2</v>
      </c>
      <c r="J74" s="6">
        <f>IF('Service Types'!J413="","",'Service Types'!J413)</f>
        <v>8.6</v>
      </c>
      <c r="K74" s="6">
        <f>IF('Service Types'!K413="","",'Service Types'!K413)</f>
        <v>13</v>
      </c>
      <c r="L74" s="4" t="str">
        <f>IF('Service Types'!R413="","",'Service Types'!R413)</f>
        <v>Road &amp; structure repair</v>
      </c>
      <c r="M74" s="4" t="str">
        <f>IF('Service Types'!S413="","",'Service Types'!S413)</f>
        <v>Clear</v>
      </c>
      <c r="N74" s="4" t="str">
        <f>IF('Service Types'!T413="","",'Service Types'!T413)</f>
        <v>A crew physically repairs a road, sidewalk, lane, pathway or structure.</v>
      </c>
    </row>
    <row r="75" spans="1:14" x14ac:dyDescent="0.45">
      <c r="A75" s="14">
        <v>74</v>
      </c>
      <c r="B75" s="4" t="s">
        <v>667</v>
      </c>
      <c r="C75" s="4" t="str">
        <f>IF('Service Types'!B517="","",'Service Types'!B517)</f>
        <v>OS - Waste and Recycling Services</v>
      </c>
      <c r="D75" s="5">
        <f>IF('Service Types'!E517="","",'Service Types'!E517)</f>
        <v>96</v>
      </c>
      <c r="E75" s="5">
        <f>IF('Service Types'!D517="","",'Service Types'!D517)</f>
        <v>474</v>
      </c>
      <c r="F75" s="5">
        <f>IF('Service Types'!F517="","",'Service Types'!F517)</f>
        <v>0</v>
      </c>
      <c r="G75" s="5">
        <f>IF('Service Types'!G517="","",'Service Types'!G517)</f>
        <v>0</v>
      </c>
      <c r="H75" s="5">
        <f>IF('Service Types'!H517="","",'Service Types'!H517)</f>
        <v>474</v>
      </c>
      <c r="I75" s="6">
        <f>IF('Service Types'!I517="","",'Service Types'!I517)</f>
        <v>3</v>
      </c>
      <c r="J75" s="6">
        <f>IF('Service Types'!J517="","",'Service Types'!J517)</f>
        <v>3.7</v>
      </c>
      <c r="K75" s="6">
        <f>IF('Service Types'!K517="","",'Service Types'!K517)</f>
        <v>7</v>
      </c>
      <c r="L75" s="4" t="str">
        <f>IF('Service Types'!R517="","",'Service Types'!R517)</f>
        <v>Waste collection</v>
      </c>
      <c r="M75" s="4" t="str">
        <f>IF('Service Types'!S517="","",'Service Types'!S517)</f>
        <v>Borderline</v>
      </c>
      <c r="N75" s="4" t="str">
        <f>IF('Service Types'!T517="","",'Service Types'!T517)</f>
        <v>A WRS staff member visits the bin, but it is a check, not collection.</v>
      </c>
    </row>
    <row r="76" spans="1:14" x14ac:dyDescent="0.45">
      <c r="A76" s="14">
        <v>75</v>
      </c>
      <c r="B76" s="4" t="s">
        <v>672</v>
      </c>
      <c r="C76" s="4" t="str">
        <f>IF('Service Types'!B521="","",'Service Types'!B521)</f>
        <v>OS - Waste and Recycling Services</v>
      </c>
      <c r="D76" s="5">
        <f>IF('Service Types'!E521="","",'Service Types'!E521)</f>
        <v>64</v>
      </c>
      <c r="E76" s="5">
        <f>IF('Service Types'!D521="","",'Service Types'!D521)</f>
        <v>342</v>
      </c>
      <c r="F76" s="5">
        <f>IF('Service Types'!F521="","",'Service Types'!F521)</f>
        <v>0</v>
      </c>
      <c r="G76" s="5">
        <f>IF('Service Types'!G521="","",'Service Types'!G521)</f>
        <v>0</v>
      </c>
      <c r="H76" s="5">
        <f>IF('Service Types'!H521="","",'Service Types'!H521)</f>
        <v>342</v>
      </c>
      <c r="I76" s="6">
        <f>IF('Service Types'!I521="","",'Service Types'!I521)</f>
        <v>1</v>
      </c>
      <c r="J76" s="6">
        <f>IF('Service Types'!J521="","",'Service Types'!J521)</f>
        <v>1.2</v>
      </c>
      <c r="K76" s="6">
        <f>IF('Service Types'!K521="","",'Service Types'!K521)</f>
        <v>2</v>
      </c>
      <c r="L76" s="4" t="str">
        <f>IF('Service Types'!R521="","",'Service Types'!R521)</f>
        <v>Waste collection</v>
      </c>
      <c r="M76" s="4" t="str">
        <f>IF('Service Types'!S521="","",'Service Types'!S521)</f>
        <v>Borderline</v>
      </c>
      <c r="N76" s="4" t="str">
        <f>IF('Service Types'!T521="","",'Service Types'!T521)</f>
        <v>Servicing overflowing depot bins is crew work; some tickets are depot questions.</v>
      </c>
    </row>
    <row r="77" spans="1:14" x14ac:dyDescent="0.45">
      <c r="A77" s="14">
        <v>76</v>
      </c>
      <c r="B77" s="4" t="s">
        <v>376</v>
      </c>
      <c r="C77" s="4" t="str">
        <f>IF('Service Types'!B283="","",'Service Types'!B283)</f>
        <v>IS - Capital Planning and Business Services</v>
      </c>
      <c r="D77" s="5">
        <f>IF('Service Types'!E283="","",'Service Types'!E283)</f>
        <v>55</v>
      </c>
      <c r="E77" s="5">
        <f>IF('Service Types'!D283="","",'Service Types'!D283)</f>
        <v>131</v>
      </c>
      <c r="F77" s="5">
        <f>IF('Service Types'!F283="","",'Service Types'!F283)</f>
        <v>0</v>
      </c>
      <c r="G77" s="5">
        <f>IF('Service Types'!G283="","",'Service Types'!G283)</f>
        <v>0</v>
      </c>
      <c r="H77" s="5">
        <f>IF('Service Types'!H283="","",'Service Types'!H283)</f>
        <v>131</v>
      </c>
      <c r="I77" s="6">
        <f>IF('Service Types'!I283="","",'Service Types'!I283)</f>
        <v>3</v>
      </c>
      <c r="J77" s="6">
        <f>IF('Service Types'!J283="","",'Service Types'!J283)</f>
        <v>6.4</v>
      </c>
      <c r="K77" s="6">
        <f>IF('Service Types'!K283="","",'Service Types'!K283)</f>
        <v>7</v>
      </c>
      <c r="L77" s="4" t="str">
        <f>IF('Service Types'!R283="","",'Service Types'!R283)</f>
        <v>Facilities</v>
      </c>
      <c r="M77" s="4" t="str">
        <f>IF('Service Types'!S283="","",'Service Types'!S283)</f>
        <v>Borderline</v>
      </c>
      <c r="N77" s="4" t="str">
        <f>IF('Service Types'!T283="","",'Service Types'!T283)</f>
        <v>Skywalk maintenance is crew work; some tickets are building-owner issues.</v>
      </c>
    </row>
    <row r="78" spans="1:14" x14ac:dyDescent="0.45">
      <c r="A78" s="14">
        <v>77</v>
      </c>
      <c r="B78" s="4" t="s">
        <v>677</v>
      </c>
      <c r="C78" s="4" t="str">
        <f>IF('Service Types'!B525="","",'Service Types'!B525)</f>
        <v>OS - Waste and Recycling Services</v>
      </c>
      <c r="D78" s="5">
        <f>IF('Service Types'!E525="","",'Service Types'!E525)</f>
        <v>34</v>
      </c>
      <c r="E78" s="5">
        <f>IF('Service Types'!D525="","",'Service Types'!D525)</f>
        <v>210</v>
      </c>
      <c r="F78" s="5">
        <f>IF('Service Types'!F525="","",'Service Types'!F525)</f>
        <v>0</v>
      </c>
      <c r="G78" s="5">
        <f>IF('Service Types'!G525="","",'Service Types'!G525)</f>
        <v>0</v>
      </c>
      <c r="H78" s="5">
        <f>IF('Service Types'!H525="","",'Service Types'!H525)</f>
        <v>210</v>
      </c>
      <c r="I78" s="6">
        <f>IF('Service Types'!I525="","",'Service Types'!I525)</f>
        <v>1</v>
      </c>
      <c r="J78" s="6">
        <f>IF('Service Types'!J525="","",'Service Types'!J525)</f>
        <v>4.5999999999999996</v>
      </c>
      <c r="K78" s="6">
        <f>IF('Service Types'!K525="","",'Service Types'!K525)</f>
        <v>11</v>
      </c>
      <c r="L78" s="4" t="str">
        <f>IF('Service Types'!R525="","",'Service Types'!R525)</f>
        <v>Waste collection</v>
      </c>
      <c r="M78" s="4" t="str">
        <f>IF('Service Types'!S525="","",'Service Types'!S525)</f>
        <v>Clear</v>
      </c>
      <c r="N78" s="4" t="str">
        <f>IF('Service Types'!T525="","",'Service Types'!T525)</f>
        <v>Collection crew work: missed pickups, carts, special or commercial collection.</v>
      </c>
    </row>
    <row r="79" spans="1:14" x14ac:dyDescent="0.45">
      <c r="A79" s="14">
        <v>78</v>
      </c>
      <c r="B79" s="4" t="s">
        <v>378</v>
      </c>
      <c r="C79" s="4" t="str">
        <f>IF('Service Types'!B284="","",'Service Types'!B284)</f>
        <v>IS - Capital Planning and Business Services</v>
      </c>
      <c r="D79" s="5">
        <f>IF('Service Types'!E284="","",'Service Types'!E284)</f>
        <v>33</v>
      </c>
      <c r="E79" s="5">
        <f>IF('Service Types'!D284="","",'Service Types'!D284)</f>
        <v>89</v>
      </c>
      <c r="F79" s="5">
        <f>IF('Service Types'!F284="","",'Service Types'!F284)</f>
        <v>0</v>
      </c>
      <c r="G79" s="5">
        <f>IF('Service Types'!G284="","",'Service Types'!G284)</f>
        <v>0</v>
      </c>
      <c r="H79" s="5">
        <f>IF('Service Types'!H284="","",'Service Types'!H284)</f>
        <v>89</v>
      </c>
      <c r="I79" s="6">
        <f>IF('Service Types'!I284="","",'Service Types'!I284)</f>
        <v>1</v>
      </c>
      <c r="J79" s="6">
        <f>IF('Service Types'!J284="","",'Service Types'!J284)</f>
        <v>24.4</v>
      </c>
      <c r="K79" s="6">
        <f>IF('Service Types'!K284="","",'Service Types'!K284)</f>
        <v>11</v>
      </c>
      <c r="L79" s="4" t="str">
        <f>IF('Service Types'!R284="","",'Service Types'!R284)</f>
        <v>Road &amp; structure repair</v>
      </c>
      <c r="M79" s="4" t="str">
        <f>IF('Service Types'!S284="","",'Service Types'!S284)</f>
        <v>Clear</v>
      </c>
      <c r="N79" s="4" t="str">
        <f>IF('Service Types'!T284="","",'Service Types'!T284)</f>
        <v>A crew physically repairs a road, sidewalk, lane, pathway or structure.</v>
      </c>
    </row>
    <row r="80" spans="1:14" x14ac:dyDescent="0.45">
      <c r="A80" s="14">
        <v>79</v>
      </c>
      <c r="B80" s="4" t="s">
        <v>640</v>
      </c>
      <c r="C80" s="4" t="str">
        <f>IF('Service Types'!B497="","",'Service Types'!B497)</f>
        <v>OS - Parks and Open Spaces</v>
      </c>
      <c r="D80" s="5">
        <f>IF('Service Types'!E497="","",'Service Types'!E497)</f>
        <v>25</v>
      </c>
      <c r="E80" s="5">
        <f>IF('Service Types'!D497="","",'Service Types'!D497)</f>
        <v>77</v>
      </c>
      <c r="F80" s="5">
        <f>IF('Service Types'!F497="","",'Service Types'!F497)</f>
        <v>1</v>
      </c>
      <c r="G80" s="5">
        <f>IF('Service Types'!G497="","",'Service Types'!G497)</f>
        <v>0</v>
      </c>
      <c r="H80" s="5">
        <f>IF('Service Types'!H497="","",'Service Types'!H497)</f>
        <v>76</v>
      </c>
      <c r="I80" s="6">
        <f>IF('Service Types'!I497="","",'Service Types'!I497)</f>
        <v>8</v>
      </c>
      <c r="J80" s="6">
        <f>IF('Service Types'!J497="","",'Service Types'!J497)</f>
        <v>11.5</v>
      </c>
      <c r="K80" s="6">
        <f>IF('Service Types'!K497="","",'Service Types'!K497)</f>
        <v>24</v>
      </c>
      <c r="L80" s="4" t="str">
        <f>IF('Service Types'!R497="","",'Service Types'!R497)</f>
        <v>Parks &amp; trees</v>
      </c>
      <c r="M80" s="4" t="str">
        <f>IF('Service Types'!S497="","",'Service Types'!S497)</f>
        <v>Clear</v>
      </c>
      <c r="N80" s="4" t="str">
        <f>IF('Service Types'!T497="","",'Service Types'!T497)</f>
        <v>Parks crew does hands-on work: trees, mowing, park repairs or upkeep.</v>
      </c>
    </row>
    <row r="81" spans="1:14" x14ac:dyDescent="0.45">
      <c r="A81" s="14">
        <v>80</v>
      </c>
      <c r="B81" s="4" t="s">
        <v>602</v>
      </c>
      <c r="C81" s="4" t="str">
        <f>IF('Service Types'!B463="","",'Service Types'!B463)</f>
        <v>OS - Parks and Open Spaces</v>
      </c>
      <c r="D81" s="5">
        <f>IF('Service Types'!E463="","",'Service Types'!E463)</f>
        <v>24</v>
      </c>
      <c r="E81" s="5">
        <f>IF('Service Types'!D463="","",'Service Types'!D463)</f>
        <v>1760</v>
      </c>
      <c r="F81" s="5">
        <f>IF('Service Types'!F463="","",'Service Types'!F463)</f>
        <v>24</v>
      </c>
      <c r="G81" s="5">
        <f>IF('Service Types'!G463="","",'Service Types'!G463)</f>
        <v>24</v>
      </c>
      <c r="H81" s="5">
        <f>IF('Service Types'!H463="","",'Service Types'!H463)</f>
        <v>1736</v>
      </c>
      <c r="I81" s="6">
        <f>IF('Service Types'!I463="","",'Service Types'!I463)</f>
        <v>1</v>
      </c>
      <c r="J81" s="6">
        <f>IF('Service Types'!J463="","",'Service Types'!J463)</f>
        <v>3.6</v>
      </c>
      <c r="K81" s="6">
        <f>IF('Service Types'!K463="","",'Service Types'!K463)</f>
        <v>6</v>
      </c>
      <c r="L81" s="4" t="str">
        <f>IF('Service Types'!R463="","",'Service Types'!R463)</f>
        <v>Snow &amp; ice</v>
      </c>
      <c r="M81" s="4" t="str">
        <f>IF('Service Types'!S463="","",'Service Types'!S463)</f>
        <v>Clear</v>
      </c>
      <c r="N81" s="4" t="str">
        <f>IF('Service Types'!T463="","",'Service Types'!T463)</f>
        <v>Clearing snow/ice on public roads, pathways, parks or transit stops.</v>
      </c>
    </row>
    <row r="82" spans="1:14" x14ac:dyDescent="0.45">
      <c r="A82" s="14">
        <v>81</v>
      </c>
      <c r="B82" s="4" t="s">
        <v>344</v>
      </c>
      <c r="C82" s="4" t="str">
        <f>IF('Service Types'!B260="","",'Service Types'!B260)</f>
        <v>CS - Recreation and Social Programs</v>
      </c>
      <c r="D82" s="5">
        <f>IF('Service Types'!E260="","",'Service Types'!E260)</f>
        <v>18</v>
      </c>
      <c r="E82" s="5">
        <f>IF('Service Types'!D260="","",'Service Types'!D260)</f>
        <v>49</v>
      </c>
      <c r="F82" s="5">
        <f>IF('Service Types'!F260="","",'Service Types'!F260)</f>
        <v>0</v>
      </c>
      <c r="G82" s="5">
        <f>IF('Service Types'!G260="","",'Service Types'!G260)</f>
        <v>0</v>
      </c>
      <c r="H82" s="5">
        <f>IF('Service Types'!H260="","",'Service Types'!H260)</f>
        <v>49</v>
      </c>
      <c r="I82" s="6">
        <f>IF('Service Types'!I260="","",'Service Types'!I260)</f>
        <v>6</v>
      </c>
      <c r="J82" s="6">
        <f>IF('Service Types'!J260="","",'Service Types'!J260)</f>
        <v>19.899999999999999</v>
      </c>
      <c r="K82" s="6">
        <f>IF('Service Types'!K260="","",'Service Types'!K260)</f>
        <v>57</v>
      </c>
      <c r="L82" s="4" t="str">
        <f>IF('Service Types'!R260="","",'Service Types'!R260)</f>
        <v>Facilities</v>
      </c>
      <c r="M82" s="4" t="str">
        <f>IF('Service Types'!S260="","",'Service Types'!S260)</f>
        <v>Borderline</v>
      </c>
      <c r="N82" s="4" t="str">
        <f>IF('Service Types'!T260="","",'Service Types'!T260)</f>
        <v>A repair job, but at a recreation facility rather than public infrastructure.</v>
      </c>
    </row>
    <row r="83" spans="1:14" x14ac:dyDescent="0.45">
      <c r="A83" s="14">
        <v>82</v>
      </c>
      <c r="B83" s="4" t="s">
        <v>679</v>
      </c>
      <c r="C83" s="4" t="str">
        <f>IF('Service Types'!B527="","",'Service Types'!B527)</f>
        <v>OS - Waste and Recycling Services</v>
      </c>
      <c r="D83" s="5">
        <f>IF('Service Types'!E527="","",'Service Types'!E527)</f>
        <v>16</v>
      </c>
      <c r="E83" s="5">
        <f>IF('Service Types'!D527="","",'Service Types'!D527)</f>
        <v>45</v>
      </c>
      <c r="F83" s="5">
        <f>IF('Service Types'!F527="","",'Service Types'!F527)</f>
        <v>0</v>
      </c>
      <c r="G83" s="5">
        <f>IF('Service Types'!G527="","",'Service Types'!G527)</f>
        <v>0</v>
      </c>
      <c r="H83" s="5">
        <f>IF('Service Types'!H527="","",'Service Types'!H527)</f>
        <v>45</v>
      </c>
      <c r="I83" s="6">
        <f>IF('Service Types'!I527="","",'Service Types'!I527)</f>
        <v>2</v>
      </c>
      <c r="J83" s="6">
        <f>IF('Service Types'!J527="","",'Service Types'!J527)</f>
        <v>3.6</v>
      </c>
      <c r="K83" s="6">
        <f>IF('Service Types'!K527="","",'Service Types'!K527)</f>
        <v>10</v>
      </c>
      <c r="L83" s="4" t="str">
        <f>IF('Service Types'!R527="","",'Service Types'!R527)</f>
        <v>Waste collection</v>
      </c>
      <c r="M83" s="4" t="str">
        <f>IF('Service Types'!S527="","",'Service Types'!S527)</f>
        <v>Borderline</v>
      </c>
      <c r="N83" s="4" t="str">
        <f>IF('Service Types'!T527="","",'Service Types'!T527)</f>
        <v>Servicing community recycling bins is crew work; some tickets are questions.</v>
      </c>
    </row>
  </sheetData>
  <autoFilter ref="A1:N83" xr:uid="{00000000-0009-0000-0000-000002000000}"/>
  <conditionalFormatting sqref="M2:M83">
    <cfRule type="expression" dxfId="3" priority="2">
      <formula>$M2="Borderline"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8"/>
  <sheetViews>
    <sheetView zoomScaleNormal="100" workbookViewId="0">
      <pane xSplit="2" ySplit="1" topLeftCell="C10" activePane="bottomRight" state="frozen"/>
      <selection pane="topRight" activeCell="C1" sqref="C1"/>
      <selection pane="bottomLeft" activeCell="A2" sqref="A2"/>
      <selection pane="bottomRight" activeCell="B30" sqref="B30"/>
    </sheetView>
  </sheetViews>
  <sheetFormatPr defaultColWidth="8.6640625" defaultRowHeight="14.25" x14ac:dyDescent="0.45"/>
  <cols>
    <col min="1" max="1" width="6" customWidth="1"/>
    <col min="2" max="2" width="52" customWidth="1"/>
    <col min="3" max="3" width="40" customWidth="1"/>
    <col min="4" max="5" width="10" customWidth="1"/>
    <col min="6" max="6" width="9" customWidth="1"/>
    <col min="7" max="11" width="10" customWidth="1"/>
    <col min="12" max="12" width="26" customWidth="1"/>
    <col min="13" max="13" width="11" customWidth="1"/>
    <col min="14" max="14" width="70" customWidth="1"/>
    <col min="16" max="16" width="12" customWidth="1"/>
  </cols>
  <sheetData>
    <row r="1" spans="1:16" ht="30" customHeight="1" x14ac:dyDescent="0.45">
      <c r="A1" s="1" t="s">
        <v>941</v>
      </c>
      <c r="B1" s="1" t="s">
        <v>0</v>
      </c>
      <c r="C1" s="1" t="s">
        <v>1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17</v>
      </c>
      <c r="M1" s="2" t="s">
        <v>18</v>
      </c>
      <c r="N1" s="2" t="s">
        <v>19</v>
      </c>
      <c r="P1" s="3" t="s">
        <v>41</v>
      </c>
    </row>
    <row r="2" spans="1:16" x14ac:dyDescent="0.45">
      <c r="A2" s="14">
        <v>1</v>
      </c>
      <c r="B2" s="4" t="s">
        <v>647</v>
      </c>
      <c r="C2" s="4" t="str">
        <f>IF('Service Types'!B502="","",'Service Types'!B502)</f>
        <v>OS - Waste and Recycling Services</v>
      </c>
      <c r="D2" s="5">
        <f>IF('Service Types'!D502="","",'Service Types'!D502)</f>
        <v>102428</v>
      </c>
      <c r="E2" s="5">
        <f>IF('Service Types'!E502="","",'Service Types'!E502)</f>
        <v>23454</v>
      </c>
      <c r="F2" s="5">
        <f>IF('Service Types'!F502="","",'Service Types'!F502)</f>
        <v>140</v>
      </c>
      <c r="G2" s="5">
        <f>IF('Service Types'!G502="","",'Service Types'!G502)</f>
        <v>0</v>
      </c>
      <c r="H2" s="5">
        <f>IF('Service Types'!H502="","",'Service Types'!H502)</f>
        <v>102288</v>
      </c>
      <c r="I2" s="6">
        <f>IF('Service Types'!I502="","",'Service Types'!I502)</f>
        <v>3</v>
      </c>
      <c r="J2" s="6">
        <f>IF('Service Types'!J502="","",'Service Types'!J502)</f>
        <v>4.3</v>
      </c>
      <c r="K2" s="6">
        <f>IF('Service Types'!K502="","",'Service Types'!K502)</f>
        <v>8</v>
      </c>
      <c r="L2" s="4" t="str">
        <f>IF('Service Types'!R502="","",'Service Types'!R502)</f>
        <v>Waste collection</v>
      </c>
      <c r="M2" s="4" t="str">
        <f>IF('Service Types'!S502="","",'Service Types'!S502)</f>
        <v>Clear</v>
      </c>
      <c r="N2" s="4" t="str">
        <f>IF('Service Types'!T502="","",'Service Types'!T502)</f>
        <v>Collection crew work: missed pickups, carts, special or commercial collection.</v>
      </c>
      <c r="P2" s="4" t="s">
        <v>946</v>
      </c>
    </row>
    <row r="3" spans="1:16" x14ac:dyDescent="0.45">
      <c r="A3" s="14">
        <v>2</v>
      </c>
      <c r="B3" s="4" t="s">
        <v>191</v>
      </c>
      <c r="C3" s="4" t="str">
        <f>IF('Service Types'!B124="","",'Service Types'!B124)</f>
        <v>CS - Emergency Management and Community Safety</v>
      </c>
      <c r="D3" s="5">
        <f>IF('Service Types'!D124="","",'Service Types'!D124)</f>
        <v>44141</v>
      </c>
      <c r="E3" s="5">
        <f>IF('Service Types'!E124="","",'Service Types'!E124)</f>
        <v>11071</v>
      </c>
      <c r="F3" s="5">
        <f>IF('Service Types'!F124="","",'Service Types'!F124)</f>
        <v>617</v>
      </c>
      <c r="G3" s="5">
        <f>IF('Service Types'!G124="","",'Service Types'!G124)</f>
        <v>293</v>
      </c>
      <c r="H3" s="5">
        <f>IF('Service Types'!H124="","",'Service Types'!H124)</f>
        <v>43523</v>
      </c>
      <c r="I3" s="6">
        <f>IF('Service Types'!I124="","",'Service Types'!I124)</f>
        <v>8</v>
      </c>
      <c r="J3" s="6">
        <f>IF('Service Types'!J124="","",'Service Types'!J124)</f>
        <v>13.5</v>
      </c>
      <c r="K3" s="6">
        <f>IF('Service Types'!K124="","",'Service Types'!K124)</f>
        <v>23</v>
      </c>
      <c r="L3" s="4" t="str">
        <f>IF('Service Types'!R124="","",'Service Types'!R124)</f>
        <v>Cleaning &amp; removal</v>
      </c>
      <c r="M3" s="4" t="str">
        <f>IF('Service Types'!S124="","",'Service Types'!S124)</f>
        <v>Clear</v>
      </c>
      <c r="N3" s="4" t="str">
        <f>IF('Service Types'!T124="","",'Service Types'!T124)</f>
        <v>A crew physically cleans up or removes something from public property.</v>
      </c>
      <c r="P3" s="4" t="s">
        <v>943</v>
      </c>
    </row>
    <row r="4" spans="1:16" x14ac:dyDescent="0.45">
      <c r="A4" s="14">
        <v>3</v>
      </c>
      <c r="B4" s="4" t="s">
        <v>574</v>
      </c>
      <c r="C4" s="4" t="str">
        <f>IF('Service Types'!B441="","",'Service Types'!B441)</f>
        <v>OS - Parks and Open Spaces</v>
      </c>
      <c r="D4" s="5">
        <f>IF('Service Types'!D441="","",'Service Types'!D441)</f>
        <v>42457</v>
      </c>
      <c r="E4" s="5">
        <f>IF('Service Types'!E441="","",'Service Types'!E441)</f>
        <v>12952</v>
      </c>
      <c r="F4" s="5">
        <f>IF('Service Types'!F441="","",'Service Types'!F441)</f>
        <v>1192</v>
      </c>
      <c r="G4" s="5">
        <f>IF('Service Types'!G441="","",'Service Types'!G441)</f>
        <v>471</v>
      </c>
      <c r="H4" s="5">
        <f>IF('Service Types'!H441="","",'Service Types'!H441)</f>
        <v>41265</v>
      </c>
      <c r="I4" s="6">
        <f>IF('Service Types'!I441="","",'Service Types'!I441)</f>
        <v>7</v>
      </c>
      <c r="J4" s="6">
        <f>IF('Service Types'!J441="","",'Service Types'!J441)</f>
        <v>16.600000000000001</v>
      </c>
      <c r="K4" s="6">
        <f>IF('Service Types'!K441="","",'Service Types'!K441)</f>
        <v>39</v>
      </c>
      <c r="L4" s="4" t="str">
        <f>IF('Service Types'!R441="","",'Service Types'!R441)</f>
        <v>Parks &amp; trees</v>
      </c>
      <c r="M4" s="4" t="str">
        <f>IF('Service Types'!S441="","",'Service Types'!S441)</f>
        <v>Clear</v>
      </c>
      <c r="N4" s="4" t="str">
        <f>IF('Service Types'!T441="","",'Service Types'!T441)</f>
        <v>Parks crew does hands-on work: trees, mowing, park repairs or upkeep.</v>
      </c>
      <c r="P4" s="4" t="s">
        <v>945</v>
      </c>
    </row>
    <row r="5" spans="1:16" x14ac:dyDescent="0.45">
      <c r="A5" s="14">
        <v>4</v>
      </c>
      <c r="B5" s="4" t="s">
        <v>651</v>
      </c>
      <c r="C5" s="4" t="str">
        <f>IF('Service Types'!B503="","",'Service Types'!B503)</f>
        <v>OS - Waste and Recycling Services</v>
      </c>
      <c r="D5" s="5">
        <f>IF('Service Types'!D503="","",'Service Types'!D503)</f>
        <v>36710</v>
      </c>
      <c r="E5" s="5">
        <f>IF('Service Types'!E503="","",'Service Types'!E503)</f>
        <v>9256</v>
      </c>
      <c r="F5" s="5">
        <f>IF('Service Types'!F503="","",'Service Types'!F503)</f>
        <v>38</v>
      </c>
      <c r="G5" s="5">
        <f>IF('Service Types'!G503="","",'Service Types'!G503)</f>
        <v>0</v>
      </c>
      <c r="H5" s="5">
        <f>IF('Service Types'!H503="","",'Service Types'!H503)</f>
        <v>36672</v>
      </c>
      <c r="I5" s="6">
        <f>IF('Service Types'!I503="","",'Service Types'!I503)</f>
        <v>1</v>
      </c>
      <c r="J5" s="6">
        <f>IF('Service Types'!J503="","",'Service Types'!J503)</f>
        <v>1.6</v>
      </c>
      <c r="K5" s="6">
        <f>IF('Service Types'!K503="","",'Service Types'!K503)</f>
        <v>4</v>
      </c>
      <c r="L5" s="4" t="str">
        <f>IF('Service Types'!R503="","",'Service Types'!R503)</f>
        <v>Waste collection</v>
      </c>
      <c r="M5" s="4" t="str">
        <f>IF('Service Types'!S503="","",'Service Types'!S503)</f>
        <v>Clear</v>
      </c>
      <c r="N5" s="4" t="str">
        <f>IF('Service Types'!T503="","",'Service Types'!T503)</f>
        <v>Collection crew work: missed pickups, carts, special or commercial collection.</v>
      </c>
    </row>
    <row r="6" spans="1:16" x14ac:dyDescent="0.45">
      <c r="A6" s="14">
        <v>5</v>
      </c>
      <c r="B6" s="4" t="s">
        <v>652</v>
      </c>
      <c r="C6" s="4" t="str">
        <f>IF('Service Types'!B504="","",'Service Types'!B504)</f>
        <v>OS - Waste and Recycling Services</v>
      </c>
      <c r="D6" s="5">
        <f>IF('Service Types'!D504="","",'Service Types'!D504)</f>
        <v>36309</v>
      </c>
      <c r="E6" s="5">
        <f>IF('Service Types'!E504="","",'Service Types'!E504)</f>
        <v>9327</v>
      </c>
      <c r="F6" s="5">
        <f>IF('Service Types'!F504="","",'Service Types'!F504)</f>
        <v>44</v>
      </c>
      <c r="G6" s="5">
        <f>IF('Service Types'!G504="","",'Service Types'!G504)</f>
        <v>0</v>
      </c>
      <c r="H6" s="5">
        <f>IF('Service Types'!H504="","",'Service Types'!H504)</f>
        <v>36265</v>
      </c>
      <c r="I6" s="6">
        <f>IF('Service Types'!I504="","",'Service Types'!I504)</f>
        <v>1</v>
      </c>
      <c r="J6" s="6">
        <f>IF('Service Types'!J504="","",'Service Types'!J504)</f>
        <v>1.6</v>
      </c>
      <c r="K6" s="6">
        <f>IF('Service Types'!K504="","",'Service Types'!K504)</f>
        <v>4</v>
      </c>
      <c r="L6" s="4" t="str">
        <f>IF('Service Types'!R504="","",'Service Types'!R504)</f>
        <v>Waste collection</v>
      </c>
      <c r="M6" s="4" t="str">
        <f>IF('Service Types'!S504="","",'Service Types'!S504)</f>
        <v>Clear</v>
      </c>
      <c r="N6" s="4" t="str">
        <f>IF('Service Types'!T504="","",'Service Types'!T504)</f>
        <v>Collection crew work: missed pickups, carts, special or commercial collection.</v>
      </c>
    </row>
    <row r="7" spans="1:16" x14ac:dyDescent="0.45">
      <c r="A7" s="14">
        <v>6</v>
      </c>
      <c r="B7" s="4" t="s">
        <v>491</v>
      </c>
      <c r="C7" s="4" t="str">
        <f>IF('Service Types'!B370="","",'Service Types'!B370)</f>
        <v>OS - Mobility</v>
      </c>
      <c r="D7" s="5">
        <f>IF('Service Types'!D370="","",'Service Types'!D370)</f>
        <v>34790</v>
      </c>
      <c r="E7" s="5">
        <f>IF('Service Types'!E370="","",'Service Types'!E370)</f>
        <v>7889</v>
      </c>
      <c r="F7" s="5">
        <f>IF('Service Types'!F370="","",'Service Types'!F370)</f>
        <v>990</v>
      </c>
      <c r="G7" s="5">
        <f>IF('Service Types'!G370="","",'Service Types'!G370)</f>
        <v>924</v>
      </c>
      <c r="H7" s="5">
        <f>IF('Service Types'!H370="","",'Service Types'!H370)</f>
        <v>30396</v>
      </c>
      <c r="I7" s="6">
        <f>IF('Service Types'!I370="","",'Service Types'!I370)</f>
        <v>1</v>
      </c>
      <c r="J7" s="6">
        <f>IF('Service Types'!J370="","",'Service Types'!J370)</f>
        <v>5.9</v>
      </c>
      <c r="K7" s="6">
        <f>IF('Service Types'!K370="","",'Service Types'!K370)</f>
        <v>6</v>
      </c>
      <c r="L7" s="4" t="str">
        <f>IF('Service Types'!R370="","",'Service Types'!R370)</f>
        <v>Road &amp; structure repair</v>
      </c>
      <c r="M7" s="4" t="str">
        <f>IF('Service Types'!S370="","",'Service Types'!S370)</f>
        <v>Clear</v>
      </c>
      <c r="N7" s="4" t="str">
        <f>IF('Service Types'!T370="","",'Service Types'!T370)</f>
        <v>A crew physically repairs a road, sidewalk, lane, pathway or structure.</v>
      </c>
    </row>
    <row r="8" spans="1:16" x14ac:dyDescent="0.45">
      <c r="A8" s="14">
        <v>7</v>
      </c>
      <c r="B8" s="4" t="s">
        <v>653</v>
      </c>
      <c r="C8" s="4" t="str">
        <f>IF('Service Types'!B505="","",'Service Types'!B505)</f>
        <v>OS - Waste and Recycling Services</v>
      </c>
      <c r="D8" s="5">
        <f>IF('Service Types'!D505="","",'Service Types'!D505)</f>
        <v>33263</v>
      </c>
      <c r="E8" s="5">
        <f>IF('Service Types'!E505="","",'Service Types'!E505)</f>
        <v>6896</v>
      </c>
      <c r="F8" s="5">
        <f>IF('Service Types'!F505="","",'Service Types'!F505)</f>
        <v>37</v>
      </c>
      <c r="G8" s="5">
        <f>IF('Service Types'!G505="","",'Service Types'!G505)</f>
        <v>0</v>
      </c>
      <c r="H8" s="5">
        <f>IF('Service Types'!H505="","",'Service Types'!H505)</f>
        <v>33226</v>
      </c>
      <c r="I8" s="6">
        <f>IF('Service Types'!I505="","",'Service Types'!I505)</f>
        <v>1</v>
      </c>
      <c r="J8" s="6">
        <f>IF('Service Types'!J505="","",'Service Types'!J505)</f>
        <v>1.5</v>
      </c>
      <c r="K8" s="6">
        <f>IF('Service Types'!K505="","",'Service Types'!K505)</f>
        <v>4</v>
      </c>
      <c r="L8" s="4" t="str">
        <f>IF('Service Types'!R505="","",'Service Types'!R505)</f>
        <v>Waste collection</v>
      </c>
      <c r="M8" s="4" t="str">
        <f>IF('Service Types'!S505="","",'Service Types'!S505)</f>
        <v>Clear</v>
      </c>
      <c r="N8" s="4" t="str">
        <f>IF('Service Types'!T505="","",'Service Types'!T505)</f>
        <v>Collection crew work: missed pickups, carts, special or commercial collection.</v>
      </c>
    </row>
    <row r="9" spans="1:16" x14ac:dyDescent="0.45">
      <c r="A9" s="14">
        <v>8</v>
      </c>
      <c r="B9" s="4" t="s">
        <v>654</v>
      </c>
      <c r="C9" s="4" t="str">
        <f>IF('Service Types'!B506="","",'Service Types'!B506)</f>
        <v>OS - Waste and Recycling Services</v>
      </c>
      <c r="D9" s="5">
        <f>IF('Service Types'!D506="","",'Service Types'!D506)</f>
        <v>30520</v>
      </c>
      <c r="E9" s="5">
        <f>IF('Service Types'!E506="","",'Service Types'!E506)</f>
        <v>6165</v>
      </c>
      <c r="F9" s="5">
        <f>IF('Service Types'!F506="","",'Service Types'!F506)</f>
        <v>55</v>
      </c>
      <c r="G9" s="5">
        <f>IF('Service Types'!G506="","",'Service Types'!G506)</f>
        <v>0</v>
      </c>
      <c r="H9" s="5">
        <f>IF('Service Types'!H506="","",'Service Types'!H506)</f>
        <v>30465</v>
      </c>
      <c r="I9" s="6">
        <f>IF('Service Types'!I506="","",'Service Types'!I506)</f>
        <v>4</v>
      </c>
      <c r="J9" s="6">
        <f>IF('Service Types'!J506="","",'Service Types'!J506)</f>
        <v>5</v>
      </c>
      <c r="K9" s="6">
        <f>IF('Service Types'!K506="","",'Service Types'!K506)</f>
        <v>11</v>
      </c>
      <c r="L9" s="4" t="str">
        <f>IF('Service Types'!R506="","",'Service Types'!R506)</f>
        <v>Waste collection</v>
      </c>
      <c r="M9" s="4" t="str">
        <f>IF('Service Types'!S506="","",'Service Types'!S506)</f>
        <v>Clear</v>
      </c>
      <c r="N9" s="4" t="str">
        <f>IF('Service Types'!T506="","",'Service Types'!T506)</f>
        <v>Collection crew work: missed pickups, carts, special or commercial collection.</v>
      </c>
    </row>
    <row r="10" spans="1:16" x14ac:dyDescent="0.45">
      <c r="A10" s="14">
        <v>9</v>
      </c>
      <c r="B10" s="4" t="s">
        <v>199</v>
      </c>
      <c r="C10" s="4" t="str">
        <f>IF('Service Types'!B127="","",'Service Types'!B127)</f>
        <v>CS - Emergency Management and Community Safety</v>
      </c>
      <c r="D10" s="5">
        <f>IF('Service Types'!D127="","",'Service Types'!D127)</f>
        <v>29665</v>
      </c>
      <c r="E10" s="5">
        <f>IF('Service Types'!E127="","",'Service Types'!E127)</f>
        <v>5404</v>
      </c>
      <c r="F10" s="5">
        <f>IF('Service Types'!F127="","",'Service Types'!F127)</f>
        <v>388</v>
      </c>
      <c r="G10" s="5">
        <f>IF('Service Types'!G127="","",'Service Types'!G127)</f>
        <v>165</v>
      </c>
      <c r="H10" s="5">
        <f>IF('Service Types'!H127="","",'Service Types'!H127)</f>
        <v>29277</v>
      </c>
      <c r="I10" s="6">
        <f>IF('Service Types'!I127="","",'Service Types'!I127)</f>
        <v>4</v>
      </c>
      <c r="J10" s="6">
        <f>IF('Service Types'!J127="","",'Service Types'!J127)</f>
        <v>12.7</v>
      </c>
      <c r="K10" s="6">
        <f>IF('Service Types'!K127="","",'Service Types'!K127)</f>
        <v>29</v>
      </c>
      <c r="L10" s="4" t="str">
        <f>IF('Service Types'!R127="","",'Service Types'!R127)</f>
        <v>Cleaning &amp; removal</v>
      </c>
      <c r="M10" s="4" t="str">
        <f>IF('Service Types'!S127="","",'Service Types'!S127)</f>
        <v>Borderline</v>
      </c>
      <c r="N10" s="4" t="str">
        <f>IF('Service Types'!T127="","",'Service Types'!T127)</f>
        <v>Site clean-up is crew work, but outreach/peace officers lead the response.</v>
      </c>
    </row>
    <row r="11" spans="1:16" x14ac:dyDescent="0.45">
      <c r="A11" s="14">
        <v>10</v>
      </c>
      <c r="B11" s="4" t="s">
        <v>493</v>
      </c>
      <c r="C11" s="4" t="str">
        <f>IF('Service Types'!B371="","",'Service Types'!B371)</f>
        <v>OS - Mobility</v>
      </c>
      <c r="D11" s="5">
        <f>IF('Service Types'!D371="","",'Service Types'!D371)</f>
        <v>28005</v>
      </c>
      <c r="E11" s="5">
        <f>IF('Service Types'!E371="","",'Service Types'!E371)</f>
        <v>3786</v>
      </c>
      <c r="F11" s="5">
        <f>IF('Service Types'!F371="","",'Service Types'!F371)</f>
        <v>561</v>
      </c>
      <c r="G11" s="5">
        <f>IF('Service Types'!G371="","",'Service Types'!G371)</f>
        <v>561</v>
      </c>
      <c r="H11" s="5">
        <f>IF('Service Types'!H371="","",'Service Types'!H371)</f>
        <v>25812</v>
      </c>
      <c r="I11" s="6">
        <f>IF('Service Types'!I371="","",'Service Types'!I371)</f>
        <v>1</v>
      </c>
      <c r="J11" s="6">
        <f>IF('Service Types'!J371="","",'Service Types'!J371)</f>
        <v>3.3</v>
      </c>
      <c r="K11" s="6">
        <f>IF('Service Types'!K371="","",'Service Types'!K371)</f>
        <v>4</v>
      </c>
      <c r="L11" s="4" t="str">
        <f>IF('Service Types'!R371="","",'Service Types'!R371)</f>
        <v>Snow &amp; ice</v>
      </c>
      <c r="M11" s="4" t="str">
        <f>IF('Service Types'!S371="","",'Service Types'!S371)</f>
        <v>Clear</v>
      </c>
      <c r="N11" s="4" t="str">
        <f>IF('Service Types'!T371="","",'Service Types'!T371)</f>
        <v>Clearing snow/ice on public roads, pathways, parks or transit stops.</v>
      </c>
    </row>
    <row r="12" spans="1:16" x14ac:dyDescent="0.45">
      <c r="A12" s="14">
        <v>11</v>
      </c>
      <c r="B12" s="4" t="s">
        <v>686</v>
      </c>
      <c r="C12" s="4" t="str">
        <f>IF('Service Types'!B532="","",'Service Types'!B532)</f>
        <v>OS - Water Services</v>
      </c>
      <c r="D12" s="5">
        <f>IF('Service Types'!D532="","",'Service Types'!D532)</f>
        <v>25079</v>
      </c>
      <c r="E12" s="5">
        <f>IF('Service Types'!E532="","",'Service Types'!E532)</f>
        <v>4422</v>
      </c>
      <c r="F12" s="5">
        <f>IF('Service Types'!F532="","",'Service Types'!F532)</f>
        <v>5</v>
      </c>
      <c r="G12" s="5">
        <f>IF('Service Types'!G532="","",'Service Types'!G532)</f>
        <v>0</v>
      </c>
      <c r="H12" s="5">
        <f>IF('Service Types'!H532="","",'Service Types'!H532)</f>
        <v>25074</v>
      </c>
      <c r="I12" s="6">
        <f>IF('Service Types'!I532="","",'Service Types'!I532)</f>
        <v>0</v>
      </c>
      <c r="J12" s="6">
        <f>IF('Service Types'!J532="","",'Service Types'!J532)</f>
        <v>0.6</v>
      </c>
      <c r="K12" s="6">
        <f>IF('Service Types'!K532="","",'Service Types'!K532)</f>
        <v>1</v>
      </c>
      <c r="L12" s="4" t="str">
        <f>IF('Service Types'!R532="","",'Service Types'!R532)</f>
        <v>Water &amp; sewer</v>
      </c>
      <c r="M12" s="4" t="str">
        <f>IF('Service Types'!S532="","",'Service Types'!S532)</f>
        <v>Clear</v>
      </c>
      <c r="N12" s="4" t="str">
        <f>IF('Service Types'!T532="","",'Service Types'!T532)</f>
        <v>Water/sewer crew goes to the site to fix or respond to a utility problem.</v>
      </c>
    </row>
    <row r="13" spans="1:16" x14ac:dyDescent="0.45">
      <c r="A13" s="14">
        <v>12</v>
      </c>
      <c r="B13" s="4" t="s">
        <v>494</v>
      </c>
      <c r="C13" s="4" t="str">
        <f>IF('Service Types'!B372="","",'Service Types'!B372)</f>
        <v>OS - Mobility</v>
      </c>
      <c r="D13" s="5">
        <f>IF('Service Types'!D372="","",'Service Types'!D372)</f>
        <v>24787</v>
      </c>
      <c r="E13" s="5">
        <f>IF('Service Types'!E372="","",'Service Types'!E372)</f>
        <v>6096</v>
      </c>
      <c r="F13" s="5">
        <f>IF('Service Types'!F372="","",'Service Types'!F372)</f>
        <v>1454</v>
      </c>
      <c r="G13" s="5">
        <f>IF('Service Types'!G372="","",'Service Types'!G372)</f>
        <v>1262</v>
      </c>
      <c r="H13" s="5">
        <f>IF('Service Types'!H372="","",'Service Types'!H372)</f>
        <v>22427</v>
      </c>
      <c r="I13" s="6">
        <f>IF('Service Types'!I372="","",'Service Types'!I372)</f>
        <v>1</v>
      </c>
      <c r="J13" s="6">
        <f>IF('Service Types'!J372="","",'Service Types'!J372)</f>
        <v>13.3</v>
      </c>
      <c r="K13" s="6">
        <f>IF('Service Types'!K372="","",'Service Types'!K372)</f>
        <v>24</v>
      </c>
      <c r="L13" s="4" t="str">
        <f>IF('Service Types'!R372="","",'Service Types'!R372)</f>
        <v>Cleaning &amp; removal</v>
      </c>
      <c r="M13" s="4" t="str">
        <f>IF('Service Types'!S372="","",'Service Types'!S372)</f>
        <v>Clear</v>
      </c>
      <c r="N13" s="4" t="str">
        <f>IF('Service Types'!T372="","",'Service Types'!T372)</f>
        <v>A crew physically cleans up or removes something from public property.</v>
      </c>
    </row>
    <row r="14" spans="1:16" x14ac:dyDescent="0.45">
      <c r="A14" s="14">
        <v>13</v>
      </c>
      <c r="B14" s="4" t="s">
        <v>495</v>
      </c>
      <c r="C14" s="4" t="str">
        <f>IF('Service Types'!B373="","",'Service Types'!B373)</f>
        <v>OS - Mobility</v>
      </c>
      <c r="D14" s="5">
        <f>IF('Service Types'!D373="","",'Service Types'!D373)</f>
        <v>22676</v>
      </c>
      <c r="E14" s="5">
        <f>IF('Service Types'!E373="","",'Service Types'!E373)</f>
        <v>5375</v>
      </c>
      <c r="F14" s="5">
        <f>IF('Service Types'!F373="","",'Service Types'!F373)</f>
        <v>3812</v>
      </c>
      <c r="G14" s="5">
        <f>IF('Service Types'!G373="","",'Service Types'!G373)</f>
        <v>3328</v>
      </c>
      <c r="H14" s="5">
        <f>IF('Service Types'!H373="","",'Service Types'!H373)</f>
        <v>18864</v>
      </c>
      <c r="I14" s="6">
        <f>IF('Service Types'!I373="","",'Service Types'!I373)</f>
        <v>145</v>
      </c>
      <c r="J14" s="6">
        <f>IF('Service Types'!J373="","",'Service Types'!J373)</f>
        <v>166.9</v>
      </c>
      <c r="K14" s="6">
        <f>IF('Service Types'!K373="","",'Service Types'!K373)</f>
        <v>393</v>
      </c>
      <c r="L14" s="4" t="str">
        <f>IF('Service Types'!R373="","",'Service Types'!R373)</f>
        <v>Signs, signals &amp; lights</v>
      </c>
      <c r="M14" s="4" t="str">
        <f>IF('Service Types'!S373="","",'Service Types'!S373)</f>
        <v>Clear</v>
      </c>
      <c r="N14" s="4" t="str">
        <f>IF('Service Types'!T373="","",'Service Types'!T373)</f>
        <v>Field repair or replacement of signs, markings, signals or lights.</v>
      </c>
    </row>
    <row r="15" spans="1:16" x14ac:dyDescent="0.45">
      <c r="A15" s="14">
        <v>14</v>
      </c>
      <c r="B15" s="4" t="s">
        <v>498</v>
      </c>
      <c r="C15" s="4" t="str">
        <f>IF('Service Types'!B374="","",'Service Types'!B374)</f>
        <v>OS - Mobility</v>
      </c>
      <c r="D15" s="5">
        <f>IF('Service Types'!D374="","",'Service Types'!D374)</f>
        <v>22223</v>
      </c>
      <c r="E15" s="5">
        <f>IF('Service Types'!E374="","",'Service Types'!E374)</f>
        <v>2743</v>
      </c>
      <c r="F15" s="5">
        <f>IF('Service Types'!F374="","",'Service Types'!F374)</f>
        <v>11</v>
      </c>
      <c r="G15" s="5">
        <f>IF('Service Types'!G374="","",'Service Types'!G374)</f>
        <v>2</v>
      </c>
      <c r="H15" s="5">
        <f>IF('Service Types'!H374="","",'Service Types'!H374)</f>
        <v>21717</v>
      </c>
      <c r="I15" s="6">
        <f>IF('Service Types'!I374="","",'Service Types'!I374)</f>
        <v>0</v>
      </c>
      <c r="J15" s="6">
        <f>IF('Service Types'!J374="","",'Service Types'!J374)</f>
        <v>4.2</v>
      </c>
      <c r="K15" s="6">
        <f>IF('Service Types'!K374="","",'Service Types'!K374)</f>
        <v>1</v>
      </c>
      <c r="L15" s="4" t="str">
        <f>IF('Service Types'!R374="","",'Service Types'!R374)</f>
        <v>Signs, signals &amp; lights</v>
      </c>
      <c r="M15" s="4" t="str">
        <f>IF('Service Types'!S374="","",'Service Types'!S374)</f>
        <v>Clear</v>
      </c>
      <c r="N15" s="4" t="str">
        <f>IF('Service Types'!T374="","",'Service Types'!T374)</f>
        <v>Field repair or replacement of signs, markings, signals or lights.</v>
      </c>
    </row>
    <row r="16" spans="1:16" x14ac:dyDescent="0.45">
      <c r="A16" s="14">
        <v>15</v>
      </c>
      <c r="B16" s="4" t="s">
        <v>499</v>
      </c>
      <c r="C16" s="4" t="str">
        <f>IF('Service Types'!B375="","",'Service Types'!B375)</f>
        <v>OS - Mobility</v>
      </c>
      <c r="D16" s="5">
        <f>IF('Service Types'!D375="","",'Service Types'!D375)</f>
        <v>21509</v>
      </c>
      <c r="E16" s="5">
        <f>IF('Service Types'!E375="","",'Service Types'!E375)</f>
        <v>4256</v>
      </c>
      <c r="F16" s="5">
        <f>IF('Service Types'!F375="","",'Service Types'!F375)</f>
        <v>2949</v>
      </c>
      <c r="G16" s="5">
        <f>IF('Service Types'!G375="","",'Service Types'!G375)</f>
        <v>2667</v>
      </c>
      <c r="H16" s="5">
        <f>IF('Service Types'!H375="","",'Service Types'!H375)</f>
        <v>16640</v>
      </c>
      <c r="I16" s="6">
        <f>IF('Service Types'!I375="","",'Service Types'!I375)</f>
        <v>3</v>
      </c>
      <c r="J16" s="6">
        <f>IF('Service Types'!J375="","",'Service Types'!J375)</f>
        <v>37.1</v>
      </c>
      <c r="K16" s="6">
        <f>IF('Service Types'!K375="","",'Service Types'!K375)</f>
        <v>108</v>
      </c>
      <c r="L16" s="4" t="str">
        <f>IF('Service Types'!R375="","",'Service Types'!R375)</f>
        <v>Road &amp; structure repair</v>
      </c>
      <c r="M16" s="4" t="str">
        <f>IF('Service Types'!S375="","",'Service Types'!S375)</f>
        <v>Clear</v>
      </c>
      <c r="N16" s="4" t="str">
        <f>IF('Service Types'!T375="","",'Service Types'!T375)</f>
        <v>A crew physically repairs a road, sidewalk, lane, pathway or structure.</v>
      </c>
    </row>
    <row r="17" spans="1:14" x14ac:dyDescent="0.45">
      <c r="A17" s="14">
        <v>16</v>
      </c>
      <c r="B17" s="4" t="s">
        <v>500</v>
      </c>
      <c r="C17" s="4" t="str">
        <f>IF('Service Types'!B376="","",'Service Types'!B376)</f>
        <v>OS - Mobility</v>
      </c>
      <c r="D17" s="5">
        <f>IF('Service Types'!D376="","",'Service Types'!D376)</f>
        <v>19741</v>
      </c>
      <c r="E17" s="5">
        <f>IF('Service Types'!E376="","",'Service Types'!E376)</f>
        <v>5296</v>
      </c>
      <c r="F17" s="5">
        <f>IF('Service Types'!F376="","",'Service Types'!F376)</f>
        <v>18</v>
      </c>
      <c r="G17" s="5">
        <f>IF('Service Types'!G376="","",'Service Types'!G376)</f>
        <v>9</v>
      </c>
      <c r="H17" s="5">
        <f>IF('Service Types'!H376="","",'Service Types'!H376)</f>
        <v>18744</v>
      </c>
      <c r="I17" s="6">
        <f>IF('Service Types'!I376="","",'Service Types'!I376)</f>
        <v>0</v>
      </c>
      <c r="J17" s="6">
        <f>IF('Service Types'!J376="","",'Service Types'!J376)</f>
        <v>0.3</v>
      </c>
      <c r="K17" s="6">
        <f>IF('Service Types'!K376="","",'Service Types'!K376)</f>
        <v>1</v>
      </c>
      <c r="L17" s="4" t="str">
        <f>IF('Service Types'!R376="","",'Service Types'!R376)</f>
        <v>Cleaning &amp; removal</v>
      </c>
      <c r="M17" s="4" t="str">
        <f>IF('Service Types'!S376="","",'Service Types'!S376)</f>
        <v>Clear</v>
      </c>
      <c r="N17" s="4" t="str">
        <f>IF('Service Types'!T376="","",'Service Types'!T376)</f>
        <v>A crew physically cleans up or removes something from public property.</v>
      </c>
    </row>
    <row r="18" spans="1:14" x14ac:dyDescent="0.45">
      <c r="A18" s="14">
        <v>17</v>
      </c>
      <c r="B18" s="4" t="s">
        <v>501</v>
      </c>
      <c r="C18" s="4" t="str">
        <f>IF('Service Types'!B377="","",'Service Types'!B377)</f>
        <v>OS - Mobility</v>
      </c>
      <c r="D18" s="5">
        <f>IF('Service Types'!D377="","",'Service Types'!D377)</f>
        <v>19032</v>
      </c>
      <c r="E18" s="5">
        <f>IF('Service Types'!E377="","",'Service Types'!E377)</f>
        <v>3089</v>
      </c>
      <c r="F18" s="5">
        <f>IF('Service Types'!F377="","",'Service Types'!F377)</f>
        <v>4690</v>
      </c>
      <c r="G18" s="5">
        <f>IF('Service Types'!G377="","",'Service Types'!G377)</f>
        <v>4680</v>
      </c>
      <c r="H18" s="5">
        <f>IF('Service Types'!H377="","",'Service Types'!H377)</f>
        <v>13968</v>
      </c>
      <c r="I18" s="6">
        <f>IF('Service Types'!I377="","",'Service Types'!I377)</f>
        <v>4</v>
      </c>
      <c r="J18" s="6">
        <f>IF('Service Types'!J377="","",'Service Types'!J377)</f>
        <v>46.7</v>
      </c>
      <c r="K18" s="6">
        <f>IF('Service Types'!K377="","",'Service Types'!K377)</f>
        <v>133</v>
      </c>
      <c r="L18" s="4" t="str">
        <f>IF('Service Types'!R377="","",'Service Types'!R377)</f>
        <v>Road &amp; structure repair</v>
      </c>
      <c r="M18" s="4" t="str">
        <f>IF('Service Types'!S377="","",'Service Types'!S377)</f>
        <v>Clear</v>
      </c>
      <c r="N18" s="4" t="str">
        <f>IF('Service Types'!T377="","",'Service Types'!T377)</f>
        <v>A crew physically repairs a road, sidewalk, lane, pathway or structure.</v>
      </c>
    </row>
    <row r="19" spans="1:14" x14ac:dyDescent="0.45">
      <c r="A19" s="14">
        <v>18</v>
      </c>
      <c r="B19" s="4" t="s">
        <v>502</v>
      </c>
      <c r="C19" s="4" t="str">
        <f>IF('Service Types'!B378="","",'Service Types'!B378)</f>
        <v>OS - Mobility</v>
      </c>
      <c r="D19" s="5">
        <f>IF('Service Types'!D378="","",'Service Types'!D378)</f>
        <v>17883</v>
      </c>
      <c r="E19" s="5">
        <f>IF('Service Types'!E378="","",'Service Types'!E378)</f>
        <v>3770</v>
      </c>
      <c r="F19" s="5">
        <f>IF('Service Types'!F378="","",'Service Types'!F378)</f>
        <v>2268</v>
      </c>
      <c r="G19" s="5">
        <f>IF('Service Types'!G378="","",'Service Types'!G378)</f>
        <v>2095</v>
      </c>
      <c r="H19" s="5">
        <f>IF('Service Types'!H378="","",'Service Types'!H378)</f>
        <v>14022</v>
      </c>
      <c r="I19" s="6">
        <f>IF('Service Types'!I378="","",'Service Types'!I378)</f>
        <v>2</v>
      </c>
      <c r="J19" s="6">
        <f>IF('Service Types'!J378="","",'Service Types'!J378)</f>
        <v>23.2</v>
      </c>
      <c r="K19" s="6">
        <f>IF('Service Types'!K378="","",'Service Types'!K378)</f>
        <v>38</v>
      </c>
      <c r="L19" s="4" t="str">
        <f>IF('Service Types'!R378="","",'Service Types'!R378)</f>
        <v>Road &amp; structure repair</v>
      </c>
      <c r="M19" s="4" t="str">
        <f>IF('Service Types'!S378="","",'Service Types'!S378)</f>
        <v>Clear</v>
      </c>
      <c r="N19" s="4" t="str">
        <f>IF('Service Types'!T378="","",'Service Types'!T378)</f>
        <v>A crew physically repairs a road, sidewalk, lane, pathway or structure.</v>
      </c>
    </row>
    <row r="20" spans="1:14" x14ac:dyDescent="0.45">
      <c r="A20" s="14">
        <v>19</v>
      </c>
      <c r="B20" s="4" t="s">
        <v>503</v>
      </c>
      <c r="C20" s="4" t="str">
        <f>IF('Service Types'!B379="","",'Service Types'!B379)</f>
        <v>OS - Mobility</v>
      </c>
      <c r="D20" s="5">
        <f>IF('Service Types'!D379="","",'Service Types'!D379)</f>
        <v>17517</v>
      </c>
      <c r="E20" s="5">
        <f>IF('Service Types'!E379="","",'Service Types'!E379)</f>
        <v>4320</v>
      </c>
      <c r="F20" s="5">
        <f>IF('Service Types'!F379="","",'Service Types'!F379)</f>
        <v>64</v>
      </c>
      <c r="G20" s="5">
        <f>IF('Service Types'!G379="","",'Service Types'!G379)</f>
        <v>61</v>
      </c>
      <c r="H20" s="5">
        <f>IF('Service Types'!H379="","",'Service Types'!H379)</f>
        <v>13848</v>
      </c>
      <c r="I20" s="6">
        <f>IF('Service Types'!I379="","",'Service Types'!I379)</f>
        <v>0</v>
      </c>
      <c r="J20" s="6">
        <f>IF('Service Types'!J379="","",'Service Types'!J379)</f>
        <v>0.7</v>
      </c>
      <c r="K20" s="6">
        <f>IF('Service Types'!K379="","",'Service Types'!K379)</f>
        <v>1</v>
      </c>
      <c r="L20" s="4" t="str">
        <f>IF('Service Types'!R379="","",'Service Types'!R379)</f>
        <v>Signs, signals &amp; lights</v>
      </c>
      <c r="M20" s="4" t="str">
        <f>IF('Service Types'!S379="","",'Service Types'!S379)</f>
        <v>Clear</v>
      </c>
      <c r="N20" s="4" t="str">
        <f>IF('Service Types'!T379="","",'Service Types'!T379)</f>
        <v>Field repair or replacement of signs, markings, signals or lights.</v>
      </c>
    </row>
    <row r="21" spans="1:14" x14ac:dyDescent="0.45">
      <c r="A21" s="14">
        <v>20</v>
      </c>
      <c r="B21" s="4" t="s">
        <v>655</v>
      </c>
      <c r="C21" s="4" t="str">
        <f>IF('Service Types'!B507="","",'Service Types'!B507)</f>
        <v>OS - Waste and Recycling Services</v>
      </c>
      <c r="D21" s="5">
        <f>IF('Service Types'!D507="","",'Service Types'!D507)</f>
        <v>15742</v>
      </c>
      <c r="E21" s="5">
        <f>IF('Service Types'!E507="","",'Service Types'!E507)</f>
        <v>4158</v>
      </c>
      <c r="F21" s="5">
        <f>IF('Service Types'!F507="","",'Service Types'!F507)</f>
        <v>74</v>
      </c>
      <c r="G21" s="5">
        <f>IF('Service Types'!G507="","",'Service Types'!G507)</f>
        <v>0</v>
      </c>
      <c r="H21" s="5">
        <f>IF('Service Types'!H507="","",'Service Types'!H507)</f>
        <v>15668</v>
      </c>
      <c r="I21" s="6">
        <f>IF('Service Types'!I507="","",'Service Types'!I507)</f>
        <v>1</v>
      </c>
      <c r="J21" s="6">
        <f>IF('Service Types'!J507="","",'Service Types'!J507)</f>
        <v>2.2000000000000002</v>
      </c>
      <c r="K21" s="6">
        <f>IF('Service Types'!K507="","",'Service Types'!K507)</f>
        <v>4</v>
      </c>
      <c r="L21" s="4" t="str">
        <f>IF('Service Types'!R507="","",'Service Types'!R507)</f>
        <v>Waste collection</v>
      </c>
      <c r="M21" s="4" t="str">
        <f>IF('Service Types'!S507="","",'Service Types'!S507)</f>
        <v>Clear</v>
      </c>
      <c r="N21" s="4" t="str">
        <f>IF('Service Types'!T507="","",'Service Types'!T507)</f>
        <v>Collection crew work: missed pickups, carts, special or commercial collection.</v>
      </c>
    </row>
    <row r="22" spans="1:14" x14ac:dyDescent="0.45">
      <c r="A22" s="14">
        <v>21</v>
      </c>
      <c r="B22" s="4" t="s">
        <v>762</v>
      </c>
      <c r="C22" s="4" t="str">
        <f>IF('Service Types'!B591="","",'Service Types'!B591)</f>
        <v>OSC - Waste and Recycling Services</v>
      </c>
      <c r="D22" s="5">
        <f>IF('Service Types'!D591="","",'Service Types'!D591)</f>
        <v>15182</v>
      </c>
      <c r="E22" s="5">
        <f>IF('Service Types'!E591="","",'Service Types'!E591)</f>
        <v>3546</v>
      </c>
      <c r="F22" s="5">
        <f>IF('Service Types'!F591="","",'Service Types'!F591)</f>
        <v>26</v>
      </c>
      <c r="G22" s="5">
        <f>IF('Service Types'!G591="","",'Service Types'!G591)</f>
        <v>0</v>
      </c>
      <c r="H22" s="5">
        <f>IF('Service Types'!H591="","",'Service Types'!H591)</f>
        <v>15156</v>
      </c>
      <c r="I22" s="6">
        <f>IF('Service Types'!I591="","",'Service Types'!I591)</f>
        <v>1</v>
      </c>
      <c r="J22" s="6">
        <f>IF('Service Types'!J591="","",'Service Types'!J591)</f>
        <v>2.5</v>
      </c>
      <c r="K22" s="6">
        <f>IF('Service Types'!K591="","",'Service Types'!K591)</f>
        <v>4</v>
      </c>
      <c r="L22" s="4" t="str">
        <f>IF('Service Types'!R591="","",'Service Types'!R591)</f>
        <v>Waste collection</v>
      </c>
      <c r="M22" s="4" t="str">
        <f>IF('Service Types'!S591="","",'Service Types'!S591)</f>
        <v>Clear</v>
      </c>
      <c r="N22" s="4" t="str">
        <f>IF('Service Types'!T591="","",'Service Types'!T591)</f>
        <v>Collection crew work: missed pickups, carts, special or commercial collection.</v>
      </c>
    </row>
    <row r="23" spans="1:14" x14ac:dyDescent="0.45">
      <c r="A23" s="14">
        <v>22</v>
      </c>
      <c r="B23" s="4" t="s">
        <v>578</v>
      </c>
      <c r="C23" s="4" t="str">
        <f>IF('Service Types'!B442="","",'Service Types'!B442)</f>
        <v>OS - Parks and Open Spaces</v>
      </c>
      <c r="D23" s="5">
        <f>IF('Service Types'!D442="","",'Service Types'!D442)</f>
        <v>15018</v>
      </c>
      <c r="E23" s="5">
        <f>IF('Service Types'!E442="","",'Service Types'!E442)</f>
        <v>0</v>
      </c>
      <c r="F23" s="5">
        <f>IF('Service Types'!F442="","",'Service Types'!F442)</f>
        <v>24</v>
      </c>
      <c r="G23" s="5">
        <f>IF('Service Types'!G442="","",'Service Types'!G442)</f>
        <v>24</v>
      </c>
      <c r="H23" s="5">
        <f>IF('Service Types'!H442="","",'Service Types'!H442)</f>
        <v>14994</v>
      </c>
      <c r="I23" s="6">
        <f>IF('Service Types'!I442="","",'Service Types'!I442)</f>
        <v>4</v>
      </c>
      <c r="J23" s="6">
        <f>IF('Service Types'!J442="","",'Service Types'!J442)</f>
        <v>9.4</v>
      </c>
      <c r="K23" s="6">
        <f>IF('Service Types'!K442="","",'Service Types'!K442)</f>
        <v>20</v>
      </c>
      <c r="L23" s="4" t="str">
        <f>IF('Service Types'!R442="","",'Service Types'!R442)</f>
        <v>Parks &amp; trees</v>
      </c>
      <c r="M23" s="4" t="str">
        <f>IF('Service Types'!S442="","",'Service Types'!S442)</f>
        <v>Clear</v>
      </c>
      <c r="N23" s="4" t="str">
        <f>IF('Service Types'!T442="","",'Service Types'!T442)</f>
        <v>Parks crew does hands-on work: trees, mowing, park repairs or upkeep.</v>
      </c>
    </row>
    <row r="24" spans="1:14" x14ac:dyDescent="0.45">
      <c r="A24" s="14">
        <v>23</v>
      </c>
      <c r="B24" s="4" t="s">
        <v>690</v>
      </c>
      <c r="C24" s="4" t="str">
        <f>IF('Service Types'!B533="","",'Service Types'!B533)</f>
        <v>OS - Water Services</v>
      </c>
      <c r="D24" s="5">
        <f>IF('Service Types'!D533="","",'Service Types'!D533)</f>
        <v>14891</v>
      </c>
      <c r="E24" s="5">
        <f>IF('Service Types'!E533="","",'Service Types'!E533)</f>
        <v>3324</v>
      </c>
      <c r="F24" s="5">
        <f>IF('Service Types'!F533="","",'Service Types'!F533)</f>
        <v>146</v>
      </c>
      <c r="G24" s="5">
        <f>IF('Service Types'!G533="","",'Service Types'!G533)</f>
        <v>0</v>
      </c>
      <c r="H24" s="5">
        <f>IF('Service Types'!H533="","",'Service Types'!H533)</f>
        <v>14724</v>
      </c>
      <c r="I24" s="6">
        <f>IF('Service Types'!I533="","",'Service Types'!I533)</f>
        <v>11</v>
      </c>
      <c r="J24" s="6">
        <f>IF('Service Types'!J533="","",'Service Types'!J533)</f>
        <v>11.8</v>
      </c>
      <c r="K24" s="6">
        <f>IF('Service Types'!K533="","",'Service Types'!K533)</f>
        <v>25</v>
      </c>
      <c r="L24" s="4" t="str">
        <f>IF('Service Types'!R533="","",'Service Types'!R533)</f>
        <v>Water &amp; sewer</v>
      </c>
      <c r="M24" s="4" t="str">
        <f>IF('Service Types'!S533="","",'Service Types'!S533)</f>
        <v>Clear</v>
      </c>
      <c r="N24" s="4" t="str">
        <f>IF('Service Types'!T533="","",'Service Types'!T533)</f>
        <v>Water/sewer crew goes to the site to fix or respond to a utility problem.</v>
      </c>
    </row>
    <row r="25" spans="1:14" x14ac:dyDescent="0.45">
      <c r="A25" s="14">
        <v>24</v>
      </c>
      <c r="B25" s="4" t="s">
        <v>454</v>
      </c>
      <c r="C25" s="4" t="str">
        <f>IF('Service Types'!B346="","",'Service Types'!B346)</f>
        <v>OS - Calgary Transit</v>
      </c>
      <c r="D25" s="5">
        <f>IF('Service Types'!D346="","",'Service Types'!D346)</f>
        <v>13452</v>
      </c>
      <c r="E25" s="5">
        <f>IF('Service Types'!E346="","",'Service Types'!E346)</f>
        <v>3040</v>
      </c>
      <c r="F25" s="5">
        <f>IF('Service Types'!F346="","",'Service Types'!F346)</f>
        <v>442</v>
      </c>
      <c r="G25" s="5">
        <f>IF('Service Types'!G346="","",'Service Types'!G346)</f>
        <v>84</v>
      </c>
      <c r="H25" s="5">
        <f>IF('Service Types'!H346="","",'Service Types'!H346)</f>
        <v>13010</v>
      </c>
      <c r="I25" s="6">
        <f>IF('Service Types'!I346="","",'Service Types'!I346)</f>
        <v>25</v>
      </c>
      <c r="J25" s="6">
        <f>IF('Service Types'!J346="","",'Service Types'!J346)</f>
        <v>38.700000000000003</v>
      </c>
      <c r="K25" s="6">
        <f>IF('Service Types'!K346="","",'Service Types'!K346)</f>
        <v>90</v>
      </c>
      <c r="L25" s="4" t="str">
        <f>IF('Service Types'!R346="","",'Service Types'!R346)</f>
        <v>Facilities</v>
      </c>
      <c r="M25" s="4" t="str">
        <f>IF('Service Types'!S346="","",'Service Types'!S346)</f>
        <v>Borderline</v>
      </c>
      <c r="N25" s="4" t="str">
        <f>IF('Service Types'!T346="","",'Service Types'!T346)</f>
        <v>Stop repairs/cleaning are crew work; some tickets ask for new or moved stops.</v>
      </c>
    </row>
    <row r="26" spans="1:14" x14ac:dyDescent="0.45">
      <c r="A26" s="14">
        <v>25</v>
      </c>
      <c r="B26" s="4" t="s">
        <v>579</v>
      </c>
      <c r="C26" s="4" t="str">
        <f>IF('Service Types'!B443="","",'Service Types'!B443)</f>
        <v>OS - Parks and Open Spaces</v>
      </c>
      <c r="D26" s="5">
        <f>IF('Service Types'!D443="","",'Service Types'!D443)</f>
        <v>13340</v>
      </c>
      <c r="E26" s="5">
        <f>IF('Service Types'!E443="","",'Service Types'!E443)</f>
        <v>4233</v>
      </c>
      <c r="F26" s="5">
        <f>IF('Service Types'!F443="","",'Service Types'!F443)</f>
        <v>65</v>
      </c>
      <c r="G26" s="5">
        <f>IF('Service Types'!G443="","",'Service Types'!G443)</f>
        <v>26</v>
      </c>
      <c r="H26" s="5">
        <f>IF('Service Types'!H443="","",'Service Types'!H443)</f>
        <v>13275</v>
      </c>
      <c r="I26" s="6">
        <f>IF('Service Types'!I443="","",'Service Types'!I443)</f>
        <v>3</v>
      </c>
      <c r="J26" s="6">
        <f>IF('Service Types'!J443="","",'Service Types'!J443)</f>
        <v>5</v>
      </c>
      <c r="K26" s="6">
        <f>IF('Service Types'!K443="","",'Service Types'!K443)</f>
        <v>10</v>
      </c>
      <c r="L26" s="4" t="str">
        <f>IF('Service Types'!R443="","",'Service Types'!R443)</f>
        <v>Cleaning &amp; removal</v>
      </c>
      <c r="M26" s="4" t="str">
        <f>IF('Service Types'!S443="","",'Service Types'!S443)</f>
        <v>Clear</v>
      </c>
      <c r="N26" s="4" t="str">
        <f>IF('Service Types'!T443="","",'Service Types'!T443)</f>
        <v>A crew physically cleans up or removes something from public property.</v>
      </c>
    </row>
    <row r="27" spans="1:14" x14ac:dyDescent="0.45">
      <c r="A27" s="14">
        <v>26</v>
      </c>
      <c r="B27" s="4" t="s">
        <v>691</v>
      </c>
      <c r="C27" s="4" t="str">
        <f>IF('Service Types'!B534="","",'Service Types'!B534)</f>
        <v>OS - Water Services</v>
      </c>
      <c r="D27" s="5">
        <f>IF('Service Types'!D534="","",'Service Types'!D534)</f>
        <v>13039</v>
      </c>
      <c r="E27" s="5">
        <f>IF('Service Types'!E534="","",'Service Types'!E534)</f>
        <v>2387</v>
      </c>
      <c r="F27" s="5">
        <f>IF('Service Types'!F534="","",'Service Types'!F534)</f>
        <v>25</v>
      </c>
      <c r="G27" s="5">
        <f>IF('Service Types'!G534="","",'Service Types'!G534)</f>
        <v>7</v>
      </c>
      <c r="H27" s="5">
        <f>IF('Service Types'!H534="","",'Service Types'!H534)</f>
        <v>12869</v>
      </c>
      <c r="I27" s="6">
        <f>IF('Service Types'!I534="","",'Service Types'!I534)</f>
        <v>3</v>
      </c>
      <c r="J27" s="6">
        <f>IF('Service Types'!J534="","",'Service Types'!J534)</f>
        <v>6.7</v>
      </c>
      <c r="K27" s="6">
        <f>IF('Service Types'!K534="","",'Service Types'!K534)</f>
        <v>14</v>
      </c>
      <c r="L27" s="4" t="str">
        <f>IF('Service Types'!R534="","",'Service Types'!R534)</f>
        <v>Water &amp; sewer</v>
      </c>
      <c r="M27" s="4" t="str">
        <f>IF('Service Types'!S534="","",'Service Types'!S534)</f>
        <v>Clear</v>
      </c>
      <c r="N27" s="4" t="str">
        <f>IF('Service Types'!T534="","",'Service Types'!T534)</f>
        <v>Water/sewer crew goes to the site to fix or respond to a utility problem.</v>
      </c>
    </row>
    <row r="28" spans="1:14" x14ac:dyDescent="0.45">
      <c r="A28" s="14">
        <v>27</v>
      </c>
      <c r="B28" s="4" t="s">
        <v>656</v>
      </c>
      <c r="C28" s="4" t="str">
        <f>IF('Service Types'!B508="","",'Service Types'!B508)</f>
        <v>OS - Waste and Recycling Services</v>
      </c>
      <c r="D28" s="5">
        <f>IF('Service Types'!D508="","",'Service Types'!D508)</f>
        <v>12601</v>
      </c>
      <c r="E28" s="5">
        <f>IF('Service Types'!E508="","",'Service Types'!E508)</f>
        <v>3124</v>
      </c>
      <c r="F28" s="5">
        <f>IF('Service Types'!F508="","",'Service Types'!F508)</f>
        <v>20</v>
      </c>
      <c r="G28" s="5">
        <f>IF('Service Types'!G508="","",'Service Types'!G508)</f>
        <v>0</v>
      </c>
      <c r="H28" s="5">
        <f>IF('Service Types'!H508="","",'Service Types'!H508)</f>
        <v>12581</v>
      </c>
      <c r="I28" s="6">
        <f>IF('Service Types'!I508="","",'Service Types'!I508)</f>
        <v>1</v>
      </c>
      <c r="J28" s="6">
        <f>IF('Service Types'!J508="","",'Service Types'!J508)</f>
        <v>1.4</v>
      </c>
      <c r="K28" s="6">
        <f>IF('Service Types'!K508="","",'Service Types'!K508)</f>
        <v>4</v>
      </c>
      <c r="L28" s="4" t="str">
        <f>IF('Service Types'!R508="","",'Service Types'!R508)</f>
        <v>Waste collection</v>
      </c>
      <c r="M28" s="4" t="str">
        <f>IF('Service Types'!S508="","",'Service Types'!S508)</f>
        <v>Clear</v>
      </c>
      <c r="N28" s="4" t="str">
        <f>IF('Service Types'!T508="","",'Service Types'!T508)</f>
        <v>Collection crew work: missed pickups, carts, special or commercial collection.</v>
      </c>
    </row>
    <row r="29" spans="1:14" x14ac:dyDescent="0.45">
      <c r="A29" s="14">
        <v>28</v>
      </c>
      <c r="B29" s="4" t="s">
        <v>504</v>
      </c>
      <c r="C29" s="4" t="str">
        <f>IF('Service Types'!B380="","",'Service Types'!B380)</f>
        <v>OS - Mobility</v>
      </c>
      <c r="D29" s="5">
        <f>IF('Service Types'!D380="","",'Service Types'!D380)</f>
        <v>12093</v>
      </c>
      <c r="E29" s="5">
        <f>IF('Service Types'!E380="","",'Service Types'!E380)</f>
        <v>2844</v>
      </c>
      <c r="F29" s="5">
        <f>IF('Service Types'!F380="","",'Service Types'!F380)</f>
        <v>1636</v>
      </c>
      <c r="G29" s="5">
        <f>IF('Service Types'!G380="","",'Service Types'!G380)</f>
        <v>1065</v>
      </c>
      <c r="H29" s="5">
        <f>IF('Service Types'!H380="","",'Service Types'!H380)</f>
        <v>10456</v>
      </c>
      <c r="I29" s="6">
        <f>IF('Service Types'!I380="","",'Service Types'!I380)</f>
        <v>4</v>
      </c>
      <c r="J29" s="6">
        <f>IF('Service Types'!J380="","",'Service Types'!J380)</f>
        <v>170.3</v>
      </c>
      <c r="K29" s="6">
        <f>IF('Service Types'!K380="","",'Service Types'!K380)</f>
        <v>679</v>
      </c>
      <c r="L29" s="4" t="str">
        <f>IF('Service Types'!R380="","",'Service Types'!R380)</f>
        <v>Signs, signals &amp; lights</v>
      </c>
      <c r="M29" s="4" t="str">
        <f>IF('Service Types'!S380="","",'Service Types'!S380)</f>
        <v>Clear</v>
      </c>
      <c r="N29" s="4" t="str">
        <f>IF('Service Types'!T380="","",'Service Types'!T380)</f>
        <v>Field repair or replacement of signs, markings, signals or lights.</v>
      </c>
    </row>
    <row r="30" spans="1:14" x14ac:dyDescent="0.45">
      <c r="A30" s="14">
        <v>29</v>
      </c>
      <c r="B30" s="4" t="s">
        <v>505</v>
      </c>
      <c r="C30" s="4" t="str">
        <f>IF('Service Types'!B381="","",'Service Types'!B381)</f>
        <v>OS - Mobility</v>
      </c>
      <c r="D30" s="5">
        <f>IF('Service Types'!D381="","",'Service Types'!D381)</f>
        <v>11999</v>
      </c>
      <c r="E30" s="5">
        <f>IF('Service Types'!E381="","",'Service Types'!E381)</f>
        <v>2495</v>
      </c>
      <c r="F30" s="5">
        <f>IF('Service Types'!F381="","",'Service Types'!F381)</f>
        <v>1048</v>
      </c>
      <c r="G30" s="5">
        <f>IF('Service Types'!G381="","",'Service Types'!G381)</f>
        <v>762</v>
      </c>
      <c r="H30" s="5">
        <f>IF('Service Types'!H381="","",'Service Types'!H381)</f>
        <v>10951</v>
      </c>
      <c r="I30" s="6">
        <f>IF('Service Types'!I381="","",'Service Types'!I381)</f>
        <v>4</v>
      </c>
      <c r="J30" s="6">
        <f>IF('Service Types'!J381="","",'Service Types'!J381)</f>
        <v>78.3</v>
      </c>
      <c r="K30" s="6">
        <f>IF('Service Types'!K381="","",'Service Types'!K381)</f>
        <v>257</v>
      </c>
      <c r="L30" s="4" t="str">
        <f>IF('Service Types'!R381="","",'Service Types'!R381)</f>
        <v>Signs, signals &amp; lights</v>
      </c>
      <c r="M30" s="4" t="str">
        <f>IF('Service Types'!S381="","",'Service Types'!S381)</f>
        <v>Clear</v>
      </c>
      <c r="N30" s="4" t="str">
        <f>IF('Service Types'!T381="","",'Service Types'!T381)</f>
        <v>Field repair or replacement of signs, markings, signals or lights.</v>
      </c>
    </row>
    <row r="31" spans="1:14" x14ac:dyDescent="0.45">
      <c r="A31" s="14">
        <v>30</v>
      </c>
      <c r="B31" s="4" t="s">
        <v>692</v>
      </c>
      <c r="C31" s="4" t="str">
        <f>IF('Service Types'!B535="","",'Service Types'!B535)</f>
        <v>OS - Water Services</v>
      </c>
      <c r="D31" s="5">
        <f>IF('Service Types'!D535="","",'Service Types'!D535)</f>
        <v>9672</v>
      </c>
      <c r="E31" s="5">
        <f>IF('Service Types'!E535="","",'Service Types'!E535)</f>
        <v>2103</v>
      </c>
      <c r="F31" s="5">
        <f>IF('Service Types'!F535="","",'Service Types'!F535)</f>
        <v>398</v>
      </c>
      <c r="G31" s="5">
        <f>IF('Service Types'!G535="","",'Service Types'!G535)</f>
        <v>187</v>
      </c>
      <c r="H31" s="5">
        <f>IF('Service Types'!H535="","",'Service Types'!H535)</f>
        <v>9274</v>
      </c>
      <c r="I31" s="6">
        <f>IF('Service Types'!I535="","",'Service Types'!I535)</f>
        <v>87</v>
      </c>
      <c r="J31" s="6">
        <f>IF('Service Types'!J535="","",'Service Types'!J535)</f>
        <v>103.9</v>
      </c>
      <c r="K31" s="6">
        <f>IF('Service Types'!K535="","",'Service Types'!K535)</f>
        <v>224</v>
      </c>
      <c r="L31" s="4" t="str">
        <f>IF('Service Types'!R535="","",'Service Types'!R535)</f>
        <v>Water &amp; sewer</v>
      </c>
      <c r="M31" s="4" t="str">
        <f>IF('Service Types'!S535="","",'Service Types'!S535)</f>
        <v>Clear</v>
      </c>
      <c r="N31" s="4" t="str">
        <f>IF('Service Types'!T535="","",'Service Types'!T535)</f>
        <v>Water/sewer crew goes to the site to fix or respond to a utility problem.</v>
      </c>
    </row>
    <row r="32" spans="1:14" x14ac:dyDescent="0.45">
      <c r="A32" s="14">
        <v>31</v>
      </c>
      <c r="B32" s="4" t="s">
        <v>508</v>
      </c>
      <c r="C32" s="4" t="str">
        <f>IF('Service Types'!B383="","",'Service Types'!B383)</f>
        <v>OS - Mobility</v>
      </c>
      <c r="D32" s="5">
        <f>IF('Service Types'!D383="","",'Service Types'!D383)</f>
        <v>9325</v>
      </c>
      <c r="E32" s="5">
        <f>IF('Service Types'!E383="","",'Service Types'!E383)</f>
        <v>2616</v>
      </c>
      <c r="F32" s="5">
        <f>IF('Service Types'!F383="","",'Service Types'!F383)</f>
        <v>120</v>
      </c>
      <c r="G32" s="5">
        <f>IF('Service Types'!G383="","",'Service Types'!G383)</f>
        <v>5</v>
      </c>
      <c r="H32" s="5">
        <f>IF('Service Types'!H383="","",'Service Types'!H383)</f>
        <v>9205</v>
      </c>
      <c r="I32" s="6">
        <f>IF('Service Types'!I383="","",'Service Types'!I383)</f>
        <v>4</v>
      </c>
      <c r="J32" s="6">
        <f>IF('Service Types'!J383="","",'Service Types'!J383)</f>
        <v>11</v>
      </c>
      <c r="K32" s="6">
        <f>IF('Service Types'!K383="","",'Service Types'!K383)</f>
        <v>25</v>
      </c>
      <c r="L32" s="4" t="str">
        <f>IF('Service Types'!R383="","",'Service Types'!R383)</f>
        <v>Cleaning &amp; removal</v>
      </c>
      <c r="M32" s="4" t="str">
        <f>IF('Service Types'!S383="","",'Service Types'!S383)</f>
        <v>Clear</v>
      </c>
      <c r="N32" s="4" t="str">
        <f>IF('Service Types'!T383="","",'Service Types'!T383)</f>
        <v>A crew physically cleans up or removes something from public property.</v>
      </c>
    </row>
    <row r="33" spans="1:14" x14ac:dyDescent="0.45">
      <c r="A33" s="14">
        <v>32</v>
      </c>
      <c r="B33" s="4" t="s">
        <v>693</v>
      </c>
      <c r="C33" s="4" t="str">
        <f>IF('Service Types'!B536="","",'Service Types'!B536)</f>
        <v>OS - Water Services</v>
      </c>
      <c r="D33" s="5">
        <f>IF('Service Types'!D536="","",'Service Types'!D536)</f>
        <v>8915</v>
      </c>
      <c r="E33" s="5">
        <f>IF('Service Types'!E536="","",'Service Types'!E536)</f>
        <v>2342</v>
      </c>
      <c r="F33" s="5">
        <f>IF('Service Types'!F536="","",'Service Types'!F536)</f>
        <v>124</v>
      </c>
      <c r="G33" s="5">
        <f>IF('Service Types'!G536="","",'Service Types'!G536)</f>
        <v>1</v>
      </c>
      <c r="H33" s="5">
        <f>IF('Service Types'!H536="","",'Service Types'!H536)</f>
        <v>8788</v>
      </c>
      <c r="I33" s="6">
        <f>IF('Service Types'!I536="","",'Service Types'!I536)</f>
        <v>13</v>
      </c>
      <c r="J33" s="6">
        <f>IF('Service Types'!J536="","",'Service Types'!J536)</f>
        <v>33.1</v>
      </c>
      <c r="K33" s="6">
        <f>IF('Service Types'!K536="","",'Service Types'!K536)</f>
        <v>55</v>
      </c>
      <c r="L33" s="4" t="str">
        <f>IF('Service Types'!R536="","",'Service Types'!R536)</f>
        <v>Water &amp; sewer</v>
      </c>
      <c r="M33" s="4" t="str">
        <f>IF('Service Types'!S536="","",'Service Types'!S536)</f>
        <v>Clear</v>
      </c>
      <c r="N33" s="4" t="str">
        <f>IF('Service Types'!T536="","",'Service Types'!T536)</f>
        <v>Water/sewer crew goes to the site to fix or respond to a utility problem.</v>
      </c>
    </row>
    <row r="34" spans="1:14" x14ac:dyDescent="0.45">
      <c r="A34" s="14">
        <v>33</v>
      </c>
      <c r="B34" s="4" t="s">
        <v>694</v>
      </c>
      <c r="C34" s="4" t="str">
        <f>IF('Service Types'!B537="","",'Service Types'!B537)</f>
        <v>OS - Water Services</v>
      </c>
      <c r="D34" s="5">
        <f>IF('Service Types'!D537="","",'Service Types'!D537)</f>
        <v>8470</v>
      </c>
      <c r="E34" s="5">
        <f>IF('Service Types'!E537="","",'Service Types'!E537)</f>
        <v>1675</v>
      </c>
      <c r="F34" s="5">
        <f>IF('Service Types'!F537="","",'Service Types'!F537)</f>
        <v>10</v>
      </c>
      <c r="G34" s="5">
        <f>IF('Service Types'!G537="","",'Service Types'!G537)</f>
        <v>8</v>
      </c>
      <c r="H34" s="5">
        <f>IF('Service Types'!H537="","",'Service Types'!H537)</f>
        <v>7516</v>
      </c>
      <c r="I34" s="6">
        <f>IF('Service Types'!I537="","",'Service Types'!I537)</f>
        <v>0</v>
      </c>
      <c r="J34" s="6">
        <f>IF('Service Types'!J537="","",'Service Types'!J537)</f>
        <v>1.2</v>
      </c>
      <c r="K34" s="6">
        <f>IF('Service Types'!K537="","",'Service Types'!K537)</f>
        <v>1</v>
      </c>
      <c r="L34" s="4" t="str">
        <f>IF('Service Types'!R537="","",'Service Types'!R537)</f>
        <v>Water &amp; sewer</v>
      </c>
      <c r="M34" s="4" t="str">
        <f>IF('Service Types'!S537="","",'Service Types'!S537)</f>
        <v>Clear</v>
      </c>
      <c r="N34" s="4" t="str">
        <f>IF('Service Types'!T537="","",'Service Types'!T537)</f>
        <v>Water/sewer crew goes to the site to fix or respond to a utility problem.</v>
      </c>
    </row>
    <row r="35" spans="1:14" x14ac:dyDescent="0.45">
      <c r="A35" s="14">
        <v>34</v>
      </c>
      <c r="B35" s="4" t="s">
        <v>584</v>
      </c>
      <c r="C35" s="4" t="str">
        <f>IF('Service Types'!B446="","",'Service Types'!B446)</f>
        <v>OS - Parks and Open Spaces</v>
      </c>
      <c r="D35" s="5">
        <f>IF('Service Types'!D446="","",'Service Types'!D446)</f>
        <v>7682</v>
      </c>
      <c r="E35" s="5">
        <f>IF('Service Types'!E446="","",'Service Types'!E446)</f>
        <v>1520</v>
      </c>
      <c r="F35" s="5">
        <f>IF('Service Types'!F446="","",'Service Types'!F446)</f>
        <v>36</v>
      </c>
      <c r="G35" s="5">
        <f>IF('Service Types'!G446="","",'Service Types'!G446)</f>
        <v>29</v>
      </c>
      <c r="H35" s="5">
        <f>IF('Service Types'!H446="","",'Service Types'!H446)</f>
        <v>7646</v>
      </c>
      <c r="I35" s="6">
        <f>IF('Service Types'!I446="","",'Service Types'!I446)</f>
        <v>3</v>
      </c>
      <c r="J35" s="6">
        <f>IF('Service Types'!J446="","",'Service Types'!J446)</f>
        <v>5.9</v>
      </c>
      <c r="K35" s="6">
        <f>IF('Service Types'!K446="","",'Service Types'!K446)</f>
        <v>14</v>
      </c>
      <c r="L35" s="4" t="str">
        <f>IF('Service Types'!R446="","",'Service Types'!R446)</f>
        <v>Parks &amp; trees</v>
      </c>
      <c r="M35" s="4" t="str">
        <f>IF('Service Types'!S446="","",'Service Types'!S446)</f>
        <v>Clear</v>
      </c>
      <c r="N35" s="4" t="str">
        <f>IF('Service Types'!T446="","",'Service Types'!T446)</f>
        <v>Parks crew does hands-on work: trees, mowing, park repairs or upkeep.</v>
      </c>
    </row>
    <row r="36" spans="1:14" x14ac:dyDescent="0.45">
      <c r="A36" s="14">
        <v>35</v>
      </c>
      <c r="B36" s="4" t="s">
        <v>585</v>
      </c>
      <c r="C36" s="4" t="str">
        <f>IF('Service Types'!B447="","",'Service Types'!B447)</f>
        <v>OS - Parks and Open Spaces</v>
      </c>
      <c r="D36" s="5">
        <f>IF('Service Types'!D447="","",'Service Types'!D447)</f>
        <v>7166</v>
      </c>
      <c r="E36" s="5">
        <f>IF('Service Types'!E447="","",'Service Types'!E447)</f>
        <v>2284</v>
      </c>
      <c r="F36" s="5">
        <f>IF('Service Types'!F447="","",'Service Types'!F447)</f>
        <v>87</v>
      </c>
      <c r="G36" s="5">
        <f>IF('Service Types'!G447="","",'Service Types'!G447)</f>
        <v>39</v>
      </c>
      <c r="H36" s="5">
        <f>IF('Service Types'!H447="","",'Service Types'!H447)</f>
        <v>7079</v>
      </c>
      <c r="I36" s="6">
        <f>IF('Service Types'!I447="","",'Service Types'!I447)</f>
        <v>3</v>
      </c>
      <c r="J36" s="6">
        <f>IF('Service Types'!J447="","",'Service Types'!J447)</f>
        <v>5</v>
      </c>
      <c r="K36" s="6">
        <f>IF('Service Types'!K447="","",'Service Types'!K447)</f>
        <v>10</v>
      </c>
      <c r="L36" s="4" t="str">
        <f>IF('Service Types'!R447="","",'Service Types'!R447)</f>
        <v>Parks &amp; trees</v>
      </c>
      <c r="M36" s="4" t="str">
        <f>IF('Service Types'!S447="","",'Service Types'!S447)</f>
        <v>Clear</v>
      </c>
      <c r="N36" s="4" t="str">
        <f>IF('Service Types'!T447="","",'Service Types'!T447)</f>
        <v>Parks crew does hands-on work: trees, mowing, park repairs or upkeep.</v>
      </c>
    </row>
    <row r="37" spans="1:14" x14ac:dyDescent="0.45">
      <c r="A37" s="14">
        <v>36</v>
      </c>
      <c r="B37" s="4" t="s">
        <v>586</v>
      </c>
      <c r="C37" s="4" t="str">
        <f>IF('Service Types'!B448="","",'Service Types'!B448)</f>
        <v>OS - Parks and Open Spaces</v>
      </c>
      <c r="D37" s="5">
        <f>IF('Service Types'!D448="","",'Service Types'!D448)</f>
        <v>6669</v>
      </c>
      <c r="E37" s="5">
        <f>IF('Service Types'!E448="","",'Service Types'!E448)</f>
        <v>2045</v>
      </c>
      <c r="F37" s="5">
        <f>IF('Service Types'!F448="","",'Service Types'!F448)</f>
        <v>39</v>
      </c>
      <c r="G37" s="5">
        <f>IF('Service Types'!G448="","",'Service Types'!G448)</f>
        <v>19</v>
      </c>
      <c r="H37" s="5">
        <f>IF('Service Types'!H448="","",'Service Types'!H448)</f>
        <v>6630</v>
      </c>
      <c r="I37" s="6">
        <f>IF('Service Types'!I448="","",'Service Types'!I448)</f>
        <v>4</v>
      </c>
      <c r="J37" s="6">
        <f>IF('Service Types'!J448="","",'Service Types'!J448)</f>
        <v>6.3</v>
      </c>
      <c r="K37" s="6">
        <f>IF('Service Types'!K448="","",'Service Types'!K448)</f>
        <v>14</v>
      </c>
      <c r="L37" s="4" t="str">
        <f>IF('Service Types'!R448="","",'Service Types'!R448)</f>
        <v>Parks &amp; trees</v>
      </c>
      <c r="M37" s="4" t="str">
        <f>IF('Service Types'!S448="","",'Service Types'!S448)</f>
        <v>Clear</v>
      </c>
      <c r="N37" s="4" t="str">
        <f>IF('Service Types'!T448="","",'Service Types'!T448)</f>
        <v>Parks crew does hands-on work: trees, mowing, park repairs or upkeep.</v>
      </c>
    </row>
    <row r="38" spans="1:14" x14ac:dyDescent="0.45">
      <c r="A38" s="14">
        <v>37</v>
      </c>
      <c r="B38" s="4" t="s">
        <v>587</v>
      </c>
      <c r="C38" s="4" t="str">
        <f>IF('Service Types'!B449="","",'Service Types'!B449)</f>
        <v>OS - Parks and Open Spaces</v>
      </c>
      <c r="D38" s="5">
        <f>IF('Service Types'!D449="","",'Service Types'!D449)</f>
        <v>6245</v>
      </c>
      <c r="E38" s="5">
        <f>IF('Service Types'!E449="","",'Service Types'!E449)</f>
        <v>0</v>
      </c>
      <c r="F38" s="5">
        <f>IF('Service Types'!F449="","",'Service Types'!F449)</f>
        <v>2</v>
      </c>
      <c r="G38" s="5">
        <f>IF('Service Types'!G449="","",'Service Types'!G449)</f>
        <v>2</v>
      </c>
      <c r="H38" s="5">
        <f>IF('Service Types'!H449="","",'Service Types'!H449)</f>
        <v>6243</v>
      </c>
      <c r="I38" s="6">
        <f>IF('Service Types'!I449="","",'Service Types'!I449)</f>
        <v>2</v>
      </c>
      <c r="J38" s="6">
        <f>IF('Service Types'!J449="","",'Service Types'!J449)</f>
        <v>3.7</v>
      </c>
      <c r="K38" s="6">
        <f>IF('Service Types'!K449="","",'Service Types'!K449)</f>
        <v>7</v>
      </c>
      <c r="L38" s="4" t="str">
        <f>IF('Service Types'!R449="","",'Service Types'!R449)</f>
        <v>Snow &amp; ice</v>
      </c>
      <c r="M38" s="4" t="str">
        <f>IF('Service Types'!S449="","",'Service Types'!S449)</f>
        <v>Clear</v>
      </c>
      <c r="N38" s="4" t="str">
        <f>IF('Service Types'!T449="","",'Service Types'!T449)</f>
        <v>Clearing snow/ice on public roads, pathways, parks or transit stops.</v>
      </c>
    </row>
    <row r="39" spans="1:14" x14ac:dyDescent="0.45">
      <c r="A39" s="14">
        <v>38</v>
      </c>
      <c r="B39" s="4" t="s">
        <v>510</v>
      </c>
      <c r="C39" s="4" t="str">
        <f>IF('Service Types'!B385="","",'Service Types'!B385)</f>
        <v>OS - Mobility</v>
      </c>
      <c r="D39" s="5">
        <f>IF('Service Types'!D385="","",'Service Types'!D385)</f>
        <v>6103</v>
      </c>
      <c r="E39" s="5">
        <f>IF('Service Types'!E385="","",'Service Types'!E385)</f>
        <v>2109</v>
      </c>
      <c r="F39" s="5">
        <f>IF('Service Types'!F385="","",'Service Types'!F385)</f>
        <v>20</v>
      </c>
      <c r="G39" s="5">
        <f>IF('Service Types'!G385="","",'Service Types'!G385)</f>
        <v>1</v>
      </c>
      <c r="H39" s="5">
        <f>IF('Service Types'!H385="","",'Service Types'!H385)</f>
        <v>6083</v>
      </c>
      <c r="I39" s="6">
        <f>IF('Service Types'!I385="","",'Service Types'!I385)</f>
        <v>1</v>
      </c>
      <c r="J39" s="6">
        <f>IF('Service Types'!J385="","",'Service Types'!J385)</f>
        <v>6.5</v>
      </c>
      <c r="K39" s="6">
        <f>IF('Service Types'!K385="","",'Service Types'!K385)</f>
        <v>9</v>
      </c>
      <c r="L39" s="4" t="str">
        <f>IF('Service Types'!R385="","",'Service Types'!R385)</f>
        <v>Road &amp; structure repair</v>
      </c>
      <c r="M39" s="4" t="str">
        <f>IF('Service Types'!S385="","",'Service Types'!S385)</f>
        <v>Clear</v>
      </c>
      <c r="N39" s="4" t="str">
        <f>IF('Service Types'!T385="","",'Service Types'!T385)</f>
        <v>A crew physically repairs a road, sidewalk, lane, pathway or structure.</v>
      </c>
    </row>
    <row r="40" spans="1:14" x14ac:dyDescent="0.45">
      <c r="A40" s="14">
        <v>39</v>
      </c>
      <c r="B40" s="4" t="s">
        <v>511</v>
      </c>
      <c r="C40" s="4" t="str">
        <f>IF('Service Types'!B386="","",'Service Types'!B386)</f>
        <v>OS - Mobility</v>
      </c>
      <c r="D40" s="5">
        <f>IF('Service Types'!D386="","",'Service Types'!D386)</f>
        <v>5693</v>
      </c>
      <c r="E40" s="5">
        <f>IF('Service Types'!E386="","",'Service Types'!E386)</f>
        <v>1353</v>
      </c>
      <c r="F40" s="5">
        <f>IF('Service Types'!F386="","",'Service Types'!F386)</f>
        <v>34</v>
      </c>
      <c r="G40" s="5">
        <f>IF('Service Types'!G386="","",'Service Types'!G386)</f>
        <v>17</v>
      </c>
      <c r="H40" s="5">
        <f>IF('Service Types'!H386="","",'Service Types'!H386)</f>
        <v>5659</v>
      </c>
      <c r="I40" s="6">
        <f>IF('Service Types'!I386="","",'Service Types'!I386)</f>
        <v>2</v>
      </c>
      <c r="J40" s="6">
        <f>IF('Service Types'!J386="","",'Service Types'!J386)</f>
        <v>15.8</v>
      </c>
      <c r="K40" s="6">
        <f>IF('Service Types'!K386="","",'Service Types'!K386)</f>
        <v>15</v>
      </c>
      <c r="L40" s="4" t="str">
        <f>IF('Service Types'!R386="","",'Service Types'!R386)</f>
        <v>Road &amp; structure repair</v>
      </c>
      <c r="M40" s="4" t="str">
        <f>IF('Service Types'!S386="","",'Service Types'!S386)</f>
        <v>Borderline</v>
      </c>
      <c r="N40" s="4" t="str">
        <f>IF('Service Types'!T386="","",'Service Types'!T386)</f>
        <v>Someone has to go fix detour signs/traffic control, but it is often the construction contractor's job.</v>
      </c>
    </row>
    <row r="41" spans="1:14" x14ac:dyDescent="0.45">
      <c r="A41" s="14">
        <v>40</v>
      </c>
      <c r="B41" s="4" t="s">
        <v>695</v>
      </c>
      <c r="C41" s="4" t="str">
        <f>IF('Service Types'!B538="","",'Service Types'!B538)</f>
        <v>OS - Water Services</v>
      </c>
      <c r="D41" s="5">
        <f>IF('Service Types'!D538="","",'Service Types'!D538)</f>
        <v>5592</v>
      </c>
      <c r="E41" s="5">
        <f>IF('Service Types'!E538="","",'Service Types'!E538)</f>
        <v>1043</v>
      </c>
      <c r="F41" s="5">
        <f>IF('Service Types'!F538="","",'Service Types'!F538)</f>
        <v>34</v>
      </c>
      <c r="G41" s="5">
        <f>IF('Service Types'!G538="","",'Service Types'!G538)</f>
        <v>2</v>
      </c>
      <c r="H41" s="5">
        <f>IF('Service Types'!H538="","",'Service Types'!H538)</f>
        <v>5557</v>
      </c>
      <c r="I41" s="6">
        <f>IF('Service Types'!I538="","",'Service Types'!I538)</f>
        <v>20</v>
      </c>
      <c r="J41" s="6">
        <f>IF('Service Types'!J538="","",'Service Types'!J538)</f>
        <v>58</v>
      </c>
      <c r="K41" s="6">
        <f>IF('Service Types'!K538="","",'Service Types'!K538)</f>
        <v>149</v>
      </c>
      <c r="L41" s="4" t="str">
        <f>IF('Service Types'!R538="","",'Service Types'!R538)</f>
        <v>Water &amp; sewer</v>
      </c>
      <c r="M41" s="4" t="str">
        <f>IF('Service Types'!S538="","",'Service Types'!S538)</f>
        <v>Borderline</v>
      </c>
      <c r="N41" s="4" t="str">
        <f>IF('Service Types'!T538="","",'Service Types'!T538)</f>
        <v>Field job by Water Services, but booked by the customer, not a hazard to prioritize.</v>
      </c>
    </row>
    <row r="42" spans="1:14" x14ac:dyDescent="0.45">
      <c r="A42" s="14">
        <v>41</v>
      </c>
      <c r="B42" s="4" t="s">
        <v>589</v>
      </c>
      <c r="C42" s="4" t="str">
        <f>IF('Service Types'!B451="","",'Service Types'!B451)</f>
        <v>OS - Parks and Open Spaces</v>
      </c>
      <c r="D42" s="5">
        <f>IF('Service Types'!D451="","",'Service Types'!D451)</f>
        <v>4916</v>
      </c>
      <c r="E42" s="5">
        <f>IF('Service Types'!E451="","",'Service Types'!E451)</f>
        <v>0</v>
      </c>
      <c r="F42" s="5">
        <f>IF('Service Types'!F451="","",'Service Types'!F451)</f>
        <v>2</v>
      </c>
      <c r="G42" s="5">
        <f>IF('Service Types'!G451="","",'Service Types'!G451)</f>
        <v>2</v>
      </c>
      <c r="H42" s="5">
        <f>IF('Service Types'!H451="","",'Service Types'!H451)</f>
        <v>4914</v>
      </c>
      <c r="I42" s="6">
        <f>IF('Service Types'!I451="","",'Service Types'!I451)</f>
        <v>3</v>
      </c>
      <c r="J42" s="6">
        <f>IF('Service Types'!J451="","",'Service Types'!J451)</f>
        <v>5</v>
      </c>
      <c r="K42" s="6">
        <f>IF('Service Types'!K451="","",'Service Types'!K451)</f>
        <v>9</v>
      </c>
      <c r="L42" s="4" t="str">
        <f>IF('Service Types'!R451="","",'Service Types'!R451)</f>
        <v>Cleaning &amp; removal</v>
      </c>
      <c r="M42" s="4" t="str">
        <f>IF('Service Types'!S451="","",'Service Types'!S451)</f>
        <v>Clear</v>
      </c>
      <c r="N42" s="4" t="str">
        <f>IF('Service Types'!T451="","",'Service Types'!T451)</f>
        <v>A crew physically cleans up or removes something from public property.</v>
      </c>
    </row>
    <row r="43" spans="1:14" x14ac:dyDescent="0.45">
      <c r="A43" s="14">
        <v>42</v>
      </c>
      <c r="B43" s="4" t="s">
        <v>517</v>
      </c>
      <c r="C43" s="4" t="str">
        <f>IF('Service Types'!B389="","",'Service Types'!B389)</f>
        <v>OS - Mobility</v>
      </c>
      <c r="D43" s="5">
        <f>IF('Service Types'!D389="","",'Service Types'!D389)</f>
        <v>4633</v>
      </c>
      <c r="E43" s="5">
        <f>IF('Service Types'!E389="","",'Service Types'!E389)</f>
        <v>1634</v>
      </c>
      <c r="F43" s="5">
        <f>IF('Service Types'!F389="","",'Service Types'!F389)</f>
        <v>0</v>
      </c>
      <c r="G43" s="5">
        <f>IF('Service Types'!G389="","",'Service Types'!G389)</f>
        <v>0</v>
      </c>
      <c r="H43" s="5">
        <f>IF('Service Types'!H389="","",'Service Types'!H389)</f>
        <v>4633</v>
      </c>
      <c r="I43" s="6">
        <f>IF('Service Types'!I389="","",'Service Types'!I389)</f>
        <v>2</v>
      </c>
      <c r="J43" s="6">
        <f>IF('Service Types'!J389="","",'Service Types'!J389)</f>
        <v>6.1</v>
      </c>
      <c r="K43" s="6">
        <f>IF('Service Types'!K389="","",'Service Types'!K389)</f>
        <v>13</v>
      </c>
      <c r="L43" s="4" t="str">
        <f>IF('Service Types'!R389="","",'Service Types'!R389)</f>
        <v>Snow &amp; ice</v>
      </c>
      <c r="M43" s="4" t="str">
        <f>IF('Service Types'!S389="","",'Service Types'!S389)</f>
        <v>Clear</v>
      </c>
      <c r="N43" s="4" t="str">
        <f>IF('Service Types'!T389="","",'Service Types'!T389)</f>
        <v>Clearing snow/ice on public roads, pathways, parks or transit stops.</v>
      </c>
    </row>
    <row r="44" spans="1:14" x14ac:dyDescent="0.45">
      <c r="A44" s="14">
        <v>43</v>
      </c>
      <c r="B44" s="4" t="s">
        <v>518</v>
      </c>
      <c r="C44" s="4" t="str">
        <f>IF('Service Types'!B390="","",'Service Types'!B390)</f>
        <v>OS - Mobility</v>
      </c>
      <c r="D44" s="5">
        <f>IF('Service Types'!D390="","",'Service Types'!D390)</f>
        <v>4548</v>
      </c>
      <c r="E44" s="5">
        <f>IF('Service Types'!E390="","",'Service Types'!E390)</f>
        <v>911</v>
      </c>
      <c r="F44" s="5">
        <f>IF('Service Types'!F390="","",'Service Types'!F390)</f>
        <v>453</v>
      </c>
      <c r="G44" s="5">
        <f>IF('Service Types'!G390="","",'Service Types'!G390)</f>
        <v>402</v>
      </c>
      <c r="H44" s="5">
        <f>IF('Service Types'!H390="","",'Service Types'!H390)</f>
        <v>3784</v>
      </c>
      <c r="I44" s="6">
        <f>IF('Service Types'!I390="","",'Service Types'!I390)</f>
        <v>3</v>
      </c>
      <c r="J44" s="6">
        <f>IF('Service Types'!J390="","",'Service Types'!J390)</f>
        <v>50.8</v>
      </c>
      <c r="K44" s="6">
        <f>IF('Service Types'!K390="","",'Service Types'!K390)</f>
        <v>157</v>
      </c>
      <c r="L44" s="4" t="str">
        <f>IF('Service Types'!R390="","",'Service Types'!R390)</f>
        <v>Road &amp; structure repair</v>
      </c>
      <c r="M44" s="4" t="str">
        <f>IF('Service Types'!S390="","",'Service Types'!S390)</f>
        <v>Clear</v>
      </c>
      <c r="N44" s="4" t="str">
        <f>IF('Service Types'!T390="","",'Service Types'!T390)</f>
        <v>A crew physically repairs a road, sidewalk, lane, pathway or structure.</v>
      </c>
    </row>
    <row r="45" spans="1:14" x14ac:dyDescent="0.45">
      <c r="A45" s="14">
        <v>44</v>
      </c>
      <c r="B45" s="4" t="s">
        <v>591</v>
      </c>
      <c r="C45" s="4" t="str">
        <f>IF('Service Types'!B453="","",'Service Types'!B453)</f>
        <v>OS - Parks and Open Spaces</v>
      </c>
      <c r="D45" s="5">
        <f>IF('Service Types'!D453="","",'Service Types'!D453)</f>
        <v>4333</v>
      </c>
      <c r="E45" s="5">
        <f>IF('Service Types'!E453="","",'Service Types'!E453)</f>
        <v>1292</v>
      </c>
      <c r="F45" s="5">
        <f>IF('Service Types'!F453="","",'Service Types'!F453)</f>
        <v>85</v>
      </c>
      <c r="G45" s="5">
        <f>IF('Service Types'!G453="","",'Service Types'!G453)</f>
        <v>35</v>
      </c>
      <c r="H45" s="5">
        <f>IF('Service Types'!H453="","",'Service Types'!H453)</f>
        <v>4248</v>
      </c>
      <c r="I45" s="6">
        <f>IF('Service Types'!I453="","",'Service Types'!I453)</f>
        <v>3</v>
      </c>
      <c r="J45" s="6">
        <f>IF('Service Types'!J453="","",'Service Types'!J453)</f>
        <v>6.6</v>
      </c>
      <c r="K45" s="6">
        <f>IF('Service Types'!K453="","",'Service Types'!K453)</f>
        <v>15</v>
      </c>
      <c r="L45" s="4" t="str">
        <f>IF('Service Types'!R453="","",'Service Types'!R453)</f>
        <v>Parks &amp; trees</v>
      </c>
      <c r="M45" s="4" t="str">
        <f>IF('Service Types'!S453="","",'Service Types'!S453)</f>
        <v>Clear</v>
      </c>
      <c r="N45" s="4" t="str">
        <f>IF('Service Types'!T453="","",'Service Types'!T453)</f>
        <v>Parks crew does hands-on work: trees, mowing, park repairs or upkeep.</v>
      </c>
    </row>
    <row r="46" spans="1:14" x14ac:dyDescent="0.45">
      <c r="A46" s="14">
        <v>45</v>
      </c>
      <c r="B46" s="4" t="s">
        <v>697</v>
      </c>
      <c r="C46" s="4" t="str">
        <f>IF('Service Types'!B539="","",'Service Types'!B539)</f>
        <v>OS - Water Services</v>
      </c>
      <c r="D46" s="5">
        <f>IF('Service Types'!D539="","",'Service Types'!D539)</f>
        <v>4107</v>
      </c>
      <c r="E46" s="5">
        <f>IF('Service Types'!E539="","",'Service Types'!E539)</f>
        <v>937</v>
      </c>
      <c r="F46" s="5">
        <f>IF('Service Types'!F539="","",'Service Types'!F539)</f>
        <v>15</v>
      </c>
      <c r="G46" s="5">
        <f>IF('Service Types'!G539="","",'Service Types'!G539)</f>
        <v>6</v>
      </c>
      <c r="H46" s="5">
        <f>IF('Service Types'!H539="","",'Service Types'!H539)</f>
        <v>3390</v>
      </c>
      <c r="I46" s="6">
        <f>IF('Service Types'!I539="","",'Service Types'!I539)</f>
        <v>1</v>
      </c>
      <c r="J46" s="6">
        <f>IF('Service Types'!J539="","",'Service Types'!J539)</f>
        <v>2.9</v>
      </c>
      <c r="K46" s="6">
        <f>IF('Service Types'!K539="","",'Service Types'!K539)</f>
        <v>3</v>
      </c>
      <c r="L46" s="4" t="str">
        <f>IF('Service Types'!R539="","",'Service Types'!R539)</f>
        <v>Water &amp; sewer</v>
      </c>
      <c r="M46" s="4" t="str">
        <f>IF('Service Types'!S539="","",'Service Types'!S539)</f>
        <v>Clear</v>
      </c>
      <c r="N46" s="4" t="str">
        <f>IF('Service Types'!T539="","",'Service Types'!T539)</f>
        <v>Water/sewer crew goes to the site to fix or respond to a utility problem.</v>
      </c>
    </row>
    <row r="47" spans="1:14" x14ac:dyDescent="0.45">
      <c r="A47" s="14">
        <v>46</v>
      </c>
      <c r="B47" s="4" t="s">
        <v>459</v>
      </c>
      <c r="C47" s="4" t="str">
        <f>IF('Service Types'!B350="","",'Service Types'!B350)</f>
        <v>OS - Calgary Transit</v>
      </c>
      <c r="D47" s="5">
        <f>IF('Service Types'!D350="","",'Service Types'!D350)</f>
        <v>4005</v>
      </c>
      <c r="E47" s="5">
        <f>IF('Service Types'!E350="","",'Service Types'!E350)</f>
        <v>794</v>
      </c>
      <c r="F47" s="5">
        <f>IF('Service Types'!F350="","",'Service Types'!F350)</f>
        <v>118</v>
      </c>
      <c r="G47" s="5">
        <f>IF('Service Types'!G350="","",'Service Types'!G350)</f>
        <v>19</v>
      </c>
      <c r="H47" s="5">
        <f>IF('Service Types'!H350="","",'Service Types'!H350)</f>
        <v>3887</v>
      </c>
      <c r="I47" s="6">
        <f>IF('Service Types'!I350="","",'Service Types'!I350)</f>
        <v>7</v>
      </c>
      <c r="J47" s="6">
        <f>IF('Service Types'!J350="","",'Service Types'!J350)</f>
        <v>16.5</v>
      </c>
      <c r="K47" s="6">
        <f>IF('Service Types'!K350="","",'Service Types'!K350)</f>
        <v>42</v>
      </c>
      <c r="L47" s="4" t="str">
        <f>IF('Service Types'!R350="","",'Service Types'!R350)</f>
        <v>Facilities</v>
      </c>
      <c r="M47" s="4" t="str">
        <f>IF('Service Types'!S350="","",'Service Types'!S350)</f>
        <v>Borderline</v>
      </c>
      <c r="N47" s="4" t="str">
        <f>IF('Service Types'!T350="","",'Service Types'!T350)</f>
        <v>Station repairs/cleaning are crew work; many tickets are general station feedback.</v>
      </c>
    </row>
    <row r="48" spans="1:14" x14ac:dyDescent="0.45">
      <c r="A48" s="14">
        <v>47</v>
      </c>
      <c r="B48" s="4" t="s">
        <v>698</v>
      </c>
      <c r="C48" s="4" t="str">
        <f>IF('Service Types'!B540="","",'Service Types'!B540)</f>
        <v>OS - Water Services</v>
      </c>
      <c r="D48" s="5">
        <f>IF('Service Types'!D540="","",'Service Types'!D540)</f>
        <v>3870</v>
      </c>
      <c r="E48" s="5">
        <f>IF('Service Types'!E540="","",'Service Types'!E540)</f>
        <v>900</v>
      </c>
      <c r="F48" s="5">
        <f>IF('Service Types'!F540="","",'Service Types'!F540)</f>
        <v>35</v>
      </c>
      <c r="G48" s="5">
        <f>IF('Service Types'!G540="","",'Service Types'!G540)</f>
        <v>5</v>
      </c>
      <c r="H48" s="5">
        <f>IF('Service Types'!H540="","",'Service Types'!H540)</f>
        <v>3831</v>
      </c>
      <c r="I48" s="6">
        <f>IF('Service Types'!I540="","",'Service Types'!I540)</f>
        <v>9</v>
      </c>
      <c r="J48" s="6">
        <f>IF('Service Types'!J540="","",'Service Types'!J540)</f>
        <v>56.4</v>
      </c>
      <c r="K48" s="6">
        <f>IF('Service Types'!K540="","",'Service Types'!K540)</f>
        <v>170</v>
      </c>
      <c r="L48" s="4" t="str">
        <f>IF('Service Types'!R540="","",'Service Types'!R540)</f>
        <v>Water &amp; sewer</v>
      </c>
      <c r="M48" s="4" t="str">
        <f>IF('Service Types'!S540="","",'Service Types'!S540)</f>
        <v>Borderline</v>
      </c>
      <c r="N48" s="4" t="str">
        <f>IF('Service Types'!T540="","",'Service Types'!T540)</f>
        <v>Field job by Water Services, but a booked installation, not a hazard.</v>
      </c>
    </row>
    <row r="49" spans="1:14" x14ac:dyDescent="0.45">
      <c r="A49" s="14">
        <v>48</v>
      </c>
      <c r="B49" s="4" t="s">
        <v>700</v>
      </c>
      <c r="C49" s="4" t="str">
        <f>IF('Service Types'!B541="","",'Service Types'!B541)</f>
        <v>OS - Water Services</v>
      </c>
      <c r="D49" s="5">
        <f>IF('Service Types'!D541="","",'Service Types'!D541)</f>
        <v>3720</v>
      </c>
      <c r="E49" s="5">
        <f>IF('Service Types'!E541="","",'Service Types'!E541)</f>
        <v>908</v>
      </c>
      <c r="F49" s="5">
        <f>IF('Service Types'!F541="","",'Service Types'!F541)</f>
        <v>21</v>
      </c>
      <c r="G49" s="5">
        <f>IF('Service Types'!G541="","",'Service Types'!G541)</f>
        <v>11</v>
      </c>
      <c r="H49" s="5">
        <f>IF('Service Types'!H541="","",'Service Types'!H541)</f>
        <v>3699</v>
      </c>
      <c r="I49" s="6">
        <f>IF('Service Types'!I541="","",'Service Types'!I541)</f>
        <v>3</v>
      </c>
      <c r="J49" s="6">
        <f>IF('Service Types'!J541="","",'Service Types'!J541)</f>
        <v>13.7</v>
      </c>
      <c r="K49" s="6">
        <f>IF('Service Types'!K541="","",'Service Types'!K541)</f>
        <v>29</v>
      </c>
      <c r="L49" s="4" t="str">
        <f>IF('Service Types'!R541="","",'Service Types'!R541)</f>
        <v>Water &amp; sewer</v>
      </c>
      <c r="M49" s="4" t="str">
        <f>IF('Service Types'!S541="","",'Service Types'!S541)</f>
        <v>Clear</v>
      </c>
      <c r="N49" s="4" t="str">
        <f>IF('Service Types'!T541="","",'Service Types'!T541)</f>
        <v>Water/sewer crew goes to the site to fix or respond to a utility problem.</v>
      </c>
    </row>
    <row r="50" spans="1:14" x14ac:dyDescent="0.45">
      <c r="A50" s="14">
        <v>49</v>
      </c>
      <c r="B50" s="4" t="s">
        <v>702</v>
      </c>
      <c r="C50" s="4" t="str">
        <f>IF('Service Types'!B543="","",'Service Types'!B543)</f>
        <v>OS - Water Services</v>
      </c>
      <c r="D50" s="5">
        <f>IF('Service Types'!D543="","",'Service Types'!D543)</f>
        <v>3618</v>
      </c>
      <c r="E50" s="5">
        <f>IF('Service Types'!E543="","",'Service Types'!E543)</f>
        <v>759</v>
      </c>
      <c r="F50" s="5">
        <f>IF('Service Types'!F543="","",'Service Types'!F543)</f>
        <v>6</v>
      </c>
      <c r="G50" s="5">
        <f>IF('Service Types'!G543="","",'Service Types'!G543)</f>
        <v>6</v>
      </c>
      <c r="H50" s="5">
        <f>IF('Service Types'!H543="","",'Service Types'!H543)</f>
        <v>3612</v>
      </c>
      <c r="I50" s="6">
        <f>IF('Service Types'!I543="","",'Service Types'!I543)</f>
        <v>0</v>
      </c>
      <c r="J50" s="6">
        <f>IF('Service Types'!J543="","",'Service Types'!J543)</f>
        <v>0.7</v>
      </c>
      <c r="K50" s="6">
        <f>IF('Service Types'!K543="","",'Service Types'!K543)</f>
        <v>0</v>
      </c>
      <c r="L50" s="4" t="str">
        <f>IF('Service Types'!R543="","",'Service Types'!R543)</f>
        <v>Water &amp; sewer</v>
      </c>
      <c r="M50" s="4" t="str">
        <f>IF('Service Types'!S543="","",'Service Types'!S543)</f>
        <v>Clear</v>
      </c>
      <c r="N50" s="4" t="str">
        <f>IF('Service Types'!T543="","",'Service Types'!T543)</f>
        <v>Water/sewer crew goes to the site to fix or respond to a utility problem.</v>
      </c>
    </row>
    <row r="51" spans="1:14" x14ac:dyDescent="0.45">
      <c r="A51" s="14">
        <v>50</v>
      </c>
      <c r="B51" s="4" t="s">
        <v>703</v>
      </c>
      <c r="C51" s="4" t="str">
        <f>IF('Service Types'!B544="","",'Service Types'!B544)</f>
        <v>OS - Water Services</v>
      </c>
      <c r="D51" s="5">
        <f>IF('Service Types'!D544="","",'Service Types'!D544)</f>
        <v>3544</v>
      </c>
      <c r="E51" s="5">
        <f>IF('Service Types'!E544="","",'Service Types'!E544)</f>
        <v>693</v>
      </c>
      <c r="F51" s="5">
        <f>IF('Service Types'!F544="","",'Service Types'!F544)</f>
        <v>28</v>
      </c>
      <c r="G51" s="5">
        <f>IF('Service Types'!G544="","",'Service Types'!G544)</f>
        <v>6</v>
      </c>
      <c r="H51" s="5">
        <f>IF('Service Types'!H544="","",'Service Types'!H544)</f>
        <v>3479</v>
      </c>
      <c r="I51" s="6">
        <f>IF('Service Types'!I544="","",'Service Types'!I544)</f>
        <v>3</v>
      </c>
      <c r="J51" s="6">
        <f>IF('Service Types'!J544="","",'Service Types'!J544)</f>
        <v>9.4</v>
      </c>
      <c r="K51" s="6">
        <f>IF('Service Types'!K544="","",'Service Types'!K544)</f>
        <v>20</v>
      </c>
      <c r="L51" s="4" t="str">
        <f>IF('Service Types'!R544="","",'Service Types'!R544)</f>
        <v>Water &amp; sewer</v>
      </c>
      <c r="M51" s="4" t="str">
        <f>IF('Service Types'!S544="","",'Service Types'!S544)</f>
        <v>Borderline</v>
      </c>
      <c r="N51" s="4" t="str">
        <f>IF('Service Types'!T544="","",'Service Types'!T544)</f>
        <v>Usually needs a field investigation; the cause may be on private property.</v>
      </c>
    </row>
    <row r="52" spans="1:14" x14ac:dyDescent="0.45">
      <c r="A52" s="14">
        <v>51</v>
      </c>
      <c r="B52" s="4" t="s">
        <v>592</v>
      </c>
      <c r="C52" s="4" t="str">
        <f>IF('Service Types'!B454="","",'Service Types'!B454)</f>
        <v>OS - Parks and Open Spaces</v>
      </c>
      <c r="D52" s="5">
        <f>IF('Service Types'!D454="","",'Service Types'!D454)</f>
        <v>3512</v>
      </c>
      <c r="E52" s="5">
        <f>IF('Service Types'!E454="","",'Service Types'!E454)</f>
        <v>0</v>
      </c>
      <c r="F52" s="5">
        <f>IF('Service Types'!F454="","",'Service Types'!F454)</f>
        <v>3</v>
      </c>
      <c r="G52" s="5">
        <f>IF('Service Types'!G454="","",'Service Types'!G454)</f>
        <v>3</v>
      </c>
      <c r="H52" s="5">
        <f>IF('Service Types'!H454="","",'Service Types'!H454)</f>
        <v>3509</v>
      </c>
      <c r="I52" s="6">
        <f>IF('Service Types'!I454="","",'Service Types'!I454)</f>
        <v>2</v>
      </c>
      <c r="J52" s="6">
        <f>IF('Service Types'!J454="","",'Service Types'!J454)</f>
        <v>5.3</v>
      </c>
      <c r="K52" s="6">
        <f>IF('Service Types'!K454="","",'Service Types'!K454)</f>
        <v>11</v>
      </c>
      <c r="L52" s="4" t="str">
        <f>IF('Service Types'!R454="","",'Service Types'!R454)</f>
        <v>Parks &amp; trees</v>
      </c>
      <c r="M52" s="4" t="str">
        <f>IF('Service Types'!S454="","",'Service Types'!S454)</f>
        <v>Clear</v>
      </c>
      <c r="N52" s="4" t="str">
        <f>IF('Service Types'!T454="","",'Service Types'!T454)</f>
        <v>Parks crew does hands-on work: trees, mowing, park repairs or upkeep.</v>
      </c>
    </row>
    <row r="53" spans="1:14" x14ac:dyDescent="0.45">
      <c r="A53" s="14">
        <v>52</v>
      </c>
      <c r="B53" s="4" t="s">
        <v>707</v>
      </c>
      <c r="C53" s="4" t="str">
        <f>IF('Service Types'!B546="","",'Service Types'!B546)</f>
        <v>OS - Water Services</v>
      </c>
      <c r="D53" s="5">
        <f>IF('Service Types'!D546="","",'Service Types'!D546)</f>
        <v>3091</v>
      </c>
      <c r="E53" s="5">
        <f>IF('Service Types'!E546="","",'Service Types'!E546)</f>
        <v>791</v>
      </c>
      <c r="F53" s="5">
        <f>IF('Service Types'!F546="","",'Service Types'!F546)</f>
        <v>12</v>
      </c>
      <c r="G53" s="5">
        <f>IF('Service Types'!G546="","",'Service Types'!G546)</f>
        <v>9</v>
      </c>
      <c r="H53" s="5">
        <f>IF('Service Types'!H546="","",'Service Types'!H546)</f>
        <v>3079</v>
      </c>
      <c r="I53" s="6">
        <f>IF('Service Types'!I546="","",'Service Types'!I546)</f>
        <v>1</v>
      </c>
      <c r="J53" s="6">
        <f>IF('Service Types'!J546="","",'Service Types'!J546)</f>
        <v>4.5999999999999996</v>
      </c>
      <c r="K53" s="6">
        <f>IF('Service Types'!K546="","",'Service Types'!K546)</f>
        <v>3</v>
      </c>
      <c r="L53" s="4" t="str">
        <f>IF('Service Types'!R546="","",'Service Types'!R546)</f>
        <v>Cleaning &amp; removal</v>
      </c>
      <c r="M53" s="4" t="str">
        <f>IF('Service Types'!S546="","",'Service Types'!S546)</f>
        <v>Clear</v>
      </c>
      <c r="N53" s="4" t="str">
        <f>IF('Service Types'!T546="","",'Service Types'!T546)</f>
        <v>A crew physically cleans up or removes something from public property.</v>
      </c>
    </row>
    <row r="54" spans="1:14" x14ac:dyDescent="0.45">
      <c r="A54" s="14">
        <v>53</v>
      </c>
      <c r="B54" s="4" t="s">
        <v>593</v>
      </c>
      <c r="C54" s="4" t="str">
        <f>IF('Service Types'!B455="","",'Service Types'!B455)</f>
        <v>OS - Parks and Open Spaces</v>
      </c>
      <c r="D54" s="5">
        <f>IF('Service Types'!D455="","",'Service Types'!D455)</f>
        <v>3045</v>
      </c>
      <c r="E54" s="5">
        <f>IF('Service Types'!E455="","",'Service Types'!E455)</f>
        <v>0</v>
      </c>
      <c r="F54" s="5">
        <f>IF('Service Types'!F455="","",'Service Types'!F455)</f>
        <v>4</v>
      </c>
      <c r="G54" s="5">
        <f>IF('Service Types'!G455="","",'Service Types'!G455)</f>
        <v>4</v>
      </c>
      <c r="H54" s="5">
        <f>IF('Service Types'!H455="","",'Service Types'!H455)</f>
        <v>3041</v>
      </c>
      <c r="I54" s="6">
        <f>IF('Service Types'!I455="","",'Service Types'!I455)</f>
        <v>3</v>
      </c>
      <c r="J54" s="6">
        <f>IF('Service Types'!J455="","",'Service Types'!J455)</f>
        <v>6</v>
      </c>
      <c r="K54" s="6">
        <f>IF('Service Types'!K455="","",'Service Types'!K455)</f>
        <v>12</v>
      </c>
      <c r="L54" s="4" t="str">
        <f>IF('Service Types'!R455="","",'Service Types'!R455)</f>
        <v>Parks &amp; trees</v>
      </c>
      <c r="M54" s="4" t="str">
        <f>IF('Service Types'!S455="","",'Service Types'!S455)</f>
        <v>Clear</v>
      </c>
      <c r="N54" s="4" t="str">
        <f>IF('Service Types'!T455="","",'Service Types'!T455)</f>
        <v>Parks crew does hands-on work: trees, mowing, park repairs or upkeep.</v>
      </c>
    </row>
    <row r="55" spans="1:14" x14ac:dyDescent="0.45">
      <c r="A55" s="14">
        <v>54</v>
      </c>
      <c r="B55" s="4" t="s">
        <v>709</v>
      </c>
      <c r="C55" s="4" t="str">
        <f>IF('Service Types'!B548="","",'Service Types'!B548)</f>
        <v>OS - Water Services</v>
      </c>
      <c r="D55" s="5">
        <f>IF('Service Types'!D548="","",'Service Types'!D548)</f>
        <v>2939</v>
      </c>
      <c r="E55" s="5">
        <f>IF('Service Types'!E548="","",'Service Types'!E548)</f>
        <v>660</v>
      </c>
      <c r="F55" s="5">
        <f>IF('Service Types'!F548="","",'Service Types'!F548)</f>
        <v>0</v>
      </c>
      <c r="G55" s="5">
        <f>IF('Service Types'!G548="","",'Service Types'!G548)</f>
        <v>0</v>
      </c>
      <c r="H55" s="5">
        <f>IF('Service Types'!H548="","",'Service Types'!H548)</f>
        <v>2934</v>
      </c>
      <c r="I55" s="6">
        <f>IF('Service Types'!I548="","",'Service Types'!I548)</f>
        <v>2</v>
      </c>
      <c r="J55" s="6">
        <f>IF('Service Types'!J548="","",'Service Types'!J548)</f>
        <v>9.5</v>
      </c>
      <c r="K55" s="6">
        <f>IF('Service Types'!K548="","",'Service Types'!K548)</f>
        <v>18</v>
      </c>
      <c r="L55" s="4" t="str">
        <f>IF('Service Types'!R548="","",'Service Types'!R548)</f>
        <v>Water &amp; sewer</v>
      </c>
      <c r="M55" s="4" t="str">
        <f>IF('Service Types'!S548="","",'Service Types'!S548)</f>
        <v>Borderline</v>
      </c>
      <c r="N55" s="4" t="str">
        <f>IF('Service Types'!T548="","",'Service Types'!T548)</f>
        <v>Usually a field sampling visit; may not need repair work.</v>
      </c>
    </row>
    <row r="56" spans="1:14" x14ac:dyDescent="0.45">
      <c r="A56" s="14">
        <v>55</v>
      </c>
      <c r="B56" s="4" t="s">
        <v>712</v>
      </c>
      <c r="C56" s="4" t="str">
        <f>IF('Service Types'!B550="","",'Service Types'!B550)</f>
        <v>OS - Water Services</v>
      </c>
      <c r="D56" s="5">
        <f>IF('Service Types'!D550="","",'Service Types'!D550)</f>
        <v>2836</v>
      </c>
      <c r="E56" s="5">
        <f>IF('Service Types'!E550="","",'Service Types'!E550)</f>
        <v>721</v>
      </c>
      <c r="F56" s="5">
        <f>IF('Service Types'!F550="","",'Service Types'!F550)</f>
        <v>27</v>
      </c>
      <c r="G56" s="5">
        <f>IF('Service Types'!G550="","",'Service Types'!G550)</f>
        <v>0</v>
      </c>
      <c r="H56" s="5">
        <f>IF('Service Types'!H550="","",'Service Types'!H550)</f>
        <v>2804</v>
      </c>
      <c r="I56" s="6">
        <f>IF('Service Types'!I550="","",'Service Types'!I550)</f>
        <v>6</v>
      </c>
      <c r="J56" s="6">
        <f>IF('Service Types'!J550="","",'Service Types'!J550)</f>
        <v>8.9</v>
      </c>
      <c r="K56" s="6">
        <f>IF('Service Types'!K550="","",'Service Types'!K550)</f>
        <v>19</v>
      </c>
      <c r="L56" s="4" t="str">
        <f>IF('Service Types'!R550="","",'Service Types'!R550)</f>
        <v>Water &amp; sewer</v>
      </c>
      <c r="M56" s="4" t="str">
        <f>IF('Service Types'!S550="","",'Service Types'!S550)</f>
        <v>Clear</v>
      </c>
      <c r="N56" s="4" t="str">
        <f>IF('Service Types'!T550="","",'Service Types'!T550)</f>
        <v>Water/sewer crew goes to the site to fix or respond to a utility problem.</v>
      </c>
    </row>
    <row r="57" spans="1:14" x14ac:dyDescent="0.45">
      <c r="A57" s="14">
        <v>56</v>
      </c>
      <c r="B57" s="4" t="s">
        <v>594</v>
      </c>
      <c r="C57" s="4" t="str">
        <f>IF('Service Types'!B456="","",'Service Types'!B456)</f>
        <v>OS - Parks and Open Spaces</v>
      </c>
      <c r="D57" s="5">
        <f>IF('Service Types'!D456="","",'Service Types'!D456)</f>
        <v>2754</v>
      </c>
      <c r="E57" s="5">
        <f>IF('Service Types'!E456="","",'Service Types'!E456)</f>
        <v>969</v>
      </c>
      <c r="F57" s="5">
        <f>IF('Service Types'!F456="","",'Service Types'!F456)</f>
        <v>54</v>
      </c>
      <c r="G57" s="5">
        <f>IF('Service Types'!G456="","",'Service Types'!G456)</f>
        <v>36</v>
      </c>
      <c r="H57" s="5">
        <f>IF('Service Types'!H456="","",'Service Types'!H456)</f>
        <v>2700</v>
      </c>
      <c r="I57" s="6">
        <f>IF('Service Types'!I456="","",'Service Types'!I456)</f>
        <v>2</v>
      </c>
      <c r="J57" s="6">
        <f>IF('Service Types'!J456="","",'Service Types'!J456)</f>
        <v>6.9</v>
      </c>
      <c r="K57" s="6">
        <f>IF('Service Types'!K456="","",'Service Types'!K456)</f>
        <v>8</v>
      </c>
      <c r="L57" s="4" t="str">
        <f>IF('Service Types'!R456="","",'Service Types'!R456)</f>
        <v>Parks &amp; trees</v>
      </c>
      <c r="M57" s="4" t="str">
        <f>IF('Service Types'!S456="","",'Service Types'!S456)</f>
        <v>Clear</v>
      </c>
      <c r="N57" s="4" t="str">
        <f>IF('Service Types'!T456="","",'Service Types'!T456)</f>
        <v>Parks crew does hands-on work: trees, mowing, park repairs or upkeep.</v>
      </c>
    </row>
    <row r="58" spans="1:14" x14ac:dyDescent="0.45">
      <c r="A58" s="14">
        <v>57</v>
      </c>
      <c r="B58" s="4" t="s">
        <v>595</v>
      </c>
      <c r="C58" s="4" t="str">
        <f>IF('Service Types'!B457="","",'Service Types'!B457)</f>
        <v>OS - Parks and Open Spaces</v>
      </c>
      <c r="D58" s="5">
        <f>IF('Service Types'!D457="","",'Service Types'!D457)</f>
        <v>2576</v>
      </c>
      <c r="E58" s="5">
        <f>IF('Service Types'!E457="","",'Service Types'!E457)</f>
        <v>1372</v>
      </c>
      <c r="F58" s="5">
        <f>IF('Service Types'!F457="","",'Service Types'!F457)</f>
        <v>33</v>
      </c>
      <c r="G58" s="5">
        <f>IF('Service Types'!G457="","",'Service Types'!G457)</f>
        <v>13</v>
      </c>
      <c r="H58" s="5">
        <f>IF('Service Types'!H457="","",'Service Types'!H457)</f>
        <v>2543</v>
      </c>
      <c r="I58" s="6">
        <f>IF('Service Types'!I457="","",'Service Types'!I457)</f>
        <v>4</v>
      </c>
      <c r="J58" s="6">
        <f>IF('Service Types'!J457="","",'Service Types'!J457)</f>
        <v>8.6999999999999993</v>
      </c>
      <c r="K58" s="6">
        <f>IF('Service Types'!K457="","",'Service Types'!K457)</f>
        <v>19</v>
      </c>
      <c r="L58" s="4" t="str">
        <f>IF('Service Types'!R457="","",'Service Types'!R457)</f>
        <v>Parks &amp; trees</v>
      </c>
      <c r="M58" s="4" t="str">
        <f>IF('Service Types'!S457="","",'Service Types'!S457)</f>
        <v>Clear</v>
      </c>
      <c r="N58" s="4" t="str">
        <f>IF('Service Types'!T457="","",'Service Types'!T457)</f>
        <v>Parks crew does hands-on work: trees, mowing, park repairs or upkeep.</v>
      </c>
    </row>
    <row r="59" spans="1:14" x14ac:dyDescent="0.45">
      <c r="A59" s="14">
        <v>58</v>
      </c>
      <c r="B59" s="4" t="s">
        <v>714</v>
      </c>
      <c r="C59" s="4" t="str">
        <f>IF('Service Types'!B552="","",'Service Types'!B552)</f>
        <v>OS - Water Services</v>
      </c>
      <c r="D59" s="5">
        <f>IF('Service Types'!D552="","",'Service Types'!D552)</f>
        <v>2455</v>
      </c>
      <c r="E59" s="5">
        <f>IF('Service Types'!E552="","",'Service Types'!E552)</f>
        <v>553</v>
      </c>
      <c r="F59" s="5">
        <f>IF('Service Types'!F552="","",'Service Types'!F552)</f>
        <v>13</v>
      </c>
      <c r="G59" s="5">
        <f>IF('Service Types'!G552="","",'Service Types'!G552)</f>
        <v>0</v>
      </c>
      <c r="H59" s="5">
        <f>IF('Service Types'!H552="","",'Service Types'!H552)</f>
        <v>2442</v>
      </c>
      <c r="I59" s="6">
        <f>IF('Service Types'!I552="","",'Service Types'!I552)</f>
        <v>1</v>
      </c>
      <c r="J59" s="6">
        <f>IF('Service Types'!J552="","",'Service Types'!J552)</f>
        <v>7.9</v>
      </c>
      <c r="K59" s="6">
        <f>IF('Service Types'!K552="","",'Service Types'!K552)</f>
        <v>14</v>
      </c>
      <c r="L59" s="4" t="str">
        <f>IF('Service Types'!R552="","",'Service Types'!R552)</f>
        <v>Water &amp; sewer</v>
      </c>
      <c r="M59" s="4" t="str">
        <f>IF('Service Types'!S552="","",'Service Types'!S552)</f>
        <v>Clear</v>
      </c>
      <c r="N59" s="4" t="str">
        <f>IF('Service Types'!T552="","",'Service Types'!T552)</f>
        <v>Water/sewer crew goes to the site to fix or respond to a utility problem.</v>
      </c>
    </row>
    <row r="60" spans="1:14" x14ac:dyDescent="0.45">
      <c r="A60" s="14">
        <v>59</v>
      </c>
      <c r="B60" s="4" t="s">
        <v>596</v>
      </c>
      <c r="C60" s="4" t="str">
        <f>IF('Service Types'!B458="","",'Service Types'!B458)</f>
        <v>OS - Parks and Open Spaces</v>
      </c>
      <c r="D60" s="5">
        <f>IF('Service Types'!D458="","",'Service Types'!D458)</f>
        <v>2420</v>
      </c>
      <c r="E60" s="5">
        <f>IF('Service Types'!E458="","",'Service Types'!E458)</f>
        <v>726</v>
      </c>
      <c r="F60" s="5">
        <f>IF('Service Types'!F458="","",'Service Types'!F458)</f>
        <v>4</v>
      </c>
      <c r="G60" s="5">
        <f>IF('Service Types'!G458="","",'Service Types'!G458)</f>
        <v>2</v>
      </c>
      <c r="H60" s="5">
        <f>IF('Service Types'!H458="","",'Service Types'!H458)</f>
        <v>2416</v>
      </c>
      <c r="I60" s="6">
        <f>IF('Service Types'!I458="","",'Service Types'!I458)</f>
        <v>6</v>
      </c>
      <c r="J60" s="6">
        <f>IF('Service Types'!J458="","",'Service Types'!J458)</f>
        <v>9.6999999999999993</v>
      </c>
      <c r="K60" s="6">
        <f>IF('Service Types'!K458="","",'Service Types'!K458)</f>
        <v>22</v>
      </c>
      <c r="L60" s="4" t="str">
        <f>IF('Service Types'!R458="","",'Service Types'!R458)</f>
        <v>Parks &amp; trees</v>
      </c>
      <c r="M60" s="4" t="str">
        <f>IF('Service Types'!S458="","",'Service Types'!S458)</f>
        <v>Clear</v>
      </c>
      <c r="N60" s="4" t="str">
        <f>IF('Service Types'!T458="","",'Service Types'!T458)</f>
        <v>Parks crew does hands-on work: trees, mowing, park repairs or upkeep.</v>
      </c>
    </row>
    <row r="61" spans="1:14" x14ac:dyDescent="0.45">
      <c r="A61" s="14">
        <v>60</v>
      </c>
      <c r="B61" s="4" t="s">
        <v>522</v>
      </c>
      <c r="C61" s="4" t="str">
        <f>IF('Service Types'!B393="","",'Service Types'!B393)</f>
        <v>OS - Mobility</v>
      </c>
      <c r="D61" s="5">
        <f>IF('Service Types'!D393="","",'Service Types'!D393)</f>
        <v>2418</v>
      </c>
      <c r="E61" s="5">
        <f>IF('Service Types'!E393="","",'Service Types'!E393)</f>
        <v>622</v>
      </c>
      <c r="F61" s="5">
        <f>IF('Service Types'!F393="","",'Service Types'!F393)</f>
        <v>0</v>
      </c>
      <c r="G61" s="5">
        <f>IF('Service Types'!G393="","",'Service Types'!G393)</f>
        <v>0</v>
      </c>
      <c r="H61" s="5">
        <f>IF('Service Types'!H393="","",'Service Types'!H393)</f>
        <v>2391</v>
      </c>
      <c r="I61" s="6">
        <f>IF('Service Types'!I393="","",'Service Types'!I393)</f>
        <v>0</v>
      </c>
      <c r="J61" s="6">
        <f>IF('Service Types'!J393="","",'Service Types'!J393)</f>
        <v>18.100000000000001</v>
      </c>
      <c r="K61" s="6">
        <f>IF('Service Types'!K393="","",'Service Types'!K393)</f>
        <v>58</v>
      </c>
      <c r="L61" s="4" t="str">
        <f>IF('Service Types'!R393="","",'Service Types'!R393)</f>
        <v>Signs, signals &amp; lights</v>
      </c>
      <c r="M61" s="4" t="str">
        <f>IF('Service Types'!S393="","",'Service Types'!S393)</f>
        <v>Clear</v>
      </c>
      <c r="N61" s="4" t="str">
        <f>IF('Service Types'!T393="","",'Service Types'!T393)</f>
        <v>Field repair or replacement of signs, markings, signals or lights.</v>
      </c>
    </row>
    <row r="62" spans="1:14" x14ac:dyDescent="0.45">
      <c r="A62" s="14">
        <v>61</v>
      </c>
      <c r="B62" s="4" t="s">
        <v>597</v>
      </c>
      <c r="C62" s="4" t="str">
        <f>IF('Service Types'!B459="","",'Service Types'!B459)</f>
        <v>OS - Parks and Open Spaces</v>
      </c>
      <c r="D62" s="5">
        <f>IF('Service Types'!D459="","",'Service Types'!D459)</f>
        <v>2189</v>
      </c>
      <c r="E62" s="5">
        <f>IF('Service Types'!E459="","",'Service Types'!E459)</f>
        <v>0</v>
      </c>
      <c r="F62" s="5">
        <f>IF('Service Types'!F459="","",'Service Types'!F459)</f>
        <v>1</v>
      </c>
      <c r="G62" s="5">
        <f>IF('Service Types'!G459="","",'Service Types'!G459)</f>
        <v>1</v>
      </c>
      <c r="H62" s="5">
        <f>IF('Service Types'!H459="","",'Service Types'!H459)</f>
        <v>2188</v>
      </c>
      <c r="I62" s="6">
        <f>IF('Service Types'!I459="","",'Service Types'!I459)</f>
        <v>3</v>
      </c>
      <c r="J62" s="6">
        <f>IF('Service Types'!J459="","",'Service Types'!J459)</f>
        <v>4.9000000000000004</v>
      </c>
      <c r="K62" s="6">
        <f>IF('Service Types'!K459="","",'Service Types'!K459)</f>
        <v>11</v>
      </c>
      <c r="L62" s="4" t="str">
        <f>IF('Service Types'!R459="","",'Service Types'!R459)</f>
        <v>Parks &amp; trees</v>
      </c>
      <c r="M62" s="4" t="str">
        <f>IF('Service Types'!S459="","",'Service Types'!S459)</f>
        <v>Clear</v>
      </c>
      <c r="N62" s="4" t="str">
        <f>IF('Service Types'!T459="","",'Service Types'!T459)</f>
        <v>Parks crew does hands-on work: trees, mowing, park repairs or upkeep.</v>
      </c>
    </row>
    <row r="63" spans="1:14" x14ac:dyDescent="0.45">
      <c r="A63" s="14">
        <v>62</v>
      </c>
      <c r="B63" s="4" t="s">
        <v>598</v>
      </c>
      <c r="C63" s="4" t="str">
        <f>IF('Service Types'!B460="","",'Service Types'!B460)</f>
        <v>OS - Parks and Open Spaces</v>
      </c>
      <c r="D63" s="5">
        <f>IF('Service Types'!D460="","",'Service Types'!D460)</f>
        <v>2032</v>
      </c>
      <c r="E63" s="5">
        <f>IF('Service Types'!E460="","",'Service Types'!E460)</f>
        <v>0</v>
      </c>
      <c r="F63" s="5">
        <f>IF('Service Types'!F460="","",'Service Types'!F460)</f>
        <v>0</v>
      </c>
      <c r="G63" s="5">
        <f>IF('Service Types'!G460="","",'Service Types'!G460)</f>
        <v>0</v>
      </c>
      <c r="H63" s="5">
        <f>IF('Service Types'!H460="","",'Service Types'!H460)</f>
        <v>2032</v>
      </c>
      <c r="I63" s="6">
        <f>IF('Service Types'!I460="","",'Service Types'!I460)</f>
        <v>2</v>
      </c>
      <c r="J63" s="6">
        <f>IF('Service Types'!J460="","",'Service Types'!J460)</f>
        <v>3.8</v>
      </c>
      <c r="K63" s="6">
        <f>IF('Service Types'!K460="","",'Service Types'!K460)</f>
        <v>8</v>
      </c>
      <c r="L63" s="4" t="str">
        <f>IF('Service Types'!R460="","",'Service Types'!R460)</f>
        <v>Parks &amp; trees</v>
      </c>
      <c r="M63" s="4" t="str">
        <f>IF('Service Types'!S460="","",'Service Types'!S460)</f>
        <v>Clear</v>
      </c>
      <c r="N63" s="4" t="str">
        <f>IF('Service Types'!T460="","",'Service Types'!T460)</f>
        <v>Parks crew does hands-on work: trees, mowing, park repairs or upkeep.</v>
      </c>
    </row>
    <row r="64" spans="1:14" x14ac:dyDescent="0.45">
      <c r="A64" s="14">
        <v>63</v>
      </c>
      <c r="B64" s="4" t="s">
        <v>421</v>
      </c>
      <c r="C64" s="4" t="str">
        <f>IF('Service Types'!B323="","",'Service Types'!B323)</f>
        <v>IS - Real Estate and Development Services</v>
      </c>
      <c r="D64" s="5">
        <f>IF('Service Types'!D323="","",'Service Types'!D323)</f>
        <v>2006</v>
      </c>
      <c r="E64" s="5">
        <f>IF('Service Types'!E323="","",'Service Types'!E323)</f>
        <v>442</v>
      </c>
      <c r="F64" s="5">
        <f>IF('Service Types'!F323="","",'Service Types'!F323)</f>
        <v>29</v>
      </c>
      <c r="G64" s="5">
        <f>IF('Service Types'!G323="","",'Service Types'!G323)</f>
        <v>15</v>
      </c>
      <c r="H64" s="5">
        <f>IF('Service Types'!H323="","",'Service Types'!H323)</f>
        <v>1977</v>
      </c>
      <c r="I64" s="6">
        <f>IF('Service Types'!I323="","",'Service Types'!I323)</f>
        <v>3</v>
      </c>
      <c r="J64" s="6">
        <f>IF('Service Types'!J323="","",'Service Types'!J323)</f>
        <v>18.2</v>
      </c>
      <c r="K64" s="6">
        <f>IF('Service Types'!K323="","",'Service Types'!K323)</f>
        <v>24</v>
      </c>
      <c r="L64" s="4" t="str">
        <f>IF('Service Types'!R323="","",'Service Types'!R323)</f>
        <v>Facilities</v>
      </c>
      <c r="M64" s="4" t="str">
        <f>IF('Service Types'!S323="","",'Service Types'!S323)</f>
        <v>Borderline</v>
      </c>
      <c r="N64" s="4" t="str">
        <f>IF('Service Types'!T323="","",'Service Types'!T323)</f>
        <v>Clean-up/upkeep of City-owned lots is field work, often by contractors; some tickets are encroachment issues.</v>
      </c>
    </row>
    <row r="65" spans="1:14" x14ac:dyDescent="0.45">
      <c r="A65" s="14">
        <v>64</v>
      </c>
      <c r="B65" s="4" t="s">
        <v>602</v>
      </c>
      <c r="C65" s="4" t="str">
        <f>IF('Service Types'!B463="","",'Service Types'!B463)</f>
        <v>OS - Parks and Open Spaces</v>
      </c>
      <c r="D65" s="5">
        <f>IF('Service Types'!D463="","",'Service Types'!D463)</f>
        <v>1760</v>
      </c>
      <c r="E65" s="5">
        <f>IF('Service Types'!E463="","",'Service Types'!E463)</f>
        <v>24</v>
      </c>
      <c r="F65" s="5">
        <f>IF('Service Types'!F463="","",'Service Types'!F463)</f>
        <v>24</v>
      </c>
      <c r="G65" s="5">
        <f>IF('Service Types'!G463="","",'Service Types'!G463)</f>
        <v>24</v>
      </c>
      <c r="H65" s="5">
        <f>IF('Service Types'!H463="","",'Service Types'!H463)</f>
        <v>1736</v>
      </c>
      <c r="I65" s="6">
        <f>IF('Service Types'!I463="","",'Service Types'!I463)</f>
        <v>1</v>
      </c>
      <c r="J65" s="6">
        <f>IF('Service Types'!J463="","",'Service Types'!J463)</f>
        <v>3.6</v>
      </c>
      <c r="K65" s="6">
        <f>IF('Service Types'!K463="","",'Service Types'!K463)</f>
        <v>6</v>
      </c>
      <c r="L65" s="4" t="str">
        <f>IF('Service Types'!R463="","",'Service Types'!R463)</f>
        <v>Snow &amp; ice</v>
      </c>
      <c r="M65" s="4" t="str">
        <f>IF('Service Types'!S463="","",'Service Types'!S463)</f>
        <v>Clear</v>
      </c>
      <c r="N65" s="4" t="str">
        <f>IF('Service Types'!T463="","",'Service Types'!T463)</f>
        <v>Clearing snow/ice on public roads, pathways, parks or transit stops.</v>
      </c>
    </row>
    <row r="66" spans="1:14" x14ac:dyDescent="0.45">
      <c r="A66" s="14">
        <v>65</v>
      </c>
      <c r="B66" s="4" t="s">
        <v>603</v>
      </c>
      <c r="C66" s="4" t="str">
        <f>IF('Service Types'!B464="","",'Service Types'!B464)</f>
        <v>OS - Parks and Open Spaces</v>
      </c>
      <c r="D66" s="5">
        <f>IF('Service Types'!D464="","",'Service Types'!D464)</f>
        <v>1543</v>
      </c>
      <c r="E66" s="5">
        <f>IF('Service Types'!E464="","",'Service Types'!E464)</f>
        <v>535</v>
      </c>
      <c r="F66" s="5">
        <f>IF('Service Types'!F464="","",'Service Types'!F464)</f>
        <v>7</v>
      </c>
      <c r="G66" s="5">
        <f>IF('Service Types'!G464="","",'Service Types'!G464)</f>
        <v>0</v>
      </c>
      <c r="H66" s="5">
        <f>IF('Service Types'!H464="","",'Service Types'!H464)</f>
        <v>1536</v>
      </c>
      <c r="I66" s="6">
        <f>IF('Service Types'!I464="","",'Service Types'!I464)</f>
        <v>6</v>
      </c>
      <c r="J66" s="6">
        <f>IF('Service Types'!J464="","",'Service Types'!J464)</f>
        <v>9.5</v>
      </c>
      <c r="K66" s="6">
        <f>IF('Service Types'!K464="","",'Service Types'!K464)</f>
        <v>18</v>
      </c>
      <c r="L66" s="4" t="str">
        <f>IF('Service Types'!R464="","",'Service Types'!R464)</f>
        <v>Parks &amp; trees</v>
      </c>
      <c r="M66" s="4" t="str">
        <f>IF('Service Types'!S464="","",'Service Types'!S464)</f>
        <v>Borderline</v>
      </c>
      <c r="N66" s="4" t="str">
        <f>IF('Service Types'!T464="","",'Service Types'!T464)</f>
        <v>Pest treatment is done by Parks crews, but many tickets are reports/advice only.</v>
      </c>
    </row>
    <row r="67" spans="1:14" x14ac:dyDescent="0.45">
      <c r="A67" s="14">
        <v>66</v>
      </c>
      <c r="B67" s="4" t="s">
        <v>526</v>
      </c>
      <c r="C67" s="4" t="str">
        <f>IF('Service Types'!B397="","",'Service Types'!B397)</f>
        <v>OS - Mobility</v>
      </c>
      <c r="D67" s="5">
        <f>IF('Service Types'!D397="","",'Service Types'!D397)</f>
        <v>1456</v>
      </c>
      <c r="E67" s="5">
        <f>IF('Service Types'!E397="","",'Service Types'!E397)</f>
        <v>1456</v>
      </c>
      <c r="F67" s="5">
        <f>IF('Service Types'!F397="","",'Service Types'!F397)</f>
        <v>970</v>
      </c>
      <c r="G67" s="5">
        <f>IF('Service Types'!G397="","",'Service Types'!G397)</f>
        <v>207</v>
      </c>
      <c r="H67" s="5">
        <f>IF('Service Types'!H397="","",'Service Types'!H397)</f>
        <v>470</v>
      </c>
      <c r="I67" s="6">
        <f>IF('Service Types'!I397="","",'Service Types'!I397)</f>
        <v>13</v>
      </c>
      <c r="J67" s="6">
        <f>IF('Service Types'!J397="","",'Service Types'!J397)</f>
        <v>13.9</v>
      </c>
      <c r="K67" s="6">
        <f>IF('Service Types'!K397="","",'Service Types'!K397)</f>
        <v>21</v>
      </c>
      <c r="L67" s="4" t="str">
        <f>IF('Service Types'!R397="","",'Service Types'!R397)</f>
        <v>Road &amp; structure repair</v>
      </c>
      <c r="M67" s="4" t="str">
        <f>IF('Service Types'!S397="","",'Service Types'!S397)</f>
        <v>Clear</v>
      </c>
      <c r="N67" s="4" t="str">
        <f>IF('Service Types'!T397="","",'Service Types'!T397)</f>
        <v>A crew physically repairs a road, sidewalk, lane, pathway or structure.</v>
      </c>
    </row>
    <row r="68" spans="1:14" x14ac:dyDescent="0.45">
      <c r="A68" s="14">
        <v>67</v>
      </c>
      <c r="B68" s="4" t="s">
        <v>483</v>
      </c>
      <c r="C68" s="4" t="str">
        <f>IF('Service Types'!B365="","",'Service Types'!B365)</f>
        <v>OS - Facility Management</v>
      </c>
      <c r="D68" s="5">
        <f>IF('Service Types'!D365="","",'Service Types'!D365)</f>
        <v>1434</v>
      </c>
      <c r="E68" s="5">
        <f>IF('Service Types'!E365="","",'Service Types'!E365)</f>
        <v>329</v>
      </c>
      <c r="F68" s="5">
        <f>IF('Service Types'!F365="","",'Service Types'!F365)</f>
        <v>12</v>
      </c>
      <c r="G68" s="5">
        <f>IF('Service Types'!G365="","",'Service Types'!G365)</f>
        <v>9</v>
      </c>
      <c r="H68" s="5">
        <f>IF('Service Types'!H365="","",'Service Types'!H365)</f>
        <v>1422</v>
      </c>
      <c r="I68" s="6">
        <f>IF('Service Types'!I365="","",'Service Types'!I365)</f>
        <v>1</v>
      </c>
      <c r="J68" s="6">
        <f>IF('Service Types'!J365="","",'Service Types'!J365)</f>
        <v>10.3</v>
      </c>
      <c r="K68" s="6">
        <f>IF('Service Types'!K365="","",'Service Types'!K365)</f>
        <v>11</v>
      </c>
      <c r="L68" s="4" t="str">
        <f>IF('Service Types'!R365="","",'Service Types'!R365)</f>
        <v>Facilities</v>
      </c>
      <c r="M68" s="4" t="str">
        <f>IF('Service Types'!S365="","",'Service Types'!S365)</f>
        <v>Borderline</v>
      </c>
      <c r="N68" s="4" t="str">
        <f>IF('Service Types'!T365="","",'Service Types'!T365)</f>
        <v>Maintenance requests for City buildings (trades crews), internal rather than public infrastructure.</v>
      </c>
    </row>
    <row r="69" spans="1:14" x14ac:dyDescent="0.45">
      <c r="A69" s="14">
        <v>68</v>
      </c>
      <c r="B69" s="4" t="s">
        <v>466</v>
      </c>
      <c r="C69" s="4" t="str">
        <f>IF('Service Types'!B354="","",'Service Types'!B354)</f>
        <v>OS - Calgary Transit</v>
      </c>
      <c r="D69" s="5">
        <f>IF('Service Types'!D354="","",'Service Types'!D354)</f>
        <v>1409</v>
      </c>
      <c r="E69" s="5">
        <f>IF('Service Types'!E354="","",'Service Types'!E354)</f>
        <v>174</v>
      </c>
      <c r="F69" s="5">
        <f>IF('Service Types'!F354="","",'Service Types'!F354)</f>
        <v>7</v>
      </c>
      <c r="G69" s="5">
        <f>IF('Service Types'!G354="","",'Service Types'!G354)</f>
        <v>7</v>
      </c>
      <c r="H69" s="5">
        <f>IF('Service Types'!H354="","",'Service Types'!H354)</f>
        <v>1402</v>
      </c>
      <c r="I69" s="6">
        <f>IF('Service Types'!I354="","",'Service Types'!I354)</f>
        <v>4</v>
      </c>
      <c r="J69" s="6">
        <f>IF('Service Types'!J354="","",'Service Types'!J354)</f>
        <v>7</v>
      </c>
      <c r="K69" s="6">
        <f>IF('Service Types'!K354="","",'Service Types'!K354)</f>
        <v>18</v>
      </c>
      <c r="L69" s="4" t="str">
        <f>IF('Service Types'!R354="","",'Service Types'!R354)</f>
        <v>Snow &amp; ice</v>
      </c>
      <c r="M69" s="4" t="str">
        <f>IF('Service Types'!S354="","",'Service Types'!S354)</f>
        <v>Clear</v>
      </c>
      <c r="N69" s="4" t="str">
        <f>IF('Service Types'!T354="","",'Service Types'!T354)</f>
        <v>Clearing snow/ice on public roads, pathways, parks or transit stops.</v>
      </c>
    </row>
    <row r="70" spans="1:14" x14ac:dyDescent="0.45">
      <c r="A70" s="14">
        <v>69</v>
      </c>
      <c r="B70" s="4" t="s">
        <v>528</v>
      </c>
      <c r="C70" s="4" t="str">
        <f>IF('Service Types'!B399="","",'Service Types'!B399)</f>
        <v>OS - Mobility</v>
      </c>
      <c r="D70" s="5">
        <f>IF('Service Types'!D399="","",'Service Types'!D399)</f>
        <v>1357</v>
      </c>
      <c r="E70" s="5">
        <f>IF('Service Types'!E399="","",'Service Types'!E399)</f>
        <v>313</v>
      </c>
      <c r="F70" s="5">
        <f>IF('Service Types'!F399="","",'Service Types'!F399)</f>
        <v>34</v>
      </c>
      <c r="G70" s="5">
        <f>IF('Service Types'!G399="","",'Service Types'!G399)</f>
        <v>16</v>
      </c>
      <c r="H70" s="5">
        <f>IF('Service Types'!H399="","",'Service Types'!H399)</f>
        <v>1323</v>
      </c>
      <c r="I70" s="6">
        <f>IF('Service Types'!I399="","",'Service Types'!I399)</f>
        <v>82</v>
      </c>
      <c r="J70" s="6">
        <f>IF('Service Types'!J399="","",'Service Types'!J399)</f>
        <v>126.2</v>
      </c>
      <c r="K70" s="6">
        <f>IF('Service Types'!K399="","",'Service Types'!K399)</f>
        <v>410</v>
      </c>
      <c r="L70" s="4" t="str">
        <f>IF('Service Types'!R399="","",'Service Types'!R399)</f>
        <v>Signs, signals &amp; lights</v>
      </c>
      <c r="M70" s="4" t="str">
        <f>IF('Service Types'!S399="","",'Service Types'!S399)</f>
        <v>Clear</v>
      </c>
      <c r="N70" s="4" t="str">
        <f>IF('Service Types'!T399="","",'Service Types'!T399)</f>
        <v>Field repair or replacement of signs, markings, signals or lights.</v>
      </c>
    </row>
    <row r="71" spans="1:14" x14ac:dyDescent="0.45">
      <c r="A71" s="14">
        <v>70</v>
      </c>
      <c r="B71" s="4" t="s">
        <v>608</v>
      </c>
      <c r="C71" s="4" t="str">
        <f>IF('Service Types'!B467="","",'Service Types'!B467)</f>
        <v>OS - Parks and Open Spaces</v>
      </c>
      <c r="D71" s="5">
        <f>IF('Service Types'!D467="","",'Service Types'!D467)</f>
        <v>1117</v>
      </c>
      <c r="E71" s="5">
        <f>IF('Service Types'!E467="","",'Service Types'!E467)</f>
        <v>0</v>
      </c>
      <c r="F71" s="5">
        <f>IF('Service Types'!F467="","",'Service Types'!F467)</f>
        <v>1</v>
      </c>
      <c r="G71" s="5">
        <f>IF('Service Types'!G467="","",'Service Types'!G467)</f>
        <v>1</v>
      </c>
      <c r="H71" s="5">
        <f>IF('Service Types'!H467="","",'Service Types'!H467)</f>
        <v>1116</v>
      </c>
      <c r="I71" s="6">
        <f>IF('Service Types'!I467="","",'Service Types'!I467)</f>
        <v>2</v>
      </c>
      <c r="J71" s="6">
        <f>IF('Service Types'!J467="","",'Service Types'!J467)</f>
        <v>8.1999999999999993</v>
      </c>
      <c r="K71" s="6">
        <f>IF('Service Types'!K467="","",'Service Types'!K467)</f>
        <v>13</v>
      </c>
      <c r="L71" s="4" t="str">
        <f>IF('Service Types'!R467="","",'Service Types'!R467)</f>
        <v>Parks &amp; trees</v>
      </c>
      <c r="M71" s="4" t="str">
        <f>IF('Service Types'!S467="","",'Service Types'!S467)</f>
        <v>Clear</v>
      </c>
      <c r="N71" s="4" t="str">
        <f>IF('Service Types'!T467="","",'Service Types'!T467)</f>
        <v>Parks crew does hands-on work: trees, mowing, park repairs or upkeep.</v>
      </c>
    </row>
    <row r="72" spans="1:14" x14ac:dyDescent="0.45">
      <c r="A72" s="14">
        <v>71</v>
      </c>
      <c r="B72" s="4" t="s">
        <v>723</v>
      </c>
      <c r="C72" s="4" t="str">
        <f>IF('Service Types'!B560="","",'Service Types'!B560)</f>
        <v>OS - Water Services</v>
      </c>
      <c r="D72" s="5">
        <f>IF('Service Types'!D560="","",'Service Types'!D560)</f>
        <v>1016</v>
      </c>
      <c r="E72" s="5">
        <f>IF('Service Types'!E560="","",'Service Types'!E560)</f>
        <v>197</v>
      </c>
      <c r="F72" s="5">
        <f>IF('Service Types'!F560="","",'Service Types'!F560)</f>
        <v>77</v>
      </c>
      <c r="G72" s="5">
        <f>IF('Service Types'!G560="","",'Service Types'!G560)</f>
        <v>50</v>
      </c>
      <c r="H72" s="5">
        <f>IF('Service Types'!H560="","",'Service Types'!H560)</f>
        <v>938</v>
      </c>
      <c r="I72" s="6">
        <f>IF('Service Types'!I560="","",'Service Types'!I560)</f>
        <v>15</v>
      </c>
      <c r="J72" s="6">
        <f>IF('Service Types'!J560="","",'Service Types'!J560)</f>
        <v>48.8</v>
      </c>
      <c r="K72" s="6">
        <f>IF('Service Types'!K560="","",'Service Types'!K560)</f>
        <v>127</v>
      </c>
      <c r="L72" s="4" t="str">
        <f>IF('Service Types'!R560="","",'Service Types'!R560)</f>
        <v>Water &amp; sewer</v>
      </c>
      <c r="M72" s="4" t="str">
        <f>IF('Service Types'!S560="","",'Service Types'!S560)</f>
        <v>Borderline</v>
      </c>
      <c r="N72" s="4" t="str">
        <f>IF('Service Types'!T560="","",'Service Types'!T560)</f>
        <v>Field investigation of drainage; may lead to repair or to a bylaw issue.</v>
      </c>
    </row>
    <row r="73" spans="1:14" x14ac:dyDescent="0.45">
      <c r="A73" s="14">
        <v>72</v>
      </c>
      <c r="B73" s="4" t="s">
        <v>530</v>
      </c>
      <c r="C73" s="4" t="str">
        <f>IF('Service Types'!B401="","",'Service Types'!B401)</f>
        <v>OS - Mobility</v>
      </c>
      <c r="D73" s="5">
        <f>IF('Service Types'!D401="","",'Service Types'!D401)</f>
        <v>942</v>
      </c>
      <c r="E73" s="5">
        <f>IF('Service Types'!E401="","",'Service Types'!E401)</f>
        <v>0</v>
      </c>
      <c r="F73" s="5">
        <f>IF('Service Types'!F401="","",'Service Types'!F401)</f>
        <v>4</v>
      </c>
      <c r="G73" s="5">
        <f>IF('Service Types'!G401="","",'Service Types'!G401)</f>
        <v>4</v>
      </c>
      <c r="H73" s="5">
        <f>IF('Service Types'!H401="","",'Service Types'!H401)</f>
        <v>906</v>
      </c>
      <c r="I73" s="6">
        <f>IF('Service Types'!I401="","",'Service Types'!I401)</f>
        <v>3</v>
      </c>
      <c r="J73" s="6">
        <f>IF('Service Types'!J401="","",'Service Types'!J401)</f>
        <v>8.9</v>
      </c>
      <c r="K73" s="6">
        <f>IF('Service Types'!K401="","",'Service Types'!K401)</f>
        <v>13</v>
      </c>
      <c r="L73" s="4" t="str">
        <f>IF('Service Types'!R401="","",'Service Types'!R401)</f>
        <v>Road &amp; structure repair</v>
      </c>
      <c r="M73" s="4" t="str">
        <f>IF('Service Types'!S401="","",'Service Types'!S401)</f>
        <v>Clear</v>
      </c>
      <c r="N73" s="4" t="str">
        <f>IF('Service Types'!T401="","",'Service Types'!T401)</f>
        <v>A crew physically repairs a road, sidewalk, lane, pathway or structure.</v>
      </c>
    </row>
    <row r="74" spans="1:14" x14ac:dyDescent="0.45">
      <c r="A74" s="14">
        <v>73</v>
      </c>
      <c r="B74" s="4" t="s">
        <v>726</v>
      </c>
      <c r="C74" s="4" t="str">
        <f>IF('Service Types'!B562="","",'Service Types'!B562)</f>
        <v>OS - Water Services</v>
      </c>
      <c r="D74" s="5">
        <f>IF('Service Types'!D562="","",'Service Types'!D562)</f>
        <v>935</v>
      </c>
      <c r="E74" s="5">
        <f>IF('Service Types'!E562="","",'Service Types'!E562)</f>
        <v>149</v>
      </c>
      <c r="F74" s="5">
        <f>IF('Service Types'!F562="","",'Service Types'!F562)</f>
        <v>0</v>
      </c>
      <c r="G74" s="5">
        <f>IF('Service Types'!G562="","",'Service Types'!G562)</f>
        <v>0</v>
      </c>
      <c r="H74" s="5">
        <f>IF('Service Types'!H562="","",'Service Types'!H562)</f>
        <v>931</v>
      </c>
      <c r="I74" s="6">
        <f>IF('Service Types'!I562="","",'Service Types'!I562)</f>
        <v>1</v>
      </c>
      <c r="J74" s="6">
        <f>IF('Service Types'!J562="","",'Service Types'!J562)</f>
        <v>2.7</v>
      </c>
      <c r="K74" s="6">
        <f>IF('Service Types'!K562="","",'Service Types'!K562)</f>
        <v>5</v>
      </c>
      <c r="L74" s="4" t="str">
        <f>IF('Service Types'!R562="","",'Service Types'!R562)</f>
        <v>Water &amp; sewer</v>
      </c>
      <c r="M74" s="4" t="str">
        <f>IF('Service Types'!S562="","",'Service Types'!S562)</f>
        <v>Borderline</v>
      </c>
      <c r="N74" s="4" t="str">
        <f>IF('Service Types'!T562="","",'Service Types'!T562)</f>
        <v>Field investigation to rule out a City main; often a private-property issue.</v>
      </c>
    </row>
    <row r="75" spans="1:14" x14ac:dyDescent="0.45">
      <c r="A75" s="14">
        <v>74</v>
      </c>
      <c r="B75" s="4" t="s">
        <v>728</v>
      </c>
      <c r="C75" s="4" t="str">
        <f>IF('Service Types'!B563="","",'Service Types'!B563)</f>
        <v>OS - Water Services</v>
      </c>
      <c r="D75" s="5">
        <f>IF('Service Types'!D563="","",'Service Types'!D563)</f>
        <v>821</v>
      </c>
      <c r="E75" s="5">
        <f>IF('Service Types'!E563="","",'Service Types'!E563)</f>
        <v>189</v>
      </c>
      <c r="F75" s="5">
        <f>IF('Service Types'!F563="","",'Service Types'!F563)</f>
        <v>8</v>
      </c>
      <c r="G75" s="5">
        <f>IF('Service Types'!G563="","",'Service Types'!G563)</f>
        <v>0</v>
      </c>
      <c r="H75" s="5">
        <f>IF('Service Types'!H563="","",'Service Types'!H563)</f>
        <v>813</v>
      </c>
      <c r="I75" s="6">
        <f>IF('Service Types'!I563="","",'Service Types'!I563)</f>
        <v>3</v>
      </c>
      <c r="J75" s="6">
        <f>IF('Service Types'!J563="","",'Service Types'!J563)</f>
        <v>6.4</v>
      </c>
      <c r="K75" s="6">
        <f>IF('Service Types'!K563="","",'Service Types'!K563)</f>
        <v>14</v>
      </c>
      <c r="L75" s="4" t="str">
        <f>IF('Service Types'!R563="","",'Service Types'!R563)</f>
        <v>Water &amp; sewer</v>
      </c>
      <c r="M75" s="4" t="str">
        <f>IF('Service Types'!S563="","",'Service Types'!S563)</f>
        <v>Borderline</v>
      </c>
      <c r="N75" s="4" t="str">
        <f>IF('Service Types'!T563="","",'Service Types'!T563)</f>
        <v>Pond maintenance is crew work; some tickets are questions.</v>
      </c>
    </row>
    <row r="76" spans="1:14" x14ac:dyDescent="0.45">
      <c r="A76" s="14">
        <v>75</v>
      </c>
      <c r="B76" s="4" t="s">
        <v>531</v>
      </c>
      <c r="C76" s="4" t="str">
        <f>IF('Service Types'!B402="","",'Service Types'!B402)</f>
        <v>OS - Mobility</v>
      </c>
      <c r="D76" s="5">
        <f>IF('Service Types'!D402="","",'Service Types'!D402)</f>
        <v>805</v>
      </c>
      <c r="E76" s="5">
        <f>IF('Service Types'!E402="","",'Service Types'!E402)</f>
        <v>154</v>
      </c>
      <c r="F76" s="5">
        <f>IF('Service Types'!F402="","",'Service Types'!F402)</f>
        <v>492</v>
      </c>
      <c r="G76" s="5">
        <f>IF('Service Types'!G402="","",'Service Types'!G402)</f>
        <v>476</v>
      </c>
      <c r="H76" s="5">
        <f>IF('Service Types'!H402="","",'Service Types'!H402)</f>
        <v>313</v>
      </c>
      <c r="I76" s="6">
        <f>IF('Service Types'!I402="","",'Service Types'!I402)</f>
        <v>10</v>
      </c>
      <c r="J76" s="6">
        <f>IF('Service Types'!J402="","",'Service Types'!J402)</f>
        <v>121.6</v>
      </c>
      <c r="K76" s="6">
        <f>IF('Service Types'!K402="","",'Service Types'!K402)</f>
        <v>542</v>
      </c>
      <c r="L76" s="4" t="str">
        <f>IF('Service Types'!R402="","",'Service Types'!R402)</f>
        <v>Signs, signals &amp; lights</v>
      </c>
      <c r="M76" s="4" t="str">
        <f>IF('Service Types'!S402="","",'Service Types'!S402)</f>
        <v>Clear</v>
      </c>
      <c r="N76" s="4" t="str">
        <f>IF('Service Types'!T402="","",'Service Types'!T402)</f>
        <v>Field repair or replacement of signs, markings, signals or lights.</v>
      </c>
    </row>
    <row r="77" spans="1:14" x14ac:dyDescent="0.45">
      <c r="A77" s="14">
        <v>76</v>
      </c>
      <c r="B77" s="4" t="s">
        <v>614</v>
      </c>
      <c r="C77" s="4" t="str">
        <f>IF('Service Types'!B473="","",'Service Types'!B473)</f>
        <v>OS - Parks and Open Spaces</v>
      </c>
      <c r="D77" s="5">
        <f>IF('Service Types'!D473="","",'Service Types'!D473)</f>
        <v>699</v>
      </c>
      <c r="E77" s="5">
        <f>IF('Service Types'!E473="","",'Service Types'!E473)</f>
        <v>0</v>
      </c>
      <c r="F77" s="5">
        <f>IF('Service Types'!F473="","",'Service Types'!F473)</f>
        <v>0</v>
      </c>
      <c r="G77" s="5">
        <f>IF('Service Types'!G473="","",'Service Types'!G473)</f>
        <v>0</v>
      </c>
      <c r="H77" s="5">
        <f>IF('Service Types'!H473="","",'Service Types'!H473)</f>
        <v>699</v>
      </c>
      <c r="I77" s="6">
        <f>IF('Service Types'!I473="","",'Service Types'!I473)</f>
        <v>3</v>
      </c>
      <c r="J77" s="6">
        <f>IF('Service Types'!J473="","",'Service Types'!J473)</f>
        <v>6.4</v>
      </c>
      <c r="K77" s="6">
        <f>IF('Service Types'!K473="","",'Service Types'!K473)</f>
        <v>12</v>
      </c>
      <c r="L77" s="4" t="str">
        <f>IF('Service Types'!R473="","",'Service Types'!R473)</f>
        <v>Parks &amp; trees</v>
      </c>
      <c r="M77" s="4" t="str">
        <f>IF('Service Types'!S473="","",'Service Types'!S473)</f>
        <v>Clear</v>
      </c>
      <c r="N77" s="4" t="str">
        <f>IF('Service Types'!T473="","",'Service Types'!T473)</f>
        <v>Parks crew does hands-on work: trees, mowing, park repairs or upkeep.</v>
      </c>
    </row>
    <row r="78" spans="1:14" x14ac:dyDescent="0.45">
      <c r="A78" s="14">
        <v>77</v>
      </c>
      <c r="B78" s="4" t="s">
        <v>615</v>
      </c>
      <c r="C78" s="4" t="str">
        <f>IF('Service Types'!B474="","",'Service Types'!B474)</f>
        <v>OS - Parks and Open Spaces</v>
      </c>
      <c r="D78" s="5">
        <f>IF('Service Types'!D474="","",'Service Types'!D474)</f>
        <v>688</v>
      </c>
      <c r="E78" s="5">
        <f>IF('Service Types'!E474="","",'Service Types'!E474)</f>
        <v>210</v>
      </c>
      <c r="F78" s="5">
        <f>IF('Service Types'!F474="","",'Service Types'!F474)</f>
        <v>4</v>
      </c>
      <c r="G78" s="5">
        <f>IF('Service Types'!G474="","",'Service Types'!G474)</f>
        <v>1</v>
      </c>
      <c r="H78" s="5">
        <f>IF('Service Types'!H474="","",'Service Types'!H474)</f>
        <v>684</v>
      </c>
      <c r="I78" s="6">
        <f>IF('Service Types'!I474="","",'Service Types'!I474)</f>
        <v>4</v>
      </c>
      <c r="J78" s="6">
        <f>IF('Service Types'!J474="","",'Service Types'!J474)</f>
        <v>5.9</v>
      </c>
      <c r="K78" s="6">
        <f>IF('Service Types'!K474="","",'Service Types'!K474)</f>
        <v>13</v>
      </c>
      <c r="L78" s="4" t="str">
        <f>IF('Service Types'!R474="","",'Service Types'!R474)</f>
        <v>Signs, signals &amp; lights</v>
      </c>
      <c r="M78" s="4" t="str">
        <f>IF('Service Types'!S474="","",'Service Types'!S474)</f>
        <v>Clear</v>
      </c>
      <c r="N78" s="4" t="str">
        <f>IF('Service Types'!T474="","",'Service Types'!T474)</f>
        <v>Field repair or replacement of signs, markings, signals or lights.</v>
      </c>
    </row>
    <row r="79" spans="1:14" x14ac:dyDescent="0.45">
      <c r="A79" s="14">
        <v>78</v>
      </c>
      <c r="B79" s="4" t="s">
        <v>618</v>
      </c>
      <c r="C79" s="4" t="str">
        <f>IF('Service Types'!B477="","",'Service Types'!B477)</f>
        <v>OS - Parks and Open Spaces</v>
      </c>
      <c r="D79" s="5">
        <f>IF('Service Types'!D477="","",'Service Types'!D477)</f>
        <v>592</v>
      </c>
      <c r="E79" s="5">
        <f>IF('Service Types'!E477="","",'Service Types'!E477)</f>
        <v>0</v>
      </c>
      <c r="F79" s="5">
        <f>IF('Service Types'!F477="","",'Service Types'!F477)</f>
        <v>0</v>
      </c>
      <c r="G79" s="5">
        <f>IF('Service Types'!G477="","",'Service Types'!G477)</f>
        <v>0</v>
      </c>
      <c r="H79" s="5">
        <f>IF('Service Types'!H477="","",'Service Types'!H477)</f>
        <v>592</v>
      </c>
      <c r="I79" s="6">
        <f>IF('Service Types'!I477="","",'Service Types'!I477)</f>
        <v>3</v>
      </c>
      <c r="J79" s="6">
        <f>IF('Service Types'!J477="","",'Service Types'!J477)</f>
        <v>6.6</v>
      </c>
      <c r="K79" s="6">
        <f>IF('Service Types'!K477="","",'Service Types'!K477)</f>
        <v>11</v>
      </c>
      <c r="L79" s="4" t="str">
        <f>IF('Service Types'!R477="","",'Service Types'!R477)</f>
        <v>Parks &amp; trees</v>
      </c>
      <c r="M79" s="4" t="str">
        <f>IF('Service Types'!S477="","",'Service Types'!S477)</f>
        <v>Clear</v>
      </c>
      <c r="N79" s="4" t="str">
        <f>IF('Service Types'!T477="","",'Service Types'!T477)</f>
        <v>Parks crew does hands-on work: trees, mowing, park repairs or upkeep.</v>
      </c>
    </row>
    <row r="80" spans="1:14" x14ac:dyDescent="0.45">
      <c r="A80" s="14">
        <v>79</v>
      </c>
      <c r="B80" s="4" t="s">
        <v>731</v>
      </c>
      <c r="C80" s="4" t="str">
        <f>IF('Service Types'!B565="","",'Service Types'!B565)</f>
        <v>OS - Water Services</v>
      </c>
      <c r="D80" s="5">
        <f>IF('Service Types'!D565="","",'Service Types'!D565)</f>
        <v>590</v>
      </c>
      <c r="E80" s="5">
        <f>IF('Service Types'!E565="","",'Service Types'!E565)</f>
        <v>0</v>
      </c>
      <c r="F80" s="5">
        <f>IF('Service Types'!F565="","",'Service Types'!F565)</f>
        <v>2</v>
      </c>
      <c r="G80" s="5">
        <f>IF('Service Types'!G565="","",'Service Types'!G565)</f>
        <v>2</v>
      </c>
      <c r="H80" s="5">
        <f>IF('Service Types'!H565="","",'Service Types'!H565)</f>
        <v>586</v>
      </c>
      <c r="I80" s="6">
        <f>IF('Service Types'!I565="","",'Service Types'!I565)</f>
        <v>3</v>
      </c>
      <c r="J80" s="6">
        <f>IF('Service Types'!J565="","",'Service Types'!J565)</f>
        <v>17.899999999999999</v>
      </c>
      <c r="K80" s="6">
        <f>IF('Service Types'!K565="","",'Service Types'!K565)</f>
        <v>56</v>
      </c>
      <c r="L80" s="4" t="str">
        <f>IF('Service Types'!R565="","",'Service Types'!R565)</f>
        <v>Water &amp; sewer</v>
      </c>
      <c r="M80" s="4" t="str">
        <f>IF('Service Types'!S565="","",'Service Types'!S565)</f>
        <v>Borderline</v>
      </c>
      <c r="N80" s="4" t="str">
        <f>IF('Service Types'!T565="","",'Service Types'!T565)</f>
        <v>A crew picks up equipment, but it is logistics, not a repair.</v>
      </c>
    </row>
    <row r="81" spans="1:14" x14ac:dyDescent="0.45">
      <c r="A81" s="14">
        <v>80</v>
      </c>
      <c r="B81" s="4" t="s">
        <v>620</v>
      </c>
      <c r="C81" s="4" t="str">
        <f>IF('Service Types'!B479="","",'Service Types'!B479)</f>
        <v>OS - Parks and Open Spaces</v>
      </c>
      <c r="D81" s="5">
        <f>IF('Service Types'!D479="","",'Service Types'!D479)</f>
        <v>519</v>
      </c>
      <c r="E81" s="5">
        <f>IF('Service Types'!E479="","",'Service Types'!E479)</f>
        <v>0</v>
      </c>
      <c r="F81" s="5">
        <f>IF('Service Types'!F479="","",'Service Types'!F479)</f>
        <v>0</v>
      </c>
      <c r="G81" s="5">
        <f>IF('Service Types'!G479="","",'Service Types'!G479)</f>
        <v>0</v>
      </c>
      <c r="H81" s="5">
        <f>IF('Service Types'!H479="","",'Service Types'!H479)</f>
        <v>519</v>
      </c>
      <c r="I81" s="6">
        <f>IF('Service Types'!I479="","",'Service Types'!I479)</f>
        <v>5</v>
      </c>
      <c r="J81" s="6">
        <f>IF('Service Types'!J479="","",'Service Types'!J479)</f>
        <v>7.9</v>
      </c>
      <c r="K81" s="6">
        <f>IF('Service Types'!K479="","",'Service Types'!K479)</f>
        <v>14</v>
      </c>
      <c r="L81" s="4" t="str">
        <f>IF('Service Types'!R479="","",'Service Types'!R479)</f>
        <v>Parks &amp; trees</v>
      </c>
      <c r="M81" s="4" t="str">
        <f>IF('Service Types'!S479="","",'Service Types'!S479)</f>
        <v>Borderline</v>
      </c>
      <c r="N81" s="4" t="str">
        <f>IF('Service Types'!T479="","",'Service Types'!T479)</f>
        <v>Pest treatment is done by Parks crews, but many tickets are reports/advice only.</v>
      </c>
    </row>
    <row r="82" spans="1:14" x14ac:dyDescent="0.45">
      <c r="A82" s="14">
        <v>81</v>
      </c>
      <c r="B82" s="4" t="s">
        <v>734</v>
      </c>
      <c r="C82" s="4" t="str">
        <f>IF('Service Types'!B567="","",'Service Types'!B567)</f>
        <v>OS - Water Services</v>
      </c>
      <c r="D82" s="5">
        <f>IF('Service Types'!D567="","",'Service Types'!D567)</f>
        <v>510</v>
      </c>
      <c r="E82" s="5">
        <f>IF('Service Types'!E567="","",'Service Types'!E567)</f>
        <v>111</v>
      </c>
      <c r="F82" s="5">
        <f>IF('Service Types'!F567="","",'Service Types'!F567)</f>
        <v>0</v>
      </c>
      <c r="G82" s="5">
        <f>IF('Service Types'!G567="","",'Service Types'!G567)</f>
        <v>0</v>
      </c>
      <c r="H82" s="5">
        <f>IF('Service Types'!H567="","",'Service Types'!H567)</f>
        <v>510</v>
      </c>
      <c r="I82" s="6">
        <f>IF('Service Types'!I567="","",'Service Types'!I567)</f>
        <v>1</v>
      </c>
      <c r="J82" s="6">
        <f>IF('Service Types'!J567="","",'Service Types'!J567)</f>
        <v>5.9</v>
      </c>
      <c r="K82" s="6">
        <f>IF('Service Types'!K567="","",'Service Types'!K567)</f>
        <v>4</v>
      </c>
      <c r="L82" s="4" t="str">
        <f>IF('Service Types'!R567="","",'Service Types'!R567)</f>
        <v>Water &amp; sewer</v>
      </c>
      <c r="M82" s="4" t="str">
        <f>IF('Service Types'!S567="","",'Service Types'!S567)</f>
        <v>Borderline</v>
      </c>
      <c r="N82" s="4" t="str">
        <f>IF('Service Types'!T567="","",'Service Types'!T567)</f>
        <v>Field fix of temporary water lines, low volume.</v>
      </c>
    </row>
    <row r="83" spans="1:14" x14ac:dyDescent="0.45">
      <c r="A83" s="14">
        <v>82</v>
      </c>
      <c r="B83" s="4" t="s">
        <v>371</v>
      </c>
      <c r="C83" s="4" t="str">
        <f>IF('Service Types'!B281="","",'Service Types'!B281)</f>
        <v>IS - Capital Planning and Business Services</v>
      </c>
      <c r="D83" s="5">
        <f>IF('Service Types'!D281="","",'Service Types'!D281)</f>
        <v>502</v>
      </c>
      <c r="E83" s="5">
        <f>IF('Service Types'!E281="","",'Service Types'!E281)</f>
        <v>273</v>
      </c>
      <c r="F83" s="5">
        <f>IF('Service Types'!F281="","",'Service Types'!F281)</f>
        <v>8</v>
      </c>
      <c r="G83" s="5">
        <f>IF('Service Types'!G281="","",'Service Types'!G281)</f>
        <v>3</v>
      </c>
      <c r="H83" s="5">
        <f>IF('Service Types'!H281="","",'Service Types'!H281)</f>
        <v>493</v>
      </c>
      <c r="I83" s="6">
        <f>IF('Service Types'!I281="","",'Service Types'!I281)</f>
        <v>2</v>
      </c>
      <c r="J83" s="6">
        <f>IF('Service Types'!J281="","",'Service Types'!J281)</f>
        <v>21.2</v>
      </c>
      <c r="K83" s="6">
        <f>IF('Service Types'!K281="","",'Service Types'!K281)</f>
        <v>11</v>
      </c>
      <c r="L83" s="4" t="str">
        <f>IF('Service Types'!R281="","",'Service Types'!R281)</f>
        <v>Road &amp; structure repair</v>
      </c>
      <c r="M83" s="4" t="str">
        <f>IF('Service Types'!S281="","",'Service Types'!S281)</f>
        <v>Borderline</v>
      </c>
      <c r="N83" s="4" t="str">
        <f>IF('Service Types'!T281="","",'Service Types'!T281)</f>
        <v>Same service as Roads - Bridge - Tunnel - Underpass Concern after it moved to Capital Planning; engineers often assess first.</v>
      </c>
    </row>
    <row r="84" spans="1:14" x14ac:dyDescent="0.45">
      <c r="A84" s="14">
        <v>83</v>
      </c>
      <c r="B84" s="4" t="s">
        <v>737</v>
      </c>
      <c r="C84" s="4" t="str">
        <f>IF('Service Types'!B569="","",'Service Types'!B569)</f>
        <v>OS - Water Services</v>
      </c>
      <c r="D84" s="5">
        <f>IF('Service Types'!D569="","",'Service Types'!D569)</f>
        <v>499</v>
      </c>
      <c r="E84" s="5">
        <f>IF('Service Types'!E569="","",'Service Types'!E569)</f>
        <v>137</v>
      </c>
      <c r="F84" s="5">
        <f>IF('Service Types'!F569="","",'Service Types'!F569)</f>
        <v>129</v>
      </c>
      <c r="G84" s="5">
        <f>IF('Service Types'!G569="","",'Service Types'!G569)</f>
        <v>103</v>
      </c>
      <c r="H84" s="5">
        <f>IF('Service Types'!H569="","",'Service Types'!H569)</f>
        <v>370</v>
      </c>
      <c r="I84" s="6">
        <f>IF('Service Types'!I569="","",'Service Types'!I569)</f>
        <v>43</v>
      </c>
      <c r="J84" s="6">
        <f>IF('Service Types'!J569="","",'Service Types'!J569)</f>
        <v>132.69999999999999</v>
      </c>
      <c r="K84" s="6">
        <f>IF('Service Types'!K569="","",'Service Types'!K569)</f>
        <v>412</v>
      </c>
      <c r="L84" s="4" t="str">
        <f>IF('Service Types'!R569="","",'Service Types'!R569)</f>
        <v>Water &amp; sewer</v>
      </c>
      <c r="M84" s="4" t="str">
        <f>IF('Service Types'!S569="","",'Service Types'!S569)</f>
        <v>Borderline</v>
      </c>
      <c r="N84" s="4" t="str">
        <f>IF('Service Types'!T569="","",'Service Types'!T569)</f>
        <v>Field job by Water Services, but a booked installation, not a hazard.</v>
      </c>
    </row>
    <row r="85" spans="1:14" x14ac:dyDescent="0.45">
      <c r="A85" s="14">
        <v>84</v>
      </c>
      <c r="B85" s="4" t="s">
        <v>537</v>
      </c>
      <c r="C85" s="4" t="str">
        <f>IF('Service Types'!B406="","",'Service Types'!B406)</f>
        <v>OS - Mobility</v>
      </c>
      <c r="D85" s="5">
        <f>IF('Service Types'!D406="","",'Service Types'!D406)</f>
        <v>481</v>
      </c>
      <c r="E85" s="5">
        <f>IF('Service Types'!E406="","",'Service Types'!E406)</f>
        <v>0</v>
      </c>
      <c r="F85" s="5">
        <f>IF('Service Types'!F406="","",'Service Types'!F406)</f>
        <v>0</v>
      </c>
      <c r="G85" s="5">
        <f>IF('Service Types'!G406="","",'Service Types'!G406)</f>
        <v>0</v>
      </c>
      <c r="H85" s="5">
        <f>IF('Service Types'!H406="","",'Service Types'!H406)</f>
        <v>481</v>
      </c>
      <c r="I85" s="6">
        <f>IF('Service Types'!I406="","",'Service Types'!I406)</f>
        <v>12</v>
      </c>
      <c r="J85" s="6">
        <f>IF('Service Types'!J406="","",'Service Types'!J406)</f>
        <v>33</v>
      </c>
      <c r="K85" s="6">
        <f>IF('Service Types'!K406="","",'Service Types'!K406)</f>
        <v>70</v>
      </c>
      <c r="L85" s="4" t="str">
        <f>IF('Service Types'!R406="","",'Service Types'!R406)</f>
        <v>Road &amp; structure repair</v>
      </c>
      <c r="M85" s="4" t="str">
        <f>IF('Service Types'!S406="","",'Service Types'!S406)</f>
        <v>Borderline</v>
      </c>
      <c r="N85" s="4" t="str">
        <f>IF('Service Types'!T406="","",'Service Types'!T406)</f>
        <v>Structure repairs are crew work; some tickets are engineering assessments first.</v>
      </c>
    </row>
    <row r="86" spans="1:14" x14ac:dyDescent="0.45">
      <c r="A86" s="14">
        <v>85</v>
      </c>
      <c r="B86" s="4" t="s">
        <v>667</v>
      </c>
      <c r="C86" s="4" t="str">
        <f>IF('Service Types'!B517="","",'Service Types'!B517)</f>
        <v>OS - Waste and Recycling Services</v>
      </c>
      <c r="D86" s="5">
        <f>IF('Service Types'!D517="","",'Service Types'!D517)</f>
        <v>474</v>
      </c>
      <c r="E86" s="5">
        <f>IF('Service Types'!E517="","",'Service Types'!E517)</f>
        <v>96</v>
      </c>
      <c r="F86" s="5">
        <f>IF('Service Types'!F517="","",'Service Types'!F517)</f>
        <v>0</v>
      </c>
      <c r="G86" s="5">
        <f>IF('Service Types'!G517="","",'Service Types'!G517)</f>
        <v>0</v>
      </c>
      <c r="H86" s="5">
        <f>IF('Service Types'!H517="","",'Service Types'!H517)</f>
        <v>474</v>
      </c>
      <c r="I86" s="6">
        <f>IF('Service Types'!I517="","",'Service Types'!I517)</f>
        <v>3</v>
      </c>
      <c r="J86" s="6">
        <f>IF('Service Types'!J517="","",'Service Types'!J517)</f>
        <v>3.7</v>
      </c>
      <c r="K86" s="6">
        <f>IF('Service Types'!K517="","",'Service Types'!K517)</f>
        <v>7</v>
      </c>
      <c r="L86" s="4" t="str">
        <f>IF('Service Types'!R517="","",'Service Types'!R517)</f>
        <v>Waste collection</v>
      </c>
      <c r="M86" s="4" t="str">
        <f>IF('Service Types'!S517="","",'Service Types'!S517)</f>
        <v>Borderline</v>
      </c>
      <c r="N86" s="4" t="str">
        <f>IF('Service Types'!T517="","",'Service Types'!T517)</f>
        <v>A WRS staff member visits the bin, but it is a check, not collection.</v>
      </c>
    </row>
    <row r="87" spans="1:14" x14ac:dyDescent="0.45">
      <c r="A87" s="14">
        <v>86</v>
      </c>
      <c r="B87" s="4" t="s">
        <v>738</v>
      </c>
      <c r="C87" s="4" t="str">
        <f>IF('Service Types'!B570="","",'Service Types'!B570)</f>
        <v>OS - Water Services</v>
      </c>
      <c r="D87" s="5">
        <f>IF('Service Types'!D570="","",'Service Types'!D570)</f>
        <v>406</v>
      </c>
      <c r="E87" s="5">
        <f>IF('Service Types'!E570="","",'Service Types'!E570)</f>
        <v>242</v>
      </c>
      <c r="F87" s="5">
        <f>IF('Service Types'!F570="","",'Service Types'!F570)</f>
        <v>3</v>
      </c>
      <c r="G87" s="5">
        <f>IF('Service Types'!G570="","",'Service Types'!G570)</f>
        <v>1</v>
      </c>
      <c r="H87" s="5">
        <f>IF('Service Types'!H570="","",'Service Types'!H570)</f>
        <v>403</v>
      </c>
      <c r="I87" s="6">
        <f>IF('Service Types'!I570="","",'Service Types'!I570)</f>
        <v>1</v>
      </c>
      <c r="J87" s="6">
        <f>IF('Service Types'!J570="","",'Service Types'!J570)</f>
        <v>4.5</v>
      </c>
      <c r="K87" s="6">
        <f>IF('Service Types'!K570="","",'Service Types'!K570)</f>
        <v>10</v>
      </c>
      <c r="L87" s="4" t="str">
        <f>IF('Service Types'!R570="","",'Service Types'!R570)</f>
        <v>Water &amp; sewer</v>
      </c>
      <c r="M87" s="4" t="str">
        <f>IF('Service Types'!S570="","",'Service Types'!S570)</f>
        <v>Borderline</v>
      </c>
      <c r="N87" s="4" t="str">
        <f>IF('Service Types'!T570="","",'Service Types'!T570)</f>
        <v>A crew picks up equipment, but it is logistics, not a repair.</v>
      </c>
    </row>
    <row r="88" spans="1:14" x14ac:dyDescent="0.45">
      <c r="A88" s="14">
        <v>87</v>
      </c>
      <c r="B88" s="4" t="s">
        <v>624</v>
      </c>
      <c r="C88" s="4" t="str">
        <f>IF('Service Types'!B483="","",'Service Types'!B483)</f>
        <v>OS - Parks and Open Spaces</v>
      </c>
      <c r="D88" s="5">
        <f>IF('Service Types'!D483="","",'Service Types'!D483)</f>
        <v>385</v>
      </c>
      <c r="E88" s="5">
        <f>IF('Service Types'!E483="","",'Service Types'!E483)</f>
        <v>125</v>
      </c>
      <c r="F88" s="5">
        <f>IF('Service Types'!F483="","",'Service Types'!F483)</f>
        <v>2</v>
      </c>
      <c r="G88" s="5">
        <f>IF('Service Types'!G483="","",'Service Types'!G483)</f>
        <v>1</v>
      </c>
      <c r="H88" s="5">
        <f>IF('Service Types'!H483="","",'Service Types'!H483)</f>
        <v>383</v>
      </c>
      <c r="I88" s="6">
        <f>IF('Service Types'!I483="","",'Service Types'!I483)</f>
        <v>1</v>
      </c>
      <c r="J88" s="6">
        <f>IF('Service Types'!J483="","",'Service Types'!J483)</f>
        <v>4.8</v>
      </c>
      <c r="K88" s="6">
        <f>IF('Service Types'!K483="","",'Service Types'!K483)</f>
        <v>13</v>
      </c>
      <c r="L88" s="4" t="str">
        <f>IF('Service Types'!R483="","",'Service Types'!R483)</f>
        <v>Parks &amp; trees</v>
      </c>
      <c r="M88" s="4" t="str">
        <f>IF('Service Types'!S483="","",'Service Types'!S483)</f>
        <v>Borderline</v>
      </c>
      <c r="N88" s="4" t="str">
        <f>IF('Service Types'!T483="","",'Service Types'!T483)</f>
        <v>Pest treatment is done by Parks crews, but many tickets are reports/advice only.</v>
      </c>
    </row>
    <row r="89" spans="1:14" x14ac:dyDescent="0.45">
      <c r="A89" s="14">
        <v>88</v>
      </c>
      <c r="B89" s="4" t="s">
        <v>625</v>
      </c>
      <c r="C89" s="4" t="str">
        <f>IF('Service Types'!B484="","",'Service Types'!B484)</f>
        <v>OS - Parks and Open Spaces</v>
      </c>
      <c r="D89" s="5">
        <f>IF('Service Types'!D484="","",'Service Types'!D484)</f>
        <v>375</v>
      </c>
      <c r="E89" s="5">
        <f>IF('Service Types'!E484="","",'Service Types'!E484)</f>
        <v>0</v>
      </c>
      <c r="F89" s="5">
        <f>IF('Service Types'!F484="","",'Service Types'!F484)</f>
        <v>0</v>
      </c>
      <c r="G89" s="5">
        <f>IF('Service Types'!G484="","",'Service Types'!G484)</f>
        <v>0</v>
      </c>
      <c r="H89" s="5">
        <f>IF('Service Types'!H484="","",'Service Types'!H484)</f>
        <v>375</v>
      </c>
      <c r="I89" s="6">
        <f>IF('Service Types'!I484="","",'Service Types'!I484)</f>
        <v>3</v>
      </c>
      <c r="J89" s="6">
        <f>IF('Service Types'!J484="","",'Service Types'!J484)</f>
        <v>4.5999999999999996</v>
      </c>
      <c r="K89" s="6">
        <f>IF('Service Types'!K484="","",'Service Types'!K484)</f>
        <v>7</v>
      </c>
      <c r="L89" s="4" t="str">
        <f>IF('Service Types'!R484="","",'Service Types'!R484)</f>
        <v>Signs, signals &amp; lights</v>
      </c>
      <c r="M89" s="4" t="str">
        <f>IF('Service Types'!S484="","",'Service Types'!S484)</f>
        <v>Clear</v>
      </c>
      <c r="N89" s="4" t="str">
        <f>IF('Service Types'!T484="","",'Service Types'!T484)</f>
        <v>Field repair or replacement of signs, markings, signals or lights.</v>
      </c>
    </row>
    <row r="90" spans="1:14" x14ac:dyDescent="0.45">
      <c r="A90" s="14">
        <v>89</v>
      </c>
      <c r="B90" s="4" t="s">
        <v>626</v>
      </c>
      <c r="C90" s="4" t="str">
        <f>IF('Service Types'!B485="","",'Service Types'!B485)</f>
        <v>OS - Parks and Open Spaces</v>
      </c>
      <c r="D90" s="5">
        <f>IF('Service Types'!D485="","",'Service Types'!D485)</f>
        <v>348</v>
      </c>
      <c r="E90" s="5">
        <f>IF('Service Types'!E485="","",'Service Types'!E485)</f>
        <v>0</v>
      </c>
      <c r="F90" s="5">
        <f>IF('Service Types'!F485="","",'Service Types'!F485)</f>
        <v>0</v>
      </c>
      <c r="G90" s="5">
        <f>IF('Service Types'!G485="","",'Service Types'!G485)</f>
        <v>0</v>
      </c>
      <c r="H90" s="5">
        <f>IF('Service Types'!H485="","",'Service Types'!H485)</f>
        <v>348</v>
      </c>
      <c r="I90" s="6">
        <f>IF('Service Types'!I485="","",'Service Types'!I485)</f>
        <v>1</v>
      </c>
      <c r="J90" s="6">
        <f>IF('Service Types'!J485="","",'Service Types'!J485)</f>
        <v>3.3</v>
      </c>
      <c r="K90" s="6">
        <f>IF('Service Types'!K485="","",'Service Types'!K485)</f>
        <v>4</v>
      </c>
      <c r="L90" s="4" t="str">
        <f>IF('Service Types'!R485="","",'Service Types'!R485)</f>
        <v>Parks &amp; trees</v>
      </c>
      <c r="M90" s="4" t="str">
        <f>IF('Service Types'!S485="","",'Service Types'!S485)</f>
        <v>Clear</v>
      </c>
      <c r="N90" s="4" t="str">
        <f>IF('Service Types'!T485="","",'Service Types'!T485)</f>
        <v>Parks crew does hands-on work: trees, mowing, park repairs or upkeep.</v>
      </c>
    </row>
    <row r="91" spans="1:14" x14ac:dyDescent="0.45">
      <c r="A91" s="14">
        <v>90</v>
      </c>
      <c r="B91" s="4" t="s">
        <v>672</v>
      </c>
      <c r="C91" s="4" t="str">
        <f>IF('Service Types'!B521="","",'Service Types'!B521)</f>
        <v>OS - Waste and Recycling Services</v>
      </c>
      <c r="D91" s="5">
        <f>IF('Service Types'!D521="","",'Service Types'!D521)</f>
        <v>342</v>
      </c>
      <c r="E91" s="5">
        <f>IF('Service Types'!E521="","",'Service Types'!E521)</f>
        <v>64</v>
      </c>
      <c r="F91" s="5">
        <f>IF('Service Types'!F521="","",'Service Types'!F521)</f>
        <v>0</v>
      </c>
      <c r="G91" s="5">
        <f>IF('Service Types'!G521="","",'Service Types'!G521)</f>
        <v>0</v>
      </c>
      <c r="H91" s="5">
        <f>IF('Service Types'!H521="","",'Service Types'!H521)</f>
        <v>342</v>
      </c>
      <c r="I91" s="6">
        <f>IF('Service Types'!I521="","",'Service Types'!I521)</f>
        <v>1</v>
      </c>
      <c r="J91" s="6">
        <f>IF('Service Types'!J521="","",'Service Types'!J521)</f>
        <v>1.2</v>
      </c>
      <c r="K91" s="6">
        <f>IF('Service Types'!K521="","",'Service Types'!K521)</f>
        <v>2</v>
      </c>
      <c r="L91" s="4" t="str">
        <f>IF('Service Types'!R521="","",'Service Types'!R521)</f>
        <v>Waste collection</v>
      </c>
      <c r="M91" s="4" t="str">
        <f>IF('Service Types'!S521="","",'Service Types'!S521)</f>
        <v>Borderline</v>
      </c>
      <c r="N91" s="4" t="str">
        <f>IF('Service Types'!T521="","",'Service Types'!T521)</f>
        <v>Servicing overflowing depot bins is crew work; some tickets are depot questions.</v>
      </c>
    </row>
    <row r="92" spans="1:14" x14ac:dyDescent="0.45">
      <c r="A92" s="14">
        <v>91</v>
      </c>
      <c r="B92" s="4" t="s">
        <v>545</v>
      </c>
      <c r="C92" s="4" t="str">
        <f>IF('Service Types'!B413="","",'Service Types'!B413)</f>
        <v>OS - Mobility</v>
      </c>
      <c r="D92" s="5">
        <f>IF('Service Types'!D413="","",'Service Types'!D413)</f>
        <v>319</v>
      </c>
      <c r="E92" s="5">
        <f>IF('Service Types'!E413="","",'Service Types'!E413)</f>
        <v>110</v>
      </c>
      <c r="F92" s="5">
        <f>IF('Service Types'!F413="","",'Service Types'!F413)</f>
        <v>33</v>
      </c>
      <c r="G92" s="5">
        <f>IF('Service Types'!G413="","",'Service Types'!G413)</f>
        <v>29</v>
      </c>
      <c r="H92" s="5">
        <f>IF('Service Types'!H413="","",'Service Types'!H413)</f>
        <v>283</v>
      </c>
      <c r="I92" s="6">
        <f>IF('Service Types'!I413="","",'Service Types'!I413)</f>
        <v>2</v>
      </c>
      <c r="J92" s="6">
        <f>IF('Service Types'!J413="","",'Service Types'!J413)</f>
        <v>8.6</v>
      </c>
      <c r="K92" s="6">
        <f>IF('Service Types'!K413="","",'Service Types'!K413)</f>
        <v>13</v>
      </c>
      <c r="L92" s="4" t="str">
        <f>IF('Service Types'!R413="","",'Service Types'!R413)</f>
        <v>Road &amp; structure repair</v>
      </c>
      <c r="M92" s="4" t="str">
        <f>IF('Service Types'!S413="","",'Service Types'!S413)</f>
        <v>Clear</v>
      </c>
      <c r="N92" s="4" t="str">
        <f>IF('Service Types'!T413="","",'Service Types'!T413)</f>
        <v>A crew physically repairs a road, sidewalk, lane, pathway or structure.</v>
      </c>
    </row>
    <row r="93" spans="1:14" x14ac:dyDescent="0.45">
      <c r="A93" s="14">
        <v>92</v>
      </c>
      <c r="B93" s="4" t="s">
        <v>677</v>
      </c>
      <c r="C93" s="4" t="str">
        <f>IF('Service Types'!B525="","",'Service Types'!B525)</f>
        <v>OS - Waste and Recycling Services</v>
      </c>
      <c r="D93" s="5">
        <f>IF('Service Types'!D525="","",'Service Types'!D525)</f>
        <v>210</v>
      </c>
      <c r="E93" s="5">
        <f>IF('Service Types'!E525="","",'Service Types'!E525)</f>
        <v>34</v>
      </c>
      <c r="F93" s="5">
        <f>IF('Service Types'!F525="","",'Service Types'!F525)</f>
        <v>0</v>
      </c>
      <c r="G93" s="5">
        <f>IF('Service Types'!G525="","",'Service Types'!G525)</f>
        <v>0</v>
      </c>
      <c r="H93" s="5">
        <f>IF('Service Types'!H525="","",'Service Types'!H525)</f>
        <v>210</v>
      </c>
      <c r="I93" s="6">
        <f>IF('Service Types'!I525="","",'Service Types'!I525)</f>
        <v>1</v>
      </c>
      <c r="J93" s="6">
        <f>IF('Service Types'!J525="","",'Service Types'!J525)</f>
        <v>4.5999999999999996</v>
      </c>
      <c r="K93" s="6">
        <f>IF('Service Types'!K525="","",'Service Types'!K525)</f>
        <v>11</v>
      </c>
      <c r="L93" s="4" t="str">
        <f>IF('Service Types'!R525="","",'Service Types'!R525)</f>
        <v>Waste collection</v>
      </c>
      <c r="M93" s="4" t="str">
        <f>IF('Service Types'!S525="","",'Service Types'!S525)</f>
        <v>Clear</v>
      </c>
      <c r="N93" s="4" t="str">
        <f>IF('Service Types'!T525="","",'Service Types'!T525)</f>
        <v>Collection crew work: missed pickups, carts, special or commercial collection.</v>
      </c>
    </row>
    <row r="94" spans="1:14" x14ac:dyDescent="0.45">
      <c r="A94" s="14">
        <v>93</v>
      </c>
      <c r="B94" s="4" t="s">
        <v>550</v>
      </c>
      <c r="C94" s="4" t="str">
        <f>IF('Service Types'!B418="","",'Service Types'!B418)</f>
        <v>OS - Mobility</v>
      </c>
      <c r="D94" s="5">
        <f>IF('Service Types'!D418="","",'Service Types'!D418)</f>
        <v>166</v>
      </c>
      <c r="E94" s="5">
        <f>IF('Service Types'!E418="","",'Service Types'!E418)</f>
        <v>0</v>
      </c>
      <c r="F94" s="5">
        <f>IF('Service Types'!F418="","",'Service Types'!F418)</f>
        <v>0</v>
      </c>
      <c r="G94" s="5">
        <f>IF('Service Types'!G418="","",'Service Types'!G418)</f>
        <v>0</v>
      </c>
      <c r="H94" s="5">
        <f>IF('Service Types'!H418="","",'Service Types'!H418)</f>
        <v>166</v>
      </c>
      <c r="I94" s="6">
        <f>IF('Service Types'!I418="","",'Service Types'!I418)</f>
        <v>3</v>
      </c>
      <c r="J94" s="6">
        <f>IF('Service Types'!J418="","",'Service Types'!J418)</f>
        <v>5.8</v>
      </c>
      <c r="K94" s="6">
        <f>IF('Service Types'!K418="","",'Service Types'!K418)</f>
        <v>10</v>
      </c>
      <c r="L94" s="4" t="str">
        <f>IF('Service Types'!R418="","",'Service Types'!R418)</f>
        <v>Facilities</v>
      </c>
      <c r="M94" s="4" t="str">
        <f>IF('Service Types'!S418="","",'Service Types'!S418)</f>
        <v>Borderline</v>
      </c>
      <c r="N94" s="4" t="str">
        <f>IF('Service Types'!T418="","",'Service Types'!T418)</f>
        <v>Skywalk maintenance is crew work; some tickets are building-owner issues.</v>
      </c>
    </row>
    <row r="95" spans="1:14" x14ac:dyDescent="0.45">
      <c r="A95" s="14">
        <v>94</v>
      </c>
      <c r="B95" s="4" t="s">
        <v>634</v>
      </c>
      <c r="C95" s="4" t="str">
        <f>IF('Service Types'!B492="","",'Service Types'!B492)</f>
        <v>OS - Parks and Open Spaces</v>
      </c>
      <c r="D95" s="5">
        <f>IF('Service Types'!D492="","",'Service Types'!D492)</f>
        <v>144</v>
      </c>
      <c r="E95" s="5">
        <f>IF('Service Types'!E492="","",'Service Types'!E492)</f>
        <v>144</v>
      </c>
      <c r="F95" s="5">
        <f>IF('Service Types'!F492="","",'Service Types'!F492)</f>
        <v>13</v>
      </c>
      <c r="G95" s="5">
        <f>IF('Service Types'!G492="","",'Service Types'!G492)</f>
        <v>0</v>
      </c>
      <c r="H95" s="5">
        <f>IF('Service Types'!H492="","",'Service Types'!H492)</f>
        <v>131</v>
      </c>
      <c r="I95" s="6">
        <f>IF('Service Types'!I492="","",'Service Types'!I492)</f>
        <v>4</v>
      </c>
      <c r="J95" s="6">
        <f>IF('Service Types'!J492="","",'Service Types'!J492)</f>
        <v>4.5999999999999996</v>
      </c>
      <c r="K95" s="6">
        <f>IF('Service Types'!K492="","",'Service Types'!K492)</f>
        <v>11</v>
      </c>
      <c r="L95" s="4" t="str">
        <f>IF('Service Types'!R492="","",'Service Types'!R492)</f>
        <v>Cleaning &amp; removal</v>
      </c>
      <c r="M95" s="4" t="str">
        <f>IF('Service Types'!S492="","",'Service Types'!S492)</f>
        <v>Clear</v>
      </c>
      <c r="N95" s="4" t="str">
        <f>IF('Service Types'!T492="","",'Service Types'!T492)</f>
        <v>A crew physically cleans up or removes something from public property.</v>
      </c>
    </row>
    <row r="96" spans="1:14" x14ac:dyDescent="0.45">
      <c r="A96" s="14">
        <v>95</v>
      </c>
      <c r="B96" s="4" t="s">
        <v>376</v>
      </c>
      <c r="C96" s="4" t="str">
        <f>IF('Service Types'!B283="","",'Service Types'!B283)</f>
        <v>IS - Capital Planning and Business Services</v>
      </c>
      <c r="D96" s="5">
        <f>IF('Service Types'!D283="","",'Service Types'!D283)</f>
        <v>131</v>
      </c>
      <c r="E96" s="5">
        <f>IF('Service Types'!E283="","",'Service Types'!E283)</f>
        <v>55</v>
      </c>
      <c r="F96" s="5">
        <f>IF('Service Types'!F283="","",'Service Types'!F283)</f>
        <v>0</v>
      </c>
      <c r="G96" s="5">
        <f>IF('Service Types'!G283="","",'Service Types'!G283)</f>
        <v>0</v>
      </c>
      <c r="H96" s="5">
        <f>IF('Service Types'!H283="","",'Service Types'!H283)</f>
        <v>131</v>
      </c>
      <c r="I96" s="6">
        <f>IF('Service Types'!I283="","",'Service Types'!I283)</f>
        <v>3</v>
      </c>
      <c r="J96" s="6">
        <f>IF('Service Types'!J283="","",'Service Types'!J283)</f>
        <v>6.4</v>
      </c>
      <c r="K96" s="6">
        <f>IF('Service Types'!K283="","",'Service Types'!K283)</f>
        <v>7</v>
      </c>
      <c r="L96" s="4" t="str">
        <f>IF('Service Types'!R283="","",'Service Types'!R283)</f>
        <v>Facilities</v>
      </c>
      <c r="M96" s="4" t="str">
        <f>IF('Service Types'!S283="","",'Service Types'!S283)</f>
        <v>Borderline</v>
      </c>
      <c r="N96" s="4" t="str">
        <f>IF('Service Types'!T283="","",'Service Types'!T283)</f>
        <v>Skywalk maintenance is crew work; some tickets are building-owner issues.</v>
      </c>
    </row>
    <row r="97" spans="1:14" x14ac:dyDescent="0.45">
      <c r="A97" s="14">
        <v>96</v>
      </c>
      <c r="B97" s="4" t="s">
        <v>637</v>
      </c>
      <c r="C97" s="4" t="str">
        <f>IF('Service Types'!B494="","",'Service Types'!B494)</f>
        <v>OS - Parks and Open Spaces</v>
      </c>
      <c r="D97" s="5">
        <f>IF('Service Types'!D494="","",'Service Types'!D494)</f>
        <v>112</v>
      </c>
      <c r="E97" s="5">
        <f>IF('Service Types'!E494="","",'Service Types'!E494)</f>
        <v>0</v>
      </c>
      <c r="F97" s="5">
        <f>IF('Service Types'!F494="","",'Service Types'!F494)</f>
        <v>0</v>
      </c>
      <c r="G97" s="5">
        <f>IF('Service Types'!G494="","",'Service Types'!G494)</f>
        <v>0</v>
      </c>
      <c r="H97" s="5">
        <f>IF('Service Types'!H494="","",'Service Types'!H494)</f>
        <v>112</v>
      </c>
      <c r="I97" s="6">
        <f>IF('Service Types'!I494="","",'Service Types'!I494)</f>
        <v>4</v>
      </c>
      <c r="J97" s="6">
        <f>IF('Service Types'!J494="","",'Service Types'!J494)</f>
        <v>5.7</v>
      </c>
      <c r="K97" s="6">
        <f>IF('Service Types'!K494="","",'Service Types'!K494)</f>
        <v>11</v>
      </c>
      <c r="L97" s="4" t="str">
        <f>IF('Service Types'!R494="","",'Service Types'!R494)</f>
        <v>Parks &amp; trees</v>
      </c>
      <c r="M97" s="4" t="str">
        <f>IF('Service Types'!S494="","",'Service Types'!S494)</f>
        <v>Clear</v>
      </c>
      <c r="N97" s="4" t="str">
        <f>IF('Service Types'!T494="","",'Service Types'!T494)</f>
        <v>Parks crew does hands-on work: trees, mowing, park repairs or upkeep.</v>
      </c>
    </row>
    <row r="98" spans="1:14" x14ac:dyDescent="0.45">
      <c r="A98" s="14">
        <v>97</v>
      </c>
      <c r="B98" s="4" t="s">
        <v>932</v>
      </c>
      <c r="C98" s="4" t="str">
        <f>IF('Service Types'!B735="","",'Service Types'!B735)</f>
        <v>(blank)</v>
      </c>
      <c r="D98" s="5">
        <f>IF('Service Types'!D735="","",'Service Types'!D735)</f>
        <v>101</v>
      </c>
      <c r="E98" s="5">
        <f>IF('Service Types'!E735="","",'Service Types'!E735)</f>
        <v>0</v>
      </c>
      <c r="F98" s="5">
        <f>IF('Service Types'!F735="","",'Service Types'!F735)</f>
        <v>0</v>
      </c>
      <c r="G98" s="5">
        <f>IF('Service Types'!G735="","",'Service Types'!G735)</f>
        <v>0</v>
      </c>
      <c r="H98" s="5">
        <f>IF('Service Types'!H735="","",'Service Types'!H735)</f>
        <v>101</v>
      </c>
      <c r="I98" s="6">
        <f>IF('Service Types'!I735="","",'Service Types'!I735)</f>
        <v>12</v>
      </c>
      <c r="J98" s="6">
        <f>IF('Service Types'!J735="","",'Service Types'!J735)</f>
        <v>83.2</v>
      </c>
      <c r="K98" s="6">
        <f>IF('Service Types'!K735="","",'Service Types'!K735)</f>
        <v>257</v>
      </c>
      <c r="L98" s="4" t="str">
        <f>IF('Service Types'!R735="","",'Service Types'!R735)</f>
        <v>Road &amp; structure repair</v>
      </c>
      <c r="M98" s="4" t="str">
        <f>IF('Service Types'!S735="","",'Service Types'!S735)</f>
        <v>Borderline</v>
      </c>
      <c r="N98" s="4" t="str">
        <f>IF('Service Types'!T735="","",'Service Types'!T735)</f>
        <v>Same service as Roads - Bridge - Tunnel - Underpass Concern (older label); engineers often assess first.</v>
      </c>
    </row>
    <row r="99" spans="1:14" x14ac:dyDescent="0.45">
      <c r="A99" s="14">
        <v>98</v>
      </c>
      <c r="B99" s="4" t="s">
        <v>559</v>
      </c>
      <c r="C99" s="4" t="str">
        <f>IF('Service Types'!B427="","",'Service Types'!B427)</f>
        <v>OS - Mobility</v>
      </c>
      <c r="D99" s="5">
        <f>IF('Service Types'!D427="","",'Service Types'!D427)</f>
        <v>95</v>
      </c>
      <c r="E99" s="5">
        <f>IF('Service Types'!E427="","",'Service Types'!E427)</f>
        <v>0</v>
      </c>
      <c r="F99" s="5">
        <f>IF('Service Types'!F427="","",'Service Types'!F427)</f>
        <v>0</v>
      </c>
      <c r="G99" s="5">
        <f>IF('Service Types'!G427="","",'Service Types'!G427)</f>
        <v>0</v>
      </c>
      <c r="H99" s="5">
        <f>IF('Service Types'!H427="","",'Service Types'!H427)</f>
        <v>95</v>
      </c>
      <c r="I99" s="6">
        <f>IF('Service Types'!I427="","",'Service Types'!I427)</f>
        <v>1</v>
      </c>
      <c r="J99" s="6">
        <f>IF('Service Types'!J427="","",'Service Types'!J427)</f>
        <v>13.6</v>
      </c>
      <c r="K99" s="6">
        <f>IF('Service Types'!K427="","",'Service Types'!K427)</f>
        <v>32</v>
      </c>
      <c r="L99" s="4" t="str">
        <f>IF('Service Types'!R427="","",'Service Types'!R427)</f>
        <v>Road &amp; structure repair</v>
      </c>
      <c r="M99" s="4" t="str">
        <f>IF('Service Types'!S427="","",'Service Types'!S427)</f>
        <v>Clear</v>
      </c>
      <c r="N99" s="4" t="str">
        <f>IF('Service Types'!T427="","",'Service Types'!T427)</f>
        <v>A crew physically repairs a road, sidewalk, lane, pathway or structure.</v>
      </c>
    </row>
    <row r="100" spans="1:14" x14ac:dyDescent="0.45">
      <c r="A100" s="14">
        <v>99</v>
      </c>
      <c r="B100" s="4" t="s">
        <v>378</v>
      </c>
      <c r="C100" s="4" t="str">
        <f>IF('Service Types'!B284="","",'Service Types'!B284)</f>
        <v>IS - Capital Planning and Business Services</v>
      </c>
      <c r="D100" s="5">
        <f>IF('Service Types'!D284="","",'Service Types'!D284)</f>
        <v>89</v>
      </c>
      <c r="E100" s="5">
        <f>IF('Service Types'!E284="","",'Service Types'!E284)</f>
        <v>33</v>
      </c>
      <c r="F100" s="5">
        <f>IF('Service Types'!F284="","",'Service Types'!F284)</f>
        <v>0</v>
      </c>
      <c r="G100" s="5">
        <f>IF('Service Types'!G284="","",'Service Types'!G284)</f>
        <v>0</v>
      </c>
      <c r="H100" s="5">
        <f>IF('Service Types'!H284="","",'Service Types'!H284)</f>
        <v>89</v>
      </c>
      <c r="I100" s="6">
        <f>IF('Service Types'!I284="","",'Service Types'!I284)</f>
        <v>1</v>
      </c>
      <c r="J100" s="6">
        <f>IF('Service Types'!J284="","",'Service Types'!J284)</f>
        <v>24.4</v>
      </c>
      <c r="K100" s="6">
        <f>IF('Service Types'!K284="","",'Service Types'!K284)</f>
        <v>11</v>
      </c>
      <c r="L100" s="4" t="str">
        <f>IF('Service Types'!R284="","",'Service Types'!R284)</f>
        <v>Road &amp; structure repair</v>
      </c>
      <c r="M100" s="4" t="str">
        <f>IF('Service Types'!S284="","",'Service Types'!S284)</f>
        <v>Clear</v>
      </c>
      <c r="N100" s="4" t="str">
        <f>IF('Service Types'!T284="","",'Service Types'!T284)</f>
        <v>A crew physically repairs a road, sidewalk, lane, pathway or structure.</v>
      </c>
    </row>
    <row r="101" spans="1:14" x14ac:dyDescent="0.45">
      <c r="A101" s="14">
        <v>100</v>
      </c>
      <c r="B101" s="4" t="s">
        <v>640</v>
      </c>
      <c r="C101" s="4" t="str">
        <f>IF('Service Types'!B497="","",'Service Types'!B497)</f>
        <v>OS - Parks and Open Spaces</v>
      </c>
      <c r="D101" s="5">
        <f>IF('Service Types'!D497="","",'Service Types'!D497)</f>
        <v>77</v>
      </c>
      <c r="E101" s="5">
        <f>IF('Service Types'!E497="","",'Service Types'!E497)</f>
        <v>25</v>
      </c>
      <c r="F101" s="5">
        <f>IF('Service Types'!F497="","",'Service Types'!F497)</f>
        <v>1</v>
      </c>
      <c r="G101" s="5">
        <f>IF('Service Types'!G497="","",'Service Types'!G497)</f>
        <v>0</v>
      </c>
      <c r="H101" s="5">
        <f>IF('Service Types'!H497="","",'Service Types'!H497)</f>
        <v>76</v>
      </c>
      <c r="I101" s="6">
        <f>IF('Service Types'!I497="","",'Service Types'!I497)</f>
        <v>8</v>
      </c>
      <c r="J101" s="6">
        <f>IF('Service Types'!J497="","",'Service Types'!J497)</f>
        <v>11.5</v>
      </c>
      <c r="K101" s="6">
        <f>IF('Service Types'!K497="","",'Service Types'!K497)</f>
        <v>24</v>
      </c>
      <c r="L101" s="4" t="str">
        <f>IF('Service Types'!R497="","",'Service Types'!R497)</f>
        <v>Parks &amp; trees</v>
      </c>
      <c r="M101" s="4" t="str">
        <f>IF('Service Types'!S497="","",'Service Types'!S497)</f>
        <v>Clear</v>
      </c>
      <c r="N101" s="4" t="str">
        <f>IF('Service Types'!T497="","",'Service Types'!T497)</f>
        <v>Parks crew does hands-on work: trees, mowing, park repairs or upkeep.</v>
      </c>
    </row>
    <row r="102" spans="1:14" x14ac:dyDescent="0.45">
      <c r="A102" s="14">
        <v>101</v>
      </c>
      <c r="B102" s="4" t="s">
        <v>642</v>
      </c>
      <c r="C102" s="4" t="str">
        <f>IF('Service Types'!B499="","",'Service Types'!B499)</f>
        <v>OS - Parks and Open Spaces</v>
      </c>
      <c r="D102" s="5">
        <f>IF('Service Types'!D499="","",'Service Types'!D499)</f>
        <v>50</v>
      </c>
      <c r="E102" s="5">
        <f>IF('Service Types'!E499="","",'Service Types'!E499)</f>
        <v>0</v>
      </c>
      <c r="F102" s="5">
        <f>IF('Service Types'!F499="","",'Service Types'!F499)</f>
        <v>0</v>
      </c>
      <c r="G102" s="5">
        <f>IF('Service Types'!G499="","",'Service Types'!G499)</f>
        <v>0</v>
      </c>
      <c r="H102" s="5">
        <f>IF('Service Types'!H499="","",'Service Types'!H499)</f>
        <v>50</v>
      </c>
      <c r="I102" s="6">
        <f>IF('Service Types'!I499="","",'Service Types'!I499)</f>
        <v>4</v>
      </c>
      <c r="J102" s="6">
        <f>IF('Service Types'!J499="","",'Service Types'!J499)</f>
        <v>25.1</v>
      </c>
      <c r="K102" s="6">
        <f>IF('Service Types'!K499="","",'Service Types'!K499)</f>
        <v>19</v>
      </c>
      <c r="L102" s="4" t="str">
        <f>IF('Service Types'!R499="","",'Service Types'!R499)</f>
        <v>Parks &amp; trees</v>
      </c>
      <c r="M102" s="4" t="str">
        <f>IF('Service Types'!S499="","",'Service Types'!S499)</f>
        <v>Clear</v>
      </c>
      <c r="N102" s="4" t="str">
        <f>IF('Service Types'!T499="","",'Service Types'!T499)</f>
        <v>Parks crew does hands-on work: trees, mowing, park repairs or upkeep.</v>
      </c>
    </row>
    <row r="103" spans="1:14" x14ac:dyDescent="0.45">
      <c r="A103" s="14">
        <v>102</v>
      </c>
      <c r="B103" s="4" t="s">
        <v>344</v>
      </c>
      <c r="C103" s="4" t="str">
        <f>IF('Service Types'!B260="","",'Service Types'!B260)</f>
        <v>CS - Recreation and Social Programs</v>
      </c>
      <c r="D103" s="5">
        <f>IF('Service Types'!D260="","",'Service Types'!D260)</f>
        <v>49</v>
      </c>
      <c r="E103" s="5">
        <f>IF('Service Types'!E260="","",'Service Types'!E260)</f>
        <v>18</v>
      </c>
      <c r="F103" s="5">
        <f>IF('Service Types'!F260="","",'Service Types'!F260)</f>
        <v>0</v>
      </c>
      <c r="G103" s="5">
        <f>IF('Service Types'!G260="","",'Service Types'!G260)</f>
        <v>0</v>
      </c>
      <c r="H103" s="5">
        <f>IF('Service Types'!H260="","",'Service Types'!H260)</f>
        <v>49</v>
      </c>
      <c r="I103" s="6">
        <f>IF('Service Types'!I260="","",'Service Types'!I260)</f>
        <v>6</v>
      </c>
      <c r="J103" s="6">
        <f>IF('Service Types'!J260="","",'Service Types'!J260)</f>
        <v>19.899999999999999</v>
      </c>
      <c r="K103" s="6">
        <f>IF('Service Types'!K260="","",'Service Types'!K260)</f>
        <v>57</v>
      </c>
      <c r="L103" s="4" t="str">
        <f>IF('Service Types'!R260="","",'Service Types'!R260)</f>
        <v>Facilities</v>
      </c>
      <c r="M103" s="4" t="str">
        <f>IF('Service Types'!S260="","",'Service Types'!S260)</f>
        <v>Borderline</v>
      </c>
      <c r="N103" s="4" t="str">
        <f>IF('Service Types'!T260="","",'Service Types'!T260)</f>
        <v>A repair job, but at a recreation facility rather than public infrastructure.</v>
      </c>
    </row>
    <row r="104" spans="1:14" x14ac:dyDescent="0.45">
      <c r="A104" s="14">
        <v>103</v>
      </c>
      <c r="B104" s="4" t="s">
        <v>679</v>
      </c>
      <c r="C104" s="4" t="str">
        <f>IF('Service Types'!B527="","",'Service Types'!B527)</f>
        <v>OS - Waste and Recycling Services</v>
      </c>
      <c r="D104" s="5">
        <f>IF('Service Types'!D527="","",'Service Types'!D527)</f>
        <v>45</v>
      </c>
      <c r="E104" s="5">
        <f>IF('Service Types'!E527="","",'Service Types'!E527)</f>
        <v>16</v>
      </c>
      <c r="F104" s="5">
        <f>IF('Service Types'!F527="","",'Service Types'!F527)</f>
        <v>0</v>
      </c>
      <c r="G104" s="5">
        <f>IF('Service Types'!G527="","",'Service Types'!G527)</f>
        <v>0</v>
      </c>
      <c r="H104" s="5">
        <f>IF('Service Types'!H527="","",'Service Types'!H527)</f>
        <v>45</v>
      </c>
      <c r="I104" s="6">
        <f>IF('Service Types'!I527="","",'Service Types'!I527)</f>
        <v>2</v>
      </c>
      <c r="J104" s="6">
        <f>IF('Service Types'!J527="","",'Service Types'!J527)</f>
        <v>3.6</v>
      </c>
      <c r="K104" s="6">
        <f>IF('Service Types'!K527="","",'Service Types'!K527)</f>
        <v>10</v>
      </c>
      <c r="L104" s="4" t="str">
        <f>IF('Service Types'!R527="","",'Service Types'!R527)</f>
        <v>Waste collection</v>
      </c>
      <c r="M104" s="4" t="str">
        <f>IF('Service Types'!S527="","",'Service Types'!S527)</f>
        <v>Borderline</v>
      </c>
      <c r="N104" s="4" t="str">
        <f>IF('Service Types'!T527="","",'Service Types'!T527)</f>
        <v>Servicing community recycling bins is crew work; some tickets are questions.</v>
      </c>
    </row>
    <row r="105" spans="1:14" x14ac:dyDescent="0.45">
      <c r="A105" s="14">
        <v>104</v>
      </c>
      <c r="B105" s="4" t="s">
        <v>936</v>
      </c>
      <c r="C105" s="4" t="str">
        <f>IF('Service Types'!B737="","",'Service Types'!B737)</f>
        <v>(blank)</v>
      </c>
      <c r="D105" s="5">
        <f>IF('Service Types'!D737="","",'Service Types'!D737)</f>
        <v>36</v>
      </c>
      <c r="E105" s="5">
        <f>IF('Service Types'!E737="","",'Service Types'!E737)</f>
        <v>0</v>
      </c>
      <c r="F105" s="5">
        <f>IF('Service Types'!F737="","",'Service Types'!F737)</f>
        <v>0</v>
      </c>
      <c r="G105" s="5">
        <f>IF('Service Types'!G737="","",'Service Types'!G737)</f>
        <v>0</v>
      </c>
      <c r="H105" s="5">
        <f>IF('Service Types'!H737="","",'Service Types'!H737)</f>
        <v>36</v>
      </c>
      <c r="I105" s="6">
        <f>IF('Service Types'!I737="","",'Service Types'!I737)</f>
        <v>2.5</v>
      </c>
      <c r="J105" s="6">
        <f>IF('Service Types'!J737="","",'Service Types'!J737)</f>
        <v>22</v>
      </c>
      <c r="K105" s="6">
        <f>IF('Service Types'!K737="","",'Service Types'!K737)</f>
        <v>29</v>
      </c>
      <c r="L105" s="4" t="str">
        <f>IF('Service Types'!R737="","",'Service Types'!R737)</f>
        <v>Facilities</v>
      </c>
      <c r="M105" s="4" t="str">
        <f>IF('Service Types'!S737="","",'Service Types'!S737)</f>
        <v>Borderline</v>
      </c>
      <c r="N105" s="4" t="str">
        <f>IF('Service Types'!T737="","",'Service Types'!T737)</f>
        <v>Skywalk maintenance is crew work; some tickets are building-owner issues.</v>
      </c>
    </row>
    <row r="106" spans="1:14" x14ac:dyDescent="0.45">
      <c r="A106" s="14">
        <v>105</v>
      </c>
      <c r="B106" s="4" t="s">
        <v>643</v>
      </c>
      <c r="C106" s="4" t="str">
        <f>IF('Service Types'!B500="","",'Service Types'!B500)</f>
        <v>OS - Parks and Open Spaces</v>
      </c>
      <c r="D106" s="5">
        <f>IF('Service Types'!D500="","",'Service Types'!D500)</f>
        <v>34</v>
      </c>
      <c r="E106" s="5">
        <f>IF('Service Types'!E500="","",'Service Types'!E500)</f>
        <v>0</v>
      </c>
      <c r="F106" s="5">
        <f>IF('Service Types'!F500="","",'Service Types'!F500)</f>
        <v>0</v>
      </c>
      <c r="G106" s="5">
        <f>IF('Service Types'!G500="","",'Service Types'!G500)</f>
        <v>0</v>
      </c>
      <c r="H106" s="5">
        <f>IF('Service Types'!H500="","",'Service Types'!H500)</f>
        <v>34</v>
      </c>
      <c r="I106" s="6">
        <f>IF('Service Types'!I500="","",'Service Types'!I500)</f>
        <v>3.5</v>
      </c>
      <c r="J106" s="6">
        <f>IF('Service Types'!J500="","",'Service Types'!J500)</f>
        <v>5.9</v>
      </c>
      <c r="K106" s="6">
        <f>IF('Service Types'!K500="","",'Service Types'!K500)</f>
        <v>11</v>
      </c>
      <c r="L106" s="4" t="str">
        <f>IF('Service Types'!R500="","",'Service Types'!R500)</f>
        <v>Parks &amp; trees</v>
      </c>
      <c r="M106" s="4" t="str">
        <f>IF('Service Types'!S500="","",'Service Types'!S500)</f>
        <v>Borderline</v>
      </c>
      <c r="N106" s="4" t="str">
        <f>IF('Service Types'!T500="","",'Service Types'!T500)</f>
        <v>Toilet servicing is field work, usually by the rental vendor.</v>
      </c>
    </row>
    <row r="107" spans="1:14" x14ac:dyDescent="0.45">
      <c r="A107" s="14">
        <v>106</v>
      </c>
      <c r="B107" s="4" t="s">
        <v>939</v>
      </c>
      <c r="C107" s="4" t="str">
        <f>IF('Service Types'!B740="","",'Service Types'!B740)</f>
        <v>(blank)</v>
      </c>
      <c r="D107" s="5">
        <f>IF('Service Types'!D740="","",'Service Types'!D740)</f>
        <v>11</v>
      </c>
      <c r="E107" s="5">
        <f>IF('Service Types'!E740="","",'Service Types'!E740)</f>
        <v>0</v>
      </c>
      <c r="F107" s="5">
        <f>IF('Service Types'!F740="","",'Service Types'!F740)</f>
        <v>0</v>
      </c>
      <c r="G107" s="5">
        <f>IF('Service Types'!G740="","",'Service Types'!G740)</f>
        <v>0</v>
      </c>
      <c r="H107" s="5">
        <f>IF('Service Types'!H740="","",'Service Types'!H740)</f>
        <v>11</v>
      </c>
      <c r="I107" s="6">
        <f>IF('Service Types'!I740="","",'Service Types'!I740)</f>
        <v>62</v>
      </c>
      <c r="J107" s="6">
        <f>IF('Service Types'!J740="","",'Service Types'!J740)</f>
        <v>58.3</v>
      </c>
      <c r="K107" s="6">
        <f>IF('Service Types'!K740="","",'Service Types'!K740)</f>
        <v>132</v>
      </c>
      <c r="L107" s="4" t="str">
        <f>IF('Service Types'!R740="","",'Service Types'!R740)</f>
        <v>Road &amp; structure repair</v>
      </c>
      <c r="M107" s="4" t="str">
        <f>IF('Service Types'!S740="","",'Service Types'!S740)</f>
        <v>Clear</v>
      </c>
      <c r="N107" s="4" t="str">
        <f>IF('Service Types'!T740="","",'Service Types'!T740)</f>
        <v>A crew physically repairs a road, sidewalk, lane, pathway or structure.</v>
      </c>
    </row>
    <row r="108" spans="1:14" x14ac:dyDescent="0.45">
      <c r="A108" s="14">
        <v>107</v>
      </c>
      <c r="B108" s="4" t="s">
        <v>645</v>
      </c>
      <c r="C108" s="4" t="str">
        <f>IF('Service Types'!B501="","",'Service Types'!B501)</f>
        <v>OS - Parks and Open Spaces</v>
      </c>
      <c r="D108" s="5">
        <f>IF('Service Types'!D501="","",'Service Types'!D501)</f>
        <v>6</v>
      </c>
      <c r="E108" s="5">
        <f>IF('Service Types'!E501="","",'Service Types'!E501)</f>
        <v>0</v>
      </c>
      <c r="F108" s="5">
        <f>IF('Service Types'!F501="","",'Service Types'!F501)</f>
        <v>1</v>
      </c>
      <c r="G108" s="5">
        <f>IF('Service Types'!G501="","",'Service Types'!G501)</f>
        <v>1</v>
      </c>
      <c r="H108" s="5">
        <f>IF('Service Types'!H501="","",'Service Types'!H501)</f>
        <v>5</v>
      </c>
      <c r="I108" s="6">
        <f>IF('Service Types'!I501="","",'Service Types'!I501)</f>
        <v>5</v>
      </c>
      <c r="J108" s="6">
        <f>IF('Service Types'!J501="","",'Service Types'!J501)</f>
        <v>9.1999999999999993</v>
      </c>
      <c r="K108" s="6">
        <f>IF('Service Types'!K501="","",'Service Types'!K501)</f>
        <v>22</v>
      </c>
      <c r="L108" s="4" t="str">
        <f>IF('Service Types'!R501="","",'Service Types'!R501)</f>
        <v>Parks &amp; trees</v>
      </c>
      <c r="M108" s="4" t="str">
        <f>IF('Service Types'!S501="","",'Service Types'!S501)</f>
        <v>Borderline</v>
      </c>
      <c r="N108" s="4" t="str">
        <f>IF('Service Types'!T501="","",'Service Types'!T501)</f>
        <v>Maintenance ticket, but very low volume and unclear scope.</v>
      </c>
    </row>
  </sheetData>
  <autoFilter ref="A1:N108" xr:uid="{00000000-0009-0000-0000-000003000000}"/>
  <conditionalFormatting sqref="M2:M108">
    <cfRule type="expression" dxfId="2" priority="2">
      <formula>$M2="Borderline"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318"/>
  <sheetViews>
    <sheetView tabSelected="1" zoomScaleNormal="100" workbookViewId="0">
      <pane xSplit="3" ySplit="1" topLeftCell="G2" activePane="bottomRight" state="frozen"/>
      <selection pane="topRight" activeCell="D1" sqref="D1"/>
      <selection pane="bottomLeft" activeCell="A2" sqref="A2"/>
      <selection pane="bottomRight" activeCell="J2" sqref="J2"/>
    </sheetView>
  </sheetViews>
  <sheetFormatPr defaultColWidth="8.6640625" defaultRowHeight="14.25" x14ac:dyDescent="0.45"/>
  <cols>
    <col min="1" max="1" width="6" customWidth="1"/>
    <col min="2" max="2" width="10" customWidth="1"/>
    <col min="3" max="3" width="30" customWidth="1"/>
    <col min="4" max="5" width="11" customWidth="1"/>
    <col min="6" max="7" width="10" customWidth="1"/>
    <col min="8" max="8" width="40" customWidth="1"/>
    <col min="9" max="9" width="11" customWidth="1"/>
    <col min="10" max="10" width="10" customWidth="1"/>
    <col min="11" max="11" width="9" customWidth="1"/>
    <col min="12" max="16" width="10" customWidth="1"/>
    <col min="17" max="17" width="11" customWidth="1"/>
    <col min="18" max="18" width="9" customWidth="1"/>
    <col min="19" max="19" width="8" customWidth="1"/>
    <col min="20" max="20" width="11" customWidth="1"/>
    <col min="21" max="21" width="24" customWidth="1"/>
    <col min="22" max="22" width="44" customWidth="1"/>
    <col min="24" max="24" width="14" customWidth="1"/>
  </cols>
  <sheetData>
    <row r="1" spans="1:26" ht="30" customHeight="1" x14ac:dyDescent="0.45">
      <c r="A1" s="1" t="s">
        <v>941</v>
      </c>
      <c r="B1" s="1" t="s">
        <v>947</v>
      </c>
      <c r="C1" s="1" t="s">
        <v>948</v>
      </c>
      <c r="D1" s="1" t="s">
        <v>949</v>
      </c>
      <c r="E1" s="1" t="s">
        <v>950</v>
      </c>
      <c r="F1" s="1" t="s">
        <v>951</v>
      </c>
      <c r="G1" s="1" t="s">
        <v>952</v>
      </c>
      <c r="H1" s="1" t="s">
        <v>953</v>
      </c>
      <c r="I1" s="2" t="s">
        <v>954</v>
      </c>
      <c r="J1" s="2" t="s">
        <v>955</v>
      </c>
      <c r="K1" s="2" t="s">
        <v>956</v>
      </c>
      <c r="L1" s="2" t="s">
        <v>957</v>
      </c>
      <c r="M1" s="2" t="s">
        <v>958</v>
      </c>
      <c r="N1" s="2" t="s">
        <v>959</v>
      </c>
      <c r="O1" s="2" t="s">
        <v>960</v>
      </c>
      <c r="P1" s="2" t="s">
        <v>961</v>
      </c>
      <c r="Q1" s="2" t="s">
        <v>962</v>
      </c>
      <c r="R1" s="2" t="s">
        <v>963</v>
      </c>
      <c r="S1" s="2" t="s">
        <v>964</v>
      </c>
      <c r="T1" s="1" t="s">
        <v>965</v>
      </c>
      <c r="U1" s="1" t="s">
        <v>966</v>
      </c>
      <c r="V1" s="1" t="s">
        <v>967</v>
      </c>
      <c r="X1" s="3" t="s">
        <v>968</v>
      </c>
    </row>
    <row r="2" spans="1:26" x14ac:dyDescent="0.45">
      <c r="A2" s="14">
        <v>1</v>
      </c>
      <c r="B2" s="4" t="s">
        <v>969</v>
      </c>
      <c r="C2" s="4" t="s">
        <v>970</v>
      </c>
      <c r="D2" s="5" t="e">
        <f>SUMIFS(#REF!,#REF!,$C2)</f>
        <v>#REF!</v>
      </c>
      <c r="E2" s="5" t="e">
        <f>SUMIFS(#REF!,#REF!,$C2)</f>
        <v>#REF!</v>
      </c>
      <c r="F2" s="5" t="e">
        <f>SUMIFS(#REF!,#REF!,$C2)</f>
        <v>#REF!</v>
      </c>
      <c r="G2" s="5" t="e">
        <f>SUMIFS(#REF!,#REF!,$C2)</f>
        <v>#REF!</v>
      </c>
      <c r="H2" s="4"/>
      <c r="I2" s="5">
        <v>25880</v>
      </c>
      <c r="J2" s="5">
        <f>SUMIFS('Business Licences by Community'!$D$2:$D$318,'Business Licences by Community'!$C$2:$C$318,$C2)</f>
        <v>861</v>
      </c>
      <c r="K2" s="15">
        <v>2.9428459999999999</v>
      </c>
      <c r="L2" s="5">
        <f t="shared" ref="L2:L65" si="0">IF(AND(ISNUMBER(I2),ISNUMBER(K2)),IF(K2&gt;0,I2/K2,""),"")</f>
        <v>8794.2080557392401</v>
      </c>
      <c r="M2" s="6">
        <f t="shared" ref="M2:M65" si="1">IF(AND(ISNUMBER(J2),ISNUMBER(K2)),IF(AND(J2&gt;0,K2&gt;0),J2/K2,""),"")</f>
        <v>292.57392333815636</v>
      </c>
      <c r="N2" s="7">
        <f t="shared" ref="N2:N65" si="2">IF(ISNUMBER(L2),(RANK(L2,$L$2:$L$318,1)-1)/(COUNT($L$2:$L$318)-1),"")</f>
        <v>0.99024390243902438</v>
      </c>
      <c r="O2" s="7">
        <f t="shared" ref="O2:O65" si="3">IF(ISNUMBER(M2),(RANK(M2,$M$2:$M$318,1)-1)/(COUNT($M$2:$M$318)-1),"")</f>
        <v>0.97777777777777775</v>
      </c>
      <c r="P2" s="7">
        <f t="shared" ref="P2:P65" si="4">IF(OR(ISNUMBER(N2),ISNUMBER(O2)),MAX(N2,O2),"")</f>
        <v>0.99024390243902438</v>
      </c>
      <c r="Q2" s="4" t="str">
        <f t="shared" ref="Q2:Q65" si="5">IF(ISNUMBER(P2),IF(ISNUMBER(N2),IF(N2&gt;=P2,"Residents","Businesses"),"Businesses"),"No data")</f>
        <v>Residents</v>
      </c>
      <c r="R2" s="16">
        <f t="shared" ref="R2:R65" si="6">IF(ISNUMBER(P2),$Z$12+(1-$Z$12)*P2,$Z$12)</f>
        <v>0.99317073170731707</v>
      </c>
      <c r="S2" s="14">
        <f t="shared" ref="S2:S65" si="7">RANK(R2,$R$2:$R$318,0)</f>
        <v>5</v>
      </c>
      <c r="T2" s="6" t="e">
        <f t="shared" ref="T2:T65" si="8">IF(ISNUMBER(I2),IF(I2&gt;0,D2/I2*1000,""),"")</f>
        <v>#REF!</v>
      </c>
      <c r="U2" s="17"/>
      <c r="V2" s="4" t="s">
        <v>971</v>
      </c>
      <c r="X2" s="4" t="s">
        <v>972</v>
      </c>
    </row>
    <row r="3" spans="1:26" x14ac:dyDescent="0.45">
      <c r="A3" s="14">
        <v>2</v>
      </c>
      <c r="B3" s="4" t="s">
        <v>973</v>
      </c>
      <c r="C3" s="4" t="s">
        <v>974</v>
      </c>
      <c r="D3" s="5" t="e">
        <f>SUMIFS(#REF!,#REF!,$C3)</f>
        <v>#REF!</v>
      </c>
      <c r="E3" s="5" t="e">
        <f>SUMIFS(#REF!,#REF!,$C3)</f>
        <v>#REF!</v>
      </c>
      <c r="F3" s="5" t="e">
        <f>SUMIFS(#REF!,#REF!,$C3)</f>
        <v>#REF!</v>
      </c>
      <c r="G3" s="5" t="e">
        <f>SUMIFS(#REF!,#REF!,$C3)</f>
        <v>#REF!</v>
      </c>
      <c r="H3" s="4"/>
      <c r="I3" s="5">
        <v>10770</v>
      </c>
      <c r="J3" s="5">
        <f>SUMIFS('Business Licences by Community'!$D$2:$D$318,'Business Licences by Community'!$C$2:$C$318,$C3)</f>
        <v>144</v>
      </c>
      <c r="K3" s="15">
        <v>5.629194</v>
      </c>
      <c r="L3" s="5">
        <f t="shared" si="0"/>
        <v>1913.2401548072423</v>
      </c>
      <c r="M3" s="6">
        <f t="shared" si="1"/>
        <v>25.58092686093249</v>
      </c>
      <c r="N3" s="7">
        <f t="shared" si="2"/>
        <v>0.23414634146341465</v>
      </c>
      <c r="O3" s="7">
        <f t="shared" si="3"/>
        <v>0.61851851851851847</v>
      </c>
      <c r="P3" s="7">
        <f t="shared" si="4"/>
        <v>0.61851851851851847</v>
      </c>
      <c r="Q3" s="4" t="str">
        <f t="shared" si="5"/>
        <v>Businesses</v>
      </c>
      <c r="R3" s="16">
        <f t="shared" si="6"/>
        <v>0.73296296296296282</v>
      </c>
      <c r="S3" s="14">
        <f t="shared" si="7"/>
        <v>154</v>
      </c>
      <c r="T3" s="6" t="e">
        <f t="shared" si="8"/>
        <v>#REF!</v>
      </c>
      <c r="U3" s="17"/>
      <c r="V3" s="4" t="s">
        <v>971</v>
      </c>
      <c r="X3" s="4" t="s">
        <v>975</v>
      </c>
    </row>
    <row r="4" spans="1:26" x14ac:dyDescent="0.45">
      <c r="A4" s="14">
        <v>3</v>
      </c>
      <c r="B4" s="4" t="s">
        <v>976</v>
      </c>
      <c r="C4" s="4" t="s">
        <v>977</v>
      </c>
      <c r="D4" s="5" t="e">
        <f>SUMIFS(#REF!,#REF!,$C4)</f>
        <v>#REF!</v>
      </c>
      <c r="E4" s="5" t="e">
        <f>SUMIFS(#REF!,#REF!,$C4)</f>
        <v>#REF!</v>
      </c>
      <c r="F4" s="5" t="e">
        <f>SUMIFS(#REF!,#REF!,$C4)</f>
        <v>#REF!</v>
      </c>
      <c r="G4" s="5" t="e">
        <f>SUMIFS(#REF!,#REF!,$C4)</f>
        <v>#REF!</v>
      </c>
      <c r="H4" s="4"/>
      <c r="I4" s="5">
        <v>8225</v>
      </c>
      <c r="J4" s="5">
        <f>SUMIFS('Business Licences by Community'!$D$2:$D$318,'Business Licences by Community'!$C$2:$C$318,$C4)</f>
        <v>867</v>
      </c>
      <c r="K4" s="15">
        <v>1.328765</v>
      </c>
      <c r="L4" s="5">
        <f t="shared" si="0"/>
        <v>6189.9583447787982</v>
      </c>
      <c r="M4" s="6">
        <f t="shared" si="1"/>
        <v>652.48557871406911</v>
      </c>
      <c r="N4" s="7">
        <f t="shared" si="2"/>
        <v>0.96585365853658534</v>
      </c>
      <c r="O4" s="7">
        <f t="shared" si="3"/>
        <v>1</v>
      </c>
      <c r="P4" s="7">
        <f t="shared" si="4"/>
        <v>1</v>
      </c>
      <c r="Q4" s="4" t="str">
        <f t="shared" si="5"/>
        <v>Businesses</v>
      </c>
      <c r="R4" s="16">
        <f t="shared" si="6"/>
        <v>1</v>
      </c>
      <c r="S4" s="14">
        <f t="shared" si="7"/>
        <v>1</v>
      </c>
      <c r="T4" s="6" t="e">
        <f t="shared" si="8"/>
        <v>#REF!</v>
      </c>
      <c r="U4" s="17"/>
      <c r="V4" s="4" t="s">
        <v>971</v>
      </c>
      <c r="X4" s="4" t="s">
        <v>978</v>
      </c>
    </row>
    <row r="5" spans="1:26" x14ac:dyDescent="0.45">
      <c r="A5" s="14">
        <v>4</v>
      </c>
      <c r="B5" s="4" t="s">
        <v>979</v>
      </c>
      <c r="C5" s="4" t="s">
        <v>980</v>
      </c>
      <c r="D5" s="5" t="e">
        <f>SUMIFS(#REF!,#REF!,$C5)</f>
        <v>#REF!</v>
      </c>
      <c r="E5" s="5" t="e">
        <f>SUMIFS(#REF!,#REF!,$C5)</f>
        <v>#REF!</v>
      </c>
      <c r="F5" s="5" t="e">
        <f>SUMIFS(#REF!,#REF!,$C5)</f>
        <v>#REF!</v>
      </c>
      <c r="G5" s="5" t="e">
        <f>SUMIFS(#REF!,#REF!,$C5)</f>
        <v>#REF!</v>
      </c>
      <c r="H5" s="4"/>
      <c r="I5" s="5">
        <v>10325</v>
      </c>
      <c r="J5" s="5">
        <f>SUMIFS('Business Licences by Community'!$D$2:$D$318,'Business Licences by Community'!$C$2:$C$318,$C5)</f>
        <v>55</v>
      </c>
      <c r="K5" s="15">
        <v>2.1567630000000002</v>
      </c>
      <c r="L5" s="5">
        <f t="shared" si="0"/>
        <v>4787.2668438766796</v>
      </c>
      <c r="M5" s="6">
        <f t="shared" si="1"/>
        <v>25.5011793136288</v>
      </c>
      <c r="N5" s="7">
        <f t="shared" si="2"/>
        <v>0.93170731707317078</v>
      </c>
      <c r="O5" s="7">
        <f t="shared" si="3"/>
        <v>0.61111111111111116</v>
      </c>
      <c r="P5" s="7">
        <f t="shared" si="4"/>
        <v>0.93170731707317078</v>
      </c>
      <c r="Q5" s="4" t="str">
        <f t="shared" si="5"/>
        <v>Residents</v>
      </c>
      <c r="R5" s="16">
        <f t="shared" si="6"/>
        <v>0.95219512195121947</v>
      </c>
      <c r="S5" s="14">
        <f t="shared" si="7"/>
        <v>27</v>
      </c>
      <c r="T5" s="6" t="e">
        <f t="shared" si="8"/>
        <v>#REF!</v>
      </c>
      <c r="U5" s="17"/>
      <c r="V5" s="4" t="s">
        <v>971</v>
      </c>
      <c r="X5" s="4" t="s">
        <v>981</v>
      </c>
    </row>
    <row r="6" spans="1:26" x14ac:dyDescent="0.45">
      <c r="A6" s="14">
        <v>5</v>
      </c>
      <c r="B6" s="4" t="s">
        <v>982</v>
      </c>
      <c r="C6" s="4" t="s">
        <v>983</v>
      </c>
      <c r="D6" s="5" t="e">
        <f>SUMIFS(#REF!,#REF!,$C6)</f>
        <v>#REF!</v>
      </c>
      <c r="E6" s="5" t="e">
        <f>SUMIFS(#REF!,#REF!,$C6)</f>
        <v>#REF!</v>
      </c>
      <c r="F6" s="5" t="e">
        <f>SUMIFS(#REF!,#REF!,$C6)</f>
        <v>#REF!</v>
      </c>
      <c r="G6" s="5" t="e">
        <f>SUMIFS(#REF!,#REF!,$C6)</f>
        <v>#REF!</v>
      </c>
      <c r="H6" s="4"/>
      <c r="I6" s="5">
        <v>24365</v>
      </c>
      <c r="J6" s="5">
        <f>SUMIFS('Business Licences by Community'!$D$2:$D$318,'Business Licences by Community'!$C$2:$C$318,$C6)</f>
        <v>114</v>
      </c>
      <c r="K6" s="15">
        <v>5.5956159999999997</v>
      </c>
      <c r="L6" s="5">
        <f t="shared" si="0"/>
        <v>4354.3016532942938</v>
      </c>
      <c r="M6" s="6">
        <f t="shared" si="1"/>
        <v>20.373092077798049</v>
      </c>
      <c r="N6" s="7">
        <f t="shared" si="2"/>
        <v>0.90243902439024393</v>
      </c>
      <c r="O6" s="7">
        <f t="shared" si="3"/>
        <v>0.562962962962963</v>
      </c>
      <c r="P6" s="7">
        <f t="shared" si="4"/>
        <v>0.90243902439024393</v>
      </c>
      <c r="Q6" s="4" t="str">
        <f t="shared" si="5"/>
        <v>Residents</v>
      </c>
      <c r="R6" s="16">
        <f t="shared" si="6"/>
        <v>0.93170731707317067</v>
      </c>
      <c r="S6" s="14">
        <f t="shared" si="7"/>
        <v>39</v>
      </c>
      <c r="T6" s="6" t="e">
        <f t="shared" si="8"/>
        <v>#REF!</v>
      </c>
      <c r="U6" s="17"/>
      <c r="V6" s="4" t="s">
        <v>971</v>
      </c>
      <c r="X6" s="4" t="s">
        <v>984</v>
      </c>
    </row>
    <row r="7" spans="1:26" x14ac:dyDescent="0.45">
      <c r="A7" s="14">
        <v>6</v>
      </c>
      <c r="B7" s="4" t="s">
        <v>985</v>
      </c>
      <c r="C7" s="4" t="s">
        <v>986</v>
      </c>
      <c r="D7" s="5" t="e">
        <f>SUMIFS(#REF!,#REF!,$C7)</f>
        <v>#REF!</v>
      </c>
      <c r="E7" s="5" t="e">
        <f>SUMIFS(#REF!,#REF!,$C7)</f>
        <v>#REF!</v>
      </c>
      <c r="F7" s="5" t="e">
        <f>SUMIFS(#REF!,#REF!,$C7)</f>
        <v>#REF!</v>
      </c>
      <c r="G7" s="5" t="e">
        <f>SUMIFS(#REF!,#REF!,$C7)</f>
        <v>#REF!</v>
      </c>
      <c r="H7" s="4"/>
      <c r="I7" s="5">
        <v>20850</v>
      </c>
      <c r="J7" s="5">
        <f>SUMIFS('Business Licences by Community'!$D$2:$D$318,'Business Licences by Community'!$C$2:$C$318,$C7)</f>
        <v>22</v>
      </c>
      <c r="K7" s="15">
        <v>8.2555379999999996</v>
      </c>
      <c r="L7" s="5">
        <f t="shared" si="0"/>
        <v>2525.5773760595616</v>
      </c>
      <c r="M7" s="6">
        <f t="shared" si="1"/>
        <v>2.6648778068733985</v>
      </c>
      <c r="N7" s="7">
        <f t="shared" si="2"/>
        <v>0.44390243902439025</v>
      </c>
      <c r="O7" s="7">
        <f t="shared" si="3"/>
        <v>0.13703703703703704</v>
      </c>
      <c r="P7" s="7">
        <f t="shared" si="4"/>
        <v>0.44390243902439025</v>
      </c>
      <c r="Q7" s="4" t="str">
        <f t="shared" si="5"/>
        <v>Residents</v>
      </c>
      <c r="R7" s="16">
        <f t="shared" si="6"/>
        <v>0.61073170731707316</v>
      </c>
      <c r="S7" s="14">
        <f t="shared" si="7"/>
        <v>198</v>
      </c>
      <c r="T7" s="6" t="e">
        <f t="shared" si="8"/>
        <v>#REF!</v>
      </c>
      <c r="U7" s="17"/>
      <c r="V7" s="4" t="s">
        <v>971</v>
      </c>
      <c r="X7" s="4" t="s">
        <v>987</v>
      </c>
    </row>
    <row r="8" spans="1:26" x14ac:dyDescent="0.45">
      <c r="A8" s="14">
        <v>7</v>
      </c>
      <c r="B8" s="4" t="s">
        <v>988</v>
      </c>
      <c r="C8" s="4" t="s">
        <v>989</v>
      </c>
      <c r="D8" s="5" t="e">
        <f>SUMIFS(#REF!,#REF!,$C8)</f>
        <v>#REF!</v>
      </c>
      <c r="E8" s="5" t="e">
        <f>SUMIFS(#REF!,#REF!,$C8)</f>
        <v>#REF!</v>
      </c>
      <c r="F8" s="5" t="e">
        <f>SUMIFS(#REF!,#REF!,$C8)</f>
        <v>#REF!</v>
      </c>
      <c r="G8" s="5" t="e">
        <f>SUMIFS(#REF!,#REF!,$C8)</f>
        <v>#REF!</v>
      </c>
      <c r="H8" s="4"/>
      <c r="I8" s="5">
        <v>6350</v>
      </c>
      <c r="J8" s="5">
        <f>SUMIFS('Business Licences by Community'!$D$2:$D$318,'Business Licences by Community'!$C$2:$C$318,$C8)</f>
        <v>127</v>
      </c>
      <c r="K8" s="15">
        <v>3.0499209999999999</v>
      </c>
      <c r="L8" s="5">
        <f t="shared" si="0"/>
        <v>2082.0211408754521</v>
      </c>
      <c r="M8" s="6">
        <f t="shared" si="1"/>
        <v>41.640422817509048</v>
      </c>
      <c r="N8" s="7">
        <f t="shared" si="2"/>
        <v>0.28780487804878047</v>
      </c>
      <c r="O8" s="7">
        <f t="shared" si="3"/>
        <v>0.73333333333333328</v>
      </c>
      <c r="P8" s="7">
        <f t="shared" si="4"/>
        <v>0.73333333333333328</v>
      </c>
      <c r="Q8" s="4" t="str">
        <f t="shared" si="5"/>
        <v>Businesses</v>
      </c>
      <c r="R8" s="16">
        <f t="shared" si="6"/>
        <v>0.81333333333333324</v>
      </c>
      <c r="S8" s="14">
        <f t="shared" si="7"/>
        <v>112</v>
      </c>
      <c r="T8" s="6" t="e">
        <f t="shared" si="8"/>
        <v>#REF!</v>
      </c>
      <c r="U8" s="17"/>
      <c r="V8" s="4" t="s">
        <v>971</v>
      </c>
      <c r="X8" s="4" t="s">
        <v>990</v>
      </c>
    </row>
    <row r="9" spans="1:26" x14ac:dyDescent="0.45">
      <c r="A9" s="14">
        <v>8</v>
      </c>
      <c r="B9" s="4" t="s">
        <v>991</v>
      </c>
      <c r="C9" s="4" t="s">
        <v>992</v>
      </c>
      <c r="D9" s="5" t="e">
        <f>SUMIFS(#REF!,#REF!,$C9)</f>
        <v>#REF!</v>
      </c>
      <c r="E9" s="5" t="e">
        <f>SUMIFS(#REF!,#REF!,$C9)</f>
        <v>#REF!</v>
      </c>
      <c r="F9" s="5" t="e">
        <f>SUMIFS(#REF!,#REF!,$C9)</f>
        <v>#REF!</v>
      </c>
      <c r="G9" s="5" t="e">
        <f>SUMIFS(#REF!,#REF!,$C9)</f>
        <v>#REF!</v>
      </c>
      <c r="H9" s="4"/>
      <c r="I9" s="5">
        <v>19700</v>
      </c>
      <c r="J9" s="5">
        <f>SUMIFS('Business Licences by Community'!$D$2:$D$318,'Business Licences by Community'!$C$2:$C$318,$C9)</f>
        <v>15</v>
      </c>
      <c r="K9" s="15">
        <v>6.7999640000000001</v>
      </c>
      <c r="L9" s="5">
        <f t="shared" si="0"/>
        <v>2897.0741609808524</v>
      </c>
      <c r="M9" s="6">
        <f t="shared" si="1"/>
        <v>2.2058940312036945</v>
      </c>
      <c r="N9" s="7">
        <f t="shared" si="2"/>
        <v>0.59512195121951217</v>
      </c>
      <c r="O9" s="7">
        <f t="shared" si="3"/>
        <v>0.12592592592592591</v>
      </c>
      <c r="P9" s="7">
        <f t="shared" si="4"/>
        <v>0.59512195121951217</v>
      </c>
      <c r="Q9" s="4" t="str">
        <f t="shared" si="5"/>
        <v>Residents</v>
      </c>
      <c r="R9" s="16">
        <f t="shared" si="6"/>
        <v>0.71658536585365851</v>
      </c>
      <c r="S9" s="14">
        <f t="shared" si="7"/>
        <v>163</v>
      </c>
      <c r="T9" s="6" t="e">
        <f t="shared" si="8"/>
        <v>#REF!</v>
      </c>
      <c r="U9" s="17"/>
      <c r="V9" s="4" t="s">
        <v>971</v>
      </c>
      <c r="X9" s="4" t="s">
        <v>993</v>
      </c>
    </row>
    <row r="10" spans="1:26" x14ac:dyDescent="0.45">
      <c r="A10" s="14">
        <v>9</v>
      </c>
      <c r="B10" s="4" t="s">
        <v>994</v>
      </c>
      <c r="C10" s="4" t="s">
        <v>995</v>
      </c>
      <c r="D10" s="5" t="e">
        <f>SUMIFS(#REF!,#REF!,$C10)</f>
        <v>#REF!</v>
      </c>
      <c r="E10" s="5" t="e">
        <f>SUMIFS(#REF!,#REF!,$C10)</f>
        <v>#REF!</v>
      </c>
      <c r="F10" s="5" t="e">
        <f>SUMIFS(#REF!,#REF!,$C10)</f>
        <v>#REF!</v>
      </c>
      <c r="G10" s="5" t="e">
        <f>SUMIFS(#REF!,#REF!,$C10)</f>
        <v>#REF!</v>
      </c>
      <c r="H10" s="4"/>
      <c r="I10" s="5">
        <v>13860</v>
      </c>
      <c r="J10" s="5">
        <f>SUMIFS('Business Licences by Community'!$D$2:$D$318,'Business Licences by Community'!$C$2:$C$318,$C10)</f>
        <v>100</v>
      </c>
      <c r="K10" s="15">
        <v>6.3005110000000002</v>
      </c>
      <c r="L10" s="5">
        <f t="shared" si="0"/>
        <v>2199.821570028209</v>
      </c>
      <c r="M10" s="6">
        <f t="shared" si="1"/>
        <v>15.871728499482026</v>
      </c>
      <c r="N10" s="7">
        <f t="shared" si="2"/>
        <v>0.32682926829268294</v>
      </c>
      <c r="O10" s="7">
        <f t="shared" si="3"/>
        <v>0.5</v>
      </c>
      <c r="P10" s="7">
        <f t="shared" si="4"/>
        <v>0.5</v>
      </c>
      <c r="Q10" s="4" t="str">
        <f t="shared" si="5"/>
        <v>Businesses</v>
      </c>
      <c r="R10" s="16">
        <f t="shared" si="6"/>
        <v>0.64999999999999991</v>
      </c>
      <c r="S10" s="14">
        <f t="shared" si="7"/>
        <v>186</v>
      </c>
      <c r="T10" s="6" t="e">
        <f t="shared" si="8"/>
        <v>#REF!</v>
      </c>
      <c r="U10" s="17"/>
      <c r="V10" s="4" t="s">
        <v>971</v>
      </c>
      <c r="X10" s="4" t="s">
        <v>996</v>
      </c>
    </row>
    <row r="11" spans="1:26" x14ac:dyDescent="0.45">
      <c r="A11" s="14">
        <v>10</v>
      </c>
      <c r="B11" s="4" t="s">
        <v>997</v>
      </c>
      <c r="C11" s="4" t="s">
        <v>998</v>
      </c>
      <c r="D11" s="5" t="e">
        <f>SUMIFS(#REF!,#REF!,$C11)</f>
        <v>#REF!</v>
      </c>
      <c r="E11" s="5" t="e">
        <f>SUMIFS(#REF!,#REF!,$C11)</f>
        <v>#REF!</v>
      </c>
      <c r="F11" s="5" t="e">
        <f>SUMIFS(#REF!,#REF!,$C11)</f>
        <v>#REF!</v>
      </c>
      <c r="G11" s="5" t="e">
        <f>SUMIFS(#REF!,#REF!,$C11)</f>
        <v>#REF!</v>
      </c>
      <c r="H11" s="4"/>
      <c r="I11" s="5">
        <v>5475</v>
      </c>
      <c r="J11" s="5">
        <f>SUMIFS('Business Licences by Community'!$D$2:$D$318,'Business Licences by Community'!$C$2:$C$318,$C11)</f>
        <v>228</v>
      </c>
      <c r="K11" s="15">
        <v>2.068228</v>
      </c>
      <c r="L11" s="5">
        <f t="shared" si="0"/>
        <v>2647.1936362915503</v>
      </c>
      <c r="M11" s="6">
        <f t="shared" si="1"/>
        <v>110.23929663460702</v>
      </c>
      <c r="N11" s="7">
        <f t="shared" si="2"/>
        <v>0.51707317073170733</v>
      </c>
      <c r="O11" s="7">
        <f t="shared" si="3"/>
        <v>0.88888888888888884</v>
      </c>
      <c r="P11" s="7">
        <f t="shared" si="4"/>
        <v>0.88888888888888884</v>
      </c>
      <c r="Q11" s="4" t="str">
        <f t="shared" si="5"/>
        <v>Businesses</v>
      </c>
      <c r="R11" s="16">
        <f t="shared" si="6"/>
        <v>0.92222222222222205</v>
      </c>
      <c r="S11" s="14">
        <f t="shared" si="7"/>
        <v>45</v>
      </c>
      <c r="T11" s="6" t="e">
        <f t="shared" si="8"/>
        <v>#REF!</v>
      </c>
      <c r="U11" s="17"/>
      <c r="V11" s="4" t="s">
        <v>971</v>
      </c>
      <c r="X11" s="4" t="s">
        <v>999</v>
      </c>
    </row>
    <row r="12" spans="1:26" x14ac:dyDescent="0.45">
      <c r="A12" s="14">
        <v>11</v>
      </c>
      <c r="B12" s="4" t="s">
        <v>1000</v>
      </c>
      <c r="C12" s="4" t="s">
        <v>1001</v>
      </c>
      <c r="D12" s="5" t="e">
        <f>SUMIFS(#REF!,#REF!,$C12)</f>
        <v>#REF!</v>
      </c>
      <c r="E12" s="5" t="e">
        <f>SUMIFS(#REF!,#REF!,$C12)</f>
        <v>#REF!</v>
      </c>
      <c r="F12" s="5" t="e">
        <f>SUMIFS(#REF!,#REF!,$C12)</f>
        <v>#REF!</v>
      </c>
      <c r="G12" s="5" t="e">
        <f>SUMIFS(#REF!,#REF!,$C12)</f>
        <v>#REF!</v>
      </c>
      <c r="H12" s="4"/>
      <c r="I12" s="5">
        <v>17505</v>
      </c>
      <c r="J12" s="5">
        <f>SUMIFS('Business Licences by Community'!$D$2:$D$318,'Business Licences by Community'!$C$2:$C$318,$C12)</f>
        <v>150</v>
      </c>
      <c r="K12" s="15">
        <v>4.8249139999999997</v>
      </c>
      <c r="L12" s="5">
        <f t="shared" si="0"/>
        <v>3628.0439402650495</v>
      </c>
      <c r="M12" s="6">
        <f t="shared" si="1"/>
        <v>31.088637020266063</v>
      </c>
      <c r="N12" s="7">
        <f t="shared" si="2"/>
        <v>0.77073170731707319</v>
      </c>
      <c r="O12" s="7">
        <f t="shared" si="3"/>
        <v>0.66296296296296298</v>
      </c>
      <c r="P12" s="7">
        <f t="shared" si="4"/>
        <v>0.77073170731707319</v>
      </c>
      <c r="Q12" s="4" t="str">
        <f t="shared" si="5"/>
        <v>Residents</v>
      </c>
      <c r="R12" s="16">
        <f t="shared" si="6"/>
        <v>0.83951219512195108</v>
      </c>
      <c r="S12" s="14">
        <f t="shared" si="7"/>
        <v>95</v>
      </c>
      <c r="T12" s="6" t="e">
        <f t="shared" si="8"/>
        <v>#REF!</v>
      </c>
      <c r="U12" s="17"/>
      <c r="V12" s="4" t="s">
        <v>971</v>
      </c>
      <c r="X12" s="3" t="s">
        <v>1002</v>
      </c>
      <c r="Z12" s="18">
        <v>0.3</v>
      </c>
    </row>
    <row r="13" spans="1:26" x14ac:dyDescent="0.45">
      <c r="A13" s="14">
        <v>12</v>
      </c>
      <c r="B13" s="4" t="s">
        <v>1003</v>
      </c>
      <c r="C13" s="4" t="s">
        <v>1004</v>
      </c>
      <c r="D13" s="5" t="e">
        <f>SUMIFS(#REF!,#REF!,$C13)</f>
        <v>#REF!</v>
      </c>
      <c r="E13" s="5" t="e">
        <f>SUMIFS(#REF!,#REF!,$C13)</f>
        <v>#REF!</v>
      </c>
      <c r="F13" s="5" t="e">
        <f>SUMIFS(#REF!,#REF!,$C13)</f>
        <v>#REF!</v>
      </c>
      <c r="G13" s="5" t="e">
        <f>SUMIFS(#REF!,#REF!,$C13)</f>
        <v>#REF!</v>
      </c>
      <c r="H13" s="4"/>
      <c r="I13" s="5">
        <v>13120</v>
      </c>
      <c r="J13" s="5">
        <f>SUMIFS('Business Licences by Community'!$D$2:$D$318,'Business Licences by Community'!$C$2:$C$318,$C13)</f>
        <v>49</v>
      </c>
      <c r="K13" s="15">
        <v>4.769946</v>
      </c>
      <c r="L13" s="5">
        <f t="shared" si="0"/>
        <v>2750.5552473759662</v>
      </c>
      <c r="M13" s="6">
        <f t="shared" si="1"/>
        <v>10.272652981815726</v>
      </c>
      <c r="N13" s="7">
        <f t="shared" si="2"/>
        <v>0.55609756097560981</v>
      </c>
      <c r="O13" s="7">
        <f t="shared" si="3"/>
        <v>0.34814814814814815</v>
      </c>
      <c r="P13" s="7">
        <f t="shared" si="4"/>
        <v>0.55609756097560981</v>
      </c>
      <c r="Q13" s="4" t="str">
        <f t="shared" si="5"/>
        <v>Residents</v>
      </c>
      <c r="R13" s="16">
        <f t="shared" si="6"/>
        <v>0.68926829268292678</v>
      </c>
      <c r="S13" s="14">
        <f t="shared" si="7"/>
        <v>171</v>
      </c>
      <c r="T13" s="6" t="e">
        <f t="shared" si="8"/>
        <v>#REF!</v>
      </c>
      <c r="U13" s="17"/>
      <c r="V13" s="4" t="s">
        <v>971</v>
      </c>
    </row>
    <row r="14" spans="1:26" x14ac:dyDescent="0.45">
      <c r="A14" s="14">
        <v>13</v>
      </c>
      <c r="B14" s="4" t="s">
        <v>1005</v>
      </c>
      <c r="C14" s="4" t="s">
        <v>1006</v>
      </c>
      <c r="D14" s="5" t="e">
        <f>SUMIFS(#REF!,#REF!,$C14)</f>
        <v>#REF!</v>
      </c>
      <c r="E14" s="5" t="e">
        <f>SUMIFS(#REF!,#REF!,$C14)</f>
        <v>#REF!</v>
      </c>
      <c r="F14" s="5" t="e">
        <f>SUMIFS(#REF!,#REF!,$C14)</f>
        <v>#REF!</v>
      </c>
      <c r="G14" s="5" t="e">
        <f>SUMIFS(#REF!,#REF!,$C14)</f>
        <v>#REF!</v>
      </c>
      <c r="H14" s="4"/>
      <c r="I14" s="5">
        <v>6240</v>
      </c>
      <c r="J14" s="5">
        <f>SUMIFS('Business Licences by Community'!$D$2:$D$318,'Business Licences by Community'!$C$2:$C$318,$C14)</f>
        <v>205</v>
      </c>
      <c r="K14" s="15">
        <v>1.6186860000000001</v>
      </c>
      <c r="L14" s="5">
        <f t="shared" si="0"/>
        <v>3854.9786678824676</v>
      </c>
      <c r="M14" s="6">
        <f t="shared" si="1"/>
        <v>126.64593380062594</v>
      </c>
      <c r="N14" s="7">
        <f t="shared" si="2"/>
        <v>0.81951219512195117</v>
      </c>
      <c r="O14" s="7">
        <f t="shared" si="3"/>
        <v>0.90370370370370368</v>
      </c>
      <c r="P14" s="7">
        <f t="shared" si="4"/>
        <v>0.90370370370370368</v>
      </c>
      <c r="Q14" s="4" t="str">
        <f t="shared" si="5"/>
        <v>Businesses</v>
      </c>
      <c r="R14" s="16">
        <f t="shared" si="6"/>
        <v>0.93259259259259242</v>
      </c>
      <c r="S14" s="14">
        <f t="shared" si="7"/>
        <v>38</v>
      </c>
      <c r="T14" s="6" t="e">
        <f t="shared" si="8"/>
        <v>#REF!</v>
      </c>
      <c r="U14" s="17"/>
      <c r="V14" s="4" t="s">
        <v>971</v>
      </c>
      <c r="X14" s="3" t="s">
        <v>1007</v>
      </c>
      <c r="Z14" s="19" t="e">
        <f>SUM(D2:D318)</f>
        <v>#REF!</v>
      </c>
    </row>
    <row r="15" spans="1:26" x14ac:dyDescent="0.45">
      <c r="A15" s="14">
        <v>14</v>
      </c>
      <c r="B15" s="4" t="s">
        <v>1008</v>
      </c>
      <c r="C15" s="4" t="s">
        <v>1009</v>
      </c>
      <c r="D15" s="5" t="e">
        <f>SUMIFS(#REF!,#REF!,$C15)</f>
        <v>#REF!</v>
      </c>
      <c r="E15" s="5" t="e">
        <f>SUMIFS(#REF!,#REF!,$C15)</f>
        <v>#REF!</v>
      </c>
      <c r="F15" s="5" t="e">
        <f>SUMIFS(#REF!,#REF!,$C15)</f>
        <v>#REF!</v>
      </c>
      <c r="G15" s="5" t="e">
        <f>SUMIFS(#REF!,#REF!,$C15)</f>
        <v>#REF!</v>
      </c>
      <c r="H15" s="4"/>
      <c r="I15" s="5">
        <v>4130</v>
      </c>
      <c r="J15" s="5">
        <f>SUMIFS('Business Licences by Community'!$D$2:$D$318,'Business Licences by Community'!$C$2:$C$318,$C15)</f>
        <v>219</v>
      </c>
      <c r="K15" s="15">
        <v>2.5012080000000001</v>
      </c>
      <c r="L15" s="5">
        <f t="shared" si="0"/>
        <v>1651.202139126374</v>
      </c>
      <c r="M15" s="6">
        <f t="shared" si="1"/>
        <v>87.557692123166078</v>
      </c>
      <c r="N15" s="7">
        <f t="shared" si="2"/>
        <v>0.20487804878048779</v>
      </c>
      <c r="O15" s="7">
        <f t="shared" si="3"/>
        <v>0.86296296296296293</v>
      </c>
      <c r="P15" s="7">
        <f t="shared" si="4"/>
        <v>0.86296296296296293</v>
      </c>
      <c r="Q15" s="4" t="str">
        <f t="shared" si="5"/>
        <v>Businesses</v>
      </c>
      <c r="R15" s="16">
        <f t="shared" si="6"/>
        <v>0.90407407407407403</v>
      </c>
      <c r="S15" s="14">
        <f t="shared" si="7"/>
        <v>58</v>
      </c>
      <c r="T15" s="6" t="e">
        <f t="shared" si="8"/>
        <v>#REF!</v>
      </c>
      <c r="U15" s="17"/>
      <c r="V15" s="4" t="s">
        <v>971</v>
      </c>
      <c r="X15" s="3" t="s">
        <v>1010</v>
      </c>
      <c r="Z15" s="19" t="e">
        <f>SUM(E2:E318)</f>
        <v>#REF!</v>
      </c>
    </row>
    <row r="16" spans="1:26" x14ac:dyDescent="0.45">
      <c r="A16" s="14">
        <v>15</v>
      </c>
      <c r="B16" s="4" t="s">
        <v>1011</v>
      </c>
      <c r="C16" s="4" t="s">
        <v>1012</v>
      </c>
      <c r="D16" s="5" t="e">
        <f>SUMIFS(#REF!,#REF!,$C16)</f>
        <v>#REF!</v>
      </c>
      <c r="E16" s="5" t="e">
        <f>SUMIFS(#REF!,#REF!,$C16)</f>
        <v>#REF!</v>
      </c>
      <c r="F16" s="5" t="e">
        <f>SUMIFS(#REF!,#REF!,$C16)</f>
        <v>#REF!</v>
      </c>
      <c r="G16" s="5" t="e">
        <f>SUMIFS(#REF!,#REF!,$C16)</f>
        <v>#REF!</v>
      </c>
      <c r="H16" s="4"/>
      <c r="I16" s="5">
        <v>6190</v>
      </c>
      <c r="J16" s="5">
        <f>SUMIFS('Business Licences by Community'!$D$2:$D$318,'Business Licences by Community'!$C$2:$C$318,$C16)</f>
        <v>40</v>
      </c>
      <c r="K16" s="15">
        <v>7.6435930000000001</v>
      </c>
      <c r="L16" s="5">
        <f t="shared" si="0"/>
        <v>809.82857145847504</v>
      </c>
      <c r="M16" s="6">
        <f t="shared" si="1"/>
        <v>5.2331410110402263</v>
      </c>
      <c r="N16" s="7">
        <f t="shared" si="2"/>
        <v>5.3658536585365853E-2</v>
      </c>
      <c r="O16" s="7">
        <f t="shared" si="3"/>
        <v>0.23333333333333334</v>
      </c>
      <c r="P16" s="7">
        <f t="shared" si="4"/>
        <v>0.23333333333333334</v>
      </c>
      <c r="Q16" s="4" t="str">
        <f t="shared" si="5"/>
        <v>Businesses</v>
      </c>
      <c r="R16" s="16">
        <f t="shared" si="6"/>
        <v>0.46333333333333332</v>
      </c>
      <c r="S16" s="14">
        <f t="shared" si="7"/>
        <v>235</v>
      </c>
      <c r="T16" s="6" t="e">
        <f t="shared" si="8"/>
        <v>#REF!</v>
      </c>
      <c r="U16" s="17"/>
      <c r="V16" s="4" t="s">
        <v>971</v>
      </c>
      <c r="X16" s="3" t="s">
        <v>1013</v>
      </c>
      <c r="Z16" s="19">
        <f>SUM(I2:I318)</f>
        <v>1289690</v>
      </c>
    </row>
    <row r="17" spans="1:26" x14ac:dyDescent="0.45">
      <c r="A17" s="14">
        <v>16</v>
      </c>
      <c r="B17" s="4" t="s">
        <v>1014</v>
      </c>
      <c r="C17" s="4" t="s">
        <v>1015</v>
      </c>
      <c r="D17" s="5" t="e">
        <f>SUMIFS(#REF!,#REF!,$C17)</f>
        <v>#REF!</v>
      </c>
      <c r="E17" s="5" t="e">
        <f>SUMIFS(#REF!,#REF!,$C17)</f>
        <v>#REF!</v>
      </c>
      <c r="F17" s="5" t="e">
        <f>SUMIFS(#REF!,#REF!,$C17)</f>
        <v>#REF!</v>
      </c>
      <c r="G17" s="5" t="e">
        <f>SUMIFS(#REF!,#REF!,$C17)</f>
        <v>#REF!</v>
      </c>
      <c r="H17" s="4"/>
      <c r="I17" s="5">
        <v>12040</v>
      </c>
      <c r="J17" s="5">
        <f>SUMIFS('Business Licences by Community'!$D$2:$D$318,'Business Licences by Community'!$C$2:$C$318,$C17)</f>
        <v>244</v>
      </c>
      <c r="K17" s="15">
        <v>6.811693</v>
      </c>
      <c r="L17" s="5">
        <f t="shared" si="0"/>
        <v>1767.548831105571</v>
      </c>
      <c r="M17" s="6">
        <f t="shared" si="1"/>
        <v>35.820757042338812</v>
      </c>
      <c r="N17" s="7">
        <f t="shared" si="2"/>
        <v>0.21463414634146341</v>
      </c>
      <c r="O17" s="7">
        <f t="shared" si="3"/>
        <v>0.6962962962962963</v>
      </c>
      <c r="P17" s="7">
        <f t="shared" si="4"/>
        <v>0.6962962962962963</v>
      </c>
      <c r="Q17" s="4" t="str">
        <f t="shared" si="5"/>
        <v>Businesses</v>
      </c>
      <c r="R17" s="16">
        <f t="shared" si="6"/>
        <v>0.78740740740740733</v>
      </c>
      <c r="S17" s="14">
        <f t="shared" si="7"/>
        <v>124</v>
      </c>
      <c r="T17" s="6" t="e">
        <f t="shared" si="8"/>
        <v>#REF!</v>
      </c>
      <c r="U17" s="17"/>
      <c r="V17" s="4" t="s">
        <v>971</v>
      </c>
      <c r="X17" s="3" t="s">
        <v>1016</v>
      </c>
      <c r="Z17" s="19">
        <f>SUM(J2:J318)</f>
        <v>21965</v>
      </c>
    </row>
    <row r="18" spans="1:26" x14ac:dyDescent="0.45">
      <c r="A18" s="14">
        <v>17</v>
      </c>
      <c r="B18" s="4" t="s">
        <v>1017</v>
      </c>
      <c r="C18" s="4" t="s">
        <v>1018</v>
      </c>
      <c r="D18" s="5" t="e">
        <f>SUMIFS(#REF!,#REF!,$C18)</f>
        <v>#REF!</v>
      </c>
      <c r="E18" s="5" t="e">
        <f>SUMIFS(#REF!,#REF!,$C18)</f>
        <v>#REF!</v>
      </c>
      <c r="F18" s="5" t="e">
        <f>SUMIFS(#REF!,#REF!,$C18)</f>
        <v>#REF!</v>
      </c>
      <c r="G18" s="5" t="e">
        <f>SUMIFS(#REF!,#REF!,$C18)</f>
        <v>#REF!</v>
      </c>
      <c r="H18" s="4"/>
      <c r="I18" s="5">
        <v>7920</v>
      </c>
      <c r="J18" s="5">
        <f>SUMIFS('Business Licences by Community'!$D$2:$D$318,'Business Licences by Community'!$C$2:$C$318,$C18)</f>
        <v>78</v>
      </c>
      <c r="K18" s="15">
        <v>1.844581</v>
      </c>
      <c r="L18" s="5">
        <f t="shared" si="0"/>
        <v>4293.6580177286878</v>
      </c>
      <c r="M18" s="6">
        <f t="shared" si="1"/>
        <v>42.286025932176464</v>
      </c>
      <c r="N18" s="7">
        <f t="shared" si="2"/>
        <v>0.89756097560975612</v>
      </c>
      <c r="O18" s="7">
        <f t="shared" si="3"/>
        <v>0.7407407407407407</v>
      </c>
      <c r="P18" s="7">
        <f t="shared" si="4"/>
        <v>0.89756097560975612</v>
      </c>
      <c r="Q18" s="4" t="str">
        <f t="shared" si="5"/>
        <v>Residents</v>
      </c>
      <c r="R18" s="16">
        <f t="shared" si="6"/>
        <v>0.9282926829268292</v>
      </c>
      <c r="S18" s="14">
        <f t="shared" si="7"/>
        <v>41</v>
      </c>
      <c r="T18" s="6" t="e">
        <f t="shared" si="8"/>
        <v>#REF!</v>
      </c>
      <c r="U18" s="17"/>
      <c r="V18" s="4" t="s">
        <v>971</v>
      </c>
    </row>
    <row r="19" spans="1:26" x14ac:dyDescent="0.45">
      <c r="A19" s="14">
        <v>18</v>
      </c>
      <c r="B19" s="4" t="s">
        <v>1019</v>
      </c>
      <c r="C19" s="4" t="s">
        <v>1020</v>
      </c>
      <c r="D19" s="5" t="e">
        <f>SUMIFS(#REF!,#REF!,$C19)</f>
        <v>#REF!</v>
      </c>
      <c r="E19" s="5" t="e">
        <f>SUMIFS(#REF!,#REF!,$C19)</f>
        <v>#REF!</v>
      </c>
      <c r="F19" s="5" t="e">
        <f>SUMIFS(#REF!,#REF!,$C19)</f>
        <v>#REF!</v>
      </c>
      <c r="G19" s="5" t="e">
        <f>SUMIFS(#REF!,#REF!,$C19)</f>
        <v>#REF!</v>
      </c>
      <c r="H19" s="4"/>
      <c r="I19" s="5">
        <v>8315</v>
      </c>
      <c r="J19" s="5">
        <f>SUMIFS('Business Licences by Community'!$D$2:$D$318,'Business Licences by Community'!$C$2:$C$318,$C19)</f>
        <v>70</v>
      </c>
      <c r="K19" s="15">
        <v>4.1394739999999999</v>
      </c>
      <c r="L19" s="5">
        <f t="shared" si="0"/>
        <v>2008.7093191067272</v>
      </c>
      <c r="M19" s="6">
        <f t="shared" si="1"/>
        <v>16.910361074861203</v>
      </c>
      <c r="N19" s="7">
        <f t="shared" si="2"/>
        <v>0.26829268292682928</v>
      </c>
      <c r="O19" s="7">
        <f t="shared" si="3"/>
        <v>0.51481481481481484</v>
      </c>
      <c r="P19" s="7">
        <f t="shared" si="4"/>
        <v>0.51481481481481484</v>
      </c>
      <c r="Q19" s="4" t="str">
        <f t="shared" si="5"/>
        <v>Businesses</v>
      </c>
      <c r="R19" s="16">
        <f t="shared" si="6"/>
        <v>0.66037037037037027</v>
      </c>
      <c r="S19" s="14">
        <f t="shared" si="7"/>
        <v>181</v>
      </c>
      <c r="T19" s="6" t="e">
        <f t="shared" si="8"/>
        <v>#REF!</v>
      </c>
      <c r="U19" s="17"/>
      <c r="V19" s="4" t="s">
        <v>971</v>
      </c>
    </row>
    <row r="20" spans="1:26" x14ac:dyDescent="0.45">
      <c r="A20" s="14">
        <v>19</v>
      </c>
      <c r="B20" s="4" t="s">
        <v>1021</v>
      </c>
      <c r="C20" s="4" t="s">
        <v>1022</v>
      </c>
      <c r="D20" s="5" t="e">
        <f>SUMIFS(#REF!,#REF!,$C20)</f>
        <v>#REF!</v>
      </c>
      <c r="E20" s="5" t="e">
        <f>SUMIFS(#REF!,#REF!,$C20)</f>
        <v>#REF!</v>
      </c>
      <c r="F20" s="5" t="e">
        <f>SUMIFS(#REF!,#REF!,$C20)</f>
        <v>#REF!</v>
      </c>
      <c r="G20" s="5" t="e">
        <f>SUMIFS(#REF!,#REF!,$C20)</f>
        <v>#REF!</v>
      </c>
      <c r="H20" s="4"/>
      <c r="I20" s="5">
        <v>7290</v>
      </c>
      <c r="J20" s="5">
        <f>SUMIFS('Business Licences by Community'!$D$2:$D$318,'Business Licences by Community'!$C$2:$C$318,$C20)</f>
        <v>59</v>
      </c>
      <c r="K20" s="15">
        <v>2.1313019999999998</v>
      </c>
      <c r="L20" s="5">
        <f t="shared" si="0"/>
        <v>3420.4444044063212</v>
      </c>
      <c r="M20" s="6">
        <f t="shared" si="1"/>
        <v>27.68260903428984</v>
      </c>
      <c r="N20" s="7">
        <f t="shared" si="2"/>
        <v>0.73658536585365852</v>
      </c>
      <c r="O20" s="7">
        <f t="shared" si="3"/>
        <v>0.6333333333333333</v>
      </c>
      <c r="P20" s="7">
        <f t="shared" si="4"/>
        <v>0.73658536585365852</v>
      </c>
      <c r="Q20" s="4" t="str">
        <f t="shared" si="5"/>
        <v>Residents</v>
      </c>
      <c r="R20" s="16">
        <f t="shared" si="6"/>
        <v>0.81560975609756103</v>
      </c>
      <c r="S20" s="14">
        <f t="shared" si="7"/>
        <v>111</v>
      </c>
      <c r="T20" s="6" t="e">
        <f t="shared" si="8"/>
        <v>#REF!</v>
      </c>
      <c r="U20" s="17"/>
      <c r="V20" s="4" t="s">
        <v>971</v>
      </c>
    </row>
    <row r="21" spans="1:26" x14ac:dyDescent="0.45">
      <c r="A21" s="14">
        <v>20</v>
      </c>
      <c r="B21" s="4" t="s">
        <v>1023</v>
      </c>
      <c r="C21" s="4" t="s">
        <v>1024</v>
      </c>
      <c r="D21" s="5" t="e">
        <f>SUMIFS(#REF!,#REF!,$C21)</f>
        <v>#REF!</v>
      </c>
      <c r="E21" s="5" t="e">
        <f>SUMIFS(#REF!,#REF!,$C21)</f>
        <v>#REF!</v>
      </c>
      <c r="F21" s="5" t="e">
        <f>SUMIFS(#REF!,#REF!,$C21)</f>
        <v>#REF!</v>
      </c>
      <c r="G21" s="5" t="e">
        <f>SUMIFS(#REF!,#REF!,$C21)</f>
        <v>#REF!</v>
      </c>
      <c r="H21" s="4"/>
      <c r="I21" s="5">
        <v>10795</v>
      </c>
      <c r="J21" s="5">
        <f>SUMIFS('Business Licences by Community'!$D$2:$D$318,'Business Licences by Community'!$C$2:$C$318,$C21)</f>
        <v>34</v>
      </c>
      <c r="K21" s="15">
        <v>4.1519950000000003</v>
      </c>
      <c r="L21" s="5">
        <f t="shared" si="0"/>
        <v>2599.954961410117</v>
      </c>
      <c r="M21" s="6">
        <f t="shared" si="1"/>
        <v>8.1888345241263529</v>
      </c>
      <c r="N21" s="7">
        <f t="shared" si="2"/>
        <v>0.48780487804878048</v>
      </c>
      <c r="O21" s="7">
        <f t="shared" si="3"/>
        <v>0.31111111111111112</v>
      </c>
      <c r="P21" s="7">
        <f t="shared" si="4"/>
        <v>0.48780487804878048</v>
      </c>
      <c r="Q21" s="4" t="str">
        <f t="shared" si="5"/>
        <v>Residents</v>
      </c>
      <c r="R21" s="16">
        <f t="shared" si="6"/>
        <v>0.64146341463414625</v>
      </c>
      <c r="S21" s="14">
        <f t="shared" si="7"/>
        <v>188</v>
      </c>
      <c r="T21" s="6" t="e">
        <f t="shared" si="8"/>
        <v>#REF!</v>
      </c>
      <c r="U21" s="17"/>
      <c r="V21" s="4" t="s">
        <v>971</v>
      </c>
    </row>
    <row r="22" spans="1:26" x14ac:dyDescent="0.45">
      <c r="A22" s="14">
        <v>21</v>
      </c>
      <c r="B22" s="4" t="s">
        <v>1025</v>
      </c>
      <c r="C22" s="4" t="s">
        <v>1026</v>
      </c>
      <c r="D22" s="5" t="e">
        <f>SUMIFS(#REF!,#REF!,$C22)</f>
        <v>#REF!</v>
      </c>
      <c r="E22" s="5" t="e">
        <f>SUMIFS(#REF!,#REF!,$C22)</f>
        <v>#REF!</v>
      </c>
      <c r="F22" s="5" t="e">
        <f>SUMIFS(#REF!,#REF!,$C22)</f>
        <v>#REF!</v>
      </c>
      <c r="G22" s="5" t="e">
        <f>SUMIFS(#REF!,#REF!,$C22)</f>
        <v>#REF!</v>
      </c>
      <c r="H22" s="4"/>
      <c r="I22" s="5">
        <v>15255</v>
      </c>
      <c r="J22" s="5">
        <f>SUMIFS('Business Licences by Community'!$D$2:$D$318,'Business Licences by Community'!$C$2:$C$318,$C22)</f>
        <v>51</v>
      </c>
      <c r="K22" s="15">
        <v>6.6209129999999998</v>
      </c>
      <c r="L22" s="5">
        <f t="shared" si="0"/>
        <v>2304.0628988781459</v>
      </c>
      <c r="M22" s="6">
        <f t="shared" si="1"/>
        <v>7.7028651486585007</v>
      </c>
      <c r="N22" s="7">
        <f t="shared" si="2"/>
        <v>0.36585365853658536</v>
      </c>
      <c r="O22" s="7">
        <f t="shared" si="3"/>
        <v>0.30740740740740741</v>
      </c>
      <c r="P22" s="7">
        <f t="shared" si="4"/>
        <v>0.36585365853658536</v>
      </c>
      <c r="Q22" s="4" t="str">
        <f t="shared" si="5"/>
        <v>Residents</v>
      </c>
      <c r="R22" s="16">
        <f t="shared" si="6"/>
        <v>0.55609756097560981</v>
      </c>
      <c r="S22" s="14">
        <f t="shared" si="7"/>
        <v>215</v>
      </c>
      <c r="T22" s="6" t="e">
        <f t="shared" si="8"/>
        <v>#REF!</v>
      </c>
      <c r="U22" s="17"/>
      <c r="V22" s="4" t="s">
        <v>971</v>
      </c>
    </row>
    <row r="23" spans="1:26" x14ac:dyDescent="0.45">
      <c r="A23" s="14">
        <v>22</v>
      </c>
      <c r="B23" s="4" t="s">
        <v>1027</v>
      </c>
      <c r="C23" s="4" t="s">
        <v>1028</v>
      </c>
      <c r="D23" s="5" t="e">
        <f>SUMIFS(#REF!,#REF!,$C23)</f>
        <v>#REF!</v>
      </c>
      <c r="E23" s="5" t="e">
        <f>SUMIFS(#REF!,#REF!,$C23)</f>
        <v>#REF!</v>
      </c>
      <c r="F23" s="5" t="e">
        <f>SUMIFS(#REF!,#REF!,$C23)</f>
        <v>#REF!</v>
      </c>
      <c r="G23" s="5" t="e">
        <f>SUMIFS(#REF!,#REF!,$C23)</f>
        <v>#REF!</v>
      </c>
      <c r="H23" s="4"/>
      <c r="I23" s="5">
        <v>6635</v>
      </c>
      <c r="J23" s="5">
        <f>SUMIFS('Business Licences by Community'!$D$2:$D$318,'Business Licences by Community'!$C$2:$C$318,$C23)</f>
        <v>132</v>
      </c>
      <c r="K23" s="15">
        <v>2.3591160000000002</v>
      </c>
      <c r="L23" s="5">
        <f t="shared" si="0"/>
        <v>2812.4941715456125</v>
      </c>
      <c r="M23" s="6">
        <f t="shared" si="1"/>
        <v>55.953162116657253</v>
      </c>
      <c r="N23" s="7">
        <f t="shared" si="2"/>
        <v>0.58536585365853655</v>
      </c>
      <c r="O23" s="7">
        <f t="shared" si="3"/>
        <v>0.78518518518518521</v>
      </c>
      <c r="P23" s="7">
        <f t="shared" si="4"/>
        <v>0.78518518518518521</v>
      </c>
      <c r="Q23" s="4" t="str">
        <f t="shared" si="5"/>
        <v>Businesses</v>
      </c>
      <c r="R23" s="16">
        <f t="shared" si="6"/>
        <v>0.84962962962962951</v>
      </c>
      <c r="S23" s="14">
        <f t="shared" si="7"/>
        <v>91</v>
      </c>
      <c r="T23" s="6" t="e">
        <f t="shared" si="8"/>
        <v>#REF!</v>
      </c>
      <c r="U23" s="17"/>
      <c r="V23" s="4" t="s">
        <v>971</v>
      </c>
    </row>
    <row r="24" spans="1:26" x14ac:dyDescent="0.45">
      <c r="A24" s="14">
        <v>23</v>
      </c>
      <c r="B24" s="4" t="s">
        <v>1029</v>
      </c>
      <c r="C24" s="4" t="s">
        <v>1030</v>
      </c>
      <c r="D24" s="5" t="e">
        <f>SUMIFS(#REF!,#REF!,$C24)</f>
        <v>#REF!</v>
      </c>
      <c r="E24" s="5" t="e">
        <f>SUMIFS(#REF!,#REF!,$C24)</f>
        <v>#REF!</v>
      </c>
      <c r="F24" s="5" t="e">
        <f>SUMIFS(#REF!,#REF!,$C24)</f>
        <v>#REF!</v>
      </c>
      <c r="G24" s="5" t="e">
        <f>SUMIFS(#REF!,#REF!,$C24)</f>
        <v>#REF!</v>
      </c>
      <c r="H24" s="4"/>
      <c r="I24" s="5">
        <v>12920</v>
      </c>
      <c r="J24" s="5">
        <f>SUMIFS('Business Licences by Community'!$D$2:$D$318,'Business Licences by Community'!$C$2:$C$318,$C24)</f>
        <v>71</v>
      </c>
      <c r="K24" s="15">
        <v>6.4407209999999999</v>
      </c>
      <c r="L24" s="5">
        <f t="shared" si="0"/>
        <v>2005.9865968421859</v>
      </c>
      <c r="M24" s="6">
        <f t="shared" si="1"/>
        <v>11.023610555402104</v>
      </c>
      <c r="N24" s="7">
        <f t="shared" si="2"/>
        <v>0.26341463414634148</v>
      </c>
      <c r="O24" s="7">
        <f t="shared" si="3"/>
        <v>0.37407407407407406</v>
      </c>
      <c r="P24" s="7">
        <f t="shared" si="4"/>
        <v>0.37407407407407406</v>
      </c>
      <c r="Q24" s="4" t="str">
        <f t="shared" si="5"/>
        <v>Businesses</v>
      </c>
      <c r="R24" s="16">
        <f t="shared" si="6"/>
        <v>0.56185185185185182</v>
      </c>
      <c r="S24" s="14">
        <f t="shared" si="7"/>
        <v>212</v>
      </c>
      <c r="T24" s="6" t="e">
        <f t="shared" si="8"/>
        <v>#REF!</v>
      </c>
      <c r="U24" s="17"/>
      <c r="V24" s="4" t="s">
        <v>971</v>
      </c>
    </row>
    <row r="25" spans="1:26" x14ac:dyDescent="0.45">
      <c r="A25" s="14">
        <v>24</v>
      </c>
      <c r="B25" s="4" t="s">
        <v>1031</v>
      </c>
      <c r="C25" s="4" t="s">
        <v>1032</v>
      </c>
      <c r="D25" s="5" t="e">
        <f>SUMIFS(#REF!,#REF!,$C25)</f>
        <v>#REF!</v>
      </c>
      <c r="E25" s="5" t="e">
        <f>SUMIFS(#REF!,#REF!,$C25)</f>
        <v>#REF!</v>
      </c>
      <c r="F25" s="5" t="e">
        <f>SUMIFS(#REF!,#REF!,$C25)</f>
        <v>#REF!</v>
      </c>
      <c r="G25" s="5" t="e">
        <f>SUMIFS(#REF!,#REF!,$C25)</f>
        <v>#REF!</v>
      </c>
      <c r="H25" s="4"/>
      <c r="I25" s="5">
        <v>25535</v>
      </c>
      <c r="J25" s="5">
        <f>SUMIFS('Business Licences by Community'!$D$2:$D$318,'Business Licences by Community'!$C$2:$C$318,$C25)</f>
        <v>24</v>
      </c>
      <c r="K25" s="15">
        <v>6.3359750000000004</v>
      </c>
      <c r="L25" s="5">
        <f t="shared" si="0"/>
        <v>4030.1611038553656</v>
      </c>
      <c r="M25" s="6">
        <f t="shared" si="1"/>
        <v>3.7878937337978762</v>
      </c>
      <c r="N25" s="7">
        <f t="shared" si="2"/>
        <v>0.86341463414634145</v>
      </c>
      <c r="O25" s="7">
        <f t="shared" si="3"/>
        <v>0.18148148148148149</v>
      </c>
      <c r="P25" s="7">
        <f t="shared" si="4"/>
        <v>0.86341463414634145</v>
      </c>
      <c r="Q25" s="4" t="str">
        <f t="shared" si="5"/>
        <v>Residents</v>
      </c>
      <c r="R25" s="16">
        <f t="shared" si="6"/>
        <v>0.90439024390243894</v>
      </c>
      <c r="S25" s="14">
        <f t="shared" si="7"/>
        <v>57</v>
      </c>
      <c r="T25" s="6" t="e">
        <f t="shared" si="8"/>
        <v>#REF!</v>
      </c>
      <c r="U25" s="17"/>
      <c r="V25" s="4" t="s">
        <v>971</v>
      </c>
    </row>
    <row r="26" spans="1:26" x14ac:dyDescent="0.45">
      <c r="A26" s="14">
        <v>25</v>
      </c>
      <c r="B26" s="4" t="s">
        <v>1033</v>
      </c>
      <c r="C26" s="4" t="s">
        <v>1034</v>
      </c>
      <c r="D26" s="5" t="e">
        <f>SUMIFS(#REF!,#REF!,$C26)</f>
        <v>#REF!</v>
      </c>
      <c r="E26" s="5" t="e">
        <f>SUMIFS(#REF!,#REF!,$C26)</f>
        <v>#REF!</v>
      </c>
      <c r="F26" s="5" t="e">
        <f>SUMIFS(#REF!,#REF!,$C26)</f>
        <v>#REF!</v>
      </c>
      <c r="G26" s="5" t="e">
        <f>SUMIFS(#REF!,#REF!,$C26)</f>
        <v>#REF!</v>
      </c>
      <c r="H26" s="4"/>
      <c r="I26" s="5">
        <v>6580</v>
      </c>
      <c r="J26" s="5">
        <f>SUMIFS('Business Licences by Community'!$D$2:$D$318,'Business Licences by Community'!$C$2:$C$318,$C26)</f>
        <v>66</v>
      </c>
      <c r="K26" s="15">
        <v>2.6576460000000002</v>
      </c>
      <c r="L26" s="5">
        <f t="shared" si="0"/>
        <v>2475.8752670596459</v>
      </c>
      <c r="M26" s="6">
        <f t="shared" si="1"/>
        <v>24.834007237984288</v>
      </c>
      <c r="N26" s="7">
        <f t="shared" si="2"/>
        <v>0.4195121951219512</v>
      </c>
      <c r="O26" s="7">
        <f t="shared" si="3"/>
        <v>0.59629629629629632</v>
      </c>
      <c r="P26" s="7">
        <f t="shared" si="4"/>
        <v>0.59629629629629632</v>
      </c>
      <c r="Q26" s="4" t="str">
        <f t="shared" si="5"/>
        <v>Businesses</v>
      </c>
      <c r="R26" s="16">
        <f t="shared" si="6"/>
        <v>0.71740740740740738</v>
      </c>
      <c r="S26" s="14">
        <f t="shared" si="7"/>
        <v>162</v>
      </c>
      <c r="T26" s="6" t="e">
        <f t="shared" si="8"/>
        <v>#REF!</v>
      </c>
      <c r="U26" s="17"/>
      <c r="V26" s="4" t="s">
        <v>971</v>
      </c>
    </row>
    <row r="27" spans="1:26" x14ac:dyDescent="0.45">
      <c r="A27" s="14">
        <v>26</v>
      </c>
      <c r="B27" s="4" t="s">
        <v>1035</v>
      </c>
      <c r="C27" s="4" t="s">
        <v>1036</v>
      </c>
      <c r="D27" s="5" t="e">
        <f>SUMIFS(#REF!,#REF!,$C27)</f>
        <v>#REF!</v>
      </c>
      <c r="E27" s="5" t="e">
        <f>SUMIFS(#REF!,#REF!,$C27)</f>
        <v>#REF!</v>
      </c>
      <c r="F27" s="5" t="e">
        <f>SUMIFS(#REF!,#REF!,$C27)</f>
        <v>#REF!</v>
      </c>
      <c r="G27" s="5" t="e">
        <f>SUMIFS(#REF!,#REF!,$C27)</f>
        <v>#REF!</v>
      </c>
      <c r="H27" s="4"/>
      <c r="I27" s="5">
        <v>18710</v>
      </c>
      <c r="J27" s="5">
        <f>SUMIFS('Business Licences by Community'!$D$2:$D$318,'Business Licences by Community'!$C$2:$C$318,$C27)</f>
        <v>88</v>
      </c>
      <c r="K27" s="15">
        <v>4.8823369999999997</v>
      </c>
      <c r="L27" s="5">
        <f t="shared" si="0"/>
        <v>3832.1811870012252</v>
      </c>
      <c r="M27" s="6">
        <f t="shared" si="1"/>
        <v>18.024155235494806</v>
      </c>
      <c r="N27" s="7">
        <f t="shared" si="2"/>
        <v>0.81463414634146336</v>
      </c>
      <c r="O27" s="7">
        <f t="shared" si="3"/>
        <v>0.52962962962962967</v>
      </c>
      <c r="P27" s="7">
        <f t="shared" si="4"/>
        <v>0.81463414634146336</v>
      </c>
      <c r="Q27" s="4" t="str">
        <f t="shared" si="5"/>
        <v>Residents</v>
      </c>
      <c r="R27" s="16">
        <f t="shared" si="6"/>
        <v>0.87024390243902427</v>
      </c>
      <c r="S27" s="14">
        <f t="shared" si="7"/>
        <v>79</v>
      </c>
      <c r="T27" s="6" t="e">
        <f t="shared" si="8"/>
        <v>#REF!</v>
      </c>
      <c r="U27" s="17"/>
      <c r="V27" s="4" t="s">
        <v>971</v>
      </c>
    </row>
    <row r="28" spans="1:26" x14ac:dyDescent="0.45">
      <c r="A28" s="14">
        <v>27</v>
      </c>
      <c r="B28" s="4" t="s">
        <v>1037</v>
      </c>
      <c r="C28" s="4" t="s">
        <v>1038</v>
      </c>
      <c r="D28" s="5" t="e">
        <f>SUMIFS(#REF!,#REF!,$C28)</f>
        <v>#REF!</v>
      </c>
      <c r="E28" s="5" t="e">
        <f>SUMIFS(#REF!,#REF!,$C28)</f>
        <v>#REF!</v>
      </c>
      <c r="F28" s="5" t="e">
        <f>SUMIFS(#REF!,#REF!,$C28)</f>
        <v>#REF!</v>
      </c>
      <c r="G28" s="5" t="e">
        <f>SUMIFS(#REF!,#REF!,$C28)</f>
        <v>#REF!</v>
      </c>
      <c r="H28" s="4"/>
      <c r="I28" s="5">
        <v>17350</v>
      </c>
      <c r="J28" s="5">
        <f>SUMIFS('Business Licences by Community'!$D$2:$D$318,'Business Licences by Community'!$C$2:$C$318,$C28)</f>
        <v>37</v>
      </c>
      <c r="K28" s="15">
        <v>4.0845580000000004</v>
      </c>
      <c r="L28" s="5">
        <f t="shared" si="0"/>
        <v>4247.7056269001441</v>
      </c>
      <c r="M28" s="6">
        <f t="shared" si="1"/>
        <v>9.0585076769628436</v>
      </c>
      <c r="N28" s="7">
        <f t="shared" si="2"/>
        <v>0.88292682926829269</v>
      </c>
      <c r="O28" s="7">
        <f t="shared" si="3"/>
        <v>0.32222222222222224</v>
      </c>
      <c r="P28" s="7">
        <f t="shared" si="4"/>
        <v>0.88292682926829269</v>
      </c>
      <c r="Q28" s="4" t="str">
        <f t="shared" si="5"/>
        <v>Residents</v>
      </c>
      <c r="R28" s="16">
        <f t="shared" si="6"/>
        <v>0.91804878048780481</v>
      </c>
      <c r="S28" s="14">
        <f t="shared" si="7"/>
        <v>48</v>
      </c>
      <c r="T28" s="6" t="e">
        <f t="shared" si="8"/>
        <v>#REF!</v>
      </c>
      <c r="U28" s="17"/>
      <c r="V28" s="4" t="s">
        <v>971</v>
      </c>
    </row>
    <row r="29" spans="1:26" x14ac:dyDescent="0.45">
      <c r="A29" s="14">
        <v>28</v>
      </c>
      <c r="B29" s="4" t="s">
        <v>1039</v>
      </c>
      <c r="C29" s="4" t="s">
        <v>1040</v>
      </c>
      <c r="D29" s="5" t="e">
        <f>SUMIFS(#REF!,#REF!,$C29)</f>
        <v>#REF!</v>
      </c>
      <c r="E29" s="5" t="e">
        <f>SUMIFS(#REF!,#REF!,$C29)</f>
        <v>#REF!</v>
      </c>
      <c r="F29" s="5" t="e">
        <f>SUMIFS(#REF!,#REF!,$C29)</f>
        <v>#REF!</v>
      </c>
      <c r="G29" s="5" t="e">
        <f>SUMIFS(#REF!,#REF!,$C29)</f>
        <v>#REF!</v>
      </c>
      <c r="H29" s="4"/>
      <c r="I29" s="5">
        <v>18090</v>
      </c>
      <c r="J29" s="5">
        <f>SUMIFS('Business Licences by Community'!$D$2:$D$318,'Business Licences by Community'!$C$2:$C$318,$C29)</f>
        <v>21</v>
      </c>
      <c r="K29" s="15">
        <v>4.5247950000000001</v>
      </c>
      <c r="L29" s="5">
        <f t="shared" si="0"/>
        <v>3997.9711788047857</v>
      </c>
      <c r="M29" s="6">
        <f t="shared" si="1"/>
        <v>4.6410942374184909</v>
      </c>
      <c r="N29" s="7">
        <f t="shared" si="2"/>
        <v>0.85365853658536583</v>
      </c>
      <c r="O29" s="7">
        <f t="shared" si="3"/>
        <v>0.22222222222222221</v>
      </c>
      <c r="P29" s="7">
        <f t="shared" si="4"/>
        <v>0.85365853658536583</v>
      </c>
      <c r="Q29" s="4" t="str">
        <f t="shared" si="5"/>
        <v>Residents</v>
      </c>
      <c r="R29" s="16">
        <f t="shared" si="6"/>
        <v>0.89756097560975601</v>
      </c>
      <c r="S29" s="14">
        <f t="shared" si="7"/>
        <v>62</v>
      </c>
      <c r="T29" s="6" t="e">
        <f t="shared" si="8"/>
        <v>#REF!</v>
      </c>
      <c r="U29" s="17"/>
      <c r="V29" s="4" t="s">
        <v>971</v>
      </c>
    </row>
    <row r="30" spans="1:26" x14ac:dyDescent="0.45">
      <c r="A30" s="14">
        <v>29</v>
      </c>
      <c r="B30" s="4" t="s">
        <v>1041</v>
      </c>
      <c r="C30" s="4" t="s">
        <v>1042</v>
      </c>
      <c r="D30" s="5" t="e">
        <f>SUMIFS(#REF!,#REF!,$C30)</f>
        <v>#REF!</v>
      </c>
      <c r="E30" s="5" t="e">
        <f>SUMIFS(#REF!,#REF!,$C30)</f>
        <v>#REF!</v>
      </c>
      <c r="F30" s="5" t="e">
        <f>SUMIFS(#REF!,#REF!,$C30)</f>
        <v>#REF!</v>
      </c>
      <c r="G30" s="5" t="e">
        <f>SUMIFS(#REF!,#REF!,$C30)</f>
        <v>#REF!</v>
      </c>
      <c r="H30" s="4"/>
      <c r="I30" s="5">
        <v>13000</v>
      </c>
      <c r="J30" s="5">
        <f>SUMIFS('Business Licences by Community'!$D$2:$D$318,'Business Licences by Community'!$C$2:$C$318,$C30)</f>
        <v>143</v>
      </c>
      <c r="K30" s="15">
        <v>5.4382820000000001</v>
      </c>
      <c r="L30" s="5">
        <f t="shared" si="0"/>
        <v>2390.4608109693468</v>
      </c>
      <c r="M30" s="6">
        <f t="shared" si="1"/>
        <v>26.295068920662811</v>
      </c>
      <c r="N30" s="7">
        <f t="shared" si="2"/>
        <v>0.40487804878048783</v>
      </c>
      <c r="O30" s="7">
        <f t="shared" si="3"/>
        <v>0.62222222222222223</v>
      </c>
      <c r="P30" s="7">
        <f t="shared" si="4"/>
        <v>0.62222222222222223</v>
      </c>
      <c r="Q30" s="4" t="str">
        <f t="shared" si="5"/>
        <v>Businesses</v>
      </c>
      <c r="R30" s="16">
        <f t="shared" si="6"/>
        <v>0.73555555555555552</v>
      </c>
      <c r="S30" s="14">
        <f t="shared" si="7"/>
        <v>152</v>
      </c>
      <c r="T30" s="6" t="e">
        <f t="shared" si="8"/>
        <v>#REF!</v>
      </c>
      <c r="U30" s="17"/>
      <c r="V30" s="4" t="s">
        <v>971</v>
      </c>
    </row>
    <row r="31" spans="1:26" x14ac:dyDescent="0.45">
      <c r="A31" s="14">
        <v>30</v>
      </c>
      <c r="B31" s="4" t="s">
        <v>1043</v>
      </c>
      <c r="C31" s="4" t="s">
        <v>1044</v>
      </c>
      <c r="D31" s="5" t="e">
        <f>SUMIFS(#REF!,#REF!,$C31)</f>
        <v>#REF!</v>
      </c>
      <c r="E31" s="5" t="e">
        <f>SUMIFS(#REF!,#REF!,$C31)</f>
        <v>#REF!</v>
      </c>
      <c r="F31" s="5" t="e">
        <f>SUMIFS(#REF!,#REF!,$C31)</f>
        <v>#REF!</v>
      </c>
      <c r="G31" s="5" t="e">
        <f>SUMIFS(#REF!,#REF!,$C31)</f>
        <v>#REF!</v>
      </c>
      <c r="H31" s="4"/>
      <c r="I31" s="5">
        <v>9915</v>
      </c>
      <c r="J31" s="5">
        <f>SUMIFS('Business Licences by Community'!$D$2:$D$318,'Business Licences by Community'!$C$2:$C$318,$C31)</f>
        <v>174</v>
      </c>
      <c r="K31" s="15">
        <v>3.9010220000000002</v>
      </c>
      <c r="L31" s="5">
        <f t="shared" si="0"/>
        <v>2541.6416518543087</v>
      </c>
      <c r="M31" s="6">
        <f t="shared" si="1"/>
        <v>44.603696159621755</v>
      </c>
      <c r="N31" s="7">
        <f t="shared" si="2"/>
        <v>0.45853658536585368</v>
      </c>
      <c r="O31" s="7">
        <f t="shared" si="3"/>
        <v>0.75185185185185188</v>
      </c>
      <c r="P31" s="7">
        <f t="shared" si="4"/>
        <v>0.75185185185185188</v>
      </c>
      <c r="Q31" s="4" t="str">
        <f t="shared" si="5"/>
        <v>Businesses</v>
      </c>
      <c r="R31" s="16">
        <f t="shared" si="6"/>
        <v>0.82629629629629631</v>
      </c>
      <c r="S31" s="14">
        <f t="shared" si="7"/>
        <v>104</v>
      </c>
      <c r="T31" s="6" t="e">
        <f t="shared" si="8"/>
        <v>#REF!</v>
      </c>
      <c r="U31" s="17"/>
      <c r="V31" s="4" t="s">
        <v>971</v>
      </c>
    </row>
    <row r="32" spans="1:26" x14ac:dyDescent="0.45">
      <c r="A32" s="14">
        <v>31</v>
      </c>
      <c r="B32" s="4" t="s">
        <v>1045</v>
      </c>
      <c r="C32" s="4" t="s">
        <v>1046</v>
      </c>
      <c r="D32" s="5" t="e">
        <f>SUMIFS(#REF!,#REF!,$C32)</f>
        <v>#REF!</v>
      </c>
      <c r="E32" s="5" t="e">
        <f>SUMIFS(#REF!,#REF!,$C32)</f>
        <v>#REF!</v>
      </c>
      <c r="F32" s="5" t="e">
        <f>SUMIFS(#REF!,#REF!,$C32)</f>
        <v>#REF!</v>
      </c>
      <c r="G32" s="5" t="e">
        <f>SUMIFS(#REF!,#REF!,$C32)</f>
        <v>#REF!</v>
      </c>
      <c r="H32" s="4"/>
      <c r="I32" s="5">
        <v>10145</v>
      </c>
      <c r="J32" s="5">
        <f>SUMIFS('Business Licences by Community'!$D$2:$D$318,'Business Licences by Community'!$C$2:$C$318,$C32)</f>
        <v>129</v>
      </c>
      <c r="K32" s="15">
        <v>5.262499</v>
      </c>
      <c r="L32" s="5">
        <f t="shared" si="0"/>
        <v>1927.7913401978794</v>
      </c>
      <c r="M32" s="6">
        <f t="shared" si="1"/>
        <v>24.513068791081956</v>
      </c>
      <c r="N32" s="7">
        <f t="shared" si="2"/>
        <v>0.23902439024390243</v>
      </c>
      <c r="O32" s="7">
        <f t="shared" si="3"/>
        <v>0.59259259259259256</v>
      </c>
      <c r="P32" s="7">
        <f t="shared" si="4"/>
        <v>0.59259259259259256</v>
      </c>
      <c r="Q32" s="4" t="str">
        <f t="shared" si="5"/>
        <v>Businesses</v>
      </c>
      <c r="R32" s="16">
        <f t="shared" si="6"/>
        <v>0.71481481481481479</v>
      </c>
      <c r="S32" s="14">
        <f t="shared" si="7"/>
        <v>164</v>
      </c>
      <c r="T32" s="6" t="e">
        <f t="shared" si="8"/>
        <v>#REF!</v>
      </c>
      <c r="U32" s="17"/>
      <c r="V32" s="4" t="s">
        <v>971</v>
      </c>
    </row>
    <row r="33" spans="1:22" x14ac:dyDescent="0.45">
      <c r="A33" s="14">
        <v>32</v>
      </c>
      <c r="B33" s="4" t="s">
        <v>1047</v>
      </c>
      <c r="C33" s="4" t="s">
        <v>1048</v>
      </c>
      <c r="D33" s="5" t="e">
        <f>SUMIFS(#REF!,#REF!,$C33)</f>
        <v>#REF!</v>
      </c>
      <c r="E33" s="5" t="e">
        <f>SUMIFS(#REF!,#REF!,$C33)</f>
        <v>#REF!</v>
      </c>
      <c r="F33" s="5" t="e">
        <f>SUMIFS(#REF!,#REF!,$C33)</f>
        <v>#REF!</v>
      </c>
      <c r="G33" s="5" t="e">
        <f>SUMIFS(#REF!,#REF!,$C33)</f>
        <v>#REF!</v>
      </c>
      <c r="H33" s="4"/>
      <c r="I33" s="5">
        <v>11085</v>
      </c>
      <c r="J33" s="5">
        <f>SUMIFS('Business Licences by Community'!$D$2:$D$318,'Business Licences by Community'!$C$2:$C$318,$C33)</f>
        <v>35</v>
      </c>
      <c r="K33" s="15">
        <v>2.6426980000000002</v>
      </c>
      <c r="L33" s="5">
        <f t="shared" si="0"/>
        <v>4194.5769058742235</v>
      </c>
      <c r="M33" s="6">
        <f t="shared" si="1"/>
        <v>13.244040749264576</v>
      </c>
      <c r="N33" s="7">
        <f t="shared" si="2"/>
        <v>0.87317073170731707</v>
      </c>
      <c r="O33" s="7">
        <f t="shared" si="3"/>
        <v>0.42962962962962964</v>
      </c>
      <c r="P33" s="7">
        <f t="shared" si="4"/>
        <v>0.87317073170731707</v>
      </c>
      <c r="Q33" s="4" t="str">
        <f t="shared" si="5"/>
        <v>Residents</v>
      </c>
      <c r="R33" s="16">
        <f t="shared" si="6"/>
        <v>0.91121951219512187</v>
      </c>
      <c r="S33" s="14">
        <f t="shared" si="7"/>
        <v>53</v>
      </c>
      <c r="T33" s="6" t="e">
        <f t="shared" si="8"/>
        <v>#REF!</v>
      </c>
      <c r="U33" s="17"/>
      <c r="V33" s="4" t="s">
        <v>971</v>
      </c>
    </row>
    <row r="34" spans="1:22" x14ac:dyDescent="0.45">
      <c r="A34" s="14">
        <v>33</v>
      </c>
      <c r="B34" s="4" t="s">
        <v>1049</v>
      </c>
      <c r="C34" s="4" t="s">
        <v>1050</v>
      </c>
      <c r="D34" s="5" t="e">
        <f>SUMIFS(#REF!,#REF!,$C34)</f>
        <v>#REF!</v>
      </c>
      <c r="E34" s="5" t="e">
        <f>SUMIFS(#REF!,#REF!,$C34)</f>
        <v>#REF!</v>
      </c>
      <c r="F34" s="5" t="e">
        <f>SUMIFS(#REF!,#REF!,$C34)</f>
        <v>#REF!</v>
      </c>
      <c r="G34" s="5" t="e">
        <f>SUMIFS(#REF!,#REF!,$C34)</f>
        <v>#REF!</v>
      </c>
      <c r="H34" s="4"/>
      <c r="I34" s="5">
        <v>8695</v>
      </c>
      <c r="J34" s="5">
        <f>SUMIFS('Business Licences by Community'!$D$2:$D$318,'Business Licences by Community'!$C$2:$C$318,$C34)</f>
        <v>59</v>
      </c>
      <c r="K34" s="15">
        <v>3.269857</v>
      </c>
      <c r="L34" s="5">
        <f t="shared" si="0"/>
        <v>2659.137693177408</v>
      </c>
      <c r="M34" s="6">
        <f t="shared" si="1"/>
        <v>18.043602518397595</v>
      </c>
      <c r="N34" s="7">
        <f t="shared" si="2"/>
        <v>0.52195121951219514</v>
      </c>
      <c r="O34" s="7">
        <f t="shared" si="3"/>
        <v>0.53333333333333333</v>
      </c>
      <c r="P34" s="7">
        <f t="shared" si="4"/>
        <v>0.53333333333333333</v>
      </c>
      <c r="Q34" s="4" t="str">
        <f t="shared" si="5"/>
        <v>Businesses</v>
      </c>
      <c r="R34" s="16">
        <f t="shared" si="6"/>
        <v>0.67333333333333334</v>
      </c>
      <c r="S34" s="14">
        <f t="shared" si="7"/>
        <v>176</v>
      </c>
      <c r="T34" s="6" t="e">
        <f t="shared" si="8"/>
        <v>#REF!</v>
      </c>
      <c r="U34" s="17"/>
      <c r="V34" s="4" t="s">
        <v>971</v>
      </c>
    </row>
    <row r="35" spans="1:22" x14ac:dyDescent="0.45">
      <c r="A35" s="14">
        <v>34</v>
      </c>
      <c r="B35" s="4" t="s">
        <v>1051</v>
      </c>
      <c r="C35" s="4" t="s">
        <v>1052</v>
      </c>
      <c r="D35" s="5" t="e">
        <f>SUMIFS(#REF!,#REF!,$C35)</f>
        <v>#REF!</v>
      </c>
      <c r="E35" s="5" t="e">
        <f>SUMIFS(#REF!,#REF!,$C35)</f>
        <v>#REF!</v>
      </c>
      <c r="F35" s="5" t="e">
        <f>SUMIFS(#REF!,#REF!,$C35)</f>
        <v>#REF!</v>
      </c>
      <c r="G35" s="5" t="e">
        <f>SUMIFS(#REF!,#REF!,$C35)</f>
        <v>#REF!</v>
      </c>
      <c r="H35" s="4"/>
      <c r="I35" s="5">
        <v>6325</v>
      </c>
      <c r="J35" s="5">
        <f>SUMIFS('Business Licences by Community'!$D$2:$D$318,'Business Licences by Community'!$C$2:$C$318,$C35)</f>
        <v>75</v>
      </c>
      <c r="K35" s="15">
        <v>1.874144</v>
      </c>
      <c r="L35" s="5">
        <f t="shared" si="0"/>
        <v>3374.8740758447589</v>
      </c>
      <c r="M35" s="6">
        <f t="shared" si="1"/>
        <v>40.018269674048526</v>
      </c>
      <c r="N35" s="7">
        <f t="shared" si="2"/>
        <v>0.73170731707317072</v>
      </c>
      <c r="O35" s="7">
        <f t="shared" si="3"/>
        <v>0.71851851851851856</v>
      </c>
      <c r="P35" s="7">
        <f t="shared" si="4"/>
        <v>0.73170731707317072</v>
      </c>
      <c r="Q35" s="4" t="str">
        <f t="shared" si="5"/>
        <v>Residents</v>
      </c>
      <c r="R35" s="16">
        <f t="shared" si="6"/>
        <v>0.81219512195121957</v>
      </c>
      <c r="S35" s="14">
        <f t="shared" si="7"/>
        <v>113</v>
      </c>
      <c r="T35" s="6" t="e">
        <f t="shared" si="8"/>
        <v>#REF!</v>
      </c>
      <c r="U35" s="17"/>
      <c r="V35" s="4" t="s">
        <v>971</v>
      </c>
    </row>
    <row r="36" spans="1:22" x14ac:dyDescent="0.45">
      <c r="A36" s="14">
        <v>35</v>
      </c>
      <c r="B36" s="4" t="s">
        <v>1053</v>
      </c>
      <c r="C36" s="4" t="s">
        <v>1054</v>
      </c>
      <c r="D36" s="5" t="e">
        <f>SUMIFS(#REF!,#REF!,$C36)</f>
        <v>#REF!</v>
      </c>
      <c r="E36" s="5" t="e">
        <f>SUMIFS(#REF!,#REF!,$C36)</f>
        <v>#REF!</v>
      </c>
      <c r="F36" s="5" t="e">
        <f>SUMIFS(#REF!,#REF!,$C36)</f>
        <v>#REF!</v>
      </c>
      <c r="G36" s="5" t="e">
        <f>SUMIFS(#REF!,#REF!,$C36)</f>
        <v>#REF!</v>
      </c>
      <c r="H36" s="4"/>
      <c r="I36" s="5">
        <v>7230</v>
      </c>
      <c r="J36" s="5">
        <f>SUMIFS('Business Licences by Community'!$D$2:$D$318,'Business Licences by Community'!$C$2:$C$318,$C36)</f>
        <v>156</v>
      </c>
      <c r="K36" s="15">
        <v>2.313088</v>
      </c>
      <c r="L36" s="5">
        <f t="shared" si="0"/>
        <v>3125.6917160090752</v>
      </c>
      <c r="M36" s="6">
        <f t="shared" si="1"/>
        <v>67.442310884843124</v>
      </c>
      <c r="N36" s="7">
        <f t="shared" si="2"/>
        <v>0.6634146341463415</v>
      </c>
      <c r="O36" s="7">
        <f t="shared" si="3"/>
        <v>0.82592592592592595</v>
      </c>
      <c r="P36" s="7">
        <f t="shared" si="4"/>
        <v>0.82592592592592595</v>
      </c>
      <c r="Q36" s="4" t="str">
        <f t="shared" si="5"/>
        <v>Businesses</v>
      </c>
      <c r="R36" s="16">
        <f t="shared" si="6"/>
        <v>0.87814814814814812</v>
      </c>
      <c r="S36" s="14">
        <f t="shared" si="7"/>
        <v>75</v>
      </c>
      <c r="T36" s="6" t="e">
        <f t="shared" si="8"/>
        <v>#REF!</v>
      </c>
      <c r="U36" s="17"/>
      <c r="V36" s="4" t="s">
        <v>971</v>
      </c>
    </row>
    <row r="37" spans="1:22" x14ac:dyDescent="0.45">
      <c r="A37" s="14">
        <v>36</v>
      </c>
      <c r="B37" s="4" t="s">
        <v>1055</v>
      </c>
      <c r="C37" s="4" t="s">
        <v>1056</v>
      </c>
      <c r="D37" s="5" t="e">
        <f>SUMIFS(#REF!,#REF!,$C37)</f>
        <v>#REF!</v>
      </c>
      <c r="E37" s="5" t="e">
        <f>SUMIFS(#REF!,#REF!,$C37)</f>
        <v>#REF!</v>
      </c>
      <c r="F37" s="5" t="e">
        <f>SUMIFS(#REF!,#REF!,$C37)</f>
        <v>#REF!</v>
      </c>
      <c r="G37" s="5" t="e">
        <f>SUMIFS(#REF!,#REF!,$C37)</f>
        <v>#REF!</v>
      </c>
      <c r="H37" s="4"/>
      <c r="I37" s="5">
        <v>4000</v>
      </c>
      <c r="J37" s="5">
        <f>SUMIFS('Business Licences by Community'!$D$2:$D$318,'Business Licences by Community'!$C$2:$C$318,$C37)</f>
        <v>63</v>
      </c>
      <c r="K37" s="15">
        <v>1.022688</v>
      </c>
      <c r="L37" s="5">
        <f t="shared" si="0"/>
        <v>3911.2613035451673</v>
      </c>
      <c r="M37" s="6">
        <f t="shared" si="1"/>
        <v>61.60236553083638</v>
      </c>
      <c r="N37" s="7">
        <f t="shared" si="2"/>
        <v>0.8341463414634146</v>
      </c>
      <c r="O37" s="7">
        <f t="shared" si="3"/>
        <v>0.80740740740740746</v>
      </c>
      <c r="P37" s="7">
        <f t="shared" si="4"/>
        <v>0.8341463414634146</v>
      </c>
      <c r="Q37" s="4" t="str">
        <f t="shared" si="5"/>
        <v>Residents</v>
      </c>
      <c r="R37" s="16">
        <f t="shared" si="6"/>
        <v>0.88390243902439014</v>
      </c>
      <c r="S37" s="14">
        <f t="shared" si="7"/>
        <v>71</v>
      </c>
      <c r="T37" s="6" t="e">
        <f t="shared" si="8"/>
        <v>#REF!</v>
      </c>
      <c r="U37" s="17"/>
      <c r="V37" s="4" t="s">
        <v>971</v>
      </c>
    </row>
    <row r="38" spans="1:22" x14ac:dyDescent="0.45">
      <c r="A38" s="14">
        <v>37</v>
      </c>
      <c r="B38" s="4" t="s">
        <v>1057</v>
      </c>
      <c r="C38" s="4" t="s">
        <v>1058</v>
      </c>
      <c r="D38" s="5" t="e">
        <f>SUMIFS(#REF!,#REF!,$C38)</f>
        <v>#REF!</v>
      </c>
      <c r="E38" s="5" t="e">
        <f>SUMIFS(#REF!,#REF!,$C38)</f>
        <v>#REF!</v>
      </c>
      <c r="F38" s="5" t="e">
        <f>SUMIFS(#REF!,#REF!,$C38)</f>
        <v>#REF!</v>
      </c>
      <c r="G38" s="5" t="e">
        <f>SUMIFS(#REF!,#REF!,$C38)</f>
        <v>#REF!</v>
      </c>
      <c r="H38" s="4"/>
      <c r="I38" s="5">
        <v>20780</v>
      </c>
      <c r="J38" s="5">
        <f>SUMIFS('Business Licences by Community'!$D$2:$D$318,'Business Licences by Community'!$C$2:$C$318,$C38)</f>
        <v>26</v>
      </c>
      <c r="K38" s="15">
        <v>4.9065099999999999</v>
      </c>
      <c r="L38" s="5">
        <f t="shared" si="0"/>
        <v>4235.1895746671262</v>
      </c>
      <c r="M38" s="6">
        <f t="shared" si="1"/>
        <v>5.2990822397182518</v>
      </c>
      <c r="N38" s="7">
        <f t="shared" si="2"/>
        <v>0.87804878048780488</v>
      </c>
      <c r="O38" s="7">
        <f t="shared" si="3"/>
        <v>0.23703703703703705</v>
      </c>
      <c r="P38" s="7">
        <f t="shared" si="4"/>
        <v>0.87804878048780488</v>
      </c>
      <c r="Q38" s="4" t="str">
        <f t="shared" si="5"/>
        <v>Residents</v>
      </c>
      <c r="R38" s="16">
        <f t="shared" si="6"/>
        <v>0.91463414634146334</v>
      </c>
      <c r="S38" s="14">
        <f t="shared" si="7"/>
        <v>50</v>
      </c>
      <c r="T38" s="6" t="e">
        <f t="shared" si="8"/>
        <v>#REF!</v>
      </c>
      <c r="U38" s="17"/>
      <c r="V38" s="4" t="s">
        <v>971</v>
      </c>
    </row>
    <row r="39" spans="1:22" x14ac:dyDescent="0.45">
      <c r="A39" s="14">
        <v>38</v>
      </c>
      <c r="B39" s="4" t="s">
        <v>1059</v>
      </c>
      <c r="C39" s="4" t="s">
        <v>1060</v>
      </c>
      <c r="D39" s="5" t="e">
        <f>SUMIFS(#REF!,#REF!,$C39)</f>
        <v>#REF!</v>
      </c>
      <c r="E39" s="5" t="e">
        <f>SUMIFS(#REF!,#REF!,$C39)</f>
        <v>#REF!</v>
      </c>
      <c r="F39" s="5" t="e">
        <f>SUMIFS(#REF!,#REF!,$C39)</f>
        <v>#REF!</v>
      </c>
      <c r="G39" s="5" t="e">
        <f>SUMIFS(#REF!,#REF!,$C39)</f>
        <v>#REF!</v>
      </c>
      <c r="H39" s="4"/>
      <c r="I39" s="5">
        <v>11295</v>
      </c>
      <c r="J39" s="5">
        <f>SUMIFS('Business Licences by Community'!$D$2:$D$318,'Business Licences by Community'!$C$2:$C$318,$C39)</f>
        <v>51</v>
      </c>
      <c r="K39" s="15">
        <v>3.2001909999999998</v>
      </c>
      <c r="L39" s="5">
        <f t="shared" si="0"/>
        <v>3529.4768343514497</v>
      </c>
      <c r="M39" s="6">
        <f t="shared" si="1"/>
        <v>15.936548787244263</v>
      </c>
      <c r="N39" s="7">
        <f t="shared" si="2"/>
        <v>0.75609756097560976</v>
      </c>
      <c r="O39" s="7">
        <f t="shared" si="3"/>
        <v>0.50370370370370365</v>
      </c>
      <c r="P39" s="7">
        <f t="shared" si="4"/>
        <v>0.75609756097560976</v>
      </c>
      <c r="Q39" s="4" t="str">
        <f t="shared" si="5"/>
        <v>Residents</v>
      </c>
      <c r="R39" s="16">
        <f t="shared" si="6"/>
        <v>0.82926829268292668</v>
      </c>
      <c r="S39" s="14">
        <f t="shared" si="7"/>
        <v>102</v>
      </c>
      <c r="T39" s="6" t="e">
        <f t="shared" si="8"/>
        <v>#REF!</v>
      </c>
      <c r="U39" s="17"/>
      <c r="V39" s="4" t="s">
        <v>971</v>
      </c>
    </row>
    <row r="40" spans="1:22" x14ac:dyDescent="0.45">
      <c r="A40" s="14">
        <v>39</v>
      </c>
      <c r="B40" s="4" t="s">
        <v>1061</v>
      </c>
      <c r="C40" s="4" t="s">
        <v>1062</v>
      </c>
      <c r="D40" s="5" t="e">
        <f>SUMIFS(#REF!,#REF!,$C40)</f>
        <v>#REF!</v>
      </c>
      <c r="E40" s="5" t="e">
        <f>SUMIFS(#REF!,#REF!,$C40)</f>
        <v>#REF!</v>
      </c>
      <c r="F40" s="5" t="e">
        <f>SUMIFS(#REF!,#REF!,$C40)</f>
        <v>#REF!</v>
      </c>
      <c r="G40" s="5" t="e">
        <f>SUMIFS(#REF!,#REF!,$C40)</f>
        <v>#REF!</v>
      </c>
      <c r="H40" s="4"/>
      <c r="I40" s="5">
        <v>4175</v>
      </c>
      <c r="J40" s="5">
        <f>SUMIFS('Business Licences by Community'!$D$2:$D$318,'Business Licences by Community'!$C$2:$C$318,$C40)</f>
        <v>102</v>
      </c>
      <c r="K40" s="15">
        <v>2.9535110000000002</v>
      </c>
      <c r="L40" s="5">
        <f t="shared" si="0"/>
        <v>1413.5718472015169</v>
      </c>
      <c r="M40" s="6">
        <f t="shared" si="1"/>
        <v>34.535168482528078</v>
      </c>
      <c r="N40" s="7">
        <f t="shared" si="2"/>
        <v>0.14634146341463414</v>
      </c>
      <c r="O40" s="7">
        <f t="shared" si="3"/>
        <v>0.68518518518518523</v>
      </c>
      <c r="P40" s="7">
        <f t="shared" si="4"/>
        <v>0.68518518518518523</v>
      </c>
      <c r="Q40" s="4" t="str">
        <f t="shared" si="5"/>
        <v>Businesses</v>
      </c>
      <c r="R40" s="16">
        <f t="shared" si="6"/>
        <v>0.77962962962962967</v>
      </c>
      <c r="S40" s="14">
        <f t="shared" si="7"/>
        <v>129</v>
      </c>
      <c r="T40" s="6" t="e">
        <f t="shared" si="8"/>
        <v>#REF!</v>
      </c>
      <c r="U40" s="17"/>
      <c r="V40" s="4" t="s">
        <v>971</v>
      </c>
    </row>
    <row r="41" spans="1:22" x14ac:dyDescent="0.45">
      <c r="A41" s="14">
        <v>40</v>
      </c>
      <c r="B41" s="4" t="s">
        <v>1063</v>
      </c>
      <c r="C41" s="4" t="s">
        <v>1064</v>
      </c>
      <c r="D41" s="5" t="e">
        <f>SUMIFS(#REF!,#REF!,$C41)</f>
        <v>#REF!</v>
      </c>
      <c r="E41" s="5" t="e">
        <f>SUMIFS(#REF!,#REF!,$C41)</f>
        <v>#REF!</v>
      </c>
      <c r="F41" s="5" t="e">
        <f>SUMIFS(#REF!,#REF!,$C41)</f>
        <v>#REF!</v>
      </c>
      <c r="G41" s="5" t="e">
        <f>SUMIFS(#REF!,#REF!,$C41)</f>
        <v>#REF!</v>
      </c>
      <c r="H41" s="4"/>
      <c r="I41" s="5">
        <v>5250</v>
      </c>
      <c r="J41" s="5">
        <f>SUMIFS('Business Licences by Community'!$D$2:$D$318,'Business Licences by Community'!$C$2:$C$318,$C41)</f>
        <v>48</v>
      </c>
      <c r="K41" s="15">
        <v>1.9060589999999999</v>
      </c>
      <c r="L41" s="5">
        <f t="shared" si="0"/>
        <v>2754.3743399338637</v>
      </c>
      <c r="M41" s="6">
        <f t="shared" si="1"/>
        <v>25.182851107966751</v>
      </c>
      <c r="N41" s="7">
        <f t="shared" si="2"/>
        <v>0.56097560975609762</v>
      </c>
      <c r="O41" s="7">
        <f t="shared" si="3"/>
        <v>0.60370370370370374</v>
      </c>
      <c r="P41" s="7">
        <f t="shared" si="4"/>
        <v>0.60370370370370374</v>
      </c>
      <c r="Q41" s="4" t="str">
        <f t="shared" si="5"/>
        <v>Businesses</v>
      </c>
      <c r="R41" s="16">
        <f t="shared" si="6"/>
        <v>0.72259259259259256</v>
      </c>
      <c r="S41" s="14">
        <f t="shared" si="7"/>
        <v>159</v>
      </c>
      <c r="T41" s="6" t="e">
        <f t="shared" si="8"/>
        <v>#REF!</v>
      </c>
      <c r="U41" s="17"/>
      <c r="V41" s="4" t="s">
        <v>971</v>
      </c>
    </row>
    <row r="42" spans="1:22" x14ac:dyDescent="0.45">
      <c r="A42" s="14">
        <v>41</v>
      </c>
      <c r="B42" s="4" t="s">
        <v>1065</v>
      </c>
      <c r="C42" s="4" t="s">
        <v>1066</v>
      </c>
      <c r="D42" s="5" t="e">
        <f>SUMIFS(#REF!,#REF!,$C42)</f>
        <v>#REF!</v>
      </c>
      <c r="E42" s="5" t="e">
        <f>SUMIFS(#REF!,#REF!,$C42)</f>
        <v>#REF!</v>
      </c>
      <c r="F42" s="5" t="e">
        <f>SUMIFS(#REF!,#REF!,$C42)</f>
        <v>#REF!</v>
      </c>
      <c r="G42" s="5" t="e">
        <f>SUMIFS(#REF!,#REF!,$C42)</f>
        <v>#REF!</v>
      </c>
      <c r="H42" s="4"/>
      <c r="I42" s="5">
        <v>13290</v>
      </c>
      <c r="J42" s="5">
        <f>SUMIFS('Business Licences by Community'!$D$2:$D$318,'Business Licences by Community'!$C$2:$C$318,$C42)</f>
        <v>13</v>
      </c>
      <c r="K42" s="15">
        <v>5.0663109999999998</v>
      </c>
      <c r="L42" s="5">
        <f t="shared" si="0"/>
        <v>2623.2104582604584</v>
      </c>
      <c r="M42" s="6">
        <f t="shared" si="1"/>
        <v>2.5659695979974386</v>
      </c>
      <c r="N42" s="7">
        <f t="shared" si="2"/>
        <v>0.50731707317073171</v>
      </c>
      <c r="O42" s="7">
        <f t="shared" si="3"/>
        <v>0.12962962962962962</v>
      </c>
      <c r="P42" s="7">
        <f t="shared" si="4"/>
        <v>0.50731707317073171</v>
      </c>
      <c r="Q42" s="4" t="str">
        <f t="shared" si="5"/>
        <v>Residents</v>
      </c>
      <c r="R42" s="16">
        <f t="shared" si="6"/>
        <v>0.65512195121951211</v>
      </c>
      <c r="S42" s="14">
        <f t="shared" si="7"/>
        <v>185</v>
      </c>
      <c r="T42" s="6" t="e">
        <f t="shared" si="8"/>
        <v>#REF!</v>
      </c>
      <c r="U42" s="17"/>
      <c r="V42" s="4" t="s">
        <v>971</v>
      </c>
    </row>
    <row r="43" spans="1:22" x14ac:dyDescent="0.45">
      <c r="A43" s="14">
        <v>42</v>
      </c>
      <c r="B43" s="4" t="s">
        <v>1067</v>
      </c>
      <c r="C43" s="4" t="s">
        <v>1068</v>
      </c>
      <c r="D43" s="5" t="e">
        <f>SUMIFS(#REF!,#REF!,$C43)</f>
        <v>#REF!</v>
      </c>
      <c r="E43" s="5" t="e">
        <f>SUMIFS(#REF!,#REF!,$C43)</f>
        <v>#REF!</v>
      </c>
      <c r="F43" s="5" t="e">
        <f>SUMIFS(#REF!,#REF!,$C43)</f>
        <v>#REF!</v>
      </c>
      <c r="G43" s="5" t="e">
        <f>SUMIFS(#REF!,#REF!,$C43)</f>
        <v>#REF!</v>
      </c>
      <c r="H43" s="4"/>
      <c r="I43" s="5">
        <v>6960</v>
      </c>
      <c r="J43" s="5">
        <f>SUMIFS('Business Licences by Community'!$D$2:$D$318,'Business Licences by Community'!$C$2:$C$318,$C43)</f>
        <v>215</v>
      </c>
      <c r="K43" s="15">
        <v>2.6704400000000001</v>
      </c>
      <c r="L43" s="5">
        <f t="shared" si="0"/>
        <v>2606.3120684231812</v>
      </c>
      <c r="M43" s="6">
        <f t="shared" si="1"/>
        <v>80.51107682629079</v>
      </c>
      <c r="N43" s="7">
        <f t="shared" si="2"/>
        <v>0.4975609756097561</v>
      </c>
      <c r="O43" s="7">
        <f t="shared" si="3"/>
        <v>0.85555555555555551</v>
      </c>
      <c r="P43" s="7">
        <f t="shared" si="4"/>
        <v>0.85555555555555551</v>
      </c>
      <c r="Q43" s="4" t="str">
        <f t="shared" si="5"/>
        <v>Businesses</v>
      </c>
      <c r="R43" s="16">
        <f t="shared" si="6"/>
        <v>0.89888888888888885</v>
      </c>
      <c r="S43" s="14">
        <f t="shared" si="7"/>
        <v>61</v>
      </c>
      <c r="T43" s="6" t="e">
        <f t="shared" si="8"/>
        <v>#REF!</v>
      </c>
      <c r="U43" s="17"/>
      <c r="V43" s="4" t="s">
        <v>971</v>
      </c>
    </row>
    <row r="44" spans="1:22" x14ac:dyDescent="0.45">
      <c r="A44" s="14">
        <v>43</v>
      </c>
      <c r="B44" s="4" t="s">
        <v>1069</v>
      </c>
      <c r="C44" s="4" t="s">
        <v>1070</v>
      </c>
      <c r="D44" s="5" t="e">
        <f>SUMIFS(#REF!,#REF!,$C44)</f>
        <v>#REF!</v>
      </c>
      <c r="E44" s="5" t="e">
        <f>SUMIFS(#REF!,#REF!,$C44)</f>
        <v>#REF!</v>
      </c>
      <c r="F44" s="5" t="e">
        <f>SUMIFS(#REF!,#REF!,$C44)</f>
        <v>#REF!</v>
      </c>
      <c r="G44" s="5" t="e">
        <f>SUMIFS(#REF!,#REF!,$C44)</f>
        <v>#REF!</v>
      </c>
      <c r="H44" s="4"/>
      <c r="I44" s="5">
        <v>17630</v>
      </c>
      <c r="J44" s="5">
        <f>SUMIFS('Business Licences by Community'!$D$2:$D$318,'Business Licences by Community'!$C$2:$C$318,$C44)</f>
        <v>36</v>
      </c>
      <c r="K44" s="15">
        <v>2.8444470000000002</v>
      </c>
      <c r="L44" s="5">
        <f t="shared" si="0"/>
        <v>6198.0413064472632</v>
      </c>
      <c r="M44" s="6">
        <f t="shared" si="1"/>
        <v>12.656238629160606</v>
      </c>
      <c r="N44" s="7">
        <f t="shared" si="2"/>
        <v>0.97073170731707314</v>
      </c>
      <c r="O44" s="7">
        <f t="shared" si="3"/>
        <v>0.41851851851851851</v>
      </c>
      <c r="P44" s="7">
        <f t="shared" si="4"/>
        <v>0.97073170731707314</v>
      </c>
      <c r="Q44" s="4" t="str">
        <f t="shared" si="5"/>
        <v>Residents</v>
      </c>
      <c r="R44" s="16">
        <f t="shared" si="6"/>
        <v>0.9795121951219512</v>
      </c>
      <c r="S44" s="14">
        <f t="shared" si="7"/>
        <v>12</v>
      </c>
      <c r="T44" s="6" t="e">
        <f t="shared" si="8"/>
        <v>#REF!</v>
      </c>
      <c r="U44" s="17"/>
      <c r="V44" s="4" t="s">
        <v>971</v>
      </c>
    </row>
    <row r="45" spans="1:22" x14ac:dyDescent="0.45">
      <c r="A45" s="14">
        <v>44</v>
      </c>
      <c r="B45" s="4" t="s">
        <v>1071</v>
      </c>
      <c r="C45" s="4" t="s">
        <v>1072</v>
      </c>
      <c r="D45" s="5" t="e">
        <f>SUMIFS(#REF!,#REF!,$C45)</f>
        <v>#REF!</v>
      </c>
      <c r="E45" s="5" t="e">
        <f>SUMIFS(#REF!,#REF!,$C45)</f>
        <v>#REF!</v>
      </c>
      <c r="F45" s="5" t="e">
        <f>SUMIFS(#REF!,#REF!,$C45)</f>
        <v>#REF!</v>
      </c>
      <c r="G45" s="5" t="e">
        <f>SUMIFS(#REF!,#REF!,$C45)</f>
        <v>#REF!</v>
      </c>
      <c r="H45" s="4"/>
      <c r="I45" s="5">
        <v>11540</v>
      </c>
      <c r="J45" s="5">
        <f>SUMIFS('Business Licences by Community'!$D$2:$D$318,'Business Licences by Community'!$C$2:$C$318,$C45)</f>
        <v>18</v>
      </c>
      <c r="K45" s="15">
        <v>4.3061150000000001</v>
      </c>
      <c r="L45" s="5">
        <f t="shared" si="0"/>
        <v>2679.9098491331511</v>
      </c>
      <c r="M45" s="6">
        <f t="shared" si="1"/>
        <v>4.1801020177120209</v>
      </c>
      <c r="N45" s="7">
        <f t="shared" si="2"/>
        <v>0.53170731707317076</v>
      </c>
      <c r="O45" s="7">
        <f t="shared" si="3"/>
        <v>0.1962962962962963</v>
      </c>
      <c r="P45" s="7">
        <f t="shared" si="4"/>
        <v>0.53170731707317076</v>
      </c>
      <c r="Q45" s="4" t="str">
        <f t="shared" si="5"/>
        <v>Residents</v>
      </c>
      <c r="R45" s="16">
        <f t="shared" si="6"/>
        <v>0.67219512195121944</v>
      </c>
      <c r="S45" s="14">
        <f t="shared" si="7"/>
        <v>177</v>
      </c>
      <c r="T45" s="6" t="e">
        <f t="shared" si="8"/>
        <v>#REF!</v>
      </c>
      <c r="U45" s="17"/>
      <c r="V45" s="4" t="s">
        <v>971</v>
      </c>
    </row>
    <row r="46" spans="1:22" x14ac:dyDescent="0.45">
      <c r="A46" s="14">
        <v>45</v>
      </c>
      <c r="B46" s="4" t="s">
        <v>1073</v>
      </c>
      <c r="C46" s="4" t="s">
        <v>1074</v>
      </c>
      <c r="D46" s="5" t="e">
        <f>SUMIFS(#REF!,#REF!,$C46)</f>
        <v>#REF!</v>
      </c>
      <c r="E46" s="5" t="e">
        <f>SUMIFS(#REF!,#REF!,$C46)</f>
        <v>#REF!</v>
      </c>
      <c r="F46" s="5" t="e">
        <f>SUMIFS(#REF!,#REF!,$C46)</f>
        <v>#REF!</v>
      </c>
      <c r="G46" s="5" t="e">
        <f>SUMIFS(#REF!,#REF!,$C46)</f>
        <v>#REF!</v>
      </c>
      <c r="H46" s="4"/>
      <c r="I46" s="5">
        <v>3285</v>
      </c>
      <c r="J46" s="5">
        <f>SUMIFS('Business Licences by Community'!$D$2:$D$318,'Business Licences by Community'!$C$2:$C$318,$C46)</f>
        <v>2</v>
      </c>
      <c r="K46" s="15">
        <v>1.7904150000000001</v>
      </c>
      <c r="L46" s="5">
        <f t="shared" si="0"/>
        <v>1834.7701510543643</v>
      </c>
      <c r="M46" s="6">
        <f t="shared" si="1"/>
        <v>1.117059452696721</v>
      </c>
      <c r="N46" s="7">
        <f t="shared" si="2"/>
        <v>0.22926829268292684</v>
      </c>
      <c r="O46" s="7">
        <f t="shared" si="3"/>
        <v>8.1481481481481488E-2</v>
      </c>
      <c r="P46" s="7">
        <f t="shared" si="4"/>
        <v>0.22926829268292684</v>
      </c>
      <c r="Q46" s="4" t="str">
        <f t="shared" si="5"/>
        <v>Residents</v>
      </c>
      <c r="R46" s="16">
        <f t="shared" si="6"/>
        <v>0.46048780487804875</v>
      </c>
      <c r="S46" s="14">
        <f t="shared" si="7"/>
        <v>236</v>
      </c>
      <c r="T46" s="6" t="e">
        <f t="shared" si="8"/>
        <v>#REF!</v>
      </c>
      <c r="U46" s="17"/>
      <c r="V46" s="4" t="s">
        <v>971</v>
      </c>
    </row>
    <row r="47" spans="1:22" x14ac:dyDescent="0.45">
      <c r="A47" s="14">
        <v>46</v>
      </c>
      <c r="B47" s="4" t="s">
        <v>1075</v>
      </c>
      <c r="C47" s="4" t="s">
        <v>1076</v>
      </c>
      <c r="D47" s="5" t="e">
        <f>SUMIFS(#REF!,#REF!,$C47)</f>
        <v>#REF!</v>
      </c>
      <c r="E47" s="5" t="e">
        <f>SUMIFS(#REF!,#REF!,$C47)</f>
        <v>#REF!</v>
      </c>
      <c r="F47" s="5" t="e">
        <f>SUMIFS(#REF!,#REF!,$C47)</f>
        <v>#REF!</v>
      </c>
      <c r="G47" s="5" t="e">
        <f>SUMIFS(#REF!,#REF!,$C47)</f>
        <v>#REF!</v>
      </c>
      <c r="H47" s="4"/>
      <c r="I47" s="5">
        <v>9205</v>
      </c>
      <c r="J47" s="5">
        <f>SUMIFS('Business Licences by Community'!$D$2:$D$318,'Business Licences by Community'!$C$2:$C$318,$C47)</f>
        <v>42</v>
      </c>
      <c r="K47" s="15">
        <v>4.0605169999999999</v>
      </c>
      <c r="L47" s="5">
        <f t="shared" si="0"/>
        <v>2266.9527057761366</v>
      </c>
      <c r="M47" s="6">
        <f t="shared" si="1"/>
        <v>10.343510444605945</v>
      </c>
      <c r="N47" s="7">
        <f t="shared" si="2"/>
        <v>0.34634146341463412</v>
      </c>
      <c r="O47" s="7">
        <f t="shared" si="3"/>
        <v>0.35555555555555557</v>
      </c>
      <c r="P47" s="7">
        <f t="shared" si="4"/>
        <v>0.35555555555555557</v>
      </c>
      <c r="Q47" s="4" t="str">
        <f t="shared" si="5"/>
        <v>Businesses</v>
      </c>
      <c r="R47" s="16">
        <f t="shared" si="6"/>
        <v>0.54888888888888887</v>
      </c>
      <c r="S47" s="14">
        <f t="shared" si="7"/>
        <v>218</v>
      </c>
      <c r="T47" s="6" t="e">
        <f t="shared" si="8"/>
        <v>#REF!</v>
      </c>
      <c r="U47" s="17"/>
      <c r="V47" s="4" t="s">
        <v>971</v>
      </c>
    </row>
    <row r="48" spans="1:22" x14ac:dyDescent="0.45">
      <c r="A48" s="14">
        <v>47</v>
      </c>
      <c r="B48" s="4" t="s">
        <v>1077</v>
      </c>
      <c r="C48" s="4" t="s">
        <v>1078</v>
      </c>
      <c r="D48" s="5" t="e">
        <f>SUMIFS(#REF!,#REF!,$C48)</f>
        <v>#REF!</v>
      </c>
      <c r="E48" s="5" t="e">
        <f>SUMIFS(#REF!,#REF!,$C48)</f>
        <v>#REF!</v>
      </c>
      <c r="F48" s="5" t="e">
        <f>SUMIFS(#REF!,#REF!,$C48)</f>
        <v>#REF!</v>
      </c>
      <c r="G48" s="5" t="e">
        <f>SUMIFS(#REF!,#REF!,$C48)</f>
        <v>#REF!</v>
      </c>
      <c r="H48" s="4"/>
      <c r="I48" s="5">
        <v>8570</v>
      </c>
      <c r="J48" s="5">
        <f>SUMIFS('Business Licences by Community'!$D$2:$D$318,'Business Licences by Community'!$C$2:$C$318,$C48)</f>
        <v>32</v>
      </c>
      <c r="K48" s="15">
        <v>5.0168910000000002</v>
      </c>
      <c r="L48" s="5">
        <f t="shared" si="0"/>
        <v>1708.2292599141579</v>
      </c>
      <c r="M48" s="6">
        <f t="shared" si="1"/>
        <v>6.3784523123982559</v>
      </c>
      <c r="N48" s="7">
        <f t="shared" si="2"/>
        <v>0.2097560975609756</v>
      </c>
      <c r="O48" s="7">
        <f t="shared" si="3"/>
        <v>0.26296296296296295</v>
      </c>
      <c r="P48" s="7">
        <f t="shared" si="4"/>
        <v>0.26296296296296295</v>
      </c>
      <c r="Q48" s="4" t="str">
        <f t="shared" si="5"/>
        <v>Businesses</v>
      </c>
      <c r="R48" s="16">
        <f t="shared" si="6"/>
        <v>0.48407407407407405</v>
      </c>
      <c r="S48" s="14">
        <f t="shared" si="7"/>
        <v>231</v>
      </c>
      <c r="T48" s="6" t="e">
        <f t="shared" si="8"/>
        <v>#REF!</v>
      </c>
      <c r="U48" s="17"/>
      <c r="V48" s="4" t="s">
        <v>971</v>
      </c>
    </row>
    <row r="49" spans="1:22" x14ac:dyDescent="0.45">
      <c r="A49" s="14">
        <v>48</v>
      </c>
      <c r="B49" s="4" t="s">
        <v>1079</v>
      </c>
      <c r="C49" s="4" t="s">
        <v>1080</v>
      </c>
      <c r="D49" s="5" t="e">
        <f>SUMIFS(#REF!,#REF!,$C49)</f>
        <v>#REF!</v>
      </c>
      <c r="E49" s="5" t="e">
        <f>SUMIFS(#REF!,#REF!,$C49)</f>
        <v>#REF!</v>
      </c>
      <c r="F49" s="5" t="e">
        <f>SUMIFS(#REF!,#REF!,$C49)</f>
        <v>#REF!</v>
      </c>
      <c r="G49" s="5" t="e">
        <f>SUMIFS(#REF!,#REF!,$C49)</f>
        <v>#REF!</v>
      </c>
      <c r="H49" s="4"/>
      <c r="I49" s="5">
        <v>8530</v>
      </c>
      <c r="J49" s="5">
        <f>SUMIFS('Business Licences by Community'!$D$2:$D$318,'Business Licences by Community'!$C$2:$C$318,$C49)</f>
        <v>47</v>
      </c>
      <c r="K49" s="15">
        <v>3.3442530000000001</v>
      </c>
      <c r="L49" s="5">
        <f t="shared" si="0"/>
        <v>2550.6443441928586</v>
      </c>
      <c r="M49" s="6">
        <f t="shared" si="1"/>
        <v>14.053960630370968</v>
      </c>
      <c r="N49" s="7">
        <f t="shared" si="2"/>
        <v>0.4682926829268293</v>
      </c>
      <c r="O49" s="7">
        <f t="shared" si="3"/>
        <v>0.45925925925925926</v>
      </c>
      <c r="P49" s="7">
        <f t="shared" si="4"/>
        <v>0.4682926829268293</v>
      </c>
      <c r="Q49" s="4" t="str">
        <f t="shared" si="5"/>
        <v>Residents</v>
      </c>
      <c r="R49" s="16">
        <f t="shared" si="6"/>
        <v>0.62780487804878049</v>
      </c>
      <c r="S49" s="14">
        <f t="shared" si="7"/>
        <v>194</v>
      </c>
      <c r="T49" s="6" t="e">
        <f t="shared" si="8"/>
        <v>#REF!</v>
      </c>
      <c r="U49" s="17"/>
      <c r="V49" s="4" t="s">
        <v>971</v>
      </c>
    </row>
    <row r="50" spans="1:22" x14ac:dyDescent="0.45">
      <c r="A50" s="14">
        <v>49</v>
      </c>
      <c r="B50" s="4" t="s">
        <v>1081</v>
      </c>
      <c r="C50" s="4" t="s">
        <v>1082</v>
      </c>
      <c r="D50" s="5" t="e">
        <f>SUMIFS(#REF!,#REF!,$C50)</f>
        <v>#REF!</v>
      </c>
      <c r="E50" s="5" t="e">
        <f>SUMIFS(#REF!,#REF!,$C50)</f>
        <v>#REF!</v>
      </c>
      <c r="F50" s="5" t="e">
        <f>SUMIFS(#REF!,#REF!,$C50)</f>
        <v>#REF!</v>
      </c>
      <c r="G50" s="5" t="e">
        <f>SUMIFS(#REF!,#REF!,$C50)</f>
        <v>#REF!</v>
      </c>
      <c r="H50" s="4"/>
      <c r="I50" s="5">
        <v>5165</v>
      </c>
      <c r="J50" s="5">
        <f>SUMIFS('Business Licences by Community'!$D$2:$D$318,'Business Licences by Community'!$C$2:$C$318,$C50)</f>
        <v>146</v>
      </c>
      <c r="K50" s="15">
        <v>1.3286549999999999</v>
      </c>
      <c r="L50" s="5">
        <f t="shared" si="0"/>
        <v>3887.3898792387795</v>
      </c>
      <c r="M50" s="6">
        <f t="shared" si="1"/>
        <v>109.88556096202551</v>
      </c>
      <c r="N50" s="7">
        <f t="shared" si="2"/>
        <v>0.82439024390243898</v>
      </c>
      <c r="O50" s="7">
        <f t="shared" si="3"/>
        <v>0.88148148148148153</v>
      </c>
      <c r="P50" s="7">
        <f t="shared" si="4"/>
        <v>0.88148148148148153</v>
      </c>
      <c r="Q50" s="4" t="str">
        <f t="shared" si="5"/>
        <v>Businesses</v>
      </c>
      <c r="R50" s="16">
        <f t="shared" si="6"/>
        <v>0.91703703703703709</v>
      </c>
      <c r="S50" s="14">
        <f t="shared" si="7"/>
        <v>49</v>
      </c>
      <c r="T50" s="6" t="e">
        <f t="shared" si="8"/>
        <v>#REF!</v>
      </c>
      <c r="U50" s="17"/>
      <c r="V50" s="4" t="s">
        <v>971</v>
      </c>
    </row>
    <row r="51" spans="1:22" x14ac:dyDescent="0.45">
      <c r="A51" s="14">
        <v>50</v>
      </c>
      <c r="B51" s="4" t="s">
        <v>1083</v>
      </c>
      <c r="C51" s="4" t="s">
        <v>1084</v>
      </c>
      <c r="D51" s="5" t="e">
        <f>SUMIFS(#REF!,#REF!,$C51)</f>
        <v>#REF!</v>
      </c>
      <c r="E51" s="5" t="e">
        <f>SUMIFS(#REF!,#REF!,$C51)</f>
        <v>#REF!</v>
      </c>
      <c r="F51" s="5" t="e">
        <f>SUMIFS(#REF!,#REF!,$C51)</f>
        <v>#REF!</v>
      </c>
      <c r="G51" s="5" t="e">
        <f>SUMIFS(#REF!,#REF!,$C51)</f>
        <v>#REF!</v>
      </c>
      <c r="H51" s="4"/>
      <c r="I51" s="5">
        <v>14540</v>
      </c>
      <c r="J51" s="5">
        <f>SUMIFS('Business Licences by Community'!$D$2:$D$318,'Business Licences by Community'!$C$2:$C$318,$C51)</f>
        <v>15</v>
      </c>
      <c r="K51" s="15">
        <v>2.6885729999999999</v>
      </c>
      <c r="L51" s="5">
        <f t="shared" si="0"/>
        <v>5408.0733534108986</v>
      </c>
      <c r="M51" s="6">
        <f t="shared" si="1"/>
        <v>5.5791678336426056</v>
      </c>
      <c r="N51" s="7">
        <f t="shared" si="2"/>
        <v>0.95121951219512191</v>
      </c>
      <c r="O51" s="7">
        <f t="shared" si="3"/>
        <v>0.24444444444444444</v>
      </c>
      <c r="P51" s="7">
        <f t="shared" si="4"/>
        <v>0.95121951219512191</v>
      </c>
      <c r="Q51" s="4" t="str">
        <f t="shared" si="5"/>
        <v>Residents</v>
      </c>
      <c r="R51" s="16">
        <f t="shared" si="6"/>
        <v>0.96585365853658534</v>
      </c>
      <c r="S51" s="14">
        <f t="shared" si="7"/>
        <v>20</v>
      </c>
      <c r="T51" s="6" t="e">
        <f t="shared" si="8"/>
        <v>#REF!</v>
      </c>
      <c r="U51" s="17"/>
      <c r="V51" s="4" t="s">
        <v>971</v>
      </c>
    </row>
    <row r="52" spans="1:22" x14ac:dyDescent="0.45">
      <c r="A52" s="14">
        <v>51</v>
      </c>
      <c r="B52" s="4" t="s">
        <v>1085</v>
      </c>
      <c r="C52" s="4" t="s">
        <v>1086</v>
      </c>
      <c r="D52" s="5" t="e">
        <f>SUMIFS(#REF!,#REF!,$C52)</f>
        <v>#REF!</v>
      </c>
      <c r="E52" s="5" t="e">
        <f>SUMIFS(#REF!,#REF!,$C52)</f>
        <v>#REF!</v>
      </c>
      <c r="F52" s="5" t="e">
        <f>SUMIFS(#REF!,#REF!,$C52)</f>
        <v>#REF!</v>
      </c>
      <c r="G52" s="5" t="e">
        <f>SUMIFS(#REF!,#REF!,$C52)</f>
        <v>#REF!</v>
      </c>
      <c r="H52" s="4"/>
      <c r="I52" s="5">
        <v>6740</v>
      </c>
      <c r="J52" s="5">
        <f>SUMIFS('Business Licences by Community'!$D$2:$D$318,'Business Licences by Community'!$C$2:$C$318,$C52)</f>
        <v>58</v>
      </c>
      <c r="K52" s="15">
        <v>2.5080300000000002</v>
      </c>
      <c r="L52" s="5">
        <f t="shared" si="0"/>
        <v>2687.3681734269526</v>
      </c>
      <c r="M52" s="6">
        <f t="shared" si="1"/>
        <v>23.125720186760123</v>
      </c>
      <c r="N52" s="7">
        <f t="shared" si="2"/>
        <v>0.53658536585365857</v>
      </c>
      <c r="O52" s="7">
        <f t="shared" si="3"/>
        <v>0.57777777777777772</v>
      </c>
      <c r="P52" s="7">
        <f t="shared" si="4"/>
        <v>0.57777777777777772</v>
      </c>
      <c r="Q52" s="4" t="str">
        <f t="shared" si="5"/>
        <v>Businesses</v>
      </c>
      <c r="R52" s="16">
        <f t="shared" si="6"/>
        <v>0.70444444444444443</v>
      </c>
      <c r="S52" s="14">
        <f t="shared" si="7"/>
        <v>169</v>
      </c>
      <c r="T52" s="6" t="e">
        <f t="shared" si="8"/>
        <v>#REF!</v>
      </c>
      <c r="U52" s="17"/>
      <c r="V52" s="4" t="s">
        <v>971</v>
      </c>
    </row>
    <row r="53" spans="1:22" x14ac:dyDescent="0.45">
      <c r="A53" s="14">
        <v>52</v>
      </c>
      <c r="B53" s="4" t="s">
        <v>1087</v>
      </c>
      <c r="C53" s="4" t="s">
        <v>1088</v>
      </c>
      <c r="D53" s="5" t="e">
        <f>SUMIFS(#REF!,#REF!,$C53)</f>
        <v>#REF!</v>
      </c>
      <c r="E53" s="5" t="e">
        <f>SUMIFS(#REF!,#REF!,$C53)</f>
        <v>#REF!</v>
      </c>
      <c r="F53" s="5" t="e">
        <f>SUMIFS(#REF!,#REF!,$C53)</f>
        <v>#REF!</v>
      </c>
      <c r="G53" s="5" t="e">
        <f>SUMIFS(#REF!,#REF!,$C53)</f>
        <v>#REF!</v>
      </c>
      <c r="H53" s="4"/>
      <c r="I53" s="5">
        <v>7435</v>
      </c>
      <c r="J53" s="5">
        <f>SUMIFS('Business Licences by Community'!$D$2:$D$318,'Business Licences by Community'!$C$2:$C$318,$C53)</f>
        <v>38</v>
      </c>
      <c r="K53" s="15">
        <v>3.0800540000000001</v>
      </c>
      <c r="L53" s="5">
        <f t="shared" si="0"/>
        <v>2413.918717009507</v>
      </c>
      <c r="M53" s="6">
        <f t="shared" si="1"/>
        <v>12.337446031790352</v>
      </c>
      <c r="N53" s="7">
        <f t="shared" si="2"/>
        <v>0.41463414634146339</v>
      </c>
      <c r="O53" s="7">
        <f t="shared" si="3"/>
        <v>0.40370370370370373</v>
      </c>
      <c r="P53" s="7">
        <f t="shared" si="4"/>
        <v>0.41463414634146339</v>
      </c>
      <c r="Q53" s="4" t="str">
        <f t="shared" si="5"/>
        <v>Residents</v>
      </c>
      <c r="R53" s="16">
        <f t="shared" si="6"/>
        <v>0.59024390243902436</v>
      </c>
      <c r="S53" s="14">
        <f t="shared" si="7"/>
        <v>205</v>
      </c>
      <c r="T53" s="6" t="e">
        <f t="shared" si="8"/>
        <v>#REF!</v>
      </c>
      <c r="U53" s="17"/>
      <c r="V53" s="4" t="s">
        <v>971</v>
      </c>
    </row>
    <row r="54" spans="1:22" x14ac:dyDescent="0.45">
      <c r="A54" s="14">
        <v>53</v>
      </c>
      <c r="B54" s="4" t="s">
        <v>1089</v>
      </c>
      <c r="C54" s="4" t="s">
        <v>1090</v>
      </c>
      <c r="D54" s="5" t="e">
        <f>SUMIFS(#REF!,#REF!,$C54)</f>
        <v>#REF!</v>
      </c>
      <c r="E54" s="5" t="e">
        <f>SUMIFS(#REF!,#REF!,$C54)</f>
        <v>#REF!</v>
      </c>
      <c r="F54" s="5" t="e">
        <f>SUMIFS(#REF!,#REF!,$C54)</f>
        <v>#REF!</v>
      </c>
      <c r="G54" s="5" t="e">
        <f>SUMIFS(#REF!,#REF!,$C54)</f>
        <v>#REF!</v>
      </c>
      <c r="H54" s="4"/>
      <c r="I54" s="5">
        <v>6095</v>
      </c>
      <c r="J54" s="5">
        <f>SUMIFS('Business Licences by Community'!$D$2:$D$318,'Business Licences by Community'!$C$2:$C$318,$C54)</f>
        <v>77</v>
      </c>
      <c r="K54" s="15">
        <v>2.6652200000000001</v>
      </c>
      <c r="L54" s="5">
        <f t="shared" si="0"/>
        <v>2286.8656246013461</v>
      </c>
      <c r="M54" s="6">
        <f t="shared" si="1"/>
        <v>28.890673190205685</v>
      </c>
      <c r="N54" s="7">
        <f t="shared" si="2"/>
        <v>0.35121951219512193</v>
      </c>
      <c r="O54" s="7">
        <f t="shared" si="3"/>
        <v>0.64444444444444449</v>
      </c>
      <c r="P54" s="7">
        <f t="shared" si="4"/>
        <v>0.64444444444444449</v>
      </c>
      <c r="Q54" s="4" t="str">
        <f t="shared" si="5"/>
        <v>Businesses</v>
      </c>
      <c r="R54" s="16">
        <f t="shared" si="6"/>
        <v>0.75111111111111106</v>
      </c>
      <c r="S54" s="14">
        <f t="shared" si="7"/>
        <v>144</v>
      </c>
      <c r="T54" s="6" t="e">
        <f t="shared" si="8"/>
        <v>#REF!</v>
      </c>
      <c r="U54" s="17"/>
      <c r="V54" s="4" t="s">
        <v>971</v>
      </c>
    </row>
    <row r="55" spans="1:22" x14ac:dyDescent="0.45">
      <c r="A55" s="14">
        <v>54</v>
      </c>
      <c r="B55" s="4" t="s">
        <v>1091</v>
      </c>
      <c r="C55" s="4" t="s">
        <v>1092</v>
      </c>
      <c r="D55" s="5" t="e">
        <f>SUMIFS(#REF!,#REF!,$C55)</f>
        <v>#REF!</v>
      </c>
      <c r="E55" s="5" t="e">
        <f>SUMIFS(#REF!,#REF!,$C55)</f>
        <v>#REF!</v>
      </c>
      <c r="F55" s="5" t="e">
        <f>SUMIFS(#REF!,#REF!,$C55)</f>
        <v>#REF!</v>
      </c>
      <c r="G55" s="5" t="e">
        <f>SUMIFS(#REF!,#REF!,$C55)</f>
        <v>#REF!</v>
      </c>
      <c r="H55" s="4"/>
      <c r="I55" s="5">
        <v>10545</v>
      </c>
      <c r="J55" s="5">
        <f>SUMIFS('Business Licences by Community'!$D$2:$D$318,'Business Licences by Community'!$C$2:$C$318,$C55)</f>
        <v>35</v>
      </c>
      <c r="K55" s="15">
        <v>2.6417109999999999</v>
      </c>
      <c r="L55" s="5">
        <f t="shared" si="0"/>
        <v>3991.7311166891459</v>
      </c>
      <c r="M55" s="6">
        <f t="shared" si="1"/>
        <v>13.248989007503091</v>
      </c>
      <c r="N55" s="7">
        <f t="shared" si="2"/>
        <v>0.84390243902439022</v>
      </c>
      <c r="O55" s="7">
        <f t="shared" si="3"/>
        <v>0.43333333333333335</v>
      </c>
      <c r="P55" s="7">
        <f t="shared" si="4"/>
        <v>0.84390243902439022</v>
      </c>
      <c r="Q55" s="4" t="str">
        <f t="shared" si="5"/>
        <v>Residents</v>
      </c>
      <c r="R55" s="16">
        <f t="shared" si="6"/>
        <v>0.89073170731707307</v>
      </c>
      <c r="S55" s="14">
        <f t="shared" si="7"/>
        <v>67</v>
      </c>
      <c r="T55" s="6" t="e">
        <f t="shared" si="8"/>
        <v>#REF!</v>
      </c>
      <c r="U55" s="17"/>
      <c r="V55" s="4" t="s">
        <v>971</v>
      </c>
    </row>
    <row r="56" spans="1:22" x14ac:dyDescent="0.45">
      <c r="A56" s="14">
        <v>55</v>
      </c>
      <c r="B56" s="4" t="s">
        <v>1093</v>
      </c>
      <c r="C56" s="4" t="s">
        <v>1094</v>
      </c>
      <c r="D56" s="5" t="e">
        <f>SUMIFS(#REF!,#REF!,$C56)</f>
        <v>#REF!</v>
      </c>
      <c r="E56" s="5" t="e">
        <f>SUMIFS(#REF!,#REF!,$C56)</f>
        <v>#REF!</v>
      </c>
      <c r="F56" s="5" t="e">
        <f>SUMIFS(#REF!,#REF!,$C56)</f>
        <v>#REF!</v>
      </c>
      <c r="G56" s="5" t="e">
        <f>SUMIFS(#REF!,#REF!,$C56)</f>
        <v>#REF!</v>
      </c>
      <c r="H56" s="4"/>
      <c r="I56" s="5">
        <v>7850</v>
      </c>
      <c r="J56" s="5">
        <f>SUMIFS('Business Licences by Community'!$D$2:$D$318,'Business Licences by Community'!$C$2:$C$318,$C56)</f>
        <v>7</v>
      </c>
      <c r="K56" s="15">
        <v>4.4357949999999997</v>
      </c>
      <c r="L56" s="5">
        <f t="shared" si="0"/>
        <v>1769.6940458249312</v>
      </c>
      <c r="M56" s="6">
        <f t="shared" si="1"/>
        <v>1.5780711236655438</v>
      </c>
      <c r="N56" s="7">
        <f t="shared" si="2"/>
        <v>0.21951219512195122</v>
      </c>
      <c r="O56" s="7">
        <f t="shared" si="3"/>
        <v>0.1037037037037037</v>
      </c>
      <c r="P56" s="7">
        <f t="shared" si="4"/>
        <v>0.21951219512195122</v>
      </c>
      <c r="Q56" s="4" t="str">
        <f t="shared" si="5"/>
        <v>Residents</v>
      </c>
      <c r="R56" s="16">
        <f t="shared" si="6"/>
        <v>0.45365853658536581</v>
      </c>
      <c r="S56" s="14">
        <f t="shared" si="7"/>
        <v>239</v>
      </c>
      <c r="T56" s="6" t="e">
        <f t="shared" si="8"/>
        <v>#REF!</v>
      </c>
      <c r="U56" s="17"/>
      <c r="V56" s="4" t="s">
        <v>971</v>
      </c>
    </row>
    <row r="57" spans="1:22" x14ac:dyDescent="0.45">
      <c r="A57" s="14">
        <v>56</v>
      </c>
      <c r="B57" s="4" t="s">
        <v>1095</v>
      </c>
      <c r="C57" s="4" t="s">
        <v>1096</v>
      </c>
      <c r="D57" s="5" t="e">
        <f>SUMIFS(#REF!,#REF!,$C57)</f>
        <v>#REF!</v>
      </c>
      <c r="E57" s="5" t="e">
        <f>SUMIFS(#REF!,#REF!,$C57)</f>
        <v>#REF!</v>
      </c>
      <c r="F57" s="5" t="e">
        <f>SUMIFS(#REF!,#REF!,$C57)</f>
        <v>#REF!</v>
      </c>
      <c r="G57" s="5" t="e">
        <f>SUMIFS(#REF!,#REF!,$C57)</f>
        <v>#REF!</v>
      </c>
      <c r="H57" s="4"/>
      <c r="I57" s="5">
        <v>9850</v>
      </c>
      <c r="J57" s="5">
        <f>SUMIFS('Business Licences by Community'!$D$2:$D$318,'Business Licences by Community'!$C$2:$C$318,$C57)</f>
        <v>60</v>
      </c>
      <c r="K57" s="15">
        <v>2.6409829999999999</v>
      </c>
      <c r="L57" s="5">
        <f t="shared" si="0"/>
        <v>3729.6718683914287</v>
      </c>
      <c r="M57" s="6">
        <f t="shared" si="1"/>
        <v>22.718813411521392</v>
      </c>
      <c r="N57" s="7">
        <f t="shared" si="2"/>
        <v>0.8</v>
      </c>
      <c r="O57" s="7">
        <f t="shared" si="3"/>
        <v>0.57407407407407407</v>
      </c>
      <c r="P57" s="7">
        <f t="shared" si="4"/>
        <v>0.8</v>
      </c>
      <c r="Q57" s="4" t="str">
        <f t="shared" si="5"/>
        <v>Residents</v>
      </c>
      <c r="R57" s="16">
        <f t="shared" si="6"/>
        <v>0.85999999999999988</v>
      </c>
      <c r="S57" s="14">
        <f t="shared" si="7"/>
        <v>84</v>
      </c>
      <c r="T57" s="6" t="e">
        <f t="shared" si="8"/>
        <v>#REF!</v>
      </c>
      <c r="U57" s="17"/>
      <c r="V57" s="4" t="s">
        <v>971</v>
      </c>
    </row>
    <row r="58" spans="1:22" x14ac:dyDescent="0.45">
      <c r="A58" s="14">
        <v>57</v>
      </c>
      <c r="B58" s="4" t="s">
        <v>1097</v>
      </c>
      <c r="C58" s="4" t="s">
        <v>1098</v>
      </c>
      <c r="D58" s="5" t="e">
        <f>SUMIFS(#REF!,#REF!,$C58)</f>
        <v>#REF!</v>
      </c>
      <c r="E58" s="5" t="e">
        <f>SUMIFS(#REF!,#REF!,$C58)</f>
        <v>#REF!</v>
      </c>
      <c r="F58" s="5" t="e">
        <f>SUMIFS(#REF!,#REF!,$C58)</f>
        <v>#REF!</v>
      </c>
      <c r="G58" s="5" t="e">
        <f>SUMIFS(#REF!,#REF!,$C58)</f>
        <v>#REF!</v>
      </c>
      <c r="H58" s="4"/>
      <c r="I58" s="5">
        <v>9055</v>
      </c>
      <c r="J58" s="5">
        <f>SUMIFS('Business Licences by Community'!$D$2:$D$318,'Business Licences by Community'!$C$2:$C$318,$C58)</f>
        <v>153</v>
      </c>
      <c r="K58" s="15">
        <v>3.6484709999999998</v>
      </c>
      <c r="L58" s="5">
        <f t="shared" si="0"/>
        <v>2481.8615798234387</v>
      </c>
      <c r="M58" s="6">
        <f t="shared" si="1"/>
        <v>41.935375120153076</v>
      </c>
      <c r="N58" s="7">
        <f t="shared" si="2"/>
        <v>0.42439024390243901</v>
      </c>
      <c r="O58" s="7">
        <f t="shared" si="3"/>
        <v>0.73703703703703705</v>
      </c>
      <c r="P58" s="7">
        <f t="shared" si="4"/>
        <v>0.73703703703703705</v>
      </c>
      <c r="Q58" s="4" t="str">
        <f t="shared" si="5"/>
        <v>Businesses</v>
      </c>
      <c r="R58" s="16">
        <f t="shared" si="6"/>
        <v>0.81592592592592594</v>
      </c>
      <c r="S58" s="14">
        <f t="shared" si="7"/>
        <v>110</v>
      </c>
      <c r="T58" s="6" t="e">
        <f t="shared" si="8"/>
        <v>#REF!</v>
      </c>
      <c r="U58" s="17"/>
      <c r="V58" s="4" t="s">
        <v>971</v>
      </c>
    </row>
    <row r="59" spans="1:22" x14ac:dyDescent="0.45">
      <c r="A59" s="14">
        <v>58</v>
      </c>
      <c r="B59" s="4" t="s">
        <v>1099</v>
      </c>
      <c r="C59" s="4" t="s">
        <v>1100</v>
      </c>
      <c r="D59" s="5" t="e">
        <f>SUMIFS(#REF!,#REF!,$C59)</f>
        <v>#REF!</v>
      </c>
      <c r="E59" s="5" t="e">
        <f>SUMIFS(#REF!,#REF!,$C59)</f>
        <v>#REF!</v>
      </c>
      <c r="F59" s="5" t="e">
        <f>SUMIFS(#REF!,#REF!,$C59)</f>
        <v>#REF!</v>
      </c>
      <c r="G59" s="5" t="e">
        <f>SUMIFS(#REF!,#REF!,$C59)</f>
        <v>#REF!</v>
      </c>
      <c r="H59" s="4"/>
      <c r="I59" s="5">
        <v>12500</v>
      </c>
      <c r="J59" s="5">
        <f>SUMIFS('Business Licences by Community'!$D$2:$D$318,'Business Licences by Community'!$C$2:$C$318,$C59)</f>
        <v>20</v>
      </c>
      <c r="K59" s="15">
        <v>5.4475040000000003</v>
      </c>
      <c r="L59" s="5">
        <f t="shared" si="0"/>
        <v>2294.6288795749392</v>
      </c>
      <c r="M59" s="6">
        <f t="shared" si="1"/>
        <v>3.6714062073199027</v>
      </c>
      <c r="N59" s="7">
        <f t="shared" si="2"/>
        <v>0.36097560975609755</v>
      </c>
      <c r="O59" s="7">
        <f t="shared" si="3"/>
        <v>0.17777777777777778</v>
      </c>
      <c r="P59" s="7">
        <f t="shared" si="4"/>
        <v>0.36097560975609755</v>
      </c>
      <c r="Q59" s="4" t="str">
        <f t="shared" si="5"/>
        <v>Residents</v>
      </c>
      <c r="R59" s="16">
        <f t="shared" si="6"/>
        <v>0.55268292682926834</v>
      </c>
      <c r="S59" s="14">
        <f t="shared" si="7"/>
        <v>216</v>
      </c>
      <c r="T59" s="6" t="e">
        <f t="shared" si="8"/>
        <v>#REF!</v>
      </c>
      <c r="U59" s="17"/>
      <c r="V59" s="4" t="s">
        <v>971</v>
      </c>
    </row>
    <row r="60" spans="1:22" x14ac:dyDescent="0.45">
      <c r="A60" s="14">
        <v>59</v>
      </c>
      <c r="B60" s="4" t="s">
        <v>1101</v>
      </c>
      <c r="C60" s="4" t="s">
        <v>1102</v>
      </c>
      <c r="D60" s="5" t="e">
        <f>SUMIFS(#REF!,#REF!,$C60)</f>
        <v>#REF!</v>
      </c>
      <c r="E60" s="5" t="e">
        <f>SUMIFS(#REF!,#REF!,$C60)</f>
        <v>#REF!</v>
      </c>
      <c r="F60" s="5" t="e">
        <f>SUMIFS(#REF!,#REF!,$C60)</f>
        <v>#REF!</v>
      </c>
      <c r="G60" s="5" t="e">
        <f>SUMIFS(#REF!,#REF!,$C60)</f>
        <v>#REF!</v>
      </c>
      <c r="H60" s="4"/>
      <c r="I60" s="5">
        <v>8910</v>
      </c>
      <c r="J60" s="5">
        <f>SUMIFS('Business Licences by Community'!$D$2:$D$318,'Business Licences by Community'!$C$2:$C$318,$C60)</f>
        <v>132</v>
      </c>
      <c r="K60" s="15">
        <v>2.6558259999999998</v>
      </c>
      <c r="L60" s="5">
        <f t="shared" si="0"/>
        <v>3354.8884603132888</v>
      </c>
      <c r="M60" s="6">
        <f t="shared" si="1"/>
        <v>49.702051263900579</v>
      </c>
      <c r="N60" s="7">
        <f t="shared" si="2"/>
        <v>0.72682926829268291</v>
      </c>
      <c r="O60" s="7">
        <f t="shared" si="3"/>
        <v>0.76666666666666672</v>
      </c>
      <c r="P60" s="7">
        <f t="shared" si="4"/>
        <v>0.76666666666666672</v>
      </c>
      <c r="Q60" s="4" t="str">
        <f t="shared" si="5"/>
        <v>Businesses</v>
      </c>
      <c r="R60" s="16">
        <f t="shared" si="6"/>
        <v>0.83666666666666667</v>
      </c>
      <c r="S60" s="14">
        <f t="shared" si="7"/>
        <v>97</v>
      </c>
      <c r="T60" s="6" t="e">
        <f t="shared" si="8"/>
        <v>#REF!</v>
      </c>
      <c r="U60" s="17"/>
      <c r="V60" s="4" t="s">
        <v>971</v>
      </c>
    </row>
    <row r="61" spans="1:22" x14ac:dyDescent="0.45">
      <c r="A61" s="14">
        <v>60</v>
      </c>
      <c r="B61" s="4" t="s">
        <v>1103</v>
      </c>
      <c r="C61" s="4" t="s">
        <v>1104</v>
      </c>
      <c r="D61" s="5" t="e">
        <f>SUMIFS(#REF!,#REF!,$C61)</f>
        <v>#REF!</v>
      </c>
      <c r="E61" s="5" t="e">
        <f>SUMIFS(#REF!,#REF!,$C61)</f>
        <v>#REF!</v>
      </c>
      <c r="F61" s="5" t="e">
        <f>SUMIFS(#REF!,#REF!,$C61)</f>
        <v>#REF!</v>
      </c>
      <c r="G61" s="5" t="e">
        <f>SUMIFS(#REF!,#REF!,$C61)</f>
        <v>#REF!</v>
      </c>
      <c r="H61" s="4"/>
      <c r="I61" s="5">
        <v>4670</v>
      </c>
      <c r="J61" s="5">
        <f>SUMIFS('Business Licences by Community'!$D$2:$D$318,'Business Licences by Community'!$C$2:$C$318,$C61)</f>
        <v>74</v>
      </c>
      <c r="K61" s="15">
        <v>1.414506</v>
      </c>
      <c r="L61" s="5">
        <f t="shared" si="0"/>
        <v>3301.5059674543622</v>
      </c>
      <c r="M61" s="6">
        <f t="shared" si="1"/>
        <v>52.31508385259589</v>
      </c>
      <c r="N61" s="7">
        <f t="shared" si="2"/>
        <v>0.70731707317073167</v>
      </c>
      <c r="O61" s="7">
        <f t="shared" si="3"/>
        <v>0.77777777777777779</v>
      </c>
      <c r="P61" s="7">
        <f t="shared" si="4"/>
        <v>0.77777777777777779</v>
      </c>
      <c r="Q61" s="4" t="str">
        <f t="shared" si="5"/>
        <v>Businesses</v>
      </c>
      <c r="R61" s="16">
        <f t="shared" si="6"/>
        <v>0.84444444444444433</v>
      </c>
      <c r="S61" s="14">
        <f t="shared" si="7"/>
        <v>93</v>
      </c>
      <c r="T61" s="6" t="e">
        <f t="shared" si="8"/>
        <v>#REF!</v>
      </c>
      <c r="U61" s="17"/>
      <c r="V61" s="4" t="s">
        <v>971</v>
      </c>
    </row>
    <row r="62" spans="1:22" x14ac:dyDescent="0.45">
      <c r="A62" s="14">
        <v>61</v>
      </c>
      <c r="B62" s="4" t="s">
        <v>1105</v>
      </c>
      <c r="C62" s="4" t="s">
        <v>1106</v>
      </c>
      <c r="D62" s="5" t="e">
        <f>SUMIFS(#REF!,#REF!,$C62)</f>
        <v>#REF!</v>
      </c>
      <c r="E62" s="5" t="e">
        <f>SUMIFS(#REF!,#REF!,$C62)</f>
        <v>#REF!</v>
      </c>
      <c r="F62" s="5" t="e">
        <f>SUMIFS(#REF!,#REF!,$C62)</f>
        <v>#REF!</v>
      </c>
      <c r="G62" s="5" t="e">
        <f>SUMIFS(#REF!,#REF!,$C62)</f>
        <v>#REF!</v>
      </c>
      <c r="H62" s="4"/>
      <c r="I62" s="5">
        <v>8745</v>
      </c>
      <c r="J62" s="5">
        <f>SUMIFS('Business Licences by Community'!$D$2:$D$318,'Business Licences by Community'!$C$2:$C$318,$C62)</f>
        <v>23</v>
      </c>
      <c r="K62" s="15">
        <v>3.227484</v>
      </c>
      <c r="L62" s="5">
        <f t="shared" si="0"/>
        <v>2709.5409303345887</v>
      </c>
      <c r="M62" s="6">
        <f t="shared" si="1"/>
        <v>7.1262940420463741</v>
      </c>
      <c r="N62" s="7">
        <f t="shared" si="2"/>
        <v>0.54634146341463419</v>
      </c>
      <c r="O62" s="7">
        <f t="shared" si="3"/>
        <v>0.28888888888888886</v>
      </c>
      <c r="P62" s="7">
        <f t="shared" si="4"/>
        <v>0.54634146341463419</v>
      </c>
      <c r="Q62" s="4" t="str">
        <f t="shared" si="5"/>
        <v>Residents</v>
      </c>
      <c r="R62" s="16">
        <f t="shared" si="6"/>
        <v>0.68243902439024384</v>
      </c>
      <c r="S62" s="14">
        <f t="shared" si="7"/>
        <v>173</v>
      </c>
      <c r="T62" s="6" t="e">
        <f t="shared" si="8"/>
        <v>#REF!</v>
      </c>
      <c r="U62" s="17"/>
      <c r="V62" s="4" t="s">
        <v>971</v>
      </c>
    </row>
    <row r="63" spans="1:22" x14ac:dyDescent="0.45">
      <c r="A63" s="14">
        <v>62</v>
      </c>
      <c r="B63" s="4" t="s">
        <v>1107</v>
      </c>
      <c r="C63" s="4" t="s">
        <v>1108</v>
      </c>
      <c r="D63" s="5" t="e">
        <f>SUMIFS(#REF!,#REF!,$C63)</f>
        <v>#REF!</v>
      </c>
      <c r="E63" s="5" t="e">
        <f>SUMIFS(#REF!,#REF!,$C63)</f>
        <v>#REF!</v>
      </c>
      <c r="F63" s="5" t="e">
        <f>SUMIFS(#REF!,#REF!,$C63)</f>
        <v>#REF!</v>
      </c>
      <c r="G63" s="5" t="e">
        <f>SUMIFS(#REF!,#REF!,$C63)</f>
        <v>#REF!</v>
      </c>
      <c r="H63" s="4"/>
      <c r="I63" s="5">
        <v>10335</v>
      </c>
      <c r="J63" s="5">
        <f>SUMIFS('Business Licences by Community'!$D$2:$D$318,'Business Licences by Community'!$C$2:$C$318,$C63)</f>
        <v>203</v>
      </c>
      <c r="K63" s="15">
        <v>4.3937499999999998</v>
      </c>
      <c r="L63" s="5">
        <f t="shared" si="0"/>
        <v>2352.2048364153629</v>
      </c>
      <c r="M63" s="6">
        <f t="shared" si="1"/>
        <v>46.201991465149362</v>
      </c>
      <c r="N63" s="7">
        <f t="shared" si="2"/>
        <v>0.3902439024390244</v>
      </c>
      <c r="O63" s="7">
        <f t="shared" si="3"/>
        <v>0.75555555555555554</v>
      </c>
      <c r="P63" s="7">
        <f t="shared" si="4"/>
        <v>0.75555555555555554</v>
      </c>
      <c r="Q63" s="4" t="str">
        <f t="shared" si="5"/>
        <v>Businesses</v>
      </c>
      <c r="R63" s="16">
        <f t="shared" si="6"/>
        <v>0.82888888888888879</v>
      </c>
      <c r="S63" s="14">
        <f t="shared" si="7"/>
        <v>103</v>
      </c>
      <c r="T63" s="6" t="e">
        <f t="shared" si="8"/>
        <v>#REF!</v>
      </c>
      <c r="U63" s="17"/>
      <c r="V63" s="4" t="s">
        <v>971</v>
      </c>
    </row>
    <row r="64" spans="1:22" x14ac:dyDescent="0.45">
      <c r="A64" s="14">
        <v>63</v>
      </c>
      <c r="B64" s="4" t="s">
        <v>1109</v>
      </c>
      <c r="C64" s="4" t="s">
        <v>1110</v>
      </c>
      <c r="D64" s="5" t="e">
        <f>SUMIFS(#REF!,#REF!,$C64)</f>
        <v>#REF!</v>
      </c>
      <c r="E64" s="5" t="e">
        <f>SUMIFS(#REF!,#REF!,$C64)</f>
        <v>#REF!</v>
      </c>
      <c r="F64" s="5" t="e">
        <f>SUMIFS(#REF!,#REF!,$C64)</f>
        <v>#REF!</v>
      </c>
      <c r="G64" s="5" t="e">
        <f>SUMIFS(#REF!,#REF!,$C64)</f>
        <v>#REF!</v>
      </c>
      <c r="H64" s="4"/>
      <c r="I64" s="5">
        <v>8290</v>
      </c>
      <c r="J64" s="5">
        <f>SUMIFS('Business Licences by Community'!$D$2:$D$318,'Business Licences by Community'!$C$2:$C$318,$C64)</f>
        <v>70</v>
      </c>
      <c r="K64" s="15">
        <v>2.4881600000000001</v>
      </c>
      <c r="L64" s="5">
        <f t="shared" si="0"/>
        <v>3331.7793067969906</v>
      </c>
      <c r="M64" s="6">
        <f t="shared" si="1"/>
        <v>28.133239019998712</v>
      </c>
      <c r="N64" s="7">
        <f t="shared" si="2"/>
        <v>0.71707317073170729</v>
      </c>
      <c r="O64" s="7">
        <f t="shared" si="3"/>
        <v>0.64074074074074072</v>
      </c>
      <c r="P64" s="7">
        <f t="shared" si="4"/>
        <v>0.71707317073170729</v>
      </c>
      <c r="Q64" s="4" t="str">
        <f t="shared" si="5"/>
        <v>Residents</v>
      </c>
      <c r="R64" s="16">
        <f t="shared" si="6"/>
        <v>0.80195121951219517</v>
      </c>
      <c r="S64" s="14">
        <f t="shared" si="7"/>
        <v>118</v>
      </c>
      <c r="T64" s="6" t="e">
        <f t="shared" si="8"/>
        <v>#REF!</v>
      </c>
      <c r="U64" s="17"/>
      <c r="V64" s="4" t="s">
        <v>971</v>
      </c>
    </row>
    <row r="65" spans="1:22" x14ac:dyDescent="0.45">
      <c r="A65" s="14">
        <v>64</v>
      </c>
      <c r="B65" s="4" t="s">
        <v>1111</v>
      </c>
      <c r="C65" s="4" t="s">
        <v>1112</v>
      </c>
      <c r="D65" s="5" t="e">
        <f>SUMIFS(#REF!,#REF!,$C65)</f>
        <v>#REF!</v>
      </c>
      <c r="E65" s="5" t="e">
        <f>SUMIFS(#REF!,#REF!,$C65)</f>
        <v>#REF!</v>
      </c>
      <c r="F65" s="5" t="e">
        <f>SUMIFS(#REF!,#REF!,$C65)</f>
        <v>#REF!</v>
      </c>
      <c r="G65" s="5" t="e">
        <f>SUMIFS(#REF!,#REF!,$C65)</f>
        <v>#REF!</v>
      </c>
      <c r="H65" s="4"/>
      <c r="I65" s="5">
        <v>3985</v>
      </c>
      <c r="J65" s="5">
        <f>SUMIFS('Business Licences by Community'!$D$2:$D$318,'Business Licences by Community'!$C$2:$C$318,$C65)</f>
        <v>0</v>
      </c>
      <c r="K65" s="15">
        <v>5.6647550000000004</v>
      </c>
      <c r="L65" s="5">
        <f t="shared" si="0"/>
        <v>703.4726126725692</v>
      </c>
      <c r="M65" s="6" t="str">
        <f t="shared" si="1"/>
        <v/>
      </c>
      <c r="N65" s="7">
        <f t="shared" si="2"/>
        <v>4.3902439024390241E-2</v>
      </c>
      <c r="O65" s="7" t="str">
        <f t="shared" si="3"/>
        <v/>
      </c>
      <c r="P65" s="7">
        <f t="shared" si="4"/>
        <v>4.3902439024390241E-2</v>
      </c>
      <c r="Q65" s="4" t="str">
        <f t="shared" si="5"/>
        <v>Residents</v>
      </c>
      <c r="R65" s="16">
        <f t="shared" si="6"/>
        <v>0.33073170731707313</v>
      </c>
      <c r="S65" s="14">
        <f t="shared" si="7"/>
        <v>268</v>
      </c>
      <c r="T65" s="6" t="e">
        <f t="shared" si="8"/>
        <v>#REF!</v>
      </c>
      <c r="U65" s="17"/>
      <c r="V65" s="4" t="s">
        <v>971</v>
      </c>
    </row>
    <row r="66" spans="1:22" x14ac:dyDescent="0.45">
      <c r="A66" s="14">
        <v>65</v>
      </c>
      <c r="B66" s="4" t="s">
        <v>1113</v>
      </c>
      <c r="C66" s="4" t="s">
        <v>1114</v>
      </c>
      <c r="D66" s="5" t="e">
        <f>SUMIFS(#REF!,#REF!,$C66)</f>
        <v>#REF!</v>
      </c>
      <c r="E66" s="5" t="e">
        <f>SUMIFS(#REF!,#REF!,$C66)</f>
        <v>#REF!</v>
      </c>
      <c r="F66" s="5" t="e">
        <f>SUMIFS(#REF!,#REF!,$C66)</f>
        <v>#REF!</v>
      </c>
      <c r="G66" s="5" t="e">
        <f>SUMIFS(#REF!,#REF!,$C66)</f>
        <v>#REF!</v>
      </c>
      <c r="H66" s="4"/>
      <c r="I66" s="5">
        <v>9345</v>
      </c>
      <c r="J66" s="5">
        <f>SUMIFS('Business Licences by Community'!$D$2:$D$318,'Business Licences by Community'!$C$2:$C$318,$C66)</f>
        <v>118</v>
      </c>
      <c r="K66" s="15">
        <v>3.7225419999999998</v>
      </c>
      <c r="L66" s="5">
        <f t="shared" ref="L66:L129" si="9">IF(AND(ISNUMBER(I66),ISNUMBER(K66)),IF(K66&gt;0,I66/K66,""),"")</f>
        <v>2510.3813469398065</v>
      </c>
      <c r="M66" s="6">
        <f t="shared" ref="M66:M129" si="10">IF(AND(ISNUMBER(J66),ISNUMBER(K66)),IF(AND(J66&gt;0,K66&gt;0),J66/K66,""),"")</f>
        <v>31.698769281850954</v>
      </c>
      <c r="N66" s="7">
        <f t="shared" ref="N66:N129" si="11">IF(ISNUMBER(L66),(RANK(L66,$L$2:$L$318,1)-1)/(COUNT($L$2:$L$318)-1),"")</f>
        <v>0.42926829268292682</v>
      </c>
      <c r="O66" s="7">
        <f t="shared" ref="O66:O129" si="12">IF(ISNUMBER(M66),(RANK(M66,$M$2:$M$318,1)-1)/(COUNT($M$2:$M$318)-1),"")</f>
        <v>0.67037037037037039</v>
      </c>
      <c r="P66" s="7">
        <f t="shared" ref="P66:P129" si="13">IF(OR(ISNUMBER(N66),ISNUMBER(O66)),MAX(N66,O66),"")</f>
        <v>0.67037037037037039</v>
      </c>
      <c r="Q66" s="4" t="str">
        <f t="shared" ref="Q66:Q129" si="14">IF(ISNUMBER(P66),IF(ISNUMBER(N66),IF(N66&gt;=P66,"Residents","Businesses"),"Businesses"),"No data")</f>
        <v>Businesses</v>
      </c>
      <c r="R66" s="16">
        <f t="shared" ref="R66:R129" si="15">IF(ISNUMBER(P66),$Z$12+(1-$Z$12)*P66,$Z$12)</f>
        <v>0.76925925925925931</v>
      </c>
      <c r="S66" s="14">
        <f t="shared" ref="S66:S129" si="16">RANK(R66,$R$2:$R$318,0)</f>
        <v>136</v>
      </c>
      <c r="T66" s="6" t="e">
        <f t="shared" ref="T66:T129" si="17">IF(ISNUMBER(I66),IF(I66&gt;0,D66/I66*1000,""),"")</f>
        <v>#REF!</v>
      </c>
      <c r="U66" s="17"/>
      <c r="V66" s="4" t="s">
        <v>971</v>
      </c>
    </row>
    <row r="67" spans="1:22" x14ac:dyDescent="0.45">
      <c r="A67" s="14">
        <v>66</v>
      </c>
      <c r="B67" s="4" t="s">
        <v>1115</v>
      </c>
      <c r="C67" s="4" t="s">
        <v>1116</v>
      </c>
      <c r="D67" s="5" t="e">
        <f>SUMIFS(#REF!,#REF!,$C67)</f>
        <v>#REF!</v>
      </c>
      <c r="E67" s="5" t="e">
        <f>SUMIFS(#REF!,#REF!,$C67)</f>
        <v>#REF!</v>
      </c>
      <c r="F67" s="5" t="e">
        <f>SUMIFS(#REF!,#REF!,$C67)</f>
        <v>#REF!</v>
      </c>
      <c r="G67" s="5" t="e">
        <f>SUMIFS(#REF!,#REF!,$C67)</f>
        <v>#REF!</v>
      </c>
      <c r="H67" s="4"/>
      <c r="I67" s="5">
        <v>2990</v>
      </c>
      <c r="J67" s="5">
        <f>SUMIFS('Business Licences by Community'!$D$2:$D$318,'Business Licences by Community'!$C$2:$C$318,$C67)</f>
        <v>97</v>
      </c>
      <c r="K67" s="15">
        <v>0.28431699999999999</v>
      </c>
      <c r="L67" s="5">
        <f t="shared" si="9"/>
        <v>10516.430603868219</v>
      </c>
      <c r="M67" s="6">
        <f t="shared" si="10"/>
        <v>341.16848447331677</v>
      </c>
      <c r="N67" s="7">
        <f t="shared" si="11"/>
        <v>1</v>
      </c>
      <c r="O67" s="7">
        <f t="shared" si="12"/>
        <v>0.98888888888888893</v>
      </c>
      <c r="P67" s="7">
        <f t="shared" si="13"/>
        <v>1</v>
      </c>
      <c r="Q67" s="4" t="str">
        <f t="shared" si="14"/>
        <v>Residents</v>
      </c>
      <c r="R67" s="16">
        <f t="shared" si="15"/>
        <v>1</v>
      </c>
      <c r="S67" s="14">
        <f t="shared" si="16"/>
        <v>1</v>
      </c>
      <c r="T67" s="6" t="e">
        <f t="shared" si="17"/>
        <v>#REF!</v>
      </c>
      <c r="U67" s="17"/>
      <c r="V67" s="4" t="s">
        <v>971</v>
      </c>
    </row>
    <row r="68" spans="1:22" x14ac:dyDescent="0.45">
      <c r="A68" s="14">
        <v>67</v>
      </c>
      <c r="B68" s="4" t="s">
        <v>1117</v>
      </c>
      <c r="C68" s="4" t="s">
        <v>1118</v>
      </c>
      <c r="D68" s="5" t="e">
        <f>SUMIFS(#REF!,#REF!,$C68)</f>
        <v>#REF!</v>
      </c>
      <c r="E68" s="5" t="e">
        <f>SUMIFS(#REF!,#REF!,$C68)</f>
        <v>#REF!</v>
      </c>
      <c r="F68" s="5" t="e">
        <f>SUMIFS(#REF!,#REF!,$C68)</f>
        <v>#REF!</v>
      </c>
      <c r="G68" s="5" t="e">
        <f>SUMIFS(#REF!,#REF!,$C68)</f>
        <v>#REF!</v>
      </c>
      <c r="H68" s="4"/>
      <c r="I68" s="5">
        <v>10525</v>
      </c>
      <c r="J68" s="5">
        <f>SUMIFS('Business Licences by Community'!$D$2:$D$318,'Business Licences by Community'!$C$2:$C$318,$C68)</f>
        <v>48</v>
      </c>
      <c r="K68" s="15">
        <v>2.6253380000000002</v>
      </c>
      <c r="L68" s="5">
        <f t="shared" si="9"/>
        <v>4009.007602068762</v>
      </c>
      <c r="M68" s="6">
        <f t="shared" si="10"/>
        <v>18.283360085444237</v>
      </c>
      <c r="N68" s="7">
        <f t="shared" si="11"/>
        <v>0.85853658536585364</v>
      </c>
      <c r="O68" s="7">
        <f t="shared" si="12"/>
        <v>0.5444444444444444</v>
      </c>
      <c r="P68" s="7">
        <f t="shared" si="13"/>
        <v>0.85853658536585364</v>
      </c>
      <c r="Q68" s="4" t="str">
        <f t="shared" si="14"/>
        <v>Residents</v>
      </c>
      <c r="R68" s="16">
        <f t="shared" si="15"/>
        <v>0.90097560975609747</v>
      </c>
      <c r="S68" s="14">
        <f t="shared" si="16"/>
        <v>60</v>
      </c>
      <c r="T68" s="6" t="e">
        <f t="shared" si="17"/>
        <v>#REF!</v>
      </c>
      <c r="U68" s="17"/>
      <c r="V68" s="4" t="s">
        <v>971</v>
      </c>
    </row>
    <row r="69" spans="1:22" x14ac:dyDescent="0.45">
      <c r="A69" s="14">
        <v>68</v>
      </c>
      <c r="B69" s="4" t="s">
        <v>1119</v>
      </c>
      <c r="C69" s="4" t="s">
        <v>1120</v>
      </c>
      <c r="D69" s="5" t="e">
        <f>SUMIFS(#REF!,#REF!,$C69)</f>
        <v>#REF!</v>
      </c>
      <c r="E69" s="5" t="e">
        <f>SUMIFS(#REF!,#REF!,$C69)</f>
        <v>#REF!</v>
      </c>
      <c r="F69" s="5" t="e">
        <f>SUMIFS(#REF!,#REF!,$C69)</f>
        <v>#REF!</v>
      </c>
      <c r="G69" s="5" t="e">
        <f>SUMIFS(#REF!,#REF!,$C69)</f>
        <v>#REF!</v>
      </c>
      <c r="H69" s="4"/>
      <c r="I69" s="5">
        <v>3090</v>
      </c>
      <c r="J69" s="5">
        <f>SUMIFS('Business Licences by Community'!$D$2:$D$318,'Business Licences by Community'!$C$2:$C$318,$C69)</f>
        <v>97</v>
      </c>
      <c r="K69" s="15">
        <v>0.93719699999999995</v>
      </c>
      <c r="L69" s="5">
        <f t="shared" si="9"/>
        <v>3297.0656116056712</v>
      </c>
      <c r="M69" s="6">
        <f t="shared" si="10"/>
        <v>103.50011790477349</v>
      </c>
      <c r="N69" s="7">
        <f t="shared" si="11"/>
        <v>0.70243902439024386</v>
      </c>
      <c r="O69" s="7">
        <f t="shared" si="12"/>
        <v>0.87037037037037035</v>
      </c>
      <c r="P69" s="7">
        <f t="shared" si="13"/>
        <v>0.87037037037037035</v>
      </c>
      <c r="Q69" s="4" t="str">
        <f t="shared" si="14"/>
        <v>Businesses</v>
      </c>
      <c r="R69" s="16">
        <f t="shared" si="15"/>
        <v>0.90925925925925921</v>
      </c>
      <c r="S69" s="14">
        <f t="shared" si="16"/>
        <v>54</v>
      </c>
      <c r="T69" s="6" t="e">
        <f t="shared" si="17"/>
        <v>#REF!</v>
      </c>
      <c r="U69" s="17"/>
      <c r="V69" s="4" t="s">
        <v>971</v>
      </c>
    </row>
    <row r="70" spans="1:22" x14ac:dyDescent="0.45">
      <c r="A70" s="14">
        <v>69</v>
      </c>
      <c r="B70" s="4" t="s">
        <v>1121</v>
      </c>
      <c r="C70" s="4" t="s">
        <v>1122</v>
      </c>
      <c r="D70" s="5" t="e">
        <f>SUMIFS(#REF!,#REF!,$C70)</f>
        <v>#REF!</v>
      </c>
      <c r="E70" s="5" t="e">
        <f>SUMIFS(#REF!,#REF!,$C70)</f>
        <v>#REF!</v>
      </c>
      <c r="F70" s="5" t="e">
        <f>SUMIFS(#REF!,#REF!,$C70)</f>
        <v>#REF!</v>
      </c>
      <c r="G70" s="5" t="e">
        <f>SUMIFS(#REF!,#REF!,$C70)</f>
        <v>#REF!</v>
      </c>
      <c r="H70" s="4"/>
      <c r="I70" s="5">
        <v>11560</v>
      </c>
      <c r="J70" s="5">
        <f>SUMIFS('Business Licences by Community'!$D$2:$D$318,'Business Licences by Community'!$C$2:$C$318,$C70)</f>
        <v>128</v>
      </c>
      <c r="K70" s="15">
        <v>4.1761100000000004</v>
      </c>
      <c r="L70" s="5">
        <f t="shared" si="9"/>
        <v>2768.1263185117245</v>
      </c>
      <c r="M70" s="6">
        <f t="shared" si="10"/>
        <v>30.650533630579652</v>
      </c>
      <c r="N70" s="7">
        <f t="shared" si="11"/>
        <v>0.56585365853658531</v>
      </c>
      <c r="O70" s="7">
        <f t="shared" si="12"/>
        <v>0.6518518518518519</v>
      </c>
      <c r="P70" s="7">
        <f t="shared" si="13"/>
        <v>0.6518518518518519</v>
      </c>
      <c r="Q70" s="4" t="str">
        <f t="shared" si="14"/>
        <v>Businesses</v>
      </c>
      <c r="R70" s="16">
        <f t="shared" si="15"/>
        <v>0.75629629629629624</v>
      </c>
      <c r="S70" s="14">
        <f t="shared" si="16"/>
        <v>141</v>
      </c>
      <c r="T70" s="6" t="e">
        <f t="shared" si="17"/>
        <v>#REF!</v>
      </c>
      <c r="U70" s="17"/>
      <c r="V70" s="4" t="s">
        <v>971</v>
      </c>
    </row>
    <row r="71" spans="1:22" x14ac:dyDescent="0.45">
      <c r="A71" s="14">
        <v>70</v>
      </c>
      <c r="B71" s="4" t="s">
        <v>1123</v>
      </c>
      <c r="C71" s="4" t="s">
        <v>1124</v>
      </c>
      <c r="D71" s="5" t="e">
        <f>SUMIFS(#REF!,#REF!,$C71)</f>
        <v>#REF!</v>
      </c>
      <c r="E71" s="5" t="e">
        <f>SUMIFS(#REF!,#REF!,$C71)</f>
        <v>#REF!</v>
      </c>
      <c r="F71" s="5" t="e">
        <f>SUMIFS(#REF!,#REF!,$C71)</f>
        <v>#REF!</v>
      </c>
      <c r="G71" s="5" t="e">
        <f>SUMIFS(#REF!,#REF!,$C71)</f>
        <v>#REF!</v>
      </c>
      <c r="H71" s="4"/>
      <c r="I71" s="5">
        <v>7650</v>
      </c>
      <c r="J71" s="5">
        <f>SUMIFS('Business Licences by Community'!$D$2:$D$318,'Business Licences by Community'!$C$2:$C$318,$C71)</f>
        <v>33</v>
      </c>
      <c r="K71" s="15">
        <v>2.4603790000000001</v>
      </c>
      <c r="L71" s="5">
        <f t="shared" si="9"/>
        <v>3109.2770666633064</v>
      </c>
      <c r="M71" s="6">
        <f t="shared" si="10"/>
        <v>13.412567738547597</v>
      </c>
      <c r="N71" s="7">
        <f t="shared" si="11"/>
        <v>0.65853658536585369</v>
      </c>
      <c r="O71" s="7">
        <f t="shared" si="12"/>
        <v>0.44444444444444442</v>
      </c>
      <c r="P71" s="7">
        <f t="shared" si="13"/>
        <v>0.65853658536585369</v>
      </c>
      <c r="Q71" s="4" t="str">
        <f t="shared" si="14"/>
        <v>Residents</v>
      </c>
      <c r="R71" s="16">
        <f t="shared" si="15"/>
        <v>0.76097560975609757</v>
      </c>
      <c r="S71" s="14">
        <f t="shared" si="16"/>
        <v>139</v>
      </c>
      <c r="T71" s="6" t="e">
        <f t="shared" si="17"/>
        <v>#REF!</v>
      </c>
      <c r="U71" s="17"/>
      <c r="V71" s="4" t="s">
        <v>971</v>
      </c>
    </row>
    <row r="72" spans="1:22" x14ac:dyDescent="0.45">
      <c r="A72" s="14">
        <v>71</v>
      </c>
      <c r="B72" s="4" t="s">
        <v>1125</v>
      </c>
      <c r="C72" s="4" t="s">
        <v>1126</v>
      </c>
      <c r="D72" s="5" t="e">
        <f>SUMIFS(#REF!,#REF!,$C72)</f>
        <v>#REF!</v>
      </c>
      <c r="E72" s="5" t="e">
        <f>SUMIFS(#REF!,#REF!,$C72)</f>
        <v>#REF!</v>
      </c>
      <c r="F72" s="5" t="e">
        <f>SUMIFS(#REF!,#REF!,$C72)</f>
        <v>#REF!</v>
      </c>
      <c r="G72" s="5" t="e">
        <f>SUMIFS(#REF!,#REF!,$C72)</f>
        <v>#REF!</v>
      </c>
      <c r="H72" s="4"/>
      <c r="I72" s="5">
        <v>7240</v>
      </c>
      <c r="J72" s="5">
        <f>SUMIFS('Business Licences by Community'!$D$2:$D$318,'Business Licences by Community'!$C$2:$C$318,$C72)</f>
        <v>55</v>
      </c>
      <c r="K72" s="15">
        <v>1.961068</v>
      </c>
      <c r="L72" s="5">
        <f t="shared" si="9"/>
        <v>3691.8658608472524</v>
      </c>
      <c r="M72" s="6">
        <f t="shared" si="10"/>
        <v>28.045942313066146</v>
      </c>
      <c r="N72" s="7">
        <f t="shared" si="11"/>
        <v>0.79024390243902443</v>
      </c>
      <c r="O72" s="7">
        <f t="shared" si="12"/>
        <v>0.63703703703703707</v>
      </c>
      <c r="P72" s="7">
        <f t="shared" si="13"/>
        <v>0.79024390243902443</v>
      </c>
      <c r="Q72" s="4" t="str">
        <f t="shared" si="14"/>
        <v>Residents</v>
      </c>
      <c r="R72" s="16">
        <f t="shared" si="15"/>
        <v>0.85317073170731694</v>
      </c>
      <c r="S72" s="14">
        <f t="shared" si="16"/>
        <v>88</v>
      </c>
      <c r="T72" s="6" t="e">
        <f t="shared" si="17"/>
        <v>#REF!</v>
      </c>
      <c r="U72" s="17"/>
      <c r="V72" s="4" t="s">
        <v>971</v>
      </c>
    </row>
    <row r="73" spans="1:22" x14ac:dyDescent="0.45">
      <c r="A73" s="14">
        <v>72</v>
      </c>
      <c r="B73" s="4" t="s">
        <v>1127</v>
      </c>
      <c r="C73" s="4" t="s">
        <v>1128</v>
      </c>
      <c r="D73" s="5" t="e">
        <f>SUMIFS(#REF!,#REF!,$C73)</f>
        <v>#REF!</v>
      </c>
      <c r="E73" s="5" t="e">
        <f>SUMIFS(#REF!,#REF!,$C73)</f>
        <v>#REF!</v>
      </c>
      <c r="F73" s="5" t="e">
        <f>SUMIFS(#REF!,#REF!,$C73)</f>
        <v>#REF!</v>
      </c>
      <c r="G73" s="5" t="e">
        <f>SUMIFS(#REF!,#REF!,$C73)</f>
        <v>#REF!</v>
      </c>
      <c r="H73" s="4"/>
      <c r="I73" s="5">
        <v>9590</v>
      </c>
      <c r="J73" s="5">
        <f>SUMIFS('Business Licences by Community'!$D$2:$D$318,'Business Licences by Community'!$C$2:$C$318,$C73)</f>
        <v>61</v>
      </c>
      <c r="K73" s="15">
        <v>3.9801440000000001</v>
      </c>
      <c r="L73" s="5">
        <f t="shared" si="9"/>
        <v>2409.4605622309141</v>
      </c>
      <c r="M73" s="6">
        <f t="shared" si="10"/>
        <v>15.326078654440643</v>
      </c>
      <c r="N73" s="7">
        <f t="shared" si="11"/>
        <v>0.40975609756097559</v>
      </c>
      <c r="O73" s="7">
        <f t="shared" si="12"/>
        <v>0.48148148148148145</v>
      </c>
      <c r="P73" s="7">
        <f t="shared" si="13"/>
        <v>0.48148148148148145</v>
      </c>
      <c r="Q73" s="4" t="str">
        <f t="shared" si="14"/>
        <v>Businesses</v>
      </c>
      <c r="R73" s="16">
        <f t="shared" si="15"/>
        <v>0.63703703703703707</v>
      </c>
      <c r="S73" s="14">
        <f t="shared" si="16"/>
        <v>189</v>
      </c>
      <c r="T73" s="6" t="e">
        <f t="shared" si="17"/>
        <v>#REF!</v>
      </c>
      <c r="U73" s="17"/>
      <c r="V73" s="4" t="s">
        <v>971</v>
      </c>
    </row>
    <row r="74" spans="1:22" x14ac:dyDescent="0.45">
      <c r="A74" s="14">
        <v>73</v>
      </c>
      <c r="B74" s="4" t="s">
        <v>1129</v>
      </c>
      <c r="C74" s="4" t="s">
        <v>1130</v>
      </c>
      <c r="D74" s="5" t="e">
        <f>SUMIFS(#REF!,#REF!,$C74)</f>
        <v>#REF!</v>
      </c>
      <c r="E74" s="5" t="e">
        <f>SUMIFS(#REF!,#REF!,$C74)</f>
        <v>#REF!</v>
      </c>
      <c r="F74" s="5" t="e">
        <f>SUMIFS(#REF!,#REF!,$C74)</f>
        <v>#REF!</v>
      </c>
      <c r="G74" s="5" t="e">
        <f>SUMIFS(#REF!,#REF!,$C74)</f>
        <v>#REF!</v>
      </c>
      <c r="H74" s="4"/>
      <c r="I74" s="5">
        <v>5090</v>
      </c>
      <c r="J74" s="5">
        <f>SUMIFS('Business Licences by Community'!$D$2:$D$318,'Business Licences by Community'!$C$2:$C$318,$C74)</f>
        <v>312</v>
      </c>
      <c r="K74" s="15">
        <v>3.4000810000000001</v>
      </c>
      <c r="L74" s="5">
        <f t="shared" si="9"/>
        <v>1497.0231591541494</v>
      </c>
      <c r="M74" s="6">
        <f t="shared" si="10"/>
        <v>91.762519775264181</v>
      </c>
      <c r="N74" s="7">
        <f t="shared" si="11"/>
        <v>0.16585365853658537</v>
      </c>
      <c r="O74" s="7">
        <f t="shared" si="12"/>
        <v>0.8666666666666667</v>
      </c>
      <c r="P74" s="7">
        <f t="shared" si="13"/>
        <v>0.8666666666666667</v>
      </c>
      <c r="Q74" s="4" t="str">
        <f t="shared" si="14"/>
        <v>Businesses</v>
      </c>
      <c r="R74" s="16">
        <f t="shared" si="15"/>
        <v>0.90666666666666673</v>
      </c>
      <c r="S74" s="14">
        <f t="shared" si="16"/>
        <v>56</v>
      </c>
      <c r="T74" s="6" t="e">
        <f t="shared" si="17"/>
        <v>#REF!</v>
      </c>
      <c r="U74" s="17"/>
      <c r="V74" s="4" t="s">
        <v>971</v>
      </c>
    </row>
    <row r="75" spans="1:22" x14ac:dyDescent="0.45">
      <c r="A75" s="14">
        <v>74</v>
      </c>
      <c r="B75" s="4" t="s">
        <v>1131</v>
      </c>
      <c r="C75" s="4" t="s">
        <v>1132</v>
      </c>
      <c r="D75" s="5" t="e">
        <f>SUMIFS(#REF!,#REF!,$C75)</f>
        <v>#REF!</v>
      </c>
      <c r="E75" s="5" t="e">
        <f>SUMIFS(#REF!,#REF!,$C75)</f>
        <v>#REF!</v>
      </c>
      <c r="F75" s="5" t="e">
        <f>SUMIFS(#REF!,#REF!,$C75)</f>
        <v>#REF!</v>
      </c>
      <c r="G75" s="5" t="e">
        <f>SUMIFS(#REF!,#REF!,$C75)</f>
        <v>#REF!</v>
      </c>
      <c r="H75" s="4"/>
      <c r="I75" s="5">
        <v>7490</v>
      </c>
      <c r="J75" s="5">
        <f>SUMIFS('Business Licences by Community'!$D$2:$D$318,'Business Licences by Community'!$C$2:$C$318,$C75)</f>
        <v>33</v>
      </c>
      <c r="K75" s="15">
        <v>2.3401719999999999</v>
      </c>
      <c r="L75" s="5">
        <f t="shared" si="9"/>
        <v>3200.6194416478788</v>
      </c>
      <c r="M75" s="6">
        <f t="shared" si="10"/>
        <v>14.101527580024033</v>
      </c>
      <c r="N75" s="7">
        <f t="shared" si="11"/>
        <v>0.67804878048780493</v>
      </c>
      <c r="O75" s="7">
        <f t="shared" si="12"/>
        <v>0.46296296296296297</v>
      </c>
      <c r="P75" s="7">
        <f t="shared" si="13"/>
        <v>0.67804878048780493</v>
      </c>
      <c r="Q75" s="4" t="str">
        <f t="shared" si="14"/>
        <v>Residents</v>
      </c>
      <c r="R75" s="16">
        <f t="shared" si="15"/>
        <v>0.77463414634146344</v>
      </c>
      <c r="S75" s="14">
        <f t="shared" si="16"/>
        <v>132</v>
      </c>
      <c r="T75" s="6" t="e">
        <f t="shared" si="17"/>
        <v>#REF!</v>
      </c>
      <c r="U75" s="17"/>
      <c r="V75" s="4" t="s">
        <v>971</v>
      </c>
    </row>
    <row r="76" spans="1:22" x14ac:dyDescent="0.45">
      <c r="A76" s="14">
        <v>75</v>
      </c>
      <c r="B76" s="4" t="s">
        <v>1133</v>
      </c>
      <c r="C76" s="4" t="s">
        <v>1134</v>
      </c>
      <c r="D76" s="5" t="e">
        <f>SUMIFS(#REF!,#REF!,$C76)</f>
        <v>#REF!</v>
      </c>
      <c r="E76" s="5" t="e">
        <f>SUMIFS(#REF!,#REF!,$C76)</f>
        <v>#REF!</v>
      </c>
      <c r="F76" s="5" t="e">
        <f>SUMIFS(#REF!,#REF!,$C76)</f>
        <v>#REF!</v>
      </c>
      <c r="G76" s="5" t="e">
        <f>SUMIFS(#REF!,#REF!,$C76)</f>
        <v>#REF!</v>
      </c>
      <c r="H76" s="4"/>
      <c r="I76" s="5">
        <v>14095</v>
      </c>
      <c r="J76" s="5">
        <f>SUMIFS('Business Licences by Community'!$D$2:$D$318,'Business Licences by Community'!$C$2:$C$318,$C76)</f>
        <v>34</v>
      </c>
      <c r="K76" s="15">
        <v>4.6090460000000002</v>
      </c>
      <c r="L76" s="5">
        <f t="shared" si="9"/>
        <v>3058.1165820432252</v>
      </c>
      <c r="M76" s="6">
        <f t="shared" si="10"/>
        <v>7.3767977147548534</v>
      </c>
      <c r="N76" s="7">
        <f t="shared" si="11"/>
        <v>0.63902439024390245</v>
      </c>
      <c r="O76" s="7">
        <f t="shared" si="12"/>
        <v>0.29629629629629628</v>
      </c>
      <c r="P76" s="7">
        <f t="shared" si="13"/>
        <v>0.63902439024390245</v>
      </c>
      <c r="Q76" s="4" t="str">
        <f t="shared" si="14"/>
        <v>Residents</v>
      </c>
      <c r="R76" s="16">
        <f t="shared" si="15"/>
        <v>0.7473170731707317</v>
      </c>
      <c r="S76" s="14">
        <f t="shared" si="16"/>
        <v>146</v>
      </c>
      <c r="T76" s="6" t="e">
        <f t="shared" si="17"/>
        <v>#REF!</v>
      </c>
      <c r="U76" s="17"/>
      <c r="V76" s="4" t="s">
        <v>971</v>
      </c>
    </row>
    <row r="77" spans="1:22" x14ac:dyDescent="0.45">
      <c r="A77" s="14">
        <v>76</v>
      </c>
      <c r="B77" s="4" t="s">
        <v>1135</v>
      </c>
      <c r="C77" s="4" t="s">
        <v>1136</v>
      </c>
      <c r="D77" s="5" t="e">
        <f>SUMIFS(#REF!,#REF!,$C77)</f>
        <v>#REF!</v>
      </c>
      <c r="E77" s="5" t="e">
        <f>SUMIFS(#REF!,#REF!,$C77)</f>
        <v>#REF!</v>
      </c>
      <c r="F77" s="5" t="e">
        <f>SUMIFS(#REF!,#REF!,$C77)</f>
        <v>#REF!</v>
      </c>
      <c r="G77" s="5" t="e">
        <f>SUMIFS(#REF!,#REF!,$C77)</f>
        <v>#REF!</v>
      </c>
      <c r="H77" s="4"/>
      <c r="I77" s="5">
        <v>9115</v>
      </c>
      <c r="J77" s="5">
        <f>SUMIFS('Business Licences by Community'!$D$2:$D$318,'Business Licences by Community'!$C$2:$C$318,$C77)</f>
        <v>13</v>
      </c>
      <c r="K77" s="15">
        <v>3.2084619999999999</v>
      </c>
      <c r="L77" s="5">
        <f t="shared" si="9"/>
        <v>2840.9250288767639</v>
      </c>
      <c r="M77" s="6">
        <f t="shared" si="10"/>
        <v>4.051785559560936</v>
      </c>
      <c r="N77" s="7">
        <f t="shared" si="11"/>
        <v>0.59024390243902436</v>
      </c>
      <c r="O77" s="7">
        <f t="shared" si="12"/>
        <v>0.18888888888888888</v>
      </c>
      <c r="P77" s="7">
        <f t="shared" si="13"/>
        <v>0.59024390243902436</v>
      </c>
      <c r="Q77" s="4" t="str">
        <f t="shared" si="14"/>
        <v>Residents</v>
      </c>
      <c r="R77" s="16">
        <f t="shared" si="15"/>
        <v>0.71317073170731704</v>
      </c>
      <c r="S77" s="14">
        <f t="shared" si="16"/>
        <v>165</v>
      </c>
      <c r="T77" s="6" t="e">
        <f t="shared" si="17"/>
        <v>#REF!</v>
      </c>
      <c r="U77" s="17"/>
      <c r="V77" s="4" t="s">
        <v>971</v>
      </c>
    </row>
    <row r="78" spans="1:22" x14ac:dyDescent="0.45">
      <c r="A78" s="14">
        <v>77</v>
      </c>
      <c r="B78" s="4" t="s">
        <v>1137</v>
      </c>
      <c r="C78" s="4" t="s">
        <v>1138</v>
      </c>
      <c r="D78" s="5" t="e">
        <f>SUMIFS(#REF!,#REF!,$C78)</f>
        <v>#REF!</v>
      </c>
      <c r="E78" s="5" t="e">
        <f>SUMIFS(#REF!,#REF!,$C78)</f>
        <v>#REF!</v>
      </c>
      <c r="F78" s="5" t="e">
        <f>SUMIFS(#REF!,#REF!,$C78)</f>
        <v>#REF!</v>
      </c>
      <c r="G78" s="5" t="e">
        <f>SUMIFS(#REF!,#REF!,$C78)</f>
        <v>#REF!</v>
      </c>
      <c r="H78" s="4"/>
      <c r="I78" s="5">
        <v>10180</v>
      </c>
      <c r="J78" s="5">
        <f>SUMIFS('Business Licences by Community'!$D$2:$D$318,'Business Licences by Community'!$C$2:$C$318,$C78)</f>
        <v>4</v>
      </c>
      <c r="K78" s="15">
        <v>2.7333639999999999</v>
      </c>
      <c r="L78" s="5">
        <f t="shared" si="9"/>
        <v>3724.34845852949</v>
      </c>
      <c r="M78" s="6">
        <f t="shared" si="10"/>
        <v>1.4633982155322161</v>
      </c>
      <c r="N78" s="7">
        <f t="shared" si="11"/>
        <v>0.79512195121951224</v>
      </c>
      <c r="O78" s="7">
        <f t="shared" si="12"/>
        <v>9.2592592592592587E-2</v>
      </c>
      <c r="P78" s="7">
        <f t="shared" si="13"/>
        <v>0.79512195121951224</v>
      </c>
      <c r="Q78" s="4" t="str">
        <f t="shared" si="14"/>
        <v>Residents</v>
      </c>
      <c r="R78" s="16">
        <f t="shared" si="15"/>
        <v>0.85658536585365841</v>
      </c>
      <c r="S78" s="14">
        <f t="shared" si="16"/>
        <v>86</v>
      </c>
      <c r="T78" s="6" t="e">
        <f t="shared" si="17"/>
        <v>#REF!</v>
      </c>
      <c r="U78" s="17"/>
      <c r="V78" s="4" t="s">
        <v>971</v>
      </c>
    </row>
    <row r="79" spans="1:22" x14ac:dyDescent="0.45">
      <c r="A79" s="14">
        <v>78</v>
      </c>
      <c r="B79" s="4" t="s">
        <v>1139</v>
      </c>
      <c r="C79" s="4" t="s">
        <v>1140</v>
      </c>
      <c r="D79" s="5" t="e">
        <f>SUMIFS(#REF!,#REF!,$C79)</f>
        <v>#REF!</v>
      </c>
      <c r="E79" s="5" t="e">
        <f>SUMIFS(#REF!,#REF!,$C79)</f>
        <v>#REF!</v>
      </c>
      <c r="F79" s="5" t="e">
        <f>SUMIFS(#REF!,#REF!,$C79)</f>
        <v>#REF!</v>
      </c>
      <c r="G79" s="5" t="e">
        <f>SUMIFS(#REF!,#REF!,$C79)</f>
        <v>#REF!</v>
      </c>
      <c r="H79" s="4" t="s">
        <v>1141</v>
      </c>
      <c r="I79" s="5"/>
      <c r="J79" s="5">
        <f>SUMIFS('Business Licences by Community'!$D$2:$D$318,'Business Licences by Community'!$C$2:$C$318,$C79)</f>
        <v>876</v>
      </c>
      <c r="K79" s="15">
        <v>4.573283</v>
      </c>
      <c r="L79" s="5" t="str">
        <f t="shared" si="9"/>
        <v/>
      </c>
      <c r="M79" s="6">
        <f t="shared" si="10"/>
        <v>191.54729764154109</v>
      </c>
      <c r="N79" s="7" t="str">
        <f t="shared" si="11"/>
        <v/>
      </c>
      <c r="O79" s="7">
        <f t="shared" si="12"/>
        <v>0.94444444444444442</v>
      </c>
      <c r="P79" s="7">
        <f t="shared" si="13"/>
        <v>0.94444444444444442</v>
      </c>
      <c r="Q79" s="4" t="str">
        <f t="shared" si="14"/>
        <v>Businesses</v>
      </c>
      <c r="R79" s="16">
        <f t="shared" si="15"/>
        <v>0.96111111111111103</v>
      </c>
      <c r="S79" s="14">
        <f t="shared" si="16"/>
        <v>22</v>
      </c>
      <c r="T79" s="6" t="str">
        <f t="shared" si="17"/>
        <v/>
      </c>
      <c r="U79" s="17"/>
      <c r="V79" s="4" t="s">
        <v>971</v>
      </c>
    </row>
    <row r="80" spans="1:22" x14ac:dyDescent="0.45">
      <c r="A80" s="14">
        <v>79</v>
      </c>
      <c r="B80" s="4" t="s">
        <v>1142</v>
      </c>
      <c r="C80" s="4" t="s">
        <v>1143</v>
      </c>
      <c r="D80" s="5" t="e">
        <f>SUMIFS(#REF!,#REF!,$C80)</f>
        <v>#REF!</v>
      </c>
      <c r="E80" s="5" t="e">
        <f>SUMIFS(#REF!,#REF!,$C80)</f>
        <v>#REF!</v>
      </c>
      <c r="F80" s="5" t="e">
        <f>SUMIFS(#REF!,#REF!,$C80)</f>
        <v>#REF!</v>
      </c>
      <c r="G80" s="5" t="e">
        <f>SUMIFS(#REF!,#REF!,$C80)</f>
        <v>#REF!</v>
      </c>
      <c r="H80" s="4"/>
      <c r="I80" s="5">
        <v>4540</v>
      </c>
      <c r="J80" s="5">
        <f>SUMIFS('Business Licences by Community'!$D$2:$D$318,'Business Licences by Community'!$C$2:$C$318,$C80)</f>
        <v>182</v>
      </c>
      <c r="K80" s="15">
        <v>0.88785400000000003</v>
      </c>
      <c r="L80" s="5">
        <f t="shared" si="9"/>
        <v>5113.4533380488228</v>
      </c>
      <c r="M80" s="6">
        <f t="shared" si="10"/>
        <v>204.98865804512903</v>
      </c>
      <c r="N80" s="7">
        <f t="shared" si="11"/>
        <v>0.9463414634146341</v>
      </c>
      <c r="O80" s="7">
        <f t="shared" si="12"/>
        <v>0.95185185185185184</v>
      </c>
      <c r="P80" s="7">
        <f t="shared" si="13"/>
        <v>0.95185185185185184</v>
      </c>
      <c r="Q80" s="4" t="str">
        <f t="shared" si="14"/>
        <v>Businesses</v>
      </c>
      <c r="R80" s="16">
        <f t="shared" si="15"/>
        <v>0.96629629629629621</v>
      </c>
      <c r="S80" s="14">
        <f t="shared" si="16"/>
        <v>19</v>
      </c>
      <c r="T80" s="6" t="e">
        <f t="shared" si="17"/>
        <v>#REF!</v>
      </c>
      <c r="U80" s="17"/>
      <c r="V80" s="4" t="s">
        <v>971</v>
      </c>
    </row>
    <row r="81" spans="1:22" x14ac:dyDescent="0.45">
      <c r="A81" s="14">
        <v>80</v>
      </c>
      <c r="B81" s="4" t="s">
        <v>1144</v>
      </c>
      <c r="C81" s="4" t="s">
        <v>1145</v>
      </c>
      <c r="D81" s="5" t="e">
        <f>SUMIFS(#REF!,#REF!,$C81)</f>
        <v>#REF!</v>
      </c>
      <c r="E81" s="5" t="e">
        <f>SUMIFS(#REF!,#REF!,$C81)</f>
        <v>#REF!</v>
      </c>
      <c r="F81" s="5" t="e">
        <f>SUMIFS(#REF!,#REF!,$C81)</f>
        <v>#REF!</v>
      </c>
      <c r="G81" s="5" t="e">
        <f>SUMIFS(#REF!,#REF!,$C81)</f>
        <v>#REF!</v>
      </c>
      <c r="H81" s="4"/>
      <c r="I81" s="5">
        <v>7410</v>
      </c>
      <c r="J81" s="5">
        <f>SUMIFS('Business Licences by Community'!$D$2:$D$318,'Business Licences by Community'!$C$2:$C$318,$C81)</f>
        <v>168</v>
      </c>
      <c r="K81" s="15">
        <v>2.8927930000000002</v>
      </c>
      <c r="L81" s="5">
        <f t="shared" si="9"/>
        <v>2561.5382780586096</v>
      </c>
      <c r="M81" s="6">
        <f t="shared" si="10"/>
        <v>58.075361769749854</v>
      </c>
      <c r="N81" s="7">
        <f t="shared" si="11"/>
        <v>0.47804878048780486</v>
      </c>
      <c r="O81" s="7">
        <f t="shared" si="12"/>
        <v>0.79259259259259263</v>
      </c>
      <c r="P81" s="7">
        <f t="shared" si="13"/>
        <v>0.79259259259259263</v>
      </c>
      <c r="Q81" s="4" t="str">
        <f t="shared" si="14"/>
        <v>Businesses</v>
      </c>
      <c r="R81" s="16">
        <f t="shared" si="15"/>
        <v>0.85481481481481469</v>
      </c>
      <c r="S81" s="14">
        <f t="shared" si="16"/>
        <v>87</v>
      </c>
      <c r="T81" s="6" t="e">
        <f t="shared" si="17"/>
        <v>#REF!</v>
      </c>
      <c r="U81" s="17"/>
      <c r="V81" s="4" t="s">
        <v>971</v>
      </c>
    </row>
    <row r="82" spans="1:22" x14ac:dyDescent="0.45">
      <c r="A82" s="14">
        <v>81</v>
      </c>
      <c r="B82" s="4" t="s">
        <v>1146</v>
      </c>
      <c r="C82" s="4" t="s">
        <v>1147</v>
      </c>
      <c r="D82" s="5" t="e">
        <f>SUMIFS(#REF!,#REF!,$C82)</f>
        <v>#REF!</v>
      </c>
      <c r="E82" s="5" t="e">
        <f>SUMIFS(#REF!,#REF!,$C82)</f>
        <v>#REF!</v>
      </c>
      <c r="F82" s="5" t="e">
        <f>SUMIFS(#REF!,#REF!,$C82)</f>
        <v>#REF!</v>
      </c>
      <c r="G82" s="5" t="e">
        <f>SUMIFS(#REF!,#REF!,$C82)</f>
        <v>#REF!</v>
      </c>
      <c r="H82" s="4"/>
      <c r="I82" s="5">
        <v>8000</v>
      </c>
      <c r="J82" s="5">
        <f>SUMIFS('Business Licences by Community'!$D$2:$D$318,'Business Licences by Community'!$C$2:$C$318,$C82)</f>
        <v>88</v>
      </c>
      <c r="K82" s="15">
        <v>6.0853999999999999</v>
      </c>
      <c r="L82" s="5">
        <f t="shared" si="9"/>
        <v>1314.621881881224</v>
      </c>
      <c r="M82" s="6">
        <f t="shared" si="10"/>
        <v>14.460840700693463</v>
      </c>
      <c r="N82" s="7">
        <f t="shared" si="11"/>
        <v>0.13658536585365855</v>
      </c>
      <c r="O82" s="7">
        <f t="shared" si="12"/>
        <v>0.47037037037037038</v>
      </c>
      <c r="P82" s="7">
        <f t="shared" si="13"/>
        <v>0.47037037037037038</v>
      </c>
      <c r="Q82" s="4" t="str">
        <f t="shared" si="14"/>
        <v>Businesses</v>
      </c>
      <c r="R82" s="16">
        <f t="shared" si="15"/>
        <v>0.62925925925925918</v>
      </c>
      <c r="S82" s="14">
        <f t="shared" si="16"/>
        <v>193</v>
      </c>
      <c r="T82" s="6" t="e">
        <f t="shared" si="17"/>
        <v>#REF!</v>
      </c>
      <c r="U82" s="17"/>
      <c r="V82" s="4" t="s">
        <v>971</v>
      </c>
    </row>
    <row r="83" spans="1:22" x14ac:dyDescent="0.45">
      <c r="A83" s="14">
        <v>82</v>
      </c>
      <c r="B83" s="4" t="s">
        <v>1148</v>
      </c>
      <c r="C83" s="4" t="s">
        <v>1149</v>
      </c>
      <c r="D83" s="5" t="e">
        <f>SUMIFS(#REF!,#REF!,$C83)</f>
        <v>#REF!</v>
      </c>
      <c r="E83" s="5" t="e">
        <f>SUMIFS(#REF!,#REF!,$C83)</f>
        <v>#REF!</v>
      </c>
      <c r="F83" s="5" t="e">
        <f>SUMIFS(#REF!,#REF!,$C83)</f>
        <v>#REF!</v>
      </c>
      <c r="G83" s="5" t="e">
        <f>SUMIFS(#REF!,#REF!,$C83)</f>
        <v>#REF!</v>
      </c>
      <c r="H83" s="4"/>
      <c r="I83" s="5">
        <v>5620</v>
      </c>
      <c r="J83" s="5">
        <f>SUMIFS('Business Licences by Community'!$D$2:$D$318,'Business Licences by Community'!$C$2:$C$318,$C83)</f>
        <v>56</v>
      </c>
      <c r="K83" s="15">
        <v>2.4110860000000001</v>
      </c>
      <c r="L83" s="5">
        <f t="shared" si="9"/>
        <v>2330.8998517680416</v>
      </c>
      <c r="M83" s="6">
        <f t="shared" si="10"/>
        <v>23.226048345019631</v>
      </c>
      <c r="N83" s="7">
        <f t="shared" si="11"/>
        <v>0.38048780487804879</v>
      </c>
      <c r="O83" s="7">
        <f t="shared" si="12"/>
        <v>0.58148148148148149</v>
      </c>
      <c r="P83" s="7">
        <f t="shared" si="13"/>
        <v>0.58148148148148149</v>
      </c>
      <c r="Q83" s="4" t="str">
        <f t="shared" si="14"/>
        <v>Businesses</v>
      </c>
      <c r="R83" s="16">
        <f t="shared" si="15"/>
        <v>0.70703703703703702</v>
      </c>
      <c r="S83" s="14">
        <f t="shared" si="16"/>
        <v>167</v>
      </c>
      <c r="T83" s="6" t="e">
        <f t="shared" si="17"/>
        <v>#REF!</v>
      </c>
      <c r="U83" s="17"/>
      <c r="V83" s="4" t="s">
        <v>971</v>
      </c>
    </row>
    <row r="84" spans="1:22" x14ac:dyDescent="0.45">
      <c r="A84" s="14">
        <v>83</v>
      </c>
      <c r="B84" s="4" t="s">
        <v>1150</v>
      </c>
      <c r="C84" s="4" t="s">
        <v>1151</v>
      </c>
      <c r="D84" s="5" t="e">
        <f>SUMIFS(#REF!,#REF!,$C84)</f>
        <v>#REF!</v>
      </c>
      <c r="E84" s="5" t="e">
        <f>SUMIFS(#REF!,#REF!,$C84)</f>
        <v>#REF!</v>
      </c>
      <c r="F84" s="5" t="e">
        <f>SUMIFS(#REF!,#REF!,$C84)</f>
        <v>#REF!</v>
      </c>
      <c r="G84" s="5" t="e">
        <f>SUMIFS(#REF!,#REF!,$C84)</f>
        <v>#REF!</v>
      </c>
      <c r="H84" s="4"/>
      <c r="I84" s="5">
        <v>3590</v>
      </c>
      <c r="J84" s="5">
        <f>SUMIFS('Business Licences by Community'!$D$2:$D$318,'Business Licences by Community'!$C$2:$C$318,$C84)</f>
        <v>107</v>
      </c>
      <c r="K84" s="15">
        <v>4.5602660000000004</v>
      </c>
      <c r="L84" s="5">
        <f t="shared" si="9"/>
        <v>787.23477972556861</v>
      </c>
      <c r="M84" s="6">
        <f t="shared" si="10"/>
        <v>23.46354357399327</v>
      </c>
      <c r="N84" s="7">
        <f t="shared" si="11"/>
        <v>4.878048780487805E-2</v>
      </c>
      <c r="O84" s="7">
        <f t="shared" si="12"/>
        <v>0.58888888888888891</v>
      </c>
      <c r="P84" s="7">
        <f t="shared" si="13"/>
        <v>0.58888888888888891</v>
      </c>
      <c r="Q84" s="4" t="str">
        <f t="shared" si="14"/>
        <v>Businesses</v>
      </c>
      <c r="R84" s="16">
        <f t="shared" si="15"/>
        <v>0.7122222222222222</v>
      </c>
      <c r="S84" s="14">
        <f t="shared" si="16"/>
        <v>166</v>
      </c>
      <c r="T84" s="6" t="e">
        <f t="shared" si="17"/>
        <v>#REF!</v>
      </c>
      <c r="U84" s="17"/>
      <c r="V84" s="4" t="s">
        <v>971</v>
      </c>
    </row>
    <row r="85" spans="1:22" x14ac:dyDescent="0.45">
      <c r="A85" s="14">
        <v>84</v>
      </c>
      <c r="B85" s="4" t="s">
        <v>1152</v>
      </c>
      <c r="C85" s="4" t="s">
        <v>1153</v>
      </c>
      <c r="D85" s="5" t="e">
        <f>SUMIFS(#REF!,#REF!,$C85)</f>
        <v>#REF!</v>
      </c>
      <c r="E85" s="5" t="e">
        <f>SUMIFS(#REF!,#REF!,$C85)</f>
        <v>#REF!</v>
      </c>
      <c r="F85" s="5" t="e">
        <f>SUMIFS(#REF!,#REF!,$C85)</f>
        <v>#REF!</v>
      </c>
      <c r="G85" s="5" t="e">
        <f>SUMIFS(#REF!,#REF!,$C85)</f>
        <v>#REF!</v>
      </c>
      <c r="H85" s="4"/>
      <c r="I85" s="5">
        <v>4900</v>
      </c>
      <c r="J85" s="5">
        <f>SUMIFS('Business Licences by Community'!$D$2:$D$318,'Business Licences by Community'!$C$2:$C$318,$C85)</f>
        <v>93</v>
      </c>
      <c r="K85" s="15">
        <v>1.3380479999999999</v>
      </c>
      <c r="L85" s="5">
        <f t="shared" si="9"/>
        <v>3662.0509877074664</v>
      </c>
      <c r="M85" s="6">
        <f t="shared" si="10"/>
        <v>69.504233031998851</v>
      </c>
      <c r="N85" s="7">
        <f t="shared" si="11"/>
        <v>0.78048780487804881</v>
      </c>
      <c r="O85" s="7">
        <f t="shared" si="12"/>
        <v>0.84074074074074079</v>
      </c>
      <c r="P85" s="7">
        <f t="shared" si="13"/>
        <v>0.84074074074074079</v>
      </c>
      <c r="Q85" s="4" t="str">
        <f t="shared" si="14"/>
        <v>Businesses</v>
      </c>
      <c r="R85" s="16">
        <f t="shared" si="15"/>
        <v>0.88851851851851849</v>
      </c>
      <c r="S85" s="14">
        <f t="shared" si="16"/>
        <v>68</v>
      </c>
      <c r="T85" s="6" t="e">
        <f t="shared" si="17"/>
        <v>#REF!</v>
      </c>
      <c r="U85" s="17"/>
      <c r="V85" s="4" t="s">
        <v>971</v>
      </c>
    </row>
    <row r="86" spans="1:22" x14ac:dyDescent="0.45">
      <c r="A86" s="14">
        <v>85</v>
      </c>
      <c r="B86" s="4" t="s">
        <v>1154</v>
      </c>
      <c r="C86" s="4" t="s">
        <v>1155</v>
      </c>
      <c r="D86" s="5" t="e">
        <f>SUMIFS(#REF!,#REF!,$C86)</f>
        <v>#REF!</v>
      </c>
      <c r="E86" s="5" t="e">
        <f>SUMIFS(#REF!,#REF!,$C86)</f>
        <v>#REF!</v>
      </c>
      <c r="F86" s="5" t="e">
        <f>SUMIFS(#REF!,#REF!,$C86)</f>
        <v>#REF!</v>
      </c>
      <c r="G86" s="5" t="e">
        <f>SUMIFS(#REF!,#REF!,$C86)</f>
        <v>#REF!</v>
      </c>
      <c r="H86" s="4"/>
      <c r="I86" s="5">
        <v>8235</v>
      </c>
      <c r="J86" s="5">
        <f>SUMIFS('Business Licences by Community'!$D$2:$D$318,'Business Licences by Community'!$C$2:$C$318,$C86)</f>
        <v>15</v>
      </c>
      <c r="K86" s="15">
        <v>2.0376840000000001</v>
      </c>
      <c r="L86" s="5">
        <f t="shared" si="9"/>
        <v>4041.3528299775626</v>
      </c>
      <c r="M86" s="6">
        <f t="shared" si="10"/>
        <v>7.361298415259677</v>
      </c>
      <c r="N86" s="7">
        <f t="shared" si="11"/>
        <v>0.86829268292682926</v>
      </c>
      <c r="O86" s="7">
        <f t="shared" si="12"/>
        <v>0.29259259259259257</v>
      </c>
      <c r="P86" s="7">
        <f t="shared" si="13"/>
        <v>0.86829268292682926</v>
      </c>
      <c r="Q86" s="4" t="str">
        <f t="shared" si="14"/>
        <v>Residents</v>
      </c>
      <c r="R86" s="16">
        <f t="shared" si="15"/>
        <v>0.90780487804878041</v>
      </c>
      <c r="S86" s="14">
        <f t="shared" si="16"/>
        <v>55</v>
      </c>
      <c r="T86" s="6" t="e">
        <f t="shared" si="17"/>
        <v>#REF!</v>
      </c>
      <c r="U86" s="17"/>
      <c r="V86" s="4" t="s">
        <v>971</v>
      </c>
    </row>
    <row r="87" spans="1:22" x14ac:dyDescent="0.45">
      <c r="A87" s="14">
        <v>86</v>
      </c>
      <c r="B87" s="4" t="s">
        <v>1156</v>
      </c>
      <c r="C87" s="4" t="s">
        <v>1157</v>
      </c>
      <c r="D87" s="5" t="e">
        <f>SUMIFS(#REF!,#REF!,$C87)</f>
        <v>#REF!</v>
      </c>
      <c r="E87" s="5" t="e">
        <f>SUMIFS(#REF!,#REF!,$C87)</f>
        <v>#REF!</v>
      </c>
      <c r="F87" s="5" t="e">
        <f>SUMIFS(#REF!,#REF!,$C87)</f>
        <v>#REF!</v>
      </c>
      <c r="G87" s="5" t="e">
        <f>SUMIFS(#REF!,#REF!,$C87)</f>
        <v>#REF!</v>
      </c>
      <c r="H87" s="4"/>
      <c r="I87" s="5">
        <v>12885</v>
      </c>
      <c r="J87" s="5">
        <f>SUMIFS('Business Licences by Community'!$D$2:$D$318,'Business Licences by Community'!$C$2:$C$318,$C87)</f>
        <v>8</v>
      </c>
      <c r="K87" s="15">
        <v>2.8469730000000002</v>
      </c>
      <c r="L87" s="5">
        <f t="shared" si="9"/>
        <v>4525.8595708494595</v>
      </c>
      <c r="M87" s="6">
        <f t="shared" si="10"/>
        <v>2.8100020618390125</v>
      </c>
      <c r="N87" s="7">
        <f t="shared" si="11"/>
        <v>0.91219512195121955</v>
      </c>
      <c r="O87" s="7">
        <f t="shared" si="12"/>
        <v>0.14444444444444443</v>
      </c>
      <c r="P87" s="7">
        <f t="shared" si="13"/>
        <v>0.91219512195121955</v>
      </c>
      <c r="Q87" s="4" t="str">
        <f t="shared" si="14"/>
        <v>Residents</v>
      </c>
      <c r="R87" s="16">
        <f t="shared" si="15"/>
        <v>0.9385365853658536</v>
      </c>
      <c r="S87" s="14">
        <f t="shared" si="16"/>
        <v>35</v>
      </c>
      <c r="T87" s="6" t="e">
        <f t="shared" si="17"/>
        <v>#REF!</v>
      </c>
      <c r="U87" s="17"/>
      <c r="V87" s="4" t="s">
        <v>971</v>
      </c>
    </row>
    <row r="88" spans="1:22" x14ac:dyDescent="0.45">
      <c r="A88" s="14">
        <v>87</v>
      </c>
      <c r="B88" s="4" t="s">
        <v>1158</v>
      </c>
      <c r="C88" s="4" t="s">
        <v>1159</v>
      </c>
      <c r="D88" s="5" t="e">
        <f>SUMIFS(#REF!,#REF!,$C88)</f>
        <v>#REF!</v>
      </c>
      <c r="E88" s="5" t="e">
        <f>SUMIFS(#REF!,#REF!,$C88)</f>
        <v>#REF!</v>
      </c>
      <c r="F88" s="5" t="e">
        <f>SUMIFS(#REF!,#REF!,$C88)</f>
        <v>#REF!</v>
      </c>
      <c r="G88" s="5" t="e">
        <f>SUMIFS(#REF!,#REF!,$C88)</f>
        <v>#REF!</v>
      </c>
      <c r="H88" s="4"/>
      <c r="I88" s="5">
        <v>10475</v>
      </c>
      <c r="J88" s="5">
        <f>SUMIFS('Business Licences by Community'!$D$2:$D$318,'Business Licences by Community'!$C$2:$C$318,$C88)</f>
        <v>32</v>
      </c>
      <c r="K88" s="15">
        <v>3.4467150000000002</v>
      </c>
      <c r="L88" s="5">
        <f t="shared" si="9"/>
        <v>3039.1256602301028</v>
      </c>
      <c r="M88" s="6">
        <f t="shared" si="10"/>
        <v>9.2842024942590253</v>
      </c>
      <c r="N88" s="7">
        <f t="shared" si="11"/>
        <v>0.62926829268292683</v>
      </c>
      <c r="O88" s="7">
        <f t="shared" si="12"/>
        <v>0.32592592592592595</v>
      </c>
      <c r="P88" s="7">
        <f t="shared" si="13"/>
        <v>0.62926829268292683</v>
      </c>
      <c r="Q88" s="4" t="str">
        <f t="shared" si="14"/>
        <v>Residents</v>
      </c>
      <c r="R88" s="16">
        <f t="shared" si="15"/>
        <v>0.74048780487804877</v>
      </c>
      <c r="S88" s="14">
        <f t="shared" si="16"/>
        <v>149</v>
      </c>
      <c r="T88" s="6" t="e">
        <f t="shared" si="17"/>
        <v>#REF!</v>
      </c>
      <c r="U88" s="17"/>
      <c r="V88" s="4" t="s">
        <v>971</v>
      </c>
    </row>
    <row r="89" spans="1:22" x14ac:dyDescent="0.45">
      <c r="A89" s="14">
        <v>88</v>
      </c>
      <c r="B89" s="4" t="s">
        <v>1160</v>
      </c>
      <c r="C89" s="4" t="s">
        <v>1161</v>
      </c>
      <c r="D89" s="5" t="e">
        <f>SUMIFS(#REF!,#REF!,$C89)</f>
        <v>#REF!</v>
      </c>
      <c r="E89" s="5" t="e">
        <f>SUMIFS(#REF!,#REF!,$C89)</f>
        <v>#REF!</v>
      </c>
      <c r="F89" s="5" t="e">
        <f>SUMIFS(#REF!,#REF!,$C89)</f>
        <v>#REF!</v>
      </c>
      <c r="G89" s="5" t="e">
        <f>SUMIFS(#REF!,#REF!,$C89)</f>
        <v>#REF!</v>
      </c>
      <c r="H89" s="4"/>
      <c r="I89" s="5">
        <v>2155</v>
      </c>
      <c r="J89" s="5">
        <f>SUMIFS('Business Licences by Community'!$D$2:$D$318,'Business Licences by Community'!$C$2:$C$318,$C89)</f>
        <v>39</v>
      </c>
      <c r="K89" s="15">
        <v>0.98597699999999999</v>
      </c>
      <c r="L89" s="5">
        <f t="shared" si="9"/>
        <v>2185.6493609891509</v>
      </c>
      <c r="M89" s="6">
        <f t="shared" si="10"/>
        <v>39.55467521047651</v>
      </c>
      <c r="N89" s="7">
        <f t="shared" si="11"/>
        <v>0.31219512195121951</v>
      </c>
      <c r="O89" s="7">
        <f t="shared" si="12"/>
        <v>0.71111111111111114</v>
      </c>
      <c r="P89" s="7">
        <f t="shared" si="13"/>
        <v>0.71111111111111114</v>
      </c>
      <c r="Q89" s="4" t="str">
        <f t="shared" si="14"/>
        <v>Businesses</v>
      </c>
      <c r="R89" s="16">
        <f t="shared" si="15"/>
        <v>0.7977777777777777</v>
      </c>
      <c r="S89" s="14">
        <f t="shared" si="16"/>
        <v>121</v>
      </c>
      <c r="T89" s="6" t="e">
        <f t="shared" si="17"/>
        <v>#REF!</v>
      </c>
      <c r="U89" s="17"/>
      <c r="V89" s="4" t="s">
        <v>971</v>
      </c>
    </row>
    <row r="90" spans="1:22" x14ac:dyDescent="0.45">
      <c r="A90" s="14">
        <v>89</v>
      </c>
      <c r="B90" s="4" t="s">
        <v>1162</v>
      </c>
      <c r="C90" s="4" t="s">
        <v>1163</v>
      </c>
      <c r="D90" s="5" t="e">
        <f>SUMIFS(#REF!,#REF!,$C90)</f>
        <v>#REF!</v>
      </c>
      <c r="E90" s="5" t="e">
        <f>SUMIFS(#REF!,#REF!,$C90)</f>
        <v>#REF!</v>
      </c>
      <c r="F90" s="5" t="e">
        <f>SUMIFS(#REF!,#REF!,$C90)</f>
        <v>#REF!</v>
      </c>
      <c r="G90" s="5" t="e">
        <f>SUMIFS(#REF!,#REF!,$C90)</f>
        <v>#REF!</v>
      </c>
      <c r="H90" s="4"/>
      <c r="I90" s="5">
        <v>5125</v>
      </c>
      <c r="J90" s="5">
        <f>SUMIFS('Business Licences by Community'!$D$2:$D$318,'Business Licences by Community'!$C$2:$C$318,$C90)</f>
        <v>40</v>
      </c>
      <c r="K90" s="15">
        <v>0.68661300000000003</v>
      </c>
      <c r="L90" s="5">
        <f t="shared" si="9"/>
        <v>7464.1755981899551</v>
      </c>
      <c r="M90" s="6">
        <f t="shared" si="10"/>
        <v>58.256980278555751</v>
      </c>
      <c r="N90" s="7">
        <f t="shared" si="11"/>
        <v>0.97560975609756095</v>
      </c>
      <c r="O90" s="7">
        <f t="shared" si="12"/>
        <v>0.79629629629629628</v>
      </c>
      <c r="P90" s="7">
        <f t="shared" si="13"/>
        <v>0.97560975609756095</v>
      </c>
      <c r="Q90" s="4" t="str">
        <f t="shared" si="14"/>
        <v>Residents</v>
      </c>
      <c r="R90" s="16">
        <f t="shared" si="15"/>
        <v>0.98292682926829267</v>
      </c>
      <c r="S90" s="14">
        <f t="shared" si="16"/>
        <v>10</v>
      </c>
      <c r="T90" s="6" t="e">
        <f t="shared" si="17"/>
        <v>#REF!</v>
      </c>
      <c r="U90" s="17"/>
      <c r="V90" s="4" t="s">
        <v>971</v>
      </c>
    </row>
    <row r="91" spans="1:22" x14ac:dyDescent="0.45">
      <c r="A91" s="14">
        <v>90</v>
      </c>
      <c r="B91" s="4" t="s">
        <v>1164</v>
      </c>
      <c r="C91" s="4" t="s">
        <v>1165</v>
      </c>
      <c r="D91" s="5" t="e">
        <f>SUMIFS(#REF!,#REF!,$C91)</f>
        <v>#REF!</v>
      </c>
      <c r="E91" s="5" t="e">
        <f>SUMIFS(#REF!,#REF!,$C91)</f>
        <v>#REF!</v>
      </c>
      <c r="F91" s="5" t="e">
        <f>SUMIFS(#REF!,#REF!,$C91)</f>
        <v>#REF!</v>
      </c>
      <c r="G91" s="5" t="e">
        <f>SUMIFS(#REF!,#REF!,$C91)</f>
        <v>#REF!</v>
      </c>
      <c r="H91" s="4"/>
      <c r="I91" s="5">
        <v>5640</v>
      </c>
      <c r="J91" s="5">
        <f>SUMIFS('Business Licences by Community'!$D$2:$D$318,'Business Licences by Community'!$C$2:$C$318,$C91)</f>
        <v>20</v>
      </c>
      <c r="K91" s="15">
        <v>2.240685</v>
      </c>
      <c r="L91" s="5">
        <f t="shared" si="9"/>
        <v>2517.0874085380142</v>
      </c>
      <c r="M91" s="6">
        <f t="shared" si="10"/>
        <v>8.9258418742482775</v>
      </c>
      <c r="N91" s="7">
        <f t="shared" si="11"/>
        <v>0.43414634146341463</v>
      </c>
      <c r="O91" s="7">
        <f t="shared" si="12"/>
        <v>0.31851851851851853</v>
      </c>
      <c r="P91" s="7">
        <f t="shared" si="13"/>
        <v>0.43414634146341463</v>
      </c>
      <c r="Q91" s="4" t="str">
        <f t="shared" si="14"/>
        <v>Residents</v>
      </c>
      <c r="R91" s="16">
        <f t="shared" si="15"/>
        <v>0.60390243902439023</v>
      </c>
      <c r="S91" s="14">
        <f t="shared" si="16"/>
        <v>202</v>
      </c>
      <c r="T91" s="6" t="e">
        <f t="shared" si="17"/>
        <v>#REF!</v>
      </c>
      <c r="U91" s="17"/>
      <c r="V91" s="4" t="s">
        <v>971</v>
      </c>
    </row>
    <row r="92" spans="1:22" x14ac:dyDescent="0.45">
      <c r="A92" s="14">
        <v>91</v>
      </c>
      <c r="B92" s="4" t="s">
        <v>1166</v>
      </c>
      <c r="C92" s="4" t="s">
        <v>1167</v>
      </c>
      <c r="D92" s="5" t="e">
        <f>SUMIFS(#REF!,#REF!,$C92)</f>
        <v>#REF!</v>
      </c>
      <c r="E92" s="5" t="e">
        <f>SUMIFS(#REF!,#REF!,$C92)</f>
        <v>#REF!</v>
      </c>
      <c r="F92" s="5" t="e">
        <f>SUMIFS(#REF!,#REF!,$C92)</f>
        <v>#REF!</v>
      </c>
      <c r="G92" s="5" t="e">
        <f>SUMIFS(#REF!,#REF!,$C92)</f>
        <v>#REF!</v>
      </c>
      <c r="H92" s="4"/>
      <c r="I92" s="5">
        <v>12545</v>
      </c>
      <c r="J92" s="5">
        <f>SUMIFS('Business Licences by Community'!$D$2:$D$318,'Business Licences by Community'!$C$2:$C$318,$C92)</f>
        <v>31</v>
      </c>
      <c r="K92" s="15">
        <v>3.1413199999999999</v>
      </c>
      <c r="L92" s="5">
        <f t="shared" si="9"/>
        <v>3993.5441152127132</v>
      </c>
      <c r="M92" s="6">
        <f t="shared" si="10"/>
        <v>9.8684629391466014</v>
      </c>
      <c r="N92" s="7">
        <f t="shared" si="11"/>
        <v>0.84878048780487803</v>
      </c>
      <c r="O92" s="7">
        <f t="shared" si="12"/>
        <v>0.33703703703703702</v>
      </c>
      <c r="P92" s="7">
        <f t="shared" si="13"/>
        <v>0.84878048780487803</v>
      </c>
      <c r="Q92" s="4" t="str">
        <f t="shared" si="14"/>
        <v>Residents</v>
      </c>
      <c r="R92" s="16">
        <f t="shared" si="15"/>
        <v>0.89414634146341454</v>
      </c>
      <c r="S92" s="14">
        <f t="shared" si="16"/>
        <v>64</v>
      </c>
      <c r="T92" s="6" t="e">
        <f t="shared" si="17"/>
        <v>#REF!</v>
      </c>
      <c r="U92" s="17"/>
      <c r="V92" s="4" t="s">
        <v>971</v>
      </c>
    </row>
    <row r="93" spans="1:22" x14ac:dyDescent="0.45">
      <c r="A93" s="14">
        <v>92</v>
      </c>
      <c r="B93" s="4" t="s">
        <v>1168</v>
      </c>
      <c r="C93" s="4" t="s">
        <v>1169</v>
      </c>
      <c r="D93" s="5" t="e">
        <f>SUMIFS(#REF!,#REF!,$C93)</f>
        <v>#REF!</v>
      </c>
      <c r="E93" s="5" t="e">
        <f>SUMIFS(#REF!,#REF!,$C93)</f>
        <v>#REF!</v>
      </c>
      <c r="F93" s="5" t="e">
        <f>SUMIFS(#REF!,#REF!,$C93)</f>
        <v>#REF!</v>
      </c>
      <c r="G93" s="5" t="e">
        <f>SUMIFS(#REF!,#REF!,$C93)</f>
        <v>#REF!</v>
      </c>
      <c r="H93" s="4"/>
      <c r="I93" s="5">
        <v>9840</v>
      </c>
      <c r="J93" s="5">
        <f>SUMIFS('Business Licences by Community'!$D$2:$D$318,'Business Licences by Community'!$C$2:$C$318,$C93)</f>
        <v>40</v>
      </c>
      <c r="K93" s="15">
        <v>6.5079349999999998</v>
      </c>
      <c r="L93" s="5">
        <f t="shared" si="9"/>
        <v>1512.0003503415446</v>
      </c>
      <c r="M93" s="6">
        <f t="shared" si="10"/>
        <v>6.146342887567255</v>
      </c>
      <c r="N93" s="7">
        <f t="shared" si="11"/>
        <v>0.17073170731707318</v>
      </c>
      <c r="O93" s="7">
        <f t="shared" si="12"/>
        <v>0.25555555555555554</v>
      </c>
      <c r="P93" s="7">
        <f t="shared" si="13"/>
        <v>0.25555555555555554</v>
      </c>
      <c r="Q93" s="4" t="str">
        <f t="shared" si="14"/>
        <v>Businesses</v>
      </c>
      <c r="R93" s="16">
        <f t="shared" si="15"/>
        <v>0.47888888888888886</v>
      </c>
      <c r="S93" s="14">
        <f t="shared" si="16"/>
        <v>232</v>
      </c>
      <c r="T93" s="6" t="e">
        <f t="shared" si="17"/>
        <v>#REF!</v>
      </c>
      <c r="U93" s="17"/>
      <c r="V93" s="4" t="s">
        <v>971</v>
      </c>
    </row>
    <row r="94" spans="1:22" x14ac:dyDescent="0.45">
      <c r="A94" s="14">
        <v>93</v>
      </c>
      <c r="B94" s="4" t="s">
        <v>1170</v>
      </c>
      <c r="C94" s="4" t="s">
        <v>1171</v>
      </c>
      <c r="D94" s="5" t="e">
        <f>SUMIFS(#REF!,#REF!,$C94)</f>
        <v>#REF!</v>
      </c>
      <c r="E94" s="5" t="e">
        <f>SUMIFS(#REF!,#REF!,$C94)</f>
        <v>#REF!</v>
      </c>
      <c r="F94" s="5" t="e">
        <f>SUMIFS(#REF!,#REF!,$C94)</f>
        <v>#REF!</v>
      </c>
      <c r="G94" s="5" t="e">
        <f>SUMIFS(#REF!,#REF!,$C94)</f>
        <v>#REF!</v>
      </c>
      <c r="H94" s="4"/>
      <c r="I94" s="5">
        <v>1765</v>
      </c>
      <c r="J94" s="5">
        <f>SUMIFS('Business Licences by Community'!$D$2:$D$318,'Business Licences by Community'!$C$2:$C$318,$C94)</f>
        <v>17</v>
      </c>
      <c r="K94" s="15">
        <v>1.4812669999999999</v>
      </c>
      <c r="L94" s="5">
        <f t="shared" si="9"/>
        <v>1191.5475062902233</v>
      </c>
      <c r="M94" s="6">
        <f t="shared" si="10"/>
        <v>11.476661533673539</v>
      </c>
      <c r="N94" s="7">
        <f t="shared" si="11"/>
        <v>0.11219512195121951</v>
      </c>
      <c r="O94" s="7">
        <f t="shared" si="12"/>
        <v>0.38518518518518519</v>
      </c>
      <c r="P94" s="7">
        <f t="shared" si="13"/>
        <v>0.38518518518518519</v>
      </c>
      <c r="Q94" s="4" t="str">
        <f t="shared" si="14"/>
        <v>Businesses</v>
      </c>
      <c r="R94" s="16">
        <f t="shared" si="15"/>
        <v>0.5696296296296296</v>
      </c>
      <c r="S94" s="14">
        <f t="shared" si="16"/>
        <v>211</v>
      </c>
      <c r="T94" s="6" t="e">
        <f t="shared" si="17"/>
        <v>#REF!</v>
      </c>
      <c r="U94" s="17"/>
      <c r="V94" s="4" t="s">
        <v>971</v>
      </c>
    </row>
    <row r="95" spans="1:22" x14ac:dyDescent="0.45">
      <c r="A95" s="14">
        <v>94</v>
      </c>
      <c r="B95" s="4" t="s">
        <v>1172</v>
      </c>
      <c r="C95" s="4" t="s">
        <v>1173</v>
      </c>
      <c r="D95" s="5" t="e">
        <f>SUMIFS(#REF!,#REF!,$C95)</f>
        <v>#REF!</v>
      </c>
      <c r="E95" s="5" t="e">
        <f>SUMIFS(#REF!,#REF!,$C95)</f>
        <v>#REF!</v>
      </c>
      <c r="F95" s="5" t="e">
        <f>SUMIFS(#REF!,#REF!,$C95)</f>
        <v>#REF!</v>
      </c>
      <c r="G95" s="5" t="e">
        <f>SUMIFS(#REF!,#REF!,$C95)</f>
        <v>#REF!</v>
      </c>
      <c r="H95" s="4"/>
      <c r="I95" s="5">
        <v>5085</v>
      </c>
      <c r="J95" s="5">
        <f>SUMIFS('Business Licences by Community'!$D$2:$D$318,'Business Licences by Community'!$C$2:$C$318,$C95)</f>
        <v>25</v>
      </c>
      <c r="K95" s="15">
        <v>2.3090120000000001</v>
      </c>
      <c r="L95" s="5">
        <f t="shared" si="9"/>
        <v>2202.2406120020164</v>
      </c>
      <c r="M95" s="6">
        <f t="shared" si="10"/>
        <v>10.827141651927317</v>
      </c>
      <c r="N95" s="7">
        <f t="shared" si="11"/>
        <v>0.33170731707317075</v>
      </c>
      <c r="O95" s="7">
        <f t="shared" si="12"/>
        <v>0.37037037037037035</v>
      </c>
      <c r="P95" s="7">
        <f t="shared" si="13"/>
        <v>0.37037037037037035</v>
      </c>
      <c r="Q95" s="4" t="str">
        <f t="shared" si="14"/>
        <v>Businesses</v>
      </c>
      <c r="R95" s="16">
        <f t="shared" si="15"/>
        <v>0.55925925925925923</v>
      </c>
      <c r="S95" s="14">
        <f t="shared" si="16"/>
        <v>213</v>
      </c>
      <c r="T95" s="6" t="e">
        <f t="shared" si="17"/>
        <v>#REF!</v>
      </c>
      <c r="U95" s="17"/>
      <c r="V95" s="4" t="s">
        <v>971</v>
      </c>
    </row>
    <row r="96" spans="1:22" x14ac:dyDescent="0.45">
      <c r="A96" s="14">
        <v>95</v>
      </c>
      <c r="B96" s="4" t="s">
        <v>1174</v>
      </c>
      <c r="C96" s="4" t="s">
        <v>1175</v>
      </c>
      <c r="D96" s="5" t="e">
        <f>SUMIFS(#REF!,#REF!,$C96)</f>
        <v>#REF!</v>
      </c>
      <c r="E96" s="5" t="e">
        <f>SUMIFS(#REF!,#REF!,$C96)</f>
        <v>#REF!</v>
      </c>
      <c r="F96" s="5" t="e">
        <f>SUMIFS(#REF!,#REF!,$C96)</f>
        <v>#REF!</v>
      </c>
      <c r="G96" s="5" t="e">
        <f>SUMIFS(#REF!,#REF!,$C96)</f>
        <v>#REF!</v>
      </c>
      <c r="H96" s="4"/>
      <c r="I96" s="5">
        <v>7975</v>
      </c>
      <c r="J96" s="5">
        <f>SUMIFS('Business Licences by Community'!$D$2:$D$318,'Business Licences by Community'!$C$2:$C$318,$C96)</f>
        <v>25</v>
      </c>
      <c r="K96" s="15">
        <v>5.9720700000000004</v>
      </c>
      <c r="L96" s="5">
        <f t="shared" si="9"/>
        <v>1335.38287394488</v>
      </c>
      <c r="M96" s="6">
        <f t="shared" si="10"/>
        <v>4.1861532098585581</v>
      </c>
      <c r="N96" s="7">
        <f t="shared" si="11"/>
        <v>0.14146341463414633</v>
      </c>
      <c r="O96" s="7">
        <f t="shared" si="12"/>
        <v>0.2</v>
      </c>
      <c r="P96" s="7">
        <f t="shared" si="13"/>
        <v>0.2</v>
      </c>
      <c r="Q96" s="4" t="str">
        <f t="shared" si="14"/>
        <v>Businesses</v>
      </c>
      <c r="R96" s="16">
        <f t="shared" si="15"/>
        <v>0.43999999999999995</v>
      </c>
      <c r="S96" s="14">
        <f t="shared" si="16"/>
        <v>242</v>
      </c>
      <c r="T96" s="6" t="e">
        <f t="shared" si="17"/>
        <v>#REF!</v>
      </c>
      <c r="U96" s="17"/>
      <c r="V96" s="4" t="s">
        <v>971</v>
      </c>
    </row>
    <row r="97" spans="1:22" x14ac:dyDescent="0.45">
      <c r="A97" s="14">
        <v>96</v>
      </c>
      <c r="B97" s="4" t="s">
        <v>1176</v>
      </c>
      <c r="C97" s="4" t="s">
        <v>1177</v>
      </c>
      <c r="D97" s="5" t="e">
        <f>SUMIFS(#REF!,#REF!,$C97)</f>
        <v>#REF!</v>
      </c>
      <c r="E97" s="5" t="e">
        <f>SUMIFS(#REF!,#REF!,$C97)</f>
        <v>#REF!</v>
      </c>
      <c r="F97" s="5" t="e">
        <f>SUMIFS(#REF!,#REF!,$C97)</f>
        <v>#REF!</v>
      </c>
      <c r="G97" s="5" t="e">
        <f>SUMIFS(#REF!,#REF!,$C97)</f>
        <v>#REF!</v>
      </c>
      <c r="H97" s="4"/>
      <c r="I97" s="5">
        <v>3805</v>
      </c>
      <c r="J97" s="5">
        <f>SUMIFS('Business Licences by Community'!$D$2:$D$318,'Business Licences by Community'!$C$2:$C$318,$C97)</f>
        <v>58</v>
      </c>
      <c r="K97" s="15">
        <v>1.455182</v>
      </c>
      <c r="L97" s="5">
        <f t="shared" si="9"/>
        <v>2614.7932011253574</v>
      </c>
      <c r="M97" s="6">
        <f t="shared" si="10"/>
        <v>39.857557336470627</v>
      </c>
      <c r="N97" s="7">
        <f t="shared" si="11"/>
        <v>0.5024390243902439</v>
      </c>
      <c r="O97" s="7">
        <f t="shared" si="12"/>
        <v>0.71481481481481479</v>
      </c>
      <c r="P97" s="7">
        <f t="shared" si="13"/>
        <v>0.71481481481481479</v>
      </c>
      <c r="Q97" s="4" t="str">
        <f t="shared" si="14"/>
        <v>Businesses</v>
      </c>
      <c r="R97" s="16">
        <f t="shared" si="15"/>
        <v>0.8003703703703704</v>
      </c>
      <c r="S97" s="14">
        <f t="shared" si="16"/>
        <v>119</v>
      </c>
      <c r="T97" s="6" t="e">
        <f t="shared" si="17"/>
        <v>#REF!</v>
      </c>
      <c r="U97" s="17"/>
      <c r="V97" s="4" t="s">
        <v>971</v>
      </c>
    </row>
    <row r="98" spans="1:22" x14ac:dyDescent="0.45">
      <c r="A98" s="14">
        <v>97</v>
      </c>
      <c r="B98" s="4" t="s">
        <v>1178</v>
      </c>
      <c r="C98" s="4" t="s">
        <v>1179</v>
      </c>
      <c r="D98" s="5" t="e">
        <f>SUMIFS(#REF!,#REF!,$C98)</f>
        <v>#REF!</v>
      </c>
      <c r="E98" s="5" t="e">
        <f>SUMIFS(#REF!,#REF!,$C98)</f>
        <v>#REF!</v>
      </c>
      <c r="F98" s="5" t="e">
        <f>SUMIFS(#REF!,#REF!,$C98)</f>
        <v>#REF!</v>
      </c>
      <c r="G98" s="5" t="e">
        <f>SUMIFS(#REF!,#REF!,$C98)</f>
        <v>#REF!</v>
      </c>
      <c r="H98" s="4"/>
      <c r="I98" s="5">
        <v>4105</v>
      </c>
      <c r="J98" s="5">
        <f>SUMIFS('Business Licences by Community'!$D$2:$D$318,'Business Licences by Community'!$C$2:$C$318,$C98)</f>
        <v>30</v>
      </c>
      <c r="K98" s="15">
        <v>1.368344</v>
      </c>
      <c r="L98" s="5">
        <f t="shared" si="9"/>
        <v>2999.9766140678075</v>
      </c>
      <c r="M98" s="6">
        <f t="shared" si="10"/>
        <v>21.924311430459007</v>
      </c>
      <c r="N98" s="7">
        <f t="shared" si="11"/>
        <v>0.62439024390243902</v>
      </c>
      <c r="O98" s="7">
        <f t="shared" si="12"/>
        <v>0.56666666666666665</v>
      </c>
      <c r="P98" s="7">
        <f t="shared" si="13"/>
        <v>0.62439024390243902</v>
      </c>
      <c r="Q98" s="4" t="str">
        <f t="shared" si="14"/>
        <v>Residents</v>
      </c>
      <c r="R98" s="16">
        <f t="shared" si="15"/>
        <v>0.73707317073170731</v>
      </c>
      <c r="S98" s="14">
        <f t="shared" si="16"/>
        <v>151</v>
      </c>
      <c r="T98" s="6" t="e">
        <f t="shared" si="17"/>
        <v>#REF!</v>
      </c>
      <c r="U98" s="17"/>
      <c r="V98" s="4" t="s">
        <v>971</v>
      </c>
    </row>
    <row r="99" spans="1:22" x14ac:dyDescent="0.45">
      <c r="A99" s="14">
        <v>98</v>
      </c>
      <c r="B99" s="4" t="s">
        <v>1180</v>
      </c>
      <c r="C99" s="4" t="s">
        <v>1181</v>
      </c>
      <c r="D99" s="5" t="e">
        <f>SUMIFS(#REF!,#REF!,$C99)</f>
        <v>#REF!</v>
      </c>
      <c r="E99" s="5" t="e">
        <f>SUMIFS(#REF!,#REF!,$C99)</f>
        <v>#REF!</v>
      </c>
      <c r="F99" s="5" t="e">
        <f>SUMIFS(#REF!,#REF!,$C99)</f>
        <v>#REF!</v>
      </c>
      <c r="G99" s="5" t="e">
        <f>SUMIFS(#REF!,#REF!,$C99)</f>
        <v>#REF!</v>
      </c>
      <c r="H99" s="4"/>
      <c r="I99" s="5">
        <v>7805</v>
      </c>
      <c r="J99" s="5">
        <f>SUMIFS('Business Licences by Community'!$D$2:$D$318,'Business Licences by Community'!$C$2:$C$318,$C99)</f>
        <v>14</v>
      </c>
      <c r="K99" s="15">
        <v>2.179341</v>
      </c>
      <c r="L99" s="5">
        <f t="shared" si="9"/>
        <v>3581.3578508365604</v>
      </c>
      <c r="M99" s="6">
        <f t="shared" si="10"/>
        <v>6.4239602705588528</v>
      </c>
      <c r="N99" s="7">
        <f t="shared" si="11"/>
        <v>0.76097560975609757</v>
      </c>
      <c r="O99" s="7">
        <f t="shared" si="12"/>
        <v>0.26666666666666666</v>
      </c>
      <c r="P99" s="7">
        <f t="shared" si="13"/>
        <v>0.76097560975609757</v>
      </c>
      <c r="Q99" s="4" t="str">
        <f t="shared" si="14"/>
        <v>Residents</v>
      </c>
      <c r="R99" s="16">
        <f t="shared" si="15"/>
        <v>0.83268292682926814</v>
      </c>
      <c r="S99" s="14">
        <f t="shared" si="16"/>
        <v>100</v>
      </c>
      <c r="T99" s="6" t="e">
        <f t="shared" si="17"/>
        <v>#REF!</v>
      </c>
      <c r="U99" s="17"/>
      <c r="V99" s="4" t="s">
        <v>971</v>
      </c>
    </row>
    <row r="100" spans="1:22" x14ac:dyDescent="0.45">
      <c r="A100" s="14">
        <v>99</v>
      </c>
      <c r="B100" s="4" t="s">
        <v>1182</v>
      </c>
      <c r="C100" s="4" t="s">
        <v>1183</v>
      </c>
      <c r="D100" s="5" t="e">
        <f>SUMIFS(#REF!,#REF!,$C100)</f>
        <v>#REF!</v>
      </c>
      <c r="E100" s="5" t="e">
        <f>SUMIFS(#REF!,#REF!,$C100)</f>
        <v>#REF!</v>
      </c>
      <c r="F100" s="5" t="e">
        <f>SUMIFS(#REF!,#REF!,$C100)</f>
        <v>#REF!</v>
      </c>
      <c r="G100" s="5" t="e">
        <f>SUMIFS(#REF!,#REF!,$C100)</f>
        <v>#REF!</v>
      </c>
      <c r="H100" s="4"/>
      <c r="I100" s="5">
        <v>5700</v>
      </c>
      <c r="J100" s="5">
        <f>SUMIFS('Business Licences by Community'!$D$2:$D$318,'Business Licences by Community'!$C$2:$C$318,$C100)</f>
        <v>38</v>
      </c>
      <c r="K100" s="15">
        <v>1.9614640000000001</v>
      </c>
      <c r="L100" s="5">
        <f t="shared" si="9"/>
        <v>2905.992666702014</v>
      </c>
      <c r="M100" s="6">
        <f t="shared" si="10"/>
        <v>19.373284444680095</v>
      </c>
      <c r="N100" s="7">
        <f t="shared" si="11"/>
        <v>0.6</v>
      </c>
      <c r="O100" s="7">
        <f t="shared" si="12"/>
        <v>0.54814814814814816</v>
      </c>
      <c r="P100" s="7">
        <f t="shared" si="13"/>
        <v>0.6</v>
      </c>
      <c r="Q100" s="4" t="str">
        <f t="shared" si="14"/>
        <v>Residents</v>
      </c>
      <c r="R100" s="16">
        <f t="shared" si="15"/>
        <v>0.72</v>
      </c>
      <c r="S100" s="14">
        <f t="shared" si="16"/>
        <v>160</v>
      </c>
      <c r="T100" s="6" t="e">
        <f t="shared" si="17"/>
        <v>#REF!</v>
      </c>
      <c r="U100" s="17"/>
      <c r="V100" s="4" t="s">
        <v>971</v>
      </c>
    </row>
    <row r="101" spans="1:22" x14ac:dyDescent="0.45">
      <c r="A101" s="14">
        <v>100</v>
      </c>
      <c r="B101" s="4" t="s">
        <v>1184</v>
      </c>
      <c r="C101" s="4" t="s">
        <v>1185</v>
      </c>
      <c r="D101" s="5" t="e">
        <f>SUMIFS(#REF!,#REF!,$C101)</f>
        <v>#REF!</v>
      </c>
      <c r="E101" s="5" t="e">
        <f>SUMIFS(#REF!,#REF!,$C101)</f>
        <v>#REF!</v>
      </c>
      <c r="F101" s="5" t="e">
        <f>SUMIFS(#REF!,#REF!,$C101)</f>
        <v>#REF!</v>
      </c>
      <c r="G101" s="5" t="e">
        <f>SUMIFS(#REF!,#REF!,$C101)</f>
        <v>#REF!</v>
      </c>
      <c r="H101" s="4"/>
      <c r="I101" s="5">
        <v>3605</v>
      </c>
      <c r="J101" s="5">
        <f>SUMIFS('Business Licences by Community'!$D$2:$D$318,'Business Licences by Community'!$C$2:$C$318,$C101)</f>
        <v>35</v>
      </c>
      <c r="K101" s="15">
        <v>3.019755</v>
      </c>
      <c r="L101" s="5">
        <f t="shared" si="9"/>
        <v>1193.8054577275309</v>
      </c>
      <c r="M101" s="6">
        <f t="shared" si="10"/>
        <v>11.590344249781854</v>
      </c>
      <c r="N101" s="7">
        <f t="shared" si="11"/>
        <v>0.11707317073170732</v>
      </c>
      <c r="O101" s="7">
        <f t="shared" si="12"/>
        <v>0.3888888888888889</v>
      </c>
      <c r="P101" s="7">
        <f t="shared" si="13"/>
        <v>0.3888888888888889</v>
      </c>
      <c r="Q101" s="4" t="str">
        <f t="shared" si="14"/>
        <v>Businesses</v>
      </c>
      <c r="R101" s="16">
        <f t="shared" si="15"/>
        <v>0.57222222222222219</v>
      </c>
      <c r="S101" s="14">
        <f t="shared" si="16"/>
        <v>210</v>
      </c>
      <c r="T101" s="6" t="e">
        <f t="shared" si="17"/>
        <v>#REF!</v>
      </c>
      <c r="U101" s="17"/>
      <c r="V101" s="4" t="s">
        <v>971</v>
      </c>
    </row>
    <row r="102" spans="1:22" x14ac:dyDescent="0.45">
      <c r="A102" s="14">
        <v>101</v>
      </c>
      <c r="B102" s="4" t="s">
        <v>1186</v>
      </c>
      <c r="C102" s="4" t="s">
        <v>1187</v>
      </c>
      <c r="D102" s="5" t="e">
        <f>SUMIFS(#REF!,#REF!,$C102)</f>
        <v>#REF!</v>
      </c>
      <c r="E102" s="5" t="e">
        <f>SUMIFS(#REF!,#REF!,$C102)</f>
        <v>#REF!</v>
      </c>
      <c r="F102" s="5" t="e">
        <f>SUMIFS(#REF!,#REF!,$C102)</f>
        <v>#REF!</v>
      </c>
      <c r="G102" s="5" t="e">
        <f>SUMIFS(#REF!,#REF!,$C102)</f>
        <v>#REF!</v>
      </c>
      <c r="H102" s="4"/>
      <c r="I102" s="5">
        <v>6575</v>
      </c>
      <c r="J102" s="5">
        <f>SUMIFS('Business Licences by Community'!$D$2:$D$318,'Business Licences by Community'!$C$2:$C$318,$C102)</f>
        <v>52</v>
      </c>
      <c r="K102" s="15">
        <v>2.0327950000000001</v>
      </c>
      <c r="L102" s="5">
        <f t="shared" si="9"/>
        <v>3234.4628946844123</v>
      </c>
      <c r="M102" s="6">
        <f t="shared" si="10"/>
        <v>25.580543045412842</v>
      </c>
      <c r="N102" s="7">
        <f t="shared" si="11"/>
        <v>0.68780487804878043</v>
      </c>
      <c r="O102" s="7">
        <f t="shared" si="12"/>
        <v>0.61481481481481481</v>
      </c>
      <c r="P102" s="7">
        <f t="shared" si="13"/>
        <v>0.68780487804878043</v>
      </c>
      <c r="Q102" s="4" t="str">
        <f t="shared" si="14"/>
        <v>Residents</v>
      </c>
      <c r="R102" s="16">
        <f t="shared" si="15"/>
        <v>0.78146341463414626</v>
      </c>
      <c r="S102" s="14">
        <f t="shared" si="16"/>
        <v>128</v>
      </c>
      <c r="T102" s="6" t="e">
        <f t="shared" si="17"/>
        <v>#REF!</v>
      </c>
      <c r="U102" s="17"/>
      <c r="V102" s="4" t="s">
        <v>971</v>
      </c>
    </row>
    <row r="103" spans="1:22" x14ac:dyDescent="0.45">
      <c r="A103" s="14">
        <v>102</v>
      </c>
      <c r="B103" s="4" t="s">
        <v>1188</v>
      </c>
      <c r="C103" s="4" t="s">
        <v>1189</v>
      </c>
      <c r="D103" s="5" t="e">
        <f>SUMIFS(#REF!,#REF!,$C103)</f>
        <v>#REF!</v>
      </c>
      <c r="E103" s="5" t="e">
        <f>SUMIFS(#REF!,#REF!,$C103)</f>
        <v>#REF!</v>
      </c>
      <c r="F103" s="5" t="e">
        <f>SUMIFS(#REF!,#REF!,$C103)</f>
        <v>#REF!</v>
      </c>
      <c r="G103" s="5" t="e">
        <f>SUMIFS(#REF!,#REF!,$C103)</f>
        <v>#REF!</v>
      </c>
      <c r="H103" s="4"/>
      <c r="I103" s="5">
        <v>5925</v>
      </c>
      <c r="J103" s="5">
        <f>SUMIFS('Business Licences by Community'!$D$2:$D$318,'Business Licences by Community'!$C$2:$C$318,$C103)</f>
        <v>21</v>
      </c>
      <c r="K103" s="15">
        <v>2.0227300000000001</v>
      </c>
      <c r="L103" s="5">
        <f t="shared" si="9"/>
        <v>2929.209533650067</v>
      </c>
      <c r="M103" s="6">
        <f t="shared" si="10"/>
        <v>10.382008473696439</v>
      </c>
      <c r="N103" s="7">
        <f t="shared" si="11"/>
        <v>0.61463414634146341</v>
      </c>
      <c r="O103" s="7">
        <f t="shared" si="12"/>
        <v>0.36296296296296299</v>
      </c>
      <c r="P103" s="7">
        <f t="shared" si="13"/>
        <v>0.61463414634146341</v>
      </c>
      <c r="Q103" s="4" t="str">
        <f t="shared" si="14"/>
        <v>Residents</v>
      </c>
      <c r="R103" s="16">
        <f t="shared" si="15"/>
        <v>0.73024390243902437</v>
      </c>
      <c r="S103" s="14">
        <f t="shared" si="16"/>
        <v>155</v>
      </c>
      <c r="T103" s="6" t="e">
        <f t="shared" si="17"/>
        <v>#REF!</v>
      </c>
      <c r="U103" s="17"/>
      <c r="V103" s="4" t="s">
        <v>971</v>
      </c>
    </row>
    <row r="104" spans="1:22" x14ac:dyDescent="0.45">
      <c r="A104" s="14">
        <v>103</v>
      </c>
      <c r="B104" s="4" t="s">
        <v>1190</v>
      </c>
      <c r="C104" s="4" t="s">
        <v>1191</v>
      </c>
      <c r="D104" s="5" t="e">
        <f>SUMIFS(#REF!,#REF!,$C104)</f>
        <v>#REF!</v>
      </c>
      <c r="E104" s="5" t="e">
        <f>SUMIFS(#REF!,#REF!,$C104)</f>
        <v>#REF!</v>
      </c>
      <c r="F104" s="5" t="e">
        <f>SUMIFS(#REF!,#REF!,$C104)</f>
        <v>#REF!</v>
      </c>
      <c r="G104" s="5" t="e">
        <f>SUMIFS(#REF!,#REF!,$C104)</f>
        <v>#REF!</v>
      </c>
      <c r="H104" s="4"/>
      <c r="I104" s="5">
        <v>4505</v>
      </c>
      <c r="J104" s="5">
        <f>SUMIFS('Business Licences by Community'!$D$2:$D$318,'Business Licences by Community'!$C$2:$C$318,$C104)</f>
        <v>121</v>
      </c>
      <c r="K104" s="15">
        <v>0.53529499999999997</v>
      </c>
      <c r="L104" s="5">
        <f t="shared" si="9"/>
        <v>8415.9201935381425</v>
      </c>
      <c r="M104" s="6">
        <f t="shared" si="10"/>
        <v>226.04358344464268</v>
      </c>
      <c r="N104" s="7">
        <f t="shared" si="11"/>
        <v>0.98536585365853657</v>
      </c>
      <c r="O104" s="7">
        <f t="shared" si="12"/>
        <v>0.96666666666666667</v>
      </c>
      <c r="P104" s="7">
        <f t="shared" si="13"/>
        <v>0.98536585365853657</v>
      </c>
      <c r="Q104" s="4" t="str">
        <f t="shared" si="14"/>
        <v>Residents</v>
      </c>
      <c r="R104" s="16">
        <f t="shared" si="15"/>
        <v>0.9897560975609756</v>
      </c>
      <c r="S104" s="14">
        <f t="shared" si="16"/>
        <v>6</v>
      </c>
      <c r="T104" s="6" t="e">
        <f t="shared" si="17"/>
        <v>#REF!</v>
      </c>
      <c r="U104" s="17"/>
      <c r="V104" s="4" t="s">
        <v>971</v>
      </c>
    </row>
    <row r="105" spans="1:22" x14ac:dyDescent="0.45">
      <c r="A105" s="14">
        <v>104</v>
      </c>
      <c r="B105" s="4" t="s">
        <v>1192</v>
      </c>
      <c r="C105" s="4" t="s">
        <v>1193</v>
      </c>
      <c r="D105" s="5" t="e">
        <f>SUMIFS(#REF!,#REF!,$C105)</f>
        <v>#REF!</v>
      </c>
      <c r="E105" s="5" t="e">
        <f>SUMIFS(#REF!,#REF!,$C105)</f>
        <v>#REF!</v>
      </c>
      <c r="F105" s="5" t="e">
        <f>SUMIFS(#REF!,#REF!,$C105)</f>
        <v>#REF!</v>
      </c>
      <c r="G105" s="5" t="e">
        <f>SUMIFS(#REF!,#REF!,$C105)</f>
        <v>#REF!</v>
      </c>
      <c r="H105" s="4"/>
      <c r="I105" s="5">
        <v>12870</v>
      </c>
      <c r="J105" s="5">
        <f>SUMIFS('Business Licences by Community'!$D$2:$D$318,'Business Licences by Community'!$C$2:$C$318,$C105)</f>
        <v>51</v>
      </c>
      <c r="K105" s="15">
        <v>2.3105730000000002</v>
      </c>
      <c r="L105" s="5">
        <f t="shared" si="9"/>
        <v>5570.0469104416952</v>
      </c>
      <c r="M105" s="6">
        <f t="shared" si="10"/>
        <v>22.072446964454269</v>
      </c>
      <c r="N105" s="7">
        <f t="shared" si="11"/>
        <v>0.95609756097560972</v>
      </c>
      <c r="O105" s="7">
        <f t="shared" si="12"/>
        <v>0.57037037037037042</v>
      </c>
      <c r="P105" s="7">
        <f t="shared" si="13"/>
        <v>0.95609756097560972</v>
      </c>
      <c r="Q105" s="4" t="str">
        <f t="shared" si="14"/>
        <v>Residents</v>
      </c>
      <c r="R105" s="16">
        <f t="shared" si="15"/>
        <v>0.9692682926829268</v>
      </c>
      <c r="S105" s="14">
        <f t="shared" si="16"/>
        <v>17</v>
      </c>
      <c r="T105" s="6" t="e">
        <f t="shared" si="17"/>
        <v>#REF!</v>
      </c>
      <c r="U105" s="17"/>
      <c r="V105" s="4" t="s">
        <v>971</v>
      </c>
    </row>
    <row r="106" spans="1:22" x14ac:dyDescent="0.45">
      <c r="A106" s="14">
        <v>105</v>
      </c>
      <c r="B106" s="4" t="s">
        <v>1194</v>
      </c>
      <c r="C106" s="4" t="s">
        <v>1195</v>
      </c>
      <c r="D106" s="5" t="e">
        <f>SUMIFS(#REF!,#REF!,$C106)</f>
        <v>#REF!</v>
      </c>
      <c r="E106" s="5" t="e">
        <f>SUMIFS(#REF!,#REF!,$C106)</f>
        <v>#REF!</v>
      </c>
      <c r="F106" s="5" t="e">
        <f>SUMIFS(#REF!,#REF!,$C106)</f>
        <v>#REF!</v>
      </c>
      <c r="G106" s="5" t="e">
        <f>SUMIFS(#REF!,#REF!,$C106)</f>
        <v>#REF!</v>
      </c>
      <c r="H106" s="4"/>
      <c r="I106" s="5">
        <v>2750</v>
      </c>
      <c r="J106" s="5">
        <f>SUMIFS('Business Licences by Community'!$D$2:$D$318,'Business Licences by Community'!$C$2:$C$318,$C106)</f>
        <v>42</v>
      </c>
      <c r="K106" s="15">
        <v>2.9887570000000001</v>
      </c>
      <c r="L106" s="5">
        <f t="shared" si="9"/>
        <v>920.11495079727126</v>
      </c>
      <c r="M106" s="6">
        <f t="shared" si="10"/>
        <v>14.052664703085597</v>
      </c>
      <c r="N106" s="7">
        <f t="shared" si="11"/>
        <v>7.3170731707317069E-2</v>
      </c>
      <c r="O106" s="7">
        <f t="shared" si="12"/>
        <v>0.45555555555555555</v>
      </c>
      <c r="P106" s="7">
        <f t="shared" si="13"/>
        <v>0.45555555555555555</v>
      </c>
      <c r="Q106" s="4" t="str">
        <f t="shared" si="14"/>
        <v>Businesses</v>
      </c>
      <c r="R106" s="16">
        <f t="shared" si="15"/>
        <v>0.61888888888888882</v>
      </c>
      <c r="S106" s="14">
        <f t="shared" si="16"/>
        <v>195</v>
      </c>
      <c r="T106" s="6" t="e">
        <f t="shared" si="17"/>
        <v>#REF!</v>
      </c>
      <c r="U106" s="17"/>
      <c r="V106" s="4" t="s">
        <v>971</v>
      </c>
    </row>
    <row r="107" spans="1:22" x14ac:dyDescent="0.45">
      <c r="A107" s="14">
        <v>106</v>
      </c>
      <c r="B107" s="4" t="s">
        <v>1196</v>
      </c>
      <c r="C107" s="4" t="s">
        <v>1197</v>
      </c>
      <c r="D107" s="5" t="e">
        <f>SUMIFS(#REF!,#REF!,$C107)</f>
        <v>#REF!</v>
      </c>
      <c r="E107" s="5" t="e">
        <f>SUMIFS(#REF!,#REF!,$C107)</f>
        <v>#REF!</v>
      </c>
      <c r="F107" s="5" t="e">
        <f>SUMIFS(#REF!,#REF!,$C107)</f>
        <v>#REF!</v>
      </c>
      <c r="G107" s="5" t="e">
        <f>SUMIFS(#REF!,#REF!,$C107)</f>
        <v>#REF!</v>
      </c>
      <c r="H107" s="4"/>
      <c r="I107" s="5">
        <v>11580</v>
      </c>
      <c r="J107" s="5">
        <f>SUMIFS('Business Licences by Community'!$D$2:$D$318,'Business Licences by Community'!$C$2:$C$318,$C107)</f>
        <v>12</v>
      </c>
      <c r="K107" s="15">
        <v>3.5626630000000001</v>
      </c>
      <c r="L107" s="5">
        <f t="shared" si="9"/>
        <v>3250.3775967583797</v>
      </c>
      <c r="M107" s="6">
        <f t="shared" si="10"/>
        <v>3.3682669396459892</v>
      </c>
      <c r="N107" s="7">
        <f t="shared" si="11"/>
        <v>0.69268292682926824</v>
      </c>
      <c r="O107" s="7">
        <f t="shared" si="12"/>
        <v>0.17037037037037037</v>
      </c>
      <c r="P107" s="7">
        <f t="shared" si="13"/>
        <v>0.69268292682926824</v>
      </c>
      <c r="Q107" s="4" t="str">
        <f t="shared" si="14"/>
        <v>Residents</v>
      </c>
      <c r="R107" s="16">
        <f t="shared" si="15"/>
        <v>0.78487804878048772</v>
      </c>
      <c r="S107" s="14">
        <f t="shared" si="16"/>
        <v>125</v>
      </c>
      <c r="T107" s="6" t="e">
        <f t="shared" si="17"/>
        <v>#REF!</v>
      </c>
      <c r="U107" s="17"/>
      <c r="V107" s="4" t="s">
        <v>971</v>
      </c>
    </row>
    <row r="108" spans="1:22" x14ac:dyDescent="0.45">
      <c r="A108" s="14">
        <v>107</v>
      </c>
      <c r="B108" s="4" t="s">
        <v>1198</v>
      </c>
      <c r="C108" s="4" t="s">
        <v>1199</v>
      </c>
      <c r="D108" s="5" t="e">
        <f>SUMIFS(#REF!,#REF!,$C108)</f>
        <v>#REF!</v>
      </c>
      <c r="E108" s="5" t="e">
        <f>SUMIFS(#REF!,#REF!,$C108)</f>
        <v>#REF!</v>
      </c>
      <c r="F108" s="5" t="e">
        <f>SUMIFS(#REF!,#REF!,$C108)</f>
        <v>#REF!</v>
      </c>
      <c r="G108" s="5" t="e">
        <f>SUMIFS(#REF!,#REF!,$C108)</f>
        <v>#REF!</v>
      </c>
      <c r="H108" s="4"/>
      <c r="I108" s="5">
        <v>6830</v>
      </c>
      <c r="J108" s="5">
        <f>SUMIFS('Business Licences by Community'!$D$2:$D$318,'Business Licences by Community'!$C$2:$C$318,$C108)</f>
        <v>27</v>
      </c>
      <c r="K108" s="15">
        <v>2.7056429999999998</v>
      </c>
      <c r="L108" s="5">
        <f t="shared" si="9"/>
        <v>2524.3537303332332</v>
      </c>
      <c r="M108" s="6">
        <f t="shared" si="10"/>
        <v>9.9791435898971166</v>
      </c>
      <c r="N108" s="7">
        <f t="shared" si="11"/>
        <v>0.43902439024390244</v>
      </c>
      <c r="O108" s="7">
        <f t="shared" si="12"/>
        <v>0.34444444444444444</v>
      </c>
      <c r="P108" s="7">
        <f t="shared" si="13"/>
        <v>0.43902439024390244</v>
      </c>
      <c r="Q108" s="4" t="str">
        <f t="shared" si="14"/>
        <v>Residents</v>
      </c>
      <c r="R108" s="16">
        <f t="shared" si="15"/>
        <v>0.60731707317073169</v>
      </c>
      <c r="S108" s="14">
        <f t="shared" si="16"/>
        <v>200</v>
      </c>
      <c r="T108" s="6" t="e">
        <f t="shared" si="17"/>
        <v>#REF!</v>
      </c>
      <c r="U108" s="17"/>
      <c r="V108" s="4" t="s">
        <v>971</v>
      </c>
    </row>
    <row r="109" spans="1:22" x14ac:dyDescent="0.45">
      <c r="A109" s="14">
        <v>108</v>
      </c>
      <c r="B109" s="4" t="s">
        <v>1200</v>
      </c>
      <c r="C109" s="4" t="s">
        <v>1201</v>
      </c>
      <c r="D109" s="5" t="e">
        <f>SUMIFS(#REF!,#REF!,$C109)</f>
        <v>#REF!</v>
      </c>
      <c r="E109" s="5" t="e">
        <f>SUMIFS(#REF!,#REF!,$C109)</f>
        <v>#REF!</v>
      </c>
      <c r="F109" s="5" t="e">
        <f>SUMIFS(#REF!,#REF!,$C109)</f>
        <v>#REF!</v>
      </c>
      <c r="G109" s="5" t="e">
        <f>SUMIFS(#REF!,#REF!,$C109)</f>
        <v>#REF!</v>
      </c>
      <c r="H109" s="4"/>
      <c r="I109" s="5">
        <v>2715</v>
      </c>
      <c r="J109" s="5">
        <f>SUMIFS('Business Licences by Community'!$D$2:$D$318,'Business Licences by Community'!$C$2:$C$318,$C109)</f>
        <v>43</v>
      </c>
      <c r="K109" s="15">
        <v>1.3694729999999999</v>
      </c>
      <c r="L109" s="5">
        <f t="shared" si="9"/>
        <v>1982.5144416866926</v>
      </c>
      <c r="M109" s="6">
        <f t="shared" si="10"/>
        <v>31.398939592091267</v>
      </c>
      <c r="N109" s="7">
        <f t="shared" si="11"/>
        <v>0.25365853658536586</v>
      </c>
      <c r="O109" s="7">
        <f t="shared" si="12"/>
        <v>0.66666666666666663</v>
      </c>
      <c r="P109" s="7">
        <f t="shared" si="13"/>
        <v>0.66666666666666663</v>
      </c>
      <c r="Q109" s="4" t="str">
        <f t="shared" si="14"/>
        <v>Businesses</v>
      </c>
      <c r="R109" s="16">
        <f t="shared" si="15"/>
        <v>0.76666666666666661</v>
      </c>
      <c r="S109" s="14">
        <f t="shared" si="16"/>
        <v>137</v>
      </c>
      <c r="T109" s="6" t="e">
        <f t="shared" si="17"/>
        <v>#REF!</v>
      </c>
      <c r="U109" s="17"/>
      <c r="V109" s="4" t="s">
        <v>971</v>
      </c>
    </row>
    <row r="110" spans="1:22" x14ac:dyDescent="0.45">
      <c r="A110" s="14">
        <v>109</v>
      </c>
      <c r="B110" s="4" t="s">
        <v>1202</v>
      </c>
      <c r="C110" s="4" t="s">
        <v>1203</v>
      </c>
      <c r="D110" s="5" t="e">
        <f>SUMIFS(#REF!,#REF!,$C110)</f>
        <v>#REF!</v>
      </c>
      <c r="E110" s="5" t="e">
        <f>SUMIFS(#REF!,#REF!,$C110)</f>
        <v>#REF!</v>
      </c>
      <c r="F110" s="5" t="e">
        <f>SUMIFS(#REF!,#REF!,$C110)</f>
        <v>#REF!</v>
      </c>
      <c r="G110" s="5" t="e">
        <f>SUMIFS(#REF!,#REF!,$C110)</f>
        <v>#REF!</v>
      </c>
      <c r="H110" s="4"/>
      <c r="I110" s="5">
        <v>9435</v>
      </c>
      <c r="J110" s="5">
        <f>SUMIFS('Business Licences by Community'!$D$2:$D$318,'Business Licences by Community'!$C$2:$C$318,$C110)</f>
        <v>47</v>
      </c>
      <c r="K110" s="15">
        <v>3.9925820000000001</v>
      </c>
      <c r="L110" s="5">
        <f t="shared" si="9"/>
        <v>2363.1324290897469</v>
      </c>
      <c r="M110" s="6">
        <f t="shared" si="10"/>
        <v>11.771830860330482</v>
      </c>
      <c r="N110" s="7">
        <f t="shared" si="11"/>
        <v>0.39512195121951221</v>
      </c>
      <c r="O110" s="7">
        <f t="shared" si="12"/>
        <v>0.3925925925925926</v>
      </c>
      <c r="P110" s="7">
        <f t="shared" si="13"/>
        <v>0.39512195121951221</v>
      </c>
      <c r="Q110" s="4" t="str">
        <f t="shared" si="14"/>
        <v>Residents</v>
      </c>
      <c r="R110" s="16">
        <f t="shared" si="15"/>
        <v>0.57658536585365849</v>
      </c>
      <c r="S110" s="14">
        <f t="shared" si="16"/>
        <v>209</v>
      </c>
      <c r="T110" s="6" t="e">
        <f t="shared" si="17"/>
        <v>#REF!</v>
      </c>
      <c r="U110" s="17"/>
      <c r="V110" s="4" t="s">
        <v>971</v>
      </c>
    </row>
    <row r="111" spans="1:22" x14ac:dyDescent="0.45">
      <c r="A111" s="14">
        <v>110</v>
      </c>
      <c r="B111" s="4" t="s">
        <v>1204</v>
      </c>
      <c r="C111" s="4" t="s">
        <v>1205</v>
      </c>
      <c r="D111" s="5" t="e">
        <f>SUMIFS(#REF!,#REF!,$C111)</f>
        <v>#REF!</v>
      </c>
      <c r="E111" s="5" t="e">
        <f>SUMIFS(#REF!,#REF!,$C111)</f>
        <v>#REF!</v>
      </c>
      <c r="F111" s="5" t="e">
        <f>SUMIFS(#REF!,#REF!,$C111)</f>
        <v>#REF!</v>
      </c>
      <c r="G111" s="5" t="e">
        <f>SUMIFS(#REF!,#REF!,$C111)</f>
        <v>#REF!</v>
      </c>
      <c r="H111" s="4"/>
      <c r="I111" s="5">
        <v>3595</v>
      </c>
      <c r="J111" s="5">
        <f>SUMIFS('Business Licences by Community'!$D$2:$D$318,'Business Licences by Community'!$C$2:$C$318,$C111)</f>
        <v>6</v>
      </c>
      <c r="K111" s="15">
        <v>1.831216</v>
      </c>
      <c r="L111" s="5">
        <f t="shared" si="9"/>
        <v>1963.1763811587491</v>
      </c>
      <c r="M111" s="6">
        <f t="shared" si="10"/>
        <v>3.276511345466619</v>
      </c>
      <c r="N111" s="7">
        <f t="shared" si="11"/>
        <v>0.24878048780487805</v>
      </c>
      <c r="O111" s="7">
        <f t="shared" si="12"/>
        <v>0.16296296296296298</v>
      </c>
      <c r="P111" s="7">
        <f t="shared" si="13"/>
        <v>0.24878048780487805</v>
      </c>
      <c r="Q111" s="4" t="str">
        <f t="shared" si="14"/>
        <v>Residents</v>
      </c>
      <c r="R111" s="16">
        <f t="shared" si="15"/>
        <v>0.47414634146341461</v>
      </c>
      <c r="S111" s="14">
        <f t="shared" si="16"/>
        <v>234</v>
      </c>
      <c r="T111" s="6" t="e">
        <f t="shared" si="17"/>
        <v>#REF!</v>
      </c>
      <c r="U111" s="17"/>
      <c r="V111" s="4" t="s">
        <v>971</v>
      </c>
    </row>
    <row r="112" spans="1:22" x14ac:dyDescent="0.45">
      <c r="A112" s="14">
        <v>111</v>
      </c>
      <c r="B112" s="4" t="s">
        <v>1206</v>
      </c>
      <c r="C112" s="4" t="s">
        <v>1207</v>
      </c>
      <c r="D112" s="5" t="e">
        <f>SUMIFS(#REF!,#REF!,$C112)</f>
        <v>#REF!</v>
      </c>
      <c r="E112" s="5" t="e">
        <f>SUMIFS(#REF!,#REF!,$C112)</f>
        <v>#REF!</v>
      </c>
      <c r="F112" s="5" t="e">
        <f>SUMIFS(#REF!,#REF!,$C112)</f>
        <v>#REF!</v>
      </c>
      <c r="G112" s="5" t="e">
        <f>SUMIFS(#REF!,#REF!,$C112)</f>
        <v>#REF!</v>
      </c>
      <c r="H112" s="4"/>
      <c r="I112" s="5">
        <v>6790</v>
      </c>
      <c r="J112" s="5">
        <f>SUMIFS('Business Licences by Community'!$D$2:$D$318,'Business Licences by Community'!$C$2:$C$318,$C112)</f>
        <v>20</v>
      </c>
      <c r="K112" s="15">
        <v>1.5979239999999999</v>
      </c>
      <c r="L112" s="5">
        <f t="shared" si="9"/>
        <v>4249.2634192865244</v>
      </c>
      <c r="M112" s="6">
        <f t="shared" si="10"/>
        <v>12.516239821167966</v>
      </c>
      <c r="N112" s="7">
        <f t="shared" si="11"/>
        <v>0.8878048780487805</v>
      </c>
      <c r="O112" s="7">
        <f t="shared" si="12"/>
        <v>0.4148148148148148</v>
      </c>
      <c r="P112" s="7">
        <f t="shared" si="13"/>
        <v>0.8878048780487805</v>
      </c>
      <c r="Q112" s="4" t="str">
        <f t="shared" si="14"/>
        <v>Residents</v>
      </c>
      <c r="R112" s="16">
        <f t="shared" si="15"/>
        <v>0.92146341463414627</v>
      </c>
      <c r="S112" s="14">
        <f t="shared" si="16"/>
        <v>46</v>
      </c>
      <c r="T112" s="6" t="e">
        <f t="shared" si="17"/>
        <v>#REF!</v>
      </c>
      <c r="U112" s="17"/>
      <c r="V112" s="4" t="s">
        <v>971</v>
      </c>
    </row>
    <row r="113" spans="1:22" x14ac:dyDescent="0.45">
      <c r="A113" s="14">
        <v>112</v>
      </c>
      <c r="B113" s="4" t="s">
        <v>1208</v>
      </c>
      <c r="C113" s="4" t="s">
        <v>1209</v>
      </c>
      <c r="D113" s="5" t="e">
        <f>SUMIFS(#REF!,#REF!,$C113)</f>
        <v>#REF!</v>
      </c>
      <c r="E113" s="5" t="e">
        <f>SUMIFS(#REF!,#REF!,$C113)</f>
        <v>#REF!</v>
      </c>
      <c r="F113" s="5" t="e">
        <f>SUMIFS(#REF!,#REF!,$C113)</f>
        <v>#REF!</v>
      </c>
      <c r="G113" s="5" t="e">
        <f>SUMIFS(#REF!,#REF!,$C113)</f>
        <v>#REF!</v>
      </c>
      <c r="H113" s="4"/>
      <c r="I113" s="5">
        <v>2470</v>
      </c>
      <c r="J113" s="5">
        <f>SUMIFS('Business Licences by Community'!$D$2:$D$318,'Business Licences by Community'!$C$2:$C$318,$C113)</f>
        <v>77</v>
      </c>
      <c r="K113" s="15">
        <v>1.1797230000000001</v>
      </c>
      <c r="L113" s="5">
        <f t="shared" si="9"/>
        <v>2093.7118289632394</v>
      </c>
      <c r="M113" s="6">
        <f t="shared" si="10"/>
        <v>65.269559040554427</v>
      </c>
      <c r="N113" s="7">
        <f t="shared" si="11"/>
        <v>0.29268292682926828</v>
      </c>
      <c r="O113" s="7">
        <f t="shared" si="12"/>
        <v>0.81851851851851853</v>
      </c>
      <c r="P113" s="7">
        <f t="shared" si="13"/>
        <v>0.81851851851851853</v>
      </c>
      <c r="Q113" s="4" t="str">
        <f t="shared" si="14"/>
        <v>Businesses</v>
      </c>
      <c r="R113" s="16">
        <f t="shared" si="15"/>
        <v>0.87296296296296294</v>
      </c>
      <c r="S113" s="14">
        <f t="shared" si="16"/>
        <v>77</v>
      </c>
      <c r="T113" s="6" t="e">
        <f t="shared" si="17"/>
        <v>#REF!</v>
      </c>
      <c r="U113" s="17"/>
      <c r="V113" s="4" t="s">
        <v>971</v>
      </c>
    </row>
    <row r="114" spans="1:22" x14ac:dyDescent="0.45">
      <c r="A114" s="14">
        <v>113</v>
      </c>
      <c r="B114" s="4" t="s">
        <v>1210</v>
      </c>
      <c r="C114" s="4" t="s">
        <v>1211</v>
      </c>
      <c r="D114" s="5" t="e">
        <f>SUMIFS(#REF!,#REF!,$C114)</f>
        <v>#REF!</v>
      </c>
      <c r="E114" s="5" t="e">
        <f>SUMIFS(#REF!,#REF!,$C114)</f>
        <v>#REF!</v>
      </c>
      <c r="F114" s="5" t="e">
        <f>SUMIFS(#REF!,#REF!,$C114)</f>
        <v>#REF!</v>
      </c>
      <c r="G114" s="5" t="e">
        <f>SUMIFS(#REF!,#REF!,$C114)</f>
        <v>#REF!</v>
      </c>
      <c r="H114" s="4"/>
      <c r="I114" s="5">
        <v>2735</v>
      </c>
      <c r="J114" s="5">
        <f>SUMIFS('Business Licences by Community'!$D$2:$D$318,'Business Licences by Community'!$C$2:$C$318,$C114)</f>
        <v>0</v>
      </c>
      <c r="K114" s="15">
        <v>1.2748409999999999</v>
      </c>
      <c r="L114" s="5">
        <f t="shared" si="9"/>
        <v>2145.3655789231757</v>
      </c>
      <c r="M114" s="6" t="str">
        <f t="shared" si="10"/>
        <v/>
      </c>
      <c r="N114" s="7">
        <f t="shared" si="11"/>
        <v>0.3073170731707317</v>
      </c>
      <c r="O114" s="7" t="str">
        <f t="shared" si="12"/>
        <v/>
      </c>
      <c r="P114" s="7">
        <f t="shared" si="13"/>
        <v>0.3073170731707317</v>
      </c>
      <c r="Q114" s="4" t="str">
        <f t="shared" si="14"/>
        <v>Residents</v>
      </c>
      <c r="R114" s="16">
        <f t="shared" si="15"/>
        <v>0.51512195121951221</v>
      </c>
      <c r="S114" s="14">
        <f t="shared" si="16"/>
        <v>225</v>
      </c>
      <c r="T114" s="6" t="e">
        <f t="shared" si="17"/>
        <v>#REF!</v>
      </c>
      <c r="U114" s="17"/>
      <c r="V114" s="4" t="s">
        <v>971</v>
      </c>
    </row>
    <row r="115" spans="1:22" x14ac:dyDescent="0.45">
      <c r="A115" s="14">
        <v>114</v>
      </c>
      <c r="B115" s="4" t="s">
        <v>1212</v>
      </c>
      <c r="C115" s="4" t="s">
        <v>1213</v>
      </c>
      <c r="D115" s="5" t="e">
        <f>SUMIFS(#REF!,#REF!,$C115)</f>
        <v>#REF!</v>
      </c>
      <c r="E115" s="5" t="e">
        <f>SUMIFS(#REF!,#REF!,$C115)</f>
        <v>#REF!</v>
      </c>
      <c r="F115" s="5" t="e">
        <f>SUMIFS(#REF!,#REF!,$C115)</f>
        <v>#REF!</v>
      </c>
      <c r="G115" s="5" t="e">
        <f>SUMIFS(#REF!,#REF!,$C115)</f>
        <v>#REF!</v>
      </c>
      <c r="H115" s="4"/>
      <c r="I115" s="5">
        <v>5985</v>
      </c>
      <c r="J115" s="5">
        <f>SUMIFS('Business Licences by Community'!$D$2:$D$318,'Business Licences by Community'!$C$2:$C$318,$C115)</f>
        <v>30</v>
      </c>
      <c r="K115" s="15">
        <v>1.5055050000000001</v>
      </c>
      <c r="L115" s="5">
        <f t="shared" si="9"/>
        <v>3975.4102444030405</v>
      </c>
      <c r="M115" s="6">
        <f t="shared" si="10"/>
        <v>19.926868392997697</v>
      </c>
      <c r="N115" s="7">
        <f t="shared" si="11"/>
        <v>0.83902439024390241</v>
      </c>
      <c r="O115" s="7">
        <f t="shared" si="12"/>
        <v>0.55925925925925923</v>
      </c>
      <c r="P115" s="7">
        <f t="shared" si="13"/>
        <v>0.83902439024390241</v>
      </c>
      <c r="Q115" s="4" t="str">
        <f t="shared" si="14"/>
        <v>Residents</v>
      </c>
      <c r="R115" s="16">
        <f t="shared" si="15"/>
        <v>0.88731707317073161</v>
      </c>
      <c r="S115" s="14">
        <f t="shared" si="16"/>
        <v>69</v>
      </c>
      <c r="T115" s="6" t="e">
        <f t="shared" si="17"/>
        <v>#REF!</v>
      </c>
      <c r="U115" s="17"/>
      <c r="V115" s="4" t="s">
        <v>971</v>
      </c>
    </row>
    <row r="116" spans="1:22" x14ac:dyDescent="0.45">
      <c r="A116" s="14">
        <v>115</v>
      </c>
      <c r="B116" s="4" t="s">
        <v>1214</v>
      </c>
      <c r="C116" s="4" t="s">
        <v>1215</v>
      </c>
      <c r="D116" s="5" t="e">
        <f>SUMIFS(#REF!,#REF!,$C116)</f>
        <v>#REF!</v>
      </c>
      <c r="E116" s="5" t="e">
        <f>SUMIFS(#REF!,#REF!,$C116)</f>
        <v>#REF!</v>
      </c>
      <c r="F116" s="5" t="e">
        <f>SUMIFS(#REF!,#REF!,$C116)</f>
        <v>#REF!</v>
      </c>
      <c r="G116" s="5" t="e">
        <f>SUMIFS(#REF!,#REF!,$C116)</f>
        <v>#REF!</v>
      </c>
      <c r="H116" s="4"/>
      <c r="I116" s="5">
        <v>8755</v>
      </c>
      <c r="J116" s="5">
        <f>SUMIFS('Business Licences by Community'!$D$2:$D$318,'Business Licences by Community'!$C$2:$C$318,$C116)</f>
        <v>48</v>
      </c>
      <c r="K116" s="15">
        <v>2.0465930000000001</v>
      </c>
      <c r="L116" s="5">
        <f t="shared" si="9"/>
        <v>4277.8412708340147</v>
      </c>
      <c r="M116" s="6">
        <f t="shared" si="10"/>
        <v>23.453612906914074</v>
      </c>
      <c r="N116" s="7">
        <f t="shared" si="11"/>
        <v>0.89268292682926831</v>
      </c>
      <c r="O116" s="7">
        <f t="shared" si="12"/>
        <v>0.58518518518518514</v>
      </c>
      <c r="P116" s="7">
        <f t="shared" si="13"/>
        <v>0.89268292682926831</v>
      </c>
      <c r="Q116" s="4" t="str">
        <f t="shared" si="14"/>
        <v>Residents</v>
      </c>
      <c r="R116" s="16">
        <f t="shared" si="15"/>
        <v>0.92487804878048774</v>
      </c>
      <c r="S116" s="14">
        <f t="shared" si="16"/>
        <v>43</v>
      </c>
      <c r="T116" s="6" t="e">
        <f t="shared" si="17"/>
        <v>#REF!</v>
      </c>
      <c r="U116" s="17"/>
      <c r="V116" s="4" t="s">
        <v>971</v>
      </c>
    </row>
    <row r="117" spans="1:22" x14ac:dyDescent="0.45">
      <c r="A117" s="14">
        <v>116</v>
      </c>
      <c r="B117" s="4" t="s">
        <v>1216</v>
      </c>
      <c r="C117" s="4" t="s">
        <v>1217</v>
      </c>
      <c r="D117" s="5" t="e">
        <f>SUMIFS(#REF!,#REF!,$C117)</f>
        <v>#REF!</v>
      </c>
      <c r="E117" s="5" t="e">
        <f>SUMIFS(#REF!,#REF!,$C117)</f>
        <v>#REF!</v>
      </c>
      <c r="F117" s="5" t="e">
        <f>SUMIFS(#REF!,#REF!,$C117)</f>
        <v>#REF!</v>
      </c>
      <c r="G117" s="5" t="e">
        <f>SUMIFS(#REF!,#REF!,$C117)</f>
        <v>#REF!</v>
      </c>
      <c r="H117" s="4" t="s">
        <v>1141</v>
      </c>
      <c r="I117" s="5"/>
      <c r="J117" s="5">
        <f>SUMIFS('Business Licences by Community'!$D$2:$D$318,'Business Licences by Community'!$C$2:$C$318,$C117)</f>
        <v>1</v>
      </c>
      <c r="K117" s="15">
        <v>4.8230779999999998</v>
      </c>
      <c r="L117" s="5" t="str">
        <f t="shared" si="9"/>
        <v/>
      </c>
      <c r="M117" s="6">
        <f t="shared" si="10"/>
        <v>0.20733647683077072</v>
      </c>
      <c r="N117" s="7" t="str">
        <f t="shared" si="11"/>
        <v/>
      </c>
      <c r="O117" s="7">
        <f t="shared" si="12"/>
        <v>1.8518518518518517E-2</v>
      </c>
      <c r="P117" s="7">
        <f t="shared" si="13"/>
        <v>1.8518518518518517E-2</v>
      </c>
      <c r="Q117" s="4" t="str">
        <f t="shared" si="14"/>
        <v>Businesses</v>
      </c>
      <c r="R117" s="16">
        <f t="shared" si="15"/>
        <v>0.31296296296296294</v>
      </c>
      <c r="S117" s="14">
        <f t="shared" si="16"/>
        <v>276</v>
      </c>
      <c r="T117" s="6" t="str">
        <f t="shared" si="17"/>
        <v/>
      </c>
      <c r="U117" s="17"/>
      <c r="V117" s="4" t="s">
        <v>971</v>
      </c>
    </row>
    <row r="118" spans="1:22" x14ac:dyDescent="0.45">
      <c r="A118" s="14">
        <v>117</v>
      </c>
      <c r="B118" s="4" t="s">
        <v>1218</v>
      </c>
      <c r="C118" s="4" t="s">
        <v>1219</v>
      </c>
      <c r="D118" s="5" t="e">
        <f>SUMIFS(#REF!,#REF!,$C118)</f>
        <v>#REF!</v>
      </c>
      <c r="E118" s="5" t="e">
        <f>SUMIFS(#REF!,#REF!,$C118)</f>
        <v>#REF!</v>
      </c>
      <c r="F118" s="5" t="e">
        <f>SUMIFS(#REF!,#REF!,$C118)</f>
        <v>#REF!</v>
      </c>
      <c r="G118" s="5" t="e">
        <f>SUMIFS(#REF!,#REF!,$C118)</f>
        <v>#REF!</v>
      </c>
      <c r="H118" s="4"/>
      <c r="I118" s="5">
        <v>4195</v>
      </c>
      <c r="J118" s="5">
        <f>SUMIFS('Business Licences by Community'!$D$2:$D$318,'Business Licences by Community'!$C$2:$C$318,$C118)</f>
        <v>21</v>
      </c>
      <c r="K118" s="15">
        <v>1.0743659999999999</v>
      </c>
      <c r="L118" s="5">
        <f t="shared" si="9"/>
        <v>3904.6284041006511</v>
      </c>
      <c r="M118" s="6">
        <f t="shared" si="10"/>
        <v>19.546411558072389</v>
      </c>
      <c r="N118" s="7">
        <f t="shared" si="11"/>
        <v>0.82926829268292679</v>
      </c>
      <c r="O118" s="7">
        <f t="shared" si="12"/>
        <v>0.55185185185185182</v>
      </c>
      <c r="P118" s="7">
        <f t="shared" si="13"/>
        <v>0.82926829268292679</v>
      </c>
      <c r="Q118" s="4" t="str">
        <f t="shared" si="14"/>
        <v>Residents</v>
      </c>
      <c r="R118" s="16">
        <f t="shared" si="15"/>
        <v>0.88048780487804867</v>
      </c>
      <c r="S118" s="14">
        <f t="shared" si="16"/>
        <v>74</v>
      </c>
      <c r="T118" s="6" t="e">
        <f t="shared" si="17"/>
        <v>#REF!</v>
      </c>
      <c r="U118" s="17"/>
      <c r="V118" s="4" t="s">
        <v>971</v>
      </c>
    </row>
    <row r="119" spans="1:22" x14ac:dyDescent="0.45">
      <c r="A119" s="14">
        <v>118</v>
      </c>
      <c r="B119" s="4" t="s">
        <v>1220</v>
      </c>
      <c r="C119" s="4" t="s">
        <v>1221</v>
      </c>
      <c r="D119" s="5" t="e">
        <f>SUMIFS(#REF!,#REF!,$C119)</f>
        <v>#REF!</v>
      </c>
      <c r="E119" s="5" t="e">
        <f>SUMIFS(#REF!,#REF!,$C119)</f>
        <v>#REF!</v>
      </c>
      <c r="F119" s="5" t="e">
        <f>SUMIFS(#REF!,#REF!,$C119)</f>
        <v>#REF!</v>
      </c>
      <c r="G119" s="5" t="e">
        <f>SUMIFS(#REF!,#REF!,$C119)</f>
        <v>#REF!</v>
      </c>
      <c r="H119" s="4"/>
      <c r="I119" s="5">
        <v>3490</v>
      </c>
      <c r="J119" s="5">
        <f>SUMIFS('Business Licences by Community'!$D$2:$D$318,'Business Licences by Community'!$C$2:$C$318,$C119)</f>
        <v>72</v>
      </c>
      <c r="K119" s="15">
        <v>1.06752</v>
      </c>
      <c r="L119" s="5">
        <f t="shared" si="9"/>
        <v>3269.2595923261392</v>
      </c>
      <c r="M119" s="6">
        <f t="shared" si="10"/>
        <v>67.446043165467628</v>
      </c>
      <c r="N119" s="7">
        <f t="shared" si="11"/>
        <v>0.69756097560975605</v>
      </c>
      <c r="O119" s="7">
        <f t="shared" si="12"/>
        <v>0.82962962962962961</v>
      </c>
      <c r="P119" s="7">
        <f t="shared" si="13"/>
        <v>0.82962962962962961</v>
      </c>
      <c r="Q119" s="4" t="str">
        <f t="shared" si="14"/>
        <v>Businesses</v>
      </c>
      <c r="R119" s="16">
        <f t="shared" si="15"/>
        <v>0.8807407407407406</v>
      </c>
      <c r="S119" s="14">
        <f t="shared" si="16"/>
        <v>73</v>
      </c>
      <c r="T119" s="6" t="e">
        <f t="shared" si="17"/>
        <v>#REF!</v>
      </c>
      <c r="U119" s="17"/>
      <c r="V119" s="4" t="s">
        <v>971</v>
      </c>
    </row>
    <row r="120" spans="1:22" x14ac:dyDescent="0.45">
      <c r="A120" s="14">
        <v>119</v>
      </c>
      <c r="B120" s="4" t="s">
        <v>1222</v>
      </c>
      <c r="C120" s="4" t="s">
        <v>1223</v>
      </c>
      <c r="D120" s="5" t="e">
        <f>SUMIFS(#REF!,#REF!,$C120)</f>
        <v>#REF!</v>
      </c>
      <c r="E120" s="5" t="e">
        <f>SUMIFS(#REF!,#REF!,$C120)</f>
        <v>#REF!</v>
      </c>
      <c r="F120" s="5" t="e">
        <f>SUMIFS(#REF!,#REF!,$C120)</f>
        <v>#REF!</v>
      </c>
      <c r="G120" s="5" t="e">
        <f>SUMIFS(#REF!,#REF!,$C120)</f>
        <v>#REF!</v>
      </c>
      <c r="H120" s="4"/>
      <c r="I120" s="5">
        <v>1550</v>
      </c>
      <c r="J120" s="5">
        <f>SUMIFS('Business Licences by Community'!$D$2:$D$318,'Business Licences by Community'!$C$2:$C$318,$C120)</f>
        <v>94</v>
      </c>
      <c r="K120" s="15">
        <v>1.5927290000000001</v>
      </c>
      <c r="L120" s="5">
        <f t="shared" si="9"/>
        <v>973.17246060064201</v>
      </c>
      <c r="M120" s="6">
        <f t="shared" si="10"/>
        <v>59.018200836426033</v>
      </c>
      <c r="N120" s="7">
        <f t="shared" si="11"/>
        <v>8.2926829268292687E-2</v>
      </c>
      <c r="O120" s="7">
        <f t="shared" si="12"/>
        <v>0.8</v>
      </c>
      <c r="P120" s="7">
        <f t="shared" si="13"/>
        <v>0.8</v>
      </c>
      <c r="Q120" s="4" t="str">
        <f t="shared" si="14"/>
        <v>Businesses</v>
      </c>
      <c r="R120" s="16">
        <f t="shared" si="15"/>
        <v>0.85999999999999988</v>
      </c>
      <c r="S120" s="14">
        <f t="shared" si="16"/>
        <v>84</v>
      </c>
      <c r="T120" s="6" t="e">
        <f t="shared" si="17"/>
        <v>#REF!</v>
      </c>
      <c r="U120" s="17"/>
      <c r="V120" s="4" t="s">
        <v>971</v>
      </c>
    </row>
    <row r="121" spans="1:22" x14ac:dyDescent="0.45">
      <c r="A121" s="14">
        <v>120</v>
      </c>
      <c r="B121" s="4" t="s">
        <v>1224</v>
      </c>
      <c r="C121" s="4" t="s">
        <v>1225</v>
      </c>
      <c r="D121" s="5" t="e">
        <f>SUMIFS(#REF!,#REF!,$C121)</f>
        <v>#REF!</v>
      </c>
      <c r="E121" s="5" t="e">
        <f>SUMIFS(#REF!,#REF!,$C121)</f>
        <v>#REF!</v>
      </c>
      <c r="F121" s="5" t="e">
        <f>SUMIFS(#REF!,#REF!,$C121)</f>
        <v>#REF!</v>
      </c>
      <c r="G121" s="5" t="e">
        <f>SUMIFS(#REF!,#REF!,$C121)</f>
        <v>#REF!</v>
      </c>
      <c r="H121" s="4"/>
      <c r="I121" s="5">
        <v>2765</v>
      </c>
      <c r="J121" s="5">
        <f>SUMIFS('Business Licences by Community'!$D$2:$D$318,'Business Licences by Community'!$C$2:$C$318,$C121)</f>
        <v>33</v>
      </c>
      <c r="K121" s="15">
        <v>2.5635020000000002</v>
      </c>
      <c r="L121" s="5">
        <f t="shared" si="9"/>
        <v>1078.6026303080707</v>
      </c>
      <c r="M121" s="6">
        <f t="shared" si="10"/>
        <v>12.873015117600843</v>
      </c>
      <c r="N121" s="7">
        <f t="shared" si="11"/>
        <v>9.2682926829268292E-2</v>
      </c>
      <c r="O121" s="7">
        <f t="shared" si="12"/>
        <v>0.42222222222222222</v>
      </c>
      <c r="P121" s="7">
        <f t="shared" si="13"/>
        <v>0.42222222222222222</v>
      </c>
      <c r="Q121" s="4" t="str">
        <f t="shared" si="14"/>
        <v>Businesses</v>
      </c>
      <c r="R121" s="16">
        <f t="shared" si="15"/>
        <v>0.5955555555555555</v>
      </c>
      <c r="S121" s="14">
        <f t="shared" si="16"/>
        <v>204</v>
      </c>
      <c r="T121" s="6" t="e">
        <f t="shared" si="17"/>
        <v>#REF!</v>
      </c>
      <c r="U121" s="17"/>
      <c r="V121" s="4" t="s">
        <v>971</v>
      </c>
    </row>
    <row r="122" spans="1:22" x14ac:dyDescent="0.45">
      <c r="A122" s="14">
        <v>121</v>
      </c>
      <c r="B122" s="4" t="s">
        <v>1226</v>
      </c>
      <c r="C122" s="4" t="s">
        <v>1227</v>
      </c>
      <c r="D122" s="5" t="e">
        <f>SUMIFS(#REF!,#REF!,$C122)</f>
        <v>#REF!</v>
      </c>
      <c r="E122" s="5" t="e">
        <f>SUMIFS(#REF!,#REF!,$C122)</f>
        <v>#REF!</v>
      </c>
      <c r="F122" s="5" t="e">
        <f>SUMIFS(#REF!,#REF!,$C122)</f>
        <v>#REF!</v>
      </c>
      <c r="G122" s="5" t="e">
        <f>SUMIFS(#REF!,#REF!,$C122)</f>
        <v>#REF!</v>
      </c>
      <c r="H122" s="4" t="s">
        <v>1141</v>
      </c>
      <c r="I122" s="5"/>
      <c r="J122" s="5">
        <f>SUMIFS('Business Licences by Community'!$D$2:$D$318,'Business Licences by Community'!$C$2:$C$318,$C122)</f>
        <v>5</v>
      </c>
      <c r="K122" s="15">
        <v>10.161657999999999</v>
      </c>
      <c r="L122" s="5" t="str">
        <f t="shared" si="9"/>
        <v/>
      </c>
      <c r="M122" s="6">
        <f t="shared" si="10"/>
        <v>0.49204568781984204</v>
      </c>
      <c r="N122" s="7" t="str">
        <f t="shared" si="11"/>
        <v/>
      </c>
      <c r="O122" s="7">
        <f t="shared" si="12"/>
        <v>4.8148148148148148E-2</v>
      </c>
      <c r="P122" s="7">
        <f t="shared" si="13"/>
        <v>4.8148148148148148E-2</v>
      </c>
      <c r="Q122" s="4" t="str">
        <f t="shared" si="14"/>
        <v>Businesses</v>
      </c>
      <c r="R122" s="16">
        <f t="shared" si="15"/>
        <v>0.33370370370370367</v>
      </c>
      <c r="S122" s="14">
        <f t="shared" si="16"/>
        <v>266</v>
      </c>
      <c r="T122" s="6" t="str">
        <f t="shared" si="17"/>
        <v/>
      </c>
      <c r="U122" s="17"/>
      <c r="V122" s="4" t="s">
        <v>971</v>
      </c>
    </row>
    <row r="123" spans="1:22" x14ac:dyDescent="0.45">
      <c r="A123" s="14">
        <v>122</v>
      </c>
      <c r="B123" s="4" t="s">
        <v>1228</v>
      </c>
      <c r="C123" s="4" t="s">
        <v>1229</v>
      </c>
      <c r="D123" s="5" t="e">
        <f>SUMIFS(#REF!,#REF!,$C123)</f>
        <v>#REF!</v>
      </c>
      <c r="E123" s="5" t="e">
        <f>SUMIFS(#REF!,#REF!,$C123)</f>
        <v>#REF!</v>
      </c>
      <c r="F123" s="5" t="e">
        <f>SUMIFS(#REF!,#REF!,$C123)</f>
        <v>#REF!</v>
      </c>
      <c r="G123" s="5" t="e">
        <f>SUMIFS(#REF!,#REF!,$C123)</f>
        <v>#REF!</v>
      </c>
      <c r="H123" s="4"/>
      <c r="I123" s="5">
        <v>5795</v>
      </c>
      <c r="J123" s="5">
        <f>SUMIFS('Business Licences by Community'!$D$2:$D$318,'Business Licences by Community'!$C$2:$C$318,$C123)</f>
        <v>8</v>
      </c>
      <c r="K123" s="15">
        <v>1.800748</v>
      </c>
      <c r="L123" s="5">
        <f t="shared" si="9"/>
        <v>3218.1071421431539</v>
      </c>
      <c r="M123" s="6">
        <f t="shared" si="10"/>
        <v>4.4425982980405916</v>
      </c>
      <c r="N123" s="7">
        <f t="shared" si="11"/>
        <v>0.68292682926829273</v>
      </c>
      <c r="O123" s="7">
        <f t="shared" si="12"/>
        <v>0.2074074074074074</v>
      </c>
      <c r="P123" s="7">
        <f t="shared" si="13"/>
        <v>0.68292682926829273</v>
      </c>
      <c r="Q123" s="4" t="str">
        <f t="shared" si="14"/>
        <v>Residents</v>
      </c>
      <c r="R123" s="16">
        <f t="shared" si="15"/>
        <v>0.7780487804878049</v>
      </c>
      <c r="S123" s="14">
        <f t="shared" si="16"/>
        <v>130</v>
      </c>
      <c r="T123" s="6" t="e">
        <f t="shared" si="17"/>
        <v>#REF!</v>
      </c>
      <c r="U123" s="17"/>
      <c r="V123" s="4" t="s">
        <v>971</v>
      </c>
    </row>
    <row r="124" spans="1:22" x14ac:dyDescent="0.45">
      <c r="A124" s="14">
        <v>123</v>
      </c>
      <c r="B124" s="4" t="s">
        <v>1230</v>
      </c>
      <c r="C124" s="4" t="s">
        <v>1231</v>
      </c>
      <c r="D124" s="5" t="e">
        <f>SUMIFS(#REF!,#REF!,$C124)</f>
        <v>#REF!</v>
      </c>
      <c r="E124" s="5" t="e">
        <f>SUMIFS(#REF!,#REF!,$C124)</f>
        <v>#REF!</v>
      </c>
      <c r="F124" s="5" t="e">
        <f>SUMIFS(#REF!,#REF!,$C124)</f>
        <v>#REF!</v>
      </c>
      <c r="G124" s="5" t="e">
        <f>SUMIFS(#REF!,#REF!,$C124)</f>
        <v>#REF!</v>
      </c>
      <c r="H124" s="4"/>
      <c r="I124" s="5">
        <v>5935</v>
      </c>
      <c r="J124" s="5">
        <f>SUMIFS('Business Licences by Community'!$D$2:$D$318,'Business Licences by Community'!$C$2:$C$318,$C124)</f>
        <v>15</v>
      </c>
      <c r="K124" s="15">
        <v>2.0301070000000001</v>
      </c>
      <c r="L124" s="5">
        <f t="shared" si="9"/>
        <v>2923.491224846769</v>
      </c>
      <c r="M124" s="6">
        <f t="shared" si="10"/>
        <v>7.3887731040777647</v>
      </c>
      <c r="N124" s="7">
        <f t="shared" si="11"/>
        <v>0.6097560975609756</v>
      </c>
      <c r="O124" s="7">
        <f t="shared" si="12"/>
        <v>0.3</v>
      </c>
      <c r="P124" s="7">
        <f t="shared" si="13"/>
        <v>0.6097560975609756</v>
      </c>
      <c r="Q124" s="4" t="str">
        <f t="shared" si="14"/>
        <v>Residents</v>
      </c>
      <c r="R124" s="16">
        <f t="shared" si="15"/>
        <v>0.72682926829268291</v>
      </c>
      <c r="S124" s="14">
        <f t="shared" si="16"/>
        <v>156</v>
      </c>
      <c r="T124" s="6" t="e">
        <f t="shared" si="17"/>
        <v>#REF!</v>
      </c>
      <c r="U124" s="17"/>
      <c r="V124" s="4" t="s">
        <v>971</v>
      </c>
    </row>
    <row r="125" spans="1:22" x14ac:dyDescent="0.45">
      <c r="A125" s="14">
        <v>124</v>
      </c>
      <c r="B125" s="4" t="s">
        <v>1232</v>
      </c>
      <c r="C125" s="4" t="s">
        <v>1233</v>
      </c>
      <c r="D125" s="5" t="e">
        <f>SUMIFS(#REF!,#REF!,$C125)</f>
        <v>#REF!</v>
      </c>
      <c r="E125" s="5" t="e">
        <f>SUMIFS(#REF!,#REF!,$C125)</f>
        <v>#REF!</v>
      </c>
      <c r="F125" s="5" t="e">
        <f>SUMIFS(#REF!,#REF!,$C125)</f>
        <v>#REF!</v>
      </c>
      <c r="G125" s="5" t="e">
        <f>SUMIFS(#REF!,#REF!,$C125)</f>
        <v>#REF!</v>
      </c>
      <c r="H125" s="4"/>
      <c r="I125" s="5">
        <v>6480</v>
      </c>
      <c r="J125" s="5">
        <f>SUMIFS('Business Licences by Community'!$D$2:$D$318,'Business Licences by Community'!$C$2:$C$318,$C125)</f>
        <v>169</v>
      </c>
      <c r="K125" s="15">
        <v>2.954704</v>
      </c>
      <c r="L125" s="5">
        <f t="shared" si="9"/>
        <v>2193.1130834086935</v>
      </c>
      <c r="M125" s="6">
        <f t="shared" si="10"/>
        <v>57.196930724702035</v>
      </c>
      <c r="N125" s="7">
        <f t="shared" si="11"/>
        <v>0.32195121951219513</v>
      </c>
      <c r="O125" s="7">
        <f t="shared" si="12"/>
        <v>0.78888888888888886</v>
      </c>
      <c r="P125" s="7">
        <f t="shared" si="13"/>
        <v>0.78888888888888886</v>
      </c>
      <c r="Q125" s="4" t="str">
        <f t="shared" si="14"/>
        <v>Businesses</v>
      </c>
      <c r="R125" s="16">
        <f t="shared" si="15"/>
        <v>0.85222222222222221</v>
      </c>
      <c r="S125" s="14">
        <f t="shared" si="16"/>
        <v>89</v>
      </c>
      <c r="T125" s="6" t="e">
        <f t="shared" si="17"/>
        <v>#REF!</v>
      </c>
      <c r="U125" s="17"/>
      <c r="V125" s="4" t="s">
        <v>971</v>
      </c>
    </row>
    <row r="126" spans="1:22" x14ac:dyDescent="0.45">
      <c r="A126" s="14">
        <v>125</v>
      </c>
      <c r="B126" s="4" t="s">
        <v>1234</v>
      </c>
      <c r="C126" s="4" t="s">
        <v>1235</v>
      </c>
      <c r="D126" s="5" t="e">
        <f>SUMIFS(#REF!,#REF!,$C126)</f>
        <v>#REF!</v>
      </c>
      <c r="E126" s="5" t="e">
        <f>SUMIFS(#REF!,#REF!,$C126)</f>
        <v>#REF!</v>
      </c>
      <c r="F126" s="5" t="e">
        <f>SUMIFS(#REF!,#REF!,$C126)</f>
        <v>#REF!</v>
      </c>
      <c r="G126" s="5" t="e">
        <f>SUMIFS(#REF!,#REF!,$C126)</f>
        <v>#REF!</v>
      </c>
      <c r="H126" s="4"/>
      <c r="I126" s="5">
        <v>8195</v>
      </c>
      <c r="J126" s="5">
        <f>SUMIFS('Business Licences by Community'!$D$2:$D$318,'Business Licences by Community'!$C$2:$C$318,$C126)</f>
        <v>13</v>
      </c>
      <c r="K126" s="15">
        <v>2.808513</v>
      </c>
      <c r="L126" s="5">
        <f t="shared" si="9"/>
        <v>2917.9142129660786</v>
      </c>
      <c r="M126" s="6">
        <f t="shared" si="10"/>
        <v>4.6287839864013449</v>
      </c>
      <c r="N126" s="7">
        <f t="shared" si="11"/>
        <v>0.60487804878048779</v>
      </c>
      <c r="O126" s="7">
        <f t="shared" si="12"/>
        <v>0.21851851851851853</v>
      </c>
      <c r="P126" s="7">
        <f t="shared" si="13"/>
        <v>0.60487804878048779</v>
      </c>
      <c r="Q126" s="4" t="str">
        <f t="shared" si="14"/>
        <v>Residents</v>
      </c>
      <c r="R126" s="16">
        <f t="shared" si="15"/>
        <v>0.72341463414634144</v>
      </c>
      <c r="S126" s="14">
        <f t="shared" si="16"/>
        <v>158</v>
      </c>
      <c r="T126" s="6" t="e">
        <f t="shared" si="17"/>
        <v>#REF!</v>
      </c>
      <c r="U126" s="17"/>
      <c r="V126" s="4" t="s">
        <v>971</v>
      </c>
    </row>
    <row r="127" spans="1:22" x14ac:dyDescent="0.45">
      <c r="A127" s="14">
        <v>126</v>
      </c>
      <c r="B127" s="4" t="s">
        <v>1236</v>
      </c>
      <c r="C127" s="4" t="s">
        <v>1237</v>
      </c>
      <c r="D127" s="5" t="e">
        <f>SUMIFS(#REF!,#REF!,$C127)</f>
        <v>#REF!</v>
      </c>
      <c r="E127" s="5" t="e">
        <f>SUMIFS(#REF!,#REF!,$C127)</f>
        <v>#REF!</v>
      </c>
      <c r="F127" s="5" t="e">
        <f>SUMIFS(#REF!,#REF!,$C127)</f>
        <v>#REF!</v>
      </c>
      <c r="G127" s="5" t="e">
        <f>SUMIFS(#REF!,#REF!,$C127)</f>
        <v>#REF!</v>
      </c>
      <c r="H127" s="4"/>
      <c r="I127" s="5">
        <v>245</v>
      </c>
      <c r="J127" s="5">
        <f>SUMIFS('Business Licences by Community'!$D$2:$D$318,'Business Licences by Community'!$C$2:$C$318,$C127)</f>
        <v>4</v>
      </c>
      <c r="K127" s="15">
        <v>2.4985750000000002</v>
      </c>
      <c r="L127" s="5">
        <f t="shared" si="9"/>
        <v>98.05589185835926</v>
      </c>
      <c r="M127" s="6">
        <f t="shared" si="10"/>
        <v>1.6009125201364776</v>
      </c>
      <c r="N127" s="7">
        <f t="shared" si="11"/>
        <v>9.7560975609756097E-3</v>
      </c>
      <c r="O127" s="7">
        <f t="shared" si="12"/>
        <v>0.10740740740740741</v>
      </c>
      <c r="P127" s="7">
        <f t="shared" si="13"/>
        <v>0.10740740740740741</v>
      </c>
      <c r="Q127" s="4" t="str">
        <f t="shared" si="14"/>
        <v>Businesses</v>
      </c>
      <c r="R127" s="16">
        <f t="shared" si="15"/>
        <v>0.37518518518518518</v>
      </c>
      <c r="S127" s="14">
        <f t="shared" si="16"/>
        <v>252</v>
      </c>
      <c r="T127" s="6" t="e">
        <f t="shared" si="17"/>
        <v>#REF!</v>
      </c>
      <c r="U127" s="17"/>
      <c r="V127" s="4" t="s">
        <v>971</v>
      </c>
    </row>
    <row r="128" spans="1:22" x14ac:dyDescent="0.45">
      <c r="A128" s="14">
        <v>127</v>
      </c>
      <c r="B128" s="4" t="s">
        <v>1238</v>
      </c>
      <c r="C128" s="4" t="s">
        <v>1239</v>
      </c>
      <c r="D128" s="5" t="e">
        <f>SUMIFS(#REF!,#REF!,$C128)</f>
        <v>#REF!</v>
      </c>
      <c r="E128" s="5" t="e">
        <f>SUMIFS(#REF!,#REF!,$C128)</f>
        <v>#REF!</v>
      </c>
      <c r="F128" s="5" t="e">
        <f>SUMIFS(#REF!,#REF!,$C128)</f>
        <v>#REF!</v>
      </c>
      <c r="G128" s="5" t="e">
        <f>SUMIFS(#REF!,#REF!,$C128)</f>
        <v>#REF!</v>
      </c>
      <c r="H128" s="4" t="s">
        <v>1141</v>
      </c>
      <c r="I128" s="5"/>
      <c r="J128" s="5">
        <f>SUMIFS('Business Licences by Community'!$D$2:$D$318,'Business Licences by Community'!$C$2:$C$318,$C128)</f>
        <v>1</v>
      </c>
      <c r="K128" s="15">
        <v>4.6231749999999998</v>
      </c>
      <c r="L128" s="5" t="str">
        <f t="shared" si="9"/>
        <v/>
      </c>
      <c r="M128" s="6">
        <f t="shared" si="10"/>
        <v>0.21630156764561151</v>
      </c>
      <c r="N128" s="7" t="str">
        <f t="shared" si="11"/>
        <v/>
      </c>
      <c r="O128" s="7">
        <f t="shared" si="12"/>
        <v>2.2222222222222223E-2</v>
      </c>
      <c r="P128" s="7">
        <f t="shared" si="13"/>
        <v>2.2222222222222223E-2</v>
      </c>
      <c r="Q128" s="4" t="str">
        <f t="shared" si="14"/>
        <v>Businesses</v>
      </c>
      <c r="R128" s="16">
        <f t="shared" si="15"/>
        <v>0.31555555555555553</v>
      </c>
      <c r="S128" s="14">
        <f t="shared" si="16"/>
        <v>275</v>
      </c>
      <c r="T128" s="6" t="str">
        <f t="shared" si="17"/>
        <v/>
      </c>
      <c r="U128" s="17"/>
      <c r="V128" s="4" t="s">
        <v>971</v>
      </c>
    </row>
    <row r="129" spans="1:22" x14ac:dyDescent="0.45">
      <c r="A129" s="14">
        <v>128</v>
      </c>
      <c r="B129" s="4" t="s">
        <v>1240</v>
      </c>
      <c r="C129" s="4" t="s">
        <v>1241</v>
      </c>
      <c r="D129" s="5" t="e">
        <f>SUMIFS(#REF!,#REF!,$C129)</f>
        <v>#REF!</v>
      </c>
      <c r="E129" s="5" t="e">
        <f>SUMIFS(#REF!,#REF!,$C129)</f>
        <v>#REF!</v>
      </c>
      <c r="F129" s="5" t="e">
        <f>SUMIFS(#REF!,#REF!,$C129)</f>
        <v>#REF!</v>
      </c>
      <c r="G129" s="5" t="e">
        <f>SUMIFS(#REF!,#REF!,$C129)</f>
        <v>#REF!</v>
      </c>
      <c r="H129" s="4"/>
      <c r="I129" s="5">
        <v>6655</v>
      </c>
      <c r="J129" s="5">
        <f>SUMIFS('Business Licences by Community'!$D$2:$D$318,'Business Licences by Community'!$C$2:$C$318,$C129)</f>
        <v>22</v>
      </c>
      <c r="K129" s="15">
        <v>1.7825599999999999</v>
      </c>
      <c r="L129" s="5">
        <f t="shared" si="9"/>
        <v>3733.3946683421595</v>
      </c>
      <c r="M129" s="6">
        <f t="shared" si="10"/>
        <v>12.341800556503008</v>
      </c>
      <c r="N129" s="7">
        <f t="shared" si="11"/>
        <v>0.80487804878048785</v>
      </c>
      <c r="O129" s="7">
        <f t="shared" si="12"/>
        <v>0.40740740740740738</v>
      </c>
      <c r="P129" s="7">
        <f t="shared" si="13"/>
        <v>0.80487804878048785</v>
      </c>
      <c r="Q129" s="4" t="str">
        <f t="shared" si="14"/>
        <v>Residents</v>
      </c>
      <c r="R129" s="16">
        <f t="shared" si="15"/>
        <v>0.86341463414634134</v>
      </c>
      <c r="S129" s="14">
        <f t="shared" si="16"/>
        <v>82</v>
      </c>
      <c r="T129" s="6" t="e">
        <f t="shared" si="17"/>
        <v>#REF!</v>
      </c>
      <c r="U129" s="17"/>
      <c r="V129" s="4" t="s">
        <v>971</v>
      </c>
    </row>
    <row r="130" spans="1:22" x14ac:dyDescent="0.45">
      <c r="A130" s="14">
        <v>129</v>
      </c>
      <c r="B130" s="4" t="s">
        <v>1242</v>
      </c>
      <c r="C130" s="4" t="s">
        <v>1243</v>
      </c>
      <c r="D130" s="5" t="e">
        <f>SUMIFS(#REF!,#REF!,$C130)</f>
        <v>#REF!</v>
      </c>
      <c r="E130" s="5" t="e">
        <f>SUMIFS(#REF!,#REF!,$C130)</f>
        <v>#REF!</v>
      </c>
      <c r="F130" s="5" t="e">
        <f>SUMIFS(#REF!,#REF!,$C130)</f>
        <v>#REF!</v>
      </c>
      <c r="G130" s="5" t="e">
        <f>SUMIFS(#REF!,#REF!,$C130)</f>
        <v>#REF!</v>
      </c>
      <c r="H130" s="4" t="s">
        <v>1141</v>
      </c>
      <c r="I130" s="5"/>
      <c r="J130" s="5">
        <f>SUMIFS('Business Licences by Community'!$D$2:$D$318,'Business Licences by Community'!$C$2:$C$318,$C130)</f>
        <v>1</v>
      </c>
      <c r="K130" s="15">
        <v>5.8266070000000001</v>
      </c>
      <c r="L130" s="5" t="str">
        <f t="shared" ref="L130:L193" si="18">IF(AND(ISNUMBER(I130),ISNUMBER(K130)),IF(K130&gt;0,I130/K130,""),"")</f>
        <v/>
      </c>
      <c r="M130" s="6">
        <f t="shared" ref="M130:M193" si="19">IF(AND(ISNUMBER(J130),ISNUMBER(K130)),IF(AND(J130&gt;0,K130&gt;0),J130/K130,""),"")</f>
        <v>0.17162647146100637</v>
      </c>
      <c r="N130" s="7" t="str">
        <f t="shared" ref="N130:N193" si="20">IF(ISNUMBER(L130),(RANK(L130,$L$2:$L$318,1)-1)/(COUNT($L$2:$L$318)-1),"")</f>
        <v/>
      </c>
      <c r="O130" s="7">
        <f t="shared" ref="O130:O193" si="21">IF(ISNUMBER(M130),(RANK(M130,$M$2:$M$318,1)-1)/(COUNT($M$2:$M$318)-1),"")</f>
        <v>7.4074074074074077E-3</v>
      </c>
      <c r="P130" s="7">
        <f t="shared" ref="P130:P193" si="22">IF(OR(ISNUMBER(N130),ISNUMBER(O130)),MAX(N130,O130),"")</f>
        <v>7.4074074074074077E-3</v>
      </c>
      <c r="Q130" s="4" t="str">
        <f t="shared" ref="Q130:Q193" si="23">IF(ISNUMBER(P130),IF(ISNUMBER(N130),IF(N130&gt;=P130,"Residents","Businesses"),"Businesses"),"No data")</f>
        <v>Businesses</v>
      </c>
      <c r="R130" s="16">
        <f t="shared" ref="R130:R193" si="24">IF(ISNUMBER(P130),$Z$12+(1-$Z$12)*P130,$Z$12)</f>
        <v>0.30518518518518517</v>
      </c>
      <c r="S130" s="14">
        <f t="shared" ref="S130:S193" si="25">RANK(R130,$R$2:$R$318,0)</f>
        <v>279</v>
      </c>
      <c r="T130" s="6" t="str">
        <f t="shared" ref="T130:T193" si="26">IF(ISNUMBER(I130),IF(I130&gt;0,D130/I130*1000,""),"")</f>
        <v/>
      </c>
      <c r="U130" s="17"/>
      <c r="V130" s="4" t="s">
        <v>971</v>
      </c>
    </row>
    <row r="131" spans="1:22" x14ac:dyDescent="0.45">
      <c r="A131" s="14">
        <v>130</v>
      </c>
      <c r="B131" s="4" t="s">
        <v>1244</v>
      </c>
      <c r="C131" s="4" t="s">
        <v>1245</v>
      </c>
      <c r="D131" s="5" t="e">
        <f>SUMIFS(#REF!,#REF!,$C131)</f>
        <v>#REF!</v>
      </c>
      <c r="E131" s="5" t="e">
        <f>SUMIFS(#REF!,#REF!,$C131)</f>
        <v>#REF!</v>
      </c>
      <c r="F131" s="5" t="e">
        <f>SUMIFS(#REF!,#REF!,$C131)</f>
        <v>#REF!</v>
      </c>
      <c r="G131" s="5" t="e">
        <f>SUMIFS(#REF!,#REF!,$C131)</f>
        <v>#REF!</v>
      </c>
      <c r="H131" s="4"/>
      <c r="I131" s="5">
        <v>2435</v>
      </c>
      <c r="J131" s="5">
        <f>SUMIFS('Business Licences by Community'!$D$2:$D$318,'Business Licences by Community'!$C$2:$C$318,$C131)</f>
        <v>15</v>
      </c>
      <c r="K131" s="15">
        <v>1.1562190000000001</v>
      </c>
      <c r="L131" s="5">
        <f t="shared" si="18"/>
        <v>2106.0024095781159</v>
      </c>
      <c r="M131" s="6">
        <f t="shared" si="19"/>
        <v>12.973320798222481</v>
      </c>
      <c r="N131" s="7">
        <f t="shared" si="20"/>
        <v>0.30243902439024389</v>
      </c>
      <c r="O131" s="7">
        <f t="shared" si="21"/>
        <v>0.42592592592592593</v>
      </c>
      <c r="P131" s="7">
        <f t="shared" si="22"/>
        <v>0.42592592592592593</v>
      </c>
      <c r="Q131" s="4" t="str">
        <f t="shared" si="23"/>
        <v>Businesses</v>
      </c>
      <c r="R131" s="16">
        <f t="shared" si="24"/>
        <v>0.5981481481481481</v>
      </c>
      <c r="S131" s="14">
        <f t="shared" si="25"/>
        <v>203</v>
      </c>
      <c r="T131" s="6" t="e">
        <f t="shared" si="26"/>
        <v>#REF!</v>
      </c>
      <c r="U131" s="17"/>
      <c r="V131" s="4" t="s">
        <v>971</v>
      </c>
    </row>
    <row r="132" spans="1:22" x14ac:dyDescent="0.45">
      <c r="A132" s="14">
        <v>131</v>
      </c>
      <c r="B132" s="4" t="s">
        <v>1246</v>
      </c>
      <c r="C132" s="4" t="s">
        <v>1247</v>
      </c>
      <c r="D132" s="5" t="e">
        <f>SUMIFS(#REF!,#REF!,$C132)</f>
        <v>#REF!</v>
      </c>
      <c r="E132" s="5" t="e">
        <f>SUMIFS(#REF!,#REF!,$C132)</f>
        <v>#REF!</v>
      </c>
      <c r="F132" s="5" t="e">
        <f>SUMIFS(#REF!,#REF!,$C132)</f>
        <v>#REF!</v>
      </c>
      <c r="G132" s="5" t="e">
        <f>SUMIFS(#REF!,#REF!,$C132)</f>
        <v>#REF!</v>
      </c>
      <c r="H132" s="4"/>
      <c r="I132" s="5">
        <v>4910</v>
      </c>
      <c r="J132" s="5">
        <f>SUMIFS('Business Licences by Community'!$D$2:$D$318,'Business Licences by Community'!$C$2:$C$318,$C132)</f>
        <v>6</v>
      </c>
      <c r="K132" s="15">
        <v>1.91943</v>
      </c>
      <c r="L132" s="5">
        <f t="shared" si="18"/>
        <v>2558.0510880834413</v>
      </c>
      <c r="M132" s="6">
        <f t="shared" si="19"/>
        <v>3.1259280098779327</v>
      </c>
      <c r="N132" s="7">
        <f t="shared" si="20"/>
        <v>0.47317073170731705</v>
      </c>
      <c r="O132" s="7">
        <f t="shared" si="21"/>
        <v>0.15925925925925927</v>
      </c>
      <c r="P132" s="7">
        <f t="shared" si="22"/>
        <v>0.47317073170731705</v>
      </c>
      <c r="Q132" s="4" t="str">
        <f t="shared" si="23"/>
        <v>Residents</v>
      </c>
      <c r="R132" s="16">
        <f t="shared" si="24"/>
        <v>0.63121951219512185</v>
      </c>
      <c r="S132" s="14">
        <f t="shared" si="25"/>
        <v>192</v>
      </c>
      <c r="T132" s="6" t="e">
        <f t="shared" si="26"/>
        <v>#REF!</v>
      </c>
      <c r="U132" s="17"/>
      <c r="V132" s="4" t="s">
        <v>971</v>
      </c>
    </row>
    <row r="133" spans="1:22" x14ac:dyDescent="0.45">
      <c r="A133" s="14">
        <v>132</v>
      </c>
      <c r="B133" s="4" t="s">
        <v>1248</v>
      </c>
      <c r="C133" s="4" t="s">
        <v>1249</v>
      </c>
      <c r="D133" s="5" t="e">
        <f>SUMIFS(#REF!,#REF!,$C133)</f>
        <v>#REF!</v>
      </c>
      <c r="E133" s="5" t="e">
        <f>SUMIFS(#REF!,#REF!,$C133)</f>
        <v>#REF!</v>
      </c>
      <c r="F133" s="5" t="e">
        <f>SUMIFS(#REF!,#REF!,$C133)</f>
        <v>#REF!</v>
      </c>
      <c r="G133" s="5" t="e">
        <f>SUMIFS(#REF!,#REF!,$C133)</f>
        <v>#REF!</v>
      </c>
      <c r="H133" s="4"/>
      <c r="I133" s="5">
        <v>3140</v>
      </c>
      <c r="J133" s="5">
        <f>SUMIFS('Business Licences by Community'!$D$2:$D$318,'Business Licences by Community'!$C$2:$C$318,$C133)</f>
        <v>72</v>
      </c>
      <c r="K133" s="15">
        <v>0.52215299999999998</v>
      </c>
      <c r="L133" s="5">
        <f t="shared" si="18"/>
        <v>6013.5630744245464</v>
      </c>
      <c r="M133" s="6">
        <f t="shared" si="19"/>
        <v>137.89061826705966</v>
      </c>
      <c r="N133" s="7">
        <f t="shared" si="20"/>
        <v>0.96097560975609753</v>
      </c>
      <c r="O133" s="7">
        <f t="shared" si="21"/>
        <v>0.90740740740740744</v>
      </c>
      <c r="P133" s="7">
        <f t="shared" si="22"/>
        <v>0.96097560975609753</v>
      </c>
      <c r="Q133" s="4" t="str">
        <f t="shared" si="23"/>
        <v>Residents</v>
      </c>
      <c r="R133" s="16">
        <f t="shared" si="24"/>
        <v>0.97268292682926827</v>
      </c>
      <c r="S133" s="14">
        <f t="shared" si="25"/>
        <v>15</v>
      </c>
      <c r="T133" s="6" t="e">
        <f t="shared" si="26"/>
        <v>#REF!</v>
      </c>
      <c r="U133" s="17"/>
      <c r="V133" s="4" t="s">
        <v>971</v>
      </c>
    </row>
    <row r="134" spans="1:22" x14ac:dyDescent="0.45">
      <c r="A134" s="14">
        <v>133</v>
      </c>
      <c r="B134" s="4" t="s">
        <v>1250</v>
      </c>
      <c r="C134" s="4" t="s">
        <v>1251</v>
      </c>
      <c r="D134" s="5" t="e">
        <f>SUMIFS(#REF!,#REF!,$C134)</f>
        <v>#REF!</v>
      </c>
      <c r="E134" s="5" t="e">
        <f>SUMIFS(#REF!,#REF!,$C134)</f>
        <v>#REF!</v>
      </c>
      <c r="F134" s="5" t="e">
        <f>SUMIFS(#REF!,#REF!,$C134)</f>
        <v>#REF!</v>
      </c>
      <c r="G134" s="5" t="e">
        <f>SUMIFS(#REF!,#REF!,$C134)</f>
        <v>#REF!</v>
      </c>
      <c r="H134" s="4"/>
      <c r="I134" s="5">
        <v>3675</v>
      </c>
      <c r="J134" s="5">
        <f>SUMIFS('Business Licences by Community'!$D$2:$D$318,'Business Licences by Community'!$C$2:$C$318,$C134)</f>
        <v>52</v>
      </c>
      <c r="K134" s="15">
        <v>1.3205830000000001</v>
      </c>
      <c r="L134" s="5">
        <f t="shared" si="18"/>
        <v>2782.8618117907013</v>
      </c>
      <c r="M134" s="6">
        <f t="shared" si="19"/>
        <v>39.376548085201762</v>
      </c>
      <c r="N134" s="7">
        <f t="shared" si="20"/>
        <v>0.57560975609756093</v>
      </c>
      <c r="O134" s="7">
        <f t="shared" si="21"/>
        <v>0.70740740740740737</v>
      </c>
      <c r="P134" s="7">
        <f t="shared" si="22"/>
        <v>0.70740740740740737</v>
      </c>
      <c r="Q134" s="4" t="str">
        <f t="shared" si="23"/>
        <v>Businesses</v>
      </c>
      <c r="R134" s="16">
        <f t="shared" si="24"/>
        <v>0.79518518518518511</v>
      </c>
      <c r="S134" s="14">
        <f t="shared" si="25"/>
        <v>122</v>
      </c>
      <c r="T134" s="6" t="e">
        <f t="shared" si="26"/>
        <v>#REF!</v>
      </c>
      <c r="U134" s="17"/>
      <c r="V134" s="4" t="s">
        <v>971</v>
      </c>
    </row>
    <row r="135" spans="1:22" x14ac:dyDescent="0.45">
      <c r="A135" s="14">
        <v>134</v>
      </c>
      <c r="B135" s="4" t="s">
        <v>1252</v>
      </c>
      <c r="C135" s="4" t="s">
        <v>1253</v>
      </c>
      <c r="D135" s="5" t="e">
        <f>SUMIFS(#REF!,#REF!,$C135)</f>
        <v>#REF!</v>
      </c>
      <c r="E135" s="5" t="e">
        <f>SUMIFS(#REF!,#REF!,$C135)</f>
        <v>#REF!</v>
      </c>
      <c r="F135" s="5" t="e">
        <f>SUMIFS(#REF!,#REF!,$C135)</f>
        <v>#REF!</v>
      </c>
      <c r="G135" s="5" t="e">
        <f>SUMIFS(#REF!,#REF!,$C135)</f>
        <v>#REF!</v>
      </c>
      <c r="H135" s="4"/>
      <c r="I135" s="5">
        <v>5830</v>
      </c>
      <c r="J135" s="5">
        <f>SUMIFS('Business Licences by Community'!$D$2:$D$318,'Business Licences by Community'!$C$2:$C$318,$C135)</f>
        <v>16</v>
      </c>
      <c r="K135" s="15">
        <v>2.8045119999999999</v>
      </c>
      <c r="L135" s="5">
        <f t="shared" si="18"/>
        <v>2078.7930306591666</v>
      </c>
      <c r="M135" s="6">
        <f t="shared" si="19"/>
        <v>5.7050923654453971</v>
      </c>
      <c r="N135" s="7">
        <f t="shared" si="20"/>
        <v>0.28292682926829266</v>
      </c>
      <c r="O135" s="7">
        <f t="shared" si="21"/>
        <v>0.24814814814814815</v>
      </c>
      <c r="P135" s="7">
        <f t="shared" si="22"/>
        <v>0.28292682926829266</v>
      </c>
      <c r="Q135" s="4" t="str">
        <f t="shared" si="23"/>
        <v>Residents</v>
      </c>
      <c r="R135" s="16">
        <f t="shared" si="24"/>
        <v>0.49804878048780488</v>
      </c>
      <c r="S135" s="14">
        <f t="shared" si="25"/>
        <v>228</v>
      </c>
      <c r="T135" s="6" t="e">
        <f t="shared" si="26"/>
        <v>#REF!</v>
      </c>
      <c r="U135" s="17"/>
      <c r="V135" s="4" t="s">
        <v>971</v>
      </c>
    </row>
    <row r="136" spans="1:22" x14ac:dyDescent="0.45">
      <c r="A136" s="14">
        <v>135</v>
      </c>
      <c r="B136" s="4" t="s">
        <v>1254</v>
      </c>
      <c r="C136" s="4" t="s">
        <v>1255</v>
      </c>
      <c r="D136" s="5" t="e">
        <f>SUMIFS(#REF!,#REF!,$C136)</f>
        <v>#REF!</v>
      </c>
      <c r="E136" s="5" t="e">
        <f>SUMIFS(#REF!,#REF!,$C136)</f>
        <v>#REF!</v>
      </c>
      <c r="F136" s="5" t="e">
        <f>SUMIFS(#REF!,#REF!,$C136)</f>
        <v>#REF!</v>
      </c>
      <c r="G136" s="5" t="e">
        <f>SUMIFS(#REF!,#REF!,$C136)</f>
        <v>#REF!</v>
      </c>
      <c r="H136" s="4"/>
      <c r="I136" s="5">
        <v>2300</v>
      </c>
      <c r="J136" s="5">
        <f>SUMIFS('Business Licences by Community'!$D$2:$D$318,'Business Licences by Community'!$C$2:$C$318,$C136)</f>
        <v>29</v>
      </c>
      <c r="K136" s="15">
        <v>1.0515909999999999</v>
      </c>
      <c r="L136" s="5">
        <f t="shared" si="18"/>
        <v>2187.1621191128493</v>
      </c>
      <c r="M136" s="6">
        <f t="shared" si="19"/>
        <v>27.577261501857663</v>
      </c>
      <c r="N136" s="7">
        <f t="shared" si="20"/>
        <v>0.31707317073170732</v>
      </c>
      <c r="O136" s="7">
        <f t="shared" si="21"/>
        <v>0.62592592592592589</v>
      </c>
      <c r="P136" s="7">
        <f t="shared" si="22"/>
        <v>0.62592592592592589</v>
      </c>
      <c r="Q136" s="4" t="str">
        <f t="shared" si="23"/>
        <v>Businesses</v>
      </c>
      <c r="R136" s="16">
        <f t="shared" si="24"/>
        <v>0.738148148148148</v>
      </c>
      <c r="S136" s="14">
        <f t="shared" si="25"/>
        <v>150</v>
      </c>
      <c r="T136" s="6" t="e">
        <f t="shared" si="26"/>
        <v>#REF!</v>
      </c>
      <c r="U136" s="17"/>
      <c r="V136" s="4" t="s">
        <v>971</v>
      </c>
    </row>
    <row r="137" spans="1:22" x14ac:dyDescent="0.45">
      <c r="A137" s="14">
        <v>136</v>
      </c>
      <c r="B137" s="4" t="s">
        <v>1256</v>
      </c>
      <c r="C137" s="4" t="s">
        <v>1257</v>
      </c>
      <c r="D137" s="5" t="e">
        <f>SUMIFS(#REF!,#REF!,$C137)</f>
        <v>#REF!</v>
      </c>
      <c r="E137" s="5" t="e">
        <f>SUMIFS(#REF!,#REF!,$C137)</f>
        <v>#REF!</v>
      </c>
      <c r="F137" s="5" t="e">
        <f>SUMIFS(#REF!,#REF!,$C137)</f>
        <v>#REF!</v>
      </c>
      <c r="G137" s="5" t="e">
        <f>SUMIFS(#REF!,#REF!,$C137)</f>
        <v>#REF!</v>
      </c>
      <c r="H137" s="4"/>
      <c r="I137" s="5">
        <v>7360</v>
      </c>
      <c r="J137" s="5">
        <f>SUMIFS('Business Licences by Community'!$D$2:$D$318,'Business Licences by Community'!$C$2:$C$318,$C137)</f>
        <v>9</v>
      </c>
      <c r="K137" s="15">
        <v>3.5023569999999999</v>
      </c>
      <c r="L137" s="5">
        <f t="shared" si="18"/>
        <v>2101.4419717921387</v>
      </c>
      <c r="M137" s="6">
        <f t="shared" si="19"/>
        <v>2.5696980633327784</v>
      </c>
      <c r="N137" s="7">
        <f t="shared" si="20"/>
        <v>0.29756097560975608</v>
      </c>
      <c r="O137" s="7">
        <f t="shared" si="21"/>
        <v>0.13333333333333333</v>
      </c>
      <c r="P137" s="7">
        <f t="shared" si="22"/>
        <v>0.29756097560975608</v>
      </c>
      <c r="Q137" s="4" t="str">
        <f t="shared" si="23"/>
        <v>Residents</v>
      </c>
      <c r="R137" s="16">
        <f t="shared" si="24"/>
        <v>0.50829268292682928</v>
      </c>
      <c r="S137" s="14">
        <f t="shared" si="25"/>
        <v>227</v>
      </c>
      <c r="T137" s="6" t="e">
        <f t="shared" si="26"/>
        <v>#REF!</v>
      </c>
      <c r="U137" s="17"/>
      <c r="V137" s="4" t="s">
        <v>971</v>
      </c>
    </row>
    <row r="138" spans="1:22" x14ac:dyDescent="0.45">
      <c r="A138" s="14">
        <v>137</v>
      </c>
      <c r="B138" s="4" t="s">
        <v>1258</v>
      </c>
      <c r="C138" s="4" t="s">
        <v>1259</v>
      </c>
      <c r="D138" s="5" t="e">
        <f>SUMIFS(#REF!,#REF!,$C138)</f>
        <v>#REF!</v>
      </c>
      <c r="E138" s="5" t="e">
        <f>SUMIFS(#REF!,#REF!,$C138)</f>
        <v>#REF!</v>
      </c>
      <c r="F138" s="5" t="e">
        <f>SUMIFS(#REF!,#REF!,$C138)</f>
        <v>#REF!</v>
      </c>
      <c r="G138" s="5" t="e">
        <f>SUMIFS(#REF!,#REF!,$C138)</f>
        <v>#REF!</v>
      </c>
      <c r="H138" s="4"/>
      <c r="I138" s="5">
        <v>1770</v>
      </c>
      <c r="J138" s="5">
        <f>SUMIFS('Business Licences by Community'!$D$2:$D$318,'Business Licences by Community'!$C$2:$C$318,$C138)</f>
        <v>39</v>
      </c>
      <c r="K138" s="15">
        <v>0.65753099999999998</v>
      </c>
      <c r="L138" s="5">
        <f t="shared" si="18"/>
        <v>2691.8882911984379</v>
      </c>
      <c r="M138" s="6">
        <f t="shared" si="19"/>
        <v>59.312792856914733</v>
      </c>
      <c r="N138" s="7">
        <f t="shared" si="20"/>
        <v>0.54146341463414638</v>
      </c>
      <c r="O138" s="7">
        <f t="shared" si="21"/>
        <v>0.8037037037037037</v>
      </c>
      <c r="P138" s="7">
        <f t="shared" si="22"/>
        <v>0.8037037037037037</v>
      </c>
      <c r="Q138" s="4" t="str">
        <f t="shared" si="23"/>
        <v>Businesses</v>
      </c>
      <c r="R138" s="16">
        <f t="shared" si="24"/>
        <v>0.86259259259259258</v>
      </c>
      <c r="S138" s="14">
        <f t="shared" si="25"/>
        <v>83</v>
      </c>
      <c r="T138" s="6" t="e">
        <f t="shared" si="26"/>
        <v>#REF!</v>
      </c>
      <c r="U138" s="17"/>
      <c r="V138" s="4" t="s">
        <v>971</v>
      </c>
    </row>
    <row r="139" spans="1:22" x14ac:dyDescent="0.45">
      <c r="A139" s="14">
        <v>138</v>
      </c>
      <c r="B139" s="4" t="s">
        <v>1260</v>
      </c>
      <c r="C139" s="4" t="s">
        <v>1261</v>
      </c>
      <c r="D139" s="5" t="e">
        <f>SUMIFS(#REF!,#REF!,$C139)</f>
        <v>#REF!</v>
      </c>
      <c r="E139" s="5" t="e">
        <f>SUMIFS(#REF!,#REF!,$C139)</f>
        <v>#REF!</v>
      </c>
      <c r="F139" s="5" t="e">
        <f>SUMIFS(#REF!,#REF!,$C139)</f>
        <v>#REF!</v>
      </c>
      <c r="G139" s="5" t="e">
        <f>SUMIFS(#REF!,#REF!,$C139)</f>
        <v>#REF!</v>
      </c>
      <c r="H139" s="4"/>
      <c r="I139" s="5">
        <v>5925</v>
      </c>
      <c r="J139" s="5">
        <f>SUMIFS('Business Licences by Community'!$D$2:$D$318,'Business Licences by Community'!$C$2:$C$318,$C139)</f>
        <v>8</v>
      </c>
      <c r="K139" s="15">
        <v>1.701101</v>
      </c>
      <c r="L139" s="5">
        <f t="shared" si="18"/>
        <v>3483.0383381116112</v>
      </c>
      <c r="M139" s="6">
        <f t="shared" si="19"/>
        <v>4.7028365746654668</v>
      </c>
      <c r="N139" s="7">
        <f t="shared" si="20"/>
        <v>0.75121951219512195</v>
      </c>
      <c r="O139" s="7">
        <f t="shared" si="21"/>
        <v>0.22962962962962963</v>
      </c>
      <c r="P139" s="7">
        <f t="shared" si="22"/>
        <v>0.75121951219512195</v>
      </c>
      <c r="Q139" s="4" t="str">
        <f t="shared" si="23"/>
        <v>Residents</v>
      </c>
      <c r="R139" s="16">
        <f t="shared" si="24"/>
        <v>0.82585365853658521</v>
      </c>
      <c r="S139" s="14">
        <f t="shared" si="25"/>
        <v>105</v>
      </c>
      <c r="T139" s="6" t="e">
        <f t="shared" si="26"/>
        <v>#REF!</v>
      </c>
      <c r="U139" s="17"/>
      <c r="V139" s="4" t="s">
        <v>971</v>
      </c>
    </row>
    <row r="140" spans="1:22" x14ac:dyDescent="0.45">
      <c r="A140" s="14">
        <v>139</v>
      </c>
      <c r="B140" s="4" t="s">
        <v>1262</v>
      </c>
      <c r="C140" s="4" t="s">
        <v>1263</v>
      </c>
      <c r="D140" s="5" t="e">
        <f>SUMIFS(#REF!,#REF!,$C140)</f>
        <v>#REF!</v>
      </c>
      <c r="E140" s="5" t="e">
        <f>SUMIFS(#REF!,#REF!,$C140)</f>
        <v>#REF!</v>
      </c>
      <c r="F140" s="5" t="e">
        <f>SUMIFS(#REF!,#REF!,$C140)</f>
        <v>#REF!</v>
      </c>
      <c r="G140" s="5" t="e">
        <f>SUMIFS(#REF!,#REF!,$C140)</f>
        <v>#REF!</v>
      </c>
      <c r="H140" s="4"/>
      <c r="I140" s="5">
        <v>5610</v>
      </c>
      <c r="J140" s="5">
        <f>SUMIFS('Business Licences by Community'!$D$2:$D$318,'Business Licences by Community'!$C$2:$C$318,$C140)</f>
        <v>10</v>
      </c>
      <c r="K140" s="15">
        <v>1.8175950000000001</v>
      </c>
      <c r="L140" s="5">
        <f t="shared" si="18"/>
        <v>3086.4961666377822</v>
      </c>
      <c r="M140" s="6">
        <f t="shared" si="19"/>
        <v>5.501775698106564</v>
      </c>
      <c r="N140" s="7">
        <f t="shared" si="20"/>
        <v>0.64390243902439026</v>
      </c>
      <c r="O140" s="7">
        <f t="shared" si="21"/>
        <v>0.24074074074074073</v>
      </c>
      <c r="P140" s="7">
        <f t="shared" si="22"/>
        <v>0.64390243902439026</v>
      </c>
      <c r="Q140" s="4" t="str">
        <f t="shared" si="23"/>
        <v>Residents</v>
      </c>
      <c r="R140" s="16">
        <f t="shared" si="24"/>
        <v>0.75073170731707317</v>
      </c>
      <c r="S140" s="14">
        <f t="shared" si="25"/>
        <v>145</v>
      </c>
      <c r="T140" s="6" t="e">
        <f t="shared" si="26"/>
        <v>#REF!</v>
      </c>
      <c r="U140" s="17"/>
      <c r="V140" s="4" t="s">
        <v>971</v>
      </c>
    </row>
    <row r="141" spans="1:22" x14ac:dyDescent="0.45">
      <c r="A141" s="14">
        <v>140</v>
      </c>
      <c r="B141" s="4" t="s">
        <v>1264</v>
      </c>
      <c r="C141" s="4" t="s">
        <v>1265</v>
      </c>
      <c r="D141" s="5" t="e">
        <f>SUMIFS(#REF!,#REF!,$C141)</f>
        <v>#REF!</v>
      </c>
      <c r="E141" s="5" t="e">
        <f>SUMIFS(#REF!,#REF!,$C141)</f>
        <v>#REF!</v>
      </c>
      <c r="F141" s="5" t="e">
        <f>SUMIFS(#REF!,#REF!,$C141)</f>
        <v>#REF!</v>
      </c>
      <c r="G141" s="5" t="e">
        <f>SUMIFS(#REF!,#REF!,$C141)</f>
        <v>#REF!</v>
      </c>
      <c r="H141" s="4"/>
      <c r="I141" s="5">
        <v>3225</v>
      </c>
      <c r="J141" s="5">
        <f>SUMIFS('Business Licences by Community'!$D$2:$D$318,'Business Licences by Community'!$C$2:$C$318,$C141)</f>
        <v>13</v>
      </c>
      <c r="K141" s="15">
        <v>1.164263</v>
      </c>
      <c r="L141" s="5">
        <f t="shared" si="18"/>
        <v>2769.9926906549463</v>
      </c>
      <c r="M141" s="6">
        <f t="shared" si="19"/>
        <v>11.165862008841644</v>
      </c>
      <c r="N141" s="7">
        <f t="shared" si="20"/>
        <v>0.57073170731707312</v>
      </c>
      <c r="O141" s="7">
        <f t="shared" si="21"/>
        <v>0.37777777777777777</v>
      </c>
      <c r="P141" s="7">
        <f t="shared" si="22"/>
        <v>0.57073170731707312</v>
      </c>
      <c r="Q141" s="4" t="str">
        <f t="shared" si="23"/>
        <v>Residents</v>
      </c>
      <c r="R141" s="16">
        <f t="shared" si="24"/>
        <v>0.69951219512195117</v>
      </c>
      <c r="S141" s="14">
        <f t="shared" si="25"/>
        <v>170</v>
      </c>
      <c r="T141" s="6" t="e">
        <f t="shared" si="26"/>
        <v>#REF!</v>
      </c>
      <c r="U141" s="17"/>
      <c r="V141" s="4" t="s">
        <v>971</v>
      </c>
    </row>
    <row r="142" spans="1:22" x14ac:dyDescent="0.45">
      <c r="A142" s="14">
        <v>141</v>
      </c>
      <c r="B142" s="4" t="s">
        <v>1266</v>
      </c>
      <c r="C142" s="4" t="s">
        <v>1267</v>
      </c>
      <c r="D142" s="5" t="e">
        <f>SUMIFS(#REF!,#REF!,$C142)</f>
        <v>#REF!</v>
      </c>
      <c r="E142" s="5" t="e">
        <f>SUMIFS(#REF!,#REF!,$C142)</f>
        <v>#REF!</v>
      </c>
      <c r="F142" s="5" t="e">
        <f>SUMIFS(#REF!,#REF!,$C142)</f>
        <v>#REF!</v>
      </c>
      <c r="G142" s="5" t="e">
        <f>SUMIFS(#REF!,#REF!,$C142)</f>
        <v>#REF!</v>
      </c>
      <c r="H142" s="4"/>
      <c r="I142" s="5">
        <v>3795</v>
      </c>
      <c r="J142" s="5">
        <f>SUMIFS('Business Licences by Community'!$D$2:$D$318,'Business Licences by Community'!$C$2:$C$318,$C142)</f>
        <v>63</v>
      </c>
      <c r="K142" s="15">
        <v>1.4170069999999999</v>
      </c>
      <c r="L142" s="5">
        <f t="shared" si="18"/>
        <v>2678.1801360190884</v>
      </c>
      <c r="M142" s="6">
        <f t="shared" si="19"/>
        <v>44.459907396364315</v>
      </c>
      <c r="N142" s="7">
        <f t="shared" si="20"/>
        <v>0.52682926829268295</v>
      </c>
      <c r="O142" s="7">
        <f t="shared" si="21"/>
        <v>0.74814814814814812</v>
      </c>
      <c r="P142" s="7">
        <f t="shared" si="22"/>
        <v>0.74814814814814812</v>
      </c>
      <c r="Q142" s="4" t="str">
        <f t="shared" si="23"/>
        <v>Businesses</v>
      </c>
      <c r="R142" s="16">
        <f t="shared" si="24"/>
        <v>0.8237037037037036</v>
      </c>
      <c r="S142" s="14">
        <f t="shared" si="25"/>
        <v>106</v>
      </c>
      <c r="T142" s="6" t="e">
        <f t="shared" si="26"/>
        <v>#REF!</v>
      </c>
      <c r="U142" s="17"/>
      <c r="V142" s="4" t="s">
        <v>971</v>
      </c>
    </row>
    <row r="143" spans="1:22" x14ac:dyDescent="0.45">
      <c r="A143" s="14">
        <v>142</v>
      </c>
      <c r="B143" s="4" t="s">
        <v>1268</v>
      </c>
      <c r="C143" s="4" t="s">
        <v>1269</v>
      </c>
      <c r="D143" s="5" t="e">
        <f>SUMIFS(#REF!,#REF!,$C143)</f>
        <v>#REF!</v>
      </c>
      <c r="E143" s="5" t="e">
        <f>SUMIFS(#REF!,#REF!,$C143)</f>
        <v>#REF!</v>
      </c>
      <c r="F143" s="5" t="e">
        <f>SUMIFS(#REF!,#REF!,$C143)</f>
        <v>#REF!</v>
      </c>
      <c r="G143" s="5" t="e">
        <f>SUMIFS(#REF!,#REF!,$C143)</f>
        <v>#REF!</v>
      </c>
      <c r="H143" s="4"/>
      <c r="I143" s="5">
        <v>6130</v>
      </c>
      <c r="J143" s="5">
        <f>SUMIFS('Business Licences by Community'!$D$2:$D$318,'Business Licences by Community'!$C$2:$C$318,$C143)</f>
        <v>8</v>
      </c>
      <c r="K143" s="15">
        <v>1.212386</v>
      </c>
      <c r="L143" s="5">
        <f t="shared" si="18"/>
        <v>5056.1454850187974</v>
      </c>
      <c r="M143" s="6">
        <f t="shared" si="19"/>
        <v>6.5985585448858695</v>
      </c>
      <c r="N143" s="7">
        <f t="shared" si="20"/>
        <v>0.94146341463414629</v>
      </c>
      <c r="O143" s="7">
        <f t="shared" si="21"/>
        <v>0.27037037037037037</v>
      </c>
      <c r="P143" s="7">
        <f t="shared" si="22"/>
        <v>0.94146341463414629</v>
      </c>
      <c r="Q143" s="4" t="str">
        <f t="shared" si="23"/>
        <v>Residents</v>
      </c>
      <c r="R143" s="16">
        <f t="shared" si="24"/>
        <v>0.9590243902439024</v>
      </c>
      <c r="S143" s="14">
        <f t="shared" si="25"/>
        <v>23</v>
      </c>
      <c r="T143" s="6" t="e">
        <f t="shared" si="26"/>
        <v>#REF!</v>
      </c>
      <c r="U143" s="17"/>
      <c r="V143" s="4" t="s">
        <v>971</v>
      </c>
    </row>
    <row r="144" spans="1:22" x14ac:dyDescent="0.45">
      <c r="A144" s="14">
        <v>143</v>
      </c>
      <c r="B144" s="4" t="s">
        <v>1270</v>
      </c>
      <c r="C144" s="4" t="s">
        <v>1271</v>
      </c>
      <c r="D144" s="5" t="e">
        <f>SUMIFS(#REF!,#REF!,$C144)</f>
        <v>#REF!</v>
      </c>
      <c r="E144" s="5" t="e">
        <f>SUMIFS(#REF!,#REF!,$C144)</f>
        <v>#REF!</v>
      </c>
      <c r="F144" s="5" t="e">
        <f>SUMIFS(#REF!,#REF!,$C144)</f>
        <v>#REF!</v>
      </c>
      <c r="G144" s="5" t="e">
        <f>SUMIFS(#REF!,#REF!,$C144)</f>
        <v>#REF!</v>
      </c>
      <c r="H144" s="4"/>
      <c r="I144" s="5">
        <v>9050</v>
      </c>
      <c r="J144" s="5">
        <f>SUMIFS('Business Licences by Community'!$D$2:$D$318,'Business Licences by Community'!$C$2:$C$318,$C144)</f>
        <v>28</v>
      </c>
      <c r="K144" s="15">
        <v>1.953095</v>
      </c>
      <c r="L144" s="5">
        <f t="shared" si="18"/>
        <v>4633.6711731892201</v>
      </c>
      <c r="M144" s="6">
        <f t="shared" si="19"/>
        <v>14.336220204342338</v>
      </c>
      <c r="N144" s="7">
        <f t="shared" si="20"/>
        <v>0.92195121951219516</v>
      </c>
      <c r="O144" s="7">
        <f t="shared" si="21"/>
        <v>0.46666666666666667</v>
      </c>
      <c r="P144" s="7">
        <f t="shared" si="22"/>
        <v>0.92195121951219516</v>
      </c>
      <c r="Q144" s="4" t="str">
        <f t="shared" si="23"/>
        <v>Residents</v>
      </c>
      <c r="R144" s="16">
        <f t="shared" si="24"/>
        <v>0.94536585365853654</v>
      </c>
      <c r="S144" s="14">
        <f t="shared" si="25"/>
        <v>31</v>
      </c>
      <c r="T144" s="6" t="e">
        <f t="shared" si="26"/>
        <v>#REF!</v>
      </c>
      <c r="U144" s="17"/>
      <c r="V144" s="4" t="s">
        <v>971</v>
      </c>
    </row>
    <row r="145" spans="1:22" x14ac:dyDescent="0.45">
      <c r="A145" s="14">
        <v>144</v>
      </c>
      <c r="B145" s="4" t="s">
        <v>1272</v>
      </c>
      <c r="C145" s="4" t="s">
        <v>1273</v>
      </c>
      <c r="D145" s="5" t="e">
        <f>SUMIFS(#REF!,#REF!,$C145)</f>
        <v>#REF!</v>
      </c>
      <c r="E145" s="5" t="e">
        <f>SUMIFS(#REF!,#REF!,$C145)</f>
        <v>#REF!</v>
      </c>
      <c r="F145" s="5" t="e">
        <f>SUMIFS(#REF!,#REF!,$C145)</f>
        <v>#REF!</v>
      </c>
      <c r="G145" s="5" t="e">
        <f>SUMIFS(#REF!,#REF!,$C145)</f>
        <v>#REF!</v>
      </c>
      <c r="H145" s="4" t="s">
        <v>1141</v>
      </c>
      <c r="I145" s="5"/>
      <c r="J145" s="5">
        <f>SUMIFS('Business Licences by Community'!$D$2:$D$318,'Business Licences by Community'!$C$2:$C$318,$C145)</f>
        <v>0</v>
      </c>
      <c r="K145" s="15">
        <v>2.670334</v>
      </c>
      <c r="L145" s="5" t="str">
        <f t="shared" si="18"/>
        <v/>
      </c>
      <c r="M145" s="6" t="str">
        <f t="shared" si="19"/>
        <v/>
      </c>
      <c r="N145" s="7" t="str">
        <f t="shared" si="20"/>
        <v/>
      </c>
      <c r="O145" s="7" t="str">
        <f t="shared" si="21"/>
        <v/>
      </c>
      <c r="P145" s="7" t="str">
        <f t="shared" si="22"/>
        <v/>
      </c>
      <c r="Q145" s="4" t="str">
        <f t="shared" si="23"/>
        <v>No data</v>
      </c>
      <c r="R145" s="16">
        <f t="shared" si="24"/>
        <v>0.3</v>
      </c>
      <c r="S145" s="14">
        <f t="shared" si="25"/>
        <v>281</v>
      </c>
      <c r="T145" s="6" t="str">
        <f t="shared" si="26"/>
        <v/>
      </c>
      <c r="U145" s="17"/>
      <c r="V145" s="4" t="s">
        <v>971</v>
      </c>
    </row>
    <row r="146" spans="1:22" x14ac:dyDescent="0.45">
      <c r="A146" s="14">
        <v>145</v>
      </c>
      <c r="B146" s="4" t="s">
        <v>1274</v>
      </c>
      <c r="C146" s="4" t="s">
        <v>1275</v>
      </c>
      <c r="D146" s="5" t="e">
        <f>SUMIFS(#REF!,#REF!,$C146)</f>
        <v>#REF!</v>
      </c>
      <c r="E146" s="5" t="e">
        <f>SUMIFS(#REF!,#REF!,$C146)</f>
        <v>#REF!</v>
      </c>
      <c r="F146" s="5" t="e">
        <f>SUMIFS(#REF!,#REF!,$C146)</f>
        <v>#REF!</v>
      </c>
      <c r="G146" s="5" t="e">
        <f>SUMIFS(#REF!,#REF!,$C146)</f>
        <v>#REF!</v>
      </c>
      <c r="H146" s="4"/>
      <c r="I146" s="5">
        <v>3430</v>
      </c>
      <c r="J146" s="5">
        <f>SUMIFS('Business Licences by Community'!$D$2:$D$318,'Business Licences by Community'!$C$2:$C$318,$C146)</f>
        <v>1</v>
      </c>
      <c r="K146" s="15">
        <v>1.8885240000000001</v>
      </c>
      <c r="L146" s="5">
        <f t="shared" si="18"/>
        <v>1816.2332064617658</v>
      </c>
      <c r="M146" s="6">
        <f t="shared" si="19"/>
        <v>0.52951405436203081</v>
      </c>
      <c r="N146" s="7">
        <f t="shared" si="20"/>
        <v>0.22439024390243903</v>
      </c>
      <c r="O146" s="7">
        <f t="shared" si="21"/>
        <v>5.9259259259259262E-2</v>
      </c>
      <c r="P146" s="7">
        <f t="shared" si="22"/>
        <v>0.22439024390243903</v>
      </c>
      <c r="Q146" s="4" t="str">
        <f t="shared" si="23"/>
        <v>Residents</v>
      </c>
      <c r="R146" s="16">
        <f t="shared" si="24"/>
        <v>0.45707317073170728</v>
      </c>
      <c r="S146" s="14">
        <f t="shared" si="25"/>
        <v>238</v>
      </c>
      <c r="T146" s="6" t="e">
        <f t="shared" si="26"/>
        <v>#REF!</v>
      </c>
      <c r="U146" s="17"/>
      <c r="V146" s="4" t="s">
        <v>971</v>
      </c>
    </row>
    <row r="147" spans="1:22" x14ac:dyDescent="0.45">
      <c r="A147" s="14">
        <v>146</v>
      </c>
      <c r="B147" s="4" t="s">
        <v>1276</v>
      </c>
      <c r="C147" s="4" t="s">
        <v>1277</v>
      </c>
      <c r="D147" s="5" t="e">
        <f>SUMIFS(#REF!,#REF!,$C147)</f>
        <v>#REF!</v>
      </c>
      <c r="E147" s="5" t="e">
        <f>SUMIFS(#REF!,#REF!,$C147)</f>
        <v>#REF!</v>
      </c>
      <c r="F147" s="5" t="e">
        <f>SUMIFS(#REF!,#REF!,$C147)</f>
        <v>#REF!</v>
      </c>
      <c r="G147" s="5" t="e">
        <f>SUMIFS(#REF!,#REF!,$C147)</f>
        <v>#REF!</v>
      </c>
      <c r="H147" s="4" t="s">
        <v>1141</v>
      </c>
      <c r="I147" s="5"/>
      <c r="J147" s="5">
        <f>SUMIFS('Business Licences by Community'!$D$2:$D$318,'Business Licences by Community'!$C$2:$C$318,$C147)</f>
        <v>1</v>
      </c>
      <c r="K147" s="15">
        <v>3.9214220000000002</v>
      </c>
      <c r="L147" s="5" t="str">
        <f t="shared" si="18"/>
        <v/>
      </c>
      <c r="M147" s="6">
        <f t="shared" si="19"/>
        <v>0.2550095348065064</v>
      </c>
      <c r="N147" s="7" t="str">
        <f t="shared" si="20"/>
        <v/>
      </c>
      <c r="O147" s="7">
        <f t="shared" si="21"/>
        <v>2.9629629629629631E-2</v>
      </c>
      <c r="P147" s="7">
        <f t="shared" si="22"/>
        <v>2.9629629629629631E-2</v>
      </c>
      <c r="Q147" s="4" t="str">
        <f t="shared" si="23"/>
        <v>Businesses</v>
      </c>
      <c r="R147" s="16">
        <f t="shared" si="24"/>
        <v>0.32074074074074072</v>
      </c>
      <c r="S147" s="14">
        <f t="shared" si="25"/>
        <v>272</v>
      </c>
      <c r="T147" s="6" t="str">
        <f t="shared" si="26"/>
        <v/>
      </c>
      <c r="U147" s="17"/>
      <c r="V147" s="4" t="s">
        <v>971</v>
      </c>
    </row>
    <row r="148" spans="1:22" x14ac:dyDescent="0.45">
      <c r="A148" s="14">
        <v>147</v>
      </c>
      <c r="B148" s="4" t="s">
        <v>1278</v>
      </c>
      <c r="C148" s="4" t="s">
        <v>1279</v>
      </c>
      <c r="D148" s="5" t="e">
        <f>SUMIFS(#REF!,#REF!,$C148)</f>
        <v>#REF!</v>
      </c>
      <c r="E148" s="5" t="e">
        <f>SUMIFS(#REF!,#REF!,$C148)</f>
        <v>#REF!</v>
      </c>
      <c r="F148" s="5" t="e">
        <f>SUMIFS(#REF!,#REF!,$C148)</f>
        <v>#REF!</v>
      </c>
      <c r="G148" s="5" t="e">
        <f>SUMIFS(#REF!,#REF!,$C148)</f>
        <v>#REF!</v>
      </c>
      <c r="H148" s="4"/>
      <c r="I148" s="5">
        <v>1805</v>
      </c>
      <c r="J148" s="5">
        <f>SUMIFS('Business Licences by Community'!$D$2:$D$318,'Business Licences by Community'!$C$2:$C$318,$C148)</f>
        <v>110</v>
      </c>
      <c r="K148" s="15">
        <v>0.36286400000000002</v>
      </c>
      <c r="L148" s="5">
        <f t="shared" si="18"/>
        <v>4974.3154460073192</v>
      </c>
      <c r="M148" s="6">
        <f t="shared" si="19"/>
        <v>303.14387759601391</v>
      </c>
      <c r="N148" s="7">
        <f t="shared" si="20"/>
        <v>0.93658536585365859</v>
      </c>
      <c r="O148" s="7">
        <f t="shared" si="21"/>
        <v>0.98148148148148151</v>
      </c>
      <c r="P148" s="7">
        <f t="shared" si="22"/>
        <v>0.98148148148148151</v>
      </c>
      <c r="Q148" s="4" t="str">
        <f t="shared" si="23"/>
        <v>Businesses</v>
      </c>
      <c r="R148" s="16">
        <f t="shared" si="24"/>
        <v>0.98703703703703694</v>
      </c>
      <c r="S148" s="14">
        <f t="shared" si="25"/>
        <v>8</v>
      </c>
      <c r="T148" s="6" t="e">
        <f t="shared" si="26"/>
        <v>#REF!</v>
      </c>
      <c r="U148" s="17"/>
      <c r="V148" s="4" t="s">
        <v>971</v>
      </c>
    </row>
    <row r="149" spans="1:22" x14ac:dyDescent="0.45">
      <c r="A149" s="14">
        <v>148</v>
      </c>
      <c r="B149" s="4" t="s">
        <v>1280</v>
      </c>
      <c r="C149" s="4" t="s">
        <v>1281</v>
      </c>
      <c r="D149" s="5" t="e">
        <f>SUMIFS(#REF!,#REF!,$C149)</f>
        <v>#REF!</v>
      </c>
      <c r="E149" s="5" t="e">
        <f>SUMIFS(#REF!,#REF!,$C149)</f>
        <v>#REF!</v>
      </c>
      <c r="F149" s="5" t="e">
        <f>SUMIFS(#REF!,#REF!,$C149)</f>
        <v>#REF!</v>
      </c>
      <c r="G149" s="5" t="e">
        <f>SUMIFS(#REF!,#REF!,$C149)</f>
        <v>#REF!</v>
      </c>
      <c r="H149" s="4"/>
      <c r="I149" s="5">
        <v>1875</v>
      </c>
      <c r="J149" s="5">
        <f>SUMIFS('Business Licences by Community'!$D$2:$D$318,'Business Licences by Community'!$C$2:$C$318,$C149)</f>
        <v>41</v>
      </c>
      <c r="K149" s="15">
        <v>0.51614700000000002</v>
      </c>
      <c r="L149" s="5">
        <f t="shared" si="18"/>
        <v>3632.6860371173325</v>
      </c>
      <c r="M149" s="6">
        <f t="shared" si="19"/>
        <v>79.434734678299009</v>
      </c>
      <c r="N149" s="7">
        <f t="shared" si="20"/>
        <v>0.775609756097561</v>
      </c>
      <c r="O149" s="7">
        <f t="shared" si="21"/>
        <v>0.85185185185185186</v>
      </c>
      <c r="P149" s="7">
        <f t="shared" si="22"/>
        <v>0.85185185185185186</v>
      </c>
      <c r="Q149" s="4" t="str">
        <f t="shared" si="23"/>
        <v>Businesses</v>
      </c>
      <c r="R149" s="16">
        <f t="shared" si="24"/>
        <v>0.89629629629629615</v>
      </c>
      <c r="S149" s="14">
        <f t="shared" si="25"/>
        <v>63</v>
      </c>
      <c r="T149" s="6" t="e">
        <f t="shared" si="26"/>
        <v>#REF!</v>
      </c>
      <c r="U149" s="17"/>
      <c r="V149" s="4" t="s">
        <v>971</v>
      </c>
    </row>
    <row r="150" spans="1:22" x14ac:dyDescent="0.45">
      <c r="A150" s="14">
        <v>149</v>
      </c>
      <c r="B150" s="4" t="s">
        <v>1282</v>
      </c>
      <c r="C150" s="4" t="s">
        <v>1283</v>
      </c>
      <c r="D150" s="5" t="e">
        <f>SUMIFS(#REF!,#REF!,$C150)</f>
        <v>#REF!</v>
      </c>
      <c r="E150" s="5" t="e">
        <f>SUMIFS(#REF!,#REF!,$C150)</f>
        <v>#REF!</v>
      </c>
      <c r="F150" s="5" t="e">
        <f>SUMIFS(#REF!,#REF!,$C150)</f>
        <v>#REF!</v>
      </c>
      <c r="G150" s="5" t="e">
        <f>SUMIFS(#REF!,#REF!,$C150)</f>
        <v>#REF!</v>
      </c>
      <c r="H150" s="4"/>
      <c r="I150" s="5">
        <v>2825</v>
      </c>
      <c r="J150" s="5">
        <f>SUMIFS('Business Licences by Community'!$D$2:$D$318,'Business Licences by Community'!$C$2:$C$318,$C150)</f>
        <v>56</v>
      </c>
      <c r="K150" s="15">
        <v>0.36455500000000002</v>
      </c>
      <c r="L150" s="5">
        <f t="shared" si="18"/>
        <v>7749.1736500665193</v>
      </c>
      <c r="M150" s="6">
        <f t="shared" si="19"/>
        <v>153.61193784202658</v>
      </c>
      <c r="N150" s="7">
        <f t="shared" si="20"/>
        <v>0.98048780487804876</v>
      </c>
      <c r="O150" s="7">
        <f t="shared" si="21"/>
        <v>0.92222222222222228</v>
      </c>
      <c r="P150" s="7">
        <f t="shared" si="22"/>
        <v>0.98048780487804876</v>
      </c>
      <c r="Q150" s="4" t="str">
        <f t="shared" si="23"/>
        <v>Residents</v>
      </c>
      <c r="R150" s="16">
        <f t="shared" si="24"/>
        <v>0.98634146341463413</v>
      </c>
      <c r="S150" s="14">
        <f t="shared" si="25"/>
        <v>9</v>
      </c>
      <c r="T150" s="6" t="e">
        <f t="shared" si="26"/>
        <v>#REF!</v>
      </c>
      <c r="U150" s="17"/>
      <c r="V150" s="4" t="s">
        <v>971</v>
      </c>
    </row>
    <row r="151" spans="1:22" x14ac:dyDescent="0.45">
      <c r="A151" s="14">
        <v>150</v>
      </c>
      <c r="B151" s="4" t="s">
        <v>1284</v>
      </c>
      <c r="C151" s="4" t="s">
        <v>1285</v>
      </c>
      <c r="D151" s="5" t="e">
        <f>SUMIFS(#REF!,#REF!,$C151)</f>
        <v>#REF!</v>
      </c>
      <c r="E151" s="5" t="e">
        <f>SUMIFS(#REF!,#REF!,$C151)</f>
        <v>#REF!</v>
      </c>
      <c r="F151" s="5" t="e">
        <f>SUMIFS(#REF!,#REF!,$C151)</f>
        <v>#REF!</v>
      </c>
      <c r="G151" s="5" t="e">
        <f>SUMIFS(#REF!,#REF!,$C151)</f>
        <v>#REF!</v>
      </c>
      <c r="H151" s="4" t="s">
        <v>1141</v>
      </c>
      <c r="I151" s="5"/>
      <c r="J151" s="5">
        <f>SUMIFS('Business Licences by Community'!$D$2:$D$318,'Business Licences by Community'!$C$2:$C$318,$C151)</f>
        <v>912</v>
      </c>
      <c r="K151" s="15">
        <v>7.7183469999999996</v>
      </c>
      <c r="L151" s="5" t="str">
        <f t="shared" si="18"/>
        <v/>
      </c>
      <c r="M151" s="6">
        <f t="shared" si="19"/>
        <v>118.16001535043709</v>
      </c>
      <c r="N151" s="7" t="str">
        <f t="shared" si="20"/>
        <v/>
      </c>
      <c r="O151" s="7">
        <f t="shared" si="21"/>
        <v>0.8925925925925926</v>
      </c>
      <c r="P151" s="7">
        <f t="shared" si="22"/>
        <v>0.8925925925925926</v>
      </c>
      <c r="Q151" s="4" t="str">
        <f t="shared" si="23"/>
        <v>Businesses</v>
      </c>
      <c r="R151" s="16">
        <f t="shared" si="24"/>
        <v>0.92481481481481476</v>
      </c>
      <c r="S151" s="14">
        <f t="shared" si="25"/>
        <v>44</v>
      </c>
      <c r="T151" s="6" t="str">
        <f t="shared" si="26"/>
        <v/>
      </c>
      <c r="U151" s="17"/>
      <c r="V151" s="4" t="s">
        <v>971</v>
      </c>
    </row>
    <row r="152" spans="1:22" x14ac:dyDescent="0.45">
      <c r="A152" s="14">
        <v>151</v>
      </c>
      <c r="B152" s="4" t="s">
        <v>1286</v>
      </c>
      <c r="C152" s="4" t="s">
        <v>1287</v>
      </c>
      <c r="D152" s="5" t="e">
        <f>SUMIFS(#REF!,#REF!,$C152)</f>
        <v>#REF!</v>
      </c>
      <c r="E152" s="5" t="e">
        <f>SUMIFS(#REF!,#REF!,$C152)</f>
        <v>#REF!</v>
      </c>
      <c r="F152" s="5" t="e">
        <f>SUMIFS(#REF!,#REF!,$C152)</f>
        <v>#REF!</v>
      </c>
      <c r="G152" s="5" t="e">
        <f>SUMIFS(#REF!,#REF!,$C152)</f>
        <v>#REF!</v>
      </c>
      <c r="H152" s="4"/>
      <c r="I152" s="5">
        <v>4585</v>
      </c>
      <c r="J152" s="5">
        <f>SUMIFS('Business Licences by Community'!$D$2:$D$318,'Business Licences by Community'!$C$2:$C$318,$C152)</f>
        <v>11</v>
      </c>
      <c r="K152" s="15">
        <v>1.5577369999999999</v>
      </c>
      <c r="L152" s="5">
        <f t="shared" si="18"/>
        <v>2943.372340773828</v>
      </c>
      <c r="M152" s="6">
        <f t="shared" si="19"/>
        <v>7.0615257902970789</v>
      </c>
      <c r="N152" s="7">
        <f t="shared" si="20"/>
        <v>0.61951219512195121</v>
      </c>
      <c r="O152" s="7">
        <f t="shared" si="21"/>
        <v>0.28518518518518521</v>
      </c>
      <c r="P152" s="7">
        <f t="shared" si="22"/>
        <v>0.61951219512195121</v>
      </c>
      <c r="Q152" s="4" t="str">
        <f t="shared" si="23"/>
        <v>Residents</v>
      </c>
      <c r="R152" s="16">
        <f t="shared" si="24"/>
        <v>0.73365853658536584</v>
      </c>
      <c r="S152" s="14">
        <f t="shared" si="25"/>
        <v>153</v>
      </c>
      <c r="T152" s="6" t="e">
        <f t="shared" si="26"/>
        <v>#REF!</v>
      </c>
      <c r="U152" s="17"/>
      <c r="V152" s="4" t="s">
        <v>971</v>
      </c>
    </row>
    <row r="153" spans="1:22" x14ac:dyDescent="0.45">
      <c r="A153" s="14">
        <v>152</v>
      </c>
      <c r="B153" s="4" t="s">
        <v>1288</v>
      </c>
      <c r="C153" s="4" t="s">
        <v>1289</v>
      </c>
      <c r="D153" s="5" t="e">
        <f>SUMIFS(#REF!,#REF!,$C153)</f>
        <v>#REF!</v>
      </c>
      <c r="E153" s="5" t="e">
        <f>SUMIFS(#REF!,#REF!,$C153)</f>
        <v>#REF!</v>
      </c>
      <c r="F153" s="5" t="e">
        <f>SUMIFS(#REF!,#REF!,$C153)</f>
        <v>#REF!</v>
      </c>
      <c r="G153" s="5" t="e">
        <f>SUMIFS(#REF!,#REF!,$C153)</f>
        <v>#REF!</v>
      </c>
      <c r="H153" s="4"/>
      <c r="I153" s="5">
        <v>5365</v>
      </c>
      <c r="J153" s="5">
        <f>SUMIFS('Business Licences by Community'!$D$2:$D$318,'Business Licences by Community'!$C$2:$C$318,$C153)</f>
        <v>11</v>
      </c>
      <c r="K153" s="15">
        <v>3.2907060000000001</v>
      </c>
      <c r="L153" s="5">
        <f t="shared" si="18"/>
        <v>1630.3492320492926</v>
      </c>
      <c r="M153" s="6">
        <f t="shared" si="19"/>
        <v>3.3427477264757166</v>
      </c>
      <c r="N153" s="7">
        <f t="shared" si="20"/>
        <v>0.2</v>
      </c>
      <c r="O153" s="7">
        <f t="shared" si="21"/>
        <v>0.16666666666666666</v>
      </c>
      <c r="P153" s="7">
        <f t="shared" si="22"/>
        <v>0.2</v>
      </c>
      <c r="Q153" s="4" t="str">
        <f t="shared" si="23"/>
        <v>Residents</v>
      </c>
      <c r="R153" s="16">
        <f t="shared" si="24"/>
        <v>0.43999999999999995</v>
      </c>
      <c r="S153" s="14">
        <f t="shared" si="25"/>
        <v>242</v>
      </c>
      <c r="T153" s="6" t="e">
        <f t="shared" si="26"/>
        <v>#REF!</v>
      </c>
      <c r="U153" s="17"/>
      <c r="V153" s="4" t="s">
        <v>971</v>
      </c>
    </row>
    <row r="154" spans="1:22" x14ac:dyDescent="0.45">
      <c r="A154" s="14">
        <v>153</v>
      </c>
      <c r="B154" s="4" t="s">
        <v>1290</v>
      </c>
      <c r="C154" s="4" t="s">
        <v>1291</v>
      </c>
      <c r="D154" s="5" t="e">
        <f>SUMIFS(#REF!,#REF!,$C154)</f>
        <v>#REF!</v>
      </c>
      <c r="E154" s="5" t="e">
        <f>SUMIFS(#REF!,#REF!,$C154)</f>
        <v>#REF!</v>
      </c>
      <c r="F154" s="5" t="e">
        <f>SUMIFS(#REF!,#REF!,$C154)</f>
        <v>#REF!</v>
      </c>
      <c r="G154" s="5" t="e">
        <f>SUMIFS(#REF!,#REF!,$C154)</f>
        <v>#REF!</v>
      </c>
      <c r="H154" s="4"/>
      <c r="I154" s="5">
        <v>1495</v>
      </c>
      <c r="J154" s="5">
        <f>SUMIFS('Business Licences by Community'!$D$2:$D$318,'Business Licences by Community'!$C$2:$C$318,$C154)</f>
        <v>2</v>
      </c>
      <c r="K154" s="15">
        <v>0.66173199999999999</v>
      </c>
      <c r="L154" s="5">
        <f t="shared" si="18"/>
        <v>2259.2227669207473</v>
      </c>
      <c r="M154" s="6">
        <f t="shared" si="19"/>
        <v>3.0223715945428058</v>
      </c>
      <c r="N154" s="7">
        <f t="shared" si="20"/>
        <v>0.34146341463414637</v>
      </c>
      <c r="O154" s="7">
        <f t="shared" si="21"/>
        <v>0.14814814814814814</v>
      </c>
      <c r="P154" s="7">
        <f t="shared" si="22"/>
        <v>0.34146341463414637</v>
      </c>
      <c r="Q154" s="4" t="str">
        <f t="shared" si="23"/>
        <v>Residents</v>
      </c>
      <c r="R154" s="16">
        <f t="shared" si="24"/>
        <v>0.53902439024390247</v>
      </c>
      <c r="S154" s="14">
        <f t="shared" si="25"/>
        <v>220</v>
      </c>
      <c r="T154" s="6" t="e">
        <f t="shared" si="26"/>
        <v>#REF!</v>
      </c>
      <c r="U154" s="17"/>
      <c r="V154" s="4" t="s">
        <v>971</v>
      </c>
    </row>
    <row r="155" spans="1:22" x14ac:dyDescent="0.45">
      <c r="A155" s="14">
        <v>154</v>
      </c>
      <c r="B155" s="4" t="s">
        <v>1292</v>
      </c>
      <c r="C155" s="4" t="s">
        <v>1293</v>
      </c>
      <c r="D155" s="5" t="e">
        <f>SUMIFS(#REF!,#REF!,$C155)</f>
        <v>#REF!</v>
      </c>
      <c r="E155" s="5" t="e">
        <f>SUMIFS(#REF!,#REF!,$C155)</f>
        <v>#REF!</v>
      </c>
      <c r="F155" s="5" t="e">
        <f>SUMIFS(#REF!,#REF!,$C155)</f>
        <v>#REF!</v>
      </c>
      <c r="G155" s="5" t="e">
        <f>SUMIFS(#REF!,#REF!,$C155)</f>
        <v>#REF!</v>
      </c>
      <c r="H155" s="4"/>
      <c r="I155" s="5">
        <v>4410</v>
      </c>
      <c r="J155" s="5">
        <f>SUMIFS('Business Licences by Community'!$D$2:$D$318,'Business Licences by Community'!$C$2:$C$318,$C155)</f>
        <v>47</v>
      </c>
      <c r="K155" s="15">
        <v>1.2759149999999999</v>
      </c>
      <c r="L155" s="5">
        <f t="shared" si="18"/>
        <v>3456.3430949553854</v>
      </c>
      <c r="M155" s="6">
        <f t="shared" si="19"/>
        <v>36.836309628776213</v>
      </c>
      <c r="N155" s="7">
        <f t="shared" si="20"/>
        <v>0.74146341463414633</v>
      </c>
      <c r="O155" s="7">
        <f t="shared" si="21"/>
        <v>0.7</v>
      </c>
      <c r="P155" s="7">
        <f t="shared" si="22"/>
        <v>0.74146341463414633</v>
      </c>
      <c r="Q155" s="4" t="str">
        <f t="shared" si="23"/>
        <v>Residents</v>
      </c>
      <c r="R155" s="16">
        <f t="shared" si="24"/>
        <v>0.8190243902439025</v>
      </c>
      <c r="S155" s="14">
        <f t="shared" si="25"/>
        <v>109</v>
      </c>
      <c r="T155" s="6" t="e">
        <f t="shared" si="26"/>
        <v>#REF!</v>
      </c>
      <c r="U155" s="17"/>
      <c r="V155" s="4" t="s">
        <v>971</v>
      </c>
    </row>
    <row r="156" spans="1:22" x14ac:dyDescent="0.45">
      <c r="A156" s="14">
        <v>155</v>
      </c>
      <c r="B156" s="4" t="s">
        <v>1294</v>
      </c>
      <c r="C156" s="4" t="s">
        <v>1295</v>
      </c>
      <c r="D156" s="5" t="e">
        <f>SUMIFS(#REF!,#REF!,$C156)</f>
        <v>#REF!</v>
      </c>
      <c r="E156" s="5" t="e">
        <f>SUMIFS(#REF!,#REF!,$C156)</f>
        <v>#REF!</v>
      </c>
      <c r="F156" s="5" t="e">
        <f>SUMIFS(#REF!,#REF!,$C156)</f>
        <v>#REF!</v>
      </c>
      <c r="G156" s="5" t="e">
        <f>SUMIFS(#REF!,#REF!,$C156)</f>
        <v>#REF!</v>
      </c>
      <c r="H156" s="4"/>
      <c r="I156" s="5">
        <v>4740</v>
      </c>
      <c r="J156" s="5">
        <f>SUMIFS('Business Licences by Community'!$D$2:$D$318,'Business Licences by Community'!$C$2:$C$318,$C156)</f>
        <v>9</v>
      </c>
      <c r="K156" s="15">
        <v>1.4183699999999999</v>
      </c>
      <c r="L156" s="5">
        <f t="shared" si="18"/>
        <v>3341.8642526280169</v>
      </c>
      <c r="M156" s="6">
        <f t="shared" si="19"/>
        <v>6.3453118720785131</v>
      </c>
      <c r="N156" s="7">
        <f t="shared" si="20"/>
        <v>0.7219512195121951</v>
      </c>
      <c r="O156" s="7">
        <f t="shared" si="21"/>
        <v>0.25925925925925924</v>
      </c>
      <c r="P156" s="7">
        <f t="shared" si="22"/>
        <v>0.7219512195121951</v>
      </c>
      <c r="Q156" s="4" t="str">
        <f t="shared" si="23"/>
        <v>Residents</v>
      </c>
      <c r="R156" s="16">
        <f t="shared" si="24"/>
        <v>0.80536585365853663</v>
      </c>
      <c r="S156" s="14">
        <f t="shared" si="25"/>
        <v>117</v>
      </c>
      <c r="T156" s="6" t="e">
        <f t="shared" si="26"/>
        <v>#REF!</v>
      </c>
      <c r="U156" s="17"/>
      <c r="V156" s="4" t="s">
        <v>971</v>
      </c>
    </row>
    <row r="157" spans="1:22" x14ac:dyDescent="0.45">
      <c r="A157" s="14">
        <v>156</v>
      </c>
      <c r="B157" s="4" t="s">
        <v>1296</v>
      </c>
      <c r="C157" s="4" t="s">
        <v>1297</v>
      </c>
      <c r="D157" s="5" t="e">
        <f>SUMIFS(#REF!,#REF!,$C157)</f>
        <v>#REF!</v>
      </c>
      <c r="E157" s="5" t="e">
        <f>SUMIFS(#REF!,#REF!,$C157)</f>
        <v>#REF!</v>
      </c>
      <c r="F157" s="5" t="e">
        <f>SUMIFS(#REF!,#REF!,$C157)</f>
        <v>#REF!</v>
      </c>
      <c r="G157" s="5" t="e">
        <f>SUMIFS(#REF!,#REF!,$C157)</f>
        <v>#REF!</v>
      </c>
      <c r="H157" s="4"/>
      <c r="I157" s="5">
        <v>1280</v>
      </c>
      <c r="J157" s="5">
        <f>SUMIFS('Business Licences by Community'!$D$2:$D$318,'Business Licences by Community'!$C$2:$C$318,$C157)</f>
        <v>7</v>
      </c>
      <c r="K157" s="15">
        <v>0.50567200000000001</v>
      </c>
      <c r="L157" s="5">
        <f t="shared" si="18"/>
        <v>2531.2851018051228</v>
      </c>
      <c r="M157" s="6">
        <f t="shared" si="19"/>
        <v>13.842965400496764</v>
      </c>
      <c r="N157" s="7">
        <f t="shared" si="20"/>
        <v>0.45365853658536587</v>
      </c>
      <c r="O157" s="7">
        <f t="shared" si="21"/>
        <v>0.45185185185185184</v>
      </c>
      <c r="P157" s="7">
        <f t="shared" si="22"/>
        <v>0.45365853658536587</v>
      </c>
      <c r="Q157" s="4" t="str">
        <f t="shared" si="23"/>
        <v>Residents</v>
      </c>
      <c r="R157" s="16">
        <f t="shared" si="24"/>
        <v>0.61756097560975609</v>
      </c>
      <c r="S157" s="14">
        <f t="shared" si="25"/>
        <v>196</v>
      </c>
      <c r="T157" s="6" t="e">
        <f t="shared" si="26"/>
        <v>#REF!</v>
      </c>
      <c r="U157" s="17"/>
      <c r="V157" s="4" t="s">
        <v>971</v>
      </c>
    </row>
    <row r="158" spans="1:22" x14ac:dyDescent="0.45">
      <c r="A158" s="14">
        <v>157</v>
      </c>
      <c r="B158" s="4" t="s">
        <v>1298</v>
      </c>
      <c r="C158" s="4" t="s">
        <v>1299</v>
      </c>
      <c r="D158" s="5" t="e">
        <f>SUMIFS(#REF!,#REF!,$C158)</f>
        <v>#REF!</v>
      </c>
      <c r="E158" s="5" t="e">
        <f>SUMIFS(#REF!,#REF!,$C158)</f>
        <v>#REF!</v>
      </c>
      <c r="F158" s="5" t="e">
        <f>SUMIFS(#REF!,#REF!,$C158)</f>
        <v>#REF!</v>
      </c>
      <c r="G158" s="5" t="e">
        <f>SUMIFS(#REF!,#REF!,$C158)</f>
        <v>#REF!</v>
      </c>
      <c r="H158" s="4"/>
      <c r="I158" s="5">
        <v>8320</v>
      </c>
      <c r="J158" s="5">
        <f>SUMIFS('Business Licences by Community'!$D$2:$D$318,'Business Licences by Community'!$C$2:$C$318,$C158)</f>
        <v>9</v>
      </c>
      <c r="K158" s="15">
        <v>2.1874419999999999</v>
      </c>
      <c r="L158" s="5">
        <f t="shared" si="18"/>
        <v>3803.5294192943174</v>
      </c>
      <c r="M158" s="6">
        <f t="shared" si="19"/>
        <v>4.1143948045251033</v>
      </c>
      <c r="N158" s="7">
        <f t="shared" si="20"/>
        <v>0.80975609756097566</v>
      </c>
      <c r="O158" s="7">
        <f t="shared" si="21"/>
        <v>0.19259259259259259</v>
      </c>
      <c r="P158" s="7">
        <f t="shared" si="22"/>
        <v>0.80975609756097566</v>
      </c>
      <c r="Q158" s="4" t="str">
        <f t="shared" si="23"/>
        <v>Residents</v>
      </c>
      <c r="R158" s="16">
        <f t="shared" si="24"/>
        <v>0.86682926829268281</v>
      </c>
      <c r="S158" s="14">
        <f t="shared" si="25"/>
        <v>81</v>
      </c>
      <c r="T158" s="6" t="e">
        <f t="shared" si="26"/>
        <v>#REF!</v>
      </c>
      <c r="U158" s="17"/>
      <c r="V158" s="4" t="s">
        <v>971</v>
      </c>
    </row>
    <row r="159" spans="1:22" x14ac:dyDescent="0.45">
      <c r="A159" s="14">
        <v>158</v>
      </c>
      <c r="B159" s="4" t="s">
        <v>1300</v>
      </c>
      <c r="C159" s="4" t="s">
        <v>1301</v>
      </c>
      <c r="D159" s="5" t="e">
        <f>SUMIFS(#REF!,#REF!,$C159)</f>
        <v>#REF!</v>
      </c>
      <c r="E159" s="5" t="e">
        <f>SUMIFS(#REF!,#REF!,$C159)</f>
        <v>#REF!</v>
      </c>
      <c r="F159" s="5" t="e">
        <f>SUMIFS(#REF!,#REF!,$C159)</f>
        <v>#REF!</v>
      </c>
      <c r="G159" s="5" t="e">
        <f>SUMIFS(#REF!,#REF!,$C159)</f>
        <v>#REF!</v>
      </c>
      <c r="H159" s="4"/>
      <c r="I159" s="5">
        <v>7030</v>
      </c>
      <c r="J159" s="5">
        <f>SUMIFS('Business Licences by Community'!$D$2:$D$318,'Business Licences by Community'!$C$2:$C$318,$C159)</f>
        <v>0</v>
      </c>
      <c r="K159" s="15">
        <v>2.271442</v>
      </c>
      <c r="L159" s="5">
        <f t="shared" si="18"/>
        <v>3094.9502562689254</v>
      </c>
      <c r="M159" s="6" t="str">
        <f t="shared" si="19"/>
        <v/>
      </c>
      <c r="N159" s="7">
        <f t="shared" si="20"/>
        <v>0.64878048780487807</v>
      </c>
      <c r="O159" s="7" t="str">
        <f t="shared" si="21"/>
        <v/>
      </c>
      <c r="P159" s="7">
        <f t="shared" si="22"/>
        <v>0.64878048780487807</v>
      </c>
      <c r="Q159" s="4" t="str">
        <f t="shared" si="23"/>
        <v>Residents</v>
      </c>
      <c r="R159" s="16">
        <f t="shared" si="24"/>
        <v>0.75414634146341464</v>
      </c>
      <c r="S159" s="14">
        <f t="shared" si="25"/>
        <v>142</v>
      </c>
      <c r="T159" s="6" t="e">
        <f t="shared" si="26"/>
        <v>#REF!</v>
      </c>
      <c r="U159" s="17"/>
      <c r="V159" s="4" t="s">
        <v>971</v>
      </c>
    </row>
    <row r="160" spans="1:22" x14ac:dyDescent="0.45">
      <c r="A160" s="14">
        <v>159</v>
      </c>
      <c r="B160" s="4" t="s">
        <v>1302</v>
      </c>
      <c r="C160" s="4" t="s">
        <v>1303</v>
      </c>
      <c r="D160" s="5" t="e">
        <f>SUMIFS(#REF!,#REF!,$C160)</f>
        <v>#REF!</v>
      </c>
      <c r="E160" s="5" t="e">
        <f>SUMIFS(#REF!,#REF!,$C160)</f>
        <v>#REF!</v>
      </c>
      <c r="F160" s="5" t="e">
        <f>SUMIFS(#REF!,#REF!,$C160)</f>
        <v>#REF!</v>
      </c>
      <c r="G160" s="5" t="e">
        <f>SUMIFS(#REF!,#REF!,$C160)</f>
        <v>#REF!</v>
      </c>
      <c r="H160" s="4" t="s">
        <v>1141</v>
      </c>
      <c r="I160" s="5"/>
      <c r="J160" s="5">
        <f>SUMIFS('Business Licences by Community'!$D$2:$D$318,'Business Licences by Community'!$C$2:$C$318,$C160)</f>
        <v>586</v>
      </c>
      <c r="K160" s="15">
        <v>17.340996000000001</v>
      </c>
      <c r="L160" s="5" t="str">
        <f t="shared" si="18"/>
        <v/>
      </c>
      <c r="M160" s="6">
        <f t="shared" si="19"/>
        <v>33.792753311286155</v>
      </c>
      <c r="N160" s="7" t="str">
        <f t="shared" si="20"/>
        <v/>
      </c>
      <c r="O160" s="7">
        <f t="shared" si="21"/>
        <v>0.68148148148148147</v>
      </c>
      <c r="P160" s="7">
        <f t="shared" si="22"/>
        <v>0.68148148148148147</v>
      </c>
      <c r="Q160" s="4" t="str">
        <f t="shared" si="23"/>
        <v>Businesses</v>
      </c>
      <c r="R160" s="16">
        <f t="shared" si="24"/>
        <v>0.77703703703703697</v>
      </c>
      <c r="S160" s="14">
        <f t="shared" si="25"/>
        <v>131</v>
      </c>
      <c r="T160" s="6" t="str">
        <f t="shared" si="26"/>
        <v/>
      </c>
      <c r="U160" s="17"/>
      <c r="V160" s="4" t="s">
        <v>971</v>
      </c>
    </row>
    <row r="161" spans="1:22" x14ac:dyDescent="0.45">
      <c r="A161" s="14">
        <v>160</v>
      </c>
      <c r="B161" s="4" t="s">
        <v>1304</v>
      </c>
      <c r="C161" s="4" t="s">
        <v>1305</v>
      </c>
      <c r="D161" s="5" t="e">
        <f>SUMIFS(#REF!,#REF!,$C161)</f>
        <v>#REF!</v>
      </c>
      <c r="E161" s="5" t="e">
        <f>SUMIFS(#REF!,#REF!,$C161)</f>
        <v>#REF!</v>
      </c>
      <c r="F161" s="5" t="e">
        <f>SUMIFS(#REF!,#REF!,$C161)</f>
        <v>#REF!</v>
      </c>
      <c r="G161" s="5" t="e">
        <f>SUMIFS(#REF!,#REF!,$C161)</f>
        <v>#REF!</v>
      </c>
      <c r="H161" s="4"/>
      <c r="I161" s="5">
        <v>7150</v>
      </c>
      <c r="J161" s="5">
        <f>SUMIFS('Business Licences by Community'!$D$2:$D$318,'Business Licences by Community'!$C$2:$C$318,$C161)</f>
        <v>4</v>
      </c>
      <c r="K161" s="15">
        <v>2.2628330000000001</v>
      </c>
      <c r="L161" s="5">
        <f t="shared" si="18"/>
        <v>3159.7559342647028</v>
      </c>
      <c r="M161" s="6">
        <f t="shared" si="19"/>
        <v>1.7676956275606728</v>
      </c>
      <c r="N161" s="7">
        <f t="shared" si="20"/>
        <v>0.67317073170731712</v>
      </c>
      <c r="O161" s="7">
        <f t="shared" si="21"/>
        <v>0.11851851851851852</v>
      </c>
      <c r="P161" s="7">
        <f t="shared" si="22"/>
        <v>0.67317073170731712</v>
      </c>
      <c r="Q161" s="4" t="str">
        <f t="shared" si="23"/>
        <v>Residents</v>
      </c>
      <c r="R161" s="16">
        <f t="shared" si="24"/>
        <v>0.77121951219512197</v>
      </c>
      <c r="S161" s="14">
        <f t="shared" si="25"/>
        <v>135</v>
      </c>
      <c r="T161" s="6" t="e">
        <f t="shared" si="26"/>
        <v>#REF!</v>
      </c>
      <c r="U161" s="17"/>
      <c r="V161" s="4" t="s">
        <v>971</v>
      </c>
    </row>
    <row r="162" spans="1:22" x14ac:dyDescent="0.45">
      <c r="A162" s="14">
        <v>161</v>
      </c>
      <c r="B162" s="4" t="s">
        <v>1306</v>
      </c>
      <c r="C162" s="4" t="s">
        <v>1307</v>
      </c>
      <c r="D162" s="5" t="e">
        <f>SUMIFS(#REF!,#REF!,$C162)</f>
        <v>#REF!</v>
      </c>
      <c r="E162" s="5" t="e">
        <f>SUMIFS(#REF!,#REF!,$C162)</f>
        <v>#REF!</v>
      </c>
      <c r="F162" s="5" t="e">
        <f>SUMIFS(#REF!,#REF!,$C162)</f>
        <v>#REF!</v>
      </c>
      <c r="G162" s="5" t="e">
        <f>SUMIFS(#REF!,#REF!,$C162)</f>
        <v>#REF!</v>
      </c>
      <c r="H162" s="4"/>
      <c r="I162" s="5">
        <v>525</v>
      </c>
      <c r="J162" s="5">
        <f>SUMIFS('Business Licences by Community'!$D$2:$D$318,'Business Licences by Community'!$C$2:$C$318,$C162)</f>
        <v>10</v>
      </c>
      <c r="K162" s="15">
        <v>2.854409</v>
      </c>
      <c r="L162" s="5">
        <f t="shared" si="18"/>
        <v>183.92598958313263</v>
      </c>
      <c r="M162" s="6">
        <f t="shared" si="19"/>
        <v>3.5033521825358593</v>
      </c>
      <c r="N162" s="7">
        <f t="shared" si="20"/>
        <v>1.4634146341463415E-2</v>
      </c>
      <c r="O162" s="7">
        <f t="shared" si="21"/>
        <v>0.17407407407407408</v>
      </c>
      <c r="P162" s="7">
        <f t="shared" si="22"/>
        <v>0.17407407407407408</v>
      </c>
      <c r="Q162" s="4" t="str">
        <f t="shared" si="23"/>
        <v>Businesses</v>
      </c>
      <c r="R162" s="16">
        <f t="shared" si="24"/>
        <v>0.42185185185185181</v>
      </c>
      <c r="S162" s="14">
        <f t="shared" si="25"/>
        <v>246</v>
      </c>
      <c r="T162" s="6" t="e">
        <f t="shared" si="26"/>
        <v>#REF!</v>
      </c>
      <c r="U162" s="17"/>
      <c r="V162" s="4" t="s">
        <v>971</v>
      </c>
    </row>
    <row r="163" spans="1:22" x14ac:dyDescent="0.45">
      <c r="A163" s="14">
        <v>162</v>
      </c>
      <c r="B163" s="4" t="s">
        <v>1308</v>
      </c>
      <c r="C163" s="4" t="s">
        <v>1309</v>
      </c>
      <c r="D163" s="5" t="e">
        <f>SUMIFS(#REF!,#REF!,$C163)</f>
        <v>#REF!</v>
      </c>
      <c r="E163" s="5" t="e">
        <f>SUMIFS(#REF!,#REF!,$C163)</f>
        <v>#REF!</v>
      </c>
      <c r="F163" s="5" t="e">
        <f>SUMIFS(#REF!,#REF!,$C163)</f>
        <v>#REF!</v>
      </c>
      <c r="G163" s="5" t="e">
        <f>SUMIFS(#REF!,#REF!,$C163)</f>
        <v>#REF!</v>
      </c>
      <c r="H163" s="4"/>
      <c r="I163" s="5">
        <v>800</v>
      </c>
      <c r="J163" s="5">
        <f>SUMIFS('Business Licences by Community'!$D$2:$D$318,'Business Licences by Community'!$C$2:$C$318,$C163)</f>
        <v>11</v>
      </c>
      <c r="K163" s="15">
        <v>2.8453050000000002</v>
      </c>
      <c r="L163" s="5">
        <f t="shared" si="18"/>
        <v>281.16493662366599</v>
      </c>
      <c r="M163" s="6">
        <f t="shared" si="19"/>
        <v>3.8660178785754074</v>
      </c>
      <c r="N163" s="7">
        <f t="shared" si="20"/>
        <v>1.9512195121951219E-2</v>
      </c>
      <c r="O163" s="7">
        <f t="shared" si="21"/>
        <v>0.18518518518518517</v>
      </c>
      <c r="P163" s="7">
        <f t="shared" si="22"/>
        <v>0.18518518518518517</v>
      </c>
      <c r="Q163" s="4" t="str">
        <f t="shared" si="23"/>
        <v>Businesses</v>
      </c>
      <c r="R163" s="16">
        <f t="shared" si="24"/>
        <v>0.42962962962962958</v>
      </c>
      <c r="S163" s="14">
        <f t="shared" si="25"/>
        <v>244</v>
      </c>
      <c r="T163" s="6" t="e">
        <f t="shared" si="26"/>
        <v>#REF!</v>
      </c>
      <c r="U163" s="17"/>
      <c r="V163" s="4" t="s">
        <v>971</v>
      </c>
    </row>
    <row r="164" spans="1:22" x14ac:dyDescent="0.45">
      <c r="A164" s="14">
        <v>163</v>
      </c>
      <c r="B164" s="4" t="s">
        <v>1310</v>
      </c>
      <c r="C164" s="4" t="s">
        <v>1311</v>
      </c>
      <c r="D164" s="5" t="e">
        <f>SUMIFS(#REF!,#REF!,$C164)</f>
        <v>#REF!</v>
      </c>
      <c r="E164" s="5" t="e">
        <f>SUMIFS(#REF!,#REF!,$C164)</f>
        <v>#REF!</v>
      </c>
      <c r="F164" s="5" t="e">
        <f>SUMIFS(#REF!,#REF!,$C164)</f>
        <v>#REF!</v>
      </c>
      <c r="G164" s="5" t="e">
        <f>SUMIFS(#REF!,#REF!,$C164)</f>
        <v>#REF!</v>
      </c>
      <c r="H164" s="4"/>
      <c r="I164" s="5">
        <v>4330</v>
      </c>
      <c r="J164" s="5">
        <f>SUMIFS('Business Licences by Community'!$D$2:$D$318,'Business Licences by Community'!$C$2:$C$318,$C164)</f>
        <v>6</v>
      </c>
      <c r="K164" s="15">
        <v>3.5811980000000001</v>
      </c>
      <c r="L164" s="5">
        <f t="shared" si="18"/>
        <v>1209.09259973897</v>
      </c>
      <c r="M164" s="6">
        <f t="shared" si="19"/>
        <v>1.6754169973288269</v>
      </c>
      <c r="N164" s="7">
        <f t="shared" si="20"/>
        <v>0.12195121951219512</v>
      </c>
      <c r="O164" s="7">
        <f t="shared" si="21"/>
        <v>0.1111111111111111</v>
      </c>
      <c r="P164" s="7">
        <f t="shared" si="22"/>
        <v>0.12195121951219512</v>
      </c>
      <c r="Q164" s="4" t="str">
        <f t="shared" si="23"/>
        <v>Residents</v>
      </c>
      <c r="R164" s="16">
        <f t="shared" si="24"/>
        <v>0.38536585365853659</v>
      </c>
      <c r="S164" s="14">
        <f t="shared" si="25"/>
        <v>250</v>
      </c>
      <c r="T164" s="6" t="e">
        <f t="shared" si="26"/>
        <v>#REF!</v>
      </c>
      <c r="U164" s="17"/>
      <c r="V164" s="4" t="s">
        <v>971</v>
      </c>
    </row>
    <row r="165" spans="1:22" x14ac:dyDescent="0.45">
      <c r="A165" s="14">
        <v>164</v>
      </c>
      <c r="B165" s="4" t="s">
        <v>1312</v>
      </c>
      <c r="C165" s="4" t="s">
        <v>1313</v>
      </c>
      <c r="D165" s="5" t="e">
        <f>SUMIFS(#REF!,#REF!,$C165)</f>
        <v>#REF!</v>
      </c>
      <c r="E165" s="5" t="e">
        <f>SUMIFS(#REF!,#REF!,$C165)</f>
        <v>#REF!</v>
      </c>
      <c r="F165" s="5" t="e">
        <f>SUMIFS(#REF!,#REF!,$C165)</f>
        <v>#REF!</v>
      </c>
      <c r="G165" s="5" t="e">
        <f>SUMIFS(#REF!,#REF!,$C165)</f>
        <v>#REF!</v>
      </c>
      <c r="H165" s="4"/>
      <c r="I165" s="5">
        <v>1830</v>
      </c>
      <c r="J165" s="5">
        <f>SUMIFS('Business Licences by Community'!$D$2:$D$318,'Business Licences by Community'!$C$2:$C$318,$C165)</f>
        <v>2</v>
      </c>
      <c r="K165" s="15">
        <v>2.6952829999999999</v>
      </c>
      <c r="L165" s="5">
        <f t="shared" si="18"/>
        <v>678.9639529503952</v>
      </c>
      <c r="M165" s="6">
        <f t="shared" si="19"/>
        <v>0.74203710704961223</v>
      </c>
      <c r="N165" s="7">
        <f t="shared" si="20"/>
        <v>3.4146341463414637E-2</v>
      </c>
      <c r="O165" s="7">
        <f t="shared" si="21"/>
        <v>7.407407407407407E-2</v>
      </c>
      <c r="P165" s="7">
        <f t="shared" si="22"/>
        <v>7.407407407407407E-2</v>
      </c>
      <c r="Q165" s="4" t="str">
        <f t="shared" si="23"/>
        <v>Businesses</v>
      </c>
      <c r="R165" s="16">
        <f t="shared" si="24"/>
        <v>0.35185185185185186</v>
      </c>
      <c r="S165" s="14">
        <f t="shared" si="25"/>
        <v>260</v>
      </c>
      <c r="T165" s="6" t="e">
        <f t="shared" si="26"/>
        <v>#REF!</v>
      </c>
      <c r="U165" s="17"/>
      <c r="V165" s="4" t="s">
        <v>971</v>
      </c>
    </row>
    <row r="166" spans="1:22" x14ac:dyDescent="0.45">
      <c r="A166" s="14">
        <v>165</v>
      </c>
      <c r="B166" s="4" t="s">
        <v>1314</v>
      </c>
      <c r="C166" s="4" t="s">
        <v>1315</v>
      </c>
      <c r="D166" s="5" t="e">
        <f>SUMIFS(#REF!,#REF!,$C166)</f>
        <v>#REF!</v>
      </c>
      <c r="E166" s="5" t="e">
        <f>SUMIFS(#REF!,#REF!,$C166)</f>
        <v>#REF!</v>
      </c>
      <c r="F166" s="5" t="e">
        <f>SUMIFS(#REF!,#REF!,$C166)</f>
        <v>#REF!</v>
      </c>
      <c r="G166" s="5" t="e">
        <f>SUMIFS(#REF!,#REF!,$C166)</f>
        <v>#REF!</v>
      </c>
      <c r="H166" s="4" t="s">
        <v>1141</v>
      </c>
      <c r="I166" s="5"/>
      <c r="J166" s="5">
        <f>SUMIFS('Business Licences by Community'!$D$2:$D$318,'Business Licences by Community'!$C$2:$C$318,$C166)</f>
        <v>0</v>
      </c>
      <c r="K166" s="15">
        <v>3.1093090000000001</v>
      </c>
      <c r="L166" s="5" t="str">
        <f t="shared" si="18"/>
        <v/>
      </c>
      <c r="M166" s="6" t="str">
        <f t="shared" si="19"/>
        <v/>
      </c>
      <c r="N166" s="7" t="str">
        <f t="shared" si="20"/>
        <v/>
      </c>
      <c r="O166" s="7" t="str">
        <f t="shared" si="21"/>
        <v/>
      </c>
      <c r="P166" s="7" t="str">
        <f t="shared" si="22"/>
        <v/>
      </c>
      <c r="Q166" s="4" t="str">
        <f t="shared" si="23"/>
        <v>No data</v>
      </c>
      <c r="R166" s="16">
        <f t="shared" si="24"/>
        <v>0.3</v>
      </c>
      <c r="S166" s="14">
        <f t="shared" si="25"/>
        <v>281</v>
      </c>
      <c r="T166" s="6" t="str">
        <f t="shared" si="26"/>
        <v/>
      </c>
      <c r="U166" s="17"/>
      <c r="V166" s="4" t="s">
        <v>971</v>
      </c>
    </row>
    <row r="167" spans="1:22" x14ac:dyDescent="0.45">
      <c r="A167" s="14">
        <v>166</v>
      </c>
      <c r="B167" s="4" t="s">
        <v>1316</v>
      </c>
      <c r="C167" s="4" t="s">
        <v>1317</v>
      </c>
      <c r="D167" s="5" t="e">
        <f>SUMIFS(#REF!,#REF!,$C167)</f>
        <v>#REF!</v>
      </c>
      <c r="E167" s="5" t="e">
        <f>SUMIFS(#REF!,#REF!,$C167)</f>
        <v>#REF!</v>
      </c>
      <c r="F167" s="5" t="e">
        <f>SUMIFS(#REF!,#REF!,$C167)</f>
        <v>#REF!</v>
      </c>
      <c r="G167" s="5" t="e">
        <f>SUMIFS(#REF!,#REF!,$C167)</f>
        <v>#REF!</v>
      </c>
      <c r="H167" s="4"/>
      <c r="I167" s="5">
        <v>2290</v>
      </c>
      <c r="J167" s="5">
        <f>SUMIFS('Business Licences by Community'!$D$2:$D$318,'Business Licences by Community'!$C$2:$C$318,$C167)</f>
        <v>31</v>
      </c>
      <c r="K167" s="15">
        <v>1.5621910000000001</v>
      </c>
      <c r="L167" s="5">
        <f t="shared" si="18"/>
        <v>1465.8898943855136</v>
      </c>
      <c r="M167" s="6">
        <f t="shared" si="19"/>
        <v>19.843924334476384</v>
      </c>
      <c r="N167" s="7">
        <f t="shared" si="20"/>
        <v>0.16097560975609757</v>
      </c>
      <c r="O167" s="7">
        <f t="shared" si="21"/>
        <v>0.55555555555555558</v>
      </c>
      <c r="P167" s="7">
        <f t="shared" si="22"/>
        <v>0.55555555555555558</v>
      </c>
      <c r="Q167" s="4" t="str">
        <f t="shared" si="23"/>
        <v>Businesses</v>
      </c>
      <c r="R167" s="16">
        <f t="shared" si="24"/>
        <v>0.68888888888888888</v>
      </c>
      <c r="S167" s="14">
        <f t="shared" si="25"/>
        <v>172</v>
      </c>
      <c r="T167" s="6" t="e">
        <f t="shared" si="26"/>
        <v>#REF!</v>
      </c>
      <c r="U167" s="17"/>
      <c r="V167" s="4" t="s">
        <v>971</v>
      </c>
    </row>
    <row r="168" spans="1:22" x14ac:dyDescent="0.45">
      <c r="A168" s="14">
        <v>167</v>
      </c>
      <c r="B168" s="4" t="s">
        <v>1318</v>
      </c>
      <c r="C168" s="4" t="s">
        <v>1319</v>
      </c>
      <c r="D168" s="5" t="e">
        <f>SUMIFS(#REF!,#REF!,$C168)</f>
        <v>#REF!</v>
      </c>
      <c r="E168" s="5" t="e">
        <f>SUMIFS(#REF!,#REF!,$C168)</f>
        <v>#REF!</v>
      </c>
      <c r="F168" s="5" t="e">
        <f>SUMIFS(#REF!,#REF!,$C168)</f>
        <v>#REF!</v>
      </c>
      <c r="G168" s="5" t="e">
        <f>SUMIFS(#REF!,#REF!,$C168)</f>
        <v>#REF!</v>
      </c>
      <c r="H168" s="4"/>
      <c r="I168" s="5">
        <v>3275</v>
      </c>
      <c r="J168" s="5">
        <f>SUMIFS('Business Licences by Community'!$D$2:$D$318,'Business Licences by Community'!$C$2:$C$318,$C168)</f>
        <v>0</v>
      </c>
      <c r="K168" s="15">
        <v>1.0731189999999999</v>
      </c>
      <c r="L168" s="5">
        <f t="shared" si="18"/>
        <v>3051.8516585765419</v>
      </c>
      <c r="M168" s="6" t="str">
        <f t="shared" si="19"/>
        <v/>
      </c>
      <c r="N168" s="7">
        <f t="shared" si="20"/>
        <v>0.63414634146341464</v>
      </c>
      <c r="O168" s="7" t="str">
        <f t="shared" si="21"/>
        <v/>
      </c>
      <c r="P168" s="7">
        <f t="shared" si="22"/>
        <v>0.63414634146341464</v>
      </c>
      <c r="Q168" s="4" t="str">
        <f t="shared" si="23"/>
        <v>Residents</v>
      </c>
      <c r="R168" s="16">
        <f t="shared" si="24"/>
        <v>0.74390243902439024</v>
      </c>
      <c r="S168" s="14">
        <f t="shared" si="25"/>
        <v>147</v>
      </c>
      <c r="T168" s="6" t="e">
        <f t="shared" si="26"/>
        <v>#REF!</v>
      </c>
      <c r="U168" s="17"/>
      <c r="V168" s="4" t="s">
        <v>971</v>
      </c>
    </row>
    <row r="169" spans="1:22" x14ac:dyDescent="0.45">
      <c r="A169" s="14">
        <v>168</v>
      </c>
      <c r="B169" s="4" t="s">
        <v>1320</v>
      </c>
      <c r="C169" s="4" t="s">
        <v>1321</v>
      </c>
      <c r="D169" s="5" t="e">
        <f>SUMIFS(#REF!,#REF!,$C169)</f>
        <v>#REF!</v>
      </c>
      <c r="E169" s="5" t="e">
        <f>SUMIFS(#REF!,#REF!,$C169)</f>
        <v>#REF!</v>
      </c>
      <c r="F169" s="5" t="e">
        <f>SUMIFS(#REF!,#REF!,$C169)</f>
        <v>#REF!</v>
      </c>
      <c r="G169" s="5" t="e">
        <f>SUMIFS(#REF!,#REF!,$C169)</f>
        <v>#REF!</v>
      </c>
      <c r="H169" s="4" t="s">
        <v>1141</v>
      </c>
      <c r="I169" s="5"/>
      <c r="J169" s="5">
        <f>SUMIFS('Business Licences by Community'!$D$2:$D$318,'Business Licences by Community'!$C$2:$C$318,$C169)</f>
        <v>397</v>
      </c>
      <c r="K169" s="15">
        <v>1.9552700000000001</v>
      </c>
      <c r="L169" s="5" t="str">
        <f t="shared" si="18"/>
        <v/>
      </c>
      <c r="M169" s="6">
        <f t="shared" si="19"/>
        <v>203.04101223871893</v>
      </c>
      <c r="N169" s="7" t="str">
        <f t="shared" si="20"/>
        <v/>
      </c>
      <c r="O169" s="7">
        <f t="shared" si="21"/>
        <v>0.94814814814814818</v>
      </c>
      <c r="P169" s="7">
        <f t="shared" si="22"/>
        <v>0.94814814814814818</v>
      </c>
      <c r="Q169" s="4" t="str">
        <f t="shared" si="23"/>
        <v>Businesses</v>
      </c>
      <c r="R169" s="16">
        <f t="shared" si="24"/>
        <v>0.96370370370370373</v>
      </c>
      <c r="S169" s="14">
        <f t="shared" si="25"/>
        <v>21</v>
      </c>
      <c r="T169" s="6" t="str">
        <f t="shared" si="26"/>
        <v/>
      </c>
      <c r="U169" s="17"/>
      <c r="V169" s="4" t="s">
        <v>971</v>
      </c>
    </row>
    <row r="170" spans="1:22" x14ac:dyDescent="0.45">
      <c r="A170" s="14">
        <v>169</v>
      </c>
      <c r="B170" s="4" t="s">
        <v>1322</v>
      </c>
      <c r="C170" s="4" t="s">
        <v>1323</v>
      </c>
      <c r="D170" s="5" t="e">
        <f>SUMIFS(#REF!,#REF!,$C170)</f>
        <v>#REF!</v>
      </c>
      <c r="E170" s="5" t="e">
        <f>SUMIFS(#REF!,#REF!,$C170)</f>
        <v>#REF!</v>
      </c>
      <c r="F170" s="5" t="e">
        <f>SUMIFS(#REF!,#REF!,$C170)</f>
        <v>#REF!</v>
      </c>
      <c r="G170" s="5" t="e">
        <f>SUMIFS(#REF!,#REF!,$C170)</f>
        <v>#REF!</v>
      </c>
      <c r="H170" s="4"/>
      <c r="I170" s="5">
        <v>6520</v>
      </c>
      <c r="J170" s="5">
        <f>SUMIFS('Business Licences by Community'!$D$2:$D$318,'Business Licences by Community'!$C$2:$C$318,$C170)</f>
        <v>76</v>
      </c>
      <c r="K170" s="15">
        <v>2.3938009999999998</v>
      </c>
      <c r="L170" s="5">
        <f t="shared" si="18"/>
        <v>2723.701761341064</v>
      </c>
      <c r="M170" s="6">
        <f t="shared" si="19"/>
        <v>31.748670837717924</v>
      </c>
      <c r="N170" s="7">
        <f t="shared" si="20"/>
        <v>0.551219512195122</v>
      </c>
      <c r="O170" s="7">
        <f t="shared" si="21"/>
        <v>0.67407407407407405</v>
      </c>
      <c r="P170" s="7">
        <f t="shared" si="22"/>
        <v>0.67407407407407405</v>
      </c>
      <c r="Q170" s="4" t="str">
        <f t="shared" si="23"/>
        <v>Businesses</v>
      </c>
      <c r="R170" s="16">
        <f t="shared" si="24"/>
        <v>0.77185185185185179</v>
      </c>
      <c r="S170" s="14">
        <f t="shared" si="25"/>
        <v>134</v>
      </c>
      <c r="T170" s="6" t="e">
        <f t="shared" si="26"/>
        <v>#REF!</v>
      </c>
      <c r="U170" s="17"/>
      <c r="V170" s="4" t="s">
        <v>971</v>
      </c>
    </row>
    <row r="171" spans="1:22" x14ac:dyDescent="0.45">
      <c r="A171" s="14">
        <v>170</v>
      </c>
      <c r="B171" s="4" t="s">
        <v>1324</v>
      </c>
      <c r="C171" s="4" t="s">
        <v>1325</v>
      </c>
      <c r="D171" s="5" t="e">
        <f>SUMIFS(#REF!,#REF!,$C171)</f>
        <v>#REF!</v>
      </c>
      <c r="E171" s="5" t="e">
        <f>SUMIFS(#REF!,#REF!,$C171)</f>
        <v>#REF!</v>
      </c>
      <c r="F171" s="5" t="e">
        <f>SUMIFS(#REF!,#REF!,$C171)</f>
        <v>#REF!</v>
      </c>
      <c r="G171" s="5" t="e">
        <f>SUMIFS(#REF!,#REF!,$C171)</f>
        <v>#REF!</v>
      </c>
      <c r="H171" s="4"/>
      <c r="I171" s="5">
        <v>2000</v>
      </c>
      <c r="J171" s="5">
        <f>SUMIFS('Business Licences by Community'!$D$2:$D$318,'Business Licences by Community'!$C$2:$C$318,$C171)</f>
        <v>14</v>
      </c>
      <c r="K171" s="15">
        <v>0.86401899999999998</v>
      </c>
      <c r="L171" s="5">
        <f t="shared" si="18"/>
        <v>2314.7639114417625</v>
      </c>
      <c r="M171" s="6">
        <f t="shared" si="19"/>
        <v>16.203347380092335</v>
      </c>
      <c r="N171" s="7">
        <f t="shared" si="20"/>
        <v>0.37073170731707317</v>
      </c>
      <c r="O171" s="7">
        <f t="shared" si="21"/>
        <v>0.50740740740740742</v>
      </c>
      <c r="P171" s="7">
        <f t="shared" si="22"/>
        <v>0.50740740740740742</v>
      </c>
      <c r="Q171" s="4" t="str">
        <f t="shared" si="23"/>
        <v>Businesses</v>
      </c>
      <c r="R171" s="16">
        <f t="shared" si="24"/>
        <v>0.65518518518518509</v>
      </c>
      <c r="S171" s="14">
        <f t="shared" si="25"/>
        <v>184</v>
      </c>
      <c r="T171" s="6" t="e">
        <f t="shared" si="26"/>
        <v>#REF!</v>
      </c>
      <c r="U171" s="17"/>
      <c r="V171" s="4" t="s">
        <v>971</v>
      </c>
    </row>
    <row r="172" spans="1:22" x14ac:dyDescent="0.45">
      <c r="A172" s="14">
        <v>171</v>
      </c>
      <c r="B172" s="4" t="s">
        <v>1326</v>
      </c>
      <c r="C172" s="4" t="s">
        <v>1327</v>
      </c>
      <c r="D172" s="5" t="e">
        <f>SUMIFS(#REF!,#REF!,$C172)</f>
        <v>#REF!</v>
      </c>
      <c r="E172" s="5" t="e">
        <f>SUMIFS(#REF!,#REF!,$C172)</f>
        <v>#REF!</v>
      </c>
      <c r="F172" s="5" t="e">
        <f>SUMIFS(#REF!,#REF!,$C172)</f>
        <v>#REF!</v>
      </c>
      <c r="G172" s="5" t="e">
        <f>SUMIFS(#REF!,#REF!,$C172)</f>
        <v>#REF!</v>
      </c>
      <c r="H172" s="4"/>
      <c r="I172" s="5">
        <v>4145</v>
      </c>
      <c r="J172" s="5">
        <f>SUMIFS('Business Licences by Community'!$D$2:$D$318,'Business Licences by Community'!$C$2:$C$318,$C172)</f>
        <v>19</v>
      </c>
      <c r="K172" s="15">
        <v>2.0459779999999999</v>
      </c>
      <c r="L172" s="5">
        <f t="shared" si="18"/>
        <v>2025.9259874739612</v>
      </c>
      <c r="M172" s="6">
        <f t="shared" si="19"/>
        <v>9.2865123671906549</v>
      </c>
      <c r="N172" s="7">
        <f t="shared" si="20"/>
        <v>0.2780487804878049</v>
      </c>
      <c r="O172" s="7">
        <f t="shared" si="21"/>
        <v>0.32962962962962961</v>
      </c>
      <c r="P172" s="7">
        <f t="shared" si="22"/>
        <v>0.32962962962962961</v>
      </c>
      <c r="Q172" s="4" t="str">
        <f t="shared" si="23"/>
        <v>Businesses</v>
      </c>
      <c r="R172" s="16">
        <f t="shared" si="24"/>
        <v>0.53074074074074074</v>
      </c>
      <c r="S172" s="14">
        <f t="shared" si="25"/>
        <v>224</v>
      </c>
      <c r="T172" s="6" t="e">
        <f t="shared" si="26"/>
        <v>#REF!</v>
      </c>
      <c r="U172" s="17"/>
      <c r="V172" s="4" t="s">
        <v>971</v>
      </c>
    </row>
    <row r="173" spans="1:22" x14ac:dyDescent="0.45">
      <c r="A173" s="14">
        <v>172</v>
      </c>
      <c r="B173" s="4" t="s">
        <v>1328</v>
      </c>
      <c r="C173" s="4" t="s">
        <v>1329</v>
      </c>
      <c r="D173" s="5" t="e">
        <f>SUMIFS(#REF!,#REF!,$C173)</f>
        <v>#REF!</v>
      </c>
      <c r="E173" s="5" t="e">
        <f>SUMIFS(#REF!,#REF!,$C173)</f>
        <v>#REF!</v>
      </c>
      <c r="F173" s="5" t="e">
        <f>SUMIFS(#REF!,#REF!,$C173)</f>
        <v>#REF!</v>
      </c>
      <c r="G173" s="5" t="e">
        <f>SUMIFS(#REF!,#REF!,$C173)</f>
        <v>#REF!</v>
      </c>
      <c r="H173" s="4" t="s">
        <v>1141</v>
      </c>
      <c r="I173" s="5"/>
      <c r="J173" s="5">
        <f>SUMIFS('Business Licences by Community'!$D$2:$D$318,'Business Licences by Community'!$C$2:$C$318,$C173)</f>
        <v>247</v>
      </c>
      <c r="K173" s="15">
        <v>3.801669</v>
      </c>
      <c r="L173" s="5" t="str">
        <f t="shared" si="18"/>
        <v/>
      </c>
      <c r="M173" s="6">
        <f t="shared" si="19"/>
        <v>64.971463849167307</v>
      </c>
      <c r="N173" s="7" t="str">
        <f t="shared" si="20"/>
        <v/>
      </c>
      <c r="O173" s="7">
        <f t="shared" si="21"/>
        <v>0.81481481481481477</v>
      </c>
      <c r="P173" s="7">
        <f t="shared" si="22"/>
        <v>0.81481481481481477</v>
      </c>
      <c r="Q173" s="4" t="str">
        <f t="shared" si="23"/>
        <v>Businesses</v>
      </c>
      <c r="R173" s="16">
        <f t="shared" si="24"/>
        <v>0.87037037037037024</v>
      </c>
      <c r="S173" s="14">
        <f t="shared" si="25"/>
        <v>78</v>
      </c>
      <c r="T173" s="6" t="str">
        <f t="shared" si="26"/>
        <v/>
      </c>
      <c r="U173" s="17"/>
      <c r="V173" s="4" t="s">
        <v>971</v>
      </c>
    </row>
    <row r="174" spans="1:22" x14ac:dyDescent="0.45">
      <c r="A174" s="14">
        <v>173</v>
      </c>
      <c r="B174" s="4" t="s">
        <v>1330</v>
      </c>
      <c r="C174" s="4" t="s">
        <v>1331</v>
      </c>
      <c r="D174" s="5" t="e">
        <f>SUMIFS(#REF!,#REF!,$C174)</f>
        <v>#REF!</v>
      </c>
      <c r="E174" s="5" t="e">
        <f>SUMIFS(#REF!,#REF!,$C174)</f>
        <v>#REF!</v>
      </c>
      <c r="F174" s="5" t="e">
        <f>SUMIFS(#REF!,#REF!,$C174)</f>
        <v>#REF!</v>
      </c>
      <c r="G174" s="5" t="e">
        <f>SUMIFS(#REF!,#REF!,$C174)</f>
        <v>#REF!</v>
      </c>
      <c r="H174" s="4" t="s">
        <v>1141</v>
      </c>
      <c r="I174" s="5"/>
      <c r="J174" s="5">
        <f>SUMIFS('Business Licences by Community'!$D$2:$D$318,'Business Licences by Community'!$C$2:$C$318,$C174)</f>
        <v>5</v>
      </c>
      <c r="K174" s="15">
        <v>1.612066</v>
      </c>
      <c r="L174" s="5" t="str">
        <f t="shared" si="18"/>
        <v/>
      </c>
      <c r="M174" s="6">
        <f t="shared" si="19"/>
        <v>3.1016099837103446</v>
      </c>
      <c r="N174" s="7" t="str">
        <f t="shared" si="20"/>
        <v/>
      </c>
      <c r="O174" s="7">
        <f t="shared" si="21"/>
        <v>0.15555555555555556</v>
      </c>
      <c r="P174" s="7">
        <f t="shared" si="22"/>
        <v>0.15555555555555556</v>
      </c>
      <c r="Q174" s="4" t="str">
        <f t="shared" si="23"/>
        <v>Businesses</v>
      </c>
      <c r="R174" s="16">
        <f t="shared" si="24"/>
        <v>0.40888888888888886</v>
      </c>
      <c r="S174" s="14">
        <f t="shared" si="25"/>
        <v>247</v>
      </c>
      <c r="T174" s="6" t="str">
        <f t="shared" si="26"/>
        <v/>
      </c>
      <c r="U174" s="17"/>
      <c r="V174" s="4" t="s">
        <v>971</v>
      </c>
    </row>
    <row r="175" spans="1:22" x14ac:dyDescent="0.45">
      <c r="A175" s="14">
        <v>174</v>
      </c>
      <c r="B175" s="4" t="s">
        <v>1332</v>
      </c>
      <c r="C175" s="4" t="s">
        <v>1333</v>
      </c>
      <c r="D175" s="5" t="e">
        <f>SUMIFS(#REF!,#REF!,$C175)</f>
        <v>#REF!</v>
      </c>
      <c r="E175" s="5" t="e">
        <f>SUMIFS(#REF!,#REF!,$C175)</f>
        <v>#REF!</v>
      </c>
      <c r="F175" s="5" t="e">
        <f>SUMIFS(#REF!,#REF!,$C175)</f>
        <v>#REF!</v>
      </c>
      <c r="G175" s="5" t="e">
        <f>SUMIFS(#REF!,#REF!,$C175)</f>
        <v>#REF!</v>
      </c>
      <c r="H175" s="4"/>
      <c r="I175" s="5">
        <v>2860</v>
      </c>
      <c r="J175" s="5">
        <f>SUMIFS('Business Licences by Community'!$D$2:$D$318,'Business Licences by Community'!$C$2:$C$318,$C175)</f>
        <v>24</v>
      </c>
      <c r="K175" s="15">
        <v>0.77729999999999999</v>
      </c>
      <c r="L175" s="5">
        <f t="shared" si="18"/>
        <v>3679.4030618808697</v>
      </c>
      <c r="M175" s="6">
        <f t="shared" si="19"/>
        <v>30.876109610189115</v>
      </c>
      <c r="N175" s="7">
        <f t="shared" si="20"/>
        <v>0.78536585365853662</v>
      </c>
      <c r="O175" s="7">
        <f t="shared" si="21"/>
        <v>0.65555555555555556</v>
      </c>
      <c r="P175" s="7">
        <f t="shared" si="22"/>
        <v>0.78536585365853662</v>
      </c>
      <c r="Q175" s="4" t="str">
        <f t="shared" si="23"/>
        <v>Residents</v>
      </c>
      <c r="R175" s="16">
        <f t="shared" si="24"/>
        <v>0.84975609756097548</v>
      </c>
      <c r="S175" s="14">
        <f t="shared" si="25"/>
        <v>90</v>
      </c>
      <c r="T175" s="6" t="e">
        <f t="shared" si="26"/>
        <v>#REF!</v>
      </c>
      <c r="U175" s="17"/>
      <c r="V175" s="4" t="s">
        <v>971</v>
      </c>
    </row>
    <row r="176" spans="1:22" x14ac:dyDescent="0.45">
      <c r="A176" s="14">
        <v>175</v>
      </c>
      <c r="B176" s="4" t="s">
        <v>1334</v>
      </c>
      <c r="C176" s="4" t="s">
        <v>1335</v>
      </c>
      <c r="D176" s="5" t="e">
        <f>SUMIFS(#REF!,#REF!,$C176)</f>
        <v>#REF!</v>
      </c>
      <c r="E176" s="5" t="e">
        <f>SUMIFS(#REF!,#REF!,$C176)</f>
        <v>#REF!</v>
      </c>
      <c r="F176" s="5" t="e">
        <f>SUMIFS(#REF!,#REF!,$C176)</f>
        <v>#REF!</v>
      </c>
      <c r="G176" s="5" t="e">
        <f>SUMIFS(#REF!,#REF!,$C176)</f>
        <v>#REF!</v>
      </c>
      <c r="H176" s="4" t="s">
        <v>1141</v>
      </c>
      <c r="I176" s="5"/>
      <c r="J176" s="5">
        <f>SUMIFS('Business Licences by Community'!$D$2:$D$318,'Business Licences by Community'!$C$2:$C$318,$C176)</f>
        <v>49</v>
      </c>
      <c r="K176" s="15">
        <v>3.6670129999999999</v>
      </c>
      <c r="L176" s="5" t="str">
        <f t="shared" si="18"/>
        <v/>
      </c>
      <c r="M176" s="6">
        <f t="shared" si="19"/>
        <v>13.362374226652593</v>
      </c>
      <c r="N176" s="7" t="str">
        <f t="shared" si="20"/>
        <v/>
      </c>
      <c r="O176" s="7">
        <f t="shared" si="21"/>
        <v>0.44074074074074077</v>
      </c>
      <c r="P176" s="7">
        <f t="shared" si="22"/>
        <v>0.44074074074074077</v>
      </c>
      <c r="Q176" s="4" t="str">
        <f t="shared" si="23"/>
        <v>Businesses</v>
      </c>
      <c r="R176" s="16">
        <f t="shared" si="24"/>
        <v>0.60851851851851846</v>
      </c>
      <c r="S176" s="14">
        <f t="shared" si="25"/>
        <v>199</v>
      </c>
      <c r="T176" s="6" t="str">
        <f t="shared" si="26"/>
        <v/>
      </c>
      <c r="U176" s="17"/>
      <c r="V176" s="4" t="s">
        <v>971</v>
      </c>
    </row>
    <row r="177" spans="1:22" x14ac:dyDescent="0.45">
      <c r="A177" s="14">
        <v>176</v>
      </c>
      <c r="B177" s="4" t="s">
        <v>1336</v>
      </c>
      <c r="C177" s="4" t="s">
        <v>1337</v>
      </c>
      <c r="D177" s="5" t="e">
        <f>SUMIFS(#REF!,#REF!,$C177)</f>
        <v>#REF!</v>
      </c>
      <c r="E177" s="5" t="e">
        <f>SUMIFS(#REF!,#REF!,$C177)</f>
        <v>#REF!</v>
      </c>
      <c r="F177" s="5" t="e">
        <f>SUMIFS(#REF!,#REF!,$C177)</f>
        <v>#REF!</v>
      </c>
      <c r="G177" s="5" t="e">
        <f>SUMIFS(#REF!,#REF!,$C177)</f>
        <v>#REF!</v>
      </c>
      <c r="H177" s="4" t="s">
        <v>1141</v>
      </c>
      <c r="I177" s="5"/>
      <c r="J177" s="5">
        <f>SUMIFS('Business Licences by Community'!$D$2:$D$318,'Business Licences by Community'!$C$2:$C$318,$C177)</f>
        <v>403</v>
      </c>
      <c r="K177" s="15">
        <v>2.1395789999999999</v>
      </c>
      <c r="L177" s="5" t="str">
        <f t="shared" si="18"/>
        <v/>
      </c>
      <c r="M177" s="6">
        <f t="shared" si="19"/>
        <v>188.35481185784681</v>
      </c>
      <c r="N177" s="7" t="str">
        <f t="shared" si="20"/>
        <v/>
      </c>
      <c r="O177" s="7">
        <f t="shared" si="21"/>
        <v>0.94074074074074077</v>
      </c>
      <c r="P177" s="7">
        <f t="shared" si="22"/>
        <v>0.94074074074074077</v>
      </c>
      <c r="Q177" s="4" t="str">
        <f t="shared" si="23"/>
        <v>Businesses</v>
      </c>
      <c r="R177" s="16">
        <f t="shared" si="24"/>
        <v>0.95851851851851855</v>
      </c>
      <c r="S177" s="14">
        <f t="shared" si="25"/>
        <v>24</v>
      </c>
      <c r="T177" s="6" t="str">
        <f t="shared" si="26"/>
        <v/>
      </c>
      <c r="U177" s="17"/>
      <c r="V177" s="4" t="s">
        <v>971</v>
      </c>
    </row>
    <row r="178" spans="1:22" x14ac:dyDescent="0.45">
      <c r="A178" s="14">
        <v>177</v>
      </c>
      <c r="B178" s="4" t="s">
        <v>1338</v>
      </c>
      <c r="C178" s="4" t="s">
        <v>1339</v>
      </c>
      <c r="D178" s="5" t="e">
        <f>SUMIFS(#REF!,#REF!,$C178)</f>
        <v>#REF!</v>
      </c>
      <c r="E178" s="5" t="e">
        <f>SUMIFS(#REF!,#REF!,$C178)</f>
        <v>#REF!</v>
      </c>
      <c r="F178" s="5" t="e">
        <f>SUMIFS(#REF!,#REF!,$C178)</f>
        <v>#REF!</v>
      </c>
      <c r="G178" s="5" t="e">
        <f>SUMIFS(#REF!,#REF!,$C178)</f>
        <v>#REF!</v>
      </c>
      <c r="H178" s="4"/>
      <c r="I178" s="5">
        <v>1345</v>
      </c>
      <c r="J178" s="5">
        <f>SUMIFS('Business Licences by Community'!$D$2:$D$318,'Business Licences by Community'!$C$2:$C$318,$C178)</f>
        <v>12</v>
      </c>
      <c r="K178" s="15">
        <v>1.160099</v>
      </c>
      <c r="L178" s="5">
        <f t="shared" si="18"/>
        <v>1159.3838112092158</v>
      </c>
      <c r="M178" s="6">
        <f t="shared" si="19"/>
        <v>10.343944784022742</v>
      </c>
      <c r="N178" s="7">
        <f t="shared" si="20"/>
        <v>9.7560975609756101E-2</v>
      </c>
      <c r="O178" s="7">
        <f t="shared" si="21"/>
        <v>0.35925925925925928</v>
      </c>
      <c r="P178" s="7">
        <f t="shared" si="22"/>
        <v>0.35925925925925928</v>
      </c>
      <c r="Q178" s="4" t="str">
        <f t="shared" si="23"/>
        <v>Businesses</v>
      </c>
      <c r="R178" s="16">
        <f t="shared" si="24"/>
        <v>0.55148148148148146</v>
      </c>
      <c r="S178" s="14">
        <f t="shared" si="25"/>
        <v>217</v>
      </c>
      <c r="T178" s="6" t="e">
        <f t="shared" si="26"/>
        <v>#REF!</v>
      </c>
      <c r="U178" s="17"/>
      <c r="V178" s="4" t="s">
        <v>971</v>
      </c>
    </row>
    <row r="179" spans="1:22" x14ac:dyDescent="0.45">
      <c r="A179" s="14">
        <v>178</v>
      </c>
      <c r="B179" s="4" t="s">
        <v>1340</v>
      </c>
      <c r="C179" s="4" t="s">
        <v>1341</v>
      </c>
      <c r="D179" s="5" t="e">
        <f>SUMIFS(#REF!,#REF!,$C179)</f>
        <v>#REF!</v>
      </c>
      <c r="E179" s="5" t="e">
        <f>SUMIFS(#REF!,#REF!,$C179)</f>
        <v>#REF!</v>
      </c>
      <c r="F179" s="5" t="e">
        <f>SUMIFS(#REF!,#REF!,$C179)</f>
        <v>#REF!</v>
      </c>
      <c r="G179" s="5" t="e">
        <f>SUMIFS(#REF!,#REF!,$C179)</f>
        <v>#REF!</v>
      </c>
      <c r="H179" s="4"/>
      <c r="I179" s="5">
        <v>2205</v>
      </c>
      <c r="J179" s="5">
        <f>SUMIFS('Business Licences by Community'!$D$2:$D$318,'Business Licences by Community'!$C$2:$C$318,$C179)</f>
        <v>24</v>
      </c>
      <c r="K179" s="15">
        <v>0.94990799999999997</v>
      </c>
      <c r="L179" s="5">
        <f t="shared" si="18"/>
        <v>2321.2774289720687</v>
      </c>
      <c r="M179" s="6">
        <f t="shared" si="19"/>
        <v>25.265604669083743</v>
      </c>
      <c r="N179" s="7">
        <f t="shared" si="20"/>
        <v>0.37560975609756098</v>
      </c>
      <c r="O179" s="7">
        <f t="shared" si="21"/>
        <v>0.6074074074074074</v>
      </c>
      <c r="P179" s="7">
        <f t="shared" si="22"/>
        <v>0.6074074074074074</v>
      </c>
      <c r="Q179" s="4" t="str">
        <f t="shared" si="23"/>
        <v>Businesses</v>
      </c>
      <c r="R179" s="16">
        <f t="shared" si="24"/>
        <v>0.72518518518518515</v>
      </c>
      <c r="S179" s="14">
        <f t="shared" si="25"/>
        <v>157</v>
      </c>
      <c r="T179" s="6" t="e">
        <f t="shared" si="26"/>
        <v>#REF!</v>
      </c>
      <c r="U179" s="17"/>
      <c r="V179" s="4" t="s">
        <v>971</v>
      </c>
    </row>
    <row r="180" spans="1:22" x14ac:dyDescent="0.45">
      <c r="A180" s="14">
        <v>179</v>
      </c>
      <c r="B180" s="4" t="s">
        <v>1342</v>
      </c>
      <c r="C180" s="4" t="s">
        <v>1343</v>
      </c>
      <c r="D180" s="5" t="e">
        <f>SUMIFS(#REF!,#REF!,$C180)</f>
        <v>#REF!</v>
      </c>
      <c r="E180" s="5" t="e">
        <f>SUMIFS(#REF!,#REF!,$C180)</f>
        <v>#REF!</v>
      </c>
      <c r="F180" s="5" t="e">
        <f>SUMIFS(#REF!,#REF!,$C180)</f>
        <v>#REF!</v>
      </c>
      <c r="G180" s="5" t="e">
        <f>SUMIFS(#REF!,#REF!,$C180)</f>
        <v>#REF!</v>
      </c>
      <c r="H180" s="4"/>
      <c r="I180" s="5">
        <v>2020</v>
      </c>
      <c r="J180" s="5">
        <f>SUMIFS('Business Licences by Community'!$D$2:$D$318,'Business Licences by Community'!$C$2:$C$318,$C180)</f>
        <v>22</v>
      </c>
      <c r="K180" s="15">
        <v>1.2503010000000001</v>
      </c>
      <c r="L180" s="5">
        <f t="shared" si="18"/>
        <v>1615.6109608806198</v>
      </c>
      <c r="M180" s="6">
        <f t="shared" si="19"/>
        <v>17.595762940283979</v>
      </c>
      <c r="N180" s="7">
        <f t="shared" si="20"/>
        <v>0.1951219512195122</v>
      </c>
      <c r="O180" s="7">
        <f t="shared" si="21"/>
        <v>0.52222222222222225</v>
      </c>
      <c r="P180" s="7">
        <f t="shared" si="22"/>
        <v>0.52222222222222225</v>
      </c>
      <c r="Q180" s="4" t="str">
        <f t="shared" si="23"/>
        <v>Businesses</v>
      </c>
      <c r="R180" s="16">
        <f t="shared" si="24"/>
        <v>0.66555555555555557</v>
      </c>
      <c r="S180" s="14">
        <f t="shared" si="25"/>
        <v>179</v>
      </c>
      <c r="T180" s="6" t="e">
        <f t="shared" si="26"/>
        <v>#REF!</v>
      </c>
      <c r="U180" s="17"/>
      <c r="V180" s="4" t="s">
        <v>971</v>
      </c>
    </row>
    <row r="181" spans="1:22" x14ac:dyDescent="0.45">
      <c r="A181" s="14">
        <v>180</v>
      </c>
      <c r="B181" s="4" t="s">
        <v>1344</v>
      </c>
      <c r="C181" s="4" t="s">
        <v>1345</v>
      </c>
      <c r="D181" s="5" t="e">
        <f>SUMIFS(#REF!,#REF!,$C181)</f>
        <v>#REF!</v>
      </c>
      <c r="E181" s="5" t="e">
        <f>SUMIFS(#REF!,#REF!,$C181)</f>
        <v>#REF!</v>
      </c>
      <c r="F181" s="5" t="e">
        <f>SUMIFS(#REF!,#REF!,$C181)</f>
        <v>#REF!</v>
      </c>
      <c r="G181" s="5" t="e">
        <f>SUMIFS(#REF!,#REF!,$C181)</f>
        <v>#REF!</v>
      </c>
      <c r="H181" s="4"/>
      <c r="I181" s="5">
        <v>1835</v>
      </c>
      <c r="J181" s="5">
        <f>SUMIFS('Business Licences by Community'!$D$2:$D$318,'Business Licences by Community'!$C$2:$C$318,$C181)</f>
        <v>18</v>
      </c>
      <c r="K181" s="15">
        <v>0.72183299999999995</v>
      </c>
      <c r="L181" s="5">
        <f t="shared" si="18"/>
        <v>2542.1392482748784</v>
      </c>
      <c r="M181" s="6">
        <f t="shared" si="19"/>
        <v>24.936515786892539</v>
      </c>
      <c r="N181" s="7">
        <f t="shared" si="20"/>
        <v>0.46341463414634149</v>
      </c>
      <c r="O181" s="7">
        <f t="shared" si="21"/>
        <v>0.6</v>
      </c>
      <c r="P181" s="7">
        <f t="shared" si="22"/>
        <v>0.6</v>
      </c>
      <c r="Q181" s="4" t="str">
        <f t="shared" si="23"/>
        <v>Businesses</v>
      </c>
      <c r="R181" s="16">
        <f t="shared" si="24"/>
        <v>0.72</v>
      </c>
      <c r="S181" s="14">
        <f t="shared" si="25"/>
        <v>160</v>
      </c>
      <c r="T181" s="6" t="e">
        <f t="shared" si="26"/>
        <v>#REF!</v>
      </c>
      <c r="U181" s="17"/>
      <c r="V181" s="4" t="s">
        <v>971</v>
      </c>
    </row>
    <row r="182" spans="1:22" x14ac:dyDescent="0.45">
      <c r="A182" s="14">
        <v>181</v>
      </c>
      <c r="B182" s="4" t="s">
        <v>1346</v>
      </c>
      <c r="C182" s="4" t="s">
        <v>1347</v>
      </c>
      <c r="D182" s="5" t="e">
        <f>SUMIFS(#REF!,#REF!,$C182)</f>
        <v>#REF!</v>
      </c>
      <c r="E182" s="5" t="e">
        <f>SUMIFS(#REF!,#REF!,$C182)</f>
        <v>#REF!</v>
      </c>
      <c r="F182" s="5" t="e">
        <f>SUMIFS(#REF!,#REF!,$C182)</f>
        <v>#REF!</v>
      </c>
      <c r="G182" s="5" t="e">
        <f>SUMIFS(#REF!,#REF!,$C182)</f>
        <v>#REF!</v>
      </c>
      <c r="H182" s="4"/>
      <c r="I182" s="5">
        <v>6830</v>
      </c>
      <c r="J182" s="5">
        <f>SUMIFS('Business Licences by Community'!$D$2:$D$318,'Business Licences by Community'!$C$2:$C$318,$C182)</f>
        <v>7</v>
      </c>
      <c r="K182" s="15">
        <v>1.55369</v>
      </c>
      <c r="L182" s="5">
        <f t="shared" si="18"/>
        <v>4395.9863293192338</v>
      </c>
      <c r="M182" s="6">
        <f t="shared" si="19"/>
        <v>4.5054032657737384</v>
      </c>
      <c r="N182" s="7">
        <f t="shared" si="20"/>
        <v>0.90731707317073174</v>
      </c>
      <c r="O182" s="7">
        <f t="shared" si="21"/>
        <v>0.21111111111111111</v>
      </c>
      <c r="P182" s="7">
        <f t="shared" si="22"/>
        <v>0.90731707317073174</v>
      </c>
      <c r="Q182" s="4" t="str">
        <f t="shared" si="23"/>
        <v>Residents</v>
      </c>
      <c r="R182" s="16">
        <f t="shared" si="24"/>
        <v>0.93512195121951214</v>
      </c>
      <c r="S182" s="14">
        <f t="shared" si="25"/>
        <v>37</v>
      </c>
      <c r="T182" s="6" t="e">
        <f t="shared" si="26"/>
        <v>#REF!</v>
      </c>
      <c r="U182" s="17"/>
      <c r="V182" s="4" t="s">
        <v>971</v>
      </c>
    </row>
    <row r="183" spans="1:22" x14ac:dyDescent="0.45">
      <c r="A183" s="14">
        <v>182</v>
      </c>
      <c r="B183" s="4" t="s">
        <v>1348</v>
      </c>
      <c r="C183" s="4" t="s">
        <v>1349</v>
      </c>
      <c r="D183" s="5" t="e">
        <f>SUMIFS(#REF!,#REF!,$C183)</f>
        <v>#REF!</v>
      </c>
      <c r="E183" s="5" t="e">
        <f>SUMIFS(#REF!,#REF!,$C183)</f>
        <v>#REF!</v>
      </c>
      <c r="F183" s="5" t="e">
        <f>SUMIFS(#REF!,#REF!,$C183)</f>
        <v>#REF!</v>
      </c>
      <c r="G183" s="5" t="e">
        <f>SUMIFS(#REF!,#REF!,$C183)</f>
        <v>#REF!</v>
      </c>
      <c r="H183" s="4"/>
      <c r="I183" s="5">
        <v>3660</v>
      </c>
      <c r="J183" s="5">
        <f>SUMIFS('Business Licences by Community'!$D$2:$D$318,'Business Licences by Community'!$C$2:$C$318,$C183)</f>
        <v>56</v>
      </c>
      <c r="K183" s="15">
        <v>1.8887799999999999</v>
      </c>
      <c r="L183" s="5">
        <f t="shared" si="18"/>
        <v>1937.7587649170364</v>
      </c>
      <c r="M183" s="6">
        <f t="shared" si="19"/>
        <v>29.648767987801651</v>
      </c>
      <c r="N183" s="7">
        <f t="shared" si="20"/>
        <v>0.24390243902439024</v>
      </c>
      <c r="O183" s="7">
        <f t="shared" si="21"/>
        <v>0.64814814814814814</v>
      </c>
      <c r="P183" s="7">
        <f t="shared" si="22"/>
        <v>0.64814814814814814</v>
      </c>
      <c r="Q183" s="4" t="str">
        <f t="shared" si="23"/>
        <v>Businesses</v>
      </c>
      <c r="R183" s="16">
        <f t="shared" si="24"/>
        <v>0.75370370370370365</v>
      </c>
      <c r="S183" s="14">
        <f t="shared" si="25"/>
        <v>143</v>
      </c>
      <c r="T183" s="6" t="e">
        <f t="shared" si="26"/>
        <v>#REF!</v>
      </c>
      <c r="U183" s="17"/>
      <c r="V183" s="4" t="s">
        <v>971</v>
      </c>
    </row>
    <row r="184" spans="1:22" x14ac:dyDescent="0.45">
      <c r="A184" s="14">
        <v>183</v>
      </c>
      <c r="B184" s="4" t="s">
        <v>1350</v>
      </c>
      <c r="C184" s="4" t="s">
        <v>1351</v>
      </c>
      <c r="D184" s="5" t="e">
        <f>SUMIFS(#REF!,#REF!,$C184)</f>
        <v>#REF!</v>
      </c>
      <c r="E184" s="5" t="e">
        <f>SUMIFS(#REF!,#REF!,$C184)</f>
        <v>#REF!</v>
      </c>
      <c r="F184" s="5" t="e">
        <f>SUMIFS(#REF!,#REF!,$C184)</f>
        <v>#REF!</v>
      </c>
      <c r="G184" s="5" t="e">
        <f>SUMIFS(#REF!,#REF!,$C184)</f>
        <v>#REF!</v>
      </c>
      <c r="H184" s="4"/>
      <c r="I184" s="5">
        <v>1010</v>
      </c>
      <c r="J184" s="5">
        <f>SUMIFS('Business Licences by Community'!$D$2:$D$318,'Business Licences by Community'!$C$2:$C$318,$C184)</f>
        <v>0</v>
      </c>
      <c r="K184" s="15">
        <v>0.45595000000000002</v>
      </c>
      <c r="L184" s="5">
        <f t="shared" si="18"/>
        <v>2215.1551705230836</v>
      </c>
      <c r="M184" s="6" t="str">
        <f t="shared" si="19"/>
        <v/>
      </c>
      <c r="N184" s="7">
        <f t="shared" si="20"/>
        <v>0.33658536585365856</v>
      </c>
      <c r="O184" s="7" t="str">
        <f t="shared" si="21"/>
        <v/>
      </c>
      <c r="P184" s="7">
        <f t="shared" si="22"/>
        <v>0.33658536585365856</v>
      </c>
      <c r="Q184" s="4" t="str">
        <f t="shared" si="23"/>
        <v>Residents</v>
      </c>
      <c r="R184" s="16">
        <f t="shared" si="24"/>
        <v>0.53560975609756101</v>
      </c>
      <c r="S184" s="14">
        <f t="shared" si="25"/>
        <v>222</v>
      </c>
      <c r="T184" s="6" t="e">
        <f t="shared" si="26"/>
        <v>#REF!</v>
      </c>
      <c r="U184" s="17"/>
      <c r="V184" s="4" t="s">
        <v>971</v>
      </c>
    </row>
    <row r="185" spans="1:22" x14ac:dyDescent="0.45">
      <c r="A185" s="14">
        <v>184</v>
      </c>
      <c r="B185" s="4" t="s">
        <v>1352</v>
      </c>
      <c r="C185" s="4" t="s">
        <v>1353</v>
      </c>
      <c r="D185" s="5" t="e">
        <f>SUMIFS(#REF!,#REF!,$C185)</f>
        <v>#REF!</v>
      </c>
      <c r="E185" s="5" t="e">
        <f>SUMIFS(#REF!,#REF!,$C185)</f>
        <v>#REF!</v>
      </c>
      <c r="F185" s="5" t="e">
        <f>SUMIFS(#REF!,#REF!,$C185)</f>
        <v>#REF!</v>
      </c>
      <c r="G185" s="5" t="e">
        <f>SUMIFS(#REF!,#REF!,$C185)</f>
        <v>#REF!</v>
      </c>
      <c r="H185" s="4"/>
      <c r="I185" s="5">
        <v>1535</v>
      </c>
      <c r="J185" s="5">
        <f>SUMIFS('Business Licences by Community'!$D$2:$D$318,'Business Licences by Community'!$C$2:$C$318,$C185)</f>
        <v>4</v>
      </c>
      <c r="K185" s="15">
        <v>0.58192299999999997</v>
      </c>
      <c r="L185" s="5">
        <f t="shared" si="18"/>
        <v>2637.8060327569115</v>
      </c>
      <c r="M185" s="6">
        <f t="shared" si="19"/>
        <v>6.8737616488779443</v>
      </c>
      <c r="N185" s="7">
        <f t="shared" si="20"/>
        <v>0.51219512195121952</v>
      </c>
      <c r="O185" s="7">
        <f t="shared" si="21"/>
        <v>0.27407407407407408</v>
      </c>
      <c r="P185" s="7">
        <f t="shared" si="22"/>
        <v>0.51219512195121952</v>
      </c>
      <c r="Q185" s="4" t="str">
        <f t="shared" si="23"/>
        <v>Residents</v>
      </c>
      <c r="R185" s="16">
        <f t="shared" si="24"/>
        <v>0.65853658536585358</v>
      </c>
      <c r="S185" s="14">
        <f t="shared" si="25"/>
        <v>182</v>
      </c>
      <c r="T185" s="6" t="e">
        <f t="shared" si="26"/>
        <v>#REF!</v>
      </c>
      <c r="U185" s="17"/>
      <c r="V185" s="4" t="s">
        <v>971</v>
      </c>
    </row>
    <row r="186" spans="1:22" x14ac:dyDescent="0.45">
      <c r="A186" s="14">
        <v>185</v>
      </c>
      <c r="B186" s="4" t="s">
        <v>1354</v>
      </c>
      <c r="C186" s="4" t="s">
        <v>1355</v>
      </c>
      <c r="D186" s="5" t="e">
        <f>SUMIFS(#REF!,#REF!,$C186)</f>
        <v>#REF!</v>
      </c>
      <c r="E186" s="5" t="e">
        <f>SUMIFS(#REF!,#REF!,$C186)</f>
        <v>#REF!</v>
      </c>
      <c r="F186" s="5" t="e">
        <f>SUMIFS(#REF!,#REF!,$C186)</f>
        <v>#REF!</v>
      </c>
      <c r="G186" s="5" t="e">
        <f>SUMIFS(#REF!,#REF!,$C186)</f>
        <v>#REF!</v>
      </c>
      <c r="H186" s="4"/>
      <c r="I186" s="5">
        <v>2140</v>
      </c>
      <c r="J186" s="5">
        <f>SUMIFS('Business Licences by Community'!$D$2:$D$318,'Business Licences by Community'!$C$2:$C$318,$C186)</f>
        <v>24</v>
      </c>
      <c r="K186" s="15">
        <v>0.68128</v>
      </c>
      <c r="L186" s="5">
        <f t="shared" si="18"/>
        <v>3141.1460779708782</v>
      </c>
      <c r="M186" s="6">
        <f t="shared" si="19"/>
        <v>35.227806481916396</v>
      </c>
      <c r="N186" s="7">
        <f t="shared" si="20"/>
        <v>0.66829268292682931</v>
      </c>
      <c r="O186" s="7">
        <f t="shared" si="21"/>
        <v>0.69259259259259254</v>
      </c>
      <c r="P186" s="7">
        <f t="shared" si="22"/>
        <v>0.69259259259259254</v>
      </c>
      <c r="Q186" s="4" t="str">
        <f t="shared" si="23"/>
        <v>Businesses</v>
      </c>
      <c r="R186" s="16">
        <f t="shared" si="24"/>
        <v>0.78481481481481474</v>
      </c>
      <c r="S186" s="14">
        <f t="shared" si="25"/>
        <v>126</v>
      </c>
      <c r="T186" s="6" t="e">
        <f t="shared" si="26"/>
        <v>#REF!</v>
      </c>
      <c r="U186" s="17"/>
      <c r="V186" s="4" t="s">
        <v>971</v>
      </c>
    </row>
    <row r="187" spans="1:22" x14ac:dyDescent="0.45">
      <c r="A187" s="14">
        <v>186</v>
      </c>
      <c r="B187" s="4" t="s">
        <v>1356</v>
      </c>
      <c r="C187" s="4" t="s">
        <v>1357</v>
      </c>
      <c r="D187" s="5" t="e">
        <f>SUMIFS(#REF!,#REF!,$C187)</f>
        <v>#REF!</v>
      </c>
      <c r="E187" s="5" t="e">
        <f>SUMIFS(#REF!,#REF!,$C187)</f>
        <v>#REF!</v>
      </c>
      <c r="F187" s="5" t="e">
        <f>SUMIFS(#REF!,#REF!,$C187)</f>
        <v>#REF!</v>
      </c>
      <c r="G187" s="5" t="e">
        <f>SUMIFS(#REF!,#REF!,$C187)</f>
        <v>#REF!</v>
      </c>
      <c r="H187" s="4"/>
      <c r="I187" s="5">
        <v>2250</v>
      </c>
      <c r="J187" s="5">
        <f>SUMIFS('Business Licences by Community'!$D$2:$D$318,'Business Licences by Community'!$C$2:$C$318,$C187)</f>
        <v>156</v>
      </c>
      <c r="K187" s="15">
        <v>0.24671899999999999</v>
      </c>
      <c r="L187" s="5">
        <f t="shared" si="18"/>
        <v>9119.6867691584357</v>
      </c>
      <c r="M187" s="6">
        <f t="shared" si="19"/>
        <v>632.29828266165157</v>
      </c>
      <c r="N187" s="7">
        <f t="shared" si="20"/>
        <v>0.99512195121951219</v>
      </c>
      <c r="O187" s="7">
        <f t="shared" si="21"/>
        <v>0.99629629629629635</v>
      </c>
      <c r="P187" s="7">
        <f t="shared" si="22"/>
        <v>0.99629629629629635</v>
      </c>
      <c r="Q187" s="4" t="str">
        <f t="shared" si="23"/>
        <v>Businesses</v>
      </c>
      <c r="R187" s="16">
        <f t="shared" si="24"/>
        <v>0.9974074074074073</v>
      </c>
      <c r="S187" s="14">
        <f t="shared" si="25"/>
        <v>3</v>
      </c>
      <c r="T187" s="6" t="e">
        <f t="shared" si="26"/>
        <v>#REF!</v>
      </c>
      <c r="U187" s="17"/>
      <c r="V187" s="4" t="s">
        <v>971</v>
      </c>
    </row>
    <row r="188" spans="1:22" x14ac:dyDescent="0.45">
      <c r="A188" s="14">
        <v>187</v>
      </c>
      <c r="B188" s="4" t="s">
        <v>1358</v>
      </c>
      <c r="C188" s="4" t="s">
        <v>1359</v>
      </c>
      <c r="D188" s="5" t="e">
        <f>SUMIFS(#REF!,#REF!,$C188)</f>
        <v>#REF!</v>
      </c>
      <c r="E188" s="5" t="e">
        <f>SUMIFS(#REF!,#REF!,$C188)</f>
        <v>#REF!</v>
      </c>
      <c r="F188" s="5" t="e">
        <f>SUMIFS(#REF!,#REF!,$C188)</f>
        <v>#REF!</v>
      </c>
      <c r="G188" s="5" t="e">
        <f>SUMIFS(#REF!,#REF!,$C188)</f>
        <v>#REF!</v>
      </c>
      <c r="H188" s="4"/>
      <c r="I188" s="5">
        <v>2965</v>
      </c>
      <c r="J188" s="5">
        <f>SUMIFS('Business Licences by Community'!$D$2:$D$318,'Business Licences by Community'!$C$2:$C$318,$C188)</f>
        <v>11</v>
      </c>
      <c r="K188" s="15">
        <v>0.81727099999999997</v>
      </c>
      <c r="L188" s="5">
        <f t="shared" si="18"/>
        <v>3627.9275784898769</v>
      </c>
      <c r="M188" s="6">
        <f t="shared" si="19"/>
        <v>13.459427778545917</v>
      </c>
      <c r="N188" s="7">
        <f t="shared" si="20"/>
        <v>0.76585365853658538</v>
      </c>
      <c r="O188" s="7">
        <f t="shared" si="21"/>
        <v>0.44814814814814813</v>
      </c>
      <c r="P188" s="7">
        <f t="shared" si="22"/>
        <v>0.76585365853658538</v>
      </c>
      <c r="Q188" s="4" t="str">
        <f t="shared" si="23"/>
        <v>Residents</v>
      </c>
      <c r="R188" s="16">
        <f t="shared" si="24"/>
        <v>0.83609756097560961</v>
      </c>
      <c r="S188" s="14">
        <f t="shared" si="25"/>
        <v>98</v>
      </c>
      <c r="T188" s="6" t="e">
        <f t="shared" si="26"/>
        <v>#REF!</v>
      </c>
      <c r="U188" s="17"/>
      <c r="V188" s="4" t="s">
        <v>971</v>
      </c>
    </row>
    <row r="189" spans="1:22" x14ac:dyDescent="0.45">
      <c r="A189" s="14">
        <v>188</v>
      </c>
      <c r="B189" s="4" t="s">
        <v>1360</v>
      </c>
      <c r="C189" s="4" t="s">
        <v>1361</v>
      </c>
      <c r="D189" s="5" t="e">
        <f>SUMIFS(#REF!,#REF!,$C189)</f>
        <v>#REF!</v>
      </c>
      <c r="E189" s="5" t="e">
        <f>SUMIFS(#REF!,#REF!,$C189)</f>
        <v>#REF!</v>
      </c>
      <c r="F189" s="5" t="e">
        <f>SUMIFS(#REF!,#REF!,$C189)</f>
        <v>#REF!</v>
      </c>
      <c r="G189" s="5" t="e">
        <f>SUMIFS(#REF!,#REF!,$C189)</f>
        <v>#REF!</v>
      </c>
      <c r="H189" s="4"/>
      <c r="I189" s="5">
        <v>3285</v>
      </c>
      <c r="J189" s="5">
        <f>SUMIFS('Business Licences by Community'!$D$2:$D$318,'Business Licences by Community'!$C$2:$C$318,$C189)</f>
        <v>3</v>
      </c>
      <c r="K189" s="15">
        <v>0.987738</v>
      </c>
      <c r="L189" s="5">
        <f t="shared" si="18"/>
        <v>3325.7807232282244</v>
      </c>
      <c r="M189" s="6">
        <f t="shared" si="19"/>
        <v>3.0372426696148169</v>
      </c>
      <c r="N189" s="7">
        <f t="shared" si="20"/>
        <v>0.71219512195121948</v>
      </c>
      <c r="O189" s="7">
        <f t="shared" si="21"/>
        <v>0.15185185185185185</v>
      </c>
      <c r="P189" s="7">
        <f t="shared" si="22"/>
        <v>0.71219512195121948</v>
      </c>
      <c r="Q189" s="4" t="str">
        <f t="shared" si="23"/>
        <v>Residents</v>
      </c>
      <c r="R189" s="16">
        <f t="shared" si="24"/>
        <v>0.79853658536585359</v>
      </c>
      <c r="S189" s="14">
        <f t="shared" si="25"/>
        <v>120</v>
      </c>
      <c r="T189" s="6" t="e">
        <f t="shared" si="26"/>
        <v>#REF!</v>
      </c>
      <c r="U189" s="17"/>
      <c r="V189" s="4" t="s">
        <v>971</v>
      </c>
    </row>
    <row r="190" spans="1:22" x14ac:dyDescent="0.45">
      <c r="A190" s="14">
        <v>189</v>
      </c>
      <c r="B190" s="4" t="s">
        <v>1362</v>
      </c>
      <c r="C190" s="4" t="s">
        <v>1363</v>
      </c>
      <c r="D190" s="5" t="e">
        <f>SUMIFS(#REF!,#REF!,$C190)</f>
        <v>#REF!</v>
      </c>
      <c r="E190" s="5" t="e">
        <f>SUMIFS(#REF!,#REF!,$C190)</f>
        <v>#REF!</v>
      </c>
      <c r="F190" s="5" t="e">
        <f>SUMIFS(#REF!,#REF!,$C190)</f>
        <v>#REF!</v>
      </c>
      <c r="G190" s="5" t="e">
        <f>SUMIFS(#REF!,#REF!,$C190)</f>
        <v>#REF!</v>
      </c>
      <c r="H190" s="4"/>
      <c r="I190" s="5">
        <v>1275</v>
      </c>
      <c r="J190" s="5">
        <f>SUMIFS('Business Licences by Community'!$D$2:$D$318,'Business Licences by Community'!$C$2:$C$318,$C190)</f>
        <v>18</v>
      </c>
      <c r="K190" s="15">
        <v>0.98518700000000003</v>
      </c>
      <c r="L190" s="5">
        <f t="shared" si="18"/>
        <v>1294.1705483324486</v>
      </c>
      <c r="M190" s="6">
        <f t="shared" si="19"/>
        <v>18.270643035281626</v>
      </c>
      <c r="N190" s="7">
        <f t="shared" si="20"/>
        <v>0.12682926829268293</v>
      </c>
      <c r="O190" s="7">
        <f t="shared" si="21"/>
        <v>0.54074074074074074</v>
      </c>
      <c r="P190" s="7">
        <f t="shared" si="22"/>
        <v>0.54074074074074074</v>
      </c>
      <c r="Q190" s="4" t="str">
        <f t="shared" si="23"/>
        <v>Businesses</v>
      </c>
      <c r="R190" s="16">
        <f t="shared" si="24"/>
        <v>0.67851851851851852</v>
      </c>
      <c r="S190" s="14">
        <f t="shared" si="25"/>
        <v>174</v>
      </c>
      <c r="T190" s="6" t="e">
        <f t="shared" si="26"/>
        <v>#REF!</v>
      </c>
      <c r="U190" s="17"/>
      <c r="V190" s="4" t="s">
        <v>971</v>
      </c>
    </row>
    <row r="191" spans="1:22" x14ac:dyDescent="0.45">
      <c r="A191" s="14">
        <v>190</v>
      </c>
      <c r="B191" s="4" t="s">
        <v>1364</v>
      </c>
      <c r="C191" s="4" t="s">
        <v>1365</v>
      </c>
      <c r="D191" s="5" t="e">
        <f>SUMIFS(#REF!,#REF!,$C191)</f>
        <v>#REF!</v>
      </c>
      <c r="E191" s="5" t="e">
        <f>SUMIFS(#REF!,#REF!,$C191)</f>
        <v>#REF!</v>
      </c>
      <c r="F191" s="5" t="e">
        <f>SUMIFS(#REF!,#REF!,$C191)</f>
        <v>#REF!</v>
      </c>
      <c r="G191" s="5" t="e">
        <f>SUMIFS(#REF!,#REF!,$C191)</f>
        <v>#REF!</v>
      </c>
      <c r="H191" s="4" t="s">
        <v>1141</v>
      </c>
      <c r="I191" s="5"/>
      <c r="J191" s="5">
        <f>SUMIFS('Business Licences by Community'!$D$2:$D$318,'Business Licences by Community'!$C$2:$C$318,$C191)</f>
        <v>0</v>
      </c>
      <c r="K191" s="15">
        <v>6.0086250000000003</v>
      </c>
      <c r="L191" s="5" t="str">
        <f t="shared" si="18"/>
        <v/>
      </c>
      <c r="M191" s="6" t="str">
        <f t="shared" si="19"/>
        <v/>
      </c>
      <c r="N191" s="7" t="str">
        <f t="shared" si="20"/>
        <v/>
      </c>
      <c r="O191" s="7" t="str">
        <f t="shared" si="21"/>
        <v/>
      </c>
      <c r="P191" s="7" t="str">
        <f t="shared" si="22"/>
        <v/>
      </c>
      <c r="Q191" s="4" t="str">
        <f t="shared" si="23"/>
        <v>No data</v>
      </c>
      <c r="R191" s="16">
        <f t="shared" si="24"/>
        <v>0.3</v>
      </c>
      <c r="S191" s="14">
        <f t="shared" si="25"/>
        <v>281</v>
      </c>
      <c r="T191" s="6" t="str">
        <f t="shared" si="26"/>
        <v/>
      </c>
      <c r="U191" s="17"/>
      <c r="V191" s="4" t="s">
        <v>971</v>
      </c>
    </row>
    <row r="192" spans="1:22" x14ac:dyDescent="0.45">
      <c r="A192" s="14">
        <v>191</v>
      </c>
      <c r="B192" s="4" t="s">
        <v>1366</v>
      </c>
      <c r="C192" s="4" t="s">
        <v>1367</v>
      </c>
      <c r="D192" s="5" t="e">
        <f>SUMIFS(#REF!,#REF!,$C192)</f>
        <v>#REF!</v>
      </c>
      <c r="E192" s="5" t="e">
        <f>SUMIFS(#REF!,#REF!,$C192)</f>
        <v>#REF!</v>
      </c>
      <c r="F192" s="5" t="e">
        <f>SUMIFS(#REF!,#REF!,$C192)</f>
        <v>#REF!</v>
      </c>
      <c r="G192" s="5" t="e">
        <f>SUMIFS(#REF!,#REF!,$C192)</f>
        <v>#REF!</v>
      </c>
      <c r="H192" s="4"/>
      <c r="I192" s="5">
        <v>610</v>
      </c>
      <c r="J192" s="5">
        <f>SUMIFS('Business Licences by Community'!$D$2:$D$318,'Business Licences by Community'!$C$2:$C$318,$C192)</f>
        <v>213</v>
      </c>
      <c r="K192" s="15">
        <v>0.63318399999999997</v>
      </c>
      <c r="L192" s="5">
        <f t="shared" si="18"/>
        <v>963.3850507909234</v>
      </c>
      <c r="M192" s="6">
        <f t="shared" si="19"/>
        <v>336.39510789912572</v>
      </c>
      <c r="N192" s="7">
        <f t="shared" si="20"/>
        <v>7.8048780487804878E-2</v>
      </c>
      <c r="O192" s="7">
        <f t="shared" si="21"/>
        <v>0.98518518518518516</v>
      </c>
      <c r="P192" s="7">
        <f t="shared" si="22"/>
        <v>0.98518518518518516</v>
      </c>
      <c r="Q192" s="4" t="str">
        <f t="shared" si="23"/>
        <v>Businesses</v>
      </c>
      <c r="R192" s="16">
        <f t="shared" si="24"/>
        <v>0.98962962962962964</v>
      </c>
      <c r="S192" s="14">
        <f t="shared" si="25"/>
        <v>7</v>
      </c>
      <c r="T192" s="6" t="e">
        <f t="shared" si="26"/>
        <v>#REF!</v>
      </c>
      <c r="U192" s="17"/>
      <c r="V192" s="4" t="s">
        <v>971</v>
      </c>
    </row>
    <row r="193" spans="1:22" x14ac:dyDescent="0.45">
      <c r="A193" s="14">
        <v>192</v>
      </c>
      <c r="B193" s="4" t="s">
        <v>1368</v>
      </c>
      <c r="C193" s="4" t="s">
        <v>1369</v>
      </c>
      <c r="D193" s="5" t="e">
        <f>SUMIFS(#REF!,#REF!,$C193)</f>
        <v>#REF!</v>
      </c>
      <c r="E193" s="5" t="e">
        <f>SUMIFS(#REF!,#REF!,$C193)</f>
        <v>#REF!</v>
      </c>
      <c r="F193" s="5" t="e">
        <f>SUMIFS(#REF!,#REF!,$C193)</f>
        <v>#REF!</v>
      </c>
      <c r="G193" s="5" t="e">
        <f>SUMIFS(#REF!,#REF!,$C193)</f>
        <v>#REF!</v>
      </c>
      <c r="H193" s="4" t="s">
        <v>1141</v>
      </c>
      <c r="I193" s="5"/>
      <c r="J193" s="5">
        <f>SUMIFS('Business Licences by Community'!$D$2:$D$318,'Business Licences by Community'!$C$2:$C$318,$C193)</f>
        <v>395</v>
      </c>
      <c r="K193" s="15">
        <v>2.2620830000000001</v>
      </c>
      <c r="L193" s="5" t="str">
        <f t="shared" si="18"/>
        <v/>
      </c>
      <c r="M193" s="6">
        <f t="shared" si="19"/>
        <v>174.61781906322622</v>
      </c>
      <c r="N193" s="7" t="str">
        <f t="shared" si="20"/>
        <v/>
      </c>
      <c r="O193" s="7">
        <f t="shared" si="21"/>
        <v>0.93333333333333335</v>
      </c>
      <c r="P193" s="7">
        <f t="shared" si="22"/>
        <v>0.93333333333333335</v>
      </c>
      <c r="Q193" s="4" t="str">
        <f t="shared" si="23"/>
        <v>Businesses</v>
      </c>
      <c r="R193" s="16">
        <f t="shared" si="24"/>
        <v>0.95333333333333337</v>
      </c>
      <c r="S193" s="14">
        <f t="shared" si="25"/>
        <v>26</v>
      </c>
      <c r="T193" s="6" t="str">
        <f t="shared" si="26"/>
        <v/>
      </c>
      <c r="U193" s="17"/>
      <c r="V193" s="4" t="s">
        <v>971</v>
      </c>
    </row>
    <row r="194" spans="1:22" x14ac:dyDescent="0.45">
      <c r="A194" s="14">
        <v>193</v>
      </c>
      <c r="B194" s="4" t="s">
        <v>1370</v>
      </c>
      <c r="C194" s="4" t="s">
        <v>1371</v>
      </c>
      <c r="D194" s="5" t="e">
        <f>SUMIFS(#REF!,#REF!,$C194)</f>
        <v>#REF!</v>
      </c>
      <c r="E194" s="5" t="e">
        <f>SUMIFS(#REF!,#REF!,$C194)</f>
        <v>#REF!</v>
      </c>
      <c r="F194" s="5" t="e">
        <f>SUMIFS(#REF!,#REF!,$C194)</f>
        <v>#REF!</v>
      </c>
      <c r="G194" s="5" t="e">
        <f>SUMIFS(#REF!,#REF!,$C194)</f>
        <v>#REF!</v>
      </c>
      <c r="H194" s="4"/>
      <c r="I194" s="5">
        <v>715</v>
      </c>
      <c r="J194" s="5">
        <f>SUMIFS('Business Licences by Community'!$D$2:$D$318,'Business Licences by Community'!$C$2:$C$318,$C194)</f>
        <v>1</v>
      </c>
      <c r="K194" s="15">
        <v>1.9917480000000001</v>
      </c>
      <c r="L194" s="5">
        <f t="shared" ref="L194:L257" si="27">IF(AND(ISNUMBER(I194),ISNUMBER(K194)),IF(K194&gt;0,I194/K194,""),"")</f>
        <v>358.98115625069033</v>
      </c>
      <c r="M194" s="6">
        <f t="shared" ref="M194:M257" si="28">IF(AND(ISNUMBER(J194),ISNUMBER(K194)),IF(AND(J194&gt;0,K194&gt;0),J194/K194,""),"")</f>
        <v>0.50207154720376268</v>
      </c>
      <c r="N194" s="7">
        <f t="shared" ref="N194:N257" si="29">IF(ISNUMBER(L194),(RANK(L194,$L$2:$L$318,1)-1)/(COUNT($L$2:$L$318)-1),"")</f>
        <v>2.4390243902439025E-2</v>
      </c>
      <c r="O194" s="7">
        <f t="shared" ref="O194:O257" si="30">IF(ISNUMBER(M194),(RANK(M194,$M$2:$M$318,1)-1)/(COUNT($M$2:$M$318)-1),"")</f>
        <v>5.5555555555555552E-2</v>
      </c>
      <c r="P194" s="7">
        <f t="shared" ref="P194:P257" si="31">IF(OR(ISNUMBER(N194),ISNUMBER(O194)),MAX(N194,O194),"")</f>
        <v>5.5555555555555552E-2</v>
      </c>
      <c r="Q194" s="4" t="str">
        <f t="shared" ref="Q194:Q257" si="32">IF(ISNUMBER(P194),IF(ISNUMBER(N194),IF(N194&gt;=P194,"Residents","Businesses"),"Businesses"),"No data")</f>
        <v>Businesses</v>
      </c>
      <c r="R194" s="16">
        <f t="shared" ref="R194:R257" si="33">IF(ISNUMBER(P194),$Z$12+(1-$Z$12)*P194,$Z$12)</f>
        <v>0.33888888888888885</v>
      </c>
      <c r="S194" s="14">
        <f t="shared" ref="S194:S257" si="34">RANK(R194,$R$2:$R$318,0)</f>
        <v>264</v>
      </c>
      <c r="T194" s="6" t="e">
        <f t="shared" ref="T194:T257" si="35">IF(ISNUMBER(I194),IF(I194&gt;0,D194/I194*1000,""),"")</f>
        <v>#REF!</v>
      </c>
      <c r="U194" s="17"/>
      <c r="V194" s="4" t="s">
        <v>971</v>
      </c>
    </row>
    <row r="195" spans="1:22" x14ac:dyDescent="0.45">
      <c r="A195" s="14">
        <v>194</v>
      </c>
      <c r="B195" s="4" t="s">
        <v>1372</v>
      </c>
      <c r="C195" s="4" t="s">
        <v>1373</v>
      </c>
      <c r="D195" s="5" t="e">
        <f>SUMIFS(#REF!,#REF!,$C195)</f>
        <v>#REF!</v>
      </c>
      <c r="E195" s="5" t="e">
        <f>SUMIFS(#REF!,#REF!,$C195)</f>
        <v>#REF!</v>
      </c>
      <c r="F195" s="5" t="e">
        <f>SUMIFS(#REF!,#REF!,$C195)</f>
        <v>#REF!</v>
      </c>
      <c r="G195" s="5" t="e">
        <f>SUMIFS(#REF!,#REF!,$C195)</f>
        <v>#REF!</v>
      </c>
      <c r="H195" s="4"/>
      <c r="I195" s="5">
        <v>2300</v>
      </c>
      <c r="J195" s="5">
        <f>SUMIFS('Business Licences by Community'!$D$2:$D$318,'Business Licences by Community'!$C$2:$C$318,$C195)</f>
        <v>40</v>
      </c>
      <c r="K195" s="15">
        <v>1.1386099999999999</v>
      </c>
      <c r="L195" s="5">
        <f t="shared" si="27"/>
        <v>2020.0068504580147</v>
      </c>
      <c r="M195" s="6">
        <f t="shared" si="28"/>
        <v>35.130553921008953</v>
      </c>
      <c r="N195" s="7">
        <f t="shared" si="29"/>
        <v>0.27317073170731709</v>
      </c>
      <c r="O195" s="7">
        <f t="shared" si="30"/>
        <v>0.68888888888888888</v>
      </c>
      <c r="P195" s="7">
        <f t="shared" si="31"/>
        <v>0.68888888888888888</v>
      </c>
      <c r="Q195" s="4" t="str">
        <f t="shared" si="32"/>
        <v>Businesses</v>
      </c>
      <c r="R195" s="16">
        <f t="shared" si="33"/>
        <v>0.78222222222222215</v>
      </c>
      <c r="S195" s="14">
        <f t="shared" si="34"/>
        <v>127</v>
      </c>
      <c r="T195" s="6" t="e">
        <f t="shared" si="35"/>
        <v>#REF!</v>
      </c>
      <c r="U195" s="17"/>
      <c r="V195" s="4" t="s">
        <v>971</v>
      </c>
    </row>
    <row r="196" spans="1:22" x14ac:dyDescent="0.45">
      <c r="A196" s="14">
        <v>195</v>
      </c>
      <c r="B196" s="4" t="s">
        <v>1374</v>
      </c>
      <c r="C196" s="4" t="s">
        <v>1375</v>
      </c>
      <c r="D196" s="5" t="e">
        <f>SUMIFS(#REF!,#REF!,$C196)</f>
        <v>#REF!</v>
      </c>
      <c r="E196" s="5" t="e">
        <f>SUMIFS(#REF!,#REF!,$C196)</f>
        <v>#REF!</v>
      </c>
      <c r="F196" s="5" t="e">
        <f>SUMIFS(#REF!,#REF!,$C196)</f>
        <v>#REF!</v>
      </c>
      <c r="G196" s="5" t="e">
        <f>SUMIFS(#REF!,#REF!,$C196)</f>
        <v>#REF!</v>
      </c>
      <c r="H196" s="4" t="s">
        <v>1141</v>
      </c>
      <c r="I196" s="5"/>
      <c r="J196" s="5">
        <f>SUMIFS('Business Licences by Community'!$D$2:$D$318,'Business Licences by Community'!$C$2:$C$318,$C196)</f>
        <v>213</v>
      </c>
      <c r="K196" s="15">
        <v>2.885856</v>
      </c>
      <c r="L196" s="5" t="str">
        <f t="shared" si="27"/>
        <v/>
      </c>
      <c r="M196" s="6">
        <f t="shared" si="28"/>
        <v>73.808256545025117</v>
      </c>
      <c r="N196" s="7" t="str">
        <f t="shared" si="29"/>
        <v/>
      </c>
      <c r="O196" s="7">
        <f t="shared" si="30"/>
        <v>0.8481481481481481</v>
      </c>
      <c r="P196" s="7">
        <f t="shared" si="31"/>
        <v>0.8481481481481481</v>
      </c>
      <c r="Q196" s="4" t="str">
        <f t="shared" si="32"/>
        <v>Businesses</v>
      </c>
      <c r="R196" s="16">
        <f t="shared" si="33"/>
        <v>0.89370370370370367</v>
      </c>
      <c r="S196" s="14">
        <f t="shared" si="34"/>
        <v>65</v>
      </c>
      <c r="T196" s="6" t="str">
        <f t="shared" si="35"/>
        <v/>
      </c>
      <c r="U196" s="17"/>
      <c r="V196" s="4" t="s">
        <v>971</v>
      </c>
    </row>
    <row r="197" spans="1:22" x14ac:dyDescent="0.45">
      <c r="A197" s="14">
        <v>196</v>
      </c>
      <c r="B197" s="4" t="s">
        <v>1376</v>
      </c>
      <c r="C197" s="4" t="s">
        <v>1377</v>
      </c>
      <c r="D197" s="5" t="e">
        <f>SUMIFS(#REF!,#REF!,$C197)</f>
        <v>#REF!</v>
      </c>
      <c r="E197" s="5" t="e">
        <f>SUMIFS(#REF!,#REF!,$C197)</f>
        <v>#REF!</v>
      </c>
      <c r="F197" s="5" t="e">
        <f>SUMIFS(#REF!,#REF!,$C197)</f>
        <v>#REF!</v>
      </c>
      <c r="G197" s="5" t="e">
        <f>SUMIFS(#REF!,#REF!,$C197)</f>
        <v>#REF!</v>
      </c>
      <c r="H197" s="4"/>
      <c r="I197" s="5">
        <v>1880</v>
      </c>
      <c r="J197" s="5">
        <f>SUMIFS('Business Licences by Community'!$D$2:$D$318,'Business Licences by Community'!$C$2:$C$318,$C197)</f>
        <v>12</v>
      </c>
      <c r="K197" s="15">
        <v>0.81933199999999995</v>
      </c>
      <c r="L197" s="5">
        <f t="shared" si="27"/>
        <v>2294.5521473590684</v>
      </c>
      <c r="M197" s="6">
        <f t="shared" si="28"/>
        <v>14.646077536334479</v>
      </c>
      <c r="N197" s="7">
        <f t="shared" si="29"/>
        <v>0.35609756097560974</v>
      </c>
      <c r="O197" s="7">
        <f t="shared" si="30"/>
        <v>0.4777777777777778</v>
      </c>
      <c r="P197" s="7">
        <f t="shared" si="31"/>
        <v>0.4777777777777778</v>
      </c>
      <c r="Q197" s="4" t="str">
        <f t="shared" si="32"/>
        <v>Businesses</v>
      </c>
      <c r="R197" s="16">
        <f t="shared" si="33"/>
        <v>0.63444444444444437</v>
      </c>
      <c r="S197" s="14">
        <f t="shared" si="34"/>
        <v>190</v>
      </c>
      <c r="T197" s="6" t="e">
        <f t="shared" si="35"/>
        <v>#REF!</v>
      </c>
      <c r="U197" s="17"/>
      <c r="V197" s="4" t="s">
        <v>971</v>
      </c>
    </row>
    <row r="198" spans="1:22" x14ac:dyDescent="0.45">
      <c r="A198" s="14">
        <v>197</v>
      </c>
      <c r="B198" s="4" t="s">
        <v>1378</v>
      </c>
      <c r="C198" s="4" t="s">
        <v>1379</v>
      </c>
      <c r="D198" s="5" t="e">
        <f>SUMIFS(#REF!,#REF!,$C198)</f>
        <v>#REF!</v>
      </c>
      <c r="E198" s="5" t="e">
        <f>SUMIFS(#REF!,#REF!,$C198)</f>
        <v>#REF!</v>
      </c>
      <c r="F198" s="5" t="e">
        <f>SUMIFS(#REF!,#REF!,$C198)</f>
        <v>#REF!</v>
      </c>
      <c r="G198" s="5" t="e">
        <f>SUMIFS(#REF!,#REF!,$C198)</f>
        <v>#REF!</v>
      </c>
      <c r="H198" s="4"/>
      <c r="I198" s="5">
        <v>1455</v>
      </c>
      <c r="J198" s="5">
        <f>SUMIFS('Business Licences by Community'!$D$2:$D$318,'Business Licences by Community'!$C$2:$C$318,$C198)</f>
        <v>4</v>
      </c>
      <c r="K198" s="15">
        <v>0.94269199999999997</v>
      </c>
      <c r="L198" s="5">
        <f t="shared" si="27"/>
        <v>1543.4521561655345</v>
      </c>
      <c r="M198" s="6">
        <f t="shared" si="28"/>
        <v>4.2431674396303354</v>
      </c>
      <c r="N198" s="7">
        <f t="shared" si="29"/>
        <v>0.18536585365853658</v>
      </c>
      <c r="O198" s="7">
        <f t="shared" si="30"/>
        <v>0.20370370370370369</v>
      </c>
      <c r="P198" s="7">
        <f t="shared" si="31"/>
        <v>0.20370370370370369</v>
      </c>
      <c r="Q198" s="4" t="str">
        <f t="shared" si="32"/>
        <v>Businesses</v>
      </c>
      <c r="R198" s="16">
        <f t="shared" si="33"/>
        <v>0.44259259259259254</v>
      </c>
      <c r="S198" s="14">
        <f t="shared" si="34"/>
        <v>241</v>
      </c>
      <c r="T198" s="6" t="e">
        <f t="shared" si="35"/>
        <v>#REF!</v>
      </c>
      <c r="U198" s="17"/>
      <c r="V198" s="4" t="s">
        <v>971</v>
      </c>
    </row>
    <row r="199" spans="1:22" x14ac:dyDescent="0.45">
      <c r="A199" s="14">
        <v>198</v>
      </c>
      <c r="B199" s="4" t="s">
        <v>1380</v>
      </c>
      <c r="C199" s="4" t="s">
        <v>1381</v>
      </c>
      <c r="D199" s="5" t="e">
        <f>SUMIFS(#REF!,#REF!,$C199)</f>
        <v>#REF!</v>
      </c>
      <c r="E199" s="5" t="e">
        <f>SUMIFS(#REF!,#REF!,$C199)</f>
        <v>#REF!</v>
      </c>
      <c r="F199" s="5" t="e">
        <f>SUMIFS(#REF!,#REF!,$C199)</f>
        <v>#REF!</v>
      </c>
      <c r="G199" s="5" t="e">
        <f>SUMIFS(#REF!,#REF!,$C199)</f>
        <v>#REF!</v>
      </c>
      <c r="H199" s="4"/>
      <c r="I199" s="5">
        <v>465</v>
      </c>
      <c r="J199" s="5">
        <f>SUMIFS('Business Licences by Community'!$D$2:$D$318,'Business Licences by Community'!$C$2:$C$318,$C199)</f>
        <v>6</v>
      </c>
      <c r="K199" s="15">
        <v>0.35464699999999999</v>
      </c>
      <c r="L199" s="5">
        <f t="shared" si="27"/>
        <v>1311.1629310271906</v>
      </c>
      <c r="M199" s="6">
        <f t="shared" si="28"/>
        <v>16.91823136809278</v>
      </c>
      <c r="N199" s="7">
        <f t="shared" si="29"/>
        <v>0.13170731707317074</v>
      </c>
      <c r="O199" s="7">
        <f t="shared" si="30"/>
        <v>0.51851851851851849</v>
      </c>
      <c r="P199" s="7">
        <f t="shared" si="31"/>
        <v>0.51851851851851849</v>
      </c>
      <c r="Q199" s="4" t="str">
        <f t="shared" si="32"/>
        <v>Businesses</v>
      </c>
      <c r="R199" s="16">
        <f t="shared" si="33"/>
        <v>0.66296296296296298</v>
      </c>
      <c r="S199" s="14">
        <f t="shared" si="34"/>
        <v>180</v>
      </c>
      <c r="T199" s="6" t="e">
        <f t="shared" si="35"/>
        <v>#REF!</v>
      </c>
      <c r="U199" s="17"/>
      <c r="V199" s="4" t="s">
        <v>971</v>
      </c>
    </row>
    <row r="200" spans="1:22" x14ac:dyDescent="0.45">
      <c r="A200" s="14">
        <v>199</v>
      </c>
      <c r="B200" s="4" t="s">
        <v>1382</v>
      </c>
      <c r="C200" s="4" t="s">
        <v>1383</v>
      </c>
      <c r="D200" s="5" t="e">
        <f>SUMIFS(#REF!,#REF!,$C200)</f>
        <v>#REF!</v>
      </c>
      <c r="E200" s="5" t="e">
        <f>SUMIFS(#REF!,#REF!,$C200)</f>
        <v>#REF!</v>
      </c>
      <c r="F200" s="5" t="e">
        <f>SUMIFS(#REF!,#REF!,$C200)</f>
        <v>#REF!</v>
      </c>
      <c r="G200" s="5" t="e">
        <f>SUMIFS(#REF!,#REF!,$C200)</f>
        <v>#REF!</v>
      </c>
      <c r="H200" s="4"/>
      <c r="I200" s="5">
        <v>2480</v>
      </c>
      <c r="J200" s="5">
        <f>SUMIFS('Business Licences by Community'!$D$2:$D$318,'Business Licences by Community'!$C$2:$C$318,$C200)</f>
        <v>61</v>
      </c>
      <c r="K200" s="15">
        <v>0.95221500000000003</v>
      </c>
      <c r="L200" s="5">
        <f t="shared" si="27"/>
        <v>2604.4538260791942</v>
      </c>
      <c r="M200" s="6">
        <f t="shared" si="28"/>
        <v>64.061162657593087</v>
      </c>
      <c r="N200" s="7">
        <f t="shared" si="29"/>
        <v>0.49268292682926829</v>
      </c>
      <c r="O200" s="7">
        <f t="shared" si="30"/>
        <v>0.81111111111111112</v>
      </c>
      <c r="P200" s="7">
        <f t="shared" si="31"/>
        <v>0.81111111111111112</v>
      </c>
      <c r="Q200" s="4" t="str">
        <f t="shared" si="32"/>
        <v>Businesses</v>
      </c>
      <c r="R200" s="16">
        <f t="shared" si="33"/>
        <v>0.86777777777777776</v>
      </c>
      <c r="S200" s="14">
        <f t="shared" si="34"/>
        <v>80</v>
      </c>
      <c r="T200" s="6" t="e">
        <f t="shared" si="35"/>
        <v>#REF!</v>
      </c>
      <c r="U200" s="17"/>
      <c r="V200" s="4" t="s">
        <v>971</v>
      </c>
    </row>
    <row r="201" spans="1:22" x14ac:dyDescent="0.45">
      <c r="A201" s="14">
        <v>200</v>
      </c>
      <c r="B201" s="4" t="s">
        <v>1384</v>
      </c>
      <c r="C201" s="4" t="s">
        <v>1385</v>
      </c>
      <c r="D201" s="5" t="e">
        <f>SUMIFS(#REF!,#REF!,$C201)</f>
        <v>#REF!</v>
      </c>
      <c r="E201" s="5" t="e">
        <f>SUMIFS(#REF!,#REF!,$C201)</f>
        <v>#REF!</v>
      </c>
      <c r="F201" s="5" t="e">
        <f>SUMIFS(#REF!,#REF!,$C201)</f>
        <v>#REF!</v>
      </c>
      <c r="G201" s="5" t="e">
        <f>SUMIFS(#REF!,#REF!,$C201)</f>
        <v>#REF!</v>
      </c>
      <c r="H201" s="4"/>
      <c r="I201" s="5">
        <v>1805</v>
      </c>
      <c r="J201" s="5">
        <f>SUMIFS('Business Licences by Community'!$D$2:$D$318,'Business Licences by Community'!$C$2:$C$318,$C201)</f>
        <v>34</v>
      </c>
      <c r="K201" s="15">
        <v>0.77027299999999999</v>
      </c>
      <c r="L201" s="5">
        <f t="shared" si="27"/>
        <v>2343.3250289183188</v>
      </c>
      <c r="M201" s="6">
        <f t="shared" si="28"/>
        <v>44.140194450538964</v>
      </c>
      <c r="N201" s="7">
        <f t="shared" si="29"/>
        <v>0.38536585365853659</v>
      </c>
      <c r="O201" s="7">
        <f t="shared" si="30"/>
        <v>0.74444444444444446</v>
      </c>
      <c r="P201" s="7">
        <f t="shared" si="31"/>
        <v>0.74444444444444446</v>
      </c>
      <c r="Q201" s="4" t="str">
        <f t="shared" si="32"/>
        <v>Businesses</v>
      </c>
      <c r="R201" s="16">
        <f t="shared" si="33"/>
        <v>0.82111111111111112</v>
      </c>
      <c r="S201" s="14">
        <f t="shared" si="34"/>
        <v>108</v>
      </c>
      <c r="T201" s="6" t="e">
        <f t="shared" si="35"/>
        <v>#REF!</v>
      </c>
      <c r="U201" s="17"/>
      <c r="V201" s="4" t="s">
        <v>971</v>
      </c>
    </row>
    <row r="202" spans="1:22" x14ac:dyDescent="0.45">
      <c r="A202" s="14">
        <v>201</v>
      </c>
      <c r="B202" s="4" t="s">
        <v>1386</v>
      </c>
      <c r="C202" s="4" t="s">
        <v>1387</v>
      </c>
      <c r="D202" s="5" t="e">
        <f>SUMIFS(#REF!,#REF!,$C202)</f>
        <v>#REF!</v>
      </c>
      <c r="E202" s="5" t="e">
        <f>SUMIFS(#REF!,#REF!,$C202)</f>
        <v>#REF!</v>
      </c>
      <c r="F202" s="5" t="e">
        <f>SUMIFS(#REF!,#REF!,$C202)</f>
        <v>#REF!</v>
      </c>
      <c r="G202" s="5" t="e">
        <f>SUMIFS(#REF!,#REF!,$C202)</f>
        <v>#REF!</v>
      </c>
      <c r="H202" s="4"/>
      <c r="I202" s="5">
        <v>2365</v>
      </c>
      <c r="J202" s="5">
        <f>SUMIFS('Business Licences by Community'!$D$2:$D$318,'Business Licences by Community'!$C$2:$C$318,$C202)</f>
        <v>13</v>
      </c>
      <c r="K202" s="15">
        <v>0.84576700000000005</v>
      </c>
      <c r="L202" s="5">
        <f t="shared" si="27"/>
        <v>2796.2784076465505</v>
      </c>
      <c r="M202" s="6">
        <f t="shared" si="28"/>
        <v>15.370663551545519</v>
      </c>
      <c r="N202" s="7">
        <f t="shared" si="29"/>
        <v>0.58048780487804874</v>
      </c>
      <c r="O202" s="7">
        <f t="shared" si="30"/>
        <v>0.48518518518518516</v>
      </c>
      <c r="P202" s="7">
        <f t="shared" si="31"/>
        <v>0.58048780487804874</v>
      </c>
      <c r="Q202" s="4" t="str">
        <f t="shared" si="32"/>
        <v>Residents</v>
      </c>
      <c r="R202" s="16">
        <f t="shared" si="33"/>
        <v>0.70634146341463411</v>
      </c>
      <c r="S202" s="14">
        <f t="shared" si="34"/>
        <v>168</v>
      </c>
      <c r="T202" s="6" t="e">
        <f t="shared" si="35"/>
        <v>#REF!</v>
      </c>
      <c r="U202" s="17"/>
      <c r="V202" s="4" t="s">
        <v>971</v>
      </c>
    </row>
    <row r="203" spans="1:22" x14ac:dyDescent="0.45">
      <c r="A203" s="14">
        <v>202</v>
      </c>
      <c r="B203" s="4" t="s">
        <v>1388</v>
      </c>
      <c r="C203" s="4" t="s">
        <v>1389</v>
      </c>
      <c r="D203" s="5" t="e">
        <f>SUMIFS(#REF!,#REF!,$C203)</f>
        <v>#REF!</v>
      </c>
      <c r="E203" s="5" t="e">
        <f>SUMIFS(#REF!,#REF!,$C203)</f>
        <v>#REF!</v>
      </c>
      <c r="F203" s="5" t="e">
        <f>SUMIFS(#REF!,#REF!,$C203)</f>
        <v>#REF!</v>
      </c>
      <c r="G203" s="5" t="e">
        <f>SUMIFS(#REF!,#REF!,$C203)</f>
        <v>#REF!</v>
      </c>
      <c r="H203" s="4"/>
      <c r="I203" s="5">
        <v>2275</v>
      </c>
      <c r="J203" s="5">
        <f>SUMIFS('Business Licences by Community'!$D$2:$D$318,'Business Licences by Community'!$C$2:$C$318,$C203)</f>
        <v>4</v>
      </c>
      <c r="K203" s="15">
        <v>2.6973829999999999</v>
      </c>
      <c r="L203" s="5">
        <f t="shared" si="27"/>
        <v>843.41007561773768</v>
      </c>
      <c r="M203" s="6">
        <f t="shared" si="28"/>
        <v>1.4829188142729455</v>
      </c>
      <c r="N203" s="7">
        <f t="shared" si="29"/>
        <v>6.3414634146341464E-2</v>
      </c>
      <c r="O203" s="7">
        <f t="shared" si="30"/>
        <v>9.6296296296296297E-2</v>
      </c>
      <c r="P203" s="7">
        <f t="shared" si="31"/>
        <v>9.6296296296296297E-2</v>
      </c>
      <c r="Q203" s="4" t="str">
        <f t="shared" si="32"/>
        <v>Businesses</v>
      </c>
      <c r="R203" s="16">
        <f t="shared" si="33"/>
        <v>0.3674074074074074</v>
      </c>
      <c r="S203" s="14">
        <f t="shared" si="34"/>
        <v>256</v>
      </c>
      <c r="T203" s="6" t="e">
        <f t="shared" si="35"/>
        <v>#REF!</v>
      </c>
      <c r="U203" s="17"/>
      <c r="V203" s="4" t="s">
        <v>971</v>
      </c>
    </row>
    <row r="204" spans="1:22" x14ac:dyDescent="0.45">
      <c r="A204" s="14">
        <v>203</v>
      </c>
      <c r="B204" s="4" t="s">
        <v>1390</v>
      </c>
      <c r="C204" s="4" t="s">
        <v>1391</v>
      </c>
      <c r="D204" s="5" t="e">
        <f>SUMIFS(#REF!,#REF!,$C204)</f>
        <v>#REF!</v>
      </c>
      <c r="E204" s="5" t="e">
        <f>SUMIFS(#REF!,#REF!,$C204)</f>
        <v>#REF!</v>
      </c>
      <c r="F204" s="5" t="e">
        <f>SUMIFS(#REF!,#REF!,$C204)</f>
        <v>#REF!</v>
      </c>
      <c r="G204" s="5" t="e">
        <f>SUMIFS(#REF!,#REF!,$C204)</f>
        <v>#REF!</v>
      </c>
      <c r="H204" s="4" t="s">
        <v>1141</v>
      </c>
      <c r="I204" s="5"/>
      <c r="J204" s="5">
        <f>SUMIFS('Business Licences by Community'!$D$2:$D$318,'Business Licences by Community'!$C$2:$C$318,$C204)</f>
        <v>283</v>
      </c>
      <c r="K204" s="15">
        <v>1.316862</v>
      </c>
      <c r="L204" s="5" t="str">
        <f t="shared" si="27"/>
        <v/>
      </c>
      <c r="M204" s="6">
        <f t="shared" si="28"/>
        <v>214.90482677759704</v>
      </c>
      <c r="N204" s="7" t="str">
        <f t="shared" si="29"/>
        <v/>
      </c>
      <c r="O204" s="7">
        <f t="shared" si="30"/>
        <v>0.9555555555555556</v>
      </c>
      <c r="P204" s="7">
        <f t="shared" si="31"/>
        <v>0.9555555555555556</v>
      </c>
      <c r="Q204" s="4" t="str">
        <f t="shared" si="32"/>
        <v>Businesses</v>
      </c>
      <c r="R204" s="16">
        <f t="shared" si="33"/>
        <v>0.96888888888888891</v>
      </c>
      <c r="S204" s="14">
        <f t="shared" si="34"/>
        <v>18</v>
      </c>
      <c r="T204" s="6" t="str">
        <f t="shared" si="35"/>
        <v/>
      </c>
      <c r="U204" s="17"/>
      <c r="V204" s="4" t="s">
        <v>971</v>
      </c>
    </row>
    <row r="205" spans="1:22" x14ac:dyDescent="0.45">
      <c r="A205" s="14">
        <v>204</v>
      </c>
      <c r="B205" s="4" t="s">
        <v>1392</v>
      </c>
      <c r="C205" s="4" t="s">
        <v>1393</v>
      </c>
      <c r="D205" s="5" t="e">
        <f>SUMIFS(#REF!,#REF!,$C205)</f>
        <v>#REF!</v>
      </c>
      <c r="E205" s="5" t="e">
        <f>SUMIFS(#REF!,#REF!,$C205)</f>
        <v>#REF!</v>
      </c>
      <c r="F205" s="5" t="e">
        <f>SUMIFS(#REF!,#REF!,$C205)</f>
        <v>#REF!</v>
      </c>
      <c r="G205" s="5" t="e">
        <f>SUMIFS(#REF!,#REF!,$C205)</f>
        <v>#REF!</v>
      </c>
      <c r="H205" s="4"/>
      <c r="I205" s="5">
        <v>670</v>
      </c>
      <c r="J205" s="5">
        <f>SUMIFS('Business Licences by Community'!$D$2:$D$318,'Business Licences by Community'!$C$2:$C$318,$C205)</f>
        <v>30</v>
      </c>
      <c r="K205" s="15">
        <v>0.42392099999999999</v>
      </c>
      <c r="L205" s="5">
        <f t="shared" si="27"/>
        <v>1580.4831560597377</v>
      </c>
      <c r="M205" s="6">
        <f t="shared" si="28"/>
        <v>70.767902510137503</v>
      </c>
      <c r="N205" s="7">
        <f t="shared" si="29"/>
        <v>0.19024390243902439</v>
      </c>
      <c r="O205" s="7">
        <f t="shared" si="30"/>
        <v>0.84444444444444444</v>
      </c>
      <c r="P205" s="7">
        <f t="shared" si="31"/>
        <v>0.84444444444444444</v>
      </c>
      <c r="Q205" s="4" t="str">
        <f t="shared" si="32"/>
        <v>Businesses</v>
      </c>
      <c r="R205" s="16">
        <f t="shared" si="33"/>
        <v>0.89111111111111097</v>
      </c>
      <c r="S205" s="14">
        <f t="shared" si="34"/>
        <v>66</v>
      </c>
      <c r="T205" s="6" t="e">
        <f t="shared" si="35"/>
        <v>#REF!</v>
      </c>
      <c r="U205" s="17"/>
      <c r="V205" s="4" t="s">
        <v>971</v>
      </c>
    </row>
    <row r="206" spans="1:22" x14ac:dyDescent="0.45">
      <c r="A206" s="14">
        <v>205</v>
      </c>
      <c r="B206" s="4" t="s">
        <v>1394</v>
      </c>
      <c r="C206" s="4" t="s">
        <v>1395</v>
      </c>
      <c r="D206" s="5" t="e">
        <f>SUMIFS(#REF!,#REF!,$C206)</f>
        <v>#REF!</v>
      </c>
      <c r="E206" s="5" t="e">
        <f>SUMIFS(#REF!,#REF!,$C206)</f>
        <v>#REF!</v>
      </c>
      <c r="F206" s="5" t="e">
        <f>SUMIFS(#REF!,#REF!,$C206)</f>
        <v>#REF!</v>
      </c>
      <c r="G206" s="5" t="e">
        <f>SUMIFS(#REF!,#REF!,$C206)</f>
        <v>#REF!</v>
      </c>
      <c r="H206" s="4" t="s">
        <v>1141</v>
      </c>
      <c r="I206" s="5"/>
      <c r="J206" s="5">
        <f>SUMIFS('Business Licences by Community'!$D$2:$D$318,'Business Licences by Community'!$C$2:$C$318,$C206)</f>
        <v>2</v>
      </c>
      <c r="K206" s="15">
        <v>11.607792</v>
      </c>
      <c r="L206" s="5" t="str">
        <f t="shared" si="27"/>
        <v/>
      </c>
      <c r="M206" s="6">
        <f t="shared" si="28"/>
        <v>0.17229805634008605</v>
      </c>
      <c r="N206" s="7" t="str">
        <f t="shared" si="29"/>
        <v/>
      </c>
      <c r="O206" s="7">
        <f t="shared" si="30"/>
        <v>1.1111111111111112E-2</v>
      </c>
      <c r="P206" s="7">
        <f t="shared" si="31"/>
        <v>1.1111111111111112E-2</v>
      </c>
      <c r="Q206" s="4" t="str">
        <f t="shared" si="32"/>
        <v>Businesses</v>
      </c>
      <c r="R206" s="16">
        <f t="shared" si="33"/>
        <v>0.30777777777777776</v>
      </c>
      <c r="S206" s="14">
        <f t="shared" si="34"/>
        <v>278</v>
      </c>
      <c r="T206" s="6" t="str">
        <f t="shared" si="35"/>
        <v/>
      </c>
      <c r="U206" s="17"/>
      <c r="V206" s="4" t="s">
        <v>971</v>
      </c>
    </row>
    <row r="207" spans="1:22" x14ac:dyDescent="0.45">
      <c r="A207" s="14">
        <v>206</v>
      </c>
      <c r="B207" s="4" t="s">
        <v>1396</v>
      </c>
      <c r="C207" s="4" t="s">
        <v>1397</v>
      </c>
      <c r="D207" s="5" t="e">
        <f>SUMIFS(#REF!,#REF!,$C207)</f>
        <v>#REF!</v>
      </c>
      <c r="E207" s="5" t="e">
        <f>SUMIFS(#REF!,#REF!,$C207)</f>
        <v>#REF!</v>
      </c>
      <c r="F207" s="5" t="e">
        <f>SUMIFS(#REF!,#REF!,$C207)</f>
        <v>#REF!</v>
      </c>
      <c r="G207" s="5" t="e">
        <f>SUMIFS(#REF!,#REF!,$C207)</f>
        <v>#REF!</v>
      </c>
      <c r="H207" s="4"/>
      <c r="I207" s="5">
        <v>1155</v>
      </c>
      <c r="J207" s="5">
        <f>SUMIFS('Business Licences by Community'!$D$2:$D$318,'Business Licences by Community'!$C$2:$C$318,$C207)</f>
        <v>23</v>
      </c>
      <c r="K207" s="15">
        <v>0.44922299999999998</v>
      </c>
      <c r="L207" s="5">
        <f t="shared" si="27"/>
        <v>2571.1061098830651</v>
      </c>
      <c r="M207" s="6">
        <f t="shared" si="28"/>
        <v>51.199515608061034</v>
      </c>
      <c r="N207" s="7">
        <f t="shared" si="29"/>
        <v>0.48292682926829267</v>
      </c>
      <c r="O207" s="7">
        <f t="shared" si="30"/>
        <v>0.77037037037037037</v>
      </c>
      <c r="P207" s="7">
        <f t="shared" si="31"/>
        <v>0.77037037037037037</v>
      </c>
      <c r="Q207" s="4" t="str">
        <f t="shared" si="32"/>
        <v>Businesses</v>
      </c>
      <c r="R207" s="16">
        <f t="shared" si="33"/>
        <v>0.83925925925925915</v>
      </c>
      <c r="S207" s="14">
        <f t="shared" si="34"/>
        <v>96</v>
      </c>
      <c r="T207" s="6" t="e">
        <f t="shared" si="35"/>
        <v>#REF!</v>
      </c>
      <c r="U207" s="17"/>
      <c r="V207" s="4" t="s">
        <v>971</v>
      </c>
    </row>
    <row r="208" spans="1:22" x14ac:dyDescent="0.45">
      <c r="A208" s="14">
        <v>207</v>
      </c>
      <c r="B208" s="4" t="s">
        <v>1398</v>
      </c>
      <c r="C208" s="4" t="s">
        <v>1399</v>
      </c>
      <c r="D208" s="5" t="e">
        <f>SUMIFS(#REF!,#REF!,$C208)</f>
        <v>#REF!</v>
      </c>
      <c r="E208" s="5" t="e">
        <f>SUMIFS(#REF!,#REF!,$C208)</f>
        <v>#REF!</v>
      </c>
      <c r="F208" s="5" t="e">
        <f>SUMIFS(#REF!,#REF!,$C208)</f>
        <v>#REF!</v>
      </c>
      <c r="G208" s="5" t="e">
        <f>SUMIFS(#REF!,#REF!,$C208)</f>
        <v>#REF!</v>
      </c>
      <c r="H208" s="4"/>
      <c r="I208" s="5">
        <v>265</v>
      </c>
      <c r="J208" s="5">
        <f>SUMIFS('Business Licences by Community'!$D$2:$D$318,'Business Licences by Community'!$C$2:$C$318,$C208)</f>
        <v>201</v>
      </c>
      <c r="K208" s="15">
        <v>4.196307</v>
      </c>
      <c r="L208" s="5">
        <f t="shared" si="27"/>
        <v>63.150765661330311</v>
      </c>
      <c r="M208" s="6">
        <f t="shared" si="28"/>
        <v>47.899259992178834</v>
      </c>
      <c r="N208" s="7">
        <f t="shared" si="29"/>
        <v>4.8780487804878049E-3</v>
      </c>
      <c r="O208" s="7">
        <f t="shared" si="30"/>
        <v>0.76296296296296295</v>
      </c>
      <c r="P208" s="7">
        <f t="shared" si="31"/>
        <v>0.76296296296296295</v>
      </c>
      <c r="Q208" s="4" t="str">
        <f t="shared" si="32"/>
        <v>Businesses</v>
      </c>
      <c r="R208" s="16">
        <f t="shared" si="33"/>
        <v>0.83407407407407397</v>
      </c>
      <c r="S208" s="14">
        <f t="shared" si="34"/>
        <v>99</v>
      </c>
      <c r="T208" s="6" t="e">
        <f t="shared" si="35"/>
        <v>#REF!</v>
      </c>
      <c r="U208" s="17"/>
      <c r="V208" s="4" t="s">
        <v>971</v>
      </c>
    </row>
    <row r="209" spans="1:22" x14ac:dyDescent="0.45">
      <c r="A209" s="14">
        <v>208</v>
      </c>
      <c r="B209" s="4" t="s">
        <v>1400</v>
      </c>
      <c r="C209" s="4" t="s">
        <v>1401</v>
      </c>
      <c r="D209" s="5" t="e">
        <f>SUMIFS(#REF!,#REF!,$C209)</f>
        <v>#REF!</v>
      </c>
      <c r="E209" s="5" t="e">
        <f>SUMIFS(#REF!,#REF!,$C209)</f>
        <v>#REF!</v>
      </c>
      <c r="F209" s="5" t="e">
        <f>SUMIFS(#REF!,#REF!,$C209)</f>
        <v>#REF!</v>
      </c>
      <c r="G209" s="5" t="e">
        <f>SUMIFS(#REF!,#REF!,$C209)</f>
        <v>#REF!</v>
      </c>
      <c r="H209" s="4"/>
      <c r="I209" s="5">
        <v>1680</v>
      </c>
      <c r="J209" s="5">
        <f>SUMIFS('Business Licences by Community'!$D$2:$D$318,'Business Licences by Community'!$C$2:$C$318,$C209)</f>
        <v>3</v>
      </c>
      <c r="K209" s="15">
        <v>0.36054000000000003</v>
      </c>
      <c r="L209" s="5">
        <f t="shared" si="27"/>
        <v>4659.6771509402561</v>
      </c>
      <c r="M209" s="6">
        <f t="shared" si="28"/>
        <v>8.320852055250457</v>
      </c>
      <c r="N209" s="7">
        <f t="shared" si="29"/>
        <v>0.92682926829268297</v>
      </c>
      <c r="O209" s="7">
        <f t="shared" si="30"/>
        <v>0.31481481481481483</v>
      </c>
      <c r="P209" s="7">
        <f t="shared" si="31"/>
        <v>0.92682926829268297</v>
      </c>
      <c r="Q209" s="4" t="str">
        <f t="shared" si="32"/>
        <v>Residents</v>
      </c>
      <c r="R209" s="16">
        <f t="shared" si="33"/>
        <v>0.948780487804878</v>
      </c>
      <c r="S209" s="14">
        <f t="shared" si="34"/>
        <v>29</v>
      </c>
      <c r="T209" s="6" t="e">
        <f t="shared" si="35"/>
        <v>#REF!</v>
      </c>
      <c r="U209" s="17"/>
      <c r="V209" s="4" t="s">
        <v>971</v>
      </c>
    </row>
    <row r="210" spans="1:22" x14ac:dyDescent="0.45">
      <c r="A210" s="14">
        <v>209</v>
      </c>
      <c r="B210" s="4" t="s">
        <v>1402</v>
      </c>
      <c r="C210" s="4" t="s">
        <v>1403</v>
      </c>
      <c r="D210" s="5" t="e">
        <f>SUMIFS(#REF!,#REF!,$C210)</f>
        <v>#REF!</v>
      </c>
      <c r="E210" s="5" t="e">
        <f>SUMIFS(#REF!,#REF!,$C210)</f>
        <v>#REF!</v>
      </c>
      <c r="F210" s="5" t="e">
        <f>SUMIFS(#REF!,#REF!,$C210)</f>
        <v>#REF!</v>
      </c>
      <c r="G210" s="5" t="e">
        <f>SUMIFS(#REF!,#REF!,$C210)</f>
        <v>#REF!</v>
      </c>
      <c r="H210" s="4" t="s">
        <v>1141</v>
      </c>
      <c r="I210" s="5"/>
      <c r="J210" s="5">
        <f>SUMIFS('Business Licences by Community'!$D$2:$D$318,'Business Licences by Community'!$C$2:$C$318,$C210)</f>
        <v>281</v>
      </c>
      <c r="K210" s="15">
        <v>2.3106629999999999</v>
      </c>
      <c r="L210" s="5" t="str">
        <f t="shared" si="27"/>
        <v/>
      </c>
      <c r="M210" s="6">
        <f t="shared" si="28"/>
        <v>121.61011796181442</v>
      </c>
      <c r="N210" s="7" t="str">
        <f t="shared" si="29"/>
        <v/>
      </c>
      <c r="O210" s="7">
        <f t="shared" si="30"/>
        <v>0.89629629629629626</v>
      </c>
      <c r="P210" s="7">
        <f t="shared" si="31"/>
        <v>0.89629629629629626</v>
      </c>
      <c r="Q210" s="4" t="str">
        <f t="shared" si="32"/>
        <v>Businesses</v>
      </c>
      <c r="R210" s="16">
        <f t="shared" si="33"/>
        <v>0.92740740740740724</v>
      </c>
      <c r="S210" s="14">
        <f t="shared" si="34"/>
        <v>42</v>
      </c>
      <c r="T210" s="6" t="str">
        <f t="shared" si="35"/>
        <v/>
      </c>
      <c r="U210" s="17"/>
      <c r="V210" s="4" t="s">
        <v>971</v>
      </c>
    </row>
    <row r="211" spans="1:22" x14ac:dyDescent="0.45">
      <c r="A211" s="14">
        <v>210</v>
      </c>
      <c r="B211" s="4" t="s">
        <v>1404</v>
      </c>
      <c r="C211" s="4" t="s">
        <v>1405</v>
      </c>
      <c r="D211" s="5" t="e">
        <f>SUMIFS(#REF!,#REF!,$C211)</f>
        <v>#REF!</v>
      </c>
      <c r="E211" s="5" t="e">
        <f>SUMIFS(#REF!,#REF!,$C211)</f>
        <v>#REF!</v>
      </c>
      <c r="F211" s="5" t="e">
        <f>SUMIFS(#REF!,#REF!,$C211)</f>
        <v>#REF!</v>
      </c>
      <c r="G211" s="5" t="e">
        <f>SUMIFS(#REF!,#REF!,$C211)</f>
        <v>#REF!</v>
      </c>
      <c r="H211" s="4" t="s">
        <v>1141</v>
      </c>
      <c r="I211" s="5"/>
      <c r="J211" s="5">
        <f>SUMIFS('Business Licences by Community'!$D$2:$D$318,'Business Licences by Community'!$C$2:$C$318,$C211)</f>
        <v>156</v>
      </c>
      <c r="K211" s="15">
        <v>2.3148610000000001</v>
      </c>
      <c r="L211" s="5" t="str">
        <f t="shared" si="27"/>
        <v/>
      </c>
      <c r="M211" s="6">
        <f t="shared" si="28"/>
        <v>67.390655421643032</v>
      </c>
      <c r="N211" s="7" t="str">
        <f t="shared" si="29"/>
        <v/>
      </c>
      <c r="O211" s="7">
        <f t="shared" si="30"/>
        <v>0.82222222222222219</v>
      </c>
      <c r="P211" s="7">
        <f t="shared" si="31"/>
        <v>0.82222222222222219</v>
      </c>
      <c r="Q211" s="4" t="str">
        <f t="shared" si="32"/>
        <v>Businesses</v>
      </c>
      <c r="R211" s="16">
        <f t="shared" si="33"/>
        <v>0.87555555555555542</v>
      </c>
      <c r="S211" s="14">
        <f t="shared" si="34"/>
        <v>76</v>
      </c>
      <c r="T211" s="6" t="str">
        <f t="shared" si="35"/>
        <v/>
      </c>
      <c r="U211" s="17"/>
      <c r="V211" s="4" t="s">
        <v>971</v>
      </c>
    </row>
    <row r="212" spans="1:22" x14ac:dyDescent="0.45">
      <c r="A212" s="14">
        <v>211</v>
      </c>
      <c r="B212" s="4" t="s">
        <v>1406</v>
      </c>
      <c r="C212" s="4" t="s">
        <v>1407</v>
      </c>
      <c r="D212" s="5" t="e">
        <f>SUMIFS(#REF!,#REF!,$C212)</f>
        <v>#REF!</v>
      </c>
      <c r="E212" s="5" t="e">
        <f>SUMIFS(#REF!,#REF!,$C212)</f>
        <v>#REF!</v>
      </c>
      <c r="F212" s="5" t="e">
        <f>SUMIFS(#REF!,#REF!,$C212)</f>
        <v>#REF!</v>
      </c>
      <c r="G212" s="5" t="e">
        <f>SUMIFS(#REF!,#REF!,$C212)</f>
        <v>#REF!</v>
      </c>
      <c r="H212" s="4" t="s">
        <v>1141</v>
      </c>
      <c r="I212" s="5"/>
      <c r="J212" s="5">
        <f>SUMIFS('Business Licences by Community'!$D$2:$D$318,'Business Licences by Community'!$C$2:$C$318,$C212)</f>
        <v>314</v>
      </c>
      <c r="K212" s="15">
        <v>1.2789269999999999</v>
      </c>
      <c r="L212" s="5" t="str">
        <f t="shared" si="27"/>
        <v/>
      </c>
      <c r="M212" s="6">
        <f t="shared" si="28"/>
        <v>245.51831339865373</v>
      </c>
      <c r="N212" s="7" t="str">
        <f t="shared" si="29"/>
        <v/>
      </c>
      <c r="O212" s="7">
        <f t="shared" si="30"/>
        <v>0.97037037037037033</v>
      </c>
      <c r="P212" s="7">
        <f t="shared" si="31"/>
        <v>0.97037037037037033</v>
      </c>
      <c r="Q212" s="4" t="str">
        <f t="shared" si="32"/>
        <v>Businesses</v>
      </c>
      <c r="R212" s="16">
        <f t="shared" si="33"/>
        <v>0.97925925925925927</v>
      </c>
      <c r="S212" s="14">
        <f t="shared" si="34"/>
        <v>13</v>
      </c>
      <c r="T212" s="6" t="str">
        <f t="shared" si="35"/>
        <v/>
      </c>
      <c r="U212" s="17"/>
      <c r="V212" s="4" t="s">
        <v>971</v>
      </c>
    </row>
    <row r="213" spans="1:22" x14ac:dyDescent="0.45">
      <c r="A213" s="14">
        <v>212</v>
      </c>
      <c r="B213" s="4" t="s">
        <v>1408</v>
      </c>
      <c r="C213" s="4" t="s">
        <v>1409</v>
      </c>
      <c r="D213" s="5" t="e">
        <f>SUMIFS(#REF!,#REF!,$C213)</f>
        <v>#REF!</v>
      </c>
      <c r="E213" s="5" t="e">
        <f>SUMIFS(#REF!,#REF!,$C213)</f>
        <v>#REF!</v>
      </c>
      <c r="F213" s="5" t="e">
        <f>SUMIFS(#REF!,#REF!,$C213)</f>
        <v>#REF!</v>
      </c>
      <c r="G213" s="5" t="e">
        <f>SUMIFS(#REF!,#REF!,$C213)</f>
        <v>#REF!</v>
      </c>
      <c r="H213" s="4" t="s">
        <v>1141</v>
      </c>
      <c r="I213" s="5"/>
      <c r="J213" s="5">
        <f>SUMIFS('Business Licences by Community'!$D$2:$D$318,'Business Licences by Community'!$C$2:$C$318,$C213)</f>
        <v>496</v>
      </c>
      <c r="K213" s="15">
        <v>1.89215</v>
      </c>
      <c r="L213" s="5" t="str">
        <f t="shared" si="27"/>
        <v/>
      </c>
      <c r="M213" s="6">
        <f t="shared" si="28"/>
        <v>262.13566577702613</v>
      </c>
      <c r="N213" s="7" t="str">
        <f t="shared" si="29"/>
        <v/>
      </c>
      <c r="O213" s="7">
        <f t="shared" si="30"/>
        <v>0.97407407407407409</v>
      </c>
      <c r="P213" s="7">
        <f t="shared" si="31"/>
        <v>0.97407407407407409</v>
      </c>
      <c r="Q213" s="4" t="str">
        <f t="shared" si="32"/>
        <v>Businesses</v>
      </c>
      <c r="R213" s="16">
        <f t="shared" si="33"/>
        <v>0.98185185185185175</v>
      </c>
      <c r="S213" s="14">
        <f t="shared" si="34"/>
        <v>11</v>
      </c>
      <c r="T213" s="6" t="str">
        <f t="shared" si="35"/>
        <v/>
      </c>
      <c r="U213" s="17"/>
      <c r="V213" s="4" t="s">
        <v>971</v>
      </c>
    </row>
    <row r="214" spans="1:22" x14ac:dyDescent="0.45">
      <c r="A214" s="14">
        <v>213</v>
      </c>
      <c r="B214" s="4" t="s">
        <v>1410</v>
      </c>
      <c r="C214" s="4" t="s">
        <v>1411</v>
      </c>
      <c r="D214" s="5" t="e">
        <f>SUMIFS(#REF!,#REF!,$C214)</f>
        <v>#REF!</v>
      </c>
      <c r="E214" s="5" t="e">
        <f>SUMIFS(#REF!,#REF!,$C214)</f>
        <v>#REF!</v>
      </c>
      <c r="F214" s="5" t="e">
        <f>SUMIFS(#REF!,#REF!,$C214)</f>
        <v>#REF!</v>
      </c>
      <c r="G214" s="5" t="e">
        <f>SUMIFS(#REF!,#REF!,$C214)</f>
        <v>#REF!</v>
      </c>
      <c r="H214" s="4" t="s">
        <v>1141</v>
      </c>
      <c r="I214" s="5"/>
      <c r="J214" s="5">
        <f>SUMIFS('Business Licences by Community'!$D$2:$D$318,'Business Licences by Community'!$C$2:$C$318,$C214)</f>
        <v>479</v>
      </c>
      <c r="K214" s="15">
        <v>2.7554910000000001</v>
      </c>
      <c r="L214" s="5" t="str">
        <f t="shared" si="27"/>
        <v/>
      </c>
      <c r="M214" s="6">
        <f t="shared" si="28"/>
        <v>173.83471766011937</v>
      </c>
      <c r="N214" s="7" t="str">
        <f t="shared" si="29"/>
        <v/>
      </c>
      <c r="O214" s="7">
        <f t="shared" si="30"/>
        <v>0.92962962962962958</v>
      </c>
      <c r="P214" s="7">
        <f t="shared" si="31"/>
        <v>0.92962962962962958</v>
      </c>
      <c r="Q214" s="4" t="str">
        <f t="shared" si="32"/>
        <v>Businesses</v>
      </c>
      <c r="R214" s="16">
        <f t="shared" si="33"/>
        <v>0.95074074074074066</v>
      </c>
      <c r="S214" s="14">
        <f t="shared" si="34"/>
        <v>28</v>
      </c>
      <c r="T214" s="6" t="str">
        <f t="shared" si="35"/>
        <v/>
      </c>
      <c r="U214" s="17"/>
      <c r="V214" s="4" t="s">
        <v>971</v>
      </c>
    </row>
    <row r="215" spans="1:22" x14ac:dyDescent="0.45">
      <c r="A215" s="14">
        <v>214</v>
      </c>
      <c r="B215" s="4" t="s">
        <v>1412</v>
      </c>
      <c r="C215" s="4" t="s">
        <v>1413</v>
      </c>
      <c r="D215" s="5" t="e">
        <f>SUMIFS(#REF!,#REF!,$C215)</f>
        <v>#REF!</v>
      </c>
      <c r="E215" s="5" t="e">
        <f>SUMIFS(#REF!,#REF!,$C215)</f>
        <v>#REF!</v>
      </c>
      <c r="F215" s="5" t="e">
        <f>SUMIFS(#REF!,#REF!,$C215)</f>
        <v>#REF!</v>
      </c>
      <c r="G215" s="5" t="e">
        <f>SUMIFS(#REF!,#REF!,$C215)</f>
        <v>#REF!</v>
      </c>
      <c r="H215" s="4" t="s">
        <v>1141</v>
      </c>
      <c r="I215" s="5"/>
      <c r="J215" s="5">
        <f>SUMIFS('Business Licences by Community'!$D$2:$D$318,'Business Licences by Community'!$C$2:$C$318,$C215)</f>
        <v>62</v>
      </c>
      <c r="K215" s="15">
        <v>6.2395180000000003</v>
      </c>
      <c r="L215" s="5" t="str">
        <f t="shared" si="27"/>
        <v/>
      </c>
      <c r="M215" s="6">
        <f t="shared" si="28"/>
        <v>9.9366649795705371</v>
      </c>
      <c r="N215" s="7" t="str">
        <f t="shared" si="29"/>
        <v/>
      </c>
      <c r="O215" s="7">
        <f t="shared" si="30"/>
        <v>0.34074074074074073</v>
      </c>
      <c r="P215" s="7">
        <f t="shared" si="31"/>
        <v>0.34074074074074073</v>
      </c>
      <c r="Q215" s="4" t="str">
        <f t="shared" si="32"/>
        <v>Businesses</v>
      </c>
      <c r="R215" s="16">
        <f t="shared" si="33"/>
        <v>0.53851851851851851</v>
      </c>
      <c r="S215" s="14">
        <f t="shared" si="34"/>
        <v>221</v>
      </c>
      <c r="T215" s="6" t="str">
        <f t="shared" si="35"/>
        <v/>
      </c>
      <c r="U215" s="17"/>
      <c r="V215" s="4" t="s">
        <v>971</v>
      </c>
    </row>
    <row r="216" spans="1:22" x14ac:dyDescent="0.45">
      <c r="A216" s="14">
        <v>215</v>
      </c>
      <c r="B216" s="4" t="s">
        <v>1414</v>
      </c>
      <c r="C216" s="4" t="s">
        <v>1415</v>
      </c>
      <c r="D216" s="5" t="e">
        <f>SUMIFS(#REF!,#REF!,$C216)</f>
        <v>#REF!</v>
      </c>
      <c r="E216" s="5" t="e">
        <f>SUMIFS(#REF!,#REF!,$C216)</f>
        <v>#REF!</v>
      </c>
      <c r="F216" s="5" t="e">
        <f>SUMIFS(#REF!,#REF!,$C216)</f>
        <v>#REF!</v>
      </c>
      <c r="G216" s="5" t="e">
        <f>SUMIFS(#REF!,#REF!,$C216)</f>
        <v>#REF!</v>
      </c>
      <c r="H216" s="4" t="s">
        <v>1141</v>
      </c>
      <c r="I216" s="5"/>
      <c r="J216" s="5">
        <f>SUMIFS('Business Licences by Community'!$D$2:$D$318,'Business Licences by Community'!$C$2:$C$318,$C216)</f>
        <v>66</v>
      </c>
      <c r="K216" s="15">
        <v>5.4362909999999998</v>
      </c>
      <c r="L216" s="5" t="str">
        <f t="shared" si="27"/>
        <v/>
      </c>
      <c r="M216" s="6">
        <f t="shared" si="28"/>
        <v>12.140630440864921</v>
      </c>
      <c r="N216" s="7" t="str">
        <f t="shared" si="29"/>
        <v/>
      </c>
      <c r="O216" s="7">
        <f t="shared" si="30"/>
        <v>0.39629629629629631</v>
      </c>
      <c r="P216" s="7">
        <f t="shared" si="31"/>
        <v>0.39629629629629631</v>
      </c>
      <c r="Q216" s="4" t="str">
        <f t="shared" si="32"/>
        <v>Businesses</v>
      </c>
      <c r="R216" s="16">
        <f t="shared" si="33"/>
        <v>0.57740740740740737</v>
      </c>
      <c r="S216" s="14">
        <f t="shared" si="34"/>
        <v>208</v>
      </c>
      <c r="T216" s="6" t="str">
        <f t="shared" si="35"/>
        <v/>
      </c>
      <c r="U216" s="17"/>
      <c r="V216" s="4" t="s">
        <v>971</v>
      </c>
    </row>
    <row r="217" spans="1:22" x14ac:dyDescent="0.45">
      <c r="A217" s="14">
        <v>216</v>
      </c>
      <c r="B217" s="4" t="s">
        <v>1416</v>
      </c>
      <c r="C217" s="4" t="s">
        <v>1417</v>
      </c>
      <c r="D217" s="5" t="e">
        <f>SUMIFS(#REF!,#REF!,$C217)</f>
        <v>#REF!</v>
      </c>
      <c r="E217" s="5" t="e">
        <f>SUMIFS(#REF!,#REF!,$C217)</f>
        <v>#REF!</v>
      </c>
      <c r="F217" s="5" t="e">
        <f>SUMIFS(#REF!,#REF!,$C217)</f>
        <v>#REF!</v>
      </c>
      <c r="G217" s="5" t="e">
        <f>SUMIFS(#REF!,#REF!,$C217)</f>
        <v>#REF!</v>
      </c>
      <c r="H217" s="4"/>
      <c r="I217" s="5">
        <v>830</v>
      </c>
      <c r="J217" s="5">
        <f>SUMIFS('Business Licences by Community'!$D$2:$D$318,'Business Licences by Community'!$C$2:$C$318,$C217)</f>
        <v>7</v>
      </c>
      <c r="K217" s="15">
        <v>0.57093000000000005</v>
      </c>
      <c r="L217" s="5">
        <f t="shared" si="27"/>
        <v>1453.7684129402903</v>
      </c>
      <c r="M217" s="6">
        <f t="shared" si="28"/>
        <v>12.260697458532569</v>
      </c>
      <c r="N217" s="7">
        <f t="shared" si="29"/>
        <v>0.15609756097560976</v>
      </c>
      <c r="O217" s="7">
        <f t="shared" si="30"/>
        <v>0.4</v>
      </c>
      <c r="P217" s="7">
        <f t="shared" si="31"/>
        <v>0.4</v>
      </c>
      <c r="Q217" s="4" t="str">
        <f t="shared" si="32"/>
        <v>Businesses</v>
      </c>
      <c r="R217" s="16">
        <f t="shared" si="33"/>
        <v>0.57999999999999996</v>
      </c>
      <c r="S217" s="14">
        <f t="shared" si="34"/>
        <v>206</v>
      </c>
      <c r="T217" s="6" t="e">
        <f t="shared" si="35"/>
        <v>#REF!</v>
      </c>
      <c r="U217" s="17"/>
      <c r="V217" s="4" t="s">
        <v>971</v>
      </c>
    </row>
    <row r="218" spans="1:22" x14ac:dyDescent="0.45">
      <c r="A218" s="14">
        <v>217</v>
      </c>
      <c r="B218" s="4" t="s">
        <v>1418</v>
      </c>
      <c r="C218" s="4" t="s">
        <v>1419</v>
      </c>
      <c r="D218" s="5" t="e">
        <f>SUMIFS(#REF!,#REF!,$C218)</f>
        <v>#REF!</v>
      </c>
      <c r="E218" s="5" t="e">
        <f>SUMIFS(#REF!,#REF!,$C218)</f>
        <v>#REF!</v>
      </c>
      <c r="F218" s="5" t="e">
        <f>SUMIFS(#REF!,#REF!,$C218)</f>
        <v>#REF!</v>
      </c>
      <c r="G218" s="5" t="e">
        <f>SUMIFS(#REF!,#REF!,$C218)</f>
        <v>#REF!</v>
      </c>
      <c r="H218" s="4" t="s">
        <v>1141</v>
      </c>
      <c r="I218" s="5"/>
      <c r="J218" s="5">
        <f>SUMIFS('Business Licences by Community'!$D$2:$D$318,'Business Licences by Community'!$C$2:$C$318,$C218)</f>
        <v>331</v>
      </c>
      <c r="K218" s="15">
        <v>1.4650019999999999</v>
      </c>
      <c r="L218" s="5" t="str">
        <f t="shared" si="27"/>
        <v/>
      </c>
      <c r="M218" s="6">
        <f t="shared" si="28"/>
        <v>225.9382581047671</v>
      </c>
      <c r="N218" s="7" t="str">
        <f t="shared" si="29"/>
        <v/>
      </c>
      <c r="O218" s="7">
        <f t="shared" si="30"/>
        <v>0.96296296296296291</v>
      </c>
      <c r="P218" s="7">
        <f t="shared" si="31"/>
        <v>0.96296296296296291</v>
      </c>
      <c r="Q218" s="4" t="str">
        <f t="shared" si="32"/>
        <v>Businesses</v>
      </c>
      <c r="R218" s="16">
        <f t="shared" si="33"/>
        <v>0.97407407407407409</v>
      </c>
      <c r="S218" s="14">
        <f t="shared" si="34"/>
        <v>14</v>
      </c>
      <c r="T218" s="6" t="str">
        <f t="shared" si="35"/>
        <v/>
      </c>
      <c r="U218" s="17"/>
      <c r="V218" s="4" t="s">
        <v>971</v>
      </c>
    </row>
    <row r="219" spans="1:22" x14ac:dyDescent="0.45">
      <c r="A219" s="14">
        <v>218</v>
      </c>
      <c r="B219" s="4" t="s">
        <v>1420</v>
      </c>
      <c r="C219" s="4" t="s">
        <v>1421</v>
      </c>
      <c r="D219" s="5" t="e">
        <f>SUMIFS(#REF!,#REF!,$C219)</f>
        <v>#REF!</v>
      </c>
      <c r="E219" s="5" t="e">
        <f>SUMIFS(#REF!,#REF!,$C219)</f>
        <v>#REF!</v>
      </c>
      <c r="F219" s="5" t="e">
        <f>SUMIFS(#REF!,#REF!,$C219)</f>
        <v>#REF!</v>
      </c>
      <c r="G219" s="5" t="e">
        <f>SUMIFS(#REF!,#REF!,$C219)</f>
        <v>#REF!</v>
      </c>
      <c r="H219" s="4" t="s">
        <v>1141</v>
      </c>
      <c r="I219" s="5"/>
      <c r="J219" s="5">
        <f>SUMIFS('Business Licences by Community'!$D$2:$D$318,'Business Licences by Community'!$C$2:$C$318,$C219)</f>
        <v>0</v>
      </c>
      <c r="K219" s="15">
        <v>4.1831180000000003</v>
      </c>
      <c r="L219" s="5" t="str">
        <f t="shared" si="27"/>
        <v/>
      </c>
      <c r="M219" s="6" t="str">
        <f t="shared" si="28"/>
        <v/>
      </c>
      <c r="N219" s="7" t="str">
        <f t="shared" si="29"/>
        <v/>
      </c>
      <c r="O219" s="7" t="str">
        <f t="shared" si="30"/>
        <v/>
      </c>
      <c r="P219" s="7" t="str">
        <f t="shared" si="31"/>
        <v/>
      </c>
      <c r="Q219" s="4" t="str">
        <f t="shared" si="32"/>
        <v>No data</v>
      </c>
      <c r="R219" s="16">
        <f t="shared" si="33"/>
        <v>0.3</v>
      </c>
      <c r="S219" s="14">
        <f t="shared" si="34"/>
        <v>281</v>
      </c>
      <c r="T219" s="6" t="str">
        <f t="shared" si="35"/>
        <v/>
      </c>
      <c r="U219" s="17"/>
      <c r="V219" s="4" t="s">
        <v>971</v>
      </c>
    </row>
    <row r="220" spans="1:22" x14ac:dyDescent="0.45">
      <c r="A220" s="14">
        <v>219</v>
      </c>
      <c r="B220" s="4" t="s">
        <v>1422</v>
      </c>
      <c r="C220" s="4" t="s">
        <v>1423</v>
      </c>
      <c r="D220" s="5" t="e">
        <f>SUMIFS(#REF!,#REF!,$C220)</f>
        <v>#REF!</v>
      </c>
      <c r="E220" s="5" t="e">
        <f>SUMIFS(#REF!,#REF!,$C220)</f>
        <v>#REF!</v>
      </c>
      <c r="F220" s="5" t="e">
        <f>SUMIFS(#REF!,#REF!,$C220)</f>
        <v>#REF!</v>
      </c>
      <c r="G220" s="5" t="e">
        <f>SUMIFS(#REF!,#REF!,$C220)</f>
        <v>#REF!</v>
      </c>
      <c r="H220" s="4" t="s">
        <v>1141</v>
      </c>
      <c r="I220" s="5"/>
      <c r="J220" s="5">
        <f>SUMIFS('Business Licences by Community'!$D$2:$D$318,'Business Licences by Community'!$C$2:$C$318,$C220)</f>
        <v>91</v>
      </c>
      <c r="K220" s="15">
        <v>0.82611400000000001</v>
      </c>
      <c r="L220" s="5" t="str">
        <f t="shared" si="27"/>
        <v/>
      </c>
      <c r="M220" s="6">
        <f t="shared" si="28"/>
        <v>110.15428863328789</v>
      </c>
      <c r="N220" s="7" t="str">
        <f t="shared" si="29"/>
        <v/>
      </c>
      <c r="O220" s="7">
        <f t="shared" si="30"/>
        <v>0.88518518518518519</v>
      </c>
      <c r="P220" s="7">
        <f t="shared" si="31"/>
        <v>0.88518518518518519</v>
      </c>
      <c r="Q220" s="4" t="str">
        <f t="shared" si="32"/>
        <v>Businesses</v>
      </c>
      <c r="R220" s="16">
        <f t="shared" si="33"/>
        <v>0.91962962962962957</v>
      </c>
      <c r="S220" s="14">
        <f t="shared" si="34"/>
        <v>47</v>
      </c>
      <c r="T220" s="6" t="str">
        <f t="shared" si="35"/>
        <v/>
      </c>
      <c r="U220" s="17"/>
      <c r="V220" s="4" t="s">
        <v>971</v>
      </c>
    </row>
    <row r="221" spans="1:22" x14ac:dyDescent="0.45">
      <c r="A221" s="14">
        <v>220</v>
      </c>
      <c r="B221" s="4" t="s">
        <v>1424</v>
      </c>
      <c r="C221" s="4" t="s">
        <v>1425</v>
      </c>
      <c r="D221" s="5" t="e">
        <f>SUMIFS(#REF!,#REF!,$C221)</f>
        <v>#REF!</v>
      </c>
      <c r="E221" s="5" t="e">
        <f>SUMIFS(#REF!,#REF!,$C221)</f>
        <v>#REF!</v>
      </c>
      <c r="F221" s="5" t="e">
        <f>SUMIFS(#REF!,#REF!,$C221)</f>
        <v>#REF!</v>
      </c>
      <c r="G221" s="5" t="e">
        <f>SUMIFS(#REF!,#REF!,$C221)</f>
        <v>#REF!</v>
      </c>
      <c r="H221" s="4" t="s">
        <v>1141</v>
      </c>
      <c r="I221" s="5"/>
      <c r="J221" s="5">
        <f>SUMIFS('Business Licences by Community'!$D$2:$D$318,'Business Licences by Community'!$C$2:$C$318,$C221)</f>
        <v>83</v>
      </c>
      <c r="K221" s="15">
        <v>1.2265250000000001</v>
      </c>
      <c r="L221" s="5" t="str">
        <f t="shared" si="27"/>
        <v/>
      </c>
      <c r="M221" s="6">
        <f t="shared" si="28"/>
        <v>67.670858726891012</v>
      </c>
      <c r="N221" s="7" t="str">
        <f t="shared" si="29"/>
        <v/>
      </c>
      <c r="O221" s="7">
        <f t="shared" si="30"/>
        <v>0.83333333333333337</v>
      </c>
      <c r="P221" s="7">
        <f t="shared" si="31"/>
        <v>0.83333333333333337</v>
      </c>
      <c r="Q221" s="4" t="str">
        <f t="shared" si="32"/>
        <v>Businesses</v>
      </c>
      <c r="R221" s="16">
        <f t="shared" si="33"/>
        <v>0.8833333333333333</v>
      </c>
      <c r="S221" s="14">
        <f t="shared" si="34"/>
        <v>72</v>
      </c>
      <c r="T221" s="6" t="str">
        <f t="shared" si="35"/>
        <v/>
      </c>
      <c r="U221" s="17"/>
      <c r="V221" s="4" t="s">
        <v>971</v>
      </c>
    </row>
    <row r="222" spans="1:22" x14ac:dyDescent="0.45">
      <c r="A222" s="14">
        <v>221</v>
      </c>
      <c r="B222" s="4" t="s">
        <v>1426</v>
      </c>
      <c r="C222" s="4" t="s">
        <v>1427</v>
      </c>
      <c r="D222" s="5" t="e">
        <f>SUMIFS(#REF!,#REF!,$C222)</f>
        <v>#REF!</v>
      </c>
      <c r="E222" s="5" t="e">
        <f>SUMIFS(#REF!,#REF!,$C222)</f>
        <v>#REF!</v>
      </c>
      <c r="F222" s="5" t="e">
        <f>SUMIFS(#REF!,#REF!,$C222)</f>
        <v>#REF!</v>
      </c>
      <c r="G222" s="5" t="e">
        <f>SUMIFS(#REF!,#REF!,$C222)</f>
        <v>#REF!</v>
      </c>
      <c r="H222" s="4"/>
      <c r="I222" s="5">
        <v>2100</v>
      </c>
      <c r="J222" s="5">
        <f>SUMIFS('Business Licences by Community'!$D$2:$D$318,'Business Licences by Community'!$C$2:$C$318,$C222)</f>
        <v>7</v>
      </c>
      <c r="K222" s="15">
        <v>0.45418599999999998</v>
      </c>
      <c r="L222" s="5">
        <f t="shared" si="27"/>
        <v>4623.6563874712128</v>
      </c>
      <c r="M222" s="6">
        <f t="shared" si="28"/>
        <v>15.412187958237375</v>
      </c>
      <c r="N222" s="7">
        <f t="shared" si="29"/>
        <v>0.91707317073170735</v>
      </c>
      <c r="O222" s="7">
        <f t="shared" si="30"/>
        <v>0.48888888888888887</v>
      </c>
      <c r="P222" s="7">
        <f t="shared" si="31"/>
        <v>0.91707317073170735</v>
      </c>
      <c r="Q222" s="4" t="str">
        <f t="shared" si="32"/>
        <v>Residents</v>
      </c>
      <c r="R222" s="16">
        <f t="shared" si="33"/>
        <v>0.94195121951219507</v>
      </c>
      <c r="S222" s="14">
        <f t="shared" si="34"/>
        <v>33</v>
      </c>
      <c r="T222" s="6" t="e">
        <f t="shared" si="35"/>
        <v>#REF!</v>
      </c>
      <c r="U222" s="17"/>
      <c r="V222" s="4" t="s">
        <v>971</v>
      </c>
    </row>
    <row r="223" spans="1:22" x14ac:dyDescent="0.45">
      <c r="A223" s="14">
        <v>222</v>
      </c>
      <c r="B223" s="4" t="s">
        <v>1428</v>
      </c>
      <c r="C223" s="4" t="s">
        <v>1429</v>
      </c>
      <c r="D223" s="5" t="e">
        <f>SUMIFS(#REF!,#REF!,$C223)</f>
        <v>#REF!</v>
      </c>
      <c r="E223" s="5" t="e">
        <f>SUMIFS(#REF!,#REF!,$C223)</f>
        <v>#REF!</v>
      </c>
      <c r="F223" s="5" t="e">
        <f>SUMIFS(#REF!,#REF!,$C223)</f>
        <v>#REF!</v>
      </c>
      <c r="G223" s="5" t="e">
        <f>SUMIFS(#REF!,#REF!,$C223)</f>
        <v>#REF!</v>
      </c>
      <c r="H223" s="4"/>
      <c r="I223" s="5">
        <v>765</v>
      </c>
      <c r="J223" s="5">
        <f>SUMIFS('Business Licences by Community'!$D$2:$D$318,'Business Licences by Community'!$C$2:$C$318,$C223)</f>
        <v>24</v>
      </c>
      <c r="K223" s="15">
        <v>0.501745</v>
      </c>
      <c r="L223" s="5">
        <f t="shared" si="27"/>
        <v>1524.6788707411135</v>
      </c>
      <c r="M223" s="6">
        <f t="shared" si="28"/>
        <v>47.833062611485914</v>
      </c>
      <c r="N223" s="7">
        <f t="shared" si="29"/>
        <v>0.17560975609756097</v>
      </c>
      <c r="O223" s="7">
        <f t="shared" si="30"/>
        <v>0.7592592592592593</v>
      </c>
      <c r="P223" s="7">
        <f t="shared" si="31"/>
        <v>0.7592592592592593</v>
      </c>
      <c r="Q223" s="4" t="str">
        <f t="shared" si="32"/>
        <v>Businesses</v>
      </c>
      <c r="R223" s="16">
        <f t="shared" si="33"/>
        <v>0.83148148148148149</v>
      </c>
      <c r="S223" s="14">
        <f t="shared" si="34"/>
        <v>101</v>
      </c>
      <c r="T223" s="6" t="e">
        <f t="shared" si="35"/>
        <v>#REF!</v>
      </c>
      <c r="U223" s="17"/>
      <c r="V223" s="4" t="s">
        <v>971</v>
      </c>
    </row>
    <row r="224" spans="1:22" x14ac:dyDescent="0.45">
      <c r="A224" s="14">
        <v>223</v>
      </c>
      <c r="B224" s="4" t="s">
        <v>1430</v>
      </c>
      <c r="C224" s="4" t="s">
        <v>1431</v>
      </c>
      <c r="D224" s="5" t="e">
        <f>SUMIFS(#REF!,#REF!,$C224)</f>
        <v>#REF!</v>
      </c>
      <c r="E224" s="5" t="e">
        <f>SUMIFS(#REF!,#REF!,$C224)</f>
        <v>#REF!</v>
      </c>
      <c r="F224" s="5" t="e">
        <f>SUMIFS(#REF!,#REF!,$C224)</f>
        <v>#REF!</v>
      </c>
      <c r="G224" s="5" t="e">
        <f>SUMIFS(#REF!,#REF!,$C224)</f>
        <v>#REF!</v>
      </c>
      <c r="H224" s="4" t="s">
        <v>1141</v>
      </c>
      <c r="I224" s="5"/>
      <c r="J224" s="5">
        <f>SUMIFS('Business Licences by Community'!$D$2:$D$318,'Business Licences by Community'!$C$2:$C$318,$C224)</f>
        <v>35</v>
      </c>
      <c r="K224" s="15">
        <v>2.4001779999999999</v>
      </c>
      <c r="L224" s="5" t="str">
        <f t="shared" si="27"/>
        <v/>
      </c>
      <c r="M224" s="6">
        <f t="shared" si="28"/>
        <v>14.582251816323623</v>
      </c>
      <c r="N224" s="7" t="str">
        <f t="shared" si="29"/>
        <v/>
      </c>
      <c r="O224" s="7">
        <f t="shared" si="30"/>
        <v>0.47407407407407409</v>
      </c>
      <c r="P224" s="7">
        <f t="shared" si="31"/>
        <v>0.47407407407407409</v>
      </c>
      <c r="Q224" s="4" t="str">
        <f t="shared" si="32"/>
        <v>Businesses</v>
      </c>
      <c r="R224" s="16">
        <f t="shared" si="33"/>
        <v>0.63185185185185189</v>
      </c>
      <c r="S224" s="14">
        <f t="shared" si="34"/>
        <v>191</v>
      </c>
      <c r="T224" s="6" t="str">
        <f t="shared" si="35"/>
        <v/>
      </c>
      <c r="U224" s="17"/>
      <c r="V224" s="4" t="s">
        <v>971</v>
      </c>
    </row>
    <row r="225" spans="1:22" x14ac:dyDescent="0.45">
      <c r="A225" s="14">
        <v>224</v>
      </c>
      <c r="B225" s="4" t="s">
        <v>1432</v>
      </c>
      <c r="C225" s="4" t="s">
        <v>1433</v>
      </c>
      <c r="D225" s="5" t="e">
        <f>SUMIFS(#REF!,#REF!,$C225)</f>
        <v>#REF!</v>
      </c>
      <c r="E225" s="5" t="e">
        <f>SUMIFS(#REF!,#REF!,$C225)</f>
        <v>#REF!</v>
      </c>
      <c r="F225" s="5" t="e">
        <f>SUMIFS(#REF!,#REF!,$C225)</f>
        <v>#REF!</v>
      </c>
      <c r="G225" s="5" t="e">
        <f>SUMIFS(#REF!,#REF!,$C225)</f>
        <v>#REF!</v>
      </c>
      <c r="H225" s="4" t="s">
        <v>1141</v>
      </c>
      <c r="I225" s="5"/>
      <c r="J225" s="5">
        <f>SUMIFS('Business Licences by Community'!$D$2:$D$318,'Business Licences by Community'!$C$2:$C$318,$C225)</f>
        <v>4</v>
      </c>
      <c r="K225" s="15">
        <v>2.5941000000000001</v>
      </c>
      <c r="L225" s="5" t="str">
        <f t="shared" si="27"/>
        <v/>
      </c>
      <c r="M225" s="6">
        <f t="shared" si="28"/>
        <v>1.5419606029065958</v>
      </c>
      <c r="N225" s="7" t="str">
        <f t="shared" si="29"/>
        <v/>
      </c>
      <c r="O225" s="7">
        <f t="shared" si="30"/>
        <v>0.1</v>
      </c>
      <c r="P225" s="7">
        <f t="shared" si="31"/>
        <v>0.1</v>
      </c>
      <c r="Q225" s="4" t="str">
        <f t="shared" si="32"/>
        <v>Businesses</v>
      </c>
      <c r="R225" s="16">
        <f t="shared" si="33"/>
        <v>0.37</v>
      </c>
      <c r="S225" s="14">
        <f t="shared" si="34"/>
        <v>255</v>
      </c>
      <c r="T225" s="6" t="str">
        <f t="shared" si="35"/>
        <v/>
      </c>
      <c r="U225" s="17"/>
      <c r="V225" s="4" t="s">
        <v>971</v>
      </c>
    </row>
    <row r="226" spans="1:22" x14ac:dyDescent="0.45">
      <c r="A226" s="14">
        <v>225</v>
      </c>
      <c r="B226" s="4" t="s">
        <v>1434</v>
      </c>
      <c r="C226" s="4" t="s">
        <v>1435</v>
      </c>
      <c r="D226" s="5" t="e">
        <f>SUMIFS(#REF!,#REF!,$C226)</f>
        <v>#REF!</v>
      </c>
      <c r="E226" s="5" t="e">
        <f>SUMIFS(#REF!,#REF!,$C226)</f>
        <v>#REF!</v>
      </c>
      <c r="F226" s="5" t="e">
        <f>SUMIFS(#REF!,#REF!,$C226)</f>
        <v>#REF!</v>
      </c>
      <c r="G226" s="5" t="e">
        <f>SUMIFS(#REF!,#REF!,$C226)</f>
        <v>#REF!</v>
      </c>
      <c r="H226" s="4"/>
      <c r="I226" s="5">
        <v>950</v>
      </c>
      <c r="J226" s="5">
        <f>SUMIFS('Business Licences by Community'!$D$2:$D$318,'Business Licences by Community'!$C$2:$C$318,$C226)</f>
        <v>176</v>
      </c>
      <c r="K226" s="15">
        <v>0.47361300000000001</v>
      </c>
      <c r="L226" s="5">
        <f t="shared" si="27"/>
        <v>2005.8571027400008</v>
      </c>
      <c r="M226" s="6">
        <f t="shared" si="28"/>
        <v>371.61142113920016</v>
      </c>
      <c r="N226" s="7">
        <f t="shared" si="29"/>
        <v>0.25853658536585367</v>
      </c>
      <c r="O226" s="7">
        <f t="shared" si="30"/>
        <v>0.99259259259259258</v>
      </c>
      <c r="P226" s="7">
        <f t="shared" si="31"/>
        <v>0.99259259259259258</v>
      </c>
      <c r="Q226" s="4" t="str">
        <f t="shared" si="32"/>
        <v>Businesses</v>
      </c>
      <c r="R226" s="16">
        <f t="shared" si="33"/>
        <v>0.99481481481481482</v>
      </c>
      <c r="S226" s="14">
        <f t="shared" si="34"/>
        <v>4</v>
      </c>
      <c r="T226" s="6" t="e">
        <f t="shared" si="35"/>
        <v>#REF!</v>
      </c>
      <c r="U226" s="17"/>
      <c r="V226" s="4" t="s">
        <v>971</v>
      </c>
    </row>
    <row r="227" spans="1:22" x14ac:dyDescent="0.45">
      <c r="A227" s="14">
        <v>226</v>
      </c>
      <c r="B227" s="4" t="s">
        <v>1436</v>
      </c>
      <c r="C227" s="4" t="s">
        <v>1437</v>
      </c>
      <c r="D227" s="5" t="e">
        <f>SUMIFS(#REF!,#REF!,$C227)</f>
        <v>#REF!</v>
      </c>
      <c r="E227" s="5" t="e">
        <f>SUMIFS(#REF!,#REF!,$C227)</f>
        <v>#REF!</v>
      </c>
      <c r="F227" s="5" t="e">
        <f>SUMIFS(#REF!,#REF!,$C227)</f>
        <v>#REF!</v>
      </c>
      <c r="G227" s="5" t="e">
        <f>SUMIFS(#REF!,#REF!,$C227)</f>
        <v>#REF!</v>
      </c>
      <c r="H227" s="4"/>
      <c r="I227" s="5">
        <v>675</v>
      </c>
      <c r="J227" s="5">
        <f>SUMIFS('Business Licences by Community'!$D$2:$D$318,'Business Licences by Community'!$C$2:$C$318,$C227)</f>
        <v>3</v>
      </c>
      <c r="K227" s="15">
        <v>0.26712599999999997</v>
      </c>
      <c r="L227" s="5">
        <f t="shared" si="27"/>
        <v>2526.8974191954362</v>
      </c>
      <c r="M227" s="6">
        <f t="shared" si="28"/>
        <v>11.230655196424161</v>
      </c>
      <c r="N227" s="7">
        <f t="shared" si="29"/>
        <v>0.44878048780487806</v>
      </c>
      <c r="O227" s="7">
        <f t="shared" si="30"/>
        <v>0.38148148148148148</v>
      </c>
      <c r="P227" s="7">
        <f t="shared" si="31"/>
        <v>0.44878048780487806</v>
      </c>
      <c r="Q227" s="4" t="str">
        <f t="shared" si="32"/>
        <v>Residents</v>
      </c>
      <c r="R227" s="16">
        <f t="shared" si="33"/>
        <v>0.61414634146341462</v>
      </c>
      <c r="S227" s="14">
        <f t="shared" si="34"/>
        <v>197</v>
      </c>
      <c r="T227" s="6" t="e">
        <f t="shared" si="35"/>
        <v>#REF!</v>
      </c>
      <c r="U227" s="17"/>
      <c r="V227" s="4" t="s">
        <v>971</v>
      </c>
    </row>
    <row r="228" spans="1:22" x14ac:dyDescent="0.45">
      <c r="A228" s="14">
        <v>227</v>
      </c>
      <c r="B228" s="4" t="s">
        <v>1438</v>
      </c>
      <c r="C228" s="4" t="s">
        <v>1439</v>
      </c>
      <c r="D228" s="5" t="e">
        <f>SUMIFS(#REF!,#REF!,$C228)</f>
        <v>#REF!</v>
      </c>
      <c r="E228" s="5" t="e">
        <f>SUMIFS(#REF!,#REF!,$C228)</f>
        <v>#REF!</v>
      </c>
      <c r="F228" s="5" t="e">
        <f>SUMIFS(#REF!,#REF!,$C228)</f>
        <v>#REF!</v>
      </c>
      <c r="G228" s="5" t="e">
        <f>SUMIFS(#REF!,#REF!,$C228)</f>
        <v>#REF!</v>
      </c>
      <c r="H228" s="4" t="s">
        <v>1141</v>
      </c>
      <c r="I228" s="5"/>
      <c r="J228" s="5">
        <f>SUMIFS('Business Licences by Community'!$D$2:$D$318,'Business Licences by Community'!$C$2:$C$318,$C228)</f>
        <v>197</v>
      </c>
      <c r="K228" s="15">
        <v>20.588954000000001</v>
      </c>
      <c r="L228" s="5" t="str">
        <f t="shared" si="27"/>
        <v/>
      </c>
      <c r="M228" s="6">
        <f t="shared" si="28"/>
        <v>9.5682374150721792</v>
      </c>
      <c r="N228" s="7" t="str">
        <f t="shared" si="29"/>
        <v/>
      </c>
      <c r="O228" s="7">
        <f t="shared" si="30"/>
        <v>0.33333333333333331</v>
      </c>
      <c r="P228" s="7">
        <f t="shared" si="31"/>
        <v>0.33333333333333331</v>
      </c>
      <c r="Q228" s="4" t="str">
        <f t="shared" si="32"/>
        <v>Businesses</v>
      </c>
      <c r="R228" s="16">
        <f t="shared" si="33"/>
        <v>0.53333333333333333</v>
      </c>
      <c r="S228" s="14">
        <f t="shared" si="34"/>
        <v>223</v>
      </c>
      <c r="T228" s="6" t="str">
        <f t="shared" si="35"/>
        <v/>
      </c>
      <c r="U228" s="17"/>
      <c r="V228" s="4" t="s">
        <v>971</v>
      </c>
    </row>
    <row r="229" spans="1:22" x14ac:dyDescent="0.45">
      <c r="A229" s="14">
        <v>228</v>
      </c>
      <c r="B229" s="4" t="s">
        <v>1440</v>
      </c>
      <c r="C229" s="4" t="s">
        <v>1441</v>
      </c>
      <c r="D229" s="5" t="e">
        <f>SUMIFS(#REF!,#REF!,$C229)</f>
        <v>#REF!</v>
      </c>
      <c r="E229" s="5" t="e">
        <f>SUMIFS(#REF!,#REF!,$C229)</f>
        <v>#REF!</v>
      </c>
      <c r="F229" s="5" t="e">
        <f>SUMIFS(#REF!,#REF!,$C229)</f>
        <v>#REF!</v>
      </c>
      <c r="G229" s="5" t="e">
        <f>SUMIFS(#REF!,#REF!,$C229)</f>
        <v>#REF!</v>
      </c>
      <c r="H229" s="4"/>
      <c r="I229" s="5">
        <v>1055</v>
      </c>
      <c r="J229" s="5">
        <f>SUMIFS('Business Licences by Community'!$D$2:$D$318,'Business Licences by Community'!$C$2:$C$318,$C229)</f>
        <v>48</v>
      </c>
      <c r="K229" s="15">
        <v>1.190709</v>
      </c>
      <c r="L229" s="5">
        <f t="shared" si="27"/>
        <v>886.02672861295241</v>
      </c>
      <c r="M229" s="6">
        <f t="shared" si="28"/>
        <v>40.312116562485038</v>
      </c>
      <c r="N229" s="7">
        <f t="shared" si="29"/>
        <v>6.8292682926829273E-2</v>
      </c>
      <c r="O229" s="7">
        <f t="shared" si="30"/>
        <v>0.72222222222222221</v>
      </c>
      <c r="P229" s="7">
        <f t="shared" si="31"/>
        <v>0.72222222222222221</v>
      </c>
      <c r="Q229" s="4" t="str">
        <f t="shared" si="32"/>
        <v>Businesses</v>
      </c>
      <c r="R229" s="16">
        <f t="shared" si="33"/>
        <v>0.80555555555555558</v>
      </c>
      <c r="S229" s="14">
        <f t="shared" si="34"/>
        <v>116</v>
      </c>
      <c r="T229" s="6" t="e">
        <f t="shared" si="35"/>
        <v>#REF!</v>
      </c>
      <c r="U229" s="17"/>
      <c r="V229" s="4" t="s">
        <v>971</v>
      </c>
    </row>
    <row r="230" spans="1:22" x14ac:dyDescent="0.45">
      <c r="A230" s="14">
        <v>229</v>
      </c>
      <c r="B230" s="4" t="s">
        <v>1442</v>
      </c>
      <c r="C230" s="4" t="s">
        <v>1443</v>
      </c>
      <c r="D230" s="5" t="e">
        <f>SUMIFS(#REF!,#REF!,$C230)</f>
        <v>#REF!</v>
      </c>
      <c r="E230" s="5" t="e">
        <f>SUMIFS(#REF!,#REF!,$C230)</f>
        <v>#REF!</v>
      </c>
      <c r="F230" s="5" t="e">
        <f>SUMIFS(#REF!,#REF!,$C230)</f>
        <v>#REF!</v>
      </c>
      <c r="G230" s="5" t="e">
        <f>SUMIFS(#REF!,#REF!,$C230)</f>
        <v>#REF!</v>
      </c>
      <c r="H230" s="4"/>
      <c r="I230" s="5">
        <v>960</v>
      </c>
      <c r="J230" s="5">
        <f>SUMIFS('Business Licences by Community'!$D$2:$D$318,'Business Licences by Community'!$C$2:$C$318,$C230)</f>
        <v>48</v>
      </c>
      <c r="K230" s="15">
        <v>1.15347</v>
      </c>
      <c r="L230" s="5">
        <f t="shared" si="27"/>
        <v>832.27132045046687</v>
      </c>
      <c r="M230" s="6">
        <f t="shared" si="28"/>
        <v>41.613566022523344</v>
      </c>
      <c r="N230" s="7">
        <f t="shared" si="29"/>
        <v>5.8536585365853662E-2</v>
      </c>
      <c r="O230" s="7">
        <f t="shared" si="30"/>
        <v>0.72962962962962963</v>
      </c>
      <c r="P230" s="7">
        <f t="shared" si="31"/>
        <v>0.72962962962962963</v>
      </c>
      <c r="Q230" s="4" t="str">
        <f t="shared" si="32"/>
        <v>Businesses</v>
      </c>
      <c r="R230" s="16">
        <f t="shared" si="33"/>
        <v>0.81074074074074076</v>
      </c>
      <c r="S230" s="14">
        <f t="shared" si="34"/>
        <v>114</v>
      </c>
      <c r="T230" s="6" t="e">
        <f t="shared" si="35"/>
        <v>#REF!</v>
      </c>
      <c r="U230" s="17"/>
      <c r="V230" s="4" t="s">
        <v>971</v>
      </c>
    </row>
    <row r="231" spans="1:22" x14ac:dyDescent="0.45">
      <c r="A231" s="14">
        <v>230</v>
      </c>
      <c r="B231" s="4" t="s">
        <v>1444</v>
      </c>
      <c r="C231" s="4" t="s">
        <v>1445</v>
      </c>
      <c r="D231" s="5" t="e">
        <f>SUMIFS(#REF!,#REF!,$C231)</f>
        <v>#REF!</v>
      </c>
      <c r="E231" s="5" t="e">
        <f>SUMIFS(#REF!,#REF!,$C231)</f>
        <v>#REF!</v>
      </c>
      <c r="F231" s="5" t="e">
        <f>SUMIFS(#REF!,#REF!,$C231)</f>
        <v>#REF!</v>
      </c>
      <c r="G231" s="5" t="e">
        <f>SUMIFS(#REF!,#REF!,$C231)</f>
        <v>#REF!</v>
      </c>
      <c r="H231" s="4" t="s">
        <v>1141</v>
      </c>
      <c r="I231" s="5"/>
      <c r="J231" s="5">
        <f>SUMIFS('Business Licences by Community'!$D$2:$D$318,'Business Licences by Community'!$C$2:$C$318,$C231)</f>
        <v>412</v>
      </c>
      <c r="K231" s="15">
        <v>2.388163</v>
      </c>
      <c r="L231" s="5" t="str">
        <f t="shared" si="27"/>
        <v/>
      </c>
      <c r="M231" s="6">
        <f t="shared" si="28"/>
        <v>172.51753753826685</v>
      </c>
      <c r="N231" s="7" t="str">
        <f t="shared" si="29"/>
        <v/>
      </c>
      <c r="O231" s="7">
        <f t="shared" si="30"/>
        <v>0.92592592592592593</v>
      </c>
      <c r="P231" s="7">
        <f t="shared" si="31"/>
        <v>0.92592592592592593</v>
      </c>
      <c r="Q231" s="4" t="str">
        <f t="shared" si="32"/>
        <v>Businesses</v>
      </c>
      <c r="R231" s="16">
        <f t="shared" si="33"/>
        <v>0.94814814814814818</v>
      </c>
      <c r="S231" s="14">
        <f t="shared" si="34"/>
        <v>30</v>
      </c>
      <c r="T231" s="6" t="str">
        <f t="shared" si="35"/>
        <v/>
      </c>
      <c r="U231" s="17"/>
      <c r="V231" s="4" t="s">
        <v>971</v>
      </c>
    </row>
    <row r="232" spans="1:22" x14ac:dyDescent="0.45">
      <c r="A232" s="14">
        <v>231</v>
      </c>
      <c r="B232" s="4" t="s">
        <v>1446</v>
      </c>
      <c r="C232" s="4" t="s">
        <v>1447</v>
      </c>
      <c r="D232" s="5" t="e">
        <f>SUMIFS(#REF!,#REF!,$C232)</f>
        <v>#REF!</v>
      </c>
      <c r="E232" s="5" t="e">
        <f>SUMIFS(#REF!,#REF!,$C232)</f>
        <v>#REF!</v>
      </c>
      <c r="F232" s="5" t="e">
        <f>SUMIFS(#REF!,#REF!,$C232)</f>
        <v>#REF!</v>
      </c>
      <c r="G232" s="5" t="e">
        <f>SUMIFS(#REF!,#REF!,$C232)</f>
        <v>#REF!</v>
      </c>
      <c r="H232" s="4"/>
      <c r="I232" s="5">
        <v>1590</v>
      </c>
      <c r="J232" s="5">
        <f>SUMIFS('Business Licences by Community'!$D$2:$D$318,'Business Licences by Community'!$C$2:$C$318,$C232)</f>
        <v>83</v>
      </c>
      <c r="K232" s="15">
        <v>1.485457</v>
      </c>
      <c r="L232" s="5">
        <f t="shared" si="27"/>
        <v>1070.3776682865946</v>
      </c>
      <c r="M232" s="6">
        <f t="shared" si="28"/>
        <v>55.87506067156437</v>
      </c>
      <c r="N232" s="7">
        <f t="shared" si="29"/>
        <v>8.7804878048780483E-2</v>
      </c>
      <c r="O232" s="7">
        <f t="shared" si="30"/>
        <v>0.78148148148148144</v>
      </c>
      <c r="P232" s="7">
        <f t="shared" si="31"/>
        <v>0.78148148148148144</v>
      </c>
      <c r="Q232" s="4" t="str">
        <f t="shared" si="32"/>
        <v>Businesses</v>
      </c>
      <c r="R232" s="16">
        <f t="shared" si="33"/>
        <v>0.84703703703703703</v>
      </c>
      <c r="S232" s="14">
        <f t="shared" si="34"/>
        <v>92</v>
      </c>
      <c r="T232" s="6" t="e">
        <f t="shared" si="35"/>
        <v>#REF!</v>
      </c>
      <c r="U232" s="17"/>
      <c r="V232" s="4" t="s">
        <v>971</v>
      </c>
    </row>
    <row r="233" spans="1:22" x14ac:dyDescent="0.45">
      <c r="A233" s="14">
        <v>232</v>
      </c>
      <c r="B233" s="4" t="s">
        <v>1448</v>
      </c>
      <c r="C233" s="4" t="s">
        <v>1449</v>
      </c>
      <c r="D233" s="5" t="e">
        <f>SUMIFS(#REF!,#REF!,$C233)</f>
        <v>#REF!</v>
      </c>
      <c r="E233" s="5" t="e">
        <f>SUMIFS(#REF!,#REF!,$C233)</f>
        <v>#REF!</v>
      </c>
      <c r="F233" s="5" t="e">
        <f>SUMIFS(#REF!,#REF!,$C233)</f>
        <v>#REF!</v>
      </c>
      <c r="G233" s="5" t="e">
        <f>SUMIFS(#REF!,#REF!,$C233)</f>
        <v>#REF!</v>
      </c>
      <c r="H233" s="4"/>
      <c r="I233" s="5">
        <v>430</v>
      </c>
      <c r="J233" s="5">
        <f>SUMIFS('Business Licences by Community'!$D$2:$D$318,'Business Licences by Community'!$C$2:$C$318,$C233)</f>
        <v>3</v>
      </c>
      <c r="K233" s="15">
        <v>15.288576000000001</v>
      </c>
      <c r="L233" s="5">
        <f t="shared" si="27"/>
        <v>28.125575593174929</v>
      </c>
      <c r="M233" s="6">
        <f t="shared" si="28"/>
        <v>0.19622494599889484</v>
      </c>
      <c r="N233" s="7">
        <f t="shared" si="29"/>
        <v>0</v>
      </c>
      <c r="O233" s="7">
        <f t="shared" si="30"/>
        <v>1.4814814814814815E-2</v>
      </c>
      <c r="P233" s="7">
        <f t="shared" si="31"/>
        <v>1.4814814814814815E-2</v>
      </c>
      <c r="Q233" s="4" t="str">
        <f t="shared" si="32"/>
        <v>Businesses</v>
      </c>
      <c r="R233" s="16">
        <f t="shared" si="33"/>
        <v>0.31037037037037035</v>
      </c>
      <c r="S233" s="14">
        <f t="shared" si="34"/>
        <v>277</v>
      </c>
      <c r="T233" s="6" t="e">
        <f t="shared" si="35"/>
        <v>#REF!</v>
      </c>
      <c r="U233" s="17"/>
      <c r="V233" s="4" t="s">
        <v>971</v>
      </c>
    </row>
    <row r="234" spans="1:22" x14ac:dyDescent="0.45">
      <c r="A234" s="14">
        <v>233</v>
      </c>
      <c r="B234" s="4" t="s">
        <v>1450</v>
      </c>
      <c r="C234" s="4" t="s">
        <v>1451</v>
      </c>
      <c r="D234" s="5" t="e">
        <f>SUMIFS(#REF!,#REF!,$C234)</f>
        <v>#REF!</v>
      </c>
      <c r="E234" s="5" t="e">
        <f>SUMIFS(#REF!,#REF!,$C234)</f>
        <v>#REF!</v>
      </c>
      <c r="F234" s="5" t="e">
        <f>SUMIFS(#REF!,#REF!,$C234)</f>
        <v>#REF!</v>
      </c>
      <c r="G234" s="5" t="e">
        <f>SUMIFS(#REF!,#REF!,$C234)</f>
        <v>#REF!</v>
      </c>
      <c r="H234" s="4"/>
      <c r="I234" s="5">
        <v>415</v>
      </c>
      <c r="J234" s="5">
        <f>SUMIFS('Business Licences by Community'!$D$2:$D$318,'Business Licences by Community'!$C$2:$C$318,$C234)</f>
        <v>0</v>
      </c>
      <c r="K234" s="15">
        <v>0.27196399999999998</v>
      </c>
      <c r="L234" s="5">
        <f t="shared" si="27"/>
        <v>1525.9372564015825</v>
      </c>
      <c r="M234" s="6" t="str">
        <f t="shared" si="28"/>
        <v/>
      </c>
      <c r="N234" s="7">
        <f t="shared" si="29"/>
        <v>0.18048780487804877</v>
      </c>
      <c r="O234" s="7" t="str">
        <f t="shared" si="30"/>
        <v/>
      </c>
      <c r="P234" s="7">
        <f t="shared" si="31"/>
        <v>0.18048780487804877</v>
      </c>
      <c r="Q234" s="4" t="str">
        <f t="shared" si="32"/>
        <v>Residents</v>
      </c>
      <c r="R234" s="16">
        <f t="shared" si="33"/>
        <v>0.42634146341463414</v>
      </c>
      <c r="S234" s="14">
        <f t="shared" si="34"/>
        <v>245</v>
      </c>
      <c r="T234" s="6" t="e">
        <f t="shared" si="35"/>
        <v>#REF!</v>
      </c>
      <c r="U234" s="17"/>
      <c r="V234" s="4" t="s">
        <v>971</v>
      </c>
    </row>
    <row r="235" spans="1:22" x14ac:dyDescent="0.45">
      <c r="A235" s="14">
        <v>234</v>
      </c>
      <c r="B235" s="4" t="s">
        <v>1452</v>
      </c>
      <c r="C235" s="4" t="s">
        <v>1453</v>
      </c>
      <c r="D235" s="5" t="e">
        <f>SUMIFS(#REF!,#REF!,$C235)</f>
        <v>#REF!</v>
      </c>
      <c r="E235" s="5" t="e">
        <f>SUMIFS(#REF!,#REF!,$C235)</f>
        <v>#REF!</v>
      </c>
      <c r="F235" s="5" t="e">
        <f>SUMIFS(#REF!,#REF!,$C235)</f>
        <v>#REF!</v>
      </c>
      <c r="G235" s="5" t="e">
        <f>SUMIFS(#REF!,#REF!,$C235)</f>
        <v>#REF!</v>
      </c>
      <c r="H235" s="4"/>
      <c r="I235" s="5">
        <v>260</v>
      </c>
      <c r="J235" s="5">
        <f>SUMIFS('Business Licences by Community'!$D$2:$D$318,'Business Licences by Community'!$C$2:$C$318,$C235)</f>
        <v>5</v>
      </c>
      <c r="K235" s="15">
        <v>0.37636599999999998</v>
      </c>
      <c r="L235" s="5">
        <f t="shared" si="27"/>
        <v>690.81691757491387</v>
      </c>
      <c r="M235" s="6">
        <f t="shared" si="28"/>
        <v>13.284940722594497</v>
      </c>
      <c r="N235" s="7">
        <f t="shared" si="29"/>
        <v>3.9024390243902439E-2</v>
      </c>
      <c r="O235" s="7">
        <f t="shared" si="30"/>
        <v>0.43703703703703706</v>
      </c>
      <c r="P235" s="7">
        <f t="shared" si="31"/>
        <v>0.43703703703703706</v>
      </c>
      <c r="Q235" s="4" t="str">
        <f t="shared" si="32"/>
        <v>Businesses</v>
      </c>
      <c r="R235" s="16">
        <f t="shared" si="33"/>
        <v>0.60592592592592598</v>
      </c>
      <c r="S235" s="14">
        <f t="shared" si="34"/>
        <v>201</v>
      </c>
      <c r="T235" s="6" t="e">
        <f t="shared" si="35"/>
        <v>#REF!</v>
      </c>
      <c r="U235" s="17"/>
      <c r="V235" s="4" t="s">
        <v>971</v>
      </c>
    </row>
    <row r="236" spans="1:22" x14ac:dyDescent="0.45">
      <c r="A236" s="14">
        <v>235</v>
      </c>
      <c r="B236" s="4" t="s">
        <v>1454</v>
      </c>
      <c r="C236" s="4" t="s">
        <v>1455</v>
      </c>
      <c r="D236" s="5" t="e">
        <f>SUMIFS(#REF!,#REF!,$C236)</f>
        <v>#REF!</v>
      </c>
      <c r="E236" s="5" t="e">
        <f>SUMIFS(#REF!,#REF!,$C236)</f>
        <v>#REF!</v>
      </c>
      <c r="F236" s="5" t="e">
        <f>SUMIFS(#REF!,#REF!,$C236)</f>
        <v>#REF!</v>
      </c>
      <c r="G236" s="5" t="e">
        <f>SUMIFS(#REF!,#REF!,$C236)</f>
        <v>#REF!</v>
      </c>
      <c r="H236" s="4" t="s">
        <v>1141</v>
      </c>
      <c r="I236" s="5"/>
      <c r="J236" s="5">
        <f>SUMIFS('Business Licences by Community'!$D$2:$D$318,'Business Licences by Community'!$C$2:$C$318,$C236)</f>
        <v>208</v>
      </c>
      <c r="K236" s="15">
        <v>1.3832279999999999</v>
      </c>
      <c r="L236" s="5" t="str">
        <f t="shared" si="27"/>
        <v/>
      </c>
      <c r="M236" s="6">
        <f t="shared" si="28"/>
        <v>150.37289586387783</v>
      </c>
      <c r="N236" s="7" t="str">
        <f t="shared" si="29"/>
        <v/>
      </c>
      <c r="O236" s="7">
        <f t="shared" si="30"/>
        <v>0.91851851851851851</v>
      </c>
      <c r="P236" s="7">
        <f t="shared" si="31"/>
        <v>0.91851851851851851</v>
      </c>
      <c r="Q236" s="4" t="str">
        <f t="shared" si="32"/>
        <v>Businesses</v>
      </c>
      <c r="R236" s="16">
        <f t="shared" si="33"/>
        <v>0.942962962962963</v>
      </c>
      <c r="S236" s="14">
        <f t="shared" si="34"/>
        <v>32</v>
      </c>
      <c r="T236" s="6" t="str">
        <f t="shared" si="35"/>
        <v/>
      </c>
      <c r="U236" s="17"/>
      <c r="V236" s="4" t="s">
        <v>971</v>
      </c>
    </row>
    <row r="237" spans="1:22" x14ac:dyDescent="0.45">
      <c r="A237" s="14">
        <v>236</v>
      </c>
      <c r="B237" s="4" t="s">
        <v>1456</v>
      </c>
      <c r="C237" s="4" t="s">
        <v>1457</v>
      </c>
      <c r="D237" s="5" t="e">
        <f>SUMIFS(#REF!,#REF!,$C237)</f>
        <v>#REF!</v>
      </c>
      <c r="E237" s="5" t="e">
        <f>SUMIFS(#REF!,#REF!,$C237)</f>
        <v>#REF!</v>
      </c>
      <c r="F237" s="5" t="e">
        <f>SUMIFS(#REF!,#REF!,$C237)</f>
        <v>#REF!</v>
      </c>
      <c r="G237" s="5" t="e">
        <f>SUMIFS(#REF!,#REF!,$C237)</f>
        <v>#REF!</v>
      </c>
      <c r="H237" s="4" t="s">
        <v>1141</v>
      </c>
      <c r="I237" s="5"/>
      <c r="J237" s="5">
        <f>SUMIFS('Business Licences by Community'!$D$2:$D$318,'Business Licences by Community'!$C$2:$C$318,$C237)</f>
        <v>160</v>
      </c>
      <c r="K237" s="15">
        <v>1.5333060000000001</v>
      </c>
      <c r="L237" s="5" t="str">
        <f t="shared" si="27"/>
        <v/>
      </c>
      <c r="M237" s="6">
        <f t="shared" si="28"/>
        <v>104.3496862335372</v>
      </c>
      <c r="N237" s="7" t="str">
        <f t="shared" si="29"/>
        <v/>
      </c>
      <c r="O237" s="7">
        <f t="shared" si="30"/>
        <v>0.87407407407407411</v>
      </c>
      <c r="P237" s="7">
        <f t="shared" si="31"/>
        <v>0.87407407407407411</v>
      </c>
      <c r="Q237" s="4" t="str">
        <f t="shared" si="32"/>
        <v>Businesses</v>
      </c>
      <c r="R237" s="16">
        <f t="shared" si="33"/>
        <v>0.91185185185185191</v>
      </c>
      <c r="S237" s="14">
        <f t="shared" si="34"/>
        <v>52</v>
      </c>
      <c r="T237" s="6" t="str">
        <f t="shared" si="35"/>
        <v/>
      </c>
      <c r="U237" s="17"/>
      <c r="V237" s="4" t="s">
        <v>971</v>
      </c>
    </row>
    <row r="238" spans="1:22" x14ac:dyDescent="0.45">
      <c r="A238" s="14">
        <v>237</v>
      </c>
      <c r="B238" s="4" t="s">
        <v>1458</v>
      </c>
      <c r="C238" s="4" t="s">
        <v>1459</v>
      </c>
      <c r="D238" s="5" t="e">
        <f>SUMIFS(#REF!,#REF!,$C238)</f>
        <v>#REF!</v>
      </c>
      <c r="E238" s="5" t="e">
        <f>SUMIFS(#REF!,#REF!,$C238)</f>
        <v>#REF!</v>
      </c>
      <c r="F238" s="5" t="e">
        <f>SUMIFS(#REF!,#REF!,$C238)</f>
        <v>#REF!</v>
      </c>
      <c r="G238" s="5" t="e">
        <f>SUMIFS(#REF!,#REF!,$C238)</f>
        <v>#REF!</v>
      </c>
      <c r="H238" s="4" t="s">
        <v>1141</v>
      </c>
      <c r="I238" s="5"/>
      <c r="J238" s="5">
        <f>SUMIFS('Business Licences by Community'!$D$2:$D$318,'Business Licences by Community'!$C$2:$C$318,$C238)</f>
        <v>56</v>
      </c>
      <c r="K238" s="15">
        <v>3.0739290000000001</v>
      </c>
      <c r="L238" s="5" t="str">
        <f t="shared" si="27"/>
        <v/>
      </c>
      <c r="M238" s="6">
        <f t="shared" si="28"/>
        <v>18.217727214909647</v>
      </c>
      <c r="N238" s="7" t="str">
        <f t="shared" si="29"/>
        <v/>
      </c>
      <c r="O238" s="7">
        <f t="shared" si="30"/>
        <v>0.53703703703703709</v>
      </c>
      <c r="P238" s="7">
        <f t="shared" si="31"/>
        <v>0.53703703703703709</v>
      </c>
      <c r="Q238" s="4" t="str">
        <f t="shared" si="32"/>
        <v>Businesses</v>
      </c>
      <c r="R238" s="16">
        <f t="shared" si="33"/>
        <v>0.67592592592592593</v>
      </c>
      <c r="S238" s="14">
        <f t="shared" si="34"/>
        <v>175</v>
      </c>
      <c r="T238" s="6" t="str">
        <f t="shared" si="35"/>
        <v/>
      </c>
      <c r="U238" s="17"/>
      <c r="V238" s="4" t="s">
        <v>971</v>
      </c>
    </row>
    <row r="239" spans="1:22" x14ac:dyDescent="0.45">
      <c r="A239" s="14">
        <v>238</v>
      </c>
      <c r="B239" s="4" t="s">
        <v>1460</v>
      </c>
      <c r="C239" s="4" t="s">
        <v>1461</v>
      </c>
      <c r="D239" s="5" t="e">
        <f>SUMIFS(#REF!,#REF!,$C239)</f>
        <v>#REF!</v>
      </c>
      <c r="E239" s="5" t="e">
        <f>SUMIFS(#REF!,#REF!,$C239)</f>
        <v>#REF!</v>
      </c>
      <c r="F239" s="5" t="e">
        <f>SUMIFS(#REF!,#REF!,$C239)</f>
        <v>#REF!</v>
      </c>
      <c r="G239" s="5" t="e">
        <f>SUMIFS(#REF!,#REF!,$C239)</f>
        <v>#REF!</v>
      </c>
      <c r="H239" s="4" t="s">
        <v>1141</v>
      </c>
      <c r="I239" s="5"/>
      <c r="J239" s="5">
        <f>SUMIFS('Business Licences by Community'!$D$2:$D$318,'Business Licences by Community'!$C$2:$C$318,$C239)</f>
        <v>49</v>
      </c>
      <c r="K239" s="15">
        <v>1.5011810000000001</v>
      </c>
      <c r="L239" s="5" t="str">
        <f t="shared" si="27"/>
        <v/>
      </c>
      <c r="M239" s="6">
        <f t="shared" si="28"/>
        <v>32.64096734504367</v>
      </c>
      <c r="N239" s="7" t="str">
        <f t="shared" si="29"/>
        <v/>
      </c>
      <c r="O239" s="7">
        <f t="shared" si="30"/>
        <v>0.67777777777777781</v>
      </c>
      <c r="P239" s="7">
        <f t="shared" si="31"/>
        <v>0.67777777777777781</v>
      </c>
      <c r="Q239" s="4" t="str">
        <f t="shared" si="32"/>
        <v>Businesses</v>
      </c>
      <c r="R239" s="16">
        <f t="shared" si="33"/>
        <v>0.77444444444444449</v>
      </c>
      <c r="S239" s="14">
        <f t="shared" si="34"/>
        <v>133</v>
      </c>
      <c r="T239" s="6" t="str">
        <f t="shared" si="35"/>
        <v/>
      </c>
      <c r="U239" s="17"/>
      <c r="V239" s="4" t="s">
        <v>971</v>
      </c>
    </row>
    <row r="240" spans="1:22" x14ac:dyDescent="0.45">
      <c r="A240" s="14">
        <v>239</v>
      </c>
      <c r="B240" s="4" t="s">
        <v>1462</v>
      </c>
      <c r="C240" s="4" t="s">
        <v>1463</v>
      </c>
      <c r="D240" s="5" t="e">
        <f>SUMIFS(#REF!,#REF!,$C240)</f>
        <v>#REF!</v>
      </c>
      <c r="E240" s="5" t="e">
        <f>SUMIFS(#REF!,#REF!,$C240)</f>
        <v>#REF!</v>
      </c>
      <c r="F240" s="5" t="e">
        <f>SUMIFS(#REF!,#REF!,$C240)</f>
        <v>#REF!</v>
      </c>
      <c r="G240" s="5" t="e">
        <f>SUMIFS(#REF!,#REF!,$C240)</f>
        <v>#REF!</v>
      </c>
      <c r="H240" s="4" t="s">
        <v>1141</v>
      </c>
      <c r="I240" s="5"/>
      <c r="J240" s="5">
        <f>SUMIFS('Business Licences by Community'!$D$2:$D$318,'Business Licences by Community'!$C$2:$C$318,$C240)</f>
        <v>162</v>
      </c>
      <c r="K240" s="15">
        <v>1.3125199999999999</v>
      </c>
      <c r="L240" s="5" t="str">
        <f t="shared" si="27"/>
        <v/>
      </c>
      <c r="M240" s="6">
        <f t="shared" si="28"/>
        <v>123.42669064090452</v>
      </c>
      <c r="N240" s="7" t="str">
        <f t="shared" si="29"/>
        <v/>
      </c>
      <c r="O240" s="7">
        <f t="shared" si="30"/>
        <v>0.9</v>
      </c>
      <c r="P240" s="7">
        <f t="shared" si="31"/>
        <v>0.9</v>
      </c>
      <c r="Q240" s="4" t="str">
        <f t="shared" si="32"/>
        <v>Businesses</v>
      </c>
      <c r="R240" s="16">
        <f t="shared" si="33"/>
        <v>0.92999999999999994</v>
      </c>
      <c r="S240" s="14">
        <f t="shared" si="34"/>
        <v>40</v>
      </c>
      <c r="T240" s="6" t="str">
        <f t="shared" si="35"/>
        <v/>
      </c>
      <c r="U240" s="17"/>
      <c r="V240" s="4" t="s">
        <v>971</v>
      </c>
    </row>
    <row r="241" spans="1:22" x14ac:dyDescent="0.45">
      <c r="A241" s="14">
        <v>240</v>
      </c>
      <c r="B241" s="4" t="s">
        <v>1464</v>
      </c>
      <c r="C241" s="4" t="s">
        <v>1465</v>
      </c>
      <c r="D241" s="5" t="e">
        <f>SUMIFS(#REF!,#REF!,$C241)</f>
        <v>#REF!</v>
      </c>
      <c r="E241" s="5" t="e">
        <f>SUMIFS(#REF!,#REF!,$C241)</f>
        <v>#REF!</v>
      </c>
      <c r="F241" s="5" t="e">
        <f>SUMIFS(#REF!,#REF!,$C241)</f>
        <v>#REF!</v>
      </c>
      <c r="G241" s="5" t="e">
        <f>SUMIFS(#REF!,#REF!,$C241)</f>
        <v>#REF!</v>
      </c>
      <c r="H241" s="4" t="s">
        <v>1141</v>
      </c>
      <c r="I241" s="5"/>
      <c r="J241" s="5">
        <f>SUMIFS('Business Licences by Community'!$D$2:$D$318,'Business Licences by Community'!$C$2:$C$318,$C241)</f>
        <v>263</v>
      </c>
      <c r="K241" s="15">
        <v>1.2108319999999999</v>
      </c>
      <c r="L241" s="5" t="str">
        <f t="shared" si="27"/>
        <v/>
      </c>
      <c r="M241" s="6">
        <f t="shared" si="28"/>
        <v>217.2060203232158</v>
      </c>
      <c r="N241" s="7" t="str">
        <f t="shared" si="29"/>
        <v/>
      </c>
      <c r="O241" s="7">
        <f t="shared" si="30"/>
        <v>0.95925925925925926</v>
      </c>
      <c r="P241" s="7">
        <f t="shared" si="31"/>
        <v>0.95925925925925926</v>
      </c>
      <c r="Q241" s="4" t="str">
        <f t="shared" si="32"/>
        <v>Businesses</v>
      </c>
      <c r="R241" s="16">
        <f t="shared" si="33"/>
        <v>0.97148148148148139</v>
      </c>
      <c r="S241" s="14">
        <f t="shared" si="34"/>
        <v>16</v>
      </c>
      <c r="T241" s="6" t="str">
        <f t="shared" si="35"/>
        <v/>
      </c>
      <c r="U241" s="17"/>
      <c r="V241" s="4" t="s">
        <v>971</v>
      </c>
    </row>
    <row r="242" spans="1:22" x14ac:dyDescent="0.45">
      <c r="A242" s="14">
        <v>241</v>
      </c>
      <c r="B242" s="4" t="s">
        <v>1466</v>
      </c>
      <c r="C242" s="4" t="s">
        <v>1467</v>
      </c>
      <c r="D242" s="5" t="e">
        <f>SUMIFS(#REF!,#REF!,$C242)</f>
        <v>#REF!</v>
      </c>
      <c r="E242" s="5" t="e">
        <f>SUMIFS(#REF!,#REF!,$C242)</f>
        <v>#REF!</v>
      </c>
      <c r="F242" s="5" t="e">
        <f>SUMIFS(#REF!,#REF!,$C242)</f>
        <v>#REF!</v>
      </c>
      <c r="G242" s="5" t="e">
        <f>SUMIFS(#REF!,#REF!,$C242)</f>
        <v>#REF!</v>
      </c>
      <c r="H242" s="4" t="s">
        <v>1141</v>
      </c>
      <c r="I242" s="5"/>
      <c r="J242" s="5">
        <f>SUMIFS('Business Licences by Community'!$D$2:$D$318,'Business Licences by Community'!$C$2:$C$318,$C242)</f>
        <v>45</v>
      </c>
      <c r="K242" s="15">
        <v>2.538983</v>
      </c>
      <c r="L242" s="5" t="str">
        <f t="shared" si="27"/>
        <v/>
      </c>
      <c r="M242" s="6">
        <f t="shared" si="28"/>
        <v>17.723631863624135</v>
      </c>
      <c r="N242" s="7" t="str">
        <f t="shared" si="29"/>
        <v/>
      </c>
      <c r="O242" s="7">
        <f t="shared" si="30"/>
        <v>0.52592592592592591</v>
      </c>
      <c r="P242" s="7">
        <f t="shared" si="31"/>
        <v>0.52592592592592591</v>
      </c>
      <c r="Q242" s="4" t="str">
        <f t="shared" si="32"/>
        <v>Businesses</v>
      </c>
      <c r="R242" s="16">
        <f t="shared" si="33"/>
        <v>0.66814814814814816</v>
      </c>
      <c r="S242" s="14">
        <f t="shared" si="34"/>
        <v>178</v>
      </c>
      <c r="T242" s="6" t="str">
        <f t="shared" si="35"/>
        <v/>
      </c>
      <c r="U242" s="17"/>
      <c r="V242" s="4" t="s">
        <v>971</v>
      </c>
    </row>
    <row r="243" spans="1:22" x14ac:dyDescent="0.45">
      <c r="A243" s="14">
        <v>242</v>
      </c>
      <c r="B243" s="4" t="s">
        <v>1468</v>
      </c>
      <c r="C243" s="4" t="s">
        <v>1469</v>
      </c>
      <c r="D243" s="5" t="e">
        <f>SUMIFS(#REF!,#REF!,$C243)</f>
        <v>#REF!</v>
      </c>
      <c r="E243" s="5" t="e">
        <f>SUMIFS(#REF!,#REF!,$C243)</f>
        <v>#REF!</v>
      </c>
      <c r="F243" s="5" t="e">
        <f>SUMIFS(#REF!,#REF!,$C243)</f>
        <v>#REF!</v>
      </c>
      <c r="G243" s="5" t="e">
        <f>SUMIFS(#REF!,#REF!,$C243)</f>
        <v>#REF!</v>
      </c>
      <c r="H243" s="4" t="s">
        <v>1141</v>
      </c>
      <c r="I243" s="5"/>
      <c r="J243" s="5">
        <f>SUMIFS('Business Licences by Community'!$D$2:$D$318,'Business Licences by Community'!$C$2:$C$318,$C243)</f>
        <v>133</v>
      </c>
      <c r="K243" s="15">
        <v>3.5602659999999999</v>
      </c>
      <c r="L243" s="5" t="str">
        <f t="shared" si="27"/>
        <v/>
      </c>
      <c r="M243" s="6">
        <f t="shared" si="28"/>
        <v>37.356759298322089</v>
      </c>
      <c r="N243" s="7" t="str">
        <f t="shared" si="29"/>
        <v/>
      </c>
      <c r="O243" s="7">
        <f t="shared" si="30"/>
        <v>0.70370370370370372</v>
      </c>
      <c r="P243" s="7">
        <f t="shared" si="31"/>
        <v>0.70370370370370372</v>
      </c>
      <c r="Q243" s="4" t="str">
        <f t="shared" si="32"/>
        <v>Businesses</v>
      </c>
      <c r="R243" s="16">
        <f t="shared" si="33"/>
        <v>0.79259259259259252</v>
      </c>
      <c r="S243" s="14">
        <f t="shared" si="34"/>
        <v>123</v>
      </c>
      <c r="T243" s="6" t="str">
        <f t="shared" si="35"/>
        <v/>
      </c>
      <c r="U243" s="17"/>
      <c r="V243" s="4" t="s">
        <v>971</v>
      </c>
    </row>
    <row r="244" spans="1:22" x14ac:dyDescent="0.45">
      <c r="A244" s="14">
        <v>243</v>
      </c>
      <c r="B244" s="4" t="s">
        <v>1470</v>
      </c>
      <c r="C244" s="4" t="s">
        <v>1471</v>
      </c>
      <c r="D244" s="5" t="e">
        <f>SUMIFS(#REF!,#REF!,$C244)</f>
        <v>#REF!</v>
      </c>
      <c r="E244" s="5" t="e">
        <f>SUMIFS(#REF!,#REF!,$C244)</f>
        <v>#REF!</v>
      </c>
      <c r="F244" s="5" t="e">
        <f>SUMIFS(#REF!,#REF!,$C244)</f>
        <v>#REF!</v>
      </c>
      <c r="G244" s="5" t="e">
        <f>SUMIFS(#REF!,#REF!,$C244)</f>
        <v>#REF!</v>
      </c>
      <c r="H244" s="4" t="s">
        <v>1141</v>
      </c>
      <c r="I244" s="5"/>
      <c r="J244" s="5">
        <f>SUMIFS('Business Licences by Community'!$D$2:$D$318,'Business Licences by Community'!$C$2:$C$318,$C244)</f>
        <v>98</v>
      </c>
      <c r="K244" s="15">
        <v>1.211319</v>
      </c>
      <c r="L244" s="5" t="str">
        <f t="shared" si="27"/>
        <v/>
      </c>
      <c r="M244" s="6">
        <f t="shared" si="28"/>
        <v>80.903543987999853</v>
      </c>
      <c r="N244" s="7" t="str">
        <f t="shared" si="29"/>
        <v/>
      </c>
      <c r="O244" s="7">
        <f t="shared" si="30"/>
        <v>0.85925925925925928</v>
      </c>
      <c r="P244" s="7">
        <f t="shared" si="31"/>
        <v>0.85925925925925928</v>
      </c>
      <c r="Q244" s="4" t="str">
        <f t="shared" si="32"/>
        <v>Businesses</v>
      </c>
      <c r="R244" s="16">
        <f t="shared" si="33"/>
        <v>0.90148148148148155</v>
      </c>
      <c r="S244" s="14">
        <f t="shared" si="34"/>
        <v>59</v>
      </c>
      <c r="T244" s="6" t="str">
        <f t="shared" si="35"/>
        <v/>
      </c>
      <c r="U244" s="17"/>
      <c r="V244" s="4" t="s">
        <v>971</v>
      </c>
    </row>
    <row r="245" spans="1:22" x14ac:dyDescent="0.45">
      <c r="A245" s="14">
        <v>244</v>
      </c>
      <c r="B245" s="4" t="s">
        <v>1472</v>
      </c>
      <c r="C245" s="4" t="s">
        <v>1473</v>
      </c>
      <c r="D245" s="5" t="e">
        <f>SUMIFS(#REF!,#REF!,$C245)</f>
        <v>#REF!</v>
      </c>
      <c r="E245" s="5" t="e">
        <f>SUMIFS(#REF!,#REF!,$C245)</f>
        <v>#REF!</v>
      </c>
      <c r="F245" s="5" t="e">
        <f>SUMIFS(#REF!,#REF!,$C245)</f>
        <v>#REF!</v>
      </c>
      <c r="G245" s="5" t="e">
        <f>SUMIFS(#REF!,#REF!,$C245)</f>
        <v>#REF!</v>
      </c>
      <c r="H245" s="4" t="s">
        <v>1141</v>
      </c>
      <c r="I245" s="5"/>
      <c r="J245" s="5">
        <f>SUMIFS('Business Licences by Community'!$D$2:$D$318,'Business Licences by Community'!$C$2:$C$318,$C245)</f>
        <v>37</v>
      </c>
      <c r="K245" s="15">
        <v>1.197538</v>
      </c>
      <c r="L245" s="5" t="str">
        <f t="shared" si="27"/>
        <v/>
      </c>
      <c r="M245" s="6">
        <f t="shared" si="28"/>
        <v>30.896723110247859</v>
      </c>
      <c r="N245" s="7" t="str">
        <f t="shared" si="29"/>
        <v/>
      </c>
      <c r="O245" s="7">
        <f t="shared" si="30"/>
        <v>0.65925925925925921</v>
      </c>
      <c r="P245" s="7">
        <f t="shared" si="31"/>
        <v>0.65925925925925921</v>
      </c>
      <c r="Q245" s="4" t="str">
        <f t="shared" si="32"/>
        <v>Businesses</v>
      </c>
      <c r="R245" s="16">
        <f t="shared" si="33"/>
        <v>0.76148148148148143</v>
      </c>
      <c r="S245" s="14">
        <f t="shared" si="34"/>
        <v>138</v>
      </c>
      <c r="T245" s="6" t="str">
        <f t="shared" si="35"/>
        <v/>
      </c>
      <c r="U245" s="17"/>
      <c r="V245" s="4" t="s">
        <v>971</v>
      </c>
    </row>
    <row r="246" spans="1:22" x14ac:dyDescent="0.45">
      <c r="A246" s="14">
        <v>245</v>
      </c>
      <c r="B246" s="4" t="s">
        <v>1474</v>
      </c>
      <c r="C246" s="4" t="s">
        <v>1474</v>
      </c>
      <c r="D246" s="5" t="e">
        <f>SUMIFS(#REF!,#REF!,$C246)</f>
        <v>#REF!</v>
      </c>
      <c r="E246" s="5" t="e">
        <f>SUMIFS(#REF!,#REF!,$C246)</f>
        <v>#REF!</v>
      </c>
      <c r="F246" s="5" t="e">
        <f>SUMIFS(#REF!,#REF!,$C246)</f>
        <v>#REF!</v>
      </c>
      <c r="G246" s="5" t="e">
        <f>SUMIFS(#REF!,#REF!,$C246)</f>
        <v>#REF!</v>
      </c>
      <c r="H246" s="4" t="s">
        <v>1475</v>
      </c>
      <c r="I246" s="5"/>
      <c r="J246" s="5">
        <f>SUMIFS('Business Licences by Community'!$D$2:$D$318,'Business Licences by Community'!$C$2:$C$318,$C246)</f>
        <v>0</v>
      </c>
      <c r="K246" s="15">
        <v>6.7752189999999999</v>
      </c>
      <c r="L246" s="5" t="str">
        <f t="shared" si="27"/>
        <v/>
      </c>
      <c r="M246" s="6" t="str">
        <f t="shared" si="28"/>
        <v/>
      </c>
      <c r="N246" s="7" t="str">
        <f t="shared" si="29"/>
        <v/>
      </c>
      <c r="O246" s="7" t="str">
        <f t="shared" si="30"/>
        <v/>
      </c>
      <c r="P246" s="7" t="str">
        <f t="shared" si="31"/>
        <v/>
      </c>
      <c r="Q246" s="4" t="str">
        <f t="shared" si="32"/>
        <v>No data</v>
      </c>
      <c r="R246" s="16">
        <f t="shared" si="33"/>
        <v>0.3</v>
      </c>
      <c r="S246" s="14">
        <f t="shared" si="34"/>
        <v>281</v>
      </c>
      <c r="T246" s="6" t="str">
        <f t="shared" si="35"/>
        <v/>
      </c>
      <c r="U246" s="17"/>
      <c r="V246" s="4" t="s">
        <v>971</v>
      </c>
    </row>
    <row r="247" spans="1:22" x14ac:dyDescent="0.45">
      <c r="A247" s="14">
        <v>246</v>
      </c>
      <c r="B247" s="4" t="s">
        <v>1476</v>
      </c>
      <c r="C247" s="4" t="s">
        <v>1477</v>
      </c>
      <c r="D247" s="5" t="e">
        <f>SUMIFS(#REF!,#REF!,$C247)</f>
        <v>#REF!</v>
      </c>
      <c r="E247" s="5" t="e">
        <f>SUMIFS(#REF!,#REF!,$C247)</f>
        <v>#REF!</v>
      </c>
      <c r="F247" s="5" t="e">
        <f>SUMIFS(#REF!,#REF!,$C247)</f>
        <v>#REF!</v>
      </c>
      <c r="G247" s="5" t="e">
        <f>SUMIFS(#REF!,#REF!,$C247)</f>
        <v>#REF!</v>
      </c>
      <c r="H247" s="4"/>
      <c r="I247" s="5">
        <v>625</v>
      </c>
      <c r="J247" s="5">
        <f>SUMIFS('Business Licences by Community'!$D$2:$D$318,'Business Licences by Community'!$C$2:$C$318,$C247)</f>
        <v>0</v>
      </c>
      <c r="K247" s="15">
        <v>0.53539400000000004</v>
      </c>
      <c r="L247" s="5">
        <f t="shared" si="27"/>
        <v>1167.3645950458913</v>
      </c>
      <c r="M247" s="6" t="str">
        <f t="shared" si="28"/>
        <v/>
      </c>
      <c r="N247" s="7">
        <f t="shared" si="29"/>
        <v>0.1024390243902439</v>
      </c>
      <c r="O247" s="7" t="str">
        <f t="shared" si="30"/>
        <v/>
      </c>
      <c r="P247" s="7">
        <f t="shared" si="31"/>
        <v>0.1024390243902439</v>
      </c>
      <c r="Q247" s="4" t="str">
        <f t="shared" si="32"/>
        <v>Residents</v>
      </c>
      <c r="R247" s="16">
        <f t="shared" si="33"/>
        <v>0.37170731707317073</v>
      </c>
      <c r="S247" s="14">
        <f t="shared" si="34"/>
        <v>254</v>
      </c>
      <c r="T247" s="6" t="e">
        <f t="shared" si="35"/>
        <v>#REF!</v>
      </c>
      <c r="U247" s="17"/>
      <c r="V247" s="4" t="s">
        <v>971</v>
      </c>
    </row>
    <row r="248" spans="1:22" x14ac:dyDescent="0.45">
      <c r="A248" s="14">
        <v>247</v>
      </c>
      <c r="B248" s="4" t="s">
        <v>1478</v>
      </c>
      <c r="C248" s="4" t="s">
        <v>1479</v>
      </c>
      <c r="D248" s="5" t="e">
        <f>SUMIFS(#REF!,#REF!,$C248)</f>
        <v>#REF!</v>
      </c>
      <c r="E248" s="5" t="e">
        <f>SUMIFS(#REF!,#REF!,$C248)</f>
        <v>#REF!</v>
      </c>
      <c r="F248" s="5" t="e">
        <f>SUMIFS(#REF!,#REF!,$C248)</f>
        <v>#REF!</v>
      </c>
      <c r="G248" s="5" t="e">
        <f>SUMIFS(#REF!,#REF!,$C248)</f>
        <v>#REF!</v>
      </c>
      <c r="H248" s="4"/>
      <c r="I248" s="5">
        <v>1745</v>
      </c>
      <c r="J248" s="5">
        <f>SUMIFS('Business Licences by Community'!$D$2:$D$318,'Business Licences by Community'!$C$2:$C$318,$C248)</f>
        <v>7</v>
      </c>
      <c r="K248" s="15">
        <v>0.56299100000000002</v>
      </c>
      <c r="L248" s="5">
        <f t="shared" si="27"/>
        <v>3099.5166885438666</v>
      </c>
      <c r="M248" s="6">
        <f t="shared" si="28"/>
        <v>12.433591300749034</v>
      </c>
      <c r="N248" s="7">
        <f t="shared" si="29"/>
        <v>0.65365853658536588</v>
      </c>
      <c r="O248" s="7">
        <f t="shared" si="30"/>
        <v>0.41111111111111109</v>
      </c>
      <c r="P248" s="7">
        <f t="shared" si="31"/>
        <v>0.65365853658536588</v>
      </c>
      <c r="Q248" s="4" t="str">
        <f t="shared" si="32"/>
        <v>Residents</v>
      </c>
      <c r="R248" s="16">
        <f t="shared" si="33"/>
        <v>0.7575609756097561</v>
      </c>
      <c r="S248" s="14">
        <f t="shared" si="34"/>
        <v>140</v>
      </c>
      <c r="T248" s="6" t="e">
        <f t="shared" si="35"/>
        <v>#REF!</v>
      </c>
      <c r="U248" s="17"/>
      <c r="V248" s="4" t="s">
        <v>971</v>
      </c>
    </row>
    <row r="249" spans="1:22" x14ac:dyDescent="0.45">
      <c r="A249" s="14">
        <v>248</v>
      </c>
      <c r="B249" s="4" t="s">
        <v>1480</v>
      </c>
      <c r="C249" s="4" t="s">
        <v>1481</v>
      </c>
      <c r="D249" s="5" t="e">
        <f>SUMIFS(#REF!,#REF!,$C249)</f>
        <v>#REF!</v>
      </c>
      <c r="E249" s="5" t="e">
        <f>SUMIFS(#REF!,#REF!,$C249)</f>
        <v>#REF!</v>
      </c>
      <c r="F249" s="5" t="e">
        <f>SUMIFS(#REF!,#REF!,$C249)</f>
        <v>#REF!</v>
      </c>
      <c r="G249" s="5" t="e">
        <f>SUMIFS(#REF!,#REF!,$C249)</f>
        <v>#REF!</v>
      </c>
      <c r="H249" s="4" t="s">
        <v>1141</v>
      </c>
      <c r="I249" s="5"/>
      <c r="J249" s="5">
        <f>SUMIFS('Business Licences by Community'!$D$2:$D$318,'Business Licences by Community'!$C$2:$C$318,$C249)</f>
        <v>175</v>
      </c>
      <c r="K249" s="15">
        <v>4.2707199999999998</v>
      </c>
      <c r="L249" s="5" t="str">
        <f t="shared" si="27"/>
        <v/>
      </c>
      <c r="M249" s="6">
        <f t="shared" si="28"/>
        <v>40.976697137719171</v>
      </c>
      <c r="N249" s="7" t="str">
        <f t="shared" si="29"/>
        <v/>
      </c>
      <c r="O249" s="7">
        <f t="shared" si="30"/>
        <v>0.72592592592592597</v>
      </c>
      <c r="P249" s="7">
        <f t="shared" si="31"/>
        <v>0.72592592592592597</v>
      </c>
      <c r="Q249" s="4" t="str">
        <f t="shared" si="32"/>
        <v>Businesses</v>
      </c>
      <c r="R249" s="16">
        <f t="shared" si="33"/>
        <v>0.80814814814814806</v>
      </c>
      <c r="S249" s="14">
        <f t="shared" si="34"/>
        <v>115</v>
      </c>
      <c r="T249" s="6" t="str">
        <f t="shared" si="35"/>
        <v/>
      </c>
      <c r="U249" s="17"/>
      <c r="V249" s="4" t="s">
        <v>971</v>
      </c>
    </row>
    <row r="250" spans="1:22" x14ac:dyDescent="0.45">
      <c r="A250" s="14">
        <v>249</v>
      </c>
      <c r="B250" s="4" t="s">
        <v>1482</v>
      </c>
      <c r="C250" s="4" t="s">
        <v>1483</v>
      </c>
      <c r="D250" s="5" t="e">
        <f>SUMIFS(#REF!,#REF!,$C250)</f>
        <v>#REF!</v>
      </c>
      <c r="E250" s="5" t="e">
        <f>SUMIFS(#REF!,#REF!,$C250)</f>
        <v>#REF!</v>
      </c>
      <c r="F250" s="5" t="e">
        <f>SUMIFS(#REF!,#REF!,$C250)</f>
        <v>#REF!</v>
      </c>
      <c r="G250" s="5" t="e">
        <f>SUMIFS(#REF!,#REF!,$C250)</f>
        <v>#REF!</v>
      </c>
      <c r="H250" s="4"/>
      <c r="I250" s="5">
        <v>400</v>
      </c>
      <c r="J250" s="5">
        <f>SUMIFS('Business Licences by Community'!$D$2:$D$318,'Business Licences by Community'!$C$2:$C$318,$C250)</f>
        <v>0</v>
      </c>
      <c r="K250" s="15">
        <v>0.33711099999999999</v>
      </c>
      <c r="L250" s="5">
        <f t="shared" si="27"/>
        <v>1186.5527971499002</v>
      </c>
      <c r="M250" s="6" t="str">
        <f t="shared" si="28"/>
        <v/>
      </c>
      <c r="N250" s="7">
        <f t="shared" si="29"/>
        <v>0.10731707317073171</v>
      </c>
      <c r="O250" s="7" t="str">
        <f t="shared" si="30"/>
        <v/>
      </c>
      <c r="P250" s="7">
        <f t="shared" si="31"/>
        <v>0.10731707317073171</v>
      </c>
      <c r="Q250" s="4" t="str">
        <f t="shared" si="32"/>
        <v>Residents</v>
      </c>
      <c r="R250" s="16">
        <f t="shared" si="33"/>
        <v>0.3751219512195122</v>
      </c>
      <c r="S250" s="14">
        <f t="shared" si="34"/>
        <v>253</v>
      </c>
      <c r="T250" s="6" t="e">
        <f t="shared" si="35"/>
        <v>#REF!</v>
      </c>
      <c r="U250" s="17"/>
      <c r="V250" s="4" t="s">
        <v>971</v>
      </c>
    </row>
    <row r="251" spans="1:22" x14ac:dyDescent="0.45">
      <c r="A251" s="14">
        <v>250</v>
      </c>
      <c r="B251" s="4" t="s">
        <v>1484</v>
      </c>
      <c r="C251" s="4" t="s">
        <v>1485</v>
      </c>
      <c r="D251" s="5" t="e">
        <f>SUMIFS(#REF!,#REF!,$C251)</f>
        <v>#REF!</v>
      </c>
      <c r="E251" s="5" t="e">
        <f>SUMIFS(#REF!,#REF!,$C251)</f>
        <v>#REF!</v>
      </c>
      <c r="F251" s="5" t="e">
        <f>SUMIFS(#REF!,#REF!,$C251)</f>
        <v>#REF!</v>
      </c>
      <c r="G251" s="5" t="e">
        <f>SUMIFS(#REF!,#REF!,$C251)</f>
        <v>#REF!</v>
      </c>
      <c r="H251" s="4" t="s">
        <v>1141</v>
      </c>
      <c r="I251" s="5"/>
      <c r="J251" s="5">
        <f>SUMIFS('Business Licences by Community'!$D$2:$D$318,'Business Licences by Community'!$C$2:$C$318,$C251)</f>
        <v>135</v>
      </c>
      <c r="K251" s="15">
        <v>1.9671350000000001</v>
      </c>
      <c r="L251" s="5" t="str">
        <f t="shared" si="27"/>
        <v/>
      </c>
      <c r="M251" s="6">
        <f t="shared" si="28"/>
        <v>68.627725092583887</v>
      </c>
      <c r="N251" s="7" t="str">
        <f t="shared" si="29"/>
        <v/>
      </c>
      <c r="O251" s="7">
        <f t="shared" si="30"/>
        <v>0.83703703703703702</v>
      </c>
      <c r="P251" s="7">
        <f t="shared" si="31"/>
        <v>0.83703703703703702</v>
      </c>
      <c r="Q251" s="4" t="str">
        <f t="shared" si="32"/>
        <v>Businesses</v>
      </c>
      <c r="R251" s="16">
        <f t="shared" si="33"/>
        <v>0.88592592592592578</v>
      </c>
      <c r="S251" s="14">
        <f t="shared" si="34"/>
        <v>70</v>
      </c>
      <c r="T251" s="6" t="str">
        <f t="shared" si="35"/>
        <v/>
      </c>
      <c r="U251" s="17"/>
      <c r="V251" s="4" t="s">
        <v>971</v>
      </c>
    </row>
    <row r="252" spans="1:22" x14ac:dyDescent="0.45">
      <c r="A252" s="14">
        <v>251</v>
      </c>
      <c r="B252" s="4" t="s">
        <v>1486</v>
      </c>
      <c r="C252" s="4" t="s">
        <v>1487</v>
      </c>
      <c r="D252" s="5" t="e">
        <f>SUMIFS(#REF!,#REF!,$C252)</f>
        <v>#REF!</v>
      </c>
      <c r="E252" s="5" t="e">
        <f>SUMIFS(#REF!,#REF!,$C252)</f>
        <v>#REF!</v>
      </c>
      <c r="F252" s="5" t="e">
        <f>SUMIFS(#REF!,#REF!,$C252)</f>
        <v>#REF!</v>
      </c>
      <c r="G252" s="5" t="e">
        <f>SUMIFS(#REF!,#REF!,$C252)</f>
        <v>#REF!</v>
      </c>
      <c r="H252" s="4"/>
      <c r="I252" s="5">
        <v>410</v>
      </c>
      <c r="J252" s="5">
        <f>SUMIFS('Business Licences by Community'!$D$2:$D$318,'Business Licences by Community'!$C$2:$C$318,$C252)</f>
        <v>2</v>
      </c>
      <c r="K252" s="15">
        <v>0.289495</v>
      </c>
      <c r="L252" s="5">
        <f t="shared" si="27"/>
        <v>1416.2593481752708</v>
      </c>
      <c r="M252" s="6">
        <f t="shared" si="28"/>
        <v>6.9085821862208325</v>
      </c>
      <c r="N252" s="7">
        <f t="shared" si="29"/>
        <v>0.15121951219512195</v>
      </c>
      <c r="O252" s="7">
        <f t="shared" si="30"/>
        <v>0.27777777777777779</v>
      </c>
      <c r="P252" s="7">
        <f t="shared" si="31"/>
        <v>0.27777777777777779</v>
      </c>
      <c r="Q252" s="4" t="str">
        <f t="shared" si="32"/>
        <v>Businesses</v>
      </c>
      <c r="R252" s="16">
        <f t="shared" si="33"/>
        <v>0.49444444444444446</v>
      </c>
      <c r="S252" s="14">
        <f t="shared" si="34"/>
        <v>230</v>
      </c>
      <c r="T252" s="6" t="e">
        <f t="shared" si="35"/>
        <v>#REF!</v>
      </c>
      <c r="U252" s="17"/>
      <c r="V252" s="4" t="s">
        <v>971</v>
      </c>
    </row>
    <row r="253" spans="1:22" x14ac:dyDescent="0.45">
      <c r="A253" s="14">
        <v>252</v>
      </c>
      <c r="B253" s="4" t="s">
        <v>1488</v>
      </c>
      <c r="C253" s="4" t="s">
        <v>1489</v>
      </c>
      <c r="D253" s="5" t="e">
        <f>SUMIFS(#REF!,#REF!,$C253)</f>
        <v>#REF!</v>
      </c>
      <c r="E253" s="5" t="e">
        <f>SUMIFS(#REF!,#REF!,$C253)</f>
        <v>#REF!</v>
      </c>
      <c r="F253" s="5" t="e">
        <f>SUMIFS(#REF!,#REF!,$C253)</f>
        <v>#REF!</v>
      </c>
      <c r="G253" s="5" t="e">
        <f>SUMIFS(#REF!,#REF!,$C253)</f>
        <v>#REF!</v>
      </c>
      <c r="H253" s="4"/>
      <c r="I253" s="5">
        <v>1330</v>
      </c>
      <c r="J253" s="5">
        <f>SUMIFS('Business Licences by Community'!$D$2:$D$318,'Business Licences by Community'!$C$2:$C$318,$C253)</f>
        <v>6</v>
      </c>
      <c r="K253" s="15">
        <v>0.38326300000000002</v>
      </c>
      <c r="L253" s="5">
        <f t="shared" si="27"/>
        <v>3470.2019240051868</v>
      </c>
      <c r="M253" s="6">
        <f t="shared" si="28"/>
        <v>15.65504627370761</v>
      </c>
      <c r="N253" s="7">
        <f t="shared" si="29"/>
        <v>0.74634146341463414</v>
      </c>
      <c r="O253" s="7">
        <f t="shared" si="30"/>
        <v>0.49259259259259258</v>
      </c>
      <c r="P253" s="7">
        <f t="shared" si="31"/>
        <v>0.74634146341463414</v>
      </c>
      <c r="Q253" s="4" t="str">
        <f t="shared" si="32"/>
        <v>Residents</v>
      </c>
      <c r="R253" s="16">
        <f t="shared" si="33"/>
        <v>0.82243902439024397</v>
      </c>
      <c r="S253" s="14">
        <f t="shared" si="34"/>
        <v>107</v>
      </c>
      <c r="T253" s="6" t="e">
        <f t="shared" si="35"/>
        <v>#REF!</v>
      </c>
      <c r="U253" s="17"/>
      <c r="V253" s="4" t="s">
        <v>971</v>
      </c>
    </row>
    <row r="254" spans="1:22" x14ac:dyDescent="0.45">
      <c r="A254" s="14">
        <v>253</v>
      </c>
      <c r="B254" s="4" t="s">
        <v>1490</v>
      </c>
      <c r="C254" s="4" t="s">
        <v>1490</v>
      </c>
      <c r="D254" s="5" t="e">
        <f>SUMIFS(#REF!,#REF!,$C254)</f>
        <v>#REF!</v>
      </c>
      <c r="E254" s="5" t="e">
        <f>SUMIFS(#REF!,#REF!,$C254)</f>
        <v>#REF!</v>
      </c>
      <c r="F254" s="5" t="e">
        <f>SUMIFS(#REF!,#REF!,$C254)</f>
        <v>#REF!</v>
      </c>
      <c r="G254" s="5" t="e">
        <f>SUMIFS(#REF!,#REF!,$C254)</f>
        <v>#REF!</v>
      </c>
      <c r="H254" s="4" t="s">
        <v>1475</v>
      </c>
      <c r="I254" s="5"/>
      <c r="J254" s="5">
        <f>SUMIFS('Business Licences by Community'!$D$2:$D$318,'Business Licences by Community'!$C$2:$C$318,$C254)</f>
        <v>15</v>
      </c>
      <c r="K254" s="15">
        <v>3.2955589999999999</v>
      </c>
      <c r="L254" s="5" t="str">
        <f t="shared" si="27"/>
        <v/>
      </c>
      <c r="M254" s="6">
        <f t="shared" si="28"/>
        <v>4.5515798685443052</v>
      </c>
      <c r="N254" s="7" t="str">
        <f t="shared" si="29"/>
        <v/>
      </c>
      <c r="O254" s="7">
        <f t="shared" si="30"/>
        <v>0.21481481481481482</v>
      </c>
      <c r="P254" s="7">
        <f t="shared" si="31"/>
        <v>0.21481481481481482</v>
      </c>
      <c r="Q254" s="4" t="str">
        <f t="shared" si="32"/>
        <v>Businesses</v>
      </c>
      <c r="R254" s="16">
        <f t="shared" si="33"/>
        <v>0.45037037037037037</v>
      </c>
      <c r="S254" s="14">
        <f t="shared" si="34"/>
        <v>240</v>
      </c>
      <c r="T254" s="6" t="str">
        <f t="shared" si="35"/>
        <v/>
      </c>
      <c r="U254" s="17"/>
      <c r="V254" s="4" t="s">
        <v>971</v>
      </c>
    </row>
    <row r="255" spans="1:22" x14ac:dyDescent="0.45">
      <c r="A255" s="14">
        <v>254</v>
      </c>
      <c r="B255" s="4" t="s">
        <v>1491</v>
      </c>
      <c r="C255" s="4" t="s">
        <v>1491</v>
      </c>
      <c r="D255" s="5" t="e">
        <f>SUMIFS(#REF!,#REF!,$C255)</f>
        <v>#REF!</v>
      </c>
      <c r="E255" s="5" t="e">
        <f>SUMIFS(#REF!,#REF!,$C255)</f>
        <v>#REF!</v>
      </c>
      <c r="F255" s="5" t="e">
        <f>SUMIFS(#REF!,#REF!,$C255)</f>
        <v>#REF!</v>
      </c>
      <c r="G255" s="5" t="e">
        <f>SUMIFS(#REF!,#REF!,$C255)</f>
        <v>#REF!</v>
      </c>
      <c r="H255" s="4" t="s">
        <v>1475</v>
      </c>
      <c r="I255" s="5"/>
      <c r="J255" s="5">
        <f>SUMIFS('Business Licences by Community'!$D$2:$D$318,'Business Licences by Community'!$C$2:$C$318,$C255)</f>
        <v>123</v>
      </c>
      <c r="K255" s="15">
        <v>11.647296000000001</v>
      </c>
      <c r="L255" s="5" t="str">
        <f t="shared" si="27"/>
        <v/>
      </c>
      <c r="M255" s="6">
        <f t="shared" si="28"/>
        <v>10.56039101264362</v>
      </c>
      <c r="N255" s="7" t="str">
        <f t="shared" si="29"/>
        <v/>
      </c>
      <c r="O255" s="7">
        <f t="shared" si="30"/>
        <v>0.36666666666666664</v>
      </c>
      <c r="P255" s="7">
        <f t="shared" si="31"/>
        <v>0.36666666666666664</v>
      </c>
      <c r="Q255" s="4" t="str">
        <f t="shared" si="32"/>
        <v>Businesses</v>
      </c>
      <c r="R255" s="16">
        <f t="shared" si="33"/>
        <v>0.55666666666666664</v>
      </c>
      <c r="S255" s="14">
        <f t="shared" si="34"/>
        <v>214</v>
      </c>
      <c r="T255" s="6" t="str">
        <f t="shared" si="35"/>
        <v/>
      </c>
      <c r="U255" s="17"/>
      <c r="V255" s="4" t="s">
        <v>971</v>
      </c>
    </row>
    <row r="256" spans="1:22" x14ac:dyDescent="0.45">
      <c r="A256" s="14">
        <v>255</v>
      </c>
      <c r="B256" s="4" t="s">
        <v>1492</v>
      </c>
      <c r="C256" s="4" t="s">
        <v>1493</v>
      </c>
      <c r="D256" s="5" t="e">
        <f>SUMIFS(#REF!,#REF!,$C256)</f>
        <v>#REF!</v>
      </c>
      <c r="E256" s="5" t="e">
        <f>SUMIFS(#REF!,#REF!,$C256)</f>
        <v>#REF!</v>
      </c>
      <c r="F256" s="5" t="e">
        <f>SUMIFS(#REF!,#REF!,$C256)</f>
        <v>#REF!</v>
      </c>
      <c r="G256" s="5" t="e">
        <f>SUMIFS(#REF!,#REF!,$C256)</f>
        <v>#REF!</v>
      </c>
      <c r="H256" s="4"/>
      <c r="I256" s="5">
        <v>640</v>
      </c>
      <c r="J256" s="5">
        <f>SUMIFS('Business Licences by Community'!$D$2:$D$318,'Business Licences by Community'!$C$2:$C$318,$C256)</f>
        <v>0</v>
      </c>
      <c r="K256" s="15">
        <v>0.26915600000000001</v>
      </c>
      <c r="L256" s="5">
        <f t="shared" si="27"/>
        <v>2377.8032070620757</v>
      </c>
      <c r="M256" s="6" t="str">
        <f t="shared" si="28"/>
        <v/>
      </c>
      <c r="N256" s="7">
        <f t="shared" si="29"/>
        <v>0.4</v>
      </c>
      <c r="O256" s="7" t="str">
        <f t="shared" si="30"/>
        <v/>
      </c>
      <c r="P256" s="7">
        <f t="shared" si="31"/>
        <v>0.4</v>
      </c>
      <c r="Q256" s="4" t="str">
        <f t="shared" si="32"/>
        <v>Residents</v>
      </c>
      <c r="R256" s="16">
        <f t="shared" si="33"/>
        <v>0.57999999999999996</v>
      </c>
      <c r="S256" s="14">
        <f t="shared" si="34"/>
        <v>206</v>
      </c>
      <c r="T256" s="6" t="e">
        <f t="shared" si="35"/>
        <v>#REF!</v>
      </c>
      <c r="U256" s="17"/>
      <c r="V256" s="4" t="s">
        <v>971</v>
      </c>
    </row>
    <row r="257" spans="1:22" x14ac:dyDescent="0.45">
      <c r="A257" s="14">
        <v>256</v>
      </c>
      <c r="B257" s="4" t="s">
        <v>1494</v>
      </c>
      <c r="C257" s="4" t="s">
        <v>1495</v>
      </c>
      <c r="D257" s="5" t="e">
        <f>SUMIFS(#REF!,#REF!,$C257)</f>
        <v>#REF!</v>
      </c>
      <c r="E257" s="5" t="e">
        <f>SUMIFS(#REF!,#REF!,$C257)</f>
        <v>#REF!</v>
      </c>
      <c r="F257" s="5" t="e">
        <f>SUMIFS(#REF!,#REF!,$C257)</f>
        <v>#REF!</v>
      </c>
      <c r="G257" s="5" t="e">
        <f>SUMIFS(#REF!,#REF!,$C257)</f>
        <v>#REF!</v>
      </c>
      <c r="H257" s="4" t="s">
        <v>1141</v>
      </c>
      <c r="I257" s="5"/>
      <c r="J257" s="5">
        <f>SUMIFS('Business Licences by Community'!$D$2:$D$318,'Business Licences by Community'!$C$2:$C$318,$C257)</f>
        <v>109</v>
      </c>
      <c r="K257" s="15">
        <v>3.9511229999999999</v>
      </c>
      <c r="L257" s="5" t="str">
        <f t="shared" si="27"/>
        <v/>
      </c>
      <c r="M257" s="6">
        <f t="shared" si="28"/>
        <v>27.587093593391042</v>
      </c>
      <c r="N257" s="7" t="str">
        <f t="shared" si="29"/>
        <v/>
      </c>
      <c r="O257" s="7">
        <f t="shared" si="30"/>
        <v>0.62962962962962965</v>
      </c>
      <c r="P257" s="7">
        <f t="shared" si="31"/>
        <v>0.62962962962962965</v>
      </c>
      <c r="Q257" s="4" t="str">
        <f t="shared" si="32"/>
        <v>Businesses</v>
      </c>
      <c r="R257" s="16">
        <f t="shared" si="33"/>
        <v>0.7407407407407407</v>
      </c>
      <c r="S257" s="14">
        <f t="shared" si="34"/>
        <v>148</v>
      </c>
      <c r="T257" s="6" t="str">
        <f t="shared" si="35"/>
        <v/>
      </c>
      <c r="U257" s="17"/>
      <c r="V257" s="4" t="s">
        <v>971</v>
      </c>
    </row>
    <row r="258" spans="1:22" x14ac:dyDescent="0.45">
      <c r="A258" s="14">
        <v>257</v>
      </c>
      <c r="B258" s="4" t="s">
        <v>1496</v>
      </c>
      <c r="C258" s="4" t="s">
        <v>1497</v>
      </c>
      <c r="D258" s="5" t="e">
        <f>SUMIFS(#REF!,#REF!,$C258)</f>
        <v>#REF!</v>
      </c>
      <c r="E258" s="5" t="e">
        <f>SUMIFS(#REF!,#REF!,$C258)</f>
        <v>#REF!</v>
      </c>
      <c r="F258" s="5" t="e">
        <f>SUMIFS(#REF!,#REF!,$C258)</f>
        <v>#REF!</v>
      </c>
      <c r="G258" s="5" t="e">
        <f>SUMIFS(#REF!,#REF!,$C258)</f>
        <v>#REF!</v>
      </c>
      <c r="H258" s="4" t="s">
        <v>1141</v>
      </c>
      <c r="I258" s="5"/>
      <c r="J258" s="5">
        <f>SUMIFS('Business Licences by Community'!$D$2:$D$318,'Business Licences by Community'!$C$2:$C$318,$C258)</f>
        <v>0</v>
      </c>
      <c r="K258" s="15">
        <v>3.0493730000000001</v>
      </c>
      <c r="L258" s="5" t="str">
        <f t="shared" ref="L258:L321" si="36">IF(AND(ISNUMBER(I258),ISNUMBER(K258)),IF(K258&gt;0,I258/K258,""),"")</f>
        <v/>
      </c>
      <c r="M258" s="6" t="str">
        <f t="shared" ref="M258:M318" si="37">IF(AND(ISNUMBER(J258),ISNUMBER(K258)),IF(AND(J258&gt;0,K258&gt;0),J258/K258,""),"")</f>
        <v/>
      </c>
      <c r="N258" s="7" t="str">
        <f t="shared" ref="N258:N318" si="38">IF(ISNUMBER(L258),(RANK(L258,$L$2:$L$318,1)-1)/(COUNT($L$2:$L$318)-1),"")</f>
        <v/>
      </c>
      <c r="O258" s="7" t="str">
        <f t="shared" ref="O258:O318" si="39">IF(ISNUMBER(M258),(RANK(M258,$M$2:$M$318,1)-1)/(COUNT($M$2:$M$318)-1),"")</f>
        <v/>
      </c>
      <c r="P258" s="7" t="str">
        <f t="shared" ref="P258:P321" si="40">IF(OR(ISNUMBER(N258),ISNUMBER(O258)),MAX(N258,O258),"")</f>
        <v/>
      </c>
      <c r="Q258" s="4" t="str">
        <f t="shared" ref="Q258:Q321" si="41">IF(ISNUMBER(P258),IF(ISNUMBER(N258),IF(N258&gt;=P258,"Residents","Businesses"),"Businesses"),"No data")</f>
        <v>No data</v>
      </c>
      <c r="R258" s="16">
        <f t="shared" ref="R258:R318" si="42">IF(ISNUMBER(P258),$Z$12+(1-$Z$12)*P258,$Z$12)</f>
        <v>0.3</v>
      </c>
      <c r="S258" s="14">
        <f t="shared" ref="S258:S321" si="43">RANK(R258,$R$2:$R$318,0)</f>
        <v>281</v>
      </c>
      <c r="T258" s="6" t="str">
        <f t="shared" ref="T258:T318" si="44">IF(ISNUMBER(I258),IF(I258&gt;0,D258/I258*1000,""),"")</f>
        <v/>
      </c>
      <c r="U258" s="17"/>
      <c r="V258" s="4" t="s">
        <v>971</v>
      </c>
    </row>
    <row r="259" spans="1:22" x14ac:dyDescent="0.45">
      <c r="A259" s="14">
        <v>258</v>
      </c>
      <c r="B259" s="4" t="s">
        <v>1498</v>
      </c>
      <c r="C259" s="4" t="s">
        <v>1498</v>
      </c>
      <c r="D259" s="5" t="e">
        <f>SUMIFS(#REF!,#REF!,$C259)</f>
        <v>#REF!</v>
      </c>
      <c r="E259" s="5" t="e">
        <f>SUMIFS(#REF!,#REF!,$C259)</f>
        <v>#REF!</v>
      </c>
      <c r="F259" s="5" t="e">
        <f>SUMIFS(#REF!,#REF!,$C259)</f>
        <v>#REF!</v>
      </c>
      <c r="G259" s="5" t="e">
        <f>SUMIFS(#REF!,#REF!,$C259)</f>
        <v>#REF!</v>
      </c>
      <c r="H259" s="4" t="s">
        <v>1475</v>
      </c>
      <c r="I259" s="5"/>
      <c r="J259" s="5">
        <f>SUMIFS('Business Licences by Community'!$D$2:$D$318,'Business Licences by Community'!$C$2:$C$318,$C259)</f>
        <v>0</v>
      </c>
      <c r="K259" s="15">
        <v>8.0530650000000001</v>
      </c>
      <c r="L259" s="5" t="str">
        <f t="shared" si="36"/>
        <v/>
      </c>
      <c r="M259" s="6" t="str">
        <f t="shared" si="37"/>
        <v/>
      </c>
      <c r="N259" s="7" t="str">
        <f t="shared" si="38"/>
        <v/>
      </c>
      <c r="O259" s="7" t="str">
        <f t="shared" si="39"/>
        <v/>
      </c>
      <c r="P259" s="7" t="str">
        <f t="shared" si="40"/>
        <v/>
      </c>
      <c r="Q259" s="4" t="str">
        <f t="shared" si="41"/>
        <v>No data</v>
      </c>
      <c r="R259" s="16">
        <f t="shared" si="42"/>
        <v>0.3</v>
      </c>
      <c r="S259" s="14">
        <f t="shared" si="43"/>
        <v>281</v>
      </c>
      <c r="T259" s="6" t="str">
        <f t="shared" si="44"/>
        <v/>
      </c>
      <c r="U259" s="17"/>
      <c r="V259" s="4" t="s">
        <v>971</v>
      </c>
    </row>
    <row r="260" spans="1:22" x14ac:dyDescent="0.45">
      <c r="A260" s="14">
        <v>259</v>
      </c>
      <c r="B260" s="4" t="s">
        <v>1499</v>
      </c>
      <c r="C260" s="4" t="s">
        <v>1499</v>
      </c>
      <c r="D260" s="5" t="e">
        <f>SUMIFS(#REF!,#REF!,$C260)</f>
        <v>#REF!</v>
      </c>
      <c r="E260" s="5" t="e">
        <f>SUMIFS(#REF!,#REF!,$C260)</f>
        <v>#REF!</v>
      </c>
      <c r="F260" s="5" t="e">
        <f>SUMIFS(#REF!,#REF!,$C260)</f>
        <v>#REF!</v>
      </c>
      <c r="G260" s="5" t="e">
        <f>SUMIFS(#REF!,#REF!,$C260)</f>
        <v>#REF!</v>
      </c>
      <c r="H260" s="4" t="s">
        <v>1475</v>
      </c>
      <c r="I260" s="5"/>
      <c r="J260" s="5">
        <f>SUMIFS('Business Licences by Community'!$D$2:$D$318,'Business Licences by Community'!$C$2:$C$318,$C260)</f>
        <v>4</v>
      </c>
      <c r="K260" s="15">
        <v>1.4519629999999999</v>
      </c>
      <c r="L260" s="5" t="str">
        <f t="shared" si="36"/>
        <v/>
      </c>
      <c r="M260" s="6">
        <f t="shared" si="37"/>
        <v>2.7548911370331064</v>
      </c>
      <c r="N260" s="7" t="str">
        <f t="shared" si="38"/>
        <v/>
      </c>
      <c r="O260" s="7">
        <f t="shared" si="39"/>
        <v>0.14074074074074075</v>
      </c>
      <c r="P260" s="7">
        <f t="shared" si="40"/>
        <v>0.14074074074074075</v>
      </c>
      <c r="Q260" s="4" t="str">
        <f t="shared" si="41"/>
        <v>Businesses</v>
      </c>
      <c r="R260" s="16">
        <f t="shared" si="42"/>
        <v>0.39851851851851849</v>
      </c>
      <c r="S260" s="14">
        <f t="shared" si="43"/>
        <v>248</v>
      </c>
      <c r="T260" s="6" t="str">
        <f t="shared" si="44"/>
        <v/>
      </c>
      <c r="U260" s="17"/>
      <c r="V260" s="4" t="s">
        <v>971</v>
      </c>
    </row>
    <row r="261" spans="1:22" x14ac:dyDescent="0.45">
      <c r="A261" s="14">
        <v>260</v>
      </c>
      <c r="B261" s="4" t="s">
        <v>1500</v>
      </c>
      <c r="C261" s="4" t="s">
        <v>1501</v>
      </c>
      <c r="D261" s="5" t="e">
        <f>SUMIFS(#REF!,#REF!,$C261)</f>
        <v>#REF!</v>
      </c>
      <c r="E261" s="5" t="e">
        <f>SUMIFS(#REF!,#REF!,$C261)</f>
        <v>#REF!</v>
      </c>
      <c r="F261" s="5" t="e">
        <f>SUMIFS(#REF!,#REF!,$C261)</f>
        <v>#REF!</v>
      </c>
      <c r="G261" s="5" t="e">
        <f>SUMIFS(#REF!,#REF!,$C261)</f>
        <v>#REF!</v>
      </c>
      <c r="H261" s="4" t="s">
        <v>1141</v>
      </c>
      <c r="I261" s="5"/>
      <c r="J261" s="5">
        <f>SUMIFS('Business Licences by Community'!$D$2:$D$318,'Business Licences by Community'!$C$2:$C$318,$C261)</f>
        <v>94</v>
      </c>
      <c r="K261" s="15">
        <v>5.9697399999999998</v>
      </c>
      <c r="L261" s="5" t="str">
        <f t="shared" si="36"/>
        <v/>
      </c>
      <c r="M261" s="6">
        <f t="shared" si="37"/>
        <v>15.746079393742441</v>
      </c>
      <c r="N261" s="7" t="str">
        <f t="shared" si="38"/>
        <v/>
      </c>
      <c r="O261" s="7">
        <f t="shared" si="39"/>
        <v>0.49629629629629629</v>
      </c>
      <c r="P261" s="7">
        <f t="shared" si="40"/>
        <v>0.49629629629629629</v>
      </c>
      <c r="Q261" s="4" t="str">
        <f t="shared" si="41"/>
        <v>Businesses</v>
      </c>
      <c r="R261" s="16">
        <f t="shared" si="42"/>
        <v>0.64740740740740743</v>
      </c>
      <c r="S261" s="14">
        <f t="shared" si="43"/>
        <v>187</v>
      </c>
      <c r="T261" s="6" t="str">
        <f t="shared" si="44"/>
        <v/>
      </c>
      <c r="U261" s="17"/>
      <c r="V261" s="4" t="s">
        <v>971</v>
      </c>
    </row>
    <row r="262" spans="1:22" x14ac:dyDescent="0.45">
      <c r="A262" s="14">
        <v>261</v>
      </c>
      <c r="B262" s="4" t="s">
        <v>1502</v>
      </c>
      <c r="C262" s="4" t="s">
        <v>1502</v>
      </c>
      <c r="D262" s="5" t="e">
        <f>SUMIFS(#REF!,#REF!,$C262)</f>
        <v>#REF!</v>
      </c>
      <c r="E262" s="5" t="e">
        <f>SUMIFS(#REF!,#REF!,$C262)</f>
        <v>#REF!</v>
      </c>
      <c r="F262" s="5" t="e">
        <f>SUMIFS(#REF!,#REF!,$C262)</f>
        <v>#REF!</v>
      </c>
      <c r="G262" s="5" t="e">
        <f>SUMIFS(#REF!,#REF!,$C262)</f>
        <v>#REF!</v>
      </c>
      <c r="H262" s="4" t="s">
        <v>1475</v>
      </c>
      <c r="I262" s="5"/>
      <c r="J262" s="5">
        <f>SUMIFS('Business Licences by Community'!$D$2:$D$318,'Business Licences by Community'!$C$2:$C$318,$C262)</f>
        <v>3</v>
      </c>
      <c r="K262" s="15">
        <v>5.2890230000000003</v>
      </c>
      <c r="L262" s="5" t="str">
        <f t="shared" si="36"/>
        <v/>
      </c>
      <c r="M262" s="6">
        <f t="shared" si="37"/>
        <v>0.56721250786771016</v>
      </c>
      <c r="N262" s="7" t="str">
        <f t="shared" si="38"/>
        <v/>
      </c>
      <c r="O262" s="7">
        <f t="shared" si="39"/>
        <v>6.2962962962962957E-2</v>
      </c>
      <c r="P262" s="7">
        <f t="shared" si="40"/>
        <v>6.2962962962962957E-2</v>
      </c>
      <c r="Q262" s="4" t="str">
        <f t="shared" si="41"/>
        <v>Businesses</v>
      </c>
      <c r="R262" s="16">
        <f t="shared" si="42"/>
        <v>0.34407407407407403</v>
      </c>
      <c r="S262" s="14">
        <f t="shared" si="43"/>
        <v>263</v>
      </c>
      <c r="T262" s="6" t="str">
        <f t="shared" si="44"/>
        <v/>
      </c>
      <c r="U262" s="17"/>
      <c r="V262" s="4" t="s">
        <v>971</v>
      </c>
    </row>
    <row r="263" spans="1:22" x14ac:dyDescent="0.45">
      <c r="A263" s="14">
        <v>262</v>
      </c>
      <c r="B263" s="4" t="s">
        <v>1503</v>
      </c>
      <c r="C263" s="4" t="s">
        <v>1503</v>
      </c>
      <c r="D263" s="5" t="e">
        <f>SUMIFS(#REF!,#REF!,$C263)</f>
        <v>#REF!</v>
      </c>
      <c r="E263" s="5" t="e">
        <f>SUMIFS(#REF!,#REF!,$C263)</f>
        <v>#REF!</v>
      </c>
      <c r="F263" s="5" t="e">
        <f>SUMIFS(#REF!,#REF!,$C263)</f>
        <v>#REF!</v>
      </c>
      <c r="G263" s="5" t="e">
        <f>SUMIFS(#REF!,#REF!,$C263)</f>
        <v>#REF!</v>
      </c>
      <c r="H263" s="4" t="s">
        <v>1475</v>
      </c>
      <c r="I263" s="5"/>
      <c r="J263" s="5">
        <f>SUMIFS('Business Licences by Community'!$D$2:$D$318,'Business Licences by Community'!$C$2:$C$318,$C263)</f>
        <v>0</v>
      </c>
      <c r="K263" s="15">
        <v>0.56150500000000003</v>
      </c>
      <c r="L263" s="5" t="str">
        <f t="shared" si="36"/>
        <v/>
      </c>
      <c r="M263" s="6" t="str">
        <f t="shared" si="37"/>
        <v/>
      </c>
      <c r="N263" s="7" t="str">
        <f t="shared" si="38"/>
        <v/>
      </c>
      <c r="O263" s="7" t="str">
        <f t="shared" si="39"/>
        <v/>
      </c>
      <c r="P263" s="7" t="str">
        <f t="shared" si="40"/>
        <v/>
      </c>
      <c r="Q263" s="4" t="str">
        <f t="shared" si="41"/>
        <v>No data</v>
      </c>
      <c r="R263" s="16">
        <f t="shared" si="42"/>
        <v>0.3</v>
      </c>
      <c r="S263" s="14">
        <f t="shared" si="43"/>
        <v>281</v>
      </c>
      <c r="T263" s="6" t="str">
        <f t="shared" si="44"/>
        <v/>
      </c>
      <c r="U263" s="17"/>
      <c r="V263" s="4" t="s">
        <v>971</v>
      </c>
    </row>
    <row r="264" spans="1:22" x14ac:dyDescent="0.45">
      <c r="A264" s="14">
        <v>263</v>
      </c>
      <c r="B264" s="4" t="s">
        <v>1504</v>
      </c>
      <c r="C264" s="4" t="s">
        <v>1505</v>
      </c>
      <c r="D264" s="5" t="e">
        <f>SUMIFS(#REF!,#REF!,$C264)</f>
        <v>#REF!</v>
      </c>
      <c r="E264" s="5" t="e">
        <f>SUMIFS(#REF!,#REF!,$C264)</f>
        <v>#REF!</v>
      </c>
      <c r="F264" s="5" t="e">
        <f>SUMIFS(#REF!,#REF!,$C264)</f>
        <v>#REF!</v>
      </c>
      <c r="G264" s="5" t="e">
        <f>SUMIFS(#REF!,#REF!,$C264)</f>
        <v>#REF!</v>
      </c>
      <c r="H264" s="4" t="s">
        <v>1141</v>
      </c>
      <c r="I264" s="5"/>
      <c r="J264" s="5">
        <f>SUMIFS('Business Licences by Community'!$D$2:$D$318,'Business Licences by Community'!$C$2:$C$318,$C264)</f>
        <v>48</v>
      </c>
      <c r="K264" s="15">
        <v>0.25617200000000001</v>
      </c>
      <c r="L264" s="5" t="str">
        <f t="shared" si="36"/>
        <v/>
      </c>
      <c r="M264" s="6">
        <f t="shared" si="37"/>
        <v>187.37410802117327</v>
      </c>
      <c r="N264" s="7" t="str">
        <f t="shared" si="38"/>
        <v/>
      </c>
      <c r="O264" s="7">
        <f t="shared" si="39"/>
        <v>0.937037037037037</v>
      </c>
      <c r="P264" s="7">
        <f t="shared" si="40"/>
        <v>0.937037037037037</v>
      </c>
      <c r="Q264" s="4" t="str">
        <f t="shared" si="41"/>
        <v>Businesses</v>
      </c>
      <c r="R264" s="16">
        <f t="shared" si="42"/>
        <v>0.95592592592592585</v>
      </c>
      <c r="S264" s="14">
        <f t="shared" si="43"/>
        <v>25</v>
      </c>
      <c r="T264" s="6" t="str">
        <f t="shared" si="44"/>
        <v/>
      </c>
      <c r="U264" s="17"/>
      <c r="V264" s="4" t="s">
        <v>971</v>
      </c>
    </row>
    <row r="265" spans="1:22" x14ac:dyDescent="0.45">
      <c r="A265" s="14">
        <v>264</v>
      </c>
      <c r="B265" s="4" t="s">
        <v>1506</v>
      </c>
      <c r="C265" s="4" t="s">
        <v>1507</v>
      </c>
      <c r="D265" s="5" t="e">
        <f>SUMIFS(#REF!,#REF!,$C265)</f>
        <v>#REF!</v>
      </c>
      <c r="E265" s="5" t="e">
        <f>SUMIFS(#REF!,#REF!,$C265)</f>
        <v>#REF!</v>
      </c>
      <c r="F265" s="5" t="e">
        <f>SUMIFS(#REF!,#REF!,$C265)</f>
        <v>#REF!</v>
      </c>
      <c r="G265" s="5" t="e">
        <f>SUMIFS(#REF!,#REF!,$C265)</f>
        <v>#REF!</v>
      </c>
      <c r="H265" s="4" t="s">
        <v>1141</v>
      </c>
      <c r="I265" s="5"/>
      <c r="J265" s="5">
        <f>SUMIFS('Business Licences by Community'!$D$2:$D$318,'Business Licences by Community'!$C$2:$C$318,$C265)</f>
        <v>78</v>
      </c>
      <c r="K265" s="15">
        <v>0.54064599999999996</v>
      </c>
      <c r="L265" s="5" t="str">
        <f t="shared" si="36"/>
        <v/>
      </c>
      <c r="M265" s="6">
        <f t="shared" si="37"/>
        <v>144.27185256156525</v>
      </c>
      <c r="N265" s="7" t="str">
        <f t="shared" si="38"/>
        <v/>
      </c>
      <c r="O265" s="7">
        <f t="shared" si="39"/>
        <v>0.91111111111111109</v>
      </c>
      <c r="P265" s="7">
        <f t="shared" si="40"/>
        <v>0.91111111111111109</v>
      </c>
      <c r="Q265" s="4" t="str">
        <f t="shared" si="41"/>
        <v>Businesses</v>
      </c>
      <c r="R265" s="16">
        <f t="shared" si="42"/>
        <v>0.93777777777777782</v>
      </c>
      <c r="S265" s="14">
        <f t="shared" si="43"/>
        <v>36</v>
      </c>
      <c r="T265" s="6" t="str">
        <f t="shared" si="44"/>
        <v/>
      </c>
      <c r="U265" s="17"/>
      <c r="V265" s="4" t="s">
        <v>971</v>
      </c>
    </row>
    <row r="266" spans="1:22" x14ac:dyDescent="0.45">
      <c r="A266" s="14">
        <v>265</v>
      </c>
      <c r="B266" s="4" t="s">
        <v>1508</v>
      </c>
      <c r="C266" s="4" t="s">
        <v>1509</v>
      </c>
      <c r="D266" s="5" t="e">
        <f>SUMIFS(#REF!,#REF!,$C266)</f>
        <v>#REF!</v>
      </c>
      <c r="E266" s="5" t="e">
        <f>SUMIFS(#REF!,#REF!,$C266)</f>
        <v>#REF!</v>
      </c>
      <c r="F266" s="5" t="e">
        <f>SUMIFS(#REF!,#REF!,$C266)</f>
        <v>#REF!</v>
      </c>
      <c r="G266" s="5" t="e">
        <f>SUMIFS(#REF!,#REF!,$C266)</f>
        <v>#REF!</v>
      </c>
      <c r="H266" s="4" t="s">
        <v>1141</v>
      </c>
      <c r="I266" s="5"/>
      <c r="J266" s="5">
        <f>SUMIFS('Business Licences by Community'!$D$2:$D$318,'Business Licences by Community'!$C$2:$C$318,$C266)</f>
        <v>0</v>
      </c>
      <c r="K266" s="15">
        <v>1.200051</v>
      </c>
      <c r="L266" s="5" t="str">
        <f t="shared" si="36"/>
        <v/>
      </c>
      <c r="M266" s="6" t="str">
        <f t="shared" si="37"/>
        <v/>
      </c>
      <c r="N266" s="7" t="str">
        <f t="shared" si="38"/>
        <v/>
      </c>
      <c r="O266" s="7" t="str">
        <f t="shared" si="39"/>
        <v/>
      </c>
      <c r="P266" s="7" t="str">
        <f t="shared" si="40"/>
        <v/>
      </c>
      <c r="Q266" s="4" t="str">
        <f t="shared" si="41"/>
        <v>No data</v>
      </c>
      <c r="R266" s="16">
        <f t="shared" si="42"/>
        <v>0.3</v>
      </c>
      <c r="S266" s="14">
        <f t="shared" si="43"/>
        <v>281</v>
      </c>
      <c r="T266" s="6" t="str">
        <f t="shared" si="44"/>
        <v/>
      </c>
      <c r="U266" s="17"/>
      <c r="V266" s="4" t="s">
        <v>971</v>
      </c>
    </row>
    <row r="267" spans="1:22" x14ac:dyDescent="0.45">
      <c r="A267" s="14">
        <v>266</v>
      </c>
      <c r="B267" s="4" t="s">
        <v>1510</v>
      </c>
      <c r="C267" s="4" t="s">
        <v>1510</v>
      </c>
      <c r="D267" s="5" t="e">
        <f>SUMIFS(#REF!,#REF!,$C267)</f>
        <v>#REF!</v>
      </c>
      <c r="E267" s="5" t="e">
        <f>SUMIFS(#REF!,#REF!,$C267)</f>
        <v>#REF!</v>
      </c>
      <c r="F267" s="5" t="e">
        <f>SUMIFS(#REF!,#REF!,$C267)</f>
        <v>#REF!</v>
      </c>
      <c r="G267" s="5" t="e">
        <f>SUMIFS(#REF!,#REF!,$C267)</f>
        <v>#REF!</v>
      </c>
      <c r="H267" s="4" t="s">
        <v>1475</v>
      </c>
      <c r="I267" s="5"/>
      <c r="J267" s="5">
        <f>SUMIFS('Business Licences by Community'!$D$2:$D$318,'Business Licences by Community'!$C$2:$C$318,$C267)</f>
        <v>0</v>
      </c>
      <c r="K267" s="15">
        <v>0.404165</v>
      </c>
      <c r="L267" s="5" t="str">
        <f t="shared" si="36"/>
        <v/>
      </c>
      <c r="M267" s="6" t="str">
        <f t="shared" si="37"/>
        <v/>
      </c>
      <c r="N267" s="7" t="str">
        <f t="shared" si="38"/>
        <v/>
      </c>
      <c r="O267" s="7" t="str">
        <f t="shared" si="39"/>
        <v/>
      </c>
      <c r="P267" s="7" t="str">
        <f t="shared" si="40"/>
        <v/>
      </c>
      <c r="Q267" s="4" t="str">
        <f t="shared" si="41"/>
        <v>No data</v>
      </c>
      <c r="R267" s="16">
        <f t="shared" si="42"/>
        <v>0.3</v>
      </c>
      <c r="S267" s="14">
        <f t="shared" si="43"/>
        <v>281</v>
      </c>
      <c r="T267" s="6" t="str">
        <f t="shared" si="44"/>
        <v/>
      </c>
      <c r="U267" s="17"/>
      <c r="V267" s="4" t="s">
        <v>971</v>
      </c>
    </row>
    <row r="268" spans="1:22" x14ac:dyDescent="0.45">
      <c r="A268" s="14">
        <v>267</v>
      </c>
      <c r="B268" s="4" t="s">
        <v>1511</v>
      </c>
      <c r="C268" s="4" t="s">
        <v>1511</v>
      </c>
      <c r="D268" s="5" t="e">
        <f>SUMIFS(#REF!,#REF!,$C268)</f>
        <v>#REF!</v>
      </c>
      <c r="E268" s="5" t="e">
        <f>SUMIFS(#REF!,#REF!,$C268)</f>
        <v>#REF!</v>
      </c>
      <c r="F268" s="5" t="e">
        <f>SUMIFS(#REF!,#REF!,$C268)</f>
        <v>#REF!</v>
      </c>
      <c r="G268" s="5" t="e">
        <f>SUMIFS(#REF!,#REF!,$C268)</f>
        <v>#REF!</v>
      </c>
      <c r="H268" s="4" t="s">
        <v>1475</v>
      </c>
      <c r="I268" s="5"/>
      <c r="J268" s="5">
        <f>SUMIFS('Business Licences by Community'!$D$2:$D$318,'Business Licences by Community'!$C$2:$C$318,$C268)</f>
        <v>0</v>
      </c>
      <c r="K268" s="15">
        <v>3.7533099999999999</v>
      </c>
      <c r="L268" s="5" t="str">
        <f t="shared" si="36"/>
        <v/>
      </c>
      <c r="M268" s="6" t="str">
        <f t="shared" si="37"/>
        <v/>
      </c>
      <c r="N268" s="7" t="str">
        <f t="shared" si="38"/>
        <v/>
      </c>
      <c r="O268" s="7" t="str">
        <f t="shared" si="39"/>
        <v/>
      </c>
      <c r="P268" s="7" t="str">
        <f t="shared" si="40"/>
        <v/>
      </c>
      <c r="Q268" s="4" t="str">
        <f t="shared" si="41"/>
        <v>No data</v>
      </c>
      <c r="R268" s="16">
        <f t="shared" si="42"/>
        <v>0.3</v>
      </c>
      <c r="S268" s="14">
        <f t="shared" si="43"/>
        <v>281</v>
      </c>
      <c r="T268" s="6" t="str">
        <f t="shared" si="44"/>
        <v/>
      </c>
      <c r="U268" s="17"/>
      <c r="V268" s="4" t="s">
        <v>971</v>
      </c>
    </row>
    <row r="269" spans="1:22" x14ac:dyDescent="0.45">
      <c r="A269" s="14">
        <v>268</v>
      </c>
      <c r="B269" s="4" t="s">
        <v>1512</v>
      </c>
      <c r="C269" s="4" t="s">
        <v>1512</v>
      </c>
      <c r="D269" s="5" t="e">
        <f>SUMIFS(#REF!,#REF!,$C269)</f>
        <v>#REF!</v>
      </c>
      <c r="E269" s="5" t="e">
        <f>SUMIFS(#REF!,#REF!,$C269)</f>
        <v>#REF!</v>
      </c>
      <c r="F269" s="5" t="e">
        <f>SUMIFS(#REF!,#REF!,$C269)</f>
        <v>#REF!</v>
      </c>
      <c r="G269" s="5" t="e">
        <f>SUMIFS(#REF!,#REF!,$C269)</f>
        <v>#REF!</v>
      </c>
      <c r="H269" s="4" t="s">
        <v>1475</v>
      </c>
      <c r="I269" s="5"/>
      <c r="J269" s="5">
        <f>SUMIFS('Business Licences by Community'!$D$2:$D$318,'Business Licences by Community'!$C$2:$C$318,$C269)</f>
        <v>1</v>
      </c>
      <c r="K269" s="15">
        <v>6.5368709999999997</v>
      </c>
      <c r="L269" s="5" t="str">
        <f t="shared" si="36"/>
        <v/>
      </c>
      <c r="M269" s="6">
        <f t="shared" si="37"/>
        <v>0.15297838981371975</v>
      </c>
      <c r="N269" s="7" t="str">
        <f t="shared" si="38"/>
        <v/>
      </c>
      <c r="O269" s="7">
        <f t="shared" si="39"/>
        <v>3.7037037037037038E-3</v>
      </c>
      <c r="P269" s="7">
        <f t="shared" si="40"/>
        <v>3.7037037037037038E-3</v>
      </c>
      <c r="Q269" s="4" t="str">
        <f t="shared" si="41"/>
        <v>Businesses</v>
      </c>
      <c r="R269" s="16">
        <f t="shared" si="42"/>
        <v>0.30259259259259258</v>
      </c>
      <c r="S269" s="14">
        <f t="shared" si="43"/>
        <v>280</v>
      </c>
      <c r="T269" s="6" t="str">
        <f t="shared" si="44"/>
        <v/>
      </c>
      <c r="U269" s="17"/>
      <c r="V269" s="4" t="s">
        <v>971</v>
      </c>
    </row>
    <row r="270" spans="1:22" x14ac:dyDescent="0.45">
      <c r="A270" s="14">
        <v>269</v>
      </c>
      <c r="B270" s="4" t="s">
        <v>1513</v>
      </c>
      <c r="C270" s="4" t="s">
        <v>1514</v>
      </c>
      <c r="D270" s="5" t="e">
        <f>SUMIFS(#REF!,#REF!,$C270)</f>
        <v>#REF!</v>
      </c>
      <c r="E270" s="5" t="e">
        <f>SUMIFS(#REF!,#REF!,$C270)</f>
        <v>#REF!</v>
      </c>
      <c r="F270" s="5" t="e">
        <f>SUMIFS(#REF!,#REF!,$C270)</f>
        <v>#REF!</v>
      </c>
      <c r="G270" s="5" t="e">
        <f>SUMIFS(#REF!,#REF!,$C270)</f>
        <v>#REF!</v>
      </c>
      <c r="H270" s="4" t="s">
        <v>1141</v>
      </c>
      <c r="I270" s="5"/>
      <c r="J270" s="5">
        <f>SUMIFS('Business Licences by Community'!$D$2:$D$318,'Business Licences by Community'!$C$2:$C$318,$C270)</f>
        <v>14</v>
      </c>
      <c r="K270" s="15">
        <v>0.26973200000000003</v>
      </c>
      <c r="L270" s="5" t="str">
        <f t="shared" si="36"/>
        <v/>
      </c>
      <c r="M270" s="6">
        <f t="shared" si="37"/>
        <v>51.90337075319205</v>
      </c>
      <c r="N270" s="7" t="str">
        <f t="shared" si="38"/>
        <v/>
      </c>
      <c r="O270" s="7">
        <f t="shared" si="39"/>
        <v>0.77407407407407403</v>
      </c>
      <c r="P270" s="7">
        <f t="shared" si="40"/>
        <v>0.77407407407407403</v>
      </c>
      <c r="Q270" s="4" t="str">
        <f t="shared" si="41"/>
        <v>Businesses</v>
      </c>
      <c r="R270" s="16">
        <f t="shared" si="42"/>
        <v>0.84185185185185185</v>
      </c>
      <c r="S270" s="14">
        <f t="shared" si="43"/>
        <v>94</v>
      </c>
      <c r="T270" s="6" t="str">
        <f t="shared" si="44"/>
        <v/>
      </c>
      <c r="U270" s="17"/>
      <c r="V270" s="4" t="s">
        <v>971</v>
      </c>
    </row>
    <row r="271" spans="1:22" x14ac:dyDescent="0.45">
      <c r="A271" s="14">
        <v>270</v>
      </c>
      <c r="B271" s="4" t="s">
        <v>1515</v>
      </c>
      <c r="C271" s="4" t="s">
        <v>1516</v>
      </c>
      <c r="D271" s="5" t="e">
        <f>SUMIFS(#REF!,#REF!,$C271)</f>
        <v>#REF!</v>
      </c>
      <c r="E271" s="5" t="e">
        <f>SUMIFS(#REF!,#REF!,$C271)</f>
        <v>#REF!</v>
      </c>
      <c r="F271" s="5" t="e">
        <f>SUMIFS(#REF!,#REF!,$C271)</f>
        <v>#REF!</v>
      </c>
      <c r="G271" s="5" t="e">
        <f>SUMIFS(#REF!,#REF!,$C271)</f>
        <v>#REF!</v>
      </c>
      <c r="H271" s="4" t="s">
        <v>1141</v>
      </c>
      <c r="I271" s="5"/>
      <c r="J271" s="5">
        <f>SUMIFS('Business Licences by Community'!$D$2:$D$318,'Business Licences by Community'!$C$2:$C$318,$C271)</f>
        <v>117</v>
      </c>
      <c r="K271" s="15">
        <v>1.1162289999999999</v>
      </c>
      <c r="L271" s="5" t="str">
        <f t="shared" si="36"/>
        <v/>
      </c>
      <c r="M271" s="6">
        <f t="shared" si="37"/>
        <v>104.81720148822509</v>
      </c>
      <c r="N271" s="7" t="str">
        <f t="shared" si="38"/>
        <v/>
      </c>
      <c r="O271" s="7">
        <f t="shared" si="39"/>
        <v>0.87777777777777777</v>
      </c>
      <c r="P271" s="7">
        <f t="shared" si="40"/>
        <v>0.87777777777777777</v>
      </c>
      <c r="Q271" s="4" t="str">
        <f t="shared" si="41"/>
        <v>Businesses</v>
      </c>
      <c r="R271" s="16">
        <f t="shared" si="42"/>
        <v>0.91444444444444439</v>
      </c>
      <c r="S271" s="14">
        <f t="shared" si="43"/>
        <v>51</v>
      </c>
      <c r="T271" s="6" t="str">
        <f t="shared" si="44"/>
        <v/>
      </c>
      <c r="U271" s="17"/>
      <c r="V271" s="4" t="s">
        <v>971</v>
      </c>
    </row>
    <row r="272" spans="1:22" x14ac:dyDescent="0.45">
      <c r="A272" s="14">
        <v>271</v>
      </c>
      <c r="B272" s="4" t="s">
        <v>1517</v>
      </c>
      <c r="C272" s="4" t="s">
        <v>1518</v>
      </c>
      <c r="D272" s="5" t="e">
        <f>SUMIFS(#REF!,#REF!,$C272)</f>
        <v>#REF!</v>
      </c>
      <c r="E272" s="5" t="e">
        <f>SUMIFS(#REF!,#REF!,$C272)</f>
        <v>#REF!</v>
      </c>
      <c r="F272" s="5" t="e">
        <f>SUMIFS(#REF!,#REF!,$C272)</f>
        <v>#REF!</v>
      </c>
      <c r="G272" s="5" t="e">
        <f>SUMIFS(#REF!,#REF!,$C272)</f>
        <v>#REF!</v>
      </c>
      <c r="H272" s="4"/>
      <c r="I272" s="5">
        <v>375</v>
      </c>
      <c r="J272" s="5">
        <f>SUMIFS('Business Licences by Community'!$D$2:$D$318,'Business Licences by Community'!$C$2:$C$318,$C272)</f>
        <v>0</v>
      </c>
      <c r="K272" s="15">
        <v>0.61907599999999996</v>
      </c>
      <c r="L272" s="5">
        <f t="shared" si="36"/>
        <v>605.74145985307143</v>
      </c>
      <c r="M272" s="6" t="str">
        <f t="shared" si="37"/>
        <v/>
      </c>
      <c r="N272" s="7">
        <f t="shared" si="38"/>
        <v>2.9268292682926831E-2</v>
      </c>
      <c r="O272" s="7" t="str">
        <f t="shared" si="39"/>
        <v/>
      </c>
      <c r="P272" s="7">
        <f t="shared" si="40"/>
        <v>2.9268292682926831E-2</v>
      </c>
      <c r="Q272" s="4" t="str">
        <f t="shared" si="41"/>
        <v>Residents</v>
      </c>
      <c r="R272" s="16">
        <f t="shared" si="42"/>
        <v>0.32048780487804879</v>
      </c>
      <c r="S272" s="14">
        <f t="shared" si="43"/>
        <v>273</v>
      </c>
      <c r="T272" s="6" t="e">
        <f t="shared" si="44"/>
        <v>#REF!</v>
      </c>
      <c r="U272" s="17"/>
      <c r="V272" s="4" t="s">
        <v>971</v>
      </c>
    </row>
    <row r="273" spans="1:22" x14ac:dyDescent="0.45">
      <c r="A273" s="14">
        <v>272</v>
      </c>
      <c r="B273" s="4" t="s">
        <v>1519</v>
      </c>
      <c r="C273" s="4" t="s">
        <v>1520</v>
      </c>
      <c r="D273" s="5" t="e">
        <f>SUMIFS(#REF!,#REF!,$C273)</f>
        <v>#REF!</v>
      </c>
      <c r="E273" s="5" t="e">
        <f>SUMIFS(#REF!,#REF!,$C273)</f>
        <v>#REF!</v>
      </c>
      <c r="F273" s="5" t="e">
        <f>SUMIFS(#REF!,#REF!,$C273)</f>
        <v>#REF!</v>
      </c>
      <c r="G273" s="5" t="e">
        <f>SUMIFS(#REF!,#REF!,$C273)</f>
        <v>#REF!</v>
      </c>
      <c r="H273" s="4" t="s">
        <v>1141</v>
      </c>
      <c r="I273" s="5"/>
      <c r="J273" s="5">
        <f>SUMIFS('Business Licences by Community'!$D$2:$D$318,'Business Licences by Community'!$C$2:$C$318,$C273)</f>
        <v>0</v>
      </c>
      <c r="K273" s="15">
        <v>0.211814</v>
      </c>
      <c r="L273" s="5" t="str">
        <f t="shared" si="36"/>
        <v/>
      </c>
      <c r="M273" s="6" t="str">
        <f t="shared" si="37"/>
        <v/>
      </c>
      <c r="N273" s="7" t="str">
        <f t="shared" si="38"/>
        <v/>
      </c>
      <c r="O273" s="7" t="str">
        <f t="shared" si="39"/>
        <v/>
      </c>
      <c r="P273" s="7" t="str">
        <f t="shared" si="40"/>
        <v/>
      </c>
      <c r="Q273" s="4" t="str">
        <f t="shared" si="41"/>
        <v>No data</v>
      </c>
      <c r="R273" s="16">
        <f t="shared" si="42"/>
        <v>0.3</v>
      </c>
      <c r="S273" s="14">
        <f t="shared" si="43"/>
        <v>281</v>
      </c>
      <c r="T273" s="6" t="str">
        <f t="shared" si="44"/>
        <v/>
      </c>
      <c r="U273" s="17"/>
      <c r="V273" s="4" t="s">
        <v>971</v>
      </c>
    </row>
    <row r="274" spans="1:22" x14ac:dyDescent="0.45">
      <c r="A274" s="14">
        <v>273</v>
      </c>
      <c r="B274" s="4" t="s">
        <v>1521</v>
      </c>
      <c r="C274" s="4" t="s">
        <v>1521</v>
      </c>
      <c r="D274" s="5" t="e">
        <f>SUMIFS(#REF!,#REF!,$C274)</f>
        <v>#REF!</v>
      </c>
      <c r="E274" s="5" t="e">
        <f>SUMIFS(#REF!,#REF!,$C274)</f>
        <v>#REF!</v>
      </c>
      <c r="F274" s="5" t="e">
        <f>SUMIFS(#REF!,#REF!,$C274)</f>
        <v>#REF!</v>
      </c>
      <c r="G274" s="5" t="e">
        <f>SUMIFS(#REF!,#REF!,$C274)</f>
        <v>#REF!</v>
      </c>
      <c r="H274" s="4" t="s">
        <v>1475</v>
      </c>
      <c r="I274" s="5"/>
      <c r="J274" s="5">
        <f>SUMIFS('Business Licences by Community'!$D$2:$D$318,'Business Licences by Community'!$C$2:$C$318,$C274)</f>
        <v>4</v>
      </c>
      <c r="K274" s="15">
        <v>2.307023</v>
      </c>
      <c r="L274" s="5" t="str">
        <f t="shared" si="36"/>
        <v/>
      </c>
      <c r="M274" s="6">
        <f t="shared" si="37"/>
        <v>1.7338362036269253</v>
      </c>
      <c r="N274" s="7" t="str">
        <f t="shared" si="38"/>
        <v/>
      </c>
      <c r="O274" s="7">
        <f t="shared" si="39"/>
        <v>0.11481481481481481</v>
      </c>
      <c r="P274" s="7">
        <f t="shared" si="40"/>
        <v>0.11481481481481481</v>
      </c>
      <c r="Q274" s="4" t="str">
        <f t="shared" si="41"/>
        <v>Businesses</v>
      </c>
      <c r="R274" s="16">
        <f t="shared" si="42"/>
        <v>0.38037037037037036</v>
      </c>
      <c r="S274" s="14">
        <f t="shared" si="43"/>
        <v>251</v>
      </c>
      <c r="T274" s="6" t="str">
        <f t="shared" si="44"/>
        <v/>
      </c>
      <c r="U274" s="17"/>
      <c r="V274" s="4" t="s">
        <v>971</v>
      </c>
    </row>
    <row r="275" spans="1:22" x14ac:dyDescent="0.45">
      <c r="A275" s="14">
        <v>274</v>
      </c>
      <c r="B275" s="4" t="s">
        <v>1522</v>
      </c>
      <c r="C275" s="4" t="s">
        <v>1523</v>
      </c>
      <c r="D275" s="5" t="e">
        <f>SUMIFS(#REF!,#REF!,$C275)</f>
        <v>#REF!</v>
      </c>
      <c r="E275" s="5" t="e">
        <f>SUMIFS(#REF!,#REF!,$C275)</f>
        <v>#REF!</v>
      </c>
      <c r="F275" s="5" t="e">
        <f>SUMIFS(#REF!,#REF!,$C275)</f>
        <v>#REF!</v>
      </c>
      <c r="G275" s="5" t="e">
        <f>SUMIFS(#REF!,#REF!,$C275)</f>
        <v>#REF!</v>
      </c>
      <c r="H275" s="4" t="s">
        <v>1141</v>
      </c>
      <c r="I275" s="5"/>
      <c r="J275" s="5">
        <f>SUMIFS('Business Licences by Community'!$D$2:$D$318,'Business Licences by Community'!$C$2:$C$318,$C275)</f>
        <v>13</v>
      </c>
      <c r="K275" s="15">
        <v>2.2232020000000001</v>
      </c>
      <c r="L275" s="5" t="str">
        <f t="shared" si="36"/>
        <v/>
      </c>
      <c r="M275" s="6">
        <f t="shared" si="37"/>
        <v>5.8474218716967687</v>
      </c>
      <c r="N275" s="7" t="str">
        <f t="shared" si="38"/>
        <v/>
      </c>
      <c r="O275" s="7">
        <f t="shared" si="39"/>
        <v>0.25185185185185183</v>
      </c>
      <c r="P275" s="7">
        <f t="shared" si="40"/>
        <v>0.25185185185185183</v>
      </c>
      <c r="Q275" s="4" t="str">
        <f t="shared" si="41"/>
        <v>Businesses</v>
      </c>
      <c r="R275" s="16">
        <f t="shared" si="42"/>
        <v>0.47629629629629622</v>
      </c>
      <c r="S275" s="14">
        <f t="shared" si="43"/>
        <v>233</v>
      </c>
      <c r="T275" s="6" t="str">
        <f t="shared" si="44"/>
        <v/>
      </c>
      <c r="U275" s="17"/>
      <c r="V275" s="4" t="s">
        <v>971</v>
      </c>
    </row>
    <row r="276" spans="1:22" x14ac:dyDescent="0.45">
      <c r="A276" s="14">
        <v>275</v>
      </c>
      <c r="B276" s="4" t="s">
        <v>1524</v>
      </c>
      <c r="C276" s="4" t="s">
        <v>1524</v>
      </c>
      <c r="D276" s="5" t="e">
        <f>SUMIFS(#REF!,#REF!,$C276)</f>
        <v>#REF!</v>
      </c>
      <c r="E276" s="5" t="e">
        <f>SUMIFS(#REF!,#REF!,$C276)</f>
        <v>#REF!</v>
      </c>
      <c r="F276" s="5" t="e">
        <f>SUMIFS(#REF!,#REF!,$C276)</f>
        <v>#REF!</v>
      </c>
      <c r="G276" s="5" t="e">
        <f>SUMIFS(#REF!,#REF!,$C276)</f>
        <v>#REF!</v>
      </c>
      <c r="H276" s="4" t="s">
        <v>1475</v>
      </c>
      <c r="I276" s="5"/>
      <c r="J276" s="5">
        <f>SUMIFS('Business Licences by Community'!$D$2:$D$318,'Business Licences by Community'!$C$2:$C$318,$C276)</f>
        <v>2</v>
      </c>
      <c r="K276" s="15">
        <v>1.9772430000000001</v>
      </c>
      <c r="L276" s="5" t="str">
        <f t="shared" si="36"/>
        <v/>
      </c>
      <c r="M276" s="6">
        <f t="shared" si="37"/>
        <v>1.0115094603951056</v>
      </c>
      <c r="N276" s="7" t="str">
        <f t="shared" si="38"/>
        <v/>
      </c>
      <c r="O276" s="7">
        <f t="shared" si="39"/>
        <v>7.7777777777777779E-2</v>
      </c>
      <c r="P276" s="7">
        <f t="shared" si="40"/>
        <v>7.7777777777777779E-2</v>
      </c>
      <c r="Q276" s="4" t="str">
        <f t="shared" si="41"/>
        <v>Businesses</v>
      </c>
      <c r="R276" s="16">
        <f t="shared" si="42"/>
        <v>0.35444444444444445</v>
      </c>
      <c r="S276" s="14">
        <f t="shared" si="43"/>
        <v>259</v>
      </c>
      <c r="T276" s="6" t="str">
        <f t="shared" si="44"/>
        <v/>
      </c>
      <c r="U276" s="17"/>
      <c r="V276" s="4" t="s">
        <v>971</v>
      </c>
    </row>
    <row r="277" spans="1:22" x14ac:dyDescent="0.45">
      <c r="A277" s="14">
        <v>276</v>
      </c>
      <c r="B277" s="4" t="s">
        <v>1525</v>
      </c>
      <c r="C277" s="4" t="s">
        <v>1526</v>
      </c>
      <c r="D277" s="5" t="e">
        <f>SUMIFS(#REF!,#REF!,$C277)</f>
        <v>#REF!</v>
      </c>
      <c r="E277" s="5" t="e">
        <f>SUMIFS(#REF!,#REF!,$C277)</f>
        <v>#REF!</v>
      </c>
      <c r="F277" s="5" t="e">
        <f>SUMIFS(#REF!,#REF!,$C277)</f>
        <v>#REF!</v>
      </c>
      <c r="G277" s="5" t="e">
        <f>SUMIFS(#REF!,#REF!,$C277)</f>
        <v>#REF!</v>
      </c>
      <c r="H277" s="4" t="s">
        <v>1141</v>
      </c>
      <c r="I277" s="5"/>
      <c r="J277" s="5">
        <f>SUMIFS('Business Licences by Community'!$D$2:$D$318,'Business Licences by Community'!$C$2:$C$318,$C277)</f>
        <v>3</v>
      </c>
      <c r="K277" s="15">
        <v>4.3350790000000003</v>
      </c>
      <c r="L277" s="5" t="str">
        <f t="shared" si="36"/>
        <v/>
      </c>
      <c r="M277" s="6">
        <f t="shared" si="37"/>
        <v>0.6920289111224962</v>
      </c>
      <c r="N277" s="7" t="str">
        <f t="shared" si="38"/>
        <v/>
      </c>
      <c r="O277" s="7">
        <f t="shared" si="39"/>
        <v>6.6666666666666666E-2</v>
      </c>
      <c r="P277" s="7">
        <f t="shared" si="40"/>
        <v>6.6666666666666666E-2</v>
      </c>
      <c r="Q277" s="4" t="str">
        <f t="shared" si="41"/>
        <v>Businesses</v>
      </c>
      <c r="R277" s="16">
        <f t="shared" si="42"/>
        <v>0.34666666666666668</v>
      </c>
      <c r="S277" s="14">
        <f t="shared" si="43"/>
        <v>262</v>
      </c>
      <c r="T277" s="6" t="str">
        <f t="shared" si="44"/>
        <v/>
      </c>
      <c r="U277" s="17"/>
      <c r="V277" s="4" t="s">
        <v>971</v>
      </c>
    </row>
    <row r="278" spans="1:22" x14ac:dyDescent="0.45">
      <c r="A278" s="14">
        <v>277</v>
      </c>
      <c r="B278" s="4" t="s">
        <v>1527</v>
      </c>
      <c r="C278" s="4" t="s">
        <v>1528</v>
      </c>
      <c r="D278" s="5" t="e">
        <f>SUMIFS(#REF!,#REF!,$C278)</f>
        <v>#REF!</v>
      </c>
      <c r="E278" s="5" t="e">
        <f>SUMIFS(#REF!,#REF!,$C278)</f>
        <v>#REF!</v>
      </c>
      <c r="F278" s="5" t="e">
        <f>SUMIFS(#REF!,#REF!,$C278)</f>
        <v>#REF!</v>
      </c>
      <c r="G278" s="5" t="e">
        <f>SUMIFS(#REF!,#REF!,$C278)</f>
        <v>#REF!</v>
      </c>
      <c r="H278" s="4" t="s">
        <v>1141</v>
      </c>
      <c r="I278" s="5"/>
      <c r="J278" s="5">
        <f>SUMIFS('Business Licences by Community'!$D$2:$D$318,'Business Licences by Community'!$C$2:$C$318,$C278)</f>
        <v>0</v>
      </c>
      <c r="K278" s="15">
        <v>0.14937900000000001</v>
      </c>
      <c r="L278" s="5" t="str">
        <f t="shared" si="36"/>
        <v/>
      </c>
      <c r="M278" s="6" t="str">
        <f t="shared" si="37"/>
        <v/>
      </c>
      <c r="N278" s="7" t="str">
        <f t="shared" si="38"/>
        <v/>
      </c>
      <c r="O278" s="7" t="str">
        <f t="shared" si="39"/>
        <v/>
      </c>
      <c r="P278" s="7" t="str">
        <f t="shared" si="40"/>
        <v/>
      </c>
      <c r="Q278" s="4" t="str">
        <f t="shared" si="41"/>
        <v>No data</v>
      </c>
      <c r="R278" s="16">
        <f t="shared" si="42"/>
        <v>0.3</v>
      </c>
      <c r="S278" s="14">
        <f t="shared" si="43"/>
        <v>281</v>
      </c>
      <c r="T278" s="6" t="str">
        <f t="shared" si="44"/>
        <v/>
      </c>
      <c r="U278" s="17"/>
      <c r="V278" s="4" t="s">
        <v>971</v>
      </c>
    </row>
    <row r="279" spans="1:22" x14ac:dyDescent="0.45">
      <c r="A279" s="14">
        <v>278</v>
      </c>
      <c r="B279" s="4" t="s">
        <v>1529</v>
      </c>
      <c r="C279" s="4" t="s">
        <v>1530</v>
      </c>
      <c r="D279" s="5" t="e">
        <f>SUMIFS(#REF!,#REF!,$C279)</f>
        <v>#REF!</v>
      </c>
      <c r="E279" s="5" t="e">
        <f>SUMIFS(#REF!,#REF!,$C279)</f>
        <v>#REF!</v>
      </c>
      <c r="F279" s="5" t="e">
        <f>SUMIFS(#REF!,#REF!,$C279)</f>
        <v>#REF!</v>
      </c>
      <c r="G279" s="5" t="e">
        <f>SUMIFS(#REF!,#REF!,$C279)</f>
        <v>#REF!</v>
      </c>
      <c r="H279" s="4" t="s">
        <v>1141</v>
      </c>
      <c r="I279" s="5"/>
      <c r="J279" s="5">
        <f>SUMIFS('Business Licences by Community'!$D$2:$D$318,'Business Licences by Community'!$C$2:$C$318,$C279)</f>
        <v>3</v>
      </c>
      <c r="K279" s="15">
        <v>1.6427080000000001</v>
      </c>
      <c r="L279" s="5" t="str">
        <f t="shared" si="36"/>
        <v/>
      </c>
      <c r="M279" s="6">
        <f t="shared" si="37"/>
        <v>1.8262527485103865</v>
      </c>
      <c r="N279" s="7" t="str">
        <f t="shared" si="38"/>
        <v/>
      </c>
      <c r="O279" s="7">
        <f t="shared" si="39"/>
        <v>0.12222222222222222</v>
      </c>
      <c r="P279" s="7">
        <f t="shared" si="40"/>
        <v>0.12222222222222222</v>
      </c>
      <c r="Q279" s="4" t="str">
        <f t="shared" si="41"/>
        <v>Businesses</v>
      </c>
      <c r="R279" s="16">
        <f t="shared" si="42"/>
        <v>0.38555555555555554</v>
      </c>
      <c r="S279" s="14">
        <f t="shared" si="43"/>
        <v>249</v>
      </c>
      <c r="T279" s="6" t="str">
        <f t="shared" si="44"/>
        <v/>
      </c>
      <c r="U279" s="17"/>
      <c r="V279" s="4" t="s">
        <v>971</v>
      </c>
    </row>
    <row r="280" spans="1:22" x14ac:dyDescent="0.45">
      <c r="A280" s="14">
        <v>279</v>
      </c>
      <c r="B280" s="4" t="s">
        <v>1531</v>
      </c>
      <c r="C280" s="4" t="s">
        <v>1532</v>
      </c>
      <c r="D280" s="5" t="e">
        <f>SUMIFS(#REF!,#REF!,$C280)</f>
        <v>#REF!</v>
      </c>
      <c r="E280" s="5" t="e">
        <f>SUMIFS(#REF!,#REF!,$C280)</f>
        <v>#REF!</v>
      </c>
      <c r="F280" s="5" t="e">
        <f>SUMIFS(#REF!,#REF!,$C280)</f>
        <v>#REF!</v>
      </c>
      <c r="G280" s="5" t="e">
        <f>SUMIFS(#REF!,#REF!,$C280)</f>
        <v>#REF!</v>
      </c>
      <c r="H280" s="4" t="s">
        <v>1141</v>
      </c>
      <c r="I280" s="5"/>
      <c r="J280" s="5">
        <f>SUMIFS('Business Licences by Community'!$D$2:$D$318,'Business Licences by Community'!$C$2:$C$318,$C280)</f>
        <v>76</v>
      </c>
      <c r="K280" s="15">
        <v>0.50756299999999999</v>
      </c>
      <c r="L280" s="5" t="str">
        <f t="shared" si="36"/>
        <v/>
      </c>
      <c r="M280" s="6">
        <f t="shared" si="37"/>
        <v>149.73510677492251</v>
      </c>
      <c r="N280" s="7" t="str">
        <f t="shared" si="38"/>
        <v/>
      </c>
      <c r="O280" s="7">
        <f t="shared" si="39"/>
        <v>0.91481481481481486</v>
      </c>
      <c r="P280" s="7">
        <f t="shared" si="40"/>
        <v>0.91481481481481486</v>
      </c>
      <c r="Q280" s="4" t="str">
        <f t="shared" si="41"/>
        <v>Businesses</v>
      </c>
      <c r="R280" s="16">
        <f t="shared" si="42"/>
        <v>0.9403703703703703</v>
      </c>
      <c r="S280" s="14">
        <f t="shared" si="43"/>
        <v>34</v>
      </c>
      <c r="T280" s="6" t="str">
        <f t="shared" si="44"/>
        <v/>
      </c>
      <c r="U280" s="17"/>
      <c r="V280" s="4" t="s">
        <v>971</v>
      </c>
    </row>
    <row r="281" spans="1:22" x14ac:dyDescent="0.45">
      <c r="A281" s="14">
        <v>280</v>
      </c>
      <c r="B281" s="4" t="s">
        <v>1533</v>
      </c>
      <c r="C281" s="4" t="s">
        <v>1533</v>
      </c>
      <c r="D281" s="5" t="e">
        <f>SUMIFS(#REF!,#REF!,$C281)</f>
        <v>#REF!</v>
      </c>
      <c r="E281" s="5" t="e">
        <f>SUMIFS(#REF!,#REF!,$C281)</f>
        <v>#REF!</v>
      </c>
      <c r="F281" s="5" t="e">
        <f>SUMIFS(#REF!,#REF!,$C281)</f>
        <v>#REF!</v>
      </c>
      <c r="G281" s="5" t="e">
        <f>SUMIFS(#REF!,#REF!,$C281)</f>
        <v>#REF!</v>
      </c>
      <c r="H281" s="4" t="s">
        <v>1475</v>
      </c>
      <c r="I281" s="5"/>
      <c r="J281" s="5">
        <f>SUMIFS('Business Licences by Community'!$D$2:$D$318,'Business Licences by Community'!$C$2:$C$318,$C281)</f>
        <v>4</v>
      </c>
      <c r="K281" s="15">
        <v>17.339013999999999</v>
      </c>
      <c r="L281" s="5" t="str">
        <f t="shared" si="36"/>
        <v/>
      </c>
      <c r="M281" s="6">
        <f t="shared" si="37"/>
        <v>0.23069362536993165</v>
      </c>
      <c r="N281" s="7" t="str">
        <f t="shared" si="38"/>
        <v/>
      </c>
      <c r="O281" s="7">
        <f t="shared" si="39"/>
        <v>2.5925925925925925E-2</v>
      </c>
      <c r="P281" s="7">
        <f t="shared" si="40"/>
        <v>2.5925925925925925E-2</v>
      </c>
      <c r="Q281" s="4" t="str">
        <f t="shared" si="41"/>
        <v>Businesses</v>
      </c>
      <c r="R281" s="16">
        <f t="shared" si="42"/>
        <v>0.31814814814814812</v>
      </c>
      <c r="S281" s="14">
        <f t="shared" si="43"/>
        <v>274</v>
      </c>
      <c r="T281" s="6" t="str">
        <f t="shared" si="44"/>
        <v/>
      </c>
      <c r="U281" s="17"/>
      <c r="V281" s="4" t="s">
        <v>971</v>
      </c>
    </row>
    <row r="282" spans="1:22" x14ac:dyDescent="0.45">
      <c r="A282" s="14">
        <v>281</v>
      </c>
      <c r="B282" s="4" t="s">
        <v>1534</v>
      </c>
      <c r="C282" s="4" t="s">
        <v>1534</v>
      </c>
      <c r="D282" s="5" t="e">
        <f>SUMIFS(#REF!,#REF!,$C282)</f>
        <v>#REF!</v>
      </c>
      <c r="E282" s="5" t="e">
        <f>SUMIFS(#REF!,#REF!,$C282)</f>
        <v>#REF!</v>
      </c>
      <c r="F282" s="5" t="e">
        <f>SUMIFS(#REF!,#REF!,$C282)</f>
        <v>#REF!</v>
      </c>
      <c r="G282" s="5" t="e">
        <f>SUMIFS(#REF!,#REF!,$C282)</f>
        <v>#REF!</v>
      </c>
      <c r="H282" s="4" t="s">
        <v>1475</v>
      </c>
      <c r="I282" s="5"/>
      <c r="J282" s="5">
        <f>SUMIFS('Business Licences by Community'!$D$2:$D$318,'Business Licences by Community'!$C$2:$C$318,$C282)</f>
        <v>1</v>
      </c>
      <c r="K282" s="15">
        <v>2.6711049999999998</v>
      </c>
      <c r="L282" s="5" t="str">
        <f t="shared" si="36"/>
        <v/>
      </c>
      <c r="M282" s="6">
        <f t="shared" si="37"/>
        <v>0.37437689645296612</v>
      </c>
      <c r="N282" s="7" t="str">
        <f t="shared" si="38"/>
        <v/>
      </c>
      <c r="O282" s="7">
        <f t="shared" si="39"/>
        <v>3.3333333333333333E-2</v>
      </c>
      <c r="P282" s="7">
        <f t="shared" si="40"/>
        <v>3.3333333333333333E-2</v>
      </c>
      <c r="Q282" s="4" t="str">
        <f t="shared" si="41"/>
        <v>Businesses</v>
      </c>
      <c r="R282" s="16">
        <f t="shared" si="42"/>
        <v>0.32333333333333331</v>
      </c>
      <c r="S282" s="14">
        <f t="shared" si="43"/>
        <v>271</v>
      </c>
      <c r="T282" s="6" t="str">
        <f t="shared" si="44"/>
        <v/>
      </c>
      <c r="U282" s="17"/>
      <c r="V282" s="4" t="s">
        <v>971</v>
      </c>
    </row>
    <row r="283" spans="1:22" x14ac:dyDescent="0.45">
      <c r="A283" s="14">
        <v>282</v>
      </c>
      <c r="B283" s="4" t="s">
        <v>1535</v>
      </c>
      <c r="C283" s="4" t="s">
        <v>1535</v>
      </c>
      <c r="D283" s="5" t="e">
        <f>SUMIFS(#REF!,#REF!,$C283)</f>
        <v>#REF!</v>
      </c>
      <c r="E283" s="5" t="e">
        <f>SUMIFS(#REF!,#REF!,$C283)</f>
        <v>#REF!</v>
      </c>
      <c r="F283" s="5" t="e">
        <f>SUMIFS(#REF!,#REF!,$C283)</f>
        <v>#REF!</v>
      </c>
      <c r="G283" s="5" t="e">
        <f>SUMIFS(#REF!,#REF!,$C283)</f>
        <v>#REF!</v>
      </c>
      <c r="H283" s="4" t="s">
        <v>1475</v>
      </c>
      <c r="I283" s="5"/>
      <c r="J283" s="5">
        <f>SUMIFS('Business Licences by Community'!$D$2:$D$318,'Business Licences by Community'!$C$2:$C$318,$C283)</f>
        <v>25</v>
      </c>
      <c r="K283" s="15">
        <v>1.478599</v>
      </c>
      <c r="L283" s="5" t="str">
        <f t="shared" si="36"/>
        <v/>
      </c>
      <c r="M283" s="6">
        <f t="shared" si="37"/>
        <v>16.907897273026695</v>
      </c>
      <c r="N283" s="7" t="str">
        <f t="shared" si="38"/>
        <v/>
      </c>
      <c r="O283" s="7">
        <f t="shared" si="39"/>
        <v>0.51111111111111107</v>
      </c>
      <c r="P283" s="7">
        <f t="shared" si="40"/>
        <v>0.51111111111111107</v>
      </c>
      <c r="Q283" s="4" t="str">
        <f t="shared" si="41"/>
        <v>Businesses</v>
      </c>
      <c r="R283" s="16">
        <f t="shared" si="42"/>
        <v>0.65777777777777779</v>
      </c>
      <c r="S283" s="14">
        <f t="shared" si="43"/>
        <v>183</v>
      </c>
      <c r="T283" s="6" t="str">
        <f t="shared" si="44"/>
        <v/>
      </c>
      <c r="U283" s="17"/>
      <c r="V283" s="4" t="s">
        <v>971</v>
      </c>
    </row>
    <row r="284" spans="1:22" x14ac:dyDescent="0.45">
      <c r="A284" s="14">
        <v>283</v>
      </c>
      <c r="B284" s="4" t="s">
        <v>1536</v>
      </c>
      <c r="C284" s="4" t="s">
        <v>1536</v>
      </c>
      <c r="D284" s="5" t="e">
        <f>SUMIFS(#REF!,#REF!,$C284)</f>
        <v>#REF!</v>
      </c>
      <c r="E284" s="5" t="e">
        <f>SUMIFS(#REF!,#REF!,$C284)</f>
        <v>#REF!</v>
      </c>
      <c r="F284" s="5" t="e">
        <f>SUMIFS(#REF!,#REF!,$C284)</f>
        <v>#REF!</v>
      </c>
      <c r="G284" s="5" t="e">
        <f>SUMIFS(#REF!,#REF!,$C284)</f>
        <v>#REF!</v>
      </c>
      <c r="H284" s="4" t="s">
        <v>1475</v>
      </c>
      <c r="I284" s="5"/>
      <c r="J284" s="5">
        <f>SUMIFS('Business Licences by Community'!$D$2:$D$318,'Business Licences by Community'!$C$2:$C$318,$C284)</f>
        <v>0</v>
      </c>
      <c r="K284" s="15">
        <v>0.88416799999999995</v>
      </c>
      <c r="L284" s="5" t="str">
        <f t="shared" si="36"/>
        <v/>
      </c>
      <c r="M284" s="6" t="str">
        <f t="shared" si="37"/>
        <v/>
      </c>
      <c r="N284" s="7" t="str">
        <f t="shared" si="38"/>
        <v/>
      </c>
      <c r="O284" s="7" t="str">
        <f t="shared" si="39"/>
        <v/>
      </c>
      <c r="P284" s="7" t="str">
        <f t="shared" si="40"/>
        <v/>
      </c>
      <c r="Q284" s="4" t="str">
        <f t="shared" si="41"/>
        <v>No data</v>
      </c>
      <c r="R284" s="16">
        <f t="shared" si="42"/>
        <v>0.3</v>
      </c>
      <c r="S284" s="14">
        <f t="shared" si="43"/>
        <v>281</v>
      </c>
      <c r="T284" s="6" t="str">
        <f t="shared" si="44"/>
        <v/>
      </c>
      <c r="U284" s="17"/>
      <c r="V284" s="4" t="s">
        <v>971</v>
      </c>
    </row>
    <row r="285" spans="1:22" x14ac:dyDescent="0.45">
      <c r="A285" s="14">
        <v>284</v>
      </c>
      <c r="B285" s="4" t="s">
        <v>1537</v>
      </c>
      <c r="C285" s="4" t="s">
        <v>1537</v>
      </c>
      <c r="D285" s="5" t="e">
        <f>SUMIFS(#REF!,#REF!,$C285)</f>
        <v>#REF!</v>
      </c>
      <c r="E285" s="5" t="e">
        <f>SUMIFS(#REF!,#REF!,$C285)</f>
        <v>#REF!</v>
      </c>
      <c r="F285" s="5" t="e">
        <f>SUMIFS(#REF!,#REF!,$C285)</f>
        <v>#REF!</v>
      </c>
      <c r="G285" s="5" t="e">
        <f>SUMIFS(#REF!,#REF!,$C285)</f>
        <v>#REF!</v>
      </c>
      <c r="H285" s="4" t="s">
        <v>1475</v>
      </c>
      <c r="I285" s="5"/>
      <c r="J285" s="5">
        <f>SUMIFS('Business Licences by Community'!$D$2:$D$318,'Business Licences by Community'!$C$2:$C$318,$C285)</f>
        <v>1</v>
      </c>
      <c r="K285" s="15">
        <v>2.6188600000000002</v>
      </c>
      <c r="L285" s="5" t="str">
        <f t="shared" si="36"/>
        <v/>
      </c>
      <c r="M285" s="6">
        <f t="shared" si="37"/>
        <v>0.3818455358438404</v>
      </c>
      <c r="N285" s="7" t="str">
        <f t="shared" si="38"/>
        <v/>
      </c>
      <c r="O285" s="7">
        <f t="shared" si="39"/>
        <v>4.0740740740740744E-2</v>
      </c>
      <c r="P285" s="7">
        <f t="shared" si="40"/>
        <v>4.0740740740740744E-2</v>
      </c>
      <c r="Q285" s="4" t="str">
        <f t="shared" si="41"/>
        <v>Businesses</v>
      </c>
      <c r="R285" s="16">
        <f t="shared" si="42"/>
        <v>0.32851851851851849</v>
      </c>
      <c r="S285" s="14">
        <f t="shared" si="43"/>
        <v>269</v>
      </c>
      <c r="T285" s="6" t="str">
        <f t="shared" si="44"/>
        <v/>
      </c>
      <c r="U285" s="17"/>
      <c r="V285" s="4" t="s">
        <v>971</v>
      </c>
    </row>
    <row r="286" spans="1:22" x14ac:dyDescent="0.45">
      <c r="A286" s="14">
        <v>285</v>
      </c>
      <c r="B286" s="4" t="s">
        <v>1538</v>
      </c>
      <c r="C286" s="4" t="s">
        <v>1538</v>
      </c>
      <c r="D286" s="5" t="e">
        <f>SUMIFS(#REF!,#REF!,$C286)</f>
        <v>#REF!</v>
      </c>
      <c r="E286" s="5" t="e">
        <f>SUMIFS(#REF!,#REF!,$C286)</f>
        <v>#REF!</v>
      </c>
      <c r="F286" s="5" t="e">
        <f>SUMIFS(#REF!,#REF!,$C286)</f>
        <v>#REF!</v>
      </c>
      <c r="G286" s="5" t="e">
        <f>SUMIFS(#REF!,#REF!,$C286)</f>
        <v>#REF!</v>
      </c>
      <c r="H286" s="4" t="s">
        <v>1475</v>
      </c>
      <c r="I286" s="5"/>
      <c r="J286" s="5">
        <f>SUMIFS('Business Licences by Community'!$D$2:$D$318,'Business Licences by Community'!$C$2:$C$318,$C286)</f>
        <v>1</v>
      </c>
      <c r="K286" s="15">
        <v>12.954940000000001</v>
      </c>
      <c r="L286" s="5" t="str">
        <f t="shared" si="36"/>
        <v/>
      </c>
      <c r="M286" s="6">
        <f t="shared" si="37"/>
        <v>7.7190631527432774E-2</v>
      </c>
      <c r="N286" s="7" t="str">
        <f t="shared" si="38"/>
        <v/>
      </c>
      <c r="O286" s="7">
        <f t="shared" si="39"/>
        <v>0</v>
      </c>
      <c r="P286" s="7">
        <f t="shared" si="40"/>
        <v>0</v>
      </c>
      <c r="Q286" s="4" t="str">
        <f t="shared" si="41"/>
        <v>Businesses</v>
      </c>
      <c r="R286" s="16">
        <f t="shared" si="42"/>
        <v>0.3</v>
      </c>
      <c r="S286" s="14">
        <f t="shared" si="43"/>
        <v>281</v>
      </c>
      <c r="T286" s="6" t="str">
        <f t="shared" si="44"/>
        <v/>
      </c>
      <c r="U286" s="17"/>
      <c r="V286" s="4" t="s">
        <v>971</v>
      </c>
    </row>
    <row r="287" spans="1:22" x14ac:dyDescent="0.45">
      <c r="A287" s="14">
        <v>286</v>
      </c>
      <c r="B287" s="4" t="s">
        <v>1539</v>
      </c>
      <c r="C287" s="4" t="s">
        <v>1539</v>
      </c>
      <c r="D287" s="5" t="e">
        <f>SUMIFS(#REF!,#REF!,$C287)</f>
        <v>#REF!</v>
      </c>
      <c r="E287" s="5" t="e">
        <f>SUMIFS(#REF!,#REF!,$C287)</f>
        <v>#REF!</v>
      </c>
      <c r="F287" s="5" t="e">
        <f>SUMIFS(#REF!,#REF!,$C287)</f>
        <v>#REF!</v>
      </c>
      <c r="G287" s="5" t="e">
        <f>SUMIFS(#REF!,#REF!,$C287)</f>
        <v>#REF!</v>
      </c>
      <c r="H287" s="4" t="s">
        <v>1475</v>
      </c>
      <c r="I287" s="5"/>
      <c r="J287" s="5">
        <f>SUMIFS('Business Licences by Community'!$D$2:$D$318,'Business Licences by Community'!$C$2:$C$318,$C287)</f>
        <v>0</v>
      </c>
      <c r="K287" s="15">
        <v>2.6317870000000001</v>
      </c>
      <c r="L287" s="5" t="str">
        <f t="shared" si="36"/>
        <v/>
      </c>
      <c r="M287" s="6" t="str">
        <f t="shared" si="37"/>
        <v/>
      </c>
      <c r="N287" s="7" t="str">
        <f t="shared" si="38"/>
        <v/>
      </c>
      <c r="O287" s="7" t="str">
        <f t="shared" si="39"/>
        <v/>
      </c>
      <c r="P287" s="7" t="str">
        <f t="shared" si="40"/>
        <v/>
      </c>
      <c r="Q287" s="4" t="str">
        <f t="shared" si="41"/>
        <v>No data</v>
      </c>
      <c r="R287" s="16">
        <f t="shared" si="42"/>
        <v>0.3</v>
      </c>
      <c r="S287" s="14">
        <f t="shared" si="43"/>
        <v>281</v>
      </c>
      <c r="T287" s="6" t="str">
        <f t="shared" si="44"/>
        <v/>
      </c>
      <c r="U287" s="17"/>
      <c r="V287" s="4" t="s">
        <v>971</v>
      </c>
    </row>
    <row r="288" spans="1:22" x14ac:dyDescent="0.45">
      <c r="A288" s="14">
        <v>287</v>
      </c>
      <c r="B288" s="4" t="s">
        <v>1540</v>
      </c>
      <c r="C288" s="4" t="s">
        <v>1540</v>
      </c>
      <c r="D288" s="5" t="e">
        <f>SUMIFS(#REF!,#REF!,$C288)</f>
        <v>#REF!</v>
      </c>
      <c r="E288" s="5" t="e">
        <f>SUMIFS(#REF!,#REF!,$C288)</f>
        <v>#REF!</v>
      </c>
      <c r="F288" s="5" t="e">
        <f>SUMIFS(#REF!,#REF!,$C288)</f>
        <v>#REF!</v>
      </c>
      <c r="G288" s="5" t="e">
        <f>SUMIFS(#REF!,#REF!,$C288)</f>
        <v>#REF!</v>
      </c>
      <c r="H288" s="4" t="s">
        <v>1475</v>
      </c>
      <c r="I288" s="5"/>
      <c r="J288" s="5">
        <f>SUMIFS('Business Licences by Community'!$D$2:$D$318,'Business Licences by Community'!$C$2:$C$318,$C288)</f>
        <v>2</v>
      </c>
      <c r="K288" s="15">
        <v>5.1086799999999997</v>
      </c>
      <c r="L288" s="5" t="str">
        <f t="shared" si="36"/>
        <v/>
      </c>
      <c r="M288" s="6">
        <f t="shared" si="37"/>
        <v>0.39149056116257042</v>
      </c>
      <c r="N288" s="7" t="str">
        <f t="shared" si="38"/>
        <v/>
      </c>
      <c r="O288" s="7">
        <f t="shared" si="39"/>
        <v>4.4444444444444446E-2</v>
      </c>
      <c r="P288" s="7">
        <f t="shared" si="40"/>
        <v>4.4444444444444446E-2</v>
      </c>
      <c r="Q288" s="4" t="str">
        <f t="shared" si="41"/>
        <v>Businesses</v>
      </c>
      <c r="R288" s="16">
        <f t="shared" si="42"/>
        <v>0.33111111111111108</v>
      </c>
      <c r="S288" s="14">
        <f t="shared" si="43"/>
        <v>267</v>
      </c>
      <c r="T288" s="6" t="str">
        <f t="shared" si="44"/>
        <v/>
      </c>
      <c r="U288" s="17"/>
      <c r="V288" s="4" t="s">
        <v>971</v>
      </c>
    </row>
    <row r="289" spans="1:22" x14ac:dyDescent="0.45">
      <c r="A289" s="14">
        <v>288</v>
      </c>
      <c r="B289" s="4" t="s">
        <v>1541</v>
      </c>
      <c r="C289" s="4" t="s">
        <v>1541</v>
      </c>
      <c r="D289" s="5" t="e">
        <f>SUMIFS(#REF!,#REF!,$C289)</f>
        <v>#REF!</v>
      </c>
      <c r="E289" s="5" t="e">
        <f>SUMIFS(#REF!,#REF!,$C289)</f>
        <v>#REF!</v>
      </c>
      <c r="F289" s="5" t="e">
        <f>SUMIFS(#REF!,#REF!,$C289)</f>
        <v>#REF!</v>
      </c>
      <c r="G289" s="5" t="e">
        <f>SUMIFS(#REF!,#REF!,$C289)</f>
        <v>#REF!</v>
      </c>
      <c r="H289" s="4" t="s">
        <v>1475</v>
      </c>
      <c r="I289" s="5"/>
      <c r="J289" s="5">
        <f>SUMIFS('Business Licences by Community'!$D$2:$D$318,'Business Licences by Community'!$C$2:$C$318,$C289)</f>
        <v>0</v>
      </c>
      <c r="K289" s="15">
        <v>1.655467</v>
      </c>
      <c r="L289" s="5" t="str">
        <f t="shared" si="36"/>
        <v/>
      </c>
      <c r="M289" s="6" t="str">
        <f t="shared" si="37"/>
        <v/>
      </c>
      <c r="N289" s="7" t="str">
        <f t="shared" si="38"/>
        <v/>
      </c>
      <c r="O289" s="7" t="str">
        <f t="shared" si="39"/>
        <v/>
      </c>
      <c r="P289" s="7" t="str">
        <f t="shared" si="40"/>
        <v/>
      </c>
      <c r="Q289" s="4" t="str">
        <f t="shared" si="41"/>
        <v>No data</v>
      </c>
      <c r="R289" s="16">
        <f t="shared" si="42"/>
        <v>0.3</v>
      </c>
      <c r="S289" s="14">
        <f t="shared" si="43"/>
        <v>281</v>
      </c>
      <c r="T289" s="6" t="str">
        <f t="shared" si="44"/>
        <v/>
      </c>
      <c r="U289" s="17"/>
      <c r="V289" s="4" t="s">
        <v>971</v>
      </c>
    </row>
    <row r="290" spans="1:22" x14ac:dyDescent="0.45">
      <c r="A290" s="14">
        <v>289</v>
      </c>
      <c r="B290" s="4" t="s">
        <v>1542</v>
      </c>
      <c r="C290" s="4" t="s">
        <v>1542</v>
      </c>
      <c r="D290" s="5" t="e">
        <f>SUMIFS(#REF!,#REF!,$C290)</f>
        <v>#REF!</v>
      </c>
      <c r="E290" s="5" t="e">
        <f>SUMIFS(#REF!,#REF!,$C290)</f>
        <v>#REF!</v>
      </c>
      <c r="F290" s="5" t="e">
        <f>SUMIFS(#REF!,#REF!,$C290)</f>
        <v>#REF!</v>
      </c>
      <c r="G290" s="5" t="e">
        <f>SUMIFS(#REF!,#REF!,$C290)</f>
        <v>#REF!</v>
      </c>
      <c r="H290" s="4" t="s">
        <v>1475</v>
      </c>
      <c r="I290" s="5"/>
      <c r="J290" s="5">
        <f>SUMIFS('Business Licences by Community'!$D$2:$D$318,'Business Licences by Community'!$C$2:$C$318,$C290)</f>
        <v>13</v>
      </c>
      <c r="K290" s="15">
        <v>1.8781639999999999</v>
      </c>
      <c r="L290" s="5" t="str">
        <f t="shared" si="36"/>
        <v/>
      </c>
      <c r="M290" s="6">
        <f t="shared" si="37"/>
        <v>6.9216532741549726</v>
      </c>
      <c r="N290" s="7" t="str">
        <f t="shared" si="38"/>
        <v/>
      </c>
      <c r="O290" s="7">
        <f t="shared" si="39"/>
        <v>0.2814814814814815</v>
      </c>
      <c r="P290" s="7">
        <f t="shared" si="40"/>
        <v>0.2814814814814815</v>
      </c>
      <c r="Q290" s="4" t="str">
        <f t="shared" si="41"/>
        <v>Businesses</v>
      </c>
      <c r="R290" s="16">
        <f t="shared" si="42"/>
        <v>0.49703703703703705</v>
      </c>
      <c r="S290" s="14">
        <f t="shared" si="43"/>
        <v>229</v>
      </c>
      <c r="T290" s="6" t="str">
        <f t="shared" si="44"/>
        <v/>
      </c>
      <c r="U290" s="17"/>
      <c r="V290" s="4" t="s">
        <v>971</v>
      </c>
    </row>
    <row r="291" spans="1:22" x14ac:dyDescent="0.45">
      <c r="A291" s="14">
        <v>290</v>
      </c>
      <c r="B291" s="4" t="s">
        <v>1543</v>
      </c>
      <c r="C291" s="4" t="s">
        <v>1543</v>
      </c>
      <c r="D291" s="5" t="e">
        <f>SUMIFS(#REF!,#REF!,$C291)</f>
        <v>#REF!</v>
      </c>
      <c r="E291" s="5" t="e">
        <f>SUMIFS(#REF!,#REF!,$C291)</f>
        <v>#REF!</v>
      </c>
      <c r="F291" s="5" t="e">
        <f>SUMIFS(#REF!,#REF!,$C291)</f>
        <v>#REF!</v>
      </c>
      <c r="G291" s="5" t="e">
        <f>SUMIFS(#REF!,#REF!,$C291)</f>
        <v>#REF!</v>
      </c>
      <c r="H291" s="4" t="s">
        <v>1475</v>
      </c>
      <c r="I291" s="5"/>
      <c r="J291" s="5">
        <f>SUMIFS('Business Licences by Community'!$D$2:$D$318,'Business Licences by Community'!$C$2:$C$318,$C291)</f>
        <v>3</v>
      </c>
      <c r="K291" s="15">
        <v>2.5780319999999999</v>
      </c>
      <c r="L291" s="5" t="str">
        <f t="shared" si="36"/>
        <v/>
      </c>
      <c r="M291" s="6">
        <f t="shared" si="37"/>
        <v>1.1636783406877804</v>
      </c>
      <c r="N291" s="7" t="str">
        <f t="shared" si="38"/>
        <v/>
      </c>
      <c r="O291" s="7">
        <f t="shared" si="39"/>
        <v>8.5185185185185183E-2</v>
      </c>
      <c r="P291" s="7">
        <f t="shared" si="40"/>
        <v>8.5185185185185183E-2</v>
      </c>
      <c r="Q291" s="4" t="str">
        <f t="shared" si="41"/>
        <v>Businesses</v>
      </c>
      <c r="R291" s="16">
        <f t="shared" si="42"/>
        <v>0.35962962962962963</v>
      </c>
      <c r="S291" s="14">
        <f t="shared" si="43"/>
        <v>258</v>
      </c>
      <c r="T291" s="6" t="str">
        <f t="shared" si="44"/>
        <v/>
      </c>
      <c r="U291" s="17"/>
      <c r="V291" s="4" t="s">
        <v>971</v>
      </c>
    </row>
    <row r="292" spans="1:22" x14ac:dyDescent="0.45">
      <c r="A292" s="14">
        <v>291</v>
      </c>
      <c r="B292" s="4" t="s">
        <v>1544</v>
      </c>
      <c r="C292" s="4" t="s">
        <v>1544</v>
      </c>
      <c r="D292" s="5" t="e">
        <f>SUMIFS(#REF!,#REF!,$C292)</f>
        <v>#REF!</v>
      </c>
      <c r="E292" s="5" t="e">
        <f>SUMIFS(#REF!,#REF!,$C292)</f>
        <v>#REF!</v>
      </c>
      <c r="F292" s="5" t="e">
        <f>SUMIFS(#REF!,#REF!,$C292)</f>
        <v>#REF!</v>
      </c>
      <c r="G292" s="5" t="e">
        <f>SUMIFS(#REF!,#REF!,$C292)</f>
        <v>#REF!</v>
      </c>
      <c r="H292" s="4" t="s">
        <v>1475</v>
      </c>
      <c r="I292" s="5"/>
      <c r="J292" s="5">
        <f>SUMIFS('Business Licences by Community'!$D$2:$D$318,'Business Licences by Community'!$C$2:$C$318,$C292)</f>
        <v>0</v>
      </c>
      <c r="K292" s="15">
        <v>2.69964</v>
      </c>
      <c r="L292" s="5" t="str">
        <f t="shared" si="36"/>
        <v/>
      </c>
      <c r="M292" s="6" t="str">
        <f t="shared" si="37"/>
        <v/>
      </c>
      <c r="N292" s="7" t="str">
        <f t="shared" si="38"/>
        <v/>
      </c>
      <c r="O292" s="7" t="str">
        <f t="shared" si="39"/>
        <v/>
      </c>
      <c r="P292" s="7" t="str">
        <f t="shared" si="40"/>
        <v/>
      </c>
      <c r="Q292" s="4" t="str">
        <f t="shared" si="41"/>
        <v>No data</v>
      </c>
      <c r="R292" s="16">
        <f t="shared" si="42"/>
        <v>0.3</v>
      </c>
      <c r="S292" s="14">
        <f t="shared" si="43"/>
        <v>281</v>
      </c>
      <c r="T292" s="6" t="str">
        <f t="shared" si="44"/>
        <v/>
      </c>
      <c r="U292" s="17"/>
      <c r="V292" s="4" t="s">
        <v>971</v>
      </c>
    </row>
    <row r="293" spans="1:22" x14ac:dyDescent="0.45">
      <c r="A293" s="14">
        <v>292</v>
      </c>
      <c r="B293" s="4" t="s">
        <v>1545</v>
      </c>
      <c r="C293" s="4" t="s">
        <v>1546</v>
      </c>
      <c r="D293" s="5" t="e">
        <f>SUMIFS(#REF!,#REF!,$C293)</f>
        <v>#REF!</v>
      </c>
      <c r="E293" s="5" t="e">
        <f>SUMIFS(#REF!,#REF!,$C293)</f>
        <v>#REF!</v>
      </c>
      <c r="F293" s="5" t="e">
        <f>SUMIFS(#REF!,#REF!,$C293)</f>
        <v>#REF!</v>
      </c>
      <c r="G293" s="5" t="e">
        <f>SUMIFS(#REF!,#REF!,$C293)</f>
        <v>#REF!</v>
      </c>
      <c r="H293" s="4" t="s">
        <v>1141</v>
      </c>
      <c r="I293" s="5"/>
      <c r="J293" s="5">
        <f>SUMIFS('Business Licences by Community'!$D$2:$D$318,'Business Licences by Community'!$C$2:$C$318,$C293)</f>
        <v>9</v>
      </c>
      <c r="K293" s="15">
        <v>0.873247</v>
      </c>
      <c r="L293" s="5" t="str">
        <f t="shared" si="36"/>
        <v/>
      </c>
      <c r="M293" s="6">
        <f t="shared" si="37"/>
        <v>10.306362346506774</v>
      </c>
      <c r="N293" s="7" t="str">
        <f t="shared" si="38"/>
        <v/>
      </c>
      <c r="O293" s="7">
        <f t="shared" si="39"/>
        <v>0.35185185185185186</v>
      </c>
      <c r="P293" s="7">
        <f t="shared" si="40"/>
        <v>0.35185185185185186</v>
      </c>
      <c r="Q293" s="4" t="str">
        <f t="shared" si="41"/>
        <v>Businesses</v>
      </c>
      <c r="R293" s="16">
        <f t="shared" si="42"/>
        <v>0.54629629629629628</v>
      </c>
      <c r="S293" s="14">
        <f t="shared" si="43"/>
        <v>219</v>
      </c>
      <c r="T293" s="6" t="str">
        <f t="shared" si="44"/>
        <v/>
      </c>
      <c r="U293" s="17"/>
      <c r="V293" s="4" t="s">
        <v>971</v>
      </c>
    </row>
    <row r="294" spans="1:22" x14ac:dyDescent="0.45">
      <c r="A294" s="14">
        <v>293</v>
      </c>
      <c r="B294" s="4" t="s">
        <v>1547</v>
      </c>
      <c r="C294" s="4" t="s">
        <v>1547</v>
      </c>
      <c r="D294" s="5" t="e">
        <f>SUMIFS(#REF!,#REF!,$C294)</f>
        <v>#REF!</v>
      </c>
      <c r="E294" s="5" t="e">
        <f>SUMIFS(#REF!,#REF!,$C294)</f>
        <v>#REF!</v>
      </c>
      <c r="F294" s="5" t="e">
        <f>SUMIFS(#REF!,#REF!,$C294)</f>
        <v>#REF!</v>
      </c>
      <c r="G294" s="5" t="e">
        <f>SUMIFS(#REF!,#REF!,$C294)</f>
        <v>#REF!</v>
      </c>
      <c r="H294" s="4" t="s">
        <v>1475</v>
      </c>
      <c r="I294" s="5"/>
      <c r="J294" s="5">
        <f>SUMIFS('Business Licences by Community'!$D$2:$D$318,'Business Licences by Community'!$C$2:$C$318,$C294)</f>
        <v>0</v>
      </c>
      <c r="K294" s="15">
        <v>1.0809850000000001</v>
      </c>
      <c r="L294" s="5" t="str">
        <f t="shared" si="36"/>
        <v/>
      </c>
      <c r="M294" s="6" t="str">
        <f t="shared" si="37"/>
        <v/>
      </c>
      <c r="N294" s="7" t="str">
        <f t="shared" si="38"/>
        <v/>
      </c>
      <c r="O294" s="7" t="str">
        <f t="shared" si="39"/>
        <v/>
      </c>
      <c r="P294" s="7" t="str">
        <f t="shared" si="40"/>
        <v/>
      </c>
      <c r="Q294" s="4" t="str">
        <f t="shared" si="41"/>
        <v>No data</v>
      </c>
      <c r="R294" s="16">
        <f t="shared" si="42"/>
        <v>0.3</v>
      </c>
      <c r="S294" s="14">
        <f t="shared" si="43"/>
        <v>281</v>
      </c>
      <c r="T294" s="6" t="str">
        <f t="shared" si="44"/>
        <v/>
      </c>
      <c r="U294" s="17"/>
      <c r="V294" s="4" t="s">
        <v>971</v>
      </c>
    </row>
    <row r="295" spans="1:22" x14ac:dyDescent="0.45">
      <c r="A295" s="14">
        <v>294</v>
      </c>
      <c r="B295" s="4" t="s">
        <v>1548</v>
      </c>
      <c r="C295" s="4" t="s">
        <v>1548</v>
      </c>
      <c r="D295" s="5" t="e">
        <f>SUMIFS(#REF!,#REF!,$C295)</f>
        <v>#REF!</v>
      </c>
      <c r="E295" s="5" t="e">
        <f>SUMIFS(#REF!,#REF!,$C295)</f>
        <v>#REF!</v>
      </c>
      <c r="F295" s="5" t="e">
        <f>SUMIFS(#REF!,#REF!,$C295)</f>
        <v>#REF!</v>
      </c>
      <c r="G295" s="5" t="e">
        <f>SUMIFS(#REF!,#REF!,$C295)</f>
        <v>#REF!</v>
      </c>
      <c r="H295" s="4" t="s">
        <v>1475</v>
      </c>
      <c r="I295" s="5"/>
      <c r="J295" s="5">
        <f>SUMIFS('Business Licences by Community'!$D$2:$D$318,'Business Licences by Community'!$C$2:$C$318,$C295)</f>
        <v>0</v>
      </c>
      <c r="K295" s="15">
        <v>3.1343420000000002</v>
      </c>
      <c r="L295" s="5" t="str">
        <f t="shared" si="36"/>
        <v/>
      </c>
      <c r="M295" s="6" t="str">
        <f t="shared" si="37"/>
        <v/>
      </c>
      <c r="N295" s="7" t="str">
        <f t="shared" si="38"/>
        <v/>
      </c>
      <c r="O295" s="7" t="str">
        <f t="shared" si="39"/>
        <v/>
      </c>
      <c r="P295" s="7" t="str">
        <f t="shared" si="40"/>
        <v/>
      </c>
      <c r="Q295" s="4" t="str">
        <f t="shared" si="41"/>
        <v>No data</v>
      </c>
      <c r="R295" s="16">
        <f t="shared" si="42"/>
        <v>0.3</v>
      </c>
      <c r="S295" s="14">
        <f t="shared" si="43"/>
        <v>281</v>
      </c>
      <c r="T295" s="6" t="str">
        <f t="shared" si="44"/>
        <v/>
      </c>
      <c r="U295" s="17"/>
      <c r="V295" s="4" t="s">
        <v>971</v>
      </c>
    </row>
    <row r="296" spans="1:22" x14ac:dyDescent="0.45">
      <c r="A296" s="14">
        <v>295</v>
      </c>
      <c r="B296" s="4" t="s">
        <v>1549</v>
      </c>
      <c r="C296" s="4" t="s">
        <v>1549</v>
      </c>
      <c r="D296" s="5" t="e">
        <f>SUMIFS(#REF!,#REF!,$C296)</f>
        <v>#REF!</v>
      </c>
      <c r="E296" s="5" t="e">
        <f>SUMIFS(#REF!,#REF!,$C296)</f>
        <v>#REF!</v>
      </c>
      <c r="F296" s="5" t="e">
        <f>SUMIFS(#REF!,#REF!,$C296)</f>
        <v>#REF!</v>
      </c>
      <c r="G296" s="5" t="e">
        <f>SUMIFS(#REF!,#REF!,$C296)</f>
        <v>#REF!</v>
      </c>
      <c r="H296" s="4" t="s">
        <v>1475</v>
      </c>
      <c r="I296" s="5"/>
      <c r="J296" s="5">
        <f>SUMIFS('Business Licences by Community'!$D$2:$D$318,'Business Licences by Community'!$C$2:$C$318,$C296)</f>
        <v>3</v>
      </c>
      <c r="K296" s="15">
        <v>0.64287099999999997</v>
      </c>
      <c r="L296" s="5" t="str">
        <f t="shared" si="36"/>
        <v/>
      </c>
      <c r="M296" s="6">
        <f t="shared" si="37"/>
        <v>4.6665660762423569</v>
      </c>
      <c r="N296" s="7" t="str">
        <f t="shared" si="38"/>
        <v/>
      </c>
      <c r="O296" s="7">
        <f t="shared" si="39"/>
        <v>0.22592592592592592</v>
      </c>
      <c r="P296" s="7">
        <f t="shared" si="40"/>
        <v>0.22592592592592592</v>
      </c>
      <c r="Q296" s="4" t="str">
        <f t="shared" si="41"/>
        <v>Businesses</v>
      </c>
      <c r="R296" s="16">
        <f t="shared" si="42"/>
        <v>0.45814814814814808</v>
      </c>
      <c r="S296" s="14">
        <f t="shared" si="43"/>
        <v>237</v>
      </c>
      <c r="T296" s="6" t="str">
        <f t="shared" si="44"/>
        <v/>
      </c>
      <c r="U296" s="17"/>
      <c r="V296" s="4" t="s">
        <v>971</v>
      </c>
    </row>
    <row r="297" spans="1:22" x14ac:dyDescent="0.45">
      <c r="A297" s="14">
        <v>296</v>
      </c>
      <c r="B297" s="4" t="s">
        <v>1550</v>
      </c>
      <c r="C297" s="4" t="s">
        <v>1550</v>
      </c>
      <c r="D297" s="5" t="e">
        <f>SUMIFS(#REF!,#REF!,$C297)</f>
        <v>#REF!</v>
      </c>
      <c r="E297" s="5" t="e">
        <f>SUMIFS(#REF!,#REF!,$C297)</f>
        <v>#REF!</v>
      </c>
      <c r="F297" s="5" t="e">
        <f>SUMIFS(#REF!,#REF!,$C297)</f>
        <v>#REF!</v>
      </c>
      <c r="G297" s="5" t="e">
        <f>SUMIFS(#REF!,#REF!,$C297)</f>
        <v>#REF!</v>
      </c>
      <c r="H297" s="4" t="s">
        <v>1475</v>
      </c>
      <c r="I297" s="5"/>
      <c r="J297" s="5">
        <f>SUMIFS('Business Licences by Community'!$D$2:$D$318,'Business Licences by Community'!$C$2:$C$318,$C297)</f>
        <v>0</v>
      </c>
      <c r="K297" s="15">
        <v>1.6163050000000001</v>
      </c>
      <c r="L297" s="5" t="str">
        <f t="shared" si="36"/>
        <v/>
      </c>
      <c r="M297" s="6" t="str">
        <f t="shared" si="37"/>
        <v/>
      </c>
      <c r="N297" s="7" t="str">
        <f t="shared" si="38"/>
        <v/>
      </c>
      <c r="O297" s="7" t="str">
        <f t="shared" si="39"/>
        <v/>
      </c>
      <c r="P297" s="7" t="str">
        <f t="shared" si="40"/>
        <v/>
      </c>
      <c r="Q297" s="4" t="str">
        <f t="shared" si="41"/>
        <v>No data</v>
      </c>
      <c r="R297" s="16">
        <f t="shared" si="42"/>
        <v>0.3</v>
      </c>
      <c r="S297" s="14">
        <f t="shared" si="43"/>
        <v>281</v>
      </c>
      <c r="T297" s="6" t="str">
        <f t="shared" si="44"/>
        <v/>
      </c>
      <c r="U297" s="17"/>
      <c r="V297" s="4" t="s">
        <v>971</v>
      </c>
    </row>
    <row r="298" spans="1:22" x14ac:dyDescent="0.45">
      <c r="A298" s="14">
        <v>297</v>
      </c>
      <c r="B298" s="4" t="s">
        <v>1551</v>
      </c>
      <c r="C298" s="4" t="s">
        <v>1552</v>
      </c>
      <c r="D298" s="5" t="e">
        <f>SUMIFS(#REF!,#REF!,$C298)</f>
        <v>#REF!</v>
      </c>
      <c r="E298" s="5" t="e">
        <f>SUMIFS(#REF!,#REF!,$C298)</f>
        <v>#REF!</v>
      </c>
      <c r="F298" s="5" t="e">
        <f>SUMIFS(#REF!,#REF!,$C298)</f>
        <v>#REF!</v>
      </c>
      <c r="G298" s="5" t="e">
        <f>SUMIFS(#REF!,#REF!,$C298)</f>
        <v>#REF!</v>
      </c>
      <c r="H298" s="4" t="s">
        <v>1141</v>
      </c>
      <c r="I298" s="5"/>
      <c r="J298" s="5">
        <f>SUMIFS('Business Licences by Community'!$D$2:$D$318,'Business Licences by Community'!$C$2:$C$318,$C298)</f>
        <v>8</v>
      </c>
      <c r="K298" s="15">
        <v>1.0797749999999999</v>
      </c>
      <c r="L298" s="5" t="str">
        <f t="shared" si="36"/>
        <v/>
      </c>
      <c r="M298" s="6">
        <f t="shared" si="37"/>
        <v>7.4089509388530024</v>
      </c>
      <c r="N298" s="7" t="str">
        <f t="shared" si="38"/>
        <v/>
      </c>
      <c r="O298" s="7">
        <f t="shared" si="39"/>
        <v>0.3037037037037037</v>
      </c>
      <c r="P298" s="7">
        <f t="shared" si="40"/>
        <v>0.3037037037037037</v>
      </c>
      <c r="Q298" s="4" t="str">
        <f t="shared" si="41"/>
        <v>Businesses</v>
      </c>
      <c r="R298" s="16">
        <f t="shared" si="42"/>
        <v>0.5125925925925926</v>
      </c>
      <c r="S298" s="14">
        <f t="shared" si="43"/>
        <v>226</v>
      </c>
      <c r="T298" s="6" t="str">
        <f t="shared" si="44"/>
        <v/>
      </c>
      <c r="U298" s="17"/>
      <c r="V298" s="4" t="s">
        <v>971</v>
      </c>
    </row>
    <row r="299" spans="1:22" x14ac:dyDescent="0.45">
      <c r="A299" s="14">
        <v>298</v>
      </c>
      <c r="B299" s="4" t="s">
        <v>1553</v>
      </c>
      <c r="C299" s="4" t="s">
        <v>1553</v>
      </c>
      <c r="D299" s="5" t="e">
        <f>SUMIFS(#REF!,#REF!,$C299)</f>
        <v>#REF!</v>
      </c>
      <c r="E299" s="5" t="e">
        <f>SUMIFS(#REF!,#REF!,$C299)</f>
        <v>#REF!</v>
      </c>
      <c r="F299" s="5" t="e">
        <f>SUMIFS(#REF!,#REF!,$C299)</f>
        <v>#REF!</v>
      </c>
      <c r="G299" s="5" t="e">
        <f>SUMIFS(#REF!,#REF!,$C299)</f>
        <v>#REF!</v>
      </c>
      <c r="H299" s="4" t="s">
        <v>1475</v>
      </c>
      <c r="I299" s="5"/>
      <c r="J299" s="5">
        <f>SUMIFS('Business Licences by Community'!$D$2:$D$318,'Business Licences by Community'!$C$2:$C$318,$C299)</f>
        <v>0</v>
      </c>
      <c r="K299" s="15">
        <v>0.83166300000000004</v>
      </c>
      <c r="L299" s="5" t="str">
        <f t="shared" si="36"/>
        <v/>
      </c>
      <c r="M299" s="6" t="str">
        <f t="shared" si="37"/>
        <v/>
      </c>
      <c r="N299" s="7" t="str">
        <f t="shared" si="38"/>
        <v/>
      </c>
      <c r="O299" s="7" t="str">
        <f t="shared" si="39"/>
        <v/>
      </c>
      <c r="P299" s="7" t="str">
        <f t="shared" si="40"/>
        <v/>
      </c>
      <c r="Q299" s="4" t="str">
        <f t="shared" si="41"/>
        <v>No data</v>
      </c>
      <c r="R299" s="16">
        <f t="shared" si="42"/>
        <v>0.3</v>
      </c>
      <c r="S299" s="14">
        <f t="shared" si="43"/>
        <v>281</v>
      </c>
      <c r="T299" s="6" t="str">
        <f t="shared" si="44"/>
        <v/>
      </c>
      <c r="U299" s="17"/>
      <c r="V299" s="4" t="s">
        <v>971</v>
      </c>
    </row>
    <row r="300" spans="1:22" x14ac:dyDescent="0.45">
      <c r="A300" s="14">
        <v>299</v>
      </c>
      <c r="B300" s="4" t="s">
        <v>1554</v>
      </c>
      <c r="C300" s="4" t="s">
        <v>1555</v>
      </c>
      <c r="D300" s="5" t="e">
        <f>SUMIFS(#REF!,#REF!,$C300)</f>
        <v>#REF!</v>
      </c>
      <c r="E300" s="5" t="e">
        <f>SUMIFS(#REF!,#REF!,$C300)</f>
        <v>#REF!</v>
      </c>
      <c r="F300" s="5" t="e">
        <f>SUMIFS(#REF!,#REF!,$C300)</f>
        <v>#REF!</v>
      </c>
      <c r="G300" s="5" t="e">
        <f>SUMIFS(#REF!,#REF!,$C300)</f>
        <v>#REF!</v>
      </c>
      <c r="H300" s="4" t="s">
        <v>1141</v>
      </c>
      <c r="I300" s="5"/>
      <c r="J300" s="5">
        <f>SUMIFS('Business Licences by Community'!$D$2:$D$318,'Business Licences by Community'!$C$2:$C$318,$C300)</f>
        <v>1</v>
      </c>
      <c r="K300" s="15">
        <v>1.994777</v>
      </c>
      <c r="L300" s="5" t="str">
        <f t="shared" si="36"/>
        <v/>
      </c>
      <c r="M300" s="6">
        <f t="shared" si="37"/>
        <v>0.50130916889456811</v>
      </c>
      <c r="N300" s="7" t="str">
        <f t="shared" si="38"/>
        <v/>
      </c>
      <c r="O300" s="7">
        <f t="shared" si="39"/>
        <v>5.185185185185185E-2</v>
      </c>
      <c r="P300" s="7">
        <f t="shared" si="40"/>
        <v>5.185185185185185E-2</v>
      </c>
      <c r="Q300" s="4" t="str">
        <f t="shared" si="41"/>
        <v>Businesses</v>
      </c>
      <c r="R300" s="16">
        <f t="shared" si="42"/>
        <v>0.33629629629629626</v>
      </c>
      <c r="S300" s="14">
        <f t="shared" si="43"/>
        <v>265</v>
      </c>
      <c r="T300" s="6" t="str">
        <f t="shared" si="44"/>
        <v/>
      </c>
      <c r="U300" s="17"/>
      <c r="V300" s="4" t="s">
        <v>971</v>
      </c>
    </row>
    <row r="301" spans="1:22" x14ac:dyDescent="0.45">
      <c r="A301" s="14">
        <v>300</v>
      </c>
      <c r="B301" s="4" t="s">
        <v>1556</v>
      </c>
      <c r="C301" s="4" t="s">
        <v>1556</v>
      </c>
      <c r="D301" s="5" t="e">
        <f>SUMIFS(#REF!,#REF!,$C301)</f>
        <v>#REF!</v>
      </c>
      <c r="E301" s="5" t="e">
        <f>SUMIFS(#REF!,#REF!,$C301)</f>
        <v>#REF!</v>
      </c>
      <c r="F301" s="5" t="e">
        <f>SUMIFS(#REF!,#REF!,$C301)</f>
        <v>#REF!</v>
      </c>
      <c r="G301" s="5" t="e">
        <f>SUMIFS(#REF!,#REF!,$C301)</f>
        <v>#REF!</v>
      </c>
      <c r="H301" s="4" t="s">
        <v>1475</v>
      </c>
      <c r="I301" s="5"/>
      <c r="J301" s="5">
        <f>SUMIFS('Business Licences by Community'!$D$2:$D$318,'Business Licences by Community'!$C$2:$C$318,$C301)</f>
        <v>0</v>
      </c>
      <c r="K301" s="15">
        <v>0.25834200000000002</v>
      </c>
      <c r="L301" s="5" t="str">
        <f t="shared" si="36"/>
        <v/>
      </c>
      <c r="M301" s="6" t="str">
        <f t="shared" si="37"/>
        <v/>
      </c>
      <c r="N301" s="7" t="str">
        <f t="shared" si="38"/>
        <v/>
      </c>
      <c r="O301" s="7" t="str">
        <f t="shared" si="39"/>
        <v/>
      </c>
      <c r="P301" s="7" t="str">
        <f t="shared" si="40"/>
        <v/>
      </c>
      <c r="Q301" s="4" t="str">
        <f t="shared" si="41"/>
        <v>No data</v>
      </c>
      <c r="R301" s="16">
        <f t="shared" si="42"/>
        <v>0.3</v>
      </c>
      <c r="S301" s="14">
        <f t="shared" si="43"/>
        <v>281</v>
      </c>
      <c r="T301" s="6" t="str">
        <f t="shared" si="44"/>
        <v/>
      </c>
      <c r="U301" s="17"/>
      <c r="V301" s="4" t="s">
        <v>971</v>
      </c>
    </row>
    <row r="302" spans="1:22" x14ac:dyDescent="0.45">
      <c r="A302" s="14">
        <v>301</v>
      </c>
      <c r="B302" s="4" t="s">
        <v>1557</v>
      </c>
      <c r="C302" s="4" t="s">
        <v>1557</v>
      </c>
      <c r="D302" s="5" t="e">
        <f>SUMIFS(#REF!,#REF!,$C302)</f>
        <v>#REF!</v>
      </c>
      <c r="E302" s="5" t="e">
        <f>SUMIFS(#REF!,#REF!,$C302)</f>
        <v>#REF!</v>
      </c>
      <c r="F302" s="5" t="e">
        <f>SUMIFS(#REF!,#REF!,$C302)</f>
        <v>#REF!</v>
      </c>
      <c r="G302" s="5" t="e">
        <f>SUMIFS(#REF!,#REF!,$C302)</f>
        <v>#REF!</v>
      </c>
      <c r="H302" s="4" t="s">
        <v>1475</v>
      </c>
      <c r="I302" s="5"/>
      <c r="J302" s="5">
        <f>SUMIFS('Business Licences by Community'!$D$2:$D$318,'Business Licences by Community'!$C$2:$C$318,$C302)</f>
        <v>0</v>
      </c>
      <c r="K302" s="15">
        <v>0.56813100000000005</v>
      </c>
      <c r="L302" s="5" t="str">
        <f t="shared" si="36"/>
        <v/>
      </c>
      <c r="M302" s="6" t="str">
        <f t="shared" si="37"/>
        <v/>
      </c>
      <c r="N302" s="7" t="str">
        <f t="shared" si="38"/>
        <v/>
      </c>
      <c r="O302" s="7" t="str">
        <f t="shared" si="39"/>
        <v/>
      </c>
      <c r="P302" s="7" t="str">
        <f t="shared" si="40"/>
        <v/>
      </c>
      <c r="Q302" s="4" t="str">
        <f t="shared" si="41"/>
        <v>No data</v>
      </c>
      <c r="R302" s="16">
        <f t="shared" si="42"/>
        <v>0.3</v>
      </c>
      <c r="S302" s="14">
        <f t="shared" si="43"/>
        <v>281</v>
      </c>
      <c r="T302" s="6" t="str">
        <f t="shared" si="44"/>
        <v/>
      </c>
      <c r="U302" s="17"/>
      <c r="V302" s="4" t="s">
        <v>971</v>
      </c>
    </row>
    <row r="303" spans="1:22" x14ac:dyDescent="0.45">
      <c r="A303" s="14">
        <v>302</v>
      </c>
      <c r="B303" s="4" t="s">
        <v>1558</v>
      </c>
      <c r="C303" s="4" t="s">
        <v>1558</v>
      </c>
      <c r="D303" s="5" t="e">
        <f>SUMIFS(#REF!,#REF!,$C303)</f>
        <v>#REF!</v>
      </c>
      <c r="E303" s="5" t="e">
        <f>SUMIFS(#REF!,#REF!,$C303)</f>
        <v>#REF!</v>
      </c>
      <c r="F303" s="5" t="e">
        <f>SUMIFS(#REF!,#REF!,$C303)</f>
        <v>#REF!</v>
      </c>
      <c r="G303" s="5" t="e">
        <f>SUMIFS(#REF!,#REF!,$C303)</f>
        <v>#REF!</v>
      </c>
      <c r="H303" s="4" t="s">
        <v>1475</v>
      </c>
      <c r="I303" s="5"/>
      <c r="J303" s="5">
        <f>SUMIFS('Business Licences by Community'!$D$2:$D$318,'Business Licences by Community'!$C$2:$C$318,$C303)</f>
        <v>0</v>
      </c>
      <c r="K303" s="15">
        <v>3.9187560000000001</v>
      </c>
      <c r="L303" s="5" t="str">
        <f t="shared" si="36"/>
        <v/>
      </c>
      <c r="M303" s="6" t="str">
        <f t="shared" si="37"/>
        <v/>
      </c>
      <c r="N303" s="7" t="str">
        <f t="shared" si="38"/>
        <v/>
      </c>
      <c r="O303" s="7" t="str">
        <f t="shared" si="39"/>
        <v/>
      </c>
      <c r="P303" s="7" t="str">
        <f t="shared" si="40"/>
        <v/>
      </c>
      <c r="Q303" s="4" t="str">
        <f t="shared" si="41"/>
        <v>No data</v>
      </c>
      <c r="R303" s="16">
        <f t="shared" si="42"/>
        <v>0.3</v>
      </c>
      <c r="S303" s="14">
        <f t="shared" si="43"/>
        <v>281</v>
      </c>
      <c r="T303" s="6" t="str">
        <f t="shared" si="44"/>
        <v/>
      </c>
      <c r="U303" s="17"/>
      <c r="V303" s="4" t="s">
        <v>971</v>
      </c>
    </row>
    <row r="304" spans="1:22" x14ac:dyDescent="0.45">
      <c r="A304" s="14">
        <v>303</v>
      </c>
      <c r="B304" s="4" t="s">
        <v>1559</v>
      </c>
      <c r="C304" s="4" t="s">
        <v>1559</v>
      </c>
      <c r="D304" s="5" t="e">
        <f>SUMIFS(#REF!,#REF!,$C304)</f>
        <v>#REF!</v>
      </c>
      <c r="E304" s="5" t="e">
        <f>SUMIFS(#REF!,#REF!,$C304)</f>
        <v>#REF!</v>
      </c>
      <c r="F304" s="5" t="e">
        <f>SUMIFS(#REF!,#REF!,$C304)</f>
        <v>#REF!</v>
      </c>
      <c r="G304" s="5" t="e">
        <f>SUMIFS(#REF!,#REF!,$C304)</f>
        <v>#REF!</v>
      </c>
      <c r="H304" s="4" t="s">
        <v>1475</v>
      </c>
      <c r="I304" s="5"/>
      <c r="J304" s="5">
        <f>SUMIFS('Business Licences by Community'!$D$2:$D$318,'Business Licences by Community'!$C$2:$C$318,$C304)</f>
        <v>0</v>
      </c>
      <c r="K304" s="15">
        <v>0.52261899999999994</v>
      </c>
      <c r="L304" s="5" t="str">
        <f t="shared" si="36"/>
        <v/>
      </c>
      <c r="M304" s="6" t="str">
        <f t="shared" si="37"/>
        <v/>
      </c>
      <c r="N304" s="7" t="str">
        <f t="shared" si="38"/>
        <v/>
      </c>
      <c r="O304" s="7" t="str">
        <f t="shared" si="39"/>
        <v/>
      </c>
      <c r="P304" s="7" t="str">
        <f t="shared" si="40"/>
        <v/>
      </c>
      <c r="Q304" s="4" t="str">
        <f t="shared" si="41"/>
        <v>No data</v>
      </c>
      <c r="R304" s="16">
        <f t="shared" si="42"/>
        <v>0.3</v>
      </c>
      <c r="S304" s="14">
        <f t="shared" si="43"/>
        <v>281</v>
      </c>
      <c r="T304" s="6" t="str">
        <f t="shared" si="44"/>
        <v/>
      </c>
      <c r="U304" s="17"/>
      <c r="V304" s="4" t="s">
        <v>971</v>
      </c>
    </row>
    <row r="305" spans="1:22" x14ac:dyDescent="0.45">
      <c r="A305" s="14">
        <v>304</v>
      </c>
      <c r="B305" s="4" t="s">
        <v>1560</v>
      </c>
      <c r="C305" s="4" t="s">
        <v>1560</v>
      </c>
      <c r="D305" s="5" t="e">
        <f>SUMIFS(#REF!,#REF!,$C305)</f>
        <v>#REF!</v>
      </c>
      <c r="E305" s="5" t="e">
        <f>SUMIFS(#REF!,#REF!,$C305)</f>
        <v>#REF!</v>
      </c>
      <c r="F305" s="5" t="e">
        <f>SUMIFS(#REF!,#REF!,$C305)</f>
        <v>#REF!</v>
      </c>
      <c r="G305" s="5" t="e">
        <f>SUMIFS(#REF!,#REF!,$C305)</f>
        <v>#REF!</v>
      </c>
      <c r="H305" s="4" t="s">
        <v>1475</v>
      </c>
      <c r="I305" s="5"/>
      <c r="J305" s="5">
        <f>SUMIFS('Business Licences by Community'!$D$2:$D$318,'Business Licences by Community'!$C$2:$C$318,$C305)</f>
        <v>1</v>
      </c>
      <c r="K305" s="15">
        <v>2.665279</v>
      </c>
      <c r="L305" s="5" t="str">
        <f t="shared" si="36"/>
        <v/>
      </c>
      <c r="M305" s="6">
        <f t="shared" si="37"/>
        <v>0.37519524222417239</v>
      </c>
      <c r="N305" s="7" t="str">
        <f t="shared" si="38"/>
        <v/>
      </c>
      <c r="O305" s="7">
        <f t="shared" si="39"/>
        <v>3.7037037037037035E-2</v>
      </c>
      <c r="P305" s="7">
        <f t="shared" si="40"/>
        <v>3.7037037037037035E-2</v>
      </c>
      <c r="Q305" s="4" t="str">
        <f t="shared" si="41"/>
        <v>Businesses</v>
      </c>
      <c r="R305" s="16">
        <f t="shared" si="42"/>
        <v>0.3259259259259259</v>
      </c>
      <c r="S305" s="14">
        <f t="shared" si="43"/>
        <v>270</v>
      </c>
      <c r="T305" s="6" t="str">
        <f t="shared" si="44"/>
        <v/>
      </c>
      <c r="U305" s="17"/>
      <c r="V305" s="4" t="s">
        <v>971</v>
      </c>
    </row>
    <row r="306" spans="1:22" x14ac:dyDescent="0.45">
      <c r="A306" s="14">
        <v>305</v>
      </c>
      <c r="B306" s="4" t="s">
        <v>1561</v>
      </c>
      <c r="C306" s="4" t="s">
        <v>1561</v>
      </c>
      <c r="D306" s="5" t="e">
        <f>SUMIFS(#REF!,#REF!,$C306)</f>
        <v>#REF!</v>
      </c>
      <c r="E306" s="5" t="e">
        <f>SUMIFS(#REF!,#REF!,$C306)</f>
        <v>#REF!</v>
      </c>
      <c r="F306" s="5" t="e">
        <f>SUMIFS(#REF!,#REF!,$C306)</f>
        <v>#REF!</v>
      </c>
      <c r="G306" s="5" t="e">
        <f>SUMIFS(#REF!,#REF!,$C306)</f>
        <v>#REF!</v>
      </c>
      <c r="H306" s="4" t="s">
        <v>1475</v>
      </c>
      <c r="I306" s="5"/>
      <c r="J306" s="5">
        <f>SUMIFS('Business Licences by Community'!$D$2:$D$318,'Business Licences by Community'!$C$2:$C$318,$C306)</f>
        <v>2</v>
      </c>
      <c r="K306" s="15">
        <v>2.845494</v>
      </c>
      <c r="L306" s="5" t="str">
        <f t="shared" si="36"/>
        <v/>
      </c>
      <c r="M306" s="6">
        <f t="shared" si="37"/>
        <v>0.70286565355611363</v>
      </c>
      <c r="N306" s="7" t="str">
        <f t="shared" si="38"/>
        <v/>
      </c>
      <c r="O306" s="7">
        <f t="shared" si="39"/>
        <v>7.0370370370370375E-2</v>
      </c>
      <c r="P306" s="7">
        <f t="shared" si="40"/>
        <v>7.0370370370370375E-2</v>
      </c>
      <c r="Q306" s="4" t="str">
        <f t="shared" si="41"/>
        <v>Businesses</v>
      </c>
      <c r="R306" s="16">
        <f t="shared" si="42"/>
        <v>0.34925925925925927</v>
      </c>
      <c r="S306" s="14">
        <f t="shared" si="43"/>
        <v>261</v>
      </c>
      <c r="T306" s="6" t="str">
        <f t="shared" si="44"/>
        <v/>
      </c>
      <c r="U306" s="17"/>
      <c r="V306" s="4" t="s">
        <v>971</v>
      </c>
    </row>
    <row r="307" spans="1:22" x14ac:dyDescent="0.45">
      <c r="A307" s="14">
        <v>306</v>
      </c>
      <c r="B307" s="4" t="s">
        <v>1562</v>
      </c>
      <c r="C307" s="4" t="s">
        <v>1562</v>
      </c>
      <c r="D307" s="5" t="e">
        <f>SUMIFS(#REF!,#REF!,$C307)</f>
        <v>#REF!</v>
      </c>
      <c r="E307" s="5" t="e">
        <f>SUMIFS(#REF!,#REF!,$C307)</f>
        <v>#REF!</v>
      </c>
      <c r="F307" s="5" t="e">
        <f>SUMIFS(#REF!,#REF!,$C307)</f>
        <v>#REF!</v>
      </c>
      <c r="G307" s="5" t="e">
        <f>SUMIFS(#REF!,#REF!,$C307)</f>
        <v>#REF!</v>
      </c>
      <c r="H307" s="4" t="s">
        <v>1475</v>
      </c>
      <c r="I307" s="5"/>
      <c r="J307" s="5">
        <f>SUMIFS('Business Licences by Community'!$D$2:$D$318,'Business Licences by Community'!$C$2:$C$318,$C307)</f>
        <v>1</v>
      </c>
      <c r="K307" s="15">
        <v>0.78029199999999999</v>
      </c>
      <c r="L307" s="5" t="str">
        <f t="shared" si="36"/>
        <v/>
      </c>
      <c r="M307" s="6">
        <f t="shared" si="37"/>
        <v>1.2815715142536384</v>
      </c>
      <c r="N307" s="7" t="str">
        <f t="shared" si="38"/>
        <v/>
      </c>
      <c r="O307" s="7">
        <f t="shared" si="39"/>
        <v>8.8888888888888892E-2</v>
      </c>
      <c r="P307" s="7">
        <f t="shared" si="40"/>
        <v>8.8888888888888892E-2</v>
      </c>
      <c r="Q307" s="4" t="str">
        <f t="shared" si="41"/>
        <v>Businesses</v>
      </c>
      <c r="R307" s="16">
        <f t="shared" si="42"/>
        <v>0.36222222222222222</v>
      </c>
      <c r="S307" s="14">
        <f t="shared" si="43"/>
        <v>257</v>
      </c>
      <c r="T307" s="6" t="str">
        <f t="shared" si="44"/>
        <v/>
      </c>
      <c r="U307" s="17"/>
      <c r="V307" s="4" t="s">
        <v>971</v>
      </c>
    </row>
    <row r="308" spans="1:22" x14ac:dyDescent="0.45">
      <c r="A308" s="14">
        <v>307</v>
      </c>
      <c r="B308" s="4" t="s">
        <v>1563</v>
      </c>
      <c r="C308" s="4" t="s">
        <v>1563</v>
      </c>
      <c r="D308" s="5" t="e">
        <f>SUMIFS(#REF!,#REF!,$C308)</f>
        <v>#REF!</v>
      </c>
      <c r="E308" s="5" t="e">
        <f>SUMIFS(#REF!,#REF!,$C308)</f>
        <v>#REF!</v>
      </c>
      <c r="F308" s="5" t="e">
        <f>SUMIFS(#REF!,#REF!,$C308)</f>
        <v>#REF!</v>
      </c>
      <c r="G308" s="5" t="e">
        <f>SUMIFS(#REF!,#REF!,$C308)</f>
        <v>#REF!</v>
      </c>
      <c r="H308" s="4" t="s">
        <v>1475</v>
      </c>
      <c r="I308" s="5"/>
      <c r="J308" s="5">
        <f>SUMIFS('Business Licences by Community'!$D$2:$D$318,'Business Licences by Community'!$C$2:$C$318,$C308)</f>
        <v>0</v>
      </c>
      <c r="K308" s="15">
        <v>0.529748</v>
      </c>
      <c r="L308" s="5" t="str">
        <f t="shared" si="36"/>
        <v/>
      </c>
      <c r="M308" s="6" t="str">
        <f t="shared" si="37"/>
        <v/>
      </c>
      <c r="N308" s="7" t="str">
        <f t="shared" si="38"/>
        <v/>
      </c>
      <c r="O308" s="7" t="str">
        <f t="shared" si="39"/>
        <v/>
      </c>
      <c r="P308" s="7" t="str">
        <f t="shared" si="40"/>
        <v/>
      </c>
      <c r="Q308" s="4" t="str">
        <f t="shared" si="41"/>
        <v>No data</v>
      </c>
      <c r="R308" s="16">
        <f t="shared" si="42"/>
        <v>0.3</v>
      </c>
      <c r="S308" s="14">
        <f t="shared" si="43"/>
        <v>281</v>
      </c>
      <c r="T308" s="6" t="str">
        <f t="shared" si="44"/>
        <v/>
      </c>
      <c r="U308" s="17"/>
      <c r="V308" s="4" t="s">
        <v>971</v>
      </c>
    </row>
    <row r="309" spans="1:22" x14ac:dyDescent="0.45">
      <c r="A309" s="14">
        <v>308</v>
      </c>
      <c r="B309" s="4" t="s">
        <v>1564</v>
      </c>
      <c r="C309" s="4" t="s">
        <v>1564</v>
      </c>
      <c r="D309" s="5" t="e">
        <f>SUMIFS(#REF!,#REF!,$C309)</f>
        <v>#REF!</v>
      </c>
      <c r="E309" s="5" t="e">
        <f>SUMIFS(#REF!,#REF!,$C309)</f>
        <v>#REF!</v>
      </c>
      <c r="F309" s="5" t="e">
        <f>SUMIFS(#REF!,#REF!,$C309)</f>
        <v>#REF!</v>
      </c>
      <c r="G309" s="5" t="e">
        <f>SUMIFS(#REF!,#REF!,$C309)</f>
        <v>#REF!</v>
      </c>
      <c r="H309" s="4" t="s">
        <v>1475</v>
      </c>
      <c r="I309" s="5"/>
      <c r="J309" s="5">
        <f>SUMIFS('Business Licences by Community'!$D$2:$D$318,'Business Licences by Community'!$C$2:$C$318,$C309)</f>
        <v>0</v>
      </c>
      <c r="K309" s="15">
        <v>0.33260000000000001</v>
      </c>
      <c r="L309" s="5" t="str">
        <f t="shared" si="36"/>
        <v/>
      </c>
      <c r="M309" s="6" t="str">
        <f t="shared" si="37"/>
        <v/>
      </c>
      <c r="N309" s="7" t="str">
        <f t="shared" si="38"/>
        <v/>
      </c>
      <c r="O309" s="7" t="str">
        <f t="shared" si="39"/>
        <v/>
      </c>
      <c r="P309" s="7" t="str">
        <f t="shared" si="40"/>
        <v/>
      </c>
      <c r="Q309" s="4" t="str">
        <f t="shared" si="41"/>
        <v>No data</v>
      </c>
      <c r="R309" s="16">
        <f t="shared" si="42"/>
        <v>0.3</v>
      </c>
      <c r="S309" s="14">
        <f t="shared" si="43"/>
        <v>281</v>
      </c>
      <c r="T309" s="6" t="str">
        <f t="shared" si="44"/>
        <v/>
      </c>
      <c r="U309" s="17"/>
      <c r="V309" s="4" t="s">
        <v>971</v>
      </c>
    </row>
    <row r="310" spans="1:22" x14ac:dyDescent="0.45">
      <c r="A310" s="14">
        <v>309</v>
      </c>
      <c r="B310" s="4" t="s">
        <v>1565</v>
      </c>
      <c r="C310" s="4" t="s">
        <v>1565</v>
      </c>
      <c r="D310" s="5" t="e">
        <f>SUMIFS(#REF!,#REF!,$C310)</f>
        <v>#REF!</v>
      </c>
      <c r="E310" s="5" t="e">
        <f>SUMIFS(#REF!,#REF!,$C310)</f>
        <v>#REF!</v>
      </c>
      <c r="F310" s="5" t="e">
        <f>SUMIFS(#REF!,#REF!,$C310)</f>
        <v>#REF!</v>
      </c>
      <c r="G310" s="5" t="e">
        <f>SUMIFS(#REF!,#REF!,$C310)</f>
        <v>#REF!</v>
      </c>
      <c r="H310" s="4" t="s">
        <v>1475</v>
      </c>
      <c r="I310" s="5"/>
      <c r="J310" s="5">
        <f>SUMIFS('Business Licences by Community'!$D$2:$D$318,'Business Licences by Community'!$C$2:$C$318,$C310)</f>
        <v>0</v>
      </c>
      <c r="K310" s="15">
        <v>0.65846800000000005</v>
      </c>
      <c r="L310" s="5" t="str">
        <f t="shared" si="36"/>
        <v/>
      </c>
      <c r="M310" s="6" t="str">
        <f t="shared" si="37"/>
        <v/>
      </c>
      <c r="N310" s="7" t="str">
        <f t="shared" si="38"/>
        <v/>
      </c>
      <c r="O310" s="7" t="str">
        <f t="shared" si="39"/>
        <v/>
      </c>
      <c r="P310" s="7" t="str">
        <f t="shared" si="40"/>
        <v/>
      </c>
      <c r="Q310" s="4" t="str">
        <f t="shared" si="41"/>
        <v>No data</v>
      </c>
      <c r="R310" s="16">
        <f t="shared" si="42"/>
        <v>0.3</v>
      </c>
      <c r="S310" s="14">
        <f t="shared" si="43"/>
        <v>281</v>
      </c>
      <c r="T310" s="6" t="str">
        <f t="shared" si="44"/>
        <v/>
      </c>
      <c r="U310" s="17"/>
      <c r="V310" s="4" t="s">
        <v>971</v>
      </c>
    </row>
    <row r="311" spans="1:22" x14ac:dyDescent="0.45">
      <c r="A311" s="14">
        <v>310</v>
      </c>
      <c r="B311" s="4" t="s">
        <v>1566</v>
      </c>
      <c r="C311" s="4" t="s">
        <v>1567</v>
      </c>
      <c r="D311" s="5" t="e">
        <f>SUMIFS(#REF!,#REF!,$C311)</f>
        <v>#REF!</v>
      </c>
      <c r="E311" s="5" t="e">
        <f>SUMIFS(#REF!,#REF!,$C311)</f>
        <v>#REF!</v>
      </c>
      <c r="F311" s="5" t="e">
        <f>SUMIFS(#REF!,#REF!,$C311)</f>
        <v>#REF!</v>
      </c>
      <c r="G311" s="5" t="e">
        <f>SUMIFS(#REF!,#REF!,$C311)</f>
        <v>#REF!</v>
      </c>
      <c r="H311" s="4" t="s">
        <v>1568</v>
      </c>
      <c r="I311" s="5"/>
      <c r="J311" s="5">
        <f>SUMIFS('Business Licences by Community'!$D$2:$D$318,'Business Licences by Community'!$C$2:$C$318,$C311)</f>
        <v>0</v>
      </c>
      <c r="K311" s="15"/>
      <c r="L311" s="5" t="str">
        <f t="shared" si="36"/>
        <v/>
      </c>
      <c r="M311" s="6" t="str">
        <f t="shared" si="37"/>
        <v/>
      </c>
      <c r="N311" s="7" t="str">
        <f t="shared" si="38"/>
        <v/>
      </c>
      <c r="O311" s="7" t="str">
        <f t="shared" si="39"/>
        <v/>
      </c>
      <c r="P311" s="7" t="str">
        <f t="shared" si="40"/>
        <v/>
      </c>
      <c r="Q311" s="4" t="str">
        <f t="shared" si="41"/>
        <v>No data</v>
      </c>
      <c r="R311" s="16">
        <f t="shared" si="42"/>
        <v>0.3</v>
      </c>
      <c r="S311" s="14">
        <f t="shared" si="43"/>
        <v>281</v>
      </c>
      <c r="T311" s="6" t="str">
        <f t="shared" si="44"/>
        <v/>
      </c>
      <c r="U311" s="17"/>
      <c r="V311" s="4"/>
    </row>
    <row r="312" spans="1:22" x14ac:dyDescent="0.45">
      <c r="A312" s="14">
        <v>311</v>
      </c>
      <c r="B312" s="4" t="s">
        <v>1569</v>
      </c>
      <c r="C312" s="4" t="s">
        <v>1569</v>
      </c>
      <c r="D312" s="5" t="e">
        <f>SUMIFS(#REF!,#REF!,$C312)</f>
        <v>#REF!</v>
      </c>
      <c r="E312" s="5" t="e">
        <f>SUMIFS(#REF!,#REF!,$C312)</f>
        <v>#REF!</v>
      </c>
      <c r="F312" s="5" t="e">
        <f>SUMIFS(#REF!,#REF!,$C312)</f>
        <v>#REF!</v>
      </c>
      <c r="G312" s="5" t="e">
        <f>SUMIFS(#REF!,#REF!,$C312)</f>
        <v>#REF!</v>
      </c>
      <c r="H312" s="4" t="s">
        <v>1475</v>
      </c>
      <c r="I312" s="5"/>
      <c r="J312" s="5">
        <f>SUMIFS('Business Licences by Community'!$D$2:$D$318,'Business Licences by Community'!$C$2:$C$318,$C312)</f>
        <v>0</v>
      </c>
      <c r="K312" s="15">
        <v>0.43293999999999999</v>
      </c>
      <c r="L312" s="5" t="str">
        <f t="shared" si="36"/>
        <v/>
      </c>
      <c r="M312" s="6" t="str">
        <f t="shared" si="37"/>
        <v/>
      </c>
      <c r="N312" s="7" t="str">
        <f t="shared" si="38"/>
        <v/>
      </c>
      <c r="O312" s="7" t="str">
        <f t="shared" si="39"/>
        <v/>
      </c>
      <c r="P312" s="7" t="str">
        <f t="shared" si="40"/>
        <v/>
      </c>
      <c r="Q312" s="4" t="str">
        <f t="shared" si="41"/>
        <v>No data</v>
      </c>
      <c r="R312" s="16">
        <f t="shared" si="42"/>
        <v>0.3</v>
      </c>
      <c r="S312" s="14">
        <f t="shared" si="43"/>
        <v>281</v>
      </c>
      <c r="T312" s="6" t="str">
        <f t="shared" si="44"/>
        <v/>
      </c>
      <c r="U312" s="17"/>
      <c r="V312" s="4" t="s">
        <v>971</v>
      </c>
    </row>
    <row r="313" spans="1:22" x14ac:dyDescent="0.45">
      <c r="A313" s="14">
        <v>312</v>
      </c>
      <c r="B313" s="4" t="s">
        <v>1570</v>
      </c>
      <c r="C313" s="4" t="s">
        <v>1570</v>
      </c>
      <c r="D313" s="5" t="e">
        <f>SUMIFS(#REF!,#REF!,$C313)</f>
        <v>#REF!</v>
      </c>
      <c r="E313" s="5" t="e">
        <f>SUMIFS(#REF!,#REF!,$C313)</f>
        <v>#REF!</v>
      </c>
      <c r="F313" s="5" t="e">
        <f>SUMIFS(#REF!,#REF!,$C313)</f>
        <v>#REF!</v>
      </c>
      <c r="G313" s="5" t="e">
        <f>SUMIFS(#REF!,#REF!,$C313)</f>
        <v>#REF!</v>
      </c>
      <c r="H313" s="4" t="s">
        <v>1475</v>
      </c>
      <c r="I313" s="5"/>
      <c r="J313" s="5">
        <f>SUMIFS('Business Licences by Community'!$D$2:$D$318,'Business Licences by Community'!$C$2:$C$318,$C313)</f>
        <v>0</v>
      </c>
      <c r="K313" s="15">
        <v>1.976038</v>
      </c>
      <c r="L313" s="5" t="str">
        <f t="shared" si="36"/>
        <v/>
      </c>
      <c r="M313" s="6" t="str">
        <f t="shared" si="37"/>
        <v/>
      </c>
      <c r="N313" s="7" t="str">
        <f t="shared" si="38"/>
        <v/>
      </c>
      <c r="O313" s="7" t="str">
        <f t="shared" si="39"/>
        <v/>
      </c>
      <c r="P313" s="7" t="str">
        <f t="shared" si="40"/>
        <v/>
      </c>
      <c r="Q313" s="4" t="str">
        <f t="shared" si="41"/>
        <v>No data</v>
      </c>
      <c r="R313" s="16">
        <f t="shared" si="42"/>
        <v>0.3</v>
      </c>
      <c r="S313" s="14">
        <f t="shared" si="43"/>
        <v>281</v>
      </c>
      <c r="T313" s="6" t="str">
        <f t="shared" si="44"/>
        <v/>
      </c>
      <c r="U313" s="17"/>
      <c r="V313" s="4" t="s">
        <v>971</v>
      </c>
    </row>
    <row r="314" spans="1:22" x14ac:dyDescent="0.45">
      <c r="A314" s="14">
        <v>313</v>
      </c>
      <c r="B314" s="4" t="s">
        <v>1571</v>
      </c>
      <c r="C314" s="4" t="s">
        <v>1571</v>
      </c>
      <c r="D314" s="5" t="e">
        <f>SUMIFS(#REF!,#REF!,$C314)</f>
        <v>#REF!</v>
      </c>
      <c r="E314" s="5" t="e">
        <f>SUMIFS(#REF!,#REF!,$C314)</f>
        <v>#REF!</v>
      </c>
      <c r="F314" s="5" t="e">
        <f>SUMIFS(#REF!,#REF!,$C314)</f>
        <v>#REF!</v>
      </c>
      <c r="G314" s="5" t="e">
        <f>SUMIFS(#REF!,#REF!,$C314)</f>
        <v>#REF!</v>
      </c>
      <c r="H314" s="4" t="s">
        <v>1572</v>
      </c>
      <c r="I314" s="5"/>
      <c r="J314" s="5">
        <f>SUMIFS('Business Licences by Community'!$D$2:$D$318,'Business Licences by Community'!$C$2:$C$318,$C314)</f>
        <v>0</v>
      </c>
      <c r="K314" s="15"/>
      <c r="L314" s="5" t="str">
        <f t="shared" si="36"/>
        <v/>
      </c>
      <c r="M314" s="6" t="str">
        <f t="shared" si="37"/>
        <v/>
      </c>
      <c r="N314" s="7" t="str">
        <f t="shared" si="38"/>
        <v/>
      </c>
      <c r="O314" s="7" t="str">
        <f t="shared" si="39"/>
        <v/>
      </c>
      <c r="P314" s="7" t="str">
        <f t="shared" si="40"/>
        <v/>
      </c>
      <c r="Q314" s="4" t="str">
        <f t="shared" si="41"/>
        <v>No data</v>
      </c>
      <c r="R314" s="16">
        <f t="shared" si="42"/>
        <v>0.3</v>
      </c>
      <c r="S314" s="14">
        <f t="shared" si="43"/>
        <v>281</v>
      </c>
      <c r="T314" s="6" t="str">
        <f t="shared" si="44"/>
        <v/>
      </c>
      <c r="U314" s="17"/>
      <c r="V314" s="4"/>
    </row>
    <row r="315" spans="1:22" x14ac:dyDescent="0.45">
      <c r="A315" s="14">
        <v>314</v>
      </c>
      <c r="B315" s="4" t="s">
        <v>1573</v>
      </c>
      <c r="C315" s="4" t="s">
        <v>1573</v>
      </c>
      <c r="D315" s="5" t="e">
        <f>SUMIFS(#REF!,#REF!,$C315)</f>
        <v>#REF!</v>
      </c>
      <c r="E315" s="5" t="e">
        <f>SUMIFS(#REF!,#REF!,$C315)</f>
        <v>#REF!</v>
      </c>
      <c r="F315" s="5" t="e">
        <f>SUMIFS(#REF!,#REF!,$C315)</f>
        <v>#REF!</v>
      </c>
      <c r="G315" s="5" t="e">
        <f>SUMIFS(#REF!,#REF!,$C315)</f>
        <v>#REF!</v>
      </c>
      <c r="H315" s="4" t="s">
        <v>1475</v>
      </c>
      <c r="I315" s="5"/>
      <c r="J315" s="5">
        <f>SUMIFS('Business Licences by Community'!$D$2:$D$318,'Business Licences by Community'!$C$2:$C$318,$C315)</f>
        <v>0</v>
      </c>
      <c r="K315" s="15">
        <v>2.6560459999999999</v>
      </c>
      <c r="L315" s="5" t="str">
        <f t="shared" si="36"/>
        <v/>
      </c>
      <c r="M315" s="6" t="str">
        <f t="shared" si="37"/>
        <v/>
      </c>
      <c r="N315" s="7" t="str">
        <f t="shared" si="38"/>
        <v/>
      </c>
      <c r="O315" s="7" t="str">
        <f t="shared" si="39"/>
        <v/>
      </c>
      <c r="P315" s="7" t="str">
        <f t="shared" si="40"/>
        <v/>
      </c>
      <c r="Q315" s="4" t="str">
        <f t="shared" si="41"/>
        <v>No data</v>
      </c>
      <c r="R315" s="16">
        <f t="shared" si="42"/>
        <v>0.3</v>
      </c>
      <c r="S315" s="14">
        <f t="shared" si="43"/>
        <v>281</v>
      </c>
      <c r="T315" s="6" t="str">
        <f t="shared" si="44"/>
        <v/>
      </c>
      <c r="U315" s="17"/>
      <c r="V315" s="4" t="s">
        <v>971</v>
      </c>
    </row>
    <row r="316" spans="1:22" x14ac:dyDescent="0.45">
      <c r="A316" s="14">
        <v>315</v>
      </c>
      <c r="B316" s="4" t="s">
        <v>1574</v>
      </c>
      <c r="C316" s="4" t="s">
        <v>1574</v>
      </c>
      <c r="D316" s="5" t="e">
        <f>SUMIFS(#REF!,#REF!,$C316)</f>
        <v>#REF!</v>
      </c>
      <c r="E316" s="5" t="e">
        <f>SUMIFS(#REF!,#REF!,$C316)</f>
        <v>#REF!</v>
      </c>
      <c r="F316" s="5" t="e">
        <f>SUMIFS(#REF!,#REF!,$C316)</f>
        <v>#REF!</v>
      </c>
      <c r="G316" s="5" t="e">
        <f>SUMIFS(#REF!,#REF!,$C316)</f>
        <v>#REF!</v>
      </c>
      <c r="H316" s="4" t="s">
        <v>1475</v>
      </c>
      <c r="I316" s="5"/>
      <c r="J316" s="5">
        <f>SUMIFS('Business Licences by Community'!$D$2:$D$318,'Business Licences by Community'!$C$2:$C$318,$C316)</f>
        <v>0</v>
      </c>
      <c r="K316" s="15">
        <v>2.6577899999999999</v>
      </c>
      <c r="L316" s="5" t="str">
        <f t="shared" si="36"/>
        <v/>
      </c>
      <c r="M316" s="6" t="str">
        <f t="shared" si="37"/>
        <v/>
      </c>
      <c r="N316" s="7" t="str">
        <f t="shared" si="38"/>
        <v/>
      </c>
      <c r="O316" s="7" t="str">
        <f t="shared" si="39"/>
        <v/>
      </c>
      <c r="P316" s="7" t="str">
        <f t="shared" si="40"/>
        <v/>
      </c>
      <c r="Q316" s="4" t="str">
        <f t="shared" si="41"/>
        <v>No data</v>
      </c>
      <c r="R316" s="16">
        <f t="shared" si="42"/>
        <v>0.3</v>
      </c>
      <c r="S316" s="14">
        <f t="shared" si="43"/>
        <v>281</v>
      </c>
      <c r="T316" s="6" t="str">
        <f t="shared" si="44"/>
        <v/>
      </c>
      <c r="U316" s="17"/>
      <c r="V316" s="4" t="s">
        <v>971</v>
      </c>
    </row>
    <row r="317" spans="1:22" x14ac:dyDescent="0.45">
      <c r="A317" s="14">
        <v>316</v>
      </c>
      <c r="B317" s="4" t="s">
        <v>1575</v>
      </c>
      <c r="C317" s="4" t="s">
        <v>1575</v>
      </c>
      <c r="D317" s="5" t="e">
        <f>SUMIFS(#REF!,#REF!,$C317)</f>
        <v>#REF!</v>
      </c>
      <c r="E317" s="5" t="e">
        <f>SUMIFS(#REF!,#REF!,$C317)</f>
        <v>#REF!</v>
      </c>
      <c r="F317" s="5" t="e">
        <f>SUMIFS(#REF!,#REF!,$C317)</f>
        <v>#REF!</v>
      </c>
      <c r="G317" s="5" t="e">
        <f>SUMIFS(#REF!,#REF!,$C317)</f>
        <v>#REF!</v>
      </c>
      <c r="H317" s="4" t="s">
        <v>1572</v>
      </c>
      <c r="I317" s="5"/>
      <c r="J317" s="5">
        <f>SUMIFS('Business Licences by Community'!$D$2:$D$318,'Business Licences by Community'!$C$2:$C$318,$C317)</f>
        <v>0</v>
      </c>
      <c r="K317" s="15"/>
      <c r="L317" s="5" t="str">
        <f t="shared" si="36"/>
        <v/>
      </c>
      <c r="M317" s="6" t="str">
        <f t="shared" si="37"/>
        <v/>
      </c>
      <c r="N317" s="7" t="str">
        <f t="shared" si="38"/>
        <v/>
      </c>
      <c r="O317" s="7" t="str">
        <f t="shared" si="39"/>
        <v/>
      </c>
      <c r="P317" s="7" t="str">
        <f t="shared" si="40"/>
        <v/>
      </c>
      <c r="Q317" s="4" t="str">
        <f t="shared" si="41"/>
        <v>No data</v>
      </c>
      <c r="R317" s="16">
        <f t="shared" si="42"/>
        <v>0.3</v>
      </c>
      <c r="S317" s="14">
        <f t="shared" si="43"/>
        <v>281</v>
      </c>
      <c r="T317" s="6" t="str">
        <f t="shared" si="44"/>
        <v/>
      </c>
      <c r="U317" s="17"/>
      <c r="V317" s="4"/>
    </row>
    <row r="318" spans="1:22" x14ac:dyDescent="0.45">
      <c r="A318" s="14">
        <v>317</v>
      </c>
      <c r="B318" s="4"/>
      <c r="C318" s="4" t="s">
        <v>1576</v>
      </c>
      <c r="D318" s="5" t="e">
        <f>SUMIFS(#REF!,#REF!,$C318)</f>
        <v>#REF!</v>
      </c>
      <c r="E318" s="5" t="e">
        <f>SUMIFS(#REF!,#REF!,$C318)</f>
        <v>#REF!</v>
      </c>
      <c r="F318" s="5" t="e">
        <f>SUMIFS(#REF!,#REF!,$C318)</f>
        <v>#REF!</v>
      </c>
      <c r="G318" s="5" t="e">
        <f>SUMIFS(#REF!,#REF!,$C318)</f>
        <v>#REF!</v>
      </c>
      <c r="H318" s="4"/>
      <c r="I318" s="5"/>
      <c r="J318" s="5">
        <f>SUMIFS('Business Licences by Community'!$D$2:$D$318,'Business Licences by Community'!$C$2:$C$318,$C318)</f>
        <v>0</v>
      </c>
      <c r="K318" s="15"/>
      <c r="L318" s="5" t="str">
        <f t="shared" si="36"/>
        <v/>
      </c>
      <c r="M318" s="6" t="str">
        <f t="shared" si="37"/>
        <v/>
      </c>
      <c r="N318" s="7" t="str">
        <f t="shared" si="38"/>
        <v/>
      </c>
      <c r="O318" s="7" t="str">
        <f t="shared" si="39"/>
        <v/>
      </c>
      <c r="P318" s="7" t="str">
        <f t="shared" si="40"/>
        <v/>
      </c>
      <c r="Q318" s="4" t="str">
        <f t="shared" si="41"/>
        <v>No data</v>
      </c>
      <c r="R318" s="16">
        <f t="shared" si="42"/>
        <v>0.3</v>
      </c>
      <c r="S318" s="14">
        <f t="shared" si="43"/>
        <v>281</v>
      </c>
      <c r="T318" s="6" t="str">
        <f t="shared" si="44"/>
        <v/>
      </c>
      <c r="U318" s="17"/>
      <c r="V318" s="4"/>
    </row>
  </sheetData>
  <autoFilter ref="A1:V318" xr:uid="{00000000-0009-0000-0000-000004000000}"/>
  <conditionalFormatting sqref="R2:R318">
    <cfRule type="colorScale" priority="2">
      <colorScale>
        <cfvo type="num" val="0.3"/>
        <cfvo type="num" val="1"/>
        <color rgb="FFFFFFFF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18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ColWidth="8.6640625" defaultRowHeight="14.25" x14ac:dyDescent="0.45"/>
  <cols>
    <col min="1" max="1" width="6" customWidth="1"/>
    <col min="2" max="2" width="10" customWidth="1"/>
    <col min="3" max="3" width="30" customWidth="1"/>
    <col min="4" max="6" width="11" customWidth="1"/>
    <col min="7" max="7" width="10" customWidth="1"/>
    <col min="8" max="8" width="12" customWidth="1"/>
    <col min="9" max="9" width="10" customWidth="1"/>
    <col min="10" max="10" width="26" customWidth="1"/>
  </cols>
  <sheetData>
    <row r="1" spans="1:16" ht="30" customHeight="1" x14ac:dyDescent="0.45">
      <c r="A1" s="1" t="s">
        <v>941</v>
      </c>
      <c r="B1" s="1" t="s">
        <v>947</v>
      </c>
      <c r="C1" s="1" t="s">
        <v>948</v>
      </c>
      <c r="D1" s="1" t="s">
        <v>955</v>
      </c>
      <c r="E1" s="1" t="s">
        <v>1577</v>
      </c>
      <c r="F1" s="1" t="s">
        <v>1578</v>
      </c>
      <c r="G1" s="1" t="s">
        <v>1579</v>
      </c>
      <c r="H1" s="1" t="s">
        <v>1580</v>
      </c>
      <c r="I1" s="1" t="s">
        <v>1581</v>
      </c>
      <c r="J1" s="1" t="s">
        <v>1582</v>
      </c>
      <c r="L1" s="3" t="s">
        <v>41</v>
      </c>
    </row>
    <row r="2" spans="1:16" x14ac:dyDescent="0.45">
      <c r="A2" s="14">
        <v>1</v>
      </c>
      <c r="B2" s="4" t="s">
        <v>1284</v>
      </c>
      <c r="C2" s="4" t="s">
        <v>1285</v>
      </c>
      <c r="D2" s="19">
        <f t="shared" ref="D2:D65" si="0">E2+F2+G2</f>
        <v>912</v>
      </c>
      <c r="E2" s="5">
        <v>243</v>
      </c>
      <c r="F2" s="5">
        <v>665</v>
      </c>
      <c r="G2" s="5">
        <v>4</v>
      </c>
      <c r="H2" s="5">
        <v>0</v>
      </c>
      <c r="I2" s="5">
        <f t="shared" ref="I2:I65" si="1">D2+H2</f>
        <v>912</v>
      </c>
      <c r="J2" s="4" t="str">
        <f t="shared" ref="J2:J65" si="2">IF(D2=0,"No businesses",IF(F2&gt;E2,"Mostly industrial &amp; trades","Mostly customer-facing"))</f>
        <v>Mostly industrial &amp; trades</v>
      </c>
      <c r="L2" s="4" t="s">
        <v>1583</v>
      </c>
    </row>
    <row r="3" spans="1:16" x14ac:dyDescent="0.45">
      <c r="A3" s="14">
        <v>2</v>
      </c>
      <c r="B3" s="4" t="s">
        <v>1139</v>
      </c>
      <c r="C3" s="4" t="s">
        <v>1140</v>
      </c>
      <c r="D3" s="19">
        <f t="shared" si="0"/>
        <v>876</v>
      </c>
      <c r="E3" s="5">
        <v>507</v>
      </c>
      <c r="F3" s="5">
        <v>364</v>
      </c>
      <c r="G3" s="5">
        <v>5</v>
      </c>
      <c r="H3" s="5">
        <v>0</v>
      </c>
      <c r="I3" s="5">
        <f t="shared" si="1"/>
        <v>876</v>
      </c>
      <c r="J3" s="4" t="str">
        <f t="shared" si="2"/>
        <v>Mostly customer-facing</v>
      </c>
      <c r="L3" s="4" t="s">
        <v>1584</v>
      </c>
    </row>
    <row r="4" spans="1:16" x14ac:dyDescent="0.45">
      <c r="A4" s="14">
        <v>3</v>
      </c>
      <c r="B4" s="4" t="s">
        <v>976</v>
      </c>
      <c r="C4" s="4" t="s">
        <v>977</v>
      </c>
      <c r="D4" s="19">
        <f t="shared" si="0"/>
        <v>867</v>
      </c>
      <c r="E4" s="5">
        <v>695</v>
      </c>
      <c r="F4" s="5">
        <v>167</v>
      </c>
      <c r="G4" s="5">
        <v>5</v>
      </c>
      <c r="H4" s="5">
        <v>23</v>
      </c>
      <c r="I4" s="5">
        <f t="shared" si="1"/>
        <v>890</v>
      </c>
      <c r="J4" s="4" t="str">
        <f t="shared" si="2"/>
        <v>Mostly customer-facing</v>
      </c>
      <c r="L4" s="4" t="s">
        <v>1585</v>
      </c>
    </row>
    <row r="5" spans="1:16" x14ac:dyDescent="0.45">
      <c r="A5" s="14">
        <v>4</v>
      </c>
      <c r="B5" s="4" t="s">
        <v>969</v>
      </c>
      <c r="C5" s="4" t="s">
        <v>970</v>
      </c>
      <c r="D5" s="19">
        <f t="shared" si="0"/>
        <v>861</v>
      </c>
      <c r="E5" s="5">
        <v>781</v>
      </c>
      <c r="F5" s="5">
        <v>69</v>
      </c>
      <c r="G5" s="5">
        <v>11</v>
      </c>
      <c r="H5" s="5">
        <v>134</v>
      </c>
      <c r="I5" s="5">
        <f t="shared" si="1"/>
        <v>995</v>
      </c>
      <c r="J5" s="4" t="str">
        <f t="shared" si="2"/>
        <v>Mostly customer-facing</v>
      </c>
      <c r="L5" s="4" t="s">
        <v>1586</v>
      </c>
    </row>
    <row r="6" spans="1:16" x14ac:dyDescent="0.45">
      <c r="A6" s="14">
        <v>5</v>
      </c>
      <c r="B6" s="4" t="s">
        <v>1302</v>
      </c>
      <c r="C6" s="4" t="s">
        <v>1303</v>
      </c>
      <c r="D6" s="19">
        <f t="shared" si="0"/>
        <v>586</v>
      </c>
      <c r="E6" s="5">
        <v>238</v>
      </c>
      <c r="F6" s="5">
        <v>346</v>
      </c>
      <c r="G6" s="5">
        <v>2</v>
      </c>
      <c r="H6" s="5">
        <v>0</v>
      </c>
      <c r="I6" s="5">
        <f t="shared" si="1"/>
        <v>586</v>
      </c>
      <c r="J6" s="4" t="str">
        <f t="shared" si="2"/>
        <v>Mostly industrial &amp; trades</v>
      </c>
      <c r="L6" s="4" t="s">
        <v>1587</v>
      </c>
    </row>
    <row r="7" spans="1:16" x14ac:dyDescent="0.45">
      <c r="A7" s="14">
        <v>6</v>
      </c>
      <c r="B7" s="4" t="s">
        <v>1408</v>
      </c>
      <c r="C7" s="4" t="s">
        <v>1409</v>
      </c>
      <c r="D7" s="19">
        <f t="shared" si="0"/>
        <v>496</v>
      </c>
      <c r="E7" s="5">
        <v>247</v>
      </c>
      <c r="F7" s="5">
        <v>245</v>
      </c>
      <c r="G7" s="5">
        <v>4</v>
      </c>
      <c r="H7" s="5">
        <v>0</v>
      </c>
      <c r="I7" s="5">
        <f t="shared" si="1"/>
        <v>496</v>
      </c>
      <c r="J7" s="4" t="str">
        <f t="shared" si="2"/>
        <v>Mostly customer-facing</v>
      </c>
      <c r="L7" s="4" t="s">
        <v>1588</v>
      </c>
    </row>
    <row r="8" spans="1:16" x14ac:dyDescent="0.45">
      <c r="A8" s="14">
        <v>7</v>
      </c>
      <c r="B8" s="4" t="s">
        <v>1410</v>
      </c>
      <c r="C8" s="4" t="s">
        <v>1411</v>
      </c>
      <c r="D8" s="19">
        <f t="shared" si="0"/>
        <v>479</v>
      </c>
      <c r="E8" s="5">
        <v>205</v>
      </c>
      <c r="F8" s="5">
        <v>272</v>
      </c>
      <c r="G8" s="5">
        <v>2</v>
      </c>
      <c r="H8" s="5">
        <v>0</v>
      </c>
      <c r="I8" s="5">
        <f t="shared" si="1"/>
        <v>479</v>
      </c>
      <c r="J8" s="4" t="str">
        <f t="shared" si="2"/>
        <v>Mostly industrial &amp; trades</v>
      </c>
      <c r="L8" s="4" t="s">
        <v>1589</v>
      </c>
    </row>
    <row r="9" spans="1:16" x14ac:dyDescent="0.45">
      <c r="A9" s="14">
        <v>8</v>
      </c>
      <c r="B9" s="4" t="s">
        <v>1444</v>
      </c>
      <c r="C9" s="4" t="s">
        <v>1445</v>
      </c>
      <c r="D9" s="19">
        <f t="shared" si="0"/>
        <v>412</v>
      </c>
      <c r="E9" s="5">
        <v>130</v>
      </c>
      <c r="F9" s="5">
        <v>281</v>
      </c>
      <c r="G9" s="5">
        <v>1</v>
      </c>
      <c r="H9" s="5">
        <v>0</v>
      </c>
      <c r="I9" s="5">
        <f t="shared" si="1"/>
        <v>412</v>
      </c>
      <c r="J9" s="4" t="str">
        <f t="shared" si="2"/>
        <v>Mostly industrial &amp; trades</v>
      </c>
      <c r="L9" s="4" t="s">
        <v>1590</v>
      </c>
    </row>
    <row r="10" spans="1:16" x14ac:dyDescent="0.45">
      <c r="A10" s="14">
        <v>9</v>
      </c>
      <c r="B10" s="4" t="s">
        <v>1336</v>
      </c>
      <c r="C10" s="4" t="s">
        <v>1337</v>
      </c>
      <c r="D10" s="19">
        <f t="shared" si="0"/>
        <v>403</v>
      </c>
      <c r="E10" s="5">
        <v>166</v>
      </c>
      <c r="F10" s="5">
        <v>236</v>
      </c>
      <c r="G10" s="5">
        <v>1</v>
      </c>
      <c r="H10" s="5">
        <v>0</v>
      </c>
      <c r="I10" s="5">
        <f t="shared" si="1"/>
        <v>403</v>
      </c>
      <c r="J10" s="4" t="str">
        <f t="shared" si="2"/>
        <v>Mostly industrial &amp; trades</v>
      </c>
      <c r="L10" s="4" t="s">
        <v>1591</v>
      </c>
    </row>
    <row r="11" spans="1:16" x14ac:dyDescent="0.45">
      <c r="A11" s="14">
        <v>10</v>
      </c>
      <c r="B11" s="4" t="s">
        <v>1320</v>
      </c>
      <c r="C11" s="4" t="s">
        <v>1321</v>
      </c>
      <c r="D11" s="19">
        <f t="shared" si="0"/>
        <v>397</v>
      </c>
      <c r="E11" s="5">
        <v>232</v>
      </c>
      <c r="F11" s="5">
        <v>164</v>
      </c>
      <c r="G11" s="5">
        <v>1</v>
      </c>
      <c r="H11" s="5">
        <v>0</v>
      </c>
      <c r="I11" s="5">
        <f t="shared" si="1"/>
        <v>397</v>
      </c>
      <c r="J11" s="4" t="str">
        <f t="shared" si="2"/>
        <v>Mostly customer-facing</v>
      </c>
    </row>
    <row r="12" spans="1:16" x14ac:dyDescent="0.45">
      <c r="A12" s="14">
        <v>11</v>
      </c>
      <c r="B12" s="4" t="s">
        <v>1368</v>
      </c>
      <c r="C12" s="4" t="s">
        <v>1369</v>
      </c>
      <c r="D12" s="19">
        <f t="shared" si="0"/>
        <v>395</v>
      </c>
      <c r="E12" s="5">
        <v>360</v>
      </c>
      <c r="F12" s="5">
        <v>35</v>
      </c>
      <c r="G12" s="5">
        <v>0</v>
      </c>
      <c r="H12" s="5">
        <v>0</v>
      </c>
      <c r="I12" s="5">
        <f t="shared" si="1"/>
        <v>395</v>
      </c>
      <c r="J12" s="4" t="str">
        <f t="shared" si="2"/>
        <v>Mostly customer-facing</v>
      </c>
      <c r="L12" s="3" t="s">
        <v>1592</v>
      </c>
      <c r="P12" s="19">
        <f>SUM(D2:D318)</f>
        <v>21965</v>
      </c>
    </row>
    <row r="13" spans="1:16" x14ac:dyDescent="0.45">
      <c r="A13" s="14">
        <v>12</v>
      </c>
      <c r="B13" s="4" t="s">
        <v>1418</v>
      </c>
      <c r="C13" s="4" t="s">
        <v>1419</v>
      </c>
      <c r="D13" s="19">
        <f t="shared" si="0"/>
        <v>331</v>
      </c>
      <c r="E13" s="5">
        <v>223</v>
      </c>
      <c r="F13" s="5">
        <v>107</v>
      </c>
      <c r="G13" s="5">
        <v>1</v>
      </c>
      <c r="H13" s="5">
        <v>0</v>
      </c>
      <c r="I13" s="5">
        <f t="shared" si="1"/>
        <v>331</v>
      </c>
      <c r="J13" s="4" t="str">
        <f t="shared" si="2"/>
        <v>Mostly customer-facing</v>
      </c>
      <c r="L13" s="3" t="s">
        <v>1593</v>
      </c>
      <c r="P13" s="19">
        <f>SUM(I2:I318)</f>
        <v>23181</v>
      </c>
    </row>
    <row r="14" spans="1:16" x14ac:dyDescent="0.45">
      <c r="A14" s="14">
        <v>13</v>
      </c>
      <c r="B14" s="4" t="s">
        <v>1406</v>
      </c>
      <c r="C14" s="4" t="s">
        <v>1407</v>
      </c>
      <c r="D14" s="19">
        <f t="shared" si="0"/>
        <v>314</v>
      </c>
      <c r="E14" s="5">
        <v>193</v>
      </c>
      <c r="F14" s="5">
        <v>121</v>
      </c>
      <c r="G14" s="5">
        <v>0</v>
      </c>
      <c r="H14" s="5">
        <v>0</v>
      </c>
      <c r="I14" s="5">
        <f t="shared" si="1"/>
        <v>314</v>
      </c>
      <c r="J14" s="4" t="str">
        <f t="shared" si="2"/>
        <v>Mostly customer-facing</v>
      </c>
    </row>
    <row r="15" spans="1:16" x14ac:dyDescent="0.45">
      <c r="A15" s="14">
        <v>14</v>
      </c>
      <c r="B15" s="4" t="s">
        <v>1129</v>
      </c>
      <c r="C15" s="4" t="s">
        <v>1130</v>
      </c>
      <c r="D15" s="19">
        <f t="shared" si="0"/>
        <v>312</v>
      </c>
      <c r="E15" s="5">
        <v>303</v>
      </c>
      <c r="F15" s="5">
        <v>7</v>
      </c>
      <c r="G15" s="5">
        <v>2</v>
      </c>
      <c r="H15" s="5">
        <v>3</v>
      </c>
      <c r="I15" s="5">
        <f t="shared" si="1"/>
        <v>315</v>
      </c>
      <c r="J15" s="4" t="str">
        <f t="shared" si="2"/>
        <v>Mostly customer-facing</v>
      </c>
    </row>
    <row r="16" spans="1:16" x14ac:dyDescent="0.45">
      <c r="A16" s="14">
        <v>15</v>
      </c>
      <c r="B16" s="4" t="s">
        <v>1390</v>
      </c>
      <c r="C16" s="4" t="s">
        <v>1391</v>
      </c>
      <c r="D16" s="19">
        <f t="shared" si="0"/>
        <v>283</v>
      </c>
      <c r="E16" s="5">
        <v>183</v>
      </c>
      <c r="F16" s="5">
        <v>100</v>
      </c>
      <c r="G16" s="5">
        <v>0</v>
      </c>
      <c r="H16" s="5">
        <v>0</v>
      </c>
      <c r="I16" s="5">
        <f t="shared" si="1"/>
        <v>283</v>
      </c>
      <c r="J16" s="4" t="str">
        <f t="shared" si="2"/>
        <v>Mostly customer-facing</v>
      </c>
    </row>
    <row r="17" spans="1:10" x14ac:dyDescent="0.45">
      <c r="A17" s="14">
        <v>16</v>
      </c>
      <c r="B17" s="4" t="s">
        <v>1402</v>
      </c>
      <c r="C17" s="4" t="s">
        <v>1403</v>
      </c>
      <c r="D17" s="19">
        <f t="shared" si="0"/>
        <v>281</v>
      </c>
      <c r="E17" s="5">
        <v>160</v>
      </c>
      <c r="F17" s="5">
        <v>120</v>
      </c>
      <c r="G17" s="5">
        <v>1</v>
      </c>
      <c r="H17" s="5">
        <v>0</v>
      </c>
      <c r="I17" s="5">
        <f t="shared" si="1"/>
        <v>281</v>
      </c>
      <c r="J17" s="4" t="str">
        <f t="shared" si="2"/>
        <v>Mostly customer-facing</v>
      </c>
    </row>
    <row r="18" spans="1:10" x14ac:dyDescent="0.45">
      <c r="A18" s="14">
        <v>17</v>
      </c>
      <c r="B18" s="4" t="s">
        <v>1464</v>
      </c>
      <c r="C18" s="4" t="s">
        <v>1465</v>
      </c>
      <c r="D18" s="19">
        <f t="shared" si="0"/>
        <v>263</v>
      </c>
      <c r="E18" s="5">
        <v>114</v>
      </c>
      <c r="F18" s="5">
        <v>149</v>
      </c>
      <c r="G18" s="5">
        <v>0</v>
      </c>
      <c r="H18" s="5">
        <v>0</v>
      </c>
      <c r="I18" s="5">
        <f t="shared" si="1"/>
        <v>263</v>
      </c>
      <c r="J18" s="4" t="str">
        <f t="shared" si="2"/>
        <v>Mostly industrial &amp; trades</v>
      </c>
    </row>
    <row r="19" spans="1:10" x14ac:dyDescent="0.45">
      <c r="A19" s="14">
        <v>18</v>
      </c>
      <c r="B19" s="4" t="s">
        <v>1328</v>
      </c>
      <c r="C19" s="4" t="s">
        <v>1329</v>
      </c>
      <c r="D19" s="19">
        <f t="shared" si="0"/>
        <v>247</v>
      </c>
      <c r="E19" s="5">
        <v>98</v>
      </c>
      <c r="F19" s="5">
        <v>148</v>
      </c>
      <c r="G19" s="5">
        <v>1</v>
      </c>
      <c r="H19" s="5">
        <v>0</v>
      </c>
      <c r="I19" s="5">
        <f t="shared" si="1"/>
        <v>247</v>
      </c>
      <c r="J19" s="4" t="str">
        <f t="shared" si="2"/>
        <v>Mostly industrial &amp; trades</v>
      </c>
    </row>
    <row r="20" spans="1:10" x14ac:dyDescent="0.45">
      <c r="A20" s="14">
        <v>19</v>
      </c>
      <c r="B20" s="4" t="s">
        <v>1014</v>
      </c>
      <c r="C20" s="4" t="s">
        <v>1015</v>
      </c>
      <c r="D20" s="19">
        <f t="shared" si="0"/>
        <v>244</v>
      </c>
      <c r="E20" s="5">
        <v>235</v>
      </c>
      <c r="F20" s="5">
        <v>9</v>
      </c>
      <c r="G20" s="5">
        <v>0</v>
      </c>
      <c r="H20" s="5">
        <v>7</v>
      </c>
      <c r="I20" s="5">
        <f t="shared" si="1"/>
        <v>251</v>
      </c>
      <c r="J20" s="4" t="str">
        <f t="shared" si="2"/>
        <v>Mostly customer-facing</v>
      </c>
    </row>
    <row r="21" spans="1:10" x14ac:dyDescent="0.45">
      <c r="A21" s="14">
        <v>20</v>
      </c>
      <c r="B21" s="4" t="s">
        <v>997</v>
      </c>
      <c r="C21" s="4" t="s">
        <v>998</v>
      </c>
      <c r="D21" s="19">
        <f t="shared" si="0"/>
        <v>228</v>
      </c>
      <c r="E21" s="5">
        <v>215</v>
      </c>
      <c r="F21" s="5">
        <v>10</v>
      </c>
      <c r="G21" s="5">
        <v>3</v>
      </c>
      <c r="H21" s="5">
        <v>24</v>
      </c>
      <c r="I21" s="5">
        <f t="shared" si="1"/>
        <v>252</v>
      </c>
      <c r="J21" s="4" t="str">
        <f t="shared" si="2"/>
        <v>Mostly customer-facing</v>
      </c>
    </row>
    <row r="22" spans="1:10" x14ac:dyDescent="0.45">
      <c r="A22" s="14">
        <v>21</v>
      </c>
      <c r="B22" s="4" t="s">
        <v>1008</v>
      </c>
      <c r="C22" s="4" t="s">
        <v>1009</v>
      </c>
      <c r="D22" s="19">
        <f t="shared" si="0"/>
        <v>219</v>
      </c>
      <c r="E22" s="5">
        <v>199</v>
      </c>
      <c r="F22" s="5">
        <v>18</v>
      </c>
      <c r="G22" s="5">
        <v>2</v>
      </c>
      <c r="H22" s="5">
        <v>7</v>
      </c>
      <c r="I22" s="5">
        <f t="shared" si="1"/>
        <v>226</v>
      </c>
      <c r="J22" s="4" t="str">
        <f t="shared" si="2"/>
        <v>Mostly customer-facing</v>
      </c>
    </row>
    <row r="23" spans="1:10" x14ac:dyDescent="0.45">
      <c r="A23" s="14">
        <v>22</v>
      </c>
      <c r="B23" s="4" t="s">
        <v>1067</v>
      </c>
      <c r="C23" s="4" t="s">
        <v>1068</v>
      </c>
      <c r="D23" s="19">
        <f t="shared" si="0"/>
        <v>215</v>
      </c>
      <c r="E23" s="5">
        <v>182</v>
      </c>
      <c r="F23" s="5">
        <v>33</v>
      </c>
      <c r="G23" s="5">
        <v>0</v>
      </c>
      <c r="H23" s="5">
        <v>7</v>
      </c>
      <c r="I23" s="5">
        <f t="shared" si="1"/>
        <v>222</v>
      </c>
      <c r="J23" s="4" t="str">
        <f t="shared" si="2"/>
        <v>Mostly customer-facing</v>
      </c>
    </row>
    <row r="24" spans="1:10" x14ac:dyDescent="0.45">
      <c r="A24" s="14">
        <v>23</v>
      </c>
      <c r="B24" s="4" t="s">
        <v>1374</v>
      </c>
      <c r="C24" s="4" t="s">
        <v>1375</v>
      </c>
      <c r="D24" s="19">
        <f t="shared" si="0"/>
        <v>213</v>
      </c>
      <c r="E24" s="5">
        <v>87</v>
      </c>
      <c r="F24" s="5">
        <v>126</v>
      </c>
      <c r="G24" s="5">
        <v>0</v>
      </c>
      <c r="H24" s="5">
        <v>0</v>
      </c>
      <c r="I24" s="5">
        <f t="shared" si="1"/>
        <v>213</v>
      </c>
      <c r="J24" s="4" t="str">
        <f t="shared" si="2"/>
        <v>Mostly industrial &amp; trades</v>
      </c>
    </row>
    <row r="25" spans="1:10" x14ac:dyDescent="0.45">
      <c r="A25" s="14">
        <v>24</v>
      </c>
      <c r="B25" s="4" t="s">
        <v>1366</v>
      </c>
      <c r="C25" s="4" t="s">
        <v>1367</v>
      </c>
      <c r="D25" s="19">
        <f t="shared" si="0"/>
        <v>213</v>
      </c>
      <c r="E25" s="5">
        <v>212</v>
      </c>
      <c r="F25" s="5">
        <v>1</v>
      </c>
      <c r="G25" s="5">
        <v>0</v>
      </c>
      <c r="H25" s="5">
        <v>0</v>
      </c>
      <c r="I25" s="5">
        <f t="shared" si="1"/>
        <v>213</v>
      </c>
      <c r="J25" s="4" t="str">
        <f t="shared" si="2"/>
        <v>Mostly customer-facing</v>
      </c>
    </row>
    <row r="26" spans="1:10" x14ac:dyDescent="0.45">
      <c r="A26" s="14">
        <v>25</v>
      </c>
      <c r="B26" s="4" t="s">
        <v>1454</v>
      </c>
      <c r="C26" s="4" t="s">
        <v>1455</v>
      </c>
      <c r="D26" s="19">
        <f t="shared" si="0"/>
        <v>208</v>
      </c>
      <c r="E26" s="5">
        <v>101</v>
      </c>
      <c r="F26" s="5">
        <v>103</v>
      </c>
      <c r="G26" s="5">
        <v>4</v>
      </c>
      <c r="H26" s="5">
        <v>0</v>
      </c>
      <c r="I26" s="5">
        <f t="shared" si="1"/>
        <v>208</v>
      </c>
      <c r="J26" s="4" t="str">
        <f t="shared" si="2"/>
        <v>Mostly industrial &amp; trades</v>
      </c>
    </row>
    <row r="27" spans="1:10" x14ac:dyDescent="0.45">
      <c r="A27" s="14">
        <v>26</v>
      </c>
      <c r="B27" s="4" t="s">
        <v>1005</v>
      </c>
      <c r="C27" s="4" t="s">
        <v>1006</v>
      </c>
      <c r="D27" s="19">
        <f t="shared" si="0"/>
        <v>205</v>
      </c>
      <c r="E27" s="5">
        <v>190</v>
      </c>
      <c r="F27" s="5">
        <v>10</v>
      </c>
      <c r="G27" s="5">
        <v>5</v>
      </c>
      <c r="H27" s="5">
        <v>58</v>
      </c>
      <c r="I27" s="5">
        <f t="shared" si="1"/>
        <v>263</v>
      </c>
      <c r="J27" s="4" t="str">
        <f t="shared" si="2"/>
        <v>Mostly customer-facing</v>
      </c>
    </row>
    <row r="28" spans="1:10" x14ac:dyDescent="0.45">
      <c r="A28" s="14">
        <v>27</v>
      </c>
      <c r="B28" s="4" t="s">
        <v>1107</v>
      </c>
      <c r="C28" s="4" t="s">
        <v>1108</v>
      </c>
      <c r="D28" s="19">
        <f t="shared" si="0"/>
        <v>203</v>
      </c>
      <c r="E28" s="5">
        <v>182</v>
      </c>
      <c r="F28" s="5">
        <v>21</v>
      </c>
      <c r="G28" s="5">
        <v>0</v>
      </c>
      <c r="H28" s="5">
        <v>4</v>
      </c>
      <c r="I28" s="5">
        <f t="shared" si="1"/>
        <v>207</v>
      </c>
      <c r="J28" s="4" t="str">
        <f t="shared" si="2"/>
        <v>Mostly customer-facing</v>
      </c>
    </row>
    <row r="29" spans="1:10" x14ac:dyDescent="0.45">
      <c r="A29" s="14">
        <v>28</v>
      </c>
      <c r="B29" s="4" t="s">
        <v>1398</v>
      </c>
      <c r="C29" s="4" t="s">
        <v>1399</v>
      </c>
      <c r="D29" s="19">
        <f t="shared" si="0"/>
        <v>201</v>
      </c>
      <c r="E29" s="5">
        <v>104</v>
      </c>
      <c r="F29" s="5">
        <v>97</v>
      </c>
      <c r="G29" s="5">
        <v>0</v>
      </c>
      <c r="H29" s="5">
        <v>0</v>
      </c>
      <c r="I29" s="5">
        <f t="shared" si="1"/>
        <v>201</v>
      </c>
      <c r="J29" s="4" t="str">
        <f t="shared" si="2"/>
        <v>Mostly customer-facing</v>
      </c>
    </row>
    <row r="30" spans="1:10" x14ac:dyDescent="0.45">
      <c r="A30" s="14">
        <v>29</v>
      </c>
      <c r="B30" s="4" t="s">
        <v>1438</v>
      </c>
      <c r="C30" s="4" t="s">
        <v>1439</v>
      </c>
      <c r="D30" s="19">
        <f t="shared" si="0"/>
        <v>197</v>
      </c>
      <c r="E30" s="5">
        <v>149</v>
      </c>
      <c r="F30" s="5">
        <v>47</v>
      </c>
      <c r="G30" s="5">
        <v>1</v>
      </c>
      <c r="H30" s="5">
        <v>0</v>
      </c>
      <c r="I30" s="5">
        <f t="shared" si="1"/>
        <v>197</v>
      </c>
      <c r="J30" s="4" t="str">
        <f t="shared" si="2"/>
        <v>Mostly customer-facing</v>
      </c>
    </row>
    <row r="31" spans="1:10" x14ac:dyDescent="0.45">
      <c r="A31" s="14">
        <v>30</v>
      </c>
      <c r="B31" s="4" t="s">
        <v>1142</v>
      </c>
      <c r="C31" s="4" t="s">
        <v>1143</v>
      </c>
      <c r="D31" s="19">
        <f t="shared" si="0"/>
        <v>182</v>
      </c>
      <c r="E31" s="5">
        <v>168</v>
      </c>
      <c r="F31" s="5">
        <v>12</v>
      </c>
      <c r="G31" s="5">
        <v>2</v>
      </c>
      <c r="H31" s="5">
        <v>27</v>
      </c>
      <c r="I31" s="5">
        <f t="shared" si="1"/>
        <v>209</v>
      </c>
      <c r="J31" s="4" t="str">
        <f t="shared" si="2"/>
        <v>Mostly customer-facing</v>
      </c>
    </row>
    <row r="32" spans="1:10" x14ac:dyDescent="0.45">
      <c r="A32" s="14">
        <v>31</v>
      </c>
      <c r="B32" s="4" t="s">
        <v>1434</v>
      </c>
      <c r="C32" s="4" t="s">
        <v>1435</v>
      </c>
      <c r="D32" s="19">
        <f t="shared" si="0"/>
        <v>176</v>
      </c>
      <c r="E32" s="5">
        <v>121</v>
      </c>
      <c r="F32" s="5">
        <v>55</v>
      </c>
      <c r="G32" s="5">
        <v>0</v>
      </c>
      <c r="H32" s="5">
        <v>0</v>
      </c>
      <c r="I32" s="5">
        <f t="shared" si="1"/>
        <v>176</v>
      </c>
      <c r="J32" s="4" t="str">
        <f t="shared" si="2"/>
        <v>Mostly customer-facing</v>
      </c>
    </row>
    <row r="33" spans="1:10" x14ac:dyDescent="0.45">
      <c r="A33" s="14">
        <v>32</v>
      </c>
      <c r="B33" s="4" t="s">
        <v>1480</v>
      </c>
      <c r="C33" s="4" t="s">
        <v>1481</v>
      </c>
      <c r="D33" s="19">
        <f t="shared" si="0"/>
        <v>175</v>
      </c>
      <c r="E33" s="5">
        <v>74</v>
      </c>
      <c r="F33" s="5">
        <v>101</v>
      </c>
      <c r="G33" s="5">
        <v>0</v>
      </c>
      <c r="H33" s="5">
        <v>0</v>
      </c>
      <c r="I33" s="5">
        <f t="shared" si="1"/>
        <v>175</v>
      </c>
      <c r="J33" s="4" t="str">
        <f t="shared" si="2"/>
        <v>Mostly industrial &amp; trades</v>
      </c>
    </row>
    <row r="34" spans="1:10" x14ac:dyDescent="0.45">
      <c r="A34" s="14">
        <v>33</v>
      </c>
      <c r="B34" s="4" t="s">
        <v>1043</v>
      </c>
      <c r="C34" s="4" t="s">
        <v>1044</v>
      </c>
      <c r="D34" s="19">
        <f t="shared" si="0"/>
        <v>174</v>
      </c>
      <c r="E34" s="5">
        <v>164</v>
      </c>
      <c r="F34" s="5">
        <v>8</v>
      </c>
      <c r="G34" s="5">
        <v>2</v>
      </c>
      <c r="H34" s="5">
        <v>17</v>
      </c>
      <c r="I34" s="5">
        <f t="shared" si="1"/>
        <v>191</v>
      </c>
      <c r="J34" s="4" t="str">
        <f t="shared" si="2"/>
        <v>Mostly customer-facing</v>
      </c>
    </row>
    <row r="35" spans="1:10" x14ac:dyDescent="0.45">
      <c r="A35" s="14">
        <v>34</v>
      </c>
      <c r="B35" s="4" t="s">
        <v>1232</v>
      </c>
      <c r="C35" s="4" t="s">
        <v>1233</v>
      </c>
      <c r="D35" s="19">
        <f t="shared" si="0"/>
        <v>169</v>
      </c>
      <c r="E35" s="5">
        <v>145</v>
      </c>
      <c r="F35" s="5">
        <v>24</v>
      </c>
      <c r="G35" s="5">
        <v>0</v>
      </c>
      <c r="H35" s="5">
        <v>0</v>
      </c>
      <c r="I35" s="5">
        <f t="shared" si="1"/>
        <v>169</v>
      </c>
      <c r="J35" s="4" t="str">
        <f t="shared" si="2"/>
        <v>Mostly customer-facing</v>
      </c>
    </row>
    <row r="36" spans="1:10" x14ac:dyDescent="0.45">
      <c r="A36" s="14">
        <v>35</v>
      </c>
      <c r="B36" s="4" t="s">
        <v>1144</v>
      </c>
      <c r="C36" s="4" t="s">
        <v>1145</v>
      </c>
      <c r="D36" s="19">
        <f t="shared" si="0"/>
        <v>168</v>
      </c>
      <c r="E36" s="5">
        <v>163</v>
      </c>
      <c r="F36" s="5">
        <v>4</v>
      </c>
      <c r="G36" s="5">
        <v>1</v>
      </c>
      <c r="H36" s="5">
        <v>15</v>
      </c>
      <c r="I36" s="5">
        <f t="shared" si="1"/>
        <v>183</v>
      </c>
      <c r="J36" s="4" t="str">
        <f t="shared" si="2"/>
        <v>Mostly customer-facing</v>
      </c>
    </row>
    <row r="37" spans="1:10" x14ac:dyDescent="0.45">
      <c r="A37" s="14">
        <v>36</v>
      </c>
      <c r="B37" s="4" t="s">
        <v>1462</v>
      </c>
      <c r="C37" s="4" t="s">
        <v>1463</v>
      </c>
      <c r="D37" s="19">
        <f t="shared" si="0"/>
        <v>162</v>
      </c>
      <c r="E37" s="5">
        <v>141</v>
      </c>
      <c r="F37" s="5">
        <v>20</v>
      </c>
      <c r="G37" s="5">
        <v>1</v>
      </c>
      <c r="H37" s="5">
        <v>0</v>
      </c>
      <c r="I37" s="5">
        <f t="shared" si="1"/>
        <v>162</v>
      </c>
      <c r="J37" s="4" t="str">
        <f t="shared" si="2"/>
        <v>Mostly customer-facing</v>
      </c>
    </row>
    <row r="38" spans="1:10" x14ac:dyDescent="0.45">
      <c r="A38" s="14">
        <v>37</v>
      </c>
      <c r="B38" s="4" t="s">
        <v>1456</v>
      </c>
      <c r="C38" s="4" t="s">
        <v>1457</v>
      </c>
      <c r="D38" s="19">
        <f t="shared" si="0"/>
        <v>160</v>
      </c>
      <c r="E38" s="5">
        <v>114</v>
      </c>
      <c r="F38" s="5">
        <v>46</v>
      </c>
      <c r="G38" s="5">
        <v>0</v>
      </c>
      <c r="H38" s="5">
        <v>0</v>
      </c>
      <c r="I38" s="5">
        <f t="shared" si="1"/>
        <v>160</v>
      </c>
      <c r="J38" s="4" t="str">
        <f t="shared" si="2"/>
        <v>Mostly customer-facing</v>
      </c>
    </row>
    <row r="39" spans="1:10" x14ac:dyDescent="0.45">
      <c r="A39" s="14">
        <v>38</v>
      </c>
      <c r="B39" s="4" t="s">
        <v>1356</v>
      </c>
      <c r="C39" s="4" t="s">
        <v>1357</v>
      </c>
      <c r="D39" s="19">
        <f t="shared" si="0"/>
        <v>156</v>
      </c>
      <c r="E39" s="5">
        <v>148</v>
      </c>
      <c r="F39" s="5">
        <v>6</v>
      </c>
      <c r="G39" s="5">
        <v>2</v>
      </c>
      <c r="H39" s="5">
        <v>2</v>
      </c>
      <c r="I39" s="5">
        <f t="shared" si="1"/>
        <v>158</v>
      </c>
      <c r="J39" s="4" t="str">
        <f t="shared" si="2"/>
        <v>Mostly customer-facing</v>
      </c>
    </row>
    <row r="40" spans="1:10" x14ac:dyDescent="0.45">
      <c r="A40" s="14">
        <v>39</v>
      </c>
      <c r="B40" s="4" t="s">
        <v>1404</v>
      </c>
      <c r="C40" s="4" t="s">
        <v>1405</v>
      </c>
      <c r="D40" s="19">
        <f t="shared" si="0"/>
        <v>156</v>
      </c>
      <c r="E40" s="5">
        <v>139</v>
      </c>
      <c r="F40" s="5">
        <v>17</v>
      </c>
      <c r="G40" s="5">
        <v>0</v>
      </c>
      <c r="H40" s="5">
        <v>0</v>
      </c>
      <c r="I40" s="5">
        <f t="shared" si="1"/>
        <v>156</v>
      </c>
      <c r="J40" s="4" t="str">
        <f t="shared" si="2"/>
        <v>Mostly customer-facing</v>
      </c>
    </row>
    <row r="41" spans="1:10" x14ac:dyDescent="0.45">
      <c r="A41" s="14">
        <v>40</v>
      </c>
      <c r="B41" s="4" t="s">
        <v>1053</v>
      </c>
      <c r="C41" s="4" t="s">
        <v>1054</v>
      </c>
      <c r="D41" s="19">
        <f t="shared" si="0"/>
        <v>156</v>
      </c>
      <c r="E41" s="5">
        <v>141</v>
      </c>
      <c r="F41" s="5">
        <v>13</v>
      </c>
      <c r="G41" s="5">
        <v>2</v>
      </c>
      <c r="H41" s="5">
        <v>11</v>
      </c>
      <c r="I41" s="5">
        <f t="shared" si="1"/>
        <v>167</v>
      </c>
      <c r="J41" s="4" t="str">
        <f t="shared" si="2"/>
        <v>Mostly customer-facing</v>
      </c>
    </row>
    <row r="42" spans="1:10" x14ac:dyDescent="0.45">
      <c r="A42" s="14">
        <v>41</v>
      </c>
      <c r="B42" s="4" t="s">
        <v>1097</v>
      </c>
      <c r="C42" s="4" t="s">
        <v>1098</v>
      </c>
      <c r="D42" s="19">
        <f t="shared" si="0"/>
        <v>153</v>
      </c>
      <c r="E42" s="5">
        <v>152</v>
      </c>
      <c r="F42" s="5">
        <v>1</v>
      </c>
      <c r="G42" s="5">
        <v>0</v>
      </c>
      <c r="H42" s="5">
        <v>1</v>
      </c>
      <c r="I42" s="5">
        <f t="shared" si="1"/>
        <v>154</v>
      </c>
      <c r="J42" s="4" t="str">
        <f t="shared" si="2"/>
        <v>Mostly customer-facing</v>
      </c>
    </row>
    <row r="43" spans="1:10" x14ac:dyDescent="0.45">
      <c r="A43" s="14">
        <v>42</v>
      </c>
      <c r="B43" s="4" t="s">
        <v>1000</v>
      </c>
      <c r="C43" s="4" t="s">
        <v>1001</v>
      </c>
      <c r="D43" s="19">
        <f t="shared" si="0"/>
        <v>150</v>
      </c>
      <c r="E43" s="5">
        <v>143</v>
      </c>
      <c r="F43" s="5">
        <v>7</v>
      </c>
      <c r="G43" s="5">
        <v>0</v>
      </c>
      <c r="H43" s="5">
        <v>0</v>
      </c>
      <c r="I43" s="5">
        <f t="shared" si="1"/>
        <v>150</v>
      </c>
      <c r="J43" s="4" t="str">
        <f t="shared" si="2"/>
        <v>Mostly customer-facing</v>
      </c>
    </row>
    <row r="44" spans="1:10" x14ac:dyDescent="0.45">
      <c r="A44" s="14">
        <v>43</v>
      </c>
      <c r="B44" s="4" t="s">
        <v>1081</v>
      </c>
      <c r="C44" s="4" t="s">
        <v>1082</v>
      </c>
      <c r="D44" s="19">
        <f t="shared" si="0"/>
        <v>146</v>
      </c>
      <c r="E44" s="5">
        <v>139</v>
      </c>
      <c r="F44" s="5">
        <v>6</v>
      </c>
      <c r="G44" s="5">
        <v>1</v>
      </c>
      <c r="H44" s="5">
        <v>22</v>
      </c>
      <c r="I44" s="5">
        <f t="shared" si="1"/>
        <v>168</v>
      </c>
      <c r="J44" s="4" t="str">
        <f t="shared" si="2"/>
        <v>Mostly customer-facing</v>
      </c>
    </row>
    <row r="45" spans="1:10" x14ac:dyDescent="0.45">
      <c r="A45" s="14">
        <v>44</v>
      </c>
      <c r="B45" s="4" t="s">
        <v>973</v>
      </c>
      <c r="C45" s="4" t="s">
        <v>974</v>
      </c>
      <c r="D45" s="19">
        <f t="shared" si="0"/>
        <v>144</v>
      </c>
      <c r="E45" s="5">
        <v>119</v>
      </c>
      <c r="F45" s="5">
        <v>22</v>
      </c>
      <c r="G45" s="5">
        <v>3</v>
      </c>
      <c r="H45" s="5">
        <v>17</v>
      </c>
      <c r="I45" s="5">
        <f t="shared" si="1"/>
        <v>161</v>
      </c>
      <c r="J45" s="4" t="str">
        <f t="shared" si="2"/>
        <v>Mostly customer-facing</v>
      </c>
    </row>
    <row r="46" spans="1:10" x14ac:dyDescent="0.45">
      <c r="A46" s="14">
        <v>45</v>
      </c>
      <c r="B46" s="4" t="s">
        <v>1041</v>
      </c>
      <c r="C46" s="4" t="s">
        <v>1042</v>
      </c>
      <c r="D46" s="19">
        <f t="shared" si="0"/>
        <v>143</v>
      </c>
      <c r="E46" s="5">
        <v>138</v>
      </c>
      <c r="F46" s="5">
        <v>5</v>
      </c>
      <c r="G46" s="5">
        <v>0</v>
      </c>
      <c r="H46" s="5">
        <v>0</v>
      </c>
      <c r="I46" s="5">
        <f t="shared" si="1"/>
        <v>143</v>
      </c>
      <c r="J46" s="4" t="str">
        <f t="shared" si="2"/>
        <v>Mostly customer-facing</v>
      </c>
    </row>
    <row r="47" spans="1:10" x14ac:dyDescent="0.45">
      <c r="A47" s="14">
        <v>46</v>
      </c>
      <c r="B47" s="4" t="s">
        <v>1484</v>
      </c>
      <c r="C47" s="4" t="s">
        <v>1485</v>
      </c>
      <c r="D47" s="19">
        <f t="shared" si="0"/>
        <v>135</v>
      </c>
      <c r="E47" s="5">
        <v>82</v>
      </c>
      <c r="F47" s="5">
        <v>52</v>
      </c>
      <c r="G47" s="5">
        <v>1</v>
      </c>
      <c r="H47" s="5">
        <v>0</v>
      </c>
      <c r="I47" s="5">
        <f t="shared" si="1"/>
        <v>135</v>
      </c>
      <c r="J47" s="4" t="str">
        <f t="shared" si="2"/>
        <v>Mostly customer-facing</v>
      </c>
    </row>
    <row r="48" spans="1:10" x14ac:dyDescent="0.45">
      <c r="A48" s="14">
        <v>47</v>
      </c>
      <c r="B48" s="4" t="s">
        <v>1468</v>
      </c>
      <c r="C48" s="4" t="s">
        <v>1469</v>
      </c>
      <c r="D48" s="19">
        <f t="shared" si="0"/>
        <v>133</v>
      </c>
      <c r="E48" s="5">
        <v>31</v>
      </c>
      <c r="F48" s="5">
        <v>102</v>
      </c>
      <c r="G48" s="5">
        <v>0</v>
      </c>
      <c r="H48" s="5">
        <v>0</v>
      </c>
      <c r="I48" s="5">
        <f t="shared" si="1"/>
        <v>133</v>
      </c>
      <c r="J48" s="4" t="str">
        <f t="shared" si="2"/>
        <v>Mostly industrial &amp; trades</v>
      </c>
    </row>
    <row r="49" spans="1:10" x14ac:dyDescent="0.45">
      <c r="A49" s="14">
        <v>48</v>
      </c>
      <c r="B49" s="4" t="s">
        <v>1101</v>
      </c>
      <c r="C49" s="4" t="s">
        <v>1102</v>
      </c>
      <c r="D49" s="19">
        <f t="shared" si="0"/>
        <v>132</v>
      </c>
      <c r="E49" s="5">
        <v>131</v>
      </c>
      <c r="F49" s="5">
        <v>1</v>
      </c>
      <c r="G49" s="5">
        <v>0</v>
      </c>
      <c r="H49" s="5">
        <v>7</v>
      </c>
      <c r="I49" s="5">
        <f t="shared" si="1"/>
        <v>139</v>
      </c>
      <c r="J49" s="4" t="str">
        <f t="shared" si="2"/>
        <v>Mostly customer-facing</v>
      </c>
    </row>
    <row r="50" spans="1:10" x14ac:dyDescent="0.45">
      <c r="A50" s="14">
        <v>49</v>
      </c>
      <c r="B50" s="4" t="s">
        <v>1027</v>
      </c>
      <c r="C50" s="4" t="s">
        <v>1028</v>
      </c>
      <c r="D50" s="19">
        <f t="shared" si="0"/>
        <v>132</v>
      </c>
      <c r="E50" s="5">
        <v>122</v>
      </c>
      <c r="F50" s="5">
        <v>10</v>
      </c>
      <c r="G50" s="5">
        <v>0</v>
      </c>
      <c r="H50" s="5">
        <v>11</v>
      </c>
      <c r="I50" s="5">
        <f t="shared" si="1"/>
        <v>143</v>
      </c>
      <c r="J50" s="4" t="str">
        <f t="shared" si="2"/>
        <v>Mostly customer-facing</v>
      </c>
    </row>
    <row r="51" spans="1:10" x14ac:dyDescent="0.45">
      <c r="A51" s="14">
        <v>50</v>
      </c>
      <c r="B51" s="4" t="s">
        <v>1045</v>
      </c>
      <c r="C51" s="4" t="s">
        <v>1046</v>
      </c>
      <c r="D51" s="19">
        <f t="shared" si="0"/>
        <v>129</v>
      </c>
      <c r="E51" s="5">
        <v>126</v>
      </c>
      <c r="F51" s="5">
        <v>3</v>
      </c>
      <c r="G51" s="5">
        <v>0</v>
      </c>
      <c r="H51" s="5">
        <v>0</v>
      </c>
      <c r="I51" s="5">
        <f t="shared" si="1"/>
        <v>129</v>
      </c>
      <c r="J51" s="4" t="str">
        <f t="shared" si="2"/>
        <v>Mostly customer-facing</v>
      </c>
    </row>
    <row r="52" spans="1:10" x14ac:dyDescent="0.45">
      <c r="A52" s="14">
        <v>51</v>
      </c>
      <c r="B52" s="4" t="s">
        <v>1121</v>
      </c>
      <c r="C52" s="4" t="s">
        <v>1122</v>
      </c>
      <c r="D52" s="19">
        <f t="shared" si="0"/>
        <v>128</v>
      </c>
      <c r="E52" s="5">
        <v>121</v>
      </c>
      <c r="F52" s="5">
        <v>6</v>
      </c>
      <c r="G52" s="5">
        <v>1</v>
      </c>
      <c r="H52" s="5">
        <v>0</v>
      </c>
      <c r="I52" s="5">
        <f t="shared" si="1"/>
        <v>128</v>
      </c>
      <c r="J52" s="4" t="str">
        <f t="shared" si="2"/>
        <v>Mostly customer-facing</v>
      </c>
    </row>
    <row r="53" spans="1:10" x14ac:dyDescent="0.45">
      <c r="A53" s="14">
        <v>52</v>
      </c>
      <c r="B53" s="4" t="s">
        <v>988</v>
      </c>
      <c r="C53" s="4" t="s">
        <v>989</v>
      </c>
      <c r="D53" s="19">
        <f t="shared" si="0"/>
        <v>127</v>
      </c>
      <c r="E53" s="5">
        <v>121</v>
      </c>
      <c r="F53" s="5">
        <v>2</v>
      </c>
      <c r="G53" s="5">
        <v>4</v>
      </c>
      <c r="H53" s="5">
        <v>23</v>
      </c>
      <c r="I53" s="5">
        <f t="shared" si="1"/>
        <v>150</v>
      </c>
      <c r="J53" s="4" t="str">
        <f t="shared" si="2"/>
        <v>Mostly customer-facing</v>
      </c>
    </row>
    <row r="54" spans="1:10" x14ac:dyDescent="0.45">
      <c r="A54" s="14">
        <v>53</v>
      </c>
      <c r="B54" s="4" t="s">
        <v>1491</v>
      </c>
      <c r="C54" s="4" t="s">
        <v>1491</v>
      </c>
      <c r="D54" s="19">
        <f t="shared" si="0"/>
        <v>123</v>
      </c>
      <c r="E54" s="5">
        <v>17</v>
      </c>
      <c r="F54" s="5">
        <v>106</v>
      </c>
      <c r="G54" s="5">
        <v>0</v>
      </c>
      <c r="H54" s="5">
        <v>0</v>
      </c>
      <c r="I54" s="5">
        <f t="shared" si="1"/>
        <v>123</v>
      </c>
      <c r="J54" s="4" t="str">
        <f t="shared" si="2"/>
        <v>Mostly industrial &amp; trades</v>
      </c>
    </row>
    <row r="55" spans="1:10" x14ac:dyDescent="0.45">
      <c r="A55" s="14">
        <v>54</v>
      </c>
      <c r="B55" s="4" t="s">
        <v>1190</v>
      </c>
      <c r="C55" s="4" t="s">
        <v>1191</v>
      </c>
      <c r="D55" s="19">
        <f t="shared" si="0"/>
        <v>121</v>
      </c>
      <c r="E55" s="5">
        <v>107</v>
      </c>
      <c r="F55" s="5">
        <v>14</v>
      </c>
      <c r="G55" s="5">
        <v>0</v>
      </c>
      <c r="H55" s="5">
        <v>50</v>
      </c>
      <c r="I55" s="5">
        <f t="shared" si="1"/>
        <v>171</v>
      </c>
      <c r="J55" s="4" t="str">
        <f t="shared" si="2"/>
        <v>Mostly customer-facing</v>
      </c>
    </row>
    <row r="56" spans="1:10" x14ac:dyDescent="0.45">
      <c r="A56" s="14">
        <v>55</v>
      </c>
      <c r="B56" s="4" t="s">
        <v>1113</v>
      </c>
      <c r="C56" s="4" t="s">
        <v>1114</v>
      </c>
      <c r="D56" s="19">
        <f t="shared" si="0"/>
        <v>118</v>
      </c>
      <c r="E56" s="5">
        <v>116</v>
      </c>
      <c r="F56" s="5">
        <v>2</v>
      </c>
      <c r="G56" s="5">
        <v>0</v>
      </c>
      <c r="H56" s="5">
        <v>2</v>
      </c>
      <c r="I56" s="5">
        <f t="shared" si="1"/>
        <v>120</v>
      </c>
      <c r="J56" s="4" t="str">
        <f t="shared" si="2"/>
        <v>Mostly customer-facing</v>
      </c>
    </row>
    <row r="57" spans="1:10" x14ac:dyDescent="0.45">
      <c r="A57" s="14">
        <v>56</v>
      </c>
      <c r="B57" s="4" t="s">
        <v>1515</v>
      </c>
      <c r="C57" s="4" t="s">
        <v>1516</v>
      </c>
      <c r="D57" s="19">
        <f t="shared" si="0"/>
        <v>117</v>
      </c>
      <c r="E57" s="5">
        <v>36</v>
      </c>
      <c r="F57" s="5">
        <v>81</v>
      </c>
      <c r="G57" s="5">
        <v>0</v>
      </c>
      <c r="H57" s="5">
        <v>0</v>
      </c>
      <c r="I57" s="5">
        <f t="shared" si="1"/>
        <v>117</v>
      </c>
      <c r="J57" s="4" t="str">
        <f t="shared" si="2"/>
        <v>Mostly industrial &amp; trades</v>
      </c>
    </row>
    <row r="58" spans="1:10" x14ac:dyDescent="0.45">
      <c r="A58" s="14">
        <v>57</v>
      </c>
      <c r="B58" s="4" t="s">
        <v>982</v>
      </c>
      <c r="C58" s="4" t="s">
        <v>983</v>
      </c>
      <c r="D58" s="19">
        <f t="shared" si="0"/>
        <v>114</v>
      </c>
      <c r="E58" s="5">
        <v>109</v>
      </c>
      <c r="F58" s="5">
        <v>5</v>
      </c>
      <c r="G58" s="5">
        <v>0</v>
      </c>
      <c r="H58" s="5">
        <v>0</v>
      </c>
      <c r="I58" s="5">
        <f t="shared" si="1"/>
        <v>114</v>
      </c>
      <c r="J58" s="4" t="str">
        <f t="shared" si="2"/>
        <v>Mostly customer-facing</v>
      </c>
    </row>
    <row r="59" spans="1:10" x14ac:dyDescent="0.45">
      <c r="A59" s="14">
        <v>58</v>
      </c>
      <c r="B59" s="4" t="s">
        <v>1278</v>
      </c>
      <c r="C59" s="4" t="s">
        <v>1279</v>
      </c>
      <c r="D59" s="19">
        <f t="shared" si="0"/>
        <v>110</v>
      </c>
      <c r="E59" s="5">
        <v>107</v>
      </c>
      <c r="F59" s="5">
        <v>1</v>
      </c>
      <c r="G59" s="5">
        <v>2</v>
      </c>
      <c r="H59" s="5">
        <v>29</v>
      </c>
      <c r="I59" s="5">
        <f t="shared" si="1"/>
        <v>139</v>
      </c>
      <c r="J59" s="4" t="str">
        <f t="shared" si="2"/>
        <v>Mostly customer-facing</v>
      </c>
    </row>
    <row r="60" spans="1:10" x14ac:dyDescent="0.45">
      <c r="A60" s="14">
        <v>59</v>
      </c>
      <c r="B60" s="4" t="s">
        <v>1494</v>
      </c>
      <c r="C60" s="4" t="s">
        <v>1495</v>
      </c>
      <c r="D60" s="19">
        <f t="shared" si="0"/>
        <v>109</v>
      </c>
      <c r="E60" s="5">
        <v>44</v>
      </c>
      <c r="F60" s="5">
        <v>65</v>
      </c>
      <c r="G60" s="5">
        <v>0</v>
      </c>
      <c r="H60" s="5">
        <v>0</v>
      </c>
      <c r="I60" s="5">
        <f t="shared" si="1"/>
        <v>109</v>
      </c>
      <c r="J60" s="4" t="str">
        <f t="shared" si="2"/>
        <v>Mostly industrial &amp; trades</v>
      </c>
    </row>
    <row r="61" spans="1:10" x14ac:dyDescent="0.45">
      <c r="A61" s="14">
        <v>60</v>
      </c>
      <c r="B61" s="4" t="s">
        <v>1150</v>
      </c>
      <c r="C61" s="4" t="s">
        <v>1151</v>
      </c>
      <c r="D61" s="19">
        <f t="shared" si="0"/>
        <v>107</v>
      </c>
      <c r="E61" s="5">
        <v>105</v>
      </c>
      <c r="F61" s="5">
        <v>2</v>
      </c>
      <c r="G61" s="5">
        <v>0</v>
      </c>
      <c r="H61" s="5">
        <v>9</v>
      </c>
      <c r="I61" s="5">
        <f t="shared" si="1"/>
        <v>116</v>
      </c>
      <c r="J61" s="4" t="str">
        <f t="shared" si="2"/>
        <v>Mostly customer-facing</v>
      </c>
    </row>
    <row r="62" spans="1:10" x14ac:dyDescent="0.45">
      <c r="A62" s="14">
        <v>61</v>
      </c>
      <c r="B62" s="4" t="s">
        <v>1061</v>
      </c>
      <c r="C62" s="4" t="s">
        <v>1062</v>
      </c>
      <c r="D62" s="19">
        <f t="shared" si="0"/>
        <v>102</v>
      </c>
      <c r="E62" s="5">
        <v>95</v>
      </c>
      <c r="F62" s="5">
        <v>6</v>
      </c>
      <c r="G62" s="5">
        <v>1</v>
      </c>
      <c r="H62" s="5">
        <v>3</v>
      </c>
      <c r="I62" s="5">
        <f t="shared" si="1"/>
        <v>105</v>
      </c>
      <c r="J62" s="4" t="str">
        <f t="shared" si="2"/>
        <v>Mostly customer-facing</v>
      </c>
    </row>
    <row r="63" spans="1:10" x14ac:dyDescent="0.45">
      <c r="A63" s="14">
        <v>62</v>
      </c>
      <c r="B63" s="4" t="s">
        <v>994</v>
      </c>
      <c r="C63" s="4" t="s">
        <v>995</v>
      </c>
      <c r="D63" s="19">
        <f t="shared" si="0"/>
        <v>100</v>
      </c>
      <c r="E63" s="5">
        <v>99</v>
      </c>
      <c r="F63" s="5">
        <v>1</v>
      </c>
      <c r="G63" s="5">
        <v>0</v>
      </c>
      <c r="H63" s="5">
        <v>4</v>
      </c>
      <c r="I63" s="5">
        <f t="shared" si="1"/>
        <v>104</v>
      </c>
      <c r="J63" s="4" t="str">
        <f t="shared" si="2"/>
        <v>Mostly customer-facing</v>
      </c>
    </row>
    <row r="64" spans="1:10" x14ac:dyDescent="0.45">
      <c r="A64" s="14">
        <v>63</v>
      </c>
      <c r="B64" s="4" t="s">
        <v>1470</v>
      </c>
      <c r="C64" s="4" t="s">
        <v>1471</v>
      </c>
      <c r="D64" s="19">
        <f t="shared" si="0"/>
        <v>98</v>
      </c>
      <c r="E64" s="5">
        <v>46</v>
      </c>
      <c r="F64" s="5">
        <v>52</v>
      </c>
      <c r="G64" s="5">
        <v>0</v>
      </c>
      <c r="H64" s="5">
        <v>0</v>
      </c>
      <c r="I64" s="5">
        <f t="shared" si="1"/>
        <v>98</v>
      </c>
      <c r="J64" s="4" t="str">
        <f t="shared" si="2"/>
        <v>Mostly industrial &amp; trades</v>
      </c>
    </row>
    <row r="65" spans="1:10" x14ac:dyDescent="0.45">
      <c r="A65" s="14">
        <v>64</v>
      </c>
      <c r="B65" s="4" t="s">
        <v>1115</v>
      </c>
      <c r="C65" s="4" t="s">
        <v>1116</v>
      </c>
      <c r="D65" s="19">
        <f t="shared" si="0"/>
        <v>97</v>
      </c>
      <c r="E65" s="5">
        <v>86</v>
      </c>
      <c r="F65" s="5">
        <v>9</v>
      </c>
      <c r="G65" s="5">
        <v>2</v>
      </c>
      <c r="H65" s="5">
        <v>56</v>
      </c>
      <c r="I65" s="5">
        <f t="shared" si="1"/>
        <v>153</v>
      </c>
      <c r="J65" s="4" t="str">
        <f t="shared" si="2"/>
        <v>Mostly customer-facing</v>
      </c>
    </row>
    <row r="66" spans="1:10" x14ac:dyDescent="0.45">
      <c r="A66" s="14">
        <v>65</v>
      </c>
      <c r="B66" s="4" t="s">
        <v>1119</v>
      </c>
      <c r="C66" s="4" t="s">
        <v>1120</v>
      </c>
      <c r="D66" s="19">
        <f t="shared" ref="D66:D129" si="3">E66+F66+G66</f>
        <v>97</v>
      </c>
      <c r="E66" s="5">
        <v>82</v>
      </c>
      <c r="F66" s="5">
        <v>13</v>
      </c>
      <c r="G66" s="5">
        <v>2</v>
      </c>
      <c r="H66" s="5">
        <v>50</v>
      </c>
      <c r="I66" s="5">
        <f t="shared" ref="I66:I129" si="4">D66+H66</f>
        <v>147</v>
      </c>
      <c r="J66" s="4" t="str">
        <f t="shared" ref="J66:J129" si="5">IF(D66=0,"No businesses",IF(F66&gt;E66,"Mostly industrial &amp; trades","Mostly customer-facing"))</f>
        <v>Mostly customer-facing</v>
      </c>
    </row>
    <row r="67" spans="1:10" x14ac:dyDescent="0.45">
      <c r="A67" s="14">
        <v>66</v>
      </c>
      <c r="B67" s="4" t="s">
        <v>1222</v>
      </c>
      <c r="C67" s="4" t="s">
        <v>1223</v>
      </c>
      <c r="D67" s="19">
        <f t="shared" si="3"/>
        <v>94</v>
      </c>
      <c r="E67" s="5">
        <v>91</v>
      </c>
      <c r="F67" s="5">
        <v>3</v>
      </c>
      <c r="G67" s="5">
        <v>0</v>
      </c>
      <c r="H67" s="5">
        <v>1</v>
      </c>
      <c r="I67" s="5">
        <f t="shared" si="4"/>
        <v>95</v>
      </c>
      <c r="J67" s="4" t="str">
        <f t="shared" si="5"/>
        <v>Mostly customer-facing</v>
      </c>
    </row>
    <row r="68" spans="1:10" x14ac:dyDescent="0.45">
      <c r="A68" s="14">
        <v>67</v>
      </c>
      <c r="B68" s="4" t="s">
        <v>1500</v>
      </c>
      <c r="C68" s="4" t="s">
        <v>1501</v>
      </c>
      <c r="D68" s="19">
        <f t="shared" si="3"/>
        <v>94</v>
      </c>
      <c r="E68" s="5">
        <v>39</v>
      </c>
      <c r="F68" s="5">
        <v>55</v>
      </c>
      <c r="G68" s="5">
        <v>0</v>
      </c>
      <c r="H68" s="5">
        <v>0</v>
      </c>
      <c r="I68" s="5">
        <f t="shared" si="4"/>
        <v>94</v>
      </c>
      <c r="J68" s="4" t="str">
        <f t="shared" si="5"/>
        <v>Mostly industrial &amp; trades</v>
      </c>
    </row>
    <row r="69" spans="1:10" x14ac:dyDescent="0.45">
      <c r="A69" s="14">
        <v>68</v>
      </c>
      <c r="B69" s="4" t="s">
        <v>1152</v>
      </c>
      <c r="C69" s="4" t="s">
        <v>1153</v>
      </c>
      <c r="D69" s="19">
        <f t="shared" si="3"/>
        <v>93</v>
      </c>
      <c r="E69" s="5">
        <v>88</v>
      </c>
      <c r="F69" s="5">
        <v>4</v>
      </c>
      <c r="G69" s="5">
        <v>1</v>
      </c>
      <c r="H69" s="5">
        <v>35</v>
      </c>
      <c r="I69" s="5">
        <f t="shared" si="4"/>
        <v>128</v>
      </c>
      <c r="J69" s="4" t="str">
        <f t="shared" si="5"/>
        <v>Mostly customer-facing</v>
      </c>
    </row>
    <row r="70" spans="1:10" x14ac:dyDescent="0.45">
      <c r="A70" s="14">
        <v>69</v>
      </c>
      <c r="B70" s="4" t="s">
        <v>1422</v>
      </c>
      <c r="C70" s="4" t="s">
        <v>1423</v>
      </c>
      <c r="D70" s="19">
        <f t="shared" si="3"/>
        <v>91</v>
      </c>
      <c r="E70" s="5">
        <v>33</v>
      </c>
      <c r="F70" s="5">
        <v>58</v>
      </c>
      <c r="G70" s="5">
        <v>0</v>
      </c>
      <c r="H70" s="5">
        <v>0</v>
      </c>
      <c r="I70" s="5">
        <f t="shared" si="4"/>
        <v>91</v>
      </c>
      <c r="J70" s="4" t="str">
        <f t="shared" si="5"/>
        <v>Mostly industrial &amp; trades</v>
      </c>
    </row>
    <row r="71" spans="1:10" x14ac:dyDescent="0.45">
      <c r="A71" s="14">
        <v>70</v>
      </c>
      <c r="B71" s="4" t="s">
        <v>1035</v>
      </c>
      <c r="C71" s="4" t="s">
        <v>1036</v>
      </c>
      <c r="D71" s="19">
        <f t="shared" si="3"/>
        <v>88</v>
      </c>
      <c r="E71" s="5">
        <v>87</v>
      </c>
      <c r="F71" s="5">
        <v>1</v>
      </c>
      <c r="G71" s="5">
        <v>0</v>
      </c>
      <c r="H71" s="5">
        <v>3</v>
      </c>
      <c r="I71" s="5">
        <f t="shared" si="4"/>
        <v>91</v>
      </c>
      <c r="J71" s="4" t="str">
        <f t="shared" si="5"/>
        <v>Mostly customer-facing</v>
      </c>
    </row>
    <row r="72" spans="1:10" x14ac:dyDescent="0.45">
      <c r="A72" s="14">
        <v>71</v>
      </c>
      <c r="B72" s="4" t="s">
        <v>1146</v>
      </c>
      <c r="C72" s="4" t="s">
        <v>1147</v>
      </c>
      <c r="D72" s="19">
        <f t="shared" si="3"/>
        <v>88</v>
      </c>
      <c r="E72" s="5">
        <v>86</v>
      </c>
      <c r="F72" s="5">
        <v>2</v>
      </c>
      <c r="G72" s="5">
        <v>0</v>
      </c>
      <c r="H72" s="5">
        <v>0</v>
      </c>
      <c r="I72" s="5">
        <f t="shared" si="4"/>
        <v>88</v>
      </c>
      <c r="J72" s="4" t="str">
        <f t="shared" si="5"/>
        <v>Mostly customer-facing</v>
      </c>
    </row>
    <row r="73" spans="1:10" x14ac:dyDescent="0.45">
      <c r="A73" s="14">
        <v>72</v>
      </c>
      <c r="B73" s="4" t="s">
        <v>1446</v>
      </c>
      <c r="C73" s="4" t="s">
        <v>1447</v>
      </c>
      <c r="D73" s="19">
        <f t="shared" si="3"/>
        <v>83</v>
      </c>
      <c r="E73" s="5">
        <v>40</v>
      </c>
      <c r="F73" s="5">
        <v>43</v>
      </c>
      <c r="G73" s="5">
        <v>0</v>
      </c>
      <c r="H73" s="5">
        <v>0</v>
      </c>
      <c r="I73" s="5">
        <f t="shared" si="4"/>
        <v>83</v>
      </c>
      <c r="J73" s="4" t="str">
        <f t="shared" si="5"/>
        <v>Mostly industrial &amp; trades</v>
      </c>
    </row>
    <row r="74" spans="1:10" x14ac:dyDescent="0.45">
      <c r="A74" s="14">
        <v>73</v>
      </c>
      <c r="B74" s="4" t="s">
        <v>1424</v>
      </c>
      <c r="C74" s="4" t="s">
        <v>1425</v>
      </c>
      <c r="D74" s="19">
        <f t="shared" si="3"/>
        <v>83</v>
      </c>
      <c r="E74" s="5">
        <v>32</v>
      </c>
      <c r="F74" s="5">
        <v>51</v>
      </c>
      <c r="G74" s="5">
        <v>0</v>
      </c>
      <c r="H74" s="5">
        <v>0</v>
      </c>
      <c r="I74" s="5">
        <f t="shared" si="4"/>
        <v>83</v>
      </c>
      <c r="J74" s="4" t="str">
        <f t="shared" si="5"/>
        <v>Mostly industrial &amp; trades</v>
      </c>
    </row>
    <row r="75" spans="1:10" x14ac:dyDescent="0.45">
      <c r="A75" s="14">
        <v>74</v>
      </c>
      <c r="B75" s="4" t="s">
        <v>1017</v>
      </c>
      <c r="C75" s="4" t="s">
        <v>1018</v>
      </c>
      <c r="D75" s="19">
        <f t="shared" si="3"/>
        <v>78</v>
      </c>
      <c r="E75" s="5">
        <v>69</v>
      </c>
      <c r="F75" s="5">
        <v>8</v>
      </c>
      <c r="G75" s="5">
        <v>1</v>
      </c>
      <c r="H75" s="5">
        <v>18</v>
      </c>
      <c r="I75" s="5">
        <f t="shared" si="4"/>
        <v>96</v>
      </c>
      <c r="J75" s="4" t="str">
        <f t="shared" si="5"/>
        <v>Mostly customer-facing</v>
      </c>
    </row>
    <row r="76" spans="1:10" x14ac:dyDescent="0.45">
      <c r="A76" s="14">
        <v>75</v>
      </c>
      <c r="B76" s="4" t="s">
        <v>1506</v>
      </c>
      <c r="C76" s="4" t="s">
        <v>1507</v>
      </c>
      <c r="D76" s="19">
        <f t="shared" si="3"/>
        <v>78</v>
      </c>
      <c r="E76" s="5">
        <v>26</v>
      </c>
      <c r="F76" s="5">
        <v>51</v>
      </c>
      <c r="G76" s="5">
        <v>1</v>
      </c>
      <c r="H76" s="5">
        <v>0</v>
      </c>
      <c r="I76" s="5">
        <f t="shared" si="4"/>
        <v>78</v>
      </c>
      <c r="J76" s="4" t="str">
        <f t="shared" si="5"/>
        <v>Mostly industrial &amp; trades</v>
      </c>
    </row>
    <row r="77" spans="1:10" x14ac:dyDescent="0.45">
      <c r="A77" s="14">
        <v>76</v>
      </c>
      <c r="B77" s="4" t="s">
        <v>1208</v>
      </c>
      <c r="C77" s="4" t="s">
        <v>1209</v>
      </c>
      <c r="D77" s="19">
        <f t="shared" si="3"/>
        <v>77</v>
      </c>
      <c r="E77" s="5">
        <v>75</v>
      </c>
      <c r="F77" s="5">
        <v>2</v>
      </c>
      <c r="G77" s="5">
        <v>0</v>
      </c>
      <c r="H77" s="5">
        <v>0</v>
      </c>
      <c r="I77" s="5">
        <f t="shared" si="4"/>
        <v>77</v>
      </c>
      <c r="J77" s="4" t="str">
        <f t="shared" si="5"/>
        <v>Mostly customer-facing</v>
      </c>
    </row>
    <row r="78" spans="1:10" x14ac:dyDescent="0.45">
      <c r="A78" s="14">
        <v>77</v>
      </c>
      <c r="B78" s="4" t="s">
        <v>1089</v>
      </c>
      <c r="C78" s="4" t="s">
        <v>1090</v>
      </c>
      <c r="D78" s="19">
        <f t="shared" si="3"/>
        <v>77</v>
      </c>
      <c r="E78" s="5">
        <v>67</v>
      </c>
      <c r="F78" s="5">
        <v>10</v>
      </c>
      <c r="G78" s="5">
        <v>0</v>
      </c>
      <c r="H78" s="5">
        <v>0</v>
      </c>
      <c r="I78" s="5">
        <f t="shared" si="4"/>
        <v>77</v>
      </c>
      <c r="J78" s="4" t="str">
        <f t="shared" si="5"/>
        <v>Mostly customer-facing</v>
      </c>
    </row>
    <row r="79" spans="1:10" x14ac:dyDescent="0.45">
      <c r="A79" s="14">
        <v>78</v>
      </c>
      <c r="B79" s="4" t="s">
        <v>1531</v>
      </c>
      <c r="C79" s="4" t="s">
        <v>1532</v>
      </c>
      <c r="D79" s="19">
        <f t="shared" si="3"/>
        <v>76</v>
      </c>
      <c r="E79" s="5">
        <v>22</v>
      </c>
      <c r="F79" s="5">
        <v>54</v>
      </c>
      <c r="G79" s="5">
        <v>0</v>
      </c>
      <c r="H79" s="5">
        <v>0</v>
      </c>
      <c r="I79" s="5">
        <f t="shared" si="4"/>
        <v>76</v>
      </c>
      <c r="J79" s="4" t="str">
        <f t="shared" si="5"/>
        <v>Mostly industrial &amp; trades</v>
      </c>
    </row>
    <row r="80" spans="1:10" x14ac:dyDescent="0.45">
      <c r="A80" s="14">
        <v>79</v>
      </c>
      <c r="B80" s="4" t="s">
        <v>1322</v>
      </c>
      <c r="C80" s="4" t="s">
        <v>1323</v>
      </c>
      <c r="D80" s="19">
        <f t="shared" si="3"/>
        <v>76</v>
      </c>
      <c r="E80" s="5">
        <v>75</v>
      </c>
      <c r="F80" s="5">
        <v>0</v>
      </c>
      <c r="G80" s="5">
        <v>1</v>
      </c>
      <c r="H80" s="5">
        <v>2</v>
      </c>
      <c r="I80" s="5">
        <f t="shared" si="4"/>
        <v>78</v>
      </c>
      <c r="J80" s="4" t="str">
        <f t="shared" si="5"/>
        <v>Mostly customer-facing</v>
      </c>
    </row>
    <row r="81" spans="1:10" x14ac:dyDescent="0.45">
      <c r="A81" s="14">
        <v>80</v>
      </c>
      <c r="B81" s="4" t="s">
        <v>1051</v>
      </c>
      <c r="C81" s="4" t="s">
        <v>1052</v>
      </c>
      <c r="D81" s="19">
        <f t="shared" si="3"/>
        <v>75</v>
      </c>
      <c r="E81" s="5">
        <v>63</v>
      </c>
      <c r="F81" s="5">
        <v>11</v>
      </c>
      <c r="G81" s="5">
        <v>1</v>
      </c>
      <c r="H81" s="5">
        <v>3</v>
      </c>
      <c r="I81" s="5">
        <f t="shared" si="4"/>
        <v>78</v>
      </c>
      <c r="J81" s="4" t="str">
        <f t="shared" si="5"/>
        <v>Mostly customer-facing</v>
      </c>
    </row>
    <row r="82" spans="1:10" x14ac:dyDescent="0.45">
      <c r="A82" s="14">
        <v>81</v>
      </c>
      <c r="B82" s="4" t="s">
        <v>1103</v>
      </c>
      <c r="C82" s="4" t="s">
        <v>1104</v>
      </c>
      <c r="D82" s="19">
        <f t="shared" si="3"/>
        <v>74</v>
      </c>
      <c r="E82" s="5">
        <v>65</v>
      </c>
      <c r="F82" s="5">
        <v>7</v>
      </c>
      <c r="G82" s="5">
        <v>2</v>
      </c>
      <c r="H82" s="5">
        <v>13</v>
      </c>
      <c r="I82" s="5">
        <f t="shared" si="4"/>
        <v>87</v>
      </c>
      <c r="J82" s="4" t="str">
        <f t="shared" si="5"/>
        <v>Mostly customer-facing</v>
      </c>
    </row>
    <row r="83" spans="1:10" x14ac:dyDescent="0.45">
      <c r="A83" s="14">
        <v>82</v>
      </c>
      <c r="B83" s="4" t="s">
        <v>1248</v>
      </c>
      <c r="C83" s="4" t="s">
        <v>1249</v>
      </c>
      <c r="D83" s="19">
        <f t="shared" si="3"/>
        <v>72</v>
      </c>
      <c r="E83" s="5">
        <v>70</v>
      </c>
      <c r="F83" s="5">
        <v>2</v>
      </c>
      <c r="G83" s="5">
        <v>0</v>
      </c>
      <c r="H83" s="5">
        <v>0</v>
      </c>
      <c r="I83" s="5">
        <f t="shared" si="4"/>
        <v>72</v>
      </c>
      <c r="J83" s="4" t="str">
        <f t="shared" si="5"/>
        <v>Mostly customer-facing</v>
      </c>
    </row>
    <row r="84" spans="1:10" x14ac:dyDescent="0.45">
      <c r="A84" s="14">
        <v>83</v>
      </c>
      <c r="B84" s="4" t="s">
        <v>1220</v>
      </c>
      <c r="C84" s="4" t="s">
        <v>1221</v>
      </c>
      <c r="D84" s="19">
        <f t="shared" si="3"/>
        <v>72</v>
      </c>
      <c r="E84" s="5">
        <v>70</v>
      </c>
      <c r="F84" s="5">
        <v>2</v>
      </c>
      <c r="G84" s="5">
        <v>0</v>
      </c>
      <c r="H84" s="5">
        <v>22</v>
      </c>
      <c r="I84" s="5">
        <f t="shared" si="4"/>
        <v>94</v>
      </c>
      <c r="J84" s="4" t="str">
        <f t="shared" si="5"/>
        <v>Mostly customer-facing</v>
      </c>
    </row>
    <row r="85" spans="1:10" x14ac:dyDescent="0.45">
      <c r="A85" s="14">
        <v>84</v>
      </c>
      <c r="B85" s="4" t="s">
        <v>1029</v>
      </c>
      <c r="C85" s="4" t="s">
        <v>1030</v>
      </c>
      <c r="D85" s="19">
        <f t="shared" si="3"/>
        <v>71</v>
      </c>
      <c r="E85" s="5">
        <v>36</v>
      </c>
      <c r="F85" s="5">
        <v>33</v>
      </c>
      <c r="G85" s="5">
        <v>2</v>
      </c>
      <c r="H85" s="5">
        <v>4</v>
      </c>
      <c r="I85" s="5">
        <f t="shared" si="4"/>
        <v>75</v>
      </c>
      <c r="J85" s="4" t="str">
        <f t="shared" si="5"/>
        <v>Mostly customer-facing</v>
      </c>
    </row>
    <row r="86" spans="1:10" x14ac:dyDescent="0.45">
      <c r="A86" s="14">
        <v>85</v>
      </c>
      <c r="B86" s="4" t="s">
        <v>1109</v>
      </c>
      <c r="C86" s="4" t="s">
        <v>1110</v>
      </c>
      <c r="D86" s="19">
        <f t="shared" si="3"/>
        <v>70</v>
      </c>
      <c r="E86" s="5">
        <v>68</v>
      </c>
      <c r="F86" s="5">
        <v>2</v>
      </c>
      <c r="G86" s="5">
        <v>0</v>
      </c>
      <c r="H86" s="5">
        <v>0</v>
      </c>
      <c r="I86" s="5">
        <f t="shared" si="4"/>
        <v>70</v>
      </c>
      <c r="J86" s="4" t="str">
        <f t="shared" si="5"/>
        <v>Mostly customer-facing</v>
      </c>
    </row>
    <row r="87" spans="1:10" x14ac:dyDescent="0.45">
      <c r="A87" s="14">
        <v>86</v>
      </c>
      <c r="B87" s="4" t="s">
        <v>1019</v>
      </c>
      <c r="C87" s="4" t="s">
        <v>1020</v>
      </c>
      <c r="D87" s="19">
        <f t="shared" si="3"/>
        <v>70</v>
      </c>
      <c r="E87" s="5">
        <v>67</v>
      </c>
      <c r="F87" s="5">
        <v>3</v>
      </c>
      <c r="G87" s="5">
        <v>0</v>
      </c>
      <c r="H87" s="5">
        <v>0</v>
      </c>
      <c r="I87" s="5">
        <f t="shared" si="4"/>
        <v>70</v>
      </c>
      <c r="J87" s="4" t="str">
        <f t="shared" si="5"/>
        <v>Mostly customer-facing</v>
      </c>
    </row>
    <row r="88" spans="1:10" x14ac:dyDescent="0.45">
      <c r="A88" s="14">
        <v>87</v>
      </c>
      <c r="B88" s="4" t="s">
        <v>1033</v>
      </c>
      <c r="C88" s="4" t="s">
        <v>1034</v>
      </c>
      <c r="D88" s="19">
        <f t="shared" si="3"/>
        <v>66</v>
      </c>
      <c r="E88" s="5">
        <v>61</v>
      </c>
      <c r="F88" s="5">
        <v>3</v>
      </c>
      <c r="G88" s="5">
        <v>2</v>
      </c>
      <c r="H88" s="5">
        <v>13</v>
      </c>
      <c r="I88" s="5">
        <f t="shared" si="4"/>
        <v>79</v>
      </c>
      <c r="J88" s="4" t="str">
        <f t="shared" si="5"/>
        <v>Mostly customer-facing</v>
      </c>
    </row>
    <row r="89" spans="1:10" x14ac:dyDescent="0.45">
      <c r="A89" s="14">
        <v>88</v>
      </c>
      <c r="B89" s="4" t="s">
        <v>1414</v>
      </c>
      <c r="C89" s="4" t="s">
        <v>1415</v>
      </c>
      <c r="D89" s="19">
        <f t="shared" si="3"/>
        <v>66</v>
      </c>
      <c r="E89" s="5">
        <v>43</v>
      </c>
      <c r="F89" s="5">
        <v>23</v>
      </c>
      <c r="G89" s="5">
        <v>0</v>
      </c>
      <c r="H89" s="5">
        <v>0</v>
      </c>
      <c r="I89" s="5">
        <f t="shared" si="4"/>
        <v>66</v>
      </c>
      <c r="J89" s="4" t="str">
        <f t="shared" si="5"/>
        <v>Mostly customer-facing</v>
      </c>
    </row>
    <row r="90" spans="1:10" x14ac:dyDescent="0.45">
      <c r="A90" s="14">
        <v>89</v>
      </c>
      <c r="B90" s="4" t="s">
        <v>1266</v>
      </c>
      <c r="C90" s="4" t="s">
        <v>1267</v>
      </c>
      <c r="D90" s="19">
        <f t="shared" si="3"/>
        <v>63</v>
      </c>
      <c r="E90" s="5">
        <v>63</v>
      </c>
      <c r="F90" s="5">
        <v>0</v>
      </c>
      <c r="G90" s="5">
        <v>0</v>
      </c>
      <c r="H90" s="5">
        <v>0</v>
      </c>
      <c r="I90" s="5">
        <f t="shared" si="4"/>
        <v>63</v>
      </c>
      <c r="J90" s="4" t="str">
        <f t="shared" si="5"/>
        <v>Mostly customer-facing</v>
      </c>
    </row>
    <row r="91" spans="1:10" x14ac:dyDescent="0.45">
      <c r="A91" s="14">
        <v>90</v>
      </c>
      <c r="B91" s="4" t="s">
        <v>1055</v>
      </c>
      <c r="C91" s="4" t="s">
        <v>1056</v>
      </c>
      <c r="D91" s="19">
        <f t="shared" si="3"/>
        <v>63</v>
      </c>
      <c r="E91" s="5">
        <v>61</v>
      </c>
      <c r="F91" s="5">
        <v>1</v>
      </c>
      <c r="G91" s="5">
        <v>1</v>
      </c>
      <c r="H91" s="5">
        <v>42</v>
      </c>
      <c r="I91" s="5">
        <f t="shared" si="4"/>
        <v>105</v>
      </c>
      <c r="J91" s="4" t="str">
        <f t="shared" si="5"/>
        <v>Mostly customer-facing</v>
      </c>
    </row>
    <row r="92" spans="1:10" x14ac:dyDescent="0.45">
      <c r="A92" s="14">
        <v>91</v>
      </c>
      <c r="B92" s="4" t="s">
        <v>1412</v>
      </c>
      <c r="C92" s="4" t="s">
        <v>1413</v>
      </c>
      <c r="D92" s="19">
        <f t="shared" si="3"/>
        <v>62</v>
      </c>
      <c r="E92" s="5">
        <v>31</v>
      </c>
      <c r="F92" s="5">
        <v>31</v>
      </c>
      <c r="G92" s="5">
        <v>0</v>
      </c>
      <c r="H92" s="5">
        <v>0</v>
      </c>
      <c r="I92" s="5">
        <f t="shared" si="4"/>
        <v>62</v>
      </c>
      <c r="J92" s="4" t="str">
        <f t="shared" si="5"/>
        <v>Mostly customer-facing</v>
      </c>
    </row>
    <row r="93" spans="1:10" x14ac:dyDescent="0.45">
      <c r="A93" s="14">
        <v>92</v>
      </c>
      <c r="B93" s="4" t="s">
        <v>1382</v>
      </c>
      <c r="C93" s="4" t="s">
        <v>1383</v>
      </c>
      <c r="D93" s="19">
        <f t="shared" si="3"/>
        <v>61</v>
      </c>
      <c r="E93" s="5">
        <v>59</v>
      </c>
      <c r="F93" s="5">
        <v>2</v>
      </c>
      <c r="G93" s="5">
        <v>0</v>
      </c>
      <c r="H93" s="5">
        <v>0</v>
      </c>
      <c r="I93" s="5">
        <f t="shared" si="4"/>
        <v>61</v>
      </c>
      <c r="J93" s="4" t="str">
        <f t="shared" si="5"/>
        <v>Mostly customer-facing</v>
      </c>
    </row>
    <row r="94" spans="1:10" x14ac:dyDescent="0.45">
      <c r="A94" s="14">
        <v>93</v>
      </c>
      <c r="B94" s="4" t="s">
        <v>1127</v>
      </c>
      <c r="C94" s="4" t="s">
        <v>1128</v>
      </c>
      <c r="D94" s="19">
        <f t="shared" si="3"/>
        <v>61</v>
      </c>
      <c r="E94" s="5">
        <v>58</v>
      </c>
      <c r="F94" s="5">
        <v>3</v>
      </c>
      <c r="G94" s="5">
        <v>0</v>
      </c>
      <c r="H94" s="5">
        <v>0</v>
      </c>
      <c r="I94" s="5">
        <f t="shared" si="4"/>
        <v>61</v>
      </c>
      <c r="J94" s="4" t="str">
        <f t="shared" si="5"/>
        <v>Mostly customer-facing</v>
      </c>
    </row>
    <row r="95" spans="1:10" x14ac:dyDescent="0.45">
      <c r="A95" s="14">
        <v>94</v>
      </c>
      <c r="B95" s="4" t="s">
        <v>1095</v>
      </c>
      <c r="C95" s="4" t="s">
        <v>1096</v>
      </c>
      <c r="D95" s="19">
        <f t="shared" si="3"/>
        <v>60</v>
      </c>
      <c r="E95" s="5">
        <v>57</v>
      </c>
      <c r="F95" s="5">
        <v>1</v>
      </c>
      <c r="G95" s="5">
        <v>2</v>
      </c>
      <c r="H95" s="5">
        <v>2</v>
      </c>
      <c r="I95" s="5">
        <f t="shared" si="4"/>
        <v>62</v>
      </c>
      <c r="J95" s="4" t="str">
        <f t="shared" si="5"/>
        <v>Mostly customer-facing</v>
      </c>
    </row>
    <row r="96" spans="1:10" x14ac:dyDescent="0.45">
      <c r="A96" s="14">
        <v>95</v>
      </c>
      <c r="B96" s="4" t="s">
        <v>1021</v>
      </c>
      <c r="C96" s="4" t="s">
        <v>1022</v>
      </c>
      <c r="D96" s="19">
        <f t="shared" si="3"/>
        <v>59</v>
      </c>
      <c r="E96" s="5">
        <v>57</v>
      </c>
      <c r="F96" s="5">
        <v>2</v>
      </c>
      <c r="G96" s="5">
        <v>0</v>
      </c>
      <c r="H96" s="5">
        <v>28</v>
      </c>
      <c r="I96" s="5">
        <f t="shared" si="4"/>
        <v>87</v>
      </c>
      <c r="J96" s="4" t="str">
        <f t="shared" si="5"/>
        <v>Mostly customer-facing</v>
      </c>
    </row>
    <row r="97" spans="1:10" x14ac:dyDescent="0.45">
      <c r="A97" s="14">
        <v>96</v>
      </c>
      <c r="B97" s="4" t="s">
        <v>1049</v>
      </c>
      <c r="C97" s="4" t="s">
        <v>1050</v>
      </c>
      <c r="D97" s="19">
        <f t="shared" si="3"/>
        <v>59</v>
      </c>
      <c r="E97" s="5">
        <v>54</v>
      </c>
      <c r="F97" s="5">
        <v>3</v>
      </c>
      <c r="G97" s="5">
        <v>2</v>
      </c>
      <c r="H97" s="5">
        <v>7</v>
      </c>
      <c r="I97" s="5">
        <f t="shared" si="4"/>
        <v>66</v>
      </c>
      <c r="J97" s="4" t="str">
        <f t="shared" si="5"/>
        <v>Mostly customer-facing</v>
      </c>
    </row>
    <row r="98" spans="1:10" x14ac:dyDescent="0.45">
      <c r="A98" s="14">
        <v>97</v>
      </c>
      <c r="B98" s="4" t="s">
        <v>1085</v>
      </c>
      <c r="C98" s="4" t="s">
        <v>1086</v>
      </c>
      <c r="D98" s="19">
        <f t="shared" si="3"/>
        <v>58</v>
      </c>
      <c r="E98" s="5">
        <v>55</v>
      </c>
      <c r="F98" s="5">
        <v>2</v>
      </c>
      <c r="G98" s="5">
        <v>1</v>
      </c>
      <c r="H98" s="5">
        <v>4</v>
      </c>
      <c r="I98" s="5">
        <f t="shared" si="4"/>
        <v>62</v>
      </c>
      <c r="J98" s="4" t="str">
        <f t="shared" si="5"/>
        <v>Mostly customer-facing</v>
      </c>
    </row>
    <row r="99" spans="1:10" x14ac:dyDescent="0.45">
      <c r="A99" s="14">
        <v>98</v>
      </c>
      <c r="B99" s="4" t="s">
        <v>1176</v>
      </c>
      <c r="C99" s="4" t="s">
        <v>1177</v>
      </c>
      <c r="D99" s="19">
        <f t="shared" si="3"/>
        <v>58</v>
      </c>
      <c r="E99" s="5">
        <v>51</v>
      </c>
      <c r="F99" s="5">
        <v>5</v>
      </c>
      <c r="G99" s="5">
        <v>2</v>
      </c>
      <c r="H99" s="5">
        <v>8</v>
      </c>
      <c r="I99" s="5">
        <f t="shared" si="4"/>
        <v>66</v>
      </c>
      <c r="J99" s="4" t="str">
        <f t="shared" si="5"/>
        <v>Mostly customer-facing</v>
      </c>
    </row>
    <row r="100" spans="1:10" x14ac:dyDescent="0.45">
      <c r="A100" s="14">
        <v>99</v>
      </c>
      <c r="B100" s="4" t="s">
        <v>1348</v>
      </c>
      <c r="C100" s="4" t="s">
        <v>1349</v>
      </c>
      <c r="D100" s="19">
        <f t="shared" si="3"/>
        <v>56</v>
      </c>
      <c r="E100" s="5">
        <v>43</v>
      </c>
      <c r="F100" s="5">
        <v>13</v>
      </c>
      <c r="G100" s="5">
        <v>0</v>
      </c>
      <c r="H100" s="5">
        <v>0</v>
      </c>
      <c r="I100" s="5">
        <f t="shared" si="4"/>
        <v>56</v>
      </c>
      <c r="J100" s="4" t="str">
        <f t="shared" si="5"/>
        <v>Mostly customer-facing</v>
      </c>
    </row>
    <row r="101" spans="1:10" x14ac:dyDescent="0.45">
      <c r="A101" s="14">
        <v>100</v>
      </c>
      <c r="B101" s="4" t="s">
        <v>1282</v>
      </c>
      <c r="C101" s="4" t="s">
        <v>1283</v>
      </c>
      <c r="D101" s="19">
        <f t="shared" si="3"/>
        <v>56</v>
      </c>
      <c r="E101" s="5">
        <v>51</v>
      </c>
      <c r="F101" s="5">
        <v>4</v>
      </c>
      <c r="G101" s="5">
        <v>1</v>
      </c>
      <c r="H101" s="5">
        <v>3</v>
      </c>
      <c r="I101" s="5">
        <f t="shared" si="4"/>
        <v>59</v>
      </c>
      <c r="J101" s="4" t="str">
        <f t="shared" si="5"/>
        <v>Mostly customer-facing</v>
      </c>
    </row>
    <row r="102" spans="1:10" x14ac:dyDescent="0.45">
      <c r="A102" s="14">
        <v>101</v>
      </c>
      <c r="B102" s="4" t="s">
        <v>1148</v>
      </c>
      <c r="C102" s="4" t="s">
        <v>1149</v>
      </c>
      <c r="D102" s="19">
        <f t="shared" si="3"/>
        <v>56</v>
      </c>
      <c r="E102" s="5">
        <v>53</v>
      </c>
      <c r="F102" s="5">
        <v>3</v>
      </c>
      <c r="G102" s="5">
        <v>0</v>
      </c>
      <c r="H102" s="5">
        <v>0</v>
      </c>
      <c r="I102" s="5">
        <f t="shared" si="4"/>
        <v>56</v>
      </c>
      <c r="J102" s="4" t="str">
        <f t="shared" si="5"/>
        <v>Mostly customer-facing</v>
      </c>
    </row>
    <row r="103" spans="1:10" x14ac:dyDescent="0.45">
      <c r="A103" s="14">
        <v>102</v>
      </c>
      <c r="B103" s="4" t="s">
        <v>1458</v>
      </c>
      <c r="C103" s="4" t="s">
        <v>1459</v>
      </c>
      <c r="D103" s="19">
        <f t="shared" si="3"/>
        <v>56</v>
      </c>
      <c r="E103" s="5">
        <v>8</v>
      </c>
      <c r="F103" s="5">
        <v>48</v>
      </c>
      <c r="G103" s="5">
        <v>0</v>
      </c>
      <c r="H103" s="5">
        <v>0</v>
      </c>
      <c r="I103" s="5">
        <f t="shared" si="4"/>
        <v>56</v>
      </c>
      <c r="J103" s="4" t="str">
        <f t="shared" si="5"/>
        <v>Mostly industrial &amp; trades</v>
      </c>
    </row>
    <row r="104" spans="1:10" x14ac:dyDescent="0.45">
      <c r="A104" s="14">
        <v>103</v>
      </c>
      <c r="B104" s="4" t="s">
        <v>979</v>
      </c>
      <c r="C104" s="4" t="s">
        <v>980</v>
      </c>
      <c r="D104" s="19">
        <f t="shared" si="3"/>
        <v>55</v>
      </c>
      <c r="E104" s="5">
        <v>50</v>
      </c>
      <c r="F104" s="5">
        <v>5</v>
      </c>
      <c r="G104" s="5">
        <v>0</v>
      </c>
      <c r="H104" s="5">
        <v>4</v>
      </c>
      <c r="I104" s="5">
        <f t="shared" si="4"/>
        <v>59</v>
      </c>
      <c r="J104" s="4" t="str">
        <f t="shared" si="5"/>
        <v>Mostly customer-facing</v>
      </c>
    </row>
    <row r="105" spans="1:10" x14ac:dyDescent="0.45">
      <c r="A105" s="14">
        <v>104</v>
      </c>
      <c r="B105" s="4" t="s">
        <v>1125</v>
      </c>
      <c r="C105" s="4" t="s">
        <v>1126</v>
      </c>
      <c r="D105" s="19">
        <f t="shared" si="3"/>
        <v>55</v>
      </c>
      <c r="E105" s="5">
        <v>50</v>
      </c>
      <c r="F105" s="5">
        <v>5</v>
      </c>
      <c r="G105" s="5">
        <v>0</v>
      </c>
      <c r="H105" s="5">
        <v>18</v>
      </c>
      <c r="I105" s="5">
        <f t="shared" si="4"/>
        <v>73</v>
      </c>
      <c r="J105" s="4" t="str">
        <f t="shared" si="5"/>
        <v>Mostly customer-facing</v>
      </c>
    </row>
    <row r="106" spans="1:10" x14ac:dyDescent="0.45">
      <c r="A106" s="14">
        <v>105</v>
      </c>
      <c r="B106" s="4" t="s">
        <v>1250</v>
      </c>
      <c r="C106" s="4" t="s">
        <v>1251</v>
      </c>
      <c r="D106" s="19">
        <f t="shared" si="3"/>
        <v>52</v>
      </c>
      <c r="E106" s="5">
        <v>49</v>
      </c>
      <c r="F106" s="5">
        <v>2</v>
      </c>
      <c r="G106" s="5">
        <v>1</v>
      </c>
      <c r="H106" s="5">
        <v>6</v>
      </c>
      <c r="I106" s="5">
        <f t="shared" si="4"/>
        <v>58</v>
      </c>
      <c r="J106" s="4" t="str">
        <f t="shared" si="5"/>
        <v>Mostly customer-facing</v>
      </c>
    </row>
    <row r="107" spans="1:10" x14ac:dyDescent="0.45">
      <c r="A107" s="14">
        <v>106</v>
      </c>
      <c r="B107" s="4" t="s">
        <v>1186</v>
      </c>
      <c r="C107" s="4" t="s">
        <v>1187</v>
      </c>
      <c r="D107" s="19">
        <f t="shared" si="3"/>
        <v>52</v>
      </c>
      <c r="E107" s="5">
        <v>47</v>
      </c>
      <c r="F107" s="5">
        <v>3</v>
      </c>
      <c r="G107" s="5">
        <v>2</v>
      </c>
      <c r="H107" s="5">
        <v>5</v>
      </c>
      <c r="I107" s="5">
        <f t="shared" si="4"/>
        <v>57</v>
      </c>
      <c r="J107" s="4" t="str">
        <f t="shared" si="5"/>
        <v>Mostly customer-facing</v>
      </c>
    </row>
    <row r="108" spans="1:10" x14ac:dyDescent="0.45">
      <c r="A108" s="14">
        <v>107</v>
      </c>
      <c r="B108" s="4" t="s">
        <v>1059</v>
      </c>
      <c r="C108" s="4" t="s">
        <v>1060</v>
      </c>
      <c r="D108" s="19">
        <f t="shared" si="3"/>
        <v>51</v>
      </c>
      <c r="E108" s="5">
        <v>51</v>
      </c>
      <c r="F108" s="5">
        <v>0</v>
      </c>
      <c r="G108" s="5">
        <v>0</v>
      </c>
      <c r="H108" s="5">
        <v>0</v>
      </c>
      <c r="I108" s="5">
        <f t="shared" si="4"/>
        <v>51</v>
      </c>
      <c r="J108" s="4" t="str">
        <f t="shared" si="5"/>
        <v>Mostly customer-facing</v>
      </c>
    </row>
    <row r="109" spans="1:10" x14ac:dyDescent="0.45">
      <c r="A109" s="14">
        <v>108</v>
      </c>
      <c r="B109" s="4" t="s">
        <v>1025</v>
      </c>
      <c r="C109" s="4" t="s">
        <v>1026</v>
      </c>
      <c r="D109" s="19">
        <f t="shared" si="3"/>
        <v>51</v>
      </c>
      <c r="E109" s="5">
        <v>50</v>
      </c>
      <c r="F109" s="5">
        <v>1</v>
      </c>
      <c r="G109" s="5">
        <v>0</v>
      </c>
      <c r="H109" s="5">
        <v>0</v>
      </c>
      <c r="I109" s="5">
        <f t="shared" si="4"/>
        <v>51</v>
      </c>
      <c r="J109" s="4" t="str">
        <f t="shared" si="5"/>
        <v>Mostly customer-facing</v>
      </c>
    </row>
    <row r="110" spans="1:10" x14ac:dyDescent="0.45">
      <c r="A110" s="14">
        <v>109</v>
      </c>
      <c r="B110" s="4" t="s">
        <v>1192</v>
      </c>
      <c r="C110" s="4" t="s">
        <v>1193</v>
      </c>
      <c r="D110" s="19">
        <f t="shared" si="3"/>
        <v>51</v>
      </c>
      <c r="E110" s="5">
        <v>47</v>
      </c>
      <c r="F110" s="5">
        <v>1</v>
      </c>
      <c r="G110" s="5">
        <v>3</v>
      </c>
      <c r="H110" s="5">
        <v>6</v>
      </c>
      <c r="I110" s="5">
        <f t="shared" si="4"/>
        <v>57</v>
      </c>
      <c r="J110" s="4" t="str">
        <f t="shared" si="5"/>
        <v>Mostly customer-facing</v>
      </c>
    </row>
    <row r="111" spans="1:10" x14ac:dyDescent="0.45">
      <c r="A111" s="14">
        <v>110</v>
      </c>
      <c r="B111" s="4" t="s">
        <v>1334</v>
      </c>
      <c r="C111" s="4" t="s">
        <v>1335</v>
      </c>
      <c r="D111" s="19">
        <f t="shared" si="3"/>
        <v>49</v>
      </c>
      <c r="E111" s="5">
        <v>48</v>
      </c>
      <c r="F111" s="5">
        <v>1</v>
      </c>
      <c r="G111" s="5">
        <v>0</v>
      </c>
      <c r="H111" s="5">
        <v>0</v>
      </c>
      <c r="I111" s="5">
        <f t="shared" si="4"/>
        <v>49</v>
      </c>
      <c r="J111" s="4" t="str">
        <f t="shared" si="5"/>
        <v>Mostly customer-facing</v>
      </c>
    </row>
    <row r="112" spans="1:10" x14ac:dyDescent="0.45">
      <c r="A112" s="14">
        <v>111</v>
      </c>
      <c r="B112" s="4" t="s">
        <v>1003</v>
      </c>
      <c r="C112" s="4" t="s">
        <v>1004</v>
      </c>
      <c r="D112" s="19">
        <f t="shared" si="3"/>
        <v>49</v>
      </c>
      <c r="E112" s="5">
        <v>48</v>
      </c>
      <c r="F112" s="5">
        <v>1</v>
      </c>
      <c r="G112" s="5">
        <v>0</v>
      </c>
      <c r="H112" s="5">
        <v>7</v>
      </c>
      <c r="I112" s="5">
        <f t="shared" si="4"/>
        <v>56</v>
      </c>
      <c r="J112" s="4" t="str">
        <f t="shared" si="5"/>
        <v>Mostly customer-facing</v>
      </c>
    </row>
    <row r="113" spans="1:10" x14ac:dyDescent="0.45">
      <c r="A113" s="14">
        <v>112</v>
      </c>
      <c r="B113" s="4" t="s">
        <v>1460</v>
      </c>
      <c r="C113" s="4" t="s">
        <v>1461</v>
      </c>
      <c r="D113" s="19">
        <f t="shared" si="3"/>
        <v>49</v>
      </c>
      <c r="E113" s="5">
        <v>47</v>
      </c>
      <c r="F113" s="5">
        <v>1</v>
      </c>
      <c r="G113" s="5">
        <v>1</v>
      </c>
      <c r="H113" s="5">
        <v>0</v>
      </c>
      <c r="I113" s="5">
        <f t="shared" si="4"/>
        <v>49</v>
      </c>
      <c r="J113" s="4" t="str">
        <f t="shared" si="5"/>
        <v>Mostly customer-facing</v>
      </c>
    </row>
    <row r="114" spans="1:10" x14ac:dyDescent="0.45">
      <c r="A114" s="14">
        <v>113</v>
      </c>
      <c r="B114" s="4" t="s">
        <v>1440</v>
      </c>
      <c r="C114" s="4" t="s">
        <v>1441</v>
      </c>
      <c r="D114" s="19">
        <f t="shared" si="3"/>
        <v>48</v>
      </c>
      <c r="E114" s="5">
        <v>48</v>
      </c>
      <c r="F114" s="5">
        <v>0</v>
      </c>
      <c r="G114" s="5">
        <v>0</v>
      </c>
      <c r="H114" s="5">
        <v>1</v>
      </c>
      <c r="I114" s="5">
        <f t="shared" si="4"/>
        <v>49</v>
      </c>
      <c r="J114" s="4" t="str">
        <f t="shared" si="5"/>
        <v>Mostly customer-facing</v>
      </c>
    </row>
    <row r="115" spans="1:10" x14ac:dyDescent="0.45">
      <c r="A115" s="14">
        <v>114</v>
      </c>
      <c r="B115" s="4" t="s">
        <v>1214</v>
      </c>
      <c r="C115" s="4" t="s">
        <v>1215</v>
      </c>
      <c r="D115" s="19">
        <f t="shared" si="3"/>
        <v>48</v>
      </c>
      <c r="E115" s="5">
        <v>39</v>
      </c>
      <c r="F115" s="5">
        <v>9</v>
      </c>
      <c r="G115" s="5">
        <v>0</v>
      </c>
      <c r="H115" s="5">
        <v>6</v>
      </c>
      <c r="I115" s="5">
        <f t="shared" si="4"/>
        <v>54</v>
      </c>
      <c r="J115" s="4" t="str">
        <f t="shared" si="5"/>
        <v>Mostly customer-facing</v>
      </c>
    </row>
    <row r="116" spans="1:10" x14ac:dyDescent="0.45">
      <c r="A116" s="14">
        <v>115</v>
      </c>
      <c r="B116" s="4" t="s">
        <v>1504</v>
      </c>
      <c r="C116" s="4" t="s">
        <v>1505</v>
      </c>
      <c r="D116" s="19">
        <f t="shared" si="3"/>
        <v>48</v>
      </c>
      <c r="E116" s="5">
        <v>14</v>
      </c>
      <c r="F116" s="5">
        <v>34</v>
      </c>
      <c r="G116" s="5">
        <v>0</v>
      </c>
      <c r="H116" s="5">
        <v>0</v>
      </c>
      <c r="I116" s="5">
        <f t="shared" si="4"/>
        <v>48</v>
      </c>
      <c r="J116" s="4" t="str">
        <f t="shared" si="5"/>
        <v>Mostly industrial &amp; trades</v>
      </c>
    </row>
    <row r="117" spans="1:10" x14ac:dyDescent="0.45">
      <c r="A117" s="14">
        <v>116</v>
      </c>
      <c r="B117" s="4" t="s">
        <v>1063</v>
      </c>
      <c r="C117" s="4" t="s">
        <v>1064</v>
      </c>
      <c r="D117" s="19">
        <f t="shared" si="3"/>
        <v>48</v>
      </c>
      <c r="E117" s="5">
        <v>45</v>
      </c>
      <c r="F117" s="5">
        <v>3</v>
      </c>
      <c r="G117" s="5">
        <v>0</v>
      </c>
      <c r="H117" s="5">
        <v>8</v>
      </c>
      <c r="I117" s="5">
        <f t="shared" si="4"/>
        <v>56</v>
      </c>
      <c r="J117" s="4" t="str">
        <f t="shared" si="5"/>
        <v>Mostly customer-facing</v>
      </c>
    </row>
    <row r="118" spans="1:10" x14ac:dyDescent="0.45">
      <c r="A118" s="14">
        <v>117</v>
      </c>
      <c r="B118" s="4" t="s">
        <v>1117</v>
      </c>
      <c r="C118" s="4" t="s">
        <v>1118</v>
      </c>
      <c r="D118" s="19">
        <f t="shared" si="3"/>
        <v>48</v>
      </c>
      <c r="E118" s="5">
        <v>46</v>
      </c>
      <c r="F118" s="5">
        <v>1</v>
      </c>
      <c r="G118" s="5">
        <v>1</v>
      </c>
      <c r="H118" s="5">
        <v>0</v>
      </c>
      <c r="I118" s="5">
        <f t="shared" si="4"/>
        <v>48</v>
      </c>
      <c r="J118" s="4" t="str">
        <f t="shared" si="5"/>
        <v>Mostly customer-facing</v>
      </c>
    </row>
    <row r="119" spans="1:10" x14ac:dyDescent="0.45">
      <c r="A119" s="14">
        <v>118</v>
      </c>
      <c r="B119" s="4" t="s">
        <v>1442</v>
      </c>
      <c r="C119" s="4" t="s">
        <v>1443</v>
      </c>
      <c r="D119" s="19">
        <f t="shared" si="3"/>
        <v>48</v>
      </c>
      <c r="E119" s="5">
        <v>48</v>
      </c>
      <c r="F119" s="5">
        <v>0</v>
      </c>
      <c r="G119" s="5">
        <v>0</v>
      </c>
      <c r="H119" s="5">
        <v>1</v>
      </c>
      <c r="I119" s="5">
        <f t="shared" si="4"/>
        <v>49</v>
      </c>
      <c r="J119" s="4" t="str">
        <f t="shared" si="5"/>
        <v>Mostly customer-facing</v>
      </c>
    </row>
    <row r="120" spans="1:10" x14ac:dyDescent="0.45">
      <c r="A120" s="14">
        <v>119</v>
      </c>
      <c r="B120" s="4" t="s">
        <v>1202</v>
      </c>
      <c r="C120" s="4" t="s">
        <v>1203</v>
      </c>
      <c r="D120" s="19">
        <f t="shared" si="3"/>
        <v>47</v>
      </c>
      <c r="E120" s="5">
        <v>46</v>
      </c>
      <c r="F120" s="5">
        <v>1</v>
      </c>
      <c r="G120" s="5">
        <v>0</v>
      </c>
      <c r="H120" s="5">
        <v>0</v>
      </c>
      <c r="I120" s="5">
        <f t="shared" si="4"/>
        <v>47</v>
      </c>
      <c r="J120" s="4" t="str">
        <f t="shared" si="5"/>
        <v>Mostly customer-facing</v>
      </c>
    </row>
    <row r="121" spans="1:10" x14ac:dyDescent="0.45">
      <c r="A121" s="14">
        <v>120</v>
      </c>
      <c r="B121" s="4" t="s">
        <v>1079</v>
      </c>
      <c r="C121" s="4" t="s">
        <v>1080</v>
      </c>
      <c r="D121" s="19">
        <f t="shared" si="3"/>
        <v>47</v>
      </c>
      <c r="E121" s="5">
        <v>47</v>
      </c>
      <c r="F121" s="5">
        <v>0</v>
      </c>
      <c r="G121" s="5">
        <v>0</v>
      </c>
      <c r="H121" s="5">
        <v>1</v>
      </c>
      <c r="I121" s="5">
        <f t="shared" si="4"/>
        <v>48</v>
      </c>
      <c r="J121" s="4" t="str">
        <f t="shared" si="5"/>
        <v>Mostly customer-facing</v>
      </c>
    </row>
    <row r="122" spans="1:10" x14ac:dyDescent="0.45">
      <c r="A122" s="14">
        <v>121</v>
      </c>
      <c r="B122" s="4" t="s">
        <v>1292</v>
      </c>
      <c r="C122" s="4" t="s">
        <v>1293</v>
      </c>
      <c r="D122" s="19">
        <f t="shared" si="3"/>
        <v>47</v>
      </c>
      <c r="E122" s="5">
        <v>45</v>
      </c>
      <c r="F122" s="5">
        <v>2</v>
      </c>
      <c r="G122" s="5">
        <v>0</v>
      </c>
      <c r="H122" s="5">
        <v>20</v>
      </c>
      <c r="I122" s="5">
        <f t="shared" si="4"/>
        <v>67</v>
      </c>
      <c r="J122" s="4" t="str">
        <f t="shared" si="5"/>
        <v>Mostly customer-facing</v>
      </c>
    </row>
    <row r="123" spans="1:10" x14ac:dyDescent="0.45">
      <c r="A123" s="14">
        <v>122</v>
      </c>
      <c r="B123" s="4" t="s">
        <v>1466</v>
      </c>
      <c r="C123" s="4" t="s">
        <v>1467</v>
      </c>
      <c r="D123" s="19">
        <f t="shared" si="3"/>
        <v>45</v>
      </c>
      <c r="E123" s="5">
        <v>16</v>
      </c>
      <c r="F123" s="5">
        <v>29</v>
      </c>
      <c r="G123" s="5">
        <v>0</v>
      </c>
      <c r="H123" s="5">
        <v>0</v>
      </c>
      <c r="I123" s="5">
        <f t="shared" si="4"/>
        <v>45</v>
      </c>
      <c r="J123" s="4" t="str">
        <f t="shared" si="5"/>
        <v>Mostly industrial &amp; trades</v>
      </c>
    </row>
    <row r="124" spans="1:10" x14ac:dyDescent="0.45">
      <c r="A124" s="14">
        <v>123</v>
      </c>
      <c r="B124" s="4" t="s">
        <v>1200</v>
      </c>
      <c r="C124" s="4" t="s">
        <v>1201</v>
      </c>
      <c r="D124" s="19">
        <f t="shared" si="3"/>
        <v>43</v>
      </c>
      <c r="E124" s="5">
        <v>36</v>
      </c>
      <c r="F124" s="5">
        <v>6</v>
      </c>
      <c r="G124" s="5">
        <v>1</v>
      </c>
      <c r="H124" s="5">
        <v>1</v>
      </c>
      <c r="I124" s="5">
        <f t="shared" si="4"/>
        <v>44</v>
      </c>
      <c r="J124" s="4" t="str">
        <f t="shared" si="5"/>
        <v>Mostly customer-facing</v>
      </c>
    </row>
    <row r="125" spans="1:10" x14ac:dyDescent="0.45">
      <c r="A125" s="14">
        <v>124</v>
      </c>
      <c r="B125" s="4" t="s">
        <v>1194</v>
      </c>
      <c r="C125" s="4" t="s">
        <v>1195</v>
      </c>
      <c r="D125" s="19">
        <f t="shared" si="3"/>
        <v>42</v>
      </c>
      <c r="E125" s="5">
        <v>42</v>
      </c>
      <c r="F125" s="5">
        <v>0</v>
      </c>
      <c r="G125" s="5">
        <v>0</v>
      </c>
      <c r="H125" s="5">
        <v>1</v>
      </c>
      <c r="I125" s="5">
        <f t="shared" si="4"/>
        <v>43</v>
      </c>
      <c r="J125" s="4" t="str">
        <f t="shared" si="5"/>
        <v>Mostly customer-facing</v>
      </c>
    </row>
    <row r="126" spans="1:10" x14ac:dyDescent="0.45">
      <c r="A126" s="14">
        <v>125</v>
      </c>
      <c r="B126" s="4" t="s">
        <v>1075</v>
      </c>
      <c r="C126" s="4" t="s">
        <v>1076</v>
      </c>
      <c r="D126" s="19">
        <f t="shared" si="3"/>
        <v>42</v>
      </c>
      <c r="E126" s="5">
        <v>34</v>
      </c>
      <c r="F126" s="5">
        <v>8</v>
      </c>
      <c r="G126" s="5">
        <v>0</v>
      </c>
      <c r="H126" s="5">
        <v>0</v>
      </c>
      <c r="I126" s="5">
        <f t="shared" si="4"/>
        <v>42</v>
      </c>
      <c r="J126" s="4" t="str">
        <f t="shared" si="5"/>
        <v>Mostly customer-facing</v>
      </c>
    </row>
    <row r="127" spans="1:10" x14ac:dyDescent="0.45">
      <c r="A127" s="14">
        <v>126</v>
      </c>
      <c r="B127" s="4" t="s">
        <v>1280</v>
      </c>
      <c r="C127" s="4" t="s">
        <v>1281</v>
      </c>
      <c r="D127" s="19">
        <f t="shared" si="3"/>
        <v>41</v>
      </c>
      <c r="E127" s="5">
        <v>38</v>
      </c>
      <c r="F127" s="5">
        <v>3</v>
      </c>
      <c r="G127" s="5">
        <v>0</v>
      </c>
      <c r="H127" s="5">
        <v>1</v>
      </c>
      <c r="I127" s="5">
        <f t="shared" si="4"/>
        <v>42</v>
      </c>
      <c r="J127" s="4" t="str">
        <f t="shared" si="5"/>
        <v>Mostly customer-facing</v>
      </c>
    </row>
    <row r="128" spans="1:10" x14ac:dyDescent="0.45">
      <c r="A128" s="14">
        <v>127</v>
      </c>
      <c r="B128" s="4" t="s">
        <v>1162</v>
      </c>
      <c r="C128" s="4" t="s">
        <v>1163</v>
      </c>
      <c r="D128" s="19">
        <f t="shared" si="3"/>
        <v>40</v>
      </c>
      <c r="E128" s="5">
        <v>37</v>
      </c>
      <c r="F128" s="5">
        <v>1</v>
      </c>
      <c r="G128" s="5">
        <v>2</v>
      </c>
      <c r="H128" s="5">
        <v>66</v>
      </c>
      <c r="I128" s="5">
        <f t="shared" si="4"/>
        <v>106</v>
      </c>
      <c r="J128" s="4" t="str">
        <f t="shared" si="5"/>
        <v>Mostly customer-facing</v>
      </c>
    </row>
    <row r="129" spans="1:10" x14ac:dyDescent="0.45">
      <c r="A129" s="14">
        <v>128</v>
      </c>
      <c r="B129" s="4" t="s">
        <v>1011</v>
      </c>
      <c r="C129" s="4" t="s">
        <v>1012</v>
      </c>
      <c r="D129" s="19">
        <f t="shared" si="3"/>
        <v>40</v>
      </c>
      <c r="E129" s="5">
        <v>40</v>
      </c>
      <c r="F129" s="5">
        <v>0</v>
      </c>
      <c r="G129" s="5">
        <v>0</v>
      </c>
      <c r="H129" s="5">
        <v>0</v>
      </c>
      <c r="I129" s="5">
        <f t="shared" si="4"/>
        <v>40</v>
      </c>
      <c r="J129" s="4" t="str">
        <f t="shared" si="5"/>
        <v>Mostly customer-facing</v>
      </c>
    </row>
    <row r="130" spans="1:10" x14ac:dyDescent="0.45">
      <c r="A130" s="14">
        <v>129</v>
      </c>
      <c r="B130" s="4" t="s">
        <v>1168</v>
      </c>
      <c r="C130" s="4" t="s">
        <v>1169</v>
      </c>
      <c r="D130" s="19">
        <f t="shared" ref="D130:D193" si="6">E130+F130+G130</f>
        <v>40</v>
      </c>
      <c r="E130" s="5">
        <v>33</v>
      </c>
      <c r="F130" s="5">
        <v>6</v>
      </c>
      <c r="G130" s="5">
        <v>1</v>
      </c>
      <c r="H130" s="5">
        <v>0</v>
      </c>
      <c r="I130" s="5">
        <f t="shared" ref="I130:I193" si="7">D130+H130</f>
        <v>40</v>
      </c>
      <c r="J130" s="4" t="str">
        <f t="shared" ref="J130:J193" si="8">IF(D130=0,"No businesses",IF(F130&gt;E130,"Mostly industrial &amp; trades","Mostly customer-facing"))</f>
        <v>Mostly customer-facing</v>
      </c>
    </row>
    <row r="131" spans="1:10" x14ac:dyDescent="0.45">
      <c r="A131" s="14">
        <v>130</v>
      </c>
      <c r="B131" s="4" t="s">
        <v>1372</v>
      </c>
      <c r="C131" s="4" t="s">
        <v>1373</v>
      </c>
      <c r="D131" s="19">
        <f t="shared" si="6"/>
        <v>40</v>
      </c>
      <c r="E131" s="5">
        <v>22</v>
      </c>
      <c r="F131" s="5">
        <v>18</v>
      </c>
      <c r="G131" s="5">
        <v>0</v>
      </c>
      <c r="H131" s="5">
        <v>0</v>
      </c>
      <c r="I131" s="5">
        <f t="shared" si="7"/>
        <v>40</v>
      </c>
      <c r="J131" s="4" t="str">
        <f t="shared" si="8"/>
        <v>Mostly customer-facing</v>
      </c>
    </row>
    <row r="132" spans="1:10" x14ac:dyDescent="0.45">
      <c r="A132" s="14">
        <v>131</v>
      </c>
      <c r="B132" s="4" t="s">
        <v>1258</v>
      </c>
      <c r="C132" s="4" t="s">
        <v>1259</v>
      </c>
      <c r="D132" s="19">
        <f t="shared" si="6"/>
        <v>39</v>
      </c>
      <c r="E132" s="5">
        <v>33</v>
      </c>
      <c r="F132" s="5">
        <v>5</v>
      </c>
      <c r="G132" s="5">
        <v>1</v>
      </c>
      <c r="H132" s="5">
        <v>7</v>
      </c>
      <c r="I132" s="5">
        <f t="shared" si="7"/>
        <v>46</v>
      </c>
      <c r="J132" s="4" t="str">
        <f t="shared" si="8"/>
        <v>Mostly customer-facing</v>
      </c>
    </row>
    <row r="133" spans="1:10" x14ac:dyDescent="0.45">
      <c r="A133" s="14">
        <v>132</v>
      </c>
      <c r="B133" s="4" t="s">
        <v>1160</v>
      </c>
      <c r="C133" s="4" t="s">
        <v>1161</v>
      </c>
      <c r="D133" s="19">
        <f t="shared" si="6"/>
        <v>39</v>
      </c>
      <c r="E133" s="5">
        <v>34</v>
      </c>
      <c r="F133" s="5">
        <v>5</v>
      </c>
      <c r="G133" s="5">
        <v>0</v>
      </c>
      <c r="H133" s="5">
        <v>5</v>
      </c>
      <c r="I133" s="5">
        <f t="shared" si="7"/>
        <v>44</v>
      </c>
      <c r="J133" s="4" t="str">
        <f t="shared" si="8"/>
        <v>Mostly customer-facing</v>
      </c>
    </row>
    <row r="134" spans="1:10" x14ac:dyDescent="0.45">
      <c r="A134" s="14">
        <v>133</v>
      </c>
      <c r="B134" s="4" t="s">
        <v>1182</v>
      </c>
      <c r="C134" s="4" t="s">
        <v>1183</v>
      </c>
      <c r="D134" s="19">
        <f t="shared" si="6"/>
        <v>38</v>
      </c>
      <c r="E134" s="5">
        <v>37</v>
      </c>
      <c r="F134" s="5">
        <v>1</v>
      </c>
      <c r="G134" s="5">
        <v>0</v>
      </c>
      <c r="H134" s="5">
        <v>0</v>
      </c>
      <c r="I134" s="5">
        <f t="shared" si="7"/>
        <v>38</v>
      </c>
      <c r="J134" s="4" t="str">
        <f t="shared" si="8"/>
        <v>Mostly customer-facing</v>
      </c>
    </row>
    <row r="135" spans="1:10" x14ac:dyDescent="0.45">
      <c r="A135" s="14">
        <v>134</v>
      </c>
      <c r="B135" s="4" t="s">
        <v>1087</v>
      </c>
      <c r="C135" s="4" t="s">
        <v>1088</v>
      </c>
      <c r="D135" s="19">
        <f t="shared" si="6"/>
        <v>38</v>
      </c>
      <c r="E135" s="5">
        <v>36</v>
      </c>
      <c r="F135" s="5">
        <v>1</v>
      </c>
      <c r="G135" s="5">
        <v>1</v>
      </c>
      <c r="H135" s="5">
        <v>0</v>
      </c>
      <c r="I135" s="5">
        <f t="shared" si="7"/>
        <v>38</v>
      </c>
      <c r="J135" s="4" t="str">
        <f t="shared" si="8"/>
        <v>Mostly customer-facing</v>
      </c>
    </row>
    <row r="136" spans="1:10" x14ac:dyDescent="0.45">
      <c r="A136" s="14">
        <v>135</v>
      </c>
      <c r="B136" s="4" t="s">
        <v>1037</v>
      </c>
      <c r="C136" s="4" t="s">
        <v>1038</v>
      </c>
      <c r="D136" s="19">
        <f t="shared" si="6"/>
        <v>37</v>
      </c>
      <c r="E136" s="5">
        <v>35</v>
      </c>
      <c r="F136" s="5">
        <v>2</v>
      </c>
      <c r="G136" s="5">
        <v>0</v>
      </c>
      <c r="H136" s="5">
        <v>0</v>
      </c>
      <c r="I136" s="5">
        <f t="shared" si="7"/>
        <v>37</v>
      </c>
      <c r="J136" s="4" t="str">
        <f t="shared" si="8"/>
        <v>Mostly customer-facing</v>
      </c>
    </row>
    <row r="137" spans="1:10" x14ac:dyDescent="0.45">
      <c r="A137" s="14">
        <v>136</v>
      </c>
      <c r="B137" s="4" t="s">
        <v>1472</v>
      </c>
      <c r="C137" s="4" t="s">
        <v>1473</v>
      </c>
      <c r="D137" s="19">
        <f t="shared" si="6"/>
        <v>37</v>
      </c>
      <c r="E137" s="5">
        <v>37</v>
      </c>
      <c r="F137" s="5">
        <v>0</v>
      </c>
      <c r="G137" s="5">
        <v>0</v>
      </c>
      <c r="H137" s="5">
        <v>11</v>
      </c>
      <c r="I137" s="5">
        <f t="shared" si="7"/>
        <v>48</v>
      </c>
      <c r="J137" s="4" t="str">
        <f t="shared" si="8"/>
        <v>Mostly customer-facing</v>
      </c>
    </row>
    <row r="138" spans="1:10" x14ac:dyDescent="0.45">
      <c r="A138" s="14">
        <v>137</v>
      </c>
      <c r="B138" s="4" t="s">
        <v>1069</v>
      </c>
      <c r="C138" s="4" t="s">
        <v>1070</v>
      </c>
      <c r="D138" s="19">
        <f t="shared" si="6"/>
        <v>36</v>
      </c>
      <c r="E138" s="5">
        <v>32</v>
      </c>
      <c r="F138" s="5">
        <v>4</v>
      </c>
      <c r="G138" s="5">
        <v>0</v>
      </c>
      <c r="H138" s="5">
        <v>0</v>
      </c>
      <c r="I138" s="5">
        <f t="shared" si="7"/>
        <v>36</v>
      </c>
      <c r="J138" s="4" t="str">
        <f t="shared" si="8"/>
        <v>Mostly customer-facing</v>
      </c>
    </row>
    <row r="139" spans="1:10" x14ac:dyDescent="0.45">
      <c r="A139" s="14">
        <v>138</v>
      </c>
      <c r="B139" s="4" t="s">
        <v>1430</v>
      </c>
      <c r="C139" s="4" t="s">
        <v>1431</v>
      </c>
      <c r="D139" s="19">
        <f t="shared" si="6"/>
        <v>35</v>
      </c>
      <c r="E139" s="5">
        <v>29</v>
      </c>
      <c r="F139" s="5">
        <v>6</v>
      </c>
      <c r="G139" s="5">
        <v>0</v>
      </c>
      <c r="H139" s="5">
        <v>0</v>
      </c>
      <c r="I139" s="5">
        <f t="shared" si="7"/>
        <v>35</v>
      </c>
      <c r="J139" s="4" t="str">
        <f t="shared" si="8"/>
        <v>Mostly customer-facing</v>
      </c>
    </row>
    <row r="140" spans="1:10" x14ac:dyDescent="0.45">
      <c r="A140" s="14">
        <v>139</v>
      </c>
      <c r="B140" s="4" t="s">
        <v>1091</v>
      </c>
      <c r="C140" s="4" t="s">
        <v>1092</v>
      </c>
      <c r="D140" s="19">
        <f t="shared" si="6"/>
        <v>35</v>
      </c>
      <c r="E140" s="5">
        <v>34</v>
      </c>
      <c r="F140" s="5">
        <v>1</v>
      </c>
      <c r="G140" s="5">
        <v>0</v>
      </c>
      <c r="H140" s="5">
        <v>0</v>
      </c>
      <c r="I140" s="5">
        <f t="shared" si="7"/>
        <v>35</v>
      </c>
      <c r="J140" s="4" t="str">
        <f t="shared" si="8"/>
        <v>Mostly customer-facing</v>
      </c>
    </row>
    <row r="141" spans="1:10" x14ac:dyDescent="0.45">
      <c r="A141" s="14">
        <v>140</v>
      </c>
      <c r="B141" s="4" t="s">
        <v>1047</v>
      </c>
      <c r="C141" s="4" t="s">
        <v>1048</v>
      </c>
      <c r="D141" s="19">
        <f t="shared" si="6"/>
        <v>35</v>
      </c>
      <c r="E141" s="5">
        <v>32</v>
      </c>
      <c r="F141" s="5">
        <v>2</v>
      </c>
      <c r="G141" s="5">
        <v>1</v>
      </c>
      <c r="H141" s="5">
        <v>0</v>
      </c>
      <c r="I141" s="5">
        <f t="shared" si="7"/>
        <v>35</v>
      </c>
      <c r="J141" s="4" t="str">
        <f t="shared" si="8"/>
        <v>Mostly customer-facing</v>
      </c>
    </row>
    <row r="142" spans="1:10" x14ac:dyDescent="0.45">
      <c r="A142" s="14">
        <v>141</v>
      </c>
      <c r="B142" s="4" t="s">
        <v>1184</v>
      </c>
      <c r="C142" s="4" t="s">
        <v>1185</v>
      </c>
      <c r="D142" s="19">
        <f t="shared" si="6"/>
        <v>35</v>
      </c>
      <c r="E142" s="5">
        <v>34</v>
      </c>
      <c r="F142" s="5">
        <v>0</v>
      </c>
      <c r="G142" s="5">
        <v>1</v>
      </c>
      <c r="H142" s="5">
        <v>2</v>
      </c>
      <c r="I142" s="5">
        <f t="shared" si="7"/>
        <v>37</v>
      </c>
      <c r="J142" s="4" t="str">
        <f t="shared" si="8"/>
        <v>Mostly customer-facing</v>
      </c>
    </row>
    <row r="143" spans="1:10" x14ac:dyDescent="0.45">
      <c r="A143" s="14">
        <v>142</v>
      </c>
      <c r="B143" s="4" t="s">
        <v>1133</v>
      </c>
      <c r="C143" s="4" t="s">
        <v>1134</v>
      </c>
      <c r="D143" s="19">
        <f t="shared" si="6"/>
        <v>34</v>
      </c>
      <c r="E143" s="5">
        <v>32</v>
      </c>
      <c r="F143" s="5">
        <v>2</v>
      </c>
      <c r="G143" s="5">
        <v>0</v>
      </c>
      <c r="H143" s="5">
        <v>0</v>
      </c>
      <c r="I143" s="5">
        <f t="shared" si="7"/>
        <v>34</v>
      </c>
      <c r="J143" s="4" t="str">
        <f t="shared" si="8"/>
        <v>Mostly customer-facing</v>
      </c>
    </row>
    <row r="144" spans="1:10" x14ac:dyDescent="0.45">
      <c r="A144" s="14">
        <v>143</v>
      </c>
      <c r="B144" s="4" t="s">
        <v>1023</v>
      </c>
      <c r="C144" s="4" t="s">
        <v>1024</v>
      </c>
      <c r="D144" s="19">
        <f t="shared" si="6"/>
        <v>34</v>
      </c>
      <c r="E144" s="5">
        <v>30</v>
      </c>
      <c r="F144" s="5">
        <v>1</v>
      </c>
      <c r="G144" s="5">
        <v>3</v>
      </c>
      <c r="H144" s="5">
        <v>8</v>
      </c>
      <c r="I144" s="5">
        <f t="shared" si="7"/>
        <v>42</v>
      </c>
      <c r="J144" s="4" t="str">
        <f t="shared" si="8"/>
        <v>Mostly customer-facing</v>
      </c>
    </row>
    <row r="145" spans="1:10" x14ac:dyDescent="0.45">
      <c r="A145" s="14">
        <v>144</v>
      </c>
      <c r="B145" s="4" t="s">
        <v>1384</v>
      </c>
      <c r="C145" s="4" t="s">
        <v>1385</v>
      </c>
      <c r="D145" s="19">
        <f t="shared" si="6"/>
        <v>34</v>
      </c>
      <c r="E145" s="5">
        <v>33</v>
      </c>
      <c r="F145" s="5">
        <v>1</v>
      </c>
      <c r="G145" s="5">
        <v>0</v>
      </c>
      <c r="H145" s="5">
        <v>2</v>
      </c>
      <c r="I145" s="5">
        <f t="shared" si="7"/>
        <v>36</v>
      </c>
      <c r="J145" s="4" t="str">
        <f t="shared" si="8"/>
        <v>Mostly customer-facing</v>
      </c>
    </row>
    <row r="146" spans="1:10" x14ac:dyDescent="0.45">
      <c r="A146" s="14">
        <v>145</v>
      </c>
      <c r="B146" s="4" t="s">
        <v>1131</v>
      </c>
      <c r="C146" s="4" t="s">
        <v>1132</v>
      </c>
      <c r="D146" s="19">
        <f t="shared" si="6"/>
        <v>33</v>
      </c>
      <c r="E146" s="5">
        <v>31</v>
      </c>
      <c r="F146" s="5">
        <v>2</v>
      </c>
      <c r="G146" s="5">
        <v>0</v>
      </c>
      <c r="H146" s="5">
        <v>0</v>
      </c>
      <c r="I146" s="5">
        <f t="shared" si="7"/>
        <v>33</v>
      </c>
      <c r="J146" s="4" t="str">
        <f t="shared" si="8"/>
        <v>Mostly customer-facing</v>
      </c>
    </row>
    <row r="147" spans="1:10" x14ac:dyDescent="0.45">
      <c r="A147" s="14">
        <v>146</v>
      </c>
      <c r="B147" s="4" t="s">
        <v>1123</v>
      </c>
      <c r="C147" s="4" t="s">
        <v>1124</v>
      </c>
      <c r="D147" s="19">
        <f t="shared" si="6"/>
        <v>33</v>
      </c>
      <c r="E147" s="5">
        <v>32</v>
      </c>
      <c r="F147" s="5">
        <v>1</v>
      </c>
      <c r="G147" s="5">
        <v>0</v>
      </c>
      <c r="H147" s="5">
        <v>0</v>
      </c>
      <c r="I147" s="5">
        <f t="shared" si="7"/>
        <v>33</v>
      </c>
      <c r="J147" s="4" t="str">
        <f t="shared" si="8"/>
        <v>Mostly customer-facing</v>
      </c>
    </row>
    <row r="148" spans="1:10" x14ac:dyDescent="0.45">
      <c r="A148" s="14">
        <v>147</v>
      </c>
      <c r="B148" s="4" t="s">
        <v>1224</v>
      </c>
      <c r="C148" s="4" t="s">
        <v>1225</v>
      </c>
      <c r="D148" s="19">
        <f t="shared" si="6"/>
        <v>33</v>
      </c>
      <c r="E148" s="5">
        <v>33</v>
      </c>
      <c r="F148" s="5">
        <v>0</v>
      </c>
      <c r="G148" s="5">
        <v>0</v>
      </c>
      <c r="H148" s="5">
        <v>0</v>
      </c>
      <c r="I148" s="5">
        <f t="shared" si="7"/>
        <v>33</v>
      </c>
      <c r="J148" s="4" t="str">
        <f t="shared" si="8"/>
        <v>Mostly customer-facing</v>
      </c>
    </row>
    <row r="149" spans="1:10" x14ac:dyDescent="0.45">
      <c r="A149" s="14">
        <v>148</v>
      </c>
      <c r="B149" s="4" t="s">
        <v>1158</v>
      </c>
      <c r="C149" s="4" t="s">
        <v>1159</v>
      </c>
      <c r="D149" s="19">
        <f t="shared" si="6"/>
        <v>32</v>
      </c>
      <c r="E149" s="5">
        <v>29</v>
      </c>
      <c r="F149" s="5">
        <v>3</v>
      </c>
      <c r="G149" s="5">
        <v>0</v>
      </c>
      <c r="H149" s="5">
        <v>0</v>
      </c>
      <c r="I149" s="5">
        <f t="shared" si="7"/>
        <v>32</v>
      </c>
      <c r="J149" s="4" t="str">
        <f t="shared" si="8"/>
        <v>Mostly customer-facing</v>
      </c>
    </row>
    <row r="150" spans="1:10" x14ac:dyDescent="0.45">
      <c r="A150" s="14">
        <v>149</v>
      </c>
      <c r="B150" s="4" t="s">
        <v>1077</v>
      </c>
      <c r="C150" s="4" t="s">
        <v>1078</v>
      </c>
      <c r="D150" s="19">
        <f t="shared" si="6"/>
        <v>32</v>
      </c>
      <c r="E150" s="5">
        <v>30</v>
      </c>
      <c r="F150" s="5">
        <v>1</v>
      </c>
      <c r="G150" s="5">
        <v>1</v>
      </c>
      <c r="H150" s="5">
        <v>0</v>
      </c>
      <c r="I150" s="5">
        <f t="shared" si="7"/>
        <v>32</v>
      </c>
      <c r="J150" s="4" t="str">
        <f t="shared" si="8"/>
        <v>Mostly customer-facing</v>
      </c>
    </row>
    <row r="151" spans="1:10" x14ac:dyDescent="0.45">
      <c r="A151" s="14">
        <v>150</v>
      </c>
      <c r="B151" s="4" t="s">
        <v>1166</v>
      </c>
      <c r="C151" s="4" t="s">
        <v>1167</v>
      </c>
      <c r="D151" s="19">
        <f t="shared" si="6"/>
        <v>31</v>
      </c>
      <c r="E151" s="5">
        <v>30</v>
      </c>
      <c r="F151" s="5">
        <v>1</v>
      </c>
      <c r="G151" s="5">
        <v>0</v>
      </c>
      <c r="H151" s="5">
        <v>0</v>
      </c>
      <c r="I151" s="5">
        <f t="shared" si="7"/>
        <v>31</v>
      </c>
      <c r="J151" s="4" t="str">
        <f t="shared" si="8"/>
        <v>Mostly customer-facing</v>
      </c>
    </row>
    <row r="152" spans="1:10" x14ac:dyDescent="0.45">
      <c r="A152" s="14">
        <v>151</v>
      </c>
      <c r="B152" s="4" t="s">
        <v>1316</v>
      </c>
      <c r="C152" s="4" t="s">
        <v>1317</v>
      </c>
      <c r="D152" s="19">
        <f t="shared" si="6"/>
        <v>31</v>
      </c>
      <c r="E152" s="5">
        <v>28</v>
      </c>
      <c r="F152" s="5">
        <v>2</v>
      </c>
      <c r="G152" s="5">
        <v>1</v>
      </c>
      <c r="H152" s="5">
        <v>9</v>
      </c>
      <c r="I152" s="5">
        <f t="shared" si="7"/>
        <v>40</v>
      </c>
      <c r="J152" s="4" t="str">
        <f t="shared" si="8"/>
        <v>Mostly customer-facing</v>
      </c>
    </row>
    <row r="153" spans="1:10" x14ac:dyDescent="0.45">
      <c r="A153" s="14">
        <v>152</v>
      </c>
      <c r="B153" s="4" t="s">
        <v>1392</v>
      </c>
      <c r="C153" s="4" t="s">
        <v>1393</v>
      </c>
      <c r="D153" s="19">
        <f t="shared" si="6"/>
        <v>30</v>
      </c>
      <c r="E153" s="5">
        <v>30</v>
      </c>
      <c r="F153" s="5">
        <v>0</v>
      </c>
      <c r="G153" s="5">
        <v>0</v>
      </c>
      <c r="H153" s="5">
        <v>0</v>
      </c>
      <c r="I153" s="5">
        <f t="shared" si="7"/>
        <v>30</v>
      </c>
      <c r="J153" s="4" t="str">
        <f t="shared" si="8"/>
        <v>Mostly customer-facing</v>
      </c>
    </row>
    <row r="154" spans="1:10" x14ac:dyDescent="0.45">
      <c r="A154" s="14">
        <v>153</v>
      </c>
      <c r="B154" s="4" t="s">
        <v>1212</v>
      </c>
      <c r="C154" s="4" t="s">
        <v>1213</v>
      </c>
      <c r="D154" s="19">
        <f t="shared" si="6"/>
        <v>30</v>
      </c>
      <c r="E154" s="5">
        <v>28</v>
      </c>
      <c r="F154" s="5">
        <v>2</v>
      </c>
      <c r="G154" s="5">
        <v>0</v>
      </c>
      <c r="H154" s="5">
        <v>1</v>
      </c>
      <c r="I154" s="5">
        <f t="shared" si="7"/>
        <v>31</v>
      </c>
      <c r="J154" s="4" t="str">
        <f t="shared" si="8"/>
        <v>Mostly customer-facing</v>
      </c>
    </row>
    <row r="155" spans="1:10" x14ac:dyDescent="0.45">
      <c r="A155" s="14">
        <v>154</v>
      </c>
      <c r="B155" s="4" t="s">
        <v>1178</v>
      </c>
      <c r="C155" s="4" t="s">
        <v>1179</v>
      </c>
      <c r="D155" s="19">
        <f t="shared" si="6"/>
        <v>30</v>
      </c>
      <c r="E155" s="5">
        <v>28</v>
      </c>
      <c r="F155" s="5">
        <v>0</v>
      </c>
      <c r="G155" s="5">
        <v>2</v>
      </c>
      <c r="H155" s="5">
        <v>23</v>
      </c>
      <c r="I155" s="5">
        <f t="shared" si="7"/>
        <v>53</v>
      </c>
      <c r="J155" s="4" t="str">
        <f t="shared" si="8"/>
        <v>Mostly customer-facing</v>
      </c>
    </row>
    <row r="156" spans="1:10" x14ac:dyDescent="0.45">
      <c r="A156" s="14">
        <v>155</v>
      </c>
      <c r="B156" s="4" t="s">
        <v>1254</v>
      </c>
      <c r="C156" s="4" t="s">
        <v>1255</v>
      </c>
      <c r="D156" s="19">
        <f t="shared" si="6"/>
        <v>29</v>
      </c>
      <c r="E156" s="5">
        <v>27</v>
      </c>
      <c r="F156" s="5">
        <v>2</v>
      </c>
      <c r="G156" s="5">
        <v>0</v>
      </c>
      <c r="H156" s="5">
        <v>3</v>
      </c>
      <c r="I156" s="5">
        <f t="shared" si="7"/>
        <v>32</v>
      </c>
      <c r="J156" s="4" t="str">
        <f t="shared" si="8"/>
        <v>Mostly customer-facing</v>
      </c>
    </row>
    <row r="157" spans="1:10" x14ac:dyDescent="0.45">
      <c r="A157" s="14">
        <v>156</v>
      </c>
      <c r="B157" s="4" t="s">
        <v>1270</v>
      </c>
      <c r="C157" s="4" t="s">
        <v>1271</v>
      </c>
      <c r="D157" s="19">
        <f t="shared" si="6"/>
        <v>28</v>
      </c>
      <c r="E157" s="5">
        <v>27</v>
      </c>
      <c r="F157" s="5">
        <v>1</v>
      </c>
      <c r="G157" s="5">
        <v>0</v>
      </c>
      <c r="H157" s="5">
        <v>0</v>
      </c>
      <c r="I157" s="5">
        <f t="shared" si="7"/>
        <v>28</v>
      </c>
      <c r="J157" s="4" t="str">
        <f t="shared" si="8"/>
        <v>Mostly customer-facing</v>
      </c>
    </row>
    <row r="158" spans="1:10" x14ac:dyDescent="0.45">
      <c r="A158" s="14">
        <v>157</v>
      </c>
      <c r="B158" s="4" t="s">
        <v>1198</v>
      </c>
      <c r="C158" s="4" t="s">
        <v>1199</v>
      </c>
      <c r="D158" s="19">
        <f t="shared" si="6"/>
        <v>27</v>
      </c>
      <c r="E158" s="5">
        <v>26</v>
      </c>
      <c r="F158" s="5">
        <v>1</v>
      </c>
      <c r="G158" s="5">
        <v>0</v>
      </c>
      <c r="H158" s="5">
        <v>0</v>
      </c>
      <c r="I158" s="5">
        <f t="shared" si="7"/>
        <v>27</v>
      </c>
      <c r="J158" s="4" t="str">
        <f t="shared" si="8"/>
        <v>Mostly customer-facing</v>
      </c>
    </row>
    <row r="159" spans="1:10" x14ac:dyDescent="0.45">
      <c r="A159" s="14">
        <v>158</v>
      </c>
      <c r="B159" s="4" t="s">
        <v>1057</v>
      </c>
      <c r="C159" s="4" t="s">
        <v>1058</v>
      </c>
      <c r="D159" s="19">
        <f t="shared" si="6"/>
        <v>26</v>
      </c>
      <c r="E159" s="5">
        <v>24</v>
      </c>
      <c r="F159" s="5">
        <v>2</v>
      </c>
      <c r="G159" s="5">
        <v>0</v>
      </c>
      <c r="H159" s="5">
        <v>0</v>
      </c>
      <c r="I159" s="5">
        <f t="shared" si="7"/>
        <v>26</v>
      </c>
      <c r="J159" s="4" t="str">
        <f t="shared" si="8"/>
        <v>Mostly customer-facing</v>
      </c>
    </row>
    <row r="160" spans="1:10" x14ac:dyDescent="0.45">
      <c r="A160" s="14">
        <v>159</v>
      </c>
      <c r="B160" s="4" t="s">
        <v>1535</v>
      </c>
      <c r="C160" s="4" t="s">
        <v>1535</v>
      </c>
      <c r="D160" s="19">
        <f t="shared" si="6"/>
        <v>25</v>
      </c>
      <c r="E160" s="5">
        <v>22</v>
      </c>
      <c r="F160" s="5">
        <v>3</v>
      </c>
      <c r="G160" s="5">
        <v>0</v>
      </c>
      <c r="H160" s="5">
        <v>0</v>
      </c>
      <c r="I160" s="5">
        <f t="shared" si="7"/>
        <v>25</v>
      </c>
      <c r="J160" s="4" t="str">
        <f t="shared" si="8"/>
        <v>Mostly customer-facing</v>
      </c>
    </row>
    <row r="161" spans="1:10" x14ac:dyDescent="0.45">
      <c r="A161" s="14">
        <v>160</v>
      </c>
      <c r="B161" s="4" t="s">
        <v>1172</v>
      </c>
      <c r="C161" s="4" t="s">
        <v>1173</v>
      </c>
      <c r="D161" s="19">
        <f t="shared" si="6"/>
        <v>25</v>
      </c>
      <c r="E161" s="5">
        <v>22</v>
      </c>
      <c r="F161" s="5">
        <v>3</v>
      </c>
      <c r="G161" s="5">
        <v>0</v>
      </c>
      <c r="H161" s="5">
        <v>2</v>
      </c>
      <c r="I161" s="5">
        <f t="shared" si="7"/>
        <v>27</v>
      </c>
      <c r="J161" s="4" t="str">
        <f t="shared" si="8"/>
        <v>Mostly customer-facing</v>
      </c>
    </row>
    <row r="162" spans="1:10" x14ac:dyDescent="0.45">
      <c r="A162" s="14">
        <v>161</v>
      </c>
      <c r="B162" s="4" t="s">
        <v>1174</v>
      </c>
      <c r="C162" s="4" t="s">
        <v>1175</v>
      </c>
      <c r="D162" s="19">
        <f t="shared" si="6"/>
        <v>25</v>
      </c>
      <c r="E162" s="5">
        <v>24</v>
      </c>
      <c r="F162" s="5">
        <v>1</v>
      </c>
      <c r="G162" s="5">
        <v>0</v>
      </c>
      <c r="H162" s="5">
        <v>2</v>
      </c>
      <c r="I162" s="5">
        <f t="shared" si="7"/>
        <v>27</v>
      </c>
      <c r="J162" s="4" t="str">
        <f t="shared" si="8"/>
        <v>Mostly customer-facing</v>
      </c>
    </row>
    <row r="163" spans="1:10" x14ac:dyDescent="0.45">
      <c r="A163" s="14">
        <v>162</v>
      </c>
      <c r="B163" s="4" t="s">
        <v>1428</v>
      </c>
      <c r="C163" s="4" t="s">
        <v>1429</v>
      </c>
      <c r="D163" s="19">
        <f t="shared" si="6"/>
        <v>24</v>
      </c>
      <c r="E163" s="5">
        <v>24</v>
      </c>
      <c r="F163" s="5">
        <v>0</v>
      </c>
      <c r="G163" s="5">
        <v>0</v>
      </c>
      <c r="H163" s="5">
        <v>3</v>
      </c>
      <c r="I163" s="5">
        <f t="shared" si="7"/>
        <v>27</v>
      </c>
      <c r="J163" s="4" t="str">
        <f t="shared" si="8"/>
        <v>Mostly customer-facing</v>
      </c>
    </row>
    <row r="164" spans="1:10" x14ac:dyDescent="0.45">
      <c r="A164" s="14">
        <v>163</v>
      </c>
      <c r="B164" s="4" t="s">
        <v>1332</v>
      </c>
      <c r="C164" s="4" t="s">
        <v>1333</v>
      </c>
      <c r="D164" s="19">
        <f t="shared" si="6"/>
        <v>24</v>
      </c>
      <c r="E164" s="5">
        <v>24</v>
      </c>
      <c r="F164" s="5">
        <v>0</v>
      </c>
      <c r="G164" s="5">
        <v>0</v>
      </c>
      <c r="H164" s="5">
        <v>0</v>
      </c>
      <c r="I164" s="5">
        <f t="shared" si="7"/>
        <v>24</v>
      </c>
      <c r="J164" s="4" t="str">
        <f t="shared" si="8"/>
        <v>Mostly customer-facing</v>
      </c>
    </row>
    <row r="165" spans="1:10" x14ac:dyDescent="0.45">
      <c r="A165" s="14">
        <v>164</v>
      </c>
      <c r="B165" s="4" t="s">
        <v>1340</v>
      </c>
      <c r="C165" s="4" t="s">
        <v>1341</v>
      </c>
      <c r="D165" s="19">
        <f t="shared" si="6"/>
        <v>24</v>
      </c>
      <c r="E165" s="5">
        <v>24</v>
      </c>
      <c r="F165" s="5">
        <v>0</v>
      </c>
      <c r="G165" s="5">
        <v>0</v>
      </c>
      <c r="H165" s="5">
        <v>2</v>
      </c>
      <c r="I165" s="5">
        <f t="shared" si="7"/>
        <v>26</v>
      </c>
      <c r="J165" s="4" t="str">
        <f t="shared" si="8"/>
        <v>Mostly customer-facing</v>
      </c>
    </row>
    <row r="166" spans="1:10" x14ac:dyDescent="0.45">
      <c r="A166" s="14">
        <v>165</v>
      </c>
      <c r="B166" s="4" t="s">
        <v>1031</v>
      </c>
      <c r="C166" s="4" t="s">
        <v>1032</v>
      </c>
      <c r="D166" s="19">
        <f t="shared" si="6"/>
        <v>24</v>
      </c>
      <c r="E166" s="5">
        <v>24</v>
      </c>
      <c r="F166" s="5">
        <v>0</v>
      </c>
      <c r="G166" s="5">
        <v>0</v>
      </c>
      <c r="H166" s="5">
        <v>0</v>
      </c>
      <c r="I166" s="5">
        <f t="shared" si="7"/>
        <v>24</v>
      </c>
      <c r="J166" s="4" t="str">
        <f t="shared" si="8"/>
        <v>Mostly customer-facing</v>
      </c>
    </row>
    <row r="167" spans="1:10" x14ac:dyDescent="0.45">
      <c r="A167" s="14">
        <v>166</v>
      </c>
      <c r="B167" s="4" t="s">
        <v>1354</v>
      </c>
      <c r="C167" s="4" t="s">
        <v>1355</v>
      </c>
      <c r="D167" s="19">
        <f t="shared" si="6"/>
        <v>24</v>
      </c>
      <c r="E167" s="5">
        <v>24</v>
      </c>
      <c r="F167" s="5">
        <v>0</v>
      </c>
      <c r="G167" s="5">
        <v>0</v>
      </c>
      <c r="H167" s="5">
        <v>0</v>
      </c>
      <c r="I167" s="5">
        <f t="shared" si="7"/>
        <v>24</v>
      </c>
      <c r="J167" s="4" t="str">
        <f t="shared" si="8"/>
        <v>Mostly customer-facing</v>
      </c>
    </row>
    <row r="168" spans="1:10" x14ac:dyDescent="0.45">
      <c r="A168" s="14">
        <v>167</v>
      </c>
      <c r="B168" s="4" t="s">
        <v>1396</v>
      </c>
      <c r="C168" s="4" t="s">
        <v>1397</v>
      </c>
      <c r="D168" s="19">
        <f t="shared" si="6"/>
        <v>23</v>
      </c>
      <c r="E168" s="5">
        <v>22</v>
      </c>
      <c r="F168" s="5">
        <v>1</v>
      </c>
      <c r="G168" s="5">
        <v>0</v>
      </c>
      <c r="H168" s="5">
        <v>3</v>
      </c>
      <c r="I168" s="5">
        <f t="shared" si="7"/>
        <v>26</v>
      </c>
      <c r="J168" s="4" t="str">
        <f t="shared" si="8"/>
        <v>Mostly customer-facing</v>
      </c>
    </row>
    <row r="169" spans="1:10" x14ac:dyDescent="0.45">
      <c r="A169" s="14">
        <v>168</v>
      </c>
      <c r="B169" s="4" t="s">
        <v>1105</v>
      </c>
      <c r="C169" s="4" t="s">
        <v>1106</v>
      </c>
      <c r="D169" s="19">
        <f t="shared" si="6"/>
        <v>23</v>
      </c>
      <c r="E169" s="5">
        <v>23</v>
      </c>
      <c r="F169" s="5">
        <v>0</v>
      </c>
      <c r="G169" s="5">
        <v>0</v>
      </c>
      <c r="H169" s="5">
        <v>0</v>
      </c>
      <c r="I169" s="5">
        <f t="shared" si="7"/>
        <v>23</v>
      </c>
      <c r="J169" s="4" t="str">
        <f t="shared" si="8"/>
        <v>Mostly customer-facing</v>
      </c>
    </row>
    <row r="170" spans="1:10" x14ac:dyDescent="0.45">
      <c r="A170" s="14">
        <v>169</v>
      </c>
      <c r="B170" s="4" t="s">
        <v>985</v>
      </c>
      <c r="C170" s="4" t="s">
        <v>986</v>
      </c>
      <c r="D170" s="19">
        <f t="shared" si="6"/>
        <v>22</v>
      </c>
      <c r="E170" s="5">
        <v>22</v>
      </c>
      <c r="F170" s="5">
        <v>0</v>
      </c>
      <c r="G170" s="5">
        <v>0</v>
      </c>
      <c r="H170" s="5">
        <v>0</v>
      </c>
      <c r="I170" s="5">
        <f t="shared" si="7"/>
        <v>22</v>
      </c>
      <c r="J170" s="4" t="str">
        <f t="shared" si="8"/>
        <v>Mostly customer-facing</v>
      </c>
    </row>
    <row r="171" spans="1:10" x14ac:dyDescent="0.45">
      <c r="A171" s="14">
        <v>170</v>
      </c>
      <c r="B171" s="4" t="s">
        <v>1240</v>
      </c>
      <c r="C171" s="4" t="s">
        <v>1241</v>
      </c>
      <c r="D171" s="19">
        <f t="shared" si="6"/>
        <v>22</v>
      </c>
      <c r="E171" s="5">
        <v>21</v>
      </c>
      <c r="F171" s="5">
        <v>1</v>
      </c>
      <c r="G171" s="5">
        <v>0</v>
      </c>
      <c r="H171" s="5">
        <v>0</v>
      </c>
      <c r="I171" s="5">
        <f t="shared" si="7"/>
        <v>22</v>
      </c>
      <c r="J171" s="4" t="str">
        <f t="shared" si="8"/>
        <v>Mostly customer-facing</v>
      </c>
    </row>
    <row r="172" spans="1:10" x14ac:dyDescent="0.45">
      <c r="A172" s="14">
        <v>171</v>
      </c>
      <c r="B172" s="4" t="s">
        <v>1342</v>
      </c>
      <c r="C172" s="4" t="s">
        <v>1343</v>
      </c>
      <c r="D172" s="19">
        <f t="shared" si="6"/>
        <v>22</v>
      </c>
      <c r="E172" s="5">
        <v>20</v>
      </c>
      <c r="F172" s="5">
        <v>2</v>
      </c>
      <c r="G172" s="5">
        <v>0</v>
      </c>
      <c r="H172" s="5">
        <v>1</v>
      </c>
      <c r="I172" s="5">
        <f t="shared" si="7"/>
        <v>23</v>
      </c>
      <c r="J172" s="4" t="str">
        <f t="shared" si="8"/>
        <v>Mostly customer-facing</v>
      </c>
    </row>
    <row r="173" spans="1:10" x14ac:dyDescent="0.45">
      <c r="A173" s="14">
        <v>172</v>
      </c>
      <c r="B173" s="4" t="s">
        <v>1039</v>
      </c>
      <c r="C173" s="4" t="s">
        <v>1040</v>
      </c>
      <c r="D173" s="19">
        <f t="shared" si="6"/>
        <v>21</v>
      </c>
      <c r="E173" s="5">
        <v>19</v>
      </c>
      <c r="F173" s="5">
        <v>2</v>
      </c>
      <c r="G173" s="5">
        <v>0</v>
      </c>
      <c r="H173" s="5">
        <v>2</v>
      </c>
      <c r="I173" s="5">
        <f t="shared" si="7"/>
        <v>23</v>
      </c>
      <c r="J173" s="4" t="str">
        <f t="shared" si="8"/>
        <v>Mostly customer-facing</v>
      </c>
    </row>
    <row r="174" spans="1:10" x14ac:dyDescent="0.45">
      <c r="A174" s="14">
        <v>173</v>
      </c>
      <c r="B174" s="4" t="s">
        <v>1188</v>
      </c>
      <c r="C174" s="4" t="s">
        <v>1189</v>
      </c>
      <c r="D174" s="19">
        <f t="shared" si="6"/>
        <v>21</v>
      </c>
      <c r="E174" s="5">
        <v>20</v>
      </c>
      <c r="F174" s="5">
        <v>1</v>
      </c>
      <c r="G174" s="5">
        <v>0</v>
      </c>
      <c r="H174" s="5">
        <v>8</v>
      </c>
      <c r="I174" s="5">
        <f t="shared" si="7"/>
        <v>29</v>
      </c>
      <c r="J174" s="4" t="str">
        <f t="shared" si="8"/>
        <v>Mostly customer-facing</v>
      </c>
    </row>
    <row r="175" spans="1:10" x14ac:dyDescent="0.45">
      <c r="A175" s="14">
        <v>174</v>
      </c>
      <c r="B175" s="4" t="s">
        <v>1218</v>
      </c>
      <c r="C175" s="4" t="s">
        <v>1219</v>
      </c>
      <c r="D175" s="19">
        <f t="shared" si="6"/>
        <v>21</v>
      </c>
      <c r="E175" s="5">
        <v>18</v>
      </c>
      <c r="F175" s="5">
        <v>3</v>
      </c>
      <c r="G175" s="5">
        <v>0</v>
      </c>
      <c r="H175" s="5">
        <v>27</v>
      </c>
      <c r="I175" s="5">
        <f t="shared" si="7"/>
        <v>48</v>
      </c>
      <c r="J175" s="4" t="str">
        <f t="shared" si="8"/>
        <v>Mostly customer-facing</v>
      </c>
    </row>
    <row r="176" spans="1:10" x14ac:dyDescent="0.45">
      <c r="A176" s="14">
        <v>175</v>
      </c>
      <c r="B176" s="4" t="s">
        <v>1099</v>
      </c>
      <c r="C176" s="4" t="s">
        <v>1100</v>
      </c>
      <c r="D176" s="19">
        <f t="shared" si="6"/>
        <v>20</v>
      </c>
      <c r="E176" s="5">
        <v>18</v>
      </c>
      <c r="F176" s="5">
        <v>2</v>
      </c>
      <c r="G176" s="5">
        <v>0</v>
      </c>
      <c r="H176" s="5">
        <v>0</v>
      </c>
      <c r="I176" s="5">
        <f t="shared" si="7"/>
        <v>20</v>
      </c>
      <c r="J176" s="4" t="str">
        <f t="shared" si="8"/>
        <v>Mostly customer-facing</v>
      </c>
    </row>
    <row r="177" spans="1:10" x14ac:dyDescent="0.45">
      <c r="A177" s="14">
        <v>176</v>
      </c>
      <c r="B177" s="4" t="s">
        <v>1206</v>
      </c>
      <c r="C177" s="4" t="s">
        <v>1207</v>
      </c>
      <c r="D177" s="19">
        <f t="shared" si="6"/>
        <v>20</v>
      </c>
      <c r="E177" s="5">
        <v>18</v>
      </c>
      <c r="F177" s="5">
        <v>2</v>
      </c>
      <c r="G177" s="5">
        <v>0</v>
      </c>
      <c r="H177" s="5">
        <v>0</v>
      </c>
      <c r="I177" s="5">
        <f t="shared" si="7"/>
        <v>20</v>
      </c>
      <c r="J177" s="4" t="str">
        <f t="shared" si="8"/>
        <v>Mostly customer-facing</v>
      </c>
    </row>
    <row r="178" spans="1:10" x14ac:dyDescent="0.45">
      <c r="A178" s="14">
        <v>177</v>
      </c>
      <c r="B178" s="4" t="s">
        <v>1164</v>
      </c>
      <c r="C178" s="4" t="s">
        <v>1165</v>
      </c>
      <c r="D178" s="19">
        <f t="shared" si="6"/>
        <v>20</v>
      </c>
      <c r="E178" s="5">
        <v>20</v>
      </c>
      <c r="F178" s="5">
        <v>0</v>
      </c>
      <c r="G178" s="5">
        <v>0</v>
      </c>
      <c r="H178" s="5">
        <v>6</v>
      </c>
      <c r="I178" s="5">
        <f t="shared" si="7"/>
        <v>26</v>
      </c>
      <c r="J178" s="4" t="str">
        <f t="shared" si="8"/>
        <v>Mostly customer-facing</v>
      </c>
    </row>
    <row r="179" spans="1:10" x14ac:dyDescent="0.45">
      <c r="A179" s="14">
        <v>178</v>
      </c>
      <c r="B179" s="4" t="s">
        <v>1326</v>
      </c>
      <c r="C179" s="4" t="s">
        <v>1327</v>
      </c>
      <c r="D179" s="19">
        <f t="shared" si="6"/>
        <v>19</v>
      </c>
      <c r="E179" s="5">
        <v>19</v>
      </c>
      <c r="F179" s="5">
        <v>0</v>
      </c>
      <c r="G179" s="5">
        <v>0</v>
      </c>
      <c r="H179" s="5">
        <v>1</v>
      </c>
      <c r="I179" s="5">
        <f t="shared" si="7"/>
        <v>20</v>
      </c>
      <c r="J179" s="4" t="str">
        <f t="shared" si="8"/>
        <v>Mostly customer-facing</v>
      </c>
    </row>
    <row r="180" spans="1:10" x14ac:dyDescent="0.45">
      <c r="A180" s="14">
        <v>179</v>
      </c>
      <c r="B180" s="4" t="s">
        <v>1362</v>
      </c>
      <c r="C180" s="4" t="s">
        <v>1363</v>
      </c>
      <c r="D180" s="19">
        <f t="shared" si="6"/>
        <v>18</v>
      </c>
      <c r="E180" s="5">
        <v>16</v>
      </c>
      <c r="F180" s="5">
        <v>2</v>
      </c>
      <c r="G180" s="5">
        <v>0</v>
      </c>
      <c r="H180" s="5">
        <v>0</v>
      </c>
      <c r="I180" s="5">
        <f t="shared" si="7"/>
        <v>18</v>
      </c>
      <c r="J180" s="4" t="str">
        <f t="shared" si="8"/>
        <v>Mostly customer-facing</v>
      </c>
    </row>
    <row r="181" spans="1:10" x14ac:dyDescent="0.45">
      <c r="A181" s="14">
        <v>180</v>
      </c>
      <c r="B181" s="4" t="s">
        <v>1344</v>
      </c>
      <c r="C181" s="4" t="s">
        <v>1345</v>
      </c>
      <c r="D181" s="19">
        <f t="shared" si="6"/>
        <v>18</v>
      </c>
      <c r="E181" s="5">
        <v>16</v>
      </c>
      <c r="F181" s="5">
        <v>2</v>
      </c>
      <c r="G181" s="5">
        <v>0</v>
      </c>
      <c r="H181" s="5">
        <v>6</v>
      </c>
      <c r="I181" s="5">
        <f t="shared" si="7"/>
        <v>24</v>
      </c>
      <c r="J181" s="4" t="str">
        <f t="shared" si="8"/>
        <v>Mostly customer-facing</v>
      </c>
    </row>
    <row r="182" spans="1:10" x14ac:dyDescent="0.45">
      <c r="A182" s="14">
        <v>181</v>
      </c>
      <c r="B182" s="4" t="s">
        <v>1071</v>
      </c>
      <c r="C182" s="4" t="s">
        <v>1072</v>
      </c>
      <c r="D182" s="19">
        <f t="shared" si="6"/>
        <v>18</v>
      </c>
      <c r="E182" s="5">
        <v>18</v>
      </c>
      <c r="F182" s="5">
        <v>0</v>
      </c>
      <c r="G182" s="5">
        <v>0</v>
      </c>
      <c r="H182" s="5">
        <v>0</v>
      </c>
      <c r="I182" s="5">
        <f t="shared" si="7"/>
        <v>18</v>
      </c>
      <c r="J182" s="4" t="str">
        <f t="shared" si="8"/>
        <v>Mostly customer-facing</v>
      </c>
    </row>
    <row r="183" spans="1:10" x14ac:dyDescent="0.45">
      <c r="A183" s="14">
        <v>182</v>
      </c>
      <c r="B183" s="4" t="s">
        <v>1170</v>
      </c>
      <c r="C183" s="4" t="s">
        <v>1171</v>
      </c>
      <c r="D183" s="19">
        <f t="shared" si="6"/>
        <v>17</v>
      </c>
      <c r="E183" s="5">
        <v>17</v>
      </c>
      <c r="F183" s="5">
        <v>0</v>
      </c>
      <c r="G183" s="5">
        <v>0</v>
      </c>
      <c r="H183" s="5">
        <v>2</v>
      </c>
      <c r="I183" s="5">
        <f t="shared" si="7"/>
        <v>19</v>
      </c>
      <c r="J183" s="4" t="str">
        <f t="shared" si="8"/>
        <v>Mostly customer-facing</v>
      </c>
    </row>
    <row r="184" spans="1:10" x14ac:dyDescent="0.45">
      <c r="A184" s="14">
        <v>183</v>
      </c>
      <c r="B184" s="4" t="s">
        <v>1252</v>
      </c>
      <c r="C184" s="4" t="s">
        <v>1253</v>
      </c>
      <c r="D184" s="19">
        <f t="shared" si="6"/>
        <v>16</v>
      </c>
      <c r="E184" s="5">
        <v>16</v>
      </c>
      <c r="F184" s="5">
        <v>0</v>
      </c>
      <c r="G184" s="5">
        <v>0</v>
      </c>
      <c r="H184" s="5">
        <v>4</v>
      </c>
      <c r="I184" s="5">
        <f t="shared" si="7"/>
        <v>20</v>
      </c>
      <c r="J184" s="4" t="str">
        <f t="shared" si="8"/>
        <v>Mostly customer-facing</v>
      </c>
    </row>
    <row r="185" spans="1:10" x14ac:dyDescent="0.45">
      <c r="A185" s="14">
        <v>184</v>
      </c>
      <c r="B185" s="4" t="s">
        <v>1490</v>
      </c>
      <c r="C185" s="4" t="s">
        <v>1490</v>
      </c>
      <c r="D185" s="19">
        <f t="shared" si="6"/>
        <v>15</v>
      </c>
      <c r="E185" s="5">
        <v>15</v>
      </c>
      <c r="F185" s="5">
        <v>0</v>
      </c>
      <c r="G185" s="5">
        <v>0</v>
      </c>
      <c r="H185" s="5">
        <v>0</v>
      </c>
      <c r="I185" s="5">
        <f t="shared" si="7"/>
        <v>15</v>
      </c>
      <c r="J185" s="4" t="str">
        <f t="shared" si="8"/>
        <v>Mostly customer-facing</v>
      </c>
    </row>
    <row r="186" spans="1:10" x14ac:dyDescent="0.45">
      <c r="A186" s="14">
        <v>185</v>
      </c>
      <c r="B186" s="4" t="s">
        <v>1230</v>
      </c>
      <c r="C186" s="4" t="s">
        <v>1231</v>
      </c>
      <c r="D186" s="19">
        <f t="shared" si="6"/>
        <v>15</v>
      </c>
      <c r="E186" s="5">
        <v>15</v>
      </c>
      <c r="F186" s="5">
        <v>0</v>
      </c>
      <c r="G186" s="5">
        <v>0</v>
      </c>
      <c r="H186" s="5">
        <v>2</v>
      </c>
      <c r="I186" s="5">
        <f t="shared" si="7"/>
        <v>17</v>
      </c>
      <c r="J186" s="4" t="str">
        <f t="shared" si="8"/>
        <v>Mostly customer-facing</v>
      </c>
    </row>
    <row r="187" spans="1:10" x14ac:dyDescent="0.45">
      <c r="A187" s="14">
        <v>186</v>
      </c>
      <c r="B187" s="4" t="s">
        <v>1083</v>
      </c>
      <c r="C187" s="4" t="s">
        <v>1084</v>
      </c>
      <c r="D187" s="19">
        <f t="shared" si="6"/>
        <v>15</v>
      </c>
      <c r="E187" s="5">
        <v>12</v>
      </c>
      <c r="F187" s="5">
        <v>1</v>
      </c>
      <c r="G187" s="5">
        <v>2</v>
      </c>
      <c r="H187" s="5">
        <v>0</v>
      </c>
      <c r="I187" s="5">
        <f t="shared" si="7"/>
        <v>15</v>
      </c>
      <c r="J187" s="4" t="str">
        <f t="shared" si="8"/>
        <v>Mostly customer-facing</v>
      </c>
    </row>
    <row r="188" spans="1:10" x14ac:dyDescent="0.45">
      <c r="A188" s="14">
        <v>187</v>
      </c>
      <c r="B188" s="4" t="s">
        <v>1244</v>
      </c>
      <c r="C188" s="4" t="s">
        <v>1245</v>
      </c>
      <c r="D188" s="19">
        <f t="shared" si="6"/>
        <v>15</v>
      </c>
      <c r="E188" s="5">
        <v>15</v>
      </c>
      <c r="F188" s="5">
        <v>0</v>
      </c>
      <c r="G188" s="5">
        <v>0</v>
      </c>
      <c r="H188" s="5">
        <v>2</v>
      </c>
      <c r="I188" s="5">
        <f t="shared" si="7"/>
        <v>17</v>
      </c>
      <c r="J188" s="4" t="str">
        <f t="shared" si="8"/>
        <v>Mostly customer-facing</v>
      </c>
    </row>
    <row r="189" spans="1:10" x14ac:dyDescent="0.45">
      <c r="A189" s="14">
        <v>188</v>
      </c>
      <c r="B189" s="4" t="s">
        <v>1154</v>
      </c>
      <c r="C189" s="4" t="s">
        <v>1155</v>
      </c>
      <c r="D189" s="19">
        <f t="shared" si="6"/>
        <v>15</v>
      </c>
      <c r="E189" s="5">
        <v>13</v>
      </c>
      <c r="F189" s="5">
        <v>2</v>
      </c>
      <c r="G189" s="5">
        <v>0</v>
      </c>
      <c r="H189" s="5">
        <v>0</v>
      </c>
      <c r="I189" s="5">
        <f t="shared" si="7"/>
        <v>15</v>
      </c>
      <c r="J189" s="4" t="str">
        <f t="shared" si="8"/>
        <v>Mostly customer-facing</v>
      </c>
    </row>
    <row r="190" spans="1:10" x14ac:dyDescent="0.45">
      <c r="A190" s="14">
        <v>189</v>
      </c>
      <c r="B190" s="4" t="s">
        <v>991</v>
      </c>
      <c r="C190" s="4" t="s">
        <v>992</v>
      </c>
      <c r="D190" s="19">
        <f t="shared" si="6"/>
        <v>15</v>
      </c>
      <c r="E190" s="5">
        <v>15</v>
      </c>
      <c r="F190" s="5">
        <v>0</v>
      </c>
      <c r="G190" s="5">
        <v>0</v>
      </c>
      <c r="H190" s="5">
        <v>0</v>
      </c>
      <c r="I190" s="5">
        <f t="shared" si="7"/>
        <v>15</v>
      </c>
      <c r="J190" s="4" t="str">
        <f t="shared" si="8"/>
        <v>Mostly customer-facing</v>
      </c>
    </row>
    <row r="191" spans="1:10" x14ac:dyDescent="0.45">
      <c r="A191" s="14">
        <v>190</v>
      </c>
      <c r="B191" s="4" t="s">
        <v>1324</v>
      </c>
      <c r="C191" s="4" t="s">
        <v>1325</v>
      </c>
      <c r="D191" s="19">
        <f t="shared" si="6"/>
        <v>14</v>
      </c>
      <c r="E191" s="5">
        <v>12</v>
      </c>
      <c r="F191" s="5">
        <v>1</v>
      </c>
      <c r="G191" s="5">
        <v>1</v>
      </c>
      <c r="H191" s="5">
        <v>9</v>
      </c>
      <c r="I191" s="5">
        <f t="shared" si="7"/>
        <v>23</v>
      </c>
      <c r="J191" s="4" t="str">
        <f t="shared" si="8"/>
        <v>Mostly customer-facing</v>
      </c>
    </row>
    <row r="192" spans="1:10" x14ac:dyDescent="0.45">
      <c r="A192" s="14">
        <v>191</v>
      </c>
      <c r="B192" s="4" t="s">
        <v>1513</v>
      </c>
      <c r="C192" s="4" t="s">
        <v>1514</v>
      </c>
      <c r="D192" s="19">
        <f t="shared" si="6"/>
        <v>14</v>
      </c>
      <c r="E192" s="5">
        <v>12</v>
      </c>
      <c r="F192" s="5">
        <v>2</v>
      </c>
      <c r="G192" s="5">
        <v>0</v>
      </c>
      <c r="H192" s="5">
        <v>0</v>
      </c>
      <c r="I192" s="5">
        <f t="shared" si="7"/>
        <v>14</v>
      </c>
      <c r="J192" s="4" t="str">
        <f t="shared" si="8"/>
        <v>Mostly customer-facing</v>
      </c>
    </row>
    <row r="193" spans="1:10" x14ac:dyDescent="0.45">
      <c r="A193" s="14">
        <v>192</v>
      </c>
      <c r="B193" s="4" t="s">
        <v>1180</v>
      </c>
      <c r="C193" s="4" t="s">
        <v>1181</v>
      </c>
      <c r="D193" s="19">
        <f t="shared" si="6"/>
        <v>14</v>
      </c>
      <c r="E193" s="5">
        <v>14</v>
      </c>
      <c r="F193" s="5">
        <v>0</v>
      </c>
      <c r="G193" s="5">
        <v>0</v>
      </c>
      <c r="H193" s="5">
        <v>0</v>
      </c>
      <c r="I193" s="5">
        <f t="shared" si="7"/>
        <v>14</v>
      </c>
      <c r="J193" s="4" t="str">
        <f t="shared" si="8"/>
        <v>Mostly customer-facing</v>
      </c>
    </row>
    <row r="194" spans="1:10" x14ac:dyDescent="0.45">
      <c r="A194" s="14">
        <v>193</v>
      </c>
      <c r="B194" s="4" t="s">
        <v>1542</v>
      </c>
      <c r="C194" s="4" t="s">
        <v>1542</v>
      </c>
      <c r="D194" s="19">
        <f t="shared" ref="D194:D257" si="9">E194+F194+G194</f>
        <v>13</v>
      </c>
      <c r="E194" s="5">
        <v>3</v>
      </c>
      <c r="F194" s="5">
        <v>9</v>
      </c>
      <c r="G194" s="5">
        <v>1</v>
      </c>
      <c r="H194" s="5">
        <v>0</v>
      </c>
      <c r="I194" s="5">
        <f t="shared" ref="I194:I257" si="10">D194+H194</f>
        <v>13</v>
      </c>
      <c r="J194" s="4" t="str">
        <f t="shared" ref="J194:J257" si="11">IF(D194=0,"No businesses",IF(F194&gt;E194,"Mostly industrial &amp; trades","Mostly customer-facing"))</f>
        <v>Mostly industrial &amp; trades</v>
      </c>
    </row>
    <row r="195" spans="1:10" x14ac:dyDescent="0.45">
      <c r="A195" s="14">
        <v>194</v>
      </c>
      <c r="B195" s="4" t="s">
        <v>1135</v>
      </c>
      <c r="C195" s="4" t="s">
        <v>1136</v>
      </c>
      <c r="D195" s="19">
        <f t="shared" si="9"/>
        <v>13</v>
      </c>
      <c r="E195" s="5">
        <v>9</v>
      </c>
      <c r="F195" s="5">
        <v>4</v>
      </c>
      <c r="G195" s="5">
        <v>0</v>
      </c>
      <c r="H195" s="5">
        <v>0</v>
      </c>
      <c r="I195" s="5">
        <f t="shared" si="10"/>
        <v>13</v>
      </c>
      <c r="J195" s="4" t="str">
        <f t="shared" si="11"/>
        <v>Mostly customer-facing</v>
      </c>
    </row>
    <row r="196" spans="1:10" x14ac:dyDescent="0.45">
      <c r="A196" s="14">
        <v>195</v>
      </c>
      <c r="B196" s="4" t="s">
        <v>1065</v>
      </c>
      <c r="C196" s="4" t="s">
        <v>1066</v>
      </c>
      <c r="D196" s="19">
        <f t="shared" si="9"/>
        <v>13</v>
      </c>
      <c r="E196" s="5">
        <v>13</v>
      </c>
      <c r="F196" s="5">
        <v>0</v>
      </c>
      <c r="G196" s="5">
        <v>0</v>
      </c>
      <c r="H196" s="5">
        <v>0</v>
      </c>
      <c r="I196" s="5">
        <f t="shared" si="10"/>
        <v>13</v>
      </c>
      <c r="J196" s="4" t="str">
        <f t="shared" si="11"/>
        <v>Mostly customer-facing</v>
      </c>
    </row>
    <row r="197" spans="1:10" x14ac:dyDescent="0.45">
      <c r="A197" s="14">
        <v>196</v>
      </c>
      <c r="B197" s="4" t="s">
        <v>1386</v>
      </c>
      <c r="C197" s="4" t="s">
        <v>1387</v>
      </c>
      <c r="D197" s="19">
        <f t="shared" si="9"/>
        <v>13</v>
      </c>
      <c r="E197" s="5">
        <v>13</v>
      </c>
      <c r="F197" s="5">
        <v>0</v>
      </c>
      <c r="G197" s="5">
        <v>0</v>
      </c>
      <c r="H197" s="5">
        <v>0</v>
      </c>
      <c r="I197" s="5">
        <f t="shared" si="10"/>
        <v>13</v>
      </c>
      <c r="J197" s="4" t="str">
        <f t="shared" si="11"/>
        <v>Mostly customer-facing</v>
      </c>
    </row>
    <row r="198" spans="1:10" x14ac:dyDescent="0.45">
      <c r="A198" s="14">
        <v>197</v>
      </c>
      <c r="B198" s="4" t="s">
        <v>1522</v>
      </c>
      <c r="C198" s="4" t="s">
        <v>1523</v>
      </c>
      <c r="D198" s="19">
        <f t="shared" si="9"/>
        <v>13</v>
      </c>
      <c r="E198" s="5">
        <v>0</v>
      </c>
      <c r="F198" s="5">
        <v>13</v>
      </c>
      <c r="G198" s="5">
        <v>0</v>
      </c>
      <c r="H198" s="5">
        <v>0</v>
      </c>
      <c r="I198" s="5">
        <f t="shared" si="10"/>
        <v>13</v>
      </c>
      <c r="J198" s="4" t="str">
        <f t="shared" si="11"/>
        <v>Mostly industrial &amp; trades</v>
      </c>
    </row>
    <row r="199" spans="1:10" x14ac:dyDescent="0.45">
      <c r="A199" s="14">
        <v>198</v>
      </c>
      <c r="B199" s="4" t="s">
        <v>1234</v>
      </c>
      <c r="C199" s="4" t="s">
        <v>1235</v>
      </c>
      <c r="D199" s="19">
        <f t="shared" si="9"/>
        <v>13</v>
      </c>
      <c r="E199" s="5">
        <v>11</v>
      </c>
      <c r="F199" s="5">
        <v>2</v>
      </c>
      <c r="G199" s="5">
        <v>0</v>
      </c>
      <c r="H199" s="5">
        <v>0</v>
      </c>
      <c r="I199" s="5">
        <f t="shared" si="10"/>
        <v>13</v>
      </c>
      <c r="J199" s="4" t="str">
        <f t="shared" si="11"/>
        <v>Mostly customer-facing</v>
      </c>
    </row>
    <row r="200" spans="1:10" x14ac:dyDescent="0.45">
      <c r="A200" s="14">
        <v>199</v>
      </c>
      <c r="B200" s="4" t="s">
        <v>1264</v>
      </c>
      <c r="C200" s="4" t="s">
        <v>1265</v>
      </c>
      <c r="D200" s="19">
        <f t="shared" si="9"/>
        <v>13</v>
      </c>
      <c r="E200" s="5">
        <v>13</v>
      </c>
      <c r="F200" s="5">
        <v>0</v>
      </c>
      <c r="G200" s="5">
        <v>0</v>
      </c>
      <c r="H200" s="5">
        <v>2</v>
      </c>
      <c r="I200" s="5">
        <f t="shared" si="10"/>
        <v>15</v>
      </c>
      <c r="J200" s="4" t="str">
        <f t="shared" si="11"/>
        <v>Mostly customer-facing</v>
      </c>
    </row>
    <row r="201" spans="1:10" x14ac:dyDescent="0.45">
      <c r="A201" s="14">
        <v>200</v>
      </c>
      <c r="B201" s="4" t="s">
        <v>1376</v>
      </c>
      <c r="C201" s="4" t="s">
        <v>1377</v>
      </c>
      <c r="D201" s="19">
        <f t="shared" si="9"/>
        <v>12</v>
      </c>
      <c r="E201" s="5">
        <v>12</v>
      </c>
      <c r="F201" s="5">
        <v>0</v>
      </c>
      <c r="G201" s="5">
        <v>0</v>
      </c>
      <c r="H201" s="5">
        <v>0</v>
      </c>
      <c r="I201" s="5">
        <f t="shared" si="10"/>
        <v>12</v>
      </c>
      <c r="J201" s="4" t="str">
        <f t="shared" si="11"/>
        <v>Mostly customer-facing</v>
      </c>
    </row>
    <row r="202" spans="1:10" x14ac:dyDescent="0.45">
      <c r="A202" s="14">
        <v>201</v>
      </c>
      <c r="B202" s="4" t="s">
        <v>1196</v>
      </c>
      <c r="C202" s="4" t="s">
        <v>1197</v>
      </c>
      <c r="D202" s="19">
        <f t="shared" si="9"/>
        <v>12</v>
      </c>
      <c r="E202" s="5">
        <v>12</v>
      </c>
      <c r="F202" s="5">
        <v>0</v>
      </c>
      <c r="G202" s="5">
        <v>0</v>
      </c>
      <c r="H202" s="5">
        <v>0</v>
      </c>
      <c r="I202" s="5">
        <f t="shared" si="10"/>
        <v>12</v>
      </c>
      <c r="J202" s="4" t="str">
        <f t="shared" si="11"/>
        <v>Mostly customer-facing</v>
      </c>
    </row>
    <row r="203" spans="1:10" x14ac:dyDescent="0.45">
      <c r="A203" s="14">
        <v>202</v>
      </c>
      <c r="B203" s="4" t="s">
        <v>1338</v>
      </c>
      <c r="C203" s="4" t="s">
        <v>1339</v>
      </c>
      <c r="D203" s="19">
        <f t="shared" si="9"/>
        <v>12</v>
      </c>
      <c r="E203" s="5">
        <v>12</v>
      </c>
      <c r="F203" s="5">
        <v>0</v>
      </c>
      <c r="G203" s="5">
        <v>0</v>
      </c>
      <c r="H203" s="5">
        <v>1</v>
      </c>
      <c r="I203" s="5">
        <f t="shared" si="10"/>
        <v>13</v>
      </c>
      <c r="J203" s="4" t="str">
        <f t="shared" si="11"/>
        <v>Mostly customer-facing</v>
      </c>
    </row>
    <row r="204" spans="1:10" x14ac:dyDescent="0.45">
      <c r="A204" s="14">
        <v>203</v>
      </c>
      <c r="B204" s="4" t="s">
        <v>1308</v>
      </c>
      <c r="C204" s="4" t="s">
        <v>1309</v>
      </c>
      <c r="D204" s="19">
        <f t="shared" si="9"/>
        <v>11</v>
      </c>
      <c r="E204" s="5">
        <v>11</v>
      </c>
      <c r="F204" s="5">
        <v>0</v>
      </c>
      <c r="G204" s="5">
        <v>0</v>
      </c>
      <c r="H204" s="5">
        <v>3</v>
      </c>
      <c r="I204" s="5">
        <f t="shared" si="10"/>
        <v>14</v>
      </c>
      <c r="J204" s="4" t="str">
        <f t="shared" si="11"/>
        <v>Mostly customer-facing</v>
      </c>
    </row>
    <row r="205" spans="1:10" x14ac:dyDescent="0.45">
      <c r="A205" s="14">
        <v>204</v>
      </c>
      <c r="B205" s="4" t="s">
        <v>1286</v>
      </c>
      <c r="C205" s="4" t="s">
        <v>1287</v>
      </c>
      <c r="D205" s="19">
        <f t="shared" si="9"/>
        <v>11</v>
      </c>
      <c r="E205" s="5">
        <v>10</v>
      </c>
      <c r="F205" s="5">
        <v>1</v>
      </c>
      <c r="G205" s="5">
        <v>0</v>
      </c>
      <c r="H205" s="5">
        <v>0</v>
      </c>
      <c r="I205" s="5">
        <f t="shared" si="10"/>
        <v>11</v>
      </c>
      <c r="J205" s="4" t="str">
        <f t="shared" si="11"/>
        <v>Mostly customer-facing</v>
      </c>
    </row>
    <row r="206" spans="1:10" x14ac:dyDescent="0.45">
      <c r="A206" s="14">
        <v>205</v>
      </c>
      <c r="B206" s="4" t="s">
        <v>1358</v>
      </c>
      <c r="C206" s="4" t="s">
        <v>1359</v>
      </c>
      <c r="D206" s="19">
        <f t="shared" si="9"/>
        <v>11</v>
      </c>
      <c r="E206" s="5">
        <v>11</v>
      </c>
      <c r="F206" s="5">
        <v>0</v>
      </c>
      <c r="G206" s="5">
        <v>0</v>
      </c>
      <c r="H206" s="5">
        <v>21</v>
      </c>
      <c r="I206" s="5">
        <f t="shared" si="10"/>
        <v>32</v>
      </c>
      <c r="J206" s="4" t="str">
        <f t="shared" si="11"/>
        <v>Mostly customer-facing</v>
      </c>
    </row>
    <row r="207" spans="1:10" x14ac:dyDescent="0.45">
      <c r="A207" s="14">
        <v>206</v>
      </c>
      <c r="B207" s="4" t="s">
        <v>1288</v>
      </c>
      <c r="C207" s="4" t="s">
        <v>1289</v>
      </c>
      <c r="D207" s="19">
        <f t="shared" si="9"/>
        <v>11</v>
      </c>
      <c r="E207" s="5">
        <v>11</v>
      </c>
      <c r="F207" s="5">
        <v>0</v>
      </c>
      <c r="G207" s="5">
        <v>0</v>
      </c>
      <c r="H207" s="5">
        <v>0</v>
      </c>
      <c r="I207" s="5">
        <f t="shared" si="10"/>
        <v>11</v>
      </c>
      <c r="J207" s="4" t="str">
        <f t="shared" si="11"/>
        <v>Mostly customer-facing</v>
      </c>
    </row>
    <row r="208" spans="1:10" x14ac:dyDescent="0.45">
      <c r="A208" s="14">
        <v>207</v>
      </c>
      <c r="B208" s="4" t="s">
        <v>1262</v>
      </c>
      <c r="C208" s="4" t="s">
        <v>1263</v>
      </c>
      <c r="D208" s="19">
        <f t="shared" si="9"/>
        <v>10</v>
      </c>
      <c r="E208" s="5">
        <v>10</v>
      </c>
      <c r="F208" s="5">
        <v>0</v>
      </c>
      <c r="G208" s="5">
        <v>0</v>
      </c>
      <c r="H208" s="5">
        <v>0</v>
      </c>
      <c r="I208" s="5">
        <f t="shared" si="10"/>
        <v>10</v>
      </c>
      <c r="J208" s="4" t="str">
        <f t="shared" si="11"/>
        <v>Mostly customer-facing</v>
      </c>
    </row>
    <row r="209" spans="1:10" x14ac:dyDescent="0.45">
      <c r="A209" s="14">
        <v>208</v>
      </c>
      <c r="B209" s="4" t="s">
        <v>1306</v>
      </c>
      <c r="C209" s="4" t="s">
        <v>1307</v>
      </c>
      <c r="D209" s="19">
        <f t="shared" si="9"/>
        <v>10</v>
      </c>
      <c r="E209" s="5">
        <v>10</v>
      </c>
      <c r="F209" s="5">
        <v>0</v>
      </c>
      <c r="G209" s="5">
        <v>0</v>
      </c>
      <c r="H209" s="5">
        <v>0</v>
      </c>
      <c r="I209" s="5">
        <f t="shared" si="10"/>
        <v>10</v>
      </c>
      <c r="J209" s="4" t="str">
        <f t="shared" si="11"/>
        <v>Mostly customer-facing</v>
      </c>
    </row>
    <row r="210" spans="1:10" x14ac:dyDescent="0.45">
      <c r="A210" s="14">
        <v>209</v>
      </c>
      <c r="B210" s="4" t="s">
        <v>1545</v>
      </c>
      <c r="C210" s="4" t="s">
        <v>1546</v>
      </c>
      <c r="D210" s="19">
        <f t="shared" si="9"/>
        <v>9</v>
      </c>
      <c r="E210" s="5">
        <v>7</v>
      </c>
      <c r="F210" s="5">
        <v>2</v>
      </c>
      <c r="G210" s="5">
        <v>0</v>
      </c>
      <c r="H210" s="5">
        <v>0</v>
      </c>
      <c r="I210" s="5">
        <f t="shared" si="10"/>
        <v>9</v>
      </c>
      <c r="J210" s="4" t="str">
        <f t="shared" si="11"/>
        <v>Mostly customer-facing</v>
      </c>
    </row>
    <row r="211" spans="1:10" x14ac:dyDescent="0.45">
      <c r="A211" s="14">
        <v>210</v>
      </c>
      <c r="B211" s="4" t="s">
        <v>1256</v>
      </c>
      <c r="C211" s="4" t="s">
        <v>1257</v>
      </c>
      <c r="D211" s="19">
        <f t="shared" si="9"/>
        <v>9</v>
      </c>
      <c r="E211" s="5">
        <v>9</v>
      </c>
      <c r="F211" s="5">
        <v>0</v>
      </c>
      <c r="G211" s="5">
        <v>0</v>
      </c>
      <c r="H211" s="5">
        <v>0</v>
      </c>
      <c r="I211" s="5">
        <f t="shared" si="10"/>
        <v>9</v>
      </c>
      <c r="J211" s="4" t="str">
        <f t="shared" si="11"/>
        <v>Mostly customer-facing</v>
      </c>
    </row>
    <row r="212" spans="1:10" x14ac:dyDescent="0.45">
      <c r="A212" s="14">
        <v>211</v>
      </c>
      <c r="B212" s="4" t="s">
        <v>1294</v>
      </c>
      <c r="C212" s="4" t="s">
        <v>1295</v>
      </c>
      <c r="D212" s="19">
        <f t="shared" si="9"/>
        <v>9</v>
      </c>
      <c r="E212" s="5">
        <v>9</v>
      </c>
      <c r="F212" s="5">
        <v>0</v>
      </c>
      <c r="G212" s="5">
        <v>0</v>
      </c>
      <c r="H212" s="5">
        <v>0</v>
      </c>
      <c r="I212" s="5">
        <f t="shared" si="10"/>
        <v>9</v>
      </c>
      <c r="J212" s="4" t="str">
        <f t="shared" si="11"/>
        <v>Mostly customer-facing</v>
      </c>
    </row>
    <row r="213" spans="1:10" x14ac:dyDescent="0.45">
      <c r="A213" s="14">
        <v>212</v>
      </c>
      <c r="B213" s="4" t="s">
        <v>1298</v>
      </c>
      <c r="C213" s="4" t="s">
        <v>1299</v>
      </c>
      <c r="D213" s="19">
        <f t="shared" si="9"/>
        <v>9</v>
      </c>
      <c r="E213" s="5">
        <v>9</v>
      </c>
      <c r="F213" s="5">
        <v>0</v>
      </c>
      <c r="G213" s="5">
        <v>0</v>
      </c>
      <c r="H213" s="5">
        <v>0</v>
      </c>
      <c r="I213" s="5">
        <f t="shared" si="10"/>
        <v>9</v>
      </c>
      <c r="J213" s="4" t="str">
        <f t="shared" si="11"/>
        <v>Mostly customer-facing</v>
      </c>
    </row>
    <row r="214" spans="1:10" x14ac:dyDescent="0.45">
      <c r="A214" s="14">
        <v>213</v>
      </c>
      <c r="B214" s="4" t="s">
        <v>1260</v>
      </c>
      <c r="C214" s="4" t="s">
        <v>1261</v>
      </c>
      <c r="D214" s="19">
        <f t="shared" si="9"/>
        <v>8</v>
      </c>
      <c r="E214" s="5">
        <v>8</v>
      </c>
      <c r="F214" s="5">
        <v>0</v>
      </c>
      <c r="G214" s="5">
        <v>0</v>
      </c>
      <c r="H214" s="5">
        <v>0</v>
      </c>
      <c r="I214" s="5">
        <f t="shared" si="10"/>
        <v>8</v>
      </c>
      <c r="J214" s="4" t="str">
        <f t="shared" si="11"/>
        <v>Mostly customer-facing</v>
      </c>
    </row>
    <row r="215" spans="1:10" x14ac:dyDescent="0.45">
      <c r="A215" s="14">
        <v>214</v>
      </c>
      <c r="B215" s="4" t="s">
        <v>1268</v>
      </c>
      <c r="C215" s="4" t="s">
        <v>1269</v>
      </c>
      <c r="D215" s="19">
        <f t="shared" si="9"/>
        <v>8</v>
      </c>
      <c r="E215" s="5">
        <v>8</v>
      </c>
      <c r="F215" s="5">
        <v>0</v>
      </c>
      <c r="G215" s="5">
        <v>0</v>
      </c>
      <c r="H215" s="5">
        <v>1</v>
      </c>
      <c r="I215" s="5">
        <f t="shared" si="10"/>
        <v>9</v>
      </c>
      <c r="J215" s="4" t="str">
        <f t="shared" si="11"/>
        <v>Mostly customer-facing</v>
      </c>
    </row>
    <row r="216" spans="1:10" x14ac:dyDescent="0.45">
      <c r="A216" s="14">
        <v>215</v>
      </c>
      <c r="B216" s="4" t="s">
        <v>1551</v>
      </c>
      <c r="C216" s="4" t="s">
        <v>1552</v>
      </c>
      <c r="D216" s="19">
        <f t="shared" si="9"/>
        <v>8</v>
      </c>
      <c r="E216" s="5">
        <v>3</v>
      </c>
      <c r="F216" s="5">
        <v>5</v>
      </c>
      <c r="G216" s="5">
        <v>0</v>
      </c>
      <c r="H216" s="5">
        <v>0</v>
      </c>
      <c r="I216" s="5">
        <f t="shared" si="10"/>
        <v>8</v>
      </c>
      <c r="J216" s="4" t="str">
        <f t="shared" si="11"/>
        <v>Mostly industrial &amp; trades</v>
      </c>
    </row>
    <row r="217" spans="1:10" x14ac:dyDescent="0.45">
      <c r="A217" s="14">
        <v>216</v>
      </c>
      <c r="B217" s="4" t="s">
        <v>1156</v>
      </c>
      <c r="C217" s="4" t="s">
        <v>1157</v>
      </c>
      <c r="D217" s="19">
        <f t="shared" si="9"/>
        <v>8</v>
      </c>
      <c r="E217" s="5">
        <v>7</v>
      </c>
      <c r="F217" s="5">
        <v>1</v>
      </c>
      <c r="G217" s="5">
        <v>0</v>
      </c>
      <c r="H217" s="5">
        <v>0</v>
      </c>
      <c r="I217" s="5">
        <f t="shared" si="10"/>
        <v>8</v>
      </c>
      <c r="J217" s="4" t="str">
        <f t="shared" si="11"/>
        <v>Mostly customer-facing</v>
      </c>
    </row>
    <row r="218" spans="1:10" x14ac:dyDescent="0.45">
      <c r="A218" s="14">
        <v>217</v>
      </c>
      <c r="B218" s="4" t="s">
        <v>1228</v>
      </c>
      <c r="C218" s="4" t="s">
        <v>1229</v>
      </c>
      <c r="D218" s="19">
        <f t="shared" si="9"/>
        <v>8</v>
      </c>
      <c r="E218" s="5">
        <v>8</v>
      </c>
      <c r="F218" s="5">
        <v>0</v>
      </c>
      <c r="G218" s="5">
        <v>0</v>
      </c>
      <c r="H218" s="5">
        <v>0</v>
      </c>
      <c r="I218" s="5">
        <f t="shared" si="10"/>
        <v>8</v>
      </c>
      <c r="J218" s="4" t="str">
        <f t="shared" si="11"/>
        <v>Mostly customer-facing</v>
      </c>
    </row>
    <row r="219" spans="1:10" x14ac:dyDescent="0.45">
      <c r="A219" s="14">
        <v>218</v>
      </c>
      <c r="B219" s="4" t="s">
        <v>1346</v>
      </c>
      <c r="C219" s="4" t="s">
        <v>1347</v>
      </c>
      <c r="D219" s="19">
        <f t="shared" si="9"/>
        <v>7</v>
      </c>
      <c r="E219" s="5">
        <v>7</v>
      </c>
      <c r="F219" s="5">
        <v>0</v>
      </c>
      <c r="G219" s="5">
        <v>0</v>
      </c>
      <c r="H219" s="5">
        <v>3</v>
      </c>
      <c r="I219" s="5">
        <f t="shared" si="10"/>
        <v>10</v>
      </c>
      <c r="J219" s="4" t="str">
        <f t="shared" si="11"/>
        <v>Mostly customer-facing</v>
      </c>
    </row>
    <row r="220" spans="1:10" x14ac:dyDescent="0.45">
      <c r="A220" s="14">
        <v>219</v>
      </c>
      <c r="B220" s="4" t="s">
        <v>1416</v>
      </c>
      <c r="C220" s="4" t="s">
        <v>1417</v>
      </c>
      <c r="D220" s="19">
        <f t="shared" si="9"/>
        <v>7</v>
      </c>
      <c r="E220" s="5">
        <v>5</v>
      </c>
      <c r="F220" s="5">
        <v>1</v>
      </c>
      <c r="G220" s="5">
        <v>1</v>
      </c>
      <c r="H220" s="5">
        <v>0</v>
      </c>
      <c r="I220" s="5">
        <f t="shared" si="10"/>
        <v>7</v>
      </c>
      <c r="J220" s="4" t="str">
        <f t="shared" si="11"/>
        <v>Mostly customer-facing</v>
      </c>
    </row>
    <row r="221" spans="1:10" x14ac:dyDescent="0.45">
      <c r="A221" s="14">
        <v>220</v>
      </c>
      <c r="B221" s="4" t="s">
        <v>1296</v>
      </c>
      <c r="C221" s="4" t="s">
        <v>1297</v>
      </c>
      <c r="D221" s="19">
        <f t="shared" si="9"/>
        <v>7</v>
      </c>
      <c r="E221" s="5">
        <v>7</v>
      </c>
      <c r="F221" s="5">
        <v>0</v>
      </c>
      <c r="G221" s="5">
        <v>0</v>
      </c>
      <c r="H221" s="5">
        <v>0</v>
      </c>
      <c r="I221" s="5">
        <f t="shared" si="10"/>
        <v>7</v>
      </c>
      <c r="J221" s="4" t="str">
        <f t="shared" si="11"/>
        <v>Mostly customer-facing</v>
      </c>
    </row>
    <row r="222" spans="1:10" x14ac:dyDescent="0.45">
      <c r="A222" s="14">
        <v>221</v>
      </c>
      <c r="B222" s="4" t="s">
        <v>1426</v>
      </c>
      <c r="C222" s="4" t="s">
        <v>1427</v>
      </c>
      <c r="D222" s="19">
        <f t="shared" si="9"/>
        <v>7</v>
      </c>
      <c r="E222" s="5">
        <v>7</v>
      </c>
      <c r="F222" s="5">
        <v>0</v>
      </c>
      <c r="G222" s="5">
        <v>0</v>
      </c>
      <c r="H222" s="5">
        <v>6</v>
      </c>
      <c r="I222" s="5">
        <f t="shared" si="10"/>
        <v>13</v>
      </c>
      <c r="J222" s="4" t="str">
        <f t="shared" si="11"/>
        <v>Mostly customer-facing</v>
      </c>
    </row>
    <row r="223" spans="1:10" x14ac:dyDescent="0.45">
      <c r="A223" s="14">
        <v>222</v>
      </c>
      <c r="B223" s="4" t="s">
        <v>1478</v>
      </c>
      <c r="C223" s="4" t="s">
        <v>1479</v>
      </c>
      <c r="D223" s="19">
        <f t="shared" si="9"/>
        <v>7</v>
      </c>
      <c r="E223" s="5">
        <v>7</v>
      </c>
      <c r="F223" s="5">
        <v>0</v>
      </c>
      <c r="G223" s="5">
        <v>0</v>
      </c>
      <c r="H223" s="5">
        <v>0</v>
      </c>
      <c r="I223" s="5">
        <f t="shared" si="10"/>
        <v>7</v>
      </c>
      <c r="J223" s="4" t="str">
        <f t="shared" si="11"/>
        <v>Mostly customer-facing</v>
      </c>
    </row>
    <row r="224" spans="1:10" x14ac:dyDescent="0.45">
      <c r="A224" s="14">
        <v>223</v>
      </c>
      <c r="B224" s="4" t="s">
        <v>1093</v>
      </c>
      <c r="C224" s="4" t="s">
        <v>1094</v>
      </c>
      <c r="D224" s="19">
        <f t="shared" si="9"/>
        <v>7</v>
      </c>
      <c r="E224" s="5">
        <v>7</v>
      </c>
      <c r="F224" s="5">
        <v>0</v>
      </c>
      <c r="G224" s="5">
        <v>0</v>
      </c>
      <c r="H224" s="5">
        <v>0</v>
      </c>
      <c r="I224" s="5">
        <f t="shared" si="10"/>
        <v>7</v>
      </c>
      <c r="J224" s="4" t="str">
        <f t="shared" si="11"/>
        <v>Mostly customer-facing</v>
      </c>
    </row>
    <row r="225" spans="1:10" x14ac:dyDescent="0.45">
      <c r="A225" s="14">
        <v>224</v>
      </c>
      <c r="B225" s="4" t="s">
        <v>1204</v>
      </c>
      <c r="C225" s="4" t="s">
        <v>1205</v>
      </c>
      <c r="D225" s="19">
        <f t="shared" si="9"/>
        <v>6</v>
      </c>
      <c r="E225" s="5">
        <v>6</v>
      </c>
      <c r="F225" s="5">
        <v>0</v>
      </c>
      <c r="G225" s="5">
        <v>0</v>
      </c>
      <c r="H225" s="5">
        <v>9</v>
      </c>
      <c r="I225" s="5">
        <f t="shared" si="10"/>
        <v>15</v>
      </c>
      <c r="J225" s="4" t="str">
        <f t="shared" si="11"/>
        <v>Mostly customer-facing</v>
      </c>
    </row>
    <row r="226" spans="1:10" x14ac:dyDescent="0.45">
      <c r="A226" s="14">
        <v>225</v>
      </c>
      <c r="B226" s="4" t="s">
        <v>1246</v>
      </c>
      <c r="C226" s="4" t="s">
        <v>1247</v>
      </c>
      <c r="D226" s="19">
        <f t="shared" si="9"/>
        <v>6</v>
      </c>
      <c r="E226" s="5">
        <v>6</v>
      </c>
      <c r="F226" s="5">
        <v>0</v>
      </c>
      <c r="G226" s="5">
        <v>0</v>
      </c>
      <c r="H226" s="5">
        <v>0</v>
      </c>
      <c r="I226" s="5">
        <f t="shared" si="10"/>
        <v>6</v>
      </c>
      <c r="J226" s="4" t="str">
        <f t="shared" si="11"/>
        <v>Mostly customer-facing</v>
      </c>
    </row>
    <row r="227" spans="1:10" x14ac:dyDescent="0.45">
      <c r="A227" s="14">
        <v>226</v>
      </c>
      <c r="B227" s="4" t="s">
        <v>1310</v>
      </c>
      <c r="C227" s="4" t="s">
        <v>1311</v>
      </c>
      <c r="D227" s="19">
        <f t="shared" si="9"/>
        <v>6</v>
      </c>
      <c r="E227" s="5">
        <v>6</v>
      </c>
      <c r="F227" s="5">
        <v>0</v>
      </c>
      <c r="G227" s="5">
        <v>0</v>
      </c>
      <c r="H227" s="5">
        <v>0</v>
      </c>
      <c r="I227" s="5">
        <f t="shared" si="10"/>
        <v>6</v>
      </c>
      <c r="J227" s="4" t="str">
        <f t="shared" si="11"/>
        <v>Mostly customer-facing</v>
      </c>
    </row>
    <row r="228" spans="1:10" x14ac:dyDescent="0.45">
      <c r="A228" s="14">
        <v>227</v>
      </c>
      <c r="B228" s="4" t="s">
        <v>1488</v>
      </c>
      <c r="C228" s="4" t="s">
        <v>1489</v>
      </c>
      <c r="D228" s="19">
        <f t="shared" si="9"/>
        <v>6</v>
      </c>
      <c r="E228" s="5">
        <v>6</v>
      </c>
      <c r="F228" s="5">
        <v>0</v>
      </c>
      <c r="G228" s="5">
        <v>0</v>
      </c>
      <c r="H228" s="5">
        <v>0</v>
      </c>
      <c r="I228" s="5">
        <f t="shared" si="10"/>
        <v>6</v>
      </c>
      <c r="J228" s="4" t="str">
        <f t="shared" si="11"/>
        <v>Mostly customer-facing</v>
      </c>
    </row>
    <row r="229" spans="1:10" x14ac:dyDescent="0.45">
      <c r="A229" s="14">
        <v>228</v>
      </c>
      <c r="B229" s="4" t="s">
        <v>1380</v>
      </c>
      <c r="C229" s="4" t="s">
        <v>1381</v>
      </c>
      <c r="D229" s="19">
        <f t="shared" si="9"/>
        <v>6</v>
      </c>
      <c r="E229" s="5">
        <v>1</v>
      </c>
      <c r="F229" s="5">
        <v>5</v>
      </c>
      <c r="G229" s="5">
        <v>0</v>
      </c>
      <c r="H229" s="5">
        <v>0</v>
      </c>
      <c r="I229" s="5">
        <f t="shared" si="10"/>
        <v>6</v>
      </c>
      <c r="J229" s="4" t="str">
        <f t="shared" si="11"/>
        <v>Mostly industrial &amp; trades</v>
      </c>
    </row>
    <row r="230" spans="1:10" x14ac:dyDescent="0.45">
      <c r="A230" s="14">
        <v>229</v>
      </c>
      <c r="B230" s="4" t="s">
        <v>1452</v>
      </c>
      <c r="C230" s="4" t="s">
        <v>1453</v>
      </c>
      <c r="D230" s="19">
        <f t="shared" si="9"/>
        <v>5</v>
      </c>
      <c r="E230" s="5">
        <v>5</v>
      </c>
      <c r="F230" s="5">
        <v>0</v>
      </c>
      <c r="G230" s="5">
        <v>0</v>
      </c>
      <c r="H230" s="5">
        <v>0</v>
      </c>
      <c r="I230" s="5">
        <f t="shared" si="10"/>
        <v>5</v>
      </c>
      <c r="J230" s="4" t="str">
        <f t="shared" si="11"/>
        <v>Mostly customer-facing</v>
      </c>
    </row>
    <row r="231" spans="1:10" x14ac:dyDescent="0.45">
      <c r="A231" s="14">
        <v>230</v>
      </c>
      <c r="B231" s="4" t="s">
        <v>1226</v>
      </c>
      <c r="C231" s="4" t="s">
        <v>1227</v>
      </c>
      <c r="D231" s="19">
        <f t="shared" si="9"/>
        <v>5</v>
      </c>
      <c r="E231" s="5">
        <v>5</v>
      </c>
      <c r="F231" s="5">
        <v>0</v>
      </c>
      <c r="G231" s="5">
        <v>0</v>
      </c>
      <c r="H231" s="5">
        <v>0</v>
      </c>
      <c r="I231" s="5">
        <f t="shared" si="10"/>
        <v>5</v>
      </c>
      <c r="J231" s="4" t="str">
        <f t="shared" si="11"/>
        <v>Mostly customer-facing</v>
      </c>
    </row>
    <row r="232" spans="1:10" x14ac:dyDescent="0.45">
      <c r="A232" s="14">
        <v>231</v>
      </c>
      <c r="B232" s="4" t="s">
        <v>1330</v>
      </c>
      <c r="C232" s="4" t="s">
        <v>1331</v>
      </c>
      <c r="D232" s="19">
        <f t="shared" si="9"/>
        <v>5</v>
      </c>
      <c r="E232" s="5">
        <v>5</v>
      </c>
      <c r="F232" s="5">
        <v>0</v>
      </c>
      <c r="G232" s="5">
        <v>0</v>
      </c>
      <c r="H232" s="5">
        <v>0</v>
      </c>
      <c r="I232" s="5">
        <f t="shared" si="10"/>
        <v>5</v>
      </c>
      <c r="J232" s="4" t="str">
        <f t="shared" si="11"/>
        <v>Mostly customer-facing</v>
      </c>
    </row>
    <row r="233" spans="1:10" x14ac:dyDescent="0.45">
      <c r="A233" s="14">
        <v>232</v>
      </c>
      <c r="B233" s="4" t="s">
        <v>1499</v>
      </c>
      <c r="C233" s="4" t="s">
        <v>1499</v>
      </c>
      <c r="D233" s="19">
        <f t="shared" si="9"/>
        <v>4</v>
      </c>
      <c r="E233" s="5">
        <v>0</v>
      </c>
      <c r="F233" s="5">
        <v>4</v>
      </c>
      <c r="G233" s="5">
        <v>0</v>
      </c>
      <c r="H233" s="5">
        <v>0</v>
      </c>
      <c r="I233" s="5">
        <f t="shared" si="10"/>
        <v>4</v>
      </c>
      <c r="J233" s="4" t="str">
        <f t="shared" si="11"/>
        <v>Mostly industrial &amp; trades</v>
      </c>
    </row>
    <row r="234" spans="1:10" x14ac:dyDescent="0.45">
      <c r="A234" s="14">
        <v>233</v>
      </c>
      <c r="B234" s="4" t="s">
        <v>1521</v>
      </c>
      <c r="C234" s="4" t="s">
        <v>1521</v>
      </c>
      <c r="D234" s="19">
        <f t="shared" si="9"/>
        <v>4</v>
      </c>
      <c r="E234" s="5">
        <v>2</v>
      </c>
      <c r="F234" s="5">
        <v>1</v>
      </c>
      <c r="G234" s="5">
        <v>1</v>
      </c>
      <c r="H234" s="5">
        <v>0</v>
      </c>
      <c r="I234" s="5">
        <f t="shared" si="10"/>
        <v>4</v>
      </c>
      <c r="J234" s="4" t="str">
        <f t="shared" si="11"/>
        <v>Mostly customer-facing</v>
      </c>
    </row>
    <row r="235" spans="1:10" x14ac:dyDescent="0.45">
      <c r="A235" s="14">
        <v>234</v>
      </c>
      <c r="B235" s="4" t="s">
        <v>1533</v>
      </c>
      <c r="C235" s="4" t="s">
        <v>1533</v>
      </c>
      <c r="D235" s="19">
        <f t="shared" si="9"/>
        <v>4</v>
      </c>
      <c r="E235" s="5">
        <v>0</v>
      </c>
      <c r="F235" s="5">
        <v>4</v>
      </c>
      <c r="G235" s="5">
        <v>0</v>
      </c>
      <c r="H235" s="5">
        <v>0</v>
      </c>
      <c r="I235" s="5">
        <f t="shared" si="10"/>
        <v>4</v>
      </c>
      <c r="J235" s="4" t="str">
        <f t="shared" si="11"/>
        <v>Mostly industrial &amp; trades</v>
      </c>
    </row>
    <row r="236" spans="1:10" x14ac:dyDescent="0.45">
      <c r="A236" s="14">
        <v>235</v>
      </c>
      <c r="B236" s="4" t="s">
        <v>1352</v>
      </c>
      <c r="C236" s="4" t="s">
        <v>1353</v>
      </c>
      <c r="D236" s="19">
        <f t="shared" si="9"/>
        <v>4</v>
      </c>
      <c r="E236" s="5">
        <v>4</v>
      </c>
      <c r="F236" s="5">
        <v>0</v>
      </c>
      <c r="G236" s="5">
        <v>0</v>
      </c>
      <c r="H236" s="5">
        <v>5</v>
      </c>
      <c r="I236" s="5">
        <f t="shared" si="10"/>
        <v>9</v>
      </c>
      <c r="J236" s="4" t="str">
        <f t="shared" si="11"/>
        <v>Mostly customer-facing</v>
      </c>
    </row>
    <row r="237" spans="1:10" x14ac:dyDescent="0.45">
      <c r="A237" s="14">
        <v>236</v>
      </c>
      <c r="B237" s="4" t="s">
        <v>1137</v>
      </c>
      <c r="C237" s="4" t="s">
        <v>1138</v>
      </c>
      <c r="D237" s="19">
        <f t="shared" si="9"/>
        <v>4</v>
      </c>
      <c r="E237" s="5">
        <v>4</v>
      </c>
      <c r="F237" s="5">
        <v>0</v>
      </c>
      <c r="G237" s="5">
        <v>0</v>
      </c>
      <c r="H237" s="5">
        <v>0</v>
      </c>
      <c r="I237" s="5">
        <f t="shared" si="10"/>
        <v>4</v>
      </c>
      <c r="J237" s="4" t="str">
        <f t="shared" si="11"/>
        <v>Mostly customer-facing</v>
      </c>
    </row>
    <row r="238" spans="1:10" x14ac:dyDescent="0.45">
      <c r="A238" s="14">
        <v>237</v>
      </c>
      <c r="B238" s="4" t="s">
        <v>1304</v>
      </c>
      <c r="C238" s="4" t="s">
        <v>1305</v>
      </c>
      <c r="D238" s="19">
        <f t="shared" si="9"/>
        <v>4</v>
      </c>
      <c r="E238" s="5">
        <v>4</v>
      </c>
      <c r="F238" s="5">
        <v>0</v>
      </c>
      <c r="G238" s="5">
        <v>0</v>
      </c>
      <c r="H238" s="5">
        <v>0</v>
      </c>
      <c r="I238" s="5">
        <f t="shared" si="10"/>
        <v>4</v>
      </c>
      <c r="J238" s="4" t="str">
        <f t="shared" si="11"/>
        <v>Mostly customer-facing</v>
      </c>
    </row>
    <row r="239" spans="1:10" x14ac:dyDescent="0.45">
      <c r="A239" s="14">
        <v>238</v>
      </c>
      <c r="B239" s="4" t="s">
        <v>1388</v>
      </c>
      <c r="C239" s="4" t="s">
        <v>1389</v>
      </c>
      <c r="D239" s="19">
        <f t="shared" si="9"/>
        <v>4</v>
      </c>
      <c r="E239" s="5">
        <v>4</v>
      </c>
      <c r="F239" s="5">
        <v>0</v>
      </c>
      <c r="G239" s="5">
        <v>0</v>
      </c>
      <c r="H239" s="5">
        <v>0</v>
      </c>
      <c r="I239" s="5">
        <f t="shared" si="10"/>
        <v>4</v>
      </c>
      <c r="J239" s="4" t="str">
        <f t="shared" si="11"/>
        <v>Mostly customer-facing</v>
      </c>
    </row>
    <row r="240" spans="1:10" x14ac:dyDescent="0.45">
      <c r="A240" s="14">
        <v>239</v>
      </c>
      <c r="B240" s="4" t="s">
        <v>1432</v>
      </c>
      <c r="C240" s="4" t="s">
        <v>1433</v>
      </c>
      <c r="D240" s="19">
        <f t="shared" si="9"/>
        <v>4</v>
      </c>
      <c r="E240" s="5">
        <v>4</v>
      </c>
      <c r="F240" s="5">
        <v>0</v>
      </c>
      <c r="G240" s="5">
        <v>0</v>
      </c>
      <c r="H240" s="5">
        <v>0</v>
      </c>
      <c r="I240" s="5">
        <f t="shared" si="10"/>
        <v>4</v>
      </c>
      <c r="J240" s="4" t="str">
        <f t="shared" si="11"/>
        <v>Mostly customer-facing</v>
      </c>
    </row>
    <row r="241" spans="1:10" x14ac:dyDescent="0.45">
      <c r="A241" s="14">
        <v>240</v>
      </c>
      <c r="B241" s="4" t="s">
        <v>1236</v>
      </c>
      <c r="C241" s="4" t="s">
        <v>1237</v>
      </c>
      <c r="D241" s="19">
        <f t="shared" si="9"/>
        <v>4</v>
      </c>
      <c r="E241" s="5">
        <v>4</v>
      </c>
      <c r="F241" s="5">
        <v>0</v>
      </c>
      <c r="G241" s="5">
        <v>0</v>
      </c>
      <c r="H241" s="5">
        <v>0</v>
      </c>
      <c r="I241" s="5">
        <f t="shared" si="10"/>
        <v>4</v>
      </c>
      <c r="J241" s="4" t="str">
        <f t="shared" si="11"/>
        <v>Mostly customer-facing</v>
      </c>
    </row>
    <row r="242" spans="1:10" x14ac:dyDescent="0.45">
      <c r="A242" s="14">
        <v>241</v>
      </c>
      <c r="B242" s="4" t="s">
        <v>1378</v>
      </c>
      <c r="C242" s="4" t="s">
        <v>1379</v>
      </c>
      <c r="D242" s="19">
        <f t="shared" si="9"/>
        <v>4</v>
      </c>
      <c r="E242" s="5">
        <v>4</v>
      </c>
      <c r="F242" s="5">
        <v>0</v>
      </c>
      <c r="G242" s="5">
        <v>0</v>
      </c>
      <c r="H242" s="5">
        <v>1</v>
      </c>
      <c r="I242" s="5">
        <f t="shared" si="10"/>
        <v>5</v>
      </c>
      <c r="J242" s="4" t="str">
        <f t="shared" si="11"/>
        <v>Mostly customer-facing</v>
      </c>
    </row>
    <row r="243" spans="1:10" x14ac:dyDescent="0.45">
      <c r="A243" s="14">
        <v>242</v>
      </c>
      <c r="B243" s="4" t="s">
        <v>1549</v>
      </c>
      <c r="C243" s="4" t="s">
        <v>1549</v>
      </c>
      <c r="D243" s="19">
        <f t="shared" si="9"/>
        <v>3</v>
      </c>
      <c r="E243" s="5">
        <v>3</v>
      </c>
      <c r="F243" s="5">
        <v>0</v>
      </c>
      <c r="G243" s="5">
        <v>0</v>
      </c>
      <c r="H243" s="5">
        <v>0</v>
      </c>
      <c r="I243" s="5">
        <f t="shared" si="10"/>
        <v>3</v>
      </c>
      <c r="J243" s="4" t="str">
        <f t="shared" si="11"/>
        <v>Mostly customer-facing</v>
      </c>
    </row>
    <row r="244" spans="1:10" x14ac:dyDescent="0.45">
      <c r="A244" s="14">
        <v>243</v>
      </c>
      <c r="B244" s="4" t="s">
        <v>1502</v>
      </c>
      <c r="C244" s="4" t="s">
        <v>1502</v>
      </c>
      <c r="D244" s="19">
        <f t="shared" si="9"/>
        <v>3</v>
      </c>
      <c r="E244" s="5">
        <v>3</v>
      </c>
      <c r="F244" s="5">
        <v>0</v>
      </c>
      <c r="G244" s="5">
        <v>0</v>
      </c>
      <c r="H244" s="5">
        <v>0</v>
      </c>
      <c r="I244" s="5">
        <f t="shared" si="10"/>
        <v>3</v>
      </c>
      <c r="J244" s="4" t="str">
        <f t="shared" si="11"/>
        <v>Mostly customer-facing</v>
      </c>
    </row>
    <row r="245" spans="1:10" x14ac:dyDescent="0.45">
      <c r="A245" s="14">
        <v>244</v>
      </c>
      <c r="B245" s="4" t="s">
        <v>1543</v>
      </c>
      <c r="C245" s="4" t="s">
        <v>1543</v>
      </c>
      <c r="D245" s="19">
        <f t="shared" si="9"/>
        <v>3</v>
      </c>
      <c r="E245" s="5">
        <v>0</v>
      </c>
      <c r="F245" s="5">
        <v>3</v>
      </c>
      <c r="G245" s="5">
        <v>0</v>
      </c>
      <c r="H245" s="5">
        <v>0</v>
      </c>
      <c r="I245" s="5">
        <f t="shared" si="10"/>
        <v>3</v>
      </c>
      <c r="J245" s="4" t="str">
        <f t="shared" si="11"/>
        <v>Mostly industrial &amp; trades</v>
      </c>
    </row>
    <row r="246" spans="1:10" x14ac:dyDescent="0.45">
      <c r="A246" s="14">
        <v>245</v>
      </c>
      <c r="B246" s="4" t="s">
        <v>1448</v>
      </c>
      <c r="C246" s="4" t="s">
        <v>1449</v>
      </c>
      <c r="D246" s="19">
        <f t="shared" si="9"/>
        <v>3</v>
      </c>
      <c r="E246" s="5">
        <v>3</v>
      </c>
      <c r="F246" s="5">
        <v>0</v>
      </c>
      <c r="G246" s="5">
        <v>0</v>
      </c>
      <c r="H246" s="5">
        <v>0</v>
      </c>
      <c r="I246" s="5">
        <f t="shared" si="10"/>
        <v>3</v>
      </c>
      <c r="J246" s="4" t="str">
        <f t="shared" si="11"/>
        <v>Mostly customer-facing</v>
      </c>
    </row>
    <row r="247" spans="1:10" x14ac:dyDescent="0.45">
      <c r="A247" s="14">
        <v>246</v>
      </c>
      <c r="B247" s="4" t="s">
        <v>1400</v>
      </c>
      <c r="C247" s="4" t="s">
        <v>1401</v>
      </c>
      <c r="D247" s="19">
        <f t="shared" si="9"/>
        <v>3</v>
      </c>
      <c r="E247" s="5">
        <v>3</v>
      </c>
      <c r="F247" s="5">
        <v>0</v>
      </c>
      <c r="G247" s="5">
        <v>0</v>
      </c>
      <c r="H247" s="5">
        <v>0</v>
      </c>
      <c r="I247" s="5">
        <f t="shared" si="10"/>
        <v>3</v>
      </c>
      <c r="J247" s="4" t="str">
        <f t="shared" si="11"/>
        <v>Mostly customer-facing</v>
      </c>
    </row>
    <row r="248" spans="1:10" x14ac:dyDescent="0.45">
      <c r="A248" s="14">
        <v>247</v>
      </c>
      <c r="B248" s="4" t="s">
        <v>1360</v>
      </c>
      <c r="C248" s="4" t="s">
        <v>1361</v>
      </c>
      <c r="D248" s="19">
        <f t="shared" si="9"/>
        <v>3</v>
      </c>
      <c r="E248" s="5">
        <v>3</v>
      </c>
      <c r="F248" s="5">
        <v>0</v>
      </c>
      <c r="G248" s="5">
        <v>0</v>
      </c>
      <c r="H248" s="5">
        <v>8</v>
      </c>
      <c r="I248" s="5">
        <f t="shared" si="10"/>
        <v>11</v>
      </c>
      <c r="J248" s="4" t="str">
        <f t="shared" si="11"/>
        <v>Mostly customer-facing</v>
      </c>
    </row>
    <row r="249" spans="1:10" x14ac:dyDescent="0.45">
      <c r="A249" s="14">
        <v>248</v>
      </c>
      <c r="B249" s="4" t="s">
        <v>1436</v>
      </c>
      <c r="C249" s="4" t="s">
        <v>1437</v>
      </c>
      <c r="D249" s="19">
        <f t="shared" si="9"/>
        <v>3</v>
      </c>
      <c r="E249" s="5">
        <v>3</v>
      </c>
      <c r="F249" s="5">
        <v>0</v>
      </c>
      <c r="G249" s="5">
        <v>0</v>
      </c>
      <c r="H249" s="5">
        <v>0</v>
      </c>
      <c r="I249" s="5">
        <f t="shared" si="10"/>
        <v>3</v>
      </c>
      <c r="J249" s="4" t="str">
        <f t="shared" si="11"/>
        <v>Mostly customer-facing</v>
      </c>
    </row>
    <row r="250" spans="1:10" x14ac:dyDescent="0.45">
      <c r="A250" s="14">
        <v>249</v>
      </c>
      <c r="B250" s="4" t="s">
        <v>1529</v>
      </c>
      <c r="C250" s="4" t="s">
        <v>1530</v>
      </c>
      <c r="D250" s="19">
        <f t="shared" si="9"/>
        <v>3</v>
      </c>
      <c r="E250" s="5">
        <v>0</v>
      </c>
      <c r="F250" s="5">
        <v>3</v>
      </c>
      <c r="G250" s="5">
        <v>0</v>
      </c>
      <c r="H250" s="5">
        <v>0</v>
      </c>
      <c r="I250" s="5">
        <f t="shared" si="10"/>
        <v>3</v>
      </c>
      <c r="J250" s="4" t="str">
        <f t="shared" si="11"/>
        <v>Mostly industrial &amp; trades</v>
      </c>
    </row>
    <row r="251" spans="1:10" x14ac:dyDescent="0.45">
      <c r="A251" s="14">
        <v>250</v>
      </c>
      <c r="B251" s="4" t="s">
        <v>1525</v>
      </c>
      <c r="C251" s="4" t="s">
        <v>1526</v>
      </c>
      <c r="D251" s="19">
        <f t="shared" si="9"/>
        <v>3</v>
      </c>
      <c r="E251" s="5">
        <v>0</v>
      </c>
      <c r="F251" s="5">
        <v>3</v>
      </c>
      <c r="G251" s="5">
        <v>0</v>
      </c>
      <c r="H251" s="5">
        <v>0</v>
      </c>
      <c r="I251" s="5">
        <f t="shared" si="10"/>
        <v>3</v>
      </c>
      <c r="J251" s="4" t="str">
        <f t="shared" si="11"/>
        <v>Mostly industrial &amp; trades</v>
      </c>
    </row>
    <row r="252" spans="1:10" x14ac:dyDescent="0.45">
      <c r="A252" s="14">
        <v>251</v>
      </c>
      <c r="B252" s="4" t="s">
        <v>1524</v>
      </c>
      <c r="C252" s="4" t="s">
        <v>1524</v>
      </c>
      <c r="D252" s="19">
        <f t="shared" si="9"/>
        <v>2</v>
      </c>
      <c r="E252" s="5">
        <v>2</v>
      </c>
      <c r="F252" s="5">
        <v>0</v>
      </c>
      <c r="G252" s="5">
        <v>0</v>
      </c>
      <c r="H252" s="5">
        <v>0</v>
      </c>
      <c r="I252" s="5">
        <f t="shared" si="10"/>
        <v>2</v>
      </c>
      <c r="J252" s="4" t="str">
        <f t="shared" si="11"/>
        <v>Mostly customer-facing</v>
      </c>
    </row>
    <row r="253" spans="1:10" x14ac:dyDescent="0.45">
      <c r="A253" s="14">
        <v>252</v>
      </c>
      <c r="B253" s="4" t="s">
        <v>1540</v>
      </c>
      <c r="C253" s="4" t="s">
        <v>1540</v>
      </c>
      <c r="D253" s="19">
        <f t="shared" si="9"/>
        <v>2</v>
      </c>
      <c r="E253" s="5">
        <v>0</v>
      </c>
      <c r="F253" s="5">
        <v>2</v>
      </c>
      <c r="G253" s="5">
        <v>0</v>
      </c>
      <c r="H253" s="5">
        <v>0</v>
      </c>
      <c r="I253" s="5">
        <f t="shared" si="10"/>
        <v>2</v>
      </c>
      <c r="J253" s="4" t="str">
        <f t="shared" si="11"/>
        <v>Mostly industrial &amp; trades</v>
      </c>
    </row>
    <row r="254" spans="1:10" x14ac:dyDescent="0.45">
      <c r="A254" s="14">
        <v>253</v>
      </c>
      <c r="B254" s="4" t="s">
        <v>1561</v>
      </c>
      <c r="C254" s="4" t="s">
        <v>1561</v>
      </c>
      <c r="D254" s="19">
        <f t="shared" si="9"/>
        <v>2</v>
      </c>
      <c r="E254" s="5">
        <v>0</v>
      </c>
      <c r="F254" s="5">
        <v>2</v>
      </c>
      <c r="G254" s="5">
        <v>0</v>
      </c>
      <c r="H254" s="5">
        <v>0</v>
      </c>
      <c r="I254" s="5">
        <f t="shared" si="10"/>
        <v>2</v>
      </c>
      <c r="J254" s="4" t="str">
        <f t="shared" si="11"/>
        <v>Mostly industrial &amp; trades</v>
      </c>
    </row>
    <row r="255" spans="1:10" x14ac:dyDescent="0.45">
      <c r="A255" s="14">
        <v>254</v>
      </c>
      <c r="B255" s="4" t="s">
        <v>1073</v>
      </c>
      <c r="C255" s="4" t="s">
        <v>1074</v>
      </c>
      <c r="D255" s="19">
        <f t="shared" si="9"/>
        <v>2</v>
      </c>
      <c r="E255" s="5">
        <v>2</v>
      </c>
      <c r="F255" s="5">
        <v>0</v>
      </c>
      <c r="G255" s="5">
        <v>0</v>
      </c>
      <c r="H255" s="5">
        <v>0</v>
      </c>
      <c r="I255" s="5">
        <f t="shared" si="10"/>
        <v>2</v>
      </c>
      <c r="J255" s="4" t="str">
        <f t="shared" si="11"/>
        <v>Mostly customer-facing</v>
      </c>
    </row>
    <row r="256" spans="1:10" x14ac:dyDescent="0.45">
      <c r="A256" s="14">
        <v>255</v>
      </c>
      <c r="B256" s="4" t="s">
        <v>1312</v>
      </c>
      <c r="C256" s="4" t="s">
        <v>1313</v>
      </c>
      <c r="D256" s="19">
        <f t="shared" si="9"/>
        <v>2</v>
      </c>
      <c r="E256" s="5">
        <v>1</v>
      </c>
      <c r="F256" s="5">
        <v>1</v>
      </c>
      <c r="G256" s="5">
        <v>0</v>
      </c>
      <c r="H256" s="5">
        <v>0</v>
      </c>
      <c r="I256" s="5">
        <f t="shared" si="10"/>
        <v>2</v>
      </c>
      <c r="J256" s="4" t="str">
        <f t="shared" si="11"/>
        <v>Mostly customer-facing</v>
      </c>
    </row>
    <row r="257" spans="1:10" x14ac:dyDescent="0.45">
      <c r="A257" s="14">
        <v>256</v>
      </c>
      <c r="B257" s="4" t="s">
        <v>1486</v>
      </c>
      <c r="C257" s="4" t="s">
        <v>1487</v>
      </c>
      <c r="D257" s="19">
        <f t="shared" si="9"/>
        <v>2</v>
      </c>
      <c r="E257" s="5">
        <v>1</v>
      </c>
      <c r="F257" s="5">
        <v>1</v>
      </c>
      <c r="G257" s="5">
        <v>0</v>
      </c>
      <c r="H257" s="5">
        <v>0</v>
      </c>
      <c r="I257" s="5">
        <f t="shared" si="10"/>
        <v>2</v>
      </c>
      <c r="J257" s="4" t="str">
        <f t="shared" si="11"/>
        <v>Mostly customer-facing</v>
      </c>
    </row>
    <row r="258" spans="1:10" x14ac:dyDescent="0.45">
      <c r="A258" s="14">
        <v>257</v>
      </c>
      <c r="B258" s="4" t="s">
        <v>1394</v>
      </c>
      <c r="C258" s="4" t="s">
        <v>1395</v>
      </c>
      <c r="D258" s="19">
        <f t="shared" ref="D258:D321" si="12">E258+F258+G258</f>
        <v>2</v>
      </c>
      <c r="E258" s="5">
        <v>2</v>
      </c>
      <c r="F258" s="5">
        <v>0</v>
      </c>
      <c r="G258" s="5">
        <v>0</v>
      </c>
      <c r="H258" s="5">
        <v>0</v>
      </c>
      <c r="I258" s="5">
        <f t="shared" ref="I258:I321" si="13">D258+H258</f>
        <v>2</v>
      </c>
      <c r="J258" s="4" t="str">
        <f t="shared" ref="J258:J318" si="14">IF(D258=0,"No businesses",IF(F258&gt;E258,"Mostly industrial &amp; trades","Mostly customer-facing"))</f>
        <v>Mostly customer-facing</v>
      </c>
    </row>
    <row r="259" spans="1:10" x14ac:dyDescent="0.45">
      <c r="A259" s="14">
        <v>258</v>
      </c>
      <c r="B259" s="4" t="s">
        <v>1290</v>
      </c>
      <c r="C259" s="4" t="s">
        <v>1291</v>
      </c>
      <c r="D259" s="19">
        <f t="shared" si="12"/>
        <v>2</v>
      </c>
      <c r="E259" s="5">
        <v>1</v>
      </c>
      <c r="F259" s="5">
        <v>0</v>
      </c>
      <c r="G259" s="5">
        <v>1</v>
      </c>
      <c r="H259" s="5">
        <v>2</v>
      </c>
      <c r="I259" s="5">
        <f t="shared" si="13"/>
        <v>4</v>
      </c>
      <c r="J259" s="4" t="str">
        <f t="shared" si="14"/>
        <v>Mostly customer-facing</v>
      </c>
    </row>
    <row r="260" spans="1:10" x14ac:dyDescent="0.45">
      <c r="A260" s="14">
        <v>259</v>
      </c>
      <c r="B260" s="4" t="s">
        <v>1560</v>
      </c>
      <c r="C260" s="4" t="s">
        <v>1560</v>
      </c>
      <c r="D260" s="19">
        <f t="shared" si="12"/>
        <v>1</v>
      </c>
      <c r="E260" s="5">
        <v>0</v>
      </c>
      <c r="F260" s="5">
        <v>1</v>
      </c>
      <c r="G260" s="5">
        <v>0</v>
      </c>
      <c r="H260" s="5">
        <v>0</v>
      </c>
      <c r="I260" s="5">
        <f t="shared" si="13"/>
        <v>1</v>
      </c>
      <c r="J260" s="4" t="str">
        <f t="shared" si="14"/>
        <v>Mostly industrial &amp; trades</v>
      </c>
    </row>
    <row r="261" spans="1:10" x14ac:dyDescent="0.45">
      <c r="A261" s="14">
        <v>260</v>
      </c>
      <c r="B261" s="4" t="s">
        <v>1537</v>
      </c>
      <c r="C261" s="4" t="s">
        <v>1537</v>
      </c>
      <c r="D261" s="19">
        <f t="shared" si="12"/>
        <v>1</v>
      </c>
      <c r="E261" s="5">
        <v>0</v>
      </c>
      <c r="F261" s="5">
        <v>1</v>
      </c>
      <c r="G261" s="5">
        <v>0</v>
      </c>
      <c r="H261" s="5">
        <v>0</v>
      </c>
      <c r="I261" s="5">
        <f t="shared" si="13"/>
        <v>1</v>
      </c>
      <c r="J261" s="4" t="str">
        <f t="shared" si="14"/>
        <v>Mostly industrial &amp; trades</v>
      </c>
    </row>
    <row r="262" spans="1:10" x14ac:dyDescent="0.45">
      <c r="A262" s="14">
        <v>261</v>
      </c>
      <c r="B262" s="4" t="s">
        <v>1538</v>
      </c>
      <c r="C262" s="4" t="s">
        <v>1538</v>
      </c>
      <c r="D262" s="19">
        <f t="shared" si="12"/>
        <v>1</v>
      </c>
      <c r="E262" s="5">
        <v>1</v>
      </c>
      <c r="F262" s="5">
        <v>0</v>
      </c>
      <c r="G262" s="5">
        <v>0</v>
      </c>
      <c r="H262" s="5">
        <v>0</v>
      </c>
      <c r="I262" s="5">
        <f t="shared" si="13"/>
        <v>1</v>
      </c>
      <c r="J262" s="4" t="str">
        <f t="shared" si="14"/>
        <v>Mostly customer-facing</v>
      </c>
    </row>
    <row r="263" spans="1:10" x14ac:dyDescent="0.45">
      <c r="A263" s="14">
        <v>262</v>
      </c>
      <c r="B263" s="4" t="s">
        <v>1512</v>
      </c>
      <c r="C263" s="4" t="s">
        <v>1512</v>
      </c>
      <c r="D263" s="19">
        <f t="shared" si="12"/>
        <v>1</v>
      </c>
      <c r="E263" s="5">
        <v>0</v>
      </c>
      <c r="F263" s="5">
        <v>1</v>
      </c>
      <c r="G263" s="5">
        <v>0</v>
      </c>
      <c r="H263" s="5">
        <v>0</v>
      </c>
      <c r="I263" s="5">
        <f t="shared" si="13"/>
        <v>1</v>
      </c>
      <c r="J263" s="4" t="str">
        <f t="shared" si="14"/>
        <v>Mostly industrial &amp; trades</v>
      </c>
    </row>
    <row r="264" spans="1:10" x14ac:dyDescent="0.45">
      <c r="A264" s="14">
        <v>263</v>
      </c>
      <c r="B264" s="4" t="s">
        <v>1562</v>
      </c>
      <c r="C264" s="4" t="s">
        <v>1562</v>
      </c>
      <c r="D264" s="19">
        <f t="shared" si="12"/>
        <v>1</v>
      </c>
      <c r="E264" s="5">
        <v>1</v>
      </c>
      <c r="F264" s="5">
        <v>0</v>
      </c>
      <c r="G264" s="5">
        <v>0</v>
      </c>
      <c r="H264" s="5">
        <v>0</v>
      </c>
      <c r="I264" s="5">
        <f t="shared" si="13"/>
        <v>1</v>
      </c>
      <c r="J264" s="4" t="str">
        <f t="shared" si="14"/>
        <v>Mostly customer-facing</v>
      </c>
    </row>
    <row r="265" spans="1:10" x14ac:dyDescent="0.45">
      <c r="A265" s="14">
        <v>264</v>
      </c>
      <c r="B265" s="4" t="s">
        <v>1534</v>
      </c>
      <c r="C265" s="4" t="s">
        <v>1534</v>
      </c>
      <c r="D265" s="19">
        <f t="shared" si="12"/>
        <v>1</v>
      </c>
      <c r="E265" s="5">
        <v>0</v>
      </c>
      <c r="F265" s="5">
        <v>1</v>
      </c>
      <c r="G265" s="5">
        <v>0</v>
      </c>
      <c r="H265" s="5">
        <v>0</v>
      </c>
      <c r="I265" s="5">
        <f t="shared" si="13"/>
        <v>1</v>
      </c>
      <c r="J265" s="4" t="str">
        <f t="shared" si="14"/>
        <v>Mostly industrial &amp; trades</v>
      </c>
    </row>
    <row r="266" spans="1:10" x14ac:dyDescent="0.45">
      <c r="A266" s="14">
        <v>265</v>
      </c>
      <c r="B266" s="4" t="s">
        <v>1276</v>
      </c>
      <c r="C266" s="4" t="s">
        <v>1277</v>
      </c>
      <c r="D266" s="19">
        <f t="shared" si="12"/>
        <v>1</v>
      </c>
      <c r="E266" s="5">
        <v>1</v>
      </c>
      <c r="F266" s="5">
        <v>0</v>
      </c>
      <c r="G266" s="5">
        <v>0</v>
      </c>
      <c r="H266" s="5">
        <v>0</v>
      </c>
      <c r="I266" s="5">
        <f t="shared" si="13"/>
        <v>1</v>
      </c>
      <c r="J266" s="4" t="str">
        <f t="shared" si="14"/>
        <v>Mostly customer-facing</v>
      </c>
    </row>
    <row r="267" spans="1:10" x14ac:dyDescent="0.45">
      <c r="A267" s="14">
        <v>266</v>
      </c>
      <c r="B267" s="4" t="s">
        <v>1238</v>
      </c>
      <c r="C267" s="4" t="s">
        <v>1239</v>
      </c>
      <c r="D267" s="19">
        <f t="shared" si="12"/>
        <v>1</v>
      </c>
      <c r="E267" s="5">
        <v>1</v>
      </c>
      <c r="F267" s="5">
        <v>0</v>
      </c>
      <c r="G267" s="5">
        <v>0</v>
      </c>
      <c r="H267" s="5">
        <v>0</v>
      </c>
      <c r="I267" s="5">
        <f t="shared" si="13"/>
        <v>1</v>
      </c>
      <c r="J267" s="4" t="str">
        <f t="shared" si="14"/>
        <v>Mostly customer-facing</v>
      </c>
    </row>
    <row r="268" spans="1:10" x14ac:dyDescent="0.45">
      <c r="A268" s="14">
        <v>267</v>
      </c>
      <c r="B268" s="4" t="s">
        <v>1242</v>
      </c>
      <c r="C268" s="4" t="s">
        <v>1243</v>
      </c>
      <c r="D268" s="19">
        <f t="shared" si="12"/>
        <v>1</v>
      </c>
      <c r="E268" s="5">
        <v>1</v>
      </c>
      <c r="F268" s="5">
        <v>0</v>
      </c>
      <c r="G268" s="5">
        <v>0</v>
      </c>
      <c r="H268" s="5">
        <v>0</v>
      </c>
      <c r="I268" s="5">
        <f t="shared" si="13"/>
        <v>1</v>
      </c>
      <c r="J268" s="4" t="str">
        <f t="shared" si="14"/>
        <v>Mostly customer-facing</v>
      </c>
    </row>
    <row r="269" spans="1:10" x14ac:dyDescent="0.45">
      <c r="A269" s="14">
        <v>268</v>
      </c>
      <c r="B269" s="4" t="s">
        <v>1274</v>
      </c>
      <c r="C269" s="4" t="s">
        <v>1275</v>
      </c>
      <c r="D269" s="19">
        <f t="shared" si="12"/>
        <v>1</v>
      </c>
      <c r="E269" s="5">
        <v>1</v>
      </c>
      <c r="F269" s="5">
        <v>0</v>
      </c>
      <c r="G269" s="5">
        <v>0</v>
      </c>
      <c r="H269" s="5">
        <v>0</v>
      </c>
      <c r="I269" s="5">
        <f t="shared" si="13"/>
        <v>1</v>
      </c>
      <c r="J269" s="4" t="str">
        <f t="shared" si="14"/>
        <v>Mostly customer-facing</v>
      </c>
    </row>
    <row r="270" spans="1:10" x14ac:dyDescent="0.45">
      <c r="A270" s="14">
        <v>269</v>
      </c>
      <c r="B270" s="4" t="s">
        <v>1216</v>
      </c>
      <c r="C270" s="4" t="s">
        <v>1217</v>
      </c>
      <c r="D270" s="19">
        <f t="shared" si="12"/>
        <v>1</v>
      </c>
      <c r="E270" s="5">
        <v>1</v>
      </c>
      <c r="F270" s="5">
        <v>0</v>
      </c>
      <c r="G270" s="5">
        <v>0</v>
      </c>
      <c r="H270" s="5">
        <v>3</v>
      </c>
      <c r="I270" s="5">
        <f t="shared" si="13"/>
        <v>4</v>
      </c>
      <c r="J270" s="4" t="str">
        <f t="shared" si="14"/>
        <v>Mostly customer-facing</v>
      </c>
    </row>
    <row r="271" spans="1:10" x14ac:dyDescent="0.45">
      <c r="A271" s="14">
        <v>270</v>
      </c>
      <c r="B271" s="4" t="s">
        <v>1554</v>
      </c>
      <c r="C271" s="4" t="s">
        <v>1555</v>
      </c>
      <c r="D271" s="19">
        <f t="shared" si="12"/>
        <v>1</v>
      </c>
      <c r="E271" s="5">
        <v>1</v>
      </c>
      <c r="F271" s="5">
        <v>0</v>
      </c>
      <c r="G271" s="5">
        <v>0</v>
      </c>
      <c r="H271" s="5">
        <v>0</v>
      </c>
      <c r="I271" s="5">
        <f t="shared" si="13"/>
        <v>1</v>
      </c>
      <c r="J271" s="4" t="str">
        <f t="shared" si="14"/>
        <v>Mostly customer-facing</v>
      </c>
    </row>
    <row r="272" spans="1:10" x14ac:dyDescent="0.45">
      <c r="A272" s="14">
        <v>271</v>
      </c>
      <c r="B272" s="4" t="s">
        <v>1370</v>
      </c>
      <c r="C272" s="4" t="s">
        <v>1371</v>
      </c>
      <c r="D272" s="19">
        <f t="shared" si="12"/>
        <v>1</v>
      </c>
      <c r="E272" s="5">
        <v>0</v>
      </c>
      <c r="F272" s="5">
        <v>0</v>
      </c>
      <c r="G272" s="5">
        <v>1</v>
      </c>
      <c r="H272" s="5">
        <v>3</v>
      </c>
      <c r="I272" s="5">
        <f t="shared" si="13"/>
        <v>4</v>
      </c>
      <c r="J272" s="4" t="str">
        <f t="shared" si="14"/>
        <v>Mostly customer-facing</v>
      </c>
    </row>
    <row r="273" spans="1:10" x14ac:dyDescent="0.45">
      <c r="A273" s="14">
        <v>272</v>
      </c>
      <c r="B273" s="4"/>
      <c r="C273" s="4" t="s">
        <v>1576</v>
      </c>
      <c r="D273" s="19">
        <f t="shared" si="12"/>
        <v>0</v>
      </c>
      <c r="E273" s="5">
        <v>0</v>
      </c>
      <c r="F273" s="5">
        <v>0</v>
      </c>
      <c r="G273" s="5">
        <v>0</v>
      </c>
      <c r="H273" s="5">
        <v>0</v>
      </c>
      <c r="I273" s="5">
        <f t="shared" si="13"/>
        <v>0</v>
      </c>
      <c r="J273" s="4" t="str">
        <f t="shared" si="14"/>
        <v>No businesses</v>
      </c>
    </row>
    <row r="274" spans="1:10" x14ac:dyDescent="0.45">
      <c r="A274" s="14">
        <v>273</v>
      </c>
      <c r="B274" s="4" t="s">
        <v>1536</v>
      </c>
      <c r="C274" s="4" t="s">
        <v>1536</v>
      </c>
      <c r="D274" s="19">
        <f t="shared" si="12"/>
        <v>0</v>
      </c>
      <c r="E274" s="5">
        <v>0</v>
      </c>
      <c r="F274" s="5">
        <v>0</v>
      </c>
      <c r="G274" s="5">
        <v>0</v>
      </c>
      <c r="H274" s="5">
        <v>0</v>
      </c>
      <c r="I274" s="5">
        <f t="shared" si="13"/>
        <v>0</v>
      </c>
      <c r="J274" s="4" t="str">
        <f t="shared" si="14"/>
        <v>No businesses</v>
      </c>
    </row>
    <row r="275" spans="1:10" x14ac:dyDescent="0.45">
      <c r="A275" s="14">
        <v>274</v>
      </c>
      <c r="B275" s="4" t="s">
        <v>1550</v>
      </c>
      <c r="C275" s="4" t="s">
        <v>1550</v>
      </c>
      <c r="D275" s="19">
        <f t="shared" si="12"/>
        <v>0</v>
      </c>
      <c r="E275" s="5">
        <v>0</v>
      </c>
      <c r="F275" s="5">
        <v>0</v>
      </c>
      <c r="G275" s="5">
        <v>0</v>
      </c>
      <c r="H275" s="5">
        <v>0</v>
      </c>
      <c r="I275" s="5">
        <f t="shared" si="13"/>
        <v>0</v>
      </c>
      <c r="J275" s="4" t="str">
        <f t="shared" si="14"/>
        <v>No businesses</v>
      </c>
    </row>
    <row r="276" spans="1:10" x14ac:dyDescent="0.45">
      <c r="A276" s="14">
        <v>275</v>
      </c>
      <c r="B276" s="4" t="s">
        <v>1571</v>
      </c>
      <c r="C276" s="4" t="s">
        <v>1571</v>
      </c>
      <c r="D276" s="19">
        <f t="shared" si="12"/>
        <v>0</v>
      </c>
      <c r="E276" s="5">
        <v>0</v>
      </c>
      <c r="F276" s="5">
        <v>0</v>
      </c>
      <c r="G276" s="5">
        <v>0</v>
      </c>
      <c r="H276" s="5">
        <v>0</v>
      </c>
      <c r="I276" s="5">
        <f t="shared" si="13"/>
        <v>0</v>
      </c>
      <c r="J276" s="4" t="str">
        <f t="shared" si="14"/>
        <v>No businesses</v>
      </c>
    </row>
    <row r="277" spans="1:10" x14ac:dyDescent="0.45">
      <c r="A277" s="14">
        <v>276</v>
      </c>
      <c r="B277" s="4" t="s">
        <v>1539</v>
      </c>
      <c r="C277" s="4" t="s">
        <v>1539</v>
      </c>
      <c r="D277" s="19">
        <f t="shared" si="12"/>
        <v>0</v>
      </c>
      <c r="E277" s="5">
        <v>0</v>
      </c>
      <c r="F277" s="5">
        <v>0</v>
      </c>
      <c r="G277" s="5">
        <v>0</v>
      </c>
      <c r="H277" s="5">
        <v>0</v>
      </c>
      <c r="I277" s="5">
        <f t="shared" si="13"/>
        <v>0</v>
      </c>
      <c r="J277" s="4" t="str">
        <f t="shared" si="14"/>
        <v>No businesses</v>
      </c>
    </row>
    <row r="278" spans="1:10" x14ac:dyDescent="0.45">
      <c r="A278" s="14">
        <v>277</v>
      </c>
      <c r="B278" s="4" t="s">
        <v>1558</v>
      </c>
      <c r="C278" s="4" t="s">
        <v>1558</v>
      </c>
      <c r="D278" s="19">
        <f t="shared" si="12"/>
        <v>0</v>
      </c>
      <c r="E278" s="5">
        <v>0</v>
      </c>
      <c r="F278" s="5">
        <v>0</v>
      </c>
      <c r="G278" s="5">
        <v>0</v>
      </c>
      <c r="H278" s="5">
        <v>0</v>
      </c>
      <c r="I278" s="5">
        <f t="shared" si="13"/>
        <v>0</v>
      </c>
      <c r="J278" s="4" t="str">
        <f t="shared" si="14"/>
        <v>No businesses</v>
      </c>
    </row>
    <row r="279" spans="1:10" x14ac:dyDescent="0.45">
      <c r="A279" s="14">
        <v>278</v>
      </c>
      <c r="B279" s="4" t="s">
        <v>1548</v>
      </c>
      <c r="C279" s="4" t="s">
        <v>1548</v>
      </c>
      <c r="D279" s="19">
        <f t="shared" si="12"/>
        <v>0</v>
      </c>
      <c r="E279" s="5">
        <v>0</v>
      </c>
      <c r="F279" s="5">
        <v>0</v>
      </c>
      <c r="G279" s="5">
        <v>0</v>
      </c>
      <c r="H279" s="5">
        <v>0</v>
      </c>
      <c r="I279" s="5">
        <f t="shared" si="13"/>
        <v>0</v>
      </c>
      <c r="J279" s="4" t="str">
        <f t="shared" si="14"/>
        <v>No businesses</v>
      </c>
    </row>
    <row r="280" spans="1:10" x14ac:dyDescent="0.45">
      <c r="A280" s="14">
        <v>279</v>
      </c>
      <c r="B280" s="4" t="s">
        <v>1547</v>
      </c>
      <c r="C280" s="4" t="s">
        <v>1547</v>
      </c>
      <c r="D280" s="19">
        <f t="shared" si="12"/>
        <v>0</v>
      </c>
      <c r="E280" s="5">
        <v>0</v>
      </c>
      <c r="F280" s="5">
        <v>0</v>
      </c>
      <c r="G280" s="5">
        <v>0</v>
      </c>
      <c r="H280" s="5">
        <v>0</v>
      </c>
      <c r="I280" s="5">
        <f t="shared" si="13"/>
        <v>0</v>
      </c>
      <c r="J280" s="4" t="str">
        <f t="shared" si="14"/>
        <v>No businesses</v>
      </c>
    </row>
    <row r="281" spans="1:10" x14ac:dyDescent="0.45">
      <c r="A281" s="14">
        <v>280</v>
      </c>
      <c r="B281" s="4" t="s">
        <v>1563</v>
      </c>
      <c r="C281" s="4" t="s">
        <v>1563</v>
      </c>
      <c r="D281" s="19">
        <f t="shared" si="12"/>
        <v>0</v>
      </c>
      <c r="E281" s="5">
        <v>0</v>
      </c>
      <c r="F281" s="5">
        <v>0</v>
      </c>
      <c r="G281" s="5">
        <v>0</v>
      </c>
      <c r="H281" s="5">
        <v>0</v>
      </c>
      <c r="I281" s="5">
        <f t="shared" si="13"/>
        <v>0</v>
      </c>
      <c r="J281" s="4" t="str">
        <f t="shared" si="14"/>
        <v>No businesses</v>
      </c>
    </row>
    <row r="282" spans="1:10" x14ac:dyDescent="0.45">
      <c r="A282" s="14">
        <v>281</v>
      </c>
      <c r="B282" s="4" t="s">
        <v>1569</v>
      </c>
      <c r="C282" s="4" t="s">
        <v>1569</v>
      </c>
      <c r="D282" s="19">
        <f t="shared" si="12"/>
        <v>0</v>
      </c>
      <c r="E282" s="5">
        <v>0</v>
      </c>
      <c r="F282" s="5">
        <v>0</v>
      </c>
      <c r="G282" s="5">
        <v>0</v>
      </c>
      <c r="H282" s="5">
        <v>0</v>
      </c>
      <c r="I282" s="5">
        <f t="shared" si="13"/>
        <v>0</v>
      </c>
      <c r="J282" s="4" t="str">
        <f t="shared" si="14"/>
        <v>No businesses</v>
      </c>
    </row>
    <row r="283" spans="1:10" x14ac:dyDescent="0.45">
      <c r="A283" s="14">
        <v>282</v>
      </c>
      <c r="B283" s="4" t="s">
        <v>1559</v>
      </c>
      <c r="C283" s="4" t="s">
        <v>1559</v>
      </c>
      <c r="D283" s="19">
        <f t="shared" si="12"/>
        <v>0</v>
      </c>
      <c r="E283" s="5">
        <v>0</v>
      </c>
      <c r="F283" s="5">
        <v>0</v>
      </c>
      <c r="G283" s="5">
        <v>0</v>
      </c>
      <c r="H283" s="5">
        <v>0</v>
      </c>
      <c r="I283" s="5">
        <f t="shared" si="13"/>
        <v>0</v>
      </c>
      <c r="J283" s="4" t="str">
        <f t="shared" si="14"/>
        <v>No businesses</v>
      </c>
    </row>
    <row r="284" spans="1:10" x14ac:dyDescent="0.45">
      <c r="A284" s="14">
        <v>283</v>
      </c>
      <c r="B284" s="4" t="s">
        <v>1510</v>
      </c>
      <c r="C284" s="4" t="s">
        <v>1510</v>
      </c>
      <c r="D284" s="19">
        <f t="shared" si="12"/>
        <v>0</v>
      </c>
      <c r="E284" s="5">
        <v>0</v>
      </c>
      <c r="F284" s="5">
        <v>0</v>
      </c>
      <c r="G284" s="5">
        <v>0</v>
      </c>
      <c r="H284" s="5">
        <v>0</v>
      </c>
      <c r="I284" s="5">
        <f t="shared" si="13"/>
        <v>0</v>
      </c>
      <c r="J284" s="4" t="str">
        <f t="shared" si="14"/>
        <v>No businesses</v>
      </c>
    </row>
    <row r="285" spans="1:10" x14ac:dyDescent="0.45">
      <c r="A285" s="14">
        <v>284</v>
      </c>
      <c r="B285" s="4" t="s">
        <v>1503</v>
      </c>
      <c r="C285" s="4" t="s">
        <v>1503</v>
      </c>
      <c r="D285" s="19">
        <f t="shared" si="12"/>
        <v>0</v>
      </c>
      <c r="E285" s="5">
        <v>0</v>
      </c>
      <c r="F285" s="5">
        <v>0</v>
      </c>
      <c r="G285" s="5">
        <v>0</v>
      </c>
      <c r="H285" s="5">
        <v>0</v>
      </c>
      <c r="I285" s="5">
        <f t="shared" si="13"/>
        <v>0</v>
      </c>
      <c r="J285" s="4" t="str">
        <f t="shared" si="14"/>
        <v>No businesses</v>
      </c>
    </row>
    <row r="286" spans="1:10" x14ac:dyDescent="0.45">
      <c r="A286" s="14">
        <v>285</v>
      </c>
      <c r="B286" s="4" t="s">
        <v>1570</v>
      </c>
      <c r="C286" s="4" t="s">
        <v>1570</v>
      </c>
      <c r="D286" s="19">
        <f t="shared" si="12"/>
        <v>0</v>
      </c>
      <c r="E286" s="5">
        <v>0</v>
      </c>
      <c r="F286" s="5">
        <v>0</v>
      </c>
      <c r="G286" s="5">
        <v>0</v>
      </c>
      <c r="H286" s="5">
        <v>0</v>
      </c>
      <c r="I286" s="5">
        <f t="shared" si="13"/>
        <v>0</v>
      </c>
      <c r="J286" s="4" t="str">
        <f t="shared" si="14"/>
        <v>No businesses</v>
      </c>
    </row>
    <row r="287" spans="1:10" x14ac:dyDescent="0.45">
      <c r="A287" s="14">
        <v>286</v>
      </c>
      <c r="B287" s="4" t="s">
        <v>1474</v>
      </c>
      <c r="C287" s="4" t="s">
        <v>1474</v>
      </c>
      <c r="D287" s="19">
        <f t="shared" si="12"/>
        <v>0</v>
      </c>
      <c r="E287" s="5">
        <v>0</v>
      </c>
      <c r="F287" s="5">
        <v>0</v>
      </c>
      <c r="G287" s="5">
        <v>0</v>
      </c>
      <c r="H287" s="5">
        <v>0</v>
      </c>
      <c r="I287" s="5">
        <f t="shared" si="13"/>
        <v>0</v>
      </c>
      <c r="J287" s="4" t="str">
        <f t="shared" si="14"/>
        <v>No businesses</v>
      </c>
    </row>
    <row r="288" spans="1:10" x14ac:dyDescent="0.45">
      <c r="A288" s="14">
        <v>287</v>
      </c>
      <c r="B288" s="4" t="s">
        <v>1553</v>
      </c>
      <c r="C288" s="4" t="s">
        <v>1553</v>
      </c>
      <c r="D288" s="19">
        <f t="shared" si="12"/>
        <v>0</v>
      </c>
      <c r="E288" s="5">
        <v>0</v>
      </c>
      <c r="F288" s="5">
        <v>0</v>
      </c>
      <c r="G288" s="5">
        <v>0</v>
      </c>
      <c r="H288" s="5">
        <v>0</v>
      </c>
      <c r="I288" s="5">
        <f t="shared" si="13"/>
        <v>0</v>
      </c>
      <c r="J288" s="4" t="str">
        <f t="shared" si="14"/>
        <v>No businesses</v>
      </c>
    </row>
    <row r="289" spans="1:10" x14ac:dyDescent="0.45">
      <c r="A289" s="14">
        <v>288</v>
      </c>
      <c r="B289" s="4" t="s">
        <v>1511</v>
      </c>
      <c r="C289" s="4" t="s">
        <v>1511</v>
      </c>
      <c r="D289" s="19">
        <f t="shared" si="12"/>
        <v>0</v>
      </c>
      <c r="E289" s="5">
        <v>0</v>
      </c>
      <c r="F289" s="5">
        <v>0</v>
      </c>
      <c r="G289" s="5">
        <v>0</v>
      </c>
      <c r="H289" s="5">
        <v>0</v>
      </c>
      <c r="I289" s="5">
        <f t="shared" si="13"/>
        <v>0</v>
      </c>
      <c r="J289" s="4" t="str">
        <f t="shared" si="14"/>
        <v>No businesses</v>
      </c>
    </row>
    <row r="290" spans="1:10" x14ac:dyDescent="0.45">
      <c r="A290" s="14">
        <v>289</v>
      </c>
      <c r="B290" s="4" t="s">
        <v>1498</v>
      </c>
      <c r="C290" s="4" t="s">
        <v>1498</v>
      </c>
      <c r="D290" s="19">
        <f t="shared" si="12"/>
        <v>0</v>
      </c>
      <c r="E290" s="5">
        <v>0</v>
      </c>
      <c r="F290" s="5">
        <v>0</v>
      </c>
      <c r="G290" s="5">
        <v>0</v>
      </c>
      <c r="H290" s="5">
        <v>0</v>
      </c>
      <c r="I290" s="5">
        <f t="shared" si="13"/>
        <v>0</v>
      </c>
      <c r="J290" s="4" t="str">
        <f t="shared" si="14"/>
        <v>No businesses</v>
      </c>
    </row>
    <row r="291" spans="1:10" x14ac:dyDescent="0.45">
      <c r="A291" s="14">
        <v>290</v>
      </c>
      <c r="B291" s="4" t="s">
        <v>1541</v>
      </c>
      <c r="C291" s="4" t="s">
        <v>1541</v>
      </c>
      <c r="D291" s="19">
        <f t="shared" si="12"/>
        <v>0</v>
      </c>
      <c r="E291" s="5">
        <v>0</v>
      </c>
      <c r="F291" s="5">
        <v>0</v>
      </c>
      <c r="G291" s="5">
        <v>0</v>
      </c>
      <c r="H291" s="5">
        <v>0</v>
      </c>
      <c r="I291" s="5">
        <f t="shared" si="13"/>
        <v>0</v>
      </c>
      <c r="J291" s="4" t="str">
        <f t="shared" si="14"/>
        <v>No businesses</v>
      </c>
    </row>
    <row r="292" spans="1:10" x14ac:dyDescent="0.45">
      <c r="A292" s="14">
        <v>291</v>
      </c>
      <c r="B292" s="4" t="s">
        <v>1575</v>
      </c>
      <c r="C292" s="4" t="s">
        <v>1575</v>
      </c>
      <c r="D292" s="19">
        <f t="shared" si="12"/>
        <v>0</v>
      </c>
      <c r="E292" s="5">
        <v>0</v>
      </c>
      <c r="F292" s="5">
        <v>0</v>
      </c>
      <c r="G292" s="5">
        <v>0</v>
      </c>
      <c r="H292" s="5">
        <v>0</v>
      </c>
      <c r="I292" s="5">
        <f t="shared" si="13"/>
        <v>0</v>
      </c>
      <c r="J292" s="4" t="str">
        <f t="shared" si="14"/>
        <v>No businesses</v>
      </c>
    </row>
    <row r="293" spans="1:10" x14ac:dyDescent="0.45">
      <c r="A293" s="14">
        <v>292</v>
      </c>
      <c r="B293" s="4" t="s">
        <v>1574</v>
      </c>
      <c r="C293" s="4" t="s">
        <v>1574</v>
      </c>
      <c r="D293" s="19">
        <f t="shared" si="12"/>
        <v>0</v>
      </c>
      <c r="E293" s="5">
        <v>0</v>
      </c>
      <c r="F293" s="5">
        <v>0</v>
      </c>
      <c r="G293" s="5">
        <v>0</v>
      </c>
      <c r="H293" s="5">
        <v>0</v>
      </c>
      <c r="I293" s="5">
        <f t="shared" si="13"/>
        <v>0</v>
      </c>
      <c r="J293" s="4" t="str">
        <f t="shared" si="14"/>
        <v>No businesses</v>
      </c>
    </row>
    <row r="294" spans="1:10" x14ac:dyDescent="0.45">
      <c r="A294" s="14">
        <v>293</v>
      </c>
      <c r="B294" s="4" t="s">
        <v>1573</v>
      </c>
      <c r="C294" s="4" t="s">
        <v>1573</v>
      </c>
      <c r="D294" s="19">
        <f t="shared" si="12"/>
        <v>0</v>
      </c>
      <c r="E294" s="5">
        <v>0</v>
      </c>
      <c r="F294" s="5">
        <v>0</v>
      </c>
      <c r="G294" s="5">
        <v>0</v>
      </c>
      <c r="H294" s="5">
        <v>0</v>
      </c>
      <c r="I294" s="5">
        <f t="shared" si="13"/>
        <v>0</v>
      </c>
      <c r="J294" s="4" t="str">
        <f t="shared" si="14"/>
        <v>No businesses</v>
      </c>
    </row>
    <row r="295" spans="1:10" x14ac:dyDescent="0.45">
      <c r="A295" s="14">
        <v>294</v>
      </c>
      <c r="B295" s="4" t="s">
        <v>1544</v>
      </c>
      <c r="C295" s="4" t="s">
        <v>1544</v>
      </c>
      <c r="D295" s="19">
        <f t="shared" si="12"/>
        <v>0</v>
      </c>
      <c r="E295" s="5">
        <v>0</v>
      </c>
      <c r="F295" s="5">
        <v>0</v>
      </c>
      <c r="G295" s="5">
        <v>0</v>
      </c>
      <c r="H295" s="5">
        <v>0</v>
      </c>
      <c r="I295" s="5">
        <f t="shared" si="13"/>
        <v>0</v>
      </c>
      <c r="J295" s="4" t="str">
        <f t="shared" si="14"/>
        <v>No businesses</v>
      </c>
    </row>
    <row r="296" spans="1:10" x14ac:dyDescent="0.45">
      <c r="A296" s="14">
        <v>295</v>
      </c>
      <c r="B296" s="4" t="s">
        <v>1564</v>
      </c>
      <c r="C296" s="4" t="s">
        <v>1564</v>
      </c>
      <c r="D296" s="19">
        <f t="shared" si="12"/>
        <v>0</v>
      </c>
      <c r="E296" s="5">
        <v>0</v>
      </c>
      <c r="F296" s="5">
        <v>0</v>
      </c>
      <c r="G296" s="5">
        <v>0</v>
      </c>
      <c r="H296" s="5">
        <v>0</v>
      </c>
      <c r="I296" s="5">
        <f t="shared" si="13"/>
        <v>0</v>
      </c>
      <c r="J296" s="4" t="str">
        <f t="shared" si="14"/>
        <v>No businesses</v>
      </c>
    </row>
    <row r="297" spans="1:10" x14ac:dyDescent="0.45">
      <c r="A297" s="14">
        <v>296</v>
      </c>
      <c r="B297" s="4" t="s">
        <v>1556</v>
      </c>
      <c r="C297" s="4" t="s">
        <v>1556</v>
      </c>
      <c r="D297" s="19">
        <f t="shared" si="12"/>
        <v>0</v>
      </c>
      <c r="E297" s="5">
        <v>0</v>
      </c>
      <c r="F297" s="5">
        <v>0</v>
      </c>
      <c r="G297" s="5">
        <v>0</v>
      </c>
      <c r="H297" s="5">
        <v>0</v>
      </c>
      <c r="I297" s="5">
        <f t="shared" si="13"/>
        <v>0</v>
      </c>
      <c r="J297" s="4" t="str">
        <f t="shared" si="14"/>
        <v>No businesses</v>
      </c>
    </row>
    <row r="298" spans="1:10" x14ac:dyDescent="0.45">
      <c r="A298" s="14">
        <v>297</v>
      </c>
      <c r="B298" s="4" t="s">
        <v>1565</v>
      </c>
      <c r="C298" s="4" t="s">
        <v>1565</v>
      </c>
      <c r="D298" s="19">
        <f t="shared" si="12"/>
        <v>0</v>
      </c>
      <c r="E298" s="5">
        <v>0</v>
      </c>
      <c r="F298" s="5">
        <v>0</v>
      </c>
      <c r="G298" s="5">
        <v>0</v>
      </c>
      <c r="H298" s="5">
        <v>0</v>
      </c>
      <c r="I298" s="5">
        <f t="shared" si="13"/>
        <v>0</v>
      </c>
      <c r="J298" s="4" t="str">
        <f t="shared" si="14"/>
        <v>No businesses</v>
      </c>
    </row>
    <row r="299" spans="1:10" x14ac:dyDescent="0.45">
      <c r="A299" s="14">
        <v>298</v>
      </c>
      <c r="B299" s="4" t="s">
        <v>1557</v>
      </c>
      <c r="C299" s="4" t="s">
        <v>1557</v>
      </c>
      <c r="D299" s="19">
        <f t="shared" si="12"/>
        <v>0</v>
      </c>
      <c r="E299" s="5">
        <v>0</v>
      </c>
      <c r="F299" s="5">
        <v>0</v>
      </c>
      <c r="G299" s="5">
        <v>0</v>
      </c>
      <c r="H299" s="5">
        <v>0</v>
      </c>
      <c r="I299" s="5">
        <f t="shared" si="13"/>
        <v>0</v>
      </c>
      <c r="J299" s="4" t="str">
        <f t="shared" si="14"/>
        <v>No businesses</v>
      </c>
    </row>
    <row r="300" spans="1:10" x14ac:dyDescent="0.45">
      <c r="A300" s="14">
        <v>299</v>
      </c>
      <c r="B300" s="4" t="s">
        <v>1496</v>
      </c>
      <c r="C300" s="4" t="s">
        <v>1497</v>
      </c>
      <c r="D300" s="19">
        <f t="shared" si="12"/>
        <v>0</v>
      </c>
      <c r="E300" s="5">
        <v>0</v>
      </c>
      <c r="F300" s="5">
        <v>0</v>
      </c>
      <c r="G300" s="5">
        <v>0</v>
      </c>
      <c r="H300" s="5">
        <v>0</v>
      </c>
      <c r="I300" s="5">
        <f t="shared" si="13"/>
        <v>0</v>
      </c>
      <c r="J300" s="4" t="str">
        <f t="shared" si="14"/>
        <v>No businesses</v>
      </c>
    </row>
    <row r="301" spans="1:10" x14ac:dyDescent="0.45">
      <c r="A301" s="14">
        <v>300</v>
      </c>
      <c r="B301" s="4" t="s">
        <v>1566</v>
      </c>
      <c r="C301" s="4" t="s">
        <v>1567</v>
      </c>
      <c r="D301" s="19">
        <f t="shared" si="12"/>
        <v>0</v>
      </c>
      <c r="E301" s="5">
        <v>0</v>
      </c>
      <c r="F301" s="5">
        <v>0</v>
      </c>
      <c r="G301" s="5">
        <v>0</v>
      </c>
      <c r="H301" s="5">
        <v>0</v>
      </c>
      <c r="I301" s="5">
        <f t="shared" si="13"/>
        <v>0</v>
      </c>
      <c r="J301" s="4" t="str">
        <f t="shared" si="14"/>
        <v>No businesses</v>
      </c>
    </row>
    <row r="302" spans="1:10" x14ac:dyDescent="0.45">
      <c r="A302" s="14">
        <v>301</v>
      </c>
      <c r="B302" s="4" t="s">
        <v>1482</v>
      </c>
      <c r="C302" s="4" t="s">
        <v>1483</v>
      </c>
      <c r="D302" s="19">
        <f t="shared" si="12"/>
        <v>0</v>
      </c>
      <c r="E302" s="5">
        <v>0</v>
      </c>
      <c r="F302" s="5">
        <v>0</v>
      </c>
      <c r="G302" s="5">
        <v>0</v>
      </c>
      <c r="H302" s="5">
        <v>0</v>
      </c>
      <c r="I302" s="5">
        <f t="shared" si="13"/>
        <v>0</v>
      </c>
      <c r="J302" s="4" t="str">
        <f t="shared" si="14"/>
        <v>No businesses</v>
      </c>
    </row>
    <row r="303" spans="1:10" x14ac:dyDescent="0.45">
      <c r="A303" s="14">
        <v>302</v>
      </c>
      <c r="B303" s="4" t="s">
        <v>1318</v>
      </c>
      <c r="C303" s="4" t="s">
        <v>1319</v>
      </c>
      <c r="D303" s="19">
        <f t="shared" si="12"/>
        <v>0</v>
      </c>
      <c r="E303" s="5">
        <v>0</v>
      </c>
      <c r="F303" s="5">
        <v>0</v>
      </c>
      <c r="G303" s="5">
        <v>0</v>
      </c>
      <c r="H303" s="5">
        <v>0</v>
      </c>
      <c r="I303" s="5">
        <f t="shared" si="13"/>
        <v>0</v>
      </c>
      <c r="J303" s="4" t="str">
        <f t="shared" si="14"/>
        <v>No businesses</v>
      </c>
    </row>
    <row r="304" spans="1:10" x14ac:dyDescent="0.45">
      <c r="A304" s="14">
        <v>303</v>
      </c>
      <c r="B304" s="4" t="s">
        <v>1476</v>
      </c>
      <c r="C304" s="4" t="s">
        <v>1477</v>
      </c>
      <c r="D304" s="19">
        <f t="shared" si="12"/>
        <v>0</v>
      </c>
      <c r="E304" s="5">
        <v>0</v>
      </c>
      <c r="F304" s="5">
        <v>0</v>
      </c>
      <c r="G304" s="5">
        <v>0</v>
      </c>
      <c r="H304" s="5">
        <v>0</v>
      </c>
      <c r="I304" s="5">
        <f t="shared" si="13"/>
        <v>0</v>
      </c>
      <c r="J304" s="4" t="str">
        <f t="shared" si="14"/>
        <v>No businesses</v>
      </c>
    </row>
    <row r="305" spans="1:10" x14ac:dyDescent="0.45">
      <c r="A305" s="14">
        <v>304</v>
      </c>
      <c r="B305" s="4" t="s">
        <v>1314</v>
      </c>
      <c r="C305" s="4" t="s">
        <v>1315</v>
      </c>
      <c r="D305" s="19">
        <f t="shared" si="12"/>
        <v>0</v>
      </c>
      <c r="E305" s="5">
        <v>0</v>
      </c>
      <c r="F305" s="5">
        <v>0</v>
      </c>
      <c r="G305" s="5">
        <v>0</v>
      </c>
      <c r="H305" s="5">
        <v>0</v>
      </c>
      <c r="I305" s="5">
        <f t="shared" si="13"/>
        <v>0</v>
      </c>
      <c r="J305" s="4" t="str">
        <f t="shared" si="14"/>
        <v>No businesses</v>
      </c>
    </row>
    <row r="306" spans="1:10" x14ac:dyDescent="0.45">
      <c r="A306" s="14">
        <v>305</v>
      </c>
      <c r="B306" s="4" t="s">
        <v>1420</v>
      </c>
      <c r="C306" s="4" t="s">
        <v>1421</v>
      </c>
      <c r="D306" s="19">
        <f t="shared" si="12"/>
        <v>0</v>
      </c>
      <c r="E306" s="5">
        <v>0</v>
      </c>
      <c r="F306" s="5">
        <v>0</v>
      </c>
      <c r="G306" s="5">
        <v>0</v>
      </c>
      <c r="H306" s="5">
        <v>0</v>
      </c>
      <c r="I306" s="5">
        <f t="shared" si="13"/>
        <v>0</v>
      </c>
      <c r="J306" s="4" t="str">
        <f t="shared" si="14"/>
        <v>No businesses</v>
      </c>
    </row>
    <row r="307" spans="1:10" x14ac:dyDescent="0.45">
      <c r="A307" s="14">
        <v>306</v>
      </c>
      <c r="B307" s="4" t="s">
        <v>1508</v>
      </c>
      <c r="C307" s="4" t="s">
        <v>1509</v>
      </c>
      <c r="D307" s="19">
        <f t="shared" si="12"/>
        <v>0</v>
      </c>
      <c r="E307" s="5">
        <v>0</v>
      </c>
      <c r="F307" s="5">
        <v>0</v>
      </c>
      <c r="G307" s="5">
        <v>0</v>
      </c>
      <c r="H307" s="5">
        <v>0</v>
      </c>
      <c r="I307" s="5">
        <f t="shared" si="13"/>
        <v>0</v>
      </c>
      <c r="J307" s="4" t="str">
        <f t="shared" si="14"/>
        <v>No businesses</v>
      </c>
    </row>
    <row r="308" spans="1:10" x14ac:dyDescent="0.45">
      <c r="A308" s="14">
        <v>307</v>
      </c>
      <c r="B308" s="4" t="s">
        <v>1300</v>
      </c>
      <c r="C308" s="4" t="s">
        <v>1301</v>
      </c>
      <c r="D308" s="19">
        <f t="shared" si="12"/>
        <v>0</v>
      </c>
      <c r="E308" s="5">
        <v>0</v>
      </c>
      <c r="F308" s="5">
        <v>0</v>
      </c>
      <c r="G308" s="5">
        <v>0</v>
      </c>
      <c r="H308" s="5">
        <v>2</v>
      </c>
      <c r="I308" s="5">
        <f t="shared" si="13"/>
        <v>2</v>
      </c>
      <c r="J308" s="4" t="str">
        <f t="shared" si="14"/>
        <v>No businesses</v>
      </c>
    </row>
    <row r="309" spans="1:10" x14ac:dyDescent="0.45">
      <c r="A309" s="14">
        <v>308</v>
      </c>
      <c r="B309" s="4" t="s">
        <v>1111</v>
      </c>
      <c r="C309" s="4" t="s">
        <v>1112</v>
      </c>
      <c r="D309" s="19">
        <f t="shared" si="12"/>
        <v>0</v>
      </c>
      <c r="E309" s="5">
        <v>0</v>
      </c>
      <c r="F309" s="5">
        <v>0</v>
      </c>
      <c r="G309" s="5">
        <v>0</v>
      </c>
      <c r="H309" s="5">
        <v>3</v>
      </c>
      <c r="I309" s="5">
        <f t="shared" si="13"/>
        <v>3</v>
      </c>
      <c r="J309" s="4" t="str">
        <f t="shared" si="14"/>
        <v>No businesses</v>
      </c>
    </row>
    <row r="310" spans="1:10" x14ac:dyDescent="0.45">
      <c r="A310" s="14">
        <v>309</v>
      </c>
      <c r="B310" s="4" t="s">
        <v>1272</v>
      </c>
      <c r="C310" s="4" t="s">
        <v>1273</v>
      </c>
      <c r="D310" s="19">
        <f t="shared" si="12"/>
        <v>0</v>
      </c>
      <c r="E310" s="5">
        <v>0</v>
      </c>
      <c r="F310" s="5">
        <v>0</v>
      </c>
      <c r="G310" s="5">
        <v>0</v>
      </c>
      <c r="H310" s="5">
        <v>0</v>
      </c>
      <c r="I310" s="5">
        <f t="shared" si="13"/>
        <v>0</v>
      </c>
      <c r="J310" s="4" t="str">
        <f t="shared" si="14"/>
        <v>No businesses</v>
      </c>
    </row>
    <row r="311" spans="1:10" x14ac:dyDescent="0.45">
      <c r="A311" s="14">
        <v>310</v>
      </c>
      <c r="B311" s="4" t="s">
        <v>1492</v>
      </c>
      <c r="C311" s="4" t="s">
        <v>1493</v>
      </c>
      <c r="D311" s="19">
        <f t="shared" si="12"/>
        <v>0</v>
      </c>
      <c r="E311" s="5">
        <v>0</v>
      </c>
      <c r="F311" s="5">
        <v>0</v>
      </c>
      <c r="G311" s="5">
        <v>0</v>
      </c>
      <c r="H311" s="5">
        <v>0</v>
      </c>
      <c r="I311" s="5">
        <f t="shared" si="13"/>
        <v>0</v>
      </c>
      <c r="J311" s="4" t="str">
        <f t="shared" si="14"/>
        <v>No businesses</v>
      </c>
    </row>
    <row r="312" spans="1:10" x14ac:dyDescent="0.45">
      <c r="A312" s="14">
        <v>311</v>
      </c>
      <c r="B312" s="4" t="s">
        <v>1519</v>
      </c>
      <c r="C312" s="4" t="s">
        <v>1520</v>
      </c>
      <c r="D312" s="19">
        <f t="shared" si="12"/>
        <v>0</v>
      </c>
      <c r="E312" s="5">
        <v>0</v>
      </c>
      <c r="F312" s="5">
        <v>0</v>
      </c>
      <c r="G312" s="5">
        <v>0</v>
      </c>
      <c r="H312" s="5">
        <v>0</v>
      </c>
      <c r="I312" s="5">
        <f t="shared" si="13"/>
        <v>0</v>
      </c>
      <c r="J312" s="4" t="str">
        <f t="shared" si="14"/>
        <v>No businesses</v>
      </c>
    </row>
    <row r="313" spans="1:10" x14ac:dyDescent="0.45">
      <c r="A313" s="14">
        <v>312</v>
      </c>
      <c r="B313" s="4" t="s">
        <v>1517</v>
      </c>
      <c r="C313" s="4" t="s">
        <v>1518</v>
      </c>
      <c r="D313" s="19">
        <f t="shared" si="12"/>
        <v>0</v>
      </c>
      <c r="E313" s="5">
        <v>0</v>
      </c>
      <c r="F313" s="5">
        <v>0</v>
      </c>
      <c r="G313" s="5">
        <v>0</v>
      </c>
      <c r="H313" s="5">
        <v>0</v>
      </c>
      <c r="I313" s="5">
        <f t="shared" si="13"/>
        <v>0</v>
      </c>
      <c r="J313" s="4" t="str">
        <f t="shared" si="14"/>
        <v>No businesses</v>
      </c>
    </row>
    <row r="314" spans="1:10" x14ac:dyDescent="0.45">
      <c r="A314" s="14">
        <v>313</v>
      </c>
      <c r="B314" s="4" t="s">
        <v>1364</v>
      </c>
      <c r="C314" s="4" t="s">
        <v>1365</v>
      </c>
      <c r="D314" s="19">
        <f t="shared" si="12"/>
        <v>0</v>
      </c>
      <c r="E314" s="5">
        <v>0</v>
      </c>
      <c r="F314" s="5">
        <v>0</v>
      </c>
      <c r="G314" s="5">
        <v>0</v>
      </c>
      <c r="H314" s="5">
        <v>0</v>
      </c>
      <c r="I314" s="5">
        <f t="shared" si="13"/>
        <v>0</v>
      </c>
      <c r="J314" s="4" t="str">
        <f t="shared" si="14"/>
        <v>No businesses</v>
      </c>
    </row>
    <row r="315" spans="1:10" x14ac:dyDescent="0.45">
      <c r="A315" s="14">
        <v>314</v>
      </c>
      <c r="B315" s="4" t="s">
        <v>1450</v>
      </c>
      <c r="C315" s="4" t="s">
        <v>1451</v>
      </c>
      <c r="D315" s="19">
        <f t="shared" si="12"/>
        <v>0</v>
      </c>
      <c r="E315" s="5">
        <v>0</v>
      </c>
      <c r="F315" s="5">
        <v>0</v>
      </c>
      <c r="G315" s="5">
        <v>0</v>
      </c>
      <c r="H315" s="5">
        <v>0</v>
      </c>
      <c r="I315" s="5">
        <f t="shared" si="13"/>
        <v>0</v>
      </c>
      <c r="J315" s="4" t="str">
        <f t="shared" si="14"/>
        <v>No businesses</v>
      </c>
    </row>
    <row r="316" spans="1:10" x14ac:dyDescent="0.45">
      <c r="A316" s="14">
        <v>315</v>
      </c>
      <c r="B316" s="4" t="s">
        <v>1350</v>
      </c>
      <c r="C316" s="4" t="s">
        <v>1351</v>
      </c>
      <c r="D316" s="19">
        <f t="shared" si="12"/>
        <v>0</v>
      </c>
      <c r="E316" s="5">
        <v>0</v>
      </c>
      <c r="F316" s="5">
        <v>0</v>
      </c>
      <c r="G316" s="5">
        <v>0</v>
      </c>
      <c r="H316" s="5">
        <v>0</v>
      </c>
      <c r="I316" s="5">
        <f t="shared" si="13"/>
        <v>0</v>
      </c>
      <c r="J316" s="4" t="str">
        <f t="shared" si="14"/>
        <v>No businesses</v>
      </c>
    </row>
    <row r="317" spans="1:10" x14ac:dyDescent="0.45">
      <c r="A317" s="14">
        <v>316</v>
      </c>
      <c r="B317" s="4" t="s">
        <v>1527</v>
      </c>
      <c r="C317" s="4" t="s">
        <v>1528</v>
      </c>
      <c r="D317" s="19">
        <f t="shared" si="12"/>
        <v>0</v>
      </c>
      <c r="E317" s="5">
        <v>0</v>
      </c>
      <c r="F317" s="5">
        <v>0</v>
      </c>
      <c r="G317" s="5">
        <v>0</v>
      </c>
      <c r="H317" s="5">
        <v>0</v>
      </c>
      <c r="I317" s="5">
        <f t="shared" si="13"/>
        <v>0</v>
      </c>
      <c r="J317" s="4" t="str">
        <f t="shared" si="14"/>
        <v>No businesses</v>
      </c>
    </row>
    <row r="318" spans="1:10" x14ac:dyDescent="0.45">
      <c r="A318" s="14">
        <v>317</v>
      </c>
      <c r="B318" s="4" t="s">
        <v>1210</v>
      </c>
      <c r="C318" s="4" t="s">
        <v>1211</v>
      </c>
      <c r="D318" s="19">
        <f t="shared" si="12"/>
        <v>0</v>
      </c>
      <c r="E318" s="5">
        <v>0</v>
      </c>
      <c r="F318" s="5">
        <v>0</v>
      </c>
      <c r="G318" s="5">
        <v>0</v>
      </c>
      <c r="H318" s="5">
        <v>7</v>
      </c>
      <c r="I318" s="5">
        <f t="shared" si="13"/>
        <v>7</v>
      </c>
      <c r="J318" s="4" t="str">
        <f t="shared" si="14"/>
        <v>No businesses</v>
      </c>
    </row>
  </sheetData>
  <autoFilter ref="A1:J318" xr:uid="{00000000-0009-0000-0000-000005000000}"/>
  <conditionalFormatting sqref="D2:D318">
    <cfRule type="colorScale" priority="2">
      <colorScale>
        <cfvo type="num" val="0"/>
        <cfvo type="max"/>
        <color rgb="FFFFFFFF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I319"/>
  <sheetViews>
    <sheetView zoomScaleNormal="100" workbookViewId="0">
      <pane xSplit="2" ySplit="1" topLeftCell="CE2" activePane="bottomRight" state="frozen"/>
      <selection pane="topRight" activeCell="C1" sqref="C1"/>
      <selection pane="bottomLeft" activeCell="A2" sqref="A2"/>
      <selection pane="bottomRight"/>
    </sheetView>
  </sheetViews>
  <sheetFormatPr defaultColWidth="8.6640625" defaultRowHeight="14.25" x14ac:dyDescent="0.45"/>
  <cols>
    <col min="1" max="1" width="9" customWidth="1"/>
    <col min="2" max="2" width="30" customWidth="1"/>
    <col min="3" max="84" width="6" customWidth="1"/>
    <col min="85" max="85" width="9" customWidth="1"/>
    <col min="87" max="87" width="14" customWidth="1"/>
  </cols>
  <sheetData>
    <row r="1" spans="1:87" ht="229.5" customHeight="1" x14ac:dyDescent="0.45">
      <c r="A1" s="20" t="s">
        <v>947</v>
      </c>
      <c r="B1" s="20" t="s">
        <v>948</v>
      </c>
      <c r="C1" s="21" t="s">
        <v>647</v>
      </c>
      <c r="D1" s="21" t="s">
        <v>574</v>
      </c>
      <c r="E1" s="21" t="s">
        <v>191</v>
      </c>
      <c r="F1" s="21" t="s">
        <v>652</v>
      </c>
      <c r="G1" s="21" t="s">
        <v>651</v>
      </c>
      <c r="H1" s="21" t="s">
        <v>491</v>
      </c>
      <c r="I1" s="21" t="s">
        <v>653</v>
      </c>
      <c r="J1" s="21" t="s">
        <v>654</v>
      </c>
      <c r="K1" s="21" t="s">
        <v>494</v>
      </c>
      <c r="L1" s="21" t="s">
        <v>199</v>
      </c>
      <c r="M1" s="21" t="s">
        <v>495</v>
      </c>
      <c r="N1" s="21" t="s">
        <v>500</v>
      </c>
      <c r="O1" s="21" t="s">
        <v>686</v>
      </c>
      <c r="P1" s="21" t="s">
        <v>503</v>
      </c>
      <c r="Q1" s="21" t="s">
        <v>499</v>
      </c>
      <c r="R1" s="21" t="s">
        <v>579</v>
      </c>
      <c r="S1" s="21" t="s">
        <v>655</v>
      </c>
      <c r="T1" s="21" t="s">
        <v>493</v>
      </c>
      <c r="U1" s="21" t="s">
        <v>502</v>
      </c>
      <c r="V1" s="21" t="s">
        <v>762</v>
      </c>
      <c r="W1" s="21" t="s">
        <v>690</v>
      </c>
      <c r="X1" s="21" t="s">
        <v>656</v>
      </c>
      <c r="Y1" s="21" t="s">
        <v>501</v>
      </c>
      <c r="Z1" s="21" t="s">
        <v>454</v>
      </c>
      <c r="AA1" s="21" t="s">
        <v>504</v>
      </c>
      <c r="AB1" s="21" t="s">
        <v>498</v>
      </c>
      <c r="AC1" s="21" t="s">
        <v>508</v>
      </c>
      <c r="AD1" s="21" t="s">
        <v>505</v>
      </c>
      <c r="AE1" s="21" t="s">
        <v>691</v>
      </c>
      <c r="AF1" s="21" t="s">
        <v>693</v>
      </c>
      <c r="AG1" s="21" t="s">
        <v>585</v>
      </c>
      <c r="AH1" s="21" t="s">
        <v>510</v>
      </c>
      <c r="AI1" s="21" t="s">
        <v>692</v>
      </c>
      <c r="AJ1" s="21" t="s">
        <v>586</v>
      </c>
      <c r="AK1" s="21" t="s">
        <v>694</v>
      </c>
      <c r="AL1" s="21" t="s">
        <v>517</v>
      </c>
      <c r="AM1" s="21" t="s">
        <v>584</v>
      </c>
      <c r="AN1" s="21" t="s">
        <v>526</v>
      </c>
      <c r="AO1" s="21" t="s">
        <v>595</v>
      </c>
      <c r="AP1" s="21" t="s">
        <v>511</v>
      </c>
      <c r="AQ1" s="21" t="s">
        <v>591</v>
      </c>
      <c r="AR1" s="21" t="s">
        <v>695</v>
      </c>
      <c r="AS1" s="21" t="s">
        <v>594</v>
      </c>
      <c r="AT1" s="21" t="s">
        <v>697</v>
      </c>
      <c r="AU1" s="21" t="s">
        <v>518</v>
      </c>
      <c r="AV1" s="21" t="s">
        <v>700</v>
      </c>
      <c r="AW1" s="21" t="s">
        <v>698</v>
      </c>
      <c r="AX1" s="21" t="s">
        <v>459</v>
      </c>
      <c r="AY1" s="21" t="s">
        <v>707</v>
      </c>
      <c r="AZ1" s="21" t="s">
        <v>702</v>
      </c>
      <c r="BA1" s="21" t="s">
        <v>596</v>
      </c>
      <c r="BB1" s="21" t="s">
        <v>712</v>
      </c>
      <c r="BC1" s="21" t="s">
        <v>703</v>
      </c>
      <c r="BD1" s="21" t="s">
        <v>709</v>
      </c>
      <c r="BE1" s="21" t="s">
        <v>522</v>
      </c>
      <c r="BF1" s="21" t="s">
        <v>714</v>
      </c>
      <c r="BG1" s="21" t="s">
        <v>603</v>
      </c>
      <c r="BH1" s="21" t="s">
        <v>421</v>
      </c>
      <c r="BI1" s="21" t="s">
        <v>483</v>
      </c>
      <c r="BJ1" s="21" t="s">
        <v>528</v>
      </c>
      <c r="BK1" s="21" t="s">
        <v>371</v>
      </c>
      <c r="BL1" s="21" t="s">
        <v>738</v>
      </c>
      <c r="BM1" s="21" t="s">
        <v>615</v>
      </c>
      <c r="BN1" s="21" t="s">
        <v>723</v>
      </c>
      <c r="BO1" s="21" t="s">
        <v>728</v>
      </c>
      <c r="BP1" s="21" t="s">
        <v>466</v>
      </c>
      <c r="BQ1" s="21" t="s">
        <v>531</v>
      </c>
      <c r="BR1" s="21" t="s">
        <v>726</v>
      </c>
      <c r="BS1" s="21" t="s">
        <v>634</v>
      </c>
      <c r="BT1" s="21" t="s">
        <v>737</v>
      </c>
      <c r="BU1" s="21" t="s">
        <v>624</v>
      </c>
      <c r="BV1" s="21" t="s">
        <v>734</v>
      </c>
      <c r="BW1" s="21" t="s">
        <v>545</v>
      </c>
      <c r="BX1" s="21" t="s">
        <v>667</v>
      </c>
      <c r="BY1" s="21" t="s">
        <v>672</v>
      </c>
      <c r="BZ1" s="21" t="s">
        <v>376</v>
      </c>
      <c r="CA1" s="21" t="s">
        <v>677</v>
      </c>
      <c r="CB1" s="21" t="s">
        <v>378</v>
      </c>
      <c r="CC1" s="21" t="s">
        <v>640</v>
      </c>
      <c r="CD1" s="21" t="s">
        <v>602</v>
      </c>
      <c r="CE1" s="21" t="s">
        <v>344</v>
      </c>
      <c r="CF1" s="21" t="s">
        <v>679</v>
      </c>
      <c r="CG1" s="22" t="s">
        <v>1594</v>
      </c>
      <c r="CI1" s="23" t="s">
        <v>41</v>
      </c>
    </row>
    <row r="2" spans="1:87" x14ac:dyDescent="0.45">
      <c r="A2" s="4" t="s">
        <v>969</v>
      </c>
      <c r="B2" s="4" t="s">
        <v>970</v>
      </c>
      <c r="C2" s="24" t="e">
        <f>SUMIFS(#REF!,#REF!,$B2,#REF!,C$1)</f>
        <v>#REF!</v>
      </c>
      <c r="D2" s="24" t="e">
        <f>SUMIFS(#REF!,#REF!,$B2,#REF!,D$1)</f>
        <v>#REF!</v>
      </c>
      <c r="E2" s="24" t="e">
        <f>SUMIFS(#REF!,#REF!,$B2,#REF!,E$1)</f>
        <v>#REF!</v>
      </c>
      <c r="F2" s="24" t="e">
        <f>SUMIFS(#REF!,#REF!,$B2,#REF!,F$1)</f>
        <v>#REF!</v>
      </c>
      <c r="G2" s="24" t="e">
        <f>SUMIFS(#REF!,#REF!,$B2,#REF!,G$1)</f>
        <v>#REF!</v>
      </c>
      <c r="H2" s="24" t="e">
        <f>SUMIFS(#REF!,#REF!,$B2,#REF!,H$1)</f>
        <v>#REF!</v>
      </c>
      <c r="I2" s="24" t="e">
        <f>SUMIFS(#REF!,#REF!,$B2,#REF!,I$1)</f>
        <v>#REF!</v>
      </c>
      <c r="J2" s="24" t="e">
        <f>SUMIFS(#REF!,#REF!,$B2,#REF!,J$1)</f>
        <v>#REF!</v>
      </c>
      <c r="K2" s="24" t="e">
        <f>SUMIFS(#REF!,#REF!,$B2,#REF!,K$1)</f>
        <v>#REF!</v>
      </c>
      <c r="L2" s="24" t="e">
        <f>SUMIFS(#REF!,#REF!,$B2,#REF!,L$1)</f>
        <v>#REF!</v>
      </c>
      <c r="M2" s="24" t="e">
        <f>SUMIFS(#REF!,#REF!,$B2,#REF!,M$1)</f>
        <v>#REF!</v>
      </c>
      <c r="N2" s="24" t="e">
        <f>SUMIFS(#REF!,#REF!,$B2,#REF!,N$1)</f>
        <v>#REF!</v>
      </c>
      <c r="O2" s="24" t="e">
        <f>SUMIFS(#REF!,#REF!,$B2,#REF!,O$1)</f>
        <v>#REF!</v>
      </c>
      <c r="P2" s="24" t="e">
        <f>SUMIFS(#REF!,#REF!,$B2,#REF!,P$1)</f>
        <v>#REF!</v>
      </c>
      <c r="Q2" s="24" t="e">
        <f>SUMIFS(#REF!,#REF!,$B2,#REF!,Q$1)</f>
        <v>#REF!</v>
      </c>
      <c r="R2" s="24" t="e">
        <f>SUMIFS(#REF!,#REF!,$B2,#REF!,R$1)</f>
        <v>#REF!</v>
      </c>
      <c r="S2" s="24" t="e">
        <f>SUMIFS(#REF!,#REF!,$B2,#REF!,S$1)</f>
        <v>#REF!</v>
      </c>
      <c r="T2" s="24" t="e">
        <f>SUMIFS(#REF!,#REF!,$B2,#REF!,T$1)</f>
        <v>#REF!</v>
      </c>
      <c r="U2" s="24" t="e">
        <f>SUMIFS(#REF!,#REF!,$B2,#REF!,U$1)</f>
        <v>#REF!</v>
      </c>
      <c r="V2" s="24" t="e">
        <f>SUMIFS(#REF!,#REF!,$B2,#REF!,V$1)</f>
        <v>#REF!</v>
      </c>
      <c r="W2" s="24" t="e">
        <f>SUMIFS(#REF!,#REF!,$B2,#REF!,W$1)</f>
        <v>#REF!</v>
      </c>
      <c r="X2" s="24" t="e">
        <f>SUMIFS(#REF!,#REF!,$B2,#REF!,X$1)</f>
        <v>#REF!</v>
      </c>
      <c r="Y2" s="24" t="e">
        <f>SUMIFS(#REF!,#REF!,$B2,#REF!,Y$1)</f>
        <v>#REF!</v>
      </c>
      <c r="Z2" s="24" t="e">
        <f>SUMIFS(#REF!,#REF!,$B2,#REF!,Z$1)</f>
        <v>#REF!</v>
      </c>
      <c r="AA2" s="24" t="e">
        <f>SUMIFS(#REF!,#REF!,$B2,#REF!,AA$1)</f>
        <v>#REF!</v>
      </c>
      <c r="AB2" s="24" t="e">
        <f>SUMIFS(#REF!,#REF!,$B2,#REF!,AB$1)</f>
        <v>#REF!</v>
      </c>
      <c r="AC2" s="24" t="e">
        <f>SUMIFS(#REF!,#REF!,$B2,#REF!,AC$1)</f>
        <v>#REF!</v>
      </c>
      <c r="AD2" s="24" t="e">
        <f>SUMIFS(#REF!,#REF!,$B2,#REF!,AD$1)</f>
        <v>#REF!</v>
      </c>
      <c r="AE2" s="24" t="e">
        <f>SUMIFS(#REF!,#REF!,$B2,#REF!,AE$1)</f>
        <v>#REF!</v>
      </c>
      <c r="AF2" s="24" t="e">
        <f>SUMIFS(#REF!,#REF!,$B2,#REF!,AF$1)</f>
        <v>#REF!</v>
      </c>
      <c r="AG2" s="24" t="e">
        <f>SUMIFS(#REF!,#REF!,$B2,#REF!,AG$1)</f>
        <v>#REF!</v>
      </c>
      <c r="AH2" s="24" t="e">
        <f>SUMIFS(#REF!,#REF!,$B2,#REF!,AH$1)</f>
        <v>#REF!</v>
      </c>
      <c r="AI2" s="24" t="e">
        <f>SUMIFS(#REF!,#REF!,$B2,#REF!,AI$1)</f>
        <v>#REF!</v>
      </c>
      <c r="AJ2" s="24" t="e">
        <f>SUMIFS(#REF!,#REF!,$B2,#REF!,AJ$1)</f>
        <v>#REF!</v>
      </c>
      <c r="AK2" s="24" t="e">
        <f>SUMIFS(#REF!,#REF!,$B2,#REF!,AK$1)</f>
        <v>#REF!</v>
      </c>
      <c r="AL2" s="24" t="e">
        <f>SUMIFS(#REF!,#REF!,$B2,#REF!,AL$1)</f>
        <v>#REF!</v>
      </c>
      <c r="AM2" s="24" t="e">
        <f>SUMIFS(#REF!,#REF!,$B2,#REF!,AM$1)</f>
        <v>#REF!</v>
      </c>
      <c r="AN2" s="24" t="e">
        <f>SUMIFS(#REF!,#REF!,$B2,#REF!,AN$1)</f>
        <v>#REF!</v>
      </c>
      <c r="AO2" s="24" t="e">
        <f>SUMIFS(#REF!,#REF!,$B2,#REF!,AO$1)</f>
        <v>#REF!</v>
      </c>
      <c r="AP2" s="24" t="e">
        <f>SUMIFS(#REF!,#REF!,$B2,#REF!,AP$1)</f>
        <v>#REF!</v>
      </c>
      <c r="AQ2" s="24" t="e">
        <f>SUMIFS(#REF!,#REF!,$B2,#REF!,AQ$1)</f>
        <v>#REF!</v>
      </c>
      <c r="AR2" s="24" t="e">
        <f>SUMIFS(#REF!,#REF!,$B2,#REF!,AR$1)</f>
        <v>#REF!</v>
      </c>
      <c r="AS2" s="24" t="e">
        <f>SUMIFS(#REF!,#REF!,$B2,#REF!,AS$1)</f>
        <v>#REF!</v>
      </c>
      <c r="AT2" s="24" t="e">
        <f>SUMIFS(#REF!,#REF!,$B2,#REF!,AT$1)</f>
        <v>#REF!</v>
      </c>
      <c r="AU2" s="24" t="e">
        <f>SUMIFS(#REF!,#REF!,$B2,#REF!,AU$1)</f>
        <v>#REF!</v>
      </c>
      <c r="AV2" s="24" t="e">
        <f>SUMIFS(#REF!,#REF!,$B2,#REF!,AV$1)</f>
        <v>#REF!</v>
      </c>
      <c r="AW2" s="24" t="e">
        <f>SUMIFS(#REF!,#REF!,$B2,#REF!,AW$1)</f>
        <v>#REF!</v>
      </c>
      <c r="AX2" s="24" t="e">
        <f>SUMIFS(#REF!,#REF!,$B2,#REF!,AX$1)</f>
        <v>#REF!</v>
      </c>
      <c r="AY2" s="24" t="e">
        <f>SUMIFS(#REF!,#REF!,$B2,#REF!,AY$1)</f>
        <v>#REF!</v>
      </c>
      <c r="AZ2" s="24" t="e">
        <f>SUMIFS(#REF!,#REF!,$B2,#REF!,AZ$1)</f>
        <v>#REF!</v>
      </c>
      <c r="BA2" s="24" t="e">
        <f>SUMIFS(#REF!,#REF!,$B2,#REF!,BA$1)</f>
        <v>#REF!</v>
      </c>
      <c r="BB2" s="24" t="e">
        <f>SUMIFS(#REF!,#REF!,$B2,#REF!,BB$1)</f>
        <v>#REF!</v>
      </c>
      <c r="BC2" s="24" t="e">
        <f>SUMIFS(#REF!,#REF!,$B2,#REF!,BC$1)</f>
        <v>#REF!</v>
      </c>
      <c r="BD2" s="24" t="e">
        <f>SUMIFS(#REF!,#REF!,$B2,#REF!,BD$1)</f>
        <v>#REF!</v>
      </c>
      <c r="BE2" s="24" t="e">
        <f>SUMIFS(#REF!,#REF!,$B2,#REF!,BE$1)</f>
        <v>#REF!</v>
      </c>
      <c r="BF2" s="24" t="e">
        <f>SUMIFS(#REF!,#REF!,$B2,#REF!,BF$1)</f>
        <v>#REF!</v>
      </c>
      <c r="BG2" s="24" t="e">
        <f>SUMIFS(#REF!,#REF!,$B2,#REF!,BG$1)</f>
        <v>#REF!</v>
      </c>
      <c r="BH2" s="24" t="e">
        <f>SUMIFS(#REF!,#REF!,$B2,#REF!,BH$1)</f>
        <v>#REF!</v>
      </c>
      <c r="BI2" s="24" t="e">
        <f>SUMIFS(#REF!,#REF!,$B2,#REF!,BI$1)</f>
        <v>#REF!</v>
      </c>
      <c r="BJ2" s="24" t="e">
        <f>SUMIFS(#REF!,#REF!,$B2,#REF!,BJ$1)</f>
        <v>#REF!</v>
      </c>
      <c r="BK2" s="24" t="e">
        <f>SUMIFS(#REF!,#REF!,$B2,#REF!,BK$1)</f>
        <v>#REF!</v>
      </c>
      <c r="BL2" s="24" t="e">
        <f>SUMIFS(#REF!,#REF!,$B2,#REF!,BL$1)</f>
        <v>#REF!</v>
      </c>
      <c r="BM2" s="24" t="e">
        <f>SUMIFS(#REF!,#REF!,$B2,#REF!,BM$1)</f>
        <v>#REF!</v>
      </c>
      <c r="BN2" s="24" t="e">
        <f>SUMIFS(#REF!,#REF!,$B2,#REF!,BN$1)</f>
        <v>#REF!</v>
      </c>
      <c r="BO2" s="24" t="e">
        <f>SUMIFS(#REF!,#REF!,$B2,#REF!,BO$1)</f>
        <v>#REF!</v>
      </c>
      <c r="BP2" s="24" t="e">
        <f>SUMIFS(#REF!,#REF!,$B2,#REF!,BP$1)</f>
        <v>#REF!</v>
      </c>
      <c r="BQ2" s="24" t="e">
        <f>SUMIFS(#REF!,#REF!,$B2,#REF!,BQ$1)</f>
        <v>#REF!</v>
      </c>
      <c r="BR2" s="24" t="e">
        <f>SUMIFS(#REF!,#REF!,$B2,#REF!,BR$1)</f>
        <v>#REF!</v>
      </c>
      <c r="BS2" s="24" t="e">
        <f>SUMIFS(#REF!,#REF!,$B2,#REF!,BS$1)</f>
        <v>#REF!</v>
      </c>
      <c r="BT2" s="24" t="e">
        <f>SUMIFS(#REF!,#REF!,$B2,#REF!,BT$1)</f>
        <v>#REF!</v>
      </c>
      <c r="BU2" s="24" t="e">
        <f>SUMIFS(#REF!,#REF!,$B2,#REF!,BU$1)</f>
        <v>#REF!</v>
      </c>
      <c r="BV2" s="24" t="e">
        <f>SUMIFS(#REF!,#REF!,$B2,#REF!,BV$1)</f>
        <v>#REF!</v>
      </c>
      <c r="BW2" s="24" t="e">
        <f>SUMIFS(#REF!,#REF!,$B2,#REF!,BW$1)</f>
        <v>#REF!</v>
      </c>
      <c r="BX2" s="24" t="e">
        <f>SUMIFS(#REF!,#REF!,$B2,#REF!,BX$1)</f>
        <v>#REF!</v>
      </c>
      <c r="BY2" s="24" t="e">
        <f>SUMIFS(#REF!,#REF!,$B2,#REF!,BY$1)</f>
        <v>#REF!</v>
      </c>
      <c r="BZ2" s="24" t="e">
        <f>SUMIFS(#REF!,#REF!,$B2,#REF!,BZ$1)</f>
        <v>#REF!</v>
      </c>
      <c r="CA2" s="24" t="e">
        <f>SUMIFS(#REF!,#REF!,$B2,#REF!,CA$1)</f>
        <v>#REF!</v>
      </c>
      <c r="CB2" s="24" t="e">
        <f>SUMIFS(#REF!,#REF!,$B2,#REF!,CB$1)</f>
        <v>#REF!</v>
      </c>
      <c r="CC2" s="24" t="e">
        <f>SUMIFS(#REF!,#REF!,$B2,#REF!,CC$1)</f>
        <v>#REF!</v>
      </c>
      <c r="CD2" s="24" t="e">
        <f>SUMIFS(#REF!,#REF!,$B2,#REF!,CD$1)</f>
        <v>#REF!</v>
      </c>
      <c r="CE2" s="24" t="e">
        <f>SUMIFS(#REF!,#REF!,$B2,#REF!,CE$1)</f>
        <v>#REF!</v>
      </c>
      <c r="CF2" s="24" t="e">
        <f>SUMIFS(#REF!,#REF!,$B2,#REF!,CF$1)</f>
        <v>#REF!</v>
      </c>
      <c r="CG2" s="19" t="e">
        <f t="shared" ref="CG2:CG65" si="0">SUM(C2:CF2)</f>
        <v>#REF!</v>
      </c>
      <c r="CI2" s="4" t="s">
        <v>1595</v>
      </c>
    </row>
    <row r="3" spans="1:87" x14ac:dyDescent="0.45">
      <c r="A3" s="4" t="s">
        <v>973</v>
      </c>
      <c r="B3" s="4" t="s">
        <v>974</v>
      </c>
      <c r="C3" s="24" t="e">
        <f>SUMIFS(#REF!,#REF!,$B3,#REF!,C$1)</f>
        <v>#REF!</v>
      </c>
      <c r="D3" s="24" t="e">
        <f>SUMIFS(#REF!,#REF!,$B3,#REF!,D$1)</f>
        <v>#REF!</v>
      </c>
      <c r="E3" s="24" t="e">
        <f>SUMIFS(#REF!,#REF!,$B3,#REF!,E$1)</f>
        <v>#REF!</v>
      </c>
      <c r="F3" s="24" t="e">
        <f>SUMIFS(#REF!,#REF!,$B3,#REF!,F$1)</f>
        <v>#REF!</v>
      </c>
      <c r="G3" s="24" t="e">
        <f>SUMIFS(#REF!,#REF!,$B3,#REF!,G$1)</f>
        <v>#REF!</v>
      </c>
      <c r="H3" s="24" t="e">
        <f>SUMIFS(#REF!,#REF!,$B3,#REF!,H$1)</f>
        <v>#REF!</v>
      </c>
      <c r="I3" s="24" t="e">
        <f>SUMIFS(#REF!,#REF!,$B3,#REF!,I$1)</f>
        <v>#REF!</v>
      </c>
      <c r="J3" s="24" t="e">
        <f>SUMIFS(#REF!,#REF!,$B3,#REF!,J$1)</f>
        <v>#REF!</v>
      </c>
      <c r="K3" s="24" t="e">
        <f>SUMIFS(#REF!,#REF!,$B3,#REF!,K$1)</f>
        <v>#REF!</v>
      </c>
      <c r="L3" s="24" t="e">
        <f>SUMIFS(#REF!,#REF!,$B3,#REF!,L$1)</f>
        <v>#REF!</v>
      </c>
      <c r="M3" s="24" t="e">
        <f>SUMIFS(#REF!,#REF!,$B3,#REF!,M$1)</f>
        <v>#REF!</v>
      </c>
      <c r="N3" s="24" t="e">
        <f>SUMIFS(#REF!,#REF!,$B3,#REF!,N$1)</f>
        <v>#REF!</v>
      </c>
      <c r="O3" s="24" t="e">
        <f>SUMIFS(#REF!,#REF!,$B3,#REF!,O$1)</f>
        <v>#REF!</v>
      </c>
      <c r="P3" s="24" t="e">
        <f>SUMIFS(#REF!,#REF!,$B3,#REF!,P$1)</f>
        <v>#REF!</v>
      </c>
      <c r="Q3" s="24" t="e">
        <f>SUMIFS(#REF!,#REF!,$B3,#REF!,Q$1)</f>
        <v>#REF!</v>
      </c>
      <c r="R3" s="24" t="e">
        <f>SUMIFS(#REF!,#REF!,$B3,#REF!,R$1)</f>
        <v>#REF!</v>
      </c>
      <c r="S3" s="24" t="e">
        <f>SUMIFS(#REF!,#REF!,$B3,#REF!,S$1)</f>
        <v>#REF!</v>
      </c>
      <c r="T3" s="24" t="e">
        <f>SUMIFS(#REF!,#REF!,$B3,#REF!,T$1)</f>
        <v>#REF!</v>
      </c>
      <c r="U3" s="24" t="e">
        <f>SUMIFS(#REF!,#REF!,$B3,#REF!,U$1)</f>
        <v>#REF!</v>
      </c>
      <c r="V3" s="24" t="e">
        <f>SUMIFS(#REF!,#REF!,$B3,#REF!,V$1)</f>
        <v>#REF!</v>
      </c>
      <c r="W3" s="24" t="e">
        <f>SUMIFS(#REF!,#REF!,$B3,#REF!,W$1)</f>
        <v>#REF!</v>
      </c>
      <c r="X3" s="24" t="e">
        <f>SUMIFS(#REF!,#REF!,$B3,#REF!,X$1)</f>
        <v>#REF!</v>
      </c>
      <c r="Y3" s="24" t="e">
        <f>SUMIFS(#REF!,#REF!,$B3,#REF!,Y$1)</f>
        <v>#REF!</v>
      </c>
      <c r="Z3" s="24" t="e">
        <f>SUMIFS(#REF!,#REF!,$B3,#REF!,Z$1)</f>
        <v>#REF!</v>
      </c>
      <c r="AA3" s="24" t="e">
        <f>SUMIFS(#REF!,#REF!,$B3,#REF!,AA$1)</f>
        <v>#REF!</v>
      </c>
      <c r="AB3" s="24" t="e">
        <f>SUMIFS(#REF!,#REF!,$B3,#REF!,AB$1)</f>
        <v>#REF!</v>
      </c>
      <c r="AC3" s="24" t="e">
        <f>SUMIFS(#REF!,#REF!,$B3,#REF!,AC$1)</f>
        <v>#REF!</v>
      </c>
      <c r="AD3" s="24" t="e">
        <f>SUMIFS(#REF!,#REF!,$B3,#REF!,AD$1)</f>
        <v>#REF!</v>
      </c>
      <c r="AE3" s="24" t="e">
        <f>SUMIFS(#REF!,#REF!,$B3,#REF!,AE$1)</f>
        <v>#REF!</v>
      </c>
      <c r="AF3" s="24" t="e">
        <f>SUMIFS(#REF!,#REF!,$B3,#REF!,AF$1)</f>
        <v>#REF!</v>
      </c>
      <c r="AG3" s="24" t="e">
        <f>SUMIFS(#REF!,#REF!,$B3,#REF!,AG$1)</f>
        <v>#REF!</v>
      </c>
      <c r="AH3" s="24" t="e">
        <f>SUMIFS(#REF!,#REF!,$B3,#REF!,AH$1)</f>
        <v>#REF!</v>
      </c>
      <c r="AI3" s="24" t="e">
        <f>SUMIFS(#REF!,#REF!,$B3,#REF!,AI$1)</f>
        <v>#REF!</v>
      </c>
      <c r="AJ3" s="24" t="e">
        <f>SUMIFS(#REF!,#REF!,$B3,#REF!,AJ$1)</f>
        <v>#REF!</v>
      </c>
      <c r="AK3" s="24" t="e">
        <f>SUMIFS(#REF!,#REF!,$B3,#REF!,AK$1)</f>
        <v>#REF!</v>
      </c>
      <c r="AL3" s="24" t="e">
        <f>SUMIFS(#REF!,#REF!,$B3,#REF!,AL$1)</f>
        <v>#REF!</v>
      </c>
      <c r="AM3" s="24" t="e">
        <f>SUMIFS(#REF!,#REF!,$B3,#REF!,AM$1)</f>
        <v>#REF!</v>
      </c>
      <c r="AN3" s="24" t="e">
        <f>SUMIFS(#REF!,#REF!,$B3,#REF!,AN$1)</f>
        <v>#REF!</v>
      </c>
      <c r="AO3" s="24" t="e">
        <f>SUMIFS(#REF!,#REF!,$B3,#REF!,AO$1)</f>
        <v>#REF!</v>
      </c>
      <c r="AP3" s="24" t="e">
        <f>SUMIFS(#REF!,#REF!,$B3,#REF!,AP$1)</f>
        <v>#REF!</v>
      </c>
      <c r="AQ3" s="24" t="e">
        <f>SUMIFS(#REF!,#REF!,$B3,#REF!,AQ$1)</f>
        <v>#REF!</v>
      </c>
      <c r="AR3" s="24" t="e">
        <f>SUMIFS(#REF!,#REF!,$B3,#REF!,AR$1)</f>
        <v>#REF!</v>
      </c>
      <c r="AS3" s="24" t="e">
        <f>SUMIFS(#REF!,#REF!,$B3,#REF!,AS$1)</f>
        <v>#REF!</v>
      </c>
      <c r="AT3" s="24" t="e">
        <f>SUMIFS(#REF!,#REF!,$B3,#REF!,AT$1)</f>
        <v>#REF!</v>
      </c>
      <c r="AU3" s="24" t="e">
        <f>SUMIFS(#REF!,#REF!,$B3,#REF!,AU$1)</f>
        <v>#REF!</v>
      </c>
      <c r="AV3" s="24" t="e">
        <f>SUMIFS(#REF!,#REF!,$B3,#REF!,AV$1)</f>
        <v>#REF!</v>
      </c>
      <c r="AW3" s="24" t="e">
        <f>SUMIFS(#REF!,#REF!,$B3,#REF!,AW$1)</f>
        <v>#REF!</v>
      </c>
      <c r="AX3" s="24" t="e">
        <f>SUMIFS(#REF!,#REF!,$B3,#REF!,AX$1)</f>
        <v>#REF!</v>
      </c>
      <c r="AY3" s="24" t="e">
        <f>SUMIFS(#REF!,#REF!,$B3,#REF!,AY$1)</f>
        <v>#REF!</v>
      </c>
      <c r="AZ3" s="24" t="e">
        <f>SUMIFS(#REF!,#REF!,$B3,#REF!,AZ$1)</f>
        <v>#REF!</v>
      </c>
      <c r="BA3" s="24" t="e">
        <f>SUMIFS(#REF!,#REF!,$B3,#REF!,BA$1)</f>
        <v>#REF!</v>
      </c>
      <c r="BB3" s="24" t="e">
        <f>SUMIFS(#REF!,#REF!,$B3,#REF!,BB$1)</f>
        <v>#REF!</v>
      </c>
      <c r="BC3" s="24" t="e">
        <f>SUMIFS(#REF!,#REF!,$B3,#REF!,BC$1)</f>
        <v>#REF!</v>
      </c>
      <c r="BD3" s="24" t="e">
        <f>SUMIFS(#REF!,#REF!,$B3,#REF!,BD$1)</f>
        <v>#REF!</v>
      </c>
      <c r="BE3" s="24" t="e">
        <f>SUMIFS(#REF!,#REF!,$B3,#REF!,BE$1)</f>
        <v>#REF!</v>
      </c>
      <c r="BF3" s="24" t="e">
        <f>SUMIFS(#REF!,#REF!,$B3,#REF!,BF$1)</f>
        <v>#REF!</v>
      </c>
      <c r="BG3" s="24" t="e">
        <f>SUMIFS(#REF!,#REF!,$B3,#REF!,BG$1)</f>
        <v>#REF!</v>
      </c>
      <c r="BH3" s="24" t="e">
        <f>SUMIFS(#REF!,#REF!,$B3,#REF!,BH$1)</f>
        <v>#REF!</v>
      </c>
      <c r="BI3" s="24" t="e">
        <f>SUMIFS(#REF!,#REF!,$B3,#REF!,BI$1)</f>
        <v>#REF!</v>
      </c>
      <c r="BJ3" s="24" t="e">
        <f>SUMIFS(#REF!,#REF!,$B3,#REF!,BJ$1)</f>
        <v>#REF!</v>
      </c>
      <c r="BK3" s="24" t="e">
        <f>SUMIFS(#REF!,#REF!,$B3,#REF!,BK$1)</f>
        <v>#REF!</v>
      </c>
      <c r="BL3" s="24" t="e">
        <f>SUMIFS(#REF!,#REF!,$B3,#REF!,BL$1)</f>
        <v>#REF!</v>
      </c>
      <c r="BM3" s="24" t="e">
        <f>SUMIFS(#REF!,#REF!,$B3,#REF!,BM$1)</f>
        <v>#REF!</v>
      </c>
      <c r="BN3" s="24" t="e">
        <f>SUMIFS(#REF!,#REF!,$B3,#REF!,BN$1)</f>
        <v>#REF!</v>
      </c>
      <c r="BO3" s="24" t="e">
        <f>SUMIFS(#REF!,#REF!,$B3,#REF!,BO$1)</f>
        <v>#REF!</v>
      </c>
      <c r="BP3" s="24" t="e">
        <f>SUMIFS(#REF!,#REF!,$B3,#REF!,BP$1)</f>
        <v>#REF!</v>
      </c>
      <c r="BQ3" s="24" t="e">
        <f>SUMIFS(#REF!,#REF!,$B3,#REF!,BQ$1)</f>
        <v>#REF!</v>
      </c>
      <c r="BR3" s="24" t="e">
        <f>SUMIFS(#REF!,#REF!,$B3,#REF!,BR$1)</f>
        <v>#REF!</v>
      </c>
      <c r="BS3" s="24" t="e">
        <f>SUMIFS(#REF!,#REF!,$B3,#REF!,BS$1)</f>
        <v>#REF!</v>
      </c>
      <c r="BT3" s="24" t="e">
        <f>SUMIFS(#REF!,#REF!,$B3,#REF!,BT$1)</f>
        <v>#REF!</v>
      </c>
      <c r="BU3" s="24" t="e">
        <f>SUMIFS(#REF!,#REF!,$B3,#REF!,BU$1)</f>
        <v>#REF!</v>
      </c>
      <c r="BV3" s="24" t="e">
        <f>SUMIFS(#REF!,#REF!,$B3,#REF!,BV$1)</f>
        <v>#REF!</v>
      </c>
      <c r="BW3" s="24" t="e">
        <f>SUMIFS(#REF!,#REF!,$B3,#REF!,BW$1)</f>
        <v>#REF!</v>
      </c>
      <c r="BX3" s="24" t="e">
        <f>SUMIFS(#REF!,#REF!,$B3,#REF!,BX$1)</f>
        <v>#REF!</v>
      </c>
      <c r="BY3" s="24" t="e">
        <f>SUMIFS(#REF!,#REF!,$B3,#REF!,BY$1)</f>
        <v>#REF!</v>
      </c>
      <c r="BZ3" s="24" t="e">
        <f>SUMIFS(#REF!,#REF!,$B3,#REF!,BZ$1)</f>
        <v>#REF!</v>
      </c>
      <c r="CA3" s="24" t="e">
        <f>SUMIFS(#REF!,#REF!,$B3,#REF!,CA$1)</f>
        <v>#REF!</v>
      </c>
      <c r="CB3" s="24" t="e">
        <f>SUMIFS(#REF!,#REF!,$B3,#REF!,CB$1)</f>
        <v>#REF!</v>
      </c>
      <c r="CC3" s="24" t="e">
        <f>SUMIFS(#REF!,#REF!,$B3,#REF!,CC$1)</f>
        <v>#REF!</v>
      </c>
      <c r="CD3" s="24" t="e">
        <f>SUMIFS(#REF!,#REF!,$B3,#REF!,CD$1)</f>
        <v>#REF!</v>
      </c>
      <c r="CE3" s="24" t="e">
        <f>SUMIFS(#REF!,#REF!,$B3,#REF!,CE$1)</f>
        <v>#REF!</v>
      </c>
      <c r="CF3" s="24" t="e">
        <f>SUMIFS(#REF!,#REF!,$B3,#REF!,CF$1)</f>
        <v>#REF!</v>
      </c>
      <c r="CG3" s="19" t="e">
        <f t="shared" si="0"/>
        <v>#REF!</v>
      </c>
      <c r="CI3" s="4" t="s">
        <v>1596</v>
      </c>
    </row>
    <row r="4" spans="1:87" x14ac:dyDescent="0.45">
      <c r="A4" s="4" t="s">
        <v>976</v>
      </c>
      <c r="B4" s="4" t="s">
        <v>977</v>
      </c>
      <c r="C4" s="24" t="e">
        <f>SUMIFS(#REF!,#REF!,$B4,#REF!,C$1)</f>
        <v>#REF!</v>
      </c>
      <c r="D4" s="24" t="e">
        <f>SUMIFS(#REF!,#REF!,$B4,#REF!,D$1)</f>
        <v>#REF!</v>
      </c>
      <c r="E4" s="24" t="e">
        <f>SUMIFS(#REF!,#REF!,$B4,#REF!,E$1)</f>
        <v>#REF!</v>
      </c>
      <c r="F4" s="24" t="e">
        <f>SUMIFS(#REF!,#REF!,$B4,#REF!,F$1)</f>
        <v>#REF!</v>
      </c>
      <c r="G4" s="24" t="e">
        <f>SUMIFS(#REF!,#REF!,$B4,#REF!,G$1)</f>
        <v>#REF!</v>
      </c>
      <c r="H4" s="24" t="e">
        <f>SUMIFS(#REF!,#REF!,$B4,#REF!,H$1)</f>
        <v>#REF!</v>
      </c>
      <c r="I4" s="24" t="e">
        <f>SUMIFS(#REF!,#REF!,$B4,#REF!,I$1)</f>
        <v>#REF!</v>
      </c>
      <c r="J4" s="24" t="e">
        <f>SUMIFS(#REF!,#REF!,$B4,#REF!,J$1)</f>
        <v>#REF!</v>
      </c>
      <c r="K4" s="24" t="e">
        <f>SUMIFS(#REF!,#REF!,$B4,#REF!,K$1)</f>
        <v>#REF!</v>
      </c>
      <c r="L4" s="24" t="e">
        <f>SUMIFS(#REF!,#REF!,$B4,#REF!,L$1)</f>
        <v>#REF!</v>
      </c>
      <c r="M4" s="24" t="e">
        <f>SUMIFS(#REF!,#REF!,$B4,#REF!,M$1)</f>
        <v>#REF!</v>
      </c>
      <c r="N4" s="24" t="e">
        <f>SUMIFS(#REF!,#REF!,$B4,#REF!,N$1)</f>
        <v>#REF!</v>
      </c>
      <c r="O4" s="24" t="e">
        <f>SUMIFS(#REF!,#REF!,$B4,#REF!,O$1)</f>
        <v>#REF!</v>
      </c>
      <c r="P4" s="24" t="e">
        <f>SUMIFS(#REF!,#REF!,$B4,#REF!,P$1)</f>
        <v>#REF!</v>
      </c>
      <c r="Q4" s="24" t="e">
        <f>SUMIFS(#REF!,#REF!,$B4,#REF!,Q$1)</f>
        <v>#REF!</v>
      </c>
      <c r="R4" s="24" t="e">
        <f>SUMIFS(#REF!,#REF!,$B4,#REF!,R$1)</f>
        <v>#REF!</v>
      </c>
      <c r="S4" s="24" t="e">
        <f>SUMIFS(#REF!,#REF!,$B4,#REF!,S$1)</f>
        <v>#REF!</v>
      </c>
      <c r="T4" s="24" t="e">
        <f>SUMIFS(#REF!,#REF!,$B4,#REF!,T$1)</f>
        <v>#REF!</v>
      </c>
      <c r="U4" s="24" t="e">
        <f>SUMIFS(#REF!,#REF!,$B4,#REF!,U$1)</f>
        <v>#REF!</v>
      </c>
      <c r="V4" s="24" t="e">
        <f>SUMIFS(#REF!,#REF!,$B4,#REF!,V$1)</f>
        <v>#REF!</v>
      </c>
      <c r="W4" s="24" t="e">
        <f>SUMIFS(#REF!,#REF!,$B4,#REF!,W$1)</f>
        <v>#REF!</v>
      </c>
      <c r="X4" s="24" t="e">
        <f>SUMIFS(#REF!,#REF!,$B4,#REF!,X$1)</f>
        <v>#REF!</v>
      </c>
      <c r="Y4" s="24" t="e">
        <f>SUMIFS(#REF!,#REF!,$B4,#REF!,Y$1)</f>
        <v>#REF!</v>
      </c>
      <c r="Z4" s="24" t="e">
        <f>SUMIFS(#REF!,#REF!,$B4,#REF!,Z$1)</f>
        <v>#REF!</v>
      </c>
      <c r="AA4" s="24" t="e">
        <f>SUMIFS(#REF!,#REF!,$B4,#REF!,AA$1)</f>
        <v>#REF!</v>
      </c>
      <c r="AB4" s="24" t="e">
        <f>SUMIFS(#REF!,#REF!,$B4,#REF!,AB$1)</f>
        <v>#REF!</v>
      </c>
      <c r="AC4" s="24" t="e">
        <f>SUMIFS(#REF!,#REF!,$B4,#REF!,AC$1)</f>
        <v>#REF!</v>
      </c>
      <c r="AD4" s="24" t="e">
        <f>SUMIFS(#REF!,#REF!,$B4,#REF!,AD$1)</f>
        <v>#REF!</v>
      </c>
      <c r="AE4" s="24" t="e">
        <f>SUMIFS(#REF!,#REF!,$B4,#REF!,AE$1)</f>
        <v>#REF!</v>
      </c>
      <c r="AF4" s="24" t="e">
        <f>SUMIFS(#REF!,#REF!,$B4,#REF!,AF$1)</f>
        <v>#REF!</v>
      </c>
      <c r="AG4" s="24" t="e">
        <f>SUMIFS(#REF!,#REF!,$B4,#REF!,AG$1)</f>
        <v>#REF!</v>
      </c>
      <c r="AH4" s="24" t="e">
        <f>SUMIFS(#REF!,#REF!,$B4,#REF!,AH$1)</f>
        <v>#REF!</v>
      </c>
      <c r="AI4" s="24" t="e">
        <f>SUMIFS(#REF!,#REF!,$B4,#REF!,AI$1)</f>
        <v>#REF!</v>
      </c>
      <c r="AJ4" s="24" t="e">
        <f>SUMIFS(#REF!,#REF!,$B4,#REF!,AJ$1)</f>
        <v>#REF!</v>
      </c>
      <c r="AK4" s="24" t="e">
        <f>SUMIFS(#REF!,#REF!,$B4,#REF!,AK$1)</f>
        <v>#REF!</v>
      </c>
      <c r="AL4" s="24" t="e">
        <f>SUMIFS(#REF!,#REF!,$B4,#REF!,AL$1)</f>
        <v>#REF!</v>
      </c>
      <c r="AM4" s="24" t="e">
        <f>SUMIFS(#REF!,#REF!,$B4,#REF!,AM$1)</f>
        <v>#REF!</v>
      </c>
      <c r="AN4" s="24" t="e">
        <f>SUMIFS(#REF!,#REF!,$B4,#REF!,AN$1)</f>
        <v>#REF!</v>
      </c>
      <c r="AO4" s="24" t="e">
        <f>SUMIFS(#REF!,#REF!,$B4,#REF!,AO$1)</f>
        <v>#REF!</v>
      </c>
      <c r="AP4" s="24" t="e">
        <f>SUMIFS(#REF!,#REF!,$B4,#REF!,AP$1)</f>
        <v>#REF!</v>
      </c>
      <c r="AQ4" s="24" t="e">
        <f>SUMIFS(#REF!,#REF!,$B4,#REF!,AQ$1)</f>
        <v>#REF!</v>
      </c>
      <c r="AR4" s="24" t="e">
        <f>SUMIFS(#REF!,#REF!,$B4,#REF!,AR$1)</f>
        <v>#REF!</v>
      </c>
      <c r="AS4" s="24" t="e">
        <f>SUMIFS(#REF!,#REF!,$B4,#REF!,AS$1)</f>
        <v>#REF!</v>
      </c>
      <c r="AT4" s="24" t="e">
        <f>SUMIFS(#REF!,#REF!,$B4,#REF!,AT$1)</f>
        <v>#REF!</v>
      </c>
      <c r="AU4" s="24" t="e">
        <f>SUMIFS(#REF!,#REF!,$B4,#REF!,AU$1)</f>
        <v>#REF!</v>
      </c>
      <c r="AV4" s="24" t="e">
        <f>SUMIFS(#REF!,#REF!,$B4,#REF!,AV$1)</f>
        <v>#REF!</v>
      </c>
      <c r="AW4" s="24" t="e">
        <f>SUMIFS(#REF!,#REF!,$B4,#REF!,AW$1)</f>
        <v>#REF!</v>
      </c>
      <c r="AX4" s="24" t="e">
        <f>SUMIFS(#REF!,#REF!,$B4,#REF!,AX$1)</f>
        <v>#REF!</v>
      </c>
      <c r="AY4" s="24" t="e">
        <f>SUMIFS(#REF!,#REF!,$B4,#REF!,AY$1)</f>
        <v>#REF!</v>
      </c>
      <c r="AZ4" s="24" t="e">
        <f>SUMIFS(#REF!,#REF!,$B4,#REF!,AZ$1)</f>
        <v>#REF!</v>
      </c>
      <c r="BA4" s="24" t="e">
        <f>SUMIFS(#REF!,#REF!,$B4,#REF!,BA$1)</f>
        <v>#REF!</v>
      </c>
      <c r="BB4" s="24" t="e">
        <f>SUMIFS(#REF!,#REF!,$B4,#REF!,BB$1)</f>
        <v>#REF!</v>
      </c>
      <c r="BC4" s="24" t="e">
        <f>SUMIFS(#REF!,#REF!,$B4,#REF!,BC$1)</f>
        <v>#REF!</v>
      </c>
      <c r="BD4" s="24" t="e">
        <f>SUMIFS(#REF!,#REF!,$B4,#REF!,BD$1)</f>
        <v>#REF!</v>
      </c>
      <c r="BE4" s="24" t="e">
        <f>SUMIFS(#REF!,#REF!,$B4,#REF!,BE$1)</f>
        <v>#REF!</v>
      </c>
      <c r="BF4" s="24" t="e">
        <f>SUMIFS(#REF!,#REF!,$B4,#REF!,BF$1)</f>
        <v>#REF!</v>
      </c>
      <c r="BG4" s="24" t="e">
        <f>SUMIFS(#REF!,#REF!,$B4,#REF!,BG$1)</f>
        <v>#REF!</v>
      </c>
      <c r="BH4" s="24" t="e">
        <f>SUMIFS(#REF!,#REF!,$B4,#REF!,BH$1)</f>
        <v>#REF!</v>
      </c>
      <c r="BI4" s="24" t="e">
        <f>SUMIFS(#REF!,#REF!,$B4,#REF!,BI$1)</f>
        <v>#REF!</v>
      </c>
      <c r="BJ4" s="24" t="e">
        <f>SUMIFS(#REF!,#REF!,$B4,#REF!,BJ$1)</f>
        <v>#REF!</v>
      </c>
      <c r="BK4" s="24" t="e">
        <f>SUMIFS(#REF!,#REF!,$B4,#REF!,BK$1)</f>
        <v>#REF!</v>
      </c>
      <c r="BL4" s="24" t="e">
        <f>SUMIFS(#REF!,#REF!,$B4,#REF!,BL$1)</f>
        <v>#REF!</v>
      </c>
      <c r="BM4" s="24" t="e">
        <f>SUMIFS(#REF!,#REF!,$B4,#REF!,BM$1)</f>
        <v>#REF!</v>
      </c>
      <c r="BN4" s="24" t="e">
        <f>SUMIFS(#REF!,#REF!,$B4,#REF!,BN$1)</f>
        <v>#REF!</v>
      </c>
      <c r="BO4" s="24" t="e">
        <f>SUMIFS(#REF!,#REF!,$B4,#REF!,BO$1)</f>
        <v>#REF!</v>
      </c>
      <c r="BP4" s="24" t="e">
        <f>SUMIFS(#REF!,#REF!,$B4,#REF!,BP$1)</f>
        <v>#REF!</v>
      </c>
      <c r="BQ4" s="24" t="e">
        <f>SUMIFS(#REF!,#REF!,$B4,#REF!,BQ$1)</f>
        <v>#REF!</v>
      </c>
      <c r="BR4" s="24" t="e">
        <f>SUMIFS(#REF!,#REF!,$B4,#REF!,BR$1)</f>
        <v>#REF!</v>
      </c>
      <c r="BS4" s="24" t="e">
        <f>SUMIFS(#REF!,#REF!,$B4,#REF!,BS$1)</f>
        <v>#REF!</v>
      </c>
      <c r="BT4" s="24" t="e">
        <f>SUMIFS(#REF!,#REF!,$B4,#REF!,BT$1)</f>
        <v>#REF!</v>
      </c>
      <c r="BU4" s="24" t="e">
        <f>SUMIFS(#REF!,#REF!,$B4,#REF!,BU$1)</f>
        <v>#REF!</v>
      </c>
      <c r="BV4" s="24" t="e">
        <f>SUMIFS(#REF!,#REF!,$B4,#REF!,BV$1)</f>
        <v>#REF!</v>
      </c>
      <c r="BW4" s="24" t="e">
        <f>SUMIFS(#REF!,#REF!,$B4,#REF!,BW$1)</f>
        <v>#REF!</v>
      </c>
      <c r="BX4" s="24" t="e">
        <f>SUMIFS(#REF!,#REF!,$B4,#REF!,BX$1)</f>
        <v>#REF!</v>
      </c>
      <c r="BY4" s="24" t="e">
        <f>SUMIFS(#REF!,#REF!,$B4,#REF!,BY$1)</f>
        <v>#REF!</v>
      </c>
      <c r="BZ4" s="24" t="e">
        <f>SUMIFS(#REF!,#REF!,$B4,#REF!,BZ$1)</f>
        <v>#REF!</v>
      </c>
      <c r="CA4" s="24" t="e">
        <f>SUMIFS(#REF!,#REF!,$B4,#REF!,CA$1)</f>
        <v>#REF!</v>
      </c>
      <c r="CB4" s="24" t="e">
        <f>SUMIFS(#REF!,#REF!,$B4,#REF!,CB$1)</f>
        <v>#REF!</v>
      </c>
      <c r="CC4" s="24" t="e">
        <f>SUMIFS(#REF!,#REF!,$B4,#REF!,CC$1)</f>
        <v>#REF!</v>
      </c>
      <c r="CD4" s="24" t="e">
        <f>SUMIFS(#REF!,#REF!,$B4,#REF!,CD$1)</f>
        <v>#REF!</v>
      </c>
      <c r="CE4" s="24" t="e">
        <f>SUMIFS(#REF!,#REF!,$B4,#REF!,CE$1)</f>
        <v>#REF!</v>
      </c>
      <c r="CF4" s="24" t="e">
        <f>SUMIFS(#REF!,#REF!,$B4,#REF!,CF$1)</f>
        <v>#REF!</v>
      </c>
      <c r="CG4" s="19" t="e">
        <f t="shared" si="0"/>
        <v>#REF!</v>
      </c>
      <c r="CI4" s="4" t="s">
        <v>1597</v>
      </c>
    </row>
    <row r="5" spans="1:87" x14ac:dyDescent="0.45">
      <c r="A5" s="4" t="s">
        <v>979</v>
      </c>
      <c r="B5" s="4" t="s">
        <v>980</v>
      </c>
      <c r="C5" s="24" t="e">
        <f>SUMIFS(#REF!,#REF!,$B5,#REF!,C$1)</f>
        <v>#REF!</v>
      </c>
      <c r="D5" s="24" t="e">
        <f>SUMIFS(#REF!,#REF!,$B5,#REF!,D$1)</f>
        <v>#REF!</v>
      </c>
      <c r="E5" s="24" t="e">
        <f>SUMIFS(#REF!,#REF!,$B5,#REF!,E$1)</f>
        <v>#REF!</v>
      </c>
      <c r="F5" s="24" t="e">
        <f>SUMIFS(#REF!,#REF!,$B5,#REF!,F$1)</f>
        <v>#REF!</v>
      </c>
      <c r="G5" s="24" t="e">
        <f>SUMIFS(#REF!,#REF!,$B5,#REF!,G$1)</f>
        <v>#REF!</v>
      </c>
      <c r="H5" s="24" t="e">
        <f>SUMIFS(#REF!,#REF!,$B5,#REF!,H$1)</f>
        <v>#REF!</v>
      </c>
      <c r="I5" s="24" t="e">
        <f>SUMIFS(#REF!,#REF!,$B5,#REF!,I$1)</f>
        <v>#REF!</v>
      </c>
      <c r="J5" s="24" t="e">
        <f>SUMIFS(#REF!,#REF!,$B5,#REF!,J$1)</f>
        <v>#REF!</v>
      </c>
      <c r="K5" s="24" t="e">
        <f>SUMIFS(#REF!,#REF!,$B5,#REF!,K$1)</f>
        <v>#REF!</v>
      </c>
      <c r="L5" s="24" t="e">
        <f>SUMIFS(#REF!,#REF!,$B5,#REF!,L$1)</f>
        <v>#REF!</v>
      </c>
      <c r="M5" s="24" t="e">
        <f>SUMIFS(#REF!,#REF!,$B5,#REF!,M$1)</f>
        <v>#REF!</v>
      </c>
      <c r="N5" s="24" t="e">
        <f>SUMIFS(#REF!,#REF!,$B5,#REF!,N$1)</f>
        <v>#REF!</v>
      </c>
      <c r="O5" s="24" t="e">
        <f>SUMIFS(#REF!,#REF!,$B5,#REF!,O$1)</f>
        <v>#REF!</v>
      </c>
      <c r="P5" s="24" t="e">
        <f>SUMIFS(#REF!,#REF!,$B5,#REF!,P$1)</f>
        <v>#REF!</v>
      </c>
      <c r="Q5" s="24" t="e">
        <f>SUMIFS(#REF!,#REF!,$B5,#REF!,Q$1)</f>
        <v>#REF!</v>
      </c>
      <c r="R5" s="24" t="e">
        <f>SUMIFS(#REF!,#REF!,$B5,#REF!,R$1)</f>
        <v>#REF!</v>
      </c>
      <c r="S5" s="24" t="e">
        <f>SUMIFS(#REF!,#REF!,$B5,#REF!,S$1)</f>
        <v>#REF!</v>
      </c>
      <c r="T5" s="24" t="e">
        <f>SUMIFS(#REF!,#REF!,$B5,#REF!,T$1)</f>
        <v>#REF!</v>
      </c>
      <c r="U5" s="24" t="e">
        <f>SUMIFS(#REF!,#REF!,$B5,#REF!,U$1)</f>
        <v>#REF!</v>
      </c>
      <c r="V5" s="24" t="e">
        <f>SUMIFS(#REF!,#REF!,$B5,#REF!,V$1)</f>
        <v>#REF!</v>
      </c>
      <c r="W5" s="24" t="e">
        <f>SUMIFS(#REF!,#REF!,$B5,#REF!,W$1)</f>
        <v>#REF!</v>
      </c>
      <c r="X5" s="24" t="e">
        <f>SUMIFS(#REF!,#REF!,$B5,#REF!,X$1)</f>
        <v>#REF!</v>
      </c>
      <c r="Y5" s="24" t="e">
        <f>SUMIFS(#REF!,#REF!,$B5,#REF!,Y$1)</f>
        <v>#REF!</v>
      </c>
      <c r="Z5" s="24" t="e">
        <f>SUMIFS(#REF!,#REF!,$B5,#REF!,Z$1)</f>
        <v>#REF!</v>
      </c>
      <c r="AA5" s="24" t="e">
        <f>SUMIFS(#REF!,#REF!,$B5,#REF!,AA$1)</f>
        <v>#REF!</v>
      </c>
      <c r="AB5" s="24" t="e">
        <f>SUMIFS(#REF!,#REF!,$B5,#REF!,AB$1)</f>
        <v>#REF!</v>
      </c>
      <c r="AC5" s="24" t="e">
        <f>SUMIFS(#REF!,#REF!,$B5,#REF!,AC$1)</f>
        <v>#REF!</v>
      </c>
      <c r="AD5" s="24" t="e">
        <f>SUMIFS(#REF!,#REF!,$B5,#REF!,AD$1)</f>
        <v>#REF!</v>
      </c>
      <c r="AE5" s="24" t="e">
        <f>SUMIFS(#REF!,#REF!,$B5,#REF!,AE$1)</f>
        <v>#REF!</v>
      </c>
      <c r="AF5" s="24" t="e">
        <f>SUMIFS(#REF!,#REF!,$B5,#REF!,AF$1)</f>
        <v>#REF!</v>
      </c>
      <c r="AG5" s="24" t="e">
        <f>SUMIFS(#REF!,#REF!,$B5,#REF!,AG$1)</f>
        <v>#REF!</v>
      </c>
      <c r="AH5" s="24" t="e">
        <f>SUMIFS(#REF!,#REF!,$B5,#REF!,AH$1)</f>
        <v>#REF!</v>
      </c>
      <c r="AI5" s="24" t="e">
        <f>SUMIFS(#REF!,#REF!,$B5,#REF!,AI$1)</f>
        <v>#REF!</v>
      </c>
      <c r="AJ5" s="24" t="e">
        <f>SUMIFS(#REF!,#REF!,$B5,#REF!,AJ$1)</f>
        <v>#REF!</v>
      </c>
      <c r="AK5" s="24" t="e">
        <f>SUMIFS(#REF!,#REF!,$B5,#REF!,AK$1)</f>
        <v>#REF!</v>
      </c>
      <c r="AL5" s="24" t="e">
        <f>SUMIFS(#REF!,#REF!,$B5,#REF!,AL$1)</f>
        <v>#REF!</v>
      </c>
      <c r="AM5" s="24" t="e">
        <f>SUMIFS(#REF!,#REF!,$B5,#REF!,AM$1)</f>
        <v>#REF!</v>
      </c>
      <c r="AN5" s="24" t="e">
        <f>SUMIFS(#REF!,#REF!,$B5,#REF!,AN$1)</f>
        <v>#REF!</v>
      </c>
      <c r="AO5" s="24" t="e">
        <f>SUMIFS(#REF!,#REF!,$B5,#REF!,AO$1)</f>
        <v>#REF!</v>
      </c>
      <c r="AP5" s="24" t="e">
        <f>SUMIFS(#REF!,#REF!,$B5,#REF!,AP$1)</f>
        <v>#REF!</v>
      </c>
      <c r="AQ5" s="24" t="e">
        <f>SUMIFS(#REF!,#REF!,$B5,#REF!,AQ$1)</f>
        <v>#REF!</v>
      </c>
      <c r="AR5" s="24" t="e">
        <f>SUMIFS(#REF!,#REF!,$B5,#REF!,AR$1)</f>
        <v>#REF!</v>
      </c>
      <c r="AS5" s="24" t="e">
        <f>SUMIFS(#REF!,#REF!,$B5,#REF!,AS$1)</f>
        <v>#REF!</v>
      </c>
      <c r="AT5" s="24" t="e">
        <f>SUMIFS(#REF!,#REF!,$B5,#REF!,AT$1)</f>
        <v>#REF!</v>
      </c>
      <c r="AU5" s="24" t="e">
        <f>SUMIFS(#REF!,#REF!,$B5,#REF!,AU$1)</f>
        <v>#REF!</v>
      </c>
      <c r="AV5" s="24" t="e">
        <f>SUMIFS(#REF!,#REF!,$B5,#REF!,AV$1)</f>
        <v>#REF!</v>
      </c>
      <c r="AW5" s="24" t="e">
        <f>SUMIFS(#REF!,#REF!,$B5,#REF!,AW$1)</f>
        <v>#REF!</v>
      </c>
      <c r="AX5" s="24" t="e">
        <f>SUMIFS(#REF!,#REF!,$B5,#REF!,AX$1)</f>
        <v>#REF!</v>
      </c>
      <c r="AY5" s="24" t="e">
        <f>SUMIFS(#REF!,#REF!,$B5,#REF!,AY$1)</f>
        <v>#REF!</v>
      </c>
      <c r="AZ5" s="24" t="e">
        <f>SUMIFS(#REF!,#REF!,$B5,#REF!,AZ$1)</f>
        <v>#REF!</v>
      </c>
      <c r="BA5" s="24" t="e">
        <f>SUMIFS(#REF!,#REF!,$B5,#REF!,BA$1)</f>
        <v>#REF!</v>
      </c>
      <c r="BB5" s="24" t="e">
        <f>SUMIFS(#REF!,#REF!,$B5,#REF!,BB$1)</f>
        <v>#REF!</v>
      </c>
      <c r="BC5" s="24" t="e">
        <f>SUMIFS(#REF!,#REF!,$B5,#REF!,BC$1)</f>
        <v>#REF!</v>
      </c>
      <c r="BD5" s="24" t="e">
        <f>SUMIFS(#REF!,#REF!,$B5,#REF!,BD$1)</f>
        <v>#REF!</v>
      </c>
      <c r="BE5" s="24" t="e">
        <f>SUMIFS(#REF!,#REF!,$B5,#REF!,BE$1)</f>
        <v>#REF!</v>
      </c>
      <c r="BF5" s="24" t="e">
        <f>SUMIFS(#REF!,#REF!,$B5,#REF!,BF$1)</f>
        <v>#REF!</v>
      </c>
      <c r="BG5" s="24" t="e">
        <f>SUMIFS(#REF!,#REF!,$B5,#REF!,BG$1)</f>
        <v>#REF!</v>
      </c>
      <c r="BH5" s="24" t="e">
        <f>SUMIFS(#REF!,#REF!,$B5,#REF!,BH$1)</f>
        <v>#REF!</v>
      </c>
      <c r="BI5" s="24" t="e">
        <f>SUMIFS(#REF!,#REF!,$B5,#REF!,BI$1)</f>
        <v>#REF!</v>
      </c>
      <c r="BJ5" s="24" t="e">
        <f>SUMIFS(#REF!,#REF!,$B5,#REF!,BJ$1)</f>
        <v>#REF!</v>
      </c>
      <c r="BK5" s="24" t="e">
        <f>SUMIFS(#REF!,#REF!,$B5,#REF!,BK$1)</f>
        <v>#REF!</v>
      </c>
      <c r="BL5" s="24" t="e">
        <f>SUMIFS(#REF!,#REF!,$B5,#REF!,BL$1)</f>
        <v>#REF!</v>
      </c>
      <c r="BM5" s="24" t="e">
        <f>SUMIFS(#REF!,#REF!,$B5,#REF!,BM$1)</f>
        <v>#REF!</v>
      </c>
      <c r="BN5" s="24" t="e">
        <f>SUMIFS(#REF!,#REF!,$B5,#REF!,BN$1)</f>
        <v>#REF!</v>
      </c>
      <c r="BO5" s="24" t="e">
        <f>SUMIFS(#REF!,#REF!,$B5,#REF!,BO$1)</f>
        <v>#REF!</v>
      </c>
      <c r="BP5" s="24" t="e">
        <f>SUMIFS(#REF!,#REF!,$B5,#REF!,BP$1)</f>
        <v>#REF!</v>
      </c>
      <c r="BQ5" s="24" t="e">
        <f>SUMIFS(#REF!,#REF!,$B5,#REF!,BQ$1)</f>
        <v>#REF!</v>
      </c>
      <c r="BR5" s="24" t="e">
        <f>SUMIFS(#REF!,#REF!,$B5,#REF!,BR$1)</f>
        <v>#REF!</v>
      </c>
      <c r="BS5" s="24" t="e">
        <f>SUMIFS(#REF!,#REF!,$B5,#REF!,BS$1)</f>
        <v>#REF!</v>
      </c>
      <c r="BT5" s="24" t="e">
        <f>SUMIFS(#REF!,#REF!,$B5,#REF!,BT$1)</f>
        <v>#REF!</v>
      </c>
      <c r="BU5" s="24" t="e">
        <f>SUMIFS(#REF!,#REF!,$B5,#REF!,BU$1)</f>
        <v>#REF!</v>
      </c>
      <c r="BV5" s="24" t="e">
        <f>SUMIFS(#REF!,#REF!,$B5,#REF!,BV$1)</f>
        <v>#REF!</v>
      </c>
      <c r="BW5" s="24" t="e">
        <f>SUMIFS(#REF!,#REF!,$B5,#REF!,BW$1)</f>
        <v>#REF!</v>
      </c>
      <c r="BX5" s="24" t="e">
        <f>SUMIFS(#REF!,#REF!,$B5,#REF!,BX$1)</f>
        <v>#REF!</v>
      </c>
      <c r="BY5" s="24" t="e">
        <f>SUMIFS(#REF!,#REF!,$B5,#REF!,BY$1)</f>
        <v>#REF!</v>
      </c>
      <c r="BZ5" s="24" t="e">
        <f>SUMIFS(#REF!,#REF!,$B5,#REF!,BZ$1)</f>
        <v>#REF!</v>
      </c>
      <c r="CA5" s="24" t="e">
        <f>SUMIFS(#REF!,#REF!,$B5,#REF!,CA$1)</f>
        <v>#REF!</v>
      </c>
      <c r="CB5" s="24" t="e">
        <f>SUMIFS(#REF!,#REF!,$B5,#REF!,CB$1)</f>
        <v>#REF!</v>
      </c>
      <c r="CC5" s="24" t="e">
        <f>SUMIFS(#REF!,#REF!,$B5,#REF!,CC$1)</f>
        <v>#REF!</v>
      </c>
      <c r="CD5" s="24" t="e">
        <f>SUMIFS(#REF!,#REF!,$B5,#REF!,CD$1)</f>
        <v>#REF!</v>
      </c>
      <c r="CE5" s="24" t="e">
        <f>SUMIFS(#REF!,#REF!,$B5,#REF!,CE$1)</f>
        <v>#REF!</v>
      </c>
      <c r="CF5" s="24" t="e">
        <f>SUMIFS(#REF!,#REF!,$B5,#REF!,CF$1)</f>
        <v>#REF!</v>
      </c>
      <c r="CG5" s="19" t="e">
        <f t="shared" si="0"/>
        <v>#REF!</v>
      </c>
    </row>
    <row r="6" spans="1:87" x14ac:dyDescent="0.45">
      <c r="A6" s="4" t="s">
        <v>982</v>
      </c>
      <c r="B6" s="4" t="s">
        <v>983</v>
      </c>
      <c r="C6" s="24" t="e">
        <f>SUMIFS(#REF!,#REF!,$B6,#REF!,C$1)</f>
        <v>#REF!</v>
      </c>
      <c r="D6" s="24" t="e">
        <f>SUMIFS(#REF!,#REF!,$B6,#REF!,D$1)</f>
        <v>#REF!</v>
      </c>
      <c r="E6" s="24" t="e">
        <f>SUMIFS(#REF!,#REF!,$B6,#REF!,E$1)</f>
        <v>#REF!</v>
      </c>
      <c r="F6" s="24" t="e">
        <f>SUMIFS(#REF!,#REF!,$B6,#REF!,F$1)</f>
        <v>#REF!</v>
      </c>
      <c r="G6" s="24" t="e">
        <f>SUMIFS(#REF!,#REF!,$B6,#REF!,G$1)</f>
        <v>#REF!</v>
      </c>
      <c r="H6" s="24" t="e">
        <f>SUMIFS(#REF!,#REF!,$B6,#REF!,H$1)</f>
        <v>#REF!</v>
      </c>
      <c r="I6" s="24" t="e">
        <f>SUMIFS(#REF!,#REF!,$B6,#REF!,I$1)</f>
        <v>#REF!</v>
      </c>
      <c r="J6" s="24" t="e">
        <f>SUMIFS(#REF!,#REF!,$B6,#REF!,J$1)</f>
        <v>#REF!</v>
      </c>
      <c r="K6" s="24" t="e">
        <f>SUMIFS(#REF!,#REF!,$B6,#REF!,K$1)</f>
        <v>#REF!</v>
      </c>
      <c r="L6" s="24" t="e">
        <f>SUMIFS(#REF!,#REF!,$B6,#REF!,L$1)</f>
        <v>#REF!</v>
      </c>
      <c r="M6" s="24" t="e">
        <f>SUMIFS(#REF!,#REF!,$B6,#REF!,M$1)</f>
        <v>#REF!</v>
      </c>
      <c r="N6" s="24" t="e">
        <f>SUMIFS(#REF!,#REF!,$B6,#REF!,N$1)</f>
        <v>#REF!</v>
      </c>
      <c r="O6" s="24" t="e">
        <f>SUMIFS(#REF!,#REF!,$B6,#REF!,O$1)</f>
        <v>#REF!</v>
      </c>
      <c r="P6" s="24" t="e">
        <f>SUMIFS(#REF!,#REF!,$B6,#REF!,P$1)</f>
        <v>#REF!</v>
      </c>
      <c r="Q6" s="24" t="e">
        <f>SUMIFS(#REF!,#REF!,$B6,#REF!,Q$1)</f>
        <v>#REF!</v>
      </c>
      <c r="R6" s="24" t="e">
        <f>SUMIFS(#REF!,#REF!,$B6,#REF!,R$1)</f>
        <v>#REF!</v>
      </c>
      <c r="S6" s="24" t="e">
        <f>SUMIFS(#REF!,#REF!,$B6,#REF!,S$1)</f>
        <v>#REF!</v>
      </c>
      <c r="T6" s="24" t="e">
        <f>SUMIFS(#REF!,#REF!,$B6,#REF!,T$1)</f>
        <v>#REF!</v>
      </c>
      <c r="U6" s="24" t="e">
        <f>SUMIFS(#REF!,#REF!,$B6,#REF!,U$1)</f>
        <v>#REF!</v>
      </c>
      <c r="V6" s="24" t="e">
        <f>SUMIFS(#REF!,#REF!,$B6,#REF!,V$1)</f>
        <v>#REF!</v>
      </c>
      <c r="W6" s="24" t="e">
        <f>SUMIFS(#REF!,#REF!,$B6,#REF!,W$1)</f>
        <v>#REF!</v>
      </c>
      <c r="X6" s="24" t="e">
        <f>SUMIFS(#REF!,#REF!,$B6,#REF!,X$1)</f>
        <v>#REF!</v>
      </c>
      <c r="Y6" s="24" t="e">
        <f>SUMIFS(#REF!,#REF!,$B6,#REF!,Y$1)</f>
        <v>#REF!</v>
      </c>
      <c r="Z6" s="24" t="e">
        <f>SUMIFS(#REF!,#REF!,$B6,#REF!,Z$1)</f>
        <v>#REF!</v>
      </c>
      <c r="AA6" s="24" t="e">
        <f>SUMIFS(#REF!,#REF!,$B6,#REF!,AA$1)</f>
        <v>#REF!</v>
      </c>
      <c r="AB6" s="24" t="e">
        <f>SUMIFS(#REF!,#REF!,$B6,#REF!,AB$1)</f>
        <v>#REF!</v>
      </c>
      <c r="AC6" s="24" t="e">
        <f>SUMIFS(#REF!,#REF!,$B6,#REF!,AC$1)</f>
        <v>#REF!</v>
      </c>
      <c r="AD6" s="24" t="e">
        <f>SUMIFS(#REF!,#REF!,$B6,#REF!,AD$1)</f>
        <v>#REF!</v>
      </c>
      <c r="AE6" s="24" t="e">
        <f>SUMIFS(#REF!,#REF!,$B6,#REF!,AE$1)</f>
        <v>#REF!</v>
      </c>
      <c r="AF6" s="24" t="e">
        <f>SUMIFS(#REF!,#REF!,$B6,#REF!,AF$1)</f>
        <v>#REF!</v>
      </c>
      <c r="AG6" s="24" t="e">
        <f>SUMIFS(#REF!,#REF!,$B6,#REF!,AG$1)</f>
        <v>#REF!</v>
      </c>
      <c r="AH6" s="24" t="e">
        <f>SUMIFS(#REF!,#REF!,$B6,#REF!,AH$1)</f>
        <v>#REF!</v>
      </c>
      <c r="AI6" s="24" t="e">
        <f>SUMIFS(#REF!,#REF!,$B6,#REF!,AI$1)</f>
        <v>#REF!</v>
      </c>
      <c r="AJ6" s="24" t="e">
        <f>SUMIFS(#REF!,#REF!,$B6,#REF!,AJ$1)</f>
        <v>#REF!</v>
      </c>
      <c r="AK6" s="24" t="e">
        <f>SUMIFS(#REF!,#REF!,$B6,#REF!,AK$1)</f>
        <v>#REF!</v>
      </c>
      <c r="AL6" s="24" t="e">
        <f>SUMIFS(#REF!,#REF!,$B6,#REF!,AL$1)</f>
        <v>#REF!</v>
      </c>
      <c r="AM6" s="24" t="e">
        <f>SUMIFS(#REF!,#REF!,$B6,#REF!,AM$1)</f>
        <v>#REF!</v>
      </c>
      <c r="AN6" s="24" t="e">
        <f>SUMIFS(#REF!,#REF!,$B6,#REF!,AN$1)</f>
        <v>#REF!</v>
      </c>
      <c r="AO6" s="24" t="e">
        <f>SUMIFS(#REF!,#REF!,$B6,#REF!,AO$1)</f>
        <v>#REF!</v>
      </c>
      <c r="AP6" s="24" t="e">
        <f>SUMIFS(#REF!,#REF!,$B6,#REF!,AP$1)</f>
        <v>#REF!</v>
      </c>
      <c r="AQ6" s="24" t="e">
        <f>SUMIFS(#REF!,#REF!,$B6,#REF!,AQ$1)</f>
        <v>#REF!</v>
      </c>
      <c r="AR6" s="24" t="e">
        <f>SUMIFS(#REF!,#REF!,$B6,#REF!,AR$1)</f>
        <v>#REF!</v>
      </c>
      <c r="AS6" s="24" t="e">
        <f>SUMIFS(#REF!,#REF!,$B6,#REF!,AS$1)</f>
        <v>#REF!</v>
      </c>
      <c r="AT6" s="24" t="e">
        <f>SUMIFS(#REF!,#REF!,$B6,#REF!,AT$1)</f>
        <v>#REF!</v>
      </c>
      <c r="AU6" s="24" t="e">
        <f>SUMIFS(#REF!,#REF!,$B6,#REF!,AU$1)</f>
        <v>#REF!</v>
      </c>
      <c r="AV6" s="24" t="e">
        <f>SUMIFS(#REF!,#REF!,$B6,#REF!,AV$1)</f>
        <v>#REF!</v>
      </c>
      <c r="AW6" s="24" t="e">
        <f>SUMIFS(#REF!,#REF!,$B6,#REF!,AW$1)</f>
        <v>#REF!</v>
      </c>
      <c r="AX6" s="24" t="e">
        <f>SUMIFS(#REF!,#REF!,$B6,#REF!,AX$1)</f>
        <v>#REF!</v>
      </c>
      <c r="AY6" s="24" t="e">
        <f>SUMIFS(#REF!,#REF!,$B6,#REF!,AY$1)</f>
        <v>#REF!</v>
      </c>
      <c r="AZ6" s="24" t="e">
        <f>SUMIFS(#REF!,#REF!,$B6,#REF!,AZ$1)</f>
        <v>#REF!</v>
      </c>
      <c r="BA6" s="24" t="e">
        <f>SUMIFS(#REF!,#REF!,$B6,#REF!,BA$1)</f>
        <v>#REF!</v>
      </c>
      <c r="BB6" s="24" t="e">
        <f>SUMIFS(#REF!,#REF!,$B6,#REF!,BB$1)</f>
        <v>#REF!</v>
      </c>
      <c r="BC6" s="24" t="e">
        <f>SUMIFS(#REF!,#REF!,$B6,#REF!,BC$1)</f>
        <v>#REF!</v>
      </c>
      <c r="BD6" s="24" t="e">
        <f>SUMIFS(#REF!,#REF!,$B6,#REF!,BD$1)</f>
        <v>#REF!</v>
      </c>
      <c r="BE6" s="24" t="e">
        <f>SUMIFS(#REF!,#REF!,$B6,#REF!,BE$1)</f>
        <v>#REF!</v>
      </c>
      <c r="BF6" s="24" t="e">
        <f>SUMIFS(#REF!,#REF!,$B6,#REF!,BF$1)</f>
        <v>#REF!</v>
      </c>
      <c r="BG6" s="24" t="e">
        <f>SUMIFS(#REF!,#REF!,$B6,#REF!,BG$1)</f>
        <v>#REF!</v>
      </c>
      <c r="BH6" s="24" t="e">
        <f>SUMIFS(#REF!,#REF!,$B6,#REF!,BH$1)</f>
        <v>#REF!</v>
      </c>
      <c r="BI6" s="24" t="e">
        <f>SUMIFS(#REF!,#REF!,$B6,#REF!,BI$1)</f>
        <v>#REF!</v>
      </c>
      <c r="BJ6" s="24" t="e">
        <f>SUMIFS(#REF!,#REF!,$B6,#REF!,BJ$1)</f>
        <v>#REF!</v>
      </c>
      <c r="BK6" s="24" t="e">
        <f>SUMIFS(#REF!,#REF!,$B6,#REF!,BK$1)</f>
        <v>#REF!</v>
      </c>
      <c r="BL6" s="24" t="e">
        <f>SUMIFS(#REF!,#REF!,$B6,#REF!,BL$1)</f>
        <v>#REF!</v>
      </c>
      <c r="BM6" s="24" t="e">
        <f>SUMIFS(#REF!,#REF!,$B6,#REF!,BM$1)</f>
        <v>#REF!</v>
      </c>
      <c r="BN6" s="24" t="e">
        <f>SUMIFS(#REF!,#REF!,$B6,#REF!,BN$1)</f>
        <v>#REF!</v>
      </c>
      <c r="BO6" s="24" t="e">
        <f>SUMIFS(#REF!,#REF!,$B6,#REF!,BO$1)</f>
        <v>#REF!</v>
      </c>
      <c r="BP6" s="24" t="e">
        <f>SUMIFS(#REF!,#REF!,$B6,#REF!,BP$1)</f>
        <v>#REF!</v>
      </c>
      <c r="BQ6" s="24" t="e">
        <f>SUMIFS(#REF!,#REF!,$B6,#REF!,BQ$1)</f>
        <v>#REF!</v>
      </c>
      <c r="BR6" s="24" t="e">
        <f>SUMIFS(#REF!,#REF!,$B6,#REF!,BR$1)</f>
        <v>#REF!</v>
      </c>
      <c r="BS6" s="24" t="e">
        <f>SUMIFS(#REF!,#REF!,$B6,#REF!,BS$1)</f>
        <v>#REF!</v>
      </c>
      <c r="BT6" s="24" t="e">
        <f>SUMIFS(#REF!,#REF!,$B6,#REF!,BT$1)</f>
        <v>#REF!</v>
      </c>
      <c r="BU6" s="24" t="e">
        <f>SUMIFS(#REF!,#REF!,$B6,#REF!,BU$1)</f>
        <v>#REF!</v>
      </c>
      <c r="BV6" s="24" t="e">
        <f>SUMIFS(#REF!,#REF!,$B6,#REF!,BV$1)</f>
        <v>#REF!</v>
      </c>
      <c r="BW6" s="24" t="e">
        <f>SUMIFS(#REF!,#REF!,$B6,#REF!,BW$1)</f>
        <v>#REF!</v>
      </c>
      <c r="BX6" s="24" t="e">
        <f>SUMIFS(#REF!,#REF!,$B6,#REF!,BX$1)</f>
        <v>#REF!</v>
      </c>
      <c r="BY6" s="24" t="e">
        <f>SUMIFS(#REF!,#REF!,$B6,#REF!,BY$1)</f>
        <v>#REF!</v>
      </c>
      <c r="BZ6" s="24" t="e">
        <f>SUMIFS(#REF!,#REF!,$B6,#REF!,BZ$1)</f>
        <v>#REF!</v>
      </c>
      <c r="CA6" s="24" t="e">
        <f>SUMIFS(#REF!,#REF!,$B6,#REF!,CA$1)</f>
        <v>#REF!</v>
      </c>
      <c r="CB6" s="24" t="e">
        <f>SUMIFS(#REF!,#REF!,$B6,#REF!,CB$1)</f>
        <v>#REF!</v>
      </c>
      <c r="CC6" s="24" t="e">
        <f>SUMIFS(#REF!,#REF!,$B6,#REF!,CC$1)</f>
        <v>#REF!</v>
      </c>
      <c r="CD6" s="24" t="e">
        <f>SUMIFS(#REF!,#REF!,$B6,#REF!,CD$1)</f>
        <v>#REF!</v>
      </c>
      <c r="CE6" s="24" t="e">
        <f>SUMIFS(#REF!,#REF!,$B6,#REF!,CE$1)</f>
        <v>#REF!</v>
      </c>
      <c r="CF6" s="24" t="e">
        <f>SUMIFS(#REF!,#REF!,$B6,#REF!,CF$1)</f>
        <v>#REF!</v>
      </c>
      <c r="CG6" s="19" t="e">
        <f t="shared" si="0"/>
        <v>#REF!</v>
      </c>
    </row>
    <row r="7" spans="1:87" x14ac:dyDescent="0.45">
      <c r="A7" s="4" t="s">
        <v>985</v>
      </c>
      <c r="B7" s="4" t="s">
        <v>986</v>
      </c>
      <c r="C7" s="24" t="e">
        <f>SUMIFS(#REF!,#REF!,$B7,#REF!,C$1)</f>
        <v>#REF!</v>
      </c>
      <c r="D7" s="24" t="e">
        <f>SUMIFS(#REF!,#REF!,$B7,#REF!,D$1)</f>
        <v>#REF!</v>
      </c>
      <c r="E7" s="24" t="e">
        <f>SUMIFS(#REF!,#REF!,$B7,#REF!,E$1)</f>
        <v>#REF!</v>
      </c>
      <c r="F7" s="24" t="e">
        <f>SUMIFS(#REF!,#REF!,$B7,#REF!,F$1)</f>
        <v>#REF!</v>
      </c>
      <c r="G7" s="24" t="e">
        <f>SUMIFS(#REF!,#REF!,$B7,#REF!,G$1)</f>
        <v>#REF!</v>
      </c>
      <c r="H7" s="24" t="e">
        <f>SUMIFS(#REF!,#REF!,$B7,#REF!,H$1)</f>
        <v>#REF!</v>
      </c>
      <c r="I7" s="24" t="e">
        <f>SUMIFS(#REF!,#REF!,$B7,#REF!,I$1)</f>
        <v>#REF!</v>
      </c>
      <c r="J7" s="24" t="e">
        <f>SUMIFS(#REF!,#REF!,$B7,#REF!,J$1)</f>
        <v>#REF!</v>
      </c>
      <c r="K7" s="24" t="e">
        <f>SUMIFS(#REF!,#REF!,$B7,#REF!,K$1)</f>
        <v>#REF!</v>
      </c>
      <c r="L7" s="24" t="e">
        <f>SUMIFS(#REF!,#REF!,$B7,#REF!,L$1)</f>
        <v>#REF!</v>
      </c>
      <c r="M7" s="24" t="e">
        <f>SUMIFS(#REF!,#REF!,$B7,#REF!,M$1)</f>
        <v>#REF!</v>
      </c>
      <c r="N7" s="24" t="e">
        <f>SUMIFS(#REF!,#REF!,$B7,#REF!,N$1)</f>
        <v>#REF!</v>
      </c>
      <c r="O7" s="24" t="e">
        <f>SUMIFS(#REF!,#REF!,$B7,#REF!,O$1)</f>
        <v>#REF!</v>
      </c>
      <c r="P7" s="24" t="e">
        <f>SUMIFS(#REF!,#REF!,$B7,#REF!,P$1)</f>
        <v>#REF!</v>
      </c>
      <c r="Q7" s="24" t="e">
        <f>SUMIFS(#REF!,#REF!,$B7,#REF!,Q$1)</f>
        <v>#REF!</v>
      </c>
      <c r="R7" s="24" t="e">
        <f>SUMIFS(#REF!,#REF!,$B7,#REF!,R$1)</f>
        <v>#REF!</v>
      </c>
      <c r="S7" s="24" t="e">
        <f>SUMIFS(#REF!,#REF!,$B7,#REF!,S$1)</f>
        <v>#REF!</v>
      </c>
      <c r="T7" s="24" t="e">
        <f>SUMIFS(#REF!,#REF!,$B7,#REF!,T$1)</f>
        <v>#REF!</v>
      </c>
      <c r="U7" s="24" t="e">
        <f>SUMIFS(#REF!,#REF!,$B7,#REF!,U$1)</f>
        <v>#REF!</v>
      </c>
      <c r="V7" s="24" t="e">
        <f>SUMIFS(#REF!,#REF!,$B7,#REF!,V$1)</f>
        <v>#REF!</v>
      </c>
      <c r="W7" s="24" t="e">
        <f>SUMIFS(#REF!,#REF!,$B7,#REF!,W$1)</f>
        <v>#REF!</v>
      </c>
      <c r="X7" s="24" t="e">
        <f>SUMIFS(#REF!,#REF!,$B7,#REF!,X$1)</f>
        <v>#REF!</v>
      </c>
      <c r="Y7" s="24" t="e">
        <f>SUMIFS(#REF!,#REF!,$B7,#REF!,Y$1)</f>
        <v>#REF!</v>
      </c>
      <c r="Z7" s="24" t="e">
        <f>SUMIFS(#REF!,#REF!,$B7,#REF!,Z$1)</f>
        <v>#REF!</v>
      </c>
      <c r="AA7" s="24" t="e">
        <f>SUMIFS(#REF!,#REF!,$B7,#REF!,AA$1)</f>
        <v>#REF!</v>
      </c>
      <c r="AB7" s="24" t="e">
        <f>SUMIFS(#REF!,#REF!,$B7,#REF!,AB$1)</f>
        <v>#REF!</v>
      </c>
      <c r="AC7" s="24" t="e">
        <f>SUMIFS(#REF!,#REF!,$B7,#REF!,AC$1)</f>
        <v>#REF!</v>
      </c>
      <c r="AD7" s="24" t="e">
        <f>SUMIFS(#REF!,#REF!,$B7,#REF!,AD$1)</f>
        <v>#REF!</v>
      </c>
      <c r="AE7" s="24" t="e">
        <f>SUMIFS(#REF!,#REF!,$B7,#REF!,AE$1)</f>
        <v>#REF!</v>
      </c>
      <c r="AF7" s="24" t="e">
        <f>SUMIFS(#REF!,#REF!,$B7,#REF!,AF$1)</f>
        <v>#REF!</v>
      </c>
      <c r="AG7" s="24" t="e">
        <f>SUMIFS(#REF!,#REF!,$B7,#REF!,AG$1)</f>
        <v>#REF!</v>
      </c>
      <c r="AH7" s="24" t="e">
        <f>SUMIFS(#REF!,#REF!,$B7,#REF!,AH$1)</f>
        <v>#REF!</v>
      </c>
      <c r="AI7" s="24" t="e">
        <f>SUMIFS(#REF!,#REF!,$B7,#REF!,AI$1)</f>
        <v>#REF!</v>
      </c>
      <c r="AJ7" s="24" t="e">
        <f>SUMIFS(#REF!,#REF!,$B7,#REF!,AJ$1)</f>
        <v>#REF!</v>
      </c>
      <c r="AK7" s="24" t="e">
        <f>SUMIFS(#REF!,#REF!,$B7,#REF!,AK$1)</f>
        <v>#REF!</v>
      </c>
      <c r="AL7" s="24" t="e">
        <f>SUMIFS(#REF!,#REF!,$B7,#REF!,AL$1)</f>
        <v>#REF!</v>
      </c>
      <c r="AM7" s="24" t="e">
        <f>SUMIFS(#REF!,#REF!,$B7,#REF!,AM$1)</f>
        <v>#REF!</v>
      </c>
      <c r="AN7" s="24" t="e">
        <f>SUMIFS(#REF!,#REF!,$B7,#REF!,AN$1)</f>
        <v>#REF!</v>
      </c>
      <c r="AO7" s="24" t="e">
        <f>SUMIFS(#REF!,#REF!,$B7,#REF!,AO$1)</f>
        <v>#REF!</v>
      </c>
      <c r="AP7" s="24" t="e">
        <f>SUMIFS(#REF!,#REF!,$B7,#REF!,AP$1)</f>
        <v>#REF!</v>
      </c>
      <c r="AQ7" s="24" t="e">
        <f>SUMIFS(#REF!,#REF!,$B7,#REF!,AQ$1)</f>
        <v>#REF!</v>
      </c>
      <c r="AR7" s="24" t="e">
        <f>SUMIFS(#REF!,#REF!,$B7,#REF!,AR$1)</f>
        <v>#REF!</v>
      </c>
      <c r="AS7" s="24" t="e">
        <f>SUMIFS(#REF!,#REF!,$B7,#REF!,AS$1)</f>
        <v>#REF!</v>
      </c>
      <c r="AT7" s="24" t="e">
        <f>SUMIFS(#REF!,#REF!,$B7,#REF!,AT$1)</f>
        <v>#REF!</v>
      </c>
      <c r="AU7" s="24" t="e">
        <f>SUMIFS(#REF!,#REF!,$B7,#REF!,AU$1)</f>
        <v>#REF!</v>
      </c>
      <c r="AV7" s="24" t="e">
        <f>SUMIFS(#REF!,#REF!,$B7,#REF!,AV$1)</f>
        <v>#REF!</v>
      </c>
      <c r="AW7" s="24" t="e">
        <f>SUMIFS(#REF!,#REF!,$B7,#REF!,AW$1)</f>
        <v>#REF!</v>
      </c>
      <c r="AX7" s="24" t="e">
        <f>SUMIFS(#REF!,#REF!,$B7,#REF!,AX$1)</f>
        <v>#REF!</v>
      </c>
      <c r="AY7" s="24" t="e">
        <f>SUMIFS(#REF!,#REF!,$B7,#REF!,AY$1)</f>
        <v>#REF!</v>
      </c>
      <c r="AZ7" s="24" t="e">
        <f>SUMIFS(#REF!,#REF!,$B7,#REF!,AZ$1)</f>
        <v>#REF!</v>
      </c>
      <c r="BA7" s="24" t="e">
        <f>SUMIFS(#REF!,#REF!,$B7,#REF!,BA$1)</f>
        <v>#REF!</v>
      </c>
      <c r="BB7" s="24" t="e">
        <f>SUMIFS(#REF!,#REF!,$B7,#REF!,BB$1)</f>
        <v>#REF!</v>
      </c>
      <c r="BC7" s="24" t="e">
        <f>SUMIFS(#REF!,#REF!,$B7,#REF!,BC$1)</f>
        <v>#REF!</v>
      </c>
      <c r="BD7" s="24" t="e">
        <f>SUMIFS(#REF!,#REF!,$B7,#REF!,BD$1)</f>
        <v>#REF!</v>
      </c>
      <c r="BE7" s="24" t="e">
        <f>SUMIFS(#REF!,#REF!,$B7,#REF!,BE$1)</f>
        <v>#REF!</v>
      </c>
      <c r="BF7" s="24" t="e">
        <f>SUMIFS(#REF!,#REF!,$B7,#REF!,BF$1)</f>
        <v>#REF!</v>
      </c>
      <c r="BG7" s="24" t="e">
        <f>SUMIFS(#REF!,#REF!,$B7,#REF!,BG$1)</f>
        <v>#REF!</v>
      </c>
      <c r="BH7" s="24" t="e">
        <f>SUMIFS(#REF!,#REF!,$B7,#REF!,BH$1)</f>
        <v>#REF!</v>
      </c>
      <c r="BI7" s="24" t="e">
        <f>SUMIFS(#REF!,#REF!,$B7,#REF!,BI$1)</f>
        <v>#REF!</v>
      </c>
      <c r="BJ7" s="24" t="e">
        <f>SUMIFS(#REF!,#REF!,$B7,#REF!,BJ$1)</f>
        <v>#REF!</v>
      </c>
      <c r="BK7" s="24" t="e">
        <f>SUMIFS(#REF!,#REF!,$B7,#REF!,BK$1)</f>
        <v>#REF!</v>
      </c>
      <c r="BL7" s="24" t="e">
        <f>SUMIFS(#REF!,#REF!,$B7,#REF!,BL$1)</f>
        <v>#REF!</v>
      </c>
      <c r="BM7" s="24" t="e">
        <f>SUMIFS(#REF!,#REF!,$B7,#REF!,BM$1)</f>
        <v>#REF!</v>
      </c>
      <c r="BN7" s="24" t="e">
        <f>SUMIFS(#REF!,#REF!,$B7,#REF!,BN$1)</f>
        <v>#REF!</v>
      </c>
      <c r="BO7" s="24" t="e">
        <f>SUMIFS(#REF!,#REF!,$B7,#REF!,BO$1)</f>
        <v>#REF!</v>
      </c>
      <c r="BP7" s="24" t="e">
        <f>SUMIFS(#REF!,#REF!,$B7,#REF!,BP$1)</f>
        <v>#REF!</v>
      </c>
      <c r="BQ7" s="24" t="e">
        <f>SUMIFS(#REF!,#REF!,$B7,#REF!,BQ$1)</f>
        <v>#REF!</v>
      </c>
      <c r="BR7" s="24" t="e">
        <f>SUMIFS(#REF!,#REF!,$B7,#REF!,BR$1)</f>
        <v>#REF!</v>
      </c>
      <c r="BS7" s="24" t="e">
        <f>SUMIFS(#REF!,#REF!,$B7,#REF!,BS$1)</f>
        <v>#REF!</v>
      </c>
      <c r="BT7" s="24" t="e">
        <f>SUMIFS(#REF!,#REF!,$B7,#REF!,BT$1)</f>
        <v>#REF!</v>
      </c>
      <c r="BU7" s="24" t="e">
        <f>SUMIFS(#REF!,#REF!,$B7,#REF!,BU$1)</f>
        <v>#REF!</v>
      </c>
      <c r="BV7" s="24" t="e">
        <f>SUMIFS(#REF!,#REF!,$B7,#REF!,BV$1)</f>
        <v>#REF!</v>
      </c>
      <c r="BW7" s="24" t="e">
        <f>SUMIFS(#REF!,#REF!,$B7,#REF!,BW$1)</f>
        <v>#REF!</v>
      </c>
      <c r="BX7" s="24" t="e">
        <f>SUMIFS(#REF!,#REF!,$B7,#REF!,BX$1)</f>
        <v>#REF!</v>
      </c>
      <c r="BY7" s="24" t="e">
        <f>SUMIFS(#REF!,#REF!,$B7,#REF!,BY$1)</f>
        <v>#REF!</v>
      </c>
      <c r="BZ7" s="24" t="e">
        <f>SUMIFS(#REF!,#REF!,$B7,#REF!,BZ$1)</f>
        <v>#REF!</v>
      </c>
      <c r="CA7" s="24" t="e">
        <f>SUMIFS(#REF!,#REF!,$B7,#REF!,CA$1)</f>
        <v>#REF!</v>
      </c>
      <c r="CB7" s="24" t="e">
        <f>SUMIFS(#REF!,#REF!,$B7,#REF!,CB$1)</f>
        <v>#REF!</v>
      </c>
      <c r="CC7" s="24" t="e">
        <f>SUMIFS(#REF!,#REF!,$B7,#REF!,CC$1)</f>
        <v>#REF!</v>
      </c>
      <c r="CD7" s="24" t="e">
        <f>SUMIFS(#REF!,#REF!,$B7,#REF!,CD$1)</f>
        <v>#REF!</v>
      </c>
      <c r="CE7" s="24" t="e">
        <f>SUMIFS(#REF!,#REF!,$B7,#REF!,CE$1)</f>
        <v>#REF!</v>
      </c>
      <c r="CF7" s="24" t="e">
        <f>SUMIFS(#REF!,#REF!,$B7,#REF!,CF$1)</f>
        <v>#REF!</v>
      </c>
      <c r="CG7" s="19" t="e">
        <f t="shared" si="0"/>
        <v>#REF!</v>
      </c>
    </row>
    <row r="8" spans="1:87" x14ac:dyDescent="0.45">
      <c r="A8" s="4" t="s">
        <v>988</v>
      </c>
      <c r="B8" s="4" t="s">
        <v>989</v>
      </c>
      <c r="C8" s="24" t="e">
        <f>SUMIFS(#REF!,#REF!,$B8,#REF!,C$1)</f>
        <v>#REF!</v>
      </c>
      <c r="D8" s="24" t="e">
        <f>SUMIFS(#REF!,#REF!,$B8,#REF!,D$1)</f>
        <v>#REF!</v>
      </c>
      <c r="E8" s="24" t="e">
        <f>SUMIFS(#REF!,#REF!,$B8,#REF!,E$1)</f>
        <v>#REF!</v>
      </c>
      <c r="F8" s="24" t="e">
        <f>SUMIFS(#REF!,#REF!,$B8,#REF!,F$1)</f>
        <v>#REF!</v>
      </c>
      <c r="G8" s="24" t="e">
        <f>SUMIFS(#REF!,#REF!,$B8,#REF!,G$1)</f>
        <v>#REF!</v>
      </c>
      <c r="H8" s="24" t="e">
        <f>SUMIFS(#REF!,#REF!,$B8,#REF!,H$1)</f>
        <v>#REF!</v>
      </c>
      <c r="I8" s="24" t="e">
        <f>SUMIFS(#REF!,#REF!,$B8,#REF!,I$1)</f>
        <v>#REF!</v>
      </c>
      <c r="J8" s="24" t="e">
        <f>SUMIFS(#REF!,#REF!,$B8,#REF!,J$1)</f>
        <v>#REF!</v>
      </c>
      <c r="K8" s="24" t="e">
        <f>SUMIFS(#REF!,#REF!,$B8,#REF!,K$1)</f>
        <v>#REF!</v>
      </c>
      <c r="L8" s="24" t="e">
        <f>SUMIFS(#REF!,#REF!,$B8,#REF!,L$1)</f>
        <v>#REF!</v>
      </c>
      <c r="M8" s="24" t="e">
        <f>SUMIFS(#REF!,#REF!,$B8,#REF!,M$1)</f>
        <v>#REF!</v>
      </c>
      <c r="N8" s="24" t="e">
        <f>SUMIFS(#REF!,#REF!,$B8,#REF!,N$1)</f>
        <v>#REF!</v>
      </c>
      <c r="O8" s="24" t="e">
        <f>SUMIFS(#REF!,#REF!,$B8,#REF!,O$1)</f>
        <v>#REF!</v>
      </c>
      <c r="P8" s="24" t="e">
        <f>SUMIFS(#REF!,#REF!,$B8,#REF!,P$1)</f>
        <v>#REF!</v>
      </c>
      <c r="Q8" s="24" t="e">
        <f>SUMIFS(#REF!,#REF!,$B8,#REF!,Q$1)</f>
        <v>#REF!</v>
      </c>
      <c r="R8" s="24" t="e">
        <f>SUMIFS(#REF!,#REF!,$B8,#REF!,R$1)</f>
        <v>#REF!</v>
      </c>
      <c r="S8" s="24" t="e">
        <f>SUMIFS(#REF!,#REF!,$B8,#REF!,S$1)</f>
        <v>#REF!</v>
      </c>
      <c r="T8" s="24" t="e">
        <f>SUMIFS(#REF!,#REF!,$B8,#REF!,T$1)</f>
        <v>#REF!</v>
      </c>
      <c r="U8" s="24" t="e">
        <f>SUMIFS(#REF!,#REF!,$B8,#REF!,U$1)</f>
        <v>#REF!</v>
      </c>
      <c r="V8" s="24" t="e">
        <f>SUMIFS(#REF!,#REF!,$B8,#REF!,V$1)</f>
        <v>#REF!</v>
      </c>
      <c r="W8" s="24" t="e">
        <f>SUMIFS(#REF!,#REF!,$B8,#REF!,W$1)</f>
        <v>#REF!</v>
      </c>
      <c r="X8" s="24" t="e">
        <f>SUMIFS(#REF!,#REF!,$B8,#REF!,X$1)</f>
        <v>#REF!</v>
      </c>
      <c r="Y8" s="24" t="e">
        <f>SUMIFS(#REF!,#REF!,$B8,#REF!,Y$1)</f>
        <v>#REF!</v>
      </c>
      <c r="Z8" s="24" t="e">
        <f>SUMIFS(#REF!,#REF!,$B8,#REF!,Z$1)</f>
        <v>#REF!</v>
      </c>
      <c r="AA8" s="24" t="e">
        <f>SUMIFS(#REF!,#REF!,$B8,#REF!,AA$1)</f>
        <v>#REF!</v>
      </c>
      <c r="AB8" s="24" t="e">
        <f>SUMIFS(#REF!,#REF!,$B8,#REF!,AB$1)</f>
        <v>#REF!</v>
      </c>
      <c r="AC8" s="24" t="e">
        <f>SUMIFS(#REF!,#REF!,$B8,#REF!,AC$1)</f>
        <v>#REF!</v>
      </c>
      <c r="AD8" s="24" t="e">
        <f>SUMIFS(#REF!,#REF!,$B8,#REF!,AD$1)</f>
        <v>#REF!</v>
      </c>
      <c r="AE8" s="24" t="e">
        <f>SUMIFS(#REF!,#REF!,$B8,#REF!,AE$1)</f>
        <v>#REF!</v>
      </c>
      <c r="AF8" s="24" t="e">
        <f>SUMIFS(#REF!,#REF!,$B8,#REF!,AF$1)</f>
        <v>#REF!</v>
      </c>
      <c r="AG8" s="24" t="e">
        <f>SUMIFS(#REF!,#REF!,$B8,#REF!,AG$1)</f>
        <v>#REF!</v>
      </c>
      <c r="AH8" s="24" t="e">
        <f>SUMIFS(#REF!,#REF!,$B8,#REF!,AH$1)</f>
        <v>#REF!</v>
      </c>
      <c r="AI8" s="24" t="e">
        <f>SUMIFS(#REF!,#REF!,$B8,#REF!,AI$1)</f>
        <v>#REF!</v>
      </c>
      <c r="AJ8" s="24" t="e">
        <f>SUMIFS(#REF!,#REF!,$B8,#REF!,AJ$1)</f>
        <v>#REF!</v>
      </c>
      <c r="AK8" s="24" t="e">
        <f>SUMIFS(#REF!,#REF!,$B8,#REF!,AK$1)</f>
        <v>#REF!</v>
      </c>
      <c r="AL8" s="24" t="e">
        <f>SUMIFS(#REF!,#REF!,$B8,#REF!,AL$1)</f>
        <v>#REF!</v>
      </c>
      <c r="AM8" s="24" t="e">
        <f>SUMIFS(#REF!,#REF!,$B8,#REF!,AM$1)</f>
        <v>#REF!</v>
      </c>
      <c r="AN8" s="24" t="e">
        <f>SUMIFS(#REF!,#REF!,$B8,#REF!,AN$1)</f>
        <v>#REF!</v>
      </c>
      <c r="AO8" s="24" t="e">
        <f>SUMIFS(#REF!,#REF!,$B8,#REF!,AO$1)</f>
        <v>#REF!</v>
      </c>
      <c r="AP8" s="24" t="e">
        <f>SUMIFS(#REF!,#REF!,$B8,#REF!,AP$1)</f>
        <v>#REF!</v>
      </c>
      <c r="AQ8" s="24" t="e">
        <f>SUMIFS(#REF!,#REF!,$B8,#REF!,AQ$1)</f>
        <v>#REF!</v>
      </c>
      <c r="AR8" s="24" t="e">
        <f>SUMIFS(#REF!,#REF!,$B8,#REF!,AR$1)</f>
        <v>#REF!</v>
      </c>
      <c r="AS8" s="24" t="e">
        <f>SUMIFS(#REF!,#REF!,$B8,#REF!,AS$1)</f>
        <v>#REF!</v>
      </c>
      <c r="AT8" s="24" t="e">
        <f>SUMIFS(#REF!,#REF!,$B8,#REF!,AT$1)</f>
        <v>#REF!</v>
      </c>
      <c r="AU8" s="24" t="e">
        <f>SUMIFS(#REF!,#REF!,$B8,#REF!,AU$1)</f>
        <v>#REF!</v>
      </c>
      <c r="AV8" s="24" t="e">
        <f>SUMIFS(#REF!,#REF!,$B8,#REF!,AV$1)</f>
        <v>#REF!</v>
      </c>
      <c r="AW8" s="24" t="e">
        <f>SUMIFS(#REF!,#REF!,$B8,#REF!,AW$1)</f>
        <v>#REF!</v>
      </c>
      <c r="AX8" s="24" t="e">
        <f>SUMIFS(#REF!,#REF!,$B8,#REF!,AX$1)</f>
        <v>#REF!</v>
      </c>
      <c r="AY8" s="24" t="e">
        <f>SUMIFS(#REF!,#REF!,$B8,#REF!,AY$1)</f>
        <v>#REF!</v>
      </c>
      <c r="AZ8" s="24" t="e">
        <f>SUMIFS(#REF!,#REF!,$B8,#REF!,AZ$1)</f>
        <v>#REF!</v>
      </c>
      <c r="BA8" s="24" t="e">
        <f>SUMIFS(#REF!,#REF!,$B8,#REF!,BA$1)</f>
        <v>#REF!</v>
      </c>
      <c r="BB8" s="24" t="e">
        <f>SUMIFS(#REF!,#REF!,$B8,#REF!,BB$1)</f>
        <v>#REF!</v>
      </c>
      <c r="BC8" s="24" t="e">
        <f>SUMIFS(#REF!,#REF!,$B8,#REF!,BC$1)</f>
        <v>#REF!</v>
      </c>
      <c r="BD8" s="24" t="e">
        <f>SUMIFS(#REF!,#REF!,$B8,#REF!,BD$1)</f>
        <v>#REF!</v>
      </c>
      <c r="BE8" s="24" t="e">
        <f>SUMIFS(#REF!,#REF!,$B8,#REF!,BE$1)</f>
        <v>#REF!</v>
      </c>
      <c r="BF8" s="24" t="e">
        <f>SUMIFS(#REF!,#REF!,$B8,#REF!,BF$1)</f>
        <v>#REF!</v>
      </c>
      <c r="BG8" s="24" t="e">
        <f>SUMIFS(#REF!,#REF!,$B8,#REF!,BG$1)</f>
        <v>#REF!</v>
      </c>
      <c r="BH8" s="24" t="e">
        <f>SUMIFS(#REF!,#REF!,$B8,#REF!,BH$1)</f>
        <v>#REF!</v>
      </c>
      <c r="BI8" s="24" t="e">
        <f>SUMIFS(#REF!,#REF!,$B8,#REF!,BI$1)</f>
        <v>#REF!</v>
      </c>
      <c r="BJ8" s="24" t="e">
        <f>SUMIFS(#REF!,#REF!,$B8,#REF!,BJ$1)</f>
        <v>#REF!</v>
      </c>
      <c r="BK8" s="24" t="e">
        <f>SUMIFS(#REF!,#REF!,$B8,#REF!,BK$1)</f>
        <v>#REF!</v>
      </c>
      <c r="BL8" s="24" t="e">
        <f>SUMIFS(#REF!,#REF!,$B8,#REF!,BL$1)</f>
        <v>#REF!</v>
      </c>
      <c r="BM8" s="24" t="e">
        <f>SUMIFS(#REF!,#REF!,$B8,#REF!,BM$1)</f>
        <v>#REF!</v>
      </c>
      <c r="BN8" s="24" t="e">
        <f>SUMIFS(#REF!,#REF!,$B8,#REF!,BN$1)</f>
        <v>#REF!</v>
      </c>
      <c r="BO8" s="24" t="e">
        <f>SUMIFS(#REF!,#REF!,$B8,#REF!,BO$1)</f>
        <v>#REF!</v>
      </c>
      <c r="BP8" s="24" t="e">
        <f>SUMIFS(#REF!,#REF!,$B8,#REF!,BP$1)</f>
        <v>#REF!</v>
      </c>
      <c r="BQ8" s="24" t="e">
        <f>SUMIFS(#REF!,#REF!,$B8,#REF!,BQ$1)</f>
        <v>#REF!</v>
      </c>
      <c r="BR8" s="24" t="e">
        <f>SUMIFS(#REF!,#REF!,$B8,#REF!,BR$1)</f>
        <v>#REF!</v>
      </c>
      <c r="BS8" s="24" t="e">
        <f>SUMIFS(#REF!,#REF!,$B8,#REF!,BS$1)</f>
        <v>#REF!</v>
      </c>
      <c r="BT8" s="24" t="e">
        <f>SUMIFS(#REF!,#REF!,$B8,#REF!,BT$1)</f>
        <v>#REF!</v>
      </c>
      <c r="BU8" s="24" t="e">
        <f>SUMIFS(#REF!,#REF!,$B8,#REF!,BU$1)</f>
        <v>#REF!</v>
      </c>
      <c r="BV8" s="24" t="e">
        <f>SUMIFS(#REF!,#REF!,$B8,#REF!,BV$1)</f>
        <v>#REF!</v>
      </c>
      <c r="BW8" s="24" t="e">
        <f>SUMIFS(#REF!,#REF!,$B8,#REF!,BW$1)</f>
        <v>#REF!</v>
      </c>
      <c r="BX8" s="24" t="e">
        <f>SUMIFS(#REF!,#REF!,$B8,#REF!,BX$1)</f>
        <v>#REF!</v>
      </c>
      <c r="BY8" s="24" t="e">
        <f>SUMIFS(#REF!,#REF!,$B8,#REF!,BY$1)</f>
        <v>#REF!</v>
      </c>
      <c r="BZ8" s="24" t="e">
        <f>SUMIFS(#REF!,#REF!,$B8,#REF!,BZ$1)</f>
        <v>#REF!</v>
      </c>
      <c r="CA8" s="24" t="e">
        <f>SUMIFS(#REF!,#REF!,$B8,#REF!,CA$1)</f>
        <v>#REF!</v>
      </c>
      <c r="CB8" s="24" t="e">
        <f>SUMIFS(#REF!,#REF!,$B8,#REF!,CB$1)</f>
        <v>#REF!</v>
      </c>
      <c r="CC8" s="24" t="e">
        <f>SUMIFS(#REF!,#REF!,$B8,#REF!,CC$1)</f>
        <v>#REF!</v>
      </c>
      <c r="CD8" s="24" t="e">
        <f>SUMIFS(#REF!,#REF!,$B8,#REF!,CD$1)</f>
        <v>#REF!</v>
      </c>
      <c r="CE8" s="24" t="e">
        <f>SUMIFS(#REF!,#REF!,$B8,#REF!,CE$1)</f>
        <v>#REF!</v>
      </c>
      <c r="CF8" s="24" t="e">
        <f>SUMIFS(#REF!,#REF!,$B8,#REF!,CF$1)</f>
        <v>#REF!</v>
      </c>
      <c r="CG8" s="19" t="e">
        <f t="shared" si="0"/>
        <v>#REF!</v>
      </c>
    </row>
    <row r="9" spans="1:87" x14ac:dyDescent="0.45">
      <c r="A9" s="4" t="s">
        <v>991</v>
      </c>
      <c r="B9" s="4" t="s">
        <v>992</v>
      </c>
      <c r="C9" s="24" t="e">
        <f>SUMIFS(#REF!,#REF!,$B9,#REF!,C$1)</f>
        <v>#REF!</v>
      </c>
      <c r="D9" s="24" t="e">
        <f>SUMIFS(#REF!,#REF!,$B9,#REF!,D$1)</f>
        <v>#REF!</v>
      </c>
      <c r="E9" s="24" t="e">
        <f>SUMIFS(#REF!,#REF!,$B9,#REF!,E$1)</f>
        <v>#REF!</v>
      </c>
      <c r="F9" s="24" t="e">
        <f>SUMIFS(#REF!,#REF!,$B9,#REF!,F$1)</f>
        <v>#REF!</v>
      </c>
      <c r="G9" s="24" t="e">
        <f>SUMIFS(#REF!,#REF!,$B9,#REF!,G$1)</f>
        <v>#REF!</v>
      </c>
      <c r="H9" s="24" t="e">
        <f>SUMIFS(#REF!,#REF!,$B9,#REF!,H$1)</f>
        <v>#REF!</v>
      </c>
      <c r="I9" s="24" t="e">
        <f>SUMIFS(#REF!,#REF!,$B9,#REF!,I$1)</f>
        <v>#REF!</v>
      </c>
      <c r="J9" s="24" t="e">
        <f>SUMIFS(#REF!,#REF!,$B9,#REF!,J$1)</f>
        <v>#REF!</v>
      </c>
      <c r="K9" s="24" t="e">
        <f>SUMIFS(#REF!,#REF!,$B9,#REF!,K$1)</f>
        <v>#REF!</v>
      </c>
      <c r="L9" s="24" t="e">
        <f>SUMIFS(#REF!,#REF!,$B9,#REF!,L$1)</f>
        <v>#REF!</v>
      </c>
      <c r="M9" s="24" t="e">
        <f>SUMIFS(#REF!,#REF!,$B9,#REF!,M$1)</f>
        <v>#REF!</v>
      </c>
      <c r="N9" s="24" t="e">
        <f>SUMIFS(#REF!,#REF!,$B9,#REF!,N$1)</f>
        <v>#REF!</v>
      </c>
      <c r="O9" s="24" t="e">
        <f>SUMIFS(#REF!,#REF!,$B9,#REF!,O$1)</f>
        <v>#REF!</v>
      </c>
      <c r="P9" s="24" t="e">
        <f>SUMIFS(#REF!,#REF!,$B9,#REF!,P$1)</f>
        <v>#REF!</v>
      </c>
      <c r="Q9" s="24" t="e">
        <f>SUMIFS(#REF!,#REF!,$B9,#REF!,Q$1)</f>
        <v>#REF!</v>
      </c>
      <c r="R9" s="24" t="e">
        <f>SUMIFS(#REF!,#REF!,$B9,#REF!,R$1)</f>
        <v>#REF!</v>
      </c>
      <c r="S9" s="24" t="e">
        <f>SUMIFS(#REF!,#REF!,$B9,#REF!,S$1)</f>
        <v>#REF!</v>
      </c>
      <c r="T9" s="24" t="e">
        <f>SUMIFS(#REF!,#REF!,$B9,#REF!,T$1)</f>
        <v>#REF!</v>
      </c>
      <c r="U9" s="24" t="e">
        <f>SUMIFS(#REF!,#REF!,$B9,#REF!,U$1)</f>
        <v>#REF!</v>
      </c>
      <c r="V9" s="24" t="e">
        <f>SUMIFS(#REF!,#REF!,$B9,#REF!,V$1)</f>
        <v>#REF!</v>
      </c>
      <c r="W9" s="24" t="e">
        <f>SUMIFS(#REF!,#REF!,$B9,#REF!,W$1)</f>
        <v>#REF!</v>
      </c>
      <c r="X9" s="24" t="e">
        <f>SUMIFS(#REF!,#REF!,$B9,#REF!,X$1)</f>
        <v>#REF!</v>
      </c>
      <c r="Y9" s="24" t="e">
        <f>SUMIFS(#REF!,#REF!,$B9,#REF!,Y$1)</f>
        <v>#REF!</v>
      </c>
      <c r="Z9" s="24" t="e">
        <f>SUMIFS(#REF!,#REF!,$B9,#REF!,Z$1)</f>
        <v>#REF!</v>
      </c>
      <c r="AA9" s="24" t="e">
        <f>SUMIFS(#REF!,#REF!,$B9,#REF!,AA$1)</f>
        <v>#REF!</v>
      </c>
      <c r="AB9" s="24" t="e">
        <f>SUMIFS(#REF!,#REF!,$B9,#REF!,AB$1)</f>
        <v>#REF!</v>
      </c>
      <c r="AC9" s="24" t="e">
        <f>SUMIFS(#REF!,#REF!,$B9,#REF!,AC$1)</f>
        <v>#REF!</v>
      </c>
      <c r="AD9" s="24" t="e">
        <f>SUMIFS(#REF!,#REF!,$B9,#REF!,AD$1)</f>
        <v>#REF!</v>
      </c>
      <c r="AE9" s="24" t="e">
        <f>SUMIFS(#REF!,#REF!,$B9,#REF!,AE$1)</f>
        <v>#REF!</v>
      </c>
      <c r="AF9" s="24" t="e">
        <f>SUMIFS(#REF!,#REF!,$B9,#REF!,AF$1)</f>
        <v>#REF!</v>
      </c>
      <c r="AG9" s="24" t="e">
        <f>SUMIFS(#REF!,#REF!,$B9,#REF!,AG$1)</f>
        <v>#REF!</v>
      </c>
      <c r="AH9" s="24" t="e">
        <f>SUMIFS(#REF!,#REF!,$B9,#REF!,AH$1)</f>
        <v>#REF!</v>
      </c>
      <c r="AI9" s="24" t="e">
        <f>SUMIFS(#REF!,#REF!,$B9,#REF!,AI$1)</f>
        <v>#REF!</v>
      </c>
      <c r="AJ9" s="24" t="e">
        <f>SUMIFS(#REF!,#REF!,$B9,#REF!,AJ$1)</f>
        <v>#REF!</v>
      </c>
      <c r="AK9" s="24" t="e">
        <f>SUMIFS(#REF!,#REF!,$B9,#REF!,AK$1)</f>
        <v>#REF!</v>
      </c>
      <c r="AL9" s="24" t="e">
        <f>SUMIFS(#REF!,#REF!,$B9,#REF!,AL$1)</f>
        <v>#REF!</v>
      </c>
      <c r="AM9" s="24" t="e">
        <f>SUMIFS(#REF!,#REF!,$B9,#REF!,AM$1)</f>
        <v>#REF!</v>
      </c>
      <c r="AN9" s="24" t="e">
        <f>SUMIFS(#REF!,#REF!,$B9,#REF!,AN$1)</f>
        <v>#REF!</v>
      </c>
      <c r="AO9" s="24" t="e">
        <f>SUMIFS(#REF!,#REF!,$B9,#REF!,AO$1)</f>
        <v>#REF!</v>
      </c>
      <c r="AP9" s="24" t="e">
        <f>SUMIFS(#REF!,#REF!,$B9,#REF!,AP$1)</f>
        <v>#REF!</v>
      </c>
      <c r="AQ9" s="24" t="e">
        <f>SUMIFS(#REF!,#REF!,$B9,#REF!,AQ$1)</f>
        <v>#REF!</v>
      </c>
      <c r="AR9" s="24" t="e">
        <f>SUMIFS(#REF!,#REF!,$B9,#REF!,AR$1)</f>
        <v>#REF!</v>
      </c>
      <c r="AS9" s="24" t="e">
        <f>SUMIFS(#REF!,#REF!,$B9,#REF!,AS$1)</f>
        <v>#REF!</v>
      </c>
      <c r="AT9" s="24" t="e">
        <f>SUMIFS(#REF!,#REF!,$B9,#REF!,AT$1)</f>
        <v>#REF!</v>
      </c>
      <c r="AU9" s="24" t="e">
        <f>SUMIFS(#REF!,#REF!,$B9,#REF!,AU$1)</f>
        <v>#REF!</v>
      </c>
      <c r="AV9" s="24" t="e">
        <f>SUMIFS(#REF!,#REF!,$B9,#REF!,AV$1)</f>
        <v>#REF!</v>
      </c>
      <c r="AW9" s="24" t="e">
        <f>SUMIFS(#REF!,#REF!,$B9,#REF!,AW$1)</f>
        <v>#REF!</v>
      </c>
      <c r="AX9" s="24" t="e">
        <f>SUMIFS(#REF!,#REF!,$B9,#REF!,AX$1)</f>
        <v>#REF!</v>
      </c>
      <c r="AY9" s="24" t="e">
        <f>SUMIFS(#REF!,#REF!,$B9,#REF!,AY$1)</f>
        <v>#REF!</v>
      </c>
      <c r="AZ9" s="24" t="e">
        <f>SUMIFS(#REF!,#REF!,$B9,#REF!,AZ$1)</f>
        <v>#REF!</v>
      </c>
      <c r="BA9" s="24" t="e">
        <f>SUMIFS(#REF!,#REF!,$B9,#REF!,BA$1)</f>
        <v>#REF!</v>
      </c>
      <c r="BB9" s="24" t="e">
        <f>SUMIFS(#REF!,#REF!,$B9,#REF!,BB$1)</f>
        <v>#REF!</v>
      </c>
      <c r="BC9" s="24" t="e">
        <f>SUMIFS(#REF!,#REF!,$B9,#REF!,BC$1)</f>
        <v>#REF!</v>
      </c>
      <c r="BD9" s="24" t="e">
        <f>SUMIFS(#REF!,#REF!,$B9,#REF!,BD$1)</f>
        <v>#REF!</v>
      </c>
      <c r="BE9" s="24" t="e">
        <f>SUMIFS(#REF!,#REF!,$B9,#REF!,BE$1)</f>
        <v>#REF!</v>
      </c>
      <c r="BF9" s="24" t="e">
        <f>SUMIFS(#REF!,#REF!,$B9,#REF!,BF$1)</f>
        <v>#REF!</v>
      </c>
      <c r="BG9" s="24" t="e">
        <f>SUMIFS(#REF!,#REF!,$B9,#REF!,BG$1)</f>
        <v>#REF!</v>
      </c>
      <c r="BH9" s="24" t="e">
        <f>SUMIFS(#REF!,#REF!,$B9,#REF!,BH$1)</f>
        <v>#REF!</v>
      </c>
      <c r="BI9" s="24" t="e">
        <f>SUMIFS(#REF!,#REF!,$B9,#REF!,BI$1)</f>
        <v>#REF!</v>
      </c>
      <c r="BJ9" s="24" t="e">
        <f>SUMIFS(#REF!,#REF!,$B9,#REF!,BJ$1)</f>
        <v>#REF!</v>
      </c>
      <c r="BK9" s="24" t="e">
        <f>SUMIFS(#REF!,#REF!,$B9,#REF!,BK$1)</f>
        <v>#REF!</v>
      </c>
      <c r="BL9" s="24" t="e">
        <f>SUMIFS(#REF!,#REF!,$B9,#REF!,BL$1)</f>
        <v>#REF!</v>
      </c>
      <c r="BM9" s="24" t="e">
        <f>SUMIFS(#REF!,#REF!,$B9,#REF!,BM$1)</f>
        <v>#REF!</v>
      </c>
      <c r="BN9" s="24" t="e">
        <f>SUMIFS(#REF!,#REF!,$B9,#REF!,BN$1)</f>
        <v>#REF!</v>
      </c>
      <c r="BO9" s="24" t="e">
        <f>SUMIFS(#REF!,#REF!,$B9,#REF!,BO$1)</f>
        <v>#REF!</v>
      </c>
      <c r="BP9" s="24" t="e">
        <f>SUMIFS(#REF!,#REF!,$B9,#REF!,BP$1)</f>
        <v>#REF!</v>
      </c>
      <c r="BQ9" s="24" t="e">
        <f>SUMIFS(#REF!,#REF!,$B9,#REF!,BQ$1)</f>
        <v>#REF!</v>
      </c>
      <c r="BR9" s="24" t="e">
        <f>SUMIFS(#REF!,#REF!,$B9,#REF!,BR$1)</f>
        <v>#REF!</v>
      </c>
      <c r="BS9" s="24" t="e">
        <f>SUMIFS(#REF!,#REF!,$B9,#REF!,BS$1)</f>
        <v>#REF!</v>
      </c>
      <c r="BT9" s="24" t="e">
        <f>SUMIFS(#REF!,#REF!,$B9,#REF!,BT$1)</f>
        <v>#REF!</v>
      </c>
      <c r="BU9" s="24" t="e">
        <f>SUMIFS(#REF!,#REF!,$B9,#REF!,BU$1)</f>
        <v>#REF!</v>
      </c>
      <c r="BV9" s="24" t="e">
        <f>SUMIFS(#REF!,#REF!,$B9,#REF!,BV$1)</f>
        <v>#REF!</v>
      </c>
      <c r="BW9" s="24" t="e">
        <f>SUMIFS(#REF!,#REF!,$B9,#REF!,BW$1)</f>
        <v>#REF!</v>
      </c>
      <c r="BX9" s="24" t="e">
        <f>SUMIFS(#REF!,#REF!,$B9,#REF!,BX$1)</f>
        <v>#REF!</v>
      </c>
      <c r="BY9" s="24" t="e">
        <f>SUMIFS(#REF!,#REF!,$B9,#REF!,BY$1)</f>
        <v>#REF!</v>
      </c>
      <c r="BZ9" s="24" t="e">
        <f>SUMIFS(#REF!,#REF!,$B9,#REF!,BZ$1)</f>
        <v>#REF!</v>
      </c>
      <c r="CA9" s="24" t="e">
        <f>SUMIFS(#REF!,#REF!,$B9,#REF!,CA$1)</f>
        <v>#REF!</v>
      </c>
      <c r="CB9" s="24" t="e">
        <f>SUMIFS(#REF!,#REF!,$B9,#REF!,CB$1)</f>
        <v>#REF!</v>
      </c>
      <c r="CC9" s="24" t="e">
        <f>SUMIFS(#REF!,#REF!,$B9,#REF!,CC$1)</f>
        <v>#REF!</v>
      </c>
      <c r="CD9" s="24" t="e">
        <f>SUMIFS(#REF!,#REF!,$B9,#REF!,CD$1)</f>
        <v>#REF!</v>
      </c>
      <c r="CE9" s="24" t="e">
        <f>SUMIFS(#REF!,#REF!,$B9,#REF!,CE$1)</f>
        <v>#REF!</v>
      </c>
      <c r="CF9" s="24" t="e">
        <f>SUMIFS(#REF!,#REF!,$B9,#REF!,CF$1)</f>
        <v>#REF!</v>
      </c>
      <c r="CG9" s="19" t="e">
        <f t="shared" si="0"/>
        <v>#REF!</v>
      </c>
    </row>
    <row r="10" spans="1:87" x14ac:dyDescent="0.45">
      <c r="A10" s="4" t="s">
        <v>994</v>
      </c>
      <c r="B10" s="4" t="s">
        <v>995</v>
      </c>
      <c r="C10" s="24" t="e">
        <f>SUMIFS(#REF!,#REF!,$B10,#REF!,C$1)</f>
        <v>#REF!</v>
      </c>
      <c r="D10" s="24" t="e">
        <f>SUMIFS(#REF!,#REF!,$B10,#REF!,D$1)</f>
        <v>#REF!</v>
      </c>
      <c r="E10" s="24" t="e">
        <f>SUMIFS(#REF!,#REF!,$B10,#REF!,E$1)</f>
        <v>#REF!</v>
      </c>
      <c r="F10" s="24" t="e">
        <f>SUMIFS(#REF!,#REF!,$B10,#REF!,F$1)</f>
        <v>#REF!</v>
      </c>
      <c r="G10" s="24" t="e">
        <f>SUMIFS(#REF!,#REF!,$B10,#REF!,G$1)</f>
        <v>#REF!</v>
      </c>
      <c r="H10" s="24" t="e">
        <f>SUMIFS(#REF!,#REF!,$B10,#REF!,H$1)</f>
        <v>#REF!</v>
      </c>
      <c r="I10" s="24" t="e">
        <f>SUMIFS(#REF!,#REF!,$B10,#REF!,I$1)</f>
        <v>#REF!</v>
      </c>
      <c r="J10" s="24" t="e">
        <f>SUMIFS(#REF!,#REF!,$B10,#REF!,J$1)</f>
        <v>#REF!</v>
      </c>
      <c r="K10" s="24" t="e">
        <f>SUMIFS(#REF!,#REF!,$B10,#REF!,K$1)</f>
        <v>#REF!</v>
      </c>
      <c r="L10" s="24" t="e">
        <f>SUMIFS(#REF!,#REF!,$B10,#REF!,L$1)</f>
        <v>#REF!</v>
      </c>
      <c r="M10" s="24" t="e">
        <f>SUMIFS(#REF!,#REF!,$B10,#REF!,M$1)</f>
        <v>#REF!</v>
      </c>
      <c r="N10" s="24" t="e">
        <f>SUMIFS(#REF!,#REF!,$B10,#REF!,N$1)</f>
        <v>#REF!</v>
      </c>
      <c r="O10" s="24" t="e">
        <f>SUMIFS(#REF!,#REF!,$B10,#REF!,O$1)</f>
        <v>#REF!</v>
      </c>
      <c r="P10" s="24" t="e">
        <f>SUMIFS(#REF!,#REF!,$B10,#REF!,P$1)</f>
        <v>#REF!</v>
      </c>
      <c r="Q10" s="24" t="e">
        <f>SUMIFS(#REF!,#REF!,$B10,#REF!,Q$1)</f>
        <v>#REF!</v>
      </c>
      <c r="R10" s="24" t="e">
        <f>SUMIFS(#REF!,#REF!,$B10,#REF!,R$1)</f>
        <v>#REF!</v>
      </c>
      <c r="S10" s="24" t="e">
        <f>SUMIFS(#REF!,#REF!,$B10,#REF!,S$1)</f>
        <v>#REF!</v>
      </c>
      <c r="T10" s="24" t="e">
        <f>SUMIFS(#REF!,#REF!,$B10,#REF!,T$1)</f>
        <v>#REF!</v>
      </c>
      <c r="U10" s="24" t="e">
        <f>SUMIFS(#REF!,#REF!,$B10,#REF!,U$1)</f>
        <v>#REF!</v>
      </c>
      <c r="V10" s="24" t="e">
        <f>SUMIFS(#REF!,#REF!,$B10,#REF!,V$1)</f>
        <v>#REF!</v>
      </c>
      <c r="W10" s="24" t="e">
        <f>SUMIFS(#REF!,#REF!,$B10,#REF!,W$1)</f>
        <v>#REF!</v>
      </c>
      <c r="X10" s="24" t="e">
        <f>SUMIFS(#REF!,#REF!,$B10,#REF!,X$1)</f>
        <v>#REF!</v>
      </c>
      <c r="Y10" s="24" t="e">
        <f>SUMIFS(#REF!,#REF!,$B10,#REF!,Y$1)</f>
        <v>#REF!</v>
      </c>
      <c r="Z10" s="24" t="e">
        <f>SUMIFS(#REF!,#REF!,$B10,#REF!,Z$1)</f>
        <v>#REF!</v>
      </c>
      <c r="AA10" s="24" t="e">
        <f>SUMIFS(#REF!,#REF!,$B10,#REF!,AA$1)</f>
        <v>#REF!</v>
      </c>
      <c r="AB10" s="24" t="e">
        <f>SUMIFS(#REF!,#REF!,$B10,#REF!,AB$1)</f>
        <v>#REF!</v>
      </c>
      <c r="AC10" s="24" t="e">
        <f>SUMIFS(#REF!,#REF!,$B10,#REF!,AC$1)</f>
        <v>#REF!</v>
      </c>
      <c r="AD10" s="24" t="e">
        <f>SUMIFS(#REF!,#REF!,$B10,#REF!,AD$1)</f>
        <v>#REF!</v>
      </c>
      <c r="AE10" s="24" t="e">
        <f>SUMIFS(#REF!,#REF!,$B10,#REF!,AE$1)</f>
        <v>#REF!</v>
      </c>
      <c r="AF10" s="24" t="e">
        <f>SUMIFS(#REF!,#REF!,$B10,#REF!,AF$1)</f>
        <v>#REF!</v>
      </c>
      <c r="AG10" s="24" t="e">
        <f>SUMIFS(#REF!,#REF!,$B10,#REF!,AG$1)</f>
        <v>#REF!</v>
      </c>
      <c r="AH10" s="24" t="e">
        <f>SUMIFS(#REF!,#REF!,$B10,#REF!,AH$1)</f>
        <v>#REF!</v>
      </c>
      <c r="AI10" s="24" t="e">
        <f>SUMIFS(#REF!,#REF!,$B10,#REF!,AI$1)</f>
        <v>#REF!</v>
      </c>
      <c r="AJ10" s="24" t="e">
        <f>SUMIFS(#REF!,#REF!,$B10,#REF!,AJ$1)</f>
        <v>#REF!</v>
      </c>
      <c r="AK10" s="24" t="e">
        <f>SUMIFS(#REF!,#REF!,$B10,#REF!,AK$1)</f>
        <v>#REF!</v>
      </c>
      <c r="AL10" s="24" t="e">
        <f>SUMIFS(#REF!,#REF!,$B10,#REF!,AL$1)</f>
        <v>#REF!</v>
      </c>
      <c r="AM10" s="24" t="e">
        <f>SUMIFS(#REF!,#REF!,$B10,#REF!,AM$1)</f>
        <v>#REF!</v>
      </c>
      <c r="AN10" s="24" t="e">
        <f>SUMIFS(#REF!,#REF!,$B10,#REF!,AN$1)</f>
        <v>#REF!</v>
      </c>
      <c r="AO10" s="24" t="e">
        <f>SUMIFS(#REF!,#REF!,$B10,#REF!,AO$1)</f>
        <v>#REF!</v>
      </c>
      <c r="AP10" s="24" t="e">
        <f>SUMIFS(#REF!,#REF!,$B10,#REF!,AP$1)</f>
        <v>#REF!</v>
      </c>
      <c r="AQ10" s="24" t="e">
        <f>SUMIFS(#REF!,#REF!,$B10,#REF!,AQ$1)</f>
        <v>#REF!</v>
      </c>
      <c r="AR10" s="24" t="e">
        <f>SUMIFS(#REF!,#REF!,$B10,#REF!,AR$1)</f>
        <v>#REF!</v>
      </c>
      <c r="AS10" s="24" t="e">
        <f>SUMIFS(#REF!,#REF!,$B10,#REF!,AS$1)</f>
        <v>#REF!</v>
      </c>
      <c r="AT10" s="24" t="e">
        <f>SUMIFS(#REF!,#REF!,$B10,#REF!,AT$1)</f>
        <v>#REF!</v>
      </c>
      <c r="AU10" s="24" t="e">
        <f>SUMIFS(#REF!,#REF!,$B10,#REF!,AU$1)</f>
        <v>#REF!</v>
      </c>
      <c r="AV10" s="24" t="e">
        <f>SUMIFS(#REF!,#REF!,$B10,#REF!,AV$1)</f>
        <v>#REF!</v>
      </c>
      <c r="AW10" s="24" t="e">
        <f>SUMIFS(#REF!,#REF!,$B10,#REF!,AW$1)</f>
        <v>#REF!</v>
      </c>
      <c r="AX10" s="24" t="e">
        <f>SUMIFS(#REF!,#REF!,$B10,#REF!,AX$1)</f>
        <v>#REF!</v>
      </c>
      <c r="AY10" s="24" t="e">
        <f>SUMIFS(#REF!,#REF!,$B10,#REF!,AY$1)</f>
        <v>#REF!</v>
      </c>
      <c r="AZ10" s="24" t="e">
        <f>SUMIFS(#REF!,#REF!,$B10,#REF!,AZ$1)</f>
        <v>#REF!</v>
      </c>
      <c r="BA10" s="24" t="e">
        <f>SUMIFS(#REF!,#REF!,$B10,#REF!,BA$1)</f>
        <v>#REF!</v>
      </c>
      <c r="BB10" s="24" t="e">
        <f>SUMIFS(#REF!,#REF!,$B10,#REF!,BB$1)</f>
        <v>#REF!</v>
      </c>
      <c r="BC10" s="24" t="e">
        <f>SUMIFS(#REF!,#REF!,$B10,#REF!,BC$1)</f>
        <v>#REF!</v>
      </c>
      <c r="BD10" s="24" t="e">
        <f>SUMIFS(#REF!,#REF!,$B10,#REF!,BD$1)</f>
        <v>#REF!</v>
      </c>
      <c r="BE10" s="24" t="e">
        <f>SUMIFS(#REF!,#REF!,$B10,#REF!,BE$1)</f>
        <v>#REF!</v>
      </c>
      <c r="BF10" s="24" t="e">
        <f>SUMIFS(#REF!,#REF!,$B10,#REF!,BF$1)</f>
        <v>#REF!</v>
      </c>
      <c r="BG10" s="24" t="e">
        <f>SUMIFS(#REF!,#REF!,$B10,#REF!,BG$1)</f>
        <v>#REF!</v>
      </c>
      <c r="BH10" s="24" t="e">
        <f>SUMIFS(#REF!,#REF!,$B10,#REF!,BH$1)</f>
        <v>#REF!</v>
      </c>
      <c r="BI10" s="24" t="e">
        <f>SUMIFS(#REF!,#REF!,$B10,#REF!,BI$1)</f>
        <v>#REF!</v>
      </c>
      <c r="BJ10" s="24" t="e">
        <f>SUMIFS(#REF!,#REF!,$B10,#REF!,BJ$1)</f>
        <v>#REF!</v>
      </c>
      <c r="BK10" s="24" t="e">
        <f>SUMIFS(#REF!,#REF!,$B10,#REF!,BK$1)</f>
        <v>#REF!</v>
      </c>
      <c r="BL10" s="24" t="e">
        <f>SUMIFS(#REF!,#REF!,$B10,#REF!,BL$1)</f>
        <v>#REF!</v>
      </c>
      <c r="BM10" s="24" t="e">
        <f>SUMIFS(#REF!,#REF!,$B10,#REF!,BM$1)</f>
        <v>#REF!</v>
      </c>
      <c r="BN10" s="24" t="e">
        <f>SUMIFS(#REF!,#REF!,$B10,#REF!,BN$1)</f>
        <v>#REF!</v>
      </c>
      <c r="BO10" s="24" t="e">
        <f>SUMIFS(#REF!,#REF!,$B10,#REF!,BO$1)</f>
        <v>#REF!</v>
      </c>
      <c r="BP10" s="24" t="e">
        <f>SUMIFS(#REF!,#REF!,$B10,#REF!,BP$1)</f>
        <v>#REF!</v>
      </c>
      <c r="BQ10" s="24" t="e">
        <f>SUMIFS(#REF!,#REF!,$B10,#REF!,BQ$1)</f>
        <v>#REF!</v>
      </c>
      <c r="BR10" s="24" t="e">
        <f>SUMIFS(#REF!,#REF!,$B10,#REF!,BR$1)</f>
        <v>#REF!</v>
      </c>
      <c r="BS10" s="24" t="e">
        <f>SUMIFS(#REF!,#REF!,$B10,#REF!,BS$1)</f>
        <v>#REF!</v>
      </c>
      <c r="BT10" s="24" t="e">
        <f>SUMIFS(#REF!,#REF!,$B10,#REF!,BT$1)</f>
        <v>#REF!</v>
      </c>
      <c r="BU10" s="24" t="e">
        <f>SUMIFS(#REF!,#REF!,$B10,#REF!,BU$1)</f>
        <v>#REF!</v>
      </c>
      <c r="BV10" s="24" t="e">
        <f>SUMIFS(#REF!,#REF!,$B10,#REF!,BV$1)</f>
        <v>#REF!</v>
      </c>
      <c r="BW10" s="24" t="e">
        <f>SUMIFS(#REF!,#REF!,$B10,#REF!,BW$1)</f>
        <v>#REF!</v>
      </c>
      <c r="BX10" s="24" t="e">
        <f>SUMIFS(#REF!,#REF!,$B10,#REF!,BX$1)</f>
        <v>#REF!</v>
      </c>
      <c r="BY10" s="24" t="e">
        <f>SUMIFS(#REF!,#REF!,$B10,#REF!,BY$1)</f>
        <v>#REF!</v>
      </c>
      <c r="BZ10" s="24" t="e">
        <f>SUMIFS(#REF!,#REF!,$B10,#REF!,BZ$1)</f>
        <v>#REF!</v>
      </c>
      <c r="CA10" s="24" t="e">
        <f>SUMIFS(#REF!,#REF!,$B10,#REF!,CA$1)</f>
        <v>#REF!</v>
      </c>
      <c r="CB10" s="24" t="e">
        <f>SUMIFS(#REF!,#REF!,$B10,#REF!,CB$1)</f>
        <v>#REF!</v>
      </c>
      <c r="CC10" s="24" t="e">
        <f>SUMIFS(#REF!,#REF!,$B10,#REF!,CC$1)</f>
        <v>#REF!</v>
      </c>
      <c r="CD10" s="24" t="e">
        <f>SUMIFS(#REF!,#REF!,$B10,#REF!,CD$1)</f>
        <v>#REF!</v>
      </c>
      <c r="CE10" s="24" t="e">
        <f>SUMIFS(#REF!,#REF!,$B10,#REF!,CE$1)</f>
        <v>#REF!</v>
      </c>
      <c r="CF10" s="24" t="e">
        <f>SUMIFS(#REF!,#REF!,$B10,#REF!,CF$1)</f>
        <v>#REF!</v>
      </c>
      <c r="CG10" s="19" t="e">
        <f t="shared" si="0"/>
        <v>#REF!</v>
      </c>
    </row>
    <row r="11" spans="1:87" x14ac:dyDescent="0.45">
      <c r="A11" s="4" t="s">
        <v>997</v>
      </c>
      <c r="B11" s="4" t="s">
        <v>998</v>
      </c>
      <c r="C11" s="24" t="e">
        <f>SUMIFS(#REF!,#REF!,$B11,#REF!,C$1)</f>
        <v>#REF!</v>
      </c>
      <c r="D11" s="24" t="e">
        <f>SUMIFS(#REF!,#REF!,$B11,#REF!,D$1)</f>
        <v>#REF!</v>
      </c>
      <c r="E11" s="24" t="e">
        <f>SUMIFS(#REF!,#REF!,$B11,#REF!,E$1)</f>
        <v>#REF!</v>
      </c>
      <c r="F11" s="24" t="e">
        <f>SUMIFS(#REF!,#REF!,$B11,#REF!,F$1)</f>
        <v>#REF!</v>
      </c>
      <c r="G11" s="24" t="e">
        <f>SUMIFS(#REF!,#REF!,$B11,#REF!,G$1)</f>
        <v>#REF!</v>
      </c>
      <c r="H11" s="24" t="e">
        <f>SUMIFS(#REF!,#REF!,$B11,#REF!,H$1)</f>
        <v>#REF!</v>
      </c>
      <c r="I11" s="24" t="e">
        <f>SUMIFS(#REF!,#REF!,$B11,#REF!,I$1)</f>
        <v>#REF!</v>
      </c>
      <c r="J11" s="24" t="e">
        <f>SUMIFS(#REF!,#REF!,$B11,#REF!,J$1)</f>
        <v>#REF!</v>
      </c>
      <c r="K11" s="24" t="e">
        <f>SUMIFS(#REF!,#REF!,$B11,#REF!,K$1)</f>
        <v>#REF!</v>
      </c>
      <c r="L11" s="24" t="e">
        <f>SUMIFS(#REF!,#REF!,$B11,#REF!,L$1)</f>
        <v>#REF!</v>
      </c>
      <c r="M11" s="24" t="e">
        <f>SUMIFS(#REF!,#REF!,$B11,#REF!,M$1)</f>
        <v>#REF!</v>
      </c>
      <c r="N11" s="24" t="e">
        <f>SUMIFS(#REF!,#REF!,$B11,#REF!,N$1)</f>
        <v>#REF!</v>
      </c>
      <c r="O11" s="24" t="e">
        <f>SUMIFS(#REF!,#REF!,$B11,#REF!,O$1)</f>
        <v>#REF!</v>
      </c>
      <c r="P11" s="24" t="e">
        <f>SUMIFS(#REF!,#REF!,$B11,#REF!,P$1)</f>
        <v>#REF!</v>
      </c>
      <c r="Q11" s="24" t="e">
        <f>SUMIFS(#REF!,#REF!,$B11,#REF!,Q$1)</f>
        <v>#REF!</v>
      </c>
      <c r="R11" s="24" t="e">
        <f>SUMIFS(#REF!,#REF!,$B11,#REF!,R$1)</f>
        <v>#REF!</v>
      </c>
      <c r="S11" s="24" t="e">
        <f>SUMIFS(#REF!,#REF!,$B11,#REF!,S$1)</f>
        <v>#REF!</v>
      </c>
      <c r="T11" s="24" t="e">
        <f>SUMIFS(#REF!,#REF!,$B11,#REF!,T$1)</f>
        <v>#REF!</v>
      </c>
      <c r="U11" s="24" t="e">
        <f>SUMIFS(#REF!,#REF!,$B11,#REF!,U$1)</f>
        <v>#REF!</v>
      </c>
      <c r="V11" s="24" t="e">
        <f>SUMIFS(#REF!,#REF!,$B11,#REF!,V$1)</f>
        <v>#REF!</v>
      </c>
      <c r="W11" s="24" t="e">
        <f>SUMIFS(#REF!,#REF!,$B11,#REF!,W$1)</f>
        <v>#REF!</v>
      </c>
      <c r="X11" s="24" t="e">
        <f>SUMIFS(#REF!,#REF!,$B11,#REF!,X$1)</f>
        <v>#REF!</v>
      </c>
      <c r="Y11" s="24" t="e">
        <f>SUMIFS(#REF!,#REF!,$B11,#REF!,Y$1)</f>
        <v>#REF!</v>
      </c>
      <c r="Z11" s="24" t="e">
        <f>SUMIFS(#REF!,#REF!,$B11,#REF!,Z$1)</f>
        <v>#REF!</v>
      </c>
      <c r="AA11" s="24" t="e">
        <f>SUMIFS(#REF!,#REF!,$B11,#REF!,AA$1)</f>
        <v>#REF!</v>
      </c>
      <c r="AB11" s="24" t="e">
        <f>SUMIFS(#REF!,#REF!,$B11,#REF!,AB$1)</f>
        <v>#REF!</v>
      </c>
      <c r="AC11" s="24" t="e">
        <f>SUMIFS(#REF!,#REF!,$B11,#REF!,AC$1)</f>
        <v>#REF!</v>
      </c>
      <c r="AD11" s="24" t="e">
        <f>SUMIFS(#REF!,#REF!,$B11,#REF!,AD$1)</f>
        <v>#REF!</v>
      </c>
      <c r="AE11" s="24" t="e">
        <f>SUMIFS(#REF!,#REF!,$B11,#REF!,AE$1)</f>
        <v>#REF!</v>
      </c>
      <c r="AF11" s="24" t="e">
        <f>SUMIFS(#REF!,#REF!,$B11,#REF!,AF$1)</f>
        <v>#REF!</v>
      </c>
      <c r="AG11" s="24" t="e">
        <f>SUMIFS(#REF!,#REF!,$B11,#REF!,AG$1)</f>
        <v>#REF!</v>
      </c>
      <c r="AH11" s="24" t="e">
        <f>SUMIFS(#REF!,#REF!,$B11,#REF!,AH$1)</f>
        <v>#REF!</v>
      </c>
      <c r="AI11" s="24" t="e">
        <f>SUMIFS(#REF!,#REF!,$B11,#REF!,AI$1)</f>
        <v>#REF!</v>
      </c>
      <c r="AJ11" s="24" t="e">
        <f>SUMIFS(#REF!,#REF!,$B11,#REF!,AJ$1)</f>
        <v>#REF!</v>
      </c>
      <c r="AK11" s="24" t="e">
        <f>SUMIFS(#REF!,#REF!,$B11,#REF!,AK$1)</f>
        <v>#REF!</v>
      </c>
      <c r="AL11" s="24" t="e">
        <f>SUMIFS(#REF!,#REF!,$B11,#REF!,AL$1)</f>
        <v>#REF!</v>
      </c>
      <c r="AM11" s="24" t="e">
        <f>SUMIFS(#REF!,#REF!,$B11,#REF!,AM$1)</f>
        <v>#REF!</v>
      </c>
      <c r="AN11" s="24" t="e">
        <f>SUMIFS(#REF!,#REF!,$B11,#REF!,AN$1)</f>
        <v>#REF!</v>
      </c>
      <c r="AO11" s="24" t="e">
        <f>SUMIFS(#REF!,#REF!,$B11,#REF!,AO$1)</f>
        <v>#REF!</v>
      </c>
      <c r="AP11" s="24" t="e">
        <f>SUMIFS(#REF!,#REF!,$B11,#REF!,AP$1)</f>
        <v>#REF!</v>
      </c>
      <c r="AQ11" s="24" t="e">
        <f>SUMIFS(#REF!,#REF!,$B11,#REF!,AQ$1)</f>
        <v>#REF!</v>
      </c>
      <c r="AR11" s="24" t="e">
        <f>SUMIFS(#REF!,#REF!,$B11,#REF!,AR$1)</f>
        <v>#REF!</v>
      </c>
      <c r="AS11" s="24" t="e">
        <f>SUMIFS(#REF!,#REF!,$B11,#REF!,AS$1)</f>
        <v>#REF!</v>
      </c>
      <c r="AT11" s="24" t="e">
        <f>SUMIFS(#REF!,#REF!,$B11,#REF!,AT$1)</f>
        <v>#REF!</v>
      </c>
      <c r="AU11" s="24" t="e">
        <f>SUMIFS(#REF!,#REF!,$B11,#REF!,AU$1)</f>
        <v>#REF!</v>
      </c>
      <c r="AV11" s="24" t="e">
        <f>SUMIFS(#REF!,#REF!,$B11,#REF!,AV$1)</f>
        <v>#REF!</v>
      </c>
      <c r="AW11" s="24" t="e">
        <f>SUMIFS(#REF!,#REF!,$B11,#REF!,AW$1)</f>
        <v>#REF!</v>
      </c>
      <c r="AX11" s="24" t="e">
        <f>SUMIFS(#REF!,#REF!,$B11,#REF!,AX$1)</f>
        <v>#REF!</v>
      </c>
      <c r="AY11" s="24" t="e">
        <f>SUMIFS(#REF!,#REF!,$B11,#REF!,AY$1)</f>
        <v>#REF!</v>
      </c>
      <c r="AZ11" s="24" t="e">
        <f>SUMIFS(#REF!,#REF!,$B11,#REF!,AZ$1)</f>
        <v>#REF!</v>
      </c>
      <c r="BA11" s="24" t="e">
        <f>SUMIFS(#REF!,#REF!,$B11,#REF!,BA$1)</f>
        <v>#REF!</v>
      </c>
      <c r="BB11" s="24" t="e">
        <f>SUMIFS(#REF!,#REF!,$B11,#REF!,BB$1)</f>
        <v>#REF!</v>
      </c>
      <c r="BC11" s="24" t="e">
        <f>SUMIFS(#REF!,#REF!,$B11,#REF!,BC$1)</f>
        <v>#REF!</v>
      </c>
      <c r="BD11" s="24" t="e">
        <f>SUMIFS(#REF!,#REF!,$B11,#REF!,BD$1)</f>
        <v>#REF!</v>
      </c>
      <c r="BE11" s="24" t="e">
        <f>SUMIFS(#REF!,#REF!,$B11,#REF!,BE$1)</f>
        <v>#REF!</v>
      </c>
      <c r="BF11" s="24" t="e">
        <f>SUMIFS(#REF!,#REF!,$B11,#REF!,BF$1)</f>
        <v>#REF!</v>
      </c>
      <c r="BG11" s="24" t="e">
        <f>SUMIFS(#REF!,#REF!,$B11,#REF!,BG$1)</f>
        <v>#REF!</v>
      </c>
      <c r="BH11" s="24" t="e">
        <f>SUMIFS(#REF!,#REF!,$B11,#REF!,BH$1)</f>
        <v>#REF!</v>
      </c>
      <c r="BI11" s="24" t="e">
        <f>SUMIFS(#REF!,#REF!,$B11,#REF!,BI$1)</f>
        <v>#REF!</v>
      </c>
      <c r="BJ11" s="24" t="e">
        <f>SUMIFS(#REF!,#REF!,$B11,#REF!,BJ$1)</f>
        <v>#REF!</v>
      </c>
      <c r="BK11" s="24" t="e">
        <f>SUMIFS(#REF!,#REF!,$B11,#REF!,BK$1)</f>
        <v>#REF!</v>
      </c>
      <c r="BL11" s="24" t="e">
        <f>SUMIFS(#REF!,#REF!,$B11,#REF!,BL$1)</f>
        <v>#REF!</v>
      </c>
      <c r="BM11" s="24" t="e">
        <f>SUMIFS(#REF!,#REF!,$B11,#REF!,BM$1)</f>
        <v>#REF!</v>
      </c>
      <c r="BN11" s="24" t="e">
        <f>SUMIFS(#REF!,#REF!,$B11,#REF!,BN$1)</f>
        <v>#REF!</v>
      </c>
      <c r="BO11" s="24" t="e">
        <f>SUMIFS(#REF!,#REF!,$B11,#REF!,BO$1)</f>
        <v>#REF!</v>
      </c>
      <c r="BP11" s="24" t="e">
        <f>SUMIFS(#REF!,#REF!,$B11,#REF!,BP$1)</f>
        <v>#REF!</v>
      </c>
      <c r="BQ11" s="24" t="e">
        <f>SUMIFS(#REF!,#REF!,$B11,#REF!,BQ$1)</f>
        <v>#REF!</v>
      </c>
      <c r="BR11" s="24" t="e">
        <f>SUMIFS(#REF!,#REF!,$B11,#REF!,BR$1)</f>
        <v>#REF!</v>
      </c>
      <c r="BS11" s="24" t="e">
        <f>SUMIFS(#REF!,#REF!,$B11,#REF!,BS$1)</f>
        <v>#REF!</v>
      </c>
      <c r="BT11" s="24" t="e">
        <f>SUMIFS(#REF!,#REF!,$B11,#REF!,BT$1)</f>
        <v>#REF!</v>
      </c>
      <c r="BU11" s="24" t="e">
        <f>SUMIFS(#REF!,#REF!,$B11,#REF!,BU$1)</f>
        <v>#REF!</v>
      </c>
      <c r="BV11" s="24" t="e">
        <f>SUMIFS(#REF!,#REF!,$B11,#REF!,BV$1)</f>
        <v>#REF!</v>
      </c>
      <c r="BW11" s="24" t="e">
        <f>SUMIFS(#REF!,#REF!,$B11,#REF!,BW$1)</f>
        <v>#REF!</v>
      </c>
      <c r="BX11" s="24" t="e">
        <f>SUMIFS(#REF!,#REF!,$B11,#REF!,BX$1)</f>
        <v>#REF!</v>
      </c>
      <c r="BY11" s="24" t="e">
        <f>SUMIFS(#REF!,#REF!,$B11,#REF!,BY$1)</f>
        <v>#REF!</v>
      </c>
      <c r="BZ11" s="24" t="e">
        <f>SUMIFS(#REF!,#REF!,$B11,#REF!,BZ$1)</f>
        <v>#REF!</v>
      </c>
      <c r="CA11" s="24" t="e">
        <f>SUMIFS(#REF!,#REF!,$B11,#REF!,CA$1)</f>
        <v>#REF!</v>
      </c>
      <c r="CB11" s="24" t="e">
        <f>SUMIFS(#REF!,#REF!,$B11,#REF!,CB$1)</f>
        <v>#REF!</v>
      </c>
      <c r="CC11" s="24" t="e">
        <f>SUMIFS(#REF!,#REF!,$B11,#REF!,CC$1)</f>
        <v>#REF!</v>
      </c>
      <c r="CD11" s="24" t="e">
        <f>SUMIFS(#REF!,#REF!,$B11,#REF!,CD$1)</f>
        <v>#REF!</v>
      </c>
      <c r="CE11" s="24" t="e">
        <f>SUMIFS(#REF!,#REF!,$B11,#REF!,CE$1)</f>
        <v>#REF!</v>
      </c>
      <c r="CF11" s="24" t="e">
        <f>SUMIFS(#REF!,#REF!,$B11,#REF!,CF$1)</f>
        <v>#REF!</v>
      </c>
      <c r="CG11" s="19" t="e">
        <f t="shared" si="0"/>
        <v>#REF!</v>
      </c>
    </row>
    <row r="12" spans="1:87" x14ac:dyDescent="0.45">
      <c r="A12" s="4" t="s">
        <v>1000</v>
      </c>
      <c r="B12" s="4" t="s">
        <v>1001</v>
      </c>
      <c r="C12" s="24" t="e">
        <f>SUMIFS(#REF!,#REF!,$B12,#REF!,C$1)</f>
        <v>#REF!</v>
      </c>
      <c r="D12" s="24" t="e">
        <f>SUMIFS(#REF!,#REF!,$B12,#REF!,D$1)</f>
        <v>#REF!</v>
      </c>
      <c r="E12" s="24" t="e">
        <f>SUMIFS(#REF!,#REF!,$B12,#REF!,E$1)</f>
        <v>#REF!</v>
      </c>
      <c r="F12" s="24" t="e">
        <f>SUMIFS(#REF!,#REF!,$B12,#REF!,F$1)</f>
        <v>#REF!</v>
      </c>
      <c r="G12" s="24" t="e">
        <f>SUMIFS(#REF!,#REF!,$B12,#REF!,G$1)</f>
        <v>#REF!</v>
      </c>
      <c r="H12" s="24" t="e">
        <f>SUMIFS(#REF!,#REF!,$B12,#REF!,H$1)</f>
        <v>#REF!</v>
      </c>
      <c r="I12" s="24" t="e">
        <f>SUMIFS(#REF!,#REF!,$B12,#REF!,I$1)</f>
        <v>#REF!</v>
      </c>
      <c r="J12" s="24" t="e">
        <f>SUMIFS(#REF!,#REF!,$B12,#REF!,J$1)</f>
        <v>#REF!</v>
      </c>
      <c r="K12" s="24" t="e">
        <f>SUMIFS(#REF!,#REF!,$B12,#REF!,K$1)</f>
        <v>#REF!</v>
      </c>
      <c r="L12" s="24" t="e">
        <f>SUMIFS(#REF!,#REF!,$B12,#REF!,L$1)</f>
        <v>#REF!</v>
      </c>
      <c r="M12" s="24" t="e">
        <f>SUMIFS(#REF!,#REF!,$B12,#REF!,M$1)</f>
        <v>#REF!</v>
      </c>
      <c r="N12" s="24" t="e">
        <f>SUMIFS(#REF!,#REF!,$B12,#REF!,N$1)</f>
        <v>#REF!</v>
      </c>
      <c r="O12" s="24" t="e">
        <f>SUMIFS(#REF!,#REF!,$B12,#REF!,O$1)</f>
        <v>#REF!</v>
      </c>
      <c r="P12" s="24" t="e">
        <f>SUMIFS(#REF!,#REF!,$B12,#REF!,P$1)</f>
        <v>#REF!</v>
      </c>
      <c r="Q12" s="24" t="e">
        <f>SUMIFS(#REF!,#REF!,$B12,#REF!,Q$1)</f>
        <v>#REF!</v>
      </c>
      <c r="R12" s="24" t="e">
        <f>SUMIFS(#REF!,#REF!,$B12,#REF!,R$1)</f>
        <v>#REF!</v>
      </c>
      <c r="S12" s="24" t="e">
        <f>SUMIFS(#REF!,#REF!,$B12,#REF!,S$1)</f>
        <v>#REF!</v>
      </c>
      <c r="T12" s="24" t="e">
        <f>SUMIFS(#REF!,#REF!,$B12,#REF!,T$1)</f>
        <v>#REF!</v>
      </c>
      <c r="U12" s="24" t="e">
        <f>SUMIFS(#REF!,#REF!,$B12,#REF!,U$1)</f>
        <v>#REF!</v>
      </c>
      <c r="V12" s="24" t="e">
        <f>SUMIFS(#REF!,#REF!,$B12,#REF!,V$1)</f>
        <v>#REF!</v>
      </c>
      <c r="W12" s="24" t="e">
        <f>SUMIFS(#REF!,#REF!,$B12,#REF!,W$1)</f>
        <v>#REF!</v>
      </c>
      <c r="X12" s="24" t="e">
        <f>SUMIFS(#REF!,#REF!,$B12,#REF!,X$1)</f>
        <v>#REF!</v>
      </c>
      <c r="Y12" s="24" t="e">
        <f>SUMIFS(#REF!,#REF!,$B12,#REF!,Y$1)</f>
        <v>#REF!</v>
      </c>
      <c r="Z12" s="24" t="e">
        <f>SUMIFS(#REF!,#REF!,$B12,#REF!,Z$1)</f>
        <v>#REF!</v>
      </c>
      <c r="AA12" s="24" t="e">
        <f>SUMIFS(#REF!,#REF!,$B12,#REF!,AA$1)</f>
        <v>#REF!</v>
      </c>
      <c r="AB12" s="24" t="e">
        <f>SUMIFS(#REF!,#REF!,$B12,#REF!,AB$1)</f>
        <v>#REF!</v>
      </c>
      <c r="AC12" s="24" t="e">
        <f>SUMIFS(#REF!,#REF!,$B12,#REF!,AC$1)</f>
        <v>#REF!</v>
      </c>
      <c r="AD12" s="24" t="e">
        <f>SUMIFS(#REF!,#REF!,$B12,#REF!,AD$1)</f>
        <v>#REF!</v>
      </c>
      <c r="AE12" s="24" t="e">
        <f>SUMIFS(#REF!,#REF!,$B12,#REF!,AE$1)</f>
        <v>#REF!</v>
      </c>
      <c r="AF12" s="24" t="e">
        <f>SUMIFS(#REF!,#REF!,$B12,#REF!,AF$1)</f>
        <v>#REF!</v>
      </c>
      <c r="AG12" s="24" t="e">
        <f>SUMIFS(#REF!,#REF!,$B12,#REF!,AG$1)</f>
        <v>#REF!</v>
      </c>
      <c r="AH12" s="24" t="e">
        <f>SUMIFS(#REF!,#REF!,$B12,#REF!,AH$1)</f>
        <v>#REF!</v>
      </c>
      <c r="AI12" s="24" t="e">
        <f>SUMIFS(#REF!,#REF!,$B12,#REF!,AI$1)</f>
        <v>#REF!</v>
      </c>
      <c r="AJ12" s="24" t="e">
        <f>SUMIFS(#REF!,#REF!,$B12,#REF!,AJ$1)</f>
        <v>#REF!</v>
      </c>
      <c r="AK12" s="24" t="e">
        <f>SUMIFS(#REF!,#REF!,$B12,#REF!,AK$1)</f>
        <v>#REF!</v>
      </c>
      <c r="AL12" s="24" t="e">
        <f>SUMIFS(#REF!,#REF!,$B12,#REF!,AL$1)</f>
        <v>#REF!</v>
      </c>
      <c r="AM12" s="24" t="e">
        <f>SUMIFS(#REF!,#REF!,$B12,#REF!,AM$1)</f>
        <v>#REF!</v>
      </c>
      <c r="AN12" s="24" t="e">
        <f>SUMIFS(#REF!,#REF!,$B12,#REF!,AN$1)</f>
        <v>#REF!</v>
      </c>
      <c r="AO12" s="24" t="e">
        <f>SUMIFS(#REF!,#REF!,$B12,#REF!,AO$1)</f>
        <v>#REF!</v>
      </c>
      <c r="AP12" s="24" t="e">
        <f>SUMIFS(#REF!,#REF!,$B12,#REF!,AP$1)</f>
        <v>#REF!</v>
      </c>
      <c r="AQ12" s="24" t="e">
        <f>SUMIFS(#REF!,#REF!,$B12,#REF!,AQ$1)</f>
        <v>#REF!</v>
      </c>
      <c r="AR12" s="24" t="e">
        <f>SUMIFS(#REF!,#REF!,$B12,#REF!,AR$1)</f>
        <v>#REF!</v>
      </c>
      <c r="AS12" s="24" t="e">
        <f>SUMIFS(#REF!,#REF!,$B12,#REF!,AS$1)</f>
        <v>#REF!</v>
      </c>
      <c r="AT12" s="24" t="e">
        <f>SUMIFS(#REF!,#REF!,$B12,#REF!,AT$1)</f>
        <v>#REF!</v>
      </c>
      <c r="AU12" s="24" t="e">
        <f>SUMIFS(#REF!,#REF!,$B12,#REF!,AU$1)</f>
        <v>#REF!</v>
      </c>
      <c r="AV12" s="24" t="e">
        <f>SUMIFS(#REF!,#REF!,$B12,#REF!,AV$1)</f>
        <v>#REF!</v>
      </c>
      <c r="AW12" s="24" t="e">
        <f>SUMIFS(#REF!,#REF!,$B12,#REF!,AW$1)</f>
        <v>#REF!</v>
      </c>
      <c r="AX12" s="24" t="e">
        <f>SUMIFS(#REF!,#REF!,$B12,#REF!,AX$1)</f>
        <v>#REF!</v>
      </c>
      <c r="AY12" s="24" t="e">
        <f>SUMIFS(#REF!,#REF!,$B12,#REF!,AY$1)</f>
        <v>#REF!</v>
      </c>
      <c r="AZ12" s="24" t="e">
        <f>SUMIFS(#REF!,#REF!,$B12,#REF!,AZ$1)</f>
        <v>#REF!</v>
      </c>
      <c r="BA12" s="24" t="e">
        <f>SUMIFS(#REF!,#REF!,$B12,#REF!,BA$1)</f>
        <v>#REF!</v>
      </c>
      <c r="BB12" s="24" t="e">
        <f>SUMIFS(#REF!,#REF!,$B12,#REF!,BB$1)</f>
        <v>#REF!</v>
      </c>
      <c r="BC12" s="24" t="e">
        <f>SUMIFS(#REF!,#REF!,$B12,#REF!,BC$1)</f>
        <v>#REF!</v>
      </c>
      <c r="BD12" s="24" t="e">
        <f>SUMIFS(#REF!,#REF!,$B12,#REF!,BD$1)</f>
        <v>#REF!</v>
      </c>
      <c r="BE12" s="24" t="e">
        <f>SUMIFS(#REF!,#REF!,$B12,#REF!,BE$1)</f>
        <v>#REF!</v>
      </c>
      <c r="BF12" s="24" t="e">
        <f>SUMIFS(#REF!,#REF!,$B12,#REF!,BF$1)</f>
        <v>#REF!</v>
      </c>
      <c r="BG12" s="24" t="e">
        <f>SUMIFS(#REF!,#REF!,$B12,#REF!,BG$1)</f>
        <v>#REF!</v>
      </c>
      <c r="BH12" s="24" t="e">
        <f>SUMIFS(#REF!,#REF!,$B12,#REF!,BH$1)</f>
        <v>#REF!</v>
      </c>
      <c r="BI12" s="24" t="e">
        <f>SUMIFS(#REF!,#REF!,$B12,#REF!,BI$1)</f>
        <v>#REF!</v>
      </c>
      <c r="BJ12" s="24" t="e">
        <f>SUMIFS(#REF!,#REF!,$B12,#REF!,BJ$1)</f>
        <v>#REF!</v>
      </c>
      <c r="BK12" s="24" t="e">
        <f>SUMIFS(#REF!,#REF!,$B12,#REF!,BK$1)</f>
        <v>#REF!</v>
      </c>
      <c r="BL12" s="24" t="e">
        <f>SUMIFS(#REF!,#REF!,$B12,#REF!,BL$1)</f>
        <v>#REF!</v>
      </c>
      <c r="BM12" s="24" t="e">
        <f>SUMIFS(#REF!,#REF!,$B12,#REF!,BM$1)</f>
        <v>#REF!</v>
      </c>
      <c r="BN12" s="24" t="e">
        <f>SUMIFS(#REF!,#REF!,$B12,#REF!,BN$1)</f>
        <v>#REF!</v>
      </c>
      <c r="BO12" s="24" t="e">
        <f>SUMIFS(#REF!,#REF!,$B12,#REF!,BO$1)</f>
        <v>#REF!</v>
      </c>
      <c r="BP12" s="24" t="e">
        <f>SUMIFS(#REF!,#REF!,$B12,#REF!,BP$1)</f>
        <v>#REF!</v>
      </c>
      <c r="BQ12" s="24" t="e">
        <f>SUMIFS(#REF!,#REF!,$B12,#REF!,BQ$1)</f>
        <v>#REF!</v>
      </c>
      <c r="BR12" s="24" t="e">
        <f>SUMIFS(#REF!,#REF!,$B12,#REF!,BR$1)</f>
        <v>#REF!</v>
      </c>
      <c r="BS12" s="24" t="e">
        <f>SUMIFS(#REF!,#REF!,$B12,#REF!,BS$1)</f>
        <v>#REF!</v>
      </c>
      <c r="BT12" s="24" t="e">
        <f>SUMIFS(#REF!,#REF!,$B12,#REF!,BT$1)</f>
        <v>#REF!</v>
      </c>
      <c r="BU12" s="24" t="e">
        <f>SUMIFS(#REF!,#REF!,$B12,#REF!,BU$1)</f>
        <v>#REF!</v>
      </c>
      <c r="BV12" s="24" t="e">
        <f>SUMIFS(#REF!,#REF!,$B12,#REF!,BV$1)</f>
        <v>#REF!</v>
      </c>
      <c r="BW12" s="24" t="e">
        <f>SUMIFS(#REF!,#REF!,$B12,#REF!,BW$1)</f>
        <v>#REF!</v>
      </c>
      <c r="BX12" s="24" t="e">
        <f>SUMIFS(#REF!,#REF!,$B12,#REF!,BX$1)</f>
        <v>#REF!</v>
      </c>
      <c r="BY12" s="24" t="e">
        <f>SUMIFS(#REF!,#REF!,$B12,#REF!,BY$1)</f>
        <v>#REF!</v>
      </c>
      <c r="BZ12" s="24" t="e">
        <f>SUMIFS(#REF!,#REF!,$B12,#REF!,BZ$1)</f>
        <v>#REF!</v>
      </c>
      <c r="CA12" s="24" t="e">
        <f>SUMIFS(#REF!,#REF!,$B12,#REF!,CA$1)</f>
        <v>#REF!</v>
      </c>
      <c r="CB12" s="24" t="e">
        <f>SUMIFS(#REF!,#REF!,$B12,#REF!,CB$1)</f>
        <v>#REF!</v>
      </c>
      <c r="CC12" s="24" t="e">
        <f>SUMIFS(#REF!,#REF!,$B12,#REF!,CC$1)</f>
        <v>#REF!</v>
      </c>
      <c r="CD12" s="24" t="e">
        <f>SUMIFS(#REF!,#REF!,$B12,#REF!,CD$1)</f>
        <v>#REF!</v>
      </c>
      <c r="CE12" s="24" t="e">
        <f>SUMIFS(#REF!,#REF!,$B12,#REF!,CE$1)</f>
        <v>#REF!</v>
      </c>
      <c r="CF12" s="24" t="e">
        <f>SUMIFS(#REF!,#REF!,$B12,#REF!,CF$1)</f>
        <v>#REF!</v>
      </c>
      <c r="CG12" s="19" t="e">
        <f t="shared" si="0"/>
        <v>#REF!</v>
      </c>
    </row>
    <row r="13" spans="1:87" x14ac:dyDescent="0.45">
      <c r="A13" s="4" t="s">
        <v>1003</v>
      </c>
      <c r="B13" s="4" t="s">
        <v>1004</v>
      </c>
      <c r="C13" s="24" t="e">
        <f>SUMIFS(#REF!,#REF!,$B13,#REF!,C$1)</f>
        <v>#REF!</v>
      </c>
      <c r="D13" s="24" t="e">
        <f>SUMIFS(#REF!,#REF!,$B13,#REF!,D$1)</f>
        <v>#REF!</v>
      </c>
      <c r="E13" s="24" t="e">
        <f>SUMIFS(#REF!,#REF!,$B13,#REF!,E$1)</f>
        <v>#REF!</v>
      </c>
      <c r="F13" s="24" t="e">
        <f>SUMIFS(#REF!,#REF!,$B13,#REF!,F$1)</f>
        <v>#REF!</v>
      </c>
      <c r="G13" s="24" t="e">
        <f>SUMIFS(#REF!,#REF!,$B13,#REF!,G$1)</f>
        <v>#REF!</v>
      </c>
      <c r="H13" s="24" t="e">
        <f>SUMIFS(#REF!,#REF!,$B13,#REF!,H$1)</f>
        <v>#REF!</v>
      </c>
      <c r="I13" s="24" t="e">
        <f>SUMIFS(#REF!,#REF!,$B13,#REF!,I$1)</f>
        <v>#REF!</v>
      </c>
      <c r="J13" s="24" t="e">
        <f>SUMIFS(#REF!,#REF!,$B13,#REF!,J$1)</f>
        <v>#REF!</v>
      </c>
      <c r="K13" s="24" t="e">
        <f>SUMIFS(#REF!,#REF!,$B13,#REF!,K$1)</f>
        <v>#REF!</v>
      </c>
      <c r="L13" s="24" t="e">
        <f>SUMIFS(#REF!,#REF!,$B13,#REF!,L$1)</f>
        <v>#REF!</v>
      </c>
      <c r="M13" s="24" t="e">
        <f>SUMIFS(#REF!,#REF!,$B13,#REF!,M$1)</f>
        <v>#REF!</v>
      </c>
      <c r="N13" s="24" t="e">
        <f>SUMIFS(#REF!,#REF!,$B13,#REF!,N$1)</f>
        <v>#REF!</v>
      </c>
      <c r="O13" s="24" t="e">
        <f>SUMIFS(#REF!,#REF!,$B13,#REF!,O$1)</f>
        <v>#REF!</v>
      </c>
      <c r="P13" s="24" t="e">
        <f>SUMIFS(#REF!,#REF!,$B13,#REF!,P$1)</f>
        <v>#REF!</v>
      </c>
      <c r="Q13" s="24" t="e">
        <f>SUMIFS(#REF!,#REF!,$B13,#REF!,Q$1)</f>
        <v>#REF!</v>
      </c>
      <c r="R13" s="24" t="e">
        <f>SUMIFS(#REF!,#REF!,$B13,#REF!,R$1)</f>
        <v>#REF!</v>
      </c>
      <c r="S13" s="24" t="e">
        <f>SUMIFS(#REF!,#REF!,$B13,#REF!,S$1)</f>
        <v>#REF!</v>
      </c>
      <c r="T13" s="24" t="e">
        <f>SUMIFS(#REF!,#REF!,$B13,#REF!,T$1)</f>
        <v>#REF!</v>
      </c>
      <c r="U13" s="24" t="e">
        <f>SUMIFS(#REF!,#REF!,$B13,#REF!,U$1)</f>
        <v>#REF!</v>
      </c>
      <c r="V13" s="24" t="e">
        <f>SUMIFS(#REF!,#REF!,$B13,#REF!,V$1)</f>
        <v>#REF!</v>
      </c>
      <c r="W13" s="24" t="e">
        <f>SUMIFS(#REF!,#REF!,$B13,#REF!,W$1)</f>
        <v>#REF!</v>
      </c>
      <c r="X13" s="24" t="e">
        <f>SUMIFS(#REF!,#REF!,$B13,#REF!,X$1)</f>
        <v>#REF!</v>
      </c>
      <c r="Y13" s="24" t="e">
        <f>SUMIFS(#REF!,#REF!,$B13,#REF!,Y$1)</f>
        <v>#REF!</v>
      </c>
      <c r="Z13" s="24" t="e">
        <f>SUMIFS(#REF!,#REF!,$B13,#REF!,Z$1)</f>
        <v>#REF!</v>
      </c>
      <c r="AA13" s="24" t="e">
        <f>SUMIFS(#REF!,#REF!,$B13,#REF!,AA$1)</f>
        <v>#REF!</v>
      </c>
      <c r="AB13" s="24" t="e">
        <f>SUMIFS(#REF!,#REF!,$B13,#REF!,AB$1)</f>
        <v>#REF!</v>
      </c>
      <c r="AC13" s="24" t="e">
        <f>SUMIFS(#REF!,#REF!,$B13,#REF!,AC$1)</f>
        <v>#REF!</v>
      </c>
      <c r="AD13" s="24" t="e">
        <f>SUMIFS(#REF!,#REF!,$B13,#REF!,AD$1)</f>
        <v>#REF!</v>
      </c>
      <c r="AE13" s="24" t="e">
        <f>SUMIFS(#REF!,#REF!,$B13,#REF!,AE$1)</f>
        <v>#REF!</v>
      </c>
      <c r="AF13" s="24" t="e">
        <f>SUMIFS(#REF!,#REF!,$B13,#REF!,AF$1)</f>
        <v>#REF!</v>
      </c>
      <c r="AG13" s="24" t="e">
        <f>SUMIFS(#REF!,#REF!,$B13,#REF!,AG$1)</f>
        <v>#REF!</v>
      </c>
      <c r="AH13" s="24" t="e">
        <f>SUMIFS(#REF!,#REF!,$B13,#REF!,AH$1)</f>
        <v>#REF!</v>
      </c>
      <c r="AI13" s="24" t="e">
        <f>SUMIFS(#REF!,#REF!,$B13,#REF!,AI$1)</f>
        <v>#REF!</v>
      </c>
      <c r="AJ13" s="24" t="e">
        <f>SUMIFS(#REF!,#REF!,$B13,#REF!,AJ$1)</f>
        <v>#REF!</v>
      </c>
      <c r="AK13" s="24" t="e">
        <f>SUMIFS(#REF!,#REF!,$B13,#REF!,AK$1)</f>
        <v>#REF!</v>
      </c>
      <c r="AL13" s="24" t="e">
        <f>SUMIFS(#REF!,#REF!,$B13,#REF!,AL$1)</f>
        <v>#REF!</v>
      </c>
      <c r="AM13" s="24" t="e">
        <f>SUMIFS(#REF!,#REF!,$B13,#REF!,AM$1)</f>
        <v>#REF!</v>
      </c>
      <c r="AN13" s="24" t="e">
        <f>SUMIFS(#REF!,#REF!,$B13,#REF!,AN$1)</f>
        <v>#REF!</v>
      </c>
      <c r="AO13" s="24" t="e">
        <f>SUMIFS(#REF!,#REF!,$B13,#REF!,AO$1)</f>
        <v>#REF!</v>
      </c>
      <c r="AP13" s="24" t="e">
        <f>SUMIFS(#REF!,#REF!,$B13,#REF!,AP$1)</f>
        <v>#REF!</v>
      </c>
      <c r="AQ13" s="24" t="e">
        <f>SUMIFS(#REF!,#REF!,$B13,#REF!,AQ$1)</f>
        <v>#REF!</v>
      </c>
      <c r="AR13" s="24" t="e">
        <f>SUMIFS(#REF!,#REF!,$B13,#REF!,AR$1)</f>
        <v>#REF!</v>
      </c>
      <c r="AS13" s="24" t="e">
        <f>SUMIFS(#REF!,#REF!,$B13,#REF!,AS$1)</f>
        <v>#REF!</v>
      </c>
      <c r="AT13" s="24" t="e">
        <f>SUMIFS(#REF!,#REF!,$B13,#REF!,AT$1)</f>
        <v>#REF!</v>
      </c>
      <c r="AU13" s="24" t="e">
        <f>SUMIFS(#REF!,#REF!,$B13,#REF!,AU$1)</f>
        <v>#REF!</v>
      </c>
      <c r="AV13" s="24" t="e">
        <f>SUMIFS(#REF!,#REF!,$B13,#REF!,AV$1)</f>
        <v>#REF!</v>
      </c>
      <c r="AW13" s="24" t="e">
        <f>SUMIFS(#REF!,#REF!,$B13,#REF!,AW$1)</f>
        <v>#REF!</v>
      </c>
      <c r="AX13" s="24" t="e">
        <f>SUMIFS(#REF!,#REF!,$B13,#REF!,AX$1)</f>
        <v>#REF!</v>
      </c>
      <c r="AY13" s="24" t="e">
        <f>SUMIFS(#REF!,#REF!,$B13,#REF!,AY$1)</f>
        <v>#REF!</v>
      </c>
      <c r="AZ13" s="24" t="e">
        <f>SUMIFS(#REF!,#REF!,$B13,#REF!,AZ$1)</f>
        <v>#REF!</v>
      </c>
      <c r="BA13" s="24" t="e">
        <f>SUMIFS(#REF!,#REF!,$B13,#REF!,BA$1)</f>
        <v>#REF!</v>
      </c>
      <c r="BB13" s="24" t="e">
        <f>SUMIFS(#REF!,#REF!,$B13,#REF!,BB$1)</f>
        <v>#REF!</v>
      </c>
      <c r="BC13" s="24" t="e">
        <f>SUMIFS(#REF!,#REF!,$B13,#REF!,BC$1)</f>
        <v>#REF!</v>
      </c>
      <c r="BD13" s="24" t="e">
        <f>SUMIFS(#REF!,#REF!,$B13,#REF!,BD$1)</f>
        <v>#REF!</v>
      </c>
      <c r="BE13" s="24" t="e">
        <f>SUMIFS(#REF!,#REF!,$B13,#REF!,BE$1)</f>
        <v>#REF!</v>
      </c>
      <c r="BF13" s="24" t="e">
        <f>SUMIFS(#REF!,#REF!,$B13,#REF!,BF$1)</f>
        <v>#REF!</v>
      </c>
      <c r="BG13" s="24" t="e">
        <f>SUMIFS(#REF!,#REF!,$B13,#REF!,BG$1)</f>
        <v>#REF!</v>
      </c>
      <c r="BH13" s="24" t="e">
        <f>SUMIFS(#REF!,#REF!,$B13,#REF!,BH$1)</f>
        <v>#REF!</v>
      </c>
      <c r="BI13" s="24" t="e">
        <f>SUMIFS(#REF!,#REF!,$B13,#REF!,BI$1)</f>
        <v>#REF!</v>
      </c>
      <c r="BJ13" s="24" t="e">
        <f>SUMIFS(#REF!,#REF!,$B13,#REF!,BJ$1)</f>
        <v>#REF!</v>
      </c>
      <c r="BK13" s="24" t="e">
        <f>SUMIFS(#REF!,#REF!,$B13,#REF!,BK$1)</f>
        <v>#REF!</v>
      </c>
      <c r="BL13" s="24" t="e">
        <f>SUMIFS(#REF!,#REF!,$B13,#REF!,BL$1)</f>
        <v>#REF!</v>
      </c>
      <c r="BM13" s="24" t="e">
        <f>SUMIFS(#REF!,#REF!,$B13,#REF!,BM$1)</f>
        <v>#REF!</v>
      </c>
      <c r="BN13" s="24" t="e">
        <f>SUMIFS(#REF!,#REF!,$B13,#REF!,BN$1)</f>
        <v>#REF!</v>
      </c>
      <c r="BO13" s="24" t="e">
        <f>SUMIFS(#REF!,#REF!,$B13,#REF!,BO$1)</f>
        <v>#REF!</v>
      </c>
      <c r="BP13" s="24" t="e">
        <f>SUMIFS(#REF!,#REF!,$B13,#REF!,BP$1)</f>
        <v>#REF!</v>
      </c>
      <c r="BQ13" s="24" t="e">
        <f>SUMIFS(#REF!,#REF!,$B13,#REF!,BQ$1)</f>
        <v>#REF!</v>
      </c>
      <c r="BR13" s="24" t="e">
        <f>SUMIFS(#REF!,#REF!,$B13,#REF!,BR$1)</f>
        <v>#REF!</v>
      </c>
      <c r="BS13" s="24" t="e">
        <f>SUMIFS(#REF!,#REF!,$B13,#REF!,BS$1)</f>
        <v>#REF!</v>
      </c>
      <c r="BT13" s="24" t="e">
        <f>SUMIFS(#REF!,#REF!,$B13,#REF!,BT$1)</f>
        <v>#REF!</v>
      </c>
      <c r="BU13" s="24" t="e">
        <f>SUMIFS(#REF!,#REF!,$B13,#REF!,BU$1)</f>
        <v>#REF!</v>
      </c>
      <c r="BV13" s="24" t="e">
        <f>SUMIFS(#REF!,#REF!,$B13,#REF!,BV$1)</f>
        <v>#REF!</v>
      </c>
      <c r="BW13" s="24" t="e">
        <f>SUMIFS(#REF!,#REF!,$B13,#REF!,BW$1)</f>
        <v>#REF!</v>
      </c>
      <c r="BX13" s="24" t="e">
        <f>SUMIFS(#REF!,#REF!,$B13,#REF!,BX$1)</f>
        <v>#REF!</v>
      </c>
      <c r="BY13" s="24" t="e">
        <f>SUMIFS(#REF!,#REF!,$B13,#REF!,BY$1)</f>
        <v>#REF!</v>
      </c>
      <c r="BZ13" s="24" t="e">
        <f>SUMIFS(#REF!,#REF!,$B13,#REF!,BZ$1)</f>
        <v>#REF!</v>
      </c>
      <c r="CA13" s="24" t="e">
        <f>SUMIFS(#REF!,#REF!,$B13,#REF!,CA$1)</f>
        <v>#REF!</v>
      </c>
      <c r="CB13" s="24" t="e">
        <f>SUMIFS(#REF!,#REF!,$B13,#REF!,CB$1)</f>
        <v>#REF!</v>
      </c>
      <c r="CC13" s="24" t="e">
        <f>SUMIFS(#REF!,#REF!,$B13,#REF!,CC$1)</f>
        <v>#REF!</v>
      </c>
      <c r="CD13" s="24" t="e">
        <f>SUMIFS(#REF!,#REF!,$B13,#REF!,CD$1)</f>
        <v>#REF!</v>
      </c>
      <c r="CE13" s="24" t="e">
        <f>SUMIFS(#REF!,#REF!,$B13,#REF!,CE$1)</f>
        <v>#REF!</v>
      </c>
      <c r="CF13" s="24" t="e">
        <f>SUMIFS(#REF!,#REF!,$B13,#REF!,CF$1)</f>
        <v>#REF!</v>
      </c>
      <c r="CG13" s="19" t="e">
        <f t="shared" si="0"/>
        <v>#REF!</v>
      </c>
    </row>
    <row r="14" spans="1:87" x14ac:dyDescent="0.45">
      <c r="A14" s="4" t="s">
        <v>1005</v>
      </c>
      <c r="B14" s="4" t="s">
        <v>1006</v>
      </c>
      <c r="C14" s="24" t="e">
        <f>SUMIFS(#REF!,#REF!,$B14,#REF!,C$1)</f>
        <v>#REF!</v>
      </c>
      <c r="D14" s="24" t="e">
        <f>SUMIFS(#REF!,#REF!,$B14,#REF!,D$1)</f>
        <v>#REF!</v>
      </c>
      <c r="E14" s="24" t="e">
        <f>SUMIFS(#REF!,#REF!,$B14,#REF!,E$1)</f>
        <v>#REF!</v>
      </c>
      <c r="F14" s="24" t="e">
        <f>SUMIFS(#REF!,#REF!,$B14,#REF!,F$1)</f>
        <v>#REF!</v>
      </c>
      <c r="G14" s="24" t="e">
        <f>SUMIFS(#REF!,#REF!,$B14,#REF!,G$1)</f>
        <v>#REF!</v>
      </c>
      <c r="H14" s="24" t="e">
        <f>SUMIFS(#REF!,#REF!,$B14,#REF!,H$1)</f>
        <v>#REF!</v>
      </c>
      <c r="I14" s="24" t="e">
        <f>SUMIFS(#REF!,#REF!,$B14,#REF!,I$1)</f>
        <v>#REF!</v>
      </c>
      <c r="J14" s="24" t="e">
        <f>SUMIFS(#REF!,#REF!,$B14,#REF!,J$1)</f>
        <v>#REF!</v>
      </c>
      <c r="K14" s="24" t="e">
        <f>SUMIFS(#REF!,#REF!,$B14,#REF!,K$1)</f>
        <v>#REF!</v>
      </c>
      <c r="L14" s="24" t="e">
        <f>SUMIFS(#REF!,#REF!,$B14,#REF!,L$1)</f>
        <v>#REF!</v>
      </c>
      <c r="M14" s="24" t="e">
        <f>SUMIFS(#REF!,#REF!,$B14,#REF!,M$1)</f>
        <v>#REF!</v>
      </c>
      <c r="N14" s="24" t="e">
        <f>SUMIFS(#REF!,#REF!,$B14,#REF!,N$1)</f>
        <v>#REF!</v>
      </c>
      <c r="O14" s="24" t="e">
        <f>SUMIFS(#REF!,#REF!,$B14,#REF!,O$1)</f>
        <v>#REF!</v>
      </c>
      <c r="P14" s="24" t="e">
        <f>SUMIFS(#REF!,#REF!,$B14,#REF!,P$1)</f>
        <v>#REF!</v>
      </c>
      <c r="Q14" s="24" t="e">
        <f>SUMIFS(#REF!,#REF!,$B14,#REF!,Q$1)</f>
        <v>#REF!</v>
      </c>
      <c r="R14" s="24" t="e">
        <f>SUMIFS(#REF!,#REF!,$B14,#REF!,R$1)</f>
        <v>#REF!</v>
      </c>
      <c r="S14" s="24" t="e">
        <f>SUMIFS(#REF!,#REF!,$B14,#REF!,S$1)</f>
        <v>#REF!</v>
      </c>
      <c r="T14" s="24" t="e">
        <f>SUMIFS(#REF!,#REF!,$B14,#REF!,T$1)</f>
        <v>#REF!</v>
      </c>
      <c r="U14" s="24" t="e">
        <f>SUMIFS(#REF!,#REF!,$B14,#REF!,U$1)</f>
        <v>#REF!</v>
      </c>
      <c r="V14" s="24" t="e">
        <f>SUMIFS(#REF!,#REF!,$B14,#REF!,V$1)</f>
        <v>#REF!</v>
      </c>
      <c r="W14" s="24" t="e">
        <f>SUMIFS(#REF!,#REF!,$B14,#REF!,W$1)</f>
        <v>#REF!</v>
      </c>
      <c r="X14" s="24" t="e">
        <f>SUMIFS(#REF!,#REF!,$B14,#REF!,X$1)</f>
        <v>#REF!</v>
      </c>
      <c r="Y14" s="24" t="e">
        <f>SUMIFS(#REF!,#REF!,$B14,#REF!,Y$1)</f>
        <v>#REF!</v>
      </c>
      <c r="Z14" s="24" t="e">
        <f>SUMIFS(#REF!,#REF!,$B14,#REF!,Z$1)</f>
        <v>#REF!</v>
      </c>
      <c r="AA14" s="24" t="e">
        <f>SUMIFS(#REF!,#REF!,$B14,#REF!,AA$1)</f>
        <v>#REF!</v>
      </c>
      <c r="AB14" s="24" t="e">
        <f>SUMIFS(#REF!,#REF!,$B14,#REF!,AB$1)</f>
        <v>#REF!</v>
      </c>
      <c r="AC14" s="24" t="e">
        <f>SUMIFS(#REF!,#REF!,$B14,#REF!,AC$1)</f>
        <v>#REF!</v>
      </c>
      <c r="AD14" s="24" t="e">
        <f>SUMIFS(#REF!,#REF!,$B14,#REF!,AD$1)</f>
        <v>#REF!</v>
      </c>
      <c r="AE14" s="24" t="e">
        <f>SUMIFS(#REF!,#REF!,$B14,#REF!,AE$1)</f>
        <v>#REF!</v>
      </c>
      <c r="AF14" s="24" t="e">
        <f>SUMIFS(#REF!,#REF!,$B14,#REF!,AF$1)</f>
        <v>#REF!</v>
      </c>
      <c r="AG14" s="24" t="e">
        <f>SUMIFS(#REF!,#REF!,$B14,#REF!,AG$1)</f>
        <v>#REF!</v>
      </c>
      <c r="AH14" s="24" t="e">
        <f>SUMIFS(#REF!,#REF!,$B14,#REF!,AH$1)</f>
        <v>#REF!</v>
      </c>
      <c r="AI14" s="24" t="e">
        <f>SUMIFS(#REF!,#REF!,$B14,#REF!,AI$1)</f>
        <v>#REF!</v>
      </c>
      <c r="AJ14" s="24" t="e">
        <f>SUMIFS(#REF!,#REF!,$B14,#REF!,AJ$1)</f>
        <v>#REF!</v>
      </c>
      <c r="AK14" s="24" t="e">
        <f>SUMIFS(#REF!,#REF!,$B14,#REF!,AK$1)</f>
        <v>#REF!</v>
      </c>
      <c r="AL14" s="24" t="e">
        <f>SUMIFS(#REF!,#REF!,$B14,#REF!,AL$1)</f>
        <v>#REF!</v>
      </c>
      <c r="AM14" s="24" t="e">
        <f>SUMIFS(#REF!,#REF!,$B14,#REF!,AM$1)</f>
        <v>#REF!</v>
      </c>
      <c r="AN14" s="24" t="e">
        <f>SUMIFS(#REF!,#REF!,$B14,#REF!,AN$1)</f>
        <v>#REF!</v>
      </c>
      <c r="AO14" s="24" t="e">
        <f>SUMIFS(#REF!,#REF!,$B14,#REF!,AO$1)</f>
        <v>#REF!</v>
      </c>
      <c r="AP14" s="24" t="e">
        <f>SUMIFS(#REF!,#REF!,$B14,#REF!,AP$1)</f>
        <v>#REF!</v>
      </c>
      <c r="AQ14" s="24" t="e">
        <f>SUMIFS(#REF!,#REF!,$B14,#REF!,AQ$1)</f>
        <v>#REF!</v>
      </c>
      <c r="AR14" s="24" t="e">
        <f>SUMIFS(#REF!,#REF!,$B14,#REF!,AR$1)</f>
        <v>#REF!</v>
      </c>
      <c r="AS14" s="24" t="e">
        <f>SUMIFS(#REF!,#REF!,$B14,#REF!,AS$1)</f>
        <v>#REF!</v>
      </c>
      <c r="AT14" s="24" t="e">
        <f>SUMIFS(#REF!,#REF!,$B14,#REF!,AT$1)</f>
        <v>#REF!</v>
      </c>
      <c r="AU14" s="24" t="e">
        <f>SUMIFS(#REF!,#REF!,$B14,#REF!,AU$1)</f>
        <v>#REF!</v>
      </c>
      <c r="AV14" s="24" t="e">
        <f>SUMIFS(#REF!,#REF!,$B14,#REF!,AV$1)</f>
        <v>#REF!</v>
      </c>
      <c r="AW14" s="24" t="e">
        <f>SUMIFS(#REF!,#REF!,$B14,#REF!,AW$1)</f>
        <v>#REF!</v>
      </c>
      <c r="AX14" s="24" t="e">
        <f>SUMIFS(#REF!,#REF!,$B14,#REF!,AX$1)</f>
        <v>#REF!</v>
      </c>
      <c r="AY14" s="24" t="e">
        <f>SUMIFS(#REF!,#REF!,$B14,#REF!,AY$1)</f>
        <v>#REF!</v>
      </c>
      <c r="AZ14" s="24" t="e">
        <f>SUMIFS(#REF!,#REF!,$B14,#REF!,AZ$1)</f>
        <v>#REF!</v>
      </c>
      <c r="BA14" s="24" t="e">
        <f>SUMIFS(#REF!,#REF!,$B14,#REF!,BA$1)</f>
        <v>#REF!</v>
      </c>
      <c r="BB14" s="24" t="e">
        <f>SUMIFS(#REF!,#REF!,$B14,#REF!,BB$1)</f>
        <v>#REF!</v>
      </c>
      <c r="BC14" s="24" t="e">
        <f>SUMIFS(#REF!,#REF!,$B14,#REF!,BC$1)</f>
        <v>#REF!</v>
      </c>
      <c r="BD14" s="24" t="e">
        <f>SUMIFS(#REF!,#REF!,$B14,#REF!,BD$1)</f>
        <v>#REF!</v>
      </c>
      <c r="BE14" s="24" t="e">
        <f>SUMIFS(#REF!,#REF!,$B14,#REF!,BE$1)</f>
        <v>#REF!</v>
      </c>
      <c r="BF14" s="24" t="e">
        <f>SUMIFS(#REF!,#REF!,$B14,#REF!,BF$1)</f>
        <v>#REF!</v>
      </c>
      <c r="BG14" s="24" t="e">
        <f>SUMIFS(#REF!,#REF!,$B14,#REF!,BG$1)</f>
        <v>#REF!</v>
      </c>
      <c r="BH14" s="24" t="e">
        <f>SUMIFS(#REF!,#REF!,$B14,#REF!,BH$1)</f>
        <v>#REF!</v>
      </c>
      <c r="BI14" s="24" t="e">
        <f>SUMIFS(#REF!,#REF!,$B14,#REF!,BI$1)</f>
        <v>#REF!</v>
      </c>
      <c r="BJ14" s="24" t="e">
        <f>SUMIFS(#REF!,#REF!,$B14,#REF!,BJ$1)</f>
        <v>#REF!</v>
      </c>
      <c r="BK14" s="24" t="e">
        <f>SUMIFS(#REF!,#REF!,$B14,#REF!,BK$1)</f>
        <v>#REF!</v>
      </c>
      <c r="BL14" s="24" t="e">
        <f>SUMIFS(#REF!,#REF!,$B14,#REF!,BL$1)</f>
        <v>#REF!</v>
      </c>
      <c r="BM14" s="24" t="e">
        <f>SUMIFS(#REF!,#REF!,$B14,#REF!,BM$1)</f>
        <v>#REF!</v>
      </c>
      <c r="BN14" s="24" t="e">
        <f>SUMIFS(#REF!,#REF!,$B14,#REF!,BN$1)</f>
        <v>#REF!</v>
      </c>
      <c r="BO14" s="24" t="e">
        <f>SUMIFS(#REF!,#REF!,$B14,#REF!,BO$1)</f>
        <v>#REF!</v>
      </c>
      <c r="BP14" s="24" t="e">
        <f>SUMIFS(#REF!,#REF!,$B14,#REF!,BP$1)</f>
        <v>#REF!</v>
      </c>
      <c r="BQ14" s="24" t="e">
        <f>SUMIFS(#REF!,#REF!,$B14,#REF!,BQ$1)</f>
        <v>#REF!</v>
      </c>
      <c r="BR14" s="24" t="e">
        <f>SUMIFS(#REF!,#REF!,$B14,#REF!,BR$1)</f>
        <v>#REF!</v>
      </c>
      <c r="BS14" s="24" t="e">
        <f>SUMIFS(#REF!,#REF!,$B14,#REF!,BS$1)</f>
        <v>#REF!</v>
      </c>
      <c r="BT14" s="24" t="e">
        <f>SUMIFS(#REF!,#REF!,$B14,#REF!,BT$1)</f>
        <v>#REF!</v>
      </c>
      <c r="BU14" s="24" t="e">
        <f>SUMIFS(#REF!,#REF!,$B14,#REF!,BU$1)</f>
        <v>#REF!</v>
      </c>
      <c r="BV14" s="24" t="e">
        <f>SUMIFS(#REF!,#REF!,$B14,#REF!,BV$1)</f>
        <v>#REF!</v>
      </c>
      <c r="BW14" s="24" t="e">
        <f>SUMIFS(#REF!,#REF!,$B14,#REF!,BW$1)</f>
        <v>#REF!</v>
      </c>
      <c r="BX14" s="24" t="e">
        <f>SUMIFS(#REF!,#REF!,$B14,#REF!,BX$1)</f>
        <v>#REF!</v>
      </c>
      <c r="BY14" s="24" t="e">
        <f>SUMIFS(#REF!,#REF!,$B14,#REF!,BY$1)</f>
        <v>#REF!</v>
      </c>
      <c r="BZ14" s="24" t="e">
        <f>SUMIFS(#REF!,#REF!,$B14,#REF!,BZ$1)</f>
        <v>#REF!</v>
      </c>
      <c r="CA14" s="24" t="e">
        <f>SUMIFS(#REF!,#REF!,$B14,#REF!,CA$1)</f>
        <v>#REF!</v>
      </c>
      <c r="CB14" s="24" t="e">
        <f>SUMIFS(#REF!,#REF!,$B14,#REF!,CB$1)</f>
        <v>#REF!</v>
      </c>
      <c r="CC14" s="24" t="e">
        <f>SUMIFS(#REF!,#REF!,$B14,#REF!,CC$1)</f>
        <v>#REF!</v>
      </c>
      <c r="CD14" s="24" t="e">
        <f>SUMIFS(#REF!,#REF!,$B14,#REF!,CD$1)</f>
        <v>#REF!</v>
      </c>
      <c r="CE14" s="24" t="e">
        <f>SUMIFS(#REF!,#REF!,$B14,#REF!,CE$1)</f>
        <v>#REF!</v>
      </c>
      <c r="CF14" s="24" t="e">
        <f>SUMIFS(#REF!,#REF!,$B14,#REF!,CF$1)</f>
        <v>#REF!</v>
      </c>
      <c r="CG14" s="19" t="e">
        <f t="shared" si="0"/>
        <v>#REF!</v>
      </c>
    </row>
    <row r="15" spans="1:87" x14ac:dyDescent="0.45">
      <c r="A15" s="4" t="s">
        <v>1008</v>
      </c>
      <c r="B15" s="4" t="s">
        <v>1009</v>
      </c>
      <c r="C15" s="24" t="e">
        <f>SUMIFS(#REF!,#REF!,$B15,#REF!,C$1)</f>
        <v>#REF!</v>
      </c>
      <c r="D15" s="24" t="e">
        <f>SUMIFS(#REF!,#REF!,$B15,#REF!,D$1)</f>
        <v>#REF!</v>
      </c>
      <c r="E15" s="24" t="e">
        <f>SUMIFS(#REF!,#REF!,$B15,#REF!,E$1)</f>
        <v>#REF!</v>
      </c>
      <c r="F15" s="24" t="e">
        <f>SUMIFS(#REF!,#REF!,$B15,#REF!,F$1)</f>
        <v>#REF!</v>
      </c>
      <c r="G15" s="24" t="e">
        <f>SUMIFS(#REF!,#REF!,$B15,#REF!,G$1)</f>
        <v>#REF!</v>
      </c>
      <c r="H15" s="24" t="e">
        <f>SUMIFS(#REF!,#REF!,$B15,#REF!,H$1)</f>
        <v>#REF!</v>
      </c>
      <c r="I15" s="24" t="e">
        <f>SUMIFS(#REF!,#REF!,$B15,#REF!,I$1)</f>
        <v>#REF!</v>
      </c>
      <c r="J15" s="24" t="e">
        <f>SUMIFS(#REF!,#REF!,$B15,#REF!,J$1)</f>
        <v>#REF!</v>
      </c>
      <c r="K15" s="24" t="e">
        <f>SUMIFS(#REF!,#REF!,$B15,#REF!,K$1)</f>
        <v>#REF!</v>
      </c>
      <c r="L15" s="24" t="e">
        <f>SUMIFS(#REF!,#REF!,$B15,#REF!,L$1)</f>
        <v>#REF!</v>
      </c>
      <c r="M15" s="24" t="e">
        <f>SUMIFS(#REF!,#REF!,$B15,#REF!,M$1)</f>
        <v>#REF!</v>
      </c>
      <c r="N15" s="24" t="e">
        <f>SUMIFS(#REF!,#REF!,$B15,#REF!,N$1)</f>
        <v>#REF!</v>
      </c>
      <c r="O15" s="24" t="e">
        <f>SUMIFS(#REF!,#REF!,$B15,#REF!,O$1)</f>
        <v>#REF!</v>
      </c>
      <c r="P15" s="24" t="e">
        <f>SUMIFS(#REF!,#REF!,$B15,#REF!,P$1)</f>
        <v>#REF!</v>
      </c>
      <c r="Q15" s="24" t="e">
        <f>SUMIFS(#REF!,#REF!,$B15,#REF!,Q$1)</f>
        <v>#REF!</v>
      </c>
      <c r="R15" s="24" t="e">
        <f>SUMIFS(#REF!,#REF!,$B15,#REF!,R$1)</f>
        <v>#REF!</v>
      </c>
      <c r="S15" s="24" t="e">
        <f>SUMIFS(#REF!,#REF!,$B15,#REF!,S$1)</f>
        <v>#REF!</v>
      </c>
      <c r="T15" s="24" t="e">
        <f>SUMIFS(#REF!,#REF!,$B15,#REF!,T$1)</f>
        <v>#REF!</v>
      </c>
      <c r="U15" s="24" t="e">
        <f>SUMIFS(#REF!,#REF!,$B15,#REF!,U$1)</f>
        <v>#REF!</v>
      </c>
      <c r="V15" s="24" t="e">
        <f>SUMIFS(#REF!,#REF!,$B15,#REF!,V$1)</f>
        <v>#REF!</v>
      </c>
      <c r="W15" s="24" t="e">
        <f>SUMIFS(#REF!,#REF!,$B15,#REF!,W$1)</f>
        <v>#REF!</v>
      </c>
      <c r="X15" s="24" t="e">
        <f>SUMIFS(#REF!,#REF!,$B15,#REF!,X$1)</f>
        <v>#REF!</v>
      </c>
      <c r="Y15" s="24" t="e">
        <f>SUMIFS(#REF!,#REF!,$B15,#REF!,Y$1)</f>
        <v>#REF!</v>
      </c>
      <c r="Z15" s="24" t="e">
        <f>SUMIFS(#REF!,#REF!,$B15,#REF!,Z$1)</f>
        <v>#REF!</v>
      </c>
      <c r="AA15" s="24" t="e">
        <f>SUMIFS(#REF!,#REF!,$B15,#REF!,AA$1)</f>
        <v>#REF!</v>
      </c>
      <c r="AB15" s="24" t="e">
        <f>SUMIFS(#REF!,#REF!,$B15,#REF!,AB$1)</f>
        <v>#REF!</v>
      </c>
      <c r="AC15" s="24" t="e">
        <f>SUMIFS(#REF!,#REF!,$B15,#REF!,AC$1)</f>
        <v>#REF!</v>
      </c>
      <c r="AD15" s="24" t="e">
        <f>SUMIFS(#REF!,#REF!,$B15,#REF!,AD$1)</f>
        <v>#REF!</v>
      </c>
      <c r="AE15" s="24" t="e">
        <f>SUMIFS(#REF!,#REF!,$B15,#REF!,AE$1)</f>
        <v>#REF!</v>
      </c>
      <c r="AF15" s="24" t="e">
        <f>SUMIFS(#REF!,#REF!,$B15,#REF!,AF$1)</f>
        <v>#REF!</v>
      </c>
      <c r="AG15" s="24" t="e">
        <f>SUMIFS(#REF!,#REF!,$B15,#REF!,AG$1)</f>
        <v>#REF!</v>
      </c>
      <c r="AH15" s="24" t="e">
        <f>SUMIFS(#REF!,#REF!,$B15,#REF!,AH$1)</f>
        <v>#REF!</v>
      </c>
      <c r="AI15" s="24" t="e">
        <f>SUMIFS(#REF!,#REF!,$B15,#REF!,AI$1)</f>
        <v>#REF!</v>
      </c>
      <c r="AJ15" s="24" t="e">
        <f>SUMIFS(#REF!,#REF!,$B15,#REF!,AJ$1)</f>
        <v>#REF!</v>
      </c>
      <c r="AK15" s="24" t="e">
        <f>SUMIFS(#REF!,#REF!,$B15,#REF!,AK$1)</f>
        <v>#REF!</v>
      </c>
      <c r="AL15" s="24" t="e">
        <f>SUMIFS(#REF!,#REF!,$B15,#REF!,AL$1)</f>
        <v>#REF!</v>
      </c>
      <c r="AM15" s="24" t="e">
        <f>SUMIFS(#REF!,#REF!,$B15,#REF!,AM$1)</f>
        <v>#REF!</v>
      </c>
      <c r="AN15" s="24" t="e">
        <f>SUMIFS(#REF!,#REF!,$B15,#REF!,AN$1)</f>
        <v>#REF!</v>
      </c>
      <c r="AO15" s="24" t="e">
        <f>SUMIFS(#REF!,#REF!,$B15,#REF!,AO$1)</f>
        <v>#REF!</v>
      </c>
      <c r="AP15" s="24" t="e">
        <f>SUMIFS(#REF!,#REF!,$B15,#REF!,AP$1)</f>
        <v>#REF!</v>
      </c>
      <c r="AQ15" s="24" t="e">
        <f>SUMIFS(#REF!,#REF!,$B15,#REF!,AQ$1)</f>
        <v>#REF!</v>
      </c>
      <c r="AR15" s="24" t="e">
        <f>SUMIFS(#REF!,#REF!,$B15,#REF!,AR$1)</f>
        <v>#REF!</v>
      </c>
      <c r="AS15" s="24" t="e">
        <f>SUMIFS(#REF!,#REF!,$B15,#REF!,AS$1)</f>
        <v>#REF!</v>
      </c>
      <c r="AT15" s="24" t="e">
        <f>SUMIFS(#REF!,#REF!,$B15,#REF!,AT$1)</f>
        <v>#REF!</v>
      </c>
      <c r="AU15" s="24" t="e">
        <f>SUMIFS(#REF!,#REF!,$B15,#REF!,AU$1)</f>
        <v>#REF!</v>
      </c>
      <c r="AV15" s="24" t="e">
        <f>SUMIFS(#REF!,#REF!,$B15,#REF!,AV$1)</f>
        <v>#REF!</v>
      </c>
      <c r="AW15" s="24" t="e">
        <f>SUMIFS(#REF!,#REF!,$B15,#REF!,AW$1)</f>
        <v>#REF!</v>
      </c>
      <c r="AX15" s="24" t="e">
        <f>SUMIFS(#REF!,#REF!,$B15,#REF!,AX$1)</f>
        <v>#REF!</v>
      </c>
      <c r="AY15" s="24" t="e">
        <f>SUMIFS(#REF!,#REF!,$B15,#REF!,AY$1)</f>
        <v>#REF!</v>
      </c>
      <c r="AZ15" s="24" t="e">
        <f>SUMIFS(#REF!,#REF!,$B15,#REF!,AZ$1)</f>
        <v>#REF!</v>
      </c>
      <c r="BA15" s="24" t="e">
        <f>SUMIFS(#REF!,#REF!,$B15,#REF!,BA$1)</f>
        <v>#REF!</v>
      </c>
      <c r="BB15" s="24" t="e">
        <f>SUMIFS(#REF!,#REF!,$B15,#REF!,BB$1)</f>
        <v>#REF!</v>
      </c>
      <c r="BC15" s="24" t="e">
        <f>SUMIFS(#REF!,#REF!,$B15,#REF!,BC$1)</f>
        <v>#REF!</v>
      </c>
      <c r="BD15" s="24" t="e">
        <f>SUMIFS(#REF!,#REF!,$B15,#REF!,BD$1)</f>
        <v>#REF!</v>
      </c>
      <c r="BE15" s="24" t="e">
        <f>SUMIFS(#REF!,#REF!,$B15,#REF!,BE$1)</f>
        <v>#REF!</v>
      </c>
      <c r="BF15" s="24" t="e">
        <f>SUMIFS(#REF!,#REF!,$B15,#REF!,BF$1)</f>
        <v>#REF!</v>
      </c>
      <c r="BG15" s="24" t="e">
        <f>SUMIFS(#REF!,#REF!,$B15,#REF!,BG$1)</f>
        <v>#REF!</v>
      </c>
      <c r="BH15" s="24" t="e">
        <f>SUMIFS(#REF!,#REF!,$B15,#REF!,BH$1)</f>
        <v>#REF!</v>
      </c>
      <c r="BI15" s="24" t="e">
        <f>SUMIFS(#REF!,#REF!,$B15,#REF!,BI$1)</f>
        <v>#REF!</v>
      </c>
      <c r="BJ15" s="24" t="e">
        <f>SUMIFS(#REF!,#REF!,$B15,#REF!,BJ$1)</f>
        <v>#REF!</v>
      </c>
      <c r="BK15" s="24" t="e">
        <f>SUMIFS(#REF!,#REF!,$B15,#REF!,BK$1)</f>
        <v>#REF!</v>
      </c>
      <c r="BL15" s="24" t="e">
        <f>SUMIFS(#REF!,#REF!,$B15,#REF!,BL$1)</f>
        <v>#REF!</v>
      </c>
      <c r="BM15" s="24" t="e">
        <f>SUMIFS(#REF!,#REF!,$B15,#REF!,BM$1)</f>
        <v>#REF!</v>
      </c>
      <c r="BN15" s="24" t="e">
        <f>SUMIFS(#REF!,#REF!,$B15,#REF!,BN$1)</f>
        <v>#REF!</v>
      </c>
      <c r="BO15" s="24" t="e">
        <f>SUMIFS(#REF!,#REF!,$B15,#REF!,BO$1)</f>
        <v>#REF!</v>
      </c>
      <c r="BP15" s="24" t="e">
        <f>SUMIFS(#REF!,#REF!,$B15,#REF!,BP$1)</f>
        <v>#REF!</v>
      </c>
      <c r="BQ15" s="24" t="e">
        <f>SUMIFS(#REF!,#REF!,$B15,#REF!,BQ$1)</f>
        <v>#REF!</v>
      </c>
      <c r="BR15" s="24" t="e">
        <f>SUMIFS(#REF!,#REF!,$B15,#REF!,BR$1)</f>
        <v>#REF!</v>
      </c>
      <c r="BS15" s="24" t="e">
        <f>SUMIFS(#REF!,#REF!,$B15,#REF!,BS$1)</f>
        <v>#REF!</v>
      </c>
      <c r="BT15" s="24" t="e">
        <f>SUMIFS(#REF!,#REF!,$B15,#REF!,BT$1)</f>
        <v>#REF!</v>
      </c>
      <c r="BU15" s="24" t="e">
        <f>SUMIFS(#REF!,#REF!,$B15,#REF!,BU$1)</f>
        <v>#REF!</v>
      </c>
      <c r="BV15" s="24" t="e">
        <f>SUMIFS(#REF!,#REF!,$B15,#REF!,BV$1)</f>
        <v>#REF!</v>
      </c>
      <c r="BW15" s="24" t="e">
        <f>SUMIFS(#REF!,#REF!,$B15,#REF!,BW$1)</f>
        <v>#REF!</v>
      </c>
      <c r="BX15" s="24" t="e">
        <f>SUMIFS(#REF!,#REF!,$B15,#REF!,BX$1)</f>
        <v>#REF!</v>
      </c>
      <c r="BY15" s="24" t="e">
        <f>SUMIFS(#REF!,#REF!,$B15,#REF!,BY$1)</f>
        <v>#REF!</v>
      </c>
      <c r="BZ15" s="24" t="e">
        <f>SUMIFS(#REF!,#REF!,$B15,#REF!,BZ$1)</f>
        <v>#REF!</v>
      </c>
      <c r="CA15" s="24" t="e">
        <f>SUMIFS(#REF!,#REF!,$B15,#REF!,CA$1)</f>
        <v>#REF!</v>
      </c>
      <c r="CB15" s="24" t="e">
        <f>SUMIFS(#REF!,#REF!,$B15,#REF!,CB$1)</f>
        <v>#REF!</v>
      </c>
      <c r="CC15" s="24" t="e">
        <f>SUMIFS(#REF!,#REF!,$B15,#REF!,CC$1)</f>
        <v>#REF!</v>
      </c>
      <c r="CD15" s="24" t="e">
        <f>SUMIFS(#REF!,#REF!,$B15,#REF!,CD$1)</f>
        <v>#REF!</v>
      </c>
      <c r="CE15" s="24" t="e">
        <f>SUMIFS(#REF!,#REF!,$B15,#REF!,CE$1)</f>
        <v>#REF!</v>
      </c>
      <c r="CF15" s="24" t="e">
        <f>SUMIFS(#REF!,#REF!,$B15,#REF!,CF$1)</f>
        <v>#REF!</v>
      </c>
      <c r="CG15" s="19" t="e">
        <f t="shared" si="0"/>
        <v>#REF!</v>
      </c>
    </row>
    <row r="16" spans="1:87" x14ac:dyDescent="0.45">
      <c r="A16" s="4" t="s">
        <v>1011</v>
      </c>
      <c r="B16" s="4" t="s">
        <v>1012</v>
      </c>
      <c r="C16" s="24" t="e">
        <f>SUMIFS(#REF!,#REF!,$B16,#REF!,C$1)</f>
        <v>#REF!</v>
      </c>
      <c r="D16" s="24" t="e">
        <f>SUMIFS(#REF!,#REF!,$B16,#REF!,D$1)</f>
        <v>#REF!</v>
      </c>
      <c r="E16" s="24" t="e">
        <f>SUMIFS(#REF!,#REF!,$B16,#REF!,E$1)</f>
        <v>#REF!</v>
      </c>
      <c r="F16" s="24" t="e">
        <f>SUMIFS(#REF!,#REF!,$B16,#REF!,F$1)</f>
        <v>#REF!</v>
      </c>
      <c r="G16" s="24" t="e">
        <f>SUMIFS(#REF!,#REF!,$B16,#REF!,G$1)</f>
        <v>#REF!</v>
      </c>
      <c r="H16" s="24" t="e">
        <f>SUMIFS(#REF!,#REF!,$B16,#REF!,H$1)</f>
        <v>#REF!</v>
      </c>
      <c r="I16" s="24" t="e">
        <f>SUMIFS(#REF!,#REF!,$B16,#REF!,I$1)</f>
        <v>#REF!</v>
      </c>
      <c r="J16" s="24" t="e">
        <f>SUMIFS(#REF!,#REF!,$B16,#REF!,J$1)</f>
        <v>#REF!</v>
      </c>
      <c r="K16" s="24" t="e">
        <f>SUMIFS(#REF!,#REF!,$B16,#REF!,K$1)</f>
        <v>#REF!</v>
      </c>
      <c r="L16" s="24" t="e">
        <f>SUMIFS(#REF!,#REF!,$B16,#REF!,L$1)</f>
        <v>#REF!</v>
      </c>
      <c r="M16" s="24" t="e">
        <f>SUMIFS(#REF!,#REF!,$B16,#REF!,M$1)</f>
        <v>#REF!</v>
      </c>
      <c r="N16" s="24" t="e">
        <f>SUMIFS(#REF!,#REF!,$B16,#REF!,N$1)</f>
        <v>#REF!</v>
      </c>
      <c r="O16" s="24" t="e">
        <f>SUMIFS(#REF!,#REF!,$B16,#REF!,O$1)</f>
        <v>#REF!</v>
      </c>
      <c r="P16" s="24" t="e">
        <f>SUMIFS(#REF!,#REF!,$B16,#REF!,P$1)</f>
        <v>#REF!</v>
      </c>
      <c r="Q16" s="24" t="e">
        <f>SUMIFS(#REF!,#REF!,$B16,#REF!,Q$1)</f>
        <v>#REF!</v>
      </c>
      <c r="R16" s="24" t="e">
        <f>SUMIFS(#REF!,#REF!,$B16,#REF!,R$1)</f>
        <v>#REF!</v>
      </c>
      <c r="S16" s="24" t="e">
        <f>SUMIFS(#REF!,#REF!,$B16,#REF!,S$1)</f>
        <v>#REF!</v>
      </c>
      <c r="T16" s="24" t="e">
        <f>SUMIFS(#REF!,#REF!,$B16,#REF!,T$1)</f>
        <v>#REF!</v>
      </c>
      <c r="U16" s="24" t="e">
        <f>SUMIFS(#REF!,#REF!,$B16,#REF!,U$1)</f>
        <v>#REF!</v>
      </c>
      <c r="V16" s="24" t="e">
        <f>SUMIFS(#REF!,#REF!,$B16,#REF!,V$1)</f>
        <v>#REF!</v>
      </c>
      <c r="W16" s="24" t="e">
        <f>SUMIFS(#REF!,#REF!,$B16,#REF!,W$1)</f>
        <v>#REF!</v>
      </c>
      <c r="X16" s="24" t="e">
        <f>SUMIFS(#REF!,#REF!,$B16,#REF!,X$1)</f>
        <v>#REF!</v>
      </c>
      <c r="Y16" s="24" t="e">
        <f>SUMIFS(#REF!,#REF!,$B16,#REF!,Y$1)</f>
        <v>#REF!</v>
      </c>
      <c r="Z16" s="24" t="e">
        <f>SUMIFS(#REF!,#REF!,$B16,#REF!,Z$1)</f>
        <v>#REF!</v>
      </c>
      <c r="AA16" s="24" t="e">
        <f>SUMIFS(#REF!,#REF!,$B16,#REF!,AA$1)</f>
        <v>#REF!</v>
      </c>
      <c r="AB16" s="24" t="e">
        <f>SUMIFS(#REF!,#REF!,$B16,#REF!,AB$1)</f>
        <v>#REF!</v>
      </c>
      <c r="AC16" s="24" t="e">
        <f>SUMIFS(#REF!,#REF!,$B16,#REF!,AC$1)</f>
        <v>#REF!</v>
      </c>
      <c r="AD16" s="24" t="e">
        <f>SUMIFS(#REF!,#REF!,$B16,#REF!,AD$1)</f>
        <v>#REF!</v>
      </c>
      <c r="AE16" s="24" t="e">
        <f>SUMIFS(#REF!,#REF!,$B16,#REF!,AE$1)</f>
        <v>#REF!</v>
      </c>
      <c r="AF16" s="24" t="e">
        <f>SUMIFS(#REF!,#REF!,$B16,#REF!,AF$1)</f>
        <v>#REF!</v>
      </c>
      <c r="AG16" s="24" t="e">
        <f>SUMIFS(#REF!,#REF!,$B16,#REF!,AG$1)</f>
        <v>#REF!</v>
      </c>
      <c r="AH16" s="24" t="e">
        <f>SUMIFS(#REF!,#REF!,$B16,#REF!,AH$1)</f>
        <v>#REF!</v>
      </c>
      <c r="AI16" s="24" t="e">
        <f>SUMIFS(#REF!,#REF!,$B16,#REF!,AI$1)</f>
        <v>#REF!</v>
      </c>
      <c r="AJ16" s="24" t="e">
        <f>SUMIFS(#REF!,#REF!,$B16,#REF!,AJ$1)</f>
        <v>#REF!</v>
      </c>
      <c r="AK16" s="24" t="e">
        <f>SUMIFS(#REF!,#REF!,$B16,#REF!,AK$1)</f>
        <v>#REF!</v>
      </c>
      <c r="AL16" s="24" t="e">
        <f>SUMIFS(#REF!,#REF!,$B16,#REF!,AL$1)</f>
        <v>#REF!</v>
      </c>
      <c r="AM16" s="24" t="e">
        <f>SUMIFS(#REF!,#REF!,$B16,#REF!,AM$1)</f>
        <v>#REF!</v>
      </c>
      <c r="AN16" s="24" t="e">
        <f>SUMIFS(#REF!,#REF!,$B16,#REF!,AN$1)</f>
        <v>#REF!</v>
      </c>
      <c r="AO16" s="24" t="e">
        <f>SUMIFS(#REF!,#REF!,$B16,#REF!,AO$1)</f>
        <v>#REF!</v>
      </c>
      <c r="AP16" s="24" t="e">
        <f>SUMIFS(#REF!,#REF!,$B16,#REF!,AP$1)</f>
        <v>#REF!</v>
      </c>
      <c r="AQ16" s="24" t="e">
        <f>SUMIFS(#REF!,#REF!,$B16,#REF!,AQ$1)</f>
        <v>#REF!</v>
      </c>
      <c r="AR16" s="24" t="e">
        <f>SUMIFS(#REF!,#REF!,$B16,#REF!,AR$1)</f>
        <v>#REF!</v>
      </c>
      <c r="AS16" s="24" t="e">
        <f>SUMIFS(#REF!,#REF!,$B16,#REF!,AS$1)</f>
        <v>#REF!</v>
      </c>
      <c r="AT16" s="24" t="e">
        <f>SUMIFS(#REF!,#REF!,$B16,#REF!,AT$1)</f>
        <v>#REF!</v>
      </c>
      <c r="AU16" s="24" t="e">
        <f>SUMIFS(#REF!,#REF!,$B16,#REF!,AU$1)</f>
        <v>#REF!</v>
      </c>
      <c r="AV16" s="24" t="e">
        <f>SUMIFS(#REF!,#REF!,$B16,#REF!,AV$1)</f>
        <v>#REF!</v>
      </c>
      <c r="AW16" s="24" t="e">
        <f>SUMIFS(#REF!,#REF!,$B16,#REF!,AW$1)</f>
        <v>#REF!</v>
      </c>
      <c r="AX16" s="24" t="e">
        <f>SUMIFS(#REF!,#REF!,$B16,#REF!,AX$1)</f>
        <v>#REF!</v>
      </c>
      <c r="AY16" s="24" t="e">
        <f>SUMIFS(#REF!,#REF!,$B16,#REF!,AY$1)</f>
        <v>#REF!</v>
      </c>
      <c r="AZ16" s="24" t="e">
        <f>SUMIFS(#REF!,#REF!,$B16,#REF!,AZ$1)</f>
        <v>#REF!</v>
      </c>
      <c r="BA16" s="24" t="e">
        <f>SUMIFS(#REF!,#REF!,$B16,#REF!,BA$1)</f>
        <v>#REF!</v>
      </c>
      <c r="BB16" s="24" t="e">
        <f>SUMIFS(#REF!,#REF!,$B16,#REF!,BB$1)</f>
        <v>#REF!</v>
      </c>
      <c r="BC16" s="24" t="e">
        <f>SUMIFS(#REF!,#REF!,$B16,#REF!,BC$1)</f>
        <v>#REF!</v>
      </c>
      <c r="BD16" s="24" t="e">
        <f>SUMIFS(#REF!,#REF!,$B16,#REF!,BD$1)</f>
        <v>#REF!</v>
      </c>
      <c r="BE16" s="24" t="e">
        <f>SUMIFS(#REF!,#REF!,$B16,#REF!,BE$1)</f>
        <v>#REF!</v>
      </c>
      <c r="BF16" s="24" t="e">
        <f>SUMIFS(#REF!,#REF!,$B16,#REF!,BF$1)</f>
        <v>#REF!</v>
      </c>
      <c r="BG16" s="24" t="e">
        <f>SUMIFS(#REF!,#REF!,$B16,#REF!,BG$1)</f>
        <v>#REF!</v>
      </c>
      <c r="BH16" s="24" t="e">
        <f>SUMIFS(#REF!,#REF!,$B16,#REF!,BH$1)</f>
        <v>#REF!</v>
      </c>
      <c r="BI16" s="24" t="e">
        <f>SUMIFS(#REF!,#REF!,$B16,#REF!,BI$1)</f>
        <v>#REF!</v>
      </c>
      <c r="BJ16" s="24" t="e">
        <f>SUMIFS(#REF!,#REF!,$B16,#REF!,BJ$1)</f>
        <v>#REF!</v>
      </c>
      <c r="BK16" s="24" t="e">
        <f>SUMIFS(#REF!,#REF!,$B16,#REF!,BK$1)</f>
        <v>#REF!</v>
      </c>
      <c r="BL16" s="24" t="e">
        <f>SUMIFS(#REF!,#REF!,$B16,#REF!,BL$1)</f>
        <v>#REF!</v>
      </c>
      <c r="BM16" s="24" t="e">
        <f>SUMIFS(#REF!,#REF!,$B16,#REF!,BM$1)</f>
        <v>#REF!</v>
      </c>
      <c r="BN16" s="24" t="e">
        <f>SUMIFS(#REF!,#REF!,$B16,#REF!,BN$1)</f>
        <v>#REF!</v>
      </c>
      <c r="BO16" s="24" t="e">
        <f>SUMIFS(#REF!,#REF!,$B16,#REF!,BO$1)</f>
        <v>#REF!</v>
      </c>
      <c r="BP16" s="24" t="e">
        <f>SUMIFS(#REF!,#REF!,$B16,#REF!,BP$1)</f>
        <v>#REF!</v>
      </c>
      <c r="BQ16" s="24" t="e">
        <f>SUMIFS(#REF!,#REF!,$B16,#REF!,BQ$1)</f>
        <v>#REF!</v>
      </c>
      <c r="BR16" s="24" t="e">
        <f>SUMIFS(#REF!,#REF!,$B16,#REF!,BR$1)</f>
        <v>#REF!</v>
      </c>
      <c r="BS16" s="24" t="e">
        <f>SUMIFS(#REF!,#REF!,$B16,#REF!,BS$1)</f>
        <v>#REF!</v>
      </c>
      <c r="BT16" s="24" t="e">
        <f>SUMIFS(#REF!,#REF!,$B16,#REF!,BT$1)</f>
        <v>#REF!</v>
      </c>
      <c r="BU16" s="24" t="e">
        <f>SUMIFS(#REF!,#REF!,$B16,#REF!,BU$1)</f>
        <v>#REF!</v>
      </c>
      <c r="BV16" s="24" t="e">
        <f>SUMIFS(#REF!,#REF!,$B16,#REF!,BV$1)</f>
        <v>#REF!</v>
      </c>
      <c r="BW16" s="24" t="e">
        <f>SUMIFS(#REF!,#REF!,$B16,#REF!,BW$1)</f>
        <v>#REF!</v>
      </c>
      <c r="BX16" s="24" t="e">
        <f>SUMIFS(#REF!,#REF!,$B16,#REF!,BX$1)</f>
        <v>#REF!</v>
      </c>
      <c r="BY16" s="24" t="e">
        <f>SUMIFS(#REF!,#REF!,$B16,#REF!,BY$1)</f>
        <v>#REF!</v>
      </c>
      <c r="BZ16" s="24" t="e">
        <f>SUMIFS(#REF!,#REF!,$B16,#REF!,BZ$1)</f>
        <v>#REF!</v>
      </c>
      <c r="CA16" s="24" t="e">
        <f>SUMIFS(#REF!,#REF!,$B16,#REF!,CA$1)</f>
        <v>#REF!</v>
      </c>
      <c r="CB16" s="24" t="e">
        <f>SUMIFS(#REF!,#REF!,$B16,#REF!,CB$1)</f>
        <v>#REF!</v>
      </c>
      <c r="CC16" s="24" t="e">
        <f>SUMIFS(#REF!,#REF!,$B16,#REF!,CC$1)</f>
        <v>#REF!</v>
      </c>
      <c r="CD16" s="24" t="e">
        <f>SUMIFS(#REF!,#REF!,$B16,#REF!,CD$1)</f>
        <v>#REF!</v>
      </c>
      <c r="CE16" s="24" t="e">
        <f>SUMIFS(#REF!,#REF!,$B16,#REF!,CE$1)</f>
        <v>#REF!</v>
      </c>
      <c r="CF16" s="24" t="e">
        <f>SUMIFS(#REF!,#REF!,$B16,#REF!,CF$1)</f>
        <v>#REF!</v>
      </c>
      <c r="CG16" s="19" t="e">
        <f t="shared" si="0"/>
        <v>#REF!</v>
      </c>
    </row>
    <row r="17" spans="1:85" x14ac:dyDescent="0.45">
      <c r="A17" s="4" t="s">
        <v>1014</v>
      </c>
      <c r="B17" s="4" t="s">
        <v>1015</v>
      </c>
      <c r="C17" s="24" t="e">
        <f>SUMIFS(#REF!,#REF!,$B17,#REF!,C$1)</f>
        <v>#REF!</v>
      </c>
      <c r="D17" s="24" t="e">
        <f>SUMIFS(#REF!,#REF!,$B17,#REF!,D$1)</f>
        <v>#REF!</v>
      </c>
      <c r="E17" s="24" t="e">
        <f>SUMIFS(#REF!,#REF!,$B17,#REF!,E$1)</f>
        <v>#REF!</v>
      </c>
      <c r="F17" s="24" t="e">
        <f>SUMIFS(#REF!,#REF!,$B17,#REF!,F$1)</f>
        <v>#REF!</v>
      </c>
      <c r="G17" s="24" t="e">
        <f>SUMIFS(#REF!,#REF!,$B17,#REF!,G$1)</f>
        <v>#REF!</v>
      </c>
      <c r="H17" s="24" t="e">
        <f>SUMIFS(#REF!,#REF!,$B17,#REF!,H$1)</f>
        <v>#REF!</v>
      </c>
      <c r="I17" s="24" t="e">
        <f>SUMIFS(#REF!,#REF!,$B17,#REF!,I$1)</f>
        <v>#REF!</v>
      </c>
      <c r="J17" s="24" t="e">
        <f>SUMIFS(#REF!,#REF!,$B17,#REF!,J$1)</f>
        <v>#REF!</v>
      </c>
      <c r="K17" s="24" t="e">
        <f>SUMIFS(#REF!,#REF!,$B17,#REF!,K$1)</f>
        <v>#REF!</v>
      </c>
      <c r="L17" s="24" t="e">
        <f>SUMIFS(#REF!,#REF!,$B17,#REF!,L$1)</f>
        <v>#REF!</v>
      </c>
      <c r="M17" s="24" t="e">
        <f>SUMIFS(#REF!,#REF!,$B17,#REF!,M$1)</f>
        <v>#REF!</v>
      </c>
      <c r="N17" s="24" t="e">
        <f>SUMIFS(#REF!,#REF!,$B17,#REF!,N$1)</f>
        <v>#REF!</v>
      </c>
      <c r="O17" s="24" t="e">
        <f>SUMIFS(#REF!,#REF!,$B17,#REF!,O$1)</f>
        <v>#REF!</v>
      </c>
      <c r="P17" s="24" t="e">
        <f>SUMIFS(#REF!,#REF!,$B17,#REF!,P$1)</f>
        <v>#REF!</v>
      </c>
      <c r="Q17" s="24" t="e">
        <f>SUMIFS(#REF!,#REF!,$B17,#REF!,Q$1)</f>
        <v>#REF!</v>
      </c>
      <c r="R17" s="24" t="e">
        <f>SUMIFS(#REF!,#REF!,$B17,#REF!,R$1)</f>
        <v>#REF!</v>
      </c>
      <c r="S17" s="24" t="e">
        <f>SUMIFS(#REF!,#REF!,$B17,#REF!,S$1)</f>
        <v>#REF!</v>
      </c>
      <c r="T17" s="24" t="e">
        <f>SUMIFS(#REF!,#REF!,$B17,#REF!,T$1)</f>
        <v>#REF!</v>
      </c>
      <c r="U17" s="24" t="e">
        <f>SUMIFS(#REF!,#REF!,$B17,#REF!,U$1)</f>
        <v>#REF!</v>
      </c>
      <c r="V17" s="24" t="e">
        <f>SUMIFS(#REF!,#REF!,$B17,#REF!,V$1)</f>
        <v>#REF!</v>
      </c>
      <c r="W17" s="24" t="e">
        <f>SUMIFS(#REF!,#REF!,$B17,#REF!,W$1)</f>
        <v>#REF!</v>
      </c>
      <c r="X17" s="24" t="e">
        <f>SUMIFS(#REF!,#REF!,$B17,#REF!,X$1)</f>
        <v>#REF!</v>
      </c>
      <c r="Y17" s="24" t="e">
        <f>SUMIFS(#REF!,#REF!,$B17,#REF!,Y$1)</f>
        <v>#REF!</v>
      </c>
      <c r="Z17" s="24" t="e">
        <f>SUMIFS(#REF!,#REF!,$B17,#REF!,Z$1)</f>
        <v>#REF!</v>
      </c>
      <c r="AA17" s="24" t="e">
        <f>SUMIFS(#REF!,#REF!,$B17,#REF!,AA$1)</f>
        <v>#REF!</v>
      </c>
      <c r="AB17" s="24" t="e">
        <f>SUMIFS(#REF!,#REF!,$B17,#REF!,AB$1)</f>
        <v>#REF!</v>
      </c>
      <c r="AC17" s="24" t="e">
        <f>SUMIFS(#REF!,#REF!,$B17,#REF!,AC$1)</f>
        <v>#REF!</v>
      </c>
      <c r="AD17" s="24" t="e">
        <f>SUMIFS(#REF!,#REF!,$B17,#REF!,AD$1)</f>
        <v>#REF!</v>
      </c>
      <c r="AE17" s="24" t="e">
        <f>SUMIFS(#REF!,#REF!,$B17,#REF!,AE$1)</f>
        <v>#REF!</v>
      </c>
      <c r="AF17" s="24" t="e">
        <f>SUMIFS(#REF!,#REF!,$B17,#REF!,AF$1)</f>
        <v>#REF!</v>
      </c>
      <c r="AG17" s="24" t="e">
        <f>SUMIFS(#REF!,#REF!,$B17,#REF!,AG$1)</f>
        <v>#REF!</v>
      </c>
      <c r="AH17" s="24" t="e">
        <f>SUMIFS(#REF!,#REF!,$B17,#REF!,AH$1)</f>
        <v>#REF!</v>
      </c>
      <c r="AI17" s="24" t="e">
        <f>SUMIFS(#REF!,#REF!,$B17,#REF!,AI$1)</f>
        <v>#REF!</v>
      </c>
      <c r="AJ17" s="24" t="e">
        <f>SUMIFS(#REF!,#REF!,$B17,#REF!,AJ$1)</f>
        <v>#REF!</v>
      </c>
      <c r="AK17" s="24" t="e">
        <f>SUMIFS(#REF!,#REF!,$B17,#REF!,AK$1)</f>
        <v>#REF!</v>
      </c>
      <c r="AL17" s="24" t="e">
        <f>SUMIFS(#REF!,#REF!,$B17,#REF!,AL$1)</f>
        <v>#REF!</v>
      </c>
      <c r="AM17" s="24" t="e">
        <f>SUMIFS(#REF!,#REF!,$B17,#REF!,AM$1)</f>
        <v>#REF!</v>
      </c>
      <c r="AN17" s="24" t="e">
        <f>SUMIFS(#REF!,#REF!,$B17,#REF!,AN$1)</f>
        <v>#REF!</v>
      </c>
      <c r="AO17" s="24" t="e">
        <f>SUMIFS(#REF!,#REF!,$B17,#REF!,AO$1)</f>
        <v>#REF!</v>
      </c>
      <c r="AP17" s="24" t="e">
        <f>SUMIFS(#REF!,#REF!,$B17,#REF!,AP$1)</f>
        <v>#REF!</v>
      </c>
      <c r="AQ17" s="24" t="e">
        <f>SUMIFS(#REF!,#REF!,$B17,#REF!,AQ$1)</f>
        <v>#REF!</v>
      </c>
      <c r="AR17" s="24" t="e">
        <f>SUMIFS(#REF!,#REF!,$B17,#REF!,AR$1)</f>
        <v>#REF!</v>
      </c>
      <c r="AS17" s="24" t="e">
        <f>SUMIFS(#REF!,#REF!,$B17,#REF!,AS$1)</f>
        <v>#REF!</v>
      </c>
      <c r="AT17" s="24" t="e">
        <f>SUMIFS(#REF!,#REF!,$B17,#REF!,AT$1)</f>
        <v>#REF!</v>
      </c>
      <c r="AU17" s="24" t="e">
        <f>SUMIFS(#REF!,#REF!,$B17,#REF!,AU$1)</f>
        <v>#REF!</v>
      </c>
      <c r="AV17" s="24" t="e">
        <f>SUMIFS(#REF!,#REF!,$B17,#REF!,AV$1)</f>
        <v>#REF!</v>
      </c>
      <c r="AW17" s="24" t="e">
        <f>SUMIFS(#REF!,#REF!,$B17,#REF!,AW$1)</f>
        <v>#REF!</v>
      </c>
      <c r="AX17" s="24" t="e">
        <f>SUMIFS(#REF!,#REF!,$B17,#REF!,AX$1)</f>
        <v>#REF!</v>
      </c>
      <c r="AY17" s="24" t="e">
        <f>SUMIFS(#REF!,#REF!,$B17,#REF!,AY$1)</f>
        <v>#REF!</v>
      </c>
      <c r="AZ17" s="24" t="e">
        <f>SUMIFS(#REF!,#REF!,$B17,#REF!,AZ$1)</f>
        <v>#REF!</v>
      </c>
      <c r="BA17" s="24" t="e">
        <f>SUMIFS(#REF!,#REF!,$B17,#REF!,BA$1)</f>
        <v>#REF!</v>
      </c>
      <c r="BB17" s="24" t="e">
        <f>SUMIFS(#REF!,#REF!,$B17,#REF!,BB$1)</f>
        <v>#REF!</v>
      </c>
      <c r="BC17" s="24" t="e">
        <f>SUMIFS(#REF!,#REF!,$B17,#REF!,BC$1)</f>
        <v>#REF!</v>
      </c>
      <c r="BD17" s="24" t="e">
        <f>SUMIFS(#REF!,#REF!,$B17,#REF!,BD$1)</f>
        <v>#REF!</v>
      </c>
      <c r="BE17" s="24" t="e">
        <f>SUMIFS(#REF!,#REF!,$B17,#REF!,BE$1)</f>
        <v>#REF!</v>
      </c>
      <c r="BF17" s="24" t="e">
        <f>SUMIFS(#REF!,#REF!,$B17,#REF!,BF$1)</f>
        <v>#REF!</v>
      </c>
      <c r="BG17" s="24" t="e">
        <f>SUMIFS(#REF!,#REF!,$B17,#REF!,BG$1)</f>
        <v>#REF!</v>
      </c>
      <c r="BH17" s="24" t="e">
        <f>SUMIFS(#REF!,#REF!,$B17,#REF!,BH$1)</f>
        <v>#REF!</v>
      </c>
      <c r="BI17" s="24" t="e">
        <f>SUMIFS(#REF!,#REF!,$B17,#REF!,BI$1)</f>
        <v>#REF!</v>
      </c>
      <c r="BJ17" s="24" t="e">
        <f>SUMIFS(#REF!,#REF!,$B17,#REF!,BJ$1)</f>
        <v>#REF!</v>
      </c>
      <c r="BK17" s="24" t="e">
        <f>SUMIFS(#REF!,#REF!,$B17,#REF!,BK$1)</f>
        <v>#REF!</v>
      </c>
      <c r="BL17" s="24" t="e">
        <f>SUMIFS(#REF!,#REF!,$B17,#REF!,BL$1)</f>
        <v>#REF!</v>
      </c>
      <c r="BM17" s="24" t="e">
        <f>SUMIFS(#REF!,#REF!,$B17,#REF!,BM$1)</f>
        <v>#REF!</v>
      </c>
      <c r="BN17" s="24" t="e">
        <f>SUMIFS(#REF!,#REF!,$B17,#REF!,BN$1)</f>
        <v>#REF!</v>
      </c>
      <c r="BO17" s="24" t="e">
        <f>SUMIFS(#REF!,#REF!,$B17,#REF!,BO$1)</f>
        <v>#REF!</v>
      </c>
      <c r="BP17" s="24" t="e">
        <f>SUMIFS(#REF!,#REF!,$B17,#REF!,BP$1)</f>
        <v>#REF!</v>
      </c>
      <c r="BQ17" s="24" t="e">
        <f>SUMIFS(#REF!,#REF!,$B17,#REF!,BQ$1)</f>
        <v>#REF!</v>
      </c>
      <c r="BR17" s="24" t="e">
        <f>SUMIFS(#REF!,#REF!,$B17,#REF!,BR$1)</f>
        <v>#REF!</v>
      </c>
      <c r="BS17" s="24" t="e">
        <f>SUMIFS(#REF!,#REF!,$B17,#REF!,BS$1)</f>
        <v>#REF!</v>
      </c>
      <c r="BT17" s="24" t="e">
        <f>SUMIFS(#REF!,#REF!,$B17,#REF!,BT$1)</f>
        <v>#REF!</v>
      </c>
      <c r="BU17" s="24" t="e">
        <f>SUMIFS(#REF!,#REF!,$B17,#REF!,BU$1)</f>
        <v>#REF!</v>
      </c>
      <c r="BV17" s="24" t="e">
        <f>SUMIFS(#REF!,#REF!,$B17,#REF!,BV$1)</f>
        <v>#REF!</v>
      </c>
      <c r="BW17" s="24" t="e">
        <f>SUMIFS(#REF!,#REF!,$B17,#REF!,BW$1)</f>
        <v>#REF!</v>
      </c>
      <c r="BX17" s="24" t="e">
        <f>SUMIFS(#REF!,#REF!,$B17,#REF!,BX$1)</f>
        <v>#REF!</v>
      </c>
      <c r="BY17" s="24" t="e">
        <f>SUMIFS(#REF!,#REF!,$B17,#REF!,BY$1)</f>
        <v>#REF!</v>
      </c>
      <c r="BZ17" s="24" t="e">
        <f>SUMIFS(#REF!,#REF!,$B17,#REF!,BZ$1)</f>
        <v>#REF!</v>
      </c>
      <c r="CA17" s="24" t="e">
        <f>SUMIFS(#REF!,#REF!,$B17,#REF!,CA$1)</f>
        <v>#REF!</v>
      </c>
      <c r="CB17" s="24" t="e">
        <f>SUMIFS(#REF!,#REF!,$B17,#REF!,CB$1)</f>
        <v>#REF!</v>
      </c>
      <c r="CC17" s="24" t="e">
        <f>SUMIFS(#REF!,#REF!,$B17,#REF!,CC$1)</f>
        <v>#REF!</v>
      </c>
      <c r="CD17" s="24" t="e">
        <f>SUMIFS(#REF!,#REF!,$B17,#REF!,CD$1)</f>
        <v>#REF!</v>
      </c>
      <c r="CE17" s="24" t="e">
        <f>SUMIFS(#REF!,#REF!,$B17,#REF!,CE$1)</f>
        <v>#REF!</v>
      </c>
      <c r="CF17" s="24" t="e">
        <f>SUMIFS(#REF!,#REF!,$B17,#REF!,CF$1)</f>
        <v>#REF!</v>
      </c>
      <c r="CG17" s="19" t="e">
        <f t="shared" si="0"/>
        <v>#REF!</v>
      </c>
    </row>
    <row r="18" spans="1:85" x14ac:dyDescent="0.45">
      <c r="A18" s="4" t="s">
        <v>1017</v>
      </c>
      <c r="B18" s="4" t="s">
        <v>1018</v>
      </c>
      <c r="C18" s="24" t="e">
        <f>SUMIFS(#REF!,#REF!,$B18,#REF!,C$1)</f>
        <v>#REF!</v>
      </c>
      <c r="D18" s="24" t="e">
        <f>SUMIFS(#REF!,#REF!,$B18,#REF!,D$1)</f>
        <v>#REF!</v>
      </c>
      <c r="E18" s="24" t="e">
        <f>SUMIFS(#REF!,#REF!,$B18,#REF!,E$1)</f>
        <v>#REF!</v>
      </c>
      <c r="F18" s="24" t="e">
        <f>SUMIFS(#REF!,#REF!,$B18,#REF!,F$1)</f>
        <v>#REF!</v>
      </c>
      <c r="G18" s="24" t="e">
        <f>SUMIFS(#REF!,#REF!,$B18,#REF!,G$1)</f>
        <v>#REF!</v>
      </c>
      <c r="H18" s="24" t="e">
        <f>SUMIFS(#REF!,#REF!,$B18,#REF!,H$1)</f>
        <v>#REF!</v>
      </c>
      <c r="I18" s="24" t="e">
        <f>SUMIFS(#REF!,#REF!,$B18,#REF!,I$1)</f>
        <v>#REF!</v>
      </c>
      <c r="J18" s="24" t="e">
        <f>SUMIFS(#REF!,#REF!,$B18,#REF!,J$1)</f>
        <v>#REF!</v>
      </c>
      <c r="K18" s="24" t="e">
        <f>SUMIFS(#REF!,#REF!,$B18,#REF!,K$1)</f>
        <v>#REF!</v>
      </c>
      <c r="L18" s="24" t="e">
        <f>SUMIFS(#REF!,#REF!,$B18,#REF!,L$1)</f>
        <v>#REF!</v>
      </c>
      <c r="M18" s="24" t="e">
        <f>SUMIFS(#REF!,#REF!,$B18,#REF!,M$1)</f>
        <v>#REF!</v>
      </c>
      <c r="N18" s="24" t="e">
        <f>SUMIFS(#REF!,#REF!,$B18,#REF!,N$1)</f>
        <v>#REF!</v>
      </c>
      <c r="O18" s="24" t="e">
        <f>SUMIFS(#REF!,#REF!,$B18,#REF!,O$1)</f>
        <v>#REF!</v>
      </c>
      <c r="P18" s="24" t="e">
        <f>SUMIFS(#REF!,#REF!,$B18,#REF!,P$1)</f>
        <v>#REF!</v>
      </c>
      <c r="Q18" s="24" t="e">
        <f>SUMIFS(#REF!,#REF!,$B18,#REF!,Q$1)</f>
        <v>#REF!</v>
      </c>
      <c r="R18" s="24" t="e">
        <f>SUMIFS(#REF!,#REF!,$B18,#REF!,R$1)</f>
        <v>#REF!</v>
      </c>
      <c r="S18" s="24" t="e">
        <f>SUMIFS(#REF!,#REF!,$B18,#REF!,S$1)</f>
        <v>#REF!</v>
      </c>
      <c r="T18" s="24" t="e">
        <f>SUMIFS(#REF!,#REF!,$B18,#REF!,T$1)</f>
        <v>#REF!</v>
      </c>
      <c r="U18" s="24" t="e">
        <f>SUMIFS(#REF!,#REF!,$B18,#REF!,U$1)</f>
        <v>#REF!</v>
      </c>
      <c r="V18" s="24" t="e">
        <f>SUMIFS(#REF!,#REF!,$B18,#REF!,V$1)</f>
        <v>#REF!</v>
      </c>
      <c r="W18" s="24" t="e">
        <f>SUMIFS(#REF!,#REF!,$B18,#REF!,W$1)</f>
        <v>#REF!</v>
      </c>
      <c r="X18" s="24" t="e">
        <f>SUMIFS(#REF!,#REF!,$B18,#REF!,X$1)</f>
        <v>#REF!</v>
      </c>
      <c r="Y18" s="24" t="e">
        <f>SUMIFS(#REF!,#REF!,$B18,#REF!,Y$1)</f>
        <v>#REF!</v>
      </c>
      <c r="Z18" s="24" t="e">
        <f>SUMIFS(#REF!,#REF!,$B18,#REF!,Z$1)</f>
        <v>#REF!</v>
      </c>
      <c r="AA18" s="24" t="e">
        <f>SUMIFS(#REF!,#REF!,$B18,#REF!,AA$1)</f>
        <v>#REF!</v>
      </c>
      <c r="AB18" s="24" t="e">
        <f>SUMIFS(#REF!,#REF!,$B18,#REF!,AB$1)</f>
        <v>#REF!</v>
      </c>
      <c r="AC18" s="24" t="e">
        <f>SUMIFS(#REF!,#REF!,$B18,#REF!,AC$1)</f>
        <v>#REF!</v>
      </c>
      <c r="AD18" s="24" t="e">
        <f>SUMIFS(#REF!,#REF!,$B18,#REF!,AD$1)</f>
        <v>#REF!</v>
      </c>
      <c r="AE18" s="24" t="e">
        <f>SUMIFS(#REF!,#REF!,$B18,#REF!,AE$1)</f>
        <v>#REF!</v>
      </c>
      <c r="AF18" s="24" t="e">
        <f>SUMIFS(#REF!,#REF!,$B18,#REF!,AF$1)</f>
        <v>#REF!</v>
      </c>
      <c r="AG18" s="24" t="e">
        <f>SUMIFS(#REF!,#REF!,$B18,#REF!,AG$1)</f>
        <v>#REF!</v>
      </c>
      <c r="AH18" s="24" t="e">
        <f>SUMIFS(#REF!,#REF!,$B18,#REF!,AH$1)</f>
        <v>#REF!</v>
      </c>
      <c r="AI18" s="24" t="e">
        <f>SUMIFS(#REF!,#REF!,$B18,#REF!,AI$1)</f>
        <v>#REF!</v>
      </c>
      <c r="AJ18" s="24" t="e">
        <f>SUMIFS(#REF!,#REF!,$B18,#REF!,AJ$1)</f>
        <v>#REF!</v>
      </c>
      <c r="AK18" s="24" t="e">
        <f>SUMIFS(#REF!,#REF!,$B18,#REF!,AK$1)</f>
        <v>#REF!</v>
      </c>
      <c r="AL18" s="24" t="e">
        <f>SUMIFS(#REF!,#REF!,$B18,#REF!,AL$1)</f>
        <v>#REF!</v>
      </c>
      <c r="AM18" s="24" t="e">
        <f>SUMIFS(#REF!,#REF!,$B18,#REF!,AM$1)</f>
        <v>#REF!</v>
      </c>
      <c r="AN18" s="24" t="e">
        <f>SUMIFS(#REF!,#REF!,$B18,#REF!,AN$1)</f>
        <v>#REF!</v>
      </c>
      <c r="AO18" s="24" t="e">
        <f>SUMIFS(#REF!,#REF!,$B18,#REF!,AO$1)</f>
        <v>#REF!</v>
      </c>
      <c r="AP18" s="24" t="e">
        <f>SUMIFS(#REF!,#REF!,$B18,#REF!,AP$1)</f>
        <v>#REF!</v>
      </c>
      <c r="AQ18" s="24" t="e">
        <f>SUMIFS(#REF!,#REF!,$B18,#REF!,AQ$1)</f>
        <v>#REF!</v>
      </c>
      <c r="AR18" s="24" t="e">
        <f>SUMIFS(#REF!,#REF!,$B18,#REF!,AR$1)</f>
        <v>#REF!</v>
      </c>
      <c r="AS18" s="24" t="e">
        <f>SUMIFS(#REF!,#REF!,$B18,#REF!,AS$1)</f>
        <v>#REF!</v>
      </c>
      <c r="AT18" s="24" t="e">
        <f>SUMIFS(#REF!,#REF!,$B18,#REF!,AT$1)</f>
        <v>#REF!</v>
      </c>
      <c r="AU18" s="24" t="e">
        <f>SUMIFS(#REF!,#REF!,$B18,#REF!,AU$1)</f>
        <v>#REF!</v>
      </c>
      <c r="AV18" s="24" t="e">
        <f>SUMIFS(#REF!,#REF!,$B18,#REF!,AV$1)</f>
        <v>#REF!</v>
      </c>
      <c r="AW18" s="24" t="e">
        <f>SUMIFS(#REF!,#REF!,$B18,#REF!,AW$1)</f>
        <v>#REF!</v>
      </c>
      <c r="AX18" s="24" t="e">
        <f>SUMIFS(#REF!,#REF!,$B18,#REF!,AX$1)</f>
        <v>#REF!</v>
      </c>
      <c r="AY18" s="24" t="e">
        <f>SUMIFS(#REF!,#REF!,$B18,#REF!,AY$1)</f>
        <v>#REF!</v>
      </c>
      <c r="AZ18" s="24" t="e">
        <f>SUMIFS(#REF!,#REF!,$B18,#REF!,AZ$1)</f>
        <v>#REF!</v>
      </c>
      <c r="BA18" s="24" t="e">
        <f>SUMIFS(#REF!,#REF!,$B18,#REF!,BA$1)</f>
        <v>#REF!</v>
      </c>
      <c r="BB18" s="24" t="e">
        <f>SUMIFS(#REF!,#REF!,$B18,#REF!,BB$1)</f>
        <v>#REF!</v>
      </c>
      <c r="BC18" s="24" t="e">
        <f>SUMIFS(#REF!,#REF!,$B18,#REF!,BC$1)</f>
        <v>#REF!</v>
      </c>
      <c r="BD18" s="24" t="e">
        <f>SUMIFS(#REF!,#REF!,$B18,#REF!,BD$1)</f>
        <v>#REF!</v>
      </c>
      <c r="BE18" s="24" t="e">
        <f>SUMIFS(#REF!,#REF!,$B18,#REF!,BE$1)</f>
        <v>#REF!</v>
      </c>
      <c r="BF18" s="24" t="e">
        <f>SUMIFS(#REF!,#REF!,$B18,#REF!,BF$1)</f>
        <v>#REF!</v>
      </c>
      <c r="BG18" s="24" t="e">
        <f>SUMIFS(#REF!,#REF!,$B18,#REF!,BG$1)</f>
        <v>#REF!</v>
      </c>
      <c r="BH18" s="24" t="e">
        <f>SUMIFS(#REF!,#REF!,$B18,#REF!,BH$1)</f>
        <v>#REF!</v>
      </c>
      <c r="BI18" s="24" t="e">
        <f>SUMIFS(#REF!,#REF!,$B18,#REF!,BI$1)</f>
        <v>#REF!</v>
      </c>
      <c r="BJ18" s="24" t="e">
        <f>SUMIFS(#REF!,#REF!,$B18,#REF!,BJ$1)</f>
        <v>#REF!</v>
      </c>
      <c r="BK18" s="24" t="e">
        <f>SUMIFS(#REF!,#REF!,$B18,#REF!,BK$1)</f>
        <v>#REF!</v>
      </c>
      <c r="BL18" s="24" t="e">
        <f>SUMIFS(#REF!,#REF!,$B18,#REF!,BL$1)</f>
        <v>#REF!</v>
      </c>
      <c r="BM18" s="24" t="e">
        <f>SUMIFS(#REF!,#REF!,$B18,#REF!,BM$1)</f>
        <v>#REF!</v>
      </c>
      <c r="BN18" s="24" t="e">
        <f>SUMIFS(#REF!,#REF!,$B18,#REF!,BN$1)</f>
        <v>#REF!</v>
      </c>
      <c r="BO18" s="24" t="e">
        <f>SUMIFS(#REF!,#REF!,$B18,#REF!,BO$1)</f>
        <v>#REF!</v>
      </c>
      <c r="BP18" s="24" t="e">
        <f>SUMIFS(#REF!,#REF!,$B18,#REF!,BP$1)</f>
        <v>#REF!</v>
      </c>
      <c r="BQ18" s="24" t="e">
        <f>SUMIFS(#REF!,#REF!,$B18,#REF!,BQ$1)</f>
        <v>#REF!</v>
      </c>
      <c r="BR18" s="24" t="e">
        <f>SUMIFS(#REF!,#REF!,$B18,#REF!,BR$1)</f>
        <v>#REF!</v>
      </c>
      <c r="BS18" s="24" t="e">
        <f>SUMIFS(#REF!,#REF!,$B18,#REF!,BS$1)</f>
        <v>#REF!</v>
      </c>
      <c r="BT18" s="24" t="e">
        <f>SUMIFS(#REF!,#REF!,$B18,#REF!,BT$1)</f>
        <v>#REF!</v>
      </c>
      <c r="BU18" s="24" t="e">
        <f>SUMIFS(#REF!,#REF!,$B18,#REF!,BU$1)</f>
        <v>#REF!</v>
      </c>
      <c r="BV18" s="24" t="e">
        <f>SUMIFS(#REF!,#REF!,$B18,#REF!,BV$1)</f>
        <v>#REF!</v>
      </c>
      <c r="BW18" s="24" t="e">
        <f>SUMIFS(#REF!,#REF!,$B18,#REF!,BW$1)</f>
        <v>#REF!</v>
      </c>
      <c r="BX18" s="24" t="e">
        <f>SUMIFS(#REF!,#REF!,$B18,#REF!,BX$1)</f>
        <v>#REF!</v>
      </c>
      <c r="BY18" s="24" t="e">
        <f>SUMIFS(#REF!,#REF!,$B18,#REF!,BY$1)</f>
        <v>#REF!</v>
      </c>
      <c r="BZ18" s="24" t="e">
        <f>SUMIFS(#REF!,#REF!,$B18,#REF!,BZ$1)</f>
        <v>#REF!</v>
      </c>
      <c r="CA18" s="24" t="e">
        <f>SUMIFS(#REF!,#REF!,$B18,#REF!,CA$1)</f>
        <v>#REF!</v>
      </c>
      <c r="CB18" s="24" t="e">
        <f>SUMIFS(#REF!,#REF!,$B18,#REF!,CB$1)</f>
        <v>#REF!</v>
      </c>
      <c r="CC18" s="24" t="e">
        <f>SUMIFS(#REF!,#REF!,$B18,#REF!,CC$1)</f>
        <v>#REF!</v>
      </c>
      <c r="CD18" s="24" t="e">
        <f>SUMIFS(#REF!,#REF!,$B18,#REF!,CD$1)</f>
        <v>#REF!</v>
      </c>
      <c r="CE18" s="24" t="e">
        <f>SUMIFS(#REF!,#REF!,$B18,#REF!,CE$1)</f>
        <v>#REF!</v>
      </c>
      <c r="CF18" s="24" t="e">
        <f>SUMIFS(#REF!,#REF!,$B18,#REF!,CF$1)</f>
        <v>#REF!</v>
      </c>
      <c r="CG18" s="19" t="e">
        <f t="shared" si="0"/>
        <v>#REF!</v>
      </c>
    </row>
    <row r="19" spans="1:85" x14ac:dyDescent="0.45">
      <c r="A19" s="4" t="s">
        <v>1019</v>
      </c>
      <c r="B19" s="4" t="s">
        <v>1020</v>
      </c>
      <c r="C19" s="24" t="e">
        <f>SUMIFS(#REF!,#REF!,$B19,#REF!,C$1)</f>
        <v>#REF!</v>
      </c>
      <c r="D19" s="24" t="e">
        <f>SUMIFS(#REF!,#REF!,$B19,#REF!,D$1)</f>
        <v>#REF!</v>
      </c>
      <c r="E19" s="24" t="e">
        <f>SUMIFS(#REF!,#REF!,$B19,#REF!,E$1)</f>
        <v>#REF!</v>
      </c>
      <c r="F19" s="24" t="e">
        <f>SUMIFS(#REF!,#REF!,$B19,#REF!,F$1)</f>
        <v>#REF!</v>
      </c>
      <c r="G19" s="24" t="e">
        <f>SUMIFS(#REF!,#REF!,$B19,#REF!,G$1)</f>
        <v>#REF!</v>
      </c>
      <c r="H19" s="24" t="e">
        <f>SUMIFS(#REF!,#REF!,$B19,#REF!,H$1)</f>
        <v>#REF!</v>
      </c>
      <c r="I19" s="24" t="e">
        <f>SUMIFS(#REF!,#REF!,$B19,#REF!,I$1)</f>
        <v>#REF!</v>
      </c>
      <c r="J19" s="24" t="e">
        <f>SUMIFS(#REF!,#REF!,$B19,#REF!,J$1)</f>
        <v>#REF!</v>
      </c>
      <c r="K19" s="24" t="e">
        <f>SUMIFS(#REF!,#REF!,$B19,#REF!,K$1)</f>
        <v>#REF!</v>
      </c>
      <c r="L19" s="24" t="e">
        <f>SUMIFS(#REF!,#REF!,$B19,#REF!,L$1)</f>
        <v>#REF!</v>
      </c>
      <c r="M19" s="24" t="e">
        <f>SUMIFS(#REF!,#REF!,$B19,#REF!,M$1)</f>
        <v>#REF!</v>
      </c>
      <c r="N19" s="24" t="e">
        <f>SUMIFS(#REF!,#REF!,$B19,#REF!,N$1)</f>
        <v>#REF!</v>
      </c>
      <c r="O19" s="24" t="e">
        <f>SUMIFS(#REF!,#REF!,$B19,#REF!,O$1)</f>
        <v>#REF!</v>
      </c>
      <c r="P19" s="24" t="e">
        <f>SUMIFS(#REF!,#REF!,$B19,#REF!,P$1)</f>
        <v>#REF!</v>
      </c>
      <c r="Q19" s="24" t="e">
        <f>SUMIFS(#REF!,#REF!,$B19,#REF!,Q$1)</f>
        <v>#REF!</v>
      </c>
      <c r="R19" s="24" t="e">
        <f>SUMIFS(#REF!,#REF!,$B19,#REF!,R$1)</f>
        <v>#REF!</v>
      </c>
      <c r="S19" s="24" t="e">
        <f>SUMIFS(#REF!,#REF!,$B19,#REF!,S$1)</f>
        <v>#REF!</v>
      </c>
      <c r="T19" s="24" t="e">
        <f>SUMIFS(#REF!,#REF!,$B19,#REF!,T$1)</f>
        <v>#REF!</v>
      </c>
      <c r="U19" s="24" t="e">
        <f>SUMIFS(#REF!,#REF!,$B19,#REF!,U$1)</f>
        <v>#REF!</v>
      </c>
      <c r="V19" s="24" t="e">
        <f>SUMIFS(#REF!,#REF!,$B19,#REF!,V$1)</f>
        <v>#REF!</v>
      </c>
      <c r="W19" s="24" t="e">
        <f>SUMIFS(#REF!,#REF!,$B19,#REF!,W$1)</f>
        <v>#REF!</v>
      </c>
      <c r="X19" s="24" t="e">
        <f>SUMIFS(#REF!,#REF!,$B19,#REF!,X$1)</f>
        <v>#REF!</v>
      </c>
      <c r="Y19" s="24" t="e">
        <f>SUMIFS(#REF!,#REF!,$B19,#REF!,Y$1)</f>
        <v>#REF!</v>
      </c>
      <c r="Z19" s="24" t="e">
        <f>SUMIFS(#REF!,#REF!,$B19,#REF!,Z$1)</f>
        <v>#REF!</v>
      </c>
      <c r="AA19" s="24" t="e">
        <f>SUMIFS(#REF!,#REF!,$B19,#REF!,AA$1)</f>
        <v>#REF!</v>
      </c>
      <c r="AB19" s="24" t="e">
        <f>SUMIFS(#REF!,#REF!,$B19,#REF!,AB$1)</f>
        <v>#REF!</v>
      </c>
      <c r="AC19" s="24" t="e">
        <f>SUMIFS(#REF!,#REF!,$B19,#REF!,AC$1)</f>
        <v>#REF!</v>
      </c>
      <c r="AD19" s="24" t="e">
        <f>SUMIFS(#REF!,#REF!,$B19,#REF!,AD$1)</f>
        <v>#REF!</v>
      </c>
      <c r="AE19" s="24" t="e">
        <f>SUMIFS(#REF!,#REF!,$B19,#REF!,AE$1)</f>
        <v>#REF!</v>
      </c>
      <c r="AF19" s="24" t="e">
        <f>SUMIFS(#REF!,#REF!,$B19,#REF!,AF$1)</f>
        <v>#REF!</v>
      </c>
      <c r="AG19" s="24" t="e">
        <f>SUMIFS(#REF!,#REF!,$B19,#REF!,AG$1)</f>
        <v>#REF!</v>
      </c>
      <c r="AH19" s="24" t="e">
        <f>SUMIFS(#REF!,#REF!,$B19,#REF!,AH$1)</f>
        <v>#REF!</v>
      </c>
      <c r="AI19" s="24" t="e">
        <f>SUMIFS(#REF!,#REF!,$B19,#REF!,AI$1)</f>
        <v>#REF!</v>
      </c>
      <c r="AJ19" s="24" t="e">
        <f>SUMIFS(#REF!,#REF!,$B19,#REF!,AJ$1)</f>
        <v>#REF!</v>
      </c>
      <c r="AK19" s="24" t="e">
        <f>SUMIFS(#REF!,#REF!,$B19,#REF!,AK$1)</f>
        <v>#REF!</v>
      </c>
      <c r="AL19" s="24" t="e">
        <f>SUMIFS(#REF!,#REF!,$B19,#REF!,AL$1)</f>
        <v>#REF!</v>
      </c>
      <c r="AM19" s="24" t="e">
        <f>SUMIFS(#REF!,#REF!,$B19,#REF!,AM$1)</f>
        <v>#REF!</v>
      </c>
      <c r="AN19" s="24" t="e">
        <f>SUMIFS(#REF!,#REF!,$B19,#REF!,AN$1)</f>
        <v>#REF!</v>
      </c>
      <c r="AO19" s="24" t="e">
        <f>SUMIFS(#REF!,#REF!,$B19,#REF!,AO$1)</f>
        <v>#REF!</v>
      </c>
      <c r="AP19" s="24" t="e">
        <f>SUMIFS(#REF!,#REF!,$B19,#REF!,AP$1)</f>
        <v>#REF!</v>
      </c>
      <c r="AQ19" s="24" t="e">
        <f>SUMIFS(#REF!,#REF!,$B19,#REF!,AQ$1)</f>
        <v>#REF!</v>
      </c>
      <c r="AR19" s="24" t="e">
        <f>SUMIFS(#REF!,#REF!,$B19,#REF!,AR$1)</f>
        <v>#REF!</v>
      </c>
      <c r="AS19" s="24" t="e">
        <f>SUMIFS(#REF!,#REF!,$B19,#REF!,AS$1)</f>
        <v>#REF!</v>
      </c>
      <c r="AT19" s="24" t="e">
        <f>SUMIFS(#REF!,#REF!,$B19,#REF!,AT$1)</f>
        <v>#REF!</v>
      </c>
      <c r="AU19" s="24" t="e">
        <f>SUMIFS(#REF!,#REF!,$B19,#REF!,AU$1)</f>
        <v>#REF!</v>
      </c>
      <c r="AV19" s="24" t="e">
        <f>SUMIFS(#REF!,#REF!,$B19,#REF!,AV$1)</f>
        <v>#REF!</v>
      </c>
      <c r="AW19" s="24" t="e">
        <f>SUMIFS(#REF!,#REF!,$B19,#REF!,AW$1)</f>
        <v>#REF!</v>
      </c>
      <c r="AX19" s="24" t="e">
        <f>SUMIFS(#REF!,#REF!,$B19,#REF!,AX$1)</f>
        <v>#REF!</v>
      </c>
      <c r="AY19" s="24" t="e">
        <f>SUMIFS(#REF!,#REF!,$B19,#REF!,AY$1)</f>
        <v>#REF!</v>
      </c>
      <c r="AZ19" s="24" t="e">
        <f>SUMIFS(#REF!,#REF!,$B19,#REF!,AZ$1)</f>
        <v>#REF!</v>
      </c>
      <c r="BA19" s="24" t="e">
        <f>SUMIFS(#REF!,#REF!,$B19,#REF!,BA$1)</f>
        <v>#REF!</v>
      </c>
      <c r="BB19" s="24" t="e">
        <f>SUMIFS(#REF!,#REF!,$B19,#REF!,BB$1)</f>
        <v>#REF!</v>
      </c>
      <c r="BC19" s="24" t="e">
        <f>SUMIFS(#REF!,#REF!,$B19,#REF!,BC$1)</f>
        <v>#REF!</v>
      </c>
      <c r="BD19" s="24" t="e">
        <f>SUMIFS(#REF!,#REF!,$B19,#REF!,BD$1)</f>
        <v>#REF!</v>
      </c>
      <c r="BE19" s="24" t="e">
        <f>SUMIFS(#REF!,#REF!,$B19,#REF!,BE$1)</f>
        <v>#REF!</v>
      </c>
      <c r="BF19" s="24" t="e">
        <f>SUMIFS(#REF!,#REF!,$B19,#REF!,BF$1)</f>
        <v>#REF!</v>
      </c>
      <c r="BG19" s="24" t="e">
        <f>SUMIFS(#REF!,#REF!,$B19,#REF!,BG$1)</f>
        <v>#REF!</v>
      </c>
      <c r="BH19" s="24" t="e">
        <f>SUMIFS(#REF!,#REF!,$B19,#REF!,BH$1)</f>
        <v>#REF!</v>
      </c>
      <c r="BI19" s="24" t="e">
        <f>SUMIFS(#REF!,#REF!,$B19,#REF!,BI$1)</f>
        <v>#REF!</v>
      </c>
      <c r="BJ19" s="24" t="e">
        <f>SUMIFS(#REF!,#REF!,$B19,#REF!,BJ$1)</f>
        <v>#REF!</v>
      </c>
      <c r="BK19" s="24" t="e">
        <f>SUMIFS(#REF!,#REF!,$B19,#REF!,BK$1)</f>
        <v>#REF!</v>
      </c>
      <c r="BL19" s="24" t="e">
        <f>SUMIFS(#REF!,#REF!,$B19,#REF!,BL$1)</f>
        <v>#REF!</v>
      </c>
      <c r="BM19" s="24" t="e">
        <f>SUMIFS(#REF!,#REF!,$B19,#REF!,BM$1)</f>
        <v>#REF!</v>
      </c>
      <c r="BN19" s="24" t="e">
        <f>SUMIFS(#REF!,#REF!,$B19,#REF!,BN$1)</f>
        <v>#REF!</v>
      </c>
      <c r="BO19" s="24" t="e">
        <f>SUMIFS(#REF!,#REF!,$B19,#REF!,BO$1)</f>
        <v>#REF!</v>
      </c>
      <c r="BP19" s="24" t="e">
        <f>SUMIFS(#REF!,#REF!,$B19,#REF!,BP$1)</f>
        <v>#REF!</v>
      </c>
      <c r="BQ19" s="24" t="e">
        <f>SUMIFS(#REF!,#REF!,$B19,#REF!,BQ$1)</f>
        <v>#REF!</v>
      </c>
      <c r="BR19" s="24" t="e">
        <f>SUMIFS(#REF!,#REF!,$B19,#REF!,BR$1)</f>
        <v>#REF!</v>
      </c>
      <c r="BS19" s="24" t="e">
        <f>SUMIFS(#REF!,#REF!,$B19,#REF!,BS$1)</f>
        <v>#REF!</v>
      </c>
      <c r="BT19" s="24" t="e">
        <f>SUMIFS(#REF!,#REF!,$B19,#REF!,BT$1)</f>
        <v>#REF!</v>
      </c>
      <c r="BU19" s="24" t="e">
        <f>SUMIFS(#REF!,#REF!,$B19,#REF!,BU$1)</f>
        <v>#REF!</v>
      </c>
      <c r="BV19" s="24" t="e">
        <f>SUMIFS(#REF!,#REF!,$B19,#REF!,BV$1)</f>
        <v>#REF!</v>
      </c>
      <c r="BW19" s="24" t="e">
        <f>SUMIFS(#REF!,#REF!,$B19,#REF!,BW$1)</f>
        <v>#REF!</v>
      </c>
      <c r="BX19" s="24" t="e">
        <f>SUMIFS(#REF!,#REF!,$B19,#REF!,BX$1)</f>
        <v>#REF!</v>
      </c>
      <c r="BY19" s="24" t="e">
        <f>SUMIFS(#REF!,#REF!,$B19,#REF!,BY$1)</f>
        <v>#REF!</v>
      </c>
      <c r="BZ19" s="24" t="e">
        <f>SUMIFS(#REF!,#REF!,$B19,#REF!,BZ$1)</f>
        <v>#REF!</v>
      </c>
      <c r="CA19" s="24" t="e">
        <f>SUMIFS(#REF!,#REF!,$B19,#REF!,CA$1)</f>
        <v>#REF!</v>
      </c>
      <c r="CB19" s="24" t="e">
        <f>SUMIFS(#REF!,#REF!,$B19,#REF!,CB$1)</f>
        <v>#REF!</v>
      </c>
      <c r="CC19" s="24" t="e">
        <f>SUMIFS(#REF!,#REF!,$B19,#REF!,CC$1)</f>
        <v>#REF!</v>
      </c>
      <c r="CD19" s="24" t="e">
        <f>SUMIFS(#REF!,#REF!,$B19,#REF!,CD$1)</f>
        <v>#REF!</v>
      </c>
      <c r="CE19" s="24" t="e">
        <f>SUMIFS(#REF!,#REF!,$B19,#REF!,CE$1)</f>
        <v>#REF!</v>
      </c>
      <c r="CF19" s="24" t="e">
        <f>SUMIFS(#REF!,#REF!,$B19,#REF!,CF$1)</f>
        <v>#REF!</v>
      </c>
      <c r="CG19" s="19" t="e">
        <f t="shared" si="0"/>
        <v>#REF!</v>
      </c>
    </row>
    <row r="20" spans="1:85" x14ac:dyDescent="0.45">
      <c r="A20" s="4" t="s">
        <v>1021</v>
      </c>
      <c r="B20" s="4" t="s">
        <v>1022</v>
      </c>
      <c r="C20" s="24" t="e">
        <f>SUMIFS(#REF!,#REF!,$B20,#REF!,C$1)</f>
        <v>#REF!</v>
      </c>
      <c r="D20" s="24" t="e">
        <f>SUMIFS(#REF!,#REF!,$B20,#REF!,D$1)</f>
        <v>#REF!</v>
      </c>
      <c r="E20" s="24" t="e">
        <f>SUMIFS(#REF!,#REF!,$B20,#REF!,E$1)</f>
        <v>#REF!</v>
      </c>
      <c r="F20" s="24" t="e">
        <f>SUMIFS(#REF!,#REF!,$B20,#REF!,F$1)</f>
        <v>#REF!</v>
      </c>
      <c r="G20" s="24" t="e">
        <f>SUMIFS(#REF!,#REF!,$B20,#REF!,G$1)</f>
        <v>#REF!</v>
      </c>
      <c r="H20" s="24" t="e">
        <f>SUMIFS(#REF!,#REF!,$B20,#REF!,H$1)</f>
        <v>#REF!</v>
      </c>
      <c r="I20" s="24" t="e">
        <f>SUMIFS(#REF!,#REF!,$B20,#REF!,I$1)</f>
        <v>#REF!</v>
      </c>
      <c r="J20" s="24" t="e">
        <f>SUMIFS(#REF!,#REF!,$B20,#REF!,J$1)</f>
        <v>#REF!</v>
      </c>
      <c r="K20" s="24" t="e">
        <f>SUMIFS(#REF!,#REF!,$B20,#REF!,K$1)</f>
        <v>#REF!</v>
      </c>
      <c r="L20" s="24" t="e">
        <f>SUMIFS(#REF!,#REF!,$B20,#REF!,L$1)</f>
        <v>#REF!</v>
      </c>
      <c r="M20" s="24" t="e">
        <f>SUMIFS(#REF!,#REF!,$B20,#REF!,M$1)</f>
        <v>#REF!</v>
      </c>
      <c r="N20" s="24" t="e">
        <f>SUMIFS(#REF!,#REF!,$B20,#REF!,N$1)</f>
        <v>#REF!</v>
      </c>
      <c r="O20" s="24" t="e">
        <f>SUMIFS(#REF!,#REF!,$B20,#REF!,O$1)</f>
        <v>#REF!</v>
      </c>
      <c r="P20" s="24" t="e">
        <f>SUMIFS(#REF!,#REF!,$B20,#REF!,P$1)</f>
        <v>#REF!</v>
      </c>
      <c r="Q20" s="24" t="e">
        <f>SUMIFS(#REF!,#REF!,$B20,#REF!,Q$1)</f>
        <v>#REF!</v>
      </c>
      <c r="R20" s="24" t="e">
        <f>SUMIFS(#REF!,#REF!,$B20,#REF!,R$1)</f>
        <v>#REF!</v>
      </c>
      <c r="S20" s="24" t="e">
        <f>SUMIFS(#REF!,#REF!,$B20,#REF!,S$1)</f>
        <v>#REF!</v>
      </c>
      <c r="T20" s="24" t="e">
        <f>SUMIFS(#REF!,#REF!,$B20,#REF!,T$1)</f>
        <v>#REF!</v>
      </c>
      <c r="U20" s="24" t="e">
        <f>SUMIFS(#REF!,#REF!,$B20,#REF!,U$1)</f>
        <v>#REF!</v>
      </c>
      <c r="V20" s="24" t="e">
        <f>SUMIFS(#REF!,#REF!,$B20,#REF!,V$1)</f>
        <v>#REF!</v>
      </c>
      <c r="W20" s="24" t="e">
        <f>SUMIFS(#REF!,#REF!,$B20,#REF!,W$1)</f>
        <v>#REF!</v>
      </c>
      <c r="X20" s="24" t="e">
        <f>SUMIFS(#REF!,#REF!,$B20,#REF!,X$1)</f>
        <v>#REF!</v>
      </c>
      <c r="Y20" s="24" t="e">
        <f>SUMIFS(#REF!,#REF!,$B20,#REF!,Y$1)</f>
        <v>#REF!</v>
      </c>
      <c r="Z20" s="24" t="e">
        <f>SUMIFS(#REF!,#REF!,$B20,#REF!,Z$1)</f>
        <v>#REF!</v>
      </c>
      <c r="AA20" s="24" t="e">
        <f>SUMIFS(#REF!,#REF!,$B20,#REF!,AA$1)</f>
        <v>#REF!</v>
      </c>
      <c r="AB20" s="24" t="e">
        <f>SUMIFS(#REF!,#REF!,$B20,#REF!,AB$1)</f>
        <v>#REF!</v>
      </c>
      <c r="AC20" s="24" t="e">
        <f>SUMIFS(#REF!,#REF!,$B20,#REF!,AC$1)</f>
        <v>#REF!</v>
      </c>
      <c r="AD20" s="24" t="e">
        <f>SUMIFS(#REF!,#REF!,$B20,#REF!,AD$1)</f>
        <v>#REF!</v>
      </c>
      <c r="AE20" s="24" t="e">
        <f>SUMIFS(#REF!,#REF!,$B20,#REF!,AE$1)</f>
        <v>#REF!</v>
      </c>
      <c r="AF20" s="24" t="e">
        <f>SUMIFS(#REF!,#REF!,$B20,#REF!,AF$1)</f>
        <v>#REF!</v>
      </c>
      <c r="AG20" s="24" t="e">
        <f>SUMIFS(#REF!,#REF!,$B20,#REF!,AG$1)</f>
        <v>#REF!</v>
      </c>
      <c r="AH20" s="24" t="e">
        <f>SUMIFS(#REF!,#REF!,$B20,#REF!,AH$1)</f>
        <v>#REF!</v>
      </c>
      <c r="AI20" s="24" t="e">
        <f>SUMIFS(#REF!,#REF!,$B20,#REF!,AI$1)</f>
        <v>#REF!</v>
      </c>
      <c r="AJ20" s="24" t="e">
        <f>SUMIFS(#REF!,#REF!,$B20,#REF!,AJ$1)</f>
        <v>#REF!</v>
      </c>
      <c r="AK20" s="24" t="e">
        <f>SUMIFS(#REF!,#REF!,$B20,#REF!,AK$1)</f>
        <v>#REF!</v>
      </c>
      <c r="AL20" s="24" t="e">
        <f>SUMIFS(#REF!,#REF!,$B20,#REF!,AL$1)</f>
        <v>#REF!</v>
      </c>
      <c r="AM20" s="24" t="e">
        <f>SUMIFS(#REF!,#REF!,$B20,#REF!,AM$1)</f>
        <v>#REF!</v>
      </c>
      <c r="AN20" s="24" t="e">
        <f>SUMIFS(#REF!,#REF!,$B20,#REF!,AN$1)</f>
        <v>#REF!</v>
      </c>
      <c r="AO20" s="24" t="e">
        <f>SUMIFS(#REF!,#REF!,$B20,#REF!,AO$1)</f>
        <v>#REF!</v>
      </c>
      <c r="AP20" s="24" t="e">
        <f>SUMIFS(#REF!,#REF!,$B20,#REF!,AP$1)</f>
        <v>#REF!</v>
      </c>
      <c r="AQ20" s="24" t="e">
        <f>SUMIFS(#REF!,#REF!,$B20,#REF!,AQ$1)</f>
        <v>#REF!</v>
      </c>
      <c r="AR20" s="24" t="e">
        <f>SUMIFS(#REF!,#REF!,$B20,#REF!,AR$1)</f>
        <v>#REF!</v>
      </c>
      <c r="AS20" s="24" t="e">
        <f>SUMIFS(#REF!,#REF!,$B20,#REF!,AS$1)</f>
        <v>#REF!</v>
      </c>
      <c r="AT20" s="24" t="e">
        <f>SUMIFS(#REF!,#REF!,$B20,#REF!,AT$1)</f>
        <v>#REF!</v>
      </c>
      <c r="AU20" s="24" t="e">
        <f>SUMIFS(#REF!,#REF!,$B20,#REF!,AU$1)</f>
        <v>#REF!</v>
      </c>
      <c r="AV20" s="24" t="e">
        <f>SUMIFS(#REF!,#REF!,$B20,#REF!,AV$1)</f>
        <v>#REF!</v>
      </c>
      <c r="AW20" s="24" t="e">
        <f>SUMIFS(#REF!,#REF!,$B20,#REF!,AW$1)</f>
        <v>#REF!</v>
      </c>
      <c r="AX20" s="24" t="e">
        <f>SUMIFS(#REF!,#REF!,$B20,#REF!,AX$1)</f>
        <v>#REF!</v>
      </c>
      <c r="AY20" s="24" t="e">
        <f>SUMIFS(#REF!,#REF!,$B20,#REF!,AY$1)</f>
        <v>#REF!</v>
      </c>
      <c r="AZ20" s="24" t="e">
        <f>SUMIFS(#REF!,#REF!,$B20,#REF!,AZ$1)</f>
        <v>#REF!</v>
      </c>
      <c r="BA20" s="24" t="e">
        <f>SUMIFS(#REF!,#REF!,$B20,#REF!,BA$1)</f>
        <v>#REF!</v>
      </c>
      <c r="BB20" s="24" t="e">
        <f>SUMIFS(#REF!,#REF!,$B20,#REF!,BB$1)</f>
        <v>#REF!</v>
      </c>
      <c r="BC20" s="24" t="e">
        <f>SUMIFS(#REF!,#REF!,$B20,#REF!,BC$1)</f>
        <v>#REF!</v>
      </c>
      <c r="BD20" s="24" t="e">
        <f>SUMIFS(#REF!,#REF!,$B20,#REF!,BD$1)</f>
        <v>#REF!</v>
      </c>
      <c r="BE20" s="24" t="e">
        <f>SUMIFS(#REF!,#REF!,$B20,#REF!,BE$1)</f>
        <v>#REF!</v>
      </c>
      <c r="BF20" s="24" t="e">
        <f>SUMIFS(#REF!,#REF!,$B20,#REF!,BF$1)</f>
        <v>#REF!</v>
      </c>
      <c r="BG20" s="24" t="e">
        <f>SUMIFS(#REF!,#REF!,$B20,#REF!,BG$1)</f>
        <v>#REF!</v>
      </c>
      <c r="BH20" s="24" t="e">
        <f>SUMIFS(#REF!,#REF!,$B20,#REF!,BH$1)</f>
        <v>#REF!</v>
      </c>
      <c r="BI20" s="24" t="e">
        <f>SUMIFS(#REF!,#REF!,$B20,#REF!,BI$1)</f>
        <v>#REF!</v>
      </c>
      <c r="BJ20" s="24" t="e">
        <f>SUMIFS(#REF!,#REF!,$B20,#REF!,BJ$1)</f>
        <v>#REF!</v>
      </c>
      <c r="BK20" s="24" t="e">
        <f>SUMIFS(#REF!,#REF!,$B20,#REF!,BK$1)</f>
        <v>#REF!</v>
      </c>
      <c r="BL20" s="24" t="e">
        <f>SUMIFS(#REF!,#REF!,$B20,#REF!,BL$1)</f>
        <v>#REF!</v>
      </c>
      <c r="BM20" s="24" t="e">
        <f>SUMIFS(#REF!,#REF!,$B20,#REF!,BM$1)</f>
        <v>#REF!</v>
      </c>
      <c r="BN20" s="24" t="e">
        <f>SUMIFS(#REF!,#REF!,$B20,#REF!,BN$1)</f>
        <v>#REF!</v>
      </c>
      <c r="BO20" s="24" t="e">
        <f>SUMIFS(#REF!,#REF!,$B20,#REF!,BO$1)</f>
        <v>#REF!</v>
      </c>
      <c r="BP20" s="24" t="e">
        <f>SUMIFS(#REF!,#REF!,$B20,#REF!,BP$1)</f>
        <v>#REF!</v>
      </c>
      <c r="BQ20" s="24" t="e">
        <f>SUMIFS(#REF!,#REF!,$B20,#REF!,BQ$1)</f>
        <v>#REF!</v>
      </c>
      <c r="BR20" s="24" t="e">
        <f>SUMIFS(#REF!,#REF!,$B20,#REF!,BR$1)</f>
        <v>#REF!</v>
      </c>
      <c r="BS20" s="24" t="e">
        <f>SUMIFS(#REF!,#REF!,$B20,#REF!,BS$1)</f>
        <v>#REF!</v>
      </c>
      <c r="BT20" s="24" t="e">
        <f>SUMIFS(#REF!,#REF!,$B20,#REF!,BT$1)</f>
        <v>#REF!</v>
      </c>
      <c r="BU20" s="24" t="e">
        <f>SUMIFS(#REF!,#REF!,$B20,#REF!,BU$1)</f>
        <v>#REF!</v>
      </c>
      <c r="BV20" s="24" t="e">
        <f>SUMIFS(#REF!,#REF!,$B20,#REF!,BV$1)</f>
        <v>#REF!</v>
      </c>
      <c r="BW20" s="24" t="e">
        <f>SUMIFS(#REF!,#REF!,$B20,#REF!,BW$1)</f>
        <v>#REF!</v>
      </c>
      <c r="BX20" s="24" t="e">
        <f>SUMIFS(#REF!,#REF!,$B20,#REF!,BX$1)</f>
        <v>#REF!</v>
      </c>
      <c r="BY20" s="24" t="e">
        <f>SUMIFS(#REF!,#REF!,$B20,#REF!,BY$1)</f>
        <v>#REF!</v>
      </c>
      <c r="BZ20" s="24" t="e">
        <f>SUMIFS(#REF!,#REF!,$B20,#REF!,BZ$1)</f>
        <v>#REF!</v>
      </c>
      <c r="CA20" s="24" t="e">
        <f>SUMIFS(#REF!,#REF!,$B20,#REF!,CA$1)</f>
        <v>#REF!</v>
      </c>
      <c r="CB20" s="24" t="e">
        <f>SUMIFS(#REF!,#REF!,$B20,#REF!,CB$1)</f>
        <v>#REF!</v>
      </c>
      <c r="CC20" s="24" t="e">
        <f>SUMIFS(#REF!,#REF!,$B20,#REF!,CC$1)</f>
        <v>#REF!</v>
      </c>
      <c r="CD20" s="24" t="e">
        <f>SUMIFS(#REF!,#REF!,$B20,#REF!,CD$1)</f>
        <v>#REF!</v>
      </c>
      <c r="CE20" s="24" t="e">
        <f>SUMIFS(#REF!,#REF!,$B20,#REF!,CE$1)</f>
        <v>#REF!</v>
      </c>
      <c r="CF20" s="24" t="e">
        <f>SUMIFS(#REF!,#REF!,$B20,#REF!,CF$1)</f>
        <v>#REF!</v>
      </c>
      <c r="CG20" s="19" t="e">
        <f t="shared" si="0"/>
        <v>#REF!</v>
      </c>
    </row>
    <row r="21" spans="1:85" x14ac:dyDescent="0.45">
      <c r="A21" s="4" t="s">
        <v>1023</v>
      </c>
      <c r="B21" s="4" t="s">
        <v>1024</v>
      </c>
      <c r="C21" s="24" t="e">
        <f>SUMIFS(#REF!,#REF!,$B21,#REF!,C$1)</f>
        <v>#REF!</v>
      </c>
      <c r="D21" s="24" t="e">
        <f>SUMIFS(#REF!,#REF!,$B21,#REF!,D$1)</f>
        <v>#REF!</v>
      </c>
      <c r="E21" s="24" t="e">
        <f>SUMIFS(#REF!,#REF!,$B21,#REF!,E$1)</f>
        <v>#REF!</v>
      </c>
      <c r="F21" s="24" t="e">
        <f>SUMIFS(#REF!,#REF!,$B21,#REF!,F$1)</f>
        <v>#REF!</v>
      </c>
      <c r="G21" s="24" t="e">
        <f>SUMIFS(#REF!,#REF!,$B21,#REF!,G$1)</f>
        <v>#REF!</v>
      </c>
      <c r="H21" s="24" t="e">
        <f>SUMIFS(#REF!,#REF!,$B21,#REF!,H$1)</f>
        <v>#REF!</v>
      </c>
      <c r="I21" s="24" t="e">
        <f>SUMIFS(#REF!,#REF!,$B21,#REF!,I$1)</f>
        <v>#REF!</v>
      </c>
      <c r="J21" s="24" t="e">
        <f>SUMIFS(#REF!,#REF!,$B21,#REF!,J$1)</f>
        <v>#REF!</v>
      </c>
      <c r="K21" s="24" t="e">
        <f>SUMIFS(#REF!,#REF!,$B21,#REF!,K$1)</f>
        <v>#REF!</v>
      </c>
      <c r="L21" s="24" t="e">
        <f>SUMIFS(#REF!,#REF!,$B21,#REF!,L$1)</f>
        <v>#REF!</v>
      </c>
      <c r="M21" s="24" t="e">
        <f>SUMIFS(#REF!,#REF!,$B21,#REF!,M$1)</f>
        <v>#REF!</v>
      </c>
      <c r="N21" s="24" t="e">
        <f>SUMIFS(#REF!,#REF!,$B21,#REF!,N$1)</f>
        <v>#REF!</v>
      </c>
      <c r="O21" s="24" t="e">
        <f>SUMIFS(#REF!,#REF!,$B21,#REF!,O$1)</f>
        <v>#REF!</v>
      </c>
      <c r="P21" s="24" t="e">
        <f>SUMIFS(#REF!,#REF!,$B21,#REF!,P$1)</f>
        <v>#REF!</v>
      </c>
      <c r="Q21" s="24" t="e">
        <f>SUMIFS(#REF!,#REF!,$B21,#REF!,Q$1)</f>
        <v>#REF!</v>
      </c>
      <c r="R21" s="24" t="e">
        <f>SUMIFS(#REF!,#REF!,$B21,#REF!,R$1)</f>
        <v>#REF!</v>
      </c>
      <c r="S21" s="24" t="e">
        <f>SUMIFS(#REF!,#REF!,$B21,#REF!,S$1)</f>
        <v>#REF!</v>
      </c>
      <c r="T21" s="24" t="e">
        <f>SUMIFS(#REF!,#REF!,$B21,#REF!,T$1)</f>
        <v>#REF!</v>
      </c>
      <c r="U21" s="24" t="e">
        <f>SUMIFS(#REF!,#REF!,$B21,#REF!,U$1)</f>
        <v>#REF!</v>
      </c>
      <c r="V21" s="24" t="e">
        <f>SUMIFS(#REF!,#REF!,$B21,#REF!,V$1)</f>
        <v>#REF!</v>
      </c>
      <c r="W21" s="24" t="e">
        <f>SUMIFS(#REF!,#REF!,$B21,#REF!,W$1)</f>
        <v>#REF!</v>
      </c>
      <c r="X21" s="24" t="e">
        <f>SUMIFS(#REF!,#REF!,$B21,#REF!,X$1)</f>
        <v>#REF!</v>
      </c>
      <c r="Y21" s="24" t="e">
        <f>SUMIFS(#REF!,#REF!,$B21,#REF!,Y$1)</f>
        <v>#REF!</v>
      </c>
      <c r="Z21" s="24" t="e">
        <f>SUMIFS(#REF!,#REF!,$B21,#REF!,Z$1)</f>
        <v>#REF!</v>
      </c>
      <c r="AA21" s="24" t="e">
        <f>SUMIFS(#REF!,#REF!,$B21,#REF!,AA$1)</f>
        <v>#REF!</v>
      </c>
      <c r="AB21" s="24" t="e">
        <f>SUMIFS(#REF!,#REF!,$B21,#REF!,AB$1)</f>
        <v>#REF!</v>
      </c>
      <c r="AC21" s="24" t="e">
        <f>SUMIFS(#REF!,#REF!,$B21,#REF!,AC$1)</f>
        <v>#REF!</v>
      </c>
      <c r="AD21" s="24" t="e">
        <f>SUMIFS(#REF!,#REF!,$B21,#REF!,AD$1)</f>
        <v>#REF!</v>
      </c>
      <c r="AE21" s="24" t="e">
        <f>SUMIFS(#REF!,#REF!,$B21,#REF!,AE$1)</f>
        <v>#REF!</v>
      </c>
      <c r="AF21" s="24" t="e">
        <f>SUMIFS(#REF!,#REF!,$B21,#REF!,AF$1)</f>
        <v>#REF!</v>
      </c>
      <c r="AG21" s="24" t="e">
        <f>SUMIFS(#REF!,#REF!,$B21,#REF!,AG$1)</f>
        <v>#REF!</v>
      </c>
      <c r="AH21" s="24" t="e">
        <f>SUMIFS(#REF!,#REF!,$B21,#REF!,AH$1)</f>
        <v>#REF!</v>
      </c>
      <c r="AI21" s="24" t="e">
        <f>SUMIFS(#REF!,#REF!,$B21,#REF!,AI$1)</f>
        <v>#REF!</v>
      </c>
      <c r="AJ21" s="24" t="e">
        <f>SUMIFS(#REF!,#REF!,$B21,#REF!,AJ$1)</f>
        <v>#REF!</v>
      </c>
      <c r="AK21" s="24" t="e">
        <f>SUMIFS(#REF!,#REF!,$B21,#REF!,AK$1)</f>
        <v>#REF!</v>
      </c>
      <c r="AL21" s="24" t="e">
        <f>SUMIFS(#REF!,#REF!,$B21,#REF!,AL$1)</f>
        <v>#REF!</v>
      </c>
      <c r="AM21" s="24" t="e">
        <f>SUMIFS(#REF!,#REF!,$B21,#REF!,AM$1)</f>
        <v>#REF!</v>
      </c>
      <c r="AN21" s="24" t="e">
        <f>SUMIFS(#REF!,#REF!,$B21,#REF!,AN$1)</f>
        <v>#REF!</v>
      </c>
      <c r="AO21" s="24" t="e">
        <f>SUMIFS(#REF!,#REF!,$B21,#REF!,AO$1)</f>
        <v>#REF!</v>
      </c>
      <c r="AP21" s="24" t="e">
        <f>SUMIFS(#REF!,#REF!,$B21,#REF!,AP$1)</f>
        <v>#REF!</v>
      </c>
      <c r="AQ21" s="24" t="e">
        <f>SUMIFS(#REF!,#REF!,$B21,#REF!,AQ$1)</f>
        <v>#REF!</v>
      </c>
      <c r="AR21" s="24" t="e">
        <f>SUMIFS(#REF!,#REF!,$B21,#REF!,AR$1)</f>
        <v>#REF!</v>
      </c>
      <c r="AS21" s="24" t="e">
        <f>SUMIFS(#REF!,#REF!,$B21,#REF!,AS$1)</f>
        <v>#REF!</v>
      </c>
      <c r="AT21" s="24" t="e">
        <f>SUMIFS(#REF!,#REF!,$B21,#REF!,AT$1)</f>
        <v>#REF!</v>
      </c>
      <c r="AU21" s="24" t="e">
        <f>SUMIFS(#REF!,#REF!,$B21,#REF!,AU$1)</f>
        <v>#REF!</v>
      </c>
      <c r="AV21" s="24" t="e">
        <f>SUMIFS(#REF!,#REF!,$B21,#REF!,AV$1)</f>
        <v>#REF!</v>
      </c>
      <c r="AW21" s="24" t="e">
        <f>SUMIFS(#REF!,#REF!,$B21,#REF!,AW$1)</f>
        <v>#REF!</v>
      </c>
      <c r="AX21" s="24" t="e">
        <f>SUMIFS(#REF!,#REF!,$B21,#REF!,AX$1)</f>
        <v>#REF!</v>
      </c>
      <c r="AY21" s="24" t="e">
        <f>SUMIFS(#REF!,#REF!,$B21,#REF!,AY$1)</f>
        <v>#REF!</v>
      </c>
      <c r="AZ21" s="24" t="e">
        <f>SUMIFS(#REF!,#REF!,$B21,#REF!,AZ$1)</f>
        <v>#REF!</v>
      </c>
      <c r="BA21" s="24" t="e">
        <f>SUMIFS(#REF!,#REF!,$B21,#REF!,BA$1)</f>
        <v>#REF!</v>
      </c>
      <c r="BB21" s="24" t="e">
        <f>SUMIFS(#REF!,#REF!,$B21,#REF!,BB$1)</f>
        <v>#REF!</v>
      </c>
      <c r="BC21" s="24" t="e">
        <f>SUMIFS(#REF!,#REF!,$B21,#REF!,BC$1)</f>
        <v>#REF!</v>
      </c>
      <c r="BD21" s="24" t="e">
        <f>SUMIFS(#REF!,#REF!,$B21,#REF!,BD$1)</f>
        <v>#REF!</v>
      </c>
      <c r="BE21" s="24" t="e">
        <f>SUMIFS(#REF!,#REF!,$B21,#REF!,BE$1)</f>
        <v>#REF!</v>
      </c>
      <c r="BF21" s="24" t="e">
        <f>SUMIFS(#REF!,#REF!,$B21,#REF!,BF$1)</f>
        <v>#REF!</v>
      </c>
      <c r="BG21" s="24" t="e">
        <f>SUMIFS(#REF!,#REF!,$B21,#REF!,BG$1)</f>
        <v>#REF!</v>
      </c>
      <c r="BH21" s="24" t="e">
        <f>SUMIFS(#REF!,#REF!,$B21,#REF!,BH$1)</f>
        <v>#REF!</v>
      </c>
      <c r="BI21" s="24" t="e">
        <f>SUMIFS(#REF!,#REF!,$B21,#REF!,BI$1)</f>
        <v>#REF!</v>
      </c>
      <c r="BJ21" s="24" t="e">
        <f>SUMIFS(#REF!,#REF!,$B21,#REF!,BJ$1)</f>
        <v>#REF!</v>
      </c>
      <c r="BK21" s="24" t="e">
        <f>SUMIFS(#REF!,#REF!,$B21,#REF!,BK$1)</f>
        <v>#REF!</v>
      </c>
      <c r="BL21" s="24" t="e">
        <f>SUMIFS(#REF!,#REF!,$B21,#REF!,BL$1)</f>
        <v>#REF!</v>
      </c>
      <c r="BM21" s="24" t="e">
        <f>SUMIFS(#REF!,#REF!,$B21,#REF!,BM$1)</f>
        <v>#REF!</v>
      </c>
      <c r="BN21" s="24" t="e">
        <f>SUMIFS(#REF!,#REF!,$B21,#REF!,BN$1)</f>
        <v>#REF!</v>
      </c>
      <c r="BO21" s="24" t="e">
        <f>SUMIFS(#REF!,#REF!,$B21,#REF!,BO$1)</f>
        <v>#REF!</v>
      </c>
      <c r="BP21" s="24" t="e">
        <f>SUMIFS(#REF!,#REF!,$B21,#REF!,BP$1)</f>
        <v>#REF!</v>
      </c>
      <c r="BQ21" s="24" t="e">
        <f>SUMIFS(#REF!,#REF!,$B21,#REF!,BQ$1)</f>
        <v>#REF!</v>
      </c>
      <c r="BR21" s="24" t="e">
        <f>SUMIFS(#REF!,#REF!,$B21,#REF!,BR$1)</f>
        <v>#REF!</v>
      </c>
      <c r="BS21" s="24" t="e">
        <f>SUMIFS(#REF!,#REF!,$B21,#REF!,BS$1)</f>
        <v>#REF!</v>
      </c>
      <c r="BT21" s="24" t="e">
        <f>SUMIFS(#REF!,#REF!,$B21,#REF!,BT$1)</f>
        <v>#REF!</v>
      </c>
      <c r="BU21" s="24" t="e">
        <f>SUMIFS(#REF!,#REF!,$B21,#REF!,BU$1)</f>
        <v>#REF!</v>
      </c>
      <c r="BV21" s="24" t="e">
        <f>SUMIFS(#REF!,#REF!,$B21,#REF!,BV$1)</f>
        <v>#REF!</v>
      </c>
      <c r="BW21" s="24" t="e">
        <f>SUMIFS(#REF!,#REF!,$B21,#REF!,BW$1)</f>
        <v>#REF!</v>
      </c>
      <c r="BX21" s="24" t="e">
        <f>SUMIFS(#REF!,#REF!,$B21,#REF!,BX$1)</f>
        <v>#REF!</v>
      </c>
      <c r="BY21" s="24" t="e">
        <f>SUMIFS(#REF!,#REF!,$B21,#REF!,BY$1)</f>
        <v>#REF!</v>
      </c>
      <c r="BZ21" s="24" t="e">
        <f>SUMIFS(#REF!,#REF!,$B21,#REF!,BZ$1)</f>
        <v>#REF!</v>
      </c>
      <c r="CA21" s="24" t="e">
        <f>SUMIFS(#REF!,#REF!,$B21,#REF!,CA$1)</f>
        <v>#REF!</v>
      </c>
      <c r="CB21" s="24" t="e">
        <f>SUMIFS(#REF!,#REF!,$B21,#REF!,CB$1)</f>
        <v>#REF!</v>
      </c>
      <c r="CC21" s="24" t="e">
        <f>SUMIFS(#REF!,#REF!,$B21,#REF!,CC$1)</f>
        <v>#REF!</v>
      </c>
      <c r="CD21" s="24" t="e">
        <f>SUMIFS(#REF!,#REF!,$B21,#REF!,CD$1)</f>
        <v>#REF!</v>
      </c>
      <c r="CE21" s="24" t="e">
        <f>SUMIFS(#REF!,#REF!,$B21,#REF!,CE$1)</f>
        <v>#REF!</v>
      </c>
      <c r="CF21" s="24" t="e">
        <f>SUMIFS(#REF!,#REF!,$B21,#REF!,CF$1)</f>
        <v>#REF!</v>
      </c>
      <c r="CG21" s="19" t="e">
        <f t="shared" si="0"/>
        <v>#REF!</v>
      </c>
    </row>
    <row r="22" spans="1:85" x14ac:dyDescent="0.45">
      <c r="A22" s="4" t="s">
        <v>1025</v>
      </c>
      <c r="B22" s="4" t="s">
        <v>1026</v>
      </c>
      <c r="C22" s="24" t="e">
        <f>SUMIFS(#REF!,#REF!,$B22,#REF!,C$1)</f>
        <v>#REF!</v>
      </c>
      <c r="D22" s="24" t="e">
        <f>SUMIFS(#REF!,#REF!,$B22,#REF!,D$1)</f>
        <v>#REF!</v>
      </c>
      <c r="E22" s="24" t="e">
        <f>SUMIFS(#REF!,#REF!,$B22,#REF!,E$1)</f>
        <v>#REF!</v>
      </c>
      <c r="F22" s="24" t="e">
        <f>SUMIFS(#REF!,#REF!,$B22,#REF!,F$1)</f>
        <v>#REF!</v>
      </c>
      <c r="G22" s="24" t="e">
        <f>SUMIFS(#REF!,#REF!,$B22,#REF!,G$1)</f>
        <v>#REF!</v>
      </c>
      <c r="H22" s="24" t="e">
        <f>SUMIFS(#REF!,#REF!,$B22,#REF!,H$1)</f>
        <v>#REF!</v>
      </c>
      <c r="I22" s="24" t="e">
        <f>SUMIFS(#REF!,#REF!,$B22,#REF!,I$1)</f>
        <v>#REF!</v>
      </c>
      <c r="J22" s="24" t="e">
        <f>SUMIFS(#REF!,#REF!,$B22,#REF!,J$1)</f>
        <v>#REF!</v>
      </c>
      <c r="K22" s="24" t="e">
        <f>SUMIFS(#REF!,#REF!,$B22,#REF!,K$1)</f>
        <v>#REF!</v>
      </c>
      <c r="L22" s="24" t="e">
        <f>SUMIFS(#REF!,#REF!,$B22,#REF!,L$1)</f>
        <v>#REF!</v>
      </c>
      <c r="M22" s="24" t="e">
        <f>SUMIFS(#REF!,#REF!,$B22,#REF!,M$1)</f>
        <v>#REF!</v>
      </c>
      <c r="N22" s="24" t="e">
        <f>SUMIFS(#REF!,#REF!,$B22,#REF!,N$1)</f>
        <v>#REF!</v>
      </c>
      <c r="O22" s="24" t="e">
        <f>SUMIFS(#REF!,#REF!,$B22,#REF!,O$1)</f>
        <v>#REF!</v>
      </c>
      <c r="P22" s="24" t="e">
        <f>SUMIFS(#REF!,#REF!,$B22,#REF!,P$1)</f>
        <v>#REF!</v>
      </c>
      <c r="Q22" s="24" t="e">
        <f>SUMIFS(#REF!,#REF!,$B22,#REF!,Q$1)</f>
        <v>#REF!</v>
      </c>
      <c r="R22" s="24" t="e">
        <f>SUMIFS(#REF!,#REF!,$B22,#REF!,R$1)</f>
        <v>#REF!</v>
      </c>
      <c r="S22" s="24" t="e">
        <f>SUMIFS(#REF!,#REF!,$B22,#REF!,S$1)</f>
        <v>#REF!</v>
      </c>
      <c r="T22" s="24" t="e">
        <f>SUMIFS(#REF!,#REF!,$B22,#REF!,T$1)</f>
        <v>#REF!</v>
      </c>
      <c r="U22" s="24" t="e">
        <f>SUMIFS(#REF!,#REF!,$B22,#REF!,U$1)</f>
        <v>#REF!</v>
      </c>
      <c r="V22" s="24" t="e">
        <f>SUMIFS(#REF!,#REF!,$B22,#REF!,V$1)</f>
        <v>#REF!</v>
      </c>
      <c r="W22" s="24" t="e">
        <f>SUMIFS(#REF!,#REF!,$B22,#REF!,W$1)</f>
        <v>#REF!</v>
      </c>
      <c r="X22" s="24" t="e">
        <f>SUMIFS(#REF!,#REF!,$B22,#REF!,X$1)</f>
        <v>#REF!</v>
      </c>
      <c r="Y22" s="24" t="e">
        <f>SUMIFS(#REF!,#REF!,$B22,#REF!,Y$1)</f>
        <v>#REF!</v>
      </c>
      <c r="Z22" s="24" t="e">
        <f>SUMIFS(#REF!,#REF!,$B22,#REF!,Z$1)</f>
        <v>#REF!</v>
      </c>
      <c r="AA22" s="24" t="e">
        <f>SUMIFS(#REF!,#REF!,$B22,#REF!,AA$1)</f>
        <v>#REF!</v>
      </c>
      <c r="AB22" s="24" t="e">
        <f>SUMIFS(#REF!,#REF!,$B22,#REF!,AB$1)</f>
        <v>#REF!</v>
      </c>
      <c r="AC22" s="24" t="e">
        <f>SUMIFS(#REF!,#REF!,$B22,#REF!,AC$1)</f>
        <v>#REF!</v>
      </c>
      <c r="AD22" s="24" t="e">
        <f>SUMIFS(#REF!,#REF!,$B22,#REF!,AD$1)</f>
        <v>#REF!</v>
      </c>
      <c r="AE22" s="24" t="e">
        <f>SUMIFS(#REF!,#REF!,$B22,#REF!,AE$1)</f>
        <v>#REF!</v>
      </c>
      <c r="AF22" s="24" t="e">
        <f>SUMIFS(#REF!,#REF!,$B22,#REF!,AF$1)</f>
        <v>#REF!</v>
      </c>
      <c r="AG22" s="24" t="e">
        <f>SUMIFS(#REF!,#REF!,$B22,#REF!,AG$1)</f>
        <v>#REF!</v>
      </c>
      <c r="AH22" s="24" t="e">
        <f>SUMIFS(#REF!,#REF!,$B22,#REF!,AH$1)</f>
        <v>#REF!</v>
      </c>
      <c r="AI22" s="24" t="e">
        <f>SUMIFS(#REF!,#REF!,$B22,#REF!,AI$1)</f>
        <v>#REF!</v>
      </c>
      <c r="AJ22" s="24" t="e">
        <f>SUMIFS(#REF!,#REF!,$B22,#REF!,AJ$1)</f>
        <v>#REF!</v>
      </c>
      <c r="AK22" s="24" t="e">
        <f>SUMIFS(#REF!,#REF!,$B22,#REF!,AK$1)</f>
        <v>#REF!</v>
      </c>
      <c r="AL22" s="24" t="e">
        <f>SUMIFS(#REF!,#REF!,$B22,#REF!,AL$1)</f>
        <v>#REF!</v>
      </c>
      <c r="AM22" s="24" t="e">
        <f>SUMIFS(#REF!,#REF!,$B22,#REF!,AM$1)</f>
        <v>#REF!</v>
      </c>
      <c r="AN22" s="24" t="e">
        <f>SUMIFS(#REF!,#REF!,$B22,#REF!,AN$1)</f>
        <v>#REF!</v>
      </c>
      <c r="AO22" s="24" t="e">
        <f>SUMIFS(#REF!,#REF!,$B22,#REF!,AO$1)</f>
        <v>#REF!</v>
      </c>
      <c r="AP22" s="24" t="e">
        <f>SUMIFS(#REF!,#REF!,$B22,#REF!,AP$1)</f>
        <v>#REF!</v>
      </c>
      <c r="AQ22" s="24" t="e">
        <f>SUMIFS(#REF!,#REF!,$B22,#REF!,AQ$1)</f>
        <v>#REF!</v>
      </c>
      <c r="AR22" s="24" t="e">
        <f>SUMIFS(#REF!,#REF!,$B22,#REF!,AR$1)</f>
        <v>#REF!</v>
      </c>
      <c r="AS22" s="24" t="e">
        <f>SUMIFS(#REF!,#REF!,$B22,#REF!,AS$1)</f>
        <v>#REF!</v>
      </c>
      <c r="AT22" s="24" t="e">
        <f>SUMIFS(#REF!,#REF!,$B22,#REF!,AT$1)</f>
        <v>#REF!</v>
      </c>
      <c r="AU22" s="24" t="e">
        <f>SUMIFS(#REF!,#REF!,$B22,#REF!,AU$1)</f>
        <v>#REF!</v>
      </c>
      <c r="AV22" s="24" t="e">
        <f>SUMIFS(#REF!,#REF!,$B22,#REF!,AV$1)</f>
        <v>#REF!</v>
      </c>
      <c r="AW22" s="24" t="e">
        <f>SUMIFS(#REF!,#REF!,$B22,#REF!,AW$1)</f>
        <v>#REF!</v>
      </c>
      <c r="AX22" s="24" t="e">
        <f>SUMIFS(#REF!,#REF!,$B22,#REF!,AX$1)</f>
        <v>#REF!</v>
      </c>
      <c r="AY22" s="24" t="e">
        <f>SUMIFS(#REF!,#REF!,$B22,#REF!,AY$1)</f>
        <v>#REF!</v>
      </c>
      <c r="AZ22" s="24" t="e">
        <f>SUMIFS(#REF!,#REF!,$B22,#REF!,AZ$1)</f>
        <v>#REF!</v>
      </c>
      <c r="BA22" s="24" t="e">
        <f>SUMIFS(#REF!,#REF!,$B22,#REF!,BA$1)</f>
        <v>#REF!</v>
      </c>
      <c r="BB22" s="24" t="e">
        <f>SUMIFS(#REF!,#REF!,$B22,#REF!,BB$1)</f>
        <v>#REF!</v>
      </c>
      <c r="BC22" s="24" t="e">
        <f>SUMIFS(#REF!,#REF!,$B22,#REF!,BC$1)</f>
        <v>#REF!</v>
      </c>
      <c r="BD22" s="24" t="e">
        <f>SUMIFS(#REF!,#REF!,$B22,#REF!,BD$1)</f>
        <v>#REF!</v>
      </c>
      <c r="BE22" s="24" t="e">
        <f>SUMIFS(#REF!,#REF!,$B22,#REF!,BE$1)</f>
        <v>#REF!</v>
      </c>
      <c r="BF22" s="24" t="e">
        <f>SUMIFS(#REF!,#REF!,$B22,#REF!,BF$1)</f>
        <v>#REF!</v>
      </c>
      <c r="BG22" s="24" t="e">
        <f>SUMIFS(#REF!,#REF!,$B22,#REF!,BG$1)</f>
        <v>#REF!</v>
      </c>
      <c r="BH22" s="24" t="e">
        <f>SUMIFS(#REF!,#REF!,$B22,#REF!,BH$1)</f>
        <v>#REF!</v>
      </c>
      <c r="BI22" s="24" t="e">
        <f>SUMIFS(#REF!,#REF!,$B22,#REF!,BI$1)</f>
        <v>#REF!</v>
      </c>
      <c r="BJ22" s="24" t="e">
        <f>SUMIFS(#REF!,#REF!,$B22,#REF!,BJ$1)</f>
        <v>#REF!</v>
      </c>
      <c r="BK22" s="24" t="e">
        <f>SUMIFS(#REF!,#REF!,$B22,#REF!,BK$1)</f>
        <v>#REF!</v>
      </c>
      <c r="BL22" s="24" t="e">
        <f>SUMIFS(#REF!,#REF!,$B22,#REF!,BL$1)</f>
        <v>#REF!</v>
      </c>
      <c r="BM22" s="24" t="e">
        <f>SUMIFS(#REF!,#REF!,$B22,#REF!,BM$1)</f>
        <v>#REF!</v>
      </c>
      <c r="BN22" s="24" t="e">
        <f>SUMIFS(#REF!,#REF!,$B22,#REF!,BN$1)</f>
        <v>#REF!</v>
      </c>
      <c r="BO22" s="24" t="e">
        <f>SUMIFS(#REF!,#REF!,$B22,#REF!,BO$1)</f>
        <v>#REF!</v>
      </c>
      <c r="BP22" s="24" t="e">
        <f>SUMIFS(#REF!,#REF!,$B22,#REF!,BP$1)</f>
        <v>#REF!</v>
      </c>
      <c r="BQ22" s="24" t="e">
        <f>SUMIFS(#REF!,#REF!,$B22,#REF!,BQ$1)</f>
        <v>#REF!</v>
      </c>
      <c r="BR22" s="24" t="e">
        <f>SUMIFS(#REF!,#REF!,$B22,#REF!,BR$1)</f>
        <v>#REF!</v>
      </c>
      <c r="BS22" s="24" t="e">
        <f>SUMIFS(#REF!,#REF!,$B22,#REF!,BS$1)</f>
        <v>#REF!</v>
      </c>
      <c r="BT22" s="24" t="e">
        <f>SUMIFS(#REF!,#REF!,$B22,#REF!,BT$1)</f>
        <v>#REF!</v>
      </c>
      <c r="BU22" s="24" t="e">
        <f>SUMIFS(#REF!,#REF!,$B22,#REF!,BU$1)</f>
        <v>#REF!</v>
      </c>
      <c r="BV22" s="24" t="e">
        <f>SUMIFS(#REF!,#REF!,$B22,#REF!,BV$1)</f>
        <v>#REF!</v>
      </c>
      <c r="BW22" s="24" t="e">
        <f>SUMIFS(#REF!,#REF!,$B22,#REF!,BW$1)</f>
        <v>#REF!</v>
      </c>
      <c r="BX22" s="24" t="e">
        <f>SUMIFS(#REF!,#REF!,$B22,#REF!,BX$1)</f>
        <v>#REF!</v>
      </c>
      <c r="BY22" s="24" t="e">
        <f>SUMIFS(#REF!,#REF!,$B22,#REF!,BY$1)</f>
        <v>#REF!</v>
      </c>
      <c r="BZ22" s="24" t="e">
        <f>SUMIFS(#REF!,#REF!,$B22,#REF!,BZ$1)</f>
        <v>#REF!</v>
      </c>
      <c r="CA22" s="24" t="e">
        <f>SUMIFS(#REF!,#REF!,$B22,#REF!,CA$1)</f>
        <v>#REF!</v>
      </c>
      <c r="CB22" s="24" t="e">
        <f>SUMIFS(#REF!,#REF!,$B22,#REF!,CB$1)</f>
        <v>#REF!</v>
      </c>
      <c r="CC22" s="24" t="e">
        <f>SUMIFS(#REF!,#REF!,$B22,#REF!,CC$1)</f>
        <v>#REF!</v>
      </c>
      <c r="CD22" s="24" t="e">
        <f>SUMIFS(#REF!,#REF!,$B22,#REF!,CD$1)</f>
        <v>#REF!</v>
      </c>
      <c r="CE22" s="24" t="e">
        <f>SUMIFS(#REF!,#REF!,$B22,#REF!,CE$1)</f>
        <v>#REF!</v>
      </c>
      <c r="CF22" s="24" t="e">
        <f>SUMIFS(#REF!,#REF!,$B22,#REF!,CF$1)</f>
        <v>#REF!</v>
      </c>
      <c r="CG22" s="19" t="e">
        <f t="shared" si="0"/>
        <v>#REF!</v>
      </c>
    </row>
    <row r="23" spans="1:85" x14ac:dyDescent="0.45">
      <c r="A23" s="4" t="s">
        <v>1027</v>
      </c>
      <c r="B23" s="4" t="s">
        <v>1028</v>
      </c>
      <c r="C23" s="24" t="e">
        <f>SUMIFS(#REF!,#REF!,$B23,#REF!,C$1)</f>
        <v>#REF!</v>
      </c>
      <c r="D23" s="24" t="e">
        <f>SUMIFS(#REF!,#REF!,$B23,#REF!,D$1)</f>
        <v>#REF!</v>
      </c>
      <c r="E23" s="24" t="e">
        <f>SUMIFS(#REF!,#REF!,$B23,#REF!,E$1)</f>
        <v>#REF!</v>
      </c>
      <c r="F23" s="24" t="e">
        <f>SUMIFS(#REF!,#REF!,$B23,#REF!,F$1)</f>
        <v>#REF!</v>
      </c>
      <c r="G23" s="24" t="e">
        <f>SUMIFS(#REF!,#REF!,$B23,#REF!,G$1)</f>
        <v>#REF!</v>
      </c>
      <c r="H23" s="24" t="e">
        <f>SUMIFS(#REF!,#REF!,$B23,#REF!,H$1)</f>
        <v>#REF!</v>
      </c>
      <c r="I23" s="24" t="e">
        <f>SUMIFS(#REF!,#REF!,$B23,#REF!,I$1)</f>
        <v>#REF!</v>
      </c>
      <c r="J23" s="24" t="e">
        <f>SUMIFS(#REF!,#REF!,$B23,#REF!,J$1)</f>
        <v>#REF!</v>
      </c>
      <c r="K23" s="24" t="e">
        <f>SUMIFS(#REF!,#REF!,$B23,#REF!,K$1)</f>
        <v>#REF!</v>
      </c>
      <c r="L23" s="24" t="e">
        <f>SUMIFS(#REF!,#REF!,$B23,#REF!,L$1)</f>
        <v>#REF!</v>
      </c>
      <c r="M23" s="24" t="e">
        <f>SUMIFS(#REF!,#REF!,$B23,#REF!,M$1)</f>
        <v>#REF!</v>
      </c>
      <c r="N23" s="24" t="e">
        <f>SUMIFS(#REF!,#REF!,$B23,#REF!,N$1)</f>
        <v>#REF!</v>
      </c>
      <c r="O23" s="24" t="e">
        <f>SUMIFS(#REF!,#REF!,$B23,#REF!,O$1)</f>
        <v>#REF!</v>
      </c>
      <c r="P23" s="24" t="e">
        <f>SUMIFS(#REF!,#REF!,$B23,#REF!,P$1)</f>
        <v>#REF!</v>
      </c>
      <c r="Q23" s="24" t="e">
        <f>SUMIFS(#REF!,#REF!,$B23,#REF!,Q$1)</f>
        <v>#REF!</v>
      </c>
      <c r="R23" s="24" t="e">
        <f>SUMIFS(#REF!,#REF!,$B23,#REF!,R$1)</f>
        <v>#REF!</v>
      </c>
      <c r="S23" s="24" t="e">
        <f>SUMIFS(#REF!,#REF!,$B23,#REF!,S$1)</f>
        <v>#REF!</v>
      </c>
      <c r="T23" s="24" t="e">
        <f>SUMIFS(#REF!,#REF!,$B23,#REF!,T$1)</f>
        <v>#REF!</v>
      </c>
      <c r="U23" s="24" t="e">
        <f>SUMIFS(#REF!,#REF!,$B23,#REF!,U$1)</f>
        <v>#REF!</v>
      </c>
      <c r="V23" s="24" t="e">
        <f>SUMIFS(#REF!,#REF!,$B23,#REF!,V$1)</f>
        <v>#REF!</v>
      </c>
      <c r="W23" s="24" t="e">
        <f>SUMIFS(#REF!,#REF!,$B23,#REF!,W$1)</f>
        <v>#REF!</v>
      </c>
      <c r="X23" s="24" t="e">
        <f>SUMIFS(#REF!,#REF!,$B23,#REF!,X$1)</f>
        <v>#REF!</v>
      </c>
      <c r="Y23" s="24" t="e">
        <f>SUMIFS(#REF!,#REF!,$B23,#REF!,Y$1)</f>
        <v>#REF!</v>
      </c>
      <c r="Z23" s="24" t="e">
        <f>SUMIFS(#REF!,#REF!,$B23,#REF!,Z$1)</f>
        <v>#REF!</v>
      </c>
      <c r="AA23" s="24" t="e">
        <f>SUMIFS(#REF!,#REF!,$B23,#REF!,AA$1)</f>
        <v>#REF!</v>
      </c>
      <c r="AB23" s="24" t="e">
        <f>SUMIFS(#REF!,#REF!,$B23,#REF!,AB$1)</f>
        <v>#REF!</v>
      </c>
      <c r="AC23" s="24" t="e">
        <f>SUMIFS(#REF!,#REF!,$B23,#REF!,AC$1)</f>
        <v>#REF!</v>
      </c>
      <c r="AD23" s="24" t="e">
        <f>SUMIFS(#REF!,#REF!,$B23,#REF!,AD$1)</f>
        <v>#REF!</v>
      </c>
      <c r="AE23" s="24" t="e">
        <f>SUMIFS(#REF!,#REF!,$B23,#REF!,AE$1)</f>
        <v>#REF!</v>
      </c>
      <c r="AF23" s="24" t="e">
        <f>SUMIFS(#REF!,#REF!,$B23,#REF!,AF$1)</f>
        <v>#REF!</v>
      </c>
      <c r="AG23" s="24" t="e">
        <f>SUMIFS(#REF!,#REF!,$B23,#REF!,AG$1)</f>
        <v>#REF!</v>
      </c>
      <c r="AH23" s="24" t="e">
        <f>SUMIFS(#REF!,#REF!,$B23,#REF!,AH$1)</f>
        <v>#REF!</v>
      </c>
      <c r="AI23" s="24" t="e">
        <f>SUMIFS(#REF!,#REF!,$B23,#REF!,AI$1)</f>
        <v>#REF!</v>
      </c>
      <c r="AJ23" s="24" t="e">
        <f>SUMIFS(#REF!,#REF!,$B23,#REF!,AJ$1)</f>
        <v>#REF!</v>
      </c>
      <c r="AK23" s="24" t="e">
        <f>SUMIFS(#REF!,#REF!,$B23,#REF!,AK$1)</f>
        <v>#REF!</v>
      </c>
      <c r="AL23" s="24" t="e">
        <f>SUMIFS(#REF!,#REF!,$B23,#REF!,AL$1)</f>
        <v>#REF!</v>
      </c>
      <c r="AM23" s="24" t="e">
        <f>SUMIFS(#REF!,#REF!,$B23,#REF!,AM$1)</f>
        <v>#REF!</v>
      </c>
      <c r="AN23" s="24" t="e">
        <f>SUMIFS(#REF!,#REF!,$B23,#REF!,AN$1)</f>
        <v>#REF!</v>
      </c>
      <c r="AO23" s="24" t="e">
        <f>SUMIFS(#REF!,#REF!,$B23,#REF!,AO$1)</f>
        <v>#REF!</v>
      </c>
      <c r="AP23" s="24" t="e">
        <f>SUMIFS(#REF!,#REF!,$B23,#REF!,AP$1)</f>
        <v>#REF!</v>
      </c>
      <c r="AQ23" s="24" t="e">
        <f>SUMIFS(#REF!,#REF!,$B23,#REF!,AQ$1)</f>
        <v>#REF!</v>
      </c>
      <c r="AR23" s="24" t="e">
        <f>SUMIFS(#REF!,#REF!,$B23,#REF!,AR$1)</f>
        <v>#REF!</v>
      </c>
      <c r="AS23" s="24" t="e">
        <f>SUMIFS(#REF!,#REF!,$B23,#REF!,AS$1)</f>
        <v>#REF!</v>
      </c>
      <c r="AT23" s="24" t="e">
        <f>SUMIFS(#REF!,#REF!,$B23,#REF!,AT$1)</f>
        <v>#REF!</v>
      </c>
      <c r="AU23" s="24" t="e">
        <f>SUMIFS(#REF!,#REF!,$B23,#REF!,AU$1)</f>
        <v>#REF!</v>
      </c>
      <c r="AV23" s="24" t="e">
        <f>SUMIFS(#REF!,#REF!,$B23,#REF!,AV$1)</f>
        <v>#REF!</v>
      </c>
      <c r="AW23" s="24" t="e">
        <f>SUMIFS(#REF!,#REF!,$B23,#REF!,AW$1)</f>
        <v>#REF!</v>
      </c>
      <c r="AX23" s="24" t="e">
        <f>SUMIFS(#REF!,#REF!,$B23,#REF!,AX$1)</f>
        <v>#REF!</v>
      </c>
      <c r="AY23" s="24" t="e">
        <f>SUMIFS(#REF!,#REF!,$B23,#REF!,AY$1)</f>
        <v>#REF!</v>
      </c>
      <c r="AZ23" s="24" t="e">
        <f>SUMIFS(#REF!,#REF!,$B23,#REF!,AZ$1)</f>
        <v>#REF!</v>
      </c>
      <c r="BA23" s="24" t="e">
        <f>SUMIFS(#REF!,#REF!,$B23,#REF!,BA$1)</f>
        <v>#REF!</v>
      </c>
      <c r="BB23" s="24" t="e">
        <f>SUMIFS(#REF!,#REF!,$B23,#REF!,BB$1)</f>
        <v>#REF!</v>
      </c>
      <c r="BC23" s="24" t="e">
        <f>SUMIFS(#REF!,#REF!,$B23,#REF!,BC$1)</f>
        <v>#REF!</v>
      </c>
      <c r="BD23" s="24" t="e">
        <f>SUMIFS(#REF!,#REF!,$B23,#REF!,BD$1)</f>
        <v>#REF!</v>
      </c>
      <c r="BE23" s="24" t="e">
        <f>SUMIFS(#REF!,#REF!,$B23,#REF!,BE$1)</f>
        <v>#REF!</v>
      </c>
      <c r="BF23" s="24" t="e">
        <f>SUMIFS(#REF!,#REF!,$B23,#REF!,BF$1)</f>
        <v>#REF!</v>
      </c>
      <c r="BG23" s="24" t="e">
        <f>SUMIFS(#REF!,#REF!,$B23,#REF!,BG$1)</f>
        <v>#REF!</v>
      </c>
      <c r="BH23" s="24" t="e">
        <f>SUMIFS(#REF!,#REF!,$B23,#REF!,BH$1)</f>
        <v>#REF!</v>
      </c>
      <c r="BI23" s="24" t="e">
        <f>SUMIFS(#REF!,#REF!,$B23,#REF!,BI$1)</f>
        <v>#REF!</v>
      </c>
      <c r="BJ23" s="24" t="e">
        <f>SUMIFS(#REF!,#REF!,$B23,#REF!,BJ$1)</f>
        <v>#REF!</v>
      </c>
      <c r="BK23" s="24" t="e">
        <f>SUMIFS(#REF!,#REF!,$B23,#REF!,BK$1)</f>
        <v>#REF!</v>
      </c>
      <c r="BL23" s="24" t="e">
        <f>SUMIFS(#REF!,#REF!,$B23,#REF!,BL$1)</f>
        <v>#REF!</v>
      </c>
      <c r="BM23" s="24" t="e">
        <f>SUMIFS(#REF!,#REF!,$B23,#REF!,BM$1)</f>
        <v>#REF!</v>
      </c>
      <c r="BN23" s="24" t="e">
        <f>SUMIFS(#REF!,#REF!,$B23,#REF!,BN$1)</f>
        <v>#REF!</v>
      </c>
      <c r="BO23" s="24" t="e">
        <f>SUMIFS(#REF!,#REF!,$B23,#REF!,BO$1)</f>
        <v>#REF!</v>
      </c>
      <c r="BP23" s="24" t="e">
        <f>SUMIFS(#REF!,#REF!,$B23,#REF!,BP$1)</f>
        <v>#REF!</v>
      </c>
      <c r="BQ23" s="24" t="e">
        <f>SUMIFS(#REF!,#REF!,$B23,#REF!,BQ$1)</f>
        <v>#REF!</v>
      </c>
      <c r="BR23" s="24" t="e">
        <f>SUMIFS(#REF!,#REF!,$B23,#REF!,BR$1)</f>
        <v>#REF!</v>
      </c>
      <c r="BS23" s="24" t="e">
        <f>SUMIFS(#REF!,#REF!,$B23,#REF!,BS$1)</f>
        <v>#REF!</v>
      </c>
      <c r="BT23" s="24" t="e">
        <f>SUMIFS(#REF!,#REF!,$B23,#REF!,BT$1)</f>
        <v>#REF!</v>
      </c>
      <c r="BU23" s="24" t="e">
        <f>SUMIFS(#REF!,#REF!,$B23,#REF!,BU$1)</f>
        <v>#REF!</v>
      </c>
      <c r="BV23" s="24" t="e">
        <f>SUMIFS(#REF!,#REF!,$B23,#REF!,BV$1)</f>
        <v>#REF!</v>
      </c>
      <c r="BW23" s="24" t="e">
        <f>SUMIFS(#REF!,#REF!,$B23,#REF!,BW$1)</f>
        <v>#REF!</v>
      </c>
      <c r="BX23" s="24" t="e">
        <f>SUMIFS(#REF!,#REF!,$B23,#REF!,BX$1)</f>
        <v>#REF!</v>
      </c>
      <c r="BY23" s="24" t="e">
        <f>SUMIFS(#REF!,#REF!,$B23,#REF!,BY$1)</f>
        <v>#REF!</v>
      </c>
      <c r="BZ23" s="24" t="e">
        <f>SUMIFS(#REF!,#REF!,$B23,#REF!,BZ$1)</f>
        <v>#REF!</v>
      </c>
      <c r="CA23" s="24" t="e">
        <f>SUMIFS(#REF!,#REF!,$B23,#REF!,CA$1)</f>
        <v>#REF!</v>
      </c>
      <c r="CB23" s="24" t="e">
        <f>SUMIFS(#REF!,#REF!,$B23,#REF!,CB$1)</f>
        <v>#REF!</v>
      </c>
      <c r="CC23" s="24" t="e">
        <f>SUMIFS(#REF!,#REF!,$B23,#REF!,CC$1)</f>
        <v>#REF!</v>
      </c>
      <c r="CD23" s="24" t="e">
        <f>SUMIFS(#REF!,#REF!,$B23,#REF!,CD$1)</f>
        <v>#REF!</v>
      </c>
      <c r="CE23" s="24" t="e">
        <f>SUMIFS(#REF!,#REF!,$B23,#REF!,CE$1)</f>
        <v>#REF!</v>
      </c>
      <c r="CF23" s="24" t="e">
        <f>SUMIFS(#REF!,#REF!,$B23,#REF!,CF$1)</f>
        <v>#REF!</v>
      </c>
      <c r="CG23" s="19" t="e">
        <f t="shared" si="0"/>
        <v>#REF!</v>
      </c>
    </row>
    <row r="24" spans="1:85" x14ac:dyDescent="0.45">
      <c r="A24" s="4" t="s">
        <v>1029</v>
      </c>
      <c r="B24" s="4" t="s">
        <v>1030</v>
      </c>
      <c r="C24" s="24" t="e">
        <f>SUMIFS(#REF!,#REF!,$B24,#REF!,C$1)</f>
        <v>#REF!</v>
      </c>
      <c r="D24" s="24" t="e">
        <f>SUMIFS(#REF!,#REF!,$B24,#REF!,D$1)</f>
        <v>#REF!</v>
      </c>
      <c r="E24" s="24" t="e">
        <f>SUMIFS(#REF!,#REF!,$B24,#REF!,E$1)</f>
        <v>#REF!</v>
      </c>
      <c r="F24" s="24" t="e">
        <f>SUMIFS(#REF!,#REF!,$B24,#REF!,F$1)</f>
        <v>#REF!</v>
      </c>
      <c r="G24" s="24" t="e">
        <f>SUMIFS(#REF!,#REF!,$B24,#REF!,G$1)</f>
        <v>#REF!</v>
      </c>
      <c r="H24" s="24" t="e">
        <f>SUMIFS(#REF!,#REF!,$B24,#REF!,H$1)</f>
        <v>#REF!</v>
      </c>
      <c r="I24" s="24" t="e">
        <f>SUMIFS(#REF!,#REF!,$B24,#REF!,I$1)</f>
        <v>#REF!</v>
      </c>
      <c r="J24" s="24" t="e">
        <f>SUMIFS(#REF!,#REF!,$B24,#REF!,J$1)</f>
        <v>#REF!</v>
      </c>
      <c r="K24" s="24" t="e">
        <f>SUMIFS(#REF!,#REF!,$B24,#REF!,K$1)</f>
        <v>#REF!</v>
      </c>
      <c r="L24" s="24" t="e">
        <f>SUMIFS(#REF!,#REF!,$B24,#REF!,L$1)</f>
        <v>#REF!</v>
      </c>
      <c r="M24" s="24" t="e">
        <f>SUMIFS(#REF!,#REF!,$B24,#REF!,M$1)</f>
        <v>#REF!</v>
      </c>
      <c r="N24" s="24" t="e">
        <f>SUMIFS(#REF!,#REF!,$B24,#REF!,N$1)</f>
        <v>#REF!</v>
      </c>
      <c r="O24" s="24" t="e">
        <f>SUMIFS(#REF!,#REF!,$B24,#REF!,O$1)</f>
        <v>#REF!</v>
      </c>
      <c r="P24" s="24" t="e">
        <f>SUMIFS(#REF!,#REF!,$B24,#REF!,P$1)</f>
        <v>#REF!</v>
      </c>
      <c r="Q24" s="24" t="e">
        <f>SUMIFS(#REF!,#REF!,$B24,#REF!,Q$1)</f>
        <v>#REF!</v>
      </c>
      <c r="R24" s="24" t="e">
        <f>SUMIFS(#REF!,#REF!,$B24,#REF!,R$1)</f>
        <v>#REF!</v>
      </c>
      <c r="S24" s="24" t="e">
        <f>SUMIFS(#REF!,#REF!,$B24,#REF!,S$1)</f>
        <v>#REF!</v>
      </c>
      <c r="T24" s="24" t="e">
        <f>SUMIFS(#REF!,#REF!,$B24,#REF!,T$1)</f>
        <v>#REF!</v>
      </c>
      <c r="U24" s="24" t="e">
        <f>SUMIFS(#REF!,#REF!,$B24,#REF!,U$1)</f>
        <v>#REF!</v>
      </c>
      <c r="V24" s="24" t="e">
        <f>SUMIFS(#REF!,#REF!,$B24,#REF!,V$1)</f>
        <v>#REF!</v>
      </c>
      <c r="W24" s="24" t="e">
        <f>SUMIFS(#REF!,#REF!,$B24,#REF!,W$1)</f>
        <v>#REF!</v>
      </c>
      <c r="X24" s="24" t="e">
        <f>SUMIFS(#REF!,#REF!,$B24,#REF!,X$1)</f>
        <v>#REF!</v>
      </c>
      <c r="Y24" s="24" t="e">
        <f>SUMIFS(#REF!,#REF!,$B24,#REF!,Y$1)</f>
        <v>#REF!</v>
      </c>
      <c r="Z24" s="24" t="e">
        <f>SUMIFS(#REF!,#REF!,$B24,#REF!,Z$1)</f>
        <v>#REF!</v>
      </c>
      <c r="AA24" s="24" t="e">
        <f>SUMIFS(#REF!,#REF!,$B24,#REF!,AA$1)</f>
        <v>#REF!</v>
      </c>
      <c r="AB24" s="24" t="e">
        <f>SUMIFS(#REF!,#REF!,$B24,#REF!,AB$1)</f>
        <v>#REF!</v>
      </c>
      <c r="AC24" s="24" t="e">
        <f>SUMIFS(#REF!,#REF!,$B24,#REF!,AC$1)</f>
        <v>#REF!</v>
      </c>
      <c r="AD24" s="24" t="e">
        <f>SUMIFS(#REF!,#REF!,$B24,#REF!,AD$1)</f>
        <v>#REF!</v>
      </c>
      <c r="AE24" s="24" t="e">
        <f>SUMIFS(#REF!,#REF!,$B24,#REF!,AE$1)</f>
        <v>#REF!</v>
      </c>
      <c r="AF24" s="24" t="e">
        <f>SUMIFS(#REF!,#REF!,$B24,#REF!,AF$1)</f>
        <v>#REF!</v>
      </c>
      <c r="AG24" s="24" t="e">
        <f>SUMIFS(#REF!,#REF!,$B24,#REF!,AG$1)</f>
        <v>#REF!</v>
      </c>
      <c r="AH24" s="24" t="e">
        <f>SUMIFS(#REF!,#REF!,$B24,#REF!,AH$1)</f>
        <v>#REF!</v>
      </c>
      <c r="AI24" s="24" t="e">
        <f>SUMIFS(#REF!,#REF!,$B24,#REF!,AI$1)</f>
        <v>#REF!</v>
      </c>
      <c r="AJ24" s="24" t="e">
        <f>SUMIFS(#REF!,#REF!,$B24,#REF!,AJ$1)</f>
        <v>#REF!</v>
      </c>
      <c r="AK24" s="24" t="e">
        <f>SUMIFS(#REF!,#REF!,$B24,#REF!,AK$1)</f>
        <v>#REF!</v>
      </c>
      <c r="AL24" s="24" t="e">
        <f>SUMIFS(#REF!,#REF!,$B24,#REF!,AL$1)</f>
        <v>#REF!</v>
      </c>
      <c r="AM24" s="24" t="e">
        <f>SUMIFS(#REF!,#REF!,$B24,#REF!,AM$1)</f>
        <v>#REF!</v>
      </c>
      <c r="AN24" s="24" t="e">
        <f>SUMIFS(#REF!,#REF!,$B24,#REF!,AN$1)</f>
        <v>#REF!</v>
      </c>
      <c r="AO24" s="24" t="e">
        <f>SUMIFS(#REF!,#REF!,$B24,#REF!,AO$1)</f>
        <v>#REF!</v>
      </c>
      <c r="AP24" s="24" t="e">
        <f>SUMIFS(#REF!,#REF!,$B24,#REF!,AP$1)</f>
        <v>#REF!</v>
      </c>
      <c r="AQ24" s="24" t="e">
        <f>SUMIFS(#REF!,#REF!,$B24,#REF!,AQ$1)</f>
        <v>#REF!</v>
      </c>
      <c r="AR24" s="24" t="e">
        <f>SUMIFS(#REF!,#REF!,$B24,#REF!,AR$1)</f>
        <v>#REF!</v>
      </c>
      <c r="AS24" s="24" t="e">
        <f>SUMIFS(#REF!,#REF!,$B24,#REF!,AS$1)</f>
        <v>#REF!</v>
      </c>
      <c r="AT24" s="24" t="e">
        <f>SUMIFS(#REF!,#REF!,$B24,#REF!,AT$1)</f>
        <v>#REF!</v>
      </c>
      <c r="AU24" s="24" t="e">
        <f>SUMIFS(#REF!,#REF!,$B24,#REF!,AU$1)</f>
        <v>#REF!</v>
      </c>
      <c r="AV24" s="24" t="e">
        <f>SUMIFS(#REF!,#REF!,$B24,#REF!,AV$1)</f>
        <v>#REF!</v>
      </c>
      <c r="AW24" s="24" t="e">
        <f>SUMIFS(#REF!,#REF!,$B24,#REF!,AW$1)</f>
        <v>#REF!</v>
      </c>
      <c r="AX24" s="24" t="e">
        <f>SUMIFS(#REF!,#REF!,$B24,#REF!,AX$1)</f>
        <v>#REF!</v>
      </c>
      <c r="AY24" s="24" t="e">
        <f>SUMIFS(#REF!,#REF!,$B24,#REF!,AY$1)</f>
        <v>#REF!</v>
      </c>
      <c r="AZ24" s="24" t="e">
        <f>SUMIFS(#REF!,#REF!,$B24,#REF!,AZ$1)</f>
        <v>#REF!</v>
      </c>
      <c r="BA24" s="24" t="e">
        <f>SUMIFS(#REF!,#REF!,$B24,#REF!,BA$1)</f>
        <v>#REF!</v>
      </c>
      <c r="BB24" s="24" t="e">
        <f>SUMIFS(#REF!,#REF!,$B24,#REF!,BB$1)</f>
        <v>#REF!</v>
      </c>
      <c r="BC24" s="24" t="e">
        <f>SUMIFS(#REF!,#REF!,$B24,#REF!,BC$1)</f>
        <v>#REF!</v>
      </c>
      <c r="BD24" s="24" t="e">
        <f>SUMIFS(#REF!,#REF!,$B24,#REF!,BD$1)</f>
        <v>#REF!</v>
      </c>
      <c r="BE24" s="24" t="e">
        <f>SUMIFS(#REF!,#REF!,$B24,#REF!,BE$1)</f>
        <v>#REF!</v>
      </c>
      <c r="BF24" s="24" t="e">
        <f>SUMIFS(#REF!,#REF!,$B24,#REF!,BF$1)</f>
        <v>#REF!</v>
      </c>
      <c r="BG24" s="24" t="e">
        <f>SUMIFS(#REF!,#REF!,$B24,#REF!,BG$1)</f>
        <v>#REF!</v>
      </c>
      <c r="BH24" s="24" t="e">
        <f>SUMIFS(#REF!,#REF!,$B24,#REF!,BH$1)</f>
        <v>#REF!</v>
      </c>
      <c r="BI24" s="24" t="e">
        <f>SUMIFS(#REF!,#REF!,$B24,#REF!,BI$1)</f>
        <v>#REF!</v>
      </c>
      <c r="BJ24" s="24" t="e">
        <f>SUMIFS(#REF!,#REF!,$B24,#REF!,BJ$1)</f>
        <v>#REF!</v>
      </c>
      <c r="BK24" s="24" t="e">
        <f>SUMIFS(#REF!,#REF!,$B24,#REF!,BK$1)</f>
        <v>#REF!</v>
      </c>
      <c r="BL24" s="24" t="e">
        <f>SUMIFS(#REF!,#REF!,$B24,#REF!,BL$1)</f>
        <v>#REF!</v>
      </c>
      <c r="BM24" s="24" t="e">
        <f>SUMIFS(#REF!,#REF!,$B24,#REF!,BM$1)</f>
        <v>#REF!</v>
      </c>
      <c r="BN24" s="24" t="e">
        <f>SUMIFS(#REF!,#REF!,$B24,#REF!,BN$1)</f>
        <v>#REF!</v>
      </c>
      <c r="BO24" s="24" t="e">
        <f>SUMIFS(#REF!,#REF!,$B24,#REF!,BO$1)</f>
        <v>#REF!</v>
      </c>
      <c r="BP24" s="24" t="e">
        <f>SUMIFS(#REF!,#REF!,$B24,#REF!,BP$1)</f>
        <v>#REF!</v>
      </c>
      <c r="BQ24" s="24" t="e">
        <f>SUMIFS(#REF!,#REF!,$B24,#REF!,BQ$1)</f>
        <v>#REF!</v>
      </c>
      <c r="BR24" s="24" t="e">
        <f>SUMIFS(#REF!,#REF!,$B24,#REF!,BR$1)</f>
        <v>#REF!</v>
      </c>
      <c r="BS24" s="24" t="e">
        <f>SUMIFS(#REF!,#REF!,$B24,#REF!,BS$1)</f>
        <v>#REF!</v>
      </c>
      <c r="BT24" s="24" t="e">
        <f>SUMIFS(#REF!,#REF!,$B24,#REF!,BT$1)</f>
        <v>#REF!</v>
      </c>
      <c r="BU24" s="24" t="e">
        <f>SUMIFS(#REF!,#REF!,$B24,#REF!,BU$1)</f>
        <v>#REF!</v>
      </c>
      <c r="BV24" s="24" t="e">
        <f>SUMIFS(#REF!,#REF!,$B24,#REF!,BV$1)</f>
        <v>#REF!</v>
      </c>
      <c r="BW24" s="24" t="e">
        <f>SUMIFS(#REF!,#REF!,$B24,#REF!,BW$1)</f>
        <v>#REF!</v>
      </c>
      <c r="BX24" s="24" t="e">
        <f>SUMIFS(#REF!,#REF!,$B24,#REF!,BX$1)</f>
        <v>#REF!</v>
      </c>
      <c r="BY24" s="24" t="e">
        <f>SUMIFS(#REF!,#REF!,$B24,#REF!,BY$1)</f>
        <v>#REF!</v>
      </c>
      <c r="BZ24" s="24" t="e">
        <f>SUMIFS(#REF!,#REF!,$B24,#REF!,BZ$1)</f>
        <v>#REF!</v>
      </c>
      <c r="CA24" s="24" t="e">
        <f>SUMIFS(#REF!,#REF!,$B24,#REF!,CA$1)</f>
        <v>#REF!</v>
      </c>
      <c r="CB24" s="24" t="e">
        <f>SUMIFS(#REF!,#REF!,$B24,#REF!,CB$1)</f>
        <v>#REF!</v>
      </c>
      <c r="CC24" s="24" t="e">
        <f>SUMIFS(#REF!,#REF!,$B24,#REF!,CC$1)</f>
        <v>#REF!</v>
      </c>
      <c r="CD24" s="24" t="e">
        <f>SUMIFS(#REF!,#REF!,$B24,#REF!,CD$1)</f>
        <v>#REF!</v>
      </c>
      <c r="CE24" s="24" t="e">
        <f>SUMIFS(#REF!,#REF!,$B24,#REF!,CE$1)</f>
        <v>#REF!</v>
      </c>
      <c r="CF24" s="24" t="e">
        <f>SUMIFS(#REF!,#REF!,$B24,#REF!,CF$1)</f>
        <v>#REF!</v>
      </c>
      <c r="CG24" s="19" t="e">
        <f t="shared" si="0"/>
        <v>#REF!</v>
      </c>
    </row>
    <row r="25" spans="1:85" x14ac:dyDescent="0.45">
      <c r="A25" s="4" t="s">
        <v>1031</v>
      </c>
      <c r="B25" s="4" t="s">
        <v>1032</v>
      </c>
      <c r="C25" s="24" t="e">
        <f>SUMIFS(#REF!,#REF!,$B25,#REF!,C$1)</f>
        <v>#REF!</v>
      </c>
      <c r="D25" s="24" t="e">
        <f>SUMIFS(#REF!,#REF!,$B25,#REF!,D$1)</f>
        <v>#REF!</v>
      </c>
      <c r="E25" s="24" t="e">
        <f>SUMIFS(#REF!,#REF!,$B25,#REF!,E$1)</f>
        <v>#REF!</v>
      </c>
      <c r="F25" s="24" t="e">
        <f>SUMIFS(#REF!,#REF!,$B25,#REF!,F$1)</f>
        <v>#REF!</v>
      </c>
      <c r="G25" s="24" t="e">
        <f>SUMIFS(#REF!,#REF!,$B25,#REF!,G$1)</f>
        <v>#REF!</v>
      </c>
      <c r="H25" s="24" t="e">
        <f>SUMIFS(#REF!,#REF!,$B25,#REF!,H$1)</f>
        <v>#REF!</v>
      </c>
      <c r="I25" s="24" t="e">
        <f>SUMIFS(#REF!,#REF!,$B25,#REF!,I$1)</f>
        <v>#REF!</v>
      </c>
      <c r="J25" s="24" t="e">
        <f>SUMIFS(#REF!,#REF!,$B25,#REF!,J$1)</f>
        <v>#REF!</v>
      </c>
      <c r="K25" s="24" t="e">
        <f>SUMIFS(#REF!,#REF!,$B25,#REF!,K$1)</f>
        <v>#REF!</v>
      </c>
      <c r="L25" s="24" t="e">
        <f>SUMIFS(#REF!,#REF!,$B25,#REF!,L$1)</f>
        <v>#REF!</v>
      </c>
      <c r="M25" s="24" t="e">
        <f>SUMIFS(#REF!,#REF!,$B25,#REF!,M$1)</f>
        <v>#REF!</v>
      </c>
      <c r="N25" s="24" t="e">
        <f>SUMIFS(#REF!,#REF!,$B25,#REF!,N$1)</f>
        <v>#REF!</v>
      </c>
      <c r="O25" s="24" t="e">
        <f>SUMIFS(#REF!,#REF!,$B25,#REF!,O$1)</f>
        <v>#REF!</v>
      </c>
      <c r="P25" s="24" t="e">
        <f>SUMIFS(#REF!,#REF!,$B25,#REF!,P$1)</f>
        <v>#REF!</v>
      </c>
      <c r="Q25" s="24" t="e">
        <f>SUMIFS(#REF!,#REF!,$B25,#REF!,Q$1)</f>
        <v>#REF!</v>
      </c>
      <c r="R25" s="24" t="e">
        <f>SUMIFS(#REF!,#REF!,$B25,#REF!,R$1)</f>
        <v>#REF!</v>
      </c>
      <c r="S25" s="24" t="e">
        <f>SUMIFS(#REF!,#REF!,$B25,#REF!,S$1)</f>
        <v>#REF!</v>
      </c>
      <c r="T25" s="24" t="e">
        <f>SUMIFS(#REF!,#REF!,$B25,#REF!,T$1)</f>
        <v>#REF!</v>
      </c>
      <c r="U25" s="24" t="e">
        <f>SUMIFS(#REF!,#REF!,$B25,#REF!,U$1)</f>
        <v>#REF!</v>
      </c>
      <c r="V25" s="24" t="e">
        <f>SUMIFS(#REF!,#REF!,$B25,#REF!,V$1)</f>
        <v>#REF!</v>
      </c>
      <c r="W25" s="24" t="e">
        <f>SUMIFS(#REF!,#REF!,$B25,#REF!,W$1)</f>
        <v>#REF!</v>
      </c>
      <c r="X25" s="24" t="e">
        <f>SUMIFS(#REF!,#REF!,$B25,#REF!,X$1)</f>
        <v>#REF!</v>
      </c>
      <c r="Y25" s="24" t="e">
        <f>SUMIFS(#REF!,#REF!,$B25,#REF!,Y$1)</f>
        <v>#REF!</v>
      </c>
      <c r="Z25" s="24" t="e">
        <f>SUMIFS(#REF!,#REF!,$B25,#REF!,Z$1)</f>
        <v>#REF!</v>
      </c>
      <c r="AA25" s="24" t="e">
        <f>SUMIFS(#REF!,#REF!,$B25,#REF!,AA$1)</f>
        <v>#REF!</v>
      </c>
      <c r="AB25" s="24" t="e">
        <f>SUMIFS(#REF!,#REF!,$B25,#REF!,AB$1)</f>
        <v>#REF!</v>
      </c>
      <c r="AC25" s="24" t="e">
        <f>SUMIFS(#REF!,#REF!,$B25,#REF!,AC$1)</f>
        <v>#REF!</v>
      </c>
      <c r="AD25" s="24" t="e">
        <f>SUMIFS(#REF!,#REF!,$B25,#REF!,AD$1)</f>
        <v>#REF!</v>
      </c>
      <c r="AE25" s="24" t="e">
        <f>SUMIFS(#REF!,#REF!,$B25,#REF!,AE$1)</f>
        <v>#REF!</v>
      </c>
      <c r="AF25" s="24" t="e">
        <f>SUMIFS(#REF!,#REF!,$B25,#REF!,AF$1)</f>
        <v>#REF!</v>
      </c>
      <c r="AG25" s="24" t="e">
        <f>SUMIFS(#REF!,#REF!,$B25,#REF!,AG$1)</f>
        <v>#REF!</v>
      </c>
      <c r="AH25" s="24" t="e">
        <f>SUMIFS(#REF!,#REF!,$B25,#REF!,AH$1)</f>
        <v>#REF!</v>
      </c>
      <c r="AI25" s="24" t="e">
        <f>SUMIFS(#REF!,#REF!,$B25,#REF!,AI$1)</f>
        <v>#REF!</v>
      </c>
      <c r="AJ25" s="24" t="e">
        <f>SUMIFS(#REF!,#REF!,$B25,#REF!,AJ$1)</f>
        <v>#REF!</v>
      </c>
      <c r="AK25" s="24" t="e">
        <f>SUMIFS(#REF!,#REF!,$B25,#REF!,AK$1)</f>
        <v>#REF!</v>
      </c>
      <c r="AL25" s="24" t="e">
        <f>SUMIFS(#REF!,#REF!,$B25,#REF!,AL$1)</f>
        <v>#REF!</v>
      </c>
      <c r="AM25" s="24" t="e">
        <f>SUMIFS(#REF!,#REF!,$B25,#REF!,AM$1)</f>
        <v>#REF!</v>
      </c>
      <c r="AN25" s="24" t="e">
        <f>SUMIFS(#REF!,#REF!,$B25,#REF!,AN$1)</f>
        <v>#REF!</v>
      </c>
      <c r="AO25" s="24" t="e">
        <f>SUMIFS(#REF!,#REF!,$B25,#REF!,AO$1)</f>
        <v>#REF!</v>
      </c>
      <c r="AP25" s="24" t="e">
        <f>SUMIFS(#REF!,#REF!,$B25,#REF!,AP$1)</f>
        <v>#REF!</v>
      </c>
      <c r="AQ25" s="24" t="e">
        <f>SUMIFS(#REF!,#REF!,$B25,#REF!,AQ$1)</f>
        <v>#REF!</v>
      </c>
      <c r="AR25" s="24" t="e">
        <f>SUMIFS(#REF!,#REF!,$B25,#REF!,AR$1)</f>
        <v>#REF!</v>
      </c>
      <c r="AS25" s="24" t="e">
        <f>SUMIFS(#REF!,#REF!,$B25,#REF!,AS$1)</f>
        <v>#REF!</v>
      </c>
      <c r="AT25" s="24" t="e">
        <f>SUMIFS(#REF!,#REF!,$B25,#REF!,AT$1)</f>
        <v>#REF!</v>
      </c>
      <c r="AU25" s="24" t="e">
        <f>SUMIFS(#REF!,#REF!,$B25,#REF!,AU$1)</f>
        <v>#REF!</v>
      </c>
      <c r="AV25" s="24" t="e">
        <f>SUMIFS(#REF!,#REF!,$B25,#REF!,AV$1)</f>
        <v>#REF!</v>
      </c>
      <c r="AW25" s="24" t="e">
        <f>SUMIFS(#REF!,#REF!,$B25,#REF!,AW$1)</f>
        <v>#REF!</v>
      </c>
      <c r="AX25" s="24" t="e">
        <f>SUMIFS(#REF!,#REF!,$B25,#REF!,AX$1)</f>
        <v>#REF!</v>
      </c>
      <c r="AY25" s="24" t="e">
        <f>SUMIFS(#REF!,#REF!,$B25,#REF!,AY$1)</f>
        <v>#REF!</v>
      </c>
      <c r="AZ25" s="24" t="e">
        <f>SUMIFS(#REF!,#REF!,$B25,#REF!,AZ$1)</f>
        <v>#REF!</v>
      </c>
      <c r="BA25" s="24" t="e">
        <f>SUMIFS(#REF!,#REF!,$B25,#REF!,BA$1)</f>
        <v>#REF!</v>
      </c>
      <c r="BB25" s="24" t="e">
        <f>SUMIFS(#REF!,#REF!,$B25,#REF!,BB$1)</f>
        <v>#REF!</v>
      </c>
      <c r="BC25" s="24" t="e">
        <f>SUMIFS(#REF!,#REF!,$B25,#REF!,BC$1)</f>
        <v>#REF!</v>
      </c>
      <c r="BD25" s="24" t="e">
        <f>SUMIFS(#REF!,#REF!,$B25,#REF!,BD$1)</f>
        <v>#REF!</v>
      </c>
      <c r="BE25" s="24" t="e">
        <f>SUMIFS(#REF!,#REF!,$B25,#REF!,BE$1)</f>
        <v>#REF!</v>
      </c>
      <c r="BF25" s="24" t="e">
        <f>SUMIFS(#REF!,#REF!,$B25,#REF!,BF$1)</f>
        <v>#REF!</v>
      </c>
      <c r="BG25" s="24" t="e">
        <f>SUMIFS(#REF!,#REF!,$B25,#REF!,BG$1)</f>
        <v>#REF!</v>
      </c>
      <c r="BH25" s="24" t="e">
        <f>SUMIFS(#REF!,#REF!,$B25,#REF!,BH$1)</f>
        <v>#REF!</v>
      </c>
      <c r="BI25" s="24" t="e">
        <f>SUMIFS(#REF!,#REF!,$B25,#REF!,BI$1)</f>
        <v>#REF!</v>
      </c>
      <c r="BJ25" s="24" t="e">
        <f>SUMIFS(#REF!,#REF!,$B25,#REF!,BJ$1)</f>
        <v>#REF!</v>
      </c>
      <c r="BK25" s="24" t="e">
        <f>SUMIFS(#REF!,#REF!,$B25,#REF!,BK$1)</f>
        <v>#REF!</v>
      </c>
      <c r="BL25" s="24" t="e">
        <f>SUMIFS(#REF!,#REF!,$B25,#REF!,BL$1)</f>
        <v>#REF!</v>
      </c>
      <c r="BM25" s="24" t="e">
        <f>SUMIFS(#REF!,#REF!,$B25,#REF!,BM$1)</f>
        <v>#REF!</v>
      </c>
      <c r="BN25" s="24" t="e">
        <f>SUMIFS(#REF!,#REF!,$B25,#REF!,BN$1)</f>
        <v>#REF!</v>
      </c>
      <c r="BO25" s="24" t="e">
        <f>SUMIFS(#REF!,#REF!,$B25,#REF!,BO$1)</f>
        <v>#REF!</v>
      </c>
      <c r="BP25" s="24" t="e">
        <f>SUMIFS(#REF!,#REF!,$B25,#REF!,BP$1)</f>
        <v>#REF!</v>
      </c>
      <c r="BQ25" s="24" t="e">
        <f>SUMIFS(#REF!,#REF!,$B25,#REF!,BQ$1)</f>
        <v>#REF!</v>
      </c>
      <c r="BR25" s="24" t="e">
        <f>SUMIFS(#REF!,#REF!,$B25,#REF!,BR$1)</f>
        <v>#REF!</v>
      </c>
      <c r="BS25" s="24" t="e">
        <f>SUMIFS(#REF!,#REF!,$B25,#REF!,BS$1)</f>
        <v>#REF!</v>
      </c>
      <c r="BT25" s="24" t="e">
        <f>SUMIFS(#REF!,#REF!,$B25,#REF!,BT$1)</f>
        <v>#REF!</v>
      </c>
      <c r="BU25" s="24" t="e">
        <f>SUMIFS(#REF!,#REF!,$B25,#REF!,BU$1)</f>
        <v>#REF!</v>
      </c>
      <c r="BV25" s="24" t="e">
        <f>SUMIFS(#REF!,#REF!,$B25,#REF!,BV$1)</f>
        <v>#REF!</v>
      </c>
      <c r="BW25" s="24" t="e">
        <f>SUMIFS(#REF!,#REF!,$B25,#REF!,BW$1)</f>
        <v>#REF!</v>
      </c>
      <c r="BX25" s="24" t="e">
        <f>SUMIFS(#REF!,#REF!,$B25,#REF!,BX$1)</f>
        <v>#REF!</v>
      </c>
      <c r="BY25" s="24" t="e">
        <f>SUMIFS(#REF!,#REF!,$B25,#REF!,BY$1)</f>
        <v>#REF!</v>
      </c>
      <c r="BZ25" s="24" t="e">
        <f>SUMIFS(#REF!,#REF!,$B25,#REF!,BZ$1)</f>
        <v>#REF!</v>
      </c>
      <c r="CA25" s="24" t="e">
        <f>SUMIFS(#REF!,#REF!,$B25,#REF!,CA$1)</f>
        <v>#REF!</v>
      </c>
      <c r="CB25" s="24" t="e">
        <f>SUMIFS(#REF!,#REF!,$B25,#REF!,CB$1)</f>
        <v>#REF!</v>
      </c>
      <c r="CC25" s="24" t="e">
        <f>SUMIFS(#REF!,#REF!,$B25,#REF!,CC$1)</f>
        <v>#REF!</v>
      </c>
      <c r="CD25" s="24" t="e">
        <f>SUMIFS(#REF!,#REF!,$B25,#REF!,CD$1)</f>
        <v>#REF!</v>
      </c>
      <c r="CE25" s="24" t="e">
        <f>SUMIFS(#REF!,#REF!,$B25,#REF!,CE$1)</f>
        <v>#REF!</v>
      </c>
      <c r="CF25" s="24" t="e">
        <f>SUMIFS(#REF!,#REF!,$B25,#REF!,CF$1)</f>
        <v>#REF!</v>
      </c>
      <c r="CG25" s="19" t="e">
        <f t="shared" si="0"/>
        <v>#REF!</v>
      </c>
    </row>
    <row r="26" spans="1:85" x14ac:dyDescent="0.45">
      <c r="A26" s="4" t="s">
        <v>1033</v>
      </c>
      <c r="B26" s="4" t="s">
        <v>1034</v>
      </c>
      <c r="C26" s="24" t="e">
        <f>SUMIFS(#REF!,#REF!,$B26,#REF!,C$1)</f>
        <v>#REF!</v>
      </c>
      <c r="D26" s="24" t="e">
        <f>SUMIFS(#REF!,#REF!,$B26,#REF!,D$1)</f>
        <v>#REF!</v>
      </c>
      <c r="E26" s="24" t="e">
        <f>SUMIFS(#REF!,#REF!,$B26,#REF!,E$1)</f>
        <v>#REF!</v>
      </c>
      <c r="F26" s="24" t="e">
        <f>SUMIFS(#REF!,#REF!,$B26,#REF!,F$1)</f>
        <v>#REF!</v>
      </c>
      <c r="G26" s="24" t="e">
        <f>SUMIFS(#REF!,#REF!,$B26,#REF!,G$1)</f>
        <v>#REF!</v>
      </c>
      <c r="H26" s="24" t="e">
        <f>SUMIFS(#REF!,#REF!,$B26,#REF!,H$1)</f>
        <v>#REF!</v>
      </c>
      <c r="I26" s="24" t="e">
        <f>SUMIFS(#REF!,#REF!,$B26,#REF!,I$1)</f>
        <v>#REF!</v>
      </c>
      <c r="J26" s="24" t="e">
        <f>SUMIFS(#REF!,#REF!,$B26,#REF!,J$1)</f>
        <v>#REF!</v>
      </c>
      <c r="K26" s="24" t="e">
        <f>SUMIFS(#REF!,#REF!,$B26,#REF!,K$1)</f>
        <v>#REF!</v>
      </c>
      <c r="L26" s="24" t="e">
        <f>SUMIFS(#REF!,#REF!,$B26,#REF!,L$1)</f>
        <v>#REF!</v>
      </c>
      <c r="M26" s="24" t="e">
        <f>SUMIFS(#REF!,#REF!,$B26,#REF!,M$1)</f>
        <v>#REF!</v>
      </c>
      <c r="N26" s="24" t="e">
        <f>SUMIFS(#REF!,#REF!,$B26,#REF!,N$1)</f>
        <v>#REF!</v>
      </c>
      <c r="O26" s="24" t="e">
        <f>SUMIFS(#REF!,#REF!,$B26,#REF!,O$1)</f>
        <v>#REF!</v>
      </c>
      <c r="P26" s="24" t="e">
        <f>SUMIFS(#REF!,#REF!,$B26,#REF!,P$1)</f>
        <v>#REF!</v>
      </c>
      <c r="Q26" s="24" t="e">
        <f>SUMIFS(#REF!,#REF!,$B26,#REF!,Q$1)</f>
        <v>#REF!</v>
      </c>
      <c r="R26" s="24" t="e">
        <f>SUMIFS(#REF!,#REF!,$B26,#REF!,R$1)</f>
        <v>#REF!</v>
      </c>
      <c r="S26" s="24" t="e">
        <f>SUMIFS(#REF!,#REF!,$B26,#REF!,S$1)</f>
        <v>#REF!</v>
      </c>
      <c r="T26" s="24" t="e">
        <f>SUMIFS(#REF!,#REF!,$B26,#REF!,T$1)</f>
        <v>#REF!</v>
      </c>
      <c r="U26" s="24" t="e">
        <f>SUMIFS(#REF!,#REF!,$B26,#REF!,U$1)</f>
        <v>#REF!</v>
      </c>
      <c r="V26" s="24" t="e">
        <f>SUMIFS(#REF!,#REF!,$B26,#REF!,V$1)</f>
        <v>#REF!</v>
      </c>
      <c r="W26" s="24" t="e">
        <f>SUMIFS(#REF!,#REF!,$B26,#REF!,W$1)</f>
        <v>#REF!</v>
      </c>
      <c r="X26" s="24" t="e">
        <f>SUMIFS(#REF!,#REF!,$B26,#REF!,X$1)</f>
        <v>#REF!</v>
      </c>
      <c r="Y26" s="24" t="e">
        <f>SUMIFS(#REF!,#REF!,$B26,#REF!,Y$1)</f>
        <v>#REF!</v>
      </c>
      <c r="Z26" s="24" t="e">
        <f>SUMIFS(#REF!,#REF!,$B26,#REF!,Z$1)</f>
        <v>#REF!</v>
      </c>
      <c r="AA26" s="24" t="e">
        <f>SUMIFS(#REF!,#REF!,$B26,#REF!,AA$1)</f>
        <v>#REF!</v>
      </c>
      <c r="AB26" s="24" t="e">
        <f>SUMIFS(#REF!,#REF!,$B26,#REF!,AB$1)</f>
        <v>#REF!</v>
      </c>
      <c r="AC26" s="24" t="e">
        <f>SUMIFS(#REF!,#REF!,$B26,#REF!,AC$1)</f>
        <v>#REF!</v>
      </c>
      <c r="AD26" s="24" t="e">
        <f>SUMIFS(#REF!,#REF!,$B26,#REF!,AD$1)</f>
        <v>#REF!</v>
      </c>
      <c r="AE26" s="24" t="e">
        <f>SUMIFS(#REF!,#REF!,$B26,#REF!,AE$1)</f>
        <v>#REF!</v>
      </c>
      <c r="AF26" s="24" t="e">
        <f>SUMIFS(#REF!,#REF!,$B26,#REF!,AF$1)</f>
        <v>#REF!</v>
      </c>
      <c r="AG26" s="24" t="e">
        <f>SUMIFS(#REF!,#REF!,$B26,#REF!,AG$1)</f>
        <v>#REF!</v>
      </c>
      <c r="AH26" s="24" t="e">
        <f>SUMIFS(#REF!,#REF!,$B26,#REF!,AH$1)</f>
        <v>#REF!</v>
      </c>
      <c r="AI26" s="24" t="e">
        <f>SUMIFS(#REF!,#REF!,$B26,#REF!,AI$1)</f>
        <v>#REF!</v>
      </c>
      <c r="AJ26" s="24" t="e">
        <f>SUMIFS(#REF!,#REF!,$B26,#REF!,AJ$1)</f>
        <v>#REF!</v>
      </c>
      <c r="AK26" s="24" t="e">
        <f>SUMIFS(#REF!,#REF!,$B26,#REF!,AK$1)</f>
        <v>#REF!</v>
      </c>
      <c r="AL26" s="24" t="e">
        <f>SUMIFS(#REF!,#REF!,$B26,#REF!,AL$1)</f>
        <v>#REF!</v>
      </c>
      <c r="AM26" s="24" t="e">
        <f>SUMIFS(#REF!,#REF!,$B26,#REF!,AM$1)</f>
        <v>#REF!</v>
      </c>
      <c r="AN26" s="24" t="e">
        <f>SUMIFS(#REF!,#REF!,$B26,#REF!,AN$1)</f>
        <v>#REF!</v>
      </c>
      <c r="AO26" s="24" t="e">
        <f>SUMIFS(#REF!,#REF!,$B26,#REF!,AO$1)</f>
        <v>#REF!</v>
      </c>
      <c r="AP26" s="24" t="e">
        <f>SUMIFS(#REF!,#REF!,$B26,#REF!,AP$1)</f>
        <v>#REF!</v>
      </c>
      <c r="AQ26" s="24" t="e">
        <f>SUMIFS(#REF!,#REF!,$B26,#REF!,AQ$1)</f>
        <v>#REF!</v>
      </c>
      <c r="AR26" s="24" t="e">
        <f>SUMIFS(#REF!,#REF!,$B26,#REF!,AR$1)</f>
        <v>#REF!</v>
      </c>
      <c r="AS26" s="24" t="e">
        <f>SUMIFS(#REF!,#REF!,$B26,#REF!,AS$1)</f>
        <v>#REF!</v>
      </c>
      <c r="AT26" s="24" t="e">
        <f>SUMIFS(#REF!,#REF!,$B26,#REF!,AT$1)</f>
        <v>#REF!</v>
      </c>
      <c r="AU26" s="24" t="e">
        <f>SUMIFS(#REF!,#REF!,$B26,#REF!,AU$1)</f>
        <v>#REF!</v>
      </c>
      <c r="AV26" s="24" t="e">
        <f>SUMIFS(#REF!,#REF!,$B26,#REF!,AV$1)</f>
        <v>#REF!</v>
      </c>
      <c r="AW26" s="24" t="e">
        <f>SUMIFS(#REF!,#REF!,$B26,#REF!,AW$1)</f>
        <v>#REF!</v>
      </c>
      <c r="AX26" s="24" t="e">
        <f>SUMIFS(#REF!,#REF!,$B26,#REF!,AX$1)</f>
        <v>#REF!</v>
      </c>
      <c r="AY26" s="24" t="e">
        <f>SUMIFS(#REF!,#REF!,$B26,#REF!,AY$1)</f>
        <v>#REF!</v>
      </c>
      <c r="AZ26" s="24" t="e">
        <f>SUMIFS(#REF!,#REF!,$B26,#REF!,AZ$1)</f>
        <v>#REF!</v>
      </c>
      <c r="BA26" s="24" t="e">
        <f>SUMIFS(#REF!,#REF!,$B26,#REF!,BA$1)</f>
        <v>#REF!</v>
      </c>
      <c r="BB26" s="24" t="e">
        <f>SUMIFS(#REF!,#REF!,$B26,#REF!,BB$1)</f>
        <v>#REF!</v>
      </c>
      <c r="BC26" s="24" t="e">
        <f>SUMIFS(#REF!,#REF!,$B26,#REF!,BC$1)</f>
        <v>#REF!</v>
      </c>
      <c r="BD26" s="24" t="e">
        <f>SUMIFS(#REF!,#REF!,$B26,#REF!,BD$1)</f>
        <v>#REF!</v>
      </c>
      <c r="BE26" s="24" t="e">
        <f>SUMIFS(#REF!,#REF!,$B26,#REF!,BE$1)</f>
        <v>#REF!</v>
      </c>
      <c r="BF26" s="24" t="e">
        <f>SUMIFS(#REF!,#REF!,$B26,#REF!,BF$1)</f>
        <v>#REF!</v>
      </c>
      <c r="BG26" s="24" t="e">
        <f>SUMIFS(#REF!,#REF!,$B26,#REF!,BG$1)</f>
        <v>#REF!</v>
      </c>
      <c r="BH26" s="24" t="e">
        <f>SUMIFS(#REF!,#REF!,$B26,#REF!,BH$1)</f>
        <v>#REF!</v>
      </c>
      <c r="BI26" s="24" t="e">
        <f>SUMIFS(#REF!,#REF!,$B26,#REF!,BI$1)</f>
        <v>#REF!</v>
      </c>
      <c r="BJ26" s="24" t="e">
        <f>SUMIFS(#REF!,#REF!,$B26,#REF!,BJ$1)</f>
        <v>#REF!</v>
      </c>
      <c r="BK26" s="24" t="e">
        <f>SUMIFS(#REF!,#REF!,$B26,#REF!,BK$1)</f>
        <v>#REF!</v>
      </c>
      <c r="BL26" s="24" t="e">
        <f>SUMIFS(#REF!,#REF!,$B26,#REF!,BL$1)</f>
        <v>#REF!</v>
      </c>
      <c r="BM26" s="24" t="e">
        <f>SUMIFS(#REF!,#REF!,$B26,#REF!,BM$1)</f>
        <v>#REF!</v>
      </c>
      <c r="BN26" s="24" t="e">
        <f>SUMIFS(#REF!,#REF!,$B26,#REF!,BN$1)</f>
        <v>#REF!</v>
      </c>
      <c r="BO26" s="24" t="e">
        <f>SUMIFS(#REF!,#REF!,$B26,#REF!,BO$1)</f>
        <v>#REF!</v>
      </c>
      <c r="BP26" s="24" t="e">
        <f>SUMIFS(#REF!,#REF!,$B26,#REF!,BP$1)</f>
        <v>#REF!</v>
      </c>
      <c r="BQ26" s="24" t="e">
        <f>SUMIFS(#REF!,#REF!,$B26,#REF!,BQ$1)</f>
        <v>#REF!</v>
      </c>
      <c r="BR26" s="24" t="e">
        <f>SUMIFS(#REF!,#REF!,$B26,#REF!,BR$1)</f>
        <v>#REF!</v>
      </c>
      <c r="BS26" s="24" t="e">
        <f>SUMIFS(#REF!,#REF!,$B26,#REF!,BS$1)</f>
        <v>#REF!</v>
      </c>
      <c r="BT26" s="24" t="e">
        <f>SUMIFS(#REF!,#REF!,$B26,#REF!,BT$1)</f>
        <v>#REF!</v>
      </c>
      <c r="BU26" s="24" t="e">
        <f>SUMIFS(#REF!,#REF!,$B26,#REF!,BU$1)</f>
        <v>#REF!</v>
      </c>
      <c r="BV26" s="24" t="e">
        <f>SUMIFS(#REF!,#REF!,$B26,#REF!,BV$1)</f>
        <v>#REF!</v>
      </c>
      <c r="BW26" s="24" t="e">
        <f>SUMIFS(#REF!,#REF!,$B26,#REF!,BW$1)</f>
        <v>#REF!</v>
      </c>
      <c r="BX26" s="24" t="e">
        <f>SUMIFS(#REF!,#REF!,$B26,#REF!,BX$1)</f>
        <v>#REF!</v>
      </c>
      <c r="BY26" s="24" t="e">
        <f>SUMIFS(#REF!,#REF!,$B26,#REF!,BY$1)</f>
        <v>#REF!</v>
      </c>
      <c r="BZ26" s="24" t="e">
        <f>SUMIFS(#REF!,#REF!,$B26,#REF!,BZ$1)</f>
        <v>#REF!</v>
      </c>
      <c r="CA26" s="24" t="e">
        <f>SUMIFS(#REF!,#REF!,$B26,#REF!,CA$1)</f>
        <v>#REF!</v>
      </c>
      <c r="CB26" s="24" t="e">
        <f>SUMIFS(#REF!,#REF!,$B26,#REF!,CB$1)</f>
        <v>#REF!</v>
      </c>
      <c r="CC26" s="24" t="e">
        <f>SUMIFS(#REF!,#REF!,$B26,#REF!,CC$1)</f>
        <v>#REF!</v>
      </c>
      <c r="CD26" s="24" t="e">
        <f>SUMIFS(#REF!,#REF!,$B26,#REF!,CD$1)</f>
        <v>#REF!</v>
      </c>
      <c r="CE26" s="24" t="e">
        <f>SUMIFS(#REF!,#REF!,$B26,#REF!,CE$1)</f>
        <v>#REF!</v>
      </c>
      <c r="CF26" s="24" t="e">
        <f>SUMIFS(#REF!,#REF!,$B26,#REF!,CF$1)</f>
        <v>#REF!</v>
      </c>
      <c r="CG26" s="19" t="e">
        <f t="shared" si="0"/>
        <v>#REF!</v>
      </c>
    </row>
    <row r="27" spans="1:85" x14ac:dyDescent="0.45">
      <c r="A27" s="4" t="s">
        <v>1035</v>
      </c>
      <c r="B27" s="4" t="s">
        <v>1036</v>
      </c>
      <c r="C27" s="24" t="e">
        <f>SUMIFS(#REF!,#REF!,$B27,#REF!,C$1)</f>
        <v>#REF!</v>
      </c>
      <c r="D27" s="24" t="e">
        <f>SUMIFS(#REF!,#REF!,$B27,#REF!,D$1)</f>
        <v>#REF!</v>
      </c>
      <c r="E27" s="24" t="e">
        <f>SUMIFS(#REF!,#REF!,$B27,#REF!,E$1)</f>
        <v>#REF!</v>
      </c>
      <c r="F27" s="24" t="e">
        <f>SUMIFS(#REF!,#REF!,$B27,#REF!,F$1)</f>
        <v>#REF!</v>
      </c>
      <c r="G27" s="24" t="e">
        <f>SUMIFS(#REF!,#REF!,$B27,#REF!,G$1)</f>
        <v>#REF!</v>
      </c>
      <c r="H27" s="24" t="e">
        <f>SUMIFS(#REF!,#REF!,$B27,#REF!,H$1)</f>
        <v>#REF!</v>
      </c>
      <c r="I27" s="24" t="e">
        <f>SUMIFS(#REF!,#REF!,$B27,#REF!,I$1)</f>
        <v>#REF!</v>
      </c>
      <c r="J27" s="24" t="e">
        <f>SUMIFS(#REF!,#REF!,$B27,#REF!,J$1)</f>
        <v>#REF!</v>
      </c>
      <c r="K27" s="24" t="e">
        <f>SUMIFS(#REF!,#REF!,$B27,#REF!,K$1)</f>
        <v>#REF!</v>
      </c>
      <c r="L27" s="24" t="e">
        <f>SUMIFS(#REF!,#REF!,$B27,#REF!,L$1)</f>
        <v>#REF!</v>
      </c>
      <c r="M27" s="24" t="e">
        <f>SUMIFS(#REF!,#REF!,$B27,#REF!,M$1)</f>
        <v>#REF!</v>
      </c>
      <c r="N27" s="24" t="e">
        <f>SUMIFS(#REF!,#REF!,$B27,#REF!,N$1)</f>
        <v>#REF!</v>
      </c>
      <c r="O27" s="24" t="e">
        <f>SUMIFS(#REF!,#REF!,$B27,#REF!,O$1)</f>
        <v>#REF!</v>
      </c>
      <c r="P27" s="24" t="e">
        <f>SUMIFS(#REF!,#REF!,$B27,#REF!,P$1)</f>
        <v>#REF!</v>
      </c>
      <c r="Q27" s="24" t="e">
        <f>SUMIFS(#REF!,#REF!,$B27,#REF!,Q$1)</f>
        <v>#REF!</v>
      </c>
      <c r="R27" s="24" t="e">
        <f>SUMIFS(#REF!,#REF!,$B27,#REF!,R$1)</f>
        <v>#REF!</v>
      </c>
      <c r="S27" s="24" t="e">
        <f>SUMIFS(#REF!,#REF!,$B27,#REF!,S$1)</f>
        <v>#REF!</v>
      </c>
      <c r="T27" s="24" t="e">
        <f>SUMIFS(#REF!,#REF!,$B27,#REF!,T$1)</f>
        <v>#REF!</v>
      </c>
      <c r="U27" s="24" t="e">
        <f>SUMIFS(#REF!,#REF!,$B27,#REF!,U$1)</f>
        <v>#REF!</v>
      </c>
      <c r="V27" s="24" t="e">
        <f>SUMIFS(#REF!,#REF!,$B27,#REF!,V$1)</f>
        <v>#REF!</v>
      </c>
      <c r="W27" s="24" t="e">
        <f>SUMIFS(#REF!,#REF!,$B27,#REF!,W$1)</f>
        <v>#REF!</v>
      </c>
      <c r="X27" s="24" t="e">
        <f>SUMIFS(#REF!,#REF!,$B27,#REF!,X$1)</f>
        <v>#REF!</v>
      </c>
      <c r="Y27" s="24" t="e">
        <f>SUMIFS(#REF!,#REF!,$B27,#REF!,Y$1)</f>
        <v>#REF!</v>
      </c>
      <c r="Z27" s="24" t="e">
        <f>SUMIFS(#REF!,#REF!,$B27,#REF!,Z$1)</f>
        <v>#REF!</v>
      </c>
      <c r="AA27" s="24" t="e">
        <f>SUMIFS(#REF!,#REF!,$B27,#REF!,AA$1)</f>
        <v>#REF!</v>
      </c>
      <c r="AB27" s="24" t="e">
        <f>SUMIFS(#REF!,#REF!,$B27,#REF!,AB$1)</f>
        <v>#REF!</v>
      </c>
      <c r="AC27" s="24" t="e">
        <f>SUMIFS(#REF!,#REF!,$B27,#REF!,AC$1)</f>
        <v>#REF!</v>
      </c>
      <c r="AD27" s="24" t="e">
        <f>SUMIFS(#REF!,#REF!,$B27,#REF!,AD$1)</f>
        <v>#REF!</v>
      </c>
      <c r="AE27" s="24" t="e">
        <f>SUMIFS(#REF!,#REF!,$B27,#REF!,AE$1)</f>
        <v>#REF!</v>
      </c>
      <c r="AF27" s="24" t="e">
        <f>SUMIFS(#REF!,#REF!,$B27,#REF!,AF$1)</f>
        <v>#REF!</v>
      </c>
      <c r="AG27" s="24" t="e">
        <f>SUMIFS(#REF!,#REF!,$B27,#REF!,AG$1)</f>
        <v>#REF!</v>
      </c>
      <c r="AH27" s="24" t="e">
        <f>SUMIFS(#REF!,#REF!,$B27,#REF!,AH$1)</f>
        <v>#REF!</v>
      </c>
      <c r="AI27" s="24" t="e">
        <f>SUMIFS(#REF!,#REF!,$B27,#REF!,AI$1)</f>
        <v>#REF!</v>
      </c>
      <c r="AJ27" s="24" t="e">
        <f>SUMIFS(#REF!,#REF!,$B27,#REF!,AJ$1)</f>
        <v>#REF!</v>
      </c>
      <c r="AK27" s="24" t="e">
        <f>SUMIFS(#REF!,#REF!,$B27,#REF!,AK$1)</f>
        <v>#REF!</v>
      </c>
      <c r="AL27" s="24" t="e">
        <f>SUMIFS(#REF!,#REF!,$B27,#REF!,AL$1)</f>
        <v>#REF!</v>
      </c>
      <c r="AM27" s="24" t="e">
        <f>SUMIFS(#REF!,#REF!,$B27,#REF!,AM$1)</f>
        <v>#REF!</v>
      </c>
      <c r="AN27" s="24" t="e">
        <f>SUMIFS(#REF!,#REF!,$B27,#REF!,AN$1)</f>
        <v>#REF!</v>
      </c>
      <c r="AO27" s="24" t="e">
        <f>SUMIFS(#REF!,#REF!,$B27,#REF!,AO$1)</f>
        <v>#REF!</v>
      </c>
      <c r="AP27" s="24" t="e">
        <f>SUMIFS(#REF!,#REF!,$B27,#REF!,AP$1)</f>
        <v>#REF!</v>
      </c>
      <c r="AQ27" s="24" t="e">
        <f>SUMIFS(#REF!,#REF!,$B27,#REF!,AQ$1)</f>
        <v>#REF!</v>
      </c>
      <c r="AR27" s="24" t="e">
        <f>SUMIFS(#REF!,#REF!,$B27,#REF!,AR$1)</f>
        <v>#REF!</v>
      </c>
      <c r="AS27" s="24" t="e">
        <f>SUMIFS(#REF!,#REF!,$B27,#REF!,AS$1)</f>
        <v>#REF!</v>
      </c>
      <c r="AT27" s="24" t="e">
        <f>SUMIFS(#REF!,#REF!,$B27,#REF!,AT$1)</f>
        <v>#REF!</v>
      </c>
      <c r="AU27" s="24" t="e">
        <f>SUMIFS(#REF!,#REF!,$B27,#REF!,AU$1)</f>
        <v>#REF!</v>
      </c>
      <c r="AV27" s="24" t="e">
        <f>SUMIFS(#REF!,#REF!,$B27,#REF!,AV$1)</f>
        <v>#REF!</v>
      </c>
      <c r="AW27" s="24" t="e">
        <f>SUMIFS(#REF!,#REF!,$B27,#REF!,AW$1)</f>
        <v>#REF!</v>
      </c>
      <c r="AX27" s="24" t="e">
        <f>SUMIFS(#REF!,#REF!,$B27,#REF!,AX$1)</f>
        <v>#REF!</v>
      </c>
      <c r="AY27" s="24" t="e">
        <f>SUMIFS(#REF!,#REF!,$B27,#REF!,AY$1)</f>
        <v>#REF!</v>
      </c>
      <c r="AZ27" s="24" t="e">
        <f>SUMIFS(#REF!,#REF!,$B27,#REF!,AZ$1)</f>
        <v>#REF!</v>
      </c>
      <c r="BA27" s="24" t="e">
        <f>SUMIFS(#REF!,#REF!,$B27,#REF!,BA$1)</f>
        <v>#REF!</v>
      </c>
      <c r="BB27" s="24" t="e">
        <f>SUMIFS(#REF!,#REF!,$B27,#REF!,BB$1)</f>
        <v>#REF!</v>
      </c>
      <c r="BC27" s="24" t="e">
        <f>SUMIFS(#REF!,#REF!,$B27,#REF!,BC$1)</f>
        <v>#REF!</v>
      </c>
      <c r="BD27" s="24" t="e">
        <f>SUMIFS(#REF!,#REF!,$B27,#REF!,BD$1)</f>
        <v>#REF!</v>
      </c>
      <c r="BE27" s="24" t="e">
        <f>SUMIFS(#REF!,#REF!,$B27,#REF!,BE$1)</f>
        <v>#REF!</v>
      </c>
      <c r="BF27" s="24" t="e">
        <f>SUMIFS(#REF!,#REF!,$B27,#REF!,BF$1)</f>
        <v>#REF!</v>
      </c>
      <c r="BG27" s="24" t="e">
        <f>SUMIFS(#REF!,#REF!,$B27,#REF!,BG$1)</f>
        <v>#REF!</v>
      </c>
      <c r="BH27" s="24" t="e">
        <f>SUMIFS(#REF!,#REF!,$B27,#REF!,BH$1)</f>
        <v>#REF!</v>
      </c>
      <c r="BI27" s="24" t="e">
        <f>SUMIFS(#REF!,#REF!,$B27,#REF!,BI$1)</f>
        <v>#REF!</v>
      </c>
      <c r="BJ27" s="24" t="e">
        <f>SUMIFS(#REF!,#REF!,$B27,#REF!,BJ$1)</f>
        <v>#REF!</v>
      </c>
      <c r="BK27" s="24" t="e">
        <f>SUMIFS(#REF!,#REF!,$B27,#REF!,BK$1)</f>
        <v>#REF!</v>
      </c>
      <c r="BL27" s="24" t="e">
        <f>SUMIFS(#REF!,#REF!,$B27,#REF!,BL$1)</f>
        <v>#REF!</v>
      </c>
      <c r="BM27" s="24" t="e">
        <f>SUMIFS(#REF!,#REF!,$B27,#REF!,BM$1)</f>
        <v>#REF!</v>
      </c>
      <c r="BN27" s="24" t="e">
        <f>SUMIFS(#REF!,#REF!,$B27,#REF!,BN$1)</f>
        <v>#REF!</v>
      </c>
      <c r="BO27" s="24" t="e">
        <f>SUMIFS(#REF!,#REF!,$B27,#REF!,BO$1)</f>
        <v>#REF!</v>
      </c>
      <c r="BP27" s="24" t="e">
        <f>SUMIFS(#REF!,#REF!,$B27,#REF!,BP$1)</f>
        <v>#REF!</v>
      </c>
      <c r="BQ27" s="24" t="e">
        <f>SUMIFS(#REF!,#REF!,$B27,#REF!,BQ$1)</f>
        <v>#REF!</v>
      </c>
      <c r="BR27" s="24" t="e">
        <f>SUMIFS(#REF!,#REF!,$B27,#REF!,BR$1)</f>
        <v>#REF!</v>
      </c>
      <c r="BS27" s="24" t="e">
        <f>SUMIFS(#REF!,#REF!,$B27,#REF!,BS$1)</f>
        <v>#REF!</v>
      </c>
      <c r="BT27" s="24" t="e">
        <f>SUMIFS(#REF!,#REF!,$B27,#REF!,BT$1)</f>
        <v>#REF!</v>
      </c>
      <c r="BU27" s="24" t="e">
        <f>SUMIFS(#REF!,#REF!,$B27,#REF!,BU$1)</f>
        <v>#REF!</v>
      </c>
      <c r="BV27" s="24" t="e">
        <f>SUMIFS(#REF!,#REF!,$B27,#REF!,BV$1)</f>
        <v>#REF!</v>
      </c>
      <c r="BW27" s="24" t="e">
        <f>SUMIFS(#REF!,#REF!,$B27,#REF!,BW$1)</f>
        <v>#REF!</v>
      </c>
      <c r="BX27" s="24" t="e">
        <f>SUMIFS(#REF!,#REF!,$B27,#REF!,BX$1)</f>
        <v>#REF!</v>
      </c>
      <c r="BY27" s="24" t="e">
        <f>SUMIFS(#REF!,#REF!,$B27,#REF!,BY$1)</f>
        <v>#REF!</v>
      </c>
      <c r="BZ27" s="24" t="e">
        <f>SUMIFS(#REF!,#REF!,$B27,#REF!,BZ$1)</f>
        <v>#REF!</v>
      </c>
      <c r="CA27" s="24" t="e">
        <f>SUMIFS(#REF!,#REF!,$B27,#REF!,CA$1)</f>
        <v>#REF!</v>
      </c>
      <c r="CB27" s="24" t="e">
        <f>SUMIFS(#REF!,#REF!,$B27,#REF!,CB$1)</f>
        <v>#REF!</v>
      </c>
      <c r="CC27" s="24" t="e">
        <f>SUMIFS(#REF!,#REF!,$B27,#REF!,CC$1)</f>
        <v>#REF!</v>
      </c>
      <c r="CD27" s="24" t="e">
        <f>SUMIFS(#REF!,#REF!,$B27,#REF!,CD$1)</f>
        <v>#REF!</v>
      </c>
      <c r="CE27" s="24" t="e">
        <f>SUMIFS(#REF!,#REF!,$B27,#REF!,CE$1)</f>
        <v>#REF!</v>
      </c>
      <c r="CF27" s="24" t="e">
        <f>SUMIFS(#REF!,#REF!,$B27,#REF!,CF$1)</f>
        <v>#REF!</v>
      </c>
      <c r="CG27" s="19" t="e">
        <f t="shared" si="0"/>
        <v>#REF!</v>
      </c>
    </row>
    <row r="28" spans="1:85" x14ac:dyDescent="0.45">
      <c r="A28" s="4" t="s">
        <v>1037</v>
      </c>
      <c r="B28" s="4" t="s">
        <v>1038</v>
      </c>
      <c r="C28" s="24" t="e">
        <f>SUMIFS(#REF!,#REF!,$B28,#REF!,C$1)</f>
        <v>#REF!</v>
      </c>
      <c r="D28" s="24" t="e">
        <f>SUMIFS(#REF!,#REF!,$B28,#REF!,D$1)</f>
        <v>#REF!</v>
      </c>
      <c r="E28" s="24" t="e">
        <f>SUMIFS(#REF!,#REF!,$B28,#REF!,E$1)</f>
        <v>#REF!</v>
      </c>
      <c r="F28" s="24" t="e">
        <f>SUMIFS(#REF!,#REF!,$B28,#REF!,F$1)</f>
        <v>#REF!</v>
      </c>
      <c r="G28" s="24" t="e">
        <f>SUMIFS(#REF!,#REF!,$B28,#REF!,G$1)</f>
        <v>#REF!</v>
      </c>
      <c r="H28" s="24" t="e">
        <f>SUMIFS(#REF!,#REF!,$B28,#REF!,H$1)</f>
        <v>#REF!</v>
      </c>
      <c r="I28" s="24" t="e">
        <f>SUMIFS(#REF!,#REF!,$B28,#REF!,I$1)</f>
        <v>#REF!</v>
      </c>
      <c r="J28" s="24" t="e">
        <f>SUMIFS(#REF!,#REF!,$B28,#REF!,J$1)</f>
        <v>#REF!</v>
      </c>
      <c r="K28" s="24" t="e">
        <f>SUMIFS(#REF!,#REF!,$B28,#REF!,K$1)</f>
        <v>#REF!</v>
      </c>
      <c r="L28" s="24" t="e">
        <f>SUMIFS(#REF!,#REF!,$B28,#REF!,L$1)</f>
        <v>#REF!</v>
      </c>
      <c r="M28" s="24" t="e">
        <f>SUMIFS(#REF!,#REF!,$B28,#REF!,M$1)</f>
        <v>#REF!</v>
      </c>
      <c r="N28" s="24" t="e">
        <f>SUMIFS(#REF!,#REF!,$B28,#REF!,N$1)</f>
        <v>#REF!</v>
      </c>
      <c r="O28" s="24" t="e">
        <f>SUMIFS(#REF!,#REF!,$B28,#REF!,O$1)</f>
        <v>#REF!</v>
      </c>
      <c r="P28" s="24" t="e">
        <f>SUMIFS(#REF!,#REF!,$B28,#REF!,P$1)</f>
        <v>#REF!</v>
      </c>
      <c r="Q28" s="24" t="e">
        <f>SUMIFS(#REF!,#REF!,$B28,#REF!,Q$1)</f>
        <v>#REF!</v>
      </c>
      <c r="R28" s="24" t="e">
        <f>SUMIFS(#REF!,#REF!,$B28,#REF!,R$1)</f>
        <v>#REF!</v>
      </c>
      <c r="S28" s="24" t="e">
        <f>SUMIFS(#REF!,#REF!,$B28,#REF!,S$1)</f>
        <v>#REF!</v>
      </c>
      <c r="T28" s="24" t="e">
        <f>SUMIFS(#REF!,#REF!,$B28,#REF!,T$1)</f>
        <v>#REF!</v>
      </c>
      <c r="U28" s="24" t="e">
        <f>SUMIFS(#REF!,#REF!,$B28,#REF!,U$1)</f>
        <v>#REF!</v>
      </c>
      <c r="V28" s="24" t="e">
        <f>SUMIFS(#REF!,#REF!,$B28,#REF!,V$1)</f>
        <v>#REF!</v>
      </c>
      <c r="W28" s="24" t="e">
        <f>SUMIFS(#REF!,#REF!,$B28,#REF!,W$1)</f>
        <v>#REF!</v>
      </c>
      <c r="X28" s="24" t="e">
        <f>SUMIFS(#REF!,#REF!,$B28,#REF!,X$1)</f>
        <v>#REF!</v>
      </c>
      <c r="Y28" s="24" t="e">
        <f>SUMIFS(#REF!,#REF!,$B28,#REF!,Y$1)</f>
        <v>#REF!</v>
      </c>
      <c r="Z28" s="24" t="e">
        <f>SUMIFS(#REF!,#REF!,$B28,#REF!,Z$1)</f>
        <v>#REF!</v>
      </c>
      <c r="AA28" s="24" t="e">
        <f>SUMIFS(#REF!,#REF!,$B28,#REF!,AA$1)</f>
        <v>#REF!</v>
      </c>
      <c r="AB28" s="24" t="e">
        <f>SUMIFS(#REF!,#REF!,$B28,#REF!,AB$1)</f>
        <v>#REF!</v>
      </c>
      <c r="AC28" s="24" t="e">
        <f>SUMIFS(#REF!,#REF!,$B28,#REF!,AC$1)</f>
        <v>#REF!</v>
      </c>
      <c r="AD28" s="24" t="e">
        <f>SUMIFS(#REF!,#REF!,$B28,#REF!,AD$1)</f>
        <v>#REF!</v>
      </c>
      <c r="AE28" s="24" t="e">
        <f>SUMIFS(#REF!,#REF!,$B28,#REF!,AE$1)</f>
        <v>#REF!</v>
      </c>
      <c r="AF28" s="24" t="e">
        <f>SUMIFS(#REF!,#REF!,$B28,#REF!,AF$1)</f>
        <v>#REF!</v>
      </c>
      <c r="AG28" s="24" t="e">
        <f>SUMIFS(#REF!,#REF!,$B28,#REF!,AG$1)</f>
        <v>#REF!</v>
      </c>
      <c r="AH28" s="24" t="e">
        <f>SUMIFS(#REF!,#REF!,$B28,#REF!,AH$1)</f>
        <v>#REF!</v>
      </c>
      <c r="AI28" s="24" t="e">
        <f>SUMIFS(#REF!,#REF!,$B28,#REF!,AI$1)</f>
        <v>#REF!</v>
      </c>
      <c r="AJ28" s="24" t="e">
        <f>SUMIFS(#REF!,#REF!,$B28,#REF!,AJ$1)</f>
        <v>#REF!</v>
      </c>
      <c r="AK28" s="24" t="e">
        <f>SUMIFS(#REF!,#REF!,$B28,#REF!,AK$1)</f>
        <v>#REF!</v>
      </c>
      <c r="AL28" s="24" t="e">
        <f>SUMIFS(#REF!,#REF!,$B28,#REF!,AL$1)</f>
        <v>#REF!</v>
      </c>
      <c r="AM28" s="24" t="e">
        <f>SUMIFS(#REF!,#REF!,$B28,#REF!,AM$1)</f>
        <v>#REF!</v>
      </c>
      <c r="AN28" s="24" t="e">
        <f>SUMIFS(#REF!,#REF!,$B28,#REF!,AN$1)</f>
        <v>#REF!</v>
      </c>
      <c r="AO28" s="24" t="e">
        <f>SUMIFS(#REF!,#REF!,$B28,#REF!,AO$1)</f>
        <v>#REF!</v>
      </c>
      <c r="AP28" s="24" t="e">
        <f>SUMIFS(#REF!,#REF!,$B28,#REF!,AP$1)</f>
        <v>#REF!</v>
      </c>
      <c r="AQ28" s="24" t="e">
        <f>SUMIFS(#REF!,#REF!,$B28,#REF!,AQ$1)</f>
        <v>#REF!</v>
      </c>
      <c r="AR28" s="24" t="e">
        <f>SUMIFS(#REF!,#REF!,$B28,#REF!,AR$1)</f>
        <v>#REF!</v>
      </c>
      <c r="AS28" s="24" t="e">
        <f>SUMIFS(#REF!,#REF!,$B28,#REF!,AS$1)</f>
        <v>#REF!</v>
      </c>
      <c r="AT28" s="24" t="e">
        <f>SUMIFS(#REF!,#REF!,$B28,#REF!,AT$1)</f>
        <v>#REF!</v>
      </c>
      <c r="AU28" s="24" t="e">
        <f>SUMIFS(#REF!,#REF!,$B28,#REF!,AU$1)</f>
        <v>#REF!</v>
      </c>
      <c r="AV28" s="24" t="e">
        <f>SUMIFS(#REF!,#REF!,$B28,#REF!,AV$1)</f>
        <v>#REF!</v>
      </c>
      <c r="AW28" s="24" t="e">
        <f>SUMIFS(#REF!,#REF!,$B28,#REF!,AW$1)</f>
        <v>#REF!</v>
      </c>
      <c r="AX28" s="24" t="e">
        <f>SUMIFS(#REF!,#REF!,$B28,#REF!,AX$1)</f>
        <v>#REF!</v>
      </c>
      <c r="AY28" s="24" t="e">
        <f>SUMIFS(#REF!,#REF!,$B28,#REF!,AY$1)</f>
        <v>#REF!</v>
      </c>
      <c r="AZ28" s="24" t="e">
        <f>SUMIFS(#REF!,#REF!,$B28,#REF!,AZ$1)</f>
        <v>#REF!</v>
      </c>
      <c r="BA28" s="24" t="e">
        <f>SUMIFS(#REF!,#REF!,$B28,#REF!,BA$1)</f>
        <v>#REF!</v>
      </c>
      <c r="BB28" s="24" t="e">
        <f>SUMIFS(#REF!,#REF!,$B28,#REF!,BB$1)</f>
        <v>#REF!</v>
      </c>
      <c r="BC28" s="24" t="e">
        <f>SUMIFS(#REF!,#REF!,$B28,#REF!,BC$1)</f>
        <v>#REF!</v>
      </c>
      <c r="BD28" s="24" t="e">
        <f>SUMIFS(#REF!,#REF!,$B28,#REF!,BD$1)</f>
        <v>#REF!</v>
      </c>
      <c r="BE28" s="24" t="e">
        <f>SUMIFS(#REF!,#REF!,$B28,#REF!,BE$1)</f>
        <v>#REF!</v>
      </c>
      <c r="BF28" s="24" t="e">
        <f>SUMIFS(#REF!,#REF!,$B28,#REF!,BF$1)</f>
        <v>#REF!</v>
      </c>
      <c r="BG28" s="24" t="e">
        <f>SUMIFS(#REF!,#REF!,$B28,#REF!,BG$1)</f>
        <v>#REF!</v>
      </c>
      <c r="BH28" s="24" t="e">
        <f>SUMIFS(#REF!,#REF!,$B28,#REF!,BH$1)</f>
        <v>#REF!</v>
      </c>
      <c r="BI28" s="24" t="e">
        <f>SUMIFS(#REF!,#REF!,$B28,#REF!,BI$1)</f>
        <v>#REF!</v>
      </c>
      <c r="BJ28" s="24" t="e">
        <f>SUMIFS(#REF!,#REF!,$B28,#REF!,BJ$1)</f>
        <v>#REF!</v>
      </c>
      <c r="BK28" s="24" t="e">
        <f>SUMIFS(#REF!,#REF!,$B28,#REF!,BK$1)</f>
        <v>#REF!</v>
      </c>
      <c r="BL28" s="24" t="e">
        <f>SUMIFS(#REF!,#REF!,$B28,#REF!,BL$1)</f>
        <v>#REF!</v>
      </c>
      <c r="BM28" s="24" t="e">
        <f>SUMIFS(#REF!,#REF!,$B28,#REF!,BM$1)</f>
        <v>#REF!</v>
      </c>
      <c r="BN28" s="24" t="e">
        <f>SUMIFS(#REF!,#REF!,$B28,#REF!,BN$1)</f>
        <v>#REF!</v>
      </c>
      <c r="BO28" s="24" t="e">
        <f>SUMIFS(#REF!,#REF!,$B28,#REF!,BO$1)</f>
        <v>#REF!</v>
      </c>
      <c r="BP28" s="24" t="e">
        <f>SUMIFS(#REF!,#REF!,$B28,#REF!,BP$1)</f>
        <v>#REF!</v>
      </c>
      <c r="BQ28" s="24" t="e">
        <f>SUMIFS(#REF!,#REF!,$B28,#REF!,BQ$1)</f>
        <v>#REF!</v>
      </c>
      <c r="BR28" s="24" t="e">
        <f>SUMIFS(#REF!,#REF!,$B28,#REF!,BR$1)</f>
        <v>#REF!</v>
      </c>
      <c r="BS28" s="24" t="e">
        <f>SUMIFS(#REF!,#REF!,$B28,#REF!,BS$1)</f>
        <v>#REF!</v>
      </c>
      <c r="BT28" s="24" t="e">
        <f>SUMIFS(#REF!,#REF!,$B28,#REF!,BT$1)</f>
        <v>#REF!</v>
      </c>
      <c r="BU28" s="24" t="e">
        <f>SUMIFS(#REF!,#REF!,$B28,#REF!,BU$1)</f>
        <v>#REF!</v>
      </c>
      <c r="BV28" s="24" t="e">
        <f>SUMIFS(#REF!,#REF!,$B28,#REF!,BV$1)</f>
        <v>#REF!</v>
      </c>
      <c r="BW28" s="24" t="e">
        <f>SUMIFS(#REF!,#REF!,$B28,#REF!,BW$1)</f>
        <v>#REF!</v>
      </c>
      <c r="BX28" s="24" t="e">
        <f>SUMIFS(#REF!,#REF!,$B28,#REF!,BX$1)</f>
        <v>#REF!</v>
      </c>
      <c r="BY28" s="24" t="e">
        <f>SUMIFS(#REF!,#REF!,$B28,#REF!,BY$1)</f>
        <v>#REF!</v>
      </c>
      <c r="BZ28" s="24" t="e">
        <f>SUMIFS(#REF!,#REF!,$B28,#REF!,BZ$1)</f>
        <v>#REF!</v>
      </c>
      <c r="CA28" s="24" t="e">
        <f>SUMIFS(#REF!,#REF!,$B28,#REF!,CA$1)</f>
        <v>#REF!</v>
      </c>
      <c r="CB28" s="24" t="e">
        <f>SUMIFS(#REF!,#REF!,$B28,#REF!,CB$1)</f>
        <v>#REF!</v>
      </c>
      <c r="CC28" s="24" t="e">
        <f>SUMIFS(#REF!,#REF!,$B28,#REF!,CC$1)</f>
        <v>#REF!</v>
      </c>
      <c r="CD28" s="24" t="e">
        <f>SUMIFS(#REF!,#REF!,$B28,#REF!,CD$1)</f>
        <v>#REF!</v>
      </c>
      <c r="CE28" s="24" t="e">
        <f>SUMIFS(#REF!,#REF!,$B28,#REF!,CE$1)</f>
        <v>#REF!</v>
      </c>
      <c r="CF28" s="24" t="e">
        <f>SUMIFS(#REF!,#REF!,$B28,#REF!,CF$1)</f>
        <v>#REF!</v>
      </c>
      <c r="CG28" s="19" t="e">
        <f t="shared" si="0"/>
        <v>#REF!</v>
      </c>
    </row>
    <row r="29" spans="1:85" x14ac:dyDescent="0.45">
      <c r="A29" s="4" t="s">
        <v>1039</v>
      </c>
      <c r="B29" s="4" t="s">
        <v>1040</v>
      </c>
      <c r="C29" s="24" t="e">
        <f>SUMIFS(#REF!,#REF!,$B29,#REF!,C$1)</f>
        <v>#REF!</v>
      </c>
      <c r="D29" s="24" t="e">
        <f>SUMIFS(#REF!,#REF!,$B29,#REF!,D$1)</f>
        <v>#REF!</v>
      </c>
      <c r="E29" s="24" t="e">
        <f>SUMIFS(#REF!,#REF!,$B29,#REF!,E$1)</f>
        <v>#REF!</v>
      </c>
      <c r="F29" s="24" t="e">
        <f>SUMIFS(#REF!,#REF!,$B29,#REF!,F$1)</f>
        <v>#REF!</v>
      </c>
      <c r="G29" s="24" t="e">
        <f>SUMIFS(#REF!,#REF!,$B29,#REF!,G$1)</f>
        <v>#REF!</v>
      </c>
      <c r="H29" s="24" t="e">
        <f>SUMIFS(#REF!,#REF!,$B29,#REF!,H$1)</f>
        <v>#REF!</v>
      </c>
      <c r="I29" s="24" t="e">
        <f>SUMIFS(#REF!,#REF!,$B29,#REF!,I$1)</f>
        <v>#REF!</v>
      </c>
      <c r="J29" s="24" t="e">
        <f>SUMIFS(#REF!,#REF!,$B29,#REF!,J$1)</f>
        <v>#REF!</v>
      </c>
      <c r="K29" s="24" t="e">
        <f>SUMIFS(#REF!,#REF!,$B29,#REF!,K$1)</f>
        <v>#REF!</v>
      </c>
      <c r="L29" s="24" t="e">
        <f>SUMIFS(#REF!,#REF!,$B29,#REF!,L$1)</f>
        <v>#REF!</v>
      </c>
      <c r="M29" s="24" t="e">
        <f>SUMIFS(#REF!,#REF!,$B29,#REF!,M$1)</f>
        <v>#REF!</v>
      </c>
      <c r="N29" s="24" t="e">
        <f>SUMIFS(#REF!,#REF!,$B29,#REF!,N$1)</f>
        <v>#REF!</v>
      </c>
      <c r="O29" s="24" t="e">
        <f>SUMIFS(#REF!,#REF!,$B29,#REF!,O$1)</f>
        <v>#REF!</v>
      </c>
      <c r="P29" s="24" t="e">
        <f>SUMIFS(#REF!,#REF!,$B29,#REF!,P$1)</f>
        <v>#REF!</v>
      </c>
      <c r="Q29" s="24" t="e">
        <f>SUMIFS(#REF!,#REF!,$B29,#REF!,Q$1)</f>
        <v>#REF!</v>
      </c>
      <c r="R29" s="24" t="e">
        <f>SUMIFS(#REF!,#REF!,$B29,#REF!,R$1)</f>
        <v>#REF!</v>
      </c>
      <c r="S29" s="24" t="e">
        <f>SUMIFS(#REF!,#REF!,$B29,#REF!,S$1)</f>
        <v>#REF!</v>
      </c>
      <c r="T29" s="24" t="e">
        <f>SUMIFS(#REF!,#REF!,$B29,#REF!,T$1)</f>
        <v>#REF!</v>
      </c>
      <c r="U29" s="24" t="e">
        <f>SUMIFS(#REF!,#REF!,$B29,#REF!,U$1)</f>
        <v>#REF!</v>
      </c>
      <c r="V29" s="24" t="e">
        <f>SUMIFS(#REF!,#REF!,$B29,#REF!,V$1)</f>
        <v>#REF!</v>
      </c>
      <c r="W29" s="24" t="e">
        <f>SUMIFS(#REF!,#REF!,$B29,#REF!,W$1)</f>
        <v>#REF!</v>
      </c>
      <c r="X29" s="24" t="e">
        <f>SUMIFS(#REF!,#REF!,$B29,#REF!,X$1)</f>
        <v>#REF!</v>
      </c>
      <c r="Y29" s="24" t="e">
        <f>SUMIFS(#REF!,#REF!,$B29,#REF!,Y$1)</f>
        <v>#REF!</v>
      </c>
      <c r="Z29" s="24" t="e">
        <f>SUMIFS(#REF!,#REF!,$B29,#REF!,Z$1)</f>
        <v>#REF!</v>
      </c>
      <c r="AA29" s="24" t="e">
        <f>SUMIFS(#REF!,#REF!,$B29,#REF!,AA$1)</f>
        <v>#REF!</v>
      </c>
      <c r="AB29" s="24" t="e">
        <f>SUMIFS(#REF!,#REF!,$B29,#REF!,AB$1)</f>
        <v>#REF!</v>
      </c>
      <c r="AC29" s="24" t="e">
        <f>SUMIFS(#REF!,#REF!,$B29,#REF!,AC$1)</f>
        <v>#REF!</v>
      </c>
      <c r="AD29" s="24" t="e">
        <f>SUMIFS(#REF!,#REF!,$B29,#REF!,AD$1)</f>
        <v>#REF!</v>
      </c>
      <c r="AE29" s="24" t="e">
        <f>SUMIFS(#REF!,#REF!,$B29,#REF!,AE$1)</f>
        <v>#REF!</v>
      </c>
      <c r="AF29" s="24" t="e">
        <f>SUMIFS(#REF!,#REF!,$B29,#REF!,AF$1)</f>
        <v>#REF!</v>
      </c>
      <c r="AG29" s="24" t="e">
        <f>SUMIFS(#REF!,#REF!,$B29,#REF!,AG$1)</f>
        <v>#REF!</v>
      </c>
      <c r="AH29" s="24" t="e">
        <f>SUMIFS(#REF!,#REF!,$B29,#REF!,AH$1)</f>
        <v>#REF!</v>
      </c>
      <c r="AI29" s="24" t="e">
        <f>SUMIFS(#REF!,#REF!,$B29,#REF!,AI$1)</f>
        <v>#REF!</v>
      </c>
      <c r="AJ29" s="24" t="e">
        <f>SUMIFS(#REF!,#REF!,$B29,#REF!,AJ$1)</f>
        <v>#REF!</v>
      </c>
      <c r="AK29" s="24" t="e">
        <f>SUMIFS(#REF!,#REF!,$B29,#REF!,AK$1)</f>
        <v>#REF!</v>
      </c>
      <c r="AL29" s="24" t="e">
        <f>SUMIFS(#REF!,#REF!,$B29,#REF!,AL$1)</f>
        <v>#REF!</v>
      </c>
      <c r="AM29" s="24" t="e">
        <f>SUMIFS(#REF!,#REF!,$B29,#REF!,AM$1)</f>
        <v>#REF!</v>
      </c>
      <c r="AN29" s="24" t="e">
        <f>SUMIFS(#REF!,#REF!,$B29,#REF!,AN$1)</f>
        <v>#REF!</v>
      </c>
      <c r="AO29" s="24" t="e">
        <f>SUMIFS(#REF!,#REF!,$B29,#REF!,AO$1)</f>
        <v>#REF!</v>
      </c>
      <c r="AP29" s="24" t="e">
        <f>SUMIFS(#REF!,#REF!,$B29,#REF!,AP$1)</f>
        <v>#REF!</v>
      </c>
      <c r="AQ29" s="24" t="e">
        <f>SUMIFS(#REF!,#REF!,$B29,#REF!,AQ$1)</f>
        <v>#REF!</v>
      </c>
      <c r="AR29" s="24" t="e">
        <f>SUMIFS(#REF!,#REF!,$B29,#REF!,AR$1)</f>
        <v>#REF!</v>
      </c>
      <c r="AS29" s="24" t="e">
        <f>SUMIFS(#REF!,#REF!,$B29,#REF!,AS$1)</f>
        <v>#REF!</v>
      </c>
      <c r="AT29" s="24" t="e">
        <f>SUMIFS(#REF!,#REF!,$B29,#REF!,AT$1)</f>
        <v>#REF!</v>
      </c>
      <c r="AU29" s="24" t="e">
        <f>SUMIFS(#REF!,#REF!,$B29,#REF!,AU$1)</f>
        <v>#REF!</v>
      </c>
      <c r="AV29" s="24" t="e">
        <f>SUMIFS(#REF!,#REF!,$B29,#REF!,AV$1)</f>
        <v>#REF!</v>
      </c>
      <c r="AW29" s="24" t="e">
        <f>SUMIFS(#REF!,#REF!,$B29,#REF!,AW$1)</f>
        <v>#REF!</v>
      </c>
      <c r="AX29" s="24" t="e">
        <f>SUMIFS(#REF!,#REF!,$B29,#REF!,AX$1)</f>
        <v>#REF!</v>
      </c>
      <c r="AY29" s="24" t="e">
        <f>SUMIFS(#REF!,#REF!,$B29,#REF!,AY$1)</f>
        <v>#REF!</v>
      </c>
      <c r="AZ29" s="24" t="e">
        <f>SUMIFS(#REF!,#REF!,$B29,#REF!,AZ$1)</f>
        <v>#REF!</v>
      </c>
      <c r="BA29" s="24" t="e">
        <f>SUMIFS(#REF!,#REF!,$B29,#REF!,BA$1)</f>
        <v>#REF!</v>
      </c>
      <c r="BB29" s="24" t="e">
        <f>SUMIFS(#REF!,#REF!,$B29,#REF!,BB$1)</f>
        <v>#REF!</v>
      </c>
      <c r="BC29" s="24" t="e">
        <f>SUMIFS(#REF!,#REF!,$B29,#REF!,BC$1)</f>
        <v>#REF!</v>
      </c>
      <c r="BD29" s="24" t="e">
        <f>SUMIFS(#REF!,#REF!,$B29,#REF!,BD$1)</f>
        <v>#REF!</v>
      </c>
      <c r="BE29" s="24" t="e">
        <f>SUMIFS(#REF!,#REF!,$B29,#REF!,BE$1)</f>
        <v>#REF!</v>
      </c>
      <c r="BF29" s="24" t="e">
        <f>SUMIFS(#REF!,#REF!,$B29,#REF!,BF$1)</f>
        <v>#REF!</v>
      </c>
      <c r="BG29" s="24" t="e">
        <f>SUMIFS(#REF!,#REF!,$B29,#REF!,BG$1)</f>
        <v>#REF!</v>
      </c>
      <c r="BH29" s="24" t="e">
        <f>SUMIFS(#REF!,#REF!,$B29,#REF!,BH$1)</f>
        <v>#REF!</v>
      </c>
      <c r="BI29" s="24" t="e">
        <f>SUMIFS(#REF!,#REF!,$B29,#REF!,BI$1)</f>
        <v>#REF!</v>
      </c>
      <c r="BJ29" s="24" t="e">
        <f>SUMIFS(#REF!,#REF!,$B29,#REF!,BJ$1)</f>
        <v>#REF!</v>
      </c>
      <c r="BK29" s="24" t="e">
        <f>SUMIFS(#REF!,#REF!,$B29,#REF!,BK$1)</f>
        <v>#REF!</v>
      </c>
      <c r="BL29" s="24" t="e">
        <f>SUMIFS(#REF!,#REF!,$B29,#REF!,BL$1)</f>
        <v>#REF!</v>
      </c>
      <c r="BM29" s="24" t="e">
        <f>SUMIFS(#REF!,#REF!,$B29,#REF!,BM$1)</f>
        <v>#REF!</v>
      </c>
      <c r="BN29" s="24" t="e">
        <f>SUMIFS(#REF!,#REF!,$B29,#REF!,BN$1)</f>
        <v>#REF!</v>
      </c>
      <c r="BO29" s="24" t="e">
        <f>SUMIFS(#REF!,#REF!,$B29,#REF!,BO$1)</f>
        <v>#REF!</v>
      </c>
      <c r="BP29" s="24" t="e">
        <f>SUMIFS(#REF!,#REF!,$B29,#REF!,BP$1)</f>
        <v>#REF!</v>
      </c>
      <c r="BQ29" s="24" t="e">
        <f>SUMIFS(#REF!,#REF!,$B29,#REF!,BQ$1)</f>
        <v>#REF!</v>
      </c>
      <c r="BR29" s="24" t="e">
        <f>SUMIFS(#REF!,#REF!,$B29,#REF!,BR$1)</f>
        <v>#REF!</v>
      </c>
      <c r="BS29" s="24" t="e">
        <f>SUMIFS(#REF!,#REF!,$B29,#REF!,BS$1)</f>
        <v>#REF!</v>
      </c>
      <c r="BT29" s="24" t="e">
        <f>SUMIFS(#REF!,#REF!,$B29,#REF!,BT$1)</f>
        <v>#REF!</v>
      </c>
      <c r="BU29" s="24" t="e">
        <f>SUMIFS(#REF!,#REF!,$B29,#REF!,BU$1)</f>
        <v>#REF!</v>
      </c>
      <c r="BV29" s="24" t="e">
        <f>SUMIFS(#REF!,#REF!,$B29,#REF!,BV$1)</f>
        <v>#REF!</v>
      </c>
      <c r="BW29" s="24" t="e">
        <f>SUMIFS(#REF!,#REF!,$B29,#REF!,BW$1)</f>
        <v>#REF!</v>
      </c>
      <c r="BX29" s="24" t="e">
        <f>SUMIFS(#REF!,#REF!,$B29,#REF!,BX$1)</f>
        <v>#REF!</v>
      </c>
      <c r="BY29" s="24" t="e">
        <f>SUMIFS(#REF!,#REF!,$B29,#REF!,BY$1)</f>
        <v>#REF!</v>
      </c>
      <c r="BZ29" s="24" t="e">
        <f>SUMIFS(#REF!,#REF!,$B29,#REF!,BZ$1)</f>
        <v>#REF!</v>
      </c>
      <c r="CA29" s="24" t="e">
        <f>SUMIFS(#REF!,#REF!,$B29,#REF!,CA$1)</f>
        <v>#REF!</v>
      </c>
      <c r="CB29" s="24" t="e">
        <f>SUMIFS(#REF!,#REF!,$B29,#REF!,CB$1)</f>
        <v>#REF!</v>
      </c>
      <c r="CC29" s="24" t="e">
        <f>SUMIFS(#REF!,#REF!,$B29,#REF!,CC$1)</f>
        <v>#REF!</v>
      </c>
      <c r="CD29" s="24" t="e">
        <f>SUMIFS(#REF!,#REF!,$B29,#REF!,CD$1)</f>
        <v>#REF!</v>
      </c>
      <c r="CE29" s="24" t="e">
        <f>SUMIFS(#REF!,#REF!,$B29,#REF!,CE$1)</f>
        <v>#REF!</v>
      </c>
      <c r="CF29" s="24" t="e">
        <f>SUMIFS(#REF!,#REF!,$B29,#REF!,CF$1)</f>
        <v>#REF!</v>
      </c>
      <c r="CG29" s="19" t="e">
        <f t="shared" si="0"/>
        <v>#REF!</v>
      </c>
    </row>
    <row r="30" spans="1:85" x14ac:dyDescent="0.45">
      <c r="A30" s="4" t="s">
        <v>1041</v>
      </c>
      <c r="B30" s="4" t="s">
        <v>1042</v>
      </c>
      <c r="C30" s="24" t="e">
        <f>SUMIFS(#REF!,#REF!,$B30,#REF!,C$1)</f>
        <v>#REF!</v>
      </c>
      <c r="D30" s="24" t="e">
        <f>SUMIFS(#REF!,#REF!,$B30,#REF!,D$1)</f>
        <v>#REF!</v>
      </c>
      <c r="E30" s="24" t="e">
        <f>SUMIFS(#REF!,#REF!,$B30,#REF!,E$1)</f>
        <v>#REF!</v>
      </c>
      <c r="F30" s="24" t="e">
        <f>SUMIFS(#REF!,#REF!,$B30,#REF!,F$1)</f>
        <v>#REF!</v>
      </c>
      <c r="G30" s="24" t="e">
        <f>SUMIFS(#REF!,#REF!,$B30,#REF!,G$1)</f>
        <v>#REF!</v>
      </c>
      <c r="H30" s="24" t="e">
        <f>SUMIFS(#REF!,#REF!,$B30,#REF!,H$1)</f>
        <v>#REF!</v>
      </c>
      <c r="I30" s="24" t="e">
        <f>SUMIFS(#REF!,#REF!,$B30,#REF!,I$1)</f>
        <v>#REF!</v>
      </c>
      <c r="J30" s="24" t="e">
        <f>SUMIFS(#REF!,#REF!,$B30,#REF!,J$1)</f>
        <v>#REF!</v>
      </c>
      <c r="K30" s="24" t="e">
        <f>SUMIFS(#REF!,#REF!,$B30,#REF!,K$1)</f>
        <v>#REF!</v>
      </c>
      <c r="L30" s="24" t="e">
        <f>SUMIFS(#REF!,#REF!,$B30,#REF!,L$1)</f>
        <v>#REF!</v>
      </c>
      <c r="M30" s="24" t="e">
        <f>SUMIFS(#REF!,#REF!,$B30,#REF!,M$1)</f>
        <v>#REF!</v>
      </c>
      <c r="N30" s="24" t="e">
        <f>SUMIFS(#REF!,#REF!,$B30,#REF!,N$1)</f>
        <v>#REF!</v>
      </c>
      <c r="O30" s="24" t="e">
        <f>SUMIFS(#REF!,#REF!,$B30,#REF!,O$1)</f>
        <v>#REF!</v>
      </c>
      <c r="P30" s="24" t="e">
        <f>SUMIFS(#REF!,#REF!,$B30,#REF!,P$1)</f>
        <v>#REF!</v>
      </c>
      <c r="Q30" s="24" t="e">
        <f>SUMIFS(#REF!,#REF!,$B30,#REF!,Q$1)</f>
        <v>#REF!</v>
      </c>
      <c r="R30" s="24" t="e">
        <f>SUMIFS(#REF!,#REF!,$B30,#REF!,R$1)</f>
        <v>#REF!</v>
      </c>
      <c r="S30" s="24" t="e">
        <f>SUMIFS(#REF!,#REF!,$B30,#REF!,S$1)</f>
        <v>#REF!</v>
      </c>
      <c r="T30" s="24" t="e">
        <f>SUMIFS(#REF!,#REF!,$B30,#REF!,T$1)</f>
        <v>#REF!</v>
      </c>
      <c r="U30" s="24" t="e">
        <f>SUMIFS(#REF!,#REF!,$B30,#REF!,U$1)</f>
        <v>#REF!</v>
      </c>
      <c r="V30" s="24" t="e">
        <f>SUMIFS(#REF!,#REF!,$B30,#REF!,V$1)</f>
        <v>#REF!</v>
      </c>
      <c r="W30" s="24" t="e">
        <f>SUMIFS(#REF!,#REF!,$B30,#REF!,W$1)</f>
        <v>#REF!</v>
      </c>
      <c r="X30" s="24" t="e">
        <f>SUMIFS(#REF!,#REF!,$B30,#REF!,X$1)</f>
        <v>#REF!</v>
      </c>
      <c r="Y30" s="24" t="e">
        <f>SUMIFS(#REF!,#REF!,$B30,#REF!,Y$1)</f>
        <v>#REF!</v>
      </c>
      <c r="Z30" s="24" t="e">
        <f>SUMIFS(#REF!,#REF!,$B30,#REF!,Z$1)</f>
        <v>#REF!</v>
      </c>
      <c r="AA30" s="24" t="e">
        <f>SUMIFS(#REF!,#REF!,$B30,#REF!,AA$1)</f>
        <v>#REF!</v>
      </c>
      <c r="AB30" s="24" t="e">
        <f>SUMIFS(#REF!,#REF!,$B30,#REF!,AB$1)</f>
        <v>#REF!</v>
      </c>
      <c r="AC30" s="24" t="e">
        <f>SUMIFS(#REF!,#REF!,$B30,#REF!,AC$1)</f>
        <v>#REF!</v>
      </c>
      <c r="AD30" s="24" t="e">
        <f>SUMIFS(#REF!,#REF!,$B30,#REF!,AD$1)</f>
        <v>#REF!</v>
      </c>
      <c r="AE30" s="24" t="e">
        <f>SUMIFS(#REF!,#REF!,$B30,#REF!,AE$1)</f>
        <v>#REF!</v>
      </c>
      <c r="AF30" s="24" t="e">
        <f>SUMIFS(#REF!,#REF!,$B30,#REF!,AF$1)</f>
        <v>#REF!</v>
      </c>
      <c r="AG30" s="24" t="e">
        <f>SUMIFS(#REF!,#REF!,$B30,#REF!,AG$1)</f>
        <v>#REF!</v>
      </c>
      <c r="AH30" s="24" t="e">
        <f>SUMIFS(#REF!,#REF!,$B30,#REF!,AH$1)</f>
        <v>#REF!</v>
      </c>
      <c r="AI30" s="24" t="e">
        <f>SUMIFS(#REF!,#REF!,$B30,#REF!,AI$1)</f>
        <v>#REF!</v>
      </c>
      <c r="AJ30" s="24" t="e">
        <f>SUMIFS(#REF!,#REF!,$B30,#REF!,AJ$1)</f>
        <v>#REF!</v>
      </c>
      <c r="AK30" s="24" t="e">
        <f>SUMIFS(#REF!,#REF!,$B30,#REF!,AK$1)</f>
        <v>#REF!</v>
      </c>
      <c r="AL30" s="24" t="e">
        <f>SUMIFS(#REF!,#REF!,$B30,#REF!,AL$1)</f>
        <v>#REF!</v>
      </c>
      <c r="AM30" s="24" t="e">
        <f>SUMIFS(#REF!,#REF!,$B30,#REF!,AM$1)</f>
        <v>#REF!</v>
      </c>
      <c r="AN30" s="24" t="e">
        <f>SUMIFS(#REF!,#REF!,$B30,#REF!,AN$1)</f>
        <v>#REF!</v>
      </c>
      <c r="AO30" s="24" t="e">
        <f>SUMIFS(#REF!,#REF!,$B30,#REF!,AO$1)</f>
        <v>#REF!</v>
      </c>
      <c r="AP30" s="24" t="e">
        <f>SUMIFS(#REF!,#REF!,$B30,#REF!,AP$1)</f>
        <v>#REF!</v>
      </c>
      <c r="AQ30" s="24" t="e">
        <f>SUMIFS(#REF!,#REF!,$B30,#REF!,AQ$1)</f>
        <v>#REF!</v>
      </c>
      <c r="AR30" s="24" t="e">
        <f>SUMIFS(#REF!,#REF!,$B30,#REF!,AR$1)</f>
        <v>#REF!</v>
      </c>
      <c r="AS30" s="24" t="e">
        <f>SUMIFS(#REF!,#REF!,$B30,#REF!,AS$1)</f>
        <v>#REF!</v>
      </c>
      <c r="AT30" s="24" t="e">
        <f>SUMIFS(#REF!,#REF!,$B30,#REF!,AT$1)</f>
        <v>#REF!</v>
      </c>
      <c r="AU30" s="24" t="e">
        <f>SUMIFS(#REF!,#REF!,$B30,#REF!,AU$1)</f>
        <v>#REF!</v>
      </c>
      <c r="AV30" s="24" t="e">
        <f>SUMIFS(#REF!,#REF!,$B30,#REF!,AV$1)</f>
        <v>#REF!</v>
      </c>
      <c r="AW30" s="24" t="e">
        <f>SUMIFS(#REF!,#REF!,$B30,#REF!,AW$1)</f>
        <v>#REF!</v>
      </c>
      <c r="AX30" s="24" t="e">
        <f>SUMIFS(#REF!,#REF!,$B30,#REF!,AX$1)</f>
        <v>#REF!</v>
      </c>
      <c r="AY30" s="24" t="e">
        <f>SUMIFS(#REF!,#REF!,$B30,#REF!,AY$1)</f>
        <v>#REF!</v>
      </c>
      <c r="AZ30" s="24" t="e">
        <f>SUMIFS(#REF!,#REF!,$B30,#REF!,AZ$1)</f>
        <v>#REF!</v>
      </c>
      <c r="BA30" s="24" t="e">
        <f>SUMIFS(#REF!,#REF!,$B30,#REF!,BA$1)</f>
        <v>#REF!</v>
      </c>
      <c r="BB30" s="24" t="e">
        <f>SUMIFS(#REF!,#REF!,$B30,#REF!,BB$1)</f>
        <v>#REF!</v>
      </c>
      <c r="BC30" s="24" t="e">
        <f>SUMIFS(#REF!,#REF!,$B30,#REF!,BC$1)</f>
        <v>#REF!</v>
      </c>
      <c r="BD30" s="24" t="e">
        <f>SUMIFS(#REF!,#REF!,$B30,#REF!,BD$1)</f>
        <v>#REF!</v>
      </c>
      <c r="BE30" s="24" t="e">
        <f>SUMIFS(#REF!,#REF!,$B30,#REF!,BE$1)</f>
        <v>#REF!</v>
      </c>
      <c r="BF30" s="24" t="e">
        <f>SUMIFS(#REF!,#REF!,$B30,#REF!,BF$1)</f>
        <v>#REF!</v>
      </c>
      <c r="BG30" s="24" t="e">
        <f>SUMIFS(#REF!,#REF!,$B30,#REF!,BG$1)</f>
        <v>#REF!</v>
      </c>
      <c r="BH30" s="24" t="e">
        <f>SUMIFS(#REF!,#REF!,$B30,#REF!,BH$1)</f>
        <v>#REF!</v>
      </c>
      <c r="BI30" s="24" t="e">
        <f>SUMIFS(#REF!,#REF!,$B30,#REF!,BI$1)</f>
        <v>#REF!</v>
      </c>
      <c r="BJ30" s="24" t="e">
        <f>SUMIFS(#REF!,#REF!,$B30,#REF!,BJ$1)</f>
        <v>#REF!</v>
      </c>
      <c r="BK30" s="24" t="e">
        <f>SUMIFS(#REF!,#REF!,$B30,#REF!,BK$1)</f>
        <v>#REF!</v>
      </c>
      <c r="BL30" s="24" t="e">
        <f>SUMIFS(#REF!,#REF!,$B30,#REF!,BL$1)</f>
        <v>#REF!</v>
      </c>
      <c r="BM30" s="24" t="e">
        <f>SUMIFS(#REF!,#REF!,$B30,#REF!,BM$1)</f>
        <v>#REF!</v>
      </c>
      <c r="BN30" s="24" t="e">
        <f>SUMIFS(#REF!,#REF!,$B30,#REF!,BN$1)</f>
        <v>#REF!</v>
      </c>
      <c r="BO30" s="24" t="e">
        <f>SUMIFS(#REF!,#REF!,$B30,#REF!,BO$1)</f>
        <v>#REF!</v>
      </c>
      <c r="BP30" s="24" t="e">
        <f>SUMIFS(#REF!,#REF!,$B30,#REF!,BP$1)</f>
        <v>#REF!</v>
      </c>
      <c r="BQ30" s="24" t="e">
        <f>SUMIFS(#REF!,#REF!,$B30,#REF!,BQ$1)</f>
        <v>#REF!</v>
      </c>
      <c r="BR30" s="24" t="e">
        <f>SUMIFS(#REF!,#REF!,$B30,#REF!,BR$1)</f>
        <v>#REF!</v>
      </c>
      <c r="BS30" s="24" t="e">
        <f>SUMIFS(#REF!,#REF!,$B30,#REF!,BS$1)</f>
        <v>#REF!</v>
      </c>
      <c r="BT30" s="24" t="e">
        <f>SUMIFS(#REF!,#REF!,$B30,#REF!,BT$1)</f>
        <v>#REF!</v>
      </c>
      <c r="BU30" s="24" t="e">
        <f>SUMIFS(#REF!,#REF!,$B30,#REF!,BU$1)</f>
        <v>#REF!</v>
      </c>
      <c r="BV30" s="24" t="e">
        <f>SUMIFS(#REF!,#REF!,$B30,#REF!,BV$1)</f>
        <v>#REF!</v>
      </c>
      <c r="BW30" s="24" t="e">
        <f>SUMIFS(#REF!,#REF!,$B30,#REF!,BW$1)</f>
        <v>#REF!</v>
      </c>
      <c r="BX30" s="24" t="e">
        <f>SUMIFS(#REF!,#REF!,$B30,#REF!,BX$1)</f>
        <v>#REF!</v>
      </c>
      <c r="BY30" s="24" t="e">
        <f>SUMIFS(#REF!,#REF!,$B30,#REF!,BY$1)</f>
        <v>#REF!</v>
      </c>
      <c r="BZ30" s="24" t="e">
        <f>SUMIFS(#REF!,#REF!,$B30,#REF!,BZ$1)</f>
        <v>#REF!</v>
      </c>
      <c r="CA30" s="24" t="e">
        <f>SUMIFS(#REF!,#REF!,$B30,#REF!,CA$1)</f>
        <v>#REF!</v>
      </c>
      <c r="CB30" s="24" t="e">
        <f>SUMIFS(#REF!,#REF!,$B30,#REF!,CB$1)</f>
        <v>#REF!</v>
      </c>
      <c r="CC30" s="24" t="e">
        <f>SUMIFS(#REF!,#REF!,$B30,#REF!,CC$1)</f>
        <v>#REF!</v>
      </c>
      <c r="CD30" s="24" t="e">
        <f>SUMIFS(#REF!,#REF!,$B30,#REF!,CD$1)</f>
        <v>#REF!</v>
      </c>
      <c r="CE30" s="24" t="e">
        <f>SUMIFS(#REF!,#REF!,$B30,#REF!,CE$1)</f>
        <v>#REF!</v>
      </c>
      <c r="CF30" s="24" t="e">
        <f>SUMIFS(#REF!,#REF!,$B30,#REF!,CF$1)</f>
        <v>#REF!</v>
      </c>
      <c r="CG30" s="19" t="e">
        <f t="shared" si="0"/>
        <v>#REF!</v>
      </c>
    </row>
    <row r="31" spans="1:85" x14ac:dyDescent="0.45">
      <c r="A31" s="4" t="s">
        <v>1043</v>
      </c>
      <c r="B31" s="4" t="s">
        <v>1044</v>
      </c>
      <c r="C31" s="24" t="e">
        <f>SUMIFS(#REF!,#REF!,$B31,#REF!,C$1)</f>
        <v>#REF!</v>
      </c>
      <c r="D31" s="24" t="e">
        <f>SUMIFS(#REF!,#REF!,$B31,#REF!,D$1)</f>
        <v>#REF!</v>
      </c>
      <c r="E31" s="24" t="e">
        <f>SUMIFS(#REF!,#REF!,$B31,#REF!,E$1)</f>
        <v>#REF!</v>
      </c>
      <c r="F31" s="24" t="e">
        <f>SUMIFS(#REF!,#REF!,$B31,#REF!,F$1)</f>
        <v>#REF!</v>
      </c>
      <c r="G31" s="24" t="e">
        <f>SUMIFS(#REF!,#REF!,$B31,#REF!,G$1)</f>
        <v>#REF!</v>
      </c>
      <c r="H31" s="24" t="e">
        <f>SUMIFS(#REF!,#REF!,$B31,#REF!,H$1)</f>
        <v>#REF!</v>
      </c>
      <c r="I31" s="24" t="e">
        <f>SUMIFS(#REF!,#REF!,$B31,#REF!,I$1)</f>
        <v>#REF!</v>
      </c>
      <c r="J31" s="24" t="e">
        <f>SUMIFS(#REF!,#REF!,$B31,#REF!,J$1)</f>
        <v>#REF!</v>
      </c>
      <c r="K31" s="24" t="e">
        <f>SUMIFS(#REF!,#REF!,$B31,#REF!,K$1)</f>
        <v>#REF!</v>
      </c>
      <c r="L31" s="24" t="e">
        <f>SUMIFS(#REF!,#REF!,$B31,#REF!,L$1)</f>
        <v>#REF!</v>
      </c>
      <c r="M31" s="24" t="e">
        <f>SUMIFS(#REF!,#REF!,$B31,#REF!,M$1)</f>
        <v>#REF!</v>
      </c>
      <c r="N31" s="24" t="e">
        <f>SUMIFS(#REF!,#REF!,$B31,#REF!,N$1)</f>
        <v>#REF!</v>
      </c>
      <c r="O31" s="24" t="e">
        <f>SUMIFS(#REF!,#REF!,$B31,#REF!,O$1)</f>
        <v>#REF!</v>
      </c>
      <c r="P31" s="24" t="e">
        <f>SUMIFS(#REF!,#REF!,$B31,#REF!,P$1)</f>
        <v>#REF!</v>
      </c>
      <c r="Q31" s="24" t="e">
        <f>SUMIFS(#REF!,#REF!,$B31,#REF!,Q$1)</f>
        <v>#REF!</v>
      </c>
      <c r="R31" s="24" t="e">
        <f>SUMIFS(#REF!,#REF!,$B31,#REF!,R$1)</f>
        <v>#REF!</v>
      </c>
      <c r="S31" s="24" t="e">
        <f>SUMIFS(#REF!,#REF!,$B31,#REF!,S$1)</f>
        <v>#REF!</v>
      </c>
      <c r="T31" s="24" t="e">
        <f>SUMIFS(#REF!,#REF!,$B31,#REF!,T$1)</f>
        <v>#REF!</v>
      </c>
      <c r="U31" s="24" t="e">
        <f>SUMIFS(#REF!,#REF!,$B31,#REF!,U$1)</f>
        <v>#REF!</v>
      </c>
      <c r="V31" s="24" t="e">
        <f>SUMIFS(#REF!,#REF!,$B31,#REF!,V$1)</f>
        <v>#REF!</v>
      </c>
      <c r="W31" s="24" t="e">
        <f>SUMIFS(#REF!,#REF!,$B31,#REF!,W$1)</f>
        <v>#REF!</v>
      </c>
      <c r="X31" s="24" t="e">
        <f>SUMIFS(#REF!,#REF!,$B31,#REF!,X$1)</f>
        <v>#REF!</v>
      </c>
      <c r="Y31" s="24" t="e">
        <f>SUMIFS(#REF!,#REF!,$B31,#REF!,Y$1)</f>
        <v>#REF!</v>
      </c>
      <c r="Z31" s="24" t="e">
        <f>SUMIFS(#REF!,#REF!,$B31,#REF!,Z$1)</f>
        <v>#REF!</v>
      </c>
      <c r="AA31" s="24" t="e">
        <f>SUMIFS(#REF!,#REF!,$B31,#REF!,AA$1)</f>
        <v>#REF!</v>
      </c>
      <c r="AB31" s="24" t="e">
        <f>SUMIFS(#REF!,#REF!,$B31,#REF!,AB$1)</f>
        <v>#REF!</v>
      </c>
      <c r="AC31" s="24" t="e">
        <f>SUMIFS(#REF!,#REF!,$B31,#REF!,AC$1)</f>
        <v>#REF!</v>
      </c>
      <c r="AD31" s="24" t="e">
        <f>SUMIFS(#REF!,#REF!,$B31,#REF!,AD$1)</f>
        <v>#REF!</v>
      </c>
      <c r="AE31" s="24" t="e">
        <f>SUMIFS(#REF!,#REF!,$B31,#REF!,AE$1)</f>
        <v>#REF!</v>
      </c>
      <c r="AF31" s="24" t="e">
        <f>SUMIFS(#REF!,#REF!,$B31,#REF!,AF$1)</f>
        <v>#REF!</v>
      </c>
      <c r="AG31" s="24" t="e">
        <f>SUMIFS(#REF!,#REF!,$B31,#REF!,AG$1)</f>
        <v>#REF!</v>
      </c>
      <c r="AH31" s="24" t="e">
        <f>SUMIFS(#REF!,#REF!,$B31,#REF!,AH$1)</f>
        <v>#REF!</v>
      </c>
      <c r="AI31" s="24" t="e">
        <f>SUMIFS(#REF!,#REF!,$B31,#REF!,AI$1)</f>
        <v>#REF!</v>
      </c>
      <c r="AJ31" s="24" t="e">
        <f>SUMIFS(#REF!,#REF!,$B31,#REF!,AJ$1)</f>
        <v>#REF!</v>
      </c>
      <c r="AK31" s="24" t="e">
        <f>SUMIFS(#REF!,#REF!,$B31,#REF!,AK$1)</f>
        <v>#REF!</v>
      </c>
      <c r="AL31" s="24" t="e">
        <f>SUMIFS(#REF!,#REF!,$B31,#REF!,AL$1)</f>
        <v>#REF!</v>
      </c>
      <c r="AM31" s="24" t="e">
        <f>SUMIFS(#REF!,#REF!,$B31,#REF!,AM$1)</f>
        <v>#REF!</v>
      </c>
      <c r="AN31" s="24" t="e">
        <f>SUMIFS(#REF!,#REF!,$B31,#REF!,AN$1)</f>
        <v>#REF!</v>
      </c>
      <c r="AO31" s="24" t="e">
        <f>SUMIFS(#REF!,#REF!,$B31,#REF!,AO$1)</f>
        <v>#REF!</v>
      </c>
      <c r="AP31" s="24" t="e">
        <f>SUMIFS(#REF!,#REF!,$B31,#REF!,AP$1)</f>
        <v>#REF!</v>
      </c>
      <c r="AQ31" s="24" t="e">
        <f>SUMIFS(#REF!,#REF!,$B31,#REF!,AQ$1)</f>
        <v>#REF!</v>
      </c>
      <c r="AR31" s="24" t="e">
        <f>SUMIFS(#REF!,#REF!,$B31,#REF!,AR$1)</f>
        <v>#REF!</v>
      </c>
      <c r="AS31" s="24" t="e">
        <f>SUMIFS(#REF!,#REF!,$B31,#REF!,AS$1)</f>
        <v>#REF!</v>
      </c>
      <c r="AT31" s="24" t="e">
        <f>SUMIFS(#REF!,#REF!,$B31,#REF!,AT$1)</f>
        <v>#REF!</v>
      </c>
      <c r="AU31" s="24" t="e">
        <f>SUMIFS(#REF!,#REF!,$B31,#REF!,AU$1)</f>
        <v>#REF!</v>
      </c>
      <c r="AV31" s="24" t="e">
        <f>SUMIFS(#REF!,#REF!,$B31,#REF!,AV$1)</f>
        <v>#REF!</v>
      </c>
      <c r="AW31" s="24" t="e">
        <f>SUMIFS(#REF!,#REF!,$B31,#REF!,AW$1)</f>
        <v>#REF!</v>
      </c>
      <c r="AX31" s="24" t="e">
        <f>SUMIFS(#REF!,#REF!,$B31,#REF!,AX$1)</f>
        <v>#REF!</v>
      </c>
      <c r="AY31" s="24" t="e">
        <f>SUMIFS(#REF!,#REF!,$B31,#REF!,AY$1)</f>
        <v>#REF!</v>
      </c>
      <c r="AZ31" s="24" t="e">
        <f>SUMIFS(#REF!,#REF!,$B31,#REF!,AZ$1)</f>
        <v>#REF!</v>
      </c>
      <c r="BA31" s="24" t="e">
        <f>SUMIFS(#REF!,#REF!,$B31,#REF!,BA$1)</f>
        <v>#REF!</v>
      </c>
      <c r="BB31" s="24" t="e">
        <f>SUMIFS(#REF!,#REF!,$B31,#REF!,BB$1)</f>
        <v>#REF!</v>
      </c>
      <c r="BC31" s="24" t="e">
        <f>SUMIFS(#REF!,#REF!,$B31,#REF!,BC$1)</f>
        <v>#REF!</v>
      </c>
      <c r="BD31" s="24" t="e">
        <f>SUMIFS(#REF!,#REF!,$B31,#REF!,BD$1)</f>
        <v>#REF!</v>
      </c>
      <c r="BE31" s="24" t="e">
        <f>SUMIFS(#REF!,#REF!,$B31,#REF!,BE$1)</f>
        <v>#REF!</v>
      </c>
      <c r="BF31" s="24" t="e">
        <f>SUMIFS(#REF!,#REF!,$B31,#REF!,BF$1)</f>
        <v>#REF!</v>
      </c>
      <c r="BG31" s="24" t="e">
        <f>SUMIFS(#REF!,#REF!,$B31,#REF!,BG$1)</f>
        <v>#REF!</v>
      </c>
      <c r="BH31" s="24" t="e">
        <f>SUMIFS(#REF!,#REF!,$B31,#REF!,BH$1)</f>
        <v>#REF!</v>
      </c>
      <c r="BI31" s="24" t="e">
        <f>SUMIFS(#REF!,#REF!,$B31,#REF!,BI$1)</f>
        <v>#REF!</v>
      </c>
      <c r="BJ31" s="24" t="e">
        <f>SUMIFS(#REF!,#REF!,$B31,#REF!,BJ$1)</f>
        <v>#REF!</v>
      </c>
      <c r="BK31" s="24" t="e">
        <f>SUMIFS(#REF!,#REF!,$B31,#REF!,BK$1)</f>
        <v>#REF!</v>
      </c>
      <c r="BL31" s="24" t="e">
        <f>SUMIFS(#REF!,#REF!,$B31,#REF!,BL$1)</f>
        <v>#REF!</v>
      </c>
      <c r="BM31" s="24" t="e">
        <f>SUMIFS(#REF!,#REF!,$B31,#REF!,BM$1)</f>
        <v>#REF!</v>
      </c>
      <c r="BN31" s="24" t="e">
        <f>SUMIFS(#REF!,#REF!,$B31,#REF!,BN$1)</f>
        <v>#REF!</v>
      </c>
      <c r="BO31" s="24" t="e">
        <f>SUMIFS(#REF!,#REF!,$B31,#REF!,BO$1)</f>
        <v>#REF!</v>
      </c>
      <c r="BP31" s="24" t="e">
        <f>SUMIFS(#REF!,#REF!,$B31,#REF!,BP$1)</f>
        <v>#REF!</v>
      </c>
      <c r="BQ31" s="24" t="e">
        <f>SUMIFS(#REF!,#REF!,$B31,#REF!,BQ$1)</f>
        <v>#REF!</v>
      </c>
      <c r="BR31" s="24" t="e">
        <f>SUMIFS(#REF!,#REF!,$B31,#REF!,BR$1)</f>
        <v>#REF!</v>
      </c>
      <c r="BS31" s="24" t="e">
        <f>SUMIFS(#REF!,#REF!,$B31,#REF!,BS$1)</f>
        <v>#REF!</v>
      </c>
      <c r="BT31" s="24" t="e">
        <f>SUMIFS(#REF!,#REF!,$B31,#REF!,BT$1)</f>
        <v>#REF!</v>
      </c>
      <c r="BU31" s="24" t="e">
        <f>SUMIFS(#REF!,#REF!,$B31,#REF!,BU$1)</f>
        <v>#REF!</v>
      </c>
      <c r="BV31" s="24" t="e">
        <f>SUMIFS(#REF!,#REF!,$B31,#REF!,BV$1)</f>
        <v>#REF!</v>
      </c>
      <c r="BW31" s="24" t="e">
        <f>SUMIFS(#REF!,#REF!,$B31,#REF!,BW$1)</f>
        <v>#REF!</v>
      </c>
      <c r="BX31" s="24" t="e">
        <f>SUMIFS(#REF!,#REF!,$B31,#REF!,BX$1)</f>
        <v>#REF!</v>
      </c>
      <c r="BY31" s="24" t="e">
        <f>SUMIFS(#REF!,#REF!,$B31,#REF!,BY$1)</f>
        <v>#REF!</v>
      </c>
      <c r="BZ31" s="24" t="e">
        <f>SUMIFS(#REF!,#REF!,$B31,#REF!,BZ$1)</f>
        <v>#REF!</v>
      </c>
      <c r="CA31" s="24" t="e">
        <f>SUMIFS(#REF!,#REF!,$B31,#REF!,CA$1)</f>
        <v>#REF!</v>
      </c>
      <c r="CB31" s="24" t="e">
        <f>SUMIFS(#REF!,#REF!,$B31,#REF!,CB$1)</f>
        <v>#REF!</v>
      </c>
      <c r="CC31" s="24" t="e">
        <f>SUMIFS(#REF!,#REF!,$B31,#REF!,CC$1)</f>
        <v>#REF!</v>
      </c>
      <c r="CD31" s="24" t="e">
        <f>SUMIFS(#REF!,#REF!,$B31,#REF!,CD$1)</f>
        <v>#REF!</v>
      </c>
      <c r="CE31" s="24" t="e">
        <f>SUMIFS(#REF!,#REF!,$B31,#REF!,CE$1)</f>
        <v>#REF!</v>
      </c>
      <c r="CF31" s="24" t="e">
        <f>SUMIFS(#REF!,#REF!,$B31,#REF!,CF$1)</f>
        <v>#REF!</v>
      </c>
      <c r="CG31" s="19" t="e">
        <f t="shared" si="0"/>
        <v>#REF!</v>
      </c>
    </row>
    <row r="32" spans="1:85" x14ac:dyDescent="0.45">
      <c r="A32" s="4" t="s">
        <v>1045</v>
      </c>
      <c r="B32" s="4" t="s">
        <v>1046</v>
      </c>
      <c r="C32" s="24" t="e">
        <f>SUMIFS(#REF!,#REF!,$B32,#REF!,C$1)</f>
        <v>#REF!</v>
      </c>
      <c r="D32" s="24" t="e">
        <f>SUMIFS(#REF!,#REF!,$B32,#REF!,D$1)</f>
        <v>#REF!</v>
      </c>
      <c r="E32" s="24" t="e">
        <f>SUMIFS(#REF!,#REF!,$B32,#REF!,E$1)</f>
        <v>#REF!</v>
      </c>
      <c r="F32" s="24" t="e">
        <f>SUMIFS(#REF!,#REF!,$B32,#REF!,F$1)</f>
        <v>#REF!</v>
      </c>
      <c r="G32" s="24" t="e">
        <f>SUMIFS(#REF!,#REF!,$B32,#REF!,G$1)</f>
        <v>#REF!</v>
      </c>
      <c r="H32" s="24" t="e">
        <f>SUMIFS(#REF!,#REF!,$B32,#REF!,H$1)</f>
        <v>#REF!</v>
      </c>
      <c r="I32" s="24" t="e">
        <f>SUMIFS(#REF!,#REF!,$B32,#REF!,I$1)</f>
        <v>#REF!</v>
      </c>
      <c r="J32" s="24" t="e">
        <f>SUMIFS(#REF!,#REF!,$B32,#REF!,J$1)</f>
        <v>#REF!</v>
      </c>
      <c r="K32" s="24" t="e">
        <f>SUMIFS(#REF!,#REF!,$B32,#REF!,K$1)</f>
        <v>#REF!</v>
      </c>
      <c r="L32" s="24" t="e">
        <f>SUMIFS(#REF!,#REF!,$B32,#REF!,L$1)</f>
        <v>#REF!</v>
      </c>
      <c r="M32" s="24" t="e">
        <f>SUMIFS(#REF!,#REF!,$B32,#REF!,M$1)</f>
        <v>#REF!</v>
      </c>
      <c r="N32" s="24" t="e">
        <f>SUMIFS(#REF!,#REF!,$B32,#REF!,N$1)</f>
        <v>#REF!</v>
      </c>
      <c r="O32" s="24" t="e">
        <f>SUMIFS(#REF!,#REF!,$B32,#REF!,O$1)</f>
        <v>#REF!</v>
      </c>
      <c r="P32" s="24" t="e">
        <f>SUMIFS(#REF!,#REF!,$B32,#REF!,P$1)</f>
        <v>#REF!</v>
      </c>
      <c r="Q32" s="24" t="e">
        <f>SUMIFS(#REF!,#REF!,$B32,#REF!,Q$1)</f>
        <v>#REF!</v>
      </c>
      <c r="R32" s="24" t="e">
        <f>SUMIFS(#REF!,#REF!,$B32,#REF!,R$1)</f>
        <v>#REF!</v>
      </c>
      <c r="S32" s="24" t="e">
        <f>SUMIFS(#REF!,#REF!,$B32,#REF!,S$1)</f>
        <v>#REF!</v>
      </c>
      <c r="T32" s="24" t="e">
        <f>SUMIFS(#REF!,#REF!,$B32,#REF!,T$1)</f>
        <v>#REF!</v>
      </c>
      <c r="U32" s="24" t="e">
        <f>SUMIFS(#REF!,#REF!,$B32,#REF!,U$1)</f>
        <v>#REF!</v>
      </c>
      <c r="V32" s="24" t="e">
        <f>SUMIFS(#REF!,#REF!,$B32,#REF!,V$1)</f>
        <v>#REF!</v>
      </c>
      <c r="W32" s="24" t="e">
        <f>SUMIFS(#REF!,#REF!,$B32,#REF!,W$1)</f>
        <v>#REF!</v>
      </c>
      <c r="X32" s="24" t="e">
        <f>SUMIFS(#REF!,#REF!,$B32,#REF!,X$1)</f>
        <v>#REF!</v>
      </c>
      <c r="Y32" s="24" t="e">
        <f>SUMIFS(#REF!,#REF!,$B32,#REF!,Y$1)</f>
        <v>#REF!</v>
      </c>
      <c r="Z32" s="24" t="e">
        <f>SUMIFS(#REF!,#REF!,$B32,#REF!,Z$1)</f>
        <v>#REF!</v>
      </c>
      <c r="AA32" s="24" t="e">
        <f>SUMIFS(#REF!,#REF!,$B32,#REF!,AA$1)</f>
        <v>#REF!</v>
      </c>
      <c r="AB32" s="24" t="e">
        <f>SUMIFS(#REF!,#REF!,$B32,#REF!,AB$1)</f>
        <v>#REF!</v>
      </c>
      <c r="AC32" s="24" t="e">
        <f>SUMIFS(#REF!,#REF!,$B32,#REF!,AC$1)</f>
        <v>#REF!</v>
      </c>
      <c r="AD32" s="24" t="e">
        <f>SUMIFS(#REF!,#REF!,$B32,#REF!,AD$1)</f>
        <v>#REF!</v>
      </c>
      <c r="AE32" s="24" t="e">
        <f>SUMIFS(#REF!,#REF!,$B32,#REF!,AE$1)</f>
        <v>#REF!</v>
      </c>
      <c r="AF32" s="24" t="e">
        <f>SUMIFS(#REF!,#REF!,$B32,#REF!,AF$1)</f>
        <v>#REF!</v>
      </c>
      <c r="AG32" s="24" t="e">
        <f>SUMIFS(#REF!,#REF!,$B32,#REF!,AG$1)</f>
        <v>#REF!</v>
      </c>
      <c r="AH32" s="24" t="e">
        <f>SUMIFS(#REF!,#REF!,$B32,#REF!,AH$1)</f>
        <v>#REF!</v>
      </c>
      <c r="AI32" s="24" t="e">
        <f>SUMIFS(#REF!,#REF!,$B32,#REF!,AI$1)</f>
        <v>#REF!</v>
      </c>
      <c r="AJ32" s="24" t="e">
        <f>SUMIFS(#REF!,#REF!,$B32,#REF!,AJ$1)</f>
        <v>#REF!</v>
      </c>
      <c r="AK32" s="24" t="e">
        <f>SUMIFS(#REF!,#REF!,$B32,#REF!,AK$1)</f>
        <v>#REF!</v>
      </c>
      <c r="AL32" s="24" t="e">
        <f>SUMIFS(#REF!,#REF!,$B32,#REF!,AL$1)</f>
        <v>#REF!</v>
      </c>
      <c r="AM32" s="24" t="e">
        <f>SUMIFS(#REF!,#REF!,$B32,#REF!,AM$1)</f>
        <v>#REF!</v>
      </c>
      <c r="AN32" s="24" t="e">
        <f>SUMIFS(#REF!,#REF!,$B32,#REF!,AN$1)</f>
        <v>#REF!</v>
      </c>
      <c r="AO32" s="24" t="e">
        <f>SUMIFS(#REF!,#REF!,$B32,#REF!,AO$1)</f>
        <v>#REF!</v>
      </c>
      <c r="AP32" s="24" t="e">
        <f>SUMIFS(#REF!,#REF!,$B32,#REF!,AP$1)</f>
        <v>#REF!</v>
      </c>
      <c r="AQ32" s="24" t="e">
        <f>SUMIFS(#REF!,#REF!,$B32,#REF!,AQ$1)</f>
        <v>#REF!</v>
      </c>
      <c r="AR32" s="24" t="e">
        <f>SUMIFS(#REF!,#REF!,$B32,#REF!,AR$1)</f>
        <v>#REF!</v>
      </c>
      <c r="AS32" s="24" t="e">
        <f>SUMIFS(#REF!,#REF!,$B32,#REF!,AS$1)</f>
        <v>#REF!</v>
      </c>
      <c r="AT32" s="24" t="e">
        <f>SUMIFS(#REF!,#REF!,$B32,#REF!,AT$1)</f>
        <v>#REF!</v>
      </c>
      <c r="AU32" s="24" t="e">
        <f>SUMIFS(#REF!,#REF!,$B32,#REF!,AU$1)</f>
        <v>#REF!</v>
      </c>
      <c r="AV32" s="24" t="e">
        <f>SUMIFS(#REF!,#REF!,$B32,#REF!,AV$1)</f>
        <v>#REF!</v>
      </c>
      <c r="AW32" s="24" t="e">
        <f>SUMIFS(#REF!,#REF!,$B32,#REF!,AW$1)</f>
        <v>#REF!</v>
      </c>
      <c r="AX32" s="24" t="e">
        <f>SUMIFS(#REF!,#REF!,$B32,#REF!,AX$1)</f>
        <v>#REF!</v>
      </c>
      <c r="AY32" s="24" t="e">
        <f>SUMIFS(#REF!,#REF!,$B32,#REF!,AY$1)</f>
        <v>#REF!</v>
      </c>
      <c r="AZ32" s="24" t="e">
        <f>SUMIFS(#REF!,#REF!,$B32,#REF!,AZ$1)</f>
        <v>#REF!</v>
      </c>
      <c r="BA32" s="24" t="e">
        <f>SUMIFS(#REF!,#REF!,$B32,#REF!,BA$1)</f>
        <v>#REF!</v>
      </c>
      <c r="BB32" s="24" t="e">
        <f>SUMIFS(#REF!,#REF!,$B32,#REF!,BB$1)</f>
        <v>#REF!</v>
      </c>
      <c r="BC32" s="24" t="e">
        <f>SUMIFS(#REF!,#REF!,$B32,#REF!,BC$1)</f>
        <v>#REF!</v>
      </c>
      <c r="BD32" s="24" t="e">
        <f>SUMIFS(#REF!,#REF!,$B32,#REF!,BD$1)</f>
        <v>#REF!</v>
      </c>
      <c r="BE32" s="24" t="e">
        <f>SUMIFS(#REF!,#REF!,$B32,#REF!,BE$1)</f>
        <v>#REF!</v>
      </c>
      <c r="BF32" s="24" t="e">
        <f>SUMIFS(#REF!,#REF!,$B32,#REF!,BF$1)</f>
        <v>#REF!</v>
      </c>
      <c r="BG32" s="24" t="e">
        <f>SUMIFS(#REF!,#REF!,$B32,#REF!,BG$1)</f>
        <v>#REF!</v>
      </c>
      <c r="BH32" s="24" t="e">
        <f>SUMIFS(#REF!,#REF!,$B32,#REF!,BH$1)</f>
        <v>#REF!</v>
      </c>
      <c r="BI32" s="24" t="e">
        <f>SUMIFS(#REF!,#REF!,$B32,#REF!,BI$1)</f>
        <v>#REF!</v>
      </c>
      <c r="BJ32" s="24" t="e">
        <f>SUMIFS(#REF!,#REF!,$B32,#REF!,BJ$1)</f>
        <v>#REF!</v>
      </c>
      <c r="BK32" s="24" t="e">
        <f>SUMIFS(#REF!,#REF!,$B32,#REF!,BK$1)</f>
        <v>#REF!</v>
      </c>
      <c r="BL32" s="24" t="e">
        <f>SUMIFS(#REF!,#REF!,$B32,#REF!,BL$1)</f>
        <v>#REF!</v>
      </c>
      <c r="BM32" s="24" t="e">
        <f>SUMIFS(#REF!,#REF!,$B32,#REF!,BM$1)</f>
        <v>#REF!</v>
      </c>
      <c r="BN32" s="24" t="e">
        <f>SUMIFS(#REF!,#REF!,$B32,#REF!,BN$1)</f>
        <v>#REF!</v>
      </c>
      <c r="BO32" s="24" t="e">
        <f>SUMIFS(#REF!,#REF!,$B32,#REF!,BO$1)</f>
        <v>#REF!</v>
      </c>
      <c r="BP32" s="24" t="e">
        <f>SUMIFS(#REF!,#REF!,$B32,#REF!,BP$1)</f>
        <v>#REF!</v>
      </c>
      <c r="BQ32" s="24" t="e">
        <f>SUMIFS(#REF!,#REF!,$B32,#REF!,BQ$1)</f>
        <v>#REF!</v>
      </c>
      <c r="BR32" s="24" t="e">
        <f>SUMIFS(#REF!,#REF!,$B32,#REF!,BR$1)</f>
        <v>#REF!</v>
      </c>
      <c r="BS32" s="24" t="e">
        <f>SUMIFS(#REF!,#REF!,$B32,#REF!,BS$1)</f>
        <v>#REF!</v>
      </c>
      <c r="BT32" s="24" t="e">
        <f>SUMIFS(#REF!,#REF!,$B32,#REF!,BT$1)</f>
        <v>#REF!</v>
      </c>
      <c r="BU32" s="24" t="e">
        <f>SUMIFS(#REF!,#REF!,$B32,#REF!,BU$1)</f>
        <v>#REF!</v>
      </c>
      <c r="BV32" s="24" t="e">
        <f>SUMIFS(#REF!,#REF!,$B32,#REF!,BV$1)</f>
        <v>#REF!</v>
      </c>
      <c r="BW32" s="24" t="e">
        <f>SUMIFS(#REF!,#REF!,$B32,#REF!,BW$1)</f>
        <v>#REF!</v>
      </c>
      <c r="BX32" s="24" t="e">
        <f>SUMIFS(#REF!,#REF!,$B32,#REF!,BX$1)</f>
        <v>#REF!</v>
      </c>
      <c r="BY32" s="24" t="e">
        <f>SUMIFS(#REF!,#REF!,$B32,#REF!,BY$1)</f>
        <v>#REF!</v>
      </c>
      <c r="BZ32" s="24" t="e">
        <f>SUMIFS(#REF!,#REF!,$B32,#REF!,BZ$1)</f>
        <v>#REF!</v>
      </c>
      <c r="CA32" s="24" t="e">
        <f>SUMIFS(#REF!,#REF!,$B32,#REF!,CA$1)</f>
        <v>#REF!</v>
      </c>
      <c r="CB32" s="24" t="e">
        <f>SUMIFS(#REF!,#REF!,$B32,#REF!,CB$1)</f>
        <v>#REF!</v>
      </c>
      <c r="CC32" s="24" t="e">
        <f>SUMIFS(#REF!,#REF!,$B32,#REF!,CC$1)</f>
        <v>#REF!</v>
      </c>
      <c r="CD32" s="24" t="e">
        <f>SUMIFS(#REF!,#REF!,$B32,#REF!,CD$1)</f>
        <v>#REF!</v>
      </c>
      <c r="CE32" s="24" t="e">
        <f>SUMIFS(#REF!,#REF!,$B32,#REF!,CE$1)</f>
        <v>#REF!</v>
      </c>
      <c r="CF32" s="24" t="e">
        <f>SUMIFS(#REF!,#REF!,$B32,#REF!,CF$1)</f>
        <v>#REF!</v>
      </c>
      <c r="CG32" s="19" t="e">
        <f t="shared" si="0"/>
        <v>#REF!</v>
      </c>
    </row>
    <row r="33" spans="1:85" x14ac:dyDescent="0.45">
      <c r="A33" s="4" t="s">
        <v>1047</v>
      </c>
      <c r="B33" s="4" t="s">
        <v>1048</v>
      </c>
      <c r="C33" s="24" t="e">
        <f>SUMIFS(#REF!,#REF!,$B33,#REF!,C$1)</f>
        <v>#REF!</v>
      </c>
      <c r="D33" s="24" t="e">
        <f>SUMIFS(#REF!,#REF!,$B33,#REF!,D$1)</f>
        <v>#REF!</v>
      </c>
      <c r="E33" s="24" t="e">
        <f>SUMIFS(#REF!,#REF!,$B33,#REF!,E$1)</f>
        <v>#REF!</v>
      </c>
      <c r="F33" s="24" t="e">
        <f>SUMIFS(#REF!,#REF!,$B33,#REF!,F$1)</f>
        <v>#REF!</v>
      </c>
      <c r="G33" s="24" t="e">
        <f>SUMIFS(#REF!,#REF!,$B33,#REF!,G$1)</f>
        <v>#REF!</v>
      </c>
      <c r="H33" s="24" t="e">
        <f>SUMIFS(#REF!,#REF!,$B33,#REF!,H$1)</f>
        <v>#REF!</v>
      </c>
      <c r="I33" s="24" t="e">
        <f>SUMIFS(#REF!,#REF!,$B33,#REF!,I$1)</f>
        <v>#REF!</v>
      </c>
      <c r="J33" s="24" t="e">
        <f>SUMIFS(#REF!,#REF!,$B33,#REF!,J$1)</f>
        <v>#REF!</v>
      </c>
      <c r="K33" s="24" t="e">
        <f>SUMIFS(#REF!,#REF!,$B33,#REF!,K$1)</f>
        <v>#REF!</v>
      </c>
      <c r="L33" s="24" t="e">
        <f>SUMIFS(#REF!,#REF!,$B33,#REF!,L$1)</f>
        <v>#REF!</v>
      </c>
      <c r="M33" s="24" t="e">
        <f>SUMIFS(#REF!,#REF!,$B33,#REF!,M$1)</f>
        <v>#REF!</v>
      </c>
      <c r="N33" s="24" t="e">
        <f>SUMIFS(#REF!,#REF!,$B33,#REF!,N$1)</f>
        <v>#REF!</v>
      </c>
      <c r="O33" s="24" t="e">
        <f>SUMIFS(#REF!,#REF!,$B33,#REF!,O$1)</f>
        <v>#REF!</v>
      </c>
      <c r="P33" s="24" t="e">
        <f>SUMIFS(#REF!,#REF!,$B33,#REF!,P$1)</f>
        <v>#REF!</v>
      </c>
      <c r="Q33" s="24" t="e">
        <f>SUMIFS(#REF!,#REF!,$B33,#REF!,Q$1)</f>
        <v>#REF!</v>
      </c>
      <c r="R33" s="24" t="e">
        <f>SUMIFS(#REF!,#REF!,$B33,#REF!,R$1)</f>
        <v>#REF!</v>
      </c>
      <c r="S33" s="24" t="e">
        <f>SUMIFS(#REF!,#REF!,$B33,#REF!,S$1)</f>
        <v>#REF!</v>
      </c>
      <c r="T33" s="24" t="e">
        <f>SUMIFS(#REF!,#REF!,$B33,#REF!,T$1)</f>
        <v>#REF!</v>
      </c>
      <c r="U33" s="24" t="e">
        <f>SUMIFS(#REF!,#REF!,$B33,#REF!,U$1)</f>
        <v>#REF!</v>
      </c>
      <c r="V33" s="24" t="e">
        <f>SUMIFS(#REF!,#REF!,$B33,#REF!,V$1)</f>
        <v>#REF!</v>
      </c>
      <c r="W33" s="24" t="e">
        <f>SUMIFS(#REF!,#REF!,$B33,#REF!,W$1)</f>
        <v>#REF!</v>
      </c>
      <c r="X33" s="24" t="e">
        <f>SUMIFS(#REF!,#REF!,$B33,#REF!,X$1)</f>
        <v>#REF!</v>
      </c>
      <c r="Y33" s="24" t="e">
        <f>SUMIFS(#REF!,#REF!,$B33,#REF!,Y$1)</f>
        <v>#REF!</v>
      </c>
      <c r="Z33" s="24" t="e">
        <f>SUMIFS(#REF!,#REF!,$B33,#REF!,Z$1)</f>
        <v>#REF!</v>
      </c>
      <c r="AA33" s="24" t="e">
        <f>SUMIFS(#REF!,#REF!,$B33,#REF!,AA$1)</f>
        <v>#REF!</v>
      </c>
      <c r="AB33" s="24" t="e">
        <f>SUMIFS(#REF!,#REF!,$B33,#REF!,AB$1)</f>
        <v>#REF!</v>
      </c>
      <c r="AC33" s="24" t="e">
        <f>SUMIFS(#REF!,#REF!,$B33,#REF!,AC$1)</f>
        <v>#REF!</v>
      </c>
      <c r="AD33" s="24" t="e">
        <f>SUMIFS(#REF!,#REF!,$B33,#REF!,AD$1)</f>
        <v>#REF!</v>
      </c>
      <c r="AE33" s="24" t="e">
        <f>SUMIFS(#REF!,#REF!,$B33,#REF!,AE$1)</f>
        <v>#REF!</v>
      </c>
      <c r="AF33" s="24" t="e">
        <f>SUMIFS(#REF!,#REF!,$B33,#REF!,AF$1)</f>
        <v>#REF!</v>
      </c>
      <c r="AG33" s="24" t="e">
        <f>SUMIFS(#REF!,#REF!,$B33,#REF!,AG$1)</f>
        <v>#REF!</v>
      </c>
      <c r="AH33" s="24" t="e">
        <f>SUMIFS(#REF!,#REF!,$B33,#REF!,AH$1)</f>
        <v>#REF!</v>
      </c>
      <c r="AI33" s="24" t="e">
        <f>SUMIFS(#REF!,#REF!,$B33,#REF!,AI$1)</f>
        <v>#REF!</v>
      </c>
      <c r="AJ33" s="24" t="e">
        <f>SUMIFS(#REF!,#REF!,$B33,#REF!,AJ$1)</f>
        <v>#REF!</v>
      </c>
      <c r="AK33" s="24" t="e">
        <f>SUMIFS(#REF!,#REF!,$B33,#REF!,AK$1)</f>
        <v>#REF!</v>
      </c>
      <c r="AL33" s="24" t="e">
        <f>SUMIFS(#REF!,#REF!,$B33,#REF!,AL$1)</f>
        <v>#REF!</v>
      </c>
      <c r="AM33" s="24" t="e">
        <f>SUMIFS(#REF!,#REF!,$B33,#REF!,AM$1)</f>
        <v>#REF!</v>
      </c>
      <c r="AN33" s="24" t="e">
        <f>SUMIFS(#REF!,#REF!,$B33,#REF!,AN$1)</f>
        <v>#REF!</v>
      </c>
      <c r="AO33" s="24" t="e">
        <f>SUMIFS(#REF!,#REF!,$B33,#REF!,AO$1)</f>
        <v>#REF!</v>
      </c>
      <c r="AP33" s="24" t="e">
        <f>SUMIFS(#REF!,#REF!,$B33,#REF!,AP$1)</f>
        <v>#REF!</v>
      </c>
      <c r="AQ33" s="24" t="e">
        <f>SUMIFS(#REF!,#REF!,$B33,#REF!,AQ$1)</f>
        <v>#REF!</v>
      </c>
      <c r="AR33" s="24" t="e">
        <f>SUMIFS(#REF!,#REF!,$B33,#REF!,AR$1)</f>
        <v>#REF!</v>
      </c>
      <c r="AS33" s="24" t="e">
        <f>SUMIFS(#REF!,#REF!,$B33,#REF!,AS$1)</f>
        <v>#REF!</v>
      </c>
      <c r="AT33" s="24" t="e">
        <f>SUMIFS(#REF!,#REF!,$B33,#REF!,AT$1)</f>
        <v>#REF!</v>
      </c>
      <c r="AU33" s="24" t="e">
        <f>SUMIFS(#REF!,#REF!,$B33,#REF!,AU$1)</f>
        <v>#REF!</v>
      </c>
      <c r="AV33" s="24" t="e">
        <f>SUMIFS(#REF!,#REF!,$B33,#REF!,AV$1)</f>
        <v>#REF!</v>
      </c>
      <c r="AW33" s="24" t="e">
        <f>SUMIFS(#REF!,#REF!,$B33,#REF!,AW$1)</f>
        <v>#REF!</v>
      </c>
      <c r="AX33" s="24" t="e">
        <f>SUMIFS(#REF!,#REF!,$B33,#REF!,AX$1)</f>
        <v>#REF!</v>
      </c>
      <c r="AY33" s="24" t="e">
        <f>SUMIFS(#REF!,#REF!,$B33,#REF!,AY$1)</f>
        <v>#REF!</v>
      </c>
      <c r="AZ33" s="24" t="e">
        <f>SUMIFS(#REF!,#REF!,$B33,#REF!,AZ$1)</f>
        <v>#REF!</v>
      </c>
      <c r="BA33" s="24" t="e">
        <f>SUMIFS(#REF!,#REF!,$B33,#REF!,BA$1)</f>
        <v>#REF!</v>
      </c>
      <c r="BB33" s="24" t="e">
        <f>SUMIFS(#REF!,#REF!,$B33,#REF!,BB$1)</f>
        <v>#REF!</v>
      </c>
      <c r="BC33" s="24" t="e">
        <f>SUMIFS(#REF!,#REF!,$B33,#REF!,BC$1)</f>
        <v>#REF!</v>
      </c>
      <c r="BD33" s="24" t="e">
        <f>SUMIFS(#REF!,#REF!,$B33,#REF!,BD$1)</f>
        <v>#REF!</v>
      </c>
      <c r="BE33" s="24" t="e">
        <f>SUMIFS(#REF!,#REF!,$B33,#REF!,BE$1)</f>
        <v>#REF!</v>
      </c>
      <c r="BF33" s="24" t="e">
        <f>SUMIFS(#REF!,#REF!,$B33,#REF!,BF$1)</f>
        <v>#REF!</v>
      </c>
      <c r="BG33" s="24" t="e">
        <f>SUMIFS(#REF!,#REF!,$B33,#REF!,BG$1)</f>
        <v>#REF!</v>
      </c>
      <c r="BH33" s="24" t="e">
        <f>SUMIFS(#REF!,#REF!,$B33,#REF!,BH$1)</f>
        <v>#REF!</v>
      </c>
      <c r="BI33" s="24" t="e">
        <f>SUMIFS(#REF!,#REF!,$B33,#REF!,BI$1)</f>
        <v>#REF!</v>
      </c>
      <c r="BJ33" s="24" t="e">
        <f>SUMIFS(#REF!,#REF!,$B33,#REF!,BJ$1)</f>
        <v>#REF!</v>
      </c>
      <c r="BK33" s="24" t="e">
        <f>SUMIFS(#REF!,#REF!,$B33,#REF!,BK$1)</f>
        <v>#REF!</v>
      </c>
      <c r="BL33" s="24" t="e">
        <f>SUMIFS(#REF!,#REF!,$B33,#REF!,BL$1)</f>
        <v>#REF!</v>
      </c>
      <c r="BM33" s="24" t="e">
        <f>SUMIFS(#REF!,#REF!,$B33,#REF!,BM$1)</f>
        <v>#REF!</v>
      </c>
      <c r="BN33" s="24" t="e">
        <f>SUMIFS(#REF!,#REF!,$B33,#REF!,BN$1)</f>
        <v>#REF!</v>
      </c>
      <c r="BO33" s="24" t="e">
        <f>SUMIFS(#REF!,#REF!,$B33,#REF!,BO$1)</f>
        <v>#REF!</v>
      </c>
      <c r="BP33" s="24" t="e">
        <f>SUMIFS(#REF!,#REF!,$B33,#REF!,BP$1)</f>
        <v>#REF!</v>
      </c>
      <c r="BQ33" s="24" t="e">
        <f>SUMIFS(#REF!,#REF!,$B33,#REF!,BQ$1)</f>
        <v>#REF!</v>
      </c>
      <c r="BR33" s="24" t="e">
        <f>SUMIFS(#REF!,#REF!,$B33,#REF!,BR$1)</f>
        <v>#REF!</v>
      </c>
      <c r="BS33" s="24" t="e">
        <f>SUMIFS(#REF!,#REF!,$B33,#REF!,BS$1)</f>
        <v>#REF!</v>
      </c>
      <c r="BT33" s="24" t="e">
        <f>SUMIFS(#REF!,#REF!,$B33,#REF!,BT$1)</f>
        <v>#REF!</v>
      </c>
      <c r="BU33" s="24" t="e">
        <f>SUMIFS(#REF!,#REF!,$B33,#REF!,BU$1)</f>
        <v>#REF!</v>
      </c>
      <c r="BV33" s="24" t="e">
        <f>SUMIFS(#REF!,#REF!,$B33,#REF!,BV$1)</f>
        <v>#REF!</v>
      </c>
      <c r="BW33" s="24" t="e">
        <f>SUMIFS(#REF!,#REF!,$B33,#REF!,BW$1)</f>
        <v>#REF!</v>
      </c>
      <c r="BX33" s="24" t="e">
        <f>SUMIFS(#REF!,#REF!,$B33,#REF!,BX$1)</f>
        <v>#REF!</v>
      </c>
      <c r="BY33" s="24" t="e">
        <f>SUMIFS(#REF!,#REF!,$B33,#REF!,BY$1)</f>
        <v>#REF!</v>
      </c>
      <c r="BZ33" s="24" t="e">
        <f>SUMIFS(#REF!,#REF!,$B33,#REF!,BZ$1)</f>
        <v>#REF!</v>
      </c>
      <c r="CA33" s="24" t="e">
        <f>SUMIFS(#REF!,#REF!,$B33,#REF!,CA$1)</f>
        <v>#REF!</v>
      </c>
      <c r="CB33" s="24" t="e">
        <f>SUMIFS(#REF!,#REF!,$B33,#REF!,CB$1)</f>
        <v>#REF!</v>
      </c>
      <c r="CC33" s="24" t="e">
        <f>SUMIFS(#REF!,#REF!,$B33,#REF!,CC$1)</f>
        <v>#REF!</v>
      </c>
      <c r="CD33" s="24" t="e">
        <f>SUMIFS(#REF!,#REF!,$B33,#REF!,CD$1)</f>
        <v>#REF!</v>
      </c>
      <c r="CE33" s="24" t="e">
        <f>SUMIFS(#REF!,#REF!,$B33,#REF!,CE$1)</f>
        <v>#REF!</v>
      </c>
      <c r="CF33" s="24" t="e">
        <f>SUMIFS(#REF!,#REF!,$B33,#REF!,CF$1)</f>
        <v>#REF!</v>
      </c>
      <c r="CG33" s="19" t="e">
        <f t="shared" si="0"/>
        <v>#REF!</v>
      </c>
    </row>
    <row r="34" spans="1:85" x14ac:dyDescent="0.45">
      <c r="A34" s="4" t="s">
        <v>1049</v>
      </c>
      <c r="B34" s="4" t="s">
        <v>1050</v>
      </c>
      <c r="C34" s="24" t="e">
        <f>SUMIFS(#REF!,#REF!,$B34,#REF!,C$1)</f>
        <v>#REF!</v>
      </c>
      <c r="D34" s="24" t="e">
        <f>SUMIFS(#REF!,#REF!,$B34,#REF!,D$1)</f>
        <v>#REF!</v>
      </c>
      <c r="E34" s="24" t="e">
        <f>SUMIFS(#REF!,#REF!,$B34,#REF!,E$1)</f>
        <v>#REF!</v>
      </c>
      <c r="F34" s="24" t="e">
        <f>SUMIFS(#REF!,#REF!,$B34,#REF!,F$1)</f>
        <v>#REF!</v>
      </c>
      <c r="G34" s="24" t="e">
        <f>SUMIFS(#REF!,#REF!,$B34,#REF!,G$1)</f>
        <v>#REF!</v>
      </c>
      <c r="H34" s="24" t="e">
        <f>SUMIFS(#REF!,#REF!,$B34,#REF!,H$1)</f>
        <v>#REF!</v>
      </c>
      <c r="I34" s="24" t="e">
        <f>SUMIFS(#REF!,#REF!,$B34,#REF!,I$1)</f>
        <v>#REF!</v>
      </c>
      <c r="J34" s="24" t="e">
        <f>SUMIFS(#REF!,#REF!,$B34,#REF!,J$1)</f>
        <v>#REF!</v>
      </c>
      <c r="K34" s="24" t="e">
        <f>SUMIFS(#REF!,#REF!,$B34,#REF!,K$1)</f>
        <v>#REF!</v>
      </c>
      <c r="L34" s="24" t="e">
        <f>SUMIFS(#REF!,#REF!,$B34,#REF!,L$1)</f>
        <v>#REF!</v>
      </c>
      <c r="M34" s="24" t="e">
        <f>SUMIFS(#REF!,#REF!,$B34,#REF!,M$1)</f>
        <v>#REF!</v>
      </c>
      <c r="N34" s="24" t="e">
        <f>SUMIFS(#REF!,#REF!,$B34,#REF!,N$1)</f>
        <v>#REF!</v>
      </c>
      <c r="O34" s="24" t="e">
        <f>SUMIFS(#REF!,#REF!,$B34,#REF!,O$1)</f>
        <v>#REF!</v>
      </c>
      <c r="P34" s="24" t="e">
        <f>SUMIFS(#REF!,#REF!,$B34,#REF!,P$1)</f>
        <v>#REF!</v>
      </c>
      <c r="Q34" s="24" t="e">
        <f>SUMIFS(#REF!,#REF!,$B34,#REF!,Q$1)</f>
        <v>#REF!</v>
      </c>
      <c r="R34" s="24" t="e">
        <f>SUMIFS(#REF!,#REF!,$B34,#REF!,R$1)</f>
        <v>#REF!</v>
      </c>
      <c r="S34" s="24" t="e">
        <f>SUMIFS(#REF!,#REF!,$B34,#REF!,S$1)</f>
        <v>#REF!</v>
      </c>
      <c r="T34" s="24" t="e">
        <f>SUMIFS(#REF!,#REF!,$B34,#REF!,T$1)</f>
        <v>#REF!</v>
      </c>
      <c r="U34" s="24" t="e">
        <f>SUMIFS(#REF!,#REF!,$B34,#REF!,U$1)</f>
        <v>#REF!</v>
      </c>
      <c r="V34" s="24" t="e">
        <f>SUMIFS(#REF!,#REF!,$B34,#REF!,V$1)</f>
        <v>#REF!</v>
      </c>
      <c r="W34" s="24" t="e">
        <f>SUMIFS(#REF!,#REF!,$B34,#REF!,W$1)</f>
        <v>#REF!</v>
      </c>
      <c r="X34" s="24" t="e">
        <f>SUMIFS(#REF!,#REF!,$B34,#REF!,X$1)</f>
        <v>#REF!</v>
      </c>
      <c r="Y34" s="24" t="e">
        <f>SUMIFS(#REF!,#REF!,$B34,#REF!,Y$1)</f>
        <v>#REF!</v>
      </c>
      <c r="Z34" s="24" t="e">
        <f>SUMIFS(#REF!,#REF!,$B34,#REF!,Z$1)</f>
        <v>#REF!</v>
      </c>
      <c r="AA34" s="24" t="e">
        <f>SUMIFS(#REF!,#REF!,$B34,#REF!,AA$1)</f>
        <v>#REF!</v>
      </c>
      <c r="AB34" s="24" t="e">
        <f>SUMIFS(#REF!,#REF!,$B34,#REF!,AB$1)</f>
        <v>#REF!</v>
      </c>
      <c r="AC34" s="24" t="e">
        <f>SUMIFS(#REF!,#REF!,$B34,#REF!,AC$1)</f>
        <v>#REF!</v>
      </c>
      <c r="AD34" s="24" t="e">
        <f>SUMIFS(#REF!,#REF!,$B34,#REF!,AD$1)</f>
        <v>#REF!</v>
      </c>
      <c r="AE34" s="24" t="e">
        <f>SUMIFS(#REF!,#REF!,$B34,#REF!,AE$1)</f>
        <v>#REF!</v>
      </c>
      <c r="AF34" s="24" t="e">
        <f>SUMIFS(#REF!,#REF!,$B34,#REF!,AF$1)</f>
        <v>#REF!</v>
      </c>
      <c r="AG34" s="24" t="e">
        <f>SUMIFS(#REF!,#REF!,$B34,#REF!,AG$1)</f>
        <v>#REF!</v>
      </c>
      <c r="AH34" s="24" t="e">
        <f>SUMIFS(#REF!,#REF!,$B34,#REF!,AH$1)</f>
        <v>#REF!</v>
      </c>
      <c r="AI34" s="24" t="e">
        <f>SUMIFS(#REF!,#REF!,$B34,#REF!,AI$1)</f>
        <v>#REF!</v>
      </c>
      <c r="AJ34" s="24" t="e">
        <f>SUMIFS(#REF!,#REF!,$B34,#REF!,AJ$1)</f>
        <v>#REF!</v>
      </c>
      <c r="AK34" s="24" t="e">
        <f>SUMIFS(#REF!,#REF!,$B34,#REF!,AK$1)</f>
        <v>#REF!</v>
      </c>
      <c r="AL34" s="24" t="e">
        <f>SUMIFS(#REF!,#REF!,$B34,#REF!,AL$1)</f>
        <v>#REF!</v>
      </c>
      <c r="AM34" s="24" t="e">
        <f>SUMIFS(#REF!,#REF!,$B34,#REF!,AM$1)</f>
        <v>#REF!</v>
      </c>
      <c r="AN34" s="24" t="e">
        <f>SUMIFS(#REF!,#REF!,$B34,#REF!,AN$1)</f>
        <v>#REF!</v>
      </c>
      <c r="AO34" s="24" t="e">
        <f>SUMIFS(#REF!,#REF!,$B34,#REF!,AO$1)</f>
        <v>#REF!</v>
      </c>
      <c r="AP34" s="24" t="e">
        <f>SUMIFS(#REF!,#REF!,$B34,#REF!,AP$1)</f>
        <v>#REF!</v>
      </c>
      <c r="AQ34" s="24" t="e">
        <f>SUMIFS(#REF!,#REF!,$B34,#REF!,AQ$1)</f>
        <v>#REF!</v>
      </c>
      <c r="AR34" s="24" t="e">
        <f>SUMIFS(#REF!,#REF!,$B34,#REF!,AR$1)</f>
        <v>#REF!</v>
      </c>
      <c r="AS34" s="24" t="e">
        <f>SUMIFS(#REF!,#REF!,$B34,#REF!,AS$1)</f>
        <v>#REF!</v>
      </c>
      <c r="AT34" s="24" t="e">
        <f>SUMIFS(#REF!,#REF!,$B34,#REF!,AT$1)</f>
        <v>#REF!</v>
      </c>
      <c r="AU34" s="24" t="e">
        <f>SUMIFS(#REF!,#REF!,$B34,#REF!,AU$1)</f>
        <v>#REF!</v>
      </c>
      <c r="AV34" s="24" t="e">
        <f>SUMIFS(#REF!,#REF!,$B34,#REF!,AV$1)</f>
        <v>#REF!</v>
      </c>
      <c r="AW34" s="24" t="e">
        <f>SUMIFS(#REF!,#REF!,$B34,#REF!,AW$1)</f>
        <v>#REF!</v>
      </c>
      <c r="AX34" s="24" t="e">
        <f>SUMIFS(#REF!,#REF!,$B34,#REF!,AX$1)</f>
        <v>#REF!</v>
      </c>
      <c r="AY34" s="24" t="e">
        <f>SUMIFS(#REF!,#REF!,$B34,#REF!,AY$1)</f>
        <v>#REF!</v>
      </c>
      <c r="AZ34" s="24" t="e">
        <f>SUMIFS(#REF!,#REF!,$B34,#REF!,AZ$1)</f>
        <v>#REF!</v>
      </c>
      <c r="BA34" s="24" t="e">
        <f>SUMIFS(#REF!,#REF!,$B34,#REF!,BA$1)</f>
        <v>#REF!</v>
      </c>
      <c r="BB34" s="24" t="e">
        <f>SUMIFS(#REF!,#REF!,$B34,#REF!,BB$1)</f>
        <v>#REF!</v>
      </c>
      <c r="BC34" s="24" t="e">
        <f>SUMIFS(#REF!,#REF!,$B34,#REF!,BC$1)</f>
        <v>#REF!</v>
      </c>
      <c r="BD34" s="24" t="e">
        <f>SUMIFS(#REF!,#REF!,$B34,#REF!,BD$1)</f>
        <v>#REF!</v>
      </c>
      <c r="BE34" s="24" t="e">
        <f>SUMIFS(#REF!,#REF!,$B34,#REF!,BE$1)</f>
        <v>#REF!</v>
      </c>
      <c r="BF34" s="24" t="e">
        <f>SUMIFS(#REF!,#REF!,$B34,#REF!,BF$1)</f>
        <v>#REF!</v>
      </c>
      <c r="BG34" s="24" t="e">
        <f>SUMIFS(#REF!,#REF!,$B34,#REF!,BG$1)</f>
        <v>#REF!</v>
      </c>
      <c r="BH34" s="24" t="e">
        <f>SUMIFS(#REF!,#REF!,$B34,#REF!,BH$1)</f>
        <v>#REF!</v>
      </c>
      <c r="BI34" s="24" t="e">
        <f>SUMIFS(#REF!,#REF!,$B34,#REF!,BI$1)</f>
        <v>#REF!</v>
      </c>
      <c r="BJ34" s="24" t="e">
        <f>SUMIFS(#REF!,#REF!,$B34,#REF!,BJ$1)</f>
        <v>#REF!</v>
      </c>
      <c r="BK34" s="24" t="e">
        <f>SUMIFS(#REF!,#REF!,$B34,#REF!,BK$1)</f>
        <v>#REF!</v>
      </c>
      <c r="BL34" s="24" t="e">
        <f>SUMIFS(#REF!,#REF!,$B34,#REF!,BL$1)</f>
        <v>#REF!</v>
      </c>
      <c r="BM34" s="24" t="e">
        <f>SUMIFS(#REF!,#REF!,$B34,#REF!,BM$1)</f>
        <v>#REF!</v>
      </c>
      <c r="BN34" s="24" t="e">
        <f>SUMIFS(#REF!,#REF!,$B34,#REF!,BN$1)</f>
        <v>#REF!</v>
      </c>
      <c r="BO34" s="24" t="e">
        <f>SUMIFS(#REF!,#REF!,$B34,#REF!,BO$1)</f>
        <v>#REF!</v>
      </c>
      <c r="BP34" s="24" t="e">
        <f>SUMIFS(#REF!,#REF!,$B34,#REF!,BP$1)</f>
        <v>#REF!</v>
      </c>
      <c r="BQ34" s="24" t="e">
        <f>SUMIFS(#REF!,#REF!,$B34,#REF!,BQ$1)</f>
        <v>#REF!</v>
      </c>
      <c r="BR34" s="24" t="e">
        <f>SUMIFS(#REF!,#REF!,$B34,#REF!,BR$1)</f>
        <v>#REF!</v>
      </c>
      <c r="BS34" s="24" t="e">
        <f>SUMIFS(#REF!,#REF!,$B34,#REF!,BS$1)</f>
        <v>#REF!</v>
      </c>
      <c r="BT34" s="24" t="e">
        <f>SUMIFS(#REF!,#REF!,$B34,#REF!,BT$1)</f>
        <v>#REF!</v>
      </c>
      <c r="BU34" s="24" t="e">
        <f>SUMIFS(#REF!,#REF!,$B34,#REF!,BU$1)</f>
        <v>#REF!</v>
      </c>
      <c r="BV34" s="24" t="e">
        <f>SUMIFS(#REF!,#REF!,$B34,#REF!,BV$1)</f>
        <v>#REF!</v>
      </c>
      <c r="BW34" s="24" t="e">
        <f>SUMIFS(#REF!,#REF!,$B34,#REF!,BW$1)</f>
        <v>#REF!</v>
      </c>
      <c r="BX34" s="24" t="e">
        <f>SUMIFS(#REF!,#REF!,$B34,#REF!,BX$1)</f>
        <v>#REF!</v>
      </c>
      <c r="BY34" s="24" t="e">
        <f>SUMIFS(#REF!,#REF!,$B34,#REF!,BY$1)</f>
        <v>#REF!</v>
      </c>
      <c r="BZ34" s="24" t="e">
        <f>SUMIFS(#REF!,#REF!,$B34,#REF!,BZ$1)</f>
        <v>#REF!</v>
      </c>
      <c r="CA34" s="24" t="e">
        <f>SUMIFS(#REF!,#REF!,$B34,#REF!,CA$1)</f>
        <v>#REF!</v>
      </c>
      <c r="CB34" s="24" t="e">
        <f>SUMIFS(#REF!,#REF!,$B34,#REF!,CB$1)</f>
        <v>#REF!</v>
      </c>
      <c r="CC34" s="24" t="e">
        <f>SUMIFS(#REF!,#REF!,$B34,#REF!,CC$1)</f>
        <v>#REF!</v>
      </c>
      <c r="CD34" s="24" t="e">
        <f>SUMIFS(#REF!,#REF!,$B34,#REF!,CD$1)</f>
        <v>#REF!</v>
      </c>
      <c r="CE34" s="24" t="e">
        <f>SUMIFS(#REF!,#REF!,$B34,#REF!,CE$1)</f>
        <v>#REF!</v>
      </c>
      <c r="CF34" s="24" t="e">
        <f>SUMIFS(#REF!,#REF!,$B34,#REF!,CF$1)</f>
        <v>#REF!</v>
      </c>
      <c r="CG34" s="19" t="e">
        <f t="shared" si="0"/>
        <v>#REF!</v>
      </c>
    </row>
    <row r="35" spans="1:85" x14ac:dyDescent="0.45">
      <c r="A35" s="4" t="s">
        <v>1051</v>
      </c>
      <c r="B35" s="4" t="s">
        <v>1052</v>
      </c>
      <c r="C35" s="24" t="e">
        <f>SUMIFS(#REF!,#REF!,$B35,#REF!,C$1)</f>
        <v>#REF!</v>
      </c>
      <c r="D35" s="24" t="e">
        <f>SUMIFS(#REF!,#REF!,$B35,#REF!,D$1)</f>
        <v>#REF!</v>
      </c>
      <c r="E35" s="24" t="e">
        <f>SUMIFS(#REF!,#REF!,$B35,#REF!,E$1)</f>
        <v>#REF!</v>
      </c>
      <c r="F35" s="24" t="e">
        <f>SUMIFS(#REF!,#REF!,$B35,#REF!,F$1)</f>
        <v>#REF!</v>
      </c>
      <c r="G35" s="24" t="e">
        <f>SUMIFS(#REF!,#REF!,$B35,#REF!,G$1)</f>
        <v>#REF!</v>
      </c>
      <c r="H35" s="24" t="e">
        <f>SUMIFS(#REF!,#REF!,$B35,#REF!,H$1)</f>
        <v>#REF!</v>
      </c>
      <c r="I35" s="24" t="e">
        <f>SUMIFS(#REF!,#REF!,$B35,#REF!,I$1)</f>
        <v>#REF!</v>
      </c>
      <c r="J35" s="24" t="e">
        <f>SUMIFS(#REF!,#REF!,$B35,#REF!,J$1)</f>
        <v>#REF!</v>
      </c>
      <c r="K35" s="24" t="e">
        <f>SUMIFS(#REF!,#REF!,$B35,#REF!,K$1)</f>
        <v>#REF!</v>
      </c>
      <c r="L35" s="24" t="e">
        <f>SUMIFS(#REF!,#REF!,$B35,#REF!,L$1)</f>
        <v>#REF!</v>
      </c>
      <c r="M35" s="24" t="e">
        <f>SUMIFS(#REF!,#REF!,$B35,#REF!,M$1)</f>
        <v>#REF!</v>
      </c>
      <c r="N35" s="24" t="e">
        <f>SUMIFS(#REF!,#REF!,$B35,#REF!,N$1)</f>
        <v>#REF!</v>
      </c>
      <c r="O35" s="24" t="e">
        <f>SUMIFS(#REF!,#REF!,$B35,#REF!,O$1)</f>
        <v>#REF!</v>
      </c>
      <c r="P35" s="24" t="e">
        <f>SUMIFS(#REF!,#REF!,$B35,#REF!,P$1)</f>
        <v>#REF!</v>
      </c>
      <c r="Q35" s="24" t="e">
        <f>SUMIFS(#REF!,#REF!,$B35,#REF!,Q$1)</f>
        <v>#REF!</v>
      </c>
      <c r="R35" s="24" t="e">
        <f>SUMIFS(#REF!,#REF!,$B35,#REF!,R$1)</f>
        <v>#REF!</v>
      </c>
      <c r="S35" s="24" t="e">
        <f>SUMIFS(#REF!,#REF!,$B35,#REF!,S$1)</f>
        <v>#REF!</v>
      </c>
      <c r="T35" s="24" t="e">
        <f>SUMIFS(#REF!,#REF!,$B35,#REF!,T$1)</f>
        <v>#REF!</v>
      </c>
      <c r="U35" s="24" t="e">
        <f>SUMIFS(#REF!,#REF!,$B35,#REF!,U$1)</f>
        <v>#REF!</v>
      </c>
      <c r="V35" s="24" t="e">
        <f>SUMIFS(#REF!,#REF!,$B35,#REF!,V$1)</f>
        <v>#REF!</v>
      </c>
      <c r="W35" s="24" t="e">
        <f>SUMIFS(#REF!,#REF!,$B35,#REF!,W$1)</f>
        <v>#REF!</v>
      </c>
      <c r="X35" s="24" t="e">
        <f>SUMIFS(#REF!,#REF!,$B35,#REF!,X$1)</f>
        <v>#REF!</v>
      </c>
      <c r="Y35" s="24" t="e">
        <f>SUMIFS(#REF!,#REF!,$B35,#REF!,Y$1)</f>
        <v>#REF!</v>
      </c>
      <c r="Z35" s="24" t="e">
        <f>SUMIFS(#REF!,#REF!,$B35,#REF!,Z$1)</f>
        <v>#REF!</v>
      </c>
      <c r="AA35" s="24" t="e">
        <f>SUMIFS(#REF!,#REF!,$B35,#REF!,AA$1)</f>
        <v>#REF!</v>
      </c>
      <c r="AB35" s="24" t="e">
        <f>SUMIFS(#REF!,#REF!,$B35,#REF!,AB$1)</f>
        <v>#REF!</v>
      </c>
      <c r="AC35" s="24" t="e">
        <f>SUMIFS(#REF!,#REF!,$B35,#REF!,AC$1)</f>
        <v>#REF!</v>
      </c>
      <c r="AD35" s="24" t="e">
        <f>SUMIFS(#REF!,#REF!,$B35,#REF!,AD$1)</f>
        <v>#REF!</v>
      </c>
      <c r="AE35" s="24" t="e">
        <f>SUMIFS(#REF!,#REF!,$B35,#REF!,AE$1)</f>
        <v>#REF!</v>
      </c>
      <c r="AF35" s="24" t="e">
        <f>SUMIFS(#REF!,#REF!,$B35,#REF!,AF$1)</f>
        <v>#REF!</v>
      </c>
      <c r="AG35" s="24" t="e">
        <f>SUMIFS(#REF!,#REF!,$B35,#REF!,AG$1)</f>
        <v>#REF!</v>
      </c>
      <c r="AH35" s="24" t="e">
        <f>SUMIFS(#REF!,#REF!,$B35,#REF!,AH$1)</f>
        <v>#REF!</v>
      </c>
      <c r="AI35" s="24" t="e">
        <f>SUMIFS(#REF!,#REF!,$B35,#REF!,AI$1)</f>
        <v>#REF!</v>
      </c>
      <c r="AJ35" s="24" t="e">
        <f>SUMIFS(#REF!,#REF!,$B35,#REF!,AJ$1)</f>
        <v>#REF!</v>
      </c>
      <c r="AK35" s="24" t="e">
        <f>SUMIFS(#REF!,#REF!,$B35,#REF!,AK$1)</f>
        <v>#REF!</v>
      </c>
      <c r="AL35" s="24" t="e">
        <f>SUMIFS(#REF!,#REF!,$B35,#REF!,AL$1)</f>
        <v>#REF!</v>
      </c>
      <c r="AM35" s="24" t="e">
        <f>SUMIFS(#REF!,#REF!,$B35,#REF!,AM$1)</f>
        <v>#REF!</v>
      </c>
      <c r="AN35" s="24" t="e">
        <f>SUMIFS(#REF!,#REF!,$B35,#REF!,AN$1)</f>
        <v>#REF!</v>
      </c>
      <c r="AO35" s="24" t="e">
        <f>SUMIFS(#REF!,#REF!,$B35,#REF!,AO$1)</f>
        <v>#REF!</v>
      </c>
      <c r="AP35" s="24" t="e">
        <f>SUMIFS(#REF!,#REF!,$B35,#REF!,AP$1)</f>
        <v>#REF!</v>
      </c>
      <c r="AQ35" s="24" t="e">
        <f>SUMIFS(#REF!,#REF!,$B35,#REF!,AQ$1)</f>
        <v>#REF!</v>
      </c>
      <c r="AR35" s="24" t="e">
        <f>SUMIFS(#REF!,#REF!,$B35,#REF!,AR$1)</f>
        <v>#REF!</v>
      </c>
      <c r="AS35" s="24" t="e">
        <f>SUMIFS(#REF!,#REF!,$B35,#REF!,AS$1)</f>
        <v>#REF!</v>
      </c>
      <c r="AT35" s="24" t="e">
        <f>SUMIFS(#REF!,#REF!,$B35,#REF!,AT$1)</f>
        <v>#REF!</v>
      </c>
      <c r="AU35" s="24" t="e">
        <f>SUMIFS(#REF!,#REF!,$B35,#REF!,AU$1)</f>
        <v>#REF!</v>
      </c>
      <c r="AV35" s="24" t="e">
        <f>SUMIFS(#REF!,#REF!,$B35,#REF!,AV$1)</f>
        <v>#REF!</v>
      </c>
      <c r="AW35" s="24" t="e">
        <f>SUMIFS(#REF!,#REF!,$B35,#REF!,AW$1)</f>
        <v>#REF!</v>
      </c>
      <c r="AX35" s="24" t="e">
        <f>SUMIFS(#REF!,#REF!,$B35,#REF!,AX$1)</f>
        <v>#REF!</v>
      </c>
      <c r="AY35" s="24" t="e">
        <f>SUMIFS(#REF!,#REF!,$B35,#REF!,AY$1)</f>
        <v>#REF!</v>
      </c>
      <c r="AZ35" s="24" t="e">
        <f>SUMIFS(#REF!,#REF!,$B35,#REF!,AZ$1)</f>
        <v>#REF!</v>
      </c>
      <c r="BA35" s="24" t="e">
        <f>SUMIFS(#REF!,#REF!,$B35,#REF!,BA$1)</f>
        <v>#REF!</v>
      </c>
      <c r="BB35" s="24" t="e">
        <f>SUMIFS(#REF!,#REF!,$B35,#REF!,BB$1)</f>
        <v>#REF!</v>
      </c>
      <c r="BC35" s="24" t="e">
        <f>SUMIFS(#REF!,#REF!,$B35,#REF!,BC$1)</f>
        <v>#REF!</v>
      </c>
      <c r="BD35" s="24" t="e">
        <f>SUMIFS(#REF!,#REF!,$B35,#REF!,BD$1)</f>
        <v>#REF!</v>
      </c>
      <c r="BE35" s="24" t="e">
        <f>SUMIFS(#REF!,#REF!,$B35,#REF!,BE$1)</f>
        <v>#REF!</v>
      </c>
      <c r="BF35" s="24" t="e">
        <f>SUMIFS(#REF!,#REF!,$B35,#REF!,BF$1)</f>
        <v>#REF!</v>
      </c>
      <c r="BG35" s="24" t="e">
        <f>SUMIFS(#REF!,#REF!,$B35,#REF!,BG$1)</f>
        <v>#REF!</v>
      </c>
      <c r="BH35" s="24" t="e">
        <f>SUMIFS(#REF!,#REF!,$B35,#REF!,BH$1)</f>
        <v>#REF!</v>
      </c>
      <c r="BI35" s="24" t="e">
        <f>SUMIFS(#REF!,#REF!,$B35,#REF!,BI$1)</f>
        <v>#REF!</v>
      </c>
      <c r="BJ35" s="24" t="e">
        <f>SUMIFS(#REF!,#REF!,$B35,#REF!,BJ$1)</f>
        <v>#REF!</v>
      </c>
      <c r="BK35" s="24" t="e">
        <f>SUMIFS(#REF!,#REF!,$B35,#REF!,BK$1)</f>
        <v>#REF!</v>
      </c>
      <c r="BL35" s="24" t="e">
        <f>SUMIFS(#REF!,#REF!,$B35,#REF!,BL$1)</f>
        <v>#REF!</v>
      </c>
      <c r="BM35" s="24" t="e">
        <f>SUMIFS(#REF!,#REF!,$B35,#REF!,BM$1)</f>
        <v>#REF!</v>
      </c>
      <c r="BN35" s="24" t="e">
        <f>SUMIFS(#REF!,#REF!,$B35,#REF!,BN$1)</f>
        <v>#REF!</v>
      </c>
      <c r="BO35" s="24" t="e">
        <f>SUMIFS(#REF!,#REF!,$B35,#REF!,BO$1)</f>
        <v>#REF!</v>
      </c>
      <c r="BP35" s="24" t="e">
        <f>SUMIFS(#REF!,#REF!,$B35,#REF!,BP$1)</f>
        <v>#REF!</v>
      </c>
      <c r="BQ35" s="24" t="e">
        <f>SUMIFS(#REF!,#REF!,$B35,#REF!,BQ$1)</f>
        <v>#REF!</v>
      </c>
      <c r="BR35" s="24" t="e">
        <f>SUMIFS(#REF!,#REF!,$B35,#REF!,BR$1)</f>
        <v>#REF!</v>
      </c>
      <c r="BS35" s="24" t="e">
        <f>SUMIFS(#REF!,#REF!,$B35,#REF!,BS$1)</f>
        <v>#REF!</v>
      </c>
      <c r="BT35" s="24" t="e">
        <f>SUMIFS(#REF!,#REF!,$B35,#REF!,BT$1)</f>
        <v>#REF!</v>
      </c>
      <c r="BU35" s="24" t="e">
        <f>SUMIFS(#REF!,#REF!,$B35,#REF!,BU$1)</f>
        <v>#REF!</v>
      </c>
      <c r="BV35" s="24" t="e">
        <f>SUMIFS(#REF!,#REF!,$B35,#REF!,BV$1)</f>
        <v>#REF!</v>
      </c>
      <c r="BW35" s="24" t="e">
        <f>SUMIFS(#REF!,#REF!,$B35,#REF!,BW$1)</f>
        <v>#REF!</v>
      </c>
      <c r="BX35" s="24" t="e">
        <f>SUMIFS(#REF!,#REF!,$B35,#REF!,BX$1)</f>
        <v>#REF!</v>
      </c>
      <c r="BY35" s="24" t="e">
        <f>SUMIFS(#REF!,#REF!,$B35,#REF!,BY$1)</f>
        <v>#REF!</v>
      </c>
      <c r="BZ35" s="24" t="e">
        <f>SUMIFS(#REF!,#REF!,$B35,#REF!,BZ$1)</f>
        <v>#REF!</v>
      </c>
      <c r="CA35" s="24" t="e">
        <f>SUMIFS(#REF!,#REF!,$B35,#REF!,CA$1)</f>
        <v>#REF!</v>
      </c>
      <c r="CB35" s="24" t="e">
        <f>SUMIFS(#REF!,#REF!,$B35,#REF!,CB$1)</f>
        <v>#REF!</v>
      </c>
      <c r="CC35" s="24" t="e">
        <f>SUMIFS(#REF!,#REF!,$B35,#REF!,CC$1)</f>
        <v>#REF!</v>
      </c>
      <c r="CD35" s="24" t="e">
        <f>SUMIFS(#REF!,#REF!,$B35,#REF!,CD$1)</f>
        <v>#REF!</v>
      </c>
      <c r="CE35" s="24" t="e">
        <f>SUMIFS(#REF!,#REF!,$B35,#REF!,CE$1)</f>
        <v>#REF!</v>
      </c>
      <c r="CF35" s="24" t="e">
        <f>SUMIFS(#REF!,#REF!,$B35,#REF!,CF$1)</f>
        <v>#REF!</v>
      </c>
      <c r="CG35" s="19" t="e">
        <f t="shared" si="0"/>
        <v>#REF!</v>
      </c>
    </row>
    <row r="36" spans="1:85" x14ac:dyDescent="0.45">
      <c r="A36" s="4" t="s">
        <v>1053</v>
      </c>
      <c r="B36" s="4" t="s">
        <v>1054</v>
      </c>
      <c r="C36" s="24" t="e">
        <f>SUMIFS(#REF!,#REF!,$B36,#REF!,C$1)</f>
        <v>#REF!</v>
      </c>
      <c r="D36" s="24" t="e">
        <f>SUMIFS(#REF!,#REF!,$B36,#REF!,D$1)</f>
        <v>#REF!</v>
      </c>
      <c r="E36" s="24" t="e">
        <f>SUMIFS(#REF!,#REF!,$B36,#REF!,E$1)</f>
        <v>#REF!</v>
      </c>
      <c r="F36" s="24" t="e">
        <f>SUMIFS(#REF!,#REF!,$B36,#REF!,F$1)</f>
        <v>#REF!</v>
      </c>
      <c r="G36" s="24" t="e">
        <f>SUMIFS(#REF!,#REF!,$B36,#REF!,G$1)</f>
        <v>#REF!</v>
      </c>
      <c r="H36" s="24" t="e">
        <f>SUMIFS(#REF!,#REF!,$B36,#REF!,H$1)</f>
        <v>#REF!</v>
      </c>
      <c r="I36" s="24" t="e">
        <f>SUMIFS(#REF!,#REF!,$B36,#REF!,I$1)</f>
        <v>#REF!</v>
      </c>
      <c r="J36" s="24" t="e">
        <f>SUMIFS(#REF!,#REF!,$B36,#REF!,J$1)</f>
        <v>#REF!</v>
      </c>
      <c r="K36" s="24" t="e">
        <f>SUMIFS(#REF!,#REF!,$B36,#REF!,K$1)</f>
        <v>#REF!</v>
      </c>
      <c r="L36" s="24" t="e">
        <f>SUMIFS(#REF!,#REF!,$B36,#REF!,L$1)</f>
        <v>#REF!</v>
      </c>
      <c r="M36" s="24" t="e">
        <f>SUMIFS(#REF!,#REF!,$B36,#REF!,M$1)</f>
        <v>#REF!</v>
      </c>
      <c r="N36" s="24" t="e">
        <f>SUMIFS(#REF!,#REF!,$B36,#REF!,N$1)</f>
        <v>#REF!</v>
      </c>
      <c r="O36" s="24" t="e">
        <f>SUMIFS(#REF!,#REF!,$B36,#REF!,O$1)</f>
        <v>#REF!</v>
      </c>
      <c r="P36" s="24" t="e">
        <f>SUMIFS(#REF!,#REF!,$B36,#REF!,P$1)</f>
        <v>#REF!</v>
      </c>
      <c r="Q36" s="24" t="e">
        <f>SUMIFS(#REF!,#REF!,$B36,#REF!,Q$1)</f>
        <v>#REF!</v>
      </c>
      <c r="R36" s="24" t="e">
        <f>SUMIFS(#REF!,#REF!,$B36,#REF!,R$1)</f>
        <v>#REF!</v>
      </c>
      <c r="S36" s="24" t="e">
        <f>SUMIFS(#REF!,#REF!,$B36,#REF!,S$1)</f>
        <v>#REF!</v>
      </c>
      <c r="T36" s="24" t="e">
        <f>SUMIFS(#REF!,#REF!,$B36,#REF!,T$1)</f>
        <v>#REF!</v>
      </c>
      <c r="U36" s="24" t="e">
        <f>SUMIFS(#REF!,#REF!,$B36,#REF!,U$1)</f>
        <v>#REF!</v>
      </c>
      <c r="V36" s="24" t="e">
        <f>SUMIFS(#REF!,#REF!,$B36,#REF!,V$1)</f>
        <v>#REF!</v>
      </c>
      <c r="W36" s="24" t="e">
        <f>SUMIFS(#REF!,#REF!,$B36,#REF!,W$1)</f>
        <v>#REF!</v>
      </c>
      <c r="X36" s="24" t="e">
        <f>SUMIFS(#REF!,#REF!,$B36,#REF!,X$1)</f>
        <v>#REF!</v>
      </c>
      <c r="Y36" s="24" t="e">
        <f>SUMIFS(#REF!,#REF!,$B36,#REF!,Y$1)</f>
        <v>#REF!</v>
      </c>
      <c r="Z36" s="24" t="e">
        <f>SUMIFS(#REF!,#REF!,$B36,#REF!,Z$1)</f>
        <v>#REF!</v>
      </c>
      <c r="AA36" s="24" t="e">
        <f>SUMIFS(#REF!,#REF!,$B36,#REF!,AA$1)</f>
        <v>#REF!</v>
      </c>
      <c r="AB36" s="24" t="e">
        <f>SUMIFS(#REF!,#REF!,$B36,#REF!,AB$1)</f>
        <v>#REF!</v>
      </c>
      <c r="AC36" s="24" t="e">
        <f>SUMIFS(#REF!,#REF!,$B36,#REF!,AC$1)</f>
        <v>#REF!</v>
      </c>
      <c r="AD36" s="24" t="e">
        <f>SUMIFS(#REF!,#REF!,$B36,#REF!,AD$1)</f>
        <v>#REF!</v>
      </c>
      <c r="AE36" s="24" t="e">
        <f>SUMIFS(#REF!,#REF!,$B36,#REF!,AE$1)</f>
        <v>#REF!</v>
      </c>
      <c r="AF36" s="24" t="e">
        <f>SUMIFS(#REF!,#REF!,$B36,#REF!,AF$1)</f>
        <v>#REF!</v>
      </c>
      <c r="AG36" s="24" t="e">
        <f>SUMIFS(#REF!,#REF!,$B36,#REF!,AG$1)</f>
        <v>#REF!</v>
      </c>
      <c r="AH36" s="24" t="e">
        <f>SUMIFS(#REF!,#REF!,$B36,#REF!,AH$1)</f>
        <v>#REF!</v>
      </c>
      <c r="AI36" s="24" t="e">
        <f>SUMIFS(#REF!,#REF!,$B36,#REF!,AI$1)</f>
        <v>#REF!</v>
      </c>
      <c r="AJ36" s="24" t="e">
        <f>SUMIFS(#REF!,#REF!,$B36,#REF!,AJ$1)</f>
        <v>#REF!</v>
      </c>
      <c r="AK36" s="24" t="e">
        <f>SUMIFS(#REF!,#REF!,$B36,#REF!,AK$1)</f>
        <v>#REF!</v>
      </c>
      <c r="AL36" s="24" t="e">
        <f>SUMIFS(#REF!,#REF!,$B36,#REF!,AL$1)</f>
        <v>#REF!</v>
      </c>
      <c r="AM36" s="24" t="e">
        <f>SUMIFS(#REF!,#REF!,$B36,#REF!,AM$1)</f>
        <v>#REF!</v>
      </c>
      <c r="AN36" s="24" t="e">
        <f>SUMIFS(#REF!,#REF!,$B36,#REF!,AN$1)</f>
        <v>#REF!</v>
      </c>
      <c r="AO36" s="24" t="e">
        <f>SUMIFS(#REF!,#REF!,$B36,#REF!,AO$1)</f>
        <v>#REF!</v>
      </c>
      <c r="AP36" s="24" t="e">
        <f>SUMIFS(#REF!,#REF!,$B36,#REF!,AP$1)</f>
        <v>#REF!</v>
      </c>
      <c r="AQ36" s="24" t="e">
        <f>SUMIFS(#REF!,#REF!,$B36,#REF!,AQ$1)</f>
        <v>#REF!</v>
      </c>
      <c r="AR36" s="24" t="e">
        <f>SUMIFS(#REF!,#REF!,$B36,#REF!,AR$1)</f>
        <v>#REF!</v>
      </c>
      <c r="AS36" s="24" t="e">
        <f>SUMIFS(#REF!,#REF!,$B36,#REF!,AS$1)</f>
        <v>#REF!</v>
      </c>
      <c r="AT36" s="24" t="e">
        <f>SUMIFS(#REF!,#REF!,$B36,#REF!,AT$1)</f>
        <v>#REF!</v>
      </c>
      <c r="AU36" s="24" t="e">
        <f>SUMIFS(#REF!,#REF!,$B36,#REF!,AU$1)</f>
        <v>#REF!</v>
      </c>
      <c r="AV36" s="24" t="e">
        <f>SUMIFS(#REF!,#REF!,$B36,#REF!,AV$1)</f>
        <v>#REF!</v>
      </c>
      <c r="AW36" s="24" t="e">
        <f>SUMIFS(#REF!,#REF!,$B36,#REF!,AW$1)</f>
        <v>#REF!</v>
      </c>
      <c r="AX36" s="24" t="e">
        <f>SUMIFS(#REF!,#REF!,$B36,#REF!,AX$1)</f>
        <v>#REF!</v>
      </c>
      <c r="AY36" s="24" t="e">
        <f>SUMIFS(#REF!,#REF!,$B36,#REF!,AY$1)</f>
        <v>#REF!</v>
      </c>
      <c r="AZ36" s="24" t="e">
        <f>SUMIFS(#REF!,#REF!,$B36,#REF!,AZ$1)</f>
        <v>#REF!</v>
      </c>
      <c r="BA36" s="24" t="e">
        <f>SUMIFS(#REF!,#REF!,$B36,#REF!,BA$1)</f>
        <v>#REF!</v>
      </c>
      <c r="BB36" s="24" t="e">
        <f>SUMIFS(#REF!,#REF!,$B36,#REF!,BB$1)</f>
        <v>#REF!</v>
      </c>
      <c r="BC36" s="24" t="e">
        <f>SUMIFS(#REF!,#REF!,$B36,#REF!,BC$1)</f>
        <v>#REF!</v>
      </c>
      <c r="BD36" s="24" t="e">
        <f>SUMIFS(#REF!,#REF!,$B36,#REF!,BD$1)</f>
        <v>#REF!</v>
      </c>
      <c r="BE36" s="24" t="e">
        <f>SUMIFS(#REF!,#REF!,$B36,#REF!,BE$1)</f>
        <v>#REF!</v>
      </c>
      <c r="BF36" s="24" t="e">
        <f>SUMIFS(#REF!,#REF!,$B36,#REF!,BF$1)</f>
        <v>#REF!</v>
      </c>
      <c r="BG36" s="24" t="e">
        <f>SUMIFS(#REF!,#REF!,$B36,#REF!,BG$1)</f>
        <v>#REF!</v>
      </c>
      <c r="BH36" s="24" t="e">
        <f>SUMIFS(#REF!,#REF!,$B36,#REF!,BH$1)</f>
        <v>#REF!</v>
      </c>
      <c r="BI36" s="24" t="e">
        <f>SUMIFS(#REF!,#REF!,$B36,#REF!,BI$1)</f>
        <v>#REF!</v>
      </c>
      <c r="BJ36" s="24" t="e">
        <f>SUMIFS(#REF!,#REF!,$B36,#REF!,BJ$1)</f>
        <v>#REF!</v>
      </c>
      <c r="BK36" s="24" t="e">
        <f>SUMIFS(#REF!,#REF!,$B36,#REF!,BK$1)</f>
        <v>#REF!</v>
      </c>
      <c r="BL36" s="24" t="e">
        <f>SUMIFS(#REF!,#REF!,$B36,#REF!,BL$1)</f>
        <v>#REF!</v>
      </c>
      <c r="BM36" s="24" t="e">
        <f>SUMIFS(#REF!,#REF!,$B36,#REF!,BM$1)</f>
        <v>#REF!</v>
      </c>
      <c r="BN36" s="24" t="e">
        <f>SUMIFS(#REF!,#REF!,$B36,#REF!,BN$1)</f>
        <v>#REF!</v>
      </c>
      <c r="BO36" s="24" t="e">
        <f>SUMIFS(#REF!,#REF!,$B36,#REF!,BO$1)</f>
        <v>#REF!</v>
      </c>
      <c r="BP36" s="24" t="e">
        <f>SUMIFS(#REF!,#REF!,$B36,#REF!,BP$1)</f>
        <v>#REF!</v>
      </c>
      <c r="BQ36" s="24" t="e">
        <f>SUMIFS(#REF!,#REF!,$B36,#REF!,BQ$1)</f>
        <v>#REF!</v>
      </c>
      <c r="BR36" s="24" t="e">
        <f>SUMIFS(#REF!,#REF!,$B36,#REF!,BR$1)</f>
        <v>#REF!</v>
      </c>
      <c r="BS36" s="24" t="e">
        <f>SUMIFS(#REF!,#REF!,$B36,#REF!,BS$1)</f>
        <v>#REF!</v>
      </c>
      <c r="BT36" s="24" t="e">
        <f>SUMIFS(#REF!,#REF!,$B36,#REF!,BT$1)</f>
        <v>#REF!</v>
      </c>
      <c r="BU36" s="24" t="e">
        <f>SUMIFS(#REF!,#REF!,$B36,#REF!,BU$1)</f>
        <v>#REF!</v>
      </c>
      <c r="BV36" s="24" t="e">
        <f>SUMIFS(#REF!,#REF!,$B36,#REF!,BV$1)</f>
        <v>#REF!</v>
      </c>
      <c r="BW36" s="24" t="e">
        <f>SUMIFS(#REF!,#REF!,$B36,#REF!,BW$1)</f>
        <v>#REF!</v>
      </c>
      <c r="BX36" s="24" t="e">
        <f>SUMIFS(#REF!,#REF!,$B36,#REF!,BX$1)</f>
        <v>#REF!</v>
      </c>
      <c r="BY36" s="24" t="e">
        <f>SUMIFS(#REF!,#REF!,$B36,#REF!,BY$1)</f>
        <v>#REF!</v>
      </c>
      <c r="BZ36" s="24" t="e">
        <f>SUMIFS(#REF!,#REF!,$B36,#REF!,BZ$1)</f>
        <v>#REF!</v>
      </c>
      <c r="CA36" s="24" t="e">
        <f>SUMIFS(#REF!,#REF!,$B36,#REF!,CA$1)</f>
        <v>#REF!</v>
      </c>
      <c r="CB36" s="24" t="e">
        <f>SUMIFS(#REF!,#REF!,$B36,#REF!,CB$1)</f>
        <v>#REF!</v>
      </c>
      <c r="CC36" s="24" t="e">
        <f>SUMIFS(#REF!,#REF!,$B36,#REF!,CC$1)</f>
        <v>#REF!</v>
      </c>
      <c r="CD36" s="24" t="e">
        <f>SUMIFS(#REF!,#REF!,$B36,#REF!,CD$1)</f>
        <v>#REF!</v>
      </c>
      <c r="CE36" s="24" t="e">
        <f>SUMIFS(#REF!,#REF!,$B36,#REF!,CE$1)</f>
        <v>#REF!</v>
      </c>
      <c r="CF36" s="24" t="e">
        <f>SUMIFS(#REF!,#REF!,$B36,#REF!,CF$1)</f>
        <v>#REF!</v>
      </c>
      <c r="CG36" s="19" t="e">
        <f t="shared" si="0"/>
        <v>#REF!</v>
      </c>
    </row>
    <row r="37" spans="1:85" x14ac:dyDescent="0.45">
      <c r="A37" s="4" t="s">
        <v>1055</v>
      </c>
      <c r="B37" s="4" t="s">
        <v>1056</v>
      </c>
      <c r="C37" s="24" t="e">
        <f>SUMIFS(#REF!,#REF!,$B37,#REF!,C$1)</f>
        <v>#REF!</v>
      </c>
      <c r="D37" s="24" t="e">
        <f>SUMIFS(#REF!,#REF!,$B37,#REF!,D$1)</f>
        <v>#REF!</v>
      </c>
      <c r="E37" s="24" t="e">
        <f>SUMIFS(#REF!,#REF!,$B37,#REF!,E$1)</f>
        <v>#REF!</v>
      </c>
      <c r="F37" s="24" t="e">
        <f>SUMIFS(#REF!,#REF!,$B37,#REF!,F$1)</f>
        <v>#REF!</v>
      </c>
      <c r="G37" s="24" t="e">
        <f>SUMIFS(#REF!,#REF!,$B37,#REF!,G$1)</f>
        <v>#REF!</v>
      </c>
      <c r="H37" s="24" t="e">
        <f>SUMIFS(#REF!,#REF!,$B37,#REF!,H$1)</f>
        <v>#REF!</v>
      </c>
      <c r="I37" s="24" t="e">
        <f>SUMIFS(#REF!,#REF!,$B37,#REF!,I$1)</f>
        <v>#REF!</v>
      </c>
      <c r="J37" s="24" t="e">
        <f>SUMIFS(#REF!,#REF!,$B37,#REF!,J$1)</f>
        <v>#REF!</v>
      </c>
      <c r="K37" s="24" t="e">
        <f>SUMIFS(#REF!,#REF!,$B37,#REF!,K$1)</f>
        <v>#REF!</v>
      </c>
      <c r="L37" s="24" t="e">
        <f>SUMIFS(#REF!,#REF!,$B37,#REF!,L$1)</f>
        <v>#REF!</v>
      </c>
      <c r="M37" s="24" t="e">
        <f>SUMIFS(#REF!,#REF!,$B37,#REF!,M$1)</f>
        <v>#REF!</v>
      </c>
      <c r="N37" s="24" t="e">
        <f>SUMIFS(#REF!,#REF!,$B37,#REF!,N$1)</f>
        <v>#REF!</v>
      </c>
      <c r="O37" s="24" t="e">
        <f>SUMIFS(#REF!,#REF!,$B37,#REF!,O$1)</f>
        <v>#REF!</v>
      </c>
      <c r="P37" s="24" t="e">
        <f>SUMIFS(#REF!,#REF!,$B37,#REF!,P$1)</f>
        <v>#REF!</v>
      </c>
      <c r="Q37" s="24" t="e">
        <f>SUMIFS(#REF!,#REF!,$B37,#REF!,Q$1)</f>
        <v>#REF!</v>
      </c>
      <c r="R37" s="24" t="e">
        <f>SUMIFS(#REF!,#REF!,$B37,#REF!,R$1)</f>
        <v>#REF!</v>
      </c>
      <c r="S37" s="24" t="e">
        <f>SUMIFS(#REF!,#REF!,$B37,#REF!,S$1)</f>
        <v>#REF!</v>
      </c>
      <c r="T37" s="24" t="e">
        <f>SUMIFS(#REF!,#REF!,$B37,#REF!,T$1)</f>
        <v>#REF!</v>
      </c>
      <c r="U37" s="24" t="e">
        <f>SUMIFS(#REF!,#REF!,$B37,#REF!,U$1)</f>
        <v>#REF!</v>
      </c>
      <c r="V37" s="24" t="e">
        <f>SUMIFS(#REF!,#REF!,$B37,#REF!,V$1)</f>
        <v>#REF!</v>
      </c>
      <c r="W37" s="24" t="e">
        <f>SUMIFS(#REF!,#REF!,$B37,#REF!,W$1)</f>
        <v>#REF!</v>
      </c>
      <c r="X37" s="24" t="e">
        <f>SUMIFS(#REF!,#REF!,$B37,#REF!,X$1)</f>
        <v>#REF!</v>
      </c>
      <c r="Y37" s="24" t="e">
        <f>SUMIFS(#REF!,#REF!,$B37,#REF!,Y$1)</f>
        <v>#REF!</v>
      </c>
      <c r="Z37" s="24" t="e">
        <f>SUMIFS(#REF!,#REF!,$B37,#REF!,Z$1)</f>
        <v>#REF!</v>
      </c>
      <c r="AA37" s="24" t="e">
        <f>SUMIFS(#REF!,#REF!,$B37,#REF!,AA$1)</f>
        <v>#REF!</v>
      </c>
      <c r="AB37" s="24" t="e">
        <f>SUMIFS(#REF!,#REF!,$B37,#REF!,AB$1)</f>
        <v>#REF!</v>
      </c>
      <c r="AC37" s="24" t="e">
        <f>SUMIFS(#REF!,#REF!,$B37,#REF!,AC$1)</f>
        <v>#REF!</v>
      </c>
      <c r="AD37" s="24" t="e">
        <f>SUMIFS(#REF!,#REF!,$B37,#REF!,AD$1)</f>
        <v>#REF!</v>
      </c>
      <c r="AE37" s="24" t="e">
        <f>SUMIFS(#REF!,#REF!,$B37,#REF!,AE$1)</f>
        <v>#REF!</v>
      </c>
      <c r="AF37" s="24" t="e">
        <f>SUMIFS(#REF!,#REF!,$B37,#REF!,AF$1)</f>
        <v>#REF!</v>
      </c>
      <c r="AG37" s="24" t="e">
        <f>SUMIFS(#REF!,#REF!,$B37,#REF!,AG$1)</f>
        <v>#REF!</v>
      </c>
      <c r="AH37" s="24" t="e">
        <f>SUMIFS(#REF!,#REF!,$B37,#REF!,AH$1)</f>
        <v>#REF!</v>
      </c>
      <c r="AI37" s="24" t="e">
        <f>SUMIFS(#REF!,#REF!,$B37,#REF!,AI$1)</f>
        <v>#REF!</v>
      </c>
      <c r="AJ37" s="24" t="e">
        <f>SUMIFS(#REF!,#REF!,$B37,#REF!,AJ$1)</f>
        <v>#REF!</v>
      </c>
      <c r="AK37" s="24" t="e">
        <f>SUMIFS(#REF!,#REF!,$B37,#REF!,AK$1)</f>
        <v>#REF!</v>
      </c>
      <c r="AL37" s="24" t="e">
        <f>SUMIFS(#REF!,#REF!,$B37,#REF!,AL$1)</f>
        <v>#REF!</v>
      </c>
      <c r="AM37" s="24" t="e">
        <f>SUMIFS(#REF!,#REF!,$B37,#REF!,AM$1)</f>
        <v>#REF!</v>
      </c>
      <c r="AN37" s="24" t="e">
        <f>SUMIFS(#REF!,#REF!,$B37,#REF!,AN$1)</f>
        <v>#REF!</v>
      </c>
      <c r="AO37" s="24" t="e">
        <f>SUMIFS(#REF!,#REF!,$B37,#REF!,AO$1)</f>
        <v>#REF!</v>
      </c>
      <c r="AP37" s="24" t="e">
        <f>SUMIFS(#REF!,#REF!,$B37,#REF!,AP$1)</f>
        <v>#REF!</v>
      </c>
      <c r="AQ37" s="24" t="e">
        <f>SUMIFS(#REF!,#REF!,$B37,#REF!,AQ$1)</f>
        <v>#REF!</v>
      </c>
      <c r="AR37" s="24" t="e">
        <f>SUMIFS(#REF!,#REF!,$B37,#REF!,AR$1)</f>
        <v>#REF!</v>
      </c>
      <c r="AS37" s="24" t="e">
        <f>SUMIFS(#REF!,#REF!,$B37,#REF!,AS$1)</f>
        <v>#REF!</v>
      </c>
      <c r="AT37" s="24" t="e">
        <f>SUMIFS(#REF!,#REF!,$B37,#REF!,AT$1)</f>
        <v>#REF!</v>
      </c>
      <c r="AU37" s="24" t="e">
        <f>SUMIFS(#REF!,#REF!,$B37,#REF!,AU$1)</f>
        <v>#REF!</v>
      </c>
      <c r="AV37" s="24" t="e">
        <f>SUMIFS(#REF!,#REF!,$B37,#REF!,AV$1)</f>
        <v>#REF!</v>
      </c>
      <c r="AW37" s="24" t="e">
        <f>SUMIFS(#REF!,#REF!,$B37,#REF!,AW$1)</f>
        <v>#REF!</v>
      </c>
      <c r="AX37" s="24" t="e">
        <f>SUMIFS(#REF!,#REF!,$B37,#REF!,AX$1)</f>
        <v>#REF!</v>
      </c>
      <c r="AY37" s="24" t="e">
        <f>SUMIFS(#REF!,#REF!,$B37,#REF!,AY$1)</f>
        <v>#REF!</v>
      </c>
      <c r="AZ37" s="24" t="e">
        <f>SUMIFS(#REF!,#REF!,$B37,#REF!,AZ$1)</f>
        <v>#REF!</v>
      </c>
      <c r="BA37" s="24" t="e">
        <f>SUMIFS(#REF!,#REF!,$B37,#REF!,BA$1)</f>
        <v>#REF!</v>
      </c>
      <c r="BB37" s="24" t="e">
        <f>SUMIFS(#REF!,#REF!,$B37,#REF!,BB$1)</f>
        <v>#REF!</v>
      </c>
      <c r="BC37" s="24" t="e">
        <f>SUMIFS(#REF!,#REF!,$B37,#REF!,BC$1)</f>
        <v>#REF!</v>
      </c>
      <c r="BD37" s="24" t="e">
        <f>SUMIFS(#REF!,#REF!,$B37,#REF!,BD$1)</f>
        <v>#REF!</v>
      </c>
      <c r="BE37" s="24" t="e">
        <f>SUMIFS(#REF!,#REF!,$B37,#REF!,BE$1)</f>
        <v>#REF!</v>
      </c>
      <c r="BF37" s="24" t="e">
        <f>SUMIFS(#REF!,#REF!,$B37,#REF!,BF$1)</f>
        <v>#REF!</v>
      </c>
      <c r="BG37" s="24" t="e">
        <f>SUMIFS(#REF!,#REF!,$B37,#REF!,BG$1)</f>
        <v>#REF!</v>
      </c>
      <c r="BH37" s="24" t="e">
        <f>SUMIFS(#REF!,#REF!,$B37,#REF!,BH$1)</f>
        <v>#REF!</v>
      </c>
      <c r="BI37" s="24" t="e">
        <f>SUMIFS(#REF!,#REF!,$B37,#REF!,BI$1)</f>
        <v>#REF!</v>
      </c>
      <c r="BJ37" s="24" t="e">
        <f>SUMIFS(#REF!,#REF!,$B37,#REF!,BJ$1)</f>
        <v>#REF!</v>
      </c>
      <c r="BK37" s="24" t="e">
        <f>SUMIFS(#REF!,#REF!,$B37,#REF!,BK$1)</f>
        <v>#REF!</v>
      </c>
      <c r="BL37" s="24" t="e">
        <f>SUMIFS(#REF!,#REF!,$B37,#REF!,BL$1)</f>
        <v>#REF!</v>
      </c>
      <c r="BM37" s="24" t="e">
        <f>SUMIFS(#REF!,#REF!,$B37,#REF!,BM$1)</f>
        <v>#REF!</v>
      </c>
      <c r="BN37" s="24" t="e">
        <f>SUMIFS(#REF!,#REF!,$B37,#REF!,BN$1)</f>
        <v>#REF!</v>
      </c>
      <c r="BO37" s="24" t="e">
        <f>SUMIFS(#REF!,#REF!,$B37,#REF!,BO$1)</f>
        <v>#REF!</v>
      </c>
      <c r="BP37" s="24" t="e">
        <f>SUMIFS(#REF!,#REF!,$B37,#REF!,BP$1)</f>
        <v>#REF!</v>
      </c>
      <c r="BQ37" s="24" t="e">
        <f>SUMIFS(#REF!,#REF!,$B37,#REF!,BQ$1)</f>
        <v>#REF!</v>
      </c>
      <c r="BR37" s="24" t="e">
        <f>SUMIFS(#REF!,#REF!,$B37,#REF!,BR$1)</f>
        <v>#REF!</v>
      </c>
      <c r="BS37" s="24" t="e">
        <f>SUMIFS(#REF!,#REF!,$B37,#REF!,BS$1)</f>
        <v>#REF!</v>
      </c>
      <c r="BT37" s="24" t="e">
        <f>SUMIFS(#REF!,#REF!,$B37,#REF!,BT$1)</f>
        <v>#REF!</v>
      </c>
      <c r="BU37" s="24" t="e">
        <f>SUMIFS(#REF!,#REF!,$B37,#REF!,BU$1)</f>
        <v>#REF!</v>
      </c>
      <c r="BV37" s="24" t="e">
        <f>SUMIFS(#REF!,#REF!,$B37,#REF!,BV$1)</f>
        <v>#REF!</v>
      </c>
      <c r="BW37" s="24" t="e">
        <f>SUMIFS(#REF!,#REF!,$B37,#REF!,BW$1)</f>
        <v>#REF!</v>
      </c>
      <c r="BX37" s="24" t="e">
        <f>SUMIFS(#REF!,#REF!,$B37,#REF!,BX$1)</f>
        <v>#REF!</v>
      </c>
      <c r="BY37" s="24" t="e">
        <f>SUMIFS(#REF!,#REF!,$B37,#REF!,BY$1)</f>
        <v>#REF!</v>
      </c>
      <c r="BZ37" s="24" t="e">
        <f>SUMIFS(#REF!,#REF!,$B37,#REF!,BZ$1)</f>
        <v>#REF!</v>
      </c>
      <c r="CA37" s="24" t="e">
        <f>SUMIFS(#REF!,#REF!,$B37,#REF!,CA$1)</f>
        <v>#REF!</v>
      </c>
      <c r="CB37" s="24" t="e">
        <f>SUMIFS(#REF!,#REF!,$B37,#REF!,CB$1)</f>
        <v>#REF!</v>
      </c>
      <c r="CC37" s="24" t="e">
        <f>SUMIFS(#REF!,#REF!,$B37,#REF!,CC$1)</f>
        <v>#REF!</v>
      </c>
      <c r="CD37" s="24" t="e">
        <f>SUMIFS(#REF!,#REF!,$B37,#REF!,CD$1)</f>
        <v>#REF!</v>
      </c>
      <c r="CE37" s="24" t="e">
        <f>SUMIFS(#REF!,#REF!,$B37,#REF!,CE$1)</f>
        <v>#REF!</v>
      </c>
      <c r="CF37" s="24" t="e">
        <f>SUMIFS(#REF!,#REF!,$B37,#REF!,CF$1)</f>
        <v>#REF!</v>
      </c>
      <c r="CG37" s="19" t="e">
        <f t="shared" si="0"/>
        <v>#REF!</v>
      </c>
    </row>
    <row r="38" spans="1:85" x14ac:dyDescent="0.45">
      <c r="A38" s="4" t="s">
        <v>1057</v>
      </c>
      <c r="B38" s="4" t="s">
        <v>1058</v>
      </c>
      <c r="C38" s="24" t="e">
        <f>SUMIFS(#REF!,#REF!,$B38,#REF!,C$1)</f>
        <v>#REF!</v>
      </c>
      <c r="D38" s="24" t="e">
        <f>SUMIFS(#REF!,#REF!,$B38,#REF!,D$1)</f>
        <v>#REF!</v>
      </c>
      <c r="E38" s="24" t="e">
        <f>SUMIFS(#REF!,#REF!,$B38,#REF!,E$1)</f>
        <v>#REF!</v>
      </c>
      <c r="F38" s="24" t="e">
        <f>SUMIFS(#REF!,#REF!,$B38,#REF!,F$1)</f>
        <v>#REF!</v>
      </c>
      <c r="G38" s="24" t="e">
        <f>SUMIFS(#REF!,#REF!,$B38,#REF!,G$1)</f>
        <v>#REF!</v>
      </c>
      <c r="H38" s="24" t="e">
        <f>SUMIFS(#REF!,#REF!,$B38,#REF!,H$1)</f>
        <v>#REF!</v>
      </c>
      <c r="I38" s="24" t="e">
        <f>SUMIFS(#REF!,#REF!,$B38,#REF!,I$1)</f>
        <v>#REF!</v>
      </c>
      <c r="J38" s="24" t="e">
        <f>SUMIFS(#REF!,#REF!,$B38,#REF!,J$1)</f>
        <v>#REF!</v>
      </c>
      <c r="K38" s="24" t="e">
        <f>SUMIFS(#REF!,#REF!,$B38,#REF!,K$1)</f>
        <v>#REF!</v>
      </c>
      <c r="L38" s="24" t="e">
        <f>SUMIFS(#REF!,#REF!,$B38,#REF!,L$1)</f>
        <v>#REF!</v>
      </c>
      <c r="M38" s="24" t="e">
        <f>SUMIFS(#REF!,#REF!,$B38,#REF!,M$1)</f>
        <v>#REF!</v>
      </c>
      <c r="N38" s="24" t="e">
        <f>SUMIFS(#REF!,#REF!,$B38,#REF!,N$1)</f>
        <v>#REF!</v>
      </c>
      <c r="O38" s="24" t="e">
        <f>SUMIFS(#REF!,#REF!,$B38,#REF!,O$1)</f>
        <v>#REF!</v>
      </c>
      <c r="P38" s="24" t="e">
        <f>SUMIFS(#REF!,#REF!,$B38,#REF!,P$1)</f>
        <v>#REF!</v>
      </c>
      <c r="Q38" s="24" t="e">
        <f>SUMIFS(#REF!,#REF!,$B38,#REF!,Q$1)</f>
        <v>#REF!</v>
      </c>
      <c r="R38" s="24" t="e">
        <f>SUMIFS(#REF!,#REF!,$B38,#REF!,R$1)</f>
        <v>#REF!</v>
      </c>
      <c r="S38" s="24" t="e">
        <f>SUMIFS(#REF!,#REF!,$B38,#REF!,S$1)</f>
        <v>#REF!</v>
      </c>
      <c r="T38" s="24" t="e">
        <f>SUMIFS(#REF!,#REF!,$B38,#REF!,T$1)</f>
        <v>#REF!</v>
      </c>
      <c r="U38" s="24" t="e">
        <f>SUMIFS(#REF!,#REF!,$B38,#REF!,U$1)</f>
        <v>#REF!</v>
      </c>
      <c r="V38" s="24" t="e">
        <f>SUMIFS(#REF!,#REF!,$B38,#REF!,V$1)</f>
        <v>#REF!</v>
      </c>
      <c r="W38" s="24" t="e">
        <f>SUMIFS(#REF!,#REF!,$B38,#REF!,W$1)</f>
        <v>#REF!</v>
      </c>
      <c r="X38" s="24" t="e">
        <f>SUMIFS(#REF!,#REF!,$B38,#REF!,X$1)</f>
        <v>#REF!</v>
      </c>
      <c r="Y38" s="24" t="e">
        <f>SUMIFS(#REF!,#REF!,$B38,#REF!,Y$1)</f>
        <v>#REF!</v>
      </c>
      <c r="Z38" s="24" t="e">
        <f>SUMIFS(#REF!,#REF!,$B38,#REF!,Z$1)</f>
        <v>#REF!</v>
      </c>
      <c r="AA38" s="24" t="e">
        <f>SUMIFS(#REF!,#REF!,$B38,#REF!,AA$1)</f>
        <v>#REF!</v>
      </c>
      <c r="AB38" s="24" t="e">
        <f>SUMIFS(#REF!,#REF!,$B38,#REF!,AB$1)</f>
        <v>#REF!</v>
      </c>
      <c r="AC38" s="24" t="e">
        <f>SUMIFS(#REF!,#REF!,$B38,#REF!,AC$1)</f>
        <v>#REF!</v>
      </c>
      <c r="AD38" s="24" t="e">
        <f>SUMIFS(#REF!,#REF!,$B38,#REF!,AD$1)</f>
        <v>#REF!</v>
      </c>
      <c r="AE38" s="24" t="e">
        <f>SUMIFS(#REF!,#REF!,$B38,#REF!,AE$1)</f>
        <v>#REF!</v>
      </c>
      <c r="AF38" s="24" t="e">
        <f>SUMIFS(#REF!,#REF!,$B38,#REF!,AF$1)</f>
        <v>#REF!</v>
      </c>
      <c r="AG38" s="24" t="e">
        <f>SUMIFS(#REF!,#REF!,$B38,#REF!,AG$1)</f>
        <v>#REF!</v>
      </c>
      <c r="AH38" s="24" t="e">
        <f>SUMIFS(#REF!,#REF!,$B38,#REF!,AH$1)</f>
        <v>#REF!</v>
      </c>
      <c r="AI38" s="24" t="e">
        <f>SUMIFS(#REF!,#REF!,$B38,#REF!,AI$1)</f>
        <v>#REF!</v>
      </c>
      <c r="AJ38" s="24" t="e">
        <f>SUMIFS(#REF!,#REF!,$B38,#REF!,AJ$1)</f>
        <v>#REF!</v>
      </c>
      <c r="AK38" s="24" t="e">
        <f>SUMIFS(#REF!,#REF!,$B38,#REF!,AK$1)</f>
        <v>#REF!</v>
      </c>
      <c r="AL38" s="24" t="e">
        <f>SUMIFS(#REF!,#REF!,$B38,#REF!,AL$1)</f>
        <v>#REF!</v>
      </c>
      <c r="AM38" s="24" t="e">
        <f>SUMIFS(#REF!,#REF!,$B38,#REF!,AM$1)</f>
        <v>#REF!</v>
      </c>
      <c r="AN38" s="24" t="e">
        <f>SUMIFS(#REF!,#REF!,$B38,#REF!,AN$1)</f>
        <v>#REF!</v>
      </c>
      <c r="AO38" s="24" t="e">
        <f>SUMIFS(#REF!,#REF!,$B38,#REF!,AO$1)</f>
        <v>#REF!</v>
      </c>
      <c r="AP38" s="24" t="e">
        <f>SUMIFS(#REF!,#REF!,$B38,#REF!,AP$1)</f>
        <v>#REF!</v>
      </c>
      <c r="AQ38" s="24" t="e">
        <f>SUMIFS(#REF!,#REF!,$B38,#REF!,AQ$1)</f>
        <v>#REF!</v>
      </c>
      <c r="AR38" s="24" t="e">
        <f>SUMIFS(#REF!,#REF!,$B38,#REF!,AR$1)</f>
        <v>#REF!</v>
      </c>
      <c r="AS38" s="24" t="e">
        <f>SUMIFS(#REF!,#REF!,$B38,#REF!,AS$1)</f>
        <v>#REF!</v>
      </c>
      <c r="AT38" s="24" t="e">
        <f>SUMIFS(#REF!,#REF!,$B38,#REF!,AT$1)</f>
        <v>#REF!</v>
      </c>
      <c r="AU38" s="24" t="e">
        <f>SUMIFS(#REF!,#REF!,$B38,#REF!,AU$1)</f>
        <v>#REF!</v>
      </c>
      <c r="AV38" s="24" t="e">
        <f>SUMIFS(#REF!,#REF!,$B38,#REF!,AV$1)</f>
        <v>#REF!</v>
      </c>
      <c r="AW38" s="24" t="e">
        <f>SUMIFS(#REF!,#REF!,$B38,#REF!,AW$1)</f>
        <v>#REF!</v>
      </c>
      <c r="AX38" s="24" t="e">
        <f>SUMIFS(#REF!,#REF!,$B38,#REF!,AX$1)</f>
        <v>#REF!</v>
      </c>
      <c r="AY38" s="24" t="e">
        <f>SUMIFS(#REF!,#REF!,$B38,#REF!,AY$1)</f>
        <v>#REF!</v>
      </c>
      <c r="AZ38" s="24" t="e">
        <f>SUMIFS(#REF!,#REF!,$B38,#REF!,AZ$1)</f>
        <v>#REF!</v>
      </c>
      <c r="BA38" s="24" t="e">
        <f>SUMIFS(#REF!,#REF!,$B38,#REF!,BA$1)</f>
        <v>#REF!</v>
      </c>
      <c r="BB38" s="24" t="e">
        <f>SUMIFS(#REF!,#REF!,$B38,#REF!,BB$1)</f>
        <v>#REF!</v>
      </c>
      <c r="BC38" s="24" t="e">
        <f>SUMIFS(#REF!,#REF!,$B38,#REF!,BC$1)</f>
        <v>#REF!</v>
      </c>
      <c r="BD38" s="24" t="e">
        <f>SUMIFS(#REF!,#REF!,$B38,#REF!,BD$1)</f>
        <v>#REF!</v>
      </c>
      <c r="BE38" s="24" t="e">
        <f>SUMIFS(#REF!,#REF!,$B38,#REF!,BE$1)</f>
        <v>#REF!</v>
      </c>
      <c r="BF38" s="24" t="e">
        <f>SUMIFS(#REF!,#REF!,$B38,#REF!,BF$1)</f>
        <v>#REF!</v>
      </c>
      <c r="BG38" s="24" t="e">
        <f>SUMIFS(#REF!,#REF!,$B38,#REF!,BG$1)</f>
        <v>#REF!</v>
      </c>
      <c r="BH38" s="24" t="e">
        <f>SUMIFS(#REF!,#REF!,$B38,#REF!,BH$1)</f>
        <v>#REF!</v>
      </c>
      <c r="BI38" s="24" t="e">
        <f>SUMIFS(#REF!,#REF!,$B38,#REF!,BI$1)</f>
        <v>#REF!</v>
      </c>
      <c r="BJ38" s="24" t="e">
        <f>SUMIFS(#REF!,#REF!,$B38,#REF!,BJ$1)</f>
        <v>#REF!</v>
      </c>
      <c r="BK38" s="24" t="e">
        <f>SUMIFS(#REF!,#REF!,$B38,#REF!,BK$1)</f>
        <v>#REF!</v>
      </c>
      <c r="BL38" s="24" t="e">
        <f>SUMIFS(#REF!,#REF!,$B38,#REF!,BL$1)</f>
        <v>#REF!</v>
      </c>
      <c r="BM38" s="24" t="e">
        <f>SUMIFS(#REF!,#REF!,$B38,#REF!,BM$1)</f>
        <v>#REF!</v>
      </c>
      <c r="BN38" s="24" t="e">
        <f>SUMIFS(#REF!,#REF!,$B38,#REF!,BN$1)</f>
        <v>#REF!</v>
      </c>
      <c r="BO38" s="24" t="e">
        <f>SUMIFS(#REF!,#REF!,$B38,#REF!,BO$1)</f>
        <v>#REF!</v>
      </c>
      <c r="BP38" s="24" t="e">
        <f>SUMIFS(#REF!,#REF!,$B38,#REF!,BP$1)</f>
        <v>#REF!</v>
      </c>
      <c r="BQ38" s="24" t="e">
        <f>SUMIFS(#REF!,#REF!,$B38,#REF!,BQ$1)</f>
        <v>#REF!</v>
      </c>
      <c r="BR38" s="24" t="e">
        <f>SUMIFS(#REF!,#REF!,$B38,#REF!,BR$1)</f>
        <v>#REF!</v>
      </c>
      <c r="BS38" s="24" t="e">
        <f>SUMIFS(#REF!,#REF!,$B38,#REF!,BS$1)</f>
        <v>#REF!</v>
      </c>
      <c r="BT38" s="24" t="e">
        <f>SUMIFS(#REF!,#REF!,$B38,#REF!,BT$1)</f>
        <v>#REF!</v>
      </c>
      <c r="BU38" s="24" t="e">
        <f>SUMIFS(#REF!,#REF!,$B38,#REF!,BU$1)</f>
        <v>#REF!</v>
      </c>
      <c r="BV38" s="24" t="e">
        <f>SUMIFS(#REF!,#REF!,$B38,#REF!,BV$1)</f>
        <v>#REF!</v>
      </c>
      <c r="BW38" s="24" t="e">
        <f>SUMIFS(#REF!,#REF!,$B38,#REF!,BW$1)</f>
        <v>#REF!</v>
      </c>
      <c r="BX38" s="24" t="e">
        <f>SUMIFS(#REF!,#REF!,$B38,#REF!,BX$1)</f>
        <v>#REF!</v>
      </c>
      <c r="BY38" s="24" t="e">
        <f>SUMIFS(#REF!,#REF!,$B38,#REF!,BY$1)</f>
        <v>#REF!</v>
      </c>
      <c r="BZ38" s="24" t="e">
        <f>SUMIFS(#REF!,#REF!,$B38,#REF!,BZ$1)</f>
        <v>#REF!</v>
      </c>
      <c r="CA38" s="24" t="e">
        <f>SUMIFS(#REF!,#REF!,$B38,#REF!,CA$1)</f>
        <v>#REF!</v>
      </c>
      <c r="CB38" s="24" t="e">
        <f>SUMIFS(#REF!,#REF!,$B38,#REF!,CB$1)</f>
        <v>#REF!</v>
      </c>
      <c r="CC38" s="24" t="e">
        <f>SUMIFS(#REF!,#REF!,$B38,#REF!,CC$1)</f>
        <v>#REF!</v>
      </c>
      <c r="CD38" s="24" t="e">
        <f>SUMIFS(#REF!,#REF!,$B38,#REF!,CD$1)</f>
        <v>#REF!</v>
      </c>
      <c r="CE38" s="24" t="e">
        <f>SUMIFS(#REF!,#REF!,$B38,#REF!,CE$1)</f>
        <v>#REF!</v>
      </c>
      <c r="CF38" s="24" t="e">
        <f>SUMIFS(#REF!,#REF!,$B38,#REF!,CF$1)</f>
        <v>#REF!</v>
      </c>
      <c r="CG38" s="19" t="e">
        <f t="shared" si="0"/>
        <v>#REF!</v>
      </c>
    </row>
    <row r="39" spans="1:85" x14ac:dyDescent="0.45">
      <c r="A39" s="4" t="s">
        <v>1059</v>
      </c>
      <c r="B39" s="4" t="s">
        <v>1060</v>
      </c>
      <c r="C39" s="24" t="e">
        <f>SUMIFS(#REF!,#REF!,$B39,#REF!,C$1)</f>
        <v>#REF!</v>
      </c>
      <c r="D39" s="24" t="e">
        <f>SUMIFS(#REF!,#REF!,$B39,#REF!,D$1)</f>
        <v>#REF!</v>
      </c>
      <c r="E39" s="24" t="e">
        <f>SUMIFS(#REF!,#REF!,$B39,#REF!,E$1)</f>
        <v>#REF!</v>
      </c>
      <c r="F39" s="24" t="e">
        <f>SUMIFS(#REF!,#REF!,$B39,#REF!,F$1)</f>
        <v>#REF!</v>
      </c>
      <c r="G39" s="24" t="e">
        <f>SUMIFS(#REF!,#REF!,$B39,#REF!,G$1)</f>
        <v>#REF!</v>
      </c>
      <c r="H39" s="24" t="e">
        <f>SUMIFS(#REF!,#REF!,$B39,#REF!,H$1)</f>
        <v>#REF!</v>
      </c>
      <c r="I39" s="24" t="e">
        <f>SUMIFS(#REF!,#REF!,$B39,#REF!,I$1)</f>
        <v>#REF!</v>
      </c>
      <c r="J39" s="24" t="e">
        <f>SUMIFS(#REF!,#REF!,$B39,#REF!,J$1)</f>
        <v>#REF!</v>
      </c>
      <c r="K39" s="24" t="e">
        <f>SUMIFS(#REF!,#REF!,$B39,#REF!,K$1)</f>
        <v>#REF!</v>
      </c>
      <c r="L39" s="24" t="e">
        <f>SUMIFS(#REF!,#REF!,$B39,#REF!,L$1)</f>
        <v>#REF!</v>
      </c>
      <c r="M39" s="24" t="e">
        <f>SUMIFS(#REF!,#REF!,$B39,#REF!,M$1)</f>
        <v>#REF!</v>
      </c>
      <c r="N39" s="24" t="e">
        <f>SUMIFS(#REF!,#REF!,$B39,#REF!,N$1)</f>
        <v>#REF!</v>
      </c>
      <c r="O39" s="24" t="e">
        <f>SUMIFS(#REF!,#REF!,$B39,#REF!,O$1)</f>
        <v>#REF!</v>
      </c>
      <c r="P39" s="24" t="e">
        <f>SUMIFS(#REF!,#REF!,$B39,#REF!,P$1)</f>
        <v>#REF!</v>
      </c>
      <c r="Q39" s="24" t="e">
        <f>SUMIFS(#REF!,#REF!,$B39,#REF!,Q$1)</f>
        <v>#REF!</v>
      </c>
      <c r="R39" s="24" t="e">
        <f>SUMIFS(#REF!,#REF!,$B39,#REF!,R$1)</f>
        <v>#REF!</v>
      </c>
      <c r="S39" s="24" t="e">
        <f>SUMIFS(#REF!,#REF!,$B39,#REF!,S$1)</f>
        <v>#REF!</v>
      </c>
      <c r="T39" s="24" t="e">
        <f>SUMIFS(#REF!,#REF!,$B39,#REF!,T$1)</f>
        <v>#REF!</v>
      </c>
      <c r="U39" s="24" t="e">
        <f>SUMIFS(#REF!,#REF!,$B39,#REF!,U$1)</f>
        <v>#REF!</v>
      </c>
      <c r="V39" s="24" t="e">
        <f>SUMIFS(#REF!,#REF!,$B39,#REF!,V$1)</f>
        <v>#REF!</v>
      </c>
      <c r="W39" s="24" t="e">
        <f>SUMIFS(#REF!,#REF!,$B39,#REF!,W$1)</f>
        <v>#REF!</v>
      </c>
      <c r="X39" s="24" t="e">
        <f>SUMIFS(#REF!,#REF!,$B39,#REF!,X$1)</f>
        <v>#REF!</v>
      </c>
      <c r="Y39" s="24" t="e">
        <f>SUMIFS(#REF!,#REF!,$B39,#REF!,Y$1)</f>
        <v>#REF!</v>
      </c>
      <c r="Z39" s="24" t="e">
        <f>SUMIFS(#REF!,#REF!,$B39,#REF!,Z$1)</f>
        <v>#REF!</v>
      </c>
      <c r="AA39" s="24" t="e">
        <f>SUMIFS(#REF!,#REF!,$B39,#REF!,AA$1)</f>
        <v>#REF!</v>
      </c>
      <c r="AB39" s="24" t="e">
        <f>SUMIFS(#REF!,#REF!,$B39,#REF!,AB$1)</f>
        <v>#REF!</v>
      </c>
      <c r="AC39" s="24" t="e">
        <f>SUMIFS(#REF!,#REF!,$B39,#REF!,AC$1)</f>
        <v>#REF!</v>
      </c>
      <c r="AD39" s="24" t="e">
        <f>SUMIFS(#REF!,#REF!,$B39,#REF!,AD$1)</f>
        <v>#REF!</v>
      </c>
      <c r="AE39" s="24" t="e">
        <f>SUMIFS(#REF!,#REF!,$B39,#REF!,AE$1)</f>
        <v>#REF!</v>
      </c>
      <c r="AF39" s="24" t="e">
        <f>SUMIFS(#REF!,#REF!,$B39,#REF!,AF$1)</f>
        <v>#REF!</v>
      </c>
      <c r="AG39" s="24" t="e">
        <f>SUMIFS(#REF!,#REF!,$B39,#REF!,AG$1)</f>
        <v>#REF!</v>
      </c>
      <c r="AH39" s="24" t="e">
        <f>SUMIFS(#REF!,#REF!,$B39,#REF!,AH$1)</f>
        <v>#REF!</v>
      </c>
      <c r="AI39" s="24" t="e">
        <f>SUMIFS(#REF!,#REF!,$B39,#REF!,AI$1)</f>
        <v>#REF!</v>
      </c>
      <c r="AJ39" s="24" t="e">
        <f>SUMIFS(#REF!,#REF!,$B39,#REF!,AJ$1)</f>
        <v>#REF!</v>
      </c>
      <c r="AK39" s="24" t="e">
        <f>SUMIFS(#REF!,#REF!,$B39,#REF!,AK$1)</f>
        <v>#REF!</v>
      </c>
      <c r="AL39" s="24" t="e">
        <f>SUMIFS(#REF!,#REF!,$B39,#REF!,AL$1)</f>
        <v>#REF!</v>
      </c>
      <c r="AM39" s="24" t="e">
        <f>SUMIFS(#REF!,#REF!,$B39,#REF!,AM$1)</f>
        <v>#REF!</v>
      </c>
      <c r="AN39" s="24" t="e">
        <f>SUMIFS(#REF!,#REF!,$B39,#REF!,AN$1)</f>
        <v>#REF!</v>
      </c>
      <c r="AO39" s="24" t="e">
        <f>SUMIFS(#REF!,#REF!,$B39,#REF!,AO$1)</f>
        <v>#REF!</v>
      </c>
      <c r="AP39" s="24" t="e">
        <f>SUMIFS(#REF!,#REF!,$B39,#REF!,AP$1)</f>
        <v>#REF!</v>
      </c>
      <c r="AQ39" s="24" t="e">
        <f>SUMIFS(#REF!,#REF!,$B39,#REF!,AQ$1)</f>
        <v>#REF!</v>
      </c>
      <c r="AR39" s="24" t="e">
        <f>SUMIFS(#REF!,#REF!,$B39,#REF!,AR$1)</f>
        <v>#REF!</v>
      </c>
      <c r="AS39" s="24" t="e">
        <f>SUMIFS(#REF!,#REF!,$B39,#REF!,AS$1)</f>
        <v>#REF!</v>
      </c>
      <c r="AT39" s="24" t="e">
        <f>SUMIFS(#REF!,#REF!,$B39,#REF!,AT$1)</f>
        <v>#REF!</v>
      </c>
      <c r="AU39" s="24" t="e">
        <f>SUMIFS(#REF!,#REF!,$B39,#REF!,AU$1)</f>
        <v>#REF!</v>
      </c>
      <c r="AV39" s="24" t="e">
        <f>SUMIFS(#REF!,#REF!,$B39,#REF!,AV$1)</f>
        <v>#REF!</v>
      </c>
      <c r="AW39" s="24" t="e">
        <f>SUMIFS(#REF!,#REF!,$B39,#REF!,AW$1)</f>
        <v>#REF!</v>
      </c>
      <c r="AX39" s="24" t="e">
        <f>SUMIFS(#REF!,#REF!,$B39,#REF!,AX$1)</f>
        <v>#REF!</v>
      </c>
      <c r="AY39" s="24" t="e">
        <f>SUMIFS(#REF!,#REF!,$B39,#REF!,AY$1)</f>
        <v>#REF!</v>
      </c>
      <c r="AZ39" s="24" t="e">
        <f>SUMIFS(#REF!,#REF!,$B39,#REF!,AZ$1)</f>
        <v>#REF!</v>
      </c>
      <c r="BA39" s="24" t="e">
        <f>SUMIFS(#REF!,#REF!,$B39,#REF!,BA$1)</f>
        <v>#REF!</v>
      </c>
      <c r="BB39" s="24" t="e">
        <f>SUMIFS(#REF!,#REF!,$B39,#REF!,BB$1)</f>
        <v>#REF!</v>
      </c>
      <c r="BC39" s="24" t="e">
        <f>SUMIFS(#REF!,#REF!,$B39,#REF!,BC$1)</f>
        <v>#REF!</v>
      </c>
      <c r="BD39" s="24" t="e">
        <f>SUMIFS(#REF!,#REF!,$B39,#REF!,BD$1)</f>
        <v>#REF!</v>
      </c>
      <c r="BE39" s="24" t="e">
        <f>SUMIFS(#REF!,#REF!,$B39,#REF!,BE$1)</f>
        <v>#REF!</v>
      </c>
      <c r="BF39" s="24" t="e">
        <f>SUMIFS(#REF!,#REF!,$B39,#REF!,BF$1)</f>
        <v>#REF!</v>
      </c>
      <c r="BG39" s="24" t="e">
        <f>SUMIFS(#REF!,#REF!,$B39,#REF!,BG$1)</f>
        <v>#REF!</v>
      </c>
      <c r="BH39" s="24" t="e">
        <f>SUMIFS(#REF!,#REF!,$B39,#REF!,BH$1)</f>
        <v>#REF!</v>
      </c>
      <c r="BI39" s="24" t="e">
        <f>SUMIFS(#REF!,#REF!,$B39,#REF!,BI$1)</f>
        <v>#REF!</v>
      </c>
      <c r="BJ39" s="24" t="e">
        <f>SUMIFS(#REF!,#REF!,$B39,#REF!,BJ$1)</f>
        <v>#REF!</v>
      </c>
      <c r="BK39" s="24" t="e">
        <f>SUMIFS(#REF!,#REF!,$B39,#REF!,BK$1)</f>
        <v>#REF!</v>
      </c>
      <c r="BL39" s="24" t="e">
        <f>SUMIFS(#REF!,#REF!,$B39,#REF!,BL$1)</f>
        <v>#REF!</v>
      </c>
      <c r="BM39" s="24" t="e">
        <f>SUMIFS(#REF!,#REF!,$B39,#REF!,BM$1)</f>
        <v>#REF!</v>
      </c>
      <c r="BN39" s="24" t="e">
        <f>SUMIFS(#REF!,#REF!,$B39,#REF!,BN$1)</f>
        <v>#REF!</v>
      </c>
      <c r="BO39" s="24" t="e">
        <f>SUMIFS(#REF!,#REF!,$B39,#REF!,BO$1)</f>
        <v>#REF!</v>
      </c>
      <c r="BP39" s="24" t="e">
        <f>SUMIFS(#REF!,#REF!,$B39,#REF!,BP$1)</f>
        <v>#REF!</v>
      </c>
      <c r="BQ39" s="24" t="e">
        <f>SUMIFS(#REF!,#REF!,$B39,#REF!,BQ$1)</f>
        <v>#REF!</v>
      </c>
      <c r="BR39" s="24" t="e">
        <f>SUMIFS(#REF!,#REF!,$B39,#REF!,BR$1)</f>
        <v>#REF!</v>
      </c>
      <c r="BS39" s="24" t="e">
        <f>SUMIFS(#REF!,#REF!,$B39,#REF!,BS$1)</f>
        <v>#REF!</v>
      </c>
      <c r="BT39" s="24" t="e">
        <f>SUMIFS(#REF!,#REF!,$B39,#REF!,BT$1)</f>
        <v>#REF!</v>
      </c>
      <c r="BU39" s="24" t="e">
        <f>SUMIFS(#REF!,#REF!,$B39,#REF!,BU$1)</f>
        <v>#REF!</v>
      </c>
      <c r="BV39" s="24" t="e">
        <f>SUMIFS(#REF!,#REF!,$B39,#REF!,BV$1)</f>
        <v>#REF!</v>
      </c>
      <c r="BW39" s="24" t="e">
        <f>SUMIFS(#REF!,#REF!,$B39,#REF!,BW$1)</f>
        <v>#REF!</v>
      </c>
      <c r="BX39" s="24" t="e">
        <f>SUMIFS(#REF!,#REF!,$B39,#REF!,BX$1)</f>
        <v>#REF!</v>
      </c>
      <c r="BY39" s="24" t="e">
        <f>SUMIFS(#REF!,#REF!,$B39,#REF!,BY$1)</f>
        <v>#REF!</v>
      </c>
      <c r="BZ39" s="24" t="e">
        <f>SUMIFS(#REF!,#REF!,$B39,#REF!,BZ$1)</f>
        <v>#REF!</v>
      </c>
      <c r="CA39" s="24" t="e">
        <f>SUMIFS(#REF!,#REF!,$B39,#REF!,CA$1)</f>
        <v>#REF!</v>
      </c>
      <c r="CB39" s="24" t="e">
        <f>SUMIFS(#REF!,#REF!,$B39,#REF!,CB$1)</f>
        <v>#REF!</v>
      </c>
      <c r="CC39" s="24" t="e">
        <f>SUMIFS(#REF!,#REF!,$B39,#REF!,CC$1)</f>
        <v>#REF!</v>
      </c>
      <c r="CD39" s="24" t="e">
        <f>SUMIFS(#REF!,#REF!,$B39,#REF!,CD$1)</f>
        <v>#REF!</v>
      </c>
      <c r="CE39" s="24" t="e">
        <f>SUMIFS(#REF!,#REF!,$B39,#REF!,CE$1)</f>
        <v>#REF!</v>
      </c>
      <c r="CF39" s="24" t="e">
        <f>SUMIFS(#REF!,#REF!,$B39,#REF!,CF$1)</f>
        <v>#REF!</v>
      </c>
      <c r="CG39" s="19" t="e">
        <f t="shared" si="0"/>
        <v>#REF!</v>
      </c>
    </row>
    <row r="40" spans="1:85" x14ac:dyDescent="0.45">
      <c r="A40" s="4" t="s">
        <v>1061</v>
      </c>
      <c r="B40" s="4" t="s">
        <v>1062</v>
      </c>
      <c r="C40" s="24" t="e">
        <f>SUMIFS(#REF!,#REF!,$B40,#REF!,C$1)</f>
        <v>#REF!</v>
      </c>
      <c r="D40" s="24" t="e">
        <f>SUMIFS(#REF!,#REF!,$B40,#REF!,D$1)</f>
        <v>#REF!</v>
      </c>
      <c r="E40" s="24" t="e">
        <f>SUMIFS(#REF!,#REF!,$B40,#REF!,E$1)</f>
        <v>#REF!</v>
      </c>
      <c r="F40" s="24" t="e">
        <f>SUMIFS(#REF!,#REF!,$B40,#REF!,F$1)</f>
        <v>#REF!</v>
      </c>
      <c r="G40" s="24" t="e">
        <f>SUMIFS(#REF!,#REF!,$B40,#REF!,G$1)</f>
        <v>#REF!</v>
      </c>
      <c r="H40" s="24" t="e">
        <f>SUMIFS(#REF!,#REF!,$B40,#REF!,H$1)</f>
        <v>#REF!</v>
      </c>
      <c r="I40" s="24" t="e">
        <f>SUMIFS(#REF!,#REF!,$B40,#REF!,I$1)</f>
        <v>#REF!</v>
      </c>
      <c r="J40" s="24" t="e">
        <f>SUMIFS(#REF!,#REF!,$B40,#REF!,J$1)</f>
        <v>#REF!</v>
      </c>
      <c r="K40" s="24" t="e">
        <f>SUMIFS(#REF!,#REF!,$B40,#REF!,K$1)</f>
        <v>#REF!</v>
      </c>
      <c r="L40" s="24" t="e">
        <f>SUMIFS(#REF!,#REF!,$B40,#REF!,L$1)</f>
        <v>#REF!</v>
      </c>
      <c r="M40" s="24" t="e">
        <f>SUMIFS(#REF!,#REF!,$B40,#REF!,M$1)</f>
        <v>#REF!</v>
      </c>
      <c r="N40" s="24" t="e">
        <f>SUMIFS(#REF!,#REF!,$B40,#REF!,N$1)</f>
        <v>#REF!</v>
      </c>
      <c r="O40" s="24" t="e">
        <f>SUMIFS(#REF!,#REF!,$B40,#REF!,O$1)</f>
        <v>#REF!</v>
      </c>
      <c r="P40" s="24" t="e">
        <f>SUMIFS(#REF!,#REF!,$B40,#REF!,P$1)</f>
        <v>#REF!</v>
      </c>
      <c r="Q40" s="24" t="e">
        <f>SUMIFS(#REF!,#REF!,$B40,#REF!,Q$1)</f>
        <v>#REF!</v>
      </c>
      <c r="R40" s="24" t="e">
        <f>SUMIFS(#REF!,#REF!,$B40,#REF!,R$1)</f>
        <v>#REF!</v>
      </c>
      <c r="S40" s="24" t="e">
        <f>SUMIFS(#REF!,#REF!,$B40,#REF!,S$1)</f>
        <v>#REF!</v>
      </c>
      <c r="T40" s="24" t="e">
        <f>SUMIFS(#REF!,#REF!,$B40,#REF!,T$1)</f>
        <v>#REF!</v>
      </c>
      <c r="U40" s="24" t="e">
        <f>SUMIFS(#REF!,#REF!,$B40,#REF!,U$1)</f>
        <v>#REF!</v>
      </c>
      <c r="V40" s="24" t="e">
        <f>SUMIFS(#REF!,#REF!,$B40,#REF!,V$1)</f>
        <v>#REF!</v>
      </c>
      <c r="W40" s="24" t="e">
        <f>SUMIFS(#REF!,#REF!,$B40,#REF!,W$1)</f>
        <v>#REF!</v>
      </c>
      <c r="X40" s="24" t="e">
        <f>SUMIFS(#REF!,#REF!,$B40,#REF!,X$1)</f>
        <v>#REF!</v>
      </c>
      <c r="Y40" s="24" t="e">
        <f>SUMIFS(#REF!,#REF!,$B40,#REF!,Y$1)</f>
        <v>#REF!</v>
      </c>
      <c r="Z40" s="24" t="e">
        <f>SUMIFS(#REF!,#REF!,$B40,#REF!,Z$1)</f>
        <v>#REF!</v>
      </c>
      <c r="AA40" s="24" t="e">
        <f>SUMIFS(#REF!,#REF!,$B40,#REF!,AA$1)</f>
        <v>#REF!</v>
      </c>
      <c r="AB40" s="24" t="e">
        <f>SUMIFS(#REF!,#REF!,$B40,#REF!,AB$1)</f>
        <v>#REF!</v>
      </c>
      <c r="AC40" s="24" t="e">
        <f>SUMIFS(#REF!,#REF!,$B40,#REF!,AC$1)</f>
        <v>#REF!</v>
      </c>
      <c r="AD40" s="24" t="e">
        <f>SUMIFS(#REF!,#REF!,$B40,#REF!,AD$1)</f>
        <v>#REF!</v>
      </c>
      <c r="AE40" s="24" t="e">
        <f>SUMIFS(#REF!,#REF!,$B40,#REF!,AE$1)</f>
        <v>#REF!</v>
      </c>
      <c r="AF40" s="24" t="e">
        <f>SUMIFS(#REF!,#REF!,$B40,#REF!,AF$1)</f>
        <v>#REF!</v>
      </c>
      <c r="AG40" s="24" t="e">
        <f>SUMIFS(#REF!,#REF!,$B40,#REF!,AG$1)</f>
        <v>#REF!</v>
      </c>
      <c r="AH40" s="24" t="e">
        <f>SUMIFS(#REF!,#REF!,$B40,#REF!,AH$1)</f>
        <v>#REF!</v>
      </c>
      <c r="AI40" s="24" t="e">
        <f>SUMIFS(#REF!,#REF!,$B40,#REF!,AI$1)</f>
        <v>#REF!</v>
      </c>
      <c r="AJ40" s="24" t="e">
        <f>SUMIFS(#REF!,#REF!,$B40,#REF!,AJ$1)</f>
        <v>#REF!</v>
      </c>
      <c r="AK40" s="24" t="e">
        <f>SUMIFS(#REF!,#REF!,$B40,#REF!,AK$1)</f>
        <v>#REF!</v>
      </c>
      <c r="AL40" s="24" t="e">
        <f>SUMIFS(#REF!,#REF!,$B40,#REF!,AL$1)</f>
        <v>#REF!</v>
      </c>
      <c r="AM40" s="24" t="e">
        <f>SUMIFS(#REF!,#REF!,$B40,#REF!,AM$1)</f>
        <v>#REF!</v>
      </c>
      <c r="AN40" s="24" t="e">
        <f>SUMIFS(#REF!,#REF!,$B40,#REF!,AN$1)</f>
        <v>#REF!</v>
      </c>
      <c r="AO40" s="24" t="e">
        <f>SUMIFS(#REF!,#REF!,$B40,#REF!,AO$1)</f>
        <v>#REF!</v>
      </c>
      <c r="AP40" s="24" t="e">
        <f>SUMIFS(#REF!,#REF!,$B40,#REF!,AP$1)</f>
        <v>#REF!</v>
      </c>
      <c r="AQ40" s="24" t="e">
        <f>SUMIFS(#REF!,#REF!,$B40,#REF!,AQ$1)</f>
        <v>#REF!</v>
      </c>
      <c r="AR40" s="24" t="e">
        <f>SUMIFS(#REF!,#REF!,$B40,#REF!,AR$1)</f>
        <v>#REF!</v>
      </c>
      <c r="AS40" s="24" t="e">
        <f>SUMIFS(#REF!,#REF!,$B40,#REF!,AS$1)</f>
        <v>#REF!</v>
      </c>
      <c r="AT40" s="24" t="e">
        <f>SUMIFS(#REF!,#REF!,$B40,#REF!,AT$1)</f>
        <v>#REF!</v>
      </c>
      <c r="AU40" s="24" t="e">
        <f>SUMIFS(#REF!,#REF!,$B40,#REF!,AU$1)</f>
        <v>#REF!</v>
      </c>
      <c r="AV40" s="24" t="e">
        <f>SUMIFS(#REF!,#REF!,$B40,#REF!,AV$1)</f>
        <v>#REF!</v>
      </c>
      <c r="AW40" s="24" t="e">
        <f>SUMIFS(#REF!,#REF!,$B40,#REF!,AW$1)</f>
        <v>#REF!</v>
      </c>
      <c r="AX40" s="24" t="e">
        <f>SUMIFS(#REF!,#REF!,$B40,#REF!,AX$1)</f>
        <v>#REF!</v>
      </c>
      <c r="AY40" s="24" t="e">
        <f>SUMIFS(#REF!,#REF!,$B40,#REF!,AY$1)</f>
        <v>#REF!</v>
      </c>
      <c r="AZ40" s="24" t="e">
        <f>SUMIFS(#REF!,#REF!,$B40,#REF!,AZ$1)</f>
        <v>#REF!</v>
      </c>
      <c r="BA40" s="24" t="e">
        <f>SUMIFS(#REF!,#REF!,$B40,#REF!,BA$1)</f>
        <v>#REF!</v>
      </c>
      <c r="BB40" s="24" t="e">
        <f>SUMIFS(#REF!,#REF!,$B40,#REF!,BB$1)</f>
        <v>#REF!</v>
      </c>
      <c r="BC40" s="24" t="e">
        <f>SUMIFS(#REF!,#REF!,$B40,#REF!,BC$1)</f>
        <v>#REF!</v>
      </c>
      <c r="BD40" s="24" t="e">
        <f>SUMIFS(#REF!,#REF!,$B40,#REF!,BD$1)</f>
        <v>#REF!</v>
      </c>
      <c r="BE40" s="24" t="e">
        <f>SUMIFS(#REF!,#REF!,$B40,#REF!,BE$1)</f>
        <v>#REF!</v>
      </c>
      <c r="BF40" s="24" t="e">
        <f>SUMIFS(#REF!,#REF!,$B40,#REF!,BF$1)</f>
        <v>#REF!</v>
      </c>
      <c r="BG40" s="24" t="e">
        <f>SUMIFS(#REF!,#REF!,$B40,#REF!,BG$1)</f>
        <v>#REF!</v>
      </c>
      <c r="BH40" s="24" t="e">
        <f>SUMIFS(#REF!,#REF!,$B40,#REF!,BH$1)</f>
        <v>#REF!</v>
      </c>
      <c r="BI40" s="24" t="e">
        <f>SUMIFS(#REF!,#REF!,$B40,#REF!,BI$1)</f>
        <v>#REF!</v>
      </c>
      <c r="BJ40" s="24" t="e">
        <f>SUMIFS(#REF!,#REF!,$B40,#REF!,BJ$1)</f>
        <v>#REF!</v>
      </c>
      <c r="BK40" s="24" t="e">
        <f>SUMIFS(#REF!,#REF!,$B40,#REF!,BK$1)</f>
        <v>#REF!</v>
      </c>
      <c r="BL40" s="24" t="e">
        <f>SUMIFS(#REF!,#REF!,$B40,#REF!,BL$1)</f>
        <v>#REF!</v>
      </c>
      <c r="BM40" s="24" t="e">
        <f>SUMIFS(#REF!,#REF!,$B40,#REF!,BM$1)</f>
        <v>#REF!</v>
      </c>
      <c r="BN40" s="24" t="e">
        <f>SUMIFS(#REF!,#REF!,$B40,#REF!,BN$1)</f>
        <v>#REF!</v>
      </c>
      <c r="BO40" s="24" t="e">
        <f>SUMIFS(#REF!,#REF!,$B40,#REF!,BO$1)</f>
        <v>#REF!</v>
      </c>
      <c r="BP40" s="24" t="e">
        <f>SUMIFS(#REF!,#REF!,$B40,#REF!,BP$1)</f>
        <v>#REF!</v>
      </c>
      <c r="BQ40" s="24" t="e">
        <f>SUMIFS(#REF!,#REF!,$B40,#REF!,BQ$1)</f>
        <v>#REF!</v>
      </c>
      <c r="BR40" s="24" t="e">
        <f>SUMIFS(#REF!,#REF!,$B40,#REF!,BR$1)</f>
        <v>#REF!</v>
      </c>
      <c r="BS40" s="24" t="e">
        <f>SUMIFS(#REF!,#REF!,$B40,#REF!,BS$1)</f>
        <v>#REF!</v>
      </c>
      <c r="BT40" s="24" t="e">
        <f>SUMIFS(#REF!,#REF!,$B40,#REF!,BT$1)</f>
        <v>#REF!</v>
      </c>
      <c r="BU40" s="24" t="e">
        <f>SUMIFS(#REF!,#REF!,$B40,#REF!,BU$1)</f>
        <v>#REF!</v>
      </c>
      <c r="BV40" s="24" t="e">
        <f>SUMIFS(#REF!,#REF!,$B40,#REF!,BV$1)</f>
        <v>#REF!</v>
      </c>
      <c r="BW40" s="24" t="e">
        <f>SUMIFS(#REF!,#REF!,$B40,#REF!,BW$1)</f>
        <v>#REF!</v>
      </c>
      <c r="BX40" s="24" t="e">
        <f>SUMIFS(#REF!,#REF!,$B40,#REF!,BX$1)</f>
        <v>#REF!</v>
      </c>
      <c r="BY40" s="24" t="e">
        <f>SUMIFS(#REF!,#REF!,$B40,#REF!,BY$1)</f>
        <v>#REF!</v>
      </c>
      <c r="BZ40" s="24" t="e">
        <f>SUMIFS(#REF!,#REF!,$B40,#REF!,BZ$1)</f>
        <v>#REF!</v>
      </c>
      <c r="CA40" s="24" t="e">
        <f>SUMIFS(#REF!,#REF!,$B40,#REF!,CA$1)</f>
        <v>#REF!</v>
      </c>
      <c r="CB40" s="24" t="e">
        <f>SUMIFS(#REF!,#REF!,$B40,#REF!,CB$1)</f>
        <v>#REF!</v>
      </c>
      <c r="CC40" s="24" t="e">
        <f>SUMIFS(#REF!,#REF!,$B40,#REF!,CC$1)</f>
        <v>#REF!</v>
      </c>
      <c r="CD40" s="24" t="e">
        <f>SUMIFS(#REF!,#REF!,$B40,#REF!,CD$1)</f>
        <v>#REF!</v>
      </c>
      <c r="CE40" s="24" t="e">
        <f>SUMIFS(#REF!,#REF!,$B40,#REF!,CE$1)</f>
        <v>#REF!</v>
      </c>
      <c r="CF40" s="24" t="e">
        <f>SUMIFS(#REF!,#REF!,$B40,#REF!,CF$1)</f>
        <v>#REF!</v>
      </c>
      <c r="CG40" s="19" t="e">
        <f t="shared" si="0"/>
        <v>#REF!</v>
      </c>
    </row>
    <row r="41" spans="1:85" x14ac:dyDescent="0.45">
      <c r="A41" s="4" t="s">
        <v>1063</v>
      </c>
      <c r="B41" s="4" t="s">
        <v>1064</v>
      </c>
      <c r="C41" s="24" t="e">
        <f>SUMIFS(#REF!,#REF!,$B41,#REF!,C$1)</f>
        <v>#REF!</v>
      </c>
      <c r="D41" s="24" t="e">
        <f>SUMIFS(#REF!,#REF!,$B41,#REF!,D$1)</f>
        <v>#REF!</v>
      </c>
      <c r="E41" s="24" t="e">
        <f>SUMIFS(#REF!,#REF!,$B41,#REF!,E$1)</f>
        <v>#REF!</v>
      </c>
      <c r="F41" s="24" t="e">
        <f>SUMIFS(#REF!,#REF!,$B41,#REF!,F$1)</f>
        <v>#REF!</v>
      </c>
      <c r="G41" s="24" t="e">
        <f>SUMIFS(#REF!,#REF!,$B41,#REF!,G$1)</f>
        <v>#REF!</v>
      </c>
      <c r="H41" s="24" t="e">
        <f>SUMIFS(#REF!,#REF!,$B41,#REF!,H$1)</f>
        <v>#REF!</v>
      </c>
      <c r="I41" s="24" t="e">
        <f>SUMIFS(#REF!,#REF!,$B41,#REF!,I$1)</f>
        <v>#REF!</v>
      </c>
      <c r="J41" s="24" t="e">
        <f>SUMIFS(#REF!,#REF!,$B41,#REF!,J$1)</f>
        <v>#REF!</v>
      </c>
      <c r="K41" s="24" t="e">
        <f>SUMIFS(#REF!,#REF!,$B41,#REF!,K$1)</f>
        <v>#REF!</v>
      </c>
      <c r="L41" s="24" t="e">
        <f>SUMIFS(#REF!,#REF!,$B41,#REF!,L$1)</f>
        <v>#REF!</v>
      </c>
      <c r="M41" s="24" t="e">
        <f>SUMIFS(#REF!,#REF!,$B41,#REF!,M$1)</f>
        <v>#REF!</v>
      </c>
      <c r="N41" s="24" t="e">
        <f>SUMIFS(#REF!,#REF!,$B41,#REF!,N$1)</f>
        <v>#REF!</v>
      </c>
      <c r="O41" s="24" t="e">
        <f>SUMIFS(#REF!,#REF!,$B41,#REF!,O$1)</f>
        <v>#REF!</v>
      </c>
      <c r="P41" s="24" t="e">
        <f>SUMIFS(#REF!,#REF!,$B41,#REF!,P$1)</f>
        <v>#REF!</v>
      </c>
      <c r="Q41" s="24" t="e">
        <f>SUMIFS(#REF!,#REF!,$B41,#REF!,Q$1)</f>
        <v>#REF!</v>
      </c>
      <c r="R41" s="24" t="e">
        <f>SUMIFS(#REF!,#REF!,$B41,#REF!,R$1)</f>
        <v>#REF!</v>
      </c>
      <c r="S41" s="24" t="e">
        <f>SUMIFS(#REF!,#REF!,$B41,#REF!,S$1)</f>
        <v>#REF!</v>
      </c>
      <c r="T41" s="24" t="e">
        <f>SUMIFS(#REF!,#REF!,$B41,#REF!,T$1)</f>
        <v>#REF!</v>
      </c>
      <c r="U41" s="24" t="e">
        <f>SUMIFS(#REF!,#REF!,$B41,#REF!,U$1)</f>
        <v>#REF!</v>
      </c>
      <c r="V41" s="24" t="e">
        <f>SUMIFS(#REF!,#REF!,$B41,#REF!,V$1)</f>
        <v>#REF!</v>
      </c>
      <c r="W41" s="24" t="e">
        <f>SUMIFS(#REF!,#REF!,$B41,#REF!,W$1)</f>
        <v>#REF!</v>
      </c>
      <c r="X41" s="24" t="e">
        <f>SUMIFS(#REF!,#REF!,$B41,#REF!,X$1)</f>
        <v>#REF!</v>
      </c>
      <c r="Y41" s="24" t="e">
        <f>SUMIFS(#REF!,#REF!,$B41,#REF!,Y$1)</f>
        <v>#REF!</v>
      </c>
      <c r="Z41" s="24" t="e">
        <f>SUMIFS(#REF!,#REF!,$B41,#REF!,Z$1)</f>
        <v>#REF!</v>
      </c>
      <c r="AA41" s="24" t="e">
        <f>SUMIFS(#REF!,#REF!,$B41,#REF!,AA$1)</f>
        <v>#REF!</v>
      </c>
      <c r="AB41" s="24" t="e">
        <f>SUMIFS(#REF!,#REF!,$B41,#REF!,AB$1)</f>
        <v>#REF!</v>
      </c>
      <c r="AC41" s="24" t="e">
        <f>SUMIFS(#REF!,#REF!,$B41,#REF!,AC$1)</f>
        <v>#REF!</v>
      </c>
      <c r="AD41" s="24" t="e">
        <f>SUMIFS(#REF!,#REF!,$B41,#REF!,AD$1)</f>
        <v>#REF!</v>
      </c>
      <c r="AE41" s="24" t="e">
        <f>SUMIFS(#REF!,#REF!,$B41,#REF!,AE$1)</f>
        <v>#REF!</v>
      </c>
      <c r="AF41" s="24" t="e">
        <f>SUMIFS(#REF!,#REF!,$B41,#REF!,AF$1)</f>
        <v>#REF!</v>
      </c>
      <c r="AG41" s="24" t="e">
        <f>SUMIFS(#REF!,#REF!,$B41,#REF!,AG$1)</f>
        <v>#REF!</v>
      </c>
      <c r="AH41" s="24" t="e">
        <f>SUMIFS(#REF!,#REF!,$B41,#REF!,AH$1)</f>
        <v>#REF!</v>
      </c>
      <c r="AI41" s="24" t="e">
        <f>SUMIFS(#REF!,#REF!,$B41,#REF!,AI$1)</f>
        <v>#REF!</v>
      </c>
      <c r="AJ41" s="24" t="e">
        <f>SUMIFS(#REF!,#REF!,$B41,#REF!,AJ$1)</f>
        <v>#REF!</v>
      </c>
      <c r="AK41" s="24" t="e">
        <f>SUMIFS(#REF!,#REF!,$B41,#REF!,AK$1)</f>
        <v>#REF!</v>
      </c>
      <c r="AL41" s="24" t="e">
        <f>SUMIFS(#REF!,#REF!,$B41,#REF!,AL$1)</f>
        <v>#REF!</v>
      </c>
      <c r="AM41" s="24" t="e">
        <f>SUMIFS(#REF!,#REF!,$B41,#REF!,AM$1)</f>
        <v>#REF!</v>
      </c>
      <c r="AN41" s="24" t="e">
        <f>SUMIFS(#REF!,#REF!,$B41,#REF!,AN$1)</f>
        <v>#REF!</v>
      </c>
      <c r="AO41" s="24" t="e">
        <f>SUMIFS(#REF!,#REF!,$B41,#REF!,AO$1)</f>
        <v>#REF!</v>
      </c>
      <c r="AP41" s="24" t="e">
        <f>SUMIFS(#REF!,#REF!,$B41,#REF!,AP$1)</f>
        <v>#REF!</v>
      </c>
      <c r="AQ41" s="24" t="e">
        <f>SUMIFS(#REF!,#REF!,$B41,#REF!,AQ$1)</f>
        <v>#REF!</v>
      </c>
      <c r="AR41" s="24" t="e">
        <f>SUMIFS(#REF!,#REF!,$B41,#REF!,AR$1)</f>
        <v>#REF!</v>
      </c>
      <c r="AS41" s="24" t="e">
        <f>SUMIFS(#REF!,#REF!,$B41,#REF!,AS$1)</f>
        <v>#REF!</v>
      </c>
      <c r="AT41" s="24" t="e">
        <f>SUMIFS(#REF!,#REF!,$B41,#REF!,AT$1)</f>
        <v>#REF!</v>
      </c>
      <c r="AU41" s="24" t="e">
        <f>SUMIFS(#REF!,#REF!,$B41,#REF!,AU$1)</f>
        <v>#REF!</v>
      </c>
      <c r="AV41" s="24" t="e">
        <f>SUMIFS(#REF!,#REF!,$B41,#REF!,AV$1)</f>
        <v>#REF!</v>
      </c>
      <c r="AW41" s="24" t="e">
        <f>SUMIFS(#REF!,#REF!,$B41,#REF!,AW$1)</f>
        <v>#REF!</v>
      </c>
      <c r="AX41" s="24" t="e">
        <f>SUMIFS(#REF!,#REF!,$B41,#REF!,AX$1)</f>
        <v>#REF!</v>
      </c>
      <c r="AY41" s="24" t="e">
        <f>SUMIFS(#REF!,#REF!,$B41,#REF!,AY$1)</f>
        <v>#REF!</v>
      </c>
      <c r="AZ41" s="24" t="e">
        <f>SUMIFS(#REF!,#REF!,$B41,#REF!,AZ$1)</f>
        <v>#REF!</v>
      </c>
      <c r="BA41" s="24" t="e">
        <f>SUMIFS(#REF!,#REF!,$B41,#REF!,BA$1)</f>
        <v>#REF!</v>
      </c>
      <c r="BB41" s="24" t="e">
        <f>SUMIFS(#REF!,#REF!,$B41,#REF!,BB$1)</f>
        <v>#REF!</v>
      </c>
      <c r="BC41" s="24" t="e">
        <f>SUMIFS(#REF!,#REF!,$B41,#REF!,BC$1)</f>
        <v>#REF!</v>
      </c>
      <c r="BD41" s="24" t="e">
        <f>SUMIFS(#REF!,#REF!,$B41,#REF!,BD$1)</f>
        <v>#REF!</v>
      </c>
      <c r="BE41" s="24" t="e">
        <f>SUMIFS(#REF!,#REF!,$B41,#REF!,BE$1)</f>
        <v>#REF!</v>
      </c>
      <c r="BF41" s="24" t="e">
        <f>SUMIFS(#REF!,#REF!,$B41,#REF!,BF$1)</f>
        <v>#REF!</v>
      </c>
      <c r="BG41" s="24" t="e">
        <f>SUMIFS(#REF!,#REF!,$B41,#REF!,BG$1)</f>
        <v>#REF!</v>
      </c>
      <c r="BH41" s="24" t="e">
        <f>SUMIFS(#REF!,#REF!,$B41,#REF!,BH$1)</f>
        <v>#REF!</v>
      </c>
      <c r="BI41" s="24" t="e">
        <f>SUMIFS(#REF!,#REF!,$B41,#REF!,BI$1)</f>
        <v>#REF!</v>
      </c>
      <c r="BJ41" s="24" t="e">
        <f>SUMIFS(#REF!,#REF!,$B41,#REF!,BJ$1)</f>
        <v>#REF!</v>
      </c>
      <c r="BK41" s="24" t="e">
        <f>SUMIFS(#REF!,#REF!,$B41,#REF!,BK$1)</f>
        <v>#REF!</v>
      </c>
      <c r="BL41" s="24" t="e">
        <f>SUMIFS(#REF!,#REF!,$B41,#REF!,BL$1)</f>
        <v>#REF!</v>
      </c>
      <c r="BM41" s="24" t="e">
        <f>SUMIFS(#REF!,#REF!,$B41,#REF!,BM$1)</f>
        <v>#REF!</v>
      </c>
      <c r="BN41" s="24" t="e">
        <f>SUMIFS(#REF!,#REF!,$B41,#REF!,BN$1)</f>
        <v>#REF!</v>
      </c>
      <c r="BO41" s="24" t="e">
        <f>SUMIFS(#REF!,#REF!,$B41,#REF!,BO$1)</f>
        <v>#REF!</v>
      </c>
      <c r="BP41" s="24" t="e">
        <f>SUMIFS(#REF!,#REF!,$B41,#REF!,BP$1)</f>
        <v>#REF!</v>
      </c>
      <c r="BQ41" s="24" t="e">
        <f>SUMIFS(#REF!,#REF!,$B41,#REF!,BQ$1)</f>
        <v>#REF!</v>
      </c>
      <c r="BR41" s="24" t="e">
        <f>SUMIFS(#REF!,#REF!,$B41,#REF!,BR$1)</f>
        <v>#REF!</v>
      </c>
      <c r="BS41" s="24" t="e">
        <f>SUMIFS(#REF!,#REF!,$B41,#REF!,BS$1)</f>
        <v>#REF!</v>
      </c>
      <c r="BT41" s="24" t="e">
        <f>SUMIFS(#REF!,#REF!,$B41,#REF!,BT$1)</f>
        <v>#REF!</v>
      </c>
      <c r="BU41" s="24" t="e">
        <f>SUMIFS(#REF!,#REF!,$B41,#REF!,BU$1)</f>
        <v>#REF!</v>
      </c>
      <c r="BV41" s="24" t="e">
        <f>SUMIFS(#REF!,#REF!,$B41,#REF!,BV$1)</f>
        <v>#REF!</v>
      </c>
      <c r="BW41" s="24" t="e">
        <f>SUMIFS(#REF!,#REF!,$B41,#REF!,BW$1)</f>
        <v>#REF!</v>
      </c>
      <c r="BX41" s="24" t="e">
        <f>SUMIFS(#REF!,#REF!,$B41,#REF!,BX$1)</f>
        <v>#REF!</v>
      </c>
      <c r="BY41" s="24" t="e">
        <f>SUMIFS(#REF!,#REF!,$B41,#REF!,BY$1)</f>
        <v>#REF!</v>
      </c>
      <c r="BZ41" s="24" t="e">
        <f>SUMIFS(#REF!,#REF!,$B41,#REF!,BZ$1)</f>
        <v>#REF!</v>
      </c>
      <c r="CA41" s="24" t="e">
        <f>SUMIFS(#REF!,#REF!,$B41,#REF!,CA$1)</f>
        <v>#REF!</v>
      </c>
      <c r="CB41" s="24" t="e">
        <f>SUMIFS(#REF!,#REF!,$B41,#REF!,CB$1)</f>
        <v>#REF!</v>
      </c>
      <c r="CC41" s="24" t="e">
        <f>SUMIFS(#REF!,#REF!,$B41,#REF!,CC$1)</f>
        <v>#REF!</v>
      </c>
      <c r="CD41" s="24" t="e">
        <f>SUMIFS(#REF!,#REF!,$B41,#REF!,CD$1)</f>
        <v>#REF!</v>
      </c>
      <c r="CE41" s="24" t="e">
        <f>SUMIFS(#REF!,#REF!,$B41,#REF!,CE$1)</f>
        <v>#REF!</v>
      </c>
      <c r="CF41" s="24" t="e">
        <f>SUMIFS(#REF!,#REF!,$B41,#REF!,CF$1)</f>
        <v>#REF!</v>
      </c>
      <c r="CG41" s="19" t="e">
        <f t="shared" si="0"/>
        <v>#REF!</v>
      </c>
    </row>
    <row r="42" spans="1:85" x14ac:dyDescent="0.45">
      <c r="A42" s="4" t="s">
        <v>1065</v>
      </c>
      <c r="B42" s="4" t="s">
        <v>1066</v>
      </c>
      <c r="C42" s="24" t="e">
        <f>SUMIFS(#REF!,#REF!,$B42,#REF!,C$1)</f>
        <v>#REF!</v>
      </c>
      <c r="D42" s="24" t="e">
        <f>SUMIFS(#REF!,#REF!,$B42,#REF!,D$1)</f>
        <v>#REF!</v>
      </c>
      <c r="E42" s="24" t="e">
        <f>SUMIFS(#REF!,#REF!,$B42,#REF!,E$1)</f>
        <v>#REF!</v>
      </c>
      <c r="F42" s="24" t="e">
        <f>SUMIFS(#REF!,#REF!,$B42,#REF!,F$1)</f>
        <v>#REF!</v>
      </c>
      <c r="G42" s="24" t="e">
        <f>SUMIFS(#REF!,#REF!,$B42,#REF!,G$1)</f>
        <v>#REF!</v>
      </c>
      <c r="H42" s="24" t="e">
        <f>SUMIFS(#REF!,#REF!,$B42,#REF!,H$1)</f>
        <v>#REF!</v>
      </c>
      <c r="I42" s="24" t="e">
        <f>SUMIFS(#REF!,#REF!,$B42,#REF!,I$1)</f>
        <v>#REF!</v>
      </c>
      <c r="J42" s="24" t="e">
        <f>SUMIFS(#REF!,#REF!,$B42,#REF!,J$1)</f>
        <v>#REF!</v>
      </c>
      <c r="K42" s="24" t="e">
        <f>SUMIFS(#REF!,#REF!,$B42,#REF!,K$1)</f>
        <v>#REF!</v>
      </c>
      <c r="L42" s="24" t="e">
        <f>SUMIFS(#REF!,#REF!,$B42,#REF!,L$1)</f>
        <v>#REF!</v>
      </c>
      <c r="M42" s="24" t="e">
        <f>SUMIFS(#REF!,#REF!,$B42,#REF!,M$1)</f>
        <v>#REF!</v>
      </c>
      <c r="N42" s="24" t="e">
        <f>SUMIFS(#REF!,#REF!,$B42,#REF!,N$1)</f>
        <v>#REF!</v>
      </c>
      <c r="O42" s="24" t="e">
        <f>SUMIFS(#REF!,#REF!,$B42,#REF!,O$1)</f>
        <v>#REF!</v>
      </c>
      <c r="P42" s="24" t="e">
        <f>SUMIFS(#REF!,#REF!,$B42,#REF!,P$1)</f>
        <v>#REF!</v>
      </c>
      <c r="Q42" s="24" t="e">
        <f>SUMIFS(#REF!,#REF!,$B42,#REF!,Q$1)</f>
        <v>#REF!</v>
      </c>
      <c r="R42" s="24" t="e">
        <f>SUMIFS(#REF!,#REF!,$B42,#REF!,R$1)</f>
        <v>#REF!</v>
      </c>
      <c r="S42" s="24" t="e">
        <f>SUMIFS(#REF!,#REF!,$B42,#REF!,S$1)</f>
        <v>#REF!</v>
      </c>
      <c r="T42" s="24" t="e">
        <f>SUMIFS(#REF!,#REF!,$B42,#REF!,T$1)</f>
        <v>#REF!</v>
      </c>
      <c r="U42" s="24" t="e">
        <f>SUMIFS(#REF!,#REF!,$B42,#REF!,U$1)</f>
        <v>#REF!</v>
      </c>
      <c r="V42" s="24" t="e">
        <f>SUMIFS(#REF!,#REF!,$B42,#REF!,V$1)</f>
        <v>#REF!</v>
      </c>
      <c r="W42" s="24" t="e">
        <f>SUMIFS(#REF!,#REF!,$B42,#REF!,W$1)</f>
        <v>#REF!</v>
      </c>
      <c r="X42" s="24" t="e">
        <f>SUMIFS(#REF!,#REF!,$B42,#REF!,X$1)</f>
        <v>#REF!</v>
      </c>
      <c r="Y42" s="24" t="e">
        <f>SUMIFS(#REF!,#REF!,$B42,#REF!,Y$1)</f>
        <v>#REF!</v>
      </c>
      <c r="Z42" s="24" t="e">
        <f>SUMIFS(#REF!,#REF!,$B42,#REF!,Z$1)</f>
        <v>#REF!</v>
      </c>
      <c r="AA42" s="24" t="e">
        <f>SUMIFS(#REF!,#REF!,$B42,#REF!,AA$1)</f>
        <v>#REF!</v>
      </c>
      <c r="AB42" s="24" t="e">
        <f>SUMIFS(#REF!,#REF!,$B42,#REF!,AB$1)</f>
        <v>#REF!</v>
      </c>
      <c r="AC42" s="24" t="e">
        <f>SUMIFS(#REF!,#REF!,$B42,#REF!,AC$1)</f>
        <v>#REF!</v>
      </c>
      <c r="AD42" s="24" t="e">
        <f>SUMIFS(#REF!,#REF!,$B42,#REF!,AD$1)</f>
        <v>#REF!</v>
      </c>
      <c r="AE42" s="24" t="e">
        <f>SUMIFS(#REF!,#REF!,$B42,#REF!,AE$1)</f>
        <v>#REF!</v>
      </c>
      <c r="AF42" s="24" t="e">
        <f>SUMIFS(#REF!,#REF!,$B42,#REF!,AF$1)</f>
        <v>#REF!</v>
      </c>
      <c r="AG42" s="24" t="e">
        <f>SUMIFS(#REF!,#REF!,$B42,#REF!,AG$1)</f>
        <v>#REF!</v>
      </c>
      <c r="AH42" s="24" t="e">
        <f>SUMIFS(#REF!,#REF!,$B42,#REF!,AH$1)</f>
        <v>#REF!</v>
      </c>
      <c r="AI42" s="24" t="e">
        <f>SUMIFS(#REF!,#REF!,$B42,#REF!,AI$1)</f>
        <v>#REF!</v>
      </c>
      <c r="AJ42" s="24" t="e">
        <f>SUMIFS(#REF!,#REF!,$B42,#REF!,AJ$1)</f>
        <v>#REF!</v>
      </c>
      <c r="AK42" s="24" t="e">
        <f>SUMIFS(#REF!,#REF!,$B42,#REF!,AK$1)</f>
        <v>#REF!</v>
      </c>
      <c r="AL42" s="24" t="e">
        <f>SUMIFS(#REF!,#REF!,$B42,#REF!,AL$1)</f>
        <v>#REF!</v>
      </c>
      <c r="AM42" s="24" t="e">
        <f>SUMIFS(#REF!,#REF!,$B42,#REF!,AM$1)</f>
        <v>#REF!</v>
      </c>
      <c r="AN42" s="24" t="e">
        <f>SUMIFS(#REF!,#REF!,$B42,#REF!,AN$1)</f>
        <v>#REF!</v>
      </c>
      <c r="AO42" s="24" t="e">
        <f>SUMIFS(#REF!,#REF!,$B42,#REF!,AO$1)</f>
        <v>#REF!</v>
      </c>
      <c r="AP42" s="24" t="e">
        <f>SUMIFS(#REF!,#REF!,$B42,#REF!,AP$1)</f>
        <v>#REF!</v>
      </c>
      <c r="AQ42" s="24" t="e">
        <f>SUMIFS(#REF!,#REF!,$B42,#REF!,AQ$1)</f>
        <v>#REF!</v>
      </c>
      <c r="AR42" s="24" t="e">
        <f>SUMIFS(#REF!,#REF!,$B42,#REF!,AR$1)</f>
        <v>#REF!</v>
      </c>
      <c r="AS42" s="24" t="e">
        <f>SUMIFS(#REF!,#REF!,$B42,#REF!,AS$1)</f>
        <v>#REF!</v>
      </c>
      <c r="AT42" s="24" t="e">
        <f>SUMIFS(#REF!,#REF!,$B42,#REF!,AT$1)</f>
        <v>#REF!</v>
      </c>
      <c r="AU42" s="24" t="e">
        <f>SUMIFS(#REF!,#REF!,$B42,#REF!,AU$1)</f>
        <v>#REF!</v>
      </c>
      <c r="AV42" s="24" t="e">
        <f>SUMIFS(#REF!,#REF!,$B42,#REF!,AV$1)</f>
        <v>#REF!</v>
      </c>
      <c r="AW42" s="24" t="e">
        <f>SUMIFS(#REF!,#REF!,$B42,#REF!,AW$1)</f>
        <v>#REF!</v>
      </c>
      <c r="AX42" s="24" t="e">
        <f>SUMIFS(#REF!,#REF!,$B42,#REF!,AX$1)</f>
        <v>#REF!</v>
      </c>
      <c r="AY42" s="24" t="e">
        <f>SUMIFS(#REF!,#REF!,$B42,#REF!,AY$1)</f>
        <v>#REF!</v>
      </c>
      <c r="AZ42" s="24" t="e">
        <f>SUMIFS(#REF!,#REF!,$B42,#REF!,AZ$1)</f>
        <v>#REF!</v>
      </c>
      <c r="BA42" s="24" t="e">
        <f>SUMIFS(#REF!,#REF!,$B42,#REF!,BA$1)</f>
        <v>#REF!</v>
      </c>
      <c r="BB42" s="24" t="e">
        <f>SUMIFS(#REF!,#REF!,$B42,#REF!,BB$1)</f>
        <v>#REF!</v>
      </c>
      <c r="BC42" s="24" t="e">
        <f>SUMIFS(#REF!,#REF!,$B42,#REF!,BC$1)</f>
        <v>#REF!</v>
      </c>
      <c r="BD42" s="24" t="e">
        <f>SUMIFS(#REF!,#REF!,$B42,#REF!,BD$1)</f>
        <v>#REF!</v>
      </c>
      <c r="BE42" s="24" t="e">
        <f>SUMIFS(#REF!,#REF!,$B42,#REF!,BE$1)</f>
        <v>#REF!</v>
      </c>
      <c r="BF42" s="24" t="e">
        <f>SUMIFS(#REF!,#REF!,$B42,#REF!,BF$1)</f>
        <v>#REF!</v>
      </c>
      <c r="BG42" s="24" t="e">
        <f>SUMIFS(#REF!,#REF!,$B42,#REF!,BG$1)</f>
        <v>#REF!</v>
      </c>
      <c r="BH42" s="24" t="e">
        <f>SUMIFS(#REF!,#REF!,$B42,#REF!,BH$1)</f>
        <v>#REF!</v>
      </c>
      <c r="BI42" s="24" t="e">
        <f>SUMIFS(#REF!,#REF!,$B42,#REF!,BI$1)</f>
        <v>#REF!</v>
      </c>
      <c r="BJ42" s="24" t="e">
        <f>SUMIFS(#REF!,#REF!,$B42,#REF!,BJ$1)</f>
        <v>#REF!</v>
      </c>
      <c r="BK42" s="24" t="e">
        <f>SUMIFS(#REF!,#REF!,$B42,#REF!,BK$1)</f>
        <v>#REF!</v>
      </c>
      <c r="BL42" s="24" t="e">
        <f>SUMIFS(#REF!,#REF!,$B42,#REF!,BL$1)</f>
        <v>#REF!</v>
      </c>
      <c r="BM42" s="24" t="e">
        <f>SUMIFS(#REF!,#REF!,$B42,#REF!,BM$1)</f>
        <v>#REF!</v>
      </c>
      <c r="BN42" s="24" t="e">
        <f>SUMIFS(#REF!,#REF!,$B42,#REF!,BN$1)</f>
        <v>#REF!</v>
      </c>
      <c r="BO42" s="24" t="e">
        <f>SUMIFS(#REF!,#REF!,$B42,#REF!,BO$1)</f>
        <v>#REF!</v>
      </c>
      <c r="BP42" s="24" t="e">
        <f>SUMIFS(#REF!,#REF!,$B42,#REF!,BP$1)</f>
        <v>#REF!</v>
      </c>
      <c r="BQ42" s="24" t="e">
        <f>SUMIFS(#REF!,#REF!,$B42,#REF!,BQ$1)</f>
        <v>#REF!</v>
      </c>
      <c r="BR42" s="24" t="e">
        <f>SUMIFS(#REF!,#REF!,$B42,#REF!,BR$1)</f>
        <v>#REF!</v>
      </c>
      <c r="BS42" s="24" t="e">
        <f>SUMIFS(#REF!,#REF!,$B42,#REF!,BS$1)</f>
        <v>#REF!</v>
      </c>
      <c r="BT42" s="24" t="e">
        <f>SUMIFS(#REF!,#REF!,$B42,#REF!,BT$1)</f>
        <v>#REF!</v>
      </c>
      <c r="BU42" s="24" t="e">
        <f>SUMIFS(#REF!,#REF!,$B42,#REF!,BU$1)</f>
        <v>#REF!</v>
      </c>
      <c r="BV42" s="24" t="e">
        <f>SUMIFS(#REF!,#REF!,$B42,#REF!,BV$1)</f>
        <v>#REF!</v>
      </c>
      <c r="BW42" s="24" t="e">
        <f>SUMIFS(#REF!,#REF!,$B42,#REF!,BW$1)</f>
        <v>#REF!</v>
      </c>
      <c r="BX42" s="24" t="e">
        <f>SUMIFS(#REF!,#REF!,$B42,#REF!,BX$1)</f>
        <v>#REF!</v>
      </c>
      <c r="BY42" s="24" t="e">
        <f>SUMIFS(#REF!,#REF!,$B42,#REF!,BY$1)</f>
        <v>#REF!</v>
      </c>
      <c r="BZ42" s="24" t="e">
        <f>SUMIFS(#REF!,#REF!,$B42,#REF!,BZ$1)</f>
        <v>#REF!</v>
      </c>
      <c r="CA42" s="24" t="e">
        <f>SUMIFS(#REF!,#REF!,$B42,#REF!,CA$1)</f>
        <v>#REF!</v>
      </c>
      <c r="CB42" s="24" t="e">
        <f>SUMIFS(#REF!,#REF!,$B42,#REF!,CB$1)</f>
        <v>#REF!</v>
      </c>
      <c r="CC42" s="24" t="e">
        <f>SUMIFS(#REF!,#REF!,$B42,#REF!,CC$1)</f>
        <v>#REF!</v>
      </c>
      <c r="CD42" s="24" t="e">
        <f>SUMIFS(#REF!,#REF!,$B42,#REF!,CD$1)</f>
        <v>#REF!</v>
      </c>
      <c r="CE42" s="24" t="e">
        <f>SUMIFS(#REF!,#REF!,$B42,#REF!,CE$1)</f>
        <v>#REF!</v>
      </c>
      <c r="CF42" s="24" t="e">
        <f>SUMIFS(#REF!,#REF!,$B42,#REF!,CF$1)</f>
        <v>#REF!</v>
      </c>
      <c r="CG42" s="19" t="e">
        <f t="shared" si="0"/>
        <v>#REF!</v>
      </c>
    </row>
    <row r="43" spans="1:85" x14ac:dyDescent="0.45">
      <c r="A43" s="4" t="s">
        <v>1067</v>
      </c>
      <c r="B43" s="4" t="s">
        <v>1068</v>
      </c>
      <c r="C43" s="24" t="e">
        <f>SUMIFS(#REF!,#REF!,$B43,#REF!,C$1)</f>
        <v>#REF!</v>
      </c>
      <c r="D43" s="24" t="e">
        <f>SUMIFS(#REF!,#REF!,$B43,#REF!,D$1)</f>
        <v>#REF!</v>
      </c>
      <c r="E43" s="24" t="e">
        <f>SUMIFS(#REF!,#REF!,$B43,#REF!,E$1)</f>
        <v>#REF!</v>
      </c>
      <c r="F43" s="24" t="e">
        <f>SUMIFS(#REF!,#REF!,$B43,#REF!,F$1)</f>
        <v>#REF!</v>
      </c>
      <c r="G43" s="24" t="e">
        <f>SUMIFS(#REF!,#REF!,$B43,#REF!,G$1)</f>
        <v>#REF!</v>
      </c>
      <c r="H43" s="24" t="e">
        <f>SUMIFS(#REF!,#REF!,$B43,#REF!,H$1)</f>
        <v>#REF!</v>
      </c>
      <c r="I43" s="24" t="e">
        <f>SUMIFS(#REF!,#REF!,$B43,#REF!,I$1)</f>
        <v>#REF!</v>
      </c>
      <c r="J43" s="24" t="e">
        <f>SUMIFS(#REF!,#REF!,$B43,#REF!,J$1)</f>
        <v>#REF!</v>
      </c>
      <c r="K43" s="24" t="e">
        <f>SUMIFS(#REF!,#REF!,$B43,#REF!,K$1)</f>
        <v>#REF!</v>
      </c>
      <c r="L43" s="24" t="e">
        <f>SUMIFS(#REF!,#REF!,$B43,#REF!,L$1)</f>
        <v>#REF!</v>
      </c>
      <c r="M43" s="24" t="e">
        <f>SUMIFS(#REF!,#REF!,$B43,#REF!,M$1)</f>
        <v>#REF!</v>
      </c>
      <c r="N43" s="24" t="e">
        <f>SUMIFS(#REF!,#REF!,$B43,#REF!,N$1)</f>
        <v>#REF!</v>
      </c>
      <c r="O43" s="24" t="e">
        <f>SUMIFS(#REF!,#REF!,$B43,#REF!,O$1)</f>
        <v>#REF!</v>
      </c>
      <c r="P43" s="24" t="e">
        <f>SUMIFS(#REF!,#REF!,$B43,#REF!,P$1)</f>
        <v>#REF!</v>
      </c>
      <c r="Q43" s="24" t="e">
        <f>SUMIFS(#REF!,#REF!,$B43,#REF!,Q$1)</f>
        <v>#REF!</v>
      </c>
      <c r="R43" s="24" t="e">
        <f>SUMIFS(#REF!,#REF!,$B43,#REF!,R$1)</f>
        <v>#REF!</v>
      </c>
      <c r="S43" s="24" t="e">
        <f>SUMIFS(#REF!,#REF!,$B43,#REF!,S$1)</f>
        <v>#REF!</v>
      </c>
      <c r="T43" s="24" t="e">
        <f>SUMIFS(#REF!,#REF!,$B43,#REF!,T$1)</f>
        <v>#REF!</v>
      </c>
      <c r="U43" s="24" t="e">
        <f>SUMIFS(#REF!,#REF!,$B43,#REF!,U$1)</f>
        <v>#REF!</v>
      </c>
      <c r="V43" s="24" t="e">
        <f>SUMIFS(#REF!,#REF!,$B43,#REF!,V$1)</f>
        <v>#REF!</v>
      </c>
      <c r="W43" s="24" t="e">
        <f>SUMIFS(#REF!,#REF!,$B43,#REF!,W$1)</f>
        <v>#REF!</v>
      </c>
      <c r="X43" s="24" t="e">
        <f>SUMIFS(#REF!,#REF!,$B43,#REF!,X$1)</f>
        <v>#REF!</v>
      </c>
      <c r="Y43" s="24" t="e">
        <f>SUMIFS(#REF!,#REF!,$B43,#REF!,Y$1)</f>
        <v>#REF!</v>
      </c>
      <c r="Z43" s="24" t="e">
        <f>SUMIFS(#REF!,#REF!,$B43,#REF!,Z$1)</f>
        <v>#REF!</v>
      </c>
      <c r="AA43" s="24" t="e">
        <f>SUMIFS(#REF!,#REF!,$B43,#REF!,AA$1)</f>
        <v>#REF!</v>
      </c>
      <c r="AB43" s="24" t="e">
        <f>SUMIFS(#REF!,#REF!,$B43,#REF!,AB$1)</f>
        <v>#REF!</v>
      </c>
      <c r="AC43" s="24" t="e">
        <f>SUMIFS(#REF!,#REF!,$B43,#REF!,AC$1)</f>
        <v>#REF!</v>
      </c>
      <c r="AD43" s="24" t="e">
        <f>SUMIFS(#REF!,#REF!,$B43,#REF!,AD$1)</f>
        <v>#REF!</v>
      </c>
      <c r="AE43" s="24" t="e">
        <f>SUMIFS(#REF!,#REF!,$B43,#REF!,AE$1)</f>
        <v>#REF!</v>
      </c>
      <c r="AF43" s="24" t="e">
        <f>SUMIFS(#REF!,#REF!,$B43,#REF!,AF$1)</f>
        <v>#REF!</v>
      </c>
      <c r="AG43" s="24" t="e">
        <f>SUMIFS(#REF!,#REF!,$B43,#REF!,AG$1)</f>
        <v>#REF!</v>
      </c>
      <c r="AH43" s="24" t="e">
        <f>SUMIFS(#REF!,#REF!,$B43,#REF!,AH$1)</f>
        <v>#REF!</v>
      </c>
      <c r="AI43" s="24" t="e">
        <f>SUMIFS(#REF!,#REF!,$B43,#REF!,AI$1)</f>
        <v>#REF!</v>
      </c>
      <c r="AJ43" s="24" t="e">
        <f>SUMIFS(#REF!,#REF!,$B43,#REF!,AJ$1)</f>
        <v>#REF!</v>
      </c>
      <c r="AK43" s="24" t="e">
        <f>SUMIFS(#REF!,#REF!,$B43,#REF!,AK$1)</f>
        <v>#REF!</v>
      </c>
      <c r="AL43" s="24" t="e">
        <f>SUMIFS(#REF!,#REF!,$B43,#REF!,AL$1)</f>
        <v>#REF!</v>
      </c>
      <c r="AM43" s="24" t="e">
        <f>SUMIFS(#REF!,#REF!,$B43,#REF!,AM$1)</f>
        <v>#REF!</v>
      </c>
      <c r="AN43" s="24" t="e">
        <f>SUMIFS(#REF!,#REF!,$B43,#REF!,AN$1)</f>
        <v>#REF!</v>
      </c>
      <c r="AO43" s="24" t="e">
        <f>SUMIFS(#REF!,#REF!,$B43,#REF!,AO$1)</f>
        <v>#REF!</v>
      </c>
      <c r="AP43" s="24" t="e">
        <f>SUMIFS(#REF!,#REF!,$B43,#REF!,AP$1)</f>
        <v>#REF!</v>
      </c>
      <c r="AQ43" s="24" t="e">
        <f>SUMIFS(#REF!,#REF!,$B43,#REF!,AQ$1)</f>
        <v>#REF!</v>
      </c>
      <c r="AR43" s="24" t="e">
        <f>SUMIFS(#REF!,#REF!,$B43,#REF!,AR$1)</f>
        <v>#REF!</v>
      </c>
      <c r="AS43" s="24" t="e">
        <f>SUMIFS(#REF!,#REF!,$B43,#REF!,AS$1)</f>
        <v>#REF!</v>
      </c>
      <c r="AT43" s="24" t="e">
        <f>SUMIFS(#REF!,#REF!,$B43,#REF!,AT$1)</f>
        <v>#REF!</v>
      </c>
      <c r="AU43" s="24" t="e">
        <f>SUMIFS(#REF!,#REF!,$B43,#REF!,AU$1)</f>
        <v>#REF!</v>
      </c>
      <c r="AV43" s="24" t="e">
        <f>SUMIFS(#REF!,#REF!,$B43,#REF!,AV$1)</f>
        <v>#REF!</v>
      </c>
      <c r="AW43" s="24" t="e">
        <f>SUMIFS(#REF!,#REF!,$B43,#REF!,AW$1)</f>
        <v>#REF!</v>
      </c>
      <c r="AX43" s="24" t="e">
        <f>SUMIFS(#REF!,#REF!,$B43,#REF!,AX$1)</f>
        <v>#REF!</v>
      </c>
      <c r="AY43" s="24" t="e">
        <f>SUMIFS(#REF!,#REF!,$B43,#REF!,AY$1)</f>
        <v>#REF!</v>
      </c>
      <c r="AZ43" s="24" t="e">
        <f>SUMIFS(#REF!,#REF!,$B43,#REF!,AZ$1)</f>
        <v>#REF!</v>
      </c>
      <c r="BA43" s="24" t="e">
        <f>SUMIFS(#REF!,#REF!,$B43,#REF!,BA$1)</f>
        <v>#REF!</v>
      </c>
      <c r="BB43" s="24" t="e">
        <f>SUMIFS(#REF!,#REF!,$B43,#REF!,BB$1)</f>
        <v>#REF!</v>
      </c>
      <c r="BC43" s="24" t="e">
        <f>SUMIFS(#REF!,#REF!,$B43,#REF!,BC$1)</f>
        <v>#REF!</v>
      </c>
      <c r="BD43" s="24" t="e">
        <f>SUMIFS(#REF!,#REF!,$B43,#REF!,BD$1)</f>
        <v>#REF!</v>
      </c>
      <c r="BE43" s="24" t="e">
        <f>SUMIFS(#REF!,#REF!,$B43,#REF!,BE$1)</f>
        <v>#REF!</v>
      </c>
      <c r="BF43" s="24" t="e">
        <f>SUMIFS(#REF!,#REF!,$B43,#REF!,BF$1)</f>
        <v>#REF!</v>
      </c>
      <c r="BG43" s="24" t="e">
        <f>SUMIFS(#REF!,#REF!,$B43,#REF!,BG$1)</f>
        <v>#REF!</v>
      </c>
      <c r="BH43" s="24" t="e">
        <f>SUMIFS(#REF!,#REF!,$B43,#REF!,BH$1)</f>
        <v>#REF!</v>
      </c>
      <c r="BI43" s="24" t="e">
        <f>SUMIFS(#REF!,#REF!,$B43,#REF!,BI$1)</f>
        <v>#REF!</v>
      </c>
      <c r="BJ43" s="24" t="e">
        <f>SUMIFS(#REF!,#REF!,$B43,#REF!,BJ$1)</f>
        <v>#REF!</v>
      </c>
      <c r="BK43" s="24" t="e">
        <f>SUMIFS(#REF!,#REF!,$B43,#REF!,BK$1)</f>
        <v>#REF!</v>
      </c>
      <c r="BL43" s="24" t="e">
        <f>SUMIFS(#REF!,#REF!,$B43,#REF!,BL$1)</f>
        <v>#REF!</v>
      </c>
      <c r="BM43" s="24" t="e">
        <f>SUMIFS(#REF!,#REF!,$B43,#REF!,BM$1)</f>
        <v>#REF!</v>
      </c>
      <c r="BN43" s="24" t="e">
        <f>SUMIFS(#REF!,#REF!,$B43,#REF!,BN$1)</f>
        <v>#REF!</v>
      </c>
      <c r="BO43" s="24" t="e">
        <f>SUMIFS(#REF!,#REF!,$B43,#REF!,BO$1)</f>
        <v>#REF!</v>
      </c>
      <c r="BP43" s="24" t="e">
        <f>SUMIFS(#REF!,#REF!,$B43,#REF!,BP$1)</f>
        <v>#REF!</v>
      </c>
      <c r="BQ43" s="24" t="e">
        <f>SUMIFS(#REF!,#REF!,$B43,#REF!,BQ$1)</f>
        <v>#REF!</v>
      </c>
      <c r="BR43" s="24" t="e">
        <f>SUMIFS(#REF!,#REF!,$B43,#REF!,BR$1)</f>
        <v>#REF!</v>
      </c>
      <c r="BS43" s="24" t="e">
        <f>SUMIFS(#REF!,#REF!,$B43,#REF!,BS$1)</f>
        <v>#REF!</v>
      </c>
      <c r="BT43" s="24" t="e">
        <f>SUMIFS(#REF!,#REF!,$B43,#REF!,BT$1)</f>
        <v>#REF!</v>
      </c>
      <c r="BU43" s="24" t="e">
        <f>SUMIFS(#REF!,#REF!,$B43,#REF!,BU$1)</f>
        <v>#REF!</v>
      </c>
      <c r="BV43" s="24" t="e">
        <f>SUMIFS(#REF!,#REF!,$B43,#REF!,BV$1)</f>
        <v>#REF!</v>
      </c>
      <c r="BW43" s="24" t="e">
        <f>SUMIFS(#REF!,#REF!,$B43,#REF!,BW$1)</f>
        <v>#REF!</v>
      </c>
      <c r="BX43" s="24" t="e">
        <f>SUMIFS(#REF!,#REF!,$B43,#REF!,BX$1)</f>
        <v>#REF!</v>
      </c>
      <c r="BY43" s="24" t="e">
        <f>SUMIFS(#REF!,#REF!,$B43,#REF!,BY$1)</f>
        <v>#REF!</v>
      </c>
      <c r="BZ43" s="24" t="e">
        <f>SUMIFS(#REF!,#REF!,$B43,#REF!,BZ$1)</f>
        <v>#REF!</v>
      </c>
      <c r="CA43" s="24" t="e">
        <f>SUMIFS(#REF!,#REF!,$B43,#REF!,CA$1)</f>
        <v>#REF!</v>
      </c>
      <c r="CB43" s="24" t="e">
        <f>SUMIFS(#REF!,#REF!,$B43,#REF!,CB$1)</f>
        <v>#REF!</v>
      </c>
      <c r="CC43" s="24" t="e">
        <f>SUMIFS(#REF!,#REF!,$B43,#REF!,CC$1)</f>
        <v>#REF!</v>
      </c>
      <c r="CD43" s="24" t="e">
        <f>SUMIFS(#REF!,#REF!,$B43,#REF!,CD$1)</f>
        <v>#REF!</v>
      </c>
      <c r="CE43" s="24" t="e">
        <f>SUMIFS(#REF!,#REF!,$B43,#REF!,CE$1)</f>
        <v>#REF!</v>
      </c>
      <c r="CF43" s="24" t="e">
        <f>SUMIFS(#REF!,#REF!,$B43,#REF!,CF$1)</f>
        <v>#REF!</v>
      </c>
      <c r="CG43" s="19" t="e">
        <f t="shared" si="0"/>
        <v>#REF!</v>
      </c>
    </row>
    <row r="44" spans="1:85" x14ac:dyDescent="0.45">
      <c r="A44" s="4" t="s">
        <v>1069</v>
      </c>
      <c r="B44" s="4" t="s">
        <v>1070</v>
      </c>
      <c r="C44" s="24" t="e">
        <f>SUMIFS(#REF!,#REF!,$B44,#REF!,C$1)</f>
        <v>#REF!</v>
      </c>
      <c r="D44" s="24" t="e">
        <f>SUMIFS(#REF!,#REF!,$B44,#REF!,D$1)</f>
        <v>#REF!</v>
      </c>
      <c r="E44" s="24" t="e">
        <f>SUMIFS(#REF!,#REF!,$B44,#REF!,E$1)</f>
        <v>#REF!</v>
      </c>
      <c r="F44" s="24" t="e">
        <f>SUMIFS(#REF!,#REF!,$B44,#REF!,F$1)</f>
        <v>#REF!</v>
      </c>
      <c r="G44" s="24" t="e">
        <f>SUMIFS(#REF!,#REF!,$B44,#REF!,G$1)</f>
        <v>#REF!</v>
      </c>
      <c r="H44" s="24" t="e">
        <f>SUMIFS(#REF!,#REF!,$B44,#REF!,H$1)</f>
        <v>#REF!</v>
      </c>
      <c r="I44" s="24" t="e">
        <f>SUMIFS(#REF!,#REF!,$B44,#REF!,I$1)</f>
        <v>#REF!</v>
      </c>
      <c r="J44" s="24" t="e">
        <f>SUMIFS(#REF!,#REF!,$B44,#REF!,J$1)</f>
        <v>#REF!</v>
      </c>
      <c r="K44" s="24" t="e">
        <f>SUMIFS(#REF!,#REF!,$B44,#REF!,K$1)</f>
        <v>#REF!</v>
      </c>
      <c r="L44" s="24" t="e">
        <f>SUMIFS(#REF!,#REF!,$B44,#REF!,L$1)</f>
        <v>#REF!</v>
      </c>
      <c r="M44" s="24" t="e">
        <f>SUMIFS(#REF!,#REF!,$B44,#REF!,M$1)</f>
        <v>#REF!</v>
      </c>
      <c r="N44" s="24" t="e">
        <f>SUMIFS(#REF!,#REF!,$B44,#REF!,N$1)</f>
        <v>#REF!</v>
      </c>
      <c r="O44" s="24" t="e">
        <f>SUMIFS(#REF!,#REF!,$B44,#REF!,O$1)</f>
        <v>#REF!</v>
      </c>
      <c r="P44" s="24" t="e">
        <f>SUMIFS(#REF!,#REF!,$B44,#REF!,P$1)</f>
        <v>#REF!</v>
      </c>
      <c r="Q44" s="24" t="e">
        <f>SUMIFS(#REF!,#REF!,$B44,#REF!,Q$1)</f>
        <v>#REF!</v>
      </c>
      <c r="R44" s="24" t="e">
        <f>SUMIFS(#REF!,#REF!,$B44,#REF!,R$1)</f>
        <v>#REF!</v>
      </c>
      <c r="S44" s="24" t="e">
        <f>SUMIFS(#REF!,#REF!,$B44,#REF!,S$1)</f>
        <v>#REF!</v>
      </c>
      <c r="T44" s="24" t="e">
        <f>SUMIFS(#REF!,#REF!,$B44,#REF!,T$1)</f>
        <v>#REF!</v>
      </c>
      <c r="U44" s="24" t="e">
        <f>SUMIFS(#REF!,#REF!,$B44,#REF!,U$1)</f>
        <v>#REF!</v>
      </c>
      <c r="V44" s="24" t="e">
        <f>SUMIFS(#REF!,#REF!,$B44,#REF!,V$1)</f>
        <v>#REF!</v>
      </c>
      <c r="W44" s="24" t="e">
        <f>SUMIFS(#REF!,#REF!,$B44,#REF!,W$1)</f>
        <v>#REF!</v>
      </c>
      <c r="X44" s="24" t="e">
        <f>SUMIFS(#REF!,#REF!,$B44,#REF!,X$1)</f>
        <v>#REF!</v>
      </c>
      <c r="Y44" s="24" t="e">
        <f>SUMIFS(#REF!,#REF!,$B44,#REF!,Y$1)</f>
        <v>#REF!</v>
      </c>
      <c r="Z44" s="24" t="e">
        <f>SUMIFS(#REF!,#REF!,$B44,#REF!,Z$1)</f>
        <v>#REF!</v>
      </c>
      <c r="AA44" s="24" t="e">
        <f>SUMIFS(#REF!,#REF!,$B44,#REF!,AA$1)</f>
        <v>#REF!</v>
      </c>
      <c r="AB44" s="24" t="e">
        <f>SUMIFS(#REF!,#REF!,$B44,#REF!,AB$1)</f>
        <v>#REF!</v>
      </c>
      <c r="AC44" s="24" t="e">
        <f>SUMIFS(#REF!,#REF!,$B44,#REF!,AC$1)</f>
        <v>#REF!</v>
      </c>
      <c r="AD44" s="24" t="e">
        <f>SUMIFS(#REF!,#REF!,$B44,#REF!,AD$1)</f>
        <v>#REF!</v>
      </c>
      <c r="AE44" s="24" t="e">
        <f>SUMIFS(#REF!,#REF!,$B44,#REF!,AE$1)</f>
        <v>#REF!</v>
      </c>
      <c r="AF44" s="24" t="e">
        <f>SUMIFS(#REF!,#REF!,$B44,#REF!,AF$1)</f>
        <v>#REF!</v>
      </c>
      <c r="AG44" s="24" t="e">
        <f>SUMIFS(#REF!,#REF!,$B44,#REF!,AG$1)</f>
        <v>#REF!</v>
      </c>
      <c r="AH44" s="24" t="e">
        <f>SUMIFS(#REF!,#REF!,$B44,#REF!,AH$1)</f>
        <v>#REF!</v>
      </c>
      <c r="AI44" s="24" t="e">
        <f>SUMIFS(#REF!,#REF!,$B44,#REF!,AI$1)</f>
        <v>#REF!</v>
      </c>
      <c r="AJ44" s="24" t="e">
        <f>SUMIFS(#REF!,#REF!,$B44,#REF!,AJ$1)</f>
        <v>#REF!</v>
      </c>
      <c r="AK44" s="24" t="e">
        <f>SUMIFS(#REF!,#REF!,$B44,#REF!,AK$1)</f>
        <v>#REF!</v>
      </c>
      <c r="AL44" s="24" t="e">
        <f>SUMIFS(#REF!,#REF!,$B44,#REF!,AL$1)</f>
        <v>#REF!</v>
      </c>
      <c r="AM44" s="24" t="e">
        <f>SUMIFS(#REF!,#REF!,$B44,#REF!,AM$1)</f>
        <v>#REF!</v>
      </c>
      <c r="AN44" s="24" t="e">
        <f>SUMIFS(#REF!,#REF!,$B44,#REF!,AN$1)</f>
        <v>#REF!</v>
      </c>
      <c r="AO44" s="24" t="e">
        <f>SUMIFS(#REF!,#REF!,$B44,#REF!,AO$1)</f>
        <v>#REF!</v>
      </c>
      <c r="AP44" s="24" t="e">
        <f>SUMIFS(#REF!,#REF!,$B44,#REF!,AP$1)</f>
        <v>#REF!</v>
      </c>
      <c r="AQ44" s="24" t="e">
        <f>SUMIFS(#REF!,#REF!,$B44,#REF!,AQ$1)</f>
        <v>#REF!</v>
      </c>
      <c r="AR44" s="24" t="e">
        <f>SUMIFS(#REF!,#REF!,$B44,#REF!,AR$1)</f>
        <v>#REF!</v>
      </c>
      <c r="AS44" s="24" t="e">
        <f>SUMIFS(#REF!,#REF!,$B44,#REF!,AS$1)</f>
        <v>#REF!</v>
      </c>
      <c r="AT44" s="24" t="e">
        <f>SUMIFS(#REF!,#REF!,$B44,#REF!,AT$1)</f>
        <v>#REF!</v>
      </c>
      <c r="AU44" s="24" t="e">
        <f>SUMIFS(#REF!,#REF!,$B44,#REF!,AU$1)</f>
        <v>#REF!</v>
      </c>
      <c r="AV44" s="24" t="e">
        <f>SUMIFS(#REF!,#REF!,$B44,#REF!,AV$1)</f>
        <v>#REF!</v>
      </c>
      <c r="AW44" s="24" t="e">
        <f>SUMIFS(#REF!,#REF!,$B44,#REF!,AW$1)</f>
        <v>#REF!</v>
      </c>
      <c r="AX44" s="24" t="e">
        <f>SUMIFS(#REF!,#REF!,$B44,#REF!,AX$1)</f>
        <v>#REF!</v>
      </c>
      <c r="AY44" s="24" t="e">
        <f>SUMIFS(#REF!,#REF!,$B44,#REF!,AY$1)</f>
        <v>#REF!</v>
      </c>
      <c r="AZ44" s="24" t="e">
        <f>SUMIFS(#REF!,#REF!,$B44,#REF!,AZ$1)</f>
        <v>#REF!</v>
      </c>
      <c r="BA44" s="24" t="e">
        <f>SUMIFS(#REF!,#REF!,$B44,#REF!,BA$1)</f>
        <v>#REF!</v>
      </c>
      <c r="BB44" s="24" t="e">
        <f>SUMIFS(#REF!,#REF!,$B44,#REF!,BB$1)</f>
        <v>#REF!</v>
      </c>
      <c r="BC44" s="24" t="e">
        <f>SUMIFS(#REF!,#REF!,$B44,#REF!,BC$1)</f>
        <v>#REF!</v>
      </c>
      <c r="BD44" s="24" t="e">
        <f>SUMIFS(#REF!,#REF!,$B44,#REF!,BD$1)</f>
        <v>#REF!</v>
      </c>
      <c r="BE44" s="24" t="e">
        <f>SUMIFS(#REF!,#REF!,$B44,#REF!,BE$1)</f>
        <v>#REF!</v>
      </c>
      <c r="BF44" s="24" t="e">
        <f>SUMIFS(#REF!,#REF!,$B44,#REF!,BF$1)</f>
        <v>#REF!</v>
      </c>
      <c r="BG44" s="24" t="e">
        <f>SUMIFS(#REF!,#REF!,$B44,#REF!,BG$1)</f>
        <v>#REF!</v>
      </c>
      <c r="BH44" s="24" t="e">
        <f>SUMIFS(#REF!,#REF!,$B44,#REF!,BH$1)</f>
        <v>#REF!</v>
      </c>
      <c r="BI44" s="24" t="e">
        <f>SUMIFS(#REF!,#REF!,$B44,#REF!,BI$1)</f>
        <v>#REF!</v>
      </c>
      <c r="BJ44" s="24" t="e">
        <f>SUMIFS(#REF!,#REF!,$B44,#REF!,BJ$1)</f>
        <v>#REF!</v>
      </c>
      <c r="BK44" s="24" t="e">
        <f>SUMIFS(#REF!,#REF!,$B44,#REF!,BK$1)</f>
        <v>#REF!</v>
      </c>
      <c r="BL44" s="24" t="e">
        <f>SUMIFS(#REF!,#REF!,$B44,#REF!,BL$1)</f>
        <v>#REF!</v>
      </c>
      <c r="BM44" s="24" t="e">
        <f>SUMIFS(#REF!,#REF!,$B44,#REF!,BM$1)</f>
        <v>#REF!</v>
      </c>
      <c r="BN44" s="24" t="e">
        <f>SUMIFS(#REF!,#REF!,$B44,#REF!,BN$1)</f>
        <v>#REF!</v>
      </c>
      <c r="BO44" s="24" t="e">
        <f>SUMIFS(#REF!,#REF!,$B44,#REF!,BO$1)</f>
        <v>#REF!</v>
      </c>
      <c r="BP44" s="24" t="e">
        <f>SUMIFS(#REF!,#REF!,$B44,#REF!,BP$1)</f>
        <v>#REF!</v>
      </c>
      <c r="BQ44" s="24" t="e">
        <f>SUMIFS(#REF!,#REF!,$B44,#REF!,BQ$1)</f>
        <v>#REF!</v>
      </c>
      <c r="BR44" s="24" t="e">
        <f>SUMIFS(#REF!,#REF!,$B44,#REF!,BR$1)</f>
        <v>#REF!</v>
      </c>
      <c r="BS44" s="24" t="e">
        <f>SUMIFS(#REF!,#REF!,$B44,#REF!,BS$1)</f>
        <v>#REF!</v>
      </c>
      <c r="BT44" s="24" t="e">
        <f>SUMIFS(#REF!,#REF!,$B44,#REF!,BT$1)</f>
        <v>#REF!</v>
      </c>
      <c r="BU44" s="24" t="e">
        <f>SUMIFS(#REF!,#REF!,$B44,#REF!,BU$1)</f>
        <v>#REF!</v>
      </c>
      <c r="BV44" s="24" t="e">
        <f>SUMIFS(#REF!,#REF!,$B44,#REF!,BV$1)</f>
        <v>#REF!</v>
      </c>
      <c r="BW44" s="24" t="e">
        <f>SUMIFS(#REF!,#REF!,$B44,#REF!,BW$1)</f>
        <v>#REF!</v>
      </c>
      <c r="BX44" s="24" t="e">
        <f>SUMIFS(#REF!,#REF!,$B44,#REF!,BX$1)</f>
        <v>#REF!</v>
      </c>
      <c r="BY44" s="24" t="e">
        <f>SUMIFS(#REF!,#REF!,$B44,#REF!,BY$1)</f>
        <v>#REF!</v>
      </c>
      <c r="BZ44" s="24" t="e">
        <f>SUMIFS(#REF!,#REF!,$B44,#REF!,BZ$1)</f>
        <v>#REF!</v>
      </c>
      <c r="CA44" s="24" t="e">
        <f>SUMIFS(#REF!,#REF!,$B44,#REF!,CA$1)</f>
        <v>#REF!</v>
      </c>
      <c r="CB44" s="24" t="e">
        <f>SUMIFS(#REF!,#REF!,$B44,#REF!,CB$1)</f>
        <v>#REF!</v>
      </c>
      <c r="CC44" s="24" t="e">
        <f>SUMIFS(#REF!,#REF!,$B44,#REF!,CC$1)</f>
        <v>#REF!</v>
      </c>
      <c r="CD44" s="24" t="e">
        <f>SUMIFS(#REF!,#REF!,$B44,#REF!,CD$1)</f>
        <v>#REF!</v>
      </c>
      <c r="CE44" s="24" t="e">
        <f>SUMIFS(#REF!,#REF!,$B44,#REF!,CE$1)</f>
        <v>#REF!</v>
      </c>
      <c r="CF44" s="24" t="e">
        <f>SUMIFS(#REF!,#REF!,$B44,#REF!,CF$1)</f>
        <v>#REF!</v>
      </c>
      <c r="CG44" s="19" t="e">
        <f t="shared" si="0"/>
        <v>#REF!</v>
      </c>
    </row>
    <row r="45" spans="1:85" x14ac:dyDescent="0.45">
      <c r="A45" s="4" t="s">
        <v>1071</v>
      </c>
      <c r="B45" s="4" t="s">
        <v>1072</v>
      </c>
      <c r="C45" s="24" t="e">
        <f>SUMIFS(#REF!,#REF!,$B45,#REF!,C$1)</f>
        <v>#REF!</v>
      </c>
      <c r="D45" s="24" t="e">
        <f>SUMIFS(#REF!,#REF!,$B45,#REF!,D$1)</f>
        <v>#REF!</v>
      </c>
      <c r="E45" s="24" t="e">
        <f>SUMIFS(#REF!,#REF!,$B45,#REF!,E$1)</f>
        <v>#REF!</v>
      </c>
      <c r="F45" s="24" t="e">
        <f>SUMIFS(#REF!,#REF!,$B45,#REF!,F$1)</f>
        <v>#REF!</v>
      </c>
      <c r="G45" s="24" t="e">
        <f>SUMIFS(#REF!,#REF!,$B45,#REF!,G$1)</f>
        <v>#REF!</v>
      </c>
      <c r="H45" s="24" t="e">
        <f>SUMIFS(#REF!,#REF!,$B45,#REF!,H$1)</f>
        <v>#REF!</v>
      </c>
      <c r="I45" s="24" t="e">
        <f>SUMIFS(#REF!,#REF!,$B45,#REF!,I$1)</f>
        <v>#REF!</v>
      </c>
      <c r="J45" s="24" t="e">
        <f>SUMIFS(#REF!,#REF!,$B45,#REF!,J$1)</f>
        <v>#REF!</v>
      </c>
      <c r="K45" s="24" t="e">
        <f>SUMIFS(#REF!,#REF!,$B45,#REF!,K$1)</f>
        <v>#REF!</v>
      </c>
      <c r="L45" s="24" t="e">
        <f>SUMIFS(#REF!,#REF!,$B45,#REF!,L$1)</f>
        <v>#REF!</v>
      </c>
      <c r="M45" s="24" t="e">
        <f>SUMIFS(#REF!,#REF!,$B45,#REF!,M$1)</f>
        <v>#REF!</v>
      </c>
      <c r="N45" s="24" t="e">
        <f>SUMIFS(#REF!,#REF!,$B45,#REF!,N$1)</f>
        <v>#REF!</v>
      </c>
      <c r="O45" s="24" t="e">
        <f>SUMIFS(#REF!,#REF!,$B45,#REF!,O$1)</f>
        <v>#REF!</v>
      </c>
      <c r="P45" s="24" t="e">
        <f>SUMIFS(#REF!,#REF!,$B45,#REF!,P$1)</f>
        <v>#REF!</v>
      </c>
      <c r="Q45" s="24" t="e">
        <f>SUMIFS(#REF!,#REF!,$B45,#REF!,Q$1)</f>
        <v>#REF!</v>
      </c>
      <c r="R45" s="24" t="e">
        <f>SUMIFS(#REF!,#REF!,$B45,#REF!,R$1)</f>
        <v>#REF!</v>
      </c>
      <c r="S45" s="24" t="e">
        <f>SUMIFS(#REF!,#REF!,$B45,#REF!,S$1)</f>
        <v>#REF!</v>
      </c>
      <c r="T45" s="24" t="e">
        <f>SUMIFS(#REF!,#REF!,$B45,#REF!,T$1)</f>
        <v>#REF!</v>
      </c>
      <c r="U45" s="24" t="e">
        <f>SUMIFS(#REF!,#REF!,$B45,#REF!,U$1)</f>
        <v>#REF!</v>
      </c>
      <c r="V45" s="24" t="e">
        <f>SUMIFS(#REF!,#REF!,$B45,#REF!,V$1)</f>
        <v>#REF!</v>
      </c>
      <c r="W45" s="24" t="e">
        <f>SUMIFS(#REF!,#REF!,$B45,#REF!,W$1)</f>
        <v>#REF!</v>
      </c>
      <c r="X45" s="24" t="e">
        <f>SUMIFS(#REF!,#REF!,$B45,#REF!,X$1)</f>
        <v>#REF!</v>
      </c>
      <c r="Y45" s="24" t="e">
        <f>SUMIFS(#REF!,#REF!,$B45,#REF!,Y$1)</f>
        <v>#REF!</v>
      </c>
      <c r="Z45" s="24" t="e">
        <f>SUMIFS(#REF!,#REF!,$B45,#REF!,Z$1)</f>
        <v>#REF!</v>
      </c>
      <c r="AA45" s="24" t="e">
        <f>SUMIFS(#REF!,#REF!,$B45,#REF!,AA$1)</f>
        <v>#REF!</v>
      </c>
      <c r="AB45" s="24" t="e">
        <f>SUMIFS(#REF!,#REF!,$B45,#REF!,AB$1)</f>
        <v>#REF!</v>
      </c>
      <c r="AC45" s="24" t="e">
        <f>SUMIFS(#REF!,#REF!,$B45,#REF!,AC$1)</f>
        <v>#REF!</v>
      </c>
      <c r="AD45" s="24" t="e">
        <f>SUMIFS(#REF!,#REF!,$B45,#REF!,AD$1)</f>
        <v>#REF!</v>
      </c>
      <c r="AE45" s="24" t="e">
        <f>SUMIFS(#REF!,#REF!,$B45,#REF!,AE$1)</f>
        <v>#REF!</v>
      </c>
      <c r="AF45" s="24" t="e">
        <f>SUMIFS(#REF!,#REF!,$B45,#REF!,AF$1)</f>
        <v>#REF!</v>
      </c>
      <c r="AG45" s="24" t="e">
        <f>SUMIFS(#REF!,#REF!,$B45,#REF!,AG$1)</f>
        <v>#REF!</v>
      </c>
      <c r="AH45" s="24" t="e">
        <f>SUMIFS(#REF!,#REF!,$B45,#REF!,AH$1)</f>
        <v>#REF!</v>
      </c>
      <c r="AI45" s="24" t="e">
        <f>SUMIFS(#REF!,#REF!,$B45,#REF!,AI$1)</f>
        <v>#REF!</v>
      </c>
      <c r="AJ45" s="24" t="e">
        <f>SUMIFS(#REF!,#REF!,$B45,#REF!,AJ$1)</f>
        <v>#REF!</v>
      </c>
      <c r="AK45" s="24" t="e">
        <f>SUMIFS(#REF!,#REF!,$B45,#REF!,AK$1)</f>
        <v>#REF!</v>
      </c>
      <c r="AL45" s="24" t="e">
        <f>SUMIFS(#REF!,#REF!,$B45,#REF!,AL$1)</f>
        <v>#REF!</v>
      </c>
      <c r="AM45" s="24" t="e">
        <f>SUMIFS(#REF!,#REF!,$B45,#REF!,AM$1)</f>
        <v>#REF!</v>
      </c>
      <c r="AN45" s="24" t="e">
        <f>SUMIFS(#REF!,#REF!,$B45,#REF!,AN$1)</f>
        <v>#REF!</v>
      </c>
      <c r="AO45" s="24" t="e">
        <f>SUMIFS(#REF!,#REF!,$B45,#REF!,AO$1)</f>
        <v>#REF!</v>
      </c>
      <c r="AP45" s="24" t="e">
        <f>SUMIFS(#REF!,#REF!,$B45,#REF!,AP$1)</f>
        <v>#REF!</v>
      </c>
      <c r="AQ45" s="24" t="e">
        <f>SUMIFS(#REF!,#REF!,$B45,#REF!,AQ$1)</f>
        <v>#REF!</v>
      </c>
      <c r="AR45" s="24" t="e">
        <f>SUMIFS(#REF!,#REF!,$B45,#REF!,AR$1)</f>
        <v>#REF!</v>
      </c>
      <c r="AS45" s="24" t="e">
        <f>SUMIFS(#REF!,#REF!,$B45,#REF!,AS$1)</f>
        <v>#REF!</v>
      </c>
      <c r="AT45" s="24" t="e">
        <f>SUMIFS(#REF!,#REF!,$B45,#REF!,AT$1)</f>
        <v>#REF!</v>
      </c>
      <c r="AU45" s="24" t="e">
        <f>SUMIFS(#REF!,#REF!,$B45,#REF!,AU$1)</f>
        <v>#REF!</v>
      </c>
      <c r="AV45" s="24" t="e">
        <f>SUMIFS(#REF!,#REF!,$B45,#REF!,AV$1)</f>
        <v>#REF!</v>
      </c>
      <c r="AW45" s="24" t="e">
        <f>SUMIFS(#REF!,#REF!,$B45,#REF!,AW$1)</f>
        <v>#REF!</v>
      </c>
      <c r="AX45" s="24" t="e">
        <f>SUMIFS(#REF!,#REF!,$B45,#REF!,AX$1)</f>
        <v>#REF!</v>
      </c>
      <c r="AY45" s="24" t="e">
        <f>SUMIFS(#REF!,#REF!,$B45,#REF!,AY$1)</f>
        <v>#REF!</v>
      </c>
      <c r="AZ45" s="24" t="e">
        <f>SUMIFS(#REF!,#REF!,$B45,#REF!,AZ$1)</f>
        <v>#REF!</v>
      </c>
      <c r="BA45" s="24" t="e">
        <f>SUMIFS(#REF!,#REF!,$B45,#REF!,BA$1)</f>
        <v>#REF!</v>
      </c>
      <c r="BB45" s="24" t="e">
        <f>SUMIFS(#REF!,#REF!,$B45,#REF!,BB$1)</f>
        <v>#REF!</v>
      </c>
      <c r="BC45" s="24" t="e">
        <f>SUMIFS(#REF!,#REF!,$B45,#REF!,BC$1)</f>
        <v>#REF!</v>
      </c>
      <c r="BD45" s="24" t="e">
        <f>SUMIFS(#REF!,#REF!,$B45,#REF!,BD$1)</f>
        <v>#REF!</v>
      </c>
      <c r="BE45" s="24" t="e">
        <f>SUMIFS(#REF!,#REF!,$B45,#REF!,BE$1)</f>
        <v>#REF!</v>
      </c>
      <c r="BF45" s="24" t="e">
        <f>SUMIFS(#REF!,#REF!,$B45,#REF!,BF$1)</f>
        <v>#REF!</v>
      </c>
      <c r="BG45" s="24" t="e">
        <f>SUMIFS(#REF!,#REF!,$B45,#REF!,BG$1)</f>
        <v>#REF!</v>
      </c>
      <c r="BH45" s="24" t="e">
        <f>SUMIFS(#REF!,#REF!,$B45,#REF!,BH$1)</f>
        <v>#REF!</v>
      </c>
      <c r="BI45" s="24" t="e">
        <f>SUMIFS(#REF!,#REF!,$B45,#REF!,BI$1)</f>
        <v>#REF!</v>
      </c>
      <c r="BJ45" s="24" t="e">
        <f>SUMIFS(#REF!,#REF!,$B45,#REF!,BJ$1)</f>
        <v>#REF!</v>
      </c>
      <c r="BK45" s="24" t="e">
        <f>SUMIFS(#REF!,#REF!,$B45,#REF!,BK$1)</f>
        <v>#REF!</v>
      </c>
      <c r="BL45" s="24" t="e">
        <f>SUMIFS(#REF!,#REF!,$B45,#REF!,BL$1)</f>
        <v>#REF!</v>
      </c>
      <c r="BM45" s="24" t="e">
        <f>SUMIFS(#REF!,#REF!,$B45,#REF!,BM$1)</f>
        <v>#REF!</v>
      </c>
      <c r="BN45" s="24" t="e">
        <f>SUMIFS(#REF!,#REF!,$B45,#REF!,BN$1)</f>
        <v>#REF!</v>
      </c>
      <c r="BO45" s="24" t="e">
        <f>SUMIFS(#REF!,#REF!,$B45,#REF!,BO$1)</f>
        <v>#REF!</v>
      </c>
      <c r="BP45" s="24" t="e">
        <f>SUMIFS(#REF!,#REF!,$B45,#REF!,BP$1)</f>
        <v>#REF!</v>
      </c>
      <c r="BQ45" s="24" t="e">
        <f>SUMIFS(#REF!,#REF!,$B45,#REF!,BQ$1)</f>
        <v>#REF!</v>
      </c>
      <c r="BR45" s="24" t="e">
        <f>SUMIFS(#REF!,#REF!,$B45,#REF!,BR$1)</f>
        <v>#REF!</v>
      </c>
      <c r="BS45" s="24" t="e">
        <f>SUMIFS(#REF!,#REF!,$B45,#REF!,BS$1)</f>
        <v>#REF!</v>
      </c>
      <c r="BT45" s="24" t="e">
        <f>SUMIFS(#REF!,#REF!,$B45,#REF!,BT$1)</f>
        <v>#REF!</v>
      </c>
      <c r="BU45" s="24" t="e">
        <f>SUMIFS(#REF!,#REF!,$B45,#REF!,BU$1)</f>
        <v>#REF!</v>
      </c>
      <c r="BV45" s="24" t="e">
        <f>SUMIFS(#REF!,#REF!,$B45,#REF!,BV$1)</f>
        <v>#REF!</v>
      </c>
      <c r="BW45" s="24" t="e">
        <f>SUMIFS(#REF!,#REF!,$B45,#REF!,BW$1)</f>
        <v>#REF!</v>
      </c>
      <c r="BX45" s="24" t="e">
        <f>SUMIFS(#REF!,#REF!,$B45,#REF!,BX$1)</f>
        <v>#REF!</v>
      </c>
      <c r="BY45" s="24" t="e">
        <f>SUMIFS(#REF!,#REF!,$B45,#REF!,BY$1)</f>
        <v>#REF!</v>
      </c>
      <c r="BZ45" s="24" t="e">
        <f>SUMIFS(#REF!,#REF!,$B45,#REF!,BZ$1)</f>
        <v>#REF!</v>
      </c>
      <c r="CA45" s="24" t="e">
        <f>SUMIFS(#REF!,#REF!,$B45,#REF!,CA$1)</f>
        <v>#REF!</v>
      </c>
      <c r="CB45" s="24" t="e">
        <f>SUMIFS(#REF!,#REF!,$B45,#REF!,CB$1)</f>
        <v>#REF!</v>
      </c>
      <c r="CC45" s="24" t="e">
        <f>SUMIFS(#REF!,#REF!,$B45,#REF!,CC$1)</f>
        <v>#REF!</v>
      </c>
      <c r="CD45" s="24" t="e">
        <f>SUMIFS(#REF!,#REF!,$B45,#REF!,CD$1)</f>
        <v>#REF!</v>
      </c>
      <c r="CE45" s="24" t="e">
        <f>SUMIFS(#REF!,#REF!,$B45,#REF!,CE$1)</f>
        <v>#REF!</v>
      </c>
      <c r="CF45" s="24" t="e">
        <f>SUMIFS(#REF!,#REF!,$B45,#REF!,CF$1)</f>
        <v>#REF!</v>
      </c>
      <c r="CG45" s="19" t="e">
        <f t="shared" si="0"/>
        <v>#REF!</v>
      </c>
    </row>
    <row r="46" spans="1:85" x14ac:dyDescent="0.45">
      <c r="A46" s="4" t="s">
        <v>1073</v>
      </c>
      <c r="B46" s="4" t="s">
        <v>1074</v>
      </c>
      <c r="C46" s="24" t="e">
        <f>SUMIFS(#REF!,#REF!,$B46,#REF!,C$1)</f>
        <v>#REF!</v>
      </c>
      <c r="D46" s="24" t="e">
        <f>SUMIFS(#REF!,#REF!,$B46,#REF!,D$1)</f>
        <v>#REF!</v>
      </c>
      <c r="E46" s="24" t="e">
        <f>SUMIFS(#REF!,#REF!,$B46,#REF!,E$1)</f>
        <v>#REF!</v>
      </c>
      <c r="F46" s="24" t="e">
        <f>SUMIFS(#REF!,#REF!,$B46,#REF!,F$1)</f>
        <v>#REF!</v>
      </c>
      <c r="G46" s="24" t="e">
        <f>SUMIFS(#REF!,#REF!,$B46,#REF!,G$1)</f>
        <v>#REF!</v>
      </c>
      <c r="H46" s="24" t="e">
        <f>SUMIFS(#REF!,#REF!,$B46,#REF!,H$1)</f>
        <v>#REF!</v>
      </c>
      <c r="I46" s="24" t="e">
        <f>SUMIFS(#REF!,#REF!,$B46,#REF!,I$1)</f>
        <v>#REF!</v>
      </c>
      <c r="J46" s="24" t="e">
        <f>SUMIFS(#REF!,#REF!,$B46,#REF!,J$1)</f>
        <v>#REF!</v>
      </c>
      <c r="K46" s="24" t="e">
        <f>SUMIFS(#REF!,#REF!,$B46,#REF!,K$1)</f>
        <v>#REF!</v>
      </c>
      <c r="L46" s="24" t="e">
        <f>SUMIFS(#REF!,#REF!,$B46,#REF!,L$1)</f>
        <v>#REF!</v>
      </c>
      <c r="M46" s="24" t="e">
        <f>SUMIFS(#REF!,#REF!,$B46,#REF!,M$1)</f>
        <v>#REF!</v>
      </c>
      <c r="N46" s="24" t="e">
        <f>SUMIFS(#REF!,#REF!,$B46,#REF!,N$1)</f>
        <v>#REF!</v>
      </c>
      <c r="O46" s="24" t="e">
        <f>SUMIFS(#REF!,#REF!,$B46,#REF!,O$1)</f>
        <v>#REF!</v>
      </c>
      <c r="P46" s="24" t="e">
        <f>SUMIFS(#REF!,#REF!,$B46,#REF!,P$1)</f>
        <v>#REF!</v>
      </c>
      <c r="Q46" s="24" t="e">
        <f>SUMIFS(#REF!,#REF!,$B46,#REF!,Q$1)</f>
        <v>#REF!</v>
      </c>
      <c r="R46" s="24" t="e">
        <f>SUMIFS(#REF!,#REF!,$B46,#REF!,R$1)</f>
        <v>#REF!</v>
      </c>
      <c r="S46" s="24" t="e">
        <f>SUMIFS(#REF!,#REF!,$B46,#REF!,S$1)</f>
        <v>#REF!</v>
      </c>
      <c r="T46" s="24" t="e">
        <f>SUMIFS(#REF!,#REF!,$B46,#REF!,T$1)</f>
        <v>#REF!</v>
      </c>
      <c r="U46" s="24" t="e">
        <f>SUMIFS(#REF!,#REF!,$B46,#REF!,U$1)</f>
        <v>#REF!</v>
      </c>
      <c r="V46" s="24" t="e">
        <f>SUMIFS(#REF!,#REF!,$B46,#REF!,V$1)</f>
        <v>#REF!</v>
      </c>
      <c r="W46" s="24" t="e">
        <f>SUMIFS(#REF!,#REF!,$B46,#REF!,W$1)</f>
        <v>#REF!</v>
      </c>
      <c r="X46" s="24" t="e">
        <f>SUMIFS(#REF!,#REF!,$B46,#REF!,X$1)</f>
        <v>#REF!</v>
      </c>
      <c r="Y46" s="24" t="e">
        <f>SUMIFS(#REF!,#REF!,$B46,#REF!,Y$1)</f>
        <v>#REF!</v>
      </c>
      <c r="Z46" s="24" t="e">
        <f>SUMIFS(#REF!,#REF!,$B46,#REF!,Z$1)</f>
        <v>#REF!</v>
      </c>
      <c r="AA46" s="24" t="e">
        <f>SUMIFS(#REF!,#REF!,$B46,#REF!,AA$1)</f>
        <v>#REF!</v>
      </c>
      <c r="AB46" s="24" t="e">
        <f>SUMIFS(#REF!,#REF!,$B46,#REF!,AB$1)</f>
        <v>#REF!</v>
      </c>
      <c r="AC46" s="24" t="e">
        <f>SUMIFS(#REF!,#REF!,$B46,#REF!,AC$1)</f>
        <v>#REF!</v>
      </c>
      <c r="AD46" s="24" t="e">
        <f>SUMIFS(#REF!,#REF!,$B46,#REF!,AD$1)</f>
        <v>#REF!</v>
      </c>
      <c r="AE46" s="24" t="e">
        <f>SUMIFS(#REF!,#REF!,$B46,#REF!,AE$1)</f>
        <v>#REF!</v>
      </c>
      <c r="AF46" s="24" t="e">
        <f>SUMIFS(#REF!,#REF!,$B46,#REF!,AF$1)</f>
        <v>#REF!</v>
      </c>
      <c r="AG46" s="24" t="e">
        <f>SUMIFS(#REF!,#REF!,$B46,#REF!,AG$1)</f>
        <v>#REF!</v>
      </c>
      <c r="AH46" s="24" t="e">
        <f>SUMIFS(#REF!,#REF!,$B46,#REF!,AH$1)</f>
        <v>#REF!</v>
      </c>
      <c r="AI46" s="24" t="e">
        <f>SUMIFS(#REF!,#REF!,$B46,#REF!,AI$1)</f>
        <v>#REF!</v>
      </c>
      <c r="AJ46" s="24" t="e">
        <f>SUMIFS(#REF!,#REF!,$B46,#REF!,AJ$1)</f>
        <v>#REF!</v>
      </c>
      <c r="AK46" s="24" t="e">
        <f>SUMIFS(#REF!,#REF!,$B46,#REF!,AK$1)</f>
        <v>#REF!</v>
      </c>
      <c r="AL46" s="24" t="e">
        <f>SUMIFS(#REF!,#REF!,$B46,#REF!,AL$1)</f>
        <v>#REF!</v>
      </c>
      <c r="AM46" s="24" t="e">
        <f>SUMIFS(#REF!,#REF!,$B46,#REF!,AM$1)</f>
        <v>#REF!</v>
      </c>
      <c r="AN46" s="24" t="e">
        <f>SUMIFS(#REF!,#REF!,$B46,#REF!,AN$1)</f>
        <v>#REF!</v>
      </c>
      <c r="AO46" s="24" t="e">
        <f>SUMIFS(#REF!,#REF!,$B46,#REF!,AO$1)</f>
        <v>#REF!</v>
      </c>
      <c r="AP46" s="24" t="e">
        <f>SUMIFS(#REF!,#REF!,$B46,#REF!,AP$1)</f>
        <v>#REF!</v>
      </c>
      <c r="AQ46" s="24" t="e">
        <f>SUMIFS(#REF!,#REF!,$B46,#REF!,AQ$1)</f>
        <v>#REF!</v>
      </c>
      <c r="AR46" s="24" t="e">
        <f>SUMIFS(#REF!,#REF!,$B46,#REF!,AR$1)</f>
        <v>#REF!</v>
      </c>
      <c r="AS46" s="24" t="e">
        <f>SUMIFS(#REF!,#REF!,$B46,#REF!,AS$1)</f>
        <v>#REF!</v>
      </c>
      <c r="AT46" s="24" t="e">
        <f>SUMIFS(#REF!,#REF!,$B46,#REF!,AT$1)</f>
        <v>#REF!</v>
      </c>
      <c r="AU46" s="24" t="e">
        <f>SUMIFS(#REF!,#REF!,$B46,#REF!,AU$1)</f>
        <v>#REF!</v>
      </c>
      <c r="AV46" s="24" t="e">
        <f>SUMIFS(#REF!,#REF!,$B46,#REF!,AV$1)</f>
        <v>#REF!</v>
      </c>
      <c r="AW46" s="24" t="e">
        <f>SUMIFS(#REF!,#REF!,$B46,#REF!,AW$1)</f>
        <v>#REF!</v>
      </c>
      <c r="AX46" s="24" t="e">
        <f>SUMIFS(#REF!,#REF!,$B46,#REF!,AX$1)</f>
        <v>#REF!</v>
      </c>
      <c r="AY46" s="24" t="e">
        <f>SUMIFS(#REF!,#REF!,$B46,#REF!,AY$1)</f>
        <v>#REF!</v>
      </c>
      <c r="AZ46" s="24" t="e">
        <f>SUMIFS(#REF!,#REF!,$B46,#REF!,AZ$1)</f>
        <v>#REF!</v>
      </c>
      <c r="BA46" s="24" t="e">
        <f>SUMIFS(#REF!,#REF!,$B46,#REF!,BA$1)</f>
        <v>#REF!</v>
      </c>
      <c r="BB46" s="24" t="e">
        <f>SUMIFS(#REF!,#REF!,$B46,#REF!,BB$1)</f>
        <v>#REF!</v>
      </c>
      <c r="BC46" s="24" t="e">
        <f>SUMIFS(#REF!,#REF!,$B46,#REF!,BC$1)</f>
        <v>#REF!</v>
      </c>
      <c r="BD46" s="24" t="e">
        <f>SUMIFS(#REF!,#REF!,$B46,#REF!,BD$1)</f>
        <v>#REF!</v>
      </c>
      <c r="BE46" s="24" t="e">
        <f>SUMIFS(#REF!,#REF!,$B46,#REF!,BE$1)</f>
        <v>#REF!</v>
      </c>
      <c r="BF46" s="24" t="e">
        <f>SUMIFS(#REF!,#REF!,$B46,#REF!,BF$1)</f>
        <v>#REF!</v>
      </c>
      <c r="BG46" s="24" t="e">
        <f>SUMIFS(#REF!,#REF!,$B46,#REF!,BG$1)</f>
        <v>#REF!</v>
      </c>
      <c r="BH46" s="24" t="e">
        <f>SUMIFS(#REF!,#REF!,$B46,#REF!,BH$1)</f>
        <v>#REF!</v>
      </c>
      <c r="BI46" s="24" t="e">
        <f>SUMIFS(#REF!,#REF!,$B46,#REF!,BI$1)</f>
        <v>#REF!</v>
      </c>
      <c r="BJ46" s="24" t="e">
        <f>SUMIFS(#REF!,#REF!,$B46,#REF!,BJ$1)</f>
        <v>#REF!</v>
      </c>
      <c r="BK46" s="24" t="e">
        <f>SUMIFS(#REF!,#REF!,$B46,#REF!,BK$1)</f>
        <v>#REF!</v>
      </c>
      <c r="BL46" s="24" t="e">
        <f>SUMIFS(#REF!,#REF!,$B46,#REF!,BL$1)</f>
        <v>#REF!</v>
      </c>
      <c r="BM46" s="24" t="e">
        <f>SUMIFS(#REF!,#REF!,$B46,#REF!,BM$1)</f>
        <v>#REF!</v>
      </c>
      <c r="BN46" s="24" t="e">
        <f>SUMIFS(#REF!,#REF!,$B46,#REF!,BN$1)</f>
        <v>#REF!</v>
      </c>
      <c r="BO46" s="24" t="e">
        <f>SUMIFS(#REF!,#REF!,$B46,#REF!,BO$1)</f>
        <v>#REF!</v>
      </c>
      <c r="BP46" s="24" t="e">
        <f>SUMIFS(#REF!,#REF!,$B46,#REF!,BP$1)</f>
        <v>#REF!</v>
      </c>
      <c r="BQ46" s="24" t="e">
        <f>SUMIFS(#REF!,#REF!,$B46,#REF!,BQ$1)</f>
        <v>#REF!</v>
      </c>
      <c r="BR46" s="24" t="e">
        <f>SUMIFS(#REF!,#REF!,$B46,#REF!,BR$1)</f>
        <v>#REF!</v>
      </c>
      <c r="BS46" s="24" t="e">
        <f>SUMIFS(#REF!,#REF!,$B46,#REF!,BS$1)</f>
        <v>#REF!</v>
      </c>
      <c r="BT46" s="24" t="e">
        <f>SUMIFS(#REF!,#REF!,$B46,#REF!,BT$1)</f>
        <v>#REF!</v>
      </c>
      <c r="BU46" s="24" t="e">
        <f>SUMIFS(#REF!,#REF!,$B46,#REF!,BU$1)</f>
        <v>#REF!</v>
      </c>
      <c r="BV46" s="24" t="e">
        <f>SUMIFS(#REF!,#REF!,$B46,#REF!,BV$1)</f>
        <v>#REF!</v>
      </c>
      <c r="BW46" s="24" t="e">
        <f>SUMIFS(#REF!,#REF!,$B46,#REF!,BW$1)</f>
        <v>#REF!</v>
      </c>
      <c r="BX46" s="24" t="e">
        <f>SUMIFS(#REF!,#REF!,$B46,#REF!,BX$1)</f>
        <v>#REF!</v>
      </c>
      <c r="BY46" s="24" t="e">
        <f>SUMIFS(#REF!,#REF!,$B46,#REF!,BY$1)</f>
        <v>#REF!</v>
      </c>
      <c r="BZ46" s="24" t="e">
        <f>SUMIFS(#REF!,#REF!,$B46,#REF!,BZ$1)</f>
        <v>#REF!</v>
      </c>
      <c r="CA46" s="24" t="e">
        <f>SUMIFS(#REF!,#REF!,$B46,#REF!,CA$1)</f>
        <v>#REF!</v>
      </c>
      <c r="CB46" s="24" t="e">
        <f>SUMIFS(#REF!,#REF!,$B46,#REF!,CB$1)</f>
        <v>#REF!</v>
      </c>
      <c r="CC46" s="24" t="e">
        <f>SUMIFS(#REF!,#REF!,$B46,#REF!,CC$1)</f>
        <v>#REF!</v>
      </c>
      <c r="CD46" s="24" t="e">
        <f>SUMIFS(#REF!,#REF!,$B46,#REF!,CD$1)</f>
        <v>#REF!</v>
      </c>
      <c r="CE46" s="24" t="e">
        <f>SUMIFS(#REF!,#REF!,$B46,#REF!,CE$1)</f>
        <v>#REF!</v>
      </c>
      <c r="CF46" s="24" t="e">
        <f>SUMIFS(#REF!,#REF!,$B46,#REF!,CF$1)</f>
        <v>#REF!</v>
      </c>
      <c r="CG46" s="19" t="e">
        <f t="shared" si="0"/>
        <v>#REF!</v>
      </c>
    </row>
    <row r="47" spans="1:85" x14ac:dyDescent="0.45">
      <c r="A47" s="4" t="s">
        <v>1075</v>
      </c>
      <c r="B47" s="4" t="s">
        <v>1076</v>
      </c>
      <c r="C47" s="24" t="e">
        <f>SUMIFS(#REF!,#REF!,$B47,#REF!,C$1)</f>
        <v>#REF!</v>
      </c>
      <c r="D47" s="24" t="e">
        <f>SUMIFS(#REF!,#REF!,$B47,#REF!,D$1)</f>
        <v>#REF!</v>
      </c>
      <c r="E47" s="24" t="e">
        <f>SUMIFS(#REF!,#REF!,$B47,#REF!,E$1)</f>
        <v>#REF!</v>
      </c>
      <c r="F47" s="24" t="e">
        <f>SUMIFS(#REF!,#REF!,$B47,#REF!,F$1)</f>
        <v>#REF!</v>
      </c>
      <c r="G47" s="24" t="e">
        <f>SUMIFS(#REF!,#REF!,$B47,#REF!,G$1)</f>
        <v>#REF!</v>
      </c>
      <c r="H47" s="24" t="e">
        <f>SUMIFS(#REF!,#REF!,$B47,#REF!,H$1)</f>
        <v>#REF!</v>
      </c>
      <c r="I47" s="24" t="e">
        <f>SUMIFS(#REF!,#REF!,$B47,#REF!,I$1)</f>
        <v>#REF!</v>
      </c>
      <c r="J47" s="24" t="e">
        <f>SUMIFS(#REF!,#REF!,$B47,#REF!,J$1)</f>
        <v>#REF!</v>
      </c>
      <c r="K47" s="24" t="e">
        <f>SUMIFS(#REF!,#REF!,$B47,#REF!,K$1)</f>
        <v>#REF!</v>
      </c>
      <c r="L47" s="24" t="e">
        <f>SUMIFS(#REF!,#REF!,$B47,#REF!,L$1)</f>
        <v>#REF!</v>
      </c>
      <c r="M47" s="24" t="e">
        <f>SUMIFS(#REF!,#REF!,$B47,#REF!,M$1)</f>
        <v>#REF!</v>
      </c>
      <c r="N47" s="24" t="e">
        <f>SUMIFS(#REF!,#REF!,$B47,#REF!,N$1)</f>
        <v>#REF!</v>
      </c>
      <c r="O47" s="24" t="e">
        <f>SUMIFS(#REF!,#REF!,$B47,#REF!,O$1)</f>
        <v>#REF!</v>
      </c>
      <c r="P47" s="24" t="e">
        <f>SUMIFS(#REF!,#REF!,$B47,#REF!,P$1)</f>
        <v>#REF!</v>
      </c>
      <c r="Q47" s="24" t="e">
        <f>SUMIFS(#REF!,#REF!,$B47,#REF!,Q$1)</f>
        <v>#REF!</v>
      </c>
      <c r="R47" s="24" t="e">
        <f>SUMIFS(#REF!,#REF!,$B47,#REF!,R$1)</f>
        <v>#REF!</v>
      </c>
      <c r="S47" s="24" t="e">
        <f>SUMIFS(#REF!,#REF!,$B47,#REF!,S$1)</f>
        <v>#REF!</v>
      </c>
      <c r="T47" s="24" t="e">
        <f>SUMIFS(#REF!,#REF!,$B47,#REF!,T$1)</f>
        <v>#REF!</v>
      </c>
      <c r="U47" s="24" t="e">
        <f>SUMIFS(#REF!,#REF!,$B47,#REF!,U$1)</f>
        <v>#REF!</v>
      </c>
      <c r="V47" s="24" t="e">
        <f>SUMIFS(#REF!,#REF!,$B47,#REF!,V$1)</f>
        <v>#REF!</v>
      </c>
      <c r="W47" s="24" t="e">
        <f>SUMIFS(#REF!,#REF!,$B47,#REF!,W$1)</f>
        <v>#REF!</v>
      </c>
      <c r="X47" s="24" t="e">
        <f>SUMIFS(#REF!,#REF!,$B47,#REF!,X$1)</f>
        <v>#REF!</v>
      </c>
      <c r="Y47" s="24" t="e">
        <f>SUMIFS(#REF!,#REF!,$B47,#REF!,Y$1)</f>
        <v>#REF!</v>
      </c>
      <c r="Z47" s="24" t="e">
        <f>SUMIFS(#REF!,#REF!,$B47,#REF!,Z$1)</f>
        <v>#REF!</v>
      </c>
      <c r="AA47" s="24" t="e">
        <f>SUMIFS(#REF!,#REF!,$B47,#REF!,AA$1)</f>
        <v>#REF!</v>
      </c>
      <c r="AB47" s="24" t="e">
        <f>SUMIFS(#REF!,#REF!,$B47,#REF!,AB$1)</f>
        <v>#REF!</v>
      </c>
      <c r="AC47" s="24" t="e">
        <f>SUMIFS(#REF!,#REF!,$B47,#REF!,AC$1)</f>
        <v>#REF!</v>
      </c>
      <c r="AD47" s="24" t="e">
        <f>SUMIFS(#REF!,#REF!,$B47,#REF!,AD$1)</f>
        <v>#REF!</v>
      </c>
      <c r="AE47" s="24" t="e">
        <f>SUMIFS(#REF!,#REF!,$B47,#REF!,AE$1)</f>
        <v>#REF!</v>
      </c>
      <c r="AF47" s="24" t="e">
        <f>SUMIFS(#REF!,#REF!,$B47,#REF!,AF$1)</f>
        <v>#REF!</v>
      </c>
      <c r="AG47" s="24" t="e">
        <f>SUMIFS(#REF!,#REF!,$B47,#REF!,AG$1)</f>
        <v>#REF!</v>
      </c>
      <c r="AH47" s="24" t="e">
        <f>SUMIFS(#REF!,#REF!,$B47,#REF!,AH$1)</f>
        <v>#REF!</v>
      </c>
      <c r="AI47" s="24" t="e">
        <f>SUMIFS(#REF!,#REF!,$B47,#REF!,AI$1)</f>
        <v>#REF!</v>
      </c>
      <c r="AJ47" s="24" t="e">
        <f>SUMIFS(#REF!,#REF!,$B47,#REF!,AJ$1)</f>
        <v>#REF!</v>
      </c>
      <c r="AK47" s="24" t="e">
        <f>SUMIFS(#REF!,#REF!,$B47,#REF!,AK$1)</f>
        <v>#REF!</v>
      </c>
      <c r="AL47" s="24" t="e">
        <f>SUMIFS(#REF!,#REF!,$B47,#REF!,AL$1)</f>
        <v>#REF!</v>
      </c>
      <c r="AM47" s="24" t="e">
        <f>SUMIFS(#REF!,#REF!,$B47,#REF!,AM$1)</f>
        <v>#REF!</v>
      </c>
      <c r="AN47" s="24" t="e">
        <f>SUMIFS(#REF!,#REF!,$B47,#REF!,AN$1)</f>
        <v>#REF!</v>
      </c>
      <c r="AO47" s="24" t="e">
        <f>SUMIFS(#REF!,#REF!,$B47,#REF!,AO$1)</f>
        <v>#REF!</v>
      </c>
      <c r="AP47" s="24" t="e">
        <f>SUMIFS(#REF!,#REF!,$B47,#REF!,AP$1)</f>
        <v>#REF!</v>
      </c>
      <c r="AQ47" s="24" t="e">
        <f>SUMIFS(#REF!,#REF!,$B47,#REF!,AQ$1)</f>
        <v>#REF!</v>
      </c>
      <c r="AR47" s="24" t="e">
        <f>SUMIFS(#REF!,#REF!,$B47,#REF!,AR$1)</f>
        <v>#REF!</v>
      </c>
      <c r="AS47" s="24" t="e">
        <f>SUMIFS(#REF!,#REF!,$B47,#REF!,AS$1)</f>
        <v>#REF!</v>
      </c>
      <c r="AT47" s="24" t="e">
        <f>SUMIFS(#REF!,#REF!,$B47,#REF!,AT$1)</f>
        <v>#REF!</v>
      </c>
      <c r="AU47" s="24" t="e">
        <f>SUMIFS(#REF!,#REF!,$B47,#REF!,AU$1)</f>
        <v>#REF!</v>
      </c>
      <c r="AV47" s="24" t="e">
        <f>SUMIFS(#REF!,#REF!,$B47,#REF!,AV$1)</f>
        <v>#REF!</v>
      </c>
      <c r="AW47" s="24" t="e">
        <f>SUMIFS(#REF!,#REF!,$B47,#REF!,AW$1)</f>
        <v>#REF!</v>
      </c>
      <c r="AX47" s="24" t="e">
        <f>SUMIFS(#REF!,#REF!,$B47,#REF!,AX$1)</f>
        <v>#REF!</v>
      </c>
      <c r="AY47" s="24" t="e">
        <f>SUMIFS(#REF!,#REF!,$B47,#REF!,AY$1)</f>
        <v>#REF!</v>
      </c>
      <c r="AZ47" s="24" t="e">
        <f>SUMIFS(#REF!,#REF!,$B47,#REF!,AZ$1)</f>
        <v>#REF!</v>
      </c>
      <c r="BA47" s="24" t="e">
        <f>SUMIFS(#REF!,#REF!,$B47,#REF!,BA$1)</f>
        <v>#REF!</v>
      </c>
      <c r="BB47" s="24" t="e">
        <f>SUMIFS(#REF!,#REF!,$B47,#REF!,BB$1)</f>
        <v>#REF!</v>
      </c>
      <c r="BC47" s="24" t="e">
        <f>SUMIFS(#REF!,#REF!,$B47,#REF!,BC$1)</f>
        <v>#REF!</v>
      </c>
      <c r="BD47" s="24" t="e">
        <f>SUMIFS(#REF!,#REF!,$B47,#REF!,BD$1)</f>
        <v>#REF!</v>
      </c>
      <c r="BE47" s="24" t="e">
        <f>SUMIFS(#REF!,#REF!,$B47,#REF!,BE$1)</f>
        <v>#REF!</v>
      </c>
      <c r="BF47" s="24" t="e">
        <f>SUMIFS(#REF!,#REF!,$B47,#REF!,BF$1)</f>
        <v>#REF!</v>
      </c>
      <c r="BG47" s="24" t="e">
        <f>SUMIFS(#REF!,#REF!,$B47,#REF!,BG$1)</f>
        <v>#REF!</v>
      </c>
      <c r="BH47" s="24" t="e">
        <f>SUMIFS(#REF!,#REF!,$B47,#REF!,BH$1)</f>
        <v>#REF!</v>
      </c>
      <c r="BI47" s="24" t="e">
        <f>SUMIFS(#REF!,#REF!,$B47,#REF!,BI$1)</f>
        <v>#REF!</v>
      </c>
      <c r="BJ47" s="24" t="e">
        <f>SUMIFS(#REF!,#REF!,$B47,#REF!,BJ$1)</f>
        <v>#REF!</v>
      </c>
      <c r="BK47" s="24" t="e">
        <f>SUMIFS(#REF!,#REF!,$B47,#REF!,BK$1)</f>
        <v>#REF!</v>
      </c>
      <c r="BL47" s="24" t="e">
        <f>SUMIFS(#REF!,#REF!,$B47,#REF!,BL$1)</f>
        <v>#REF!</v>
      </c>
      <c r="BM47" s="24" t="e">
        <f>SUMIFS(#REF!,#REF!,$B47,#REF!,BM$1)</f>
        <v>#REF!</v>
      </c>
      <c r="BN47" s="24" t="e">
        <f>SUMIFS(#REF!,#REF!,$B47,#REF!,BN$1)</f>
        <v>#REF!</v>
      </c>
      <c r="BO47" s="24" t="e">
        <f>SUMIFS(#REF!,#REF!,$B47,#REF!,BO$1)</f>
        <v>#REF!</v>
      </c>
      <c r="BP47" s="24" t="e">
        <f>SUMIFS(#REF!,#REF!,$B47,#REF!,BP$1)</f>
        <v>#REF!</v>
      </c>
      <c r="BQ47" s="24" t="e">
        <f>SUMIFS(#REF!,#REF!,$B47,#REF!,BQ$1)</f>
        <v>#REF!</v>
      </c>
      <c r="BR47" s="24" t="e">
        <f>SUMIFS(#REF!,#REF!,$B47,#REF!,BR$1)</f>
        <v>#REF!</v>
      </c>
      <c r="BS47" s="24" t="e">
        <f>SUMIFS(#REF!,#REF!,$B47,#REF!,BS$1)</f>
        <v>#REF!</v>
      </c>
      <c r="BT47" s="24" t="e">
        <f>SUMIFS(#REF!,#REF!,$B47,#REF!,BT$1)</f>
        <v>#REF!</v>
      </c>
      <c r="BU47" s="24" t="e">
        <f>SUMIFS(#REF!,#REF!,$B47,#REF!,BU$1)</f>
        <v>#REF!</v>
      </c>
      <c r="BV47" s="24" t="e">
        <f>SUMIFS(#REF!,#REF!,$B47,#REF!,BV$1)</f>
        <v>#REF!</v>
      </c>
      <c r="BW47" s="24" t="e">
        <f>SUMIFS(#REF!,#REF!,$B47,#REF!,BW$1)</f>
        <v>#REF!</v>
      </c>
      <c r="BX47" s="24" t="e">
        <f>SUMIFS(#REF!,#REF!,$B47,#REF!,BX$1)</f>
        <v>#REF!</v>
      </c>
      <c r="BY47" s="24" t="e">
        <f>SUMIFS(#REF!,#REF!,$B47,#REF!,BY$1)</f>
        <v>#REF!</v>
      </c>
      <c r="BZ47" s="24" t="e">
        <f>SUMIFS(#REF!,#REF!,$B47,#REF!,BZ$1)</f>
        <v>#REF!</v>
      </c>
      <c r="CA47" s="24" t="e">
        <f>SUMIFS(#REF!,#REF!,$B47,#REF!,CA$1)</f>
        <v>#REF!</v>
      </c>
      <c r="CB47" s="24" t="e">
        <f>SUMIFS(#REF!,#REF!,$B47,#REF!,CB$1)</f>
        <v>#REF!</v>
      </c>
      <c r="CC47" s="24" t="e">
        <f>SUMIFS(#REF!,#REF!,$B47,#REF!,CC$1)</f>
        <v>#REF!</v>
      </c>
      <c r="CD47" s="24" t="e">
        <f>SUMIFS(#REF!,#REF!,$B47,#REF!,CD$1)</f>
        <v>#REF!</v>
      </c>
      <c r="CE47" s="24" t="e">
        <f>SUMIFS(#REF!,#REF!,$B47,#REF!,CE$1)</f>
        <v>#REF!</v>
      </c>
      <c r="CF47" s="24" t="e">
        <f>SUMIFS(#REF!,#REF!,$B47,#REF!,CF$1)</f>
        <v>#REF!</v>
      </c>
      <c r="CG47" s="19" t="e">
        <f t="shared" si="0"/>
        <v>#REF!</v>
      </c>
    </row>
    <row r="48" spans="1:85" x14ac:dyDescent="0.45">
      <c r="A48" s="4" t="s">
        <v>1077</v>
      </c>
      <c r="B48" s="4" t="s">
        <v>1078</v>
      </c>
      <c r="C48" s="24" t="e">
        <f>SUMIFS(#REF!,#REF!,$B48,#REF!,C$1)</f>
        <v>#REF!</v>
      </c>
      <c r="D48" s="24" t="e">
        <f>SUMIFS(#REF!,#REF!,$B48,#REF!,D$1)</f>
        <v>#REF!</v>
      </c>
      <c r="E48" s="24" t="e">
        <f>SUMIFS(#REF!,#REF!,$B48,#REF!,E$1)</f>
        <v>#REF!</v>
      </c>
      <c r="F48" s="24" t="e">
        <f>SUMIFS(#REF!,#REF!,$B48,#REF!,F$1)</f>
        <v>#REF!</v>
      </c>
      <c r="G48" s="24" t="e">
        <f>SUMIFS(#REF!,#REF!,$B48,#REF!,G$1)</f>
        <v>#REF!</v>
      </c>
      <c r="H48" s="24" t="e">
        <f>SUMIFS(#REF!,#REF!,$B48,#REF!,H$1)</f>
        <v>#REF!</v>
      </c>
      <c r="I48" s="24" t="e">
        <f>SUMIFS(#REF!,#REF!,$B48,#REF!,I$1)</f>
        <v>#REF!</v>
      </c>
      <c r="J48" s="24" t="e">
        <f>SUMIFS(#REF!,#REF!,$B48,#REF!,J$1)</f>
        <v>#REF!</v>
      </c>
      <c r="K48" s="24" t="e">
        <f>SUMIFS(#REF!,#REF!,$B48,#REF!,K$1)</f>
        <v>#REF!</v>
      </c>
      <c r="L48" s="24" t="e">
        <f>SUMIFS(#REF!,#REF!,$B48,#REF!,L$1)</f>
        <v>#REF!</v>
      </c>
      <c r="M48" s="24" t="e">
        <f>SUMIFS(#REF!,#REF!,$B48,#REF!,M$1)</f>
        <v>#REF!</v>
      </c>
      <c r="N48" s="24" t="e">
        <f>SUMIFS(#REF!,#REF!,$B48,#REF!,N$1)</f>
        <v>#REF!</v>
      </c>
      <c r="O48" s="24" t="e">
        <f>SUMIFS(#REF!,#REF!,$B48,#REF!,O$1)</f>
        <v>#REF!</v>
      </c>
      <c r="P48" s="24" t="e">
        <f>SUMIFS(#REF!,#REF!,$B48,#REF!,P$1)</f>
        <v>#REF!</v>
      </c>
      <c r="Q48" s="24" t="e">
        <f>SUMIFS(#REF!,#REF!,$B48,#REF!,Q$1)</f>
        <v>#REF!</v>
      </c>
      <c r="R48" s="24" t="e">
        <f>SUMIFS(#REF!,#REF!,$B48,#REF!,R$1)</f>
        <v>#REF!</v>
      </c>
      <c r="S48" s="24" t="e">
        <f>SUMIFS(#REF!,#REF!,$B48,#REF!,S$1)</f>
        <v>#REF!</v>
      </c>
      <c r="T48" s="24" t="e">
        <f>SUMIFS(#REF!,#REF!,$B48,#REF!,T$1)</f>
        <v>#REF!</v>
      </c>
      <c r="U48" s="24" t="e">
        <f>SUMIFS(#REF!,#REF!,$B48,#REF!,U$1)</f>
        <v>#REF!</v>
      </c>
      <c r="V48" s="24" t="e">
        <f>SUMIFS(#REF!,#REF!,$B48,#REF!,V$1)</f>
        <v>#REF!</v>
      </c>
      <c r="W48" s="24" t="e">
        <f>SUMIFS(#REF!,#REF!,$B48,#REF!,W$1)</f>
        <v>#REF!</v>
      </c>
      <c r="X48" s="24" t="e">
        <f>SUMIFS(#REF!,#REF!,$B48,#REF!,X$1)</f>
        <v>#REF!</v>
      </c>
      <c r="Y48" s="24" t="e">
        <f>SUMIFS(#REF!,#REF!,$B48,#REF!,Y$1)</f>
        <v>#REF!</v>
      </c>
      <c r="Z48" s="24" t="e">
        <f>SUMIFS(#REF!,#REF!,$B48,#REF!,Z$1)</f>
        <v>#REF!</v>
      </c>
      <c r="AA48" s="24" t="e">
        <f>SUMIFS(#REF!,#REF!,$B48,#REF!,AA$1)</f>
        <v>#REF!</v>
      </c>
      <c r="AB48" s="24" t="e">
        <f>SUMIFS(#REF!,#REF!,$B48,#REF!,AB$1)</f>
        <v>#REF!</v>
      </c>
      <c r="AC48" s="24" t="e">
        <f>SUMIFS(#REF!,#REF!,$B48,#REF!,AC$1)</f>
        <v>#REF!</v>
      </c>
      <c r="AD48" s="24" t="e">
        <f>SUMIFS(#REF!,#REF!,$B48,#REF!,AD$1)</f>
        <v>#REF!</v>
      </c>
      <c r="AE48" s="24" t="e">
        <f>SUMIFS(#REF!,#REF!,$B48,#REF!,AE$1)</f>
        <v>#REF!</v>
      </c>
      <c r="AF48" s="24" t="e">
        <f>SUMIFS(#REF!,#REF!,$B48,#REF!,AF$1)</f>
        <v>#REF!</v>
      </c>
      <c r="AG48" s="24" t="e">
        <f>SUMIFS(#REF!,#REF!,$B48,#REF!,AG$1)</f>
        <v>#REF!</v>
      </c>
      <c r="AH48" s="24" t="e">
        <f>SUMIFS(#REF!,#REF!,$B48,#REF!,AH$1)</f>
        <v>#REF!</v>
      </c>
      <c r="AI48" s="24" t="e">
        <f>SUMIFS(#REF!,#REF!,$B48,#REF!,AI$1)</f>
        <v>#REF!</v>
      </c>
      <c r="AJ48" s="24" t="e">
        <f>SUMIFS(#REF!,#REF!,$B48,#REF!,AJ$1)</f>
        <v>#REF!</v>
      </c>
      <c r="AK48" s="24" t="e">
        <f>SUMIFS(#REF!,#REF!,$B48,#REF!,AK$1)</f>
        <v>#REF!</v>
      </c>
      <c r="AL48" s="24" t="e">
        <f>SUMIFS(#REF!,#REF!,$B48,#REF!,AL$1)</f>
        <v>#REF!</v>
      </c>
      <c r="AM48" s="24" t="e">
        <f>SUMIFS(#REF!,#REF!,$B48,#REF!,AM$1)</f>
        <v>#REF!</v>
      </c>
      <c r="AN48" s="24" t="e">
        <f>SUMIFS(#REF!,#REF!,$B48,#REF!,AN$1)</f>
        <v>#REF!</v>
      </c>
      <c r="AO48" s="24" t="e">
        <f>SUMIFS(#REF!,#REF!,$B48,#REF!,AO$1)</f>
        <v>#REF!</v>
      </c>
      <c r="AP48" s="24" t="e">
        <f>SUMIFS(#REF!,#REF!,$B48,#REF!,AP$1)</f>
        <v>#REF!</v>
      </c>
      <c r="AQ48" s="24" t="e">
        <f>SUMIFS(#REF!,#REF!,$B48,#REF!,AQ$1)</f>
        <v>#REF!</v>
      </c>
      <c r="AR48" s="24" t="e">
        <f>SUMIFS(#REF!,#REF!,$B48,#REF!,AR$1)</f>
        <v>#REF!</v>
      </c>
      <c r="AS48" s="24" t="e">
        <f>SUMIFS(#REF!,#REF!,$B48,#REF!,AS$1)</f>
        <v>#REF!</v>
      </c>
      <c r="AT48" s="24" t="e">
        <f>SUMIFS(#REF!,#REF!,$B48,#REF!,AT$1)</f>
        <v>#REF!</v>
      </c>
      <c r="AU48" s="24" t="e">
        <f>SUMIFS(#REF!,#REF!,$B48,#REF!,AU$1)</f>
        <v>#REF!</v>
      </c>
      <c r="AV48" s="24" t="e">
        <f>SUMIFS(#REF!,#REF!,$B48,#REF!,AV$1)</f>
        <v>#REF!</v>
      </c>
      <c r="AW48" s="24" t="e">
        <f>SUMIFS(#REF!,#REF!,$B48,#REF!,AW$1)</f>
        <v>#REF!</v>
      </c>
      <c r="AX48" s="24" t="e">
        <f>SUMIFS(#REF!,#REF!,$B48,#REF!,AX$1)</f>
        <v>#REF!</v>
      </c>
      <c r="AY48" s="24" t="e">
        <f>SUMIFS(#REF!,#REF!,$B48,#REF!,AY$1)</f>
        <v>#REF!</v>
      </c>
      <c r="AZ48" s="24" t="e">
        <f>SUMIFS(#REF!,#REF!,$B48,#REF!,AZ$1)</f>
        <v>#REF!</v>
      </c>
      <c r="BA48" s="24" t="e">
        <f>SUMIFS(#REF!,#REF!,$B48,#REF!,BA$1)</f>
        <v>#REF!</v>
      </c>
      <c r="BB48" s="24" t="e">
        <f>SUMIFS(#REF!,#REF!,$B48,#REF!,BB$1)</f>
        <v>#REF!</v>
      </c>
      <c r="BC48" s="24" t="e">
        <f>SUMIFS(#REF!,#REF!,$B48,#REF!,BC$1)</f>
        <v>#REF!</v>
      </c>
      <c r="BD48" s="24" t="e">
        <f>SUMIFS(#REF!,#REF!,$B48,#REF!,BD$1)</f>
        <v>#REF!</v>
      </c>
      <c r="BE48" s="24" t="e">
        <f>SUMIFS(#REF!,#REF!,$B48,#REF!,BE$1)</f>
        <v>#REF!</v>
      </c>
      <c r="BF48" s="24" t="e">
        <f>SUMIFS(#REF!,#REF!,$B48,#REF!,BF$1)</f>
        <v>#REF!</v>
      </c>
      <c r="BG48" s="24" t="e">
        <f>SUMIFS(#REF!,#REF!,$B48,#REF!,BG$1)</f>
        <v>#REF!</v>
      </c>
      <c r="BH48" s="24" t="e">
        <f>SUMIFS(#REF!,#REF!,$B48,#REF!,BH$1)</f>
        <v>#REF!</v>
      </c>
      <c r="BI48" s="24" t="e">
        <f>SUMIFS(#REF!,#REF!,$B48,#REF!,BI$1)</f>
        <v>#REF!</v>
      </c>
      <c r="BJ48" s="24" t="e">
        <f>SUMIFS(#REF!,#REF!,$B48,#REF!,BJ$1)</f>
        <v>#REF!</v>
      </c>
      <c r="BK48" s="24" t="e">
        <f>SUMIFS(#REF!,#REF!,$B48,#REF!,BK$1)</f>
        <v>#REF!</v>
      </c>
      <c r="BL48" s="24" t="e">
        <f>SUMIFS(#REF!,#REF!,$B48,#REF!,BL$1)</f>
        <v>#REF!</v>
      </c>
      <c r="BM48" s="24" t="e">
        <f>SUMIFS(#REF!,#REF!,$B48,#REF!,BM$1)</f>
        <v>#REF!</v>
      </c>
      <c r="BN48" s="24" t="e">
        <f>SUMIFS(#REF!,#REF!,$B48,#REF!,BN$1)</f>
        <v>#REF!</v>
      </c>
      <c r="BO48" s="24" t="e">
        <f>SUMIFS(#REF!,#REF!,$B48,#REF!,BO$1)</f>
        <v>#REF!</v>
      </c>
      <c r="BP48" s="24" t="e">
        <f>SUMIFS(#REF!,#REF!,$B48,#REF!,BP$1)</f>
        <v>#REF!</v>
      </c>
      <c r="BQ48" s="24" t="e">
        <f>SUMIFS(#REF!,#REF!,$B48,#REF!,BQ$1)</f>
        <v>#REF!</v>
      </c>
      <c r="BR48" s="24" t="e">
        <f>SUMIFS(#REF!,#REF!,$B48,#REF!,BR$1)</f>
        <v>#REF!</v>
      </c>
      <c r="BS48" s="24" t="e">
        <f>SUMIFS(#REF!,#REF!,$B48,#REF!,BS$1)</f>
        <v>#REF!</v>
      </c>
      <c r="BT48" s="24" t="e">
        <f>SUMIFS(#REF!,#REF!,$B48,#REF!,BT$1)</f>
        <v>#REF!</v>
      </c>
      <c r="BU48" s="24" t="e">
        <f>SUMIFS(#REF!,#REF!,$B48,#REF!,BU$1)</f>
        <v>#REF!</v>
      </c>
      <c r="BV48" s="24" t="e">
        <f>SUMIFS(#REF!,#REF!,$B48,#REF!,BV$1)</f>
        <v>#REF!</v>
      </c>
      <c r="BW48" s="24" t="e">
        <f>SUMIFS(#REF!,#REF!,$B48,#REF!,BW$1)</f>
        <v>#REF!</v>
      </c>
      <c r="BX48" s="24" t="e">
        <f>SUMIFS(#REF!,#REF!,$B48,#REF!,BX$1)</f>
        <v>#REF!</v>
      </c>
      <c r="BY48" s="24" t="e">
        <f>SUMIFS(#REF!,#REF!,$B48,#REF!,BY$1)</f>
        <v>#REF!</v>
      </c>
      <c r="BZ48" s="24" t="e">
        <f>SUMIFS(#REF!,#REF!,$B48,#REF!,BZ$1)</f>
        <v>#REF!</v>
      </c>
      <c r="CA48" s="24" t="e">
        <f>SUMIFS(#REF!,#REF!,$B48,#REF!,CA$1)</f>
        <v>#REF!</v>
      </c>
      <c r="CB48" s="24" t="e">
        <f>SUMIFS(#REF!,#REF!,$B48,#REF!,CB$1)</f>
        <v>#REF!</v>
      </c>
      <c r="CC48" s="24" t="e">
        <f>SUMIFS(#REF!,#REF!,$B48,#REF!,CC$1)</f>
        <v>#REF!</v>
      </c>
      <c r="CD48" s="24" t="e">
        <f>SUMIFS(#REF!,#REF!,$B48,#REF!,CD$1)</f>
        <v>#REF!</v>
      </c>
      <c r="CE48" s="24" t="e">
        <f>SUMIFS(#REF!,#REF!,$B48,#REF!,CE$1)</f>
        <v>#REF!</v>
      </c>
      <c r="CF48" s="24" t="e">
        <f>SUMIFS(#REF!,#REF!,$B48,#REF!,CF$1)</f>
        <v>#REF!</v>
      </c>
      <c r="CG48" s="19" t="e">
        <f t="shared" si="0"/>
        <v>#REF!</v>
      </c>
    </row>
    <row r="49" spans="1:85" x14ac:dyDescent="0.45">
      <c r="A49" s="4" t="s">
        <v>1079</v>
      </c>
      <c r="B49" s="4" t="s">
        <v>1080</v>
      </c>
      <c r="C49" s="24" t="e">
        <f>SUMIFS(#REF!,#REF!,$B49,#REF!,C$1)</f>
        <v>#REF!</v>
      </c>
      <c r="D49" s="24" t="e">
        <f>SUMIFS(#REF!,#REF!,$B49,#REF!,D$1)</f>
        <v>#REF!</v>
      </c>
      <c r="E49" s="24" t="e">
        <f>SUMIFS(#REF!,#REF!,$B49,#REF!,E$1)</f>
        <v>#REF!</v>
      </c>
      <c r="F49" s="24" t="e">
        <f>SUMIFS(#REF!,#REF!,$B49,#REF!,F$1)</f>
        <v>#REF!</v>
      </c>
      <c r="G49" s="24" t="e">
        <f>SUMIFS(#REF!,#REF!,$B49,#REF!,G$1)</f>
        <v>#REF!</v>
      </c>
      <c r="H49" s="24" t="e">
        <f>SUMIFS(#REF!,#REF!,$B49,#REF!,H$1)</f>
        <v>#REF!</v>
      </c>
      <c r="I49" s="24" t="e">
        <f>SUMIFS(#REF!,#REF!,$B49,#REF!,I$1)</f>
        <v>#REF!</v>
      </c>
      <c r="J49" s="24" t="e">
        <f>SUMIFS(#REF!,#REF!,$B49,#REF!,J$1)</f>
        <v>#REF!</v>
      </c>
      <c r="K49" s="24" t="e">
        <f>SUMIFS(#REF!,#REF!,$B49,#REF!,K$1)</f>
        <v>#REF!</v>
      </c>
      <c r="L49" s="24" t="e">
        <f>SUMIFS(#REF!,#REF!,$B49,#REF!,L$1)</f>
        <v>#REF!</v>
      </c>
      <c r="M49" s="24" t="e">
        <f>SUMIFS(#REF!,#REF!,$B49,#REF!,M$1)</f>
        <v>#REF!</v>
      </c>
      <c r="N49" s="24" t="e">
        <f>SUMIFS(#REF!,#REF!,$B49,#REF!,N$1)</f>
        <v>#REF!</v>
      </c>
      <c r="O49" s="24" t="e">
        <f>SUMIFS(#REF!,#REF!,$B49,#REF!,O$1)</f>
        <v>#REF!</v>
      </c>
      <c r="P49" s="24" t="e">
        <f>SUMIFS(#REF!,#REF!,$B49,#REF!,P$1)</f>
        <v>#REF!</v>
      </c>
      <c r="Q49" s="24" t="e">
        <f>SUMIFS(#REF!,#REF!,$B49,#REF!,Q$1)</f>
        <v>#REF!</v>
      </c>
      <c r="R49" s="24" t="e">
        <f>SUMIFS(#REF!,#REF!,$B49,#REF!,R$1)</f>
        <v>#REF!</v>
      </c>
      <c r="S49" s="24" t="e">
        <f>SUMIFS(#REF!,#REF!,$B49,#REF!,S$1)</f>
        <v>#REF!</v>
      </c>
      <c r="T49" s="24" t="e">
        <f>SUMIFS(#REF!,#REF!,$B49,#REF!,T$1)</f>
        <v>#REF!</v>
      </c>
      <c r="U49" s="24" t="e">
        <f>SUMIFS(#REF!,#REF!,$B49,#REF!,U$1)</f>
        <v>#REF!</v>
      </c>
      <c r="V49" s="24" t="e">
        <f>SUMIFS(#REF!,#REF!,$B49,#REF!,V$1)</f>
        <v>#REF!</v>
      </c>
      <c r="W49" s="24" t="e">
        <f>SUMIFS(#REF!,#REF!,$B49,#REF!,W$1)</f>
        <v>#REF!</v>
      </c>
      <c r="X49" s="24" t="e">
        <f>SUMIFS(#REF!,#REF!,$B49,#REF!,X$1)</f>
        <v>#REF!</v>
      </c>
      <c r="Y49" s="24" t="e">
        <f>SUMIFS(#REF!,#REF!,$B49,#REF!,Y$1)</f>
        <v>#REF!</v>
      </c>
      <c r="Z49" s="24" t="e">
        <f>SUMIFS(#REF!,#REF!,$B49,#REF!,Z$1)</f>
        <v>#REF!</v>
      </c>
      <c r="AA49" s="24" t="e">
        <f>SUMIFS(#REF!,#REF!,$B49,#REF!,AA$1)</f>
        <v>#REF!</v>
      </c>
      <c r="AB49" s="24" t="e">
        <f>SUMIFS(#REF!,#REF!,$B49,#REF!,AB$1)</f>
        <v>#REF!</v>
      </c>
      <c r="AC49" s="24" t="e">
        <f>SUMIFS(#REF!,#REF!,$B49,#REF!,AC$1)</f>
        <v>#REF!</v>
      </c>
      <c r="AD49" s="24" t="e">
        <f>SUMIFS(#REF!,#REF!,$B49,#REF!,AD$1)</f>
        <v>#REF!</v>
      </c>
      <c r="AE49" s="24" t="e">
        <f>SUMIFS(#REF!,#REF!,$B49,#REF!,AE$1)</f>
        <v>#REF!</v>
      </c>
      <c r="AF49" s="24" t="e">
        <f>SUMIFS(#REF!,#REF!,$B49,#REF!,AF$1)</f>
        <v>#REF!</v>
      </c>
      <c r="AG49" s="24" t="e">
        <f>SUMIFS(#REF!,#REF!,$B49,#REF!,AG$1)</f>
        <v>#REF!</v>
      </c>
      <c r="AH49" s="24" t="e">
        <f>SUMIFS(#REF!,#REF!,$B49,#REF!,AH$1)</f>
        <v>#REF!</v>
      </c>
      <c r="AI49" s="24" t="e">
        <f>SUMIFS(#REF!,#REF!,$B49,#REF!,AI$1)</f>
        <v>#REF!</v>
      </c>
      <c r="AJ49" s="24" t="e">
        <f>SUMIFS(#REF!,#REF!,$B49,#REF!,AJ$1)</f>
        <v>#REF!</v>
      </c>
      <c r="AK49" s="24" t="e">
        <f>SUMIFS(#REF!,#REF!,$B49,#REF!,AK$1)</f>
        <v>#REF!</v>
      </c>
      <c r="AL49" s="24" t="e">
        <f>SUMIFS(#REF!,#REF!,$B49,#REF!,AL$1)</f>
        <v>#REF!</v>
      </c>
      <c r="AM49" s="24" t="e">
        <f>SUMIFS(#REF!,#REF!,$B49,#REF!,AM$1)</f>
        <v>#REF!</v>
      </c>
      <c r="AN49" s="24" t="e">
        <f>SUMIFS(#REF!,#REF!,$B49,#REF!,AN$1)</f>
        <v>#REF!</v>
      </c>
      <c r="AO49" s="24" t="e">
        <f>SUMIFS(#REF!,#REF!,$B49,#REF!,AO$1)</f>
        <v>#REF!</v>
      </c>
      <c r="AP49" s="24" t="e">
        <f>SUMIFS(#REF!,#REF!,$B49,#REF!,AP$1)</f>
        <v>#REF!</v>
      </c>
      <c r="AQ49" s="24" t="e">
        <f>SUMIFS(#REF!,#REF!,$B49,#REF!,AQ$1)</f>
        <v>#REF!</v>
      </c>
      <c r="AR49" s="24" t="e">
        <f>SUMIFS(#REF!,#REF!,$B49,#REF!,AR$1)</f>
        <v>#REF!</v>
      </c>
      <c r="AS49" s="24" t="e">
        <f>SUMIFS(#REF!,#REF!,$B49,#REF!,AS$1)</f>
        <v>#REF!</v>
      </c>
      <c r="AT49" s="24" t="e">
        <f>SUMIFS(#REF!,#REF!,$B49,#REF!,AT$1)</f>
        <v>#REF!</v>
      </c>
      <c r="AU49" s="24" t="e">
        <f>SUMIFS(#REF!,#REF!,$B49,#REF!,AU$1)</f>
        <v>#REF!</v>
      </c>
      <c r="AV49" s="24" t="e">
        <f>SUMIFS(#REF!,#REF!,$B49,#REF!,AV$1)</f>
        <v>#REF!</v>
      </c>
      <c r="AW49" s="24" t="e">
        <f>SUMIFS(#REF!,#REF!,$B49,#REF!,AW$1)</f>
        <v>#REF!</v>
      </c>
      <c r="AX49" s="24" t="e">
        <f>SUMIFS(#REF!,#REF!,$B49,#REF!,AX$1)</f>
        <v>#REF!</v>
      </c>
      <c r="AY49" s="24" t="e">
        <f>SUMIFS(#REF!,#REF!,$B49,#REF!,AY$1)</f>
        <v>#REF!</v>
      </c>
      <c r="AZ49" s="24" t="e">
        <f>SUMIFS(#REF!,#REF!,$B49,#REF!,AZ$1)</f>
        <v>#REF!</v>
      </c>
      <c r="BA49" s="24" t="e">
        <f>SUMIFS(#REF!,#REF!,$B49,#REF!,BA$1)</f>
        <v>#REF!</v>
      </c>
      <c r="BB49" s="24" t="e">
        <f>SUMIFS(#REF!,#REF!,$B49,#REF!,BB$1)</f>
        <v>#REF!</v>
      </c>
      <c r="BC49" s="24" t="e">
        <f>SUMIFS(#REF!,#REF!,$B49,#REF!,BC$1)</f>
        <v>#REF!</v>
      </c>
      <c r="BD49" s="24" t="e">
        <f>SUMIFS(#REF!,#REF!,$B49,#REF!,BD$1)</f>
        <v>#REF!</v>
      </c>
      <c r="BE49" s="24" t="e">
        <f>SUMIFS(#REF!,#REF!,$B49,#REF!,BE$1)</f>
        <v>#REF!</v>
      </c>
      <c r="BF49" s="24" t="e">
        <f>SUMIFS(#REF!,#REF!,$B49,#REF!,BF$1)</f>
        <v>#REF!</v>
      </c>
      <c r="BG49" s="24" t="e">
        <f>SUMIFS(#REF!,#REF!,$B49,#REF!,BG$1)</f>
        <v>#REF!</v>
      </c>
      <c r="BH49" s="24" t="e">
        <f>SUMIFS(#REF!,#REF!,$B49,#REF!,BH$1)</f>
        <v>#REF!</v>
      </c>
      <c r="BI49" s="24" t="e">
        <f>SUMIFS(#REF!,#REF!,$B49,#REF!,BI$1)</f>
        <v>#REF!</v>
      </c>
      <c r="BJ49" s="24" t="e">
        <f>SUMIFS(#REF!,#REF!,$B49,#REF!,BJ$1)</f>
        <v>#REF!</v>
      </c>
      <c r="BK49" s="24" t="e">
        <f>SUMIFS(#REF!,#REF!,$B49,#REF!,BK$1)</f>
        <v>#REF!</v>
      </c>
      <c r="BL49" s="24" t="e">
        <f>SUMIFS(#REF!,#REF!,$B49,#REF!,BL$1)</f>
        <v>#REF!</v>
      </c>
      <c r="BM49" s="24" t="e">
        <f>SUMIFS(#REF!,#REF!,$B49,#REF!,BM$1)</f>
        <v>#REF!</v>
      </c>
      <c r="BN49" s="24" t="e">
        <f>SUMIFS(#REF!,#REF!,$B49,#REF!,BN$1)</f>
        <v>#REF!</v>
      </c>
      <c r="BO49" s="24" t="e">
        <f>SUMIFS(#REF!,#REF!,$B49,#REF!,BO$1)</f>
        <v>#REF!</v>
      </c>
      <c r="BP49" s="24" t="e">
        <f>SUMIFS(#REF!,#REF!,$B49,#REF!,BP$1)</f>
        <v>#REF!</v>
      </c>
      <c r="BQ49" s="24" t="e">
        <f>SUMIFS(#REF!,#REF!,$B49,#REF!,BQ$1)</f>
        <v>#REF!</v>
      </c>
      <c r="BR49" s="24" t="e">
        <f>SUMIFS(#REF!,#REF!,$B49,#REF!,BR$1)</f>
        <v>#REF!</v>
      </c>
      <c r="BS49" s="24" t="e">
        <f>SUMIFS(#REF!,#REF!,$B49,#REF!,BS$1)</f>
        <v>#REF!</v>
      </c>
      <c r="BT49" s="24" t="e">
        <f>SUMIFS(#REF!,#REF!,$B49,#REF!,BT$1)</f>
        <v>#REF!</v>
      </c>
      <c r="BU49" s="24" t="e">
        <f>SUMIFS(#REF!,#REF!,$B49,#REF!,BU$1)</f>
        <v>#REF!</v>
      </c>
      <c r="BV49" s="24" t="e">
        <f>SUMIFS(#REF!,#REF!,$B49,#REF!,BV$1)</f>
        <v>#REF!</v>
      </c>
      <c r="BW49" s="24" t="e">
        <f>SUMIFS(#REF!,#REF!,$B49,#REF!,BW$1)</f>
        <v>#REF!</v>
      </c>
      <c r="BX49" s="24" t="e">
        <f>SUMIFS(#REF!,#REF!,$B49,#REF!,BX$1)</f>
        <v>#REF!</v>
      </c>
      <c r="BY49" s="24" t="e">
        <f>SUMIFS(#REF!,#REF!,$B49,#REF!,BY$1)</f>
        <v>#REF!</v>
      </c>
      <c r="BZ49" s="24" t="e">
        <f>SUMIFS(#REF!,#REF!,$B49,#REF!,BZ$1)</f>
        <v>#REF!</v>
      </c>
      <c r="CA49" s="24" t="e">
        <f>SUMIFS(#REF!,#REF!,$B49,#REF!,CA$1)</f>
        <v>#REF!</v>
      </c>
      <c r="CB49" s="24" t="e">
        <f>SUMIFS(#REF!,#REF!,$B49,#REF!,CB$1)</f>
        <v>#REF!</v>
      </c>
      <c r="CC49" s="24" t="e">
        <f>SUMIFS(#REF!,#REF!,$B49,#REF!,CC$1)</f>
        <v>#REF!</v>
      </c>
      <c r="CD49" s="24" t="e">
        <f>SUMIFS(#REF!,#REF!,$B49,#REF!,CD$1)</f>
        <v>#REF!</v>
      </c>
      <c r="CE49" s="24" t="e">
        <f>SUMIFS(#REF!,#REF!,$B49,#REF!,CE$1)</f>
        <v>#REF!</v>
      </c>
      <c r="CF49" s="24" t="e">
        <f>SUMIFS(#REF!,#REF!,$B49,#REF!,CF$1)</f>
        <v>#REF!</v>
      </c>
      <c r="CG49" s="19" t="e">
        <f t="shared" si="0"/>
        <v>#REF!</v>
      </c>
    </row>
    <row r="50" spans="1:85" x14ac:dyDescent="0.45">
      <c r="A50" s="4" t="s">
        <v>1081</v>
      </c>
      <c r="B50" s="4" t="s">
        <v>1082</v>
      </c>
      <c r="C50" s="24" t="e">
        <f>SUMIFS(#REF!,#REF!,$B50,#REF!,C$1)</f>
        <v>#REF!</v>
      </c>
      <c r="D50" s="24" t="e">
        <f>SUMIFS(#REF!,#REF!,$B50,#REF!,D$1)</f>
        <v>#REF!</v>
      </c>
      <c r="E50" s="24" t="e">
        <f>SUMIFS(#REF!,#REF!,$B50,#REF!,E$1)</f>
        <v>#REF!</v>
      </c>
      <c r="F50" s="24" t="e">
        <f>SUMIFS(#REF!,#REF!,$B50,#REF!,F$1)</f>
        <v>#REF!</v>
      </c>
      <c r="G50" s="24" t="e">
        <f>SUMIFS(#REF!,#REF!,$B50,#REF!,G$1)</f>
        <v>#REF!</v>
      </c>
      <c r="H50" s="24" t="e">
        <f>SUMIFS(#REF!,#REF!,$B50,#REF!,H$1)</f>
        <v>#REF!</v>
      </c>
      <c r="I50" s="24" t="e">
        <f>SUMIFS(#REF!,#REF!,$B50,#REF!,I$1)</f>
        <v>#REF!</v>
      </c>
      <c r="J50" s="24" t="e">
        <f>SUMIFS(#REF!,#REF!,$B50,#REF!,J$1)</f>
        <v>#REF!</v>
      </c>
      <c r="K50" s="24" t="e">
        <f>SUMIFS(#REF!,#REF!,$B50,#REF!,K$1)</f>
        <v>#REF!</v>
      </c>
      <c r="L50" s="24" t="e">
        <f>SUMIFS(#REF!,#REF!,$B50,#REF!,L$1)</f>
        <v>#REF!</v>
      </c>
      <c r="M50" s="24" t="e">
        <f>SUMIFS(#REF!,#REF!,$B50,#REF!,M$1)</f>
        <v>#REF!</v>
      </c>
      <c r="N50" s="24" t="e">
        <f>SUMIFS(#REF!,#REF!,$B50,#REF!,N$1)</f>
        <v>#REF!</v>
      </c>
      <c r="O50" s="24" t="e">
        <f>SUMIFS(#REF!,#REF!,$B50,#REF!,O$1)</f>
        <v>#REF!</v>
      </c>
      <c r="P50" s="24" t="e">
        <f>SUMIFS(#REF!,#REF!,$B50,#REF!,P$1)</f>
        <v>#REF!</v>
      </c>
      <c r="Q50" s="24" t="e">
        <f>SUMIFS(#REF!,#REF!,$B50,#REF!,Q$1)</f>
        <v>#REF!</v>
      </c>
      <c r="R50" s="24" t="e">
        <f>SUMIFS(#REF!,#REF!,$B50,#REF!,R$1)</f>
        <v>#REF!</v>
      </c>
      <c r="S50" s="24" t="e">
        <f>SUMIFS(#REF!,#REF!,$B50,#REF!,S$1)</f>
        <v>#REF!</v>
      </c>
      <c r="T50" s="24" t="e">
        <f>SUMIFS(#REF!,#REF!,$B50,#REF!,T$1)</f>
        <v>#REF!</v>
      </c>
      <c r="U50" s="24" t="e">
        <f>SUMIFS(#REF!,#REF!,$B50,#REF!,U$1)</f>
        <v>#REF!</v>
      </c>
      <c r="V50" s="24" t="e">
        <f>SUMIFS(#REF!,#REF!,$B50,#REF!,V$1)</f>
        <v>#REF!</v>
      </c>
      <c r="W50" s="24" t="e">
        <f>SUMIFS(#REF!,#REF!,$B50,#REF!,W$1)</f>
        <v>#REF!</v>
      </c>
      <c r="X50" s="24" t="e">
        <f>SUMIFS(#REF!,#REF!,$B50,#REF!,X$1)</f>
        <v>#REF!</v>
      </c>
      <c r="Y50" s="24" t="e">
        <f>SUMIFS(#REF!,#REF!,$B50,#REF!,Y$1)</f>
        <v>#REF!</v>
      </c>
      <c r="Z50" s="24" t="e">
        <f>SUMIFS(#REF!,#REF!,$B50,#REF!,Z$1)</f>
        <v>#REF!</v>
      </c>
      <c r="AA50" s="24" t="e">
        <f>SUMIFS(#REF!,#REF!,$B50,#REF!,AA$1)</f>
        <v>#REF!</v>
      </c>
      <c r="AB50" s="24" t="e">
        <f>SUMIFS(#REF!,#REF!,$B50,#REF!,AB$1)</f>
        <v>#REF!</v>
      </c>
      <c r="AC50" s="24" t="e">
        <f>SUMIFS(#REF!,#REF!,$B50,#REF!,AC$1)</f>
        <v>#REF!</v>
      </c>
      <c r="AD50" s="24" t="e">
        <f>SUMIFS(#REF!,#REF!,$B50,#REF!,AD$1)</f>
        <v>#REF!</v>
      </c>
      <c r="AE50" s="24" t="e">
        <f>SUMIFS(#REF!,#REF!,$B50,#REF!,AE$1)</f>
        <v>#REF!</v>
      </c>
      <c r="AF50" s="24" t="e">
        <f>SUMIFS(#REF!,#REF!,$B50,#REF!,AF$1)</f>
        <v>#REF!</v>
      </c>
      <c r="AG50" s="24" t="e">
        <f>SUMIFS(#REF!,#REF!,$B50,#REF!,AG$1)</f>
        <v>#REF!</v>
      </c>
      <c r="AH50" s="24" t="e">
        <f>SUMIFS(#REF!,#REF!,$B50,#REF!,AH$1)</f>
        <v>#REF!</v>
      </c>
      <c r="AI50" s="24" t="e">
        <f>SUMIFS(#REF!,#REF!,$B50,#REF!,AI$1)</f>
        <v>#REF!</v>
      </c>
      <c r="AJ50" s="24" t="e">
        <f>SUMIFS(#REF!,#REF!,$B50,#REF!,AJ$1)</f>
        <v>#REF!</v>
      </c>
      <c r="AK50" s="24" t="e">
        <f>SUMIFS(#REF!,#REF!,$B50,#REF!,AK$1)</f>
        <v>#REF!</v>
      </c>
      <c r="AL50" s="24" t="e">
        <f>SUMIFS(#REF!,#REF!,$B50,#REF!,AL$1)</f>
        <v>#REF!</v>
      </c>
      <c r="AM50" s="24" t="e">
        <f>SUMIFS(#REF!,#REF!,$B50,#REF!,AM$1)</f>
        <v>#REF!</v>
      </c>
      <c r="AN50" s="24" t="e">
        <f>SUMIFS(#REF!,#REF!,$B50,#REF!,AN$1)</f>
        <v>#REF!</v>
      </c>
      <c r="AO50" s="24" t="e">
        <f>SUMIFS(#REF!,#REF!,$B50,#REF!,AO$1)</f>
        <v>#REF!</v>
      </c>
      <c r="AP50" s="24" t="e">
        <f>SUMIFS(#REF!,#REF!,$B50,#REF!,AP$1)</f>
        <v>#REF!</v>
      </c>
      <c r="AQ50" s="24" t="e">
        <f>SUMIFS(#REF!,#REF!,$B50,#REF!,AQ$1)</f>
        <v>#REF!</v>
      </c>
      <c r="AR50" s="24" t="e">
        <f>SUMIFS(#REF!,#REF!,$B50,#REF!,AR$1)</f>
        <v>#REF!</v>
      </c>
      <c r="AS50" s="24" t="e">
        <f>SUMIFS(#REF!,#REF!,$B50,#REF!,AS$1)</f>
        <v>#REF!</v>
      </c>
      <c r="AT50" s="24" t="e">
        <f>SUMIFS(#REF!,#REF!,$B50,#REF!,AT$1)</f>
        <v>#REF!</v>
      </c>
      <c r="AU50" s="24" t="e">
        <f>SUMIFS(#REF!,#REF!,$B50,#REF!,AU$1)</f>
        <v>#REF!</v>
      </c>
      <c r="AV50" s="24" t="e">
        <f>SUMIFS(#REF!,#REF!,$B50,#REF!,AV$1)</f>
        <v>#REF!</v>
      </c>
      <c r="AW50" s="24" t="e">
        <f>SUMIFS(#REF!,#REF!,$B50,#REF!,AW$1)</f>
        <v>#REF!</v>
      </c>
      <c r="AX50" s="24" t="e">
        <f>SUMIFS(#REF!,#REF!,$B50,#REF!,AX$1)</f>
        <v>#REF!</v>
      </c>
      <c r="AY50" s="24" t="e">
        <f>SUMIFS(#REF!,#REF!,$B50,#REF!,AY$1)</f>
        <v>#REF!</v>
      </c>
      <c r="AZ50" s="24" t="e">
        <f>SUMIFS(#REF!,#REF!,$B50,#REF!,AZ$1)</f>
        <v>#REF!</v>
      </c>
      <c r="BA50" s="24" t="e">
        <f>SUMIFS(#REF!,#REF!,$B50,#REF!,BA$1)</f>
        <v>#REF!</v>
      </c>
      <c r="BB50" s="24" t="e">
        <f>SUMIFS(#REF!,#REF!,$B50,#REF!,BB$1)</f>
        <v>#REF!</v>
      </c>
      <c r="BC50" s="24" t="e">
        <f>SUMIFS(#REF!,#REF!,$B50,#REF!,BC$1)</f>
        <v>#REF!</v>
      </c>
      <c r="BD50" s="24" t="e">
        <f>SUMIFS(#REF!,#REF!,$B50,#REF!,BD$1)</f>
        <v>#REF!</v>
      </c>
      <c r="BE50" s="24" t="e">
        <f>SUMIFS(#REF!,#REF!,$B50,#REF!,BE$1)</f>
        <v>#REF!</v>
      </c>
      <c r="BF50" s="24" t="e">
        <f>SUMIFS(#REF!,#REF!,$B50,#REF!,BF$1)</f>
        <v>#REF!</v>
      </c>
      <c r="BG50" s="24" t="e">
        <f>SUMIFS(#REF!,#REF!,$B50,#REF!,BG$1)</f>
        <v>#REF!</v>
      </c>
      <c r="BH50" s="24" t="e">
        <f>SUMIFS(#REF!,#REF!,$B50,#REF!,BH$1)</f>
        <v>#REF!</v>
      </c>
      <c r="BI50" s="24" t="e">
        <f>SUMIFS(#REF!,#REF!,$B50,#REF!,BI$1)</f>
        <v>#REF!</v>
      </c>
      <c r="BJ50" s="24" t="e">
        <f>SUMIFS(#REF!,#REF!,$B50,#REF!,BJ$1)</f>
        <v>#REF!</v>
      </c>
      <c r="BK50" s="24" t="e">
        <f>SUMIFS(#REF!,#REF!,$B50,#REF!,BK$1)</f>
        <v>#REF!</v>
      </c>
      <c r="BL50" s="24" t="e">
        <f>SUMIFS(#REF!,#REF!,$B50,#REF!,BL$1)</f>
        <v>#REF!</v>
      </c>
      <c r="BM50" s="24" t="e">
        <f>SUMIFS(#REF!,#REF!,$B50,#REF!,BM$1)</f>
        <v>#REF!</v>
      </c>
      <c r="BN50" s="24" t="e">
        <f>SUMIFS(#REF!,#REF!,$B50,#REF!,BN$1)</f>
        <v>#REF!</v>
      </c>
      <c r="BO50" s="24" t="e">
        <f>SUMIFS(#REF!,#REF!,$B50,#REF!,BO$1)</f>
        <v>#REF!</v>
      </c>
      <c r="BP50" s="24" t="e">
        <f>SUMIFS(#REF!,#REF!,$B50,#REF!,BP$1)</f>
        <v>#REF!</v>
      </c>
      <c r="BQ50" s="24" t="e">
        <f>SUMIFS(#REF!,#REF!,$B50,#REF!,BQ$1)</f>
        <v>#REF!</v>
      </c>
      <c r="BR50" s="24" t="e">
        <f>SUMIFS(#REF!,#REF!,$B50,#REF!,BR$1)</f>
        <v>#REF!</v>
      </c>
      <c r="BS50" s="24" t="e">
        <f>SUMIFS(#REF!,#REF!,$B50,#REF!,BS$1)</f>
        <v>#REF!</v>
      </c>
      <c r="BT50" s="24" t="e">
        <f>SUMIFS(#REF!,#REF!,$B50,#REF!,BT$1)</f>
        <v>#REF!</v>
      </c>
      <c r="BU50" s="24" t="e">
        <f>SUMIFS(#REF!,#REF!,$B50,#REF!,BU$1)</f>
        <v>#REF!</v>
      </c>
      <c r="BV50" s="24" t="e">
        <f>SUMIFS(#REF!,#REF!,$B50,#REF!,BV$1)</f>
        <v>#REF!</v>
      </c>
      <c r="BW50" s="24" t="e">
        <f>SUMIFS(#REF!,#REF!,$B50,#REF!,BW$1)</f>
        <v>#REF!</v>
      </c>
      <c r="BX50" s="24" t="e">
        <f>SUMIFS(#REF!,#REF!,$B50,#REF!,BX$1)</f>
        <v>#REF!</v>
      </c>
      <c r="BY50" s="24" t="e">
        <f>SUMIFS(#REF!,#REF!,$B50,#REF!,BY$1)</f>
        <v>#REF!</v>
      </c>
      <c r="BZ50" s="24" t="e">
        <f>SUMIFS(#REF!,#REF!,$B50,#REF!,BZ$1)</f>
        <v>#REF!</v>
      </c>
      <c r="CA50" s="24" t="e">
        <f>SUMIFS(#REF!,#REF!,$B50,#REF!,CA$1)</f>
        <v>#REF!</v>
      </c>
      <c r="CB50" s="24" t="e">
        <f>SUMIFS(#REF!,#REF!,$B50,#REF!,CB$1)</f>
        <v>#REF!</v>
      </c>
      <c r="CC50" s="24" t="e">
        <f>SUMIFS(#REF!,#REF!,$B50,#REF!,CC$1)</f>
        <v>#REF!</v>
      </c>
      <c r="CD50" s="24" t="e">
        <f>SUMIFS(#REF!,#REF!,$B50,#REF!,CD$1)</f>
        <v>#REF!</v>
      </c>
      <c r="CE50" s="24" t="e">
        <f>SUMIFS(#REF!,#REF!,$B50,#REF!,CE$1)</f>
        <v>#REF!</v>
      </c>
      <c r="CF50" s="24" t="e">
        <f>SUMIFS(#REF!,#REF!,$B50,#REF!,CF$1)</f>
        <v>#REF!</v>
      </c>
      <c r="CG50" s="19" t="e">
        <f t="shared" si="0"/>
        <v>#REF!</v>
      </c>
    </row>
    <row r="51" spans="1:85" x14ac:dyDescent="0.45">
      <c r="A51" s="4" t="s">
        <v>1083</v>
      </c>
      <c r="B51" s="4" t="s">
        <v>1084</v>
      </c>
      <c r="C51" s="24" t="e">
        <f>SUMIFS(#REF!,#REF!,$B51,#REF!,C$1)</f>
        <v>#REF!</v>
      </c>
      <c r="D51" s="24" t="e">
        <f>SUMIFS(#REF!,#REF!,$B51,#REF!,D$1)</f>
        <v>#REF!</v>
      </c>
      <c r="E51" s="24" t="e">
        <f>SUMIFS(#REF!,#REF!,$B51,#REF!,E$1)</f>
        <v>#REF!</v>
      </c>
      <c r="F51" s="24" t="e">
        <f>SUMIFS(#REF!,#REF!,$B51,#REF!,F$1)</f>
        <v>#REF!</v>
      </c>
      <c r="G51" s="24" t="e">
        <f>SUMIFS(#REF!,#REF!,$B51,#REF!,G$1)</f>
        <v>#REF!</v>
      </c>
      <c r="H51" s="24" t="e">
        <f>SUMIFS(#REF!,#REF!,$B51,#REF!,H$1)</f>
        <v>#REF!</v>
      </c>
      <c r="I51" s="24" t="e">
        <f>SUMIFS(#REF!,#REF!,$B51,#REF!,I$1)</f>
        <v>#REF!</v>
      </c>
      <c r="J51" s="24" t="e">
        <f>SUMIFS(#REF!,#REF!,$B51,#REF!,J$1)</f>
        <v>#REF!</v>
      </c>
      <c r="K51" s="24" t="e">
        <f>SUMIFS(#REF!,#REF!,$B51,#REF!,K$1)</f>
        <v>#REF!</v>
      </c>
      <c r="L51" s="24" t="e">
        <f>SUMIFS(#REF!,#REF!,$B51,#REF!,L$1)</f>
        <v>#REF!</v>
      </c>
      <c r="M51" s="24" t="e">
        <f>SUMIFS(#REF!,#REF!,$B51,#REF!,M$1)</f>
        <v>#REF!</v>
      </c>
      <c r="N51" s="24" t="e">
        <f>SUMIFS(#REF!,#REF!,$B51,#REF!,N$1)</f>
        <v>#REF!</v>
      </c>
      <c r="O51" s="24" t="e">
        <f>SUMIFS(#REF!,#REF!,$B51,#REF!,O$1)</f>
        <v>#REF!</v>
      </c>
      <c r="P51" s="24" t="e">
        <f>SUMIFS(#REF!,#REF!,$B51,#REF!,P$1)</f>
        <v>#REF!</v>
      </c>
      <c r="Q51" s="24" t="e">
        <f>SUMIFS(#REF!,#REF!,$B51,#REF!,Q$1)</f>
        <v>#REF!</v>
      </c>
      <c r="R51" s="24" t="e">
        <f>SUMIFS(#REF!,#REF!,$B51,#REF!,R$1)</f>
        <v>#REF!</v>
      </c>
      <c r="S51" s="24" t="e">
        <f>SUMIFS(#REF!,#REF!,$B51,#REF!,S$1)</f>
        <v>#REF!</v>
      </c>
      <c r="T51" s="24" t="e">
        <f>SUMIFS(#REF!,#REF!,$B51,#REF!,T$1)</f>
        <v>#REF!</v>
      </c>
      <c r="U51" s="24" t="e">
        <f>SUMIFS(#REF!,#REF!,$B51,#REF!,U$1)</f>
        <v>#REF!</v>
      </c>
      <c r="V51" s="24" t="e">
        <f>SUMIFS(#REF!,#REF!,$B51,#REF!,V$1)</f>
        <v>#REF!</v>
      </c>
      <c r="W51" s="24" t="e">
        <f>SUMIFS(#REF!,#REF!,$B51,#REF!,W$1)</f>
        <v>#REF!</v>
      </c>
      <c r="X51" s="24" t="e">
        <f>SUMIFS(#REF!,#REF!,$B51,#REF!,X$1)</f>
        <v>#REF!</v>
      </c>
      <c r="Y51" s="24" t="e">
        <f>SUMIFS(#REF!,#REF!,$B51,#REF!,Y$1)</f>
        <v>#REF!</v>
      </c>
      <c r="Z51" s="24" t="e">
        <f>SUMIFS(#REF!,#REF!,$B51,#REF!,Z$1)</f>
        <v>#REF!</v>
      </c>
      <c r="AA51" s="24" t="e">
        <f>SUMIFS(#REF!,#REF!,$B51,#REF!,AA$1)</f>
        <v>#REF!</v>
      </c>
      <c r="AB51" s="24" t="e">
        <f>SUMIFS(#REF!,#REF!,$B51,#REF!,AB$1)</f>
        <v>#REF!</v>
      </c>
      <c r="AC51" s="24" t="e">
        <f>SUMIFS(#REF!,#REF!,$B51,#REF!,AC$1)</f>
        <v>#REF!</v>
      </c>
      <c r="AD51" s="24" t="e">
        <f>SUMIFS(#REF!,#REF!,$B51,#REF!,AD$1)</f>
        <v>#REF!</v>
      </c>
      <c r="AE51" s="24" t="e">
        <f>SUMIFS(#REF!,#REF!,$B51,#REF!,AE$1)</f>
        <v>#REF!</v>
      </c>
      <c r="AF51" s="24" t="e">
        <f>SUMIFS(#REF!,#REF!,$B51,#REF!,AF$1)</f>
        <v>#REF!</v>
      </c>
      <c r="AG51" s="24" t="e">
        <f>SUMIFS(#REF!,#REF!,$B51,#REF!,AG$1)</f>
        <v>#REF!</v>
      </c>
      <c r="AH51" s="24" t="e">
        <f>SUMIFS(#REF!,#REF!,$B51,#REF!,AH$1)</f>
        <v>#REF!</v>
      </c>
      <c r="AI51" s="24" t="e">
        <f>SUMIFS(#REF!,#REF!,$B51,#REF!,AI$1)</f>
        <v>#REF!</v>
      </c>
      <c r="AJ51" s="24" t="e">
        <f>SUMIFS(#REF!,#REF!,$B51,#REF!,AJ$1)</f>
        <v>#REF!</v>
      </c>
      <c r="AK51" s="24" t="e">
        <f>SUMIFS(#REF!,#REF!,$B51,#REF!,AK$1)</f>
        <v>#REF!</v>
      </c>
      <c r="AL51" s="24" t="e">
        <f>SUMIFS(#REF!,#REF!,$B51,#REF!,AL$1)</f>
        <v>#REF!</v>
      </c>
      <c r="AM51" s="24" t="e">
        <f>SUMIFS(#REF!,#REF!,$B51,#REF!,AM$1)</f>
        <v>#REF!</v>
      </c>
      <c r="AN51" s="24" t="e">
        <f>SUMIFS(#REF!,#REF!,$B51,#REF!,AN$1)</f>
        <v>#REF!</v>
      </c>
      <c r="AO51" s="24" t="e">
        <f>SUMIFS(#REF!,#REF!,$B51,#REF!,AO$1)</f>
        <v>#REF!</v>
      </c>
      <c r="AP51" s="24" t="e">
        <f>SUMIFS(#REF!,#REF!,$B51,#REF!,AP$1)</f>
        <v>#REF!</v>
      </c>
      <c r="AQ51" s="24" t="e">
        <f>SUMIFS(#REF!,#REF!,$B51,#REF!,AQ$1)</f>
        <v>#REF!</v>
      </c>
      <c r="AR51" s="24" t="e">
        <f>SUMIFS(#REF!,#REF!,$B51,#REF!,AR$1)</f>
        <v>#REF!</v>
      </c>
      <c r="AS51" s="24" t="e">
        <f>SUMIFS(#REF!,#REF!,$B51,#REF!,AS$1)</f>
        <v>#REF!</v>
      </c>
      <c r="AT51" s="24" t="e">
        <f>SUMIFS(#REF!,#REF!,$B51,#REF!,AT$1)</f>
        <v>#REF!</v>
      </c>
      <c r="AU51" s="24" t="e">
        <f>SUMIFS(#REF!,#REF!,$B51,#REF!,AU$1)</f>
        <v>#REF!</v>
      </c>
      <c r="AV51" s="24" t="e">
        <f>SUMIFS(#REF!,#REF!,$B51,#REF!,AV$1)</f>
        <v>#REF!</v>
      </c>
      <c r="AW51" s="24" t="e">
        <f>SUMIFS(#REF!,#REF!,$B51,#REF!,AW$1)</f>
        <v>#REF!</v>
      </c>
      <c r="AX51" s="24" t="e">
        <f>SUMIFS(#REF!,#REF!,$B51,#REF!,AX$1)</f>
        <v>#REF!</v>
      </c>
      <c r="AY51" s="24" t="e">
        <f>SUMIFS(#REF!,#REF!,$B51,#REF!,AY$1)</f>
        <v>#REF!</v>
      </c>
      <c r="AZ51" s="24" t="e">
        <f>SUMIFS(#REF!,#REF!,$B51,#REF!,AZ$1)</f>
        <v>#REF!</v>
      </c>
      <c r="BA51" s="24" t="e">
        <f>SUMIFS(#REF!,#REF!,$B51,#REF!,BA$1)</f>
        <v>#REF!</v>
      </c>
      <c r="BB51" s="24" t="e">
        <f>SUMIFS(#REF!,#REF!,$B51,#REF!,BB$1)</f>
        <v>#REF!</v>
      </c>
      <c r="BC51" s="24" t="e">
        <f>SUMIFS(#REF!,#REF!,$B51,#REF!,BC$1)</f>
        <v>#REF!</v>
      </c>
      <c r="BD51" s="24" t="e">
        <f>SUMIFS(#REF!,#REF!,$B51,#REF!,BD$1)</f>
        <v>#REF!</v>
      </c>
      <c r="BE51" s="24" t="e">
        <f>SUMIFS(#REF!,#REF!,$B51,#REF!,BE$1)</f>
        <v>#REF!</v>
      </c>
      <c r="BF51" s="24" t="e">
        <f>SUMIFS(#REF!,#REF!,$B51,#REF!,BF$1)</f>
        <v>#REF!</v>
      </c>
      <c r="BG51" s="24" t="e">
        <f>SUMIFS(#REF!,#REF!,$B51,#REF!,BG$1)</f>
        <v>#REF!</v>
      </c>
      <c r="BH51" s="24" t="e">
        <f>SUMIFS(#REF!,#REF!,$B51,#REF!,BH$1)</f>
        <v>#REF!</v>
      </c>
      <c r="BI51" s="24" t="e">
        <f>SUMIFS(#REF!,#REF!,$B51,#REF!,BI$1)</f>
        <v>#REF!</v>
      </c>
      <c r="BJ51" s="24" t="e">
        <f>SUMIFS(#REF!,#REF!,$B51,#REF!,BJ$1)</f>
        <v>#REF!</v>
      </c>
      <c r="BK51" s="24" t="e">
        <f>SUMIFS(#REF!,#REF!,$B51,#REF!,BK$1)</f>
        <v>#REF!</v>
      </c>
      <c r="BL51" s="24" t="e">
        <f>SUMIFS(#REF!,#REF!,$B51,#REF!,BL$1)</f>
        <v>#REF!</v>
      </c>
      <c r="BM51" s="24" t="e">
        <f>SUMIFS(#REF!,#REF!,$B51,#REF!,BM$1)</f>
        <v>#REF!</v>
      </c>
      <c r="BN51" s="24" t="e">
        <f>SUMIFS(#REF!,#REF!,$B51,#REF!,BN$1)</f>
        <v>#REF!</v>
      </c>
      <c r="BO51" s="24" t="e">
        <f>SUMIFS(#REF!,#REF!,$B51,#REF!,BO$1)</f>
        <v>#REF!</v>
      </c>
      <c r="BP51" s="24" t="e">
        <f>SUMIFS(#REF!,#REF!,$B51,#REF!,BP$1)</f>
        <v>#REF!</v>
      </c>
      <c r="BQ51" s="24" t="e">
        <f>SUMIFS(#REF!,#REF!,$B51,#REF!,BQ$1)</f>
        <v>#REF!</v>
      </c>
      <c r="BR51" s="24" t="e">
        <f>SUMIFS(#REF!,#REF!,$B51,#REF!,BR$1)</f>
        <v>#REF!</v>
      </c>
      <c r="BS51" s="24" t="e">
        <f>SUMIFS(#REF!,#REF!,$B51,#REF!,BS$1)</f>
        <v>#REF!</v>
      </c>
      <c r="BT51" s="24" t="e">
        <f>SUMIFS(#REF!,#REF!,$B51,#REF!,BT$1)</f>
        <v>#REF!</v>
      </c>
      <c r="BU51" s="24" t="e">
        <f>SUMIFS(#REF!,#REF!,$B51,#REF!,BU$1)</f>
        <v>#REF!</v>
      </c>
      <c r="BV51" s="24" t="e">
        <f>SUMIFS(#REF!,#REF!,$B51,#REF!,BV$1)</f>
        <v>#REF!</v>
      </c>
      <c r="BW51" s="24" t="e">
        <f>SUMIFS(#REF!,#REF!,$B51,#REF!,BW$1)</f>
        <v>#REF!</v>
      </c>
      <c r="BX51" s="24" t="e">
        <f>SUMIFS(#REF!,#REF!,$B51,#REF!,BX$1)</f>
        <v>#REF!</v>
      </c>
      <c r="BY51" s="24" t="e">
        <f>SUMIFS(#REF!,#REF!,$B51,#REF!,BY$1)</f>
        <v>#REF!</v>
      </c>
      <c r="BZ51" s="24" t="e">
        <f>SUMIFS(#REF!,#REF!,$B51,#REF!,BZ$1)</f>
        <v>#REF!</v>
      </c>
      <c r="CA51" s="24" t="e">
        <f>SUMIFS(#REF!,#REF!,$B51,#REF!,CA$1)</f>
        <v>#REF!</v>
      </c>
      <c r="CB51" s="24" t="e">
        <f>SUMIFS(#REF!,#REF!,$B51,#REF!,CB$1)</f>
        <v>#REF!</v>
      </c>
      <c r="CC51" s="24" t="e">
        <f>SUMIFS(#REF!,#REF!,$B51,#REF!,CC$1)</f>
        <v>#REF!</v>
      </c>
      <c r="CD51" s="24" t="e">
        <f>SUMIFS(#REF!,#REF!,$B51,#REF!,CD$1)</f>
        <v>#REF!</v>
      </c>
      <c r="CE51" s="24" t="e">
        <f>SUMIFS(#REF!,#REF!,$B51,#REF!,CE$1)</f>
        <v>#REF!</v>
      </c>
      <c r="CF51" s="24" t="e">
        <f>SUMIFS(#REF!,#REF!,$B51,#REF!,CF$1)</f>
        <v>#REF!</v>
      </c>
      <c r="CG51" s="19" t="e">
        <f t="shared" si="0"/>
        <v>#REF!</v>
      </c>
    </row>
    <row r="52" spans="1:85" x14ac:dyDescent="0.45">
      <c r="A52" s="4" t="s">
        <v>1085</v>
      </c>
      <c r="B52" s="4" t="s">
        <v>1086</v>
      </c>
      <c r="C52" s="24" t="e">
        <f>SUMIFS(#REF!,#REF!,$B52,#REF!,C$1)</f>
        <v>#REF!</v>
      </c>
      <c r="D52" s="24" t="e">
        <f>SUMIFS(#REF!,#REF!,$B52,#REF!,D$1)</f>
        <v>#REF!</v>
      </c>
      <c r="E52" s="24" t="e">
        <f>SUMIFS(#REF!,#REF!,$B52,#REF!,E$1)</f>
        <v>#REF!</v>
      </c>
      <c r="F52" s="24" t="e">
        <f>SUMIFS(#REF!,#REF!,$B52,#REF!,F$1)</f>
        <v>#REF!</v>
      </c>
      <c r="G52" s="24" t="e">
        <f>SUMIFS(#REF!,#REF!,$B52,#REF!,G$1)</f>
        <v>#REF!</v>
      </c>
      <c r="H52" s="24" t="e">
        <f>SUMIFS(#REF!,#REF!,$B52,#REF!,H$1)</f>
        <v>#REF!</v>
      </c>
      <c r="I52" s="24" t="e">
        <f>SUMIFS(#REF!,#REF!,$B52,#REF!,I$1)</f>
        <v>#REF!</v>
      </c>
      <c r="J52" s="24" t="e">
        <f>SUMIFS(#REF!,#REF!,$B52,#REF!,J$1)</f>
        <v>#REF!</v>
      </c>
      <c r="K52" s="24" t="e">
        <f>SUMIFS(#REF!,#REF!,$B52,#REF!,K$1)</f>
        <v>#REF!</v>
      </c>
      <c r="L52" s="24" t="e">
        <f>SUMIFS(#REF!,#REF!,$B52,#REF!,L$1)</f>
        <v>#REF!</v>
      </c>
      <c r="M52" s="24" t="e">
        <f>SUMIFS(#REF!,#REF!,$B52,#REF!,M$1)</f>
        <v>#REF!</v>
      </c>
      <c r="N52" s="24" t="e">
        <f>SUMIFS(#REF!,#REF!,$B52,#REF!,N$1)</f>
        <v>#REF!</v>
      </c>
      <c r="O52" s="24" t="e">
        <f>SUMIFS(#REF!,#REF!,$B52,#REF!,O$1)</f>
        <v>#REF!</v>
      </c>
      <c r="P52" s="24" t="e">
        <f>SUMIFS(#REF!,#REF!,$B52,#REF!,P$1)</f>
        <v>#REF!</v>
      </c>
      <c r="Q52" s="24" t="e">
        <f>SUMIFS(#REF!,#REF!,$B52,#REF!,Q$1)</f>
        <v>#REF!</v>
      </c>
      <c r="R52" s="24" t="e">
        <f>SUMIFS(#REF!,#REF!,$B52,#REF!,R$1)</f>
        <v>#REF!</v>
      </c>
      <c r="S52" s="24" t="e">
        <f>SUMIFS(#REF!,#REF!,$B52,#REF!,S$1)</f>
        <v>#REF!</v>
      </c>
      <c r="T52" s="24" t="e">
        <f>SUMIFS(#REF!,#REF!,$B52,#REF!,T$1)</f>
        <v>#REF!</v>
      </c>
      <c r="U52" s="24" t="e">
        <f>SUMIFS(#REF!,#REF!,$B52,#REF!,U$1)</f>
        <v>#REF!</v>
      </c>
      <c r="V52" s="24" t="e">
        <f>SUMIFS(#REF!,#REF!,$B52,#REF!,V$1)</f>
        <v>#REF!</v>
      </c>
      <c r="W52" s="24" t="e">
        <f>SUMIFS(#REF!,#REF!,$B52,#REF!,W$1)</f>
        <v>#REF!</v>
      </c>
      <c r="X52" s="24" t="e">
        <f>SUMIFS(#REF!,#REF!,$B52,#REF!,X$1)</f>
        <v>#REF!</v>
      </c>
      <c r="Y52" s="24" t="e">
        <f>SUMIFS(#REF!,#REF!,$B52,#REF!,Y$1)</f>
        <v>#REF!</v>
      </c>
      <c r="Z52" s="24" t="e">
        <f>SUMIFS(#REF!,#REF!,$B52,#REF!,Z$1)</f>
        <v>#REF!</v>
      </c>
      <c r="AA52" s="24" t="e">
        <f>SUMIFS(#REF!,#REF!,$B52,#REF!,AA$1)</f>
        <v>#REF!</v>
      </c>
      <c r="AB52" s="24" t="e">
        <f>SUMIFS(#REF!,#REF!,$B52,#REF!,AB$1)</f>
        <v>#REF!</v>
      </c>
      <c r="AC52" s="24" t="e">
        <f>SUMIFS(#REF!,#REF!,$B52,#REF!,AC$1)</f>
        <v>#REF!</v>
      </c>
      <c r="AD52" s="24" t="e">
        <f>SUMIFS(#REF!,#REF!,$B52,#REF!,AD$1)</f>
        <v>#REF!</v>
      </c>
      <c r="AE52" s="24" t="e">
        <f>SUMIFS(#REF!,#REF!,$B52,#REF!,AE$1)</f>
        <v>#REF!</v>
      </c>
      <c r="AF52" s="24" t="e">
        <f>SUMIFS(#REF!,#REF!,$B52,#REF!,AF$1)</f>
        <v>#REF!</v>
      </c>
      <c r="AG52" s="24" t="e">
        <f>SUMIFS(#REF!,#REF!,$B52,#REF!,AG$1)</f>
        <v>#REF!</v>
      </c>
      <c r="AH52" s="24" t="e">
        <f>SUMIFS(#REF!,#REF!,$B52,#REF!,AH$1)</f>
        <v>#REF!</v>
      </c>
      <c r="AI52" s="24" t="e">
        <f>SUMIFS(#REF!,#REF!,$B52,#REF!,AI$1)</f>
        <v>#REF!</v>
      </c>
      <c r="AJ52" s="24" t="e">
        <f>SUMIFS(#REF!,#REF!,$B52,#REF!,AJ$1)</f>
        <v>#REF!</v>
      </c>
      <c r="AK52" s="24" t="e">
        <f>SUMIFS(#REF!,#REF!,$B52,#REF!,AK$1)</f>
        <v>#REF!</v>
      </c>
      <c r="AL52" s="24" t="e">
        <f>SUMIFS(#REF!,#REF!,$B52,#REF!,AL$1)</f>
        <v>#REF!</v>
      </c>
      <c r="AM52" s="24" t="e">
        <f>SUMIFS(#REF!,#REF!,$B52,#REF!,AM$1)</f>
        <v>#REF!</v>
      </c>
      <c r="AN52" s="24" t="e">
        <f>SUMIFS(#REF!,#REF!,$B52,#REF!,AN$1)</f>
        <v>#REF!</v>
      </c>
      <c r="AO52" s="24" t="e">
        <f>SUMIFS(#REF!,#REF!,$B52,#REF!,AO$1)</f>
        <v>#REF!</v>
      </c>
      <c r="AP52" s="24" t="e">
        <f>SUMIFS(#REF!,#REF!,$B52,#REF!,AP$1)</f>
        <v>#REF!</v>
      </c>
      <c r="AQ52" s="24" t="e">
        <f>SUMIFS(#REF!,#REF!,$B52,#REF!,AQ$1)</f>
        <v>#REF!</v>
      </c>
      <c r="AR52" s="24" t="e">
        <f>SUMIFS(#REF!,#REF!,$B52,#REF!,AR$1)</f>
        <v>#REF!</v>
      </c>
      <c r="AS52" s="24" t="e">
        <f>SUMIFS(#REF!,#REF!,$B52,#REF!,AS$1)</f>
        <v>#REF!</v>
      </c>
      <c r="AT52" s="24" t="e">
        <f>SUMIFS(#REF!,#REF!,$B52,#REF!,AT$1)</f>
        <v>#REF!</v>
      </c>
      <c r="AU52" s="24" t="e">
        <f>SUMIFS(#REF!,#REF!,$B52,#REF!,AU$1)</f>
        <v>#REF!</v>
      </c>
      <c r="AV52" s="24" t="e">
        <f>SUMIFS(#REF!,#REF!,$B52,#REF!,AV$1)</f>
        <v>#REF!</v>
      </c>
      <c r="AW52" s="24" t="e">
        <f>SUMIFS(#REF!,#REF!,$B52,#REF!,AW$1)</f>
        <v>#REF!</v>
      </c>
      <c r="AX52" s="24" t="e">
        <f>SUMIFS(#REF!,#REF!,$B52,#REF!,AX$1)</f>
        <v>#REF!</v>
      </c>
      <c r="AY52" s="24" t="e">
        <f>SUMIFS(#REF!,#REF!,$B52,#REF!,AY$1)</f>
        <v>#REF!</v>
      </c>
      <c r="AZ52" s="24" t="e">
        <f>SUMIFS(#REF!,#REF!,$B52,#REF!,AZ$1)</f>
        <v>#REF!</v>
      </c>
      <c r="BA52" s="24" t="e">
        <f>SUMIFS(#REF!,#REF!,$B52,#REF!,BA$1)</f>
        <v>#REF!</v>
      </c>
      <c r="BB52" s="24" t="e">
        <f>SUMIFS(#REF!,#REF!,$B52,#REF!,BB$1)</f>
        <v>#REF!</v>
      </c>
      <c r="BC52" s="24" t="e">
        <f>SUMIFS(#REF!,#REF!,$B52,#REF!,BC$1)</f>
        <v>#REF!</v>
      </c>
      <c r="BD52" s="24" t="e">
        <f>SUMIFS(#REF!,#REF!,$B52,#REF!,BD$1)</f>
        <v>#REF!</v>
      </c>
      <c r="BE52" s="24" t="e">
        <f>SUMIFS(#REF!,#REF!,$B52,#REF!,BE$1)</f>
        <v>#REF!</v>
      </c>
      <c r="BF52" s="24" t="e">
        <f>SUMIFS(#REF!,#REF!,$B52,#REF!,BF$1)</f>
        <v>#REF!</v>
      </c>
      <c r="BG52" s="24" t="e">
        <f>SUMIFS(#REF!,#REF!,$B52,#REF!,BG$1)</f>
        <v>#REF!</v>
      </c>
      <c r="BH52" s="24" t="e">
        <f>SUMIFS(#REF!,#REF!,$B52,#REF!,BH$1)</f>
        <v>#REF!</v>
      </c>
      <c r="BI52" s="24" t="e">
        <f>SUMIFS(#REF!,#REF!,$B52,#REF!,BI$1)</f>
        <v>#REF!</v>
      </c>
      <c r="BJ52" s="24" t="e">
        <f>SUMIFS(#REF!,#REF!,$B52,#REF!,BJ$1)</f>
        <v>#REF!</v>
      </c>
      <c r="BK52" s="24" t="e">
        <f>SUMIFS(#REF!,#REF!,$B52,#REF!,BK$1)</f>
        <v>#REF!</v>
      </c>
      <c r="BL52" s="24" t="e">
        <f>SUMIFS(#REF!,#REF!,$B52,#REF!,BL$1)</f>
        <v>#REF!</v>
      </c>
      <c r="BM52" s="24" t="e">
        <f>SUMIFS(#REF!,#REF!,$B52,#REF!,BM$1)</f>
        <v>#REF!</v>
      </c>
      <c r="BN52" s="24" t="e">
        <f>SUMIFS(#REF!,#REF!,$B52,#REF!,BN$1)</f>
        <v>#REF!</v>
      </c>
      <c r="BO52" s="24" t="e">
        <f>SUMIFS(#REF!,#REF!,$B52,#REF!,BO$1)</f>
        <v>#REF!</v>
      </c>
      <c r="BP52" s="24" t="e">
        <f>SUMIFS(#REF!,#REF!,$B52,#REF!,BP$1)</f>
        <v>#REF!</v>
      </c>
      <c r="BQ52" s="24" t="e">
        <f>SUMIFS(#REF!,#REF!,$B52,#REF!,BQ$1)</f>
        <v>#REF!</v>
      </c>
      <c r="BR52" s="24" t="e">
        <f>SUMIFS(#REF!,#REF!,$B52,#REF!,BR$1)</f>
        <v>#REF!</v>
      </c>
      <c r="BS52" s="24" t="e">
        <f>SUMIFS(#REF!,#REF!,$B52,#REF!,BS$1)</f>
        <v>#REF!</v>
      </c>
      <c r="BT52" s="24" t="e">
        <f>SUMIFS(#REF!,#REF!,$B52,#REF!,BT$1)</f>
        <v>#REF!</v>
      </c>
      <c r="BU52" s="24" t="e">
        <f>SUMIFS(#REF!,#REF!,$B52,#REF!,BU$1)</f>
        <v>#REF!</v>
      </c>
      <c r="BV52" s="24" t="e">
        <f>SUMIFS(#REF!,#REF!,$B52,#REF!,BV$1)</f>
        <v>#REF!</v>
      </c>
      <c r="BW52" s="24" t="e">
        <f>SUMIFS(#REF!,#REF!,$B52,#REF!,BW$1)</f>
        <v>#REF!</v>
      </c>
      <c r="BX52" s="24" t="e">
        <f>SUMIFS(#REF!,#REF!,$B52,#REF!,BX$1)</f>
        <v>#REF!</v>
      </c>
      <c r="BY52" s="24" t="e">
        <f>SUMIFS(#REF!,#REF!,$B52,#REF!,BY$1)</f>
        <v>#REF!</v>
      </c>
      <c r="BZ52" s="24" t="e">
        <f>SUMIFS(#REF!,#REF!,$B52,#REF!,BZ$1)</f>
        <v>#REF!</v>
      </c>
      <c r="CA52" s="24" t="e">
        <f>SUMIFS(#REF!,#REF!,$B52,#REF!,CA$1)</f>
        <v>#REF!</v>
      </c>
      <c r="CB52" s="24" t="e">
        <f>SUMIFS(#REF!,#REF!,$B52,#REF!,CB$1)</f>
        <v>#REF!</v>
      </c>
      <c r="CC52" s="24" t="e">
        <f>SUMIFS(#REF!,#REF!,$B52,#REF!,CC$1)</f>
        <v>#REF!</v>
      </c>
      <c r="CD52" s="24" t="e">
        <f>SUMIFS(#REF!,#REF!,$B52,#REF!,CD$1)</f>
        <v>#REF!</v>
      </c>
      <c r="CE52" s="24" t="e">
        <f>SUMIFS(#REF!,#REF!,$B52,#REF!,CE$1)</f>
        <v>#REF!</v>
      </c>
      <c r="CF52" s="24" t="e">
        <f>SUMIFS(#REF!,#REF!,$B52,#REF!,CF$1)</f>
        <v>#REF!</v>
      </c>
      <c r="CG52" s="19" t="e">
        <f t="shared" si="0"/>
        <v>#REF!</v>
      </c>
    </row>
    <row r="53" spans="1:85" x14ac:dyDescent="0.45">
      <c r="A53" s="4" t="s">
        <v>1087</v>
      </c>
      <c r="B53" s="4" t="s">
        <v>1088</v>
      </c>
      <c r="C53" s="24" t="e">
        <f>SUMIFS(#REF!,#REF!,$B53,#REF!,C$1)</f>
        <v>#REF!</v>
      </c>
      <c r="D53" s="24" t="e">
        <f>SUMIFS(#REF!,#REF!,$B53,#REF!,D$1)</f>
        <v>#REF!</v>
      </c>
      <c r="E53" s="24" t="e">
        <f>SUMIFS(#REF!,#REF!,$B53,#REF!,E$1)</f>
        <v>#REF!</v>
      </c>
      <c r="F53" s="24" t="e">
        <f>SUMIFS(#REF!,#REF!,$B53,#REF!,F$1)</f>
        <v>#REF!</v>
      </c>
      <c r="G53" s="24" t="e">
        <f>SUMIFS(#REF!,#REF!,$B53,#REF!,G$1)</f>
        <v>#REF!</v>
      </c>
      <c r="H53" s="24" t="e">
        <f>SUMIFS(#REF!,#REF!,$B53,#REF!,H$1)</f>
        <v>#REF!</v>
      </c>
      <c r="I53" s="24" t="e">
        <f>SUMIFS(#REF!,#REF!,$B53,#REF!,I$1)</f>
        <v>#REF!</v>
      </c>
      <c r="J53" s="24" t="e">
        <f>SUMIFS(#REF!,#REF!,$B53,#REF!,J$1)</f>
        <v>#REF!</v>
      </c>
      <c r="K53" s="24" t="e">
        <f>SUMIFS(#REF!,#REF!,$B53,#REF!,K$1)</f>
        <v>#REF!</v>
      </c>
      <c r="L53" s="24" t="e">
        <f>SUMIFS(#REF!,#REF!,$B53,#REF!,L$1)</f>
        <v>#REF!</v>
      </c>
      <c r="M53" s="24" t="e">
        <f>SUMIFS(#REF!,#REF!,$B53,#REF!,M$1)</f>
        <v>#REF!</v>
      </c>
      <c r="N53" s="24" t="e">
        <f>SUMIFS(#REF!,#REF!,$B53,#REF!,N$1)</f>
        <v>#REF!</v>
      </c>
      <c r="O53" s="24" t="e">
        <f>SUMIFS(#REF!,#REF!,$B53,#REF!,O$1)</f>
        <v>#REF!</v>
      </c>
      <c r="P53" s="24" t="e">
        <f>SUMIFS(#REF!,#REF!,$B53,#REF!,P$1)</f>
        <v>#REF!</v>
      </c>
      <c r="Q53" s="24" t="e">
        <f>SUMIFS(#REF!,#REF!,$B53,#REF!,Q$1)</f>
        <v>#REF!</v>
      </c>
      <c r="R53" s="24" t="e">
        <f>SUMIFS(#REF!,#REF!,$B53,#REF!,R$1)</f>
        <v>#REF!</v>
      </c>
      <c r="S53" s="24" t="e">
        <f>SUMIFS(#REF!,#REF!,$B53,#REF!,S$1)</f>
        <v>#REF!</v>
      </c>
      <c r="T53" s="24" t="e">
        <f>SUMIFS(#REF!,#REF!,$B53,#REF!,T$1)</f>
        <v>#REF!</v>
      </c>
      <c r="U53" s="24" t="e">
        <f>SUMIFS(#REF!,#REF!,$B53,#REF!,U$1)</f>
        <v>#REF!</v>
      </c>
      <c r="V53" s="24" t="e">
        <f>SUMIFS(#REF!,#REF!,$B53,#REF!,V$1)</f>
        <v>#REF!</v>
      </c>
      <c r="W53" s="24" t="e">
        <f>SUMIFS(#REF!,#REF!,$B53,#REF!,W$1)</f>
        <v>#REF!</v>
      </c>
      <c r="X53" s="24" t="e">
        <f>SUMIFS(#REF!,#REF!,$B53,#REF!,X$1)</f>
        <v>#REF!</v>
      </c>
      <c r="Y53" s="24" t="e">
        <f>SUMIFS(#REF!,#REF!,$B53,#REF!,Y$1)</f>
        <v>#REF!</v>
      </c>
      <c r="Z53" s="24" t="e">
        <f>SUMIFS(#REF!,#REF!,$B53,#REF!,Z$1)</f>
        <v>#REF!</v>
      </c>
      <c r="AA53" s="24" t="e">
        <f>SUMIFS(#REF!,#REF!,$B53,#REF!,AA$1)</f>
        <v>#REF!</v>
      </c>
      <c r="AB53" s="24" t="e">
        <f>SUMIFS(#REF!,#REF!,$B53,#REF!,AB$1)</f>
        <v>#REF!</v>
      </c>
      <c r="AC53" s="24" t="e">
        <f>SUMIFS(#REF!,#REF!,$B53,#REF!,AC$1)</f>
        <v>#REF!</v>
      </c>
      <c r="AD53" s="24" t="e">
        <f>SUMIFS(#REF!,#REF!,$B53,#REF!,AD$1)</f>
        <v>#REF!</v>
      </c>
      <c r="AE53" s="24" t="e">
        <f>SUMIFS(#REF!,#REF!,$B53,#REF!,AE$1)</f>
        <v>#REF!</v>
      </c>
      <c r="AF53" s="24" t="e">
        <f>SUMIFS(#REF!,#REF!,$B53,#REF!,AF$1)</f>
        <v>#REF!</v>
      </c>
      <c r="AG53" s="24" t="e">
        <f>SUMIFS(#REF!,#REF!,$B53,#REF!,AG$1)</f>
        <v>#REF!</v>
      </c>
      <c r="AH53" s="24" t="e">
        <f>SUMIFS(#REF!,#REF!,$B53,#REF!,AH$1)</f>
        <v>#REF!</v>
      </c>
      <c r="AI53" s="24" t="e">
        <f>SUMIFS(#REF!,#REF!,$B53,#REF!,AI$1)</f>
        <v>#REF!</v>
      </c>
      <c r="AJ53" s="24" t="e">
        <f>SUMIFS(#REF!,#REF!,$B53,#REF!,AJ$1)</f>
        <v>#REF!</v>
      </c>
      <c r="AK53" s="24" t="e">
        <f>SUMIFS(#REF!,#REF!,$B53,#REF!,AK$1)</f>
        <v>#REF!</v>
      </c>
      <c r="AL53" s="24" t="e">
        <f>SUMIFS(#REF!,#REF!,$B53,#REF!,AL$1)</f>
        <v>#REF!</v>
      </c>
      <c r="AM53" s="24" t="e">
        <f>SUMIFS(#REF!,#REF!,$B53,#REF!,AM$1)</f>
        <v>#REF!</v>
      </c>
      <c r="AN53" s="24" t="e">
        <f>SUMIFS(#REF!,#REF!,$B53,#REF!,AN$1)</f>
        <v>#REF!</v>
      </c>
      <c r="AO53" s="24" t="e">
        <f>SUMIFS(#REF!,#REF!,$B53,#REF!,AO$1)</f>
        <v>#REF!</v>
      </c>
      <c r="AP53" s="24" t="e">
        <f>SUMIFS(#REF!,#REF!,$B53,#REF!,AP$1)</f>
        <v>#REF!</v>
      </c>
      <c r="AQ53" s="24" t="e">
        <f>SUMIFS(#REF!,#REF!,$B53,#REF!,AQ$1)</f>
        <v>#REF!</v>
      </c>
      <c r="AR53" s="24" t="e">
        <f>SUMIFS(#REF!,#REF!,$B53,#REF!,AR$1)</f>
        <v>#REF!</v>
      </c>
      <c r="AS53" s="24" t="e">
        <f>SUMIFS(#REF!,#REF!,$B53,#REF!,AS$1)</f>
        <v>#REF!</v>
      </c>
      <c r="AT53" s="24" t="e">
        <f>SUMIFS(#REF!,#REF!,$B53,#REF!,AT$1)</f>
        <v>#REF!</v>
      </c>
      <c r="AU53" s="24" t="e">
        <f>SUMIFS(#REF!,#REF!,$B53,#REF!,AU$1)</f>
        <v>#REF!</v>
      </c>
      <c r="AV53" s="24" t="e">
        <f>SUMIFS(#REF!,#REF!,$B53,#REF!,AV$1)</f>
        <v>#REF!</v>
      </c>
      <c r="AW53" s="24" t="e">
        <f>SUMIFS(#REF!,#REF!,$B53,#REF!,AW$1)</f>
        <v>#REF!</v>
      </c>
      <c r="AX53" s="24" t="e">
        <f>SUMIFS(#REF!,#REF!,$B53,#REF!,AX$1)</f>
        <v>#REF!</v>
      </c>
      <c r="AY53" s="24" t="e">
        <f>SUMIFS(#REF!,#REF!,$B53,#REF!,AY$1)</f>
        <v>#REF!</v>
      </c>
      <c r="AZ53" s="24" t="e">
        <f>SUMIFS(#REF!,#REF!,$B53,#REF!,AZ$1)</f>
        <v>#REF!</v>
      </c>
      <c r="BA53" s="24" t="e">
        <f>SUMIFS(#REF!,#REF!,$B53,#REF!,BA$1)</f>
        <v>#REF!</v>
      </c>
      <c r="BB53" s="24" t="e">
        <f>SUMIFS(#REF!,#REF!,$B53,#REF!,BB$1)</f>
        <v>#REF!</v>
      </c>
      <c r="BC53" s="24" t="e">
        <f>SUMIFS(#REF!,#REF!,$B53,#REF!,BC$1)</f>
        <v>#REF!</v>
      </c>
      <c r="BD53" s="24" t="e">
        <f>SUMIFS(#REF!,#REF!,$B53,#REF!,BD$1)</f>
        <v>#REF!</v>
      </c>
      <c r="BE53" s="24" t="e">
        <f>SUMIFS(#REF!,#REF!,$B53,#REF!,BE$1)</f>
        <v>#REF!</v>
      </c>
      <c r="BF53" s="24" t="e">
        <f>SUMIFS(#REF!,#REF!,$B53,#REF!,BF$1)</f>
        <v>#REF!</v>
      </c>
      <c r="BG53" s="24" t="e">
        <f>SUMIFS(#REF!,#REF!,$B53,#REF!,BG$1)</f>
        <v>#REF!</v>
      </c>
      <c r="BH53" s="24" t="e">
        <f>SUMIFS(#REF!,#REF!,$B53,#REF!,BH$1)</f>
        <v>#REF!</v>
      </c>
      <c r="BI53" s="24" t="e">
        <f>SUMIFS(#REF!,#REF!,$B53,#REF!,BI$1)</f>
        <v>#REF!</v>
      </c>
      <c r="BJ53" s="24" t="e">
        <f>SUMIFS(#REF!,#REF!,$B53,#REF!,BJ$1)</f>
        <v>#REF!</v>
      </c>
      <c r="BK53" s="24" t="e">
        <f>SUMIFS(#REF!,#REF!,$B53,#REF!,BK$1)</f>
        <v>#REF!</v>
      </c>
      <c r="BL53" s="24" t="e">
        <f>SUMIFS(#REF!,#REF!,$B53,#REF!,BL$1)</f>
        <v>#REF!</v>
      </c>
      <c r="BM53" s="24" t="e">
        <f>SUMIFS(#REF!,#REF!,$B53,#REF!,BM$1)</f>
        <v>#REF!</v>
      </c>
      <c r="BN53" s="24" t="e">
        <f>SUMIFS(#REF!,#REF!,$B53,#REF!,BN$1)</f>
        <v>#REF!</v>
      </c>
      <c r="BO53" s="24" t="e">
        <f>SUMIFS(#REF!,#REF!,$B53,#REF!,BO$1)</f>
        <v>#REF!</v>
      </c>
      <c r="BP53" s="24" t="e">
        <f>SUMIFS(#REF!,#REF!,$B53,#REF!,BP$1)</f>
        <v>#REF!</v>
      </c>
      <c r="BQ53" s="24" t="e">
        <f>SUMIFS(#REF!,#REF!,$B53,#REF!,BQ$1)</f>
        <v>#REF!</v>
      </c>
      <c r="BR53" s="24" t="e">
        <f>SUMIFS(#REF!,#REF!,$B53,#REF!,BR$1)</f>
        <v>#REF!</v>
      </c>
      <c r="BS53" s="24" t="e">
        <f>SUMIFS(#REF!,#REF!,$B53,#REF!,BS$1)</f>
        <v>#REF!</v>
      </c>
      <c r="BT53" s="24" t="e">
        <f>SUMIFS(#REF!,#REF!,$B53,#REF!,BT$1)</f>
        <v>#REF!</v>
      </c>
      <c r="BU53" s="24" t="e">
        <f>SUMIFS(#REF!,#REF!,$B53,#REF!,BU$1)</f>
        <v>#REF!</v>
      </c>
      <c r="BV53" s="24" t="e">
        <f>SUMIFS(#REF!,#REF!,$B53,#REF!,BV$1)</f>
        <v>#REF!</v>
      </c>
      <c r="BW53" s="24" t="e">
        <f>SUMIFS(#REF!,#REF!,$B53,#REF!,BW$1)</f>
        <v>#REF!</v>
      </c>
      <c r="BX53" s="24" t="e">
        <f>SUMIFS(#REF!,#REF!,$B53,#REF!,BX$1)</f>
        <v>#REF!</v>
      </c>
      <c r="BY53" s="24" t="e">
        <f>SUMIFS(#REF!,#REF!,$B53,#REF!,BY$1)</f>
        <v>#REF!</v>
      </c>
      <c r="BZ53" s="24" t="e">
        <f>SUMIFS(#REF!,#REF!,$B53,#REF!,BZ$1)</f>
        <v>#REF!</v>
      </c>
      <c r="CA53" s="24" t="e">
        <f>SUMIFS(#REF!,#REF!,$B53,#REF!,CA$1)</f>
        <v>#REF!</v>
      </c>
      <c r="CB53" s="24" t="e">
        <f>SUMIFS(#REF!,#REF!,$B53,#REF!,CB$1)</f>
        <v>#REF!</v>
      </c>
      <c r="CC53" s="24" t="e">
        <f>SUMIFS(#REF!,#REF!,$B53,#REF!,CC$1)</f>
        <v>#REF!</v>
      </c>
      <c r="CD53" s="24" t="e">
        <f>SUMIFS(#REF!,#REF!,$B53,#REF!,CD$1)</f>
        <v>#REF!</v>
      </c>
      <c r="CE53" s="24" t="e">
        <f>SUMIFS(#REF!,#REF!,$B53,#REF!,CE$1)</f>
        <v>#REF!</v>
      </c>
      <c r="CF53" s="24" t="e">
        <f>SUMIFS(#REF!,#REF!,$B53,#REF!,CF$1)</f>
        <v>#REF!</v>
      </c>
      <c r="CG53" s="19" t="e">
        <f t="shared" si="0"/>
        <v>#REF!</v>
      </c>
    </row>
    <row r="54" spans="1:85" x14ac:dyDescent="0.45">
      <c r="A54" s="4" t="s">
        <v>1089</v>
      </c>
      <c r="B54" s="4" t="s">
        <v>1090</v>
      </c>
      <c r="C54" s="24" t="e">
        <f>SUMIFS(#REF!,#REF!,$B54,#REF!,C$1)</f>
        <v>#REF!</v>
      </c>
      <c r="D54" s="24" t="e">
        <f>SUMIFS(#REF!,#REF!,$B54,#REF!,D$1)</f>
        <v>#REF!</v>
      </c>
      <c r="E54" s="24" t="e">
        <f>SUMIFS(#REF!,#REF!,$B54,#REF!,E$1)</f>
        <v>#REF!</v>
      </c>
      <c r="F54" s="24" t="e">
        <f>SUMIFS(#REF!,#REF!,$B54,#REF!,F$1)</f>
        <v>#REF!</v>
      </c>
      <c r="G54" s="24" t="e">
        <f>SUMIFS(#REF!,#REF!,$B54,#REF!,G$1)</f>
        <v>#REF!</v>
      </c>
      <c r="H54" s="24" t="e">
        <f>SUMIFS(#REF!,#REF!,$B54,#REF!,H$1)</f>
        <v>#REF!</v>
      </c>
      <c r="I54" s="24" t="e">
        <f>SUMIFS(#REF!,#REF!,$B54,#REF!,I$1)</f>
        <v>#REF!</v>
      </c>
      <c r="J54" s="24" t="e">
        <f>SUMIFS(#REF!,#REF!,$B54,#REF!,J$1)</f>
        <v>#REF!</v>
      </c>
      <c r="K54" s="24" t="e">
        <f>SUMIFS(#REF!,#REF!,$B54,#REF!,K$1)</f>
        <v>#REF!</v>
      </c>
      <c r="L54" s="24" t="e">
        <f>SUMIFS(#REF!,#REF!,$B54,#REF!,L$1)</f>
        <v>#REF!</v>
      </c>
      <c r="M54" s="24" t="e">
        <f>SUMIFS(#REF!,#REF!,$B54,#REF!,M$1)</f>
        <v>#REF!</v>
      </c>
      <c r="N54" s="24" t="e">
        <f>SUMIFS(#REF!,#REF!,$B54,#REF!,N$1)</f>
        <v>#REF!</v>
      </c>
      <c r="O54" s="24" t="e">
        <f>SUMIFS(#REF!,#REF!,$B54,#REF!,O$1)</f>
        <v>#REF!</v>
      </c>
      <c r="P54" s="24" t="e">
        <f>SUMIFS(#REF!,#REF!,$B54,#REF!,P$1)</f>
        <v>#REF!</v>
      </c>
      <c r="Q54" s="24" t="e">
        <f>SUMIFS(#REF!,#REF!,$B54,#REF!,Q$1)</f>
        <v>#REF!</v>
      </c>
      <c r="R54" s="24" t="e">
        <f>SUMIFS(#REF!,#REF!,$B54,#REF!,R$1)</f>
        <v>#REF!</v>
      </c>
      <c r="S54" s="24" t="e">
        <f>SUMIFS(#REF!,#REF!,$B54,#REF!,S$1)</f>
        <v>#REF!</v>
      </c>
      <c r="T54" s="24" t="e">
        <f>SUMIFS(#REF!,#REF!,$B54,#REF!,T$1)</f>
        <v>#REF!</v>
      </c>
      <c r="U54" s="24" t="e">
        <f>SUMIFS(#REF!,#REF!,$B54,#REF!,U$1)</f>
        <v>#REF!</v>
      </c>
      <c r="V54" s="24" t="e">
        <f>SUMIFS(#REF!,#REF!,$B54,#REF!,V$1)</f>
        <v>#REF!</v>
      </c>
      <c r="W54" s="24" t="e">
        <f>SUMIFS(#REF!,#REF!,$B54,#REF!,W$1)</f>
        <v>#REF!</v>
      </c>
      <c r="X54" s="24" t="e">
        <f>SUMIFS(#REF!,#REF!,$B54,#REF!,X$1)</f>
        <v>#REF!</v>
      </c>
      <c r="Y54" s="24" t="e">
        <f>SUMIFS(#REF!,#REF!,$B54,#REF!,Y$1)</f>
        <v>#REF!</v>
      </c>
      <c r="Z54" s="24" t="e">
        <f>SUMIFS(#REF!,#REF!,$B54,#REF!,Z$1)</f>
        <v>#REF!</v>
      </c>
      <c r="AA54" s="24" t="e">
        <f>SUMIFS(#REF!,#REF!,$B54,#REF!,AA$1)</f>
        <v>#REF!</v>
      </c>
      <c r="AB54" s="24" t="e">
        <f>SUMIFS(#REF!,#REF!,$B54,#REF!,AB$1)</f>
        <v>#REF!</v>
      </c>
      <c r="AC54" s="24" t="e">
        <f>SUMIFS(#REF!,#REF!,$B54,#REF!,AC$1)</f>
        <v>#REF!</v>
      </c>
      <c r="AD54" s="24" t="e">
        <f>SUMIFS(#REF!,#REF!,$B54,#REF!,AD$1)</f>
        <v>#REF!</v>
      </c>
      <c r="AE54" s="24" t="e">
        <f>SUMIFS(#REF!,#REF!,$B54,#REF!,AE$1)</f>
        <v>#REF!</v>
      </c>
      <c r="AF54" s="24" t="e">
        <f>SUMIFS(#REF!,#REF!,$B54,#REF!,AF$1)</f>
        <v>#REF!</v>
      </c>
      <c r="AG54" s="24" t="e">
        <f>SUMIFS(#REF!,#REF!,$B54,#REF!,AG$1)</f>
        <v>#REF!</v>
      </c>
      <c r="AH54" s="24" t="e">
        <f>SUMIFS(#REF!,#REF!,$B54,#REF!,AH$1)</f>
        <v>#REF!</v>
      </c>
      <c r="AI54" s="24" t="e">
        <f>SUMIFS(#REF!,#REF!,$B54,#REF!,AI$1)</f>
        <v>#REF!</v>
      </c>
      <c r="AJ54" s="24" t="e">
        <f>SUMIFS(#REF!,#REF!,$B54,#REF!,AJ$1)</f>
        <v>#REF!</v>
      </c>
      <c r="AK54" s="24" t="e">
        <f>SUMIFS(#REF!,#REF!,$B54,#REF!,AK$1)</f>
        <v>#REF!</v>
      </c>
      <c r="AL54" s="24" t="e">
        <f>SUMIFS(#REF!,#REF!,$B54,#REF!,AL$1)</f>
        <v>#REF!</v>
      </c>
      <c r="AM54" s="24" t="e">
        <f>SUMIFS(#REF!,#REF!,$B54,#REF!,AM$1)</f>
        <v>#REF!</v>
      </c>
      <c r="AN54" s="24" t="e">
        <f>SUMIFS(#REF!,#REF!,$B54,#REF!,AN$1)</f>
        <v>#REF!</v>
      </c>
      <c r="AO54" s="24" t="e">
        <f>SUMIFS(#REF!,#REF!,$B54,#REF!,AO$1)</f>
        <v>#REF!</v>
      </c>
      <c r="AP54" s="24" t="e">
        <f>SUMIFS(#REF!,#REF!,$B54,#REF!,AP$1)</f>
        <v>#REF!</v>
      </c>
      <c r="AQ54" s="24" t="e">
        <f>SUMIFS(#REF!,#REF!,$B54,#REF!,AQ$1)</f>
        <v>#REF!</v>
      </c>
      <c r="AR54" s="24" t="e">
        <f>SUMIFS(#REF!,#REF!,$B54,#REF!,AR$1)</f>
        <v>#REF!</v>
      </c>
      <c r="AS54" s="24" t="e">
        <f>SUMIFS(#REF!,#REF!,$B54,#REF!,AS$1)</f>
        <v>#REF!</v>
      </c>
      <c r="AT54" s="24" t="e">
        <f>SUMIFS(#REF!,#REF!,$B54,#REF!,AT$1)</f>
        <v>#REF!</v>
      </c>
      <c r="AU54" s="24" t="e">
        <f>SUMIFS(#REF!,#REF!,$B54,#REF!,AU$1)</f>
        <v>#REF!</v>
      </c>
      <c r="AV54" s="24" t="e">
        <f>SUMIFS(#REF!,#REF!,$B54,#REF!,AV$1)</f>
        <v>#REF!</v>
      </c>
      <c r="AW54" s="24" t="e">
        <f>SUMIFS(#REF!,#REF!,$B54,#REF!,AW$1)</f>
        <v>#REF!</v>
      </c>
      <c r="AX54" s="24" t="e">
        <f>SUMIFS(#REF!,#REF!,$B54,#REF!,AX$1)</f>
        <v>#REF!</v>
      </c>
      <c r="AY54" s="24" t="e">
        <f>SUMIFS(#REF!,#REF!,$B54,#REF!,AY$1)</f>
        <v>#REF!</v>
      </c>
      <c r="AZ54" s="24" t="e">
        <f>SUMIFS(#REF!,#REF!,$B54,#REF!,AZ$1)</f>
        <v>#REF!</v>
      </c>
      <c r="BA54" s="24" t="e">
        <f>SUMIFS(#REF!,#REF!,$B54,#REF!,BA$1)</f>
        <v>#REF!</v>
      </c>
      <c r="BB54" s="24" t="e">
        <f>SUMIFS(#REF!,#REF!,$B54,#REF!,BB$1)</f>
        <v>#REF!</v>
      </c>
      <c r="BC54" s="24" t="e">
        <f>SUMIFS(#REF!,#REF!,$B54,#REF!,BC$1)</f>
        <v>#REF!</v>
      </c>
      <c r="BD54" s="24" t="e">
        <f>SUMIFS(#REF!,#REF!,$B54,#REF!,BD$1)</f>
        <v>#REF!</v>
      </c>
      <c r="BE54" s="24" t="e">
        <f>SUMIFS(#REF!,#REF!,$B54,#REF!,BE$1)</f>
        <v>#REF!</v>
      </c>
      <c r="BF54" s="24" t="e">
        <f>SUMIFS(#REF!,#REF!,$B54,#REF!,BF$1)</f>
        <v>#REF!</v>
      </c>
      <c r="BG54" s="24" t="e">
        <f>SUMIFS(#REF!,#REF!,$B54,#REF!,BG$1)</f>
        <v>#REF!</v>
      </c>
      <c r="BH54" s="24" t="e">
        <f>SUMIFS(#REF!,#REF!,$B54,#REF!,BH$1)</f>
        <v>#REF!</v>
      </c>
      <c r="BI54" s="24" t="e">
        <f>SUMIFS(#REF!,#REF!,$B54,#REF!,BI$1)</f>
        <v>#REF!</v>
      </c>
      <c r="BJ54" s="24" t="e">
        <f>SUMIFS(#REF!,#REF!,$B54,#REF!,BJ$1)</f>
        <v>#REF!</v>
      </c>
      <c r="BK54" s="24" t="e">
        <f>SUMIFS(#REF!,#REF!,$B54,#REF!,BK$1)</f>
        <v>#REF!</v>
      </c>
      <c r="BL54" s="24" t="e">
        <f>SUMIFS(#REF!,#REF!,$B54,#REF!,BL$1)</f>
        <v>#REF!</v>
      </c>
      <c r="BM54" s="24" t="e">
        <f>SUMIFS(#REF!,#REF!,$B54,#REF!,BM$1)</f>
        <v>#REF!</v>
      </c>
      <c r="BN54" s="24" t="e">
        <f>SUMIFS(#REF!,#REF!,$B54,#REF!,BN$1)</f>
        <v>#REF!</v>
      </c>
      <c r="BO54" s="24" t="e">
        <f>SUMIFS(#REF!,#REF!,$B54,#REF!,BO$1)</f>
        <v>#REF!</v>
      </c>
      <c r="BP54" s="24" t="e">
        <f>SUMIFS(#REF!,#REF!,$B54,#REF!,BP$1)</f>
        <v>#REF!</v>
      </c>
      <c r="BQ54" s="24" t="e">
        <f>SUMIFS(#REF!,#REF!,$B54,#REF!,BQ$1)</f>
        <v>#REF!</v>
      </c>
      <c r="BR54" s="24" t="e">
        <f>SUMIFS(#REF!,#REF!,$B54,#REF!,BR$1)</f>
        <v>#REF!</v>
      </c>
      <c r="BS54" s="24" t="e">
        <f>SUMIFS(#REF!,#REF!,$B54,#REF!,BS$1)</f>
        <v>#REF!</v>
      </c>
      <c r="BT54" s="24" t="e">
        <f>SUMIFS(#REF!,#REF!,$B54,#REF!,BT$1)</f>
        <v>#REF!</v>
      </c>
      <c r="BU54" s="24" t="e">
        <f>SUMIFS(#REF!,#REF!,$B54,#REF!,BU$1)</f>
        <v>#REF!</v>
      </c>
      <c r="BV54" s="24" t="e">
        <f>SUMIFS(#REF!,#REF!,$B54,#REF!,BV$1)</f>
        <v>#REF!</v>
      </c>
      <c r="BW54" s="24" t="e">
        <f>SUMIFS(#REF!,#REF!,$B54,#REF!,BW$1)</f>
        <v>#REF!</v>
      </c>
      <c r="BX54" s="24" t="e">
        <f>SUMIFS(#REF!,#REF!,$B54,#REF!,BX$1)</f>
        <v>#REF!</v>
      </c>
      <c r="BY54" s="24" t="e">
        <f>SUMIFS(#REF!,#REF!,$B54,#REF!,BY$1)</f>
        <v>#REF!</v>
      </c>
      <c r="BZ54" s="24" t="e">
        <f>SUMIFS(#REF!,#REF!,$B54,#REF!,BZ$1)</f>
        <v>#REF!</v>
      </c>
      <c r="CA54" s="24" t="e">
        <f>SUMIFS(#REF!,#REF!,$B54,#REF!,CA$1)</f>
        <v>#REF!</v>
      </c>
      <c r="CB54" s="24" t="e">
        <f>SUMIFS(#REF!,#REF!,$B54,#REF!,CB$1)</f>
        <v>#REF!</v>
      </c>
      <c r="CC54" s="24" t="e">
        <f>SUMIFS(#REF!,#REF!,$B54,#REF!,CC$1)</f>
        <v>#REF!</v>
      </c>
      <c r="CD54" s="24" t="e">
        <f>SUMIFS(#REF!,#REF!,$B54,#REF!,CD$1)</f>
        <v>#REF!</v>
      </c>
      <c r="CE54" s="24" t="e">
        <f>SUMIFS(#REF!,#REF!,$B54,#REF!,CE$1)</f>
        <v>#REF!</v>
      </c>
      <c r="CF54" s="24" t="e">
        <f>SUMIFS(#REF!,#REF!,$B54,#REF!,CF$1)</f>
        <v>#REF!</v>
      </c>
      <c r="CG54" s="19" t="e">
        <f t="shared" si="0"/>
        <v>#REF!</v>
      </c>
    </row>
    <row r="55" spans="1:85" x14ac:dyDescent="0.45">
      <c r="A55" s="4" t="s">
        <v>1091</v>
      </c>
      <c r="B55" s="4" t="s">
        <v>1092</v>
      </c>
      <c r="C55" s="24" t="e">
        <f>SUMIFS(#REF!,#REF!,$B55,#REF!,C$1)</f>
        <v>#REF!</v>
      </c>
      <c r="D55" s="24" t="e">
        <f>SUMIFS(#REF!,#REF!,$B55,#REF!,D$1)</f>
        <v>#REF!</v>
      </c>
      <c r="E55" s="24" t="e">
        <f>SUMIFS(#REF!,#REF!,$B55,#REF!,E$1)</f>
        <v>#REF!</v>
      </c>
      <c r="F55" s="24" t="e">
        <f>SUMIFS(#REF!,#REF!,$B55,#REF!,F$1)</f>
        <v>#REF!</v>
      </c>
      <c r="G55" s="24" t="e">
        <f>SUMIFS(#REF!,#REF!,$B55,#REF!,G$1)</f>
        <v>#REF!</v>
      </c>
      <c r="H55" s="24" t="e">
        <f>SUMIFS(#REF!,#REF!,$B55,#REF!,H$1)</f>
        <v>#REF!</v>
      </c>
      <c r="I55" s="24" t="e">
        <f>SUMIFS(#REF!,#REF!,$B55,#REF!,I$1)</f>
        <v>#REF!</v>
      </c>
      <c r="J55" s="24" t="e">
        <f>SUMIFS(#REF!,#REF!,$B55,#REF!,J$1)</f>
        <v>#REF!</v>
      </c>
      <c r="K55" s="24" t="e">
        <f>SUMIFS(#REF!,#REF!,$B55,#REF!,K$1)</f>
        <v>#REF!</v>
      </c>
      <c r="L55" s="24" t="e">
        <f>SUMIFS(#REF!,#REF!,$B55,#REF!,L$1)</f>
        <v>#REF!</v>
      </c>
      <c r="M55" s="24" t="e">
        <f>SUMIFS(#REF!,#REF!,$B55,#REF!,M$1)</f>
        <v>#REF!</v>
      </c>
      <c r="N55" s="24" t="e">
        <f>SUMIFS(#REF!,#REF!,$B55,#REF!,N$1)</f>
        <v>#REF!</v>
      </c>
      <c r="O55" s="24" t="e">
        <f>SUMIFS(#REF!,#REF!,$B55,#REF!,O$1)</f>
        <v>#REF!</v>
      </c>
      <c r="P55" s="24" t="e">
        <f>SUMIFS(#REF!,#REF!,$B55,#REF!,P$1)</f>
        <v>#REF!</v>
      </c>
      <c r="Q55" s="24" t="e">
        <f>SUMIFS(#REF!,#REF!,$B55,#REF!,Q$1)</f>
        <v>#REF!</v>
      </c>
      <c r="R55" s="24" t="e">
        <f>SUMIFS(#REF!,#REF!,$B55,#REF!,R$1)</f>
        <v>#REF!</v>
      </c>
      <c r="S55" s="24" t="e">
        <f>SUMIFS(#REF!,#REF!,$B55,#REF!,S$1)</f>
        <v>#REF!</v>
      </c>
      <c r="T55" s="24" t="e">
        <f>SUMIFS(#REF!,#REF!,$B55,#REF!,T$1)</f>
        <v>#REF!</v>
      </c>
      <c r="U55" s="24" t="e">
        <f>SUMIFS(#REF!,#REF!,$B55,#REF!,U$1)</f>
        <v>#REF!</v>
      </c>
      <c r="V55" s="24" t="e">
        <f>SUMIFS(#REF!,#REF!,$B55,#REF!,V$1)</f>
        <v>#REF!</v>
      </c>
      <c r="W55" s="24" t="e">
        <f>SUMIFS(#REF!,#REF!,$B55,#REF!,W$1)</f>
        <v>#REF!</v>
      </c>
      <c r="X55" s="24" t="e">
        <f>SUMIFS(#REF!,#REF!,$B55,#REF!,X$1)</f>
        <v>#REF!</v>
      </c>
      <c r="Y55" s="24" t="e">
        <f>SUMIFS(#REF!,#REF!,$B55,#REF!,Y$1)</f>
        <v>#REF!</v>
      </c>
      <c r="Z55" s="24" t="e">
        <f>SUMIFS(#REF!,#REF!,$B55,#REF!,Z$1)</f>
        <v>#REF!</v>
      </c>
      <c r="AA55" s="24" t="e">
        <f>SUMIFS(#REF!,#REF!,$B55,#REF!,AA$1)</f>
        <v>#REF!</v>
      </c>
      <c r="AB55" s="24" t="e">
        <f>SUMIFS(#REF!,#REF!,$B55,#REF!,AB$1)</f>
        <v>#REF!</v>
      </c>
      <c r="AC55" s="24" t="e">
        <f>SUMIFS(#REF!,#REF!,$B55,#REF!,AC$1)</f>
        <v>#REF!</v>
      </c>
      <c r="AD55" s="24" t="e">
        <f>SUMIFS(#REF!,#REF!,$B55,#REF!,AD$1)</f>
        <v>#REF!</v>
      </c>
      <c r="AE55" s="24" t="e">
        <f>SUMIFS(#REF!,#REF!,$B55,#REF!,AE$1)</f>
        <v>#REF!</v>
      </c>
      <c r="AF55" s="24" t="e">
        <f>SUMIFS(#REF!,#REF!,$B55,#REF!,AF$1)</f>
        <v>#REF!</v>
      </c>
      <c r="AG55" s="24" t="e">
        <f>SUMIFS(#REF!,#REF!,$B55,#REF!,AG$1)</f>
        <v>#REF!</v>
      </c>
      <c r="AH55" s="24" t="e">
        <f>SUMIFS(#REF!,#REF!,$B55,#REF!,AH$1)</f>
        <v>#REF!</v>
      </c>
      <c r="AI55" s="24" t="e">
        <f>SUMIFS(#REF!,#REF!,$B55,#REF!,AI$1)</f>
        <v>#REF!</v>
      </c>
      <c r="AJ55" s="24" t="e">
        <f>SUMIFS(#REF!,#REF!,$B55,#REF!,AJ$1)</f>
        <v>#REF!</v>
      </c>
      <c r="AK55" s="24" t="e">
        <f>SUMIFS(#REF!,#REF!,$B55,#REF!,AK$1)</f>
        <v>#REF!</v>
      </c>
      <c r="AL55" s="24" t="e">
        <f>SUMIFS(#REF!,#REF!,$B55,#REF!,AL$1)</f>
        <v>#REF!</v>
      </c>
      <c r="AM55" s="24" t="e">
        <f>SUMIFS(#REF!,#REF!,$B55,#REF!,AM$1)</f>
        <v>#REF!</v>
      </c>
      <c r="AN55" s="24" t="e">
        <f>SUMIFS(#REF!,#REF!,$B55,#REF!,AN$1)</f>
        <v>#REF!</v>
      </c>
      <c r="AO55" s="24" t="e">
        <f>SUMIFS(#REF!,#REF!,$B55,#REF!,AO$1)</f>
        <v>#REF!</v>
      </c>
      <c r="AP55" s="24" t="e">
        <f>SUMIFS(#REF!,#REF!,$B55,#REF!,AP$1)</f>
        <v>#REF!</v>
      </c>
      <c r="AQ55" s="24" t="e">
        <f>SUMIFS(#REF!,#REF!,$B55,#REF!,AQ$1)</f>
        <v>#REF!</v>
      </c>
      <c r="AR55" s="24" t="e">
        <f>SUMIFS(#REF!,#REF!,$B55,#REF!,AR$1)</f>
        <v>#REF!</v>
      </c>
      <c r="AS55" s="24" t="e">
        <f>SUMIFS(#REF!,#REF!,$B55,#REF!,AS$1)</f>
        <v>#REF!</v>
      </c>
      <c r="AT55" s="24" t="e">
        <f>SUMIFS(#REF!,#REF!,$B55,#REF!,AT$1)</f>
        <v>#REF!</v>
      </c>
      <c r="AU55" s="24" t="e">
        <f>SUMIFS(#REF!,#REF!,$B55,#REF!,AU$1)</f>
        <v>#REF!</v>
      </c>
      <c r="AV55" s="24" t="e">
        <f>SUMIFS(#REF!,#REF!,$B55,#REF!,AV$1)</f>
        <v>#REF!</v>
      </c>
      <c r="AW55" s="24" t="e">
        <f>SUMIFS(#REF!,#REF!,$B55,#REF!,AW$1)</f>
        <v>#REF!</v>
      </c>
      <c r="AX55" s="24" t="e">
        <f>SUMIFS(#REF!,#REF!,$B55,#REF!,AX$1)</f>
        <v>#REF!</v>
      </c>
      <c r="AY55" s="24" t="e">
        <f>SUMIFS(#REF!,#REF!,$B55,#REF!,AY$1)</f>
        <v>#REF!</v>
      </c>
      <c r="AZ55" s="24" t="e">
        <f>SUMIFS(#REF!,#REF!,$B55,#REF!,AZ$1)</f>
        <v>#REF!</v>
      </c>
      <c r="BA55" s="24" t="e">
        <f>SUMIFS(#REF!,#REF!,$B55,#REF!,BA$1)</f>
        <v>#REF!</v>
      </c>
      <c r="BB55" s="24" t="e">
        <f>SUMIFS(#REF!,#REF!,$B55,#REF!,BB$1)</f>
        <v>#REF!</v>
      </c>
      <c r="BC55" s="24" t="e">
        <f>SUMIFS(#REF!,#REF!,$B55,#REF!,BC$1)</f>
        <v>#REF!</v>
      </c>
      <c r="BD55" s="24" t="e">
        <f>SUMIFS(#REF!,#REF!,$B55,#REF!,BD$1)</f>
        <v>#REF!</v>
      </c>
      <c r="BE55" s="24" t="e">
        <f>SUMIFS(#REF!,#REF!,$B55,#REF!,BE$1)</f>
        <v>#REF!</v>
      </c>
      <c r="BF55" s="24" t="e">
        <f>SUMIFS(#REF!,#REF!,$B55,#REF!,BF$1)</f>
        <v>#REF!</v>
      </c>
      <c r="BG55" s="24" t="e">
        <f>SUMIFS(#REF!,#REF!,$B55,#REF!,BG$1)</f>
        <v>#REF!</v>
      </c>
      <c r="BH55" s="24" t="e">
        <f>SUMIFS(#REF!,#REF!,$B55,#REF!,BH$1)</f>
        <v>#REF!</v>
      </c>
      <c r="BI55" s="24" t="e">
        <f>SUMIFS(#REF!,#REF!,$B55,#REF!,BI$1)</f>
        <v>#REF!</v>
      </c>
      <c r="BJ55" s="24" t="e">
        <f>SUMIFS(#REF!,#REF!,$B55,#REF!,BJ$1)</f>
        <v>#REF!</v>
      </c>
      <c r="BK55" s="24" t="e">
        <f>SUMIFS(#REF!,#REF!,$B55,#REF!,BK$1)</f>
        <v>#REF!</v>
      </c>
      <c r="BL55" s="24" t="e">
        <f>SUMIFS(#REF!,#REF!,$B55,#REF!,BL$1)</f>
        <v>#REF!</v>
      </c>
      <c r="BM55" s="24" t="e">
        <f>SUMIFS(#REF!,#REF!,$B55,#REF!,BM$1)</f>
        <v>#REF!</v>
      </c>
      <c r="BN55" s="24" t="e">
        <f>SUMIFS(#REF!,#REF!,$B55,#REF!,BN$1)</f>
        <v>#REF!</v>
      </c>
      <c r="BO55" s="24" t="e">
        <f>SUMIFS(#REF!,#REF!,$B55,#REF!,BO$1)</f>
        <v>#REF!</v>
      </c>
      <c r="BP55" s="24" t="e">
        <f>SUMIFS(#REF!,#REF!,$B55,#REF!,BP$1)</f>
        <v>#REF!</v>
      </c>
      <c r="BQ55" s="24" t="e">
        <f>SUMIFS(#REF!,#REF!,$B55,#REF!,BQ$1)</f>
        <v>#REF!</v>
      </c>
      <c r="BR55" s="24" t="e">
        <f>SUMIFS(#REF!,#REF!,$B55,#REF!,BR$1)</f>
        <v>#REF!</v>
      </c>
      <c r="BS55" s="24" t="e">
        <f>SUMIFS(#REF!,#REF!,$B55,#REF!,BS$1)</f>
        <v>#REF!</v>
      </c>
      <c r="BT55" s="24" t="e">
        <f>SUMIFS(#REF!,#REF!,$B55,#REF!,BT$1)</f>
        <v>#REF!</v>
      </c>
      <c r="BU55" s="24" t="e">
        <f>SUMIFS(#REF!,#REF!,$B55,#REF!,BU$1)</f>
        <v>#REF!</v>
      </c>
      <c r="BV55" s="24" t="e">
        <f>SUMIFS(#REF!,#REF!,$B55,#REF!,BV$1)</f>
        <v>#REF!</v>
      </c>
      <c r="BW55" s="24" t="e">
        <f>SUMIFS(#REF!,#REF!,$B55,#REF!,BW$1)</f>
        <v>#REF!</v>
      </c>
      <c r="BX55" s="24" t="e">
        <f>SUMIFS(#REF!,#REF!,$B55,#REF!,BX$1)</f>
        <v>#REF!</v>
      </c>
      <c r="BY55" s="24" t="e">
        <f>SUMIFS(#REF!,#REF!,$B55,#REF!,BY$1)</f>
        <v>#REF!</v>
      </c>
      <c r="BZ55" s="24" t="e">
        <f>SUMIFS(#REF!,#REF!,$B55,#REF!,BZ$1)</f>
        <v>#REF!</v>
      </c>
      <c r="CA55" s="24" t="e">
        <f>SUMIFS(#REF!,#REF!,$B55,#REF!,CA$1)</f>
        <v>#REF!</v>
      </c>
      <c r="CB55" s="24" t="e">
        <f>SUMIFS(#REF!,#REF!,$B55,#REF!,CB$1)</f>
        <v>#REF!</v>
      </c>
      <c r="CC55" s="24" t="e">
        <f>SUMIFS(#REF!,#REF!,$B55,#REF!,CC$1)</f>
        <v>#REF!</v>
      </c>
      <c r="CD55" s="24" t="e">
        <f>SUMIFS(#REF!,#REF!,$B55,#REF!,CD$1)</f>
        <v>#REF!</v>
      </c>
      <c r="CE55" s="24" t="e">
        <f>SUMIFS(#REF!,#REF!,$B55,#REF!,CE$1)</f>
        <v>#REF!</v>
      </c>
      <c r="CF55" s="24" t="e">
        <f>SUMIFS(#REF!,#REF!,$B55,#REF!,CF$1)</f>
        <v>#REF!</v>
      </c>
      <c r="CG55" s="19" t="e">
        <f t="shared" si="0"/>
        <v>#REF!</v>
      </c>
    </row>
    <row r="56" spans="1:85" x14ac:dyDescent="0.45">
      <c r="A56" s="4" t="s">
        <v>1093</v>
      </c>
      <c r="B56" s="4" t="s">
        <v>1094</v>
      </c>
      <c r="C56" s="24" t="e">
        <f>SUMIFS(#REF!,#REF!,$B56,#REF!,C$1)</f>
        <v>#REF!</v>
      </c>
      <c r="D56" s="24" t="e">
        <f>SUMIFS(#REF!,#REF!,$B56,#REF!,D$1)</f>
        <v>#REF!</v>
      </c>
      <c r="E56" s="24" t="e">
        <f>SUMIFS(#REF!,#REF!,$B56,#REF!,E$1)</f>
        <v>#REF!</v>
      </c>
      <c r="F56" s="24" t="e">
        <f>SUMIFS(#REF!,#REF!,$B56,#REF!,F$1)</f>
        <v>#REF!</v>
      </c>
      <c r="G56" s="24" t="e">
        <f>SUMIFS(#REF!,#REF!,$B56,#REF!,G$1)</f>
        <v>#REF!</v>
      </c>
      <c r="H56" s="24" t="e">
        <f>SUMIFS(#REF!,#REF!,$B56,#REF!,H$1)</f>
        <v>#REF!</v>
      </c>
      <c r="I56" s="24" t="e">
        <f>SUMIFS(#REF!,#REF!,$B56,#REF!,I$1)</f>
        <v>#REF!</v>
      </c>
      <c r="J56" s="24" t="e">
        <f>SUMIFS(#REF!,#REF!,$B56,#REF!,J$1)</f>
        <v>#REF!</v>
      </c>
      <c r="K56" s="24" t="e">
        <f>SUMIFS(#REF!,#REF!,$B56,#REF!,K$1)</f>
        <v>#REF!</v>
      </c>
      <c r="L56" s="24" t="e">
        <f>SUMIFS(#REF!,#REF!,$B56,#REF!,L$1)</f>
        <v>#REF!</v>
      </c>
      <c r="M56" s="24" t="e">
        <f>SUMIFS(#REF!,#REF!,$B56,#REF!,M$1)</f>
        <v>#REF!</v>
      </c>
      <c r="N56" s="24" t="e">
        <f>SUMIFS(#REF!,#REF!,$B56,#REF!,N$1)</f>
        <v>#REF!</v>
      </c>
      <c r="O56" s="24" t="e">
        <f>SUMIFS(#REF!,#REF!,$B56,#REF!,O$1)</f>
        <v>#REF!</v>
      </c>
      <c r="P56" s="24" t="e">
        <f>SUMIFS(#REF!,#REF!,$B56,#REF!,P$1)</f>
        <v>#REF!</v>
      </c>
      <c r="Q56" s="24" t="e">
        <f>SUMIFS(#REF!,#REF!,$B56,#REF!,Q$1)</f>
        <v>#REF!</v>
      </c>
      <c r="R56" s="24" t="e">
        <f>SUMIFS(#REF!,#REF!,$B56,#REF!,R$1)</f>
        <v>#REF!</v>
      </c>
      <c r="S56" s="24" t="e">
        <f>SUMIFS(#REF!,#REF!,$B56,#REF!,S$1)</f>
        <v>#REF!</v>
      </c>
      <c r="T56" s="24" t="e">
        <f>SUMIFS(#REF!,#REF!,$B56,#REF!,T$1)</f>
        <v>#REF!</v>
      </c>
      <c r="U56" s="24" t="e">
        <f>SUMIFS(#REF!,#REF!,$B56,#REF!,U$1)</f>
        <v>#REF!</v>
      </c>
      <c r="V56" s="24" t="e">
        <f>SUMIFS(#REF!,#REF!,$B56,#REF!,V$1)</f>
        <v>#REF!</v>
      </c>
      <c r="W56" s="24" t="e">
        <f>SUMIFS(#REF!,#REF!,$B56,#REF!,W$1)</f>
        <v>#REF!</v>
      </c>
      <c r="X56" s="24" t="e">
        <f>SUMIFS(#REF!,#REF!,$B56,#REF!,X$1)</f>
        <v>#REF!</v>
      </c>
      <c r="Y56" s="24" t="e">
        <f>SUMIFS(#REF!,#REF!,$B56,#REF!,Y$1)</f>
        <v>#REF!</v>
      </c>
      <c r="Z56" s="24" t="e">
        <f>SUMIFS(#REF!,#REF!,$B56,#REF!,Z$1)</f>
        <v>#REF!</v>
      </c>
      <c r="AA56" s="24" t="e">
        <f>SUMIFS(#REF!,#REF!,$B56,#REF!,AA$1)</f>
        <v>#REF!</v>
      </c>
      <c r="AB56" s="24" t="e">
        <f>SUMIFS(#REF!,#REF!,$B56,#REF!,AB$1)</f>
        <v>#REF!</v>
      </c>
      <c r="AC56" s="24" t="e">
        <f>SUMIFS(#REF!,#REF!,$B56,#REF!,AC$1)</f>
        <v>#REF!</v>
      </c>
      <c r="AD56" s="24" t="e">
        <f>SUMIFS(#REF!,#REF!,$B56,#REF!,AD$1)</f>
        <v>#REF!</v>
      </c>
      <c r="AE56" s="24" t="e">
        <f>SUMIFS(#REF!,#REF!,$B56,#REF!,AE$1)</f>
        <v>#REF!</v>
      </c>
      <c r="AF56" s="24" t="e">
        <f>SUMIFS(#REF!,#REF!,$B56,#REF!,AF$1)</f>
        <v>#REF!</v>
      </c>
      <c r="AG56" s="24" t="e">
        <f>SUMIFS(#REF!,#REF!,$B56,#REF!,AG$1)</f>
        <v>#REF!</v>
      </c>
      <c r="AH56" s="24" t="e">
        <f>SUMIFS(#REF!,#REF!,$B56,#REF!,AH$1)</f>
        <v>#REF!</v>
      </c>
      <c r="AI56" s="24" t="e">
        <f>SUMIFS(#REF!,#REF!,$B56,#REF!,AI$1)</f>
        <v>#REF!</v>
      </c>
      <c r="AJ56" s="24" t="e">
        <f>SUMIFS(#REF!,#REF!,$B56,#REF!,AJ$1)</f>
        <v>#REF!</v>
      </c>
      <c r="AK56" s="24" t="e">
        <f>SUMIFS(#REF!,#REF!,$B56,#REF!,AK$1)</f>
        <v>#REF!</v>
      </c>
      <c r="AL56" s="24" t="e">
        <f>SUMIFS(#REF!,#REF!,$B56,#REF!,AL$1)</f>
        <v>#REF!</v>
      </c>
      <c r="AM56" s="24" t="e">
        <f>SUMIFS(#REF!,#REF!,$B56,#REF!,AM$1)</f>
        <v>#REF!</v>
      </c>
      <c r="AN56" s="24" t="e">
        <f>SUMIFS(#REF!,#REF!,$B56,#REF!,AN$1)</f>
        <v>#REF!</v>
      </c>
      <c r="AO56" s="24" t="e">
        <f>SUMIFS(#REF!,#REF!,$B56,#REF!,AO$1)</f>
        <v>#REF!</v>
      </c>
      <c r="AP56" s="24" t="e">
        <f>SUMIFS(#REF!,#REF!,$B56,#REF!,AP$1)</f>
        <v>#REF!</v>
      </c>
      <c r="AQ56" s="24" t="e">
        <f>SUMIFS(#REF!,#REF!,$B56,#REF!,AQ$1)</f>
        <v>#REF!</v>
      </c>
      <c r="AR56" s="24" t="e">
        <f>SUMIFS(#REF!,#REF!,$B56,#REF!,AR$1)</f>
        <v>#REF!</v>
      </c>
      <c r="AS56" s="24" t="e">
        <f>SUMIFS(#REF!,#REF!,$B56,#REF!,AS$1)</f>
        <v>#REF!</v>
      </c>
      <c r="AT56" s="24" t="e">
        <f>SUMIFS(#REF!,#REF!,$B56,#REF!,AT$1)</f>
        <v>#REF!</v>
      </c>
      <c r="AU56" s="24" t="e">
        <f>SUMIFS(#REF!,#REF!,$B56,#REF!,AU$1)</f>
        <v>#REF!</v>
      </c>
      <c r="AV56" s="24" t="e">
        <f>SUMIFS(#REF!,#REF!,$B56,#REF!,AV$1)</f>
        <v>#REF!</v>
      </c>
      <c r="AW56" s="24" t="e">
        <f>SUMIFS(#REF!,#REF!,$B56,#REF!,AW$1)</f>
        <v>#REF!</v>
      </c>
      <c r="AX56" s="24" t="e">
        <f>SUMIFS(#REF!,#REF!,$B56,#REF!,AX$1)</f>
        <v>#REF!</v>
      </c>
      <c r="AY56" s="24" t="e">
        <f>SUMIFS(#REF!,#REF!,$B56,#REF!,AY$1)</f>
        <v>#REF!</v>
      </c>
      <c r="AZ56" s="24" t="e">
        <f>SUMIFS(#REF!,#REF!,$B56,#REF!,AZ$1)</f>
        <v>#REF!</v>
      </c>
      <c r="BA56" s="24" t="e">
        <f>SUMIFS(#REF!,#REF!,$B56,#REF!,BA$1)</f>
        <v>#REF!</v>
      </c>
      <c r="BB56" s="24" t="e">
        <f>SUMIFS(#REF!,#REF!,$B56,#REF!,BB$1)</f>
        <v>#REF!</v>
      </c>
      <c r="BC56" s="24" t="e">
        <f>SUMIFS(#REF!,#REF!,$B56,#REF!,BC$1)</f>
        <v>#REF!</v>
      </c>
      <c r="BD56" s="24" t="e">
        <f>SUMIFS(#REF!,#REF!,$B56,#REF!,BD$1)</f>
        <v>#REF!</v>
      </c>
      <c r="BE56" s="24" t="e">
        <f>SUMIFS(#REF!,#REF!,$B56,#REF!,BE$1)</f>
        <v>#REF!</v>
      </c>
      <c r="BF56" s="24" t="e">
        <f>SUMIFS(#REF!,#REF!,$B56,#REF!,BF$1)</f>
        <v>#REF!</v>
      </c>
      <c r="BG56" s="24" t="e">
        <f>SUMIFS(#REF!,#REF!,$B56,#REF!,BG$1)</f>
        <v>#REF!</v>
      </c>
      <c r="BH56" s="24" t="e">
        <f>SUMIFS(#REF!,#REF!,$B56,#REF!,BH$1)</f>
        <v>#REF!</v>
      </c>
      <c r="BI56" s="24" t="e">
        <f>SUMIFS(#REF!,#REF!,$B56,#REF!,BI$1)</f>
        <v>#REF!</v>
      </c>
      <c r="BJ56" s="24" t="e">
        <f>SUMIFS(#REF!,#REF!,$B56,#REF!,BJ$1)</f>
        <v>#REF!</v>
      </c>
      <c r="BK56" s="24" t="e">
        <f>SUMIFS(#REF!,#REF!,$B56,#REF!,BK$1)</f>
        <v>#REF!</v>
      </c>
      <c r="BL56" s="24" t="e">
        <f>SUMIFS(#REF!,#REF!,$B56,#REF!,BL$1)</f>
        <v>#REF!</v>
      </c>
      <c r="BM56" s="24" t="e">
        <f>SUMIFS(#REF!,#REF!,$B56,#REF!,BM$1)</f>
        <v>#REF!</v>
      </c>
      <c r="BN56" s="24" t="e">
        <f>SUMIFS(#REF!,#REF!,$B56,#REF!,BN$1)</f>
        <v>#REF!</v>
      </c>
      <c r="BO56" s="24" t="e">
        <f>SUMIFS(#REF!,#REF!,$B56,#REF!,BO$1)</f>
        <v>#REF!</v>
      </c>
      <c r="BP56" s="24" t="e">
        <f>SUMIFS(#REF!,#REF!,$B56,#REF!,BP$1)</f>
        <v>#REF!</v>
      </c>
      <c r="BQ56" s="24" t="e">
        <f>SUMIFS(#REF!,#REF!,$B56,#REF!,BQ$1)</f>
        <v>#REF!</v>
      </c>
      <c r="BR56" s="24" t="e">
        <f>SUMIFS(#REF!,#REF!,$B56,#REF!,BR$1)</f>
        <v>#REF!</v>
      </c>
      <c r="BS56" s="24" t="e">
        <f>SUMIFS(#REF!,#REF!,$B56,#REF!,BS$1)</f>
        <v>#REF!</v>
      </c>
      <c r="BT56" s="24" t="e">
        <f>SUMIFS(#REF!,#REF!,$B56,#REF!,BT$1)</f>
        <v>#REF!</v>
      </c>
      <c r="BU56" s="24" t="e">
        <f>SUMIFS(#REF!,#REF!,$B56,#REF!,BU$1)</f>
        <v>#REF!</v>
      </c>
      <c r="BV56" s="24" t="e">
        <f>SUMIFS(#REF!,#REF!,$B56,#REF!,BV$1)</f>
        <v>#REF!</v>
      </c>
      <c r="BW56" s="24" t="e">
        <f>SUMIFS(#REF!,#REF!,$B56,#REF!,BW$1)</f>
        <v>#REF!</v>
      </c>
      <c r="BX56" s="24" t="e">
        <f>SUMIFS(#REF!,#REF!,$B56,#REF!,BX$1)</f>
        <v>#REF!</v>
      </c>
      <c r="BY56" s="24" t="e">
        <f>SUMIFS(#REF!,#REF!,$B56,#REF!,BY$1)</f>
        <v>#REF!</v>
      </c>
      <c r="BZ56" s="24" t="e">
        <f>SUMIFS(#REF!,#REF!,$B56,#REF!,BZ$1)</f>
        <v>#REF!</v>
      </c>
      <c r="CA56" s="24" t="e">
        <f>SUMIFS(#REF!,#REF!,$B56,#REF!,CA$1)</f>
        <v>#REF!</v>
      </c>
      <c r="CB56" s="24" t="e">
        <f>SUMIFS(#REF!,#REF!,$B56,#REF!,CB$1)</f>
        <v>#REF!</v>
      </c>
      <c r="CC56" s="24" t="e">
        <f>SUMIFS(#REF!,#REF!,$B56,#REF!,CC$1)</f>
        <v>#REF!</v>
      </c>
      <c r="CD56" s="24" t="e">
        <f>SUMIFS(#REF!,#REF!,$B56,#REF!,CD$1)</f>
        <v>#REF!</v>
      </c>
      <c r="CE56" s="24" t="e">
        <f>SUMIFS(#REF!,#REF!,$B56,#REF!,CE$1)</f>
        <v>#REF!</v>
      </c>
      <c r="CF56" s="24" t="e">
        <f>SUMIFS(#REF!,#REF!,$B56,#REF!,CF$1)</f>
        <v>#REF!</v>
      </c>
      <c r="CG56" s="19" t="e">
        <f t="shared" si="0"/>
        <v>#REF!</v>
      </c>
    </row>
    <row r="57" spans="1:85" x14ac:dyDescent="0.45">
      <c r="A57" s="4" t="s">
        <v>1095</v>
      </c>
      <c r="B57" s="4" t="s">
        <v>1096</v>
      </c>
      <c r="C57" s="24" t="e">
        <f>SUMIFS(#REF!,#REF!,$B57,#REF!,C$1)</f>
        <v>#REF!</v>
      </c>
      <c r="D57" s="24" t="e">
        <f>SUMIFS(#REF!,#REF!,$B57,#REF!,D$1)</f>
        <v>#REF!</v>
      </c>
      <c r="E57" s="24" t="e">
        <f>SUMIFS(#REF!,#REF!,$B57,#REF!,E$1)</f>
        <v>#REF!</v>
      </c>
      <c r="F57" s="24" t="e">
        <f>SUMIFS(#REF!,#REF!,$B57,#REF!,F$1)</f>
        <v>#REF!</v>
      </c>
      <c r="G57" s="24" t="e">
        <f>SUMIFS(#REF!,#REF!,$B57,#REF!,G$1)</f>
        <v>#REF!</v>
      </c>
      <c r="H57" s="24" t="e">
        <f>SUMIFS(#REF!,#REF!,$B57,#REF!,H$1)</f>
        <v>#REF!</v>
      </c>
      <c r="I57" s="24" t="e">
        <f>SUMIFS(#REF!,#REF!,$B57,#REF!,I$1)</f>
        <v>#REF!</v>
      </c>
      <c r="J57" s="24" t="e">
        <f>SUMIFS(#REF!,#REF!,$B57,#REF!,J$1)</f>
        <v>#REF!</v>
      </c>
      <c r="K57" s="24" t="e">
        <f>SUMIFS(#REF!,#REF!,$B57,#REF!,K$1)</f>
        <v>#REF!</v>
      </c>
      <c r="L57" s="24" t="e">
        <f>SUMIFS(#REF!,#REF!,$B57,#REF!,L$1)</f>
        <v>#REF!</v>
      </c>
      <c r="M57" s="24" t="e">
        <f>SUMIFS(#REF!,#REF!,$B57,#REF!,M$1)</f>
        <v>#REF!</v>
      </c>
      <c r="N57" s="24" t="e">
        <f>SUMIFS(#REF!,#REF!,$B57,#REF!,N$1)</f>
        <v>#REF!</v>
      </c>
      <c r="O57" s="24" t="e">
        <f>SUMIFS(#REF!,#REF!,$B57,#REF!,O$1)</f>
        <v>#REF!</v>
      </c>
      <c r="P57" s="24" t="e">
        <f>SUMIFS(#REF!,#REF!,$B57,#REF!,P$1)</f>
        <v>#REF!</v>
      </c>
      <c r="Q57" s="24" t="e">
        <f>SUMIFS(#REF!,#REF!,$B57,#REF!,Q$1)</f>
        <v>#REF!</v>
      </c>
      <c r="R57" s="24" t="e">
        <f>SUMIFS(#REF!,#REF!,$B57,#REF!,R$1)</f>
        <v>#REF!</v>
      </c>
      <c r="S57" s="24" t="e">
        <f>SUMIFS(#REF!,#REF!,$B57,#REF!,S$1)</f>
        <v>#REF!</v>
      </c>
      <c r="T57" s="24" t="e">
        <f>SUMIFS(#REF!,#REF!,$B57,#REF!,T$1)</f>
        <v>#REF!</v>
      </c>
      <c r="U57" s="24" t="e">
        <f>SUMIFS(#REF!,#REF!,$B57,#REF!,U$1)</f>
        <v>#REF!</v>
      </c>
      <c r="V57" s="24" t="e">
        <f>SUMIFS(#REF!,#REF!,$B57,#REF!,V$1)</f>
        <v>#REF!</v>
      </c>
      <c r="W57" s="24" t="e">
        <f>SUMIFS(#REF!,#REF!,$B57,#REF!,W$1)</f>
        <v>#REF!</v>
      </c>
      <c r="X57" s="24" t="e">
        <f>SUMIFS(#REF!,#REF!,$B57,#REF!,X$1)</f>
        <v>#REF!</v>
      </c>
      <c r="Y57" s="24" t="e">
        <f>SUMIFS(#REF!,#REF!,$B57,#REF!,Y$1)</f>
        <v>#REF!</v>
      </c>
      <c r="Z57" s="24" t="e">
        <f>SUMIFS(#REF!,#REF!,$B57,#REF!,Z$1)</f>
        <v>#REF!</v>
      </c>
      <c r="AA57" s="24" t="e">
        <f>SUMIFS(#REF!,#REF!,$B57,#REF!,AA$1)</f>
        <v>#REF!</v>
      </c>
      <c r="AB57" s="24" t="e">
        <f>SUMIFS(#REF!,#REF!,$B57,#REF!,AB$1)</f>
        <v>#REF!</v>
      </c>
      <c r="AC57" s="24" t="e">
        <f>SUMIFS(#REF!,#REF!,$B57,#REF!,AC$1)</f>
        <v>#REF!</v>
      </c>
      <c r="AD57" s="24" t="e">
        <f>SUMIFS(#REF!,#REF!,$B57,#REF!,AD$1)</f>
        <v>#REF!</v>
      </c>
      <c r="AE57" s="24" t="e">
        <f>SUMIFS(#REF!,#REF!,$B57,#REF!,AE$1)</f>
        <v>#REF!</v>
      </c>
      <c r="AF57" s="24" t="e">
        <f>SUMIFS(#REF!,#REF!,$B57,#REF!,AF$1)</f>
        <v>#REF!</v>
      </c>
      <c r="AG57" s="24" t="e">
        <f>SUMIFS(#REF!,#REF!,$B57,#REF!,AG$1)</f>
        <v>#REF!</v>
      </c>
      <c r="AH57" s="24" t="e">
        <f>SUMIFS(#REF!,#REF!,$B57,#REF!,AH$1)</f>
        <v>#REF!</v>
      </c>
      <c r="AI57" s="24" t="e">
        <f>SUMIFS(#REF!,#REF!,$B57,#REF!,AI$1)</f>
        <v>#REF!</v>
      </c>
      <c r="AJ57" s="24" t="e">
        <f>SUMIFS(#REF!,#REF!,$B57,#REF!,AJ$1)</f>
        <v>#REF!</v>
      </c>
      <c r="AK57" s="24" t="e">
        <f>SUMIFS(#REF!,#REF!,$B57,#REF!,AK$1)</f>
        <v>#REF!</v>
      </c>
      <c r="AL57" s="24" t="e">
        <f>SUMIFS(#REF!,#REF!,$B57,#REF!,AL$1)</f>
        <v>#REF!</v>
      </c>
      <c r="AM57" s="24" t="e">
        <f>SUMIFS(#REF!,#REF!,$B57,#REF!,AM$1)</f>
        <v>#REF!</v>
      </c>
      <c r="AN57" s="24" t="e">
        <f>SUMIFS(#REF!,#REF!,$B57,#REF!,AN$1)</f>
        <v>#REF!</v>
      </c>
      <c r="AO57" s="24" t="e">
        <f>SUMIFS(#REF!,#REF!,$B57,#REF!,AO$1)</f>
        <v>#REF!</v>
      </c>
      <c r="AP57" s="24" t="e">
        <f>SUMIFS(#REF!,#REF!,$B57,#REF!,AP$1)</f>
        <v>#REF!</v>
      </c>
      <c r="AQ57" s="24" t="e">
        <f>SUMIFS(#REF!,#REF!,$B57,#REF!,AQ$1)</f>
        <v>#REF!</v>
      </c>
      <c r="AR57" s="24" t="e">
        <f>SUMIFS(#REF!,#REF!,$B57,#REF!,AR$1)</f>
        <v>#REF!</v>
      </c>
      <c r="AS57" s="24" t="e">
        <f>SUMIFS(#REF!,#REF!,$B57,#REF!,AS$1)</f>
        <v>#REF!</v>
      </c>
      <c r="AT57" s="24" t="e">
        <f>SUMIFS(#REF!,#REF!,$B57,#REF!,AT$1)</f>
        <v>#REF!</v>
      </c>
      <c r="AU57" s="24" t="e">
        <f>SUMIFS(#REF!,#REF!,$B57,#REF!,AU$1)</f>
        <v>#REF!</v>
      </c>
      <c r="AV57" s="24" t="e">
        <f>SUMIFS(#REF!,#REF!,$B57,#REF!,AV$1)</f>
        <v>#REF!</v>
      </c>
      <c r="AW57" s="24" t="e">
        <f>SUMIFS(#REF!,#REF!,$B57,#REF!,AW$1)</f>
        <v>#REF!</v>
      </c>
      <c r="AX57" s="24" t="e">
        <f>SUMIFS(#REF!,#REF!,$B57,#REF!,AX$1)</f>
        <v>#REF!</v>
      </c>
      <c r="AY57" s="24" t="e">
        <f>SUMIFS(#REF!,#REF!,$B57,#REF!,AY$1)</f>
        <v>#REF!</v>
      </c>
      <c r="AZ57" s="24" t="e">
        <f>SUMIFS(#REF!,#REF!,$B57,#REF!,AZ$1)</f>
        <v>#REF!</v>
      </c>
      <c r="BA57" s="24" t="e">
        <f>SUMIFS(#REF!,#REF!,$B57,#REF!,BA$1)</f>
        <v>#REF!</v>
      </c>
      <c r="BB57" s="24" t="e">
        <f>SUMIFS(#REF!,#REF!,$B57,#REF!,BB$1)</f>
        <v>#REF!</v>
      </c>
      <c r="BC57" s="24" t="e">
        <f>SUMIFS(#REF!,#REF!,$B57,#REF!,BC$1)</f>
        <v>#REF!</v>
      </c>
      <c r="BD57" s="24" t="e">
        <f>SUMIFS(#REF!,#REF!,$B57,#REF!,BD$1)</f>
        <v>#REF!</v>
      </c>
      <c r="BE57" s="24" t="e">
        <f>SUMIFS(#REF!,#REF!,$B57,#REF!,BE$1)</f>
        <v>#REF!</v>
      </c>
      <c r="BF57" s="24" t="e">
        <f>SUMIFS(#REF!,#REF!,$B57,#REF!,BF$1)</f>
        <v>#REF!</v>
      </c>
      <c r="BG57" s="24" t="e">
        <f>SUMIFS(#REF!,#REF!,$B57,#REF!,BG$1)</f>
        <v>#REF!</v>
      </c>
      <c r="BH57" s="24" t="e">
        <f>SUMIFS(#REF!,#REF!,$B57,#REF!,BH$1)</f>
        <v>#REF!</v>
      </c>
      <c r="BI57" s="24" t="e">
        <f>SUMIFS(#REF!,#REF!,$B57,#REF!,BI$1)</f>
        <v>#REF!</v>
      </c>
      <c r="BJ57" s="24" t="e">
        <f>SUMIFS(#REF!,#REF!,$B57,#REF!,BJ$1)</f>
        <v>#REF!</v>
      </c>
      <c r="BK57" s="24" t="e">
        <f>SUMIFS(#REF!,#REF!,$B57,#REF!,BK$1)</f>
        <v>#REF!</v>
      </c>
      <c r="BL57" s="24" t="e">
        <f>SUMIFS(#REF!,#REF!,$B57,#REF!,BL$1)</f>
        <v>#REF!</v>
      </c>
      <c r="BM57" s="24" t="e">
        <f>SUMIFS(#REF!,#REF!,$B57,#REF!,BM$1)</f>
        <v>#REF!</v>
      </c>
      <c r="BN57" s="24" t="e">
        <f>SUMIFS(#REF!,#REF!,$B57,#REF!,BN$1)</f>
        <v>#REF!</v>
      </c>
      <c r="BO57" s="24" t="e">
        <f>SUMIFS(#REF!,#REF!,$B57,#REF!,BO$1)</f>
        <v>#REF!</v>
      </c>
      <c r="BP57" s="24" t="e">
        <f>SUMIFS(#REF!,#REF!,$B57,#REF!,BP$1)</f>
        <v>#REF!</v>
      </c>
      <c r="BQ57" s="24" t="e">
        <f>SUMIFS(#REF!,#REF!,$B57,#REF!,BQ$1)</f>
        <v>#REF!</v>
      </c>
      <c r="BR57" s="24" t="e">
        <f>SUMIFS(#REF!,#REF!,$B57,#REF!,BR$1)</f>
        <v>#REF!</v>
      </c>
      <c r="BS57" s="24" t="e">
        <f>SUMIFS(#REF!,#REF!,$B57,#REF!,BS$1)</f>
        <v>#REF!</v>
      </c>
      <c r="BT57" s="24" t="e">
        <f>SUMIFS(#REF!,#REF!,$B57,#REF!,BT$1)</f>
        <v>#REF!</v>
      </c>
      <c r="BU57" s="24" t="e">
        <f>SUMIFS(#REF!,#REF!,$B57,#REF!,BU$1)</f>
        <v>#REF!</v>
      </c>
      <c r="BV57" s="24" t="e">
        <f>SUMIFS(#REF!,#REF!,$B57,#REF!,BV$1)</f>
        <v>#REF!</v>
      </c>
      <c r="BW57" s="24" t="e">
        <f>SUMIFS(#REF!,#REF!,$B57,#REF!,BW$1)</f>
        <v>#REF!</v>
      </c>
      <c r="BX57" s="24" t="e">
        <f>SUMIFS(#REF!,#REF!,$B57,#REF!,BX$1)</f>
        <v>#REF!</v>
      </c>
      <c r="BY57" s="24" t="e">
        <f>SUMIFS(#REF!,#REF!,$B57,#REF!,BY$1)</f>
        <v>#REF!</v>
      </c>
      <c r="BZ57" s="24" t="e">
        <f>SUMIFS(#REF!,#REF!,$B57,#REF!,BZ$1)</f>
        <v>#REF!</v>
      </c>
      <c r="CA57" s="24" t="e">
        <f>SUMIFS(#REF!,#REF!,$B57,#REF!,CA$1)</f>
        <v>#REF!</v>
      </c>
      <c r="CB57" s="24" t="e">
        <f>SUMIFS(#REF!,#REF!,$B57,#REF!,CB$1)</f>
        <v>#REF!</v>
      </c>
      <c r="CC57" s="24" t="e">
        <f>SUMIFS(#REF!,#REF!,$B57,#REF!,CC$1)</f>
        <v>#REF!</v>
      </c>
      <c r="CD57" s="24" t="e">
        <f>SUMIFS(#REF!,#REF!,$B57,#REF!,CD$1)</f>
        <v>#REF!</v>
      </c>
      <c r="CE57" s="24" t="e">
        <f>SUMIFS(#REF!,#REF!,$B57,#REF!,CE$1)</f>
        <v>#REF!</v>
      </c>
      <c r="CF57" s="24" t="e">
        <f>SUMIFS(#REF!,#REF!,$B57,#REF!,CF$1)</f>
        <v>#REF!</v>
      </c>
      <c r="CG57" s="19" t="e">
        <f t="shared" si="0"/>
        <v>#REF!</v>
      </c>
    </row>
    <row r="58" spans="1:85" x14ac:dyDescent="0.45">
      <c r="A58" s="4" t="s">
        <v>1097</v>
      </c>
      <c r="B58" s="4" t="s">
        <v>1098</v>
      </c>
      <c r="C58" s="24" t="e">
        <f>SUMIFS(#REF!,#REF!,$B58,#REF!,C$1)</f>
        <v>#REF!</v>
      </c>
      <c r="D58" s="24" t="e">
        <f>SUMIFS(#REF!,#REF!,$B58,#REF!,D$1)</f>
        <v>#REF!</v>
      </c>
      <c r="E58" s="24" t="e">
        <f>SUMIFS(#REF!,#REF!,$B58,#REF!,E$1)</f>
        <v>#REF!</v>
      </c>
      <c r="F58" s="24" t="e">
        <f>SUMIFS(#REF!,#REF!,$B58,#REF!,F$1)</f>
        <v>#REF!</v>
      </c>
      <c r="G58" s="24" t="e">
        <f>SUMIFS(#REF!,#REF!,$B58,#REF!,G$1)</f>
        <v>#REF!</v>
      </c>
      <c r="H58" s="24" t="e">
        <f>SUMIFS(#REF!,#REF!,$B58,#REF!,H$1)</f>
        <v>#REF!</v>
      </c>
      <c r="I58" s="24" t="e">
        <f>SUMIFS(#REF!,#REF!,$B58,#REF!,I$1)</f>
        <v>#REF!</v>
      </c>
      <c r="J58" s="24" t="e">
        <f>SUMIFS(#REF!,#REF!,$B58,#REF!,J$1)</f>
        <v>#REF!</v>
      </c>
      <c r="K58" s="24" t="e">
        <f>SUMIFS(#REF!,#REF!,$B58,#REF!,K$1)</f>
        <v>#REF!</v>
      </c>
      <c r="L58" s="24" t="e">
        <f>SUMIFS(#REF!,#REF!,$B58,#REF!,L$1)</f>
        <v>#REF!</v>
      </c>
      <c r="M58" s="24" t="e">
        <f>SUMIFS(#REF!,#REF!,$B58,#REF!,M$1)</f>
        <v>#REF!</v>
      </c>
      <c r="N58" s="24" t="e">
        <f>SUMIFS(#REF!,#REF!,$B58,#REF!,N$1)</f>
        <v>#REF!</v>
      </c>
      <c r="O58" s="24" t="e">
        <f>SUMIFS(#REF!,#REF!,$B58,#REF!,O$1)</f>
        <v>#REF!</v>
      </c>
      <c r="P58" s="24" t="e">
        <f>SUMIFS(#REF!,#REF!,$B58,#REF!,P$1)</f>
        <v>#REF!</v>
      </c>
      <c r="Q58" s="24" t="e">
        <f>SUMIFS(#REF!,#REF!,$B58,#REF!,Q$1)</f>
        <v>#REF!</v>
      </c>
      <c r="R58" s="24" t="e">
        <f>SUMIFS(#REF!,#REF!,$B58,#REF!,R$1)</f>
        <v>#REF!</v>
      </c>
      <c r="S58" s="24" t="e">
        <f>SUMIFS(#REF!,#REF!,$B58,#REF!,S$1)</f>
        <v>#REF!</v>
      </c>
      <c r="T58" s="24" t="e">
        <f>SUMIFS(#REF!,#REF!,$B58,#REF!,T$1)</f>
        <v>#REF!</v>
      </c>
      <c r="U58" s="24" t="e">
        <f>SUMIFS(#REF!,#REF!,$B58,#REF!,U$1)</f>
        <v>#REF!</v>
      </c>
      <c r="V58" s="24" t="e">
        <f>SUMIFS(#REF!,#REF!,$B58,#REF!,V$1)</f>
        <v>#REF!</v>
      </c>
      <c r="W58" s="24" t="e">
        <f>SUMIFS(#REF!,#REF!,$B58,#REF!,W$1)</f>
        <v>#REF!</v>
      </c>
      <c r="X58" s="24" t="e">
        <f>SUMIFS(#REF!,#REF!,$B58,#REF!,X$1)</f>
        <v>#REF!</v>
      </c>
      <c r="Y58" s="24" t="e">
        <f>SUMIFS(#REF!,#REF!,$B58,#REF!,Y$1)</f>
        <v>#REF!</v>
      </c>
      <c r="Z58" s="24" t="e">
        <f>SUMIFS(#REF!,#REF!,$B58,#REF!,Z$1)</f>
        <v>#REF!</v>
      </c>
      <c r="AA58" s="24" t="e">
        <f>SUMIFS(#REF!,#REF!,$B58,#REF!,AA$1)</f>
        <v>#REF!</v>
      </c>
      <c r="AB58" s="24" t="e">
        <f>SUMIFS(#REF!,#REF!,$B58,#REF!,AB$1)</f>
        <v>#REF!</v>
      </c>
      <c r="AC58" s="24" t="e">
        <f>SUMIFS(#REF!,#REF!,$B58,#REF!,AC$1)</f>
        <v>#REF!</v>
      </c>
      <c r="AD58" s="24" t="e">
        <f>SUMIFS(#REF!,#REF!,$B58,#REF!,AD$1)</f>
        <v>#REF!</v>
      </c>
      <c r="AE58" s="24" t="e">
        <f>SUMIFS(#REF!,#REF!,$B58,#REF!,AE$1)</f>
        <v>#REF!</v>
      </c>
      <c r="AF58" s="24" t="e">
        <f>SUMIFS(#REF!,#REF!,$B58,#REF!,AF$1)</f>
        <v>#REF!</v>
      </c>
      <c r="AG58" s="24" t="e">
        <f>SUMIFS(#REF!,#REF!,$B58,#REF!,AG$1)</f>
        <v>#REF!</v>
      </c>
      <c r="AH58" s="24" t="e">
        <f>SUMIFS(#REF!,#REF!,$B58,#REF!,AH$1)</f>
        <v>#REF!</v>
      </c>
      <c r="AI58" s="24" t="e">
        <f>SUMIFS(#REF!,#REF!,$B58,#REF!,AI$1)</f>
        <v>#REF!</v>
      </c>
      <c r="AJ58" s="24" t="e">
        <f>SUMIFS(#REF!,#REF!,$B58,#REF!,AJ$1)</f>
        <v>#REF!</v>
      </c>
      <c r="AK58" s="24" t="e">
        <f>SUMIFS(#REF!,#REF!,$B58,#REF!,AK$1)</f>
        <v>#REF!</v>
      </c>
      <c r="AL58" s="24" t="e">
        <f>SUMIFS(#REF!,#REF!,$B58,#REF!,AL$1)</f>
        <v>#REF!</v>
      </c>
      <c r="AM58" s="24" t="e">
        <f>SUMIFS(#REF!,#REF!,$B58,#REF!,AM$1)</f>
        <v>#REF!</v>
      </c>
      <c r="AN58" s="24" t="e">
        <f>SUMIFS(#REF!,#REF!,$B58,#REF!,AN$1)</f>
        <v>#REF!</v>
      </c>
      <c r="AO58" s="24" t="e">
        <f>SUMIFS(#REF!,#REF!,$B58,#REF!,AO$1)</f>
        <v>#REF!</v>
      </c>
      <c r="AP58" s="24" t="e">
        <f>SUMIFS(#REF!,#REF!,$B58,#REF!,AP$1)</f>
        <v>#REF!</v>
      </c>
      <c r="AQ58" s="24" t="e">
        <f>SUMIFS(#REF!,#REF!,$B58,#REF!,AQ$1)</f>
        <v>#REF!</v>
      </c>
      <c r="AR58" s="24" t="e">
        <f>SUMIFS(#REF!,#REF!,$B58,#REF!,AR$1)</f>
        <v>#REF!</v>
      </c>
      <c r="AS58" s="24" t="e">
        <f>SUMIFS(#REF!,#REF!,$B58,#REF!,AS$1)</f>
        <v>#REF!</v>
      </c>
      <c r="AT58" s="24" t="e">
        <f>SUMIFS(#REF!,#REF!,$B58,#REF!,AT$1)</f>
        <v>#REF!</v>
      </c>
      <c r="AU58" s="24" t="e">
        <f>SUMIFS(#REF!,#REF!,$B58,#REF!,AU$1)</f>
        <v>#REF!</v>
      </c>
      <c r="AV58" s="24" t="e">
        <f>SUMIFS(#REF!,#REF!,$B58,#REF!,AV$1)</f>
        <v>#REF!</v>
      </c>
      <c r="AW58" s="24" t="e">
        <f>SUMIFS(#REF!,#REF!,$B58,#REF!,AW$1)</f>
        <v>#REF!</v>
      </c>
      <c r="AX58" s="24" t="e">
        <f>SUMIFS(#REF!,#REF!,$B58,#REF!,AX$1)</f>
        <v>#REF!</v>
      </c>
      <c r="AY58" s="24" t="e">
        <f>SUMIFS(#REF!,#REF!,$B58,#REF!,AY$1)</f>
        <v>#REF!</v>
      </c>
      <c r="AZ58" s="24" t="e">
        <f>SUMIFS(#REF!,#REF!,$B58,#REF!,AZ$1)</f>
        <v>#REF!</v>
      </c>
      <c r="BA58" s="24" t="e">
        <f>SUMIFS(#REF!,#REF!,$B58,#REF!,BA$1)</f>
        <v>#REF!</v>
      </c>
      <c r="BB58" s="24" t="e">
        <f>SUMIFS(#REF!,#REF!,$B58,#REF!,BB$1)</f>
        <v>#REF!</v>
      </c>
      <c r="BC58" s="24" t="e">
        <f>SUMIFS(#REF!,#REF!,$B58,#REF!,BC$1)</f>
        <v>#REF!</v>
      </c>
      <c r="BD58" s="24" t="e">
        <f>SUMIFS(#REF!,#REF!,$B58,#REF!,BD$1)</f>
        <v>#REF!</v>
      </c>
      <c r="BE58" s="24" t="e">
        <f>SUMIFS(#REF!,#REF!,$B58,#REF!,BE$1)</f>
        <v>#REF!</v>
      </c>
      <c r="BF58" s="24" t="e">
        <f>SUMIFS(#REF!,#REF!,$B58,#REF!,BF$1)</f>
        <v>#REF!</v>
      </c>
      <c r="BG58" s="24" t="e">
        <f>SUMIFS(#REF!,#REF!,$B58,#REF!,BG$1)</f>
        <v>#REF!</v>
      </c>
      <c r="BH58" s="24" t="e">
        <f>SUMIFS(#REF!,#REF!,$B58,#REF!,BH$1)</f>
        <v>#REF!</v>
      </c>
      <c r="BI58" s="24" t="e">
        <f>SUMIFS(#REF!,#REF!,$B58,#REF!,BI$1)</f>
        <v>#REF!</v>
      </c>
      <c r="BJ58" s="24" t="e">
        <f>SUMIFS(#REF!,#REF!,$B58,#REF!,BJ$1)</f>
        <v>#REF!</v>
      </c>
      <c r="BK58" s="24" t="e">
        <f>SUMIFS(#REF!,#REF!,$B58,#REF!,BK$1)</f>
        <v>#REF!</v>
      </c>
      <c r="BL58" s="24" t="e">
        <f>SUMIFS(#REF!,#REF!,$B58,#REF!,BL$1)</f>
        <v>#REF!</v>
      </c>
      <c r="BM58" s="24" t="e">
        <f>SUMIFS(#REF!,#REF!,$B58,#REF!,BM$1)</f>
        <v>#REF!</v>
      </c>
      <c r="BN58" s="24" t="e">
        <f>SUMIFS(#REF!,#REF!,$B58,#REF!,BN$1)</f>
        <v>#REF!</v>
      </c>
      <c r="BO58" s="24" t="e">
        <f>SUMIFS(#REF!,#REF!,$B58,#REF!,BO$1)</f>
        <v>#REF!</v>
      </c>
      <c r="BP58" s="24" t="e">
        <f>SUMIFS(#REF!,#REF!,$B58,#REF!,BP$1)</f>
        <v>#REF!</v>
      </c>
      <c r="BQ58" s="24" t="e">
        <f>SUMIFS(#REF!,#REF!,$B58,#REF!,BQ$1)</f>
        <v>#REF!</v>
      </c>
      <c r="BR58" s="24" t="e">
        <f>SUMIFS(#REF!,#REF!,$B58,#REF!,BR$1)</f>
        <v>#REF!</v>
      </c>
      <c r="BS58" s="24" t="e">
        <f>SUMIFS(#REF!,#REF!,$B58,#REF!,BS$1)</f>
        <v>#REF!</v>
      </c>
      <c r="BT58" s="24" t="e">
        <f>SUMIFS(#REF!,#REF!,$B58,#REF!,BT$1)</f>
        <v>#REF!</v>
      </c>
      <c r="BU58" s="24" t="e">
        <f>SUMIFS(#REF!,#REF!,$B58,#REF!,BU$1)</f>
        <v>#REF!</v>
      </c>
      <c r="BV58" s="24" t="e">
        <f>SUMIFS(#REF!,#REF!,$B58,#REF!,BV$1)</f>
        <v>#REF!</v>
      </c>
      <c r="BW58" s="24" t="e">
        <f>SUMIFS(#REF!,#REF!,$B58,#REF!,BW$1)</f>
        <v>#REF!</v>
      </c>
      <c r="BX58" s="24" t="e">
        <f>SUMIFS(#REF!,#REF!,$B58,#REF!,BX$1)</f>
        <v>#REF!</v>
      </c>
      <c r="BY58" s="24" t="e">
        <f>SUMIFS(#REF!,#REF!,$B58,#REF!,BY$1)</f>
        <v>#REF!</v>
      </c>
      <c r="BZ58" s="24" t="e">
        <f>SUMIFS(#REF!,#REF!,$B58,#REF!,BZ$1)</f>
        <v>#REF!</v>
      </c>
      <c r="CA58" s="24" t="e">
        <f>SUMIFS(#REF!,#REF!,$B58,#REF!,CA$1)</f>
        <v>#REF!</v>
      </c>
      <c r="CB58" s="24" t="e">
        <f>SUMIFS(#REF!,#REF!,$B58,#REF!,CB$1)</f>
        <v>#REF!</v>
      </c>
      <c r="CC58" s="24" t="e">
        <f>SUMIFS(#REF!,#REF!,$B58,#REF!,CC$1)</f>
        <v>#REF!</v>
      </c>
      <c r="CD58" s="24" t="e">
        <f>SUMIFS(#REF!,#REF!,$B58,#REF!,CD$1)</f>
        <v>#REF!</v>
      </c>
      <c r="CE58" s="24" t="e">
        <f>SUMIFS(#REF!,#REF!,$B58,#REF!,CE$1)</f>
        <v>#REF!</v>
      </c>
      <c r="CF58" s="24" t="e">
        <f>SUMIFS(#REF!,#REF!,$B58,#REF!,CF$1)</f>
        <v>#REF!</v>
      </c>
      <c r="CG58" s="19" t="e">
        <f t="shared" si="0"/>
        <v>#REF!</v>
      </c>
    </row>
    <row r="59" spans="1:85" x14ac:dyDescent="0.45">
      <c r="A59" s="4" t="s">
        <v>1099</v>
      </c>
      <c r="B59" s="4" t="s">
        <v>1100</v>
      </c>
      <c r="C59" s="24" t="e">
        <f>SUMIFS(#REF!,#REF!,$B59,#REF!,C$1)</f>
        <v>#REF!</v>
      </c>
      <c r="D59" s="24" t="e">
        <f>SUMIFS(#REF!,#REF!,$B59,#REF!,D$1)</f>
        <v>#REF!</v>
      </c>
      <c r="E59" s="24" t="e">
        <f>SUMIFS(#REF!,#REF!,$B59,#REF!,E$1)</f>
        <v>#REF!</v>
      </c>
      <c r="F59" s="24" t="e">
        <f>SUMIFS(#REF!,#REF!,$B59,#REF!,F$1)</f>
        <v>#REF!</v>
      </c>
      <c r="G59" s="24" t="e">
        <f>SUMIFS(#REF!,#REF!,$B59,#REF!,G$1)</f>
        <v>#REF!</v>
      </c>
      <c r="H59" s="24" t="e">
        <f>SUMIFS(#REF!,#REF!,$B59,#REF!,H$1)</f>
        <v>#REF!</v>
      </c>
      <c r="I59" s="24" t="e">
        <f>SUMIFS(#REF!,#REF!,$B59,#REF!,I$1)</f>
        <v>#REF!</v>
      </c>
      <c r="J59" s="24" t="e">
        <f>SUMIFS(#REF!,#REF!,$B59,#REF!,J$1)</f>
        <v>#REF!</v>
      </c>
      <c r="K59" s="24" t="e">
        <f>SUMIFS(#REF!,#REF!,$B59,#REF!,K$1)</f>
        <v>#REF!</v>
      </c>
      <c r="L59" s="24" t="e">
        <f>SUMIFS(#REF!,#REF!,$B59,#REF!,L$1)</f>
        <v>#REF!</v>
      </c>
      <c r="M59" s="24" t="e">
        <f>SUMIFS(#REF!,#REF!,$B59,#REF!,M$1)</f>
        <v>#REF!</v>
      </c>
      <c r="N59" s="24" t="e">
        <f>SUMIFS(#REF!,#REF!,$B59,#REF!,N$1)</f>
        <v>#REF!</v>
      </c>
      <c r="O59" s="24" t="e">
        <f>SUMIFS(#REF!,#REF!,$B59,#REF!,O$1)</f>
        <v>#REF!</v>
      </c>
      <c r="P59" s="24" t="e">
        <f>SUMIFS(#REF!,#REF!,$B59,#REF!,P$1)</f>
        <v>#REF!</v>
      </c>
      <c r="Q59" s="24" t="e">
        <f>SUMIFS(#REF!,#REF!,$B59,#REF!,Q$1)</f>
        <v>#REF!</v>
      </c>
      <c r="R59" s="24" t="e">
        <f>SUMIFS(#REF!,#REF!,$B59,#REF!,R$1)</f>
        <v>#REF!</v>
      </c>
      <c r="S59" s="24" t="e">
        <f>SUMIFS(#REF!,#REF!,$B59,#REF!,S$1)</f>
        <v>#REF!</v>
      </c>
      <c r="T59" s="24" t="e">
        <f>SUMIFS(#REF!,#REF!,$B59,#REF!,T$1)</f>
        <v>#REF!</v>
      </c>
      <c r="U59" s="24" t="e">
        <f>SUMIFS(#REF!,#REF!,$B59,#REF!,U$1)</f>
        <v>#REF!</v>
      </c>
      <c r="V59" s="24" t="e">
        <f>SUMIFS(#REF!,#REF!,$B59,#REF!,V$1)</f>
        <v>#REF!</v>
      </c>
      <c r="W59" s="24" t="e">
        <f>SUMIFS(#REF!,#REF!,$B59,#REF!,W$1)</f>
        <v>#REF!</v>
      </c>
      <c r="X59" s="24" t="e">
        <f>SUMIFS(#REF!,#REF!,$B59,#REF!,X$1)</f>
        <v>#REF!</v>
      </c>
      <c r="Y59" s="24" t="e">
        <f>SUMIFS(#REF!,#REF!,$B59,#REF!,Y$1)</f>
        <v>#REF!</v>
      </c>
      <c r="Z59" s="24" t="e">
        <f>SUMIFS(#REF!,#REF!,$B59,#REF!,Z$1)</f>
        <v>#REF!</v>
      </c>
      <c r="AA59" s="24" t="e">
        <f>SUMIFS(#REF!,#REF!,$B59,#REF!,AA$1)</f>
        <v>#REF!</v>
      </c>
      <c r="AB59" s="24" t="e">
        <f>SUMIFS(#REF!,#REF!,$B59,#REF!,AB$1)</f>
        <v>#REF!</v>
      </c>
      <c r="AC59" s="24" t="e">
        <f>SUMIFS(#REF!,#REF!,$B59,#REF!,AC$1)</f>
        <v>#REF!</v>
      </c>
      <c r="AD59" s="24" t="e">
        <f>SUMIFS(#REF!,#REF!,$B59,#REF!,AD$1)</f>
        <v>#REF!</v>
      </c>
      <c r="AE59" s="24" t="e">
        <f>SUMIFS(#REF!,#REF!,$B59,#REF!,AE$1)</f>
        <v>#REF!</v>
      </c>
      <c r="AF59" s="24" t="e">
        <f>SUMIFS(#REF!,#REF!,$B59,#REF!,AF$1)</f>
        <v>#REF!</v>
      </c>
      <c r="AG59" s="24" t="e">
        <f>SUMIFS(#REF!,#REF!,$B59,#REF!,AG$1)</f>
        <v>#REF!</v>
      </c>
      <c r="AH59" s="24" t="e">
        <f>SUMIFS(#REF!,#REF!,$B59,#REF!,AH$1)</f>
        <v>#REF!</v>
      </c>
      <c r="AI59" s="24" t="e">
        <f>SUMIFS(#REF!,#REF!,$B59,#REF!,AI$1)</f>
        <v>#REF!</v>
      </c>
      <c r="AJ59" s="24" t="e">
        <f>SUMIFS(#REF!,#REF!,$B59,#REF!,AJ$1)</f>
        <v>#REF!</v>
      </c>
      <c r="AK59" s="24" t="e">
        <f>SUMIFS(#REF!,#REF!,$B59,#REF!,AK$1)</f>
        <v>#REF!</v>
      </c>
      <c r="AL59" s="24" t="e">
        <f>SUMIFS(#REF!,#REF!,$B59,#REF!,AL$1)</f>
        <v>#REF!</v>
      </c>
      <c r="AM59" s="24" t="e">
        <f>SUMIFS(#REF!,#REF!,$B59,#REF!,AM$1)</f>
        <v>#REF!</v>
      </c>
      <c r="AN59" s="24" t="e">
        <f>SUMIFS(#REF!,#REF!,$B59,#REF!,AN$1)</f>
        <v>#REF!</v>
      </c>
      <c r="AO59" s="24" t="e">
        <f>SUMIFS(#REF!,#REF!,$B59,#REF!,AO$1)</f>
        <v>#REF!</v>
      </c>
      <c r="AP59" s="24" t="e">
        <f>SUMIFS(#REF!,#REF!,$B59,#REF!,AP$1)</f>
        <v>#REF!</v>
      </c>
      <c r="AQ59" s="24" t="e">
        <f>SUMIFS(#REF!,#REF!,$B59,#REF!,AQ$1)</f>
        <v>#REF!</v>
      </c>
      <c r="AR59" s="24" t="e">
        <f>SUMIFS(#REF!,#REF!,$B59,#REF!,AR$1)</f>
        <v>#REF!</v>
      </c>
      <c r="AS59" s="24" t="e">
        <f>SUMIFS(#REF!,#REF!,$B59,#REF!,AS$1)</f>
        <v>#REF!</v>
      </c>
      <c r="AT59" s="24" t="e">
        <f>SUMIFS(#REF!,#REF!,$B59,#REF!,AT$1)</f>
        <v>#REF!</v>
      </c>
      <c r="AU59" s="24" t="e">
        <f>SUMIFS(#REF!,#REF!,$B59,#REF!,AU$1)</f>
        <v>#REF!</v>
      </c>
      <c r="AV59" s="24" t="e">
        <f>SUMIFS(#REF!,#REF!,$B59,#REF!,AV$1)</f>
        <v>#REF!</v>
      </c>
      <c r="AW59" s="24" t="e">
        <f>SUMIFS(#REF!,#REF!,$B59,#REF!,AW$1)</f>
        <v>#REF!</v>
      </c>
      <c r="AX59" s="24" t="e">
        <f>SUMIFS(#REF!,#REF!,$B59,#REF!,AX$1)</f>
        <v>#REF!</v>
      </c>
      <c r="AY59" s="24" t="e">
        <f>SUMIFS(#REF!,#REF!,$B59,#REF!,AY$1)</f>
        <v>#REF!</v>
      </c>
      <c r="AZ59" s="24" t="e">
        <f>SUMIFS(#REF!,#REF!,$B59,#REF!,AZ$1)</f>
        <v>#REF!</v>
      </c>
      <c r="BA59" s="24" t="e">
        <f>SUMIFS(#REF!,#REF!,$B59,#REF!,BA$1)</f>
        <v>#REF!</v>
      </c>
      <c r="BB59" s="24" t="e">
        <f>SUMIFS(#REF!,#REF!,$B59,#REF!,BB$1)</f>
        <v>#REF!</v>
      </c>
      <c r="BC59" s="24" t="e">
        <f>SUMIFS(#REF!,#REF!,$B59,#REF!,BC$1)</f>
        <v>#REF!</v>
      </c>
      <c r="BD59" s="24" t="e">
        <f>SUMIFS(#REF!,#REF!,$B59,#REF!,BD$1)</f>
        <v>#REF!</v>
      </c>
      <c r="BE59" s="24" t="e">
        <f>SUMIFS(#REF!,#REF!,$B59,#REF!,BE$1)</f>
        <v>#REF!</v>
      </c>
      <c r="BF59" s="24" t="e">
        <f>SUMIFS(#REF!,#REF!,$B59,#REF!,BF$1)</f>
        <v>#REF!</v>
      </c>
      <c r="BG59" s="24" t="e">
        <f>SUMIFS(#REF!,#REF!,$B59,#REF!,BG$1)</f>
        <v>#REF!</v>
      </c>
      <c r="BH59" s="24" t="e">
        <f>SUMIFS(#REF!,#REF!,$B59,#REF!,BH$1)</f>
        <v>#REF!</v>
      </c>
      <c r="BI59" s="24" t="e">
        <f>SUMIFS(#REF!,#REF!,$B59,#REF!,BI$1)</f>
        <v>#REF!</v>
      </c>
      <c r="BJ59" s="24" t="e">
        <f>SUMIFS(#REF!,#REF!,$B59,#REF!,BJ$1)</f>
        <v>#REF!</v>
      </c>
      <c r="BK59" s="24" t="e">
        <f>SUMIFS(#REF!,#REF!,$B59,#REF!,BK$1)</f>
        <v>#REF!</v>
      </c>
      <c r="BL59" s="24" t="e">
        <f>SUMIFS(#REF!,#REF!,$B59,#REF!,BL$1)</f>
        <v>#REF!</v>
      </c>
      <c r="BM59" s="24" t="e">
        <f>SUMIFS(#REF!,#REF!,$B59,#REF!,BM$1)</f>
        <v>#REF!</v>
      </c>
      <c r="BN59" s="24" t="e">
        <f>SUMIFS(#REF!,#REF!,$B59,#REF!,BN$1)</f>
        <v>#REF!</v>
      </c>
      <c r="BO59" s="24" t="e">
        <f>SUMIFS(#REF!,#REF!,$B59,#REF!,BO$1)</f>
        <v>#REF!</v>
      </c>
      <c r="BP59" s="24" t="e">
        <f>SUMIFS(#REF!,#REF!,$B59,#REF!,BP$1)</f>
        <v>#REF!</v>
      </c>
      <c r="BQ59" s="24" t="e">
        <f>SUMIFS(#REF!,#REF!,$B59,#REF!,BQ$1)</f>
        <v>#REF!</v>
      </c>
      <c r="BR59" s="24" t="e">
        <f>SUMIFS(#REF!,#REF!,$B59,#REF!,BR$1)</f>
        <v>#REF!</v>
      </c>
      <c r="BS59" s="24" t="e">
        <f>SUMIFS(#REF!,#REF!,$B59,#REF!,BS$1)</f>
        <v>#REF!</v>
      </c>
      <c r="BT59" s="24" t="e">
        <f>SUMIFS(#REF!,#REF!,$B59,#REF!,BT$1)</f>
        <v>#REF!</v>
      </c>
      <c r="BU59" s="24" t="e">
        <f>SUMIFS(#REF!,#REF!,$B59,#REF!,BU$1)</f>
        <v>#REF!</v>
      </c>
      <c r="BV59" s="24" t="e">
        <f>SUMIFS(#REF!,#REF!,$B59,#REF!,BV$1)</f>
        <v>#REF!</v>
      </c>
      <c r="BW59" s="24" t="e">
        <f>SUMIFS(#REF!,#REF!,$B59,#REF!,BW$1)</f>
        <v>#REF!</v>
      </c>
      <c r="BX59" s="24" t="e">
        <f>SUMIFS(#REF!,#REF!,$B59,#REF!,BX$1)</f>
        <v>#REF!</v>
      </c>
      <c r="BY59" s="24" t="e">
        <f>SUMIFS(#REF!,#REF!,$B59,#REF!,BY$1)</f>
        <v>#REF!</v>
      </c>
      <c r="BZ59" s="24" t="e">
        <f>SUMIFS(#REF!,#REF!,$B59,#REF!,BZ$1)</f>
        <v>#REF!</v>
      </c>
      <c r="CA59" s="24" t="e">
        <f>SUMIFS(#REF!,#REF!,$B59,#REF!,CA$1)</f>
        <v>#REF!</v>
      </c>
      <c r="CB59" s="24" t="e">
        <f>SUMIFS(#REF!,#REF!,$B59,#REF!,CB$1)</f>
        <v>#REF!</v>
      </c>
      <c r="CC59" s="24" t="e">
        <f>SUMIFS(#REF!,#REF!,$B59,#REF!,CC$1)</f>
        <v>#REF!</v>
      </c>
      <c r="CD59" s="24" t="e">
        <f>SUMIFS(#REF!,#REF!,$B59,#REF!,CD$1)</f>
        <v>#REF!</v>
      </c>
      <c r="CE59" s="24" t="e">
        <f>SUMIFS(#REF!,#REF!,$B59,#REF!,CE$1)</f>
        <v>#REF!</v>
      </c>
      <c r="CF59" s="24" t="e">
        <f>SUMIFS(#REF!,#REF!,$B59,#REF!,CF$1)</f>
        <v>#REF!</v>
      </c>
      <c r="CG59" s="19" t="e">
        <f t="shared" si="0"/>
        <v>#REF!</v>
      </c>
    </row>
    <row r="60" spans="1:85" x14ac:dyDescent="0.45">
      <c r="A60" s="4" t="s">
        <v>1101</v>
      </c>
      <c r="B60" s="4" t="s">
        <v>1102</v>
      </c>
      <c r="C60" s="24" t="e">
        <f>SUMIFS(#REF!,#REF!,$B60,#REF!,C$1)</f>
        <v>#REF!</v>
      </c>
      <c r="D60" s="24" t="e">
        <f>SUMIFS(#REF!,#REF!,$B60,#REF!,D$1)</f>
        <v>#REF!</v>
      </c>
      <c r="E60" s="24" t="e">
        <f>SUMIFS(#REF!,#REF!,$B60,#REF!,E$1)</f>
        <v>#REF!</v>
      </c>
      <c r="F60" s="24" t="e">
        <f>SUMIFS(#REF!,#REF!,$B60,#REF!,F$1)</f>
        <v>#REF!</v>
      </c>
      <c r="G60" s="24" t="e">
        <f>SUMIFS(#REF!,#REF!,$B60,#REF!,G$1)</f>
        <v>#REF!</v>
      </c>
      <c r="H60" s="24" t="e">
        <f>SUMIFS(#REF!,#REF!,$B60,#REF!,H$1)</f>
        <v>#REF!</v>
      </c>
      <c r="I60" s="24" t="e">
        <f>SUMIFS(#REF!,#REF!,$B60,#REF!,I$1)</f>
        <v>#REF!</v>
      </c>
      <c r="J60" s="24" t="e">
        <f>SUMIFS(#REF!,#REF!,$B60,#REF!,J$1)</f>
        <v>#REF!</v>
      </c>
      <c r="K60" s="24" t="e">
        <f>SUMIFS(#REF!,#REF!,$B60,#REF!,K$1)</f>
        <v>#REF!</v>
      </c>
      <c r="L60" s="24" t="e">
        <f>SUMIFS(#REF!,#REF!,$B60,#REF!,L$1)</f>
        <v>#REF!</v>
      </c>
      <c r="M60" s="24" t="e">
        <f>SUMIFS(#REF!,#REF!,$B60,#REF!,M$1)</f>
        <v>#REF!</v>
      </c>
      <c r="N60" s="24" t="e">
        <f>SUMIFS(#REF!,#REF!,$B60,#REF!,N$1)</f>
        <v>#REF!</v>
      </c>
      <c r="O60" s="24" t="e">
        <f>SUMIFS(#REF!,#REF!,$B60,#REF!,O$1)</f>
        <v>#REF!</v>
      </c>
      <c r="P60" s="24" t="e">
        <f>SUMIFS(#REF!,#REF!,$B60,#REF!,P$1)</f>
        <v>#REF!</v>
      </c>
      <c r="Q60" s="24" t="e">
        <f>SUMIFS(#REF!,#REF!,$B60,#REF!,Q$1)</f>
        <v>#REF!</v>
      </c>
      <c r="R60" s="24" t="e">
        <f>SUMIFS(#REF!,#REF!,$B60,#REF!,R$1)</f>
        <v>#REF!</v>
      </c>
      <c r="S60" s="24" t="e">
        <f>SUMIFS(#REF!,#REF!,$B60,#REF!,S$1)</f>
        <v>#REF!</v>
      </c>
      <c r="T60" s="24" t="e">
        <f>SUMIFS(#REF!,#REF!,$B60,#REF!,T$1)</f>
        <v>#REF!</v>
      </c>
      <c r="U60" s="24" t="e">
        <f>SUMIFS(#REF!,#REF!,$B60,#REF!,U$1)</f>
        <v>#REF!</v>
      </c>
      <c r="V60" s="24" t="e">
        <f>SUMIFS(#REF!,#REF!,$B60,#REF!,V$1)</f>
        <v>#REF!</v>
      </c>
      <c r="W60" s="24" t="e">
        <f>SUMIFS(#REF!,#REF!,$B60,#REF!,W$1)</f>
        <v>#REF!</v>
      </c>
      <c r="X60" s="24" t="e">
        <f>SUMIFS(#REF!,#REF!,$B60,#REF!,X$1)</f>
        <v>#REF!</v>
      </c>
      <c r="Y60" s="24" t="e">
        <f>SUMIFS(#REF!,#REF!,$B60,#REF!,Y$1)</f>
        <v>#REF!</v>
      </c>
      <c r="Z60" s="24" t="e">
        <f>SUMIFS(#REF!,#REF!,$B60,#REF!,Z$1)</f>
        <v>#REF!</v>
      </c>
      <c r="AA60" s="24" t="e">
        <f>SUMIFS(#REF!,#REF!,$B60,#REF!,AA$1)</f>
        <v>#REF!</v>
      </c>
      <c r="AB60" s="24" t="e">
        <f>SUMIFS(#REF!,#REF!,$B60,#REF!,AB$1)</f>
        <v>#REF!</v>
      </c>
      <c r="AC60" s="24" t="e">
        <f>SUMIFS(#REF!,#REF!,$B60,#REF!,AC$1)</f>
        <v>#REF!</v>
      </c>
      <c r="AD60" s="24" t="e">
        <f>SUMIFS(#REF!,#REF!,$B60,#REF!,AD$1)</f>
        <v>#REF!</v>
      </c>
      <c r="AE60" s="24" t="e">
        <f>SUMIFS(#REF!,#REF!,$B60,#REF!,AE$1)</f>
        <v>#REF!</v>
      </c>
      <c r="AF60" s="24" t="e">
        <f>SUMIFS(#REF!,#REF!,$B60,#REF!,AF$1)</f>
        <v>#REF!</v>
      </c>
      <c r="AG60" s="24" t="e">
        <f>SUMIFS(#REF!,#REF!,$B60,#REF!,AG$1)</f>
        <v>#REF!</v>
      </c>
      <c r="AH60" s="24" t="e">
        <f>SUMIFS(#REF!,#REF!,$B60,#REF!,AH$1)</f>
        <v>#REF!</v>
      </c>
      <c r="AI60" s="24" t="e">
        <f>SUMIFS(#REF!,#REF!,$B60,#REF!,AI$1)</f>
        <v>#REF!</v>
      </c>
      <c r="AJ60" s="24" t="e">
        <f>SUMIFS(#REF!,#REF!,$B60,#REF!,AJ$1)</f>
        <v>#REF!</v>
      </c>
      <c r="AK60" s="24" t="e">
        <f>SUMIFS(#REF!,#REF!,$B60,#REF!,AK$1)</f>
        <v>#REF!</v>
      </c>
      <c r="AL60" s="24" t="e">
        <f>SUMIFS(#REF!,#REF!,$B60,#REF!,AL$1)</f>
        <v>#REF!</v>
      </c>
      <c r="AM60" s="24" t="e">
        <f>SUMIFS(#REF!,#REF!,$B60,#REF!,AM$1)</f>
        <v>#REF!</v>
      </c>
      <c r="AN60" s="24" t="e">
        <f>SUMIFS(#REF!,#REF!,$B60,#REF!,AN$1)</f>
        <v>#REF!</v>
      </c>
      <c r="AO60" s="24" t="e">
        <f>SUMIFS(#REF!,#REF!,$B60,#REF!,AO$1)</f>
        <v>#REF!</v>
      </c>
      <c r="AP60" s="24" t="e">
        <f>SUMIFS(#REF!,#REF!,$B60,#REF!,AP$1)</f>
        <v>#REF!</v>
      </c>
      <c r="AQ60" s="24" t="e">
        <f>SUMIFS(#REF!,#REF!,$B60,#REF!,AQ$1)</f>
        <v>#REF!</v>
      </c>
      <c r="AR60" s="24" t="e">
        <f>SUMIFS(#REF!,#REF!,$B60,#REF!,AR$1)</f>
        <v>#REF!</v>
      </c>
      <c r="AS60" s="24" t="e">
        <f>SUMIFS(#REF!,#REF!,$B60,#REF!,AS$1)</f>
        <v>#REF!</v>
      </c>
      <c r="AT60" s="24" t="e">
        <f>SUMIFS(#REF!,#REF!,$B60,#REF!,AT$1)</f>
        <v>#REF!</v>
      </c>
      <c r="AU60" s="24" t="e">
        <f>SUMIFS(#REF!,#REF!,$B60,#REF!,AU$1)</f>
        <v>#REF!</v>
      </c>
      <c r="AV60" s="24" t="e">
        <f>SUMIFS(#REF!,#REF!,$B60,#REF!,AV$1)</f>
        <v>#REF!</v>
      </c>
      <c r="AW60" s="24" t="e">
        <f>SUMIFS(#REF!,#REF!,$B60,#REF!,AW$1)</f>
        <v>#REF!</v>
      </c>
      <c r="AX60" s="24" t="e">
        <f>SUMIFS(#REF!,#REF!,$B60,#REF!,AX$1)</f>
        <v>#REF!</v>
      </c>
      <c r="AY60" s="24" t="e">
        <f>SUMIFS(#REF!,#REF!,$B60,#REF!,AY$1)</f>
        <v>#REF!</v>
      </c>
      <c r="AZ60" s="24" t="e">
        <f>SUMIFS(#REF!,#REF!,$B60,#REF!,AZ$1)</f>
        <v>#REF!</v>
      </c>
      <c r="BA60" s="24" t="e">
        <f>SUMIFS(#REF!,#REF!,$B60,#REF!,BA$1)</f>
        <v>#REF!</v>
      </c>
      <c r="BB60" s="24" t="e">
        <f>SUMIFS(#REF!,#REF!,$B60,#REF!,BB$1)</f>
        <v>#REF!</v>
      </c>
      <c r="BC60" s="24" t="e">
        <f>SUMIFS(#REF!,#REF!,$B60,#REF!,BC$1)</f>
        <v>#REF!</v>
      </c>
      <c r="BD60" s="24" t="e">
        <f>SUMIFS(#REF!,#REF!,$B60,#REF!,BD$1)</f>
        <v>#REF!</v>
      </c>
      <c r="BE60" s="24" t="e">
        <f>SUMIFS(#REF!,#REF!,$B60,#REF!,BE$1)</f>
        <v>#REF!</v>
      </c>
      <c r="BF60" s="24" t="e">
        <f>SUMIFS(#REF!,#REF!,$B60,#REF!,BF$1)</f>
        <v>#REF!</v>
      </c>
      <c r="BG60" s="24" t="e">
        <f>SUMIFS(#REF!,#REF!,$B60,#REF!,BG$1)</f>
        <v>#REF!</v>
      </c>
      <c r="BH60" s="24" t="e">
        <f>SUMIFS(#REF!,#REF!,$B60,#REF!,BH$1)</f>
        <v>#REF!</v>
      </c>
      <c r="BI60" s="24" t="e">
        <f>SUMIFS(#REF!,#REF!,$B60,#REF!,BI$1)</f>
        <v>#REF!</v>
      </c>
      <c r="BJ60" s="24" t="e">
        <f>SUMIFS(#REF!,#REF!,$B60,#REF!,BJ$1)</f>
        <v>#REF!</v>
      </c>
      <c r="BK60" s="24" t="e">
        <f>SUMIFS(#REF!,#REF!,$B60,#REF!,BK$1)</f>
        <v>#REF!</v>
      </c>
      <c r="BL60" s="24" t="e">
        <f>SUMIFS(#REF!,#REF!,$B60,#REF!,BL$1)</f>
        <v>#REF!</v>
      </c>
      <c r="BM60" s="24" t="e">
        <f>SUMIFS(#REF!,#REF!,$B60,#REF!,BM$1)</f>
        <v>#REF!</v>
      </c>
      <c r="BN60" s="24" t="e">
        <f>SUMIFS(#REF!,#REF!,$B60,#REF!,BN$1)</f>
        <v>#REF!</v>
      </c>
      <c r="BO60" s="24" t="e">
        <f>SUMIFS(#REF!,#REF!,$B60,#REF!,BO$1)</f>
        <v>#REF!</v>
      </c>
      <c r="BP60" s="24" t="e">
        <f>SUMIFS(#REF!,#REF!,$B60,#REF!,BP$1)</f>
        <v>#REF!</v>
      </c>
      <c r="BQ60" s="24" t="e">
        <f>SUMIFS(#REF!,#REF!,$B60,#REF!,BQ$1)</f>
        <v>#REF!</v>
      </c>
      <c r="BR60" s="24" t="e">
        <f>SUMIFS(#REF!,#REF!,$B60,#REF!,BR$1)</f>
        <v>#REF!</v>
      </c>
      <c r="BS60" s="24" t="e">
        <f>SUMIFS(#REF!,#REF!,$B60,#REF!,BS$1)</f>
        <v>#REF!</v>
      </c>
      <c r="BT60" s="24" t="e">
        <f>SUMIFS(#REF!,#REF!,$B60,#REF!,BT$1)</f>
        <v>#REF!</v>
      </c>
      <c r="BU60" s="24" t="e">
        <f>SUMIFS(#REF!,#REF!,$B60,#REF!,BU$1)</f>
        <v>#REF!</v>
      </c>
      <c r="BV60" s="24" t="e">
        <f>SUMIFS(#REF!,#REF!,$B60,#REF!,BV$1)</f>
        <v>#REF!</v>
      </c>
      <c r="BW60" s="24" t="e">
        <f>SUMIFS(#REF!,#REF!,$B60,#REF!,BW$1)</f>
        <v>#REF!</v>
      </c>
      <c r="BX60" s="24" t="e">
        <f>SUMIFS(#REF!,#REF!,$B60,#REF!,BX$1)</f>
        <v>#REF!</v>
      </c>
      <c r="BY60" s="24" t="e">
        <f>SUMIFS(#REF!,#REF!,$B60,#REF!,BY$1)</f>
        <v>#REF!</v>
      </c>
      <c r="BZ60" s="24" t="e">
        <f>SUMIFS(#REF!,#REF!,$B60,#REF!,BZ$1)</f>
        <v>#REF!</v>
      </c>
      <c r="CA60" s="24" t="e">
        <f>SUMIFS(#REF!,#REF!,$B60,#REF!,CA$1)</f>
        <v>#REF!</v>
      </c>
      <c r="CB60" s="24" t="e">
        <f>SUMIFS(#REF!,#REF!,$B60,#REF!,CB$1)</f>
        <v>#REF!</v>
      </c>
      <c r="CC60" s="24" t="e">
        <f>SUMIFS(#REF!,#REF!,$B60,#REF!,CC$1)</f>
        <v>#REF!</v>
      </c>
      <c r="CD60" s="24" t="e">
        <f>SUMIFS(#REF!,#REF!,$B60,#REF!,CD$1)</f>
        <v>#REF!</v>
      </c>
      <c r="CE60" s="24" t="e">
        <f>SUMIFS(#REF!,#REF!,$B60,#REF!,CE$1)</f>
        <v>#REF!</v>
      </c>
      <c r="CF60" s="24" t="e">
        <f>SUMIFS(#REF!,#REF!,$B60,#REF!,CF$1)</f>
        <v>#REF!</v>
      </c>
      <c r="CG60" s="19" t="e">
        <f t="shared" si="0"/>
        <v>#REF!</v>
      </c>
    </row>
    <row r="61" spans="1:85" x14ac:dyDescent="0.45">
      <c r="A61" s="4" t="s">
        <v>1103</v>
      </c>
      <c r="B61" s="4" t="s">
        <v>1104</v>
      </c>
      <c r="C61" s="24" t="e">
        <f>SUMIFS(#REF!,#REF!,$B61,#REF!,C$1)</f>
        <v>#REF!</v>
      </c>
      <c r="D61" s="24" t="e">
        <f>SUMIFS(#REF!,#REF!,$B61,#REF!,D$1)</f>
        <v>#REF!</v>
      </c>
      <c r="E61" s="24" t="e">
        <f>SUMIFS(#REF!,#REF!,$B61,#REF!,E$1)</f>
        <v>#REF!</v>
      </c>
      <c r="F61" s="24" t="e">
        <f>SUMIFS(#REF!,#REF!,$B61,#REF!,F$1)</f>
        <v>#REF!</v>
      </c>
      <c r="G61" s="24" t="e">
        <f>SUMIFS(#REF!,#REF!,$B61,#REF!,G$1)</f>
        <v>#REF!</v>
      </c>
      <c r="H61" s="24" t="e">
        <f>SUMIFS(#REF!,#REF!,$B61,#REF!,H$1)</f>
        <v>#REF!</v>
      </c>
      <c r="I61" s="24" t="e">
        <f>SUMIFS(#REF!,#REF!,$B61,#REF!,I$1)</f>
        <v>#REF!</v>
      </c>
      <c r="J61" s="24" t="e">
        <f>SUMIFS(#REF!,#REF!,$B61,#REF!,J$1)</f>
        <v>#REF!</v>
      </c>
      <c r="K61" s="24" t="e">
        <f>SUMIFS(#REF!,#REF!,$B61,#REF!,K$1)</f>
        <v>#REF!</v>
      </c>
      <c r="L61" s="24" t="e">
        <f>SUMIFS(#REF!,#REF!,$B61,#REF!,L$1)</f>
        <v>#REF!</v>
      </c>
      <c r="M61" s="24" t="e">
        <f>SUMIFS(#REF!,#REF!,$B61,#REF!,M$1)</f>
        <v>#REF!</v>
      </c>
      <c r="N61" s="24" t="e">
        <f>SUMIFS(#REF!,#REF!,$B61,#REF!,N$1)</f>
        <v>#REF!</v>
      </c>
      <c r="O61" s="24" t="e">
        <f>SUMIFS(#REF!,#REF!,$B61,#REF!,O$1)</f>
        <v>#REF!</v>
      </c>
      <c r="P61" s="24" t="e">
        <f>SUMIFS(#REF!,#REF!,$B61,#REF!,P$1)</f>
        <v>#REF!</v>
      </c>
      <c r="Q61" s="24" t="e">
        <f>SUMIFS(#REF!,#REF!,$B61,#REF!,Q$1)</f>
        <v>#REF!</v>
      </c>
      <c r="R61" s="24" t="e">
        <f>SUMIFS(#REF!,#REF!,$B61,#REF!,R$1)</f>
        <v>#REF!</v>
      </c>
      <c r="S61" s="24" t="e">
        <f>SUMIFS(#REF!,#REF!,$B61,#REF!,S$1)</f>
        <v>#REF!</v>
      </c>
      <c r="T61" s="24" t="e">
        <f>SUMIFS(#REF!,#REF!,$B61,#REF!,T$1)</f>
        <v>#REF!</v>
      </c>
      <c r="U61" s="24" t="e">
        <f>SUMIFS(#REF!,#REF!,$B61,#REF!,U$1)</f>
        <v>#REF!</v>
      </c>
      <c r="V61" s="24" t="e">
        <f>SUMIFS(#REF!,#REF!,$B61,#REF!,V$1)</f>
        <v>#REF!</v>
      </c>
      <c r="W61" s="24" t="e">
        <f>SUMIFS(#REF!,#REF!,$B61,#REF!,W$1)</f>
        <v>#REF!</v>
      </c>
      <c r="X61" s="24" t="e">
        <f>SUMIFS(#REF!,#REF!,$B61,#REF!,X$1)</f>
        <v>#REF!</v>
      </c>
      <c r="Y61" s="24" t="e">
        <f>SUMIFS(#REF!,#REF!,$B61,#REF!,Y$1)</f>
        <v>#REF!</v>
      </c>
      <c r="Z61" s="24" t="e">
        <f>SUMIFS(#REF!,#REF!,$B61,#REF!,Z$1)</f>
        <v>#REF!</v>
      </c>
      <c r="AA61" s="24" t="e">
        <f>SUMIFS(#REF!,#REF!,$B61,#REF!,AA$1)</f>
        <v>#REF!</v>
      </c>
      <c r="AB61" s="24" t="e">
        <f>SUMIFS(#REF!,#REF!,$B61,#REF!,AB$1)</f>
        <v>#REF!</v>
      </c>
      <c r="AC61" s="24" t="e">
        <f>SUMIFS(#REF!,#REF!,$B61,#REF!,AC$1)</f>
        <v>#REF!</v>
      </c>
      <c r="AD61" s="24" t="e">
        <f>SUMIFS(#REF!,#REF!,$B61,#REF!,AD$1)</f>
        <v>#REF!</v>
      </c>
      <c r="AE61" s="24" t="e">
        <f>SUMIFS(#REF!,#REF!,$B61,#REF!,AE$1)</f>
        <v>#REF!</v>
      </c>
      <c r="AF61" s="24" t="e">
        <f>SUMIFS(#REF!,#REF!,$B61,#REF!,AF$1)</f>
        <v>#REF!</v>
      </c>
      <c r="AG61" s="24" t="e">
        <f>SUMIFS(#REF!,#REF!,$B61,#REF!,AG$1)</f>
        <v>#REF!</v>
      </c>
      <c r="AH61" s="24" t="e">
        <f>SUMIFS(#REF!,#REF!,$B61,#REF!,AH$1)</f>
        <v>#REF!</v>
      </c>
      <c r="AI61" s="24" t="e">
        <f>SUMIFS(#REF!,#REF!,$B61,#REF!,AI$1)</f>
        <v>#REF!</v>
      </c>
      <c r="AJ61" s="24" t="e">
        <f>SUMIFS(#REF!,#REF!,$B61,#REF!,AJ$1)</f>
        <v>#REF!</v>
      </c>
      <c r="AK61" s="24" t="e">
        <f>SUMIFS(#REF!,#REF!,$B61,#REF!,AK$1)</f>
        <v>#REF!</v>
      </c>
      <c r="AL61" s="24" t="e">
        <f>SUMIFS(#REF!,#REF!,$B61,#REF!,AL$1)</f>
        <v>#REF!</v>
      </c>
      <c r="AM61" s="24" t="e">
        <f>SUMIFS(#REF!,#REF!,$B61,#REF!,AM$1)</f>
        <v>#REF!</v>
      </c>
      <c r="AN61" s="24" t="e">
        <f>SUMIFS(#REF!,#REF!,$B61,#REF!,AN$1)</f>
        <v>#REF!</v>
      </c>
      <c r="AO61" s="24" t="e">
        <f>SUMIFS(#REF!,#REF!,$B61,#REF!,AO$1)</f>
        <v>#REF!</v>
      </c>
      <c r="AP61" s="24" t="e">
        <f>SUMIFS(#REF!,#REF!,$B61,#REF!,AP$1)</f>
        <v>#REF!</v>
      </c>
      <c r="AQ61" s="24" t="e">
        <f>SUMIFS(#REF!,#REF!,$B61,#REF!,AQ$1)</f>
        <v>#REF!</v>
      </c>
      <c r="AR61" s="24" t="e">
        <f>SUMIFS(#REF!,#REF!,$B61,#REF!,AR$1)</f>
        <v>#REF!</v>
      </c>
      <c r="AS61" s="24" t="e">
        <f>SUMIFS(#REF!,#REF!,$B61,#REF!,AS$1)</f>
        <v>#REF!</v>
      </c>
      <c r="AT61" s="24" t="e">
        <f>SUMIFS(#REF!,#REF!,$B61,#REF!,AT$1)</f>
        <v>#REF!</v>
      </c>
      <c r="AU61" s="24" t="e">
        <f>SUMIFS(#REF!,#REF!,$B61,#REF!,AU$1)</f>
        <v>#REF!</v>
      </c>
      <c r="AV61" s="24" t="e">
        <f>SUMIFS(#REF!,#REF!,$B61,#REF!,AV$1)</f>
        <v>#REF!</v>
      </c>
      <c r="AW61" s="24" t="e">
        <f>SUMIFS(#REF!,#REF!,$B61,#REF!,AW$1)</f>
        <v>#REF!</v>
      </c>
      <c r="AX61" s="24" t="e">
        <f>SUMIFS(#REF!,#REF!,$B61,#REF!,AX$1)</f>
        <v>#REF!</v>
      </c>
      <c r="AY61" s="24" t="e">
        <f>SUMIFS(#REF!,#REF!,$B61,#REF!,AY$1)</f>
        <v>#REF!</v>
      </c>
      <c r="AZ61" s="24" t="e">
        <f>SUMIFS(#REF!,#REF!,$B61,#REF!,AZ$1)</f>
        <v>#REF!</v>
      </c>
      <c r="BA61" s="24" t="e">
        <f>SUMIFS(#REF!,#REF!,$B61,#REF!,BA$1)</f>
        <v>#REF!</v>
      </c>
      <c r="BB61" s="24" t="e">
        <f>SUMIFS(#REF!,#REF!,$B61,#REF!,BB$1)</f>
        <v>#REF!</v>
      </c>
      <c r="BC61" s="24" t="e">
        <f>SUMIFS(#REF!,#REF!,$B61,#REF!,BC$1)</f>
        <v>#REF!</v>
      </c>
      <c r="BD61" s="24" t="e">
        <f>SUMIFS(#REF!,#REF!,$B61,#REF!,BD$1)</f>
        <v>#REF!</v>
      </c>
      <c r="BE61" s="24" t="e">
        <f>SUMIFS(#REF!,#REF!,$B61,#REF!,BE$1)</f>
        <v>#REF!</v>
      </c>
      <c r="BF61" s="24" t="e">
        <f>SUMIFS(#REF!,#REF!,$B61,#REF!,BF$1)</f>
        <v>#REF!</v>
      </c>
      <c r="BG61" s="24" t="e">
        <f>SUMIFS(#REF!,#REF!,$B61,#REF!,BG$1)</f>
        <v>#REF!</v>
      </c>
      <c r="BH61" s="24" t="e">
        <f>SUMIFS(#REF!,#REF!,$B61,#REF!,BH$1)</f>
        <v>#REF!</v>
      </c>
      <c r="BI61" s="24" t="e">
        <f>SUMIFS(#REF!,#REF!,$B61,#REF!,BI$1)</f>
        <v>#REF!</v>
      </c>
      <c r="BJ61" s="24" t="e">
        <f>SUMIFS(#REF!,#REF!,$B61,#REF!,BJ$1)</f>
        <v>#REF!</v>
      </c>
      <c r="BK61" s="24" t="e">
        <f>SUMIFS(#REF!,#REF!,$B61,#REF!,BK$1)</f>
        <v>#REF!</v>
      </c>
      <c r="BL61" s="24" t="e">
        <f>SUMIFS(#REF!,#REF!,$B61,#REF!,BL$1)</f>
        <v>#REF!</v>
      </c>
      <c r="BM61" s="24" t="e">
        <f>SUMIFS(#REF!,#REF!,$B61,#REF!,BM$1)</f>
        <v>#REF!</v>
      </c>
      <c r="BN61" s="24" t="e">
        <f>SUMIFS(#REF!,#REF!,$B61,#REF!,BN$1)</f>
        <v>#REF!</v>
      </c>
      <c r="BO61" s="24" t="e">
        <f>SUMIFS(#REF!,#REF!,$B61,#REF!,BO$1)</f>
        <v>#REF!</v>
      </c>
      <c r="BP61" s="24" t="e">
        <f>SUMIFS(#REF!,#REF!,$B61,#REF!,BP$1)</f>
        <v>#REF!</v>
      </c>
      <c r="BQ61" s="24" t="e">
        <f>SUMIFS(#REF!,#REF!,$B61,#REF!,BQ$1)</f>
        <v>#REF!</v>
      </c>
      <c r="BR61" s="24" t="e">
        <f>SUMIFS(#REF!,#REF!,$B61,#REF!,BR$1)</f>
        <v>#REF!</v>
      </c>
      <c r="BS61" s="24" t="e">
        <f>SUMIFS(#REF!,#REF!,$B61,#REF!,BS$1)</f>
        <v>#REF!</v>
      </c>
      <c r="BT61" s="24" t="e">
        <f>SUMIFS(#REF!,#REF!,$B61,#REF!,BT$1)</f>
        <v>#REF!</v>
      </c>
      <c r="BU61" s="24" t="e">
        <f>SUMIFS(#REF!,#REF!,$B61,#REF!,BU$1)</f>
        <v>#REF!</v>
      </c>
      <c r="BV61" s="24" t="e">
        <f>SUMIFS(#REF!,#REF!,$B61,#REF!,BV$1)</f>
        <v>#REF!</v>
      </c>
      <c r="BW61" s="24" t="e">
        <f>SUMIFS(#REF!,#REF!,$B61,#REF!,BW$1)</f>
        <v>#REF!</v>
      </c>
      <c r="BX61" s="24" t="e">
        <f>SUMIFS(#REF!,#REF!,$B61,#REF!,BX$1)</f>
        <v>#REF!</v>
      </c>
      <c r="BY61" s="24" t="e">
        <f>SUMIFS(#REF!,#REF!,$B61,#REF!,BY$1)</f>
        <v>#REF!</v>
      </c>
      <c r="BZ61" s="24" t="e">
        <f>SUMIFS(#REF!,#REF!,$B61,#REF!,BZ$1)</f>
        <v>#REF!</v>
      </c>
      <c r="CA61" s="24" t="e">
        <f>SUMIFS(#REF!,#REF!,$B61,#REF!,CA$1)</f>
        <v>#REF!</v>
      </c>
      <c r="CB61" s="24" t="e">
        <f>SUMIFS(#REF!,#REF!,$B61,#REF!,CB$1)</f>
        <v>#REF!</v>
      </c>
      <c r="CC61" s="24" t="e">
        <f>SUMIFS(#REF!,#REF!,$B61,#REF!,CC$1)</f>
        <v>#REF!</v>
      </c>
      <c r="CD61" s="24" t="e">
        <f>SUMIFS(#REF!,#REF!,$B61,#REF!,CD$1)</f>
        <v>#REF!</v>
      </c>
      <c r="CE61" s="24" t="e">
        <f>SUMIFS(#REF!,#REF!,$B61,#REF!,CE$1)</f>
        <v>#REF!</v>
      </c>
      <c r="CF61" s="24" t="e">
        <f>SUMIFS(#REF!,#REF!,$B61,#REF!,CF$1)</f>
        <v>#REF!</v>
      </c>
      <c r="CG61" s="19" t="e">
        <f t="shared" si="0"/>
        <v>#REF!</v>
      </c>
    </row>
    <row r="62" spans="1:85" x14ac:dyDescent="0.45">
      <c r="A62" s="4" t="s">
        <v>1105</v>
      </c>
      <c r="B62" s="4" t="s">
        <v>1106</v>
      </c>
      <c r="C62" s="24" t="e">
        <f>SUMIFS(#REF!,#REF!,$B62,#REF!,C$1)</f>
        <v>#REF!</v>
      </c>
      <c r="D62" s="24" t="e">
        <f>SUMIFS(#REF!,#REF!,$B62,#REF!,D$1)</f>
        <v>#REF!</v>
      </c>
      <c r="E62" s="24" t="e">
        <f>SUMIFS(#REF!,#REF!,$B62,#REF!,E$1)</f>
        <v>#REF!</v>
      </c>
      <c r="F62" s="24" t="e">
        <f>SUMIFS(#REF!,#REF!,$B62,#REF!,F$1)</f>
        <v>#REF!</v>
      </c>
      <c r="G62" s="24" t="e">
        <f>SUMIFS(#REF!,#REF!,$B62,#REF!,G$1)</f>
        <v>#REF!</v>
      </c>
      <c r="H62" s="24" t="e">
        <f>SUMIFS(#REF!,#REF!,$B62,#REF!,H$1)</f>
        <v>#REF!</v>
      </c>
      <c r="I62" s="24" t="e">
        <f>SUMIFS(#REF!,#REF!,$B62,#REF!,I$1)</f>
        <v>#REF!</v>
      </c>
      <c r="J62" s="24" t="e">
        <f>SUMIFS(#REF!,#REF!,$B62,#REF!,J$1)</f>
        <v>#REF!</v>
      </c>
      <c r="K62" s="24" t="e">
        <f>SUMIFS(#REF!,#REF!,$B62,#REF!,K$1)</f>
        <v>#REF!</v>
      </c>
      <c r="L62" s="24" t="e">
        <f>SUMIFS(#REF!,#REF!,$B62,#REF!,L$1)</f>
        <v>#REF!</v>
      </c>
      <c r="M62" s="24" t="e">
        <f>SUMIFS(#REF!,#REF!,$B62,#REF!,M$1)</f>
        <v>#REF!</v>
      </c>
      <c r="N62" s="24" t="e">
        <f>SUMIFS(#REF!,#REF!,$B62,#REF!,N$1)</f>
        <v>#REF!</v>
      </c>
      <c r="O62" s="24" t="e">
        <f>SUMIFS(#REF!,#REF!,$B62,#REF!,O$1)</f>
        <v>#REF!</v>
      </c>
      <c r="P62" s="24" t="e">
        <f>SUMIFS(#REF!,#REF!,$B62,#REF!,P$1)</f>
        <v>#REF!</v>
      </c>
      <c r="Q62" s="24" t="e">
        <f>SUMIFS(#REF!,#REF!,$B62,#REF!,Q$1)</f>
        <v>#REF!</v>
      </c>
      <c r="R62" s="24" t="e">
        <f>SUMIFS(#REF!,#REF!,$B62,#REF!,R$1)</f>
        <v>#REF!</v>
      </c>
      <c r="S62" s="24" t="e">
        <f>SUMIFS(#REF!,#REF!,$B62,#REF!,S$1)</f>
        <v>#REF!</v>
      </c>
      <c r="T62" s="24" t="e">
        <f>SUMIFS(#REF!,#REF!,$B62,#REF!,T$1)</f>
        <v>#REF!</v>
      </c>
      <c r="U62" s="24" t="e">
        <f>SUMIFS(#REF!,#REF!,$B62,#REF!,U$1)</f>
        <v>#REF!</v>
      </c>
      <c r="V62" s="24" t="e">
        <f>SUMIFS(#REF!,#REF!,$B62,#REF!,V$1)</f>
        <v>#REF!</v>
      </c>
      <c r="W62" s="24" t="e">
        <f>SUMIFS(#REF!,#REF!,$B62,#REF!,W$1)</f>
        <v>#REF!</v>
      </c>
      <c r="X62" s="24" t="e">
        <f>SUMIFS(#REF!,#REF!,$B62,#REF!,X$1)</f>
        <v>#REF!</v>
      </c>
      <c r="Y62" s="24" t="e">
        <f>SUMIFS(#REF!,#REF!,$B62,#REF!,Y$1)</f>
        <v>#REF!</v>
      </c>
      <c r="Z62" s="24" t="e">
        <f>SUMIFS(#REF!,#REF!,$B62,#REF!,Z$1)</f>
        <v>#REF!</v>
      </c>
      <c r="AA62" s="24" t="e">
        <f>SUMIFS(#REF!,#REF!,$B62,#REF!,AA$1)</f>
        <v>#REF!</v>
      </c>
      <c r="AB62" s="24" t="e">
        <f>SUMIFS(#REF!,#REF!,$B62,#REF!,AB$1)</f>
        <v>#REF!</v>
      </c>
      <c r="AC62" s="24" t="e">
        <f>SUMIFS(#REF!,#REF!,$B62,#REF!,AC$1)</f>
        <v>#REF!</v>
      </c>
      <c r="AD62" s="24" t="e">
        <f>SUMIFS(#REF!,#REF!,$B62,#REF!,AD$1)</f>
        <v>#REF!</v>
      </c>
      <c r="AE62" s="24" t="e">
        <f>SUMIFS(#REF!,#REF!,$B62,#REF!,AE$1)</f>
        <v>#REF!</v>
      </c>
      <c r="AF62" s="24" t="e">
        <f>SUMIFS(#REF!,#REF!,$B62,#REF!,AF$1)</f>
        <v>#REF!</v>
      </c>
      <c r="AG62" s="24" t="e">
        <f>SUMIFS(#REF!,#REF!,$B62,#REF!,AG$1)</f>
        <v>#REF!</v>
      </c>
      <c r="AH62" s="24" t="e">
        <f>SUMIFS(#REF!,#REF!,$B62,#REF!,AH$1)</f>
        <v>#REF!</v>
      </c>
      <c r="AI62" s="24" t="e">
        <f>SUMIFS(#REF!,#REF!,$B62,#REF!,AI$1)</f>
        <v>#REF!</v>
      </c>
      <c r="AJ62" s="24" t="e">
        <f>SUMIFS(#REF!,#REF!,$B62,#REF!,AJ$1)</f>
        <v>#REF!</v>
      </c>
      <c r="AK62" s="24" t="e">
        <f>SUMIFS(#REF!,#REF!,$B62,#REF!,AK$1)</f>
        <v>#REF!</v>
      </c>
      <c r="AL62" s="24" t="e">
        <f>SUMIFS(#REF!,#REF!,$B62,#REF!,AL$1)</f>
        <v>#REF!</v>
      </c>
      <c r="AM62" s="24" t="e">
        <f>SUMIFS(#REF!,#REF!,$B62,#REF!,AM$1)</f>
        <v>#REF!</v>
      </c>
      <c r="AN62" s="24" t="e">
        <f>SUMIFS(#REF!,#REF!,$B62,#REF!,AN$1)</f>
        <v>#REF!</v>
      </c>
      <c r="AO62" s="24" t="e">
        <f>SUMIFS(#REF!,#REF!,$B62,#REF!,AO$1)</f>
        <v>#REF!</v>
      </c>
      <c r="AP62" s="24" t="e">
        <f>SUMIFS(#REF!,#REF!,$B62,#REF!,AP$1)</f>
        <v>#REF!</v>
      </c>
      <c r="AQ62" s="24" t="e">
        <f>SUMIFS(#REF!,#REF!,$B62,#REF!,AQ$1)</f>
        <v>#REF!</v>
      </c>
      <c r="AR62" s="24" t="e">
        <f>SUMIFS(#REF!,#REF!,$B62,#REF!,AR$1)</f>
        <v>#REF!</v>
      </c>
      <c r="AS62" s="24" t="e">
        <f>SUMIFS(#REF!,#REF!,$B62,#REF!,AS$1)</f>
        <v>#REF!</v>
      </c>
      <c r="AT62" s="24" t="e">
        <f>SUMIFS(#REF!,#REF!,$B62,#REF!,AT$1)</f>
        <v>#REF!</v>
      </c>
      <c r="AU62" s="24" t="e">
        <f>SUMIFS(#REF!,#REF!,$B62,#REF!,AU$1)</f>
        <v>#REF!</v>
      </c>
      <c r="AV62" s="24" t="e">
        <f>SUMIFS(#REF!,#REF!,$B62,#REF!,AV$1)</f>
        <v>#REF!</v>
      </c>
      <c r="AW62" s="24" t="e">
        <f>SUMIFS(#REF!,#REF!,$B62,#REF!,AW$1)</f>
        <v>#REF!</v>
      </c>
      <c r="AX62" s="24" t="e">
        <f>SUMIFS(#REF!,#REF!,$B62,#REF!,AX$1)</f>
        <v>#REF!</v>
      </c>
      <c r="AY62" s="24" t="e">
        <f>SUMIFS(#REF!,#REF!,$B62,#REF!,AY$1)</f>
        <v>#REF!</v>
      </c>
      <c r="AZ62" s="24" t="e">
        <f>SUMIFS(#REF!,#REF!,$B62,#REF!,AZ$1)</f>
        <v>#REF!</v>
      </c>
      <c r="BA62" s="24" t="e">
        <f>SUMIFS(#REF!,#REF!,$B62,#REF!,BA$1)</f>
        <v>#REF!</v>
      </c>
      <c r="BB62" s="24" t="e">
        <f>SUMIFS(#REF!,#REF!,$B62,#REF!,BB$1)</f>
        <v>#REF!</v>
      </c>
      <c r="BC62" s="24" t="e">
        <f>SUMIFS(#REF!,#REF!,$B62,#REF!,BC$1)</f>
        <v>#REF!</v>
      </c>
      <c r="BD62" s="24" t="e">
        <f>SUMIFS(#REF!,#REF!,$B62,#REF!,BD$1)</f>
        <v>#REF!</v>
      </c>
      <c r="BE62" s="24" t="e">
        <f>SUMIFS(#REF!,#REF!,$B62,#REF!,BE$1)</f>
        <v>#REF!</v>
      </c>
      <c r="BF62" s="24" t="e">
        <f>SUMIFS(#REF!,#REF!,$B62,#REF!,BF$1)</f>
        <v>#REF!</v>
      </c>
      <c r="BG62" s="24" t="e">
        <f>SUMIFS(#REF!,#REF!,$B62,#REF!,BG$1)</f>
        <v>#REF!</v>
      </c>
      <c r="BH62" s="24" t="e">
        <f>SUMIFS(#REF!,#REF!,$B62,#REF!,BH$1)</f>
        <v>#REF!</v>
      </c>
      <c r="BI62" s="24" t="e">
        <f>SUMIFS(#REF!,#REF!,$B62,#REF!,BI$1)</f>
        <v>#REF!</v>
      </c>
      <c r="BJ62" s="24" t="e">
        <f>SUMIFS(#REF!,#REF!,$B62,#REF!,BJ$1)</f>
        <v>#REF!</v>
      </c>
      <c r="BK62" s="24" t="e">
        <f>SUMIFS(#REF!,#REF!,$B62,#REF!,BK$1)</f>
        <v>#REF!</v>
      </c>
      <c r="BL62" s="24" t="e">
        <f>SUMIFS(#REF!,#REF!,$B62,#REF!,BL$1)</f>
        <v>#REF!</v>
      </c>
      <c r="BM62" s="24" t="e">
        <f>SUMIFS(#REF!,#REF!,$B62,#REF!,BM$1)</f>
        <v>#REF!</v>
      </c>
      <c r="BN62" s="24" t="e">
        <f>SUMIFS(#REF!,#REF!,$B62,#REF!,BN$1)</f>
        <v>#REF!</v>
      </c>
      <c r="BO62" s="24" t="e">
        <f>SUMIFS(#REF!,#REF!,$B62,#REF!,BO$1)</f>
        <v>#REF!</v>
      </c>
      <c r="BP62" s="24" t="e">
        <f>SUMIFS(#REF!,#REF!,$B62,#REF!,BP$1)</f>
        <v>#REF!</v>
      </c>
      <c r="BQ62" s="24" t="e">
        <f>SUMIFS(#REF!,#REF!,$B62,#REF!,BQ$1)</f>
        <v>#REF!</v>
      </c>
      <c r="BR62" s="24" t="e">
        <f>SUMIFS(#REF!,#REF!,$B62,#REF!,BR$1)</f>
        <v>#REF!</v>
      </c>
      <c r="BS62" s="24" t="e">
        <f>SUMIFS(#REF!,#REF!,$B62,#REF!,BS$1)</f>
        <v>#REF!</v>
      </c>
      <c r="BT62" s="24" t="e">
        <f>SUMIFS(#REF!,#REF!,$B62,#REF!,BT$1)</f>
        <v>#REF!</v>
      </c>
      <c r="BU62" s="24" t="e">
        <f>SUMIFS(#REF!,#REF!,$B62,#REF!,BU$1)</f>
        <v>#REF!</v>
      </c>
      <c r="BV62" s="24" t="e">
        <f>SUMIFS(#REF!,#REF!,$B62,#REF!,BV$1)</f>
        <v>#REF!</v>
      </c>
      <c r="BW62" s="24" t="e">
        <f>SUMIFS(#REF!,#REF!,$B62,#REF!,BW$1)</f>
        <v>#REF!</v>
      </c>
      <c r="BX62" s="24" t="e">
        <f>SUMIFS(#REF!,#REF!,$B62,#REF!,BX$1)</f>
        <v>#REF!</v>
      </c>
      <c r="BY62" s="24" t="e">
        <f>SUMIFS(#REF!,#REF!,$B62,#REF!,BY$1)</f>
        <v>#REF!</v>
      </c>
      <c r="BZ62" s="24" t="e">
        <f>SUMIFS(#REF!,#REF!,$B62,#REF!,BZ$1)</f>
        <v>#REF!</v>
      </c>
      <c r="CA62" s="24" t="e">
        <f>SUMIFS(#REF!,#REF!,$B62,#REF!,CA$1)</f>
        <v>#REF!</v>
      </c>
      <c r="CB62" s="24" t="e">
        <f>SUMIFS(#REF!,#REF!,$B62,#REF!,CB$1)</f>
        <v>#REF!</v>
      </c>
      <c r="CC62" s="24" t="e">
        <f>SUMIFS(#REF!,#REF!,$B62,#REF!,CC$1)</f>
        <v>#REF!</v>
      </c>
      <c r="CD62" s="24" t="e">
        <f>SUMIFS(#REF!,#REF!,$B62,#REF!,CD$1)</f>
        <v>#REF!</v>
      </c>
      <c r="CE62" s="24" t="e">
        <f>SUMIFS(#REF!,#REF!,$B62,#REF!,CE$1)</f>
        <v>#REF!</v>
      </c>
      <c r="CF62" s="24" t="e">
        <f>SUMIFS(#REF!,#REF!,$B62,#REF!,CF$1)</f>
        <v>#REF!</v>
      </c>
      <c r="CG62" s="19" t="e">
        <f t="shared" si="0"/>
        <v>#REF!</v>
      </c>
    </row>
    <row r="63" spans="1:85" x14ac:dyDescent="0.45">
      <c r="A63" s="4" t="s">
        <v>1107</v>
      </c>
      <c r="B63" s="4" t="s">
        <v>1108</v>
      </c>
      <c r="C63" s="24" t="e">
        <f>SUMIFS(#REF!,#REF!,$B63,#REF!,C$1)</f>
        <v>#REF!</v>
      </c>
      <c r="D63" s="24" t="e">
        <f>SUMIFS(#REF!,#REF!,$B63,#REF!,D$1)</f>
        <v>#REF!</v>
      </c>
      <c r="E63" s="24" t="e">
        <f>SUMIFS(#REF!,#REF!,$B63,#REF!,E$1)</f>
        <v>#REF!</v>
      </c>
      <c r="F63" s="24" t="e">
        <f>SUMIFS(#REF!,#REF!,$B63,#REF!,F$1)</f>
        <v>#REF!</v>
      </c>
      <c r="G63" s="24" t="e">
        <f>SUMIFS(#REF!,#REF!,$B63,#REF!,G$1)</f>
        <v>#REF!</v>
      </c>
      <c r="H63" s="24" t="e">
        <f>SUMIFS(#REF!,#REF!,$B63,#REF!,H$1)</f>
        <v>#REF!</v>
      </c>
      <c r="I63" s="24" t="e">
        <f>SUMIFS(#REF!,#REF!,$B63,#REF!,I$1)</f>
        <v>#REF!</v>
      </c>
      <c r="J63" s="24" t="e">
        <f>SUMIFS(#REF!,#REF!,$B63,#REF!,J$1)</f>
        <v>#REF!</v>
      </c>
      <c r="K63" s="24" t="e">
        <f>SUMIFS(#REF!,#REF!,$B63,#REF!,K$1)</f>
        <v>#REF!</v>
      </c>
      <c r="L63" s="24" t="e">
        <f>SUMIFS(#REF!,#REF!,$B63,#REF!,L$1)</f>
        <v>#REF!</v>
      </c>
      <c r="M63" s="24" t="e">
        <f>SUMIFS(#REF!,#REF!,$B63,#REF!,M$1)</f>
        <v>#REF!</v>
      </c>
      <c r="N63" s="24" t="e">
        <f>SUMIFS(#REF!,#REF!,$B63,#REF!,N$1)</f>
        <v>#REF!</v>
      </c>
      <c r="O63" s="24" t="e">
        <f>SUMIFS(#REF!,#REF!,$B63,#REF!,O$1)</f>
        <v>#REF!</v>
      </c>
      <c r="P63" s="24" t="e">
        <f>SUMIFS(#REF!,#REF!,$B63,#REF!,P$1)</f>
        <v>#REF!</v>
      </c>
      <c r="Q63" s="24" t="e">
        <f>SUMIFS(#REF!,#REF!,$B63,#REF!,Q$1)</f>
        <v>#REF!</v>
      </c>
      <c r="R63" s="24" t="e">
        <f>SUMIFS(#REF!,#REF!,$B63,#REF!,R$1)</f>
        <v>#REF!</v>
      </c>
      <c r="S63" s="24" t="e">
        <f>SUMIFS(#REF!,#REF!,$B63,#REF!,S$1)</f>
        <v>#REF!</v>
      </c>
      <c r="T63" s="24" t="e">
        <f>SUMIFS(#REF!,#REF!,$B63,#REF!,T$1)</f>
        <v>#REF!</v>
      </c>
      <c r="U63" s="24" t="e">
        <f>SUMIFS(#REF!,#REF!,$B63,#REF!,U$1)</f>
        <v>#REF!</v>
      </c>
      <c r="V63" s="24" t="e">
        <f>SUMIFS(#REF!,#REF!,$B63,#REF!,V$1)</f>
        <v>#REF!</v>
      </c>
      <c r="W63" s="24" t="e">
        <f>SUMIFS(#REF!,#REF!,$B63,#REF!,W$1)</f>
        <v>#REF!</v>
      </c>
      <c r="X63" s="24" t="e">
        <f>SUMIFS(#REF!,#REF!,$B63,#REF!,X$1)</f>
        <v>#REF!</v>
      </c>
      <c r="Y63" s="24" t="e">
        <f>SUMIFS(#REF!,#REF!,$B63,#REF!,Y$1)</f>
        <v>#REF!</v>
      </c>
      <c r="Z63" s="24" t="e">
        <f>SUMIFS(#REF!,#REF!,$B63,#REF!,Z$1)</f>
        <v>#REF!</v>
      </c>
      <c r="AA63" s="24" t="e">
        <f>SUMIFS(#REF!,#REF!,$B63,#REF!,AA$1)</f>
        <v>#REF!</v>
      </c>
      <c r="AB63" s="24" t="e">
        <f>SUMIFS(#REF!,#REF!,$B63,#REF!,AB$1)</f>
        <v>#REF!</v>
      </c>
      <c r="AC63" s="24" t="e">
        <f>SUMIFS(#REF!,#REF!,$B63,#REF!,AC$1)</f>
        <v>#REF!</v>
      </c>
      <c r="AD63" s="24" t="e">
        <f>SUMIFS(#REF!,#REF!,$B63,#REF!,AD$1)</f>
        <v>#REF!</v>
      </c>
      <c r="AE63" s="24" t="e">
        <f>SUMIFS(#REF!,#REF!,$B63,#REF!,AE$1)</f>
        <v>#REF!</v>
      </c>
      <c r="AF63" s="24" t="e">
        <f>SUMIFS(#REF!,#REF!,$B63,#REF!,AF$1)</f>
        <v>#REF!</v>
      </c>
      <c r="AG63" s="24" t="e">
        <f>SUMIFS(#REF!,#REF!,$B63,#REF!,AG$1)</f>
        <v>#REF!</v>
      </c>
      <c r="AH63" s="24" t="e">
        <f>SUMIFS(#REF!,#REF!,$B63,#REF!,AH$1)</f>
        <v>#REF!</v>
      </c>
      <c r="AI63" s="24" t="e">
        <f>SUMIFS(#REF!,#REF!,$B63,#REF!,AI$1)</f>
        <v>#REF!</v>
      </c>
      <c r="AJ63" s="24" t="e">
        <f>SUMIFS(#REF!,#REF!,$B63,#REF!,AJ$1)</f>
        <v>#REF!</v>
      </c>
      <c r="AK63" s="24" t="e">
        <f>SUMIFS(#REF!,#REF!,$B63,#REF!,AK$1)</f>
        <v>#REF!</v>
      </c>
      <c r="AL63" s="24" t="e">
        <f>SUMIFS(#REF!,#REF!,$B63,#REF!,AL$1)</f>
        <v>#REF!</v>
      </c>
      <c r="AM63" s="24" t="e">
        <f>SUMIFS(#REF!,#REF!,$B63,#REF!,AM$1)</f>
        <v>#REF!</v>
      </c>
      <c r="AN63" s="24" t="e">
        <f>SUMIFS(#REF!,#REF!,$B63,#REF!,AN$1)</f>
        <v>#REF!</v>
      </c>
      <c r="AO63" s="24" t="e">
        <f>SUMIFS(#REF!,#REF!,$B63,#REF!,AO$1)</f>
        <v>#REF!</v>
      </c>
      <c r="AP63" s="24" t="e">
        <f>SUMIFS(#REF!,#REF!,$B63,#REF!,AP$1)</f>
        <v>#REF!</v>
      </c>
      <c r="AQ63" s="24" t="e">
        <f>SUMIFS(#REF!,#REF!,$B63,#REF!,AQ$1)</f>
        <v>#REF!</v>
      </c>
      <c r="AR63" s="24" t="e">
        <f>SUMIFS(#REF!,#REF!,$B63,#REF!,AR$1)</f>
        <v>#REF!</v>
      </c>
      <c r="AS63" s="24" t="e">
        <f>SUMIFS(#REF!,#REF!,$B63,#REF!,AS$1)</f>
        <v>#REF!</v>
      </c>
      <c r="AT63" s="24" t="e">
        <f>SUMIFS(#REF!,#REF!,$B63,#REF!,AT$1)</f>
        <v>#REF!</v>
      </c>
      <c r="AU63" s="24" t="e">
        <f>SUMIFS(#REF!,#REF!,$B63,#REF!,AU$1)</f>
        <v>#REF!</v>
      </c>
      <c r="AV63" s="24" t="e">
        <f>SUMIFS(#REF!,#REF!,$B63,#REF!,AV$1)</f>
        <v>#REF!</v>
      </c>
      <c r="AW63" s="24" t="e">
        <f>SUMIFS(#REF!,#REF!,$B63,#REF!,AW$1)</f>
        <v>#REF!</v>
      </c>
      <c r="AX63" s="24" t="e">
        <f>SUMIFS(#REF!,#REF!,$B63,#REF!,AX$1)</f>
        <v>#REF!</v>
      </c>
      <c r="AY63" s="24" t="e">
        <f>SUMIFS(#REF!,#REF!,$B63,#REF!,AY$1)</f>
        <v>#REF!</v>
      </c>
      <c r="AZ63" s="24" t="e">
        <f>SUMIFS(#REF!,#REF!,$B63,#REF!,AZ$1)</f>
        <v>#REF!</v>
      </c>
      <c r="BA63" s="24" t="e">
        <f>SUMIFS(#REF!,#REF!,$B63,#REF!,BA$1)</f>
        <v>#REF!</v>
      </c>
      <c r="BB63" s="24" t="e">
        <f>SUMIFS(#REF!,#REF!,$B63,#REF!,BB$1)</f>
        <v>#REF!</v>
      </c>
      <c r="BC63" s="24" t="e">
        <f>SUMIFS(#REF!,#REF!,$B63,#REF!,BC$1)</f>
        <v>#REF!</v>
      </c>
      <c r="BD63" s="24" t="e">
        <f>SUMIFS(#REF!,#REF!,$B63,#REF!,BD$1)</f>
        <v>#REF!</v>
      </c>
      <c r="BE63" s="24" t="e">
        <f>SUMIFS(#REF!,#REF!,$B63,#REF!,BE$1)</f>
        <v>#REF!</v>
      </c>
      <c r="BF63" s="24" t="e">
        <f>SUMIFS(#REF!,#REF!,$B63,#REF!,BF$1)</f>
        <v>#REF!</v>
      </c>
      <c r="BG63" s="24" t="e">
        <f>SUMIFS(#REF!,#REF!,$B63,#REF!,BG$1)</f>
        <v>#REF!</v>
      </c>
      <c r="BH63" s="24" t="e">
        <f>SUMIFS(#REF!,#REF!,$B63,#REF!,BH$1)</f>
        <v>#REF!</v>
      </c>
      <c r="BI63" s="24" t="e">
        <f>SUMIFS(#REF!,#REF!,$B63,#REF!,BI$1)</f>
        <v>#REF!</v>
      </c>
      <c r="BJ63" s="24" t="e">
        <f>SUMIFS(#REF!,#REF!,$B63,#REF!,BJ$1)</f>
        <v>#REF!</v>
      </c>
      <c r="BK63" s="24" t="e">
        <f>SUMIFS(#REF!,#REF!,$B63,#REF!,BK$1)</f>
        <v>#REF!</v>
      </c>
      <c r="BL63" s="24" t="e">
        <f>SUMIFS(#REF!,#REF!,$B63,#REF!,BL$1)</f>
        <v>#REF!</v>
      </c>
      <c r="BM63" s="24" t="e">
        <f>SUMIFS(#REF!,#REF!,$B63,#REF!,BM$1)</f>
        <v>#REF!</v>
      </c>
      <c r="BN63" s="24" t="e">
        <f>SUMIFS(#REF!,#REF!,$B63,#REF!,BN$1)</f>
        <v>#REF!</v>
      </c>
      <c r="BO63" s="24" t="e">
        <f>SUMIFS(#REF!,#REF!,$B63,#REF!,BO$1)</f>
        <v>#REF!</v>
      </c>
      <c r="BP63" s="24" t="e">
        <f>SUMIFS(#REF!,#REF!,$B63,#REF!,BP$1)</f>
        <v>#REF!</v>
      </c>
      <c r="BQ63" s="24" t="e">
        <f>SUMIFS(#REF!,#REF!,$B63,#REF!,BQ$1)</f>
        <v>#REF!</v>
      </c>
      <c r="BR63" s="24" t="e">
        <f>SUMIFS(#REF!,#REF!,$B63,#REF!,BR$1)</f>
        <v>#REF!</v>
      </c>
      <c r="BS63" s="24" t="e">
        <f>SUMIFS(#REF!,#REF!,$B63,#REF!,BS$1)</f>
        <v>#REF!</v>
      </c>
      <c r="BT63" s="24" t="e">
        <f>SUMIFS(#REF!,#REF!,$B63,#REF!,BT$1)</f>
        <v>#REF!</v>
      </c>
      <c r="BU63" s="24" t="e">
        <f>SUMIFS(#REF!,#REF!,$B63,#REF!,BU$1)</f>
        <v>#REF!</v>
      </c>
      <c r="BV63" s="24" t="e">
        <f>SUMIFS(#REF!,#REF!,$B63,#REF!,BV$1)</f>
        <v>#REF!</v>
      </c>
      <c r="BW63" s="24" t="e">
        <f>SUMIFS(#REF!,#REF!,$B63,#REF!,BW$1)</f>
        <v>#REF!</v>
      </c>
      <c r="BX63" s="24" t="e">
        <f>SUMIFS(#REF!,#REF!,$B63,#REF!,BX$1)</f>
        <v>#REF!</v>
      </c>
      <c r="BY63" s="24" t="e">
        <f>SUMIFS(#REF!,#REF!,$B63,#REF!,BY$1)</f>
        <v>#REF!</v>
      </c>
      <c r="BZ63" s="24" t="e">
        <f>SUMIFS(#REF!,#REF!,$B63,#REF!,BZ$1)</f>
        <v>#REF!</v>
      </c>
      <c r="CA63" s="24" t="e">
        <f>SUMIFS(#REF!,#REF!,$B63,#REF!,CA$1)</f>
        <v>#REF!</v>
      </c>
      <c r="CB63" s="24" t="e">
        <f>SUMIFS(#REF!,#REF!,$B63,#REF!,CB$1)</f>
        <v>#REF!</v>
      </c>
      <c r="CC63" s="24" t="e">
        <f>SUMIFS(#REF!,#REF!,$B63,#REF!,CC$1)</f>
        <v>#REF!</v>
      </c>
      <c r="CD63" s="24" t="e">
        <f>SUMIFS(#REF!,#REF!,$B63,#REF!,CD$1)</f>
        <v>#REF!</v>
      </c>
      <c r="CE63" s="24" t="e">
        <f>SUMIFS(#REF!,#REF!,$B63,#REF!,CE$1)</f>
        <v>#REF!</v>
      </c>
      <c r="CF63" s="24" t="e">
        <f>SUMIFS(#REF!,#REF!,$B63,#REF!,CF$1)</f>
        <v>#REF!</v>
      </c>
      <c r="CG63" s="19" t="e">
        <f t="shared" si="0"/>
        <v>#REF!</v>
      </c>
    </row>
    <row r="64" spans="1:85" x14ac:dyDescent="0.45">
      <c r="A64" s="4" t="s">
        <v>1109</v>
      </c>
      <c r="B64" s="4" t="s">
        <v>1110</v>
      </c>
      <c r="C64" s="24" t="e">
        <f>SUMIFS(#REF!,#REF!,$B64,#REF!,C$1)</f>
        <v>#REF!</v>
      </c>
      <c r="D64" s="24" t="e">
        <f>SUMIFS(#REF!,#REF!,$B64,#REF!,D$1)</f>
        <v>#REF!</v>
      </c>
      <c r="E64" s="24" t="e">
        <f>SUMIFS(#REF!,#REF!,$B64,#REF!,E$1)</f>
        <v>#REF!</v>
      </c>
      <c r="F64" s="24" t="e">
        <f>SUMIFS(#REF!,#REF!,$B64,#REF!,F$1)</f>
        <v>#REF!</v>
      </c>
      <c r="G64" s="24" t="e">
        <f>SUMIFS(#REF!,#REF!,$B64,#REF!,G$1)</f>
        <v>#REF!</v>
      </c>
      <c r="H64" s="24" t="e">
        <f>SUMIFS(#REF!,#REF!,$B64,#REF!,H$1)</f>
        <v>#REF!</v>
      </c>
      <c r="I64" s="24" t="e">
        <f>SUMIFS(#REF!,#REF!,$B64,#REF!,I$1)</f>
        <v>#REF!</v>
      </c>
      <c r="J64" s="24" t="e">
        <f>SUMIFS(#REF!,#REF!,$B64,#REF!,J$1)</f>
        <v>#REF!</v>
      </c>
      <c r="K64" s="24" t="e">
        <f>SUMIFS(#REF!,#REF!,$B64,#REF!,K$1)</f>
        <v>#REF!</v>
      </c>
      <c r="L64" s="24" t="e">
        <f>SUMIFS(#REF!,#REF!,$B64,#REF!,L$1)</f>
        <v>#REF!</v>
      </c>
      <c r="M64" s="24" t="e">
        <f>SUMIFS(#REF!,#REF!,$B64,#REF!,M$1)</f>
        <v>#REF!</v>
      </c>
      <c r="N64" s="24" t="e">
        <f>SUMIFS(#REF!,#REF!,$B64,#REF!,N$1)</f>
        <v>#REF!</v>
      </c>
      <c r="O64" s="24" t="e">
        <f>SUMIFS(#REF!,#REF!,$B64,#REF!,O$1)</f>
        <v>#REF!</v>
      </c>
      <c r="P64" s="24" t="e">
        <f>SUMIFS(#REF!,#REF!,$B64,#REF!,P$1)</f>
        <v>#REF!</v>
      </c>
      <c r="Q64" s="24" t="e">
        <f>SUMIFS(#REF!,#REF!,$B64,#REF!,Q$1)</f>
        <v>#REF!</v>
      </c>
      <c r="R64" s="24" t="e">
        <f>SUMIFS(#REF!,#REF!,$B64,#REF!,R$1)</f>
        <v>#REF!</v>
      </c>
      <c r="S64" s="24" t="e">
        <f>SUMIFS(#REF!,#REF!,$B64,#REF!,S$1)</f>
        <v>#REF!</v>
      </c>
      <c r="T64" s="24" t="e">
        <f>SUMIFS(#REF!,#REF!,$B64,#REF!,T$1)</f>
        <v>#REF!</v>
      </c>
      <c r="U64" s="24" t="e">
        <f>SUMIFS(#REF!,#REF!,$B64,#REF!,U$1)</f>
        <v>#REF!</v>
      </c>
      <c r="V64" s="24" t="e">
        <f>SUMIFS(#REF!,#REF!,$B64,#REF!,V$1)</f>
        <v>#REF!</v>
      </c>
      <c r="W64" s="24" t="e">
        <f>SUMIFS(#REF!,#REF!,$B64,#REF!,W$1)</f>
        <v>#REF!</v>
      </c>
      <c r="X64" s="24" t="e">
        <f>SUMIFS(#REF!,#REF!,$B64,#REF!,X$1)</f>
        <v>#REF!</v>
      </c>
      <c r="Y64" s="24" t="e">
        <f>SUMIFS(#REF!,#REF!,$B64,#REF!,Y$1)</f>
        <v>#REF!</v>
      </c>
      <c r="Z64" s="24" t="e">
        <f>SUMIFS(#REF!,#REF!,$B64,#REF!,Z$1)</f>
        <v>#REF!</v>
      </c>
      <c r="AA64" s="24" t="e">
        <f>SUMIFS(#REF!,#REF!,$B64,#REF!,AA$1)</f>
        <v>#REF!</v>
      </c>
      <c r="AB64" s="24" t="e">
        <f>SUMIFS(#REF!,#REF!,$B64,#REF!,AB$1)</f>
        <v>#REF!</v>
      </c>
      <c r="AC64" s="24" t="e">
        <f>SUMIFS(#REF!,#REF!,$B64,#REF!,AC$1)</f>
        <v>#REF!</v>
      </c>
      <c r="AD64" s="24" t="e">
        <f>SUMIFS(#REF!,#REF!,$B64,#REF!,AD$1)</f>
        <v>#REF!</v>
      </c>
      <c r="AE64" s="24" t="e">
        <f>SUMIFS(#REF!,#REF!,$B64,#REF!,AE$1)</f>
        <v>#REF!</v>
      </c>
      <c r="AF64" s="24" t="e">
        <f>SUMIFS(#REF!,#REF!,$B64,#REF!,AF$1)</f>
        <v>#REF!</v>
      </c>
      <c r="AG64" s="24" t="e">
        <f>SUMIFS(#REF!,#REF!,$B64,#REF!,AG$1)</f>
        <v>#REF!</v>
      </c>
      <c r="AH64" s="24" t="e">
        <f>SUMIFS(#REF!,#REF!,$B64,#REF!,AH$1)</f>
        <v>#REF!</v>
      </c>
      <c r="AI64" s="24" t="e">
        <f>SUMIFS(#REF!,#REF!,$B64,#REF!,AI$1)</f>
        <v>#REF!</v>
      </c>
      <c r="AJ64" s="24" t="e">
        <f>SUMIFS(#REF!,#REF!,$B64,#REF!,AJ$1)</f>
        <v>#REF!</v>
      </c>
      <c r="AK64" s="24" t="e">
        <f>SUMIFS(#REF!,#REF!,$B64,#REF!,AK$1)</f>
        <v>#REF!</v>
      </c>
      <c r="AL64" s="24" t="e">
        <f>SUMIFS(#REF!,#REF!,$B64,#REF!,AL$1)</f>
        <v>#REF!</v>
      </c>
      <c r="AM64" s="24" t="e">
        <f>SUMIFS(#REF!,#REF!,$B64,#REF!,AM$1)</f>
        <v>#REF!</v>
      </c>
      <c r="AN64" s="24" t="e">
        <f>SUMIFS(#REF!,#REF!,$B64,#REF!,AN$1)</f>
        <v>#REF!</v>
      </c>
      <c r="AO64" s="24" t="e">
        <f>SUMIFS(#REF!,#REF!,$B64,#REF!,AO$1)</f>
        <v>#REF!</v>
      </c>
      <c r="AP64" s="24" t="e">
        <f>SUMIFS(#REF!,#REF!,$B64,#REF!,AP$1)</f>
        <v>#REF!</v>
      </c>
      <c r="AQ64" s="24" t="e">
        <f>SUMIFS(#REF!,#REF!,$B64,#REF!,AQ$1)</f>
        <v>#REF!</v>
      </c>
      <c r="AR64" s="24" t="e">
        <f>SUMIFS(#REF!,#REF!,$B64,#REF!,AR$1)</f>
        <v>#REF!</v>
      </c>
      <c r="AS64" s="24" t="e">
        <f>SUMIFS(#REF!,#REF!,$B64,#REF!,AS$1)</f>
        <v>#REF!</v>
      </c>
      <c r="AT64" s="24" t="e">
        <f>SUMIFS(#REF!,#REF!,$B64,#REF!,AT$1)</f>
        <v>#REF!</v>
      </c>
      <c r="AU64" s="24" t="e">
        <f>SUMIFS(#REF!,#REF!,$B64,#REF!,AU$1)</f>
        <v>#REF!</v>
      </c>
      <c r="AV64" s="24" t="e">
        <f>SUMIFS(#REF!,#REF!,$B64,#REF!,AV$1)</f>
        <v>#REF!</v>
      </c>
      <c r="AW64" s="24" t="e">
        <f>SUMIFS(#REF!,#REF!,$B64,#REF!,AW$1)</f>
        <v>#REF!</v>
      </c>
      <c r="AX64" s="24" t="e">
        <f>SUMIFS(#REF!,#REF!,$B64,#REF!,AX$1)</f>
        <v>#REF!</v>
      </c>
      <c r="AY64" s="24" t="e">
        <f>SUMIFS(#REF!,#REF!,$B64,#REF!,AY$1)</f>
        <v>#REF!</v>
      </c>
      <c r="AZ64" s="24" t="e">
        <f>SUMIFS(#REF!,#REF!,$B64,#REF!,AZ$1)</f>
        <v>#REF!</v>
      </c>
      <c r="BA64" s="24" t="e">
        <f>SUMIFS(#REF!,#REF!,$B64,#REF!,BA$1)</f>
        <v>#REF!</v>
      </c>
      <c r="BB64" s="24" t="e">
        <f>SUMIFS(#REF!,#REF!,$B64,#REF!,BB$1)</f>
        <v>#REF!</v>
      </c>
      <c r="BC64" s="24" t="e">
        <f>SUMIFS(#REF!,#REF!,$B64,#REF!,BC$1)</f>
        <v>#REF!</v>
      </c>
      <c r="BD64" s="24" t="e">
        <f>SUMIFS(#REF!,#REF!,$B64,#REF!,BD$1)</f>
        <v>#REF!</v>
      </c>
      <c r="BE64" s="24" t="e">
        <f>SUMIFS(#REF!,#REF!,$B64,#REF!,BE$1)</f>
        <v>#REF!</v>
      </c>
      <c r="BF64" s="24" t="e">
        <f>SUMIFS(#REF!,#REF!,$B64,#REF!,BF$1)</f>
        <v>#REF!</v>
      </c>
      <c r="BG64" s="24" t="e">
        <f>SUMIFS(#REF!,#REF!,$B64,#REF!,BG$1)</f>
        <v>#REF!</v>
      </c>
      <c r="BH64" s="24" t="e">
        <f>SUMIFS(#REF!,#REF!,$B64,#REF!,BH$1)</f>
        <v>#REF!</v>
      </c>
      <c r="BI64" s="24" t="e">
        <f>SUMIFS(#REF!,#REF!,$B64,#REF!,BI$1)</f>
        <v>#REF!</v>
      </c>
      <c r="BJ64" s="24" t="e">
        <f>SUMIFS(#REF!,#REF!,$B64,#REF!,BJ$1)</f>
        <v>#REF!</v>
      </c>
      <c r="BK64" s="24" t="e">
        <f>SUMIFS(#REF!,#REF!,$B64,#REF!,BK$1)</f>
        <v>#REF!</v>
      </c>
      <c r="BL64" s="24" t="e">
        <f>SUMIFS(#REF!,#REF!,$B64,#REF!,BL$1)</f>
        <v>#REF!</v>
      </c>
      <c r="BM64" s="24" t="e">
        <f>SUMIFS(#REF!,#REF!,$B64,#REF!,BM$1)</f>
        <v>#REF!</v>
      </c>
      <c r="BN64" s="24" t="e">
        <f>SUMIFS(#REF!,#REF!,$B64,#REF!,BN$1)</f>
        <v>#REF!</v>
      </c>
      <c r="BO64" s="24" t="e">
        <f>SUMIFS(#REF!,#REF!,$B64,#REF!,BO$1)</f>
        <v>#REF!</v>
      </c>
      <c r="BP64" s="24" t="e">
        <f>SUMIFS(#REF!,#REF!,$B64,#REF!,BP$1)</f>
        <v>#REF!</v>
      </c>
      <c r="BQ64" s="24" t="e">
        <f>SUMIFS(#REF!,#REF!,$B64,#REF!,BQ$1)</f>
        <v>#REF!</v>
      </c>
      <c r="BR64" s="24" t="e">
        <f>SUMIFS(#REF!,#REF!,$B64,#REF!,BR$1)</f>
        <v>#REF!</v>
      </c>
      <c r="BS64" s="24" t="e">
        <f>SUMIFS(#REF!,#REF!,$B64,#REF!,BS$1)</f>
        <v>#REF!</v>
      </c>
      <c r="BT64" s="24" t="e">
        <f>SUMIFS(#REF!,#REF!,$B64,#REF!,BT$1)</f>
        <v>#REF!</v>
      </c>
      <c r="BU64" s="24" t="e">
        <f>SUMIFS(#REF!,#REF!,$B64,#REF!,BU$1)</f>
        <v>#REF!</v>
      </c>
      <c r="BV64" s="24" t="e">
        <f>SUMIFS(#REF!,#REF!,$B64,#REF!,BV$1)</f>
        <v>#REF!</v>
      </c>
      <c r="BW64" s="24" t="e">
        <f>SUMIFS(#REF!,#REF!,$B64,#REF!,BW$1)</f>
        <v>#REF!</v>
      </c>
      <c r="BX64" s="24" t="e">
        <f>SUMIFS(#REF!,#REF!,$B64,#REF!,BX$1)</f>
        <v>#REF!</v>
      </c>
      <c r="BY64" s="24" t="e">
        <f>SUMIFS(#REF!,#REF!,$B64,#REF!,BY$1)</f>
        <v>#REF!</v>
      </c>
      <c r="BZ64" s="24" t="e">
        <f>SUMIFS(#REF!,#REF!,$B64,#REF!,BZ$1)</f>
        <v>#REF!</v>
      </c>
      <c r="CA64" s="24" t="e">
        <f>SUMIFS(#REF!,#REF!,$B64,#REF!,CA$1)</f>
        <v>#REF!</v>
      </c>
      <c r="CB64" s="24" t="e">
        <f>SUMIFS(#REF!,#REF!,$B64,#REF!,CB$1)</f>
        <v>#REF!</v>
      </c>
      <c r="CC64" s="24" t="e">
        <f>SUMIFS(#REF!,#REF!,$B64,#REF!,CC$1)</f>
        <v>#REF!</v>
      </c>
      <c r="CD64" s="24" t="e">
        <f>SUMIFS(#REF!,#REF!,$B64,#REF!,CD$1)</f>
        <v>#REF!</v>
      </c>
      <c r="CE64" s="24" t="e">
        <f>SUMIFS(#REF!,#REF!,$B64,#REF!,CE$1)</f>
        <v>#REF!</v>
      </c>
      <c r="CF64" s="24" t="e">
        <f>SUMIFS(#REF!,#REF!,$B64,#REF!,CF$1)</f>
        <v>#REF!</v>
      </c>
      <c r="CG64" s="19" t="e">
        <f t="shared" si="0"/>
        <v>#REF!</v>
      </c>
    </row>
    <row r="65" spans="1:85" x14ac:dyDescent="0.45">
      <c r="A65" s="4" t="s">
        <v>1111</v>
      </c>
      <c r="B65" s="4" t="s">
        <v>1112</v>
      </c>
      <c r="C65" s="24" t="e">
        <f>SUMIFS(#REF!,#REF!,$B65,#REF!,C$1)</f>
        <v>#REF!</v>
      </c>
      <c r="D65" s="24" t="e">
        <f>SUMIFS(#REF!,#REF!,$B65,#REF!,D$1)</f>
        <v>#REF!</v>
      </c>
      <c r="E65" s="24" t="e">
        <f>SUMIFS(#REF!,#REF!,$B65,#REF!,E$1)</f>
        <v>#REF!</v>
      </c>
      <c r="F65" s="24" t="e">
        <f>SUMIFS(#REF!,#REF!,$B65,#REF!,F$1)</f>
        <v>#REF!</v>
      </c>
      <c r="G65" s="24" t="e">
        <f>SUMIFS(#REF!,#REF!,$B65,#REF!,G$1)</f>
        <v>#REF!</v>
      </c>
      <c r="H65" s="24" t="e">
        <f>SUMIFS(#REF!,#REF!,$B65,#REF!,H$1)</f>
        <v>#REF!</v>
      </c>
      <c r="I65" s="24" t="e">
        <f>SUMIFS(#REF!,#REF!,$B65,#REF!,I$1)</f>
        <v>#REF!</v>
      </c>
      <c r="J65" s="24" t="e">
        <f>SUMIFS(#REF!,#REF!,$B65,#REF!,J$1)</f>
        <v>#REF!</v>
      </c>
      <c r="K65" s="24" t="e">
        <f>SUMIFS(#REF!,#REF!,$B65,#REF!,K$1)</f>
        <v>#REF!</v>
      </c>
      <c r="L65" s="24" t="e">
        <f>SUMIFS(#REF!,#REF!,$B65,#REF!,L$1)</f>
        <v>#REF!</v>
      </c>
      <c r="M65" s="24" t="e">
        <f>SUMIFS(#REF!,#REF!,$B65,#REF!,M$1)</f>
        <v>#REF!</v>
      </c>
      <c r="N65" s="24" t="e">
        <f>SUMIFS(#REF!,#REF!,$B65,#REF!,N$1)</f>
        <v>#REF!</v>
      </c>
      <c r="O65" s="24" t="e">
        <f>SUMIFS(#REF!,#REF!,$B65,#REF!,O$1)</f>
        <v>#REF!</v>
      </c>
      <c r="P65" s="24" t="e">
        <f>SUMIFS(#REF!,#REF!,$B65,#REF!,P$1)</f>
        <v>#REF!</v>
      </c>
      <c r="Q65" s="24" t="e">
        <f>SUMIFS(#REF!,#REF!,$B65,#REF!,Q$1)</f>
        <v>#REF!</v>
      </c>
      <c r="R65" s="24" t="e">
        <f>SUMIFS(#REF!,#REF!,$B65,#REF!,R$1)</f>
        <v>#REF!</v>
      </c>
      <c r="S65" s="24" t="e">
        <f>SUMIFS(#REF!,#REF!,$B65,#REF!,S$1)</f>
        <v>#REF!</v>
      </c>
      <c r="T65" s="24" t="e">
        <f>SUMIFS(#REF!,#REF!,$B65,#REF!,T$1)</f>
        <v>#REF!</v>
      </c>
      <c r="U65" s="24" t="e">
        <f>SUMIFS(#REF!,#REF!,$B65,#REF!,U$1)</f>
        <v>#REF!</v>
      </c>
      <c r="V65" s="24" t="e">
        <f>SUMIFS(#REF!,#REF!,$B65,#REF!,V$1)</f>
        <v>#REF!</v>
      </c>
      <c r="W65" s="24" t="e">
        <f>SUMIFS(#REF!,#REF!,$B65,#REF!,W$1)</f>
        <v>#REF!</v>
      </c>
      <c r="X65" s="24" t="e">
        <f>SUMIFS(#REF!,#REF!,$B65,#REF!,X$1)</f>
        <v>#REF!</v>
      </c>
      <c r="Y65" s="24" t="e">
        <f>SUMIFS(#REF!,#REF!,$B65,#REF!,Y$1)</f>
        <v>#REF!</v>
      </c>
      <c r="Z65" s="24" t="e">
        <f>SUMIFS(#REF!,#REF!,$B65,#REF!,Z$1)</f>
        <v>#REF!</v>
      </c>
      <c r="AA65" s="24" t="e">
        <f>SUMIFS(#REF!,#REF!,$B65,#REF!,AA$1)</f>
        <v>#REF!</v>
      </c>
      <c r="AB65" s="24" t="e">
        <f>SUMIFS(#REF!,#REF!,$B65,#REF!,AB$1)</f>
        <v>#REF!</v>
      </c>
      <c r="AC65" s="24" t="e">
        <f>SUMIFS(#REF!,#REF!,$B65,#REF!,AC$1)</f>
        <v>#REF!</v>
      </c>
      <c r="AD65" s="24" t="e">
        <f>SUMIFS(#REF!,#REF!,$B65,#REF!,AD$1)</f>
        <v>#REF!</v>
      </c>
      <c r="AE65" s="24" t="e">
        <f>SUMIFS(#REF!,#REF!,$B65,#REF!,AE$1)</f>
        <v>#REF!</v>
      </c>
      <c r="AF65" s="24" t="e">
        <f>SUMIFS(#REF!,#REF!,$B65,#REF!,AF$1)</f>
        <v>#REF!</v>
      </c>
      <c r="AG65" s="24" t="e">
        <f>SUMIFS(#REF!,#REF!,$B65,#REF!,AG$1)</f>
        <v>#REF!</v>
      </c>
      <c r="AH65" s="24" t="e">
        <f>SUMIFS(#REF!,#REF!,$B65,#REF!,AH$1)</f>
        <v>#REF!</v>
      </c>
      <c r="AI65" s="24" t="e">
        <f>SUMIFS(#REF!,#REF!,$B65,#REF!,AI$1)</f>
        <v>#REF!</v>
      </c>
      <c r="AJ65" s="24" t="e">
        <f>SUMIFS(#REF!,#REF!,$B65,#REF!,AJ$1)</f>
        <v>#REF!</v>
      </c>
      <c r="AK65" s="24" t="e">
        <f>SUMIFS(#REF!,#REF!,$B65,#REF!,AK$1)</f>
        <v>#REF!</v>
      </c>
      <c r="AL65" s="24" t="e">
        <f>SUMIFS(#REF!,#REF!,$B65,#REF!,AL$1)</f>
        <v>#REF!</v>
      </c>
      <c r="AM65" s="24" t="e">
        <f>SUMIFS(#REF!,#REF!,$B65,#REF!,AM$1)</f>
        <v>#REF!</v>
      </c>
      <c r="AN65" s="24" t="e">
        <f>SUMIFS(#REF!,#REF!,$B65,#REF!,AN$1)</f>
        <v>#REF!</v>
      </c>
      <c r="AO65" s="24" t="e">
        <f>SUMIFS(#REF!,#REF!,$B65,#REF!,AO$1)</f>
        <v>#REF!</v>
      </c>
      <c r="AP65" s="24" t="e">
        <f>SUMIFS(#REF!,#REF!,$B65,#REF!,AP$1)</f>
        <v>#REF!</v>
      </c>
      <c r="AQ65" s="24" t="e">
        <f>SUMIFS(#REF!,#REF!,$B65,#REF!,AQ$1)</f>
        <v>#REF!</v>
      </c>
      <c r="AR65" s="24" t="e">
        <f>SUMIFS(#REF!,#REF!,$B65,#REF!,AR$1)</f>
        <v>#REF!</v>
      </c>
      <c r="AS65" s="24" t="e">
        <f>SUMIFS(#REF!,#REF!,$B65,#REF!,AS$1)</f>
        <v>#REF!</v>
      </c>
      <c r="AT65" s="24" t="e">
        <f>SUMIFS(#REF!,#REF!,$B65,#REF!,AT$1)</f>
        <v>#REF!</v>
      </c>
      <c r="AU65" s="24" t="e">
        <f>SUMIFS(#REF!,#REF!,$B65,#REF!,AU$1)</f>
        <v>#REF!</v>
      </c>
      <c r="AV65" s="24" t="e">
        <f>SUMIFS(#REF!,#REF!,$B65,#REF!,AV$1)</f>
        <v>#REF!</v>
      </c>
      <c r="AW65" s="24" t="e">
        <f>SUMIFS(#REF!,#REF!,$B65,#REF!,AW$1)</f>
        <v>#REF!</v>
      </c>
      <c r="AX65" s="24" t="e">
        <f>SUMIFS(#REF!,#REF!,$B65,#REF!,AX$1)</f>
        <v>#REF!</v>
      </c>
      <c r="AY65" s="24" t="e">
        <f>SUMIFS(#REF!,#REF!,$B65,#REF!,AY$1)</f>
        <v>#REF!</v>
      </c>
      <c r="AZ65" s="24" t="e">
        <f>SUMIFS(#REF!,#REF!,$B65,#REF!,AZ$1)</f>
        <v>#REF!</v>
      </c>
      <c r="BA65" s="24" t="e">
        <f>SUMIFS(#REF!,#REF!,$B65,#REF!,BA$1)</f>
        <v>#REF!</v>
      </c>
      <c r="BB65" s="24" t="e">
        <f>SUMIFS(#REF!,#REF!,$B65,#REF!,BB$1)</f>
        <v>#REF!</v>
      </c>
      <c r="BC65" s="24" t="e">
        <f>SUMIFS(#REF!,#REF!,$B65,#REF!,BC$1)</f>
        <v>#REF!</v>
      </c>
      <c r="BD65" s="24" t="e">
        <f>SUMIFS(#REF!,#REF!,$B65,#REF!,BD$1)</f>
        <v>#REF!</v>
      </c>
      <c r="BE65" s="24" t="e">
        <f>SUMIFS(#REF!,#REF!,$B65,#REF!,BE$1)</f>
        <v>#REF!</v>
      </c>
      <c r="BF65" s="24" t="e">
        <f>SUMIFS(#REF!,#REF!,$B65,#REF!,BF$1)</f>
        <v>#REF!</v>
      </c>
      <c r="BG65" s="24" t="e">
        <f>SUMIFS(#REF!,#REF!,$B65,#REF!,BG$1)</f>
        <v>#REF!</v>
      </c>
      <c r="BH65" s="24" t="e">
        <f>SUMIFS(#REF!,#REF!,$B65,#REF!,BH$1)</f>
        <v>#REF!</v>
      </c>
      <c r="BI65" s="24" t="e">
        <f>SUMIFS(#REF!,#REF!,$B65,#REF!,BI$1)</f>
        <v>#REF!</v>
      </c>
      <c r="BJ65" s="24" t="e">
        <f>SUMIFS(#REF!,#REF!,$B65,#REF!,BJ$1)</f>
        <v>#REF!</v>
      </c>
      <c r="BK65" s="24" t="e">
        <f>SUMIFS(#REF!,#REF!,$B65,#REF!,BK$1)</f>
        <v>#REF!</v>
      </c>
      <c r="BL65" s="24" t="e">
        <f>SUMIFS(#REF!,#REF!,$B65,#REF!,BL$1)</f>
        <v>#REF!</v>
      </c>
      <c r="BM65" s="24" t="e">
        <f>SUMIFS(#REF!,#REF!,$B65,#REF!,BM$1)</f>
        <v>#REF!</v>
      </c>
      <c r="BN65" s="24" t="e">
        <f>SUMIFS(#REF!,#REF!,$B65,#REF!,BN$1)</f>
        <v>#REF!</v>
      </c>
      <c r="BO65" s="24" t="e">
        <f>SUMIFS(#REF!,#REF!,$B65,#REF!,BO$1)</f>
        <v>#REF!</v>
      </c>
      <c r="BP65" s="24" t="e">
        <f>SUMIFS(#REF!,#REF!,$B65,#REF!,BP$1)</f>
        <v>#REF!</v>
      </c>
      <c r="BQ65" s="24" t="e">
        <f>SUMIFS(#REF!,#REF!,$B65,#REF!,BQ$1)</f>
        <v>#REF!</v>
      </c>
      <c r="BR65" s="24" t="e">
        <f>SUMIFS(#REF!,#REF!,$B65,#REF!,BR$1)</f>
        <v>#REF!</v>
      </c>
      <c r="BS65" s="24" t="e">
        <f>SUMIFS(#REF!,#REF!,$B65,#REF!,BS$1)</f>
        <v>#REF!</v>
      </c>
      <c r="BT65" s="24" t="e">
        <f>SUMIFS(#REF!,#REF!,$B65,#REF!,BT$1)</f>
        <v>#REF!</v>
      </c>
      <c r="BU65" s="24" t="e">
        <f>SUMIFS(#REF!,#REF!,$B65,#REF!,BU$1)</f>
        <v>#REF!</v>
      </c>
      <c r="BV65" s="24" t="e">
        <f>SUMIFS(#REF!,#REF!,$B65,#REF!,BV$1)</f>
        <v>#REF!</v>
      </c>
      <c r="BW65" s="24" t="e">
        <f>SUMIFS(#REF!,#REF!,$B65,#REF!,BW$1)</f>
        <v>#REF!</v>
      </c>
      <c r="BX65" s="24" t="e">
        <f>SUMIFS(#REF!,#REF!,$B65,#REF!,BX$1)</f>
        <v>#REF!</v>
      </c>
      <c r="BY65" s="24" t="e">
        <f>SUMIFS(#REF!,#REF!,$B65,#REF!,BY$1)</f>
        <v>#REF!</v>
      </c>
      <c r="BZ65" s="24" t="e">
        <f>SUMIFS(#REF!,#REF!,$B65,#REF!,BZ$1)</f>
        <v>#REF!</v>
      </c>
      <c r="CA65" s="24" t="e">
        <f>SUMIFS(#REF!,#REF!,$B65,#REF!,CA$1)</f>
        <v>#REF!</v>
      </c>
      <c r="CB65" s="24" t="e">
        <f>SUMIFS(#REF!,#REF!,$B65,#REF!,CB$1)</f>
        <v>#REF!</v>
      </c>
      <c r="CC65" s="24" t="e">
        <f>SUMIFS(#REF!,#REF!,$B65,#REF!,CC$1)</f>
        <v>#REF!</v>
      </c>
      <c r="CD65" s="24" t="e">
        <f>SUMIFS(#REF!,#REF!,$B65,#REF!,CD$1)</f>
        <v>#REF!</v>
      </c>
      <c r="CE65" s="24" t="e">
        <f>SUMIFS(#REF!,#REF!,$B65,#REF!,CE$1)</f>
        <v>#REF!</v>
      </c>
      <c r="CF65" s="24" t="e">
        <f>SUMIFS(#REF!,#REF!,$B65,#REF!,CF$1)</f>
        <v>#REF!</v>
      </c>
      <c r="CG65" s="19" t="e">
        <f t="shared" si="0"/>
        <v>#REF!</v>
      </c>
    </row>
    <row r="66" spans="1:85" x14ac:dyDescent="0.45">
      <c r="A66" s="4" t="s">
        <v>1113</v>
      </c>
      <c r="B66" s="4" t="s">
        <v>1114</v>
      </c>
      <c r="C66" s="24" t="e">
        <f>SUMIFS(#REF!,#REF!,$B66,#REF!,C$1)</f>
        <v>#REF!</v>
      </c>
      <c r="D66" s="24" t="e">
        <f>SUMIFS(#REF!,#REF!,$B66,#REF!,D$1)</f>
        <v>#REF!</v>
      </c>
      <c r="E66" s="24" t="e">
        <f>SUMIFS(#REF!,#REF!,$B66,#REF!,E$1)</f>
        <v>#REF!</v>
      </c>
      <c r="F66" s="24" t="e">
        <f>SUMIFS(#REF!,#REF!,$B66,#REF!,F$1)</f>
        <v>#REF!</v>
      </c>
      <c r="G66" s="24" t="e">
        <f>SUMIFS(#REF!,#REF!,$B66,#REF!,G$1)</f>
        <v>#REF!</v>
      </c>
      <c r="H66" s="24" t="e">
        <f>SUMIFS(#REF!,#REF!,$B66,#REF!,H$1)</f>
        <v>#REF!</v>
      </c>
      <c r="I66" s="24" t="e">
        <f>SUMIFS(#REF!,#REF!,$B66,#REF!,I$1)</f>
        <v>#REF!</v>
      </c>
      <c r="J66" s="24" t="e">
        <f>SUMIFS(#REF!,#REF!,$B66,#REF!,J$1)</f>
        <v>#REF!</v>
      </c>
      <c r="K66" s="24" t="e">
        <f>SUMIFS(#REF!,#REF!,$B66,#REF!,K$1)</f>
        <v>#REF!</v>
      </c>
      <c r="L66" s="24" t="e">
        <f>SUMIFS(#REF!,#REF!,$B66,#REF!,L$1)</f>
        <v>#REF!</v>
      </c>
      <c r="M66" s="24" t="e">
        <f>SUMIFS(#REF!,#REF!,$B66,#REF!,M$1)</f>
        <v>#REF!</v>
      </c>
      <c r="N66" s="24" t="e">
        <f>SUMIFS(#REF!,#REF!,$B66,#REF!,N$1)</f>
        <v>#REF!</v>
      </c>
      <c r="O66" s="24" t="e">
        <f>SUMIFS(#REF!,#REF!,$B66,#REF!,O$1)</f>
        <v>#REF!</v>
      </c>
      <c r="P66" s="24" t="e">
        <f>SUMIFS(#REF!,#REF!,$B66,#REF!,P$1)</f>
        <v>#REF!</v>
      </c>
      <c r="Q66" s="24" t="e">
        <f>SUMIFS(#REF!,#REF!,$B66,#REF!,Q$1)</f>
        <v>#REF!</v>
      </c>
      <c r="R66" s="24" t="e">
        <f>SUMIFS(#REF!,#REF!,$B66,#REF!,R$1)</f>
        <v>#REF!</v>
      </c>
      <c r="S66" s="24" t="e">
        <f>SUMIFS(#REF!,#REF!,$B66,#REF!,S$1)</f>
        <v>#REF!</v>
      </c>
      <c r="T66" s="24" t="e">
        <f>SUMIFS(#REF!,#REF!,$B66,#REF!,T$1)</f>
        <v>#REF!</v>
      </c>
      <c r="U66" s="24" t="e">
        <f>SUMIFS(#REF!,#REF!,$B66,#REF!,U$1)</f>
        <v>#REF!</v>
      </c>
      <c r="V66" s="24" t="e">
        <f>SUMIFS(#REF!,#REF!,$B66,#REF!,V$1)</f>
        <v>#REF!</v>
      </c>
      <c r="W66" s="24" t="e">
        <f>SUMIFS(#REF!,#REF!,$B66,#REF!,W$1)</f>
        <v>#REF!</v>
      </c>
      <c r="X66" s="24" t="e">
        <f>SUMIFS(#REF!,#REF!,$B66,#REF!,X$1)</f>
        <v>#REF!</v>
      </c>
      <c r="Y66" s="24" t="e">
        <f>SUMIFS(#REF!,#REF!,$B66,#REF!,Y$1)</f>
        <v>#REF!</v>
      </c>
      <c r="Z66" s="24" t="e">
        <f>SUMIFS(#REF!,#REF!,$B66,#REF!,Z$1)</f>
        <v>#REF!</v>
      </c>
      <c r="AA66" s="24" t="e">
        <f>SUMIFS(#REF!,#REF!,$B66,#REF!,AA$1)</f>
        <v>#REF!</v>
      </c>
      <c r="AB66" s="24" t="e">
        <f>SUMIFS(#REF!,#REF!,$B66,#REF!,AB$1)</f>
        <v>#REF!</v>
      </c>
      <c r="AC66" s="24" t="e">
        <f>SUMIFS(#REF!,#REF!,$B66,#REF!,AC$1)</f>
        <v>#REF!</v>
      </c>
      <c r="AD66" s="24" t="e">
        <f>SUMIFS(#REF!,#REF!,$B66,#REF!,AD$1)</f>
        <v>#REF!</v>
      </c>
      <c r="AE66" s="24" t="e">
        <f>SUMIFS(#REF!,#REF!,$B66,#REF!,AE$1)</f>
        <v>#REF!</v>
      </c>
      <c r="AF66" s="24" t="e">
        <f>SUMIFS(#REF!,#REF!,$B66,#REF!,AF$1)</f>
        <v>#REF!</v>
      </c>
      <c r="AG66" s="24" t="e">
        <f>SUMIFS(#REF!,#REF!,$B66,#REF!,AG$1)</f>
        <v>#REF!</v>
      </c>
      <c r="AH66" s="24" t="e">
        <f>SUMIFS(#REF!,#REF!,$B66,#REF!,AH$1)</f>
        <v>#REF!</v>
      </c>
      <c r="AI66" s="24" t="e">
        <f>SUMIFS(#REF!,#REF!,$B66,#REF!,AI$1)</f>
        <v>#REF!</v>
      </c>
      <c r="AJ66" s="24" t="e">
        <f>SUMIFS(#REF!,#REF!,$B66,#REF!,AJ$1)</f>
        <v>#REF!</v>
      </c>
      <c r="AK66" s="24" t="e">
        <f>SUMIFS(#REF!,#REF!,$B66,#REF!,AK$1)</f>
        <v>#REF!</v>
      </c>
      <c r="AL66" s="24" t="e">
        <f>SUMIFS(#REF!,#REF!,$B66,#REF!,AL$1)</f>
        <v>#REF!</v>
      </c>
      <c r="AM66" s="24" t="e">
        <f>SUMIFS(#REF!,#REF!,$B66,#REF!,AM$1)</f>
        <v>#REF!</v>
      </c>
      <c r="AN66" s="24" t="e">
        <f>SUMIFS(#REF!,#REF!,$B66,#REF!,AN$1)</f>
        <v>#REF!</v>
      </c>
      <c r="AO66" s="24" t="e">
        <f>SUMIFS(#REF!,#REF!,$B66,#REF!,AO$1)</f>
        <v>#REF!</v>
      </c>
      <c r="AP66" s="24" t="e">
        <f>SUMIFS(#REF!,#REF!,$B66,#REF!,AP$1)</f>
        <v>#REF!</v>
      </c>
      <c r="AQ66" s="24" t="e">
        <f>SUMIFS(#REF!,#REF!,$B66,#REF!,AQ$1)</f>
        <v>#REF!</v>
      </c>
      <c r="AR66" s="24" t="e">
        <f>SUMIFS(#REF!,#REF!,$B66,#REF!,AR$1)</f>
        <v>#REF!</v>
      </c>
      <c r="AS66" s="24" t="e">
        <f>SUMIFS(#REF!,#REF!,$B66,#REF!,AS$1)</f>
        <v>#REF!</v>
      </c>
      <c r="AT66" s="24" t="e">
        <f>SUMIFS(#REF!,#REF!,$B66,#REF!,AT$1)</f>
        <v>#REF!</v>
      </c>
      <c r="AU66" s="24" t="e">
        <f>SUMIFS(#REF!,#REF!,$B66,#REF!,AU$1)</f>
        <v>#REF!</v>
      </c>
      <c r="AV66" s="24" t="e">
        <f>SUMIFS(#REF!,#REF!,$B66,#REF!,AV$1)</f>
        <v>#REF!</v>
      </c>
      <c r="AW66" s="24" t="e">
        <f>SUMIFS(#REF!,#REF!,$B66,#REF!,AW$1)</f>
        <v>#REF!</v>
      </c>
      <c r="AX66" s="24" t="e">
        <f>SUMIFS(#REF!,#REF!,$B66,#REF!,AX$1)</f>
        <v>#REF!</v>
      </c>
      <c r="AY66" s="24" t="e">
        <f>SUMIFS(#REF!,#REF!,$B66,#REF!,AY$1)</f>
        <v>#REF!</v>
      </c>
      <c r="AZ66" s="24" t="e">
        <f>SUMIFS(#REF!,#REF!,$B66,#REF!,AZ$1)</f>
        <v>#REF!</v>
      </c>
      <c r="BA66" s="24" t="e">
        <f>SUMIFS(#REF!,#REF!,$B66,#REF!,BA$1)</f>
        <v>#REF!</v>
      </c>
      <c r="BB66" s="24" t="e">
        <f>SUMIFS(#REF!,#REF!,$B66,#REF!,BB$1)</f>
        <v>#REF!</v>
      </c>
      <c r="BC66" s="24" t="e">
        <f>SUMIFS(#REF!,#REF!,$B66,#REF!,BC$1)</f>
        <v>#REF!</v>
      </c>
      <c r="BD66" s="24" t="e">
        <f>SUMIFS(#REF!,#REF!,$B66,#REF!,BD$1)</f>
        <v>#REF!</v>
      </c>
      <c r="BE66" s="24" t="e">
        <f>SUMIFS(#REF!,#REF!,$B66,#REF!,BE$1)</f>
        <v>#REF!</v>
      </c>
      <c r="BF66" s="24" t="e">
        <f>SUMIFS(#REF!,#REF!,$B66,#REF!,BF$1)</f>
        <v>#REF!</v>
      </c>
      <c r="BG66" s="24" t="e">
        <f>SUMIFS(#REF!,#REF!,$B66,#REF!,BG$1)</f>
        <v>#REF!</v>
      </c>
      <c r="BH66" s="24" t="e">
        <f>SUMIFS(#REF!,#REF!,$B66,#REF!,BH$1)</f>
        <v>#REF!</v>
      </c>
      <c r="BI66" s="24" t="e">
        <f>SUMIFS(#REF!,#REF!,$B66,#REF!,BI$1)</f>
        <v>#REF!</v>
      </c>
      <c r="BJ66" s="24" t="e">
        <f>SUMIFS(#REF!,#REF!,$B66,#REF!,BJ$1)</f>
        <v>#REF!</v>
      </c>
      <c r="BK66" s="24" t="e">
        <f>SUMIFS(#REF!,#REF!,$B66,#REF!,BK$1)</f>
        <v>#REF!</v>
      </c>
      <c r="BL66" s="24" t="e">
        <f>SUMIFS(#REF!,#REF!,$B66,#REF!,BL$1)</f>
        <v>#REF!</v>
      </c>
      <c r="BM66" s="24" t="e">
        <f>SUMIFS(#REF!,#REF!,$B66,#REF!,BM$1)</f>
        <v>#REF!</v>
      </c>
      <c r="BN66" s="24" t="e">
        <f>SUMIFS(#REF!,#REF!,$B66,#REF!,BN$1)</f>
        <v>#REF!</v>
      </c>
      <c r="BO66" s="24" t="e">
        <f>SUMIFS(#REF!,#REF!,$B66,#REF!,BO$1)</f>
        <v>#REF!</v>
      </c>
      <c r="BP66" s="24" t="e">
        <f>SUMIFS(#REF!,#REF!,$B66,#REF!,BP$1)</f>
        <v>#REF!</v>
      </c>
      <c r="BQ66" s="24" t="e">
        <f>SUMIFS(#REF!,#REF!,$B66,#REF!,BQ$1)</f>
        <v>#REF!</v>
      </c>
      <c r="BR66" s="24" t="e">
        <f>SUMIFS(#REF!,#REF!,$B66,#REF!,BR$1)</f>
        <v>#REF!</v>
      </c>
      <c r="BS66" s="24" t="e">
        <f>SUMIFS(#REF!,#REF!,$B66,#REF!,BS$1)</f>
        <v>#REF!</v>
      </c>
      <c r="BT66" s="24" t="e">
        <f>SUMIFS(#REF!,#REF!,$B66,#REF!,BT$1)</f>
        <v>#REF!</v>
      </c>
      <c r="BU66" s="24" t="e">
        <f>SUMIFS(#REF!,#REF!,$B66,#REF!,BU$1)</f>
        <v>#REF!</v>
      </c>
      <c r="BV66" s="24" t="e">
        <f>SUMIFS(#REF!,#REF!,$B66,#REF!,BV$1)</f>
        <v>#REF!</v>
      </c>
      <c r="BW66" s="24" t="e">
        <f>SUMIFS(#REF!,#REF!,$B66,#REF!,BW$1)</f>
        <v>#REF!</v>
      </c>
      <c r="BX66" s="24" t="e">
        <f>SUMIFS(#REF!,#REF!,$B66,#REF!,BX$1)</f>
        <v>#REF!</v>
      </c>
      <c r="BY66" s="24" t="e">
        <f>SUMIFS(#REF!,#REF!,$B66,#REF!,BY$1)</f>
        <v>#REF!</v>
      </c>
      <c r="BZ66" s="24" t="e">
        <f>SUMIFS(#REF!,#REF!,$B66,#REF!,BZ$1)</f>
        <v>#REF!</v>
      </c>
      <c r="CA66" s="24" t="e">
        <f>SUMIFS(#REF!,#REF!,$B66,#REF!,CA$1)</f>
        <v>#REF!</v>
      </c>
      <c r="CB66" s="24" t="e">
        <f>SUMIFS(#REF!,#REF!,$B66,#REF!,CB$1)</f>
        <v>#REF!</v>
      </c>
      <c r="CC66" s="24" t="e">
        <f>SUMIFS(#REF!,#REF!,$B66,#REF!,CC$1)</f>
        <v>#REF!</v>
      </c>
      <c r="CD66" s="24" t="e">
        <f>SUMIFS(#REF!,#REF!,$B66,#REF!,CD$1)</f>
        <v>#REF!</v>
      </c>
      <c r="CE66" s="24" t="e">
        <f>SUMIFS(#REF!,#REF!,$B66,#REF!,CE$1)</f>
        <v>#REF!</v>
      </c>
      <c r="CF66" s="24" t="e">
        <f>SUMIFS(#REF!,#REF!,$B66,#REF!,CF$1)</f>
        <v>#REF!</v>
      </c>
      <c r="CG66" s="19" t="e">
        <f t="shared" ref="CG66:CG129" si="1">SUM(C66:CF66)</f>
        <v>#REF!</v>
      </c>
    </row>
    <row r="67" spans="1:85" x14ac:dyDescent="0.45">
      <c r="A67" s="4" t="s">
        <v>1115</v>
      </c>
      <c r="B67" s="4" t="s">
        <v>1116</v>
      </c>
      <c r="C67" s="24" t="e">
        <f>SUMIFS(#REF!,#REF!,$B67,#REF!,C$1)</f>
        <v>#REF!</v>
      </c>
      <c r="D67" s="24" t="e">
        <f>SUMIFS(#REF!,#REF!,$B67,#REF!,D$1)</f>
        <v>#REF!</v>
      </c>
      <c r="E67" s="24" t="e">
        <f>SUMIFS(#REF!,#REF!,$B67,#REF!,E$1)</f>
        <v>#REF!</v>
      </c>
      <c r="F67" s="24" t="e">
        <f>SUMIFS(#REF!,#REF!,$B67,#REF!,F$1)</f>
        <v>#REF!</v>
      </c>
      <c r="G67" s="24" t="e">
        <f>SUMIFS(#REF!,#REF!,$B67,#REF!,G$1)</f>
        <v>#REF!</v>
      </c>
      <c r="H67" s="24" t="e">
        <f>SUMIFS(#REF!,#REF!,$B67,#REF!,H$1)</f>
        <v>#REF!</v>
      </c>
      <c r="I67" s="24" t="e">
        <f>SUMIFS(#REF!,#REF!,$B67,#REF!,I$1)</f>
        <v>#REF!</v>
      </c>
      <c r="J67" s="24" t="e">
        <f>SUMIFS(#REF!,#REF!,$B67,#REF!,J$1)</f>
        <v>#REF!</v>
      </c>
      <c r="K67" s="24" t="e">
        <f>SUMIFS(#REF!,#REF!,$B67,#REF!,K$1)</f>
        <v>#REF!</v>
      </c>
      <c r="L67" s="24" t="e">
        <f>SUMIFS(#REF!,#REF!,$B67,#REF!,L$1)</f>
        <v>#REF!</v>
      </c>
      <c r="M67" s="24" t="e">
        <f>SUMIFS(#REF!,#REF!,$B67,#REF!,M$1)</f>
        <v>#REF!</v>
      </c>
      <c r="N67" s="24" t="e">
        <f>SUMIFS(#REF!,#REF!,$B67,#REF!,N$1)</f>
        <v>#REF!</v>
      </c>
      <c r="O67" s="24" t="e">
        <f>SUMIFS(#REF!,#REF!,$B67,#REF!,O$1)</f>
        <v>#REF!</v>
      </c>
      <c r="P67" s="24" t="e">
        <f>SUMIFS(#REF!,#REF!,$B67,#REF!,P$1)</f>
        <v>#REF!</v>
      </c>
      <c r="Q67" s="24" t="e">
        <f>SUMIFS(#REF!,#REF!,$B67,#REF!,Q$1)</f>
        <v>#REF!</v>
      </c>
      <c r="R67" s="24" t="e">
        <f>SUMIFS(#REF!,#REF!,$B67,#REF!,R$1)</f>
        <v>#REF!</v>
      </c>
      <c r="S67" s="24" t="e">
        <f>SUMIFS(#REF!,#REF!,$B67,#REF!,S$1)</f>
        <v>#REF!</v>
      </c>
      <c r="T67" s="24" t="e">
        <f>SUMIFS(#REF!,#REF!,$B67,#REF!,T$1)</f>
        <v>#REF!</v>
      </c>
      <c r="U67" s="24" t="e">
        <f>SUMIFS(#REF!,#REF!,$B67,#REF!,U$1)</f>
        <v>#REF!</v>
      </c>
      <c r="V67" s="24" t="e">
        <f>SUMIFS(#REF!,#REF!,$B67,#REF!,V$1)</f>
        <v>#REF!</v>
      </c>
      <c r="W67" s="24" t="e">
        <f>SUMIFS(#REF!,#REF!,$B67,#REF!,W$1)</f>
        <v>#REF!</v>
      </c>
      <c r="X67" s="24" t="e">
        <f>SUMIFS(#REF!,#REF!,$B67,#REF!,X$1)</f>
        <v>#REF!</v>
      </c>
      <c r="Y67" s="24" t="e">
        <f>SUMIFS(#REF!,#REF!,$B67,#REF!,Y$1)</f>
        <v>#REF!</v>
      </c>
      <c r="Z67" s="24" t="e">
        <f>SUMIFS(#REF!,#REF!,$B67,#REF!,Z$1)</f>
        <v>#REF!</v>
      </c>
      <c r="AA67" s="24" t="e">
        <f>SUMIFS(#REF!,#REF!,$B67,#REF!,AA$1)</f>
        <v>#REF!</v>
      </c>
      <c r="AB67" s="24" t="e">
        <f>SUMIFS(#REF!,#REF!,$B67,#REF!,AB$1)</f>
        <v>#REF!</v>
      </c>
      <c r="AC67" s="24" t="e">
        <f>SUMIFS(#REF!,#REF!,$B67,#REF!,AC$1)</f>
        <v>#REF!</v>
      </c>
      <c r="AD67" s="24" t="e">
        <f>SUMIFS(#REF!,#REF!,$B67,#REF!,AD$1)</f>
        <v>#REF!</v>
      </c>
      <c r="AE67" s="24" t="e">
        <f>SUMIFS(#REF!,#REF!,$B67,#REF!,AE$1)</f>
        <v>#REF!</v>
      </c>
      <c r="AF67" s="24" t="e">
        <f>SUMIFS(#REF!,#REF!,$B67,#REF!,AF$1)</f>
        <v>#REF!</v>
      </c>
      <c r="AG67" s="24" t="e">
        <f>SUMIFS(#REF!,#REF!,$B67,#REF!,AG$1)</f>
        <v>#REF!</v>
      </c>
      <c r="AH67" s="24" t="e">
        <f>SUMIFS(#REF!,#REF!,$B67,#REF!,AH$1)</f>
        <v>#REF!</v>
      </c>
      <c r="AI67" s="24" t="e">
        <f>SUMIFS(#REF!,#REF!,$B67,#REF!,AI$1)</f>
        <v>#REF!</v>
      </c>
      <c r="AJ67" s="24" t="e">
        <f>SUMIFS(#REF!,#REF!,$B67,#REF!,AJ$1)</f>
        <v>#REF!</v>
      </c>
      <c r="AK67" s="24" t="e">
        <f>SUMIFS(#REF!,#REF!,$B67,#REF!,AK$1)</f>
        <v>#REF!</v>
      </c>
      <c r="AL67" s="24" t="e">
        <f>SUMIFS(#REF!,#REF!,$B67,#REF!,AL$1)</f>
        <v>#REF!</v>
      </c>
      <c r="AM67" s="24" t="e">
        <f>SUMIFS(#REF!,#REF!,$B67,#REF!,AM$1)</f>
        <v>#REF!</v>
      </c>
      <c r="AN67" s="24" t="e">
        <f>SUMIFS(#REF!,#REF!,$B67,#REF!,AN$1)</f>
        <v>#REF!</v>
      </c>
      <c r="AO67" s="24" t="e">
        <f>SUMIFS(#REF!,#REF!,$B67,#REF!,AO$1)</f>
        <v>#REF!</v>
      </c>
      <c r="AP67" s="24" t="e">
        <f>SUMIFS(#REF!,#REF!,$B67,#REF!,AP$1)</f>
        <v>#REF!</v>
      </c>
      <c r="AQ67" s="24" t="e">
        <f>SUMIFS(#REF!,#REF!,$B67,#REF!,AQ$1)</f>
        <v>#REF!</v>
      </c>
      <c r="AR67" s="24" t="e">
        <f>SUMIFS(#REF!,#REF!,$B67,#REF!,AR$1)</f>
        <v>#REF!</v>
      </c>
      <c r="AS67" s="24" t="e">
        <f>SUMIFS(#REF!,#REF!,$B67,#REF!,AS$1)</f>
        <v>#REF!</v>
      </c>
      <c r="AT67" s="24" t="e">
        <f>SUMIFS(#REF!,#REF!,$B67,#REF!,AT$1)</f>
        <v>#REF!</v>
      </c>
      <c r="AU67" s="24" t="e">
        <f>SUMIFS(#REF!,#REF!,$B67,#REF!,AU$1)</f>
        <v>#REF!</v>
      </c>
      <c r="AV67" s="24" t="e">
        <f>SUMIFS(#REF!,#REF!,$B67,#REF!,AV$1)</f>
        <v>#REF!</v>
      </c>
      <c r="AW67" s="24" t="e">
        <f>SUMIFS(#REF!,#REF!,$B67,#REF!,AW$1)</f>
        <v>#REF!</v>
      </c>
      <c r="AX67" s="24" t="e">
        <f>SUMIFS(#REF!,#REF!,$B67,#REF!,AX$1)</f>
        <v>#REF!</v>
      </c>
      <c r="AY67" s="24" t="e">
        <f>SUMIFS(#REF!,#REF!,$B67,#REF!,AY$1)</f>
        <v>#REF!</v>
      </c>
      <c r="AZ67" s="24" t="e">
        <f>SUMIFS(#REF!,#REF!,$B67,#REF!,AZ$1)</f>
        <v>#REF!</v>
      </c>
      <c r="BA67" s="24" t="e">
        <f>SUMIFS(#REF!,#REF!,$B67,#REF!,BA$1)</f>
        <v>#REF!</v>
      </c>
      <c r="BB67" s="24" t="e">
        <f>SUMIFS(#REF!,#REF!,$B67,#REF!,BB$1)</f>
        <v>#REF!</v>
      </c>
      <c r="BC67" s="24" t="e">
        <f>SUMIFS(#REF!,#REF!,$B67,#REF!,BC$1)</f>
        <v>#REF!</v>
      </c>
      <c r="BD67" s="24" t="e">
        <f>SUMIFS(#REF!,#REF!,$B67,#REF!,BD$1)</f>
        <v>#REF!</v>
      </c>
      <c r="BE67" s="24" t="e">
        <f>SUMIFS(#REF!,#REF!,$B67,#REF!,BE$1)</f>
        <v>#REF!</v>
      </c>
      <c r="BF67" s="24" t="e">
        <f>SUMIFS(#REF!,#REF!,$B67,#REF!,BF$1)</f>
        <v>#REF!</v>
      </c>
      <c r="BG67" s="24" t="e">
        <f>SUMIFS(#REF!,#REF!,$B67,#REF!,BG$1)</f>
        <v>#REF!</v>
      </c>
      <c r="BH67" s="24" t="e">
        <f>SUMIFS(#REF!,#REF!,$B67,#REF!,BH$1)</f>
        <v>#REF!</v>
      </c>
      <c r="BI67" s="24" t="e">
        <f>SUMIFS(#REF!,#REF!,$B67,#REF!,BI$1)</f>
        <v>#REF!</v>
      </c>
      <c r="BJ67" s="24" t="e">
        <f>SUMIFS(#REF!,#REF!,$B67,#REF!,BJ$1)</f>
        <v>#REF!</v>
      </c>
      <c r="BK67" s="24" t="e">
        <f>SUMIFS(#REF!,#REF!,$B67,#REF!,BK$1)</f>
        <v>#REF!</v>
      </c>
      <c r="BL67" s="24" t="e">
        <f>SUMIFS(#REF!,#REF!,$B67,#REF!,BL$1)</f>
        <v>#REF!</v>
      </c>
      <c r="BM67" s="24" t="e">
        <f>SUMIFS(#REF!,#REF!,$B67,#REF!,BM$1)</f>
        <v>#REF!</v>
      </c>
      <c r="BN67" s="24" t="e">
        <f>SUMIFS(#REF!,#REF!,$B67,#REF!,BN$1)</f>
        <v>#REF!</v>
      </c>
      <c r="BO67" s="24" t="e">
        <f>SUMIFS(#REF!,#REF!,$B67,#REF!,BO$1)</f>
        <v>#REF!</v>
      </c>
      <c r="BP67" s="24" t="e">
        <f>SUMIFS(#REF!,#REF!,$B67,#REF!,BP$1)</f>
        <v>#REF!</v>
      </c>
      <c r="BQ67" s="24" t="e">
        <f>SUMIFS(#REF!,#REF!,$B67,#REF!,BQ$1)</f>
        <v>#REF!</v>
      </c>
      <c r="BR67" s="24" t="e">
        <f>SUMIFS(#REF!,#REF!,$B67,#REF!,BR$1)</f>
        <v>#REF!</v>
      </c>
      <c r="BS67" s="24" t="e">
        <f>SUMIFS(#REF!,#REF!,$B67,#REF!,BS$1)</f>
        <v>#REF!</v>
      </c>
      <c r="BT67" s="24" t="e">
        <f>SUMIFS(#REF!,#REF!,$B67,#REF!,BT$1)</f>
        <v>#REF!</v>
      </c>
      <c r="BU67" s="24" t="e">
        <f>SUMIFS(#REF!,#REF!,$B67,#REF!,BU$1)</f>
        <v>#REF!</v>
      </c>
      <c r="BV67" s="24" t="e">
        <f>SUMIFS(#REF!,#REF!,$B67,#REF!,BV$1)</f>
        <v>#REF!</v>
      </c>
      <c r="BW67" s="24" t="e">
        <f>SUMIFS(#REF!,#REF!,$B67,#REF!,BW$1)</f>
        <v>#REF!</v>
      </c>
      <c r="BX67" s="24" t="e">
        <f>SUMIFS(#REF!,#REF!,$B67,#REF!,BX$1)</f>
        <v>#REF!</v>
      </c>
      <c r="BY67" s="24" t="e">
        <f>SUMIFS(#REF!,#REF!,$B67,#REF!,BY$1)</f>
        <v>#REF!</v>
      </c>
      <c r="BZ67" s="24" t="e">
        <f>SUMIFS(#REF!,#REF!,$B67,#REF!,BZ$1)</f>
        <v>#REF!</v>
      </c>
      <c r="CA67" s="24" t="e">
        <f>SUMIFS(#REF!,#REF!,$B67,#REF!,CA$1)</f>
        <v>#REF!</v>
      </c>
      <c r="CB67" s="24" t="e">
        <f>SUMIFS(#REF!,#REF!,$B67,#REF!,CB$1)</f>
        <v>#REF!</v>
      </c>
      <c r="CC67" s="24" t="e">
        <f>SUMIFS(#REF!,#REF!,$B67,#REF!,CC$1)</f>
        <v>#REF!</v>
      </c>
      <c r="CD67" s="24" t="e">
        <f>SUMIFS(#REF!,#REF!,$B67,#REF!,CD$1)</f>
        <v>#REF!</v>
      </c>
      <c r="CE67" s="24" t="e">
        <f>SUMIFS(#REF!,#REF!,$B67,#REF!,CE$1)</f>
        <v>#REF!</v>
      </c>
      <c r="CF67" s="24" t="e">
        <f>SUMIFS(#REF!,#REF!,$B67,#REF!,CF$1)</f>
        <v>#REF!</v>
      </c>
      <c r="CG67" s="19" t="e">
        <f t="shared" si="1"/>
        <v>#REF!</v>
      </c>
    </row>
    <row r="68" spans="1:85" x14ac:dyDescent="0.45">
      <c r="A68" s="4" t="s">
        <v>1117</v>
      </c>
      <c r="B68" s="4" t="s">
        <v>1118</v>
      </c>
      <c r="C68" s="24" t="e">
        <f>SUMIFS(#REF!,#REF!,$B68,#REF!,C$1)</f>
        <v>#REF!</v>
      </c>
      <c r="D68" s="24" t="e">
        <f>SUMIFS(#REF!,#REF!,$B68,#REF!,D$1)</f>
        <v>#REF!</v>
      </c>
      <c r="E68" s="24" t="e">
        <f>SUMIFS(#REF!,#REF!,$B68,#REF!,E$1)</f>
        <v>#REF!</v>
      </c>
      <c r="F68" s="24" t="e">
        <f>SUMIFS(#REF!,#REF!,$B68,#REF!,F$1)</f>
        <v>#REF!</v>
      </c>
      <c r="G68" s="24" t="e">
        <f>SUMIFS(#REF!,#REF!,$B68,#REF!,G$1)</f>
        <v>#REF!</v>
      </c>
      <c r="H68" s="24" t="e">
        <f>SUMIFS(#REF!,#REF!,$B68,#REF!,H$1)</f>
        <v>#REF!</v>
      </c>
      <c r="I68" s="24" t="e">
        <f>SUMIFS(#REF!,#REF!,$B68,#REF!,I$1)</f>
        <v>#REF!</v>
      </c>
      <c r="J68" s="24" t="e">
        <f>SUMIFS(#REF!,#REF!,$B68,#REF!,J$1)</f>
        <v>#REF!</v>
      </c>
      <c r="K68" s="24" t="e">
        <f>SUMIFS(#REF!,#REF!,$B68,#REF!,K$1)</f>
        <v>#REF!</v>
      </c>
      <c r="L68" s="24" t="e">
        <f>SUMIFS(#REF!,#REF!,$B68,#REF!,L$1)</f>
        <v>#REF!</v>
      </c>
      <c r="M68" s="24" t="e">
        <f>SUMIFS(#REF!,#REF!,$B68,#REF!,M$1)</f>
        <v>#REF!</v>
      </c>
      <c r="N68" s="24" t="e">
        <f>SUMIFS(#REF!,#REF!,$B68,#REF!,N$1)</f>
        <v>#REF!</v>
      </c>
      <c r="O68" s="24" t="e">
        <f>SUMIFS(#REF!,#REF!,$B68,#REF!,O$1)</f>
        <v>#REF!</v>
      </c>
      <c r="P68" s="24" t="e">
        <f>SUMIFS(#REF!,#REF!,$B68,#REF!,P$1)</f>
        <v>#REF!</v>
      </c>
      <c r="Q68" s="24" t="e">
        <f>SUMIFS(#REF!,#REF!,$B68,#REF!,Q$1)</f>
        <v>#REF!</v>
      </c>
      <c r="R68" s="24" t="e">
        <f>SUMIFS(#REF!,#REF!,$B68,#REF!,R$1)</f>
        <v>#REF!</v>
      </c>
      <c r="S68" s="24" t="e">
        <f>SUMIFS(#REF!,#REF!,$B68,#REF!,S$1)</f>
        <v>#REF!</v>
      </c>
      <c r="T68" s="24" t="e">
        <f>SUMIFS(#REF!,#REF!,$B68,#REF!,T$1)</f>
        <v>#REF!</v>
      </c>
      <c r="U68" s="24" t="e">
        <f>SUMIFS(#REF!,#REF!,$B68,#REF!,U$1)</f>
        <v>#REF!</v>
      </c>
      <c r="V68" s="24" t="e">
        <f>SUMIFS(#REF!,#REF!,$B68,#REF!,V$1)</f>
        <v>#REF!</v>
      </c>
      <c r="W68" s="24" t="e">
        <f>SUMIFS(#REF!,#REF!,$B68,#REF!,W$1)</f>
        <v>#REF!</v>
      </c>
      <c r="X68" s="24" t="e">
        <f>SUMIFS(#REF!,#REF!,$B68,#REF!,X$1)</f>
        <v>#REF!</v>
      </c>
      <c r="Y68" s="24" t="e">
        <f>SUMIFS(#REF!,#REF!,$B68,#REF!,Y$1)</f>
        <v>#REF!</v>
      </c>
      <c r="Z68" s="24" t="e">
        <f>SUMIFS(#REF!,#REF!,$B68,#REF!,Z$1)</f>
        <v>#REF!</v>
      </c>
      <c r="AA68" s="24" t="e">
        <f>SUMIFS(#REF!,#REF!,$B68,#REF!,AA$1)</f>
        <v>#REF!</v>
      </c>
      <c r="AB68" s="24" t="e">
        <f>SUMIFS(#REF!,#REF!,$B68,#REF!,AB$1)</f>
        <v>#REF!</v>
      </c>
      <c r="AC68" s="24" t="e">
        <f>SUMIFS(#REF!,#REF!,$B68,#REF!,AC$1)</f>
        <v>#REF!</v>
      </c>
      <c r="AD68" s="24" t="e">
        <f>SUMIFS(#REF!,#REF!,$B68,#REF!,AD$1)</f>
        <v>#REF!</v>
      </c>
      <c r="AE68" s="24" t="e">
        <f>SUMIFS(#REF!,#REF!,$B68,#REF!,AE$1)</f>
        <v>#REF!</v>
      </c>
      <c r="AF68" s="24" t="e">
        <f>SUMIFS(#REF!,#REF!,$B68,#REF!,AF$1)</f>
        <v>#REF!</v>
      </c>
      <c r="AG68" s="24" t="e">
        <f>SUMIFS(#REF!,#REF!,$B68,#REF!,AG$1)</f>
        <v>#REF!</v>
      </c>
      <c r="AH68" s="24" t="e">
        <f>SUMIFS(#REF!,#REF!,$B68,#REF!,AH$1)</f>
        <v>#REF!</v>
      </c>
      <c r="AI68" s="24" t="e">
        <f>SUMIFS(#REF!,#REF!,$B68,#REF!,AI$1)</f>
        <v>#REF!</v>
      </c>
      <c r="AJ68" s="24" t="e">
        <f>SUMIFS(#REF!,#REF!,$B68,#REF!,AJ$1)</f>
        <v>#REF!</v>
      </c>
      <c r="AK68" s="24" t="e">
        <f>SUMIFS(#REF!,#REF!,$B68,#REF!,AK$1)</f>
        <v>#REF!</v>
      </c>
      <c r="AL68" s="24" t="e">
        <f>SUMIFS(#REF!,#REF!,$B68,#REF!,AL$1)</f>
        <v>#REF!</v>
      </c>
      <c r="AM68" s="24" t="e">
        <f>SUMIFS(#REF!,#REF!,$B68,#REF!,AM$1)</f>
        <v>#REF!</v>
      </c>
      <c r="AN68" s="24" t="e">
        <f>SUMIFS(#REF!,#REF!,$B68,#REF!,AN$1)</f>
        <v>#REF!</v>
      </c>
      <c r="AO68" s="24" t="e">
        <f>SUMIFS(#REF!,#REF!,$B68,#REF!,AO$1)</f>
        <v>#REF!</v>
      </c>
      <c r="AP68" s="24" t="e">
        <f>SUMIFS(#REF!,#REF!,$B68,#REF!,AP$1)</f>
        <v>#REF!</v>
      </c>
      <c r="AQ68" s="24" t="e">
        <f>SUMIFS(#REF!,#REF!,$B68,#REF!,AQ$1)</f>
        <v>#REF!</v>
      </c>
      <c r="AR68" s="24" t="e">
        <f>SUMIFS(#REF!,#REF!,$B68,#REF!,AR$1)</f>
        <v>#REF!</v>
      </c>
      <c r="AS68" s="24" t="e">
        <f>SUMIFS(#REF!,#REF!,$B68,#REF!,AS$1)</f>
        <v>#REF!</v>
      </c>
      <c r="AT68" s="24" t="e">
        <f>SUMIFS(#REF!,#REF!,$B68,#REF!,AT$1)</f>
        <v>#REF!</v>
      </c>
      <c r="AU68" s="24" t="e">
        <f>SUMIFS(#REF!,#REF!,$B68,#REF!,AU$1)</f>
        <v>#REF!</v>
      </c>
      <c r="AV68" s="24" t="e">
        <f>SUMIFS(#REF!,#REF!,$B68,#REF!,AV$1)</f>
        <v>#REF!</v>
      </c>
      <c r="AW68" s="24" t="e">
        <f>SUMIFS(#REF!,#REF!,$B68,#REF!,AW$1)</f>
        <v>#REF!</v>
      </c>
      <c r="AX68" s="24" t="e">
        <f>SUMIFS(#REF!,#REF!,$B68,#REF!,AX$1)</f>
        <v>#REF!</v>
      </c>
      <c r="AY68" s="24" t="e">
        <f>SUMIFS(#REF!,#REF!,$B68,#REF!,AY$1)</f>
        <v>#REF!</v>
      </c>
      <c r="AZ68" s="24" t="e">
        <f>SUMIFS(#REF!,#REF!,$B68,#REF!,AZ$1)</f>
        <v>#REF!</v>
      </c>
      <c r="BA68" s="24" t="e">
        <f>SUMIFS(#REF!,#REF!,$B68,#REF!,BA$1)</f>
        <v>#REF!</v>
      </c>
      <c r="BB68" s="24" t="e">
        <f>SUMIFS(#REF!,#REF!,$B68,#REF!,BB$1)</f>
        <v>#REF!</v>
      </c>
      <c r="BC68" s="24" t="e">
        <f>SUMIFS(#REF!,#REF!,$B68,#REF!,BC$1)</f>
        <v>#REF!</v>
      </c>
      <c r="BD68" s="24" t="e">
        <f>SUMIFS(#REF!,#REF!,$B68,#REF!,BD$1)</f>
        <v>#REF!</v>
      </c>
      <c r="BE68" s="24" t="e">
        <f>SUMIFS(#REF!,#REF!,$B68,#REF!,BE$1)</f>
        <v>#REF!</v>
      </c>
      <c r="BF68" s="24" t="e">
        <f>SUMIFS(#REF!,#REF!,$B68,#REF!,BF$1)</f>
        <v>#REF!</v>
      </c>
      <c r="BG68" s="24" t="e">
        <f>SUMIFS(#REF!,#REF!,$B68,#REF!,BG$1)</f>
        <v>#REF!</v>
      </c>
      <c r="BH68" s="24" t="e">
        <f>SUMIFS(#REF!,#REF!,$B68,#REF!,BH$1)</f>
        <v>#REF!</v>
      </c>
      <c r="BI68" s="24" t="e">
        <f>SUMIFS(#REF!,#REF!,$B68,#REF!,BI$1)</f>
        <v>#REF!</v>
      </c>
      <c r="BJ68" s="24" t="e">
        <f>SUMIFS(#REF!,#REF!,$B68,#REF!,BJ$1)</f>
        <v>#REF!</v>
      </c>
      <c r="BK68" s="24" t="e">
        <f>SUMIFS(#REF!,#REF!,$B68,#REF!,BK$1)</f>
        <v>#REF!</v>
      </c>
      <c r="BL68" s="24" t="e">
        <f>SUMIFS(#REF!,#REF!,$B68,#REF!,BL$1)</f>
        <v>#REF!</v>
      </c>
      <c r="BM68" s="24" t="e">
        <f>SUMIFS(#REF!,#REF!,$B68,#REF!,BM$1)</f>
        <v>#REF!</v>
      </c>
      <c r="BN68" s="24" t="e">
        <f>SUMIFS(#REF!,#REF!,$B68,#REF!,BN$1)</f>
        <v>#REF!</v>
      </c>
      <c r="BO68" s="24" t="e">
        <f>SUMIFS(#REF!,#REF!,$B68,#REF!,BO$1)</f>
        <v>#REF!</v>
      </c>
      <c r="BP68" s="24" t="e">
        <f>SUMIFS(#REF!,#REF!,$B68,#REF!,BP$1)</f>
        <v>#REF!</v>
      </c>
      <c r="BQ68" s="24" t="e">
        <f>SUMIFS(#REF!,#REF!,$B68,#REF!,BQ$1)</f>
        <v>#REF!</v>
      </c>
      <c r="BR68" s="24" t="e">
        <f>SUMIFS(#REF!,#REF!,$B68,#REF!,BR$1)</f>
        <v>#REF!</v>
      </c>
      <c r="BS68" s="24" t="e">
        <f>SUMIFS(#REF!,#REF!,$B68,#REF!,BS$1)</f>
        <v>#REF!</v>
      </c>
      <c r="BT68" s="24" t="e">
        <f>SUMIFS(#REF!,#REF!,$B68,#REF!,BT$1)</f>
        <v>#REF!</v>
      </c>
      <c r="BU68" s="24" t="e">
        <f>SUMIFS(#REF!,#REF!,$B68,#REF!,BU$1)</f>
        <v>#REF!</v>
      </c>
      <c r="BV68" s="24" t="e">
        <f>SUMIFS(#REF!,#REF!,$B68,#REF!,BV$1)</f>
        <v>#REF!</v>
      </c>
      <c r="BW68" s="24" t="e">
        <f>SUMIFS(#REF!,#REF!,$B68,#REF!,BW$1)</f>
        <v>#REF!</v>
      </c>
      <c r="BX68" s="24" t="e">
        <f>SUMIFS(#REF!,#REF!,$B68,#REF!,BX$1)</f>
        <v>#REF!</v>
      </c>
      <c r="BY68" s="24" t="e">
        <f>SUMIFS(#REF!,#REF!,$B68,#REF!,BY$1)</f>
        <v>#REF!</v>
      </c>
      <c r="BZ68" s="24" t="e">
        <f>SUMIFS(#REF!,#REF!,$B68,#REF!,BZ$1)</f>
        <v>#REF!</v>
      </c>
      <c r="CA68" s="24" t="e">
        <f>SUMIFS(#REF!,#REF!,$B68,#REF!,CA$1)</f>
        <v>#REF!</v>
      </c>
      <c r="CB68" s="24" t="e">
        <f>SUMIFS(#REF!,#REF!,$B68,#REF!,CB$1)</f>
        <v>#REF!</v>
      </c>
      <c r="CC68" s="24" t="e">
        <f>SUMIFS(#REF!,#REF!,$B68,#REF!,CC$1)</f>
        <v>#REF!</v>
      </c>
      <c r="CD68" s="24" t="e">
        <f>SUMIFS(#REF!,#REF!,$B68,#REF!,CD$1)</f>
        <v>#REF!</v>
      </c>
      <c r="CE68" s="24" t="e">
        <f>SUMIFS(#REF!,#REF!,$B68,#REF!,CE$1)</f>
        <v>#REF!</v>
      </c>
      <c r="CF68" s="24" t="e">
        <f>SUMIFS(#REF!,#REF!,$B68,#REF!,CF$1)</f>
        <v>#REF!</v>
      </c>
      <c r="CG68" s="19" t="e">
        <f t="shared" si="1"/>
        <v>#REF!</v>
      </c>
    </row>
    <row r="69" spans="1:85" x14ac:dyDescent="0.45">
      <c r="A69" s="4" t="s">
        <v>1119</v>
      </c>
      <c r="B69" s="4" t="s">
        <v>1120</v>
      </c>
      <c r="C69" s="24" t="e">
        <f>SUMIFS(#REF!,#REF!,$B69,#REF!,C$1)</f>
        <v>#REF!</v>
      </c>
      <c r="D69" s="24" t="e">
        <f>SUMIFS(#REF!,#REF!,$B69,#REF!,D$1)</f>
        <v>#REF!</v>
      </c>
      <c r="E69" s="24" t="e">
        <f>SUMIFS(#REF!,#REF!,$B69,#REF!,E$1)</f>
        <v>#REF!</v>
      </c>
      <c r="F69" s="24" t="e">
        <f>SUMIFS(#REF!,#REF!,$B69,#REF!,F$1)</f>
        <v>#REF!</v>
      </c>
      <c r="G69" s="24" t="e">
        <f>SUMIFS(#REF!,#REF!,$B69,#REF!,G$1)</f>
        <v>#REF!</v>
      </c>
      <c r="H69" s="24" t="e">
        <f>SUMIFS(#REF!,#REF!,$B69,#REF!,H$1)</f>
        <v>#REF!</v>
      </c>
      <c r="I69" s="24" t="e">
        <f>SUMIFS(#REF!,#REF!,$B69,#REF!,I$1)</f>
        <v>#REF!</v>
      </c>
      <c r="J69" s="24" t="e">
        <f>SUMIFS(#REF!,#REF!,$B69,#REF!,J$1)</f>
        <v>#REF!</v>
      </c>
      <c r="K69" s="24" t="e">
        <f>SUMIFS(#REF!,#REF!,$B69,#REF!,K$1)</f>
        <v>#REF!</v>
      </c>
      <c r="L69" s="24" t="e">
        <f>SUMIFS(#REF!,#REF!,$B69,#REF!,L$1)</f>
        <v>#REF!</v>
      </c>
      <c r="M69" s="24" t="e">
        <f>SUMIFS(#REF!,#REF!,$B69,#REF!,M$1)</f>
        <v>#REF!</v>
      </c>
      <c r="N69" s="24" t="e">
        <f>SUMIFS(#REF!,#REF!,$B69,#REF!,N$1)</f>
        <v>#REF!</v>
      </c>
      <c r="O69" s="24" t="e">
        <f>SUMIFS(#REF!,#REF!,$B69,#REF!,O$1)</f>
        <v>#REF!</v>
      </c>
      <c r="P69" s="24" t="e">
        <f>SUMIFS(#REF!,#REF!,$B69,#REF!,P$1)</f>
        <v>#REF!</v>
      </c>
      <c r="Q69" s="24" t="e">
        <f>SUMIFS(#REF!,#REF!,$B69,#REF!,Q$1)</f>
        <v>#REF!</v>
      </c>
      <c r="R69" s="24" t="e">
        <f>SUMIFS(#REF!,#REF!,$B69,#REF!,R$1)</f>
        <v>#REF!</v>
      </c>
      <c r="S69" s="24" t="e">
        <f>SUMIFS(#REF!,#REF!,$B69,#REF!,S$1)</f>
        <v>#REF!</v>
      </c>
      <c r="T69" s="24" t="e">
        <f>SUMIFS(#REF!,#REF!,$B69,#REF!,T$1)</f>
        <v>#REF!</v>
      </c>
      <c r="U69" s="24" t="e">
        <f>SUMIFS(#REF!,#REF!,$B69,#REF!,U$1)</f>
        <v>#REF!</v>
      </c>
      <c r="V69" s="24" t="e">
        <f>SUMIFS(#REF!,#REF!,$B69,#REF!,V$1)</f>
        <v>#REF!</v>
      </c>
      <c r="W69" s="24" t="e">
        <f>SUMIFS(#REF!,#REF!,$B69,#REF!,W$1)</f>
        <v>#REF!</v>
      </c>
      <c r="X69" s="24" t="e">
        <f>SUMIFS(#REF!,#REF!,$B69,#REF!,X$1)</f>
        <v>#REF!</v>
      </c>
      <c r="Y69" s="24" t="e">
        <f>SUMIFS(#REF!,#REF!,$B69,#REF!,Y$1)</f>
        <v>#REF!</v>
      </c>
      <c r="Z69" s="24" t="e">
        <f>SUMIFS(#REF!,#REF!,$B69,#REF!,Z$1)</f>
        <v>#REF!</v>
      </c>
      <c r="AA69" s="24" t="e">
        <f>SUMIFS(#REF!,#REF!,$B69,#REF!,AA$1)</f>
        <v>#REF!</v>
      </c>
      <c r="AB69" s="24" t="e">
        <f>SUMIFS(#REF!,#REF!,$B69,#REF!,AB$1)</f>
        <v>#REF!</v>
      </c>
      <c r="AC69" s="24" t="e">
        <f>SUMIFS(#REF!,#REF!,$B69,#REF!,AC$1)</f>
        <v>#REF!</v>
      </c>
      <c r="AD69" s="24" t="e">
        <f>SUMIFS(#REF!,#REF!,$B69,#REF!,AD$1)</f>
        <v>#REF!</v>
      </c>
      <c r="AE69" s="24" t="e">
        <f>SUMIFS(#REF!,#REF!,$B69,#REF!,AE$1)</f>
        <v>#REF!</v>
      </c>
      <c r="AF69" s="24" t="e">
        <f>SUMIFS(#REF!,#REF!,$B69,#REF!,AF$1)</f>
        <v>#REF!</v>
      </c>
      <c r="AG69" s="24" t="e">
        <f>SUMIFS(#REF!,#REF!,$B69,#REF!,AG$1)</f>
        <v>#REF!</v>
      </c>
      <c r="AH69" s="24" t="e">
        <f>SUMIFS(#REF!,#REF!,$B69,#REF!,AH$1)</f>
        <v>#REF!</v>
      </c>
      <c r="AI69" s="24" t="e">
        <f>SUMIFS(#REF!,#REF!,$B69,#REF!,AI$1)</f>
        <v>#REF!</v>
      </c>
      <c r="AJ69" s="24" t="e">
        <f>SUMIFS(#REF!,#REF!,$B69,#REF!,AJ$1)</f>
        <v>#REF!</v>
      </c>
      <c r="AK69" s="24" t="e">
        <f>SUMIFS(#REF!,#REF!,$B69,#REF!,AK$1)</f>
        <v>#REF!</v>
      </c>
      <c r="AL69" s="24" t="e">
        <f>SUMIFS(#REF!,#REF!,$B69,#REF!,AL$1)</f>
        <v>#REF!</v>
      </c>
      <c r="AM69" s="24" t="e">
        <f>SUMIFS(#REF!,#REF!,$B69,#REF!,AM$1)</f>
        <v>#REF!</v>
      </c>
      <c r="AN69" s="24" t="e">
        <f>SUMIFS(#REF!,#REF!,$B69,#REF!,AN$1)</f>
        <v>#REF!</v>
      </c>
      <c r="AO69" s="24" t="e">
        <f>SUMIFS(#REF!,#REF!,$B69,#REF!,AO$1)</f>
        <v>#REF!</v>
      </c>
      <c r="AP69" s="24" t="e">
        <f>SUMIFS(#REF!,#REF!,$B69,#REF!,AP$1)</f>
        <v>#REF!</v>
      </c>
      <c r="AQ69" s="24" t="e">
        <f>SUMIFS(#REF!,#REF!,$B69,#REF!,AQ$1)</f>
        <v>#REF!</v>
      </c>
      <c r="AR69" s="24" t="e">
        <f>SUMIFS(#REF!,#REF!,$B69,#REF!,AR$1)</f>
        <v>#REF!</v>
      </c>
      <c r="AS69" s="24" t="e">
        <f>SUMIFS(#REF!,#REF!,$B69,#REF!,AS$1)</f>
        <v>#REF!</v>
      </c>
      <c r="AT69" s="24" t="e">
        <f>SUMIFS(#REF!,#REF!,$B69,#REF!,AT$1)</f>
        <v>#REF!</v>
      </c>
      <c r="AU69" s="24" t="e">
        <f>SUMIFS(#REF!,#REF!,$B69,#REF!,AU$1)</f>
        <v>#REF!</v>
      </c>
      <c r="AV69" s="24" t="e">
        <f>SUMIFS(#REF!,#REF!,$B69,#REF!,AV$1)</f>
        <v>#REF!</v>
      </c>
      <c r="AW69" s="24" t="e">
        <f>SUMIFS(#REF!,#REF!,$B69,#REF!,AW$1)</f>
        <v>#REF!</v>
      </c>
      <c r="AX69" s="24" t="e">
        <f>SUMIFS(#REF!,#REF!,$B69,#REF!,AX$1)</f>
        <v>#REF!</v>
      </c>
      <c r="AY69" s="24" t="e">
        <f>SUMIFS(#REF!,#REF!,$B69,#REF!,AY$1)</f>
        <v>#REF!</v>
      </c>
      <c r="AZ69" s="24" t="e">
        <f>SUMIFS(#REF!,#REF!,$B69,#REF!,AZ$1)</f>
        <v>#REF!</v>
      </c>
      <c r="BA69" s="24" t="e">
        <f>SUMIFS(#REF!,#REF!,$B69,#REF!,BA$1)</f>
        <v>#REF!</v>
      </c>
      <c r="BB69" s="24" t="e">
        <f>SUMIFS(#REF!,#REF!,$B69,#REF!,BB$1)</f>
        <v>#REF!</v>
      </c>
      <c r="BC69" s="24" t="e">
        <f>SUMIFS(#REF!,#REF!,$B69,#REF!,BC$1)</f>
        <v>#REF!</v>
      </c>
      <c r="BD69" s="24" t="e">
        <f>SUMIFS(#REF!,#REF!,$B69,#REF!,BD$1)</f>
        <v>#REF!</v>
      </c>
      <c r="BE69" s="24" t="e">
        <f>SUMIFS(#REF!,#REF!,$B69,#REF!,BE$1)</f>
        <v>#REF!</v>
      </c>
      <c r="BF69" s="24" t="e">
        <f>SUMIFS(#REF!,#REF!,$B69,#REF!,BF$1)</f>
        <v>#REF!</v>
      </c>
      <c r="BG69" s="24" t="e">
        <f>SUMIFS(#REF!,#REF!,$B69,#REF!,BG$1)</f>
        <v>#REF!</v>
      </c>
      <c r="BH69" s="24" t="e">
        <f>SUMIFS(#REF!,#REF!,$B69,#REF!,BH$1)</f>
        <v>#REF!</v>
      </c>
      <c r="BI69" s="24" t="e">
        <f>SUMIFS(#REF!,#REF!,$B69,#REF!,BI$1)</f>
        <v>#REF!</v>
      </c>
      <c r="BJ69" s="24" t="e">
        <f>SUMIFS(#REF!,#REF!,$B69,#REF!,BJ$1)</f>
        <v>#REF!</v>
      </c>
      <c r="BK69" s="24" t="e">
        <f>SUMIFS(#REF!,#REF!,$B69,#REF!,BK$1)</f>
        <v>#REF!</v>
      </c>
      <c r="BL69" s="24" t="e">
        <f>SUMIFS(#REF!,#REF!,$B69,#REF!,BL$1)</f>
        <v>#REF!</v>
      </c>
      <c r="BM69" s="24" t="e">
        <f>SUMIFS(#REF!,#REF!,$B69,#REF!,BM$1)</f>
        <v>#REF!</v>
      </c>
      <c r="BN69" s="24" t="e">
        <f>SUMIFS(#REF!,#REF!,$B69,#REF!,BN$1)</f>
        <v>#REF!</v>
      </c>
      <c r="BO69" s="24" t="e">
        <f>SUMIFS(#REF!,#REF!,$B69,#REF!,BO$1)</f>
        <v>#REF!</v>
      </c>
      <c r="BP69" s="24" t="e">
        <f>SUMIFS(#REF!,#REF!,$B69,#REF!,BP$1)</f>
        <v>#REF!</v>
      </c>
      <c r="BQ69" s="24" t="e">
        <f>SUMIFS(#REF!,#REF!,$B69,#REF!,BQ$1)</f>
        <v>#REF!</v>
      </c>
      <c r="BR69" s="24" t="e">
        <f>SUMIFS(#REF!,#REF!,$B69,#REF!,BR$1)</f>
        <v>#REF!</v>
      </c>
      <c r="BS69" s="24" t="e">
        <f>SUMIFS(#REF!,#REF!,$B69,#REF!,BS$1)</f>
        <v>#REF!</v>
      </c>
      <c r="BT69" s="24" t="e">
        <f>SUMIFS(#REF!,#REF!,$B69,#REF!,BT$1)</f>
        <v>#REF!</v>
      </c>
      <c r="BU69" s="24" t="e">
        <f>SUMIFS(#REF!,#REF!,$B69,#REF!,BU$1)</f>
        <v>#REF!</v>
      </c>
      <c r="BV69" s="24" t="e">
        <f>SUMIFS(#REF!,#REF!,$B69,#REF!,BV$1)</f>
        <v>#REF!</v>
      </c>
      <c r="BW69" s="24" t="e">
        <f>SUMIFS(#REF!,#REF!,$B69,#REF!,BW$1)</f>
        <v>#REF!</v>
      </c>
      <c r="BX69" s="24" t="e">
        <f>SUMIFS(#REF!,#REF!,$B69,#REF!,BX$1)</f>
        <v>#REF!</v>
      </c>
      <c r="BY69" s="24" t="e">
        <f>SUMIFS(#REF!,#REF!,$B69,#REF!,BY$1)</f>
        <v>#REF!</v>
      </c>
      <c r="BZ69" s="24" t="e">
        <f>SUMIFS(#REF!,#REF!,$B69,#REF!,BZ$1)</f>
        <v>#REF!</v>
      </c>
      <c r="CA69" s="24" t="e">
        <f>SUMIFS(#REF!,#REF!,$B69,#REF!,CA$1)</f>
        <v>#REF!</v>
      </c>
      <c r="CB69" s="24" t="e">
        <f>SUMIFS(#REF!,#REF!,$B69,#REF!,CB$1)</f>
        <v>#REF!</v>
      </c>
      <c r="CC69" s="24" t="e">
        <f>SUMIFS(#REF!,#REF!,$B69,#REF!,CC$1)</f>
        <v>#REF!</v>
      </c>
      <c r="CD69" s="24" t="e">
        <f>SUMIFS(#REF!,#REF!,$B69,#REF!,CD$1)</f>
        <v>#REF!</v>
      </c>
      <c r="CE69" s="24" t="e">
        <f>SUMIFS(#REF!,#REF!,$B69,#REF!,CE$1)</f>
        <v>#REF!</v>
      </c>
      <c r="CF69" s="24" t="e">
        <f>SUMIFS(#REF!,#REF!,$B69,#REF!,CF$1)</f>
        <v>#REF!</v>
      </c>
      <c r="CG69" s="19" t="e">
        <f t="shared" si="1"/>
        <v>#REF!</v>
      </c>
    </row>
    <row r="70" spans="1:85" x14ac:dyDescent="0.45">
      <c r="A70" s="4" t="s">
        <v>1121</v>
      </c>
      <c r="B70" s="4" t="s">
        <v>1122</v>
      </c>
      <c r="C70" s="24" t="e">
        <f>SUMIFS(#REF!,#REF!,$B70,#REF!,C$1)</f>
        <v>#REF!</v>
      </c>
      <c r="D70" s="24" t="e">
        <f>SUMIFS(#REF!,#REF!,$B70,#REF!,D$1)</f>
        <v>#REF!</v>
      </c>
      <c r="E70" s="24" t="e">
        <f>SUMIFS(#REF!,#REF!,$B70,#REF!,E$1)</f>
        <v>#REF!</v>
      </c>
      <c r="F70" s="24" t="e">
        <f>SUMIFS(#REF!,#REF!,$B70,#REF!,F$1)</f>
        <v>#REF!</v>
      </c>
      <c r="G70" s="24" t="e">
        <f>SUMIFS(#REF!,#REF!,$B70,#REF!,G$1)</f>
        <v>#REF!</v>
      </c>
      <c r="H70" s="24" t="e">
        <f>SUMIFS(#REF!,#REF!,$B70,#REF!,H$1)</f>
        <v>#REF!</v>
      </c>
      <c r="I70" s="24" t="e">
        <f>SUMIFS(#REF!,#REF!,$B70,#REF!,I$1)</f>
        <v>#REF!</v>
      </c>
      <c r="J70" s="24" t="e">
        <f>SUMIFS(#REF!,#REF!,$B70,#REF!,J$1)</f>
        <v>#REF!</v>
      </c>
      <c r="K70" s="24" t="e">
        <f>SUMIFS(#REF!,#REF!,$B70,#REF!,K$1)</f>
        <v>#REF!</v>
      </c>
      <c r="L70" s="24" t="e">
        <f>SUMIFS(#REF!,#REF!,$B70,#REF!,L$1)</f>
        <v>#REF!</v>
      </c>
      <c r="M70" s="24" t="e">
        <f>SUMIFS(#REF!,#REF!,$B70,#REF!,M$1)</f>
        <v>#REF!</v>
      </c>
      <c r="N70" s="24" t="e">
        <f>SUMIFS(#REF!,#REF!,$B70,#REF!,N$1)</f>
        <v>#REF!</v>
      </c>
      <c r="O70" s="24" t="e">
        <f>SUMIFS(#REF!,#REF!,$B70,#REF!,O$1)</f>
        <v>#REF!</v>
      </c>
      <c r="P70" s="24" t="e">
        <f>SUMIFS(#REF!,#REF!,$B70,#REF!,P$1)</f>
        <v>#REF!</v>
      </c>
      <c r="Q70" s="24" t="e">
        <f>SUMIFS(#REF!,#REF!,$B70,#REF!,Q$1)</f>
        <v>#REF!</v>
      </c>
      <c r="R70" s="24" t="e">
        <f>SUMIFS(#REF!,#REF!,$B70,#REF!,R$1)</f>
        <v>#REF!</v>
      </c>
      <c r="S70" s="24" t="e">
        <f>SUMIFS(#REF!,#REF!,$B70,#REF!,S$1)</f>
        <v>#REF!</v>
      </c>
      <c r="T70" s="24" t="e">
        <f>SUMIFS(#REF!,#REF!,$B70,#REF!,T$1)</f>
        <v>#REF!</v>
      </c>
      <c r="U70" s="24" t="e">
        <f>SUMIFS(#REF!,#REF!,$B70,#REF!,U$1)</f>
        <v>#REF!</v>
      </c>
      <c r="V70" s="24" t="e">
        <f>SUMIFS(#REF!,#REF!,$B70,#REF!,V$1)</f>
        <v>#REF!</v>
      </c>
      <c r="W70" s="24" t="e">
        <f>SUMIFS(#REF!,#REF!,$B70,#REF!,W$1)</f>
        <v>#REF!</v>
      </c>
      <c r="X70" s="24" t="e">
        <f>SUMIFS(#REF!,#REF!,$B70,#REF!,X$1)</f>
        <v>#REF!</v>
      </c>
      <c r="Y70" s="24" t="e">
        <f>SUMIFS(#REF!,#REF!,$B70,#REF!,Y$1)</f>
        <v>#REF!</v>
      </c>
      <c r="Z70" s="24" t="e">
        <f>SUMIFS(#REF!,#REF!,$B70,#REF!,Z$1)</f>
        <v>#REF!</v>
      </c>
      <c r="AA70" s="24" t="e">
        <f>SUMIFS(#REF!,#REF!,$B70,#REF!,AA$1)</f>
        <v>#REF!</v>
      </c>
      <c r="AB70" s="24" t="e">
        <f>SUMIFS(#REF!,#REF!,$B70,#REF!,AB$1)</f>
        <v>#REF!</v>
      </c>
      <c r="AC70" s="24" t="e">
        <f>SUMIFS(#REF!,#REF!,$B70,#REF!,AC$1)</f>
        <v>#REF!</v>
      </c>
      <c r="AD70" s="24" t="e">
        <f>SUMIFS(#REF!,#REF!,$B70,#REF!,AD$1)</f>
        <v>#REF!</v>
      </c>
      <c r="AE70" s="24" t="e">
        <f>SUMIFS(#REF!,#REF!,$B70,#REF!,AE$1)</f>
        <v>#REF!</v>
      </c>
      <c r="AF70" s="24" t="e">
        <f>SUMIFS(#REF!,#REF!,$B70,#REF!,AF$1)</f>
        <v>#REF!</v>
      </c>
      <c r="AG70" s="24" t="e">
        <f>SUMIFS(#REF!,#REF!,$B70,#REF!,AG$1)</f>
        <v>#REF!</v>
      </c>
      <c r="AH70" s="24" t="e">
        <f>SUMIFS(#REF!,#REF!,$B70,#REF!,AH$1)</f>
        <v>#REF!</v>
      </c>
      <c r="AI70" s="24" t="e">
        <f>SUMIFS(#REF!,#REF!,$B70,#REF!,AI$1)</f>
        <v>#REF!</v>
      </c>
      <c r="AJ70" s="24" t="e">
        <f>SUMIFS(#REF!,#REF!,$B70,#REF!,AJ$1)</f>
        <v>#REF!</v>
      </c>
      <c r="AK70" s="24" t="e">
        <f>SUMIFS(#REF!,#REF!,$B70,#REF!,AK$1)</f>
        <v>#REF!</v>
      </c>
      <c r="AL70" s="24" t="e">
        <f>SUMIFS(#REF!,#REF!,$B70,#REF!,AL$1)</f>
        <v>#REF!</v>
      </c>
      <c r="AM70" s="24" t="e">
        <f>SUMIFS(#REF!,#REF!,$B70,#REF!,AM$1)</f>
        <v>#REF!</v>
      </c>
      <c r="AN70" s="24" t="e">
        <f>SUMIFS(#REF!,#REF!,$B70,#REF!,AN$1)</f>
        <v>#REF!</v>
      </c>
      <c r="AO70" s="24" t="e">
        <f>SUMIFS(#REF!,#REF!,$B70,#REF!,AO$1)</f>
        <v>#REF!</v>
      </c>
      <c r="AP70" s="24" t="e">
        <f>SUMIFS(#REF!,#REF!,$B70,#REF!,AP$1)</f>
        <v>#REF!</v>
      </c>
      <c r="AQ70" s="24" t="e">
        <f>SUMIFS(#REF!,#REF!,$B70,#REF!,AQ$1)</f>
        <v>#REF!</v>
      </c>
      <c r="AR70" s="24" t="e">
        <f>SUMIFS(#REF!,#REF!,$B70,#REF!,AR$1)</f>
        <v>#REF!</v>
      </c>
      <c r="AS70" s="24" t="e">
        <f>SUMIFS(#REF!,#REF!,$B70,#REF!,AS$1)</f>
        <v>#REF!</v>
      </c>
      <c r="AT70" s="24" t="e">
        <f>SUMIFS(#REF!,#REF!,$B70,#REF!,AT$1)</f>
        <v>#REF!</v>
      </c>
      <c r="AU70" s="24" t="e">
        <f>SUMIFS(#REF!,#REF!,$B70,#REF!,AU$1)</f>
        <v>#REF!</v>
      </c>
      <c r="AV70" s="24" t="e">
        <f>SUMIFS(#REF!,#REF!,$B70,#REF!,AV$1)</f>
        <v>#REF!</v>
      </c>
      <c r="AW70" s="24" t="e">
        <f>SUMIFS(#REF!,#REF!,$B70,#REF!,AW$1)</f>
        <v>#REF!</v>
      </c>
      <c r="AX70" s="24" t="e">
        <f>SUMIFS(#REF!,#REF!,$B70,#REF!,AX$1)</f>
        <v>#REF!</v>
      </c>
      <c r="AY70" s="24" t="e">
        <f>SUMIFS(#REF!,#REF!,$B70,#REF!,AY$1)</f>
        <v>#REF!</v>
      </c>
      <c r="AZ70" s="24" t="e">
        <f>SUMIFS(#REF!,#REF!,$B70,#REF!,AZ$1)</f>
        <v>#REF!</v>
      </c>
      <c r="BA70" s="24" t="e">
        <f>SUMIFS(#REF!,#REF!,$B70,#REF!,BA$1)</f>
        <v>#REF!</v>
      </c>
      <c r="BB70" s="24" t="e">
        <f>SUMIFS(#REF!,#REF!,$B70,#REF!,BB$1)</f>
        <v>#REF!</v>
      </c>
      <c r="BC70" s="24" t="e">
        <f>SUMIFS(#REF!,#REF!,$B70,#REF!,BC$1)</f>
        <v>#REF!</v>
      </c>
      <c r="BD70" s="24" t="e">
        <f>SUMIFS(#REF!,#REF!,$B70,#REF!,BD$1)</f>
        <v>#REF!</v>
      </c>
      <c r="BE70" s="24" t="e">
        <f>SUMIFS(#REF!,#REF!,$B70,#REF!,BE$1)</f>
        <v>#REF!</v>
      </c>
      <c r="BF70" s="24" t="e">
        <f>SUMIFS(#REF!,#REF!,$B70,#REF!,BF$1)</f>
        <v>#REF!</v>
      </c>
      <c r="BG70" s="24" t="e">
        <f>SUMIFS(#REF!,#REF!,$B70,#REF!,BG$1)</f>
        <v>#REF!</v>
      </c>
      <c r="BH70" s="24" t="e">
        <f>SUMIFS(#REF!,#REF!,$B70,#REF!,BH$1)</f>
        <v>#REF!</v>
      </c>
      <c r="BI70" s="24" t="e">
        <f>SUMIFS(#REF!,#REF!,$B70,#REF!,BI$1)</f>
        <v>#REF!</v>
      </c>
      <c r="BJ70" s="24" t="e">
        <f>SUMIFS(#REF!,#REF!,$B70,#REF!,BJ$1)</f>
        <v>#REF!</v>
      </c>
      <c r="BK70" s="24" t="e">
        <f>SUMIFS(#REF!,#REF!,$B70,#REF!,BK$1)</f>
        <v>#REF!</v>
      </c>
      <c r="BL70" s="24" t="e">
        <f>SUMIFS(#REF!,#REF!,$B70,#REF!,BL$1)</f>
        <v>#REF!</v>
      </c>
      <c r="BM70" s="24" t="e">
        <f>SUMIFS(#REF!,#REF!,$B70,#REF!,BM$1)</f>
        <v>#REF!</v>
      </c>
      <c r="BN70" s="24" t="e">
        <f>SUMIFS(#REF!,#REF!,$B70,#REF!,BN$1)</f>
        <v>#REF!</v>
      </c>
      <c r="BO70" s="24" t="e">
        <f>SUMIFS(#REF!,#REF!,$B70,#REF!,BO$1)</f>
        <v>#REF!</v>
      </c>
      <c r="BP70" s="24" t="e">
        <f>SUMIFS(#REF!,#REF!,$B70,#REF!,BP$1)</f>
        <v>#REF!</v>
      </c>
      <c r="BQ70" s="24" t="e">
        <f>SUMIFS(#REF!,#REF!,$B70,#REF!,BQ$1)</f>
        <v>#REF!</v>
      </c>
      <c r="BR70" s="24" t="e">
        <f>SUMIFS(#REF!,#REF!,$B70,#REF!,BR$1)</f>
        <v>#REF!</v>
      </c>
      <c r="BS70" s="24" t="e">
        <f>SUMIFS(#REF!,#REF!,$B70,#REF!,BS$1)</f>
        <v>#REF!</v>
      </c>
      <c r="BT70" s="24" t="e">
        <f>SUMIFS(#REF!,#REF!,$B70,#REF!,BT$1)</f>
        <v>#REF!</v>
      </c>
      <c r="BU70" s="24" t="e">
        <f>SUMIFS(#REF!,#REF!,$B70,#REF!,BU$1)</f>
        <v>#REF!</v>
      </c>
      <c r="BV70" s="24" t="e">
        <f>SUMIFS(#REF!,#REF!,$B70,#REF!,BV$1)</f>
        <v>#REF!</v>
      </c>
      <c r="BW70" s="24" t="e">
        <f>SUMIFS(#REF!,#REF!,$B70,#REF!,BW$1)</f>
        <v>#REF!</v>
      </c>
      <c r="BX70" s="24" t="e">
        <f>SUMIFS(#REF!,#REF!,$B70,#REF!,BX$1)</f>
        <v>#REF!</v>
      </c>
      <c r="BY70" s="24" t="e">
        <f>SUMIFS(#REF!,#REF!,$B70,#REF!,BY$1)</f>
        <v>#REF!</v>
      </c>
      <c r="BZ70" s="24" t="e">
        <f>SUMIFS(#REF!,#REF!,$B70,#REF!,BZ$1)</f>
        <v>#REF!</v>
      </c>
      <c r="CA70" s="24" t="e">
        <f>SUMIFS(#REF!,#REF!,$B70,#REF!,CA$1)</f>
        <v>#REF!</v>
      </c>
      <c r="CB70" s="24" t="e">
        <f>SUMIFS(#REF!,#REF!,$B70,#REF!,CB$1)</f>
        <v>#REF!</v>
      </c>
      <c r="CC70" s="24" t="e">
        <f>SUMIFS(#REF!,#REF!,$B70,#REF!,CC$1)</f>
        <v>#REF!</v>
      </c>
      <c r="CD70" s="24" t="e">
        <f>SUMIFS(#REF!,#REF!,$B70,#REF!,CD$1)</f>
        <v>#REF!</v>
      </c>
      <c r="CE70" s="24" t="e">
        <f>SUMIFS(#REF!,#REF!,$B70,#REF!,CE$1)</f>
        <v>#REF!</v>
      </c>
      <c r="CF70" s="24" t="e">
        <f>SUMIFS(#REF!,#REF!,$B70,#REF!,CF$1)</f>
        <v>#REF!</v>
      </c>
      <c r="CG70" s="19" t="e">
        <f t="shared" si="1"/>
        <v>#REF!</v>
      </c>
    </row>
    <row r="71" spans="1:85" x14ac:dyDescent="0.45">
      <c r="A71" s="4" t="s">
        <v>1123</v>
      </c>
      <c r="B71" s="4" t="s">
        <v>1124</v>
      </c>
      <c r="C71" s="24" t="e">
        <f>SUMIFS(#REF!,#REF!,$B71,#REF!,C$1)</f>
        <v>#REF!</v>
      </c>
      <c r="D71" s="24" t="e">
        <f>SUMIFS(#REF!,#REF!,$B71,#REF!,D$1)</f>
        <v>#REF!</v>
      </c>
      <c r="E71" s="24" t="e">
        <f>SUMIFS(#REF!,#REF!,$B71,#REF!,E$1)</f>
        <v>#REF!</v>
      </c>
      <c r="F71" s="24" t="e">
        <f>SUMIFS(#REF!,#REF!,$B71,#REF!,F$1)</f>
        <v>#REF!</v>
      </c>
      <c r="G71" s="24" t="e">
        <f>SUMIFS(#REF!,#REF!,$B71,#REF!,G$1)</f>
        <v>#REF!</v>
      </c>
      <c r="H71" s="24" t="e">
        <f>SUMIFS(#REF!,#REF!,$B71,#REF!,H$1)</f>
        <v>#REF!</v>
      </c>
      <c r="I71" s="24" t="e">
        <f>SUMIFS(#REF!,#REF!,$B71,#REF!,I$1)</f>
        <v>#REF!</v>
      </c>
      <c r="J71" s="24" t="e">
        <f>SUMIFS(#REF!,#REF!,$B71,#REF!,J$1)</f>
        <v>#REF!</v>
      </c>
      <c r="K71" s="24" t="e">
        <f>SUMIFS(#REF!,#REF!,$B71,#REF!,K$1)</f>
        <v>#REF!</v>
      </c>
      <c r="L71" s="24" t="e">
        <f>SUMIFS(#REF!,#REF!,$B71,#REF!,L$1)</f>
        <v>#REF!</v>
      </c>
      <c r="M71" s="24" t="e">
        <f>SUMIFS(#REF!,#REF!,$B71,#REF!,M$1)</f>
        <v>#REF!</v>
      </c>
      <c r="N71" s="24" t="e">
        <f>SUMIFS(#REF!,#REF!,$B71,#REF!,N$1)</f>
        <v>#REF!</v>
      </c>
      <c r="O71" s="24" t="e">
        <f>SUMIFS(#REF!,#REF!,$B71,#REF!,O$1)</f>
        <v>#REF!</v>
      </c>
      <c r="P71" s="24" t="e">
        <f>SUMIFS(#REF!,#REF!,$B71,#REF!,P$1)</f>
        <v>#REF!</v>
      </c>
      <c r="Q71" s="24" t="e">
        <f>SUMIFS(#REF!,#REF!,$B71,#REF!,Q$1)</f>
        <v>#REF!</v>
      </c>
      <c r="R71" s="24" t="e">
        <f>SUMIFS(#REF!,#REF!,$B71,#REF!,R$1)</f>
        <v>#REF!</v>
      </c>
      <c r="S71" s="24" t="e">
        <f>SUMIFS(#REF!,#REF!,$B71,#REF!,S$1)</f>
        <v>#REF!</v>
      </c>
      <c r="T71" s="24" t="e">
        <f>SUMIFS(#REF!,#REF!,$B71,#REF!,T$1)</f>
        <v>#REF!</v>
      </c>
      <c r="U71" s="24" t="e">
        <f>SUMIFS(#REF!,#REF!,$B71,#REF!,U$1)</f>
        <v>#REF!</v>
      </c>
      <c r="V71" s="24" t="e">
        <f>SUMIFS(#REF!,#REF!,$B71,#REF!,V$1)</f>
        <v>#REF!</v>
      </c>
      <c r="W71" s="24" t="e">
        <f>SUMIFS(#REF!,#REF!,$B71,#REF!,W$1)</f>
        <v>#REF!</v>
      </c>
      <c r="X71" s="24" t="e">
        <f>SUMIFS(#REF!,#REF!,$B71,#REF!,X$1)</f>
        <v>#REF!</v>
      </c>
      <c r="Y71" s="24" t="e">
        <f>SUMIFS(#REF!,#REF!,$B71,#REF!,Y$1)</f>
        <v>#REF!</v>
      </c>
      <c r="Z71" s="24" t="e">
        <f>SUMIFS(#REF!,#REF!,$B71,#REF!,Z$1)</f>
        <v>#REF!</v>
      </c>
      <c r="AA71" s="24" t="e">
        <f>SUMIFS(#REF!,#REF!,$B71,#REF!,AA$1)</f>
        <v>#REF!</v>
      </c>
      <c r="AB71" s="24" t="e">
        <f>SUMIFS(#REF!,#REF!,$B71,#REF!,AB$1)</f>
        <v>#REF!</v>
      </c>
      <c r="AC71" s="24" t="e">
        <f>SUMIFS(#REF!,#REF!,$B71,#REF!,AC$1)</f>
        <v>#REF!</v>
      </c>
      <c r="AD71" s="24" t="e">
        <f>SUMIFS(#REF!,#REF!,$B71,#REF!,AD$1)</f>
        <v>#REF!</v>
      </c>
      <c r="AE71" s="24" t="e">
        <f>SUMIFS(#REF!,#REF!,$B71,#REF!,AE$1)</f>
        <v>#REF!</v>
      </c>
      <c r="AF71" s="24" t="e">
        <f>SUMIFS(#REF!,#REF!,$B71,#REF!,AF$1)</f>
        <v>#REF!</v>
      </c>
      <c r="AG71" s="24" t="e">
        <f>SUMIFS(#REF!,#REF!,$B71,#REF!,AG$1)</f>
        <v>#REF!</v>
      </c>
      <c r="AH71" s="24" t="e">
        <f>SUMIFS(#REF!,#REF!,$B71,#REF!,AH$1)</f>
        <v>#REF!</v>
      </c>
      <c r="AI71" s="24" t="e">
        <f>SUMIFS(#REF!,#REF!,$B71,#REF!,AI$1)</f>
        <v>#REF!</v>
      </c>
      <c r="AJ71" s="24" t="e">
        <f>SUMIFS(#REF!,#REF!,$B71,#REF!,AJ$1)</f>
        <v>#REF!</v>
      </c>
      <c r="AK71" s="24" t="e">
        <f>SUMIFS(#REF!,#REF!,$B71,#REF!,AK$1)</f>
        <v>#REF!</v>
      </c>
      <c r="AL71" s="24" t="e">
        <f>SUMIFS(#REF!,#REF!,$B71,#REF!,AL$1)</f>
        <v>#REF!</v>
      </c>
      <c r="AM71" s="24" t="e">
        <f>SUMIFS(#REF!,#REF!,$B71,#REF!,AM$1)</f>
        <v>#REF!</v>
      </c>
      <c r="AN71" s="24" t="e">
        <f>SUMIFS(#REF!,#REF!,$B71,#REF!,AN$1)</f>
        <v>#REF!</v>
      </c>
      <c r="AO71" s="24" t="e">
        <f>SUMIFS(#REF!,#REF!,$B71,#REF!,AO$1)</f>
        <v>#REF!</v>
      </c>
      <c r="AP71" s="24" t="e">
        <f>SUMIFS(#REF!,#REF!,$B71,#REF!,AP$1)</f>
        <v>#REF!</v>
      </c>
      <c r="AQ71" s="24" t="e">
        <f>SUMIFS(#REF!,#REF!,$B71,#REF!,AQ$1)</f>
        <v>#REF!</v>
      </c>
      <c r="AR71" s="24" t="e">
        <f>SUMIFS(#REF!,#REF!,$B71,#REF!,AR$1)</f>
        <v>#REF!</v>
      </c>
      <c r="AS71" s="24" t="e">
        <f>SUMIFS(#REF!,#REF!,$B71,#REF!,AS$1)</f>
        <v>#REF!</v>
      </c>
      <c r="AT71" s="24" t="e">
        <f>SUMIFS(#REF!,#REF!,$B71,#REF!,AT$1)</f>
        <v>#REF!</v>
      </c>
      <c r="AU71" s="24" t="e">
        <f>SUMIFS(#REF!,#REF!,$B71,#REF!,AU$1)</f>
        <v>#REF!</v>
      </c>
      <c r="AV71" s="24" t="e">
        <f>SUMIFS(#REF!,#REF!,$B71,#REF!,AV$1)</f>
        <v>#REF!</v>
      </c>
      <c r="AW71" s="24" t="e">
        <f>SUMIFS(#REF!,#REF!,$B71,#REF!,AW$1)</f>
        <v>#REF!</v>
      </c>
      <c r="AX71" s="24" t="e">
        <f>SUMIFS(#REF!,#REF!,$B71,#REF!,AX$1)</f>
        <v>#REF!</v>
      </c>
      <c r="AY71" s="24" t="e">
        <f>SUMIFS(#REF!,#REF!,$B71,#REF!,AY$1)</f>
        <v>#REF!</v>
      </c>
      <c r="AZ71" s="24" t="e">
        <f>SUMIFS(#REF!,#REF!,$B71,#REF!,AZ$1)</f>
        <v>#REF!</v>
      </c>
      <c r="BA71" s="24" t="e">
        <f>SUMIFS(#REF!,#REF!,$B71,#REF!,BA$1)</f>
        <v>#REF!</v>
      </c>
      <c r="BB71" s="24" t="e">
        <f>SUMIFS(#REF!,#REF!,$B71,#REF!,BB$1)</f>
        <v>#REF!</v>
      </c>
      <c r="BC71" s="24" t="e">
        <f>SUMIFS(#REF!,#REF!,$B71,#REF!,BC$1)</f>
        <v>#REF!</v>
      </c>
      <c r="BD71" s="24" t="e">
        <f>SUMIFS(#REF!,#REF!,$B71,#REF!,BD$1)</f>
        <v>#REF!</v>
      </c>
      <c r="BE71" s="24" t="e">
        <f>SUMIFS(#REF!,#REF!,$B71,#REF!,BE$1)</f>
        <v>#REF!</v>
      </c>
      <c r="BF71" s="24" t="e">
        <f>SUMIFS(#REF!,#REF!,$B71,#REF!,BF$1)</f>
        <v>#REF!</v>
      </c>
      <c r="BG71" s="24" t="e">
        <f>SUMIFS(#REF!,#REF!,$B71,#REF!,BG$1)</f>
        <v>#REF!</v>
      </c>
      <c r="BH71" s="24" t="e">
        <f>SUMIFS(#REF!,#REF!,$B71,#REF!,BH$1)</f>
        <v>#REF!</v>
      </c>
      <c r="BI71" s="24" t="e">
        <f>SUMIFS(#REF!,#REF!,$B71,#REF!,BI$1)</f>
        <v>#REF!</v>
      </c>
      <c r="BJ71" s="24" t="e">
        <f>SUMIFS(#REF!,#REF!,$B71,#REF!,BJ$1)</f>
        <v>#REF!</v>
      </c>
      <c r="BK71" s="24" t="e">
        <f>SUMIFS(#REF!,#REF!,$B71,#REF!,BK$1)</f>
        <v>#REF!</v>
      </c>
      <c r="BL71" s="24" t="e">
        <f>SUMIFS(#REF!,#REF!,$B71,#REF!,BL$1)</f>
        <v>#REF!</v>
      </c>
      <c r="BM71" s="24" t="e">
        <f>SUMIFS(#REF!,#REF!,$B71,#REF!,BM$1)</f>
        <v>#REF!</v>
      </c>
      <c r="BN71" s="24" t="e">
        <f>SUMIFS(#REF!,#REF!,$B71,#REF!,BN$1)</f>
        <v>#REF!</v>
      </c>
      <c r="BO71" s="24" t="e">
        <f>SUMIFS(#REF!,#REF!,$B71,#REF!,BO$1)</f>
        <v>#REF!</v>
      </c>
      <c r="BP71" s="24" t="e">
        <f>SUMIFS(#REF!,#REF!,$B71,#REF!,BP$1)</f>
        <v>#REF!</v>
      </c>
      <c r="BQ71" s="24" t="e">
        <f>SUMIFS(#REF!,#REF!,$B71,#REF!,BQ$1)</f>
        <v>#REF!</v>
      </c>
      <c r="BR71" s="24" t="e">
        <f>SUMIFS(#REF!,#REF!,$B71,#REF!,BR$1)</f>
        <v>#REF!</v>
      </c>
      <c r="BS71" s="24" t="e">
        <f>SUMIFS(#REF!,#REF!,$B71,#REF!,BS$1)</f>
        <v>#REF!</v>
      </c>
      <c r="BT71" s="24" t="e">
        <f>SUMIFS(#REF!,#REF!,$B71,#REF!,BT$1)</f>
        <v>#REF!</v>
      </c>
      <c r="BU71" s="24" t="e">
        <f>SUMIFS(#REF!,#REF!,$B71,#REF!,BU$1)</f>
        <v>#REF!</v>
      </c>
      <c r="BV71" s="24" t="e">
        <f>SUMIFS(#REF!,#REF!,$B71,#REF!,BV$1)</f>
        <v>#REF!</v>
      </c>
      <c r="BW71" s="24" t="e">
        <f>SUMIFS(#REF!,#REF!,$B71,#REF!,BW$1)</f>
        <v>#REF!</v>
      </c>
      <c r="BX71" s="24" t="e">
        <f>SUMIFS(#REF!,#REF!,$B71,#REF!,BX$1)</f>
        <v>#REF!</v>
      </c>
      <c r="BY71" s="24" t="e">
        <f>SUMIFS(#REF!,#REF!,$B71,#REF!,BY$1)</f>
        <v>#REF!</v>
      </c>
      <c r="BZ71" s="24" t="e">
        <f>SUMIFS(#REF!,#REF!,$B71,#REF!,BZ$1)</f>
        <v>#REF!</v>
      </c>
      <c r="CA71" s="24" t="e">
        <f>SUMIFS(#REF!,#REF!,$B71,#REF!,CA$1)</f>
        <v>#REF!</v>
      </c>
      <c r="CB71" s="24" t="e">
        <f>SUMIFS(#REF!,#REF!,$B71,#REF!,CB$1)</f>
        <v>#REF!</v>
      </c>
      <c r="CC71" s="24" t="e">
        <f>SUMIFS(#REF!,#REF!,$B71,#REF!,CC$1)</f>
        <v>#REF!</v>
      </c>
      <c r="CD71" s="24" t="e">
        <f>SUMIFS(#REF!,#REF!,$B71,#REF!,CD$1)</f>
        <v>#REF!</v>
      </c>
      <c r="CE71" s="24" t="e">
        <f>SUMIFS(#REF!,#REF!,$B71,#REF!,CE$1)</f>
        <v>#REF!</v>
      </c>
      <c r="CF71" s="24" t="e">
        <f>SUMIFS(#REF!,#REF!,$B71,#REF!,CF$1)</f>
        <v>#REF!</v>
      </c>
      <c r="CG71" s="19" t="e">
        <f t="shared" si="1"/>
        <v>#REF!</v>
      </c>
    </row>
    <row r="72" spans="1:85" x14ac:dyDescent="0.45">
      <c r="A72" s="4" t="s">
        <v>1125</v>
      </c>
      <c r="B72" s="4" t="s">
        <v>1126</v>
      </c>
      <c r="C72" s="24" t="e">
        <f>SUMIFS(#REF!,#REF!,$B72,#REF!,C$1)</f>
        <v>#REF!</v>
      </c>
      <c r="D72" s="24" t="e">
        <f>SUMIFS(#REF!,#REF!,$B72,#REF!,D$1)</f>
        <v>#REF!</v>
      </c>
      <c r="E72" s="24" t="e">
        <f>SUMIFS(#REF!,#REF!,$B72,#REF!,E$1)</f>
        <v>#REF!</v>
      </c>
      <c r="F72" s="24" t="e">
        <f>SUMIFS(#REF!,#REF!,$B72,#REF!,F$1)</f>
        <v>#REF!</v>
      </c>
      <c r="G72" s="24" t="e">
        <f>SUMIFS(#REF!,#REF!,$B72,#REF!,G$1)</f>
        <v>#REF!</v>
      </c>
      <c r="H72" s="24" t="e">
        <f>SUMIFS(#REF!,#REF!,$B72,#REF!,H$1)</f>
        <v>#REF!</v>
      </c>
      <c r="I72" s="24" t="e">
        <f>SUMIFS(#REF!,#REF!,$B72,#REF!,I$1)</f>
        <v>#REF!</v>
      </c>
      <c r="J72" s="24" t="e">
        <f>SUMIFS(#REF!,#REF!,$B72,#REF!,J$1)</f>
        <v>#REF!</v>
      </c>
      <c r="K72" s="24" t="e">
        <f>SUMIFS(#REF!,#REF!,$B72,#REF!,K$1)</f>
        <v>#REF!</v>
      </c>
      <c r="L72" s="24" t="e">
        <f>SUMIFS(#REF!,#REF!,$B72,#REF!,L$1)</f>
        <v>#REF!</v>
      </c>
      <c r="M72" s="24" t="e">
        <f>SUMIFS(#REF!,#REF!,$B72,#REF!,M$1)</f>
        <v>#REF!</v>
      </c>
      <c r="N72" s="24" t="e">
        <f>SUMIFS(#REF!,#REF!,$B72,#REF!,N$1)</f>
        <v>#REF!</v>
      </c>
      <c r="O72" s="24" t="e">
        <f>SUMIFS(#REF!,#REF!,$B72,#REF!,O$1)</f>
        <v>#REF!</v>
      </c>
      <c r="P72" s="24" t="e">
        <f>SUMIFS(#REF!,#REF!,$B72,#REF!,P$1)</f>
        <v>#REF!</v>
      </c>
      <c r="Q72" s="24" t="e">
        <f>SUMIFS(#REF!,#REF!,$B72,#REF!,Q$1)</f>
        <v>#REF!</v>
      </c>
      <c r="R72" s="24" t="e">
        <f>SUMIFS(#REF!,#REF!,$B72,#REF!,R$1)</f>
        <v>#REF!</v>
      </c>
      <c r="S72" s="24" t="e">
        <f>SUMIFS(#REF!,#REF!,$B72,#REF!,S$1)</f>
        <v>#REF!</v>
      </c>
      <c r="T72" s="24" t="e">
        <f>SUMIFS(#REF!,#REF!,$B72,#REF!,T$1)</f>
        <v>#REF!</v>
      </c>
      <c r="U72" s="24" t="e">
        <f>SUMIFS(#REF!,#REF!,$B72,#REF!,U$1)</f>
        <v>#REF!</v>
      </c>
      <c r="V72" s="24" t="e">
        <f>SUMIFS(#REF!,#REF!,$B72,#REF!,V$1)</f>
        <v>#REF!</v>
      </c>
      <c r="W72" s="24" t="e">
        <f>SUMIFS(#REF!,#REF!,$B72,#REF!,W$1)</f>
        <v>#REF!</v>
      </c>
      <c r="X72" s="24" t="e">
        <f>SUMIFS(#REF!,#REF!,$B72,#REF!,X$1)</f>
        <v>#REF!</v>
      </c>
      <c r="Y72" s="24" t="e">
        <f>SUMIFS(#REF!,#REF!,$B72,#REF!,Y$1)</f>
        <v>#REF!</v>
      </c>
      <c r="Z72" s="24" t="e">
        <f>SUMIFS(#REF!,#REF!,$B72,#REF!,Z$1)</f>
        <v>#REF!</v>
      </c>
      <c r="AA72" s="24" t="e">
        <f>SUMIFS(#REF!,#REF!,$B72,#REF!,AA$1)</f>
        <v>#REF!</v>
      </c>
      <c r="AB72" s="24" t="e">
        <f>SUMIFS(#REF!,#REF!,$B72,#REF!,AB$1)</f>
        <v>#REF!</v>
      </c>
      <c r="AC72" s="24" t="e">
        <f>SUMIFS(#REF!,#REF!,$B72,#REF!,AC$1)</f>
        <v>#REF!</v>
      </c>
      <c r="AD72" s="24" t="e">
        <f>SUMIFS(#REF!,#REF!,$B72,#REF!,AD$1)</f>
        <v>#REF!</v>
      </c>
      <c r="AE72" s="24" t="e">
        <f>SUMIFS(#REF!,#REF!,$B72,#REF!,AE$1)</f>
        <v>#REF!</v>
      </c>
      <c r="AF72" s="24" t="e">
        <f>SUMIFS(#REF!,#REF!,$B72,#REF!,AF$1)</f>
        <v>#REF!</v>
      </c>
      <c r="AG72" s="24" t="e">
        <f>SUMIFS(#REF!,#REF!,$B72,#REF!,AG$1)</f>
        <v>#REF!</v>
      </c>
      <c r="AH72" s="24" t="e">
        <f>SUMIFS(#REF!,#REF!,$B72,#REF!,AH$1)</f>
        <v>#REF!</v>
      </c>
      <c r="AI72" s="24" t="e">
        <f>SUMIFS(#REF!,#REF!,$B72,#REF!,AI$1)</f>
        <v>#REF!</v>
      </c>
      <c r="AJ72" s="24" t="e">
        <f>SUMIFS(#REF!,#REF!,$B72,#REF!,AJ$1)</f>
        <v>#REF!</v>
      </c>
      <c r="AK72" s="24" t="e">
        <f>SUMIFS(#REF!,#REF!,$B72,#REF!,AK$1)</f>
        <v>#REF!</v>
      </c>
      <c r="AL72" s="24" t="e">
        <f>SUMIFS(#REF!,#REF!,$B72,#REF!,AL$1)</f>
        <v>#REF!</v>
      </c>
      <c r="AM72" s="24" t="e">
        <f>SUMIFS(#REF!,#REF!,$B72,#REF!,AM$1)</f>
        <v>#REF!</v>
      </c>
      <c r="AN72" s="24" t="e">
        <f>SUMIFS(#REF!,#REF!,$B72,#REF!,AN$1)</f>
        <v>#REF!</v>
      </c>
      <c r="AO72" s="24" t="e">
        <f>SUMIFS(#REF!,#REF!,$B72,#REF!,AO$1)</f>
        <v>#REF!</v>
      </c>
      <c r="AP72" s="24" t="e">
        <f>SUMIFS(#REF!,#REF!,$B72,#REF!,AP$1)</f>
        <v>#REF!</v>
      </c>
      <c r="AQ72" s="24" t="e">
        <f>SUMIFS(#REF!,#REF!,$B72,#REF!,AQ$1)</f>
        <v>#REF!</v>
      </c>
      <c r="AR72" s="24" t="e">
        <f>SUMIFS(#REF!,#REF!,$B72,#REF!,AR$1)</f>
        <v>#REF!</v>
      </c>
      <c r="AS72" s="24" t="e">
        <f>SUMIFS(#REF!,#REF!,$B72,#REF!,AS$1)</f>
        <v>#REF!</v>
      </c>
      <c r="AT72" s="24" t="e">
        <f>SUMIFS(#REF!,#REF!,$B72,#REF!,AT$1)</f>
        <v>#REF!</v>
      </c>
      <c r="AU72" s="24" t="e">
        <f>SUMIFS(#REF!,#REF!,$B72,#REF!,AU$1)</f>
        <v>#REF!</v>
      </c>
      <c r="AV72" s="24" t="e">
        <f>SUMIFS(#REF!,#REF!,$B72,#REF!,AV$1)</f>
        <v>#REF!</v>
      </c>
      <c r="AW72" s="24" t="e">
        <f>SUMIFS(#REF!,#REF!,$B72,#REF!,AW$1)</f>
        <v>#REF!</v>
      </c>
      <c r="AX72" s="24" t="e">
        <f>SUMIFS(#REF!,#REF!,$B72,#REF!,AX$1)</f>
        <v>#REF!</v>
      </c>
      <c r="AY72" s="24" t="e">
        <f>SUMIFS(#REF!,#REF!,$B72,#REF!,AY$1)</f>
        <v>#REF!</v>
      </c>
      <c r="AZ72" s="24" t="e">
        <f>SUMIFS(#REF!,#REF!,$B72,#REF!,AZ$1)</f>
        <v>#REF!</v>
      </c>
      <c r="BA72" s="24" t="e">
        <f>SUMIFS(#REF!,#REF!,$B72,#REF!,BA$1)</f>
        <v>#REF!</v>
      </c>
      <c r="BB72" s="24" t="e">
        <f>SUMIFS(#REF!,#REF!,$B72,#REF!,BB$1)</f>
        <v>#REF!</v>
      </c>
      <c r="BC72" s="24" t="e">
        <f>SUMIFS(#REF!,#REF!,$B72,#REF!,BC$1)</f>
        <v>#REF!</v>
      </c>
      <c r="BD72" s="24" t="e">
        <f>SUMIFS(#REF!,#REF!,$B72,#REF!,BD$1)</f>
        <v>#REF!</v>
      </c>
      <c r="BE72" s="24" t="e">
        <f>SUMIFS(#REF!,#REF!,$B72,#REF!,BE$1)</f>
        <v>#REF!</v>
      </c>
      <c r="BF72" s="24" t="e">
        <f>SUMIFS(#REF!,#REF!,$B72,#REF!,BF$1)</f>
        <v>#REF!</v>
      </c>
      <c r="BG72" s="24" t="e">
        <f>SUMIFS(#REF!,#REF!,$B72,#REF!,BG$1)</f>
        <v>#REF!</v>
      </c>
      <c r="BH72" s="24" t="e">
        <f>SUMIFS(#REF!,#REF!,$B72,#REF!,BH$1)</f>
        <v>#REF!</v>
      </c>
      <c r="BI72" s="24" t="e">
        <f>SUMIFS(#REF!,#REF!,$B72,#REF!,BI$1)</f>
        <v>#REF!</v>
      </c>
      <c r="BJ72" s="24" t="e">
        <f>SUMIFS(#REF!,#REF!,$B72,#REF!,BJ$1)</f>
        <v>#REF!</v>
      </c>
      <c r="BK72" s="24" t="e">
        <f>SUMIFS(#REF!,#REF!,$B72,#REF!,BK$1)</f>
        <v>#REF!</v>
      </c>
      <c r="BL72" s="24" t="e">
        <f>SUMIFS(#REF!,#REF!,$B72,#REF!,BL$1)</f>
        <v>#REF!</v>
      </c>
      <c r="BM72" s="24" t="e">
        <f>SUMIFS(#REF!,#REF!,$B72,#REF!,BM$1)</f>
        <v>#REF!</v>
      </c>
      <c r="BN72" s="24" t="e">
        <f>SUMIFS(#REF!,#REF!,$B72,#REF!,BN$1)</f>
        <v>#REF!</v>
      </c>
      <c r="BO72" s="24" t="e">
        <f>SUMIFS(#REF!,#REF!,$B72,#REF!,BO$1)</f>
        <v>#REF!</v>
      </c>
      <c r="BP72" s="24" t="e">
        <f>SUMIFS(#REF!,#REF!,$B72,#REF!,BP$1)</f>
        <v>#REF!</v>
      </c>
      <c r="BQ72" s="24" t="e">
        <f>SUMIFS(#REF!,#REF!,$B72,#REF!,BQ$1)</f>
        <v>#REF!</v>
      </c>
      <c r="BR72" s="24" t="e">
        <f>SUMIFS(#REF!,#REF!,$B72,#REF!,BR$1)</f>
        <v>#REF!</v>
      </c>
      <c r="BS72" s="24" t="e">
        <f>SUMIFS(#REF!,#REF!,$B72,#REF!,BS$1)</f>
        <v>#REF!</v>
      </c>
      <c r="BT72" s="24" t="e">
        <f>SUMIFS(#REF!,#REF!,$B72,#REF!,BT$1)</f>
        <v>#REF!</v>
      </c>
      <c r="BU72" s="24" t="e">
        <f>SUMIFS(#REF!,#REF!,$B72,#REF!,BU$1)</f>
        <v>#REF!</v>
      </c>
      <c r="BV72" s="24" t="e">
        <f>SUMIFS(#REF!,#REF!,$B72,#REF!,BV$1)</f>
        <v>#REF!</v>
      </c>
      <c r="BW72" s="24" t="e">
        <f>SUMIFS(#REF!,#REF!,$B72,#REF!,BW$1)</f>
        <v>#REF!</v>
      </c>
      <c r="BX72" s="24" t="e">
        <f>SUMIFS(#REF!,#REF!,$B72,#REF!,BX$1)</f>
        <v>#REF!</v>
      </c>
      <c r="BY72" s="24" t="e">
        <f>SUMIFS(#REF!,#REF!,$B72,#REF!,BY$1)</f>
        <v>#REF!</v>
      </c>
      <c r="BZ72" s="24" t="e">
        <f>SUMIFS(#REF!,#REF!,$B72,#REF!,BZ$1)</f>
        <v>#REF!</v>
      </c>
      <c r="CA72" s="24" t="e">
        <f>SUMIFS(#REF!,#REF!,$B72,#REF!,CA$1)</f>
        <v>#REF!</v>
      </c>
      <c r="CB72" s="24" t="e">
        <f>SUMIFS(#REF!,#REF!,$B72,#REF!,CB$1)</f>
        <v>#REF!</v>
      </c>
      <c r="CC72" s="24" t="e">
        <f>SUMIFS(#REF!,#REF!,$B72,#REF!,CC$1)</f>
        <v>#REF!</v>
      </c>
      <c r="CD72" s="24" t="e">
        <f>SUMIFS(#REF!,#REF!,$B72,#REF!,CD$1)</f>
        <v>#REF!</v>
      </c>
      <c r="CE72" s="24" t="e">
        <f>SUMIFS(#REF!,#REF!,$B72,#REF!,CE$1)</f>
        <v>#REF!</v>
      </c>
      <c r="CF72" s="24" t="e">
        <f>SUMIFS(#REF!,#REF!,$B72,#REF!,CF$1)</f>
        <v>#REF!</v>
      </c>
      <c r="CG72" s="19" t="e">
        <f t="shared" si="1"/>
        <v>#REF!</v>
      </c>
    </row>
    <row r="73" spans="1:85" x14ac:dyDescent="0.45">
      <c r="A73" s="4" t="s">
        <v>1127</v>
      </c>
      <c r="B73" s="4" t="s">
        <v>1128</v>
      </c>
      <c r="C73" s="24" t="e">
        <f>SUMIFS(#REF!,#REF!,$B73,#REF!,C$1)</f>
        <v>#REF!</v>
      </c>
      <c r="D73" s="24" t="e">
        <f>SUMIFS(#REF!,#REF!,$B73,#REF!,D$1)</f>
        <v>#REF!</v>
      </c>
      <c r="E73" s="24" t="e">
        <f>SUMIFS(#REF!,#REF!,$B73,#REF!,E$1)</f>
        <v>#REF!</v>
      </c>
      <c r="F73" s="24" t="e">
        <f>SUMIFS(#REF!,#REF!,$B73,#REF!,F$1)</f>
        <v>#REF!</v>
      </c>
      <c r="G73" s="24" t="e">
        <f>SUMIFS(#REF!,#REF!,$B73,#REF!,G$1)</f>
        <v>#REF!</v>
      </c>
      <c r="H73" s="24" t="e">
        <f>SUMIFS(#REF!,#REF!,$B73,#REF!,H$1)</f>
        <v>#REF!</v>
      </c>
      <c r="I73" s="24" t="e">
        <f>SUMIFS(#REF!,#REF!,$B73,#REF!,I$1)</f>
        <v>#REF!</v>
      </c>
      <c r="J73" s="24" t="e">
        <f>SUMIFS(#REF!,#REF!,$B73,#REF!,J$1)</f>
        <v>#REF!</v>
      </c>
      <c r="K73" s="24" t="e">
        <f>SUMIFS(#REF!,#REF!,$B73,#REF!,K$1)</f>
        <v>#REF!</v>
      </c>
      <c r="L73" s="24" t="e">
        <f>SUMIFS(#REF!,#REF!,$B73,#REF!,L$1)</f>
        <v>#REF!</v>
      </c>
      <c r="M73" s="24" t="e">
        <f>SUMIFS(#REF!,#REF!,$B73,#REF!,M$1)</f>
        <v>#REF!</v>
      </c>
      <c r="N73" s="24" t="e">
        <f>SUMIFS(#REF!,#REF!,$B73,#REF!,N$1)</f>
        <v>#REF!</v>
      </c>
      <c r="O73" s="24" t="e">
        <f>SUMIFS(#REF!,#REF!,$B73,#REF!,O$1)</f>
        <v>#REF!</v>
      </c>
      <c r="P73" s="24" t="e">
        <f>SUMIFS(#REF!,#REF!,$B73,#REF!,P$1)</f>
        <v>#REF!</v>
      </c>
      <c r="Q73" s="24" t="e">
        <f>SUMIFS(#REF!,#REF!,$B73,#REF!,Q$1)</f>
        <v>#REF!</v>
      </c>
      <c r="R73" s="24" t="e">
        <f>SUMIFS(#REF!,#REF!,$B73,#REF!,R$1)</f>
        <v>#REF!</v>
      </c>
      <c r="S73" s="24" t="e">
        <f>SUMIFS(#REF!,#REF!,$B73,#REF!,S$1)</f>
        <v>#REF!</v>
      </c>
      <c r="T73" s="24" t="e">
        <f>SUMIFS(#REF!,#REF!,$B73,#REF!,T$1)</f>
        <v>#REF!</v>
      </c>
      <c r="U73" s="24" t="e">
        <f>SUMIFS(#REF!,#REF!,$B73,#REF!,U$1)</f>
        <v>#REF!</v>
      </c>
      <c r="V73" s="24" t="e">
        <f>SUMIFS(#REF!,#REF!,$B73,#REF!,V$1)</f>
        <v>#REF!</v>
      </c>
      <c r="W73" s="24" t="e">
        <f>SUMIFS(#REF!,#REF!,$B73,#REF!,W$1)</f>
        <v>#REF!</v>
      </c>
      <c r="X73" s="24" t="e">
        <f>SUMIFS(#REF!,#REF!,$B73,#REF!,X$1)</f>
        <v>#REF!</v>
      </c>
      <c r="Y73" s="24" t="e">
        <f>SUMIFS(#REF!,#REF!,$B73,#REF!,Y$1)</f>
        <v>#REF!</v>
      </c>
      <c r="Z73" s="24" t="e">
        <f>SUMIFS(#REF!,#REF!,$B73,#REF!,Z$1)</f>
        <v>#REF!</v>
      </c>
      <c r="AA73" s="24" t="e">
        <f>SUMIFS(#REF!,#REF!,$B73,#REF!,AA$1)</f>
        <v>#REF!</v>
      </c>
      <c r="AB73" s="24" t="e">
        <f>SUMIFS(#REF!,#REF!,$B73,#REF!,AB$1)</f>
        <v>#REF!</v>
      </c>
      <c r="AC73" s="24" t="e">
        <f>SUMIFS(#REF!,#REF!,$B73,#REF!,AC$1)</f>
        <v>#REF!</v>
      </c>
      <c r="AD73" s="24" t="e">
        <f>SUMIFS(#REF!,#REF!,$B73,#REF!,AD$1)</f>
        <v>#REF!</v>
      </c>
      <c r="AE73" s="24" t="e">
        <f>SUMIFS(#REF!,#REF!,$B73,#REF!,AE$1)</f>
        <v>#REF!</v>
      </c>
      <c r="AF73" s="24" t="e">
        <f>SUMIFS(#REF!,#REF!,$B73,#REF!,AF$1)</f>
        <v>#REF!</v>
      </c>
      <c r="AG73" s="24" t="e">
        <f>SUMIFS(#REF!,#REF!,$B73,#REF!,AG$1)</f>
        <v>#REF!</v>
      </c>
      <c r="AH73" s="24" t="e">
        <f>SUMIFS(#REF!,#REF!,$B73,#REF!,AH$1)</f>
        <v>#REF!</v>
      </c>
      <c r="AI73" s="24" t="e">
        <f>SUMIFS(#REF!,#REF!,$B73,#REF!,AI$1)</f>
        <v>#REF!</v>
      </c>
      <c r="AJ73" s="24" t="e">
        <f>SUMIFS(#REF!,#REF!,$B73,#REF!,AJ$1)</f>
        <v>#REF!</v>
      </c>
      <c r="AK73" s="24" t="e">
        <f>SUMIFS(#REF!,#REF!,$B73,#REF!,AK$1)</f>
        <v>#REF!</v>
      </c>
      <c r="AL73" s="24" t="e">
        <f>SUMIFS(#REF!,#REF!,$B73,#REF!,AL$1)</f>
        <v>#REF!</v>
      </c>
      <c r="AM73" s="24" t="e">
        <f>SUMIFS(#REF!,#REF!,$B73,#REF!,AM$1)</f>
        <v>#REF!</v>
      </c>
      <c r="AN73" s="24" t="e">
        <f>SUMIFS(#REF!,#REF!,$B73,#REF!,AN$1)</f>
        <v>#REF!</v>
      </c>
      <c r="AO73" s="24" t="e">
        <f>SUMIFS(#REF!,#REF!,$B73,#REF!,AO$1)</f>
        <v>#REF!</v>
      </c>
      <c r="AP73" s="24" t="e">
        <f>SUMIFS(#REF!,#REF!,$B73,#REF!,AP$1)</f>
        <v>#REF!</v>
      </c>
      <c r="AQ73" s="24" t="e">
        <f>SUMIFS(#REF!,#REF!,$B73,#REF!,AQ$1)</f>
        <v>#REF!</v>
      </c>
      <c r="AR73" s="24" t="e">
        <f>SUMIFS(#REF!,#REF!,$B73,#REF!,AR$1)</f>
        <v>#REF!</v>
      </c>
      <c r="AS73" s="24" t="e">
        <f>SUMIFS(#REF!,#REF!,$B73,#REF!,AS$1)</f>
        <v>#REF!</v>
      </c>
      <c r="AT73" s="24" t="e">
        <f>SUMIFS(#REF!,#REF!,$B73,#REF!,AT$1)</f>
        <v>#REF!</v>
      </c>
      <c r="AU73" s="24" t="e">
        <f>SUMIFS(#REF!,#REF!,$B73,#REF!,AU$1)</f>
        <v>#REF!</v>
      </c>
      <c r="AV73" s="24" t="e">
        <f>SUMIFS(#REF!,#REF!,$B73,#REF!,AV$1)</f>
        <v>#REF!</v>
      </c>
      <c r="AW73" s="24" t="e">
        <f>SUMIFS(#REF!,#REF!,$B73,#REF!,AW$1)</f>
        <v>#REF!</v>
      </c>
      <c r="AX73" s="24" t="e">
        <f>SUMIFS(#REF!,#REF!,$B73,#REF!,AX$1)</f>
        <v>#REF!</v>
      </c>
      <c r="AY73" s="24" t="e">
        <f>SUMIFS(#REF!,#REF!,$B73,#REF!,AY$1)</f>
        <v>#REF!</v>
      </c>
      <c r="AZ73" s="24" t="e">
        <f>SUMIFS(#REF!,#REF!,$B73,#REF!,AZ$1)</f>
        <v>#REF!</v>
      </c>
      <c r="BA73" s="24" t="e">
        <f>SUMIFS(#REF!,#REF!,$B73,#REF!,BA$1)</f>
        <v>#REF!</v>
      </c>
      <c r="BB73" s="24" t="e">
        <f>SUMIFS(#REF!,#REF!,$B73,#REF!,BB$1)</f>
        <v>#REF!</v>
      </c>
      <c r="BC73" s="24" t="e">
        <f>SUMIFS(#REF!,#REF!,$B73,#REF!,BC$1)</f>
        <v>#REF!</v>
      </c>
      <c r="BD73" s="24" t="e">
        <f>SUMIFS(#REF!,#REF!,$B73,#REF!,BD$1)</f>
        <v>#REF!</v>
      </c>
      <c r="BE73" s="24" t="e">
        <f>SUMIFS(#REF!,#REF!,$B73,#REF!,BE$1)</f>
        <v>#REF!</v>
      </c>
      <c r="BF73" s="24" t="e">
        <f>SUMIFS(#REF!,#REF!,$B73,#REF!,BF$1)</f>
        <v>#REF!</v>
      </c>
      <c r="BG73" s="24" t="e">
        <f>SUMIFS(#REF!,#REF!,$B73,#REF!,BG$1)</f>
        <v>#REF!</v>
      </c>
      <c r="BH73" s="24" t="e">
        <f>SUMIFS(#REF!,#REF!,$B73,#REF!,BH$1)</f>
        <v>#REF!</v>
      </c>
      <c r="BI73" s="24" t="e">
        <f>SUMIFS(#REF!,#REF!,$B73,#REF!,BI$1)</f>
        <v>#REF!</v>
      </c>
      <c r="BJ73" s="24" t="e">
        <f>SUMIFS(#REF!,#REF!,$B73,#REF!,BJ$1)</f>
        <v>#REF!</v>
      </c>
      <c r="BK73" s="24" t="e">
        <f>SUMIFS(#REF!,#REF!,$B73,#REF!,BK$1)</f>
        <v>#REF!</v>
      </c>
      <c r="BL73" s="24" t="e">
        <f>SUMIFS(#REF!,#REF!,$B73,#REF!,BL$1)</f>
        <v>#REF!</v>
      </c>
      <c r="BM73" s="24" t="e">
        <f>SUMIFS(#REF!,#REF!,$B73,#REF!,BM$1)</f>
        <v>#REF!</v>
      </c>
      <c r="BN73" s="24" t="e">
        <f>SUMIFS(#REF!,#REF!,$B73,#REF!,BN$1)</f>
        <v>#REF!</v>
      </c>
      <c r="BO73" s="24" t="e">
        <f>SUMIFS(#REF!,#REF!,$B73,#REF!,BO$1)</f>
        <v>#REF!</v>
      </c>
      <c r="BP73" s="24" t="e">
        <f>SUMIFS(#REF!,#REF!,$B73,#REF!,BP$1)</f>
        <v>#REF!</v>
      </c>
      <c r="BQ73" s="24" t="e">
        <f>SUMIFS(#REF!,#REF!,$B73,#REF!,BQ$1)</f>
        <v>#REF!</v>
      </c>
      <c r="BR73" s="24" t="e">
        <f>SUMIFS(#REF!,#REF!,$B73,#REF!,BR$1)</f>
        <v>#REF!</v>
      </c>
      <c r="BS73" s="24" t="e">
        <f>SUMIFS(#REF!,#REF!,$B73,#REF!,BS$1)</f>
        <v>#REF!</v>
      </c>
      <c r="BT73" s="24" t="e">
        <f>SUMIFS(#REF!,#REF!,$B73,#REF!,BT$1)</f>
        <v>#REF!</v>
      </c>
      <c r="BU73" s="24" t="e">
        <f>SUMIFS(#REF!,#REF!,$B73,#REF!,BU$1)</f>
        <v>#REF!</v>
      </c>
      <c r="BV73" s="24" t="e">
        <f>SUMIFS(#REF!,#REF!,$B73,#REF!,BV$1)</f>
        <v>#REF!</v>
      </c>
      <c r="BW73" s="24" t="e">
        <f>SUMIFS(#REF!,#REF!,$B73,#REF!,BW$1)</f>
        <v>#REF!</v>
      </c>
      <c r="BX73" s="24" t="e">
        <f>SUMIFS(#REF!,#REF!,$B73,#REF!,BX$1)</f>
        <v>#REF!</v>
      </c>
      <c r="BY73" s="24" t="e">
        <f>SUMIFS(#REF!,#REF!,$B73,#REF!,BY$1)</f>
        <v>#REF!</v>
      </c>
      <c r="BZ73" s="24" t="e">
        <f>SUMIFS(#REF!,#REF!,$B73,#REF!,BZ$1)</f>
        <v>#REF!</v>
      </c>
      <c r="CA73" s="24" t="e">
        <f>SUMIFS(#REF!,#REF!,$B73,#REF!,CA$1)</f>
        <v>#REF!</v>
      </c>
      <c r="CB73" s="24" t="e">
        <f>SUMIFS(#REF!,#REF!,$B73,#REF!,CB$1)</f>
        <v>#REF!</v>
      </c>
      <c r="CC73" s="24" t="e">
        <f>SUMIFS(#REF!,#REF!,$B73,#REF!,CC$1)</f>
        <v>#REF!</v>
      </c>
      <c r="CD73" s="24" t="e">
        <f>SUMIFS(#REF!,#REF!,$B73,#REF!,CD$1)</f>
        <v>#REF!</v>
      </c>
      <c r="CE73" s="24" t="e">
        <f>SUMIFS(#REF!,#REF!,$B73,#REF!,CE$1)</f>
        <v>#REF!</v>
      </c>
      <c r="CF73" s="24" t="e">
        <f>SUMIFS(#REF!,#REF!,$B73,#REF!,CF$1)</f>
        <v>#REF!</v>
      </c>
      <c r="CG73" s="19" t="e">
        <f t="shared" si="1"/>
        <v>#REF!</v>
      </c>
    </row>
    <row r="74" spans="1:85" x14ac:dyDescent="0.45">
      <c r="A74" s="4" t="s">
        <v>1129</v>
      </c>
      <c r="B74" s="4" t="s">
        <v>1130</v>
      </c>
      <c r="C74" s="24" t="e">
        <f>SUMIFS(#REF!,#REF!,$B74,#REF!,C$1)</f>
        <v>#REF!</v>
      </c>
      <c r="D74" s="24" t="e">
        <f>SUMIFS(#REF!,#REF!,$B74,#REF!,D$1)</f>
        <v>#REF!</v>
      </c>
      <c r="E74" s="24" t="e">
        <f>SUMIFS(#REF!,#REF!,$B74,#REF!,E$1)</f>
        <v>#REF!</v>
      </c>
      <c r="F74" s="24" t="e">
        <f>SUMIFS(#REF!,#REF!,$B74,#REF!,F$1)</f>
        <v>#REF!</v>
      </c>
      <c r="G74" s="24" t="e">
        <f>SUMIFS(#REF!,#REF!,$B74,#REF!,G$1)</f>
        <v>#REF!</v>
      </c>
      <c r="H74" s="24" t="e">
        <f>SUMIFS(#REF!,#REF!,$B74,#REF!,H$1)</f>
        <v>#REF!</v>
      </c>
      <c r="I74" s="24" t="e">
        <f>SUMIFS(#REF!,#REF!,$B74,#REF!,I$1)</f>
        <v>#REF!</v>
      </c>
      <c r="J74" s="24" t="e">
        <f>SUMIFS(#REF!,#REF!,$B74,#REF!,J$1)</f>
        <v>#REF!</v>
      </c>
      <c r="K74" s="24" t="e">
        <f>SUMIFS(#REF!,#REF!,$B74,#REF!,K$1)</f>
        <v>#REF!</v>
      </c>
      <c r="L74" s="24" t="e">
        <f>SUMIFS(#REF!,#REF!,$B74,#REF!,L$1)</f>
        <v>#REF!</v>
      </c>
      <c r="M74" s="24" t="e">
        <f>SUMIFS(#REF!,#REF!,$B74,#REF!,M$1)</f>
        <v>#REF!</v>
      </c>
      <c r="N74" s="24" t="e">
        <f>SUMIFS(#REF!,#REF!,$B74,#REF!,N$1)</f>
        <v>#REF!</v>
      </c>
      <c r="O74" s="24" t="e">
        <f>SUMIFS(#REF!,#REF!,$B74,#REF!,O$1)</f>
        <v>#REF!</v>
      </c>
      <c r="P74" s="24" t="e">
        <f>SUMIFS(#REF!,#REF!,$B74,#REF!,P$1)</f>
        <v>#REF!</v>
      </c>
      <c r="Q74" s="24" t="e">
        <f>SUMIFS(#REF!,#REF!,$B74,#REF!,Q$1)</f>
        <v>#REF!</v>
      </c>
      <c r="R74" s="24" t="e">
        <f>SUMIFS(#REF!,#REF!,$B74,#REF!,R$1)</f>
        <v>#REF!</v>
      </c>
      <c r="S74" s="24" t="e">
        <f>SUMIFS(#REF!,#REF!,$B74,#REF!,S$1)</f>
        <v>#REF!</v>
      </c>
      <c r="T74" s="24" t="e">
        <f>SUMIFS(#REF!,#REF!,$B74,#REF!,T$1)</f>
        <v>#REF!</v>
      </c>
      <c r="U74" s="24" t="e">
        <f>SUMIFS(#REF!,#REF!,$B74,#REF!,U$1)</f>
        <v>#REF!</v>
      </c>
      <c r="V74" s="24" t="e">
        <f>SUMIFS(#REF!,#REF!,$B74,#REF!,V$1)</f>
        <v>#REF!</v>
      </c>
      <c r="W74" s="24" t="e">
        <f>SUMIFS(#REF!,#REF!,$B74,#REF!,W$1)</f>
        <v>#REF!</v>
      </c>
      <c r="X74" s="24" t="e">
        <f>SUMIFS(#REF!,#REF!,$B74,#REF!,X$1)</f>
        <v>#REF!</v>
      </c>
      <c r="Y74" s="24" t="e">
        <f>SUMIFS(#REF!,#REF!,$B74,#REF!,Y$1)</f>
        <v>#REF!</v>
      </c>
      <c r="Z74" s="24" t="e">
        <f>SUMIFS(#REF!,#REF!,$B74,#REF!,Z$1)</f>
        <v>#REF!</v>
      </c>
      <c r="AA74" s="24" t="e">
        <f>SUMIFS(#REF!,#REF!,$B74,#REF!,AA$1)</f>
        <v>#REF!</v>
      </c>
      <c r="AB74" s="24" t="e">
        <f>SUMIFS(#REF!,#REF!,$B74,#REF!,AB$1)</f>
        <v>#REF!</v>
      </c>
      <c r="AC74" s="24" t="e">
        <f>SUMIFS(#REF!,#REF!,$B74,#REF!,AC$1)</f>
        <v>#REF!</v>
      </c>
      <c r="AD74" s="24" t="e">
        <f>SUMIFS(#REF!,#REF!,$B74,#REF!,AD$1)</f>
        <v>#REF!</v>
      </c>
      <c r="AE74" s="24" t="e">
        <f>SUMIFS(#REF!,#REF!,$B74,#REF!,AE$1)</f>
        <v>#REF!</v>
      </c>
      <c r="AF74" s="24" t="e">
        <f>SUMIFS(#REF!,#REF!,$B74,#REF!,AF$1)</f>
        <v>#REF!</v>
      </c>
      <c r="AG74" s="24" t="e">
        <f>SUMIFS(#REF!,#REF!,$B74,#REF!,AG$1)</f>
        <v>#REF!</v>
      </c>
      <c r="AH74" s="24" t="e">
        <f>SUMIFS(#REF!,#REF!,$B74,#REF!,AH$1)</f>
        <v>#REF!</v>
      </c>
      <c r="AI74" s="24" t="e">
        <f>SUMIFS(#REF!,#REF!,$B74,#REF!,AI$1)</f>
        <v>#REF!</v>
      </c>
      <c r="AJ74" s="24" t="e">
        <f>SUMIFS(#REF!,#REF!,$B74,#REF!,AJ$1)</f>
        <v>#REF!</v>
      </c>
      <c r="AK74" s="24" t="e">
        <f>SUMIFS(#REF!,#REF!,$B74,#REF!,AK$1)</f>
        <v>#REF!</v>
      </c>
      <c r="AL74" s="24" t="e">
        <f>SUMIFS(#REF!,#REF!,$B74,#REF!,AL$1)</f>
        <v>#REF!</v>
      </c>
      <c r="AM74" s="24" t="e">
        <f>SUMIFS(#REF!,#REF!,$B74,#REF!,AM$1)</f>
        <v>#REF!</v>
      </c>
      <c r="AN74" s="24" t="e">
        <f>SUMIFS(#REF!,#REF!,$B74,#REF!,AN$1)</f>
        <v>#REF!</v>
      </c>
      <c r="AO74" s="24" t="e">
        <f>SUMIFS(#REF!,#REF!,$B74,#REF!,AO$1)</f>
        <v>#REF!</v>
      </c>
      <c r="AP74" s="24" t="e">
        <f>SUMIFS(#REF!,#REF!,$B74,#REF!,AP$1)</f>
        <v>#REF!</v>
      </c>
      <c r="AQ74" s="24" t="e">
        <f>SUMIFS(#REF!,#REF!,$B74,#REF!,AQ$1)</f>
        <v>#REF!</v>
      </c>
      <c r="AR74" s="24" t="e">
        <f>SUMIFS(#REF!,#REF!,$B74,#REF!,AR$1)</f>
        <v>#REF!</v>
      </c>
      <c r="AS74" s="24" t="e">
        <f>SUMIFS(#REF!,#REF!,$B74,#REF!,AS$1)</f>
        <v>#REF!</v>
      </c>
      <c r="AT74" s="24" t="e">
        <f>SUMIFS(#REF!,#REF!,$B74,#REF!,AT$1)</f>
        <v>#REF!</v>
      </c>
      <c r="AU74" s="24" t="e">
        <f>SUMIFS(#REF!,#REF!,$B74,#REF!,AU$1)</f>
        <v>#REF!</v>
      </c>
      <c r="AV74" s="24" t="e">
        <f>SUMIFS(#REF!,#REF!,$B74,#REF!,AV$1)</f>
        <v>#REF!</v>
      </c>
      <c r="AW74" s="24" t="e">
        <f>SUMIFS(#REF!,#REF!,$B74,#REF!,AW$1)</f>
        <v>#REF!</v>
      </c>
      <c r="AX74" s="24" t="e">
        <f>SUMIFS(#REF!,#REF!,$B74,#REF!,AX$1)</f>
        <v>#REF!</v>
      </c>
      <c r="AY74" s="24" t="e">
        <f>SUMIFS(#REF!,#REF!,$B74,#REF!,AY$1)</f>
        <v>#REF!</v>
      </c>
      <c r="AZ74" s="24" t="e">
        <f>SUMIFS(#REF!,#REF!,$B74,#REF!,AZ$1)</f>
        <v>#REF!</v>
      </c>
      <c r="BA74" s="24" t="e">
        <f>SUMIFS(#REF!,#REF!,$B74,#REF!,BA$1)</f>
        <v>#REF!</v>
      </c>
      <c r="BB74" s="24" t="e">
        <f>SUMIFS(#REF!,#REF!,$B74,#REF!,BB$1)</f>
        <v>#REF!</v>
      </c>
      <c r="BC74" s="24" t="e">
        <f>SUMIFS(#REF!,#REF!,$B74,#REF!,BC$1)</f>
        <v>#REF!</v>
      </c>
      <c r="BD74" s="24" t="e">
        <f>SUMIFS(#REF!,#REF!,$B74,#REF!,BD$1)</f>
        <v>#REF!</v>
      </c>
      <c r="BE74" s="24" t="e">
        <f>SUMIFS(#REF!,#REF!,$B74,#REF!,BE$1)</f>
        <v>#REF!</v>
      </c>
      <c r="BF74" s="24" t="e">
        <f>SUMIFS(#REF!,#REF!,$B74,#REF!,BF$1)</f>
        <v>#REF!</v>
      </c>
      <c r="BG74" s="24" t="e">
        <f>SUMIFS(#REF!,#REF!,$B74,#REF!,BG$1)</f>
        <v>#REF!</v>
      </c>
      <c r="BH74" s="24" t="e">
        <f>SUMIFS(#REF!,#REF!,$B74,#REF!,BH$1)</f>
        <v>#REF!</v>
      </c>
      <c r="BI74" s="24" t="e">
        <f>SUMIFS(#REF!,#REF!,$B74,#REF!,BI$1)</f>
        <v>#REF!</v>
      </c>
      <c r="BJ74" s="24" t="e">
        <f>SUMIFS(#REF!,#REF!,$B74,#REF!,BJ$1)</f>
        <v>#REF!</v>
      </c>
      <c r="BK74" s="24" t="e">
        <f>SUMIFS(#REF!,#REF!,$B74,#REF!,BK$1)</f>
        <v>#REF!</v>
      </c>
      <c r="BL74" s="24" t="e">
        <f>SUMIFS(#REF!,#REF!,$B74,#REF!,BL$1)</f>
        <v>#REF!</v>
      </c>
      <c r="BM74" s="24" t="e">
        <f>SUMIFS(#REF!,#REF!,$B74,#REF!,BM$1)</f>
        <v>#REF!</v>
      </c>
      <c r="BN74" s="24" t="e">
        <f>SUMIFS(#REF!,#REF!,$B74,#REF!,BN$1)</f>
        <v>#REF!</v>
      </c>
      <c r="BO74" s="24" t="e">
        <f>SUMIFS(#REF!,#REF!,$B74,#REF!,BO$1)</f>
        <v>#REF!</v>
      </c>
      <c r="BP74" s="24" t="e">
        <f>SUMIFS(#REF!,#REF!,$B74,#REF!,BP$1)</f>
        <v>#REF!</v>
      </c>
      <c r="BQ74" s="24" t="e">
        <f>SUMIFS(#REF!,#REF!,$B74,#REF!,BQ$1)</f>
        <v>#REF!</v>
      </c>
      <c r="BR74" s="24" t="e">
        <f>SUMIFS(#REF!,#REF!,$B74,#REF!,BR$1)</f>
        <v>#REF!</v>
      </c>
      <c r="BS74" s="24" t="e">
        <f>SUMIFS(#REF!,#REF!,$B74,#REF!,BS$1)</f>
        <v>#REF!</v>
      </c>
      <c r="BT74" s="24" t="e">
        <f>SUMIFS(#REF!,#REF!,$B74,#REF!,BT$1)</f>
        <v>#REF!</v>
      </c>
      <c r="BU74" s="24" t="e">
        <f>SUMIFS(#REF!,#REF!,$B74,#REF!,BU$1)</f>
        <v>#REF!</v>
      </c>
      <c r="BV74" s="24" t="e">
        <f>SUMIFS(#REF!,#REF!,$B74,#REF!,BV$1)</f>
        <v>#REF!</v>
      </c>
      <c r="BW74" s="24" t="e">
        <f>SUMIFS(#REF!,#REF!,$B74,#REF!,BW$1)</f>
        <v>#REF!</v>
      </c>
      <c r="BX74" s="24" t="e">
        <f>SUMIFS(#REF!,#REF!,$B74,#REF!,BX$1)</f>
        <v>#REF!</v>
      </c>
      <c r="BY74" s="24" t="e">
        <f>SUMIFS(#REF!,#REF!,$B74,#REF!,BY$1)</f>
        <v>#REF!</v>
      </c>
      <c r="BZ74" s="24" t="e">
        <f>SUMIFS(#REF!,#REF!,$B74,#REF!,BZ$1)</f>
        <v>#REF!</v>
      </c>
      <c r="CA74" s="24" t="e">
        <f>SUMIFS(#REF!,#REF!,$B74,#REF!,CA$1)</f>
        <v>#REF!</v>
      </c>
      <c r="CB74" s="24" t="e">
        <f>SUMIFS(#REF!,#REF!,$B74,#REF!,CB$1)</f>
        <v>#REF!</v>
      </c>
      <c r="CC74" s="24" t="e">
        <f>SUMIFS(#REF!,#REF!,$B74,#REF!,CC$1)</f>
        <v>#REF!</v>
      </c>
      <c r="CD74" s="24" t="e">
        <f>SUMIFS(#REF!,#REF!,$B74,#REF!,CD$1)</f>
        <v>#REF!</v>
      </c>
      <c r="CE74" s="24" t="e">
        <f>SUMIFS(#REF!,#REF!,$B74,#REF!,CE$1)</f>
        <v>#REF!</v>
      </c>
      <c r="CF74" s="24" t="e">
        <f>SUMIFS(#REF!,#REF!,$B74,#REF!,CF$1)</f>
        <v>#REF!</v>
      </c>
      <c r="CG74" s="19" t="e">
        <f t="shared" si="1"/>
        <v>#REF!</v>
      </c>
    </row>
    <row r="75" spans="1:85" x14ac:dyDescent="0.45">
      <c r="A75" s="4" t="s">
        <v>1131</v>
      </c>
      <c r="B75" s="4" t="s">
        <v>1132</v>
      </c>
      <c r="C75" s="24" t="e">
        <f>SUMIFS(#REF!,#REF!,$B75,#REF!,C$1)</f>
        <v>#REF!</v>
      </c>
      <c r="D75" s="24" t="e">
        <f>SUMIFS(#REF!,#REF!,$B75,#REF!,D$1)</f>
        <v>#REF!</v>
      </c>
      <c r="E75" s="24" t="e">
        <f>SUMIFS(#REF!,#REF!,$B75,#REF!,E$1)</f>
        <v>#REF!</v>
      </c>
      <c r="F75" s="24" t="e">
        <f>SUMIFS(#REF!,#REF!,$B75,#REF!,F$1)</f>
        <v>#REF!</v>
      </c>
      <c r="G75" s="24" t="e">
        <f>SUMIFS(#REF!,#REF!,$B75,#REF!,G$1)</f>
        <v>#REF!</v>
      </c>
      <c r="H75" s="24" t="e">
        <f>SUMIFS(#REF!,#REF!,$B75,#REF!,H$1)</f>
        <v>#REF!</v>
      </c>
      <c r="I75" s="24" t="e">
        <f>SUMIFS(#REF!,#REF!,$B75,#REF!,I$1)</f>
        <v>#REF!</v>
      </c>
      <c r="J75" s="24" t="e">
        <f>SUMIFS(#REF!,#REF!,$B75,#REF!,J$1)</f>
        <v>#REF!</v>
      </c>
      <c r="K75" s="24" t="e">
        <f>SUMIFS(#REF!,#REF!,$B75,#REF!,K$1)</f>
        <v>#REF!</v>
      </c>
      <c r="L75" s="24" t="e">
        <f>SUMIFS(#REF!,#REF!,$B75,#REF!,L$1)</f>
        <v>#REF!</v>
      </c>
      <c r="M75" s="24" t="e">
        <f>SUMIFS(#REF!,#REF!,$B75,#REF!,M$1)</f>
        <v>#REF!</v>
      </c>
      <c r="N75" s="24" t="e">
        <f>SUMIFS(#REF!,#REF!,$B75,#REF!,N$1)</f>
        <v>#REF!</v>
      </c>
      <c r="O75" s="24" t="e">
        <f>SUMIFS(#REF!,#REF!,$B75,#REF!,O$1)</f>
        <v>#REF!</v>
      </c>
      <c r="P75" s="24" t="e">
        <f>SUMIFS(#REF!,#REF!,$B75,#REF!,P$1)</f>
        <v>#REF!</v>
      </c>
      <c r="Q75" s="24" t="e">
        <f>SUMIFS(#REF!,#REF!,$B75,#REF!,Q$1)</f>
        <v>#REF!</v>
      </c>
      <c r="R75" s="24" t="e">
        <f>SUMIFS(#REF!,#REF!,$B75,#REF!,R$1)</f>
        <v>#REF!</v>
      </c>
      <c r="S75" s="24" t="e">
        <f>SUMIFS(#REF!,#REF!,$B75,#REF!,S$1)</f>
        <v>#REF!</v>
      </c>
      <c r="T75" s="24" t="e">
        <f>SUMIFS(#REF!,#REF!,$B75,#REF!,T$1)</f>
        <v>#REF!</v>
      </c>
      <c r="U75" s="24" t="e">
        <f>SUMIFS(#REF!,#REF!,$B75,#REF!,U$1)</f>
        <v>#REF!</v>
      </c>
      <c r="V75" s="24" t="e">
        <f>SUMIFS(#REF!,#REF!,$B75,#REF!,V$1)</f>
        <v>#REF!</v>
      </c>
      <c r="W75" s="24" t="e">
        <f>SUMIFS(#REF!,#REF!,$B75,#REF!,W$1)</f>
        <v>#REF!</v>
      </c>
      <c r="X75" s="24" t="e">
        <f>SUMIFS(#REF!,#REF!,$B75,#REF!,X$1)</f>
        <v>#REF!</v>
      </c>
      <c r="Y75" s="24" t="e">
        <f>SUMIFS(#REF!,#REF!,$B75,#REF!,Y$1)</f>
        <v>#REF!</v>
      </c>
      <c r="Z75" s="24" t="e">
        <f>SUMIFS(#REF!,#REF!,$B75,#REF!,Z$1)</f>
        <v>#REF!</v>
      </c>
      <c r="AA75" s="24" t="e">
        <f>SUMIFS(#REF!,#REF!,$B75,#REF!,AA$1)</f>
        <v>#REF!</v>
      </c>
      <c r="AB75" s="24" t="e">
        <f>SUMIFS(#REF!,#REF!,$B75,#REF!,AB$1)</f>
        <v>#REF!</v>
      </c>
      <c r="AC75" s="24" t="e">
        <f>SUMIFS(#REF!,#REF!,$B75,#REF!,AC$1)</f>
        <v>#REF!</v>
      </c>
      <c r="AD75" s="24" t="e">
        <f>SUMIFS(#REF!,#REF!,$B75,#REF!,AD$1)</f>
        <v>#REF!</v>
      </c>
      <c r="AE75" s="24" t="e">
        <f>SUMIFS(#REF!,#REF!,$B75,#REF!,AE$1)</f>
        <v>#REF!</v>
      </c>
      <c r="AF75" s="24" t="e">
        <f>SUMIFS(#REF!,#REF!,$B75,#REF!,AF$1)</f>
        <v>#REF!</v>
      </c>
      <c r="AG75" s="24" t="e">
        <f>SUMIFS(#REF!,#REF!,$B75,#REF!,AG$1)</f>
        <v>#REF!</v>
      </c>
      <c r="AH75" s="24" t="e">
        <f>SUMIFS(#REF!,#REF!,$B75,#REF!,AH$1)</f>
        <v>#REF!</v>
      </c>
      <c r="AI75" s="24" t="e">
        <f>SUMIFS(#REF!,#REF!,$B75,#REF!,AI$1)</f>
        <v>#REF!</v>
      </c>
      <c r="AJ75" s="24" t="e">
        <f>SUMIFS(#REF!,#REF!,$B75,#REF!,AJ$1)</f>
        <v>#REF!</v>
      </c>
      <c r="AK75" s="24" t="e">
        <f>SUMIFS(#REF!,#REF!,$B75,#REF!,AK$1)</f>
        <v>#REF!</v>
      </c>
      <c r="AL75" s="24" t="e">
        <f>SUMIFS(#REF!,#REF!,$B75,#REF!,AL$1)</f>
        <v>#REF!</v>
      </c>
      <c r="AM75" s="24" t="e">
        <f>SUMIFS(#REF!,#REF!,$B75,#REF!,AM$1)</f>
        <v>#REF!</v>
      </c>
      <c r="AN75" s="24" t="e">
        <f>SUMIFS(#REF!,#REF!,$B75,#REF!,AN$1)</f>
        <v>#REF!</v>
      </c>
      <c r="AO75" s="24" t="e">
        <f>SUMIFS(#REF!,#REF!,$B75,#REF!,AO$1)</f>
        <v>#REF!</v>
      </c>
      <c r="AP75" s="24" t="e">
        <f>SUMIFS(#REF!,#REF!,$B75,#REF!,AP$1)</f>
        <v>#REF!</v>
      </c>
      <c r="AQ75" s="24" t="e">
        <f>SUMIFS(#REF!,#REF!,$B75,#REF!,AQ$1)</f>
        <v>#REF!</v>
      </c>
      <c r="AR75" s="24" t="e">
        <f>SUMIFS(#REF!,#REF!,$B75,#REF!,AR$1)</f>
        <v>#REF!</v>
      </c>
      <c r="AS75" s="24" t="e">
        <f>SUMIFS(#REF!,#REF!,$B75,#REF!,AS$1)</f>
        <v>#REF!</v>
      </c>
      <c r="AT75" s="24" t="e">
        <f>SUMIFS(#REF!,#REF!,$B75,#REF!,AT$1)</f>
        <v>#REF!</v>
      </c>
      <c r="AU75" s="24" t="e">
        <f>SUMIFS(#REF!,#REF!,$B75,#REF!,AU$1)</f>
        <v>#REF!</v>
      </c>
      <c r="AV75" s="24" t="e">
        <f>SUMIFS(#REF!,#REF!,$B75,#REF!,AV$1)</f>
        <v>#REF!</v>
      </c>
      <c r="AW75" s="24" t="e">
        <f>SUMIFS(#REF!,#REF!,$B75,#REF!,AW$1)</f>
        <v>#REF!</v>
      </c>
      <c r="AX75" s="24" t="e">
        <f>SUMIFS(#REF!,#REF!,$B75,#REF!,AX$1)</f>
        <v>#REF!</v>
      </c>
      <c r="AY75" s="24" t="e">
        <f>SUMIFS(#REF!,#REF!,$B75,#REF!,AY$1)</f>
        <v>#REF!</v>
      </c>
      <c r="AZ75" s="24" t="e">
        <f>SUMIFS(#REF!,#REF!,$B75,#REF!,AZ$1)</f>
        <v>#REF!</v>
      </c>
      <c r="BA75" s="24" t="e">
        <f>SUMIFS(#REF!,#REF!,$B75,#REF!,BA$1)</f>
        <v>#REF!</v>
      </c>
      <c r="BB75" s="24" t="e">
        <f>SUMIFS(#REF!,#REF!,$B75,#REF!,BB$1)</f>
        <v>#REF!</v>
      </c>
      <c r="BC75" s="24" t="e">
        <f>SUMIFS(#REF!,#REF!,$B75,#REF!,BC$1)</f>
        <v>#REF!</v>
      </c>
      <c r="BD75" s="24" t="e">
        <f>SUMIFS(#REF!,#REF!,$B75,#REF!,BD$1)</f>
        <v>#REF!</v>
      </c>
      <c r="BE75" s="24" t="e">
        <f>SUMIFS(#REF!,#REF!,$B75,#REF!,BE$1)</f>
        <v>#REF!</v>
      </c>
      <c r="BF75" s="24" t="e">
        <f>SUMIFS(#REF!,#REF!,$B75,#REF!,BF$1)</f>
        <v>#REF!</v>
      </c>
      <c r="BG75" s="24" t="e">
        <f>SUMIFS(#REF!,#REF!,$B75,#REF!,BG$1)</f>
        <v>#REF!</v>
      </c>
      <c r="BH75" s="24" t="e">
        <f>SUMIFS(#REF!,#REF!,$B75,#REF!,BH$1)</f>
        <v>#REF!</v>
      </c>
      <c r="BI75" s="24" t="e">
        <f>SUMIFS(#REF!,#REF!,$B75,#REF!,BI$1)</f>
        <v>#REF!</v>
      </c>
      <c r="BJ75" s="24" t="e">
        <f>SUMIFS(#REF!,#REF!,$B75,#REF!,BJ$1)</f>
        <v>#REF!</v>
      </c>
      <c r="BK75" s="24" t="e">
        <f>SUMIFS(#REF!,#REF!,$B75,#REF!,BK$1)</f>
        <v>#REF!</v>
      </c>
      <c r="BL75" s="24" t="e">
        <f>SUMIFS(#REF!,#REF!,$B75,#REF!,BL$1)</f>
        <v>#REF!</v>
      </c>
      <c r="BM75" s="24" t="e">
        <f>SUMIFS(#REF!,#REF!,$B75,#REF!,BM$1)</f>
        <v>#REF!</v>
      </c>
      <c r="BN75" s="24" t="e">
        <f>SUMIFS(#REF!,#REF!,$B75,#REF!,BN$1)</f>
        <v>#REF!</v>
      </c>
      <c r="BO75" s="24" t="e">
        <f>SUMIFS(#REF!,#REF!,$B75,#REF!,BO$1)</f>
        <v>#REF!</v>
      </c>
      <c r="BP75" s="24" t="e">
        <f>SUMIFS(#REF!,#REF!,$B75,#REF!,BP$1)</f>
        <v>#REF!</v>
      </c>
      <c r="BQ75" s="24" t="e">
        <f>SUMIFS(#REF!,#REF!,$B75,#REF!,BQ$1)</f>
        <v>#REF!</v>
      </c>
      <c r="BR75" s="24" t="e">
        <f>SUMIFS(#REF!,#REF!,$B75,#REF!,BR$1)</f>
        <v>#REF!</v>
      </c>
      <c r="BS75" s="24" t="e">
        <f>SUMIFS(#REF!,#REF!,$B75,#REF!,BS$1)</f>
        <v>#REF!</v>
      </c>
      <c r="BT75" s="24" t="e">
        <f>SUMIFS(#REF!,#REF!,$B75,#REF!,BT$1)</f>
        <v>#REF!</v>
      </c>
      <c r="BU75" s="24" t="e">
        <f>SUMIFS(#REF!,#REF!,$B75,#REF!,BU$1)</f>
        <v>#REF!</v>
      </c>
      <c r="BV75" s="24" t="e">
        <f>SUMIFS(#REF!,#REF!,$B75,#REF!,BV$1)</f>
        <v>#REF!</v>
      </c>
      <c r="BW75" s="24" t="e">
        <f>SUMIFS(#REF!,#REF!,$B75,#REF!,BW$1)</f>
        <v>#REF!</v>
      </c>
      <c r="BX75" s="24" t="e">
        <f>SUMIFS(#REF!,#REF!,$B75,#REF!,BX$1)</f>
        <v>#REF!</v>
      </c>
      <c r="BY75" s="24" t="e">
        <f>SUMIFS(#REF!,#REF!,$B75,#REF!,BY$1)</f>
        <v>#REF!</v>
      </c>
      <c r="BZ75" s="24" t="e">
        <f>SUMIFS(#REF!,#REF!,$B75,#REF!,BZ$1)</f>
        <v>#REF!</v>
      </c>
      <c r="CA75" s="24" t="e">
        <f>SUMIFS(#REF!,#REF!,$B75,#REF!,CA$1)</f>
        <v>#REF!</v>
      </c>
      <c r="CB75" s="24" t="e">
        <f>SUMIFS(#REF!,#REF!,$B75,#REF!,CB$1)</f>
        <v>#REF!</v>
      </c>
      <c r="CC75" s="24" t="e">
        <f>SUMIFS(#REF!,#REF!,$B75,#REF!,CC$1)</f>
        <v>#REF!</v>
      </c>
      <c r="CD75" s="24" t="e">
        <f>SUMIFS(#REF!,#REF!,$B75,#REF!,CD$1)</f>
        <v>#REF!</v>
      </c>
      <c r="CE75" s="24" t="e">
        <f>SUMIFS(#REF!,#REF!,$B75,#REF!,CE$1)</f>
        <v>#REF!</v>
      </c>
      <c r="CF75" s="24" t="e">
        <f>SUMIFS(#REF!,#REF!,$B75,#REF!,CF$1)</f>
        <v>#REF!</v>
      </c>
      <c r="CG75" s="19" t="e">
        <f t="shared" si="1"/>
        <v>#REF!</v>
      </c>
    </row>
    <row r="76" spans="1:85" x14ac:dyDescent="0.45">
      <c r="A76" s="4" t="s">
        <v>1133</v>
      </c>
      <c r="B76" s="4" t="s">
        <v>1134</v>
      </c>
      <c r="C76" s="24" t="e">
        <f>SUMIFS(#REF!,#REF!,$B76,#REF!,C$1)</f>
        <v>#REF!</v>
      </c>
      <c r="D76" s="24" t="e">
        <f>SUMIFS(#REF!,#REF!,$B76,#REF!,D$1)</f>
        <v>#REF!</v>
      </c>
      <c r="E76" s="24" t="e">
        <f>SUMIFS(#REF!,#REF!,$B76,#REF!,E$1)</f>
        <v>#REF!</v>
      </c>
      <c r="F76" s="24" t="e">
        <f>SUMIFS(#REF!,#REF!,$B76,#REF!,F$1)</f>
        <v>#REF!</v>
      </c>
      <c r="G76" s="24" t="e">
        <f>SUMIFS(#REF!,#REF!,$B76,#REF!,G$1)</f>
        <v>#REF!</v>
      </c>
      <c r="H76" s="24" t="e">
        <f>SUMIFS(#REF!,#REF!,$B76,#REF!,H$1)</f>
        <v>#REF!</v>
      </c>
      <c r="I76" s="24" t="e">
        <f>SUMIFS(#REF!,#REF!,$B76,#REF!,I$1)</f>
        <v>#REF!</v>
      </c>
      <c r="J76" s="24" t="e">
        <f>SUMIFS(#REF!,#REF!,$B76,#REF!,J$1)</f>
        <v>#REF!</v>
      </c>
      <c r="K76" s="24" t="e">
        <f>SUMIFS(#REF!,#REF!,$B76,#REF!,K$1)</f>
        <v>#REF!</v>
      </c>
      <c r="L76" s="24" t="e">
        <f>SUMIFS(#REF!,#REF!,$B76,#REF!,L$1)</f>
        <v>#REF!</v>
      </c>
      <c r="M76" s="24" t="e">
        <f>SUMIFS(#REF!,#REF!,$B76,#REF!,M$1)</f>
        <v>#REF!</v>
      </c>
      <c r="N76" s="24" t="e">
        <f>SUMIFS(#REF!,#REF!,$B76,#REF!,N$1)</f>
        <v>#REF!</v>
      </c>
      <c r="O76" s="24" t="e">
        <f>SUMIFS(#REF!,#REF!,$B76,#REF!,O$1)</f>
        <v>#REF!</v>
      </c>
      <c r="P76" s="24" t="e">
        <f>SUMIFS(#REF!,#REF!,$B76,#REF!,P$1)</f>
        <v>#REF!</v>
      </c>
      <c r="Q76" s="24" t="e">
        <f>SUMIFS(#REF!,#REF!,$B76,#REF!,Q$1)</f>
        <v>#REF!</v>
      </c>
      <c r="R76" s="24" t="e">
        <f>SUMIFS(#REF!,#REF!,$B76,#REF!,R$1)</f>
        <v>#REF!</v>
      </c>
      <c r="S76" s="24" t="e">
        <f>SUMIFS(#REF!,#REF!,$B76,#REF!,S$1)</f>
        <v>#REF!</v>
      </c>
      <c r="T76" s="24" t="e">
        <f>SUMIFS(#REF!,#REF!,$B76,#REF!,T$1)</f>
        <v>#REF!</v>
      </c>
      <c r="U76" s="24" t="e">
        <f>SUMIFS(#REF!,#REF!,$B76,#REF!,U$1)</f>
        <v>#REF!</v>
      </c>
      <c r="V76" s="24" t="e">
        <f>SUMIFS(#REF!,#REF!,$B76,#REF!,V$1)</f>
        <v>#REF!</v>
      </c>
      <c r="W76" s="24" t="e">
        <f>SUMIFS(#REF!,#REF!,$B76,#REF!,W$1)</f>
        <v>#REF!</v>
      </c>
      <c r="X76" s="24" t="e">
        <f>SUMIFS(#REF!,#REF!,$B76,#REF!,X$1)</f>
        <v>#REF!</v>
      </c>
      <c r="Y76" s="24" t="e">
        <f>SUMIFS(#REF!,#REF!,$B76,#REF!,Y$1)</f>
        <v>#REF!</v>
      </c>
      <c r="Z76" s="24" t="e">
        <f>SUMIFS(#REF!,#REF!,$B76,#REF!,Z$1)</f>
        <v>#REF!</v>
      </c>
      <c r="AA76" s="24" t="e">
        <f>SUMIFS(#REF!,#REF!,$B76,#REF!,AA$1)</f>
        <v>#REF!</v>
      </c>
      <c r="AB76" s="24" t="e">
        <f>SUMIFS(#REF!,#REF!,$B76,#REF!,AB$1)</f>
        <v>#REF!</v>
      </c>
      <c r="AC76" s="24" t="e">
        <f>SUMIFS(#REF!,#REF!,$B76,#REF!,AC$1)</f>
        <v>#REF!</v>
      </c>
      <c r="AD76" s="24" t="e">
        <f>SUMIFS(#REF!,#REF!,$B76,#REF!,AD$1)</f>
        <v>#REF!</v>
      </c>
      <c r="AE76" s="24" t="e">
        <f>SUMIFS(#REF!,#REF!,$B76,#REF!,AE$1)</f>
        <v>#REF!</v>
      </c>
      <c r="AF76" s="24" t="e">
        <f>SUMIFS(#REF!,#REF!,$B76,#REF!,AF$1)</f>
        <v>#REF!</v>
      </c>
      <c r="AG76" s="24" t="e">
        <f>SUMIFS(#REF!,#REF!,$B76,#REF!,AG$1)</f>
        <v>#REF!</v>
      </c>
      <c r="AH76" s="24" t="e">
        <f>SUMIFS(#REF!,#REF!,$B76,#REF!,AH$1)</f>
        <v>#REF!</v>
      </c>
      <c r="AI76" s="24" t="e">
        <f>SUMIFS(#REF!,#REF!,$B76,#REF!,AI$1)</f>
        <v>#REF!</v>
      </c>
      <c r="AJ76" s="24" t="e">
        <f>SUMIFS(#REF!,#REF!,$B76,#REF!,AJ$1)</f>
        <v>#REF!</v>
      </c>
      <c r="AK76" s="24" t="e">
        <f>SUMIFS(#REF!,#REF!,$B76,#REF!,AK$1)</f>
        <v>#REF!</v>
      </c>
      <c r="AL76" s="24" t="e">
        <f>SUMIFS(#REF!,#REF!,$B76,#REF!,AL$1)</f>
        <v>#REF!</v>
      </c>
      <c r="AM76" s="24" t="e">
        <f>SUMIFS(#REF!,#REF!,$B76,#REF!,AM$1)</f>
        <v>#REF!</v>
      </c>
      <c r="AN76" s="24" t="e">
        <f>SUMIFS(#REF!,#REF!,$B76,#REF!,AN$1)</f>
        <v>#REF!</v>
      </c>
      <c r="AO76" s="24" t="e">
        <f>SUMIFS(#REF!,#REF!,$B76,#REF!,AO$1)</f>
        <v>#REF!</v>
      </c>
      <c r="AP76" s="24" t="e">
        <f>SUMIFS(#REF!,#REF!,$B76,#REF!,AP$1)</f>
        <v>#REF!</v>
      </c>
      <c r="AQ76" s="24" t="e">
        <f>SUMIFS(#REF!,#REF!,$B76,#REF!,AQ$1)</f>
        <v>#REF!</v>
      </c>
      <c r="AR76" s="24" t="e">
        <f>SUMIFS(#REF!,#REF!,$B76,#REF!,AR$1)</f>
        <v>#REF!</v>
      </c>
      <c r="AS76" s="24" t="e">
        <f>SUMIFS(#REF!,#REF!,$B76,#REF!,AS$1)</f>
        <v>#REF!</v>
      </c>
      <c r="AT76" s="24" t="e">
        <f>SUMIFS(#REF!,#REF!,$B76,#REF!,AT$1)</f>
        <v>#REF!</v>
      </c>
      <c r="AU76" s="24" t="e">
        <f>SUMIFS(#REF!,#REF!,$B76,#REF!,AU$1)</f>
        <v>#REF!</v>
      </c>
      <c r="AV76" s="24" t="e">
        <f>SUMIFS(#REF!,#REF!,$B76,#REF!,AV$1)</f>
        <v>#REF!</v>
      </c>
      <c r="AW76" s="24" t="e">
        <f>SUMIFS(#REF!,#REF!,$B76,#REF!,AW$1)</f>
        <v>#REF!</v>
      </c>
      <c r="AX76" s="24" t="e">
        <f>SUMIFS(#REF!,#REF!,$B76,#REF!,AX$1)</f>
        <v>#REF!</v>
      </c>
      <c r="AY76" s="24" t="e">
        <f>SUMIFS(#REF!,#REF!,$B76,#REF!,AY$1)</f>
        <v>#REF!</v>
      </c>
      <c r="AZ76" s="24" t="e">
        <f>SUMIFS(#REF!,#REF!,$B76,#REF!,AZ$1)</f>
        <v>#REF!</v>
      </c>
      <c r="BA76" s="24" t="e">
        <f>SUMIFS(#REF!,#REF!,$B76,#REF!,BA$1)</f>
        <v>#REF!</v>
      </c>
      <c r="BB76" s="24" t="e">
        <f>SUMIFS(#REF!,#REF!,$B76,#REF!,BB$1)</f>
        <v>#REF!</v>
      </c>
      <c r="BC76" s="24" t="e">
        <f>SUMIFS(#REF!,#REF!,$B76,#REF!,BC$1)</f>
        <v>#REF!</v>
      </c>
      <c r="BD76" s="24" t="e">
        <f>SUMIFS(#REF!,#REF!,$B76,#REF!,BD$1)</f>
        <v>#REF!</v>
      </c>
      <c r="BE76" s="24" t="e">
        <f>SUMIFS(#REF!,#REF!,$B76,#REF!,BE$1)</f>
        <v>#REF!</v>
      </c>
      <c r="BF76" s="24" t="e">
        <f>SUMIFS(#REF!,#REF!,$B76,#REF!,BF$1)</f>
        <v>#REF!</v>
      </c>
      <c r="BG76" s="24" t="e">
        <f>SUMIFS(#REF!,#REF!,$B76,#REF!,BG$1)</f>
        <v>#REF!</v>
      </c>
      <c r="BH76" s="24" t="e">
        <f>SUMIFS(#REF!,#REF!,$B76,#REF!,BH$1)</f>
        <v>#REF!</v>
      </c>
      <c r="BI76" s="24" t="e">
        <f>SUMIFS(#REF!,#REF!,$B76,#REF!,BI$1)</f>
        <v>#REF!</v>
      </c>
      <c r="BJ76" s="24" t="e">
        <f>SUMIFS(#REF!,#REF!,$B76,#REF!,BJ$1)</f>
        <v>#REF!</v>
      </c>
      <c r="BK76" s="24" t="e">
        <f>SUMIFS(#REF!,#REF!,$B76,#REF!,BK$1)</f>
        <v>#REF!</v>
      </c>
      <c r="BL76" s="24" t="e">
        <f>SUMIFS(#REF!,#REF!,$B76,#REF!,BL$1)</f>
        <v>#REF!</v>
      </c>
      <c r="BM76" s="24" t="e">
        <f>SUMIFS(#REF!,#REF!,$B76,#REF!,BM$1)</f>
        <v>#REF!</v>
      </c>
      <c r="BN76" s="24" t="e">
        <f>SUMIFS(#REF!,#REF!,$B76,#REF!,BN$1)</f>
        <v>#REF!</v>
      </c>
      <c r="BO76" s="24" t="e">
        <f>SUMIFS(#REF!,#REF!,$B76,#REF!,BO$1)</f>
        <v>#REF!</v>
      </c>
      <c r="BP76" s="24" t="e">
        <f>SUMIFS(#REF!,#REF!,$B76,#REF!,BP$1)</f>
        <v>#REF!</v>
      </c>
      <c r="BQ76" s="24" t="e">
        <f>SUMIFS(#REF!,#REF!,$B76,#REF!,BQ$1)</f>
        <v>#REF!</v>
      </c>
      <c r="BR76" s="24" t="e">
        <f>SUMIFS(#REF!,#REF!,$B76,#REF!,BR$1)</f>
        <v>#REF!</v>
      </c>
      <c r="BS76" s="24" t="e">
        <f>SUMIFS(#REF!,#REF!,$B76,#REF!,BS$1)</f>
        <v>#REF!</v>
      </c>
      <c r="BT76" s="24" t="e">
        <f>SUMIFS(#REF!,#REF!,$B76,#REF!,BT$1)</f>
        <v>#REF!</v>
      </c>
      <c r="BU76" s="24" t="e">
        <f>SUMIFS(#REF!,#REF!,$B76,#REF!,BU$1)</f>
        <v>#REF!</v>
      </c>
      <c r="BV76" s="24" t="e">
        <f>SUMIFS(#REF!,#REF!,$B76,#REF!,BV$1)</f>
        <v>#REF!</v>
      </c>
      <c r="BW76" s="24" t="e">
        <f>SUMIFS(#REF!,#REF!,$B76,#REF!,BW$1)</f>
        <v>#REF!</v>
      </c>
      <c r="BX76" s="24" t="e">
        <f>SUMIFS(#REF!,#REF!,$B76,#REF!,BX$1)</f>
        <v>#REF!</v>
      </c>
      <c r="BY76" s="24" t="e">
        <f>SUMIFS(#REF!,#REF!,$B76,#REF!,BY$1)</f>
        <v>#REF!</v>
      </c>
      <c r="BZ76" s="24" t="e">
        <f>SUMIFS(#REF!,#REF!,$B76,#REF!,BZ$1)</f>
        <v>#REF!</v>
      </c>
      <c r="CA76" s="24" t="e">
        <f>SUMIFS(#REF!,#REF!,$B76,#REF!,CA$1)</f>
        <v>#REF!</v>
      </c>
      <c r="CB76" s="24" t="e">
        <f>SUMIFS(#REF!,#REF!,$B76,#REF!,CB$1)</f>
        <v>#REF!</v>
      </c>
      <c r="CC76" s="24" t="e">
        <f>SUMIFS(#REF!,#REF!,$B76,#REF!,CC$1)</f>
        <v>#REF!</v>
      </c>
      <c r="CD76" s="24" t="e">
        <f>SUMIFS(#REF!,#REF!,$B76,#REF!,CD$1)</f>
        <v>#REF!</v>
      </c>
      <c r="CE76" s="24" t="e">
        <f>SUMIFS(#REF!,#REF!,$B76,#REF!,CE$1)</f>
        <v>#REF!</v>
      </c>
      <c r="CF76" s="24" t="e">
        <f>SUMIFS(#REF!,#REF!,$B76,#REF!,CF$1)</f>
        <v>#REF!</v>
      </c>
      <c r="CG76" s="19" t="e">
        <f t="shared" si="1"/>
        <v>#REF!</v>
      </c>
    </row>
    <row r="77" spans="1:85" x14ac:dyDescent="0.45">
      <c r="A77" s="4" t="s">
        <v>1135</v>
      </c>
      <c r="B77" s="4" t="s">
        <v>1136</v>
      </c>
      <c r="C77" s="24" t="e">
        <f>SUMIFS(#REF!,#REF!,$B77,#REF!,C$1)</f>
        <v>#REF!</v>
      </c>
      <c r="D77" s="24" t="e">
        <f>SUMIFS(#REF!,#REF!,$B77,#REF!,D$1)</f>
        <v>#REF!</v>
      </c>
      <c r="E77" s="24" t="e">
        <f>SUMIFS(#REF!,#REF!,$B77,#REF!,E$1)</f>
        <v>#REF!</v>
      </c>
      <c r="F77" s="24" t="e">
        <f>SUMIFS(#REF!,#REF!,$B77,#REF!,F$1)</f>
        <v>#REF!</v>
      </c>
      <c r="G77" s="24" t="e">
        <f>SUMIFS(#REF!,#REF!,$B77,#REF!,G$1)</f>
        <v>#REF!</v>
      </c>
      <c r="H77" s="24" t="e">
        <f>SUMIFS(#REF!,#REF!,$B77,#REF!,H$1)</f>
        <v>#REF!</v>
      </c>
      <c r="I77" s="24" t="e">
        <f>SUMIFS(#REF!,#REF!,$B77,#REF!,I$1)</f>
        <v>#REF!</v>
      </c>
      <c r="J77" s="24" t="e">
        <f>SUMIFS(#REF!,#REF!,$B77,#REF!,J$1)</f>
        <v>#REF!</v>
      </c>
      <c r="K77" s="24" t="e">
        <f>SUMIFS(#REF!,#REF!,$B77,#REF!,K$1)</f>
        <v>#REF!</v>
      </c>
      <c r="L77" s="24" t="e">
        <f>SUMIFS(#REF!,#REF!,$B77,#REF!,L$1)</f>
        <v>#REF!</v>
      </c>
      <c r="M77" s="24" t="e">
        <f>SUMIFS(#REF!,#REF!,$B77,#REF!,M$1)</f>
        <v>#REF!</v>
      </c>
      <c r="N77" s="24" t="e">
        <f>SUMIFS(#REF!,#REF!,$B77,#REF!,N$1)</f>
        <v>#REF!</v>
      </c>
      <c r="O77" s="24" t="e">
        <f>SUMIFS(#REF!,#REF!,$B77,#REF!,O$1)</f>
        <v>#REF!</v>
      </c>
      <c r="P77" s="24" t="e">
        <f>SUMIFS(#REF!,#REF!,$B77,#REF!,P$1)</f>
        <v>#REF!</v>
      </c>
      <c r="Q77" s="24" t="e">
        <f>SUMIFS(#REF!,#REF!,$B77,#REF!,Q$1)</f>
        <v>#REF!</v>
      </c>
      <c r="R77" s="24" t="e">
        <f>SUMIFS(#REF!,#REF!,$B77,#REF!,R$1)</f>
        <v>#REF!</v>
      </c>
      <c r="S77" s="24" t="e">
        <f>SUMIFS(#REF!,#REF!,$B77,#REF!,S$1)</f>
        <v>#REF!</v>
      </c>
      <c r="T77" s="24" t="e">
        <f>SUMIFS(#REF!,#REF!,$B77,#REF!,T$1)</f>
        <v>#REF!</v>
      </c>
      <c r="U77" s="24" t="e">
        <f>SUMIFS(#REF!,#REF!,$B77,#REF!,U$1)</f>
        <v>#REF!</v>
      </c>
      <c r="V77" s="24" t="e">
        <f>SUMIFS(#REF!,#REF!,$B77,#REF!,V$1)</f>
        <v>#REF!</v>
      </c>
      <c r="W77" s="24" t="e">
        <f>SUMIFS(#REF!,#REF!,$B77,#REF!,W$1)</f>
        <v>#REF!</v>
      </c>
      <c r="X77" s="24" t="e">
        <f>SUMIFS(#REF!,#REF!,$B77,#REF!,X$1)</f>
        <v>#REF!</v>
      </c>
      <c r="Y77" s="24" t="e">
        <f>SUMIFS(#REF!,#REF!,$B77,#REF!,Y$1)</f>
        <v>#REF!</v>
      </c>
      <c r="Z77" s="24" t="e">
        <f>SUMIFS(#REF!,#REF!,$B77,#REF!,Z$1)</f>
        <v>#REF!</v>
      </c>
      <c r="AA77" s="24" t="e">
        <f>SUMIFS(#REF!,#REF!,$B77,#REF!,AA$1)</f>
        <v>#REF!</v>
      </c>
      <c r="AB77" s="24" t="e">
        <f>SUMIFS(#REF!,#REF!,$B77,#REF!,AB$1)</f>
        <v>#REF!</v>
      </c>
      <c r="AC77" s="24" t="e">
        <f>SUMIFS(#REF!,#REF!,$B77,#REF!,AC$1)</f>
        <v>#REF!</v>
      </c>
      <c r="AD77" s="24" t="e">
        <f>SUMIFS(#REF!,#REF!,$B77,#REF!,AD$1)</f>
        <v>#REF!</v>
      </c>
      <c r="AE77" s="24" t="e">
        <f>SUMIFS(#REF!,#REF!,$B77,#REF!,AE$1)</f>
        <v>#REF!</v>
      </c>
      <c r="AF77" s="24" t="e">
        <f>SUMIFS(#REF!,#REF!,$B77,#REF!,AF$1)</f>
        <v>#REF!</v>
      </c>
      <c r="AG77" s="24" t="e">
        <f>SUMIFS(#REF!,#REF!,$B77,#REF!,AG$1)</f>
        <v>#REF!</v>
      </c>
      <c r="AH77" s="24" t="e">
        <f>SUMIFS(#REF!,#REF!,$B77,#REF!,AH$1)</f>
        <v>#REF!</v>
      </c>
      <c r="AI77" s="24" t="e">
        <f>SUMIFS(#REF!,#REF!,$B77,#REF!,AI$1)</f>
        <v>#REF!</v>
      </c>
      <c r="AJ77" s="24" t="e">
        <f>SUMIFS(#REF!,#REF!,$B77,#REF!,AJ$1)</f>
        <v>#REF!</v>
      </c>
      <c r="AK77" s="24" t="e">
        <f>SUMIFS(#REF!,#REF!,$B77,#REF!,AK$1)</f>
        <v>#REF!</v>
      </c>
      <c r="AL77" s="24" t="e">
        <f>SUMIFS(#REF!,#REF!,$B77,#REF!,AL$1)</f>
        <v>#REF!</v>
      </c>
      <c r="AM77" s="24" t="e">
        <f>SUMIFS(#REF!,#REF!,$B77,#REF!,AM$1)</f>
        <v>#REF!</v>
      </c>
      <c r="AN77" s="24" t="e">
        <f>SUMIFS(#REF!,#REF!,$B77,#REF!,AN$1)</f>
        <v>#REF!</v>
      </c>
      <c r="AO77" s="24" t="e">
        <f>SUMIFS(#REF!,#REF!,$B77,#REF!,AO$1)</f>
        <v>#REF!</v>
      </c>
      <c r="AP77" s="24" t="e">
        <f>SUMIFS(#REF!,#REF!,$B77,#REF!,AP$1)</f>
        <v>#REF!</v>
      </c>
      <c r="AQ77" s="24" t="e">
        <f>SUMIFS(#REF!,#REF!,$B77,#REF!,AQ$1)</f>
        <v>#REF!</v>
      </c>
      <c r="AR77" s="24" t="e">
        <f>SUMIFS(#REF!,#REF!,$B77,#REF!,AR$1)</f>
        <v>#REF!</v>
      </c>
      <c r="AS77" s="24" t="e">
        <f>SUMIFS(#REF!,#REF!,$B77,#REF!,AS$1)</f>
        <v>#REF!</v>
      </c>
      <c r="AT77" s="24" t="e">
        <f>SUMIFS(#REF!,#REF!,$B77,#REF!,AT$1)</f>
        <v>#REF!</v>
      </c>
      <c r="AU77" s="24" t="e">
        <f>SUMIFS(#REF!,#REF!,$B77,#REF!,AU$1)</f>
        <v>#REF!</v>
      </c>
      <c r="AV77" s="24" t="e">
        <f>SUMIFS(#REF!,#REF!,$B77,#REF!,AV$1)</f>
        <v>#REF!</v>
      </c>
      <c r="AW77" s="24" t="e">
        <f>SUMIFS(#REF!,#REF!,$B77,#REF!,AW$1)</f>
        <v>#REF!</v>
      </c>
      <c r="AX77" s="24" t="e">
        <f>SUMIFS(#REF!,#REF!,$B77,#REF!,AX$1)</f>
        <v>#REF!</v>
      </c>
      <c r="AY77" s="24" t="e">
        <f>SUMIFS(#REF!,#REF!,$B77,#REF!,AY$1)</f>
        <v>#REF!</v>
      </c>
      <c r="AZ77" s="24" t="e">
        <f>SUMIFS(#REF!,#REF!,$B77,#REF!,AZ$1)</f>
        <v>#REF!</v>
      </c>
      <c r="BA77" s="24" t="e">
        <f>SUMIFS(#REF!,#REF!,$B77,#REF!,BA$1)</f>
        <v>#REF!</v>
      </c>
      <c r="BB77" s="24" t="e">
        <f>SUMIFS(#REF!,#REF!,$B77,#REF!,BB$1)</f>
        <v>#REF!</v>
      </c>
      <c r="BC77" s="24" t="e">
        <f>SUMIFS(#REF!,#REF!,$B77,#REF!,BC$1)</f>
        <v>#REF!</v>
      </c>
      <c r="BD77" s="24" t="e">
        <f>SUMIFS(#REF!,#REF!,$B77,#REF!,BD$1)</f>
        <v>#REF!</v>
      </c>
      <c r="BE77" s="24" t="e">
        <f>SUMIFS(#REF!,#REF!,$B77,#REF!,BE$1)</f>
        <v>#REF!</v>
      </c>
      <c r="BF77" s="24" t="e">
        <f>SUMIFS(#REF!,#REF!,$B77,#REF!,BF$1)</f>
        <v>#REF!</v>
      </c>
      <c r="BG77" s="24" t="e">
        <f>SUMIFS(#REF!,#REF!,$B77,#REF!,BG$1)</f>
        <v>#REF!</v>
      </c>
      <c r="BH77" s="24" t="e">
        <f>SUMIFS(#REF!,#REF!,$B77,#REF!,BH$1)</f>
        <v>#REF!</v>
      </c>
      <c r="BI77" s="24" t="e">
        <f>SUMIFS(#REF!,#REF!,$B77,#REF!,BI$1)</f>
        <v>#REF!</v>
      </c>
      <c r="BJ77" s="24" t="e">
        <f>SUMIFS(#REF!,#REF!,$B77,#REF!,BJ$1)</f>
        <v>#REF!</v>
      </c>
      <c r="BK77" s="24" t="e">
        <f>SUMIFS(#REF!,#REF!,$B77,#REF!,BK$1)</f>
        <v>#REF!</v>
      </c>
      <c r="BL77" s="24" t="e">
        <f>SUMIFS(#REF!,#REF!,$B77,#REF!,BL$1)</f>
        <v>#REF!</v>
      </c>
      <c r="BM77" s="24" t="e">
        <f>SUMIFS(#REF!,#REF!,$B77,#REF!,BM$1)</f>
        <v>#REF!</v>
      </c>
      <c r="BN77" s="24" t="e">
        <f>SUMIFS(#REF!,#REF!,$B77,#REF!,BN$1)</f>
        <v>#REF!</v>
      </c>
      <c r="BO77" s="24" t="e">
        <f>SUMIFS(#REF!,#REF!,$B77,#REF!,BO$1)</f>
        <v>#REF!</v>
      </c>
      <c r="BP77" s="24" t="e">
        <f>SUMIFS(#REF!,#REF!,$B77,#REF!,BP$1)</f>
        <v>#REF!</v>
      </c>
      <c r="BQ77" s="24" t="e">
        <f>SUMIFS(#REF!,#REF!,$B77,#REF!,BQ$1)</f>
        <v>#REF!</v>
      </c>
      <c r="BR77" s="24" t="e">
        <f>SUMIFS(#REF!,#REF!,$B77,#REF!,BR$1)</f>
        <v>#REF!</v>
      </c>
      <c r="BS77" s="24" t="e">
        <f>SUMIFS(#REF!,#REF!,$B77,#REF!,BS$1)</f>
        <v>#REF!</v>
      </c>
      <c r="BT77" s="24" t="e">
        <f>SUMIFS(#REF!,#REF!,$B77,#REF!,BT$1)</f>
        <v>#REF!</v>
      </c>
      <c r="BU77" s="24" t="e">
        <f>SUMIFS(#REF!,#REF!,$B77,#REF!,BU$1)</f>
        <v>#REF!</v>
      </c>
      <c r="BV77" s="24" t="e">
        <f>SUMIFS(#REF!,#REF!,$B77,#REF!,BV$1)</f>
        <v>#REF!</v>
      </c>
      <c r="BW77" s="24" t="e">
        <f>SUMIFS(#REF!,#REF!,$B77,#REF!,BW$1)</f>
        <v>#REF!</v>
      </c>
      <c r="BX77" s="24" t="e">
        <f>SUMIFS(#REF!,#REF!,$B77,#REF!,BX$1)</f>
        <v>#REF!</v>
      </c>
      <c r="BY77" s="24" t="e">
        <f>SUMIFS(#REF!,#REF!,$B77,#REF!,BY$1)</f>
        <v>#REF!</v>
      </c>
      <c r="BZ77" s="24" t="e">
        <f>SUMIFS(#REF!,#REF!,$B77,#REF!,BZ$1)</f>
        <v>#REF!</v>
      </c>
      <c r="CA77" s="24" t="e">
        <f>SUMIFS(#REF!,#REF!,$B77,#REF!,CA$1)</f>
        <v>#REF!</v>
      </c>
      <c r="CB77" s="24" t="e">
        <f>SUMIFS(#REF!,#REF!,$B77,#REF!,CB$1)</f>
        <v>#REF!</v>
      </c>
      <c r="CC77" s="24" t="e">
        <f>SUMIFS(#REF!,#REF!,$B77,#REF!,CC$1)</f>
        <v>#REF!</v>
      </c>
      <c r="CD77" s="24" t="e">
        <f>SUMIFS(#REF!,#REF!,$B77,#REF!,CD$1)</f>
        <v>#REF!</v>
      </c>
      <c r="CE77" s="24" t="e">
        <f>SUMIFS(#REF!,#REF!,$B77,#REF!,CE$1)</f>
        <v>#REF!</v>
      </c>
      <c r="CF77" s="24" t="e">
        <f>SUMIFS(#REF!,#REF!,$B77,#REF!,CF$1)</f>
        <v>#REF!</v>
      </c>
      <c r="CG77" s="19" t="e">
        <f t="shared" si="1"/>
        <v>#REF!</v>
      </c>
    </row>
    <row r="78" spans="1:85" x14ac:dyDescent="0.45">
      <c r="A78" s="4" t="s">
        <v>1137</v>
      </c>
      <c r="B78" s="4" t="s">
        <v>1138</v>
      </c>
      <c r="C78" s="24" t="e">
        <f>SUMIFS(#REF!,#REF!,$B78,#REF!,C$1)</f>
        <v>#REF!</v>
      </c>
      <c r="D78" s="24" t="e">
        <f>SUMIFS(#REF!,#REF!,$B78,#REF!,D$1)</f>
        <v>#REF!</v>
      </c>
      <c r="E78" s="24" t="e">
        <f>SUMIFS(#REF!,#REF!,$B78,#REF!,E$1)</f>
        <v>#REF!</v>
      </c>
      <c r="F78" s="24" t="e">
        <f>SUMIFS(#REF!,#REF!,$B78,#REF!,F$1)</f>
        <v>#REF!</v>
      </c>
      <c r="G78" s="24" t="e">
        <f>SUMIFS(#REF!,#REF!,$B78,#REF!,G$1)</f>
        <v>#REF!</v>
      </c>
      <c r="H78" s="24" t="e">
        <f>SUMIFS(#REF!,#REF!,$B78,#REF!,H$1)</f>
        <v>#REF!</v>
      </c>
      <c r="I78" s="24" t="e">
        <f>SUMIFS(#REF!,#REF!,$B78,#REF!,I$1)</f>
        <v>#REF!</v>
      </c>
      <c r="J78" s="24" t="e">
        <f>SUMIFS(#REF!,#REF!,$B78,#REF!,J$1)</f>
        <v>#REF!</v>
      </c>
      <c r="K78" s="24" t="e">
        <f>SUMIFS(#REF!,#REF!,$B78,#REF!,K$1)</f>
        <v>#REF!</v>
      </c>
      <c r="L78" s="24" t="e">
        <f>SUMIFS(#REF!,#REF!,$B78,#REF!,L$1)</f>
        <v>#REF!</v>
      </c>
      <c r="M78" s="24" t="e">
        <f>SUMIFS(#REF!,#REF!,$B78,#REF!,M$1)</f>
        <v>#REF!</v>
      </c>
      <c r="N78" s="24" t="e">
        <f>SUMIFS(#REF!,#REF!,$B78,#REF!,N$1)</f>
        <v>#REF!</v>
      </c>
      <c r="O78" s="24" t="e">
        <f>SUMIFS(#REF!,#REF!,$B78,#REF!,O$1)</f>
        <v>#REF!</v>
      </c>
      <c r="P78" s="24" t="e">
        <f>SUMIFS(#REF!,#REF!,$B78,#REF!,P$1)</f>
        <v>#REF!</v>
      </c>
      <c r="Q78" s="24" t="e">
        <f>SUMIFS(#REF!,#REF!,$B78,#REF!,Q$1)</f>
        <v>#REF!</v>
      </c>
      <c r="R78" s="24" t="e">
        <f>SUMIFS(#REF!,#REF!,$B78,#REF!,R$1)</f>
        <v>#REF!</v>
      </c>
      <c r="S78" s="24" t="e">
        <f>SUMIFS(#REF!,#REF!,$B78,#REF!,S$1)</f>
        <v>#REF!</v>
      </c>
      <c r="T78" s="24" t="e">
        <f>SUMIFS(#REF!,#REF!,$B78,#REF!,T$1)</f>
        <v>#REF!</v>
      </c>
      <c r="U78" s="24" t="e">
        <f>SUMIFS(#REF!,#REF!,$B78,#REF!,U$1)</f>
        <v>#REF!</v>
      </c>
      <c r="V78" s="24" t="e">
        <f>SUMIFS(#REF!,#REF!,$B78,#REF!,V$1)</f>
        <v>#REF!</v>
      </c>
      <c r="W78" s="24" t="e">
        <f>SUMIFS(#REF!,#REF!,$B78,#REF!,W$1)</f>
        <v>#REF!</v>
      </c>
      <c r="X78" s="24" t="e">
        <f>SUMIFS(#REF!,#REF!,$B78,#REF!,X$1)</f>
        <v>#REF!</v>
      </c>
      <c r="Y78" s="24" t="e">
        <f>SUMIFS(#REF!,#REF!,$B78,#REF!,Y$1)</f>
        <v>#REF!</v>
      </c>
      <c r="Z78" s="24" t="e">
        <f>SUMIFS(#REF!,#REF!,$B78,#REF!,Z$1)</f>
        <v>#REF!</v>
      </c>
      <c r="AA78" s="24" t="e">
        <f>SUMIFS(#REF!,#REF!,$B78,#REF!,AA$1)</f>
        <v>#REF!</v>
      </c>
      <c r="AB78" s="24" t="e">
        <f>SUMIFS(#REF!,#REF!,$B78,#REF!,AB$1)</f>
        <v>#REF!</v>
      </c>
      <c r="AC78" s="24" t="e">
        <f>SUMIFS(#REF!,#REF!,$B78,#REF!,AC$1)</f>
        <v>#REF!</v>
      </c>
      <c r="AD78" s="24" t="e">
        <f>SUMIFS(#REF!,#REF!,$B78,#REF!,AD$1)</f>
        <v>#REF!</v>
      </c>
      <c r="AE78" s="24" t="e">
        <f>SUMIFS(#REF!,#REF!,$B78,#REF!,AE$1)</f>
        <v>#REF!</v>
      </c>
      <c r="AF78" s="24" t="e">
        <f>SUMIFS(#REF!,#REF!,$B78,#REF!,AF$1)</f>
        <v>#REF!</v>
      </c>
      <c r="AG78" s="24" t="e">
        <f>SUMIFS(#REF!,#REF!,$B78,#REF!,AG$1)</f>
        <v>#REF!</v>
      </c>
      <c r="AH78" s="24" t="e">
        <f>SUMIFS(#REF!,#REF!,$B78,#REF!,AH$1)</f>
        <v>#REF!</v>
      </c>
      <c r="AI78" s="24" t="e">
        <f>SUMIFS(#REF!,#REF!,$B78,#REF!,AI$1)</f>
        <v>#REF!</v>
      </c>
      <c r="AJ78" s="24" t="e">
        <f>SUMIFS(#REF!,#REF!,$B78,#REF!,AJ$1)</f>
        <v>#REF!</v>
      </c>
      <c r="AK78" s="24" t="e">
        <f>SUMIFS(#REF!,#REF!,$B78,#REF!,AK$1)</f>
        <v>#REF!</v>
      </c>
      <c r="AL78" s="24" t="e">
        <f>SUMIFS(#REF!,#REF!,$B78,#REF!,AL$1)</f>
        <v>#REF!</v>
      </c>
      <c r="AM78" s="24" t="e">
        <f>SUMIFS(#REF!,#REF!,$B78,#REF!,AM$1)</f>
        <v>#REF!</v>
      </c>
      <c r="AN78" s="24" t="e">
        <f>SUMIFS(#REF!,#REF!,$B78,#REF!,AN$1)</f>
        <v>#REF!</v>
      </c>
      <c r="AO78" s="24" t="e">
        <f>SUMIFS(#REF!,#REF!,$B78,#REF!,AO$1)</f>
        <v>#REF!</v>
      </c>
      <c r="AP78" s="24" t="e">
        <f>SUMIFS(#REF!,#REF!,$B78,#REF!,AP$1)</f>
        <v>#REF!</v>
      </c>
      <c r="AQ78" s="24" t="e">
        <f>SUMIFS(#REF!,#REF!,$B78,#REF!,AQ$1)</f>
        <v>#REF!</v>
      </c>
      <c r="AR78" s="24" t="e">
        <f>SUMIFS(#REF!,#REF!,$B78,#REF!,AR$1)</f>
        <v>#REF!</v>
      </c>
      <c r="AS78" s="24" t="e">
        <f>SUMIFS(#REF!,#REF!,$B78,#REF!,AS$1)</f>
        <v>#REF!</v>
      </c>
      <c r="AT78" s="24" t="e">
        <f>SUMIFS(#REF!,#REF!,$B78,#REF!,AT$1)</f>
        <v>#REF!</v>
      </c>
      <c r="AU78" s="24" t="e">
        <f>SUMIFS(#REF!,#REF!,$B78,#REF!,AU$1)</f>
        <v>#REF!</v>
      </c>
      <c r="AV78" s="24" t="e">
        <f>SUMIFS(#REF!,#REF!,$B78,#REF!,AV$1)</f>
        <v>#REF!</v>
      </c>
      <c r="AW78" s="24" t="e">
        <f>SUMIFS(#REF!,#REF!,$B78,#REF!,AW$1)</f>
        <v>#REF!</v>
      </c>
      <c r="AX78" s="24" t="e">
        <f>SUMIFS(#REF!,#REF!,$B78,#REF!,AX$1)</f>
        <v>#REF!</v>
      </c>
      <c r="AY78" s="24" t="e">
        <f>SUMIFS(#REF!,#REF!,$B78,#REF!,AY$1)</f>
        <v>#REF!</v>
      </c>
      <c r="AZ78" s="24" t="e">
        <f>SUMIFS(#REF!,#REF!,$B78,#REF!,AZ$1)</f>
        <v>#REF!</v>
      </c>
      <c r="BA78" s="24" t="e">
        <f>SUMIFS(#REF!,#REF!,$B78,#REF!,BA$1)</f>
        <v>#REF!</v>
      </c>
      <c r="BB78" s="24" t="e">
        <f>SUMIFS(#REF!,#REF!,$B78,#REF!,BB$1)</f>
        <v>#REF!</v>
      </c>
      <c r="BC78" s="24" t="e">
        <f>SUMIFS(#REF!,#REF!,$B78,#REF!,BC$1)</f>
        <v>#REF!</v>
      </c>
      <c r="BD78" s="24" t="e">
        <f>SUMIFS(#REF!,#REF!,$B78,#REF!,BD$1)</f>
        <v>#REF!</v>
      </c>
      <c r="BE78" s="24" t="e">
        <f>SUMIFS(#REF!,#REF!,$B78,#REF!,BE$1)</f>
        <v>#REF!</v>
      </c>
      <c r="BF78" s="24" t="e">
        <f>SUMIFS(#REF!,#REF!,$B78,#REF!,BF$1)</f>
        <v>#REF!</v>
      </c>
      <c r="BG78" s="24" t="e">
        <f>SUMIFS(#REF!,#REF!,$B78,#REF!,BG$1)</f>
        <v>#REF!</v>
      </c>
      <c r="BH78" s="24" t="e">
        <f>SUMIFS(#REF!,#REF!,$B78,#REF!,BH$1)</f>
        <v>#REF!</v>
      </c>
      <c r="BI78" s="24" t="e">
        <f>SUMIFS(#REF!,#REF!,$B78,#REF!,BI$1)</f>
        <v>#REF!</v>
      </c>
      <c r="BJ78" s="24" t="e">
        <f>SUMIFS(#REF!,#REF!,$B78,#REF!,BJ$1)</f>
        <v>#REF!</v>
      </c>
      <c r="BK78" s="24" t="e">
        <f>SUMIFS(#REF!,#REF!,$B78,#REF!,BK$1)</f>
        <v>#REF!</v>
      </c>
      <c r="BL78" s="24" t="e">
        <f>SUMIFS(#REF!,#REF!,$B78,#REF!,BL$1)</f>
        <v>#REF!</v>
      </c>
      <c r="BM78" s="24" t="e">
        <f>SUMIFS(#REF!,#REF!,$B78,#REF!,BM$1)</f>
        <v>#REF!</v>
      </c>
      <c r="BN78" s="24" t="e">
        <f>SUMIFS(#REF!,#REF!,$B78,#REF!,BN$1)</f>
        <v>#REF!</v>
      </c>
      <c r="BO78" s="24" t="e">
        <f>SUMIFS(#REF!,#REF!,$B78,#REF!,BO$1)</f>
        <v>#REF!</v>
      </c>
      <c r="BP78" s="24" t="e">
        <f>SUMIFS(#REF!,#REF!,$B78,#REF!,BP$1)</f>
        <v>#REF!</v>
      </c>
      <c r="BQ78" s="24" t="e">
        <f>SUMIFS(#REF!,#REF!,$B78,#REF!,BQ$1)</f>
        <v>#REF!</v>
      </c>
      <c r="BR78" s="24" t="e">
        <f>SUMIFS(#REF!,#REF!,$B78,#REF!,BR$1)</f>
        <v>#REF!</v>
      </c>
      <c r="BS78" s="24" t="e">
        <f>SUMIFS(#REF!,#REF!,$B78,#REF!,BS$1)</f>
        <v>#REF!</v>
      </c>
      <c r="BT78" s="24" t="e">
        <f>SUMIFS(#REF!,#REF!,$B78,#REF!,BT$1)</f>
        <v>#REF!</v>
      </c>
      <c r="BU78" s="24" t="e">
        <f>SUMIFS(#REF!,#REF!,$B78,#REF!,BU$1)</f>
        <v>#REF!</v>
      </c>
      <c r="BV78" s="24" t="e">
        <f>SUMIFS(#REF!,#REF!,$B78,#REF!,BV$1)</f>
        <v>#REF!</v>
      </c>
      <c r="BW78" s="24" t="e">
        <f>SUMIFS(#REF!,#REF!,$B78,#REF!,BW$1)</f>
        <v>#REF!</v>
      </c>
      <c r="BX78" s="24" t="e">
        <f>SUMIFS(#REF!,#REF!,$B78,#REF!,BX$1)</f>
        <v>#REF!</v>
      </c>
      <c r="BY78" s="24" t="e">
        <f>SUMIFS(#REF!,#REF!,$B78,#REF!,BY$1)</f>
        <v>#REF!</v>
      </c>
      <c r="BZ78" s="24" t="e">
        <f>SUMIFS(#REF!,#REF!,$B78,#REF!,BZ$1)</f>
        <v>#REF!</v>
      </c>
      <c r="CA78" s="24" t="e">
        <f>SUMIFS(#REF!,#REF!,$B78,#REF!,CA$1)</f>
        <v>#REF!</v>
      </c>
      <c r="CB78" s="24" t="e">
        <f>SUMIFS(#REF!,#REF!,$B78,#REF!,CB$1)</f>
        <v>#REF!</v>
      </c>
      <c r="CC78" s="24" t="e">
        <f>SUMIFS(#REF!,#REF!,$B78,#REF!,CC$1)</f>
        <v>#REF!</v>
      </c>
      <c r="CD78" s="24" t="e">
        <f>SUMIFS(#REF!,#REF!,$B78,#REF!,CD$1)</f>
        <v>#REF!</v>
      </c>
      <c r="CE78" s="24" t="e">
        <f>SUMIFS(#REF!,#REF!,$B78,#REF!,CE$1)</f>
        <v>#REF!</v>
      </c>
      <c r="CF78" s="24" t="e">
        <f>SUMIFS(#REF!,#REF!,$B78,#REF!,CF$1)</f>
        <v>#REF!</v>
      </c>
      <c r="CG78" s="19" t="e">
        <f t="shared" si="1"/>
        <v>#REF!</v>
      </c>
    </row>
    <row r="79" spans="1:85" x14ac:dyDescent="0.45">
      <c r="A79" s="4" t="s">
        <v>1139</v>
      </c>
      <c r="B79" s="4" t="s">
        <v>1140</v>
      </c>
      <c r="C79" s="24" t="e">
        <f>SUMIFS(#REF!,#REF!,$B79,#REF!,C$1)</f>
        <v>#REF!</v>
      </c>
      <c r="D79" s="24" t="e">
        <f>SUMIFS(#REF!,#REF!,$B79,#REF!,D$1)</f>
        <v>#REF!</v>
      </c>
      <c r="E79" s="24" t="e">
        <f>SUMIFS(#REF!,#REF!,$B79,#REF!,E$1)</f>
        <v>#REF!</v>
      </c>
      <c r="F79" s="24" t="e">
        <f>SUMIFS(#REF!,#REF!,$B79,#REF!,F$1)</f>
        <v>#REF!</v>
      </c>
      <c r="G79" s="24" t="e">
        <f>SUMIFS(#REF!,#REF!,$B79,#REF!,G$1)</f>
        <v>#REF!</v>
      </c>
      <c r="H79" s="24" t="e">
        <f>SUMIFS(#REF!,#REF!,$B79,#REF!,H$1)</f>
        <v>#REF!</v>
      </c>
      <c r="I79" s="24" t="e">
        <f>SUMIFS(#REF!,#REF!,$B79,#REF!,I$1)</f>
        <v>#REF!</v>
      </c>
      <c r="J79" s="24" t="e">
        <f>SUMIFS(#REF!,#REF!,$B79,#REF!,J$1)</f>
        <v>#REF!</v>
      </c>
      <c r="K79" s="24" t="e">
        <f>SUMIFS(#REF!,#REF!,$B79,#REF!,K$1)</f>
        <v>#REF!</v>
      </c>
      <c r="L79" s="24" t="e">
        <f>SUMIFS(#REF!,#REF!,$B79,#REF!,L$1)</f>
        <v>#REF!</v>
      </c>
      <c r="M79" s="24" t="e">
        <f>SUMIFS(#REF!,#REF!,$B79,#REF!,M$1)</f>
        <v>#REF!</v>
      </c>
      <c r="N79" s="24" t="e">
        <f>SUMIFS(#REF!,#REF!,$B79,#REF!,N$1)</f>
        <v>#REF!</v>
      </c>
      <c r="O79" s="24" t="e">
        <f>SUMIFS(#REF!,#REF!,$B79,#REF!,O$1)</f>
        <v>#REF!</v>
      </c>
      <c r="P79" s="24" t="e">
        <f>SUMIFS(#REF!,#REF!,$B79,#REF!,P$1)</f>
        <v>#REF!</v>
      </c>
      <c r="Q79" s="24" t="e">
        <f>SUMIFS(#REF!,#REF!,$B79,#REF!,Q$1)</f>
        <v>#REF!</v>
      </c>
      <c r="R79" s="24" t="e">
        <f>SUMIFS(#REF!,#REF!,$B79,#REF!,R$1)</f>
        <v>#REF!</v>
      </c>
      <c r="S79" s="24" t="e">
        <f>SUMIFS(#REF!,#REF!,$B79,#REF!,S$1)</f>
        <v>#REF!</v>
      </c>
      <c r="T79" s="24" t="e">
        <f>SUMIFS(#REF!,#REF!,$B79,#REF!,T$1)</f>
        <v>#REF!</v>
      </c>
      <c r="U79" s="24" t="e">
        <f>SUMIFS(#REF!,#REF!,$B79,#REF!,U$1)</f>
        <v>#REF!</v>
      </c>
      <c r="V79" s="24" t="e">
        <f>SUMIFS(#REF!,#REF!,$B79,#REF!,V$1)</f>
        <v>#REF!</v>
      </c>
      <c r="W79" s="24" t="e">
        <f>SUMIFS(#REF!,#REF!,$B79,#REF!,W$1)</f>
        <v>#REF!</v>
      </c>
      <c r="X79" s="24" t="e">
        <f>SUMIFS(#REF!,#REF!,$B79,#REF!,X$1)</f>
        <v>#REF!</v>
      </c>
      <c r="Y79" s="24" t="e">
        <f>SUMIFS(#REF!,#REF!,$B79,#REF!,Y$1)</f>
        <v>#REF!</v>
      </c>
      <c r="Z79" s="24" t="e">
        <f>SUMIFS(#REF!,#REF!,$B79,#REF!,Z$1)</f>
        <v>#REF!</v>
      </c>
      <c r="AA79" s="24" t="e">
        <f>SUMIFS(#REF!,#REF!,$B79,#REF!,AA$1)</f>
        <v>#REF!</v>
      </c>
      <c r="AB79" s="24" t="e">
        <f>SUMIFS(#REF!,#REF!,$B79,#REF!,AB$1)</f>
        <v>#REF!</v>
      </c>
      <c r="AC79" s="24" t="e">
        <f>SUMIFS(#REF!,#REF!,$B79,#REF!,AC$1)</f>
        <v>#REF!</v>
      </c>
      <c r="AD79" s="24" t="e">
        <f>SUMIFS(#REF!,#REF!,$B79,#REF!,AD$1)</f>
        <v>#REF!</v>
      </c>
      <c r="AE79" s="24" t="e">
        <f>SUMIFS(#REF!,#REF!,$B79,#REF!,AE$1)</f>
        <v>#REF!</v>
      </c>
      <c r="AF79" s="24" t="e">
        <f>SUMIFS(#REF!,#REF!,$B79,#REF!,AF$1)</f>
        <v>#REF!</v>
      </c>
      <c r="AG79" s="24" t="e">
        <f>SUMIFS(#REF!,#REF!,$B79,#REF!,AG$1)</f>
        <v>#REF!</v>
      </c>
      <c r="AH79" s="24" t="e">
        <f>SUMIFS(#REF!,#REF!,$B79,#REF!,AH$1)</f>
        <v>#REF!</v>
      </c>
      <c r="AI79" s="24" t="e">
        <f>SUMIFS(#REF!,#REF!,$B79,#REF!,AI$1)</f>
        <v>#REF!</v>
      </c>
      <c r="AJ79" s="24" t="e">
        <f>SUMIFS(#REF!,#REF!,$B79,#REF!,AJ$1)</f>
        <v>#REF!</v>
      </c>
      <c r="AK79" s="24" t="e">
        <f>SUMIFS(#REF!,#REF!,$B79,#REF!,AK$1)</f>
        <v>#REF!</v>
      </c>
      <c r="AL79" s="24" t="e">
        <f>SUMIFS(#REF!,#REF!,$B79,#REF!,AL$1)</f>
        <v>#REF!</v>
      </c>
      <c r="AM79" s="24" t="e">
        <f>SUMIFS(#REF!,#REF!,$B79,#REF!,AM$1)</f>
        <v>#REF!</v>
      </c>
      <c r="AN79" s="24" t="e">
        <f>SUMIFS(#REF!,#REF!,$B79,#REF!,AN$1)</f>
        <v>#REF!</v>
      </c>
      <c r="AO79" s="24" t="e">
        <f>SUMIFS(#REF!,#REF!,$B79,#REF!,AO$1)</f>
        <v>#REF!</v>
      </c>
      <c r="AP79" s="24" t="e">
        <f>SUMIFS(#REF!,#REF!,$B79,#REF!,AP$1)</f>
        <v>#REF!</v>
      </c>
      <c r="AQ79" s="24" t="e">
        <f>SUMIFS(#REF!,#REF!,$B79,#REF!,AQ$1)</f>
        <v>#REF!</v>
      </c>
      <c r="AR79" s="24" t="e">
        <f>SUMIFS(#REF!,#REF!,$B79,#REF!,AR$1)</f>
        <v>#REF!</v>
      </c>
      <c r="AS79" s="24" t="e">
        <f>SUMIFS(#REF!,#REF!,$B79,#REF!,AS$1)</f>
        <v>#REF!</v>
      </c>
      <c r="AT79" s="24" t="e">
        <f>SUMIFS(#REF!,#REF!,$B79,#REF!,AT$1)</f>
        <v>#REF!</v>
      </c>
      <c r="AU79" s="24" t="e">
        <f>SUMIFS(#REF!,#REF!,$B79,#REF!,AU$1)</f>
        <v>#REF!</v>
      </c>
      <c r="AV79" s="24" t="e">
        <f>SUMIFS(#REF!,#REF!,$B79,#REF!,AV$1)</f>
        <v>#REF!</v>
      </c>
      <c r="AW79" s="24" t="e">
        <f>SUMIFS(#REF!,#REF!,$B79,#REF!,AW$1)</f>
        <v>#REF!</v>
      </c>
      <c r="AX79" s="24" t="e">
        <f>SUMIFS(#REF!,#REF!,$B79,#REF!,AX$1)</f>
        <v>#REF!</v>
      </c>
      <c r="AY79" s="24" t="e">
        <f>SUMIFS(#REF!,#REF!,$B79,#REF!,AY$1)</f>
        <v>#REF!</v>
      </c>
      <c r="AZ79" s="24" t="e">
        <f>SUMIFS(#REF!,#REF!,$B79,#REF!,AZ$1)</f>
        <v>#REF!</v>
      </c>
      <c r="BA79" s="24" t="e">
        <f>SUMIFS(#REF!,#REF!,$B79,#REF!,BA$1)</f>
        <v>#REF!</v>
      </c>
      <c r="BB79" s="24" t="e">
        <f>SUMIFS(#REF!,#REF!,$B79,#REF!,BB$1)</f>
        <v>#REF!</v>
      </c>
      <c r="BC79" s="24" t="e">
        <f>SUMIFS(#REF!,#REF!,$B79,#REF!,BC$1)</f>
        <v>#REF!</v>
      </c>
      <c r="BD79" s="24" t="e">
        <f>SUMIFS(#REF!,#REF!,$B79,#REF!,BD$1)</f>
        <v>#REF!</v>
      </c>
      <c r="BE79" s="24" t="e">
        <f>SUMIFS(#REF!,#REF!,$B79,#REF!,BE$1)</f>
        <v>#REF!</v>
      </c>
      <c r="BF79" s="24" t="e">
        <f>SUMIFS(#REF!,#REF!,$B79,#REF!,BF$1)</f>
        <v>#REF!</v>
      </c>
      <c r="BG79" s="24" t="e">
        <f>SUMIFS(#REF!,#REF!,$B79,#REF!,BG$1)</f>
        <v>#REF!</v>
      </c>
      <c r="BH79" s="24" t="e">
        <f>SUMIFS(#REF!,#REF!,$B79,#REF!,BH$1)</f>
        <v>#REF!</v>
      </c>
      <c r="BI79" s="24" t="e">
        <f>SUMIFS(#REF!,#REF!,$B79,#REF!,BI$1)</f>
        <v>#REF!</v>
      </c>
      <c r="BJ79" s="24" t="e">
        <f>SUMIFS(#REF!,#REF!,$B79,#REF!,BJ$1)</f>
        <v>#REF!</v>
      </c>
      <c r="BK79" s="24" t="e">
        <f>SUMIFS(#REF!,#REF!,$B79,#REF!,BK$1)</f>
        <v>#REF!</v>
      </c>
      <c r="BL79" s="24" t="e">
        <f>SUMIFS(#REF!,#REF!,$B79,#REF!,BL$1)</f>
        <v>#REF!</v>
      </c>
      <c r="BM79" s="24" t="e">
        <f>SUMIFS(#REF!,#REF!,$B79,#REF!,BM$1)</f>
        <v>#REF!</v>
      </c>
      <c r="BN79" s="24" t="e">
        <f>SUMIFS(#REF!,#REF!,$B79,#REF!,BN$1)</f>
        <v>#REF!</v>
      </c>
      <c r="BO79" s="24" t="e">
        <f>SUMIFS(#REF!,#REF!,$B79,#REF!,BO$1)</f>
        <v>#REF!</v>
      </c>
      <c r="BP79" s="24" t="e">
        <f>SUMIFS(#REF!,#REF!,$B79,#REF!,BP$1)</f>
        <v>#REF!</v>
      </c>
      <c r="BQ79" s="24" t="e">
        <f>SUMIFS(#REF!,#REF!,$B79,#REF!,BQ$1)</f>
        <v>#REF!</v>
      </c>
      <c r="BR79" s="24" t="e">
        <f>SUMIFS(#REF!,#REF!,$B79,#REF!,BR$1)</f>
        <v>#REF!</v>
      </c>
      <c r="BS79" s="24" t="e">
        <f>SUMIFS(#REF!,#REF!,$B79,#REF!,BS$1)</f>
        <v>#REF!</v>
      </c>
      <c r="BT79" s="24" t="e">
        <f>SUMIFS(#REF!,#REF!,$B79,#REF!,BT$1)</f>
        <v>#REF!</v>
      </c>
      <c r="BU79" s="24" t="e">
        <f>SUMIFS(#REF!,#REF!,$B79,#REF!,BU$1)</f>
        <v>#REF!</v>
      </c>
      <c r="BV79" s="24" t="e">
        <f>SUMIFS(#REF!,#REF!,$B79,#REF!,BV$1)</f>
        <v>#REF!</v>
      </c>
      <c r="BW79" s="24" t="e">
        <f>SUMIFS(#REF!,#REF!,$B79,#REF!,BW$1)</f>
        <v>#REF!</v>
      </c>
      <c r="BX79" s="24" t="e">
        <f>SUMIFS(#REF!,#REF!,$B79,#REF!,BX$1)</f>
        <v>#REF!</v>
      </c>
      <c r="BY79" s="24" t="e">
        <f>SUMIFS(#REF!,#REF!,$B79,#REF!,BY$1)</f>
        <v>#REF!</v>
      </c>
      <c r="BZ79" s="24" t="e">
        <f>SUMIFS(#REF!,#REF!,$B79,#REF!,BZ$1)</f>
        <v>#REF!</v>
      </c>
      <c r="CA79" s="24" t="e">
        <f>SUMIFS(#REF!,#REF!,$B79,#REF!,CA$1)</f>
        <v>#REF!</v>
      </c>
      <c r="CB79" s="24" t="e">
        <f>SUMIFS(#REF!,#REF!,$B79,#REF!,CB$1)</f>
        <v>#REF!</v>
      </c>
      <c r="CC79" s="24" t="e">
        <f>SUMIFS(#REF!,#REF!,$B79,#REF!,CC$1)</f>
        <v>#REF!</v>
      </c>
      <c r="CD79" s="24" t="e">
        <f>SUMIFS(#REF!,#REF!,$B79,#REF!,CD$1)</f>
        <v>#REF!</v>
      </c>
      <c r="CE79" s="24" t="e">
        <f>SUMIFS(#REF!,#REF!,$B79,#REF!,CE$1)</f>
        <v>#REF!</v>
      </c>
      <c r="CF79" s="24" t="e">
        <f>SUMIFS(#REF!,#REF!,$B79,#REF!,CF$1)</f>
        <v>#REF!</v>
      </c>
      <c r="CG79" s="19" t="e">
        <f t="shared" si="1"/>
        <v>#REF!</v>
      </c>
    </row>
    <row r="80" spans="1:85" x14ac:dyDescent="0.45">
      <c r="A80" s="4" t="s">
        <v>1142</v>
      </c>
      <c r="B80" s="4" t="s">
        <v>1143</v>
      </c>
      <c r="C80" s="24" t="e">
        <f>SUMIFS(#REF!,#REF!,$B80,#REF!,C$1)</f>
        <v>#REF!</v>
      </c>
      <c r="D80" s="24" t="e">
        <f>SUMIFS(#REF!,#REF!,$B80,#REF!,D$1)</f>
        <v>#REF!</v>
      </c>
      <c r="E80" s="24" t="e">
        <f>SUMIFS(#REF!,#REF!,$B80,#REF!,E$1)</f>
        <v>#REF!</v>
      </c>
      <c r="F80" s="24" t="e">
        <f>SUMIFS(#REF!,#REF!,$B80,#REF!,F$1)</f>
        <v>#REF!</v>
      </c>
      <c r="G80" s="24" t="e">
        <f>SUMIFS(#REF!,#REF!,$B80,#REF!,G$1)</f>
        <v>#REF!</v>
      </c>
      <c r="H80" s="24" t="e">
        <f>SUMIFS(#REF!,#REF!,$B80,#REF!,H$1)</f>
        <v>#REF!</v>
      </c>
      <c r="I80" s="24" t="e">
        <f>SUMIFS(#REF!,#REF!,$B80,#REF!,I$1)</f>
        <v>#REF!</v>
      </c>
      <c r="J80" s="24" t="e">
        <f>SUMIFS(#REF!,#REF!,$B80,#REF!,J$1)</f>
        <v>#REF!</v>
      </c>
      <c r="K80" s="24" t="e">
        <f>SUMIFS(#REF!,#REF!,$B80,#REF!,K$1)</f>
        <v>#REF!</v>
      </c>
      <c r="L80" s="24" t="e">
        <f>SUMIFS(#REF!,#REF!,$B80,#REF!,L$1)</f>
        <v>#REF!</v>
      </c>
      <c r="M80" s="24" t="e">
        <f>SUMIFS(#REF!,#REF!,$B80,#REF!,M$1)</f>
        <v>#REF!</v>
      </c>
      <c r="N80" s="24" t="e">
        <f>SUMIFS(#REF!,#REF!,$B80,#REF!,N$1)</f>
        <v>#REF!</v>
      </c>
      <c r="O80" s="24" t="e">
        <f>SUMIFS(#REF!,#REF!,$B80,#REF!,O$1)</f>
        <v>#REF!</v>
      </c>
      <c r="P80" s="24" t="e">
        <f>SUMIFS(#REF!,#REF!,$B80,#REF!,P$1)</f>
        <v>#REF!</v>
      </c>
      <c r="Q80" s="24" t="e">
        <f>SUMIFS(#REF!,#REF!,$B80,#REF!,Q$1)</f>
        <v>#REF!</v>
      </c>
      <c r="R80" s="24" t="e">
        <f>SUMIFS(#REF!,#REF!,$B80,#REF!,R$1)</f>
        <v>#REF!</v>
      </c>
      <c r="S80" s="24" t="e">
        <f>SUMIFS(#REF!,#REF!,$B80,#REF!,S$1)</f>
        <v>#REF!</v>
      </c>
      <c r="T80" s="24" t="e">
        <f>SUMIFS(#REF!,#REF!,$B80,#REF!,T$1)</f>
        <v>#REF!</v>
      </c>
      <c r="U80" s="24" t="e">
        <f>SUMIFS(#REF!,#REF!,$B80,#REF!,U$1)</f>
        <v>#REF!</v>
      </c>
      <c r="V80" s="24" t="e">
        <f>SUMIFS(#REF!,#REF!,$B80,#REF!,V$1)</f>
        <v>#REF!</v>
      </c>
      <c r="W80" s="24" t="e">
        <f>SUMIFS(#REF!,#REF!,$B80,#REF!,W$1)</f>
        <v>#REF!</v>
      </c>
      <c r="X80" s="24" t="e">
        <f>SUMIFS(#REF!,#REF!,$B80,#REF!,X$1)</f>
        <v>#REF!</v>
      </c>
      <c r="Y80" s="24" t="e">
        <f>SUMIFS(#REF!,#REF!,$B80,#REF!,Y$1)</f>
        <v>#REF!</v>
      </c>
      <c r="Z80" s="24" t="e">
        <f>SUMIFS(#REF!,#REF!,$B80,#REF!,Z$1)</f>
        <v>#REF!</v>
      </c>
      <c r="AA80" s="24" t="e">
        <f>SUMIFS(#REF!,#REF!,$B80,#REF!,AA$1)</f>
        <v>#REF!</v>
      </c>
      <c r="AB80" s="24" t="e">
        <f>SUMIFS(#REF!,#REF!,$B80,#REF!,AB$1)</f>
        <v>#REF!</v>
      </c>
      <c r="AC80" s="24" t="e">
        <f>SUMIFS(#REF!,#REF!,$B80,#REF!,AC$1)</f>
        <v>#REF!</v>
      </c>
      <c r="AD80" s="24" t="e">
        <f>SUMIFS(#REF!,#REF!,$B80,#REF!,AD$1)</f>
        <v>#REF!</v>
      </c>
      <c r="AE80" s="24" t="e">
        <f>SUMIFS(#REF!,#REF!,$B80,#REF!,AE$1)</f>
        <v>#REF!</v>
      </c>
      <c r="AF80" s="24" t="e">
        <f>SUMIFS(#REF!,#REF!,$B80,#REF!,AF$1)</f>
        <v>#REF!</v>
      </c>
      <c r="AG80" s="24" t="e">
        <f>SUMIFS(#REF!,#REF!,$B80,#REF!,AG$1)</f>
        <v>#REF!</v>
      </c>
      <c r="AH80" s="24" t="e">
        <f>SUMIFS(#REF!,#REF!,$B80,#REF!,AH$1)</f>
        <v>#REF!</v>
      </c>
      <c r="AI80" s="24" t="e">
        <f>SUMIFS(#REF!,#REF!,$B80,#REF!,AI$1)</f>
        <v>#REF!</v>
      </c>
      <c r="AJ80" s="24" t="e">
        <f>SUMIFS(#REF!,#REF!,$B80,#REF!,AJ$1)</f>
        <v>#REF!</v>
      </c>
      <c r="AK80" s="24" t="e">
        <f>SUMIFS(#REF!,#REF!,$B80,#REF!,AK$1)</f>
        <v>#REF!</v>
      </c>
      <c r="AL80" s="24" t="e">
        <f>SUMIFS(#REF!,#REF!,$B80,#REF!,AL$1)</f>
        <v>#REF!</v>
      </c>
      <c r="AM80" s="24" t="e">
        <f>SUMIFS(#REF!,#REF!,$B80,#REF!,AM$1)</f>
        <v>#REF!</v>
      </c>
      <c r="AN80" s="24" t="e">
        <f>SUMIFS(#REF!,#REF!,$B80,#REF!,AN$1)</f>
        <v>#REF!</v>
      </c>
      <c r="AO80" s="24" t="e">
        <f>SUMIFS(#REF!,#REF!,$B80,#REF!,AO$1)</f>
        <v>#REF!</v>
      </c>
      <c r="AP80" s="24" t="e">
        <f>SUMIFS(#REF!,#REF!,$B80,#REF!,AP$1)</f>
        <v>#REF!</v>
      </c>
      <c r="AQ80" s="24" t="e">
        <f>SUMIFS(#REF!,#REF!,$B80,#REF!,AQ$1)</f>
        <v>#REF!</v>
      </c>
      <c r="AR80" s="24" t="e">
        <f>SUMIFS(#REF!,#REF!,$B80,#REF!,AR$1)</f>
        <v>#REF!</v>
      </c>
      <c r="AS80" s="24" t="e">
        <f>SUMIFS(#REF!,#REF!,$B80,#REF!,AS$1)</f>
        <v>#REF!</v>
      </c>
      <c r="AT80" s="24" t="e">
        <f>SUMIFS(#REF!,#REF!,$B80,#REF!,AT$1)</f>
        <v>#REF!</v>
      </c>
      <c r="AU80" s="24" t="e">
        <f>SUMIFS(#REF!,#REF!,$B80,#REF!,AU$1)</f>
        <v>#REF!</v>
      </c>
      <c r="AV80" s="24" t="e">
        <f>SUMIFS(#REF!,#REF!,$B80,#REF!,AV$1)</f>
        <v>#REF!</v>
      </c>
      <c r="AW80" s="24" t="e">
        <f>SUMIFS(#REF!,#REF!,$B80,#REF!,AW$1)</f>
        <v>#REF!</v>
      </c>
      <c r="AX80" s="24" t="e">
        <f>SUMIFS(#REF!,#REF!,$B80,#REF!,AX$1)</f>
        <v>#REF!</v>
      </c>
      <c r="AY80" s="24" t="e">
        <f>SUMIFS(#REF!,#REF!,$B80,#REF!,AY$1)</f>
        <v>#REF!</v>
      </c>
      <c r="AZ80" s="24" t="e">
        <f>SUMIFS(#REF!,#REF!,$B80,#REF!,AZ$1)</f>
        <v>#REF!</v>
      </c>
      <c r="BA80" s="24" t="e">
        <f>SUMIFS(#REF!,#REF!,$B80,#REF!,BA$1)</f>
        <v>#REF!</v>
      </c>
      <c r="BB80" s="24" t="e">
        <f>SUMIFS(#REF!,#REF!,$B80,#REF!,BB$1)</f>
        <v>#REF!</v>
      </c>
      <c r="BC80" s="24" t="e">
        <f>SUMIFS(#REF!,#REF!,$B80,#REF!,BC$1)</f>
        <v>#REF!</v>
      </c>
      <c r="BD80" s="24" t="e">
        <f>SUMIFS(#REF!,#REF!,$B80,#REF!,BD$1)</f>
        <v>#REF!</v>
      </c>
      <c r="BE80" s="24" t="e">
        <f>SUMIFS(#REF!,#REF!,$B80,#REF!,BE$1)</f>
        <v>#REF!</v>
      </c>
      <c r="BF80" s="24" t="e">
        <f>SUMIFS(#REF!,#REF!,$B80,#REF!,BF$1)</f>
        <v>#REF!</v>
      </c>
      <c r="BG80" s="24" t="e">
        <f>SUMIFS(#REF!,#REF!,$B80,#REF!,BG$1)</f>
        <v>#REF!</v>
      </c>
      <c r="BH80" s="24" t="e">
        <f>SUMIFS(#REF!,#REF!,$B80,#REF!,BH$1)</f>
        <v>#REF!</v>
      </c>
      <c r="BI80" s="24" t="e">
        <f>SUMIFS(#REF!,#REF!,$B80,#REF!,BI$1)</f>
        <v>#REF!</v>
      </c>
      <c r="BJ80" s="24" t="e">
        <f>SUMIFS(#REF!,#REF!,$B80,#REF!,BJ$1)</f>
        <v>#REF!</v>
      </c>
      <c r="BK80" s="24" t="e">
        <f>SUMIFS(#REF!,#REF!,$B80,#REF!,BK$1)</f>
        <v>#REF!</v>
      </c>
      <c r="BL80" s="24" t="e">
        <f>SUMIFS(#REF!,#REF!,$B80,#REF!,BL$1)</f>
        <v>#REF!</v>
      </c>
      <c r="BM80" s="24" t="e">
        <f>SUMIFS(#REF!,#REF!,$B80,#REF!,BM$1)</f>
        <v>#REF!</v>
      </c>
      <c r="BN80" s="24" t="e">
        <f>SUMIFS(#REF!,#REF!,$B80,#REF!,BN$1)</f>
        <v>#REF!</v>
      </c>
      <c r="BO80" s="24" t="e">
        <f>SUMIFS(#REF!,#REF!,$B80,#REF!,BO$1)</f>
        <v>#REF!</v>
      </c>
      <c r="BP80" s="24" t="e">
        <f>SUMIFS(#REF!,#REF!,$B80,#REF!,BP$1)</f>
        <v>#REF!</v>
      </c>
      <c r="BQ80" s="24" t="e">
        <f>SUMIFS(#REF!,#REF!,$B80,#REF!,BQ$1)</f>
        <v>#REF!</v>
      </c>
      <c r="BR80" s="24" t="e">
        <f>SUMIFS(#REF!,#REF!,$B80,#REF!,BR$1)</f>
        <v>#REF!</v>
      </c>
      <c r="BS80" s="24" t="e">
        <f>SUMIFS(#REF!,#REF!,$B80,#REF!,BS$1)</f>
        <v>#REF!</v>
      </c>
      <c r="BT80" s="24" t="e">
        <f>SUMIFS(#REF!,#REF!,$B80,#REF!,BT$1)</f>
        <v>#REF!</v>
      </c>
      <c r="BU80" s="24" t="e">
        <f>SUMIFS(#REF!,#REF!,$B80,#REF!,BU$1)</f>
        <v>#REF!</v>
      </c>
      <c r="BV80" s="24" t="e">
        <f>SUMIFS(#REF!,#REF!,$B80,#REF!,BV$1)</f>
        <v>#REF!</v>
      </c>
      <c r="BW80" s="24" t="e">
        <f>SUMIFS(#REF!,#REF!,$B80,#REF!,BW$1)</f>
        <v>#REF!</v>
      </c>
      <c r="BX80" s="24" t="e">
        <f>SUMIFS(#REF!,#REF!,$B80,#REF!,BX$1)</f>
        <v>#REF!</v>
      </c>
      <c r="BY80" s="24" t="e">
        <f>SUMIFS(#REF!,#REF!,$B80,#REF!,BY$1)</f>
        <v>#REF!</v>
      </c>
      <c r="BZ80" s="24" t="e">
        <f>SUMIFS(#REF!,#REF!,$B80,#REF!,BZ$1)</f>
        <v>#REF!</v>
      </c>
      <c r="CA80" s="24" t="e">
        <f>SUMIFS(#REF!,#REF!,$B80,#REF!,CA$1)</f>
        <v>#REF!</v>
      </c>
      <c r="CB80" s="24" t="e">
        <f>SUMIFS(#REF!,#REF!,$B80,#REF!,CB$1)</f>
        <v>#REF!</v>
      </c>
      <c r="CC80" s="24" t="e">
        <f>SUMIFS(#REF!,#REF!,$B80,#REF!,CC$1)</f>
        <v>#REF!</v>
      </c>
      <c r="CD80" s="24" t="e">
        <f>SUMIFS(#REF!,#REF!,$B80,#REF!,CD$1)</f>
        <v>#REF!</v>
      </c>
      <c r="CE80" s="24" t="e">
        <f>SUMIFS(#REF!,#REF!,$B80,#REF!,CE$1)</f>
        <v>#REF!</v>
      </c>
      <c r="CF80" s="24" t="e">
        <f>SUMIFS(#REF!,#REF!,$B80,#REF!,CF$1)</f>
        <v>#REF!</v>
      </c>
      <c r="CG80" s="19" t="e">
        <f t="shared" si="1"/>
        <v>#REF!</v>
      </c>
    </row>
    <row r="81" spans="1:85" x14ac:dyDescent="0.45">
      <c r="A81" s="4" t="s">
        <v>1144</v>
      </c>
      <c r="B81" s="4" t="s">
        <v>1145</v>
      </c>
      <c r="C81" s="24" t="e">
        <f>SUMIFS(#REF!,#REF!,$B81,#REF!,C$1)</f>
        <v>#REF!</v>
      </c>
      <c r="D81" s="24" t="e">
        <f>SUMIFS(#REF!,#REF!,$B81,#REF!,D$1)</f>
        <v>#REF!</v>
      </c>
      <c r="E81" s="24" t="e">
        <f>SUMIFS(#REF!,#REF!,$B81,#REF!,E$1)</f>
        <v>#REF!</v>
      </c>
      <c r="F81" s="24" t="e">
        <f>SUMIFS(#REF!,#REF!,$B81,#REF!,F$1)</f>
        <v>#REF!</v>
      </c>
      <c r="G81" s="24" t="e">
        <f>SUMIFS(#REF!,#REF!,$B81,#REF!,G$1)</f>
        <v>#REF!</v>
      </c>
      <c r="H81" s="24" t="e">
        <f>SUMIFS(#REF!,#REF!,$B81,#REF!,H$1)</f>
        <v>#REF!</v>
      </c>
      <c r="I81" s="24" t="e">
        <f>SUMIFS(#REF!,#REF!,$B81,#REF!,I$1)</f>
        <v>#REF!</v>
      </c>
      <c r="J81" s="24" t="e">
        <f>SUMIFS(#REF!,#REF!,$B81,#REF!,J$1)</f>
        <v>#REF!</v>
      </c>
      <c r="K81" s="24" t="e">
        <f>SUMIFS(#REF!,#REF!,$B81,#REF!,K$1)</f>
        <v>#REF!</v>
      </c>
      <c r="L81" s="24" t="e">
        <f>SUMIFS(#REF!,#REF!,$B81,#REF!,L$1)</f>
        <v>#REF!</v>
      </c>
      <c r="M81" s="24" t="e">
        <f>SUMIFS(#REF!,#REF!,$B81,#REF!,M$1)</f>
        <v>#REF!</v>
      </c>
      <c r="N81" s="24" t="e">
        <f>SUMIFS(#REF!,#REF!,$B81,#REF!,N$1)</f>
        <v>#REF!</v>
      </c>
      <c r="O81" s="24" t="e">
        <f>SUMIFS(#REF!,#REF!,$B81,#REF!,O$1)</f>
        <v>#REF!</v>
      </c>
      <c r="P81" s="24" t="e">
        <f>SUMIFS(#REF!,#REF!,$B81,#REF!,P$1)</f>
        <v>#REF!</v>
      </c>
      <c r="Q81" s="24" t="e">
        <f>SUMIFS(#REF!,#REF!,$B81,#REF!,Q$1)</f>
        <v>#REF!</v>
      </c>
      <c r="R81" s="24" t="e">
        <f>SUMIFS(#REF!,#REF!,$B81,#REF!,R$1)</f>
        <v>#REF!</v>
      </c>
      <c r="S81" s="24" t="e">
        <f>SUMIFS(#REF!,#REF!,$B81,#REF!,S$1)</f>
        <v>#REF!</v>
      </c>
      <c r="T81" s="24" t="e">
        <f>SUMIFS(#REF!,#REF!,$B81,#REF!,T$1)</f>
        <v>#REF!</v>
      </c>
      <c r="U81" s="24" t="e">
        <f>SUMIFS(#REF!,#REF!,$B81,#REF!,U$1)</f>
        <v>#REF!</v>
      </c>
      <c r="V81" s="24" t="e">
        <f>SUMIFS(#REF!,#REF!,$B81,#REF!,V$1)</f>
        <v>#REF!</v>
      </c>
      <c r="W81" s="24" t="e">
        <f>SUMIFS(#REF!,#REF!,$B81,#REF!,W$1)</f>
        <v>#REF!</v>
      </c>
      <c r="X81" s="24" t="e">
        <f>SUMIFS(#REF!,#REF!,$B81,#REF!,X$1)</f>
        <v>#REF!</v>
      </c>
      <c r="Y81" s="24" t="e">
        <f>SUMIFS(#REF!,#REF!,$B81,#REF!,Y$1)</f>
        <v>#REF!</v>
      </c>
      <c r="Z81" s="24" t="e">
        <f>SUMIFS(#REF!,#REF!,$B81,#REF!,Z$1)</f>
        <v>#REF!</v>
      </c>
      <c r="AA81" s="24" t="e">
        <f>SUMIFS(#REF!,#REF!,$B81,#REF!,AA$1)</f>
        <v>#REF!</v>
      </c>
      <c r="AB81" s="24" t="e">
        <f>SUMIFS(#REF!,#REF!,$B81,#REF!,AB$1)</f>
        <v>#REF!</v>
      </c>
      <c r="AC81" s="24" t="e">
        <f>SUMIFS(#REF!,#REF!,$B81,#REF!,AC$1)</f>
        <v>#REF!</v>
      </c>
      <c r="AD81" s="24" t="e">
        <f>SUMIFS(#REF!,#REF!,$B81,#REF!,AD$1)</f>
        <v>#REF!</v>
      </c>
      <c r="AE81" s="24" t="e">
        <f>SUMIFS(#REF!,#REF!,$B81,#REF!,AE$1)</f>
        <v>#REF!</v>
      </c>
      <c r="AF81" s="24" t="e">
        <f>SUMIFS(#REF!,#REF!,$B81,#REF!,AF$1)</f>
        <v>#REF!</v>
      </c>
      <c r="AG81" s="24" t="e">
        <f>SUMIFS(#REF!,#REF!,$B81,#REF!,AG$1)</f>
        <v>#REF!</v>
      </c>
      <c r="AH81" s="24" t="e">
        <f>SUMIFS(#REF!,#REF!,$B81,#REF!,AH$1)</f>
        <v>#REF!</v>
      </c>
      <c r="AI81" s="24" t="e">
        <f>SUMIFS(#REF!,#REF!,$B81,#REF!,AI$1)</f>
        <v>#REF!</v>
      </c>
      <c r="AJ81" s="24" t="e">
        <f>SUMIFS(#REF!,#REF!,$B81,#REF!,AJ$1)</f>
        <v>#REF!</v>
      </c>
      <c r="AK81" s="24" t="e">
        <f>SUMIFS(#REF!,#REF!,$B81,#REF!,AK$1)</f>
        <v>#REF!</v>
      </c>
      <c r="AL81" s="24" t="e">
        <f>SUMIFS(#REF!,#REF!,$B81,#REF!,AL$1)</f>
        <v>#REF!</v>
      </c>
      <c r="AM81" s="24" t="e">
        <f>SUMIFS(#REF!,#REF!,$B81,#REF!,AM$1)</f>
        <v>#REF!</v>
      </c>
      <c r="AN81" s="24" t="e">
        <f>SUMIFS(#REF!,#REF!,$B81,#REF!,AN$1)</f>
        <v>#REF!</v>
      </c>
      <c r="AO81" s="24" t="e">
        <f>SUMIFS(#REF!,#REF!,$B81,#REF!,AO$1)</f>
        <v>#REF!</v>
      </c>
      <c r="AP81" s="24" t="e">
        <f>SUMIFS(#REF!,#REF!,$B81,#REF!,AP$1)</f>
        <v>#REF!</v>
      </c>
      <c r="AQ81" s="24" t="e">
        <f>SUMIFS(#REF!,#REF!,$B81,#REF!,AQ$1)</f>
        <v>#REF!</v>
      </c>
      <c r="AR81" s="24" t="e">
        <f>SUMIFS(#REF!,#REF!,$B81,#REF!,AR$1)</f>
        <v>#REF!</v>
      </c>
      <c r="AS81" s="24" t="e">
        <f>SUMIFS(#REF!,#REF!,$B81,#REF!,AS$1)</f>
        <v>#REF!</v>
      </c>
      <c r="AT81" s="24" t="e">
        <f>SUMIFS(#REF!,#REF!,$B81,#REF!,AT$1)</f>
        <v>#REF!</v>
      </c>
      <c r="AU81" s="24" t="e">
        <f>SUMIFS(#REF!,#REF!,$B81,#REF!,AU$1)</f>
        <v>#REF!</v>
      </c>
      <c r="AV81" s="24" t="e">
        <f>SUMIFS(#REF!,#REF!,$B81,#REF!,AV$1)</f>
        <v>#REF!</v>
      </c>
      <c r="AW81" s="24" t="e">
        <f>SUMIFS(#REF!,#REF!,$B81,#REF!,AW$1)</f>
        <v>#REF!</v>
      </c>
      <c r="AX81" s="24" t="e">
        <f>SUMIFS(#REF!,#REF!,$B81,#REF!,AX$1)</f>
        <v>#REF!</v>
      </c>
      <c r="AY81" s="24" t="e">
        <f>SUMIFS(#REF!,#REF!,$B81,#REF!,AY$1)</f>
        <v>#REF!</v>
      </c>
      <c r="AZ81" s="24" t="e">
        <f>SUMIFS(#REF!,#REF!,$B81,#REF!,AZ$1)</f>
        <v>#REF!</v>
      </c>
      <c r="BA81" s="24" t="e">
        <f>SUMIFS(#REF!,#REF!,$B81,#REF!,BA$1)</f>
        <v>#REF!</v>
      </c>
      <c r="BB81" s="24" t="e">
        <f>SUMIFS(#REF!,#REF!,$B81,#REF!,BB$1)</f>
        <v>#REF!</v>
      </c>
      <c r="BC81" s="24" t="e">
        <f>SUMIFS(#REF!,#REF!,$B81,#REF!,BC$1)</f>
        <v>#REF!</v>
      </c>
      <c r="BD81" s="24" t="e">
        <f>SUMIFS(#REF!,#REF!,$B81,#REF!,BD$1)</f>
        <v>#REF!</v>
      </c>
      <c r="BE81" s="24" t="e">
        <f>SUMIFS(#REF!,#REF!,$B81,#REF!,BE$1)</f>
        <v>#REF!</v>
      </c>
      <c r="BF81" s="24" t="e">
        <f>SUMIFS(#REF!,#REF!,$B81,#REF!,BF$1)</f>
        <v>#REF!</v>
      </c>
      <c r="BG81" s="24" t="e">
        <f>SUMIFS(#REF!,#REF!,$B81,#REF!,BG$1)</f>
        <v>#REF!</v>
      </c>
      <c r="BH81" s="24" t="e">
        <f>SUMIFS(#REF!,#REF!,$B81,#REF!,BH$1)</f>
        <v>#REF!</v>
      </c>
      <c r="BI81" s="24" t="e">
        <f>SUMIFS(#REF!,#REF!,$B81,#REF!,BI$1)</f>
        <v>#REF!</v>
      </c>
      <c r="BJ81" s="24" t="e">
        <f>SUMIFS(#REF!,#REF!,$B81,#REF!,BJ$1)</f>
        <v>#REF!</v>
      </c>
      <c r="BK81" s="24" t="e">
        <f>SUMIFS(#REF!,#REF!,$B81,#REF!,BK$1)</f>
        <v>#REF!</v>
      </c>
      <c r="BL81" s="24" t="e">
        <f>SUMIFS(#REF!,#REF!,$B81,#REF!,BL$1)</f>
        <v>#REF!</v>
      </c>
      <c r="BM81" s="24" t="e">
        <f>SUMIFS(#REF!,#REF!,$B81,#REF!,BM$1)</f>
        <v>#REF!</v>
      </c>
      <c r="BN81" s="24" t="e">
        <f>SUMIFS(#REF!,#REF!,$B81,#REF!,BN$1)</f>
        <v>#REF!</v>
      </c>
      <c r="BO81" s="24" t="e">
        <f>SUMIFS(#REF!,#REF!,$B81,#REF!,BO$1)</f>
        <v>#REF!</v>
      </c>
      <c r="BP81" s="24" t="e">
        <f>SUMIFS(#REF!,#REF!,$B81,#REF!,BP$1)</f>
        <v>#REF!</v>
      </c>
      <c r="BQ81" s="24" t="e">
        <f>SUMIFS(#REF!,#REF!,$B81,#REF!,BQ$1)</f>
        <v>#REF!</v>
      </c>
      <c r="BR81" s="24" t="e">
        <f>SUMIFS(#REF!,#REF!,$B81,#REF!,BR$1)</f>
        <v>#REF!</v>
      </c>
      <c r="BS81" s="24" t="e">
        <f>SUMIFS(#REF!,#REF!,$B81,#REF!,BS$1)</f>
        <v>#REF!</v>
      </c>
      <c r="BT81" s="24" t="e">
        <f>SUMIFS(#REF!,#REF!,$B81,#REF!,BT$1)</f>
        <v>#REF!</v>
      </c>
      <c r="BU81" s="24" t="e">
        <f>SUMIFS(#REF!,#REF!,$B81,#REF!,BU$1)</f>
        <v>#REF!</v>
      </c>
      <c r="BV81" s="24" t="e">
        <f>SUMIFS(#REF!,#REF!,$B81,#REF!,BV$1)</f>
        <v>#REF!</v>
      </c>
      <c r="BW81" s="24" t="e">
        <f>SUMIFS(#REF!,#REF!,$B81,#REF!,BW$1)</f>
        <v>#REF!</v>
      </c>
      <c r="BX81" s="24" t="e">
        <f>SUMIFS(#REF!,#REF!,$B81,#REF!,BX$1)</f>
        <v>#REF!</v>
      </c>
      <c r="BY81" s="24" t="e">
        <f>SUMIFS(#REF!,#REF!,$B81,#REF!,BY$1)</f>
        <v>#REF!</v>
      </c>
      <c r="BZ81" s="24" t="e">
        <f>SUMIFS(#REF!,#REF!,$B81,#REF!,BZ$1)</f>
        <v>#REF!</v>
      </c>
      <c r="CA81" s="24" t="e">
        <f>SUMIFS(#REF!,#REF!,$B81,#REF!,CA$1)</f>
        <v>#REF!</v>
      </c>
      <c r="CB81" s="24" t="e">
        <f>SUMIFS(#REF!,#REF!,$B81,#REF!,CB$1)</f>
        <v>#REF!</v>
      </c>
      <c r="CC81" s="24" t="e">
        <f>SUMIFS(#REF!,#REF!,$B81,#REF!,CC$1)</f>
        <v>#REF!</v>
      </c>
      <c r="CD81" s="24" t="e">
        <f>SUMIFS(#REF!,#REF!,$B81,#REF!,CD$1)</f>
        <v>#REF!</v>
      </c>
      <c r="CE81" s="24" t="e">
        <f>SUMIFS(#REF!,#REF!,$B81,#REF!,CE$1)</f>
        <v>#REF!</v>
      </c>
      <c r="CF81" s="24" t="e">
        <f>SUMIFS(#REF!,#REF!,$B81,#REF!,CF$1)</f>
        <v>#REF!</v>
      </c>
      <c r="CG81" s="19" t="e">
        <f t="shared" si="1"/>
        <v>#REF!</v>
      </c>
    </row>
    <row r="82" spans="1:85" x14ac:dyDescent="0.45">
      <c r="A82" s="4" t="s">
        <v>1146</v>
      </c>
      <c r="B82" s="4" t="s">
        <v>1147</v>
      </c>
      <c r="C82" s="24" t="e">
        <f>SUMIFS(#REF!,#REF!,$B82,#REF!,C$1)</f>
        <v>#REF!</v>
      </c>
      <c r="D82" s="24" t="e">
        <f>SUMIFS(#REF!,#REF!,$B82,#REF!,D$1)</f>
        <v>#REF!</v>
      </c>
      <c r="E82" s="24" t="e">
        <f>SUMIFS(#REF!,#REF!,$B82,#REF!,E$1)</f>
        <v>#REF!</v>
      </c>
      <c r="F82" s="24" t="e">
        <f>SUMIFS(#REF!,#REF!,$B82,#REF!,F$1)</f>
        <v>#REF!</v>
      </c>
      <c r="G82" s="24" t="e">
        <f>SUMIFS(#REF!,#REF!,$B82,#REF!,G$1)</f>
        <v>#REF!</v>
      </c>
      <c r="H82" s="24" t="e">
        <f>SUMIFS(#REF!,#REF!,$B82,#REF!,H$1)</f>
        <v>#REF!</v>
      </c>
      <c r="I82" s="24" t="e">
        <f>SUMIFS(#REF!,#REF!,$B82,#REF!,I$1)</f>
        <v>#REF!</v>
      </c>
      <c r="J82" s="24" t="e">
        <f>SUMIFS(#REF!,#REF!,$B82,#REF!,J$1)</f>
        <v>#REF!</v>
      </c>
      <c r="K82" s="24" t="e">
        <f>SUMIFS(#REF!,#REF!,$B82,#REF!,K$1)</f>
        <v>#REF!</v>
      </c>
      <c r="L82" s="24" t="e">
        <f>SUMIFS(#REF!,#REF!,$B82,#REF!,L$1)</f>
        <v>#REF!</v>
      </c>
      <c r="M82" s="24" t="e">
        <f>SUMIFS(#REF!,#REF!,$B82,#REF!,M$1)</f>
        <v>#REF!</v>
      </c>
      <c r="N82" s="24" t="e">
        <f>SUMIFS(#REF!,#REF!,$B82,#REF!,N$1)</f>
        <v>#REF!</v>
      </c>
      <c r="O82" s="24" t="e">
        <f>SUMIFS(#REF!,#REF!,$B82,#REF!,O$1)</f>
        <v>#REF!</v>
      </c>
      <c r="P82" s="24" t="e">
        <f>SUMIFS(#REF!,#REF!,$B82,#REF!,P$1)</f>
        <v>#REF!</v>
      </c>
      <c r="Q82" s="24" t="e">
        <f>SUMIFS(#REF!,#REF!,$B82,#REF!,Q$1)</f>
        <v>#REF!</v>
      </c>
      <c r="R82" s="24" t="e">
        <f>SUMIFS(#REF!,#REF!,$B82,#REF!,R$1)</f>
        <v>#REF!</v>
      </c>
      <c r="S82" s="24" t="e">
        <f>SUMIFS(#REF!,#REF!,$B82,#REF!,S$1)</f>
        <v>#REF!</v>
      </c>
      <c r="T82" s="24" t="e">
        <f>SUMIFS(#REF!,#REF!,$B82,#REF!,T$1)</f>
        <v>#REF!</v>
      </c>
      <c r="U82" s="24" t="e">
        <f>SUMIFS(#REF!,#REF!,$B82,#REF!,U$1)</f>
        <v>#REF!</v>
      </c>
      <c r="V82" s="24" t="e">
        <f>SUMIFS(#REF!,#REF!,$B82,#REF!,V$1)</f>
        <v>#REF!</v>
      </c>
      <c r="W82" s="24" t="e">
        <f>SUMIFS(#REF!,#REF!,$B82,#REF!,W$1)</f>
        <v>#REF!</v>
      </c>
      <c r="X82" s="24" t="e">
        <f>SUMIFS(#REF!,#REF!,$B82,#REF!,X$1)</f>
        <v>#REF!</v>
      </c>
      <c r="Y82" s="24" t="e">
        <f>SUMIFS(#REF!,#REF!,$B82,#REF!,Y$1)</f>
        <v>#REF!</v>
      </c>
      <c r="Z82" s="24" t="e">
        <f>SUMIFS(#REF!,#REF!,$B82,#REF!,Z$1)</f>
        <v>#REF!</v>
      </c>
      <c r="AA82" s="24" t="e">
        <f>SUMIFS(#REF!,#REF!,$B82,#REF!,AA$1)</f>
        <v>#REF!</v>
      </c>
      <c r="AB82" s="24" t="e">
        <f>SUMIFS(#REF!,#REF!,$B82,#REF!,AB$1)</f>
        <v>#REF!</v>
      </c>
      <c r="AC82" s="24" t="e">
        <f>SUMIFS(#REF!,#REF!,$B82,#REF!,AC$1)</f>
        <v>#REF!</v>
      </c>
      <c r="AD82" s="24" t="e">
        <f>SUMIFS(#REF!,#REF!,$B82,#REF!,AD$1)</f>
        <v>#REF!</v>
      </c>
      <c r="AE82" s="24" t="e">
        <f>SUMIFS(#REF!,#REF!,$B82,#REF!,AE$1)</f>
        <v>#REF!</v>
      </c>
      <c r="AF82" s="24" t="e">
        <f>SUMIFS(#REF!,#REF!,$B82,#REF!,AF$1)</f>
        <v>#REF!</v>
      </c>
      <c r="AG82" s="24" t="e">
        <f>SUMIFS(#REF!,#REF!,$B82,#REF!,AG$1)</f>
        <v>#REF!</v>
      </c>
      <c r="AH82" s="24" t="e">
        <f>SUMIFS(#REF!,#REF!,$B82,#REF!,AH$1)</f>
        <v>#REF!</v>
      </c>
      <c r="AI82" s="24" t="e">
        <f>SUMIFS(#REF!,#REF!,$B82,#REF!,AI$1)</f>
        <v>#REF!</v>
      </c>
      <c r="AJ82" s="24" t="e">
        <f>SUMIFS(#REF!,#REF!,$B82,#REF!,AJ$1)</f>
        <v>#REF!</v>
      </c>
      <c r="AK82" s="24" t="e">
        <f>SUMIFS(#REF!,#REF!,$B82,#REF!,AK$1)</f>
        <v>#REF!</v>
      </c>
      <c r="AL82" s="24" t="e">
        <f>SUMIFS(#REF!,#REF!,$B82,#REF!,AL$1)</f>
        <v>#REF!</v>
      </c>
      <c r="AM82" s="24" t="e">
        <f>SUMIFS(#REF!,#REF!,$B82,#REF!,AM$1)</f>
        <v>#REF!</v>
      </c>
      <c r="AN82" s="24" t="e">
        <f>SUMIFS(#REF!,#REF!,$B82,#REF!,AN$1)</f>
        <v>#REF!</v>
      </c>
      <c r="AO82" s="24" t="e">
        <f>SUMIFS(#REF!,#REF!,$B82,#REF!,AO$1)</f>
        <v>#REF!</v>
      </c>
      <c r="AP82" s="24" t="e">
        <f>SUMIFS(#REF!,#REF!,$B82,#REF!,AP$1)</f>
        <v>#REF!</v>
      </c>
      <c r="AQ82" s="24" t="e">
        <f>SUMIFS(#REF!,#REF!,$B82,#REF!,AQ$1)</f>
        <v>#REF!</v>
      </c>
      <c r="AR82" s="24" t="e">
        <f>SUMIFS(#REF!,#REF!,$B82,#REF!,AR$1)</f>
        <v>#REF!</v>
      </c>
      <c r="AS82" s="24" t="e">
        <f>SUMIFS(#REF!,#REF!,$B82,#REF!,AS$1)</f>
        <v>#REF!</v>
      </c>
      <c r="AT82" s="24" t="e">
        <f>SUMIFS(#REF!,#REF!,$B82,#REF!,AT$1)</f>
        <v>#REF!</v>
      </c>
      <c r="AU82" s="24" t="e">
        <f>SUMIFS(#REF!,#REF!,$B82,#REF!,AU$1)</f>
        <v>#REF!</v>
      </c>
      <c r="AV82" s="24" t="e">
        <f>SUMIFS(#REF!,#REF!,$B82,#REF!,AV$1)</f>
        <v>#REF!</v>
      </c>
      <c r="AW82" s="24" t="e">
        <f>SUMIFS(#REF!,#REF!,$B82,#REF!,AW$1)</f>
        <v>#REF!</v>
      </c>
      <c r="AX82" s="24" t="e">
        <f>SUMIFS(#REF!,#REF!,$B82,#REF!,AX$1)</f>
        <v>#REF!</v>
      </c>
      <c r="AY82" s="24" t="e">
        <f>SUMIFS(#REF!,#REF!,$B82,#REF!,AY$1)</f>
        <v>#REF!</v>
      </c>
      <c r="AZ82" s="24" t="e">
        <f>SUMIFS(#REF!,#REF!,$B82,#REF!,AZ$1)</f>
        <v>#REF!</v>
      </c>
      <c r="BA82" s="24" t="e">
        <f>SUMIFS(#REF!,#REF!,$B82,#REF!,BA$1)</f>
        <v>#REF!</v>
      </c>
      <c r="BB82" s="24" t="e">
        <f>SUMIFS(#REF!,#REF!,$B82,#REF!,BB$1)</f>
        <v>#REF!</v>
      </c>
      <c r="BC82" s="24" t="e">
        <f>SUMIFS(#REF!,#REF!,$B82,#REF!,BC$1)</f>
        <v>#REF!</v>
      </c>
      <c r="BD82" s="24" t="e">
        <f>SUMIFS(#REF!,#REF!,$B82,#REF!,BD$1)</f>
        <v>#REF!</v>
      </c>
      <c r="BE82" s="24" t="e">
        <f>SUMIFS(#REF!,#REF!,$B82,#REF!,BE$1)</f>
        <v>#REF!</v>
      </c>
      <c r="BF82" s="24" t="e">
        <f>SUMIFS(#REF!,#REF!,$B82,#REF!,BF$1)</f>
        <v>#REF!</v>
      </c>
      <c r="BG82" s="24" t="e">
        <f>SUMIFS(#REF!,#REF!,$B82,#REF!,BG$1)</f>
        <v>#REF!</v>
      </c>
      <c r="BH82" s="24" t="e">
        <f>SUMIFS(#REF!,#REF!,$B82,#REF!,BH$1)</f>
        <v>#REF!</v>
      </c>
      <c r="BI82" s="24" t="e">
        <f>SUMIFS(#REF!,#REF!,$B82,#REF!,BI$1)</f>
        <v>#REF!</v>
      </c>
      <c r="BJ82" s="24" t="e">
        <f>SUMIFS(#REF!,#REF!,$B82,#REF!,BJ$1)</f>
        <v>#REF!</v>
      </c>
      <c r="BK82" s="24" t="e">
        <f>SUMIFS(#REF!,#REF!,$B82,#REF!,BK$1)</f>
        <v>#REF!</v>
      </c>
      <c r="BL82" s="24" t="e">
        <f>SUMIFS(#REF!,#REF!,$B82,#REF!,BL$1)</f>
        <v>#REF!</v>
      </c>
      <c r="BM82" s="24" t="e">
        <f>SUMIFS(#REF!,#REF!,$B82,#REF!,BM$1)</f>
        <v>#REF!</v>
      </c>
      <c r="BN82" s="24" t="e">
        <f>SUMIFS(#REF!,#REF!,$B82,#REF!,BN$1)</f>
        <v>#REF!</v>
      </c>
      <c r="BO82" s="24" t="e">
        <f>SUMIFS(#REF!,#REF!,$B82,#REF!,BO$1)</f>
        <v>#REF!</v>
      </c>
      <c r="BP82" s="24" t="e">
        <f>SUMIFS(#REF!,#REF!,$B82,#REF!,BP$1)</f>
        <v>#REF!</v>
      </c>
      <c r="BQ82" s="24" t="e">
        <f>SUMIFS(#REF!,#REF!,$B82,#REF!,BQ$1)</f>
        <v>#REF!</v>
      </c>
      <c r="BR82" s="24" t="e">
        <f>SUMIFS(#REF!,#REF!,$B82,#REF!,BR$1)</f>
        <v>#REF!</v>
      </c>
      <c r="BS82" s="24" t="e">
        <f>SUMIFS(#REF!,#REF!,$B82,#REF!,BS$1)</f>
        <v>#REF!</v>
      </c>
      <c r="BT82" s="24" t="e">
        <f>SUMIFS(#REF!,#REF!,$B82,#REF!,BT$1)</f>
        <v>#REF!</v>
      </c>
      <c r="BU82" s="24" t="e">
        <f>SUMIFS(#REF!,#REF!,$B82,#REF!,BU$1)</f>
        <v>#REF!</v>
      </c>
      <c r="BV82" s="24" t="e">
        <f>SUMIFS(#REF!,#REF!,$B82,#REF!,BV$1)</f>
        <v>#REF!</v>
      </c>
      <c r="BW82" s="24" t="e">
        <f>SUMIFS(#REF!,#REF!,$B82,#REF!,BW$1)</f>
        <v>#REF!</v>
      </c>
      <c r="BX82" s="24" t="e">
        <f>SUMIFS(#REF!,#REF!,$B82,#REF!,BX$1)</f>
        <v>#REF!</v>
      </c>
      <c r="BY82" s="24" t="e">
        <f>SUMIFS(#REF!,#REF!,$B82,#REF!,BY$1)</f>
        <v>#REF!</v>
      </c>
      <c r="BZ82" s="24" t="e">
        <f>SUMIFS(#REF!,#REF!,$B82,#REF!,BZ$1)</f>
        <v>#REF!</v>
      </c>
      <c r="CA82" s="24" t="e">
        <f>SUMIFS(#REF!,#REF!,$B82,#REF!,CA$1)</f>
        <v>#REF!</v>
      </c>
      <c r="CB82" s="24" t="e">
        <f>SUMIFS(#REF!,#REF!,$B82,#REF!,CB$1)</f>
        <v>#REF!</v>
      </c>
      <c r="CC82" s="24" t="e">
        <f>SUMIFS(#REF!,#REF!,$B82,#REF!,CC$1)</f>
        <v>#REF!</v>
      </c>
      <c r="CD82" s="24" t="e">
        <f>SUMIFS(#REF!,#REF!,$B82,#REF!,CD$1)</f>
        <v>#REF!</v>
      </c>
      <c r="CE82" s="24" t="e">
        <f>SUMIFS(#REF!,#REF!,$B82,#REF!,CE$1)</f>
        <v>#REF!</v>
      </c>
      <c r="CF82" s="24" t="e">
        <f>SUMIFS(#REF!,#REF!,$B82,#REF!,CF$1)</f>
        <v>#REF!</v>
      </c>
      <c r="CG82" s="19" t="e">
        <f t="shared" si="1"/>
        <v>#REF!</v>
      </c>
    </row>
    <row r="83" spans="1:85" x14ac:dyDescent="0.45">
      <c r="A83" s="4" t="s">
        <v>1148</v>
      </c>
      <c r="B83" s="4" t="s">
        <v>1149</v>
      </c>
      <c r="C83" s="24" t="e">
        <f>SUMIFS(#REF!,#REF!,$B83,#REF!,C$1)</f>
        <v>#REF!</v>
      </c>
      <c r="D83" s="24" t="e">
        <f>SUMIFS(#REF!,#REF!,$B83,#REF!,D$1)</f>
        <v>#REF!</v>
      </c>
      <c r="E83" s="24" t="e">
        <f>SUMIFS(#REF!,#REF!,$B83,#REF!,E$1)</f>
        <v>#REF!</v>
      </c>
      <c r="F83" s="24" t="e">
        <f>SUMIFS(#REF!,#REF!,$B83,#REF!,F$1)</f>
        <v>#REF!</v>
      </c>
      <c r="G83" s="24" t="e">
        <f>SUMIFS(#REF!,#REF!,$B83,#REF!,G$1)</f>
        <v>#REF!</v>
      </c>
      <c r="H83" s="24" t="e">
        <f>SUMIFS(#REF!,#REF!,$B83,#REF!,H$1)</f>
        <v>#REF!</v>
      </c>
      <c r="I83" s="24" t="e">
        <f>SUMIFS(#REF!,#REF!,$B83,#REF!,I$1)</f>
        <v>#REF!</v>
      </c>
      <c r="J83" s="24" t="e">
        <f>SUMIFS(#REF!,#REF!,$B83,#REF!,J$1)</f>
        <v>#REF!</v>
      </c>
      <c r="K83" s="24" t="e">
        <f>SUMIFS(#REF!,#REF!,$B83,#REF!,K$1)</f>
        <v>#REF!</v>
      </c>
      <c r="L83" s="24" t="e">
        <f>SUMIFS(#REF!,#REF!,$B83,#REF!,L$1)</f>
        <v>#REF!</v>
      </c>
      <c r="M83" s="24" t="e">
        <f>SUMIFS(#REF!,#REF!,$B83,#REF!,M$1)</f>
        <v>#REF!</v>
      </c>
      <c r="N83" s="24" t="e">
        <f>SUMIFS(#REF!,#REF!,$B83,#REF!,N$1)</f>
        <v>#REF!</v>
      </c>
      <c r="O83" s="24" t="e">
        <f>SUMIFS(#REF!,#REF!,$B83,#REF!,O$1)</f>
        <v>#REF!</v>
      </c>
      <c r="P83" s="24" t="e">
        <f>SUMIFS(#REF!,#REF!,$B83,#REF!,P$1)</f>
        <v>#REF!</v>
      </c>
      <c r="Q83" s="24" t="e">
        <f>SUMIFS(#REF!,#REF!,$B83,#REF!,Q$1)</f>
        <v>#REF!</v>
      </c>
      <c r="R83" s="24" t="e">
        <f>SUMIFS(#REF!,#REF!,$B83,#REF!,R$1)</f>
        <v>#REF!</v>
      </c>
      <c r="S83" s="24" t="e">
        <f>SUMIFS(#REF!,#REF!,$B83,#REF!,S$1)</f>
        <v>#REF!</v>
      </c>
      <c r="T83" s="24" t="e">
        <f>SUMIFS(#REF!,#REF!,$B83,#REF!,T$1)</f>
        <v>#REF!</v>
      </c>
      <c r="U83" s="24" t="e">
        <f>SUMIFS(#REF!,#REF!,$B83,#REF!,U$1)</f>
        <v>#REF!</v>
      </c>
      <c r="V83" s="24" t="e">
        <f>SUMIFS(#REF!,#REF!,$B83,#REF!,V$1)</f>
        <v>#REF!</v>
      </c>
      <c r="W83" s="24" t="e">
        <f>SUMIFS(#REF!,#REF!,$B83,#REF!,W$1)</f>
        <v>#REF!</v>
      </c>
      <c r="X83" s="24" t="e">
        <f>SUMIFS(#REF!,#REF!,$B83,#REF!,X$1)</f>
        <v>#REF!</v>
      </c>
      <c r="Y83" s="24" t="e">
        <f>SUMIFS(#REF!,#REF!,$B83,#REF!,Y$1)</f>
        <v>#REF!</v>
      </c>
      <c r="Z83" s="24" t="e">
        <f>SUMIFS(#REF!,#REF!,$B83,#REF!,Z$1)</f>
        <v>#REF!</v>
      </c>
      <c r="AA83" s="24" t="e">
        <f>SUMIFS(#REF!,#REF!,$B83,#REF!,AA$1)</f>
        <v>#REF!</v>
      </c>
      <c r="AB83" s="24" t="e">
        <f>SUMIFS(#REF!,#REF!,$B83,#REF!,AB$1)</f>
        <v>#REF!</v>
      </c>
      <c r="AC83" s="24" t="e">
        <f>SUMIFS(#REF!,#REF!,$B83,#REF!,AC$1)</f>
        <v>#REF!</v>
      </c>
      <c r="AD83" s="24" t="e">
        <f>SUMIFS(#REF!,#REF!,$B83,#REF!,AD$1)</f>
        <v>#REF!</v>
      </c>
      <c r="AE83" s="24" t="e">
        <f>SUMIFS(#REF!,#REF!,$B83,#REF!,AE$1)</f>
        <v>#REF!</v>
      </c>
      <c r="AF83" s="24" t="e">
        <f>SUMIFS(#REF!,#REF!,$B83,#REF!,AF$1)</f>
        <v>#REF!</v>
      </c>
      <c r="AG83" s="24" t="e">
        <f>SUMIFS(#REF!,#REF!,$B83,#REF!,AG$1)</f>
        <v>#REF!</v>
      </c>
      <c r="AH83" s="24" t="e">
        <f>SUMIFS(#REF!,#REF!,$B83,#REF!,AH$1)</f>
        <v>#REF!</v>
      </c>
      <c r="AI83" s="24" t="e">
        <f>SUMIFS(#REF!,#REF!,$B83,#REF!,AI$1)</f>
        <v>#REF!</v>
      </c>
      <c r="AJ83" s="24" t="e">
        <f>SUMIFS(#REF!,#REF!,$B83,#REF!,AJ$1)</f>
        <v>#REF!</v>
      </c>
      <c r="AK83" s="24" t="e">
        <f>SUMIFS(#REF!,#REF!,$B83,#REF!,AK$1)</f>
        <v>#REF!</v>
      </c>
      <c r="AL83" s="24" t="e">
        <f>SUMIFS(#REF!,#REF!,$B83,#REF!,AL$1)</f>
        <v>#REF!</v>
      </c>
      <c r="AM83" s="24" t="e">
        <f>SUMIFS(#REF!,#REF!,$B83,#REF!,AM$1)</f>
        <v>#REF!</v>
      </c>
      <c r="AN83" s="24" t="e">
        <f>SUMIFS(#REF!,#REF!,$B83,#REF!,AN$1)</f>
        <v>#REF!</v>
      </c>
      <c r="AO83" s="24" t="e">
        <f>SUMIFS(#REF!,#REF!,$B83,#REF!,AO$1)</f>
        <v>#REF!</v>
      </c>
      <c r="AP83" s="24" t="e">
        <f>SUMIFS(#REF!,#REF!,$B83,#REF!,AP$1)</f>
        <v>#REF!</v>
      </c>
      <c r="AQ83" s="24" t="e">
        <f>SUMIFS(#REF!,#REF!,$B83,#REF!,AQ$1)</f>
        <v>#REF!</v>
      </c>
      <c r="AR83" s="24" t="e">
        <f>SUMIFS(#REF!,#REF!,$B83,#REF!,AR$1)</f>
        <v>#REF!</v>
      </c>
      <c r="AS83" s="24" t="e">
        <f>SUMIFS(#REF!,#REF!,$B83,#REF!,AS$1)</f>
        <v>#REF!</v>
      </c>
      <c r="AT83" s="24" t="e">
        <f>SUMIFS(#REF!,#REF!,$B83,#REF!,AT$1)</f>
        <v>#REF!</v>
      </c>
      <c r="AU83" s="24" t="e">
        <f>SUMIFS(#REF!,#REF!,$B83,#REF!,AU$1)</f>
        <v>#REF!</v>
      </c>
      <c r="AV83" s="24" t="e">
        <f>SUMIFS(#REF!,#REF!,$B83,#REF!,AV$1)</f>
        <v>#REF!</v>
      </c>
      <c r="AW83" s="24" t="e">
        <f>SUMIFS(#REF!,#REF!,$B83,#REF!,AW$1)</f>
        <v>#REF!</v>
      </c>
      <c r="AX83" s="24" t="e">
        <f>SUMIFS(#REF!,#REF!,$B83,#REF!,AX$1)</f>
        <v>#REF!</v>
      </c>
      <c r="AY83" s="24" t="e">
        <f>SUMIFS(#REF!,#REF!,$B83,#REF!,AY$1)</f>
        <v>#REF!</v>
      </c>
      <c r="AZ83" s="24" t="e">
        <f>SUMIFS(#REF!,#REF!,$B83,#REF!,AZ$1)</f>
        <v>#REF!</v>
      </c>
      <c r="BA83" s="24" t="e">
        <f>SUMIFS(#REF!,#REF!,$B83,#REF!,BA$1)</f>
        <v>#REF!</v>
      </c>
      <c r="BB83" s="24" t="e">
        <f>SUMIFS(#REF!,#REF!,$B83,#REF!,BB$1)</f>
        <v>#REF!</v>
      </c>
      <c r="BC83" s="24" t="e">
        <f>SUMIFS(#REF!,#REF!,$B83,#REF!,BC$1)</f>
        <v>#REF!</v>
      </c>
      <c r="BD83" s="24" t="e">
        <f>SUMIFS(#REF!,#REF!,$B83,#REF!,BD$1)</f>
        <v>#REF!</v>
      </c>
      <c r="BE83" s="24" t="e">
        <f>SUMIFS(#REF!,#REF!,$B83,#REF!,BE$1)</f>
        <v>#REF!</v>
      </c>
      <c r="BF83" s="24" t="e">
        <f>SUMIFS(#REF!,#REF!,$B83,#REF!,BF$1)</f>
        <v>#REF!</v>
      </c>
      <c r="BG83" s="24" t="e">
        <f>SUMIFS(#REF!,#REF!,$B83,#REF!,BG$1)</f>
        <v>#REF!</v>
      </c>
      <c r="BH83" s="24" t="e">
        <f>SUMIFS(#REF!,#REF!,$B83,#REF!,BH$1)</f>
        <v>#REF!</v>
      </c>
      <c r="BI83" s="24" t="e">
        <f>SUMIFS(#REF!,#REF!,$B83,#REF!,BI$1)</f>
        <v>#REF!</v>
      </c>
      <c r="BJ83" s="24" t="e">
        <f>SUMIFS(#REF!,#REF!,$B83,#REF!,BJ$1)</f>
        <v>#REF!</v>
      </c>
      <c r="BK83" s="24" t="e">
        <f>SUMIFS(#REF!,#REF!,$B83,#REF!,BK$1)</f>
        <v>#REF!</v>
      </c>
      <c r="BL83" s="24" t="e">
        <f>SUMIFS(#REF!,#REF!,$B83,#REF!,BL$1)</f>
        <v>#REF!</v>
      </c>
      <c r="BM83" s="24" t="e">
        <f>SUMIFS(#REF!,#REF!,$B83,#REF!,BM$1)</f>
        <v>#REF!</v>
      </c>
      <c r="BN83" s="24" t="e">
        <f>SUMIFS(#REF!,#REF!,$B83,#REF!,BN$1)</f>
        <v>#REF!</v>
      </c>
      <c r="BO83" s="24" t="e">
        <f>SUMIFS(#REF!,#REF!,$B83,#REF!,BO$1)</f>
        <v>#REF!</v>
      </c>
      <c r="BP83" s="24" t="e">
        <f>SUMIFS(#REF!,#REF!,$B83,#REF!,BP$1)</f>
        <v>#REF!</v>
      </c>
      <c r="BQ83" s="24" t="e">
        <f>SUMIFS(#REF!,#REF!,$B83,#REF!,BQ$1)</f>
        <v>#REF!</v>
      </c>
      <c r="BR83" s="24" t="e">
        <f>SUMIFS(#REF!,#REF!,$B83,#REF!,BR$1)</f>
        <v>#REF!</v>
      </c>
      <c r="BS83" s="24" t="e">
        <f>SUMIFS(#REF!,#REF!,$B83,#REF!,BS$1)</f>
        <v>#REF!</v>
      </c>
      <c r="BT83" s="24" t="e">
        <f>SUMIFS(#REF!,#REF!,$B83,#REF!,BT$1)</f>
        <v>#REF!</v>
      </c>
      <c r="BU83" s="24" t="e">
        <f>SUMIFS(#REF!,#REF!,$B83,#REF!,BU$1)</f>
        <v>#REF!</v>
      </c>
      <c r="BV83" s="24" t="e">
        <f>SUMIFS(#REF!,#REF!,$B83,#REF!,BV$1)</f>
        <v>#REF!</v>
      </c>
      <c r="BW83" s="24" t="e">
        <f>SUMIFS(#REF!,#REF!,$B83,#REF!,BW$1)</f>
        <v>#REF!</v>
      </c>
      <c r="BX83" s="24" t="e">
        <f>SUMIFS(#REF!,#REF!,$B83,#REF!,BX$1)</f>
        <v>#REF!</v>
      </c>
      <c r="BY83" s="24" t="e">
        <f>SUMIFS(#REF!,#REF!,$B83,#REF!,BY$1)</f>
        <v>#REF!</v>
      </c>
      <c r="BZ83" s="24" t="e">
        <f>SUMIFS(#REF!,#REF!,$B83,#REF!,BZ$1)</f>
        <v>#REF!</v>
      </c>
      <c r="CA83" s="24" t="e">
        <f>SUMIFS(#REF!,#REF!,$B83,#REF!,CA$1)</f>
        <v>#REF!</v>
      </c>
      <c r="CB83" s="24" t="e">
        <f>SUMIFS(#REF!,#REF!,$B83,#REF!,CB$1)</f>
        <v>#REF!</v>
      </c>
      <c r="CC83" s="24" t="e">
        <f>SUMIFS(#REF!,#REF!,$B83,#REF!,CC$1)</f>
        <v>#REF!</v>
      </c>
      <c r="CD83" s="24" t="e">
        <f>SUMIFS(#REF!,#REF!,$B83,#REF!,CD$1)</f>
        <v>#REF!</v>
      </c>
      <c r="CE83" s="24" t="e">
        <f>SUMIFS(#REF!,#REF!,$B83,#REF!,CE$1)</f>
        <v>#REF!</v>
      </c>
      <c r="CF83" s="24" t="e">
        <f>SUMIFS(#REF!,#REF!,$B83,#REF!,CF$1)</f>
        <v>#REF!</v>
      </c>
      <c r="CG83" s="19" t="e">
        <f t="shared" si="1"/>
        <v>#REF!</v>
      </c>
    </row>
    <row r="84" spans="1:85" x14ac:dyDescent="0.45">
      <c r="A84" s="4" t="s">
        <v>1150</v>
      </c>
      <c r="B84" s="4" t="s">
        <v>1151</v>
      </c>
      <c r="C84" s="24" t="e">
        <f>SUMIFS(#REF!,#REF!,$B84,#REF!,C$1)</f>
        <v>#REF!</v>
      </c>
      <c r="D84" s="24" t="e">
        <f>SUMIFS(#REF!,#REF!,$B84,#REF!,D$1)</f>
        <v>#REF!</v>
      </c>
      <c r="E84" s="24" t="e">
        <f>SUMIFS(#REF!,#REF!,$B84,#REF!,E$1)</f>
        <v>#REF!</v>
      </c>
      <c r="F84" s="24" t="e">
        <f>SUMIFS(#REF!,#REF!,$B84,#REF!,F$1)</f>
        <v>#REF!</v>
      </c>
      <c r="G84" s="24" t="e">
        <f>SUMIFS(#REF!,#REF!,$B84,#REF!,G$1)</f>
        <v>#REF!</v>
      </c>
      <c r="H84" s="24" t="e">
        <f>SUMIFS(#REF!,#REF!,$B84,#REF!,H$1)</f>
        <v>#REF!</v>
      </c>
      <c r="I84" s="24" t="e">
        <f>SUMIFS(#REF!,#REF!,$B84,#REF!,I$1)</f>
        <v>#REF!</v>
      </c>
      <c r="J84" s="24" t="e">
        <f>SUMIFS(#REF!,#REF!,$B84,#REF!,J$1)</f>
        <v>#REF!</v>
      </c>
      <c r="K84" s="24" t="e">
        <f>SUMIFS(#REF!,#REF!,$B84,#REF!,K$1)</f>
        <v>#REF!</v>
      </c>
      <c r="L84" s="24" t="e">
        <f>SUMIFS(#REF!,#REF!,$B84,#REF!,L$1)</f>
        <v>#REF!</v>
      </c>
      <c r="M84" s="24" t="e">
        <f>SUMIFS(#REF!,#REF!,$B84,#REF!,M$1)</f>
        <v>#REF!</v>
      </c>
      <c r="N84" s="24" t="e">
        <f>SUMIFS(#REF!,#REF!,$B84,#REF!,N$1)</f>
        <v>#REF!</v>
      </c>
      <c r="O84" s="24" t="e">
        <f>SUMIFS(#REF!,#REF!,$B84,#REF!,O$1)</f>
        <v>#REF!</v>
      </c>
      <c r="P84" s="24" t="e">
        <f>SUMIFS(#REF!,#REF!,$B84,#REF!,P$1)</f>
        <v>#REF!</v>
      </c>
      <c r="Q84" s="24" t="e">
        <f>SUMIFS(#REF!,#REF!,$B84,#REF!,Q$1)</f>
        <v>#REF!</v>
      </c>
      <c r="R84" s="24" t="e">
        <f>SUMIFS(#REF!,#REF!,$B84,#REF!,R$1)</f>
        <v>#REF!</v>
      </c>
      <c r="S84" s="24" t="e">
        <f>SUMIFS(#REF!,#REF!,$B84,#REF!,S$1)</f>
        <v>#REF!</v>
      </c>
      <c r="T84" s="24" t="e">
        <f>SUMIFS(#REF!,#REF!,$B84,#REF!,T$1)</f>
        <v>#REF!</v>
      </c>
      <c r="U84" s="24" t="e">
        <f>SUMIFS(#REF!,#REF!,$B84,#REF!,U$1)</f>
        <v>#REF!</v>
      </c>
      <c r="V84" s="24" t="e">
        <f>SUMIFS(#REF!,#REF!,$B84,#REF!,V$1)</f>
        <v>#REF!</v>
      </c>
      <c r="W84" s="24" t="e">
        <f>SUMIFS(#REF!,#REF!,$B84,#REF!,W$1)</f>
        <v>#REF!</v>
      </c>
      <c r="X84" s="24" t="e">
        <f>SUMIFS(#REF!,#REF!,$B84,#REF!,X$1)</f>
        <v>#REF!</v>
      </c>
      <c r="Y84" s="24" t="e">
        <f>SUMIFS(#REF!,#REF!,$B84,#REF!,Y$1)</f>
        <v>#REF!</v>
      </c>
      <c r="Z84" s="24" t="e">
        <f>SUMIFS(#REF!,#REF!,$B84,#REF!,Z$1)</f>
        <v>#REF!</v>
      </c>
      <c r="AA84" s="24" t="e">
        <f>SUMIFS(#REF!,#REF!,$B84,#REF!,AA$1)</f>
        <v>#REF!</v>
      </c>
      <c r="AB84" s="24" t="e">
        <f>SUMIFS(#REF!,#REF!,$B84,#REF!,AB$1)</f>
        <v>#REF!</v>
      </c>
      <c r="AC84" s="24" t="e">
        <f>SUMIFS(#REF!,#REF!,$B84,#REF!,AC$1)</f>
        <v>#REF!</v>
      </c>
      <c r="AD84" s="24" t="e">
        <f>SUMIFS(#REF!,#REF!,$B84,#REF!,AD$1)</f>
        <v>#REF!</v>
      </c>
      <c r="AE84" s="24" t="e">
        <f>SUMIFS(#REF!,#REF!,$B84,#REF!,AE$1)</f>
        <v>#REF!</v>
      </c>
      <c r="AF84" s="24" t="e">
        <f>SUMIFS(#REF!,#REF!,$B84,#REF!,AF$1)</f>
        <v>#REF!</v>
      </c>
      <c r="AG84" s="24" t="e">
        <f>SUMIFS(#REF!,#REF!,$B84,#REF!,AG$1)</f>
        <v>#REF!</v>
      </c>
      <c r="AH84" s="24" t="e">
        <f>SUMIFS(#REF!,#REF!,$B84,#REF!,AH$1)</f>
        <v>#REF!</v>
      </c>
      <c r="AI84" s="24" t="e">
        <f>SUMIFS(#REF!,#REF!,$B84,#REF!,AI$1)</f>
        <v>#REF!</v>
      </c>
      <c r="AJ84" s="24" t="e">
        <f>SUMIFS(#REF!,#REF!,$B84,#REF!,AJ$1)</f>
        <v>#REF!</v>
      </c>
      <c r="AK84" s="24" t="e">
        <f>SUMIFS(#REF!,#REF!,$B84,#REF!,AK$1)</f>
        <v>#REF!</v>
      </c>
      <c r="AL84" s="24" t="e">
        <f>SUMIFS(#REF!,#REF!,$B84,#REF!,AL$1)</f>
        <v>#REF!</v>
      </c>
      <c r="AM84" s="24" t="e">
        <f>SUMIFS(#REF!,#REF!,$B84,#REF!,AM$1)</f>
        <v>#REF!</v>
      </c>
      <c r="AN84" s="24" t="e">
        <f>SUMIFS(#REF!,#REF!,$B84,#REF!,AN$1)</f>
        <v>#REF!</v>
      </c>
      <c r="AO84" s="24" t="e">
        <f>SUMIFS(#REF!,#REF!,$B84,#REF!,AO$1)</f>
        <v>#REF!</v>
      </c>
      <c r="AP84" s="24" t="e">
        <f>SUMIFS(#REF!,#REF!,$B84,#REF!,AP$1)</f>
        <v>#REF!</v>
      </c>
      <c r="AQ84" s="24" t="e">
        <f>SUMIFS(#REF!,#REF!,$B84,#REF!,AQ$1)</f>
        <v>#REF!</v>
      </c>
      <c r="AR84" s="24" t="e">
        <f>SUMIFS(#REF!,#REF!,$B84,#REF!,AR$1)</f>
        <v>#REF!</v>
      </c>
      <c r="AS84" s="24" t="e">
        <f>SUMIFS(#REF!,#REF!,$B84,#REF!,AS$1)</f>
        <v>#REF!</v>
      </c>
      <c r="AT84" s="24" t="e">
        <f>SUMIFS(#REF!,#REF!,$B84,#REF!,AT$1)</f>
        <v>#REF!</v>
      </c>
      <c r="AU84" s="24" t="e">
        <f>SUMIFS(#REF!,#REF!,$B84,#REF!,AU$1)</f>
        <v>#REF!</v>
      </c>
      <c r="AV84" s="24" t="e">
        <f>SUMIFS(#REF!,#REF!,$B84,#REF!,AV$1)</f>
        <v>#REF!</v>
      </c>
      <c r="AW84" s="24" t="e">
        <f>SUMIFS(#REF!,#REF!,$B84,#REF!,AW$1)</f>
        <v>#REF!</v>
      </c>
      <c r="AX84" s="24" t="e">
        <f>SUMIFS(#REF!,#REF!,$B84,#REF!,AX$1)</f>
        <v>#REF!</v>
      </c>
      <c r="AY84" s="24" t="e">
        <f>SUMIFS(#REF!,#REF!,$B84,#REF!,AY$1)</f>
        <v>#REF!</v>
      </c>
      <c r="AZ84" s="24" t="e">
        <f>SUMIFS(#REF!,#REF!,$B84,#REF!,AZ$1)</f>
        <v>#REF!</v>
      </c>
      <c r="BA84" s="24" t="e">
        <f>SUMIFS(#REF!,#REF!,$B84,#REF!,BA$1)</f>
        <v>#REF!</v>
      </c>
      <c r="BB84" s="24" t="e">
        <f>SUMIFS(#REF!,#REF!,$B84,#REF!,BB$1)</f>
        <v>#REF!</v>
      </c>
      <c r="BC84" s="24" t="e">
        <f>SUMIFS(#REF!,#REF!,$B84,#REF!,BC$1)</f>
        <v>#REF!</v>
      </c>
      <c r="BD84" s="24" t="e">
        <f>SUMIFS(#REF!,#REF!,$B84,#REF!,BD$1)</f>
        <v>#REF!</v>
      </c>
      <c r="BE84" s="24" t="e">
        <f>SUMIFS(#REF!,#REF!,$B84,#REF!,BE$1)</f>
        <v>#REF!</v>
      </c>
      <c r="BF84" s="24" t="e">
        <f>SUMIFS(#REF!,#REF!,$B84,#REF!,BF$1)</f>
        <v>#REF!</v>
      </c>
      <c r="BG84" s="24" t="e">
        <f>SUMIFS(#REF!,#REF!,$B84,#REF!,BG$1)</f>
        <v>#REF!</v>
      </c>
      <c r="BH84" s="24" t="e">
        <f>SUMIFS(#REF!,#REF!,$B84,#REF!,BH$1)</f>
        <v>#REF!</v>
      </c>
      <c r="BI84" s="24" t="e">
        <f>SUMIFS(#REF!,#REF!,$B84,#REF!,BI$1)</f>
        <v>#REF!</v>
      </c>
      <c r="BJ84" s="24" t="e">
        <f>SUMIFS(#REF!,#REF!,$B84,#REF!,BJ$1)</f>
        <v>#REF!</v>
      </c>
      <c r="BK84" s="24" t="e">
        <f>SUMIFS(#REF!,#REF!,$B84,#REF!,BK$1)</f>
        <v>#REF!</v>
      </c>
      <c r="BL84" s="24" t="e">
        <f>SUMIFS(#REF!,#REF!,$B84,#REF!,BL$1)</f>
        <v>#REF!</v>
      </c>
      <c r="BM84" s="24" t="e">
        <f>SUMIFS(#REF!,#REF!,$B84,#REF!,BM$1)</f>
        <v>#REF!</v>
      </c>
      <c r="BN84" s="24" t="e">
        <f>SUMIFS(#REF!,#REF!,$B84,#REF!,BN$1)</f>
        <v>#REF!</v>
      </c>
      <c r="BO84" s="24" t="e">
        <f>SUMIFS(#REF!,#REF!,$B84,#REF!,BO$1)</f>
        <v>#REF!</v>
      </c>
      <c r="BP84" s="24" t="e">
        <f>SUMIFS(#REF!,#REF!,$B84,#REF!,BP$1)</f>
        <v>#REF!</v>
      </c>
      <c r="BQ84" s="24" t="e">
        <f>SUMIFS(#REF!,#REF!,$B84,#REF!,BQ$1)</f>
        <v>#REF!</v>
      </c>
      <c r="BR84" s="24" t="e">
        <f>SUMIFS(#REF!,#REF!,$B84,#REF!,BR$1)</f>
        <v>#REF!</v>
      </c>
      <c r="BS84" s="24" t="e">
        <f>SUMIFS(#REF!,#REF!,$B84,#REF!,BS$1)</f>
        <v>#REF!</v>
      </c>
      <c r="BT84" s="24" t="e">
        <f>SUMIFS(#REF!,#REF!,$B84,#REF!,BT$1)</f>
        <v>#REF!</v>
      </c>
      <c r="BU84" s="24" t="e">
        <f>SUMIFS(#REF!,#REF!,$B84,#REF!,BU$1)</f>
        <v>#REF!</v>
      </c>
      <c r="BV84" s="24" t="e">
        <f>SUMIFS(#REF!,#REF!,$B84,#REF!,BV$1)</f>
        <v>#REF!</v>
      </c>
      <c r="BW84" s="24" t="e">
        <f>SUMIFS(#REF!,#REF!,$B84,#REF!,BW$1)</f>
        <v>#REF!</v>
      </c>
      <c r="BX84" s="24" t="e">
        <f>SUMIFS(#REF!,#REF!,$B84,#REF!,BX$1)</f>
        <v>#REF!</v>
      </c>
      <c r="BY84" s="24" t="e">
        <f>SUMIFS(#REF!,#REF!,$B84,#REF!,BY$1)</f>
        <v>#REF!</v>
      </c>
      <c r="BZ84" s="24" t="e">
        <f>SUMIFS(#REF!,#REF!,$B84,#REF!,BZ$1)</f>
        <v>#REF!</v>
      </c>
      <c r="CA84" s="24" t="e">
        <f>SUMIFS(#REF!,#REF!,$B84,#REF!,CA$1)</f>
        <v>#REF!</v>
      </c>
      <c r="CB84" s="24" t="e">
        <f>SUMIFS(#REF!,#REF!,$B84,#REF!,CB$1)</f>
        <v>#REF!</v>
      </c>
      <c r="CC84" s="24" t="e">
        <f>SUMIFS(#REF!,#REF!,$B84,#REF!,CC$1)</f>
        <v>#REF!</v>
      </c>
      <c r="CD84" s="24" t="e">
        <f>SUMIFS(#REF!,#REF!,$B84,#REF!,CD$1)</f>
        <v>#REF!</v>
      </c>
      <c r="CE84" s="24" t="e">
        <f>SUMIFS(#REF!,#REF!,$B84,#REF!,CE$1)</f>
        <v>#REF!</v>
      </c>
      <c r="CF84" s="24" t="e">
        <f>SUMIFS(#REF!,#REF!,$B84,#REF!,CF$1)</f>
        <v>#REF!</v>
      </c>
      <c r="CG84" s="19" t="e">
        <f t="shared" si="1"/>
        <v>#REF!</v>
      </c>
    </row>
    <row r="85" spans="1:85" x14ac:dyDescent="0.45">
      <c r="A85" s="4" t="s">
        <v>1152</v>
      </c>
      <c r="B85" s="4" t="s">
        <v>1153</v>
      </c>
      <c r="C85" s="24" t="e">
        <f>SUMIFS(#REF!,#REF!,$B85,#REF!,C$1)</f>
        <v>#REF!</v>
      </c>
      <c r="D85" s="24" t="e">
        <f>SUMIFS(#REF!,#REF!,$B85,#REF!,D$1)</f>
        <v>#REF!</v>
      </c>
      <c r="E85" s="24" t="e">
        <f>SUMIFS(#REF!,#REF!,$B85,#REF!,E$1)</f>
        <v>#REF!</v>
      </c>
      <c r="F85" s="24" t="e">
        <f>SUMIFS(#REF!,#REF!,$B85,#REF!,F$1)</f>
        <v>#REF!</v>
      </c>
      <c r="G85" s="24" t="e">
        <f>SUMIFS(#REF!,#REF!,$B85,#REF!,G$1)</f>
        <v>#REF!</v>
      </c>
      <c r="H85" s="24" t="e">
        <f>SUMIFS(#REF!,#REF!,$B85,#REF!,H$1)</f>
        <v>#REF!</v>
      </c>
      <c r="I85" s="24" t="e">
        <f>SUMIFS(#REF!,#REF!,$B85,#REF!,I$1)</f>
        <v>#REF!</v>
      </c>
      <c r="J85" s="24" t="e">
        <f>SUMIFS(#REF!,#REF!,$B85,#REF!,J$1)</f>
        <v>#REF!</v>
      </c>
      <c r="K85" s="24" t="e">
        <f>SUMIFS(#REF!,#REF!,$B85,#REF!,K$1)</f>
        <v>#REF!</v>
      </c>
      <c r="L85" s="24" t="e">
        <f>SUMIFS(#REF!,#REF!,$B85,#REF!,L$1)</f>
        <v>#REF!</v>
      </c>
      <c r="M85" s="24" t="e">
        <f>SUMIFS(#REF!,#REF!,$B85,#REF!,M$1)</f>
        <v>#REF!</v>
      </c>
      <c r="N85" s="24" t="e">
        <f>SUMIFS(#REF!,#REF!,$B85,#REF!,N$1)</f>
        <v>#REF!</v>
      </c>
      <c r="O85" s="24" t="e">
        <f>SUMIFS(#REF!,#REF!,$B85,#REF!,O$1)</f>
        <v>#REF!</v>
      </c>
      <c r="P85" s="24" t="e">
        <f>SUMIFS(#REF!,#REF!,$B85,#REF!,P$1)</f>
        <v>#REF!</v>
      </c>
      <c r="Q85" s="24" t="e">
        <f>SUMIFS(#REF!,#REF!,$B85,#REF!,Q$1)</f>
        <v>#REF!</v>
      </c>
      <c r="R85" s="24" t="e">
        <f>SUMIFS(#REF!,#REF!,$B85,#REF!,R$1)</f>
        <v>#REF!</v>
      </c>
      <c r="S85" s="24" t="e">
        <f>SUMIFS(#REF!,#REF!,$B85,#REF!,S$1)</f>
        <v>#REF!</v>
      </c>
      <c r="T85" s="24" t="e">
        <f>SUMIFS(#REF!,#REF!,$B85,#REF!,T$1)</f>
        <v>#REF!</v>
      </c>
      <c r="U85" s="24" t="e">
        <f>SUMIFS(#REF!,#REF!,$B85,#REF!,U$1)</f>
        <v>#REF!</v>
      </c>
      <c r="V85" s="24" t="e">
        <f>SUMIFS(#REF!,#REF!,$B85,#REF!,V$1)</f>
        <v>#REF!</v>
      </c>
      <c r="W85" s="24" t="e">
        <f>SUMIFS(#REF!,#REF!,$B85,#REF!,W$1)</f>
        <v>#REF!</v>
      </c>
      <c r="X85" s="24" t="e">
        <f>SUMIFS(#REF!,#REF!,$B85,#REF!,X$1)</f>
        <v>#REF!</v>
      </c>
      <c r="Y85" s="24" t="e">
        <f>SUMIFS(#REF!,#REF!,$B85,#REF!,Y$1)</f>
        <v>#REF!</v>
      </c>
      <c r="Z85" s="24" t="e">
        <f>SUMIFS(#REF!,#REF!,$B85,#REF!,Z$1)</f>
        <v>#REF!</v>
      </c>
      <c r="AA85" s="24" t="e">
        <f>SUMIFS(#REF!,#REF!,$B85,#REF!,AA$1)</f>
        <v>#REF!</v>
      </c>
      <c r="AB85" s="24" t="e">
        <f>SUMIFS(#REF!,#REF!,$B85,#REF!,AB$1)</f>
        <v>#REF!</v>
      </c>
      <c r="AC85" s="24" t="e">
        <f>SUMIFS(#REF!,#REF!,$B85,#REF!,AC$1)</f>
        <v>#REF!</v>
      </c>
      <c r="AD85" s="24" t="e">
        <f>SUMIFS(#REF!,#REF!,$B85,#REF!,AD$1)</f>
        <v>#REF!</v>
      </c>
      <c r="AE85" s="24" t="e">
        <f>SUMIFS(#REF!,#REF!,$B85,#REF!,AE$1)</f>
        <v>#REF!</v>
      </c>
      <c r="AF85" s="24" t="e">
        <f>SUMIFS(#REF!,#REF!,$B85,#REF!,AF$1)</f>
        <v>#REF!</v>
      </c>
      <c r="AG85" s="24" t="e">
        <f>SUMIFS(#REF!,#REF!,$B85,#REF!,AG$1)</f>
        <v>#REF!</v>
      </c>
      <c r="AH85" s="24" t="e">
        <f>SUMIFS(#REF!,#REF!,$B85,#REF!,AH$1)</f>
        <v>#REF!</v>
      </c>
      <c r="AI85" s="24" t="e">
        <f>SUMIFS(#REF!,#REF!,$B85,#REF!,AI$1)</f>
        <v>#REF!</v>
      </c>
      <c r="AJ85" s="24" t="e">
        <f>SUMIFS(#REF!,#REF!,$B85,#REF!,AJ$1)</f>
        <v>#REF!</v>
      </c>
      <c r="AK85" s="24" t="e">
        <f>SUMIFS(#REF!,#REF!,$B85,#REF!,AK$1)</f>
        <v>#REF!</v>
      </c>
      <c r="AL85" s="24" t="e">
        <f>SUMIFS(#REF!,#REF!,$B85,#REF!,AL$1)</f>
        <v>#REF!</v>
      </c>
      <c r="AM85" s="24" t="e">
        <f>SUMIFS(#REF!,#REF!,$B85,#REF!,AM$1)</f>
        <v>#REF!</v>
      </c>
      <c r="AN85" s="24" t="e">
        <f>SUMIFS(#REF!,#REF!,$B85,#REF!,AN$1)</f>
        <v>#REF!</v>
      </c>
      <c r="AO85" s="24" t="e">
        <f>SUMIFS(#REF!,#REF!,$B85,#REF!,AO$1)</f>
        <v>#REF!</v>
      </c>
      <c r="AP85" s="24" t="e">
        <f>SUMIFS(#REF!,#REF!,$B85,#REF!,AP$1)</f>
        <v>#REF!</v>
      </c>
      <c r="AQ85" s="24" t="e">
        <f>SUMIFS(#REF!,#REF!,$B85,#REF!,AQ$1)</f>
        <v>#REF!</v>
      </c>
      <c r="AR85" s="24" t="e">
        <f>SUMIFS(#REF!,#REF!,$B85,#REF!,AR$1)</f>
        <v>#REF!</v>
      </c>
      <c r="AS85" s="24" t="e">
        <f>SUMIFS(#REF!,#REF!,$B85,#REF!,AS$1)</f>
        <v>#REF!</v>
      </c>
      <c r="AT85" s="24" t="e">
        <f>SUMIFS(#REF!,#REF!,$B85,#REF!,AT$1)</f>
        <v>#REF!</v>
      </c>
      <c r="AU85" s="24" t="e">
        <f>SUMIFS(#REF!,#REF!,$B85,#REF!,AU$1)</f>
        <v>#REF!</v>
      </c>
      <c r="AV85" s="24" t="e">
        <f>SUMIFS(#REF!,#REF!,$B85,#REF!,AV$1)</f>
        <v>#REF!</v>
      </c>
      <c r="AW85" s="24" t="e">
        <f>SUMIFS(#REF!,#REF!,$B85,#REF!,AW$1)</f>
        <v>#REF!</v>
      </c>
      <c r="AX85" s="24" t="e">
        <f>SUMIFS(#REF!,#REF!,$B85,#REF!,AX$1)</f>
        <v>#REF!</v>
      </c>
      <c r="AY85" s="24" t="e">
        <f>SUMIFS(#REF!,#REF!,$B85,#REF!,AY$1)</f>
        <v>#REF!</v>
      </c>
      <c r="AZ85" s="24" t="e">
        <f>SUMIFS(#REF!,#REF!,$B85,#REF!,AZ$1)</f>
        <v>#REF!</v>
      </c>
      <c r="BA85" s="24" t="e">
        <f>SUMIFS(#REF!,#REF!,$B85,#REF!,BA$1)</f>
        <v>#REF!</v>
      </c>
      <c r="BB85" s="24" t="e">
        <f>SUMIFS(#REF!,#REF!,$B85,#REF!,BB$1)</f>
        <v>#REF!</v>
      </c>
      <c r="BC85" s="24" t="e">
        <f>SUMIFS(#REF!,#REF!,$B85,#REF!,BC$1)</f>
        <v>#REF!</v>
      </c>
      <c r="BD85" s="24" t="e">
        <f>SUMIFS(#REF!,#REF!,$B85,#REF!,BD$1)</f>
        <v>#REF!</v>
      </c>
      <c r="BE85" s="24" t="e">
        <f>SUMIFS(#REF!,#REF!,$B85,#REF!,BE$1)</f>
        <v>#REF!</v>
      </c>
      <c r="BF85" s="24" t="e">
        <f>SUMIFS(#REF!,#REF!,$B85,#REF!,BF$1)</f>
        <v>#REF!</v>
      </c>
      <c r="BG85" s="24" t="e">
        <f>SUMIFS(#REF!,#REF!,$B85,#REF!,BG$1)</f>
        <v>#REF!</v>
      </c>
      <c r="BH85" s="24" t="e">
        <f>SUMIFS(#REF!,#REF!,$B85,#REF!,BH$1)</f>
        <v>#REF!</v>
      </c>
      <c r="BI85" s="24" t="e">
        <f>SUMIFS(#REF!,#REF!,$B85,#REF!,BI$1)</f>
        <v>#REF!</v>
      </c>
      <c r="BJ85" s="24" t="e">
        <f>SUMIFS(#REF!,#REF!,$B85,#REF!,BJ$1)</f>
        <v>#REF!</v>
      </c>
      <c r="BK85" s="24" t="e">
        <f>SUMIFS(#REF!,#REF!,$B85,#REF!,BK$1)</f>
        <v>#REF!</v>
      </c>
      <c r="BL85" s="24" t="e">
        <f>SUMIFS(#REF!,#REF!,$B85,#REF!,BL$1)</f>
        <v>#REF!</v>
      </c>
      <c r="BM85" s="24" t="e">
        <f>SUMIFS(#REF!,#REF!,$B85,#REF!,BM$1)</f>
        <v>#REF!</v>
      </c>
      <c r="BN85" s="24" t="e">
        <f>SUMIFS(#REF!,#REF!,$B85,#REF!,BN$1)</f>
        <v>#REF!</v>
      </c>
      <c r="BO85" s="24" t="e">
        <f>SUMIFS(#REF!,#REF!,$B85,#REF!,BO$1)</f>
        <v>#REF!</v>
      </c>
      <c r="BP85" s="24" t="e">
        <f>SUMIFS(#REF!,#REF!,$B85,#REF!,BP$1)</f>
        <v>#REF!</v>
      </c>
      <c r="BQ85" s="24" t="e">
        <f>SUMIFS(#REF!,#REF!,$B85,#REF!,BQ$1)</f>
        <v>#REF!</v>
      </c>
      <c r="BR85" s="24" t="e">
        <f>SUMIFS(#REF!,#REF!,$B85,#REF!,BR$1)</f>
        <v>#REF!</v>
      </c>
      <c r="BS85" s="24" t="e">
        <f>SUMIFS(#REF!,#REF!,$B85,#REF!,BS$1)</f>
        <v>#REF!</v>
      </c>
      <c r="BT85" s="24" t="e">
        <f>SUMIFS(#REF!,#REF!,$B85,#REF!,BT$1)</f>
        <v>#REF!</v>
      </c>
      <c r="BU85" s="24" t="e">
        <f>SUMIFS(#REF!,#REF!,$B85,#REF!,BU$1)</f>
        <v>#REF!</v>
      </c>
      <c r="BV85" s="24" t="e">
        <f>SUMIFS(#REF!,#REF!,$B85,#REF!,BV$1)</f>
        <v>#REF!</v>
      </c>
      <c r="BW85" s="24" t="e">
        <f>SUMIFS(#REF!,#REF!,$B85,#REF!,BW$1)</f>
        <v>#REF!</v>
      </c>
      <c r="BX85" s="24" t="e">
        <f>SUMIFS(#REF!,#REF!,$B85,#REF!,BX$1)</f>
        <v>#REF!</v>
      </c>
      <c r="BY85" s="24" t="e">
        <f>SUMIFS(#REF!,#REF!,$B85,#REF!,BY$1)</f>
        <v>#REF!</v>
      </c>
      <c r="BZ85" s="24" t="e">
        <f>SUMIFS(#REF!,#REF!,$B85,#REF!,BZ$1)</f>
        <v>#REF!</v>
      </c>
      <c r="CA85" s="24" t="e">
        <f>SUMIFS(#REF!,#REF!,$B85,#REF!,CA$1)</f>
        <v>#REF!</v>
      </c>
      <c r="CB85" s="24" t="e">
        <f>SUMIFS(#REF!,#REF!,$B85,#REF!,CB$1)</f>
        <v>#REF!</v>
      </c>
      <c r="CC85" s="24" t="e">
        <f>SUMIFS(#REF!,#REF!,$B85,#REF!,CC$1)</f>
        <v>#REF!</v>
      </c>
      <c r="CD85" s="24" t="e">
        <f>SUMIFS(#REF!,#REF!,$B85,#REF!,CD$1)</f>
        <v>#REF!</v>
      </c>
      <c r="CE85" s="24" t="e">
        <f>SUMIFS(#REF!,#REF!,$B85,#REF!,CE$1)</f>
        <v>#REF!</v>
      </c>
      <c r="CF85" s="24" t="e">
        <f>SUMIFS(#REF!,#REF!,$B85,#REF!,CF$1)</f>
        <v>#REF!</v>
      </c>
      <c r="CG85" s="19" t="e">
        <f t="shared" si="1"/>
        <v>#REF!</v>
      </c>
    </row>
    <row r="86" spans="1:85" x14ac:dyDescent="0.45">
      <c r="A86" s="4" t="s">
        <v>1154</v>
      </c>
      <c r="B86" s="4" t="s">
        <v>1155</v>
      </c>
      <c r="C86" s="24" t="e">
        <f>SUMIFS(#REF!,#REF!,$B86,#REF!,C$1)</f>
        <v>#REF!</v>
      </c>
      <c r="D86" s="24" t="e">
        <f>SUMIFS(#REF!,#REF!,$B86,#REF!,D$1)</f>
        <v>#REF!</v>
      </c>
      <c r="E86" s="24" t="e">
        <f>SUMIFS(#REF!,#REF!,$B86,#REF!,E$1)</f>
        <v>#REF!</v>
      </c>
      <c r="F86" s="24" t="e">
        <f>SUMIFS(#REF!,#REF!,$B86,#REF!,F$1)</f>
        <v>#REF!</v>
      </c>
      <c r="G86" s="24" t="e">
        <f>SUMIFS(#REF!,#REF!,$B86,#REF!,G$1)</f>
        <v>#REF!</v>
      </c>
      <c r="H86" s="24" t="e">
        <f>SUMIFS(#REF!,#REF!,$B86,#REF!,H$1)</f>
        <v>#REF!</v>
      </c>
      <c r="I86" s="24" t="e">
        <f>SUMIFS(#REF!,#REF!,$B86,#REF!,I$1)</f>
        <v>#REF!</v>
      </c>
      <c r="J86" s="24" t="e">
        <f>SUMIFS(#REF!,#REF!,$B86,#REF!,J$1)</f>
        <v>#REF!</v>
      </c>
      <c r="K86" s="24" t="e">
        <f>SUMIFS(#REF!,#REF!,$B86,#REF!,K$1)</f>
        <v>#REF!</v>
      </c>
      <c r="L86" s="24" t="e">
        <f>SUMIFS(#REF!,#REF!,$B86,#REF!,L$1)</f>
        <v>#REF!</v>
      </c>
      <c r="M86" s="24" t="e">
        <f>SUMIFS(#REF!,#REF!,$B86,#REF!,M$1)</f>
        <v>#REF!</v>
      </c>
      <c r="N86" s="24" t="e">
        <f>SUMIFS(#REF!,#REF!,$B86,#REF!,N$1)</f>
        <v>#REF!</v>
      </c>
      <c r="O86" s="24" t="e">
        <f>SUMIFS(#REF!,#REF!,$B86,#REF!,O$1)</f>
        <v>#REF!</v>
      </c>
      <c r="P86" s="24" t="e">
        <f>SUMIFS(#REF!,#REF!,$B86,#REF!,P$1)</f>
        <v>#REF!</v>
      </c>
      <c r="Q86" s="24" t="e">
        <f>SUMIFS(#REF!,#REF!,$B86,#REF!,Q$1)</f>
        <v>#REF!</v>
      </c>
      <c r="R86" s="24" t="e">
        <f>SUMIFS(#REF!,#REF!,$B86,#REF!,R$1)</f>
        <v>#REF!</v>
      </c>
      <c r="S86" s="24" t="e">
        <f>SUMIFS(#REF!,#REF!,$B86,#REF!,S$1)</f>
        <v>#REF!</v>
      </c>
      <c r="T86" s="24" t="e">
        <f>SUMIFS(#REF!,#REF!,$B86,#REF!,T$1)</f>
        <v>#REF!</v>
      </c>
      <c r="U86" s="24" t="e">
        <f>SUMIFS(#REF!,#REF!,$B86,#REF!,U$1)</f>
        <v>#REF!</v>
      </c>
      <c r="V86" s="24" t="e">
        <f>SUMIFS(#REF!,#REF!,$B86,#REF!,V$1)</f>
        <v>#REF!</v>
      </c>
      <c r="W86" s="24" t="e">
        <f>SUMIFS(#REF!,#REF!,$B86,#REF!,W$1)</f>
        <v>#REF!</v>
      </c>
      <c r="X86" s="24" t="e">
        <f>SUMIFS(#REF!,#REF!,$B86,#REF!,X$1)</f>
        <v>#REF!</v>
      </c>
      <c r="Y86" s="24" t="e">
        <f>SUMIFS(#REF!,#REF!,$B86,#REF!,Y$1)</f>
        <v>#REF!</v>
      </c>
      <c r="Z86" s="24" t="e">
        <f>SUMIFS(#REF!,#REF!,$B86,#REF!,Z$1)</f>
        <v>#REF!</v>
      </c>
      <c r="AA86" s="24" t="e">
        <f>SUMIFS(#REF!,#REF!,$B86,#REF!,AA$1)</f>
        <v>#REF!</v>
      </c>
      <c r="AB86" s="24" t="e">
        <f>SUMIFS(#REF!,#REF!,$B86,#REF!,AB$1)</f>
        <v>#REF!</v>
      </c>
      <c r="AC86" s="24" t="e">
        <f>SUMIFS(#REF!,#REF!,$B86,#REF!,AC$1)</f>
        <v>#REF!</v>
      </c>
      <c r="AD86" s="24" t="e">
        <f>SUMIFS(#REF!,#REF!,$B86,#REF!,AD$1)</f>
        <v>#REF!</v>
      </c>
      <c r="AE86" s="24" t="e">
        <f>SUMIFS(#REF!,#REF!,$B86,#REF!,AE$1)</f>
        <v>#REF!</v>
      </c>
      <c r="AF86" s="24" t="e">
        <f>SUMIFS(#REF!,#REF!,$B86,#REF!,AF$1)</f>
        <v>#REF!</v>
      </c>
      <c r="AG86" s="24" t="e">
        <f>SUMIFS(#REF!,#REF!,$B86,#REF!,AG$1)</f>
        <v>#REF!</v>
      </c>
      <c r="AH86" s="24" t="e">
        <f>SUMIFS(#REF!,#REF!,$B86,#REF!,AH$1)</f>
        <v>#REF!</v>
      </c>
      <c r="AI86" s="24" t="e">
        <f>SUMIFS(#REF!,#REF!,$B86,#REF!,AI$1)</f>
        <v>#REF!</v>
      </c>
      <c r="AJ86" s="24" t="e">
        <f>SUMIFS(#REF!,#REF!,$B86,#REF!,AJ$1)</f>
        <v>#REF!</v>
      </c>
      <c r="AK86" s="24" t="e">
        <f>SUMIFS(#REF!,#REF!,$B86,#REF!,AK$1)</f>
        <v>#REF!</v>
      </c>
      <c r="AL86" s="24" t="e">
        <f>SUMIFS(#REF!,#REF!,$B86,#REF!,AL$1)</f>
        <v>#REF!</v>
      </c>
      <c r="AM86" s="24" t="e">
        <f>SUMIFS(#REF!,#REF!,$B86,#REF!,AM$1)</f>
        <v>#REF!</v>
      </c>
      <c r="AN86" s="24" t="e">
        <f>SUMIFS(#REF!,#REF!,$B86,#REF!,AN$1)</f>
        <v>#REF!</v>
      </c>
      <c r="AO86" s="24" t="e">
        <f>SUMIFS(#REF!,#REF!,$B86,#REF!,AO$1)</f>
        <v>#REF!</v>
      </c>
      <c r="AP86" s="24" t="e">
        <f>SUMIFS(#REF!,#REF!,$B86,#REF!,AP$1)</f>
        <v>#REF!</v>
      </c>
      <c r="AQ86" s="24" t="e">
        <f>SUMIFS(#REF!,#REF!,$B86,#REF!,AQ$1)</f>
        <v>#REF!</v>
      </c>
      <c r="AR86" s="24" t="e">
        <f>SUMIFS(#REF!,#REF!,$B86,#REF!,AR$1)</f>
        <v>#REF!</v>
      </c>
      <c r="AS86" s="24" t="e">
        <f>SUMIFS(#REF!,#REF!,$B86,#REF!,AS$1)</f>
        <v>#REF!</v>
      </c>
      <c r="AT86" s="24" t="e">
        <f>SUMIFS(#REF!,#REF!,$B86,#REF!,AT$1)</f>
        <v>#REF!</v>
      </c>
      <c r="AU86" s="24" t="e">
        <f>SUMIFS(#REF!,#REF!,$B86,#REF!,AU$1)</f>
        <v>#REF!</v>
      </c>
      <c r="AV86" s="24" t="e">
        <f>SUMIFS(#REF!,#REF!,$B86,#REF!,AV$1)</f>
        <v>#REF!</v>
      </c>
      <c r="AW86" s="24" t="e">
        <f>SUMIFS(#REF!,#REF!,$B86,#REF!,AW$1)</f>
        <v>#REF!</v>
      </c>
      <c r="AX86" s="24" t="e">
        <f>SUMIFS(#REF!,#REF!,$B86,#REF!,AX$1)</f>
        <v>#REF!</v>
      </c>
      <c r="AY86" s="24" t="e">
        <f>SUMIFS(#REF!,#REF!,$B86,#REF!,AY$1)</f>
        <v>#REF!</v>
      </c>
      <c r="AZ86" s="24" t="e">
        <f>SUMIFS(#REF!,#REF!,$B86,#REF!,AZ$1)</f>
        <v>#REF!</v>
      </c>
      <c r="BA86" s="24" t="e">
        <f>SUMIFS(#REF!,#REF!,$B86,#REF!,BA$1)</f>
        <v>#REF!</v>
      </c>
      <c r="BB86" s="24" t="e">
        <f>SUMIFS(#REF!,#REF!,$B86,#REF!,BB$1)</f>
        <v>#REF!</v>
      </c>
      <c r="BC86" s="24" t="e">
        <f>SUMIFS(#REF!,#REF!,$B86,#REF!,BC$1)</f>
        <v>#REF!</v>
      </c>
      <c r="BD86" s="24" t="e">
        <f>SUMIFS(#REF!,#REF!,$B86,#REF!,BD$1)</f>
        <v>#REF!</v>
      </c>
      <c r="BE86" s="24" t="e">
        <f>SUMIFS(#REF!,#REF!,$B86,#REF!,BE$1)</f>
        <v>#REF!</v>
      </c>
      <c r="BF86" s="24" t="e">
        <f>SUMIFS(#REF!,#REF!,$B86,#REF!,BF$1)</f>
        <v>#REF!</v>
      </c>
      <c r="BG86" s="24" t="e">
        <f>SUMIFS(#REF!,#REF!,$B86,#REF!,BG$1)</f>
        <v>#REF!</v>
      </c>
      <c r="BH86" s="24" t="e">
        <f>SUMIFS(#REF!,#REF!,$B86,#REF!,BH$1)</f>
        <v>#REF!</v>
      </c>
      <c r="BI86" s="24" t="e">
        <f>SUMIFS(#REF!,#REF!,$B86,#REF!,BI$1)</f>
        <v>#REF!</v>
      </c>
      <c r="BJ86" s="24" t="e">
        <f>SUMIFS(#REF!,#REF!,$B86,#REF!,BJ$1)</f>
        <v>#REF!</v>
      </c>
      <c r="BK86" s="24" t="e">
        <f>SUMIFS(#REF!,#REF!,$B86,#REF!,BK$1)</f>
        <v>#REF!</v>
      </c>
      <c r="BL86" s="24" t="e">
        <f>SUMIFS(#REF!,#REF!,$B86,#REF!,BL$1)</f>
        <v>#REF!</v>
      </c>
      <c r="BM86" s="24" t="e">
        <f>SUMIFS(#REF!,#REF!,$B86,#REF!,BM$1)</f>
        <v>#REF!</v>
      </c>
      <c r="BN86" s="24" t="e">
        <f>SUMIFS(#REF!,#REF!,$B86,#REF!,BN$1)</f>
        <v>#REF!</v>
      </c>
      <c r="BO86" s="24" t="e">
        <f>SUMIFS(#REF!,#REF!,$B86,#REF!,BO$1)</f>
        <v>#REF!</v>
      </c>
      <c r="BP86" s="24" t="e">
        <f>SUMIFS(#REF!,#REF!,$B86,#REF!,BP$1)</f>
        <v>#REF!</v>
      </c>
      <c r="BQ86" s="24" t="e">
        <f>SUMIFS(#REF!,#REF!,$B86,#REF!,BQ$1)</f>
        <v>#REF!</v>
      </c>
      <c r="BR86" s="24" t="e">
        <f>SUMIFS(#REF!,#REF!,$B86,#REF!,BR$1)</f>
        <v>#REF!</v>
      </c>
      <c r="BS86" s="24" t="e">
        <f>SUMIFS(#REF!,#REF!,$B86,#REF!,BS$1)</f>
        <v>#REF!</v>
      </c>
      <c r="BT86" s="24" t="e">
        <f>SUMIFS(#REF!,#REF!,$B86,#REF!,BT$1)</f>
        <v>#REF!</v>
      </c>
      <c r="BU86" s="24" t="e">
        <f>SUMIFS(#REF!,#REF!,$B86,#REF!,BU$1)</f>
        <v>#REF!</v>
      </c>
      <c r="BV86" s="24" t="e">
        <f>SUMIFS(#REF!,#REF!,$B86,#REF!,BV$1)</f>
        <v>#REF!</v>
      </c>
      <c r="BW86" s="24" t="e">
        <f>SUMIFS(#REF!,#REF!,$B86,#REF!,BW$1)</f>
        <v>#REF!</v>
      </c>
      <c r="BX86" s="24" t="e">
        <f>SUMIFS(#REF!,#REF!,$B86,#REF!,BX$1)</f>
        <v>#REF!</v>
      </c>
      <c r="BY86" s="24" t="e">
        <f>SUMIFS(#REF!,#REF!,$B86,#REF!,BY$1)</f>
        <v>#REF!</v>
      </c>
      <c r="BZ86" s="24" t="e">
        <f>SUMIFS(#REF!,#REF!,$B86,#REF!,BZ$1)</f>
        <v>#REF!</v>
      </c>
      <c r="CA86" s="24" t="e">
        <f>SUMIFS(#REF!,#REF!,$B86,#REF!,CA$1)</f>
        <v>#REF!</v>
      </c>
      <c r="CB86" s="24" t="e">
        <f>SUMIFS(#REF!,#REF!,$B86,#REF!,CB$1)</f>
        <v>#REF!</v>
      </c>
      <c r="CC86" s="24" t="e">
        <f>SUMIFS(#REF!,#REF!,$B86,#REF!,CC$1)</f>
        <v>#REF!</v>
      </c>
      <c r="CD86" s="24" t="e">
        <f>SUMIFS(#REF!,#REF!,$B86,#REF!,CD$1)</f>
        <v>#REF!</v>
      </c>
      <c r="CE86" s="24" t="e">
        <f>SUMIFS(#REF!,#REF!,$B86,#REF!,CE$1)</f>
        <v>#REF!</v>
      </c>
      <c r="CF86" s="24" t="e">
        <f>SUMIFS(#REF!,#REF!,$B86,#REF!,CF$1)</f>
        <v>#REF!</v>
      </c>
      <c r="CG86" s="19" t="e">
        <f t="shared" si="1"/>
        <v>#REF!</v>
      </c>
    </row>
    <row r="87" spans="1:85" x14ac:dyDescent="0.45">
      <c r="A87" s="4" t="s">
        <v>1156</v>
      </c>
      <c r="B87" s="4" t="s">
        <v>1157</v>
      </c>
      <c r="C87" s="24" t="e">
        <f>SUMIFS(#REF!,#REF!,$B87,#REF!,C$1)</f>
        <v>#REF!</v>
      </c>
      <c r="D87" s="24" t="e">
        <f>SUMIFS(#REF!,#REF!,$B87,#REF!,D$1)</f>
        <v>#REF!</v>
      </c>
      <c r="E87" s="24" t="e">
        <f>SUMIFS(#REF!,#REF!,$B87,#REF!,E$1)</f>
        <v>#REF!</v>
      </c>
      <c r="F87" s="24" t="e">
        <f>SUMIFS(#REF!,#REF!,$B87,#REF!,F$1)</f>
        <v>#REF!</v>
      </c>
      <c r="G87" s="24" t="e">
        <f>SUMIFS(#REF!,#REF!,$B87,#REF!,G$1)</f>
        <v>#REF!</v>
      </c>
      <c r="H87" s="24" t="e">
        <f>SUMIFS(#REF!,#REF!,$B87,#REF!,H$1)</f>
        <v>#REF!</v>
      </c>
      <c r="I87" s="24" t="e">
        <f>SUMIFS(#REF!,#REF!,$B87,#REF!,I$1)</f>
        <v>#REF!</v>
      </c>
      <c r="J87" s="24" t="e">
        <f>SUMIFS(#REF!,#REF!,$B87,#REF!,J$1)</f>
        <v>#REF!</v>
      </c>
      <c r="K87" s="24" t="e">
        <f>SUMIFS(#REF!,#REF!,$B87,#REF!,K$1)</f>
        <v>#REF!</v>
      </c>
      <c r="L87" s="24" t="e">
        <f>SUMIFS(#REF!,#REF!,$B87,#REF!,L$1)</f>
        <v>#REF!</v>
      </c>
      <c r="M87" s="24" t="e">
        <f>SUMIFS(#REF!,#REF!,$B87,#REF!,M$1)</f>
        <v>#REF!</v>
      </c>
      <c r="N87" s="24" t="e">
        <f>SUMIFS(#REF!,#REF!,$B87,#REF!,N$1)</f>
        <v>#REF!</v>
      </c>
      <c r="O87" s="24" t="e">
        <f>SUMIFS(#REF!,#REF!,$B87,#REF!,O$1)</f>
        <v>#REF!</v>
      </c>
      <c r="P87" s="24" t="e">
        <f>SUMIFS(#REF!,#REF!,$B87,#REF!,P$1)</f>
        <v>#REF!</v>
      </c>
      <c r="Q87" s="24" t="e">
        <f>SUMIFS(#REF!,#REF!,$B87,#REF!,Q$1)</f>
        <v>#REF!</v>
      </c>
      <c r="R87" s="24" t="e">
        <f>SUMIFS(#REF!,#REF!,$B87,#REF!,R$1)</f>
        <v>#REF!</v>
      </c>
      <c r="S87" s="24" t="e">
        <f>SUMIFS(#REF!,#REF!,$B87,#REF!,S$1)</f>
        <v>#REF!</v>
      </c>
      <c r="T87" s="24" t="e">
        <f>SUMIFS(#REF!,#REF!,$B87,#REF!,T$1)</f>
        <v>#REF!</v>
      </c>
      <c r="U87" s="24" t="e">
        <f>SUMIFS(#REF!,#REF!,$B87,#REF!,U$1)</f>
        <v>#REF!</v>
      </c>
      <c r="V87" s="24" t="e">
        <f>SUMIFS(#REF!,#REF!,$B87,#REF!,V$1)</f>
        <v>#REF!</v>
      </c>
      <c r="W87" s="24" t="e">
        <f>SUMIFS(#REF!,#REF!,$B87,#REF!,W$1)</f>
        <v>#REF!</v>
      </c>
      <c r="X87" s="24" t="e">
        <f>SUMIFS(#REF!,#REF!,$B87,#REF!,X$1)</f>
        <v>#REF!</v>
      </c>
      <c r="Y87" s="24" t="e">
        <f>SUMIFS(#REF!,#REF!,$B87,#REF!,Y$1)</f>
        <v>#REF!</v>
      </c>
      <c r="Z87" s="24" t="e">
        <f>SUMIFS(#REF!,#REF!,$B87,#REF!,Z$1)</f>
        <v>#REF!</v>
      </c>
      <c r="AA87" s="24" t="e">
        <f>SUMIFS(#REF!,#REF!,$B87,#REF!,AA$1)</f>
        <v>#REF!</v>
      </c>
      <c r="AB87" s="24" t="e">
        <f>SUMIFS(#REF!,#REF!,$B87,#REF!,AB$1)</f>
        <v>#REF!</v>
      </c>
      <c r="AC87" s="24" t="e">
        <f>SUMIFS(#REF!,#REF!,$B87,#REF!,AC$1)</f>
        <v>#REF!</v>
      </c>
      <c r="AD87" s="24" t="e">
        <f>SUMIFS(#REF!,#REF!,$B87,#REF!,AD$1)</f>
        <v>#REF!</v>
      </c>
      <c r="AE87" s="24" t="e">
        <f>SUMIFS(#REF!,#REF!,$B87,#REF!,AE$1)</f>
        <v>#REF!</v>
      </c>
      <c r="AF87" s="24" t="e">
        <f>SUMIFS(#REF!,#REF!,$B87,#REF!,AF$1)</f>
        <v>#REF!</v>
      </c>
      <c r="AG87" s="24" t="e">
        <f>SUMIFS(#REF!,#REF!,$B87,#REF!,AG$1)</f>
        <v>#REF!</v>
      </c>
      <c r="AH87" s="24" t="e">
        <f>SUMIFS(#REF!,#REF!,$B87,#REF!,AH$1)</f>
        <v>#REF!</v>
      </c>
      <c r="AI87" s="24" t="e">
        <f>SUMIFS(#REF!,#REF!,$B87,#REF!,AI$1)</f>
        <v>#REF!</v>
      </c>
      <c r="AJ87" s="24" t="e">
        <f>SUMIFS(#REF!,#REF!,$B87,#REF!,AJ$1)</f>
        <v>#REF!</v>
      </c>
      <c r="AK87" s="24" t="e">
        <f>SUMIFS(#REF!,#REF!,$B87,#REF!,AK$1)</f>
        <v>#REF!</v>
      </c>
      <c r="AL87" s="24" t="e">
        <f>SUMIFS(#REF!,#REF!,$B87,#REF!,AL$1)</f>
        <v>#REF!</v>
      </c>
      <c r="AM87" s="24" t="e">
        <f>SUMIFS(#REF!,#REF!,$B87,#REF!,AM$1)</f>
        <v>#REF!</v>
      </c>
      <c r="AN87" s="24" t="e">
        <f>SUMIFS(#REF!,#REF!,$B87,#REF!,AN$1)</f>
        <v>#REF!</v>
      </c>
      <c r="AO87" s="24" t="e">
        <f>SUMIFS(#REF!,#REF!,$B87,#REF!,AO$1)</f>
        <v>#REF!</v>
      </c>
      <c r="AP87" s="24" t="e">
        <f>SUMIFS(#REF!,#REF!,$B87,#REF!,AP$1)</f>
        <v>#REF!</v>
      </c>
      <c r="AQ87" s="24" t="e">
        <f>SUMIFS(#REF!,#REF!,$B87,#REF!,AQ$1)</f>
        <v>#REF!</v>
      </c>
      <c r="AR87" s="24" t="e">
        <f>SUMIFS(#REF!,#REF!,$B87,#REF!,AR$1)</f>
        <v>#REF!</v>
      </c>
      <c r="AS87" s="24" t="e">
        <f>SUMIFS(#REF!,#REF!,$B87,#REF!,AS$1)</f>
        <v>#REF!</v>
      </c>
      <c r="AT87" s="24" t="e">
        <f>SUMIFS(#REF!,#REF!,$B87,#REF!,AT$1)</f>
        <v>#REF!</v>
      </c>
      <c r="AU87" s="24" t="e">
        <f>SUMIFS(#REF!,#REF!,$B87,#REF!,AU$1)</f>
        <v>#REF!</v>
      </c>
      <c r="AV87" s="24" t="e">
        <f>SUMIFS(#REF!,#REF!,$B87,#REF!,AV$1)</f>
        <v>#REF!</v>
      </c>
      <c r="AW87" s="24" t="e">
        <f>SUMIFS(#REF!,#REF!,$B87,#REF!,AW$1)</f>
        <v>#REF!</v>
      </c>
      <c r="AX87" s="24" t="e">
        <f>SUMIFS(#REF!,#REF!,$B87,#REF!,AX$1)</f>
        <v>#REF!</v>
      </c>
      <c r="AY87" s="24" t="e">
        <f>SUMIFS(#REF!,#REF!,$B87,#REF!,AY$1)</f>
        <v>#REF!</v>
      </c>
      <c r="AZ87" s="24" t="e">
        <f>SUMIFS(#REF!,#REF!,$B87,#REF!,AZ$1)</f>
        <v>#REF!</v>
      </c>
      <c r="BA87" s="24" t="e">
        <f>SUMIFS(#REF!,#REF!,$B87,#REF!,BA$1)</f>
        <v>#REF!</v>
      </c>
      <c r="BB87" s="24" t="e">
        <f>SUMIFS(#REF!,#REF!,$B87,#REF!,BB$1)</f>
        <v>#REF!</v>
      </c>
      <c r="BC87" s="24" t="e">
        <f>SUMIFS(#REF!,#REF!,$B87,#REF!,BC$1)</f>
        <v>#REF!</v>
      </c>
      <c r="BD87" s="24" t="e">
        <f>SUMIFS(#REF!,#REF!,$B87,#REF!,BD$1)</f>
        <v>#REF!</v>
      </c>
      <c r="BE87" s="24" t="e">
        <f>SUMIFS(#REF!,#REF!,$B87,#REF!,BE$1)</f>
        <v>#REF!</v>
      </c>
      <c r="BF87" s="24" t="e">
        <f>SUMIFS(#REF!,#REF!,$B87,#REF!,BF$1)</f>
        <v>#REF!</v>
      </c>
      <c r="BG87" s="24" t="e">
        <f>SUMIFS(#REF!,#REF!,$B87,#REF!,BG$1)</f>
        <v>#REF!</v>
      </c>
      <c r="BH87" s="24" t="e">
        <f>SUMIFS(#REF!,#REF!,$B87,#REF!,BH$1)</f>
        <v>#REF!</v>
      </c>
      <c r="BI87" s="24" t="e">
        <f>SUMIFS(#REF!,#REF!,$B87,#REF!,BI$1)</f>
        <v>#REF!</v>
      </c>
      <c r="BJ87" s="24" t="e">
        <f>SUMIFS(#REF!,#REF!,$B87,#REF!,BJ$1)</f>
        <v>#REF!</v>
      </c>
      <c r="BK87" s="24" t="e">
        <f>SUMIFS(#REF!,#REF!,$B87,#REF!,BK$1)</f>
        <v>#REF!</v>
      </c>
      <c r="BL87" s="24" t="e">
        <f>SUMIFS(#REF!,#REF!,$B87,#REF!,BL$1)</f>
        <v>#REF!</v>
      </c>
      <c r="BM87" s="24" t="e">
        <f>SUMIFS(#REF!,#REF!,$B87,#REF!,BM$1)</f>
        <v>#REF!</v>
      </c>
      <c r="BN87" s="24" t="e">
        <f>SUMIFS(#REF!,#REF!,$B87,#REF!,BN$1)</f>
        <v>#REF!</v>
      </c>
      <c r="BO87" s="24" t="e">
        <f>SUMIFS(#REF!,#REF!,$B87,#REF!,BO$1)</f>
        <v>#REF!</v>
      </c>
      <c r="BP87" s="24" t="e">
        <f>SUMIFS(#REF!,#REF!,$B87,#REF!,BP$1)</f>
        <v>#REF!</v>
      </c>
      <c r="BQ87" s="24" t="e">
        <f>SUMIFS(#REF!,#REF!,$B87,#REF!,BQ$1)</f>
        <v>#REF!</v>
      </c>
      <c r="BR87" s="24" t="e">
        <f>SUMIFS(#REF!,#REF!,$B87,#REF!,BR$1)</f>
        <v>#REF!</v>
      </c>
      <c r="BS87" s="24" t="e">
        <f>SUMIFS(#REF!,#REF!,$B87,#REF!,BS$1)</f>
        <v>#REF!</v>
      </c>
      <c r="BT87" s="24" t="e">
        <f>SUMIFS(#REF!,#REF!,$B87,#REF!,BT$1)</f>
        <v>#REF!</v>
      </c>
      <c r="BU87" s="24" t="e">
        <f>SUMIFS(#REF!,#REF!,$B87,#REF!,BU$1)</f>
        <v>#REF!</v>
      </c>
      <c r="BV87" s="24" t="e">
        <f>SUMIFS(#REF!,#REF!,$B87,#REF!,BV$1)</f>
        <v>#REF!</v>
      </c>
      <c r="BW87" s="24" t="e">
        <f>SUMIFS(#REF!,#REF!,$B87,#REF!,BW$1)</f>
        <v>#REF!</v>
      </c>
      <c r="BX87" s="24" t="e">
        <f>SUMIFS(#REF!,#REF!,$B87,#REF!,BX$1)</f>
        <v>#REF!</v>
      </c>
      <c r="BY87" s="24" t="e">
        <f>SUMIFS(#REF!,#REF!,$B87,#REF!,BY$1)</f>
        <v>#REF!</v>
      </c>
      <c r="BZ87" s="24" t="e">
        <f>SUMIFS(#REF!,#REF!,$B87,#REF!,BZ$1)</f>
        <v>#REF!</v>
      </c>
      <c r="CA87" s="24" t="e">
        <f>SUMIFS(#REF!,#REF!,$B87,#REF!,CA$1)</f>
        <v>#REF!</v>
      </c>
      <c r="CB87" s="24" t="e">
        <f>SUMIFS(#REF!,#REF!,$B87,#REF!,CB$1)</f>
        <v>#REF!</v>
      </c>
      <c r="CC87" s="24" t="e">
        <f>SUMIFS(#REF!,#REF!,$B87,#REF!,CC$1)</f>
        <v>#REF!</v>
      </c>
      <c r="CD87" s="24" t="e">
        <f>SUMIFS(#REF!,#REF!,$B87,#REF!,CD$1)</f>
        <v>#REF!</v>
      </c>
      <c r="CE87" s="24" t="e">
        <f>SUMIFS(#REF!,#REF!,$B87,#REF!,CE$1)</f>
        <v>#REF!</v>
      </c>
      <c r="CF87" s="24" t="e">
        <f>SUMIFS(#REF!,#REF!,$B87,#REF!,CF$1)</f>
        <v>#REF!</v>
      </c>
      <c r="CG87" s="19" t="e">
        <f t="shared" si="1"/>
        <v>#REF!</v>
      </c>
    </row>
    <row r="88" spans="1:85" x14ac:dyDescent="0.45">
      <c r="A88" s="4" t="s">
        <v>1158</v>
      </c>
      <c r="B88" s="4" t="s">
        <v>1159</v>
      </c>
      <c r="C88" s="24" t="e">
        <f>SUMIFS(#REF!,#REF!,$B88,#REF!,C$1)</f>
        <v>#REF!</v>
      </c>
      <c r="D88" s="24" t="e">
        <f>SUMIFS(#REF!,#REF!,$B88,#REF!,D$1)</f>
        <v>#REF!</v>
      </c>
      <c r="E88" s="24" t="e">
        <f>SUMIFS(#REF!,#REF!,$B88,#REF!,E$1)</f>
        <v>#REF!</v>
      </c>
      <c r="F88" s="24" t="e">
        <f>SUMIFS(#REF!,#REF!,$B88,#REF!,F$1)</f>
        <v>#REF!</v>
      </c>
      <c r="G88" s="24" t="e">
        <f>SUMIFS(#REF!,#REF!,$B88,#REF!,G$1)</f>
        <v>#REF!</v>
      </c>
      <c r="H88" s="24" t="e">
        <f>SUMIFS(#REF!,#REF!,$B88,#REF!,H$1)</f>
        <v>#REF!</v>
      </c>
      <c r="I88" s="24" t="e">
        <f>SUMIFS(#REF!,#REF!,$B88,#REF!,I$1)</f>
        <v>#REF!</v>
      </c>
      <c r="J88" s="24" t="e">
        <f>SUMIFS(#REF!,#REF!,$B88,#REF!,J$1)</f>
        <v>#REF!</v>
      </c>
      <c r="K88" s="24" t="e">
        <f>SUMIFS(#REF!,#REF!,$B88,#REF!,K$1)</f>
        <v>#REF!</v>
      </c>
      <c r="L88" s="24" t="e">
        <f>SUMIFS(#REF!,#REF!,$B88,#REF!,L$1)</f>
        <v>#REF!</v>
      </c>
      <c r="M88" s="24" t="e">
        <f>SUMIFS(#REF!,#REF!,$B88,#REF!,M$1)</f>
        <v>#REF!</v>
      </c>
      <c r="N88" s="24" t="e">
        <f>SUMIFS(#REF!,#REF!,$B88,#REF!,N$1)</f>
        <v>#REF!</v>
      </c>
      <c r="O88" s="24" t="e">
        <f>SUMIFS(#REF!,#REF!,$B88,#REF!,O$1)</f>
        <v>#REF!</v>
      </c>
      <c r="P88" s="24" t="e">
        <f>SUMIFS(#REF!,#REF!,$B88,#REF!,P$1)</f>
        <v>#REF!</v>
      </c>
      <c r="Q88" s="24" t="e">
        <f>SUMIFS(#REF!,#REF!,$B88,#REF!,Q$1)</f>
        <v>#REF!</v>
      </c>
      <c r="R88" s="24" t="e">
        <f>SUMIFS(#REF!,#REF!,$B88,#REF!,R$1)</f>
        <v>#REF!</v>
      </c>
      <c r="S88" s="24" t="e">
        <f>SUMIFS(#REF!,#REF!,$B88,#REF!,S$1)</f>
        <v>#REF!</v>
      </c>
      <c r="T88" s="24" t="e">
        <f>SUMIFS(#REF!,#REF!,$B88,#REF!,T$1)</f>
        <v>#REF!</v>
      </c>
      <c r="U88" s="24" t="e">
        <f>SUMIFS(#REF!,#REF!,$B88,#REF!,U$1)</f>
        <v>#REF!</v>
      </c>
      <c r="V88" s="24" t="e">
        <f>SUMIFS(#REF!,#REF!,$B88,#REF!,V$1)</f>
        <v>#REF!</v>
      </c>
      <c r="W88" s="24" t="e">
        <f>SUMIFS(#REF!,#REF!,$B88,#REF!,W$1)</f>
        <v>#REF!</v>
      </c>
      <c r="X88" s="24" t="e">
        <f>SUMIFS(#REF!,#REF!,$B88,#REF!,X$1)</f>
        <v>#REF!</v>
      </c>
      <c r="Y88" s="24" t="e">
        <f>SUMIFS(#REF!,#REF!,$B88,#REF!,Y$1)</f>
        <v>#REF!</v>
      </c>
      <c r="Z88" s="24" t="e">
        <f>SUMIFS(#REF!,#REF!,$B88,#REF!,Z$1)</f>
        <v>#REF!</v>
      </c>
      <c r="AA88" s="24" t="e">
        <f>SUMIFS(#REF!,#REF!,$B88,#REF!,AA$1)</f>
        <v>#REF!</v>
      </c>
      <c r="AB88" s="24" t="e">
        <f>SUMIFS(#REF!,#REF!,$B88,#REF!,AB$1)</f>
        <v>#REF!</v>
      </c>
      <c r="AC88" s="24" t="e">
        <f>SUMIFS(#REF!,#REF!,$B88,#REF!,AC$1)</f>
        <v>#REF!</v>
      </c>
      <c r="AD88" s="24" t="e">
        <f>SUMIFS(#REF!,#REF!,$B88,#REF!,AD$1)</f>
        <v>#REF!</v>
      </c>
      <c r="AE88" s="24" t="e">
        <f>SUMIFS(#REF!,#REF!,$B88,#REF!,AE$1)</f>
        <v>#REF!</v>
      </c>
      <c r="AF88" s="24" t="e">
        <f>SUMIFS(#REF!,#REF!,$B88,#REF!,AF$1)</f>
        <v>#REF!</v>
      </c>
      <c r="AG88" s="24" t="e">
        <f>SUMIFS(#REF!,#REF!,$B88,#REF!,AG$1)</f>
        <v>#REF!</v>
      </c>
      <c r="AH88" s="24" t="e">
        <f>SUMIFS(#REF!,#REF!,$B88,#REF!,AH$1)</f>
        <v>#REF!</v>
      </c>
      <c r="AI88" s="24" t="e">
        <f>SUMIFS(#REF!,#REF!,$B88,#REF!,AI$1)</f>
        <v>#REF!</v>
      </c>
      <c r="AJ88" s="24" t="e">
        <f>SUMIFS(#REF!,#REF!,$B88,#REF!,AJ$1)</f>
        <v>#REF!</v>
      </c>
      <c r="AK88" s="24" t="e">
        <f>SUMIFS(#REF!,#REF!,$B88,#REF!,AK$1)</f>
        <v>#REF!</v>
      </c>
      <c r="AL88" s="24" t="e">
        <f>SUMIFS(#REF!,#REF!,$B88,#REF!,AL$1)</f>
        <v>#REF!</v>
      </c>
      <c r="AM88" s="24" t="e">
        <f>SUMIFS(#REF!,#REF!,$B88,#REF!,AM$1)</f>
        <v>#REF!</v>
      </c>
      <c r="AN88" s="24" t="e">
        <f>SUMIFS(#REF!,#REF!,$B88,#REF!,AN$1)</f>
        <v>#REF!</v>
      </c>
      <c r="AO88" s="24" t="e">
        <f>SUMIFS(#REF!,#REF!,$B88,#REF!,AO$1)</f>
        <v>#REF!</v>
      </c>
      <c r="AP88" s="24" t="e">
        <f>SUMIFS(#REF!,#REF!,$B88,#REF!,AP$1)</f>
        <v>#REF!</v>
      </c>
      <c r="AQ88" s="24" t="e">
        <f>SUMIFS(#REF!,#REF!,$B88,#REF!,AQ$1)</f>
        <v>#REF!</v>
      </c>
      <c r="AR88" s="24" t="e">
        <f>SUMIFS(#REF!,#REF!,$B88,#REF!,AR$1)</f>
        <v>#REF!</v>
      </c>
      <c r="AS88" s="24" t="e">
        <f>SUMIFS(#REF!,#REF!,$B88,#REF!,AS$1)</f>
        <v>#REF!</v>
      </c>
      <c r="AT88" s="24" t="e">
        <f>SUMIFS(#REF!,#REF!,$B88,#REF!,AT$1)</f>
        <v>#REF!</v>
      </c>
      <c r="AU88" s="24" t="e">
        <f>SUMIFS(#REF!,#REF!,$B88,#REF!,AU$1)</f>
        <v>#REF!</v>
      </c>
      <c r="AV88" s="24" t="e">
        <f>SUMIFS(#REF!,#REF!,$B88,#REF!,AV$1)</f>
        <v>#REF!</v>
      </c>
      <c r="AW88" s="24" t="e">
        <f>SUMIFS(#REF!,#REF!,$B88,#REF!,AW$1)</f>
        <v>#REF!</v>
      </c>
      <c r="AX88" s="24" t="e">
        <f>SUMIFS(#REF!,#REF!,$B88,#REF!,AX$1)</f>
        <v>#REF!</v>
      </c>
      <c r="AY88" s="24" t="e">
        <f>SUMIFS(#REF!,#REF!,$B88,#REF!,AY$1)</f>
        <v>#REF!</v>
      </c>
      <c r="AZ88" s="24" t="e">
        <f>SUMIFS(#REF!,#REF!,$B88,#REF!,AZ$1)</f>
        <v>#REF!</v>
      </c>
      <c r="BA88" s="24" t="e">
        <f>SUMIFS(#REF!,#REF!,$B88,#REF!,BA$1)</f>
        <v>#REF!</v>
      </c>
      <c r="BB88" s="24" t="e">
        <f>SUMIFS(#REF!,#REF!,$B88,#REF!,BB$1)</f>
        <v>#REF!</v>
      </c>
      <c r="BC88" s="24" t="e">
        <f>SUMIFS(#REF!,#REF!,$B88,#REF!,BC$1)</f>
        <v>#REF!</v>
      </c>
      <c r="BD88" s="24" t="e">
        <f>SUMIFS(#REF!,#REF!,$B88,#REF!,BD$1)</f>
        <v>#REF!</v>
      </c>
      <c r="BE88" s="24" t="e">
        <f>SUMIFS(#REF!,#REF!,$B88,#REF!,BE$1)</f>
        <v>#REF!</v>
      </c>
      <c r="BF88" s="24" t="e">
        <f>SUMIFS(#REF!,#REF!,$B88,#REF!,BF$1)</f>
        <v>#REF!</v>
      </c>
      <c r="BG88" s="24" t="e">
        <f>SUMIFS(#REF!,#REF!,$B88,#REF!,BG$1)</f>
        <v>#REF!</v>
      </c>
      <c r="BH88" s="24" t="e">
        <f>SUMIFS(#REF!,#REF!,$B88,#REF!,BH$1)</f>
        <v>#REF!</v>
      </c>
      <c r="BI88" s="24" t="e">
        <f>SUMIFS(#REF!,#REF!,$B88,#REF!,BI$1)</f>
        <v>#REF!</v>
      </c>
      <c r="BJ88" s="24" t="e">
        <f>SUMIFS(#REF!,#REF!,$B88,#REF!,BJ$1)</f>
        <v>#REF!</v>
      </c>
      <c r="BK88" s="24" t="e">
        <f>SUMIFS(#REF!,#REF!,$B88,#REF!,BK$1)</f>
        <v>#REF!</v>
      </c>
      <c r="BL88" s="24" t="e">
        <f>SUMIFS(#REF!,#REF!,$B88,#REF!,BL$1)</f>
        <v>#REF!</v>
      </c>
      <c r="BM88" s="24" t="e">
        <f>SUMIFS(#REF!,#REF!,$B88,#REF!,BM$1)</f>
        <v>#REF!</v>
      </c>
      <c r="BN88" s="24" t="e">
        <f>SUMIFS(#REF!,#REF!,$B88,#REF!,BN$1)</f>
        <v>#REF!</v>
      </c>
      <c r="BO88" s="24" t="e">
        <f>SUMIFS(#REF!,#REF!,$B88,#REF!,BO$1)</f>
        <v>#REF!</v>
      </c>
      <c r="BP88" s="24" t="e">
        <f>SUMIFS(#REF!,#REF!,$B88,#REF!,BP$1)</f>
        <v>#REF!</v>
      </c>
      <c r="BQ88" s="24" t="e">
        <f>SUMIFS(#REF!,#REF!,$B88,#REF!,BQ$1)</f>
        <v>#REF!</v>
      </c>
      <c r="BR88" s="24" t="e">
        <f>SUMIFS(#REF!,#REF!,$B88,#REF!,BR$1)</f>
        <v>#REF!</v>
      </c>
      <c r="BS88" s="24" t="e">
        <f>SUMIFS(#REF!,#REF!,$B88,#REF!,BS$1)</f>
        <v>#REF!</v>
      </c>
      <c r="BT88" s="24" t="e">
        <f>SUMIFS(#REF!,#REF!,$B88,#REF!,BT$1)</f>
        <v>#REF!</v>
      </c>
      <c r="BU88" s="24" t="e">
        <f>SUMIFS(#REF!,#REF!,$B88,#REF!,BU$1)</f>
        <v>#REF!</v>
      </c>
      <c r="BV88" s="24" t="e">
        <f>SUMIFS(#REF!,#REF!,$B88,#REF!,BV$1)</f>
        <v>#REF!</v>
      </c>
      <c r="BW88" s="24" t="e">
        <f>SUMIFS(#REF!,#REF!,$B88,#REF!,BW$1)</f>
        <v>#REF!</v>
      </c>
      <c r="BX88" s="24" t="e">
        <f>SUMIFS(#REF!,#REF!,$B88,#REF!,BX$1)</f>
        <v>#REF!</v>
      </c>
      <c r="BY88" s="24" t="e">
        <f>SUMIFS(#REF!,#REF!,$B88,#REF!,BY$1)</f>
        <v>#REF!</v>
      </c>
      <c r="BZ88" s="24" t="e">
        <f>SUMIFS(#REF!,#REF!,$B88,#REF!,BZ$1)</f>
        <v>#REF!</v>
      </c>
      <c r="CA88" s="24" t="e">
        <f>SUMIFS(#REF!,#REF!,$B88,#REF!,CA$1)</f>
        <v>#REF!</v>
      </c>
      <c r="CB88" s="24" t="e">
        <f>SUMIFS(#REF!,#REF!,$B88,#REF!,CB$1)</f>
        <v>#REF!</v>
      </c>
      <c r="CC88" s="24" t="e">
        <f>SUMIFS(#REF!,#REF!,$B88,#REF!,CC$1)</f>
        <v>#REF!</v>
      </c>
      <c r="CD88" s="24" t="e">
        <f>SUMIFS(#REF!,#REF!,$B88,#REF!,CD$1)</f>
        <v>#REF!</v>
      </c>
      <c r="CE88" s="24" t="e">
        <f>SUMIFS(#REF!,#REF!,$B88,#REF!,CE$1)</f>
        <v>#REF!</v>
      </c>
      <c r="CF88" s="24" t="e">
        <f>SUMIFS(#REF!,#REF!,$B88,#REF!,CF$1)</f>
        <v>#REF!</v>
      </c>
      <c r="CG88" s="19" t="e">
        <f t="shared" si="1"/>
        <v>#REF!</v>
      </c>
    </row>
    <row r="89" spans="1:85" x14ac:dyDescent="0.45">
      <c r="A89" s="4" t="s">
        <v>1160</v>
      </c>
      <c r="B89" s="4" t="s">
        <v>1161</v>
      </c>
      <c r="C89" s="24" t="e">
        <f>SUMIFS(#REF!,#REF!,$B89,#REF!,C$1)</f>
        <v>#REF!</v>
      </c>
      <c r="D89" s="24" t="e">
        <f>SUMIFS(#REF!,#REF!,$B89,#REF!,D$1)</f>
        <v>#REF!</v>
      </c>
      <c r="E89" s="24" t="e">
        <f>SUMIFS(#REF!,#REF!,$B89,#REF!,E$1)</f>
        <v>#REF!</v>
      </c>
      <c r="F89" s="24" t="e">
        <f>SUMIFS(#REF!,#REF!,$B89,#REF!,F$1)</f>
        <v>#REF!</v>
      </c>
      <c r="G89" s="24" t="e">
        <f>SUMIFS(#REF!,#REF!,$B89,#REF!,G$1)</f>
        <v>#REF!</v>
      </c>
      <c r="H89" s="24" t="e">
        <f>SUMIFS(#REF!,#REF!,$B89,#REF!,H$1)</f>
        <v>#REF!</v>
      </c>
      <c r="I89" s="24" t="e">
        <f>SUMIFS(#REF!,#REF!,$B89,#REF!,I$1)</f>
        <v>#REF!</v>
      </c>
      <c r="J89" s="24" t="e">
        <f>SUMIFS(#REF!,#REF!,$B89,#REF!,J$1)</f>
        <v>#REF!</v>
      </c>
      <c r="K89" s="24" t="e">
        <f>SUMIFS(#REF!,#REF!,$B89,#REF!,K$1)</f>
        <v>#REF!</v>
      </c>
      <c r="L89" s="24" t="e">
        <f>SUMIFS(#REF!,#REF!,$B89,#REF!,L$1)</f>
        <v>#REF!</v>
      </c>
      <c r="M89" s="24" t="e">
        <f>SUMIFS(#REF!,#REF!,$B89,#REF!,M$1)</f>
        <v>#REF!</v>
      </c>
      <c r="N89" s="24" t="e">
        <f>SUMIFS(#REF!,#REF!,$B89,#REF!,N$1)</f>
        <v>#REF!</v>
      </c>
      <c r="O89" s="24" t="e">
        <f>SUMIFS(#REF!,#REF!,$B89,#REF!,O$1)</f>
        <v>#REF!</v>
      </c>
      <c r="P89" s="24" t="e">
        <f>SUMIFS(#REF!,#REF!,$B89,#REF!,P$1)</f>
        <v>#REF!</v>
      </c>
      <c r="Q89" s="24" t="e">
        <f>SUMIFS(#REF!,#REF!,$B89,#REF!,Q$1)</f>
        <v>#REF!</v>
      </c>
      <c r="R89" s="24" t="e">
        <f>SUMIFS(#REF!,#REF!,$B89,#REF!,R$1)</f>
        <v>#REF!</v>
      </c>
      <c r="S89" s="24" t="e">
        <f>SUMIFS(#REF!,#REF!,$B89,#REF!,S$1)</f>
        <v>#REF!</v>
      </c>
      <c r="T89" s="24" t="e">
        <f>SUMIFS(#REF!,#REF!,$B89,#REF!,T$1)</f>
        <v>#REF!</v>
      </c>
      <c r="U89" s="24" t="e">
        <f>SUMIFS(#REF!,#REF!,$B89,#REF!,U$1)</f>
        <v>#REF!</v>
      </c>
      <c r="V89" s="24" t="e">
        <f>SUMIFS(#REF!,#REF!,$B89,#REF!,V$1)</f>
        <v>#REF!</v>
      </c>
      <c r="W89" s="24" t="e">
        <f>SUMIFS(#REF!,#REF!,$B89,#REF!,W$1)</f>
        <v>#REF!</v>
      </c>
      <c r="X89" s="24" t="e">
        <f>SUMIFS(#REF!,#REF!,$B89,#REF!,X$1)</f>
        <v>#REF!</v>
      </c>
      <c r="Y89" s="24" t="e">
        <f>SUMIFS(#REF!,#REF!,$B89,#REF!,Y$1)</f>
        <v>#REF!</v>
      </c>
      <c r="Z89" s="24" t="e">
        <f>SUMIFS(#REF!,#REF!,$B89,#REF!,Z$1)</f>
        <v>#REF!</v>
      </c>
      <c r="AA89" s="24" t="e">
        <f>SUMIFS(#REF!,#REF!,$B89,#REF!,AA$1)</f>
        <v>#REF!</v>
      </c>
      <c r="AB89" s="24" t="e">
        <f>SUMIFS(#REF!,#REF!,$B89,#REF!,AB$1)</f>
        <v>#REF!</v>
      </c>
      <c r="AC89" s="24" t="e">
        <f>SUMIFS(#REF!,#REF!,$B89,#REF!,AC$1)</f>
        <v>#REF!</v>
      </c>
      <c r="AD89" s="24" t="e">
        <f>SUMIFS(#REF!,#REF!,$B89,#REF!,AD$1)</f>
        <v>#REF!</v>
      </c>
      <c r="AE89" s="24" t="e">
        <f>SUMIFS(#REF!,#REF!,$B89,#REF!,AE$1)</f>
        <v>#REF!</v>
      </c>
      <c r="AF89" s="24" t="e">
        <f>SUMIFS(#REF!,#REF!,$B89,#REF!,AF$1)</f>
        <v>#REF!</v>
      </c>
      <c r="AG89" s="24" t="e">
        <f>SUMIFS(#REF!,#REF!,$B89,#REF!,AG$1)</f>
        <v>#REF!</v>
      </c>
      <c r="AH89" s="24" t="e">
        <f>SUMIFS(#REF!,#REF!,$B89,#REF!,AH$1)</f>
        <v>#REF!</v>
      </c>
      <c r="AI89" s="24" t="e">
        <f>SUMIFS(#REF!,#REF!,$B89,#REF!,AI$1)</f>
        <v>#REF!</v>
      </c>
      <c r="AJ89" s="24" t="e">
        <f>SUMIFS(#REF!,#REF!,$B89,#REF!,AJ$1)</f>
        <v>#REF!</v>
      </c>
      <c r="AK89" s="24" t="e">
        <f>SUMIFS(#REF!,#REF!,$B89,#REF!,AK$1)</f>
        <v>#REF!</v>
      </c>
      <c r="AL89" s="24" t="e">
        <f>SUMIFS(#REF!,#REF!,$B89,#REF!,AL$1)</f>
        <v>#REF!</v>
      </c>
      <c r="AM89" s="24" t="e">
        <f>SUMIFS(#REF!,#REF!,$B89,#REF!,AM$1)</f>
        <v>#REF!</v>
      </c>
      <c r="AN89" s="24" t="e">
        <f>SUMIFS(#REF!,#REF!,$B89,#REF!,AN$1)</f>
        <v>#REF!</v>
      </c>
      <c r="AO89" s="24" t="e">
        <f>SUMIFS(#REF!,#REF!,$B89,#REF!,AO$1)</f>
        <v>#REF!</v>
      </c>
      <c r="AP89" s="24" t="e">
        <f>SUMIFS(#REF!,#REF!,$B89,#REF!,AP$1)</f>
        <v>#REF!</v>
      </c>
      <c r="AQ89" s="24" t="e">
        <f>SUMIFS(#REF!,#REF!,$B89,#REF!,AQ$1)</f>
        <v>#REF!</v>
      </c>
      <c r="AR89" s="24" t="e">
        <f>SUMIFS(#REF!,#REF!,$B89,#REF!,AR$1)</f>
        <v>#REF!</v>
      </c>
      <c r="AS89" s="24" t="e">
        <f>SUMIFS(#REF!,#REF!,$B89,#REF!,AS$1)</f>
        <v>#REF!</v>
      </c>
      <c r="AT89" s="24" t="e">
        <f>SUMIFS(#REF!,#REF!,$B89,#REF!,AT$1)</f>
        <v>#REF!</v>
      </c>
      <c r="AU89" s="24" t="e">
        <f>SUMIFS(#REF!,#REF!,$B89,#REF!,AU$1)</f>
        <v>#REF!</v>
      </c>
      <c r="AV89" s="24" t="e">
        <f>SUMIFS(#REF!,#REF!,$B89,#REF!,AV$1)</f>
        <v>#REF!</v>
      </c>
      <c r="AW89" s="24" t="e">
        <f>SUMIFS(#REF!,#REF!,$B89,#REF!,AW$1)</f>
        <v>#REF!</v>
      </c>
      <c r="AX89" s="24" t="e">
        <f>SUMIFS(#REF!,#REF!,$B89,#REF!,AX$1)</f>
        <v>#REF!</v>
      </c>
      <c r="AY89" s="24" t="e">
        <f>SUMIFS(#REF!,#REF!,$B89,#REF!,AY$1)</f>
        <v>#REF!</v>
      </c>
      <c r="AZ89" s="24" t="e">
        <f>SUMIFS(#REF!,#REF!,$B89,#REF!,AZ$1)</f>
        <v>#REF!</v>
      </c>
      <c r="BA89" s="24" t="e">
        <f>SUMIFS(#REF!,#REF!,$B89,#REF!,BA$1)</f>
        <v>#REF!</v>
      </c>
      <c r="BB89" s="24" t="e">
        <f>SUMIFS(#REF!,#REF!,$B89,#REF!,BB$1)</f>
        <v>#REF!</v>
      </c>
      <c r="BC89" s="24" t="e">
        <f>SUMIFS(#REF!,#REF!,$B89,#REF!,BC$1)</f>
        <v>#REF!</v>
      </c>
      <c r="BD89" s="24" t="e">
        <f>SUMIFS(#REF!,#REF!,$B89,#REF!,BD$1)</f>
        <v>#REF!</v>
      </c>
      <c r="BE89" s="24" t="e">
        <f>SUMIFS(#REF!,#REF!,$B89,#REF!,BE$1)</f>
        <v>#REF!</v>
      </c>
      <c r="BF89" s="24" t="e">
        <f>SUMIFS(#REF!,#REF!,$B89,#REF!,BF$1)</f>
        <v>#REF!</v>
      </c>
      <c r="BG89" s="24" t="e">
        <f>SUMIFS(#REF!,#REF!,$B89,#REF!,BG$1)</f>
        <v>#REF!</v>
      </c>
      <c r="BH89" s="24" t="e">
        <f>SUMIFS(#REF!,#REF!,$B89,#REF!,BH$1)</f>
        <v>#REF!</v>
      </c>
      <c r="BI89" s="24" t="e">
        <f>SUMIFS(#REF!,#REF!,$B89,#REF!,BI$1)</f>
        <v>#REF!</v>
      </c>
      <c r="BJ89" s="24" t="e">
        <f>SUMIFS(#REF!,#REF!,$B89,#REF!,BJ$1)</f>
        <v>#REF!</v>
      </c>
      <c r="BK89" s="24" t="e">
        <f>SUMIFS(#REF!,#REF!,$B89,#REF!,BK$1)</f>
        <v>#REF!</v>
      </c>
      <c r="BL89" s="24" t="e">
        <f>SUMIFS(#REF!,#REF!,$B89,#REF!,BL$1)</f>
        <v>#REF!</v>
      </c>
      <c r="BM89" s="24" t="e">
        <f>SUMIFS(#REF!,#REF!,$B89,#REF!,BM$1)</f>
        <v>#REF!</v>
      </c>
      <c r="BN89" s="24" t="e">
        <f>SUMIFS(#REF!,#REF!,$B89,#REF!,BN$1)</f>
        <v>#REF!</v>
      </c>
      <c r="BO89" s="24" t="e">
        <f>SUMIFS(#REF!,#REF!,$B89,#REF!,BO$1)</f>
        <v>#REF!</v>
      </c>
      <c r="BP89" s="24" t="e">
        <f>SUMIFS(#REF!,#REF!,$B89,#REF!,BP$1)</f>
        <v>#REF!</v>
      </c>
      <c r="BQ89" s="24" t="e">
        <f>SUMIFS(#REF!,#REF!,$B89,#REF!,BQ$1)</f>
        <v>#REF!</v>
      </c>
      <c r="BR89" s="24" t="e">
        <f>SUMIFS(#REF!,#REF!,$B89,#REF!,BR$1)</f>
        <v>#REF!</v>
      </c>
      <c r="BS89" s="24" t="e">
        <f>SUMIFS(#REF!,#REF!,$B89,#REF!,BS$1)</f>
        <v>#REF!</v>
      </c>
      <c r="BT89" s="24" t="e">
        <f>SUMIFS(#REF!,#REF!,$B89,#REF!,BT$1)</f>
        <v>#REF!</v>
      </c>
      <c r="BU89" s="24" t="e">
        <f>SUMIFS(#REF!,#REF!,$B89,#REF!,BU$1)</f>
        <v>#REF!</v>
      </c>
      <c r="BV89" s="24" t="e">
        <f>SUMIFS(#REF!,#REF!,$B89,#REF!,BV$1)</f>
        <v>#REF!</v>
      </c>
      <c r="BW89" s="24" t="e">
        <f>SUMIFS(#REF!,#REF!,$B89,#REF!,BW$1)</f>
        <v>#REF!</v>
      </c>
      <c r="BX89" s="24" t="e">
        <f>SUMIFS(#REF!,#REF!,$B89,#REF!,BX$1)</f>
        <v>#REF!</v>
      </c>
      <c r="BY89" s="24" t="e">
        <f>SUMIFS(#REF!,#REF!,$B89,#REF!,BY$1)</f>
        <v>#REF!</v>
      </c>
      <c r="BZ89" s="24" t="e">
        <f>SUMIFS(#REF!,#REF!,$B89,#REF!,BZ$1)</f>
        <v>#REF!</v>
      </c>
      <c r="CA89" s="24" t="e">
        <f>SUMIFS(#REF!,#REF!,$B89,#REF!,CA$1)</f>
        <v>#REF!</v>
      </c>
      <c r="CB89" s="24" t="e">
        <f>SUMIFS(#REF!,#REF!,$B89,#REF!,CB$1)</f>
        <v>#REF!</v>
      </c>
      <c r="CC89" s="24" t="e">
        <f>SUMIFS(#REF!,#REF!,$B89,#REF!,CC$1)</f>
        <v>#REF!</v>
      </c>
      <c r="CD89" s="24" t="e">
        <f>SUMIFS(#REF!,#REF!,$B89,#REF!,CD$1)</f>
        <v>#REF!</v>
      </c>
      <c r="CE89" s="24" t="e">
        <f>SUMIFS(#REF!,#REF!,$B89,#REF!,CE$1)</f>
        <v>#REF!</v>
      </c>
      <c r="CF89" s="24" t="e">
        <f>SUMIFS(#REF!,#REF!,$B89,#REF!,CF$1)</f>
        <v>#REF!</v>
      </c>
      <c r="CG89" s="19" t="e">
        <f t="shared" si="1"/>
        <v>#REF!</v>
      </c>
    </row>
    <row r="90" spans="1:85" x14ac:dyDescent="0.45">
      <c r="A90" s="4" t="s">
        <v>1162</v>
      </c>
      <c r="B90" s="4" t="s">
        <v>1163</v>
      </c>
      <c r="C90" s="24" t="e">
        <f>SUMIFS(#REF!,#REF!,$B90,#REF!,C$1)</f>
        <v>#REF!</v>
      </c>
      <c r="D90" s="24" t="e">
        <f>SUMIFS(#REF!,#REF!,$B90,#REF!,D$1)</f>
        <v>#REF!</v>
      </c>
      <c r="E90" s="24" t="e">
        <f>SUMIFS(#REF!,#REF!,$B90,#REF!,E$1)</f>
        <v>#REF!</v>
      </c>
      <c r="F90" s="24" t="e">
        <f>SUMIFS(#REF!,#REF!,$B90,#REF!,F$1)</f>
        <v>#REF!</v>
      </c>
      <c r="G90" s="24" t="e">
        <f>SUMIFS(#REF!,#REF!,$B90,#REF!,G$1)</f>
        <v>#REF!</v>
      </c>
      <c r="H90" s="24" t="e">
        <f>SUMIFS(#REF!,#REF!,$B90,#REF!,H$1)</f>
        <v>#REF!</v>
      </c>
      <c r="I90" s="24" t="e">
        <f>SUMIFS(#REF!,#REF!,$B90,#REF!,I$1)</f>
        <v>#REF!</v>
      </c>
      <c r="J90" s="24" t="e">
        <f>SUMIFS(#REF!,#REF!,$B90,#REF!,J$1)</f>
        <v>#REF!</v>
      </c>
      <c r="K90" s="24" t="e">
        <f>SUMIFS(#REF!,#REF!,$B90,#REF!,K$1)</f>
        <v>#REF!</v>
      </c>
      <c r="L90" s="24" t="e">
        <f>SUMIFS(#REF!,#REF!,$B90,#REF!,L$1)</f>
        <v>#REF!</v>
      </c>
      <c r="M90" s="24" t="e">
        <f>SUMIFS(#REF!,#REF!,$B90,#REF!,M$1)</f>
        <v>#REF!</v>
      </c>
      <c r="N90" s="24" t="e">
        <f>SUMIFS(#REF!,#REF!,$B90,#REF!,N$1)</f>
        <v>#REF!</v>
      </c>
      <c r="O90" s="24" t="e">
        <f>SUMIFS(#REF!,#REF!,$B90,#REF!,O$1)</f>
        <v>#REF!</v>
      </c>
      <c r="P90" s="24" t="e">
        <f>SUMIFS(#REF!,#REF!,$B90,#REF!,P$1)</f>
        <v>#REF!</v>
      </c>
      <c r="Q90" s="24" t="e">
        <f>SUMIFS(#REF!,#REF!,$B90,#REF!,Q$1)</f>
        <v>#REF!</v>
      </c>
      <c r="R90" s="24" t="e">
        <f>SUMIFS(#REF!,#REF!,$B90,#REF!,R$1)</f>
        <v>#REF!</v>
      </c>
      <c r="S90" s="24" t="e">
        <f>SUMIFS(#REF!,#REF!,$B90,#REF!,S$1)</f>
        <v>#REF!</v>
      </c>
      <c r="T90" s="24" t="e">
        <f>SUMIFS(#REF!,#REF!,$B90,#REF!,T$1)</f>
        <v>#REF!</v>
      </c>
      <c r="U90" s="24" t="e">
        <f>SUMIFS(#REF!,#REF!,$B90,#REF!,U$1)</f>
        <v>#REF!</v>
      </c>
      <c r="V90" s="24" t="e">
        <f>SUMIFS(#REF!,#REF!,$B90,#REF!,V$1)</f>
        <v>#REF!</v>
      </c>
      <c r="W90" s="24" t="e">
        <f>SUMIFS(#REF!,#REF!,$B90,#REF!,W$1)</f>
        <v>#REF!</v>
      </c>
      <c r="X90" s="24" t="e">
        <f>SUMIFS(#REF!,#REF!,$B90,#REF!,X$1)</f>
        <v>#REF!</v>
      </c>
      <c r="Y90" s="24" t="e">
        <f>SUMIFS(#REF!,#REF!,$B90,#REF!,Y$1)</f>
        <v>#REF!</v>
      </c>
      <c r="Z90" s="24" t="e">
        <f>SUMIFS(#REF!,#REF!,$B90,#REF!,Z$1)</f>
        <v>#REF!</v>
      </c>
      <c r="AA90" s="24" t="e">
        <f>SUMIFS(#REF!,#REF!,$B90,#REF!,AA$1)</f>
        <v>#REF!</v>
      </c>
      <c r="AB90" s="24" t="e">
        <f>SUMIFS(#REF!,#REF!,$B90,#REF!,AB$1)</f>
        <v>#REF!</v>
      </c>
      <c r="AC90" s="24" t="e">
        <f>SUMIFS(#REF!,#REF!,$B90,#REF!,AC$1)</f>
        <v>#REF!</v>
      </c>
      <c r="AD90" s="24" t="e">
        <f>SUMIFS(#REF!,#REF!,$B90,#REF!,AD$1)</f>
        <v>#REF!</v>
      </c>
      <c r="AE90" s="24" t="e">
        <f>SUMIFS(#REF!,#REF!,$B90,#REF!,AE$1)</f>
        <v>#REF!</v>
      </c>
      <c r="AF90" s="24" t="e">
        <f>SUMIFS(#REF!,#REF!,$B90,#REF!,AF$1)</f>
        <v>#REF!</v>
      </c>
      <c r="AG90" s="24" t="e">
        <f>SUMIFS(#REF!,#REF!,$B90,#REF!,AG$1)</f>
        <v>#REF!</v>
      </c>
      <c r="AH90" s="24" t="e">
        <f>SUMIFS(#REF!,#REF!,$B90,#REF!,AH$1)</f>
        <v>#REF!</v>
      </c>
      <c r="AI90" s="24" t="e">
        <f>SUMIFS(#REF!,#REF!,$B90,#REF!,AI$1)</f>
        <v>#REF!</v>
      </c>
      <c r="AJ90" s="24" t="e">
        <f>SUMIFS(#REF!,#REF!,$B90,#REF!,AJ$1)</f>
        <v>#REF!</v>
      </c>
      <c r="AK90" s="24" t="e">
        <f>SUMIFS(#REF!,#REF!,$B90,#REF!,AK$1)</f>
        <v>#REF!</v>
      </c>
      <c r="AL90" s="24" t="e">
        <f>SUMIFS(#REF!,#REF!,$B90,#REF!,AL$1)</f>
        <v>#REF!</v>
      </c>
      <c r="AM90" s="24" t="e">
        <f>SUMIFS(#REF!,#REF!,$B90,#REF!,AM$1)</f>
        <v>#REF!</v>
      </c>
      <c r="AN90" s="24" t="e">
        <f>SUMIFS(#REF!,#REF!,$B90,#REF!,AN$1)</f>
        <v>#REF!</v>
      </c>
      <c r="AO90" s="24" t="e">
        <f>SUMIFS(#REF!,#REF!,$B90,#REF!,AO$1)</f>
        <v>#REF!</v>
      </c>
      <c r="AP90" s="24" t="e">
        <f>SUMIFS(#REF!,#REF!,$B90,#REF!,AP$1)</f>
        <v>#REF!</v>
      </c>
      <c r="AQ90" s="24" t="e">
        <f>SUMIFS(#REF!,#REF!,$B90,#REF!,AQ$1)</f>
        <v>#REF!</v>
      </c>
      <c r="AR90" s="24" t="e">
        <f>SUMIFS(#REF!,#REF!,$B90,#REF!,AR$1)</f>
        <v>#REF!</v>
      </c>
      <c r="AS90" s="24" t="e">
        <f>SUMIFS(#REF!,#REF!,$B90,#REF!,AS$1)</f>
        <v>#REF!</v>
      </c>
      <c r="AT90" s="24" t="e">
        <f>SUMIFS(#REF!,#REF!,$B90,#REF!,AT$1)</f>
        <v>#REF!</v>
      </c>
      <c r="AU90" s="24" t="e">
        <f>SUMIFS(#REF!,#REF!,$B90,#REF!,AU$1)</f>
        <v>#REF!</v>
      </c>
      <c r="AV90" s="24" t="e">
        <f>SUMIFS(#REF!,#REF!,$B90,#REF!,AV$1)</f>
        <v>#REF!</v>
      </c>
      <c r="AW90" s="24" t="e">
        <f>SUMIFS(#REF!,#REF!,$B90,#REF!,AW$1)</f>
        <v>#REF!</v>
      </c>
      <c r="AX90" s="24" t="e">
        <f>SUMIFS(#REF!,#REF!,$B90,#REF!,AX$1)</f>
        <v>#REF!</v>
      </c>
      <c r="AY90" s="24" t="e">
        <f>SUMIFS(#REF!,#REF!,$B90,#REF!,AY$1)</f>
        <v>#REF!</v>
      </c>
      <c r="AZ90" s="24" t="e">
        <f>SUMIFS(#REF!,#REF!,$B90,#REF!,AZ$1)</f>
        <v>#REF!</v>
      </c>
      <c r="BA90" s="24" t="e">
        <f>SUMIFS(#REF!,#REF!,$B90,#REF!,BA$1)</f>
        <v>#REF!</v>
      </c>
      <c r="BB90" s="24" t="e">
        <f>SUMIFS(#REF!,#REF!,$B90,#REF!,BB$1)</f>
        <v>#REF!</v>
      </c>
      <c r="BC90" s="24" t="e">
        <f>SUMIFS(#REF!,#REF!,$B90,#REF!,BC$1)</f>
        <v>#REF!</v>
      </c>
      <c r="BD90" s="24" t="e">
        <f>SUMIFS(#REF!,#REF!,$B90,#REF!,BD$1)</f>
        <v>#REF!</v>
      </c>
      <c r="BE90" s="24" t="e">
        <f>SUMIFS(#REF!,#REF!,$B90,#REF!,BE$1)</f>
        <v>#REF!</v>
      </c>
      <c r="BF90" s="24" t="e">
        <f>SUMIFS(#REF!,#REF!,$B90,#REF!,BF$1)</f>
        <v>#REF!</v>
      </c>
      <c r="BG90" s="24" t="e">
        <f>SUMIFS(#REF!,#REF!,$B90,#REF!,BG$1)</f>
        <v>#REF!</v>
      </c>
      <c r="BH90" s="24" t="e">
        <f>SUMIFS(#REF!,#REF!,$B90,#REF!,BH$1)</f>
        <v>#REF!</v>
      </c>
      <c r="BI90" s="24" t="e">
        <f>SUMIFS(#REF!,#REF!,$B90,#REF!,BI$1)</f>
        <v>#REF!</v>
      </c>
      <c r="BJ90" s="24" t="e">
        <f>SUMIFS(#REF!,#REF!,$B90,#REF!,BJ$1)</f>
        <v>#REF!</v>
      </c>
      <c r="BK90" s="24" t="e">
        <f>SUMIFS(#REF!,#REF!,$B90,#REF!,BK$1)</f>
        <v>#REF!</v>
      </c>
      <c r="BL90" s="24" t="e">
        <f>SUMIFS(#REF!,#REF!,$B90,#REF!,BL$1)</f>
        <v>#REF!</v>
      </c>
      <c r="BM90" s="24" t="e">
        <f>SUMIFS(#REF!,#REF!,$B90,#REF!,BM$1)</f>
        <v>#REF!</v>
      </c>
      <c r="BN90" s="24" t="e">
        <f>SUMIFS(#REF!,#REF!,$B90,#REF!,BN$1)</f>
        <v>#REF!</v>
      </c>
      <c r="BO90" s="24" t="e">
        <f>SUMIFS(#REF!,#REF!,$B90,#REF!,BO$1)</f>
        <v>#REF!</v>
      </c>
      <c r="BP90" s="24" t="e">
        <f>SUMIFS(#REF!,#REF!,$B90,#REF!,BP$1)</f>
        <v>#REF!</v>
      </c>
      <c r="BQ90" s="24" t="e">
        <f>SUMIFS(#REF!,#REF!,$B90,#REF!,BQ$1)</f>
        <v>#REF!</v>
      </c>
      <c r="BR90" s="24" t="e">
        <f>SUMIFS(#REF!,#REF!,$B90,#REF!,BR$1)</f>
        <v>#REF!</v>
      </c>
      <c r="BS90" s="24" t="e">
        <f>SUMIFS(#REF!,#REF!,$B90,#REF!,BS$1)</f>
        <v>#REF!</v>
      </c>
      <c r="BT90" s="24" t="e">
        <f>SUMIFS(#REF!,#REF!,$B90,#REF!,BT$1)</f>
        <v>#REF!</v>
      </c>
      <c r="BU90" s="24" t="e">
        <f>SUMIFS(#REF!,#REF!,$B90,#REF!,BU$1)</f>
        <v>#REF!</v>
      </c>
      <c r="BV90" s="24" t="e">
        <f>SUMIFS(#REF!,#REF!,$B90,#REF!,BV$1)</f>
        <v>#REF!</v>
      </c>
      <c r="BW90" s="24" t="e">
        <f>SUMIFS(#REF!,#REF!,$B90,#REF!,BW$1)</f>
        <v>#REF!</v>
      </c>
      <c r="BX90" s="24" t="e">
        <f>SUMIFS(#REF!,#REF!,$B90,#REF!,BX$1)</f>
        <v>#REF!</v>
      </c>
      <c r="BY90" s="24" t="e">
        <f>SUMIFS(#REF!,#REF!,$B90,#REF!,BY$1)</f>
        <v>#REF!</v>
      </c>
      <c r="BZ90" s="24" t="e">
        <f>SUMIFS(#REF!,#REF!,$B90,#REF!,BZ$1)</f>
        <v>#REF!</v>
      </c>
      <c r="CA90" s="24" t="e">
        <f>SUMIFS(#REF!,#REF!,$B90,#REF!,CA$1)</f>
        <v>#REF!</v>
      </c>
      <c r="CB90" s="24" t="e">
        <f>SUMIFS(#REF!,#REF!,$B90,#REF!,CB$1)</f>
        <v>#REF!</v>
      </c>
      <c r="CC90" s="24" t="e">
        <f>SUMIFS(#REF!,#REF!,$B90,#REF!,CC$1)</f>
        <v>#REF!</v>
      </c>
      <c r="CD90" s="24" t="e">
        <f>SUMIFS(#REF!,#REF!,$B90,#REF!,CD$1)</f>
        <v>#REF!</v>
      </c>
      <c r="CE90" s="24" t="e">
        <f>SUMIFS(#REF!,#REF!,$B90,#REF!,CE$1)</f>
        <v>#REF!</v>
      </c>
      <c r="CF90" s="24" t="e">
        <f>SUMIFS(#REF!,#REF!,$B90,#REF!,CF$1)</f>
        <v>#REF!</v>
      </c>
      <c r="CG90" s="19" t="e">
        <f t="shared" si="1"/>
        <v>#REF!</v>
      </c>
    </row>
    <row r="91" spans="1:85" x14ac:dyDescent="0.45">
      <c r="A91" s="4" t="s">
        <v>1164</v>
      </c>
      <c r="B91" s="4" t="s">
        <v>1165</v>
      </c>
      <c r="C91" s="24" t="e">
        <f>SUMIFS(#REF!,#REF!,$B91,#REF!,C$1)</f>
        <v>#REF!</v>
      </c>
      <c r="D91" s="24" t="e">
        <f>SUMIFS(#REF!,#REF!,$B91,#REF!,D$1)</f>
        <v>#REF!</v>
      </c>
      <c r="E91" s="24" t="e">
        <f>SUMIFS(#REF!,#REF!,$B91,#REF!,E$1)</f>
        <v>#REF!</v>
      </c>
      <c r="F91" s="24" t="e">
        <f>SUMIFS(#REF!,#REF!,$B91,#REF!,F$1)</f>
        <v>#REF!</v>
      </c>
      <c r="G91" s="24" t="e">
        <f>SUMIFS(#REF!,#REF!,$B91,#REF!,G$1)</f>
        <v>#REF!</v>
      </c>
      <c r="H91" s="24" t="e">
        <f>SUMIFS(#REF!,#REF!,$B91,#REF!,H$1)</f>
        <v>#REF!</v>
      </c>
      <c r="I91" s="24" t="e">
        <f>SUMIFS(#REF!,#REF!,$B91,#REF!,I$1)</f>
        <v>#REF!</v>
      </c>
      <c r="J91" s="24" t="e">
        <f>SUMIFS(#REF!,#REF!,$B91,#REF!,J$1)</f>
        <v>#REF!</v>
      </c>
      <c r="K91" s="24" t="e">
        <f>SUMIFS(#REF!,#REF!,$B91,#REF!,K$1)</f>
        <v>#REF!</v>
      </c>
      <c r="L91" s="24" t="e">
        <f>SUMIFS(#REF!,#REF!,$B91,#REF!,L$1)</f>
        <v>#REF!</v>
      </c>
      <c r="M91" s="24" t="e">
        <f>SUMIFS(#REF!,#REF!,$B91,#REF!,M$1)</f>
        <v>#REF!</v>
      </c>
      <c r="N91" s="24" t="e">
        <f>SUMIFS(#REF!,#REF!,$B91,#REF!,N$1)</f>
        <v>#REF!</v>
      </c>
      <c r="O91" s="24" t="e">
        <f>SUMIFS(#REF!,#REF!,$B91,#REF!,O$1)</f>
        <v>#REF!</v>
      </c>
      <c r="P91" s="24" t="e">
        <f>SUMIFS(#REF!,#REF!,$B91,#REF!,P$1)</f>
        <v>#REF!</v>
      </c>
      <c r="Q91" s="24" t="e">
        <f>SUMIFS(#REF!,#REF!,$B91,#REF!,Q$1)</f>
        <v>#REF!</v>
      </c>
      <c r="R91" s="24" t="e">
        <f>SUMIFS(#REF!,#REF!,$B91,#REF!,R$1)</f>
        <v>#REF!</v>
      </c>
      <c r="S91" s="24" t="e">
        <f>SUMIFS(#REF!,#REF!,$B91,#REF!,S$1)</f>
        <v>#REF!</v>
      </c>
      <c r="T91" s="24" t="e">
        <f>SUMIFS(#REF!,#REF!,$B91,#REF!,T$1)</f>
        <v>#REF!</v>
      </c>
      <c r="U91" s="24" t="e">
        <f>SUMIFS(#REF!,#REF!,$B91,#REF!,U$1)</f>
        <v>#REF!</v>
      </c>
      <c r="V91" s="24" t="e">
        <f>SUMIFS(#REF!,#REF!,$B91,#REF!,V$1)</f>
        <v>#REF!</v>
      </c>
      <c r="W91" s="24" t="e">
        <f>SUMIFS(#REF!,#REF!,$B91,#REF!,W$1)</f>
        <v>#REF!</v>
      </c>
      <c r="X91" s="24" t="e">
        <f>SUMIFS(#REF!,#REF!,$B91,#REF!,X$1)</f>
        <v>#REF!</v>
      </c>
      <c r="Y91" s="24" t="e">
        <f>SUMIFS(#REF!,#REF!,$B91,#REF!,Y$1)</f>
        <v>#REF!</v>
      </c>
      <c r="Z91" s="24" t="e">
        <f>SUMIFS(#REF!,#REF!,$B91,#REF!,Z$1)</f>
        <v>#REF!</v>
      </c>
      <c r="AA91" s="24" t="e">
        <f>SUMIFS(#REF!,#REF!,$B91,#REF!,AA$1)</f>
        <v>#REF!</v>
      </c>
      <c r="AB91" s="24" t="e">
        <f>SUMIFS(#REF!,#REF!,$B91,#REF!,AB$1)</f>
        <v>#REF!</v>
      </c>
      <c r="AC91" s="24" t="e">
        <f>SUMIFS(#REF!,#REF!,$B91,#REF!,AC$1)</f>
        <v>#REF!</v>
      </c>
      <c r="AD91" s="24" t="e">
        <f>SUMIFS(#REF!,#REF!,$B91,#REF!,AD$1)</f>
        <v>#REF!</v>
      </c>
      <c r="AE91" s="24" t="e">
        <f>SUMIFS(#REF!,#REF!,$B91,#REF!,AE$1)</f>
        <v>#REF!</v>
      </c>
      <c r="AF91" s="24" t="e">
        <f>SUMIFS(#REF!,#REF!,$B91,#REF!,AF$1)</f>
        <v>#REF!</v>
      </c>
      <c r="AG91" s="24" t="e">
        <f>SUMIFS(#REF!,#REF!,$B91,#REF!,AG$1)</f>
        <v>#REF!</v>
      </c>
      <c r="AH91" s="24" t="e">
        <f>SUMIFS(#REF!,#REF!,$B91,#REF!,AH$1)</f>
        <v>#REF!</v>
      </c>
      <c r="AI91" s="24" t="e">
        <f>SUMIFS(#REF!,#REF!,$B91,#REF!,AI$1)</f>
        <v>#REF!</v>
      </c>
      <c r="AJ91" s="24" t="e">
        <f>SUMIFS(#REF!,#REF!,$B91,#REF!,AJ$1)</f>
        <v>#REF!</v>
      </c>
      <c r="AK91" s="24" t="e">
        <f>SUMIFS(#REF!,#REF!,$B91,#REF!,AK$1)</f>
        <v>#REF!</v>
      </c>
      <c r="AL91" s="24" t="e">
        <f>SUMIFS(#REF!,#REF!,$B91,#REF!,AL$1)</f>
        <v>#REF!</v>
      </c>
      <c r="AM91" s="24" t="e">
        <f>SUMIFS(#REF!,#REF!,$B91,#REF!,AM$1)</f>
        <v>#REF!</v>
      </c>
      <c r="AN91" s="24" t="e">
        <f>SUMIFS(#REF!,#REF!,$B91,#REF!,AN$1)</f>
        <v>#REF!</v>
      </c>
      <c r="AO91" s="24" t="e">
        <f>SUMIFS(#REF!,#REF!,$B91,#REF!,AO$1)</f>
        <v>#REF!</v>
      </c>
      <c r="AP91" s="24" t="e">
        <f>SUMIFS(#REF!,#REF!,$B91,#REF!,AP$1)</f>
        <v>#REF!</v>
      </c>
      <c r="AQ91" s="24" t="e">
        <f>SUMIFS(#REF!,#REF!,$B91,#REF!,AQ$1)</f>
        <v>#REF!</v>
      </c>
      <c r="AR91" s="24" t="e">
        <f>SUMIFS(#REF!,#REF!,$B91,#REF!,AR$1)</f>
        <v>#REF!</v>
      </c>
      <c r="AS91" s="24" t="e">
        <f>SUMIFS(#REF!,#REF!,$B91,#REF!,AS$1)</f>
        <v>#REF!</v>
      </c>
      <c r="AT91" s="24" t="e">
        <f>SUMIFS(#REF!,#REF!,$B91,#REF!,AT$1)</f>
        <v>#REF!</v>
      </c>
      <c r="AU91" s="24" t="e">
        <f>SUMIFS(#REF!,#REF!,$B91,#REF!,AU$1)</f>
        <v>#REF!</v>
      </c>
      <c r="AV91" s="24" t="e">
        <f>SUMIFS(#REF!,#REF!,$B91,#REF!,AV$1)</f>
        <v>#REF!</v>
      </c>
      <c r="AW91" s="24" t="e">
        <f>SUMIFS(#REF!,#REF!,$B91,#REF!,AW$1)</f>
        <v>#REF!</v>
      </c>
      <c r="AX91" s="24" t="e">
        <f>SUMIFS(#REF!,#REF!,$B91,#REF!,AX$1)</f>
        <v>#REF!</v>
      </c>
      <c r="AY91" s="24" t="e">
        <f>SUMIFS(#REF!,#REF!,$B91,#REF!,AY$1)</f>
        <v>#REF!</v>
      </c>
      <c r="AZ91" s="24" t="e">
        <f>SUMIFS(#REF!,#REF!,$B91,#REF!,AZ$1)</f>
        <v>#REF!</v>
      </c>
      <c r="BA91" s="24" t="e">
        <f>SUMIFS(#REF!,#REF!,$B91,#REF!,BA$1)</f>
        <v>#REF!</v>
      </c>
      <c r="BB91" s="24" t="e">
        <f>SUMIFS(#REF!,#REF!,$B91,#REF!,BB$1)</f>
        <v>#REF!</v>
      </c>
      <c r="BC91" s="24" t="e">
        <f>SUMIFS(#REF!,#REF!,$B91,#REF!,BC$1)</f>
        <v>#REF!</v>
      </c>
      <c r="BD91" s="24" t="e">
        <f>SUMIFS(#REF!,#REF!,$B91,#REF!,BD$1)</f>
        <v>#REF!</v>
      </c>
      <c r="BE91" s="24" t="e">
        <f>SUMIFS(#REF!,#REF!,$B91,#REF!,BE$1)</f>
        <v>#REF!</v>
      </c>
      <c r="BF91" s="24" t="e">
        <f>SUMIFS(#REF!,#REF!,$B91,#REF!,BF$1)</f>
        <v>#REF!</v>
      </c>
      <c r="BG91" s="24" t="e">
        <f>SUMIFS(#REF!,#REF!,$B91,#REF!,BG$1)</f>
        <v>#REF!</v>
      </c>
      <c r="BH91" s="24" t="e">
        <f>SUMIFS(#REF!,#REF!,$B91,#REF!,BH$1)</f>
        <v>#REF!</v>
      </c>
      <c r="BI91" s="24" t="e">
        <f>SUMIFS(#REF!,#REF!,$B91,#REF!,BI$1)</f>
        <v>#REF!</v>
      </c>
      <c r="BJ91" s="24" t="e">
        <f>SUMIFS(#REF!,#REF!,$B91,#REF!,BJ$1)</f>
        <v>#REF!</v>
      </c>
      <c r="BK91" s="24" t="e">
        <f>SUMIFS(#REF!,#REF!,$B91,#REF!,BK$1)</f>
        <v>#REF!</v>
      </c>
      <c r="BL91" s="24" t="e">
        <f>SUMIFS(#REF!,#REF!,$B91,#REF!,BL$1)</f>
        <v>#REF!</v>
      </c>
      <c r="BM91" s="24" t="e">
        <f>SUMIFS(#REF!,#REF!,$B91,#REF!,BM$1)</f>
        <v>#REF!</v>
      </c>
      <c r="BN91" s="24" t="e">
        <f>SUMIFS(#REF!,#REF!,$B91,#REF!,BN$1)</f>
        <v>#REF!</v>
      </c>
      <c r="BO91" s="24" t="e">
        <f>SUMIFS(#REF!,#REF!,$B91,#REF!,BO$1)</f>
        <v>#REF!</v>
      </c>
      <c r="BP91" s="24" t="e">
        <f>SUMIFS(#REF!,#REF!,$B91,#REF!,BP$1)</f>
        <v>#REF!</v>
      </c>
      <c r="BQ91" s="24" t="e">
        <f>SUMIFS(#REF!,#REF!,$B91,#REF!,BQ$1)</f>
        <v>#REF!</v>
      </c>
      <c r="BR91" s="24" t="e">
        <f>SUMIFS(#REF!,#REF!,$B91,#REF!,BR$1)</f>
        <v>#REF!</v>
      </c>
      <c r="BS91" s="24" t="e">
        <f>SUMIFS(#REF!,#REF!,$B91,#REF!,BS$1)</f>
        <v>#REF!</v>
      </c>
      <c r="BT91" s="24" t="e">
        <f>SUMIFS(#REF!,#REF!,$B91,#REF!,BT$1)</f>
        <v>#REF!</v>
      </c>
      <c r="BU91" s="24" t="e">
        <f>SUMIFS(#REF!,#REF!,$B91,#REF!,BU$1)</f>
        <v>#REF!</v>
      </c>
      <c r="BV91" s="24" t="e">
        <f>SUMIFS(#REF!,#REF!,$B91,#REF!,BV$1)</f>
        <v>#REF!</v>
      </c>
      <c r="BW91" s="24" t="e">
        <f>SUMIFS(#REF!,#REF!,$B91,#REF!,BW$1)</f>
        <v>#REF!</v>
      </c>
      <c r="BX91" s="24" t="e">
        <f>SUMIFS(#REF!,#REF!,$B91,#REF!,BX$1)</f>
        <v>#REF!</v>
      </c>
      <c r="BY91" s="24" t="e">
        <f>SUMIFS(#REF!,#REF!,$B91,#REF!,BY$1)</f>
        <v>#REF!</v>
      </c>
      <c r="BZ91" s="24" t="e">
        <f>SUMIFS(#REF!,#REF!,$B91,#REF!,BZ$1)</f>
        <v>#REF!</v>
      </c>
      <c r="CA91" s="24" t="e">
        <f>SUMIFS(#REF!,#REF!,$B91,#REF!,CA$1)</f>
        <v>#REF!</v>
      </c>
      <c r="CB91" s="24" t="e">
        <f>SUMIFS(#REF!,#REF!,$B91,#REF!,CB$1)</f>
        <v>#REF!</v>
      </c>
      <c r="CC91" s="24" t="e">
        <f>SUMIFS(#REF!,#REF!,$B91,#REF!,CC$1)</f>
        <v>#REF!</v>
      </c>
      <c r="CD91" s="24" t="e">
        <f>SUMIFS(#REF!,#REF!,$B91,#REF!,CD$1)</f>
        <v>#REF!</v>
      </c>
      <c r="CE91" s="24" t="e">
        <f>SUMIFS(#REF!,#REF!,$B91,#REF!,CE$1)</f>
        <v>#REF!</v>
      </c>
      <c r="CF91" s="24" t="e">
        <f>SUMIFS(#REF!,#REF!,$B91,#REF!,CF$1)</f>
        <v>#REF!</v>
      </c>
      <c r="CG91" s="19" t="e">
        <f t="shared" si="1"/>
        <v>#REF!</v>
      </c>
    </row>
    <row r="92" spans="1:85" x14ac:dyDescent="0.45">
      <c r="A92" s="4" t="s">
        <v>1166</v>
      </c>
      <c r="B92" s="4" t="s">
        <v>1167</v>
      </c>
      <c r="C92" s="24" t="e">
        <f>SUMIFS(#REF!,#REF!,$B92,#REF!,C$1)</f>
        <v>#REF!</v>
      </c>
      <c r="D92" s="24" t="e">
        <f>SUMIFS(#REF!,#REF!,$B92,#REF!,D$1)</f>
        <v>#REF!</v>
      </c>
      <c r="E92" s="24" t="e">
        <f>SUMIFS(#REF!,#REF!,$B92,#REF!,E$1)</f>
        <v>#REF!</v>
      </c>
      <c r="F92" s="24" t="e">
        <f>SUMIFS(#REF!,#REF!,$B92,#REF!,F$1)</f>
        <v>#REF!</v>
      </c>
      <c r="G92" s="24" t="e">
        <f>SUMIFS(#REF!,#REF!,$B92,#REF!,G$1)</f>
        <v>#REF!</v>
      </c>
      <c r="H92" s="24" t="e">
        <f>SUMIFS(#REF!,#REF!,$B92,#REF!,H$1)</f>
        <v>#REF!</v>
      </c>
      <c r="I92" s="24" t="e">
        <f>SUMIFS(#REF!,#REF!,$B92,#REF!,I$1)</f>
        <v>#REF!</v>
      </c>
      <c r="J92" s="24" t="e">
        <f>SUMIFS(#REF!,#REF!,$B92,#REF!,J$1)</f>
        <v>#REF!</v>
      </c>
      <c r="K92" s="24" t="e">
        <f>SUMIFS(#REF!,#REF!,$B92,#REF!,K$1)</f>
        <v>#REF!</v>
      </c>
      <c r="L92" s="24" t="e">
        <f>SUMIFS(#REF!,#REF!,$B92,#REF!,L$1)</f>
        <v>#REF!</v>
      </c>
      <c r="M92" s="24" t="e">
        <f>SUMIFS(#REF!,#REF!,$B92,#REF!,M$1)</f>
        <v>#REF!</v>
      </c>
      <c r="N92" s="24" t="e">
        <f>SUMIFS(#REF!,#REF!,$B92,#REF!,N$1)</f>
        <v>#REF!</v>
      </c>
      <c r="O92" s="24" t="e">
        <f>SUMIFS(#REF!,#REF!,$B92,#REF!,O$1)</f>
        <v>#REF!</v>
      </c>
      <c r="P92" s="24" t="e">
        <f>SUMIFS(#REF!,#REF!,$B92,#REF!,P$1)</f>
        <v>#REF!</v>
      </c>
      <c r="Q92" s="24" t="e">
        <f>SUMIFS(#REF!,#REF!,$B92,#REF!,Q$1)</f>
        <v>#REF!</v>
      </c>
      <c r="R92" s="24" t="e">
        <f>SUMIFS(#REF!,#REF!,$B92,#REF!,R$1)</f>
        <v>#REF!</v>
      </c>
      <c r="S92" s="24" t="e">
        <f>SUMIFS(#REF!,#REF!,$B92,#REF!,S$1)</f>
        <v>#REF!</v>
      </c>
      <c r="T92" s="24" t="e">
        <f>SUMIFS(#REF!,#REF!,$B92,#REF!,T$1)</f>
        <v>#REF!</v>
      </c>
      <c r="U92" s="24" t="e">
        <f>SUMIFS(#REF!,#REF!,$B92,#REF!,U$1)</f>
        <v>#REF!</v>
      </c>
      <c r="V92" s="24" t="e">
        <f>SUMIFS(#REF!,#REF!,$B92,#REF!,V$1)</f>
        <v>#REF!</v>
      </c>
      <c r="W92" s="24" t="e">
        <f>SUMIFS(#REF!,#REF!,$B92,#REF!,W$1)</f>
        <v>#REF!</v>
      </c>
      <c r="X92" s="24" t="e">
        <f>SUMIFS(#REF!,#REF!,$B92,#REF!,X$1)</f>
        <v>#REF!</v>
      </c>
      <c r="Y92" s="24" t="e">
        <f>SUMIFS(#REF!,#REF!,$B92,#REF!,Y$1)</f>
        <v>#REF!</v>
      </c>
      <c r="Z92" s="24" t="e">
        <f>SUMIFS(#REF!,#REF!,$B92,#REF!,Z$1)</f>
        <v>#REF!</v>
      </c>
      <c r="AA92" s="24" t="e">
        <f>SUMIFS(#REF!,#REF!,$B92,#REF!,AA$1)</f>
        <v>#REF!</v>
      </c>
      <c r="AB92" s="24" t="e">
        <f>SUMIFS(#REF!,#REF!,$B92,#REF!,AB$1)</f>
        <v>#REF!</v>
      </c>
      <c r="AC92" s="24" t="e">
        <f>SUMIFS(#REF!,#REF!,$B92,#REF!,AC$1)</f>
        <v>#REF!</v>
      </c>
      <c r="AD92" s="24" t="e">
        <f>SUMIFS(#REF!,#REF!,$B92,#REF!,AD$1)</f>
        <v>#REF!</v>
      </c>
      <c r="AE92" s="24" t="e">
        <f>SUMIFS(#REF!,#REF!,$B92,#REF!,AE$1)</f>
        <v>#REF!</v>
      </c>
      <c r="AF92" s="24" t="e">
        <f>SUMIFS(#REF!,#REF!,$B92,#REF!,AF$1)</f>
        <v>#REF!</v>
      </c>
      <c r="AG92" s="24" t="e">
        <f>SUMIFS(#REF!,#REF!,$B92,#REF!,AG$1)</f>
        <v>#REF!</v>
      </c>
      <c r="AH92" s="24" t="e">
        <f>SUMIFS(#REF!,#REF!,$B92,#REF!,AH$1)</f>
        <v>#REF!</v>
      </c>
      <c r="AI92" s="24" t="e">
        <f>SUMIFS(#REF!,#REF!,$B92,#REF!,AI$1)</f>
        <v>#REF!</v>
      </c>
      <c r="AJ92" s="24" t="e">
        <f>SUMIFS(#REF!,#REF!,$B92,#REF!,AJ$1)</f>
        <v>#REF!</v>
      </c>
      <c r="AK92" s="24" t="e">
        <f>SUMIFS(#REF!,#REF!,$B92,#REF!,AK$1)</f>
        <v>#REF!</v>
      </c>
      <c r="AL92" s="24" t="e">
        <f>SUMIFS(#REF!,#REF!,$B92,#REF!,AL$1)</f>
        <v>#REF!</v>
      </c>
      <c r="AM92" s="24" t="e">
        <f>SUMIFS(#REF!,#REF!,$B92,#REF!,AM$1)</f>
        <v>#REF!</v>
      </c>
      <c r="AN92" s="24" t="e">
        <f>SUMIFS(#REF!,#REF!,$B92,#REF!,AN$1)</f>
        <v>#REF!</v>
      </c>
      <c r="AO92" s="24" t="e">
        <f>SUMIFS(#REF!,#REF!,$B92,#REF!,AO$1)</f>
        <v>#REF!</v>
      </c>
      <c r="AP92" s="24" t="e">
        <f>SUMIFS(#REF!,#REF!,$B92,#REF!,AP$1)</f>
        <v>#REF!</v>
      </c>
      <c r="AQ92" s="24" t="e">
        <f>SUMIFS(#REF!,#REF!,$B92,#REF!,AQ$1)</f>
        <v>#REF!</v>
      </c>
      <c r="AR92" s="24" t="e">
        <f>SUMIFS(#REF!,#REF!,$B92,#REF!,AR$1)</f>
        <v>#REF!</v>
      </c>
      <c r="AS92" s="24" t="e">
        <f>SUMIFS(#REF!,#REF!,$B92,#REF!,AS$1)</f>
        <v>#REF!</v>
      </c>
      <c r="AT92" s="24" t="e">
        <f>SUMIFS(#REF!,#REF!,$B92,#REF!,AT$1)</f>
        <v>#REF!</v>
      </c>
      <c r="AU92" s="24" t="e">
        <f>SUMIFS(#REF!,#REF!,$B92,#REF!,AU$1)</f>
        <v>#REF!</v>
      </c>
      <c r="AV92" s="24" t="e">
        <f>SUMIFS(#REF!,#REF!,$B92,#REF!,AV$1)</f>
        <v>#REF!</v>
      </c>
      <c r="AW92" s="24" t="e">
        <f>SUMIFS(#REF!,#REF!,$B92,#REF!,AW$1)</f>
        <v>#REF!</v>
      </c>
      <c r="AX92" s="24" t="e">
        <f>SUMIFS(#REF!,#REF!,$B92,#REF!,AX$1)</f>
        <v>#REF!</v>
      </c>
      <c r="AY92" s="24" t="e">
        <f>SUMIFS(#REF!,#REF!,$B92,#REF!,AY$1)</f>
        <v>#REF!</v>
      </c>
      <c r="AZ92" s="24" t="e">
        <f>SUMIFS(#REF!,#REF!,$B92,#REF!,AZ$1)</f>
        <v>#REF!</v>
      </c>
      <c r="BA92" s="24" t="e">
        <f>SUMIFS(#REF!,#REF!,$B92,#REF!,BA$1)</f>
        <v>#REF!</v>
      </c>
      <c r="BB92" s="24" t="e">
        <f>SUMIFS(#REF!,#REF!,$B92,#REF!,BB$1)</f>
        <v>#REF!</v>
      </c>
      <c r="BC92" s="24" t="e">
        <f>SUMIFS(#REF!,#REF!,$B92,#REF!,BC$1)</f>
        <v>#REF!</v>
      </c>
      <c r="BD92" s="24" t="e">
        <f>SUMIFS(#REF!,#REF!,$B92,#REF!,BD$1)</f>
        <v>#REF!</v>
      </c>
      <c r="BE92" s="24" t="e">
        <f>SUMIFS(#REF!,#REF!,$B92,#REF!,BE$1)</f>
        <v>#REF!</v>
      </c>
      <c r="BF92" s="24" t="e">
        <f>SUMIFS(#REF!,#REF!,$B92,#REF!,BF$1)</f>
        <v>#REF!</v>
      </c>
      <c r="BG92" s="24" t="e">
        <f>SUMIFS(#REF!,#REF!,$B92,#REF!,BG$1)</f>
        <v>#REF!</v>
      </c>
      <c r="BH92" s="24" t="e">
        <f>SUMIFS(#REF!,#REF!,$B92,#REF!,BH$1)</f>
        <v>#REF!</v>
      </c>
      <c r="BI92" s="24" t="e">
        <f>SUMIFS(#REF!,#REF!,$B92,#REF!,BI$1)</f>
        <v>#REF!</v>
      </c>
      <c r="BJ92" s="24" t="e">
        <f>SUMIFS(#REF!,#REF!,$B92,#REF!,BJ$1)</f>
        <v>#REF!</v>
      </c>
      <c r="BK92" s="24" t="e">
        <f>SUMIFS(#REF!,#REF!,$B92,#REF!,BK$1)</f>
        <v>#REF!</v>
      </c>
      <c r="BL92" s="24" t="e">
        <f>SUMIFS(#REF!,#REF!,$B92,#REF!,BL$1)</f>
        <v>#REF!</v>
      </c>
      <c r="BM92" s="24" t="e">
        <f>SUMIFS(#REF!,#REF!,$B92,#REF!,BM$1)</f>
        <v>#REF!</v>
      </c>
      <c r="BN92" s="24" t="e">
        <f>SUMIFS(#REF!,#REF!,$B92,#REF!,BN$1)</f>
        <v>#REF!</v>
      </c>
      <c r="BO92" s="24" t="e">
        <f>SUMIFS(#REF!,#REF!,$B92,#REF!,BO$1)</f>
        <v>#REF!</v>
      </c>
      <c r="BP92" s="24" t="e">
        <f>SUMIFS(#REF!,#REF!,$B92,#REF!,BP$1)</f>
        <v>#REF!</v>
      </c>
      <c r="BQ92" s="24" t="e">
        <f>SUMIFS(#REF!,#REF!,$B92,#REF!,BQ$1)</f>
        <v>#REF!</v>
      </c>
      <c r="BR92" s="24" t="e">
        <f>SUMIFS(#REF!,#REF!,$B92,#REF!,BR$1)</f>
        <v>#REF!</v>
      </c>
      <c r="BS92" s="24" t="e">
        <f>SUMIFS(#REF!,#REF!,$B92,#REF!,BS$1)</f>
        <v>#REF!</v>
      </c>
      <c r="BT92" s="24" t="e">
        <f>SUMIFS(#REF!,#REF!,$B92,#REF!,BT$1)</f>
        <v>#REF!</v>
      </c>
      <c r="BU92" s="24" t="e">
        <f>SUMIFS(#REF!,#REF!,$B92,#REF!,BU$1)</f>
        <v>#REF!</v>
      </c>
      <c r="BV92" s="24" t="e">
        <f>SUMIFS(#REF!,#REF!,$B92,#REF!,BV$1)</f>
        <v>#REF!</v>
      </c>
      <c r="BW92" s="24" t="e">
        <f>SUMIFS(#REF!,#REF!,$B92,#REF!,BW$1)</f>
        <v>#REF!</v>
      </c>
      <c r="BX92" s="24" t="e">
        <f>SUMIFS(#REF!,#REF!,$B92,#REF!,BX$1)</f>
        <v>#REF!</v>
      </c>
      <c r="BY92" s="24" t="e">
        <f>SUMIFS(#REF!,#REF!,$B92,#REF!,BY$1)</f>
        <v>#REF!</v>
      </c>
      <c r="BZ92" s="24" t="e">
        <f>SUMIFS(#REF!,#REF!,$B92,#REF!,BZ$1)</f>
        <v>#REF!</v>
      </c>
      <c r="CA92" s="24" t="e">
        <f>SUMIFS(#REF!,#REF!,$B92,#REF!,CA$1)</f>
        <v>#REF!</v>
      </c>
      <c r="CB92" s="24" t="e">
        <f>SUMIFS(#REF!,#REF!,$B92,#REF!,CB$1)</f>
        <v>#REF!</v>
      </c>
      <c r="CC92" s="24" t="e">
        <f>SUMIFS(#REF!,#REF!,$B92,#REF!,CC$1)</f>
        <v>#REF!</v>
      </c>
      <c r="CD92" s="24" t="e">
        <f>SUMIFS(#REF!,#REF!,$B92,#REF!,CD$1)</f>
        <v>#REF!</v>
      </c>
      <c r="CE92" s="24" t="e">
        <f>SUMIFS(#REF!,#REF!,$B92,#REF!,CE$1)</f>
        <v>#REF!</v>
      </c>
      <c r="CF92" s="24" t="e">
        <f>SUMIFS(#REF!,#REF!,$B92,#REF!,CF$1)</f>
        <v>#REF!</v>
      </c>
      <c r="CG92" s="19" t="e">
        <f t="shared" si="1"/>
        <v>#REF!</v>
      </c>
    </row>
    <row r="93" spans="1:85" x14ac:dyDescent="0.45">
      <c r="A93" s="4" t="s">
        <v>1168</v>
      </c>
      <c r="B93" s="4" t="s">
        <v>1169</v>
      </c>
      <c r="C93" s="24" t="e">
        <f>SUMIFS(#REF!,#REF!,$B93,#REF!,C$1)</f>
        <v>#REF!</v>
      </c>
      <c r="D93" s="24" t="e">
        <f>SUMIFS(#REF!,#REF!,$B93,#REF!,D$1)</f>
        <v>#REF!</v>
      </c>
      <c r="E93" s="24" t="e">
        <f>SUMIFS(#REF!,#REF!,$B93,#REF!,E$1)</f>
        <v>#REF!</v>
      </c>
      <c r="F93" s="24" t="e">
        <f>SUMIFS(#REF!,#REF!,$B93,#REF!,F$1)</f>
        <v>#REF!</v>
      </c>
      <c r="G93" s="24" t="e">
        <f>SUMIFS(#REF!,#REF!,$B93,#REF!,G$1)</f>
        <v>#REF!</v>
      </c>
      <c r="H93" s="24" t="e">
        <f>SUMIFS(#REF!,#REF!,$B93,#REF!,H$1)</f>
        <v>#REF!</v>
      </c>
      <c r="I93" s="24" t="e">
        <f>SUMIFS(#REF!,#REF!,$B93,#REF!,I$1)</f>
        <v>#REF!</v>
      </c>
      <c r="J93" s="24" t="e">
        <f>SUMIFS(#REF!,#REF!,$B93,#REF!,J$1)</f>
        <v>#REF!</v>
      </c>
      <c r="K93" s="24" t="e">
        <f>SUMIFS(#REF!,#REF!,$B93,#REF!,K$1)</f>
        <v>#REF!</v>
      </c>
      <c r="L93" s="24" t="e">
        <f>SUMIFS(#REF!,#REF!,$B93,#REF!,L$1)</f>
        <v>#REF!</v>
      </c>
      <c r="M93" s="24" t="e">
        <f>SUMIFS(#REF!,#REF!,$B93,#REF!,M$1)</f>
        <v>#REF!</v>
      </c>
      <c r="N93" s="24" t="e">
        <f>SUMIFS(#REF!,#REF!,$B93,#REF!,N$1)</f>
        <v>#REF!</v>
      </c>
      <c r="O93" s="24" t="e">
        <f>SUMIFS(#REF!,#REF!,$B93,#REF!,O$1)</f>
        <v>#REF!</v>
      </c>
      <c r="P93" s="24" t="e">
        <f>SUMIFS(#REF!,#REF!,$B93,#REF!,P$1)</f>
        <v>#REF!</v>
      </c>
      <c r="Q93" s="24" t="e">
        <f>SUMIFS(#REF!,#REF!,$B93,#REF!,Q$1)</f>
        <v>#REF!</v>
      </c>
      <c r="R93" s="24" t="e">
        <f>SUMIFS(#REF!,#REF!,$B93,#REF!,R$1)</f>
        <v>#REF!</v>
      </c>
      <c r="S93" s="24" t="e">
        <f>SUMIFS(#REF!,#REF!,$B93,#REF!,S$1)</f>
        <v>#REF!</v>
      </c>
      <c r="T93" s="24" t="e">
        <f>SUMIFS(#REF!,#REF!,$B93,#REF!,T$1)</f>
        <v>#REF!</v>
      </c>
      <c r="U93" s="24" t="e">
        <f>SUMIFS(#REF!,#REF!,$B93,#REF!,U$1)</f>
        <v>#REF!</v>
      </c>
      <c r="V93" s="24" t="e">
        <f>SUMIFS(#REF!,#REF!,$B93,#REF!,V$1)</f>
        <v>#REF!</v>
      </c>
      <c r="W93" s="24" t="e">
        <f>SUMIFS(#REF!,#REF!,$B93,#REF!,W$1)</f>
        <v>#REF!</v>
      </c>
      <c r="X93" s="24" t="e">
        <f>SUMIFS(#REF!,#REF!,$B93,#REF!,X$1)</f>
        <v>#REF!</v>
      </c>
      <c r="Y93" s="24" t="e">
        <f>SUMIFS(#REF!,#REF!,$B93,#REF!,Y$1)</f>
        <v>#REF!</v>
      </c>
      <c r="Z93" s="24" t="e">
        <f>SUMIFS(#REF!,#REF!,$B93,#REF!,Z$1)</f>
        <v>#REF!</v>
      </c>
      <c r="AA93" s="24" t="e">
        <f>SUMIFS(#REF!,#REF!,$B93,#REF!,AA$1)</f>
        <v>#REF!</v>
      </c>
      <c r="AB93" s="24" t="e">
        <f>SUMIFS(#REF!,#REF!,$B93,#REF!,AB$1)</f>
        <v>#REF!</v>
      </c>
      <c r="AC93" s="24" t="e">
        <f>SUMIFS(#REF!,#REF!,$B93,#REF!,AC$1)</f>
        <v>#REF!</v>
      </c>
      <c r="AD93" s="24" t="e">
        <f>SUMIFS(#REF!,#REF!,$B93,#REF!,AD$1)</f>
        <v>#REF!</v>
      </c>
      <c r="AE93" s="24" t="e">
        <f>SUMIFS(#REF!,#REF!,$B93,#REF!,AE$1)</f>
        <v>#REF!</v>
      </c>
      <c r="AF93" s="24" t="e">
        <f>SUMIFS(#REF!,#REF!,$B93,#REF!,AF$1)</f>
        <v>#REF!</v>
      </c>
      <c r="AG93" s="24" t="e">
        <f>SUMIFS(#REF!,#REF!,$B93,#REF!,AG$1)</f>
        <v>#REF!</v>
      </c>
      <c r="AH93" s="24" t="e">
        <f>SUMIFS(#REF!,#REF!,$B93,#REF!,AH$1)</f>
        <v>#REF!</v>
      </c>
      <c r="AI93" s="24" t="e">
        <f>SUMIFS(#REF!,#REF!,$B93,#REF!,AI$1)</f>
        <v>#REF!</v>
      </c>
      <c r="AJ93" s="24" t="e">
        <f>SUMIFS(#REF!,#REF!,$B93,#REF!,AJ$1)</f>
        <v>#REF!</v>
      </c>
      <c r="AK93" s="24" t="e">
        <f>SUMIFS(#REF!,#REF!,$B93,#REF!,AK$1)</f>
        <v>#REF!</v>
      </c>
      <c r="AL93" s="24" t="e">
        <f>SUMIFS(#REF!,#REF!,$B93,#REF!,AL$1)</f>
        <v>#REF!</v>
      </c>
      <c r="AM93" s="24" t="e">
        <f>SUMIFS(#REF!,#REF!,$B93,#REF!,AM$1)</f>
        <v>#REF!</v>
      </c>
      <c r="AN93" s="24" t="e">
        <f>SUMIFS(#REF!,#REF!,$B93,#REF!,AN$1)</f>
        <v>#REF!</v>
      </c>
      <c r="AO93" s="24" t="e">
        <f>SUMIFS(#REF!,#REF!,$B93,#REF!,AO$1)</f>
        <v>#REF!</v>
      </c>
      <c r="AP93" s="24" t="e">
        <f>SUMIFS(#REF!,#REF!,$B93,#REF!,AP$1)</f>
        <v>#REF!</v>
      </c>
      <c r="AQ93" s="24" t="e">
        <f>SUMIFS(#REF!,#REF!,$B93,#REF!,AQ$1)</f>
        <v>#REF!</v>
      </c>
      <c r="AR93" s="24" t="e">
        <f>SUMIFS(#REF!,#REF!,$B93,#REF!,AR$1)</f>
        <v>#REF!</v>
      </c>
      <c r="AS93" s="24" t="e">
        <f>SUMIFS(#REF!,#REF!,$B93,#REF!,AS$1)</f>
        <v>#REF!</v>
      </c>
      <c r="AT93" s="24" t="e">
        <f>SUMIFS(#REF!,#REF!,$B93,#REF!,AT$1)</f>
        <v>#REF!</v>
      </c>
      <c r="AU93" s="24" t="e">
        <f>SUMIFS(#REF!,#REF!,$B93,#REF!,AU$1)</f>
        <v>#REF!</v>
      </c>
      <c r="AV93" s="24" t="e">
        <f>SUMIFS(#REF!,#REF!,$B93,#REF!,AV$1)</f>
        <v>#REF!</v>
      </c>
      <c r="AW93" s="24" t="e">
        <f>SUMIFS(#REF!,#REF!,$B93,#REF!,AW$1)</f>
        <v>#REF!</v>
      </c>
      <c r="AX93" s="24" t="e">
        <f>SUMIFS(#REF!,#REF!,$B93,#REF!,AX$1)</f>
        <v>#REF!</v>
      </c>
      <c r="AY93" s="24" t="e">
        <f>SUMIFS(#REF!,#REF!,$B93,#REF!,AY$1)</f>
        <v>#REF!</v>
      </c>
      <c r="AZ93" s="24" t="e">
        <f>SUMIFS(#REF!,#REF!,$B93,#REF!,AZ$1)</f>
        <v>#REF!</v>
      </c>
      <c r="BA93" s="24" t="e">
        <f>SUMIFS(#REF!,#REF!,$B93,#REF!,BA$1)</f>
        <v>#REF!</v>
      </c>
      <c r="BB93" s="24" t="e">
        <f>SUMIFS(#REF!,#REF!,$B93,#REF!,BB$1)</f>
        <v>#REF!</v>
      </c>
      <c r="BC93" s="24" t="e">
        <f>SUMIFS(#REF!,#REF!,$B93,#REF!,BC$1)</f>
        <v>#REF!</v>
      </c>
      <c r="BD93" s="24" t="e">
        <f>SUMIFS(#REF!,#REF!,$B93,#REF!,BD$1)</f>
        <v>#REF!</v>
      </c>
      <c r="BE93" s="24" t="e">
        <f>SUMIFS(#REF!,#REF!,$B93,#REF!,BE$1)</f>
        <v>#REF!</v>
      </c>
      <c r="BF93" s="24" t="e">
        <f>SUMIFS(#REF!,#REF!,$B93,#REF!,BF$1)</f>
        <v>#REF!</v>
      </c>
      <c r="BG93" s="24" t="e">
        <f>SUMIFS(#REF!,#REF!,$B93,#REF!,BG$1)</f>
        <v>#REF!</v>
      </c>
      <c r="BH93" s="24" t="e">
        <f>SUMIFS(#REF!,#REF!,$B93,#REF!,BH$1)</f>
        <v>#REF!</v>
      </c>
      <c r="BI93" s="24" t="e">
        <f>SUMIFS(#REF!,#REF!,$B93,#REF!,BI$1)</f>
        <v>#REF!</v>
      </c>
      <c r="BJ93" s="24" t="e">
        <f>SUMIFS(#REF!,#REF!,$B93,#REF!,BJ$1)</f>
        <v>#REF!</v>
      </c>
      <c r="BK93" s="24" t="e">
        <f>SUMIFS(#REF!,#REF!,$B93,#REF!,BK$1)</f>
        <v>#REF!</v>
      </c>
      <c r="BL93" s="24" t="e">
        <f>SUMIFS(#REF!,#REF!,$B93,#REF!,BL$1)</f>
        <v>#REF!</v>
      </c>
      <c r="BM93" s="24" t="e">
        <f>SUMIFS(#REF!,#REF!,$B93,#REF!,BM$1)</f>
        <v>#REF!</v>
      </c>
      <c r="BN93" s="24" t="e">
        <f>SUMIFS(#REF!,#REF!,$B93,#REF!,BN$1)</f>
        <v>#REF!</v>
      </c>
      <c r="BO93" s="24" t="e">
        <f>SUMIFS(#REF!,#REF!,$B93,#REF!,BO$1)</f>
        <v>#REF!</v>
      </c>
      <c r="BP93" s="24" t="e">
        <f>SUMIFS(#REF!,#REF!,$B93,#REF!,BP$1)</f>
        <v>#REF!</v>
      </c>
      <c r="BQ93" s="24" t="e">
        <f>SUMIFS(#REF!,#REF!,$B93,#REF!,BQ$1)</f>
        <v>#REF!</v>
      </c>
      <c r="BR93" s="24" t="e">
        <f>SUMIFS(#REF!,#REF!,$B93,#REF!,BR$1)</f>
        <v>#REF!</v>
      </c>
      <c r="BS93" s="24" t="e">
        <f>SUMIFS(#REF!,#REF!,$B93,#REF!,BS$1)</f>
        <v>#REF!</v>
      </c>
      <c r="BT93" s="24" t="e">
        <f>SUMIFS(#REF!,#REF!,$B93,#REF!,BT$1)</f>
        <v>#REF!</v>
      </c>
      <c r="BU93" s="24" t="e">
        <f>SUMIFS(#REF!,#REF!,$B93,#REF!,BU$1)</f>
        <v>#REF!</v>
      </c>
      <c r="BV93" s="24" t="e">
        <f>SUMIFS(#REF!,#REF!,$B93,#REF!,BV$1)</f>
        <v>#REF!</v>
      </c>
      <c r="BW93" s="24" t="e">
        <f>SUMIFS(#REF!,#REF!,$B93,#REF!,BW$1)</f>
        <v>#REF!</v>
      </c>
      <c r="BX93" s="24" t="e">
        <f>SUMIFS(#REF!,#REF!,$B93,#REF!,BX$1)</f>
        <v>#REF!</v>
      </c>
      <c r="BY93" s="24" t="e">
        <f>SUMIFS(#REF!,#REF!,$B93,#REF!,BY$1)</f>
        <v>#REF!</v>
      </c>
      <c r="BZ93" s="24" t="e">
        <f>SUMIFS(#REF!,#REF!,$B93,#REF!,BZ$1)</f>
        <v>#REF!</v>
      </c>
      <c r="CA93" s="24" t="e">
        <f>SUMIFS(#REF!,#REF!,$B93,#REF!,CA$1)</f>
        <v>#REF!</v>
      </c>
      <c r="CB93" s="24" t="e">
        <f>SUMIFS(#REF!,#REF!,$B93,#REF!,CB$1)</f>
        <v>#REF!</v>
      </c>
      <c r="CC93" s="24" t="e">
        <f>SUMIFS(#REF!,#REF!,$B93,#REF!,CC$1)</f>
        <v>#REF!</v>
      </c>
      <c r="CD93" s="24" t="e">
        <f>SUMIFS(#REF!,#REF!,$B93,#REF!,CD$1)</f>
        <v>#REF!</v>
      </c>
      <c r="CE93" s="24" t="e">
        <f>SUMIFS(#REF!,#REF!,$B93,#REF!,CE$1)</f>
        <v>#REF!</v>
      </c>
      <c r="CF93" s="24" t="e">
        <f>SUMIFS(#REF!,#REF!,$B93,#REF!,CF$1)</f>
        <v>#REF!</v>
      </c>
      <c r="CG93" s="19" t="e">
        <f t="shared" si="1"/>
        <v>#REF!</v>
      </c>
    </row>
    <row r="94" spans="1:85" x14ac:dyDescent="0.45">
      <c r="A94" s="4" t="s">
        <v>1170</v>
      </c>
      <c r="B94" s="4" t="s">
        <v>1171</v>
      </c>
      <c r="C94" s="24" t="e">
        <f>SUMIFS(#REF!,#REF!,$B94,#REF!,C$1)</f>
        <v>#REF!</v>
      </c>
      <c r="D94" s="24" t="e">
        <f>SUMIFS(#REF!,#REF!,$B94,#REF!,D$1)</f>
        <v>#REF!</v>
      </c>
      <c r="E94" s="24" t="e">
        <f>SUMIFS(#REF!,#REF!,$B94,#REF!,E$1)</f>
        <v>#REF!</v>
      </c>
      <c r="F94" s="24" t="e">
        <f>SUMIFS(#REF!,#REF!,$B94,#REF!,F$1)</f>
        <v>#REF!</v>
      </c>
      <c r="G94" s="24" t="e">
        <f>SUMIFS(#REF!,#REF!,$B94,#REF!,G$1)</f>
        <v>#REF!</v>
      </c>
      <c r="H94" s="24" t="e">
        <f>SUMIFS(#REF!,#REF!,$B94,#REF!,H$1)</f>
        <v>#REF!</v>
      </c>
      <c r="I94" s="24" t="e">
        <f>SUMIFS(#REF!,#REF!,$B94,#REF!,I$1)</f>
        <v>#REF!</v>
      </c>
      <c r="J94" s="24" t="e">
        <f>SUMIFS(#REF!,#REF!,$B94,#REF!,J$1)</f>
        <v>#REF!</v>
      </c>
      <c r="K94" s="24" t="e">
        <f>SUMIFS(#REF!,#REF!,$B94,#REF!,K$1)</f>
        <v>#REF!</v>
      </c>
      <c r="L94" s="24" t="e">
        <f>SUMIFS(#REF!,#REF!,$B94,#REF!,L$1)</f>
        <v>#REF!</v>
      </c>
      <c r="M94" s="24" t="e">
        <f>SUMIFS(#REF!,#REF!,$B94,#REF!,M$1)</f>
        <v>#REF!</v>
      </c>
      <c r="N94" s="24" t="e">
        <f>SUMIFS(#REF!,#REF!,$B94,#REF!,N$1)</f>
        <v>#REF!</v>
      </c>
      <c r="O94" s="24" t="e">
        <f>SUMIFS(#REF!,#REF!,$B94,#REF!,O$1)</f>
        <v>#REF!</v>
      </c>
      <c r="P94" s="24" t="e">
        <f>SUMIFS(#REF!,#REF!,$B94,#REF!,P$1)</f>
        <v>#REF!</v>
      </c>
      <c r="Q94" s="24" t="e">
        <f>SUMIFS(#REF!,#REF!,$B94,#REF!,Q$1)</f>
        <v>#REF!</v>
      </c>
      <c r="R94" s="24" t="e">
        <f>SUMIFS(#REF!,#REF!,$B94,#REF!,R$1)</f>
        <v>#REF!</v>
      </c>
      <c r="S94" s="24" t="e">
        <f>SUMIFS(#REF!,#REF!,$B94,#REF!,S$1)</f>
        <v>#REF!</v>
      </c>
      <c r="T94" s="24" t="e">
        <f>SUMIFS(#REF!,#REF!,$B94,#REF!,T$1)</f>
        <v>#REF!</v>
      </c>
      <c r="U94" s="24" t="e">
        <f>SUMIFS(#REF!,#REF!,$B94,#REF!,U$1)</f>
        <v>#REF!</v>
      </c>
      <c r="V94" s="24" t="e">
        <f>SUMIFS(#REF!,#REF!,$B94,#REF!,V$1)</f>
        <v>#REF!</v>
      </c>
      <c r="W94" s="24" t="e">
        <f>SUMIFS(#REF!,#REF!,$B94,#REF!,W$1)</f>
        <v>#REF!</v>
      </c>
      <c r="X94" s="24" t="e">
        <f>SUMIFS(#REF!,#REF!,$B94,#REF!,X$1)</f>
        <v>#REF!</v>
      </c>
      <c r="Y94" s="24" t="e">
        <f>SUMIFS(#REF!,#REF!,$B94,#REF!,Y$1)</f>
        <v>#REF!</v>
      </c>
      <c r="Z94" s="24" t="e">
        <f>SUMIFS(#REF!,#REF!,$B94,#REF!,Z$1)</f>
        <v>#REF!</v>
      </c>
      <c r="AA94" s="24" t="e">
        <f>SUMIFS(#REF!,#REF!,$B94,#REF!,AA$1)</f>
        <v>#REF!</v>
      </c>
      <c r="AB94" s="24" t="e">
        <f>SUMIFS(#REF!,#REF!,$B94,#REF!,AB$1)</f>
        <v>#REF!</v>
      </c>
      <c r="AC94" s="24" t="e">
        <f>SUMIFS(#REF!,#REF!,$B94,#REF!,AC$1)</f>
        <v>#REF!</v>
      </c>
      <c r="AD94" s="24" t="e">
        <f>SUMIFS(#REF!,#REF!,$B94,#REF!,AD$1)</f>
        <v>#REF!</v>
      </c>
      <c r="AE94" s="24" t="e">
        <f>SUMIFS(#REF!,#REF!,$B94,#REF!,AE$1)</f>
        <v>#REF!</v>
      </c>
      <c r="AF94" s="24" t="e">
        <f>SUMIFS(#REF!,#REF!,$B94,#REF!,AF$1)</f>
        <v>#REF!</v>
      </c>
      <c r="AG94" s="24" t="e">
        <f>SUMIFS(#REF!,#REF!,$B94,#REF!,AG$1)</f>
        <v>#REF!</v>
      </c>
      <c r="AH94" s="24" t="e">
        <f>SUMIFS(#REF!,#REF!,$B94,#REF!,AH$1)</f>
        <v>#REF!</v>
      </c>
      <c r="AI94" s="24" t="e">
        <f>SUMIFS(#REF!,#REF!,$B94,#REF!,AI$1)</f>
        <v>#REF!</v>
      </c>
      <c r="AJ94" s="24" t="e">
        <f>SUMIFS(#REF!,#REF!,$B94,#REF!,AJ$1)</f>
        <v>#REF!</v>
      </c>
      <c r="AK94" s="24" t="e">
        <f>SUMIFS(#REF!,#REF!,$B94,#REF!,AK$1)</f>
        <v>#REF!</v>
      </c>
      <c r="AL94" s="24" t="e">
        <f>SUMIFS(#REF!,#REF!,$B94,#REF!,AL$1)</f>
        <v>#REF!</v>
      </c>
      <c r="AM94" s="24" t="e">
        <f>SUMIFS(#REF!,#REF!,$B94,#REF!,AM$1)</f>
        <v>#REF!</v>
      </c>
      <c r="AN94" s="24" t="e">
        <f>SUMIFS(#REF!,#REF!,$B94,#REF!,AN$1)</f>
        <v>#REF!</v>
      </c>
      <c r="AO94" s="24" t="e">
        <f>SUMIFS(#REF!,#REF!,$B94,#REF!,AO$1)</f>
        <v>#REF!</v>
      </c>
      <c r="AP94" s="24" t="e">
        <f>SUMIFS(#REF!,#REF!,$B94,#REF!,AP$1)</f>
        <v>#REF!</v>
      </c>
      <c r="AQ94" s="24" t="e">
        <f>SUMIFS(#REF!,#REF!,$B94,#REF!,AQ$1)</f>
        <v>#REF!</v>
      </c>
      <c r="AR94" s="24" t="e">
        <f>SUMIFS(#REF!,#REF!,$B94,#REF!,AR$1)</f>
        <v>#REF!</v>
      </c>
      <c r="AS94" s="24" t="e">
        <f>SUMIFS(#REF!,#REF!,$B94,#REF!,AS$1)</f>
        <v>#REF!</v>
      </c>
      <c r="AT94" s="24" t="e">
        <f>SUMIFS(#REF!,#REF!,$B94,#REF!,AT$1)</f>
        <v>#REF!</v>
      </c>
      <c r="AU94" s="24" t="e">
        <f>SUMIFS(#REF!,#REF!,$B94,#REF!,AU$1)</f>
        <v>#REF!</v>
      </c>
      <c r="AV94" s="24" t="e">
        <f>SUMIFS(#REF!,#REF!,$B94,#REF!,AV$1)</f>
        <v>#REF!</v>
      </c>
      <c r="AW94" s="24" t="e">
        <f>SUMIFS(#REF!,#REF!,$B94,#REF!,AW$1)</f>
        <v>#REF!</v>
      </c>
      <c r="AX94" s="24" t="e">
        <f>SUMIFS(#REF!,#REF!,$B94,#REF!,AX$1)</f>
        <v>#REF!</v>
      </c>
      <c r="AY94" s="24" t="e">
        <f>SUMIFS(#REF!,#REF!,$B94,#REF!,AY$1)</f>
        <v>#REF!</v>
      </c>
      <c r="AZ94" s="24" t="e">
        <f>SUMIFS(#REF!,#REF!,$B94,#REF!,AZ$1)</f>
        <v>#REF!</v>
      </c>
      <c r="BA94" s="24" t="e">
        <f>SUMIFS(#REF!,#REF!,$B94,#REF!,BA$1)</f>
        <v>#REF!</v>
      </c>
      <c r="BB94" s="24" t="e">
        <f>SUMIFS(#REF!,#REF!,$B94,#REF!,BB$1)</f>
        <v>#REF!</v>
      </c>
      <c r="BC94" s="24" t="e">
        <f>SUMIFS(#REF!,#REF!,$B94,#REF!,BC$1)</f>
        <v>#REF!</v>
      </c>
      <c r="BD94" s="24" t="e">
        <f>SUMIFS(#REF!,#REF!,$B94,#REF!,BD$1)</f>
        <v>#REF!</v>
      </c>
      <c r="BE94" s="24" t="e">
        <f>SUMIFS(#REF!,#REF!,$B94,#REF!,BE$1)</f>
        <v>#REF!</v>
      </c>
      <c r="BF94" s="24" t="e">
        <f>SUMIFS(#REF!,#REF!,$B94,#REF!,BF$1)</f>
        <v>#REF!</v>
      </c>
      <c r="BG94" s="24" t="e">
        <f>SUMIFS(#REF!,#REF!,$B94,#REF!,BG$1)</f>
        <v>#REF!</v>
      </c>
      <c r="BH94" s="24" t="e">
        <f>SUMIFS(#REF!,#REF!,$B94,#REF!,BH$1)</f>
        <v>#REF!</v>
      </c>
      <c r="BI94" s="24" t="e">
        <f>SUMIFS(#REF!,#REF!,$B94,#REF!,BI$1)</f>
        <v>#REF!</v>
      </c>
      <c r="BJ94" s="24" t="e">
        <f>SUMIFS(#REF!,#REF!,$B94,#REF!,BJ$1)</f>
        <v>#REF!</v>
      </c>
      <c r="BK94" s="24" t="e">
        <f>SUMIFS(#REF!,#REF!,$B94,#REF!,BK$1)</f>
        <v>#REF!</v>
      </c>
      <c r="BL94" s="24" t="e">
        <f>SUMIFS(#REF!,#REF!,$B94,#REF!,BL$1)</f>
        <v>#REF!</v>
      </c>
      <c r="BM94" s="24" t="e">
        <f>SUMIFS(#REF!,#REF!,$B94,#REF!,BM$1)</f>
        <v>#REF!</v>
      </c>
      <c r="BN94" s="24" t="e">
        <f>SUMIFS(#REF!,#REF!,$B94,#REF!,BN$1)</f>
        <v>#REF!</v>
      </c>
      <c r="BO94" s="24" t="e">
        <f>SUMIFS(#REF!,#REF!,$B94,#REF!,BO$1)</f>
        <v>#REF!</v>
      </c>
      <c r="BP94" s="24" t="e">
        <f>SUMIFS(#REF!,#REF!,$B94,#REF!,BP$1)</f>
        <v>#REF!</v>
      </c>
      <c r="BQ94" s="24" t="e">
        <f>SUMIFS(#REF!,#REF!,$B94,#REF!,BQ$1)</f>
        <v>#REF!</v>
      </c>
      <c r="BR94" s="24" t="e">
        <f>SUMIFS(#REF!,#REF!,$B94,#REF!,BR$1)</f>
        <v>#REF!</v>
      </c>
      <c r="BS94" s="24" t="e">
        <f>SUMIFS(#REF!,#REF!,$B94,#REF!,BS$1)</f>
        <v>#REF!</v>
      </c>
      <c r="BT94" s="24" t="e">
        <f>SUMIFS(#REF!,#REF!,$B94,#REF!,BT$1)</f>
        <v>#REF!</v>
      </c>
      <c r="BU94" s="24" t="e">
        <f>SUMIFS(#REF!,#REF!,$B94,#REF!,BU$1)</f>
        <v>#REF!</v>
      </c>
      <c r="BV94" s="24" t="e">
        <f>SUMIFS(#REF!,#REF!,$B94,#REF!,BV$1)</f>
        <v>#REF!</v>
      </c>
      <c r="BW94" s="24" t="e">
        <f>SUMIFS(#REF!,#REF!,$B94,#REF!,BW$1)</f>
        <v>#REF!</v>
      </c>
      <c r="BX94" s="24" t="e">
        <f>SUMIFS(#REF!,#REF!,$B94,#REF!,BX$1)</f>
        <v>#REF!</v>
      </c>
      <c r="BY94" s="24" t="e">
        <f>SUMIFS(#REF!,#REF!,$B94,#REF!,BY$1)</f>
        <v>#REF!</v>
      </c>
      <c r="BZ94" s="24" t="e">
        <f>SUMIFS(#REF!,#REF!,$B94,#REF!,BZ$1)</f>
        <v>#REF!</v>
      </c>
      <c r="CA94" s="24" t="e">
        <f>SUMIFS(#REF!,#REF!,$B94,#REF!,CA$1)</f>
        <v>#REF!</v>
      </c>
      <c r="CB94" s="24" t="e">
        <f>SUMIFS(#REF!,#REF!,$B94,#REF!,CB$1)</f>
        <v>#REF!</v>
      </c>
      <c r="CC94" s="24" t="e">
        <f>SUMIFS(#REF!,#REF!,$B94,#REF!,CC$1)</f>
        <v>#REF!</v>
      </c>
      <c r="CD94" s="24" t="e">
        <f>SUMIFS(#REF!,#REF!,$B94,#REF!,CD$1)</f>
        <v>#REF!</v>
      </c>
      <c r="CE94" s="24" t="e">
        <f>SUMIFS(#REF!,#REF!,$B94,#REF!,CE$1)</f>
        <v>#REF!</v>
      </c>
      <c r="CF94" s="24" t="e">
        <f>SUMIFS(#REF!,#REF!,$B94,#REF!,CF$1)</f>
        <v>#REF!</v>
      </c>
      <c r="CG94" s="19" t="e">
        <f t="shared" si="1"/>
        <v>#REF!</v>
      </c>
    </row>
    <row r="95" spans="1:85" x14ac:dyDescent="0.45">
      <c r="A95" s="4" t="s">
        <v>1172</v>
      </c>
      <c r="B95" s="4" t="s">
        <v>1173</v>
      </c>
      <c r="C95" s="24" t="e">
        <f>SUMIFS(#REF!,#REF!,$B95,#REF!,C$1)</f>
        <v>#REF!</v>
      </c>
      <c r="D95" s="24" t="e">
        <f>SUMIFS(#REF!,#REF!,$B95,#REF!,D$1)</f>
        <v>#REF!</v>
      </c>
      <c r="E95" s="24" t="e">
        <f>SUMIFS(#REF!,#REF!,$B95,#REF!,E$1)</f>
        <v>#REF!</v>
      </c>
      <c r="F95" s="24" t="e">
        <f>SUMIFS(#REF!,#REF!,$B95,#REF!,F$1)</f>
        <v>#REF!</v>
      </c>
      <c r="G95" s="24" t="e">
        <f>SUMIFS(#REF!,#REF!,$B95,#REF!,G$1)</f>
        <v>#REF!</v>
      </c>
      <c r="H95" s="24" t="e">
        <f>SUMIFS(#REF!,#REF!,$B95,#REF!,H$1)</f>
        <v>#REF!</v>
      </c>
      <c r="I95" s="24" t="e">
        <f>SUMIFS(#REF!,#REF!,$B95,#REF!,I$1)</f>
        <v>#REF!</v>
      </c>
      <c r="J95" s="24" t="e">
        <f>SUMIFS(#REF!,#REF!,$B95,#REF!,J$1)</f>
        <v>#REF!</v>
      </c>
      <c r="K95" s="24" t="e">
        <f>SUMIFS(#REF!,#REF!,$B95,#REF!,K$1)</f>
        <v>#REF!</v>
      </c>
      <c r="L95" s="24" t="e">
        <f>SUMIFS(#REF!,#REF!,$B95,#REF!,L$1)</f>
        <v>#REF!</v>
      </c>
      <c r="M95" s="24" t="e">
        <f>SUMIFS(#REF!,#REF!,$B95,#REF!,M$1)</f>
        <v>#REF!</v>
      </c>
      <c r="N95" s="24" t="e">
        <f>SUMIFS(#REF!,#REF!,$B95,#REF!,N$1)</f>
        <v>#REF!</v>
      </c>
      <c r="O95" s="24" t="e">
        <f>SUMIFS(#REF!,#REF!,$B95,#REF!,O$1)</f>
        <v>#REF!</v>
      </c>
      <c r="P95" s="24" t="e">
        <f>SUMIFS(#REF!,#REF!,$B95,#REF!,P$1)</f>
        <v>#REF!</v>
      </c>
      <c r="Q95" s="24" t="e">
        <f>SUMIFS(#REF!,#REF!,$B95,#REF!,Q$1)</f>
        <v>#REF!</v>
      </c>
      <c r="R95" s="24" t="e">
        <f>SUMIFS(#REF!,#REF!,$B95,#REF!,R$1)</f>
        <v>#REF!</v>
      </c>
      <c r="S95" s="24" t="e">
        <f>SUMIFS(#REF!,#REF!,$B95,#REF!,S$1)</f>
        <v>#REF!</v>
      </c>
      <c r="T95" s="24" t="e">
        <f>SUMIFS(#REF!,#REF!,$B95,#REF!,T$1)</f>
        <v>#REF!</v>
      </c>
      <c r="U95" s="24" t="e">
        <f>SUMIFS(#REF!,#REF!,$B95,#REF!,U$1)</f>
        <v>#REF!</v>
      </c>
      <c r="V95" s="24" t="e">
        <f>SUMIFS(#REF!,#REF!,$B95,#REF!,V$1)</f>
        <v>#REF!</v>
      </c>
      <c r="W95" s="24" t="e">
        <f>SUMIFS(#REF!,#REF!,$B95,#REF!,W$1)</f>
        <v>#REF!</v>
      </c>
      <c r="X95" s="24" t="e">
        <f>SUMIFS(#REF!,#REF!,$B95,#REF!,X$1)</f>
        <v>#REF!</v>
      </c>
      <c r="Y95" s="24" t="e">
        <f>SUMIFS(#REF!,#REF!,$B95,#REF!,Y$1)</f>
        <v>#REF!</v>
      </c>
      <c r="Z95" s="24" t="e">
        <f>SUMIFS(#REF!,#REF!,$B95,#REF!,Z$1)</f>
        <v>#REF!</v>
      </c>
      <c r="AA95" s="24" t="e">
        <f>SUMIFS(#REF!,#REF!,$B95,#REF!,AA$1)</f>
        <v>#REF!</v>
      </c>
      <c r="AB95" s="24" t="e">
        <f>SUMIFS(#REF!,#REF!,$B95,#REF!,AB$1)</f>
        <v>#REF!</v>
      </c>
      <c r="AC95" s="24" t="e">
        <f>SUMIFS(#REF!,#REF!,$B95,#REF!,AC$1)</f>
        <v>#REF!</v>
      </c>
      <c r="AD95" s="24" t="e">
        <f>SUMIFS(#REF!,#REF!,$B95,#REF!,AD$1)</f>
        <v>#REF!</v>
      </c>
      <c r="AE95" s="24" t="e">
        <f>SUMIFS(#REF!,#REF!,$B95,#REF!,AE$1)</f>
        <v>#REF!</v>
      </c>
      <c r="AF95" s="24" t="e">
        <f>SUMIFS(#REF!,#REF!,$B95,#REF!,AF$1)</f>
        <v>#REF!</v>
      </c>
      <c r="AG95" s="24" t="e">
        <f>SUMIFS(#REF!,#REF!,$B95,#REF!,AG$1)</f>
        <v>#REF!</v>
      </c>
      <c r="AH95" s="24" t="e">
        <f>SUMIFS(#REF!,#REF!,$B95,#REF!,AH$1)</f>
        <v>#REF!</v>
      </c>
      <c r="AI95" s="24" t="e">
        <f>SUMIFS(#REF!,#REF!,$B95,#REF!,AI$1)</f>
        <v>#REF!</v>
      </c>
      <c r="AJ95" s="24" t="e">
        <f>SUMIFS(#REF!,#REF!,$B95,#REF!,AJ$1)</f>
        <v>#REF!</v>
      </c>
      <c r="AK95" s="24" t="e">
        <f>SUMIFS(#REF!,#REF!,$B95,#REF!,AK$1)</f>
        <v>#REF!</v>
      </c>
      <c r="AL95" s="24" t="e">
        <f>SUMIFS(#REF!,#REF!,$B95,#REF!,AL$1)</f>
        <v>#REF!</v>
      </c>
      <c r="AM95" s="24" t="e">
        <f>SUMIFS(#REF!,#REF!,$B95,#REF!,AM$1)</f>
        <v>#REF!</v>
      </c>
      <c r="AN95" s="24" t="e">
        <f>SUMIFS(#REF!,#REF!,$B95,#REF!,AN$1)</f>
        <v>#REF!</v>
      </c>
      <c r="AO95" s="24" t="e">
        <f>SUMIFS(#REF!,#REF!,$B95,#REF!,AO$1)</f>
        <v>#REF!</v>
      </c>
      <c r="AP95" s="24" t="e">
        <f>SUMIFS(#REF!,#REF!,$B95,#REF!,AP$1)</f>
        <v>#REF!</v>
      </c>
      <c r="AQ95" s="24" t="e">
        <f>SUMIFS(#REF!,#REF!,$B95,#REF!,AQ$1)</f>
        <v>#REF!</v>
      </c>
      <c r="AR95" s="24" t="e">
        <f>SUMIFS(#REF!,#REF!,$B95,#REF!,AR$1)</f>
        <v>#REF!</v>
      </c>
      <c r="AS95" s="24" t="e">
        <f>SUMIFS(#REF!,#REF!,$B95,#REF!,AS$1)</f>
        <v>#REF!</v>
      </c>
      <c r="AT95" s="24" t="e">
        <f>SUMIFS(#REF!,#REF!,$B95,#REF!,AT$1)</f>
        <v>#REF!</v>
      </c>
      <c r="AU95" s="24" t="e">
        <f>SUMIFS(#REF!,#REF!,$B95,#REF!,AU$1)</f>
        <v>#REF!</v>
      </c>
      <c r="AV95" s="24" t="e">
        <f>SUMIFS(#REF!,#REF!,$B95,#REF!,AV$1)</f>
        <v>#REF!</v>
      </c>
      <c r="AW95" s="24" t="e">
        <f>SUMIFS(#REF!,#REF!,$B95,#REF!,AW$1)</f>
        <v>#REF!</v>
      </c>
      <c r="AX95" s="24" t="e">
        <f>SUMIFS(#REF!,#REF!,$B95,#REF!,AX$1)</f>
        <v>#REF!</v>
      </c>
      <c r="AY95" s="24" t="e">
        <f>SUMIFS(#REF!,#REF!,$B95,#REF!,AY$1)</f>
        <v>#REF!</v>
      </c>
      <c r="AZ95" s="24" t="e">
        <f>SUMIFS(#REF!,#REF!,$B95,#REF!,AZ$1)</f>
        <v>#REF!</v>
      </c>
      <c r="BA95" s="24" t="e">
        <f>SUMIFS(#REF!,#REF!,$B95,#REF!,BA$1)</f>
        <v>#REF!</v>
      </c>
      <c r="BB95" s="24" t="e">
        <f>SUMIFS(#REF!,#REF!,$B95,#REF!,BB$1)</f>
        <v>#REF!</v>
      </c>
      <c r="BC95" s="24" t="e">
        <f>SUMIFS(#REF!,#REF!,$B95,#REF!,BC$1)</f>
        <v>#REF!</v>
      </c>
      <c r="BD95" s="24" t="e">
        <f>SUMIFS(#REF!,#REF!,$B95,#REF!,BD$1)</f>
        <v>#REF!</v>
      </c>
      <c r="BE95" s="24" t="e">
        <f>SUMIFS(#REF!,#REF!,$B95,#REF!,BE$1)</f>
        <v>#REF!</v>
      </c>
      <c r="BF95" s="24" t="e">
        <f>SUMIFS(#REF!,#REF!,$B95,#REF!,BF$1)</f>
        <v>#REF!</v>
      </c>
      <c r="BG95" s="24" t="e">
        <f>SUMIFS(#REF!,#REF!,$B95,#REF!,BG$1)</f>
        <v>#REF!</v>
      </c>
      <c r="BH95" s="24" t="e">
        <f>SUMIFS(#REF!,#REF!,$B95,#REF!,BH$1)</f>
        <v>#REF!</v>
      </c>
      <c r="BI95" s="24" t="e">
        <f>SUMIFS(#REF!,#REF!,$B95,#REF!,BI$1)</f>
        <v>#REF!</v>
      </c>
      <c r="BJ95" s="24" t="e">
        <f>SUMIFS(#REF!,#REF!,$B95,#REF!,BJ$1)</f>
        <v>#REF!</v>
      </c>
      <c r="BK95" s="24" t="e">
        <f>SUMIFS(#REF!,#REF!,$B95,#REF!,BK$1)</f>
        <v>#REF!</v>
      </c>
      <c r="BL95" s="24" t="e">
        <f>SUMIFS(#REF!,#REF!,$B95,#REF!,BL$1)</f>
        <v>#REF!</v>
      </c>
      <c r="BM95" s="24" t="e">
        <f>SUMIFS(#REF!,#REF!,$B95,#REF!,BM$1)</f>
        <v>#REF!</v>
      </c>
      <c r="BN95" s="24" t="e">
        <f>SUMIFS(#REF!,#REF!,$B95,#REF!,BN$1)</f>
        <v>#REF!</v>
      </c>
      <c r="BO95" s="24" t="e">
        <f>SUMIFS(#REF!,#REF!,$B95,#REF!,BO$1)</f>
        <v>#REF!</v>
      </c>
      <c r="BP95" s="24" t="e">
        <f>SUMIFS(#REF!,#REF!,$B95,#REF!,BP$1)</f>
        <v>#REF!</v>
      </c>
      <c r="BQ95" s="24" t="e">
        <f>SUMIFS(#REF!,#REF!,$B95,#REF!,BQ$1)</f>
        <v>#REF!</v>
      </c>
      <c r="BR95" s="24" t="e">
        <f>SUMIFS(#REF!,#REF!,$B95,#REF!,BR$1)</f>
        <v>#REF!</v>
      </c>
      <c r="BS95" s="24" t="e">
        <f>SUMIFS(#REF!,#REF!,$B95,#REF!,BS$1)</f>
        <v>#REF!</v>
      </c>
      <c r="BT95" s="24" t="e">
        <f>SUMIFS(#REF!,#REF!,$B95,#REF!,BT$1)</f>
        <v>#REF!</v>
      </c>
      <c r="BU95" s="24" t="e">
        <f>SUMIFS(#REF!,#REF!,$B95,#REF!,BU$1)</f>
        <v>#REF!</v>
      </c>
      <c r="BV95" s="24" t="e">
        <f>SUMIFS(#REF!,#REF!,$B95,#REF!,BV$1)</f>
        <v>#REF!</v>
      </c>
      <c r="BW95" s="24" t="e">
        <f>SUMIFS(#REF!,#REF!,$B95,#REF!,BW$1)</f>
        <v>#REF!</v>
      </c>
      <c r="BX95" s="24" t="e">
        <f>SUMIFS(#REF!,#REF!,$B95,#REF!,BX$1)</f>
        <v>#REF!</v>
      </c>
      <c r="BY95" s="24" t="e">
        <f>SUMIFS(#REF!,#REF!,$B95,#REF!,BY$1)</f>
        <v>#REF!</v>
      </c>
      <c r="BZ95" s="24" t="e">
        <f>SUMIFS(#REF!,#REF!,$B95,#REF!,BZ$1)</f>
        <v>#REF!</v>
      </c>
      <c r="CA95" s="24" t="e">
        <f>SUMIFS(#REF!,#REF!,$B95,#REF!,CA$1)</f>
        <v>#REF!</v>
      </c>
      <c r="CB95" s="24" t="e">
        <f>SUMIFS(#REF!,#REF!,$B95,#REF!,CB$1)</f>
        <v>#REF!</v>
      </c>
      <c r="CC95" s="24" t="e">
        <f>SUMIFS(#REF!,#REF!,$B95,#REF!,CC$1)</f>
        <v>#REF!</v>
      </c>
      <c r="CD95" s="24" t="e">
        <f>SUMIFS(#REF!,#REF!,$B95,#REF!,CD$1)</f>
        <v>#REF!</v>
      </c>
      <c r="CE95" s="24" t="e">
        <f>SUMIFS(#REF!,#REF!,$B95,#REF!,CE$1)</f>
        <v>#REF!</v>
      </c>
      <c r="CF95" s="24" t="e">
        <f>SUMIFS(#REF!,#REF!,$B95,#REF!,CF$1)</f>
        <v>#REF!</v>
      </c>
      <c r="CG95" s="19" t="e">
        <f t="shared" si="1"/>
        <v>#REF!</v>
      </c>
    </row>
    <row r="96" spans="1:85" x14ac:dyDescent="0.45">
      <c r="A96" s="4" t="s">
        <v>1174</v>
      </c>
      <c r="B96" s="4" t="s">
        <v>1175</v>
      </c>
      <c r="C96" s="24" t="e">
        <f>SUMIFS(#REF!,#REF!,$B96,#REF!,C$1)</f>
        <v>#REF!</v>
      </c>
      <c r="D96" s="24" t="e">
        <f>SUMIFS(#REF!,#REF!,$B96,#REF!,D$1)</f>
        <v>#REF!</v>
      </c>
      <c r="E96" s="24" t="e">
        <f>SUMIFS(#REF!,#REF!,$B96,#REF!,E$1)</f>
        <v>#REF!</v>
      </c>
      <c r="F96" s="24" t="e">
        <f>SUMIFS(#REF!,#REF!,$B96,#REF!,F$1)</f>
        <v>#REF!</v>
      </c>
      <c r="G96" s="24" t="e">
        <f>SUMIFS(#REF!,#REF!,$B96,#REF!,G$1)</f>
        <v>#REF!</v>
      </c>
      <c r="H96" s="24" t="e">
        <f>SUMIFS(#REF!,#REF!,$B96,#REF!,H$1)</f>
        <v>#REF!</v>
      </c>
      <c r="I96" s="24" t="e">
        <f>SUMIFS(#REF!,#REF!,$B96,#REF!,I$1)</f>
        <v>#REF!</v>
      </c>
      <c r="J96" s="24" t="e">
        <f>SUMIFS(#REF!,#REF!,$B96,#REF!,J$1)</f>
        <v>#REF!</v>
      </c>
      <c r="K96" s="24" t="e">
        <f>SUMIFS(#REF!,#REF!,$B96,#REF!,K$1)</f>
        <v>#REF!</v>
      </c>
      <c r="L96" s="24" t="e">
        <f>SUMIFS(#REF!,#REF!,$B96,#REF!,L$1)</f>
        <v>#REF!</v>
      </c>
      <c r="M96" s="24" t="e">
        <f>SUMIFS(#REF!,#REF!,$B96,#REF!,M$1)</f>
        <v>#REF!</v>
      </c>
      <c r="N96" s="24" t="e">
        <f>SUMIFS(#REF!,#REF!,$B96,#REF!,N$1)</f>
        <v>#REF!</v>
      </c>
      <c r="O96" s="24" t="e">
        <f>SUMIFS(#REF!,#REF!,$B96,#REF!,O$1)</f>
        <v>#REF!</v>
      </c>
      <c r="P96" s="24" t="e">
        <f>SUMIFS(#REF!,#REF!,$B96,#REF!,P$1)</f>
        <v>#REF!</v>
      </c>
      <c r="Q96" s="24" t="e">
        <f>SUMIFS(#REF!,#REF!,$B96,#REF!,Q$1)</f>
        <v>#REF!</v>
      </c>
      <c r="R96" s="24" t="e">
        <f>SUMIFS(#REF!,#REF!,$B96,#REF!,R$1)</f>
        <v>#REF!</v>
      </c>
      <c r="S96" s="24" t="e">
        <f>SUMIFS(#REF!,#REF!,$B96,#REF!,S$1)</f>
        <v>#REF!</v>
      </c>
      <c r="T96" s="24" t="e">
        <f>SUMIFS(#REF!,#REF!,$B96,#REF!,T$1)</f>
        <v>#REF!</v>
      </c>
      <c r="U96" s="24" t="e">
        <f>SUMIFS(#REF!,#REF!,$B96,#REF!,U$1)</f>
        <v>#REF!</v>
      </c>
      <c r="V96" s="24" t="e">
        <f>SUMIFS(#REF!,#REF!,$B96,#REF!,V$1)</f>
        <v>#REF!</v>
      </c>
      <c r="W96" s="24" t="e">
        <f>SUMIFS(#REF!,#REF!,$B96,#REF!,W$1)</f>
        <v>#REF!</v>
      </c>
      <c r="X96" s="24" t="e">
        <f>SUMIFS(#REF!,#REF!,$B96,#REF!,X$1)</f>
        <v>#REF!</v>
      </c>
      <c r="Y96" s="24" t="e">
        <f>SUMIFS(#REF!,#REF!,$B96,#REF!,Y$1)</f>
        <v>#REF!</v>
      </c>
      <c r="Z96" s="24" t="e">
        <f>SUMIFS(#REF!,#REF!,$B96,#REF!,Z$1)</f>
        <v>#REF!</v>
      </c>
      <c r="AA96" s="24" t="e">
        <f>SUMIFS(#REF!,#REF!,$B96,#REF!,AA$1)</f>
        <v>#REF!</v>
      </c>
      <c r="AB96" s="24" t="e">
        <f>SUMIFS(#REF!,#REF!,$B96,#REF!,AB$1)</f>
        <v>#REF!</v>
      </c>
      <c r="AC96" s="24" t="e">
        <f>SUMIFS(#REF!,#REF!,$B96,#REF!,AC$1)</f>
        <v>#REF!</v>
      </c>
      <c r="AD96" s="24" t="e">
        <f>SUMIFS(#REF!,#REF!,$B96,#REF!,AD$1)</f>
        <v>#REF!</v>
      </c>
      <c r="AE96" s="24" t="e">
        <f>SUMIFS(#REF!,#REF!,$B96,#REF!,AE$1)</f>
        <v>#REF!</v>
      </c>
      <c r="AF96" s="24" t="e">
        <f>SUMIFS(#REF!,#REF!,$B96,#REF!,AF$1)</f>
        <v>#REF!</v>
      </c>
      <c r="AG96" s="24" t="e">
        <f>SUMIFS(#REF!,#REF!,$B96,#REF!,AG$1)</f>
        <v>#REF!</v>
      </c>
      <c r="AH96" s="24" t="e">
        <f>SUMIFS(#REF!,#REF!,$B96,#REF!,AH$1)</f>
        <v>#REF!</v>
      </c>
      <c r="AI96" s="24" t="e">
        <f>SUMIFS(#REF!,#REF!,$B96,#REF!,AI$1)</f>
        <v>#REF!</v>
      </c>
      <c r="AJ96" s="24" t="e">
        <f>SUMIFS(#REF!,#REF!,$B96,#REF!,AJ$1)</f>
        <v>#REF!</v>
      </c>
      <c r="AK96" s="24" t="e">
        <f>SUMIFS(#REF!,#REF!,$B96,#REF!,AK$1)</f>
        <v>#REF!</v>
      </c>
      <c r="AL96" s="24" t="e">
        <f>SUMIFS(#REF!,#REF!,$B96,#REF!,AL$1)</f>
        <v>#REF!</v>
      </c>
      <c r="AM96" s="24" t="e">
        <f>SUMIFS(#REF!,#REF!,$B96,#REF!,AM$1)</f>
        <v>#REF!</v>
      </c>
      <c r="AN96" s="24" t="e">
        <f>SUMIFS(#REF!,#REF!,$B96,#REF!,AN$1)</f>
        <v>#REF!</v>
      </c>
      <c r="AO96" s="24" t="e">
        <f>SUMIFS(#REF!,#REF!,$B96,#REF!,AO$1)</f>
        <v>#REF!</v>
      </c>
      <c r="AP96" s="24" t="e">
        <f>SUMIFS(#REF!,#REF!,$B96,#REF!,AP$1)</f>
        <v>#REF!</v>
      </c>
      <c r="AQ96" s="24" t="e">
        <f>SUMIFS(#REF!,#REF!,$B96,#REF!,AQ$1)</f>
        <v>#REF!</v>
      </c>
      <c r="AR96" s="24" t="e">
        <f>SUMIFS(#REF!,#REF!,$B96,#REF!,AR$1)</f>
        <v>#REF!</v>
      </c>
      <c r="AS96" s="24" t="e">
        <f>SUMIFS(#REF!,#REF!,$B96,#REF!,AS$1)</f>
        <v>#REF!</v>
      </c>
      <c r="AT96" s="24" t="e">
        <f>SUMIFS(#REF!,#REF!,$B96,#REF!,AT$1)</f>
        <v>#REF!</v>
      </c>
      <c r="AU96" s="24" t="e">
        <f>SUMIFS(#REF!,#REF!,$B96,#REF!,AU$1)</f>
        <v>#REF!</v>
      </c>
      <c r="AV96" s="24" t="e">
        <f>SUMIFS(#REF!,#REF!,$B96,#REF!,AV$1)</f>
        <v>#REF!</v>
      </c>
      <c r="AW96" s="24" t="e">
        <f>SUMIFS(#REF!,#REF!,$B96,#REF!,AW$1)</f>
        <v>#REF!</v>
      </c>
      <c r="AX96" s="24" t="e">
        <f>SUMIFS(#REF!,#REF!,$B96,#REF!,AX$1)</f>
        <v>#REF!</v>
      </c>
      <c r="AY96" s="24" t="e">
        <f>SUMIFS(#REF!,#REF!,$B96,#REF!,AY$1)</f>
        <v>#REF!</v>
      </c>
      <c r="AZ96" s="24" t="e">
        <f>SUMIFS(#REF!,#REF!,$B96,#REF!,AZ$1)</f>
        <v>#REF!</v>
      </c>
      <c r="BA96" s="24" t="e">
        <f>SUMIFS(#REF!,#REF!,$B96,#REF!,BA$1)</f>
        <v>#REF!</v>
      </c>
      <c r="BB96" s="24" t="e">
        <f>SUMIFS(#REF!,#REF!,$B96,#REF!,BB$1)</f>
        <v>#REF!</v>
      </c>
      <c r="BC96" s="24" t="e">
        <f>SUMIFS(#REF!,#REF!,$B96,#REF!,BC$1)</f>
        <v>#REF!</v>
      </c>
      <c r="BD96" s="24" t="e">
        <f>SUMIFS(#REF!,#REF!,$B96,#REF!,BD$1)</f>
        <v>#REF!</v>
      </c>
      <c r="BE96" s="24" t="e">
        <f>SUMIFS(#REF!,#REF!,$B96,#REF!,BE$1)</f>
        <v>#REF!</v>
      </c>
      <c r="BF96" s="24" t="e">
        <f>SUMIFS(#REF!,#REF!,$B96,#REF!,BF$1)</f>
        <v>#REF!</v>
      </c>
      <c r="BG96" s="24" t="e">
        <f>SUMIFS(#REF!,#REF!,$B96,#REF!,BG$1)</f>
        <v>#REF!</v>
      </c>
      <c r="BH96" s="24" t="e">
        <f>SUMIFS(#REF!,#REF!,$B96,#REF!,BH$1)</f>
        <v>#REF!</v>
      </c>
      <c r="BI96" s="24" t="e">
        <f>SUMIFS(#REF!,#REF!,$B96,#REF!,BI$1)</f>
        <v>#REF!</v>
      </c>
      <c r="BJ96" s="24" t="e">
        <f>SUMIFS(#REF!,#REF!,$B96,#REF!,BJ$1)</f>
        <v>#REF!</v>
      </c>
      <c r="BK96" s="24" t="e">
        <f>SUMIFS(#REF!,#REF!,$B96,#REF!,BK$1)</f>
        <v>#REF!</v>
      </c>
      <c r="BL96" s="24" t="e">
        <f>SUMIFS(#REF!,#REF!,$B96,#REF!,BL$1)</f>
        <v>#REF!</v>
      </c>
      <c r="BM96" s="24" t="e">
        <f>SUMIFS(#REF!,#REF!,$B96,#REF!,BM$1)</f>
        <v>#REF!</v>
      </c>
      <c r="BN96" s="24" t="e">
        <f>SUMIFS(#REF!,#REF!,$B96,#REF!,BN$1)</f>
        <v>#REF!</v>
      </c>
      <c r="BO96" s="24" t="e">
        <f>SUMIFS(#REF!,#REF!,$B96,#REF!,BO$1)</f>
        <v>#REF!</v>
      </c>
      <c r="BP96" s="24" t="e">
        <f>SUMIFS(#REF!,#REF!,$B96,#REF!,BP$1)</f>
        <v>#REF!</v>
      </c>
      <c r="BQ96" s="24" t="e">
        <f>SUMIFS(#REF!,#REF!,$B96,#REF!,BQ$1)</f>
        <v>#REF!</v>
      </c>
      <c r="BR96" s="24" t="e">
        <f>SUMIFS(#REF!,#REF!,$B96,#REF!,BR$1)</f>
        <v>#REF!</v>
      </c>
      <c r="BS96" s="24" t="e">
        <f>SUMIFS(#REF!,#REF!,$B96,#REF!,BS$1)</f>
        <v>#REF!</v>
      </c>
      <c r="BT96" s="24" t="e">
        <f>SUMIFS(#REF!,#REF!,$B96,#REF!,BT$1)</f>
        <v>#REF!</v>
      </c>
      <c r="BU96" s="24" t="e">
        <f>SUMIFS(#REF!,#REF!,$B96,#REF!,BU$1)</f>
        <v>#REF!</v>
      </c>
      <c r="BV96" s="24" t="e">
        <f>SUMIFS(#REF!,#REF!,$B96,#REF!,BV$1)</f>
        <v>#REF!</v>
      </c>
      <c r="BW96" s="24" t="e">
        <f>SUMIFS(#REF!,#REF!,$B96,#REF!,BW$1)</f>
        <v>#REF!</v>
      </c>
      <c r="BX96" s="24" t="e">
        <f>SUMIFS(#REF!,#REF!,$B96,#REF!,BX$1)</f>
        <v>#REF!</v>
      </c>
      <c r="BY96" s="24" t="e">
        <f>SUMIFS(#REF!,#REF!,$B96,#REF!,BY$1)</f>
        <v>#REF!</v>
      </c>
      <c r="BZ96" s="24" t="e">
        <f>SUMIFS(#REF!,#REF!,$B96,#REF!,BZ$1)</f>
        <v>#REF!</v>
      </c>
      <c r="CA96" s="24" t="e">
        <f>SUMIFS(#REF!,#REF!,$B96,#REF!,CA$1)</f>
        <v>#REF!</v>
      </c>
      <c r="CB96" s="24" t="e">
        <f>SUMIFS(#REF!,#REF!,$B96,#REF!,CB$1)</f>
        <v>#REF!</v>
      </c>
      <c r="CC96" s="24" t="e">
        <f>SUMIFS(#REF!,#REF!,$B96,#REF!,CC$1)</f>
        <v>#REF!</v>
      </c>
      <c r="CD96" s="24" t="e">
        <f>SUMIFS(#REF!,#REF!,$B96,#REF!,CD$1)</f>
        <v>#REF!</v>
      </c>
      <c r="CE96" s="24" t="e">
        <f>SUMIFS(#REF!,#REF!,$B96,#REF!,CE$1)</f>
        <v>#REF!</v>
      </c>
      <c r="CF96" s="24" t="e">
        <f>SUMIFS(#REF!,#REF!,$B96,#REF!,CF$1)</f>
        <v>#REF!</v>
      </c>
      <c r="CG96" s="19" t="e">
        <f t="shared" si="1"/>
        <v>#REF!</v>
      </c>
    </row>
    <row r="97" spans="1:85" x14ac:dyDescent="0.45">
      <c r="A97" s="4" t="s">
        <v>1176</v>
      </c>
      <c r="B97" s="4" t="s">
        <v>1177</v>
      </c>
      <c r="C97" s="24" t="e">
        <f>SUMIFS(#REF!,#REF!,$B97,#REF!,C$1)</f>
        <v>#REF!</v>
      </c>
      <c r="D97" s="24" t="e">
        <f>SUMIFS(#REF!,#REF!,$B97,#REF!,D$1)</f>
        <v>#REF!</v>
      </c>
      <c r="E97" s="24" t="e">
        <f>SUMIFS(#REF!,#REF!,$B97,#REF!,E$1)</f>
        <v>#REF!</v>
      </c>
      <c r="F97" s="24" t="e">
        <f>SUMIFS(#REF!,#REF!,$B97,#REF!,F$1)</f>
        <v>#REF!</v>
      </c>
      <c r="G97" s="24" t="e">
        <f>SUMIFS(#REF!,#REF!,$B97,#REF!,G$1)</f>
        <v>#REF!</v>
      </c>
      <c r="H97" s="24" t="e">
        <f>SUMIFS(#REF!,#REF!,$B97,#REF!,H$1)</f>
        <v>#REF!</v>
      </c>
      <c r="I97" s="24" t="e">
        <f>SUMIFS(#REF!,#REF!,$B97,#REF!,I$1)</f>
        <v>#REF!</v>
      </c>
      <c r="J97" s="24" t="e">
        <f>SUMIFS(#REF!,#REF!,$B97,#REF!,J$1)</f>
        <v>#REF!</v>
      </c>
      <c r="K97" s="24" t="e">
        <f>SUMIFS(#REF!,#REF!,$B97,#REF!,K$1)</f>
        <v>#REF!</v>
      </c>
      <c r="L97" s="24" t="e">
        <f>SUMIFS(#REF!,#REF!,$B97,#REF!,L$1)</f>
        <v>#REF!</v>
      </c>
      <c r="M97" s="24" t="e">
        <f>SUMIFS(#REF!,#REF!,$B97,#REF!,M$1)</f>
        <v>#REF!</v>
      </c>
      <c r="N97" s="24" t="e">
        <f>SUMIFS(#REF!,#REF!,$B97,#REF!,N$1)</f>
        <v>#REF!</v>
      </c>
      <c r="O97" s="24" t="e">
        <f>SUMIFS(#REF!,#REF!,$B97,#REF!,O$1)</f>
        <v>#REF!</v>
      </c>
      <c r="P97" s="24" t="e">
        <f>SUMIFS(#REF!,#REF!,$B97,#REF!,P$1)</f>
        <v>#REF!</v>
      </c>
      <c r="Q97" s="24" t="e">
        <f>SUMIFS(#REF!,#REF!,$B97,#REF!,Q$1)</f>
        <v>#REF!</v>
      </c>
      <c r="R97" s="24" t="e">
        <f>SUMIFS(#REF!,#REF!,$B97,#REF!,R$1)</f>
        <v>#REF!</v>
      </c>
      <c r="S97" s="24" t="e">
        <f>SUMIFS(#REF!,#REF!,$B97,#REF!,S$1)</f>
        <v>#REF!</v>
      </c>
      <c r="T97" s="24" t="e">
        <f>SUMIFS(#REF!,#REF!,$B97,#REF!,T$1)</f>
        <v>#REF!</v>
      </c>
      <c r="U97" s="24" t="e">
        <f>SUMIFS(#REF!,#REF!,$B97,#REF!,U$1)</f>
        <v>#REF!</v>
      </c>
      <c r="V97" s="24" t="e">
        <f>SUMIFS(#REF!,#REF!,$B97,#REF!,V$1)</f>
        <v>#REF!</v>
      </c>
      <c r="W97" s="24" t="e">
        <f>SUMIFS(#REF!,#REF!,$B97,#REF!,W$1)</f>
        <v>#REF!</v>
      </c>
      <c r="X97" s="24" t="e">
        <f>SUMIFS(#REF!,#REF!,$B97,#REF!,X$1)</f>
        <v>#REF!</v>
      </c>
      <c r="Y97" s="24" t="e">
        <f>SUMIFS(#REF!,#REF!,$B97,#REF!,Y$1)</f>
        <v>#REF!</v>
      </c>
      <c r="Z97" s="24" t="e">
        <f>SUMIFS(#REF!,#REF!,$B97,#REF!,Z$1)</f>
        <v>#REF!</v>
      </c>
      <c r="AA97" s="24" t="e">
        <f>SUMIFS(#REF!,#REF!,$B97,#REF!,AA$1)</f>
        <v>#REF!</v>
      </c>
      <c r="AB97" s="24" t="e">
        <f>SUMIFS(#REF!,#REF!,$B97,#REF!,AB$1)</f>
        <v>#REF!</v>
      </c>
      <c r="AC97" s="24" t="e">
        <f>SUMIFS(#REF!,#REF!,$B97,#REF!,AC$1)</f>
        <v>#REF!</v>
      </c>
      <c r="AD97" s="24" t="e">
        <f>SUMIFS(#REF!,#REF!,$B97,#REF!,AD$1)</f>
        <v>#REF!</v>
      </c>
      <c r="AE97" s="24" t="e">
        <f>SUMIFS(#REF!,#REF!,$B97,#REF!,AE$1)</f>
        <v>#REF!</v>
      </c>
      <c r="AF97" s="24" t="e">
        <f>SUMIFS(#REF!,#REF!,$B97,#REF!,AF$1)</f>
        <v>#REF!</v>
      </c>
      <c r="AG97" s="24" t="e">
        <f>SUMIFS(#REF!,#REF!,$B97,#REF!,AG$1)</f>
        <v>#REF!</v>
      </c>
      <c r="AH97" s="24" t="e">
        <f>SUMIFS(#REF!,#REF!,$B97,#REF!,AH$1)</f>
        <v>#REF!</v>
      </c>
      <c r="AI97" s="24" t="e">
        <f>SUMIFS(#REF!,#REF!,$B97,#REF!,AI$1)</f>
        <v>#REF!</v>
      </c>
      <c r="AJ97" s="24" t="e">
        <f>SUMIFS(#REF!,#REF!,$B97,#REF!,AJ$1)</f>
        <v>#REF!</v>
      </c>
      <c r="AK97" s="24" t="e">
        <f>SUMIFS(#REF!,#REF!,$B97,#REF!,AK$1)</f>
        <v>#REF!</v>
      </c>
      <c r="AL97" s="24" t="e">
        <f>SUMIFS(#REF!,#REF!,$B97,#REF!,AL$1)</f>
        <v>#REF!</v>
      </c>
      <c r="AM97" s="24" t="e">
        <f>SUMIFS(#REF!,#REF!,$B97,#REF!,AM$1)</f>
        <v>#REF!</v>
      </c>
      <c r="AN97" s="24" t="e">
        <f>SUMIFS(#REF!,#REF!,$B97,#REF!,AN$1)</f>
        <v>#REF!</v>
      </c>
      <c r="AO97" s="24" t="e">
        <f>SUMIFS(#REF!,#REF!,$B97,#REF!,AO$1)</f>
        <v>#REF!</v>
      </c>
      <c r="AP97" s="24" t="e">
        <f>SUMIFS(#REF!,#REF!,$B97,#REF!,AP$1)</f>
        <v>#REF!</v>
      </c>
      <c r="AQ97" s="24" t="e">
        <f>SUMIFS(#REF!,#REF!,$B97,#REF!,AQ$1)</f>
        <v>#REF!</v>
      </c>
      <c r="AR97" s="24" t="e">
        <f>SUMIFS(#REF!,#REF!,$B97,#REF!,AR$1)</f>
        <v>#REF!</v>
      </c>
      <c r="AS97" s="24" t="e">
        <f>SUMIFS(#REF!,#REF!,$B97,#REF!,AS$1)</f>
        <v>#REF!</v>
      </c>
      <c r="AT97" s="24" t="e">
        <f>SUMIFS(#REF!,#REF!,$B97,#REF!,AT$1)</f>
        <v>#REF!</v>
      </c>
      <c r="AU97" s="24" t="e">
        <f>SUMIFS(#REF!,#REF!,$B97,#REF!,AU$1)</f>
        <v>#REF!</v>
      </c>
      <c r="AV97" s="24" t="e">
        <f>SUMIFS(#REF!,#REF!,$B97,#REF!,AV$1)</f>
        <v>#REF!</v>
      </c>
      <c r="AW97" s="24" t="e">
        <f>SUMIFS(#REF!,#REF!,$B97,#REF!,AW$1)</f>
        <v>#REF!</v>
      </c>
      <c r="AX97" s="24" t="e">
        <f>SUMIFS(#REF!,#REF!,$B97,#REF!,AX$1)</f>
        <v>#REF!</v>
      </c>
      <c r="AY97" s="24" t="e">
        <f>SUMIFS(#REF!,#REF!,$B97,#REF!,AY$1)</f>
        <v>#REF!</v>
      </c>
      <c r="AZ97" s="24" t="e">
        <f>SUMIFS(#REF!,#REF!,$B97,#REF!,AZ$1)</f>
        <v>#REF!</v>
      </c>
      <c r="BA97" s="24" t="e">
        <f>SUMIFS(#REF!,#REF!,$B97,#REF!,BA$1)</f>
        <v>#REF!</v>
      </c>
      <c r="BB97" s="24" t="e">
        <f>SUMIFS(#REF!,#REF!,$B97,#REF!,BB$1)</f>
        <v>#REF!</v>
      </c>
      <c r="BC97" s="24" t="e">
        <f>SUMIFS(#REF!,#REF!,$B97,#REF!,BC$1)</f>
        <v>#REF!</v>
      </c>
      <c r="BD97" s="24" t="e">
        <f>SUMIFS(#REF!,#REF!,$B97,#REF!,BD$1)</f>
        <v>#REF!</v>
      </c>
      <c r="BE97" s="24" t="e">
        <f>SUMIFS(#REF!,#REF!,$B97,#REF!,BE$1)</f>
        <v>#REF!</v>
      </c>
      <c r="BF97" s="24" t="e">
        <f>SUMIFS(#REF!,#REF!,$B97,#REF!,BF$1)</f>
        <v>#REF!</v>
      </c>
      <c r="BG97" s="24" t="e">
        <f>SUMIFS(#REF!,#REF!,$B97,#REF!,BG$1)</f>
        <v>#REF!</v>
      </c>
      <c r="BH97" s="24" t="e">
        <f>SUMIFS(#REF!,#REF!,$B97,#REF!,BH$1)</f>
        <v>#REF!</v>
      </c>
      <c r="BI97" s="24" t="e">
        <f>SUMIFS(#REF!,#REF!,$B97,#REF!,BI$1)</f>
        <v>#REF!</v>
      </c>
      <c r="BJ97" s="24" t="e">
        <f>SUMIFS(#REF!,#REF!,$B97,#REF!,BJ$1)</f>
        <v>#REF!</v>
      </c>
      <c r="BK97" s="24" t="e">
        <f>SUMIFS(#REF!,#REF!,$B97,#REF!,BK$1)</f>
        <v>#REF!</v>
      </c>
      <c r="BL97" s="24" t="e">
        <f>SUMIFS(#REF!,#REF!,$B97,#REF!,BL$1)</f>
        <v>#REF!</v>
      </c>
      <c r="BM97" s="24" t="e">
        <f>SUMIFS(#REF!,#REF!,$B97,#REF!,BM$1)</f>
        <v>#REF!</v>
      </c>
      <c r="BN97" s="24" t="e">
        <f>SUMIFS(#REF!,#REF!,$B97,#REF!,BN$1)</f>
        <v>#REF!</v>
      </c>
      <c r="BO97" s="24" t="e">
        <f>SUMIFS(#REF!,#REF!,$B97,#REF!,BO$1)</f>
        <v>#REF!</v>
      </c>
      <c r="BP97" s="24" t="e">
        <f>SUMIFS(#REF!,#REF!,$B97,#REF!,BP$1)</f>
        <v>#REF!</v>
      </c>
      <c r="BQ97" s="24" t="e">
        <f>SUMIFS(#REF!,#REF!,$B97,#REF!,BQ$1)</f>
        <v>#REF!</v>
      </c>
      <c r="BR97" s="24" t="e">
        <f>SUMIFS(#REF!,#REF!,$B97,#REF!,BR$1)</f>
        <v>#REF!</v>
      </c>
      <c r="BS97" s="24" t="e">
        <f>SUMIFS(#REF!,#REF!,$B97,#REF!,BS$1)</f>
        <v>#REF!</v>
      </c>
      <c r="BT97" s="24" t="e">
        <f>SUMIFS(#REF!,#REF!,$B97,#REF!,BT$1)</f>
        <v>#REF!</v>
      </c>
      <c r="BU97" s="24" t="e">
        <f>SUMIFS(#REF!,#REF!,$B97,#REF!,BU$1)</f>
        <v>#REF!</v>
      </c>
      <c r="BV97" s="24" t="e">
        <f>SUMIFS(#REF!,#REF!,$B97,#REF!,BV$1)</f>
        <v>#REF!</v>
      </c>
      <c r="BW97" s="24" t="e">
        <f>SUMIFS(#REF!,#REF!,$B97,#REF!,BW$1)</f>
        <v>#REF!</v>
      </c>
      <c r="BX97" s="24" t="e">
        <f>SUMIFS(#REF!,#REF!,$B97,#REF!,BX$1)</f>
        <v>#REF!</v>
      </c>
      <c r="BY97" s="24" t="e">
        <f>SUMIFS(#REF!,#REF!,$B97,#REF!,BY$1)</f>
        <v>#REF!</v>
      </c>
      <c r="BZ97" s="24" t="e">
        <f>SUMIFS(#REF!,#REF!,$B97,#REF!,BZ$1)</f>
        <v>#REF!</v>
      </c>
      <c r="CA97" s="24" t="e">
        <f>SUMIFS(#REF!,#REF!,$B97,#REF!,CA$1)</f>
        <v>#REF!</v>
      </c>
      <c r="CB97" s="24" t="e">
        <f>SUMIFS(#REF!,#REF!,$B97,#REF!,CB$1)</f>
        <v>#REF!</v>
      </c>
      <c r="CC97" s="24" t="e">
        <f>SUMIFS(#REF!,#REF!,$B97,#REF!,CC$1)</f>
        <v>#REF!</v>
      </c>
      <c r="CD97" s="24" t="e">
        <f>SUMIFS(#REF!,#REF!,$B97,#REF!,CD$1)</f>
        <v>#REF!</v>
      </c>
      <c r="CE97" s="24" t="e">
        <f>SUMIFS(#REF!,#REF!,$B97,#REF!,CE$1)</f>
        <v>#REF!</v>
      </c>
      <c r="CF97" s="24" t="e">
        <f>SUMIFS(#REF!,#REF!,$B97,#REF!,CF$1)</f>
        <v>#REF!</v>
      </c>
      <c r="CG97" s="19" t="e">
        <f t="shared" si="1"/>
        <v>#REF!</v>
      </c>
    </row>
    <row r="98" spans="1:85" x14ac:dyDescent="0.45">
      <c r="A98" s="4" t="s">
        <v>1178</v>
      </c>
      <c r="B98" s="4" t="s">
        <v>1179</v>
      </c>
      <c r="C98" s="24" t="e">
        <f>SUMIFS(#REF!,#REF!,$B98,#REF!,C$1)</f>
        <v>#REF!</v>
      </c>
      <c r="D98" s="24" t="e">
        <f>SUMIFS(#REF!,#REF!,$B98,#REF!,D$1)</f>
        <v>#REF!</v>
      </c>
      <c r="E98" s="24" t="e">
        <f>SUMIFS(#REF!,#REF!,$B98,#REF!,E$1)</f>
        <v>#REF!</v>
      </c>
      <c r="F98" s="24" t="e">
        <f>SUMIFS(#REF!,#REF!,$B98,#REF!,F$1)</f>
        <v>#REF!</v>
      </c>
      <c r="G98" s="24" t="e">
        <f>SUMIFS(#REF!,#REF!,$B98,#REF!,G$1)</f>
        <v>#REF!</v>
      </c>
      <c r="H98" s="24" t="e">
        <f>SUMIFS(#REF!,#REF!,$B98,#REF!,H$1)</f>
        <v>#REF!</v>
      </c>
      <c r="I98" s="24" t="e">
        <f>SUMIFS(#REF!,#REF!,$B98,#REF!,I$1)</f>
        <v>#REF!</v>
      </c>
      <c r="J98" s="24" t="e">
        <f>SUMIFS(#REF!,#REF!,$B98,#REF!,J$1)</f>
        <v>#REF!</v>
      </c>
      <c r="K98" s="24" t="e">
        <f>SUMIFS(#REF!,#REF!,$B98,#REF!,K$1)</f>
        <v>#REF!</v>
      </c>
      <c r="L98" s="24" t="e">
        <f>SUMIFS(#REF!,#REF!,$B98,#REF!,L$1)</f>
        <v>#REF!</v>
      </c>
      <c r="M98" s="24" t="e">
        <f>SUMIFS(#REF!,#REF!,$B98,#REF!,M$1)</f>
        <v>#REF!</v>
      </c>
      <c r="N98" s="24" t="e">
        <f>SUMIFS(#REF!,#REF!,$B98,#REF!,N$1)</f>
        <v>#REF!</v>
      </c>
      <c r="O98" s="24" t="e">
        <f>SUMIFS(#REF!,#REF!,$B98,#REF!,O$1)</f>
        <v>#REF!</v>
      </c>
      <c r="P98" s="24" t="e">
        <f>SUMIFS(#REF!,#REF!,$B98,#REF!,P$1)</f>
        <v>#REF!</v>
      </c>
      <c r="Q98" s="24" t="e">
        <f>SUMIFS(#REF!,#REF!,$B98,#REF!,Q$1)</f>
        <v>#REF!</v>
      </c>
      <c r="R98" s="24" t="e">
        <f>SUMIFS(#REF!,#REF!,$B98,#REF!,R$1)</f>
        <v>#REF!</v>
      </c>
      <c r="S98" s="24" t="e">
        <f>SUMIFS(#REF!,#REF!,$B98,#REF!,S$1)</f>
        <v>#REF!</v>
      </c>
      <c r="T98" s="24" t="e">
        <f>SUMIFS(#REF!,#REF!,$B98,#REF!,T$1)</f>
        <v>#REF!</v>
      </c>
      <c r="U98" s="24" t="e">
        <f>SUMIFS(#REF!,#REF!,$B98,#REF!,U$1)</f>
        <v>#REF!</v>
      </c>
      <c r="V98" s="24" t="e">
        <f>SUMIFS(#REF!,#REF!,$B98,#REF!,V$1)</f>
        <v>#REF!</v>
      </c>
      <c r="W98" s="24" t="e">
        <f>SUMIFS(#REF!,#REF!,$B98,#REF!,W$1)</f>
        <v>#REF!</v>
      </c>
      <c r="X98" s="24" t="e">
        <f>SUMIFS(#REF!,#REF!,$B98,#REF!,X$1)</f>
        <v>#REF!</v>
      </c>
      <c r="Y98" s="24" t="e">
        <f>SUMIFS(#REF!,#REF!,$B98,#REF!,Y$1)</f>
        <v>#REF!</v>
      </c>
      <c r="Z98" s="24" t="e">
        <f>SUMIFS(#REF!,#REF!,$B98,#REF!,Z$1)</f>
        <v>#REF!</v>
      </c>
      <c r="AA98" s="24" t="e">
        <f>SUMIFS(#REF!,#REF!,$B98,#REF!,AA$1)</f>
        <v>#REF!</v>
      </c>
      <c r="AB98" s="24" t="e">
        <f>SUMIFS(#REF!,#REF!,$B98,#REF!,AB$1)</f>
        <v>#REF!</v>
      </c>
      <c r="AC98" s="24" t="e">
        <f>SUMIFS(#REF!,#REF!,$B98,#REF!,AC$1)</f>
        <v>#REF!</v>
      </c>
      <c r="AD98" s="24" t="e">
        <f>SUMIFS(#REF!,#REF!,$B98,#REF!,AD$1)</f>
        <v>#REF!</v>
      </c>
      <c r="AE98" s="24" t="e">
        <f>SUMIFS(#REF!,#REF!,$B98,#REF!,AE$1)</f>
        <v>#REF!</v>
      </c>
      <c r="AF98" s="24" t="e">
        <f>SUMIFS(#REF!,#REF!,$B98,#REF!,AF$1)</f>
        <v>#REF!</v>
      </c>
      <c r="AG98" s="24" t="e">
        <f>SUMIFS(#REF!,#REF!,$B98,#REF!,AG$1)</f>
        <v>#REF!</v>
      </c>
      <c r="AH98" s="24" t="e">
        <f>SUMIFS(#REF!,#REF!,$B98,#REF!,AH$1)</f>
        <v>#REF!</v>
      </c>
      <c r="AI98" s="24" t="e">
        <f>SUMIFS(#REF!,#REF!,$B98,#REF!,AI$1)</f>
        <v>#REF!</v>
      </c>
      <c r="AJ98" s="24" t="e">
        <f>SUMIFS(#REF!,#REF!,$B98,#REF!,AJ$1)</f>
        <v>#REF!</v>
      </c>
      <c r="AK98" s="24" t="e">
        <f>SUMIFS(#REF!,#REF!,$B98,#REF!,AK$1)</f>
        <v>#REF!</v>
      </c>
      <c r="AL98" s="24" t="e">
        <f>SUMIFS(#REF!,#REF!,$B98,#REF!,AL$1)</f>
        <v>#REF!</v>
      </c>
      <c r="AM98" s="24" t="e">
        <f>SUMIFS(#REF!,#REF!,$B98,#REF!,AM$1)</f>
        <v>#REF!</v>
      </c>
      <c r="AN98" s="24" t="e">
        <f>SUMIFS(#REF!,#REF!,$B98,#REF!,AN$1)</f>
        <v>#REF!</v>
      </c>
      <c r="AO98" s="24" t="e">
        <f>SUMIFS(#REF!,#REF!,$B98,#REF!,AO$1)</f>
        <v>#REF!</v>
      </c>
      <c r="AP98" s="24" t="e">
        <f>SUMIFS(#REF!,#REF!,$B98,#REF!,AP$1)</f>
        <v>#REF!</v>
      </c>
      <c r="AQ98" s="24" t="e">
        <f>SUMIFS(#REF!,#REF!,$B98,#REF!,AQ$1)</f>
        <v>#REF!</v>
      </c>
      <c r="AR98" s="24" t="e">
        <f>SUMIFS(#REF!,#REF!,$B98,#REF!,AR$1)</f>
        <v>#REF!</v>
      </c>
      <c r="AS98" s="24" t="e">
        <f>SUMIFS(#REF!,#REF!,$B98,#REF!,AS$1)</f>
        <v>#REF!</v>
      </c>
      <c r="AT98" s="24" t="e">
        <f>SUMIFS(#REF!,#REF!,$B98,#REF!,AT$1)</f>
        <v>#REF!</v>
      </c>
      <c r="AU98" s="24" t="e">
        <f>SUMIFS(#REF!,#REF!,$B98,#REF!,AU$1)</f>
        <v>#REF!</v>
      </c>
      <c r="AV98" s="24" t="e">
        <f>SUMIFS(#REF!,#REF!,$B98,#REF!,AV$1)</f>
        <v>#REF!</v>
      </c>
      <c r="AW98" s="24" t="e">
        <f>SUMIFS(#REF!,#REF!,$B98,#REF!,AW$1)</f>
        <v>#REF!</v>
      </c>
      <c r="AX98" s="24" t="e">
        <f>SUMIFS(#REF!,#REF!,$B98,#REF!,AX$1)</f>
        <v>#REF!</v>
      </c>
      <c r="AY98" s="24" t="e">
        <f>SUMIFS(#REF!,#REF!,$B98,#REF!,AY$1)</f>
        <v>#REF!</v>
      </c>
      <c r="AZ98" s="24" t="e">
        <f>SUMIFS(#REF!,#REF!,$B98,#REF!,AZ$1)</f>
        <v>#REF!</v>
      </c>
      <c r="BA98" s="24" t="e">
        <f>SUMIFS(#REF!,#REF!,$B98,#REF!,BA$1)</f>
        <v>#REF!</v>
      </c>
      <c r="BB98" s="24" t="e">
        <f>SUMIFS(#REF!,#REF!,$B98,#REF!,BB$1)</f>
        <v>#REF!</v>
      </c>
      <c r="BC98" s="24" t="e">
        <f>SUMIFS(#REF!,#REF!,$B98,#REF!,BC$1)</f>
        <v>#REF!</v>
      </c>
      <c r="BD98" s="24" t="e">
        <f>SUMIFS(#REF!,#REF!,$B98,#REF!,BD$1)</f>
        <v>#REF!</v>
      </c>
      <c r="BE98" s="24" t="e">
        <f>SUMIFS(#REF!,#REF!,$B98,#REF!,BE$1)</f>
        <v>#REF!</v>
      </c>
      <c r="BF98" s="24" t="e">
        <f>SUMIFS(#REF!,#REF!,$B98,#REF!,BF$1)</f>
        <v>#REF!</v>
      </c>
      <c r="BG98" s="24" t="e">
        <f>SUMIFS(#REF!,#REF!,$B98,#REF!,BG$1)</f>
        <v>#REF!</v>
      </c>
      <c r="BH98" s="24" t="e">
        <f>SUMIFS(#REF!,#REF!,$B98,#REF!,BH$1)</f>
        <v>#REF!</v>
      </c>
      <c r="BI98" s="24" t="e">
        <f>SUMIFS(#REF!,#REF!,$B98,#REF!,BI$1)</f>
        <v>#REF!</v>
      </c>
      <c r="BJ98" s="24" t="e">
        <f>SUMIFS(#REF!,#REF!,$B98,#REF!,BJ$1)</f>
        <v>#REF!</v>
      </c>
      <c r="BK98" s="24" t="e">
        <f>SUMIFS(#REF!,#REF!,$B98,#REF!,BK$1)</f>
        <v>#REF!</v>
      </c>
      <c r="BL98" s="24" t="e">
        <f>SUMIFS(#REF!,#REF!,$B98,#REF!,BL$1)</f>
        <v>#REF!</v>
      </c>
      <c r="BM98" s="24" t="e">
        <f>SUMIFS(#REF!,#REF!,$B98,#REF!,BM$1)</f>
        <v>#REF!</v>
      </c>
      <c r="BN98" s="24" t="e">
        <f>SUMIFS(#REF!,#REF!,$B98,#REF!,BN$1)</f>
        <v>#REF!</v>
      </c>
      <c r="BO98" s="24" t="e">
        <f>SUMIFS(#REF!,#REF!,$B98,#REF!,BO$1)</f>
        <v>#REF!</v>
      </c>
      <c r="BP98" s="24" t="e">
        <f>SUMIFS(#REF!,#REF!,$B98,#REF!,BP$1)</f>
        <v>#REF!</v>
      </c>
      <c r="BQ98" s="24" t="e">
        <f>SUMIFS(#REF!,#REF!,$B98,#REF!,BQ$1)</f>
        <v>#REF!</v>
      </c>
      <c r="BR98" s="24" t="e">
        <f>SUMIFS(#REF!,#REF!,$B98,#REF!,BR$1)</f>
        <v>#REF!</v>
      </c>
      <c r="BS98" s="24" t="e">
        <f>SUMIFS(#REF!,#REF!,$B98,#REF!,BS$1)</f>
        <v>#REF!</v>
      </c>
      <c r="BT98" s="24" t="e">
        <f>SUMIFS(#REF!,#REF!,$B98,#REF!,BT$1)</f>
        <v>#REF!</v>
      </c>
      <c r="BU98" s="24" t="e">
        <f>SUMIFS(#REF!,#REF!,$B98,#REF!,BU$1)</f>
        <v>#REF!</v>
      </c>
      <c r="BV98" s="24" t="e">
        <f>SUMIFS(#REF!,#REF!,$B98,#REF!,BV$1)</f>
        <v>#REF!</v>
      </c>
      <c r="BW98" s="24" t="e">
        <f>SUMIFS(#REF!,#REF!,$B98,#REF!,BW$1)</f>
        <v>#REF!</v>
      </c>
      <c r="BX98" s="24" t="e">
        <f>SUMIFS(#REF!,#REF!,$B98,#REF!,BX$1)</f>
        <v>#REF!</v>
      </c>
      <c r="BY98" s="24" t="e">
        <f>SUMIFS(#REF!,#REF!,$B98,#REF!,BY$1)</f>
        <v>#REF!</v>
      </c>
      <c r="BZ98" s="24" t="e">
        <f>SUMIFS(#REF!,#REF!,$B98,#REF!,BZ$1)</f>
        <v>#REF!</v>
      </c>
      <c r="CA98" s="24" t="e">
        <f>SUMIFS(#REF!,#REF!,$B98,#REF!,CA$1)</f>
        <v>#REF!</v>
      </c>
      <c r="CB98" s="24" t="e">
        <f>SUMIFS(#REF!,#REF!,$B98,#REF!,CB$1)</f>
        <v>#REF!</v>
      </c>
      <c r="CC98" s="24" t="e">
        <f>SUMIFS(#REF!,#REF!,$B98,#REF!,CC$1)</f>
        <v>#REF!</v>
      </c>
      <c r="CD98" s="24" t="e">
        <f>SUMIFS(#REF!,#REF!,$B98,#REF!,CD$1)</f>
        <v>#REF!</v>
      </c>
      <c r="CE98" s="24" t="e">
        <f>SUMIFS(#REF!,#REF!,$B98,#REF!,CE$1)</f>
        <v>#REF!</v>
      </c>
      <c r="CF98" s="24" t="e">
        <f>SUMIFS(#REF!,#REF!,$B98,#REF!,CF$1)</f>
        <v>#REF!</v>
      </c>
      <c r="CG98" s="19" t="e">
        <f t="shared" si="1"/>
        <v>#REF!</v>
      </c>
    </row>
    <row r="99" spans="1:85" x14ac:dyDescent="0.45">
      <c r="A99" s="4" t="s">
        <v>1180</v>
      </c>
      <c r="B99" s="4" t="s">
        <v>1181</v>
      </c>
      <c r="C99" s="24" t="e">
        <f>SUMIFS(#REF!,#REF!,$B99,#REF!,C$1)</f>
        <v>#REF!</v>
      </c>
      <c r="D99" s="24" t="e">
        <f>SUMIFS(#REF!,#REF!,$B99,#REF!,D$1)</f>
        <v>#REF!</v>
      </c>
      <c r="E99" s="24" t="e">
        <f>SUMIFS(#REF!,#REF!,$B99,#REF!,E$1)</f>
        <v>#REF!</v>
      </c>
      <c r="F99" s="24" t="e">
        <f>SUMIFS(#REF!,#REF!,$B99,#REF!,F$1)</f>
        <v>#REF!</v>
      </c>
      <c r="G99" s="24" t="e">
        <f>SUMIFS(#REF!,#REF!,$B99,#REF!,G$1)</f>
        <v>#REF!</v>
      </c>
      <c r="H99" s="24" t="e">
        <f>SUMIFS(#REF!,#REF!,$B99,#REF!,H$1)</f>
        <v>#REF!</v>
      </c>
      <c r="I99" s="24" t="e">
        <f>SUMIFS(#REF!,#REF!,$B99,#REF!,I$1)</f>
        <v>#REF!</v>
      </c>
      <c r="J99" s="24" t="e">
        <f>SUMIFS(#REF!,#REF!,$B99,#REF!,J$1)</f>
        <v>#REF!</v>
      </c>
      <c r="K99" s="24" t="e">
        <f>SUMIFS(#REF!,#REF!,$B99,#REF!,K$1)</f>
        <v>#REF!</v>
      </c>
      <c r="L99" s="24" t="e">
        <f>SUMIFS(#REF!,#REF!,$B99,#REF!,L$1)</f>
        <v>#REF!</v>
      </c>
      <c r="M99" s="24" t="e">
        <f>SUMIFS(#REF!,#REF!,$B99,#REF!,M$1)</f>
        <v>#REF!</v>
      </c>
      <c r="N99" s="24" t="e">
        <f>SUMIFS(#REF!,#REF!,$B99,#REF!,N$1)</f>
        <v>#REF!</v>
      </c>
      <c r="O99" s="24" t="e">
        <f>SUMIFS(#REF!,#REF!,$B99,#REF!,O$1)</f>
        <v>#REF!</v>
      </c>
      <c r="P99" s="24" t="e">
        <f>SUMIFS(#REF!,#REF!,$B99,#REF!,P$1)</f>
        <v>#REF!</v>
      </c>
      <c r="Q99" s="24" t="e">
        <f>SUMIFS(#REF!,#REF!,$B99,#REF!,Q$1)</f>
        <v>#REF!</v>
      </c>
      <c r="R99" s="24" t="e">
        <f>SUMIFS(#REF!,#REF!,$B99,#REF!,R$1)</f>
        <v>#REF!</v>
      </c>
      <c r="S99" s="24" t="e">
        <f>SUMIFS(#REF!,#REF!,$B99,#REF!,S$1)</f>
        <v>#REF!</v>
      </c>
      <c r="T99" s="24" t="e">
        <f>SUMIFS(#REF!,#REF!,$B99,#REF!,T$1)</f>
        <v>#REF!</v>
      </c>
      <c r="U99" s="24" t="e">
        <f>SUMIFS(#REF!,#REF!,$B99,#REF!,U$1)</f>
        <v>#REF!</v>
      </c>
      <c r="V99" s="24" t="e">
        <f>SUMIFS(#REF!,#REF!,$B99,#REF!,V$1)</f>
        <v>#REF!</v>
      </c>
      <c r="W99" s="24" t="e">
        <f>SUMIFS(#REF!,#REF!,$B99,#REF!,W$1)</f>
        <v>#REF!</v>
      </c>
      <c r="X99" s="24" t="e">
        <f>SUMIFS(#REF!,#REF!,$B99,#REF!,X$1)</f>
        <v>#REF!</v>
      </c>
      <c r="Y99" s="24" t="e">
        <f>SUMIFS(#REF!,#REF!,$B99,#REF!,Y$1)</f>
        <v>#REF!</v>
      </c>
      <c r="Z99" s="24" t="e">
        <f>SUMIFS(#REF!,#REF!,$B99,#REF!,Z$1)</f>
        <v>#REF!</v>
      </c>
      <c r="AA99" s="24" t="e">
        <f>SUMIFS(#REF!,#REF!,$B99,#REF!,AA$1)</f>
        <v>#REF!</v>
      </c>
      <c r="AB99" s="24" t="e">
        <f>SUMIFS(#REF!,#REF!,$B99,#REF!,AB$1)</f>
        <v>#REF!</v>
      </c>
      <c r="AC99" s="24" t="e">
        <f>SUMIFS(#REF!,#REF!,$B99,#REF!,AC$1)</f>
        <v>#REF!</v>
      </c>
      <c r="AD99" s="24" t="e">
        <f>SUMIFS(#REF!,#REF!,$B99,#REF!,AD$1)</f>
        <v>#REF!</v>
      </c>
      <c r="AE99" s="24" t="e">
        <f>SUMIFS(#REF!,#REF!,$B99,#REF!,AE$1)</f>
        <v>#REF!</v>
      </c>
      <c r="AF99" s="24" t="e">
        <f>SUMIFS(#REF!,#REF!,$B99,#REF!,AF$1)</f>
        <v>#REF!</v>
      </c>
      <c r="AG99" s="24" t="e">
        <f>SUMIFS(#REF!,#REF!,$B99,#REF!,AG$1)</f>
        <v>#REF!</v>
      </c>
      <c r="AH99" s="24" t="e">
        <f>SUMIFS(#REF!,#REF!,$B99,#REF!,AH$1)</f>
        <v>#REF!</v>
      </c>
      <c r="AI99" s="24" t="e">
        <f>SUMIFS(#REF!,#REF!,$B99,#REF!,AI$1)</f>
        <v>#REF!</v>
      </c>
      <c r="AJ99" s="24" t="e">
        <f>SUMIFS(#REF!,#REF!,$B99,#REF!,AJ$1)</f>
        <v>#REF!</v>
      </c>
      <c r="AK99" s="24" t="e">
        <f>SUMIFS(#REF!,#REF!,$B99,#REF!,AK$1)</f>
        <v>#REF!</v>
      </c>
      <c r="AL99" s="24" t="e">
        <f>SUMIFS(#REF!,#REF!,$B99,#REF!,AL$1)</f>
        <v>#REF!</v>
      </c>
      <c r="AM99" s="24" t="e">
        <f>SUMIFS(#REF!,#REF!,$B99,#REF!,AM$1)</f>
        <v>#REF!</v>
      </c>
      <c r="AN99" s="24" t="e">
        <f>SUMIFS(#REF!,#REF!,$B99,#REF!,AN$1)</f>
        <v>#REF!</v>
      </c>
      <c r="AO99" s="24" t="e">
        <f>SUMIFS(#REF!,#REF!,$B99,#REF!,AO$1)</f>
        <v>#REF!</v>
      </c>
      <c r="AP99" s="24" t="e">
        <f>SUMIFS(#REF!,#REF!,$B99,#REF!,AP$1)</f>
        <v>#REF!</v>
      </c>
      <c r="AQ99" s="24" t="e">
        <f>SUMIFS(#REF!,#REF!,$B99,#REF!,AQ$1)</f>
        <v>#REF!</v>
      </c>
      <c r="AR99" s="24" t="e">
        <f>SUMIFS(#REF!,#REF!,$B99,#REF!,AR$1)</f>
        <v>#REF!</v>
      </c>
      <c r="AS99" s="24" t="e">
        <f>SUMIFS(#REF!,#REF!,$B99,#REF!,AS$1)</f>
        <v>#REF!</v>
      </c>
      <c r="AT99" s="24" t="e">
        <f>SUMIFS(#REF!,#REF!,$B99,#REF!,AT$1)</f>
        <v>#REF!</v>
      </c>
      <c r="AU99" s="24" t="e">
        <f>SUMIFS(#REF!,#REF!,$B99,#REF!,AU$1)</f>
        <v>#REF!</v>
      </c>
      <c r="AV99" s="24" t="e">
        <f>SUMIFS(#REF!,#REF!,$B99,#REF!,AV$1)</f>
        <v>#REF!</v>
      </c>
      <c r="AW99" s="24" t="e">
        <f>SUMIFS(#REF!,#REF!,$B99,#REF!,AW$1)</f>
        <v>#REF!</v>
      </c>
      <c r="AX99" s="24" t="e">
        <f>SUMIFS(#REF!,#REF!,$B99,#REF!,AX$1)</f>
        <v>#REF!</v>
      </c>
      <c r="AY99" s="24" t="e">
        <f>SUMIFS(#REF!,#REF!,$B99,#REF!,AY$1)</f>
        <v>#REF!</v>
      </c>
      <c r="AZ99" s="24" t="e">
        <f>SUMIFS(#REF!,#REF!,$B99,#REF!,AZ$1)</f>
        <v>#REF!</v>
      </c>
      <c r="BA99" s="24" t="e">
        <f>SUMIFS(#REF!,#REF!,$B99,#REF!,BA$1)</f>
        <v>#REF!</v>
      </c>
      <c r="BB99" s="24" t="e">
        <f>SUMIFS(#REF!,#REF!,$B99,#REF!,BB$1)</f>
        <v>#REF!</v>
      </c>
      <c r="BC99" s="24" t="e">
        <f>SUMIFS(#REF!,#REF!,$B99,#REF!,BC$1)</f>
        <v>#REF!</v>
      </c>
      <c r="BD99" s="24" t="e">
        <f>SUMIFS(#REF!,#REF!,$B99,#REF!,BD$1)</f>
        <v>#REF!</v>
      </c>
      <c r="BE99" s="24" t="e">
        <f>SUMIFS(#REF!,#REF!,$B99,#REF!,BE$1)</f>
        <v>#REF!</v>
      </c>
      <c r="BF99" s="24" t="e">
        <f>SUMIFS(#REF!,#REF!,$B99,#REF!,BF$1)</f>
        <v>#REF!</v>
      </c>
      <c r="BG99" s="24" t="e">
        <f>SUMIFS(#REF!,#REF!,$B99,#REF!,BG$1)</f>
        <v>#REF!</v>
      </c>
      <c r="BH99" s="24" t="e">
        <f>SUMIFS(#REF!,#REF!,$B99,#REF!,BH$1)</f>
        <v>#REF!</v>
      </c>
      <c r="BI99" s="24" t="e">
        <f>SUMIFS(#REF!,#REF!,$B99,#REF!,BI$1)</f>
        <v>#REF!</v>
      </c>
      <c r="BJ99" s="24" t="e">
        <f>SUMIFS(#REF!,#REF!,$B99,#REF!,BJ$1)</f>
        <v>#REF!</v>
      </c>
      <c r="BK99" s="24" t="e">
        <f>SUMIFS(#REF!,#REF!,$B99,#REF!,BK$1)</f>
        <v>#REF!</v>
      </c>
      <c r="BL99" s="24" t="e">
        <f>SUMIFS(#REF!,#REF!,$B99,#REF!,BL$1)</f>
        <v>#REF!</v>
      </c>
      <c r="BM99" s="24" t="e">
        <f>SUMIFS(#REF!,#REF!,$B99,#REF!,BM$1)</f>
        <v>#REF!</v>
      </c>
      <c r="BN99" s="24" t="e">
        <f>SUMIFS(#REF!,#REF!,$B99,#REF!,BN$1)</f>
        <v>#REF!</v>
      </c>
      <c r="BO99" s="24" t="e">
        <f>SUMIFS(#REF!,#REF!,$B99,#REF!,BO$1)</f>
        <v>#REF!</v>
      </c>
      <c r="BP99" s="24" t="e">
        <f>SUMIFS(#REF!,#REF!,$B99,#REF!,BP$1)</f>
        <v>#REF!</v>
      </c>
      <c r="BQ99" s="24" t="e">
        <f>SUMIFS(#REF!,#REF!,$B99,#REF!,BQ$1)</f>
        <v>#REF!</v>
      </c>
      <c r="BR99" s="24" t="e">
        <f>SUMIFS(#REF!,#REF!,$B99,#REF!,BR$1)</f>
        <v>#REF!</v>
      </c>
      <c r="BS99" s="24" t="e">
        <f>SUMIFS(#REF!,#REF!,$B99,#REF!,BS$1)</f>
        <v>#REF!</v>
      </c>
      <c r="BT99" s="24" t="e">
        <f>SUMIFS(#REF!,#REF!,$B99,#REF!,BT$1)</f>
        <v>#REF!</v>
      </c>
      <c r="BU99" s="24" t="e">
        <f>SUMIFS(#REF!,#REF!,$B99,#REF!,BU$1)</f>
        <v>#REF!</v>
      </c>
      <c r="BV99" s="24" t="e">
        <f>SUMIFS(#REF!,#REF!,$B99,#REF!,BV$1)</f>
        <v>#REF!</v>
      </c>
      <c r="BW99" s="24" t="e">
        <f>SUMIFS(#REF!,#REF!,$B99,#REF!,BW$1)</f>
        <v>#REF!</v>
      </c>
      <c r="BX99" s="24" t="e">
        <f>SUMIFS(#REF!,#REF!,$B99,#REF!,BX$1)</f>
        <v>#REF!</v>
      </c>
      <c r="BY99" s="24" t="e">
        <f>SUMIFS(#REF!,#REF!,$B99,#REF!,BY$1)</f>
        <v>#REF!</v>
      </c>
      <c r="BZ99" s="24" t="e">
        <f>SUMIFS(#REF!,#REF!,$B99,#REF!,BZ$1)</f>
        <v>#REF!</v>
      </c>
      <c r="CA99" s="24" t="e">
        <f>SUMIFS(#REF!,#REF!,$B99,#REF!,CA$1)</f>
        <v>#REF!</v>
      </c>
      <c r="CB99" s="24" t="e">
        <f>SUMIFS(#REF!,#REF!,$B99,#REF!,CB$1)</f>
        <v>#REF!</v>
      </c>
      <c r="CC99" s="24" t="e">
        <f>SUMIFS(#REF!,#REF!,$B99,#REF!,CC$1)</f>
        <v>#REF!</v>
      </c>
      <c r="CD99" s="24" t="e">
        <f>SUMIFS(#REF!,#REF!,$B99,#REF!,CD$1)</f>
        <v>#REF!</v>
      </c>
      <c r="CE99" s="24" t="e">
        <f>SUMIFS(#REF!,#REF!,$B99,#REF!,CE$1)</f>
        <v>#REF!</v>
      </c>
      <c r="CF99" s="24" t="e">
        <f>SUMIFS(#REF!,#REF!,$B99,#REF!,CF$1)</f>
        <v>#REF!</v>
      </c>
      <c r="CG99" s="19" t="e">
        <f t="shared" si="1"/>
        <v>#REF!</v>
      </c>
    </row>
    <row r="100" spans="1:85" x14ac:dyDescent="0.45">
      <c r="A100" s="4" t="s">
        <v>1182</v>
      </c>
      <c r="B100" s="4" t="s">
        <v>1183</v>
      </c>
      <c r="C100" s="24" t="e">
        <f>SUMIFS(#REF!,#REF!,$B100,#REF!,C$1)</f>
        <v>#REF!</v>
      </c>
      <c r="D100" s="24" t="e">
        <f>SUMIFS(#REF!,#REF!,$B100,#REF!,D$1)</f>
        <v>#REF!</v>
      </c>
      <c r="E100" s="24" t="e">
        <f>SUMIFS(#REF!,#REF!,$B100,#REF!,E$1)</f>
        <v>#REF!</v>
      </c>
      <c r="F100" s="24" t="e">
        <f>SUMIFS(#REF!,#REF!,$B100,#REF!,F$1)</f>
        <v>#REF!</v>
      </c>
      <c r="G100" s="24" t="e">
        <f>SUMIFS(#REF!,#REF!,$B100,#REF!,G$1)</f>
        <v>#REF!</v>
      </c>
      <c r="H100" s="24" t="e">
        <f>SUMIFS(#REF!,#REF!,$B100,#REF!,H$1)</f>
        <v>#REF!</v>
      </c>
      <c r="I100" s="24" t="e">
        <f>SUMIFS(#REF!,#REF!,$B100,#REF!,I$1)</f>
        <v>#REF!</v>
      </c>
      <c r="J100" s="24" t="e">
        <f>SUMIFS(#REF!,#REF!,$B100,#REF!,J$1)</f>
        <v>#REF!</v>
      </c>
      <c r="K100" s="24" t="e">
        <f>SUMIFS(#REF!,#REF!,$B100,#REF!,K$1)</f>
        <v>#REF!</v>
      </c>
      <c r="L100" s="24" t="e">
        <f>SUMIFS(#REF!,#REF!,$B100,#REF!,L$1)</f>
        <v>#REF!</v>
      </c>
      <c r="M100" s="24" t="e">
        <f>SUMIFS(#REF!,#REF!,$B100,#REF!,M$1)</f>
        <v>#REF!</v>
      </c>
      <c r="N100" s="24" t="e">
        <f>SUMIFS(#REF!,#REF!,$B100,#REF!,N$1)</f>
        <v>#REF!</v>
      </c>
      <c r="O100" s="24" t="e">
        <f>SUMIFS(#REF!,#REF!,$B100,#REF!,O$1)</f>
        <v>#REF!</v>
      </c>
      <c r="P100" s="24" t="e">
        <f>SUMIFS(#REF!,#REF!,$B100,#REF!,P$1)</f>
        <v>#REF!</v>
      </c>
      <c r="Q100" s="24" t="e">
        <f>SUMIFS(#REF!,#REF!,$B100,#REF!,Q$1)</f>
        <v>#REF!</v>
      </c>
      <c r="R100" s="24" t="e">
        <f>SUMIFS(#REF!,#REF!,$B100,#REF!,R$1)</f>
        <v>#REF!</v>
      </c>
      <c r="S100" s="24" t="e">
        <f>SUMIFS(#REF!,#REF!,$B100,#REF!,S$1)</f>
        <v>#REF!</v>
      </c>
      <c r="T100" s="24" t="e">
        <f>SUMIFS(#REF!,#REF!,$B100,#REF!,T$1)</f>
        <v>#REF!</v>
      </c>
      <c r="U100" s="24" t="e">
        <f>SUMIFS(#REF!,#REF!,$B100,#REF!,U$1)</f>
        <v>#REF!</v>
      </c>
      <c r="V100" s="24" t="e">
        <f>SUMIFS(#REF!,#REF!,$B100,#REF!,V$1)</f>
        <v>#REF!</v>
      </c>
      <c r="W100" s="24" t="e">
        <f>SUMIFS(#REF!,#REF!,$B100,#REF!,W$1)</f>
        <v>#REF!</v>
      </c>
      <c r="X100" s="24" t="e">
        <f>SUMIFS(#REF!,#REF!,$B100,#REF!,X$1)</f>
        <v>#REF!</v>
      </c>
      <c r="Y100" s="24" t="e">
        <f>SUMIFS(#REF!,#REF!,$B100,#REF!,Y$1)</f>
        <v>#REF!</v>
      </c>
      <c r="Z100" s="24" t="e">
        <f>SUMIFS(#REF!,#REF!,$B100,#REF!,Z$1)</f>
        <v>#REF!</v>
      </c>
      <c r="AA100" s="24" t="e">
        <f>SUMIFS(#REF!,#REF!,$B100,#REF!,AA$1)</f>
        <v>#REF!</v>
      </c>
      <c r="AB100" s="24" t="e">
        <f>SUMIFS(#REF!,#REF!,$B100,#REF!,AB$1)</f>
        <v>#REF!</v>
      </c>
      <c r="AC100" s="24" t="e">
        <f>SUMIFS(#REF!,#REF!,$B100,#REF!,AC$1)</f>
        <v>#REF!</v>
      </c>
      <c r="AD100" s="24" t="e">
        <f>SUMIFS(#REF!,#REF!,$B100,#REF!,AD$1)</f>
        <v>#REF!</v>
      </c>
      <c r="AE100" s="24" t="e">
        <f>SUMIFS(#REF!,#REF!,$B100,#REF!,AE$1)</f>
        <v>#REF!</v>
      </c>
      <c r="AF100" s="24" t="e">
        <f>SUMIFS(#REF!,#REF!,$B100,#REF!,AF$1)</f>
        <v>#REF!</v>
      </c>
      <c r="AG100" s="24" t="e">
        <f>SUMIFS(#REF!,#REF!,$B100,#REF!,AG$1)</f>
        <v>#REF!</v>
      </c>
      <c r="AH100" s="24" t="e">
        <f>SUMIFS(#REF!,#REF!,$B100,#REF!,AH$1)</f>
        <v>#REF!</v>
      </c>
      <c r="AI100" s="24" t="e">
        <f>SUMIFS(#REF!,#REF!,$B100,#REF!,AI$1)</f>
        <v>#REF!</v>
      </c>
      <c r="AJ100" s="24" t="e">
        <f>SUMIFS(#REF!,#REF!,$B100,#REF!,AJ$1)</f>
        <v>#REF!</v>
      </c>
      <c r="AK100" s="24" t="e">
        <f>SUMIFS(#REF!,#REF!,$B100,#REF!,AK$1)</f>
        <v>#REF!</v>
      </c>
      <c r="AL100" s="24" t="e">
        <f>SUMIFS(#REF!,#REF!,$B100,#REF!,AL$1)</f>
        <v>#REF!</v>
      </c>
      <c r="AM100" s="24" t="e">
        <f>SUMIFS(#REF!,#REF!,$B100,#REF!,AM$1)</f>
        <v>#REF!</v>
      </c>
      <c r="AN100" s="24" t="e">
        <f>SUMIFS(#REF!,#REF!,$B100,#REF!,AN$1)</f>
        <v>#REF!</v>
      </c>
      <c r="AO100" s="24" t="e">
        <f>SUMIFS(#REF!,#REF!,$B100,#REF!,AO$1)</f>
        <v>#REF!</v>
      </c>
      <c r="AP100" s="24" t="e">
        <f>SUMIFS(#REF!,#REF!,$B100,#REF!,AP$1)</f>
        <v>#REF!</v>
      </c>
      <c r="AQ100" s="24" t="e">
        <f>SUMIFS(#REF!,#REF!,$B100,#REF!,AQ$1)</f>
        <v>#REF!</v>
      </c>
      <c r="AR100" s="24" t="e">
        <f>SUMIFS(#REF!,#REF!,$B100,#REF!,AR$1)</f>
        <v>#REF!</v>
      </c>
      <c r="AS100" s="24" t="e">
        <f>SUMIFS(#REF!,#REF!,$B100,#REF!,AS$1)</f>
        <v>#REF!</v>
      </c>
      <c r="AT100" s="24" t="e">
        <f>SUMIFS(#REF!,#REF!,$B100,#REF!,AT$1)</f>
        <v>#REF!</v>
      </c>
      <c r="AU100" s="24" t="e">
        <f>SUMIFS(#REF!,#REF!,$B100,#REF!,AU$1)</f>
        <v>#REF!</v>
      </c>
      <c r="AV100" s="24" t="e">
        <f>SUMIFS(#REF!,#REF!,$B100,#REF!,AV$1)</f>
        <v>#REF!</v>
      </c>
      <c r="AW100" s="24" t="e">
        <f>SUMIFS(#REF!,#REF!,$B100,#REF!,AW$1)</f>
        <v>#REF!</v>
      </c>
      <c r="AX100" s="24" t="e">
        <f>SUMIFS(#REF!,#REF!,$B100,#REF!,AX$1)</f>
        <v>#REF!</v>
      </c>
      <c r="AY100" s="24" t="e">
        <f>SUMIFS(#REF!,#REF!,$B100,#REF!,AY$1)</f>
        <v>#REF!</v>
      </c>
      <c r="AZ100" s="24" t="e">
        <f>SUMIFS(#REF!,#REF!,$B100,#REF!,AZ$1)</f>
        <v>#REF!</v>
      </c>
      <c r="BA100" s="24" t="e">
        <f>SUMIFS(#REF!,#REF!,$B100,#REF!,BA$1)</f>
        <v>#REF!</v>
      </c>
      <c r="BB100" s="24" t="e">
        <f>SUMIFS(#REF!,#REF!,$B100,#REF!,BB$1)</f>
        <v>#REF!</v>
      </c>
      <c r="BC100" s="24" t="e">
        <f>SUMIFS(#REF!,#REF!,$B100,#REF!,BC$1)</f>
        <v>#REF!</v>
      </c>
      <c r="BD100" s="24" t="e">
        <f>SUMIFS(#REF!,#REF!,$B100,#REF!,BD$1)</f>
        <v>#REF!</v>
      </c>
      <c r="BE100" s="24" t="e">
        <f>SUMIFS(#REF!,#REF!,$B100,#REF!,BE$1)</f>
        <v>#REF!</v>
      </c>
      <c r="BF100" s="24" t="e">
        <f>SUMIFS(#REF!,#REF!,$B100,#REF!,BF$1)</f>
        <v>#REF!</v>
      </c>
      <c r="BG100" s="24" t="e">
        <f>SUMIFS(#REF!,#REF!,$B100,#REF!,BG$1)</f>
        <v>#REF!</v>
      </c>
      <c r="BH100" s="24" t="e">
        <f>SUMIFS(#REF!,#REF!,$B100,#REF!,BH$1)</f>
        <v>#REF!</v>
      </c>
      <c r="BI100" s="24" t="e">
        <f>SUMIFS(#REF!,#REF!,$B100,#REF!,BI$1)</f>
        <v>#REF!</v>
      </c>
      <c r="BJ100" s="24" t="e">
        <f>SUMIFS(#REF!,#REF!,$B100,#REF!,BJ$1)</f>
        <v>#REF!</v>
      </c>
      <c r="BK100" s="24" t="e">
        <f>SUMIFS(#REF!,#REF!,$B100,#REF!,BK$1)</f>
        <v>#REF!</v>
      </c>
      <c r="BL100" s="24" t="e">
        <f>SUMIFS(#REF!,#REF!,$B100,#REF!,BL$1)</f>
        <v>#REF!</v>
      </c>
      <c r="BM100" s="24" t="e">
        <f>SUMIFS(#REF!,#REF!,$B100,#REF!,BM$1)</f>
        <v>#REF!</v>
      </c>
      <c r="BN100" s="24" t="e">
        <f>SUMIFS(#REF!,#REF!,$B100,#REF!,BN$1)</f>
        <v>#REF!</v>
      </c>
      <c r="BO100" s="24" t="e">
        <f>SUMIFS(#REF!,#REF!,$B100,#REF!,BO$1)</f>
        <v>#REF!</v>
      </c>
      <c r="BP100" s="24" t="e">
        <f>SUMIFS(#REF!,#REF!,$B100,#REF!,BP$1)</f>
        <v>#REF!</v>
      </c>
      <c r="BQ100" s="24" t="e">
        <f>SUMIFS(#REF!,#REF!,$B100,#REF!,BQ$1)</f>
        <v>#REF!</v>
      </c>
      <c r="BR100" s="24" t="e">
        <f>SUMIFS(#REF!,#REF!,$B100,#REF!,BR$1)</f>
        <v>#REF!</v>
      </c>
      <c r="BS100" s="24" t="e">
        <f>SUMIFS(#REF!,#REF!,$B100,#REF!,BS$1)</f>
        <v>#REF!</v>
      </c>
      <c r="BT100" s="24" t="e">
        <f>SUMIFS(#REF!,#REF!,$B100,#REF!,BT$1)</f>
        <v>#REF!</v>
      </c>
      <c r="BU100" s="24" t="e">
        <f>SUMIFS(#REF!,#REF!,$B100,#REF!,BU$1)</f>
        <v>#REF!</v>
      </c>
      <c r="BV100" s="24" t="e">
        <f>SUMIFS(#REF!,#REF!,$B100,#REF!,BV$1)</f>
        <v>#REF!</v>
      </c>
      <c r="BW100" s="24" t="e">
        <f>SUMIFS(#REF!,#REF!,$B100,#REF!,BW$1)</f>
        <v>#REF!</v>
      </c>
      <c r="BX100" s="24" t="e">
        <f>SUMIFS(#REF!,#REF!,$B100,#REF!,BX$1)</f>
        <v>#REF!</v>
      </c>
      <c r="BY100" s="24" t="e">
        <f>SUMIFS(#REF!,#REF!,$B100,#REF!,BY$1)</f>
        <v>#REF!</v>
      </c>
      <c r="BZ100" s="24" t="e">
        <f>SUMIFS(#REF!,#REF!,$B100,#REF!,BZ$1)</f>
        <v>#REF!</v>
      </c>
      <c r="CA100" s="24" t="e">
        <f>SUMIFS(#REF!,#REF!,$B100,#REF!,CA$1)</f>
        <v>#REF!</v>
      </c>
      <c r="CB100" s="24" t="e">
        <f>SUMIFS(#REF!,#REF!,$B100,#REF!,CB$1)</f>
        <v>#REF!</v>
      </c>
      <c r="CC100" s="24" t="e">
        <f>SUMIFS(#REF!,#REF!,$B100,#REF!,CC$1)</f>
        <v>#REF!</v>
      </c>
      <c r="CD100" s="24" t="e">
        <f>SUMIFS(#REF!,#REF!,$B100,#REF!,CD$1)</f>
        <v>#REF!</v>
      </c>
      <c r="CE100" s="24" t="e">
        <f>SUMIFS(#REF!,#REF!,$B100,#REF!,CE$1)</f>
        <v>#REF!</v>
      </c>
      <c r="CF100" s="24" t="e">
        <f>SUMIFS(#REF!,#REF!,$B100,#REF!,CF$1)</f>
        <v>#REF!</v>
      </c>
      <c r="CG100" s="19" t="e">
        <f t="shared" si="1"/>
        <v>#REF!</v>
      </c>
    </row>
    <row r="101" spans="1:85" x14ac:dyDescent="0.45">
      <c r="A101" s="4" t="s">
        <v>1184</v>
      </c>
      <c r="B101" s="4" t="s">
        <v>1185</v>
      </c>
      <c r="C101" s="24" t="e">
        <f>SUMIFS(#REF!,#REF!,$B101,#REF!,C$1)</f>
        <v>#REF!</v>
      </c>
      <c r="D101" s="24" t="e">
        <f>SUMIFS(#REF!,#REF!,$B101,#REF!,D$1)</f>
        <v>#REF!</v>
      </c>
      <c r="E101" s="24" t="e">
        <f>SUMIFS(#REF!,#REF!,$B101,#REF!,E$1)</f>
        <v>#REF!</v>
      </c>
      <c r="F101" s="24" t="e">
        <f>SUMIFS(#REF!,#REF!,$B101,#REF!,F$1)</f>
        <v>#REF!</v>
      </c>
      <c r="G101" s="24" t="e">
        <f>SUMIFS(#REF!,#REF!,$B101,#REF!,G$1)</f>
        <v>#REF!</v>
      </c>
      <c r="H101" s="24" t="e">
        <f>SUMIFS(#REF!,#REF!,$B101,#REF!,H$1)</f>
        <v>#REF!</v>
      </c>
      <c r="I101" s="24" t="e">
        <f>SUMIFS(#REF!,#REF!,$B101,#REF!,I$1)</f>
        <v>#REF!</v>
      </c>
      <c r="J101" s="24" t="e">
        <f>SUMIFS(#REF!,#REF!,$B101,#REF!,J$1)</f>
        <v>#REF!</v>
      </c>
      <c r="K101" s="24" t="e">
        <f>SUMIFS(#REF!,#REF!,$B101,#REF!,K$1)</f>
        <v>#REF!</v>
      </c>
      <c r="L101" s="24" t="e">
        <f>SUMIFS(#REF!,#REF!,$B101,#REF!,L$1)</f>
        <v>#REF!</v>
      </c>
      <c r="M101" s="24" t="e">
        <f>SUMIFS(#REF!,#REF!,$B101,#REF!,M$1)</f>
        <v>#REF!</v>
      </c>
      <c r="N101" s="24" t="e">
        <f>SUMIFS(#REF!,#REF!,$B101,#REF!,N$1)</f>
        <v>#REF!</v>
      </c>
      <c r="O101" s="24" t="e">
        <f>SUMIFS(#REF!,#REF!,$B101,#REF!,O$1)</f>
        <v>#REF!</v>
      </c>
      <c r="P101" s="24" t="e">
        <f>SUMIFS(#REF!,#REF!,$B101,#REF!,P$1)</f>
        <v>#REF!</v>
      </c>
      <c r="Q101" s="24" t="e">
        <f>SUMIFS(#REF!,#REF!,$B101,#REF!,Q$1)</f>
        <v>#REF!</v>
      </c>
      <c r="R101" s="24" t="e">
        <f>SUMIFS(#REF!,#REF!,$B101,#REF!,R$1)</f>
        <v>#REF!</v>
      </c>
      <c r="S101" s="24" t="e">
        <f>SUMIFS(#REF!,#REF!,$B101,#REF!,S$1)</f>
        <v>#REF!</v>
      </c>
      <c r="T101" s="24" t="e">
        <f>SUMIFS(#REF!,#REF!,$B101,#REF!,T$1)</f>
        <v>#REF!</v>
      </c>
      <c r="U101" s="24" t="e">
        <f>SUMIFS(#REF!,#REF!,$B101,#REF!,U$1)</f>
        <v>#REF!</v>
      </c>
      <c r="V101" s="24" t="e">
        <f>SUMIFS(#REF!,#REF!,$B101,#REF!,V$1)</f>
        <v>#REF!</v>
      </c>
      <c r="W101" s="24" t="e">
        <f>SUMIFS(#REF!,#REF!,$B101,#REF!,W$1)</f>
        <v>#REF!</v>
      </c>
      <c r="X101" s="24" t="e">
        <f>SUMIFS(#REF!,#REF!,$B101,#REF!,X$1)</f>
        <v>#REF!</v>
      </c>
      <c r="Y101" s="24" t="e">
        <f>SUMIFS(#REF!,#REF!,$B101,#REF!,Y$1)</f>
        <v>#REF!</v>
      </c>
      <c r="Z101" s="24" t="e">
        <f>SUMIFS(#REF!,#REF!,$B101,#REF!,Z$1)</f>
        <v>#REF!</v>
      </c>
      <c r="AA101" s="24" t="e">
        <f>SUMIFS(#REF!,#REF!,$B101,#REF!,AA$1)</f>
        <v>#REF!</v>
      </c>
      <c r="AB101" s="24" t="e">
        <f>SUMIFS(#REF!,#REF!,$B101,#REF!,AB$1)</f>
        <v>#REF!</v>
      </c>
      <c r="AC101" s="24" t="e">
        <f>SUMIFS(#REF!,#REF!,$B101,#REF!,AC$1)</f>
        <v>#REF!</v>
      </c>
      <c r="AD101" s="24" t="e">
        <f>SUMIFS(#REF!,#REF!,$B101,#REF!,AD$1)</f>
        <v>#REF!</v>
      </c>
      <c r="AE101" s="24" t="e">
        <f>SUMIFS(#REF!,#REF!,$B101,#REF!,AE$1)</f>
        <v>#REF!</v>
      </c>
      <c r="AF101" s="24" t="e">
        <f>SUMIFS(#REF!,#REF!,$B101,#REF!,AF$1)</f>
        <v>#REF!</v>
      </c>
      <c r="AG101" s="24" t="e">
        <f>SUMIFS(#REF!,#REF!,$B101,#REF!,AG$1)</f>
        <v>#REF!</v>
      </c>
      <c r="AH101" s="24" t="e">
        <f>SUMIFS(#REF!,#REF!,$B101,#REF!,AH$1)</f>
        <v>#REF!</v>
      </c>
      <c r="AI101" s="24" t="e">
        <f>SUMIFS(#REF!,#REF!,$B101,#REF!,AI$1)</f>
        <v>#REF!</v>
      </c>
      <c r="AJ101" s="24" t="e">
        <f>SUMIFS(#REF!,#REF!,$B101,#REF!,AJ$1)</f>
        <v>#REF!</v>
      </c>
      <c r="AK101" s="24" t="e">
        <f>SUMIFS(#REF!,#REF!,$B101,#REF!,AK$1)</f>
        <v>#REF!</v>
      </c>
      <c r="AL101" s="24" t="e">
        <f>SUMIFS(#REF!,#REF!,$B101,#REF!,AL$1)</f>
        <v>#REF!</v>
      </c>
      <c r="AM101" s="24" t="e">
        <f>SUMIFS(#REF!,#REF!,$B101,#REF!,AM$1)</f>
        <v>#REF!</v>
      </c>
      <c r="AN101" s="24" t="e">
        <f>SUMIFS(#REF!,#REF!,$B101,#REF!,AN$1)</f>
        <v>#REF!</v>
      </c>
      <c r="AO101" s="24" t="e">
        <f>SUMIFS(#REF!,#REF!,$B101,#REF!,AO$1)</f>
        <v>#REF!</v>
      </c>
      <c r="AP101" s="24" t="e">
        <f>SUMIFS(#REF!,#REF!,$B101,#REF!,AP$1)</f>
        <v>#REF!</v>
      </c>
      <c r="AQ101" s="24" t="e">
        <f>SUMIFS(#REF!,#REF!,$B101,#REF!,AQ$1)</f>
        <v>#REF!</v>
      </c>
      <c r="AR101" s="24" t="e">
        <f>SUMIFS(#REF!,#REF!,$B101,#REF!,AR$1)</f>
        <v>#REF!</v>
      </c>
      <c r="AS101" s="24" t="e">
        <f>SUMIFS(#REF!,#REF!,$B101,#REF!,AS$1)</f>
        <v>#REF!</v>
      </c>
      <c r="AT101" s="24" t="e">
        <f>SUMIFS(#REF!,#REF!,$B101,#REF!,AT$1)</f>
        <v>#REF!</v>
      </c>
      <c r="AU101" s="24" t="e">
        <f>SUMIFS(#REF!,#REF!,$B101,#REF!,AU$1)</f>
        <v>#REF!</v>
      </c>
      <c r="AV101" s="24" t="e">
        <f>SUMIFS(#REF!,#REF!,$B101,#REF!,AV$1)</f>
        <v>#REF!</v>
      </c>
      <c r="AW101" s="24" t="e">
        <f>SUMIFS(#REF!,#REF!,$B101,#REF!,AW$1)</f>
        <v>#REF!</v>
      </c>
      <c r="AX101" s="24" t="e">
        <f>SUMIFS(#REF!,#REF!,$B101,#REF!,AX$1)</f>
        <v>#REF!</v>
      </c>
      <c r="AY101" s="24" t="e">
        <f>SUMIFS(#REF!,#REF!,$B101,#REF!,AY$1)</f>
        <v>#REF!</v>
      </c>
      <c r="AZ101" s="24" t="e">
        <f>SUMIFS(#REF!,#REF!,$B101,#REF!,AZ$1)</f>
        <v>#REF!</v>
      </c>
      <c r="BA101" s="24" t="e">
        <f>SUMIFS(#REF!,#REF!,$B101,#REF!,BA$1)</f>
        <v>#REF!</v>
      </c>
      <c r="BB101" s="24" t="e">
        <f>SUMIFS(#REF!,#REF!,$B101,#REF!,BB$1)</f>
        <v>#REF!</v>
      </c>
      <c r="BC101" s="24" t="e">
        <f>SUMIFS(#REF!,#REF!,$B101,#REF!,BC$1)</f>
        <v>#REF!</v>
      </c>
      <c r="BD101" s="24" t="e">
        <f>SUMIFS(#REF!,#REF!,$B101,#REF!,BD$1)</f>
        <v>#REF!</v>
      </c>
      <c r="BE101" s="24" t="e">
        <f>SUMIFS(#REF!,#REF!,$B101,#REF!,BE$1)</f>
        <v>#REF!</v>
      </c>
      <c r="BF101" s="24" t="e">
        <f>SUMIFS(#REF!,#REF!,$B101,#REF!,BF$1)</f>
        <v>#REF!</v>
      </c>
      <c r="BG101" s="24" t="e">
        <f>SUMIFS(#REF!,#REF!,$B101,#REF!,BG$1)</f>
        <v>#REF!</v>
      </c>
      <c r="BH101" s="24" t="e">
        <f>SUMIFS(#REF!,#REF!,$B101,#REF!,BH$1)</f>
        <v>#REF!</v>
      </c>
      <c r="BI101" s="24" t="e">
        <f>SUMIFS(#REF!,#REF!,$B101,#REF!,BI$1)</f>
        <v>#REF!</v>
      </c>
      <c r="BJ101" s="24" t="e">
        <f>SUMIFS(#REF!,#REF!,$B101,#REF!,BJ$1)</f>
        <v>#REF!</v>
      </c>
      <c r="BK101" s="24" t="e">
        <f>SUMIFS(#REF!,#REF!,$B101,#REF!,BK$1)</f>
        <v>#REF!</v>
      </c>
      <c r="BL101" s="24" t="e">
        <f>SUMIFS(#REF!,#REF!,$B101,#REF!,BL$1)</f>
        <v>#REF!</v>
      </c>
      <c r="BM101" s="24" t="e">
        <f>SUMIFS(#REF!,#REF!,$B101,#REF!,BM$1)</f>
        <v>#REF!</v>
      </c>
      <c r="BN101" s="24" t="e">
        <f>SUMIFS(#REF!,#REF!,$B101,#REF!,BN$1)</f>
        <v>#REF!</v>
      </c>
      <c r="BO101" s="24" t="e">
        <f>SUMIFS(#REF!,#REF!,$B101,#REF!,BO$1)</f>
        <v>#REF!</v>
      </c>
      <c r="BP101" s="24" t="e">
        <f>SUMIFS(#REF!,#REF!,$B101,#REF!,BP$1)</f>
        <v>#REF!</v>
      </c>
      <c r="BQ101" s="24" t="e">
        <f>SUMIFS(#REF!,#REF!,$B101,#REF!,BQ$1)</f>
        <v>#REF!</v>
      </c>
      <c r="BR101" s="24" t="e">
        <f>SUMIFS(#REF!,#REF!,$B101,#REF!,BR$1)</f>
        <v>#REF!</v>
      </c>
      <c r="BS101" s="24" t="e">
        <f>SUMIFS(#REF!,#REF!,$B101,#REF!,BS$1)</f>
        <v>#REF!</v>
      </c>
      <c r="BT101" s="24" t="e">
        <f>SUMIFS(#REF!,#REF!,$B101,#REF!,BT$1)</f>
        <v>#REF!</v>
      </c>
      <c r="BU101" s="24" t="e">
        <f>SUMIFS(#REF!,#REF!,$B101,#REF!,BU$1)</f>
        <v>#REF!</v>
      </c>
      <c r="BV101" s="24" t="e">
        <f>SUMIFS(#REF!,#REF!,$B101,#REF!,BV$1)</f>
        <v>#REF!</v>
      </c>
      <c r="BW101" s="24" t="e">
        <f>SUMIFS(#REF!,#REF!,$B101,#REF!,BW$1)</f>
        <v>#REF!</v>
      </c>
      <c r="BX101" s="24" t="e">
        <f>SUMIFS(#REF!,#REF!,$B101,#REF!,BX$1)</f>
        <v>#REF!</v>
      </c>
      <c r="BY101" s="24" t="e">
        <f>SUMIFS(#REF!,#REF!,$B101,#REF!,BY$1)</f>
        <v>#REF!</v>
      </c>
      <c r="BZ101" s="24" t="e">
        <f>SUMIFS(#REF!,#REF!,$B101,#REF!,BZ$1)</f>
        <v>#REF!</v>
      </c>
      <c r="CA101" s="24" t="e">
        <f>SUMIFS(#REF!,#REF!,$B101,#REF!,CA$1)</f>
        <v>#REF!</v>
      </c>
      <c r="CB101" s="24" t="e">
        <f>SUMIFS(#REF!,#REF!,$B101,#REF!,CB$1)</f>
        <v>#REF!</v>
      </c>
      <c r="CC101" s="24" t="e">
        <f>SUMIFS(#REF!,#REF!,$B101,#REF!,CC$1)</f>
        <v>#REF!</v>
      </c>
      <c r="CD101" s="24" t="e">
        <f>SUMIFS(#REF!,#REF!,$B101,#REF!,CD$1)</f>
        <v>#REF!</v>
      </c>
      <c r="CE101" s="24" t="e">
        <f>SUMIFS(#REF!,#REF!,$B101,#REF!,CE$1)</f>
        <v>#REF!</v>
      </c>
      <c r="CF101" s="24" t="e">
        <f>SUMIFS(#REF!,#REF!,$B101,#REF!,CF$1)</f>
        <v>#REF!</v>
      </c>
      <c r="CG101" s="19" t="e">
        <f t="shared" si="1"/>
        <v>#REF!</v>
      </c>
    </row>
    <row r="102" spans="1:85" x14ac:dyDescent="0.45">
      <c r="A102" s="4" t="s">
        <v>1186</v>
      </c>
      <c r="B102" s="4" t="s">
        <v>1187</v>
      </c>
      <c r="C102" s="24" t="e">
        <f>SUMIFS(#REF!,#REF!,$B102,#REF!,C$1)</f>
        <v>#REF!</v>
      </c>
      <c r="D102" s="24" t="e">
        <f>SUMIFS(#REF!,#REF!,$B102,#REF!,D$1)</f>
        <v>#REF!</v>
      </c>
      <c r="E102" s="24" t="e">
        <f>SUMIFS(#REF!,#REF!,$B102,#REF!,E$1)</f>
        <v>#REF!</v>
      </c>
      <c r="F102" s="24" t="e">
        <f>SUMIFS(#REF!,#REF!,$B102,#REF!,F$1)</f>
        <v>#REF!</v>
      </c>
      <c r="G102" s="24" t="e">
        <f>SUMIFS(#REF!,#REF!,$B102,#REF!,G$1)</f>
        <v>#REF!</v>
      </c>
      <c r="H102" s="24" t="e">
        <f>SUMIFS(#REF!,#REF!,$B102,#REF!,H$1)</f>
        <v>#REF!</v>
      </c>
      <c r="I102" s="24" t="e">
        <f>SUMIFS(#REF!,#REF!,$B102,#REF!,I$1)</f>
        <v>#REF!</v>
      </c>
      <c r="J102" s="24" t="e">
        <f>SUMIFS(#REF!,#REF!,$B102,#REF!,J$1)</f>
        <v>#REF!</v>
      </c>
      <c r="K102" s="24" t="e">
        <f>SUMIFS(#REF!,#REF!,$B102,#REF!,K$1)</f>
        <v>#REF!</v>
      </c>
      <c r="L102" s="24" t="e">
        <f>SUMIFS(#REF!,#REF!,$B102,#REF!,L$1)</f>
        <v>#REF!</v>
      </c>
      <c r="M102" s="24" t="e">
        <f>SUMIFS(#REF!,#REF!,$B102,#REF!,M$1)</f>
        <v>#REF!</v>
      </c>
      <c r="N102" s="24" t="e">
        <f>SUMIFS(#REF!,#REF!,$B102,#REF!,N$1)</f>
        <v>#REF!</v>
      </c>
      <c r="O102" s="24" t="e">
        <f>SUMIFS(#REF!,#REF!,$B102,#REF!,O$1)</f>
        <v>#REF!</v>
      </c>
      <c r="P102" s="24" t="e">
        <f>SUMIFS(#REF!,#REF!,$B102,#REF!,P$1)</f>
        <v>#REF!</v>
      </c>
      <c r="Q102" s="24" t="e">
        <f>SUMIFS(#REF!,#REF!,$B102,#REF!,Q$1)</f>
        <v>#REF!</v>
      </c>
      <c r="R102" s="24" t="e">
        <f>SUMIFS(#REF!,#REF!,$B102,#REF!,R$1)</f>
        <v>#REF!</v>
      </c>
      <c r="S102" s="24" t="e">
        <f>SUMIFS(#REF!,#REF!,$B102,#REF!,S$1)</f>
        <v>#REF!</v>
      </c>
      <c r="T102" s="24" t="e">
        <f>SUMIFS(#REF!,#REF!,$B102,#REF!,T$1)</f>
        <v>#REF!</v>
      </c>
      <c r="U102" s="24" t="e">
        <f>SUMIFS(#REF!,#REF!,$B102,#REF!,U$1)</f>
        <v>#REF!</v>
      </c>
      <c r="V102" s="24" t="e">
        <f>SUMIFS(#REF!,#REF!,$B102,#REF!,V$1)</f>
        <v>#REF!</v>
      </c>
      <c r="W102" s="24" t="e">
        <f>SUMIFS(#REF!,#REF!,$B102,#REF!,W$1)</f>
        <v>#REF!</v>
      </c>
      <c r="X102" s="24" t="e">
        <f>SUMIFS(#REF!,#REF!,$B102,#REF!,X$1)</f>
        <v>#REF!</v>
      </c>
      <c r="Y102" s="24" t="e">
        <f>SUMIFS(#REF!,#REF!,$B102,#REF!,Y$1)</f>
        <v>#REF!</v>
      </c>
      <c r="Z102" s="24" t="e">
        <f>SUMIFS(#REF!,#REF!,$B102,#REF!,Z$1)</f>
        <v>#REF!</v>
      </c>
      <c r="AA102" s="24" t="e">
        <f>SUMIFS(#REF!,#REF!,$B102,#REF!,AA$1)</f>
        <v>#REF!</v>
      </c>
      <c r="AB102" s="24" t="e">
        <f>SUMIFS(#REF!,#REF!,$B102,#REF!,AB$1)</f>
        <v>#REF!</v>
      </c>
      <c r="AC102" s="24" t="e">
        <f>SUMIFS(#REF!,#REF!,$B102,#REF!,AC$1)</f>
        <v>#REF!</v>
      </c>
      <c r="AD102" s="24" t="e">
        <f>SUMIFS(#REF!,#REF!,$B102,#REF!,AD$1)</f>
        <v>#REF!</v>
      </c>
      <c r="AE102" s="24" t="e">
        <f>SUMIFS(#REF!,#REF!,$B102,#REF!,AE$1)</f>
        <v>#REF!</v>
      </c>
      <c r="AF102" s="24" t="e">
        <f>SUMIFS(#REF!,#REF!,$B102,#REF!,AF$1)</f>
        <v>#REF!</v>
      </c>
      <c r="AG102" s="24" t="e">
        <f>SUMIFS(#REF!,#REF!,$B102,#REF!,AG$1)</f>
        <v>#REF!</v>
      </c>
      <c r="AH102" s="24" t="e">
        <f>SUMIFS(#REF!,#REF!,$B102,#REF!,AH$1)</f>
        <v>#REF!</v>
      </c>
      <c r="AI102" s="24" t="e">
        <f>SUMIFS(#REF!,#REF!,$B102,#REF!,AI$1)</f>
        <v>#REF!</v>
      </c>
      <c r="AJ102" s="24" t="e">
        <f>SUMIFS(#REF!,#REF!,$B102,#REF!,AJ$1)</f>
        <v>#REF!</v>
      </c>
      <c r="AK102" s="24" t="e">
        <f>SUMIFS(#REF!,#REF!,$B102,#REF!,AK$1)</f>
        <v>#REF!</v>
      </c>
      <c r="AL102" s="24" t="e">
        <f>SUMIFS(#REF!,#REF!,$B102,#REF!,AL$1)</f>
        <v>#REF!</v>
      </c>
      <c r="AM102" s="24" t="e">
        <f>SUMIFS(#REF!,#REF!,$B102,#REF!,AM$1)</f>
        <v>#REF!</v>
      </c>
      <c r="AN102" s="24" t="e">
        <f>SUMIFS(#REF!,#REF!,$B102,#REF!,AN$1)</f>
        <v>#REF!</v>
      </c>
      <c r="AO102" s="24" t="e">
        <f>SUMIFS(#REF!,#REF!,$B102,#REF!,AO$1)</f>
        <v>#REF!</v>
      </c>
      <c r="AP102" s="24" t="e">
        <f>SUMIFS(#REF!,#REF!,$B102,#REF!,AP$1)</f>
        <v>#REF!</v>
      </c>
      <c r="AQ102" s="24" t="e">
        <f>SUMIFS(#REF!,#REF!,$B102,#REF!,AQ$1)</f>
        <v>#REF!</v>
      </c>
      <c r="AR102" s="24" t="e">
        <f>SUMIFS(#REF!,#REF!,$B102,#REF!,AR$1)</f>
        <v>#REF!</v>
      </c>
      <c r="AS102" s="24" t="e">
        <f>SUMIFS(#REF!,#REF!,$B102,#REF!,AS$1)</f>
        <v>#REF!</v>
      </c>
      <c r="AT102" s="24" t="e">
        <f>SUMIFS(#REF!,#REF!,$B102,#REF!,AT$1)</f>
        <v>#REF!</v>
      </c>
      <c r="AU102" s="24" t="e">
        <f>SUMIFS(#REF!,#REF!,$B102,#REF!,AU$1)</f>
        <v>#REF!</v>
      </c>
      <c r="AV102" s="24" t="e">
        <f>SUMIFS(#REF!,#REF!,$B102,#REF!,AV$1)</f>
        <v>#REF!</v>
      </c>
      <c r="AW102" s="24" t="e">
        <f>SUMIFS(#REF!,#REF!,$B102,#REF!,AW$1)</f>
        <v>#REF!</v>
      </c>
      <c r="AX102" s="24" t="e">
        <f>SUMIFS(#REF!,#REF!,$B102,#REF!,AX$1)</f>
        <v>#REF!</v>
      </c>
      <c r="AY102" s="24" t="e">
        <f>SUMIFS(#REF!,#REF!,$B102,#REF!,AY$1)</f>
        <v>#REF!</v>
      </c>
      <c r="AZ102" s="24" t="e">
        <f>SUMIFS(#REF!,#REF!,$B102,#REF!,AZ$1)</f>
        <v>#REF!</v>
      </c>
      <c r="BA102" s="24" t="e">
        <f>SUMIFS(#REF!,#REF!,$B102,#REF!,BA$1)</f>
        <v>#REF!</v>
      </c>
      <c r="BB102" s="24" t="e">
        <f>SUMIFS(#REF!,#REF!,$B102,#REF!,BB$1)</f>
        <v>#REF!</v>
      </c>
      <c r="BC102" s="24" t="e">
        <f>SUMIFS(#REF!,#REF!,$B102,#REF!,BC$1)</f>
        <v>#REF!</v>
      </c>
      <c r="BD102" s="24" t="e">
        <f>SUMIFS(#REF!,#REF!,$B102,#REF!,BD$1)</f>
        <v>#REF!</v>
      </c>
      <c r="BE102" s="24" t="e">
        <f>SUMIFS(#REF!,#REF!,$B102,#REF!,BE$1)</f>
        <v>#REF!</v>
      </c>
      <c r="BF102" s="24" t="e">
        <f>SUMIFS(#REF!,#REF!,$B102,#REF!,BF$1)</f>
        <v>#REF!</v>
      </c>
      <c r="BG102" s="24" t="e">
        <f>SUMIFS(#REF!,#REF!,$B102,#REF!,BG$1)</f>
        <v>#REF!</v>
      </c>
      <c r="BH102" s="24" t="e">
        <f>SUMIFS(#REF!,#REF!,$B102,#REF!,BH$1)</f>
        <v>#REF!</v>
      </c>
      <c r="BI102" s="24" t="e">
        <f>SUMIFS(#REF!,#REF!,$B102,#REF!,BI$1)</f>
        <v>#REF!</v>
      </c>
      <c r="BJ102" s="24" t="e">
        <f>SUMIFS(#REF!,#REF!,$B102,#REF!,BJ$1)</f>
        <v>#REF!</v>
      </c>
      <c r="BK102" s="24" t="e">
        <f>SUMIFS(#REF!,#REF!,$B102,#REF!,BK$1)</f>
        <v>#REF!</v>
      </c>
      <c r="BL102" s="24" t="e">
        <f>SUMIFS(#REF!,#REF!,$B102,#REF!,BL$1)</f>
        <v>#REF!</v>
      </c>
      <c r="BM102" s="24" t="e">
        <f>SUMIFS(#REF!,#REF!,$B102,#REF!,BM$1)</f>
        <v>#REF!</v>
      </c>
      <c r="BN102" s="24" t="e">
        <f>SUMIFS(#REF!,#REF!,$B102,#REF!,BN$1)</f>
        <v>#REF!</v>
      </c>
      <c r="BO102" s="24" t="e">
        <f>SUMIFS(#REF!,#REF!,$B102,#REF!,BO$1)</f>
        <v>#REF!</v>
      </c>
      <c r="BP102" s="24" t="e">
        <f>SUMIFS(#REF!,#REF!,$B102,#REF!,BP$1)</f>
        <v>#REF!</v>
      </c>
      <c r="BQ102" s="24" t="e">
        <f>SUMIFS(#REF!,#REF!,$B102,#REF!,BQ$1)</f>
        <v>#REF!</v>
      </c>
      <c r="BR102" s="24" t="e">
        <f>SUMIFS(#REF!,#REF!,$B102,#REF!,BR$1)</f>
        <v>#REF!</v>
      </c>
      <c r="BS102" s="24" t="e">
        <f>SUMIFS(#REF!,#REF!,$B102,#REF!,BS$1)</f>
        <v>#REF!</v>
      </c>
      <c r="BT102" s="24" t="e">
        <f>SUMIFS(#REF!,#REF!,$B102,#REF!,BT$1)</f>
        <v>#REF!</v>
      </c>
      <c r="BU102" s="24" t="e">
        <f>SUMIFS(#REF!,#REF!,$B102,#REF!,BU$1)</f>
        <v>#REF!</v>
      </c>
      <c r="BV102" s="24" t="e">
        <f>SUMIFS(#REF!,#REF!,$B102,#REF!,BV$1)</f>
        <v>#REF!</v>
      </c>
      <c r="BW102" s="24" t="e">
        <f>SUMIFS(#REF!,#REF!,$B102,#REF!,BW$1)</f>
        <v>#REF!</v>
      </c>
      <c r="BX102" s="24" t="e">
        <f>SUMIFS(#REF!,#REF!,$B102,#REF!,BX$1)</f>
        <v>#REF!</v>
      </c>
      <c r="BY102" s="24" t="e">
        <f>SUMIFS(#REF!,#REF!,$B102,#REF!,BY$1)</f>
        <v>#REF!</v>
      </c>
      <c r="BZ102" s="24" t="e">
        <f>SUMIFS(#REF!,#REF!,$B102,#REF!,BZ$1)</f>
        <v>#REF!</v>
      </c>
      <c r="CA102" s="24" t="e">
        <f>SUMIFS(#REF!,#REF!,$B102,#REF!,CA$1)</f>
        <v>#REF!</v>
      </c>
      <c r="CB102" s="24" t="e">
        <f>SUMIFS(#REF!,#REF!,$B102,#REF!,CB$1)</f>
        <v>#REF!</v>
      </c>
      <c r="CC102" s="24" t="e">
        <f>SUMIFS(#REF!,#REF!,$B102,#REF!,CC$1)</f>
        <v>#REF!</v>
      </c>
      <c r="CD102" s="24" t="e">
        <f>SUMIFS(#REF!,#REF!,$B102,#REF!,CD$1)</f>
        <v>#REF!</v>
      </c>
      <c r="CE102" s="24" t="e">
        <f>SUMIFS(#REF!,#REF!,$B102,#REF!,CE$1)</f>
        <v>#REF!</v>
      </c>
      <c r="CF102" s="24" t="e">
        <f>SUMIFS(#REF!,#REF!,$B102,#REF!,CF$1)</f>
        <v>#REF!</v>
      </c>
      <c r="CG102" s="19" t="e">
        <f t="shared" si="1"/>
        <v>#REF!</v>
      </c>
    </row>
    <row r="103" spans="1:85" x14ac:dyDescent="0.45">
      <c r="A103" s="4" t="s">
        <v>1188</v>
      </c>
      <c r="B103" s="4" t="s">
        <v>1189</v>
      </c>
      <c r="C103" s="24" t="e">
        <f>SUMIFS(#REF!,#REF!,$B103,#REF!,C$1)</f>
        <v>#REF!</v>
      </c>
      <c r="D103" s="24" t="e">
        <f>SUMIFS(#REF!,#REF!,$B103,#REF!,D$1)</f>
        <v>#REF!</v>
      </c>
      <c r="E103" s="24" t="e">
        <f>SUMIFS(#REF!,#REF!,$B103,#REF!,E$1)</f>
        <v>#REF!</v>
      </c>
      <c r="F103" s="24" t="e">
        <f>SUMIFS(#REF!,#REF!,$B103,#REF!,F$1)</f>
        <v>#REF!</v>
      </c>
      <c r="G103" s="24" t="e">
        <f>SUMIFS(#REF!,#REF!,$B103,#REF!,G$1)</f>
        <v>#REF!</v>
      </c>
      <c r="H103" s="24" t="e">
        <f>SUMIFS(#REF!,#REF!,$B103,#REF!,H$1)</f>
        <v>#REF!</v>
      </c>
      <c r="I103" s="24" t="e">
        <f>SUMIFS(#REF!,#REF!,$B103,#REF!,I$1)</f>
        <v>#REF!</v>
      </c>
      <c r="J103" s="24" t="e">
        <f>SUMIFS(#REF!,#REF!,$B103,#REF!,J$1)</f>
        <v>#REF!</v>
      </c>
      <c r="K103" s="24" t="e">
        <f>SUMIFS(#REF!,#REF!,$B103,#REF!,K$1)</f>
        <v>#REF!</v>
      </c>
      <c r="L103" s="24" t="e">
        <f>SUMIFS(#REF!,#REF!,$B103,#REF!,L$1)</f>
        <v>#REF!</v>
      </c>
      <c r="M103" s="24" t="e">
        <f>SUMIFS(#REF!,#REF!,$B103,#REF!,M$1)</f>
        <v>#REF!</v>
      </c>
      <c r="N103" s="24" t="e">
        <f>SUMIFS(#REF!,#REF!,$B103,#REF!,N$1)</f>
        <v>#REF!</v>
      </c>
      <c r="O103" s="24" t="e">
        <f>SUMIFS(#REF!,#REF!,$B103,#REF!,O$1)</f>
        <v>#REF!</v>
      </c>
      <c r="P103" s="24" t="e">
        <f>SUMIFS(#REF!,#REF!,$B103,#REF!,P$1)</f>
        <v>#REF!</v>
      </c>
      <c r="Q103" s="24" t="e">
        <f>SUMIFS(#REF!,#REF!,$B103,#REF!,Q$1)</f>
        <v>#REF!</v>
      </c>
      <c r="R103" s="24" t="e">
        <f>SUMIFS(#REF!,#REF!,$B103,#REF!,R$1)</f>
        <v>#REF!</v>
      </c>
      <c r="S103" s="24" t="e">
        <f>SUMIFS(#REF!,#REF!,$B103,#REF!,S$1)</f>
        <v>#REF!</v>
      </c>
      <c r="T103" s="24" t="e">
        <f>SUMIFS(#REF!,#REF!,$B103,#REF!,T$1)</f>
        <v>#REF!</v>
      </c>
      <c r="U103" s="24" t="e">
        <f>SUMIFS(#REF!,#REF!,$B103,#REF!,U$1)</f>
        <v>#REF!</v>
      </c>
      <c r="V103" s="24" t="e">
        <f>SUMIFS(#REF!,#REF!,$B103,#REF!,V$1)</f>
        <v>#REF!</v>
      </c>
      <c r="W103" s="24" t="e">
        <f>SUMIFS(#REF!,#REF!,$B103,#REF!,W$1)</f>
        <v>#REF!</v>
      </c>
      <c r="X103" s="24" t="e">
        <f>SUMIFS(#REF!,#REF!,$B103,#REF!,X$1)</f>
        <v>#REF!</v>
      </c>
      <c r="Y103" s="24" t="e">
        <f>SUMIFS(#REF!,#REF!,$B103,#REF!,Y$1)</f>
        <v>#REF!</v>
      </c>
      <c r="Z103" s="24" t="e">
        <f>SUMIFS(#REF!,#REF!,$B103,#REF!,Z$1)</f>
        <v>#REF!</v>
      </c>
      <c r="AA103" s="24" t="e">
        <f>SUMIFS(#REF!,#REF!,$B103,#REF!,AA$1)</f>
        <v>#REF!</v>
      </c>
      <c r="AB103" s="24" t="e">
        <f>SUMIFS(#REF!,#REF!,$B103,#REF!,AB$1)</f>
        <v>#REF!</v>
      </c>
      <c r="AC103" s="24" t="e">
        <f>SUMIFS(#REF!,#REF!,$B103,#REF!,AC$1)</f>
        <v>#REF!</v>
      </c>
      <c r="AD103" s="24" t="e">
        <f>SUMIFS(#REF!,#REF!,$B103,#REF!,AD$1)</f>
        <v>#REF!</v>
      </c>
      <c r="AE103" s="24" t="e">
        <f>SUMIFS(#REF!,#REF!,$B103,#REF!,AE$1)</f>
        <v>#REF!</v>
      </c>
      <c r="AF103" s="24" t="e">
        <f>SUMIFS(#REF!,#REF!,$B103,#REF!,AF$1)</f>
        <v>#REF!</v>
      </c>
      <c r="AG103" s="24" t="e">
        <f>SUMIFS(#REF!,#REF!,$B103,#REF!,AG$1)</f>
        <v>#REF!</v>
      </c>
      <c r="AH103" s="24" t="e">
        <f>SUMIFS(#REF!,#REF!,$B103,#REF!,AH$1)</f>
        <v>#REF!</v>
      </c>
      <c r="AI103" s="24" t="e">
        <f>SUMIFS(#REF!,#REF!,$B103,#REF!,AI$1)</f>
        <v>#REF!</v>
      </c>
      <c r="AJ103" s="24" t="e">
        <f>SUMIFS(#REF!,#REF!,$B103,#REF!,AJ$1)</f>
        <v>#REF!</v>
      </c>
      <c r="AK103" s="24" t="e">
        <f>SUMIFS(#REF!,#REF!,$B103,#REF!,AK$1)</f>
        <v>#REF!</v>
      </c>
      <c r="AL103" s="24" t="e">
        <f>SUMIFS(#REF!,#REF!,$B103,#REF!,AL$1)</f>
        <v>#REF!</v>
      </c>
      <c r="AM103" s="24" t="e">
        <f>SUMIFS(#REF!,#REF!,$B103,#REF!,AM$1)</f>
        <v>#REF!</v>
      </c>
      <c r="AN103" s="24" t="e">
        <f>SUMIFS(#REF!,#REF!,$B103,#REF!,AN$1)</f>
        <v>#REF!</v>
      </c>
      <c r="AO103" s="24" t="e">
        <f>SUMIFS(#REF!,#REF!,$B103,#REF!,AO$1)</f>
        <v>#REF!</v>
      </c>
      <c r="AP103" s="24" t="e">
        <f>SUMIFS(#REF!,#REF!,$B103,#REF!,AP$1)</f>
        <v>#REF!</v>
      </c>
      <c r="AQ103" s="24" t="e">
        <f>SUMIFS(#REF!,#REF!,$B103,#REF!,AQ$1)</f>
        <v>#REF!</v>
      </c>
      <c r="AR103" s="24" t="e">
        <f>SUMIFS(#REF!,#REF!,$B103,#REF!,AR$1)</f>
        <v>#REF!</v>
      </c>
      <c r="AS103" s="24" t="e">
        <f>SUMIFS(#REF!,#REF!,$B103,#REF!,AS$1)</f>
        <v>#REF!</v>
      </c>
      <c r="AT103" s="24" t="e">
        <f>SUMIFS(#REF!,#REF!,$B103,#REF!,AT$1)</f>
        <v>#REF!</v>
      </c>
      <c r="AU103" s="24" t="e">
        <f>SUMIFS(#REF!,#REF!,$B103,#REF!,AU$1)</f>
        <v>#REF!</v>
      </c>
      <c r="AV103" s="24" t="e">
        <f>SUMIFS(#REF!,#REF!,$B103,#REF!,AV$1)</f>
        <v>#REF!</v>
      </c>
      <c r="AW103" s="24" t="e">
        <f>SUMIFS(#REF!,#REF!,$B103,#REF!,AW$1)</f>
        <v>#REF!</v>
      </c>
      <c r="AX103" s="24" t="e">
        <f>SUMIFS(#REF!,#REF!,$B103,#REF!,AX$1)</f>
        <v>#REF!</v>
      </c>
      <c r="AY103" s="24" t="e">
        <f>SUMIFS(#REF!,#REF!,$B103,#REF!,AY$1)</f>
        <v>#REF!</v>
      </c>
      <c r="AZ103" s="24" t="e">
        <f>SUMIFS(#REF!,#REF!,$B103,#REF!,AZ$1)</f>
        <v>#REF!</v>
      </c>
      <c r="BA103" s="24" t="e">
        <f>SUMIFS(#REF!,#REF!,$B103,#REF!,BA$1)</f>
        <v>#REF!</v>
      </c>
      <c r="BB103" s="24" t="e">
        <f>SUMIFS(#REF!,#REF!,$B103,#REF!,BB$1)</f>
        <v>#REF!</v>
      </c>
      <c r="BC103" s="24" t="e">
        <f>SUMIFS(#REF!,#REF!,$B103,#REF!,BC$1)</f>
        <v>#REF!</v>
      </c>
      <c r="BD103" s="24" t="e">
        <f>SUMIFS(#REF!,#REF!,$B103,#REF!,BD$1)</f>
        <v>#REF!</v>
      </c>
      <c r="BE103" s="24" t="e">
        <f>SUMIFS(#REF!,#REF!,$B103,#REF!,BE$1)</f>
        <v>#REF!</v>
      </c>
      <c r="BF103" s="24" t="e">
        <f>SUMIFS(#REF!,#REF!,$B103,#REF!,BF$1)</f>
        <v>#REF!</v>
      </c>
      <c r="BG103" s="24" t="e">
        <f>SUMIFS(#REF!,#REF!,$B103,#REF!,BG$1)</f>
        <v>#REF!</v>
      </c>
      <c r="BH103" s="24" t="e">
        <f>SUMIFS(#REF!,#REF!,$B103,#REF!,BH$1)</f>
        <v>#REF!</v>
      </c>
      <c r="BI103" s="24" t="e">
        <f>SUMIFS(#REF!,#REF!,$B103,#REF!,BI$1)</f>
        <v>#REF!</v>
      </c>
      <c r="BJ103" s="24" t="e">
        <f>SUMIFS(#REF!,#REF!,$B103,#REF!,BJ$1)</f>
        <v>#REF!</v>
      </c>
      <c r="BK103" s="24" t="e">
        <f>SUMIFS(#REF!,#REF!,$B103,#REF!,BK$1)</f>
        <v>#REF!</v>
      </c>
      <c r="BL103" s="24" t="e">
        <f>SUMIFS(#REF!,#REF!,$B103,#REF!,BL$1)</f>
        <v>#REF!</v>
      </c>
      <c r="BM103" s="24" t="e">
        <f>SUMIFS(#REF!,#REF!,$B103,#REF!,BM$1)</f>
        <v>#REF!</v>
      </c>
      <c r="BN103" s="24" t="e">
        <f>SUMIFS(#REF!,#REF!,$B103,#REF!,BN$1)</f>
        <v>#REF!</v>
      </c>
      <c r="BO103" s="24" t="e">
        <f>SUMIFS(#REF!,#REF!,$B103,#REF!,BO$1)</f>
        <v>#REF!</v>
      </c>
      <c r="BP103" s="24" t="e">
        <f>SUMIFS(#REF!,#REF!,$B103,#REF!,BP$1)</f>
        <v>#REF!</v>
      </c>
      <c r="BQ103" s="24" t="e">
        <f>SUMIFS(#REF!,#REF!,$B103,#REF!,BQ$1)</f>
        <v>#REF!</v>
      </c>
      <c r="BR103" s="24" t="e">
        <f>SUMIFS(#REF!,#REF!,$B103,#REF!,BR$1)</f>
        <v>#REF!</v>
      </c>
      <c r="BS103" s="24" t="e">
        <f>SUMIFS(#REF!,#REF!,$B103,#REF!,BS$1)</f>
        <v>#REF!</v>
      </c>
      <c r="BT103" s="24" t="e">
        <f>SUMIFS(#REF!,#REF!,$B103,#REF!,BT$1)</f>
        <v>#REF!</v>
      </c>
      <c r="BU103" s="24" t="e">
        <f>SUMIFS(#REF!,#REF!,$B103,#REF!,BU$1)</f>
        <v>#REF!</v>
      </c>
      <c r="BV103" s="24" t="e">
        <f>SUMIFS(#REF!,#REF!,$B103,#REF!,BV$1)</f>
        <v>#REF!</v>
      </c>
      <c r="BW103" s="24" t="e">
        <f>SUMIFS(#REF!,#REF!,$B103,#REF!,BW$1)</f>
        <v>#REF!</v>
      </c>
      <c r="BX103" s="24" t="e">
        <f>SUMIFS(#REF!,#REF!,$B103,#REF!,BX$1)</f>
        <v>#REF!</v>
      </c>
      <c r="BY103" s="24" t="e">
        <f>SUMIFS(#REF!,#REF!,$B103,#REF!,BY$1)</f>
        <v>#REF!</v>
      </c>
      <c r="BZ103" s="24" t="e">
        <f>SUMIFS(#REF!,#REF!,$B103,#REF!,BZ$1)</f>
        <v>#REF!</v>
      </c>
      <c r="CA103" s="24" t="e">
        <f>SUMIFS(#REF!,#REF!,$B103,#REF!,CA$1)</f>
        <v>#REF!</v>
      </c>
      <c r="CB103" s="24" t="e">
        <f>SUMIFS(#REF!,#REF!,$B103,#REF!,CB$1)</f>
        <v>#REF!</v>
      </c>
      <c r="CC103" s="24" t="e">
        <f>SUMIFS(#REF!,#REF!,$B103,#REF!,CC$1)</f>
        <v>#REF!</v>
      </c>
      <c r="CD103" s="24" t="e">
        <f>SUMIFS(#REF!,#REF!,$B103,#REF!,CD$1)</f>
        <v>#REF!</v>
      </c>
      <c r="CE103" s="24" t="e">
        <f>SUMIFS(#REF!,#REF!,$B103,#REF!,CE$1)</f>
        <v>#REF!</v>
      </c>
      <c r="CF103" s="24" t="e">
        <f>SUMIFS(#REF!,#REF!,$B103,#REF!,CF$1)</f>
        <v>#REF!</v>
      </c>
      <c r="CG103" s="19" t="e">
        <f t="shared" si="1"/>
        <v>#REF!</v>
      </c>
    </row>
    <row r="104" spans="1:85" x14ac:dyDescent="0.45">
      <c r="A104" s="4" t="s">
        <v>1190</v>
      </c>
      <c r="B104" s="4" t="s">
        <v>1191</v>
      </c>
      <c r="C104" s="24" t="e">
        <f>SUMIFS(#REF!,#REF!,$B104,#REF!,C$1)</f>
        <v>#REF!</v>
      </c>
      <c r="D104" s="24" t="e">
        <f>SUMIFS(#REF!,#REF!,$B104,#REF!,D$1)</f>
        <v>#REF!</v>
      </c>
      <c r="E104" s="24" t="e">
        <f>SUMIFS(#REF!,#REF!,$B104,#REF!,E$1)</f>
        <v>#REF!</v>
      </c>
      <c r="F104" s="24" t="e">
        <f>SUMIFS(#REF!,#REF!,$B104,#REF!,F$1)</f>
        <v>#REF!</v>
      </c>
      <c r="G104" s="24" t="e">
        <f>SUMIFS(#REF!,#REF!,$B104,#REF!,G$1)</f>
        <v>#REF!</v>
      </c>
      <c r="H104" s="24" t="e">
        <f>SUMIFS(#REF!,#REF!,$B104,#REF!,H$1)</f>
        <v>#REF!</v>
      </c>
      <c r="I104" s="24" t="e">
        <f>SUMIFS(#REF!,#REF!,$B104,#REF!,I$1)</f>
        <v>#REF!</v>
      </c>
      <c r="J104" s="24" t="e">
        <f>SUMIFS(#REF!,#REF!,$B104,#REF!,J$1)</f>
        <v>#REF!</v>
      </c>
      <c r="K104" s="24" t="e">
        <f>SUMIFS(#REF!,#REF!,$B104,#REF!,K$1)</f>
        <v>#REF!</v>
      </c>
      <c r="L104" s="24" t="e">
        <f>SUMIFS(#REF!,#REF!,$B104,#REF!,L$1)</f>
        <v>#REF!</v>
      </c>
      <c r="M104" s="24" t="e">
        <f>SUMIFS(#REF!,#REF!,$B104,#REF!,M$1)</f>
        <v>#REF!</v>
      </c>
      <c r="N104" s="24" t="e">
        <f>SUMIFS(#REF!,#REF!,$B104,#REF!,N$1)</f>
        <v>#REF!</v>
      </c>
      <c r="O104" s="24" t="e">
        <f>SUMIFS(#REF!,#REF!,$B104,#REF!,O$1)</f>
        <v>#REF!</v>
      </c>
      <c r="P104" s="24" t="e">
        <f>SUMIFS(#REF!,#REF!,$B104,#REF!,P$1)</f>
        <v>#REF!</v>
      </c>
      <c r="Q104" s="24" t="e">
        <f>SUMIFS(#REF!,#REF!,$B104,#REF!,Q$1)</f>
        <v>#REF!</v>
      </c>
      <c r="R104" s="24" t="e">
        <f>SUMIFS(#REF!,#REF!,$B104,#REF!,R$1)</f>
        <v>#REF!</v>
      </c>
      <c r="S104" s="24" t="e">
        <f>SUMIFS(#REF!,#REF!,$B104,#REF!,S$1)</f>
        <v>#REF!</v>
      </c>
      <c r="T104" s="24" t="e">
        <f>SUMIFS(#REF!,#REF!,$B104,#REF!,T$1)</f>
        <v>#REF!</v>
      </c>
      <c r="U104" s="24" t="e">
        <f>SUMIFS(#REF!,#REF!,$B104,#REF!,U$1)</f>
        <v>#REF!</v>
      </c>
      <c r="V104" s="24" t="e">
        <f>SUMIFS(#REF!,#REF!,$B104,#REF!,V$1)</f>
        <v>#REF!</v>
      </c>
      <c r="W104" s="24" t="e">
        <f>SUMIFS(#REF!,#REF!,$B104,#REF!,W$1)</f>
        <v>#REF!</v>
      </c>
      <c r="X104" s="24" t="e">
        <f>SUMIFS(#REF!,#REF!,$B104,#REF!,X$1)</f>
        <v>#REF!</v>
      </c>
      <c r="Y104" s="24" t="e">
        <f>SUMIFS(#REF!,#REF!,$B104,#REF!,Y$1)</f>
        <v>#REF!</v>
      </c>
      <c r="Z104" s="24" t="e">
        <f>SUMIFS(#REF!,#REF!,$B104,#REF!,Z$1)</f>
        <v>#REF!</v>
      </c>
      <c r="AA104" s="24" t="e">
        <f>SUMIFS(#REF!,#REF!,$B104,#REF!,AA$1)</f>
        <v>#REF!</v>
      </c>
      <c r="AB104" s="24" t="e">
        <f>SUMIFS(#REF!,#REF!,$B104,#REF!,AB$1)</f>
        <v>#REF!</v>
      </c>
      <c r="AC104" s="24" t="e">
        <f>SUMIFS(#REF!,#REF!,$B104,#REF!,AC$1)</f>
        <v>#REF!</v>
      </c>
      <c r="AD104" s="24" t="e">
        <f>SUMIFS(#REF!,#REF!,$B104,#REF!,AD$1)</f>
        <v>#REF!</v>
      </c>
      <c r="AE104" s="24" t="e">
        <f>SUMIFS(#REF!,#REF!,$B104,#REF!,AE$1)</f>
        <v>#REF!</v>
      </c>
      <c r="AF104" s="24" t="e">
        <f>SUMIFS(#REF!,#REF!,$B104,#REF!,AF$1)</f>
        <v>#REF!</v>
      </c>
      <c r="AG104" s="24" t="e">
        <f>SUMIFS(#REF!,#REF!,$B104,#REF!,AG$1)</f>
        <v>#REF!</v>
      </c>
      <c r="AH104" s="24" t="e">
        <f>SUMIFS(#REF!,#REF!,$B104,#REF!,AH$1)</f>
        <v>#REF!</v>
      </c>
      <c r="AI104" s="24" t="e">
        <f>SUMIFS(#REF!,#REF!,$B104,#REF!,AI$1)</f>
        <v>#REF!</v>
      </c>
      <c r="AJ104" s="24" t="e">
        <f>SUMIFS(#REF!,#REF!,$B104,#REF!,AJ$1)</f>
        <v>#REF!</v>
      </c>
      <c r="AK104" s="24" t="e">
        <f>SUMIFS(#REF!,#REF!,$B104,#REF!,AK$1)</f>
        <v>#REF!</v>
      </c>
      <c r="AL104" s="24" t="e">
        <f>SUMIFS(#REF!,#REF!,$B104,#REF!,AL$1)</f>
        <v>#REF!</v>
      </c>
      <c r="AM104" s="24" t="e">
        <f>SUMIFS(#REF!,#REF!,$B104,#REF!,AM$1)</f>
        <v>#REF!</v>
      </c>
      <c r="AN104" s="24" t="e">
        <f>SUMIFS(#REF!,#REF!,$B104,#REF!,AN$1)</f>
        <v>#REF!</v>
      </c>
      <c r="AO104" s="24" t="e">
        <f>SUMIFS(#REF!,#REF!,$B104,#REF!,AO$1)</f>
        <v>#REF!</v>
      </c>
      <c r="AP104" s="24" t="e">
        <f>SUMIFS(#REF!,#REF!,$B104,#REF!,AP$1)</f>
        <v>#REF!</v>
      </c>
      <c r="AQ104" s="24" t="e">
        <f>SUMIFS(#REF!,#REF!,$B104,#REF!,AQ$1)</f>
        <v>#REF!</v>
      </c>
      <c r="AR104" s="24" t="e">
        <f>SUMIFS(#REF!,#REF!,$B104,#REF!,AR$1)</f>
        <v>#REF!</v>
      </c>
      <c r="AS104" s="24" t="e">
        <f>SUMIFS(#REF!,#REF!,$B104,#REF!,AS$1)</f>
        <v>#REF!</v>
      </c>
      <c r="AT104" s="24" t="e">
        <f>SUMIFS(#REF!,#REF!,$B104,#REF!,AT$1)</f>
        <v>#REF!</v>
      </c>
      <c r="AU104" s="24" t="e">
        <f>SUMIFS(#REF!,#REF!,$B104,#REF!,AU$1)</f>
        <v>#REF!</v>
      </c>
      <c r="AV104" s="24" t="e">
        <f>SUMIFS(#REF!,#REF!,$B104,#REF!,AV$1)</f>
        <v>#REF!</v>
      </c>
      <c r="AW104" s="24" t="e">
        <f>SUMIFS(#REF!,#REF!,$B104,#REF!,AW$1)</f>
        <v>#REF!</v>
      </c>
      <c r="AX104" s="24" t="e">
        <f>SUMIFS(#REF!,#REF!,$B104,#REF!,AX$1)</f>
        <v>#REF!</v>
      </c>
      <c r="AY104" s="24" t="e">
        <f>SUMIFS(#REF!,#REF!,$B104,#REF!,AY$1)</f>
        <v>#REF!</v>
      </c>
      <c r="AZ104" s="24" t="e">
        <f>SUMIFS(#REF!,#REF!,$B104,#REF!,AZ$1)</f>
        <v>#REF!</v>
      </c>
      <c r="BA104" s="24" t="e">
        <f>SUMIFS(#REF!,#REF!,$B104,#REF!,BA$1)</f>
        <v>#REF!</v>
      </c>
      <c r="BB104" s="24" t="e">
        <f>SUMIFS(#REF!,#REF!,$B104,#REF!,BB$1)</f>
        <v>#REF!</v>
      </c>
      <c r="BC104" s="24" t="e">
        <f>SUMIFS(#REF!,#REF!,$B104,#REF!,BC$1)</f>
        <v>#REF!</v>
      </c>
      <c r="BD104" s="24" t="e">
        <f>SUMIFS(#REF!,#REF!,$B104,#REF!,BD$1)</f>
        <v>#REF!</v>
      </c>
      <c r="BE104" s="24" t="e">
        <f>SUMIFS(#REF!,#REF!,$B104,#REF!,BE$1)</f>
        <v>#REF!</v>
      </c>
      <c r="BF104" s="24" t="e">
        <f>SUMIFS(#REF!,#REF!,$B104,#REF!,BF$1)</f>
        <v>#REF!</v>
      </c>
      <c r="BG104" s="24" t="e">
        <f>SUMIFS(#REF!,#REF!,$B104,#REF!,BG$1)</f>
        <v>#REF!</v>
      </c>
      <c r="BH104" s="24" t="e">
        <f>SUMIFS(#REF!,#REF!,$B104,#REF!,BH$1)</f>
        <v>#REF!</v>
      </c>
      <c r="BI104" s="24" t="e">
        <f>SUMIFS(#REF!,#REF!,$B104,#REF!,BI$1)</f>
        <v>#REF!</v>
      </c>
      <c r="BJ104" s="24" t="e">
        <f>SUMIFS(#REF!,#REF!,$B104,#REF!,BJ$1)</f>
        <v>#REF!</v>
      </c>
      <c r="BK104" s="24" t="e">
        <f>SUMIFS(#REF!,#REF!,$B104,#REF!,BK$1)</f>
        <v>#REF!</v>
      </c>
      <c r="BL104" s="24" t="e">
        <f>SUMIFS(#REF!,#REF!,$B104,#REF!,BL$1)</f>
        <v>#REF!</v>
      </c>
      <c r="BM104" s="24" t="e">
        <f>SUMIFS(#REF!,#REF!,$B104,#REF!,BM$1)</f>
        <v>#REF!</v>
      </c>
      <c r="BN104" s="24" t="e">
        <f>SUMIFS(#REF!,#REF!,$B104,#REF!,BN$1)</f>
        <v>#REF!</v>
      </c>
      <c r="BO104" s="24" t="e">
        <f>SUMIFS(#REF!,#REF!,$B104,#REF!,BO$1)</f>
        <v>#REF!</v>
      </c>
      <c r="BP104" s="24" t="e">
        <f>SUMIFS(#REF!,#REF!,$B104,#REF!,BP$1)</f>
        <v>#REF!</v>
      </c>
      <c r="BQ104" s="24" t="e">
        <f>SUMIFS(#REF!,#REF!,$B104,#REF!,BQ$1)</f>
        <v>#REF!</v>
      </c>
      <c r="BR104" s="24" t="e">
        <f>SUMIFS(#REF!,#REF!,$B104,#REF!,BR$1)</f>
        <v>#REF!</v>
      </c>
      <c r="BS104" s="24" t="e">
        <f>SUMIFS(#REF!,#REF!,$B104,#REF!,BS$1)</f>
        <v>#REF!</v>
      </c>
      <c r="BT104" s="24" t="e">
        <f>SUMIFS(#REF!,#REF!,$B104,#REF!,BT$1)</f>
        <v>#REF!</v>
      </c>
      <c r="BU104" s="24" t="e">
        <f>SUMIFS(#REF!,#REF!,$B104,#REF!,BU$1)</f>
        <v>#REF!</v>
      </c>
      <c r="BV104" s="24" t="e">
        <f>SUMIFS(#REF!,#REF!,$B104,#REF!,BV$1)</f>
        <v>#REF!</v>
      </c>
      <c r="BW104" s="24" t="e">
        <f>SUMIFS(#REF!,#REF!,$B104,#REF!,BW$1)</f>
        <v>#REF!</v>
      </c>
      <c r="BX104" s="24" t="e">
        <f>SUMIFS(#REF!,#REF!,$B104,#REF!,BX$1)</f>
        <v>#REF!</v>
      </c>
      <c r="BY104" s="24" t="e">
        <f>SUMIFS(#REF!,#REF!,$B104,#REF!,BY$1)</f>
        <v>#REF!</v>
      </c>
      <c r="BZ104" s="24" t="e">
        <f>SUMIFS(#REF!,#REF!,$B104,#REF!,BZ$1)</f>
        <v>#REF!</v>
      </c>
      <c r="CA104" s="24" t="e">
        <f>SUMIFS(#REF!,#REF!,$B104,#REF!,CA$1)</f>
        <v>#REF!</v>
      </c>
      <c r="CB104" s="24" t="e">
        <f>SUMIFS(#REF!,#REF!,$B104,#REF!,CB$1)</f>
        <v>#REF!</v>
      </c>
      <c r="CC104" s="24" t="e">
        <f>SUMIFS(#REF!,#REF!,$B104,#REF!,CC$1)</f>
        <v>#REF!</v>
      </c>
      <c r="CD104" s="24" t="e">
        <f>SUMIFS(#REF!,#REF!,$B104,#REF!,CD$1)</f>
        <v>#REF!</v>
      </c>
      <c r="CE104" s="24" t="e">
        <f>SUMIFS(#REF!,#REF!,$B104,#REF!,CE$1)</f>
        <v>#REF!</v>
      </c>
      <c r="CF104" s="24" t="e">
        <f>SUMIFS(#REF!,#REF!,$B104,#REF!,CF$1)</f>
        <v>#REF!</v>
      </c>
      <c r="CG104" s="19" t="e">
        <f t="shared" si="1"/>
        <v>#REF!</v>
      </c>
    </row>
    <row r="105" spans="1:85" x14ac:dyDescent="0.45">
      <c r="A105" s="4" t="s">
        <v>1192</v>
      </c>
      <c r="B105" s="4" t="s">
        <v>1193</v>
      </c>
      <c r="C105" s="24" t="e">
        <f>SUMIFS(#REF!,#REF!,$B105,#REF!,C$1)</f>
        <v>#REF!</v>
      </c>
      <c r="D105" s="24" t="e">
        <f>SUMIFS(#REF!,#REF!,$B105,#REF!,D$1)</f>
        <v>#REF!</v>
      </c>
      <c r="E105" s="24" t="e">
        <f>SUMIFS(#REF!,#REF!,$B105,#REF!,E$1)</f>
        <v>#REF!</v>
      </c>
      <c r="F105" s="24" t="e">
        <f>SUMIFS(#REF!,#REF!,$B105,#REF!,F$1)</f>
        <v>#REF!</v>
      </c>
      <c r="G105" s="24" t="e">
        <f>SUMIFS(#REF!,#REF!,$B105,#REF!,G$1)</f>
        <v>#REF!</v>
      </c>
      <c r="H105" s="24" t="e">
        <f>SUMIFS(#REF!,#REF!,$B105,#REF!,H$1)</f>
        <v>#REF!</v>
      </c>
      <c r="I105" s="24" t="e">
        <f>SUMIFS(#REF!,#REF!,$B105,#REF!,I$1)</f>
        <v>#REF!</v>
      </c>
      <c r="J105" s="24" t="e">
        <f>SUMIFS(#REF!,#REF!,$B105,#REF!,J$1)</f>
        <v>#REF!</v>
      </c>
      <c r="K105" s="24" t="e">
        <f>SUMIFS(#REF!,#REF!,$B105,#REF!,K$1)</f>
        <v>#REF!</v>
      </c>
      <c r="L105" s="24" t="e">
        <f>SUMIFS(#REF!,#REF!,$B105,#REF!,L$1)</f>
        <v>#REF!</v>
      </c>
      <c r="M105" s="24" t="e">
        <f>SUMIFS(#REF!,#REF!,$B105,#REF!,M$1)</f>
        <v>#REF!</v>
      </c>
      <c r="N105" s="24" t="e">
        <f>SUMIFS(#REF!,#REF!,$B105,#REF!,N$1)</f>
        <v>#REF!</v>
      </c>
      <c r="O105" s="24" t="e">
        <f>SUMIFS(#REF!,#REF!,$B105,#REF!,O$1)</f>
        <v>#REF!</v>
      </c>
      <c r="P105" s="24" t="e">
        <f>SUMIFS(#REF!,#REF!,$B105,#REF!,P$1)</f>
        <v>#REF!</v>
      </c>
      <c r="Q105" s="24" t="e">
        <f>SUMIFS(#REF!,#REF!,$B105,#REF!,Q$1)</f>
        <v>#REF!</v>
      </c>
      <c r="R105" s="24" t="e">
        <f>SUMIFS(#REF!,#REF!,$B105,#REF!,R$1)</f>
        <v>#REF!</v>
      </c>
      <c r="S105" s="24" t="e">
        <f>SUMIFS(#REF!,#REF!,$B105,#REF!,S$1)</f>
        <v>#REF!</v>
      </c>
      <c r="T105" s="24" t="e">
        <f>SUMIFS(#REF!,#REF!,$B105,#REF!,T$1)</f>
        <v>#REF!</v>
      </c>
      <c r="U105" s="24" t="e">
        <f>SUMIFS(#REF!,#REF!,$B105,#REF!,U$1)</f>
        <v>#REF!</v>
      </c>
      <c r="V105" s="24" t="e">
        <f>SUMIFS(#REF!,#REF!,$B105,#REF!,V$1)</f>
        <v>#REF!</v>
      </c>
      <c r="W105" s="24" t="e">
        <f>SUMIFS(#REF!,#REF!,$B105,#REF!,W$1)</f>
        <v>#REF!</v>
      </c>
      <c r="X105" s="24" t="e">
        <f>SUMIFS(#REF!,#REF!,$B105,#REF!,X$1)</f>
        <v>#REF!</v>
      </c>
      <c r="Y105" s="24" t="e">
        <f>SUMIFS(#REF!,#REF!,$B105,#REF!,Y$1)</f>
        <v>#REF!</v>
      </c>
      <c r="Z105" s="24" t="e">
        <f>SUMIFS(#REF!,#REF!,$B105,#REF!,Z$1)</f>
        <v>#REF!</v>
      </c>
      <c r="AA105" s="24" t="e">
        <f>SUMIFS(#REF!,#REF!,$B105,#REF!,AA$1)</f>
        <v>#REF!</v>
      </c>
      <c r="AB105" s="24" t="e">
        <f>SUMIFS(#REF!,#REF!,$B105,#REF!,AB$1)</f>
        <v>#REF!</v>
      </c>
      <c r="AC105" s="24" t="e">
        <f>SUMIFS(#REF!,#REF!,$B105,#REF!,AC$1)</f>
        <v>#REF!</v>
      </c>
      <c r="AD105" s="24" t="e">
        <f>SUMIFS(#REF!,#REF!,$B105,#REF!,AD$1)</f>
        <v>#REF!</v>
      </c>
      <c r="AE105" s="24" t="e">
        <f>SUMIFS(#REF!,#REF!,$B105,#REF!,AE$1)</f>
        <v>#REF!</v>
      </c>
      <c r="AF105" s="24" t="e">
        <f>SUMIFS(#REF!,#REF!,$B105,#REF!,AF$1)</f>
        <v>#REF!</v>
      </c>
      <c r="AG105" s="24" t="e">
        <f>SUMIFS(#REF!,#REF!,$B105,#REF!,AG$1)</f>
        <v>#REF!</v>
      </c>
      <c r="AH105" s="24" t="e">
        <f>SUMIFS(#REF!,#REF!,$B105,#REF!,AH$1)</f>
        <v>#REF!</v>
      </c>
      <c r="AI105" s="24" t="e">
        <f>SUMIFS(#REF!,#REF!,$B105,#REF!,AI$1)</f>
        <v>#REF!</v>
      </c>
      <c r="AJ105" s="24" t="e">
        <f>SUMIFS(#REF!,#REF!,$B105,#REF!,AJ$1)</f>
        <v>#REF!</v>
      </c>
      <c r="AK105" s="24" t="e">
        <f>SUMIFS(#REF!,#REF!,$B105,#REF!,AK$1)</f>
        <v>#REF!</v>
      </c>
      <c r="AL105" s="24" t="e">
        <f>SUMIFS(#REF!,#REF!,$B105,#REF!,AL$1)</f>
        <v>#REF!</v>
      </c>
      <c r="AM105" s="24" t="e">
        <f>SUMIFS(#REF!,#REF!,$B105,#REF!,AM$1)</f>
        <v>#REF!</v>
      </c>
      <c r="AN105" s="24" t="e">
        <f>SUMIFS(#REF!,#REF!,$B105,#REF!,AN$1)</f>
        <v>#REF!</v>
      </c>
      <c r="AO105" s="24" t="e">
        <f>SUMIFS(#REF!,#REF!,$B105,#REF!,AO$1)</f>
        <v>#REF!</v>
      </c>
      <c r="AP105" s="24" t="e">
        <f>SUMIFS(#REF!,#REF!,$B105,#REF!,AP$1)</f>
        <v>#REF!</v>
      </c>
      <c r="AQ105" s="24" t="e">
        <f>SUMIFS(#REF!,#REF!,$B105,#REF!,AQ$1)</f>
        <v>#REF!</v>
      </c>
      <c r="AR105" s="24" t="e">
        <f>SUMIFS(#REF!,#REF!,$B105,#REF!,AR$1)</f>
        <v>#REF!</v>
      </c>
      <c r="AS105" s="24" t="e">
        <f>SUMIFS(#REF!,#REF!,$B105,#REF!,AS$1)</f>
        <v>#REF!</v>
      </c>
      <c r="AT105" s="24" t="e">
        <f>SUMIFS(#REF!,#REF!,$B105,#REF!,AT$1)</f>
        <v>#REF!</v>
      </c>
      <c r="AU105" s="24" t="e">
        <f>SUMIFS(#REF!,#REF!,$B105,#REF!,AU$1)</f>
        <v>#REF!</v>
      </c>
      <c r="AV105" s="24" t="e">
        <f>SUMIFS(#REF!,#REF!,$B105,#REF!,AV$1)</f>
        <v>#REF!</v>
      </c>
      <c r="AW105" s="24" t="e">
        <f>SUMIFS(#REF!,#REF!,$B105,#REF!,AW$1)</f>
        <v>#REF!</v>
      </c>
      <c r="AX105" s="24" t="e">
        <f>SUMIFS(#REF!,#REF!,$B105,#REF!,AX$1)</f>
        <v>#REF!</v>
      </c>
      <c r="AY105" s="24" t="e">
        <f>SUMIFS(#REF!,#REF!,$B105,#REF!,AY$1)</f>
        <v>#REF!</v>
      </c>
      <c r="AZ105" s="24" t="e">
        <f>SUMIFS(#REF!,#REF!,$B105,#REF!,AZ$1)</f>
        <v>#REF!</v>
      </c>
      <c r="BA105" s="24" t="e">
        <f>SUMIFS(#REF!,#REF!,$B105,#REF!,BA$1)</f>
        <v>#REF!</v>
      </c>
      <c r="BB105" s="24" t="e">
        <f>SUMIFS(#REF!,#REF!,$B105,#REF!,BB$1)</f>
        <v>#REF!</v>
      </c>
      <c r="BC105" s="24" t="e">
        <f>SUMIFS(#REF!,#REF!,$B105,#REF!,BC$1)</f>
        <v>#REF!</v>
      </c>
      <c r="BD105" s="24" t="e">
        <f>SUMIFS(#REF!,#REF!,$B105,#REF!,BD$1)</f>
        <v>#REF!</v>
      </c>
      <c r="BE105" s="24" t="e">
        <f>SUMIFS(#REF!,#REF!,$B105,#REF!,BE$1)</f>
        <v>#REF!</v>
      </c>
      <c r="BF105" s="24" t="e">
        <f>SUMIFS(#REF!,#REF!,$B105,#REF!,BF$1)</f>
        <v>#REF!</v>
      </c>
      <c r="BG105" s="24" t="e">
        <f>SUMIFS(#REF!,#REF!,$B105,#REF!,BG$1)</f>
        <v>#REF!</v>
      </c>
      <c r="BH105" s="24" t="e">
        <f>SUMIFS(#REF!,#REF!,$B105,#REF!,BH$1)</f>
        <v>#REF!</v>
      </c>
      <c r="BI105" s="24" t="e">
        <f>SUMIFS(#REF!,#REF!,$B105,#REF!,BI$1)</f>
        <v>#REF!</v>
      </c>
      <c r="BJ105" s="24" t="e">
        <f>SUMIFS(#REF!,#REF!,$B105,#REF!,BJ$1)</f>
        <v>#REF!</v>
      </c>
      <c r="BK105" s="24" t="e">
        <f>SUMIFS(#REF!,#REF!,$B105,#REF!,BK$1)</f>
        <v>#REF!</v>
      </c>
      <c r="BL105" s="24" t="e">
        <f>SUMIFS(#REF!,#REF!,$B105,#REF!,BL$1)</f>
        <v>#REF!</v>
      </c>
      <c r="BM105" s="24" t="e">
        <f>SUMIFS(#REF!,#REF!,$B105,#REF!,BM$1)</f>
        <v>#REF!</v>
      </c>
      <c r="BN105" s="24" t="e">
        <f>SUMIFS(#REF!,#REF!,$B105,#REF!,BN$1)</f>
        <v>#REF!</v>
      </c>
      <c r="BO105" s="24" t="e">
        <f>SUMIFS(#REF!,#REF!,$B105,#REF!,BO$1)</f>
        <v>#REF!</v>
      </c>
      <c r="BP105" s="24" t="e">
        <f>SUMIFS(#REF!,#REF!,$B105,#REF!,BP$1)</f>
        <v>#REF!</v>
      </c>
      <c r="BQ105" s="24" t="e">
        <f>SUMIFS(#REF!,#REF!,$B105,#REF!,BQ$1)</f>
        <v>#REF!</v>
      </c>
      <c r="BR105" s="24" t="e">
        <f>SUMIFS(#REF!,#REF!,$B105,#REF!,BR$1)</f>
        <v>#REF!</v>
      </c>
      <c r="BS105" s="24" t="e">
        <f>SUMIFS(#REF!,#REF!,$B105,#REF!,BS$1)</f>
        <v>#REF!</v>
      </c>
      <c r="BT105" s="24" t="e">
        <f>SUMIFS(#REF!,#REF!,$B105,#REF!,BT$1)</f>
        <v>#REF!</v>
      </c>
      <c r="BU105" s="24" t="e">
        <f>SUMIFS(#REF!,#REF!,$B105,#REF!,BU$1)</f>
        <v>#REF!</v>
      </c>
      <c r="BV105" s="24" t="e">
        <f>SUMIFS(#REF!,#REF!,$B105,#REF!,BV$1)</f>
        <v>#REF!</v>
      </c>
      <c r="BW105" s="24" t="e">
        <f>SUMIFS(#REF!,#REF!,$B105,#REF!,BW$1)</f>
        <v>#REF!</v>
      </c>
      <c r="BX105" s="24" t="e">
        <f>SUMIFS(#REF!,#REF!,$B105,#REF!,BX$1)</f>
        <v>#REF!</v>
      </c>
      <c r="BY105" s="24" t="e">
        <f>SUMIFS(#REF!,#REF!,$B105,#REF!,BY$1)</f>
        <v>#REF!</v>
      </c>
      <c r="BZ105" s="24" t="e">
        <f>SUMIFS(#REF!,#REF!,$B105,#REF!,BZ$1)</f>
        <v>#REF!</v>
      </c>
      <c r="CA105" s="24" t="e">
        <f>SUMIFS(#REF!,#REF!,$B105,#REF!,CA$1)</f>
        <v>#REF!</v>
      </c>
      <c r="CB105" s="24" t="e">
        <f>SUMIFS(#REF!,#REF!,$B105,#REF!,CB$1)</f>
        <v>#REF!</v>
      </c>
      <c r="CC105" s="24" t="e">
        <f>SUMIFS(#REF!,#REF!,$B105,#REF!,CC$1)</f>
        <v>#REF!</v>
      </c>
      <c r="CD105" s="24" t="e">
        <f>SUMIFS(#REF!,#REF!,$B105,#REF!,CD$1)</f>
        <v>#REF!</v>
      </c>
      <c r="CE105" s="24" t="e">
        <f>SUMIFS(#REF!,#REF!,$B105,#REF!,CE$1)</f>
        <v>#REF!</v>
      </c>
      <c r="CF105" s="24" t="e">
        <f>SUMIFS(#REF!,#REF!,$B105,#REF!,CF$1)</f>
        <v>#REF!</v>
      </c>
      <c r="CG105" s="19" t="e">
        <f t="shared" si="1"/>
        <v>#REF!</v>
      </c>
    </row>
    <row r="106" spans="1:85" x14ac:dyDescent="0.45">
      <c r="A106" s="4" t="s">
        <v>1194</v>
      </c>
      <c r="B106" s="4" t="s">
        <v>1195</v>
      </c>
      <c r="C106" s="24" t="e">
        <f>SUMIFS(#REF!,#REF!,$B106,#REF!,C$1)</f>
        <v>#REF!</v>
      </c>
      <c r="D106" s="24" t="e">
        <f>SUMIFS(#REF!,#REF!,$B106,#REF!,D$1)</f>
        <v>#REF!</v>
      </c>
      <c r="E106" s="24" t="e">
        <f>SUMIFS(#REF!,#REF!,$B106,#REF!,E$1)</f>
        <v>#REF!</v>
      </c>
      <c r="F106" s="24" t="e">
        <f>SUMIFS(#REF!,#REF!,$B106,#REF!,F$1)</f>
        <v>#REF!</v>
      </c>
      <c r="G106" s="24" t="e">
        <f>SUMIFS(#REF!,#REF!,$B106,#REF!,G$1)</f>
        <v>#REF!</v>
      </c>
      <c r="H106" s="24" t="e">
        <f>SUMIFS(#REF!,#REF!,$B106,#REF!,H$1)</f>
        <v>#REF!</v>
      </c>
      <c r="I106" s="24" t="e">
        <f>SUMIFS(#REF!,#REF!,$B106,#REF!,I$1)</f>
        <v>#REF!</v>
      </c>
      <c r="J106" s="24" t="e">
        <f>SUMIFS(#REF!,#REF!,$B106,#REF!,J$1)</f>
        <v>#REF!</v>
      </c>
      <c r="K106" s="24" t="e">
        <f>SUMIFS(#REF!,#REF!,$B106,#REF!,K$1)</f>
        <v>#REF!</v>
      </c>
      <c r="L106" s="24" t="e">
        <f>SUMIFS(#REF!,#REF!,$B106,#REF!,L$1)</f>
        <v>#REF!</v>
      </c>
      <c r="M106" s="24" t="e">
        <f>SUMIFS(#REF!,#REF!,$B106,#REF!,M$1)</f>
        <v>#REF!</v>
      </c>
      <c r="N106" s="24" t="e">
        <f>SUMIFS(#REF!,#REF!,$B106,#REF!,N$1)</f>
        <v>#REF!</v>
      </c>
      <c r="O106" s="24" t="e">
        <f>SUMIFS(#REF!,#REF!,$B106,#REF!,O$1)</f>
        <v>#REF!</v>
      </c>
      <c r="P106" s="24" t="e">
        <f>SUMIFS(#REF!,#REF!,$B106,#REF!,P$1)</f>
        <v>#REF!</v>
      </c>
      <c r="Q106" s="24" t="e">
        <f>SUMIFS(#REF!,#REF!,$B106,#REF!,Q$1)</f>
        <v>#REF!</v>
      </c>
      <c r="R106" s="24" t="e">
        <f>SUMIFS(#REF!,#REF!,$B106,#REF!,R$1)</f>
        <v>#REF!</v>
      </c>
      <c r="S106" s="24" t="e">
        <f>SUMIFS(#REF!,#REF!,$B106,#REF!,S$1)</f>
        <v>#REF!</v>
      </c>
      <c r="T106" s="24" t="e">
        <f>SUMIFS(#REF!,#REF!,$B106,#REF!,T$1)</f>
        <v>#REF!</v>
      </c>
      <c r="U106" s="24" t="e">
        <f>SUMIFS(#REF!,#REF!,$B106,#REF!,U$1)</f>
        <v>#REF!</v>
      </c>
      <c r="V106" s="24" t="e">
        <f>SUMIFS(#REF!,#REF!,$B106,#REF!,V$1)</f>
        <v>#REF!</v>
      </c>
      <c r="W106" s="24" t="e">
        <f>SUMIFS(#REF!,#REF!,$B106,#REF!,W$1)</f>
        <v>#REF!</v>
      </c>
      <c r="X106" s="24" t="e">
        <f>SUMIFS(#REF!,#REF!,$B106,#REF!,X$1)</f>
        <v>#REF!</v>
      </c>
      <c r="Y106" s="24" t="e">
        <f>SUMIFS(#REF!,#REF!,$B106,#REF!,Y$1)</f>
        <v>#REF!</v>
      </c>
      <c r="Z106" s="24" t="e">
        <f>SUMIFS(#REF!,#REF!,$B106,#REF!,Z$1)</f>
        <v>#REF!</v>
      </c>
      <c r="AA106" s="24" t="e">
        <f>SUMIFS(#REF!,#REF!,$B106,#REF!,AA$1)</f>
        <v>#REF!</v>
      </c>
      <c r="AB106" s="24" t="e">
        <f>SUMIFS(#REF!,#REF!,$B106,#REF!,AB$1)</f>
        <v>#REF!</v>
      </c>
      <c r="AC106" s="24" t="e">
        <f>SUMIFS(#REF!,#REF!,$B106,#REF!,AC$1)</f>
        <v>#REF!</v>
      </c>
      <c r="AD106" s="24" t="e">
        <f>SUMIFS(#REF!,#REF!,$B106,#REF!,AD$1)</f>
        <v>#REF!</v>
      </c>
      <c r="AE106" s="24" t="e">
        <f>SUMIFS(#REF!,#REF!,$B106,#REF!,AE$1)</f>
        <v>#REF!</v>
      </c>
      <c r="AF106" s="24" t="e">
        <f>SUMIFS(#REF!,#REF!,$B106,#REF!,AF$1)</f>
        <v>#REF!</v>
      </c>
      <c r="AG106" s="24" t="e">
        <f>SUMIFS(#REF!,#REF!,$B106,#REF!,AG$1)</f>
        <v>#REF!</v>
      </c>
      <c r="AH106" s="24" t="e">
        <f>SUMIFS(#REF!,#REF!,$B106,#REF!,AH$1)</f>
        <v>#REF!</v>
      </c>
      <c r="AI106" s="24" t="e">
        <f>SUMIFS(#REF!,#REF!,$B106,#REF!,AI$1)</f>
        <v>#REF!</v>
      </c>
      <c r="AJ106" s="24" t="e">
        <f>SUMIFS(#REF!,#REF!,$B106,#REF!,AJ$1)</f>
        <v>#REF!</v>
      </c>
      <c r="AK106" s="24" t="e">
        <f>SUMIFS(#REF!,#REF!,$B106,#REF!,AK$1)</f>
        <v>#REF!</v>
      </c>
      <c r="AL106" s="24" t="e">
        <f>SUMIFS(#REF!,#REF!,$B106,#REF!,AL$1)</f>
        <v>#REF!</v>
      </c>
      <c r="AM106" s="24" t="e">
        <f>SUMIFS(#REF!,#REF!,$B106,#REF!,AM$1)</f>
        <v>#REF!</v>
      </c>
      <c r="AN106" s="24" t="e">
        <f>SUMIFS(#REF!,#REF!,$B106,#REF!,AN$1)</f>
        <v>#REF!</v>
      </c>
      <c r="AO106" s="24" t="e">
        <f>SUMIFS(#REF!,#REF!,$B106,#REF!,AO$1)</f>
        <v>#REF!</v>
      </c>
      <c r="AP106" s="24" t="e">
        <f>SUMIFS(#REF!,#REF!,$B106,#REF!,AP$1)</f>
        <v>#REF!</v>
      </c>
      <c r="AQ106" s="24" t="e">
        <f>SUMIFS(#REF!,#REF!,$B106,#REF!,AQ$1)</f>
        <v>#REF!</v>
      </c>
      <c r="AR106" s="24" t="e">
        <f>SUMIFS(#REF!,#REF!,$B106,#REF!,AR$1)</f>
        <v>#REF!</v>
      </c>
      <c r="AS106" s="24" t="e">
        <f>SUMIFS(#REF!,#REF!,$B106,#REF!,AS$1)</f>
        <v>#REF!</v>
      </c>
      <c r="AT106" s="24" t="e">
        <f>SUMIFS(#REF!,#REF!,$B106,#REF!,AT$1)</f>
        <v>#REF!</v>
      </c>
      <c r="AU106" s="24" t="e">
        <f>SUMIFS(#REF!,#REF!,$B106,#REF!,AU$1)</f>
        <v>#REF!</v>
      </c>
      <c r="AV106" s="24" t="e">
        <f>SUMIFS(#REF!,#REF!,$B106,#REF!,AV$1)</f>
        <v>#REF!</v>
      </c>
      <c r="AW106" s="24" t="e">
        <f>SUMIFS(#REF!,#REF!,$B106,#REF!,AW$1)</f>
        <v>#REF!</v>
      </c>
      <c r="AX106" s="24" t="e">
        <f>SUMIFS(#REF!,#REF!,$B106,#REF!,AX$1)</f>
        <v>#REF!</v>
      </c>
      <c r="AY106" s="24" t="e">
        <f>SUMIFS(#REF!,#REF!,$B106,#REF!,AY$1)</f>
        <v>#REF!</v>
      </c>
      <c r="AZ106" s="24" t="e">
        <f>SUMIFS(#REF!,#REF!,$B106,#REF!,AZ$1)</f>
        <v>#REF!</v>
      </c>
      <c r="BA106" s="24" t="e">
        <f>SUMIFS(#REF!,#REF!,$B106,#REF!,BA$1)</f>
        <v>#REF!</v>
      </c>
      <c r="BB106" s="24" t="e">
        <f>SUMIFS(#REF!,#REF!,$B106,#REF!,BB$1)</f>
        <v>#REF!</v>
      </c>
      <c r="BC106" s="24" t="e">
        <f>SUMIFS(#REF!,#REF!,$B106,#REF!,BC$1)</f>
        <v>#REF!</v>
      </c>
      <c r="BD106" s="24" t="e">
        <f>SUMIFS(#REF!,#REF!,$B106,#REF!,BD$1)</f>
        <v>#REF!</v>
      </c>
      <c r="BE106" s="24" t="e">
        <f>SUMIFS(#REF!,#REF!,$B106,#REF!,BE$1)</f>
        <v>#REF!</v>
      </c>
      <c r="BF106" s="24" t="e">
        <f>SUMIFS(#REF!,#REF!,$B106,#REF!,BF$1)</f>
        <v>#REF!</v>
      </c>
      <c r="BG106" s="24" t="e">
        <f>SUMIFS(#REF!,#REF!,$B106,#REF!,BG$1)</f>
        <v>#REF!</v>
      </c>
      <c r="BH106" s="24" t="e">
        <f>SUMIFS(#REF!,#REF!,$B106,#REF!,BH$1)</f>
        <v>#REF!</v>
      </c>
      <c r="BI106" s="24" t="e">
        <f>SUMIFS(#REF!,#REF!,$B106,#REF!,BI$1)</f>
        <v>#REF!</v>
      </c>
      <c r="BJ106" s="24" t="e">
        <f>SUMIFS(#REF!,#REF!,$B106,#REF!,BJ$1)</f>
        <v>#REF!</v>
      </c>
      <c r="BK106" s="24" t="e">
        <f>SUMIFS(#REF!,#REF!,$B106,#REF!,BK$1)</f>
        <v>#REF!</v>
      </c>
      <c r="BL106" s="24" t="e">
        <f>SUMIFS(#REF!,#REF!,$B106,#REF!,BL$1)</f>
        <v>#REF!</v>
      </c>
      <c r="BM106" s="24" t="e">
        <f>SUMIFS(#REF!,#REF!,$B106,#REF!,BM$1)</f>
        <v>#REF!</v>
      </c>
      <c r="BN106" s="24" t="e">
        <f>SUMIFS(#REF!,#REF!,$B106,#REF!,BN$1)</f>
        <v>#REF!</v>
      </c>
      <c r="BO106" s="24" t="e">
        <f>SUMIFS(#REF!,#REF!,$B106,#REF!,BO$1)</f>
        <v>#REF!</v>
      </c>
      <c r="BP106" s="24" t="e">
        <f>SUMIFS(#REF!,#REF!,$B106,#REF!,BP$1)</f>
        <v>#REF!</v>
      </c>
      <c r="BQ106" s="24" t="e">
        <f>SUMIFS(#REF!,#REF!,$B106,#REF!,BQ$1)</f>
        <v>#REF!</v>
      </c>
      <c r="BR106" s="24" t="e">
        <f>SUMIFS(#REF!,#REF!,$B106,#REF!,BR$1)</f>
        <v>#REF!</v>
      </c>
      <c r="BS106" s="24" t="e">
        <f>SUMIFS(#REF!,#REF!,$B106,#REF!,BS$1)</f>
        <v>#REF!</v>
      </c>
      <c r="BT106" s="24" t="e">
        <f>SUMIFS(#REF!,#REF!,$B106,#REF!,BT$1)</f>
        <v>#REF!</v>
      </c>
      <c r="BU106" s="24" t="e">
        <f>SUMIFS(#REF!,#REF!,$B106,#REF!,BU$1)</f>
        <v>#REF!</v>
      </c>
      <c r="BV106" s="24" t="e">
        <f>SUMIFS(#REF!,#REF!,$B106,#REF!,BV$1)</f>
        <v>#REF!</v>
      </c>
      <c r="BW106" s="24" t="e">
        <f>SUMIFS(#REF!,#REF!,$B106,#REF!,BW$1)</f>
        <v>#REF!</v>
      </c>
      <c r="BX106" s="24" t="e">
        <f>SUMIFS(#REF!,#REF!,$B106,#REF!,BX$1)</f>
        <v>#REF!</v>
      </c>
      <c r="BY106" s="24" t="e">
        <f>SUMIFS(#REF!,#REF!,$B106,#REF!,BY$1)</f>
        <v>#REF!</v>
      </c>
      <c r="BZ106" s="24" t="e">
        <f>SUMIFS(#REF!,#REF!,$B106,#REF!,BZ$1)</f>
        <v>#REF!</v>
      </c>
      <c r="CA106" s="24" t="e">
        <f>SUMIFS(#REF!,#REF!,$B106,#REF!,CA$1)</f>
        <v>#REF!</v>
      </c>
      <c r="CB106" s="24" t="e">
        <f>SUMIFS(#REF!,#REF!,$B106,#REF!,CB$1)</f>
        <v>#REF!</v>
      </c>
      <c r="CC106" s="24" t="e">
        <f>SUMIFS(#REF!,#REF!,$B106,#REF!,CC$1)</f>
        <v>#REF!</v>
      </c>
      <c r="CD106" s="24" t="e">
        <f>SUMIFS(#REF!,#REF!,$B106,#REF!,CD$1)</f>
        <v>#REF!</v>
      </c>
      <c r="CE106" s="24" t="e">
        <f>SUMIFS(#REF!,#REF!,$B106,#REF!,CE$1)</f>
        <v>#REF!</v>
      </c>
      <c r="CF106" s="24" t="e">
        <f>SUMIFS(#REF!,#REF!,$B106,#REF!,CF$1)</f>
        <v>#REF!</v>
      </c>
      <c r="CG106" s="19" t="e">
        <f t="shared" si="1"/>
        <v>#REF!</v>
      </c>
    </row>
    <row r="107" spans="1:85" x14ac:dyDescent="0.45">
      <c r="A107" s="4" t="s">
        <v>1196</v>
      </c>
      <c r="B107" s="4" t="s">
        <v>1197</v>
      </c>
      <c r="C107" s="24" t="e">
        <f>SUMIFS(#REF!,#REF!,$B107,#REF!,C$1)</f>
        <v>#REF!</v>
      </c>
      <c r="D107" s="24" t="e">
        <f>SUMIFS(#REF!,#REF!,$B107,#REF!,D$1)</f>
        <v>#REF!</v>
      </c>
      <c r="E107" s="24" t="e">
        <f>SUMIFS(#REF!,#REF!,$B107,#REF!,E$1)</f>
        <v>#REF!</v>
      </c>
      <c r="F107" s="24" t="e">
        <f>SUMIFS(#REF!,#REF!,$B107,#REF!,F$1)</f>
        <v>#REF!</v>
      </c>
      <c r="G107" s="24" t="e">
        <f>SUMIFS(#REF!,#REF!,$B107,#REF!,G$1)</f>
        <v>#REF!</v>
      </c>
      <c r="H107" s="24" t="e">
        <f>SUMIFS(#REF!,#REF!,$B107,#REF!,H$1)</f>
        <v>#REF!</v>
      </c>
      <c r="I107" s="24" t="e">
        <f>SUMIFS(#REF!,#REF!,$B107,#REF!,I$1)</f>
        <v>#REF!</v>
      </c>
      <c r="J107" s="24" t="e">
        <f>SUMIFS(#REF!,#REF!,$B107,#REF!,J$1)</f>
        <v>#REF!</v>
      </c>
      <c r="K107" s="24" t="e">
        <f>SUMIFS(#REF!,#REF!,$B107,#REF!,K$1)</f>
        <v>#REF!</v>
      </c>
      <c r="L107" s="24" t="e">
        <f>SUMIFS(#REF!,#REF!,$B107,#REF!,L$1)</f>
        <v>#REF!</v>
      </c>
      <c r="M107" s="24" t="e">
        <f>SUMIFS(#REF!,#REF!,$B107,#REF!,M$1)</f>
        <v>#REF!</v>
      </c>
      <c r="N107" s="24" t="e">
        <f>SUMIFS(#REF!,#REF!,$B107,#REF!,N$1)</f>
        <v>#REF!</v>
      </c>
      <c r="O107" s="24" t="e">
        <f>SUMIFS(#REF!,#REF!,$B107,#REF!,O$1)</f>
        <v>#REF!</v>
      </c>
      <c r="P107" s="24" t="e">
        <f>SUMIFS(#REF!,#REF!,$B107,#REF!,P$1)</f>
        <v>#REF!</v>
      </c>
      <c r="Q107" s="24" t="e">
        <f>SUMIFS(#REF!,#REF!,$B107,#REF!,Q$1)</f>
        <v>#REF!</v>
      </c>
      <c r="R107" s="24" t="e">
        <f>SUMIFS(#REF!,#REF!,$B107,#REF!,R$1)</f>
        <v>#REF!</v>
      </c>
      <c r="S107" s="24" t="e">
        <f>SUMIFS(#REF!,#REF!,$B107,#REF!,S$1)</f>
        <v>#REF!</v>
      </c>
      <c r="T107" s="24" t="e">
        <f>SUMIFS(#REF!,#REF!,$B107,#REF!,T$1)</f>
        <v>#REF!</v>
      </c>
      <c r="U107" s="24" t="e">
        <f>SUMIFS(#REF!,#REF!,$B107,#REF!,U$1)</f>
        <v>#REF!</v>
      </c>
      <c r="V107" s="24" t="e">
        <f>SUMIFS(#REF!,#REF!,$B107,#REF!,V$1)</f>
        <v>#REF!</v>
      </c>
      <c r="W107" s="24" t="e">
        <f>SUMIFS(#REF!,#REF!,$B107,#REF!,W$1)</f>
        <v>#REF!</v>
      </c>
      <c r="X107" s="24" t="e">
        <f>SUMIFS(#REF!,#REF!,$B107,#REF!,X$1)</f>
        <v>#REF!</v>
      </c>
      <c r="Y107" s="24" t="e">
        <f>SUMIFS(#REF!,#REF!,$B107,#REF!,Y$1)</f>
        <v>#REF!</v>
      </c>
      <c r="Z107" s="24" t="e">
        <f>SUMIFS(#REF!,#REF!,$B107,#REF!,Z$1)</f>
        <v>#REF!</v>
      </c>
      <c r="AA107" s="24" t="e">
        <f>SUMIFS(#REF!,#REF!,$B107,#REF!,AA$1)</f>
        <v>#REF!</v>
      </c>
      <c r="AB107" s="24" t="e">
        <f>SUMIFS(#REF!,#REF!,$B107,#REF!,AB$1)</f>
        <v>#REF!</v>
      </c>
      <c r="AC107" s="24" t="e">
        <f>SUMIFS(#REF!,#REF!,$B107,#REF!,AC$1)</f>
        <v>#REF!</v>
      </c>
      <c r="AD107" s="24" t="e">
        <f>SUMIFS(#REF!,#REF!,$B107,#REF!,AD$1)</f>
        <v>#REF!</v>
      </c>
      <c r="AE107" s="24" t="e">
        <f>SUMIFS(#REF!,#REF!,$B107,#REF!,AE$1)</f>
        <v>#REF!</v>
      </c>
      <c r="AF107" s="24" t="e">
        <f>SUMIFS(#REF!,#REF!,$B107,#REF!,AF$1)</f>
        <v>#REF!</v>
      </c>
      <c r="AG107" s="24" t="e">
        <f>SUMIFS(#REF!,#REF!,$B107,#REF!,AG$1)</f>
        <v>#REF!</v>
      </c>
      <c r="AH107" s="24" t="e">
        <f>SUMIFS(#REF!,#REF!,$B107,#REF!,AH$1)</f>
        <v>#REF!</v>
      </c>
      <c r="AI107" s="24" t="e">
        <f>SUMIFS(#REF!,#REF!,$B107,#REF!,AI$1)</f>
        <v>#REF!</v>
      </c>
      <c r="AJ107" s="24" t="e">
        <f>SUMIFS(#REF!,#REF!,$B107,#REF!,AJ$1)</f>
        <v>#REF!</v>
      </c>
      <c r="AK107" s="24" t="e">
        <f>SUMIFS(#REF!,#REF!,$B107,#REF!,AK$1)</f>
        <v>#REF!</v>
      </c>
      <c r="AL107" s="24" t="e">
        <f>SUMIFS(#REF!,#REF!,$B107,#REF!,AL$1)</f>
        <v>#REF!</v>
      </c>
      <c r="AM107" s="24" t="e">
        <f>SUMIFS(#REF!,#REF!,$B107,#REF!,AM$1)</f>
        <v>#REF!</v>
      </c>
      <c r="AN107" s="24" t="e">
        <f>SUMIFS(#REF!,#REF!,$B107,#REF!,AN$1)</f>
        <v>#REF!</v>
      </c>
      <c r="AO107" s="24" t="e">
        <f>SUMIFS(#REF!,#REF!,$B107,#REF!,AO$1)</f>
        <v>#REF!</v>
      </c>
      <c r="AP107" s="24" t="e">
        <f>SUMIFS(#REF!,#REF!,$B107,#REF!,AP$1)</f>
        <v>#REF!</v>
      </c>
      <c r="AQ107" s="24" t="e">
        <f>SUMIFS(#REF!,#REF!,$B107,#REF!,AQ$1)</f>
        <v>#REF!</v>
      </c>
      <c r="AR107" s="24" t="e">
        <f>SUMIFS(#REF!,#REF!,$B107,#REF!,AR$1)</f>
        <v>#REF!</v>
      </c>
      <c r="AS107" s="24" t="e">
        <f>SUMIFS(#REF!,#REF!,$B107,#REF!,AS$1)</f>
        <v>#REF!</v>
      </c>
      <c r="AT107" s="24" t="e">
        <f>SUMIFS(#REF!,#REF!,$B107,#REF!,AT$1)</f>
        <v>#REF!</v>
      </c>
      <c r="AU107" s="24" t="e">
        <f>SUMIFS(#REF!,#REF!,$B107,#REF!,AU$1)</f>
        <v>#REF!</v>
      </c>
      <c r="AV107" s="24" t="e">
        <f>SUMIFS(#REF!,#REF!,$B107,#REF!,AV$1)</f>
        <v>#REF!</v>
      </c>
      <c r="AW107" s="24" t="e">
        <f>SUMIFS(#REF!,#REF!,$B107,#REF!,AW$1)</f>
        <v>#REF!</v>
      </c>
      <c r="AX107" s="24" t="e">
        <f>SUMIFS(#REF!,#REF!,$B107,#REF!,AX$1)</f>
        <v>#REF!</v>
      </c>
      <c r="AY107" s="24" t="e">
        <f>SUMIFS(#REF!,#REF!,$B107,#REF!,AY$1)</f>
        <v>#REF!</v>
      </c>
      <c r="AZ107" s="24" t="e">
        <f>SUMIFS(#REF!,#REF!,$B107,#REF!,AZ$1)</f>
        <v>#REF!</v>
      </c>
      <c r="BA107" s="24" t="e">
        <f>SUMIFS(#REF!,#REF!,$B107,#REF!,BA$1)</f>
        <v>#REF!</v>
      </c>
      <c r="BB107" s="24" t="e">
        <f>SUMIFS(#REF!,#REF!,$B107,#REF!,BB$1)</f>
        <v>#REF!</v>
      </c>
      <c r="BC107" s="24" t="e">
        <f>SUMIFS(#REF!,#REF!,$B107,#REF!,BC$1)</f>
        <v>#REF!</v>
      </c>
      <c r="BD107" s="24" t="e">
        <f>SUMIFS(#REF!,#REF!,$B107,#REF!,BD$1)</f>
        <v>#REF!</v>
      </c>
      <c r="BE107" s="24" t="e">
        <f>SUMIFS(#REF!,#REF!,$B107,#REF!,BE$1)</f>
        <v>#REF!</v>
      </c>
      <c r="BF107" s="24" t="e">
        <f>SUMIFS(#REF!,#REF!,$B107,#REF!,BF$1)</f>
        <v>#REF!</v>
      </c>
      <c r="BG107" s="24" t="e">
        <f>SUMIFS(#REF!,#REF!,$B107,#REF!,BG$1)</f>
        <v>#REF!</v>
      </c>
      <c r="BH107" s="24" t="e">
        <f>SUMIFS(#REF!,#REF!,$B107,#REF!,BH$1)</f>
        <v>#REF!</v>
      </c>
      <c r="BI107" s="24" t="e">
        <f>SUMIFS(#REF!,#REF!,$B107,#REF!,BI$1)</f>
        <v>#REF!</v>
      </c>
      <c r="BJ107" s="24" t="e">
        <f>SUMIFS(#REF!,#REF!,$B107,#REF!,BJ$1)</f>
        <v>#REF!</v>
      </c>
      <c r="BK107" s="24" t="e">
        <f>SUMIFS(#REF!,#REF!,$B107,#REF!,BK$1)</f>
        <v>#REF!</v>
      </c>
      <c r="BL107" s="24" t="e">
        <f>SUMIFS(#REF!,#REF!,$B107,#REF!,BL$1)</f>
        <v>#REF!</v>
      </c>
      <c r="BM107" s="24" t="e">
        <f>SUMIFS(#REF!,#REF!,$B107,#REF!,BM$1)</f>
        <v>#REF!</v>
      </c>
      <c r="BN107" s="24" t="e">
        <f>SUMIFS(#REF!,#REF!,$B107,#REF!,BN$1)</f>
        <v>#REF!</v>
      </c>
      <c r="BO107" s="24" t="e">
        <f>SUMIFS(#REF!,#REF!,$B107,#REF!,BO$1)</f>
        <v>#REF!</v>
      </c>
      <c r="BP107" s="24" t="e">
        <f>SUMIFS(#REF!,#REF!,$B107,#REF!,BP$1)</f>
        <v>#REF!</v>
      </c>
      <c r="BQ107" s="24" t="e">
        <f>SUMIFS(#REF!,#REF!,$B107,#REF!,BQ$1)</f>
        <v>#REF!</v>
      </c>
      <c r="BR107" s="24" t="e">
        <f>SUMIFS(#REF!,#REF!,$B107,#REF!,BR$1)</f>
        <v>#REF!</v>
      </c>
      <c r="BS107" s="24" t="e">
        <f>SUMIFS(#REF!,#REF!,$B107,#REF!,BS$1)</f>
        <v>#REF!</v>
      </c>
      <c r="BT107" s="24" t="e">
        <f>SUMIFS(#REF!,#REF!,$B107,#REF!,BT$1)</f>
        <v>#REF!</v>
      </c>
      <c r="BU107" s="24" t="e">
        <f>SUMIFS(#REF!,#REF!,$B107,#REF!,BU$1)</f>
        <v>#REF!</v>
      </c>
      <c r="BV107" s="24" t="e">
        <f>SUMIFS(#REF!,#REF!,$B107,#REF!,BV$1)</f>
        <v>#REF!</v>
      </c>
      <c r="BW107" s="24" t="e">
        <f>SUMIFS(#REF!,#REF!,$B107,#REF!,BW$1)</f>
        <v>#REF!</v>
      </c>
      <c r="BX107" s="24" t="e">
        <f>SUMIFS(#REF!,#REF!,$B107,#REF!,BX$1)</f>
        <v>#REF!</v>
      </c>
      <c r="BY107" s="24" t="e">
        <f>SUMIFS(#REF!,#REF!,$B107,#REF!,BY$1)</f>
        <v>#REF!</v>
      </c>
      <c r="BZ107" s="24" t="e">
        <f>SUMIFS(#REF!,#REF!,$B107,#REF!,BZ$1)</f>
        <v>#REF!</v>
      </c>
      <c r="CA107" s="24" t="e">
        <f>SUMIFS(#REF!,#REF!,$B107,#REF!,CA$1)</f>
        <v>#REF!</v>
      </c>
      <c r="CB107" s="24" t="e">
        <f>SUMIFS(#REF!,#REF!,$B107,#REF!,CB$1)</f>
        <v>#REF!</v>
      </c>
      <c r="CC107" s="24" t="e">
        <f>SUMIFS(#REF!,#REF!,$B107,#REF!,CC$1)</f>
        <v>#REF!</v>
      </c>
      <c r="CD107" s="24" t="e">
        <f>SUMIFS(#REF!,#REF!,$B107,#REF!,CD$1)</f>
        <v>#REF!</v>
      </c>
      <c r="CE107" s="24" t="e">
        <f>SUMIFS(#REF!,#REF!,$B107,#REF!,CE$1)</f>
        <v>#REF!</v>
      </c>
      <c r="CF107" s="24" t="e">
        <f>SUMIFS(#REF!,#REF!,$B107,#REF!,CF$1)</f>
        <v>#REF!</v>
      </c>
      <c r="CG107" s="19" t="e">
        <f t="shared" si="1"/>
        <v>#REF!</v>
      </c>
    </row>
    <row r="108" spans="1:85" x14ac:dyDescent="0.45">
      <c r="A108" s="4" t="s">
        <v>1198</v>
      </c>
      <c r="B108" s="4" t="s">
        <v>1199</v>
      </c>
      <c r="C108" s="24" t="e">
        <f>SUMIFS(#REF!,#REF!,$B108,#REF!,C$1)</f>
        <v>#REF!</v>
      </c>
      <c r="D108" s="24" t="e">
        <f>SUMIFS(#REF!,#REF!,$B108,#REF!,D$1)</f>
        <v>#REF!</v>
      </c>
      <c r="E108" s="24" t="e">
        <f>SUMIFS(#REF!,#REF!,$B108,#REF!,E$1)</f>
        <v>#REF!</v>
      </c>
      <c r="F108" s="24" t="e">
        <f>SUMIFS(#REF!,#REF!,$B108,#REF!,F$1)</f>
        <v>#REF!</v>
      </c>
      <c r="G108" s="24" t="e">
        <f>SUMIFS(#REF!,#REF!,$B108,#REF!,G$1)</f>
        <v>#REF!</v>
      </c>
      <c r="H108" s="24" t="e">
        <f>SUMIFS(#REF!,#REF!,$B108,#REF!,H$1)</f>
        <v>#REF!</v>
      </c>
      <c r="I108" s="24" t="e">
        <f>SUMIFS(#REF!,#REF!,$B108,#REF!,I$1)</f>
        <v>#REF!</v>
      </c>
      <c r="J108" s="24" t="e">
        <f>SUMIFS(#REF!,#REF!,$B108,#REF!,J$1)</f>
        <v>#REF!</v>
      </c>
      <c r="K108" s="24" t="e">
        <f>SUMIFS(#REF!,#REF!,$B108,#REF!,K$1)</f>
        <v>#REF!</v>
      </c>
      <c r="L108" s="24" t="e">
        <f>SUMIFS(#REF!,#REF!,$B108,#REF!,L$1)</f>
        <v>#REF!</v>
      </c>
      <c r="M108" s="24" t="e">
        <f>SUMIFS(#REF!,#REF!,$B108,#REF!,M$1)</f>
        <v>#REF!</v>
      </c>
      <c r="N108" s="24" t="e">
        <f>SUMIFS(#REF!,#REF!,$B108,#REF!,N$1)</f>
        <v>#REF!</v>
      </c>
      <c r="O108" s="24" t="e">
        <f>SUMIFS(#REF!,#REF!,$B108,#REF!,O$1)</f>
        <v>#REF!</v>
      </c>
      <c r="P108" s="24" t="e">
        <f>SUMIFS(#REF!,#REF!,$B108,#REF!,P$1)</f>
        <v>#REF!</v>
      </c>
      <c r="Q108" s="24" t="e">
        <f>SUMIFS(#REF!,#REF!,$B108,#REF!,Q$1)</f>
        <v>#REF!</v>
      </c>
      <c r="R108" s="24" t="e">
        <f>SUMIFS(#REF!,#REF!,$B108,#REF!,R$1)</f>
        <v>#REF!</v>
      </c>
      <c r="S108" s="24" t="e">
        <f>SUMIFS(#REF!,#REF!,$B108,#REF!,S$1)</f>
        <v>#REF!</v>
      </c>
      <c r="T108" s="24" t="e">
        <f>SUMIFS(#REF!,#REF!,$B108,#REF!,T$1)</f>
        <v>#REF!</v>
      </c>
      <c r="U108" s="24" t="e">
        <f>SUMIFS(#REF!,#REF!,$B108,#REF!,U$1)</f>
        <v>#REF!</v>
      </c>
      <c r="V108" s="24" t="e">
        <f>SUMIFS(#REF!,#REF!,$B108,#REF!,V$1)</f>
        <v>#REF!</v>
      </c>
      <c r="W108" s="24" t="e">
        <f>SUMIFS(#REF!,#REF!,$B108,#REF!,W$1)</f>
        <v>#REF!</v>
      </c>
      <c r="X108" s="24" t="e">
        <f>SUMIFS(#REF!,#REF!,$B108,#REF!,X$1)</f>
        <v>#REF!</v>
      </c>
      <c r="Y108" s="24" t="e">
        <f>SUMIFS(#REF!,#REF!,$B108,#REF!,Y$1)</f>
        <v>#REF!</v>
      </c>
      <c r="Z108" s="24" t="e">
        <f>SUMIFS(#REF!,#REF!,$B108,#REF!,Z$1)</f>
        <v>#REF!</v>
      </c>
      <c r="AA108" s="24" t="e">
        <f>SUMIFS(#REF!,#REF!,$B108,#REF!,AA$1)</f>
        <v>#REF!</v>
      </c>
      <c r="AB108" s="24" t="e">
        <f>SUMIFS(#REF!,#REF!,$B108,#REF!,AB$1)</f>
        <v>#REF!</v>
      </c>
      <c r="AC108" s="24" t="e">
        <f>SUMIFS(#REF!,#REF!,$B108,#REF!,AC$1)</f>
        <v>#REF!</v>
      </c>
      <c r="AD108" s="24" t="e">
        <f>SUMIFS(#REF!,#REF!,$B108,#REF!,AD$1)</f>
        <v>#REF!</v>
      </c>
      <c r="AE108" s="24" t="e">
        <f>SUMIFS(#REF!,#REF!,$B108,#REF!,AE$1)</f>
        <v>#REF!</v>
      </c>
      <c r="AF108" s="24" t="e">
        <f>SUMIFS(#REF!,#REF!,$B108,#REF!,AF$1)</f>
        <v>#REF!</v>
      </c>
      <c r="AG108" s="24" t="e">
        <f>SUMIFS(#REF!,#REF!,$B108,#REF!,AG$1)</f>
        <v>#REF!</v>
      </c>
      <c r="AH108" s="24" t="e">
        <f>SUMIFS(#REF!,#REF!,$B108,#REF!,AH$1)</f>
        <v>#REF!</v>
      </c>
      <c r="AI108" s="24" t="e">
        <f>SUMIFS(#REF!,#REF!,$B108,#REF!,AI$1)</f>
        <v>#REF!</v>
      </c>
      <c r="AJ108" s="24" t="e">
        <f>SUMIFS(#REF!,#REF!,$B108,#REF!,AJ$1)</f>
        <v>#REF!</v>
      </c>
      <c r="AK108" s="24" t="e">
        <f>SUMIFS(#REF!,#REF!,$B108,#REF!,AK$1)</f>
        <v>#REF!</v>
      </c>
      <c r="AL108" s="24" t="e">
        <f>SUMIFS(#REF!,#REF!,$B108,#REF!,AL$1)</f>
        <v>#REF!</v>
      </c>
      <c r="AM108" s="24" t="e">
        <f>SUMIFS(#REF!,#REF!,$B108,#REF!,AM$1)</f>
        <v>#REF!</v>
      </c>
      <c r="AN108" s="24" t="e">
        <f>SUMIFS(#REF!,#REF!,$B108,#REF!,AN$1)</f>
        <v>#REF!</v>
      </c>
      <c r="AO108" s="24" t="e">
        <f>SUMIFS(#REF!,#REF!,$B108,#REF!,AO$1)</f>
        <v>#REF!</v>
      </c>
      <c r="AP108" s="24" t="e">
        <f>SUMIFS(#REF!,#REF!,$B108,#REF!,AP$1)</f>
        <v>#REF!</v>
      </c>
      <c r="AQ108" s="24" t="e">
        <f>SUMIFS(#REF!,#REF!,$B108,#REF!,AQ$1)</f>
        <v>#REF!</v>
      </c>
      <c r="AR108" s="24" t="e">
        <f>SUMIFS(#REF!,#REF!,$B108,#REF!,AR$1)</f>
        <v>#REF!</v>
      </c>
      <c r="AS108" s="24" t="e">
        <f>SUMIFS(#REF!,#REF!,$B108,#REF!,AS$1)</f>
        <v>#REF!</v>
      </c>
      <c r="AT108" s="24" t="e">
        <f>SUMIFS(#REF!,#REF!,$B108,#REF!,AT$1)</f>
        <v>#REF!</v>
      </c>
      <c r="AU108" s="24" t="e">
        <f>SUMIFS(#REF!,#REF!,$B108,#REF!,AU$1)</f>
        <v>#REF!</v>
      </c>
      <c r="AV108" s="24" t="e">
        <f>SUMIFS(#REF!,#REF!,$B108,#REF!,AV$1)</f>
        <v>#REF!</v>
      </c>
      <c r="AW108" s="24" t="e">
        <f>SUMIFS(#REF!,#REF!,$B108,#REF!,AW$1)</f>
        <v>#REF!</v>
      </c>
      <c r="AX108" s="24" t="e">
        <f>SUMIFS(#REF!,#REF!,$B108,#REF!,AX$1)</f>
        <v>#REF!</v>
      </c>
      <c r="AY108" s="24" t="e">
        <f>SUMIFS(#REF!,#REF!,$B108,#REF!,AY$1)</f>
        <v>#REF!</v>
      </c>
      <c r="AZ108" s="24" t="e">
        <f>SUMIFS(#REF!,#REF!,$B108,#REF!,AZ$1)</f>
        <v>#REF!</v>
      </c>
      <c r="BA108" s="24" t="e">
        <f>SUMIFS(#REF!,#REF!,$B108,#REF!,BA$1)</f>
        <v>#REF!</v>
      </c>
      <c r="BB108" s="24" t="e">
        <f>SUMIFS(#REF!,#REF!,$B108,#REF!,BB$1)</f>
        <v>#REF!</v>
      </c>
      <c r="BC108" s="24" t="e">
        <f>SUMIFS(#REF!,#REF!,$B108,#REF!,BC$1)</f>
        <v>#REF!</v>
      </c>
      <c r="BD108" s="24" t="e">
        <f>SUMIFS(#REF!,#REF!,$B108,#REF!,BD$1)</f>
        <v>#REF!</v>
      </c>
      <c r="BE108" s="24" t="e">
        <f>SUMIFS(#REF!,#REF!,$B108,#REF!,BE$1)</f>
        <v>#REF!</v>
      </c>
      <c r="BF108" s="24" t="e">
        <f>SUMIFS(#REF!,#REF!,$B108,#REF!,BF$1)</f>
        <v>#REF!</v>
      </c>
      <c r="BG108" s="24" t="e">
        <f>SUMIFS(#REF!,#REF!,$B108,#REF!,BG$1)</f>
        <v>#REF!</v>
      </c>
      <c r="BH108" s="24" t="e">
        <f>SUMIFS(#REF!,#REF!,$B108,#REF!,BH$1)</f>
        <v>#REF!</v>
      </c>
      <c r="BI108" s="24" t="e">
        <f>SUMIFS(#REF!,#REF!,$B108,#REF!,BI$1)</f>
        <v>#REF!</v>
      </c>
      <c r="BJ108" s="24" t="e">
        <f>SUMIFS(#REF!,#REF!,$B108,#REF!,BJ$1)</f>
        <v>#REF!</v>
      </c>
      <c r="BK108" s="24" t="e">
        <f>SUMIFS(#REF!,#REF!,$B108,#REF!,BK$1)</f>
        <v>#REF!</v>
      </c>
      <c r="BL108" s="24" t="e">
        <f>SUMIFS(#REF!,#REF!,$B108,#REF!,BL$1)</f>
        <v>#REF!</v>
      </c>
      <c r="BM108" s="24" t="e">
        <f>SUMIFS(#REF!,#REF!,$B108,#REF!,BM$1)</f>
        <v>#REF!</v>
      </c>
      <c r="BN108" s="24" t="e">
        <f>SUMIFS(#REF!,#REF!,$B108,#REF!,BN$1)</f>
        <v>#REF!</v>
      </c>
      <c r="BO108" s="24" t="e">
        <f>SUMIFS(#REF!,#REF!,$B108,#REF!,BO$1)</f>
        <v>#REF!</v>
      </c>
      <c r="BP108" s="24" t="e">
        <f>SUMIFS(#REF!,#REF!,$B108,#REF!,BP$1)</f>
        <v>#REF!</v>
      </c>
      <c r="BQ108" s="24" t="e">
        <f>SUMIFS(#REF!,#REF!,$B108,#REF!,BQ$1)</f>
        <v>#REF!</v>
      </c>
      <c r="BR108" s="24" t="e">
        <f>SUMIFS(#REF!,#REF!,$B108,#REF!,BR$1)</f>
        <v>#REF!</v>
      </c>
      <c r="BS108" s="24" t="e">
        <f>SUMIFS(#REF!,#REF!,$B108,#REF!,BS$1)</f>
        <v>#REF!</v>
      </c>
      <c r="BT108" s="24" t="e">
        <f>SUMIFS(#REF!,#REF!,$B108,#REF!,BT$1)</f>
        <v>#REF!</v>
      </c>
      <c r="BU108" s="24" t="e">
        <f>SUMIFS(#REF!,#REF!,$B108,#REF!,BU$1)</f>
        <v>#REF!</v>
      </c>
      <c r="BV108" s="24" t="e">
        <f>SUMIFS(#REF!,#REF!,$B108,#REF!,BV$1)</f>
        <v>#REF!</v>
      </c>
      <c r="BW108" s="24" t="e">
        <f>SUMIFS(#REF!,#REF!,$B108,#REF!,BW$1)</f>
        <v>#REF!</v>
      </c>
      <c r="BX108" s="24" t="e">
        <f>SUMIFS(#REF!,#REF!,$B108,#REF!,BX$1)</f>
        <v>#REF!</v>
      </c>
      <c r="BY108" s="24" t="e">
        <f>SUMIFS(#REF!,#REF!,$B108,#REF!,BY$1)</f>
        <v>#REF!</v>
      </c>
      <c r="BZ108" s="24" t="e">
        <f>SUMIFS(#REF!,#REF!,$B108,#REF!,BZ$1)</f>
        <v>#REF!</v>
      </c>
      <c r="CA108" s="24" t="e">
        <f>SUMIFS(#REF!,#REF!,$B108,#REF!,CA$1)</f>
        <v>#REF!</v>
      </c>
      <c r="CB108" s="24" t="e">
        <f>SUMIFS(#REF!,#REF!,$B108,#REF!,CB$1)</f>
        <v>#REF!</v>
      </c>
      <c r="CC108" s="24" t="e">
        <f>SUMIFS(#REF!,#REF!,$B108,#REF!,CC$1)</f>
        <v>#REF!</v>
      </c>
      <c r="CD108" s="24" t="e">
        <f>SUMIFS(#REF!,#REF!,$B108,#REF!,CD$1)</f>
        <v>#REF!</v>
      </c>
      <c r="CE108" s="24" t="e">
        <f>SUMIFS(#REF!,#REF!,$B108,#REF!,CE$1)</f>
        <v>#REF!</v>
      </c>
      <c r="CF108" s="24" t="e">
        <f>SUMIFS(#REF!,#REF!,$B108,#REF!,CF$1)</f>
        <v>#REF!</v>
      </c>
      <c r="CG108" s="19" t="e">
        <f t="shared" si="1"/>
        <v>#REF!</v>
      </c>
    </row>
    <row r="109" spans="1:85" x14ac:dyDescent="0.45">
      <c r="A109" s="4" t="s">
        <v>1200</v>
      </c>
      <c r="B109" s="4" t="s">
        <v>1201</v>
      </c>
      <c r="C109" s="24" t="e">
        <f>SUMIFS(#REF!,#REF!,$B109,#REF!,C$1)</f>
        <v>#REF!</v>
      </c>
      <c r="D109" s="24" t="e">
        <f>SUMIFS(#REF!,#REF!,$B109,#REF!,D$1)</f>
        <v>#REF!</v>
      </c>
      <c r="E109" s="24" t="e">
        <f>SUMIFS(#REF!,#REF!,$B109,#REF!,E$1)</f>
        <v>#REF!</v>
      </c>
      <c r="F109" s="24" t="e">
        <f>SUMIFS(#REF!,#REF!,$B109,#REF!,F$1)</f>
        <v>#REF!</v>
      </c>
      <c r="G109" s="24" t="e">
        <f>SUMIFS(#REF!,#REF!,$B109,#REF!,G$1)</f>
        <v>#REF!</v>
      </c>
      <c r="H109" s="24" t="e">
        <f>SUMIFS(#REF!,#REF!,$B109,#REF!,H$1)</f>
        <v>#REF!</v>
      </c>
      <c r="I109" s="24" t="e">
        <f>SUMIFS(#REF!,#REF!,$B109,#REF!,I$1)</f>
        <v>#REF!</v>
      </c>
      <c r="J109" s="24" t="e">
        <f>SUMIFS(#REF!,#REF!,$B109,#REF!,J$1)</f>
        <v>#REF!</v>
      </c>
      <c r="K109" s="24" t="e">
        <f>SUMIFS(#REF!,#REF!,$B109,#REF!,K$1)</f>
        <v>#REF!</v>
      </c>
      <c r="L109" s="24" t="e">
        <f>SUMIFS(#REF!,#REF!,$B109,#REF!,L$1)</f>
        <v>#REF!</v>
      </c>
      <c r="M109" s="24" t="e">
        <f>SUMIFS(#REF!,#REF!,$B109,#REF!,M$1)</f>
        <v>#REF!</v>
      </c>
      <c r="N109" s="24" t="e">
        <f>SUMIFS(#REF!,#REF!,$B109,#REF!,N$1)</f>
        <v>#REF!</v>
      </c>
      <c r="O109" s="24" t="e">
        <f>SUMIFS(#REF!,#REF!,$B109,#REF!,O$1)</f>
        <v>#REF!</v>
      </c>
      <c r="P109" s="24" t="e">
        <f>SUMIFS(#REF!,#REF!,$B109,#REF!,P$1)</f>
        <v>#REF!</v>
      </c>
      <c r="Q109" s="24" t="e">
        <f>SUMIFS(#REF!,#REF!,$B109,#REF!,Q$1)</f>
        <v>#REF!</v>
      </c>
      <c r="R109" s="24" t="e">
        <f>SUMIFS(#REF!,#REF!,$B109,#REF!,R$1)</f>
        <v>#REF!</v>
      </c>
      <c r="S109" s="24" t="e">
        <f>SUMIFS(#REF!,#REF!,$B109,#REF!,S$1)</f>
        <v>#REF!</v>
      </c>
      <c r="T109" s="24" t="e">
        <f>SUMIFS(#REF!,#REF!,$B109,#REF!,T$1)</f>
        <v>#REF!</v>
      </c>
      <c r="U109" s="24" t="e">
        <f>SUMIFS(#REF!,#REF!,$B109,#REF!,U$1)</f>
        <v>#REF!</v>
      </c>
      <c r="V109" s="24" t="e">
        <f>SUMIFS(#REF!,#REF!,$B109,#REF!,V$1)</f>
        <v>#REF!</v>
      </c>
      <c r="W109" s="24" t="e">
        <f>SUMIFS(#REF!,#REF!,$B109,#REF!,W$1)</f>
        <v>#REF!</v>
      </c>
      <c r="X109" s="24" t="e">
        <f>SUMIFS(#REF!,#REF!,$B109,#REF!,X$1)</f>
        <v>#REF!</v>
      </c>
      <c r="Y109" s="24" t="e">
        <f>SUMIFS(#REF!,#REF!,$B109,#REF!,Y$1)</f>
        <v>#REF!</v>
      </c>
      <c r="Z109" s="24" t="e">
        <f>SUMIFS(#REF!,#REF!,$B109,#REF!,Z$1)</f>
        <v>#REF!</v>
      </c>
      <c r="AA109" s="24" t="e">
        <f>SUMIFS(#REF!,#REF!,$B109,#REF!,AA$1)</f>
        <v>#REF!</v>
      </c>
      <c r="AB109" s="24" t="e">
        <f>SUMIFS(#REF!,#REF!,$B109,#REF!,AB$1)</f>
        <v>#REF!</v>
      </c>
      <c r="AC109" s="24" t="e">
        <f>SUMIFS(#REF!,#REF!,$B109,#REF!,AC$1)</f>
        <v>#REF!</v>
      </c>
      <c r="AD109" s="24" t="e">
        <f>SUMIFS(#REF!,#REF!,$B109,#REF!,AD$1)</f>
        <v>#REF!</v>
      </c>
      <c r="AE109" s="24" t="e">
        <f>SUMIFS(#REF!,#REF!,$B109,#REF!,AE$1)</f>
        <v>#REF!</v>
      </c>
      <c r="AF109" s="24" t="e">
        <f>SUMIFS(#REF!,#REF!,$B109,#REF!,AF$1)</f>
        <v>#REF!</v>
      </c>
      <c r="AG109" s="24" t="e">
        <f>SUMIFS(#REF!,#REF!,$B109,#REF!,AG$1)</f>
        <v>#REF!</v>
      </c>
      <c r="AH109" s="24" t="e">
        <f>SUMIFS(#REF!,#REF!,$B109,#REF!,AH$1)</f>
        <v>#REF!</v>
      </c>
      <c r="AI109" s="24" t="e">
        <f>SUMIFS(#REF!,#REF!,$B109,#REF!,AI$1)</f>
        <v>#REF!</v>
      </c>
      <c r="AJ109" s="24" t="e">
        <f>SUMIFS(#REF!,#REF!,$B109,#REF!,AJ$1)</f>
        <v>#REF!</v>
      </c>
      <c r="AK109" s="24" t="e">
        <f>SUMIFS(#REF!,#REF!,$B109,#REF!,AK$1)</f>
        <v>#REF!</v>
      </c>
      <c r="AL109" s="24" t="e">
        <f>SUMIFS(#REF!,#REF!,$B109,#REF!,AL$1)</f>
        <v>#REF!</v>
      </c>
      <c r="AM109" s="24" t="e">
        <f>SUMIFS(#REF!,#REF!,$B109,#REF!,AM$1)</f>
        <v>#REF!</v>
      </c>
      <c r="AN109" s="24" t="e">
        <f>SUMIFS(#REF!,#REF!,$B109,#REF!,AN$1)</f>
        <v>#REF!</v>
      </c>
      <c r="AO109" s="24" t="e">
        <f>SUMIFS(#REF!,#REF!,$B109,#REF!,AO$1)</f>
        <v>#REF!</v>
      </c>
      <c r="AP109" s="24" t="e">
        <f>SUMIFS(#REF!,#REF!,$B109,#REF!,AP$1)</f>
        <v>#REF!</v>
      </c>
      <c r="AQ109" s="24" t="e">
        <f>SUMIFS(#REF!,#REF!,$B109,#REF!,AQ$1)</f>
        <v>#REF!</v>
      </c>
      <c r="AR109" s="24" t="e">
        <f>SUMIFS(#REF!,#REF!,$B109,#REF!,AR$1)</f>
        <v>#REF!</v>
      </c>
      <c r="AS109" s="24" t="e">
        <f>SUMIFS(#REF!,#REF!,$B109,#REF!,AS$1)</f>
        <v>#REF!</v>
      </c>
      <c r="AT109" s="24" t="e">
        <f>SUMIFS(#REF!,#REF!,$B109,#REF!,AT$1)</f>
        <v>#REF!</v>
      </c>
      <c r="AU109" s="24" t="e">
        <f>SUMIFS(#REF!,#REF!,$B109,#REF!,AU$1)</f>
        <v>#REF!</v>
      </c>
      <c r="AV109" s="24" t="e">
        <f>SUMIFS(#REF!,#REF!,$B109,#REF!,AV$1)</f>
        <v>#REF!</v>
      </c>
      <c r="AW109" s="24" t="e">
        <f>SUMIFS(#REF!,#REF!,$B109,#REF!,AW$1)</f>
        <v>#REF!</v>
      </c>
      <c r="AX109" s="24" t="e">
        <f>SUMIFS(#REF!,#REF!,$B109,#REF!,AX$1)</f>
        <v>#REF!</v>
      </c>
      <c r="AY109" s="24" t="e">
        <f>SUMIFS(#REF!,#REF!,$B109,#REF!,AY$1)</f>
        <v>#REF!</v>
      </c>
      <c r="AZ109" s="24" t="e">
        <f>SUMIFS(#REF!,#REF!,$B109,#REF!,AZ$1)</f>
        <v>#REF!</v>
      </c>
      <c r="BA109" s="24" t="e">
        <f>SUMIFS(#REF!,#REF!,$B109,#REF!,BA$1)</f>
        <v>#REF!</v>
      </c>
      <c r="BB109" s="24" t="e">
        <f>SUMIFS(#REF!,#REF!,$B109,#REF!,BB$1)</f>
        <v>#REF!</v>
      </c>
      <c r="BC109" s="24" t="e">
        <f>SUMIFS(#REF!,#REF!,$B109,#REF!,BC$1)</f>
        <v>#REF!</v>
      </c>
      <c r="BD109" s="24" t="e">
        <f>SUMIFS(#REF!,#REF!,$B109,#REF!,BD$1)</f>
        <v>#REF!</v>
      </c>
      <c r="BE109" s="24" t="e">
        <f>SUMIFS(#REF!,#REF!,$B109,#REF!,BE$1)</f>
        <v>#REF!</v>
      </c>
      <c r="BF109" s="24" t="e">
        <f>SUMIFS(#REF!,#REF!,$B109,#REF!,BF$1)</f>
        <v>#REF!</v>
      </c>
      <c r="BG109" s="24" t="e">
        <f>SUMIFS(#REF!,#REF!,$B109,#REF!,BG$1)</f>
        <v>#REF!</v>
      </c>
      <c r="BH109" s="24" t="e">
        <f>SUMIFS(#REF!,#REF!,$B109,#REF!,BH$1)</f>
        <v>#REF!</v>
      </c>
      <c r="BI109" s="24" t="e">
        <f>SUMIFS(#REF!,#REF!,$B109,#REF!,BI$1)</f>
        <v>#REF!</v>
      </c>
      <c r="BJ109" s="24" t="e">
        <f>SUMIFS(#REF!,#REF!,$B109,#REF!,BJ$1)</f>
        <v>#REF!</v>
      </c>
      <c r="BK109" s="24" t="e">
        <f>SUMIFS(#REF!,#REF!,$B109,#REF!,BK$1)</f>
        <v>#REF!</v>
      </c>
      <c r="BL109" s="24" t="e">
        <f>SUMIFS(#REF!,#REF!,$B109,#REF!,BL$1)</f>
        <v>#REF!</v>
      </c>
      <c r="BM109" s="24" t="e">
        <f>SUMIFS(#REF!,#REF!,$B109,#REF!,BM$1)</f>
        <v>#REF!</v>
      </c>
      <c r="BN109" s="24" t="e">
        <f>SUMIFS(#REF!,#REF!,$B109,#REF!,BN$1)</f>
        <v>#REF!</v>
      </c>
      <c r="BO109" s="24" t="e">
        <f>SUMIFS(#REF!,#REF!,$B109,#REF!,BO$1)</f>
        <v>#REF!</v>
      </c>
      <c r="BP109" s="24" t="e">
        <f>SUMIFS(#REF!,#REF!,$B109,#REF!,BP$1)</f>
        <v>#REF!</v>
      </c>
      <c r="BQ109" s="24" t="e">
        <f>SUMIFS(#REF!,#REF!,$B109,#REF!,BQ$1)</f>
        <v>#REF!</v>
      </c>
      <c r="BR109" s="24" t="e">
        <f>SUMIFS(#REF!,#REF!,$B109,#REF!,BR$1)</f>
        <v>#REF!</v>
      </c>
      <c r="BS109" s="24" t="e">
        <f>SUMIFS(#REF!,#REF!,$B109,#REF!,BS$1)</f>
        <v>#REF!</v>
      </c>
      <c r="BT109" s="24" t="e">
        <f>SUMIFS(#REF!,#REF!,$B109,#REF!,BT$1)</f>
        <v>#REF!</v>
      </c>
      <c r="BU109" s="24" t="e">
        <f>SUMIFS(#REF!,#REF!,$B109,#REF!,BU$1)</f>
        <v>#REF!</v>
      </c>
      <c r="BV109" s="24" t="e">
        <f>SUMIFS(#REF!,#REF!,$B109,#REF!,BV$1)</f>
        <v>#REF!</v>
      </c>
      <c r="BW109" s="24" t="e">
        <f>SUMIFS(#REF!,#REF!,$B109,#REF!,BW$1)</f>
        <v>#REF!</v>
      </c>
      <c r="BX109" s="24" t="e">
        <f>SUMIFS(#REF!,#REF!,$B109,#REF!,BX$1)</f>
        <v>#REF!</v>
      </c>
      <c r="BY109" s="24" t="e">
        <f>SUMIFS(#REF!,#REF!,$B109,#REF!,BY$1)</f>
        <v>#REF!</v>
      </c>
      <c r="BZ109" s="24" t="e">
        <f>SUMIFS(#REF!,#REF!,$B109,#REF!,BZ$1)</f>
        <v>#REF!</v>
      </c>
      <c r="CA109" s="24" t="e">
        <f>SUMIFS(#REF!,#REF!,$B109,#REF!,CA$1)</f>
        <v>#REF!</v>
      </c>
      <c r="CB109" s="24" t="e">
        <f>SUMIFS(#REF!,#REF!,$B109,#REF!,CB$1)</f>
        <v>#REF!</v>
      </c>
      <c r="CC109" s="24" t="e">
        <f>SUMIFS(#REF!,#REF!,$B109,#REF!,CC$1)</f>
        <v>#REF!</v>
      </c>
      <c r="CD109" s="24" t="e">
        <f>SUMIFS(#REF!,#REF!,$B109,#REF!,CD$1)</f>
        <v>#REF!</v>
      </c>
      <c r="CE109" s="24" t="e">
        <f>SUMIFS(#REF!,#REF!,$B109,#REF!,CE$1)</f>
        <v>#REF!</v>
      </c>
      <c r="CF109" s="24" t="e">
        <f>SUMIFS(#REF!,#REF!,$B109,#REF!,CF$1)</f>
        <v>#REF!</v>
      </c>
      <c r="CG109" s="19" t="e">
        <f t="shared" si="1"/>
        <v>#REF!</v>
      </c>
    </row>
    <row r="110" spans="1:85" x14ac:dyDescent="0.45">
      <c r="A110" s="4" t="s">
        <v>1202</v>
      </c>
      <c r="B110" s="4" t="s">
        <v>1203</v>
      </c>
      <c r="C110" s="24" t="e">
        <f>SUMIFS(#REF!,#REF!,$B110,#REF!,C$1)</f>
        <v>#REF!</v>
      </c>
      <c r="D110" s="24" t="e">
        <f>SUMIFS(#REF!,#REF!,$B110,#REF!,D$1)</f>
        <v>#REF!</v>
      </c>
      <c r="E110" s="24" t="e">
        <f>SUMIFS(#REF!,#REF!,$B110,#REF!,E$1)</f>
        <v>#REF!</v>
      </c>
      <c r="F110" s="24" t="e">
        <f>SUMIFS(#REF!,#REF!,$B110,#REF!,F$1)</f>
        <v>#REF!</v>
      </c>
      <c r="G110" s="24" t="e">
        <f>SUMIFS(#REF!,#REF!,$B110,#REF!,G$1)</f>
        <v>#REF!</v>
      </c>
      <c r="H110" s="24" t="e">
        <f>SUMIFS(#REF!,#REF!,$B110,#REF!,H$1)</f>
        <v>#REF!</v>
      </c>
      <c r="I110" s="24" t="e">
        <f>SUMIFS(#REF!,#REF!,$B110,#REF!,I$1)</f>
        <v>#REF!</v>
      </c>
      <c r="J110" s="24" t="e">
        <f>SUMIFS(#REF!,#REF!,$B110,#REF!,J$1)</f>
        <v>#REF!</v>
      </c>
      <c r="K110" s="24" t="e">
        <f>SUMIFS(#REF!,#REF!,$B110,#REF!,K$1)</f>
        <v>#REF!</v>
      </c>
      <c r="L110" s="24" t="e">
        <f>SUMIFS(#REF!,#REF!,$B110,#REF!,L$1)</f>
        <v>#REF!</v>
      </c>
      <c r="M110" s="24" t="e">
        <f>SUMIFS(#REF!,#REF!,$B110,#REF!,M$1)</f>
        <v>#REF!</v>
      </c>
      <c r="N110" s="24" t="e">
        <f>SUMIFS(#REF!,#REF!,$B110,#REF!,N$1)</f>
        <v>#REF!</v>
      </c>
      <c r="O110" s="24" t="e">
        <f>SUMIFS(#REF!,#REF!,$B110,#REF!,O$1)</f>
        <v>#REF!</v>
      </c>
      <c r="P110" s="24" t="e">
        <f>SUMIFS(#REF!,#REF!,$B110,#REF!,P$1)</f>
        <v>#REF!</v>
      </c>
      <c r="Q110" s="24" t="e">
        <f>SUMIFS(#REF!,#REF!,$B110,#REF!,Q$1)</f>
        <v>#REF!</v>
      </c>
      <c r="R110" s="24" t="e">
        <f>SUMIFS(#REF!,#REF!,$B110,#REF!,R$1)</f>
        <v>#REF!</v>
      </c>
      <c r="S110" s="24" t="e">
        <f>SUMIFS(#REF!,#REF!,$B110,#REF!,S$1)</f>
        <v>#REF!</v>
      </c>
      <c r="T110" s="24" t="e">
        <f>SUMIFS(#REF!,#REF!,$B110,#REF!,T$1)</f>
        <v>#REF!</v>
      </c>
      <c r="U110" s="24" t="e">
        <f>SUMIFS(#REF!,#REF!,$B110,#REF!,U$1)</f>
        <v>#REF!</v>
      </c>
      <c r="V110" s="24" t="e">
        <f>SUMIFS(#REF!,#REF!,$B110,#REF!,V$1)</f>
        <v>#REF!</v>
      </c>
      <c r="W110" s="24" t="e">
        <f>SUMIFS(#REF!,#REF!,$B110,#REF!,W$1)</f>
        <v>#REF!</v>
      </c>
      <c r="X110" s="24" t="e">
        <f>SUMIFS(#REF!,#REF!,$B110,#REF!,X$1)</f>
        <v>#REF!</v>
      </c>
      <c r="Y110" s="24" t="e">
        <f>SUMIFS(#REF!,#REF!,$B110,#REF!,Y$1)</f>
        <v>#REF!</v>
      </c>
      <c r="Z110" s="24" t="e">
        <f>SUMIFS(#REF!,#REF!,$B110,#REF!,Z$1)</f>
        <v>#REF!</v>
      </c>
      <c r="AA110" s="24" t="e">
        <f>SUMIFS(#REF!,#REF!,$B110,#REF!,AA$1)</f>
        <v>#REF!</v>
      </c>
      <c r="AB110" s="24" t="e">
        <f>SUMIFS(#REF!,#REF!,$B110,#REF!,AB$1)</f>
        <v>#REF!</v>
      </c>
      <c r="AC110" s="24" t="e">
        <f>SUMIFS(#REF!,#REF!,$B110,#REF!,AC$1)</f>
        <v>#REF!</v>
      </c>
      <c r="AD110" s="24" t="e">
        <f>SUMIFS(#REF!,#REF!,$B110,#REF!,AD$1)</f>
        <v>#REF!</v>
      </c>
      <c r="AE110" s="24" t="e">
        <f>SUMIFS(#REF!,#REF!,$B110,#REF!,AE$1)</f>
        <v>#REF!</v>
      </c>
      <c r="AF110" s="24" t="e">
        <f>SUMIFS(#REF!,#REF!,$B110,#REF!,AF$1)</f>
        <v>#REF!</v>
      </c>
      <c r="AG110" s="24" t="e">
        <f>SUMIFS(#REF!,#REF!,$B110,#REF!,AG$1)</f>
        <v>#REF!</v>
      </c>
      <c r="AH110" s="24" t="e">
        <f>SUMIFS(#REF!,#REF!,$B110,#REF!,AH$1)</f>
        <v>#REF!</v>
      </c>
      <c r="AI110" s="24" t="e">
        <f>SUMIFS(#REF!,#REF!,$B110,#REF!,AI$1)</f>
        <v>#REF!</v>
      </c>
      <c r="AJ110" s="24" t="e">
        <f>SUMIFS(#REF!,#REF!,$B110,#REF!,AJ$1)</f>
        <v>#REF!</v>
      </c>
      <c r="AK110" s="24" t="e">
        <f>SUMIFS(#REF!,#REF!,$B110,#REF!,AK$1)</f>
        <v>#REF!</v>
      </c>
      <c r="AL110" s="24" t="e">
        <f>SUMIFS(#REF!,#REF!,$B110,#REF!,AL$1)</f>
        <v>#REF!</v>
      </c>
      <c r="AM110" s="24" t="e">
        <f>SUMIFS(#REF!,#REF!,$B110,#REF!,AM$1)</f>
        <v>#REF!</v>
      </c>
      <c r="AN110" s="24" t="e">
        <f>SUMIFS(#REF!,#REF!,$B110,#REF!,AN$1)</f>
        <v>#REF!</v>
      </c>
      <c r="AO110" s="24" t="e">
        <f>SUMIFS(#REF!,#REF!,$B110,#REF!,AO$1)</f>
        <v>#REF!</v>
      </c>
      <c r="AP110" s="24" t="e">
        <f>SUMIFS(#REF!,#REF!,$B110,#REF!,AP$1)</f>
        <v>#REF!</v>
      </c>
      <c r="AQ110" s="24" t="e">
        <f>SUMIFS(#REF!,#REF!,$B110,#REF!,AQ$1)</f>
        <v>#REF!</v>
      </c>
      <c r="AR110" s="24" t="e">
        <f>SUMIFS(#REF!,#REF!,$B110,#REF!,AR$1)</f>
        <v>#REF!</v>
      </c>
      <c r="AS110" s="24" t="e">
        <f>SUMIFS(#REF!,#REF!,$B110,#REF!,AS$1)</f>
        <v>#REF!</v>
      </c>
      <c r="AT110" s="24" t="e">
        <f>SUMIFS(#REF!,#REF!,$B110,#REF!,AT$1)</f>
        <v>#REF!</v>
      </c>
      <c r="AU110" s="24" t="e">
        <f>SUMIFS(#REF!,#REF!,$B110,#REF!,AU$1)</f>
        <v>#REF!</v>
      </c>
      <c r="AV110" s="24" t="e">
        <f>SUMIFS(#REF!,#REF!,$B110,#REF!,AV$1)</f>
        <v>#REF!</v>
      </c>
      <c r="AW110" s="24" t="e">
        <f>SUMIFS(#REF!,#REF!,$B110,#REF!,AW$1)</f>
        <v>#REF!</v>
      </c>
      <c r="AX110" s="24" t="e">
        <f>SUMIFS(#REF!,#REF!,$B110,#REF!,AX$1)</f>
        <v>#REF!</v>
      </c>
      <c r="AY110" s="24" t="e">
        <f>SUMIFS(#REF!,#REF!,$B110,#REF!,AY$1)</f>
        <v>#REF!</v>
      </c>
      <c r="AZ110" s="24" t="e">
        <f>SUMIFS(#REF!,#REF!,$B110,#REF!,AZ$1)</f>
        <v>#REF!</v>
      </c>
      <c r="BA110" s="24" t="e">
        <f>SUMIFS(#REF!,#REF!,$B110,#REF!,BA$1)</f>
        <v>#REF!</v>
      </c>
      <c r="BB110" s="24" t="e">
        <f>SUMIFS(#REF!,#REF!,$B110,#REF!,BB$1)</f>
        <v>#REF!</v>
      </c>
      <c r="BC110" s="24" t="e">
        <f>SUMIFS(#REF!,#REF!,$B110,#REF!,BC$1)</f>
        <v>#REF!</v>
      </c>
      <c r="BD110" s="24" t="e">
        <f>SUMIFS(#REF!,#REF!,$B110,#REF!,BD$1)</f>
        <v>#REF!</v>
      </c>
      <c r="BE110" s="24" t="e">
        <f>SUMIFS(#REF!,#REF!,$B110,#REF!,BE$1)</f>
        <v>#REF!</v>
      </c>
      <c r="BF110" s="24" t="e">
        <f>SUMIFS(#REF!,#REF!,$B110,#REF!,BF$1)</f>
        <v>#REF!</v>
      </c>
      <c r="BG110" s="24" t="e">
        <f>SUMIFS(#REF!,#REF!,$B110,#REF!,BG$1)</f>
        <v>#REF!</v>
      </c>
      <c r="BH110" s="24" t="e">
        <f>SUMIFS(#REF!,#REF!,$B110,#REF!,BH$1)</f>
        <v>#REF!</v>
      </c>
      <c r="BI110" s="24" t="e">
        <f>SUMIFS(#REF!,#REF!,$B110,#REF!,BI$1)</f>
        <v>#REF!</v>
      </c>
      <c r="BJ110" s="24" t="e">
        <f>SUMIFS(#REF!,#REF!,$B110,#REF!,BJ$1)</f>
        <v>#REF!</v>
      </c>
      <c r="BK110" s="24" t="e">
        <f>SUMIFS(#REF!,#REF!,$B110,#REF!,BK$1)</f>
        <v>#REF!</v>
      </c>
      <c r="BL110" s="24" t="e">
        <f>SUMIFS(#REF!,#REF!,$B110,#REF!,BL$1)</f>
        <v>#REF!</v>
      </c>
      <c r="BM110" s="24" t="e">
        <f>SUMIFS(#REF!,#REF!,$B110,#REF!,BM$1)</f>
        <v>#REF!</v>
      </c>
      <c r="BN110" s="24" t="e">
        <f>SUMIFS(#REF!,#REF!,$B110,#REF!,BN$1)</f>
        <v>#REF!</v>
      </c>
      <c r="BO110" s="24" t="e">
        <f>SUMIFS(#REF!,#REF!,$B110,#REF!,BO$1)</f>
        <v>#REF!</v>
      </c>
      <c r="BP110" s="24" t="e">
        <f>SUMIFS(#REF!,#REF!,$B110,#REF!,BP$1)</f>
        <v>#REF!</v>
      </c>
      <c r="BQ110" s="24" t="e">
        <f>SUMIFS(#REF!,#REF!,$B110,#REF!,BQ$1)</f>
        <v>#REF!</v>
      </c>
      <c r="BR110" s="24" t="e">
        <f>SUMIFS(#REF!,#REF!,$B110,#REF!,BR$1)</f>
        <v>#REF!</v>
      </c>
      <c r="BS110" s="24" t="e">
        <f>SUMIFS(#REF!,#REF!,$B110,#REF!,BS$1)</f>
        <v>#REF!</v>
      </c>
      <c r="BT110" s="24" t="e">
        <f>SUMIFS(#REF!,#REF!,$B110,#REF!,BT$1)</f>
        <v>#REF!</v>
      </c>
      <c r="BU110" s="24" t="e">
        <f>SUMIFS(#REF!,#REF!,$B110,#REF!,BU$1)</f>
        <v>#REF!</v>
      </c>
      <c r="BV110" s="24" t="e">
        <f>SUMIFS(#REF!,#REF!,$B110,#REF!,BV$1)</f>
        <v>#REF!</v>
      </c>
      <c r="BW110" s="24" t="e">
        <f>SUMIFS(#REF!,#REF!,$B110,#REF!,BW$1)</f>
        <v>#REF!</v>
      </c>
      <c r="BX110" s="24" t="e">
        <f>SUMIFS(#REF!,#REF!,$B110,#REF!,BX$1)</f>
        <v>#REF!</v>
      </c>
      <c r="BY110" s="24" t="e">
        <f>SUMIFS(#REF!,#REF!,$B110,#REF!,BY$1)</f>
        <v>#REF!</v>
      </c>
      <c r="BZ110" s="24" t="e">
        <f>SUMIFS(#REF!,#REF!,$B110,#REF!,BZ$1)</f>
        <v>#REF!</v>
      </c>
      <c r="CA110" s="24" t="e">
        <f>SUMIFS(#REF!,#REF!,$B110,#REF!,CA$1)</f>
        <v>#REF!</v>
      </c>
      <c r="CB110" s="24" t="e">
        <f>SUMIFS(#REF!,#REF!,$B110,#REF!,CB$1)</f>
        <v>#REF!</v>
      </c>
      <c r="CC110" s="24" t="e">
        <f>SUMIFS(#REF!,#REF!,$B110,#REF!,CC$1)</f>
        <v>#REF!</v>
      </c>
      <c r="CD110" s="24" t="e">
        <f>SUMIFS(#REF!,#REF!,$B110,#REF!,CD$1)</f>
        <v>#REF!</v>
      </c>
      <c r="CE110" s="24" t="e">
        <f>SUMIFS(#REF!,#REF!,$B110,#REF!,CE$1)</f>
        <v>#REF!</v>
      </c>
      <c r="CF110" s="24" t="e">
        <f>SUMIFS(#REF!,#REF!,$B110,#REF!,CF$1)</f>
        <v>#REF!</v>
      </c>
      <c r="CG110" s="19" t="e">
        <f t="shared" si="1"/>
        <v>#REF!</v>
      </c>
    </row>
    <row r="111" spans="1:85" x14ac:dyDescent="0.45">
      <c r="A111" s="4" t="s">
        <v>1204</v>
      </c>
      <c r="B111" s="4" t="s">
        <v>1205</v>
      </c>
      <c r="C111" s="24" t="e">
        <f>SUMIFS(#REF!,#REF!,$B111,#REF!,C$1)</f>
        <v>#REF!</v>
      </c>
      <c r="D111" s="24" t="e">
        <f>SUMIFS(#REF!,#REF!,$B111,#REF!,D$1)</f>
        <v>#REF!</v>
      </c>
      <c r="E111" s="24" t="e">
        <f>SUMIFS(#REF!,#REF!,$B111,#REF!,E$1)</f>
        <v>#REF!</v>
      </c>
      <c r="F111" s="24" t="e">
        <f>SUMIFS(#REF!,#REF!,$B111,#REF!,F$1)</f>
        <v>#REF!</v>
      </c>
      <c r="G111" s="24" t="e">
        <f>SUMIFS(#REF!,#REF!,$B111,#REF!,G$1)</f>
        <v>#REF!</v>
      </c>
      <c r="H111" s="24" t="e">
        <f>SUMIFS(#REF!,#REF!,$B111,#REF!,H$1)</f>
        <v>#REF!</v>
      </c>
      <c r="I111" s="24" t="e">
        <f>SUMIFS(#REF!,#REF!,$B111,#REF!,I$1)</f>
        <v>#REF!</v>
      </c>
      <c r="J111" s="24" t="e">
        <f>SUMIFS(#REF!,#REF!,$B111,#REF!,J$1)</f>
        <v>#REF!</v>
      </c>
      <c r="K111" s="24" t="e">
        <f>SUMIFS(#REF!,#REF!,$B111,#REF!,K$1)</f>
        <v>#REF!</v>
      </c>
      <c r="L111" s="24" t="e">
        <f>SUMIFS(#REF!,#REF!,$B111,#REF!,L$1)</f>
        <v>#REF!</v>
      </c>
      <c r="M111" s="24" t="e">
        <f>SUMIFS(#REF!,#REF!,$B111,#REF!,M$1)</f>
        <v>#REF!</v>
      </c>
      <c r="N111" s="24" t="e">
        <f>SUMIFS(#REF!,#REF!,$B111,#REF!,N$1)</f>
        <v>#REF!</v>
      </c>
      <c r="O111" s="24" t="e">
        <f>SUMIFS(#REF!,#REF!,$B111,#REF!,O$1)</f>
        <v>#REF!</v>
      </c>
      <c r="P111" s="24" t="e">
        <f>SUMIFS(#REF!,#REF!,$B111,#REF!,P$1)</f>
        <v>#REF!</v>
      </c>
      <c r="Q111" s="24" t="e">
        <f>SUMIFS(#REF!,#REF!,$B111,#REF!,Q$1)</f>
        <v>#REF!</v>
      </c>
      <c r="R111" s="24" t="e">
        <f>SUMIFS(#REF!,#REF!,$B111,#REF!,R$1)</f>
        <v>#REF!</v>
      </c>
      <c r="S111" s="24" t="e">
        <f>SUMIFS(#REF!,#REF!,$B111,#REF!,S$1)</f>
        <v>#REF!</v>
      </c>
      <c r="T111" s="24" t="e">
        <f>SUMIFS(#REF!,#REF!,$B111,#REF!,T$1)</f>
        <v>#REF!</v>
      </c>
      <c r="U111" s="24" t="e">
        <f>SUMIFS(#REF!,#REF!,$B111,#REF!,U$1)</f>
        <v>#REF!</v>
      </c>
      <c r="V111" s="24" t="e">
        <f>SUMIFS(#REF!,#REF!,$B111,#REF!,V$1)</f>
        <v>#REF!</v>
      </c>
      <c r="W111" s="24" t="e">
        <f>SUMIFS(#REF!,#REF!,$B111,#REF!,W$1)</f>
        <v>#REF!</v>
      </c>
      <c r="X111" s="24" t="e">
        <f>SUMIFS(#REF!,#REF!,$B111,#REF!,X$1)</f>
        <v>#REF!</v>
      </c>
      <c r="Y111" s="24" t="e">
        <f>SUMIFS(#REF!,#REF!,$B111,#REF!,Y$1)</f>
        <v>#REF!</v>
      </c>
      <c r="Z111" s="24" t="e">
        <f>SUMIFS(#REF!,#REF!,$B111,#REF!,Z$1)</f>
        <v>#REF!</v>
      </c>
      <c r="AA111" s="24" t="e">
        <f>SUMIFS(#REF!,#REF!,$B111,#REF!,AA$1)</f>
        <v>#REF!</v>
      </c>
      <c r="AB111" s="24" t="e">
        <f>SUMIFS(#REF!,#REF!,$B111,#REF!,AB$1)</f>
        <v>#REF!</v>
      </c>
      <c r="AC111" s="24" t="e">
        <f>SUMIFS(#REF!,#REF!,$B111,#REF!,AC$1)</f>
        <v>#REF!</v>
      </c>
      <c r="AD111" s="24" t="e">
        <f>SUMIFS(#REF!,#REF!,$B111,#REF!,AD$1)</f>
        <v>#REF!</v>
      </c>
      <c r="AE111" s="24" t="e">
        <f>SUMIFS(#REF!,#REF!,$B111,#REF!,AE$1)</f>
        <v>#REF!</v>
      </c>
      <c r="AF111" s="24" t="e">
        <f>SUMIFS(#REF!,#REF!,$B111,#REF!,AF$1)</f>
        <v>#REF!</v>
      </c>
      <c r="AG111" s="24" t="e">
        <f>SUMIFS(#REF!,#REF!,$B111,#REF!,AG$1)</f>
        <v>#REF!</v>
      </c>
      <c r="AH111" s="24" t="e">
        <f>SUMIFS(#REF!,#REF!,$B111,#REF!,AH$1)</f>
        <v>#REF!</v>
      </c>
      <c r="AI111" s="24" t="e">
        <f>SUMIFS(#REF!,#REF!,$B111,#REF!,AI$1)</f>
        <v>#REF!</v>
      </c>
      <c r="AJ111" s="24" t="e">
        <f>SUMIFS(#REF!,#REF!,$B111,#REF!,AJ$1)</f>
        <v>#REF!</v>
      </c>
      <c r="AK111" s="24" t="e">
        <f>SUMIFS(#REF!,#REF!,$B111,#REF!,AK$1)</f>
        <v>#REF!</v>
      </c>
      <c r="AL111" s="24" t="e">
        <f>SUMIFS(#REF!,#REF!,$B111,#REF!,AL$1)</f>
        <v>#REF!</v>
      </c>
      <c r="AM111" s="24" t="e">
        <f>SUMIFS(#REF!,#REF!,$B111,#REF!,AM$1)</f>
        <v>#REF!</v>
      </c>
      <c r="AN111" s="24" t="e">
        <f>SUMIFS(#REF!,#REF!,$B111,#REF!,AN$1)</f>
        <v>#REF!</v>
      </c>
      <c r="AO111" s="24" t="e">
        <f>SUMIFS(#REF!,#REF!,$B111,#REF!,AO$1)</f>
        <v>#REF!</v>
      </c>
      <c r="AP111" s="24" t="e">
        <f>SUMIFS(#REF!,#REF!,$B111,#REF!,AP$1)</f>
        <v>#REF!</v>
      </c>
      <c r="AQ111" s="24" t="e">
        <f>SUMIFS(#REF!,#REF!,$B111,#REF!,AQ$1)</f>
        <v>#REF!</v>
      </c>
      <c r="AR111" s="24" t="e">
        <f>SUMIFS(#REF!,#REF!,$B111,#REF!,AR$1)</f>
        <v>#REF!</v>
      </c>
      <c r="AS111" s="24" t="e">
        <f>SUMIFS(#REF!,#REF!,$B111,#REF!,AS$1)</f>
        <v>#REF!</v>
      </c>
      <c r="AT111" s="24" t="e">
        <f>SUMIFS(#REF!,#REF!,$B111,#REF!,AT$1)</f>
        <v>#REF!</v>
      </c>
      <c r="AU111" s="24" t="e">
        <f>SUMIFS(#REF!,#REF!,$B111,#REF!,AU$1)</f>
        <v>#REF!</v>
      </c>
      <c r="AV111" s="24" t="e">
        <f>SUMIFS(#REF!,#REF!,$B111,#REF!,AV$1)</f>
        <v>#REF!</v>
      </c>
      <c r="AW111" s="24" t="e">
        <f>SUMIFS(#REF!,#REF!,$B111,#REF!,AW$1)</f>
        <v>#REF!</v>
      </c>
      <c r="AX111" s="24" t="e">
        <f>SUMIFS(#REF!,#REF!,$B111,#REF!,AX$1)</f>
        <v>#REF!</v>
      </c>
      <c r="AY111" s="24" t="e">
        <f>SUMIFS(#REF!,#REF!,$B111,#REF!,AY$1)</f>
        <v>#REF!</v>
      </c>
      <c r="AZ111" s="24" t="e">
        <f>SUMIFS(#REF!,#REF!,$B111,#REF!,AZ$1)</f>
        <v>#REF!</v>
      </c>
      <c r="BA111" s="24" t="e">
        <f>SUMIFS(#REF!,#REF!,$B111,#REF!,BA$1)</f>
        <v>#REF!</v>
      </c>
      <c r="BB111" s="24" t="e">
        <f>SUMIFS(#REF!,#REF!,$B111,#REF!,BB$1)</f>
        <v>#REF!</v>
      </c>
      <c r="BC111" s="24" t="e">
        <f>SUMIFS(#REF!,#REF!,$B111,#REF!,BC$1)</f>
        <v>#REF!</v>
      </c>
      <c r="BD111" s="24" t="e">
        <f>SUMIFS(#REF!,#REF!,$B111,#REF!,BD$1)</f>
        <v>#REF!</v>
      </c>
      <c r="BE111" s="24" t="e">
        <f>SUMIFS(#REF!,#REF!,$B111,#REF!,BE$1)</f>
        <v>#REF!</v>
      </c>
      <c r="BF111" s="24" t="e">
        <f>SUMIFS(#REF!,#REF!,$B111,#REF!,BF$1)</f>
        <v>#REF!</v>
      </c>
      <c r="BG111" s="24" t="e">
        <f>SUMIFS(#REF!,#REF!,$B111,#REF!,BG$1)</f>
        <v>#REF!</v>
      </c>
      <c r="BH111" s="24" t="e">
        <f>SUMIFS(#REF!,#REF!,$B111,#REF!,BH$1)</f>
        <v>#REF!</v>
      </c>
      <c r="BI111" s="24" t="e">
        <f>SUMIFS(#REF!,#REF!,$B111,#REF!,BI$1)</f>
        <v>#REF!</v>
      </c>
      <c r="BJ111" s="24" t="e">
        <f>SUMIFS(#REF!,#REF!,$B111,#REF!,BJ$1)</f>
        <v>#REF!</v>
      </c>
      <c r="BK111" s="24" t="e">
        <f>SUMIFS(#REF!,#REF!,$B111,#REF!,BK$1)</f>
        <v>#REF!</v>
      </c>
      <c r="BL111" s="24" t="e">
        <f>SUMIFS(#REF!,#REF!,$B111,#REF!,BL$1)</f>
        <v>#REF!</v>
      </c>
      <c r="BM111" s="24" t="e">
        <f>SUMIFS(#REF!,#REF!,$B111,#REF!,BM$1)</f>
        <v>#REF!</v>
      </c>
      <c r="BN111" s="24" t="e">
        <f>SUMIFS(#REF!,#REF!,$B111,#REF!,BN$1)</f>
        <v>#REF!</v>
      </c>
      <c r="BO111" s="24" t="e">
        <f>SUMIFS(#REF!,#REF!,$B111,#REF!,BO$1)</f>
        <v>#REF!</v>
      </c>
      <c r="BP111" s="24" t="e">
        <f>SUMIFS(#REF!,#REF!,$B111,#REF!,BP$1)</f>
        <v>#REF!</v>
      </c>
      <c r="BQ111" s="24" t="e">
        <f>SUMIFS(#REF!,#REF!,$B111,#REF!,BQ$1)</f>
        <v>#REF!</v>
      </c>
      <c r="BR111" s="24" t="e">
        <f>SUMIFS(#REF!,#REF!,$B111,#REF!,BR$1)</f>
        <v>#REF!</v>
      </c>
      <c r="BS111" s="24" t="e">
        <f>SUMIFS(#REF!,#REF!,$B111,#REF!,BS$1)</f>
        <v>#REF!</v>
      </c>
      <c r="BT111" s="24" t="e">
        <f>SUMIFS(#REF!,#REF!,$B111,#REF!,BT$1)</f>
        <v>#REF!</v>
      </c>
      <c r="BU111" s="24" t="e">
        <f>SUMIFS(#REF!,#REF!,$B111,#REF!,BU$1)</f>
        <v>#REF!</v>
      </c>
      <c r="BV111" s="24" t="e">
        <f>SUMIFS(#REF!,#REF!,$B111,#REF!,BV$1)</f>
        <v>#REF!</v>
      </c>
      <c r="BW111" s="24" t="e">
        <f>SUMIFS(#REF!,#REF!,$B111,#REF!,BW$1)</f>
        <v>#REF!</v>
      </c>
      <c r="BX111" s="24" t="e">
        <f>SUMIFS(#REF!,#REF!,$B111,#REF!,BX$1)</f>
        <v>#REF!</v>
      </c>
      <c r="BY111" s="24" t="e">
        <f>SUMIFS(#REF!,#REF!,$B111,#REF!,BY$1)</f>
        <v>#REF!</v>
      </c>
      <c r="BZ111" s="24" t="e">
        <f>SUMIFS(#REF!,#REF!,$B111,#REF!,BZ$1)</f>
        <v>#REF!</v>
      </c>
      <c r="CA111" s="24" t="e">
        <f>SUMIFS(#REF!,#REF!,$B111,#REF!,CA$1)</f>
        <v>#REF!</v>
      </c>
      <c r="CB111" s="24" t="e">
        <f>SUMIFS(#REF!,#REF!,$B111,#REF!,CB$1)</f>
        <v>#REF!</v>
      </c>
      <c r="CC111" s="24" t="e">
        <f>SUMIFS(#REF!,#REF!,$B111,#REF!,CC$1)</f>
        <v>#REF!</v>
      </c>
      <c r="CD111" s="24" t="e">
        <f>SUMIFS(#REF!,#REF!,$B111,#REF!,CD$1)</f>
        <v>#REF!</v>
      </c>
      <c r="CE111" s="24" t="e">
        <f>SUMIFS(#REF!,#REF!,$B111,#REF!,CE$1)</f>
        <v>#REF!</v>
      </c>
      <c r="CF111" s="24" t="e">
        <f>SUMIFS(#REF!,#REF!,$B111,#REF!,CF$1)</f>
        <v>#REF!</v>
      </c>
      <c r="CG111" s="19" t="e">
        <f t="shared" si="1"/>
        <v>#REF!</v>
      </c>
    </row>
    <row r="112" spans="1:85" x14ac:dyDescent="0.45">
      <c r="A112" s="4" t="s">
        <v>1206</v>
      </c>
      <c r="B112" s="4" t="s">
        <v>1207</v>
      </c>
      <c r="C112" s="24" t="e">
        <f>SUMIFS(#REF!,#REF!,$B112,#REF!,C$1)</f>
        <v>#REF!</v>
      </c>
      <c r="D112" s="24" t="e">
        <f>SUMIFS(#REF!,#REF!,$B112,#REF!,D$1)</f>
        <v>#REF!</v>
      </c>
      <c r="E112" s="24" t="e">
        <f>SUMIFS(#REF!,#REF!,$B112,#REF!,E$1)</f>
        <v>#REF!</v>
      </c>
      <c r="F112" s="24" t="e">
        <f>SUMIFS(#REF!,#REF!,$B112,#REF!,F$1)</f>
        <v>#REF!</v>
      </c>
      <c r="G112" s="24" t="e">
        <f>SUMIFS(#REF!,#REF!,$B112,#REF!,G$1)</f>
        <v>#REF!</v>
      </c>
      <c r="H112" s="24" t="e">
        <f>SUMIFS(#REF!,#REF!,$B112,#REF!,H$1)</f>
        <v>#REF!</v>
      </c>
      <c r="I112" s="24" t="e">
        <f>SUMIFS(#REF!,#REF!,$B112,#REF!,I$1)</f>
        <v>#REF!</v>
      </c>
      <c r="J112" s="24" t="e">
        <f>SUMIFS(#REF!,#REF!,$B112,#REF!,J$1)</f>
        <v>#REF!</v>
      </c>
      <c r="K112" s="24" t="e">
        <f>SUMIFS(#REF!,#REF!,$B112,#REF!,K$1)</f>
        <v>#REF!</v>
      </c>
      <c r="L112" s="24" t="e">
        <f>SUMIFS(#REF!,#REF!,$B112,#REF!,L$1)</f>
        <v>#REF!</v>
      </c>
      <c r="M112" s="24" t="e">
        <f>SUMIFS(#REF!,#REF!,$B112,#REF!,M$1)</f>
        <v>#REF!</v>
      </c>
      <c r="N112" s="24" t="e">
        <f>SUMIFS(#REF!,#REF!,$B112,#REF!,N$1)</f>
        <v>#REF!</v>
      </c>
      <c r="O112" s="24" t="e">
        <f>SUMIFS(#REF!,#REF!,$B112,#REF!,O$1)</f>
        <v>#REF!</v>
      </c>
      <c r="P112" s="24" t="e">
        <f>SUMIFS(#REF!,#REF!,$B112,#REF!,P$1)</f>
        <v>#REF!</v>
      </c>
      <c r="Q112" s="24" t="e">
        <f>SUMIFS(#REF!,#REF!,$B112,#REF!,Q$1)</f>
        <v>#REF!</v>
      </c>
      <c r="R112" s="24" t="e">
        <f>SUMIFS(#REF!,#REF!,$B112,#REF!,R$1)</f>
        <v>#REF!</v>
      </c>
      <c r="S112" s="24" t="e">
        <f>SUMIFS(#REF!,#REF!,$B112,#REF!,S$1)</f>
        <v>#REF!</v>
      </c>
      <c r="T112" s="24" t="e">
        <f>SUMIFS(#REF!,#REF!,$B112,#REF!,T$1)</f>
        <v>#REF!</v>
      </c>
      <c r="U112" s="24" t="e">
        <f>SUMIFS(#REF!,#REF!,$B112,#REF!,U$1)</f>
        <v>#REF!</v>
      </c>
      <c r="V112" s="24" t="e">
        <f>SUMIFS(#REF!,#REF!,$B112,#REF!,V$1)</f>
        <v>#REF!</v>
      </c>
      <c r="W112" s="24" t="e">
        <f>SUMIFS(#REF!,#REF!,$B112,#REF!,W$1)</f>
        <v>#REF!</v>
      </c>
      <c r="X112" s="24" t="e">
        <f>SUMIFS(#REF!,#REF!,$B112,#REF!,X$1)</f>
        <v>#REF!</v>
      </c>
      <c r="Y112" s="24" t="e">
        <f>SUMIFS(#REF!,#REF!,$B112,#REF!,Y$1)</f>
        <v>#REF!</v>
      </c>
      <c r="Z112" s="24" t="e">
        <f>SUMIFS(#REF!,#REF!,$B112,#REF!,Z$1)</f>
        <v>#REF!</v>
      </c>
      <c r="AA112" s="24" t="e">
        <f>SUMIFS(#REF!,#REF!,$B112,#REF!,AA$1)</f>
        <v>#REF!</v>
      </c>
      <c r="AB112" s="24" t="e">
        <f>SUMIFS(#REF!,#REF!,$B112,#REF!,AB$1)</f>
        <v>#REF!</v>
      </c>
      <c r="AC112" s="24" t="e">
        <f>SUMIFS(#REF!,#REF!,$B112,#REF!,AC$1)</f>
        <v>#REF!</v>
      </c>
      <c r="AD112" s="24" t="e">
        <f>SUMIFS(#REF!,#REF!,$B112,#REF!,AD$1)</f>
        <v>#REF!</v>
      </c>
      <c r="AE112" s="24" t="e">
        <f>SUMIFS(#REF!,#REF!,$B112,#REF!,AE$1)</f>
        <v>#REF!</v>
      </c>
      <c r="AF112" s="24" t="e">
        <f>SUMIFS(#REF!,#REF!,$B112,#REF!,AF$1)</f>
        <v>#REF!</v>
      </c>
      <c r="AG112" s="24" t="e">
        <f>SUMIFS(#REF!,#REF!,$B112,#REF!,AG$1)</f>
        <v>#REF!</v>
      </c>
      <c r="AH112" s="24" t="e">
        <f>SUMIFS(#REF!,#REF!,$B112,#REF!,AH$1)</f>
        <v>#REF!</v>
      </c>
      <c r="AI112" s="24" t="e">
        <f>SUMIFS(#REF!,#REF!,$B112,#REF!,AI$1)</f>
        <v>#REF!</v>
      </c>
      <c r="AJ112" s="24" t="e">
        <f>SUMIFS(#REF!,#REF!,$B112,#REF!,AJ$1)</f>
        <v>#REF!</v>
      </c>
      <c r="AK112" s="24" t="e">
        <f>SUMIFS(#REF!,#REF!,$B112,#REF!,AK$1)</f>
        <v>#REF!</v>
      </c>
      <c r="AL112" s="24" t="e">
        <f>SUMIFS(#REF!,#REF!,$B112,#REF!,AL$1)</f>
        <v>#REF!</v>
      </c>
      <c r="AM112" s="24" t="e">
        <f>SUMIFS(#REF!,#REF!,$B112,#REF!,AM$1)</f>
        <v>#REF!</v>
      </c>
      <c r="AN112" s="24" t="e">
        <f>SUMIFS(#REF!,#REF!,$B112,#REF!,AN$1)</f>
        <v>#REF!</v>
      </c>
      <c r="AO112" s="24" t="e">
        <f>SUMIFS(#REF!,#REF!,$B112,#REF!,AO$1)</f>
        <v>#REF!</v>
      </c>
      <c r="AP112" s="24" t="e">
        <f>SUMIFS(#REF!,#REF!,$B112,#REF!,AP$1)</f>
        <v>#REF!</v>
      </c>
      <c r="AQ112" s="24" t="e">
        <f>SUMIFS(#REF!,#REF!,$B112,#REF!,AQ$1)</f>
        <v>#REF!</v>
      </c>
      <c r="AR112" s="24" t="e">
        <f>SUMIFS(#REF!,#REF!,$B112,#REF!,AR$1)</f>
        <v>#REF!</v>
      </c>
      <c r="AS112" s="24" t="e">
        <f>SUMIFS(#REF!,#REF!,$B112,#REF!,AS$1)</f>
        <v>#REF!</v>
      </c>
      <c r="AT112" s="24" t="e">
        <f>SUMIFS(#REF!,#REF!,$B112,#REF!,AT$1)</f>
        <v>#REF!</v>
      </c>
      <c r="AU112" s="24" t="e">
        <f>SUMIFS(#REF!,#REF!,$B112,#REF!,AU$1)</f>
        <v>#REF!</v>
      </c>
      <c r="AV112" s="24" t="e">
        <f>SUMIFS(#REF!,#REF!,$B112,#REF!,AV$1)</f>
        <v>#REF!</v>
      </c>
      <c r="AW112" s="24" t="e">
        <f>SUMIFS(#REF!,#REF!,$B112,#REF!,AW$1)</f>
        <v>#REF!</v>
      </c>
      <c r="AX112" s="24" t="e">
        <f>SUMIFS(#REF!,#REF!,$B112,#REF!,AX$1)</f>
        <v>#REF!</v>
      </c>
      <c r="AY112" s="24" t="e">
        <f>SUMIFS(#REF!,#REF!,$B112,#REF!,AY$1)</f>
        <v>#REF!</v>
      </c>
      <c r="AZ112" s="24" t="e">
        <f>SUMIFS(#REF!,#REF!,$B112,#REF!,AZ$1)</f>
        <v>#REF!</v>
      </c>
      <c r="BA112" s="24" t="e">
        <f>SUMIFS(#REF!,#REF!,$B112,#REF!,BA$1)</f>
        <v>#REF!</v>
      </c>
      <c r="BB112" s="24" t="e">
        <f>SUMIFS(#REF!,#REF!,$B112,#REF!,BB$1)</f>
        <v>#REF!</v>
      </c>
      <c r="BC112" s="24" t="e">
        <f>SUMIFS(#REF!,#REF!,$B112,#REF!,BC$1)</f>
        <v>#REF!</v>
      </c>
      <c r="BD112" s="24" t="e">
        <f>SUMIFS(#REF!,#REF!,$B112,#REF!,BD$1)</f>
        <v>#REF!</v>
      </c>
      <c r="BE112" s="24" t="e">
        <f>SUMIFS(#REF!,#REF!,$B112,#REF!,BE$1)</f>
        <v>#REF!</v>
      </c>
      <c r="BF112" s="24" t="e">
        <f>SUMIFS(#REF!,#REF!,$B112,#REF!,BF$1)</f>
        <v>#REF!</v>
      </c>
      <c r="BG112" s="24" t="e">
        <f>SUMIFS(#REF!,#REF!,$B112,#REF!,BG$1)</f>
        <v>#REF!</v>
      </c>
      <c r="BH112" s="24" t="e">
        <f>SUMIFS(#REF!,#REF!,$B112,#REF!,BH$1)</f>
        <v>#REF!</v>
      </c>
      <c r="BI112" s="24" t="e">
        <f>SUMIFS(#REF!,#REF!,$B112,#REF!,BI$1)</f>
        <v>#REF!</v>
      </c>
      <c r="BJ112" s="24" t="e">
        <f>SUMIFS(#REF!,#REF!,$B112,#REF!,BJ$1)</f>
        <v>#REF!</v>
      </c>
      <c r="BK112" s="24" t="e">
        <f>SUMIFS(#REF!,#REF!,$B112,#REF!,BK$1)</f>
        <v>#REF!</v>
      </c>
      <c r="BL112" s="24" t="e">
        <f>SUMIFS(#REF!,#REF!,$B112,#REF!,BL$1)</f>
        <v>#REF!</v>
      </c>
      <c r="BM112" s="24" t="e">
        <f>SUMIFS(#REF!,#REF!,$B112,#REF!,BM$1)</f>
        <v>#REF!</v>
      </c>
      <c r="BN112" s="24" t="e">
        <f>SUMIFS(#REF!,#REF!,$B112,#REF!,BN$1)</f>
        <v>#REF!</v>
      </c>
      <c r="BO112" s="24" t="e">
        <f>SUMIFS(#REF!,#REF!,$B112,#REF!,BO$1)</f>
        <v>#REF!</v>
      </c>
      <c r="BP112" s="24" t="e">
        <f>SUMIFS(#REF!,#REF!,$B112,#REF!,BP$1)</f>
        <v>#REF!</v>
      </c>
      <c r="BQ112" s="24" t="e">
        <f>SUMIFS(#REF!,#REF!,$B112,#REF!,BQ$1)</f>
        <v>#REF!</v>
      </c>
      <c r="BR112" s="24" t="e">
        <f>SUMIFS(#REF!,#REF!,$B112,#REF!,BR$1)</f>
        <v>#REF!</v>
      </c>
      <c r="BS112" s="24" t="e">
        <f>SUMIFS(#REF!,#REF!,$B112,#REF!,BS$1)</f>
        <v>#REF!</v>
      </c>
      <c r="BT112" s="24" t="e">
        <f>SUMIFS(#REF!,#REF!,$B112,#REF!,BT$1)</f>
        <v>#REF!</v>
      </c>
      <c r="BU112" s="24" t="e">
        <f>SUMIFS(#REF!,#REF!,$B112,#REF!,BU$1)</f>
        <v>#REF!</v>
      </c>
      <c r="BV112" s="24" t="e">
        <f>SUMIFS(#REF!,#REF!,$B112,#REF!,BV$1)</f>
        <v>#REF!</v>
      </c>
      <c r="BW112" s="24" t="e">
        <f>SUMIFS(#REF!,#REF!,$B112,#REF!,BW$1)</f>
        <v>#REF!</v>
      </c>
      <c r="BX112" s="24" t="e">
        <f>SUMIFS(#REF!,#REF!,$B112,#REF!,BX$1)</f>
        <v>#REF!</v>
      </c>
      <c r="BY112" s="24" t="e">
        <f>SUMIFS(#REF!,#REF!,$B112,#REF!,BY$1)</f>
        <v>#REF!</v>
      </c>
      <c r="BZ112" s="24" t="e">
        <f>SUMIFS(#REF!,#REF!,$B112,#REF!,BZ$1)</f>
        <v>#REF!</v>
      </c>
      <c r="CA112" s="24" t="e">
        <f>SUMIFS(#REF!,#REF!,$B112,#REF!,CA$1)</f>
        <v>#REF!</v>
      </c>
      <c r="CB112" s="24" t="e">
        <f>SUMIFS(#REF!,#REF!,$B112,#REF!,CB$1)</f>
        <v>#REF!</v>
      </c>
      <c r="CC112" s="24" t="e">
        <f>SUMIFS(#REF!,#REF!,$B112,#REF!,CC$1)</f>
        <v>#REF!</v>
      </c>
      <c r="CD112" s="24" t="e">
        <f>SUMIFS(#REF!,#REF!,$B112,#REF!,CD$1)</f>
        <v>#REF!</v>
      </c>
      <c r="CE112" s="24" t="e">
        <f>SUMIFS(#REF!,#REF!,$B112,#REF!,CE$1)</f>
        <v>#REF!</v>
      </c>
      <c r="CF112" s="24" t="e">
        <f>SUMIFS(#REF!,#REF!,$B112,#REF!,CF$1)</f>
        <v>#REF!</v>
      </c>
      <c r="CG112" s="19" t="e">
        <f t="shared" si="1"/>
        <v>#REF!</v>
      </c>
    </row>
    <row r="113" spans="1:85" x14ac:dyDescent="0.45">
      <c r="A113" s="4" t="s">
        <v>1208</v>
      </c>
      <c r="B113" s="4" t="s">
        <v>1209</v>
      </c>
      <c r="C113" s="24" t="e">
        <f>SUMIFS(#REF!,#REF!,$B113,#REF!,C$1)</f>
        <v>#REF!</v>
      </c>
      <c r="D113" s="24" t="e">
        <f>SUMIFS(#REF!,#REF!,$B113,#REF!,D$1)</f>
        <v>#REF!</v>
      </c>
      <c r="E113" s="24" t="e">
        <f>SUMIFS(#REF!,#REF!,$B113,#REF!,E$1)</f>
        <v>#REF!</v>
      </c>
      <c r="F113" s="24" t="e">
        <f>SUMIFS(#REF!,#REF!,$B113,#REF!,F$1)</f>
        <v>#REF!</v>
      </c>
      <c r="G113" s="24" t="e">
        <f>SUMIFS(#REF!,#REF!,$B113,#REF!,G$1)</f>
        <v>#REF!</v>
      </c>
      <c r="H113" s="24" t="e">
        <f>SUMIFS(#REF!,#REF!,$B113,#REF!,H$1)</f>
        <v>#REF!</v>
      </c>
      <c r="I113" s="24" t="e">
        <f>SUMIFS(#REF!,#REF!,$B113,#REF!,I$1)</f>
        <v>#REF!</v>
      </c>
      <c r="J113" s="24" t="e">
        <f>SUMIFS(#REF!,#REF!,$B113,#REF!,J$1)</f>
        <v>#REF!</v>
      </c>
      <c r="K113" s="24" t="e">
        <f>SUMIFS(#REF!,#REF!,$B113,#REF!,K$1)</f>
        <v>#REF!</v>
      </c>
      <c r="L113" s="24" t="e">
        <f>SUMIFS(#REF!,#REF!,$B113,#REF!,L$1)</f>
        <v>#REF!</v>
      </c>
      <c r="M113" s="24" t="e">
        <f>SUMIFS(#REF!,#REF!,$B113,#REF!,M$1)</f>
        <v>#REF!</v>
      </c>
      <c r="N113" s="24" t="e">
        <f>SUMIFS(#REF!,#REF!,$B113,#REF!,N$1)</f>
        <v>#REF!</v>
      </c>
      <c r="O113" s="24" t="e">
        <f>SUMIFS(#REF!,#REF!,$B113,#REF!,O$1)</f>
        <v>#REF!</v>
      </c>
      <c r="P113" s="24" t="e">
        <f>SUMIFS(#REF!,#REF!,$B113,#REF!,P$1)</f>
        <v>#REF!</v>
      </c>
      <c r="Q113" s="24" t="e">
        <f>SUMIFS(#REF!,#REF!,$B113,#REF!,Q$1)</f>
        <v>#REF!</v>
      </c>
      <c r="R113" s="24" t="e">
        <f>SUMIFS(#REF!,#REF!,$B113,#REF!,R$1)</f>
        <v>#REF!</v>
      </c>
      <c r="S113" s="24" t="e">
        <f>SUMIFS(#REF!,#REF!,$B113,#REF!,S$1)</f>
        <v>#REF!</v>
      </c>
      <c r="T113" s="24" t="e">
        <f>SUMIFS(#REF!,#REF!,$B113,#REF!,T$1)</f>
        <v>#REF!</v>
      </c>
      <c r="U113" s="24" t="e">
        <f>SUMIFS(#REF!,#REF!,$B113,#REF!,U$1)</f>
        <v>#REF!</v>
      </c>
      <c r="V113" s="24" t="e">
        <f>SUMIFS(#REF!,#REF!,$B113,#REF!,V$1)</f>
        <v>#REF!</v>
      </c>
      <c r="W113" s="24" t="e">
        <f>SUMIFS(#REF!,#REF!,$B113,#REF!,W$1)</f>
        <v>#REF!</v>
      </c>
      <c r="X113" s="24" t="e">
        <f>SUMIFS(#REF!,#REF!,$B113,#REF!,X$1)</f>
        <v>#REF!</v>
      </c>
      <c r="Y113" s="24" t="e">
        <f>SUMIFS(#REF!,#REF!,$B113,#REF!,Y$1)</f>
        <v>#REF!</v>
      </c>
      <c r="Z113" s="24" t="e">
        <f>SUMIFS(#REF!,#REF!,$B113,#REF!,Z$1)</f>
        <v>#REF!</v>
      </c>
      <c r="AA113" s="24" t="e">
        <f>SUMIFS(#REF!,#REF!,$B113,#REF!,AA$1)</f>
        <v>#REF!</v>
      </c>
      <c r="AB113" s="24" t="e">
        <f>SUMIFS(#REF!,#REF!,$B113,#REF!,AB$1)</f>
        <v>#REF!</v>
      </c>
      <c r="AC113" s="24" t="e">
        <f>SUMIFS(#REF!,#REF!,$B113,#REF!,AC$1)</f>
        <v>#REF!</v>
      </c>
      <c r="AD113" s="24" t="e">
        <f>SUMIFS(#REF!,#REF!,$B113,#REF!,AD$1)</f>
        <v>#REF!</v>
      </c>
      <c r="AE113" s="24" t="e">
        <f>SUMIFS(#REF!,#REF!,$B113,#REF!,AE$1)</f>
        <v>#REF!</v>
      </c>
      <c r="AF113" s="24" t="e">
        <f>SUMIFS(#REF!,#REF!,$B113,#REF!,AF$1)</f>
        <v>#REF!</v>
      </c>
      <c r="AG113" s="24" t="e">
        <f>SUMIFS(#REF!,#REF!,$B113,#REF!,AG$1)</f>
        <v>#REF!</v>
      </c>
      <c r="AH113" s="24" t="e">
        <f>SUMIFS(#REF!,#REF!,$B113,#REF!,AH$1)</f>
        <v>#REF!</v>
      </c>
      <c r="AI113" s="24" t="e">
        <f>SUMIFS(#REF!,#REF!,$B113,#REF!,AI$1)</f>
        <v>#REF!</v>
      </c>
      <c r="AJ113" s="24" t="e">
        <f>SUMIFS(#REF!,#REF!,$B113,#REF!,AJ$1)</f>
        <v>#REF!</v>
      </c>
      <c r="AK113" s="24" t="e">
        <f>SUMIFS(#REF!,#REF!,$B113,#REF!,AK$1)</f>
        <v>#REF!</v>
      </c>
      <c r="AL113" s="24" t="e">
        <f>SUMIFS(#REF!,#REF!,$B113,#REF!,AL$1)</f>
        <v>#REF!</v>
      </c>
      <c r="AM113" s="24" t="e">
        <f>SUMIFS(#REF!,#REF!,$B113,#REF!,AM$1)</f>
        <v>#REF!</v>
      </c>
      <c r="AN113" s="24" t="e">
        <f>SUMIFS(#REF!,#REF!,$B113,#REF!,AN$1)</f>
        <v>#REF!</v>
      </c>
      <c r="AO113" s="24" t="e">
        <f>SUMIFS(#REF!,#REF!,$B113,#REF!,AO$1)</f>
        <v>#REF!</v>
      </c>
      <c r="AP113" s="24" t="e">
        <f>SUMIFS(#REF!,#REF!,$B113,#REF!,AP$1)</f>
        <v>#REF!</v>
      </c>
      <c r="AQ113" s="24" t="e">
        <f>SUMIFS(#REF!,#REF!,$B113,#REF!,AQ$1)</f>
        <v>#REF!</v>
      </c>
      <c r="AR113" s="24" t="e">
        <f>SUMIFS(#REF!,#REF!,$B113,#REF!,AR$1)</f>
        <v>#REF!</v>
      </c>
      <c r="AS113" s="24" t="e">
        <f>SUMIFS(#REF!,#REF!,$B113,#REF!,AS$1)</f>
        <v>#REF!</v>
      </c>
      <c r="AT113" s="24" t="e">
        <f>SUMIFS(#REF!,#REF!,$B113,#REF!,AT$1)</f>
        <v>#REF!</v>
      </c>
      <c r="AU113" s="24" t="e">
        <f>SUMIFS(#REF!,#REF!,$B113,#REF!,AU$1)</f>
        <v>#REF!</v>
      </c>
      <c r="AV113" s="24" t="e">
        <f>SUMIFS(#REF!,#REF!,$B113,#REF!,AV$1)</f>
        <v>#REF!</v>
      </c>
      <c r="AW113" s="24" t="e">
        <f>SUMIFS(#REF!,#REF!,$B113,#REF!,AW$1)</f>
        <v>#REF!</v>
      </c>
      <c r="AX113" s="24" t="e">
        <f>SUMIFS(#REF!,#REF!,$B113,#REF!,AX$1)</f>
        <v>#REF!</v>
      </c>
      <c r="AY113" s="24" t="e">
        <f>SUMIFS(#REF!,#REF!,$B113,#REF!,AY$1)</f>
        <v>#REF!</v>
      </c>
      <c r="AZ113" s="24" t="e">
        <f>SUMIFS(#REF!,#REF!,$B113,#REF!,AZ$1)</f>
        <v>#REF!</v>
      </c>
      <c r="BA113" s="24" t="e">
        <f>SUMIFS(#REF!,#REF!,$B113,#REF!,BA$1)</f>
        <v>#REF!</v>
      </c>
      <c r="BB113" s="24" t="e">
        <f>SUMIFS(#REF!,#REF!,$B113,#REF!,BB$1)</f>
        <v>#REF!</v>
      </c>
      <c r="BC113" s="24" t="e">
        <f>SUMIFS(#REF!,#REF!,$B113,#REF!,BC$1)</f>
        <v>#REF!</v>
      </c>
      <c r="BD113" s="24" t="e">
        <f>SUMIFS(#REF!,#REF!,$B113,#REF!,BD$1)</f>
        <v>#REF!</v>
      </c>
      <c r="BE113" s="24" t="e">
        <f>SUMIFS(#REF!,#REF!,$B113,#REF!,BE$1)</f>
        <v>#REF!</v>
      </c>
      <c r="BF113" s="24" t="e">
        <f>SUMIFS(#REF!,#REF!,$B113,#REF!,BF$1)</f>
        <v>#REF!</v>
      </c>
      <c r="BG113" s="24" t="e">
        <f>SUMIFS(#REF!,#REF!,$B113,#REF!,BG$1)</f>
        <v>#REF!</v>
      </c>
      <c r="BH113" s="24" t="e">
        <f>SUMIFS(#REF!,#REF!,$B113,#REF!,BH$1)</f>
        <v>#REF!</v>
      </c>
      <c r="BI113" s="24" t="e">
        <f>SUMIFS(#REF!,#REF!,$B113,#REF!,BI$1)</f>
        <v>#REF!</v>
      </c>
      <c r="BJ113" s="24" t="e">
        <f>SUMIFS(#REF!,#REF!,$B113,#REF!,BJ$1)</f>
        <v>#REF!</v>
      </c>
      <c r="BK113" s="24" t="e">
        <f>SUMIFS(#REF!,#REF!,$B113,#REF!,BK$1)</f>
        <v>#REF!</v>
      </c>
      <c r="BL113" s="24" t="e">
        <f>SUMIFS(#REF!,#REF!,$B113,#REF!,BL$1)</f>
        <v>#REF!</v>
      </c>
      <c r="BM113" s="24" t="e">
        <f>SUMIFS(#REF!,#REF!,$B113,#REF!,BM$1)</f>
        <v>#REF!</v>
      </c>
      <c r="BN113" s="24" t="e">
        <f>SUMIFS(#REF!,#REF!,$B113,#REF!,BN$1)</f>
        <v>#REF!</v>
      </c>
      <c r="BO113" s="24" t="e">
        <f>SUMIFS(#REF!,#REF!,$B113,#REF!,BO$1)</f>
        <v>#REF!</v>
      </c>
      <c r="BP113" s="24" t="e">
        <f>SUMIFS(#REF!,#REF!,$B113,#REF!,BP$1)</f>
        <v>#REF!</v>
      </c>
      <c r="BQ113" s="24" t="e">
        <f>SUMIFS(#REF!,#REF!,$B113,#REF!,BQ$1)</f>
        <v>#REF!</v>
      </c>
      <c r="BR113" s="24" t="e">
        <f>SUMIFS(#REF!,#REF!,$B113,#REF!,BR$1)</f>
        <v>#REF!</v>
      </c>
      <c r="BS113" s="24" t="e">
        <f>SUMIFS(#REF!,#REF!,$B113,#REF!,BS$1)</f>
        <v>#REF!</v>
      </c>
      <c r="BT113" s="24" t="e">
        <f>SUMIFS(#REF!,#REF!,$B113,#REF!,BT$1)</f>
        <v>#REF!</v>
      </c>
      <c r="BU113" s="24" t="e">
        <f>SUMIFS(#REF!,#REF!,$B113,#REF!,BU$1)</f>
        <v>#REF!</v>
      </c>
      <c r="BV113" s="24" t="e">
        <f>SUMIFS(#REF!,#REF!,$B113,#REF!,BV$1)</f>
        <v>#REF!</v>
      </c>
      <c r="BW113" s="24" t="e">
        <f>SUMIFS(#REF!,#REF!,$B113,#REF!,BW$1)</f>
        <v>#REF!</v>
      </c>
      <c r="BX113" s="24" t="e">
        <f>SUMIFS(#REF!,#REF!,$B113,#REF!,BX$1)</f>
        <v>#REF!</v>
      </c>
      <c r="BY113" s="24" t="e">
        <f>SUMIFS(#REF!,#REF!,$B113,#REF!,BY$1)</f>
        <v>#REF!</v>
      </c>
      <c r="BZ113" s="24" t="e">
        <f>SUMIFS(#REF!,#REF!,$B113,#REF!,BZ$1)</f>
        <v>#REF!</v>
      </c>
      <c r="CA113" s="24" t="e">
        <f>SUMIFS(#REF!,#REF!,$B113,#REF!,CA$1)</f>
        <v>#REF!</v>
      </c>
      <c r="CB113" s="24" t="e">
        <f>SUMIFS(#REF!,#REF!,$B113,#REF!,CB$1)</f>
        <v>#REF!</v>
      </c>
      <c r="CC113" s="24" t="e">
        <f>SUMIFS(#REF!,#REF!,$B113,#REF!,CC$1)</f>
        <v>#REF!</v>
      </c>
      <c r="CD113" s="24" t="e">
        <f>SUMIFS(#REF!,#REF!,$B113,#REF!,CD$1)</f>
        <v>#REF!</v>
      </c>
      <c r="CE113" s="24" t="e">
        <f>SUMIFS(#REF!,#REF!,$B113,#REF!,CE$1)</f>
        <v>#REF!</v>
      </c>
      <c r="CF113" s="24" t="e">
        <f>SUMIFS(#REF!,#REF!,$B113,#REF!,CF$1)</f>
        <v>#REF!</v>
      </c>
      <c r="CG113" s="19" t="e">
        <f t="shared" si="1"/>
        <v>#REF!</v>
      </c>
    </row>
    <row r="114" spans="1:85" x14ac:dyDescent="0.45">
      <c r="A114" s="4" t="s">
        <v>1210</v>
      </c>
      <c r="B114" s="4" t="s">
        <v>1211</v>
      </c>
      <c r="C114" s="24" t="e">
        <f>SUMIFS(#REF!,#REF!,$B114,#REF!,C$1)</f>
        <v>#REF!</v>
      </c>
      <c r="D114" s="24" t="e">
        <f>SUMIFS(#REF!,#REF!,$B114,#REF!,D$1)</f>
        <v>#REF!</v>
      </c>
      <c r="E114" s="24" t="e">
        <f>SUMIFS(#REF!,#REF!,$B114,#REF!,E$1)</f>
        <v>#REF!</v>
      </c>
      <c r="F114" s="24" t="e">
        <f>SUMIFS(#REF!,#REF!,$B114,#REF!,F$1)</f>
        <v>#REF!</v>
      </c>
      <c r="G114" s="24" t="e">
        <f>SUMIFS(#REF!,#REF!,$B114,#REF!,G$1)</f>
        <v>#REF!</v>
      </c>
      <c r="H114" s="24" t="e">
        <f>SUMIFS(#REF!,#REF!,$B114,#REF!,H$1)</f>
        <v>#REF!</v>
      </c>
      <c r="I114" s="24" t="e">
        <f>SUMIFS(#REF!,#REF!,$B114,#REF!,I$1)</f>
        <v>#REF!</v>
      </c>
      <c r="J114" s="24" t="e">
        <f>SUMIFS(#REF!,#REF!,$B114,#REF!,J$1)</f>
        <v>#REF!</v>
      </c>
      <c r="K114" s="24" t="e">
        <f>SUMIFS(#REF!,#REF!,$B114,#REF!,K$1)</f>
        <v>#REF!</v>
      </c>
      <c r="L114" s="24" t="e">
        <f>SUMIFS(#REF!,#REF!,$B114,#REF!,L$1)</f>
        <v>#REF!</v>
      </c>
      <c r="M114" s="24" t="e">
        <f>SUMIFS(#REF!,#REF!,$B114,#REF!,M$1)</f>
        <v>#REF!</v>
      </c>
      <c r="N114" s="24" t="e">
        <f>SUMIFS(#REF!,#REF!,$B114,#REF!,N$1)</f>
        <v>#REF!</v>
      </c>
      <c r="O114" s="24" t="e">
        <f>SUMIFS(#REF!,#REF!,$B114,#REF!,O$1)</f>
        <v>#REF!</v>
      </c>
      <c r="P114" s="24" t="e">
        <f>SUMIFS(#REF!,#REF!,$B114,#REF!,P$1)</f>
        <v>#REF!</v>
      </c>
      <c r="Q114" s="24" t="e">
        <f>SUMIFS(#REF!,#REF!,$B114,#REF!,Q$1)</f>
        <v>#REF!</v>
      </c>
      <c r="R114" s="24" t="e">
        <f>SUMIFS(#REF!,#REF!,$B114,#REF!,R$1)</f>
        <v>#REF!</v>
      </c>
      <c r="S114" s="24" t="e">
        <f>SUMIFS(#REF!,#REF!,$B114,#REF!,S$1)</f>
        <v>#REF!</v>
      </c>
      <c r="T114" s="24" t="e">
        <f>SUMIFS(#REF!,#REF!,$B114,#REF!,T$1)</f>
        <v>#REF!</v>
      </c>
      <c r="U114" s="24" t="e">
        <f>SUMIFS(#REF!,#REF!,$B114,#REF!,U$1)</f>
        <v>#REF!</v>
      </c>
      <c r="V114" s="24" t="e">
        <f>SUMIFS(#REF!,#REF!,$B114,#REF!,V$1)</f>
        <v>#REF!</v>
      </c>
      <c r="W114" s="24" t="e">
        <f>SUMIFS(#REF!,#REF!,$B114,#REF!,W$1)</f>
        <v>#REF!</v>
      </c>
      <c r="X114" s="24" t="e">
        <f>SUMIFS(#REF!,#REF!,$B114,#REF!,X$1)</f>
        <v>#REF!</v>
      </c>
      <c r="Y114" s="24" t="e">
        <f>SUMIFS(#REF!,#REF!,$B114,#REF!,Y$1)</f>
        <v>#REF!</v>
      </c>
      <c r="Z114" s="24" t="e">
        <f>SUMIFS(#REF!,#REF!,$B114,#REF!,Z$1)</f>
        <v>#REF!</v>
      </c>
      <c r="AA114" s="24" t="e">
        <f>SUMIFS(#REF!,#REF!,$B114,#REF!,AA$1)</f>
        <v>#REF!</v>
      </c>
      <c r="AB114" s="24" t="e">
        <f>SUMIFS(#REF!,#REF!,$B114,#REF!,AB$1)</f>
        <v>#REF!</v>
      </c>
      <c r="AC114" s="24" t="e">
        <f>SUMIFS(#REF!,#REF!,$B114,#REF!,AC$1)</f>
        <v>#REF!</v>
      </c>
      <c r="AD114" s="24" t="e">
        <f>SUMIFS(#REF!,#REF!,$B114,#REF!,AD$1)</f>
        <v>#REF!</v>
      </c>
      <c r="AE114" s="24" t="e">
        <f>SUMIFS(#REF!,#REF!,$B114,#REF!,AE$1)</f>
        <v>#REF!</v>
      </c>
      <c r="AF114" s="24" t="e">
        <f>SUMIFS(#REF!,#REF!,$B114,#REF!,AF$1)</f>
        <v>#REF!</v>
      </c>
      <c r="AG114" s="24" t="e">
        <f>SUMIFS(#REF!,#REF!,$B114,#REF!,AG$1)</f>
        <v>#REF!</v>
      </c>
      <c r="AH114" s="24" t="e">
        <f>SUMIFS(#REF!,#REF!,$B114,#REF!,AH$1)</f>
        <v>#REF!</v>
      </c>
      <c r="AI114" s="24" t="e">
        <f>SUMIFS(#REF!,#REF!,$B114,#REF!,AI$1)</f>
        <v>#REF!</v>
      </c>
      <c r="AJ114" s="24" t="e">
        <f>SUMIFS(#REF!,#REF!,$B114,#REF!,AJ$1)</f>
        <v>#REF!</v>
      </c>
      <c r="AK114" s="24" t="e">
        <f>SUMIFS(#REF!,#REF!,$B114,#REF!,AK$1)</f>
        <v>#REF!</v>
      </c>
      <c r="AL114" s="24" t="e">
        <f>SUMIFS(#REF!,#REF!,$B114,#REF!,AL$1)</f>
        <v>#REF!</v>
      </c>
      <c r="AM114" s="24" t="e">
        <f>SUMIFS(#REF!,#REF!,$B114,#REF!,AM$1)</f>
        <v>#REF!</v>
      </c>
      <c r="AN114" s="24" t="e">
        <f>SUMIFS(#REF!,#REF!,$B114,#REF!,AN$1)</f>
        <v>#REF!</v>
      </c>
      <c r="AO114" s="24" t="e">
        <f>SUMIFS(#REF!,#REF!,$B114,#REF!,AO$1)</f>
        <v>#REF!</v>
      </c>
      <c r="AP114" s="24" t="e">
        <f>SUMIFS(#REF!,#REF!,$B114,#REF!,AP$1)</f>
        <v>#REF!</v>
      </c>
      <c r="AQ114" s="24" t="e">
        <f>SUMIFS(#REF!,#REF!,$B114,#REF!,AQ$1)</f>
        <v>#REF!</v>
      </c>
      <c r="AR114" s="24" t="e">
        <f>SUMIFS(#REF!,#REF!,$B114,#REF!,AR$1)</f>
        <v>#REF!</v>
      </c>
      <c r="AS114" s="24" t="e">
        <f>SUMIFS(#REF!,#REF!,$B114,#REF!,AS$1)</f>
        <v>#REF!</v>
      </c>
      <c r="AT114" s="24" t="e">
        <f>SUMIFS(#REF!,#REF!,$B114,#REF!,AT$1)</f>
        <v>#REF!</v>
      </c>
      <c r="AU114" s="24" t="e">
        <f>SUMIFS(#REF!,#REF!,$B114,#REF!,AU$1)</f>
        <v>#REF!</v>
      </c>
      <c r="AV114" s="24" t="e">
        <f>SUMIFS(#REF!,#REF!,$B114,#REF!,AV$1)</f>
        <v>#REF!</v>
      </c>
      <c r="AW114" s="24" t="e">
        <f>SUMIFS(#REF!,#REF!,$B114,#REF!,AW$1)</f>
        <v>#REF!</v>
      </c>
      <c r="AX114" s="24" t="e">
        <f>SUMIFS(#REF!,#REF!,$B114,#REF!,AX$1)</f>
        <v>#REF!</v>
      </c>
      <c r="AY114" s="24" t="e">
        <f>SUMIFS(#REF!,#REF!,$B114,#REF!,AY$1)</f>
        <v>#REF!</v>
      </c>
      <c r="AZ114" s="24" t="e">
        <f>SUMIFS(#REF!,#REF!,$B114,#REF!,AZ$1)</f>
        <v>#REF!</v>
      </c>
      <c r="BA114" s="24" t="e">
        <f>SUMIFS(#REF!,#REF!,$B114,#REF!,BA$1)</f>
        <v>#REF!</v>
      </c>
      <c r="BB114" s="24" t="e">
        <f>SUMIFS(#REF!,#REF!,$B114,#REF!,BB$1)</f>
        <v>#REF!</v>
      </c>
      <c r="BC114" s="24" t="e">
        <f>SUMIFS(#REF!,#REF!,$B114,#REF!,BC$1)</f>
        <v>#REF!</v>
      </c>
      <c r="BD114" s="24" t="e">
        <f>SUMIFS(#REF!,#REF!,$B114,#REF!,BD$1)</f>
        <v>#REF!</v>
      </c>
      <c r="BE114" s="24" t="e">
        <f>SUMIFS(#REF!,#REF!,$B114,#REF!,BE$1)</f>
        <v>#REF!</v>
      </c>
      <c r="BF114" s="24" t="e">
        <f>SUMIFS(#REF!,#REF!,$B114,#REF!,BF$1)</f>
        <v>#REF!</v>
      </c>
      <c r="BG114" s="24" t="e">
        <f>SUMIFS(#REF!,#REF!,$B114,#REF!,BG$1)</f>
        <v>#REF!</v>
      </c>
      <c r="BH114" s="24" t="e">
        <f>SUMIFS(#REF!,#REF!,$B114,#REF!,BH$1)</f>
        <v>#REF!</v>
      </c>
      <c r="BI114" s="24" t="e">
        <f>SUMIFS(#REF!,#REF!,$B114,#REF!,BI$1)</f>
        <v>#REF!</v>
      </c>
      <c r="BJ114" s="24" t="e">
        <f>SUMIFS(#REF!,#REF!,$B114,#REF!,BJ$1)</f>
        <v>#REF!</v>
      </c>
      <c r="BK114" s="24" t="e">
        <f>SUMIFS(#REF!,#REF!,$B114,#REF!,BK$1)</f>
        <v>#REF!</v>
      </c>
      <c r="BL114" s="24" t="e">
        <f>SUMIFS(#REF!,#REF!,$B114,#REF!,BL$1)</f>
        <v>#REF!</v>
      </c>
      <c r="BM114" s="24" t="e">
        <f>SUMIFS(#REF!,#REF!,$B114,#REF!,BM$1)</f>
        <v>#REF!</v>
      </c>
      <c r="BN114" s="24" t="e">
        <f>SUMIFS(#REF!,#REF!,$B114,#REF!,BN$1)</f>
        <v>#REF!</v>
      </c>
      <c r="BO114" s="24" t="e">
        <f>SUMIFS(#REF!,#REF!,$B114,#REF!,BO$1)</f>
        <v>#REF!</v>
      </c>
      <c r="BP114" s="24" t="e">
        <f>SUMIFS(#REF!,#REF!,$B114,#REF!,BP$1)</f>
        <v>#REF!</v>
      </c>
      <c r="BQ114" s="24" t="e">
        <f>SUMIFS(#REF!,#REF!,$B114,#REF!,BQ$1)</f>
        <v>#REF!</v>
      </c>
      <c r="BR114" s="24" t="e">
        <f>SUMIFS(#REF!,#REF!,$B114,#REF!,BR$1)</f>
        <v>#REF!</v>
      </c>
      <c r="BS114" s="24" t="e">
        <f>SUMIFS(#REF!,#REF!,$B114,#REF!,BS$1)</f>
        <v>#REF!</v>
      </c>
      <c r="BT114" s="24" t="e">
        <f>SUMIFS(#REF!,#REF!,$B114,#REF!,BT$1)</f>
        <v>#REF!</v>
      </c>
      <c r="BU114" s="24" t="e">
        <f>SUMIFS(#REF!,#REF!,$B114,#REF!,BU$1)</f>
        <v>#REF!</v>
      </c>
      <c r="BV114" s="24" t="e">
        <f>SUMIFS(#REF!,#REF!,$B114,#REF!,BV$1)</f>
        <v>#REF!</v>
      </c>
      <c r="BW114" s="24" t="e">
        <f>SUMIFS(#REF!,#REF!,$B114,#REF!,BW$1)</f>
        <v>#REF!</v>
      </c>
      <c r="BX114" s="24" t="e">
        <f>SUMIFS(#REF!,#REF!,$B114,#REF!,BX$1)</f>
        <v>#REF!</v>
      </c>
      <c r="BY114" s="24" t="e">
        <f>SUMIFS(#REF!,#REF!,$B114,#REF!,BY$1)</f>
        <v>#REF!</v>
      </c>
      <c r="BZ114" s="24" t="e">
        <f>SUMIFS(#REF!,#REF!,$B114,#REF!,BZ$1)</f>
        <v>#REF!</v>
      </c>
      <c r="CA114" s="24" t="e">
        <f>SUMIFS(#REF!,#REF!,$B114,#REF!,CA$1)</f>
        <v>#REF!</v>
      </c>
      <c r="CB114" s="24" t="e">
        <f>SUMIFS(#REF!,#REF!,$B114,#REF!,CB$1)</f>
        <v>#REF!</v>
      </c>
      <c r="CC114" s="24" t="e">
        <f>SUMIFS(#REF!,#REF!,$B114,#REF!,CC$1)</f>
        <v>#REF!</v>
      </c>
      <c r="CD114" s="24" t="e">
        <f>SUMIFS(#REF!,#REF!,$B114,#REF!,CD$1)</f>
        <v>#REF!</v>
      </c>
      <c r="CE114" s="24" t="e">
        <f>SUMIFS(#REF!,#REF!,$B114,#REF!,CE$1)</f>
        <v>#REF!</v>
      </c>
      <c r="CF114" s="24" t="e">
        <f>SUMIFS(#REF!,#REF!,$B114,#REF!,CF$1)</f>
        <v>#REF!</v>
      </c>
      <c r="CG114" s="19" t="e">
        <f t="shared" si="1"/>
        <v>#REF!</v>
      </c>
    </row>
    <row r="115" spans="1:85" x14ac:dyDescent="0.45">
      <c r="A115" s="4" t="s">
        <v>1212</v>
      </c>
      <c r="B115" s="4" t="s">
        <v>1213</v>
      </c>
      <c r="C115" s="24" t="e">
        <f>SUMIFS(#REF!,#REF!,$B115,#REF!,C$1)</f>
        <v>#REF!</v>
      </c>
      <c r="D115" s="24" t="e">
        <f>SUMIFS(#REF!,#REF!,$B115,#REF!,D$1)</f>
        <v>#REF!</v>
      </c>
      <c r="E115" s="24" t="e">
        <f>SUMIFS(#REF!,#REF!,$B115,#REF!,E$1)</f>
        <v>#REF!</v>
      </c>
      <c r="F115" s="24" t="e">
        <f>SUMIFS(#REF!,#REF!,$B115,#REF!,F$1)</f>
        <v>#REF!</v>
      </c>
      <c r="G115" s="24" t="e">
        <f>SUMIFS(#REF!,#REF!,$B115,#REF!,G$1)</f>
        <v>#REF!</v>
      </c>
      <c r="H115" s="24" t="e">
        <f>SUMIFS(#REF!,#REF!,$B115,#REF!,H$1)</f>
        <v>#REF!</v>
      </c>
      <c r="I115" s="24" t="e">
        <f>SUMIFS(#REF!,#REF!,$B115,#REF!,I$1)</f>
        <v>#REF!</v>
      </c>
      <c r="J115" s="24" t="e">
        <f>SUMIFS(#REF!,#REF!,$B115,#REF!,J$1)</f>
        <v>#REF!</v>
      </c>
      <c r="K115" s="24" t="e">
        <f>SUMIFS(#REF!,#REF!,$B115,#REF!,K$1)</f>
        <v>#REF!</v>
      </c>
      <c r="L115" s="24" t="e">
        <f>SUMIFS(#REF!,#REF!,$B115,#REF!,L$1)</f>
        <v>#REF!</v>
      </c>
      <c r="M115" s="24" t="e">
        <f>SUMIFS(#REF!,#REF!,$B115,#REF!,M$1)</f>
        <v>#REF!</v>
      </c>
      <c r="N115" s="24" t="e">
        <f>SUMIFS(#REF!,#REF!,$B115,#REF!,N$1)</f>
        <v>#REF!</v>
      </c>
      <c r="O115" s="24" t="e">
        <f>SUMIFS(#REF!,#REF!,$B115,#REF!,O$1)</f>
        <v>#REF!</v>
      </c>
      <c r="P115" s="24" t="e">
        <f>SUMIFS(#REF!,#REF!,$B115,#REF!,P$1)</f>
        <v>#REF!</v>
      </c>
      <c r="Q115" s="24" t="e">
        <f>SUMIFS(#REF!,#REF!,$B115,#REF!,Q$1)</f>
        <v>#REF!</v>
      </c>
      <c r="R115" s="24" t="e">
        <f>SUMIFS(#REF!,#REF!,$B115,#REF!,R$1)</f>
        <v>#REF!</v>
      </c>
      <c r="S115" s="24" t="e">
        <f>SUMIFS(#REF!,#REF!,$B115,#REF!,S$1)</f>
        <v>#REF!</v>
      </c>
      <c r="T115" s="24" t="e">
        <f>SUMIFS(#REF!,#REF!,$B115,#REF!,T$1)</f>
        <v>#REF!</v>
      </c>
      <c r="U115" s="24" t="e">
        <f>SUMIFS(#REF!,#REF!,$B115,#REF!,U$1)</f>
        <v>#REF!</v>
      </c>
      <c r="V115" s="24" t="e">
        <f>SUMIFS(#REF!,#REF!,$B115,#REF!,V$1)</f>
        <v>#REF!</v>
      </c>
      <c r="W115" s="24" t="e">
        <f>SUMIFS(#REF!,#REF!,$B115,#REF!,W$1)</f>
        <v>#REF!</v>
      </c>
      <c r="X115" s="24" t="e">
        <f>SUMIFS(#REF!,#REF!,$B115,#REF!,X$1)</f>
        <v>#REF!</v>
      </c>
      <c r="Y115" s="24" t="e">
        <f>SUMIFS(#REF!,#REF!,$B115,#REF!,Y$1)</f>
        <v>#REF!</v>
      </c>
      <c r="Z115" s="24" t="e">
        <f>SUMIFS(#REF!,#REF!,$B115,#REF!,Z$1)</f>
        <v>#REF!</v>
      </c>
      <c r="AA115" s="24" t="e">
        <f>SUMIFS(#REF!,#REF!,$B115,#REF!,AA$1)</f>
        <v>#REF!</v>
      </c>
      <c r="AB115" s="24" t="e">
        <f>SUMIFS(#REF!,#REF!,$B115,#REF!,AB$1)</f>
        <v>#REF!</v>
      </c>
      <c r="AC115" s="24" t="e">
        <f>SUMIFS(#REF!,#REF!,$B115,#REF!,AC$1)</f>
        <v>#REF!</v>
      </c>
      <c r="AD115" s="24" t="e">
        <f>SUMIFS(#REF!,#REF!,$B115,#REF!,AD$1)</f>
        <v>#REF!</v>
      </c>
      <c r="AE115" s="24" t="e">
        <f>SUMIFS(#REF!,#REF!,$B115,#REF!,AE$1)</f>
        <v>#REF!</v>
      </c>
      <c r="AF115" s="24" t="e">
        <f>SUMIFS(#REF!,#REF!,$B115,#REF!,AF$1)</f>
        <v>#REF!</v>
      </c>
      <c r="AG115" s="24" t="e">
        <f>SUMIFS(#REF!,#REF!,$B115,#REF!,AG$1)</f>
        <v>#REF!</v>
      </c>
      <c r="AH115" s="24" t="e">
        <f>SUMIFS(#REF!,#REF!,$B115,#REF!,AH$1)</f>
        <v>#REF!</v>
      </c>
      <c r="AI115" s="24" t="e">
        <f>SUMIFS(#REF!,#REF!,$B115,#REF!,AI$1)</f>
        <v>#REF!</v>
      </c>
      <c r="AJ115" s="24" t="e">
        <f>SUMIFS(#REF!,#REF!,$B115,#REF!,AJ$1)</f>
        <v>#REF!</v>
      </c>
      <c r="AK115" s="24" t="e">
        <f>SUMIFS(#REF!,#REF!,$B115,#REF!,AK$1)</f>
        <v>#REF!</v>
      </c>
      <c r="AL115" s="24" t="e">
        <f>SUMIFS(#REF!,#REF!,$B115,#REF!,AL$1)</f>
        <v>#REF!</v>
      </c>
      <c r="AM115" s="24" t="e">
        <f>SUMIFS(#REF!,#REF!,$B115,#REF!,AM$1)</f>
        <v>#REF!</v>
      </c>
      <c r="AN115" s="24" t="e">
        <f>SUMIFS(#REF!,#REF!,$B115,#REF!,AN$1)</f>
        <v>#REF!</v>
      </c>
      <c r="AO115" s="24" t="e">
        <f>SUMIFS(#REF!,#REF!,$B115,#REF!,AO$1)</f>
        <v>#REF!</v>
      </c>
      <c r="AP115" s="24" t="e">
        <f>SUMIFS(#REF!,#REF!,$B115,#REF!,AP$1)</f>
        <v>#REF!</v>
      </c>
      <c r="AQ115" s="24" t="e">
        <f>SUMIFS(#REF!,#REF!,$B115,#REF!,AQ$1)</f>
        <v>#REF!</v>
      </c>
      <c r="AR115" s="24" t="e">
        <f>SUMIFS(#REF!,#REF!,$B115,#REF!,AR$1)</f>
        <v>#REF!</v>
      </c>
      <c r="AS115" s="24" t="e">
        <f>SUMIFS(#REF!,#REF!,$B115,#REF!,AS$1)</f>
        <v>#REF!</v>
      </c>
      <c r="AT115" s="24" t="e">
        <f>SUMIFS(#REF!,#REF!,$B115,#REF!,AT$1)</f>
        <v>#REF!</v>
      </c>
      <c r="AU115" s="24" t="e">
        <f>SUMIFS(#REF!,#REF!,$B115,#REF!,AU$1)</f>
        <v>#REF!</v>
      </c>
      <c r="AV115" s="24" t="e">
        <f>SUMIFS(#REF!,#REF!,$B115,#REF!,AV$1)</f>
        <v>#REF!</v>
      </c>
      <c r="AW115" s="24" t="e">
        <f>SUMIFS(#REF!,#REF!,$B115,#REF!,AW$1)</f>
        <v>#REF!</v>
      </c>
      <c r="AX115" s="24" t="e">
        <f>SUMIFS(#REF!,#REF!,$B115,#REF!,AX$1)</f>
        <v>#REF!</v>
      </c>
      <c r="AY115" s="24" t="e">
        <f>SUMIFS(#REF!,#REF!,$B115,#REF!,AY$1)</f>
        <v>#REF!</v>
      </c>
      <c r="AZ115" s="24" t="e">
        <f>SUMIFS(#REF!,#REF!,$B115,#REF!,AZ$1)</f>
        <v>#REF!</v>
      </c>
      <c r="BA115" s="24" t="e">
        <f>SUMIFS(#REF!,#REF!,$B115,#REF!,BA$1)</f>
        <v>#REF!</v>
      </c>
      <c r="BB115" s="24" t="e">
        <f>SUMIFS(#REF!,#REF!,$B115,#REF!,BB$1)</f>
        <v>#REF!</v>
      </c>
      <c r="BC115" s="24" t="e">
        <f>SUMIFS(#REF!,#REF!,$B115,#REF!,BC$1)</f>
        <v>#REF!</v>
      </c>
      <c r="BD115" s="24" t="e">
        <f>SUMIFS(#REF!,#REF!,$B115,#REF!,BD$1)</f>
        <v>#REF!</v>
      </c>
      <c r="BE115" s="24" t="e">
        <f>SUMIFS(#REF!,#REF!,$B115,#REF!,BE$1)</f>
        <v>#REF!</v>
      </c>
      <c r="BF115" s="24" t="e">
        <f>SUMIFS(#REF!,#REF!,$B115,#REF!,BF$1)</f>
        <v>#REF!</v>
      </c>
      <c r="BG115" s="24" t="e">
        <f>SUMIFS(#REF!,#REF!,$B115,#REF!,BG$1)</f>
        <v>#REF!</v>
      </c>
      <c r="BH115" s="24" t="e">
        <f>SUMIFS(#REF!,#REF!,$B115,#REF!,BH$1)</f>
        <v>#REF!</v>
      </c>
      <c r="BI115" s="24" t="e">
        <f>SUMIFS(#REF!,#REF!,$B115,#REF!,BI$1)</f>
        <v>#REF!</v>
      </c>
      <c r="BJ115" s="24" t="e">
        <f>SUMIFS(#REF!,#REF!,$B115,#REF!,BJ$1)</f>
        <v>#REF!</v>
      </c>
      <c r="BK115" s="24" t="e">
        <f>SUMIFS(#REF!,#REF!,$B115,#REF!,BK$1)</f>
        <v>#REF!</v>
      </c>
      <c r="BL115" s="24" t="e">
        <f>SUMIFS(#REF!,#REF!,$B115,#REF!,BL$1)</f>
        <v>#REF!</v>
      </c>
      <c r="BM115" s="24" t="e">
        <f>SUMIFS(#REF!,#REF!,$B115,#REF!,BM$1)</f>
        <v>#REF!</v>
      </c>
      <c r="BN115" s="24" t="e">
        <f>SUMIFS(#REF!,#REF!,$B115,#REF!,BN$1)</f>
        <v>#REF!</v>
      </c>
      <c r="BO115" s="24" t="e">
        <f>SUMIFS(#REF!,#REF!,$B115,#REF!,BO$1)</f>
        <v>#REF!</v>
      </c>
      <c r="BP115" s="24" t="e">
        <f>SUMIFS(#REF!,#REF!,$B115,#REF!,BP$1)</f>
        <v>#REF!</v>
      </c>
      <c r="BQ115" s="24" t="e">
        <f>SUMIFS(#REF!,#REF!,$B115,#REF!,BQ$1)</f>
        <v>#REF!</v>
      </c>
      <c r="BR115" s="24" t="e">
        <f>SUMIFS(#REF!,#REF!,$B115,#REF!,BR$1)</f>
        <v>#REF!</v>
      </c>
      <c r="BS115" s="24" t="e">
        <f>SUMIFS(#REF!,#REF!,$B115,#REF!,BS$1)</f>
        <v>#REF!</v>
      </c>
      <c r="BT115" s="24" t="e">
        <f>SUMIFS(#REF!,#REF!,$B115,#REF!,BT$1)</f>
        <v>#REF!</v>
      </c>
      <c r="BU115" s="24" t="e">
        <f>SUMIFS(#REF!,#REF!,$B115,#REF!,BU$1)</f>
        <v>#REF!</v>
      </c>
      <c r="BV115" s="24" t="e">
        <f>SUMIFS(#REF!,#REF!,$B115,#REF!,BV$1)</f>
        <v>#REF!</v>
      </c>
      <c r="BW115" s="24" t="e">
        <f>SUMIFS(#REF!,#REF!,$B115,#REF!,BW$1)</f>
        <v>#REF!</v>
      </c>
      <c r="BX115" s="24" t="e">
        <f>SUMIFS(#REF!,#REF!,$B115,#REF!,BX$1)</f>
        <v>#REF!</v>
      </c>
      <c r="BY115" s="24" t="e">
        <f>SUMIFS(#REF!,#REF!,$B115,#REF!,BY$1)</f>
        <v>#REF!</v>
      </c>
      <c r="BZ115" s="24" t="e">
        <f>SUMIFS(#REF!,#REF!,$B115,#REF!,BZ$1)</f>
        <v>#REF!</v>
      </c>
      <c r="CA115" s="24" t="e">
        <f>SUMIFS(#REF!,#REF!,$B115,#REF!,CA$1)</f>
        <v>#REF!</v>
      </c>
      <c r="CB115" s="24" t="e">
        <f>SUMIFS(#REF!,#REF!,$B115,#REF!,CB$1)</f>
        <v>#REF!</v>
      </c>
      <c r="CC115" s="24" t="e">
        <f>SUMIFS(#REF!,#REF!,$B115,#REF!,CC$1)</f>
        <v>#REF!</v>
      </c>
      <c r="CD115" s="24" t="e">
        <f>SUMIFS(#REF!,#REF!,$B115,#REF!,CD$1)</f>
        <v>#REF!</v>
      </c>
      <c r="CE115" s="24" t="e">
        <f>SUMIFS(#REF!,#REF!,$B115,#REF!,CE$1)</f>
        <v>#REF!</v>
      </c>
      <c r="CF115" s="24" t="e">
        <f>SUMIFS(#REF!,#REF!,$B115,#REF!,CF$1)</f>
        <v>#REF!</v>
      </c>
      <c r="CG115" s="19" t="e">
        <f t="shared" si="1"/>
        <v>#REF!</v>
      </c>
    </row>
    <row r="116" spans="1:85" x14ac:dyDescent="0.45">
      <c r="A116" s="4" t="s">
        <v>1214</v>
      </c>
      <c r="B116" s="4" t="s">
        <v>1215</v>
      </c>
      <c r="C116" s="24" t="e">
        <f>SUMIFS(#REF!,#REF!,$B116,#REF!,C$1)</f>
        <v>#REF!</v>
      </c>
      <c r="D116" s="24" t="e">
        <f>SUMIFS(#REF!,#REF!,$B116,#REF!,D$1)</f>
        <v>#REF!</v>
      </c>
      <c r="E116" s="24" t="e">
        <f>SUMIFS(#REF!,#REF!,$B116,#REF!,E$1)</f>
        <v>#REF!</v>
      </c>
      <c r="F116" s="24" t="e">
        <f>SUMIFS(#REF!,#REF!,$B116,#REF!,F$1)</f>
        <v>#REF!</v>
      </c>
      <c r="G116" s="24" t="e">
        <f>SUMIFS(#REF!,#REF!,$B116,#REF!,G$1)</f>
        <v>#REF!</v>
      </c>
      <c r="H116" s="24" t="e">
        <f>SUMIFS(#REF!,#REF!,$B116,#REF!,H$1)</f>
        <v>#REF!</v>
      </c>
      <c r="I116" s="24" t="e">
        <f>SUMIFS(#REF!,#REF!,$B116,#REF!,I$1)</f>
        <v>#REF!</v>
      </c>
      <c r="J116" s="24" t="e">
        <f>SUMIFS(#REF!,#REF!,$B116,#REF!,J$1)</f>
        <v>#REF!</v>
      </c>
      <c r="K116" s="24" t="e">
        <f>SUMIFS(#REF!,#REF!,$B116,#REF!,K$1)</f>
        <v>#REF!</v>
      </c>
      <c r="L116" s="24" t="e">
        <f>SUMIFS(#REF!,#REF!,$B116,#REF!,L$1)</f>
        <v>#REF!</v>
      </c>
      <c r="M116" s="24" t="e">
        <f>SUMIFS(#REF!,#REF!,$B116,#REF!,M$1)</f>
        <v>#REF!</v>
      </c>
      <c r="N116" s="24" t="e">
        <f>SUMIFS(#REF!,#REF!,$B116,#REF!,N$1)</f>
        <v>#REF!</v>
      </c>
      <c r="O116" s="24" t="e">
        <f>SUMIFS(#REF!,#REF!,$B116,#REF!,O$1)</f>
        <v>#REF!</v>
      </c>
      <c r="P116" s="24" t="e">
        <f>SUMIFS(#REF!,#REF!,$B116,#REF!,P$1)</f>
        <v>#REF!</v>
      </c>
      <c r="Q116" s="24" t="e">
        <f>SUMIFS(#REF!,#REF!,$B116,#REF!,Q$1)</f>
        <v>#REF!</v>
      </c>
      <c r="R116" s="24" t="e">
        <f>SUMIFS(#REF!,#REF!,$B116,#REF!,R$1)</f>
        <v>#REF!</v>
      </c>
      <c r="S116" s="24" t="e">
        <f>SUMIFS(#REF!,#REF!,$B116,#REF!,S$1)</f>
        <v>#REF!</v>
      </c>
      <c r="T116" s="24" t="e">
        <f>SUMIFS(#REF!,#REF!,$B116,#REF!,T$1)</f>
        <v>#REF!</v>
      </c>
      <c r="U116" s="24" t="e">
        <f>SUMIFS(#REF!,#REF!,$B116,#REF!,U$1)</f>
        <v>#REF!</v>
      </c>
      <c r="V116" s="24" t="e">
        <f>SUMIFS(#REF!,#REF!,$B116,#REF!,V$1)</f>
        <v>#REF!</v>
      </c>
      <c r="W116" s="24" t="e">
        <f>SUMIFS(#REF!,#REF!,$B116,#REF!,W$1)</f>
        <v>#REF!</v>
      </c>
      <c r="X116" s="24" t="e">
        <f>SUMIFS(#REF!,#REF!,$B116,#REF!,X$1)</f>
        <v>#REF!</v>
      </c>
      <c r="Y116" s="24" t="e">
        <f>SUMIFS(#REF!,#REF!,$B116,#REF!,Y$1)</f>
        <v>#REF!</v>
      </c>
      <c r="Z116" s="24" t="e">
        <f>SUMIFS(#REF!,#REF!,$B116,#REF!,Z$1)</f>
        <v>#REF!</v>
      </c>
      <c r="AA116" s="24" t="e">
        <f>SUMIFS(#REF!,#REF!,$B116,#REF!,AA$1)</f>
        <v>#REF!</v>
      </c>
      <c r="AB116" s="24" t="e">
        <f>SUMIFS(#REF!,#REF!,$B116,#REF!,AB$1)</f>
        <v>#REF!</v>
      </c>
      <c r="AC116" s="24" t="e">
        <f>SUMIFS(#REF!,#REF!,$B116,#REF!,AC$1)</f>
        <v>#REF!</v>
      </c>
      <c r="AD116" s="24" t="e">
        <f>SUMIFS(#REF!,#REF!,$B116,#REF!,AD$1)</f>
        <v>#REF!</v>
      </c>
      <c r="AE116" s="24" t="e">
        <f>SUMIFS(#REF!,#REF!,$B116,#REF!,AE$1)</f>
        <v>#REF!</v>
      </c>
      <c r="AF116" s="24" t="e">
        <f>SUMIFS(#REF!,#REF!,$B116,#REF!,AF$1)</f>
        <v>#REF!</v>
      </c>
      <c r="AG116" s="24" t="e">
        <f>SUMIFS(#REF!,#REF!,$B116,#REF!,AG$1)</f>
        <v>#REF!</v>
      </c>
      <c r="AH116" s="24" t="e">
        <f>SUMIFS(#REF!,#REF!,$B116,#REF!,AH$1)</f>
        <v>#REF!</v>
      </c>
      <c r="AI116" s="24" t="e">
        <f>SUMIFS(#REF!,#REF!,$B116,#REF!,AI$1)</f>
        <v>#REF!</v>
      </c>
      <c r="AJ116" s="24" t="e">
        <f>SUMIFS(#REF!,#REF!,$B116,#REF!,AJ$1)</f>
        <v>#REF!</v>
      </c>
      <c r="AK116" s="24" t="e">
        <f>SUMIFS(#REF!,#REF!,$B116,#REF!,AK$1)</f>
        <v>#REF!</v>
      </c>
      <c r="AL116" s="24" t="e">
        <f>SUMIFS(#REF!,#REF!,$B116,#REF!,AL$1)</f>
        <v>#REF!</v>
      </c>
      <c r="AM116" s="24" t="e">
        <f>SUMIFS(#REF!,#REF!,$B116,#REF!,AM$1)</f>
        <v>#REF!</v>
      </c>
      <c r="AN116" s="24" t="e">
        <f>SUMIFS(#REF!,#REF!,$B116,#REF!,AN$1)</f>
        <v>#REF!</v>
      </c>
      <c r="AO116" s="24" t="e">
        <f>SUMIFS(#REF!,#REF!,$B116,#REF!,AO$1)</f>
        <v>#REF!</v>
      </c>
      <c r="AP116" s="24" t="e">
        <f>SUMIFS(#REF!,#REF!,$B116,#REF!,AP$1)</f>
        <v>#REF!</v>
      </c>
      <c r="AQ116" s="24" t="e">
        <f>SUMIFS(#REF!,#REF!,$B116,#REF!,AQ$1)</f>
        <v>#REF!</v>
      </c>
      <c r="AR116" s="24" t="e">
        <f>SUMIFS(#REF!,#REF!,$B116,#REF!,AR$1)</f>
        <v>#REF!</v>
      </c>
      <c r="AS116" s="24" t="e">
        <f>SUMIFS(#REF!,#REF!,$B116,#REF!,AS$1)</f>
        <v>#REF!</v>
      </c>
      <c r="AT116" s="24" t="e">
        <f>SUMIFS(#REF!,#REF!,$B116,#REF!,AT$1)</f>
        <v>#REF!</v>
      </c>
      <c r="AU116" s="24" t="e">
        <f>SUMIFS(#REF!,#REF!,$B116,#REF!,AU$1)</f>
        <v>#REF!</v>
      </c>
      <c r="AV116" s="24" t="e">
        <f>SUMIFS(#REF!,#REF!,$B116,#REF!,AV$1)</f>
        <v>#REF!</v>
      </c>
      <c r="AW116" s="24" t="e">
        <f>SUMIFS(#REF!,#REF!,$B116,#REF!,AW$1)</f>
        <v>#REF!</v>
      </c>
      <c r="AX116" s="24" t="e">
        <f>SUMIFS(#REF!,#REF!,$B116,#REF!,AX$1)</f>
        <v>#REF!</v>
      </c>
      <c r="AY116" s="24" t="e">
        <f>SUMIFS(#REF!,#REF!,$B116,#REF!,AY$1)</f>
        <v>#REF!</v>
      </c>
      <c r="AZ116" s="24" t="e">
        <f>SUMIFS(#REF!,#REF!,$B116,#REF!,AZ$1)</f>
        <v>#REF!</v>
      </c>
      <c r="BA116" s="24" t="e">
        <f>SUMIFS(#REF!,#REF!,$B116,#REF!,BA$1)</f>
        <v>#REF!</v>
      </c>
      <c r="BB116" s="24" t="e">
        <f>SUMIFS(#REF!,#REF!,$B116,#REF!,BB$1)</f>
        <v>#REF!</v>
      </c>
      <c r="BC116" s="24" t="e">
        <f>SUMIFS(#REF!,#REF!,$B116,#REF!,BC$1)</f>
        <v>#REF!</v>
      </c>
      <c r="BD116" s="24" t="e">
        <f>SUMIFS(#REF!,#REF!,$B116,#REF!,BD$1)</f>
        <v>#REF!</v>
      </c>
      <c r="BE116" s="24" t="e">
        <f>SUMIFS(#REF!,#REF!,$B116,#REF!,BE$1)</f>
        <v>#REF!</v>
      </c>
      <c r="BF116" s="24" t="e">
        <f>SUMIFS(#REF!,#REF!,$B116,#REF!,BF$1)</f>
        <v>#REF!</v>
      </c>
      <c r="BG116" s="24" t="e">
        <f>SUMIFS(#REF!,#REF!,$B116,#REF!,BG$1)</f>
        <v>#REF!</v>
      </c>
      <c r="BH116" s="24" t="e">
        <f>SUMIFS(#REF!,#REF!,$B116,#REF!,BH$1)</f>
        <v>#REF!</v>
      </c>
      <c r="BI116" s="24" t="e">
        <f>SUMIFS(#REF!,#REF!,$B116,#REF!,BI$1)</f>
        <v>#REF!</v>
      </c>
      <c r="BJ116" s="24" t="e">
        <f>SUMIFS(#REF!,#REF!,$B116,#REF!,BJ$1)</f>
        <v>#REF!</v>
      </c>
      <c r="BK116" s="24" t="e">
        <f>SUMIFS(#REF!,#REF!,$B116,#REF!,BK$1)</f>
        <v>#REF!</v>
      </c>
      <c r="BL116" s="24" t="e">
        <f>SUMIFS(#REF!,#REF!,$B116,#REF!,BL$1)</f>
        <v>#REF!</v>
      </c>
      <c r="BM116" s="24" t="e">
        <f>SUMIFS(#REF!,#REF!,$B116,#REF!,BM$1)</f>
        <v>#REF!</v>
      </c>
      <c r="BN116" s="24" t="e">
        <f>SUMIFS(#REF!,#REF!,$B116,#REF!,BN$1)</f>
        <v>#REF!</v>
      </c>
      <c r="BO116" s="24" t="e">
        <f>SUMIFS(#REF!,#REF!,$B116,#REF!,BO$1)</f>
        <v>#REF!</v>
      </c>
      <c r="BP116" s="24" t="e">
        <f>SUMIFS(#REF!,#REF!,$B116,#REF!,BP$1)</f>
        <v>#REF!</v>
      </c>
      <c r="BQ116" s="24" t="e">
        <f>SUMIFS(#REF!,#REF!,$B116,#REF!,BQ$1)</f>
        <v>#REF!</v>
      </c>
      <c r="BR116" s="24" t="e">
        <f>SUMIFS(#REF!,#REF!,$B116,#REF!,BR$1)</f>
        <v>#REF!</v>
      </c>
      <c r="BS116" s="24" t="e">
        <f>SUMIFS(#REF!,#REF!,$B116,#REF!,BS$1)</f>
        <v>#REF!</v>
      </c>
      <c r="BT116" s="24" t="e">
        <f>SUMIFS(#REF!,#REF!,$B116,#REF!,BT$1)</f>
        <v>#REF!</v>
      </c>
      <c r="BU116" s="24" t="e">
        <f>SUMIFS(#REF!,#REF!,$B116,#REF!,BU$1)</f>
        <v>#REF!</v>
      </c>
      <c r="BV116" s="24" t="e">
        <f>SUMIFS(#REF!,#REF!,$B116,#REF!,BV$1)</f>
        <v>#REF!</v>
      </c>
      <c r="BW116" s="24" t="e">
        <f>SUMIFS(#REF!,#REF!,$B116,#REF!,BW$1)</f>
        <v>#REF!</v>
      </c>
      <c r="BX116" s="24" t="e">
        <f>SUMIFS(#REF!,#REF!,$B116,#REF!,BX$1)</f>
        <v>#REF!</v>
      </c>
      <c r="BY116" s="24" t="e">
        <f>SUMIFS(#REF!,#REF!,$B116,#REF!,BY$1)</f>
        <v>#REF!</v>
      </c>
      <c r="BZ116" s="24" t="e">
        <f>SUMIFS(#REF!,#REF!,$B116,#REF!,BZ$1)</f>
        <v>#REF!</v>
      </c>
      <c r="CA116" s="24" t="e">
        <f>SUMIFS(#REF!,#REF!,$B116,#REF!,CA$1)</f>
        <v>#REF!</v>
      </c>
      <c r="CB116" s="24" t="e">
        <f>SUMIFS(#REF!,#REF!,$B116,#REF!,CB$1)</f>
        <v>#REF!</v>
      </c>
      <c r="CC116" s="24" t="e">
        <f>SUMIFS(#REF!,#REF!,$B116,#REF!,CC$1)</f>
        <v>#REF!</v>
      </c>
      <c r="CD116" s="24" t="e">
        <f>SUMIFS(#REF!,#REF!,$B116,#REF!,CD$1)</f>
        <v>#REF!</v>
      </c>
      <c r="CE116" s="24" t="e">
        <f>SUMIFS(#REF!,#REF!,$B116,#REF!,CE$1)</f>
        <v>#REF!</v>
      </c>
      <c r="CF116" s="24" t="e">
        <f>SUMIFS(#REF!,#REF!,$B116,#REF!,CF$1)</f>
        <v>#REF!</v>
      </c>
      <c r="CG116" s="19" t="e">
        <f t="shared" si="1"/>
        <v>#REF!</v>
      </c>
    </row>
    <row r="117" spans="1:85" x14ac:dyDescent="0.45">
      <c r="A117" s="4" t="s">
        <v>1216</v>
      </c>
      <c r="B117" s="4" t="s">
        <v>1217</v>
      </c>
      <c r="C117" s="24" t="e">
        <f>SUMIFS(#REF!,#REF!,$B117,#REF!,C$1)</f>
        <v>#REF!</v>
      </c>
      <c r="D117" s="24" t="e">
        <f>SUMIFS(#REF!,#REF!,$B117,#REF!,D$1)</f>
        <v>#REF!</v>
      </c>
      <c r="E117" s="24" t="e">
        <f>SUMIFS(#REF!,#REF!,$B117,#REF!,E$1)</f>
        <v>#REF!</v>
      </c>
      <c r="F117" s="24" t="e">
        <f>SUMIFS(#REF!,#REF!,$B117,#REF!,F$1)</f>
        <v>#REF!</v>
      </c>
      <c r="G117" s="24" t="e">
        <f>SUMIFS(#REF!,#REF!,$B117,#REF!,G$1)</f>
        <v>#REF!</v>
      </c>
      <c r="H117" s="24" t="e">
        <f>SUMIFS(#REF!,#REF!,$B117,#REF!,H$1)</f>
        <v>#REF!</v>
      </c>
      <c r="I117" s="24" t="e">
        <f>SUMIFS(#REF!,#REF!,$B117,#REF!,I$1)</f>
        <v>#REF!</v>
      </c>
      <c r="J117" s="24" t="e">
        <f>SUMIFS(#REF!,#REF!,$B117,#REF!,J$1)</f>
        <v>#REF!</v>
      </c>
      <c r="K117" s="24" t="e">
        <f>SUMIFS(#REF!,#REF!,$B117,#REF!,K$1)</f>
        <v>#REF!</v>
      </c>
      <c r="L117" s="24" t="e">
        <f>SUMIFS(#REF!,#REF!,$B117,#REF!,L$1)</f>
        <v>#REF!</v>
      </c>
      <c r="M117" s="24" t="e">
        <f>SUMIFS(#REF!,#REF!,$B117,#REF!,M$1)</f>
        <v>#REF!</v>
      </c>
      <c r="N117" s="24" t="e">
        <f>SUMIFS(#REF!,#REF!,$B117,#REF!,N$1)</f>
        <v>#REF!</v>
      </c>
      <c r="O117" s="24" t="e">
        <f>SUMIFS(#REF!,#REF!,$B117,#REF!,O$1)</f>
        <v>#REF!</v>
      </c>
      <c r="P117" s="24" t="e">
        <f>SUMIFS(#REF!,#REF!,$B117,#REF!,P$1)</f>
        <v>#REF!</v>
      </c>
      <c r="Q117" s="24" t="e">
        <f>SUMIFS(#REF!,#REF!,$B117,#REF!,Q$1)</f>
        <v>#REF!</v>
      </c>
      <c r="R117" s="24" t="e">
        <f>SUMIFS(#REF!,#REF!,$B117,#REF!,R$1)</f>
        <v>#REF!</v>
      </c>
      <c r="S117" s="24" t="e">
        <f>SUMIFS(#REF!,#REF!,$B117,#REF!,S$1)</f>
        <v>#REF!</v>
      </c>
      <c r="T117" s="24" t="e">
        <f>SUMIFS(#REF!,#REF!,$B117,#REF!,T$1)</f>
        <v>#REF!</v>
      </c>
      <c r="U117" s="24" t="e">
        <f>SUMIFS(#REF!,#REF!,$B117,#REF!,U$1)</f>
        <v>#REF!</v>
      </c>
      <c r="V117" s="24" t="e">
        <f>SUMIFS(#REF!,#REF!,$B117,#REF!,V$1)</f>
        <v>#REF!</v>
      </c>
      <c r="W117" s="24" t="e">
        <f>SUMIFS(#REF!,#REF!,$B117,#REF!,W$1)</f>
        <v>#REF!</v>
      </c>
      <c r="X117" s="24" t="e">
        <f>SUMIFS(#REF!,#REF!,$B117,#REF!,X$1)</f>
        <v>#REF!</v>
      </c>
      <c r="Y117" s="24" t="e">
        <f>SUMIFS(#REF!,#REF!,$B117,#REF!,Y$1)</f>
        <v>#REF!</v>
      </c>
      <c r="Z117" s="24" t="e">
        <f>SUMIFS(#REF!,#REF!,$B117,#REF!,Z$1)</f>
        <v>#REF!</v>
      </c>
      <c r="AA117" s="24" t="e">
        <f>SUMIFS(#REF!,#REF!,$B117,#REF!,AA$1)</f>
        <v>#REF!</v>
      </c>
      <c r="AB117" s="24" t="e">
        <f>SUMIFS(#REF!,#REF!,$B117,#REF!,AB$1)</f>
        <v>#REF!</v>
      </c>
      <c r="AC117" s="24" t="e">
        <f>SUMIFS(#REF!,#REF!,$B117,#REF!,AC$1)</f>
        <v>#REF!</v>
      </c>
      <c r="AD117" s="24" t="e">
        <f>SUMIFS(#REF!,#REF!,$B117,#REF!,AD$1)</f>
        <v>#REF!</v>
      </c>
      <c r="AE117" s="24" t="e">
        <f>SUMIFS(#REF!,#REF!,$B117,#REF!,AE$1)</f>
        <v>#REF!</v>
      </c>
      <c r="AF117" s="24" t="e">
        <f>SUMIFS(#REF!,#REF!,$B117,#REF!,AF$1)</f>
        <v>#REF!</v>
      </c>
      <c r="AG117" s="24" t="e">
        <f>SUMIFS(#REF!,#REF!,$B117,#REF!,AG$1)</f>
        <v>#REF!</v>
      </c>
      <c r="AH117" s="24" t="e">
        <f>SUMIFS(#REF!,#REF!,$B117,#REF!,AH$1)</f>
        <v>#REF!</v>
      </c>
      <c r="AI117" s="24" t="e">
        <f>SUMIFS(#REF!,#REF!,$B117,#REF!,AI$1)</f>
        <v>#REF!</v>
      </c>
      <c r="AJ117" s="24" t="e">
        <f>SUMIFS(#REF!,#REF!,$B117,#REF!,AJ$1)</f>
        <v>#REF!</v>
      </c>
      <c r="AK117" s="24" t="e">
        <f>SUMIFS(#REF!,#REF!,$B117,#REF!,AK$1)</f>
        <v>#REF!</v>
      </c>
      <c r="AL117" s="24" t="e">
        <f>SUMIFS(#REF!,#REF!,$B117,#REF!,AL$1)</f>
        <v>#REF!</v>
      </c>
      <c r="AM117" s="24" t="e">
        <f>SUMIFS(#REF!,#REF!,$B117,#REF!,AM$1)</f>
        <v>#REF!</v>
      </c>
      <c r="AN117" s="24" t="e">
        <f>SUMIFS(#REF!,#REF!,$B117,#REF!,AN$1)</f>
        <v>#REF!</v>
      </c>
      <c r="AO117" s="24" t="e">
        <f>SUMIFS(#REF!,#REF!,$B117,#REF!,AO$1)</f>
        <v>#REF!</v>
      </c>
      <c r="AP117" s="24" t="e">
        <f>SUMIFS(#REF!,#REF!,$B117,#REF!,AP$1)</f>
        <v>#REF!</v>
      </c>
      <c r="AQ117" s="24" t="e">
        <f>SUMIFS(#REF!,#REF!,$B117,#REF!,AQ$1)</f>
        <v>#REF!</v>
      </c>
      <c r="AR117" s="24" t="e">
        <f>SUMIFS(#REF!,#REF!,$B117,#REF!,AR$1)</f>
        <v>#REF!</v>
      </c>
      <c r="AS117" s="24" t="e">
        <f>SUMIFS(#REF!,#REF!,$B117,#REF!,AS$1)</f>
        <v>#REF!</v>
      </c>
      <c r="AT117" s="24" t="e">
        <f>SUMIFS(#REF!,#REF!,$B117,#REF!,AT$1)</f>
        <v>#REF!</v>
      </c>
      <c r="AU117" s="24" t="e">
        <f>SUMIFS(#REF!,#REF!,$B117,#REF!,AU$1)</f>
        <v>#REF!</v>
      </c>
      <c r="AV117" s="24" t="e">
        <f>SUMIFS(#REF!,#REF!,$B117,#REF!,AV$1)</f>
        <v>#REF!</v>
      </c>
      <c r="AW117" s="24" t="e">
        <f>SUMIFS(#REF!,#REF!,$B117,#REF!,AW$1)</f>
        <v>#REF!</v>
      </c>
      <c r="AX117" s="24" t="e">
        <f>SUMIFS(#REF!,#REF!,$B117,#REF!,AX$1)</f>
        <v>#REF!</v>
      </c>
      <c r="AY117" s="24" t="e">
        <f>SUMIFS(#REF!,#REF!,$B117,#REF!,AY$1)</f>
        <v>#REF!</v>
      </c>
      <c r="AZ117" s="24" t="e">
        <f>SUMIFS(#REF!,#REF!,$B117,#REF!,AZ$1)</f>
        <v>#REF!</v>
      </c>
      <c r="BA117" s="24" t="e">
        <f>SUMIFS(#REF!,#REF!,$B117,#REF!,BA$1)</f>
        <v>#REF!</v>
      </c>
      <c r="BB117" s="24" t="e">
        <f>SUMIFS(#REF!,#REF!,$B117,#REF!,BB$1)</f>
        <v>#REF!</v>
      </c>
      <c r="BC117" s="24" t="e">
        <f>SUMIFS(#REF!,#REF!,$B117,#REF!,BC$1)</f>
        <v>#REF!</v>
      </c>
      <c r="BD117" s="24" t="e">
        <f>SUMIFS(#REF!,#REF!,$B117,#REF!,BD$1)</f>
        <v>#REF!</v>
      </c>
      <c r="BE117" s="24" t="e">
        <f>SUMIFS(#REF!,#REF!,$B117,#REF!,BE$1)</f>
        <v>#REF!</v>
      </c>
      <c r="BF117" s="24" t="e">
        <f>SUMIFS(#REF!,#REF!,$B117,#REF!,BF$1)</f>
        <v>#REF!</v>
      </c>
      <c r="BG117" s="24" t="e">
        <f>SUMIFS(#REF!,#REF!,$B117,#REF!,BG$1)</f>
        <v>#REF!</v>
      </c>
      <c r="BH117" s="24" t="e">
        <f>SUMIFS(#REF!,#REF!,$B117,#REF!,BH$1)</f>
        <v>#REF!</v>
      </c>
      <c r="BI117" s="24" t="e">
        <f>SUMIFS(#REF!,#REF!,$B117,#REF!,BI$1)</f>
        <v>#REF!</v>
      </c>
      <c r="BJ117" s="24" t="e">
        <f>SUMIFS(#REF!,#REF!,$B117,#REF!,BJ$1)</f>
        <v>#REF!</v>
      </c>
      <c r="BK117" s="24" t="e">
        <f>SUMIFS(#REF!,#REF!,$B117,#REF!,BK$1)</f>
        <v>#REF!</v>
      </c>
      <c r="BL117" s="24" t="e">
        <f>SUMIFS(#REF!,#REF!,$B117,#REF!,BL$1)</f>
        <v>#REF!</v>
      </c>
      <c r="BM117" s="24" t="e">
        <f>SUMIFS(#REF!,#REF!,$B117,#REF!,BM$1)</f>
        <v>#REF!</v>
      </c>
      <c r="BN117" s="24" t="e">
        <f>SUMIFS(#REF!,#REF!,$B117,#REF!,BN$1)</f>
        <v>#REF!</v>
      </c>
      <c r="BO117" s="24" t="e">
        <f>SUMIFS(#REF!,#REF!,$B117,#REF!,BO$1)</f>
        <v>#REF!</v>
      </c>
      <c r="BP117" s="24" t="e">
        <f>SUMIFS(#REF!,#REF!,$B117,#REF!,BP$1)</f>
        <v>#REF!</v>
      </c>
      <c r="BQ117" s="24" t="e">
        <f>SUMIFS(#REF!,#REF!,$B117,#REF!,BQ$1)</f>
        <v>#REF!</v>
      </c>
      <c r="BR117" s="24" t="e">
        <f>SUMIFS(#REF!,#REF!,$B117,#REF!,BR$1)</f>
        <v>#REF!</v>
      </c>
      <c r="BS117" s="24" t="e">
        <f>SUMIFS(#REF!,#REF!,$B117,#REF!,BS$1)</f>
        <v>#REF!</v>
      </c>
      <c r="BT117" s="24" t="e">
        <f>SUMIFS(#REF!,#REF!,$B117,#REF!,BT$1)</f>
        <v>#REF!</v>
      </c>
      <c r="BU117" s="24" t="e">
        <f>SUMIFS(#REF!,#REF!,$B117,#REF!,BU$1)</f>
        <v>#REF!</v>
      </c>
      <c r="BV117" s="24" t="e">
        <f>SUMIFS(#REF!,#REF!,$B117,#REF!,BV$1)</f>
        <v>#REF!</v>
      </c>
      <c r="BW117" s="24" t="e">
        <f>SUMIFS(#REF!,#REF!,$B117,#REF!,BW$1)</f>
        <v>#REF!</v>
      </c>
      <c r="BX117" s="24" t="e">
        <f>SUMIFS(#REF!,#REF!,$B117,#REF!,BX$1)</f>
        <v>#REF!</v>
      </c>
      <c r="BY117" s="24" t="e">
        <f>SUMIFS(#REF!,#REF!,$B117,#REF!,BY$1)</f>
        <v>#REF!</v>
      </c>
      <c r="BZ117" s="24" t="e">
        <f>SUMIFS(#REF!,#REF!,$B117,#REF!,BZ$1)</f>
        <v>#REF!</v>
      </c>
      <c r="CA117" s="24" t="e">
        <f>SUMIFS(#REF!,#REF!,$B117,#REF!,CA$1)</f>
        <v>#REF!</v>
      </c>
      <c r="CB117" s="24" t="e">
        <f>SUMIFS(#REF!,#REF!,$B117,#REF!,CB$1)</f>
        <v>#REF!</v>
      </c>
      <c r="CC117" s="24" t="e">
        <f>SUMIFS(#REF!,#REF!,$B117,#REF!,CC$1)</f>
        <v>#REF!</v>
      </c>
      <c r="CD117" s="24" t="e">
        <f>SUMIFS(#REF!,#REF!,$B117,#REF!,CD$1)</f>
        <v>#REF!</v>
      </c>
      <c r="CE117" s="24" t="e">
        <f>SUMIFS(#REF!,#REF!,$B117,#REF!,CE$1)</f>
        <v>#REF!</v>
      </c>
      <c r="CF117" s="24" t="e">
        <f>SUMIFS(#REF!,#REF!,$B117,#REF!,CF$1)</f>
        <v>#REF!</v>
      </c>
      <c r="CG117" s="19" t="e">
        <f t="shared" si="1"/>
        <v>#REF!</v>
      </c>
    </row>
    <row r="118" spans="1:85" x14ac:dyDescent="0.45">
      <c r="A118" s="4" t="s">
        <v>1218</v>
      </c>
      <c r="B118" s="4" t="s">
        <v>1219</v>
      </c>
      <c r="C118" s="24" t="e">
        <f>SUMIFS(#REF!,#REF!,$B118,#REF!,C$1)</f>
        <v>#REF!</v>
      </c>
      <c r="D118" s="24" t="e">
        <f>SUMIFS(#REF!,#REF!,$B118,#REF!,D$1)</f>
        <v>#REF!</v>
      </c>
      <c r="E118" s="24" t="e">
        <f>SUMIFS(#REF!,#REF!,$B118,#REF!,E$1)</f>
        <v>#REF!</v>
      </c>
      <c r="F118" s="24" t="e">
        <f>SUMIFS(#REF!,#REF!,$B118,#REF!,F$1)</f>
        <v>#REF!</v>
      </c>
      <c r="G118" s="24" t="e">
        <f>SUMIFS(#REF!,#REF!,$B118,#REF!,G$1)</f>
        <v>#REF!</v>
      </c>
      <c r="H118" s="24" t="e">
        <f>SUMIFS(#REF!,#REF!,$B118,#REF!,H$1)</f>
        <v>#REF!</v>
      </c>
      <c r="I118" s="24" t="e">
        <f>SUMIFS(#REF!,#REF!,$B118,#REF!,I$1)</f>
        <v>#REF!</v>
      </c>
      <c r="J118" s="24" t="e">
        <f>SUMIFS(#REF!,#REF!,$B118,#REF!,J$1)</f>
        <v>#REF!</v>
      </c>
      <c r="K118" s="24" t="e">
        <f>SUMIFS(#REF!,#REF!,$B118,#REF!,K$1)</f>
        <v>#REF!</v>
      </c>
      <c r="L118" s="24" t="e">
        <f>SUMIFS(#REF!,#REF!,$B118,#REF!,L$1)</f>
        <v>#REF!</v>
      </c>
      <c r="M118" s="24" t="e">
        <f>SUMIFS(#REF!,#REF!,$B118,#REF!,M$1)</f>
        <v>#REF!</v>
      </c>
      <c r="N118" s="24" t="e">
        <f>SUMIFS(#REF!,#REF!,$B118,#REF!,N$1)</f>
        <v>#REF!</v>
      </c>
      <c r="O118" s="24" t="e">
        <f>SUMIFS(#REF!,#REF!,$B118,#REF!,O$1)</f>
        <v>#REF!</v>
      </c>
      <c r="P118" s="24" t="e">
        <f>SUMIFS(#REF!,#REF!,$B118,#REF!,P$1)</f>
        <v>#REF!</v>
      </c>
      <c r="Q118" s="24" t="e">
        <f>SUMIFS(#REF!,#REF!,$B118,#REF!,Q$1)</f>
        <v>#REF!</v>
      </c>
      <c r="R118" s="24" t="e">
        <f>SUMIFS(#REF!,#REF!,$B118,#REF!,R$1)</f>
        <v>#REF!</v>
      </c>
      <c r="S118" s="24" t="e">
        <f>SUMIFS(#REF!,#REF!,$B118,#REF!,S$1)</f>
        <v>#REF!</v>
      </c>
      <c r="T118" s="24" t="e">
        <f>SUMIFS(#REF!,#REF!,$B118,#REF!,T$1)</f>
        <v>#REF!</v>
      </c>
      <c r="U118" s="24" t="e">
        <f>SUMIFS(#REF!,#REF!,$B118,#REF!,U$1)</f>
        <v>#REF!</v>
      </c>
      <c r="V118" s="24" t="e">
        <f>SUMIFS(#REF!,#REF!,$B118,#REF!,V$1)</f>
        <v>#REF!</v>
      </c>
      <c r="W118" s="24" t="e">
        <f>SUMIFS(#REF!,#REF!,$B118,#REF!,W$1)</f>
        <v>#REF!</v>
      </c>
      <c r="X118" s="24" t="e">
        <f>SUMIFS(#REF!,#REF!,$B118,#REF!,X$1)</f>
        <v>#REF!</v>
      </c>
      <c r="Y118" s="24" t="e">
        <f>SUMIFS(#REF!,#REF!,$B118,#REF!,Y$1)</f>
        <v>#REF!</v>
      </c>
      <c r="Z118" s="24" t="e">
        <f>SUMIFS(#REF!,#REF!,$B118,#REF!,Z$1)</f>
        <v>#REF!</v>
      </c>
      <c r="AA118" s="24" t="e">
        <f>SUMIFS(#REF!,#REF!,$B118,#REF!,AA$1)</f>
        <v>#REF!</v>
      </c>
      <c r="AB118" s="24" t="e">
        <f>SUMIFS(#REF!,#REF!,$B118,#REF!,AB$1)</f>
        <v>#REF!</v>
      </c>
      <c r="AC118" s="24" t="e">
        <f>SUMIFS(#REF!,#REF!,$B118,#REF!,AC$1)</f>
        <v>#REF!</v>
      </c>
      <c r="AD118" s="24" t="e">
        <f>SUMIFS(#REF!,#REF!,$B118,#REF!,AD$1)</f>
        <v>#REF!</v>
      </c>
      <c r="AE118" s="24" t="e">
        <f>SUMIFS(#REF!,#REF!,$B118,#REF!,AE$1)</f>
        <v>#REF!</v>
      </c>
      <c r="AF118" s="24" t="e">
        <f>SUMIFS(#REF!,#REF!,$B118,#REF!,AF$1)</f>
        <v>#REF!</v>
      </c>
      <c r="AG118" s="24" t="e">
        <f>SUMIFS(#REF!,#REF!,$B118,#REF!,AG$1)</f>
        <v>#REF!</v>
      </c>
      <c r="AH118" s="24" t="e">
        <f>SUMIFS(#REF!,#REF!,$B118,#REF!,AH$1)</f>
        <v>#REF!</v>
      </c>
      <c r="AI118" s="24" t="e">
        <f>SUMIFS(#REF!,#REF!,$B118,#REF!,AI$1)</f>
        <v>#REF!</v>
      </c>
      <c r="AJ118" s="24" t="e">
        <f>SUMIFS(#REF!,#REF!,$B118,#REF!,AJ$1)</f>
        <v>#REF!</v>
      </c>
      <c r="AK118" s="24" t="e">
        <f>SUMIFS(#REF!,#REF!,$B118,#REF!,AK$1)</f>
        <v>#REF!</v>
      </c>
      <c r="AL118" s="24" t="e">
        <f>SUMIFS(#REF!,#REF!,$B118,#REF!,AL$1)</f>
        <v>#REF!</v>
      </c>
      <c r="AM118" s="24" t="e">
        <f>SUMIFS(#REF!,#REF!,$B118,#REF!,AM$1)</f>
        <v>#REF!</v>
      </c>
      <c r="AN118" s="24" t="e">
        <f>SUMIFS(#REF!,#REF!,$B118,#REF!,AN$1)</f>
        <v>#REF!</v>
      </c>
      <c r="AO118" s="24" t="e">
        <f>SUMIFS(#REF!,#REF!,$B118,#REF!,AO$1)</f>
        <v>#REF!</v>
      </c>
      <c r="AP118" s="24" t="e">
        <f>SUMIFS(#REF!,#REF!,$B118,#REF!,AP$1)</f>
        <v>#REF!</v>
      </c>
      <c r="AQ118" s="24" t="e">
        <f>SUMIFS(#REF!,#REF!,$B118,#REF!,AQ$1)</f>
        <v>#REF!</v>
      </c>
      <c r="AR118" s="24" t="e">
        <f>SUMIFS(#REF!,#REF!,$B118,#REF!,AR$1)</f>
        <v>#REF!</v>
      </c>
      <c r="AS118" s="24" t="e">
        <f>SUMIFS(#REF!,#REF!,$B118,#REF!,AS$1)</f>
        <v>#REF!</v>
      </c>
      <c r="AT118" s="24" t="e">
        <f>SUMIFS(#REF!,#REF!,$B118,#REF!,AT$1)</f>
        <v>#REF!</v>
      </c>
      <c r="AU118" s="24" t="e">
        <f>SUMIFS(#REF!,#REF!,$B118,#REF!,AU$1)</f>
        <v>#REF!</v>
      </c>
      <c r="AV118" s="24" t="e">
        <f>SUMIFS(#REF!,#REF!,$B118,#REF!,AV$1)</f>
        <v>#REF!</v>
      </c>
      <c r="AW118" s="24" t="e">
        <f>SUMIFS(#REF!,#REF!,$B118,#REF!,AW$1)</f>
        <v>#REF!</v>
      </c>
      <c r="AX118" s="24" t="e">
        <f>SUMIFS(#REF!,#REF!,$B118,#REF!,AX$1)</f>
        <v>#REF!</v>
      </c>
      <c r="AY118" s="24" t="e">
        <f>SUMIFS(#REF!,#REF!,$B118,#REF!,AY$1)</f>
        <v>#REF!</v>
      </c>
      <c r="AZ118" s="24" t="e">
        <f>SUMIFS(#REF!,#REF!,$B118,#REF!,AZ$1)</f>
        <v>#REF!</v>
      </c>
      <c r="BA118" s="24" t="e">
        <f>SUMIFS(#REF!,#REF!,$B118,#REF!,BA$1)</f>
        <v>#REF!</v>
      </c>
      <c r="BB118" s="24" t="e">
        <f>SUMIFS(#REF!,#REF!,$B118,#REF!,BB$1)</f>
        <v>#REF!</v>
      </c>
      <c r="BC118" s="24" t="e">
        <f>SUMIFS(#REF!,#REF!,$B118,#REF!,BC$1)</f>
        <v>#REF!</v>
      </c>
      <c r="BD118" s="24" t="e">
        <f>SUMIFS(#REF!,#REF!,$B118,#REF!,BD$1)</f>
        <v>#REF!</v>
      </c>
      <c r="BE118" s="24" t="e">
        <f>SUMIFS(#REF!,#REF!,$B118,#REF!,BE$1)</f>
        <v>#REF!</v>
      </c>
      <c r="BF118" s="24" t="e">
        <f>SUMIFS(#REF!,#REF!,$B118,#REF!,BF$1)</f>
        <v>#REF!</v>
      </c>
      <c r="BG118" s="24" t="e">
        <f>SUMIFS(#REF!,#REF!,$B118,#REF!,BG$1)</f>
        <v>#REF!</v>
      </c>
      <c r="BH118" s="24" t="e">
        <f>SUMIFS(#REF!,#REF!,$B118,#REF!,BH$1)</f>
        <v>#REF!</v>
      </c>
      <c r="BI118" s="24" t="e">
        <f>SUMIFS(#REF!,#REF!,$B118,#REF!,BI$1)</f>
        <v>#REF!</v>
      </c>
      <c r="BJ118" s="24" t="e">
        <f>SUMIFS(#REF!,#REF!,$B118,#REF!,BJ$1)</f>
        <v>#REF!</v>
      </c>
      <c r="BK118" s="24" t="e">
        <f>SUMIFS(#REF!,#REF!,$B118,#REF!,BK$1)</f>
        <v>#REF!</v>
      </c>
      <c r="BL118" s="24" t="e">
        <f>SUMIFS(#REF!,#REF!,$B118,#REF!,BL$1)</f>
        <v>#REF!</v>
      </c>
      <c r="BM118" s="24" t="e">
        <f>SUMIFS(#REF!,#REF!,$B118,#REF!,BM$1)</f>
        <v>#REF!</v>
      </c>
      <c r="BN118" s="24" t="e">
        <f>SUMIFS(#REF!,#REF!,$B118,#REF!,BN$1)</f>
        <v>#REF!</v>
      </c>
      <c r="BO118" s="24" t="e">
        <f>SUMIFS(#REF!,#REF!,$B118,#REF!,BO$1)</f>
        <v>#REF!</v>
      </c>
      <c r="BP118" s="24" t="e">
        <f>SUMIFS(#REF!,#REF!,$B118,#REF!,BP$1)</f>
        <v>#REF!</v>
      </c>
      <c r="BQ118" s="24" t="e">
        <f>SUMIFS(#REF!,#REF!,$B118,#REF!,BQ$1)</f>
        <v>#REF!</v>
      </c>
      <c r="BR118" s="24" t="e">
        <f>SUMIFS(#REF!,#REF!,$B118,#REF!,BR$1)</f>
        <v>#REF!</v>
      </c>
      <c r="BS118" s="24" t="e">
        <f>SUMIFS(#REF!,#REF!,$B118,#REF!,BS$1)</f>
        <v>#REF!</v>
      </c>
      <c r="BT118" s="24" t="e">
        <f>SUMIFS(#REF!,#REF!,$B118,#REF!,BT$1)</f>
        <v>#REF!</v>
      </c>
      <c r="BU118" s="24" t="e">
        <f>SUMIFS(#REF!,#REF!,$B118,#REF!,BU$1)</f>
        <v>#REF!</v>
      </c>
      <c r="BV118" s="24" t="e">
        <f>SUMIFS(#REF!,#REF!,$B118,#REF!,BV$1)</f>
        <v>#REF!</v>
      </c>
      <c r="BW118" s="24" t="e">
        <f>SUMIFS(#REF!,#REF!,$B118,#REF!,BW$1)</f>
        <v>#REF!</v>
      </c>
      <c r="BX118" s="24" t="e">
        <f>SUMIFS(#REF!,#REF!,$B118,#REF!,BX$1)</f>
        <v>#REF!</v>
      </c>
      <c r="BY118" s="24" t="e">
        <f>SUMIFS(#REF!,#REF!,$B118,#REF!,BY$1)</f>
        <v>#REF!</v>
      </c>
      <c r="BZ118" s="24" t="e">
        <f>SUMIFS(#REF!,#REF!,$B118,#REF!,BZ$1)</f>
        <v>#REF!</v>
      </c>
      <c r="CA118" s="24" t="e">
        <f>SUMIFS(#REF!,#REF!,$B118,#REF!,CA$1)</f>
        <v>#REF!</v>
      </c>
      <c r="CB118" s="24" t="e">
        <f>SUMIFS(#REF!,#REF!,$B118,#REF!,CB$1)</f>
        <v>#REF!</v>
      </c>
      <c r="CC118" s="24" t="e">
        <f>SUMIFS(#REF!,#REF!,$B118,#REF!,CC$1)</f>
        <v>#REF!</v>
      </c>
      <c r="CD118" s="24" t="e">
        <f>SUMIFS(#REF!,#REF!,$B118,#REF!,CD$1)</f>
        <v>#REF!</v>
      </c>
      <c r="CE118" s="24" t="e">
        <f>SUMIFS(#REF!,#REF!,$B118,#REF!,CE$1)</f>
        <v>#REF!</v>
      </c>
      <c r="CF118" s="24" t="e">
        <f>SUMIFS(#REF!,#REF!,$B118,#REF!,CF$1)</f>
        <v>#REF!</v>
      </c>
      <c r="CG118" s="19" t="e">
        <f t="shared" si="1"/>
        <v>#REF!</v>
      </c>
    </row>
    <row r="119" spans="1:85" x14ac:dyDescent="0.45">
      <c r="A119" s="4" t="s">
        <v>1220</v>
      </c>
      <c r="B119" s="4" t="s">
        <v>1221</v>
      </c>
      <c r="C119" s="24" t="e">
        <f>SUMIFS(#REF!,#REF!,$B119,#REF!,C$1)</f>
        <v>#REF!</v>
      </c>
      <c r="D119" s="24" t="e">
        <f>SUMIFS(#REF!,#REF!,$B119,#REF!,D$1)</f>
        <v>#REF!</v>
      </c>
      <c r="E119" s="24" t="e">
        <f>SUMIFS(#REF!,#REF!,$B119,#REF!,E$1)</f>
        <v>#REF!</v>
      </c>
      <c r="F119" s="24" t="e">
        <f>SUMIFS(#REF!,#REF!,$B119,#REF!,F$1)</f>
        <v>#REF!</v>
      </c>
      <c r="G119" s="24" t="e">
        <f>SUMIFS(#REF!,#REF!,$B119,#REF!,G$1)</f>
        <v>#REF!</v>
      </c>
      <c r="H119" s="24" t="e">
        <f>SUMIFS(#REF!,#REF!,$B119,#REF!,H$1)</f>
        <v>#REF!</v>
      </c>
      <c r="I119" s="24" t="e">
        <f>SUMIFS(#REF!,#REF!,$B119,#REF!,I$1)</f>
        <v>#REF!</v>
      </c>
      <c r="J119" s="24" t="e">
        <f>SUMIFS(#REF!,#REF!,$B119,#REF!,J$1)</f>
        <v>#REF!</v>
      </c>
      <c r="K119" s="24" t="e">
        <f>SUMIFS(#REF!,#REF!,$B119,#REF!,K$1)</f>
        <v>#REF!</v>
      </c>
      <c r="L119" s="24" t="e">
        <f>SUMIFS(#REF!,#REF!,$B119,#REF!,L$1)</f>
        <v>#REF!</v>
      </c>
      <c r="M119" s="24" t="e">
        <f>SUMIFS(#REF!,#REF!,$B119,#REF!,M$1)</f>
        <v>#REF!</v>
      </c>
      <c r="N119" s="24" t="e">
        <f>SUMIFS(#REF!,#REF!,$B119,#REF!,N$1)</f>
        <v>#REF!</v>
      </c>
      <c r="O119" s="24" t="e">
        <f>SUMIFS(#REF!,#REF!,$B119,#REF!,O$1)</f>
        <v>#REF!</v>
      </c>
      <c r="P119" s="24" t="e">
        <f>SUMIFS(#REF!,#REF!,$B119,#REF!,P$1)</f>
        <v>#REF!</v>
      </c>
      <c r="Q119" s="24" t="e">
        <f>SUMIFS(#REF!,#REF!,$B119,#REF!,Q$1)</f>
        <v>#REF!</v>
      </c>
      <c r="R119" s="24" t="e">
        <f>SUMIFS(#REF!,#REF!,$B119,#REF!,R$1)</f>
        <v>#REF!</v>
      </c>
      <c r="S119" s="24" t="e">
        <f>SUMIFS(#REF!,#REF!,$B119,#REF!,S$1)</f>
        <v>#REF!</v>
      </c>
      <c r="T119" s="24" t="e">
        <f>SUMIFS(#REF!,#REF!,$B119,#REF!,T$1)</f>
        <v>#REF!</v>
      </c>
      <c r="U119" s="24" t="e">
        <f>SUMIFS(#REF!,#REF!,$B119,#REF!,U$1)</f>
        <v>#REF!</v>
      </c>
      <c r="V119" s="24" t="e">
        <f>SUMIFS(#REF!,#REF!,$B119,#REF!,V$1)</f>
        <v>#REF!</v>
      </c>
      <c r="W119" s="24" t="e">
        <f>SUMIFS(#REF!,#REF!,$B119,#REF!,W$1)</f>
        <v>#REF!</v>
      </c>
      <c r="X119" s="24" t="e">
        <f>SUMIFS(#REF!,#REF!,$B119,#REF!,X$1)</f>
        <v>#REF!</v>
      </c>
      <c r="Y119" s="24" t="e">
        <f>SUMIFS(#REF!,#REF!,$B119,#REF!,Y$1)</f>
        <v>#REF!</v>
      </c>
      <c r="Z119" s="24" t="e">
        <f>SUMIFS(#REF!,#REF!,$B119,#REF!,Z$1)</f>
        <v>#REF!</v>
      </c>
      <c r="AA119" s="24" t="e">
        <f>SUMIFS(#REF!,#REF!,$B119,#REF!,AA$1)</f>
        <v>#REF!</v>
      </c>
      <c r="AB119" s="24" t="e">
        <f>SUMIFS(#REF!,#REF!,$B119,#REF!,AB$1)</f>
        <v>#REF!</v>
      </c>
      <c r="AC119" s="24" t="e">
        <f>SUMIFS(#REF!,#REF!,$B119,#REF!,AC$1)</f>
        <v>#REF!</v>
      </c>
      <c r="AD119" s="24" t="e">
        <f>SUMIFS(#REF!,#REF!,$B119,#REF!,AD$1)</f>
        <v>#REF!</v>
      </c>
      <c r="AE119" s="24" t="e">
        <f>SUMIFS(#REF!,#REF!,$B119,#REF!,AE$1)</f>
        <v>#REF!</v>
      </c>
      <c r="AF119" s="24" t="e">
        <f>SUMIFS(#REF!,#REF!,$B119,#REF!,AF$1)</f>
        <v>#REF!</v>
      </c>
      <c r="AG119" s="24" t="e">
        <f>SUMIFS(#REF!,#REF!,$B119,#REF!,AG$1)</f>
        <v>#REF!</v>
      </c>
      <c r="AH119" s="24" t="e">
        <f>SUMIFS(#REF!,#REF!,$B119,#REF!,AH$1)</f>
        <v>#REF!</v>
      </c>
      <c r="AI119" s="24" t="e">
        <f>SUMIFS(#REF!,#REF!,$B119,#REF!,AI$1)</f>
        <v>#REF!</v>
      </c>
      <c r="AJ119" s="24" t="e">
        <f>SUMIFS(#REF!,#REF!,$B119,#REF!,AJ$1)</f>
        <v>#REF!</v>
      </c>
      <c r="AK119" s="24" t="e">
        <f>SUMIFS(#REF!,#REF!,$B119,#REF!,AK$1)</f>
        <v>#REF!</v>
      </c>
      <c r="AL119" s="24" t="e">
        <f>SUMIFS(#REF!,#REF!,$B119,#REF!,AL$1)</f>
        <v>#REF!</v>
      </c>
      <c r="AM119" s="24" t="e">
        <f>SUMIFS(#REF!,#REF!,$B119,#REF!,AM$1)</f>
        <v>#REF!</v>
      </c>
      <c r="AN119" s="24" t="e">
        <f>SUMIFS(#REF!,#REF!,$B119,#REF!,AN$1)</f>
        <v>#REF!</v>
      </c>
      <c r="AO119" s="24" t="e">
        <f>SUMIFS(#REF!,#REF!,$B119,#REF!,AO$1)</f>
        <v>#REF!</v>
      </c>
      <c r="AP119" s="24" t="e">
        <f>SUMIFS(#REF!,#REF!,$B119,#REF!,AP$1)</f>
        <v>#REF!</v>
      </c>
      <c r="AQ119" s="24" t="e">
        <f>SUMIFS(#REF!,#REF!,$B119,#REF!,AQ$1)</f>
        <v>#REF!</v>
      </c>
      <c r="AR119" s="24" t="e">
        <f>SUMIFS(#REF!,#REF!,$B119,#REF!,AR$1)</f>
        <v>#REF!</v>
      </c>
      <c r="AS119" s="24" t="e">
        <f>SUMIFS(#REF!,#REF!,$B119,#REF!,AS$1)</f>
        <v>#REF!</v>
      </c>
      <c r="AT119" s="24" t="e">
        <f>SUMIFS(#REF!,#REF!,$B119,#REF!,AT$1)</f>
        <v>#REF!</v>
      </c>
      <c r="AU119" s="24" t="e">
        <f>SUMIFS(#REF!,#REF!,$B119,#REF!,AU$1)</f>
        <v>#REF!</v>
      </c>
      <c r="AV119" s="24" t="e">
        <f>SUMIFS(#REF!,#REF!,$B119,#REF!,AV$1)</f>
        <v>#REF!</v>
      </c>
      <c r="AW119" s="24" t="e">
        <f>SUMIFS(#REF!,#REF!,$B119,#REF!,AW$1)</f>
        <v>#REF!</v>
      </c>
      <c r="AX119" s="24" t="e">
        <f>SUMIFS(#REF!,#REF!,$B119,#REF!,AX$1)</f>
        <v>#REF!</v>
      </c>
      <c r="AY119" s="24" t="e">
        <f>SUMIFS(#REF!,#REF!,$B119,#REF!,AY$1)</f>
        <v>#REF!</v>
      </c>
      <c r="AZ119" s="24" t="e">
        <f>SUMIFS(#REF!,#REF!,$B119,#REF!,AZ$1)</f>
        <v>#REF!</v>
      </c>
      <c r="BA119" s="24" t="e">
        <f>SUMIFS(#REF!,#REF!,$B119,#REF!,BA$1)</f>
        <v>#REF!</v>
      </c>
      <c r="BB119" s="24" t="e">
        <f>SUMIFS(#REF!,#REF!,$B119,#REF!,BB$1)</f>
        <v>#REF!</v>
      </c>
      <c r="BC119" s="24" t="e">
        <f>SUMIFS(#REF!,#REF!,$B119,#REF!,BC$1)</f>
        <v>#REF!</v>
      </c>
      <c r="BD119" s="24" t="e">
        <f>SUMIFS(#REF!,#REF!,$B119,#REF!,BD$1)</f>
        <v>#REF!</v>
      </c>
      <c r="BE119" s="24" t="e">
        <f>SUMIFS(#REF!,#REF!,$B119,#REF!,BE$1)</f>
        <v>#REF!</v>
      </c>
      <c r="BF119" s="24" t="e">
        <f>SUMIFS(#REF!,#REF!,$B119,#REF!,BF$1)</f>
        <v>#REF!</v>
      </c>
      <c r="BG119" s="24" t="e">
        <f>SUMIFS(#REF!,#REF!,$B119,#REF!,BG$1)</f>
        <v>#REF!</v>
      </c>
      <c r="BH119" s="24" t="e">
        <f>SUMIFS(#REF!,#REF!,$B119,#REF!,BH$1)</f>
        <v>#REF!</v>
      </c>
      <c r="BI119" s="24" t="e">
        <f>SUMIFS(#REF!,#REF!,$B119,#REF!,BI$1)</f>
        <v>#REF!</v>
      </c>
      <c r="BJ119" s="24" t="e">
        <f>SUMIFS(#REF!,#REF!,$B119,#REF!,BJ$1)</f>
        <v>#REF!</v>
      </c>
      <c r="BK119" s="24" t="e">
        <f>SUMIFS(#REF!,#REF!,$B119,#REF!,BK$1)</f>
        <v>#REF!</v>
      </c>
      <c r="BL119" s="24" t="e">
        <f>SUMIFS(#REF!,#REF!,$B119,#REF!,BL$1)</f>
        <v>#REF!</v>
      </c>
      <c r="BM119" s="24" t="e">
        <f>SUMIFS(#REF!,#REF!,$B119,#REF!,BM$1)</f>
        <v>#REF!</v>
      </c>
      <c r="BN119" s="24" t="e">
        <f>SUMIFS(#REF!,#REF!,$B119,#REF!,BN$1)</f>
        <v>#REF!</v>
      </c>
      <c r="BO119" s="24" t="e">
        <f>SUMIFS(#REF!,#REF!,$B119,#REF!,BO$1)</f>
        <v>#REF!</v>
      </c>
      <c r="BP119" s="24" t="e">
        <f>SUMIFS(#REF!,#REF!,$B119,#REF!,BP$1)</f>
        <v>#REF!</v>
      </c>
      <c r="BQ119" s="24" t="e">
        <f>SUMIFS(#REF!,#REF!,$B119,#REF!,BQ$1)</f>
        <v>#REF!</v>
      </c>
      <c r="BR119" s="24" t="e">
        <f>SUMIFS(#REF!,#REF!,$B119,#REF!,BR$1)</f>
        <v>#REF!</v>
      </c>
      <c r="BS119" s="24" t="e">
        <f>SUMIFS(#REF!,#REF!,$B119,#REF!,BS$1)</f>
        <v>#REF!</v>
      </c>
      <c r="BT119" s="24" t="e">
        <f>SUMIFS(#REF!,#REF!,$B119,#REF!,BT$1)</f>
        <v>#REF!</v>
      </c>
      <c r="BU119" s="24" t="e">
        <f>SUMIFS(#REF!,#REF!,$B119,#REF!,BU$1)</f>
        <v>#REF!</v>
      </c>
      <c r="BV119" s="24" t="e">
        <f>SUMIFS(#REF!,#REF!,$B119,#REF!,BV$1)</f>
        <v>#REF!</v>
      </c>
      <c r="BW119" s="24" t="e">
        <f>SUMIFS(#REF!,#REF!,$B119,#REF!,BW$1)</f>
        <v>#REF!</v>
      </c>
      <c r="BX119" s="24" t="e">
        <f>SUMIFS(#REF!,#REF!,$B119,#REF!,BX$1)</f>
        <v>#REF!</v>
      </c>
      <c r="BY119" s="24" t="e">
        <f>SUMIFS(#REF!,#REF!,$B119,#REF!,BY$1)</f>
        <v>#REF!</v>
      </c>
      <c r="BZ119" s="24" t="e">
        <f>SUMIFS(#REF!,#REF!,$B119,#REF!,BZ$1)</f>
        <v>#REF!</v>
      </c>
      <c r="CA119" s="24" t="e">
        <f>SUMIFS(#REF!,#REF!,$B119,#REF!,CA$1)</f>
        <v>#REF!</v>
      </c>
      <c r="CB119" s="24" t="e">
        <f>SUMIFS(#REF!,#REF!,$B119,#REF!,CB$1)</f>
        <v>#REF!</v>
      </c>
      <c r="CC119" s="24" t="e">
        <f>SUMIFS(#REF!,#REF!,$B119,#REF!,CC$1)</f>
        <v>#REF!</v>
      </c>
      <c r="CD119" s="24" t="e">
        <f>SUMIFS(#REF!,#REF!,$B119,#REF!,CD$1)</f>
        <v>#REF!</v>
      </c>
      <c r="CE119" s="24" t="e">
        <f>SUMIFS(#REF!,#REF!,$B119,#REF!,CE$1)</f>
        <v>#REF!</v>
      </c>
      <c r="CF119" s="24" t="e">
        <f>SUMIFS(#REF!,#REF!,$B119,#REF!,CF$1)</f>
        <v>#REF!</v>
      </c>
      <c r="CG119" s="19" t="e">
        <f t="shared" si="1"/>
        <v>#REF!</v>
      </c>
    </row>
    <row r="120" spans="1:85" x14ac:dyDescent="0.45">
      <c r="A120" s="4" t="s">
        <v>1222</v>
      </c>
      <c r="B120" s="4" t="s">
        <v>1223</v>
      </c>
      <c r="C120" s="24" t="e">
        <f>SUMIFS(#REF!,#REF!,$B120,#REF!,C$1)</f>
        <v>#REF!</v>
      </c>
      <c r="D120" s="24" t="e">
        <f>SUMIFS(#REF!,#REF!,$B120,#REF!,D$1)</f>
        <v>#REF!</v>
      </c>
      <c r="E120" s="24" t="e">
        <f>SUMIFS(#REF!,#REF!,$B120,#REF!,E$1)</f>
        <v>#REF!</v>
      </c>
      <c r="F120" s="24" t="e">
        <f>SUMIFS(#REF!,#REF!,$B120,#REF!,F$1)</f>
        <v>#REF!</v>
      </c>
      <c r="G120" s="24" t="e">
        <f>SUMIFS(#REF!,#REF!,$B120,#REF!,G$1)</f>
        <v>#REF!</v>
      </c>
      <c r="H120" s="24" t="e">
        <f>SUMIFS(#REF!,#REF!,$B120,#REF!,H$1)</f>
        <v>#REF!</v>
      </c>
      <c r="I120" s="24" t="e">
        <f>SUMIFS(#REF!,#REF!,$B120,#REF!,I$1)</f>
        <v>#REF!</v>
      </c>
      <c r="J120" s="24" t="e">
        <f>SUMIFS(#REF!,#REF!,$B120,#REF!,J$1)</f>
        <v>#REF!</v>
      </c>
      <c r="K120" s="24" t="e">
        <f>SUMIFS(#REF!,#REF!,$B120,#REF!,K$1)</f>
        <v>#REF!</v>
      </c>
      <c r="L120" s="24" t="e">
        <f>SUMIFS(#REF!,#REF!,$B120,#REF!,L$1)</f>
        <v>#REF!</v>
      </c>
      <c r="M120" s="24" t="e">
        <f>SUMIFS(#REF!,#REF!,$B120,#REF!,M$1)</f>
        <v>#REF!</v>
      </c>
      <c r="N120" s="24" t="e">
        <f>SUMIFS(#REF!,#REF!,$B120,#REF!,N$1)</f>
        <v>#REF!</v>
      </c>
      <c r="O120" s="24" t="e">
        <f>SUMIFS(#REF!,#REF!,$B120,#REF!,O$1)</f>
        <v>#REF!</v>
      </c>
      <c r="P120" s="24" t="e">
        <f>SUMIFS(#REF!,#REF!,$B120,#REF!,P$1)</f>
        <v>#REF!</v>
      </c>
      <c r="Q120" s="24" t="e">
        <f>SUMIFS(#REF!,#REF!,$B120,#REF!,Q$1)</f>
        <v>#REF!</v>
      </c>
      <c r="R120" s="24" t="e">
        <f>SUMIFS(#REF!,#REF!,$B120,#REF!,R$1)</f>
        <v>#REF!</v>
      </c>
      <c r="S120" s="24" t="e">
        <f>SUMIFS(#REF!,#REF!,$B120,#REF!,S$1)</f>
        <v>#REF!</v>
      </c>
      <c r="T120" s="24" t="e">
        <f>SUMIFS(#REF!,#REF!,$B120,#REF!,T$1)</f>
        <v>#REF!</v>
      </c>
      <c r="U120" s="24" t="e">
        <f>SUMIFS(#REF!,#REF!,$B120,#REF!,U$1)</f>
        <v>#REF!</v>
      </c>
      <c r="V120" s="24" t="e">
        <f>SUMIFS(#REF!,#REF!,$B120,#REF!,V$1)</f>
        <v>#REF!</v>
      </c>
      <c r="W120" s="24" t="e">
        <f>SUMIFS(#REF!,#REF!,$B120,#REF!,W$1)</f>
        <v>#REF!</v>
      </c>
      <c r="X120" s="24" t="e">
        <f>SUMIFS(#REF!,#REF!,$B120,#REF!,X$1)</f>
        <v>#REF!</v>
      </c>
      <c r="Y120" s="24" t="e">
        <f>SUMIFS(#REF!,#REF!,$B120,#REF!,Y$1)</f>
        <v>#REF!</v>
      </c>
      <c r="Z120" s="24" t="e">
        <f>SUMIFS(#REF!,#REF!,$B120,#REF!,Z$1)</f>
        <v>#REF!</v>
      </c>
      <c r="AA120" s="24" t="e">
        <f>SUMIFS(#REF!,#REF!,$B120,#REF!,AA$1)</f>
        <v>#REF!</v>
      </c>
      <c r="AB120" s="24" t="e">
        <f>SUMIFS(#REF!,#REF!,$B120,#REF!,AB$1)</f>
        <v>#REF!</v>
      </c>
      <c r="AC120" s="24" t="e">
        <f>SUMIFS(#REF!,#REF!,$B120,#REF!,AC$1)</f>
        <v>#REF!</v>
      </c>
      <c r="AD120" s="24" t="e">
        <f>SUMIFS(#REF!,#REF!,$B120,#REF!,AD$1)</f>
        <v>#REF!</v>
      </c>
      <c r="AE120" s="24" t="e">
        <f>SUMIFS(#REF!,#REF!,$B120,#REF!,AE$1)</f>
        <v>#REF!</v>
      </c>
      <c r="AF120" s="24" t="e">
        <f>SUMIFS(#REF!,#REF!,$B120,#REF!,AF$1)</f>
        <v>#REF!</v>
      </c>
      <c r="AG120" s="24" t="e">
        <f>SUMIFS(#REF!,#REF!,$B120,#REF!,AG$1)</f>
        <v>#REF!</v>
      </c>
      <c r="AH120" s="24" t="e">
        <f>SUMIFS(#REF!,#REF!,$B120,#REF!,AH$1)</f>
        <v>#REF!</v>
      </c>
      <c r="AI120" s="24" t="e">
        <f>SUMIFS(#REF!,#REF!,$B120,#REF!,AI$1)</f>
        <v>#REF!</v>
      </c>
      <c r="AJ120" s="24" t="e">
        <f>SUMIFS(#REF!,#REF!,$B120,#REF!,AJ$1)</f>
        <v>#REF!</v>
      </c>
      <c r="AK120" s="24" t="e">
        <f>SUMIFS(#REF!,#REF!,$B120,#REF!,AK$1)</f>
        <v>#REF!</v>
      </c>
      <c r="AL120" s="24" t="e">
        <f>SUMIFS(#REF!,#REF!,$B120,#REF!,AL$1)</f>
        <v>#REF!</v>
      </c>
      <c r="AM120" s="24" t="e">
        <f>SUMIFS(#REF!,#REF!,$B120,#REF!,AM$1)</f>
        <v>#REF!</v>
      </c>
      <c r="AN120" s="24" t="e">
        <f>SUMIFS(#REF!,#REF!,$B120,#REF!,AN$1)</f>
        <v>#REF!</v>
      </c>
      <c r="AO120" s="24" t="e">
        <f>SUMIFS(#REF!,#REF!,$B120,#REF!,AO$1)</f>
        <v>#REF!</v>
      </c>
      <c r="AP120" s="24" t="e">
        <f>SUMIFS(#REF!,#REF!,$B120,#REF!,AP$1)</f>
        <v>#REF!</v>
      </c>
      <c r="AQ120" s="24" t="e">
        <f>SUMIFS(#REF!,#REF!,$B120,#REF!,AQ$1)</f>
        <v>#REF!</v>
      </c>
      <c r="AR120" s="24" t="e">
        <f>SUMIFS(#REF!,#REF!,$B120,#REF!,AR$1)</f>
        <v>#REF!</v>
      </c>
      <c r="AS120" s="24" t="e">
        <f>SUMIFS(#REF!,#REF!,$B120,#REF!,AS$1)</f>
        <v>#REF!</v>
      </c>
      <c r="AT120" s="24" t="e">
        <f>SUMIFS(#REF!,#REF!,$B120,#REF!,AT$1)</f>
        <v>#REF!</v>
      </c>
      <c r="AU120" s="24" t="e">
        <f>SUMIFS(#REF!,#REF!,$B120,#REF!,AU$1)</f>
        <v>#REF!</v>
      </c>
      <c r="AV120" s="24" t="e">
        <f>SUMIFS(#REF!,#REF!,$B120,#REF!,AV$1)</f>
        <v>#REF!</v>
      </c>
      <c r="AW120" s="24" t="e">
        <f>SUMIFS(#REF!,#REF!,$B120,#REF!,AW$1)</f>
        <v>#REF!</v>
      </c>
      <c r="AX120" s="24" t="e">
        <f>SUMIFS(#REF!,#REF!,$B120,#REF!,AX$1)</f>
        <v>#REF!</v>
      </c>
      <c r="AY120" s="24" t="e">
        <f>SUMIFS(#REF!,#REF!,$B120,#REF!,AY$1)</f>
        <v>#REF!</v>
      </c>
      <c r="AZ120" s="24" t="e">
        <f>SUMIFS(#REF!,#REF!,$B120,#REF!,AZ$1)</f>
        <v>#REF!</v>
      </c>
      <c r="BA120" s="24" t="e">
        <f>SUMIFS(#REF!,#REF!,$B120,#REF!,BA$1)</f>
        <v>#REF!</v>
      </c>
      <c r="BB120" s="24" t="e">
        <f>SUMIFS(#REF!,#REF!,$B120,#REF!,BB$1)</f>
        <v>#REF!</v>
      </c>
      <c r="BC120" s="24" t="e">
        <f>SUMIFS(#REF!,#REF!,$B120,#REF!,BC$1)</f>
        <v>#REF!</v>
      </c>
      <c r="BD120" s="24" t="e">
        <f>SUMIFS(#REF!,#REF!,$B120,#REF!,BD$1)</f>
        <v>#REF!</v>
      </c>
      <c r="BE120" s="24" t="e">
        <f>SUMIFS(#REF!,#REF!,$B120,#REF!,BE$1)</f>
        <v>#REF!</v>
      </c>
      <c r="BF120" s="24" t="e">
        <f>SUMIFS(#REF!,#REF!,$B120,#REF!,BF$1)</f>
        <v>#REF!</v>
      </c>
      <c r="BG120" s="24" t="e">
        <f>SUMIFS(#REF!,#REF!,$B120,#REF!,BG$1)</f>
        <v>#REF!</v>
      </c>
      <c r="BH120" s="24" t="e">
        <f>SUMIFS(#REF!,#REF!,$B120,#REF!,BH$1)</f>
        <v>#REF!</v>
      </c>
      <c r="BI120" s="24" t="e">
        <f>SUMIFS(#REF!,#REF!,$B120,#REF!,BI$1)</f>
        <v>#REF!</v>
      </c>
      <c r="BJ120" s="24" t="e">
        <f>SUMIFS(#REF!,#REF!,$B120,#REF!,BJ$1)</f>
        <v>#REF!</v>
      </c>
      <c r="BK120" s="24" t="e">
        <f>SUMIFS(#REF!,#REF!,$B120,#REF!,BK$1)</f>
        <v>#REF!</v>
      </c>
      <c r="BL120" s="24" t="e">
        <f>SUMIFS(#REF!,#REF!,$B120,#REF!,BL$1)</f>
        <v>#REF!</v>
      </c>
      <c r="BM120" s="24" t="e">
        <f>SUMIFS(#REF!,#REF!,$B120,#REF!,BM$1)</f>
        <v>#REF!</v>
      </c>
      <c r="BN120" s="24" t="e">
        <f>SUMIFS(#REF!,#REF!,$B120,#REF!,BN$1)</f>
        <v>#REF!</v>
      </c>
      <c r="BO120" s="24" t="e">
        <f>SUMIFS(#REF!,#REF!,$B120,#REF!,BO$1)</f>
        <v>#REF!</v>
      </c>
      <c r="BP120" s="24" t="e">
        <f>SUMIFS(#REF!,#REF!,$B120,#REF!,BP$1)</f>
        <v>#REF!</v>
      </c>
      <c r="BQ120" s="24" t="e">
        <f>SUMIFS(#REF!,#REF!,$B120,#REF!,BQ$1)</f>
        <v>#REF!</v>
      </c>
      <c r="BR120" s="24" t="e">
        <f>SUMIFS(#REF!,#REF!,$B120,#REF!,BR$1)</f>
        <v>#REF!</v>
      </c>
      <c r="BS120" s="24" t="e">
        <f>SUMIFS(#REF!,#REF!,$B120,#REF!,BS$1)</f>
        <v>#REF!</v>
      </c>
      <c r="BT120" s="24" t="e">
        <f>SUMIFS(#REF!,#REF!,$B120,#REF!,BT$1)</f>
        <v>#REF!</v>
      </c>
      <c r="BU120" s="24" t="e">
        <f>SUMIFS(#REF!,#REF!,$B120,#REF!,BU$1)</f>
        <v>#REF!</v>
      </c>
      <c r="BV120" s="24" t="e">
        <f>SUMIFS(#REF!,#REF!,$B120,#REF!,BV$1)</f>
        <v>#REF!</v>
      </c>
      <c r="BW120" s="24" t="e">
        <f>SUMIFS(#REF!,#REF!,$B120,#REF!,BW$1)</f>
        <v>#REF!</v>
      </c>
      <c r="BX120" s="24" t="e">
        <f>SUMIFS(#REF!,#REF!,$B120,#REF!,BX$1)</f>
        <v>#REF!</v>
      </c>
      <c r="BY120" s="24" t="e">
        <f>SUMIFS(#REF!,#REF!,$B120,#REF!,BY$1)</f>
        <v>#REF!</v>
      </c>
      <c r="BZ120" s="24" t="e">
        <f>SUMIFS(#REF!,#REF!,$B120,#REF!,BZ$1)</f>
        <v>#REF!</v>
      </c>
      <c r="CA120" s="24" t="e">
        <f>SUMIFS(#REF!,#REF!,$B120,#REF!,CA$1)</f>
        <v>#REF!</v>
      </c>
      <c r="CB120" s="24" t="e">
        <f>SUMIFS(#REF!,#REF!,$B120,#REF!,CB$1)</f>
        <v>#REF!</v>
      </c>
      <c r="CC120" s="24" t="e">
        <f>SUMIFS(#REF!,#REF!,$B120,#REF!,CC$1)</f>
        <v>#REF!</v>
      </c>
      <c r="CD120" s="24" t="e">
        <f>SUMIFS(#REF!,#REF!,$B120,#REF!,CD$1)</f>
        <v>#REF!</v>
      </c>
      <c r="CE120" s="24" t="e">
        <f>SUMIFS(#REF!,#REF!,$B120,#REF!,CE$1)</f>
        <v>#REF!</v>
      </c>
      <c r="CF120" s="24" t="e">
        <f>SUMIFS(#REF!,#REF!,$B120,#REF!,CF$1)</f>
        <v>#REF!</v>
      </c>
      <c r="CG120" s="19" t="e">
        <f t="shared" si="1"/>
        <v>#REF!</v>
      </c>
    </row>
    <row r="121" spans="1:85" x14ac:dyDescent="0.45">
      <c r="A121" s="4" t="s">
        <v>1224</v>
      </c>
      <c r="B121" s="4" t="s">
        <v>1225</v>
      </c>
      <c r="C121" s="24" t="e">
        <f>SUMIFS(#REF!,#REF!,$B121,#REF!,C$1)</f>
        <v>#REF!</v>
      </c>
      <c r="D121" s="24" t="e">
        <f>SUMIFS(#REF!,#REF!,$B121,#REF!,D$1)</f>
        <v>#REF!</v>
      </c>
      <c r="E121" s="24" t="e">
        <f>SUMIFS(#REF!,#REF!,$B121,#REF!,E$1)</f>
        <v>#REF!</v>
      </c>
      <c r="F121" s="24" t="e">
        <f>SUMIFS(#REF!,#REF!,$B121,#REF!,F$1)</f>
        <v>#REF!</v>
      </c>
      <c r="G121" s="24" t="e">
        <f>SUMIFS(#REF!,#REF!,$B121,#REF!,G$1)</f>
        <v>#REF!</v>
      </c>
      <c r="H121" s="24" t="e">
        <f>SUMIFS(#REF!,#REF!,$B121,#REF!,H$1)</f>
        <v>#REF!</v>
      </c>
      <c r="I121" s="24" t="e">
        <f>SUMIFS(#REF!,#REF!,$B121,#REF!,I$1)</f>
        <v>#REF!</v>
      </c>
      <c r="J121" s="24" t="e">
        <f>SUMIFS(#REF!,#REF!,$B121,#REF!,J$1)</f>
        <v>#REF!</v>
      </c>
      <c r="K121" s="24" t="e">
        <f>SUMIFS(#REF!,#REF!,$B121,#REF!,K$1)</f>
        <v>#REF!</v>
      </c>
      <c r="L121" s="24" t="e">
        <f>SUMIFS(#REF!,#REF!,$B121,#REF!,L$1)</f>
        <v>#REF!</v>
      </c>
      <c r="M121" s="24" t="e">
        <f>SUMIFS(#REF!,#REF!,$B121,#REF!,M$1)</f>
        <v>#REF!</v>
      </c>
      <c r="N121" s="24" t="e">
        <f>SUMIFS(#REF!,#REF!,$B121,#REF!,N$1)</f>
        <v>#REF!</v>
      </c>
      <c r="O121" s="24" t="e">
        <f>SUMIFS(#REF!,#REF!,$B121,#REF!,O$1)</f>
        <v>#REF!</v>
      </c>
      <c r="P121" s="24" t="e">
        <f>SUMIFS(#REF!,#REF!,$B121,#REF!,P$1)</f>
        <v>#REF!</v>
      </c>
      <c r="Q121" s="24" t="e">
        <f>SUMIFS(#REF!,#REF!,$B121,#REF!,Q$1)</f>
        <v>#REF!</v>
      </c>
      <c r="R121" s="24" t="e">
        <f>SUMIFS(#REF!,#REF!,$B121,#REF!,R$1)</f>
        <v>#REF!</v>
      </c>
      <c r="S121" s="24" t="e">
        <f>SUMIFS(#REF!,#REF!,$B121,#REF!,S$1)</f>
        <v>#REF!</v>
      </c>
      <c r="T121" s="24" t="e">
        <f>SUMIFS(#REF!,#REF!,$B121,#REF!,T$1)</f>
        <v>#REF!</v>
      </c>
      <c r="U121" s="24" t="e">
        <f>SUMIFS(#REF!,#REF!,$B121,#REF!,U$1)</f>
        <v>#REF!</v>
      </c>
      <c r="V121" s="24" t="e">
        <f>SUMIFS(#REF!,#REF!,$B121,#REF!,V$1)</f>
        <v>#REF!</v>
      </c>
      <c r="W121" s="24" t="e">
        <f>SUMIFS(#REF!,#REF!,$B121,#REF!,W$1)</f>
        <v>#REF!</v>
      </c>
      <c r="X121" s="24" t="e">
        <f>SUMIFS(#REF!,#REF!,$B121,#REF!,X$1)</f>
        <v>#REF!</v>
      </c>
      <c r="Y121" s="24" t="e">
        <f>SUMIFS(#REF!,#REF!,$B121,#REF!,Y$1)</f>
        <v>#REF!</v>
      </c>
      <c r="Z121" s="24" t="e">
        <f>SUMIFS(#REF!,#REF!,$B121,#REF!,Z$1)</f>
        <v>#REF!</v>
      </c>
      <c r="AA121" s="24" t="e">
        <f>SUMIFS(#REF!,#REF!,$B121,#REF!,AA$1)</f>
        <v>#REF!</v>
      </c>
      <c r="AB121" s="24" t="e">
        <f>SUMIFS(#REF!,#REF!,$B121,#REF!,AB$1)</f>
        <v>#REF!</v>
      </c>
      <c r="AC121" s="24" t="e">
        <f>SUMIFS(#REF!,#REF!,$B121,#REF!,AC$1)</f>
        <v>#REF!</v>
      </c>
      <c r="AD121" s="24" t="e">
        <f>SUMIFS(#REF!,#REF!,$B121,#REF!,AD$1)</f>
        <v>#REF!</v>
      </c>
      <c r="AE121" s="24" t="e">
        <f>SUMIFS(#REF!,#REF!,$B121,#REF!,AE$1)</f>
        <v>#REF!</v>
      </c>
      <c r="AF121" s="24" t="e">
        <f>SUMIFS(#REF!,#REF!,$B121,#REF!,AF$1)</f>
        <v>#REF!</v>
      </c>
      <c r="AG121" s="24" t="e">
        <f>SUMIFS(#REF!,#REF!,$B121,#REF!,AG$1)</f>
        <v>#REF!</v>
      </c>
      <c r="AH121" s="24" t="e">
        <f>SUMIFS(#REF!,#REF!,$B121,#REF!,AH$1)</f>
        <v>#REF!</v>
      </c>
      <c r="AI121" s="24" t="e">
        <f>SUMIFS(#REF!,#REF!,$B121,#REF!,AI$1)</f>
        <v>#REF!</v>
      </c>
      <c r="AJ121" s="24" t="e">
        <f>SUMIFS(#REF!,#REF!,$B121,#REF!,AJ$1)</f>
        <v>#REF!</v>
      </c>
      <c r="AK121" s="24" t="e">
        <f>SUMIFS(#REF!,#REF!,$B121,#REF!,AK$1)</f>
        <v>#REF!</v>
      </c>
      <c r="AL121" s="24" t="e">
        <f>SUMIFS(#REF!,#REF!,$B121,#REF!,AL$1)</f>
        <v>#REF!</v>
      </c>
      <c r="AM121" s="24" t="e">
        <f>SUMIFS(#REF!,#REF!,$B121,#REF!,AM$1)</f>
        <v>#REF!</v>
      </c>
      <c r="AN121" s="24" t="e">
        <f>SUMIFS(#REF!,#REF!,$B121,#REF!,AN$1)</f>
        <v>#REF!</v>
      </c>
      <c r="AO121" s="24" t="e">
        <f>SUMIFS(#REF!,#REF!,$B121,#REF!,AO$1)</f>
        <v>#REF!</v>
      </c>
      <c r="AP121" s="24" t="e">
        <f>SUMIFS(#REF!,#REF!,$B121,#REF!,AP$1)</f>
        <v>#REF!</v>
      </c>
      <c r="AQ121" s="24" t="e">
        <f>SUMIFS(#REF!,#REF!,$B121,#REF!,AQ$1)</f>
        <v>#REF!</v>
      </c>
      <c r="AR121" s="24" t="e">
        <f>SUMIFS(#REF!,#REF!,$B121,#REF!,AR$1)</f>
        <v>#REF!</v>
      </c>
      <c r="AS121" s="24" t="e">
        <f>SUMIFS(#REF!,#REF!,$B121,#REF!,AS$1)</f>
        <v>#REF!</v>
      </c>
      <c r="AT121" s="24" t="e">
        <f>SUMIFS(#REF!,#REF!,$B121,#REF!,AT$1)</f>
        <v>#REF!</v>
      </c>
      <c r="AU121" s="24" t="e">
        <f>SUMIFS(#REF!,#REF!,$B121,#REF!,AU$1)</f>
        <v>#REF!</v>
      </c>
      <c r="AV121" s="24" t="e">
        <f>SUMIFS(#REF!,#REF!,$B121,#REF!,AV$1)</f>
        <v>#REF!</v>
      </c>
      <c r="AW121" s="24" t="e">
        <f>SUMIFS(#REF!,#REF!,$B121,#REF!,AW$1)</f>
        <v>#REF!</v>
      </c>
      <c r="AX121" s="24" t="e">
        <f>SUMIFS(#REF!,#REF!,$B121,#REF!,AX$1)</f>
        <v>#REF!</v>
      </c>
      <c r="AY121" s="24" t="e">
        <f>SUMIFS(#REF!,#REF!,$B121,#REF!,AY$1)</f>
        <v>#REF!</v>
      </c>
      <c r="AZ121" s="24" t="e">
        <f>SUMIFS(#REF!,#REF!,$B121,#REF!,AZ$1)</f>
        <v>#REF!</v>
      </c>
      <c r="BA121" s="24" t="e">
        <f>SUMIFS(#REF!,#REF!,$B121,#REF!,BA$1)</f>
        <v>#REF!</v>
      </c>
      <c r="BB121" s="24" t="e">
        <f>SUMIFS(#REF!,#REF!,$B121,#REF!,BB$1)</f>
        <v>#REF!</v>
      </c>
      <c r="BC121" s="24" t="e">
        <f>SUMIFS(#REF!,#REF!,$B121,#REF!,BC$1)</f>
        <v>#REF!</v>
      </c>
      <c r="BD121" s="24" t="e">
        <f>SUMIFS(#REF!,#REF!,$B121,#REF!,BD$1)</f>
        <v>#REF!</v>
      </c>
      <c r="BE121" s="24" t="e">
        <f>SUMIFS(#REF!,#REF!,$B121,#REF!,BE$1)</f>
        <v>#REF!</v>
      </c>
      <c r="BF121" s="24" t="e">
        <f>SUMIFS(#REF!,#REF!,$B121,#REF!,BF$1)</f>
        <v>#REF!</v>
      </c>
      <c r="BG121" s="24" t="e">
        <f>SUMIFS(#REF!,#REF!,$B121,#REF!,BG$1)</f>
        <v>#REF!</v>
      </c>
      <c r="BH121" s="24" t="e">
        <f>SUMIFS(#REF!,#REF!,$B121,#REF!,BH$1)</f>
        <v>#REF!</v>
      </c>
      <c r="BI121" s="24" t="e">
        <f>SUMIFS(#REF!,#REF!,$B121,#REF!,BI$1)</f>
        <v>#REF!</v>
      </c>
      <c r="BJ121" s="24" t="e">
        <f>SUMIFS(#REF!,#REF!,$B121,#REF!,BJ$1)</f>
        <v>#REF!</v>
      </c>
      <c r="BK121" s="24" t="e">
        <f>SUMIFS(#REF!,#REF!,$B121,#REF!,BK$1)</f>
        <v>#REF!</v>
      </c>
      <c r="BL121" s="24" t="e">
        <f>SUMIFS(#REF!,#REF!,$B121,#REF!,BL$1)</f>
        <v>#REF!</v>
      </c>
      <c r="BM121" s="24" t="e">
        <f>SUMIFS(#REF!,#REF!,$B121,#REF!,BM$1)</f>
        <v>#REF!</v>
      </c>
      <c r="BN121" s="24" t="e">
        <f>SUMIFS(#REF!,#REF!,$B121,#REF!,BN$1)</f>
        <v>#REF!</v>
      </c>
      <c r="BO121" s="24" t="e">
        <f>SUMIFS(#REF!,#REF!,$B121,#REF!,BO$1)</f>
        <v>#REF!</v>
      </c>
      <c r="BP121" s="24" t="e">
        <f>SUMIFS(#REF!,#REF!,$B121,#REF!,BP$1)</f>
        <v>#REF!</v>
      </c>
      <c r="BQ121" s="24" t="e">
        <f>SUMIFS(#REF!,#REF!,$B121,#REF!,BQ$1)</f>
        <v>#REF!</v>
      </c>
      <c r="BR121" s="24" t="e">
        <f>SUMIFS(#REF!,#REF!,$B121,#REF!,BR$1)</f>
        <v>#REF!</v>
      </c>
      <c r="BS121" s="24" t="e">
        <f>SUMIFS(#REF!,#REF!,$B121,#REF!,BS$1)</f>
        <v>#REF!</v>
      </c>
      <c r="BT121" s="24" t="e">
        <f>SUMIFS(#REF!,#REF!,$B121,#REF!,BT$1)</f>
        <v>#REF!</v>
      </c>
      <c r="BU121" s="24" t="e">
        <f>SUMIFS(#REF!,#REF!,$B121,#REF!,BU$1)</f>
        <v>#REF!</v>
      </c>
      <c r="BV121" s="24" t="e">
        <f>SUMIFS(#REF!,#REF!,$B121,#REF!,BV$1)</f>
        <v>#REF!</v>
      </c>
      <c r="BW121" s="24" t="e">
        <f>SUMIFS(#REF!,#REF!,$B121,#REF!,BW$1)</f>
        <v>#REF!</v>
      </c>
      <c r="BX121" s="24" t="e">
        <f>SUMIFS(#REF!,#REF!,$B121,#REF!,BX$1)</f>
        <v>#REF!</v>
      </c>
      <c r="BY121" s="24" t="e">
        <f>SUMIFS(#REF!,#REF!,$B121,#REF!,BY$1)</f>
        <v>#REF!</v>
      </c>
      <c r="BZ121" s="24" t="e">
        <f>SUMIFS(#REF!,#REF!,$B121,#REF!,BZ$1)</f>
        <v>#REF!</v>
      </c>
      <c r="CA121" s="24" t="e">
        <f>SUMIFS(#REF!,#REF!,$B121,#REF!,CA$1)</f>
        <v>#REF!</v>
      </c>
      <c r="CB121" s="24" t="e">
        <f>SUMIFS(#REF!,#REF!,$B121,#REF!,CB$1)</f>
        <v>#REF!</v>
      </c>
      <c r="CC121" s="24" t="e">
        <f>SUMIFS(#REF!,#REF!,$B121,#REF!,CC$1)</f>
        <v>#REF!</v>
      </c>
      <c r="CD121" s="24" t="e">
        <f>SUMIFS(#REF!,#REF!,$B121,#REF!,CD$1)</f>
        <v>#REF!</v>
      </c>
      <c r="CE121" s="24" t="e">
        <f>SUMIFS(#REF!,#REF!,$B121,#REF!,CE$1)</f>
        <v>#REF!</v>
      </c>
      <c r="CF121" s="24" t="e">
        <f>SUMIFS(#REF!,#REF!,$B121,#REF!,CF$1)</f>
        <v>#REF!</v>
      </c>
      <c r="CG121" s="19" t="e">
        <f t="shared" si="1"/>
        <v>#REF!</v>
      </c>
    </row>
    <row r="122" spans="1:85" x14ac:dyDescent="0.45">
      <c r="A122" s="4" t="s">
        <v>1226</v>
      </c>
      <c r="B122" s="4" t="s">
        <v>1227</v>
      </c>
      <c r="C122" s="24" t="e">
        <f>SUMIFS(#REF!,#REF!,$B122,#REF!,C$1)</f>
        <v>#REF!</v>
      </c>
      <c r="D122" s="24" t="e">
        <f>SUMIFS(#REF!,#REF!,$B122,#REF!,D$1)</f>
        <v>#REF!</v>
      </c>
      <c r="E122" s="24" t="e">
        <f>SUMIFS(#REF!,#REF!,$B122,#REF!,E$1)</f>
        <v>#REF!</v>
      </c>
      <c r="F122" s="24" t="e">
        <f>SUMIFS(#REF!,#REF!,$B122,#REF!,F$1)</f>
        <v>#REF!</v>
      </c>
      <c r="G122" s="24" t="e">
        <f>SUMIFS(#REF!,#REF!,$B122,#REF!,G$1)</f>
        <v>#REF!</v>
      </c>
      <c r="H122" s="24" t="e">
        <f>SUMIFS(#REF!,#REF!,$B122,#REF!,H$1)</f>
        <v>#REF!</v>
      </c>
      <c r="I122" s="24" t="e">
        <f>SUMIFS(#REF!,#REF!,$B122,#REF!,I$1)</f>
        <v>#REF!</v>
      </c>
      <c r="J122" s="24" t="e">
        <f>SUMIFS(#REF!,#REF!,$B122,#REF!,J$1)</f>
        <v>#REF!</v>
      </c>
      <c r="K122" s="24" t="e">
        <f>SUMIFS(#REF!,#REF!,$B122,#REF!,K$1)</f>
        <v>#REF!</v>
      </c>
      <c r="L122" s="24" t="e">
        <f>SUMIFS(#REF!,#REF!,$B122,#REF!,L$1)</f>
        <v>#REF!</v>
      </c>
      <c r="M122" s="24" t="e">
        <f>SUMIFS(#REF!,#REF!,$B122,#REF!,M$1)</f>
        <v>#REF!</v>
      </c>
      <c r="N122" s="24" t="e">
        <f>SUMIFS(#REF!,#REF!,$B122,#REF!,N$1)</f>
        <v>#REF!</v>
      </c>
      <c r="O122" s="24" t="e">
        <f>SUMIFS(#REF!,#REF!,$B122,#REF!,O$1)</f>
        <v>#REF!</v>
      </c>
      <c r="P122" s="24" t="e">
        <f>SUMIFS(#REF!,#REF!,$B122,#REF!,P$1)</f>
        <v>#REF!</v>
      </c>
      <c r="Q122" s="24" t="e">
        <f>SUMIFS(#REF!,#REF!,$B122,#REF!,Q$1)</f>
        <v>#REF!</v>
      </c>
      <c r="R122" s="24" t="e">
        <f>SUMIFS(#REF!,#REF!,$B122,#REF!,R$1)</f>
        <v>#REF!</v>
      </c>
      <c r="S122" s="24" t="e">
        <f>SUMIFS(#REF!,#REF!,$B122,#REF!,S$1)</f>
        <v>#REF!</v>
      </c>
      <c r="T122" s="24" t="e">
        <f>SUMIFS(#REF!,#REF!,$B122,#REF!,T$1)</f>
        <v>#REF!</v>
      </c>
      <c r="U122" s="24" t="e">
        <f>SUMIFS(#REF!,#REF!,$B122,#REF!,U$1)</f>
        <v>#REF!</v>
      </c>
      <c r="V122" s="24" t="e">
        <f>SUMIFS(#REF!,#REF!,$B122,#REF!,V$1)</f>
        <v>#REF!</v>
      </c>
      <c r="W122" s="24" t="e">
        <f>SUMIFS(#REF!,#REF!,$B122,#REF!,W$1)</f>
        <v>#REF!</v>
      </c>
      <c r="X122" s="24" t="e">
        <f>SUMIFS(#REF!,#REF!,$B122,#REF!,X$1)</f>
        <v>#REF!</v>
      </c>
      <c r="Y122" s="24" t="e">
        <f>SUMIFS(#REF!,#REF!,$B122,#REF!,Y$1)</f>
        <v>#REF!</v>
      </c>
      <c r="Z122" s="24" t="e">
        <f>SUMIFS(#REF!,#REF!,$B122,#REF!,Z$1)</f>
        <v>#REF!</v>
      </c>
      <c r="AA122" s="24" t="e">
        <f>SUMIFS(#REF!,#REF!,$B122,#REF!,AA$1)</f>
        <v>#REF!</v>
      </c>
      <c r="AB122" s="24" t="e">
        <f>SUMIFS(#REF!,#REF!,$B122,#REF!,AB$1)</f>
        <v>#REF!</v>
      </c>
      <c r="AC122" s="24" t="e">
        <f>SUMIFS(#REF!,#REF!,$B122,#REF!,AC$1)</f>
        <v>#REF!</v>
      </c>
      <c r="AD122" s="24" t="e">
        <f>SUMIFS(#REF!,#REF!,$B122,#REF!,AD$1)</f>
        <v>#REF!</v>
      </c>
      <c r="AE122" s="24" t="e">
        <f>SUMIFS(#REF!,#REF!,$B122,#REF!,AE$1)</f>
        <v>#REF!</v>
      </c>
      <c r="AF122" s="24" t="e">
        <f>SUMIFS(#REF!,#REF!,$B122,#REF!,AF$1)</f>
        <v>#REF!</v>
      </c>
      <c r="AG122" s="24" t="e">
        <f>SUMIFS(#REF!,#REF!,$B122,#REF!,AG$1)</f>
        <v>#REF!</v>
      </c>
      <c r="AH122" s="24" t="e">
        <f>SUMIFS(#REF!,#REF!,$B122,#REF!,AH$1)</f>
        <v>#REF!</v>
      </c>
      <c r="AI122" s="24" t="e">
        <f>SUMIFS(#REF!,#REF!,$B122,#REF!,AI$1)</f>
        <v>#REF!</v>
      </c>
      <c r="AJ122" s="24" t="e">
        <f>SUMIFS(#REF!,#REF!,$B122,#REF!,AJ$1)</f>
        <v>#REF!</v>
      </c>
      <c r="AK122" s="24" t="e">
        <f>SUMIFS(#REF!,#REF!,$B122,#REF!,AK$1)</f>
        <v>#REF!</v>
      </c>
      <c r="AL122" s="24" t="e">
        <f>SUMIFS(#REF!,#REF!,$B122,#REF!,AL$1)</f>
        <v>#REF!</v>
      </c>
      <c r="AM122" s="24" t="e">
        <f>SUMIFS(#REF!,#REF!,$B122,#REF!,AM$1)</f>
        <v>#REF!</v>
      </c>
      <c r="AN122" s="24" t="e">
        <f>SUMIFS(#REF!,#REF!,$B122,#REF!,AN$1)</f>
        <v>#REF!</v>
      </c>
      <c r="AO122" s="24" t="e">
        <f>SUMIFS(#REF!,#REF!,$B122,#REF!,AO$1)</f>
        <v>#REF!</v>
      </c>
      <c r="AP122" s="24" t="e">
        <f>SUMIFS(#REF!,#REF!,$B122,#REF!,AP$1)</f>
        <v>#REF!</v>
      </c>
      <c r="AQ122" s="24" t="e">
        <f>SUMIFS(#REF!,#REF!,$B122,#REF!,AQ$1)</f>
        <v>#REF!</v>
      </c>
      <c r="AR122" s="24" t="e">
        <f>SUMIFS(#REF!,#REF!,$B122,#REF!,AR$1)</f>
        <v>#REF!</v>
      </c>
      <c r="AS122" s="24" t="e">
        <f>SUMIFS(#REF!,#REF!,$B122,#REF!,AS$1)</f>
        <v>#REF!</v>
      </c>
      <c r="AT122" s="24" t="e">
        <f>SUMIFS(#REF!,#REF!,$B122,#REF!,AT$1)</f>
        <v>#REF!</v>
      </c>
      <c r="AU122" s="24" t="e">
        <f>SUMIFS(#REF!,#REF!,$B122,#REF!,AU$1)</f>
        <v>#REF!</v>
      </c>
      <c r="AV122" s="24" t="e">
        <f>SUMIFS(#REF!,#REF!,$B122,#REF!,AV$1)</f>
        <v>#REF!</v>
      </c>
      <c r="AW122" s="24" t="e">
        <f>SUMIFS(#REF!,#REF!,$B122,#REF!,AW$1)</f>
        <v>#REF!</v>
      </c>
      <c r="AX122" s="24" t="e">
        <f>SUMIFS(#REF!,#REF!,$B122,#REF!,AX$1)</f>
        <v>#REF!</v>
      </c>
      <c r="AY122" s="24" t="e">
        <f>SUMIFS(#REF!,#REF!,$B122,#REF!,AY$1)</f>
        <v>#REF!</v>
      </c>
      <c r="AZ122" s="24" t="e">
        <f>SUMIFS(#REF!,#REF!,$B122,#REF!,AZ$1)</f>
        <v>#REF!</v>
      </c>
      <c r="BA122" s="24" t="e">
        <f>SUMIFS(#REF!,#REF!,$B122,#REF!,BA$1)</f>
        <v>#REF!</v>
      </c>
      <c r="BB122" s="24" t="e">
        <f>SUMIFS(#REF!,#REF!,$B122,#REF!,BB$1)</f>
        <v>#REF!</v>
      </c>
      <c r="BC122" s="24" t="e">
        <f>SUMIFS(#REF!,#REF!,$B122,#REF!,BC$1)</f>
        <v>#REF!</v>
      </c>
      <c r="BD122" s="24" t="e">
        <f>SUMIFS(#REF!,#REF!,$B122,#REF!,BD$1)</f>
        <v>#REF!</v>
      </c>
      <c r="BE122" s="24" t="e">
        <f>SUMIFS(#REF!,#REF!,$B122,#REF!,BE$1)</f>
        <v>#REF!</v>
      </c>
      <c r="BF122" s="24" t="e">
        <f>SUMIFS(#REF!,#REF!,$B122,#REF!,BF$1)</f>
        <v>#REF!</v>
      </c>
      <c r="BG122" s="24" t="e">
        <f>SUMIFS(#REF!,#REF!,$B122,#REF!,BG$1)</f>
        <v>#REF!</v>
      </c>
      <c r="BH122" s="24" t="e">
        <f>SUMIFS(#REF!,#REF!,$B122,#REF!,BH$1)</f>
        <v>#REF!</v>
      </c>
      <c r="BI122" s="24" t="e">
        <f>SUMIFS(#REF!,#REF!,$B122,#REF!,BI$1)</f>
        <v>#REF!</v>
      </c>
      <c r="BJ122" s="24" t="e">
        <f>SUMIFS(#REF!,#REF!,$B122,#REF!,BJ$1)</f>
        <v>#REF!</v>
      </c>
      <c r="BK122" s="24" t="e">
        <f>SUMIFS(#REF!,#REF!,$B122,#REF!,BK$1)</f>
        <v>#REF!</v>
      </c>
      <c r="BL122" s="24" t="e">
        <f>SUMIFS(#REF!,#REF!,$B122,#REF!,BL$1)</f>
        <v>#REF!</v>
      </c>
      <c r="BM122" s="24" t="e">
        <f>SUMIFS(#REF!,#REF!,$B122,#REF!,BM$1)</f>
        <v>#REF!</v>
      </c>
      <c r="BN122" s="24" t="e">
        <f>SUMIFS(#REF!,#REF!,$B122,#REF!,BN$1)</f>
        <v>#REF!</v>
      </c>
      <c r="BO122" s="24" t="e">
        <f>SUMIFS(#REF!,#REF!,$B122,#REF!,BO$1)</f>
        <v>#REF!</v>
      </c>
      <c r="BP122" s="24" t="e">
        <f>SUMIFS(#REF!,#REF!,$B122,#REF!,BP$1)</f>
        <v>#REF!</v>
      </c>
      <c r="BQ122" s="24" t="e">
        <f>SUMIFS(#REF!,#REF!,$B122,#REF!,BQ$1)</f>
        <v>#REF!</v>
      </c>
      <c r="BR122" s="24" t="e">
        <f>SUMIFS(#REF!,#REF!,$B122,#REF!,BR$1)</f>
        <v>#REF!</v>
      </c>
      <c r="BS122" s="24" t="e">
        <f>SUMIFS(#REF!,#REF!,$B122,#REF!,BS$1)</f>
        <v>#REF!</v>
      </c>
      <c r="BT122" s="24" t="e">
        <f>SUMIFS(#REF!,#REF!,$B122,#REF!,BT$1)</f>
        <v>#REF!</v>
      </c>
      <c r="BU122" s="24" t="e">
        <f>SUMIFS(#REF!,#REF!,$B122,#REF!,BU$1)</f>
        <v>#REF!</v>
      </c>
      <c r="BV122" s="24" t="e">
        <f>SUMIFS(#REF!,#REF!,$B122,#REF!,BV$1)</f>
        <v>#REF!</v>
      </c>
      <c r="BW122" s="24" t="e">
        <f>SUMIFS(#REF!,#REF!,$B122,#REF!,BW$1)</f>
        <v>#REF!</v>
      </c>
      <c r="BX122" s="24" t="e">
        <f>SUMIFS(#REF!,#REF!,$B122,#REF!,BX$1)</f>
        <v>#REF!</v>
      </c>
      <c r="BY122" s="24" t="e">
        <f>SUMIFS(#REF!,#REF!,$B122,#REF!,BY$1)</f>
        <v>#REF!</v>
      </c>
      <c r="BZ122" s="24" t="e">
        <f>SUMIFS(#REF!,#REF!,$B122,#REF!,BZ$1)</f>
        <v>#REF!</v>
      </c>
      <c r="CA122" s="24" t="e">
        <f>SUMIFS(#REF!,#REF!,$B122,#REF!,CA$1)</f>
        <v>#REF!</v>
      </c>
      <c r="CB122" s="24" t="e">
        <f>SUMIFS(#REF!,#REF!,$B122,#REF!,CB$1)</f>
        <v>#REF!</v>
      </c>
      <c r="CC122" s="24" t="e">
        <f>SUMIFS(#REF!,#REF!,$B122,#REF!,CC$1)</f>
        <v>#REF!</v>
      </c>
      <c r="CD122" s="24" t="e">
        <f>SUMIFS(#REF!,#REF!,$B122,#REF!,CD$1)</f>
        <v>#REF!</v>
      </c>
      <c r="CE122" s="24" t="e">
        <f>SUMIFS(#REF!,#REF!,$B122,#REF!,CE$1)</f>
        <v>#REF!</v>
      </c>
      <c r="CF122" s="24" t="e">
        <f>SUMIFS(#REF!,#REF!,$B122,#REF!,CF$1)</f>
        <v>#REF!</v>
      </c>
      <c r="CG122" s="19" t="e">
        <f t="shared" si="1"/>
        <v>#REF!</v>
      </c>
    </row>
    <row r="123" spans="1:85" x14ac:dyDescent="0.45">
      <c r="A123" s="4" t="s">
        <v>1228</v>
      </c>
      <c r="B123" s="4" t="s">
        <v>1229</v>
      </c>
      <c r="C123" s="24" t="e">
        <f>SUMIFS(#REF!,#REF!,$B123,#REF!,C$1)</f>
        <v>#REF!</v>
      </c>
      <c r="D123" s="24" t="e">
        <f>SUMIFS(#REF!,#REF!,$B123,#REF!,D$1)</f>
        <v>#REF!</v>
      </c>
      <c r="E123" s="24" t="e">
        <f>SUMIFS(#REF!,#REF!,$B123,#REF!,E$1)</f>
        <v>#REF!</v>
      </c>
      <c r="F123" s="24" t="e">
        <f>SUMIFS(#REF!,#REF!,$B123,#REF!,F$1)</f>
        <v>#REF!</v>
      </c>
      <c r="G123" s="24" t="e">
        <f>SUMIFS(#REF!,#REF!,$B123,#REF!,G$1)</f>
        <v>#REF!</v>
      </c>
      <c r="H123" s="24" t="e">
        <f>SUMIFS(#REF!,#REF!,$B123,#REF!,H$1)</f>
        <v>#REF!</v>
      </c>
      <c r="I123" s="24" t="e">
        <f>SUMIFS(#REF!,#REF!,$B123,#REF!,I$1)</f>
        <v>#REF!</v>
      </c>
      <c r="J123" s="24" t="e">
        <f>SUMIFS(#REF!,#REF!,$B123,#REF!,J$1)</f>
        <v>#REF!</v>
      </c>
      <c r="K123" s="24" t="e">
        <f>SUMIFS(#REF!,#REF!,$B123,#REF!,K$1)</f>
        <v>#REF!</v>
      </c>
      <c r="L123" s="24" t="e">
        <f>SUMIFS(#REF!,#REF!,$B123,#REF!,L$1)</f>
        <v>#REF!</v>
      </c>
      <c r="M123" s="24" t="e">
        <f>SUMIFS(#REF!,#REF!,$B123,#REF!,M$1)</f>
        <v>#REF!</v>
      </c>
      <c r="N123" s="24" t="e">
        <f>SUMIFS(#REF!,#REF!,$B123,#REF!,N$1)</f>
        <v>#REF!</v>
      </c>
      <c r="O123" s="24" t="e">
        <f>SUMIFS(#REF!,#REF!,$B123,#REF!,O$1)</f>
        <v>#REF!</v>
      </c>
      <c r="P123" s="24" t="e">
        <f>SUMIFS(#REF!,#REF!,$B123,#REF!,P$1)</f>
        <v>#REF!</v>
      </c>
      <c r="Q123" s="24" t="e">
        <f>SUMIFS(#REF!,#REF!,$B123,#REF!,Q$1)</f>
        <v>#REF!</v>
      </c>
      <c r="R123" s="24" t="e">
        <f>SUMIFS(#REF!,#REF!,$B123,#REF!,R$1)</f>
        <v>#REF!</v>
      </c>
      <c r="S123" s="24" t="e">
        <f>SUMIFS(#REF!,#REF!,$B123,#REF!,S$1)</f>
        <v>#REF!</v>
      </c>
      <c r="T123" s="24" t="e">
        <f>SUMIFS(#REF!,#REF!,$B123,#REF!,T$1)</f>
        <v>#REF!</v>
      </c>
      <c r="U123" s="24" t="e">
        <f>SUMIFS(#REF!,#REF!,$B123,#REF!,U$1)</f>
        <v>#REF!</v>
      </c>
      <c r="V123" s="24" t="e">
        <f>SUMIFS(#REF!,#REF!,$B123,#REF!,V$1)</f>
        <v>#REF!</v>
      </c>
      <c r="W123" s="24" t="e">
        <f>SUMIFS(#REF!,#REF!,$B123,#REF!,W$1)</f>
        <v>#REF!</v>
      </c>
      <c r="X123" s="24" t="e">
        <f>SUMIFS(#REF!,#REF!,$B123,#REF!,X$1)</f>
        <v>#REF!</v>
      </c>
      <c r="Y123" s="24" t="e">
        <f>SUMIFS(#REF!,#REF!,$B123,#REF!,Y$1)</f>
        <v>#REF!</v>
      </c>
      <c r="Z123" s="24" t="e">
        <f>SUMIFS(#REF!,#REF!,$B123,#REF!,Z$1)</f>
        <v>#REF!</v>
      </c>
      <c r="AA123" s="24" t="e">
        <f>SUMIFS(#REF!,#REF!,$B123,#REF!,AA$1)</f>
        <v>#REF!</v>
      </c>
      <c r="AB123" s="24" t="e">
        <f>SUMIFS(#REF!,#REF!,$B123,#REF!,AB$1)</f>
        <v>#REF!</v>
      </c>
      <c r="AC123" s="24" t="e">
        <f>SUMIFS(#REF!,#REF!,$B123,#REF!,AC$1)</f>
        <v>#REF!</v>
      </c>
      <c r="AD123" s="24" t="e">
        <f>SUMIFS(#REF!,#REF!,$B123,#REF!,AD$1)</f>
        <v>#REF!</v>
      </c>
      <c r="AE123" s="24" t="e">
        <f>SUMIFS(#REF!,#REF!,$B123,#REF!,AE$1)</f>
        <v>#REF!</v>
      </c>
      <c r="AF123" s="24" t="e">
        <f>SUMIFS(#REF!,#REF!,$B123,#REF!,AF$1)</f>
        <v>#REF!</v>
      </c>
      <c r="AG123" s="24" t="e">
        <f>SUMIFS(#REF!,#REF!,$B123,#REF!,AG$1)</f>
        <v>#REF!</v>
      </c>
      <c r="AH123" s="24" t="e">
        <f>SUMIFS(#REF!,#REF!,$B123,#REF!,AH$1)</f>
        <v>#REF!</v>
      </c>
      <c r="AI123" s="24" t="e">
        <f>SUMIFS(#REF!,#REF!,$B123,#REF!,AI$1)</f>
        <v>#REF!</v>
      </c>
      <c r="AJ123" s="24" t="e">
        <f>SUMIFS(#REF!,#REF!,$B123,#REF!,AJ$1)</f>
        <v>#REF!</v>
      </c>
      <c r="AK123" s="24" t="e">
        <f>SUMIFS(#REF!,#REF!,$B123,#REF!,AK$1)</f>
        <v>#REF!</v>
      </c>
      <c r="AL123" s="24" t="e">
        <f>SUMIFS(#REF!,#REF!,$B123,#REF!,AL$1)</f>
        <v>#REF!</v>
      </c>
      <c r="AM123" s="24" t="e">
        <f>SUMIFS(#REF!,#REF!,$B123,#REF!,AM$1)</f>
        <v>#REF!</v>
      </c>
      <c r="AN123" s="24" t="e">
        <f>SUMIFS(#REF!,#REF!,$B123,#REF!,AN$1)</f>
        <v>#REF!</v>
      </c>
      <c r="AO123" s="24" t="e">
        <f>SUMIFS(#REF!,#REF!,$B123,#REF!,AO$1)</f>
        <v>#REF!</v>
      </c>
      <c r="AP123" s="24" t="e">
        <f>SUMIFS(#REF!,#REF!,$B123,#REF!,AP$1)</f>
        <v>#REF!</v>
      </c>
      <c r="AQ123" s="24" t="e">
        <f>SUMIFS(#REF!,#REF!,$B123,#REF!,AQ$1)</f>
        <v>#REF!</v>
      </c>
      <c r="AR123" s="24" t="e">
        <f>SUMIFS(#REF!,#REF!,$B123,#REF!,AR$1)</f>
        <v>#REF!</v>
      </c>
      <c r="AS123" s="24" t="e">
        <f>SUMIFS(#REF!,#REF!,$B123,#REF!,AS$1)</f>
        <v>#REF!</v>
      </c>
      <c r="AT123" s="24" t="e">
        <f>SUMIFS(#REF!,#REF!,$B123,#REF!,AT$1)</f>
        <v>#REF!</v>
      </c>
      <c r="AU123" s="24" t="e">
        <f>SUMIFS(#REF!,#REF!,$B123,#REF!,AU$1)</f>
        <v>#REF!</v>
      </c>
      <c r="AV123" s="24" t="e">
        <f>SUMIFS(#REF!,#REF!,$B123,#REF!,AV$1)</f>
        <v>#REF!</v>
      </c>
      <c r="AW123" s="24" t="e">
        <f>SUMIFS(#REF!,#REF!,$B123,#REF!,AW$1)</f>
        <v>#REF!</v>
      </c>
      <c r="AX123" s="24" t="e">
        <f>SUMIFS(#REF!,#REF!,$B123,#REF!,AX$1)</f>
        <v>#REF!</v>
      </c>
      <c r="AY123" s="24" t="e">
        <f>SUMIFS(#REF!,#REF!,$B123,#REF!,AY$1)</f>
        <v>#REF!</v>
      </c>
      <c r="AZ123" s="24" t="e">
        <f>SUMIFS(#REF!,#REF!,$B123,#REF!,AZ$1)</f>
        <v>#REF!</v>
      </c>
      <c r="BA123" s="24" t="e">
        <f>SUMIFS(#REF!,#REF!,$B123,#REF!,BA$1)</f>
        <v>#REF!</v>
      </c>
      <c r="BB123" s="24" t="e">
        <f>SUMIFS(#REF!,#REF!,$B123,#REF!,BB$1)</f>
        <v>#REF!</v>
      </c>
      <c r="BC123" s="24" t="e">
        <f>SUMIFS(#REF!,#REF!,$B123,#REF!,BC$1)</f>
        <v>#REF!</v>
      </c>
      <c r="BD123" s="24" t="e">
        <f>SUMIFS(#REF!,#REF!,$B123,#REF!,BD$1)</f>
        <v>#REF!</v>
      </c>
      <c r="BE123" s="24" t="e">
        <f>SUMIFS(#REF!,#REF!,$B123,#REF!,BE$1)</f>
        <v>#REF!</v>
      </c>
      <c r="BF123" s="24" t="e">
        <f>SUMIFS(#REF!,#REF!,$B123,#REF!,BF$1)</f>
        <v>#REF!</v>
      </c>
      <c r="BG123" s="24" t="e">
        <f>SUMIFS(#REF!,#REF!,$B123,#REF!,BG$1)</f>
        <v>#REF!</v>
      </c>
      <c r="BH123" s="24" t="e">
        <f>SUMIFS(#REF!,#REF!,$B123,#REF!,BH$1)</f>
        <v>#REF!</v>
      </c>
      <c r="BI123" s="24" t="e">
        <f>SUMIFS(#REF!,#REF!,$B123,#REF!,BI$1)</f>
        <v>#REF!</v>
      </c>
      <c r="BJ123" s="24" t="e">
        <f>SUMIFS(#REF!,#REF!,$B123,#REF!,BJ$1)</f>
        <v>#REF!</v>
      </c>
      <c r="BK123" s="24" t="e">
        <f>SUMIFS(#REF!,#REF!,$B123,#REF!,BK$1)</f>
        <v>#REF!</v>
      </c>
      <c r="BL123" s="24" t="e">
        <f>SUMIFS(#REF!,#REF!,$B123,#REF!,BL$1)</f>
        <v>#REF!</v>
      </c>
      <c r="BM123" s="24" t="e">
        <f>SUMIFS(#REF!,#REF!,$B123,#REF!,BM$1)</f>
        <v>#REF!</v>
      </c>
      <c r="BN123" s="24" t="e">
        <f>SUMIFS(#REF!,#REF!,$B123,#REF!,BN$1)</f>
        <v>#REF!</v>
      </c>
      <c r="BO123" s="24" t="e">
        <f>SUMIFS(#REF!,#REF!,$B123,#REF!,BO$1)</f>
        <v>#REF!</v>
      </c>
      <c r="BP123" s="24" t="e">
        <f>SUMIFS(#REF!,#REF!,$B123,#REF!,BP$1)</f>
        <v>#REF!</v>
      </c>
      <c r="BQ123" s="24" t="e">
        <f>SUMIFS(#REF!,#REF!,$B123,#REF!,BQ$1)</f>
        <v>#REF!</v>
      </c>
      <c r="BR123" s="24" t="e">
        <f>SUMIFS(#REF!,#REF!,$B123,#REF!,BR$1)</f>
        <v>#REF!</v>
      </c>
      <c r="BS123" s="24" t="e">
        <f>SUMIFS(#REF!,#REF!,$B123,#REF!,BS$1)</f>
        <v>#REF!</v>
      </c>
      <c r="BT123" s="24" t="e">
        <f>SUMIFS(#REF!,#REF!,$B123,#REF!,BT$1)</f>
        <v>#REF!</v>
      </c>
      <c r="BU123" s="24" t="e">
        <f>SUMIFS(#REF!,#REF!,$B123,#REF!,BU$1)</f>
        <v>#REF!</v>
      </c>
      <c r="BV123" s="24" t="e">
        <f>SUMIFS(#REF!,#REF!,$B123,#REF!,BV$1)</f>
        <v>#REF!</v>
      </c>
      <c r="BW123" s="24" t="e">
        <f>SUMIFS(#REF!,#REF!,$B123,#REF!,BW$1)</f>
        <v>#REF!</v>
      </c>
      <c r="BX123" s="24" t="e">
        <f>SUMIFS(#REF!,#REF!,$B123,#REF!,BX$1)</f>
        <v>#REF!</v>
      </c>
      <c r="BY123" s="24" t="e">
        <f>SUMIFS(#REF!,#REF!,$B123,#REF!,BY$1)</f>
        <v>#REF!</v>
      </c>
      <c r="BZ123" s="24" t="e">
        <f>SUMIFS(#REF!,#REF!,$B123,#REF!,BZ$1)</f>
        <v>#REF!</v>
      </c>
      <c r="CA123" s="24" t="e">
        <f>SUMIFS(#REF!,#REF!,$B123,#REF!,CA$1)</f>
        <v>#REF!</v>
      </c>
      <c r="CB123" s="24" t="e">
        <f>SUMIFS(#REF!,#REF!,$B123,#REF!,CB$1)</f>
        <v>#REF!</v>
      </c>
      <c r="CC123" s="24" t="e">
        <f>SUMIFS(#REF!,#REF!,$B123,#REF!,CC$1)</f>
        <v>#REF!</v>
      </c>
      <c r="CD123" s="24" t="e">
        <f>SUMIFS(#REF!,#REF!,$B123,#REF!,CD$1)</f>
        <v>#REF!</v>
      </c>
      <c r="CE123" s="24" t="e">
        <f>SUMIFS(#REF!,#REF!,$B123,#REF!,CE$1)</f>
        <v>#REF!</v>
      </c>
      <c r="CF123" s="24" t="e">
        <f>SUMIFS(#REF!,#REF!,$B123,#REF!,CF$1)</f>
        <v>#REF!</v>
      </c>
      <c r="CG123" s="19" t="e">
        <f t="shared" si="1"/>
        <v>#REF!</v>
      </c>
    </row>
    <row r="124" spans="1:85" x14ac:dyDescent="0.45">
      <c r="A124" s="4" t="s">
        <v>1230</v>
      </c>
      <c r="B124" s="4" t="s">
        <v>1231</v>
      </c>
      <c r="C124" s="24" t="e">
        <f>SUMIFS(#REF!,#REF!,$B124,#REF!,C$1)</f>
        <v>#REF!</v>
      </c>
      <c r="D124" s="24" t="e">
        <f>SUMIFS(#REF!,#REF!,$B124,#REF!,D$1)</f>
        <v>#REF!</v>
      </c>
      <c r="E124" s="24" t="e">
        <f>SUMIFS(#REF!,#REF!,$B124,#REF!,E$1)</f>
        <v>#REF!</v>
      </c>
      <c r="F124" s="24" t="e">
        <f>SUMIFS(#REF!,#REF!,$B124,#REF!,F$1)</f>
        <v>#REF!</v>
      </c>
      <c r="G124" s="24" t="e">
        <f>SUMIFS(#REF!,#REF!,$B124,#REF!,G$1)</f>
        <v>#REF!</v>
      </c>
      <c r="H124" s="24" t="e">
        <f>SUMIFS(#REF!,#REF!,$B124,#REF!,H$1)</f>
        <v>#REF!</v>
      </c>
      <c r="I124" s="24" t="e">
        <f>SUMIFS(#REF!,#REF!,$B124,#REF!,I$1)</f>
        <v>#REF!</v>
      </c>
      <c r="J124" s="24" t="e">
        <f>SUMIFS(#REF!,#REF!,$B124,#REF!,J$1)</f>
        <v>#REF!</v>
      </c>
      <c r="K124" s="24" t="e">
        <f>SUMIFS(#REF!,#REF!,$B124,#REF!,K$1)</f>
        <v>#REF!</v>
      </c>
      <c r="L124" s="24" t="e">
        <f>SUMIFS(#REF!,#REF!,$B124,#REF!,L$1)</f>
        <v>#REF!</v>
      </c>
      <c r="M124" s="24" t="e">
        <f>SUMIFS(#REF!,#REF!,$B124,#REF!,M$1)</f>
        <v>#REF!</v>
      </c>
      <c r="N124" s="24" t="e">
        <f>SUMIFS(#REF!,#REF!,$B124,#REF!,N$1)</f>
        <v>#REF!</v>
      </c>
      <c r="O124" s="24" t="e">
        <f>SUMIFS(#REF!,#REF!,$B124,#REF!,O$1)</f>
        <v>#REF!</v>
      </c>
      <c r="P124" s="24" t="e">
        <f>SUMIFS(#REF!,#REF!,$B124,#REF!,P$1)</f>
        <v>#REF!</v>
      </c>
      <c r="Q124" s="24" t="e">
        <f>SUMIFS(#REF!,#REF!,$B124,#REF!,Q$1)</f>
        <v>#REF!</v>
      </c>
      <c r="R124" s="24" t="e">
        <f>SUMIFS(#REF!,#REF!,$B124,#REF!,R$1)</f>
        <v>#REF!</v>
      </c>
      <c r="S124" s="24" t="e">
        <f>SUMIFS(#REF!,#REF!,$B124,#REF!,S$1)</f>
        <v>#REF!</v>
      </c>
      <c r="T124" s="24" t="e">
        <f>SUMIFS(#REF!,#REF!,$B124,#REF!,T$1)</f>
        <v>#REF!</v>
      </c>
      <c r="U124" s="24" t="e">
        <f>SUMIFS(#REF!,#REF!,$B124,#REF!,U$1)</f>
        <v>#REF!</v>
      </c>
      <c r="V124" s="24" t="e">
        <f>SUMIFS(#REF!,#REF!,$B124,#REF!,V$1)</f>
        <v>#REF!</v>
      </c>
      <c r="W124" s="24" t="e">
        <f>SUMIFS(#REF!,#REF!,$B124,#REF!,W$1)</f>
        <v>#REF!</v>
      </c>
      <c r="X124" s="24" t="e">
        <f>SUMIFS(#REF!,#REF!,$B124,#REF!,X$1)</f>
        <v>#REF!</v>
      </c>
      <c r="Y124" s="24" t="e">
        <f>SUMIFS(#REF!,#REF!,$B124,#REF!,Y$1)</f>
        <v>#REF!</v>
      </c>
      <c r="Z124" s="24" t="e">
        <f>SUMIFS(#REF!,#REF!,$B124,#REF!,Z$1)</f>
        <v>#REF!</v>
      </c>
      <c r="AA124" s="24" t="e">
        <f>SUMIFS(#REF!,#REF!,$B124,#REF!,AA$1)</f>
        <v>#REF!</v>
      </c>
      <c r="AB124" s="24" t="e">
        <f>SUMIFS(#REF!,#REF!,$B124,#REF!,AB$1)</f>
        <v>#REF!</v>
      </c>
      <c r="AC124" s="24" t="e">
        <f>SUMIFS(#REF!,#REF!,$B124,#REF!,AC$1)</f>
        <v>#REF!</v>
      </c>
      <c r="AD124" s="24" t="e">
        <f>SUMIFS(#REF!,#REF!,$B124,#REF!,AD$1)</f>
        <v>#REF!</v>
      </c>
      <c r="AE124" s="24" t="e">
        <f>SUMIFS(#REF!,#REF!,$B124,#REF!,AE$1)</f>
        <v>#REF!</v>
      </c>
      <c r="AF124" s="24" t="e">
        <f>SUMIFS(#REF!,#REF!,$B124,#REF!,AF$1)</f>
        <v>#REF!</v>
      </c>
      <c r="AG124" s="24" t="e">
        <f>SUMIFS(#REF!,#REF!,$B124,#REF!,AG$1)</f>
        <v>#REF!</v>
      </c>
      <c r="AH124" s="24" t="e">
        <f>SUMIFS(#REF!,#REF!,$B124,#REF!,AH$1)</f>
        <v>#REF!</v>
      </c>
      <c r="AI124" s="24" t="e">
        <f>SUMIFS(#REF!,#REF!,$B124,#REF!,AI$1)</f>
        <v>#REF!</v>
      </c>
      <c r="AJ124" s="24" t="e">
        <f>SUMIFS(#REF!,#REF!,$B124,#REF!,AJ$1)</f>
        <v>#REF!</v>
      </c>
      <c r="AK124" s="24" t="e">
        <f>SUMIFS(#REF!,#REF!,$B124,#REF!,AK$1)</f>
        <v>#REF!</v>
      </c>
      <c r="AL124" s="24" t="e">
        <f>SUMIFS(#REF!,#REF!,$B124,#REF!,AL$1)</f>
        <v>#REF!</v>
      </c>
      <c r="AM124" s="24" t="e">
        <f>SUMIFS(#REF!,#REF!,$B124,#REF!,AM$1)</f>
        <v>#REF!</v>
      </c>
      <c r="AN124" s="24" t="e">
        <f>SUMIFS(#REF!,#REF!,$B124,#REF!,AN$1)</f>
        <v>#REF!</v>
      </c>
      <c r="AO124" s="24" t="e">
        <f>SUMIFS(#REF!,#REF!,$B124,#REF!,AO$1)</f>
        <v>#REF!</v>
      </c>
      <c r="AP124" s="24" t="e">
        <f>SUMIFS(#REF!,#REF!,$B124,#REF!,AP$1)</f>
        <v>#REF!</v>
      </c>
      <c r="AQ124" s="24" t="e">
        <f>SUMIFS(#REF!,#REF!,$B124,#REF!,AQ$1)</f>
        <v>#REF!</v>
      </c>
      <c r="AR124" s="24" t="e">
        <f>SUMIFS(#REF!,#REF!,$B124,#REF!,AR$1)</f>
        <v>#REF!</v>
      </c>
      <c r="AS124" s="24" t="e">
        <f>SUMIFS(#REF!,#REF!,$B124,#REF!,AS$1)</f>
        <v>#REF!</v>
      </c>
      <c r="AT124" s="24" t="e">
        <f>SUMIFS(#REF!,#REF!,$B124,#REF!,AT$1)</f>
        <v>#REF!</v>
      </c>
      <c r="AU124" s="24" t="e">
        <f>SUMIFS(#REF!,#REF!,$B124,#REF!,AU$1)</f>
        <v>#REF!</v>
      </c>
      <c r="AV124" s="24" t="e">
        <f>SUMIFS(#REF!,#REF!,$B124,#REF!,AV$1)</f>
        <v>#REF!</v>
      </c>
      <c r="AW124" s="24" t="e">
        <f>SUMIFS(#REF!,#REF!,$B124,#REF!,AW$1)</f>
        <v>#REF!</v>
      </c>
      <c r="AX124" s="24" t="e">
        <f>SUMIFS(#REF!,#REF!,$B124,#REF!,AX$1)</f>
        <v>#REF!</v>
      </c>
      <c r="AY124" s="24" t="e">
        <f>SUMIFS(#REF!,#REF!,$B124,#REF!,AY$1)</f>
        <v>#REF!</v>
      </c>
      <c r="AZ124" s="24" t="e">
        <f>SUMIFS(#REF!,#REF!,$B124,#REF!,AZ$1)</f>
        <v>#REF!</v>
      </c>
      <c r="BA124" s="24" t="e">
        <f>SUMIFS(#REF!,#REF!,$B124,#REF!,BA$1)</f>
        <v>#REF!</v>
      </c>
      <c r="BB124" s="24" t="e">
        <f>SUMIFS(#REF!,#REF!,$B124,#REF!,BB$1)</f>
        <v>#REF!</v>
      </c>
      <c r="BC124" s="24" t="e">
        <f>SUMIFS(#REF!,#REF!,$B124,#REF!,BC$1)</f>
        <v>#REF!</v>
      </c>
      <c r="BD124" s="24" t="e">
        <f>SUMIFS(#REF!,#REF!,$B124,#REF!,BD$1)</f>
        <v>#REF!</v>
      </c>
      <c r="BE124" s="24" t="e">
        <f>SUMIFS(#REF!,#REF!,$B124,#REF!,BE$1)</f>
        <v>#REF!</v>
      </c>
      <c r="BF124" s="24" t="e">
        <f>SUMIFS(#REF!,#REF!,$B124,#REF!,BF$1)</f>
        <v>#REF!</v>
      </c>
      <c r="BG124" s="24" t="e">
        <f>SUMIFS(#REF!,#REF!,$B124,#REF!,BG$1)</f>
        <v>#REF!</v>
      </c>
      <c r="BH124" s="24" t="e">
        <f>SUMIFS(#REF!,#REF!,$B124,#REF!,BH$1)</f>
        <v>#REF!</v>
      </c>
      <c r="BI124" s="24" t="e">
        <f>SUMIFS(#REF!,#REF!,$B124,#REF!,BI$1)</f>
        <v>#REF!</v>
      </c>
      <c r="BJ124" s="24" t="e">
        <f>SUMIFS(#REF!,#REF!,$B124,#REF!,BJ$1)</f>
        <v>#REF!</v>
      </c>
      <c r="BK124" s="24" t="e">
        <f>SUMIFS(#REF!,#REF!,$B124,#REF!,BK$1)</f>
        <v>#REF!</v>
      </c>
      <c r="BL124" s="24" t="e">
        <f>SUMIFS(#REF!,#REF!,$B124,#REF!,BL$1)</f>
        <v>#REF!</v>
      </c>
      <c r="BM124" s="24" t="e">
        <f>SUMIFS(#REF!,#REF!,$B124,#REF!,BM$1)</f>
        <v>#REF!</v>
      </c>
      <c r="BN124" s="24" t="e">
        <f>SUMIFS(#REF!,#REF!,$B124,#REF!,BN$1)</f>
        <v>#REF!</v>
      </c>
      <c r="BO124" s="24" t="e">
        <f>SUMIFS(#REF!,#REF!,$B124,#REF!,BO$1)</f>
        <v>#REF!</v>
      </c>
      <c r="BP124" s="24" t="e">
        <f>SUMIFS(#REF!,#REF!,$B124,#REF!,BP$1)</f>
        <v>#REF!</v>
      </c>
      <c r="BQ124" s="24" t="e">
        <f>SUMIFS(#REF!,#REF!,$B124,#REF!,BQ$1)</f>
        <v>#REF!</v>
      </c>
      <c r="BR124" s="24" t="e">
        <f>SUMIFS(#REF!,#REF!,$B124,#REF!,BR$1)</f>
        <v>#REF!</v>
      </c>
      <c r="BS124" s="24" t="e">
        <f>SUMIFS(#REF!,#REF!,$B124,#REF!,BS$1)</f>
        <v>#REF!</v>
      </c>
      <c r="BT124" s="24" t="e">
        <f>SUMIFS(#REF!,#REF!,$B124,#REF!,BT$1)</f>
        <v>#REF!</v>
      </c>
      <c r="BU124" s="24" t="e">
        <f>SUMIFS(#REF!,#REF!,$B124,#REF!,BU$1)</f>
        <v>#REF!</v>
      </c>
      <c r="BV124" s="24" t="e">
        <f>SUMIFS(#REF!,#REF!,$B124,#REF!,BV$1)</f>
        <v>#REF!</v>
      </c>
      <c r="BW124" s="24" t="e">
        <f>SUMIFS(#REF!,#REF!,$B124,#REF!,BW$1)</f>
        <v>#REF!</v>
      </c>
      <c r="BX124" s="24" t="e">
        <f>SUMIFS(#REF!,#REF!,$B124,#REF!,BX$1)</f>
        <v>#REF!</v>
      </c>
      <c r="BY124" s="24" t="e">
        <f>SUMIFS(#REF!,#REF!,$B124,#REF!,BY$1)</f>
        <v>#REF!</v>
      </c>
      <c r="BZ124" s="24" t="e">
        <f>SUMIFS(#REF!,#REF!,$B124,#REF!,BZ$1)</f>
        <v>#REF!</v>
      </c>
      <c r="CA124" s="24" t="e">
        <f>SUMIFS(#REF!,#REF!,$B124,#REF!,CA$1)</f>
        <v>#REF!</v>
      </c>
      <c r="CB124" s="24" t="e">
        <f>SUMIFS(#REF!,#REF!,$B124,#REF!,CB$1)</f>
        <v>#REF!</v>
      </c>
      <c r="CC124" s="24" t="e">
        <f>SUMIFS(#REF!,#REF!,$B124,#REF!,CC$1)</f>
        <v>#REF!</v>
      </c>
      <c r="CD124" s="24" t="e">
        <f>SUMIFS(#REF!,#REF!,$B124,#REF!,CD$1)</f>
        <v>#REF!</v>
      </c>
      <c r="CE124" s="24" t="e">
        <f>SUMIFS(#REF!,#REF!,$B124,#REF!,CE$1)</f>
        <v>#REF!</v>
      </c>
      <c r="CF124" s="24" t="e">
        <f>SUMIFS(#REF!,#REF!,$B124,#REF!,CF$1)</f>
        <v>#REF!</v>
      </c>
      <c r="CG124" s="19" t="e">
        <f t="shared" si="1"/>
        <v>#REF!</v>
      </c>
    </row>
    <row r="125" spans="1:85" x14ac:dyDescent="0.45">
      <c r="A125" s="4" t="s">
        <v>1232</v>
      </c>
      <c r="B125" s="4" t="s">
        <v>1233</v>
      </c>
      <c r="C125" s="24" t="e">
        <f>SUMIFS(#REF!,#REF!,$B125,#REF!,C$1)</f>
        <v>#REF!</v>
      </c>
      <c r="D125" s="24" t="e">
        <f>SUMIFS(#REF!,#REF!,$B125,#REF!,D$1)</f>
        <v>#REF!</v>
      </c>
      <c r="E125" s="24" t="e">
        <f>SUMIFS(#REF!,#REF!,$B125,#REF!,E$1)</f>
        <v>#REF!</v>
      </c>
      <c r="F125" s="24" t="e">
        <f>SUMIFS(#REF!,#REF!,$B125,#REF!,F$1)</f>
        <v>#REF!</v>
      </c>
      <c r="G125" s="24" t="e">
        <f>SUMIFS(#REF!,#REF!,$B125,#REF!,G$1)</f>
        <v>#REF!</v>
      </c>
      <c r="H125" s="24" t="e">
        <f>SUMIFS(#REF!,#REF!,$B125,#REF!,H$1)</f>
        <v>#REF!</v>
      </c>
      <c r="I125" s="24" t="e">
        <f>SUMIFS(#REF!,#REF!,$B125,#REF!,I$1)</f>
        <v>#REF!</v>
      </c>
      <c r="J125" s="24" t="e">
        <f>SUMIFS(#REF!,#REF!,$B125,#REF!,J$1)</f>
        <v>#REF!</v>
      </c>
      <c r="K125" s="24" t="e">
        <f>SUMIFS(#REF!,#REF!,$B125,#REF!,K$1)</f>
        <v>#REF!</v>
      </c>
      <c r="L125" s="24" t="e">
        <f>SUMIFS(#REF!,#REF!,$B125,#REF!,L$1)</f>
        <v>#REF!</v>
      </c>
      <c r="M125" s="24" t="e">
        <f>SUMIFS(#REF!,#REF!,$B125,#REF!,M$1)</f>
        <v>#REF!</v>
      </c>
      <c r="N125" s="24" t="e">
        <f>SUMIFS(#REF!,#REF!,$B125,#REF!,N$1)</f>
        <v>#REF!</v>
      </c>
      <c r="O125" s="24" t="e">
        <f>SUMIFS(#REF!,#REF!,$B125,#REF!,O$1)</f>
        <v>#REF!</v>
      </c>
      <c r="P125" s="24" t="e">
        <f>SUMIFS(#REF!,#REF!,$B125,#REF!,P$1)</f>
        <v>#REF!</v>
      </c>
      <c r="Q125" s="24" t="e">
        <f>SUMIFS(#REF!,#REF!,$B125,#REF!,Q$1)</f>
        <v>#REF!</v>
      </c>
      <c r="R125" s="24" t="e">
        <f>SUMIFS(#REF!,#REF!,$B125,#REF!,R$1)</f>
        <v>#REF!</v>
      </c>
      <c r="S125" s="24" t="e">
        <f>SUMIFS(#REF!,#REF!,$B125,#REF!,S$1)</f>
        <v>#REF!</v>
      </c>
      <c r="T125" s="24" t="e">
        <f>SUMIFS(#REF!,#REF!,$B125,#REF!,T$1)</f>
        <v>#REF!</v>
      </c>
      <c r="U125" s="24" t="e">
        <f>SUMIFS(#REF!,#REF!,$B125,#REF!,U$1)</f>
        <v>#REF!</v>
      </c>
      <c r="V125" s="24" t="e">
        <f>SUMIFS(#REF!,#REF!,$B125,#REF!,V$1)</f>
        <v>#REF!</v>
      </c>
      <c r="W125" s="24" t="e">
        <f>SUMIFS(#REF!,#REF!,$B125,#REF!,W$1)</f>
        <v>#REF!</v>
      </c>
      <c r="X125" s="24" t="e">
        <f>SUMIFS(#REF!,#REF!,$B125,#REF!,X$1)</f>
        <v>#REF!</v>
      </c>
      <c r="Y125" s="24" t="e">
        <f>SUMIFS(#REF!,#REF!,$B125,#REF!,Y$1)</f>
        <v>#REF!</v>
      </c>
      <c r="Z125" s="24" t="e">
        <f>SUMIFS(#REF!,#REF!,$B125,#REF!,Z$1)</f>
        <v>#REF!</v>
      </c>
      <c r="AA125" s="24" t="e">
        <f>SUMIFS(#REF!,#REF!,$B125,#REF!,AA$1)</f>
        <v>#REF!</v>
      </c>
      <c r="AB125" s="24" t="e">
        <f>SUMIFS(#REF!,#REF!,$B125,#REF!,AB$1)</f>
        <v>#REF!</v>
      </c>
      <c r="AC125" s="24" t="e">
        <f>SUMIFS(#REF!,#REF!,$B125,#REF!,AC$1)</f>
        <v>#REF!</v>
      </c>
      <c r="AD125" s="24" t="e">
        <f>SUMIFS(#REF!,#REF!,$B125,#REF!,AD$1)</f>
        <v>#REF!</v>
      </c>
      <c r="AE125" s="24" t="e">
        <f>SUMIFS(#REF!,#REF!,$B125,#REF!,AE$1)</f>
        <v>#REF!</v>
      </c>
      <c r="AF125" s="24" t="e">
        <f>SUMIFS(#REF!,#REF!,$B125,#REF!,AF$1)</f>
        <v>#REF!</v>
      </c>
      <c r="AG125" s="24" t="e">
        <f>SUMIFS(#REF!,#REF!,$B125,#REF!,AG$1)</f>
        <v>#REF!</v>
      </c>
      <c r="AH125" s="24" t="e">
        <f>SUMIFS(#REF!,#REF!,$B125,#REF!,AH$1)</f>
        <v>#REF!</v>
      </c>
      <c r="AI125" s="24" t="e">
        <f>SUMIFS(#REF!,#REF!,$B125,#REF!,AI$1)</f>
        <v>#REF!</v>
      </c>
      <c r="AJ125" s="24" t="e">
        <f>SUMIFS(#REF!,#REF!,$B125,#REF!,AJ$1)</f>
        <v>#REF!</v>
      </c>
      <c r="AK125" s="24" t="e">
        <f>SUMIFS(#REF!,#REF!,$B125,#REF!,AK$1)</f>
        <v>#REF!</v>
      </c>
      <c r="AL125" s="24" t="e">
        <f>SUMIFS(#REF!,#REF!,$B125,#REF!,AL$1)</f>
        <v>#REF!</v>
      </c>
      <c r="AM125" s="24" t="e">
        <f>SUMIFS(#REF!,#REF!,$B125,#REF!,AM$1)</f>
        <v>#REF!</v>
      </c>
      <c r="AN125" s="24" t="e">
        <f>SUMIFS(#REF!,#REF!,$B125,#REF!,AN$1)</f>
        <v>#REF!</v>
      </c>
      <c r="AO125" s="24" t="e">
        <f>SUMIFS(#REF!,#REF!,$B125,#REF!,AO$1)</f>
        <v>#REF!</v>
      </c>
      <c r="AP125" s="24" t="e">
        <f>SUMIFS(#REF!,#REF!,$B125,#REF!,AP$1)</f>
        <v>#REF!</v>
      </c>
      <c r="AQ125" s="24" t="e">
        <f>SUMIFS(#REF!,#REF!,$B125,#REF!,AQ$1)</f>
        <v>#REF!</v>
      </c>
      <c r="AR125" s="24" t="e">
        <f>SUMIFS(#REF!,#REF!,$B125,#REF!,AR$1)</f>
        <v>#REF!</v>
      </c>
      <c r="AS125" s="24" t="e">
        <f>SUMIFS(#REF!,#REF!,$B125,#REF!,AS$1)</f>
        <v>#REF!</v>
      </c>
      <c r="AT125" s="24" t="e">
        <f>SUMIFS(#REF!,#REF!,$B125,#REF!,AT$1)</f>
        <v>#REF!</v>
      </c>
      <c r="AU125" s="24" t="e">
        <f>SUMIFS(#REF!,#REF!,$B125,#REF!,AU$1)</f>
        <v>#REF!</v>
      </c>
      <c r="AV125" s="24" t="e">
        <f>SUMIFS(#REF!,#REF!,$B125,#REF!,AV$1)</f>
        <v>#REF!</v>
      </c>
      <c r="AW125" s="24" t="e">
        <f>SUMIFS(#REF!,#REF!,$B125,#REF!,AW$1)</f>
        <v>#REF!</v>
      </c>
      <c r="AX125" s="24" t="e">
        <f>SUMIFS(#REF!,#REF!,$B125,#REF!,AX$1)</f>
        <v>#REF!</v>
      </c>
      <c r="AY125" s="24" t="e">
        <f>SUMIFS(#REF!,#REF!,$B125,#REF!,AY$1)</f>
        <v>#REF!</v>
      </c>
      <c r="AZ125" s="24" t="e">
        <f>SUMIFS(#REF!,#REF!,$B125,#REF!,AZ$1)</f>
        <v>#REF!</v>
      </c>
      <c r="BA125" s="24" t="e">
        <f>SUMIFS(#REF!,#REF!,$B125,#REF!,BA$1)</f>
        <v>#REF!</v>
      </c>
      <c r="BB125" s="24" t="e">
        <f>SUMIFS(#REF!,#REF!,$B125,#REF!,BB$1)</f>
        <v>#REF!</v>
      </c>
      <c r="BC125" s="24" t="e">
        <f>SUMIFS(#REF!,#REF!,$B125,#REF!,BC$1)</f>
        <v>#REF!</v>
      </c>
      <c r="BD125" s="24" t="e">
        <f>SUMIFS(#REF!,#REF!,$B125,#REF!,BD$1)</f>
        <v>#REF!</v>
      </c>
      <c r="BE125" s="24" t="e">
        <f>SUMIFS(#REF!,#REF!,$B125,#REF!,BE$1)</f>
        <v>#REF!</v>
      </c>
      <c r="BF125" s="24" t="e">
        <f>SUMIFS(#REF!,#REF!,$B125,#REF!,BF$1)</f>
        <v>#REF!</v>
      </c>
      <c r="BG125" s="24" t="e">
        <f>SUMIFS(#REF!,#REF!,$B125,#REF!,BG$1)</f>
        <v>#REF!</v>
      </c>
      <c r="BH125" s="24" t="e">
        <f>SUMIFS(#REF!,#REF!,$B125,#REF!,BH$1)</f>
        <v>#REF!</v>
      </c>
      <c r="BI125" s="24" t="e">
        <f>SUMIFS(#REF!,#REF!,$B125,#REF!,BI$1)</f>
        <v>#REF!</v>
      </c>
      <c r="BJ125" s="24" t="e">
        <f>SUMIFS(#REF!,#REF!,$B125,#REF!,BJ$1)</f>
        <v>#REF!</v>
      </c>
      <c r="BK125" s="24" t="e">
        <f>SUMIFS(#REF!,#REF!,$B125,#REF!,BK$1)</f>
        <v>#REF!</v>
      </c>
      <c r="BL125" s="24" t="e">
        <f>SUMIFS(#REF!,#REF!,$B125,#REF!,BL$1)</f>
        <v>#REF!</v>
      </c>
      <c r="BM125" s="24" t="e">
        <f>SUMIFS(#REF!,#REF!,$B125,#REF!,BM$1)</f>
        <v>#REF!</v>
      </c>
      <c r="BN125" s="24" t="e">
        <f>SUMIFS(#REF!,#REF!,$B125,#REF!,BN$1)</f>
        <v>#REF!</v>
      </c>
      <c r="BO125" s="24" t="e">
        <f>SUMIFS(#REF!,#REF!,$B125,#REF!,BO$1)</f>
        <v>#REF!</v>
      </c>
      <c r="BP125" s="24" t="e">
        <f>SUMIFS(#REF!,#REF!,$B125,#REF!,BP$1)</f>
        <v>#REF!</v>
      </c>
      <c r="BQ125" s="24" t="e">
        <f>SUMIFS(#REF!,#REF!,$B125,#REF!,BQ$1)</f>
        <v>#REF!</v>
      </c>
      <c r="BR125" s="24" t="e">
        <f>SUMIFS(#REF!,#REF!,$B125,#REF!,BR$1)</f>
        <v>#REF!</v>
      </c>
      <c r="BS125" s="24" t="e">
        <f>SUMIFS(#REF!,#REF!,$B125,#REF!,BS$1)</f>
        <v>#REF!</v>
      </c>
      <c r="BT125" s="24" t="e">
        <f>SUMIFS(#REF!,#REF!,$B125,#REF!,BT$1)</f>
        <v>#REF!</v>
      </c>
      <c r="BU125" s="24" t="e">
        <f>SUMIFS(#REF!,#REF!,$B125,#REF!,BU$1)</f>
        <v>#REF!</v>
      </c>
      <c r="BV125" s="24" t="e">
        <f>SUMIFS(#REF!,#REF!,$B125,#REF!,BV$1)</f>
        <v>#REF!</v>
      </c>
      <c r="BW125" s="24" t="e">
        <f>SUMIFS(#REF!,#REF!,$B125,#REF!,BW$1)</f>
        <v>#REF!</v>
      </c>
      <c r="BX125" s="24" t="e">
        <f>SUMIFS(#REF!,#REF!,$B125,#REF!,BX$1)</f>
        <v>#REF!</v>
      </c>
      <c r="BY125" s="24" t="e">
        <f>SUMIFS(#REF!,#REF!,$B125,#REF!,BY$1)</f>
        <v>#REF!</v>
      </c>
      <c r="BZ125" s="24" t="e">
        <f>SUMIFS(#REF!,#REF!,$B125,#REF!,BZ$1)</f>
        <v>#REF!</v>
      </c>
      <c r="CA125" s="24" t="e">
        <f>SUMIFS(#REF!,#REF!,$B125,#REF!,CA$1)</f>
        <v>#REF!</v>
      </c>
      <c r="CB125" s="24" t="e">
        <f>SUMIFS(#REF!,#REF!,$B125,#REF!,CB$1)</f>
        <v>#REF!</v>
      </c>
      <c r="CC125" s="24" t="e">
        <f>SUMIFS(#REF!,#REF!,$B125,#REF!,CC$1)</f>
        <v>#REF!</v>
      </c>
      <c r="CD125" s="24" t="e">
        <f>SUMIFS(#REF!,#REF!,$B125,#REF!,CD$1)</f>
        <v>#REF!</v>
      </c>
      <c r="CE125" s="24" t="e">
        <f>SUMIFS(#REF!,#REF!,$B125,#REF!,CE$1)</f>
        <v>#REF!</v>
      </c>
      <c r="CF125" s="24" t="e">
        <f>SUMIFS(#REF!,#REF!,$B125,#REF!,CF$1)</f>
        <v>#REF!</v>
      </c>
      <c r="CG125" s="19" t="e">
        <f t="shared" si="1"/>
        <v>#REF!</v>
      </c>
    </row>
    <row r="126" spans="1:85" x14ac:dyDescent="0.45">
      <c r="A126" s="4" t="s">
        <v>1234</v>
      </c>
      <c r="B126" s="4" t="s">
        <v>1235</v>
      </c>
      <c r="C126" s="24" t="e">
        <f>SUMIFS(#REF!,#REF!,$B126,#REF!,C$1)</f>
        <v>#REF!</v>
      </c>
      <c r="D126" s="24" t="e">
        <f>SUMIFS(#REF!,#REF!,$B126,#REF!,D$1)</f>
        <v>#REF!</v>
      </c>
      <c r="E126" s="24" t="e">
        <f>SUMIFS(#REF!,#REF!,$B126,#REF!,E$1)</f>
        <v>#REF!</v>
      </c>
      <c r="F126" s="24" t="e">
        <f>SUMIFS(#REF!,#REF!,$B126,#REF!,F$1)</f>
        <v>#REF!</v>
      </c>
      <c r="G126" s="24" t="e">
        <f>SUMIFS(#REF!,#REF!,$B126,#REF!,G$1)</f>
        <v>#REF!</v>
      </c>
      <c r="H126" s="24" t="e">
        <f>SUMIFS(#REF!,#REF!,$B126,#REF!,H$1)</f>
        <v>#REF!</v>
      </c>
      <c r="I126" s="24" t="e">
        <f>SUMIFS(#REF!,#REF!,$B126,#REF!,I$1)</f>
        <v>#REF!</v>
      </c>
      <c r="J126" s="24" t="e">
        <f>SUMIFS(#REF!,#REF!,$B126,#REF!,J$1)</f>
        <v>#REF!</v>
      </c>
      <c r="K126" s="24" t="e">
        <f>SUMIFS(#REF!,#REF!,$B126,#REF!,K$1)</f>
        <v>#REF!</v>
      </c>
      <c r="L126" s="24" t="e">
        <f>SUMIFS(#REF!,#REF!,$B126,#REF!,L$1)</f>
        <v>#REF!</v>
      </c>
      <c r="M126" s="24" t="e">
        <f>SUMIFS(#REF!,#REF!,$B126,#REF!,M$1)</f>
        <v>#REF!</v>
      </c>
      <c r="N126" s="24" t="e">
        <f>SUMIFS(#REF!,#REF!,$B126,#REF!,N$1)</f>
        <v>#REF!</v>
      </c>
      <c r="O126" s="24" t="e">
        <f>SUMIFS(#REF!,#REF!,$B126,#REF!,O$1)</f>
        <v>#REF!</v>
      </c>
      <c r="P126" s="24" t="e">
        <f>SUMIFS(#REF!,#REF!,$B126,#REF!,P$1)</f>
        <v>#REF!</v>
      </c>
      <c r="Q126" s="24" t="e">
        <f>SUMIFS(#REF!,#REF!,$B126,#REF!,Q$1)</f>
        <v>#REF!</v>
      </c>
      <c r="R126" s="24" t="e">
        <f>SUMIFS(#REF!,#REF!,$B126,#REF!,R$1)</f>
        <v>#REF!</v>
      </c>
      <c r="S126" s="24" t="e">
        <f>SUMIFS(#REF!,#REF!,$B126,#REF!,S$1)</f>
        <v>#REF!</v>
      </c>
      <c r="T126" s="24" t="e">
        <f>SUMIFS(#REF!,#REF!,$B126,#REF!,T$1)</f>
        <v>#REF!</v>
      </c>
      <c r="U126" s="24" t="e">
        <f>SUMIFS(#REF!,#REF!,$B126,#REF!,U$1)</f>
        <v>#REF!</v>
      </c>
      <c r="V126" s="24" t="e">
        <f>SUMIFS(#REF!,#REF!,$B126,#REF!,V$1)</f>
        <v>#REF!</v>
      </c>
      <c r="W126" s="24" t="e">
        <f>SUMIFS(#REF!,#REF!,$B126,#REF!,W$1)</f>
        <v>#REF!</v>
      </c>
      <c r="X126" s="24" t="e">
        <f>SUMIFS(#REF!,#REF!,$B126,#REF!,X$1)</f>
        <v>#REF!</v>
      </c>
      <c r="Y126" s="24" t="e">
        <f>SUMIFS(#REF!,#REF!,$B126,#REF!,Y$1)</f>
        <v>#REF!</v>
      </c>
      <c r="Z126" s="24" t="e">
        <f>SUMIFS(#REF!,#REF!,$B126,#REF!,Z$1)</f>
        <v>#REF!</v>
      </c>
      <c r="AA126" s="24" t="e">
        <f>SUMIFS(#REF!,#REF!,$B126,#REF!,AA$1)</f>
        <v>#REF!</v>
      </c>
      <c r="AB126" s="24" t="e">
        <f>SUMIFS(#REF!,#REF!,$B126,#REF!,AB$1)</f>
        <v>#REF!</v>
      </c>
      <c r="AC126" s="24" t="e">
        <f>SUMIFS(#REF!,#REF!,$B126,#REF!,AC$1)</f>
        <v>#REF!</v>
      </c>
      <c r="AD126" s="24" t="e">
        <f>SUMIFS(#REF!,#REF!,$B126,#REF!,AD$1)</f>
        <v>#REF!</v>
      </c>
      <c r="AE126" s="24" t="e">
        <f>SUMIFS(#REF!,#REF!,$B126,#REF!,AE$1)</f>
        <v>#REF!</v>
      </c>
      <c r="AF126" s="24" t="e">
        <f>SUMIFS(#REF!,#REF!,$B126,#REF!,AF$1)</f>
        <v>#REF!</v>
      </c>
      <c r="AG126" s="24" t="e">
        <f>SUMIFS(#REF!,#REF!,$B126,#REF!,AG$1)</f>
        <v>#REF!</v>
      </c>
      <c r="AH126" s="24" t="e">
        <f>SUMIFS(#REF!,#REF!,$B126,#REF!,AH$1)</f>
        <v>#REF!</v>
      </c>
      <c r="AI126" s="24" t="e">
        <f>SUMIFS(#REF!,#REF!,$B126,#REF!,AI$1)</f>
        <v>#REF!</v>
      </c>
      <c r="AJ126" s="24" t="e">
        <f>SUMIFS(#REF!,#REF!,$B126,#REF!,AJ$1)</f>
        <v>#REF!</v>
      </c>
      <c r="AK126" s="24" t="e">
        <f>SUMIFS(#REF!,#REF!,$B126,#REF!,AK$1)</f>
        <v>#REF!</v>
      </c>
      <c r="AL126" s="24" t="e">
        <f>SUMIFS(#REF!,#REF!,$B126,#REF!,AL$1)</f>
        <v>#REF!</v>
      </c>
      <c r="AM126" s="24" t="e">
        <f>SUMIFS(#REF!,#REF!,$B126,#REF!,AM$1)</f>
        <v>#REF!</v>
      </c>
      <c r="AN126" s="24" t="e">
        <f>SUMIFS(#REF!,#REF!,$B126,#REF!,AN$1)</f>
        <v>#REF!</v>
      </c>
      <c r="AO126" s="24" t="e">
        <f>SUMIFS(#REF!,#REF!,$B126,#REF!,AO$1)</f>
        <v>#REF!</v>
      </c>
      <c r="AP126" s="24" t="e">
        <f>SUMIFS(#REF!,#REF!,$B126,#REF!,AP$1)</f>
        <v>#REF!</v>
      </c>
      <c r="AQ126" s="24" t="e">
        <f>SUMIFS(#REF!,#REF!,$B126,#REF!,AQ$1)</f>
        <v>#REF!</v>
      </c>
      <c r="AR126" s="24" t="e">
        <f>SUMIFS(#REF!,#REF!,$B126,#REF!,AR$1)</f>
        <v>#REF!</v>
      </c>
      <c r="AS126" s="24" t="e">
        <f>SUMIFS(#REF!,#REF!,$B126,#REF!,AS$1)</f>
        <v>#REF!</v>
      </c>
      <c r="AT126" s="24" t="e">
        <f>SUMIFS(#REF!,#REF!,$B126,#REF!,AT$1)</f>
        <v>#REF!</v>
      </c>
      <c r="AU126" s="24" t="e">
        <f>SUMIFS(#REF!,#REF!,$B126,#REF!,AU$1)</f>
        <v>#REF!</v>
      </c>
      <c r="AV126" s="24" t="e">
        <f>SUMIFS(#REF!,#REF!,$B126,#REF!,AV$1)</f>
        <v>#REF!</v>
      </c>
      <c r="AW126" s="24" t="e">
        <f>SUMIFS(#REF!,#REF!,$B126,#REF!,AW$1)</f>
        <v>#REF!</v>
      </c>
      <c r="AX126" s="24" t="e">
        <f>SUMIFS(#REF!,#REF!,$B126,#REF!,AX$1)</f>
        <v>#REF!</v>
      </c>
      <c r="AY126" s="24" t="e">
        <f>SUMIFS(#REF!,#REF!,$B126,#REF!,AY$1)</f>
        <v>#REF!</v>
      </c>
      <c r="AZ126" s="24" t="e">
        <f>SUMIFS(#REF!,#REF!,$B126,#REF!,AZ$1)</f>
        <v>#REF!</v>
      </c>
      <c r="BA126" s="24" t="e">
        <f>SUMIFS(#REF!,#REF!,$B126,#REF!,BA$1)</f>
        <v>#REF!</v>
      </c>
      <c r="BB126" s="24" t="e">
        <f>SUMIFS(#REF!,#REF!,$B126,#REF!,BB$1)</f>
        <v>#REF!</v>
      </c>
      <c r="BC126" s="24" t="e">
        <f>SUMIFS(#REF!,#REF!,$B126,#REF!,BC$1)</f>
        <v>#REF!</v>
      </c>
      <c r="BD126" s="24" t="e">
        <f>SUMIFS(#REF!,#REF!,$B126,#REF!,BD$1)</f>
        <v>#REF!</v>
      </c>
      <c r="BE126" s="24" t="e">
        <f>SUMIFS(#REF!,#REF!,$B126,#REF!,BE$1)</f>
        <v>#REF!</v>
      </c>
      <c r="BF126" s="24" t="e">
        <f>SUMIFS(#REF!,#REF!,$B126,#REF!,BF$1)</f>
        <v>#REF!</v>
      </c>
      <c r="BG126" s="24" t="e">
        <f>SUMIFS(#REF!,#REF!,$B126,#REF!,BG$1)</f>
        <v>#REF!</v>
      </c>
      <c r="BH126" s="24" t="e">
        <f>SUMIFS(#REF!,#REF!,$B126,#REF!,BH$1)</f>
        <v>#REF!</v>
      </c>
      <c r="BI126" s="24" t="e">
        <f>SUMIFS(#REF!,#REF!,$B126,#REF!,BI$1)</f>
        <v>#REF!</v>
      </c>
      <c r="BJ126" s="24" t="e">
        <f>SUMIFS(#REF!,#REF!,$B126,#REF!,BJ$1)</f>
        <v>#REF!</v>
      </c>
      <c r="BK126" s="24" t="e">
        <f>SUMIFS(#REF!,#REF!,$B126,#REF!,BK$1)</f>
        <v>#REF!</v>
      </c>
      <c r="BL126" s="24" t="e">
        <f>SUMIFS(#REF!,#REF!,$B126,#REF!,BL$1)</f>
        <v>#REF!</v>
      </c>
      <c r="BM126" s="24" t="e">
        <f>SUMIFS(#REF!,#REF!,$B126,#REF!,BM$1)</f>
        <v>#REF!</v>
      </c>
      <c r="BN126" s="24" t="e">
        <f>SUMIFS(#REF!,#REF!,$B126,#REF!,BN$1)</f>
        <v>#REF!</v>
      </c>
      <c r="BO126" s="24" t="e">
        <f>SUMIFS(#REF!,#REF!,$B126,#REF!,BO$1)</f>
        <v>#REF!</v>
      </c>
      <c r="BP126" s="24" t="e">
        <f>SUMIFS(#REF!,#REF!,$B126,#REF!,BP$1)</f>
        <v>#REF!</v>
      </c>
      <c r="BQ126" s="24" t="e">
        <f>SUMIFS(#REF!,#REF!,$B126,#REF!,BQ$1)</f>
        <v>#REF!</v>
      </c>
      <c r="BR126" s="24" t="e">
        <f>SUMIFS(#REF!,#REF!,$B126,#REF!,BR$1)</f>
        <v>#REF!</v>
      </c>
      <c r="BS126" s="24" t="e">
        <f>SUMIFS(#REF!,#REF!,$B126,#REF!,BS$1)</f>
        <v>#REF!</v>
      </c>
      <c r="BT126" s="24" t="e">
        <f>SUMIFS(#REF!,#REF!,$B126,#REF!,BT$1)</f>
        <v>#REF!</v>
      </c>
      <c r="BU126" s="24" t="e">
        <f>SUMIFS(#REF!,#REF!,$B126,#REF!,BU$1)</f>
        <v>#REF!</v>
      </c>
      <c r="BV126" s="24" t="e">
        <f>SUMIFS(#REF!,#REF!,$B126,#REF!,BV$1)</f>
        <v>#REF!</v>
      </c>
      <c r="BW126" s="24" t="e">
        <f>SUMIFS(#REF!,#REF!,$B126,#REF!,BW$1)</f>
        <v>#REF!</v>
      </c>
      <c r="BX126" s="24" t="e">
        <f>SUMIFS(#REF!,#REF!,$B126,#REF!,BX$1)</f>
        <v>#REF!</v>
      </c>
      <c r="BY126" s="24" t="e">
        <f>SUMIFS(#REF!,#REF!,$B126,#REF!,BY$1)</f>
        <v>#REF!</v>
      </c>
      <c r="BZ126" s="24" t="e">
        <f>SUMIFS(#REF!,#REF!,$B126,#REF!,BZ$1)</f>
        <v>#REF!</v>
      </c>
      <c r="CA126" s="24" t="e">
        <f>SUMIFS(#REF!,#REF!,$B126,#REF!,CA$1)</f>
        <v>#REF!</v>
      </c>
      <c r="CB126" s="24" t="e">
        <f>SUMIFS(#REF!,#REF!,$B126,#REF!,CB$1)</f>
        <v>#REF!</v>
      </c>
      <c r="CC126" s="24" t="e">
        <f>SUMIFS(#REF!,#REF!,$B126,#REF!,CC$1)</f>
        <v>#REF!</v>
      </c>
      <c r="CD126" s="24" t="e">
        <f>SUMIFS(#REF!,#REF!,$B126,#REF!,CD$1)</f>
        <v>#REF!</v>
      </c>
      <c r="CE126" s="24" t="e">
        <f>SUMIFS(#REF!,#REF!,$B126,#REF!,CE$1)</f>
        <v>#REF!</v>
      </c>
      <c r="CF126" s="24" t="e">
        <f>SUMIFS(#REF!,#REF!,$B126,#REF!,CF$1)</f>
        <v>#REF!</v>
      </c>
      <c r="CG126" s="19" t="e">
        <f t="shared" si="1"/>
        <v>#REF!</v>
      </c>
    </row>
    <row r="127" spans="1:85" x14ac:dyDescent="0.45">
      <c r="A127" s="4" t="s">
        <v>1236</v>
      </c>
      <c r="B127" s="4" t="s">
        <v>1237</v>
      </c>
      <c r="C127" s="24" t="e">
        <f>SUMIFS(#REF!,#REF!,$B127,#REF!,C$1)</f>
        <v>#REF!</v>
      </c>
      <c r="D127" s="24" t="e">
        <f>SUMIFS(#REF!,#REF!,$B127,#REF!,D$1)</f>
        <v>#REF!</v>
      </c>
      <c r="E127" s="24" t="e">
        <f>SUMIFS(#REF!,#REF!,$B127,#REF!,E$1)</f>
        <v>#REF!</v>
      </c>
      <c r="F127" s="24" t="e">
        <f>SUMIFS(#REF!,#REF!,$B127,#REF!,F$1)</f>
        <v>#REF!</v>
      </c>
      <c r="G127" s="24" t="e">
        <f>SUMIFS(#REF!,#REF!,$B127,#REF!,G$1)</f>
        <v>#REF!</v>
      </c>
      <c r="H127" s="24" t="e">
        <f>SUMIFS(#REF!,#REF!,$B127,#REF!,H$1)</f>
        <v>#REF!</v>
      </c>
      <c r="I127" s="24" t="e">
        <f>SUMIFS(#REF!,#REF!,$B127,#REF!,I$1)</f>
        <v>#REF!</v>
      </c>
      <c r="J127" s="24" t="e">
        <f>SUMIFS(#REF!,#REF!,$B127,#REF!,J$1)</f>
        <v>#REF!</v>
      </c>
      <c r="K127" s="24" t="e">
        <f>SUMIFS(#REF!,#REF!,$B127,#REF!,K$1)</f>
        <v>#REF!</v>
      </c>
      <c r="L127" s="24" t="e">
        <f>SUMIFS(#REF!,#REF!,$B127,#REF!,L$1)</f>
        <v>#REF!</v>
      </c>
      <c r="M127" s="24" t="e">
        <f>SUMIFS(#REF!,#REF!,$B127,#REF!,M$1)</f>
        <v>#REF!</v>
      </c>
      <c r="N127" s="24" t="e">
        <f>SUMIFS(#REF!,#REF!,$B127,#REF!,N$1)</f>
        <v>#REF!</v>
      </c>
      <c r="O127" s="24" t="e">
        <f>SUMIFS(#REF!,#REF!,$B127,#REF!,O$1)</f>
        <v>#REF!</v>
      </c>
      <c r="P127" s="24" t="e">
        <f>SUMIFS(#REF!,#REF!,$B127,#REF!,P$1)</f>
        <v>#REF!</v>
      </c>
      <c r="Q127" s="24" t="e">
        <f>SUMIFS(#REF!,#REF!,$B127,#REF!,Q$1)</f>
        <v>#REF!</v>
      </c>
      <c r="R127" s="24" t="e">
        <f>SUMIFS(#REF!,#REF!,$B127,#REF!,R$1)</f>
        <v>#REF!</v>
      </c>
      <c r="S127" s="24" t="e">
        <f>SUMIFS(#REF!,#REF!,$B127,#REF!,S$1)</f>
        <v>#REF!</v>
      </c>
      <c r="T127" s="24" t="e">
        <f>SUMIFS(#REF!,#REF!,$B127,#REF!,T$1)</f>
        <v>#REF!</v>
      </c>
      <c r="U127" s="24" t="e">
        <f>SUMIFS(#REF!,#REF!,$B127,#REF!,U$1)</f>
        <v>#REF!</v>
      </c>
      <c r="V127" s="24" t="e">
        <f>SUMIFS(#REF!,#REF!,$B127,#REF!,V$1)</f>
        <v>#REF!</v>
      </c>
      <c r="W127" s="24" t="e">
        <f>SUMIFS(#REF!,#REF!,$B127,#REF!,W$1)</f>
        <v>#REF!</v>
      </c>
      <c r="X127" s="24" t="e">
        <f>SUMIFS(#REF!,#REF!,$B127,#REF!,X$1)</f>
        <v>#REF!</v>
      </c>
      <c r="Y127" s="24" t="e">
        <f>SUMIFS(#REF!,#REF!,$B127,#REF!,Y$1)</f>
        <v>#REF!</v>
      </c>
      <c r="Z127" s="24" t="e">
        <f>SUMIFS(#REF!,#REF!,$B127,#REF!,Z$1)</f>
        <v>#REF!</v>
      </c>
      <c r="AA127" s="24" t="e">
        <f>SUMIFS(#REF!,#REF!,$B127,#REF!,AA$1)</f>
        <v>#REF!</v>
      </c>
      <c r="AB127" s="24" t="e">
        <f>SUMIFS(#REF!,#REF!,$B127,#REF!,AB$1)</f>
        <v>#REF!</v>
      </c>
      <c r="AC127" s="24" t="e">
        <f>SUMIFS(#REF!,#REF!,$B127,#REF!,AC$1)</f>
        <v>#REF!</v>
      </c>
      <c r="AD127" s="24" t="e">
        <f>SUMIFS(#REF!,#REF!,$B127,#REF!,AD$1)</f>
        <v>#REF!</v>
      </c>
      <c r="AE127" s="24" t="e">
        <f>SUMIFS(#REF!,#REF!,$B127,#REF!,AE$1)</f>
        <v>#REF!</v>
      </c>
      <c r="AF127" s="24" t="e">
        <f>SUMIFS(#REF!,#REF!,$B127,#REF!,AF$1)</f>
        <v>#REF!</v>
      </c>
      <c r="AG127" s="24" t="e">
        <f>SUMIFS(#REF!,#REF!,$B127,#REF!,AG$1)</f>
        <v>#REF!</v>
      </c>
      <c r="AH127" s="24" t="e">
        <f>SUMIFS(#REF!,#REF!,$B127,#REF!,AH$1)</f>
        <v>#REF!</v>
      </c>
      <c r="AI127" s="24" t="e">
        <f>SUMIFS(#REF!,#REF!,$B127,#REF!,AI$1)</f>
        <v>#REF!</v>
      </c>
      <c r="AJ127" s="24" t="e">
        <f>SUMIFS(#REF!,#REF!,$B127,#REF!,AJ$1)</f>
        <v>#REF!</v>
      </c>
      <c r="AK127" s="24" t="e">
        <f>SUMIFS(#REF!,#REF!,$B127,#REF!,AK$1)</f>
        <v>#REF!</v>
      </c>
      <c r="AL127" s="24" t="e">
        <f>SUMIFS(#REF!,#REF!,$B127,#REF!,AL$1)</f>
        <v>#REF!</v>
      </c>
      <c r="AM127" s="24" t="e">
        <f>SUMIFS(#REF!,#REF!,$B127,#REF!,AM$1)</f>
        <v>#REF!</v>
      </c>
      <c r="AN127" s="24" t="e">
        <f>SUMIFS(#REF!,#REF!,$B127,#REF!,AN$1)</f>
        <v>#REF!</v>
      </c>
      <c r="AO127" s="24" t="e">
        <f>SUMIFS(#REF!,#REF!,$B127,#REF!,AO$1)</f>
        <v>#REF!</v>
      </c>
      <c r="AP127" s="24" t="e">
        <f>SUMIFS(#REF!,#REF!,$B127,#REF!,AP$1)</f>
        <v>#REF!</v>
      </c>
      <c r="AQ127" s="24" t="e">
        <f>SUMIFS(#REF!,#REF!,$B127,#REF!,AQ$1)</f>
        <v>#REF!</v>
      </c>
      <c r="AR127" s="24" t="e">
        <f>SUMIFS(#REF!,#REF!,$B127,#REF!,AR$1)</f>
        <v>#REF!</v>
      </c>
      <c r="AS127" s="24" t="e">
        <f>SUMIFS(#REF!,#REF!,$B127,#REF!,AS$1)</f>
        <v>#REF!</v>
      </c>
      <c r="AT127" s="24" t="e">
        <f>SUMIFS(#REF!,#REF!,$B127,#REF!,AT$1)</f>
        <v>#REF!</v>
      </c>
      <c r="AU127" s="24" t="e">
        <f>SUMIFS(#REF!,#REF!,$B127,#REF!,AU$1)</f>
        <v>#REF!</v>
      </c>
      <c r="AV127" s="24" t="e">
        <f>SUMIFS(#REF!,#REF!,$B127,#REF!,AV$1)</f>
        <v>#REF!</v>
      </c>
      <c r="AW127" s="24" t="e">
        <f>SUMIFS(#REF!,#REF!,$B127,#REF!,AW$1)</f>
        <v>#REF!</v>
      </c>
      <c r="AX127" s="24" t="e">
        <f>SUMIFS(#REF!,#REF!,$B127,#REF!,AX$1)</f>
        <v>#REF!</v>
      </c>
      <c r="AY127" s="24" t="e">
        <f>SUMIFS(#REF!,#REF!,$B127,#REF!,AY$1)</f>
        <v>#REF!</v>
      </c>
      <c r="AZ127" s="24" t="e">
        <f>SUMIFS(#REF!,#REF!,$B127,#REF!,AZ$1)</f>
        <v>#REF!</v>
      </c>
      <c r="BA127" s="24" t="e">
        <f>SUMIFS(#REF!,#REF!,$B127,#REF!,BA$1)</f>
        <v>#REF!</v>
      </c>
      <c r="BB127" s="24" t="e">
        <f>SUMIFS(#REF!,#REF!,$B127,#REF!,BB$1)</f>
        <v>#REF!</v>
      </c>
      <c r="BC127" s="24" t="e">
        <f>SUMIFS(#REF!,#REF!,$B127,#REF!,BC$1)</f>
        <v>#REF!</v>
      </c>
      <c r="BD127" s="24" t="e">
        <f>SUMIFS(#REF!,#REF!,$B127,#REF!,BD$1)</f>
        <v>#REF!</v>
      </c>
      <c r="BE127" s="24" t="e">
        <f>SUMIFS(#REF!,#REF!,$B127,#REF!,BE$1)</f>
        <v>#REF!</v>
      </c>
      <c r="BF127" s="24" t="e">
        <f>SUMIFS(#REF!,#REF!,$B127,#REF!,BF$1)</f>
        <v>#REF!</v>
      </c>
      <c r="BG127" s="24" t="e">
        <f>SUMIFS(#REF!,#REF!,$B127,#REF!,BG$1)</f>
        <v>#REF!</v>
      </c>
      <c r="BH127" s="24" t="e">
        <f>SUMIFS(#REF!,#REF!,$B127,#REF!,BH$1)</f>
        <v>#REF!</v>
      </c>
      <c r="BI127" s="24" t="e">
        <f>SUMIFS(#REF!,#REF!,$B127,#REF!,BI$1)</f>
        <v>#REF!</v>
      </c>
      <c r="BJ127" s="24" t="e">
        <f>SUMIFS(#REF!,#REF!,$B127,#REF!,BJ$1)</f>
        <v>#REF!</v>
      </c>
      <c r="BK127" s="24" t="e">
        <f>SUMIFS(#REF!,#REF!,$B127,#REF!,BK$1)</f>
        <v>#REF!</v>
      </c>
      <c r="BL127" s="24" t="e">
        <f>SUMIFS(#REF!,#REF!,$B127,#REF!,BL$1)</f>
        <v>#REF!</v>
      </c>
      <c r="BM127" s="24" t="e">
        <f>SUMIFS(#REF!,#REF!,$B127,#REF!,BM$1)</f>
        <v>#REF!</v>
      </c>
      <c r="BN127" s="24" t="e">
        <f>SUMIFS(#REF!,#REF!,$B127,#REF!,BN$1)</f>
        <v>#REF!</v>
      </c>
      <c r="BO127" s="24" t="e">
        <f>SUMIFS(#REF!,#REF!,$B127,#REF!,BO$1)</f>
        <v>#REF!</v>
      </c>
      <c r="BP127" s="24" t="e">
        <f>SUMIFS(#REF!,#REF!,$B127,#REF!,BP$1)</f>
        <v>#REF!</v>
      </c>
      <c r="BQ127" s="24" t="e">
        <f>SUMIFS(#REF!,#REF!,$B127,#REF!,BQ$1)</f>
        <v>#REF!</v>
      </c>
      <c r="BR127" s="24" t="e">
        <f>SUMIFS(#REF!,#REF!,$B127,#REF!,BR$1)</f>
        <v>#REF!</v>
      </c>
      <c r="BS127" s="24" t="e">
        <f>SUMIFS(#REF!,#REF!,$B127,#REF!,BS$1)</f>
        <v>#REF!</v>
      </c>
      <c r="BT127" s="24" t="e">
        <f>SUMIFS(#REF!,#REF!,$B127,#REF!,BT$1)</f>
        <v>#REF!</v>
      </c>
      <c r="BU127" s="24" t="e">
        <f>SUMIFS(#REF!,#REF!,$B127,#REF!,BU$1)</f>
        <v>#REF!</v>
      </c>
      <c r="BV127" s="24" t="e">
        <f>SUMIFS(#REF!,#REF!,$B127,#REF!,BV$1)</f>
        <v>#REF!</v>
      </c>
      <c r="BW127" s="24" t="e">
        <f>SUMIFS(#REF!,#REF!,$B127,#REF!,BW$1)</f>
        <v>#REF!</v>
      </c>
      <c r="BX127" s="24" t="e">
        <f>SUMIFS(#REF!,#REF!,$B127,#REF!,BX$1)</f>
        <v>#REF!</v>
      </c>
      <c r="BY127" s="24" t="e">
        <f>SUMIFS(#REF!,#REF!,$B127,#REF!,BY$1)</f>
        <v>#REF!</v>
      </c>
      <c r="BZ127" s="24" t="e">
        <f>SUMIFS(#REF!,#REF!,$B127,#REF!,BZ$1)</f>
        <v>#REF!</v>
      </c>
      <c r="CA127" s="24" t="e">
        <f>SUMIFS(#REF!,#REF!,$B127,#REF!,CA$1)</f>
        <v>#REF!</v>
      </c>
      <c r="CB127" s="24" t="e">
        <f>SUMIFS(#REF!,#REF!,$B127,#REF!,CB$1)</f>
        <v>#REF!</v>
      </c>
      <c r="CC127" s="24" t="e">
        <f>SUMIFS(#REF!,#REF!,$B127,#REF!,CC$1)</f>
        <v>#REF!</v>
      </c>
      <c r="CD127" s="24" t="e">
        <f>SUMIFS(#REF!,#REF!,$B127,#REF!,CD$1)</f>
        <v>#REF!</v>
      </c>
      <c r="CE127" s="24" t="e">
        <f>SUMIFS(#REF!,#REF!,$B127,#REF!,CE$1)</f>
        <v>#REF!</v>
      </c>
      <c r="CF127" s="24" t="e">
        <f>SUMIFS(#REF!,#REF!,$B127,#REF!,CF$1)</f>
        <v>#REF!</v>
      </c>
      <c r="CG127" s="19" t="e">
        <f t="shared" si="1"/>
        <v>#REF!</v>
      </c>
    </row>
    <row r="128" spans="1:85" x14ac:dyDescent="0.45">
      <c r="A128" s="4" t="s">
        <v>1238</v>
      </c>
      <c r="B128" s="4" t="s">
        <v>1239</v>
      </c>
      <c r="C128" s="24" t="e">
        <f>SUMIFS(#REF!,#REF!,$B128,#REF!,C$1)</f>
        <v>#REF!</v>
      </c>
      <c r="D128" s="24" t="e">
        <f>SUMIFS(#REF!,#REF!,$B128,#REF!,D$1)</f>
        <v>#REF!</v>
      </c>
      <c r="E128" s="24" t="e">
        <f>SUMIFS(#REF!,#REF!,$B128,#REF!,E$1)</f>
        <v>#REF!</v>
      </c>
      <c r="F128" s="24" t="e">
        <f>SUMIFS(#REF!,#REF!,$B128,#REF!,F$1)</f>
        <v>#REF!</v>
      </c>
      <c r="G128" s="24" t="e">
        <f>SUMIFS(#REF!,#REF!,$B128,#REF!,G$1)</f>
        <v>#REF!</v>
      </c>
      <c r="H128" s="24" t="e">
        <f>SUMIFS(#REF!,#REF!,$B128,#REF!,H$1)</f>
        <v>#REF!</v>
      </c>
      <c r="I128" s="24" t="e">
        <f>SUMIFS(#REF!,#REF!,$B128,#REF!,I$1)</f>
        <v>#REF!</v>
      </c>
      <c r="J128" s="24" t="e">
        <f>SUMIFS(#REF!,#REF!,$B128,#REF!,J$1)</f>
        <v>#REF!</v>
      </c>
      <c r="K128" s="24" t="e">
        <f>SUMIFS(#REF!,#REF!,$B128,#REF!,K$1)</f>
        <v>#REF!</v>
      </c>
      <c r="L128" s="24" t="e">
        <f>SUMIFS(#REF!,#REF!,$B128,#REF!,L$1)</f>
        <v>#REF!</v>
      </c>
      <c r="M128" s="24" t="e">
        <f>SUMIFS(#REF!,#REF!,$B128,#REF!,M$1)</f>
        <v>#REF!</v>
      </c>
      <c r="N128" s="24" t="e">
        <f>SUMIFS(#REF!,#REF!,$B128,#REF!,N$1)</f>
        <v>#REF!</v>
      </c>
      <c r="O128" s="24" t="e">
        <f>SUMIFS(#REF!,#REF!,$B128,#REF!,O$1)</f>
        <v>#REF!</v>
      </c>
      <c r="P128" s="24" t="e">
        <f>SUMIFS(#REF!,#REF!,$B128,#REF!,P$1)</f>
        <v>#REF!</v>
      </c>
      <c r="Q128" s="24" t="e">
        <f>SUMIFS(#REF!,#REF!,$B128,#REF!,Q$1)</f>
        <v>#REF!</v>
      </c>
      <c r="R128" s="24" t="e">
        <f>SUMIFS(#REF!,#REF!,$B128,#REF!,R$1)</f>
        <v>#REF!</v>
      </c>
      <c r="S128" s="24" t="e">
        <f>SUMIFS(#REF!,#REF!,$B128,#REF!,S$1)</f>
        <v>#REF!</v>
      </c>
      <c r="T128" s="24" t="e">
        <f>SUMIFS(#REF!,#REF!,$B128,#REF!,T$1)</f>
        <v>#REF!</v>
      </c>
      <c r="U128" s="24" t="e">
        <f>SUMIFS(#REF!,#REF!,$B128,#REF!,U$1)</f>
        <v>#REF!</v>
      </c>
      <c r="V128" s="24" t="e">
        <f>SUMIFS(#REF!,#REF!,$B128,#REF!,V$1)</f>
        <v>#REF!</v>
      </c>
      <c r="W128" s="24" t="e">
        <f>SUMIFS(#REF!,#REF!,$B128,#REF!,W$1)</f>
        <v>#REF!</v>
      </c>
      <c r="X128" s="24" t="e">
        <f>SUMIFS(#REF!,#REF!,$B128,#REF!,X$1)</f>
        <v>#REF!</v>
      </c>
      <c r="Y128" s="24" t="e">
        <f>SUMIFS(#REF!,#REF!,$B128,#REF!,Y$1)</f>
        <v>#REF!</v>
      </c>
      <c r="Z128" s="24" t="e">
        <f>SUMIFS(#REF!,#REF!,$B128,#REF!,Z$1)</f>
        <v>#REF!</v>
      </c>
      <c r="AA128" s="24" t="e">
        <f>SUMIFS(#REF!,#REF!,$B128,#REF!,AA$1)</f>
        <v>#REF!</v>
      </c>
      <c r="AB128" s="24" t="e">
        <f>SUMIFS(#REF!,#REF!,$B128,#REF!,AB$1)</f>
        <v>#REF!</v>
      </c>
      <c r="AC128" s="24" t="e">
        <f>SUMIFS(#REF!,#REF!,$B128,#REF!,AC$1)</f>
        <v>#REF!</v>
      </c>
      <c r="AD128" s="24" t="e">
        <f>SUMIFS(#REF!,#REF!,$B128,#REF!,AD$1)</f>
        <v>#REF!</v>
      </c>
      <c r="AE128" s="24" t="e">
        <f>SUMIFS(#REF!,#REF!,$B128,#REF!,AE$1)</f>
        <v>#REF!</v>
      </c>
      <c r="AF128" s="24" t="e">
        <f>SUMIFS(#REF!,#REF!,$B128,#REF!,AF$1)</f>
        <v>#REF!</v>
      </c>
      <c r="AG128" s="24" t="e">
        <f>SUMIFS(#REF!,#REF!,$B128,#REF!,AG$1)</f>
        <v>#REF!</v>
      </c>
      <c r="AH128" s="24" t="e">
        <f>SUMIFS(#REF!,#REF!,$B128,#REF!,AH$1)</f>
        <v>#REF!</v>
      </c>
      <c r="AI128" s="24" t="e">
        <f>SUMIFS(#REF!,#REF!,$B128,#REF!,AI$1)</f>
        <v>#REF!</v>
      </c>
      <c r="AJ128" s="24" t="e">
        <f>SUMIFS(#REF!,#REF!,$B128,#REF!,AJ$1)</f>
        <v>#REF!</v>
      </c>
      <c r="AK128" s="24" t="e">
        <f>SUMIFS(#REF!,#REF!,$B128,#REF!,AK$1)</f>
        <v>#REF!</v>
      </c>
      <c r="AL128" s="24" t="e">
        <f>SUMIFS(#REF!,#REF!,$B128,#REF!,AL$1)</f>
        <v>#REF!</v>
      </c>
      <c r="AM128" s="24" t="e">
        <f>SUMIFS(#REF!,#REF!,$B128,#REF!,AM$1)</f>
        <v>#REF!</v>
      </c>
      <c r="AN128" s="24" t="e">
        <f>SUMIFS(#REF!,#REF!,$B128,#REF!,AN$1)</f>
        <v>#REF!</v>
      </c>
      <c r="AO128" s="24" t="e">
        <f>SUMIFS(#REF!,#REF!,$B128,#REF!,AO$1)</f>
        <v>#REF!</v>
      </c>
      <c r="AP128" s="24" t="e">
        <f>SUMIFS(#REF!,#REF!,$B128,#REF!,AP$1)</f>
        <v>#REF!</v>
      </c>
      <c r="AQ128" s="24" t="e">
        <f>SUMIFS(#REF!,#REF!,$B128,#REF!,AQ$1)</f>
        <v>#REF!</v>
      </c>
      <c r="AR128" s="24" t="e">
        <f>SUMIFS(#REF!,#REF!,$B128,#REF!,AR$1)</f>
        <v>#REF!</v>
      </c>
      <c r="AS128" s="24" t="e">
        <f>SUMIFS(#REF!,#REF!,$B128,#REF!,AS$1)</f>
        <v>#REF!</v>
      </c>
      <c r="AT128" s="24" t="e">
        <f>SUMIFS(#REF!,#REF!,$B128,#REF!,AT$1)</f>
        <v>#REF!</v>
      </c>
      <c r="AU128" s="24" t="e">
        <f>SUMIFS(#REF!,#REF!,$B128,#REF!,AU$1)</f>
        <v>#REF!</v>
      </c>
      <c r="AV128" s="24" t="e">
        <f>SUMIFS(#REF!,#REF!,$B128,#REF!,AV$1)</f>
        <v>#REF!</v>
      </c>
      <c r="AW128" s="24" t="e">
        <f>SUMIFS(#REF!,#REF!,$B128,#REF!,AW$1)</f>
        <v>#REF!</v>
      </c>
      <c r="AX128" s="24" t="e">
        <f>SUMIFS(#REF!,#REF!,$B128,#REF!,AX$1)</f>
        <v>#REF!</v>
      </c>
      <c r="AY128" s="24" t="e">
        <f>SUMIFS(#REF!,#REF!,$B128,#REF!,AY$1)</f>
        <v>#REF!</v>
      </c>
      <c r="AZ128" s="24" t="e">
        <f>SUMIFS(#REF!,#REF!,$B128,#REF!,AZ$1)</f>
        <v>#REF!</v>
      </c>
      <c r="BA128" s="24" t="e">
        <f>SUMIFS(#REF!,#REF!,$B128,#REF!,BA$1)</f>
        <v>#REF!</v>
      </c>
      <c r="BB128" s="24" t="e">
        <f>SUMIFS(#REF!,#REF!,$B128,#REF!,BB$1)</f>
        <v>#REF!</v>
      </c>
      <c r="BC128" s="24" t="e">
        <f>SUMIFS(#REF!,#REF!,$B128,#REF!,BC$1)</f>
        <v>#REF!</v>
      </c>
      <c r="BD128" s="24" t="e">
        <f>SUMIFS(#REF!,#REF!,$B128,#REF!,BD$1)</f>
        <v>#REF!</v>
      </c>
      <c r="BE128" s="24" t="e">
        <f>SUMIFS(#REF!,#REF!,$B128,#REF!,BE$1)</f>
        <v>#REF!</v>
      </c>
      <c r="BF128" s="24" t="e">
        <f>SUMIFS(#REF!,#REF!,$B128,#REF!,BF$1)</f>
        <v>#REF!</v>
      </c>
      <c r="BG128" s="24" t="e">
        <f>SUMIFS(#REF!,#REF!,$B128,#REF!,BG$1)</f>
        <v>#REF!</v>
      </c>
      <c r="BH128" s="24" t="e">
        <f>SUMIFS(#REF!,#REF!,$B128,#REF!,BH$1)</f>
        <v>#REF!</v>
      </c>
      <c r="BI128" s="24" t="e">
        <f>SUMIFS(#REF!,#REF!,$B128,#REF!,BI$1)</f>
        <v>#REF!</v>
      </c>
      <c r="BJ128" s="24" t="e">
        <f>SUMIFS(#REF!,#REF!,$B128,#REF!,BJ$1)</f>
        <v>#REF!</v>
      </c>
      <c r="BK128" s="24" t="e">
        <f>SUMIFS(#REF!,#REF!,$B128,#REF!,BK$1)</f>
        <v>#REF!</v>
      </c>
      <c r="BL128" s="24" t="e">
        <f>SUMIFS(#REF!,#REF!,$B128,#REF!,BL$1)</f>
        <v>#REF!</v>
      </c>
      <c r="BM128" s="24" t="e">
        <f>SUMIFS(#REF!,#REF!,$B128,#REF!,BM$1)</f>
        <v>#REF!</v>
      </c>
      <c r="BN128" s="24" t="e">
        <f>SUMIFS(#REF!,#REF!,$B128,#REF!,BN$1)</f>
        <v>#REF!</v>
      </c>
      <c r="BO128" s="24" t="e">
        <f>SUMIFS(#REF!,#REF!,$B128,#REF!,BO$1)</f>
        <v>#REF!</v>
      </c>
      <c r="BP128" s="24" t="e">
        <f>SUMIFS(#REF!,#REF!,$B128,#REF!,BP$1)</f>
        <v>#REF!</v>
      </c>
      <c r="BQ128" s="24" t="e">
        <f>SUMIFS(#REF!,#REF!,$B128,#REF!,BQ$1)</f>
        <v>#REF!</v>
      </c>
      <c r="BR128" s="24" t="e">
        <f>SUMIFS(#REF!,#REF!,$B128,#REF!,BR$1)</f>
        <v>#REF!</v>
      </c>
      <c r="BS128" s="24" t="e">
        <f>SUMIFS(#REF!,#REF!,$B128,#REF!,BS$1)</f>
        <v>#REF!</v>
      </c>
      <c r="BT128" s="24" t="e">
        <f>SUMIFS(#REF!,#REF!,$B128,#REF!,BT$1)</f>
        <v>#REF!</v>
      </c>
      <c r="BU128" s="24" t="e">
        <f>SUMIFS(#REF!,#REF!,$B128,#REF!,BU$1)</f>
        <v>#REF!</v>
      </c>
      <c r="BV128" s="24" t="e">
        <f>SUMIFS(#REF!,#REF!,$B128,#REF!,BV$1)</f>
        <v>#REF!</v>
      </c>
      <c r="BW128" s="24" t="e">
        <f>SUMIFS(#REF!,#REF!,$B128,#REF!,BW$1)</f>
        <v>#REF!</v>
      </c>
      <c r="BX128" s="24" t="e">
        <f>SUMIFS(#REF!,#REF!,$B128,#REF!,BX$1)</f>
        <v>#REF!</v>
      </c>
      <c r="BY128" s="24" t="e">
        <f>SUMIFS(#REF!,#REF!,$B128,#REF!,BY$1)</f>
        <v>#REF!</v>
      </c>
      <c r="BZ128" s="24" t="e">
        <f>SUMIFS(#REF!,#REF!,$B128,#REF!,BZ$1)</f>
        <v>#REF!</v>
      </c>
      <c r="CA128" s="24" t="e">
        <f>SUMIFS(#REF!,#REF!,$B128,#REF!,CA$1)</f>
        <v>#REF!</v>
      </c>
      <c r="CB128" s="24" t="e">
        <f>SUMIFS(#REF!,#REF!,$B128,#REF!,CB$1)</f>
        <v>#REF!</v>
      </c>
      <c r="CC128" s="24" t="e">
        <f>SUMIFS(#REF!,#REF!,$B128,#REF!,CC$1)</f>
        <v>#REF!</v>
      </c>
      <c r="CD128" s="24" t="e">
        <f>SUMIFS(#REF!,#REF!,$B128,#REF!,CD$1)</f>
        <v>#REF!</v>
      </c>
      <c r="CE128" s="24" t="e">
        <f>SUMIFS(#REF!,#REF!,$B128,#REF!,CE$1)</f>
        <v>#REF!</v>
      </c>
      <c r="CF128" s="24" t="e">
        <f>SUMIFS(#REF!,#REF!,$B128,#REF!,CF$1)</f>
        <v>#REF!</v>
      </c>
      <c r="CG128" s="19" t="e">
        <f t="shared" si="1"/>
        <v>#REF!</v>
      </c>
    </row>
    <row r="129" spans="1:85" x14ac:dyDescent="0.45">
      <c r="A129" s="4" t="s">
        <v>1240</v>
      </c>
      <c r="B129" s="4" t="s">
        <v>1241</v>
      </c>
      <c r="C129" s="24" t="e">
        <f>SUMIFS(#REF!,#REF!,$B129,#REF!,C$1)</f>
        <v>#REF!</v>
      </c>
      <c r="D129" s="24" t="e">
        <f>SUMIFS(#REF!,#REF!,$B129,#REF!,D$1)</f>
        <v>#REF!</v>
      </c>
      <c r="E129" s="24" t="e">
        <f>SUMIFS(#REF!,#REF!,$B129,#REF!,E$1)</f>
        <v>#REF!</v>
      </c>
      <c r="F129" s="24" t="e">
        <f>SUMIFS(#REF!,#REF!,$B129,#REF!,F$1)</f>
        <v>#REF!</v>
      </c>
      <c r="G129" s="24" t="e">
        <f>SUMIFS(#REF!,#REF!,$B129,#REF!,G$1)</f>
        <v>#REF!</v>
      </c>
      <c r="H129" s="24" t="e">
        <f>SUMIFS(#REF!,#REF!,$B129,#REF!,H$1)</f>
        <v>#REF!</v>
      </c>
      <c r="I129" s="24" t="e">
        <f>SUMIFS(#REF!,#REF!,$B129,#REF!,I$1)</f>
        <v>#REF!</v>
      </c>
      <c r="J129" s="24" t="e">
        <f>SUMIFS(#REF!,#REF!,$B129,#REF!,J$1)</f>
        <v>#REF!</v>
      </c>
      <c r="K129" s="24" t="e">
        <f>SUMIFS(#REF!,#REF!,$B129,#REF!,K$1)</f>
        <v>#REF!</v>
      </c>
      <c r="L129" s="24" t="e">
        <f>SUMIFS(#REF!,#REF!,$B129,#REF!,L$1)</f>
        <v>#REF!</v>
      </c>
      <c r="M129" s="24" t="e">
        <f>SUMIFS(#REF!,#REF!,$B129,#REF!,M$1)</f>
        <v>#REF!</v>
      </c>
      <c r="N129" s="24" t="e">
        <f>SUMIFS(#REF!,#REF!,$B129,#REF!,N$1)</f>
        <v>#REF!</v>
      </c>
      <c r="O129" s="24" t="e">
        <f>SUMIFS(#REF!,#REF!,$B129,#REF!,O$1)</f>
        <v>#REF!</v>
      </c>
      <c r="P129" s="24" t="e">
        <f>SUMIFS(#REF!,#REF!,$B129,#REF!,P$1)</f>
        <v>#REF!</v>
      </c>
      <c r="Q129" s="24" t="e">
        <f>SUMIFS(#REF!,#REF!,$B129,#REF!,Q$1)</f>
        <v>#REF!</v>
      </c>
      <c r="R129" s="24" t="e">
        <f>SUMIFS(#REF!,#REF!,$B129,#REF!,R$1)</f>
        <v>#REF!</v>
      </c>
      <c r="S129" s="24" t="e">
        <f>SUMIFS(#REF!,#REF!,$B129,#REF!,S$1)</f>
        <v>#REF!</v>
      </c>
      <c r="T129" s="24" t="e">
        <f>SUMIFS(#REF!,#REF!,$B129,#REF!,T$1)</f>
        <v>#REF!</v>
      </c>
      <c r="U129" s="24" t="e">
        <f>SUMIFS(#REF!,#REF!,$B129,#REF!,U$1)</f>
        <v>#REF!</v>
      </c>
      <c r="V129" s="24" t="e">
        <f>SUMIFS(#REF!,#REF!,$B129,#REF!,V$1)</f>
        <v>#REF!</v>
      </c>
      <c r="W129" s="24" t="e">
        <f>SUMIFS(#REF!,#REF!,$B129,#REF!,W$1)</f>
        <v>#REF!</v>
      </c>
      <c r="X129" s="24" t="e">
        <f>SUMIFS(#REF!,#REF!,$B129,#REF!,X$1)</f>
        <v>#REF!</v>
      </c>
      <c r="Y129" s="24" t="e">
        <f>SUMIFS(#REF!,#REF!,$B129,#REF!,Y$1)</f>
        <v>#REF!</v>
      </c>
      <c r="Z129" s="24" t="e">
        <f>SUMIFS(#REF!,#REF!,$B129,#REF!,Z$1)</f>
        <v>#REF!</v>
      </c>
      <c r="AA129" s="24" t="e">
        <f>SUMIFS(#REF!,#REF!,$B129,#REF!,AA$1)</f>
        <v>#REF!</v>
      </c>
      <c r="AB129" s="24" t="e">
        <f>SUMIFS(#REF!,#REF!,$B129,#REF!,AB$1)</f>
        <v>#REF!</v>
      </c>
      <c r="AC129" s="24" t="e">
        <f>SUMIFS(#REF!,#REF!,$B129,#REF!,AC$1)</f>
        <v>#REF!</v>
      </c>
      <c r="AD129" s="24" t="e">
        <f>SUMIFS(#REF!,#REF!,$B129,#REF!,AD$1)</f>
        <v>#REF!</v>
      </c>
      <c r="AE129" s="24" t="e">
        <f>SUMIFS(#REF!,#REF!,$B129,#REF!,AE$1)</f>
        <v>#REF!</v>
      </c>
      <c r="AF129" s="24" t="e">
        <f>SUMIFS(#REF!,#REF!,$B129,#REF!,AF$1)</f>
        <v>#REF!</v>
      </c>
      <c r="AG129" s="24" t="e">
        <f>SUMIFS(#REF!,#REF!,$B129,#REF!,AG$1)</f>
        <v>#REF!</v>
      </c>
      <c r="AH129" s="24" t="e">
        <f>SUMIFS(#REF!,#REF!,$B129,#REF!,AH$1)</f>
        <v>#REF!</v>
      </c>
      <c r="AI129" s="24" t="e">
        <f>SUMIFS(#REF!,#REF!,$B129,#REF!,AI$1)</f>
        <v>#REF!</v>
      </c>
      <c r="AJ129" s="24" t="e">
        <f>SUMIFS(#REF!,#REF!,$B129,#REF!,AJ$1)</f>
        <v>#REF!</v>
      </c>
      <c r="AK129" s="24" t="e">
        <f>SUMIFS(#REF!,#REF!,$B129,#REF!,AK$1)</f>
        <v>#REF!</v>
      </c>
      <c r="AL129" s="24" t="e">
        <f>SUMIFS(#REF!,#REF!,$B129,#REF!,AL$1)</f>
        <v>#REF!</v>
      </c>
      <c r="AM129" s="24" t="e">
        <f>SUMIFS(#REF!,#REF!,$B129,#REF!,AM$1)</f>
        <v>#REF!</v>
      </c>
      <c r="AN129" s="24" t="e">
        <f>SUMIFS(#REF!,#REF!,$B129,#REF!,AN$1)</f>
        <v>#REF!</v>
      </c>
      <c r="AO129" s="24" t="e">
        <f>SUMIFS(#REF!,#REF!,$B129,#REF!,AO$1)</f>
        <v>#REF!</v>
      </c>
      <c r="AP129" s="24" t="e">
        <f>SUMIFS(#REF!,#REF!,$B129,#REF!,AP$1)</f>
        <v>#REF!</v>
      </c>
      <c r="AQ129" s="24" t="e">
        <f>SUMIFS(#REF!,#REF!,$B129,#REF!,AQ$1)</f>
        <v>#REF!</v>
      </c>
      <c r="AR129" s="24" t="e">
        <f>SUMIFS(#REF!,#REF!,$B129,#REF!,AR$1)</f>
        <v>#REF!</v>
      </c>
      <c r="AS129" s="24" t="e">
        <f>SUMIFS(#REF!,#REF!,$B129,#REF!,AS$1)</f>
        <v>#REF!</v>
      </c>
      <c r="AT129" s="24" t="e">
        <f>SUMIFS(#REF!,#REF!,$B129,#REF!,AT$1)</f>
        <v>#REF!</v>
      </c>
      <c r="AU129" s="24" t="e">
        <f>SUMIFS(#REF!,#REF!,$B129,#REF!,AU$1)</f>
        <v>#REF!</v>
      </c>
      <c r="AV129" s="24" t="e">
        <f>SUMIFS(#REF!,#REF!,$B129,#REF!,AV$1)</f>
        <v>#REF!</v>
      </c>
      <c r="AW129" s="24" t="e">
        <f>SUMIFS(#REF!,#REF!,$B129,#REF!,AW$1)</f>
        <v>#REF!</v>
      </c>
      <c r="AX129" s="24" t="e">
        <f>SUMIFS(#REF!,#REF!,$B129,#REF!,AX$1)</f>
        <v>#REF!</v>
      </c>
      <c r="AY129" s="24" t="e">
        <f>SUMIFS(#REF!,#REF!,$B129,#REF!,AY$1)</f>
        <v>#REF!</v>
      </c>
      <c r="AZ129" s="24" t="e">
        <f>SUMIFS(#REF!,#REF!,$B129,#REF!,AZ$1)</f>
        <v>#REF!</v>
      </c>
      <c r="BA129" s="24" t="e">
        <f>SUMIFS(#REF!,#REF!,$B129,#REF!,BA$1)</f>
        <v>#REF!</v>
      </c>
      <c r="BB129" s="24" t="e">
        <f>SUMIFS(#REF!,#REF!,$B129,#REF!,BB$1)</f>
        <v>#REF!</v>
      </c>
      <c r="BC129" s="24" t="e">
        <f>SUMIFS(#REF!,#REF!,$B129,#REF!,BC$1)</f>
        <v>#REF!</v>
      </c>
      <c r="BD129" s="24" t="e">
        <f>SUMIFS(#REF!,#REF!,$B129,#REF!,BD$1)</f>
        <v>#REF!</v>
      </c>
      <c r="BE129" s="24" t="e">
        <f>SUMIFS(#REF!,#REF!,$B129,#REF!,BE$1)</f>
        <v>#REF!</v>
      </c>
      <c r="BF129" s="24" t="e">
        <f>SUMIFS(#REF!,#REF!,$B129,#REF!,BF$1)</f>
        <v>#REF!</v>
      </c>
      <c r="BG129" s="24" t="e">
        <f>SUMIFS(#REF!,#REF!,$B129,#REF!,BG$1)</f>
        <v>#REF!</v>
      </c>
      <c r="BH129" s="24" t="e">
        <f>SUMIFS(#REF!,#REF!,$B129,#REF!,BH$1)</f>
        <v>#REF!</v>
      </c>
      <c r="BI129" s="24" t="e">
        <f>SUMIFS(#REF!,#REF!,$B129,#REF!,BI$1)</f>
        <v>#REF!</v>
      </c>
      <c r="BJ129" s="24" t="e">
        <f>SUMIFS(#REF!,#REF!,$B129,#REF!,BJ$1)</f>
        <v>#REF!</v>
      </c>
      <c r="BK129" s="24" t="e">
        <f>SUMIFS(#REF!,#REF!,$B129,#REF!,BK$1)</f>
        <v>#REF!</v>
      </c>
      <c r="BL129" s="24" t="e">
        <f>SUMIFS(#REF!,#REF!,$B129,#REF!,BL$1)</f>
        <v>#REF!</v>
      </c>
      <c r="BM129" s="24" t="e">
        <f>SUMIFS(#REF!,#REF!,$B129,#REF!,BM$1)</f>
        <v>#REF!</v>
      </c>
      <c r="BN129" s="24" t="e">
        <f>SUMIFS(#REF!,#REF!,$B129,#REF!,BN$1)</f>
        <v>#REF!</v>
      </c>
      <c r="BO129" s="24" t="e">
        <f>SUMIFS(#REF!,#REF!,$B129,#REF!,BO$1)</f>
        <v>#REF!</v>
      </c>
      <c r="BP129" s="24" t="e">
        <f>SUMIFS(#REF!,#REF!,$B129,#REF!,BP$1)</f>
        <v>#REF!</v>
      </c>
      <c r="BQ129" s="24" t="e">
        <f>SUMIFS(#REF!,#REF!,$B129,#REF!,BQ$1)</f>
        <v>#REF!</v>
      </c>
      <c r="BR129" s="24" t="e">
        <f>SUMIFS(#REF!,#REF!,$B129,#REF!,BR$1)</f>
        <v>#REF!</v>
      </c>
      <c r="BS129" s="24" t="e">
        <f>SUMIFS(#REF!,#REF!,$B129,#REF!,BS$1)</f>
        <v>#REF!</v>
      </c>
      <c r="BT129" s="24" t="e">
        <f>SUMIFS(#REF!,#REF!,$B129,#REF!,BT$1)</f>
        <v>#REF!</v>
      </c>
      <c r="BU129" s="24" t="e">
        <f>SUMIFS(#REF!,#REF!,$B129,#REF!,BU$1)</f>
        <v>#REF!</v>
      </c>
      <c r="BV129" s="24" t="e">
        <f>SUMIFS(#REF!,#REF!,$B129,#REF!,BV$1)</f>
        <v>#REF!</v>
      </c>
      <c r="BW129" s="24" t="e">
        <f>SUMIFS(#REF!,#REF!,$B129,#REF!,BW$1)</f>
        <v>#REF!</v>
      </c>
      <c r="BX129" s="24" t="e">
        <f>SUMIFS(#REF!,#REF!,$B129,#REF!,BX$1)</f>
        <v>#REF!</v>
      </c>
      <c r="BY129" s="24" t="e">
        <f>SUMIFS(#REF!,#REF!,$B129,#REF!,BY$1)</f>
        <v>#REF!</v>
      </c>
      <c r="BZ129" s="24" t="e">
        <f>SUMIFS(#REF!,#REF!,$B129,#REF!,BZ$1)</f>
        <v>#REF!</v>
      </c>
      <c r="CA129" s="24" t="e">
        <f>SUMIFS(#REF!,#REF!,$B129,#REF!,CA$1)</f>
        <v>#REF!</v>
      </c>
      <c r="CB129" s="24" t="e">
        <f>SUMIFS(#REF!,#REF!,$B129,#REF!,CB$1)</f>
        <v>#REF!</v>
      </c>
      <c r="CC129" s="24" t="e">
        <f>SUMIFS(#REF!,#REF!,$B129,#REF!,CC$1)</f>
        <v>#REF!</v>
      </c>
      <c r="CD129" s="24" t="e">
        <f>SUMIFS(#REF!,#REF!,$B129,#REF!,CD$1)</f>
        <v>#REF!</v>
      </c>
      <c r="CE129" s="24" t="e">
        <f>SUMIFS(#REF!,#REF!,$B129,#REF!,CE$1)</f>
        <v>#REF!</v>
      </c>
      <c r="CF129" s="24" t="e">
        <f>SUMIFS(#REF!,#REF!,$B129,#REF!,CF$1)</f>
        <v>#REF!</v>
      </c>
      <c r="CG129" s="19" t="e">
        <f t="shared" si="1"/>
        <v>#REF!</v>
      </c>
    </row>
    <row r="130" spans="1:85" x14ac:dyDescent="0.45">
      <c r="A130" s="4" t="s">
        <v>1242</v>
      </c>
      <c r="B130" s="4" t="s">
        <v>1243</v>
      </c>
      <c r="C130" s="24" t="e">
        <f>SUMIFS(#REF!,#REF!,$B130,#REF!,C$1)</f>
        <v>#REF!</v>
      </c>
      <c r="D130" s="24" t="e">
        <f>SUMIFS(#REF!,#REF!,$B130,#REF!,D$1)</f>
        <v>#REF!</v>
      </c>
      <c r="E130" s="24" t="e">
        <f>SUMIFS(#REF!,#REF!,$B130,#REF!,E$1)</f>
        <v>#REF!</v>
      </c>
      <c r="F130" s="24" t="e">
        <f>SUMIFS(#REF!,#REF!,$B130,#REF!,F$1)</f>
        <v>#REF!</v>
      </c>
      <c r="G130" s="24" t="e">
        <f>SUMIFS(#REF!,#REF!,$B130,#REF!,G$1)</f>
        <v>#REF!</v>
      </c>
      <c r="H130" s="24" t="e">
        <f>SUMIFS(#REF!,#REF!,$B130,#REF!,H$1)</f>
        <v>#REF!</v>
      </c>
      <c r="I130" s="24" t="e">
        <f>SUMIFS(#REF!,#REF!,$B130,#REF!,I$1)</f>
        <v>#REF!</v>
      </c>
      <c r="J130" s="24" t="e">
        <f>SUMIFS(#REF!,#REF!,$B130,#REF!,J$1)</f>
        <v>#REF!</v>
      </c>
      <c r="K130" s="24" t="e">
        <f>SUMIFS(#REF!,#REF!,$B130,#REF!,K$1)</f>
        <v>#REF!</v>
      </c>
      <c r="L130" s="24" t="e">
        <f>SUMIFS(#REF!,#REF!,$B130,#REF!,L$1)</f>
        <v>#REF!</v>
      </c>
      <c r="M130" s="24" t="e">
        <f>SUMIFS(#REF!,#REF!,$B130,#REF!,M$1)</f>
        <v>#REF!</v>
      </c>
      <c r="N130" s="24" t="e">
        <f>SUMIFS(#REF!,#REF!,$B130,#REF!,N$1)</f>
        <v>#REF!</v>
      </c>
      <c r="O130" s="24" t="e">
        <f>SUMIFS(#REF!,#REF!,$B130,#REF!,O$1)</f>
        <v>#REF!</v>
      </c>
      <c r="P130" s="24" t="e">
        <f>SUMIFS(#REF!,#REF!,$B130,#REF!,P$1)</f>
        <v>#REF!</v>
      </c>
      <c r="Q130" s="24" t="e">
        <f>SUMIFS(#REF!,#REF!,$B130,#REF!,Q$1)</f>
        <v>#REF!</v>
      </c>
      <c r="R130" s="24" t="e">
        <f>SUMIFS(#REF!,#REF!,$B130,#REF!,R$1)</f>
        <v>#REF!</v>
      </c>
      <c r="S130" s="24" t="e">
        <f>SUMIFS(#REF!,#REF!,$B130,#REF!,S$1)</f>
        <v>#REF!</v>
      </c>
      <c r="T130" s="24" t="e">
        <f>SUMIFS(#REF!,#REF!,$B130,#REF!,T$1)</f>
        <v>#REF!</v>
      </c>
      <c r="U130" s="24" t="e">
        <f>SUMIFS(#REF!,#REF!,$B130,#REF!,U$1)</f>
        <v>#REF!</v>
      </c>
      <c r="V130" s="24" t="e">
        <f>SUMIFS(#REF!,#REF!,$B130,#REF!,V$1)</f>
        <v>#REF!</v>
      </c>
      <c r="W130" s="24" t="e">
        <f>SUMIFS(#REF!,#REF!,$B130,#REF!,W$1)</f>
        <v>#REF!</v>
      </c>
      <c r="X130" s="24" t="e">
        <f>SUMIFS(#REF!,#REF!,$B130,#REF!,X$1)</f>
        <v>#REF!</v>
      </c>
      <c r="Y130" s="24" t="e">
        <f>SUMIFS(#REF!,#REF!,$B130,#REF!,Y$1)</f>
        <v>#REF!</v>
      </c>
      <c r="Z130" s="24" t="e">
        <f>SUMIFS(#REF!,#REF!,$B130,#REF!,Z$1)</f>
        <v>#REF!</v>
      </c>
      <c r="AA130" s="24" t="e">
        <f>SUMIFS(#REF!,#REF!,$B130,#REF!,AA$1)</f>
        <v>#REF!</v>
      </c>
      <c r="AB130" s="24" t="e">
        <f>SUMIFS(#REF!,#REF!,$B130,#REF!,AB$1)</f>
        <v>#REF!</v>
      </c>
      <c r="AC130" s="24" t="e">
        <f>SUMIFS(#REF!,#REF!,$B130,#REF!,AC$1)</f>
        <v>#REF!</v>
      </c>
      <c r="AD130" s="24" t="e">
        <f>SUMIFS(#REF!,#REF!,$B130,#REF!,AD$1)</f>
        <v>#REF!</v>
      </c>
      <c r="AE130" s="24" t="e">
        <f>SUMIFS(#REF!,#REF!,$B130,#REF!,AE$1)</f>
        <v>#REF!</v>
      </c>
      <c r="AF130" s="24" t="e">
        <f>SUMIFS(#REF!,#REF!,$B130,#REF!,AF$1)</f>
        <v>#REF!</v>
      </c>
      <c r="AG130" s="24" t="e">
        <f>SUMIFS(#REF!,#REF!,$B130,#REF!,AG$1)</f>
        <v>#REF!</v>
      </c>
      <c r="AH130" s="24" t="e">
        <f>SUMIFS(#REF!,#REF!,$B130,#REF!,AH$1)</f>
        <v>#REF!</v>
      </c>
      <c r="AI130" s="24" t="e">
        <f>SUMIFS(#REF!,#REF!,$B130,#REF!,AI$1)</f>
        <v>#REF!</v>
      </c>
      <c r="AJ130" s="24" t="e">
        <f>SUMIFS(#REF!,#REF!,$B130,#REF!,AJ$1)</f>
        <v>#REF!</v>
      </c>
      <c r="AK130" s="24" t="e">
        <f>SUMIFS(#REF!,#REF!,$B130,#REF!,AK$1)</f>
        <v>#REF!</v>
      </c>
      <c r="AL130" s="24" t="e">
        <f>SUMIFS(#REF!,#REF!,$B130,#REF!,AL$1)</f>
        <v>#REF!</v>
      </c>
      <c r="AM130" s="24" t="e">
        <f>SUMIFS(#REF!,#REF!,$B130,#REF!,AM$1)</f>
        <v>#REF!</v>
      </c>
      <c r="AN130" s="24" t="e">
        <f>SUMIFS(#REF!,#REF!,$B130,#REF!,AN$1)</f>
        <v>#REF!</v>
      </c>
      <c r="AO130" s="24" t="e">
        <f>SUMIFS(#REF!,#REF!,$B130,#REF!,AO$1)</f>
        <v>#REF!</v>
      </c>
      <c r="AP130" s="24" t="e">
        <f>SUMIFS(#REF!,#REF!,$B130,#REF!,AP$1)</f>
        <v>#REF!</v>
      </c>
      <c r="AQ130" s="24" t="e">
        <f>SUMIFS(#REF!,#REF!,$B130,#REF!,AQ$1)</f>
        <v>#REF!</v>
      </c>
      <c r="AR130" s="24" t="e">
        <f>SUMIFS(#REF!,#REF!,$B130,#REF!,AR$1)</f>
        <v>#REF!</v>
      </c>
      <c r="AS130" s="24" t="e">
        <f>SUMIFS(#REF!,#REF!,$B130,#REF!,AS$1)</f>
        <v>#REF!</v>
      </c>
      <c r="AT130" s="24" t="e">
        <f>SUMIFS(#REF!,#REF!,$B130,#REF!,AT$1)</f>
        <v>#REF!</v>
      </c>
      <c r="AU130" s="24" t="e">
        <f>SUMIFS(#REF!,#REF!,$B130,#REF!,AU$1)</f>
        <v>#REF!</v>
      </c>
      <c r="AV130" s="24" t="e">
        <f>SUMIFS(#REF!,#REF!,$B130,#REF!,AV$1)</f>
        <v>#REF!</v>
      </c>
      <c r="AW130" s="24" t="e">
        <f>SUMIFS(#REF!,#REF!,$B130,#REF!,AW$1)</f>
        <v>#REF!</v>
      </c>
      <c r="AX130" s="24" t="e">
        <f>SUMIFS(#REF!,#REF!,$B130,#REF!,AX$1)</f>
        <v>#REF!</v>
      </c>
      <c r="AY130" s="24" t="e">
        <f>SUMIFS(#REF!,#REF!,$B130,#REF!,AY$1)</f>
        <v>#REF!</v>
      </c>
      <c r="AZ130" s="24" t="e">
        <f>SUMIFS(#REF!,#REF!,$B130,#REF!,AZ$1)</f>
        <v>#REF!</v>
      </c>
      <c r="BA130" s="24" t="e">
        <f>SUMIFS(#REF!,#REF!,$B130,#REF!,BA$1)</f>
        <v>#REF!</v>
      </c>
      <c r="BB130" s="24" t="e">
        <f>SUMIFS(#REF!,#REF!,$B130,#REF!,BB$1)</f>
        <v>#REF!</v>
      </c>
      <c r="BC130" s="24" t="e">
        <f>SUMIFS(#REF!,#REF!,$B130,#REF!,BC$1)</f>
        <v>#REF!</v>
      </c>
      <c r="BD130" s="24" t="e">
        <f>SUMIFS(#REF!,#REF!,$B130,#REF!,BD$1)</f>
        <v>#REF!</v>
      </c>
      <c r="BE130" s="24" t="e">
        <f>SUMIFS(#REF!,#REF!,$B130,#REF!,BE$1)</f>
        <v>#REF!</v>
      </c>
      <c r="BF130" s="24" t="e">
        <f>SUMIFS(#REF!,#REF!,$B130,#REF!,BF$1)</f>
        <v>#REF!</v>
      </c>
      <c r="BG130" s="24" t="e">
        <f>SUMIFS(#REF!,#REF!,$B130,#REF!,BG$1)</f>
        <v>#REF!</v>
      </c>
      <c r="BH130" s="24" t="e">
        <f>SUMIFS(#REF!,#REF!,$B130,#REF!,BH$1)</f>
        <v>#REF!</v>
      </c>
      <c r="BI130" s="24" t="e">
        <f>SUMIFS(#REF!,#REF!,$B130,#REF!,BI$1)</f>
        <v>#REF!</v>
      </c>
      <c r="BJ130" s="24" t="e">
        <f>SUMIFS(#REF!,#REF!,$B130,#REF!,BJ$1)</f>
        <v>#REF!</v>
      </c>
      <c r="BK130" s="24" t="e">
        <f>SUMIFS(#REF!,#REF!,$B130,#REF!,BK$1)</f>
        <v>#REF!</v>
      </c>
      <c r="BL130" s="24" t="e">
        <f>SUMIFS(#REF!,#REF!,$B130,#REF!,BL$1)</f>
        <v>#REF!</v>
      </c>
      <c r="BM130" s="24" t="e">
        <f>SUMIFS(#REF!,#REF!,$B130,#REF!,BM$1)</f>
        <v>#REF!</v>
      </c>
      <c r="BN130" s="24" t="e">
        <f>SUMIFS(#REF!,#REF!,$B130,#REF!,BN$1)</f>
        <v>#REF!</v>
      </c>
      <c r="BO130" s="24" t="e">
        <f>SUMIFS(#REF!,#REF!,$B130,#REF!,BO$1)</f>
        <v>#REF!</v>
      </c>
      <c r="BP130" s="24" t="e">
        <f>SUMIFS(#REF!,#REF!,$B130,#REF!,BP$1)</f>
        <v>#REF!</v>
      </c>
      <c r="BQ130" s="24" t="e">
        <f>SUMIFS(#REF!,#REF!,$B130,#REF!,BQ$1)</f>
        <v>#REF!</v>
      </c>
      <c r="BR130" s="24" t="e">
        <f>SUMIFS(#REF!,#REF!,$B130,#REF!,BR$1)</f>
        <v>#REF!</v>
      </c>
      <c r="BS130" s="24" t="e">
        <f>SUMIFS(#REF!,#REF!,$B130,#REF!,BS$1)</f>
        <v>#REF!</v>
      </c>
      <c r="BT130" s="24" t="e">
        <f>SUMIFS(#REF!,#REF!,$B130,#REF!,BT$1)</f>
        <v>#REF!</v>
      </c>
      <c r="BU130" s="24" t="e">
        <f>SUMIFS(#REF!,#REF!,$B130,#REF!,BU$1)</f>
        <v>#REF!</v>
      </c>
      <c r="BV130" s="24" t="e">
        <f>SUMIFS(#REF!,#REF!,$B130,#REF!,BV$1)</f>
        <v>#REF!</v>
      </c>
      <c r="BW130" s="24" t="e">
        <f>SUMIFS(#REF!,#REF!,$B130,#REF!,BW$1)</f>
        <v>#REF!</v>
      </c>
      <c r="BX130" s="24" t="e">
        <f>SUMIFS(#REF!,#REF!,$B130,#REF!,BX$1)</f>
        <v>#REF!</v>
      </c>
      <c r="BY130" s="24" t="e">
        <f>SUMIFS(#REF!,#REF!,$B130,#REF!,BY$1)</f>
        <v>#REF!</v>
      </c>
      <c r="BZ130" s="24" t="e">
        <f>SUMIFS(#REF!,#REF!,$B130,#REF!,BZ$1)</f>
        <v>#REF!</v>
      </c>
      <c r="CA130" s="24" t="e">
        <f>SUMIFS(#REF!,#REF!,$B130,#REF!,CA$1)</f>
        <v>#REF!</v>
      </c>
      <c r="CB130" s="24" t="e">
        <f>SUMIFS(#REF!,#REF!,$B130,#REF!,CB$1)</f>
        <v>#REF!</v>
      </c>
      <c r="CC130" s="24" t="e">
        <f>SUMIFS(#REF!,#REF!,$B130,#REF!,CC$1)</f>
        <v>#REF!</v>
      </c>
      <c r="CD130" s="24" t="e">
        <f>SUMIFS(#REF!,#REF!,$B130,#REF!,CD$1)</f>
        <v>#REF!</v>
      </c>
      <c r="CE130" s="24" t="e">
        <f>SUMIFS(#REF!,#REF!,$B130,#REF!,CE$1)</f>
        <v>#REF!</v>
      </c>
      <c r="CF130" s="24" t="e">
        <f>SUMIFS(#REF!,#REF!,$B130,#REF!,CF$1)</f>
        <v>#REF!</v>
      </c>
      <c r="CG130" s="19" t="e">
        <f t="shared" ref="CG130:CG193" si="2">SUM(C130:CF130)</f>
        <v>#REF!</v>
      </c>
    </row>
    <row r="131" spans="1:85" x14ac:dyDescent="0.45">
      <c r="A131" s="4" t="s">
        <v>1244</v>
      </c>
      <c r="B131" s="4" t="s">
        <v>1245</v>
      </c>
      <c r="C131" s="24" t="e">
        <f>SUMIFS(#REF!,#REF!,$B131,#REF!,C$1)</f>
        <v>#REF!</v>
      </c>
      <c r="D131" s="24" t="e">
        <f>SUMIFS(#REF!,#REF!,$B131,#REF!,D$1)</f>
        <v>#REF!</v>
      </c>
      <c r="E131" s="24" t="e">
        <f>SUMIFS(#REF!,#REF!,$B131,#REF!,E$1)</f>
        <v>#REF!</v>
      </c>
      <c r="F131" s="24" t="e">
        <f>SUMIFS(#REF!,#REF!,$B131,#REF!,F$1)</f>
        <v>#REF!</v>
      </c>
      <c r="G131" s="24" t="e">
        <f>SUMIFS(#REF!,#REF!,$B131,#REF!,G$1)</f>
        <v>#REF!</v>
      </c>
      <c r="H131" s="24" t="e">
        <f>SUMIFS(#REF!,#REF!,$B131,#REF!,H$1)</f>
        <v>#REF!</v>
      </c>
      <c r="I131" s="24" t="e">
        <f>SUMIFS(#REF!,#REF!,$B131,#REF!,I$1)</f>
        <v>#REF!</v>
      </c>
      <c r="J131" s="24" t="e">
        <f>SUMIFS(#REF!,#REF!,$B131,#REF!,J$1)</f>
        <v>#REF!</v>
      </c>
      <c r="K131" s="24" t="e">
        <f>SUMIFS(#REF!,#REF!,$B131,#REF!,K$1)</f>
        <v>#REF!</v>
      </c>
      <c r="L131" s="24" t="e">
        <f>SUMIFS(#REF!,#REF!,$B131,#REF!,L$1)</f>
        <v>#REF!</v>
      </c>
      <c r="M131" s="24" t="e">
        <f>SUMIFS(#REF!,#REF!,$B131,#REF!,M$1)</f>
        <v>#REF!</v>
      </c>
      <c r="N131" s="24" t="e">
        <f>SUMIFS(#REF!,#REF!,$B131,#REF!,N$1)</f>
        <v>#REF!</v>
      </c>
      <c r="O131" s="24" t="e">
        <f>SUMIFS(#REF!,#REF!,$B131,#REF!,O$1)</f>
        <v>#REF!</v>
      </c>
      <c r="P131" s="24" t="e">
        <f>SUMIFS(#REF!,#REF!,$B131,#REF!,P$1)</f>
        <v>#REF!</v>
      </c>
      <c r="Q131" s="24" t="e">
        <f>SUMIFS(#REF!,#REF!,$B131,#REF!,Q$1)</f>
        <v>#REF!</v>
      </c>
      <c r="R131" s="24" t="e">
        <f>SUMIFS(#REF!,#REF!,$B131,#REF!,R$1)</f>
        <v>#REF!</v>
      </c>
      <c r="S131" s="24" t="e">
        <f>SUMIFS(#REF!,#REF!,$B131,#REF!,S$1)</f>
        <v>#REF!</v>
      </c>
      <c r="T131" s="24" t="e">
        <f>SUMIFS(#REF!,#REF!,$B131,#REF!,T$1)</f>
        <v>#REF!</v>
      </c>
      <c r="U131" s="24" t="e">
        <f>SUMIFS(#REF!,#REF!,$B131,#REF!,U$1)</f>
        <v>#REF!</v>
      </c>
      <c r="V131" s="24" t="e">
        <f>SUMIFS(#REF!,#REF!,$B131,#REF!,V$1)</f>
        <v>#REF!</v>
      </c>
      <c r="W131" s="24" t="e">
        <f>SUMIFS(#REF!,#REF!,$B131,#REF!,W$1)</f>
        <v>#REF!</v>
      </c>
      <c r="X131" s="24" t="e">
        <f>SUMIFS(#REF!,#REF!,$B131,#REF!,X$1)</f>
        <v>#REF!</v>
      </c>
      <c r="Y131" s="24" t="e">
        <f>SUMIFS(#REF!,#REF!,$B131,#REF!,Y$1)</f>
        <v>#REF!</v>
      </c>
      <c r="Z131" s="24" t="e">
        <f>SUMIFS(#REF!,#REF!,$B131,#REF!,Z$1)</f>
        <v>#REF!</v>
      </c>
      <c r="AA131" s="24" t="e">
        <f>SUMIFS(#REF!,#REF!,$B131,#REF!,AA$1)</f>
        <v>#REF!</v>
      </c>
      <c r="AB131" s="24" t="e">
        <f>SUMIFS(#REF!,#REF!,$B131,#REF!,AB$1)</f>
        <v>#REF!</v>
      </c>
      <c r="AC131" s="24" t="e">
        <f>SUMIFS(#REF!,#REF!,$B131,#REF!,AC$1)</f>
        <v>#REF!</v>
      </c>
      <c r="AD131" s="24" t="e">
        <f>SUMIFS(#REF!,#REF!,$B131,#REF!,AD$1)</f>
        <v>#REF!</v>
      </c>
      <c r="AE131" s="24" t="e">
        <f>SUMIFS(#REF!,#REF!,$B131,#REF!,AE$1)</f>
        <v>#REF!</v>
      </c>
      <c r="AF131" s="24" t="e">
        <f>SUMIFS(#REF!,#REF!,$B131,#REF!,AF$1)</f>
        <v>#REF!</v>
      </c>
      <c r="AG131" s="24" t="e">
        <f>SUMIFS(#REF!,#REF!,$B131,#REF!,AG$1)</f>
        <v>#REF!</v>
      </c>
      <c r="AH131" s="24" t="e">
        <f>SUMIFS(#REF!,#REF!,$B131,#REF!,AH$1)</f>
        <v>#REF!</v>
      </c>
      <c r="AI131" s="24" t="e">
        <f>SUMIFS(#REF!,#REF!,$B131,#REF!,AI$1)</f>
        <v>#REF!</v>
      </c>
      <c r="AJ131" s="24" t="e">
        <f>SUMIFS(#REF!,#REF!,$B131,#REF!,AJ$1)</f>
        <v>#REF!</v>
      </c>
      <c r="AK131" s="24" t="e">
        <f>SUMIFS(#REF!,#REF!,$B131,#REF!,AK$1)</f>
        <v>#REF!</v>
      </c>
      <c r="AL131" s="24" t="e">
        <f>SUMIFS(#REF!,#REF!,$B131,#REF!,AL$1)</f>
        <v>#REF!</v>
      </c>
      <c r="AM131" s="24" t="e">
        <f>SUMIFS(#REF!,#REF!,$B131,#REF!,AM$1)</f>
        <v>#REF!</v>
      </c>
      <c r="AN131" s="24" t="e">
        <f>SUMIFS(#REF!,#REF!,$B131,#REF!,AN$1)</f>
        <v>#REF!</v>
      </c>
      <c r="AO131" s="24" t="e">
        <f>SUMIFS(#REF!,#REF!,$B131,#REF!,AO$1)</f>
        <v>#REF!</v>
      </c>
      <c r="AP131" s="24" t="e">
        <f>SUMIFS(#REF!,#REF!,$B131,#REF!,AP$1)</f>
        <v>#REF!</v>
      </c>
      <c r="AQ131" s="24" t="e">
        <f>SUMIFS(#REF!,#REF!,$B131,#REF!,AQ$1)</f>
        <v>#REF!</v>
      </c>
      <c r="AR131" s="24" t="e">
        <f>SUMIFS(#REF!,#REF!,$B131,#REF!,AR$1)</f>
        <v>#REF!</v>
      </c>
      <c r="AS131" s="24" t="e">
        <f>SUMIFS(#REF!,#REF!,$B131,#REF!,AS$1)</f>
        <v>#REF!</v>
      </c>
      <c r="AT131" s="24" t="e">
        <f>SUMIFS(#REF!,#REF!,$B131,#REF!,AT$1)</f>
        <v>#REF!</v>
      </c>
      <c r="AU131" s="24" t="e">
        <f>SUMIFS(#REF!,#REF!,$B131,#REF!,AU$1)</f>
        <v>#REF!</v>
      </c>
      <c r="AV131" s="24" t="e">
        <f>SUMIFS(#REF!,#REF!,$B131,#REF!,AV$1)</f>
        <v>#REF!</v>
      </c>
      <c r="AW131" s="24" t="e">
        <f>SUMIFS(#REF!,#REF!,$B131,#REF!,AW$1)</f>
        <v>#REF!</v>
      </c>
      <c r="AX131" s="24" t="e">
        <f>SUMIFS(#REF!,#REF!,$B131,#REF!,AX$1)</f>
        <v>#REF!</v>
      </c>
      <c r="AY131" s="24" t="e">
        <f>SUMIFS(#REF!,#REF!,$B131,#REF!,AY$1)</f>
        <v>#REF!</v>
      </c>
      <c r="AZ131" s="24" t="e">
        <f>SUMIFS(#REF!,#REF!,$B131,#REF!,AZ$1)</f>
        <v>#REF!</v>
      </c>
      <c r="BA131" s="24" t="e">
        <f>SUMIFS(#REF!,#REF!,$B131,#REF!,BA$1)</f>
        <v>#REF!</v>
      </c>
      <c r="BB131" s="24" t="e">
        <f>SUMIFS(#REF!,#REF!,$B131,#REF!,BB$1)</f>
        <v>#REF!</v>
      </c>
      <c r="BC131" s="24" t="e">
        <f>SUMIFS(#REF!,#REF!,$B131,#REF!,BC$1)</f>
        <v>#REF!</v>
      </c>
      <c r="BD131" s="24" t="e">
        <f>SUMIFS(#REF!,#REF!,$B131,#REF!,BD$1)</f>
        <v>#REF!</v>
      </c>
      <c r="BE131" s="24" t="e">
        <f>SUMIFS(#REF!,#REF!,$B131,#REF!,BE$1)</f>
        <v>#REF!</v>
      </c>
      <c r="BF131" s="24" t="e">
        <f>SUMIFS(#REF!,#REF!,$B131,#REF!,BF$1)</f>
        <v>#REF!</v>
      </c>
      <c r="BG131" s="24" t="e">
        <f>SUMIFS(#REF!,#REF!,$B131,#REF!,BG$1)</f>
        <v>#REF!</v>
      </c>
      <c r="BH131" s="24" t="e">
        <f>SUMIFS(#REF!,#REF!,$B131,#REF!,BH$1)</f>
        <v>#REF!</v>
      </c>
      <c r="BI131" s="24" t="e">
        <f>SUMIFS(#REF!,#REF!,$B131,#REF!,BI$1)</f>
        <v>#REF!</v>
      </c>
      <c r="BJ131" s="24" t="e">
        <f>SUMIFS(#REF!,#REF!,$B131,#REF!,BJ$1)</f>
        <v>#REF!</v>
      </c>
      <c r="BK131" s="24" t="e">
        <f>SUMIFS(#REF!,#REF!,$B131,#REF!,BK$1)</f>
        <v>#REF!</v>
      </c>
      <c r="BL131" s="24" t="e">
        <f>SUMIFS(#REF!,#REF!,$B131,#REF!,BL$1)</f>
        <v>#REF!</v>
      </c>
      <c r="BM131" s="24" t="e">
        <f>SUMIFS(#REF!,#REF!,$B131,#REF!,BM$1)</f>
        <v>#REF!</v>
      </c>
      <c r="BN131" s="24" t="e">
        <f>SUMIFS(#REF!,#REF!,$B131,#REF!,BN$1)</f>
        <v>#REF!</v>
      </c>
      <c r="BO131" s="24" t="e">
        <f>SUMIFS(#REF!,#REF!,$B131,#REF!,BO$1)</f>
        <v>#REF!</v>
      </c>
      <c r="BP131" s="24" t="e">
        <f>SUMIFS(#REF!,#REF!,$B131,#REF!,BP$1)</f>
        <v>#REF!</v>
      </c>
      <c r="BQ131" s="24" t="e">
        <f>SUMIFS(#REF!,#REF!,$B131,#REF!,BQ$1)</f>
        <v>#REF!</v>
      </c>
      <c r="BR131" s="24" t="e">
        <f>SUMIFS(#REF!,#REF!,$B131,#REF!,BR$1)</f>
        <v>#REF!</v>
      </c>
      <c r="BS131" s="24" t="e">
        <f>SUMIFS(#REF!,#REF!,$B131,#REF!,BS$1)</f>
        <v>#REF!</v>
      </c>
      <c r="BT131" s="24" t="e">
        <f>SUMIFS(#REF!,#REF!,$B131,#REF!,BT$1)</f>
        <v>#REF!</v>
      </c>
      <c r="BU131" s="24" t="e">
        <f>SUMIFS(#REF!,#REF!,$B131,#REF!,BU$1)</f>
        <v>#REF!</v>
      </c>
      <c r="BV131" s="24" t="e">
        <f>SUMIFS(#REF!,#REF!,$B131,#REF!,BV$1)</f>
        <v>#REF!</v>
      </c>
      <c r="BW131" s="24" t="e">
        <f>SUMIFS(#REF!,#REF!,$B131,#REF!,BW$1)</f>
        <v>#REF!</v>
      </c>
      <c r="BX131" s="24" t="e">
        <f>SUMIFS(#REF!,#REF!,$B131,#REF!,BX$1)</f>
        <v>#REF!</v>
      </c>
      <c r="BY131" s="24" t="e">
        <f>SUMIFS(#REF!,#REF!,$B131,#REF!,BY$1)</f>
        <v>#REF!</v>
      </c>
      <c r="BZ131" s="24" t="e">
        <f>SUMIFS(#REF!,#REF!,$B131,#REF!,BZ$1)</f>
        <v>#REF!</v>
      </c>
      <c r="CA131" s="24" t="e">
        <f>SUMIFS(#REF!,#REF!,$B131,#REF!,CA$1)</f>
        <v>#REF!</v>
      </c>
      <c r="CB131" s="24" t="e">
        <f>SUMIFS(#REF!,#REF!,$B131,#REF!,CB$1)</f>
        <v>#REF!</v>
      </c>
      <c r="CC131" s="24" t="e">
        <f>SUMIFS(#REF!,#REF!,$B131,#REF!,CC$1)</f>
        <v>#REF!</v>
      </c>
      <c r="CD131" s="24" t="e">
        <f>SUMIFS(#REF!,#REF!,$B131,#REF!,CD$1)</f>
        <v>#REF!</v>
      </c>
      <c r="CE131" s="24" t="e">
        <f>SUMIFS(#REF!,#REF!,$B131,#REF!,CE$1)</f>
        <v>#REF!</v>
      </c>
      <c r="CF131" s="24" t="e">
        <f>SUMIFS(#REF!,#REF!,$B131,#REF!,CF$1)</f>
        <v>#REF!</v>
      </c>
      <c r="CG131" s="19" t="e">
        <f t="shared" si="2"/>
        <v>#REF!</v>
      </c>
    </row>
    <row r="132" spans="1:85" x14ac:dyDescent="0.45">
      <c r="A132" s="4" t="s">
        <v>1246</v>
      </c>
      <c r="B132" s="4" t="s">
        <v>1247</v>
      </c>
      <c r="C132" s="24" t="e">
        <f>SUMIFS(#REF!,#REF!,$B132,#REF!,C$1)</f>
        <v>#REF!</v>
      </c>
      <c r="D132" s="24" t="e">
        <f>SUMIFS(#REF!,#REF!,$B132,#REF!,D$1)</f>
        <v>#REF!</v>
      </c>
      <c r="E132" s="24" t="e">
        <f>SUMIFS(#REF!,#REF!,$B132,#REF!,E$1)</f>
        <v>#REF!</v>
      </c>
      <c r="F132" s="24" t="e">
        <f>SUMIFS(#REF!,#REF!,$B132,#REF!,F$1)</f>
        <v>#REF!</v>
      </c>
      <c r="G132" s="24" t="e">
        <f>SUMIFS(#REF!,#REF!,$B132,#REF!,G$1)</f>
        <v>#REF!</v>
      </c>
      <c r="H132" s="24" t="e">
        <f>SUMIFS(#REF!,#REF!,$B132,#REF!,H$1)</f>
        <v>#REF!</v>
      </c>
      <c r="I132" s="24" t="e">
        <f>SUMIFS(#REF!,#REF!,$B132,#REF!,I$1)</f>
        <v>#REF!</v>
      </c>
      <c r="J132" s="24" t="e">
        <f>SUMIFS(#REF!,#REF!,$B132,#REF!,J$1)</f>
        <v>#REF!</v>
      </c>
      <c r="K132" s="24" t="e">
        <f>SUMIFS(#REF!,#REF!,$B132,#REF!,K$1)</f>
        <v>#REF!</v>
      </c>
      <c r="L132" s="24" t="e">
        <f>SUMIFS(#REF!,#REF!,$B132,#REF!,L$1)</f>
        <v>#REF!</v>
      </c>
      <c r="M132" s="24" t="e">
        <f>SUMIFS(#REF!,#REF!,$B132,#REF!,M$1)</f>
        <v>#REF!</v>
      </c>
      <c r="N132" s="24" t="e">
        <f>SUMIFS(#REF!,#REF!,$B132,#REF!,N$1)</f>
        <v>#REF!</v>
      </c>
      <c r="O132" s="24" t="e">
        <f>SUMIFS(#REF!,#REF!,$B132,#REF!,O$1)</f>
        <v>#REF!</v>
      </c>
      <c r="P132" s="24" t="e">
        <f>SUMIFS(#REF!,#REF!,$B132,#REF!,P$1)</f>
        <v>#REF!</v>
      </c>
      <c r="Q132" s="24" t="e">
        <f>SUMIFS(#REF!,#REF!,$B132,#REF!,Q$1)</f>
        <v>#REF!</v>
      </c>
      <c r="R132" s="24" t="e">
        <f>SUMIFS(#REF!,#REF!,$B132,#REF!,R$1)</f>
        <v>#REF!</v>
      </c>
      <c r="S132" s="24" t="e">
        <f>SUMIFS(#REF!,#REF!,$B132,#REF!,S$1)</f>
        <v>#REF!</v>
      </c>
      <c r="T132" s="24" t="e">
        <f>SUMIFS(#REF!,#REF!,$B132,#REF!,T$1)</f>
        <v>#REF!</v>
      </c>
      <c r="U132" s="24" t="e">
        <f>SUMIFS(#REF!,#REF!,$B132,#REF!,U$1)</f>
        <v>#REF!</v>
      </c>
      <c r="V132" s="24" t="e">
        <f>SUMIFS(#REF!,#REF!,$B132,#REF!,V$1)</f>
        <v>#REF!</v>
      </c>
      <c r="W132" s="24" t="e">
        <f>SUMIFS(#REF!,#REF!,$B132,#REF!,W$1)</f>
        <v>#REF!</v>
      </c>
      <c r="X132" s="24" t="e">
        <f>SUMIFS(#REF!,#REF!,$B132,#REF!,X$1)</f>
        <v>#REF!</v>
      </c>
      <c r="Y132" s="24" t="e">
        <f>SUMIFS(#REF!,#REF!,$B132,#REF!,Y$1)</f>
        <v>#REF!</v>
      </c>
      <c r="Z132" s="24" t="e">
        <f>SUMIFS(#REF!,#REF!,$B132,#REF!,Z$1)</f>
        <v>#REF!</v>
      </c>
      <c r="AA132" s="24" t="e">
        <f>SUMIFS(#REF!,#REF!,$B132,#REF!,AA$1)</f>
        <v>#REF!</v>
      </c>
      <c r="AB132" s="24" t="e">
        <f>SUMIFS(#REF!,#REF!,$B132,#REF!,AB$1)</f>
        <v>#REF!</v>
      </c>
      <c r="AC132" s="24" t="e">
        <f>SUMIFS(#REF!,#REF!,$B132,#REF!,AC$1)</f>
        <v>#REF!</v>
      </c>
      <c r="AD132" s="24" t="e">
        <f>SUMIFS(#REF!,#REF!,$B132,#REF!,AD$1)</f>
        <v>#REF!</v>
      </c>
      <c r="AE132" s="24" t="e">
        <f>SUMIFS(#REF!,#REF!,$B132,#REF!,AE$1)</f>
        <v>#REF!</v>
      </c>
      <c r="AF132" s="24" t="e">
        <f>SUMIFS(#REF!,#REF!,$B132,#REF!,AF$1)</f>
        <v>#REF!</v>
      </c>
      <c r="AG132" s="24" t="e">
        <f>SUMIFS(#REF!,#REF!,$B132,#REF!,AG$1)</f>
        <v>#REF!</v>
      </c>
      <c r="AH132" s="24" t="e">
        <f>SUMIFS(#REF!,#REF!,$B132,#REF!,AH$1)</f>
        <v>#REF!</v>
      </c>
      <c r="AI132" s="24" t="e">
        <f>SUMIFS(#REF!,#REF!,$B132,#REF!,AI$1)</f>
        <v>#REF!</v>
      </c>
      <c r="AJ132" s="24" t="e">
        <f>SUMIFS(#REF!,#REF!,$B132,#REF!,AJ$1)</f>
        <v>#REF!</v>
      </c>
      <c r="AK132" s="24" t="e">
        <f>SUMIFS(#REF!,#REF!,$B132,#REF!,AK$1)</f>
        <v>#REF!</v>
      </c>
      <c r="AL132" s="24" t="e">
        <f>SUMIFS(#REF!,#REF!,$B132,#REF!,AL$1)</f>
        <v>#REF!</v>
      </c>
      <c r="AM132" s="24" t="e">
        <f>SUMIFS(#REF!,#REF!,$B132,#REF!,AM$1)</f>
        <v>#REF!</v>
      </c>
      <c r="AN132" s="24" t="e">
        <f>SUMIFS(#REF!,#REF!,$B132,#REF!,AN$1)</f>
        <v>#REF!</v>
      </c>
      <c r="AO132" s="24" t="e">
        <f>SUMIFS(#REF!,#REF!,$B132,#REF!,AO$1)</f>
        <v>#REF!</v>
      </c>
      <c r="AP132" s="24" t="e">
        <f>SUMIFS(#REF!,#REF!,$B132,#REF!,AP$1)</f>
        <v>#REF!</v>
      </c>
      <c r="AQ132" s="24" t="e">
        <f>SUMIFS(#REF!,#REF!,$B132,#REF!,AQ$1)</f>
        <v>#REF!</v>
      </c>
      <c r="AR132" s="24" t="e">
        <f>SUMIFS(#REF!,#REF!,$B132,#REF!,AR$1)</f>
        <v>#REF!</v>
      </c>
      <c r="AS132" s="24" t="e">
        <f>SUMIFS(#REF!,#REF!,$B132,#REF!,AS$1)</f>
        <v>#REF!</v>
      </c>
      <c r="AT132" s="24" t="e">
        <f>SUMIFS(#REF!,#REF!,$B132,#REF!,AT$1)</f>
        <v>#REF!</v>
      </c>
      <c r="AU132" s="24" t="e">
        <f>SUMIFS(#REF!,#REF!,$B132,#REF!,AU$1)</f>
        <v>#REF!</v>
      </c>
      <c r="AV132" s="24" t="e">
        <f>SUMIFS(#REF!,#REF!,$B132,#REF!,AV$1)</f>
        <v>#REF!</v>
      </c>
      <c r="AW132" s="24" t="e">
        <f>SUMIFS(#REF!,#REF!,$B132,#REF!,AW$1)</f>
        <v>#REF!</v>
      </c>
      <c r="AX132" s="24" t="e">
        <f>SUMIFS(#REF!,#REF!,$B132,#REF!,AX$1)</f>
        <v>#REF!</v>
      </c>
      <c r="AY132" s="24" t="e">
        <f>SUMIFS(#REF!,#REF!,$B132,#REF!,AY$1)</f>
        <v>#REF!</v>
      </c>
      <c r="AZ132" s="24" t="e">
        <f>SUMIFS(#REF!,#REF!,$B132,#REF!,AZ$1)</f>
        <v>#REF!</v>
      </c>
      <c r="BA132" s="24" t="e">
        <f>SUMIFS(#REF!,#REF!,$B132,#REF!,BA$1)</f>
        <v>#REF!</v>
      </c>
      <c r="BB132" s="24" t="e">
        <f>SUMIFS(#REF!,#REF!,$B132,#REF!,BB$1)</f>
        <v>#REF!</v>
      </c>
      <c r="BC132" s="24" t="e">
        <f>SUMIFS(#REF!,#REF!,$B132,#REF!,BC$1)</f>
        <v>#REF!</v>
      </c>
      <c r="BD132" s="24" t="e">
        <f>SUMIFS(#REF!,#REF!,$B132,#REF!,BD$1)</f>
        <v>#REF!</v>
      </c>
      <c r="BE132" s="24" t="e">
        <f>SUMIFS(#REF!,#REF!,$B132,#REF!,BE$1)</f>
        <v>#REF!</v>
      </c>
      <c r="BF132" s="24" t="e">
        <f>SUMIFS(#REF!,#REF!,$B132,#REF!,BF$1)</f>
        <v>#REF!</v>
      </c>
      <c r="BG132" s="24" t="e">
        <f>SUMIFS(#REF!,#REF!,$B132,#REF!,BG$1)</f>
        <v>#REF!</v>
      </c>
      <c r="BH132" s="24" t="e">
        <f>SUMIFS(#REF!,#REF!,$B132,#REF!,BH$1)</f>
        <v>#REF!</v>
      </c>
      <c r="BI132" s="24" t="e">
        <f>SUMIFS(#REF!,#REF!,$B132,#REF!,BI$1)</f>
        <v>#REF!</v>
      </c>
      <c r="BJ132" s="24" t="e">
        <f>SUMIFS(#REF!,#REF!,$B132,#REF!,BJ$1)</f>
        <v>#REF!</v>
      </c>
      <c r="BK132" s="24" t="e">
        <f>SUMIFS(#REF!,#REF!,$B132,#REF!,BK$1)</f>
        <v>#REF!</v>
      </c>
      <c r="BL132" s="24" t="e">
        <f>SUMIFS(#REF!,#REF!,$B132,#REF!,BL$1)</f>
        <v>#REF!</v>
      </c>
      <c r="BM132" s="24" t="e">
        <f>SUMIFS(#REF!,#REF!,$B132,#REF!,BM$1)</f>
        <v>#REF!</v>
      </c>
      <c r="BN132" s="24" t="e">
        <f>SUMIFS(#REF!,#REF!,$B132,#REF!,BN$1)</f>
        <v>#REF!</v>
      </c>
      <c r="BO132" s="24" t="e">
        <f>SUMIFS(#REF!,#REF!,$B132,#REF!,BO$1)</f>
        <v>#REF!</v>
      </c>
      <c r="BP132" s="24" t="e">
        <f>SUMIFS(#REF!,#REF!,$B132,#REF!,BP$1)</f>
        <v>#REF!</v>
      </c>
      <c r="BQ132" s="24" t="e">
        <f>SUMIFS(#REF!,#REF!,$B132,#REF!,BQ$1)</f>
        <v>#REF!</v>
      </c>
      <c r="BR132" s="24" t="e">
        <f>SUMIFS(#REF!,#REF!,$B132,#REF!,BR$1)</f>
        <v>#REF!</v>
      </c>
      <c r="BS132" s="24" t="e">
        <f>SUMIFS(#REF!,#REF!,$B132,#REF!,BS$1)</f>
        <v>#REF!</v>
      </c>
      <c r="BT132" s="24" t="e">
        <f>SUMIFS(#REF!,#REF!,$B132,#REF!,BT$1)</f>
        <v>#REF!</v>
      </c>
      <c r="BU132" s="24" t="e">
        <f>SUMIFS(#REF!,#REF!,$B132,#REF!,BU$1)</f>
        <v>#REF!</v>
      </c>
      <c r="BV132" s="24" t="e">
        <f>SUMIFS(#REF!,#REF!,$B132,#REF!,BV$1)</f>
        <v>#REF!</v>
      </c>
      <c r="BW132" s="24" t="e">
        <f>SUMIFS(#REF!,#REF!,$B132,#REF!,BW$1)</f>
        <v>#REF!</v>
      </c>
      <c r="BX132" s="24" t="e">
        <f>SUMIFS(#REF!,#REF!,$B132,#REF!,BX$1)</f>
        <v>#REF!</v>
      </c>
      <c r="BY132" s="24" t="e">
        <f>SUMIFS(#REF!,#REF!,$B132,#REF!,BY$1)</f>
        <v>#REF!</v>
      </c>
      <c r="BZ132" s="24" t="e">
        <f>SUMIFS(#REF!,#REF!,$B132,#REF!,BZ$1)</f>
        <v>#REF!</v>
      </c>
      <c r="CA132" s="24" t="e">
        <f>SUMIFS(#REF!,#REF!,$B132,#REF!,CA$1)</f>
        <v>#REF!</v>
      </c>
      <c r="CB132" s="24" t="e">
        <f>SUMIFS(#REF!,#REF!,$B132,#REF!,CB$1)</f>
        <v>#REF!</v>
      </c>
      <c r="CC132" s="24" t="e">
        <f>SUMIFS(#REF!,#REF!,$B132,#REF!,CC$1)</f>
        <v>#REF!</v>
      </c>
      <c r="CD132" s="24" t="e">
        <f>SUMIFS(#REF!,#REF!,$B132,#REF!,CD$1)</f>
        <v>#REF!</v>
      </c>
      <c r="CE132" s="24" t="e">
        <f>SUMIFS(#REF!,#REF!,$B132,#REF!,CE$1)</f>
        <v>#REF!</v>
      </c>
      <c r="CF132" s="24" t="e">
        <f>SUMIFS(#REF!,#REF!,$B132,#REF!,CF$1)</f>
        <v>#REF!</v>
      </c>
      <c r="CG132" s="19" t="e">
        <f t="shared" si="2"/>
        <v>#REF!</v>
      </c>
    </row>
    <row r="133" spans="1:85" x14ac:dyDescent="0.45">
      <c r="A133" s="4" t="s">
        <v>1248</v>
      </c>
      <c r="B133" s="4" t="s">
        <v>1249</v>
      </c>
      <c r="C133" s="24" t="e">
        <f>SUMIFS(#REF!,#REF!,$B133,#REF!,C$1)</f>
        <v>#REF!</v>
      </c>
      <c r="D133" s="24" t="e">
        <f>SUMIFS(#REF!,#REF!,$B133,#REF!,D$1)</f>
        <v>#REF!</v>
      </c>
      <c r="E133" s="24" t="e">
        <f>SUMIFS(#REF!,#REF!,$B133,#REF!,E$1)</f>
        <v>#REF!</v>
      </c>
      <c r="F133" s="24" t="e">
        <f>SUMIFS(#REF!,#REF!,$B133,#REF!,F$1)</f>
        <v>#REF!</v>
      </c>
      <c r="G133" s="24" t="e">
        <f>SUMIFS(#REF!,#REF!,$B133,#REF!,G$1)</f>
        <v>#REF!</v>
      </c>
      <c r="H133" s="24" t="e">
        <f>SUMIFS(#REF!,#REF!,$B133,#REF!,H$1)</f>
        <v>#REF!</v>
      </c>
      <c r="I133" s="24" t="e">
        <f>SUMIFS(#REF!,#REF!,$B133,#REF!,I$1)</f>
        <v>#REF!</v>
      </c>
      <c r="J133" s="24" t="e">
        <f>SUMIFS(#REF!,#REF!,$B133,#REF!,J$1)</f>
        <v>#REF!</v>
      </c>
      <c r="K133" s="24" t="e">
        <f>SUMIFS(#REF!,#REF!,$B133,#REF!,K$1)</f>
        <v>#REF!</v>
      </c>
      <c r="L133" s="24" t="e">
        <f>SUMIFS(#REF!,#REF!,$B133,#REF!,L$1)</f>
        <v>#REF!</v>
      </c>
      <c r="M133" s="24" t="e">
        <f>SUMIFS(#REF!,#REF!,$B133,#REF!,M$1)</f>
        <v>#REF!</v>
      </c>
      <c r="N133" s="24" t="e">
        <f>SUMIFS(#REF!,#REF!,$B133,#REF!,N$1)</f>
        <v>#REF!</v>
      </c>
      <c r="O133" s="24" t="e">
        <f>SUMIFS(#REF!,#REF!,$B133,#REF!,O$1)</f>
        <v>#REF!</v>
      </c>
      <c r="P133" s="24" t="e">
        <f>SUMIFS(#REF!,#REF!,$B133,#REF!,P$1)</f>
        <v>#REF!</v>
      </c>
      <c r="Q133" s="24" t="e">
        <f>SUMIFS(#REF!,#REF!,$B133,#REF!,Q$1)</f>
        <v>#REF!</v>
      </c>
      <c r="R133" s="24" t="e">
        <f>SUMIFS(#REF!,#REF!,$B133,#REF!,R$1)</f>
        <v>#REF!</v>
      </c>
      <c r="S133" s="24" t="e">
        <f>SUMIFS(#REF!,#REF!,$B133,#REF!,S$1)</f>
        <v>#REF!</v>
      </c>
      <c r="T133" s="24" t="e">
        <f>SUMIFS(#REF!,#REF!,$B133,#REF!,T$1)</f>
        <v>#REF!</v>
      </c>
      <c r="U133" s="24" t="e">
        <f>SUMIFS(#REF!,#REF!,$B133,#REF!,U$1)</f>
        <v>#REF!</v>
      </c>
      <c r="V133" s="24" t="e">
        <f>SUMIFS(#REF!,#REF!,$B133,#REF!,V$1)</f>
        <v>#REF!</v>
      </c>
      <c r="W133" s="24" t="e">
        <f>SUMIFS(#REF!,#REF!,$B133,#REF!,W$1)</f>
        <v>#REF!</v>
      </c>
      <c r="X133" s="24" t="e">
        <f>SUMIFS(#REF!,#REF!,$B133,#REF!,X$1)</f>
        <v>#REF!</v>
      </c>
      <c r="Y133" s="24" t="e">
        <f>SUMIFS(#REF!,#REF!,$B133,#REF!,Y$1)</f>
        <v>#REF!</v>
      </c>
      <c r="Z133" s="24" t="e">
        <f>SUMIFS(#REF!,#REF!,$B133,#REF!,Z$1)</f>
        <v>#REF!</v>
      </c>
      <c r="AA133" s="24" t="e">
        <f>SUMIFS(#REF!,#REF!,$B133,#REF!,AA$1)</f>
        <v>#REF!</v>
      </c>
      <c r="AB133" s="24" t="e">
        <f>SUMIFS(#REF!,#REF!,$B133,#REF!,AB$1)</f>
        <v>#REF!</v>
      </c>
      <c r="AC133" s="24" t="e">
        <f>SUMIFS(#REF!,#REF!,$B133,#REF!,AC$1)</f>
        <v>#REF!</v>
      </c>
      <c r="AD133" s="24" t="e">
        <f>SUMIFS(#REF!,#REF!,$B133,#REF!,AD$1)</f>
        <v>#REF!</v>
      </c>
      <c r="AE133" s="24" t="e">
        <f>SUMIFS(#REF!,#REF!,$B133,#REF!,AE$1)</f>
        <v>#REF!</v>
      </c>
      <c r="AF133" s="24" t="e">
        <f>SUMIFS(#REF!,#REF!,$B133,#REF!,AF$1)</f>
        <v>#REF!</v>
      </c>
      <c r="AG133" s="24" t="e">
        <f>SUMIFS(#REF!,#REF!,$B133,#REF!,AG$1)</f>
        <v>#REF!</v>
      </c>
      <c r="AH133" s="24" t="e">
        <f>SUMIFS(#REF!,#REF!,$B133,#REF!,AH$1)</f>
        <v>#REF!</v>
      </c>
      <c r="AI133" s="24" t="e">
        <f>SUMIFS(#REF!,#REF!,$B133,#REF!,AI$1)</f>
        <v>#REF!</v>
      </c>
      <c r="AJ133" s="24" t="e">
        <f>SUMIFS(#REF!,#REF!,$B133,#REF!,AJ$1)</f>
        <v>#REF!</v>
      </c>
      <c r="AK133" s="24" t="e">
        <f>SUMIFS(#REF!,#REF!,$B133,#REF!,AK$1)</f>
        <v>#REF!</v>
      </c>
      <c r="AL133" s="24" t="e">
        <f>SUMIFS(#REF!,#REF!,$B133,#REF!,AL$1)</f>
        <v>#REF!</v>
      </c>
      <c r="AM133" s="24" t="e">
        <f>SUMIFS(#REF!,#REF!,$B133,#REF!,AM$1)</f>
        <v>#REF!</v>
      </c>
      <c r="AN133" s="24" t="e">
        <f>SUMIFS(#REF!,#REF!,$B133,#REF!,AN$1)</f>
        <v>#REF!</v>
      </c>
      <c r="AO133" s="24" t="e">
        <f>SUMIFS(#REF!,#REF!,$B133,#REF!,AO$1)</f>
        <v>#REF!</v>
      </c>
      <c r="AP133" s="24" t="e">
        <f>SUMIFS(#REF!,#REF!,$B133,#REF!,AP$1)</f>
        <v>#REF!</v>
      </c>
      <c r="AQ133" s="24" t="e">
        <f>SUMIFS(#REF!,#REF!,$B133,#REF!,AQ$1)</f>
        <v>#REF!</v>
      </c>
      <c r="AR133" s="24" t="e">
        <f>SUMIFS(#REF!,#REF!,$B133,#REF!,AR$1)</f>
        <v>#REF!</v>
      </c>
      <c r="AS133" s="24" t="e">
        <f>SUMIFS(#REF!,#REF!,$B133,#REF!,AS$1)</f>
        <v>#REF!</v>
      </c>
      <c r="AT133" s="24" t="e">
        <f>SUMIFS(#REF!,#REF!,$B133,#REF!,AT$1)</f>
        <v>#REF!</v>
      </c>
      <c r="AU133" s="24" t="e">
        <f>SUMIFS(#REF!,#REF!,$B133,#REF!,AU$1)</f>
        <v>#REF!</v>
      </c>
      <c r="AV133" s="24" t="e">
        <f>SUMIFS(#REF!,#REF!,$B133,#REF!,AV$1)</f>
        <v>#REF!</v>
      </c>
      <c r="AW133" s="24" t="e">
        <f>SUMIFS(#REF!,#REF!,$B133,#REF!,AW$1)</f>
        <v>#REF!</v>
      </c>
      <c r="AX133" s="24" t="e">
        <f>SUMIFS(#REF!,#REF!,$B133,#REF!,AX$1)</f>
        <v>#REF!</v>
      </c>
      <c r="AY133" s="24" t="e">
        <f>SUMIFS(#REF!,#REF!,$B133,#REF!,AY$1)</f>
        <v>#REF!</v>
      </c>
      <c r="AZ133" s="24" t="e">
        <f>SUMIFS(#REF!,#REF!,$B133,#REF!,AZ$1)</f>
        <v>#REF!</v>
      </c>
      <c r="BA133" s="24" t="e">
        <f>SUMIFS(#REF!,#REF!,$B133,#REF!,BA$1)</f>
        <v>#REF!</v>
      </c>
      <c r="BB133" s="24" t="e">
        <f>SUMIFS(#REF!,#REF!,$B133,#REF!,BB$1)</f>
        <v>#REF!</v>
      </c>
      <c r="BC133" s="24" t="e">
        <f>SUMIFS(#REF!,#REF!,$B133,#REF!,BC$1)</f>
        <v>#REF!</v>
      </c>
      <c r="BD133" s="24" t="e">
        <f>SUMIFS(#REF!,#REF!,$B133,#REF!,BD$1)</f>
        <v>#REF!</v>
      </c>
      <c r="BE133" s="24" t="e">
        <f>SUMIFS(#REF!,#REF!,$B133,#REF!,BE$1)</f>
        <v>#REF!</v>
      </c>
      <c r="BF133" s="24" t="e">
        <f>SUMIFS(#REF!,#REF!,$B133,#REF!,BF$1)</f>
        <v>#REF!</v>
      </c>
      <c r="BG133" s="24" t="e">
        <f>SUMIFS(#REF!,#REF!,$B133,#REF!,BG$1)</f>
        <v>#REF!</v>
      </c>
      <c r="BH133" s="24" t="e">
        <f>SUMIFS(#REF!,#REF!,$B133,#REF!,BH$1)</f>
        <v>#REF!</v>
      </c>
      <c r="BI133" s="24" t="e">
        <f>SUMIFS(#REF!,#REF!,$B133,#REF!,BI$1)</f>
        <v>#REF!</v>
      </c>
      <c r="BJ133" s="24" t="e">
        <f>SUMIFS(#REF!,#REF!,$B133,#REF!,BJ$1)</f>
        <v>#REF!</v>
      </c>
      <c r="BK133" s="24" t="e">
        <f>SUMIFS(#REF!,#REF!,$B133,#REF!,BK$1)</f>
        <v>#REF!</v>
      </c>
      <c r="BL133" s="24" t="e">
        <f>SUMIFS(#REF!,#REF!,$B133,#REF!,BL$1)</f>
        <v>#REF!</v>
      </c>
      <c r="BM133" s="24" t="e">
        <f>SUMIFS(#REF!,#REF!,$B133,#REF!,BM$1)</f>
        <v>#REF!</v>
      </c>
      <c r="BN133" s="24" t="e">
        <f>SUMIFS(#REF!,#REF!,$B133,#REF!,BN$1)</f>
        <v>#REF!</v>
      </c>
      <c r="BO133" s="24" t="e">
        <f>SUMIFS(#REF!,#REF!,$B133,#REF!,BO$1)</f>
        <v>#REF!</v>
      </c>
      <c r="BP133" s="24" t="e">
        <f>SUMIFS(#REF!,#REF!,$B133,#REF!,BP$1)</f>
        <v>#REF!</v>
      </c>
      <c r="BQ133" s="24" t="e">
        <f>SUMIFS(#REF!,#REF!,$B133,#REF!,BQ$1)</f>
        <v>#REF!</v>
      </c>
      <c r="BR133" s="24" t="e">
        <f>SUMIFS(#REF!,#REF!,$B133,#REF!,BR$1)</f>
        <v>#REF!</v>
      </c>
      <c r="BS133" s="24" t="e">
        <f>SUMIFS(#REF!,#REF!,$B133,#REF!,BS$1)</f>
        <v>#REF!</v>
      </c>
      <c r="BT133" s="24" t="e">
        <f>SUMIFS(#REF!,#REF!,$B133,#REF!,BT$1)</f>
        <v>#REF!</v>
      </c>
      <c r="BU133" s="24" t="e">
        <f>SUMIFS(#REF!,#REF!,$B133,#REF!,BU$1)</f>
        <v>#REF!</v>
      </c>
      <c r="BV133" s="24" t="e">
        <f>SUMIFS(#REF!,#REF!,$B133,#REF!,BV$1)</f>
        <v>#REF!</v>
      </c>
      <c r="BW133" s="24" t="e">
        <f>SUMIFS(#REF!,#REF!,$B133,#REF!,BW$1)</f>
        <v>#REF!</v>
      </c>
      <c r="BX133" s="24" t="e">
        <f>SUMIFS(#REF!,#REF!,$B133,#REF!,BX$1)</f>
        <v>#REF!</v>
      </c>
      <c r="BY133" s="24" t="e">
        <f>SUMIFS(#REF!,#REF!,$B133,#REF!,BY$1)</f>
        <v>#REF!</v>
      </c>
      <c r="BZ133" s="24" t="e">
        <f>SUMIFS(#REF!,#REF!,$B133,#REF!,BZ$1)</f>
        <v>#REF!</v>
      </c>
      <c r="CA133" s="24" t="e">
        <f>SUMIFS(#REF!,#REF!,$B133,#REF!,CA$1)</f>
        <v>#REF!</v>
      </c>
      <c r="CB133" s="24" t="e">
        <f>SUMIFS(#REF!,#REF!,$B133,#REF!,CB$1)</f>
        <v>#REF!</v>
      </c>
      <c r="CC133" s="24" t="e">
        <f>SUMIFS(#REF!,#REF!,$B133,#REF!,CC$1)</f>
        <v>#REF!</v>
      </c>
      <c r="CD133" s="24" t="e">
        <f>SUMIFS(#REF!,#REF!,$B133,#REF!,CD$1)</f>
        <v>#REF!</v>
      </c>
      <c r="CE133" s="24" t="e">
        <f>SUMIFS(#REF!,#REF!,$B133,#REF!,CE$1)</f>
        <v>#REF!</v>
      </c>
      <c r="CF133" s="24" t="e">
        <f>SUMIFS(#REF!,#REF!,$B133,#REF!,CF$1)</f>
        <v>#REF!</v>
      </c>
      <c r="CG133" s="19" t="e">
        <f t="shared" si="2"/>
        <v>#REF!</v>
      </c>
    </row>
    <row r="134" spans="1:85" x14ac:dyDescent="0.45">
      <c r="A134" s="4" t="s">
        <v>1250</v>
      </c>
      <c r="B134" s="4" t="s">
        <v>1251</v>
      </c>
      <c r="C134" s="24" t="e">
        <f>SUMIFS(#REF!,#REF!,$B134,#REF!,C$1)</f>
        <v>#REF!</v>
      </c>
      <c r="D134" s="24" t="e">
        <f>SUMIFS(#REF!,#REF!,$B134,#REF!,D$1)</f>
        <v>#REF!</v>
      </c>
      <c r="E134" s="24" t="e">
        <f>SUMIFS(#REF!,#REF!,$B134,#REF!,E$1)</f>
        <v>#REF!</v>
      </c>
      <c r="F134" s="24" t="e">
        <f>SUMIFS(#REF!,#REF!,$B134,#REF!,F$1)</f>
        <v>#REF!</v>
      </c>
      <c r="G134" s="24" t="e">
        <f>SUMIFS(#REF!,#REF!,$B134,#REF!,G$1)</f>
        <v>#REF!</v>
      </c>
      <c r="H134" s="24" t="e">
        <f>SUMIFS(#REF!,#REF!,$B134,#REF!,H$1)</f>
        <v>#REF!</v>
      </c>
      <c r="I134" s="24" t="e">
        <f>SUMIFS(#REF!,#REF!,$B134,#REF!,I$1)</f>
        <v>#REF!</v>
      </c>
      <c r="J134" s="24" t="e">
        <f>SUMIFS(#REF!,#REF!,$B134,#REF!,J$1)</f>
        <v>#REF!</v>
      </c>
      <c r="K134" s="24" t="e">
        <f>SUMIFS(#REF!,#REF!,$B134,#REF!,K$1)</f>
        <v>#REF!</v>
      </c>
      <c r="L134" s="24" t="e">
        <f>SUMIFS(#REF!,#REF!,$B134,#REF!,L$1)</f>
        <v>#REF!</v>
      </c>
      <c r="M134" s="24" t="e">
        <f>SUMIFS(#REF!,#REF!,$B134,#REF!,M$1)</f>
        <v>#REF!</v>
      </c>
      <c r="N134" s="24" t="e">
        <f>SUMIFS(#REF!,#REF!,$B134,#REF!,N$1)</f>
        <v>#REF!</v>
      </c>
      <c r="O134" s="24" t="e">
        <f>SUMIFS(#REF!,#REF!,$B134,#REF!,O$1)</f>
        <v>#REF!</v>
      </c>
      <c r="P134" s="24" t="e">
        <f>SUMIFS(#REF!,#REF!,$B134,#REF!,P$1)</f>
        <v>#REF!</v>
      </c>
      <c r="Q134" s="24" t="e">
        <f>SUMIFS(#REF!,#REF!,$B134,#REF!,Q$1)</f>
        <v>#REF!</v>
      </c>
      <c r="R134" s="24" t="e">
        <f>SUMIFS(#REF!,#REF!,$B134,#REF!,R$1)</f>
        <v>#REF!</v>
      </c>
      <c r="S134" s="24" t="e">
        <f>SUMIFS(#REF!,#REF!,$B134,#REF!,S$1)</f>
        <v>#REF!</v>
      </c>
      <c r="T134" s="24" t="e">
        <f>SUMIFS(#REF!,#REF!,$B134,#REF!,T$1)</f>
        <v>#REF!</v>
      </c>
      <c r="U134" s="24" t="e">
        <f>SUMIFS(#REF!,#REF!,$B134,#REF!,U$1)</f>
        <v>#REF!</v>
      </c>
      <c r="V134" s="24" t="e">
        <f>SUMIFS(#REF!,#REF!,$B134,#REF!,V$1)</f>
        <v>#REF!</v>
      </c>
      <c r="W134" s="24" t="e">
        <f>SUMIFS(#REF!,#REF!,$B134,#REF!,W$1)</f>
        <v>#REF!</v>
      </c>
      <c r="X134" s="24" t="e">
        <f>SUMIFS(#REF!,#REF!,$B134,#REF!,X$1)</f>
        <v>#REF!</v>
      </c>
      <c r="Y134" s="24" t="e">
        <f>SUMIFS(#REF!,#REF!,$B134,#REF!,Y$1)</f>
        <v>#REF!</v>
      </c>
      <c r="Z134" s="24" t="e">
        <f>SUMIFS(#REF!,#REF!,$B134,#REF!,Z$1)</f>
        <v>#REF!</v>
      </c>
      <c r="AA134" s="24" t="e">
        <f>SUMIFS(#REF!,#REF!,$B134,#REF!,AA$1)</f>
        <v>#REF!</v>
      </c>
      <c r="AB134" s="24" t="e">
        <f>SUMIFS(#REF!,#REF!,$B134,#REF!,AB$1)</f>
        <v>#REF!</v>
      </c>
      <c r="AC134" s="24" t="e">
        <f>SUMIFS(#REF!,#REF!,$B134,#REF!,AC$1)</f>
        <v>#REF!</v>
      </c>
      <c r="AD134" s="24" t="e">
        <f>SUMIFS(#REF!,#REF!,$B134,#REF!,AD$1)</f>
        <v>#REF!</v>
      </c>
      <c r="AE134" s="24" t="e">
        <f>SUMIFS(#REF!,#REF!,$B134,#REF!,AE$1)</f>
        <v>#REF!</v>
      </c>
      <c r="AF134" s="24" t="e">
        <f>SUMIFS(#REF!,#REF!,$B134,#REF!,AF$1)</f>
        <v>#REF!</v>
      </c>
      <c r="AG134" s="24" t="e">
        <f>SUMIFS(#REF!,#REF!,$B134,#REF!,AG$1)</f>
        <v>#REF!</v>
      </c>
      <c r="AH134" s="24" t="e">
        <f>SUMIFS(#REF!,#REF!,$B134,#REF!,AH$1)</f>
        <v>#REF!</v>
      </c>
      <c r="AI134" s="24" t="e">
        <f>SUMIFS(#REF!,#REF!,$B134,#REF!,AI$1)</f>
        <v>#REF!</v>
      </c>
      <c r="AJ134" s="24" t="e">
        <f>SUMIFS(#REF!,#REF!,$B134,#REF!,AJ$1)</f>
        <v>#REF!</v>
      </c>
      <c r="AK134" s="24" t="e">
        <f>SUMIFS(#REF!,#REF!,$B134,#REF!,AK$1)</f>
        <v>#REF!</v>
      </c>
      <c r="AL134" s="24" t="e">
        <f>SUMIFS(#REF!,#REF!,$B134,#REF!,AL$1)</f>
        <v>#REF!</v>
      </c>
      <c r="AM134" s="24" t="e">
        <f>SUMIFS(#REF!,#REF!,$B134,#REF!,AM$1)</f>
        <v>#REF!</v>
      </c>
      <c r="AN134" s="24" t="e">
        <f>SUMIFS(#REF!,#REF!,$B134,#REF!,AN$1)</f>
        <v>#REF!</v>
      </c>
      <c r="AO134" s="24" t="e">
        <f>SUMIFS(#REF!,#REF!,$B134,#REF!,AO$1)</f>
        <v>#REF!</v>
      </c>
      <c r="AP134" s="24" t="e">
        <f>SUMIFS(#REF!,#REF!,$B134,#REF!,AP$1)</f>
        <v>#REF!</v>
      </c>
      <c r="AQ134" s="24" t="e">
        <f>SUMIFS(#REF!,#REF!,$B134,#REF!,AQ$1)</f>
        <v>#REF!</v>
      </c>
      <c r="AR134" s="24" t="e">
        <f>SUMIFS(#REF!,#REF!,$B134,#REF!,AR$1)</f>
        <v>#REF!</v>
      </c>
      <c r="AS134" s="24" t="e">
        <f>SUMIFS(#REF!,#REF!,$B134,#REF!,AS$1)</f>
        <v>#REF!</v>
      </c>
      <c r="AT134" s="24" t="e">
        <f>SUMIFS(#REF!,#REF!,$B134,#REF!,AT$1)</f>
        <v>#REF!</v>
      </c>
      <c r="AU134" s="24" t="e">
        <f>SUMIFS(#REF!,#REF!,$B134,#REF!,AU$1)</f>
        <v>#REF!</v>
      </c>
      <c r="AV134" s="24" t="e">
        <f>SUMIFS(#REF!,#REF!,$B134,#REF!,AV$1)</f>
        <v>#REF!</v>
      </c>
      <c r="AW134" s="24" t="e">
        <f>SUMIFS(#REF!,#REF!,$B134,#REF!,AW$1)</f>
        <v>#REF!</v>
      </c>
      <c r="AX134" s="24" t="e">
        <f>SUMIFS(#REF!,#REF!,$B134,#REF!,AX$1)</f>
        <v>#REF!</v>
      </c>
      <c r="AY134" s="24" t="e">
        <f>SUMIFS(#REF!,#REF!,$B134,#REF!,AY$1)</f>
        <v>#REF!</v>
      </c>
      <c r="AZ134" s="24" t="e">
        <f>SUMIFS(#REF!,#REF!,$B134,#REF!,AZ$1)</f>
        <v>#REF!</v>
      </c>
      <c r="BA134" s="24" t="e">
        <f>SUMIFS(#REF!,#REF!,$B134,#REF!,BA$1)</f>
        <v>#REF!</v>
      </c>
      <c r="BB134" s="24" t="e">
        <f>SUMIFS(#REF!,#REF!,$B134,#REF!,BB$1)</f>
        <v>#REF!</v>
      </c>
      <c r="BC134" s="24" t="e">
        <f>SUMIFS(#REF!,#REF!,$B134,#REF!,BC$1)</f>
        <v>#REF!</v>
      </c>
      <c r="BD134" s="24" t="e">
        <f>SUMIFS(#REF!,#REF!,$B134,#REF!,BD$1)</f>
        <v>#REF!</v>
      </c>
      <c r="BE134" s="24" t="e">
        <f>SUMIFS(#REF!,#REF!,$B134,#REF!,BE$1)</f>
        <v>#REF!</v>
      </c>
      <c r="BF134" s="24" t="e">
        <f>SUMIFS(#REF!,#REF!,$B134,#REF!,BF$1)</f>
        <v>#REF!</v>
      </c>
      <c r="BG134" s="24" t="e">
        <f>SUMIFS(#REF!,#REF!,$B134,#REF!,BG$1)</f>
        <v>#REF!</v>
      </c>
      <c r="BH134" s="24" t="e">
        <f>SUMIFS(#REF!,#REF!,$B134,#REF!,BH$1)</f>
        <v>#REF!</v>
      </c>
      <c r="BI134" s="24" t="e">
        <f>SUMIFS(#REF!,#REF!,$B134,#REF!,BI$1)</f>
        <v>#REF!</v>
      </c>
      <c r="BJ134" s="24" t="e">
        <f>SUMIFS(#REF!,#REF!,$B134,#REF!,BJ$1)</f>
        <v>#REF!</v>
      </c>
      <c r="BK134" s="24" t="e">
        <f>SUMIFS(#REF!,#REF!,$B134,#REF!,BK$1)</f>
        <v>#REF!</v>
      </c>
      <c r="BL134" s="24" t="e">
        <f>SUMIFS(#REF!,#REF!,$B134,#REF!,BL$1)</f>
        <v>#REF!</v>
      </c>
      <c r="BM134" s="24" t="e">
        <f>SUMIFS(#REF!,#REF!,$B134,#REF!,BM$1)</f>
        <v>#REF!</v>
      </c>
      <c r="BN134" s="24" t="e">
        <f>SUMIFS(#REF!,#REF!,$B134,#REF!,BN$1)</f>
        <v>#REF!</v>
      </c>
      <c r="BO134" s="24" t="e">
        <f>SUMIFS(#REF!,#REF!,$B134,#REF!,BO$1)</f>
        <v>#REF!</v>
      </c>
      <c r="BP134" s="24" t="e">
        <f>SUMIFS(#REF!,#REF!,$B134,#REF!,BP$1)</f>
        <v>#REF!</v>
      </c>
      <c r="BQ134" s="24" t="e">
        <f>SUMIFS(#REF!,#REF!,$B134,#REF!,BQ$1)</f>
        <v>#REF!</v>
      </c>
      <c r="BR134" s="24" t="e">
        <f>SUMIFS(#REF!,#REF!,$B134,#REF!,BR$1)</f>
        <v>#REF!</v>
      </c>
      <c r="BS134" s="24" t="e">
        <f>SUMIFS(#REF!,#REF!,$B134,#REF!,BS$1)</f>
        <v>#REF!</v>
      </c>
      <c r="BT134" s="24" t="e">
        <f>SUMIFS(#REF!,#REF!,$B134,#REF!,BT$1)</f>
        <v>#REF!</v>
      </c>
      <c r="BU134" s="24" t="e">
        <f>SUMIFS(#REF!,#REF!,$B134,#REF!,BU$1)</f>
        <v>#REF!</v>
      </c>
      <c r="BV134" s="24" t="e">
        <f>SUMIFS(#REF!,#REF!,$B134,#REF!,BV$1)</f>
        <v>#REF!</v>
      </c>
      <c r="BW134" s="24" t="e">
        <f>SUMIFS(#REF!,#REF!,$B134,#REF!,BW$1)</f>
        <v>#REF!</v>
      </c>
      <c r="BX134" s="24" t="e">
        <f>SUMIFS(#REF!,#REF!,$B134,#REF!,BX$1)</f>
        <v>#REF!</v>
      </c>
      <c r="BY134" s="24" t="e">
        <f>SUMIFS(#REF!,#REF!,$B134,#REF!,BY$1)</f>
        <v>#REF!</v>
      </c>
      <c r="BZ134" s="24" t="e">
        <f>SUMIFS(#REF!,#REF!,$B134,#REF!,BZ$1)</f>
        <v>#REF!</v>
      </c>
      <c r="CA134" s="24" t="e">
        <f>SUMIFS(#REF!,#REF!,$B134,#REF!,CA$1)</f>
        <v>#REF!</v>
      </c>
      <c r="CB134" s="24" t="e">
        <f>SUMIFS(#REF!,#REF!,$B134,#REF!,CB$1)</f>
        <v>#REF!</v>
      </c>
      <c r="CC134" s="24" t="e">
        <f>SUMIFS(#REF!,#REF!,$B134,#REF!,CC$1)</f>
        <v>#REF!</v>
      </c>
      <c r="CD134" s="24" t="e">
        <f>SUMIFS(#REF!,#REF!,$B134,#REF!,CD$1)</f>
        <v>#REF!</v>
      </c>
      <c r="CE134" s="24" t="e">
        <f>SUMIFS(#REF!,#REF!,$B134,#REF!,CE$1)</f>
        <v>#REF!</v>
      </c>
      <c r="CF134" s="24" t="e">
        <f>SUMIFS(#REF!,#REF!,$B134,#REF!,CF$1)</f>
        <v>#REF!</v>
      </c>
      <c r="CG134" s="19" t="e">
        <f t="shared" si="2"/>
        <v>#REF!</v>
      </c>
    </row>
    <row r="135" spans="1:85" x14ac:dyDescent="0.45">
      <c r="A135" s="4" t="s">
        <v>1252</v>
      </c>
      <c r="B135" s="4" t="s">
        <v>1253</v>
      </c>
      <c r="C135" s="24" t="e">
        <f>SUMIFS(#REF!,#REF!,$B135,#REF!,C$1)</f>
        <v>#REF!</v>
      </c>
      <c r="D135" s="24" t="e">
        <f>SUMIFS(#REF!,#REF!,$B135,#REF!,D$1)</f>
        <v>#REF!</v>
      </c>
      <c r="E135" s="24" t="e">
        <f>SUMIFS(#REF!,#REF!,$B135,#REF!,E$1)</f>
        <v>#REF!</v>
      </c>
      <c r="F135" s="24" t="e">
        <f>SUMIFS(#REF!,#REF!,$B135,#REF!,F$1)</f>
        <v>#REF!</v>
      </c>
      <c r="G135" s="24" t="e">
        <f>SUMIFS(#REF!,#REF!,$B135,#REF!,G$1)</f>
        <v>#REF!</v>
      </c>
      <c r="H135" s="24" t="e">
        <f>SUMIFS(#REF!,#REF!,$B135,#REF!,H$1)</f>
        <v>#REF!</v>
      </c>
      <c r="I135" s="24" t="e">
        <f>SUMIFS(#REF!,#REF!,$B135,#REF!,I$1)</f>
        <v>#REF!</v>
      </c>
      <c r="J135" s="24" t="e">
        <f>SUMIFS(#REF!,#REF!,$B135,#REF!,J$1)</f>
        <v>#REF!</v>
      </c>
      <c r="K135" s="24" t="e">
        <f>SUMIFS(#REF!,#REF!,$B135,#REF!,K$1)</f>
        <v>#REF!</v>
      </c>
      <c r="L135" s="24" t="e">
        <f>SUMIFS(#REF!,#REF!,$B135,#REF!,L$1)</f>
        <v>#REF!</v>
      </c>
      <c r="M135" s="24" t="e">
        <f>SUMIFS(#REF!,#REF!,$B135,#REF!,M$1)</f>
        <v>#REF!</v>
      </c>
      <c r="N135" s="24" t="e">
        <f>SUMIFS(#REF!,#REF!,$B135,#REF!,N$1)</f>
        <v>#REF!</v>
      </c>
      <c r="O135" s="24" t="e">
        <f>SUMIFS(#REF!,#REF!,$B135,#REF!,O$1)</f>
        <v>#REF!</v>
      </c>
      <c r="P135" s="24" t="e">
        <f>SUMIFS(#REF!,#REF!,$B135,#REF!,P$1)</f>
        <v>#REF!</v>
      </c>
      <c r="Q135" s="24" t="e">
        <f>SUMIFS(#REF!,#REF!,$B135,#REF!,Q$1)</f>
        <v>#REF!</v>
      </c>
      <c r="R135" s="24" t="e">
        <f>SUMIFS(#REF!,#REF!,$B135,#REF!,R$1)</f>
        <v>#REF!</v>
      </c>
      <c r="S135" s="24" t="e">
        <f>SUMIFS(#REF!,#REF!,$B135,#REF!,S$1)</f>
        <v>#REF!</v>
      </c>
      <c r="T135" s="24" t="e">
        <f>SUMIFS(#REF!,#REF!,$B135,#REF!,T$1)</f>
        <v>#REF!</v>
      </c>
      <c r="U135" s="24" t="e">
        <f>SUMIFS(#REF!,#REF!,$B135,#REF!,U$1)</f>
        <v>#REF!</v>
      </c>
      <c r="V135" s="24" t="e">
        <f>SUMIFS(#REF!,#REF!,$B135,#REF!,V$1)</f>
        <v>#REF!</v>
      </c>
      <c r="W135" s="24" t="e">
        <f>SUMIFS(#REF!,#REF!,$B135,#REF!,W$1)</f>
        <v>#REF!</v>
      </c>
      <c r="X135" s="24" t="e">
        <f>SUMIFS(#REF!,#REF!,$B135,#REF!,X$1)</f>
        <v>#REF!</v>
      </c>
      <c r="Y135" s="24" t="e">
        <f>SUMIFS(#REF!,#REF!,$B135,#REF!,Y$1)</f>
        <v>#REF!</v>
      </c>
      <c r="Z135" s="24" t="e">
        <f>SUMIFS(#REF!,#REF!,$B135,#REF!,Z$1)</f>
        <v>#REF!</v>
      </c>
      <c r="AA135" s="24" t="e">
        <f>SUMIFS(#REF!,#REF!,$B135,#REF!,AA$1)</f>
        <v>#REF!</v>
      </c>
      <c r="AB135" s="24" t="e">
        <f>SUMIFS(#REF!,#REF!,$B135,#REF!,AB$1)</f>
        <v>#REF!</v>
      </c>
      <c r="AC135" s="24" t="e">
        <f>SUMIFS(#REF!,#REF!,$B135,#REF!,AC$1)</f>
        <v>#REF!</v>
      </c>
      <c r="AD135" s="24" t="e">
        <f>SUMIFS(#REF!,#REF!,$B135,#REF!,AD$1)</f>
        <v>#REF!</v>
      </c>
      <c r="AE135" s="24" t="e">
        <f>SUMIFS(#REF!,#REF!,$B135,#REF!,AE$1)</f>
        <v>#REF!</v>
      </c>
      <c r="AF135" s="24" t="e">
        <f>SUMIFS(#REF!,#REF!,$B135,#REF!,AF$1)</f>
        <v>#REF!</v>
      </c>
      <c r="AG135" s="24" t="e">
        <f>SUMIFS(#REF!,#REF!,$B135,#REF!,AG$1)</f>
        <v>#REF!</v>
      </c>
      <c r="AH135" s="24" t="e">
        <f>SUMIFS(#REF!,#REF!,$B135,#REF!,AH$1)</f>
        <v>#REF!</v>
      </c>
      <c r="AI135" s="24" t="e">
        <f>SUMIFS(#REF!,#REF!,$B135,#REF!,AI$1)</f>
        <v>#REF!</v>
      </c>
      <c r="AJ135" s="24" t="e">
        <f>SUMIFS(#REF!,#REF!,$B135,#REF!,AJ$1)</f>
        <v>#REF!</v>
      </c>
      <c r="AK135" s="24" t="e">
        <f>SUMIFS(#REF!,#REF!,$B135,#REF!,AK$1)</f>
        <v>#REF!</v>
      </c>
      <c r="AL135" s="24" t="e">
        <f>SUMIFS(#REF!,#REF!,$B135,#REF!,AL$1)</f>
        <v>#REF!</v>
      </c>
      <c r="AM135" s="24" t="e">
        <f>SUMIFS(#REF!,#REF!,$B135,#REF!,AM$1)</f>
        <v>#REF!</v>
      </c>
      <c r="AN135" s="24" t="e">
        <f>SUMIFS(#REF!,#REF!,$B135,#REF!,AN$1)</f>
        <v>#REF!</v>
      </c>
      <c r="AO135" s="24" t="e">
        <f>SUMIFS(#REF!,#REF!,$B135,#REF!,AO$1)</f>
        <v>#REF!</v>
      </c>
      <c r="AP135" s="24" t="e">
        <f>SUMIFS(#REF!,#REF!,$B135,#REF!,AP$1)</f>
        <v>#REF!</v>
      </c>
      <c r="AQ135" s="24" t="e">
        <f>SUMIFS(#REF!,#REF!,$B135,#REF!,AQ$1)</f>
        <v>#REF!</v>
      </c>
      <c r="AR135" s="24" t="e">
        <f>SUMIFS(#REF!,#REF!,$B135,#REF!,AR$1)</f>
        <v>#REF!</v>
      </c>
      <c r="AS135" s="24" t="e">
        <f>SUMIFS(#REF!,#REF!,$B135,#REF!,AS$1)</f>
        <v>#REF!</v>
      </c>
      <c r="AT135" s="24" t="e">
        <f>SUMIFS(#REF!,#REF!,$B135,#REF!,AT$1)</f>
        <v>#REF!</v>
      </c>
      <c r="AU135" s="24" t="e">
        <f>SUMIFS(#REF!,#REF!,$B135,#REF!,AU$1)</f>
        <v>#REF!</v>
      </c>
      <c r="AV135" s="24" t="e">
        <f>SUMIFS(#REF!,#REF!,$B135,#REF!,AV$1)</f>
        <v>#REF!</v>
      </c>
      <c r="AW135" s="24" t="e">
        <f>SUMIFS(#REF!,#REF!,$B135,#REF!,AW$1)</f>
        <v>#REF!</v>
      </c>
      <c r="AX135" s="24" t="e">
        <f>SUMIFS(#REF!,#REF!,$B135,#REF!,AX$1)</f>
        <v>#REF!</v>
      </c>
      <c r="AY135" s="24" t="e">
        <f>SUMIFS(#REF!,#REF!,$B135,#REF!,AY$1)</f>
        <v>#REF!</v>
      </c>
      <c r="AZ135" s="24" t="e">
        <f>SUMIFS(#REF!,#REF!,$B135,#REF!,AZ$1)</f>
        <v>#REF!</v>
      </c>
      <c r="BA135" s="24" t="e">
        <f>SUMIFS(#REF!,#REF!,$B135,#REF!,BA$1)</f>
        <v>#REF!</v>
      </c>
      <c r="BB135" s="24" t="e">
        <f>SUMIFS(#REF!,#REF!,$B135,#REF!,BB$1)</f>
        <v>#REF!</v>
      </c>
      <c r="BC135" s="24" t="e">
        <f>SUMIFS(#REF!,#REF!,$B135,#REF!,BC$1)</f>
        <v>#REF!</v>
      </c>
      <c r="BD135" s="24" t="e">
        <f>SUMIFS(#REF!,#REF!,$B135,#REF!,BD$1)</f>
        <v>#REF!</v>
      </c>
      <c r="BE135" s="24" t="e">
        <f>SUMIFS(#REF!,#REF!,$B135,#REF!,BE$1)</f>
        <v>#REF!</v>
      </c>
      <c r="BF135" s="24" t="e">
        <f>SUMIFS(#REF!,#REF!,$B135,#REF!,BF$1)</f>
        <v>#REF!</v>
      </c>
      <c r="BG135" s="24" t="e">
        <f>SUMIFS(#REF!,#REF!,$B135,#REF!,BG$1)</f>
        <v>#REF!</v>
      </c>
      <c r="BH135" s="24" t="e">
        <f>SUMIFS(#REF!,#REF!,$B135,#REF!,BH$1)</f>
        <v>#REF!</v>
      </c>
      <c r="BI135" s="24" t="e">
        <f>SUMIFS(#REF!,#REF!,$B135,#REF!,BI$1)</f>
        <v>#REF!</v>
      </c>
      <c r="BJ135" s="24" t="e">
        <f>SUMIFS(#REF!,#REF!,$B135,#REF!,BJ$1)</f>
        <v>#REF!</v>
      </c>
      <c r="BK135" s="24" t="e">
        <f>SUMIFS(#REF!,#REF!,$B135,#REF!,BK$1)</f>
        <v>#REF!</v>
      </c>
      <c r="BL135" s="24" t="e">
        <f>SUMIFS(#REF!,#REF!,$B135,#REF!,BL$1)</f>
        <v>#REF!</v>
      </c>
      <c r="BM135" s="24" t="e">
        <f>SUMIFS(#REF!,#REF!,$B135,#REF!,BM$1)</f>
        <v>#REF!</v>
      </c>
      <c r="BN135" s="24" t="e">
        <f>SUMIFS(#REF!,#REF!,$B135,#REF!,BN$1)</f>
        <v>#REF!</v>
      </c>
      <c r="BO135" s="24" t="e">
        <f>SUMIFS(#REF!,#REF!,$B135,#REF!,BO$1)</f>
        <v>#REF!</v>
      </c>
      <c r="BP135" s="24" t="e">
        <f>SUMIFS(#REF!,#REF!,$B135,#REF!,BP$1)</f>
        <v>#REF!</v>
      </c>
      <c r="BQ135" s="24" t="e">
        <f>SUMIFS(#REF!,#REF!,$B135,#REF!,BQ$1)</f>
        <v>#REF!</v>
      </c>
      <c r="BR135" s="24" t="e">
        <f>SUMIFS(#REF!,#REF!,$B135,#REF!,BR$1)</f>
        <v>#REF!</v>
      </c>
      <c r="BS135" s="24" t="e">
        <f>SUMIFS(#REF!,#REF!,$B135,#REF!,BS$1)</f>
        <v>#REF!</v>
      </c>
      <c r="BT135" s="24" t="e">
        <f>SUMIFS(#REF!,#REF!,$B135,#REF!,BT$1)</f>
        <v>#REF!</v>
      </c>
      <c r="BU135" s="24" t="e">
        <f>SUMIFS(#REF!,#REF!,$B135,#REF!,BU$1)</f>
        <v>#REF!</v>
      </c>
      <c r="BV135" s="24" t="e">
        <f>SUMIFS(#REF!,#REF!,$B135,#REF!,BV$1)</f>
        <v>#REF!</v>
      </c>
      <c r="BW135" s="24" t="e">
        <f>SUMIFS(#REF!,#REF!,$B135,#REF!,BW$1)</f>
        <v>#REF!</v>
      </c>
      <c r="BX135" s="24" t="e">
        <f>SUMIFS(#REF!,#REF!,$B135,#REF!,BX$1)</f>
        <v>#REF!</v>
      </c>
      <c r="BY135" s="24" t="e">
        <f>SUMIFS(#REF!,#REF!,$B135,#REF!,BY$1)</f>
        <v>#REF!</v>
      </c>
      <c r="BZ135" s="24" t="e">
        <f>SUMIFS(#REF!,#REF!,$B135,#REF!,BZ$1)</f>
        <v>#REF!</v>
      </c>
      <c r="CA135" s="24" t="e">
        <f>SUMIFS(#REF!,#REF!,$B135,#REF!,CA$1)</f>
        <v>#REF!</v>
      </c>
      <c r="CB135" s="24" t="e">
        <f>SUMIFS(#REF!,#REF!,$B135,#REF!,CB$1)</f>
        <v>#REF!</v>
      </c>
      <c r="CC135" s="24" t="e">
        <f>SUMIFS(#REF!,#REF!,$B135,#REF!,CC$1)</f>
        <v>#REF!</v>
      </c>
      <c r="CD135" s="24" t="e">
        <f>SUMIFS(#REF!,#REF!,$B135,#REF!,CD$1)</f>
        <v>#REF!</v>
      </c>
      <c r="CE135" s="24" t="e">
        <f>SUMIFS(#REF!,#REF!,$B135,#REF!,CE$1)</f>
        <v>#REF!</v>
      </c>
      <c r="CF135" s="24" t="e">
        <f>SUMIFS(#REF!,#REF!,$B135,#REF!,CF$1)</f>
        <v>#REF!</v>
      </c>
      <c r="CG135" s="19" t="e">
        <f t="shared" si="2"/>
        <v>#REF!</v>
      </c>
    </row>
    <row r="136" spans="1:85" x14ac:dyDescent="0.45">
      <c r="A136" s="4" t="s">
        <v>1254</v>
      </c>
      <c r="B136" s="4" t="s">
        <v>1255</v>
      </c>
      <c r="C136" s="24" t="e">
        <f>SUMIFS(#REF!,#REF!,$B136,#REF!,C$1)</f>
        <v>#REF!</v>
      </c>
      <c r="D136" s="24" t="e">
        <f>SUMIFS(#REF!,#REF!,$B136,#REF!,D$1)</f>
        <v>#REF!</v>
      </c>
      <c r="E136" s="24" t="e">
        <f>SUMIFS(#REF!,#REF!,$B136,#REF!,E$1)</f>
        <v>#REF!</v>
      </c>
      <c r="F136" s="24" t="e">
        <f>SUMIFS(#REF!,#REF!,$B136,#REF!,F$1)</f>
        <v>#REF!</v>
      </c>
      <c r="G136" s="24" t="e">
        <f>SUMIFS(#REF!,#REF!,$B136,#REF!,G$1)</f>
        <v>#REF!</v>
      </c>
      <c r="H136" s="24" t="e">
        <f>SUMIFS(#REF!,#REF!,$B136,#REF!,H$1)</f>
        <v>#REF!</v>
      </c>
      <c r="I136" s="24" t="e">
        <f>SUMIFS(#REF!,#REF!,$B136,#REF!,I$1)</f>
        <v>#REF!</v>
      </c>
      <c r="J136" s="24" t="e">
        <f>SUMIFS(#REF!,#REF!,$B136,#REF!,J$1)</f>
        <v>#REF!</v>
      </c>
      <c r="K136" s="24" t="e">
        <f>SUMIFS(#REF!,#REF!,$B136,#REF!,K$1)</f>
        <v>#REF!</v>
      </c>
      <c r="L136" s="24" t="e">
        <f>SUMIFS(#REF!,#REF!,$B136,#REF!,L$1)</f>
        <v>#REF!</v>
      </c>
      <c r="M136" s="24" t="e">
        <f>SUMIFS(#REF!,#REF!,$B136,#REF!,M$1)</f>
        <v>#REF!</v>
      </c>
      <c r="N136" s="24" t="e">
        <f>SUMIFS(#REF!,#REF!,$B136,#REF!,N$1)</f>
        <v>#REF!</v>
      </c>
      <c r="O136" s="24" t="e">
        <f>SUMIFS(#REF!,#REF!,$B136,#REF!,O$1)</f>
        <v>#REF!</v>
      </c>
      <c r="P136" s="24" t="e">
        <f>SUMIFS(#REF!,#REF!,$B136,#REF!,P$1)</f>
        <v>#REF!</v>
      </c>
      <c r="Q136" s="24" t="e">
        <f>SUMIFS(#REF!,#REF!,$B136,#REF!,Q$1)</f>
        <v>#REF!</v>
      </c>
      <c r="R136" s="24" t="e">
        <f>SUMIFS(#REF!,#REF!,$B136,#REF!,R$1)</f>
        <v>#REF!</v>
      </c>
      <c r="S136" s="24" t="e">
        <f>SUMIFS(#REF!,#REF!,$B136,#REF!,S$1)</f>
        <v>#REF!</v>
      </c>
      <c r="T136" s="24" t="e">
        <f>SUMIFS(#REF!,#REF!,$B136,#REF!,T$1)</f>
        <v>#REF!</v>
      </c>
      <c r="U136" s="24" t="e">
        <f>SUMIFS(#REF!,#REF!,$B136,#REF!,U$1)</f>
        <v>#REF!</v>
      </c>
      <c r="V136" s="24" t="e">
        <f>SUMIFS(#REF!,#REF!,$B136,#REF!,V$1)</f>
        <v>#REF!</v>
      </c>
      <c r="W136" s="24" t="e">
        <f>SUMIFS(#REF!,#REF!,$B136,#REF!,W$1)</f>
        <v>#REF!</v>
      </c>
      <c r="X136" s="24" t="e">
        <f>SUMIFS(#REF!,#REF!,$B136,#REF!,X$1)</f>
        <v>#REF!</v>
      </c>
      <c r="Y136" s="24" t="e">
        <f>SUMIFS(#REF!,#REF!,$B136,#REF!,Y$1)</f>
        <v>#REF!</v>
      </c>
      <c r="Z136" s="24" t="e">
        <f>SUMIFS(#REF!,#REF!,$B136,#REF!,Z$1)</f>
        <v>#REF!</v>
      </c>
      <c r="AA136" s="24" t="e">
        <f>SUMIFS(#REF!,#REF!,$B136,#REF!,AA$1)</f>
        <v>#REF!</v>
      </c>
      <c r="AB136" s="24" t="e">
        <f>SUMIFS(#REF!,#REF!,$B136,#REF!,AB$1)</f>
        <v>#REF!</v>
      </c>
      <c r="AC136" s="24" t="e">
        <f>SUMIFS(#REF!,#REF!,$B136,#REF!,AC$1)</f>
        <v>#REF!</v>
      </c>
      <c r="AD136" s="24" t="e">
        <f>SUMIFS(#REF!,#REF!,$B136,#REF!,AD$1)</f>
        <v>#REF!</v>
      </c>
      <c r="AE136" s="24" t="e">
        <f>SUMIFS(#REF!,#REF!,$B136,#REF!,AE$1)</f>
        <v>#REF!</v>
      </c>
      <c r="AF136" s="24" t="e">
        <f>SUMIFS(#REF!,#REF!,$B136,#REF!,AF$1)</f>
        <v>#REF!</v>
      </c>
      <c r="AG136" s="24" t="e">
        <f>SUMIFS(#REF!,#REF!,$B136,#REF!,AG$1)</f>
        <v>#REF!</v>
      </c>
      <c r="AH136" s="24" t="e">
        <f>SUMIFS(#REF!,#REF!,$B136,#REF!,AH$1)</f>
        <v>#REF!</v>
      </c>
      <c r="AI136" s="24" t="e">
        <f>SUMIFS(#REF!,#REF!,$B136,#REF!,AI$1)</f>
        <v>#REF!</v>
      </c>
      <c r="AJ136" s="24" t="e">
        <f>SUMIFS(#REF!,#REF!,$B136,#REF!,AJ$1)</f>
        <v>#REF!</v>
      </c>
      <c r="AK136" s="24" t="e">
        <f>SUMIFS(#REF!,#REF!,$B136,#REF!,AK$1)</f>
        <v>#REF!</v>
      </c>
      <c r="AL136" s="24" t="e">
        <f>SUMIFS(#REF!,#REF!,$B136,#REF!,AL$1)</f>
        <v>#REF!</v>
      </c>
      <c r="AM136" s="24" t="e">
        <f>SUMIFS(#REF!,#REF!,$B136,#REF!,AM$1)</f>
        <v>#REF!</v>
      </c>
      <c r="AN136" s="24" t="e">
        <f>SUMIFS(#REF!,#REF!,$B136,#REF!,AN$1)</f>
        <v>#REF!</v>
      </c>
      <c r="AO136" s="24" t="e">
        <f>SUMIFS(#REF!,#REF!,$B136,#REF!,AO$1)</f>
        <v>#REF!</v>
      </c>
      <c r="AP136" s="24" t="e">
        <f>SUMIFS(#REF!,#REF!,$B136,#REF!,AP$1)</f>
        <v>#REF!</v>
      </c>
      <c r="AQ136" s="24" t="e">
        <f>SUMIFS(#REF!,#REF!,$B136,#REF!,AQ$1)</f>
        <v>#REF!</v>
      </c>
      <c r="AR136" s="24" t="e">
        <f>SUMIFS(#REF!,#REF!,$B136,#REF!,AR$1)</f>
        <v>#REF!</v>
      </c>
      <c r="AS136" s="24" t="e">
        <f>SUMIFS(#REF!,#REF!,$B136,#REF!,AS$1)</f>
        <v>#REF!</v>
      </c>
      <c r="AT136" s="24" t="e">
        <f>SUMIFS(#REF!,#REF!,$B136,#REF!,AT$1)</f>
        <v>#REF!</v>
      </c>
      <c r="AU136" s="24" t="e">
        <f>SUMIFS(#REF!,#REF!,$B136,#REF!,AU$1)</f>
        <v>#REF!</v>
      </c>
      <c r="AV136" s="24" t="e">
        <f>SUMIFS(#REF!,#REF!,$B136,#REF!,AV$1)</f>
        <v>#REF!</v>
      </c>
      <c r="AW136" s="24" t="e">
        <f>SUMIFS(#REF!,#REF!,$B136,#REF!,AW$1)</f>
        <v>#REF!</v>
      </c>
      <c r="AX136" s="24" t="e">
        <f>SUMIFS(#REF!,#REF!,$B136,#REF!,AX$1)</f>
        <v>#REF!</v>
      </c>
      <c r="AY136" s="24" t="e">
        <f>SUMIFS(#REF!,#REF!,$B136,#REF!,AY$1)</f>
        <v>#REF!</v>
      </c>
      <c r="AZ136" s="24" t="e">
        <f>SUMIFS(#REF!,#REF!,$B136,#REF!,AZ$1)</f>
        <v>#REF!</v>
      </c>
      <c r="BA136" s="24" t="e">
        <f>SUMIFS(#REF!,#REF!,$B136,#REF!,BA$1)</f>
        <v>#REF!</v>
      </c>
      <c r="BB136" s="24" t="e">
        <f>SUMIFS(#REF!,#REF!,$B136,#REF!,BB$1)</f>
        <v>#REF!</v>
      </c>
      <c r="BC136" s="24" t="e">
        <f>SUMIFS(#REF!,#REF!,$B136,#REF!,BC$1)</f>
        <v>#REF!</v>
      </c>
      <c r="BD136" s="24" t="e">
        <f>SUMIFS(#REF!,#REF!,$B136,#REF!,BD$1)</f>
        <v>#REF!</v>
      </c>
      <c r="BE136" s="24" t="e">
        <f>SUMIFS(#REF!,#REF!,$B136,#REF!,BE$1)</f>
        <v>#REF!</v>
      </c>
      <c r="BF136" s="24" t="e">
        <f>SUMIFS(#REF!,#REF!,$B136,#REF!,BF$1)</f>
        <v>#REF!</v>
      </c>
      <c r="BG136" s="24" t="e">
        <f>SUMIFS(#REF!,#REF!,$B136,#REF!,BG$1)</f>
        <v>#REF!</v>
      </c>
      <c r="BH136" s="24" t="e">
        <f>SUMIFS(#REF!,#REF!,$B136,#REF!,BH$1)</f>
        <v>#REF!</v>
      </c>
      <c r="BI136" s="24" t="e">
        <f>SUMIFS(#REF!,#REF!,$B136,#REF!,BI$1)</f>
        <v>#REF!</v>
      </c>
      <c r="BJ136" s="24" t="e">
        <f>SUMIFS(#REF!,#REF!,$B136,#REF!,BJ$1)</f>
        <v>#REF!</v>
      </c>
      <c r="BK136" s="24" t="e">
        <f>SUMIFS(#REF!,#REF!,$B136,#REF!,BK$1)</f>
        <v>#REF!</v>
      </c>
      <c r="BL136" s="24" t="e">
        <f>SUMIFS(#REF!,#REF!,$B136,#REF!,BL$1)</f>
        <v>#REF!</v>
      </c>
      <c r="BM136" s="24" t="e">
        <f>SUMIFS(#REF!,#REF!,$B136,#REF!,BM$1)</f>
        <v>#REF!</v>
      </c>
      <c r="BN136" s="24" t="e">
        <f>SUMIFS(#REF!,#REF!,$B136,#REF!,BN$1)</f>
        <v>#REF!</v>
      </c>
      <c r="BO136" s="24" t="e">
        <f>SUMIFS(#REF!,#REF!,$B136,#REF!,BO$1)</f>
        <v>#REF!</v>
      </c>
      <c r="BP136" s="24" t="e">
        <f>SUMIFS(#REF!,#REF!,$B136,#REF!,BP$1)</f>
        <v>#REF!</v>
      </c>
      <c r="BQ136" s="24" t="e">
        <f>SUMIFS(#REF!,#REF!,$B136,#REF!,BQ$1)</f>
        <v>#REF!</v>
      </c>
      <c r="BR136" s="24" t="e">
        <f>SUMIFS(#REF!,#REF!,$B136,#REF!,BR$1)</f>
        <v>#REF!</v>
      </c>
      <c r="BS136" s="24" t="e">
        <f>SUMIFS(#REF!,#REF!,$B136,#REF!,BS$1)</f>
        <v>#REF!</v>
      </c>
      <c r="BT136" s="24" t="e">
        <f>SUMIFS(#REF!,#REF!,$B136,#REF!,BT$1)</f>
        <v>#REF!</v>
      </c>
      <c r="BU136" s="24" t="e">
        <f>SUMIFS(#REF!,#REF!,$B136,#REF!,BU$1)</f>
        <v>#REF!</v>
      </c>
      <c r="BV136" s="24" t="e">
        <f>SUMIFS(#REF!,#REF!,$B136,#REF!,BV$1)</f>
        <v>#REF!</v>
      </c>
      <c r="BW136" s="24" t="e">
        <f>SUMIFS(#REF!,#REF!,$B136,#REF!,BW$1)</f>
        <v>#REF!</v>
      </c>
      <c r="BX136" s="24" t="e">
        <f>SUMIFS(#REF!,#REF!,$B136,#REF!,BX$1)</f>
        <v>#REF!</v>
      </c>
      <c r="BY136" s="24" t="e">
        <f>SUMIFS(#REF!,#REF!,$B136,#REF!,BY$1)</f>
        <v>#REF!</v>
      </c>
      <c r="BZ136" s="24" t="e">
        <f>SUMIFS(#REF!,#REF!,$B136,#REF!,BZ$1)</f>
        <v>#REF!</v>
      </c>
      <c r="CA136" s="24" t="e">
        <f>SUMIFS(#REF!,#REF!,$B136,#REF!,CA$1)</f>
        <v>#REF!</v>
      </c>
      <c r="CB136" s="24" t="e">
        <f>SUMIFS(#REF!,#REF!,$B136,#REF!,CB$1)</f>
        <v>#REF!</v>
      </c>
      <c r="CC136" s="24" t="e">
        <f>SUMIFS(#REF!,#REF!,$B136,#REF!,CC$1)</f>
        <v>#REF!</v>
      </c>
      <c r="CD136" s="24" t="e">
        <f>SUMIFS(#REF!,#REF!,$B136,#REF!,CD$1)</f>
        <v>#REF!</v>
      </c>
      <c r="CE136" s="24" t="e">
        <f>SUMIFS(#REF!,#REF!,$B136,#REF!,CE$1)</f>
        <v>#REF!</v>
      </c>
      <c r="CF136" s="24" t="e">
        <f>SUMIFS(#REF!,#REF!,$B136,#REF!,CF$1)</f>
        <v>#REF!</v>
      </c>
      <c r="CG136" s="19" t="e">
        <f t="shared" si="2"/>
        <v>#REF!</v>
      </c>
    </row>
    <row r="137" spans="1:85" x14ac:dyDescent="0.45">
      <c r="A137" s="4" t="s">
        <v>1256</v>
      </c>
      <c r="B137" s="4" t="s">
        <v>1257</v>
      </c>
      <c r="C137" s="24" t="e">
        <f>SUMIFS(#REF!,#REF!,$B137,#REF!,C$1)</f>
        <v>#REF!</v>
      </c>
      <c r="D137" s="24" t="e">
        <f>SUMIFS(#REF!,#REF!,$B137,#REF!,D$1)</f>
        <v>#REF!</v>
      </c>
      <c r="E137" s="24" t="e">
        <f>SUMIFS(#REF!,#REF!,$B137,#REF!,E$1)</f>
        <v>#REF!</v>
      </c>
      <c r="F137" s="24" t="e">
        <f>SUMIFS(#REF!,#REF!,$B137,#REF!,F$1)</f>
        <v>#REF!</v>
      </c>
      <c r="G137" s="24" t="e">
        <f>SUMIFS(#REF!,#REF!,$B137,#REF!,G$1)</f>
        <v>#REF!</v>
      </c>
      <c r="H137" s="24" t="e">
        <f>SUMIFS(#REF!,#REF!,$B137,#REF!,H$1)</f>
        <v>#REF!</v>
      </c>
      <c r="I137" s="24" t="e">
        <f>SUMIFS(#REF!,#REF!,$B137,#REF!,I$1)</f>
        <v>#REF!</v>
      </c>
      <c r="J137" s="24" t="e">
        <f>SUMIFS(#REF!,#REF!,$B137,#REF!,J$1)</f>
        <v>#REF!</v>
      </c>
      <c r="K137" s="24" t="e">
        <f>SUMIFS(#REF!,#REF!,$B137,#REF!,K$1)</f>
        <v>#REF!</v>
      </c>
      <c r="L137" s="24" t="e">
        <f>SUMIFS(#REF!,#REF!,$B137,#REF!,L$1)</f>
        <v>#REF!</v>
      </c>
      <c r="M137" s="24" t="e">
        <f>SUMIFS(#REF!,#REF!,$B137,#REF!,M$1)</f>
        <v>#REF!</v>
      </c>
      <c r="N137" s="24" t="e">
        <f>SUMIFS(#REF!,#REF!,$B137,#REF!,N$1)</f>
        <v>#REF!</v>
      </c>
      <c r="O137" s="24" t="e">
        <f>SUMIFS(#REF!,#REF!,$B137,#REF!,O$1)</f>
        <v>#REF!</v>
      </c>
      <c r="P137" s="24" t="e">
        <f>SUMIFS(#REF!,#REF!,$B137,#REF!,P$1)</f>
        <v>#REF!</v>
      </c>
      <c r="Q137" s="24" t="e">
        <f>SUMIFS(#REF!,#REF!,$B137,#REF!,Q$1)</f>
        <v>#REF!</v>
      </c>
      <c r="R137" s="24" t="e">
        <f>SUMIFS(#REF!,#REF!,$B137,#REF!,R$1)</f>
        <v>#REF!</v>
      </c>
      <c r="S137" s="24" t="e">
        <f>SUMIFS(#REF!,#REF!,$B137,#REF!,S$1)</f>
        <v>#REF!</v>
      </c>
      <c r="T137" s="24" t="e">
        <f>SUMIFS(#REF!,#REF!,$B137,#REF!,T$1)</f>
        <v>#REF!</v>
      </c>
      <c r="U137" s="24" t="e">
        <f>SUMIFS(#REF!,#REF!,$B137,#REF!,U$1)</f>
        <v>#REF!</v>
      </c>
      <c r="V137" s="24" t="e">
        <f>SUMIFS(#REF!,#REF!,$B137,#REF!,V$1)</f>
        <v>#REF!</v>
      </c>
      <c r="W137" s="24" t="e">
        <f>SUMIFS(#REF!,#REF!,$B137,#REF!,W$1)</f>
        <v>#REF!</v>
      </c>
      <c r="X137" s="24" t="e">
        <f>SUMIFS(#REF!,#REF!,$B137,#REF!,X$1)</f>
        <v>#REF!</v>
      </c>
      <c r="Y137" s="24" t="e">
        <f>SUMIFS(#REF!,#REF!,$B137,#REF!,Y$1)</f>
        <v>#REF!</v>
      </c>
      <c r="Z137" s="24" t="e">
        <f>SUMIFS(#REF!,#REF!,$B137,#REF!,Z$1)</f>
        <v>#REF!</v>
      </c>
      <c r="AA137" s="24" t="e">
        <f>SUMIFS(#REF!,#REF!,$B137,#REF!,AA$1)</f>
        <v>#REF!</v>
      </c>
      <c r="AB137" s="24" t="e">
        <f>SUMIFS(#REF!,#REF!,$B137,#REF!,AB$1)</f>
        <v>#REF!</v>
      </c>
      <c r="AC137" s="24" t="e">
        <f>SUMIFS(#REF!,#REF!,$B137,#REF!,AC$1)</f>
        <v>#REF!</v>
      </c>
      <c r="AD137" s="24" t="e">
        <f>SUMIFS(#REF!,#REF!,$B137,#REF!,AD$1)</f>
        <v>#REF!</v>
      </c>
      <c r="AE137" s="24" t="e">
        <f>SUMIFS(#REF!,#REF!,$B137,#REF!,AE$1)</f>
        <v>#REF!</v>
      </c>
      <c r="AF137" s="24" t="e">
        <f>SUMIFS(#REF!,#REF!,$B137,#REF!,AF$1)</f>
        <v>#REF!</v>
      </c>
      <c r="AG137" s="24" t="e">
        <f>SUMIFS(#REF!,#REF!,$B137,#REF!,AG$1)</f>
        <v>#REF!</v>
      </c>
      <c r="AH137" s="24" t="e">
        <f>SUMIFS(#REF!,#REF!,$B137,#REF!,AH$1)</f>
        <v>#REF!</v>
      </c>
      <c r="AI137" s="24" t="e">
        <f>SUMIFS(#REF!,#REF!,$B137,#REF!,AI$1)</f>
        <v>#REF!</v>
      </c>
      <c r="AJ137" s="24" t="e">
        <f>SUMIFS(#REF!,#REF!,$B137,#REF!,AJ$1)</f>
        <v>#REF!</v>
      </c>
      <c r="AK137" s="24" t="e">
        <f>SUMIFS(#REF!,#REF!,$B137,#REF!,AK$1)</f>
        <v>#REF!</v>
      </c>
      <c r="AL137" s="24" t="e">
        <f>SUMIFS(#REF!,#REF!,$B137,#REF!,AL$1)</f>
        <v>#REF!</v>
      </c>
      <c r="AM137" s="24" t="e">
        <f>SUMIFS(#REF!,#REF!,$B137,#REF!,AM$1)</f>
        <v>#REF!</v>
      </c>
      <c r="AN137" s="24" t="e">
        <f>SUMIFS(#REF!,#REF!,$B137,#REF!,AN$1)</f>
        <v>#REF!</v>
      </c>
      <c r="AO137" s="24" t="e">
        <f>SUMIFS(#REF!,#REF!,$B137,#REF!,AO$1)</f>
        <v>#REF!</v>
      </c>
      <c r="AP137" s="24" t="e">
        <f>SUMIFS(#REF!,#REF!,$B137,#REF!,AP$1)</f>
        <v>#REF!</v>
      </c>
      <c r="AQ137" s="24" t="e">
        <f>SUMIFS(#REF!,#REF!,$B137,#REF!,AQ$1)</f>
        <v>#REF!</v>
      </c>
      <c r="AR137" s="24" t="e">
        <f>SUMIFS(#REF!,#REF!,$B137,#REF!,AR$1)</f>
        <v>#REF!</v>
      </c>
      <c r="AS137" s="24" t="e">
        <f>SUMIFS(#REF!,#REF!,$B137,#REF!,AS$1)</f>
        <v>#REF!</v>
      </c>
      <c r="AT137" s="24" t="e">
        <f>SUMIFS(#REF!,#REF!,$B137,#REF!,AT$1)</f>
        <v>#REF!</v>
      </c>
      <c r="AU137" s="24" t="e">
        <f>SUMIFS(#REF!,#REF!,$B137,#REF!,AU$1)</f>
        <v>#REF!</v>
      </c>
      <c r="AV137" s="24" t="e">
        <f>SUMIFS(#REF!,#REF!,$B137,#REF!,AV$1)</f>
        <v>#REF!</v>
      </c>
      <c r="AW137" s="24" t="e">
        <f>SUMIFS(#REF!,#REF!,$B137,#REF!,AW$1)</f>
        <v>#REF!</v>
      </c>
      <c r="AX137" s="24" t="e">
        <f>SUMIFS(#REF!,#REF!,$B137,#REF!,AX$1)</f>
        <v>#REF!</v>
      </c>
      <c r="AY137" s="24" t="e">
        <f>SUMIFS(#REF!,#REF!,$B137,#REF!,AY$1)</f>
        <v>#REF!</v>
      </c>
      <c r="AZ137" s="24" t="e">
        <f>SUMIFS(#REF!,#REF!,$B137,#REF!,AZ$1)</f>
        <v>#REF!</v>
      </c>
      <c r="BA137" s="24" t="e">
        <f>SUMIFS(#REF!,#REF!,$B137,#REF!,BA$1)</f>
        <v>#REF!</v>
      </c>
      <c r="BB137" s="24" t="e">
        <f>SUMIFS(#REF!,#REF!,$B137,#REF!,BB$1)</f>
        <v>#REF!</v>
      </c>
      <c r="BC137" s="24" t="e">
        <f>SUMIFS(#REF!,#REF!,$B137,#REF!,BC$1)</f>
        <v>#REF!</v>
      </c>
      <c r="BD137" s="24" t="e">
        <f>SUMIFS(#REF!,#REF!,$B137,#REF!,BD$1)</f>
        <v>#REF!</v>
      </c>
      <c r="BE137" s="24" t="e">
        <f>SUMIFS(#REF!,#REF!,$B137,#REF!,BE$1)</f>
        <v>#REF!</v>
      </c>
      <c r="BF137" s="24" t="e">
        <f>SUMIFS(#REF!,#REF!,$B137,#REF!,BF$1)</f>
        <v>#REF!</v>
      </c>
      <c r="BG137" s="24" t="e">
        <f>SUMIFS(#REF!,#REF!,$B137,#REF!,BG$1)</f>
        <v>#REF!</v>
      </c>
      <c r="BH137" s="24" t="e">
        <f>SUMIFS(#REF!,#REF!,$B137,#REF!,BH$1)</f>
        <v>#REF!</v>
      </c>
      <c r="BI137" s="24" t="e">
        <f>SUMIFS(#REF!,#REF!,$B137,#REF!,BI$1)</f>
        <v>#REF!</v>
      </c>
      <c r="BJ137" s="24" t="e">
        <f>SUMIFS(#REF!,#REF!,$B137,#REF!,BJ$1)</f>
        <v>#REF!</v>
      </c>
      <c r="BK137" s="24" t="e">
        <f>SUMIFS(#REF!,#REF!,$B137,#REF!,BK$1)</f>
        <v>#REF!</v>
      </c>
      <c r="BL137" s="24" t="e">
        <f>SUMIFS(#REF!,#REF!,$B137,#REF!,BL$1)</f>
        <v>#REF!</v>
      </c>
      <c r="BM137" s="24" t="e">
        <f>SUMIFS(#REF!,#REF!,$B137,#REF!,BM$1)</f>
        <v>#REF!</v>
      </c>
      <c r="BN137" s="24" t="e">
        <f>SUMIFS(#REF!,#REF!,$B137,#REF!,BN$1)</f>
        <v>#REF!</v>
      </c>
      <c r="BO137" s="24" t="e">
        <f>SUMIFS(#REF!,#REF!,$B137,#REF!,BO$1)</f>
        <v>#REF!</v>
      </c>
      <c r="BP137" s="24" t="e">
        <f>SUMIFS(#REF!,#REF!,$B137,#REF!,BP$1)</f>
        <v>#REF!</v>
      </c>
      <c r="BQ137" s="24" t="e">
        <f>SUMIFS(#REF!,#REF!,$B137,#REF!,BQ$1)</f>
        <v>#REF!</v>
      </c>
      <c r="BR137" s="24" t="e">
        <f>SUMIFS(#REF!,#REF!,$B137,#REF!,BR$1)</f>
        <v>#REF!</v>
      </c>
      <c r="BS137" s="24" t="e">
        <f>SUMIFS(#REF!,#REF!,$B137,#REF!,BS$1)</f>
        <v>#REF!</v>
      </c>
      <c r="BT137" s="24" t="e">
        <f>SUMIFS(#REF!,#REF!,$B137,#REF!,BT$1)</f>
        <v>#REF!</v>
      </c>
      <c r="BU137" s="24" t="e">
        <f>SUMIFS(#REF!,#REF!,$B137,#REF!,BU$1)</f>
        <v>#REF!</v>
      </c>
      <c r="BV137" s="24" t="e">
        <f>SUMIFS(#REF!,#REF!,$B137,#REF!,BV$1)</f>
        <v>#REF!</v>
      </c>
      <c r="BW137" s="24" t="e">
        <f>SUMIFS(#REF!,#REF!,$B137,#REF!,BW$1)</f>
        <v>#REF!</v>
      </c>
      <c r="BX137" s="24" t="e">
        <f>SUMIFS(#REF!,#REF!,$B137,#REF!,BX$1)</f>
        <v>#REF!</v>
      </c>
      <c r="BY137" s="24" t="e">
        <f>SUMIFS(#REF!,#REF!,$B137,#REF!,BY$1)</f>
        <v>#REF!</v>
      </c>
      <c r="BZ137" s="24" t="e">
        <f>SUMIFS(#REF!,#REF!,$B137,#REF!,BZ$1)</f>
        <v>#REF!</v>
      </c>
      <c r="CA137" s="24" t="e">
        <f>SUMIFS(#REF!,#REF!,$B137,#REF!,CA$1)</f>
        <v>#REF!</v>
      </c>
      <c r="CB137" s="24" t="e">
        <f>SUMIFS(#REF!,#REF!,$B137,#REF!,CB$1)</f>
        <v>#REF!</v>
      </c>
      <c r="CC137" s="24" t="e">
        <f>SUMIFS(#REF!,#REF!,$B137,#REF!,CC$1)</f>
        <v>#REF!</v>
      </c>
      <c r="CD137" s="24" t="e">
        <f>SUMIFS(#REF!,#REF!,$B137,#REF!,CD$1)</f>
        <v>#REF!</v>
      </c>
      <c r="CE137" s="24" t="e">
        <f>SUMIFS(#REF!,#REF!,$B137,#REF!,CE$1)</f>
        <v>#REF!</v>
      </c>
      <c r="CF137" s="24" t="e">
        <f>SUMIFS(#REF!,#REF!,$B137,#REF!,CF$1)</f>
        <v>#REF!</v>
      </c>
      <c r="CG137" s="19" t="e">
        <f t="shared" si="2"/>
        <v>#REF!</v>
      </c>
    </row>
    <row r="138" spans="1:85" x14ac:dyDescent="0.45">
      <c r="A138" s="4" t="s">
        <v>1258</v>
      </c>
      <c r="B138" s="4" t="s">
        <v>1259</v>
      </c>
      <c r="C138" s="24" t="e">
        <f>SUMIFS(#REF!,#REF!,$B138,#REF!,C$1)</f>
        <v>#REF!</v>
      </c>
      <c r="D138" s="24" t="e">
        <f>SUMIFS(#REF!,#REF!,$B138,#REF!,D$1)</f>
        <v>#REF!</v>
      </c>
      <c r="E138" s="24" t="e">
        <f>SUMIFS(#REF!,#REF!,$B138,#REF!,E$1)</f>
        <v>#REF!</v>
      </c>
      <c r="F138" s="24" t="e">
        <f>SUMIFS(#REF!,#REF!,$B138,#REF!,F$1)</f>
        <v>#REF!</v>
      </c>
      <c r="G138" s="24" t="e">
        <f>SUMIFS(#REF!,#REF!,$B138,#REF!,G$1)</f>
        <v>#REF!</v>
      </c>
      <c r="H138" s="24" t="e">
        <f>SUMIFS(#REF!,#REF!,$B138,#REF!,H$1)</f>
        <v>#REF!</v>
      </c>
      <c r="I138" s="24" t="e">
        <f>SUMIFS(#REF!,#REF!,$B138,#REF!,I$1)</f>
        <v>#REF!</v>
      </c>
      <c r="J138" s="24" t="e">
        <f>SUMIFS(#REF!,#REF!,$B138,#REF!,J$1)</f>
        <v>#REF!</v>
      </c>
      <c r="K138" s="24" t="e">
        <f>SUMIFS(#REF!,#REF!,$B138,#REF!,K$1)</f>
        <v>#REF!</v>
      </c>
      <c r="L138" s="24" t="e">
        <f>SUMIFS(#REF!,#REF!,$B138,#REF!,L$1)</f>
        <v>#REF!</v>
      </c>
      <c r="M138" s="24" t="e">
        <f>SUMIFS(#REF!,#REF!,$B138,#REF!,M$1)</f>
        <v>#REF!</v>
      </c>
      <c r="N138" s="24" t="e">
        <f>SUMIFS(#REF!,#REF!,$B138,#REF!,N$1)</f>
        <v>#REF!</v>
      </c>
      <c r="O138" s="24" t="e">
        <f>SUMIFS(#REF!,#REF!,$B138,#REF!,O$1)</f>
        <v>#REF!</v>
      </c>
      <c r="P138" s="24" t="e">
        <f>SUMIFS(#REF!,#REF!,$B138,#REF!,P$1)</f>
        <v>#REF!</v>
      </c>
      <c r="Q138" s="24" t="e">
        <f>SUMIFS(#REF!,#REF!,$B138,#REF!,Q$1)</f>
        <v>#REF!</v>
      </c>
      <c r="R138" s="24" t="e">
        <f>SUMIFS(#REF!,#REF!,$B138,#REF!,R$1)</f>
        <v>#REF!</v>
      </c>
      <c r="S138" s="24" t="e">
        <f>SUMIFS(#REF!,#REF!,$B138,#REF!,S$1)</f>
        <v>#REF!</v>
      </c>
      <c r="T138" s="24" t="e">
        <f>SUMIFS(#REF!,#REF!,$B138,#REF!,T$1)</f>
        <v>#REF!</v>
      </c>
      <c r="U138" s="24" t="e">
        <f>SUMIFS(#REF!,#REF!,$B138,#REF!,U$1)</f>
        <v>#REF!</v>
      </c>
      <c r="V138" s="24" t="e">
        <f>SUMIFS(#REF!,#REF!,$B138,#REF!,V$1)</f>
        <v>#REF!</v>
      </c>
      <c r="W138" s="24" t="e">
        <f>SUMIFS(#REF!,#REF!,$B138,#REF!,W$1)</f>
        <v>#REF!</v>
      </c>
      <c r="X138" s="24" t="e">
        <f>SUMIFS(#REF!,#REF!,$B138,#REF!,X$1)</f>
        <v>#REF!</v>
      </c>
      <c r="Y138" s="24" t="e">
        <f>SUMIFS(#REF!,#REF!,$B138,#REF!,Y$1)</f>
        <v>#REF!</v>
      </c>
      <c r="Z138" s="24" t="e">
        <f>SUMIFS(#REF!,#REF!,$B138,#REF!,Z$1)</f>
        <v>#REF!</v>
      </c>
      <c r="AA138" s="24" t="e">
        <f>SUMIFS(#REF!,#REF!,$B138,#REF!,AA$1)</f>
        <v>#REF!</v>
      </c>
      <c r="AB138" s="24" t="e">
        <f>SUMIFS(#REF!,#REF!,$B138,#REF!,AB$1)</f>
        <v>#REF!</v>
      </c>
      <c r="AC138" s="24" t="e">
        <f>SUMIFS(#REF!,#REF!,$B138,#REF!,AC$1)</f>
        <v>#REF!</v>
      </c>
      <c r="AD138" s="24" t="e">
        <f>SUMIFS(#REF!,#REF!,$B138,#REF!,AD$1)</f>
        <v>#REF!</v>
      </c>
      <c r="AE138" s="24" t="e">
        <f>SUMIFS(#REF!,#REF!,$B138,#REF!,AE$1)</f>
        <v>#REF!</v>
      </c>
      <c r="AF138" s="24" t="e">
        <f>SUMIFS(#REF!,#REF!,$B138,#REF!,AF$1)</f>
        <v>#REF!</v>
      </c>
      <c r="AG138" s="24" t="e">
        <f>SUMIFS(#REF!,#REF!,$B138,#REF!,AG$1)</f>
        <v>#REF!</v>
      </c>
      <c r="AH138" s="24" t="e">
        <f>SUMIFS(#REF!,#REF!,$B138,#REF!,AH$1)</f>
        <v>#REF!</v>
      </c>
      <c r="AI138" s="24" t="e">
        <f>SUMIFS(#REF!,#REF!,$B138,#REF!,AI$1)</f>
        <v>#REF!</v>
      </c>
      <c r="AJ138" s="24" t="e">
        <f>SUMIFS(#REF!,#REF!,$B138,#REF!,AJ$1)</f>
        <v>#REF!</v>
      </c>
      <c r="AK138" s="24" t="e">
        <f>SUMIFS(#REF!,#REF!,$B138,#REF!,AK$1)</f>
        <v>#REF!</v>
      </c>
      <c r="AL138" s="24" t="e">
        <f>SUMIFS(#REF!,#REF!,$B138,#REF!,AL$1)</f>
        <v>#REF!</v>
      </c>
      <c r="AM138" s="24" t="e">
        <f>SUMIFS(#REF!,#REF!,$B138,#REF!,AM$1)</f>
        <v>#REF!</v>
      </c>
      <c r="AN138" s="24" t="e">
        <f>SUMIFS(#REF!,#REF!,$B138,#REF!,AN$1)</f>
        <v>#REF!</v>
      </c>
      <c r="AO138" s="24" t="e">
        <f>SUMIFS(#REF!,#REF!,$B138,#REF!,AO$1)</f>
        <v>#REF!</v>
      </c>
      <c r="AP138" s="24" t="e">
        <f>SUMIFS(#REF!,#REF!,$B138,#REF!,AP$1)</f>
        <v>#REF!</v>
      </c>
      <c r="AQ138" s="24" t="e">
        <f>SUMIFS(#REF!,#REF!,$B138,#REF!,AQ$1)</f>
        <v>#REF!</v>
      </c>
      <c r="AR138" s="24" t="e">
        <f>SUMIFS(#REF!,#REF!,$B138,#REF!,AR$1)</f>
        <v>#REF!</v>
      </c>
      <c r="AS138" s="24" t="e">
        <f>SUMIFS(#REF!,#REF!,$B138,#REF!,AS$1)</f>
        <v>#REF!</v>
      </c>
      <c r="AT138" s="24" t="e">
        <f>SUMIFS(#REF!,#REF!,$B138,#REF!,AT$1)</f>
        <v>#REF!</v>
      </c>
      <c r="AU138" s="24" t="e">
        <f>SUMIFS(#REF!,#REF!,$B138,#REF!,AU$1)</f>
        <v>#REF!</v>
      </c>
      <c r="AV138" s="24" t="e">
        <f>SUMIFS(#REF!,#REF!,$B138,#REF!,AV$1)</f>
        <v>#REF!</v>
      </c>
      <c r="AW138" s="24" t="e">
        <f>SUMIFS(#REF!,#REF!,$B138,#REF!,AW$1)</f>
        <v>#REF!</v>
      </c>
      <c r="AX138" s="24" t="e">
        <f>SUMIFS(#REF!,#REF!,$B138,#REF!,AX$1)</f>
        <v>#REF!</v>
      </c>
      <c r="AY138" s="24" t="e">
        <f>SUMIFS(#REF!,#REF!,$B138,#REF!,AY$1)</f>
        <v>#REF!</v>
      </c>
      <c r="AZ138" s="24" t="e">
        <f>SUMIFS(#REF!,#REF!,$B138,#REF!,AZ$1)</f>
        <v>#REF!</v>
      </c>
      <c r="BA138" s="24" t="e">
        <f>SUMIFS(#REF!,#REF!,$B138,#REF!,BA$1)</f>
        <v>#REF!</v>
      </c>
      <c r="BB138" s="24" t="e">
        <f>SUMIFS(#REF!,#REF!,$B138,#REF!,BB$1)</f>
        <v>#REF!</v>
      </c>
      <c r="BC138" s="24" t="e">
        <f>SUMIFS(#REF!,#REF!,$B138,#REF!,BC$1)</f>
        <v>#REF!</v>
      </c>
      <c r="BD138" s="24" t="e">
        <f>SUMIFS(#REF!,#REF!,$B138,#REF!,BD$1)</f>
        <v>#REF!</v>
      </c>
      <c r="BE138" s="24" t="e">
        <f>SUMIFS(#REF!,#REF!,$B138,#REF!,BE$1)</f>
        <v>#REF!</v>
      </c>
      <c r="BF138" s="24" t="e">
        <f>SUMIFS(#REF!,#REF!,$B138,#REF!,BF$1)</f>
        <v>#REF!</v>
      </c>
      <c r="BG138" s="24" t="e">
        <f>SUMIFS(#REF!,#REF!,$B138,#REF!,BG$1)</f>
        <v>#REF!</v>
      </c>
      <c r="BH138" s="24" t="e">
        <f>SUMIFS(#REF!,#REF!,$B138,#REF!,BH$1)</f>
        <v>#REF!</v>
      </c>
      <c r="BI138" s="24" t="e">
        <f>SUMIFS(#REF!,#REF!,$B138,#REF!,BI$1)</f>
        <v>#REF!</v>
      </c>
      <c r="BJ138" s="24" t="e">
        <f>SUMIFS(#REF!,#REF!,$B138,#REF!,BJ$1)</f>
        <v>#REF!</v>
      </c>
      <c r="BK138" s="24" t="e">
        <f>SUMIFS(#REF!,#REF!,$B138,#REF!,BK$1)</f>
        <v>#REF!</v>
      </c>
      <c r="BL138" s="24" t="e">
        <f>SUMIFS(#REF!,#REF!,$B138,#REF!,BL$1)</f>
        <v>#REF!</v>
      </c>
      <c r="BM138" s="24" t="e">
        <f>SUMIFS(#REF!,#REF!,$B138,#REF!,BM$1)</f>
        <v>#REF!</v>
      </c>
      <c r="BN138" s="24" t="e">
        <f>SUMIFS(#REF!,#REF!,$B138,#REF!,BN$1)</f>
        <v>#REF!</v>
      </c>
      <c r="BO138" s="24" t="e">
        <f>SUMIFS(#REF!,#REF!,$B138,#REF!,BO$1)</f>
        <v>#REF!</v>
      </c>
      <c r="BP138" s="24" t="e">
        <f>SUMIFS(#REF!,#REF!,$B138,#REF!,BP$1)</f>
        <v>#REF!</v>
      </c>
      <c r="BQ138" s="24" t="e">
        <f>SUMIFS(#REF!,#REF!,$B138,#REF!,BQ$1)</f>
        <v>#REF!</v>
      </c>
      <c r="BR138" s="24" t="e">
        <f>SUMIFS(#REF!,#REF!,$B138,#REF!,BR$1)</f>
        <v>#REF!</v>
      </c>
      <c r="BS138" s="24" t="e">
        <f>SUMIFS(#REF!,#REF!,$B138,#REF!,BS$1)</f>
        <v>#REF!</v>
      </c>
      <c r="BT138" s="24" t="e">
        <f>SUMIFS(#REF!,#REF!,$B138,#REF!,BT$1)</f>
        <v>#REF!</v>
      </c>
      <c r="BU138" s="24" t="e">
        <f>SUMIFS(#REF!,#REF!,$B138,#REF!,BU$1)</f>
        <v>#REF!</v>
      </c>
      <c r="BV138" s="24" t="e">
        <f>SUMIFS(#REF!,#REF!,$B138,#REF!,BV$1)</f>
        <v>#REF!</v>
      </c>
      <c r="BW138" s="24" t="e">
        <f>SUMIFS(#REF!,#REF!,$B138,#REF!,BW$1)</f>
        <v>#REF!</v>
      </c>
      <c r="BX138" s="24" t="e">
        <f>SUMIFS(#REF!,#REF!,$B138,#REF!,BX$1)</f>
        <v>#REF!</v>
      </c>
      <c r="BY138" s="24" t="e">
        <f>SUMIFS(#REF!,#REF!,$B138,#REF!,BY$1)</f>
        <v>#REF!</v>
      </c>
      <c r="BZ138" s="24" t="e">
        <f>SUMIFS(#REF!,#REF!,$B138,#REF!,BZ$1)</f>
        <v>#REF!</v>
      </c>
      <c r="CA138" s="24" t="e">
        <f>SUMIFS(#REF!,#REF!,$B138,#REF!,CA$1)</f>
        <v>#REF!</v>
      </c>
      <c r="CB138" s="24" t="e">
        <f>SUMIFS(#REF!,#REF!,$B138,#REF!,CB$1)</f>
        <v>#REF!</v>
      </c>
      <c r="CC138" s="24" t="e">
        <f>SUMIFS(#REF!,#REF!,$B138,#REF!,CC$1)</f>
        <v>#REF!</v>
      </c>
      <c r="CD138" s="24" t="e">
        <f>SUMIFS(#REF!,#REF!,$B138,#REF!,CD$1)</f>
        <v>#REF!</v>
      </c>
      <c r="CE138" s="24" t="e">
        <f>SUMIFS(#REF!,#REF!,$B138,#REF!,CE$1)</f>
        <v>#REF!</v>
      </c>
      <c r="CF138" s="24" t="e">
        <f>SUMIFS(#REF!,#REF!,$B138,#REF!,CF$1)</f>
        <v>#REF!</v>
      </c>
      <c r="CG138" s="19" t="e">
        <f t="shared" si="2"/>
        <v>#REF!</v>
      </c>
    </row>
    <row r="139" spans="1:85" x14ac:dyDescent="0.45">
      <c r="A139" s="4" t="s">
        <v>1260</v>
      </c>
      <c r="B139" s="4" t="s">
        <v>1261</v>
      </c>
      <c r="C139" s="24" t="e">
        <f>SUMIFS(#REF!,#REF!,$B139,#REF!,C$1)</f>
        <v>#REF!</v>
      </c>
      <c r="D139" s="24" t="e">
        <f>SUMIFS(#REF!,#REF!,$B139,#REF!,D$1)</f>
        <v>#REF!</v>
      </c>
      <c r="E139" s="24" t="e">
        <f>SUMIFS(#REF!,#REF!,$B139,#REF!,E$1)</f>
        <v>#REF!</v>
      </c>
      <c r="F139" s="24" t="e">
        <f>SUMIFS(#REF!,#REF!,$B139,#REF!,F$1)</f>
        <v>#REF!</v>
      </c>
      <c r="G139" s="24" t="e">
        <f>SUMIFS(#REF!,#REF!,$B139,#REF!,G$1)</f>
        <v>#REF!</v>
      </c>
      <c r="H139" s="24" t="e">
        <f>SUMIFS(#REF!,#REF!,$B139,#REF!,H$1)</f>
        <v>#REF!</v>
      </c>
      <c r="I139" s="24" t="e">
        <f>SUMIFS(#REF!,#REF!,$B139,#REF!,I$1)</f>
        <v>#REF!</v>
      </c>
      <c r="J139" s="24" t="e">
        <f>SUMIFS(#REF!,#REF!,$B139,#REF!,J$1)</f>
        <v>#REF!</v>
      </c>
      <c r="K139" s="24" t="e">
        <f>SUMIFS(#REF!,#REF!,$B139,#REF!,K$1)</f>
        <v>#REF!</v>
      </c>
      <c r="L139" s="24" t="e">
        <f>SUMIFS(#REF!,#REF!,$B139,#REF!,L$1)</f>
        <v>#REF!</v>
      </c>
      <c r="M139" s="24" t="e">
        <f>SUMIFS(#REF!,#REF!,$B139,#REF!,M$1)</f>
        <v>#REF!</v>
      </c>
      <c r="N139" s="24" t="e">
        <f>SUMIFS(#REF!,#REF!,$B139,#REF!,N$1)</f>
        <v>#REF!</v>
      </c>
      <c r="O139" s="24" t="e">
        <f>SUMIFS(#REF!,#REF!,$B139,#REF!,O$1)</f>
        <v>#REF!</v>
      </c>
      <c r="P139" s="24" t="e">
        <f>SUMIFS(#REF!,#REF!,$B139,#REF!,P$1)</f>
        <v>#REF!</v>
      </c>
      <c r="Q139" s="24" t="e">
        <f>SUMIFS(#REF!,#REF!,$B139,#REF!,Q$1)</f>
        <v>#REF!</v>
      </c>
      <c r="R139" s="24" t="e">
        <f>SUMIFS(#REF!,#REF!,$B139,#REF!,R$1)</f>
        <v>#REF!</v>
      </c>
      <c r="S139" s="24" t="e">
        <f>SUMIFS(#REF!,#REF!,$B139,#REF!,S$1)</f>
        <v>#REF!</v>
      </c>
      <c r="T139" s="24" t="e">
        <f>SUMIFS(#REF!,#REF!,$B139,#REF!,T$1)</f>
        <v>#REF!</v>
      </c>
      <c r="U139" s="24" t="e">
        <f>SUMIFS(#REF!,#REF!,$B139,#REF!,U$1)</f>
        <v>#REF!</v>
      </c>
      <c r="V139" s="24" t="e">
        <f>SUMIFS(#REF!,#REF!,$B139,#REF!,V$1)</f>
        <v>#REF!</v>
      </c>
      <c r="W139" s="24" t="e">
        <f>SUMIFS(#REF!,#REF!,$B139,#REF!,W$1)</f>
        <v>#REF!</v>
      </c>
      <c r="X139" s="24" t="e">
        <f>SUMIFS(#REF!,#REF!,$B139,#REF!,X$1)</f>
        <v>#REF!</v>
      </c>
      <c r="Y139" s="24" t="e">
        <f>SUMIFS(#REF!,#REF!,$B139,#REF!,Y$1)</f>
        <v>#REF!</v>
      </c>
      <c r="Z139" s="24" t="e">
        <f>SUMIFS(#REF!,#REF!,$B139,#REF!,Z$1)</f>
        <v>#REF!</v>
      </c>
      <c r="AA139" s="24" t="e">
        <f>SUMIFS(#REF!,#REF!,$B139,#REF!,AA$1)</f>
        <v>#REF!</v>
      </c>
      <c r="AB139" s="24" t="e">
        <f>SUMIFS(#REF!,#REF!,$B139,#REF!,AB$1)</f>
        <v>#REF!</v>
      </c>
      <c r="AC139" s="24" t="e">
        <f>SUMIFS(#REF!,#REF!,$B139,#REF!,AC$1)</f>
        <v>#REF!</v>
      </c>
      <c r="AD139" s="24" t="e">
        <f>SUMIFS(#REF!,#REF!,$B139,#REF!,AD$1)</f>
        <v>#REF!</v>
      </c>
      <c r="AE139" s="24" t="e">
        <f>SUMIFS(#REF!,#REF!,$B139,#REF!,AE$1)</f>
        <v>#REF!</v>
      </c>
      <c r="AF139" s="24" t="e">
        <f>SUMIFS(#REF!,#REF!,$B139,#REF!,AF$1)</f>
        <v>#REF!</v>
      </c>
      <c r="AG139" s="24" t="e">
        <f>SUMIFS(#REF!,#REF!,$B139,#REF!,AG$1)</f>
        <v>#REF!</v>
      </c>
      <c r="AH139" s="24" t="e">
        <f>SUMIFS(#REF!,#REF!,$B139,#REF!,AH$1)</f>
        <v>#REF!</v>
      </c>
      <c r="AI139" s="24" t="e">
        <f>SUMIFS(#REF!,#REF!,$B139,#REF!,AI$1)</f>
        <v>#REF!</v>
      </c>
      <c r="AJ139" s="24" t="e">
        <f>SUMIFS(#REF!,#REF!,$B139,#REF!,AJ$1)</f>
        <v>#REF!</v>
      </c>
      <c r="AK139" s="24" t="e">
        <f>SUMIFS(#REF!,#REF!,$B139,#REF!,AK$1)</f>
        <v>#REF!</v>
      </c>
      <c r="AL139" s="24" t="e">
        <f>SUMIFS(#REF!,#REF!,$B139,#REF!,AL$1)</f>
        <v>#REF!</v>
      </c>
      <c r="AM139" s="24" t="e">
        <f>SUMIFS(#REF!,#REF!,$B139,#REF!,AM$1)</f>
        <v>#REF!</v>
      </c>
      <c r="AN139" s="24" t="e">
        <f>SUMIFS(#REF!,#REF!,$B139,#REF!,AN$1)</f>
        <v>#REF!</v>
      </c>
      <c r="AO139" s="24" t="e">
        <f>SUMIFS(#REF!,#REF!,$B139,#REF!,AO$1)</f>
        <v>#REF!</v>
      </c>
      <c r="AP139" s="24" t="e">
        <f>SUMIFS(#REF!,#REF!,$B139,#REF!,AP$1)</f>
        <v>#REF!</v>
      </c>
      <c r="AQ139" s="24" t="e">
        <f>SUMIFS(#REF!,#REF!,$B139,#REF!,AQ$1)</f>
        <v>#REF!</v>
      </c>
      <c r="AR139" s="24" t="e">
        <f>SUMIFS(#REF!,#REF!,$B139,#REF!,AR$1)</f>
        <v>#REF!</v>
      </c>
      <c r="AS139" s="24" t="e">
        <f>SUMIFS(#REF!,#REF!,$B139,#REF!,AS$1)</f>
        <v>#REF!</v>
      </c>
      <c r="AT139" s="24" t="e">
        <f>SUMIFS(#REF!,#REF!,$B139,#REF!,AT$1)</f>
        <v>#REF!</v>
      </c>
      <c r="AU139" s="24" t="e">
        <f>SUMIFS(#REF!,#REF!,$B139,#REF!,AU$1)</f>
        <v>#REF!</v>
      </c>
      <c r="AV139" s="24" t="e">
        <f>SUMIFS(#REF!,#REF!,$B139,#REF!,AV$1)</f>
        <v>#REF!</v>
      </c>
      <c r="AW139" s="24" t="e">
        <f>SUMIFS(#REF!,#REF!,$B139,#REF!,AW$1)</f>
        <v>#REF!</v>
      </c>
      <c r="AX139" s="24" t="e">
        <f>SUMIFS(#REF!,#REF!,$B139,#REF!,AX$1)</f>
        <v>#REF!</v>
      </c>
      <c r="AY139" s="24" t="e">
        <f>SUMIFS(#REF!,#REF!,$B139,#REF!,AY$1)</f>
        <v>#REF!</v>
      </c>
      <c r="AZ139" s="24" t="e">
        <f>SUMIFS(#REF!,#REF!,$B139,#REF!,AZ$1)</f>
        <v>#REF!</v>
      </c>
      <c r="BA139" s="24" t="e">
        <f>SUMIFS(#REF!,#REF!,$B139,#REF!,BA$1)</f>
        <v>#REF!</v>
      </c>
      <c r="BB139" s="24" t="e">
        <f>SUMIFS(#REF!,#REF!,$B139,#REF!,BB$1)</f>
        <v>#REF!</v>
      </c>
      <c r="BC139" s="24" t="e">
        <f>SUMIFS(#REF!,#REF!,$B139,#REF!,BC$1)</f>
        <v>#REF!</v>
      </c>
      <c r="BD139" s="24" t="e">
        <f>SUMIFS(#REF!,#REF!,$B139,#REF!,BD$1)</f>
        <v>#REF!</v>
      </c>
      <c r="BE139" s="24" t="e">
        <f>SUMIFS(#REF!,#REF!,$B139,#REF!,BE$1)</f>
        <v>#REF!</v>
      </c>
      <c r="BF139" s="24" t="e">
        <f>SUMIFS(#REF!,#REF!,$B139,#REF!,BF$1)</f>
        <v>#REF!</v>
      </c>
      <c r="BG139" s="24" t="e">
        <f>SUMIFS(#REF!,#REF!,$B139,#REF!,BG$1)</f>
        <v>#REF!</v>
      </c>
      <c r="BH139" s="24" t="e">
        <f>SUMIFS(#REF!,#REF!,$B139,#REF!,BH$1)</f>
        <v>#REF!</v>
      </c>
      <c r="BI139" s="24" t="e">
        <f>SUMIFS(#REF!,#REF!,$B139,#REF!,BI$1)</f>
        <v>#REF!</v>
      </c>
      <c r="BJ139" s="24" t="e">
        <f>SUMIFS(#REF!,#REF!,$B139,#REF!,BJ$1)</f>
        <v>#REF!</v>
      </c>
      <c r="BK139" s="24" t="e">
        <f>SUMIFS(#REF!,#REF!,$B139,#REF!,BK$1)</f>
        <v>#REF!</v>
      </c>
      <c r="BL139" s="24" t="e">
        <f>SUMIFS(#REF!,#REF!,$B139,#REF!,BL$1)</f>
        <v>#REF!</v>
      </c>
      <c r="BM139" s="24" t="e">
        <f>SUMIFS(#REF!,#REF!,$B139,#REF!,BM$1)</f>
        <v>#REF!</v>
      </c>
      <c r="BN139" s="24" t="e">
        <f>SUMIFS(#REF!,#REF!,$B139,#REF!,BN$1)</f>
        <v>#REF!</v>
      </c>
      <c r="BO139" s="24" t="e">
        <f>SUMIFS(#REF!,#REF!,$B139,#REF!,BO$1)</f>
        <v>#REF!</v>
      </c>
      <c r="BP139" s="24" t="e">
        <f>SUMIFS(#REF!,#REF!,$B139,#REF!,BP$1)</f>
        <v>#REF!</v>
      </c>
      <c r="BQ139" s="24" t="e">
        <f>SUMIFS(#REF!,#REF!,$B139,#REF!,BQ$1)</f>
        <v>#REF!</v>
      </c>
      <c r="BR139" s="24" t="e">
        <f>SUMIFS(#REF!,#REF!,$B139,#REF!,BR$1)</f>
        <v>#REF!</v>
      </c>
      <c r="BS139" s="24" t="e">
        <f>SUMIFS(#REF!,#REF!,$B139,#REF!,BS$1)</f>
        <v>#REF!</v>
      </c>
      <c r="BT139" s="24" t="e">
        <f>SUMIFS(#REF!,#REF!,$B139,#REF!,BT$1)</f>
        <v>#REF!</v>
      </c>
      <c r="BU139" s="24" t="e">
        <f>SUMIFS(#REF!,#REF!,$B139,#REF!,BU$1)</f>
        <v>#REF!</v>
      </c>
      <c r="BV139" s="24" t="e">
        <f>SUMIFS(#REF!,#REF!,$B139,#REF!,BV$1)</f>
        <v>#REF!</v>
      </c>
      <c r="BW139" s="24" t="e">
        <f>SUMIFS(#REF!,#REF!,$B139,#REF!,BW$1)</f>
        <v>#REF!</v>
      </c>
      <c r="BX139" s="24" t="e">
        <f>SUMIFS(#REF!,#REF!,$B139,#REF!,BX$1)</f>
        <v>#REF!</v>
      </c>
      <c r="BY139" s="24" t="e">
        <f>SUMIFS(#REF!,#REF!,$B139,#REF!,BY$1)</f>
        <v>#REF!</v>
      </c>
      <c r="BZ139" s="24" t="e">
        <f>SUMIFS(#REF!,#REF!,$B139,#REF!,BZ$1)</f>
        <v>#REF!</v>
      </c>
      <c r="CA139" s="24" t="e">
        <f>SUMIFS(#REF!,#REF!,$B139,#REF!,CA$1)</f>
        <v>#REF!</v>
      </c>
      <c r="CB139" s="24" t="e">
        <f>SUMIFS(#REF!,#REF!,$B139,#REF!,CB$1)</f>
        <v>#REF!</v>
      </c>
      <c r="CC139" s="24" t="e">
        <f>SUMIFS(#REF!,#REF!,$B139,#REF!,CC$1)</f>
        <v>#REF!</v>
      </c>
      <c r="CD139" s="24" t="e">
        <f>SUMIFS(#REF!,#REF!,$B139,#REF!,CD$1)</f>
        <v>#REF!</v>
      </c>
      <c r="CE139" s="24" t="e">
        <f>SUMIFS(#REF!,#REF!,$B139,#REF!,CE$1)</f>
        <v>#REF!</v>
      </c>
      <c r="CF139" s="24" t="e">
        <f>SUMIFS(#REF!,#REF!,$B139,#REF!,CF$1)</f>
        <v>#REF!</v>
      </c>
      <c r="CG139" s="19" t="e">
        <f t="shared" si="2"/>
        <v>#REF!</v>
      </c>
    </row>
    <row r="140" spans="1:85" x14ac:dyDescent="0.45">
      <c r="A140" s="4" t="s">
        <v>1262</v>
      </c>
      <c r="B140" s="4" t="s">
        <v>1263</v>
      </c>
      <c r="C140" s="24" t="e">
        <f>SUMIFS(#REF!,#REF!,$B140,#REF!,C$1)</f>
        <v>#REF!</v>
      </c>
      <c r="D140" s="24" t="e">
        <f>SUMIFS(#REF!,#REF!,$B140,#REF!,D$1)</f>
        <v>#REF!</v>
      </c>
      <c r="E140" s="24" t="e">
        <f>SUMIFS(#REF!,#REF!,$B140,#REF!,E$1)</f>
        <v>#REF!</v>
      </c>
      <c r="F140" s="24" t="e">
        <f>SUMIFS(#REF!,#REF!,$B140,#REF!,F$1)</f>
        <v>#REF!</v>
      </c>
      <c r="G140" s="24" t="e">
        <f>SUMIFS(#REF!,#REF!,$B140,#REF!,G$1)</f>
        <v>#REF!</v>
      </c>
      <c r="H140" s="24" t="e">
        <f>SUMIFS(#REF!,#REF!,$B140,#REF!,H$1)</f>
        <v>#REF!</v>
      </c>
      <c r="I140" s="24" t="e">
        <f>SUMIFS(#REF!,#REF!,$B140,#REF!,I$1)</f>
        <v>#REF!</v>
      </c>
      <c r="J140" s="24" t="e">
        <f>SUMIFS(#REF!,#REF!,$B140,#REF!,J$1)</f>
        <v>#REF!</v>
      </c>
      <c r="K140" s="24" t="e">
        <f>SUMIFS(#REF!,#REF!,$B140,#REF!,K$1)</f>
        <v>#REF!</v>
      </c>
      <c r="L140" s="24" t="e">
        <f>SUMIFS(#REF!,#REF!,$B140,#REF!,L$1)</f>
        <v>#REF!</v>
      </c>
      <c r="M140" s="24" t="e">
        <f>SUMIFS(#REF!,#REF!,$B140,#REF!,M$1)</f>
        <v>#REF!</v>
      </c>
      <c r="N140" s="24" t="e">
        <f>SUMIFS(#REF!,#REF!,$B140,#REF!,N$1)</f>
        <v>#REF!</v>
      </c>
      <c r="O140" s="24" t="e">
        <f>SUMIFS(#REF!,#REF!,$B140,#REF!,O$1)</f>
        <v>#REF!</v>
      </c>
      <c r="P140" s="24" t="e">
        <f>SUMIFS(#REF!,#REF!,$B140,#REF!,P$1)</f>
        <v>#REF!</v>
      </c>
      <c r="Q140" s="24" t="e">
        <f>SUMIFS(#REF!,#REF!,$B140,#REF!,Q$1)</f>
        <v>#REF!</v>
      </c>
      <c r="R140" s="24" t="e">
        <f>SUMIFS(#REF!,#REF!,$B140,#REF!,R$1)</f>
        <v>#REF!</v>
      </c>
      <c r="S140" s="24" t="e">
        <f>SUMIFS(#REF!,#REF!,$B140,#REF!,S$1)</f>
        <v>#REF!</v>
      </c>
      <c r="T140" s="24" t="e">
        <f>SUMIFS(#REF!,#REF!,$B140,#REF!,T$1)</f>
        <v>#REF!</v>
      </c>
      <c r="U140" s="24" t="e">
        <f>SUMIFS(#REF!,#REF!,$B140,#REF!,U$1)</f>
        <v>#REF!</v>
      </c>
      <c r="V140" s="24" t="e">
        <f>SUMIFS(#REF!,#REF!,$B140,#REF!,V$1)</f>
        <v>#REF!</v>
      </c>
      <c r="W140" s="24" t="e">
        <f>SUMIFS(#REF!,#REF!,$B140,#REF!,W$1)</f>
        <v>#REF!</v>
      </c>
      <c r="X140" s="24" t="e">
        <f>SUMIFS(#REF!,#REF!,$B140,#REF!,X$1)</f>
        <v>#REF!</v>
      </c>
      <c r="Y140" s="24" t="e">
        <f>SUMIFS(#REF!,#REF!,$B140,#REF!,Y$1)</f>
        <v>#REF!</v>
      </c>
      <c r="Z140" s="24" t="e">
        <f>SUMIFS(#REF!,#REF!,$B140,#REF!,Z$1)</f>
        <v>#REF!</v>
      </c>
      <c r="AA140" s="24" t="e">
        <f>SUMIFS(#REF!,#REF!,$B140,#REF!,AA$1)</f>
        <v>#REF!</v>
      </c>
      <c r="AB140" s="24" t="e">
        <f>SUMIFS(#REF!,#REF!,$B140,#REF!,AB$1)</f>
        <v>#REF!</v>
      </c>
      <c r="AC140" s="24" t="e">
        <f>SUMIFS(#REF!,#REF!,$B140,#REF!,AC$1)</f>
        <v>#REF!</v>
      </c>
      <c r="AD140" s="24" t="e">
        <f>SUMIFS(#REF!,#REF!,$B140,#REF!,AD$1)</f>
        <v>#REF!</v>
      </c>
      <c r="AE140" s="24" t="e">
        <f>SUMIFS(#REF!,#REF!,$B140,#REF!,AE$1)</f>
        <v>#REF!</v>
      </c>
      <c r="AF140" s="24" t="e">
        <f>SUMIFS(#REF!,#REF!,$B140,#REF!,AF$1)</f>
        <v>#REF!</v>
      </c>
      <c r="AG140" s="24" t="e">
        <f>SUMIFS(#REF!,#REF!,$B140,#REF!,AG$1)</f>
        <v>#REF!</v>
      </c>
      <c r="AH140" s="24" t="e">
        <f>SUMIFS(#REF!,#REF!,$B140,#REF!,AH$1)</f>
        <v>#REF!</v>
      </c>
      <c r="AI140" s="24" t="e">
        <f>SUMIFS(#REF!,#REF!,$B140,#REF!,AI$1)</f>
        <v>#REF!</v>
      </c>
      <c r="AJ140" s="24" t="e">
        <f>SUMIFS(#REF!,#REF!,$B140,#REF!,AJ$1)</f>
        <v>#REF!</v>
      </c>
      <c r="AK140" s="24" t="e">
        <f>SUMIFS(#REF!,#REF!,$B140,#REF!,AK$1)</f>
        <v>#REF!</v>
      </c>
      <c r="AL140" s="24" t="e">
        <f>SUMIFS(#REF!,#REF!,$B140,#REF!,AL$1)</f>
        <v>#REF!</v>
      </c>
      <c r="AM140" s="24" t="e">
        <f>SUMIFS(#REF!,#REF!,$B140,#REF!,AM$1)</f>
        <v>#REF!</v>
      </c>
      <c r="AN140" s="24" t="e">
        <f>SUMIFS(#REF!,#REF!,$B140,#REF!,AN$1)</f>
        <v>#REF!</v>
      </c>
      <c r="AO140" s="24" t="e">
        <f>SUMIFS(#REF!,#REF!,$B140,#REF!,AO$1)</f>
        <v>#REF!</v>
      </c>
      <c r="AP140" s="24" t="e">
        <f>SUMIFS(#REF!,#REF!,$B140,#REF!,AP$1)</f>
        <v>#REF!</v>
      </c>
      <c r="AQ140" s="24" t="e">
        <f>SUMIFS(#REF!,#REF!,$B140,#REF!,AQ$1)</f>
        <v>#REF!</v>
      </c>
      <c r="AR140" s="24" t="e">
        <f>SUMIFS(#REF!,#REF!,$B140,#REF!,AR$1)</f>
        <v>#REF!</v>
      </c>
      <c r="AS140" s="24" t="e">
        <f>SUMIFS(#REF!,#REF!,$B140,#REF!,AS$1)</f>
        <v>#REF!</v>
      </c>
      <c r="AT140" s="24" t="e">
        <f>SUMIFS(#REF!,#REF!,$B140,#REF!,AT$1)</f>
        <v>#REF!</v>
      </c>
      <c r="AU140" s="24" t="e">
        <f>SUMIFS(#REF!,#REF!,$B140,#REF!,AU$1)</f>
        <v>#REF!</v>
      </c>
      <c r="AV140" s="24" t="e">
        <f>SUMIFS(#REF!,#REF!,$B140,#REF!,AV$1)</f>
        <v>#REF!</v>
      </c>
      <c r="AW140" s="24" t="e">
        <f>SUMIFS(#REF!,#REF!,$B140,#REF!,AW$1)</f>
        <v>#REF!</v>
      </c>
      <c r="AX140" s="24" t="e">
        <f>SUMIFS(#REF!,#REF!,$B140,#REF!,AX$1)</f>
        <v>#REF!</v>
      </c>
      <c r="AY140" s="24" t="e">
        <f>SUMIFS(#REF!,#REF!,$B140,#REF!,AY$1)</f>
        <v>#REF!</v>
      </c>
      <c r="AZ140" s="24" t="e">
        <f>SUMIFS(#REF!,#REF!,$B140,#REF!,AZ$1)</f>
        <v>#REF!</v>
      </c>
      <c r="BA140" s="24" t="e">
        <f>SUMIFS(#REF!,#REF!,$B140,#REF!,BA$1)</f>
        <v>#REF!</v>
      </c>
      <c r="BB140" s="24" t="e">
        <f>SUMIFS(#REF!,#REF!,$B140,#REF!,BB$1)</f>
        <v>#REF!</v>
      </c>
      <c r="BC140" s="24" t="e">
        <f>SUMIFS(#REF!,#REF!,$B140,#REF!,BC$1)</f>
        <v>#REF!</v>
      </c>
      <c r="BD140" s="24" t="e">
        <f>SUMIFS(#REF!,#REF!,$B140,#REF!,BD$1)</f>
        <v>#REF!</v>
      </c>
      <c r="BE140" s="24" t="e">
        <f>SUMIFS(#REF!,#REF!,$B140,#REF!,BE$1)</f>
        <v>#REF!</v>
      </c>
      <c r="BF140" s="24" t="e">
        <f>SUMIFS(#REF!,#REF!,$B140,#REF!,BF$1)</f>
        <v>#REF!</v>
      </c>
      <c r="BG140" s="24" t="e">
        <f>SUMIFS(#REF!,#REF!,$B140,#REF!,BG$1)</f>
        <v>#REF!</v>
      </c>
      <c r="BH140" s="24" t="e">
        <f>SUMIFS(#REF!,#REF!,$B140,#REF!,BH$1)</f>
        <v>#REF!</v>
      </c>
      <c r="BI140" s="24" t="e">
        <f>SUMIFS(#REF!,#REF!,$B140,#REF!,BI$1)</f>
        <v>#REF!</v>
      </c>
      <c r="BJ140" s="24" t="e">
        <f>SUMIFS(#REF!,#REF!,$B140,#REF!,BJ$1)</f>
        <v>#REF!</v>
      </c>
      <c r="BK140" s="24" t="e">
        <f>SUMIFS(#REF!,#REF!,$B140,#REF!,BK$1)</f>
        <v>#REF!</v>
      </c>
      <c r="BL140" s="24" t="e">
        <f>SUMIFS(#REF!,#REF!,$B140,#REF!,BL$1)</f>
        <v>#REF!</v>
      </c>
      <c r="BM140" s="24" t="e">
        <f>SUMIFS(#REF!,#REF!,$B140,#REF!,BM$1)</f>
        <v>#REF!</v>
      </c>
      <c r="BN140" s="24" t="e">
        <f>SUMIFS(#REF!,#REF!,$B140,#REF!,BN$1)</f>
        <v>#REF!</v>
      </c>
      <c r="BO140" s="24" t="e">
        <f>SUMIFS(#REF!,#REF!,$B140,#REF!,BO$1)</f>
        <v>#REF!</v>
      </c>
      <c r="BP140" s="24" t="e">
        <f>SUMIFS(#REF!,#REF!,$B140,#REF!,BP$1)</f>
        <v>#REF!</v>
      </c>
      <c r="BQ140" s="24" t="e">
        <f>SUMIFS(#REF!,#REF!,$B140,#REF!,BQ$1)</f>
        <v>#REF!</v>
      </c>
      <c r="BR140" s="24" t="e">
        <f>SUMIFS(#REF!,#REF!,$B140,#REF!,BR$1)</f>
        <v>#REF!</v>
      </c>
      <c r="BS140" s="24" t="e">
        <f>SUMIFS(#REF!,#REF!,$B140,#REF!,BS$1)</f>
        <v>#REF!</v>
      </c>
      <c r="BT140" s="24" t="e">
        <f>SUMIFS(#REF!,#REF!,$B140,#REF!,BT$1)</f>
        <v>#REF!</v>
      </c>
      <c r="BU140" s="24" t="e">
        <f>SUMIFS(#REF!,#REF!,$B140,#REF!,BU$1)</f>
        <v>#REF!</v>
      </c>
      <c r="BV140" s="24" t="e">
        <f>SUMIFS(#REF!,#REF!,$B140,#REF!,BV$1)</f>
        <v>#REF!</v>
      </c>
      <c r="BW140" s="24" t="e">
        <f>SUMIFS(#REF!,#REF!,$B140,#REF!,BW$1)</f>
        <v>#REF!</v>
      </c>
      <c r="BX140" s="24" t="e">
        <f>SUMIFS(#REF!,#REF!,$B140,#REF!,BX$1)</f>
        <v>#REF!</v>
      </c>
      <c r="BY140" s="24" t="e">
        <f>SUMIFS(#REF!,#REF!,$B140,#REF!,BY$1)</f>
        <v>#REF!</v>
      </c>
      <c r="BZ140" s="24" t="e">
        <f>SUMIFS(#REF!,#REF!,$B140,#REF!,BZ$1)</f>
        <v>#REF!</v>
      </c>
      <c r="CA140" s="24" t="e">
        <f>SUMIFS(#REF!,#REF!,$B140,#REF!,CA$1)</f>
        <v>#REF!</v>
      </c>
      <c r="CB140" s="24" t="e">
        <f>SUMIFS(#REF!,#REF!,$B140,#REF!,CB$1)</f>
        <v>#REF!</v>
      </c>
      <c r="CC140" s="24" t="e">
        <f>SUMIFS(#REF!,#REF!,$B140,#REF!,CC$1)</f>
        <v>#REF!</v>
      </c>
      <c r="CD140" s="24" t="e">
        <f>SUMIFS(#REF!,#REF!,$B140,#REF!,CD$1)</f>
        <v>#REF!</v>
      </c>
      <c r="CE140" s="24" t="e">
        <f>SUMIFS(#REF!,#REF!,$B140,#REF!,CE$1)</f>
        <v>#REF!</v>
      </c>
      <c r="CF140" s="24" t="e">
        <f>SUMIFS(#REF!,#REF!,$B140,#REF!,CF$1)</f>
        <v>#REF!</v>
      </c>
      <c r="CG140" s="19" t="e">
        <f t="shared" si="2"/>
        <v>#REF!</v>
      </c>
    </row>
    <row r="141" spans="1:85" x14ac:dyDescent="0.45">
      <c r="A141" s="4" t="s">
        <v>1264</v>
      </c>
      <c r="B141" s="4" t="s">
        <v>1265</v>
      </c>
      <c r="C141" s="24" t="e">
        <f>SUMIFS(#REF!,#REF!,$B141,#REF!,C$1)</f>
        <v>#REF!</v>
      </c>
      <c r="D141" s="24" t="e">
        <f>SUMIFS(#REF!,#REF!,$B141,#REF!,D$1)</f>
        <v>#REF!</v>
      </c>
      <c r="E141" s="24" t="e">
        <f>SUMIFS(#REF!,#REF!,$B141,#REF!,E$1)</f>
        <v>#REF!</v>
      </c>
      <c r="F141" s="24" t="e">
        <f>SUMIFS(#REF!,#REF!,$B141,#REF!,F$1)</f>
        <v>#REF!</v>
      </c>
      <c r="G141" s="24" t="e">
        <f>SUMIFS(#REF!,#REF!,$B141,#REF!,G$1)</f>
        <v>#REF!</v>
      </c>
      <c r="H141" s="24" t="e">
        <f>SUMIFS(#REF!,#REF!,$B141,#REF!,H$1)</f>
        <v>#REF!</v>
      </c>
      <c r="I141" s="24" t="e">
        <f>SUMIFS(#REF!,#REF!,$B141,#REF!,I$1)</f>
        <v>#REF!</v>
      </c>
      <c r="J141" s="24" t="e">
        <f>SUMIFS(#REF!,#REF!,$B141,#REF!,J$1)</f>
        <v>#REF!</v>
      </c>
      <c r="K141" s="24" t="e">
        <f>SUMIFS(#REF!,#REF!,$B141,#REF!,K$1)</f>
        <v>#REF!</v>
      </c>
      <c r="L141" s="24" t="e">
        <f>SUMIFS(#REF!,#REF!,$B141,#REF!,L$1)</f>
        <v>#REF!</v>
      </c>
      <c r="M141" s="24" t="e">
        <f>SUMIFS(#REF!,#REF!,$B141,#REF!,M$1)</f>
        <v>#REF!</v>
      </c>
      <c r="N141" s="24" t="e">
        <f>SUMIFS(#REF!,#REF!,$B141,#REF!,N$1)</f>
        <v>#REF!</v>
      </c>
      <c r="O141" s="24" t="e">
        <f>SUMIFS(#REF!,#REF!,$B141,#REF!,O$1)</f>
        <v>#REF!</v>
      </c>
      <c r="P141" s="24" t="e">
        <f>SUMIFS(#REF!,#REF!,$B141,#REF!,P$1)</f>
        <v>#REF!</v>
      </c>
      <c r="Q141" s="24" t="e">
        <f>SUMIFS(#REF!,#REF!,$B141,#REF!,Q$1)</f>
        <v>#REF!</v>
      </c>
      <c r="R141" s="24" t="e">
        <f>SUMIFS(#REF!,#REF!,$B141,#REF!,R$1)</f>
        <v>#REF!</v>
      </c>
      <c r="S141" s="24" t="e">
        <f>SUMIFS(#REF!,#REF!,$B141,#REF!,S$1)</f>
        <v>#REF!</v>
      </c>
      <c r="T141" s="24" t="e">
        <f>SUMIFS(#REF!,#REF!,$B141,#REF!,T$1)</f>
        <v>#REF!</v>
      </c>
      <c r="U141" s="24" t="e">
        <f>SUMIFS(#REF!,#REF!,$B141,#REF!,U$1)</f>
        <v>#REF!</v>
      </c>
      <c r="V141" s="24" t="e">
        <f>SUMIFS(#REF!,#REF!,$B141,#REF!,V$1)</f>
        <v>#REF!</v>
      </c>
      <c r="W141" s="24" t="e">
        <f>SUMIFS(#REF!,#REF!,$B141,#REF!,W$1)</f>
        <v>#REF!</v>
      </c>
      <c r="X141" s="24" t="e">
        <f>SUMIFS(#REF!,#REF!,$B141,#REF!,X$1)</f>
        <v>#REF!</v>
      </c>
      <c r="Y141" s="24" t="e">
        <f>SUMIFS(#REF!,#REF!,$B141,#REF!,Y$1)</f>
        <v>#REF!</v>
      </c>
      <c r="Z141" s="24" t="e">
        <f>SUMIFS(#REF!,#REF!,$B141,#REF!,Z$1)</f>
        <v>#REF!</v>
      </c>
      <c r="AA141" s="24" t="e">
        <f>SUMIFS(#REF!,#REF!,$B141,#REF!,AA$1)</f>
        <v>#REF!</v>
      </c>
      <c r="AB141" s="24" t="e">
        <f>SUMIFS(#REF!,#REF!,$B141,#REF!,AB$1)</f>
        <v>#REF!</v>
      </c>
      <c r="AC141" s="24" t="e">
        <f>SUMIFS(#REF!,#REF!,$B141,#REF!,AC$1)</f>
        <v>#REF!</v>
      </c>
      <c r="AD141" s="24" t="e">
        <f>SUMIFS(#REF!,#REF!,$B141,#REF!,AD$1)</f>
        <v>#REF!</v>
      </c>
      <c r="AE141" s="24" t="e">
        <f>SUMIFS(#REF!,#REF!,$B141,#REF!,AE$1)</f>
        <v>#REF!</v>
      </c>
      <c r="AF141" s="24" t="e">
        <f>SUMIFS(#REF!,#REF!,$B141,#REF!,AF$1)</f>
        <v>#REF!</v>
      </c>
      <c r="AG141" s="24" t="e">
        <f>SUMIFS(#REF!,#REF!,$B141,#REF!,AG$1)</f>
        <v>#REF!</v>
      </c>
      <c r="AH141" s="24" t="e">
        <f>SUMIFS(#REF!,#REF!,$B141,#REF!,AH$1)</f>
        <v>#REF!</v>
      </c>
      <c r="AI141" s="24" t="e">
        <f>SUMIFS(#REF!,#REF!,$B141,#REF!,AI$1)</f>
        <v>#REF!</v>
      </c>
      <c r="AJ141" s="24" t="e">
        <f>SUMIFS(#REF!,#REF!,$B141,#REF!,AJ$1)</f>
        <v>#REF!</v>
      </c>
      <c r="AK141" s="24" t="e">
        <f>SUMIFS(#REF!,#REF!,$B141,#REF!,AK$1)</f>
        <v>#REF!</v>
      </c>
      <c r="AL141" s="24" t="e">
        <f>SUMIFS(#REF!,#REF!,$B141,#REF!,AL$1)</f>
        <v>#REF!</v>
      </c>
      <c r="AM141" s="24" t="e">
        <f>SUMIFS(#REF!,#REF!,$B141,#REF!,AM$1)</f>
        <v>#REF!</v>
      </c>
      <c r="AN141" s="24" t="e">
        <f>SUMIFS(#REF!,#REF!,$B141,#REF!,AN$1)</f>
        <v>#REF!</v>
      </c>
      <c r="AO141" s="24" t="e">
        <f>SUMIFS(#REF!,#REF!,$B141,#REF!,AO$1)</f>
        <v>#REF!</v>
      </c>
      <c r="AP141" s="24" t="e">
        <f>SUMIFS(#REF!,#REF!,$B141,#REF!,AP$1)</f>
        <v>#REF!</v>
      </c>
      <c r="AQ141" s="24" t="e">
        <f>SUMIFS(#REF!,#REF!,$B141,#REF!,AQ$1)</f>
        <v>#REF!</v>
      </c>
      <c r="AR141" s="24" t="e">
        <f>SUMIFS(#REF!,#REF!,$B141,#REF!,AR$1)</f>
        <v>#REF!</v>
      </c>
      <c r="AS141" s="24" t="e">
        <f>SUMIFS(#REF!,#REF!,$B141,#REF!,AS$1)</f>
        <v>#REF!</v>
      </c>
      <c r="AT141" s="24" t="e">
        <f>SUMIFS(#REF!,#REF!,$B141,#REF!,AT$1)</f>
        <v>#REF!</v>
      </c>
      <c r="AU141" s="24" t="e">
        <f>SUMIFS(#REF!,#REF!,$B141,#REF!,AU$1)</f>
        <v>#REF!</v>
      </c>
      <c r="AV141" s="24" t="e">
        <f>SUMIFS(#REF!,#REF!,$B141,#REF!,AV$1)</f>
        <v>#REF!</v>
      </c>
      <c r="AW141" s="24" t="e">
        <f>SUMIFS(#REF!,#REF!,$B141,#REF!,AW$1)</f>
        <v>#REF!</v>
      </c>
      <c r="AX141" s="24" t="e">
        <f>SUMIFS(#REF!,#REF!,$B141,#REF!,AX$1)</f>
        <v>#REF!</v>
      </c>
      <c r="AY141" s="24" t="e">
        <f>SUMIFS(#REF!,#REF!,$B141,#REF!,AY$1)</f>
        <v>#REF!</v>
      </c>
      <c r="AZ141" s="24" t="e">
        <f>SUMIFS(#REF!,#REF!,$B141,#REF!,AZ$1)</f>
        <v>#REF!</v>
      </c>
      <c r="BA141" s="24" t="e">
        <f>SUMIFS(#REF!,#REF!,$B141,#REF!,BA$1)</f>
        <v>#REF!</v>
      </c>
      <c r="BB141" s="24" t="e">
        <f>SUMIFS(#REF!,#REF!,$B141,#REF!,BB$1)</f>
        <v>#REF!</v>
      </c>
      <c r="BC141" s="24" t="e">
        <f>SUMIFS(#REF!,#REF!,$B141,#REF!,BC$1)</f>
        <v>#REF!</v>
      </c>
      <c r="BD141" s="24" t="e">
        <f>SUMIFS(#REF!,#REF!,$B141,#REF!,BD$1)</f>
        <v>#REF!</v>
      </c>
      <c r="BE141" s="24" t="e">
        <f>SUMIFS(#REF!,#REF!,$B141,#REF!,BE$1)</f>
        <v>#REF!</v>
      </c>
      <c r="BF141" s="24" t="e">
        <f>SUMIFS(#REF!,#REF!,$B141,#REF!,BF$1)</f>
        <v>#REF!</v>
      </c>
      <c r="BG141" s="24" t="e">
        <f>SUMIFS(#REF!,#REF!,$B141,#REF!,BG$1)</f>
        <v>#REF!</v>
      </c>
      <c r="BH141" s="24" t="e">
        <f>SUMIFS(#REF!,#REF!,$B141,#REF!,BH$1)</f>
        <v>#REF!</v>
      </c>
      <c r="BI141" s="24" t="e">
        <f>SUMIFS(#REF!,#REF!,$B141,#REF!,BI$1)</f>
        <v>#REF!</v>
      </c>
      <c r="BJ141" s="24" t="e">
        <f>SUMIFS(#REF!,#REF!,$B141,#REF!,BJ$1)</f>
        <v>#REF!</v>
      </c>
      <c r="BK141" s="24" t="e">
        <f>SUMIFS(#REF!,#REF!,$B141,#REF!,BK$1)</f>
        <v>#REF!</v>
      </c>
      <c r="BL141" s="24" t="e">
        <f>SUMIFS(#REF!,#REF!,$B141,#REF!,BL$1)</f>
        <v>#REF!</v>
      </c>
      <c r="BM141" s="24" t="e">
        <f>SUMIFS(#REF!,#REF!,$B141,#REF!,BM$1)</f>
        <v>#REF!</v>
      </c>
      <c r="BN141" s="24" t="e">
        <f>SUMIFS(#REF!,#REF!,$B141,#REF!,BN$1)</f>
        <v>#REF!</v>
      </c>
      <c r="BO141" s="24" t="e">
        <f>SUMIFS(#REF!,#REF!,$B141,#REF!,BO$1)</f>
        <v>#REF!</v>
      </c>
      <c r="BP141" s="24" t="e">
        <f>SUMIFS(#REF!,#REF!,$B141,#REF!,BP$1)</f>
        <v>#REF!</v>
      </c>
      <c r="BQ141" s="24" t="e">
        <f>SUMIFS(#REF!,#REF!,$B141,#REF!,BQ$1)</f>
        <v>#REF!</v>
      </c>
      <c r="BR141" s="24" t="e">
        <f>SUMIFS(#REF!,#REF!,$B141,#REF!,BR$1)</f>
        <v>#REF!</v>
      </c>
      <c r="BS141" s="24" t="e">
        <f>SUMIFS(#REF!,#REF!,$B141,#REF!,BS$1)</f>
        <v>#REF!</v>
      </c>
      <c r="BT141" s="24" t="e">
        <f>SUMIFS(#REF!,#REF!,$B141,#REF!,BT$1)</f>
        <v>#REF!</v>
      </c>
      <c r="BU141" s="24" t="e">
        <f>SUMIFS(#REF!,#REF!,$B141,#REF!,BU$1)</f>
        <v>#REF!</v>
      </c>
      <c r="BV141" s="24" t="e">
        <f>SUMIFS(#REF!,#REF!,$B141,#REF!,BV$1)</f>
        <v>#REF!</v>
      </c>
      <c r="BW141" s="24" t="e">
        <f>SUMIFS(#REF!,#REF!,$B141,#REF!,BW$1)</f>
        <v>#REF!</v>
      </c>
      <c r="BX141" s="24" t="e">
        <f>SUMIFS(#REF!,#REF!,$B141,#REF!,BX$1)</f>
        <v>#REF!</v>
      </c>
      <c r="BY141" s="24" t="e">
        <f>SUMIFS(#REF!,#REF!,$B141,#REF!,BY$1)</f>
        <v>#REF!</v>
      </c>
      <c r="BZ141" s="24" t="e">
        <f>SUMIFS(#REF!,#REF!,$B141,#REF!,BZ$1)</f>
        <v>#REF!</v>
      </c>
      <c r="CA141" s="24" t="e">
        <f>SUMIFS(#REF!,#REF!,$B141,#REF!,CA$1)</f>
        <v>#REF!</v>
      </c>
      <c r="CB141" s="24" t="e">
        <f>SUMIFS(#REF!,#REF!,$B141,#REF!,CB$1)</f>
        <v>#REF!</v>
      </c>
      <c r="CC141" s="24" t="e">
        <f>SUMIFS(#REF!,#REF!,$B141,#REF!,CC$1)</f>
        <v>#REF!</v>
      </c>
      <c r="CD141" s="24" t="e">
        <f>SUMIFS(#REF!,#REF!,$B141,#REF!,CD$1)</f>
        <v>#REF!</v>
      </c>
      <c r="CE141" s="24" t="e">
        <f>SUMIFS(#REF!,#REF!,$B141,#REF!,CE$1)</f>
        <v>#REF!</v>
      </c>
      <c r="CF141" s="24" t="e">
        <f>SUMIFS(#REF!,#REF!,$B141,#REF!,CF$1)</f>
        <v>#REF!</v>
      </c>
      <c r="CG141" s="19" t="e">
        <f t="shared" si="2"/>
        <v>#REF!</v>
      </c>
    </row>
    <row r="142" spans="1:85" x14ac:dyDescent="0.45">
      <c r="A142" s="4" t="s">
        <v>1266</v>
      </c>
      <c r="B142" s="4" t="s">
        <v>1267</v>
      </c>
      <c r="C142" s="24" t="e">
        <f>SUMIFS(#REF!,#REF!,$B142,#REF!,C$1)</f>
        <v>#REF!</v>
      </c>
      <c r="D142" s="24" t="e">
        <f>SUMIFS(#REF!,#REF!,$B142,#REF!,D$1)</f>
        <v>#REF!</v>
      </c>
      <c r="E142" s="24" t="e">
        <f>SUMIFS(#REF!,#REF!,$B142,#REF!,E$1)</f>
        <v>#REF!</v>
      </c>
      <c r="F142" s="24" t="e">
        <f>SUMIFS(#REF!,#REF!,$B142,#REF!,F$1)</f>
        <v>#REF!</v>
      </c>
      <c r="G142" s="24" t="e">
        <f>SUMIFS(#REF!,#REF!,$B142,#REF!,G$1)</f>
        <v>#REF!</v>
      </c>
      <c r="H142" s="24" t="e">
        <f>SUMIFS(#REF!,#REF!,$B142,#REF!,H$1)</f>
        <v>#REF!</v>
      </c>
      <c r="I142" s="24" t="e">
        <f>SUMIFS(#REF!,#REF!,$B142,#REF!,I$1)</f>
        <v>#REF!</v>
      </c>
      <c r="J142" s="24" t="e">
        <f>SUMIFS(#REF!,#REF!,$B142,#REF!,J$1)</f>
        <v>#REF!</v>
      </c>
      <c r="K142" s="24" t="e">
        <f>SUMIFS(#REF!,#REF!,$B142,#REF!,K$1)</f>
        <v>#REF!</v>
      </c>
      <c r="L142" s="24" t="e">
        <f>SUMIFS(#REF!,#REF!,$B142,#REF!,L$1)</f>
        <v>#REF!</v>
      </c>
      <c r="M142" s="24" t="e">
        <f>SUMIFS(#REF!,#REF!,$B142,#REF!,M$1)</f>
        <v>#REF!</v>
      </c>
      <c r="N142" s="24" t="e">
        <f>SUMIFS(#REF!,#REF!,$B142,#REF!,N$1)</f>
        <v>#REF!</v>
      </c>
      <c r="O142" s="24" t="e">
        <f>SUMIFS(#REF!,#REF!,$B142,#REF!,O$1)</f>
        <v>#REF!</v>
      </c>
      <c r="P142" s="24" t="e">
        <f>SUMIFS(#REF!,#REF!,$B142,#REF!,P$1)</f>
        <v>#REF!</v>
      </c>
      <c r="Q142" s="24" t="e">
        <f>SUMIFS(#REF!,#REF!,$B142,#REF!,Q$1)</f>
        <v>#REF!</v>
      </c>
      <c r="R142" s="24" t="e">
        <f>SUMIFS(#REF!,#REF!,$B142,#REF!,R$1)</f>
        <v>#REF!</v>
      </c>
      <c r="S142" s="24" t="e">
        <f>SUMIFS(#REF!,#REF!,$B142,#REF!,S$1)</f>
        <v>#REF!</v>
      </c>
      <c r="T142" s="24" t="e">
        <f>SUMIFS(#REF!,#REF!,$B142,#REF!,T$1)</f>
        <v>#REF!</v>
      </c>
      <c r="U142" s="24" t="e">
        <f>SUMIFS(#REF!,#REF!,$B142,#REF!,U$1)</f>
        <v>#REF!</v>
      </c>
      <c r="V142" s="24" t="e">
        <f>SUMIFS(#REF!,#REF!,$B142,#REF!,V$1)</f>
        <v>#REF!</v>
      </c>
      <c r="W142" s="24" t="e">
        <f>SUMIFS(#REF!,#REF!,$B142,#REF!,W$1)</f>
        <v>#REF!</v>
      </c>
      <c r="X142" s="24" t="e">
        <f>SUMIFS(#REF!,#REF!,$B142,#REF!,X$1)</f>
        <v>#REF!</v>
      </c>
      <c r="Y142" s="24" t="e">
        <f>SUMIFS(#REF!,#REF!,$B142,#REF!,Y$1)</f>
        <v>#REF!</v>
      </c>
      <c r="Z142" s="24" t="e">
        <f>SUMIFS(#REF!,#REF!,$B142,#REF!,Z$1)</f>
        <v>#REF!</v>
      </c>
      <c r="AA142" s="24" t="e">
        <f>SUMIFS(#REF!,#REF!,$B142,#REF!,AA$1)</f>
        <v>#REF!</v>
      </c>
      <c r="AB142" s="24" t="e">
        <f>SUMIFS(#REF!,#REF!,$B142,#REF!,AB$1)</f>
        <v>#REF!</v>
      </c>
      <c r="AC142" s="24" t="e">
        <f>SUMIFS(#REF!,#REF!,$B142,#REF!,AC$1)</f>
        <v>#REF!</v>
      </c>
      <c r="AD142" s="24" t="e">
        <f>SUMIFS(#REF!,#REF!,$B142,#REF!,AD$1)</f>
        <v>#REF!</v>
      </c>
      <c r="AE142" s="24" t="e">
        <f>SUMIFS(#REF!,#REF!,$B142,#REF!,AE$1)</f>
        <v>#REF!</v>
      </c>
      <c r="AF142" s="24" t="e">
        <f>SUMIFS(#REF!,#REF!,$B142,#REF!,AF$1)</f>
        <v>#REF!</v>
      </c>
      <c r="AG142" s="24" t="e">
        <f>SUMIFS(#REF!,#REF!,$B142,#REF!,AG$1)</f>
        <v>#REF!</v>
      </c>
      <c r="AH142" s="24" t="e">
        <f>SUMIFS(#REF!,#REF!,$B142,#REF!,AH$1)</f>
        <v>#REF!</v>
      </c>
      <c r="AI142" s="24" t="e">
        <f>SUMIFS(#REF!,#REF!,$B142,#REF!,AI$1)</f>
        <v>#REF!</v>
      </c>
      <c r="AJ142" s="24" t="e">
        <f>SUMIFS(#REF!,#REF!,$B142,#REF!,AJ$1)</f>
        <v>#REF!</v>
      </c>
      <c r="AK142" s="24" t="e">
        <f>SUMIFS(#REF!,#REF!,$B142,#REF!,AK$1)</f>
        <v>#REF!</v>
      </c>
      <c r="AL142" s="24" t="e">
        <f>SUMIFS(#REF!,#REF!,$B142,#REF!,AL$1)</f>
        <v>#REF!</v>
      </c>
      <c r="AM142" s="24" t="e">
        <f>SUMIFS(#REF!,#REF!,$B142,#REF!,AM$1)</f>
        <v>#REF!</v>
      </c>
      <c r="AN142" s="24" t="e">
        <f>SUMIFS(#REF!,#REF!,$B142,#REF!,AN$1)</f>
        <v>#REF!</v>
      </c>
      <c r="AO142" s="24" t="e">
        <f>SUMIFS(#REF!,#REF!,$B142,#REF!,AO$1)</f>
        <v>#REF!</v>
      </c>
      <c r="AP142" s="24" t="e">
        <f>SUMIFS(#REF!,#REF!,$B142,#REF!,AP$1)</f>
        <v>#REF!</v>
      </c>
      <c r="AQ142" s="24" t="e">
        <f>SUMIFS(#REF!,#REF!,$B142,#REF!,AQ$1)</f>
        <v>#REF!</v>
      </c>
      <c r="AR142" s="24" t="e">
        <f>SUMIFS(#REF!,#REF!,$B142,#REF!,AR$1)</f>
        <v>#REF!</v>
      </c>
      <c r="AS142" s="24" t="e">
        <f>SUMIFS(#REF!,#REF!,$B142,#REF!,AS$1)</f>
        <v>#REF!</v>
      </c>
      <c r="AT142" s="24" t="e">
        <f>SUMIFS(#REF!,#REF!,$B142,#REF!,AT$1)</f>
        <v>#REF!</v>
      </c>
      <c r="AU142" s="24" t="e">
        <f>SUMIFS(#REF!,#REF!,$B142,#REF!,AU$1)</f>
        <v>#REF!</v>
      </c>
      <c r="AV142" s="24" t="e">
        <f>SUMIFS(#REF!,#REF!,$B142,#REF!,AV$1)</f>
        <v>#REF!</v>
      </c>
      <c r="AW142" s="24" t="e">
        <f>SUMIFS(#REF!,#REF!,$B142,#REF!,AW$1)</f>
        <v>#REF!</v>
      </c>
      <c r="AX142" s="24" t="e">
        <f>SUMIFS(#REF!,#REF!,$B142,#REF!,AX$1)</f>
        <v>#REF!</v>
      </c>
      <c r="AY142" s="24" t="e">
        <f>SUMIFS(#REF!,#REF!,$B142,#REF!,AY$1)</f>
        <v>#REF!</v>
      </c>
      <c r="AZ142" s="24" t="e">
        <f>SUMIFS(#REF!,#REF!,$B142,#REF!,AZ$1)</f>
        <v>#REF!</v>
      </c>
      <c r="BA142" s="24" t="e">
        <f>SUMIFS(#REF!,#REF!,$B142,#REF!,BA$1)</f>
        <v>#REF!</v>
      </c>
      <c r="BB142" s="24" t="e">
        <f>SUMIFS(#REF!,#REF!,$B142,#REF!,BB$1)</f>
        <v>#REF!</v>
      </c>
      <c r="BC142" s="24" t="e">
        <f>SUMIFS(#REF!,#REF!,$B142,#REF!,BC$1)</f>
        <v>#REF!</v>
      </c>
      <c r="BD142" s="24" t="e">
        <f>SUMIFS(#REF!,#REF!,$B142,#REF!,BD$1)</f>
        <v>#REF!</v>
      </c>
      <c r="BE142" s="24" t="e">
        <f>SUMIFS(#REF!,#REF!,$B142,#REF!,BE$1)</f>
        <v>#REF!</v>
      </c>
      <c r="BF142" s="24" t="e">
        <f>SUMIFS(#REF!,#REF!,$B142,#REF!,BF$1)</f>
        <v>#REF!</v>
      </c>
      <c r="BG142" s="24" t="e">
        <f>SUMIFS(#REF!,#REF!,$B142,#REF!,BG$1)</f>
        <v>#REF!</v>
      </c>
      <c r="BH142" s="24" t="e">
        <f>SUMIFS(#REF!,#REF!,$B142,#REF!,BH$1)</f>
        <v>#REF!</v>
      </c>
      <c r="BI142" s="24" t="e">
        <f>SUMIFS(#REF!,#REF!,$B142,#REF!,BI$1)</f>
        <v>#REF!</v>
      </c>
      <c r="BJ142" s="24" t="e">
        <f>SUMIFS(#REF!,#REF!,$B142,#REF!,BJ$1)</f>
        <v>#REF!</v>
      </c>
      <c r="BK142" s="24" t="e">
        <f>SUMIFS(#REF!,#REF!,$B142,#REF!,BK$1)</f>
        <v>#REF!</v>
      </c>
      <c r="BL142" s="24" t="e">
        <f>SUMIFS(#REF!,#REF!,$B142,#REF!,BL$1)</f>
        <v>#REF!</v>
      </c>
      <c r="BM142" s="24" t="e">
        <f>SUMIFS(#REF!,#REF!,$B142,#REF!,BM$1)</f>
        <v>#REF!</v>
      </c>
      <c r="BN142" s="24" t="e">
        <f>SUMIFS(#REF!,#REF!,$B142,#REF!,BN$1)</f>
        <v>#REF!</v>
      </c>
      <c r="BO142" s="24" t="e">
        <f>SUMIFS(#REF!,#REF!,$B142,#REF!,BO$1)</f>
        <v>#REF!</v>
      </c>
      <c r="BP142" s="24" t="e">
        <f>SUMIFS(#REF!,#REF!,$B142,#REF!,BP$1)</f>
        <v>#REF!</v>
      </c>
      <c r="BQ142" s="24" t="e">
        <f>SUMIFS(#REF!,#REF!,$B142,#REF!,BQ$1)</f>
        <v>#REF!</v>
      </c>
      <c r="BR142" s="24" t="e">
        <f>SUMIFS(#REF!,#REF!,$B142,#REF!,BR$1)</f>
        <v>#REF!</v>
      </c>
      <c r="BS142" s="24" t="e">
        <f>SUMIFS(#REF!,#REF!,$B142,#REF!,BS$1)</f>
        <v>#REF!</v>
      </c>
      <c r="BT142" s="24" t="e">
        <f>SUMIFS(#REF!,#REF!,$B142,#REF!,BT$1)</f>
        <v>#REF!</v>
      </c>
      <c r="BU142" s="24" t="e">
        <f>SUMIFS(#REF!,#REF!,$B142,#REF!,BU$1)</f>
        <v>#REF!</v>
      </c>
      <c r="BV142" s="24" t="e">
        <f>SUMIFS(#REF!,#REF!,$B142,#REF!,BV$1)</f>
        <v>#REF!</v>
      </c>
      <c r="BW142" s="24" t="e">
        <f>SUMIFS(#REF!,#REF!,$B142,#REF!,BW$1)</f>
        <v>#REF!</v>
      </c>
      <c r="BX142" s="24" t="e">
        <f>SUMIFS(#REF!,#REF!,$B142,#REF!,BX$1)</f>
        <v>#REF!</v>
      </c>
      <c r="BY142" s="24" t="e">
        <f>SUMIFS(#REF!,#REF!,$B142,#REF!,BY$1)</f>
        <v>#REF!</v>
      </c>
      <c r="BZ142" s="24" t="e">
        <f>SUMIFS(#REF!,#REF!,$B142,#REF!,BZ$1)</f>
        <v>#REF!</v>
      </c>
      <c r="CA142" s="24" t="e">
        <f>SUMIFS(#REF!,#REF!,$B142,#REF!,CA$1)</f>
        <v>#REF!</v>
      </c>
      <c r="CB142" s="24" t="e">
        <f>SUMIFS(#REF!,#REF!,$B142,#REF!,CB$1)</f>
        <v>#REF!</v>
      </c>
      <c r="CC142" s="24" t="e">
        <f>SUMIFS(#REF!,#REF!,$B142,#REF!,CC$1)</f>
        <v>#REF!</v>
      </c>
      <c r="CD142" s="24" t="e">
        <f>SUMIFS(#REF!,#REF!,$B142,#REF!,CD$1)</f>
        <v>#REF!</v>
      </c>
      <c r="CE142" s="24" t="e">
        <f>SUMIFS(#REF!,#REF!,$B142,#REF!,CE$1)</f>
        <v>#REF!</v>
      </c>
      <c r="CF142" s="24" t="e">
        <f>SUMIFS(#REF!,#REF!,$B142,#REF!,CF$1)</f>
        <v>#REF!</v>
      </c>
      <c r="CG142" s="19" t="e">
        <f t="shared" si="2"/>
        <v>#REF!</v>
      </c>
    </row>
    <row r="143" spans="1:85" x14ac:dyDescent="0.45">
      <c r="A143" s="4" t="s">
        <v>1268</v>
      </c>
      <c r="B143" s="4" t="s">
        <v>1269</v>
      </c>
      <c r="C143" s="24" t="e">
        <f>SUMIFS(#REF!,#REF!,$B143,#REF!,C$1)</f>
        <v>#REF!</v>
      </c>
      <c r="D143" s="24" t="e">
        <f>SUMIFS(#REF!,#REF!,$B143,#REF!,D$1)</f>
        <v>#REF!</v>
      </c>
      <c r="E143" s="24" t="e">
        <f>SUMIFS(#REF!,#REF!,$B143,#REF!,E$1)</f>
        <v>#REF!</v>
      </c>
      <c r="F143" s="24" t="e">
        <f>SUMIFS(#REF!,#REF!,$B143,#REF!,F$1)</f>
        <v>#REF!</v>
      </c>
      <c r="G143" s="24" t="e">
        <f>SUMIFS(#REF!,#REF!,$B143,#REF!,G$1)</f>
        <v>#REF!</v>
      </c>
      <c r="H143" s="24" t="e">
        <f>SUMIFS(#REF!,#REF!,$B143,#REF!,H$1)</f>
        <v>#REF!</v>
      </c>
      <c r="I143" s="24" t="e">
        <f>SUMIFS(#REF!,#REF!,$B143,#REF!,I$1)</f>
        <v>#REF!</v>
      </c>
      <c r="J143" s="24" t="e">
        <f>SUMIFS(#REF!,#REF!,$B143,#REF!,J$1)</f>
        <v>#REF!</v>
      </c>
      <c r="K143" s="24" t="e">
        <f>SUMIFS(#REF!,#REF!,$B143,#REF!,K$1)</f>
        <v>#REF!</v>
      </c>
      <c r="L143" s="24" t="e">
        <f>SUMIFS(#REF!,#REF!,$B143,#REF!,L$1)</f>
        <v>#REF!</v>
      </c>
      <c r="M143" s="24" t="e">
        <f>SUMIFS(#REF!,#REF!,$B143,#REF!,M$1)</f>
        <v>#REF!</v>
      </c>
      <c r="N143" s="24" t="e">
        <f>SUMIFS(#REF!,#REF!,$B143,#REF!,N$1)</f>
        <v>#REF!</v>
      </c>
      <c r="O143" s="24" t="e">
        <f>SUMIFS(#REF!,#REF!,$B143,#REF!,O$1)</f>
        <v>#REF!</v>
      </c>
      <c r="P143" s="24" t="e">
        <f>SUMIFS(#REF!,#REF!,$B143,#REF!,P$1)</f>
        <v>#REF!</v>
      </c>
      <c r="Q143" s="24" t="e">
        <f>SUMIFS(#REF!,#REF!,$B143,#REF!,Q$1)</f>
        <v>#REF!</v>
      </c>
      <c r="R143" s="24" t="e">
        <f>SUMIFS(#REF!,#REF!,$B143,#REF!,R$1)</f>
        <v>#REF!</v>
      </c>
      <c r="S143" s="24" t="e">
        <f>SUMIFS(#REF!,#REF!,$B143,#REF!,S$1)</f>
        <v>#REF!</v>
      </c>
      <c r="T143" s="24" t="e">
        <f>SUMIFS(#REF!,#REF!,$B143,#REF!,T$1)</f>
        <v>#REF!</v>
      </c>
      <c r="U143" s="24" t="e">
        <f>SUMIFS(#REF!,#REF!,$B143,#REF!,U$1)</f>
        <v>#REF!</v>
      </c>
      <c r="V143" s="24" t="e">
        <f>SUMIFS(#REF!,#REF!,$B143,#REF!,V$1)</f>
        <v>#REF!</v>
      </c>
      <c r="W143" s="24" t="e">
        <f>SUMIFS(#REF!,#REF!,$B143,#REF!,W$1)</f>
        <v>#REF!</v>
      </c>
      <c r="X143" s="24" t="e">
        <f>SUMIFS(#REF!,#REF!,$B143,#REF!,X$1)</f>
        <v>#REF!</v>
      </c>
      <c r="Y143" s="24" t="e">
        <f>SUMIFS(#REF!,#REF!,$B143,#REF!,Y$1)</f>
        <v>#REF!</v>
      </c>
      <c r="Z143" s="24" t="e">
        <f>SUMIFS(#REF!,#REF!,$B143,#REF!,Z$1)</f>
        <v>#REF!</v>
      </c>
      <c r="AA143" s="24" t="e">
        <f>SUMIFS(#REF!,#REF!,$B143,#REF!,AA$1)</f>
        <v>#REF!</v>
      </c>
      <c r="AB143" s="24" t="e">
        <f>SUMIFS(#REF!,#REF!,$B143,#REF!,AB$1)</f>
        <v>#REF!</v>
      </c>
      <c r="AC143" s="24" t="e">
        <f>SUMIFS(#REF!,#REF!,$B143,#REF!,AC$1)</f>
        <v>#REF!</v>
      </c>
      <c r="AD143" s="24" t="e">
        <f>SUMIFS(#REF!,#REF!,$B143,#REF!,AD$1)</f>
        <v>#REF!</v>
      </c>
      <c r="AE143" s="24" t="e">
        <f>SUMIFS(#REF!,#REF!,$B143,#REF!,AE$1)</f>
        <v>#REF!</v>
      </c>
      <c r="AF143" s="24" t="e">
        <f>SUMIFS(#REF!,#REF!,$B143,#REF!,AF$1)</f>
        <v>#REF!</v>
      </c>
      <c r="AG143" s="24" t="e">
        <f>SUMIFS(#REF!,#REF!,$B143,#REF!,AG$1)</f>
        <v>#REF!</v>
      </c>
      <c r="AH143" s="24" t="e">
        <f>SUMIFS(#REF!,#REF!,$B143,#REF!,AH$1)</f>
        <v>#REF!</v>
      </c>
      <c r="AI143" s="24" t="e">
        <f>SUMIFS(#REF!,#REF!,$B143,#REF!,AI$1)</f>
        <v>#REF!</v>
      </c>
      <c r="AJ143" s="24" t="e">
        <f>SUMIFS(#REF!,#REF!,$B143,#REF!,AJ$1)</f>
        <v>#REF!</v>
      </c>
      <c r="AK143" s="24" t="e">
        <f>SUMIFS(#REF!,#REF!,$B143,#REF!,AK$1)</f>
        <v>#REF!</v>
      </c>
      <c r="AL143" s="24" t="e">
        <f>SUMIFS(#REF!,#REF!,$B143,#REF!,AL$1)</f>
        <v>#REF!</v>
      </c>
      <c r="AM143" s="24" t="e">
        <f>SUMIFS(#REF!,#REF!,$B143,#REF!,AM$1)</f>
        <v>#REF!</v>
      </c>
      <c r="AN143" s="24" t="e">
        <f>SUMIFS(#REF!,#REF!,$B143,#REF!,AN$1)</f>
        <v>#REF!</v>
      </c>
      <c r="AO143" s="24" t="e">
        <f>SUMIFS(#REF!,#REF!,$B143,#REF!,AO$1)</f>
        <v>#REF!</v>
      </c>
      <c r="AP143" s="24" t="e">
        <f>SUMIFS(#REF!,#REF!,$B143,#REF!,AP$1)</f>
        <v>#REF!</v>
      </c>
      <c r="AQ143" s="24" t="e">
        <f>SUMIFS(#REF!,#REF!,$B143,#REF!,AQ$1)</f>
        <v>#REF!</v>
      </c>
      <c r="AR143" s="24" t="e">
        <f>SUMIFS(#REF!,#REF!,$B143,#REF!,AR$1)</f>
        <v>#REF!</v>
      </c>
      <c r="AS143" s="24" t="e">
        <f>SUMIFS(#REF!,#REF!,$B143,#REF!,AS$1)</f>
        <v>#REF!</v>
      </c>
      <c r="AT143" s="24" t="e">
        <f>SUMIFS(#REF!,#REF!,$B143,#REF!,AT$1)</f>
        <v>#REF!</v>
      </c>
      <c r="AU143" s="24" t="e">
        <f>SUMIFS(#REF!,#REF!,$B143,#REF!,AU$1)</f>
        <v>#REF!</v>
      </c>
      <c r="AV143" s="24" t="e">
        <f>SUMIFS(#REF!,#REF!,$B143,#REF!,AV$1)</f>
        <v>#REF!</v>
      </c>
      <c r="AW143" s="24" t="e">
        <f>SUMIFS(#REF!,#REF!,$B143,#REF!,AW$1)</f>
        <v>#REF!</v>
      </c>
      <c r="AX143" s="24" t="e">
        <f>SUMIFS(#REF!,#REF!,$B143,#REF!,AX$1)</f>
        <v>#REF!</v>
      </c>
      <c r="AY143" s="24" t="e">
        <f>SUMIFS(#REF!,#REF!,$B143,#REF!,AY$1)</f>
        <v>#REF!</v>
      </c>
      <c r="AZ143" s="24" t="e">
        <f>SUMIFS(#REF!,#REF!,$B143,#REF!,AZ$1)</f>
        <v>#REF!</v>
      </c>
      <c r="BA143" s="24" t="e">
        <f>SUMIFS(#REF!,#REF!,$B143,#REF!,BA$1)</f>
        <v>#REF!</v>
      </c>
      <c r="BB143" s="24" t="e">
        <f>SUMIFS(#REF!,#REF!,$B143,#REF!,BB$1)</f>
        <v>#REF!</v>
      </c>
      <c r="BC143" s="24" t="e">
        <f>SUMIFS(#REF!,#REF!,$B143,#REF!,BC$1)</f>
        <v>#REF!</v>
      </c>
      <c r="BD143" s="24" t="e">
        <f>SUMIFS(#REF!,#REF!,$B143,#REF!,BD$1)</f>
        <v>#REF!</v>
      </c>
      <c r="BE143" s="24" t="e">
        <f>SUMIFS(#REF!,#REF!,$B143,#REF!,BE$1)</f>
        <v>#REF!</v>
      </c>
      <c r="BF143" s="24" t="e">
        <f>SUMIFS(#REF!,#REF!,$B143,#REF!,BF$1)</f>
        <v>#REF!</v>
      </c>
      <c r="BG143" s="24" t="e">
        <f>SUMIFS(#REF!,#REF!,$B143,#REF!,BG$1)</f>
        <v>#REF!</v>
      </c>
      <c r="BH143" s="24" t="e">
        <f>SUMIFS(#REF!,#REF!,$B143,#REF!,BH$1)</f>
        <v>#REF!</v>
      </c>
      <c r="BI143" s="24" t="e">
        <f>SUMIFS(#REF!,#REF!,$B143,#REF!,BI$1)</f>
        <v>#REF!</v>
      </c>
      <c r="BJ143" s="24" t="e">
        <f>SUMIFS(#REF!,#REF!,$B143,#REF!,BJ$1)</f>
        <v>#REF!</v>
      </c>
      <c r="BK143" s="24" t="e">
        <f>SUMIFS(#REF!,#REF!,$B143,#REF!,BK$1)</f>
        <v>#REF!</v>
      </c>
      <c r="BL143" s="24" t="e">
        <f>SUMIFS(#REF!,#REF!,$B143,#REF!,BL$1)</f>
        <v>#REF!</v>
      </c>
      <c r="BM143" s="24" t="e">
        <f>SUMIFS(#REF!,#REF!,$B143,#REF!,BM$1)</f>
        <v>#REF!</v>
      </c>
      <c r="BN143" s="24" t="e">
        <f>SUMIFS(#REF!,#REF!,$B143,#REF!,BN$1)</f>
        <v>#REF!</v>
      </c>
      <c r="BO143" s="24" t="e">
        <f>SUMIFS(#REF!,#REF!,$B143,#REF!,BO$1)</f>
        <v>#REF!</v>
      </c>
      <c r="BP143" s="24" t="e">
        <f>SUMIFS(#REF!,#REF!,$B143,#REF!,BP$1)</f>
        <v>#REF!</v>
      </c>
      <c r="BQ143" s="24" t="e">
        <f>SUMIFS(#REF!,#REF!,$B143,#REF!,BQ$1)</f>
        <v>#REF!</v>
      </c>
      <c r="BR143" s="24" t="e">
        <f>SUMIFS(#REF!,#REF!,$B143,#REF!,BR$1)</f>
        <v>#REF!</v>
      </c>
      <c r="BS143" s="24" t="e">
        <f>SUMIFS(#REF!,#REF!,$B143,#REF!,BS$1)</f>
        <v>#REF!</v>
      </c>
      <c r="BT143" s="24" t="e">
        <f>SUMIFS(#REF!,#REF!,$B143,#REF!,BT$1)</f>
        <v>#REF!</v>
      </c>
      <c r="BU143" s="24" t="e">
        <f>SUMIFS(#REF!,#REF!,$B143,#REF!,BU$1)</f>
        <v>#REF!</v>
      </c>
      <c r="BV143" s="24" t="e">
        <f>SUMIFS(#REF!,#REF!,$B143,#REF!,BV$1)</f>
        <v>#REF!</v>
      </c>
      <c r="BW143" s="24" t="e">
        <f>SUMIFS(#REF!,#REF!,$B143,#REF!,BW$1)</f>
        <v>#REF!</v>
      </c>
      <c r="BX143" s="24" t="e">
        <f>SUMIFS(#REF!,#REF!,$B143,#REF!,BX$1)</f>
        <v>#REF!</v>
      </c>
      <c r="BY143" s="24" t="e">
        <f>SUMIFS(#REF!,#REF!,$B143,#REF!,BY$1)</f>
        <v>#REF!</v>
      </c>
      <c r="BZ143" s="24" t="e">
        <f>SUMIFS(#REF!,#REF!,$B143,#REF!,BZ$1)</f>
        <v>#REF!</v>
      </c>
      <c r="CA143" s="24" t="e">
        <f>SUMIFS(#REF!,#REF!,$B143,#REF!,CA$1)</f>
        <v>#REF!</v>
      </c>
      <c r="CB143" s="24" t="e">
        <f>SUMIFS(#REF!,#REF!,$B143,#REF!,CB$1)</f>
        <v>#REF!</v>
      </c>
      <c r="CC143" s="24" t="e">
        <f>SUMIFS(#REF!,#REF!,$B143,#REF!,CC$1)</f>
        <v>#REF!</v>
      </c>
      <c r="CD143" s="24" t="e">
        <f>SUMIFS(#REF!,#REF!,$B143,#REF!,CD$1)</f>
        <v>#REF!</v>
      </c>
      <c r="CE143" s="24" t="e">
        <f>SUMIFS(#REF!,#REF!,$B143,#REF!,CE$1)</f>
        <v>#REF!</v>
      </c>
      <c r="CF143" s="24" t="e">
        <f>SUMIFS(#REF!,#REF!,$B143,#REF!,CF$1)</f>
        <v>#REF!</v>
      </c>
      <c r="CG143" s="19" t="e">
        <f t="shared" si="2"/>
        <v>#REF!</v>
      </c>
    </row>
    <row r="144" spans="1:85" x14ac:dyDescent="0.45">
      <c r="A144" s="4" t="s">
        <v>1270</v>
      </c>
      <c r="B144" s="4" t="s">
        <v>1271</v>
      </c>
      <c r="C144" s="24" t="e">
        <f>SUMIFS(#REF!,#REF!,$B144,#REF!,C$1)</f>
        <v>#REF!</v>
      </c>
      <c r="D144" s="24" t="e">
        <f>SUMIFS(#REF!,#REF!,$B144,#REF!,D$1)</f>
        <v>#REF!</v>
      </c>
      <c r="E144" s="24" t="e">
        <f>SUMIFS(#REF!,#REF!,$B144,#REF!,E$1)</f>
        <v>#REF!</v>
      </c>
      <c r="F144" s="24" t="e">
        <f>SUMIFS(#REF!,#REF!,$B144,#REF!,F$1)</f>
        <v>#REF!</v>
      </c>
      <c r="G144" s="24" t="e">
        <f>SUMIFS(#REF!,#REF!,$B144,#REF!,G$1)</f>
        <v>#REF!</v>
      </c>
      <c r="H144" s="24" t="e">
        <f>SUMIFS(#REF!,#REF!,$B144,#REF!,H$1)</f>
        <v>#REF!</v>
      </c>
      <c r="I144" s="24" t="e">
        <f>SUMIFS(#REF!,#REF!,$B144,#REF!,I$1)</f>
        <v>#REF!</v>
      </c>
      <c r="J144" s="24" t="e">
        <f>SUMIFS(#REF!,#REF!,$B144,#REF!,J$1)</f>
        <v>#REF!</v>
      </c>
      <c r="K144" s="24" t="e">
        <f>SUMIFS(#REF!,#REF!,$B144,#REF!,K$1)</f>
        <v>#REF!</v>
      </c>
      <c r="L144" s="24" t="e">
        <f>SUMIFS(#REF!,#REF!,$B144,#REF!,L$1)</f>
        <v>#REF!</v>
      </c>
      <c r="M144" s="24" t="e">
        <f>SUMIFS(#REF!,#REF!,$B144,#REF!,M$1)</f>
        <v>#REF!</v>
      </c>
      <c r="N144" s="24" t="e">
        <f>SUMIFS(#REF!,#REF!,$B144,#REF!,N$1)</f>
        <v>#REF!</v>
      </c>
      <c r="O144" s="24" t="e">
        <f>SUMIFS(#REF!,#REF!,$B144,#REF!,O$1)</f>
        <v>#REF!</v>
      </c>
      <c r="P144" s="24" t="e">
        <f>SUMIFS(#REF!,#REF!,$B144,#REF!,P$1)</f>
        <v>#REF!</v>
      </c>
      <c r="Q144" s="24" t="e">
        <f>SUMIFS(#REF!,#REF!,$B144,#REF!,Q$1)</f>
        <v>#REF!</v>
      </c>
      <c r="R144" s="24" t="e">
        <f>SUMIFS(#REF!,#REF!,$B144,#REF!,R$1)</f>
        <v>#REF!</v>
      </c>
      <c r="S144" s="24" t="e">
        <f>SUMIFS(#REF!,#REF!,$B144,#REF!,S$1)</f>
        <v>#REF!</v>
      </c>
      <c r="T144" s="24" t="e">
        <f>SUMIFS(#REF!,#REF!,$B144,#REF!,T$1)</f>
        <v>#REF!</v>
      </c>
      <c r="U144" s="24" t="e">
        <f>SUMIFS(#REF!,#REF!,$B144,#REF!,U$1)</f>
        <v>#REF!</v>
      </c>
      <c r="V144" s="24" t="e">
        <f>SUMIFS(#REF!,#REF!,$B144,#REF!,V$1)</f>
        <v>#REF!</v>
      </c>
      <c r="W144" s="24" t="e">
        <f>SUMIFS(#REF!,#REF!,$B144,#REF!,W$1)</f>
        <v>#REF!</v>
      </c>
      <c r="X144" s="24" t="e">
        <f>SUMIFS(#REF!,#REF!,$B144,#REF!,X$1)</f>
        <v>#REF!</v>
      </c>
      <c r="Y144" s="24" t="e">
        <f>SUMIFS(#REF!,#REF!,$B144,#REF!,Y$1)</f>
        <v>#REF!</v>
      </c>
      <c r="Z144" s="24" t="e">
        <f>SUMIFS(#REF!,#REF!,$B144,#REF!,Z$1)</f>
        <v>#REF!</v>
      </c>
      <c r="AA144" s="24" t="e">
        <f>SUMIFS(#REF!,#REF!,$B144,#REF!,AA$1)</f>
        <v>#REF!</v>
      </c>
      <c r="AB144" s="24" t="e">
        <f>SUMIFS(#REF!,#REF!,$B144,#REF!,AB$1)</f>
        <v>#REF!</v>
      </c>
      <c r="AC144" s="24" t="e">
        <f>SUMIFS(#REF!,#REF!,$B144,#REF!,AC$1)</f>
        <v>#REF!</v>
      </c>
      <c r="AD144" s="24" t="e">
        <f>SUMIFS(#REF!,#REF!,$B144,#REF!,AD$1)</f>
        <v>#REF!</v>
      </c>
      <c r="AE144" s="24" t="e">
        <f>SUMIFS(#REF!,#REF!,$B144,#REF!,AE$1)</f>
        <v>#REF!</v>
      </c>
      <c r="AF144" s="24" t="e">
        <f>SUMIFS(#REF!,#REF!,$B144,#REF!,AF$1)</f>
        <v>#REF!</v>
      </c>
      <c r="AG144" s="24" t="e">
        <f>SUMIFS(#REF!,#REF!,$B144,#REF!,AG$1)</f>
        <v>#REF!</v>
      </c>
      <c r="AH144" s="24" t="e">
        <f>SUMIFS(#REF!,#REF!,$B144,#REF!,AH$1)</f>
        <v>#REF!</v>
      </c>
      <c r="AI144" s="24" t="e">
        <f>SUMIFS(#REF!,#REF!,$B144,#REF!,AI$1)</f>
        <v>#REF!</v>
      </c>
      <c r="AJ144" s="24" t="e">
        <f>SUMIFS(#REF!,#REF!,$B144,#REF!,AJ$1)</f>
        <v>#REF!</v>
      </c>
      <c r="AK144" s="24" t="e">
        <f>SUMIFS(#REF!,#REF!,$B144,#REF!,AK$1)</f>
        <v>#REF!</v>
      </c>
      <c r="AL144" s="24" t="e">
        <f>SUMIFS(#REF!,#REF!,$B144,#REF!,AL$1)</f>
        <v>#REF!</v>
      </c>
      <c r="AM144" s="24" t="e">
        <f>SUMIFS(#REF!,#REF!,$B144,#REF!,AM$1)</f>
        <v>#REF!</v>
      </c>
      <c r="AN144" s="24" t="e">
        <f>SUMIFS(#REF!,#REF!,$B144,#REF!,AN$1)</f>
        <v>#REF!</v>
      </c>
      <c r="AO144" s="24" t="e">
        <f>SUMIFS(#REF!,#REF!,$B144,#REF!,AO$1)</f>
        <v>#REF!</v>
      </c>
      <c r="AP144" s="24" t="e">
        <f>SUMIFS(#REF!,#REF!,$B144,#REF!,AP$1)</f>
        <v>#REF!</v>
      </c>
      <c r="AQ144" s="24" t="e">
        <f>SUMIFS(#REF!,#REF!,$B144,#REF!,AQ$1)</f>
        <v>#REF!</v>
      </c>
      <c r="AR144" s="24" t="e">
        <f>SUMIFS(#REF!,#REF!,$B144,#REF!,AR$1)</f>
        <v>#REF!</v>
      </c>
      <c r="AS144" s="24" t="e">
        <f>SUMIFS(#REF!,#REF!,$B144,#REF!,AS$1)</f>
        <v>#REF!</v>
      </c>
      <c r="AT144" s="24" t="e">
        <f>SUMIFS(#REF!,#REF!,$B144,#REF!,AT$1)</f>
        <v>#REF!</v>
      </c>
      <c r="AU144" s="24" t="e">
        <f>SUMIFS(#REF!,#REF!,$B144,#REF!,AU$1)</f>
        <v>#REF!</v>
      </c>
      <c r="AV144" s="24" t="e">
        <f>SUMIFS(#REF!,#REF!,$B144,#REF!,AV$1)</f>
        <v>#REF!</v>
      </c>
      <c r="AW144" s="24" t="e">
        <f>SUMIFS(#REF!,#REF!,$B144,#REF!,AW$1)</f>
        <v>#REF!</v>
      </c>
      <c r="AX144" s="24" t="e">
        <f>SUMIFS(#REF!,#REF!,$B144,#REF!,AX$1)</f>
        <v>#REF!</v>
      </c>
      <c r="AY144" s="24" t="e">
        <f>SUMIFS(#REF!,#REF!,$B144,#REF!,AY$1)</f>
        <v>#REF!</v>
      </c>
      <c r="AZ144" s="24" t="e">
        <f>SUMIFS(#REF!,#REF!,$B144,#REF!,AZ$1)</f>
        <v>#REF!</v>
      </c>
      <c r="BA144" s="24" t="e">
        <f>SUMIFS(#REF!,#REF!,$B144,#REF!,BA$1)</f>
        <v>#REF!</v>
      </c>
      <c r="BB144" s="24" t="e">
        <f>SUMIFS(#REF!,#REF!,$B144,#REF!,BB$1)</f>
        <v>#REF!</v>
      </c>
      <c r="BC144" s="24" t="e">
        <f>SUMIFS(#REF!,#REF!,$B144,#REF!,BC$1)</f>
        <v>#REF!</v>
      </c>
      <c r="BD144" s="24" t="e">
        <f>SUMIFS(#REF!,#REF!,$B144,#REF!,BD$1)</f>
        <v>#REF!</v>
      </c>
      <c r="BE144" s="24" t="e">
        <f>SUMIFS(#REF!,#REF!,$B144,#REF!,BE$1)</f>
        <v>#REF!</v>
      </c>
      <c r="BF144" s="24" t="e">
        <f>SUMIFS(#REF!,#REF!,$B144,#REF!,BF$1)</f>
        <v>#REF!</v>
      </c>
      <c r="BG144" s="24" t="e">
        <f>SUMIFS(#REF!,#REF!,$B144,#REF!,BG$1)</f>
        <v>#REF!</v>
      </c>
      <c r="BH144" s="24" t="e">
        <f>SUMIFS(#REF!,#REF!,$B144,#REF!,BH$1)</f>
        <v>#REF!</v>
      </c>
      <c r="BI144" s="24" t="e">
        <f>SUMIFS(#REF!,#REF!,$B144,#REF!,BI$1)</f>
        <v>#REF!</v>
      </c>
      <c r="BJ144" s="24" t="e">
        <f>SUMIFS(#REF!,#REF!,$B144,#REF!,BJ$1)</f>
        <v>#REF!</v>
      </c>
      <c r="BK144" s="24" t="e">
        <f>SUMIFS(#REF!,#REF!,$B144,#REF!,BK$1)</f>
        <v>#REF!</v>
      </c>
      <c r="BL144" s="24" t="e">
        <f>SUMIFS(#REF!,#REF!,$B144,#REF!,BL$1)</f>
        <v>#REF!</v>
      </c>
      <c r="BM144" s="24" t="e">
        <f>SUMIFS(#REF!,#REF!,$B144,#REF!,BM$1)</f>
        <v>#REF!</v>
      </c>
      <c r="BN144" s="24" t="e">
        <f>SUMIFS(#REF!,#REF!,$B144,#REF!,BN$1)</f>
        <v>#REF!</v>
      </c>
      <c r="BO144" s="24" t="e">
        <f>SUMIFS(#REF!,#REF!,$B144,#REF!,BO$1)</f>
        <v>#REF!</v>
      </c>
      <c r="BP144" s="24" t="e">
        <f>SUMIFS(#REF!,#REF!,$B144,#REF!,BP$1)</f>
        <v>#REF!</v>
      </c>
      <c r="BQ144" s="24" t="e">
        <f>SUMIFS(#REF!,#REF!,$B144,#REF!,BQ$1)</f>
        <v>#REF!</v>
      </c>
      <c r="BR144" s="24" t="e">
        <f>SUMIFS(#REF!,#REF!,$B144,#REF!,BR$1)</f>
        <v>#REF!</v>
      </c>
      <c r="BS144" s="24" t="e">
        <f>SUMIFS(#REF!,#REF!,$B144,#REF!,BS$1)</f>
        <v>#REF!</v>
      </c>
      <c r="BT144" s="24" t="e">
        <f>SUMIFS(#REF!,#REF!,$B144,#REF!,BT$1)</f>
        <v>#REF!</v>
      </c>
      <c r="BU144" s="24" t="e">
        <f>SUMIFS(#REF!,#REF!,$B144,#REF!,BU$1)</f>
        <v>#REF!</v>
      </c>
      <c r="BV144" s="24" t="e">
        <f>SUMIFS(#REF!,#REF!,$B144,#REF!,BV$1)</f>
        <v>#REF!</v>
      </c>
      <c r="BW144" s="24" t="e">
        <f>SUMIFS(#REF!,#REF!,$B144,#REF!,BW$1)</f>
        <v>#REF!</v>
      </c>
      <c r="BX144" s="24" t="e">
        <f>SUMIFS(#REF!,#REF!,$B144,#REF!,BX$1)</f>
        <v>#REF!</v>
      </c>
      <c r="BY144" s="24" t="e">
        <f>SUMIFS(#REF!,#REF!,$B144,#REF!,BY$1)</f>
        <v>#REF!</v>
      </c>
      <c r="BZ144" s="24" t="e">
        <f>SUMIFS(#REF!,#REF!,$B144,#REF!,BZ$1)</f>
        <v>#REF!</v>
      </c>
      <c r="CA144" s="24" t="e">
        <f>SUMIFS(#REF!,#REF!,$B144,#REF!,CA$1)</f>
        <v>#REF!</v>
      </c>
      <c r="CB144" s="24" t="e">
        <f>SUMIFS(#REF!,#REF!,$B144,#REF!,CB$1)</f>
        <v>#REF!</v>
      </c>
      <c r="CC144" s="24" t="e">
        <f>SUMIFS(#REF!,#REF!,$B144,#REF!,CC$1)</f>
        <v>#REF!</v>
      </c>
      <c r="CD144" s="24" t="e">
        <f>SUMIFS(#REF!,#REF!,$B144,#REF!,CD$1)</f>
        <v>#REF!</v>
      </c>
      <c r="CE144" s="24" t="e">
        <f>SUMIFS(#REF!,#REF!,$B144,#REF!,CE$1)</f>
        <v>#REF!</v>
      </c>
      <c r="CF144" s="24" t="e">
        <f>SUMIFS(#REF!,#REF!,$B144,#REF!,CF$1)</f>
        <v>#REF!</v>
      </c>
      <c r="CG144" s="19" t="e">
        <f t="shared" si="2"/>
        <v>#REF!</v>
      </c>
    </row>
    <row r="145" spans="1:85" x14ac:dyDescent="0.45">
      <c r="A145" s="4" t="s">
        <v>1272</v>
      </c>
      <c r="B145" s="4" t="s">
        <v>1273</v>
      </c>
      <c r="C145" s="24" t="e">
        <f>SUMIFS(#REF!,#REF!,$B145,#REF!,C$1)</f>
        <v>#REF!</v>
      </c>
      <c r="D145" s="24" t="e">
        <f>SUMIFS(#REF!,#REF!,$B145,#REF!,D$1)</f>
        <v>#REF!</v>
      </c>
      <c r="E145" s="24" t="e">
        <f>SUMIFS(#REF!,#REF!,$B145,#REF!,E$1)</f>
        <v>#REF!</v>
      </c>
      <c r="F145" s="24" t="e">
        <f>SUMIFS(#REF!,#REF!,$B145,#REF!,F$1)</f>
        <v>#REF!</v>
      </c>
      <c r="G145" s="24" t="e">
        <f>SUMIFS(#REF!,#REF!,$B145,#REF!,G$1)</f>
        <v>#REF!</v>
      </c>
      <c r="H145" s="24" t="e">
        <f>SUMIFS(#REF!,#REF!,$B145,#REF!,H$1)</f>
        <v>#REF!</v>
      </c>
      <c r="I145" s="24" t="e">
        <f>SUMIFS(#REF!,#REF!,$B145,#REF!,I$1)</f>
        <v>#REF!</v>
      </c>
      <c r="J145" s="24" t="e">
        <f>SUMIFS(#REF!,#REF!,$B145,#REF!,J$1)</f>
        <v>#REF!</v>
      </c>
      <c r="K145" s="24" t="e">
        <f>SUMIFS(#REF!,#REF!,$B145,#REF!,K$1)</f>
        <v>#REF!</v>
      </c>
      <c r="L145" s="24" t="e">
        <f>SUMIFS(#REF!,#REF!,$B145,#REF!,L$1)</f>
        <v>#REF!</v>
      </c>
      <c r="M145" s="24" t="e">
        <f>SUMIFS(#REF!,#REF!,$B145,#REF!,M$1)</f>
        <v>#REF!</v>
      </c>
      <c r="N145" s="24" t="e">
        <f>SUMIFS(#REF!,#REF!,$B145,#REF!,N$1)</f>
        <v>#REF!</v>
      </c>
      <c r="O145" s="24" t="e">
        <f>SUMIFS(#REF!,#REF!,$B145,#REF!,O$1)</f>
        <v>#REF!</v>
      </c>
      <c r="P145" s="24" t="e">
        <f>SUMIFS(#REF!,#REF!,$B145,#REF!,P$1)</f>
        <v>#REF!</v>
      </c>
      <c r="Q145" s="24" t="e">
        <f>SUMIFS(#REF!,#REF!,$B145,#REF!,Q$1)</f>
        <v>#REF!</v>
      </c>
      <c r="R145" s="24" t="e">
        <f>SUMIFS(#REF!,#REF!,$B145,#REF!,R$1)</f>
        <v>#REF!</v>
      </c>
      <c r="S145" s="24" t="e">
        <f>SUMIFS(#REF!,#REF!,$B145,#REF!,S$1)</f>
        <v>#REF!</v>
      </c>
      <c r="T145" s="24" t="e">
        <f>SUMIFS(#REF!,#REF!,$B145,#REF!,T$1)</f>
        <v>#REF!</v>
      </c>
      <c r="U145" s="24" t="e">
        <f>SUMIFS(#REF!,#REF!,$B145,#REF!,U$1)</f>
        <v>#REF!</v>
      </c>
      <c r="V145" s="24" t="e">
        <f>SUMIFS(#REF!,#REF!,$B145,#REF!,V$1)</f>
        <v>#REF!</v>
      </c>
      <c r="W145" s="24" t="e">
        <f>SUMIFS(#REF!,#REF!,$B145,#REF!,W$1)</f>
        <v>#REF!</v>
      </c>
      <c r="X145" s="24" t="e">
        <f>SUMIFS(#REF!,#REF!,$B145,#REF!,X$1)</f>
        <v>#REF!</v>
      </c>
      <c r="Y145" s="24" t="e">
        <f>SUMIFS(#REF!,#REF!,$B145,#REF!,Y$1)</f>
        <v>#REF!</v>
      </c>
      <c r="Z145" s="24" t="e">
        <f>SUMIFS(#REF!,#REF!,$B145,#REF!,Z$1)</f>
        <v>#REF!</v>
      </c>
      <c r="AA145" s="24" t="e">
        <f>SUMIFS(#REF!,#REF!,$B145,#REF!,AA$1)</f>
        <v>#REF!</v>
      </c>
      <c r="AB145" s="24" t="e">
        <f>SUMIFS(#REF!,#REF!,$B145,#REF!,AB$1)</f>
        <v>#REF!</v>
      </c>
      <c r="AC145" s="24" t="e">
        <f>SUMIFS(#REF!,#REF!,$B145,#REF!,AC$1)</f>
        <v>#REF!</v>
      </c>
      <c r="AD145" s="24" t="e">
        <f>SUMIFS(#REF!,#REF!,$B145,#REF!,AD$1)</f>
        <v>#REF!</v>
      </c>
      <c r="AE145" s="24" t="e">
        <f>SUMIFS(#REF!,#REF!,$B145,#REF!,AE$1)</f>
        <v>#REF!</v>
      </c>
      <c r="AF145" s="24" t="e">
        <f>SUMIFS(#REF!,#REF!,$B145,#REF!,AF$1)</f>
        <v>#REF!</v>
      </c>
      <c r="AG145" s="24" t="e">
        <f>SUMIFS(#REF!,#REF!,$B145,#REF!,AG$1)</f>
        <v>#REF!</v>
      </c>
      <c r="AH145" s="24" t="e">
        <f>SUMIFS(#REF!,#REF!,$B145,#REF!,AH$1)</f>
        <v>#REF!</v>
      </c>
      <c r="AI145" s="24" t="e">
        <f>SUMIFS(#REF!,#REF!,$B145,#REF!,AI$1)</f>
        <v>#REF!</v>
      </c>
      <c r="AJ145" s="24" t="e">
        <f>SUMIFS(#REF!,#REF!,$B145,#REF!,AJ$1)</f>
        <v>#REF!</v>
      </c>
      <c r="AK145" s="24" t="e">
        <f>SUMIFS(#REF!,#REF!,$B145,#REF!,AK$1)</f>
        <v>#REF!</v>
      </c>
      <c r="AL145" s="24" t="e">
        <f>SUMIFS(#REF!,#REF!,$B145,#REF!,AL$1)</f>
        <v>#REF!</v>
      </c>
      <c r="AM145" s="24" t="e">
        <f>SUMIFS(#REF!,#REF!,$B145,#REF!,AM$1)</f>
        <v>#REF!</v>
      </c>
      <c r="AN145" s="24" t="e">
        <f>SUMIFS(#REF!,#REF!,$B145,#REF!,AN$1)</f>
        <v>#REF!</v>
      </c>
      <c r="AO145" s="24" t="e">
        <f>SUMIFS(#REF!,#REF!,$B145,#REF!,AO$1)</f>
        <v>#REF!</v>
      </c>
      <c r="AP145" s="24" t="e">
        <f>SUMIFS(#REF!,#REF!,$B145,#REF!,AP$1)</f>
        <v>#REF!</v>
      </c>
      <c r="AQ145" s="24" t="e">
        <f>SUMIFS(#REF!,#REF!,$B145,#REF!,AQ$1)</f>
        <v>#REF!</v>
      </c>
      <c r="AR145" s="24" t="e">
        <f>SUMIFS(#REF!,#REF!,$B145,#REF!,AR$1)</f>
        <v>#REF!</v>
      </c>
      <c r="AS145" s="24" t="e">
        <f>SUMIFS(#REF!,#REF!,$B145,#REF!,AS$1)</f>
        <v>#REF!</v>
      </c>
      <c r="AT145" s="24" t="e">
        <f>SUMIFS(#REF!,#REF!,$B145,#REF!,AT$1)</f>
        <v>#REF!</v>
      </c>
      <c r="AU145" s="24" t="e">
        <f>SUMIFS(#REF!,#REF!,$B145,#REF!,AU$1)</f>
        <v>#REF!</v>
      </c>
      <c r="AV145" s="24" t="e">
        <f>SUMIFS(#REF!,#REF!,$B145,#REF!,AV$1)</f>
        <v>#REF!</v>
      </c>
      <c r="AW145" s="24" t="e">
        <f>SUMIFS(#REF!,#REF!,$B145,#REF!,AW$1)</f>
        <v>#REF!</v>
      </c>
      <c r="AX145" s="24" t="e">
        <f>SUMIFS(#REF!,#REF!,$B145,#REF!,AX$1)</f>
        <v>#REF!</v>
      </c>
      <c r="AY145" s="24" t="e">
        <f>SUMIFS(#REF!,#REF!,$B145,#REF!,AY$1)</f>
        <v>#REF!</v>
      </c>
      <c r="AZ145" s="24" t="e">
        <f>SUMIFS(#REF!,#REF!,$B145,#REF!,AZ$1)</f>
        <v>#REF!</v>
      </c>
      <c r="BA145" s="24" t="e">
        <f>SUMIFS(#REF!,#REF!,$B145,#REF!,BA$1)</f>
        <v>#REF!</v>
      </c>
      <c r="BB145" s="24" t="e">
        <f>SUMIFS(#REF!,#REF!,$B145,#REF!,BB$1)</f>
        <v>#REF!</v>
      </c>
      <c r="BC145" s="24" t="e">
        <f>SUMIFS(#REF!,#REF!,$B145,#REF!,BC$1)</f>
        <v>#REF!</v>
      </c>
      <c r="BD145" s="24" t="e">
        <f>SUMIFS(#REF!,#REF!,$B145,#REF!,BD$1)</f>
        <v>#REF!</v>
      </c>
      <c r="BE145" s="24" t="e">
        <f>SUMIFS(#REF!,#REF!,$B145,#REF!,BE$1)</f>
        <v>#REF!</v>
      </c>
      <c r="BF145" s="24" t="e">
        <f>SUMIFS(#REF!,#REF!,$B145,#REF!,BF$1)</f>
        <v>#REF!</v>
      </c>
      <c r="BG145" s="24" t="e">
        <f>SUMIFS(#REF!,#REF!,$B145,#REF!,BG$1)</f>
        <v>#REF!</v>
      </c>
      <c r="BH145" s="24" t="e">
        <f>SUMIFS(#REF!,#REF!,$B145,#REF!,BH$1)</f>
        <v>#REF!</v>
      </c>
      <c r="BI145" s="24" t="e">
        <f>SUMIFS(#REF!,#REF!,$B145,#REF!,BI$1)</f>
        <v>#REF!</v>
      </c>
      <c r="BJ145" s="24" t="e">
        <f>SUMIFS(#REF!,#REF!,$B145,#REF!,BJ$1)</f>
        <v>#REF!</v>
      </c>
      <c r="BK145" s="24" t="e">
        <f>SUMIFS(#REF!,#REF!,$B145,#REF!,BK$1)</f>
        <v>#REF!</v>
      </c>
      <c r="BL145" s="24" t="e">
        <f>SUMIFS(#REF!,#REF!,$B145,#REF!,BL$1)</f>
        <v>#REF!</v>
      </c>
      <c r="BM145" s="24" t="e">
        <f>SUMIFS(#REF!,#REF!,$B145,#REF!,BM$1)</f>
        <v>#REF!</v>
      </c>
      <c r="BN145" s="24" t="e">
        <f>SUMIFS(#REF!,#REF!,$B145,#REF!,BN$1)</f>
        <v>#REF!</v>
      </c>
      <c r="BO145" s="24" t="e">
        <f>SUMIFS(#REF!,#REF!,$B145,#REF!,BO$1)</f>
        <v>#REF!</v>
      </c>
      <c r="BP145" s="24" t="e">
        <f>SUMIFS(#REF!,#REF!,$B145,#REF!,BP$1)</f>
        <v>#REF!</v>
      </c>
      <c r="BQ145" s="24" t="e">
        <f>SUMIFS(#REF!,#REF!,$B145,#REF!,BQ$1)</f>
        <v>#REF!</v>
      </c>
      <c r="BR145" s="24" t="e">
        <f>SUMIFS(#REF!,#REF!,$B145,#REF!,BR$1)</f>
        <v>#REF!</v>
      </c>
      <c r="BS145" s="24" t="e">
        <f>SUMIFS(#REF!,#REF!,$B145,#REF!,BS$1)</f>
        <v>#REF!</v>
      </c>
      <c r="BT145" s="24" t="e">
        <f>SUMIFS(#REF!,#REF!,$B145,#REF!,BT$1)</f>
        <v>#REF!</v>
      </c>
      <c r="BU145" s="24" t="e">
        <f>SUMIFS(#REF!,#REF!,$B145,#REF!,BU$1)</f>
        <v>#REF!</v>
      </c>
      <c r="BV145" s="24" t="e">
        <f>SUMIFS(#REF!,#REF!,$B145,#REF!,BV$1)</f>
        <v>#REF!</v>
      </c>
      <c r="BW145" s="24" t="e">
        <f>SUMIFS(#REF!,#REF!,$B145,#REF!,BW$1)</f>
        <v>#REF!</v>
      </c>
      <c r="BX145" s="24" t="e">
        <f>SUMIFS(#REF!,#REF!,$B145,#REF!,BX$1)</f>
        <v>#REF!</v>
      </c>
      <c r="BY145" s="24" t="e">
        <f>SUMIFS(#REF!,#REF!,$B145,#REF!,BY$1)</f>
        <v>#REF!</v>
      </c>
      <c r="BZ145" s="24" t="e">
        <f>SUMIFS(#REF!,#REF!,$B145,#REF!,BZ$1)</f>
        <v>#REF!</v>
      </c>
      <c r="CA145" s="24" t="e">
        <f>SUMIFS(#REF!,#REF!,$B145,#REF!,CA$1)</f>
        <v>#REF!</v>
      </c>
      <c r="CB145" s="24" t="e">
        <f>SUMIFS(#REF!,#REF!,$B145,#REF!,CB$1)</f>
        <v>#REF!</v>
      </c>
      <c r="CC145" s="24" t="e">
        <f>SUMIFS(#REF!,#REF!,$B145,#REF!,CC$1)</f>
        <v>#REF!</v>
      </c>
      <c r="CD145" s="24" t="e">
        <f>SUMIFS(#REF!,#REF!,$B145,#REF!,CD$1)</f>
        <v>#REF!</v>
      </c>
      <c r="CE145" s="24" t="e">
        <f>SUMIFS(#REF!,#REF!,$B145,#REF!,CE$1)</f>
        <v>#REF!</v>
      </c>
      <c r="CF145" s="24" t="e">
        <f>SUMIFS(#REF!,#REF!,$B145,#REF!,CF$1)</f>
        <v>#REF!</v>
      </c>
      <c r="CG145" s="19" t="e">
        <f t="shared" si="2"/>
        <v>#REF!</v>
      </c>
    </row>
    <row r="146" spans="1:85" x14ac:dyDescent="0.45">
      <c r="A146" s="4" t="s">
        <v>1274</v>
      </c>
      <c r="B146" s="4" t="s">
        <v>1275</v>
      </c>
      <c r="C146" s="24" t="e">
        <f>SUMIFS(#REF!,#REF!,$B146,#REF!,C$1)</f>
        <v>#REF!</v>
      </c>
      <c r="D146" s="24" t="e">
        <f>SUMIFS(#REF!,#REF!,$B146,#REF!,D$1)</f>
        <v>#REF!</v>
      </c>
      <c r="E146" s="24" t="e">
        <f>SUMIFS(#REF!,#REF!,$B146,#REF!,E$1)</f>
        <v>#REF!</v>
      </c>
      <c r="F146" s="24" t="e">
        <f>SUMIFS(#REF!,#REF!,$B146,#REF!,F$1)</f>
        <v>#REF!</v>
      </c>
      <c r="G146" s="24" t="e">
        <f>SUMIFS(#REF!,#REF!,$B146,#REF!,G$1)</f>
        <v>#REF!</v>
      </c>
      <c r="H146" s="24" t="e">
        <f>SUMIFS(#REF!,#REF!,$B146,#REF!,H$1)</f>
        <v>#REF!</v>
      </c>
      <c r="I146" s="24" t="e">
        <f>SUMIFS(#REF!,#REF!,$B146,#REF!,I$1)</f>
        <v>#REF!</v>
      </c>
      <c r="J146" s="24" t="e">
        <f>SUMIFS(#REF!,#REF!,$B146,#REF!,J$1)</f>
        <v>#REF!</v>
      </c>
      <c r="K146" s="24" t="e">
        <f>SUMIFS(#REF!,#REF!,$B146,#REF!,K$1)</f>
        <v>#REF!</v>
      </c>
      <c r="L146" s="24" t="e">
        <f>SUMIFS(#REF!,#REF!,$B146,#REF!,L$1)</f>
        <v>#REF!</v>
      </c>
      <c r="M146" s="24" t="e">
        <f>SUMIFS(#REF!,#REF!,$B146,#REF!,M$1)</f>
        <v>#REF!</v>
      </c>
      <c r="N146" s="24" t="e">
        <f>SUMIFS(#REF!,#REF!,$B146,#REF!,N$1)</f>
        <v>#REF!</v>
      </c>
      <c r="O146" s="24" t="e">
        <f>SUMIFS(#REF!,#REF!,$B146,#REF!,O$1)</f>
        <v>#REF!</v>
      </c>
      <c r="P146" s="24" t="e">
        <f>SUMIFS(#REF!,#REF!,$B146,#REF!,P$1)</f>
        <v>#REF!</v>
      </c>
      <c r="Q146" s="24" t="e">
        <f>SUMIFS(#REF!,#REF!,$B146,#REF!,Q$1)</f>
        <v>#REF!</v>
      </c>
      <c r="R146" s="24" t="e">
        <f>SUMIFS(#REF!,#REF!,$B146,#REF!,R$1)</f>
        <v>#REF!</v>
      </c>
      <c r="S146" s="24" t="e">
        <f>SUMIFS(#REF!,#REF!,$B146,#REF!,S$1)</f>
        <v>#REF!</v>
      </c>
      <c r="T146" s="24" t="e">
        <f>SUMIFS(#REF!,#REF!,$B146,#REF!,T$1)</f>
        <v>#REF!</v>
      </c>
      <c r="U146" s="24" t="e">
        <f>SUMIFS(#REF!,#REF!,$B146,#REF!,U$1)</f>
        <v>#REF!</v>
      </c>
      <c r="V146" s="24" t="e">
        <f>SUMIFS(#REF!,#REF!,$B146,#REF!,V$1)</f>
        <v>#REF!</v>
      </c>
      <c r="W146" s="24" t="e">
        <f>SUMIFS(#REF!,#REF!,$B146,#REF!,W$1)</f>
        <v>#REF!</v>
      </c>
      <c r="X146" s="24" t="e">
        <f>SUMIFS(#REF!,#REF!,$B146,#REF!,X$1)</f>
        <v>#REF!</v>
      </c>
      <c r="Y146" s="24" t="e">
        <f>SUMIFS(#REF!,#REF!,$B146,#REF!,Y$1)</f>
        <v>#REF!</v>
      </c>
      <c r="Z146" s="24" t="e">
        <f>SUMIFS(#REF!,#REF!,$B146,#REF!,Z$1)</f>
        <v>#REF!</v>
      </c>
      <c r="AA146" s="24" t="e">
        <f>SUMIFS(#REF!,#REF!,$B146,#REF!,AA$1)</f>
        <v>#REF!</v>
      </c>
      <c r="AB146" s="24" t="e">
        <f>SUMIFS(#REF!,#REF!,$B146,#REF!,AB$1)</f>
        <v>#REF!</v>
      </c>
      <c r="AC146" s="24" t="e">
        <f>SUMIFS(#REF!,#REF!,$B146,#REF!,AC$1)</f>
        <v>#REF!</v>
      </c>
      <c r="AD146" s="24" t="e">
        <f>SUMIFS(#REF!,#REF!,$B146,#REF!,AD$1)</f>
        <v>#REF!</v>
      </c>
      <c r="AE146" s="24" t="e">
        <f>SUMIFS(#REF!,#REF!,$B146,#REF!,AE$1)</f>
        <v>#REF!</v>
      </c>
      <c r="AF146" s="24" t="e">
        <f>SUMIFS(#REF!,#REF!,$B146,#REF!,AF$1)</f>
        <v>#REF!</v>
      </c>
      <c r="AG146" s="24" t="e">
        <f>SUMIFS(#REF!,#REF!,$B146,#REF!,AG$1)</f>
        <v>#REF!</v>
      </c>
      <c r="AH146" s="24" t="e">
        <f>SUMIFS(#REF!,#REF!,$B146,#REF!,AH$1)</f>
        <v>#REF!</v>
      </c>
      <c r="AI146" s="24" t="e">
        <f>SUMIFS(#REF!,#REF!,$B146,#REF!,AI$1)</f>
        <v>#REF!</v>
      </c>
      <c r="AJ146" s="24" t="e">
        <f>SUMIFS(#REF!,#REF!,$B146,#REF!,AJ$1)</f>
        <v>#REF!</v>
      </c>
      <c r="AK146" s="24" t="e">
        <f>SUMIFS(#REF!,#REF!,$B146,#REF!,AK$1)</f>
        <v>#REF!</v>
      </c>
      <c r="AL146" s="24" t="e">
        <f>SUMIFS(#REF!,#REF!,$B146,#REF!,AL$1)</f>
        <v>#REF!</v>
      </c>
      <c r="AM146" s="24" t="e">
        <f>SUMIFS(#REF!,#REF!,$B146,#REF!,AM$1)</f>
        <v>#REF!</v>
      </c>
      <c r="AN146" s="24" t="e">
        <f>SUMIFS(#REF!,#REF!,$B146,#REF!,AN$1)</f>
        <v>#REF!</v>
      </c>
      <c r="AO146" s="24" t="e">
        <f>SUMIFS(#REF!,#REF!,$B146,#REF!,AO$1)</f>
        <v>#REF!</v>
      </c>
      <c r="AP146" s="24" t="e">
        <f>SUMIFS(#REF!,#REF!,$B146,#REF!,AP$1)</f>
        <v>#REF!</v>
      </c>
      <c r="AQ146" s="24" t="e">
        <f>SUMIFS(#REF!,#REF!,$B146,#REF!,AQ$1)</f>
        <v>#REF!</v>
      </c>
      <c r="AR146" s="24" t="e">
        <f>SUMIFS(#REF!,#REF!,$B146,#REF!,AR$1)</f>
        <v>#REF!</v>
      </c>
      <c r="AS146" s="24" t="e">
        <f>SUMIFS(#REF!,#REF!,$B146,#REF!,AS$1)</f>
        <v>#REF!</v>
      </c>
      <c r="AT146" s="24" t="e">
        <f>SUMIFS(#REF!,#REF!,$B146,#REF!,AT$1)</f>
        <v>#REF!</v>
      </c>
      <c r="AU146" s="24" t="e">
        <f>SUMIFS(#REF!,#REF!,$B146,#REF!,AU$1)</f>
        <v>#REF!</v>
      </c>
      <c r="AV146" s="24" t="e">
        <f>SUMIFS(#REF!,#REF!,$B146,#REF!,AV$1)</f>
        <v>#REF!</v>
      </c>
      <c r="AW146" s="24" t="e">
        <f>SUMIFS(#REF!,#REF!,$B146,#REF!,AW$1)</f>
        <v>#REF!</v>
      </c>
      <c r="AX146" s="24" t="e">
        <f>SUMIFS(#REF!,#REF!,$B146,#REF!,AX$1)</f>
        <v>#REF!</v>
      </c>
      <c r="AY146" s="24" t="e">
        <f>SUMIFS(#REF!,#REF!,$B146,#REF!,AY$1)</f>
        <v>#REF!</v>
      </c>
      <c r="AZ146" s="24" t="e">
        <f>SUMIFS(#REF!,#REF!,$B146,#REF!,AZ$1)</f>
        <v>#REF!</v>
      </c>
      <c r="BA146" s="24" t="e">
        <f>SUMIFS(#REF!,#REF!,$B146,#REF!,BA$1)</f>
        <v>#REF!</v>
      </c>
      <c r="BB146" s="24" t="e">
        <f>SUMIFS(#REF!,#REF!,$B146,#REF!,BB$1)</f>
        <v>#REF!</v>
      </c>
      <c r="BC146" s="24" t="e">
        <f>SUMIFS(#REF!,#REF!,$B146,#REF!,BC$1)</f>
        <v>#REF!</v>
      </c>
      <c r="BD146" s="24" t="e">
        <f>SUMIFS(#REF!,#REF!,$B146,#REF!,BD$1)</f>
        <v>#REF!</v>
      </c>
      <c r="BE146" s="24" t="e">
        <f>SUMIFS(#REF!,#REF!,$B146,#REF!,BE$1)</f>
        <v>#REF!</v>
      </c>
      <c r="BF146" s="24" t="e">
        <f>SUMIFS(#REF!,#REF!,$B146,#REF!,BF$1)</f>
        <v>#REF!</v>
      </c>
      <c r="BG146" s="24" t="e">
        <f>SUMIFS(#REF!,#REF!,$B146,#REF!,BG$1)</f>
        <v>#REF!</v>
      </c>
      <c r="BH146" s="24" t="e">
        <f>SUMIFS(#REF!,#REF!,$B146,#REF!,BH$1)</f>
        <v>#REF!</v>
      </c>
      <c r="BI146" s="24" t="e">
        <f>SUMIFS(#REF!,#REF!,$B146,#REF!,BI$1)</f>
        <v>#REF!</v>
      </c>
      <c r="BJ146" s="24" t="e">
        <f>SUMIFS(#REF!,#REF!,$B146,#REF!,BJ$1)</f>
        <v>#REF!</v>
      </c>
      <c r="BK146" s="24" t="e">
        <f>SUMIFS(#REF!,#REF!,$B146,#REF!,BK$1)</f>
        <v>#REF!</v>
      </c>
      <c r="BL146" s="24" t="e">
        <f>SUMIFS(#REF!,#REF!,$B146,#REF!,BL$1)</f>
        <v>#REF!</v>
      </c>
      <c r="BM146" s="24" t="e">
        <f>SUMIFS(#REF!,#REF!,$B146,#REF!,BM$1)</f>
        <v>#REF!</v>
      </c>
      <c r="BN146" s="24" t="e">
        <f>SUMIFS(#REF!,#REF!,$B146,#REF!,BN$1)</f>
        <v>#REF!</v>
      </c>
      <c r="BO146" s="24" t="e">
        <f>SUMIFS(#REF!,#REF!,$B146,#REF!,BO$1)</f>
        <v>#REF!</v>
      </c>
      <c r="BP146" s="24" t="e">
        <f>SUMIFS(#REF!,#REF!,$B146,#REF!,BP$1)</f>
        <v>#REF!</v>
      </c>
      <c r="BQ146" s="24" t="e">
        <f>SUMIFS(#REF!,#REF!,$B146,#REF!,BQ$1)</f>
        <v>#REF!</v>
      </c>
      <c r="BR146" s="24" t="e">
        <f>SUMIFS(#REF!,#REF!,$B146,#REF!,BR$1)</f>
        <v>#REF!</v>
      </c>
      <c r="BS146" s="24" t="e">
        <f>SUMIFS(#REF!,#REF!,$B146,#REF!,BS$1)</f>
        <v>#REF!</v>
      </c>
      <c r="BT146" s="24" t="e">
        <f>SUMIFS(#REF!,#REF!,$B146,#REF!,BT$1)</f>
        <v>#REF!</v>
      </c>
      <c r="BU146" s="24" t="e">
        <f>SUMIFS(#REF!,#REF!,$B146,#REF!,BU$1)</f>
        <v>#REF!</v>
      </c>
      <c r="BV146" s="24" t="e">
        <f>SUMIFS(#REF!,#REF!,$B146,#REF!,BV$1)</f>
        <v>#REF!</v>
      </c>
      <c r="BW146" s="24" t="e">
        <f>SUMIFS(#REF!,#REF!,$B146,#REF!,BW$1)</f>
        <v>#REF!</v>
      </c>
      <c r="BX146" s="24" t="e">
        <f>SUMIFS(#REF!,#REF!,$B146,#REF!,BX$1)</f>
        <v>#REF!</v>
      </c>
      <c r="BY146" s="24" t="e">
        <f>SUMIFS(#REF!,#REF!,$B146,#REF!,BY$1)</f>
        <v>#REF!</v>
      </c>
      <c r="BZ146" s="24" t="e">
        <f>SUMIFS(#REF!,#REF!,$B146,#REF!,BZ$1)</f>
        <v>#REF!</v>
      </c>
      <c r="CA146" s="24" t="e">
        <f>SUMIFS(#REF!,#REF!,$B146,#REF!,CA$1)</f>
        <v>#REF!</v>
      </c>
      <c r="CB146" s="24" t="e">
        <f>SUMIFS(#REF!,#REF!,$B146,#REF!,CB$1)</f>
        <v>#REF!</v>
      </c>
      <c r="CC146" s="24" t="e">
        <f>SUMIFS(#REF!,#REF!,$B146,#REF!,CC$1)</f>
        <v>#REF!</v>
      </c>
      <c r="CD146" s="24" t="e">
        <f>SUMIFS(#REF!,#REF!,$B146,#REF!,CD$1)</f>
        <v>#REF!</v>
      </c>
      <c r="CE146" s="24" t="e">
        <f>SUMIFS(#REF!,#REF!,$B146,#REF!,CE$1)</f>
        <v>#REF!</v>
      </c>
      <c r="CF146" s="24" t="e">
        <f>SUMIFS(#REF!,#REF!,$B146,#REF!,CF$1)</f>
        <v>#REF!</v>
      </c>
      <c r="CG146" s="19" t="e">
        <f t="shared" si="2"/>
        <v>#REF!</v>
      </c>
    </row>
    <row r="147" spans="1:85" x14ac:dyDescent="0.45">
      <c r="A147" s="4" t="s">
        <v>1276</v>
      </c>
      <c r="B147" s="4" t="s">
        <v>1277</v>
      </c>
      <c r="C147" s="24" t="e">
        <f>SUMIFS(#REF!,#REF!,$B147,#REF!,C$1)</f>
        <v>#REF!</v>
      </c>
      <c r="D147" s="24" t="e">
        <f>SUMIFS(#REF!,#REF!,$B147,#REF!,D$1)</f>
        <v>#REF!</v>
      </c>
      <c r="E147" s="24" t="e">
        <f>SUMIFS(#REF!,#REF!,$B147,#REF!,E$1)</f>
        <v>#REF!</v>
      </c>
      <c r="F147" s="24" t="e">
        <f>SUMIFS(#REF!,#REF!,$B147,#REF!,F$1)</f>
        <v>#REF!</v>
      </c>
      <c r="G147" s="24" t="e">
        <f>SUMIFS(#REF!,#REF!,$B147,#REF!,G$1)</f>
        <v>#REF!</v>
      </c>
      <c r="H147" s="24" t="e">
        <f>SUMIFS(#REF!,#REF!,$B147,#REF!,H$1)</f>
        <v>#REF!</v>
      </c>
      <c r="I147" s="24" t="e">
        <f>SUMIFS(#REF!,#REF!,$B147,#REF!,I$1)</f>
        <v>#REF!</v>
      </c>
      <c r="J147" s="24" t="e">
        <f>SUMIFS(#REF!,#REF!,$B147,#REF!,J$1)</f>
        <v>#REF!</v>
      </c>
      <c r="K147" s="24" t="e">
        <f>SUMIFS(#REF!,#REF!,$B147,#REF!,K$1)</f>
        <v>#REF!</v>
      </c>
      <c r="L147" s="24" t="e">
        <f>SUMIFS(#REF!,#REF!,$B147,#REF!,L$1)</f>
        <v>#REF!</v>
      </c>
      <c r="M147" s="24" t="e">
        <f>SUMIFS(#REF!,#REF!,$B147,#REF!,M$1)</f>
        <v>#REF!</v>
      </c>
      <c r="N147" s="24" t="e">
        <f>SUMIFS(#REF!,#REF!,$B147,#REF!,N$1)</f>
        <v>#REF!</v>
      </c>
      <c r="O147" s="24" t="e">
        <f>SUMIFS(#REF!,#REF!,$B147,#REF!,O$1)</f>
        <v>#REF!</v>
      </c>
      <c r="P147" s="24" t="e">
        <f>SUMIFS(#REF!,#REF!,$B147,#REF!,P$1)</f>
        <v>#REF!</v>
      </c>
      <c r="Q147" s="24" t="e">
        <f>SUMIFS(#REF!,#REF!,$B147,#REF!,Q$1)</f>
        <v>#REF!</v>
      </c>
      <c r="R147" s="24" t="e">
        <f>SUMIFS(#REF!,#REF!,$B147,#REF!,R$1)</f>
        <v>#REF!</v>
      </c>
      <c r="S147" s="24" t="e">
        <f>SUMIFS(#REF!,#REF!,$B147,#REF!,S$1)</f>
        <v>#REF!</v>
      </c>
      <c r="T147" s="24" t="e">
        <f>SUMIFS(#REF!,#REF!,$B147,#REF!,T$1)</f>
        <v>#REF!</v>
      </c>
      <c r="U147" s="24" t="e">
        <f>SUMIFS(#REF!,#REF!,$B147,#REF!,U$1)</f>
        <v>#REF!</v>
      </c>
      <c r="V147" s="24" t="e">
        <f>SUMIFS(#REF!,#REF!,$B147,#REF!,V$1)</f>
        <v>#REF!</v>
      </c>
      <c r="W147" s="24" t="e">
        <f>SUMIFS(#REF!,#REF!,$B147,#REF!,W$1)</f>
        <v>#REF!</v>
      </c>
      <c r="X147" s="24" t="e">
        <f>SUMIFS(#REF!,#REF!,$B147,#REF!,X$1)</f>
        <v>#REF!</v>
      </c>
      <c r="Y147" s="24" t="e">
        <f>SUMIFS(#REF!,#REF!,$B147,#REF!,Y$1)</f>
        <v>#REF!</v>
      </c>
      <c r="Z147" s="24" t="e">
        <f>SUMIFS(#REF!,#REF!,$B147,#REF!,Z$1)</f>
        <v>#REF!</v>
      </c>
      <c r="AA147" s="24" t="e">
        <f>SUMIFS(#REF!,#REF!,$B147,#REF!,AA$1)</f>
        <v>#REF!</v>
      </c>
      <c r="AB147" s="24" t="e">
        <f>SUMIFS(#REF!,#REF!,$B147,#REF!,AB$1)</f>
        <v>#REF!</v>
      </c>
      <c r="AC147" s="24" t="e">
        <f>SUMIFS(#REF!,#REF!,$B147,#REF!,AC$1)</f>
        <v>#REF!</v>
      </c>
      <c r="AD147" s="24" t="e">
        <f>SUMIFS(#REF!,#REF!,$B147,#REF!,AD$1)</f>
        <v>#REF!</v>
      </c>
      <c r="AE147" s="24" t="e">
        <f>SUMIFS(#REF!,#REF!,$B147,#REF!,AE$1)</f>
        <v>#REF!</v>
      </c>
      <c r="AF147" s="24" t="e">
        <f>SUMIFS(#REF!,#REF!,$B147,#REF!,AF$1)</f>
        <v>#REF!</v>
      </c>
      <c r="AG147" s="24" t="e">
        <f>SUMIFS(#REF!,#REF!,$B147,#REF!,AG$1)</f>
        <v>#REF!</v>
      </c>
      <c r="AH147" s="24" t="e">
        <f>SUMIFS(#REF!,#REF!,$B147,#REF!,AH$1)</f>
        <v>#REF!</v>
      </c>
      <c r="AI147" s="24" t="e">
        <f>SUMIFS(#REF!,#REF!,$B147,#REF!,AI$1)</f>
        <v>#REF!</v>
      </c>
      <c r="AJ147" s="24" t="e">
        <f>SUMIFS(#REF!,#REF!,$B147,#REF!,AJ$1)</f>
        <v>#REF!</v>
      </c>
      <c r="AK147" s="24" t="e">
        <f>SUMIFS(#REF!,#REF!,$B147,#REF!,AK$1)</f>
        <v>#REF!</v>
      </c>
      <c r="AL147" s="24" t="e">
        <f>SUMIFS(#REF!,#REF!,$B147,#REF!,AL$1)</f>
        <v>#REF!</v>
      </c>
      <c r="AM147" s="24" t="e">
        <f>SUMIFS(#REF!,#REF!,$B147,#REF!,AM$1)</f>
        <v>#REF!</v>
      </c>
      <c r="AN147" s="24" t="e">
        <f>SUMIFS(#REF!,#REF!,$B147,#REF!,AN$1)</f>
        <v>#REF!</v>
      </c>
      <c r="AO147" s="24" t="e">
        <f>SUMIFS(#REF!,#REF!,$B147,#REF!,AO$1)</f>
        <v>#REF!</v>
      </c>
      <c r="AP147" s="24" t="e">
        <f>SUMIFS(#REF!,#REF!,$B147,#REF!,AP$1)</f>
        <v>#REF!</v>
      </c>
      <c r="AQ147" s="24" t="e">
        <f>SUMIFS(#REF!,#REF!,$B147,#REF!,AQ$1)</f>
        <v>#REF!</v>
      </c>
      <c r="AR147" s="24" t="e">
        <f>SUMIFS(#REF!,#REF!,$B147,#REF!,AR$1)</f>
        <v>#REF!</v>
      </c>
      <c r="AS147" s="24" t="e">
        <f>SUMIFS(#REF!,#REF!,$B147,#REF!,AS$1)</f>
        <v>#REF!</v>
      </c>
      <c r="AT147" s="24" t="e">
        <f>SUMIFS(#REF!,#REF!,$B147,#REF!,AT$1)</f>
        <v>#REF!</v>
      </c>
      <c r="AU147" s="24" t="e">
        <f>SUMIFS(#REF!,#REF!,$B147,#REF!,AU$1)</f>
        <v>#REF!</v>
      </c>
      <c r="AV147" s="24" t="e">
        <f>SUMIFS(#REF!,#REF!,$B147,#REF!,AV$1)</f>
        <v>#REF!</v>
      </c>
      <c r="AW147" s="24" t="e">
        <f>SUMIFS(#REF!,#REF!,$B147,#REF!,AW$1)</f>
        <v>#REF!</v>
      </c>
      <c r="AX147" s="24" t="e">
        <f>SUMIFS(#REF!,#REF!,$B147,#REF!,AX$1)</f>
        <v>#REF!</v>
      </c>
      <c r="AY147" s="24" t="e">
        <f>SUMIFS(#REF!,#REF!,$B147,#REF!,AY$1)</f>
        <v>#REF!</v>
      </c>
      <c r="AZ147" s="24" t="e">
        <f>SUMIFS(#REF!,#REF!,$B147,#REF!,AZ$1)</f>
        <v>#REF!</v>
      </c>
      <c r="BA147" s="24" t="e">
        <f>SUMIFS(#REF!,#REF!,$B147,#REF!,BA$1)</f>
        <v>#REF!</v>
      </c>
      <c r="BB147" s="24" t="e">
        <f>SUMIFS(#REF!,#REF!,$B147,#REF!,BB$1)</f>
        <v>#REF!</v>
      </c>
      <c r="BC147" s="24" t="e">
        <f>SUMIFS(#REF!,#REF!,$B147,#REF!,BC$1)</f>
        <v>#REF!</v>
      </c>
      <c r="BD147" s="24" t="e">
        <f>SUMIFS(#REF!,#REF!,$B147,#REF!,BD$1)</f>
        <v>#REF!</v>
      </c>
      <c r="BE147" s="24" t="e">
        <f>SUMIFS(#REF!,#REF!,$B147,#REF!,BE$1)</f>
        <v>#REF!</v>
      </c>
      <c r="BF147" s="24" t="e">
        <f>SUMIFS(#REF!,#REF!,$B147,#REF!,BF$1)</f>
        <v>#REF!</v>
      </c>
      <c r="BG147" s="24" t="e">
        <f>SUMIFS(#REF!,#REF!,$B147,#REF!,BG$1)</f>
        <v>#REF!</v>
      </c>
      <c r="BH147" s="24" t="e">
        <f>SUMIFS(#REF!,#REF!,$B147,#REF!,BH$1)</f>
        <v>#REF!</v>
      </c>
      <c r="BI147" s="24" t="e">
        <f>SUMIFS(#REF!,#REF!,$B147,#REF!,BI$1)</f>
        <v>#REF!</v>
      </c>
      <c r="BJ147" s="24" t="e">
        <f>SUMIFS(#REF!,#REF!,$B147,#REF!,BJ$1)</f>
        <v>#REF!</v>
      </c>
      <c r="BK147" s="24" t="e">
        <f>SUMIFS(#REF!,#REF!,$B147,#REF!,BK$1)</f>
        <v>#REF!</v>
      </c>
      <c r="BL147" s="24" t="e">
        <f>SUMIFS(#REF!,#REF!,$B147,#REF!,BL$1)</f>
        <v>#REF!</v>
      </c>
      <c r="BM147" s="24" t="e">
        <f>SUMIFS(#REF!,#REF!,$B147,#REF!,BM$1)</f>
        <v>#REF!</v>
      </c>
      <c r="BN147" s="24" t="e">
        <f>SUMIFS(#REF!,#REF!,$B147,#REF!,BN$1)</f>
        <v>#REF!</v>
      </c>
      <c r="BO147" s="24" t="e">
        <f>SUMIFS(#REF!,#REF!,$B147,#REF!,BO$1)</f>
        <v>#REF!</v>
      </c>
      <c r="BP147" s="24" t="e">
        <f>SUMIFS(#REF!,#REF!,$B147,#REF!,BP$1)</f>
        <v>#REF!</v>
      </c>
      <c r="BQ147" s="24" t="e">
        <f>SUMIFS(#REF!,#REF!,$B147,#REF!,BQ$1)</f>
        <v>#REF!</v>
      </c>
      <c r="BR147" s="24" t="e">
        <f>SUMIFS(#REF!,#REF!,$B147,#REF!,BR$1)</f>
        <v>#REF!</v>
      </c>
      <c r="BS147" s="24" t="e">
        <f>SUMIFS(#REF!,#REF!,$B147,#REF!,BS$1)</f>
        <v>#REF!</v>
      </c>
      <c r="BT147" s="24" t="e">
        <f>SUMIFS(#REF!,#REF!,$B147,#REF!,BT$1)</f>
        <v>#REF!</v>
      </c>
      <c r="BU147" s="24" t="e">
        <f>SUMIFS(#REF!,#REF!,$B147,#REF!,BU$1)</f>
        <v>#REF!</v>
      </c>
      <c r="BV147" s="24" t="e">
        <f>SUMIFS(#REF!,#REF!,$B147,#REF!,BV$1)</f>
        <v>#REF!</v>
      </c>
      <c r="BW147" s="24" t="e">
        <f>SUMIFS(#REF!,#REF!,$B147,#REF!,BW$1)</f>
        <v>#REF!</v>
      </c>
      <c r="BX147" s="24" t="e">
        <f>SUMIFS(#REF!,#REF!,$B147,#REF!,BX$1)</f>
        <v>#REF!</v>
      </c>
      <c r="BY147" s="24" t="e">
        <f>SUMIFS(#REF!,#REF!,$B147,#REF!,BY$1)</f>
        <v>#REF!</v>
      </c>
      <c r="BZ147" s="24" t="e">
        <f>SUMIFS(#REF!,#REF!,$B147,#REF!,BZ$1)</f>
        <v>#REF!</v>
      </c>
      <c r="CA147" s="24" t="e">
        <f>SUMIFS(#REF!,#REF!,$B147,#REF!,CA$1)</f>
        <v>#REF!</v>
      </c>
      <c r="CB147" s="24" t="e">
        <f>SUMIFS(#REF!,#REF!,$B147,#REF!,CB$1)</f>
        <v>#REF!</v>
      </c>
      <c r="CC147" s="24" t="e">
        <f>SUMIFS(#REF!,#REF!,$B147,#REF!,CC$1)</f>
        <v>#REF!</v>
      </c>
      <c r="CD147" s="24" t="e">
        <f>SUMIFS(#REF!,#REF!,$B147,#REF!,CD$1)</f>
        <v>#REF!</v>
      </c>
      <c r="CE147" s="24" t="e">
        <f>SUMIFS(#REF!,#REF!,$B147,#REF!,CE$1)</f>
        <v>#REF!</v>
      </c>
      <c r="CF147" s="24" t="e">
        <f>SUMIFS(#REF!,#REF!,$B147,#REF!,CF$1)</f>
        <v>#REF!</v>
      </c>
      <c r="CG147" s="19" t="e">
        <f t="shared" si="2"/>
        <v>#REF!</v>
      </c>
    </row>
    <row r="148" spans="1:85" x14ac:dyDescent="0.45">
      <c r="A148" s="4" t="s">
        <v>1278</v>
      </c>
      <c r="B148" s="4" t="s">
        <v>1279</v>
      </c>
      <c r="C148" s="24" t="e">
        <f>SUMIFS(#REF!,#REF!,$B148,#REF!,C$1)</f>
        <v>#REF!</v>
      </c>
      <c r="D148" s="24" t="e">
        <f>SUMIFS(#REF!,#REF!,$B148,#REF!,D$1)</f>
        <v>#REF!</v>
      </c>
      <c r="E148" s="24" t="e">
        <f>SUMIFS(#REF!,#REF!,$B148,#REF!,E$1)</f>
        <v>#REF!</v>
      </c>
      <c r="F148" s="24" t="e">
        <f>SUMIFS(#REF!,#REF!,$B148,#REF!,F$1)</f>
        <v>#REF!</v>
      </c>
      <c r="G148" s="24" t="e">
        <f>SUMIFS(#REF!,#REF!,$B148,#REF!,G$1)</f>
        <v>#REF!</v>
      </c>
      <c r="H148" s="24" t="e">
        <f>SUMIFS(#REF!,#REF!,$B148,#REF!,H$1)</f>
        <v>#REF!</v>
      </c>
      <c r="I148" s="24" t="e">
        <f>SUMIFS(#REF!,#REF!,$B148,#REF!,I$1)</f>
        <v>#REF!</v>
      </c>
      <c r="J148" s="24" t="e">
        <f>SUMIFS(#REF!,#REF!,$B148,#REF!,J$1)</f>
        <v>#REF!</v>
      </c>
      <c r="K148" s="24" t="e">
        <f>SUMIFS(#REF!,#REF!,$B148,#REF!,K$1)</f>
        <v>#REF!</v>
      </c>
      <c r="L148" s="24" t="e">
        <f>SUMIFS(#REF!,#REF!,$B148,#REF!,L$1)</f>
        <v>#REF!</v>
      </c>
      <c r="M148" s="24" t="e">
        <f>SUMIFS(#REF!,#REF!,$B148,#REF!,M$1)</f>
        <v>#REF!</v>
      </c>
      <c r="N148" s="24" t="e">
        <f>SUMIFS(#REF!,#REF!,$B148,#REF!,N$1)</f>
        <v>#REF!</v>
      </c>
      <c r="O148" s="24" t="e">
        <f>SUMIFS(#REF!,#REF!,$B148,#REF!,O$1)</f>
        <v>#REF!</v>
      </c>
      <c r="P148" s="24" t="e">
        <f>SUMIFS(#REF!,#REF!,$B148,#REF!,P$1)</f>
        <v>#REF!</v>
      </c>
      <c r="Q148" s="24" t="e">
        <f>SUMIFS(#REF!,#REF!,$B148,#REF!,Q$1)</f>
        <v>#REF!</v>
      </c>
      <c r="R148" s="24" t="e">
        <f>SUMIFS(#REF!,#REF!,$B148,#REF!,R$1)</f>
        <v>#REF!</v>
      </c>
      <c r="S148" s="24" t="e">
        <f>SUMIFS(#REF!,#REF!,$B148,#REF!,S$1)</f>
        <v>#REF!</v>
      </c>
      <c r="T148" s="24" t="e">
        <f>SUMIFS(#REF!,#REF!,$B148,#REF!,T$1)</f>
        <v>#REF!</v>
      </c>
      <c r="U148" s="24" t="e">
        <f>SUMIFS(#REF!,#REF!,$B148,#REF!,U$1)</f>
        <v>#REF!</v>
      </c>
      <c r="V148" s="24" t="e">
        <f>SUMIFS(#REF!,#REF!,$B148,#REF!,V$1)</f>
        <v>#REF!</v>
      </c>
      <c r="W148" s="24" t="e">
        <f>SUMIFS(#REF!,#REF!,$B148,#REF!,W$1)</f>
        <v>#REF!</v>
      </c>
      <c r="X148" s="24" t="e">
        <f>SUMIFS(#REF!,#REF!,$B148,#REF!,X$1)</f>
        <v>#REF!</v>
      </c>
      <c r="Y148" s="24" t="e">
        <f>SUMIFS(#REF!,#REF!,$B148,#REF!,Y$1)</f>
        <v>#REF!</v>
      </c>
      <c r="Z148" s="24" t="e">
        <f>SUMIFS(#REF!,#REF!,$B148,#REF!,Z$1)</f>
        <v>#REF!</v>
      </c>
      <c r="AA148" s="24" t="e">
        <f>SUMIFS(#REF!,#REF!,$B148,#REF!,AA$1)</f>
        <v>#REF!</v>
      </c>
      <c r="AB148" s="24" t="e">
        <f>SUMIFS(#REF!,#REF!,$B148,#REF!,AB$1)</f>
        <v>#REF!</v>
      </c>
      <c r="AC148" s="24" t="e">
        <f>SUMIFS(#REF!,#REF!,$B148,#REF!,AC$1)</f>
        <v>#REF!</v>
      </c>
      <c r="AD148" s="24" t="e">
        <f>SUMIFS(#REF!,#REF!,$B148,#REF!,AD$1)</f>
        <v>#REF!</v>
      </c>
      <c r="AE148" s="24" t="e">
        <f>SUMIFS(#REF!,#REF!,$B148,#REF!,AE$1)</f>
        <v>#REF!</v>
      </c>
      <c r="AF148" s="24" t="e">
        <f>SUMIFS(#REF!,#REF!,$B148,#REF!,AF$1)</f>
        <v>#REF!</v>
      </c>
      <c r="AG148" s="24" t="e">
        <f>SUMIFS(#REF!,#REF!,$B148,#REF!,AG$1)</f>
        <v>#REF!</v>
      </c>
      <c r="AH148" s="24" t="e">
        <f>SUMIFS(#REF!,#REF!,$B148,#REF!,AH$1)</f>
        <v>#REF!</v>
      </c>
      <c r="AI148" s="24" t="e">
        <f>SUMIFS(#REF!,#REF!,$B148,#REF!,AI$1)</f>
        <v>#REF!</v>
      </c>
      <c r="AJ148" s="24" t="e">
        <f>SUMIFS(#REF!,#REF!,$B148,#REF!,AJ$1)</f>
        <v>#REF!</v>
      </c>
      <c r="AK148" s="24" t="e">
        <f>SUMIFS(#REF!,#REF!,$B148,#REF!,AK$1)</f>
        <v>#REF!</v>
      </c>
      <c r="AL148" s="24" t="e">
        <f>SUMIFS(#REF!,#REF!,$B148,#REF!,AL$1)</f>
        <v>#REF!</v>
      </c>
      <c r="AM148" s="24" t="e">
        <f>SUMIFS(#REF!,#REF!,$B148,#REF!,AM$1)</f>
        <v>#REF!</v>
      </c>
      <c r="AN148" s="24" t="e">
        <f>SUMIFS(#REF!,#REF!,$B148,#REF!,AN$1)</f>
        <v>#REF!</v>
      </c>
      <c r="AO148" s="24" t="e">
        <f>SUMIFS(#REF!,#REF!,$B148,#REF!,AO$1)</f>
        <v>#REF!</v>
      </c>
      <c r="AP148" s="24" t="e">
        <f>SUMIFS(#REF!,#REF!,$B148,#REF!,AP$1)</f>
        <v>#REF!</v>
      </c>
      <c r="AQ148" s="24" t="e">
        <f>SUMIFS(#REF!,#REF!,$B148,#REF!,AQ$1)</f>
        <v>#REF!</v>
      </c>
      <c r="AR148" s="24" t="e">
        <f>SUMIFS(#REF!,#REF!,$B148,#REF!,AR$1)</f>
        <v>#REF!</v>
      </c>
      <c r="AS148" s="24" t="e">
        <f>SUMIFS(#REF!,#REF!,$B148,#REF!,AS$1)</f>
        <v>#REF!</v>
      </c>
      <c r="AT148" s="24" t="e">
        <f>SUMIFS(#REF!,#REF!,$B148,#REF!,AT$1)</f>
        <v>#REF!</v>
      </c>
      <c r="AU148" s="24" t="e">
        <f>SUMIFS(#REF!,#REF!,$B148,#REF!,AU$1)</f>
        <v>#REF!</v>
      </c>
      <c r="AV148" s="24" t="e">
        <f>SUMIFS(#REF!,#REF!,$B148,#REF!,AV$1)</f>
        <v>#REF!</v>
      </c>
      <c r="AW148" s="24" t="e">
        <f>SUMIFS(#REF!,#REF!,$B148,#REF!,AW$1)</f>
        <v>#REF!</v>
      </c>
      <c r="AX148" s="24" t="e">
        <f>SUMIFS(#REF!,#REF!,$B148,#REF!,AX$1)</f>
        <v>#REF!</v>
      </c>
      <c r="AY148" s="24" t="e">
        <f>SUMIFS(#REF!,#REF!,$B148,#REF!,AY$1)</f>
        <v>#REF!</v>
      </c>
      <c r="AZ148" s="24" t="e">
        <f>SUMIFS(#REF!,#REF!,$B148,#REF!,AZ$1)</f>
        <v>#REF!</v>
      </c>
      <c r="BA148" s="24" t="e">
        <f>SUMIFS(#REF!,#REF!,$B148,#REF!,BA$1)</f>
        <v>#REF!</v>
      </c>
      <c r="BB148" s="24" t="e">
        <f>SUMIFS(#REF!,#REF!,$B148,#REF!,BB$1)</f>
        <v>#REF!</v>
      </c>
      <c r="BC148" s="24" t="e">
        <f>SUMIFS(#REF!,#REF!,$B148,#REF!,BC$1)</f>
        <v>#REF!</v>
      </c>
      <c r="BD148" s="24" t="e">
        <f>SUMIFS(#REF!,#REF!,$B148,#REF!,BD$1)</f>
        <v>#REF!</v>
      </c>
      <c r="BE148" s="24" t="e">
        <f>SUMIFS(#REF!,#REF!,$B148,#REF!,BE$1)</f>
        <v>#REF!</v>
      </c>
      <c r="BF148" s="24" t="e">
        <f>SUMIFS(#REF!,#REF!,$B148,#REF!,BF$1)</f>
        <v>#REF!</v>
      </c>
      <c r="BG148" s="24" t="e">
        <f>SUMIFS(#REF!,#REF!,$B148,#REF!,BG$1)</f>
        <v>#REF!</v>
      </c>
      <c r="BH148" s="24" t="e">
        <f>SUMIFS(#REF!,#REF!,$B148,#REF!,BH$1)</f>
        <v>#REF!</v>
      </c>
      <c r="BI148" s="24" t="e">
        <f>SUMIFS(#REF!,#REF!,$B148,#REF!,BI$1)</f>
        <v>#REF!</v>
      </c>
      <c r="BJ148" s="24" t="e">
        <f>SUMIFS(#REF!,#REF!,$B148,#REF!,BJ$1)</f>
        <v>#REF!</v>
      </c>
      <c r="BK148" s="24" t="e">
        <f>SUMIFS(#REF!,#REF!,$B148,#REF!,BK$1)</f>
        <v>#REF!</v>
      </c>
      <c r="BL148" s="24" t="e">
        <f>SUMIFS(#REF!,#REF!,$B148,#REF!,BL$1)</f>
        <v>#REF!</v>
      </c>
      <c r="BM148" s="24" t="e">
        <f>SUMIFS(#REF!,#REF!,$B148,#REF!,BM$1)</f>
        <v>#REF!</v>
      </c>
      <c r="BN148" s="24" t="e">
        <f>SUMIFS(#REF!,#REF!,$B148,#REF!,BN$1)</f>
        <v>#REF!</v>
      </c>
      <c r="BO148" s="24" t="e">
        <f>SUMIFS(#REF!,#REF!,$B148,#REF!,BO$1)</f>
        <v>#REF!</v>
      </c>
      <c r="BP148" s="24" t="e">
        <f>SUMIFS(#REF!,#REF!,$B148,#REF!,BP$1)</f>
        <v>#REF!</v>
      </c>
      <c r="BQ148" s="24" t="e">
        <f>SUMIFS(#REF!,#REF!,$B148,#REF!,BQ$1)</f>
        <v>#REF!</v>
      </c>
      <c r="BR148" s="24" t="e">
        <f>SUMIFS(#REF!,#REF!,$B148,#REF!,BR$1)</f>
        <v>#REF!</v>
      </c>
      <c r="BS148" s="24" t="e">
        <f>SUMIFS(#REF!,#REF!,$B148,#REF!,BS$1)</f>
        <v>#REF!</v>
      </c>
      <c r="BT148" s="24" t="e">
        <f>SUMIFS(#REF!,#REF!,$B148,#REF!,BT$1)</f>
        <v>#REF!</v>
      </c>
      <c r="BU148" s="24" t="e">
        <f>SUMIFS(#REF!,#REF!,$B148,#REF!,BU$1)</f>
        <v>#REF!</v>
      </c>
      <c r="BV148" s="24" t="e">
        <f>SUMIFS(#REF!,#REF!,$B148,#REF!,BV$1)</f>
        <v>#REF!</v>
      </c>
      <c r="BW148" s="24" t="e">
        <f>SUMIFS(#REF!,#REF!,$B148,#REF!,BW$1)</f>
        <v>#REF!</v>
      </c>
      <c r="BX148" s="24" t="e">
        <f>SUMIFS(#REF!,#REF!,$B148,#REF!,BX$1)</f>
        <v>#REF!</v>
      </c>
      <c r="BY148" s="24" t="e">
        <f>SUMIFS(#REF!,#REF!,$B148,#REF!,BY$1)</f>
        <v>#REF!</v>
      </c>
      <c r="BZ148" s="24" t="e">
        <f>SUMIFS(#REF!,#REF!,$B148,#REF!,BZ$1)</f>
        <v>#REF!</v>
      </c>
      <c r="CA148" s="24" t="e">
        <f>SUMIFS(#REF!,#REF!,$B148,#REF!,CA$1)</f>
        <v>#REF!</v>
      </c>
      <c r="CB148" s="24" t="e">
        <f>SUMIFS(#REF!,#REF!,$B148,#REF!,CB$1)</f>
        <v>#REF!</v>
      </c>
      <c r="CC148" s="24" t="e">
        <f>SUMIFS(#REF!,#REF!,$B148,#REF!,CC$1)</f>
        <v>#REF!</v>
      </c>
      <c r="CD148" s="24" t="e">
        <f>SUMIFS(#REF!,#REF!,$B148,#REF!,CD$1)</f>
        <v>#REF!</v>
      </c>
      <c r="CE148" s="24" t="e">
        <f>SUMIFS(#REF!,#REF!,$B148,#REF!,CE$1)</f>
        <v>#REF!</v>
      </c>
      <c r="CF148" s="24" t="e">
        <f>SUMIFS(#REF!,#REF!,$B148,#REF!,CF$1)</f>
        <v>#REF!</v>
      </c>
      <c r="CG148" s="19" t="e">
        <f t="shared" si="2"/>
        <v>#REF!</v>
      </c>
    </row>
    <row r="149" spans="1:85" x14ac:dyDescent="0.45">
      <c r="A149" s="4" t="s">
        <v>1280</v>
      </c>
      <c r="B149" s="4" t="s">
        <v>1281</v>
      </c>
      <c r="C149" s="24" t="e">
        <f>SUMIFS(#REF!,#REF!,$B149,#REF!,C$1)</f>
        <v>#REF!</v>
      </c>
      <c r="D149" s="24" t="e">
        <f>SUMIFS(#REF!,#REF!,$B149,#REF!,D$1)</f>
        <v>#REF!</v>
      </c>
      <c r="E149" s="24" t="e">
        <f>SUMIFS(#REF!,#REF!,$B149,#REF!,E$1)</f>
        <v>#REF!</v>
      </c>
      <c r="F149" s="24" t="e">
        <f>SUMIFS(#REF!,#REF!,$B149,#REF!,F$1)</f>
        <v>#REF!</v>
      </c>
      <c r="G149" s="24" t="e">
        <f>SUMIFS(#REF!,#REF!,$B149,#REF!,G$1)</f>
        <v>#REF!</v>
      </c>
      <c r="H149" s="24" t="e">
        <f>SUMIFS(#REF!,#REF!,$B149,#REF!,H$1)</f>
        <v>#REF!</v>
      </c>
      <c r="I149" s="24" t="e">
        <f>SUMIFS(#REF!,#REF!,$B149,#REF!,I$1)</f>
        <v>#REF!</v>
      </c>
      <c r="J149" s="24" t="e">
        <f>SUMIFS(#REF!,#REF!,$B149,#REF!,J$1)</f>
        <v>#REF!</v>
      </c>
      <c r="K149" s="24" t="e">
        <f>SUMIFS(#REF!,#REF!,$B149,#REF!,K$1)</f>
        <v>#REF!</v>
      </c>
      <c r="L149" s="24" t="e">
        <f>SUMIFS(#REF!,#REF!,$B149,#REF!,L$1)</f>
        <v>#REF!</v>
      </c>
      <c r="M149" s="24" t="e">
        <f>SUMIFS(#REF!,#REF!,$B149,#REF!,M$1)</f>
        <v>#REF!</v>
      </c>
      <c r="N149" s="24" t="e">
        <f>SUMIFS(#REF!,#REF!,$B149,#REF!,N$1)</f>
        <v>#REF!</v>
      </c>
      <c r="O149" s="24" t="e">
        <f>SUMIFS(#REF!,#REF!,$B149,#REF!,O$1)</f>
        <v>#REF!</v>
      </c>
      <c r="P149" s="24" t="e">
        <f>SUMIFS(#REF!,#REF!,$B149,#REF!,P$1)</f>
        <v>#REF!</v>
      </c>
      <c r="Q149" s="24" t="e">
        <f>SUMIFS(#REF!,#REF!,$B149,#REF!,Q$1)</f>
        <v>#REF!</v>
      </c>
      <c r="R149" s="24" t="e">
        <f>SUMIFS(#REF!,#REF!,$B149,#REF!,R$1)</f>
        <v>#REF!</v>
      </c>
      <c r="S149" s="24" t="e">
        <f>SUMIFS(#REF!,#REF!,$B149,#REF!,S$1)</f>
        <v>#REF!</v>
      </c>
      <c r="T149" s="24" t="e">
        <f>SUMIFS(#REF!,#REF!,$B149,#REF!,T$1)</f>
        <v>#REF!</v>
      </c>
      <c r="U149" s="24" t="e">
        <f>SUMIFS(#REF!,#REF!,$B149,#REF!,U$1)</f>
        <v>#REF!</v>
      </c>
      <c r="V149" s="24" t="e">
        <f>SUMIFS(#REF!,#REF!,$B149,#REF!,V$1)</f>
        <v>#REF!</v>
      </c>
      <c r="W149" s="24" t="e">
        <f>SUMIFS(#REF!,#REF!,$B149,#REF!,W$1)</f>
        <v>#REF!</v>
      </c>
      <c r="X149" s="24" t="e">
        <f>SUMIFS(#REF!,#REF!,$B149,#REF!,X$1)</f>
        <v>#REF!</v>
      </c>
      <c r="Y149" s="24" t="e">
        <f>SUMIFS(#REF!,#REF!,$B149,#REF!,Y$1)</f>
        <v>#REF!</v>
      </c>
      <c r="Z149" s="24" t="e">
        <f>SUMIFS(#REF!,#REF!,$B149,#REF!,Z$1)</f>
        <v>#REF!</v>
      </c>
      <c r="AA149" s="24" t="e">
        <f>SUMIFS(#REF!,#REF!,$B149,#REF!,AA$1)</f>
        <v>#REF!</v>
      </c>
      <c r="AB149" s="24" t="e">
        <f>SUMIFS(#REF!,#REF!,$B149,#REF!,AB$1)</f>
        <v>#REF!</v>
      </c>
      <c r="AC149" s="24" t="e">
        <f>SUMIFS(#REF!,#REF!,$B149,#REF!,AC$1)</f>
        <v>#REF!</v>
      </c>
      <c r="AD149" s="24" t="e">
        <f>SUMIFS(#REF!,#REF!,$B149,#REF!,AD$1)</f>
        <v>#REF!</v>
      </c>
      <c r="AE149" s="24" t="e">
        <f>SUMIFS(#REF!,#REF!,$B149,#REF!,AE$1)</f>
        <v>#REF!</v>
      </c>
      <c r="AF149" s="24" t="e">
        <f>SUMIFS(#REF!,#REF!,$B149,#REF!,AF$1)</f>
        <v>#REF!</v>
      </c>
      <c r="AG149" s="24" t="e">
        <f>SUMIFS(#REF!,#REF!,$B149,#REF!,AG$1)</f>
        <v>#REF!</v>
      </c>
      <c r="AH149" s="24" t="e">
        <f>SUMIFS(#REF!,#REF!,$B149,#REF!,AH$1)</f>
        <v>#REF!</v>
      </c>
      <c r="AI149" s="24" t="e">
        <f>SUMIFS(#REF!,#REF!,$B149,#REF!,AI$1)</f>
        <v>#REF!</v>
      </c>
      <c r="AJ149" s="24" t="e">
        <f>SUMIFS(#REF!,#REF!,$B149,#REF!,AJ$1)</f>
        <v>#REF!</v>
      </c>
      <c r="AK149" s="24" t="e">
        <f>SUMIFS(#REF!,#REF!,$B149,#REF!,AK$1)</f>
        <v>#REF!</v>
      </c>
      <c r="AL149" s="24" t="e">
        <f>SUMIFS(#REF!,#REF!,$B149,#REF!,AL$1)</f>
        <v>#REF!</v>
      </c>
      <c r="AM149" s="24" t="e">
        <f>SUMIFS(#REF!,#REF!,$B149,#REF!,AM$1)</f>
        <v>#REF!</v>
      </c>
      <c r="AN149" s="24" t="e">
        <f>SUMIFS(#REF!,#REF!,$B149,#REF!,AN$1)</f>
        <v>#REF!</v>
      </c>
      <c r="AO149" s="24" t="e">
        <f>SUMIFS(#REF!,#REF!,$B149,#REF!,AO$1)</f>
        <v>#REF!</v>
      </c>
      <c r="AP149" s="24" t="e">
        <f>SUMIFS(#REF!,#REF!,$B149,#REF!,AP$1)</f>
        <v>#REF!</v>
      </c>
      <c r="AQ149" s="24" t="e">
        <f>SUMIFS(#REF!,#REF!,$B149,#REF!,AQ$1)</f>
        <v>#REF!</v>
      </c>
      <c r="AR149" s="24" t="e">
        <f>SUMIFS(#REF!,#REF!,$B149,#REF!,AR$1)</f>
        <v>#REF!</v>
      </c>
      <c r="AS149" s="24" t="e">
        <f>SUMIFS(#REF!,#REF!,$B149,#REF!,AS$1)</f>
        <v>#REF!</v>
      </c>
      <c r="AT149" s="24" t="e">
        <f>SUMIFS(#REF!,#REF!,$B149,#REF!,AT$1)</f>
        <v>#REF!</v>
      </c>
      <c r="AU149" s="24" t="e">
        <f>SUMIFS(#REF!,#REF!,$B149,#REF!,AU$1)</f>
        <v>#REF!</v>
      </c>
      <c r="AV149" s="24" t="e">
        <f>SUMIFS(#REF!,#REF!,$B149,#REF!,AV$1)</f>
        <v>#REF!</v>
      </c>
      <c r="AW149" s="24" t="e">
        <f>SUMIFS(#REF!,#REF!,$B149,#REF!,AW$1)</f>
        <v>#REF!</v>
      </c>
      <c r="AX149" s="24" t="e">
        <f>SUMIFS(#REF!,#REF!,$B149,#REF!,AX$1)</f>
        <v>#REF!</v>
      </c>
      <c r="AY149" s="24" t="e">
        <f>SUMIFS(#REF!,#REF!,$B149,#REF!,AY$1)</f>
        <v>#REF!</v>
      </c>
      <c r="AZ149" s="24" t="e">
        <f>SUMIFS(#REF!,#REF!,$B149,#REF!,AZ$1)</f>
        <v>#REF!</v>
      </c>
      <c r="BA149" s="24" t="e">
        <f>SUMIFS(#REF!,#REF!,$B149,#REF!,BA$1)</f>
        <v>#REF!</v>
      </c>
      <c r="BB149" s="24" t="e">
        <f>SUMIFS(#REF!,#REF!,$B149,#REF!,BB$1)</f>
        <v>#REF!</v>
      </c>
      <c r="BC149" s="24" t="e">
        <f>SUMIFS(#REF!,#REF!,$B149,#REF!,BC$1)</f>
        <v>#REF!</v>
      </c>
      <c r="BD149" s="24" t="e">
        <f>SUMIFS(#REF!,#REF!,$B149,#REF!,BD$1)</f>
        <v>#REF!</v>
      </c>
      <c r="BE149" s="24" t="e">
        <f>SUMIFS(#REF!,#REF!,$B149,#REF!,BE$1)</f>
        <v>#REF!</v>
      </c>
      <c r="BF149" s="24" t="e">
        <f>SUMIFS(#REF!,#REF!,$B149,#REF!,BF$1)</f>
        <v>#REF!</v>
      </c>
      <c r="BG149" s="24" t="e">
        <f>SUMIFS(#REF!,#REF!,$B149,#REF!,BG$1)</f>
        <v>#REF!</v>
      </c>
      <c r="BH149" s="24" t="e">
        <f>SUMIFS(#REF!,#REF!,$B149,#REF!,BH$1)</f>
        <v>#REF!</v>
      </c>
      <c r="BI149" s="24" t="e">
        <f>SUMIFS(#REF!,#REF!,$B149,#REF!,BI$1)</f>
        <v>#REF!</v>
      </c>
      <c r="BJ149" s="24" t="e">
        <f>SUMIFS(#REF!,#REF!,$B149,#REF!,BJ$1)</f>
        <v>#REF!</v>
      </c>
      <c r="BK149" s="24" t="e">
        <f>SUMIFS(#REF!,#REF!,$B149,#REF!,BK$1)</f>
        <v>#REF!</v>
      </c>
      <c r="BL149" s="24" t="e">
        <f>SUMIFS(#REF!,#REF!,$B149,#REF!,BL$1)</f>
        <v>#REF!</v>
      </c>
      <c r="BM149" s="24" t="e">
        <f>SUMIFS(#REF!,#REF!,$B149,#REF!,BM$1)</f>
        <v>#REF!</v>
      </c>
      <c r="BN149" s="24" t="e">
        <f>SUMIFS(#REF!,#REF!,$B149,#REF!,BN$1)</f>
        <v>#REF!</v>
      </c>
      <c r="BO149" s="24" t="e">
        <f>SUMIFS(#REF!,#REF!,$B149,#REF!,BO$1)</f>
        <v>#REF!</v>
      </c>
      <c r="BP149" s="24" t="e">
        <f>SUMIFS(#REF!,#REF!,$B149,#REF!,BP$1)</f>
        <v>#REF!</v>
      </c>
      <c r="BQ149" s="24" t="e">
        <f>SUMIFS(#REF!,#REF!,$B149,#REF!,BQ$1)</f>
        <v>#REF!</v>
      </c>
      <c r="BR149" s="24" t="e">
        <f>SUMIFS(#REF!,#REF!,$B149,#REF!,BR$1)</f>
        <v>#REF!</v>
      </c>
      <c r="BS149" s="24" t="e">
        <f>SUMIFS(#REF!,#REF!,$B149,#REF!,BS$1)</f>
        <v>#REF!</v>
      </c>
      <c r="BT149" s="24" t="e">
        <f>SUMIFS(#REF!,#REF!,$B149,#REF!,BT$1)</f>
        <v>#REF!</v>
      </c>
      <c r="BU149" s="24" t="e">
        <f>SUMIFS(#REF!,#REF!,$B149,#REF!,BU$1)</f>
        <v>#REF!</v>
      </c>
      <c r="BV149" s="24" t="e">
        <f>SUMIFS(#REF!,#REF!,$B149,#REF!,BV$1)</f>
        <v>#REF!</v>
      </c>
      <c r="BW149" s="24" t="e">
        <f>SUMIFS(#REF!,#REF!,$B149,#REF!,BW$1)</f>
        <v>#REF!</v>
      </c>
      <c r="BX149" s="24" t="e">
        <f>SUMIFS(#REF!,#REF!,$B149,#REF!,BX$1)</f>
        <v>#REF!</v>
      </c>
      <c r="BY149" s="24" t="e">
        <f>SUMIFS(#REF!,#REF!,$B149,#REF!,BY$1)</f>
        <v>#REF!</v>
      </c>
      <c r="BZ149" s="24" t="e">
        <f>SUMIFS(#REF!,#REF!,$B149,#REF!,BZ$1)</f>
        <v>#REF!</v>
      </c>
      <c r="CA149" s="24" t="e">
        <f>SUMIFS(#REF!,#REF!,$B149,#REF!,CA$1)</f>
        <v>#REF!</v>
      </c>
      <c r="CB149" s="24" t="e">
        <f>SUMIFS(#REF!,#REF!,$B149,#REF!,CB$1)</f>
        <v>#REF!</v>
      </c>
      <c r="CC149" s="24" t="e">
        <f>SUMIFS(#REF!,#REF!,$B149,#REF!,CC$1)</f>
        <v>#REF!</v>
      </c>
      <c r="CD149" s="24" t="e">
        <f>SUMIFS(#REF!,#REF!,$B149,#REF!,CD$1)</f>
        <v>#REF!</v>
      </c>
      <c r="CE149" s="24" t="e">
        <f>SUMIFS(#REF!,#REF!,$B149,#REF!,CE$1)</f>
        <v>#REF!</v>
      </c>
      <c r="CF149" s="24" t="e">
        <f>SUMIFS(#REF!,#REF!,$B149,#REF!,CF$1)</f>
        <v>#REF!</v>
      </c>
      <c r="CG149" s="19" t="e">
        <f t="shared" si="2"/>
        <v>#REF!</v>
      </c>
    </row>
    <row r="150" spans="1:85" x14ac:dyDescent="0.45">
      <c r="A150" s="4" t="s">
        <v>1282</v>
      </c>
      <c r="B150" s="4" t="s">
        <v>1283</v>
      </c>
      <c r="C150" s="24" t="e">
        <f>SUMIFS(#REF!,#REF!,$B150,#REF!,C$1)</f>
        <v>#REF!</v>
      </c>
      <c r="D150" s="24" t="e">
        <f>SUMIFS(#REF!,#REF!,$B150,#REF!,D$1)</f>
        <v>#REF!</v>
      </c>
      <c r="E150" s="24" t="e">
        <f>SUMIFS(#REF!,#REF!,$B150,#REF!,E$1)</f>
        <v>#REF!</v>
      </c>
      <c r="F150" s="24" t="e">
        <f>SUMIFS(#REF!,#REF!,$B150,#REF!,F$1)</f>
        <v>#REF!</v>
      </c>
      <c r="G150" s="24" t="e">
        <f>SUMIFS(#REF!,#REF!,$B150,#REF!,G$1)</f>
        <v>#REF!</v>
      </c>
      <c r="H150" s="24" t="e">
        <f>SUMIFS(#REF!,#REF!,$B150,#REF!,H$1)</f>
        <v>#REF!</v>
      </c>
      <c r="I150" s="24" t="e">
        <f>SUMIFS(#REF!,#REF!,$B150,#REF!,I$1)</f>
        <v>#REF!</v>
      </c>
      <c r="J150" s="24" t="e">
        <f>SUMIFS(#REF!,#REF!,$B150,#REF!,J$1)</f>
        <v>#REF!</v>
      </c>
      <c r="K150" s="24" t="e">
        <f>SUMIFS(#REF!,#REF!,$B150,#REF!,K$1)</f>
        <v>#REF!</v>
      </c>
      <c r="L150" s="24" t="e">
        <f>SUMIFS(#REF!,#REF!,$B150,#REF!,L$1)</f>
        <v>#REF!</v>
      </c>
      <c r="M150" s="24" t="e">
        <f>SUMIFS(#REF!,#REF!,$B150,#REF!,M$1)</f>
        <v>#REF!</v>
      </c>
      <c r="N150" s="24" t="e">
        <f>SUMIFS(#REF!,#REF!,$B150,#REF!,N$1)</f>
        <v>#REF!</v>
      </c>
      <c r="O150" s="24" t="e">
        <f>SUMIFS(#REF!,#REF!,$B150,#REF!,O$1)</f>
        <v>#REF!</v>
      </c>
      <c r="P150" s="24" t="e">
        <f>SUMIFS(#REF!,#REF!,$B150,#REF!,P$1)</f>
        <v>#REF!</v>
      </c>
      <c r="Q150" s="24" t="e">
        <f>SUMIFS(#REF!,#REF!,$B150,#REF!,Q$1)</f>
        <v>#REF!</v>
      </c>
      <c r="R150" s="24" t="e">
        <f>SUMIFS(#REF!,#REF!,$B150,#REF!,R$1)</f>
        <v>#REF!</v>
      </c>
      <c r="S150" s="24" t="e">
        <f>SUMIFS(#REF!,#REF!,$B150,#REF!,S$1)</f>
        <v>#REF!</v>
      </c>
      <c r="T150" s="24" t="e">
        <f>SUMIFS(#REF!,#REF!,$B150,#REF!,T$1)</f>
        <v>#REF!</v>
      </c>
      <c r="U150" s="24" t="e">
        <f>SUMIFS(#REF!,#REF!,$B150,#REF!,U$1)</f>
        <v>#REF!</v>
      </c>
      <c r="V150" s="24" t="e">
        <f>SUMIFS(#REF!,#REF!,$B150,#REF!,V$1)</f>
        <v>#REF!</v>
      </c>
      <c r="W150" s="24" t="e">
        <f>SUMIFS(#REF!,#REF!,$B150,#REF!,W$1)</f>
        <v>#REF!</v>
      </c>
      <c r="X150" s="24" t="e">
        <f>SUMIFS(#REF!,#REF!,$B150,#REF!,X$1)</f>
        <v>#REF!</v>
      </c>
      <c r="Y150" s="24" t="e">
        <f>SUMIFS(#REF!,#REF!,$B150,#REF!,Y$1)</f>
        <v>#REF!</v>
      </c>
      <c r="Z150" s="24" t="e">
        <f>SUMIFS(#REF!,#REF!,$B150,#REF!,Z$1)</f>
        <v>#REF!</v>
      </c>
      <c r="AA150" s="24" t="e">
        <f>SUMIFS(#REF!,#REF!,$B150,#REF!,AA$1)</f>
        <v>#REF!</v>
      </c>
      <c r="AB150" s="24" t="e">
        <f>SUMIFS(#REF!,#REF!,$B150,#REF!,AB$1)</f>
        <v>#REF!</v>
      </c>
      <c r="AC150" s="24" t="e">
        <f>SUMIFS(#REF!,#REF!,$B150,#REF!,AC$1)</f>
        <v>#REF!</v>
      </c>
      <c r="AD150" s="24" t="e">
        <f>SUMIFS(#REF!,#REF!,$B150,#REF!,AD$1)</f>
        <v>#REF!</v>
      </c>
      <c r="AE150" s="24" t="e">
        <f>SUMIFS(#REF!,#REF!,$B150,#REF!,AE$1)</f>
        <v>#REF!</v>
      </c>
      <c r="AF150" s="24" t="e">
        <f>SUMIFS(#REF!,#REF!,$B150,#REF!,AF$1)</f>
        <v>#REF!</v>
      </c>
      <c r="AG150" s="24" t="e">
        <f>SUMIFS(#REF!,#REF!,$B150,#REF!,AG$1)</f>
        <v>#REF!</v>
      </c>
      <c r="AH150" s="24" t="e">
        <f>SUMIFS(#REF!,#REF!,$B150,#REF!,AH$1)</f>
        <v>#REF!</v>
      </c>
      <c r="AI150" s="24" t="e">
        <f>SUMIFS(#REF!,#REF!,$B150,#REF!,AI$1)</f>
        <v>#REF!</v>
      </c>
      <c r="AJ150" s="24" t="e">
        <f>SUMIFS(#REF!,#REF!,$B150,#REF!,AJ$1)</f>
        <v>#REF!</v>
      </c>
      <c r="AK150" s="24" t="e">
        <f>SUMIFS(#REF!,#REF!,$B150,#REF!,AK$1)</f>
        <v>#REF!</v>
      </c>
      <c r="AL150" s="24" t="e">
        <f>SUMIFS(#REF!,#REF!,$B150,#REF!,AL$1)</f>
        <v>#REF!</v>
      </c>
      <c r="AM150" s="24" t="e">
        <f>SUMIFS(#REF!,#REF!,$B150,#REF!,AM$1)</f>
        <v>#REF!</v>
      </c>
      <c r="AN150" s="24" t="e">
        <f>SUMIFS(#REF!,#REF!,$B150,#REF!,AN$1)</f>
        <v>#REF!</v>
      </c>
      <c r="AO150" s="24" t="e">
        <f>SUMIFS(#REF!,#REF!,$B150,#REF!,AO$1)</f>
        <v>#REF!</v>
      </c>
      <c r="AP150" s="24" t="e">
        <f>SUMIFS(#REF!,#REF!,$B150,#REF!,AP$1)</f>
        <v>#REF!</v>
      </c>
      <c r="AQ150" s="24" t="e">
        <f>SUMIFS(#REF!,#REF!,$B150,#REF!,AQ$1)</f>
        <v>#REF!</v>
      </c>
      <c r="AR150" s="24" t="e">
        <f>SUMIFS(#REF!,#REF!,$B150,#REF!,AR$1)</f>
        <v>#REF!</v>
      </c>
      <c r="AS150" s="24" t="e">
        <f>SUMIFS(#REF!,#REF!,$B150,#REF!,AS$1)</f>
        <v>#REF!</v>
      </c>
      <c r="AT150" s="24" t="e">
        <f>SUMIFS(#REF!,#REF!,$B150,#REF!,AT$1)</f>
        <v>#REF!</v>
      </c>
      <c r="AU150" s="24" t="e">
        <f>SUMIFS(#REF!,#REF!,$B150,#REF!,AU$1)</f>
        <v>#REF!</v>
      </c>
      <c r="AV150" s="24" t="e">
        <f>SUMIFS(#REF!,#REF!,$B150,#REF!,AV$1)</f>
        <v>#REF!</v>
      </c>
      <c r="AW150" s="24" t="e">
        <f>SUMIFS(#REF!,#REF!,$B150,#REF!,AW$1)</f>
        <v>#REF!</v>
      </c>
      <c r="AX150" s="24" t="e">
        <f>SUMIFS(#REF!,#REF!,$B150,#REF!,AX$1)</f>
        <v>#REF!</v>
      </c>
      <c r="AY150" s="24" t="e">
        <f>SUMIFS(#REF!,#REF!,$B150,#REF!,AY$1)</f>
        <v>#REF!</v>
      </c>
      <c r="AZ150" s="24" t="e">
        <f>SUMIFS(#REF!,#REF!,$B150,#REF!,AZ$1)</f>
        <v>#REF!</v>
      </c>
      <c r="BA150" s="24" t="e">
        <f>SUMIFS(#REF!,#REF!,$B150,#REF!,BA$1)</f>
        <v>#REF!</v>
      </c>
      <c r="BB150" s="24" t="e">
        <f>SUMIFS(#REF!,#REF!,$B150,#REF!,BB$1)</f>
        <v>#REF!</v>
      </c>
      <c r="BC150" s="24" t="e">
        <f>SUMIFS(#REF!,#REF!,$B150,#REF!,BC$1)</f>
        <v>#REF!</v>
      </c>
      <c r="BD150" s="24" t="e">
        <f>SUMIFS(#REF!,#REF!,$B150,#REF!,BD$1)</f>
        <v>#REF!</v>
      </c>
      <c r="BE150" s="24" t="e">
        <f>SUMIFS(#REF!,#REF!,$B150,#REF!,BE$1)</f>
        <v>#REF!</v>
      </c>
      <c r="BF150" s="24" t="e">
        <f>SUMIFS(#REF!,#REF!,$B150,#REF!,BF$1)</f>
        <v>#REF!</v>
      </c>
      <c r="BG150" s="24" t="e">
        <f>SUMIFS(#REF!,#REF!,$B150,#REF!,BG$1)</f>
        <v>#REF!</v>
      </c>
      <c r="BH150" s="24" t="e">
        <f>SUMIFS(#REF!,#REF!,$B150,#REF!,BH$1)</f>
        <v>#REF!</v>
      </c>
      <c r="BI150" s="24" t="e">
        <f>SUMIFS(#REF!,#REF!,$B150,#REF!,BI$1)</f>
        <v>#REF!</v>
      </c>
      <c r="BJ150" s="24" t="e">
        <f>SUMIFS(#REF!,#REF!,$B150,#REF!,BJ$1)</f>
        <v>#REF!</v>
      </c>
      <c r="BK150" s="24" t="e">
        <f>SUMIFS(#REF!,#REF!,$B150,#REF!,BK$1)</f>
        <v>#REF!</v>
      </c>
      <c r="BL150" s="24" t="e">
        <f>SUMIFS(#REF!,#REF!,$B150,#REF!,BL$1)</f>
        <v>#REF!</v>
      </c>
      <c r="BM150" s="24" t="e">
        <f>SUMIFS(#REF!,#REF!,$B150,#REF!,BM$1)</f>
        <v>#REF!</v>
      </c>
      <c r="BN150" s="24" t="e">
        <f>SUMIFS(#REF!,#REF!,$B150,#REF!,BN$1)</f>
        <v>#REF!</v>
      </c>
      <c r="BO150" s="24" t="e">
        <f>SUMIFS(#REF!,#REF!,$B150,#REF!,BO$1)</f>
        <v>#REF!</v>
      </c>
      <c r="BP150" s="24" t="e">
        <f>SUMIFS(#REF!,#REF!,$B150,#REF!,BP$1)</f>
        <v>#REF!</v>
      </c>
      <c r="BQ150" s="24" t="e">
        <f>SUMIFS(#REF!,#REF!,$B150,#REF!,BQ$1)</f>
        <v>#REF!</v>
      </c>
      <c r="BR150" s="24" t="e">
        <f>SUMIFS(#REF!,#REF!,$B150,#REF!,BR$1)</f>
        <v>#REF!</v>
      </c>
      <c r="BS150" s="24" t="e">
        <f>SUMIFS(#REF!,#REF!,$B150,#REF!,BS$1)</f>
        <v>#REF!</v>
      </c>
      <c r="BT150" s="24" t="e">
        <f>SUMIFS(#REF!,#REF!,$B150,#REF!,BT$1)</f>
        <v>#REF!</v>
      </c>
      <c r="BU150" s="24" t="e">
        <f>SUMIFS(#REF!,#REF!,$B150,#REF!,BU$1)</f>
        <v>#REF!</v>
      </c>
      <c r="BV150" s="24" t="e">
        <f>SUMIFS(#REF!,#REF!,$B150,#REF!,BV$1)</f>
        <v>#REF!</v>
      </c>
      <c r="BW150" s="24" t="e">
        <f>SUMIFS(#REF!,#REF!,$B150,#REF!,BW$1)</f>
        <v>#REF!</v>
      </c>
      <c r="BX150" s="24" t="e">
        <f>SUMIFS(#REF!,#REF!,$B150,#REF!,BX$1)</f>
        <v>#REF!</v>
      </c>
      <c r="BY150" s="24" t="e">
        <f>SUMIFS(#REF!,#REF!,$B150,#REF!,BY$1)</f>
        <v>#REF!</v>
      </c>
      <c r="BZ150" s="24" t="e">
        <f>SUMIFS(#REF!,#REF!,$B150,#REF!,BZ$1)</f>
        <v>#REF!</v>
      </c>
      <c r="CA150" s="24" t="e">
        <f>SUMIFS(#REF!,#REF!,$B150,#REF!,CA$1)</f>
        <v>#REF!</v>
      </c>
      <c r="CB150" s="24" t="e">
        <f>SUMIFS(#REF!,#REF!,$B150,#REF!,CB$1)</f>
        <v>#REF!</v>
      </c>
      <c r="CC150" s="24" t="e">
        <f>SUMIFS(#REF!,#REF!,$B150,#REF!,CC$1)</f>
        <v>#REF!</v>
      </c>
      <c r="CD150" s="24" t="e">
        <f>SUMIFS(#REF!,#REF!,$B150,#REF!,CD$1)</f>
        <v>#REF!</v>
      </c>
      <c r="CE150" s="24" t="e">
        <f>SUMIFS(#REF!,#REF!,$B150,#REF!,CE$1)</f>
        <v>#REF!</v>
      </c>
      <c r="CF150" s="24" t="e">
        <f>SUMIFS(#REF!,#REF!,$B150,#REF!,CF$1)</f>
        <v>#REF!</v>
      </c>
      <c r="CG150" s="19" t="e">
        <f t="shared" si="2"/>
        <v>#REF!</v>
      </c>
    </row>
    <row r="151" spans="1:85" x14ac:dyDescent="0.45">
      <c r="A151" s="4" t="s">
        <v>1284</v>
      </c>
      <c r="B151" s="4" t="s">
        <v>1285</v>
      </c>
      <c r="C151" s="24" t="e">
        <f>SUMIFS(#REF!,#REF!,$B151,#REF!,C$1)</f>
        <v>#REF!</v>
      </c>
      <c r="D151" s="24" t="e">
        <f>SUMIFS(#REF!,#REF!,$B151,#REF!,D$1)</f>
        <v>#REF!</v>
      </c>
      <c r="E151" s="24" t="e">
        <f>SUMIFS(#REF!,#REF!,$B151,#REF!,E$1)</f>
        <v>#REF!</v>
      </c>
      <c r="F151" s="24" t="e">
        <f>SUMIFS(#REF!,#REF!,$B151,#REF!,F$1)</f>
        <v>#REF!</v>
      </c>
      <c r="G151" s="24" t="e">
        <f>SUMIFS(#REF!,#REF!,$B151,#REF!,G$1)</f>
        <v>#REF!</v>
      </c>
      <c r="H151" s="24" t="e">
        <f>SUMIFS(#REF!,#REF!,$B151,#REF!,H$1)</f>
        <v>#REF!</v>
      </c>
      <c r="I151" s="24" t="e">
        <f>SUMIFS(#REF!,#REF!,$B151,#REF!,I$1)</f>
        <v>#REF!</v>
      </c>
      <c r="J151" s="24" t="e">
        <f>SUMIFS(#REF!,#REF!,$B151,#REF!,J$1)</f>
        <v>#REF!</v>
      </c>
      <c r="K151" s="24" t="e">
        <f>SUMIFS(#REF!,#REF!,$B151,#REF!,K$1)</f>
        <v>#REF!</v>
      </c>
      <c r="L151" s="24" t="e">
        <f>SUMIFS(#REF!,#REF!,$B151,#REF!,L$1)</f>
        <v>#REF!</v>
      </c>
      <c r="M151" s="24" t="e">
        <f>SUMIFS(#REF!,#REF!,$B151,#REF!,M$1)</f>
        <v>#REF!</v>
      </c>
      <c r="N151" s="24" t="e">
        <f>SUMIFS(#REF!,#REF!,$B151,#REF!,N$1)</f>
        <v>#REF!</v>
      </c>
      <c r="O151" s="24" t="e">
        <f>SUMIFS(#REF!,#REF!,$B151,#REF!,O$1)</f>
        <v>#REF!</v>
      </c>
      <c r="P151" s="24" t="e">
        <f>SUMIFS(#REF!,#REF!,$B151,#REF!,P$1)</f>
        <v>#REF!</v>
      </c>
      <c r="Q151" s="24" t="e">
        <f>SUMIFS(#REF!,#REF!,$B151,#REF!,Q$1)</f>
        <v>#REF!</v>
      </c>
      <c r="R151" s="24" t="e">
        <f>SUMIFS(#REF!,#REF!,$B151,#REF!,R$1)</f>
        <v>#REF!</v>
      </c>
      <c r="S151" s="24" t="e">
        <f>SUMIFS(#REF!,#REF!,$B151,#REF!,S$1)</f>
        <v>#REF!</v>
      </c>
      <c r="T151" s="24" t="e">
        <f>SUMIFS(#REF!,#REF!,$B151,#REF!,T$1)</f>
        <v>#REF!</v>
      </c>
      <c r="U151" s="24" t="e">
        <f>SUMIFS(#REF!,#REF!,$B151,#REF!,U$1)</f>
        <v>#REF!</v>
      </c>
      <c r="V151" s="24" t="e">
        <f>SUMIFS(#REF!,#REF!,$B151,#REF!,V$1)</f>
        <v>#REF!</v>
      </c>
      <c r="W151" s="24" t="e">
        <f>SUMIFS(#REF!,#REF!,$B151,#REF!,W$1)</f>
        <v>#REF!</v>
      </c>
      <c r="X151" s="24" t="e">
        <f>SUMIFS(#REF!,#REF!,$B151,#REF!,X$1)</f>
        <v>#REF!</v>
      </c>
      <c r="Y151" s="24" t="e">
        <f>SUMIFS(#REF!,#REF!,$B151,#REF!,Y$1)</f>
        <v>#REF!</v>
      </c>
      <c r="Z151" s="24" t="e">
        <f>SUMIFS(#REF!,#REF!,$B151,#REF!,Z$1)</f>
        <v>#REF!</v>
      </c>
      <c r="AA151" s="24" t="e">
        <f>SUMIFS(#REF!,#REF!,$B151,#REF!,AA$1)</f>
        <v>#REF!</v>
      </c>
      <c r="AB151" s="24" t="e">
        <f>SUMIFS(#REF!,#REF!,$B151,#REF!,AB$1)</f>
        <v>#REF!</v>
      </c>
      <c r="AC151" s="24" t="e">
        <f>SUMIFS(#REF!,#REF!,$B151,#REF!,AC$1)</f>
        <v>#REF!</v>
      </c>
      <c r="AD151" s="24" t="e">
        <f>SUMIFS(#REF!,#REF!,$B151,#REF!,AD$1)</f>
        <v>#REF!</v>
      </c>
      <c r="AE151" s="24" t="e">
        <f>SUMIFS(#REF!,#REF!,$B151,#REF!,AE$1)</f>
        <v>#REF!</v>
      </c>
      <c r="AF151" s="24" t="e">
        <f>SUMIFS(#REF!,#REF!,$B151,#REF!,AF$1)</f>
        <v>#REF!</v>
      </c>
      <c r="AG151" s="24" t="e">
        <f>SUMIFS(#REF!,#REF!,$B151,#REF!,AG$1)</f>
        <v>#REF!</v>
      </c>
      <c r="AH151" s="24" t="e">
        <f>SUMIFS(#REF!,#REF!,$B151,#REF!,AH$1)</f>
        <v>#REF!</v>
      </c>
      <c r="AI151" s="24" t="e">
        <f>SUMIFS(#REF!,#REF!,$B151,#REF!,AI$1)</f>
        <v>#REF!</v>
      </c>
      <c r="AJ151" s="24" t="e">
        <f>SUMIFS(#REF!,#REF!,$B151,#REF!,AJ$1)</f>
        <v>#REF!</v>
      </c>
      <c r="AK151" s="24" t="e">
        <f>SUMIFS(#REF!,#REF!,$B151,#REF!,AK$1)</f>
        <v>#REF!</v>
      </c>
      <c r="AL151" s="24" t="e">
        <f>SUMIFS(#REF!,#REF!,$B151,#REF!,AL$1)</f>
        <v>#REF!</v>
      </c>
      <c r="AM151" s="24" t="e">
        <f>SUMIFS(#REF!,#REF!,$B151,#REF!,AM$1)</f>
        <v>#REF!</v>
      </c>
      <c r="AN151" s="24" t="e">
        <f>SUMIFS(#REF!,#REF!,$B151,#REF!,AN$1)</f>
        <v>#REF!</v>
      </c>
      <c r="AO151" s="24" t="e">
        <f>SUMIFS(#REF!,#REF!,$B151,#REF!,AO$1)</f>
        <v>#REF!</v>
      </c>
      <c r="AP151" s="24" t="e">
        <f>SUMIFS(#REF!,#REF!,$B151,#REF!,AP$1)</f>
        <v>#REF!</v>
      </c>
      <c r="AQ151" s="24" t="e">
        <f>SUMIFS(#REF!,#REF!,$B151,#REF!,AQ$1)</f>
        <v>#REF!</v>
      </c>
      <c r="AR151" s="24" t="e">
        <f>SUMIFS(#REF!,#REF!,$B151,#REF!,AR$1)</f>
        <v>#REF!</v>
      </c>
      <c r="AS151" s="24" t="e">
        <f>SUMIFS(#REF!,#REF!,$B151,#REF!,AS$1)</f>
        <v>#REF!</v>
      </c>
      <c r="AT151" s="24" t="e">
        <f>SUMIFS(#REF!,#REF!,$B151,#REF!,AT$1)</f>
        <v>#REF!</v>
      </c>
      <c r="AU151" s="24" t="e">
        <f>SUMIFS(#REF!,#REF!,$B151,#REF!,AU$1)</f>
        <v>#REF!</v>
      </c>
      <c r="AV151" s="24" t="e">
        <f>SUMIFS(#REF!,#REF!,$B151,#REF!,AV$1)</f>
        <v>#REF!</v>
      </c>
      <c r="AW151" s="24" t="e">
        <f>SUMIFS(#REF!,#REF!,$B151,#REF!,AW$1)</f>
        <v>#REF!</v>
      </c>
      <c r="AX151" s="24" t="e">
        <f>SUMIFS(#REF!,#REF!,$B151,#REF!,AX$1)</f>
        <v>#REF!</v>
      </c>
      <c r="AY151" s="24" t="e">
        <f>SUMIFS(#REF!,#REF!,$B151,#REF!,AY$1)</f>
        <v>#REF!</v>
      </c>
      <c r="AZ151" s="24" t="e">
        <f>SUMIFS(#REF!,#REF!,$B151,#REF!,AZ$1)</f>
        <v>#REF!</v>
      </c>
      <c r="BA151" s="24" t="e">
        <f>SUMIFS(#REF!,#REF!,$B151,#REF!,BA$1)</f>
        <v>#REF!</v>
      </c>
      <c r="BB151" s="24" t="e">
        <f>SUMIFS(#REF!,#REF!,$B151,#REF!,BB$1)</f>
        <v>#REF!</v>
      </c>
      <c r="BC151" s="24" t="e">
        <f>SUMIFS(#REF!,#REF!,$B151,#REF!,BC$1)</f>
        <v>#REF!</v>
      </c>
      <c r="BD151" s="24" t="e">
        <f>SUMIFS(#REF!,#REF!,$B151,#REF!,BD$1)</f>
        <v>#REF!</v>
      </c>
      <c r="BE151" s="24" t="e">
        <f>SUMIFS(#REF!,#REF!,$B151,#REF!,BE$1)</f>
        <v>#REF!</v>
      </c>
      <c r="BF151" s="24" t="e">
        <f>SUMIFS(#REF!,#REF!,$B151,#REF!,BF$1)</f>
        <v>#REF!</v>
      </c>
      <c r="BG151" s="24" t="e">
        <f>SUMIFS(#REF!,#REF!,$B151,#REF!,BG$1)</f>
        <v>#REF!</v>
      </c>
      <c r="BH151" s="24" t="e">
        <f>SUMIFS(#REF!,#REF!,$B151,#REF!,BH$1)</f>
        <v>#REF!</v>
      </c>
      <c r="BI151" s="24" t="e">
        <f>SUMIFS(#REF!,#REF!,$B151,#REF!,BI$1)</f>
        <v>#REF!</v>
      </c>
      <c r="BJ151" s="24" t="e">
        <f>SUMIFS(#REF!,#REF!,$B151,#REF!,BJ$1)</f>
        <v>#REF!</v>
      </c>
      <c r="BK151" s="24" t="e">
        <f>SUMIFS(#REF!,#REF!,$B151,#REF!,BK$1)</f>
        <v>#REF!</v>
      </c>
      <c r="BL151" s="24" t="e">
        <f>SUMIFS(#REF!,#REF!,$B151,#REF!,BL$1)</f>
        <v>#REF!</v>
      </c>
      <c r="BM151" s="24" t="e">
        <f>SUMIFS(#REF!,#REF!,$B151,#REF!,BM$1)</f>
        <v>#REF!</v>
      </c>
      <c r="BN151" s="24" t="e">
        <f>SUMIFS(#REF!,#REF!,$B151,#REF!,BN$1)</f>
        <v>#REF!</v>
      </c>
      <c r="BO151" s="24" t="e">
        <f>SUMIFS(#REF!,#REF!,$B151,#REF!,BO$1)</f>
        <v>#REF!</v>
      </c>
      <c r="BP151" s="24" t="e">
        <f>SUMIFS(#REF!,#REF!,$B151,#REF!,BP$1)</f>
        <v>#REF!</v>
      </c>
      <c r="BQ151" s="24" t="e">
        <f>SUMIFS(#REF!,#REF!,$B151,#REF!,BQ$1)</f>
        <v>#REF!</v>
      </c>
      <c r="BR151" s="24" t="e">
        <f>SUMIFS(#REF!,#REF!,$B151,#REF!,BR$1)</f>
        <v>#REF!</v>
      </c>
      <c r="BS151" s="24" t="e">
        <f>SUMIFS(#REF!,#REF!,$B151,#REF!,BS$1)</f>
        <v>#REF!</v>
      </c>
      <c r="BT151" s="24" t="e">
        <f>SUMIFS(#REF!,#REF!,$B151,#REF!,BT$1)</f>
        <v>#REF!</v>
      </c>
      <c r="BU151" s="24" t="e">
        <f>SUMIFS(#REF!,#REF!,$B151,#REF!,BU$1)</f>
        <v>#REF!</v>
      </c>
      <c r="BV151" s="24" t="e">
        <f>SUMIFS(#REF!,#REF!,$B151,#REF!,BV$1)</f>
        <v>#REF!</v>
      </c>
      <c r="BW151" s="24" t="e">
        <f>SUMIFS(#REF!,#REF!,$B151,#REF!,BW$1)</f>
        <v>#REF!</v>
      </c>
      <c r="BX151" s="24" t="e">
        <f>SUMIFS(#REF!,#REF!,$B151,#REF!,BX$1)</f>
        <v>#REF!</v>
      </c>
      <c r="BY151" s="24" t="e">
        <f>SUMIFS(#REF!,#REF!,$B151,#REF!,BY$1)</f>
        <v>#REF!</v>
      </c>
      <c r="BZ151" s="24" t="e">
        <f>SUMIFS(#REF!,#REF!,$B151,#REF!,BZ$1)</f>
        <v>#REF!</v>
      </c>
      <c r="CA151" s="24" t="e">
        <f>SUMIFS(#REF!,#REF!,$B151,#REF!,CA$1)</f>
        <v>#REF!</v>
      </c>
      <c r="CB151" s="24" t="e">
        <f>SUMIFS(#REF!,#REF!,$B151,#REF!,CB$1)</f>
        <v>#REF!</v>
      </c>
      <c r="CC151" s="24" t="e">
        <f>SUMIFS(#REF!,#REF!,$B151,#REF!,CC$1)</f>
        <v>#REF!</v>
      </c>
      <c r="CD151" s="24" t="e">
        <f>SUMIFS(#REF!,#REF!,$B151,#REF!,CD$1)</f>
        <v>#REF!</v>
      </c>
      <c r="CE151" s="24" t="e">
        <f>SUMIFS(#REF!,#REF!,$B151,#REF!,CE$1)</f>
        <v>#REF!</v>
      </c>
      <c r="CF151" s="24" t="e">
        <f>SUMIFS(#REF!,#REF!,$B151,#REF!,CF$1)</f>
        <v>#REF!</v>
      </c>
      <c r="CG151" s="19" t="e">
        <f t="shared" si="2"/>
        <v>#REF!</v>
      </c>
    </row>
    <row r="152" spans="1:85" x14ac:dyDescent="0.45">
      <c r="A152" s="4" t="s">
        <v>1286</v>
      </c>
      <c r="B152" s="4" t="s">
        <v>1287</v>
      </c>
      <c r="C152" s="24" t="e">
        <f>SUMIFS(#REF!,#REF!,$B152,#REF!,C$1)</f>
        <v>#REF!</v>
      </c>
      <c r="D152" s="24" t="e">
        <f>SUMIFS(#REF!,#REF!,$B152,#REF!,D$1)</f>
        <v>#REF!</v>
      </c>
      <c r="E152" s="24" t="e">
        <f>SUMIFS(#REF!,#REF!,$B152,#REF!,E$1)</f>
        <v>#REF!</v>
      </c>
      <c r="F152" s="24" t="e">
        <f>SUMIFS(#REF!,#REF!,$B152,#REF!,F$1)</f>
        <v>#REF!</v>
      </c>
      <c r="G152" s="24" t="e">
        <f>SUMIFS(#REF!,#REF!,$B152,#REF!,G$1)</f>
        <v>#REF!</v>
      </c>
      <c r="H152" s="24" t="e">
        <f>SUMIFS(#REF!,#REF!,$B152,#REF!,H$1)</f>
        <v>#REF!</v>
      </c>
      <c r="I152" s="24" t="e">
        <f>SUMIFS(#REF!,#REF!,$B152,#REF!,I$1)</f>
        <v>#REF!</v>
      </c>
      <c r="J152" s="24" t="e">
        <f>SUMIFS(#REF!,#REF!,$B152,#REF!,J$1)</f>
        <v>#REF!</v>
      </c>
      <c r="K152" s="24" t="e">
        <f>SUMIFS(#REF!,#REF!,$B152,#REF!,K$1)</f>
        <v>#REF!</v>
      </c>
      <c r="L152" s="24" t="e">
        <f>SUMIFS(#REF!,#REF!,$B152,#REF!,L$1)</f>
        <v>#REF!</v>
      </c>
      <c r="M152" s="24" t="e">
        <f>SUMIFS(#REF!,#REF!,$B152,#REF!,M$1)</f>
        <v>#REF!</v>
      </c>
      <c r="N152" s="24" t="e">
        <f>SUMIFS(#REF!,#REF!,$B152,#REF!,N$1)</f>
        <v>#REF!</v>
      </c>
      <c r="O152" s="24" t="e">
        <f>SUMIFS(#REF!,#REF!,$B152,#REF!,O$1)</f>
        <v>#REF!</v>
      </c>
      <c r="P152" s="24" t="e">
        <f>SUMIFS(#REF!,#REF!,$B152,#REF!,P$1)</f>
        <v>#REF!</v>
      </c>
      <c r="Q152" s="24" t="e">
        <f>SUMIFS(#REF!,#REF!,$B152,#REF!,Q$1)</f>
        <v>#REF!</v>
      </c>
      <c r="R152" s="24" t="e">
        <f>SUMIFS(#REF!,#REF!,$B152,#REF!,R$1)</f>
        <v>#REF!</v>
      </c>
      <c r="S152" s="24" t="e">
        <f>SUMIFS(#REF!,#REF!,$B152,#REF!,S$1)</f>
        <v>#REF!</v>
      </c>
      <c r="T152" s="24" t="e">
        <f>SUMIFS(#REF!,#REF!,$B152,#REF!,T$1)</f>
        <v>#REF!</v>
      </c>
      <c r="U152" s="24" t="e">
        <f>SUMIFS(#REF!,#REF!,$B152,#REF!,U$1)</f>
        <v>#REF!</v>
      </c>
      <c r="V152" s="24" t="e">
        <f>SUMIFS(#REF!,#REF!,$B152,#REF!,V$1)</f>
        <v>#REF!</v>
      </c>
      <c r="W152" s="24" t="e">
        <f>SUMIFS(#REF!,#REF!,$B152,#REF!,W$1)</f>
        <v>#REF!</v>
      </c>
      <c r="X152" s="24" t="e">
        <f>SUMIFS(#REF!,#REF!,$B152,#REF!,X$1)</f>
        <v>#REF!</v>
      </c>
      <c r="Y152" s="24" t="e">
        <f>SUMIFS(#REF!,#REF!,$B152,#REF!,Y$1)</f>
        <v>#REF!</v>
      </c>
      <c r="Z152" s="24" t="e">
        <f>SUMIFS(#REF!,#REF!,$B152,#REF!,Z$1)</f>
        <v>#REF!</v>
      </c>
      <c r="AA152" s="24" t="e">
        <f>SUMIFS(#REF!,#REF!,$B152,#REF!,AA$1)</f>
        <v>#REF!</v>
      </c>
      <c r="AB152" s="24" t="e">
        <f>SUMIFS(#REF!,#REF!,$B152,#REF!,AB$1)</f>
        <v>#REF!</v>
      </c>
      <c r="AC152" s="24" t="e">
        <f>SUMIFS(#REF!,#REF!,$B152,#REF!,AC$1)</f>
        <v>#REF!</v>
      </c>
      <c r="AD152" s="24" t="e">
        <f>SUMIFS(#REF!,#REF!,$B152,#REF!,AD$1)</f>
        <v>#REF!</v>
      </c>
      <c r="AE152" s="24" t="e">
        <f>SUMIFS(#REF!,#REF!,$B152,#REF!,AE$1)</f>
        <v>#REF!</v>
      </c>
      <c r="AF152" s="24" t="e">
        <f>SUMIFS(#REF!,#REF!,$B152,#REF!,AF$1)</f>
        <v>#REF!</v>
      </c>
      <c r="AG152" s="24" t="e">
        <f>SUMIFS(#REF!,#REF!,$B152,#REF!,AG$1)</f>
        <v>#REF!</v>
      </c>
      <c r="AH152" s="24" t="e">
        <f>SUMIFS(#REF!,#REF!,$B152,#REF!,AH$1)</f>
        <v>#REF!</v>
      </c>
      <c r="AI152" s="24" t="e">
        <f>SUMIFS(#REF!,#REF!,$B152,#REF!,AI$1)</f>
        <v>#REF!</v>
      </c>
      <c r="AJ152" s="24" t="e">
        <f>SUMIFS(#REF!,#REF!,$B152,#REF!,AJ$1)</f>
        <v>#REF!</v>
      </c>
      <c r="AK152" s="24" t="e">
        <f>SUMIFS(#REF!,#REF!,$B152,#REF!,AK$1)</f>
        <v>#REF!</v>
      </c>
      <c r="AL152" s="24" t="e">
        <f>SUMIFS(#REF!,#REF!,$B152,#REF!,AL$1)</f>
        <v>#REF!</v>
      </c>
      <c r="AM152" s="24" t="e">
        <f>SUMIFS(#REF!,#REF!,$B152,#REF!,AM$1)</f>
        <v>#REF!</v>
      </c>
      <c r="AN152" s="24" t="e">
        <f>SUMIFS(#REF!,#REF!,$B152,#REF!,AN$1)</f>
        <v>#REF!</v>
      </c>
      <c r="AO152" s="24" t="e">
        <f>SUMIFS(#REF!,#REF!,$B152,#REF!,AO$1)</f>
        <v>#REF!</v>
      </c>
      <c r="AP152" s="24" t="e">
        <f>SUMIFS(#REF!,#REF!,$B152,#REF!,AP$1)</f>
        <v>#REF!</v>
      </c>
      <c r="AQ152" s="24" t="e">
        <f>SUMIFS(#REF!,#REF!,$B152,#REF!,AQ$1)</f>
        <v>#REF!</v>
      </c>
      <c r="AR152" s="24" t="e">
        <f>SUMIFS(#REF!,#REF!,$B152,#REF!,AR$1)</f>
        <v>#REF!</v>
      </c>
      <c r="AS152" s="24" t="e">
        <f>SUMIFS(#REF!,#REF!,$B152,#REF!,AS$1)</f>
        <v>#REF!</v>
      </c>
      <c r="AT152" s="24" t="e">
        <f>SUMIFS(#REF!,#REF!,$B152,#REF!,AT$1)</f>
        <v>#REF!</v>
      </c>
      <c r="AU152" s="24" t="e">
        <f>SUMIFS(#REF!,#REF!,$B152,#REF!,AU$1)</f>
        <v>#REF!</v>
      </c>
      <c r="AV152" s="24" t="e">
        <f>SUMIFS(#REF!,#REF!,$B152,#REF!,AV$1)</f>
        <v>#REF!</v>
      </c>
      <c r="AW152" s="24" t="e">
        <f>SUMIFS(#REF!,#REF!,$B152,#REF!,AW$1)</f>
        <v>#REF!</v>
      </c>
      <c r="AX152" s="24" t="e">
        <f>SUMIFS(#REF!,#REF!,$B152,#REF!,AX$1)</f>
        <v>#REF!</v>
      </c>
      <c r="AY152" s="24" t="e">
        <f>SUMIFS(#REF!,#REF!,$B152,#REF!,AY$1)</f>
        <v>#REF!</v>
      </c>
      <c r="AZ152" s="24" t="e">
        <f>SUMIFS(#REF!,#REF!,$B152,#REF!,AZ$1)</f>
        <v>#REF!</v>
      </c>
      <c r="BA152" s="24" t="e">
        <f>SUMIFS(#REF!,#REF!,$B152,#REF!,BA$1)</f>
        <v>#REF!</v>
      </c>
      <c r="BB152" s="24" t="e">
        <f>SUMIFS(#REF!,#REF!,$B152,#REF!,BB$1)</f>
        <v>#REF!</v>
      </c>
      <c r="BC152" s="24" t="e">
        <f>SUMIFS(#REF!,#REF!,$B152,#REF!,BC$1)</f>
        <v>#REF!</v>
      </c>
      <c r="BD152" s="24" t="e">
        <f>SUMIFS(#REF!,#REF!,$B152,#REF!,BD$1)</f>
        <v>#REF!</v>
      </c>
      <c r="BE152" s="24" t="e">
        <f>SUMIFS(#REF!,#REF!,$B152,#REF!,BE$1)</f>
        <v>#REF!</v>
      </c>
      <c r="BF152" s="24" t="e">
        <f>SUMIFS(#REF!,#REF!,$B152,#REF!,BF$1)</f>
        <v>#REF!</v>
      </c>
      <c r="BG152" s="24" t="e">
        <f>SUMIFS(#REF!,#REF!,$B152,#REF!,BG$1)</f>
        <v>#REF!</v>
      </c>
      <c r="BH152" s="24" t="e">
        <f>SUMIFS(#REF!,#REF!,$B152,#REF!,BH$1)</f>
        <v>#REF!</v>
      </c>
      <c r="BI152" s="24" t="e">
        <f>SUMIFS(#REF!,#REF!,$B152,#REF!,BI$1)</f>
        <v>#REF!</v>
      </c>
      <c r="BJ152" s="24" t="e">
        <f>SUMIFS(#REF!,#REF!,$B152,#REF!,BJ$1)</f>
        <v>#REF!</v>
      </c>
      <c r="BK152" s="24" t="e">
        <f>SUMIFS(#REF!,#REF!,$B152,#REF!,BK$1)</f>
        <v>#REF!</v>
      </c>
      <c r="BL152" s="24" t="e">
        <f>SUMIFS(#REF!,#REF!,$B152,#REF!,BL$1)</f>
        <v>#REF!</v>
      </c>
      <c r="BM152" s="24" t="e">
        <f>SUMIFS(#REF!,#REF!,$B152,#REF!,BM$1)</f>
        <v>#REF!</v>
      </c>
      <c r="BN152" s="24" t="e">
        <f>SUMIFS(#REF!,#REF!,$B152,#REF!,BN$1)</f>
        <v>#REF!</v>
      </c>
      <c r="BO152" s="24" t="e">
        <f>SUMIFS(#REF!,#REF!,$B152,#REF!,BO$1)</f>
        <v>#REF!</v>
      </c>
      <c r="BP152" s="24" t="e">
        <f>SUMIFS(#REF!,#REF!,$B152,#REF!,BP$1)</f>
        <v>#REF!</v>
      </c>
      <c r="BQ152" s="24" t="e">
        <f>SUMIFS(#REF!,#REF!,$B152,#REF!,BQ$1)</f>
        <v>#REF!</v>
      </c>
      <c r="BR152" s="24" t="e">
        <f>SUMIFS(#REF!,#REF!,$B152,#REF!,BR$1)</f>
        <v>#REF!</v>
      </c>
      <c r="BS152" s="24" t="e">
        <f>SUMIFS(#REF!,#REF!,$B152,#REF!,BS$1)</f>
        <v>#REF!</v>
      </c>
      <c r="BT152" s="24" t="e">
        <f>SUMIFS(#REF!,#REF!,$B152,#REF!,BT$1)</f>
        <v>#REF!</v>
      </c>
      <c r="BU152" s="24" t="e">
        <f>SUMIFS(#REF!,#REF!,$B152,#REF!,BU$1)</f>
        <v>#REF!</v>
      </c>
      <c r="BV152" s="24" t="e">
        <f>SUMIFS(#REF!,#REF!,$B152,#REF!,BV$1)</f>
        <v>#REF!</v>
      </c>
      <c r="BW152" s="24" t="e">
        <f>SUMIFS(#REF!,#REF!,$B152,#REF!,BW$1)</f>
        <v>#REF!</v>
      </c>
      <c r="BX152" s="24" t="e">
        <f>SUMIFS(#REF!,#REF!,$B152,#REF!,BX$1)</f>
        <v>#REF!</v>
      </c>
      <c r="BY152" s="24" t="e">
        <f>SUMIFS(#REF!,#REF!,$B152,#REF!,BY$1)</f>
        <v>#REF!</v>
      </c>
      <c r="BZ152" s="24" t="e">
        <f>SUMIFS(#REF!,#REF!,$B152,#REF!,BZ$1)</f>
        <v>#REF!</v>
      </c>
      <c r="CA152" s="24" t="e">
        <f>SUMIFS(#REF!,#REF!,$B152,#REF!,CA$1)</f>
        <v>#REF!</v>
      </c>
      <c r="CB152" s="24" t="e">
        <f>SUMIFS(#REF!,#REF!,$B152,#REF!,CB$1)</f>
        <v>#REF!</v>
      </c>
      <c r="CC152" s="24" t="e">
        <f>SUMIFS(#REF!,#REF!,$B152,#REF!,CC$1)</f>
        <v>#REF!</v>
      </c>
      <c r="CD152" s="24" t="e">
        <f>SUMIFS(#REF!,#REF!,$B152,#REF!,CD$1)</f>
        <v>#REF!</v>
      </c>
      <c r="CE152" s="24" t="e">
        <f>SUMIFS(#REF!,#REF!,$B152,#REF!,CE$1)</f>
        <v>#REF!</v>
      </c>
      <c r="CF152" s="24" t="e">
        <f>SUMIFS(#REF!,#REF!,$B152,#REF!,CF$1)</f>
        <v>#REF!</v>
      </c>
      <c r="CG152" s="19" t="e">
        <f t="shared" si="2"/>
        <v>#REF!</v>
      </c>
    </row>
    <row r="153" spans="1:85" x14ac:dyDescent="0.45">
      <c r="A153" s="4" t="s">
        <v>1288</v>
      </c>
      <c r="B153" s="4" t="s">
        <v>1289</v>
      </c>
      <c r="C153" s="24" t="e">
        <f>SUMIFS(#REF!,#REF!,$B153,#REF!,C$1)</f>
        <v>#REF!</v>
      </c>
      <c r="D153" s="24" t="e">
        <f>SUMIFS(#REF!,#REF!,$B153,#REF!,D$1)</f>
        <v>#REF!</v>
      </c>
      <c r="E153" s="24" t="e">
        <f>SUMIFS(#REF!,#REF!,$B153,#REF!,E$1)</f>
        <v>#REF!</v>
      </c>
      <c r="F153" s="24" t="e">
        <f>SUMIFS(#REF!,#REF!,$B153,#REF!,F$1)</f>
        <v>#REF!</v>
      </c>
      <c r="G153" s="24" t="e">
        <f>SUMIFS(#REF!,#REF!,$B153,#REF!,G$1)</f>
        <v>#REF!</v>
      </c>
      <c r="H153" s="24" t="e">
        <f>SUMIFS(#REF!,#REF!,$B153,#REF!,H$1)</f>
        <v>#REF!</v>
      </c>
      <c r="I153" s="24" t="e">
        <f>SUMIFS(#REF!,#REF!,$B153,#REF!,I$1)</f>
        <v>#REF!</v>
      </c>
      <c r="J153" s="24" t="e">
        <f>SUMIFS(#REF!,#REF!,$B153,#REF!,J$1)</f>
        <v>#REF!</v>
      </c>
      <c r="K153" s="24" t="e">
        <f>SUMIFS(#REF!,#REF!,$B153,#REF!,K$1)</f>
        <v>#REF!</v>
      </c>
      <c r="L153" s="24" t="e">
        <f>SUMIFS(#REF!,#REF!,$B153,#REF!,L$1)</f>
        <v>#REF!</v>
      </c>
      <c r="M153" s="24" t="e">
        <f>SUMIFS(#REF!,#REF!,$B153,#REF!,M$1)</f>
        <v>#REF!</v>
      </c>
      <c r="N153" s="24" t="e">
        <f>SUMIFS(#REF!,#REF!,$B153,#REF!,N$1)</f>
        <v>#REF!</v>
      </c>
      <c r="O153" s="24" t="e">
        <f>SUMIFS(#REF!,#REF!,$B153,#REF!,O$1)</f>
        <v>#REF!</v>
      </c>
      <c r="P153" s="24" t="e">
        <f>SUMIFS(#REF!,#REF!,$B153,#REF!,P$1)</f>
        <v>#REF!</v>
      </c>
      <c r="Q153" s="24" t="e">
        <f>SUMIFS(#REF!,#REF!,$B153,#REF!,Q$1)</f>
        <v>#REF!</v>
      </c>
      <c r="R153" s="24" t="e">
        <f>SUMIFS(#REF!,#REF!,$B153,#REF!,R$1)</f>
        <v>#REF!</v>
      </c>
      <c r="S153" s="24" t="e">
        <f>SUMIFS(#REF!,#REF!,$B153,#REF!,S$1)</f>
        <v>#REF!</v>
      </c>
      <c r="T153" s="24" t="e">
        <f>SUMIFS(#REF!,#REF!,$B153,#REF!,T$1)</f>
        <v>#REF!</v>
      </c>
      <c r="U153" s="24" t="e">
        <f>SUMIFS(#REF!,#REF!,$B153,#REF!,U$1)</f>
        <v>#REF!</v>
      </c>
      <c r="V153" s="24" t="e">
        <f>SUMIFS(#REF!,#REF!,$B153,#REF!,V$1)</f>
        <v>#REF!</v>
      </c>
      <c r="W153" s="24" t="e">
        <f>SUMIFS(#REF!,#REF!,$B153,#REF!,W$1)</f>
        <v>#REF!</v>
      </c>
      <c r="X153" s="24" t="e">
        <f>SUMIFS(#REF!,#REF!,$B153,#REF!,X$1)</f>
        <v>#REF!</v>
      </c>
      <c r="Y153" s="24" t="e">
        <f>SUMIFS(#REF!,#REF!,$B153,#REF!,Y$1)</f>
        <v>#REF!</v>
      </c>
      <c r="Z153" s="24" t="e">
        <f>SUMIFS(#REF!,#REF!,$B153,#REF!,Z$1)</f>
        <v>#REF!</v>
      </c>
      <c r="AA153" s="24" t="e">
        <f>SUMIFS(#REF!,#REF!,$B153,#REF!,AA$1)</f>
        <v>#REF!</v>
      </c>
      <c r="AB153" s="24" t="e">
        <f>SUMIFS(#REF!,#REF!,$B153,#REF!,AB$1)</f>
        <v>#REF!</v>
      </c>
      <c r="AC153" s="24" t="e">
        <f>SUMIFS(#REF!,#REF!,$B153,#REF!,AC$1)</f>
        <v>#REF!</v>
      </c>
      <c r="AD153" s="24" t="e">
        <f>SUMIFS(#REF!,#REF!,$B153,#REF!,AD$1)</f>
        <v>#REF!</v>
      </c>
      <c r="AE153" s="24" t="e">
        <f>SUMIFS(#REF!,#REF!,$B153,#REF!,AE$1)</f>
        <v>#REF!</v>
      </c>
      <c r="AF153" s="24" t="e">
        <f>SUMIFS(#REF!,#REF!,$B153,#REF!,AF$1)</f>
        <v>#REF!</v>
      </c>
      <c r="AG153" s="24" t="e">
        <f>SUMIFS(#REF!,#REF!,$B153,#REF!,AG$1)</f>
        <v>#REF!</v>
      </c>
      <c r="AH153" s="24" t="e">
        <f>SUMIFS(#REF!,#REF!,$B153,#REF!,AH$1)</f>
        <v>#REF!</v>
      </c>
      <c r="AI153" s="24" t="e">
        <f>SUMIFS(#REF!,#REF!,$B153,#REF!,AI$1)</f>
        <v>#REF!</v>
      </c>
      <c r="AJ153" s="24" t="e">
        <f>SUMIFS(#REF!,#REF!,$B153,#REF!,AJ$1)</f>
        <v>#REF!</v>
      </c>
      <c r="AK153" s="24" t="e">
        <f>SUMIFS(#REF!,#REF!,$B153,#REF!,AK$1)</f>
        <v>#REF!</v>
      </c>
      <c r="AL153" s="24" t="e">
        <f>SUMIFS(#REF!,#REF!,$B153,#REF!,AL$1)</f>
        <v>#REF!</v>
      </c>
      <c r="AM153" s="24" t="e">
        <f>SUMIFS(#REF!,#REF!,$B153,#REF!,AM$1)</f>
        <v>#REF!</v>
      </c>
      <c r="AN153" s="24" t="e">
        <f>SUMIFS(#REF!,#REF!,$B153,#REF!,AN$1)</f>
        <v>#REF!</v>
      </c>
      <c r="AO153" s="24" t="e">
        <f>SUMIFS(#REF!,#REF!,$B153,#REF!,AO$1)</f>
        <v>#REF!</v>
      </c>
      <c r="AP153" s="24" t="e">
        <f>SUMIFS(#REF!,#REF!,$B153,#REF!,AP$1)</f>
        <v>#REF!</v>
      </c>
      <c r="AQ153" s="24" t="e">
        <f>SUMIFS(#REF!,#REF!,$B153,#REF!,AQ$1)</f>
        <v>#REF!</v>
      </c>
      <c r="AR153" s="24" t="e">
        <f>SUMIFS(#REF!,#REF!,$B153,#REF!,AR$1)</f>
        <v>#REF!</v>
      </c>
      <c r="AS153" s="24" t="e">
        <f>SUMIFS(#REF!,#REF!,$B153,#REF!,AS$1)</f>
        <v>#REF!</v>
      </c>
      <c r="AT153" s="24" t="e">
        <f>SUMIFS(#REF!,#REF!,$B153,#REF!,AT$1)</f>
        <v>#REF!</v>
      </c>
      <c r="AU153" s="24" t="e">
        <f>SUMIFS(#REF!,#REF!,$B153,#REF!,AU$1)</f>
        <v>#REF!</v>
      </c>
      <c r="AV153" s="24" t="e">
        <f>SUMIFS(#REF!,#REF!,$B153,#REF!,AV$1)</f>
        <v>#REF!</v>
      </c>
      <c r="AW153" s="24" t="e">
        <f>SUMIFS(#REF!,#REF!,$B153,#REF!,AW$1)</f>
        <v>#REF!</v>
      </c>
      <c r="AX153" s="24" t="e">
        <f>SUMIFS(#REF!,#REF!,$B153,#REF!,AX$1)</f>
        <v>#REF!</v>
      </c>
      <c r="AY153" s="24" t="e">
        <f>SUMIFS(#REF!,#REF!,$B153,#REF!,AY$1)</f>
        <v>#REF!</v>
      </c>
      <c r="AZ153" s="24" t="e">
        <f>SUMIFS(#REF!,#REF!,$B153,#REF!,AZ$1)</f>
        <v>#REF!</v>
      </c>
      <c r="BA153" s="24" t="e">
        <f>SUMIFS(#REF!,#REF!,$B153,#REF!,BA$1)</f>
        <v>#REF!</v>
      </c>
      <c r="BB153" s="24" t="e">
        <f>SUMIFS(#REF!,#REF!,$B153,#REF!,BB$1)</f>
        <v>#REF!</v>
      </c>
      <c r="BC153" s="24" t="e">
        <f>SUMIFS(#REF!,#REF!,$B153,#REF!,BC$1)</f>
        <v>#REF!</v>
      </c>
      <c r="BD153" s="24" t="e">
        <f>SUMIFS(#REF!,#REF!,$B153,#REF!,BD$1)</f>
        <v>#REF!</v>
      </c>
      <c r="BE153" s="24" t="e">
        <f>SUMIFS(#REF!,#REF!,$B153,#REF!,BE$1)</f>
        <v>#REF!</v>
      </c>
      <c r="BF153" s="24" t="e">
        <f>SUMIFS(#REF!,#REF!,$B153,#REF!,BF$1)</f>
        <v>#REF!</v>
      </c>
      <c r="BG153" s="24" t="e">
        <f>SUMIFS(#REF!,#REF!,$B153,#REF!,BG$1)</f>
        <v>#REF!</v>
      </c>
      <c r="BH153" s="24" t="e">
        <f>SUMIFS(#REF!,#REF!,$B153,#REF!,BH$1)</f>
        <v>#REF!</v>
      </c>
      <c r="BI153" s="24" t="e">
        <f>SUMIFS(#REF!,#REF!,$B153,#REF!,BI$1)</f>
        <v>#REF!</v>
      </c>
      <c r="BJ153" s="24" t="e">
        <f>SUMIFS(#REF!,#REF!,$B153,#REF!,BJ$1)</f>
        <v>#REF!</v>
      </c>
      <c r="BK153" s="24" t="e">
        <f>SUMIFS(#REF!,#REF!,$B153,#REF!,BK$1)</f>
        <v>#REF!</v>
      </c>
      <c r="BL153" s="24" t="e">
        <f>SUMIFS(#REF!,#REF!,$B153,#REF!,BL$1)</f>
        <v>#REF!</v>
      </c>
      <c r="BM153" s="24" t="e">
        <f>SUMIFS(#REF!,#REF!,$B153,#REF!,BM$1)</f>
        <v>#REF!</v>
      </c>
      <c r="BN153" s="24" t="e">
        <f>SUMIFS(#REF!,#REF!,$B153,#REF!,BN$1)</f>
        <v>#REF!</v>
      </c>
      <c r="BO153" s="24" t="e">
        <f>SUMIFS(#REF!,#REF!,$B153,#REF!,BO$1)</f>
        <v>#REF!</v>
      </c>
      <c r="BP153" s="24" t="e">
        <f>SUMIFS(#REF!,#REF!,$B153,#REF!,BP$1)</f>
        <v>#REF!</v>
      </c>
      <c r="BQ153" s="24" t="e">
        <f>SUMIFS(#REF!,#REF!,$B153,#REF!,BQ$1)</f>
        <v>#REF!</v>
      </c>
      <c r="BR153" s="24" t="e">
        <f>SUMIFS(#REF!,#REF!,$B153,#REF!,BR$1)</f>
        <v>#REF!</v>
      </c>
      <c r="BS153" s="24" t="e">
        <f>SUMIFS(#REF!,#REF!,$B153,#REF!,BS$1)</f>
        <v>#REF!</v>
      </c>
      <c r="BT153" s="24" t="e">
        <f>SUMIFS(#REF!,#REF!,$B153,#REF!,BT$1)</f>
        <v>#REF!</v>
      </c>
      <c r="BU153" s="24" t="e">
        <f>SUMIFS(#REF!,#REF!,$B153,#REF!,BU$1)</f>
        <v>#REF!</v>
      </c>
      <c r="BV153" s="24" t="e">
        <f>SUMIFS(#REF!,#REF!,$B153,#REF!,BV$1)</f>
        <v>#REF!</v>
      </c>
      <c r="BW153" s="24" t="e">
        <f>SUMIFS(#REF!,#REF!,$B153,#REF!,BW$1)</f>
        <v>#REF!</v>
      </c>
      <c r="BX153" s="24" t="e">
        <f>SUMIFS(#REF!,#REF!,$B153,#REF!,BX$1)</f>
        <v>#REF!</v>
      </c>
      <c r="BY153" s="24" t="e">
        <f>SUMIFS(#REF!,#REF!,$B153,#REF!,BY$1)</f>
        <v>#REF!</v>
      </c>
      <c r="BZ153" s="24" t="e">
        <f>SUMIFS(#REF!,#REF!,$B153,#REF!,BZ$1)</f>
        <v>#REF!</v>
      </c>
      <c r="CA153" s="24" t="e">
        <f>SUMIFS(#REF!,#REF!,$B153,#REF!,CA$1)</f>
        <v>#REF!</v>
      </c>
      <c r="CB153" s="24" t="e">
        <f>SUMIFS(#REF!,#REF!,$B153,#REF!,CB$1)</f>
        <v>#REF!</v>
      </c>
      <c r="CC153" s="24" t="e">
        <f>SUMIFS(#REF!,#REF!,$B153,#REF!,CC$1)</f>
        <v>#REF!</v>
      </c>
      <c r="CD153" s="24" t="e">
        <f>SUMIFS(#REF!,#REF!,$B153,#REF!,CD$1)</f>
        <v>#REF!</v>
      </c>
      <c r="CE153" s="24" t="e">
        <f>SUMIFS(#REF!,#REF!,$B153,#REF!,CE$1)</f>
        <v>#REF!</v>
      </c>
      <c r="CF153" s="24" t="e">
        <f>SUMIFS(#REF!,#REF!,$B153,#REF!,CF$1)</f>
        <v>#REF!</v>
      </c>
      <c r="CG153" s="19" t="e">
        <f t="shared" si="2"/>
        <v>#REF!</v>
      </c>
    </row>
    <row r="154" spans="1:85" x14ac:dyDescent="0.45">
      <c r="A154" s="4" t="s">
        <v>1290</v>
      </c>
      <c r="B154" s="4" t="s">
        <v>1291</v>
      </c>
      <c r="C154" s="24" t="e">
        <f>SUMIFS(#REF!,#REF!,$B154,#REF!,C$1)</f>
        <v>#REF!</v>
      </c>
      <c r="D154" s="24" t="e">
        <f>SUMIFS(#REF!,#REF!,$B154,#REF!,D$1)</f>
        <v>#REF!</v>
      </c>
      <c r="E154" s="24" t="e">
        <f>SUMIFS(#REF!,#REF!,$B154,#REF!,E$1)</f>
        <v>#REF!</v>
      </c>
      <c r="F154" s="24" t="e">
        <f>SUMIFS(#REF!,#REF!,$B154,#REF!,F$1)</f>
        <v>#REF!</v>
      </c>
      <c r="G154" s="24" t="e">
        <f>SUMIFS(#REF!,#REF!,$B154,#REF!,G$1)</f>
        <v>#REF!</v>
      </c>
      <c r="H154" s="24" t="e">
        <f>SUMIFS(#REF!,#REF!,$B154,#REF!,H$1)</f>
        <v>#REF!</v>
      </c>
      <c r="I154" s="24" t="e">
        <f>SUMIFS(#REF!,#REF!,$B154,#REF!,I$1)</f>
        <v>#REF!</v>
      </c>
      <c r="J154" s="24" t="e">
        <f>SUMIFS(#REF!,#REF!,$B154,#REF!,J$1)</f>
        <v>#REF!</v>
      </c>
      <c r="K154" s="24" t="e">
        <f>SUMIFS(#REF!,#REF!,$B154,#REF!,K$1)</f>
        <v>#REF!</v>
      </c>
      <c r="L154" s="24" t="e">
        <f>SUMIFS(#REF!,#REF!,$B154,#REF!,L$1)</f>
        <v>#REF!</v>
      </c>
      <c r="M154" s="24" t="e">
        <f>SUMIFS(#REF!,#REF!,$B154,#REF!,M$1)</f>
        <v>#REF!</v>
      </c>
      <c r="N154" s="24" t="e">
        <f>SUMIFS(#REF!,#REF!,$B154,#REF!,N$1)</f>
        <v>#REF!</v>
      </c>
      <c r="O154" s="24" t="e">
        <f>SUMIFS(#REF!,#REF!,$B154,#REF!,O$1)</f>
        <v>#REF!</v>
      </c>
      <c r="P154" s="24" t="e">
        <f>SUMIFS(#REF!,#REF!,$B154,#REF!,P$1)</f>
        <v>#REF!</v>
      </c>
      <c r="Q154" s="24" t="e">
        <f>SUMIFS(#REF!,#REF!,$B154,#REF!,Q$1)</f>
        <v>#REF!</v>
      </c>
      <c r="R154" s="24" t="e">
        <f>SUMIFS(#REF!,#REF!,$B154,#REF!,R$1)</f>
        <v>#REF!</v>
      </c>
      <c r="S154" s="24" t="e">
        <f>SUMIFS(#REF!,#REF!,$B154,#REF!,S$1)</f>
        <v>#REF!</v>
      </c>
      <c r="T154" s="24" t="e">
        <f>SUMIFS(#REF!,#REF!,$B154,#REF!,T$1)</f>
        <v>#REF!</v>
      </c>
      <c r="U154" s="24" t="e">
        <f>SUMIFS(#REF!,#REF!,$B154,#REF!,U$1)</f>
        <v>#REF!</v>
      </c>
      <c r="V154" s="24" t="e">
        <f>SUMIFS(#REF!,#REF!,$B154,#REF!,V$1)</f>
        <v>#REF!</v>
      </c>
      <c r="W154" s="24" t="e">
        <f>SUMIFS(#REF!,#REF!,$B154,#REF!,W$1)</f>
        <v>#REF!</v>
      </c>
      <c r="X154" s="24" t="e">
        <f>SUMIFS(#REF!,#REF!,$B154,#REF!,X$1)</f>
        <v>#REF!</v>
      </c>
      <c r="Y154" s="24" t="e">
        <f>SUMIFS(#REF!,#REF!,$B154,#REF!,Y$1)</f>
        <v>#REF!</v>
      </c>
      <c r="Z154" s="24" t="e">
        <f>SUMIFS(#REF!,#REF!,$B154,#REF!,Z$1)</f>
        <v>#REF!</v>
      </c>
      <c r="AA154" s="24" t="e">
        <f>SUMIFS(#REF!,#REF!,$B154,#REF!,AA$1)</f>
        <v>#REF!</v>
      </c>
      <c r="AB154" s="24" t="e">
        <f>SUMIFS(#REF!,#REF!,$B154,#REF!,AB$1)</f>
        <v>#REF!</v>
      </c>
      <c r="AC154" s="24" t="e">
        <f>SUMIFS(#REF!,#REF!,$B154,#REF!,AC$1)</f>
        <v>#REF!</v>
      </c>
      <c r="AD154" s="24" t="e">
        <f>SUMIFS(#REF!,#REF!,$B154,#REF!,AD$1)</f>
        <v>#REF!</v>
      </c>
      <c r="AE154" s="24" t="e">
        <f>SUMIFS(#REF!,#REF!,$B154,#REF!,AE$1)</f>
        <v>#REF!</v>
      </c>
      <c r="AF154" s="24" t="e">
        <f>SUMIFS(#REF!,#REF!,$B154,#REF!,AF$1)</f>
        <v>#REF!</v>
      </c>
      <c r="AG154" s="24" t="e">
        <f>SUMIFS(#REF!,#REF!,$B154,#REF!,AG$1)</f>
        <v>#REF!</v>
      </c>
      <c r="AH154" s="24" t="e">
        <f>SUMIFS(#REF!,#REF!,$B154,#REF!,AH$1)</f>
        <v>#REF!</v>
      </c>
      <c r="AI154" s="24" t="e">
        <f>SUMIFS(#REF!,#REF!,$B154,#REF!,AI$1)</f>
        <v>#REF!</v>
      </c>
      <c r="AJ154" s="24" t="e">
        <f>SUMIFS(#REF!,#REF!,$B154,#REF!,AJ$1)</f>
        <v>#REF!</v>
      </c>
      <c r="AK154" s="24" t="e">
        <f>SUMIFS(#REF!,#REF!,$B154,#REF!,AK$1)</f>
        <v>#REF!</v>
      </c>
      <c r="AL154" s="24" t="e">
        <f>SUMIFS(#REF!,#REF!,$B154,#REF!,AL$1)</f>
        <v>#REF!</v>
      </c>
      <c r="AM154" s="24" t="e">
        <f>SUMIFS(#REF!,#REF!,$B154,#REF!,AM$1)</f>
        <v>#REF!</v>
      </c>
      <c r="AN154" s="24" t="e">
        <f>SUMIFS(#REF!,#REF!,$B154,#REF!,AN$1)</f>
        <v>#REF!</v>
      </c>
      <c r="AO154" s="24" t="e">
        <f>SUMIFS(#REF!,#REF!,$B154,#REF!,AO$1)</f>
        <v>#REF!</v>
      </c>
      <c r="AP154" s="24" t="e">
        <f>SUMIFS(#REF!,#REF!,$B154,#REF!,AP$1)</f>
        <v>#REF!</v>
      </c>
      <c r="AQ154" s="24" t="e">
        <f>SUMIFS(#REF!,#REF!,$B154,#REF!,AQ$1)</f>
        <v>#REF!</v>
      </c>
      <c r="AR154" s="24" t="e">
        <f>SUMIFS(#REF!,#REF!,$B154,#REF!,AR$1)</f>
        <v>#REF!</v>
      </c>
      <c r="AS154" s="24" t="e">
        <f>SUMIFS(#REF!,#REF!,$B154,#REF!,AS$1)</f>
        <v>#REF!</v>
      </c>
      <c r="AT154" s="24" t="e">
        <f>SUMIFS(#REF!,#REF!,$B154,#REF!,AT$1)</f>
        <v>#REF!</v>
      </c>
      <c r="AU154" s="24" t="e">
        <f>SUMIFS(#REF!,#REF!,$B154,#REF!,AU$1)</f>
        <v>#REF!</v>
      </c>
      <c r="AV154" s="24" t="e">
        <f>SUMIFS(#REF!,#REF!,$B154,#REF!,AV$1)</f>
        <v>#REF!</v>
      </c>
      <c r="AW154" s="24" t="e">
        <f>SUMIFS(#REF!,#REF!,$B154,#REF!,AW$1)</f>
        <v>#REF!</v>
      </c>
      <c r="AX154" s="24" t="e">
        <f>SUMIFS(#REF!,#REF!,$B154,#REF!,AX$1)</f>
        <v>#REF!</v>
      </c>
      <c r="AY154" s="24" t="e">
        <f>SUMIFS(#REF!,#REF!,$B154,#REF!,AY$1)</f>
        <v>#REF!</v>
      </c>
      <c r="AZ154" s="24" t="e">
        <f>SUMIFS(#REF!,#REF!,$B154,#REF!,AZ$1)</f>
        <v>#REF!</v>
      </c>
      <c r="BA154" s="24" t="e">
        <f>SUMIFS(#REF!,#REF!,$B154,#REF!,BA$1)</f>
        <v>#REF!</v>
      </c>
      <c r="BB154" s="24" t="e">
        <f>SUMIFS(#REF!,#REF!,$B154,#REF!,BB$1)</f>
        <v>#REF!</v>
      </c>
      <c r="BC154" s="24" t="e">
        <f>SUMIFS(#REF!,#REF!,$B154,#REF!,BC$1)</f>
        <v>#REF!</v>
      </c>
      <c r="BD154" s="24" t="e">
        <f>SUMIFS(#REF!,#REF!,$B154,#REF!,BD$1)</f>
        <v>#REF!</v>
      </c>
      <c r="BE154" s="24" t="e">
        <f>SUMIFS(#REF!,#REF!,$B154,#REF!,BE$1)</f>
        <v>#REF!</v>
      </c>
      <c r="BF154" s="24" t="e">
        <f>SUMIFS(#REF!,#REF!,$B154,#REF!,BF$1)</f>
        <v>#REF!</v>
      </c>
      <c r="BG154" s="24" t="e">
        <f>SUMIFS(#REF!,#REF!,$B154,#REF!,BG$1)</f>
        <v>#REF!</v>
      </c>
      <c r="BH154" s="24" t="e">
        <f>SUMIFS(#REF!,#REF!,$B154,#REF!,BH$1)</f>
        <v>#REF!</v>
      </c>
      <c r="BI154" s="24" t="e">
        <f>SUMIFS(#REF!,#REF!,$B154,#REF!,BI$1)</f>
        <v>#REF!</v>
      </c>
      <c r="BJ154" s="24" t="e">
        <f>SUMIFS(#REF!,#REF!,$B154,#REF!,BJ$1)</f>
        <v>#REF!</v>
      </c>
      <c r="BK154" s="24" t="e">
        <f>SUMIFS(#REF!,#REF!,$B154,#REF!,BK$1)</f>
        <v>#REF!</v>
      </c>
      <c r="BL154" s="24" t="e">
        <f>SUMIFS(#REF!,#REF!,$B154,#REF!,BL$1)</f>
        <v>#REF!</v>
      </c>
      <c r="BM154" s="24" t="e">
        <f>SUMIFS(#REF!,#REF!,$B154,#REF!,BM$1)</f>
        <v>#REF!</v>
      </c>
      <c r="BN154" s="24" t="e">
        <f>SUMIFS(#REF!,#REF!,$B154,#REF!,BN$1)</f>
        <v>#REF!</v>
      </c>
      <c r="BO154" s="24" t="e">
        <f>SUMIFS(#REF!,#REF!,$B154,#REF!,BO$1)</f>
        <v>#REF!</v>
      </c>
      <c r="BP154" s="24" t="e">
        <f>SUMIFS(#REF!,#REF!,$B154,#REF!,BP$1)</f>
        <v>#REF!</v>
      </c>
      <c r="BQ154" s="24" t="e">
        <f>SUMIFS(#REF!,#REF!,$B154,#REF!,BQ$1)</f>
        <v>#REF!</v>
      </c>
      <c r="BR154" s="24" t="e">
        <f>SUMIFS(#REF!,#REF!,$B154,#REF!,BR$1)</f>
        <v>#REF!</v>
      </c>
      <c r="BS154" s="24" t="e">
        <f>SUMIFS(#REF!,#REF!,$B154,#REF!,BS$1)</f>
        <v>#REF!</v>
      </c>
      <c r="BT154" s="24" t="e">
        <f>SUMIFS(#REF!,#REF!,$B154,#REF!,BT$1)</f>
        <v>#REF!</v>
      </c>
      <c r="BU154" s="24" t="e">
        <f>SUMIFS(#REF!,#REF!,$B154,#REF!,BU$1)</f>
        <v>#REF!</v>
      </c>
      <c r="BV154" s="24" t="e">
        <f>SUMIFS(#REF!,#REF!,$B154,#REF!,BV$1)</f>
        <v>#REF!</v>
      </c>
      <c r="BW154" s="24" t="e">
        <f>SUMIFS(#REF!,#REF!,$B154,#REF!,BW$1)</f>
        <v>#REF!</v>
      </c>
      <c r="BX154" s="24" t="e">
        <f>SUMIFS(#REF!,#REF!,$B154,#REF!,BX$1)</f>
        <v>#REF!</v>
      </c>
      <c r="BY154" s="24" t="e">
        <f>SUMIFS(#REF!,#REF!,$B154,#REF!,BY$1)</f>
        <v>#REF!</v>
      </c>
      <c r="BZ154" s="24" t="e">
        <f>SUMIFS(#REF!,#REF!,$B154,#REF!,BZ$1)</f>
        <v>#REF!</v>
      </c>
      <c r="CA154" s="24" t="e">
        <f>SUMIFS(#REF!,#REF!,$B154,#REF!,CA$1)</f>
        <v>#REF!</v>
      </c>
      <c r="CB154" s="24" t="e">
        <f>SUMIFS(#REF!,#REF!,$B154,#REF!,CB$1)</f>
        <v>#REF!</v>
      </c>
      <c r="CC154" s="24" t="e">
        <f>SUMIFS(#REF!,#REF!,$B154,#REF!,CC$1)</f>
        <v>#REF!</v>
      </c>
      <c r="CD154" s="24" t="e">
        <f>SUMIFS(#REF!,#REF!,$B154,#REF!,CD$1)</f>
        <v>#REF!</v>
      </c>
      <c r="CE154" s="24" t="e">
        <f>SUMIFS(#REF!,#REF!,$B154,#REF!,CE$1)</f>
        <v>#REF!</v>
      </c>
      <c r="CF154" s="24" t="e">
        <f>SUMIFS(#REF!,#REF!,$B154,#REF!,CF$1)</f>
        <v>#REF!</v>
      </c>
      <c r="CG154" s="19" t="e">
        <f t="shared" si="2"/>
        <v>#REF!</v>
      </c>
    </row>
    <row r="155" spans="1:85" x14ac:dyDescent="0.45">
      <c r="A155" s="4" t="s">
        <v>1292</v>
      </c>
      <c r="B155" s="4" t="s">
        <v>1293</v>
      </c>
      <c r="C155" s="24" t="e">
        <f>SUMIFS(#REF!,#REF!,$B155,#REF!,C$1)</f>
        <v>#REF!</v>
      </c>
      <c r="D155" s="24" t="e">
        <f>SUMIFS(#REF!,#REF!,$B155,#REF!,D$1)</f>
        <v>#REF!</v>
      </c>
      <c r="E155" s="24" t="e">
        <f>SUMIFS(#REF!,#REF!,$B155,#REF!,E$1)</f>
        <v>#REF!</v>
      </c>
      <c r="F155" s="24" t="e">
        <f>SUMIFS(#REF!,#REF!,$B155,#REF!,F$1)</f>
        <v>#REF!</v>
      </c>
      <c r="G155" s="24" t="e">
        <f>SUMIFS(#REF!,#REF!,$B155,#REF!,G$1)</f>
        <v>#REF!</v>
      </c>
      <c r="H155" s="24" t="e">
        <f>SUMIFS(#REF!,#REF!,$B155,#REF!,H$1)</f>
        <v>#REF!</v>
      </c>
      <c r="I155" s="24" t="e">
        <f>SUMIFS(#REF!,#REF!,$B155,#REF!,I$1)</f>
        <v>#REF!</v>
      </c>
      <c r="J155" s="24" t="e">
        <f>SUMIFS(#REF!,#REF!,$B155,#REF!,J$1)</f>
        <v>#REF!</v>
      </c>
      <c r="K155" s="24" t="e">
        <f>SUMIFS(#REF!,#REF!,$B155,#REF!,K$1)</f>
        <v>#REF!</v>
      </c>
      <c r="L155" s="24" t="e">
        <f>SUMIFS(#REF!,#REF!,$B155,#REF!,L$1)</f>
        <v>#REF!</v>
      </c>
      <c r="M155" s="24" t="e">
        <f>SUMIFS(#REF!,#REF!,$B155,#REF!,M$1)</f>
        <v>#REF!</v>
      </c>
      <c r="N155" s="24" t="e">
        <f>SUMIFS(#REF!,#REF!,$B155,#REF!,N$1)</f>
        <v>#REF!</v>
      </c>
      <c r="O155" s="24" t="e">
        <f>SUMIFS(#REF!,#REF!,$B155,#REF!,O$1)</f>
        <v>#REF!</v>
      </c>
      <c r="P155" s="24" t="e">
        <f>SUMIFS(#REF!,#REF!,$B155,#REF!,P$1)</f>
        <v>#REF!</v>
      </c>
      <c r="Q155" s="24" t="e">
        <f>SUMIFS(#REF!,#REF!,$B155,#REF!,Q$1)</f>
        <v>#REF!</v>
      </c>
      <c r="R155" s="24" t="e">
        <f>SUMIFS(#REF!,#REF!,$B155,#REF!,R$1)</f>
        <v>#REF!</v>
      </c>
      <c r="S155" s="24" t="e">
        <f>SUMIFS(#REF!,#REF!,$B155,#REF!,S$1)</f>
        <v>#REF!</v>
      </c>
      <c r="T155" s="24" t="e">
        <f>SUMIFS(#REF!,#REF!,$B155,#REF!,T$1)</f>
        <v>#REF!</v>
      </c>
      <c r="U155" s="24" t="e">
        <f>SUMIFS(#REF!,#REF!,$B155,#REF!,U$1)</f>
        <v>#REF!</v>
      </c>
      <c r="V155" s="24" t="e">
        <f>SUMIFS(#REF!,#REF!,$B155,#REF!,V$1)</f>
        <v>#REF!</v>
      </c>
      <c r="W155" s="24" t="e">
        <f>SUMIFS(#REF!,#REF!,$B155,#REF!,W$1)</f>
        <v>#REF!</v>
      </c>
      <c r="X155" s="24" t="e">
        <f>SUMIFS(#REF!,#REF!,$B155,#REF!,X$1)</f>
        <v>#REF!</v>
      </c>
      <c r="Y155" s="24" t="e">
        <f>SUMIFS(#REF!,#REF!,$B155,#REF!,Y$1)</f>
        <v>#REF!</v>
      </c>
      <c r="Z155" s="24" t="e">
        <f>SUMIFS(#REF!,#REF!,$B155,#REF!,Z$1)</f>
        <v>#REF!</v>
      </c>
      <c r="AA155" s="24" t="e">
        <f>SUMIFS(#REF!,#REF!,$B155,#REF!,AA$1)</f>
        <v>#REF!</v>
      </c>
      <c r="AB155" s="24" t="e">
        <f>SUMIFS(#REF!,#REF!,$B155,#REF!,AB$1)</f>
        <v>#REF!</v>
      </c>
      <c r="AC155" s="24" t="e">
        <f>SUMIFS(#REF!,#REF!,$B155,#REF!,AC$1)</f>
        <v>#REF!</v>
      </c>
      <c r="AD155" s="24" t="e">
        <f>SUMIFS(#REF!,#REF!,$B155,#REF!,AD$1)</f>
        <v>#REF!</v>
      </c>
      <c r="AE155" s="24" t="e">
        <f>SUMIFS(#REF!,#REF!,$B155,#REF!,AE$1)</f>
        <v>#REF!</v>
      </c>
      <c r="AF155" s="24" t="e">
        <f>SUMIFS(#REF!,#REF!,$B155,#REF!,AF$1)</f>
        <v>#REF!</v>
      </c>
      <c r="AG155" s="24" t="e">
        <f>SUMIFS(#REF!,#REF!,$B155,#REF!,AG$1)</f>
        <v>#REF!</v>
      </c>
      <c r="AH155" s="24" t="e">
        <f>SUMIFS(#REF!,#REF!,$B155,#REF!,AH$1)</f>
        <v>#REF!</v>
      </c>
      <c r="AI155" s="24" t="e">
        <f>SUMIFS(#REF!,#REF!,$B155,#REF!,AI$1)</f>
        <v>#REF!</v>
      </c>
      <c r="AJ155" s="24" t="e">
        <f>SUMIFS(#REF!,#REF!,$B155,#REF!,AJ$1)</f>
        <v>#REF!</v>
      </c>
      <c r="AK155" s="24" t="e">
        <f>SUMIFS(#REF!,#REF!,$B155,#REF!,AK$1)</f>
        <v>#REF!</v>
      </c>
      <c r="AL155" s="24" t="e">
        <f>SUMIFS(#REF!,#REF!,$B155,#REF!,AL$1)</f>
        <v>#REF!</v>
      </c>
      <c r="AM155" s="24" t="e">
        <f>SUMIFS(#REF!,#REF!,$B155,#REF!,AM$1)</f>
        <v>#REF!</v>
      </c>
      <c r="AN155" s="24" t="e">
        <f>SUMIFS(#REF!,#REF!,$B155,#REF!,AN$1)</f>
        <v>#REF!</v>
      </c>
      <c r="AO155" s="24" t="e">
        <f>SUMIFS(#REF!,#REF!,$B155,#REF!,AO$1)</f>
        <v>#REF!</v>
      </c>
      <c r="AP155" s="24" t="e">
        <f>SUMIFS(#REF!,#REF!,$B155,#REF!,AP$1)</f>
        <v>#REF!</v>
      </c>
      <c r="AQ155" s="24" t="e">
        <f>SUMIFS(#REF!,#REF!,$B155,#REF!,AQ$1)</f>
        <v>#REF!</v>
      </c>
      <c r="AR155" s="24" t="e">
        <f>SUMIFS(#REF!,#REF!,$B155,#REF!,AR$1)</f>
        <v>#REF!</v>
      </c>
      <c r="AS155" s="24" t="e">
        <f>SUMIFS(#REF!,#REF!,$B155,#REF!,AS$1)</f>
        <v>#REF!</v>
      </c>
      <c r="AT155" s="24" t="e">
        <f>SUMIFS(#REF!,#REF!,$B155,#REF!,AT$1)</f>
        <v>#REF!</v>
      </c>
      <c r="AU155" s="24" t="e">
        <f>SUMIFS(#REF!,#REF!,$B155,#REF!,AU$1)</f>
        <v>#REF!</v>
      </c>
      <c r="AV155" s="24" t="e">
        <f>SUMIFS(#REF!,#REF!,$B155,#REF!,AV$1)</f>
        <v>#REF!</v>
      </c>
      <c r="AW155" s="24" t="e">
        <f>SUMIFS(#REF!,#REF!,$B155,#REF!,AW$1)</f>
        <v>#REF!</v>
      </c>
      <c r="AX155" s="24" t="e">
        <f>SUMIFS(#REF!,#REF!,$B155,#REF!,AX$1)</f>
        <v>#REF!</v>
      </c>
      <c r="AY155" s="24" t="e">
        <f>SUMIFS(#REF!,#REF!,$B155,#REF!,AY$1)</f>
        <v>#REF!</v>
      </c>
      <c r="AZ155" s="24" t="e">
        <f>SUMIFS(#REF!,#REF!,$B155,#REF!,AZ$1)</f>
        <v>#REF!</v>
      </c>
      <c r="BA155" s="24" t="e">
        <f>SUMIFS(#REF!,#REF!,$B155,#REF!,BA$1)</f>
        <v>#REF!</v>
      </c>
      <c r="BB155" s="24" t="e">
        <f>SUMIFS(#REF!,#REF!,$B155,#REF!,BB$1)</f>
        <v>#REF!</v>
      </c>
      <c r="BC155" s="24" t="e">
        <f>SUMIFS(#REF!,#REF!,$B155,#REF!,BC$1)</f>
        <v>#REF!</v>
      </c>
      <c r="BD155" s="24" t="e">
        <f>SUMIFS(#REF!,#REF!,$B155,#REF!,BD$1)</f>
        <v>#REF!</v>
      </c>
      <c r="BE155" s="24" t="e">
        <f>SUMIFS(#REF!,#REF!,$B155,#REF!,BE$1)</f>
        <v>#REF!</v>
      </c>
      <c r="BF155" s="24" t="e">
        <f>SUMIFS(#REF!,#REF!,$B155,#REF!,BF$1)</f>
        <v>#REF!</v>
      </c>
      <c r="BG155" s="24" t="e">
        <f>SUMIFS(#REF!,#REF!,$B155,#REF!,BG$1)</f>
        <v>#REF!</v>
      </c>
      <c r="BH155" s="24" t="e">
        <f>SUMIFS(#REF!,#REF!,$B155,#REF!,BH$1)</f>
        <v>#REF!</v>
      </c>
      <c r="BI155" s="24" t="e">
        <f>SUMIFS(#REF!,#REF!,$B155,#REF!,BI$1)</f>
        <v>#REF!</v>
      </c>
      <c r="BJ155" s="24" t="e">
        <f>SUMIFS(#REF!,#REF!,$B155,#REF!,BJ$1)</f>
        <v>#REF!</v>
      </c>
      <c r="BK155" s="24" t="e">
        <f>SUMIFS(#REF!,#REF!,$B155,#REF!,BK$1)</f>
        <v>#REF!</v>
      </c>
      <c r="BL155" s="24" t="e">
        <f>SUMIFS(#REF!,#REF!,$B155,#REF!,BL$1)</f>
        <v>#REF!</v>
      </c>
      <c r="BM155" s="24" t="e">
        <f>SUMIFS(#REF!,#REF!,$B155,#REF!,BM$1)</f>
        <v>#REF!</v>
      </c>
      <c r="BN155" s="24" t="e">
        <f>SUMIFS(#REF!,#REF!,$B155,#REF!,BN$1)</f>
        <v>#REF!</v>
      </c>
      <c r="BO155" s="24" t="e">
        <f>SUMIFS(#REF!,#REF!,$B155,#REF!,BO$1)</f>
        <v>#REF!</v>
      </c>
      <c r="BP155" s="24" t="e">
        <f>SUMIFS(#REF!,#REF!,$B155,#REF!,BP$1)</f>
        <v>#REF!</v>
      </c>
      <c r="BQ155" s="24" t="e">
        <f>SUMIFS(#REF!,#REF!,$B155,#REF!,BQ$1)</f>
        <v>#REF!</v>
      </c>
      <c r="BR155" s="24" t="e">
        <f>SUMIFS(#REF!,#REF!,$B155,#REF!,BR$1)</f>
        <v>#REF!</v>
      </c>
      <c r="BS155" s="24" t="e">
        <f>SUMIFS(#REF!,#REF!,$B155,#REF!,BS$1)</f>
        <v>#REF!</v>
      </c>
      <c r="BT155" s="24" t="e">
        <f>SUMIFS(#REF!,#REF!,$B155,#REF!,BT$1)</f>
        <v>#REF!</v>
      </c>
      <c r="BU155" s="24" t="e">
        <f>SUMIFS(#REF!,#REF!,$B155,#REF!,BU$1)</f>
        <v>#REF!</v>
      </c>
      <c r="BV155" s="24" t="e">
        <f>SUMIFS(#REF!,#REF!,$B155,#REF!,BV$1)</f>
        <v>#REF!</v>
      </c>
      <c r="BW155" s="24" t="e">
        <f>SUMIFS(#REF!,#REF!,$B155,#REF!,BW$1)</f>
        <v>#REF!</v>
      </c>
      <c r="BX155" s="24" t="e">
        <f>SUMIFS(#REF!,#REF!,$B155,#REF!,BX$1)</f>
        <v>#REF!</v>
      </c>
      <c r="BY155" s="24" t="e">
        <f>SUMIFS(#REF!,#REF!,$B155,#REF!,BY$1)</f>
        <v>#REF!</v>
      </c>
      <c r="BZ155" s="24" t="e">
        <f>SUMIFS(#REF!,#REF!,$B155,#REF!,BZ$1)</f>
        <v>#REF!</v>
      </c>
      <c r="CA155" s="24" t="e">
        <f>SUMIFS(#REF!,#REF!,$B155,#REF!,CA$1)</f>
        <v>#REF!</v>
      </c>
      <c r="CB155" s="24" t="e">
        <f>SUMIFS(#REF!,#REF!,$B155,#REF!,CB$1)</f>
        <v>#REF!</v>
      </c>
      <c r="CC155" s="24" t="e">
        <f>SUMIFS(#REF!,#REF!,$B155,#REF!,CC$1)</f>
        <v>#REF!</v>
      </c>
      <c r="CD155" s="24" t="e">
        <f>SUMIFS(#REF!,#REF!,$B155,#REF!,CD$1)</f>
        <v>#REF!</v>
      </c>
      <c r="CE155" s="24" t="e">
        <f>SUMIFS(#REF!,#REF!,$B155,#REF!,CE$1)</f>
        <v>#REF!</v>
      </c>
      <c r="CF155" s="24" t="e">
        <f>SUMIFS(#REF!,#REF!,$B155,#REF!,CF$1)</f>
        <v>#REF!</v>
      </c>
      <c r="CG155" s="19" t="e">
        <f t="shared" si="2"/>
        <v>#REF!</v>
      </c>
    </row>
    <row r="156" spans="1:85" x14ac:dyDescent="0.45">
      <c r="A156" s="4" t="s">
        <v>1294</v>
      </c>
      <c r="B156" s="4" t="s">
        <v>1295</v>
      </c>
      <c r="C156" s="24" t="e">
        <f>SUMIFS(#REF!,#REF!,$B156,#REF!,C$1)</f>
        <v>#REF!</v>
      </c>
      <c r="D156" s="24" t="e">
        <f>SUMIFS(#REF!,#REF!,$B156,#REF!,D$1)</f>
        <v>#REF!</v>
      </c>
      <c r="E156" s="24" t="e">
        <f>SUMIFS(#REF!,#REF!,$B156,#REF!,E$1)</f>
        <v>#REF!</v>
      </c>
      <c r="F156" s="24" t="e">
        <f>SUMIFS(#REF!,#REF!,$B156,#REF!,F$1)</f>
        <v>#REF!</v>
      </c>
      <c r="G156" s="24" t="e">
        <f>SUMIFS(#REF!,#REF!,$B156,#REF!,G$1)</f>
        <v>#REF!</v>
      </c>
      <c r="H156" s="24" t="e">
        <f>SUMIFS(#REF!,#REF!,$B156,#REF!,H$1)</f>
        <v>#REF!</v>
      </c>
      <c r="I156" s="24" t="e">
        <f>SUMIFS(#REF!,#REF!,$B156,#REF!,I$1)</f>
        <v>#REF!</v>
      </c>
      <c r="J156" s="24" t="e">
        <f>SUMIFS(#REF!,#REF!,$B156,#REF!,J$1)</f>
        <v>#REF!</v>
      </c>
      <c r="K156" s="24" t="e">
        <f>SUMIFS(#REF!,#REF!,$B156,#REF!,K$1)</f>
        <v>#REF!</v>
      </c>
      <c r="L156" s="24" t="e">
        <f>SUMIFS(#REF!,#REF!,$B156,#REF!,L$1)</f>
        <v>#REF!</v>
      </c>
      <c r="M156" s="24" t="e">
        <f>SUMIFS(#REF!,#REF!,$B156,#REF!,M$1)</f>
        <v>#REF!</v>
      </c>
      <c r="N156" s="24" t="e">
        <f>SUMIFS(#REF!,#REF!,$B156,#REF!,N$1)</f>
        <v>#REF!</v>
      </c>
      <c r="O156" s="24" t="e">
        <f>SUMIFS(#REF!,#REF!,$B156,#REF!,O$1)</f>
        <v>#REF!</v>
      </c>
      <c r="P156" s="24" t="e">
        <f>SUMIFS(#REF!,#REF!,$B156,#REF!,P$1)</f>
        <v>#REF!</v>
      </c>
      <c r="Q156" s="24" t="e">
        <f>SUMIFS(#REF!,#REF!,$B156,#REF!,Q$1)</f>
        <v>#REF!</v>
      </c>
      <c r="R156" s="24" t="e">
        <f>SUMIFS(#REF!,#REF!,$B156,#REF!,R$1)</f>
        <v>#REF!</v>
      </c>
      <c r="S156" s="24" t="e">
        <f>SUMIFS(#REF!,#REF!,$B156,#REF!,S$1)</f>
        <v>#REF!</v>
      </c>
      <c r="T156" s="24" t="e">
        <f>SUMIFS(#REF!,#REF!,$B156,#REF!,T$1)</f>
        <v>#REF!</v>
      </c>
      <c r="U156" s="24" t="e">
        <f>SUMIFS(#REF!,#REF!,$B156,#REF!,U$1)</f>
        <v>#REF!</v>
      </c>
      <c r="V156" s="24" t="e">
        <f>SUMIFS(#REF!,#REF!,$B156,#REF!,V$1)</f>
        <v>#REF!</v>
      </c>
      <c r="W156" s="24" t="e">
        <f>SUMIFS(#REF!,#REF!,$B156,#REF!,W$1)</f>
        <v>#REF!</v>
      </c>
      <c r="X156" s="24" t="e">
        <f>SUMIFS(#REF!,#REF!,$B156,#REF!,X$1)</f>
        <v>#REF!</v>
      </c>
      <c r="Y156" s="24" t="e">
        <f>SUMIFS(#REF!,#REF!,$B156,#REF!,Y$1)</f>
        <v>#REF!</v>
      </c>
      <c r="Z156" s="24" t="e">
        <f>SUMIFS(#REF!,#REF!,$B156,#REF!,Z$1)</f>
        <v>#REF!</v>
      </c>
      <c r="AA156" s="24" t="e">
        <f>SUMIFS(#REF!,#REF!,$B156,#REF!,AA$1)</f>
        <v>#REF!</v>
      </c>
      <c r="AB156" s="24" t="e">
        <f>SUMIFS(#REF!,#REF!,$B156,#REF!,AB$1)</f>
        <v>#REF!</v>
      </c>
      <c r="AC156" s="24" t="e">
        <f>SUMIFS(#REF!,#REF!,$B156,#REF!,AC$1)</f>
        <v>#REF!</v>
      </c>
      <c r="AD156" s="24" t="e">
        <f>SUMIFS(#REF!,#REF!,$B156,#REF!,AD$1)</f>
        <v>#REF!</v>
      </c>
      <c r="AE156" s="24" t="e">
        <f>SUMIFS(#REF!,#REF!,$B156,#REF!,AE$1)</f>
        <v>#REF!</v>
      </c>
      <c r="AF156" s="24" t="e">
        <f>SUMIFS(#REF!,#REF!,$B156,#REF!,AF$1)</f>
        <v>#REF!</v>
      </c>
      <c r="AG156" s="24" t="e">
        <f>SUMIFS(#REF!,#REF!,$B156,#REF!,AG$1)</f>
        <v>#REF!</v>
      </c>
      <c r="AH156" s="24" t="e">
        <f>SUMIFS(#REF!,#REF!,$B156,#REF!,AH$1)</f>
        <v>#REF!</v>
      </c>
      <c r="AI156" s="24" t="e">
        <f>SUMIFS(#REF!,#REF!,$B156,#REF!,AI$1)</f>
        <v>#REF!</v>
      </c>
      <c r="AJ156" s="24" t="e">
        <f>SUMIFS(#REF!,#REF!,$B156,#REF!,AJ$1)</f>
        <v>#REF!</v>
      </c>
      <c r="AK156" s="24" t="e">
        <f>SUMIFS(#REF!,#REF!,$B156,#REF!,AK$1)</f>
        <v>#REF!</v>
      </c>
      <c r="AL156" s="24" t="e">
        <f>SUMIFS(#REF!,#REF!,$B156,#REF!,AL$1)</f>
        <v>#REF!</v>
      </c>
      <c r="AM156" s="24" t="e">
        <f>SUMIFS(#REF!,#REF!,$B156,#REF!,AM$1)</f>
        <v>#REF!</v>
      </c>
      <c r="AN156" s="24" t="e">
        <f>SUMIFS(#REF!,#REF!,$B156,#REF!,AN$1)</f>
        <v>#REF!</v>
      </c>
      <c r="AO156" s="24" t="e">
        <f>SUMIFS(#REF!,#REF!,$B156,#REF!,AO$1)</f>
        <v>#REF!</v>
      </c>
      <c r="AP156" s="24" t="e">
        <f>SUMIFS(#REF!,#REF!,$B156,#REF!,AP$1)</f>
        <v>#REF!</v>
      </c>
      <c r="AQ156" s="24" t="e">
        <f>SUMIFS(#REF!,#REF!,$B156,#REF!,AQ$1)</f>
        <v>#REF!</v>
      </c>
      <c r="AR156" s="24" t="e">
        <f>SUMIFS(#REF!,#REF!,$B156,#REF!,AR$1)</f>
        <v>#REF!</v>
      </c>
      <c r="AS156" s="24" t="e">
        <f>SUMIFS(#REF!,#REF!,$B156,#REF!,AS$1)</f>
        <v>#REF!</v>
      </c>
      <c r="AT156" s="24" t="e">
        <f>SUMIFS(#REF!,#REF!,$B156,#REF!,AT$1)</f>
        <v>#REF!</v>
      </c>
      <c r="AU156" s="24" t="e">
        <f>SUMIFS(#REF!,#REF!,$B156,#REF!,AU$1)</f>
        <v>#REF!</v>
      </c>
      <c r="AV156" s="24" t="e">
        <f>SUMIFS(#REF!,#REF!,$B156,#REF!,AV$1)</f>
        <v>#REF!</v>
      </c>
      <c r="AW156" s="24" t="e">
        <f>SUMIFS(#REF!,#REF!,$B156,#REF!,AW$1)</f>
        <v>#REF!</v>
      </c>
      <c r="AX156" s="24" t="e">
        <f>SUMIFS(#REF!,#REF!,$B156,#REF!,AX$1)</f>
        <v>#REF!</v>
      </c>
      <c r="AY156" s="24" t="e">
        <f>SUMIFS(#REF!,#REF!,$B156,#REF!,AY$1)</f>
        <v>#REF!</v>
      </c>
      <c r="AZ156" s="24" t="e">
        <f>SUMIFS(#REF!,#REF!,$B156,#REF!,AZ$1)</f>
        <v>#REF!</v>
      </c>
      <c r="BA156" s="24" t="e">
        <f>SUMIFS(#REF!,#REF!,$B156,#REF!,BA$1)</f>
        <v>#REF!</v>
      </c>
      <c r="BB156" s="24" t="e">
        <f>SUMIFS(#REF!,#REF!,$B156,#REF!,BB$1)</f>
        <v>#REF!</v>
      </c>
      <c r="BC156" s="24" t="e">
        <f>SUMIFS(#REF!,#REF!,$B156,#REF!,BC$1)</f>
        <v>#REF!</v>
      </c>
      <c r="BD156" s="24" t="e">
        <f>SUMIFS(#REF!,#REF!,$B156,#REF!,BD$1)</f>
        <v>#REF!</v>
      </c>
      <c r="BE156" s="24" t="e">
        <f>SUMIFS(#REF!,#REF!,$B156,#REF!,BE$1)</f>
        <v>#REF!</v>
      </c>
      <c r="BF156" s="24" t="e">
        <f>SUMIFS(#REF!,#REF!,$B156,#REF!,BF$1)</f>
        <v>#REF!</v>
      </c>
      <c r="BG156" s="24" t="e">
        <f>SUMIFS(#REF!,#REF!,$B156,#REF!,BG$1)</f>
        <v>#REF!</v>
      </c>
      <c r="BH156" s="24" t="e">
        <f>SUMIFS(#REF!,#REF!,$B156,#REF!,BH$1)</f>
        <v>#REF!</v>
      </c>
      <c r="BI156" s="24" t="e">
        <f>SUMIFS(#REF!,#REF!,$B156,#REF!,BI$1)</f>
        <v>#REF!</v>
      </c>
      <c r="BJ156" s="24" t="e">
        <f>SUMIFS(#REF!,#REF!,$B156,#REF!,BJ$1)</f>
        <v>#REF!</v>
      </c>
      <c r="BK156" s="24" t="e">
        <f>SUMIFS(#REF!,#REF!,$B156,#REF!,BK$1)</f>
        <v>#REF!</v>
      </c>
      <c r="BL156" s="24" t="e">
        <f>SUMIFS(#REF!,#REF!,$B156,#REF!,BL$1)</f>
        <v>#REF!</v>
      </c>
      <c r="BM156" s="24" t="e">
        <f>SUMIFS(#REF!,#REF!,$B156,#REF!,BM$1)</f>
        <v>#REF!</v>
      </c>
      <c r="BN156" s="24" t="e">
        <f>SUMIFS(#REF!,#REF!,$B156,#REF!,BN$1)</f>
        <v>#REF!</v>
      </c>
      <c r="BO156" s="24" t="e">
        <f>SUMIFS(#REF!,#REF!,$B156,#REF!,BO$1)</f>
        <v>#REF!</v>
      </c>
      <c r="BP156" s="24" t="e">
        <f>SUMIFS(#REF!,#REF!,$B156,#REF!,BP$1)</f>
        <v>#REF!</v>
      </c>
      <c r="BQ156" s="24" t="e">
        <f>SUMIFS(#REF!,#REF!,$B156,#REF!,BQ$1)</f>
        <v>#REF!</v>
      </c>
      <c r="BR156" s="24" t="e">
        <f>SUMIFS(#REF!,#REF!,$B156,#REF!,BR$1)</f>
        <v>#REF!</v>
      </c>
      <c r="BS156" s="24" t="e">
        <f>SUMIFS(#REF!,#REF!,$B156,#REF!,BS$1)</f>
        <v>#REF!</v>
      </c>
      <c r="BT156" s="24" t="e">
        <f>SUMIFS(#REF!,#REF!,$B156,#REF!,BT$1)</f>
        <v>#REF!</v>
      </c>
      <c r="BU156" s="24" t="e">
        <f>SUMIFS(#REF!,#REF!,$B156,#REF!,BU$1)</f>
        <v>#REF!</v>
      </c>
      <c r="BV156" s="24" t="e">
        <f>SUMIFS(#REF!,#REF!,$B156,#REF!,BV$1)</f>
        <v>#REF!</v>
      </c>
      <c r="BW156" s="24" t="e">
        <f>SUMIFS(#REF!,#REF!,$B156,#REF!,BW$1)</f>
        <v>#REF!</v>
      </c>
      <c r="BX156" s="24" t="e">
        <f>SUMIFS(#REF!,#REF!,$B156,#REF!,BX$1)</f>
        <v>#REF!</v>
      </c>
      <c r="BY156" s="24" t="e">
        <f>SUMIFS(#REF!,#REF!,$B156,#REF!,BY$1)</f>
        <v>#REF!</v>
      </c>
      <c r="BZ156" s="24" t="e">
        <f>SUMIFS(#REF!,#REF!,$B156,#REF!,BZ$1)</f>
        <v>#REF!</v>
      </c>
      <c r="CA156" s="24" t="e">
        <f>SUMIFS(#REF!,#REF!,$B156,#REF!,CA$1)</f>
        <v>#REF!</v>
      </c>
      <c r="CB156" s="24" t="e">
        <f>SUMIFS(#REF!,#REF!,$B156,#REF!,CB$1)</f>
        <v>#REF!</v>
      </c>
      <c r="CC156" s="24" t="e">
        <f>SUMIFS(#REF!,#REF!,$B156,#REF!,CC$1)</f>
        <v>#REF!</v>
      </c>
      <c r="CD156" s="24" t="e">
        <f>SUMIFS(#REF!,#REF!,$B156,#REF!,CD$1)</f>
        <v>#REF!</v>
      </c>
      <c r="CE156" s="24" t="e">
        <f>SUMIFS(#REF!,#REF!,$B156,#REF!,CE$1)</f>
        <v>#REF!</v>
      </c>
      <c r="CF156" s="24" t="e">
        <f>SUMIFS(#REF!,#REF!,$B156,#REF!,CF$1)</f>
        <v>#REF!</v>
      </c>
      <c r="CG156" s="19" t="e">
        <f t="shared" si="2"/>
        <v>#REF!</v>
      </c>
    </row>
    <row r="157" spans="1:85" x14ac:dyDescent="0.45">
      <c r="A157" s="4" t="s">
        <v>1296</v>
      </c>
      <c r="B157" s="4" t="s">
        <v>1297</v>
      </c>
      <c r="C157" s="24" t="e">
        <f>SUMIFS(#REF!,#REF!,$B157,#REF!,C$1)</f>
        <v>#REF!</v>
      </c>
      <c r="D157" s="24" t="e">
        <f>SUMIFS(#REF!,#REF!,$B157,#REF!,D$1)</f>
        <v>#REF!</v>
      </c>
      <c r="E157" s="24" t="e">
        <f>SUMIFS(#REF!,#REF!,$B157,#REF!,E$1)</f>
        <v>#REF!</v>
      </c>
      <c r="F157" s="24" t="e">
        <f>SUMIFS(#REF!,#REF!,$B157,#REF!,F$1)</f>
        <v>#REF!</v>
      </c>
      <c r="G157" s="24" t="e">
        <f>SUMIFS(#REF!,#REF!,$B157,#REF!,G$1)</f>
        <v>#REF!</v>
      </c>
      <c r="H157" s="24" t="e">
        <f>SUMIFS(#REF!,#REF!,$B157,#REF!,H$1)</f>
        <v>#REF!</v>
      </c>
      <c r="I157" s="24" t="e">
        <f>SUMIFS(#REF!,#REF!,$B157,#REF!,I$1)</f>
        <v>#REF!</v>
      </c>
      <c r="J157" s="24" t="e">
        <f>SUMIFS(#REF!,#REF!,$B157,#REF!,J$1)</f>
        <v>#REF!</v>
      </c>
      <c r="K157" s="24" t="e">
        <f>SUMIFS(#REF!,#REF!,$B157,#REF!,K$1)</f>
        <v>#REF!</v>
      </c>
      <c r="L157" s="24" t="e">
        <f>SUMIFS(#REF!,#REF!,$B157,#REF!,L$1)</f>
        <v>#REF!</v>
      </c>
      <c r="M157" s="24" t="e">
        <f>SUMIFS(#REF!,#REF!,$B157,#REF!,M$1)</f>
        <v>#REF!</v>
      </c>
      <c r="N157" s="24" t="e">
        <f>SUMIFS(#REF!,#REF!,$B157,#REF!,N$1)</f>
        <v>#REF!</v>
      </c>
      <c r="O157" s="24" t="e">
        <f>SUMIFS(#REF!,#REF!,$B157,#REF!,O$1)</f>
        <v>#REF!</v>
      </c>
      <c r="P157" s="24" t="e">
        <f>SUMIFS(#REF!,#REF!,$B157,#REF!,P$1)</f>
        <v>#REF!</v>
      </c>
      <c r="Q157" s="24" t="e">
        <f>SUMIFS(#REF!,#REF!,$B157,#REF!,Q$1)</f>
        <v>#REF!</v>
      </c>
      <c r="R157" s="24" t="e">
        <f>SUMIFS(#REF!,#REF!,$B157,#REF!,R$1)</f>
        <v>#REF!</v>
      </c>
      <c r="S157" s="24" t="e">
        <f>SUMIFS(#REF!,#REF!,$B157,#REF!,S$1)</f>
        <v>#REF!</v>
      </c>
      <c r="T157" s="24" t="e">
        <f>SUMIFS(#REF!,#REF!,$B157,#REF!,T$1)</f>
        <v>#REF!</v>
      </c>
      <c r="U157" s="24" t="e">
        <f>SUMIFS(#REF!,#REF!,$B157,#REF!,U$1)</f>
        <v>#REF!</v>
      </c>
      <c r="V157" s="24" t="e">
        <f>SUMIFS(#REF!,#REF!,$B157,#REF!,V$1)</f>
        <v>#REF!</v>
      </c>
      <c r="W157" s="24" t="e">
        <f>SUMIFS(#REF!,#REF!,$B157,#REF!,W$1)</f>
        <v>#REF!</v>
      </c>
      <c r="X157" s="24" t="e">
        <f>SUMIFS(#REF!,#REF!,$B157,#REF!,X$1)</f>
        <v>#REF!</v>
      </c>
      <c r="Y157" s="24" t="e">
        <f>SUMIFS(#REF!,#REF!,$B157,#REF!,Y$1)</f>
        <v>#REF!</v>
      </c>
      <c r="Z157" s="24" t="e">
        <f>SUMIFS(#REF!,#REF!,$B157,#REF!,Z$1)</f>
        <v>#REF!</v>
      </c>
      <c r="AA157" s="24" t="e">
        <f>SUMIFS(#REF!,#REF!,$B157,#REF!,AA$1)</f>
        <v>#REF!</v>
      </c>
      <c r="AB157" s="24" t="e">
        <f>SUMIFS(#REF!,#REF!,$B157,#REF!,AB$1)</f>
        <v>#REF!</v>
      </c>
      <c r="AC157" s="24" t="e">
        <f>SUMIFS(#REF!,#REF!,$B157,#REF!,AC$1)</f>
        <v>#REF!</v>
      </c>
      <c r="AD157" s="24" t="e">
        <f>SUMIFS(#REF!,#REF!,$B157,#REF!,AD$1)</f>
        <v>#REF!</v>
      </c>
      <c r="AE157" s="24" t="e">
        <f>SUMIFS(#REF!,#REF!,$B157,#REF!,AE$1)</f>
        <v>#REF!</v>
      </c>
      <c r="AF157" s="24" t="e">
        <f>SUMIFS(#REF!,#REF!,$B157,#REF!,AF$1)</f>
        <v>#REF!</v>
      </c>
      <c r="AG157" s="24" t="e">
        <f>SUMIFS(#REF!,#REF!,$B157,#REF!,AG$1)</f>
        <v>#REF!</v>
      </c>
      <c r="AH157" s="24" t="e">
        <f>SUMIFS(#REF!,#REF!,$B157,#REF!,AH$1)</f>
        <v>#REF!</v>
      </c>
      <c r="AI157" s="24" t="e">
        <f>SUMIFS(#REF!,#REF!,$B157,#REF!,AI$1)</f>
        <v>#REF!</v>
      </c>
      <c r="AJ157" s="24" t="e">
        <f>SUMIFS(#REF!,#REF!,$B157,#REF!,AJ$1)</f>
        <v>#REF!</v>
      </c>
      <c r="AK157" s="24" t="e">
        <f>SUMIFS(#REF!,#REF!,$B157,#REF!,AK$1)</f>
        <v>#REF!</v>
      </c>
      <c r="AL157" s="24" t="e">
        <f>SUMIFS(#REF!,#REF!,$B157,#REF!,AL$1)</f>
        <v>#REF!</v>
      </c>
      <c r="AM157" s="24" t="e">
        <f>SUMIFS(#REF!,#REF!,$B157,#REF!,AM$1)</f>
        <v>#REF!</v>
      </c>
      <c r="AN157" s="24" t="e">
        <f>SUMIFS(#REF!,#REF!,$B157,#REF!,AN$1)</f>
        <v>#REF!</v>
      </c>
      <c r="AO157" s="24" t="e">
        <f>SUMIFS(#REF!,#REF!,$B157,#REF!,AO$1)</f>
        <v>#REF!</v>
      </c>
      <c r="AP157" s="24" t="e">
        <f>SUMIFS(#REF!,#REF!,$B157,#REF!,AP$1)</f>
        <v>#REF!</v>
      </c>
      <c r="AQ157" s="24" t="e">
        <f>SUMIFS(#REF!,#REF!,$B157,#REF!,AQ$1)</f>
        <v>#REF!</v>
      </c>
      <c r="AR157" s="24" t="e">
        <f>SUMIFS(#REF!,#REF!,$B157,#REF!,AR$1)</f>
        <v>#REF!</v>
      </c>
      <c r="AS157" s="24" t="e">
        <f>SUMIFS(#REF!,#REF!,$B157,#REF!,AS$1)</f>
        <v>#REF!</v>
      </c>
      <c r="AT157" s="24" t="e">
        <f>SUMIFS(#REF!,#REF!,$B157,#REF!,AT$1)</f>
        <v>#REF!</v>
      </c>
      <c r="AU157" s="24" t="e">
        <f>SUMIFS(#REF!,#REF!,$B157,#REF!,AU$1)</f>
        <v>#REF!</v>
      </c>
      <c r="AV157" s="24" t="e">
        <f>SUMIFS(#REF!,#REF!,$B157,#REF!,AV$1)</f>
        <v>#REF!</v>
      </c>
      <c r="AW157" s="24" t="e">
        <f>SUMIFS(#REF!,#REF!,$B157,#REF!,AW$1)</f>
        <v>#REF!</v>
      </c>
      <c r="AX157" s="24" t="e">
        <f>SUMIFS(#REF!,#REF!,$B157,#REF!,AX$1)</f>
        <v>#REF!</v>
      </c>
      <c r="AY157" s="24" t="e">
        <f>SUMIFS(#REF!,#REF!,$B157,#REF!,AY$1)</f>
        <v>#REF!</v>
      </c>
      <c r="AZ157" s="24" t="e">
        <f>SUMIFS(#REF!,#REF!,$B157,#REF!,AZ$1)</f>
        <v>#REF!</v>
      </c>
      <c r="BA157" s="24" t="e">
        <f>SUMIFS(#REF!,#REF!,$B157,#REF!,BA$1)</f>
        <v>#REF!</v>
      </c>
      <c r="BB157" s="24" t="e">
        <f>SUMIFS(#REF!,#REF!,$B157,#REF!,BB$1)</f>
        <v>#REF!</v>
      </c>
      <c r="BC157" s="24" t="e">
        <f>SUMIFS(#REF!,#REF!,$B157,#REF!,BC$1)</f>
        <v>#REF!</v>
      </c>
      <c r="BD157" s="24" t="e">
        <f>SUMIFS(#REF!,#REF!,$B157,#REF!,BD$1)</f>
        <v>#REF!</v>
      </c>
      <c r="BE157" s="24" t="e">
        <f>SUMIFS(#REF!,#REF!,$B157,#REF!,BE$1)</f>
        <v>#REF!</v>
      </c>
      <c r="BF157" s="24" t="e">
        <f>SUMIFS(#REF!,#REF!,$B157,#REF!,BF$1)</f>
        <v>#REF!</v>
      </c>
      <c r="BG157" s="24" t="e">
        <f>SUMIFS(#REF!,#REF!,$B157,#REF!,BG$1)</f>
        <v>#REF!</v>
      </c>
      <c r="BH157" s="24" t="e">
        <f>SUMIFS(#REF!,#REF!,$B157,#REF!,BH$1)</f>
        <v>#REF!</v>
      </c>
      <c r="BI157" s="24" t="e">
        <f>SUMIFS(#REF!,#REF!,$B157,#REF!,BI$1)</f>
        <v>#REF!</v>
      </c>
      <c r="BJ157" s="24" t="e">
        <f>SUMIFS(#REF!,#REF!,$B157,#REF!,BJ$1)</f>
        <v>#REF!</v>
      </c>
      <c r="BK157" s="24" t="e">
        <f>SUMIFS(#REF!,#REF!,$B157,#REF!,BK$1)</f>
        <v>#REF!</v>
      </c>
      <c r="BL157" s="24" t="e">
        <f>SUMIFS(#REF!,#REF!,$B157,#REF!,BL$1)</f>
        <v>#REF!</v>
      </c>
      <c r="BM157" s="24" t="e">
        <f>SUMIFS(#REF!,#REF!,$B157,#REF!,BM$1)</f>
        <v>#REF!</v>
      </c>
      <c r="BN157" s="24" t="e">
        <f>SUMIFS(#REF!,#REF!,$B157,#REF!,BN$1)</f>
        <v>#REF!</v>
      </c>
      <c r="BO157" s="24" t="e">
        <f>SUMIFS(#REF!,#REF!,$B157,#REF!,BO$1)</f>
        <v>#REF!</v>
      </c>
      <c r="BP157" s="24" t="e">
        <f>SUMIFS(#REF!,#REF!,$B157,#REF!,BP$1)</f>
        <v>#REF!</v>
      </c>
      <c r="BQ157" s="24" t="e">
        <f>SUMIFS(#REF!,#REF!,$B157,#REF!,BQ$1)</f>
        <v>#REF!</v>
      </c>
      <c r="BR157" s="24" t="e">
        <f>SUMIFS(#REF!,#REF!,$B157,#REF!,BR$1)</f>
        <v>#REF!</v>
      </c>
      <c r="BS157" s="24" t="e">
        <f>SUMIFS(#REF!,#REF!,$B157,#REF!,BS$1)</f>
        <v>#REF!</v>
      </c>
      <c r="BT157" s="24" t="e">
        <f>SUMIFS(#REF!,#REF!,$B157,#REF!,BT$1)</f>
        <v>#REF!</v>
      </c>
      <c r="BU157" s="24" t="e">
        <f>SUMIFS(#REF!,#REF!,$B157,#REF!,BU$1)</f>
        <v>#REF!</v>
      </c>
      <c r="BV157" s="24" t="e">
        <f>SUMIFS(#REF!,#REF!,$B157,#REF!,BV$1)</f>
        <v>#REF!</v>
      </c>
      <c r="BW157" s="24" t="e">
        <f>SUMIFS(#REF!,#REF!,$B157,#REF!,BW$1)</f>
        <v>#REF!</v>
      </c>
      <c r="BX157" s="24" t="e">
        <f>SUMIFS(#REF!,#REF!,$B157,#REF!,BX$1)</f>
        <v>#REF!</v>
      </c>
      <c r="BY157" s="24" t="e">
        <f>SUMIFS(#REF!,#REF!,$B157,#REF!,BY$1)</f>
        <v>#REF!</v>
      </c>
      <c r="BZ157" s="24" t="e">
        <f>SUMIFS(#REF!,#REF!,$B157,#REF!,BZ$1)</f>
        <v>#REF!</v>
      </c>
      <c r="CA157" s="24" t="e">
        <f>SUMIFS(#REF!,#REF!,$B157,#REF!,CA$1)</f>
        <v>#REF!</v>
      </c>
      <c r="CB157" s="24" t="e">
        <f>SUMIFS(#REF!,#REF!,$B157,#REF!,CB$1)</f>
        <v>#REF!</v>
      </c>
      <c r="CC157" s="24" t="e">
        <f>SUMIFS(#REF!,#REF!,$B157,#REF!,CC$1)</f>
        <v>#REF!</v>
      </c>
      <c r="CD157" s="24" t="e">
        <f>SUMIFS(#REF!,#REF!,$B157,#REF!,CD$1)</f>
        <v>#REF!</v>
      </c>
      <c r="CE157" s="24" t="e">
        <f>SUMIFS(#REF!,#REF!,$B157,#REF!,CE$1)</f>
        <v>#REF!</v>
      </c>
      <c r="CF157" s="24" t="e">
        <f>SUMIFS(#REF!,#REF!,$B157,#REF!,CF$1)</f>
        <v>#REF!</v>
      </c>
      <c r="CG157" s="19" t="e">
        <f t="shared" si="2"/>
        <v>#REF!</v>
      </c>
    </row>
    <row r="158" spans="1:85" x14ac:dyDescent="0.45">
      <c r="A158" s="4" t="s">
        <v>1298</v>
      </c>
      <c r="B158" s="4" t="s">
        <v>1299</v>
      </c>
      <c r="C158" s="24" t="e">
        <f>SUMIFS(#REF!,#REF!,$B158,#REF!,C$1)</f>
        <v>#REF!</v>
      </c>
      <c r="D158" s="24" t="e">
        <f>SUMIFS(#REF!,#REF!,$B158,#REF!,D$1)</f>
        <v>#REF!</v>
      </c>
      <c r="E158" s="24" t="e">
        <f>SUMIFS(#REF!,#REF!,$B158,#REF!,E$1)</f>
        <v>#REF!</v>
      </c>
      <c r="F158" s="24" t="e">
        <f>SUMIFS(#REF!,#REF!,$B158,#REF!,F$1)</f>
        <v>#REF!</v>
      </c>
      <c r="G158" s="24" t="e">
        <f>SUMIFS(#REF!,#REF!,$B158,#REF!,G$1)</f>
        <v>#REF!</v>
      </c>
      <c r="H158" s="24" t="e">
        <f>SUMIFS(#REF!,#REF!,$B158,#REF!,H$1)</f>
        <v>#REF!</v>
      </c>
      <c r="I158" s="24" t="e">
        <f>SUMIFS(#REF!,#REF!,$B158,#REF!,I$1)</f>
        <v>#REF!</v>
      </c>
      <c r="J158" s="24" t="e">
        <f>SUMIFS(#REF!,#REF!,$B158,#REF!,J$1)</f>
        <v>#REF!</v>
      </c>
      <c r="K158" s="24" t="e">
        <f>SUMIFS(#REF!,#REF!,$B158,#REF!,K$1)</f>
        <v>#REF!</v>
      </c>
      <c r="L158" s="24" t="e">
        <f>SUMIFS(#REF!,#REF!,$B158,#REF!,L$1)</f>
        <v>#REF!</v>
      </c>
      <c r="M158" s="24" t="e">
        <f>SUMIFS(#REF!,#REF!,$B158,#REF!,M$1)</f>
        <v>#REF!</v>
      </c>
      <c r="N158" s="24" t="e">
        <f>SUMIFS(#REF!,#REF!,$B158,#REF!,N$1)</f>
        <v>#REF!</v>
      </c>
      <c r="O158" s="24" t="e">
        <f>SUMIFS(#REF!,#REF!,$B158,#REF!,O$1)</f>
        <v>#REF!</v>
      </c>
      <c r="P158" s="24" t="e">
        <f>SUMIFS(#REF!,#REF!,$B158,#REF!,P$1)</f>
        <v>#REF!</v>
      </c>
      <c r="Q158" s="24" t="e">
        <f>SUMIFS(#REF!,#REF!,$B158,#REF!,Q$1)</f>
        <v>#REF!</v>
      </c>
      <c r="R158" s="24" t="e">
        <f>SUMIFS(#REF!,#REF!,$B158,#REF!,R$1)</f>
        <v>#REF!</v>
      </c>
      <c r="S158" s="24" t="e">
        <f>SUMIFS(#REF!,#REF!,$B158,#REF!,S$1)</f>
        <v>#REF!</v>
      </c>
      <c r="T158" s="24" t="e">
        <f>SUMIFS(#REF!,#REF!,$B158,#REF!,T$1)</f>
        <v>#REF!</v>
      </c>
      <c r="U158" s="24" t="e">
        <f>SUMIFS(#REF!,#REF!,$B158,#REF!,U$1)</f>
        <v>#REF!</v>
      </c>
      <c r="V158" s="24" t="e">
        <f>SUMIFS(#REF!,#REF!,$B158,#REF!,V$1)</f>
        <v>#REF!</v>
      </c>
      <c r="W158" s="24" t="e">
        <f>SUMIFS(#REF!,#REF!,$B158,#REF!,W$1)</f>
        <v>#REF!</v>
      </c>
      <c r="X158" s="24" t="e">
        <f>SUMIFS(#REF!,#REF!,$B158,#REF!,X$1)</f>
        <v>#REF!</v>
      </c>
      <c r="Y158" s="24" t="e">
        <f>SUMIFS(#REF!,#REF!,$B158,#REF!,Y$1)</f>
        <v>#REF!</v>
      </c>
      <c r="Z158" s="24" t="e">
        <f>SUMIFS(#REF!,#REF!,$B158,#REF!,Z$1)</f>
        <v>#REF!</v>
      </c>
      <c r="AA158" s="24" t="e">
        <f>SUMIFS(#REF!,#REF!,$B158,#REF!,AA$1)</f>
        <v>#REF!</v>
      </c>
      <c r="AB158" s="24" t="e">
        <f>SUMIFS(#REF!,#REF!,$B158,#REF!,AB$1)</f>
        <v>#REF!</v>
      </c>
      <c r="AC158" s="24" t="e">
        <f>SUMIFS(#REF!,#REF!,$B158,#REF!,AC$1)</f>
        <v>#REF!</v>
      </c>
      <c r="AD158" s="24" t="e">
        <f>SUMIFS(#REF!,#REF!,$B158,#REF!,AD$1)</f>
        <v>#REF!</v>
      </c>
      <c r="AE158" s="24" t="e">
        <f>SUMIFS(#REF!,#REF!,$B158,#REF!,AE$1)</f>
        <v>#REF!</v>
      </c>
      <c r="AF158" s="24" t="e">
        <f>SUMIFS(#REF!,#REF!,$B158,#REF!,AF$1)</f>
        <v>#REF!</v>
      </c>
      <c r="AG158" s="24" t="e">
        <f>SUMIFS(#REF!,#REF!,$B158,#REF!,AG$1)</f>
        <v>#REF!</v>
      </c>
      <c r="AH158" s="24" t="e">
        <f>SUMIFS(#REF!,#REF!,$B158,#REF!,AH$1)</f>
        <v>#REF!</v>
      </c>
      <c r="AI158" s="24" t="e">
        <f>SUMIFS(#REF!,#REF!,$B158,#REF!,AI$1)</f>
        <v>#REF!</v>
      </c>
      <c r="AJ158" s="24" t="e">
        <f>SUMIFS(#REF!,#REF!,$B158,#REF!,AJ$1)</f>
        <v>#REF!</v>
      </c>
      <c r="AK158" s="24" t="e">
        <f>SUMIFS(#REF!,#REF!,$B158,#REF!,AK$1)</f>
        <v>#REF!</v>
      </c>
      <c r="AL158" s="24" t="e">
        <f>SUMIFS(#REF!,#REF!,$B158,#REF!,AL$1)</f>
        <v>#REF!</v>
      </c>
      <c r="AM158" s="24" t="e">
        <f>SUMIFS(#REF!,#REF!,$B158,#REF!,AM$1)</f>
        <v>#REF!</v>
      </c>
      <c r="AN158" s="24" t="e">
        <f>SUMIFS(#REF!,#REF!,$B158,#REF!,AN$1)</f>
        <v>#REF!</v>
      </c>
      <c r="AO158" s="24" t="e">
        <f>SUMIFS(#REF!,#REF!,$B158,#REF!,AO$1)</f>
        <v>#REF!</v>
      </c>
      <c r="AP158" s="24" t="e">
        <f>SUMIFS(#REF!,#REF!,$B158,#REF!,AP$1)</f>
        <v>#REF!</v>
      </c>
      <c r="AQ158" s="24" t="e">
        <f>SUMIFS(#REF!,#REF!,$B158,#REF!,AQ$1)</f>
        <v>#REF!</v>
      </c>
      <c r="AR158" s="24" t="e">
        <f>SUMIFS(#REF!,#REF!,$B158,#REF!,AR$1)</f>
        <v>#REF!</v>
      </c>
      <c r="AS158" s="24" t="e">
        <f>SUMIFS(#REF!,#REF!,$B158,#REF!,AS$1)</f>
        <v>#REF!</v>
      </c>
      <c r="AT158" s="24" t="e">
        <f>SUMIFS(#REF!,#REF!,$B158,#REF!,AT$1)</f>
        <v>#REF!</v>
      </c>
      <c r="AU158" s="24" t="e">
        <f>SUMIFS(#REF!,#REF!,$B158,#REF!,AU$1)</f>
        <v>#REF!</v>
      </c>
      <c r="AV158" s="24" t="e">
        <f>SUMIFS(#REF!,#REF!,$B158,#REF!,AV$1)</f>
        <v>#REF!</v>
      </c>
      <c r="AW158" s="24" t="e">
        <f>SUMIFS(#REF!,#REF!,$B158,#REF!,AW$1)</f>
        <v>#REF!</v>
      </c>
      <c r="AX158" s="24" t="e">
        <f>SUMIFS(#REF!,#REF!,$B158,#REF!,AX$1)</f>
        <v>#REF!</v>
      </c>
      <c r="AY158" s="24" t="e">
        <f>SUMIFS(#REF!,#REF!,$B158,#REF!,AY$1)</f>
        <v>#REF!</v>
      </c>
      <c r="AZ158" s="24" t="e">
        <f>SUMIFS(#REF!,#REF!,$B158,#REF!,AZ$1)</f>
        <v>#REF!</v>
      </c>
      <c r="BA158" s="24" t="e">
        <f>SUMIFS(#REF!,#REF!,$B158,#REF!,BA$1)</f>
        <v>#REF!</v>
      </c>
      <c r="BB158" s="24" t="e">
        <f>SUMIFS(#REF!,#REF!,$B158,#REF!,BB$1)</f>
        <v>#REF!</v>
      </c>
      <c r="BC158" s="24" t="e">
        <f>SUMIFS(#REF!,#REF!,$B158,#REF!,BC$1)</f>
        <v>#REF!</v>
      </c>
      <c r="BD158" s="24" t="e">
        <f>SUMIFS(#REF!,#REF!,$B158,#REF!,BD$1)</f>
        <v>#REF!</v>
      </c>
      <c r="BE158" s="24" t="e">
        <f>SUMIFS(#REF!,#REF!,$B158,#REF!,BE$1)</f>
        <v>#REF!</v>
      </c>
      <c r="BF158" s="24" t="e">
        <f>SUMIFS(#REF!,#REF!,$B158,#REF!,BF$1)</f>
        <v>#REF!</v>
      </c>
      <c r="BG158" s="24" t="e">
        <f>SUMIFS(#REF!,#REF!,$B158,#REF!,BG$1)</f>
        <v>#REF!</v>
      </c>
      <c r="BH158" s="24" t="e">
        <f>SUMIFS(#REF!,#REF!,$B158,#REF!,BH$1)</f>
        <v>#REF!</v>
      </c>
      <c r="BI158" s="24" t="e">
        <f>SUMIFS(#REF!,#REF!,$B158,#REF!,BI$1)</f>
        <v>#REF!</v>
      </c>
      <c r="BJ158" s="24" t="e">
        <f>SUMIFS(#REF!,#REF!,$B158,#REF!,BJ$1)</f>
        <v>#REF!</v>
      </c>
      <c r="BK158" s="24" t="e">
        <f>SUMIFS(#REF!,#REF!,$B158,#REF!,BK$1)</f>
        <v>#REF!</v>
      </c>
      <c r="BL158" s="24" t="e">
        <f>SUMIFS(#REF!,#REF!,$B158,#REF!,BL$1)</f>
        <v>#REF!</v>
      </c>
      <c r="BM158" s="24" t="e">
        <f>SUMIFS(#REF!,#REF!,$B158,#REF!,BM$1)</f>
        <v>#REF!</v>
      </c>
      <c r="BN158" s="24" t="e">
        <f>SUMIFS(#REF!,#REF!,$B158,#REF!,BN$1)</f>
        <v>#REF!</v>
      </c>
      <c r="BO158" s="24" t="e">
        <f>SUMIFS(#REF!,#REF!,$B158,#REF!,BO$1)</f>
        <v>#REF!</v>
      </c>
      <c r="BP158" s="24" t="e">
        <f>SUMIFS(#REF!,#REF!,$B158,#REF!,BP$1)</f>
        <v>#REF!</v>
      </c>
      <c r="BQ158" s="24" t="e">
        <f>SUMIFS(#REF!,#REF!,$B158,#REF!,BQ$1)</f>
        <v>#REF!</v>
      </c>
      <c r="BR158" s="24" t="e">
        <f>SUMIFS(#REF!,#REF!,$B158,#REF!,BR$1)</f>
        <v>#REF!</v>
      </c>
      <c r="BS158" s="24" t="e">
        <f>SUMIFS(#REF!,#REF!,$B158,#REF!,BS$1)</f>
        <v>#REF!</v>
      </c>
      <c r="BT158" s="24" t="e">
        <f>SUMIFS(#REF!,#REF!,$B158,#REF!,BT$1)</f>
        <v>#REF!</v>
      </c>
      <c r="BU158" s="24" t="e">
        <f>SUMIFS(#REF!,#REF!,$B158,#REF!,BU$1)</f>
        <v>#REF!</v>
      </c>
      <c r="BV158" s="24" t="e">
        <f>SUMIFS(#REF!,#REF!,$B158,#REF!,BV$1)</f>
        <v>#REF!</v>
      </c>
      <c r="BW158" s="24" t="e">
        <f>SUMIFS(#REF!,#REF!,$B158,#REF!,BW$1)</f>
        <v>#REF!</v>
      </c>
      <c r="BX158" s="24" t="e">
        <f>SUMIFS(#REF!,#REF!,$B158,#REF!,BX$1)</f>
        <v>#REF!</v>
      </c>
      <c r="BY158" s="24" t="e">
        <f>SUMIFS(#REF!,#REF!,$B158,#REF!,BY$1)</f>
        <v>#REF!</v>
      </c>
      <c r="BZ158" s="24" t="e">
        <f>SUMIFS(#REF!,#REF!,$B158,#REF!,BZ$1)</f>
        <v>#REF!</v>
      </c>
      <c r="CA158" s="24" t="e">
        <f>SUMIFS(#REF!,#REF!,$B158,#REF!,CA$1)</f>
        <v>#REF!</v>
      </c>
      <c r="CB158" s="24" t="e">
        <f>SUMIFS(#REF!,#REF!,$B158,#REF!,CB$1)</f>
        <v>#REF!</v>
      </c>
      <c r="CC158" s="24" t="e">
        <f>SUMIFS(#REF!,#REF!,$B158,#REF!,CC$1)</f>
        <v>#REF!</v>
      </c>
      <c r="CD158" s="24" t="e">
        <f>SUMIFS(#REF!,#REF!,$B158,#REF!,CD$1)</f>
        <v>#REF!</v>
      </c>
      <c r="CE158" s="24" t="e">
        <f>SUMIFS(#REF!,#REF!,$B158,#REF!,CE$1)</f>
        <v>#REF!</v>
      </c>
      <c r="CF158" s="24" t="e">
        <f>SUMIFS(#REF!,#REF!,$B158,#REF!,CF$1)</f>
        <v>#REF!</v>
      </c>
      <c r="CG158" s="19" t="e">
        <f t="shared" si="2"/>
        <v>#REF!</v>
      </c>
    </row>
    <row r="159" spans="1:85" x14ac:dyDescent="0.45">
      <c r="A159" s="4" t="s">
        <v>1300</v>
      </c>
      <c r="B159" s="4" t="s">
        <v>1301</v>
      </c>
      <c r="C159" s="24" t="e">
        <f>SUMIFS(#REF!,#REF!,$B159,#REF!,C$1)</f>
        <v>#REF!</v>
      </c>
      <c r="D159" s="24" t="e">
        <f>SUMIFS(#REF!,#REF!,$B159,#REF!,D$1)</f>
        <v>#REF!</v>
      </c>
      <c r="E159" s="24" t="e">
        <f>SUMIFS(#REF!,#REF!,$B159,#REF!,E$1)</f>
        <v>#REF!</v>
      </c>
      <c r="F159" s="24" t="e">
        <f>SUMIFS(#REF!,#REF!,$B159,#REF!,F$1)</f>
        <v>#REF!</v>
      </c>
      <c r="G159" s="24" t="e">
        <f>SUMIFS(#REF!,#REF!,$B159,#REF!,G$1)</f>
        <v>#REF!</v>
      </c>
      <c r="H159" s="24" t="e">
        <f>SUMIFS(#REF!,#REF!,$B159,#REF!,H$1)</f>
        <v>#REF!</v>
      </c>
      <c r="I159" s="24" t="e">
        <f>SUMIFS(#REF!,#REF!,$B159,#REF!,I$1)</f>
        <v>#REF!</v>
      </c>
      <c r="J159" s="24" t="e">
        <f>SUMIFS(#REF!,#REF!,$B159,#REF!,J$1)</f>
        <v>#REF!</v>
      </c>
      <c r="K159" s="24" t="e">
        <f>SUMIFS(#REF!,#REF!,$B159,#REF!,K$1)</f>
        <v>#REF!</v>
      </c>
      <c r="L159" s="24" t="e">
        <f>SUMIFS(#REF!,#REF!,$B159,#REF!,L$1)</f>
        <v>#REF!</v>
      </c>
      <c r="M159" s="24" t="e">
        <f>SUMIFS(#REF!,#REF!,$B159,#REF!,M$1)</f>
        <v>#REF!</v>
      </c>
      <c r="N159" s="24" t="e">
        <f>SUMIFS(#REF!,#REF!,$B159,#REF!,N$1)</f>
        <v>#REF!</v>
      </c>
      <c r="O159" s="24" t="e">
        <f>SUMIFS(#REF!,#REF!,$B159,#REF!,O$1)</f>
        <v>#REF!</v>
      </c>
      <c r="P159" s="24" t="e">
        <f>SUMIFS(#REF!,#REF!,$B159,#REF!,P$1)</f>
        <v>#REF!</v>
      </c>
      <c r="Q159" s="24" t="e">
        <f>SUMIFS(#REF!,#REF!,$B159,#REF!,Q$1)</f>
        <v>#REF!</v>
      </c>
      <c r="R159" s="24" t="e">
        <f>SUMIFS(#REF!,#REF!,$B159,#REF!,R$1)</f>
        <v>#REF!</v>
      </c>
      <c r="S159" s="24" t="e">
        <f>SUMIFS(#REF!,#REF!,$B159,#REF!,S$1)</f>
        <v>#REF!</v>
      </c>
      <c r="T159" s="24" t="e">
        <f>SUMIFS(#REF!,#REF!,$B159,#REF!,T$1)</f>
        <v>#REF!</v>
      </c>
      <c r="U159" s="24" t="e">
        <f>SUMIFS(#REF!,#REF!,$B159,#REF!,U$1)</f>
        <v>#REF!</v>
      </c>
      <c r="V159" s="24" t="e">
        <f>SUMIFS(#REF!,#REF!,$B159,#REF!,V$1)</f>
        <v>#REF!</v>
      </c>
      <c r="W159" s="24" t="e">
        <f>SUMIFS(#REF!,#REF!,$B159,#REF!,W$1)</f>
        <v>#REF!</v>
      </c>
      <c r="X159" s="24" t="e">
        <f>SUMIFS(#REF!,#REF!,$B159,#REF!,X$1)</f>
        <v>#REF!</v>
      </c>
      <c r="Y159" s="24" t="e">
        <f>SUMIFS(#REF!,#REF!,$B159,#REF!,Y$1)</f>
        <v>#REF!</v>
      </c>
      <c r="Z159" s="24" t="e">
        <f>SUMIFS(#REF!,#REF!,$B159,#REF!,Z$1)</f>
        <v>#REF!</v>
      </c>
      <c r="AA159" s="24" t="e">
        <f>SUMIFS(#REF!,#REF!,$B159,#REF!,AA$1)</f>
        <v>#REF!</v>
      </c>
      <c r="AB159" s="24" t="e">
        <f>SUMIFS(#REF!,#REF!,$B159,#REF!,AB$1)</f>
        <v>#REF!</v>
      </c>
      <c r="AC159" s="24" t="e">
        <f>SUMIFS(#REF!,#REF!,$B159,#REF!,AC$1)</f>
        <v>#REF!</v>
      </c>
      <c r="AD159" s="24" t="e">
        <f>SUMIFS(#REF!,#REF!,$B159,#REF!,AD$1)</f>
        <v>#REF!</v>
      </c>
      <c r="AE159" s="24" t="e">
        <f>SUMIFS(#REF!,#REF!,$B159,#REF!,AE$1)</f>
        <v>#REF!</v>
      </c>
      <c r="AF159" s="24" t="e">
        <f>SUMIFS(#REF!,#REF!,$B159,#REF!,AF$1)</f>
        <v>#REF!</v>
      </c>
      <c r="AG159" s="24" t="e">
        <f>SUMIFS(#REF!,#REF!,$B159,#REF!,AG$1)</f>
        <v>#REF!</v>
      </c>
      <c r="AH159" s="24" t="e">
        <f>SUMIFS(#REF!,#REF!,$B159,#REF!,AH$1)</f>
        <v>#REF!</v>
      </c>
      <c r="AI159" s="24" t="e">
        <f>SUMIFS(#REF!,#REF!,$B159,#REF!,AI$1)</f>
        <v>#REF!</v>
      </c>
      <c r="AJ159" s="24" t="e">
        <f>SUMIFS(#REF!,#REF!,$B159,#REF!,AJ$1)</f>
        <v>#REF!</v>
      </c>
      <c r="AK159" s="24" t="e">
        <f>SUMIFS(#REF!,#REF!,$B159,#REF!,AK$1)</f>
        <v>#REF!</v>
      </c>
      <c r="AL159" s="24" t="e">
        <f>SUMIFS(#REF!,#REF!,$B159,#REF!,AL$1)</f>
        <v>#REF!</v>
      </c>
      <c r="AM159" s="24" t="e">
        <f>SUMIFS(#REF!,#REF!,$B159,#REF!,AM$1)</f>
        <v>#REF!</v>
      </c>
      <c r="AN159" s="24" t="e">
        <f>SUMIFS(#REF!,#REF!,$B159,#REF!,AN$1)</f>
        <v>#REF!</v>
      </c>
      <c r="AO159" s="24" t="e">
        <f>SUMIFS(#REF!,#REF!,$B159,#REF!,AO$1)</f>
        <v>#REF!</v>
      </c>
      <c r="AP159" s="24" t="e">
        <f>SUMIFS(#REF!,#REF!,$B159,#REF!,AP$1)</f>
        <v>#REF!</v>
      </c>
      <c r="AQ159" s="24" t="e">
        <f>SUMIFS(#REF!,#REF!,$B159,#REF!,AQ$1)</f>
        <v>#REF!</v>
      </c>
      <c r="AR159" s="24" t="e">
        <f>SUMIFS(#REF!,#REF!,$B159,#REF!,AR$1)</f>
        <v>#REF!</v>
      </c>
      <c r="AS159" s="24" t="e">
        <f>SUMIFS(#REF!,#REF!,$B159,#REF!,AS$1)</f>
        <v>#REF!</v>
      </c>
      <c r="AT159" s="24" t="e">
        <f>SUMIFS(#REF!,#REF!,$B159,#REF!,AT$1)</f>
        <v>#REF!</v>
      </c>
      <c r="AU159" s="24" t="e">
        <f>SUMIFS(#REF!,#REF!,$B159,#REF!,AU$1)</f>
        <v>#REF!</v>
      </c>
      <c r="AV159" s="24" t="e">
        <f>SUMIFS(#REF!,#REF!,$B159,#REF!,AV$1)</f>
        <v>#REF!</v>
      </c>
      <c r="AW159" s="24" t="e">
        <f>SUMIFS(#REF!,#REF!,$B159,#REF!,AW$1)</f>
        <v>#REF!</v>
      </c>
      <c r="AX159" s="24" t="e">
        <f>SUMIFS(#REF!,#REF!,$B159,#REF!,AX$1)</f>
        <v>#REF!</v>
      </c>
      <c r="AY159" s="24" t="e">
        <f>SUMIFS(#REF!,#REF!,$B159,#REF!,AY$1)</f>
        <v>#REF!</v>
      </c>
      <c r="AZ159" s="24" t="e">
        <f>SUMIFS(#REF!,#REF!,$B159,#REF!,AZ$1)</f>
        <v>#REF!</v>
      </c>
      <c r="BA159" s="24" t="e">
        <f>SUMIFS(#REF!,#REF!,$B159,#REF!,BA$1)</f>
        <v>#REF!</v>
      </c>
      <c r="BB159" s="24" t="e">
        <f>SUMIFS(#REF!,#REF!,$B159,#REF!,BB$1)</f>
        <v>#REF!</v>
      </c>
      <c r="BC159" s="24" t="e">
        <f>SUMIFS(#REF!,#REF!,$B159,#REF!,BC$1)</f>
        <v>#REF!</v>
      </c>
      <c r="BD159" s="24" t="e">
        <f>SUMIFS(#REF!,#REF!,$B159,#REF!,BD$1)</f>
        <v>#REF!</v>
      </c>
      <c r="BE159" s="24" t="e">
        <f>SUMIFS(#REF!,#REF!,$B159,#REF!,BE$1)</f>
        <v>#REF!</v>
      </c>
      <c r="BF159" s="24" t="e">
        <f>SUMIFS(#REF!,#REF!,$B159,#REF!,BF$1)</f>
        <v>#REF!</v>
      </c>
      <c r="BG159" s="24" t="e">
        <f>SUMIFS(#REF!,#REF!,$B159,#REF!,BG$1)</f>
        <v>#REF!</v>
      </c>
      <c r="BH159" s="24" t="e">
        <f>SUMIFS(#REF!,#REF!,$B159,#REF!,BH$1)</f>
        <v>#REF!</v>
      </c>
      <c r="BI159" s="24" t="e">
        <f>SUMIFS(#REF!,#REF!,$B159,#REF!,BI$1)</f>
        <v>#REF!</v>
      </c>
      <c r="BJ159" s="24" t="e">
        <f>SUMIFS(#REF!,#REF!,$B159,#REF!,BJ$1)</f>
        <v>#REF!</v>
      </c>
      <c r="BK159" s="24" t="e">
        <f>SUMIFS(#REF!,#REF!,$B159,#REF!,BK$1)</f>
        <v>#REF!</v>
      </c>
      <c r="BL159" s="24" t="e">
        <f>SUMIFS(#REF!,#REF!,$B159,#REF!,BL$1)</f>
        <v>#REF!</v>
      </c>
      <c r="BM159" s="24" t="e">
        <f>SUMIFS(#REF!,#REF!,$B159,#REF!,BM$1)</f>
        <v>#REF!</v>
      </c>
      <c r="BN159" s="24" t="e">
        <f>SUMIFS(#REF!,#REF!,$B159,#REF!,BN$1)</f>
        <v>#REF!</v>
      </c>
      <c r="BO159" s="24" t="e">
        <f>SUMIFS(#REF!,#REF!,$B159,#REF!,BO$1)</f>
        <v>#REF!</v>
      </c>
      <c r="BP159" s="24" t="e">
        <f>SUMIFS(#REF!,#REF!,$B159,#REF!,BP$1)</f>
        <v>#REF!</v>
      </c>
      <c r="BQ159" s="24" t="e">
        <f>SUMIFS(#REF!,#REF!,$B159,#REF!,BQ$1)</f>
        <v>#REF!</v>
      </c>
      <c r="BR159" s="24" t="e">
        <f>SUMIFS(#REF!,#REF!,$B159,#REF!,BR$1)</f>
        <v>#REF!</v>
      </c>
      <c r="BS159" s="24" t="e">
        <f>SUMIFS(#REF!,#REF!,$B159,#REF!,BS$1)</f>
        <v>#REF!</v>
      </c>
      <c r="BT159" s="24" t="e">
        <f>SUMIFS(#REF!,#REF!,$B159,#REF!,BT$1)</f>
        <v>#REF!</v>
      </c>
      <c r="BU159" s="24" t="e">
        <f>SUMIFS(#REF!,#REF!,$B159,#REF!,BU$1)</f>
        <v>#REF!</v>
      </c>
      <c r="BV159" s="24" t="e">
        <f>SUMIFS(#REF!,#REF!,$B159,#REF!,BV$1)</f>
        <v>#REF!</v>
      </c>
      <c r="BW159" s="24" t="e">
        <f>SUMIFS(#REF!,#REF!,$B159,#REF!,BW$1)</f>
        <v>#REF!</v>
      </c>
      <c r="BX159" s="24" t="e">
        <f>SUMIFS(#REF!,#REF!,$B159,#REF!,BX$1)</f>
        <v>#REF!</v>
      </c>
      <c r="BY159" s="24" t="e">
        <f>SUMIFS(#REF!,#REF!,$B159,#REF!,BY$1)</f>
        <v>#REF!</v>
      </c>
      <c r="BZ159" s="24" t="e">
        <f>SUMIFS(#REF!,#REF!,$B159,#REF!,BZ$1)</f>
        <v>#REF!</v>
      </c>
      <c r="CA159" s="24" t="e">
        <f>SUMIFS(#REF!,#REF!,$B159,#REF!,CA$1)</f>
        <v>#REF!</v>
      </c>
      <c r="CB159" s="24" t="e">
        <f>SUMIFS(#REF!,#REF!,$B159,#REF!,CB$1)</f>
        <v>#REF!</v>
      </c>
      <c r="CC159" s="24" t="e">
        <f>SUMIFS(#REF!,#REF!,$B159,#REF!,CC$1)</f>
        <v>#REF!</v>
      </c>
      <c r="CD159" s="24" t="e">
        <f>SUMIFS(#REF!,#REF!,$B159,#REF!,CD$1)</f>
        <v>#REF!</v>
      </c>
      <c r="CE159" s="24" t="e">
        <f>SUMIFS(#REF!,#REF!,$B159,#REF!,CE$1)</f>
        <v>#REF!</v>
      </c>
      <c r="CF159" s="24" t="e">
        <f>SUMIFS(#REF!,#REF!,$B159,#REF!,CF$1)</f>
        <v>#REF!</v>
      </c>
      <c r="CG159" s="19" t="e">
        <f t="shared" si="2"/>
        <v>#REF!</v>
      </c>
    </row>
    <row r="160" spans="1:85" x14ac:dyDescent="0.45">
      <c r="A160" s="4" t="s">
        <v>1302</v>
      </c>
      <c r="B160" s="4" t="s">
        <v>1303</v>
      </c>
      <c r="C160" s="24" t="e">
        <f>SUMIFS(#REF!,#REF!,$B160,#REF!,C$1)</f>
        <v>#REF!</v>
      </c>
      <c r="D160" s="24" t="e">
        <f>SUMIFS(#REF!,#REF!,$B160,#REF!,D$1)</f>
        <v>#REF!</v>
      </c>
      <c r="E160" s="24" t="e">
        <f>SUMIFS(#REF!,#REF!,$B160,#REF!,E$1)</f>
        <v>#REF!</v>
      </c>
      <c r="F160" s="24" t="e">
        <f>SUMIFS(#REF!,#REF!,$B160,#REF!,F$1)</f>
        <v>#REF!</v>
      </c>
      <c r="G160" s="24" t="e">
        <f>SUMIFS(#REF!,#REF!,$B160,#REF!,G$1)</f>
        <v>#REF!</v>
      </c>
      <c r="H160" s="24" t="e">
        <f>SUMIFS(#REF!,#REF!,$B160,#REF!,H$1)</f>
        <v>#REF!</v>
      </c>
      <c r="I160" s="24" t="e">
        <f>SUMIFS(#REF!,#REF!,$B160,#REF!,I$1)</f>
        <v>#REF!</v>
      </c>
      <c r="J160" s="24" t="e">
        <f>SUMIFS(#REF!,#REF!,$B160,#REF!,J$1)</f>
        <v>#REF!</v>
      </c>
      <c r="K160" s="24" t="e">
        <f>SUMIFS(#REF!,#REF!,$B160,#REF!,K$1)</f>
        <v>#REF!</v>
      </c>
      <c r="L160" s="24" t="e">
        <f>SUMIFS(#REF!,#REF!,$B160,#REF!,L$1)</f>
        <v>#REF!</v>
      </c>
      <c r="M160" s="24" t="e">
        <f>SUMIFS(#REF!,#REF!,$B160,#REF!,M$1)</f>
        <v>#REF!</v>
      </c>
      <c r="N160" s="24" t="e">
        <f>SUMIFS(#REF!,#REF!,$B160,#REF!,N$1)</f>
        <v>#REF!</v>
      </c>
      <c r="O160" s="24" t="e">
        <f>SUMIFS(#REF!,#REF!,$B160,#REF!,O$1)</f>
        <v>#REF!</v>
      </c>
      <c r="P160" s="24" t="e">
        <f>SUMIFS(#REF!,#REF!,$B160,#REF!,P$1)</f>
        <v>#REF!</v>
      </c>
      <c r="Q160" s="24" t="e">
        <f>SUMIFS(#REF!,#REF!,$B160,#REF!,Q$1)</f>
        <v>#REF!</v>
      </c>
      <c r="R160" s="24" t="e">
        <f>SUMIFS(#REF!,#REF!,$B160,#REF!,R$1)</f>
        <v>#REF!</v>
      </c>
      <c r="S160" s="24" t="e">
        <f>SUMIFS(#REF!,#REF!,$B160,#REF!,S$1)</f>
        <v>#REF!</v>
      </c>
      <c r="T160" s="24" t="e">
        <f>SUMIFS(#REF!,#REF!,$B160,#REF!,T$1)</f>
        <v>#REF!</v>
      </c>
      <c r="U160" s="24" t="e">
        <f>SUMIFS(#REF!,#REF!,$B160,#REF!,U$1)</f>
        <v>#REF!</v>
      </c>
      <c r="V160" s="24" t="e">
        <f>SUMIFS(#REF!,#REF!,$B160,#REF!,V$1)</f>
        <v>#REF!</v>
      </c>
      <c r="W160" s="24" t="e">
        <f>SUMIFS(#REF!,#REF!,$B160,#REF!,W$1)</f>
        <v>#REF!</v>
      </c>
      <c r="X160" s="24" t="e">
        <f>SUMIFS(#REF!,#REF!,$B160,#REF!,X$1)</f>
        <v>#REF!</v>
      </c>
      <c r="Y160" s="24" t="e">
        <f>SUMIFS(#REF!,#REF!,$B160,#REF!,Y$1)</f>
        <v>#REF!</v>
      </c>
      <c r="Z160" s="24" t="e">
        <f>SUMIFS(#REF!,#REF!,$B160,#REF!,Z$1)</f>
        <v>#REF!</v>
      </c>
      <c r="AA160" s="24" t="e">
        <f>SUMIFS(#REF!,#REF!,$B160,#REF!,AA$1)</f>
        <v>#REF!</v>
      </c>
      <c r="AB160" s="24" t="e">
        <f>SUMIFS(#REF!,#REF!,$B160,#REF!,AB$1)</f>
        <v>#REF!</v>
      </c>
      <c r="AC160" s="24" t="e">
        <f>SUMIFS(#REF!,#REF!,$B160,#REF!,AC$1)</f>
        <v>#REF!</v>
      </c>
      <c r="AD160" s="24" t="e">
        <f>SUMIFS(#REF!,#REF!,$B160,#REF!,AD$1)</f>
        <v>#REF!</v>
      </c>
      <c r="AE160" s="24" t="e">
        <f>SUMIFS(#REF!,#REF!,$B160,#REF!,AE$1)</f>
        <v>#REF!</v>
      </c>
      <c r="AF160" s="24" t="e">
        <f>SUMIFS(#REF!,#REF!,$B160,#REF!,AF$1)</f>
        <v>#REF!</v>
      </c>
      <c r="AG160" s="24" t="e">
        <f>SUMIFS(#REF!,#REF!,$B160,#REF!,AG$1)</f>
        <v>#REF!</v>
      </c>
      <c r="AH160" s="24" t="e">
        <f>SUMIFS(#REF!,#REF!,$B160,#REF!,AH$1)</f>
        <v>#REF!</v>
      </c>
      <c r="AI160" s="24" t="e">
        <f>SUMIFS(#REF!,#REF!,$B160,#REF!,AI$1)</f>
        <v>#REF!</v>
      </c>
      <c r="AJ160" s="24" t="e">
        <f>SUMIFS(#REF!,#REF!,$B160,#REF!,AJ$1)</f>
        <v>#REF!</v>
      </c>
      <c r="AK160" s="24" t="e">
        <f>SUMIFS(#REF!,#REF!,$B160,#REF!,AK$1)</f>
        <v>#REF!</v>
      </c>
      <c r="AL160" s="24" t="e">
        <f>SUMIFS(#REF!,#REF!,$B160,#REF!,AL$1)</f>
        <v>#REF!</v>
      </c>
      <c r="AM160" s="24" t="e">
        <f>SUMIFS(#REF!,#REF!,$B160,#REF!,AM$1)</f>
        <v>#REF!</v>
      </c>
      <c r="AN160" s="24" t="e">
        <f>SUMIFS(#REF!,#REF!,$B160,#REF!,AN$1)</f>
        <v>#REF!</v>
      </c>
      <c r="AO160" s="24" t="e">
        <f>SUMIFS(#REF!,#REF!,$B160,#REF!,AO$1)</f>
        <v>#REF!</v>
      </c>
      <c r="AP160" s="24" t="e">
        <f>SUMIFS(#REF!,#REF!,$B160,#REF!,AP$1)</f>
        <v>#REF!</v>
      </c>
      <c r="AQ160" s="24" t="e">
        <f>SUMIFS(#REF!,#REF!,$B160,#REF!,AQ$1)</f>
        <v>#REF!</v>
      </c>
      <c r="AR160" s="24" t="e">
        <f>SUMIFS(#REF!,#REF!,$B160,#REF!,AR$1)</f>
        <v>#REF!</v>
      </c>
      <c r="AS160" s="24" t="e">
        <f>SUMIFS(#REF!,#REF!,$B160,#REF!,AS$1)</f>
        <v>#REF!</v>
      </c>
      <c r="AT160" s="24" t="e">
        <f>SUMIFS(#REF!,#REF!,$B160,#REF!,AT$1)</f>
        <v>#REF!</v>
      </c>
      <c r="AU160" s="24" t="e">
        <f>SUMIFS(#REF!,#REF!,$B160,#REF!,AU$1)</f>
        <v>#REF!</v>
      </c>
      <c r="AV160" s="24" t="e">
        <f>SUMIFS(#REF!,#REF!,$B160,#REF!,AV$1)</f>
        <v>#REF!</v>
      </c>
      <c r="AW160" s="24" t="e">
        <f>SUMIFS(#REF!,#REF!,$B160,#REF!,AW$1)</f>
        <v>#REF!</v>
      </c>
      <c r="AX160" s="24" t="e">
        <f>SUMIFS(#REF!,#REF!,$B160,#REF!,AX$1)</f>
        <v>#REF!</v>
      </c>
      <c r="AY160" s="24" t="e">
        <f>SUMIFS(#REF!,#REF!,$B160,#REF!,AY$1)</f>
        <v>#REF!</v>
      </c>
      <c r="AZ160" s="24" t="e">
        <f>SUMIFS(#REF!,#REF!,$B160,#REF!,AZ$1)</f>
        <v>#REF!</v>
      </c>
      <c r="BA160" s="24" t="e">
        <f>SUMIFS(#REF!,#REF!,$B160,#REF!,BA$1)</f>
        <v>#REF!</v>
      </c>
      <c r="BB160" s="24" t="e">
        <f>SUMIFS(#REF!,#REF!,$B160,#REF!,BB$1)</f>
        <v>#REF!</v>
      </c>
      <c r="BC160" s="24" t="e">
        <f>SUMIFS(#REF!,#REF!,$B160,#REF!,BC$1)</f>
        <v>#REF!</v>
      </c>
      <c r="BD160" s="24" t="e">
        <f>SUMIFS(#REF!,#REF!,$B160,#REF!,BD$1)</f>
        <v>#REF!</v>
      </c>
      <c r="BE160" s="24" t="e">
        <f>SUMIFS(#REF!,#REF!,$B160,#REF!,BE$1)</f>
        <v>#REF!</v>
      </c>
      <c r="BF160" s="24" t="e">
        <f>SUMIFS(#REF!,#REF!,$B160,#REF!,BF$1)</f>
        <v>#REF!</v>
      </c>
      <c r="BG160" s="24" t="e">
        <f>SUMIFS(#REF!,#REF!,$B160,#REF!,BG$1)</f>
        <v>#REF!</v>
      </c>
      <c r="BH160" s="24" t="e">
        <f>SUMIFS(#REF!,#REF!,$B160,#REF!,BH$1)</f>
        <v>#REF!</v>
      </c>
      <c r="BI160" s="24" t="e">
        <f>SUMIFS(#REF!,#REF!,$B160,#REF!,BI$1)</f>
        <v>#REF!</v>
      </c>
      <c r="BJ160" s="24" t="e">
        <f>SUMIFS(#REF!,#REF!,$B160,#REF!,BJ$1)</f>
        <v>#REF!</v>
      </c>
      <c r="BK160" s="24" t="e">
        <f>SUMIFS(#REF!,#REF!,$B160,#REF!,BK$1)</f>
        <v>#REF!</v>
      </c>
      <c r="BL160" s="24" t="e">
        <f>SUMIFS(#REF!,#REF!,$B160,#REF!,BL$1)</f>
        <v>#REF!</v>
      </c>
      <c r="BM160" s="24" t="e">
        <f>SUMIFS(#REF!,#REF!,$B160,#REF!,BM$1)</f>
        <v>#REF!</v>
      </c>
      <c r="BN160" s="24" t="e">
        <f>SUMIFS(#REF!,#REF!,$B160,#REF!,BN$1)</f>
        <v>#REF!</v>
      </c>
      <c r="BO160" s="24" t="e">
        <f>SUMIFS(#REF!,#REF!,$B160,#REF!,BO$1)</f>
        <v>#REF!</v>
      </c>
      <c r="BP160" s="24" t="e">
        <f>SUMIFS(#REF!,#REF!,$B160,#REF!,BP$1)</f>
        <v>#REF!</v>
      </c>
      <c r="BQ160" s="24" t="e">
        <f>SUMIFS(#REF!,#REF!,$B160,#REF!,BQ$1)</f>
        <v>#REF!</v>
      </c>
      <c r="BR160" s="24" t="e">
        <f>SUMIFS(#REF!,#REF!,$B160,#REF!,BR$1)</f>
        <v>#REF!</v>
      </c>
      <c r="BS160" s="24" t="e">
        <f>SUMIFS(#REF!,#REF!,$B160,#REF!,BS$1)</f>
        <v>#REF!</v>
      </c>
      <c r="BT160" s="24" t="e">
        <f>SUMIFS(#REF!,#REF!,$B160,#REF!,BT$1)</f>
        <v>#REF!</v>
      </c>
      <c r="BU160" s="24" t="e">
        <f>SUMIFS(#REF!,#REF!,$B160,#REF!,BU$1)</f>
        <v>#REF!</v>
      </c>
      <c r="BV160" s="24" t="e">
        <f>SUMIFS(#REF!,#REF!,$B160,#REF!,BV$1)</f>
        <v>#REF!</v>
      </c>
      <c r="BW160" s="24" t="e">
        <f>SUMIFS(#REF!,#REF!,$B160,#REF!,BW$1)</f>
        <v>#REF!</v>
      </c>
      <c r="BX160" s="24" t="e">
        <f>SUMIFS(#REF!,#REF!,$B160,#REF!,BX$1)</f>
        <v>#REF!</v>
      </c>
      <c r="BY160" s="24" t="e">
        <f>SUMIFS(#REF!,#REF!,$B160,#REF!,BY$1)</f>
        <v>#REF!</v>
      </c>
      <c r="BZ160" s="24" t="e">
        <f>SUMIFS(#REF!,#REF!,$B160,#REF!,BZ$1)</f>
        <v>#REF!</v>
      </c>
      <c r="CA160" s="24" t="e">
        <f>SUMIFS(#REF!,#REF!,$B160,#REF!,CA$1)</f>
        <v>#REF!</v>
      </c>
      <c r="CB160" s="24" t="e">
        <f>SUMIFS(#REF!,#REF!,$B160,#REF!,CB$1)</f>
        <v>#REF!</v>
      </c>
      <c r="CC160" s="24" t="e">
        <f>SUMIFS(#REF!,#REF!,$B160,#REF!,CC$1)</f>
        <v>#REF!</v>
      </c>
      <c r="CD160" s="24" t="e">
        <f>SUMIFS(#REF!,#REF!,$B160,#REF!,CD$1)</f>
        <v>#REF!</v>
      </c>
      <c r="CE160" s="24" t="e">
        <f>SUMIFS(#REF!,#REF!,$B160,#REF!,CE$1)</f>
        <v>#REF!</v>
      </c>
      <c r="CF160" s="24" t="e">
        <f>SUMIFS(#REF!,#REF!,$B160,#REF!,CF$1)</f>
        <v>#REF!</v>
      </c>
      <c r="CG160" s="19" t="e">
        <f t="shared" si="2"/>
        <v>#REF!</v>
      </c>
    </row>
    <row r="161" spans="1:85" x14ac:dyDescent="0.45">
      <c r="A161" s="4" t="s">
        <v>1304</v>
      </c>
      <c r="B161" s="4" t="s">
        <v>1305</v>
      </c>
      <c r="C161" s="24" t="e">
        <f>SUMIFS(#REF!,#REF!,$B161,#REF!,C$1)</f>
        <v>#REF!</v>
      </c>
      <c r="D161" s="24" t="e">
        <f>SUMIFS(#REF!,#REF!,$B161,#REF!,D$1)</f>
        <v>#REF!</v>
      </c>
      <c r="E161" s="24" t="e">
        <f>SUMIFS(#REF!,#REF!,$B161,#REF!,E$1)</f>
        <v>#REF!</v>
      </c>
      <c r="F161" s="24" t="e">
        <f>SUMIFS(#REF!,#REF!,$B161,#REF!,F$1)</f>
        <v>#REF!</v>
      </c>
      <c r="G161" s="24" t="e">
        <f>SUMIFS(#REF!,#REF!,$B161,#REF!,G$1)</f>
        <v>#REF!</v>
      </c>
      <c r="H161" s="24" t="e">
        <f>SUMIFS(#REF!,#REF!,$B161,#REF!,H$1)</f>
        <v>#REF!</v>
      </c>
      <c r="I161" s="24" t="e">
        <f>SUMIFS(#REF!,#REF!,$B161,#REF!,I$1)</f>
        <v>#REF!</v>
      </c>
      <c r="J161" s="24" t="e">
        <f>SUMIFS(#REF!,#REF!,$B161,#REF!,J$1)</f>
        <v>#REF!</v>
      </c>
      <c r="K161" s="24" t="e">
        <f>SUMIFS(#REF!,#REF!,$B161,#REF!,K$1)</f>
        <v>#REF!</v>
      </c>
      <c r="L161" s="24" t="e">
        <f>SUMIFS(#REF!,#REF!,$B161,#REF!,L$1)</f>
        <v>#REF!</v>
      </c>
      <c r="M161" s="24" t="e">
        <f>SUMIFS(#REF!,#REF!,$B161,#REF!,M$1)</f>
        <v>#REF!</v>
      </c>
      <c r="N161" s="24" t="e">
        <f>SUMIFS(#REF!,#REF!,$B161,#REF!,N$1)</f>
        <v>#REF!</v>
      </c>
      <c r="O161" s="24" t="e">
        <f>SUMIFS(#REF!,#REF!,$B161,#REF!,O$1)</f>
        <v>#REF!</v>
      </c>
      <c r="P161" s="24" t="e">
        <f>SUMIFS(#REF!,#REF!,$B161,#REF!,P$1)</f>
        <v>#REF!</v>
      </c>
      <c r="Q161" s="24" t="e">
        <f>SUMIFS(#REF!,#REF!,$B161,#REF!,Q$1)</f>
        <v>#REF!</v>
      </c>
      <c r="R161" s="24" t="e">
        <f>SUMIFS(#REF!,#REF!,$B161,#REF!,R$1)</f>
        <v>#REF!</v>
      </c>
      <c r="S161" s="24" t="e">
        <f>SUMIFS(#REF!,#REF!,$B161,#REF!,S$1)</f>
        <v>#REF!</v>
      </c>
      <c r="T161" s="24" t="e">
        <f>SUMIFS(#REF!,#REF!,$B161,#REF!,T$1)</f>
        <v>#REF!</v>
      </c>
      <c r="U161" s="24" t="e">
        <f>SUMIFS(#REF!,#REF!,$B161,#REF!,U$1)</f>
        <v>#REF!</v>
      </c>
      <c r="V161" s="24" t="e">
        <f>SUMIFS(#REF!,#REF!,$B161,#REF!,V$1)</f>
        <v>#REF!</v>
      </c>
      <c r="W161" s="24" t="e">
        <f>SUMIFS(#REF!,#REF!,$B161,#REF!,W$1)</f>
        <v>#REF!</v>
      </c>
      <c r="X161" s="24" t="e">
        <f>SUMIFS(#REF!,#REF!,$B161,#REF!,X$1)</f>
        <v>#REF!</v>
      </c>
      <c r="Y161" s="24" t="e">
        <f>SUMIFS(#REF!,#REF!,$B161,#REF!,Y$1)</f>
        <v>#REF!</v>
      </c>
      <c r="Z161" s="24" t="e">
        <f>SUMIFS(#REF!,#REF!,$B161,#REF!,Z$1)</f>
        <v>#REF!</v>
      </c>
      <c r="AA161" s="24" t="e">
        <f>SUMIFS(#REF!,#REF!,$B161,#REF!,AA$1)</f>
        <v>#REF!</v>
      </c>
      <c r="AB161" s="24" t="e">
        <f>SUMIFS(#REF!,#REF!,$B161,#REF!,AB$1)</f>
        <v>#REF!</v>
      </c>
      <c r="AC161" s="24" t="e">
        <f>SUMIFS(#REF!,#REF!,$B161,#REF!,AC$1)</f>
        <v>#REF!</v>
      </c>
      <c r="AD161" s="24" t="e">
        <f>SUMIFS(#REF!,#REF!,$B161,#REF!,AD$1)</f>
        <v>#REF!</v>
      </c>
      <c r="AE161" s="24" t="e">
        <f>SUMIFS(#REF!,#REF!,$B161,#REF!,AE$1)</f>
        <v>#REF!</v>
      </c>
      <c r="AF161" s="24" t="e">
        <f>SUMIFS(#REF!,#REF!,$B161,#REF!,AF$1)</f>
        <v>#REF!</v>
      </c>
      <c r="AG161" s="24" t="e">
        <f>SUMIFS(#REF!,#REF!,$B161,#REF!,AG$1)</f>
        <v>#REF!</v>
      </c>
      <c r="AH161" s="24" t="e">
        <f>SUMIFS(#REF!,#REF!,$B161,#REF!,AH$1)</f>
        <v>#REF!</v>
      </c>
      <c r="AI161" s="24" t="e">
        <f>SUMIFS(#REF!,#REF!,$B161,#REF!,AI$1)</f>
        <v>#REF!</v>
      </c>
      <c r="AJ161" s="24" t="e">
        <f>SUMIFS(#REF!,#REF!,$B161,#REF!,AJ$1)</f>
        <v>#REF!</v>
      </c>
      <c r="AK161" s="24" t="e">
        <f>SUMIFS(#REF!,#REF!,$B161,#REF!,AK$1)</f>
        <v>#REF!</v>
      </c>
      <c r="AL161" s="24" t="e">
        <f>SUMIFS(#REF!,#REF!,$B161,#REF!,AL$1)</f>
        <v>#REF!</v>
      </c>
      <c r="AM161" s="24" t="e">
        <f>SUMIFS(#REF!,#REF!,$B161,#REF!,AM$1)</f>
        <v>#REF!</v>
      </c>
      <c r="AN161" s="24" t="e">
        <f>SUMIFS(#REF!,#REF!,$B161,#REF!,AN$1)</f>
        <v>#REF!</v>
      </c>
      <c r="AO161" s="24" t="e">
        <f>SUMIFS(#REF!,#REF!,$B161,#REF!,AO$1)</f>
        <v>#REF!</v>
      </c>
      <c r="AP161" s="24" t="e">
        <f>SUMIFS(#REF!,#REF!,$B161,#REF!,AP$1)</f>
        <v>#REF!</v>
      </c>
      <c r="AQ161" s="24" t="e">
        <f>SUMIFS(#REF!,#REF!,$B161,#REF!,AQ$1)</f>
        <v>#REF!</v>
      </c>
      <c r="AR161" s="24" t="e">
        <f>SUMIFS(#REF!,#REF!,$B161,#REF!,AR$1)</f>
        <v>#REF!</v>
      </c>
      <c r="AS161" s="24" t="e">
        <f>SUMIFS(#REF!,#REF!,$B161,#REF!,AS$1)</f>
        <v>#REF!</v>
      </c>
      <c r="AT161" s="24" t="e">
        <f>SUMIFS(#REF!,#REF!,$B161,#REF!,AT$1)</f>
        <v>#REF!</v>
      </c>
      <c r="AU161" s="24" t="e">
        <f>SUMIFS(#REF!,#REF!,$B161,#REF!,AU$1)</f>
        <v>#REF!</v>
      </c>
      <c r="AV161" s="24" t="e">
        <f>SUMIFS(#REF!,#REF!,$B161,#REF!,AV$1)</f>
        <v>#REF!</v>
      </c>
      <c r="AW161" s="24" t="e">
        <f>SUMIFS(#REF!,#REF!,$B161,#REF!,AW$1)</f>
        <v>#REF!</v>
      </c>
      <c r="AX161" s="24" t="e">
        <f>SUMIFS(#REF!,#REF!,$B161,#REF!,AX$1)</f>
        <v>#REF!</v>
      </c>
      <c r="AY161" s="24" t="e">
        <f>SUMIFS(#REF!,#REF!,$B161,#REF!,AY$1)</f>
        <v>#REF!</v>
      </c>
      <c r="AZ161" s="24" t="e">
        <f>SUMIFS(#REF!,#REF!,$B161,#REF!,AZ$1)</f>
        <v>#REF!</v>
      </c>
      <c r="BA161" s="24" t="e">
        <f>SUMIFS(#REF!,#REF!,$B161,#REF!,BA$1)</f>
        <v>#REF!</v>
      </c>
      <c r="BB161" s="24" t="e">
        <f>SUMIFS(#REF!,#REF!,$B161,#REF!,BB$1)</f>
        <v>#REF!</v>
      </c>
      <c r="BC161" s="24" t="e">
        <f>SUMIFS(#REF!,#REF!,$B161,#REF!,BC$1)</f>
        <v>#REF!</v>
      </c>
      <c r="BD161" s="24" t="e">
        <f>SUMIFS(#REF!,#REF!,$B161,#REF!,BD$1)</f>
        <v>#REF!</v>
      </c>
      <c r="BE161" s="24" t="e">
        <f>SUMIFS(#REF!,#REF!,$B161,#REF!,BE$1)</f>
        <v>#REF!</v>
      </c>
      <c r="BF161" s="24" t="e">
        <f>SUMIFS(#REF!,#REF!,$B161,#REF!,BF$1)</f>
        <v>#REF!</v>
      </c>
      <c r="BG161" s="24" t="e">
        <f>SUMIFS(#REF!,#REF!,$B161,#REF!,BG$1)</f>
        <v>#REF!</v>
      </c>
      <c r="BH161" s="24" t="e">
        <f>SUMIFS(#REF!,#REF!,$B161,#REF!,BH$1)</f>
        <v>#REF!</v>
      </c>
      <c r="BI161" s="24" t="e">
        <f>SUMIFS(#REF!,#REF!,$B161,#REF!,BI$1)</f>
        <v>#REF!</v>
      </c>
      <c r="BJ161" s="24" t="e">
        <f>SUMIFS(#REF!,#REF!,$B161,#REF!,BJ$1)</f>
        <v>#REF!</v>
      </c>
      <c r="BK161" s="24" t="e">
        <f>SUMIFS(#REF!,#REF!,$B161,#REF!,BK$1)</f>
        <v>#REF!</v>
      </c>
      <c r="BL161" s="24" t="e">
        <f>SUMIFS(#REF!,#REF!,$B161,#REF!,BL$1)</f>
        <v>#REF!</v>
      </c>
      <c r="BM161" s="24" t="e">
        <f>SUMIFS(#REF!,#REF!,$B161,#REF!,BM$1)</f>
        <v>#REF!</v>
      </c>
      <c r="BN161" s="24" t="e">
        <f>SUMIFS(#REF!,#REF!,$B161,#REF!,BN$1)</f>
        <v>#REF!</v>
      </c>
      <c r="BO161" s="24" t="e">
        <f>SUMIFS(#REF!,#REF!,$B161,#REF!,BO$1)</f>
        <v>#REF!</v>
      </c>
      <c r="BP161" s="24" t="e">
        <f>SUMIFS(#REF!,#REF!,$B161,#REF!,BP$1)</f>
        <v>#REF!</v>
      </c>
      <c r="BQ161" s="24" t="e">
        <f>SUMIFS(#REF!,#REF!,$B161,#REF!,BQ$1)</f>
        <v>#REF!</v>
      </c>
      <c r="BR161" s="24" t="e">
        <f>SUMIFS(#REF!,#REF!,$B161,#REF!,BR$1)</f>
        <v>#REF!</v>
      </c>
      <c r="BS161" s="24" t="e">
        <f>SUMIFS(#REF!,#REF!,$B161,#REF!,BS$1)</f>
        <v>#REF!</v>
      </c>
      <c r="BT161" s="24" t="e">
        <f>SUMIFS(#REF!,#REF!,$B161,#REF!,BT$1)</f>
        <v>#REF!</v>
      </c>
      <c r="BU161" s="24" t="e">
        <f>SUMIFS(#REF!,#REF!,$B161,#REF!,BU$1)</f>
        <v>#REF!</v>
      </c>
      <c r="BV161" s="24" t="e">
        <f>SUMIFS(#REF!,#REF!,$B161,#REF!,BV$1)</f>
        <v>#REF!</v>
      </c>
      <c r="BW161" s="24" t="e">
        <f>SUMIFS(#REF!,#REF!,$B161,#REF!,BW$1)</f>
        <v>#REF!</v>
      </c>
      <c r="BX161" s="24" t="e">
        <f>SUMIFS(#REF!,#REF!,$B161,#REF!,BX$1)</f>
        <v>#REF!</v>
      </c>
      <c r="BY161" s="24" t="e">
        <f>SUMIFS(#REF!,#REF!,$B161,#REF!,BY$1)</f>
        <v>#REF!</v>
      </c>
      <c r="BZ161" s="24" t="e">
        <f>SUMIFS(#REF!,#REF!,$B161,#REF!,BZ$1)</f>
        <v>#REF!</v>
      </c>
      <c r="CA161" s="24" t="e">
        <f>SUMIFS(#REF!,#REF!,$B161,#REF!,CA$1)</f>
        <v>#REF!</v>
      </c>
      <c r="CB161" s="24" t="e">
        <f>SUMIFS(#REF!,#REF!,$B161,#REF!,CB$1)</f>
        <v>#REF!</v>
      </c>
      <c r="CC161" s="24" t="e">
        <f>SUMIFS(#REF!,#REF!,$B161,#REF!,CC$1)</f>
        <v>#REF!</v>
      </c>
      <c r="CD161" s="24" t="e">
        <f>SUMIFS(#REF!,#REF!,$B161,#REF!,CD$1)</f>
        <v>#REF!</v>
      </c>
      <c r="CE161" s="24" t="e">
        <f>SUMIFS(#REF!,#REF!,$B161,#REF!,CE$1)</f>
        <v>#REF!</v>
      </c>
      <c r="CF161" s="24" t="e">
        <f>SUMIFS(#REF!,#REF!,$B161,#REF!,CF$1)</f>
        <v>#REF!</v>
      </c>
      <c r="CG161" s="19" t="e">
        <f t="shared" si="2"/>
        <v>#REF!</v>
      </c>
    </row>
    <row r="162" spans="1:85" x14ac:dyDescent="0.45">
      <c r="A162" s="4" t="s">
        <v>1306</v>
      </c>
      <c r="B162" s="4" t="s">
        <v>1307</v>
      </c>
      <c r="C162" s="24" t="e">
        <f>SUMIFS(#REF!,#REF!,$B162,#REF!,C$1)</f>
        <v>#REF!</v>
      </c>
      <c r="D162" s="24" t="e">
        <f>SUMIFS(#REF!,#REF!,$B162,#REF!,D$1)</f>
        <v>#REF!</v>
      </c>
      <c r="E162" s="24" t="e">
        <f>SUMIFS(#REF!,#REF!,$B162,#REF!,E$1)</f>
        <v>#REF!</v>
      </c>
      <c r="F162" s="24" t="e">
        <f>SUMIFS(#REF!,#REF!,$B162,#REF!,F$1)</f>
        <v>#REF!</v>
      </c>
      <c r="G162" s="24" t="e">
        <f>SUMIFS(#REF!,#REF!,$B162,#REF!,G$1)</f>
        <v>#REF!</v>
      </c>
      <c r="H162" s="24" t="e">
        <f>SUMIFS(#REF!,#REF!,$B162,#REF!,H$1)</f>
        <v>#REF!</v>
      </c>
      <c r="I162" s="24" t="e">
        <f>SUMIFS(#REF!,#REF!,$B162,#REF!,I$1)</f>
        <v>#REF!</v>
      </c>
      <c r="J162" s="24" t="e">
        <f>SUMIFS(#REF!,#REF!,$B162,#REF!,J$1)</f>
        <v>#REF!</v>
      </c>
      <c r="K162" s="24" t="e">
        <f>SUMIFS(#REF!,#REF!,$B162,#REF!,K$1)</f>
        <v>#REF!</v>
      </c>
      <c r="L162" s="24" t="e">
        <f>SUMIFS(#REF!,#REF!,$B162,#REF!,L$1)</f>
        <v>#REF!</v>
      </c>
      <c r="M162" s="24" t="e">
        <f>SUMIFS(#REF!,#REF!,$B162,#REF!,M$1)</f>
        <v>#REF!</v>
      </c>
      <c r="N162" s="24" t="e">
        <f>SUMIFS(#REF!,#REF!,$B162,#REF!,N$1)</f>
        <v>#REF!</v>
      </c>
      <c r="O162" s="24" t="e">
        <f>SUMIFS(#REF!,#REF!,$B162,#REF!,O$1)</f>
        <v>#REF!</v>
      </c>
      <c r="P162" s="24" t="e">
        <f>SUMIFS(#REF!,#REF!,$B162,#REF!,P$1)</f>
        <v>#REF!</v>
      </c>
      <c r="Q162" s="24" t="e">
        <f>SUMIFS(#REF!,#REF!,$B162,#REF!,Q$1)</f>
        <v>#REF!</v>
      </c>
      <c r="R162" s="24" t="e">
        <f>SUMIFS(#REF!,#REF!,$B162,#REF!,R$1)</f>
        <v>#REF!</v>
      </c>
      <c r="S162" s="24" t="e">
        <f>SUMIFS(#REF!,#REF!,$B162,#REF!,S$1)</f>
        <v>#REF!</v>
      </c>
      <c r="T162" s="24" t="e">
        <f>SUMIFS(#REF!,#REF!,$B162,#REF!,T$1)</f>
        <v>#REF!</v>
      </c>
      <c r="U162" s="24" t="e">
        <f>SUMIFS(#REF!,#REF!,$B162,#REF!,U$1)</f>
        <v>#REF!</v>
      </c>
      <c r="V162" s="24" t="e">
        <f>SUMIFS(#REF!,#REF!,$B162,#REF!,V$1)</f>
        <v>#REF!</v>
      </c>
      <c r="W162" s="24" t="e">
        <f>SUMIFS(#REF!,#REF!,$B162,#REF!,W$1)</f>
        <v>#REF!</v>
      </c>
      <c r="X162" s="24" t="e">
        <f>SUMIFS(#REF!,#REF!,$B162,#REF!,X$1)</f>
        <v>#REF!</v>
      </c>
      <c r="Y162" s="24" t="e">
        <f>SUMIFS(#REF!,#REF!,$B162,#REF!,Y$1)</f>
        <v>#REF!</v>
      </c>
      <c r="Z162" s="24" t="e">
        <f>SUMIFS(#REF!,#REF!,$B162,#REF!,Z$1)</f>
        <v>#REF!</v>
      </c>
      <c r="AA162" s="24" t="e">
        <f>SUMIFS(#REF!,#REF!,$B162,#REF!,AA$1)</f>
        <v>#REF!</v>
      </c>
      <c r="AB162" s="24" t="e">
        <f>SUMIFS(#REF!,#REF!,$B162,#REF!,AB$1)</f>
        <v>#REF!</v>
      </c>
      <c r="AC162" s="24" t="e">
        <f>SUMIFS(#REF!,#REF!,$B162,#REF!,AC$1)</f>
        <v>#REF!</v>
      </c>
      <c r="AD162" s="24" t="e">
        <f>SUMIFS(#REF!,#REF!,$B162,#REF!,AD$1)</f>
        <v>#REF!</v>
      </c>
      <c r="AE162" s="24" t="e">
        <f>SUMIFS(#REF!,#REF!,$B162,#REF!,AE$1)</f>
        <v>#REF!</v>
      </c>
      <c r="AF162" s="24" t="e">
        <f>SUMIFS(#REF!,#REF!,$B162,#REF!,AF$1)</f>
        <v>#REF!</v>
      </c>
      <c r="AG162" s="24" t="e">
        <f>SUMIFS(#REF!,#REF!,$B162,#REF!,AG$1)</f>
        <v>#REF!</v>
      </c>
      <c r="AH162" s="24" t="e">
        <f>SUMIFS(#REF!,#REF!,$B162,#REF!,AH$1)</f>
        <v>#REF!</v>
      </c>
      <c r="AI162" s="24" t="e">
        <f>SUMIFS(#REF!,#REF!,$B162,#REF!,AI$1)</f>
        <v>#REF!</v>
      </c>
      <c r="AJ162" s="24" t="e">
        <f>SUMIFS(#REF!,#REF!,$B162,#REF!,AJ$1)</f>
        <v>#REF!</v>
      </c>
      <c r="AK162" s="24" t="e">
        <f>SUMIFS(#REF!,#REF!,$B162,#REF!,AK$1)</f>
        <v>#REF!</v>
      </c>
      <c r="AL162" s="24" t="e">
        <f>SUMIFS(#REF!,#REF!,$B162,#REF!,AL$1)</f>
        <v>#REF!</v>
      </c>
      <c r="AM162" s="24" t="e">
        <f>SUMIFS(#REF!,#REF!,$B162,#REF!,AM$1)</f>
        <v>#REF!</v>
      </c>
      <c r="AN162" s="24" t="e">
        <f>SUMIFS(#REF!,#REF!,$B162,#REF!,AN$1)</f>
        <v>#REF!</v>
      </c>
      <c r="AO162" s="24" t="e">
        <f>SUMIFS(#REF!,#REF!,$B162,#REF!,AO$1)</f>
        <v>#REF!</v>
      </c>
      <c r="AP162" s="24" t="e">
        <f>SUMIFS(#REF!,#REF!,$B162,#REF!,AP$1)</f>
        <v>#REF!</v>
      </c>
      <c r="AQ162" s="24" t="e">
        <f>SUMIFS(#REF!,#REF!,$B162,#REF!,AQ$1)</f>
        <v>#REF!</v>
      </c>
      <c r="AR162" s="24" t="e">
        <f>SUMIFS(#REF!,#REF!,$B162,#REF!,AR$1)</f>
        <v>#REF!</v>
      </c>
      <c r="AS162" s="24" t="e">
        <f>SUMIFS(#REF!,#REF!,$B162,#REF!,AS$1)</f>
        <v>#REF!</v>
      </c>
      <c r="AT162" s="24" t="e">
        <f>SUMIFS(#REF!,#REF!,$B162,#REF!,AT$1)</f>
        <v>#REF!</v>
      </c>
      <c r="AU162" s="24" t="e">
        <f>SUMIFS(#REF!,#REF!,$B162,#REF!,AU$1)</f>
        <v>#REF!</v>
      </c>
      <c r="AV162" s="24" t="e">
        <f>SUMIFS(#REF!,#REF!,$B162,#REF!,AV$1)</f>
        <v>#REF!</v>
      </c>
      <c r="AW162" s="24" t="e">
        <f>SUMIFS(#REF!,#REF!,$B162,#REF!,AW$1)</f>
        <v>#REF!</v>
      </c>
      <c r="AX162" s="24" t="e">
        <f>SUMIFS(#REF!,#REF!,$B162,#REF!,AX$1)</f>
        <v>#REF!</v>
      </c>
      <c r="AY162" s="24" t="e">
        <f>SUMIFS(#REF!,#REF!,$B162,#REF!,AY$1)</f>
        <v>#REF!</v>
      </c>
      <c r="AZ162" s="24" t="e">
        <f>SUMIFS(#REF!,#REF!,$B162,#REF!,AZ$1)</f>
        <v>#REF!</v>
      </c>
      <c r="BA162" s="24" t="e">
        <f>SUMIFS(#REF!,#REF!,$B162,#REF!,BA$1)</f>
        <v>#REF!</v>
      </c>
      <c r="BB162" s="24" t="e">
        <f>SUMIFS(#REF!,#REF!,$B162,#REF!,BB$1)</f>
        <v>#REF!</v>
      </c>
      <c r="BC162" s="24" t="e">
        <f>SUMIFS(#REF!,#REF!,$B162,#REF!,BC$1)</f>
        <v>#REF!</v>
      </c>
      <c r="BD162" s="24" t="e">
        <f>SUMIFS(#REF!,#REF!,$B162,#REF!,BD$1)</f>
        <v>#REF!</v>
      </c>
      <c r="BE162" s="24" t="e">
        <f>SUMIFS(#REF!,#REF!,$B162,#REF!,BE$1)</f>
        <v>#REF!</v>
      </c>
      <c r="BF162" s="24" t="e">
        <f>SUMIFS(#REF!,#REF!,$B162,#REF!,BF$1)</f>
        <v>#REF!</v>
      </c>
      <c r="BG162" s="24" t="e">
        <f>SUMIFS(#REF!,#REF!,$B162,#REF!,BG$1)</f>
        <v>#REF!</v>
      </c>
      <c r="BH162" s="24" t="e">
        <f>SUMIFS(#REF!,#REF!,$B162,#REF!,BH$1)</f>
        <v>#REF!</v>
      </c>
      <c r="BI162" s="24" t="e">
        <f>SUMIFS(#REF!,#REF!,$B162,#REF!,BI$1)</f>
        <v>#REF!</v>
      </c>
      <c r="BJ162" s="24" t="e">
        <f>SUMIFS(#REF!,#REF!,$B162,#REF!,BJ$1)</f>
        <v>#REF!</v>
      </c>
      <c r="BK162" s="24" t="e">
        <f>SUMIFS(#REF!,#REF!,$B162,#REF!,BK$1)</f>
        <v>#REF!</v>
      </c>
      <c r="BL162" s="24" t="e">
        <f>SUMIFS(#REF!,#REF!,$B162,#REF!,BL$1)</f>
        <v>#REF!</v>
      </c>
      <c r="BM162" s="24" t="e">
        <f>SUMIFS(#REF!,#REF!,$B162,#REF!,BM$1)</f>
        <v>#REF!</v>
      </c>
      <c r="BN162" s="24" t="e">
        <f>SUMIFS(#REF!,#REF!,$B162,#REF!,BN$1)</f>
        <v>#REF!</v>
      </c>
      <c r="BO162" s="24" t="e">
        <f>SUMIFS(#REF!,#REF!,$B162,#REF!,BO$1)</f>
        <v>#REF!</v>
      </c>
      <c r="BP162" s="24" t="e">
        <f>SUMIFS(#REF!,#REF!,$B162,#REF!,BP$1)</f>
        <v>#REF!</v>
      </c>
      <c r="BQ162" s="24" t="e">
        <f>SUMIFS(#REF!,#REF!,$B162,#REF!,BQ$1)</f>
        <v>#REF!</v>
      </c>
      <c r="BR162" s="24" t="e">
        <f>SUMIFS(#REF!,#REF!,$B162,#REF!,BR$1)</f>
        <v>#REF!</v>
      </c>
      <c r="BS162" s="24" t="e">
        <f>SUMIFS(#REF!,#REF!,$B162,#REF!,BS$1)</f>
        <v>#REF!</v>
      </c>
      <c r="BT162" s="24" t="e">
        <f>SUMIFS(#REF!,#REF!,$B162,#REF!,BT$1)</f>
        <v>#REF!</v>
      </c>
      <c r="BU162" s="24" t="e">
        <f>SUMIFS(#REF!,#REF!,$B162,#REF!,BU$1)</f>
        <v>#REF!</v>
      </c>
      <c r="BV162" s="24" t="e">
        <f>SUMIFS(#REF!,#REF!,$B162,#REF!,BV$1)</f>
        <v>#REF!</v>
      </c>
      <c r="BW162" s="24" t="e">
        <f>SUMIFS(#REF!,#REF!,$B162,#REF!,BW$1)</f>
        <v>#REF!</v>
      </c>
      <c r="BX162" s="24" t="e">
        <f>SUMIFS(#REF!,#REF!,$B162,#REF!,BX$1)</f>
        <v>#REF!</v>
      </c>
      <c r="BY162" s="24" t="e">
        <f>SUMIFS(#REF!,#REF!,$B162,#REF!,BY$1)</f>
        <v>#REF!</v>
      </c>
      <c r="BZ162" s="24" t="e">
        <f>SUMIFS(#REF!,#REF!,$B162,#REF!,BZ$1)</f>
        <v>#REF!</v>
      </c>
      <c r="CA162" s="24" t="e">
        <f>SUMIFS(#REF!,#REF!,$B162,#REF!,CA$1)</f>
        <v>#REF!</v>
      </c>
      <c r="CB162" s="24" t="e">
        <f>SUMIFS(#REF!,#REF!,$B162,#REF!,CB$1)</f>
        <v>#REF!</v>
      </c>
      <c r="CC162" s="24" t="e">
        <f>SUMIFS(#REF!,#REF!,$B162,#REF!,CC$1)</f>
        <v>#REF!</v>
      </c>
      <c r="CD162" s="24" t="e">
        <f>SUMIFS(#REF!,#REF!,$B162,#REF!,CD$1)</f>
        <v>#REF!</v>
      </c>
      <c r="CE162" s="24" t="e">
        <f>SUMIFS(#REF!,#REF!,$B162,#REF!,CE$1)</f>
        <v>#REF!</v>
      </c>
      <c r="CF162" s="24" t="e">
        <f>SUMIFS(#REF!,#REF!,$B162,#REF!,CF$1)</f>
        <v>#REF!</v>
      </c>
      <c r="CG162" s="19" t="e">
        <f t="shared" si="2"/>
        <v>#REF!</v>
      </c>
    </row>
    <row r="163" spans="1:85" x14ac:dyDescent="0.45">
      <c r="A163" s="4" t="s">
        <v>1308</v>
      </c>
      <c r="B163" s="4" t="s">
        <v>1309</v>
      </c>
      <c r="C163" s="24" t="e">
        <f>SUMIFS(#REF!,#REF!,$B163,#REF!,C$1)</f>
        <v>#REF!</v>
      </c>
      <c r="D163" s="24" t="e">
        <f>SUMIFS(#REF!,#REF!,$B163,#REF!,D$1)</f>
        <v>#REF!</v>
      </c>
      <c r="E163" s="24" t="e">
        <f>SUMIFS(#REF!,#REF!,$B163,#REF!,E$1)</f>
        <v>#REF!</v>
      </c>
      <c r="F163" s="24" t="e">
        <f>SUMIFS(#REF!,#REF!,$B163,#REF!,F$1)</f>
        <v>#REF!</v>
      </c>
      <c r="G163" s="24" t="e">
        <f>SUMIFS(#REF!,#REF!,$B163,#REF!,G$1)</f>
        <v>#REF!</v>
      </c>
      <c r="H163" s="24" t="e">
        <f>SUMIFS(#REF!,#REF!,$B163,#REF!,H$1)</f>
        <v>#REF!</v>
      </c>
      <c r="I163" s="24" t="e">
        <f>SUMIFS(#REF!,#REF!,$B163,#REF!,I$1)</f>
        <v>#REF!</v>
      </c>
      <c r="J163" s="24" t="e">
        <f>SUMIFS(#REF!,#REF!,$B163,#REF!,J$1)</f>
        <v>#REF!</v>
      </c>
      <c r="K163" s="24" t="e">
        <f>SUMIFS(#REF!,#REF!,$B163,#REF!,K$1)</f>
        <v>#REF!</v>
      </c>
      <c r="L163" s="24" t="e">
        <f>SUMIFS(#REF!,#REF!,$B163,#REF!,L$1)</f>
        <v>#REF!</v>
      </c>
      <c r="M163" s="24" t="e">
        <f>SUMIFS(#REF!,#REF!,$B163,#REF!,M$1)</f>
        <v>#REF!</v>
      </c>
      <c r="N163" s="24" t="e">
        <f>SUMIFS(#REF!,#REF!,$B163,#REF!,N$1)</f>
        <v>#REF!</v>
      </c>
      <c r="O163" s="24" t="e">
        <f>SUMIFS(#REF!,#REF!,$B163,#REF!,O$1)</f>
        <v>#REF!</v>
      </c>
      <c r="P163" s="24" t="e">
        <f>SUMIFS(#REF!,#REF!,$B163,#REF!,P$1)</f>
        <v>#REF!</v>
      </c>
      <c r="Q163" s="24" t="e">
        <f>SUMIFS(#REF!,#REF!,$B163,#REF!,Q$1)</f>
        <v>#REF!</v>
      </c>
      <c r="R163" s="24" t="e">
        <f>SUMIFS(#REF!,#REF!,$B163,#REF!,R$1)</f>
        <v>#REF!</v>
      </c>
      <c r="S163" s="24" t="e">
        <f>SUMIFS(#REF!,#REF!,$B163,#REF!,S$1)</f>
        <v>#REF!</v>
      </c>
      <c r="T163" s="24" t="e">
        <f>SUMIFS(#REF!,#REF!,$B163,#REF!,T$1)</f>
        <v>#REF!</v>
      </c>
      <c r="U163" s="24" t="e">
        <f>SUMIFS(#REF!,#REF!,$B163,#REF!,U$1)</f>
        <v>#REF!</v>
      </c>
      <c r="V163" s="24" t="e">
        <f>SUMIFS(#REF!,#REF!,$B163,#REF!,V$1)</f>
        <v>#REF!</v>
      </c>
      <c r="W163" s="24" t="e">
        <f>SUMIFS(#REF!,#REF!,$B163,#REF!,W$1)</f>
        <v>#REF!</v>
      </c>
      <c r="X163" s="24" t="e">
        <f>SUMIFS(#REF!,#REF!,$B163,#REF!,X$1)</f>
        <v>#REF!</v>
      </c>
      <c r="Y163" s="24" t="e">
        <f>SUMIFS(#REF!,#REF!,$B163,#REF!,Y$1)</f>
        <v>#REF!</v>
      </c>
      <c r="Z163" s="24" t="e">
        <f>SUMIFS(#REF!,#REF!,$B163,#REF!,Z$1)</f>
        <v>#REF!</v>
      </c>
      <c r="AA163" s="24" t="e">
        <f>SUMIFS(#REF!,#REF!,$B163,#REF!,AA$1)</f>
        <v>#REF!</v>
      </c>
      <c r="AB163" s="24" t="e">
        <f>SUMIFS(#REF!,#REF!,$B163,#REF!,AB$1)</f>
        <v>#REF!</v>
      </c>
      <c r="AC163" s="24" t="e">
        <f>SUMIFS(#REF!,#REF!,$B163,#REF!,AC$1)</f>
        <v>#REF!</v>
      </c>
      <c r="AD163" s="24" t="e">
        <f>SUMIFS(#REF!,#REF!,$B163,#REF!,AD$1)</f>
        <v>#REF!</v>
      </c>
      <c r="AE163" s="24" t="e">
        <f>SUMIFS(#REF!,#REF!,$B163,#REF!,AE$1)</f>
        <v>#REF!</v>
      </c>
      <c r="AF163" s="24" t="e">
        <f>SUMIFS(#REF!,#REF!,$B163,#REF!,AF$1)</f>
        <v>#REF!</v>
      </c>
      <c r="AG163" s="24" t="e">
        <f>SUMIFS(#REF!,#REF!,$B163,#REF!,AG$1)</f>
        <v>#REF!</v>
      </c>
      <c r="AH163" s="24" t="e">
        <f>SUMIFS(#REF!,#REF!,$B163,#REF!,AH$1)</f>
        <v>#REF!</v>
      </c>
      <c r="AI163" s="24" t="e">
        <f>SUMIFS(#REF!,#REF!,$B163,#REF!,AI$1)</f>
        <v>#REF!</v>
      </c>
      <c r="AJ163" s="24" t="e">
        <f>SUMIFS(#REF!,#REF!,$B163,#REF!,AJ$1)</f>
        <v>#REF!</v>
      </c>
      <c r="AK163" s="24" t="e">
        <f>SUMIFS(#REF!,#REF!,$B163,#REF!,AK$1)</f>
        <v>#REF!</v>
      </c>
      <c r="AL163" s="24" t="e">
        <f>SUMIFS(#REF!,#REF!,$B163,#REF!,AL$1)</f>
        <v>#REF!</v>
      </c>
      <c r="AM163" s="24" t="e">
        <f>SUMIFS(#REF!,#REF!,$B163,#REF!,AM$1)</f>
        <v>#REF!</v>
      </c>
      <c r="AN163" s="24" t="e">
        <f>SUMIFS(#REF!,#REF!,$B163,#REF!,AN$1)</f>
        <v>#REF!</v>
      </c>
      <c r="AO163" s="24" t="e">
        <f>SUMIFS(#REF!,#REF!,$B163,#REF!,AO$1)</f>
        <v>#REF!</v>
      </c>
      <c r="AP163" s="24" t="e">
        <f>SUMIFS(#REF!,#REF!,$B163,#REF!,AP$1)</f>
        <v>#REF!</v>
      </c>
      <c r="AQ163" s="24" t="e">
        <f>SUMIFS(#REF!,#REF!,$B163,#REF!,AQ$1)</f>
        <v>#REF!</v>
      </c>
      <c r="AR163" s="24" t="e">
        <f>SUMIFS(#REF!,#REF!,$B163,#REF!,AR$1)</f>
        <v>#REF!</v>
      </c>
      <c r="AS163" s="24" t="e">
        <f>SUMIFS(#REF!,#REF!,$B163,#REF!,AS$1)</f>
        <v>#REF!</v>
      </c>
      <c r="AT163" s="24" t="e">
        <f>SUMIFS(#REF!,#REF!,$B163,#REF!,AT$1)</f>
        <v>#REF!</v>
      </c>
      <c r="AU163" s="24" t="e">
        <f>SUMIFS(#REF!,#REF!,$B163,#REF!,AU$1)</f>
        <v>#REF!</v>
      </c>
      <c r="AV163" s="24" t="e">
        <f>SUMIFS(#REF!,#REF!,$B163,#REF!,AV$1)</f>
        <v>#REF!</v>
      </c>
      <c r="AW163" s="24" t="e">
        <f>SUMIFS(#REF!,#REF!,$B163,#REF!,AW$1)</f>
        <v>#REF!</v>
      </c>
      <c r="AX163" s="24" t="e">
        <f>SUMIFS(#REF!,#REF!,$B163,#REF!,AX$1)</f>
        <v>#REF!</v>
      </c>
      <c r="AY163" s="24" t="e">
        <f>SUMIFS(#REF!,#REF!,$B163,#REF!,AY$1)</f>
        <v>#REF!</v>
      </c>
      <c r="AZ163" s="24" t="e">
        <f>SUMIFS(#REF!,#REF!,$B163,#REF!,AZ$1)</f>
        <v>#REF!</v>
      </c>
      <c r="BA163" s="24" t="e">
        <f>SUMIFS(#REF!,#REF!,$B163,#REF!,BA$1)</f>
        <v>#REF!</v>
      </c>
      <c r="BB163" s="24" t="e">
        <f>SUMIFS(#REF!,#REF!,$B163,#REF!,BB$1)</f>
        <v>#REF!</v>
      </c>
      <c r="BC163" s="24" t="e">
        <f>SUMIFS(#REF!,#REF!,$B163,#REF!,BC$1)</f>
        <v>#REF!</v>
      </c>
      <c r="BD163" s="24" t="e">
        <f>SUMIFS(#REF!,#REF!,$B163,#REF!,BD$1)</f>
        <v>#REF!</v>
      </c>
      <c r="BE163" s="24" t="e">
        <f>SUMIFS(#REF!,#REF!,$B163,#REF!,BE$1)</f>
        <v>#REF!</v>
      </c>
      <c r="BF163" s="24" t="e">
        <f>SUMIFS(#REF!,#REF!,$B163,#REF!,BF$1)</f>
        <v>#REF!</v>
      </c>
      <c r="BG163" s="24" t="e">
        <f>SUMIFS(#REF!,#REF!,$B163,#REF!,BG$1)</f>
        <v>#REF!</v>
      </c>
      <c r="BH163" s="24" t="e">
        <f>SUMIFS(#REF!,#REF!,$B163,#REF!,BH$1)</f>
        <v>#REF!</v>
      </c>
      <c r="BI163" s="24" t="e">
        <f>SUMIFS(#REF!,#REF!,$B163,#REF!,BI$1)</f>
        <v>#REF!</v>
      </c>
      <c r="BJ163" s="24" t="e">
        <f>SUMIFS(#REF!,#REF!,$B163,#REF!,BJ$1)</f>
        <v>#REF!</v>
      </c>
      <c r="BK163" s="24" t="e">
        <f>SUMIFS(#REF!,#REF!,$B163,#REF!,BK$1)</f>
        <v>#REF!</v>
      </c>
      <c r="BL163" s="24" t="e">
        <f>SUMIFS(#REF!,#REF!,$B163,#REF!,BL$1)</f>
        <v>#REF!</v>
      </c>
      <c r="BM163" s="24" t="e">
        <f>SUMIFS(#REF!,#REF!,$B163,#REF!,BM$1)</f>
        <v>#REF!</v>
      </c>
      <c r="BN163" s="24" t="e">
        <f>SUMIFS(#REF!,#REF!,$B163,#REF!,BN$1)</f>
        <v>#REF!</v>
      </c>
      <c r="BO163" s="24" t="e">
        <f>SUMIFS(#REF!,#REF!,$B163,#REF!,BO$1)</f>
        <v>#REF!</v>
      </c>
      <c r="BP163" s="24" t="e">
        <f>SUMIFS(#REF!,#REF!,$B163,#REF!,BP$1)</f>
        <v>#REF!</v>
      </c>
      <c r="BQ163" s="24" t="e">
        <f>SUMIFS(#REF!,#REF!,$B163,#REF!,BQ$1)</f>
        <v>#REF!</v>
      </c>
      <c r="BR163" s="24" t="e">
        <f>SUMIFS(#REF!,#REF!,$B163,#REF!,BR$1)</f>
        <v>#REF!</v>
      </c>
      <c r="BS163" s="24" t="e">
        <f>SUMIFS(#REF!,#REF!,$B163,#REF!,BS$1)</f>
        <v>#REF!</v>
      </c>
      <c r="BT163" s="24" t="e">
        <f>SUMIFS(#REF!,#REF!,$B163,#REF!,BT$1)</f>
        <v>#REF!</v>
      </c>
      <c r="BU163" s="24" t="e">
        <f>SUMIFS(#REF!,#REF!,$B163,#REF!,BU$1)</f>
        <v>#REF!</v>
      </c>
      <c r="BV163" s="24" t="e">
        <f>SUMIFS(#REF!,#REF!,$B163,#REF!,BV$1)</f>
        <v>#REF!</v>
      </c>
      <c r="BW163" s="24" t="e">
        <f>SUMIFS(#REF!,#REF!,$B163,#REF!,BW$1)</f>
        <v>#REF!</v>
      </c>
      <c r="BX163" s="24" t="e">
        <f>SUMIFS(#REF!,#REF!,$B163,#REF!,BX$1)</f>
        <v>#REF!</v>
      </c>
      <c r="BY163" s="24" t="e">
        <f>SUMIFS(#REF!,#REF!,$B163,#REF!,BY$1)</f>
        <v>#REF!</v>
      </c>
      <c r="BZ163" s="24" t="e">
        <f>SUMIFS(#REF!,#REF!,$B163,#REF!,BZ$1)</f>
        <v>#REF!</v>
      </c>
      <c r="CA163" s="24" t="e">
        <f>SUMIFS(#REF!,#REF!,$B163,#REF!,CA$1)</f>
        <v>#REF!</v>
      </c>
      <c r="CB163" s="24" t="e">
        <f>SUMIFS(#REF!,#REF!,$B163,#REF!,CB$1)</f>
        <v>#REF!</v>
      </c>
      <c r="CC163" s="24" t="e">
        <f>SUMIFS(#REF!,#REF!,$B163,#REF!,CC$1)</f>
        <v>#REF!</v>
      </c>
      <c r="CD163" s="24" t="e">
        <f>SUMIFS(#REF!,#REF!,$B163,#REF!,CD$1)</f>
        <v>#REF!</v>
      </c>
      <c r="CE163" s="24" t="e">
        <f>SUMIFS(#REF!,#REF!,$B163,#REF!,CE$1)</f>
        <v>#REF!</v>
      </c>
      <c r="CF163" s="24" t="e">
        <f>SUMIFS(#REF!,#REF!,$B163,#REF!,CF$1)</f>
        <v>#REF!</v>
      </c>
      <c r="CG163" s="19" t="e">
        <f t="shared" si="2"/>
        <v>#REF!</v>
      </c>
    </row>
    <row r="164" spans="1:85" x14ac:dyDescent="0.45">
      <c r="A164" s="4" t="s">
        <v>1310</v>
      </c>
      <c r="B164" s="4" t="s">
        <v>1311</v>
      </c>
      <c r="C164" s="24" t="e">
        <f>SUMIFS(#REF!,#REF!,$B164,#REF!,C$1)</f>
        <v>#REF!</v>
      </c>
      <c r="D164" s="24" t="e">
        <f>SUMIFS(#REF!,#REF!,$B164,#REF!,D$1)</f>
        <v>#REF!</v>
      </c>
      <c r="E164" s="24" t="e">
        <f>SUMIFS(#REF!,#REF!,$B164,#REF!,E$1)</f>
        <v>#REF!</v>
      </c>
      <c r="F164" s="24" t="e">
        <f>SUMIFS(#REF!,#REF!,$B164,#REF!,F$1)</f>
        <v>#REF!</v>
      </c>
      <c r="G164" s="24" t="e">
        <f>SUMIFS(#REF!,#REF!,$B164,#REF!,G$1)</f>
        <v>#REF!</v>
      </c>
      <c r="H164" s="24" t="e">
        <f>SUMIFS(#REF!,#REF!,$B164,#REF!,H$1)</f>
        <v>#REF!</v>
      </c>
      <c r="I164" s="24" t="e">
        <f>SUMIFS(#REF!,#REF!,$B164,#REF!,I$1)</f>
        <v>#REF!</v>
      </c>
      <c r="J164" s="24" t="e">
        <f>SUMIFS(#REF!,#REF!,$B164,#REF!,J$1)</f>
        <v>#REF!</v>
      </c>
      <c r="K164" s="24" t="e">
        <f>SUMIFS(#REF!,#REF!,$B164,#REF!,K$1)</f>
        <v>#REF!</v>
      </c>
      <c r="L164" s="24" t="e">
        <f>SUMIFS(#REF!,#REF!,$B164,#REF!,L$1)</f>
        <v>#REF!</v>
      </c>
      <c r="M164" s="24" t="e">
        <f>SUMIFS(#REF!,#REF!,$B164,#REF!,M$1)</f>
        <v>#REF!</v>
      </c>
      <c r="N164" s="24" t="e">
        <f>SUMIFS(#REF!,#REF!,$B164,#REF!,N$1)</f>
        <v>#REF!</v>
      </c>
      <c r="O164" s="24" t="e">
        <f>SUMIFS(#REF!,#REF!,$B164,#REF!,O$1)</f>
        <v>#REF!</v>
      </c>
      <c r="P164" s="24" t="e">
        <f>SUMIFS(#REF!,#REF!,$B164,#REF!,P$1)</f>
        <v>#REF!</v>
      </c>
      <c r="Q164" s="24" t="e">
        <f>SUMIFS(#REF!,#REF!,$B164,#REF!,Q$1)</f>
        <v>#REF!</v>
      </c>
      <c r="R164" s="24" t="e">
        <f>SUMIFS(#REF!,#REF!,$B164,#REF!,R$1)</f>
        <v>#REF!</v>
      </c>
      <c r="S164" s="24" t="e">
        <f>SUMIFS(#REF!,#REF!,$B164,#REF!,S$1)</f>
        <v>#REF!</v>
      </c>
      <c r="T164" s="24" t="e">
        <f>SUMIFS(#REF!,#REF!,$B164,#REF!,T$1)</f>
        <v>#REF!</v>
      </c>
      <c r="U164" s="24" t="e">
        <f>SUMIFS(#REF!,#REF!,$B164,#REF!,U$1)</f>
        <v>#REF!</v>
      </c>
      <c r="V164" s="24" t="e">
        <f>SUMIFS(#REF!,#REF!,$B164,#REF!,V$1)</f>
        <v>#REF!</v>
      </c>
      <c r="W164" s="24" t="e">
        <f>SUMIFS(#REF!,#REF!,$B164,#REF!,W$1)</f>
        <v>#REF!</v>
      </c>
      <c r="X164" s="24" t="e">
        <f>SUMIFS(#REF!,#REF!,$B164,#REF!,X$1)</f>
        <v>#REF!</v>
      </c>
      <c r="Y164" s="24" t="e">
        <f>SUMIFS(#REF!,#REF!,$B164,#REF!,Y$1)</f>
        <v>#REF!</v>
      </c>
      <c r="Z164" s="24" t="e">
        <f>SUMIFS(#REF!,#REF!,$B164,#REF!,Z$1)</f>
        <v>#REF!</v>
      </c>
      <c r="AA164" s="24" t="e">
        <f>SUMIFS(#REF!,#REF!,$B164,#REF!,AA$1)</f>
        <v>#REF!</v>
      </c>
      <c r="AB164" s="24" t="e">
        <f>SUMIFS(#REF!,#REF!,$B164,#REF!,AB$1)</f>
        <v>#REF!</v>
      </c>
      <c r="AC164" s="24" t="e">
        <f>SUMIFS(#REF!,#REF!,$B164,#REF!,AC$1)</f>
        <v>#REF!</v>
      </c>
      <c r="AD164" s="24" t="e">
        <f>SUMIFS(#REF!,#REF!,$B164,#REF!,AD$1)</f>
        <v>#REF!</v>
      </c>
      <c r="AE164" s="24" t="e">
        <f>SUMIFS(#REF!,#REF!,$B164,#REF!,AE$1)</f>
        <v>#REF!</v>
      </c>
      <c r="AF164" s="24" t="e">
        <f>SUMIFS(#REF!,#REF!,$B164,#REF!,AF$1)</f>
        <v>#REF!</v>
      </c>
      <c r="AG164" s="24" t="e">
        <f>SUMIFS(#REF!,#REF!,$B164,#REF!,AG$1)</f>
        <v>#REF!</v>
      </c>
      <c r="AH164" s="24" t="e">
        <f>SUMIFS(#REF!,#REF!,$B164,#REF!,AH$1)</f>
        <v>#REF!</v>
      </c>
      <c r="AI164" s="24" t="e">
        <f>SUMIFS(#REF!,#REF!,$B164,#REF!,AI$1)</f>
        <v>#REF!</v>
      </c>
      <c r="AJ164" s="24" t="e">
        <f>SUMIFS(#REF!,#REF!,$B164,#REF!,AJ$1)</f>
        <v>#REF!</v>
      </c>
      <c r="AK164" s="24" t="e">
        <f>SUMIFS(#REF!,#REF!,$B164,#REF!,AK$1)</f>
        <v>#REF!</v>
      </c>
      <c r="AL164" s="24" t="e">
        <f>SUMIFS(#REF!,#REF!,$B164,#REF!,AL$1)</f>
        <v>#REF!</v>
      </c>
      <c r="AM164" s="24" t="e">
        <f>SUMIFS(#REF!,#REF!,$B164,#REF!,AM$1)</f>
        <v>#REF!</v>
      </c>
      <c r="AN164" s="24" t="e">
        <f>SUMIFS(#REF!,#REF!,$B164,#REF!,AN$1)</f>
        <v>#REF!</v>
      </c>
      <c r="AO164" s="24" t="e">
        <f>SUMIFS(#REF!,#REF!,$B164,#REF!,AO$1)</f>
        <v>#REF!</v>
      </c>
      <c r="AP164" s="24" t="e">
        <f>SUMIFS(#REF!,#REF!,$B164,#REF!,AP$1)</f>
        <v>#REF!</v>
      </c>
      <c r="AQ164" s="24" t="e">
        <f>SUMIFS(#REF!,#REF!,$B164,#REF!,AQ$1)</f>
        <v>#REF!</v>
      </c>
      <c r="AR164" s="24" t="e">
        <f>SUMIFS(#REF!,#REF!,$B164,#REF!,AR$1)</f>
        <v>#REF!</v>
      </c>
      <c r="AS164" s="24" t="e">
        <f>SUMIFS(#REF!,#REF!,$B164,#REF!,AS$1)</f>
        <v>#REF!</v>
      </c>
      <c r="AT164" s="24" t="e">
        <f>SUMIFS(#REF!,#REF!,$B164,#REF!,AT$1)</f>
        <v>#REF!</v>
      </c>
      <c r="AU164" s="24" t="e">
        <f>SUMIFS(#REF!,#REF!,$B164,#REF!,AU$1)</f>
        <v>#REF!</v>
      </c>
      <c r="AV164" s="24" t="e">
        <f>SUMIFS(#REF!,#REF!,$B164,#REF!,AV$1)</f>
        <v>#REF!</v>
      </c>
      <c r="AW164" s="24" t="e">
        <f>SUMIFS(#REF!,#REF!,$B164,#REF!,AW$1)</f>
        <v>#REF!</v>
      </c>
      <c r="AX164" s="24" t="e">
        <f>SUMIFS(#REF!,#REF!,$B164,#REF!,AX$1)</f>
        <v>#REF!</v>
      </c>
      <c r="AY164" s="24" t="e">
        <f>SUMIFS(#REF!,#REF!,$B164,#REF!,AY$1)</f>
        <v>#REF!</v>
      </c>
      <c r="AZ164" s="24" t="e">
        <f>SUMIFS(#REF!,#REF!,$B164,#REF!,AZ$1)</f>
        <v>#REF!</v>
      </c>
      <c r="BA164" s="24" t="e">
        <f>SUMIFS(#REF!,#REF!,$B164,#REF!,BA$1)</f>
        <v>#REF!</v>
      </c>
      <c r="BB164" s="24" t="e">
        <f>SUMIFS(#REF!,#REF!,$B164,#REF!,BB$1)</f>
        <v>#REF!</v>
      </c>
      <c r="BC164" s="24" t="e">
        <f>SUMIFS(#REF!,#REF!,$B164,#REF!,BC$1)</f>
        <v>#REF!</v>
      </c>
      <c r="BD164" s="24" t="e">
        <f>SUMIFS(#REF!,#REF!,$B164,#REF!,BD$1)</f>
        <v>#REF!</v>
      </c>
      <c r="BE164" s="24" t="e">
        <f>SUMIFS(#REF!,#REF!,$B164,#REF!,BE$1)</f>
        <v>#REF!</v>
      </c>
      <c r="BF164" s="24" t="e">
        <f>SUMIFS(#REF!,#REF!,$B164,#REF!,BF$1)</f>
        <v>#REF!</v>
      </c>
      <c r="BG164" s="24" t="e">
        <f>SUMIFS(#REF!,#REF!,$B164,#REF!,BG$1)</f>
        <v>#REF!</v>
      </c>
      <c r="BH164" s="24" t="e">
        <f>SUMIFS(#REF!,#REF!,$B164,#REF!,BH$1)</f>
        <v>#REF!</v>
      </c>
      <c r="BI164" s="24" t="e">
        <f>SUMIFS(#REF!,#REF!,$B164,#REF!,BI$1)</f>
        <v>#REF!</v>
      </c>
      <c r="BJ164" s="24" t="e">
        <f>SUMIFS(#REF!,#REF!,$B164,#REF!,BJ$1)</f>
        <v>#REF!</v>
      </c>
      <c r="BK164" s="24" t="e">
        <f>SUMIFS(#REF!,#REF!,$B164,#REF!,BK$1)</f>
        <v>#REF!</v>
      </c>
      <c r="BL164" s="24" t="e">
        <f>SUMIFS(#REF!,#REF!,$B164,#REF!,BL$1)</f>
        <v>#REF!</v>
      </c>
      <c r="BM164" s="24" t="e">
        <f>SUMIFS(#REF!,#REF!,$B164,#REF!,BM$1)</f>
        <v>#REF!</v>
      </c>
      <c r="BN164" s="24" t="e">
        <f>SUMIFS(#REF!,#REF!,$B164,#REF!,BN$1)</f>
        <v>#REF!</v>
      </c>
      <c r="BO164" s="24" t="e">
        <f>SUMIFS(#REF!,#REF!,$B164,#REF!,BO$1)</f>
        <v>#REF!</v>
      </c>
      <c r="BP164" s="24" t="e">
        <f>SUMIFS(#REF!,#REF!,$B164,#REF!,BP$1)</f>
        <v>#REF!</v>
      </c>
      <c r="BQ164" s="24" t="e">
        <f>SUMIFS(#REF!,#REF!,$B164,#REF!,BQ$1)</f>
        <v>#REF!</v>
      </c>
      <c r="BR164" s="24" t="e">
        <f>SUMIFS(#REF!,#REF!,$B164,#REF!,BR$1)</f>
        <v>#REF!</v>
      </c>
      <c r="BS164" s="24" t="e">
        <f>SUMIFS(#REF!,#REF!,$B164,#REF!,BS$1)</f>
        <v>#REF!</v>
      </c>
      <c r="BT164" s="24" t="e">
        <f>SUMIFS(#REF!,#REF!,$B164,#REF!,BT$1)</f>
        <v>#REF!</v>
      </c>
      <c r="BU164" s="24" t="e">
        <f>SUMIFS(#REF!,#REF!,$B164,#REF!,BU$1)</f>
        <v>#REF!</v>
      </c>
      <c r="BV164" s="24" t="e">
        <f>SUMIFS(#REF!,#REF!,$B164,#REF!,BV$1)</f>
        <v>#REF!</v>
      </c>
      <c r="BW164" s="24" t="e">
        <f>SUMIFS(#REF!,#REF!,$B164,#REF!,BW$1)</f>
        <v>#REF!</v>
      </c>
      <c r="BX164" s="24" t="e">
        <f>SUMIFS(#REF!,#REF!,$B164,#REF!,BX$1)</f>
        <v>#REF!</v>
      </c>
      <c r="BY164" s="24" t="e">
        <f>SUMIFS(#REF!,#REF!,$B164,#REF!,BY$1)</f>
        <v>#REF!</v>
      </c>
      <c r="BZ164" s="24" t="e">
        <f>SUMIFS(#REF!,#REF!,$B164,#REF!,BZ$1)</f>
        <v>#REF!</v>
      </c>
      <c r="CA164" s="24" t="e">
        <f>SUMIFS(#REF!,#REF!,$B164,#REF!,CA$1)</f>
        <v>#REF!</v>
      </c>
      <c r="CB164" s="24" t="e">
        <f>SUMIFS(#REF!,#REF!,$B164,#REF!,CB$1)</f>
        <v>#REF!</v>
      </c>
      <c r="CC164" s="24" t="e">
        <f>SUMIFS(#REF!,#REF!,$B164,#REF!,CC$1)</f>
        <v>#REF!</v>
      </c>
      <c r="CD164" s="24" t="e">
        <f>SUMIFS(#REF!,#REF!,$B164,#REF!,CD$1)</f>
        <v>#REF!</v>
      </c>
      <c r="CE164" s="24" t="e">
        <f>SUMIFS(#REF!,#REF!,$B164,#REF!,CE$1)</f>
        <v>#REF!</v>
      </c>
      <c r="CF164" s="24" t="e">
        <f>SUMIFS(#REF!,#REF!,$B164,#REF!,CF$1)</f>
        <v>#REF!</v>
      </c>
      <c r="CG164" s="19" t="e">
        <f t="shared" si="2"/>
        <v>#REF!</v>
      </c>
    </row>
    <row r="165" spans="1:85" x14ac:dyDescent="0.45">
      <c r="A165" s="4" t="s">
        <v>1312</v>
      </c>
      <c r="B165" s="4" t="s">
        <v>1313</v>
      </c>
      <c r="C165" s="24" t="e">
        <f>SUMIFS(#REF!,#REF!,$B165,#REF!,C$1)</f>
        <v>#REF!</v>
      </c>
      <c r="D165" s="24" t="e">
        <f>SUMIFS(#REF!,#REF!,$B165,#REF!,D$1)</f>
        <v>#REF!</v>
      </c>
      <c r="E165" s="24" t="e">
        <f>SUMIFS(#REF!,#REF!,$B165,#REF!,E$1)</f>
        <v>#REF!</v>
      </c>
      <c r="F165" s="24" t="e">
        <f>SUMIFS(#REF!,#REF!,$B165,#REF!,F$1)</f>
        <v>#REF!</v>
      </c>
      <c r="G165" s="24" t="e">
        <f>SUMIFS(#REF!,#REF!,$B165,#REF!,G$1)</f>
        <v>#REF!</v>
      </c>
      <c r="H165" s="24" t="e">
        <f>SUMIFS(#REF!,#REF!,$B165,#REF!,H$1)</f>
        <v>#REF!</v>
      </c>
      <c r="I165" s="24" t="e">
        <f>SUMIFS(#REF!,#REF!,$B165,#REF!,I$1)</f>
        <v>#REF!</v>
      </c>
      <c r="J165" s="24" t="e">
        <f>SUMIFS(#REF!,#REF!,$B165,#REF!,J$1)</f>
        <v>#REF!</v>
      </c>
      <c r="K165" s="24" t="e">
        <f>SUMIFS(#REF!,#REF!,$B165,#REF!,K$1)</f>
        <v>#REF!</v>
      </c>
      <c r="L165" s="24" t="e">
        <f>SUMIFS(#REF!,#REF!,$B165,#REF!,L$1)</f>
        <v>#REF!</v>
      </c>
      <c r="M165" s="24" t="e">
        <f>SUMIFS(#REF!,#REF!,$B165,#REF!,M$1)</f>
        <v>#REF!</v>
      </c>
      <c r="N165" s="24" t="e">
        <f>SUMIFS(#REF!,#REF!,$B165,#REF!,N$1)</f>
        <v>#REF!</v>
      </c>
      <c r="O165" s="24" t="e">
        <f>SUMIFS(#REF!,#REF!,$B165,#REF!,O$1)</f>
        <v>#REF!</v>
      </c>
      <c r="P165" s="24" t="e">
        <f>SUMIFS(#REF!,#REF!,$B165,#REF!,P$1)</f>
        <v>#REF!</v>
      </c>
      <c r="Q165" s="24" t="e">
        <f>SUMIFS(#REF!,#REF!,$B165,#REF!,Q$1)</f>
        <v>#REF!</v>
      </c>
      <c r="R165" s="24" t="e">
        <f>SUMIFS(#REF!,#REF!,$B165,#REF!,R$1)</f>
        <v>#REF!</v>
      </c>
      <c r="S165" s="24" t="e">
        <f>SUMIFS(#REF!,#REF!,$B165,#REF!,S$1)</f>
        <v>#REF!</v>
      </c>
      <c r="T165" s="24" t="e">
        <f>SUMIFS(#REF!,#REF!,$B165,#REF!,T$1)</f>
        <v>#REF!</v>
      </c>
      <c r="U165" s="24" t="e">
        <f>SUMIFS(#REF!,#REF!,$B165,#REF!,U$1)</f>
        <v>#REF!</v>
      </c>
      <c r="V165" s="24" t="e">
        <f>SUMIFS(#REF!,#REF!,$B165,#REF!,V$1)</f>
        <v>#REF!</v>
      </c>
      <c r="W165" s="24" t="e">
        <f>SUMIFS(#REF!,#REF!,$B165,#REF!,W$1)</f>
        <v>#REF!</v>
      </c>
      <c r="X165" s="24" t="e">
        <f>SUMIFS(#REF!,#REF!,$B165,#REF!,X$1)</f>
        <v>#REF!</v>
      </c>
      <c r="Y165" s="24" t="e">
        <f>SUMIFS(#REF!,#REF!,$B165,#REF!,Y$1)</f>
        <v>#REF!</v>
      </c>
      <c r="Z165" s="24" t="e">
        <f>SUMIFS(#REF!,#REF!,$B165,#REF!,Z$1)</f>
        <v>#REF!</v>
      </c>
      <c r="AA165" s="24" t="e">
        <f>SUMIFS(#REF!,#REF!,$B165,#REF!,AA$1)</f>
        <v>#REF!</v>
      </c>
      <c r="AB165" s="24" t="e">
        <f>SUMIFS(#REF!,#REF!,$B165,#REF!,AB$1)</f>
        <v>#REF!</v>
      </c>
      <c r="AC165" s="24" t="e">
        <f>SUMIFS(#REF!,#REF!,$B165,#REF!,AC$1)</f>
        <v>#REF!</v>
      </c>
      <c r="AD165" s="24" t="e">
        <f>SUMIFS(#REF!,#REF!,$B165,#REF!,AD$1)</f>
        <v>#REF!</v>
      </c>
      <c r="AE165" s="24" t="e">
        <f>SUMIFS(#REF!,#REF!,$B165,#REF!,AE$1)</f>
        <v>#REF!</v>
      </c>
      <c r="AF165" s="24" t="e">
        <f>SUMIFS(#REF!,#REF!,$B165,#REF!,AF$1)</f>
        <v>#REF!</v>
      </c>
      <c r="AG165" s="24" t="e">
        <f>SUMIFS(#REF!,#REF!,$B165,#REF!,AG$1)</f>
        <v>#REF!</v>
      </c>
      <c r="AH165" s="24" t="e">
        <f>SUMIFS(#REF!,#REF!,$B165,#REF!,AH$1)</f>
        <v>#REF!</v>
      </c>
      <c r="AI165" s="24" t="e">
        <f>SUMIFS(#REF!,#REF!,$B165,#REF!,AI$1)</f>
        <v>#REF!</v>
      </c>
      <c r="AJ165" s="24" t="e">
        <f>SUMIFS(#REF!,#REF!,$B165,#REF!,AJ$1)</f>
        <v>#REF!</v>
      </c>
      <c r="AK165" s="24" t="e">
        <f>SUMIFS(#REF!,#REF!,$B165,#REF!,AK$1)</f>
        <v>#REF!</v>
      </c>
      <c r="AL165" s="24" t="e">
        <f>SUMIFS(#REF!,#REF!,$B165,#REF!,AL$1)</f>
        <v>#REF!</v>
      </c>
      <c r="AM165" s="24" t="e">
        <f>SUMIFS(#REF!,#REF!,$B165,#REF!,AM$1)</f>
        <v>#REF!</v>
      </c>
      <c r="AN165" s="24" t="e">
        <f>SUMIFS(#REF!,#REF!,$B165,#REF!,AN$1)</f>
        <v>#REF!</v>
      </c>
      <c r="AO165" s="24" t="e">
        <f>SUMIFS(#REF!,#REF!,$B165,#REF!,AO$1)</f>
        <v>#REF!</v>
      </c>
      <c r="AP165" s="24" t="e">
        <f>SUMIFS(#REF!,#REF!,$B165,#REF!,AP$1)</f>
        <v>#REF!</v>
      </c>
      <c r="AQ165" s="24" t="e">
        <f>SUMIFS(#REF!,#REF!,$B165,#REF!,AQ$1)</f>
        <v>#REF!</v>
      </c>
      <c r="AR165" s="24" t="e">
        <f>SUMIFS(#REF!,#REF!,$B165,#REF!,AR$1)</f>
        <v>#REF!</v>
      </c>
      <c r="AS165" s="24" t="e">
        <f>SUMIFS(#REF!,#REF!,$B165,#REF!,AS$1)</f>
        <v>#REF!</v>
      </c>
      <c r="AT165" s="24" t="e">
        <f>SUMIFS(#REF!,#REF!,$B165,#REF!,AT$1)</f>
        <v>#REF!</v>
      </c>
      <c r="AU165" s="24" t="e">
        <f>SUMIFS(#REF!,#REF!,$B165,#REF!,AU$1)</f>
        <v>#REF!</v>
      </c>
      <c r="AV165" s="24" t="e">
        <f>SUMIFS(#REF!,#REF!,$B165,#REF!,AV$1)</f>
        <v>#REF!</v>
      </c>
      <c r="AW165" s="24" t="e">
        <f>SUMIFS(#REF!,#REF!,$B165,#REF!,AW$1)</f>
        <v>#REF!</v>
      </c>
      <c r="AX165" s="24" t="e">
        <f>SUMIFS(#REF!,#REF!,$B165,#REF!,AX$1)</f>
        <v>#REF!</v>
      </c>
      <c r="AY165" s="24" t="e">
        <f>SUMIFS(#REF!,#REF!,$B165,#REF!,AY$1)</f>
        <v>#REF!</v>
      </c>
      <c r="AZ165" s="24" t="e">
        <f>SUMIFS(#REF!,#REF!,$B165,#REF!,AZ$1)</f>
        <v>#REF!</v>
      </c>
      <c r="BA165" s="24" t="e">
        <f>SUMIFS(#REF!,#REF!,$B165,#REF!,BA$1)</f>
        <v>#REF!</v>
      </c>
      <c r="BB165" s="24" t="e">
        <f>SUMIFS(#REF!,#REF!,$B165,#REF!,BB$1)</f>
        <v>#REF!</v>
      </c>
      <c r="BC165" s="24" t="e">
        <f>SUMIFS(#REF!,#REF!,$B165,#REF!,BC$1)</f>
        <v>#REF!</v>
      </c>
      <c r="BD165" s="24" t="e">
        <f>SUMIFS(#REF!,#REF!,$B165,#REF!,BD$1)</f>
        <v>#REF!</v>
      </c>
      <c r="BE165" s="24" t="e">
        <f>SUMIFS(#REF!,#REF!,$B165,#REF!,BE$1)</f>
        <v>#REF!</v>
      </c>
      <c r="BF165" s="24" t="e">
        <f>SUMIFS(#REF!,#REF!,$B165,#REF!,BF$1)</f>
        <v>#REF!</v>
      </c>
      <c r="BG165" s="24" t="e">
        <f>SUMIFS(#REF!,#REF!,$B165,#REF!,BG$1)</f>
        <v>#REF!</v>
      </c>
      <c r="BH165" s="24" t="e">
        <f>SUMIFS(#REF!,#REF!,$B165,#REF!,BH$1)</f>
        <v>#REF!</v>
      </c>
      <c r="BI165" s="24" t="e">
        <f>SUMIFS(#REF!,#REF!,$B165,#REF!,BI$1)</f>
        <v>#REF!</v>
      </c>
      <c r="BJ165" s="24" t="e">
        <f>SUMIFS(#REF!,#REF!,$B165,#REF!,BJ$1)</f>
        <v>#REF!</v>
      </c>
      <c r="BK165" s="24" t="e">
        <f>SUMIFS(#REF!,#REF!,$B165,#REF!,BK$1)</f>
        <v>#REF!</v>
      </c>
      <c r="BL165" s="24" t="e">
        <f>SUMIFS(#REF!,#REF!,$B165,#REF!,BL$1)</f>
        <v>#REF!</v>
      </c>
      <c r="BM165" s="24" t="e">
        <f>SUMIFS(#REF!,#REF!,$B165,#REF!,BM$1)</f>
        <v>#REF!</v>
      </c>
      <c r="BN165" s="24" t="e">
        <f>SUMIFS(#REF!,#REF!,$B165,#REF!,BN$1)</f>
        <v>#REF!</v>
      </c>
      <c r="BO165" s="24" t="e">
        <f>SUMIFS(#REF!,#REF!,$B165,#REF!,BO$1)</f>
        <v>#REF!</v>
      </c>
      <c r="BP165" s="24" t="e">
        <f>SUMIFS(#REF!,#REF!,$B165,#REF!,BP$1)</f>
        <v>#REF!</v>
      </c>
      <c r="BQ165" s="24" t="e">
        <f>SUMIFS(#REF!,#REF!,$B165,#REF!,BQ$1)</f>
        <v>#REF!</v>
      </c>
      <c r="BR165" s="24" t="e">
        <f>SUMIFS(#REF!,#REF!,$B165,#REF!,BR$1)</f>
        <v>#REF!</v>
      </c>
      <c r="BS165" s="24" t="e">
        <f>SUMIFS(#REF!,#REF!,$B165,#REF!,BS$1)</f>
        <v>#REF!</v>
      </c>
      <c r="BT165" s="24" t="e">
        <f>SUMIFS(#REF!,#REF!,$B165,#REF!,BT$1)</f>
        <v>#REF!</v>
      </c>
      <c r="BU165" s="24" t="e">
        <f>SUMIFS(#REF!,#REF!,$B165,#REF!,BU$1)</f>
        <v>#REF!</v>
      </c>
      <c r="BV165" s="24" t="e">
        <f>SUMIFS(#REF!,#REF!,$B165,#REF!,BV$1)</f>
        <v>#REF!</v>
      </c>
      <c r="BW165" s="24" t="e">
        <f>SUMIFS(#REF!,#REF!,$B165,#REF!,BW$1)</f>
        <v>#REF!</v>
      </c>
      <c r="BX165" s="24" t="e">
        <f>SUMIFS(#REF!,#REF!,$B165,#REF!,BX$1)</f>
        <v>#REF!</v>
      </c>
      <c r="BY165" s="24" t="e">
        <f>SUMIFS(#REF!,#REF!,$B165,#REF!,BY$1)</f>
        <v>#REF!</v>
      </c>
      <c r="BZ165" s="24" t="e">
        <f>SUMIFS(#REF!,#REF!,$B165,#REF!,BZ$1)</f>
        <v>#REF!</v>
      </c>
      <c r="CA165" s="24" t="e">
        <f>SUMIFS(#REF!,#REF!,$B165,#REF!,CA$1)</f>
        <v>#REF!</v>
      </c>
      <c r="CB165" s="24" t="e">
        <f>SUMIFS(#REF!,#REF!,$B165,#REF!,CB$1)</f>
        <v>#REF!</v>
      </c>
      <c r="CC165" s="24" t="e">
        <f>SUMIFS(#REF!,#REF!,$B165,#REF!,CC$1)</f>
        <v>#REF!</v>
      </c>
      <c r="CD165" s="24" t="e">
        <f>SUMIFS(#REF!,#REF!,$B165,#REF!,CD$1)</f>
        <v>#REF!</v>
      </c>
      <c r="CE165" s="24" t="e">
        <f>SUMIFS(#REF!,#REF!,$B165,#REF!,CE$1)</f>
        <v>#REF!</v>
      </c>
      <c r="CF165" s="24" t="e">
        <f>SUMIFS(#REF!,#REF!,$B165,#REF!,CF$1)</f>
        <v>#REF!</v>
      </c>
      <c r="CG165" s="19" t="e">
        <f t="shared" si="2"/>
        <v>#REF!</v>
      </c>
    </row>
    <row r="166" spans="1:85" x14ac:dyDescent="0.45">
      <c r="A166" s="4" t="s">
        <v>1314</v>
      </c>
      <c r="B166" s="4" t="s">
        <v>1315</v>
      </c>
      <c r="C166" s="24" t="e">
        <f>SUMIFS(#REF!,#REF!,$B166,#REF!,C$1)</f>
        <v>#REF!</v>
      </c>
      <c r="D166" s="24" t="e">
        <f>SUMIFS(#REF!,#REF!,$B166,#REF!,D$1)</f>
        <v>#REF!</v>
      </c>
      <c r="E166" s="24" t="e">
        <f>SUMIFS(#REF!,#REF!,$B166,#REF!,E$1)</f>
        <v>#REF!</v>
      </c>
      <c r="F166" s="24" t="e">
        <f>SUMIFS(#REF!,#REF!,$B166,#REF!,F$1)</f>
        <v>#REF!</v>
      </c>
      <c r="G166" s="24" t="e">
        <f>SUMIFS(#REF!,#REF!,$B166,#REF!,G$1)</f>
        <v>#REF!</v>
      </c>
      <c r="H166" s="24" t="e">
        <f>SUMIFS(#REF!,#REF!,$B166,#REF!,H$1)</f>
        <v>#REF!</v>
      </c>
      <c r="I166" s="24" t="e">
        <f>SUMIFS(#REF!,#REF!,$B166,#REF!,I$1)</f>
        <v>#REF!</v>
      </c>
      <c r="J166" s="24" t="e">
        <f>SUMIFS(#REF!,#REF!,$B166,#REF!,J$1)</f>
        <v>#REF!</v>
      </c>
      <c r="K166" s="24" t="e">
        <f>SUMIFS(#REF!,#REF!,$B166,#REF!,K$1)</f>
        <v>#REF!</v>
      </c>
      <c r="L166" s="24" t="e">
        <f>SUMIFS(#REF!,#REF!,$B166,#REF!,L$1)</f>
        <v>#REF!</v>
      </c>
      <c r="M166" s="24" t="e">
        <f>SUMIFS(#REF!,#REF!,$B166,#REF!,M$1)</f>
        <v>#REF!</v>
      </c>
      <c r="N166" s="24" t="e">
        <f>SUMIFS(#REF!,#REF!,$B166,#REF!,N$1)</f>
        <v>#REF!</v>
      </c>
      <c r="O166" s="24" t="e">
        <f>SUMIFS(#REF!,#REF!,$B166,#REF!,O$1)</f>
        <v>#REF!</v>
      </c>
      <c r="P166" s="24" t="e">
        <f>SUMIFS(#REF!,#REF!,$B166,#REF!,P$1)</f>
        <v>#REF!</v>
      </c>
      <c r="Q166" s="24" t="e">
        <f>SUMIFS(#REF!,#REF!,$B166,#REF!,Q$1)</f>
        <v>#REF!</v>
      </c>
      <c r="R166" s="24" t="e">
        <f>SUMIFS(#REF!,#REF!,$B166,#REF!,R$1)</f>
        <v>#REF!</v>
      </c>
      <c r="S166" s="24" t="e">
        <f>SUMIFS(#REF!,#REF!,$B166,#REF!,S$1)</f>
        <v>#REF!</v>
      </c>
      <c r="T166" s="24" t="e">
        <f>SUMIFS(#REF!,#REF!,$B166,#REF!,T$1)</f>
        <v>#REF!</v>
      </c>
      <c r="U166" s="24" t="e">
        <f>SUMIFS(#REF!,#REF!,$B166,#REF!,U$1)</f>
        <v>#REF!</v>
      </c>
      <c r="V166" s="24" t="e">
        <f>SUMIFS(#REF!,#REF!,$B166,#REF!,V$1)</f>
        <v>#REF!</v>
      </c>
      <c r="W166" s="24" t="e">
        <f>SUMIFS(#REF!,#REF!,$B166,#REF!,W$1)</f>
        <v>#REF!</v>
      </c>
      <c r="X166" s="24" t="e">
        <f>SUMIFS(#REF!,#REF!,$B166,#REF!,X$1)</f>
        <v>#REF!</v>
      </c>
      <c r="Y166" s="24" t="e">
        <f>SUMIFS(#REF!,#REF!,$B166,#REF!,Y$1)</f>
        <v>#REF!</v>
      </c>
      <c r="Z166" s="24" t="e">
        <f>SUMIFS(#REF!,#REF!,$B166,#REF!,Z$1)</f>
        <v>#REF!</v>
      </c>
      <c r="AA166" s="24" t="e">
        <f>SUMIFS(#REF!,#REF!,$B166,#REF!,AA$1)</f>
        <v>#REF!</v>
      </c>
      <c r="AB166" s="24" t="e">
        <f>SUMIFS(#REF!,#REF!,$B166,#REF!,AB$1)</f>
        <v>#REF!</v>
      </c>
      <c r="AC166" s="24" t="e">
        <f>SUMIFS(#REF!,#REF!,$B166,#REF!,AC$1)</f>
        <v>#REF!</v>
      </c>
      <c r="AD166" s="24" t="e">
        <f>SUMIFS(#REF!,#REF!,$B166,#REF!,AD$1)</f>
        <v>#REF!</v>
      </c>
      <c r="AE166" s="24" t="e">
        <f>SUMIFS(#REF!,#REF!,$B166,#REF!,AE$1)</f>
        <v>#REF!</v>
      </c>
      <c r="AF166" s="24" t="e">
        <f>SUMIFS(#REF!,#REF!,$B166,#REF!,AF$1)</f>
        <v>#REF!</v>
      </c>
      <c r="AG166" s="24" t="e">
        <f>SUMIFS(#REF!,#REF!,$B166,#REF!,AG$1)</f>
        <v>#REF!</v>
      </c>
      <c r="AH166" s="24" t="e">
        <f>SUMIFS(#REF!,#REF!,$B166,#REF!,AH$1)</f>
        <v>#REF!</v>
      </c>
      <c r="AI166" s="24" t="e">
        <f>SUMIFS(#REF!,#REF!,$B166,#REF!,AI$1)</f>
        <v>#REF!</v>
      </c>
      <c r="AJ166" s="24" t="e">
        <f>SUMIFS(#REF!,#REF!,$B166,#REF!,AJ$1)</f>
        <v>#REF!</v>
      </c>
      <c r="AK166" s="24" t="e">
        <f>SUMIFS(#REF!,#REF!,$B166,#REF!,AK$1)</f>
        <v>#REF!</v>
      </c>
      <c r="AL166" s="24" t="e">
        <f>SUMIFS(#REF!,#REF!,$B166,#REF!,AL$1)</f>
        <v>#REF!</v>
      </c>
      <c r="AM166" s="24" t="e">
        <f>SUMIFS(#REF!,#REF!,$B166,#REF!,AM$1)</f>
        <v>#REF!</v>
      </c>
      <c r="AN166" s="24" t="e">
        <f>SUMIFS(#REF!,#REF!,$B166,#REF!,AN$1)</f>
        <v>#REF!</v>
      </c>
      <c r="AO166" s="24" t="e">
        <f>SUMIFS(#REF!,#REF!,$B166,#REF!,AO$1)</f>
        <v>#REF!</v>
      </c>
      <c r="AP166" s="24" t="e">
        <f>SUMIFS(#REF!,#REF!,$B166,#REF!,AP$1)</f>
        <v>#REF!</v>
      </c>
      <c r="AQ166" s="24" t="e">
        <f>SUMIFS(#REF!,#REF!,$B166,#REF!,AQ$1)</f>
        <v>#REF!</v>
      </c>
      <c r="AR166" s="24" t="e">
        <f>SUMIFS(#REF!,#REF!,$B166,#REF!,AR$1)</f>
        <v>#REF!</v>
      </c>
      <c r="AS166" s="24" t="e">
        <f>SUMIFS(#REF!,#REF!,$B166,#REF!,AS$1)</f>
        <v>#REF!</v>
      </c>
      <c r="AT166" s="24" t="e">
        <f>SUMIFS(#REF!,#REF!,$B166,#REF!,AT$1)</f>
        <v>#REF!</v>
      </c>
      <c r="AU166" s="24" t="e">
        <f>SUMIFS(#REF!,#REF!,$B166,#REF!,AU$1)</f>
        <v>#REF!</v>
      </c>
      <c r="AV166" s="24" t="e">
        <f>SUMIFS(#REF!,#REF!,$B166,#REF!,AV$1)</f>
        <v>#REF!</v>
      </c>
      <c r="AW166" s="24" t="e">
        <f>SUMIFS(#REF!,#REF!,$B166,#REF!,AW$1)</f>
        <v>#REF!</v>
      </c>
      <c r="AX166" s="24" t="e">
        <f>SUMIFS(#REF!,#REF!,$B166,#REF!,AX$1)</f>
        <v>#REF!</v>
      </c>
      <c r="AY166" s="24" t="e">
        <f>SUMIFS(#REF!,#REF!,$B166,#REF!,AY$1)</f>
        <v>#REF!</v>
      </c>
      <c r="AZ166" s="24" t="e">
        <f>SUMIFS(#REF!,#REF!,$B166,#REF!,AZ$1)</f>
        <v>#REF!</v>
      </c>
      <c r="BA166" s="24" t="e">
        <f>SUMIFS(#REF!,#REF!,$B166,#REF!,BA$1)</f>
        <v>#REF!</v>
      </c>
      <c r="BB166" s="24" t="e">
        <f>SUMIFS(#REF!,#REF!,$B166,#REF!,BB$1)</f>
        <v>#REF!</v>
      </c>
      <c r="BC166" s="24" t="e">
        <f>SUMIFS(#REF!,#REF!,$B166,#REF!,BC$1)</f>
        <v>#REF!</v>
      </c>
      <c r="BD166" s="24" t="e">
        <f>SUMIFS(#REF!,#REF!,$B166,#REF!,BD$1)</f>
        <v>#REF!</v>
      </c>
      <c r="BE166" s="24" t="e">
        <f>SUMIFS(#REF!,#REF!,$B166,#REF!,BE$1)</f>
        <v>#REF!</v>
      </c>
      <c r="BF166" s="24" t="e">
        <f>SUMIFS(#REF!,#REF!,$B166,#REF!,BF$1)</f>
        <v>#REF!</v>
      </c>
      <c r="BG166" s="24" t="e">
        <f>SUMIFS(#REF!,#REF!,$B166,#REF!,BG$1)</f>
        <v>#REF!</v>
      </c>
      <c r="BH166" s="24" t="e">
        <f>SUMIFS(#REF!,#REF!,$B166,#REF!,BH$1)</f>
        <v>#REF!</v>
      </c>
      <c r="BI166" s="24" t="e">
        <f>SUMIFS(#REF!,#REF!,$B166,#REF!,BI$1)</f>
        <v>#REF!</v>
      </c>
      <c r="BJ166" s="24" t="e">
        <f>SUMIFS(#REF!,#REF!,$B166,#REF!,BJ$1)</f>
        <v>#REF!</v>
      </c>
      <c r="BK166" s="24" t="e">
        <f>SUMIFS(#REF!,#REF!,$B166,#REF!,BK$1)</f>
        <v>#REF!</v>
      </c>
      <c r="BL166" s="24" t="e">
        <f>SUMIFS(#REF!,#REF!,$B166,#REF!,BL$1)</f>
        <v>#REF!</v>
      </c>
      <c r="BM166" s="24" t="e">
        <f>SUMIFS(#REF!,#REF!,$B166,#REF!,BM$1)</f>
        <v>#REF!</v>
      </c>
      <c r="BN166" s="24" t="e">
        <f>SUMIFS(#REF!,#REF!,$B166,#REF!,BN$1)</f>
        <v>#REF!</v>
      </c>
      <c r="BO166" s="24" t="e">
        <f>SUMIFS(#REF!,#REF!,$B166,#REF!,BO$1)</f>
        <v>#REF!</v>
      </c>
      <c r="BP166" s="24" t="e">
        <f>SUMIFS(#REF!,#REF!,$B166,#REF!,BP$1)</f>
        <v>#REF!</v>
      </c>
      <c r="BQ166" s="24" t="e">
        <f>SUMIFS(#REF!,#REF!,$B166,#REF!,BQ$1)</f>
        <v>#REF!</v>
      </c>
      <c r="BR166" s="24" t="e">
        <f>SUMIFS(#REF!,#REF!,$B166,#REF!,BR$1)</f>
        <v>#REF!</v>
      </c>
      <c r="BS166" s="24" t="e">
        <f>SUMIFS(#REF!,#REF!,$B166,#REF!,BS$1)</f>
        <v>#REF!</v>
      </c>
      <c r="BT166" s="24" t="e">
        <f>SUMIFS(#REF!,#REF!,$B166,#REF!,BT$1)</f>
        <v>#REF!</v>
      </c>
      <c r="BU166" s="24" t="e">
        <f>SUMIFS(#REF!,#REF!,$B166,#REF!,BU$1)</f>
        <v>#REF!</v>
      </c>
      <c r="BV166" s="24" t="e">
        <f>SUMIFS(#REF!,#REF!,$B166,#REF!,BV$1)</f>
        <v>#REF!</v>
      </c>
      <c r="BW166" s="24" t="e">
        <f>SUMIFS(#REF!,#REF!,$B166,#REF!,BW$1)</f>
        <v>#REF!</v>
      </c>
      <c r="BX166" s="24" t="e">
        <f>SUMIFS(#REF!,#REF!,$B166,#REF!,BX$1)</f>
        <v>#REF!</v>
      </c>
      <c r="BY166" s="24" t="e">
        <f>SUMIFS(#REF!,#REF!,$B166,#REF!,BY$1)</f>
        <v>#REF!</v>
      </c>
      <c r="BZ166" s="24" t="e">
        <f>SUMIFS(#REF!,#REF!,$B166,#REF!,BZ$1)</f>
        <v>#REF!</v>
      </c>
      <c r="CA166" s="24" t="e">
        <f>SUMIFS(#REF!,#REF!,$B166,#REF!,CA$1)</f>
        <v>#REF!</v>
      </c>
      <c r="CB166" s="24" t="e">
        <f>SUMIFS(#REF!,#REF!,$B166,#REF!,CB$1)</f>
        <v>#REF!</v>
      </c>
      <c r="CC166" s="24" t="e">
        <f>SUMIFS(#REF!,#REF!,$B166,#REF!,CC$1)</f>
        <v>#REF!</v>
      </c>
      <c r="CD166" s="24" t="e">
        <f>SUMIFS(#REF!,#REF!,$B166,#REF!,CD$1)</f>
        <v>#REF!</v>
      </c>
      <c r="CE166" s="24" t="e">
        <f>SUMIFS(#REF!,#REF!,$B166,#REF!,CE$1)</f>
        <v>#REF!</v>
      </c>
      <c r="CF166" s="24" t="e">
        <f>SUMIFS(#REF!,#REF!,$B166,#REF!,CF$1)</f>
        <v>#REF!</v>
      </c>
      <c r="CG166" s="19" t="e">
        <f t="shared" si="2"/>
        <v>#REF!</v>
      </c>
    </row>
    <row r="167" spans="1:85" x14ac:dyDescent="0.45">
      <c r="A167" s="4" t="s">
        <v>1316</v>
      </c>
      <c r="B167" s="4" t="s">
        <v>1317</v>
      </c>
      <c r="C167" s="24" t="e">
        <f>SUMIFS(#REF!,#REF!,$B167,#REF!,C$1)</f>
        <v>#REF!</v>
      </c>
      <c r="D167" s="24" t="e">
        <f>SUMIFS(#REF!,#REF!,$B167,#REF!,D$1)</f>
        <v>#REF!</v>
      </c>
      <c r="E167" s="24" t="e">
        <f>SUMIFS(#REF!,#REF!,$B167,#REF!,E$1)</f>
        <v>#REF!</v>
      </c>
      <c r="F167" s="24" t="e">
        <f>SUMIFS(#REF!,#REF!,$B167,#REF!,F$1)</f>
        <v>#REF!</v>
      </c>
      <c r="G167" s="24" t="e">
        <f>SUMIFS(#REF!,#REF!,$B167,#REF!,G$1)</f>
        <v>#REF!</v>
      </c>
      <c r="H167" s="24" t="e">
        <f>SUMIFS(#REF!,#REF!,$B167,#REF!,H$1)</f>
        <v>#REF!</v>
      </c>
      <c r="I167" s="24" t="e">
        <f>SUMIFS(#REF!,#REF!,$B167,#REF!,I$1)</f>
        <v>#REF!</v>
      </c>
      <c r="J167" s="24" t="e">
        <f>SUMIFS(#REF!,#REF!,$B167,#REF!,J$1)</f>
        <v>#REF!</v>
      </c>
      <c r="K167" s="24" t="e">
        <f>SUMIFS(#REF!,#REF!,$B167,#REF!,K$1)</f>
        <v>#REF!</v>
      </c>
      <c r="L167" s="24" t="e">
        <f>SUMIFS(#REF!,#REF!,$B167,#REF!,L$1)</f>
        <v>#REF!</v>
      </c>
      <c r="M167" s="24" t="e">
        <f>SUMIFS(#REF!,#REF!,$B167,#REF!,M$1)</f>
        <v>#REF!</v>
      </c>
      <c r="N167" s="24" t="e">
        <f>SUMIFS(#REF!,#REF!,$B167,#REF!,N$1)</f>
        <v>#REF!</v>
      </c>
      <c r="O167" s="24" t="e">
        <f>SUMIFS(#REF!,#REF!,$B167,#REF!,O$1)</f>
        <v>#REF!</v>
      </c>
      <c r="P167" s="24" t="e">
        <f>SUMIFS(#REF!,#REF!,$B167,#REF!,P$1)</f>
        <v>#REF!</v>
      </c>
      <c r="Q167" s="24" t="e">
        <f>SUMIFS(#REF!,#REF!,$B167,#REF!,Q$1)</f>
        <v>#REF!</v>
      </c>
      <c r="R167" s="24" t="e">
        <f>SUMIFS(#REF!,#REF!,$B167,#REF!,R$1)</f>
        <v>#REF!</v>
      </c>
      <c r="S167" s="24" t="e">
        <f>SUMIFS(#REF!,#REF!,$B167,#REF!,S$1)</f>
        <v>#REF!</v>
      </c>
      <c r="T167" s="24" t="e">
        <f>SUMIFS(#REF!,#REF!,$B167,#REF!,T$1)</f>
        <v>#REF!</v>
      </c>
      <c r="U167" s="24" t="e">
        <f>SUMIFS(#REF!,#REF!,$B167,#REF!,U$1)</f>
        <v>#REF!</v>
      </c>
      <c r="V167" s="24" t="e">
        <f>SUMIFS(#REF!,#REF!,$B167,#REF!,V$1)</f>
        <v>#REF!</v>
      </c>
      <c r="W167" s="24" t="e">
        <f>SUMIFS(#REF!,#REF!,$B167,#REF!,W$1)</f>
        <v>#REF!</v>
      </c>
      <c r="X167" s="24" t="e">
        <f>SUMIFS(#REF!,#REF!,$B167,#REF!,X$1)</f>
        <v>#REF!</v>
      </c>
      <c r="Y167" s="24" t="e">
        <f>SUMIFS(#REF!,#REF!,$B167,#REF!,Y$1)</f>
        <v>#REF!</v>
      </c>
      <c r="Z167" s="24" t="e">
        <f>SUMIFS(#REF!,#REF!,$B167,#REF!,Z$1)</f>
        <v>#REF!</v>
      </c>
      <c r="AA167" s="24" t="e">
        <f>SUMIFS(#REF!,#REF!,$B167,#REF!,AA$1)</f>
        <v>#REF!</v>
      </c>
      <c r="AB167" s="24" t="e">
        <f>SUMIFS(#REF!,#REF!,$B167,#REF!,AB$1)</f>
        <v>#REF!</v>
      </c>
      <c r="AC167" s="24" t="e">
        <f>SUMIFS(#REF!,#REF!,$B167,#REF!,AC$1)</f>
        <v>#REF!</v>
      </c>
      <c r="AD167" s="24" t="e">
        <f>SUMIFS(#REF!,#REF!,$B167,#REF!,AD$1)</f>
        <v>#REF!</v>
      </c>
      <c r="AE167" s="24" t="e">
        <f>SUMIFS(#REF!,#REF!,$B167,#REF!,AE$1)</f>
        <v>#REF!</v>
      </c>
      <c r="AF167" s="24" t="e">
        <f>SUMIFS(#REF!,#REF!,$B167,#REF!,AF$1)</f>
        <v>#REF!</v>
      </c>
      <c r="AG167" s="24" t="e">
        <f>SUMIFS(#REF!,#REF!,$B167,#REF!,AG$1)</f>
        <v>#REF!</v>
      </c>
      <c r="AH167" s="24" t="e">
        <f>SUMIFS(#REF!,#REF!,$B167,#REF!,AH$1)</f>
        <v>#REF!</v>
      </c>
      <c r="AI167" s="24" t="e">
        <f>SUMIFS(#REF!,#REF!,$B167,#REF!,AI$1)</f>
        <v>#REF!</v>
      </c>
      <c r="AJ167" s="24" t="e">
        <f>SUMIFS(#REF!,#REF!,$B167,#REF!,AJ$1)</f>
        <v>#REF!</v>
      </c>
      <c r="AK167" s="24" t="e">
        <f>SUMIFS(#REF!,#REF!,$B167,#REF!,AK$1)</f>
        <v>#REF!</v>
      </c>
      <c r="AL167" s="24" t="e">
        <f>SUMIFS(#REF!,#REF!,$B167,#REF!,AL$1)</f>
        <v>#REF!</v>
      </c>
      <c r="AM167" s="24" t="e">
        <f>SUMIFS(#REF!,#REF!,$B167,#REF!,AM$1)</f>
        <v>#REF!</v>
      </c>
      <c r="AN167" s="24" t="e">
        <f>SUMIFS(#REF!,#REF!,$B167,#REF!,AN$1)</f>
        <v>#REF!</v>
      </c>
      <c r="AO167" s="24" t="e">
        <f>SUMIFS(#REF!,#REF!,$B167,#REF!,AO$1)</f>
        <v>#REF!</v>
      </c>
      <c r="AP167" s="24" t="e">
        <f>SUMIFS(#REF!,#REF!,$B167,#REF!,AP$1)</f>
        <v>#REF!</v>
      </c>
      <c r="AQ167" s="24" t="e">
        <f>SUMIFS(#REF!,#REF!,$B167,#REF!,AQ$1)</f>
        <v>#REF!</v>
      </c>
      <c r="AR167" s="24" t="e">
        <f>SUMIFS(#REF!,#REF!,$B167,#REF!,AR$1)</f>
        <v>#REF!</v>
      </c>
      <c r="AS167" s="24" t="e">
        <f>SUMIFS(#REF!,#REF!,$B167,#REF!,AS$1)</f>
        <v>#REF!</v>
      </c>
      <c r="AT167" s="24" t="e">
        <f>SUMIFS(#REF!,#REF!,$B167,#REF!,AT$1)</f>
        <v>#REF!</v>
      </c>
      <c r="AU167" s="24" t="e">
        <f>SUMIFS(#REF!,#REF!,$B167,#REF!,AU$1)</f>
        <v>#REF!</v>
      </c>
      <c r="AV167" s="24" t="e">
        <f>SUMIFS(#REF!,#REF!,$B167,#REF!,AV$1)</f>
        <v>#REF!</v>
      </c>
      <c r="AW167" s="24" t="e">
        <f>SUMIFS(#REF!,#REF!,$B167,#REF!,AW$1)</f>
        <v>#REF!</v>
      </c>
      <c r="AX167" s="24" t="e">
        <f>SUMIFS(#REF!,#REF!,$B167,#REF!,AX$1)</f>
        <v>#REF!</v>
      </c>
      <c r="AY167" s="24" t="e">
        <f>SUMIFS(#REF!,#REF!,$B167,#REF!,AY$1)</f>
        <v>#REF!</v>
      </c>
      <c r="AZ167" s="24" t="e">
        <f>SUMIFS(#REF!,#REF!,$B167,#REF!,AZ$1)</f>
        <v>#REF!</v>
      </c>
      <c r="BA167" s="24" t="e">
        <f>SUMIFS(#REF!,#REF!,$B167,#REF!,BA$1)</f>
        <v>#REF!</v>
      </c>
      <c r="BB167" s="24" t="e">
        <f>SUMIFS(#REF!,#REF!,$B167,#REF!,BB$1)</f>
        <v>#REF!</v>
      </c>
      <c r="BC167" s="24" t="e">
        <f>SUMIFS(#REF!,#REF!,$B167,#REF!,BC$1)</f>
        <v>#REF!</v>
      </c>
      <c r="BD167" s="24" t="e">
        <f>SUMIFS(#REF!,#REF!,$B167,#REF!,BD$1)</f>
        <v>#REF!</v>
      </c>
      <c r="BE167" s="24" t="e">
        <f>SUMIFS(#REF!,#REF!,$B167,#REF!,BE$1)</f>
        <v>#REF!</v>
      </c>
      <c r="BF167" s="24" t="e">
        <f>SUMIFS(#REF!,#REF!,$B167,#REF!,BF$1)</f>
        <v>#REF!</v>
      </c>
      <c r="BG167" s="24" t="e">
        <f>SUMIFS(#REF!,#REF!,$B167,#REF!,BG$1)</f>
        <v>#REF!</v>
      </c>
      <c r="BH167" s="24" t="e">
        <f>SUMIFS(#REF!,#REF!,$B167,#REF!,BH$1)</f>
        <v>#REF!</v>
      </c>
      <c r="BI167" s="24" t="e">
        <f>SUMIFS(#REF!,#REF!,$B167,#REF!,BI$1)</f>
        <v>#REF!</v>
      </c>
      <c r="BJ167" s="24" t="e">
        <f>SUMIFS(#REF!,#REF!,$B167,#REF!,BJ$1)</f>
        <v>#REF!</v>
      </c>
      <c r="BK167" s="24" t="e">
        <f>SUMIFS(#REF!,#REF!,$B167,#REF!,BK$1)</f>
        <v>#REF!</v>
      </c>
      <c r="BL167" s="24" t="e">
        <f>SUMIFS(#REF!,#REF!,$B167,#REF!,BL$1)</f>
        <v>#REF!</v>
      </c>
      <c r="BM167" s="24" t="e">
        <f>SUMIFS(#REF!,#REF!,$B167,#REF!,BM$1)</f>
        <v>#REF!</v>
      </c>
      <c r="BN167" s="24" t="e">
        <f>SUMIFS(#REF!,#REF!,$B167,#REF!,BN$1)</f>
        <v>#REF!</v>
      </c>
      <c r="BO167" s="24" t="e">
        <f>SUMIFS(#REF!,#REF!,$B167,#REF!,BO$1)</f>
        <v>#REF!</v>
      </c>
      <c r="BP167" s="24" t="e">
        <f>SUMIFS(#REF!,#REF!,$B167,#REF!,BP$1)</f>
        <v>#REF!</v>
      </c>
      <c r="BQ167" s="24" t="e">
        <f>SUMIFS(#REF!,#REF!,$B167,#REF!,BQ$1)</f>
        <v>#REF!</v>
      </c>
      <c r="BR167" s="24" t="e">
        <f>SUMIFS(#REF!,#REF!,$B167,#REF!,BR$1)</f>
        <v>#REF!</v>
      </c>
      <c r="BS167" s="24" t="e">
        <f>SUMIFS(#REF!,#REF!,$B167,#REF!,BS$1)</f>
        <v>#REF!</v>
      </c>
      <c r="BT167" s="24" t="e">
        <f>SUMIFS(#REF!,#REF!,$B167,#REF!,BT$1)</f>
        <v>#REF!</v>
      </c>
      <c r="BU167" s="24" t="e">
        <f>SUMIFS(#REF!,#REF!,$B167,#REF!,BU$1)</f>
        <v>#REF!</v>
      </c>
      <c r="BV167" s="24" t="e">
        <f>SUMIFS(#REF!,#REF!,$B167,#REF!,BV$1)</f>
        <v>#REF!</v>
      </c>
      <c r="BW167" s="24" t="e">
        <f>SUMIFS(#REF!,#REF!,$B167,#REF!,BW$1)</f>
        <v>#REF!</v>
      </c>
      <c r="BX167" s="24" t="e">
        <f>SUMIFS(#REF!,#REF!,$B167,#REF!,BX$1)</f>
        <v>#REF!</v>
      </c>
      <c r="BY167" s="24" t="e">
        <f>SUMIFS(#REF!,#REF!,$B167,#REF!,BY$1)</f>
        <v>#REF!</v>
      </c>
      <c r="BZ167" s="24" t="e">
        <f>SUMIFS(#REF!,#REF!,$B167,#REF!,BZ$1)</f>
        <v>#REF!</v>
      </c>
      <c r="CA167" s="24" t="e">
        <f>SUMIFS(#REF!,#REF!,$B167,#REF!,CA$1)</f>
        <v>#REF!</v>
      </c>
      <c r="CB167" s="24" t="e">
        <f>SUMIFS(#REF!,#REF!,$B167,#REF!,CB$1)</f>
        <v>#REF!</v>
      </c>
      <c r="CC167" s="24" t="e">
        <f>SUMIFS(#REF!,#REF!,$B167,#REF!,CC$1)</f>
        <v>#REF!</v>
      </c>
      <c r="CD167" s="24" t="e">
        <f>SUMIFS(#REF!,#REF!,$B167,#REF!,CD$1)</f>
        <v>#REF!</v>
      </c>
      <c r="CE167" s="24" t="e">
        <f>SUMIFS(#REF!,#REF!,$B167,#REF!,CE$1)</f>
        <v>#REF!</v>
      </c>
      <c r="CF167" s="24" t="e">
        <f>SUMIFS(#REF!,#REF!,$B167,#REF!,CF$1)</f>
        <v>#REF!</v>
      </c>
      <c r="CG167" s="19" t="e">
        <f t="shared" si="2"/>
        <v>#REF!</v>
      </c>
    </row>
    <row r="168" spans="1:85" x14ac:dyDescent="0.45">
      <c r="A168" s="4" t="s">
        <v>1318</v>
      </c>
      <c r="B168" s="4" t="s">
        <v>1319</v>
      </c>
      <c r="C168" s="24" t="e">
        <f>SUMIFS(#REF!,#REF!,$B168,#REF!,C$1)</f>
        <v>#REF!</v>
      </c>
      <c r="D168" s="24" t="e">
        <f>SUMIFS(#REF!,#REF!,$B168,#REF!,D$1)</f>
        <v>#REF!</v>
      </c>
      <c r="E168" s="24" t="e">
        <f>SUMIFS(#REF!,#REF!,$B168,#REF!,E$1)</f>
        <v>#REF!</v>
      </c>
      <c r="F168" s="24" t="e">
        <f>SUMIFS(#REF!,#REF!,$B168,#REF!,F$1)</f>
        <v>#REF!</v>
      </c>
      <c r="G168" s="24" t="e">
        <f>SUMIFS(#REF!,#REF!,$B168,#REF!,G$1)</f>
        <v>#REF!</v>
      </c>
      <c r="H168" s="24" t="e">
        <f>SUMIFS(#REF!,#REF!,$B168,#REF!,H$1)</f>
        <v>#REF!</v>
      </c>
      <c r="I168" s="24" t="e">
        <f>SUMIFS(#REF!,#REF!,$B168,#REF!,I$1)</f>
        <v>#REF!</v>
      </c>
      <c r="J168" s="24" t="e">
        <f>SUMIFS(#REF!,#REF!,$B168,#REF!,J$1)</f>
        <v>#REF!</v>
      </c>
      <c r="K168" s="24" t="e">
        <f>SUMIFS(#REF!,#REF!,$B168,#REF!,K$1)</f>
        <v>#REF!</v>
      </c>
      <c r="L168" s="24" t="e">
        <f>SUMIFS(#REF!,#REF!,$B168,#REF!,L$1)</f>
        <v>#REF!</v>
      </c>
      <c r="M168" s="24" t="e">
        <f>SUMIFS(#REF!,#REF!,$B168,#REF!,M$1)</f>
        <v>#REF!</v>
      </c>
      <c r="N168" s="24" t="e">
        <f>SUMIFS(#REF!,#REF!,$B168,#REF!,N$1)</f>
        <v>#REF!</v>
      </c>
      <c r="O168" s="24" t="e">
        <f>SUMIFS(#REF!,#REF!,$B168,#REF!,O$1)</f>
        <v>#REF!</v>
      </c>
      <c r="P168" s="24" t="e">
        <f>SUMIFS(#REF!,#REF!,$B168,#REF!,P$1)</f>
        <v>#REF!</v>
      </c>
      <c r="Q168" s="24" t="e">
        <f>SUMIFS(#REF!,#REF!,$B168,#REF!,Q$1)</f>
        <v>#REF!</v>
      </c>
      <c r="R168" s="24" t="e">
        <f>SUMIFS(#REF!,#REF!,$B168,#REF!,R$1)</f>
        <v>#REF!</v>
      </c>
      <c r="S168" s="24" t="e">
        <f>SUMIFS(#REF!,#REF!,$B168,#REF!,S$1)</f>
        <v>#REF!</v>
      </c>
      <c r="T168" s="24" t="e">
        <f>SUMIFS(#REF!,#REF!,$B168,#REF!,T$1)</f>
        <v>#REF!</v>
      </c>
      <c r="U168" s="24" t="e">
        <f>SUMIFS(#REF!,#REF!,$B168,#REF!,U$1)</f>
        <v>#REF!</v>
      </c>
      <c r="V168" s="24" t="e">
        <f>SUMIFS(#REF!,#REF!,$B168,#REF!,V$1)</f>
        <v>#REF!</v>
      </c>
      <c r="W168" s="24" t="e">
        <f>SUMIFS(#REF!,#REF!,$B168,#REF!,W$1)</f>
        <v>#REF!</v>
      </c>
      <c r="X168" s="24" t="e">
        <f>SUMIFS(#REF!,#REF!,$B168,#REF!,X$1)</f>
        <v>#REF!</v>
      </c>
      <c r="Y168" s="24" t="e">
        <f>SUMIFS(#REF!,#REF!,$B168,#REF!,Y$1)</f>
        <v>#REF!</v>
      </c>
      <c r="Z168" s="24" t="e">
        <f>SUMIFS(#REF!,#REF!,$B168,#REF!,Z$1)</f>
        <v>#REF!</v>
      </c>
      <c r="AA168" s="24" t="e">
        <f>SUMIFS(#REF!,#REF!,$B168,#REF!,AA$1)</f>
        <v>#REF!</v>
      </c>
      <c r="AB168" s="24" t="e">
        <f>SUMIFS(#REF!,#REF!,$B168,#REF!,AB$1)</f>
        <v>#REF!</v>
      </c>
      <c r="AC168" s="24" t="e">
        <f>SUMIFS(#REF!,#REF!,$B168,#REF!,AC$1)</f>
        <v>#REF!</v>
      </c>
      <c r="AD168" s="24" t="e">
        <f>SUMIFS(#REF!,#REF!,$B168,#REF!,AD$1)</f>
        <v>#REF!</v>
      </c>
      <c r="AE168" s="24" t="e">
        <f>SUMIFS(#REF!,#REF!,$B168,#REF!,AE$1)</f>
        <v>#REF!</v>
      </c>
      <c r="AF168" s="24" t="e">
        <f>SUMIFS(#REF!,#REF!,$B168,#REF!,AF$1)</f>
        <v>#REF!</v>
      </c>
      <c r="AG168" s="24" t="e">
        <f>SUMIFS(#REF!,#REF!,$B168,#REF!,AG$1)</f>
        <v>#REF!</v>
      </c>
      <c r="AH168" s="24" t="e">
        <f>SUMIFS(#REF!,#REF!,$B168,#REF!,AH$1)</f>
        <v>#REF!</v>
      </c>
      <c r="AI168" s="24" t="e">
        <f>SUMIFS(#REF!,#REF!,$B168,#REF!,AI$1)</f>
        <v>#REF!</v>
      </c>
      <c r="AJ168" s="24" t="e">
        <f>SUMIFS(#REF!,#REF!,$B168,#REF!,AJ$1)</f>
        <v>#REF!</v>
      </c>
      <c r="AK168" s="24" t="e">
        <f>SUMIFS(#REF!,#REF!,$B168,#REF!,AK$1)</f>
        <v>#REF!</v>
      </c>
      <c r="AL168" s="24" t="e">
        <f>SUMIFS(#REF!,#REF!,$B168,#REF!,AL$1)</f>
        <v>#REF!</v>
      </c>
      <c r="AM168" s="24" t="e">
        <f>SUMIFS(#REF!,#REF!,$B168,#REF!,AM$1)</f>
        <v>#REF!</v>
      </c>
      <c r="AN168" s="24" t="e">
        <f>SUMIFS(#REF!,#REF!,$B168,#REF!,AN$1)</f>
        <v>#REF!</v>
      </c>
      <c r="AO168" s="24" t="e">
        <f>SUMIFS(#REF!,#REF!,$B168,#REF!,AO$1)</f>
        <v>#REF!</v>
      </c>
      <c r="AP168" s="24" t="e">
        <f>SUMIFS(#REF!,#REF!,$B168,#REF!,AP$1)</f>
        <v>#REF!</v>
      </c>
      <c r="AQ168" s="24" t="e">
        <f>SUMIFS(#REF!,#REF!,$B168,#REF!,AQ$1)</f>
        <v>#REF!</v>
      </c>
      <c r="AR168" s="24" t="e">
        <f>SUMIFS(#REF!,#REF!,$B168,#REF!,AR$1)</f>
        <v>#REF!</v>
      </c>
      <c r="AS168" s="24" t="e">
        <f>SUMIFS(#REF!,#REF!,$B168,#REF!,AS$1)</f>
        <v>#REF!</v>
      </c>
      <c r="AT168" s="24" t="e">
        <f>SUMIFS(#REF!,#REF!,$B168,#REF!,AT$1)</f>
        <v>#REF!</v>
      </c>
      <c r="AU168" s="24" t="e">
        <f>SUMIFS(#REF!,#REF!,$B168,#REF!,AU$1)</f>
        <v>#REF!</v>
      </c>
      <c r="AV168" s="24" t="e">
        <f>SUMIFS(#REF!,#REF!,$B168,#REF!,AV$1)</f>
        <v>#REF!</v>
      </c>
      <c r="AW168" s="24" t="e">
        <f>SUMIFS(#REF!,#REF!,$B168,#REF!,AW$1)</f>
        <v>#REF!</v>
      </c>
      <c r="AX168" s="24" t="e">
        <f>SUMIFS(#REF!,#REF!,$B168,#REF!,AX$1)</f>
        <v>#REF!</v>
      </c>
      <c r="AY168" s="24" t="e">
        <f>SUMIFS(#REF!,#REF!,$B168,#REF!,AY$1)</f>
        <v>#REF!</v>
      </c>
      <c r="AZ168" s="24" t="e">
        <f>SUMIFS(#REF!,#REF!,$B168,#REF!,AZ$1)</f>
        <v>#REF!</v>
      </c>
      <c r="BA168" s="24" t="e">
        <f>SUMIFS(#REF!,#REF!,$B168,#REF!,BA$1)</f>
        <v>#REF!</v>
      </c>
      <c r="BB168" s="24" t="e">
        <f>SUMIFS(#REF!,#REF!,$B168,#REF!,BB$1)</f>
        <v>#REF!</v>
      </c>
      <c r="BC168" s="24" t="e">
        <f>SUMIFS(#REF!,#REF!,$B168,#REF!,BC$1)</f>
        <v>#REF!</v>
      </c>
      <c r="BD168" s="24" t="e">
        <f>SUMIFS(#REF!,#REF!,$B168,#REF!,BD$1)</f>
        <v>#REF!</v>
      </c>
      <c r="BE168" s="24" t="e">
        <f>SUMIFS(#REF!,#REF!,$B168,#REF!,BE$1)</f>
        <v>#REF!</v>
      </c>
      <c r="BF168" s="24" t="e">
        <f>SUMIFS(#REF!,#REF!,$B168,#REF!,BF$1)</f>
        <v>#REF!</v>
      </c>
      <c r="BG168" s="24" t="e">
        <f>SUMIFS(#REF!,#REF!,$B168,#REF!,BG$1)</f>
        <v>#REF!</v>
      </c>
      <c r="BH168" s="24" t="e">
        <f>SUMIFS(#REF!,#REF!,$B168,#REF!,BH$1)</f>
        <v>#REF!</v>
      </c>
      <c r="BI168" s="24" t="e">
        <f>SUMIFS(#REF!,#REF!,$B168,#REF!,BI$1)</f>
        <v>#REF!</v>
      </c>
      <c r="BJ168" s="24" t="e">
        <f>SUMIFS(#REF!,#REF!,$B168,#REF!,BJ$1)</f>
        <v>#REF!</v>
      </c>
      <c r="BK168" s="24" t="e">
        <f>SUMIFS(#REF!,#REF!,$B168,#REF!,BK$1)</f>
        <v>#REF!</v>
      </c>
      <c r="BL168" s="24" t="e">
        <f>SUMIFS(#REF!,#REF!,$B168,#REF!,BL$1)</f>
        <v>#REF!</v>
      </c>
      <c r="BM168" s="24" t="e">
        <f>SUMIFS(#REF!,#REF!,$B168,#REF!,BM$1)</f>
        <v>#REF!</v>
      </c>
      <c r="BN168" s="24" t="e">
        <f>SUMIFS(#REF!,#REF!,$B168,#REF!,BN$1)</f>
        <v>#REF!</v>
      </c>
      <c r="BO168" s="24" t="e">
        <f>SUMIFS(#REF!,#REF!,$B168,#REF!,BO$1)</f>
        <v>#REF!</v>
      </c>
      <c r="BP168" s="24" t="e">
        <f>SUMIFS(#REF!,#REF!,$B168,#REF!,BP$1)</f>
        <v>#REF!</v>
      </c>
      <c r="BQ168" s="24" t="e">
        <f>SUMIFS(#REF!,#REF!,$B168,#REF!,BQ$1)</f>
        <v>#REF!</v>
      </c>
      <c r="BR168" s="24" t="e">
        <f>SUMIFS(#REF!,#REF!,$B168,#REF!,BR$1)</f>
        <v>#REF!</v>
      </c>
      <c r="BS168" s="24" t="e">
        <f>SUMIFS(#REF!,#REF!,$B168,#REF!,BS$1)</f>
        <v>#REF!</v>
      </c>
      <c r="BT168" s="24" t="e">
        <f>SUMIFS(#REF!,#REF!,$B168,#REF!,BT$1)</f>
        <v>#REF!</v>
      </c>
      <c r="BU168" s="24" t="e">
        <f>SUMIFS(#REF!,#REF!,$B168,#REF!,BU$1)</f>
        <v>#REF!</v>
      </c>
      <c r="BV168" s="24" t="e">
        <f>SUMIFS(#REF!,#REF!,$B168,#REF!,BV$1)</f>
        <v>#REF!</v>
      </c>
      <c r="BW168" s="24" t="e">
        <f>SUMIFS(#REF!,#REF!,$B168,#REF!,BW$1)</f>
        <v>#REF!</v>
      </c>
      <c r="BX168" s="24" t="e">
        <f>SUMIFS(#REF!,#REF!,$B168,#REF!,BX$1)</f>
        <v>#REF!</v>
      </c>
      <c r="BY168" s="24" t="e">
        <f>SUMIFS(#REF!,#REF!,$B168,#REF!,BY$1)</f>
        <v>#REF!</v>
      </c>
      <c r="BZ168" s="24" t="e">
        <f>SUMIFS(#REF!,#REF!,$B168,#REF!,BZ$1)</f>
        <v>#REF!</v>
      </c>
      <c r="CA168" s="24" t="e">
        <f>SUMIFS(#REF!,#REF!,$B168,#REF!,CA$1)</f>
        <v>#REF!</v>
      </c>
      <c r="CB168" s="24" t="e">
        <f>SUMIFS(#REF!,#REF!,$B168,#REF!,CB$1)</f>
        <v>#REF!</v>
      </c>
      <c r="CC168" s="24" t="e">
        <f>SUMIFS(#REF!,#REF!,$B168,#REF!,CC$1)</f>
        <v>#REF!</v>
      </c>
      <c r="CD168" s="24" t="e">
        <f>SUMIFS(#REF!,#REF!,$B168,#REF!,CD$1)</f>
        <v>#REF!</v>
      </c>
      <c r="CE168" s="24" t="e">
        <f>SUMIFS(#REF!,#REF!,$B168,#REF!,CE$1)</f>
        <v>#REF!</v>
      </c>
      <c r="CF168" s="24" t="e">
        <f>SUMIFS(#REF!,#REF!,$B168,#REF!,CF$1)</f>
        <v>#REF!</v>
      </c>
      <c r="CG168" s="19" t="e">
        <f t="shared" si="2"/>
        <v>#REF!</v>
      </c>
    </row>
    <row r="169" spans="1:85" x14ac:dyDescent="0.45">
      <c r="A169" s="4" t="s">
        <v>1320</v>
      </c>
      <c r="B169" s="4" t="s">
        <v>1321</v>
      </c>
      <c r="C169" s="24" t="e">
        <f>SUMIFS(#REF!,#REF!,$B169,#REF!,C$1)</f>
        <v>#REF!</v>
      </c>
      <c r="D169" s="24" t="e">
        <f>SUMIFS(#REF!,#REF!,$B169,#REF!,D$1)</f>
        <v>#REF!</v>
      </c>
      <c r="E169" s="24" t="e">
        <f>SUMIFS(#REF!,#REF!,$B169,#REF!,E$1)</f>
        <v>#REF!</v>
      </c>
      <c r="F169" s="24" t="e">
        <f>SUMIFS(#REF!,#REF!,$B169,#REF!,F$1)</f>
        <v>#REF!</v>
      </c>
      <c r="G169" s="24" t="e">
        <f>SUMIFS(#REF!,#REF!,$B169,#REF!,G$1)</f>
        <v>#REF!</v>
      </c>
      <c r="H169" s="24" t="e">
        <f>SUMIFS(#REF!,#REF!,$B169,#REF!,H$1)</f>
        <v>#REF!</v>
      </c>
      <c r="I169" s="24" t="e">
        <f>SUMIFS(#REF!,#REF!,$B169,#REF!,I$1)</f>
        <v>#REF!</v>
      </c>
      <c r="J169" s="24" t="e">
        <f>SUMIFS(#REF!,#REF!,$B169,#REF!,J$1)</f>
        <v>#REF!</v>
      </c>
      <c r="K169" s="24" t="e">
        <f>SUMIFS(#REF!,#REF!,$B169,#REF!,K$1)</f>
        <v>#REF!</v>
      </c>
      <c r="L169" s="24" t="e">
        <f>SUMIFS(#REF!,#REF!,$B169,#REF!,L$1)</f>
        <v>#REF!</v>
      </c>
      <c r="M169" s="24" t="e">
        <f>SUMIFS(#REF!,#REF!,$B169,#REF!,M$1)</f>
        <v>#REF!</v>
      </c>
      <c r="N169" s="24" t="e">
        <f>SUMIFS(#REF!,#REF!,$B169,#REF!,N$1)</f>
        <v>#REF!</v>
      </c>
      <c r="O169" s="24" t="e">
        <f>SUMIFS(#REF!,#REF!,$B169,#REF!,O$1)</f>
        <v>#REF!</v>
      </c>
      <c r="P169" s="24" t="e">
        <f>SUMIFS(#REF!,#REF!,$B169,#REF!,P$1)</f>
        <v>#REF!</v>
      </c>
      <c r="Q169" s="24" t="e">
        <f>SUMIFS(#REF!,#REF!,$B169,#REF!,Q$1)</f>
        <v>#REF!</v>
      </c>
      <c r="R169" s="24" t="e">
        <f>SUMIFS(#REF!,#REF!,$B169,#REF!,R$1)</f>
        <v>#REF!</v>
      </c>
      <c r="S169" s="24" t="e">
        <f>SUMIFS(#REF!,#REF!,$B169,#REF!,S$1)</f>
        <v>#REF!</v>
      </c>
      <c r="T169" s="24" t="e">
        <f>SUMIFS(#REF!,#REF!,$B169,#REF!,T$1)</f>
        <v>#REF!</v>
      </c>
      <c r="U169" s="24" t="e">
        <f>SUMIFS(#REF!,#REF!,$B169,#REF!,U$1)</f>
        <v>#REF!</v>
      </c>
      <c r="V169" s="24" t="e">
        <f>SUMIFS(#REF!,#REF!,$B169,#REF!,V$1)</f>
        <v>#REF!</v>
      </c>
      <c r="W169" s="24" t="e">
        <f>SUMIFS(#REF!,#REF!,$B169,#REF!,W$1)</f>
        <v>#REF!</v>
      </c>
      <c r="X169" s="24" t="e">
        <f>SUMIFS(#REF!,#REF!,$B169,#REF!,X$1)</f>
        <v>#REF!</v>
      </c>
      <c r="Y169" s="24" t="e">
        <f>SUMIFS(#REF!,#REF!,$B169,#REF!,Y$1)</f>
        <v>#REF!</v>
      </c>
      <c r="Z169" s="24" t="e">
        <f>SUMIFS(#REF!,#REF!,$B169,#REF!,Z$1)</f>
        <v>#REF!</v>
      </c>
      <c r="AA169" s="24" t="e">
        <f>SUMIFS(#REF!,#REF!,$B169,#REF!,AA$1)</f>
        <v>#REF!</v>
      </c>
      <c r="AB169" s="24" t="e">
        <f>SUMIFS(#REF!,#REF!,$B169,#REF!,AB$1)</f>
        <v>#REF!</v>
      </c>
      <c r="AC169" s="24" t="e">
        <f>SUMIFS(#REF!,#REF!,$B169,#REF!,AC$1)</f>
        <v>#REF!</v>
      </c>
      <c r="AD169" s="24" t="e">
        <f>SUMIFS(#REF!,#REF!,$B169,#REF!,AD$1)</f>
        <v>#REF!</v>
      </c>
      <c r="AE169" s="24" t="e">
        <f>SUMIFS(#REF!,#REF!,$B169,#REF!,AE$1)</f>
        <v>#REF!</v>
      </c>
      <c r="AF169" s="24" t="e">
        <f>SUMIFS(#REF!,#REF!,$B169,#REF!,AF$1)</f>
        <v>#REF!</v>
      </c>
      <c r="AG169" s="24" t="e">
        <f>SUMIFS(#REF!,#REF!,$B169,#REF!,AG$1)</f>
        <v>#REF!</v>
      </c>
      <c r="AH169" s="24" t="e">
        <f>SUMIFS(#REF!,#REF!,$B169,#REF!,AH$1)</f>
        <v>#REF!</v>
      </c>
      <c r="AI169" s="24" t="e">
        <f>SUMIFS(#REF!,#REF!,$B169,#REF!,AI$1)</f>
        <v>#REF!</v>
      </c>
      <c r="AJ169" s="24" t="e">
        <f>SUMIFS(#REF!,#REF!,$B169,#REF!,AJ$1)</f>
        <v>#REF!</v>
      </c>
      <c r="AK169" s="24" t="e">
        <f>SUMIFS(#REF!,#REF!,$B169,#REF!,AK$1)</f>
        <v>#REF!</v>
      </c>
      <c r="AL169" s="24" t="e">
        <f>SUMIFS(#REF!,#REF!,$B169,#REF!,AL$1)</f>
        <v>#REF!</v>
      </c>
      <c r="AM169" s="24" t="e">
        <f>SUMIFS(#REF!,#REF!,$B169,#REF!,AM$1)</f>
        <v>#REF!</v>
      </c>
      <c r="AN169" s="24" t="e">
        <f>SUMIFS(#REF!,#REF!,$B169,#REF!,AN$1)</f>
        <v>#REF!</v>
      </c>
      <c r="AO169" s="24" t="e">
        <f>SUMIFS(#REF!,#REF!,$B169,#REF!,AO$1)</f>
        <v>#REF!</v>
      </c>
      <c r="AP169" s="24" t="e">
        <f>SUMIFS(#REF!,#REF!,$B169,#REF!,AP$1)</f>
        <v>#REF!</v>
      </c>
      <c r="AQ169" s="24" t="e">
        <f>SUMIFS(#REF!,#REF!,$B169,#REF!,AQ$1)</f>
        <v>#REF!</v>
      </c>
      <c r="AR169" s="24" t="e">
        <f>SUMIFS(#REF!,#REF!,$B169,#REF!,AR$1)</f>
        <v>#REF!</v>
      </c>
      <c r="AS169" s="24" t="e">
        <f>SUMIFS(#REF!,#REF!,$B169,#REF!,AS$1)</f>
        <v>#REF!</v>
      </c>
      <c r="AT169" s="24" t="e">
        <f>SUMIFS(#REF!,#REF!,$B169,#REF!,AT$1)</f>
        <v>#REF!</v>
      </c>
      <c r="AU169" s="24" t="e">
        <f>SUMIFS(#REF!,#REF!,$B169,#REF!,AU$1)</f>
        <v>#REF!</v>
      </c>
      <c r="AV169" s="24" t="e">
        <f>SUMIFS(#REF!,#REF!,$B169,#REF!,AV$1)</f>
        <v>#REF!</v>
      </c>
      <c r="AW169" s="24" t="e">
        <f>SUMIFS(#REF!,#REF!,$B169,#REF!,AW$1)</f>
        <v>#REF!</v>
      </c>
      <c r="AX169" s="24" t="e">
        <f>SUMIFS(#REF!,#REF!,$B169,#REF!,AX$1)</f>
        <v>#REF!</v>
      </c>
      <c r="AY169" s="24" t="e">
        <f>SUMIFS(#REF!,#REF!,$B169,#REF!,AY$1)</f>
        <v>#REF!</v>
      </c>
      <c r="AZ169" s="24" t="e">
        <f>SUMIFS(#REF!,#REF!,$B169,#REF!,AZ$1)</f>
        <v>#REF!</v>
      </c>
      <c r="BA169" s="24" t="e">
        <f>SUMIFS(#REF!,#REF!,$B169,#REF!,BA$1)</f>
        <v>#REF!</v>
      </c>
      <c r="BB169" s="24" t="e">
        <f>SUMIFS(#REF!,#REF!,$B169,#REF!,BB$1)</f>
        <v>#REF!</v>
      </c>
      <c r="BC169" s="24" t="e">
        <f>SUMIFS(#REF!,#REF!,$B169,#REF!,BC$1)</f>
        <v>#REF!</v>
      </c>
      <c r="BD169" s="24" t="e">
        <f>SUMIFS(#REF!,#REF!,$B169,#REF!,BD$1)</f>
        <v>#REF!</v>
      </c>
      <c r="BE169" s="24" t="e">
        <f>SUMIFS(#REF!,#REF!,$B169,#REF!,BE$1)</f>
        <v>#REF!</v>
      </c>
      <c r="BF169" s="24" t="e">
        <f>SUMIFS(#REF!,#REF!,$B169,#REF!,BF$1)</f>
        <v>#REF!</v>
      </c>
      <c r="BG169" s="24" t="e">
        <f>SUMIFS(#REF!,#REF!,$B169,#REF!,BG$1)</f>
        <v>#REF!</v>
      </c>
      <c r="BH169" s="24" t="e">
        <f>SUMIFS(#REF!,#REF!,$B169,#REF!,BH$1)</f>
        <v>#REF!</v>
      </c>
      <c r="BI169" s="24" t="e">
        <f>SUMIFS(#REF!,#REF!,$B169,#REF!,BI$1)</f>
        <v>#REF!</v>
      </c>
      <c r="BJ169" s="24" t="e">
        <f>SUMIFS(#REF!,#REF!,$B169,#REF!,BJ$1)</f>
        <v>#REF!</v>
      </c>
      <c r="BK169" s="24" t="e">
        <f>SUMIFS(#REF!,#REF!,$B169,#REF!,BK$1)</f>
        <v>#REF!</v>
      </c>
      <c r="BL169" s="24" t="e">
        <f>SUMIFS(#REF!,#REF!,$B169,#REF!,BL$1)</f>
        <v>#REF!</v>
      </c>
      <c r="BM169" s="24" t="e">
        <f>SUMIFS(#REF!,#REF!,$B169,#REF!,BM$1)</f>
        <v>#REF!</v>
      </c>
      <c r="BN169" s="24" t="e">
        <f>SUMIFS(#REF!,#REF!,$B169,#REF!,BN$1)</f>
        <v>#REF!</v>
      </c>
      <c r="BO169" s="24" t="e">
        <f>SUMIFS(#REF!,#REF!,$B169,#REF!,BO$1)</f>
        <v>#REF!</v>
      </c>
      <c r="BP169" s="24" t="e">
        <f>SUMIFS(#REF!,#REF!,$B169,#REF!,BP$1)</f>
        <v>#REF!</v>
      </c>
      <c r="BQ169" s="24" t="e">
        <f>SUMIFS(#REF!,#REF!,$B169,#REF!,BQ$1)</f>
        <v>#REF!</v>
      </c>
      <c r="BR169" s="24" t="e">
        <f>SUMIFS(#REF!,#REF!,$B169,#REF!,BR$1)</f>
        <v>#REF!</v>
      </c>
      <c r="BS169" s="24" t="e">
        <f>SUMIFS(#REF!,#REF!,$B169,#REF!,BS$1)</f>
        <v>#REF!</v>
      </c>
      <c r="BT169" s="24" t="e">
        <f>SUMIFS(#REF!,#REF!,$B169,#REF!,BT$1)</f>
        <v>#REF!</v>
      </c>
      <c r="BU169" s="24" t="e">
        <f>SUMIFS(#REF!,#REF!,$B169,#REF!,BU$1)</f>
        <v>#REF!</v>
      </c>
      <c r="BV169" s="24" t="e">
        <f>SUMIFS(#REF!,#REF!,$B169,#REF!,BV$1)</f>
        <v>#REF!</v>
      </c>
      <c r="BW169" s="24" t="e">
        <f>SUMIFS(#REF!,#REF!,$B169,#REF!,BW$1)</f>
        <v>#REF!</v>
      </c>
      <c r="BX169" s="24" t="e">
        <f>SUMIFS(#REF!,#REF!,$B169,#REF!,BX$1)</f>
        <v>#REF!</v>
      </c>
      <c r="BY169" s="24" t="e">
        <f>SUMIFS(#REF!,#REF!,$B169,#REF!,BY$1)</f>
        <v>#REF!</v>
      </c>
      <c r="BZ169" s="24" t="e">
        <f>SUMIFS(#REF!,#REF!,$B169,#REF!,BZ$1)</f>
        <v>#REF!</v>
      </c>
      <c r="CA169" s="24" t="e">
        <f>SUMIFS(#REF!,#REF!,$B169,#REF!,CA$1)</f>
        <v>#REF!</v>
      </c>
      <c r="CB169" s="24" t="e">
        <f>SUMIFS(#REF!,#REF!,$B169,#REF!,CB$1)</f>
        <v>#REF!</v>
      </c>
      <c r="CC169" s="24" t="e">
        <f>SUMIFS(#REF!,#REF!,$B169,#REF!,CC$1)</f>
        <v>#REF!</v>
      </c>
      <c r="CD169" s="24" t="e">
        <f>SUMIFS(#REF!,#REF!,$B169,#REF!,CD$1)</f>
        <v>#REF!</v>
      </c>
      <c r="CE169" s="24" t="e">
        <f>SUMIFS(#REF!,#REF!,$B169,#REF!,CE$1)</f>
        <v>#REF!</v>
      </c>
      <c r="CF169" s="24" t="e">
        <f>SUMIFS(#REF!,#REF!,$B169,#REF!,CF$1)</f>
        <v>#REF!</v>
      </c>
      <c r="CG169" s="19" t="e">
        <f t="shared" si="2"/>
        <v>#REF!</v>
      </c>
    </row>
    <row r="170" spans="1:85" x14ac:dyDescent="0.45">
      <c r="A170" s="4" t="s">
        <v>1322</v>
      </c>
      <c r="B170" s="4" t="s">
        <v>1323</v>
      </c>
      <c r="C170" s="24" t="e">
        <f>SUMIFS(#REF!,#REF!,$B170,#REF!,C$1)</f>
        <v>#REF!</v>
      </c>
      <c r="D170" s="24" t="e">
        <f>SUMIFS(#REF!,#REF!,$B170,#REF!,D$1)</f>
        <v>#REF!</v>
      </c>
      <c r="E170" s="24" t="e">
        <f>SUMIFS(#REF!,#REF!,$B170,#REF!,E$1)</f>
        <v>#REF!</v>
      </c>
      <c r="F170" s="24" t="e">
        <f>SUMIFS(#REF!,#REF!,$B170,#REF!,F$1)</f>
        <v>#REF!</v>
      </c>
      <c r="G170" s="24" t="e">
        <f>SUMIFS(#REF!,#REF!,$B170,#REF!,G$1)</f>
        <v>#REF!</v>
      </c>
      <c r="H170" s="24" t="e">
        <f>SUMIFS(#REF!,#REF!,$B170,#REF!,H$1)</f>
        <v>#REF!</v>
      </c>
      <c r="I170" s="24" t="e">
        <f>SUMIFS(#REF!,#REF!,$B170,#REF!,I$1)</f>
        <v>#REF!</v>
      </c>
      <c r="J170" s="24" t="e">
        <f>SUMIFS(#REF!,#REF!,$B170,#REF!,J$1)</f>
        <v>#REF!</v>
      </c>
      <c r="K170" s="24" t="e">
        <f>SUMIFS(#REF!,#REF!,$B170,#REF!,K$1)</f>
        <v>#REF!</v>
      </c>
      <c r="L170" s="24" t="e">
        <f>SUMIFS(#REF!,#REF!,$B170,#REF!,L$1)</f>
        <v>#REF!</v>
      </c>
      <c r="M170" s="24" t="e">
        <f>SUMIFS(#REF!,#REF!,$B170,#REF!,M$1)</f>
        <v>#REF!</v>
      </c>
      <c r="N170" s="24" t="e">
        <f>SUMIFS(#REF!,#REF!,$B170,#REF!,N$1)</f>
        <v>#REF!</v>
      </c>
      <c r="O170" s="24" t="e">
        <f>SUMIFS(#REF!,#REF!,$B170,#REF!,O$1)</f>
        <v>#REF!</v>
      </c>
      <c r="P170" s="24" t="e">
        <f>SUMIFS(#REF!,#REF!,$B170,#REF!,P$1)</f>
        <v>#REF!</v>
      </c>
      <c r="Q170" s="24" t="e">
        <f>SUMIFS(#REF!,#REF!,$B170,#REF!,Q$1)</f>
        <v>#REF!</v>
      </c>
      <c r="R170" s="24" t="e">
        <f>SUMIFS(#REF!,#REF!,$B170,#REF!,R$1)</f>
        <v>#REF!</v>
      </c>
      <c r="S170" s="24" t="e">
        <f>SUMIFS(#REF!,#REF!,$B170,#REF!,S$1)</f>
        <v>#REF!</v>
      </c>
      <c r="T170" s="24" t="e">
        <f>SUMIFS(#REF!,#REF!,$B170,#REF!,T$1)</f>
        <v>#REF!</v>
      </c>
      <c r="U170" s="24" t="e">
        <f>SUMIFS(#REF!,#REF!,$B170,#REF!,U$1)</f>
        <v>#REF!</v>
      </c>
      <c r="V170" s="24" t="e">
        <f>SUMIFS(#REF!,#REF!,$B170,#REF!,V$1)</f>
        <v>#REF!</v>
      </c>
      <c r="W170" s="24" t="e">
        <f>SUMIFS(#REF!,#REF!,$B170,#REF!,W$1)</f>
        <v>#REF!</v>
      </c>
      <c r="X170" s="24" t="e">
        <f>SUMIFS(#REF!,#REF!,$B170,#REF!,X$1)</f>
        <v>#REF!</v>
      </c>
      <c r="Y170" s="24" t="e">
        <f>SUMIFS(#REF!,#REF!,$B170,#REF!,Y$1)</f>
        <v>#REF!</v>
      </c>
      <c r="Z170" s="24" t="e">
        <f>SUMIFS(#REF!,#REF!,$B170,#REF!,Z$1)</f>
        <v>#REF!</v>
      </c>
      <c r="AA170" s="24" t="e">
        <f>SUMIFS(#REF!,#REF!,$B170,#REF!,AA$1)</f>
        <v>#REF!</v>
      </c>
      <c r="AB170" s="24" t="e">
        <f>SUMIFS(#REF!,#REF!,$B170,#REF!,AB$1)</f>
        <v>#REF!</v>
      </c>
      <c r="AC170" s="24" t="e">
        <f>SUMIFS(#REF!,#REF!,$B170,#REF!,AC$1)</f>
        <v>#REF!</v>
      </c>
      <c r="AD170" s="24" t="e">
        <f>SUMIFS(#REF!,#REF!,$B170,#REF!,AD$1)</f>
        <v>#REF!</v>
      </c>
      <c r="AE170" s="24" t="e">
        <f>SUMIFS(#REF!,#REF!,$B170,#REF!,AE$1)</f>
        <v>#REF!</v>
      </c>
      <c r="AF170" s="24" t="e">
        <f>SUMIFS(#REF!,#REF!,$B170,#REF!,AF$1)</f>
        <v>#REF!</v>
      </c>
      <c r="AG170" s="24" t="e">
        <f>SUMIFS(#REF!,#REF!,$B170,#REF!,AG$1)</f>
        <v>#REF!</v>
      </c>
      <c r="AH170" s="24" t="e">
        <f>SUMIFS(#REF!,#REF!,$B170,#REF!,AH$1)</f>
        <v>#REF!</v>
      </c>
      <c r="AI170" s="24" t="e">
        <f>SUMIFS(#REF!,#REF!,$B170,#REF!,AI$1)</f>
        <v>#REF!</v>
      </c>
      <c r="AJ170" s="24" t="e">
        <f>SUMIFS(#REF!,#REF!,$B170,#REF!,AJ$1)</f>
        <v>#REF!</v>
      </c>
      <c r="AK170" s="24" t="e">
        <f>SUMIFS(#REF!,#REF!,$B170,#REF!,AK$1)</f>
        <v>#REF!</v>
      </c>
      <c r="AL170" s="24" t="e">
        <f>SUMIFS(#REF!,#REF!,$B170,#REF!,AL$1)</f>
        <v>#REF!</v>
      </c>
      <c r="AM170" s="24" t="e">
        <f>SUMIFS(#REF!,#REF!,$B170,#REF!,AM$1)</f>
        <v>#REF!</v>
      </c>
      <c r="AN170" s="24" t="e">
        <f>SUMIFS(#REF!,#REF!,$B170,#REF!,AN$1)</f>
        <v>#REF!</v>
      </c>
      <c r="AO170" s="24" t="e">
        <f>SUMIFS(#REF!,#REF!,$B170,#REF!,AO$1)</f>
        <v>#REF!</v>
      </c>
      <c r="AP170" s="24" t="e">
        <f>SUMIFS(#REF!,#REF!,$B170,#REF!,AP$1)</f>
        <v>#REF!</v>
      </c>
      <c r="AQ170" s="24" t="e">
        <f>SUMIFS(#REF!,#REF!,$B170,#REF!,AQ$1)</f>
        <v>#REF!</v>
      </c>
      <c r="AR170" s="24" t="e">
        <f>SUMIFS(#REF!,#REF!,$B170,#REF!,AR$1)</f>
        <v>#REF!</v>
      </c>
      <c r="AS170" s="24" t="e">
        <f>SUMIFS(#REF!,#REF!,$B170,#REF!,AS$1)</f>
        <v>#REF!</v>
      </c>
      <c r="AT170" s="24" t="e">
        <f>SUMIFS(#REF!,#REF!,$B170,#REF!,AT$1)</f>
        <v>#REF!</v>
      </c>
      <c r="AU170" s="24" t="e">
        <f>SUMIFS(#REF!,#REF!,$B170,#REF!,AU$1)</f>
        <v>#REF!</v>
      </c>
      <c r="AV170" s="24" t="e">
        <f>SUMIFS(#REF!,#REF!,$B170,#REF!,AV$1)</f>
        <v>#REF!</v>
      </c>
      <c r="AW170" s="24" t="e">
        <f>SUMIFS(#REF!,#REF!,$B170,#REF!,AW$1)</f>
        <v>#REF!</v>
      </c>
      <c r="AX170" s="24" t="e">
        <f>SUMIFS(#REF!,#REF!,$B170,#REF!,AX$1)</f>
        <v>#REF!</v>
      </c>
      <c r="AY170" s="24" t="e">
        <f>SUMIFS(#REF!,#REF!,$B170,#REF!,AY$1)</f>
        <v>#REF!</v>
      </c>
      <c r="AZ170" s="24" t="e">
        <f>SUMIFS(#REF!,#REF!,$B170,#REF!,AZ$1)</f>
        <v>#REF!</v>
      </c>
      <c r="BA170" s="24" t="e">
        <f>SUMIFS(#REF!,#REF!,$B170,#REF!,BA$1)</f>
        <v>#REF!</v>
      </c>
      <c r="BB170" s="24" t="e">
        <f>SUMIFS(#REF!,#REF!,$B170,#REF!,BB$1)</f>
        <v>#REF!</v>
      </c>
      <c r="BC170" s="24" t="e">
        <f>SUMIFS(#REF!,#REF!,$B170,#REF!,BC$1)</f>
        <v>#REF!</v>
      </c>
      <c r="BD170" s="24" t="e">
        <f>SUMIFS(#REF!,#REF!,$B170,#REF!,BD$1)</f>
        <v>#REF!</v>
      </c>
      <c r="BE170" s="24" t="e">
        <f>SUMIFS(#REF!,#REF!,$B170,#REF!,BE$1)</f>
        <v>#REF!</v>
      </c>
      <c r="BF170" s="24" t="e">
        <f>SUMIFS(#REF!,#REF!,$B170,#REF!,BF$1)</f>
        <v>#REF!</v>
      </c>
      <c r="BG170" s="24" t="e">
        <f>SUMIFS(#REF!,#REF!,$B170,#REF!,BG$1)</f>
        <v>#REF!</v>
      </c>
      <c r="BH170" s="24" t="e">
        <f>SUMIFS(#REF!,#REF!,$B170,#REF!,BH$1)</f>
        <v>#REF!</v>
      </c>
      <c r="BI170" s="24" t="e">
        <f>SUMIFS(#REF!,#REF!,$B170,#REF!,BI$1)</f>
        <v>#REF!</v>
      </c>
      <c r="BJ170" s="24" t="e">
        <f>SUMIFS(#REF!,#REF!,$B170,#REF!,BJ$1)</f>
        <v>#REF!</v>
      </c>
      <c r="BK170" s="24" t="e">
        <f>SUMIFS(#REF!,#REF!,$B170,#REF!,BK$1)</f>
        <v>#REF!</v>
      </c>
      <c r="BL170" s="24" t="e">
        <f>SUMIFS(#REF!,#REF!,$B170,#REF!,BL$1)</f>
        <v>#REF!</v>
      </c>
      <c r="BM170" s="24" t="e">
        <f>SUMIFS(#REF!,#REF!,$B170,#REF!,BM$1)</f>
        <v>#REF!</v>
      </c>
      <c r="BN170" s="24" t="e">
        <f>SUMIFS(#REF!,#REF!,$B170,#REF!,BN$1)</f>
        <v>#REF!</v>
      </c>
      <c r="BO170" s="24" t="e">
        <f>SUMIFS(#REF!,#REF!,$B170,#REF!,BO$1)</f>
        <v>#REF!</v>
      </c>
      <c r="BP170" s="24" t="e">
        <f>SUMIFS(#REF!,#REF!,$B170,#REF!,BP$1)</f>
        <v>#REF!</v>
      </c>
      <c r="BQ170" s="24" t="e">
        <f>SUMIFS(#REF!,#REF!,$B170,#REF!,BQ$1)</f>
        <v>#REF!</v>
      </c>
      <c r="BR170" s="24" t="e">
        <f>SUMIFS(#REF!,#REF!,$B170,#REF!,BR$1)</f>
        <v>#REF!</v>
      </c>
      <c r="BS170" s="24" t="e">
        <f>SUMIFS(#REF!,#REF!,$B170,#REF!,BS$1)</f>
        <v>#REF!</v>
      </c>
      <c r="BT170" s="24" t="e">
        <f>SUMIFS(#REF!,#REF!,$B170,#REF!,BT$1)</f>
        <v>#REF!</v>
      </c>
      <c r="BU170" s="24" t="e">
        <f>SUMIFS(#REF!,#REF!,$B170,#REF!,BU$1)</f>
        <v>#REF!</v>
      </c>
      <c r="BV170" s="24" t="e">
        <f>SUMIFS(#REF!,#REF!,$B170,#REF!,BV$1)</f>
        <v>#REF!</v>
      </c>
      <c r="BW170" s="24" t="e">
        <f>SUMIFS(#REF!,#REF!,$B170,#REF!,BW$1)</f>
        <v>#REF!</v>
      </c>
      <c r="BX170" s="24" t="e">
        <f>SUMIFS(#REF!,#REF!,$B170,#REF!,BX$1)</f>
        <v>#REF!</v>
      </c>
      <c r="BY170" s="24" t="e">
        <f>SUMIFS(#REF!,#REF!,$B170,#REF!,BY$1)</f>
        <v>#REF!</v>
      </c>
      <c r="BZ170" s="24" t="e">
        <f>SUMIFS(#REF!,#REF!,$B170,#REF!,BZ$1)</f>
        <v>#REF!</v>
      </c>
      <c r="CA170" s="24" t="e">
        <f>SUMIFS(#REF!,#REF!,$B170,#REF!,CA$1)</f>
        <v>#REF!</v>
      </c>
      <c r="CB170" s="24" t="e">
        <f>SUMIFS(#REF!,#REF!,$B170,#REF!,CB$1)</f>
        <v>#REF!</v>
      </c>
      <c r="CC170" s="24" t="e">
        <f>SUMIFS(#REF!,#REF!,$B170,#REF!,CC$1)</f>
        <v>#REF!</v>
      </c>
      <c r="CD170" s="24" t="e">
        <f>SUMIFS(#REF!,#REF!,$B170,#REF!,CD$1)</f>
        <v>#REF!</v>
      </c>
      <c r="CE170" s="24" t="e">
        <f>SUMIFS(#REF!,#REF!,$B170,#REF!,CE$1)</f>
        <v>#REF!</v>
      </c>
      <c r="CF170" s="24" t="e">
        <f>SUMIFS(#REF!,#REF!,$B170,#REF!,CF$1)</f>
        <v>#REF!</v>
      </c>
      <c r="CG170" s="19" t="e">
        <f t="shared" si="2"/>
        <v>#REF!</v>
      </c>
    </row>
    <row r="171" spans="1:85" x14ac:dyDescent="0.45">
      <c r="A171" s="4" t="s">
        <v>1324</v>
      </c>
      <c r="B171" s="4" t="s">
        <v>1325</v>
      </c>
      <c r="C171" s="24" t="e">
        <f>SUMIFS(#REF!,#REF!,$B171,#REF!,C$1)</f>
        <v>#REF!</v>
      </c>
      <c r="D171" s="24" t="e">
        <f>SUMIFS(#REF!,#REF!,$B171,#REF!,D$1)</f>
        <v>#REF!</v>
      </c>
      <c r="E171" s="24" t="e">
        <f>SUMIFS(#REF!,#REF!,$B171,#REF!,E$1)</f>
        <v>#REF!</v>
      </c>
      <c r="F171" s="24" t="e">
        <f>SUMIFS(#REF!,#REF!,$B171,#REF!,F$1)</f>
        <v>#REF!</v>
      </c>
      <c r="G171" s="24" t="e">
        <f>SUMIFS(#REF!,#REF!,$B171,#REF!,G$1)</f>
        <v>#REF!</v>
      </c>
      <c r="H171" s="24" t="e">
        <f>SUMIFS(#REF!,#REF!,$B171,#REF!,H$1)</f>
        <v>#REF!</v>
      </c>
      <c r="I171" s="24" t="e">
        <f>SUMIFS(#REF!,#REF!,$B171,#REF!,I$1)</f>
        <v>#REF!</v>
      </c>
      <c r="J171" s="24" t="e">
        <f>SUMIFS(#REF!,#REF!,$B171,#REF!,J$1)</f>
        <v>#REF!</v>
      </c>
      <c r="K171" s="24" t="e">
        <f>SUMIFS(#REF!,#REF!,$B171,#REF!,K$1)</f>
        <v>#REF!</v>
      </c>
      <c r="L171" s="24" t="e">
        <f>SUMIFS(#REF!,#REF!,$B171,#REF!,L$1)</f>
        <v>#REF!</v>
      </c>
      <c r="M171" s="24" t="e">
        <f>SUMIFS(#REF!,#REF!,$B171,#REF!,M$1)</f>
        <v>#REF!</v>
      </c>
      <c r="N171" s="24" t="e">
        <f>SUMIFS(#REF!,#REF!,$B171,#REF!,N$1)</f>
        <v>#REF!</v>
      </c>
      <c r="O171" s="24" t="e">
        <f>SUMIFS(#REF!,#REF!,$B171,#REF!,O$1)</f>
        <v>#REF!</v>
      </c>
      <c r="P171" s="24" t="e">
        <f>SUMIFS(#REF!,#REF!,$B171,#REF!,P$1)</f>
        <v>#REF!</v>
      </c>
      <c r="Q171" s="24" t="e">
        <f>SUMIFS(#REF!,#REF!,$B171,#REF!,Q$1)</f>
        <v>#REF!</v>
      </c>
      <c r="R171" s="24" t="e">
        <f>SUMIFS(#REF!,#REF!,$B171,#REF!,R$1)</f>
        <v>#REF!</v>
      </c>
      <c r="S171" s="24" t="e">
        <f>SUMIFS(#REF!,#REF!,$B171,#REF!,S$1)</f>
        <v>#REF!</v>
      </c>
      <c r="T171" s="24" t="e">
        <f>SUMIFS(#REF!,#REF!,$B171,#REF!,T$1)</f>
        <v>#REF!</v>
      </c>
      <c r="U171" s="24" t="e">
        <f>SUMIFS(#REF!,#REF!,$B171,#REF!,U$1)</f>
        <v>#REF!</v>
      </c>
      <c r="V171" s="24" t="e">
        <f>SUMIFS(#REF!,#REF!,$B171,#REF!,V$1)</f>
        <v>#REF!</v>
      </c>
      <c r="W171" s="24" t="e">
        <f>SUMIFS(#REF!,#REF!,$B171,#REF!,W$1)</f>
        <v>#REF!</v>
      </c>
      <c r="X171" s="24" t="e">
        <f>SUMIFS(#REF!,#REF!,$B171,#REF!,X$1)</f>
        <v>#REF!</v>
      </c>
      <c r="Y171" s="24" t="e">
        <f>SUMIFS(#REF!,#REF!,$B171,#REF!,Y$1)</f>
        <v>#REF!</v>
      </c>
      <c r="Z171" s="24" t="e">
        <f>SUMIFS(#REF!,#REF!,$B171,#REF!,Z$1)</f>
        <v>#REF!</v>
      </c>
      <c r="AA171" s="24" t="e">
        <f>SUMIFS(#REF!,#REF!,$B171,#REF!,AA$1)</f>
        <v>#REF!</v>
      </c>
      <c r="AB171" s="24" t="e">
        <f>SUMIFS(#REF!,#REF!,$B171,#REF!,AB$1)</f>
        <v>#REF!</v>
      </c>
      <c r="AC171" s="24" t="e">
        <f>SUMIFS(#REF!,#REF!,$B171,#REF!,AC$1)</f>
        <v>#REF!</v>
      </c>
      <c r="AD171" s="24" t="e">
        <f>SUMIFS(#REF!,#REF!,$B171,#REF!,AD$1)</f>
        <v>#REF!</v>
      </c>
      <c r="AE171" s="24" t="e">
        <f>SUMIFS(#REF!,#REF!,$B171,#REF!,AE$1)</f>
        <v>#REF!</v>
      </c>
      <c r="AF171" s="24" t="e">
        <f>SUMIFS(#REF!,#REF!,$B171,#REF!,AF$1)</f>
        <v>#REF!</v>
      </c>
      <c r="AG171" s="24" t="e">
        <f>SUMIFS(#REF!,#REF!,$B171,#REF!,AG$1)</f>
        <v>#REF!</v>
      </c>
      <c r="AH171" s="24" t="e">
        <f>SUMIFS(#REF!,#REF!,$B171,#REF!,AH$1)</f>
        <v>#REF!</v>
      </c>
      <c r="AI171" s="24" t="e">
        <f>SUMIFS(#REF!,#REF!,$B171,#REF!,AI$1)</f>
        <v>#REF!</v>
      </c>
      <c r="AJ171" s="24" t="e">
        <f>SUMIFS(#REF!,#REF!,$B171,#REF!,AJ$1)</f>
        <v>#REF!</v>
      </c>
      <c r="AK171" s="24" t="e">
        <f>SUMIFS(#REF!,#REF!,$B171,#REF!,AK$1)</f>
        <v>#REF!</v>
      </c>
      <c r="AL171" s="24" t="e">
        <f>SUMIFS(#REF!,#REF!,$B171,#REF!,AL$1)</f>
        <v>#REF!</v>
      </c>
      <c r="AM171" s="24" t="e">
        <f>SUMIFS(#REF!,#REF!,$B171,#REF!,AM$1)</f>
        <v>#REF!</v>
      </c>
      <c r="AN171" s="24" t="e">
        <f>SUMIFS(#REF!,#REF!,$B171,#REF!,AN$1)</f>
        <v>#REF!</v>
      </c>
      <c r="AO171" s="24" t="e">
        <f>SUMIFS(#REF!,#REF!,$B171,#REF!,AO$1)</f>
        <v>#REF!</v>
      </c>
      <c r="AP171" s="24" t="e">
        <f>SUMIFS(#REF!,#REF!,$B171,#REF!,AP$1)</f>
        <v>#REF!</v>
      </c>
      <c r="AQ171" s="24" t="e">
        <f>SUMIFS(#REF!,#REF!,$B171,#REF!,AQ$1)</f>
        <v>#REF!</v>
      </c>
      <c r="AR171" s="24" t="e">
        <f>SUMIFS(#REF!,#REF!,$B171,#REF!,AR$1)</f>
        <v>#REF!</v>
      </c>
      <c r="AS171" s="24" t="e">
        <f>SUMIFS(#REF!,#REF!,$B171,#REF!,AS$1)</f>
        <v>#REF!</v>
      </c>
      <c r="AT171" s="24" t="e">
        <f>SUMIFS(#REF!,#REF!,$B171,#REF!,AT$1)</f>
        <v>#REF!</v>
      </c>
      <c r="AU171" s="24" t="e">
        <f>SUMIFS(#REF!,#REF!,$B171,#REF!,AU$1)</f>
        <v>#REF!</v>
      </c>
      <c r="AV171" s="24" t="e">
        <f>SUMIFS(#REF!,#REF!,$B171,#REF!,AV$1)</f>
        <v>#REF!</v>
      </c>
      <c r="AW171" s="24" t="e">
        <f>SUMIFS(#REF!,#REF!,$B171,#REF!,AW$1)</f>
        <v>#REF!</v>
      </c>
      <c r="AX171" s="24" t="e">
        <f>SUMIFS(#REF!,#REF!,$B171,#REF!,AX$1)</f>
        <v>#REF!</v>
      </c>
      <c r="AY171" s="24" t="e">
        <f>SUMIFS(#REF!,#REF!,$B171,#REF!,AY$1)</f>
        <v>#REF!</v>
      </c>
      <c r="AZ171" s="24" t="e">
        <f>SUMIFS(#REF!,#REF!,$B171,#REF!,AZ$1)</f>
        <v>#REF!</v>
      </c>
      <c r="BA171" s="24" t="e">
        <f>SUMIFS(#REF!,#REF!,$B171,#REF!,BA$1)</f>
        <v>#REF!</v>
      </c>
      <c r="BB171" s="24" t="e">
        <f>SUMIFS(#REF!,#REF!,$B171,#REF!,BB$1)</f>
        <v>#REF!</v>
      </c>
      <c r="BC171" s="24" t="e">
        <f>SUMIFS(#REF!,#REF!,$B171,#REF!,BC$1)</f>
        <v>#REF!</v>
      </c>
      <c r="BD171" s="24" t="e">
        <f>SUMIFS(#REF!,#REF!,$B171,#REF!,BD$1)</f>
        <v>#REF!</v>
      </c>
      <c r="BE171" s="24" t="e">
        <f>SUMIFS(#REF!,#REF!,$B171,#REF!,BE$1)</f>
        <v>#REF!</v>
      </c>
      <c r="BF171" s="24" t="e">
        <f>SUMIFS(#REF!,#REF!,$B171,#REF!,BF$1)</f>
        <v>#REF!</v>
      </c>
      <c r="BG171" s="24" t="e">
        <f>SUMIFS(#REF!,#REF!,$B171,#REF!,BG$1)</f>
        <v>#REF!</v>
      </c>
      <c r="BH171" s="24" t="e">
        <f>SUMIFS(#REF!,#REF!,$B171,#REF!,BH$1)</f>
        <v>#REF!</v>
      </c>
      <c r="BI171" s="24" t="e">
        <f>SUMIFS(#REF!,#REF!,$B171,#REF!,BI$1)</f>
        <v>#REF!</v>
      </c>
      <c r="BJ171" s="24" t="e">
        <f>SUMIFS(#REF!,#REF!,$B171,#REF!,BJ$1)</f>
        <v>#REF!</v>
      </c>
      <c r="BK171" s="24" t="e">
        <f>SUMIFS(#REF!,#REF!,$B171,#REF!,BK$1)</f>
        <v>#REF!</v>
      </c>
      <c r="BL171" s="24" t="e">
        <f>SUMIFS(#REF!,#REF!,$B171,#REF!,BL$1)</f>
        <v>#REF!</v>
      </c>
      <c r="BM171" s="24" t="e">
        <f>SUMIFS(#REF!,#REF!,$B171,#REF!,BM$1)</f>
        <v>#REF!</v>
      </c>
      <c r="BN171" s="24" t="e">
        <f>SUMIFS(#REF!,#REF!,$B171,#REF!,BN$1)</f>
        <v>#REF!</v>
      </c>
      <c r="BO171" s="24" t="e">
        <f>SUMIFS(#REF!,#REF!,$B171,#REF!,BO$1)</f>
        <v>#REF!</v>
      </c>
      <c r="BP171" s="24" t="e">
        <f>SUMIFS(#REF!,#REF!,$B171,#REF!,BP$1)</f>
        <v>#REF!</v>
      </c>
      <c r="BQ171" s="24" t="e">
        <f>SUMIFS(#REF!,#REF!,$B171,#REF!,BQ$1)</f>
        <v>#REF!</v>
      </c>
      <c r="BR171" s="24" t="e">
        <f>SUMIFS(#REF!,#REF!,$B171,#REF!,BR$1)</f>
        <v>#REF!</v>
      </c>
      <c r="BS171" s="24" t="e">
        <f>SUMIFS(#REF!,#REF!,$B171,#REF!,BS$1)</f>
        <v>#REF!</v>
      </c>
      <c r="BT171" s="24" t="e">
        <f>SUMIFS(#REF!,#REF!,$B171,#REF!,BT$1)</f>
        <v>#REF!</v>
      </c>
      <c r="BU171" s="24" t="e">
        <f>SUMIFS(#REF!,#REF!,$B171,#REF!,BU$1)</f>
        <v>#REF!</v>
      </c>
      <c r="BV171" s="24" t="e">
        <f>SUMIFS(#REF!,#REF!,$B171,#REF!,BV$1)</f>
        <v>#REF!</v>
      </c>
      <c r="BW171" s="24" t="e">
        <f>SUMIFS(#REF!,#REF!,$B171,#REF!,BW$1)</f>
        <v>#REF!</v>
      </c>
      <c r="BX171" s="24" t="e">
        <f>SUMIFS(#REF!,#REF!,$B171,#REF!,BX$1)</f>
        <v>#REF!</v>
      </c>
      <c r="BY171" s="24" t="e">
        <f>SUMIFS(#REF!,#REF!,$B171,#REF!,BY$1)</f>
        <v>#REF!</v>
      </c>
      <c r="BZ171" s="24" t="e">
        <f>SUMIFS(#REF!,#REF!,$B171,#REF!,BZ$1)</f>
        <v>#REF!</v>
      </c>
      <c r="CA171" s="24" t="e">
        <f>SUMIFS(#REF!,#REF!,$B171,#REF!,CA$1)</f>
        <v>#REF!</v>
      </c>
      <c r="CB171" s="24" t="e">
        <f>SUMIFS(#REF!,#REF!,$B171,#REF!,CB$1)</f>
        <v>#REF!</v>
      </c>
      <c r="CC171" s="24" t="e">
        <f>SUMIFS(#REF!,#REF!,$B171,#REF!,CC$1)</f>
        <v>#REF!</v>
      </c>
      <c r="CD171" s="24" t="e">
        <f>SUMIFS(#REF!,#REF!,$B171,#REF!,CD$1)</f>
        <v>#REF!</v>
      </c>
      <c r="CE171" s="24" t="e">
        <f>SUMIFS(#REF!,#REF!,$B171,#REF!,CE$1)</f>
        <v>#REF!</v>
      </c>
      <c r="CF171" s="24" t="e">
        <f>SUMIFS(#REF!,#REF!,$B171,#REF!,CF$1)</f>
        <v>#REF!</v>
      </c>
      <c r="CG171" s="19" t="e">
        <f t="shared" si="2"/>
        <v>#REF!</v>
      </c>
    </row>
    <row r="172" spans="1:85" x14ac:dyDescent="0.45">
      <c r="A172" s="4" t="s">
        <v>1326</v>
      </c>
      <c r="B172" s="4" t="s">
        <v>1327</v>
      </c>
      <c r="C172" s="24" t="e">
        <f>SUMIFS(#REF!,#REF!,$B172,#REF!,C$1)</f>
        <v>#REF!</v>
      </c>
      <c r="D172" s="24" t="e">
        <f>SUMIFS(#REF!,#REF!,$B172,#REF!,D$1)</f>
        <v>#REF!</v>
      </c>
      <c r="E172" s="24" t="e">
        <f>SUMIFS(#REF!,#REF!,$B172,#REF!,E$1)</f>
        <v>#REF!</v>
      </c>
      <c r="F172" s="24" t="e">
        <f>SUMIFS(#REF!,#REF!,$B172,#REF!,F$1)</f>
        <v>#REF!</v>
      </c>
      <c r="G172" s="24" t="e">
        <f>SUMIFS(#REF!,#REF!,$B172,#REF!,G$1)</f>
        <v>#REF!</v>
      </c>
      <c r="H172" s="24" t="e">
        <f>SUMIFS(#REF!,#REF!,$B172,#REF!,H$1)</f>
        <v>#REF!</v>
      </c>
      <c r="I172" s="24" t="e">
        <f>SUMIFS(#REF!,#REF!,$B172,#REF!,I$1)</f>
        <v>#REF!</v>
      </c>
      <c r="J172" s="24" t="e">
        <f>SUMIFS(#REF!,#REF!,$B172,#REF!,J$1)</f>
        <v>#REF!</v>
      </c>
      <c r="K172" s="24" t="e">
        <f>SUMIFS(#REF!,#REF!,$B172,#REF!,K$1)</f>
        <v>#REF!</v>
      </c>
      <c r="L172" s="24" t="e">
        <f>SUMIFS(#REF!,#REF!,$B172,#REF!,L$1)</f>
        <v>#REF!</v>
      </c>
      <c r="M172" s="24" t="e">
        <f>SUMIFS(#REF!,#REF!,$B172,#REF!,M$1)</f>
        <v>#REF!</v>
      </c>
      <c r="N172" s="24" t="e">
        <f>SUMIFS(#REF!,#REF!,$B172,#REF!,N$1)</f>
        <v>#REF!</v>
      </c>
      <c r="O172" s="24" t="e">
        <f>SUMIFS(#REF!,#REF!,$B172,#REF!,O$1)</f>
        <v>#REF!</v>
      </c>
      <c r="P172" s="24" t="e">
        <f>SUMIFS(#REF!,#REF!,$B172,#REF!,P$1)</f>
        <v>#REF!</v>
      </c>
      <c r="Q172" s="24" t="e">
        <f>SUMIFS(#REF!,#REF!,$B172,#REF!,Q$1)</f>
        <v>#REF!</v>
      </c>
      <c r="R172" s="24" t="e">
        <f>SUMIFS(#REF!,#REF!,$B172,#REF!,R$1)</f>
        <v>#REF!</v>
      </c>
      <c r="S172" s="24" t="e">
        <f>SUMIFS(#REF!,#REF!,$B172,#REF!,S$1)</f>
        <v>#REF!</v>
      </c>
      <c r="T172" s="24" t="e">
        <f>SUMIFS(#REF!,#REF!,$B172,#REF!,T$1)</f>
        <v>#REF!</v>
      </c>
      <c r="U172" s="24" t="e">
        <f>SUMIFS(#REF!,#REF!,$B172,#REF!,U$1)</f>
        <v>#REF!</v>
      </c>
      <c r="V172" s="24" t="e">
        <f>SUMIFS(#REF!,#REF!,$B172,#REF!,V$1)</f>
        <v>#REF!</v>
      </c>
      <c r="W172" s="24" t="e">
        <f>SUMIFS(#REF!,#REF!,$B172,#REF!,W$1)</f>
        <v>#REF!</v>
      </c>
      <c r="X172" s="24" t="e">
        <f>SUMIFS(#REF!,#REF!,$B172,#REF!,X$1)</f>
        <v>#REF!</v>
      </c>
      <c r="Y172" s="24" t="e">
        <f>SUMIFS(#REF!,#REF!,$B172,#REF!,Y$1)</f>
        <v>#REF!</v>
      </c>
      <c r="Z172" s="24" t="e">
        <f>SUMIFS(#REF!,#REF!,$B172,#REF!,Z$1)</f>
        <v>#REF!</v>
      </c>
      <c r="AA172" s="24" t="e">
        <f>SUMIFS(#REF!,#REF!,$B172,#REF!,AA$1)</f>
        <v>#REF!</v>
      </c>
      <c r="AB172" s="24" t="e">
        <f>SUMIFS(#REF!,#REF!,$B172,#REF!,AB$1)</f>
        <v>#REF!</v>
      </c>
      <c r="AC172" s="24" t="e">
        <f>SUMIFS(#REF!,#REF!,$B172,#REF!,AC$1)</f>
        <v>#REF!</v>
      </c>
      <c r="AD172" s="24" t="e">
        <f>SUMIFS(#REF!,#REF!,$B172,#REF!,AD$1)</f>
        <v>#REF!</v>
      </c>
      <c r="AE172" s="24" t="e">
        <f>SUMIFS(#REF!,#REF!,$B172,#REF!,AE$1)</f>
        <v>#REF!</v>
      </c>
      <c r="AF172" s="24" t="e">
        <f>SUMIFS(#REF!,#REF!,$B172,#REF!,AF$1)</f>
        <v>#REF!</v>
      </c>
      <c r="AG172" s="24" t="e">
        <f>SUMIFS(#REF!,#REF!,$B172,#REF!,AG$1)</f>
        <v>#REF!</v>
      </c>
      <c r="AH172" s="24" t="e">
        <f>SUMIFS(#REF!,#REF!,$B172,#REF!,AH$1)</f>
        <v>#REF!</v>
      </c>
      <c r="AI172" s="24" t="e">
        <f>SUMIFS(#REF!,#REF!,$B172,#REF!,AI$1)</f>
        <v>#REF!</v>
      </c>
      <c r="AJ172" s="24" t="e">
        <f>SUMIFS(#REF!,#REF!,$B172,#REF!,AJ$1)</f>
        <v>#REF!</v>
      </c>
      <c r="AK172" s="24" t="e">
        <f>SUMIFS(#REF!,#REF!,$B172,#REF!,AK$1)</f>
        <v>#REF!</v>
      </c>
      <c r="AL172" s="24" t="e">
        <f>SUMIFS(#REF!,#REF!,$B172,#REF!,AL$1)</f>
        <v>#REF!</v>
      </c>
      <c r="AM172" s="24" t="e">
        <f>SUMIFS(#REF!,#REF!,$B172,#REF!,AM$1)</f>
        <v>#REF!</v>
      </c>
      <c r="AN172" s="24" t="e">
        <f>SUMIFS(#REF!,#REF!,$B172,#REF!,AN$1)</f>
        <v>#REF!</v>
      </c>
      <c r="AO172" s="24" t="e">
        <f>SUMIFS(#REF!,#REF!,$B172,#REF!,AO$1)</f>
        <v>#REF!</v>
      </c>
      <c r="AP172" s="24" t="e">
        <f>SUMIFS(#REF!,#REF!,$B172,#REF!,AP$1)</f>
        <v>#REF!</v>
      </c>
      <c r="AQ172" s="24" t="e">
        <f>SUMIFS(#REF!,#REF!,$B172,#REF!,AQ$1)</f>
        <v>#REF!</v>
      </c>
      <c r="AR172" s="24" t="e">
        <f>SUMIFS(#REF!,#REF!,$B172,#REF!,AR$1)</f>
        <v>#REF!</v>
      </c>
      <c r="AS172" s="24" t="e">
        <f>SUMIFS(#REF!,#REF!,$B172,#REF!,AS$1)</f>
        <v>#REF!</v>
      </c>
      <c r="AT172" s="24" t="e">
        <f>SUMIFS(#REF!,#REF!,$B172,#REF!,AT$1)</f>
        <v>#REF!</v>
      </c>
      <c r="AU172" s="24" t="e">
        <f>SUMIFS(#REF!,#REF!,$B172,#REF!,AU$1)</f>
        <v>#REF!</v>
      </c>
      <c r="AV172" s="24" t="e">
        <f>SUMIFS(#REF!,#REF!,$B172,#REF!,AV$1)</f>
        <v>#REF!</v>
      </c>
      <c r="AW172" s="24" t="e">
        <f>SUMIFS(#REF!,#REF!,$B172,#REF!,AW$1)</f>
        <v>#REF!</v>
      </c>
      <c r="AX172" s="24" t="e">
        <f>SUMIFS(#REF!,#REF!,$B172,#REF!,AX$1)</f>
        <v>#REF!</v>
      </c>
      <c r="AY172" s="24" t="e">
        <f>SUMIFS(#REF!,#REF!,$B172,#REF!,AY$1)</f>
        <v>#REF!</v>
      </c>
      <c r="AZ172" s="24" t="e">
        <f>SUMIFS(#REF!,#REF!,$B172,#REF!,AZ$1)</f>
        <v>#REF!</v>
      </c>
      <c r="BA172" s="24" t="e">
        <f>SUMIFS(#REF!,#REF!,$B172,#REF!,BA$1)</f>
        <v>#REF!</v>
      </c>
      <c r="BB172" s="24" t="e">
        <f>SUMIFS(#REF!,#REF!,$B172,#REF!,BB$1)</f>
        <v>#REF!</v>
      </c>
      <c r="BC172" s="24" t="e">
        <f>SUMIFS(#REF!,#REF!,$B172,#REF!,BC$1)</f>
        <v>#REF!</v>
      </c>
      <c r="BD172" s="24" t="e">
        <f>SUMIFS(#REF!,#REF!,$B172,#REF!,BD$1)</f>
        <v>#REF!</v>
      </c>
      <c r="BE172" s="24" t="e">
        <f>SUMIFS(#REF!,#REF!,$B172,#REF!,BE$1)</f>
        <v>#REF!</v>
      </c>
      <c r="BF172" s="24" t="e">
        <f>SUMIFS(#REF!,#REF!,$B172,#REF!,BF$1)</f>
        <v>#REF!</v>
      </c>
      <c r="BG172" s="24" t="e">
        <f>SUMIFS(#REF!,#REF!,$B172,#REF!,BG$1)</f>
        <v>#REF!</v>
      </c>
      <c r="BH172" s="24" t="e">
        <f>SUMIFS(#REF!,#REF!,$B172,#REF!,BH$1)</f>
        <v>#REF!</v>
      </c>
      <c r="BI172" s="24" t="e">
        <f>SUMIFS(#REF!,#REF!,$B172,#REF!,BI$1)</f>
        <v>#REF!</v>
      </c>
      <c r="BJ172" s="24" t="e">
        <f>SUMIFS(#REF!,#REF!,$B172,#REF!,BJ$1)</f>
        <v>#REF!</v>
      </c>
      <c r="BK172" s="24" t="e">
        <f>SUMIFS(#REF!,#REF!,$B172,#REF!,BK$1)</f>
        <v>#REF!</v>
      </c>
      <c r="BL172" s="24" t="e">
        <f>SUMIFS(#REF!,#REF!,$B172,#REF!,BL$1)</f>
        <v>#REF!</v>
      </c>
      <c r="BM172" s="24" t="e">
        <f>SUMIFS(#REF!,#REF!,$B172,#REF!,BM$1)</f>
        <v>#REF!</v>
      </c>
      <c r="BN172" s="24" t="e">
        <f>SUMIFS(#REF!,#REF!,$B172,#REF!,BN$1)</f>
        <v>#REF!</v>
      </c>
      <c r="BO172" s="24" t="e">
        <f>SUMIFS(#REF!,#REF!,$B172,#REF!,BO$1)</f>
        <v>#REF!</v>
      </c>
      <c r="BP172" s="24" t="e">
        <f>SUMIFS(#REF!,#REF!,$B172,#REF!,BP$1)</f>
        <v>#REF!</v>
      </c>
      <c r="BQ172" s="24" t="e">
        <f>SUMIFS(#REF!,#REF!,$B172,#REF!,BQ$1)</f>
        <v>#REF!</v>
      </c>
      <c r="BR172" s="24" t="e">
        <f>SUMIFS(#REF!,#REF!,$B172,#REF!,BR$1)</f>
        <v>#REF!</v>
      </c>
      <c r="BS172" s="24" t="e">
        <f>SUMIFS(#REF!,#REF!,$B172,#REF!,BS$1)</f>
        <v>#REF!</v>
      </c>
      <c r="BT172" s="24" t="e">
        <f>SUMIFS(#REF!,#REF!,$B172,#REF!,BT$1)</f>
        <v>#REF!</v>
      </c>
      <c r="BU172" s="24" t="e">
        <f>SUMIFS(#REF!,#REF!,$B172,#REF!,BU$1)</f>
        <v>#REF!</v>
      </c>
      <c r="BV172" s="24" t="e">
        <f>SUMIFS(#REF!,#REF!,$B172,#REF!,BV$1)</f>
        <v>#REF!</v>
      </c>
      <c r="BW172" s="24" t="e">
        <f>SUMIFS(#REF!,#REF!,$B172,#REF!,BW$1)</f>
        <v>#REF!</v>
      </c>
      <c r="BX172" s="24" t="e">
        <f>SUMIFS(#REF!,#REF!,$B172,#REF!,BX$1)</f>
        <v>#REF!</v>
      </c>
      <c r="BY172" s="24" t="e">
        <f>SUMIFS(#REF!,#REF!,$B172,#REF!,BY$1)</f>
        <v>#REF!</v>
      </c>
      <c r="BZ172" s="24" t="e">
        <f>SUMIFS(#REF!,#REF!,$B172,#REF!,BZ$1)</f>
        <v>#REF!</v>
      </c>
      <c r="CA172" s="24" t="e">
        <f>SUMIFS(#REF!,#REF!,$B172,#REF!,CA$1)</f>
        <v>#REF!</v>
      </c>
      <c r="CB172" s="24" t="e">
        <f>SUMIFS(#REF!,#REF!,$B172,#REF!,CB$1)</f>
        <v>#REF!</v>
      </c>
      <c r="CC172" s="24" t="e">
        <f>SUMIFS(#REF!,#REF!,$B172,#REF!,CC$1)</f>
        <v>#REF!</v>
      </c>
      <c r="CD172" s="24" t="e">
        <f>SUMIFS(#REF!,#REF!,$B172,#REF!,CD$1)</f>
        <v>#REF!</v>
      </c>
      <c r="CE172" s="24" t="e">
        <f>SUMIFS(#REF!,#REF!,$B172,#REF!,CE$1)</f>
        <v>#REF!</v>
      </c>
      <c r="CF172" s="24" t="e">
        <f>SUMIFS(#REF!,#REF!,$B172,#REF!,CF$1)</f>
        <v>#REF!</v>
      </c>
      <c r="CG172" s="19" t="e">
        <f t="shared" si="2"/>
        <v>#REF!</v>
      </c>
    </row>
    <row r="173" spans="1:85" x14ac:dyDescent="0.45">
      <c r="A173" s="4" t="s">
        <v>1328</v>
      </c>
      <c r="B173" s="4" t="s">
        <v>1329</v>
      </c>
      <c r="C173" s="24" t="e">
        <f>SUMIFS(#REF!,#REF!,$B173,#REF!,C$1)</f>
        <v>#REF!</v>
      </c>
      <c r="D173" s="24" t="e">
        <f>SUMIFS(#REF!,#REF!,$B173,#REF!,D$1)</f>
        <v>#REF!</v>
      </c>
      <c r="E173" s="24" t="e">
        <f>SUMIFS(#REF!,#REF!,$B173,#REF!,E$1)</f>
        <v>#REF!</v>
      </c>
      <c r="F173" s="24" t="e">
        <f>SUMIFS(#REF!,#REF!,$B173,#REF!,F$1)</f>
        <v>#REF!</v>
      </c>
      <c r="G173" s="24" t="e">
        <f>SUMIFS(#REF!,#REF!,$B173,#REF!,G$1)</f>
        <v>#REF!</v>
      </c>
      <c r="H173" s="24" t="e">
        <f>SUMIFS(#REF!,#REF!,$B173,#REF!,H$1)</f>
        <v>#REF!</v>
      </c>
      <c r="I173" s="24" t="e">
        <f>SUMIFS(#REF!,#REF!,$B173,#REF!,I$1)</f>
        <v>#REF!</v>
      </c>
      <c r="J173" s="24" t="e">
        <f>SUMIFS(#REF!,#REF!,$B173,#REF!,J$1)</f>
        <v>#REF!</v>
      </c>
      <c r="K173" s="24" t="e">
        <f>SUMIFS(#REF!,#REF!,$B173,#REF!,K$1)</f>
        <v>#REF!</v>
      </c>
      <c r="L173" s="24" t="e">
        <f>SUMIFS(#REF!,#REF!,$B173,#REF!,L$1)</f>
        <v>#REF!</v>
      </c>
      <c r="M173" s="24" t="e">
        <f>SUMIFS(#REF!,#REF!,$B173,#REF!,M$1)</f>
        <v>#REF!</v>
      </c>
      <c r="N173" s="24" t="e">
        <f>SUMIFS(#REF!,#REF!,$B173,#REF!,N$1)</f>
        <v>#REF!</v>
      </c>
      <c r="O173" s="24" t="e">
        <f>SUMIFS(#REF!,#REF!,$B173,#REF!,O$1)</f>
        <v>#REF!</v>
      </c>
      <c r="P173" s="24" t="e">
        <f>SUMIFS(#REF!,#REF!,$B173,#REF!,P$1)</f>
        <v>#REF!</v>
      </c>
      <c r="Q173" s="24" t="e">
        <f>SUMIFS(#REF!,#REF!,$B173,#REF!,Q$1)</f>
        <v>#REF!</v>
      </c>
      <c r="R173" s="24" t="e">
        <f>SUMIFS(#REF!,#REF!,$B173,#REF!,R$1)</f>
        <v>#REF!</v>
      </c>
      <c r="S173" s="24" t="e">
        <f>SUMIFS(#REF!,#REF!,$B173,#REF!,S$1)</f>
        <v>#REF!</v>
      </c>
      <c r="T173" s="24" t="e">
        <f>SUMIFS(#REF!,#REF!,$B173,#REF!,T$1)</f>
        <v>#REF!</v>
      </c>
      <c r="U173" s="24" t="e">
        <f>SUMIFS(#REF!,#REF!,$B173,#REF!,U$1)</f>
        <v>#REF!</v>
      </c>
      <c r="V173" s="24" t="e">
        <f>SUMIFS(#REF!,#REF!,$B173,#REF!,V$1)</f>
        <v>#REF!</v>
      </c>
      <c r="W173" s="24" t="e">
        <f>SUMIFS(#REF!,#REF!,$B173,#REF!,W$1)</f>
        <v>#REF!</v>
      </c>
      <c r="X173" s="24" t="e">
        <f>SUMIFS(#REF!,#REF!,$B173,#REF!,X$1)</f>
        <v>#REF!</v>
      </c>
      <c r="Y173" s="24" t="e">
        <f>SUMIFS(#REF!,#REF!,$B173,#REF!,Y$1)</f>
        <v>#REF!</v>
      </c>
      <c r="Z173" s="24" t="e">
        <f>SUMIFS(#REF!,#REF!,$B173,#REF!,Z$1)</f>
        <v>#REF!</v>
      </c>
      <c r="AA173" s="24" t="e">
        <f>SUMIFS(#REF!,#REF!,$B173,#REF!,AA$1)</f>
        <v>#REF!</v>
      </c>
      <c r="AB173" s="24" t="e">
        <f>SUMIFS(#REF!,#REF!,$B173,#REF!,AB$1)</f>
        <v>#REF!</v>
      </c>
      <c r="AC173" s="24" t="e">
        <f>SUMIFS(#REF!,#REF!,$B173,#REF!,AC$1)</f>
        <v>#REF!</v>
      </c>
      <c r="AD173" s="24" t="e">
        <f>SUMIFS(#REF!,#REF!,$B173,#REF!,AD$1)</f>
        <v>#REF!</v>
      </c>
      <c r="AE173" s="24" t="e">
        <f>SUMIFS(#REF!,#REF!,$B173,#REF!,AE$1)</f>
        <v>#REF!</v>
      </c>
      <c r="AF173" s="24" t="e">
        <f>SUMIFS(#REF!,#REF!,$B173,#REF!,AF$1)</f>
        <v>#REF!</v>
      </c>
      <c r="AG173" s="24" t="e">
        <f>SUMIFS(#REF!,#REF!,$B173,#REF!,AG$1)</f>
        <v>#REF!</v>
      </c>
      <c r="AH173" s="24" t="e">
        <f>SUMIFS(#REF!,#REF!,$B173,#REF!,AH$1)</f>
        <v>#REF!</v>
      </c>
      <c r="AI173" s="24" t="e">
        <f>SUMIFS(#REF!,#REF!,$B173,#REF!,AI$1)</f>
        <v>#REF!</v>
      </c>
      <c r="AJ173" s="24" t="e">
        <f>SUMIFS(#REF!,#REF!,$B173,#REF!,AJ$1)</f>
        <v>#REF!</v>
      </c>
      <c r="AK173" s="24" t="e">
        <f>SUMIFS(#REF!,#REF!,$B173,#REF!,AK$1)</f>
        <v>#REF!</v>
      </c>
      <c r="AL173" s="24" t="e">
        <f>SUMIFS(#REF!,#REF!,$B173,#REF!,AL$1)</f>
        <v>#REF!</v>
      </c>
      <c r="AM173" s="24" t="e">
        <f>SUMIFS(#REF!,#REF!,$B173,#REF!,AM$1)</f>
        <v>#REF!</v>
      </c>
      <c r="AN173" s="24" t="e">
        <f>SUMIFS(#REF!,#REF!,$B173,#REF!,AN$1)</f>
        <v>#REF!</v>
      </c>
      <c r="AO173" s="24" t="e">
        <f>SUMIFS(#REF!,#REF!,$B173,#REF!,AO$1)</f>
        <v>#REF!</v>
      </c>
      <c r="AP173" s="24" t="e">
        <f>SUMIFS(#REF!,#REF!,$B173,#REF!,AP$1)</f>
        <v>#REF!</v>
      </c>
      <c r="AQ173" s="24" t="e">
        <f>SUMIFS(#REF!,#REF!,$B173,#REF!,AQ$1)</f>
        <v>#REF!</v>
      </c>
      <c r="AR173" s="24" t="e">
        <f>SUMIFS(#REF!,#REF!,$B173,#REF!,AR$1)</f>
        <v>#REF!</v>
      </c>
      <c r="AS173" s="24" t="e">
        <f>SUMIFS(#REF!,#REF!,$B173,#REF!,AS$1)</f>
        <v>#REF!</v>
      </c>
      <c r="AT173" s="24" t="e">
        <f>SUMIFS(#REF!,#REF!,$B173,#REF!,AT$1)</f>
        <v>#REF!</v>
      </c>
      <c r="AU173" s="24" t="e">
        <f>SUMIFS(#REF!,#REF!,$B173,#REF!,AU$1)</f>
        <v>#REF!</v>
      </c>
      <c r="AV173" s="24" t="e">
        <f>SUMIFS(#REF!,#REF!,$B173,#REF!,AV$1)</f>
        <v>#REF!</v>
      </c>
      <c r="AW173" s="24" t="e">
        <f>SUMIFS(#REF!,#REF!,$B173,#REF!,AW$1)</f>
        <v>#REF!</v>
      </c>
      <c r="AX173" s="24" t="e">
        <f>SUMIFS(#REF!,#REF!,$B173,#REF!,AX$1)</f>
        <v>#REF!</v>
      </c>
      <c r="AY173" s="24" t="e">
        <f>SUMIFS(#REF!,#REF!,$B173,#REF!,AY$1)</f>
        <v>#REF!</v>
      </c>
      <c r="AZ173" s="24" t="e">
        <f>SUMIFS(#REF!,#REF!,$B173,#REF!,AZ$1)</f>
        <v>#REF!</v>
      </c>
      <c r="BA173" s="24" t="e">
        <f>SUMIFS(#REF!,#REF!,$B173,#REF!,BA$1)</f>
        <v>#REF!</v>
      </c>
      <c r="BB173" s="24" t="e">
        <f>SUMIFS(#REF!,#REF!,$B173,#REF!,BB$1)</f>
        <v>#REF!</v>
      </c>
      <c r="BC173" s="24" t="e">
        <f>SUMIFS(#REF!,#REF!,$B173,#REF!,BC$1)</f>
        <v>#REF!</v>
      </c>
      <c r="BD173" s="24" t="e">
        <f>SUMIFS(#REF!,#REF!,$B173,#REF!,BD$1)</f>
        <v>#REF!</v>
      </c>
      <c r="BE173" s="24" t="e">
        <f>SUMIFS(#REF!,#REF!,$B173,#REF!,BE$1)</f>
        <v>#REF!</v>
      </c>
      <c r="BF173" s="24" t="e">
        <f>SUMIFS(#REF!,#REF!,$B173,#REF!,BF$1)</f>
        <v>#REF!</v>
      </c>
      <c r="BG173" s="24" t="e">
        <f>SUMIFS(#REF!,#REF!,$B173,#REF!,BG$1)</f>
        <v>#REF!</v>
      </c>
      <c r="BH173" s="24" t="e">
        <f>SUMIFS(#REF!,#REF!,$B173,#REF!,BH$1)</f>
        <v>#REF!</v>
      </c>
      <c r="BI173" s="24" t="e">
        <f>SUMIFS(#REF!,#REF!,$B173,#REF!,BI$1)</f>
        <v>#REF!</v>
      </c>
      <c r="BJ173" s="24" t="e">
        <f>SUMIFS(#REF!,#REF!,$B173,#REF!,BJ$1)</f>
        <v>#REF!</v>
      </c>
      <c r="BK173" s="24" t="e">
        <f>SUMIFS(#REF!,#REF!,$B173,#REF!,BK$1)</f>
        <v>#REF!</v>
      </c>
      <c r="BL173" s="24" t="e">
        <f>SUMIFS(#REF!,#REF!,$B173,#REF!,BL$1)</f>
        <v>#REF!</v>
      </c>
      <c r="BM173" s="24" t="e">
        <f>SUMIFS(#REF!,#REF!,$B173,#REF!,BM$1)</f>
        <v>#REF!</v>
      </c>
      <c r="BN173" s="24" t="e">
        <f>SUMIFS(#REF!,#REF!,$B173,#REF!,BN$1)</f>
        <v>#REF!</v>
      </c>
      <c r="BO173" s="24" t="e">
        <f>SUMIFS(#REF!,#REF!,$B173,#REF!,BO$1)</f>
        <v>#REF!</v>
      </c>
      <c r="BP173" s="24" t="e">
        <f>SUMIFS(#REF!,#REF!,$B173,#REF!,BP$1)</f>
        <v>#REF!</v>
      </c>
      <c r="BQ173" s="24" t="e">
        <f>SUMIFS(#REF!,#REF!,$B173,#REF!,BQ$1)</f>
        <v>#REF!</v>
      </c>
      <c r="BR173" s="24" t="e">
        <f>SUMIFS(#REF!,#REF!,$B173,#REF!,BR$1)</f>
        <v>#REF!</v>
      </c>
      <c r="BS173" s="24" t="e">
        <f>SUMIFS(#REF!,#REF!,$B173,#REF!,BS$1)</f>
        <v>#REF!</v>
      </c>
      <c r="BT173" s="24" t="e">
        <f>SUMIFS(#REF!,#REF!,$B173,#REF!,BT$1)</f>
        <v>#REF!</v>
      </c>
      <c r="BU173" s="24" t="e">
        <f>SUMIFS(#REF!,#REF!,$B173,#REF!,BU$1)</f>
        <v>#REF!</v>
      </c>
      <c r="BV173" s="24" t="e">
        <f>SUMIFS(#REF!,#REF!,$B173,#REF!,BV$1)</f>
        <v>#REF!</v>
      </c>
      <c r="BW173" s="24" t="e">
        <f>SUMIFS(#REF!,#REF!,$B173,#REF!,BW$1)</f>
        <v>#REF!</v>
      </c>
      <c r="BX173" s="24" t="e">
        <f>SUMIFS(#REF!,#REF!,$B173,#REF!,BX$1)</f>
        <v>#REF!</v>
      </c>
      <c r="BY173" s="24" t="e">
        <f>SUMIFS(#REF!,#REF!,$B173,#REF!,BY$1)</f>
        <v>#REF!</v>
      </c>
      <c r="BZ173" s="24" t="e">
        <f>SUMIFS(#REF!,#REF!,$B173,#REF!,BZ$1)</f>
        <v>#REF!</v>
      </c>
      <c r="CA173" s="24" t="e">
        <f>SUMIFS(#REF!,#REF!,$B173,#REF!,CA$1)</f>
        <v>#REF!</v>
      </c>
      <c r="CB173" s="24" t="e">
        <f>SUMIFS(#REF!,#REF!,$B173,#REF!,CB$1)</f>
        <v>#REF!</v>
      </c>
      <c r="CC173" s="24" t="e">
        <f>SUMIFS(#REF!,#REF!,$B173,#REF!,CC$1)</f>
        <v>#REF!</v>
      </c>
      <c r="CD173" s="24" t="e">
        <f>SUMIFS(#REF!,#REF!,$B173,#REF!,CD$1)</f>
        <v>#REF!</v>
      </c>
      <c r="CE173" s="24" t="e">
        <f>SUMIFS(#REF!,#REF!,$B173,#REF!,CE$1)</f>
        <v>#REF!</v>
      </c>
      <c r="CF173" s="24" t="e">
        <f>SUMIFS(#REF!,#REF!,$B173,#REF!,CF$1)</f>
        <v>#REF!</v>
      </c>
      <c r="CG173" s="19" t="e">
        <f t="shared" si="2"/>
        <v>#REF!</v>
      </c>
    </row>
    <row r="174" spans="1:85" x14ac:dyDescent="0.45">
      <c r="A174" s="4" t="s">
        <v>1330</v>
      </c>
      <c r="B174" s="4" t="s">
        <v>1331</v>
      </c>
      <c r="C174" s="24" t="e">
        <f>SUMIFS(#REF!,#REF!,$B174,#REF!,C$1)</f>
        <v>#REF!</v>
      </c>
      <c r="D174" s="24" t="e">
        <f>SUMIFS(#REF!,#REF!,$B174,#REF!,D$1)</f>
        <v>#REF!</v>
      </c>
      <c r="E174" s="24" t="e">
        <f>SUMIFS(#REF!,#REF!,$B174,#REF!,E$1)</f>
        <v>#REF!</v>
      </c>
      <c r="F174" s="24" t="e">
        <f>SUMIFS(#REF!,#REF!,$B174,#REF!,F$1)</f>
        <v>#REF!</v>
      </c>
      <c r="G174" s="24" t="e">
        <f>SUMIFS(#REF!,#REF!,$B174,#REF!,G$1)</f>
        <v>#REF!</v>
      </c>
      <c r="H174" s="24" t="e">
        <f>SUMIFS(#REF!,#REF!,$B174,#REF!,H$1)</f>
        <v>#REF!</v>
      </c>
      <c r="I174" s="24" t="e">
        <f>SUMIFS(#REF!,#REF!,$B174,#REF!,I$1)</f>
        <v>#REF!</v>
      </c>
      <c r="J174" s="24" t="e">
        <f>SUMIFS(#REF!,#REF!,$B174,#REF!,J$1)</f>
        <v>#REF!</v>
      </c>
      <c r="K174" s="24" t="e">
        <f>SUMIFS(#REF!,#REF!,$B174,#REF!,K$1)</f>
        <v>#REF!</v>
      </c>
      <c r="L174" s="24" t="e">
        <f>SUMIFS(#REF!,#REF!,$B174,#REF!,L$1)</f>
        <v>#REF!</v>
      </c>
      <c r="M174" s="24" t="e">
        <f>SUMIFS(#REF!,#REF!,$B174,#REF!,M$1)</f>
        <v>#REF!</v>
      </c>
      <c r="N174" s="24" t="e">
        <f>SUMIFS(#REF!,#REF!,$B174,#REF!,N$1)</f>
        <v>#REF!</v>
      </c>
      <c r="O174" s="24" t="e">
        <f>SUMIFS(#REF!,#REF!,$B174,#REF!,O$1)</f>
        <v>#REF!</v>
      </c>
      <c r="P174" s="24" t="e">
        <f>SUMIFS(#REF!,#REF!,$B174,#REF!,P$1)</f>
        <v>#REF!</v>
      </c>
      <c r="Q174" s="24" t="e">
        <f>SUMIFS(#REF!,#REF!,$B174,#REF!,Q$1)</f>
        <v>#REF!</v>
      </c>
      <c r="R174" s="24" t="e">
        <f>SUMIFS(#REF!,#REF!,$B174,#REF!,R$1)</f>
        <v>#REF!</v>
      </c>
      <c r="S174" s="24" t="e">
        <f>SUMIFS(#REF!,#REF!,$B174,#REF!,S$1)</f>
        <v>#REF!</v>
      </c>
      <c r="T174" s="24" t="e">
        <f>SUMIFS(#REF!,#REF!,$B174,#REF!,T$1)</f>
        <v>#REF!</v>
      </c>
      <c r="U174" s="24" t="e">
        <f>SUMIFS(#REF!,#REF!,$B174,#REF!,U$1)</f>
        <v>#REF!</v>
      </c>
      <c r="V174" s="24" t="e">
        <f>SUMIFS(#REF!,#REF!,$B174,#REF!,V$1)</f>
        <v>#REF!</v>
      </c>
      <c r="W174" s="24" t="e">
        <f>SUMIFS(#REF!,#REF!,$B174,#REF!,W$1)</f>
        <v>#REF!</v>
      </c>
      <c r="X174" s="24" t="e">
        <f>SUMIFS(#REF!,#REF!,$B174,#REF!,X$1)</f>
        <v>#REF!</v>
      </c>
      <c r="Y174" s="24" t="e">
        <f>SUMIFS(#REF!,#REF!,$B174,#REF!,Y$1)</f>
        <v>#REF!</v>
      </c>
      <c r="Z174" s="24" t="e">
        <f>SUMIFS(#REF!,#REF!,$B174,#REF!,Z$1)</f>
        <v>#REF!</v>
      </c>
      <c r="AA174" s="24" t="e">
        <f>SUMIFS(#REF!,#REF!,$B174,#REF!,AA$1)</f>
        <v>#REF!</v>
      </c>
      <c r="AB174" s="24" t="e">
        <f>SUMIFS(#REF!,#REF!,$B174,#REF!,AB$1)</f>
        <v>#REF!</v>
      </c>
      <c r="AC174" s="24" t="e">
        <f>SUMIFS(#REF!,#REF!,$B174,#REF!,AC$1)</f>
        <v>#REF!</v>
      </c>
      <c r="AD174" s="24" t="e">
        <f>SUMIFS(#REF!,#REF!,$B174,#REF!,AD$1)</f>
        <v>#REF!</v>
      </c>
      <c r="AE174" s="24" t="e">
        <f>SUMIFS(#REF!,#REF!,$B174,#REF!,AE$1)</f>
        <v>#REF!</v>
      </c>
      <c r="AF174" s="24" t="e">
        <f>SUMIFS(#REF!,#REF!,$B174,#REF!,AF$1)</f>
        <v>#REF!</v>
      </c>
      <c r="AG174" s="24" t="e">
        <f>SUMIFS(#REF!,#REF!,$B174,#REF!,AG$1)</f>
        <v>#REF!</v>
      </c>
      <c r="AH174" s="24" t="e">
        <f>SUMIFS(#REF!,#REF!,$B174,#REF!,AH$1)</f>
        <v>#REF!</v>
      </c>
      <c r="AI174" s="24" t="e">
        <f>SUMIFS(#REF!,#REF!,$B174,#REF!,AI$1)</f>
        <v>#REF!</v>
      </c>
      <c r="AJ174" s="24" t="e">
        <f>SUMIFS(#REF!,#REF!,$B174,#REF!,AJ$1)</f>
        <v>#REF!</v>
      </c>
      <c r="AK174" s="24" t="e">
        <f>SUMIFS(#REF!,#REF!,$B174,#REF!,AK$1)</f>
        <v>#REF!</v>
      </c>
      <c r="AL174" s="24" t="e">
        <f>SUMIFS(#REF!,#REF!,$B174,#REF!,AL$1)</f>
        <v>#REF!</v>
      </c>
      <c r="AM174" s="24" t="e">
        <f>SUMIFS(#REF!,#REF!,$B174,#REF!,AM$1)</f>
        <v>#REF!</v>
      </c>
      <c r="AN174" s="24" t="e">
        <f>SUMIFS(#REF!,#REF!,$B174,#REF!,AN$1)</f>
        <v>#REF!</v>
      </c>
      <c r="AO174" s="24" t="e">
        <f>SUMIFS(#REF!,#REF!,$B174,#REF!,AO$1)</f>
        <v>#REF!</v>
      </c>
      <c r="AP174" s="24" t="e">
        <f>SUMIFS(#REF!,#REF!,$B174,#REF!,AP$1)</f>
        <v>#REF!</v>
      </c>
      <c r="AQ174" s="24" t="e">
        <f>SUMIFS(#REF!,#REF!,$B174,#REF!,AQ$1)</f>
        <v>#REF!</v>
      </c>
      <c r="AR174" s="24" t="e">
        <f>SUMIFS(#REF!,#REF!,$B174,#REF!,AR$1)</f>
        <v>#REF!</v>
      </c>
      <c r="AS174" s="24" t="e">
        <f>SUMIFS(#REF!,#REF!,$B174,#REF!,AS$1)</f>
        <v>#REF!</v>
      </c>
      <c r="AT174" s="24" t="e">
        <f>SUMIFS(#REF!,#REF!,$B174,#REF!,AT$1)</f>
        <v>#REF!</v>
      </c>
      <c r="AU174" s="24" t="e">
        <f>SUMIFS(#REF!,#REF!,$B174,#REF!,AU$1)</f>
        <v>#REF!</v>
      </c>
      <c r="AV174" s="24" t="e">
        <f>SUMIFS(#REF!,#REF!,$B174,#REF!,AV$1)</f>
        <v>#REF!</v>
      </c>
      <c r="AW174" s="24" t="e">
        <f>SUMIFS(#REF!,#REF!,$B174,#REF!,AW$1)</f>
        <v>#REF!</v>
      </c>
      <c r="AX174" s="24" t="e">
        <f>SUMIFS(#REF!,#REF!,$B174,#REF!,AX$1)</f>
        <v>#REF!</v>
      </c>
      <c r="AY174" s="24" t="e">
        <f>SUMIFS(#REF!,#REF!,$B174,#REF!,AY$1)</f>
        <v>#REF!</v>
      </c>
      <c r="AZ174" s="24" t="e">
        <f>SUMIFS(#REF!,#REF!,$B174,#REF!,AZ$1)</f>
        <v>#REF!</v>
      </c>
      <c r="BA174" s="24" t="e">
        <f>SUMIFS(#REF!,#REF!,$B174,#REF!,BA$1)</f>
        <v>#REF!</v>
      </c>
      <c r="BB174" s="24" t="e">
        <f>SUMIFS(#REF!,#REF!,$B174,#REF!,BB$1)</f>
        <v>#REF!</v>
      </c>
      <c r="BC174" s="24" t="e">
        <f>SUMIFS(#REF!,#REF!,$B174,#REF!,BC$1)</f>
        <v>#REF!</v>
      </c>
      <c r="BD174" s="24" t="e">
        <f>SUMIFS(#REF!,#REF!,$B174,#REF!,BD$1)</f>
        <v>#REF!</v>
      </c>
      <c r="BE174" s="24" t="e">
        <f>SUMIFS(#REF!,#REF!,$B174,#REF!,BE$1)</f>
        <v>#REF!</v>
      </c>
      <c r="BF174" s="24" t="e">
        <f>SUMIFS(#REF!,#REF!,$B174,#REF!,BF$1)</f>
        <v>#REF!</v>
      </c>
      <c r="BG174" s="24" t="e">
        <f>SUMIFS(#REF!,#REF!,$B174,#REF!,BG$1)</f>
        <v>#REF!</v>
      </c>
      <c r="BH174" s="24" t="e">
        <f>SUMIFS(#REF!,#REF!,$B174,#REF!,BH$1)</f>
        <v>#REF!</v>
      </c>
      <c r="BI174" s="24" t="e">
        <f>SUMIFS(#REF!,#REF!,$B174,#REF!,BI$1)</f>
        <v>#REF!</v>
      </c>
      <c r="BJ174" s="24" t="e">
        <f>SUMIFS(#REF!,#REF!,$B174,#REF!,BJ$1)</f>
        <v>#REF!</v>
      </c>
      <c r="BK174" s="24" t="e">
        <f>SUMIFS(#REF!,#REF!,$B174,#REF!,BK$1)</f>
        <v>#REF!</v>
      </c>
      <c r="BL174" s="24" t="e">
        <f>SUMIFS(#REF!,#REF!,$B174,#REF!,BL$1)</f>
        <v>#REF!</v>
      </c>
      <c r="BM174" s="24" t="e">
        <f>SUMIFS(#REF!,#REF!,$B174,#REF!,BM$1)</f>
        <v>#REF!</v>
      </c>
      <c r="BN174" s="24" t="e">
        <f>SUMIFS(#REF!,#REF!,$B174,#REF!,BN$1)</f>
        <v>#REF!</v>
      </c>
      <c r="BO174" s="24" t="e">
        <f>SUMIFS(#REF!,#REF!,$B174,#REF!,BO$1)</f>
        <v>#REF!</v>
      </c>
      <c r="BP174" s="24" t="e">
        <f>SUMIFS(#REF!,#REF!,$B174,#REF!,BP$1)</f>
        <v>#REF!</v>
      </c>
      <c r="BQ174" s="24" t="e">
        <f>SUMIFS(#REF!,#REF!,$B174,#REF!,BQ$1)</f>
        <v>#REF!</v>
      </c>
      <c r="BR174" s="24" t="e">
        <f>SUMIFS(#REF!,#REF!,$B174,#REF!,BR$1)</f>
        <v>#REF!</v>
      </c>
      <c r="BS174" s="24" t="e">
        <f>SUMIFS(#REF!,#REF!,$B174,#REF!,BS$1)</f>
        <v>#REF!</v>
      </c>
      <c r="BT174" s="24" t="e">
        <f>SUMIFS(#REF!,#REF!,$B174,#REF!,BT$1)</f>
        <v>#REF!</v>
      </c>
      <c r="BU174" s="24" t="e">
        <f>SUMIFS(#REF!,#REF!,$B174,#REF!,BU$1)</f>
        <v>#REF!</v>
      </c>
      <c r="BV174" s="24" t="e">
        <f>SUMIFS(#REF!,#REF!,$B174,#REF!,BV$1)</f>
        <v>#REF!</v>
      </c>
      <c r="BW174" s="24" t="e">
        <f>SUMIFS(#REF!,#REF!,$B174,#REF!,BW$1)</f>
        <v>#REF!</v>
      </c>
      <c r="BX174" s="24" t="e">
        <f>SUMIFS(#REF!,#REF!,$B174,#REF!,BX$1)</f>
        <v>#REF!</v>
      </c>
      <c r="BY174" s="24" t="e">
        <f>SUMIFS(#REF!,#REF!,$B174,#REF!,BY$1)</f>
        <v>#REF!</v>
      </c>
      <c r="BZ174" s="24" t="e">
        <f>SUMIFS(#REF!,#REF!,$B174,#REF!,BZ$1)</f>
        <v>#REF!</v>
      </c>
      <c r="CA174" s="24" t="e">
        <f>SUMIFS(#REF!,#REF!,$B174,#REF!,CA$1)</f>
        <v>#REF!</v>
      </c>
      <c r="CB174" s="24" t="e">
        <f>SUMIFS(#REF!,#REF!,$B174,#REF!,CB$1)</f>
        <v>#REF!</v>
      </c>
      <c r="CC174" s="24" t="e">
        <f>SUMIFS(#REF!,#REF!,$B174,#REF!,CC$1)</f>
        <v>#REF!</v>
      </c>
      <c r="CD174" s="24" t="e">
        <f>SUMIFS(#REF!,#REF!,$B174,#REF!,CD$1)</f>
        <v>#REF!</v>
      </c>
      <c r="CE174" s="24" t="e">
        <f>SUMIFS(#REF!,#REF!,$B174,#REF!,CE$1)</f>
        <v>#REF!</v>
      </c>
      <c r="CF174" s="24" t="e">
        <f>SUMIFS(#REF!,#REF!,$B174,#REF!,CF$1)</f>
        <v>#REF!</v>
      </c>
      <c r="CG174" s="19" t="e">
        <f t="shared" si="2"/>
        <v>#REF!</v>
      </c>
    </row>
    <row r="175" spans="1:85" x14ac:dyDescent="0.45">
      <c r="A175" s="4" t="s">
        <v>1332</v>
      </c>
      <c r="B175" s="4" t="s">
        <v>1333</v>
      </c>
      <c r="C175" s="24" t="e">
        <f>SUMIFS(#REF!,#REF!,$B175,#REF!,C$1)</f>
        <v>#REF!</v>
      </c>
      <c r="D175" s="24" t="e">
        <f>SUMIFS(#REF!,#REF!,$B175,#REF!,D$1)</f>
        <v>#REF!</v>
      </c>
      <c r="E175" s="24" t="e">
        <f>SUMIFS(#REF!,#REF!,$B175,#REF!,E$1)</f>
        <v>#REF!</v>
      </c>
      <c r="F175" s="24" t="e">
        <f>SUMIFS(#REF!,#REF!,$B175,#REF!,F$1)</f>
        <v>#REF!</v>
      </c>
      <c r="G175" s="24" t="e">
        <f>SUMIFS(#REF!,#REF!,$B175,#REF!,G$1)</f>
        <v>#REF!</v>
      </c>
      <c r="H175" s="24" t="e">
        <f>SUMIFS(#REF!,#REF!,$B175,#REF!,H$1)</f>
        <v>#REF!</v>
      </c>
      <c r="I175" s="24" t="e">
        <f>SUMIFS(#REF!,#REF!,$B175,#REF!,I$1)</f>
        <v>#REF!</v>
      </c>
      <c r="J175" s="24" t="e">
        <f>SUMIFS(#REF!,#REF!,$B175,#REF!,J$1)</f>
        <v>#REF!</v>
      </c>
      <c r="K175" s="24" t="e">
        <f>SUMIFS(#REF!,#REF!,$B175,#REF!,K$1)</f>
        <v>#REF!</v>
      </c>
      <c r="L175" s="24" t="e">
        <f>SUMIFS(#REF!,#REF!,$B175,#REF!,L$1)</f>
        <v>#REF!</v>
      </c>
      <c r="M175" s="24" t="e">
        <f>SUMIFS(#REF!,#REF!,$B175,#REF!,M$1)</f>
        <v>#REF!</v>
      </c>
      <c r="N175" s="24" t="e">
        <f>SUMIFS(#REF!,#REF!,$B175,#REF!,N$1)</f>
        <v>#REF!</v>
      </c>
      <c r="O175" s="24" t="e">
        <f>SUMIFS(#REF!,#REF!,$B175,#REF!,O$1)</f>
        <v>#REF!</v>
      </c>
      <c r="P175" s="24" t="e">
        <f>SUMIFS(#REF!,#REF!,$B175,#REF!,P$1)</f>
        <v>#REF!</v>
      </c>
      <c r="Q175" s="24" t="e">
        <f>SUMIFS(#REF!,#REF!,$B175,#REF!,Q$1)</f>
        <v>#REF!</v>
      </c>
      <c r="R175" s="24" t="e">
        <f>SUMIFS(#REF!,#REF!,$B175,#REF!,R$1)</f>
        <v>#REF!</v>
      </c>
      <c r="S175" s="24" t="e">
        <f>SUMIFS(#REF!,#REF!,$B175,#REF!,S$1)</f>
        <v>#REF!</v>
      </c>
      <c r="T175" s="24" t="e">
        <f>SUMIFS(#REF!,#REF!,$B175,#REF!,T$1)</f>
        <v>#REF!</v>
      </c>
      <c r="U175" s="24" t="e">
        <f>SUMIFS(#REF!,#REF!,$B175,#REF!,U$1)</f>
        <v>#REF!</v>
      </c>
      <c r="V175" s="24" t="e">
        <f>SUMIFS(#REF!,#REF!,$B175,#REF!,V$1)</f>
        <v>#REF!</v>
      </c>
      <c r="W175" s="24" t="e">
        <f>SUMIFS(#REF!,#REF!,$B175,#REF!,W$1)</f>
        <v>#REF!</v>
      </c>
      <c r="X175" s="24" t="e">
        <f>SUMIFS(#REF!,#REF!,$B175,#REF!,X$1)</f>
        <v>#REF!</v>
      </c>
      <c r="Y175" s="24" t="e">
        <f>SUMIFS(#REF!,#REF!,$B175,#REF!,Y$1)</f>
        <v>#REF!</v>
      </c>
      <c r="Z175" s="24" t="e">
        <f>SUMIFS(#REF!,#REF!,$B175,#REF!,Z$1)</f>
        <v>#REF!</v>
      </c>
      <c r="AA175" s="24" t="e">
        <f>SUMIFS(#REF!,#REF!,$B175,#REF!,AA$1)</f>
        <v>#REF!</v>
      </c>
      <c r="AB175" s="24" t="e">
        <f>SUMIFS(#REF!,#REF!,$B175,#REF!,AB$1)</f>
        <v>#REF!</v>
      </c>
      <c r="AC175" s="24" t="e">
        <f>SUMIFS(#REF!,#REF!,$B175,#REF!,AC$1)</f>
        <v>#REF!</v>
      </c>
      <c r="AD175" s="24" t="e">
        <f>SUMIFS(#REF!,#REF!,$B175,#REF!,AD$1)</f>
        <v>#REF!</v>
      </c>
      <c r="AE175" s="24" t="e">
        <f>SUMIFS(#REF!,#REF!,$B175,#REF!,AE$1)</f>
        <v>#REF!</v>
      </c>
      <c r="AF175" s="24" t="e">
        <f>SUMIFS(#REF!,#REF!,$B175,#REF!,AF$1)</f>
        <v>#REF!</v>
      </c>
      <c r="AG175" s="24" t="e">
        <f>SUMIFS(#REF!,#REF!,$B175,#REF!,AG$1)</f>
        <v>#REF!</v>
      </c>
      <c r="AH175" s="24" t="e">
        <f>SUMIFS(#REF!,#REF!,$B175,#REF!,AH$1)</f>
        <v>#REF!</v>
      </c>
      <c r="AI175" s="24" t="e">
        <f>SUMIFS(#REF!,#REF!,$B175,#REF!,AI$1)</f>
        <v>#REF!</v>
      </c>
      <c r="AJ175" s="24" t="e">
        <f>SUMIFS(#REF!,#REF!,$B175,#REF!,AJ$1)</f>
        <v>#REF!</v>
      </c>
      <c r="AK175" s="24" t="e">
        <f>SUMIFS(#REF!,#REF!,$B175,#REF!,AK$1)</f>
        <v>#REF!</v>
      </c>
      <c r="AL175" s="24" t="e">
        <f>SUMIFS(#REF!,#REF!,$B175,#REF!,AL$1)</f>
        <v>#REF!</v>
      </c>
      <c r="AM175" s="24" t="e">
        <f>SUMIFS(#REF!,#REF!,$B175,#REF!,AM$1)</f>
        <v>#REF!</v>
      </c>
      <c r="AN175" s="24" t="e">
        <f>SUMIFS(#REF!,#REF!,$B175,#REF!,AN$1)</f>
        <v>#REF!</v>
      </c>
      <c r="AO175" s="24" t="e">
        <f>SUMIFS(#REF!,#REF!,$B175,#REF!,AO$1)</f>
        <v>#REF!</v>
      </c>
      <c r="AP175" s="24" t="e">
        <f>SUMIFS(#REF!,#REF!,$B175,#REF!,AP$1)</f>
        <v>#REF!</v>
      </c>
      <c r="AQ175" s="24" t="e">
        <f>SUMIFS(#REF!,#REF!,$B175,#REF!,AQ$1)</f>
        <v>#REF!</v>
      </c>
      <c r="AR175" s="24" t="e">
        <f>SUMIFS(#REF!,#REF!,$B175,#REF!,AR$1)</f>
        <v>#REF!</v>
      </c>
      <c r="AS175" s="24" t="e">
        <f>SUMIFS(#REF!,#REF!,$B175,#REF!,AS$1)</f>
        <v>#REF!</v>
      </c>
      <c r="AT175" s="24" t="e">
        <f>SUMIFS(#REF!,#REF!,$B175,#REF!,AT$1)</f>
        <v>#REF!</v>
      </c>
      <c r="AU175" s="24" t="e">
        <f>SUMIFS(#REF!,#REF!,$B175,#REF!,AU$1)</f>
        <v>#REF!</v>
      </c>
      <c r="AV175" s="24" t="e">
        <f>SUMIFS(#REF!,#REF!,$B175,#REF!,AV$1)</f>
        <v>#REF!</v>
      </c>
      <c r="AW175" s="24" t="e">
        <f>SUMIFS(#REF!,#REF!,$B175,#REF!,AW$1)</f>
        <v>#REF!</v>
      </c>
      <c r="AX175" s="24" t="e">
        <f>SUMIFS(#REF!,#REF!,$B175,#REF!,AX$1)</f>
        <v>#REF!</v>
      </c>
      <c r="AY175" s="24" t="e">
        <f>SUMIFS(#REF!,#REF!,$B175,#REF!,AY$1)</f>
        <v>#REF!</v>
      </c>
      <c r="AZ175" s="24" t="e">
        <f>SUMIFS(#REF!,#REF!,$B175,#REF!,AZ$1)</f>
        <v>#REF!</v>
      </c>
      <c r="BA175" s="24" t="e">
        <f>SUMIFS(#REF!,#REF!,$B175,#REF!,BA$1)</f>
        <v>#REF!</v>
      </c>
      <c r="BB175" s="24" t="e">
        <f>SUMIFS(#REF!,#REF!,$B175,#REF!,BB$1)</f>
        <v>#REF!</v>
      </c>
      <c r="BC175" s="24" t="e">
        <f>SUMIFS(#REF!,#REF!,$B175,#REF!,BC$1)</f>
        <v>#REF!</v>
      </c>
      <c r="BD175" s="24" t="e">
        <f>SUMIFS(#REF!,#REF!,$B175,#REF!,BD$1)</f>
        <v>#REF!</v>
      </c>
      <c r="BE175" s="24" t="e">
        <f>SUMIFS(#REF!,#REF!,$B175,#REF!,BE$1)</f>
        <v>#REF!</v>
      </c>
      <c r="BF175" s="24" t="e">
        <f>SUMIFS(#REF!,#REF!,$B175,#REF!,BF$1)</f>
        <v>#REF!</v>
      </c>
      <c r="BG175" s="24" t="e">
        <f>SUMIFS(#REF!,#REF!,$B175,#REF!,BG$1)</f>
        <v>#REF!</v>
      </c>
      <c r="BH175" s="24" t="e">
        <f>SUMIFS(#REF!,#REF!,$B175,#REF!,BH$1)</f>
        <v>#REF!</v>
      </c>
      <c r="BI175" s="24" t="e">
        <f>SUMIFS(#REF!,#REF!,$B175,#REF!,BI$1)</f>
        <v>#REF!</v>
      </c>
      <c r="BJ175" s="24" t="e">
        <f>SUMIFS(#REF!,#REF!,$B175,#REF!,BJ$1)</f>
        <v>#REF!</v>
      </c>
      <c r="BK175" s="24" t="e">
        <f>SUMIFS(#REF!,#REF!,$B175,#REF!,BK$1)</f>
        <v>#REF!</v>
      </c>
      <c r="BL175" s="24" t="e">
        <f>SUMIFS(#REF!,#REF!,$B175,#REF!,BL$1)</f>
        <v>#REF!</v>
      </c>
      <c r="BM175" s="24" t="e">
        <f>SUMIFS(#REF!,#REF!,$B175,#REF!,BM$1)</f>
        <v>#REF!</v>
      </c>
      <c r="BN175" s="24" t="e">
        <f>SUMIFS(#REF!,#REF!,$B175,#REF!,BN$1)</f>
        <v>#REF!</v>
      </c>
      <c r="BO175" s="24" t="e">
        <f>SUMIFS(#REF!,#REF!,$B175,#REF!,BO$1)</f>
        <v>#REF!</v>
      </c>
      <c r="BP175" s="24" t="e">
        <f>SUMIFS(#REF!,#REF!,$B175,#REF!,BP$1)</f>
        <v>#REF!</v>
      </c>
      <c r="BQ175" s="24" t="e">
        <f>SUMIFS(#REF!,#REF!,$B175,#REF!,BQ$1)</f>
        <v>#REF!</v>
      </c>
      <c r="BR175" s="24" t="e">
        <f>SUMIFS(#REF!,#REF!,$B175,#REF!,BR$1)</f>
        <v>#REF!</v>
      </c>
      <c r="BS175" s="24" t="e">
        <f>SUMIFS(#REF!,#REF!,$B175,#REF!,BS$1)</f>
        <v>#REF!</v>
      </c>
      <c r="BT175" s="24" t="e">
        <f>SUMIFS(#REF!,#REF!,$B175,#REF!,BT$1)</f>
        <v>#REF!</v>
      </c>
      <c r="BU175" s="24" t="e">
        <f>SUMIFS(#REF!,#REF!,$B175,#REF!,BU$1)</f>
        <v>#REF!</v>
      </c>
      <c r="BV175" s="24" t="e">
        <f>SUMIFS(#REF!,#REF!,$B175,#REF!,BV$1)</f>
        <v>#REF!</v>
      </c>
      <c r="BW175" s="24" t="e">
        <f>SUMIFS(#REF!,#REF!,$B175,#REF!,BW$1)</f>
        <v>#REF!</v>
      </c>
      <c r="BX175" s="24" t="e">
        <f>SUMIFS(#REF!,#REF!,$B175,#REF!,BX$1)</f>
        <v>#REF!</v>
      </c>
      <c r="BY175" s="24" t="e">
        <f>SUMIFS(#REF!,#REF!,$B175,#REF!,BY$1)</f>
        <v>#REF!</v>
      </c>
      <c r="BZ175" s="24" t="e">
        <f>SUMIFS(#REF!,#REF!,$B175,#REF!,BZ$1)</f>
        <v>#REF!</v>
      </c>
      <c r="CA175" s="24" t="e">
        <f>SUMIFS(#REF!,#REF!,$B175,#REF!,CA$1)</f>
        <v>#REF!</v>
      </c>
      <c r="CB175" s="24" t="e">
        <f>SUMIFS(#REF!,#REF!,$B175,#REF!,CB$1)</f>
        <v>#REF!</v>
      </c>
      <c r="CC175" s="24" t="e">
        <f>SUMIFS(#REF!,#REF!,$B175,#REF!,CC$1)</f>
        <v>#REF!</v>
      </c>
      <c r="CD175" s="24" t="e">
        <f>SUMIFS(#REF!,#REF!,$B175,#REF!,CD$1)</f>
        <v>#REF!</v>
      </c>
      <c r="CE175" s="24" t="e">
        <f>SUMIFS(#REF!,#REF!,$B175,#REF!,CE$1)</f>
        <v>#REF!</v>
      </c>
      <c r="CF175" s="24" t="e">
        <f>SUMIFS(#REF!,#REF!,$B175,#REF!,CF$1)</f>
        <v>#REF!</v>
      </c>
      <c r="CG175" s="19" t="e">
        <f t="shared" si="2"/>
        <v>#REF!</v>
      </c>
    </row>
    <row r="176" spans="1:85" x14ac:dyDescent="0.45">
      <c r="A176" s="4" t="s">
        <v>1334</v>
      </c>
      <c r="B176" s="4" t="s">
        <v>1335</v>
      </c>
      <c r="C176" s="24" t="e">
        <f>SUMIFS(#REF!,#REF!,$B176,#REF!,C$1)</f>
        <v>#REF!</v>
      </c>
      <c r="D176" s="24" t="e">
        <f>SUMIFS(#REF!,#REF!,$B176,#REF!,D$1)</f>
        <v>#REF!</v>
      </c>
      <c r="E176" s="24" t="e">
        <f>SUMIFS(#REF!,#REF!,$B176,#REF!,E$1)</f>
        <v>#REF!</v>
      </c>
      <c r="F176" s="24" t="e">
        <f>SUMIFS(#REF!,#REF!,$B176,#REF!,F$1)</f>
        <v>#REF!</v>
      </c>
      <c r="G176" s="24" t="e">
        <f>SUMIFS(#REF!,#REF!,$B176,#REF!,G$1)</f>
        <v>#REF!</v>
      </c>
      <c r="H176" s="24" t="e">
        <f>SUMIFS(#REF!,#REF!,$B176,#REF!,H$1)</f>
        <v>#REF!</v>
      </c>
      <c r="I176" s="24" t="e">
        <f>SUMIFS(#REF!,#REF!,$B176,#REF!,I$1)</f>
        <v>#REF!</v>
      </c>
      <c r="J176" s="24" t="e">
        <f>SUMIFS(#REF!,#REF!,$B176,#REF!,J$1)</f>
        <v>#REF!</v>
      </c>
      <c r="K176" s="24" t="e">
        <f>SUMIFS(#REF!,#REF!,$B176,#REF!,K$1)</f>
        <v>#REF!</v>
      </c>
      <c r="L176" s="24" t="e">
        <f>SUMIFS(#REF!,#REF!,$B176,#REF!,L$1)</f>
        <v>#REF!</v>
      </c>
      <c r="M176" s="24" t="e">
        <f>SUMIFS(#REF!,#REF!,$B176,#REF!,M$1)</f>
        <v>#REF!</v>
      </c>
      <c r="N176" s="24" t="e">
        <f>SUMIFS(#REF!,#REF!,$B176,#REF!,N$1)</f>
        <v>#REF!</v>
      </c>
      <c r="O176" s="24" t="e">
        <f>SUMIFS(#REF!,#REF!,$B176,#REF!,O$1)</f>
        <v>#REF!</v>
      </c>
      <c r="P176" s="24" t="e">
        <f>SUMIFS(#REF!,#REF!,$B176,#REF!,P$1)</f>
        <v>#REF!</v>
      </c>
      <c r="Q176" s="24" t="e">
        <f>SUMIFS(#REF!,#REF!,$B176,#REF!,Q$1)</f>
        <v>#REF!</v>
      </c>
      <c r="R176" s="24" t="e">
        <f>SUMIFS(#REF!,#REF!,$B176,#REF!,R$1)</f>
        <v>#REF!</v>
      </c>
      <c r="S176" s="24" t="e">
        <f>SUMIFS(#REF!,#REF!,$B176,#REF!,S$1)</f>
        <v>#REF!</v>
      </c>
      <c r="T176" s="24" t="e">
        <f>SUMIFS(#REF!,#REF!,$B176,#REF!,T$1)</f>
        <v>#REF!</v>
      </c>
      <c r="U176" s="24" t="e">
        <f>SUMIFS(#REF!,#REF!,$B176,#REF!,U$1)</f>
        <v>#REF!</v>
      </c>
      <c r="V176" s="24" t="e">
        <f>SUMIFS(#REF!,#REF!,$B176,#REF!,V$1)</f>
        <v>#REF!</v>
      </c>
      <c r="W176" s="24" t="e">
        <f>SUMIFS(#REF!,#REF!,$B176,#REF!,W$1)</f>
        <v>#REF!</v>
      </c>
      <c r="X176" s="24" t="e">
        <f>SUMIFS(#REF!,#REF!,$B176,#REF!,X$1)</f>
        <v>#REF!</v>
      </c>
      <c r="Y176" s="24" t="e">
        <f>SUMIFS(#REF!,#REF!,$B176,#REF!,Y$1)</f>
        <v>#REF!</v>
      </c>
      <c r="Z176" s="24" t="e">
        <f>SUMIFS(#REF!,#REF!,$B176,#REF!,Z$1)</f>
        <v>#REF!</v>
      </c>
      <c r="AA176" s="24" t="e">
        <f>SUMIFS(#REF!,#REF!,$B176,#REF!,AA$1)</f>
        <v>#REF!</v>
      </c>
      <c r="AB176" s="24" t="e">
        <f>SUMIFS(#REF!,#REF!,$B176,#REF!,AB$1)</f>
        <v>#REF!</v>
      </c>
      <c r="AC176" s="24" t="e">
        <f>SUMIFS(#REF!,#REF!,$B176,#REF!,AC$1)</f>
        <v>#REF!</v>
      </c>
      <c r="AD176" s="24" t="e">
        <f>SUMIFS(#REF!,#REF!,$B176,#REF!,AD$1)</f>
        <v>#REF!</v>
      </c>
      <c r="AE176" s="24" t="e">
        <f>SUMIFS(#REF!,#REF!,$B176,#REF!,AE$1)</f>
        <v>#REF!</v>
      </c>
      <c r="AF176" s="24" t="e">
        <f>SUMIFS(#REF!,#REF!,$B176,#REF!,AF$1)</f>
        <v>#REF!</v>
      </c>
      <c r="AG176" s="24" t="e">
        <f>SUMIFS(#REF!,#REF!,$B176,#REF!,AG$1)</f>
        <v>#REF!</v>
      </c>
      <c r="AH176" s="24" t="e">
        <f>SUMIFS(#REF!,#REF!,$B176,#REF!,AH$1)</f>
        <v>#REF!</v>
      </c>
      <c r="AI176" s="24" t="e">
        <f>SUMIFS(#REF!,#REF!,$B176,#REF!,AI$1)</f>
        <v>#REF!</v>
      </c>
      <c r="AJ176" s="24" t="e">
        <f>SUMIFS(#REF!,#REF!,$B176,#REF!,AJ$1)</f>
        <v>#REF!</v>
      </c>
      <c r="AK176" s="24" t="e">
        <f>SUMIFS(#REF!,#REF!,$B176,#REF!,AK$1)</f>
        <v>#REF!</v>
      </c>
      <c r="AL176" s="24" t="e">
        <f>SUMIFS(#REF!,#REF!,$B176,#REF!,AL$1)</f>
        <v>#REF!</v>
      </c>
      <c r="AM176" s="24" t="e">
        <f>SUMIFS(#REF!,#REF!,$B176,#REF!,AM$1)</f>
        <v>#REF!</v>
      </c>
      <c r="AN176" s="24" t="e">
        <f>SUMIFS(#REF!,#REF!,$B176,#REF!,AN$1)</f>
        <v>#REF!</v>
      </c>
      <c r="AO176" s="24" t="e">
        <f>SUMIFS(#REF!,#REF!,$B176,#REF!,AO$1)</f>
        <v>#REF!</v>
      </c>
      <c r="AP176" s="24" t="e">
        <f>SUMIFS(#REF!,#REF!,$B176,#REF!,AP$1)</f>
        <v>#REF!</v>
      </c>
      <c r="AQ176" s="24" t="e">
        <f>SUMIFS(#REF!,#REF!,$B176,#REF!,AQ$1)</f>
        <v>#REF!</v>
      </c>
      <c r="AR176" s="24" t="e">
        <f>SUMIFS(#REF!,#REF!,$B176,#REF!,AR$1)</f>
        <v>#REF!</v>
      </c>
      <c r="AS176" s="24" t="e">
        <f>SUMIFS(#REF!,#REF!,$B176,#REF!,AS$1)</f>
        <v>#REF!</v>
      </c>
      <c r="AT176" s="24" t="e">
        <f>SUMIFS(#REF!,#REF!,$B176,#REF!,AT$1)</f>
        <v>#REF!</v>
      </c>
      <c r="AU176" s="24" t="e">
        <f>SUMIFS(#REF!,#REF!,$B176,#REF!,AU$1)</f>
        <v>#REF!</v>
      </c>
      <c r="AV176" s="24" t="e">
        <f>SUMIFS(#REF!,#REF!,$B176,#REF!,AV$1)</f>
        <v>#REF!</v>
      </c>
      <c r="AW176" s="24" t="e">
        <f>SUMIFS(#REF!,#REF!,$B176,#REF!,AW$1)</f>
        <v>#REF!</v>
      </c>
      <c r="AX176" s="24" t="e">
        <f>SUMIFS(#REF!,#REF!,$B176,#REF!,AX$1)</f>
        <v>#REF!</v>
      </c>
      <c r="AY176" s="24" t="e">
        <f>SUMIFS(#REF!,#REF!,$B176,#REF!,AY$1)</f>
        <v>#REF!</v>
      </c>
      <c r="AZ176" s="24" t="e">
        <f>SUMIFS(#REF!,#REF!,$B176,#REF!,AZ$1)</f>
        <v>#REF!</v>
      </c>
      <c r="BA176" s="24" t="e">
        <f>SUMIFS(#REF!,#REF!,$B176,#REF!,BA$1)</f>
        <v>#REF!</v>
      </c>
      <c r="BB176" s="24" t="e">
        <f>SUMIFS(#REF!,#REF!,$B176,#REF!,BB$1)</f>
        <v>#REF!</v>
      </c>
      <c r="BC176" s="24" t="e">
        <f>SUMIFS(#REF!,#REF!,$B176,#REF!,BC$1)</f>
        <v>#REF!</v>
      </c>
      <c r="BD176" s="24" t="e">
        <f>SUMIFS(#REF!,#REF!,$B176,#REF!,BD$1)</f>
        <v>#REF!</v>
      </c>
      <c r="BE176" s="24" t="e">
        <f>SUMIFS(#REF!,#REF!,$B176,#REF!,BE$1)</f>
        <v>#REF!</v>
      </c>
      <c r="BF176" s="24" t="e">
        <f>SUMIFS(#REF!,#REF!,$B176,#REF!,BF$1)</f>
        <v>#REF!</v>
      </c>
      <c r="BG176" s="24" t="e">
        <f>SUMIFS(#REF!,#REF!,$B176,#REF!,BG$1)</f>
        <v>#REF!</v>
      </c>
      <c r="BH176" s="24" t="e">
        <f>SUMIFS(#REF!,#REF!,$B176,#REF!,BH$1)</f>
        <v>#REF!</v>
      </c>
      <c r="BI176" s="24" t="e">
        <f>SUMIFS(#REF!,#REF!,$B176,#REF!,BI$1)</f>
        <v>#REF!</v>
      </c>
      <c r="BJ176" s="24" t="e">
        <f>SUMIFS(#REF!,#REF!,$B176,#REF!,BJ$1)</f>
        <v>#REF!</v>
      </c>
      <c r="BK176" s="24" t="e">
        <f>SUMIFS(#REF!,#REF!,$B176,#REF!,BK$1)</f>
        <v>#REF!</v>
      </c>
      <c r="BL176" s="24" t="e">
        <f>SUMIFS(#REF!,#REF!,$B176,#REF!,BL$1)</f>
        <v>#REF!</v>
      </c>
      <c r="BM176" s="24" t="e">
        <f>SUMIFS(#REF!,#REF!,$B176,#REF!,BM$1)</f>
        <v>#REF!</v>
      </c>
      <c r="BN176" s="24" t="e">
        <f>SUMIFS(#REF!,#REF!,$B176,#REF!,BN$1)</f>
        <v>#REF!</v>
      </c>
      <c r="BO176" s="24" t="e">
        <f>SUMIFS(#REF!,#REF!,$B176,#REF!,BO$1)</f>
        <v>#REF!</v>
      </c>
      <c r="BP176" s="24" t="e">
        <f>SUMIFS(#REF!,#REF!,$B176,#REF!,BP$1)</f>
        <v>#REF!</v>
      </c>
      <c r="BQ176" s="24" t="e">
        <f>SUMIFS(#REF!,#REF!,$B176,#REF!,BQ$1)</f>
        <v>#REF!</v>
      </c>
      <c r="BR176" s="24" t="e">
        <f>SUMIFS(#REF!,#REF!,$B176,#REF!,BR$1)</f>
        <v>#REF!</v>
      </c>
      <c r="BS176" s="24" t="e">
        <f>SUMIFS(#REF!,#REF!,$B176,#REF!,BS$1)</f>
        <v>#REF!</v>
      </c>
      <c r="BT176" s="24" t="e">
        <f>SUMIFS(#REF!,#REF!,$B176,#REF!,BT$1)</f>
        <v>#REF!</v>
      </c>
      <c r="BU176" s="24" t="e">
        <f>SUMIFS(#REF!,#REF!,$B176,#REF!,BU$1)</f>
        <v>#REF!</v>
      </c>
      <c r="BV176" s="24" t="e">
        <f>SUMIFS(#REF!,#REF!,$B176,#REF!,BV$1)</f>
        <v>#REF!</v>
      </c>
      <c r="BW176" s="24" t="e">
        <f>SUMIFS(#REF!,#REF!,$B176,#REF!,BW$1)</f>
        <v>#REF!</v>
      </c>
      <c r="BX176" s="24" t="e">
        <f>SUMIFS(#REF!,#REF!,$B176,#REF!,BX$1)</f>
        <v>#REF!</v>
      </c>
      <c r="BY176" s="24" t="e">
        <f>SUMIFS(#REF!,#REF!,$B176,#REF!,BY$1)</f>
        <v>#REF!</v>
      </c>
      <c r="BZ176" s="24" t="e">
        <f>SUMIFS(#REF!,#REF!,$B176,#REF!,BZ$1)</f>
        <v>#REF!</v>
      </c>
      <c r="CA176" s="24" t="e">
        <f>SUMIFS(#REF!,#REF!,$B176,#REF!,CA$1)</f>
        <v>#REF!</v>
      </c>
      <c r="CB176" s="24" t="e">
        <f>SUMIFS(#REF!,#REF!,$B176,#REF!,CB$1)</f>
        <v>#REF!</v>
      </c>
      <c r="CC176" s="24" t="e">
        <f>SUMIFS(#REF!,#REF!,$B176,#REF!,CC$1)</f>
        <v>#REF!</v>
      </c>
      <c r="CD176" s="24" t="e">
        <f>SUMIFS(#REF!,#REF!,$B176,#REF!,CD$1)</f>
        <v>#REF!</v>
      </c>
      <c r="CE176" s="24" t="e">
        <f>SUMIFS(#REF!,#REF!,$B176,#REF!,CE$1)</f>
        <v>#REF!</v>
      </c>
      <c r="CF176" s="24" t="e">
        <f>SUMIFS(#REF!,#REF!,$B176,#REF!,CF$1)</f>
        <v>#REF!</v>
      </c>
      <c r="CG176" s="19" t="e">
        <f t="shared" si="2"/>
        <v>#REF!</v>
      </c>
    </row>
    <row r="177" spans="1:85" x14ac:dyDescent="0.45">
      <c r="A177" s="4" t="s">
        <v>1336</v>
      </c>
      <c r="B177" s="4" t="s">
        <v>1337</v>
      </c>
      <c r="C177" s="24" t="e">
        <f>SUMIFS(#REF!,#REF!,$B177,#REF!,C$1)</f>
        <v>#REF!</v>
      </c>
      <c r="D177" s="24" t="e">
        <f>SUMIFS(#REF!,#REF!,$B177,#REF!,D$1)</f>
        <v>#REF!</v>
      </c>
      <c r="E177" s="24" t="e">
        <f>SUMIFS(#REF!,#REF!,$B177,#REF!,E$1)</f>
        <v>#REF!</v>
      </c>
      <c r="F177" s="24" t="e">
        <f>SUMIFS(#REF!,#REF!,$B177,#REF!,F$1)</f>
        <v>#REF!</v>
      </c>
      <c r="G177" s="24" t="e">
        <f>SUMIFS(#REF!,#REF!,$B177,#REF!,G$1)</f>
        <v>#REF!</v>
      </c>
      <c r="H177" s="24" t="e">
        <f>SUMIFS(#REF!,#REF!,$B177,#REF!,H$1)</f>
        <v>#REF!</v>
      </c>
      <c r="I177" s="24" t="e">
        <f>SUMIFS(#REF!,#REF!,$B177,#REF!,I$1)</f>
        <v>#REF!</v>
      </c>
      <c r="J177" s="24" t="e">
        <f>SUMIFS(#REF!,#REF!,$B177,#REF!,J$1)</f>
        <v>#REF!</v>
      </c>
      <c r="K177" s="24" t="e">
        <f>SUMIFS(#REF!,#REF!,$B177,#REF!,K$1)</f>
        <v>#REF!</v>
      </c>
      <c r="L177" s="24" t="e">
        <f>SUMIFS(#REF!,#REF!,$B177,#REF!,L$1)</f>
        <v>#REF!</v>
      </c>
      <c r="M177" s="24" t="e">
        <f>SUMIFS(#REF!,#REF!,$B177,#REF!,M$1)</f>
        <v>#REF!</v>
      </c>
      <c r="N177" s="24" t="e">
        <f>SUMIFS(#REF!,#REF!,$B177,#REF!,N$1)</f>
        <v>#REF!</v>
      </c>
      <c r="O177" s="24" t="e">
        <f>SUMIFS(#REF!,#REF!,$B177,#REF!,O$1)</f>
        <v>#REF!</v>
      </c>
      <c r="P177" s="24" t="e">
        <f>SUMIFS(#REF!,#REF!,$B177,#REF!,P$1)</f>
        <v>#REF!</v>
      </c>
      <c r="Q177" s="24" t="e">
        <f>SUMIFS(#REF!,#REF!,$B177,#REF!,Q$1)</f>
        <v>#REF!</v>
      </c>
      <c r="R177" s="24" t="e">
        <f>SUMIFS(#REF!,#REF!,$B177,#REF!,R$1)</f>
        <v>#REF!</v>
      </c>
      <c r="S177" s="24" t="e">
        <f>SUMIFS(#REF!,#REF!,$B177,#REF!,S$1)</f>
        <v>#REF!</v>
      </c>
      <c r="T177" s="24" t="e">
        <f>SUMIFS(#REF!,#REF!,$B177,#REF!,T$1)</f>
        <v>#REF!</v>
      </c>
      <c r="U177" s="24" t="e">
        <f>SUMIFS(#REF!,#REF!,$B177,#REF!,U$1)</f>
        <v>#REF!</v>
      </c>
      <c r="V177" s="24" t="e">
        <f>SUMIFS(#REF!,#REF!,$B177,#REF!,V$1)</f>
        <v>#REF!</v>
      </c>
      <c r="W177" s="24" t="e">
        <f>SUMIFS(#REF!,#REF!,$B177,#REF!,W$1)</f>
        <v>#REF!</v>
      </c>
      <c r="X177" s="24" t="e">
        <f>SUMIFS(#REF!,#REF!,$B177,#REF!,X$1)</f>
        <v>#REF!</v>
      </c>
      <c r="Y177" s="24" t="e">
        <f>SUMIFS(#REF!,#REF!,$B177,#REF!,Y$1)</f>
        <v>#REF!</v>
      </c>
      <c r="Z177" s="24" t="e">
        <f>SUMIFS(#REF!,#REF!,$B177,#REF!,Z$1)</f>
        <v>#REF!</v>
      </c>
      <c r="AA177" s="24" t="e">
        <f>SUMIFS(#REF!,#REF!,$B177,#REF!,AA$1)</f>
        <v>#REF!</v>
      </c>
      <c r="AB177" s="24" t="e">
        <f>SUMIFS(#REF!,#REF!,$B177,#REF!,AB$1)</f>
        <v>#REF!</v>
      </c>
      <c r="AC177" s="24" t="e">
        <f>SUMIFS(#REF!,#REF!,$B177,#REF!,AC$1)</f>
        <v>#REF!</v>
      </c>
      <c r="AD177" s="24" t="e">
        <f>SUMIFS(#REF!,#REF!,$B177,#REF!,AD$1)</f>
        <v>#REF!</v>
      </c>
      <c r="AE177" s="24" t="e">
        <f>SUMIFS(#REF!,#REF!,$B177,#REF!,AE$1)</f>
        <v>#REF!</v>
      </c>
      <c r="AF177" s="24" t="e">
        <f>SUMIFS(#REF!,#REF!,$B177,#REF!,AF$1)</f>
        <v>#REF!</v>
      </c>
      <c r="AG177" s="24" t="e">
        <f>SUMIFS(#REF!,#REF!,$B177,#REF!,AG$1)</f>
        <v>#REF!</v>
      </c>
      <c r="AH177" s="24" t="e">
        <f>SUMIFS(#REF!,#REF!,$B177,#REF!,AH$1)</f>
        <v>#REF!</v>
      </c>
      <c r="AI177" s="24" t="e">
        <f>SUMIFS(#REF!,#REF!,$B177,#REF!,AI$1)</f>
        <v>#REF!</v>
      </c>
      <c r="AJ177" s="24" t="e">
        <f>SUMIFS(#REF!,#REF!,$B177,#REF!,AJ$1)</f>
        <v>#REF!</v>
      </c>
      <c r="AK177" s="24" t="e">
        <f>SUMIFS(#REF!,#REF!,$B177,#REF!,AK$1)</f>
        <v>#REF!</v>
      </c>
      <c r="AL177" s="24" t="e">
        <f>SUMIFS(#REF!,#REF!,$B177,#REF!,AL$1)</f>
        <v>#REF!</v>
      </c>
      <c r="AM177" s="24" t="e">
        <f>SUMIFS(#REF!,#REF!,$B177,#REF!,AM$1)</f>
        <v>#REF!</v>
      </c>
      <c r="AN177" s="24" t="e">
        <f>SUMIFS(#REF!,#REF!,$B177,#REF!,AN$1)</f>
        <v>#REF!</v>
      </c>
      <c r="AO177" s="24" t="e">
        <f>SUMIFS(#REF!,#REF!,$B177,#REF!,AO$1)</f>
        <v>#REF!</v>
      </c>
      <c r="AP177" s="24" t="e">
        <f>SUMIFS(#REF!,#REF!,$B177,#REF!,AP$1)</f>
        <v>#REF!</v>
      </c>
      <c r="AQ177" s="24" t="e">
        <f>SUMIFS(#REF!,#REF!,$B177,#REF!,AQ$1)</f>
        <v>#REF!</v>
      </c>
      <c r="AR177" s="24" t="e">
        <f>SUMIFS(#REF!,#REF!,$B177,#REF!,AR$1)</f>
        <v>#REF!</v>
      </c>
      <c r="AS177" s="24" t="e">
        <f>SUMIFS(#REF!,#REF!,$B177,#REF!,AS$1)</f>
        <v>#REF!</v>
      </c>
      <c r="AT177" s="24" t="e">
        <f>SUMIFS(#REF!,#REF!,$B177,#REF!,AT$1)</f>
        <v>#REF!</v>
      </c>
      <c r="AU177" s="24" t="e">
        <f>SUMIFS(#REF!,#REF!,$B177,#REF!,AU$1)</f>
        <v>#REF!</v>
      </c>
      <c r="AV177" s="24" t="e">
        <f>SUMIFS(#REF!,#REF!,$B177,#REF!,AV$1)</f>
        <v>#REF!</v>
      </c>
      <c r="AW177" s="24" t="e">
        <f>SUMIFS(#REF!,#REF!,$B177,#REF!,AW$1)</f>
        <v>#REF!</v>
      </c>
      <c r="AX177" s="24" t="e">
        <f>SUMIFS(#REF!,#REF!,$B177,#REF!,AX$1)</f>
        <v>#REF!</v>
      </c>
      <c r="AY177" s="24" t="e">
        <f>SUMIFS(#REF!,#REF!,$B177,#REF!,AY$1)</f>
        <v>#REF!</v>
      </c>
      <c r="AZ177" s="24" t="e">
        <f>SUMIFS(#REF!,#REF!,$B177,#REF!,AZ$1)</f>
        <v>#REF!</v>
      </c>
      <c r="BA177" s="24" t="e">
        <f>SUMIFS(#REF!,#REF!,$B177,#REF!,BA$1)</f>
        <v>#REF!</v>
      </c>
      <c r="BB177" s="24" t="e">
        <f>SUMIFS(#REF!,#REF!,$B177,#REF!,BB$1)</f>
        <v>#REF!</v>
      </c>
      <c r="BC177" s="24" t="e">
        <f>SUMIFS(#REF!,#REF!,$B177,#REF!,BC$1)</f>
        <v>#REF!</v>
      </c>
      <c r="BD177" s="24" t="e">
        <f>SUMIFS(#REF!,#REF!,$B177,#REF!,BD$1)</f>
        <v>#REF!</v>
      </c>
      <c r="BE177" s="24" t="e">
        <f>SUMIFS(#REF!,#REF!,$B177,#REF!,BE$1)</f>
        <v>#REF!</v>
      </c>
      <c r="BF177" s="24" t="e">
        <f>SUMIFS(#REF!,#REF!,$B177,#REF!,BF$1)</f>
        <v>#REF!</v>
      </c>
      <c r="BG177" s="24" t="e">
        <f>SUMIFS(#REF!,#REF!,$B177,#REF!,BG$1)</f>
        <v>#REF!</v>
      </c>
      <c r="BH177" s="24" t="e">
        <f>SUMIFS(#REF!,#REF!,$B177,#REF!,BH$1)</f>
        <v>#REF!</v>
      </c>
      <c r="BI177" s="24" t="e">
        <f>SUMIFS(#REF!,#REF!,$B177,#REF!,BI$1)</f>
        <v>#REF!</v>
      </c>
      <c r="BJ177" s="24" t="e">
        <f>SUMIFS(#REF!,#REF!,$B177,#REF!,BJ$1)</f>
        <v>#REF!</v>
      </c>
      <c r="BK177" s="24" t="e">
        <f>SUMIFS(#REF!,#REF!,$B177,#REF!,BK$1)</f>
        <v>#REF!</v>
      </c>
      <c r="BL177" s="24" t="e">
        <f>SUMIFS(#REF!,#REF!,$B177,#REF!,BL$1)</f>
        <v>#REF!</v>
      </c>
      <c r="BM177" s="24" t="e">
        <f>SUMIFS(#REF!,#REF!,$B177,#REF!,BM$1)</f>
        <v>#REF!</v>
      </c>
      <c r="BN177" s="24" t="e">
        <f>SUMIFS(#REF!,#REF!,$B177,#REF!,BN$1)</f>
        <v>#REF!</v>
      </c>
      <c r="BO177" s="24" t="e">
        <f>SUMIFS(#REF!,#REF!,$B177,#REF!,BO$1)</f>
        <v>#REF!</v>
      </c>
      <c r="BP177" s="24" t="e">
        <f>SUMIFS(#REF!,#REF!,$B177,#REF!,BP$1)</f>
        <v>#REF!</v>
      </c>
      <c r="BQ177" s="24" t="e">
        <f>SUMIFS(#REF!,#REF!,$B177,#REF!,BQ$1)</f>
        <v>#REF!</v>
      </c>
      <c r="BR177" s="24" t="e">
        <f>SUMIFS(#REF!,#REF!,$B177,#REF!,BR$1)</f>
        <v>#REF!</v>
      </c>
      <c r="BS177" s="24" t="e">
        <f>SUMIFS(#REF!,#REF!,$B177,#REF!,BS$1)</f>
        <v>#REF!</v>
      </c>
      <c r="BT177" s="24" t="e">
        <f>SUMIFS(#REF!,#REF!,$B177,#REF!,BT$1)</f>
        <v>#REF!</v>
      </c>
      <c r="BU177" s="24" t="e">
        <f>SUMIFS(#REF!,#REF!,$B177,#REF!,BU$1)</f>
        <v>#REF!</v>
      </c>
      <c r="BV177" s="24" t="e">
        <f>SUMIFS(#REF!,#REF!,$B177,#REF!,BV$1)</f>
        <v>#REF!</v>
      </c>
      <c r="BW177" s="24" t="e">
        <f>SUMIFS(#REF!,#REF!,$B177,#REF!,BW$1)</f>
        <v>#REF!</v>
      </c>
      <c r="BX177" s="24" t="e">
        <f>SUMIFS(#REF!,#REF!,$B177,#REF!,BX$1)</f>
        <v>#REF!</v>
      </c>
      <c r="BY177" s="24" t="e">
        <f>SUMIFS(#REF!,#REF!,$B177,#REF!,BY$1)</f>
        <v>#REF!</v>
      </c>
      <c r="BZ177" s="24" t="e">
        <f>SUMIFS(#REF!,#REF!,$B177,#REF!,BZ$1)</f>
        <v>#REF!</v>
      </c>
      <c r="CA177" s="24" t="e">
        <f>SUMIFS(#REF!,#REF!,$B177,#REF!,CA$1)</f>
        <v>#REF!</v>
      </c>
      <c r="CB177" s="24" t="e">
        <f>SUMIFS(#REF!,#REF!,$B177,#REF!,CB$1)</f>
        <v>#REF!</v>
      </c>
      <c r="CC177" s="24" t="e">
        <f>SUMIFS(#REF!,#REF!,$B177,#REF!,CC$1)</f>
        <v>#REF!</v>
      </c>
      <c r="CD177" s="24" t="e">
        <f>SUMIFS(#REF!,#REF!,$B177,#REF!,CD$1)</f>
        <v>#REF!</v>
      </c>
      <c r="CE177" s="24" t="e">
        <f>SUMIFS(#REF!,#REF!,$B177,#REF!,CE$1)</f>
        <v>#REF!</v>
      </c>
      <c r="CF177" s="24" t="e">
        <f>SUMIFS(#REF!,#REF!,$B177,#REF!,CF$1)</f>
        <v>#REF!</v>
      </c>
      <c r="CG177" s="19" t="e">
        <f t="shared" si="2"/>
        <v>#REF!</v>
      </c>
    </row>
    <row r="178" spans="1:85" x14ac:dyDescent="0.45">
      <c r="A178" s="4" t="s">
        <v>1338</v>
      </c>
      <c r="B178" s="4" t="s">
        <v>1339</v>
      </c>
      <c r="C178" s="24" t="e">
        <f>SUMIFS(#REF!,#REF!,$B178,#REF!,C$1)</f>
        <v>#REF!</v>
      </c>
      <c r="D178" s="24" t="e">
        <f>SUMIFS(#REF!,#REF!,$B178,#REF!,D$1)</f>
        <v>#REF!</v>
      </c>
      <c r="E178" s="24" t="e">
        <f>SUMIFS(#REF!,#REF!,$B178,#REF!,E$1)</f>
        <v>#REF!</v>
      </c>
      <c r="F178" s="24" t="e">
        <f>SUMIFS(#REF!,#REF!,$B178,#REF!,F$1)</f>
        <v>#REF!</v>
      </c>
      <c r="G178" s="24" t="e">
        <f>SUMIFS(#REF!,#REF!,$B178,#REF!,G$1)</f>
        <v>#REF!</v>
      </c>
      <c r="H178" s="24" t="e">
        <f>SUMIFS(#REF!,#REF!,$B178,#REF!,H$1)</f>
        <v>#REF!</v>
      </c>
      <c r="I178" s="24" t="e">
        <f>SUMIFS(#REF!,#REF!,$B178,#REF!,I$1)</f>
        <v>#REF!</v>
      </c>
      <c r="J178" s="24" t="e">
        <f>SUMIFS(#REF!,#REF!,$B178,#REF!,J$1)</f>
        <v>#REF!</v>
      </c>
      <c r="K178" s="24" t="e">
        <f>SUMIFS(#REF!,#REF!,$B178,#REF!,K$1)</f>
        <v>#REF!</v>
      </c>
      <c r="L178" s="24" t="e">
        <f>SUMIFS(#REF!,#REF!,$B178,#REF!,L$1)</f>
        <v>#REF!</v>
      </c>
      <c r="M178" s="24" t="e">
        <f>SUMIFS(#REF!,#REF!,$B178,#REF!,M$1)</f>
        <v>#REF!</v>
      </c>
      <c r="N178" s="24" t="e">
        <f>SUMIFS(#REF!,#REF!,$B178,#REF!,N$1)</f>
        <v>#REF!</v>
      </c>
      <c r="O178" s="24" t="e">
        <f>SUMIFS(#REF!,#REF!,$B178,#REF!,O$1)</f>
        <v>#REF!</v>
      </c>
      <c r="P178" s="24" t="e">
        <f>SUMIFS(#REF!,#REF!,$B178,#REF!,P$1)</f>
        <v>#REF!</v>
      </c>
      <c r="Q178" s="24" t="e">
        <f>SUMIFS(#REF!,#REF!,$B178,#REF!,Q$1)</f>
        <v>#REF!</v>
      </c>
      <c r="R178" s="24" t="e">
        <f>SUMIFS(#REF!,#REF!,$B178,#REF!,R$1)</f>
        <v>#REF!</v>
      </c>
      <c r="S178" s="24" t="e">
        <f>SUMIFS(#REF!,#REF!,$B178,#REF!,S$1)</f>
        <v>#REF!</v>
      </c>
      <c r="T178" s="24" t="e">
        <f>SUMIFS(#REF!,#REF!,$B178,#REF!,T$1)</f>
        <v>#REF!</v>
      </c>
      <c r="U178" s="24" t="e">
        <f>SUMIFS(#REF!,#REF!,$B178,#REF!,U$1)</f>
        <v>#REF!</v>
      </c>
      <c r="V178" s="24" t="e">
        <f>SUMIFS(#REF!,#REF!,$B178,#REF!,V$1)</f>
        <v>#REF!</v>
      </c>
      <c r="W178" s="24" t="e">
        <f>SUMIFS(#REF!,#REF!,$B178,#REF!,W$1)</f>
        <v>#REF!</v>
      </c>
      <c r="X178" s="24" t="e">
        <f>SUMIFS(#REF!,#REF!,$B178,#REF!,X$1)</f>
        <v>#REF!</v>
      </c>
      <c r="Y178" s="24" t="e">
        <f>SUMIFS(#REF!,#REF!,$B178,#REF!,Y$1)</f>
        <v>#REF!</v>
      </c>
      <c r="Z178" s="24" t="e">
        <f>SUMIFS(#REF!,#REF!,$B178,#REF!,Z$1)</f>
        <v>#REF!</v>
      </c>
      <c r="AA178" s="24" t="e">
        <f>SUMIFS(#REF!,#REF!,$B178,#REF!,AA$1)</f>
        <v>#REF!</v>
      </c>
      <c r="AB178" s="24" t="e">
        <f>SUMIFS(#REF!,#REF!,$B178,#REF!,AB$1)</f>
        <v>#REF!</v>
      </c>
      <c r="AC178" s="24" t="e">
        <f>SUMIFS(#REF!,#REF!,$B178,#REF!,AC$1)</f>
        <v>#REF!</v>
      </c>
      <c r="AD178" s="24" t="e">
        <f>SUMIFS(#REF!,#REF!,$B178,#REF!,AD$1)</f>
        <v>#REF!</v>
      </c>
      <c r="AE178" s="24" t="e">
        <f>SUMIFS(#REF!,#REF!,$B178,#REF!,AE$1)</f>
        <v>#REF!</v>
      </c>
      <c r="AF178" s="24" t="e">
        <f>SUMIFS(#REF!,#REF!,$B178,#REF!,AF$1)</f>
        <v>#REF!</v>
      </c>
      <c r="AG178" s="24" t="e">
        <f>SUMIFS(#REF!,#REF!,$B178,#REF!,AG$1)</f>
        <v>#REF!</v>
      </c>
      <c r="AH178" s="24" t="e">
        <f>SUMIFS(#REF!,#REF!,$B178,#REF!,AH$1)</f>
        <v>#REF!</v>
      </c>
      <c r="AI178" s="24" t="e">
        <f>SUMIFS(#REF!,#REF!,$B178,#REF!,AI$1)</f>
        <v>#REF!</v>
      </c>
      <c r="AJ178" s="24" t="e">
        <f>SUMIFS(#REF!,#REF!,$B178,#REF!,AJ$1)</f>
        <v>#REF!</v>
      </c>
      <c r="AK178" s="24" t="e">
        <f>SUMIFS(#REF!,#REF!,$B178,#REF!,AK$1)</f>
        <v>#REF!</v>
      </c>
      <c r="AL178" s="24" t="e">
        <f>SUMIFS(#REF!,#REF!,$B178,#REF!,AL$1)</f>
        <v>#REF!</v>
      </c>
      <c r="AM178" s="24" t="e">
        <f>SUMIFS(#REF!,#REF!,$B178,#REF!,AM$1)</f>
        <v>#REF!</v>
      </c>
      <c r="AN178" s="24" t="e">
        <f>SUMIFS(#REF!,#REF!,$B178,#REF!,AN$1)</f>
        <v>#REF!</v>
      </c>
      <c r="AO178" s="24" t="e">
        <f>SUMIFS(#REF!,#REF!,$B178,#REF!,AO$1)</f>
        <v>#REF!</v>
      </c>
      <c r="AP178" s="24" t="e">
        <f>SUMIFS(#REF!,#REF!,$B178,#REF!,AP$1)</f>
        <v>#REF!</v>
      </c>
      <c r="AQ178" s="24" t="e">
        <f>SUMIFS(#REF!,#REF!,$B178,#REF!,AQ$1)</f>
        <v>#REF!</v>
      </c>
      <c r="AR178" s="24" t="e">
        <f>SUMIFS(#REF!,#REF!,$B178,#REF!,AR$1)</f>
        <v>#REF!</v>
      </c>
      <c r="AS178" s="24" t="e">
        <f>SUMIFS(#REF!,#REF!,$B178,#REF!,AS$1)</f>
        <v>#REF!</v>
      </c>
      <c r="AT178" s="24" t="e">
        <f>SUMIFS(#REF!,#REF!,$B178,#REF!,AT$1)</f>
        <v>#REF!</v>
      </c>
      <c r="AU178" s="24" t="e">
        <f>SUMIFS(#REF!,#REF!,$B178,#REF!,AU$1)</f>
        <v>#REF!</v>
      </c>
      <c r="AV178" s="24" t="e">
        <f>SUMIFS(#REF!,#REF!,$B178,#REF!,AV$1)</f>
        <v>#REF!</v>
      </c>
      <c r="AW178" s="24" t="e">
        <f>SUMIFS(#REF!,#REF!,$B178,#REF!,AW$1)</f>
        <v>#REF!</v>
      </c>
      <c r="AX178" s="24" t="e">
        <f>SUMIFS(#REF!,#REF!,$B178,#REF!,AX$1)</f>
        <v>#REF!</v>
      </c>
      <c r="AY178" s="24" t="e">
        <f>SUMIFS(#REF!,#REF!,$B178,#REF!,AY$1)</f>
        <v>#REF!</v>
      </c>
      <c r="AZ178" s="24" t="e">
        <f>SUMIFS(#REF!,#REF!,$B178,#REF!,AZ$1)</f>
        <v>#REF!</v>
      </c>
      <c r="BA178" s="24" t="e">
        <f>SUMIFS(#REF!,#REF!,$B178,#REF!,BA$1)</f>
        <v>#REF!</v>
      </c>
      <c r="BB178" s="24" t="e">
        <f>SUMIFS(#REF!,#REF!,$B178,#REF!,BB$1)</f>
        <v>#REF!</v>
      </c>
      <c r="BC178" s="24" t="e">
        <f>SUMIFS(#REF!,#REF!,$B178,#REF!,BC$1)</f>
        <v>#REF!</v>
      </c>
      <c r="BD178" s="24" t="e">
        <f>SUMIFS(#REF!,#REF!,$B178,#REF!,BD$1)</f>
        <v>#REF!</v>
      </c>
      <c r="BE178" s="24" t="e">
        <f>SUMIFS(#REF!,#REF!,$B178,#REF!,BE$1)</f>
        <v>#REF!</v>
      </c>
      <c r="BF178" s="24" t="e">
        <f>SUMIFS(#REF!,#REF!,$B178,#REF!,BF$1)</f>
        <v>#REF!</v>
      </c>
      <c r="BG178" s="24" t="e">
        <f>SUMIFS(#REF!,#REF!,$B178,#REF!,BG$1)</f>
        <v>#REF!</v>
      </c>
      <c r="BH178" s="24" t="e">
        <f>SUMIFS(#REF!,#REF!,$B178,#REF!,BH$1)</f>
        <v>#REF!</v>
      </c>
      <c r="BI178" s="24" t="e">
        <f>SUMIFS(#REF!,#REF!,$B178,#REF!,BI$1)</f>
        <v>#REF!</v>
      </c>
      <c r="BJ178" s="24" t="e">
        <f>SUMIFS(#REF!,#REF!,$B178,#REF!,BJ$1)</f>
        <v>#REF!</v>
      </c>
      <c r="BK178" s="24" t="e">
        <f>SUMIFS(#REF!,#REF!,$B178,#REF!,BK$1)</f>
        <v>#REF!</v>
      </c>
      <c r="BL178" s="24" t="e">
        <f>SUMIFS(#REF!,#REF!,$B178,#REF!,BL$1)</f>
        <v>#REF!</v>
      </c>
      <c r="BM178" s="24" t="e">
        <f>SUMIFS(#REF!,#REF!,$B178,#REF!,BM$1)</f>
        <v>#REF!</v>
      </c>
      <c r="BN178" s="24" t="e">
        <f>SUMIFS(#REF!,#REF!,$B178,#REF!,BN$1)</f>
        <v>#REF!</v>
      </c>
      <c r="BO178" s="24" t="e">
        <f>SUMIFS(#REF!,#REF!,$B178,#REF!,BO$1)</f>
        <v>#REF!</v>
      </c>
      <c r="BP178" s="24" t="e">
        <f>SUMIFS(#REF!,#REF!,$B178,#REF!,BP$1)</f>
        <v>#REF!</v>
      </c>
      <c r="BQ178" s="24" t="e">
        <f>SUMIFS(#REF!,#REF!,$B178,#REF!,BQ$1)</f>
        <v>#REF!</v>
      </c>
      <c r="BR178" s="24" t="e">
        <f>SUMIFS(#REF!,#REF!,$B178,#REF!,BR$1)</f>
        <v>#REF!</v>
      </c>
      <c r="BS178" s="24" t="e">
        <f>SUMIFS(#REF!,#REF!,$B178,#REF!,BS$1)</f>
        <v>#REF!</v>
      </c>
      <c r="BT178" s="24" t="e">
        <f>SUMIFS(#REF!,#REF!,$B178,#REF!,BT$1)</f>
        <v>#REF!</v>
      </c>
      <c r="BU178" s="24" t="e">
        <f>SUMIFS(#REF!,#REF!,$B178,#REF!,BU$1)</f>
        <v>#REF!</v>
      </c>
      <c r="BV178" s="24" t="e">
        <f>SUMIFS(#REF!,#REF!,$B178,#REF!,BV$1)</f>
        <v>#REF!</v>
      </c>
      <c r="BW178" s="24" t="e">
        <f>SUMIFS(#REF!,#REF!,$B178,#REF!,BW$1)</f>
        <v>#REF!</v>
      </c>
      <c r="BX178" s="24" t="e">
        <f>SUMIFS(#REF!,#REF!,$B178,#REF!,BX$1)</f>
        <v>#REF!</v>
      </c>
      <c r="BY178" s="24" t="e">
        <f>SUMIFS(#REF!,#REF!,$B178,#REF!,BY$1)</f>
        <v>#REF!</v>
      </c>
      <c r="BZ178" s="24" t="e">
        <f>SUMIFS(#REF!,#REF!,$B178,#REF!,BZ$1)</f>
        <v>#REF!</v>
      </c>
      <c r="CA178" s="24" t="e">
        <f>SUMIFS(#REF!,#REF!,$B178,#REF!,CA$1)</f>
        <v>#REF!</v>
      </c>
      <c r="CB178" s="24" t="e">
        <f>SUMIFS(#REF!,#REF!,$B178,#REF!,CB$1)</f>
        <v>#REF!</v>
      </c>
      <c r="CC178" s="24" t="e">
        <f>SUMIFS(#REF!,#REF!,$B178,#REF!,CC$1)</f>
        <v>#REF!</v>
      </c>
      <c r="CD178" s="24" t="e">
        <f>SUMIFS(#REF!,#REF!,$B178,#REF!,CD$1)</f>
        <v>#REF!</v>
      </c>
      <c r="CE178" s="24" t="e">
        <f>SUMIFS(#REF!,#REF!,$B178,#REF!,CE$1)</f>
        <v>#REF!</v>
      </c>
      <c r="CF178" s="24" t="e">
        <f>SUMIFS(#REF!,#REF!,$B178,#REF!,CF$1)</f>
        <v>#REF!</v>
      </c>
      <c r="CG178" s="19" t="e">
        <f t="shared" si="2"/>
        <v>#REF!</v>
      </c>
    </row>
    <row r="179" spans="1:85" x14ac:dyDescent="0.45">
      <c r="A179" s="4" t="s">
        <v>1340</v>
      </c>
      <c r="B179" s="4" t="s">
        <v>1341</v>
      </c>
      <c r="C179" s="24" t="e">
        <f>SUMIFS(#REF!,#REF!,$B179,#REF!,C$1)</f>
        <v>#REF!</v>
      </c>
      <c r="D179" s="24" t="e">
        <f>SUMIFS(#REF!,#REF!,$B179,#REF!,D$1)</f>
        <v>#REF!</v>
      </c>
      <c r="E179" s="24" t="e">
        <f>SUMIFS(#REF!,#REF!,$B179,#REF!,E$1)</f>
        <v>#REF!</v>
      </c>
      <c r="F179" s="24" t="e">
        <f>SUMIFS(#REF!,#REF!,$B179,#REF!,F$1)</f>
        <v>#REF!</v>
      </c>
      <c r="G179" s="24" t="e">
        <f>SUMIFS(#REF!,#REF!,$B179,#REF!,G$1)</f>
        <v>#REF!</v>
      </c>
      <c r="H179" s="24" t="e">
        <f>SUMIFS(#REF!,#REF!,$B179,#REF!,H$1)</f>
        <v>#REF!</v>
      </c>
      <c r="I179" s="24" t="e">
        <f>SUMIFS(#REF!,#REF!,$B179,#REF!,I$1)</f>
        <v>#REF!</v>
      </c>
      <c r="J179" s="24" t="e">
        <f>SUMIFS(#REF!,#REF!,$B179,#REF!,J$1)</f>
        <v>#REF!</v>
      </c>
      <c r="K179" s="24" t="e">
        <f>SUMIFS(#REF!,#REF!,$B179,#REF!,K$1)</f>
        <v>#REF!</v>
      </c>
      <c r="L179" s="24" t="e">
        <f>SUMIFS(#REF!,#REF!,$B179,#REF!,L$1)</f>
        <v>#REF!</v>
      </c>
      <c r="M179" s="24" t="e">
        <f>SUMIFS(#REF!,#REF!,$B179,#REF!,M$1)</f>
        <v>#REF!</v>
      </c>
      <c r="N179" s="24" t="e">
        <f>SUMIFS(#REF!,#REF!,$B179,#REF!,N$1)</f>
        <v>#REF!</v>
      </c>
      <c r="O179" s="24" t="e">
        <f>SUMIFS(#REF!,#REF!,$B179,#REF!,O$1)</f>
        <v>#REF!</v>
      </c>
      <c r="P179" s="24" t="e">
        <f>SUMIFS(#REF!,#REF!,$B179,#REF!,P$1)</f>
        <v>#REF!</v>
      </c>
      <c r="Q179" s="24" t="e">
        <f>SUMIFS(#REF!,#REF!,$B179,#REF!,Q$1)</f>
        <v>#REF!</v>
      </c>
      <c r="R179" s="24" t="e">
        <f>SUMIFS(#REF!,#REF!,$B179,#REF!,R$1)</f>
        <v>#REF!</v>
      </c>
      <c r="S179" s="24" t="e">
        <f>SUMIFS(#REF!,#REF!,$B179,#REF!,S$1)</f>
        <v>#REF!</v>
      </c>
      <c r="T179" s="24" t="e">
        <f>SUMIFS(#REF!,#REF!,$B179,#REF!,T$1)</f>
        <v>#REF!</v>
      </c>
      <c r="U179" s="24" t="e">
        <f>SUMIFS(#REF!,#REF!,$B179,#REF!,U$1)</f>
        <v>#REF!</v>
      </c>
      <c r="V179" s="24" t="e">
        <f>SUMIFS(#REF!,#REF!,$B179,#REF!,V$1)</f>
        <v>#REF!</v>
      </c>
      <c r="W179" s="24" t="e">
        <f>SUMIFS(#REF!,#REF!,$B179,#REF!,W$1)</f>
        <v>#REF!</v>
      </c>
      <c r="X179" s="24" t="e">
        <f>SUMIFS(#REF!,#REF!,$B179,#REF!,X$1)</f>
        <v>#REF!</v>
      </c>
      <c r="Y179" s="24" t="e">
        <f>SUMIFS(#REF!,#REF!,$B179,#REF!,Y$1)</f>
        <v>#REF!</v>
      </c>
      <c r="Z179" s="24" t="e">
        <f>SUMIFS(#REF!,#REF!,$B179,#REF!,Z$1)</f>
        <v>#REF!</v>
      </c>
      <c r="AA179" s="24" t="e">
        <f>SUMIFS(#REF!,#REF!,$B179,#REF!,AA$1)</f>
        <v>#REF!</v>
      </c>
      <c r="AB179" s="24" t="e">
        <f>SUMIFS(#REF!,#REF!,$B179,#REF!,AB$1)</f>
        <v>#REF!</v>
      </c>
      <c r="AC179" s="24" t="e">
        <f>SUMIFS(#REF!,#REF!,$B179,#REF!,AC$1)</f>
        <v>#REF!</v>
      </c>
      <c r="AD179" s="24" t="e">
        <f>SUMIFS(#REF!,#REF!,$B179,#REF!,AD$1)</f>
        <v>#REF!</v>
      </c>
      <c r="AE179" s="24" t="e">
        <f>SUMIFS(#REF!,#REF!,$B179,#REF!,AE$1)</f>
        <v>#REF!</v>
      </c>
      <c r="AF179" s="24" t="e">
        <f>SUMIFS(#REF!,#REF!,$B179,#REF!,AF$1)</f>
        <v>#REF!</v>
      </c>
      <c r="AG179" s="24" t="e">
        <f>SUMIFS(#REF!,#REF!,$B179,#REF!,AG$1)</f>
        <v>#REF!</v>
      </c>
      <c r="AH179" s="24" t="e">
        <f>SUMIFS(#REF!,#REF!,$B179,#REF!,AH$1)</f>
        <v>#REF!</v>
      </c>
      <c r="AI179" s="24" t="e">
        <f>SUMIFS(#REF!,#REF!,$B179,#REF!,AI$1)</f>
        <v>#REF!</v>
      </c>
      <c r="AJ179" s="24" t="e">
        <f>SUMIFS(#REF!,#REF!,$B179,#REF!,AJ$1)</f>
        <v>#REF!</v>
      </c>
      <c r="AK179" s="24" t="e">
        <f>SUMIFS(#REF!,#REF!,$B179,#REF!,AK$1)</f>
        <v>#REF!</v>
      </c>
      <c r="AL179" s="24" t="e">
        <f>SUMIFS(#REF!,#REF!,$B179,#REF!,AL$1)</f>
        <v>#REF!</v>
      </c>
      <c r="AM179" s="24" t="e">
        <f>SUMIFS(#REF!,#REF!,$B179,#REF!,AM$1)</f>
        <v>#REF!</v>
      </c>
      <c r="AN179" s="24" t="e">
        <f>SUMIFS(#REF!,#REF!,$B179,#REF!,AN$1)</f>
        <v>#REF!</v>
      </c>
      <c r="AO179" s="24" t="e">
        <f>SUMIFS(#REF!,#REF!,$B179,#REF!,AO$1)</f>
        <v>#REF!</v>
      </c>
      <c r="AP179" s="24" t="e">
        <f>SUMIFS(#REF!,#REF!,$B179,#REF!,AP$1)</f>
        <v>#REF!</v>
      </c>
      <c r="AQ179" s="24" t="e">
        <f>SUMIFS(#REF!,#REF!,$B179,#REF!,AQ$1)</f>
        <v>#REF!</v>
      </c>
      <c r="AR179" s="24" t="e">
        <f>SUMIFS(#REF!,#REF!,$B179,#REF!,AR$1)</f>
        <v>#REF!</v>
      </c>
      <c r="AS179" s="24" t="e">
        <f>SUMIFS(#REF!,#REF!,$B179,#REF!,AS$1)</f>
        <v>#REF!</v>
      </c>
      <c r="AT179" s="24" t="e">
        <f>SUMIFS(#REF!,#REF!,$B179,#REF!,AT$1)</f>
        <v>#REF!</v>
      </c>
      <c r="AU179" s="24" t="e">
        <f>SUMIFS(#REF!,#REF!,$B179,#REF!,AU$1)</f>
        <v>#REF!</v>
      </c>
      <c r="AV179" s="24" t="e">
        <f>SUMIFS(#REF!,#REF!,$B179,#REF!,AV$1)</f>
        <v>#REF!</v>
      </c>
      <c r="AW179" s="24" t="e">
        <f>SUMIFS(#REF!,#REF!,$B179,#REF!,AW$1)</f>
        <v>#REF!</v>
      </c>
      <c r="AX179" s="24" t="e">
        <f>SUMIFS(#REF!,#REF!,$B179,#REF!,AX$1)</f>
        <v>#REF!</v>
      </c>
      <c r="AY179" s="24" t="e">
        <f>SUMIFS(#REF!,#REF!,$B179,#REF!,AY$1)</f>
        <v>#REF!</v>
      </c>
      <c r="AZ179" s="24" t="e">
        <f>SUMIFS(#REF!,#REF!,$B179,#REF!,AZ$1)</f>
        <v>#REF!</v>
      </c>
      <c r="BA179" s="24" t="e">
        <f>SUMIFS(#REF!,#REF!,$B179,#REF!,BA$1)</f>
        <v>#REF!</v>
      </c>
      <c r="BB179" s="24" t="e">
        <f>SUMIFS(#REF!,#REF!,$B179,#REF!,BB$1)</f>
        <v>#REF!</v>
      </c>
      <c r="BC179" s="24" t="e">
        <f>SUMIFS(#REF!,#REF!,$B179,#REF!,BC$1)</f>
        <v>#REF!</v>
      </c>
      <c r="BD179" s="24" t="e">
        <f>SUMIFS(#REF!,#REF!,$B179,#REF!,BD$1)</f>
        <v>#REF!</v>
      </c>
      <c r="BE179" s="24" t="e">
        <f>SUMIFS(#REF!,#REF!,$B179,#REF!,BE$1)</f>
        <v>#REF!</v>
      </c>
      <c r="BF179" s="24" t="e">
        <f>SUMIFS(#REF!,#REF!,$B179,#REF!,BF$1)</f>
        <v>#REF!</v>
      </c>
      <c r="BG179" s="24" t="e">
        <f>SUMIFS(#REF!,#REF!,$B179,#REF!,BG$1)</f>
        <v>#REF!</v>
      </c>
      <c r="BH179" s="24" t="e">
        <f>SUMIFS(#REF!,#REF!,$B179,#REF!,BH$1)</f>
        <v>#REF!</v>
      </c>
      <c r="BI179" s="24" t="e">
        <f>SUMIFS(#REF!,#REF!,$B179,#REF!,BI$1)</f>
        <v>#REF!</v>
      </c>
      <c r="BJ179" s="24" t="e">
        <f>SUMIFS(#REF!,#REF!,$B179,#REF!,BJ$1)</f>
        <v>#REF!</v>
      </c>
      <c r="BK179" s="24" t="e">
        <f>SUMIFS(#REF!,#REF!,$B179,#REF!,BK$1)</f>
        <v>#REF!</v>
      </c>
      <c r="BL179" s="24" t="e">
        <f>SUMIFS(#REF!,#REF!,$B179,#REF!,BL$1)</f>
        <v>#REF!</v>
      </c>
      <c r="BM179" s="24" t="e">
        <f>SUMIFS(#REF!,#REF!,$B179,#REF!,BM$1)</f>
        <v>#REF!</v>
      </c>
      <c r="BN179" s="24" t="e">
        <f>SUMIFS(#REF!,#REF!,$B179,#REF!,BN$1)</f>
        <v>#REF!</v>
      </c>
      <c r="BO179" s="24" t="e">
        <f>SUMIFS(#REF!,#REF!,$B179,#REF!,BO$1)</f>
        <v>#REF!</v>
      </c>
      <c r="BP179" s="24" t="e">
        <f>SUMIFS(#REF!,#REF!,$B179,#REF!,BP$1)</f>
        <v>#REF!</v>
      </c>
      <c r="BQ179" s="24" t="e">
        <f>SUMIFS(#REF!,#REF!,$B179,#REF!,BQ$1)</f>
        <v>#REF!</v>
      </c>
      <c r="BR179" s="24" t="e">
        <f>SUMIFS(#REF!,#REF!,$B179,#REF!,BR$1)</f>
        <v>#REF!</v>
      </c>
      <c r="BS179" s="24" t="e">
        <f>SUMIFS(#REF!,#REF!,$B179,#REF!,BS$1)</f>
        <v>#REF!</v>
      </c>
      <c r="BT179" s="24" t="e">
        <f>SUMIFS(#REF!,#REF!,$B179,#REF!,BT$1)</f>
        <v>#REF!</v>
      </c>
      <c r="BU179" s="24" t="e">
        <f>SUMIFS(#REF!,#REF!,$B179,#REF!,BU$1)</f>
        <v>#REF!</v>
      </c>
      <c r="BV179" s="24" t="e">
        <f>SUMIFS(#REF!,#REF!,$B179,#REF!,BV$1)</f>
        <v>#REF!</v>
      </c>
      <c r="BW179" s="24" t="e">
        <f>SUMIFS(#REF!,#REF!,$B179,#REF!,BW$1)</f>
        <v>#REF!</v>
      </c>
      <c r="BX179" s="24" t="e">
        <f>SUMIFS(#REF!,#REF!,$B179,#REF!,BX$1)</f>
        <v>#REF!</v>
      </c>
      <c r="BY179" s="24" t="e">
        <f>SUMIFS(#REF!,#REF!,$B179,#REF!,BY$1)</f>
        <v>#REF!</v>
      </c>
      <c r="BZ179" s="24" t="e">
        <f>SUMIFS(#REF!,#REF!,$B179,#REF!,BZ$1)</f>
        <v>#REF!</v>
      </c>
      <c r="CA179" s="24" t="e">
        <f>SUMIFS(#REF!,#REF!,$B179,#REF!,CA$1)</f>
        <v>#REF!</v>
      </c>
      <c r="CB179" s="24" t="e">
        <f>SUMIFS(#REF!,#REF!,$B179,#REF!,CB$1)</f>
        <v>#REF!</v>
      </c>
      <c r="CC179" s="24" t="e">
        <f>SUMIFS(#REF!,#REF!,$B179,#REF!,CC$1)</f>
        <v>#REF!</v>
      </c>
      <c r="CD179" s="24" t="e">
        <f>SUMIFS(#REF!,#REF!,$B179,#REF!,CD$1)</f>
        <v>#REF!</v>
      </c>
      <c r="CE179" s="24" t="e">
        <f>SUMIFS(#REF!,#REF!,$B179,#REF!,CE$1)</f>
        <v>#REF!</v>
      </c>
      <c r="CF179" s="24" t="e">
        <f>SUMIFS(#REF!,#REF!,$B179,#REF!,CF$1)</f>
        <v>#REF!</v>
      </c>
      <c r="CG179" s="19" t="e">
        <f t="shared" si="2"/>
        <v>#REF!</v>
      </c>
    </row>
    <row r="180" spans="1:85" x14ac:dyDescent="0.45">
      <c r="A180" s="4" t="s">
        <v>1342</v>
      </c>
      <c r="B180" s="4" t="s">
        <v>1343</v>
      </c>
      <c r="C180" s="24" t="e">
        <f>SUMIFS(#REF!,#REF!,$B180,#REF!,C$1)</f>
        <v>#REF!</v>
      </c>
      <c r="D180" s="24" t="e">
        <f>SUMIFS(#REF!,#REF!,$B180,#REF!,D$1)</f>
        <v>#REF!</v>
      </c>
      <c r="E180" s="24" t="e">
        <f>SUMIFS(#REF!,#REF!,$B180,#REF!,E$1)</f>
        <v>#REF!</v>
      </c>
      <c r="F180" s="24" t="e">
        <f>SUMIFS(#REF!,#REF!,$B180,#REF!,F$1)</f>
        <v>#REF!</v>
      </c>
      <c r="G180" s="24" t="e">
        <f>SUMIFS(#REF!,#REF!,$B180,#REF!,G$1)</f>
        <v>#REF!</v>
      </c>
      <c r="H180" s="24" t="e">
        <f>SUMIFS(#REF!,#REF!,$B180,#REF!,H$1)</f>
        <v>#REF!</v>
      </c>
      <c r="I180" s="24" t="e">
        <f>SUMIFS(#REF!,#REF!,$B180,#REF!,I$1)</f>
        <v>#REF!</v>
      </c>
      <c r="J180" s="24" t="e">
        <f>SUMIFS(#REF!,#REF!,$B180,#REF!,J$1)</f>
        <v>#REF!</v>
      </c>
      <c r="K180" s="24" t="e">
        <f>SUMIFS(#REF!,#REF!,$B180,#REF!,K$1)</f>
        <v>#REF!</v>
      </c>
      <c r="L180" s="24" t="e">
        <f>SUMIFS(#REF!,#REF!,$B180,#REF!,L$1)</f>
        <v>#REF!</v>
      </c>
      <c r="M180" s="24" t="e">
        <f>SUMIFS(#REF!,#REF!,$B180,#REF!,M$1)</f>
        <v>#REF!</v>
      </c>
      <c r="N180" s="24" t="e">
        <f>SUMIFS(#REF!,#REF!,$B180,#REF!,N$1)</f>
        <v>#REF!</v>
      </c>
      <c r="O180" s="24" t="e">
        <f>SUMIFS(#REF!,#REF!,$B180,#REF!,O$1)</f>
        <v>#REF!</v>
      </c>
      <c r="P180" s="24" t="e">
        <f>SUMIFS(#REF!,#REF!,$B180,#REF!,P$1)</f>
        <v>#REF!</v>
      </c>
      <c r="Q180" s="24" t="e">
        <f>SUMIFS(#REF!,#REF!,$B180,#REF!,Q$1)</f>
        <v>#REF!</v>
      </c>
      <c r="R180" s="24" t="e">
        <f>SUMIFS(#REF!,#REF!,$B180,#REF!,R$1)</f>
        <v>#REF!</v>
      </c>
      <c r="S180" s="24" t="e">
        <f>SUMIFS(#REF!,#REF!,$B180,#REF!,S$1)</f>
        <v>#REF!</v>
      </c>
      <c r="T180" s="24" t="e">
        <f>SUMIFS(#REF!,#REF!,$B180,#REF!,T$1)</f>
        <v>#REF!</v>
      </c>
      <c r="U180" s="24" t="e">
        <f>SUMIFS(#REF!,#REF!,$B180,#REF!,U$1)</f>
        <v>#REF!</v>
      </c>
      <c r="V180" s="24" t="e">
        <f>SUMIFS(#REF!,#REF!,$B180,#REF!,V$1)</f>
        <v>#REF!</v>
      </c>
      <c r="W180" s="24" t="e">
        <f>SUMIFS(#REF!,#REF!,$B180,#REF!,W$1)</f>
        <v>#REF!</v>
      </c>
      <c r="X180" s="24" t="e">
        <f>SUMIFS(#REF!,#REF!,$B180,#REF!,X$1)</f>
        <v>#REF!</v>
      </c>
      <c r="Y180" s="24" t="e">
        <f>SUMIFS(#REF!,#REF!,$B180,#REF!,Y$1)</f>
        <v>#REF!</v>
      </c>
      <c r="Z180" s="24" t="e">
        <f>SUMIFS(#REF!,#REF!,$B180,#REF!,Z$1)</f>
        <v>#REF!</v>
      </c>
      <c r="AA180" s="24" t="e">
        <f>SUMIFS(#REF!,#REF!,$B180,#REF!,AA$1)</f>
        <v>#REF!</v>
      </c>
      <c r="AB180" s="24" t="e">
        <f>SUMIFS(#REF!,#REF!,$B180,#REF!,AB$1)</f>
        <v>#REF!</v>
      </c>
      <c r="AC180" s="24" t="e">
        <f>SUMIFS(#REF!,#REF!,$B180,#REF!,AC$1)</f>
        <v>#REF!</v>
      </c>
      <c r="AD180" s="24" t="e">
        <f>SUMIFS(#REF!,#REF!,$B180,#REF!,AD$1)</f>
        <v>#REF!</v>
      </c>
      <c r="AE180" s="24" t="e">
        <f>SUMIFS(#REF!,#REF!,$B180,#REF!,AE$1)</f>
        <v>#REF!</v>
      </c>
      <c r="AF180" s="24" t="e">
        <f>SUMIFS(#REF!,#REF!,$B180,#REF!,AF$1)</f>
        <v>#REF!</v>
      </c>
      <c r="AG180" s="24" t="e">
        <f>SUMIFS(#REF!,#REF!,$B180,#REF!,AG$1)</f>
        <v>#REF!</v>
      </c>
      <c r="AH180" s="24" t="e">
        <f>SUMIFS(#REF!,#REF!,$B180,#REF!,AH$1)</f>
        <v>#REF!</v>
      </c>
      <c r="AI180" s="24" t="e">
        <f>SUMIFS(#REF!,#REF!,$B180,#REF!,AI$1)</f>
        <v>#REF!</v>
      </c>
      <c r="AJ180" s="24" t="e">
        <f>SUMIFS(#REF!,#REF!,$B180,#REF!,AJ$1)</f>
        <v>#REF!</v>
      </c>
      <c r="AK180" s="24" t="e">
        <f>SUMIFS(#REF!,#REF!,$B180,#REF!,AK$1)</f>
        <v>#REF!</v>
      </c>
      <c r="AL180" s="24" t="e">
        <f>SUMIFS(#REF!,#REF!,$B180,#REF!,AL$1)</f>
        <v>#REF!</v>
      </c>
      <c r="AM180" s="24" t="e">
        <f>SUMIFS(#REF!,#REF!,$B180,#REF!,AM$1)</f>
        <v>#REF!</v>
      </c>
      <c r="AN180" s="24" t="e">
        <f>SUMIFS(#REF!,#REF!,$B180,#REF!,AN$1)</f>
        <v>#REF!</v>
      </c>
      <c r="AO180" s="24" t="e">
        <f>SUMIFS(#REF!,#REF!,$B180,#REF!,AO$1)</f>
        <v>#REF!</v>
      </c>
      <c r="AP180" s="24" t="e">
        <f>SUMIFS(#REF!,#REF!,$B180,#REF!,AP$1)</f>
        <v>#REF!</v>
      </c>
      <c r="AQ180" s="24" t="e">
        <f>SUMIFS(#REF!,#REF!,$B180,#REF!,AQ$1)</f>
        <v>#REF!</v>
      </c>
      <c r="AR180" s="24" t="e">
        <f>SUMIFS(#REF!,#REF!,$B180,#REF!,AR$1)</f>
        <v>#REF!</v>
      </c>
      <c r="AS180" s="24" t="e">
        <f>SUMIFS(#REF!,#REF!,$B180,#REF!,AS$1)</f>
        <v>#REF!</v>
      </c>
      <c r="AT180" s="24" t="e">
        <f>SUMIFS(#REF!,#REF!,$B180,#REF!,AT$1)</f>
        <v>#REF!</v>
      </c>
      <c r="AU180" s="24" t="e">
        <f>SUMIFS(#REF!,#REF!,$B180,#REF!,AU$1)</f>
        <v>#REF!</v>
      </c>
      <c r="AV180" s="24" t="e">
        <f>SUMIFS(#REF!,#REF!,$B180,#REF!,AV$1)</f>
        <v>#REF!</v>
      </c>
      <c r="AW180" s="24" t="e">
        <f>SUMIFS(#REF!,#REF!,$B180,#REF!,AW$1)</f>
        <v>#REF!</v>
      </c>
      <c r="AX180" s="24" t="e">
        <f>SUMIFS(#REF!,#REF!,$B180,#REF!,AX$1)</f>
        <v>#REF!</v>
      </c>
      <c r="AY180" s="24" t="e">
        <f>SUMIFS(#REF!,#REF!,$B180,#REF!,AY$1)</f>
        <v>#REF!</v>
      </c>
      <c r="AZ180" s="24" t="e">
        <f>SUMIFS(#REF!,#REF!,$B180,#REF!,AZ$1)</f>
        <v>#REF!</v>
      </c>
      <c r="BA180" s="24" t="e">
        <f>SUMIFS(#REF!,#REF!,$B180,#REF!,BA$1)</f>
        <v>#REF!</v>
      </c>
      <c r="BB180" s="24" t="e">
        <f>SUMIFS(#REF!,#REF!,$B180,#REF!,BB$1)</f>
        <v>#REF!</v>
      </c>
      <c r="BC180" s="24" t="e">
        <f>SUMIFS(#REF!,#REF!,$B180,#REF!,BC$1)</f>
        <v>#REF!</v>
      </c>
      <c r="BD180" s="24" t="e">
        <f>SUMIFS(#REF!,#REF!,$B180,#REF!,BD$1)</f>
        <v>#REF!</v>
      </c>
      <c r="BE180" s="24" t="e">
        <f>SUMIFS(#REF!,#REF!,$B180,#REF!,BE$1)</f>
        <v>#REF!</v>
      </c>
      <c r="BF180" s="24" t="e">
        <f>SUMIFS(#REF!,#REF!,$B180,#REF!,BF$1)</f>
        <v>#REF!</v>
      </c>
      <c r="BG180" s="24" t="e">
        <f>SUMIFS(#REF!,#REF!,$B180,#REF!,BG$1)</f>
        <v>#REF!</v>
      </c>
      <c r="BH180" s="24" t="e">
        <f>SUMIFS(#REF!,#REF!,$B180,#REF!,BH$1)</f>
        <v>#REF!</v>
      </c>
      <c r="BI180" s="24" t="e">
        <f>SUMIFS(#REF!,#REF!,$B180,#REF!,BI$1)</f>
        <v>#REF!</v>
      </c>
      <c r="BJ180" s="24" t="e">
        <f>SUMIFS(#REF!,#REF!,$B180,#REF!,BJ$1)</f>
        <v>#REF!</v>
      </c>
      <c r="BK180" s="24" t="e">
        <f>SUMIFS(#REF!,#REF!,$B180,#REF!,BK$1)</f>
        <v>#REF!</v>
      </c>
      <c r="BL180" s="24" t="e">
        <f>SUMIFS(#REF!,#REF!,$B180,#REF!,BL$1)</f>
        <v>#REF!</v>
      </c>
      <c r="BM180" s="24" t="e">
        <f>SUMIFS(#REF!,#REF!,$B180,#REF!,BM$1)</f>
        <v>#REF!</v>
      </c>
      <c r="BN180" s="24" t="e">
        <f>SUMIFS(#REF!,#REF!,$B180,#REF!,BN$1)</f>
        <v>#REF!</v>
      </c>
      <c r="BO180" s="24" t="e">
        <f>SUMIFS(#REF!,#REF!,$B180,#REF!,BO$1)</f>
        <v>#REF!</v>
      </c>
      <c r="BP180" s="24" t="e">
        <f>SUMIFS(#REF!,#REF!,$B180,#REF!,BP$1)</f>
        <v>#REF!</v>
      </c>
      <c r="BQ180" s="24" t="e">
        <f>SUMIFS(#REF!,#REF!,$B180,#REF!,BQ$1)</f>
        <v>#REF!</v>
      </c>
      <c r="BR180" s="24" t="e">
        <f>SUMIFS(#REF!,#REF!,$B180,#REF!,BR$1)</f>
        <v>#REF!</v>
      </c>
      <c r="BS180" s="24" t="e">
        <f>SUMIFS(#REF!,#REF!,$B180,#REF!,BS$1)</f>
        <v>#REF!</v>
      </c>
      <c r="BT180" s="24" t="e">
        <f>SUMIFS(#REF!,#REF!,$B180,#REF!,BT$1)</f>
        <v>#REF!</v>
      </c>
      <c r="BU180" s="24" t="e">
        <f>SUMIFS(#REF!,#REF!,$B180,#REF!,BU$1)</f>
        <v>#REF!</v>
      </c>
      <c r="BV180" s="24" t="e">
        <f>SUMIFS(#REF!,#REF!,$B180,#REF!,BV$1)</f>
        <v>#REF!</v>
      </c>
      <c r="BW180" s="24" t="e">
        <f>SUMIFS(#REF!,#REF!,$B180,#REF!,BW$1)</f>
        <v>#REF!</v>
      </c>
      <c r="BX180" s="24" t="e">
        <f>SUMIFS(#REF!,#REF!,$B180,#REF!,BX$1)</f>
        <v>#REF!</v>
      </c>
      <c r="BY180" s="24" t="e">
        <f>SUMIFS(#REF!,#REF!,$B180,#REF!,BY$1)</f>
        <v>#REF!</v>
      </c>
      <c r="BZ180" s="24" t="e">
        <f>SUMIFS(#REF!,#REF!,$B180,#REF!,BZ$1)</f>
        <v>#REF!</v>
      </c>
      <c r="CA180" s="24" t="e">
        <f>SUMIFS(#REF!,#REF!,$B180,#REF!,CA$1)</f>
        <v>#REF!</v>
      </c>
      <c r="CB180" s="24" t="e">
        <f>SUMIFS(#REF!,#REF!,$B180,#REF!,CB$1)</f>
        <v>#REF!</v>
      </c>
      <c r="CC180" s="24" t="e">
        <f>SUMIFS(#REF!,#REF!,$B180,#REF!,CC$1)</f>
        <v>#REF!</v>
      </c>
      <c r="CD180" s="24" t="e">
        <f>SUMIFS(#REF!,#REF!,$B180,#REF!,CD$1)</f>
        <v>#REF!</v>
      </c>
      <c r="CE180" s="24" t="e">
        <f>SUMIFS(#REF!,#REF!,$B180,#REF!,CE$1)</f>
        <v>#REF!</v>
      </c>
      <c r="CF180" s="24" t="e">
        <f>SUMIFS(#REF!,#REF!,$B180,#REF!,CF$1)</f>
        <v>#REF!</v>
      </c>
      <c r="CG180" s="19" t="e">
        <f t="shared" si="2"/>
        <v>#REF!</v>
      </c>
    </row>
    <row r="181" spans="1:85" x14ac:dyDescent="0.45">
      <c r="A181" s="4" t="s">
        <v>1344</v>
      </c>
      <c r="B181" s="4" t="s">
        <v>1345</v>
      </c>
      <c r="C181" s="24" t="e">
        <f>SUMIFS(#REF!,#REF!,$B181,#REF!,C$1)</f>
        <v>#REF!</v>
      </c>
      <c r="D181" s="24" t="e">
        <f>SUMIFS(#REF!,#REF!,$B181,#REF!,D$1)</f>
        <v>#REF!</v>
      </c>
      <c r="E181" s="24" t="e">
        <f>SUMIFS(#REF!,#REF!,$B181,#REF!,E$1)</f>
        <v>#REF!</v>
      </c>
      <c r="F181" s="24" t="e">
        <f>SUMIFS(#REF!,#REF!,$B181,#REF!,F$1)</f>
        <v>#REF!</v>
      </c>
      <c r="G181" s="24" t="e">
        <f>SUMIFS(#REF!,#REF!,$B181,#REF!,G$1)</f>
        <v>#REF!</v>
      </c>
      <c r="H181" s="24" t="e">
        <f>SUMIFS(#REF!,#REF!,$B181,#REF!,H$1)</f>
        <v>#REF!</v>
      </c>
      <c r="I181" s="24" t="e">
        <f>SUMIFS(#REF!,#REF!,$B181,#REF!,I$1)</f>
        <v>#REF!</v>
      </c>
      <c r="J181" s="24" t="e">
        <f>SUMIFS(#REF!,#REF!,$B181,#REF!,J$1)</f>
        <v>#REF!</v>
      </c>
      <c r="K181" s="24" t="e">
        <f>SUMIFS(#REF!,#REF!,$B181,#REF!,K$1)</f>
        <v>#REF!</v>
      </c>
      <c r="L181" s="24" t="e">
        <f>SUMIFS(#REF!,#REF!,$B181,#REF!,L$1)</f>
        <v>#REF!</v>
      </c>
      <c r="M181" s="24" t="e">
        <f>SUMIFS(#REF!,#REF!,$B181,#REF!,M$1)</f>
        <v>#REF!</v>
      </c>
      <c r="N181" s="24" t="e">
        <f>SUMIFS(#REF!,#REF!,$B181,#REF!,N$1)</f>
        <v>#REF!</v>
      </c>
      <c r="O181" s="24" t="e">
        <f>SUMIFS(#REF!,#REF!,$B181,#REF!,O$1)</f>
        <v>#REF!</v>
      </c>
      <c r="P181" s="24" t="e">
        <f>SUMIFS(#REF!,#REF!,$B181,#REF!,P$1)</f>
        <v>#REF!</v>
      </c>
      <c r="Q181" s="24" t="e">
        <f>SUMIFS(#REF!,#REF!,$B181,#REF!,Q$1)</f>
        <v>#REF!</v>
      </c>
      <c r="R181" s="24" t="e">
        <f>SUMIFS(#REF!,#REF!,$B181,#REF!,R$1)</f>
        <v>#REF!</v>
      </c>
      <c r="S181" s="24" t="e">
        <f>SUMIFS(#REF!,#REF!,$B181,#REF!,S$1)</f>
        <v>#REF!</v>
      </c>
      <c r="T181" s="24" t="e">
        <f>SUMIFS(#REF!,#REF!,$B181,#REF!,T$1)</f>
        <v>#REF!</v>
      </c>
      <c r="U181" s="24" t="e">
        <f>SUMIFS(#REF!,#REF!,$B181,#REF!,U$1)</f>
        <v>#REF!</v>
      </c>
      <c r="V181" s="24" t="e">
        <f>SUMIFS(#REF!,#REF!,$B181,#REF!,V$1)</f>
        <v>#REF!</v>
      </c>
      <c r="W181" s="24" t="e">
        <f>SUMIFS(#REF!,#REF!,$B181,#REF!,W$1)</f>
        <v>#REF!</v>
      </c>
      <c r="X181" s="24" t="e">
        <f>SUMIFS(#REF!,#REF!,$B181,#REF!,X$1)</f>
        <v>#REF!</v>
      </c>
      <c r="Y181" s="24" t="e">
        <f>SUMIFS(#REF!,#REF!,$B181,#REF!,Y$1)</f>
        <v>#REF!</v>
      </c>
      <c r="Z181" s="24" t="e">
        <f>SUMIFS(#REF!,#REF!,$B181,#REF!,Z$1)</f>
        <v>#REF!</v>
      </c>
      <c r="AA181" s="24" t="e">
        <f>SUMIFS(#REF!,#REF!,$B181,#REF!,AA$1)</f>
        <v>#REF!</v>
      </c>
      <c r="AB181" s="24" t="e">
        <f>SUMIFS(#REF!,#REF!,$B181,#REF!,AB$1)</f>
        <v>#REF!</v>
      </c>
      <c r="AC181" s="24" t="e">
        <f>SUMIFS(#REF!,#REF!,$B181,#REF!,AC$1)</f>
        <v>#REF!</v>
      </c>
      <c r="AD181" s="24" t="e">
        <f>SUMIFS(#REF!,#REF!,$B181,#REF!,AD$1)</f>
        <v>#REF!</v>
      </c>
      <c r="AE181" s="24" t="e">
        <f>SUMIFS(#REF!,#REF!,$B181,#REF!,AE$1)</f>
        <v>#REF!</v>
      </c>
      <c r="AF181" s="24" t="e">
        <f>SUMIFS(#REF!,#REF!,$B181,#REF!,AF$1)</f>
        <v>#REF!</v>
      </c>
      <c r="AG181" s="24" t="e">
        <f>SUMIFS(#REF!,#REF!,$B181,#REF!,AG$1)</f>
        <v>#REF!</v>
      </c>
      <c r="AH181" s="24" t="e">
        <f>SUMIFS(#REF!,#REF!,$B181,#REF!,AH$1)</f>
        <v>#REF!</v>
      </c>
      <c r="AI181" s="24" t="e">
        <f>SUMIFS(#REF!,#REF!,$B181,#REF!,AI$1)</f>
        <v>#REF!</v>
      </c>
      <c r="AJ181" s="24" t="e">
        <f>SUMIFS(#REF!,#REF!,$B181,#REF!,AJ$1)</f>
        <v>#REF!</v>
      </c>
      <c r="AK181" s="24" t="e">
        <f>SUMIFS(#REF!,#REF!,$B181,#REF!,AK$1)</f>
        <v>#REF!</v>
      </c>
      <c r="AL181" s="24" t="e">
        <f>SUMIFS(#REF!,#REF!,$B181,#REF!,AL$1)</f>
        <v>#REF!</v>
      </c>
      <c r="AM181" s="24" t="e">
        <f>SUMIFS(#REF!,#REF!,$B181,#REF!,AM$1)</f>
        <v>#REF!</v>
      </c>
      <c r="AN181" s="24" t="e">
        <f>SUMIFS(#REF!,#REF!,$B181,#REF!,AN$1)</f>
        <v>#REF!</v>
      </c>
      <c r="AO181" s="24" t="e">
        <f>SUMIFS(#REF!,#REF!,$B181,#REF!,AO$1)</f>
        <v>#REF!</v>
      </c>
      <c r="AP181" s="24" t="e">
        <f>SUMIFS(#REF!,#REF!,$B181,#REF!,AP$1)</f>
        <v>#REF!</v>
      </c>
      <c r="AQ181" s="24" t="e">
        <f>SUMIFS(#REF!,#REF!,$B181,#REF!,AQ$1)</f>
        <v>#REF!</v>
      </c>
      <c r="AR181" s="24" t="e">
        <f>SUMIFS(#REF!,#REF!,$B181,#REF!,AR$1)</f>
        <v>#REF!</v>
      </c>
      <c r="AS181" s="24" t="e">
        <f>SUMIFS(#REF!,#REF!,$B181,#REF!,AS$1)</f>
        <v>#REF!</v>
      </c>
      <c r="AT181" s="24" t="e">
        <f>SUMIFS(#REF!,#REF!,$B181,#REF!,AT$1)</f>
        <v>#REF!</v>
      </c>
      <c r="AU181" s="24" t="e">
        <f>SUMIFS(#REF!,#REF!,$B181,#REF!,AU$1)</f>
        <v>#REF!</v>
      </c>
      <c r="AV181" s="24" t="e">
        <f>SUMIFS(#REF!,#REF!,$B181,#REF!,AV$1)</f>
        <v>#REF!</v>
      </c>
      <c r="AW181" s="24" t="e">
        <f>SUMIFS(#REF!,#REF!,$B181,#REF!,AW$1)</f>
        <v>#REF!</v>
      </c>
      <c r="AX181" s="24" t="e">
        <f>SUMIFS(#REF!,#REF!,$B181,#REF!,AX$1)</f>
        <v>#REF!</v>
      </c>
      <c r="AY181" s="24" t="e">
        <f>SUMIFS(#REF!,#REF!,$B181,#REF!,AY$1)</f>
        <v>#REF!</v>
      </c>
      <c r="AZ181" s="24" t="e">
        <f>SUMIFS(#REF!,#REF!,$B181,#REF!,AZ$1)</f>
        <v>#REF!</v>
      </c>
      <c r="BA181" s="24" t="e">
        <f>SUMIFS(#REF!,#REF!,$B181,#REF!,BA$1)</f>
        <v>#REF!</v>
      </c>
      <c r="BB181" s="24" t="e">
        <f>SUMIFS(#REF!,#REF!,$B181,#REF!,BB$1)</f>
        <v>#REF!</v>
      </c>
      <c r="BC181" s="24" t="e">
        <f>SUMIFS(#REF!,#REF!,$B181,#REF!,BC$1)</f>
        <v>#REF!</v>
      </c>
      <c r="BD181" s="24" t="e">
        <f>SUMIFS(#REF!,#REF!,$B181,#REF!,BD$1)</f>
        <v>#REF!</v>
      </c>
      <c r="BE181" s="24" t="e">
        <f>SUMIFS(#REF!,#REF!,$B181,#REF!,BE$1)</f>
        <v>#REF!</v>
      </c>
      <c r="BF181" s="24" t="e">
        <f>SUMIFS(#REF!,#REF!,$B181,#REF!,BF$1)</f>
        <v>#REF!</v>
      </c>
      <c r="BG181" s="24" t="e">
        <f>SUMIFS(#REF!,#REF!,$B181,#REF!,BG$1)</f>
        <v>#REF!</v>
      </c>
      <c r="BH181" s="24" t="e">
        <f>SUMIFS(#REF!,#REF!,$B181,#REF!,BH$1)</f>
        <v>#REF!</v>
      </c>
      <c r="BI181" s="24" t="e">
        <f>SUMIFS(#REF!,#REF!,$B181,#REF!,BI$1)</f>
        <v>#REF!</v>
      </c>
      <c r="BJ181" s="24" t="e">
        <f>SUMIFS(#REF!,#REF!,$B181,#REF!,BJ$1)</f>
        <v>#REF!</v>
      </c>
      <c r="BK181" s="24" t="e">
        <f>SUMIFS(#REF!,#REF!,$B181,#REF!,BK$1)</f>
        <v>#REF!</v>
      </c>
      <c r="BL181" s="24" t="e">
        <f>SUMIFS(#REF!,#REF!,$B181,#REF!,BL$1)</f>
        <v>#REF!</v>
      </c>
      <c r="BM181" s="24" t="e">
        <f>SUMIFS(#REF!,#REF!,$B181,#REF!,BM$1)</f>
        <v>#REF!</v>
      </c>
      <c r="BN181" s="24" t="e">
        <f>SUMIFS(#REF!,#REF!,$B181,#REF!,BN$1)</f>
        <v>#REF!</v>
      </c>
      <c r="BO181" s="24" t="e">
        <f>SUMIFS(#REF!,#REF!,$B181,#REF!,BO$1)</f>
        <v>#REF!</v>
      </c>
      <c r="BP181" s="24" t="e">
        <f>SUMIFS(#REF!,#REF!,$B181,#REF!,BP$1)</f>
        <v>#REF!</v>
      </c>
      <c r="BQ181" s="24" t="e">
        <f>SUMIFS(#REF!,#REF!,$B181,#REF!,BQ$1)</f>
        <v>#REF!</v>
      </c>
      <c r="BR181" s="24" t="e">
        <f>SUMIFS(#REF!,#REF!,$B181,#REF!,BR$1)</f>
        <v>#REF!</v>
      </c>
      <c r="BS181" s="24" t="e">
        <f>SUMIFS(#REF!,#REF!,$B181,#REF!,BS$1)</f>
        <v>#REF!</v>
      </c>
      <c r="BT181" s="24" t="e">
        <f>SUMIFS(#REF!,#REF!,$B181,#REF!,BT$1)</f>
        <v>#REF!</v>
      </c>
      <c r="BU181" s="24" t="e">
        <f>SUMIFS(#REF!,#REF!,$B181,#REF!,BU$1)</f>
        <v>#REF!</v>
      </c>
      <c r="BV181" s="24" t="e">
        <f>SUMIFS(#REF!,#REF!,$B181,#REF!,BV$1)</f>
        <v>#REF!</v>
      </c>
      <c r="BW181" s="24" t="e">
        <f>SUMIFS(#REF!,#REF!,$B181,#REF!,BW$1)</f>
        <v>#REF!</v>
      </c>
      <c r="BX181" s="24" t="e">
        <f>SUMIFS(#REF!,#REF!,$B181,#REF!,BX$1)</f>
        <v>#REF!</v>
      </c>
      <c r="BY181" s="24" t="e">
        <f>SUMIFS(#REF!,#REF!,$B181,#REF!,BY$1)</f>
        <v>#REF!</v>
      </c>
      <c r="BZ181" s="24" t="e">
        <f>SUMIFS(#REF!,#REF!,$B181,#REF!,BZ$1)</f>
        <v>#REF!</v>
      </c>
      <c r="CA181" s="24" t="e">
        <f>SUMIFS(#REF!,#REF!,$B181,#REF!,CA$1)</f>
        <v>#REF!</v>
      </c>
      <c r="CB181" s="24" t="e">
        <f>SUMIFS(#REF!,#REF!,$B181,#REF!,CB$1)</f>
        <v>#REF!</v>
      </c>
      <c r="CC181" s="24" t="e">
        <f>SUMIFS(#REF!,#REF!,$B181,#REF!,CC$1)</f>
        <v>#REF!</v>
      </c>
      <c r="CD181" s="24" t="e">
        <f>SUMIFS(#REF!,#REF!,$B181,#REF!,CD$1)</f>
        <v>#REF!</v>
      </c>
      <c r="CE181" s="24" t="e">
        <f>SUMIFS(#REF!,#REF!,$B181,#REF!,CE$1)</f>
        <v>#REF!</v>
      </c>
      <c r="CF181" s="24" t="e">
        <f>SUMIFS(#REF!,#REF!,$B181,#REF!,CF$1)</f>
        <v>#REF!</v>
      </c>
      <c r="CG181" s="19" t="e">
        <f t="shared" si="2"/>
        <v>#REF!</v>
      </c>
    </row>
    <row r="182" spans="1:85" x14ac:dyDescent="0.45">
      <c r="A182" s="4" t="s">
        <v>1346</v>
      </c>
      <c r="B182" s="4" t="s">
        <v>1347</v>
      </c>
      <c r="C182" s="24" t="e">
        <f>SUMIFS(#REF!,#REF!,$B182,#REF!,C$1)</f>
        <v>#REF!</v>
      </c>
      <c r="D182" s="24" t="e">
        <f>SUMIFS(#REF!,#REF!,$B182,#REF!,D$1)</f>
        <v>#REF!</v>
      </c>
      <c r="E182" s="24" t="e">
        <f>SUMIFS(#REF!,#REF!,$B182,#REF!,E$1)</f>
        <v>#REF!</v>
      </c>
      <c r="F182" s="24" t="e">
        <f>SUMIFS(#REF!,#REF!,$B182,#REF!,F$1)</f>
        <v>#REF!</v>
      </c>
      <c r="G182" s="24" t="e">
        <f>SUMIFS(#REF!,#REF!,$B182,#REF!,G$1)</f>
        <v>#REF!</v>
      </c>
      <c r="H182" s="24" t="e">
        <f>SUMIFS(#REF!,#REF!,$B182,#REF!,H$1)</f>
        <v>#REF!</v>
      </c>
      <c r="I182" s="24" t="e">
        <f>SUMIFS(#REF!,#REF!,$B182,#REF!,I$1)</f>
        <v>#REF!</v>
      </c>
      <c r="J182" s="24" t="e">
        <f>SUMIFS(#REF!,#REF!,$B182,#REF!,J$1)</f>
        <v>#REF!</v>
      </c>
      <c r="K182" s="24" t="e">
        <f>SUMIFS(#REF!,#REF!,$B182,#REF!,K$1)</f>
        <v>#REF!</v>
      </c>
      <c r="L182" s="24" t="e">
        <f>SUMIFS(#REF!,#REF!,$B182,#REF!,L$1)</f>
        <v>#REF!</v>
      </c>
      <c r="M182" s="24" t="e">
        <f>SUMIFS(#REF!,#REF!,$B182,#REF!,M$1)</f>
        <v>#REF!</v>
      </c>
      <c r="N182" s="24" t="e">
        <f>SUMIFS(#REF!,#REF!,$B182,#REF!,N$1)</f>
        <v>#REF!</v>
      </c>
      <c r="O182" s="24" t="e">
        <f>SUMIFS(#REF!,#REF!,$B182,#REF!,O$1)</f>
        <v>#REF!</v>
      </c>
      <c r="P182" s="24" t="e">
        <f>SUMIFS(#REF!,#REF!,$B182,#REF!,P$1)</f>
        <v>#REF!</v>
      </c>
      <c r="Q182" s="24" t="e">
        <f>SUMIFS(#REF!,#REF!,$B182,#REF!,Q$1)</f>
        <v>#REF!</v>
      </c>
      <c r="R182" s="24" t="e">
        <f>SUMIFS(#REF!,#REF!,$B182,#REF!,R$1)</f>
        <v>#REF!</v>
      </c>
      <c r="S182" s="24" t="e">
        <f>SUMIFS(#REF!,#REF!,$B182,#REF!,S$1)</f>
        <v>#REF!</v>
      </c>
      <c r="T182" s="24" t="e">
        <f>SUMIFS(#REF!,#REF!,$B182,#REF!,T$1)</f>
        <v>#REF!</v>
      </c>
      <c r="U182" s="24" t="e">
        <f>SUMIFS(#REF!,#REF!,$B182,#REF!,U$1)</f>
        <v>#REF!</v>
      </c>
      <c r="V182" s="24" t="e">
        <f>SUMIFS(#REF!,#REF!,$B182,#REF!,V$1)</f>
        <v>#REF!</v>
      </c>
      <c r="W182" s="24" t="e">
        <f>SUMIFS(#REF!,#REF!,$B182,#REF!,W$1)</f>
        <v>#REF!</v>
      </c>
      <c r="X182" s="24" t="e">
        <f>SUMIFS(#REF!,#REF!,$B182,#REF!,X$1)</f>
        <v>#REF!</v>
      </c>
      <c r="Y182" s="24" t="e">
        <f>SUMIFS(#REF!,#REF!,$B182,#REF!,Y$1)</f>
        <v>#REF!</v>
      </c>
      <c r="Z182" s="24" t="e">
        <f>SUMIFS(#REF!,#REF!,$B182,#REF!,Z$1)</f>
        <v>#REF!</v>
      </c>
      <c r="AA182" s="24" t="e">
        <f>SUMIFS(#REF!,#REF!,$B182,#REF!,AA$1)</f>
        <v>#REF!</v>
      </c>
      <c r="AB182" s="24" t="e">
        <f>SUMIFS(#REF!,#REF!,$B182,#REF!,AB$1)</f>
        <v>#REF!</v>
      </c>
      <c r="AC182" s="24" t="e">
        <f>SUMIFS(#REF!,#REF!,$B182,#REF!,AC$1)</f>
        <v>#REF!</v>
      </c>
      <c r="AD182" s="24" t="e">
        <f>SUMIFS(#REF!,#REF!,$B182,#REF!,AD$1)</f>
        <v>#REF!</v>
      </c>
      <c r="AE182" s="24" t="e">
        <f>SUMIFS(#REF!,#REF!,$B182,#REF!,AE$1)</f>
        <v>#REF!</v>
      </c>
      <c r="AF182" s="24" t="e">
        <f>SUMIFS(#REF!,#REF!,$B182,#REF!,AF$1)</f>
        <v>#REF!</v>
      </c>
      <c r="AG182" s="24" t="e">
        <f>SUMIFS(#REF!,#REF!,$B182,#REF!,AG$1)</f>
        <v>#REF!</v>
      </c>
      <c r="AH182" s="24" t="e">
        <f>SUMIFS(#REF!,#REF!,$B182,#REF!,AH$1)</f>
        <v>#REF!</v>
      </c>
      <c r="AI182" s="24" t="e">
        <f>SUMIFS(#REF!,#REF!,$B182,#REF!,AI$1)</f>
        <v>#REF!</v>
      </c>
      <c r="AJ182" s="24" t="e">
        <f>SUMIFS(#REF!,#REF!,$B182,#REF!,AJ$1)</f>
        <v>#REF!</v>
      </c>
      <c r="AK182" s="24" t="e">
        <f>SUMIFS(#REF!,#REF!,$B182,#REF!,AK$1)</f>
        <v>#REF!</v>
      </c>
      <c r="AL182" s="24" t="e">
        <f>SUMIFS(#REF!,#REF!,$B182,#REF!,AL$1)</f>
        <v>#REF!</v>
      </c>
      <c r="AM182" s="24" t="e">
        <f>SUMIFS(#REF!,#REF!,$B182,#REF!,AM$1)</f>
        <v>#REF!</v>
      </c>
      <c r="AN182" s="24" t="e">
        <f>SUMIFS(#REF!,#REF!,$B182,#REF!,AN$1)</f>
        <v>#REF!</v>
      </c>
      <c r="AO182" s="24" t="e">
        <f>SUMIFS(#REF!,#REF!,$B182,#REF!,AO$1)</f>
        <v>#REF!</v>
      </c>
      <c r="AP182" s="24" t="e">
        <f>SUMIFS(#REF!,#REF!,$B182,#REF!,AP$1)</f>
        <v>#REF!</v>
      </c>
      <c r="AQ182" s="24" t="e">
        <f>SUMIFS(#REF!,#REF!,$B182,#REF!,AQ$1)</f>
        <v>#REF!</v>
      </c>
      <c r="AR182" s="24" t="e">
        <f>SUMIFS(#REF!,#REF!,$B182,#REF!,AR$1)</f>
        <v>#REF!</v>
      </c>
      <c r="AS182" s="24" t="e">
        <f>SUMIFS(#REF!,#REF!,$B182,#REF!,AS$1)</f>
        <v>#REF!</v>
      </c>
      <c r="AT182" s="24" t="e">
        <f>SUMIFS(#REF!,#REF!,$B182,#REF!,AT$1)</f>
        <v>#REF!</v>
      </c>
      <c r="AU182" s="24" t="e">
        <f>SUMIFS(#REF!,#REF!,$B182,#REF!,AU$1)</f>
        <v>#REF!</v>
      </c>
      <c r="AV182" s="24" t="e">
        <f>SUMIFS(#REF!,#REF!,$B182,#REF!,AV$1)</f>
        <v>#REF!</v>
      </c>
      <c r="AW182" s="24" t="e">
        <f>SUMIFS(#REF!,#REF!,$B182,#REF!,AW$1)</f>
        <v>#REF!</v>
      </c>
      <c r="AX182" s="24" t="e">
        <f>SUMIFS(#REF!,#REF!,$B182,#REF!,AX$1)</f>
        <v>#REF!</v>
      </c>
      <c r="AY182" s="24" t="e">
        <f>SUMIFS(#REF!,#REF!,$B182,#REF!,AY$1)</f>
        <v>#REF!</v>
      </c>
      <c r="AZ182" s="24" t="e">
        <f>SUMIFS(#REF!,#REF!,$B182,#REF!,AZ$1)</f>
        <v>#REF!</v>
      </c>
      <c r="BA182" s="24" t="e">
        <f>SUMIFS(#REF!,#REF!,$B182,#REF!,BA$1)</f>
        <v>#REF!</v>
      </c>
      <c r="BB182" s="24" t="e">
        <f>SUMIFS(#REF!,#REF!,$B182,#REF!,BB$1)</f>
        <v>#REF!</v>
      </c>
      <c r="BC182" s="24" t="e">
        <f>SUMIFS(#REF!,#REF!,$B182,#REF!,BC$1)</f>
        <v>#REF!</v>
      </c>
      <c r="BD182" s="24" t="e">
        <f>SUMIFS(#REF!,#REF!,$B182,#REF!,BD$1)</f>
        <v>#REF!</v>
      </c>
      <c r="BE182" s="24" t="e">
        <f>SUMIFS(#REF!,#REF!,$B182,#REF!,BE$1)</f>
        <v>#REF!</v>
      </c>
      <c r="BF182" s="24" t="e">
        <f>SUMIFS(#REF!,#REF!,$B182,#REF!,BF$1)</f>
        <v>#REF!</v>
      </c>
      <c r="BG182" s="24" t="e">
        <f>SUMIFS(#REF!,#REF!,$B182,#REF!,BG$1)</f>
        <v>#REF!</v>
      </c>
      <c r="BH182" s="24" t="e">
        <f>SUMIFS(#REF!,#REF!,$B182,#REF!,BH$1)</f>
        <v>#REF!</v>
      </c>
      <c r="BI182" s="24" t="e">
        <f>SUMIFS(#REF!,#REF!,$B182,#REF!,BI$1)</f>
        <v>#REF!</v>
      </c>
      <c r="BJ182" s="24" t="e">
        <f>SUMIFS(#REF!,#REF!,$B182,#REF!,BJ$1)</f>
        <v>#REF!</v>
      </c>
      <c r="BK182" s="24" t="e">
        <f>SUMIFS(#REF!,#REF!,$B182,#REF!,BK$1)</f>
        <v>#REF!</v>
      </c>
      <c r="BL182" s="24" t="e">
        <f>SUMIFS(#REF!,#REF!,$B182,#REF!,BL$1)</f>
        <v>#REF!</v>
      </c>
      <c r="BM182" s="24" t="e">
        <f>SUMIFS(#REF!,#REF!,$B182,#REF!,BM$1)</f>
        <v>#REF!</v>
      </c>
      <c r="BN182" s="24" t="e">
        <f>SUMIFS(#REF!,#REF!,$B182,#REF!,BN$1)</f>
        <v>#REF!</v>
      </c>
      <c r="BO182" s="24" t="e">
        <f>SUMIFS(#REF!,#REF!,$B182,#REF!,BO$1)</f>
        <v>#REF!</v>
      </c>
      <c r="BP182" s="24" t="e">
        <f>SUMIFS(#REF!,#REF!,$B182,#REF!,BP$1)</f>
        <v>#REF!</v>
      </c>
      <c r="BQ182" s="24" t="e">
        <f>SUMIFS(#REF!,#REF!,$B182,#REF!,BQ$1)</f>
        <v>#REF!</v>
      </c>
      <c r="BR182" s="24" t="e">
        <f>SUMIFS(#REF!,#REF!,$B182,#REF!,BR$1)</f>
        <v>#REF!</v>
      </c>
      <c r="BS182" s="24" t="e">
        <f>SUMIFS(#REF!,#REF!,$B182,#REF!,BS$1)</f>
        <v>#REF!</v>
      </c>
      <c r="BT182" s="24" t="e">
        <f>SUMIFS(#REF!,#REF!,$B182,#REF!,BT$1)</f>
        <v>#REF!</v>
      </c>
      <c r="BU182" s="24" t="e">
        <f>SUMIFS(#REF!,#REF!,$B182,#REF!,BU$1)</f>
        <v>#REF!</v>
      </c>
      <c r="BV182" s="24" t="e">
        <f>SUMIFS(#REF!,#REF!,$B182,#REF!,BV$1)</f>
        <v>#REF!</v>
      </c>
      <c r="BW182" s="24" t="e">
        <f>SUMIFS(#REF!,#REF!,$B182,#REF!,BW$1)</f>
        <v>#REF!</v>
      </c>
      <c r="BX182" s="24" t="e">
        <f>SUMIFS(#REF!,#REF!,$B182,#REF!,BX$1)</f>
        <v>#REF!</v>
      </c>
      <c r="BY182" s="24" t="e">
        <f>SUMIFS(#REF!,#REF!,$B182,#REF!,BY$1)</f>
        <v>#REF!</v>
      </c>
      <c r="BZ182" s="24" t="e">
        <f>SUMIFS(#REF!,#REF!,$B182,#REF!,BZ$1)</f>
        <v>#REF!</v>
      </c>
      <c r="CA182" s="24" t="e">
        <f>SUMIFS(#REF!,#REF!,$B182,#REF!,CA$1)</f>
        <v>#REF!</v>
      </c>
      <c r="CB182" s="24" t="e">
        <f>SUMIFS(#REF!,#REF!,$B182,#REF!,CB$1)</f>
        <v>#REF!</v>
      </c>
      <c r="CC182" s="24" t="e">
        <f>SUMIFS(#REF!,#REF!,$B182,#REF!,CC$1)</f>
        <v>#REF!</v>
      </c>
      <c r="CD182" s="24" t="e">
        <f>SUMIFS(#REF!,#REF!,$B182,#REF!,CD$1)</f>
        <v>#REF!</v>
      </c>
      <c r="CE182" s="24" t="e">
        <f>SUMIFS(#REF!,#REF!,$B182,#REF!,CE$1)</f>
        <v>#REF!</v>
      </c>
      <c r="CF182" s="24" t="e">
        <f>SUMIFS(#REF!,#REF!,$B182,#REF!,CF$1)</f>
        <v>#REF!</v>
      </c>
      <c r="CG182" s="19" t="e">
        <f t="shared" si="2"/>
        <v>#REF!</v>
      </c>
    </row>
    <row r="183" spans="1:85" x14ac:dyDescent="0.45">
      <c r="A183" s="4" t="s">
        <v>1348</v>
      </c>
      <c r="B183" s="4" t="s">
        <v>1349</v>
      </c>
      <c r="C183" s="24" t="e">
        <f>SUMIFS(#REF!,#REF!,$B183,#REF!,C$1)</f>
        <v>#REF!</v>
      </c>
      <c r="D183" s="24" t="e">
        <f>SUMIFS(#REF!,#REF!,$B183,#REF!,D$1)</f>
        <v>#REF!</v>
      </c>
      <c r="E183" s="24" t="e">
        <f>SUMIFS(#REF!,#REF!,$B183,#REF!,E$1)</f>
        <v>#REF!</v>
      </c>
      <c r="F183" s="24" t="e">
        <f>SUMIFS(#REF!,#REF!,$B183,#REF!,F$1)</f>
        <v>#REF!</v>
      </c>
      <c r="G183" s="24" t="e">
        <f>SUMIFS(#REF!,#REF!,$B183,#REF!,G$1)</f>
        <v>#REF!</v>
      </c>
      <c r="H183" s="24" t="e">
        <f>SUMIFS(#REF!,#REF!,$B183,#REF!,H$1)</f>
        <v>#REF!</v>
      </c>
      <c r="I183" s="24" t="e">
        <f>SUMIFS(#REF!,#REF!,$B183,#REF!,I$1)</f>
        <v>#REF!</v>
      </c>
      <c r="J183" s="24" t="e">
        <f>SUMIFS(#REF!,#REF!,$B183,#REF!,J$1)</f>
        <v>#REF!</v>
      </c>
      <c r="K183" s="24" t="e">
        <f>SUMIFS(#REF!,#REF!,$B183,#REF!,K$1)</f>
        <v>#REF!</v>
      </c>
      <c r="L183" s="24" t="e">
        <f>SUMIFS(#REF!,#REF!,$B183,#REF!,L$1)</f>
        <v>#REF!</v>
      </c>
      <c r="M183" s="24" t="e">
        <f>SUMIFS(#REF!,#REF!,$B183,#REF!,M$1)</f>
        <v>#REF!</v>
      </c>
      <c r="N183" s="24" t="e">
        <f>SUMIFS(#REF!,#REF!,$B183,#REF!,N$1)</f>
        <v>#REF!</v>
      </c>
      <c r="O183" s="24" t="e">
        <f>SUMIFS(#REF!,#REF!,$B183,#REF!,O$1)</f>
        <v>#REF!</v>
      </c>
      <c r="P183" s="24" t="e">
        <f>SUMIFS(#REF!,#REF!,$B183,#REF!,P$1)</f>
        <v>#REF!</v>
      </c>
      <c r="Q183" s="24" t="e">
        <f>SUMIFS(#REF!,#REF!,$B183,#REF!,Q$1)</f>
        <v>#REF!</v>
      </c>
      <c r="R183" s="24" t="e">
        <f>SUMIFS(#REF!,#REF!,$B183,#REF!,R$1)</f>
        <v>#REF!</v>
      </c>
      <c r="S183" s="24" t="e">
        <f>SUMIFS(#REF!,#REF!,$B183,#REF!,S$1)</f>
        <v>#REF!</v>
      </c>
      <c r="T183" s="24" t="e">
        <f>SUMIFS(#REF!,#REF!,$B183,#REF!,T$1)</f>
        <v>#REF!</v>
      </c>
      <c r="U183" s="24" t="e">
        <f>SUMIFS(#REF!,#REF!,$B183,#REF!,U$1)</f>
        <v>#REF!</v>
      </c>
      <c r="V183" s="24" t="e">
        <f>SUMIFS(#REF!,#REF!,$B183,#REF!,V$1)</f>
        <v>#REF!</v>
      </c>
      <c r="W183" s="24" t="e">
        <f>SUMIFS(#REF!,#REF!,$B183,#REF!,W$1)</f>
        <v>#REF!</v>
      </c>
      <c r="X183" s="24" t="e">
        <f>SUMIFS(#REF!,#REF!,$B183,#REF!,X$1)</f>
        <v>#REF!</v>
      </c>
      <c r="Y183" s="24" t="e">
        <f>SUMIFS(#REF!,#REF!,$B183,#REF!,Y$1)</f>
        <v>#REF!</v>
      </c>
      <c r="Z183" s="24" t="e">
        <f>SUMIFS(#REF!,#REF!,$B183,#REF!,Z$1)</f>
        <v>#REF!</v>
      </c>
      <c r="AA183" s="24" t="e">
        <f>SUMIFS(#REF!,#REF!,$B183,#REF!,AA$1)</f>
        <v>#REF!</v>
      </c>
      <c r="AB183" s="24" t="e">
        <f>SUMIFS(#REF!,#REF!,$B183,#REF!,AB$1)</f>
        <v>#REF!</v>
      </c>
      <c r="AC183" s="24" t="e">
        <f>SUMIFS(#REF!,#REF!,$B183,#REF!,AC$1)</f>
        <v>#REF!</v>
      </c>
      <c r="AD183" s="24" t="e">
        <f>SUMIFS(#REF!,#REF!,$B183,#REF!,AD$1)</f>
        <v>#REF!</v>
      </c>
      <c r="AE183" s="24" t="e">
        <f>SUMIFS(#REF!,#REF!,$B183,#REF!,AE$1)</f>
        <v>#REF!</v>
      </c>
      <c r="AF183" s="24" t="e">
        <f>SUMIFS(#REF!,#REF!,$B183,#REF!,AF$1)</f>
        <v>#REF!</v>
      </c>
      <c r="AG183" s="24" t="e">
        <f>SUMIFS(#REF!,#REF!,$B183,#REF!,AG$1)</f>
        <v>#REF!</v>
      </c>
      <c r="AH183" s="24" t="e">
        <f>SUMIFS(#REF!,#REF!,$B183,#REF!,AH$1)</f>
        <v>#REF!</v>
      </c>
      <c r="AI183" s="24" t="e">
        <f>SUMIFS(#REF!,#REF!,$B183,#REF!,AI$1)</f>
        <v>#REF!</v>
      </c>
      <c r="AJ183" s="24" t="e">
        <f>SUMIFS(#REF!,#REF!,$B183,#REF!,AJ$1)</f>
        <v>#REF!</v>
      </c>
      <c r="AK183" s="24" t="e">
        <f>SUMIFS(#REF!,#REF!,$B183,#REF!,AK$1)</f>
        <v>#REF!</v>
      </c>
      <c r="AL183" s="24" t="e">
        <f>SUMIFS(#REF!,#REF!,$B183,#REF!,AL$1)</f>
        <v>#REF!</v>
      </c>
      <c r="AM183" s="24" t="e">
        <f>SUMIFS(#REF!,#REF!,$B183,#REF!,AM$1)</f>
        <v>#REF!</v>
      </c>
      <c r="AN183" s="24" t="e">
        <f>SUMIFS(#REF!,#REF!,$B183,#REF!,AN$1)</f>
        <v>#REF!</v>
      </c>
      <c r="AO183" s="24" t="e">
        <f>SUMIFS(#REF!,#REF!,$B183,#REF!,AO$1)</f>
        <v>#REF!</v>
      </c>
      <c r="AP183" s="24" t="e">
        <f>SUMIFS(#REF!,#REF!,$B183,#REF!,AP$1)</f>
        <v>#REF!</v>
      </c>
      <c r="AQ183" s="24" t="e">
        <f>SUMIFS(#REF!,#REF!,$B183,#REF!,AQ$1)</f>
        <v>#REF!</v>
      </c>
      <c r="AR183" s="24" t="e">
        <f>SUMIFS(#REF!,#REF!,$B183,#REF!,AR$1)</f>
        <v>#REF!</v>
      </c>
      <c r="AS183" s="24" t="e">
        <f>SUMIFS(#REF!,#REF!,$B183,#REF!,AS$1)</f>
        <v>#REF!</v>
      </c>
      <c r="AT183" s="24" t="e">
        <f>SUMIFS(#REF!,#REF!,$B183,#REF!,AT$1)</f>
        <v>#REF!</v>
      </c>
      <c r="AU183" s="24" t="e">
        <f>SUMIFS(#REF!,#REF!,$B183,#REF!,AU$1)</f>
        <v>#REF!</v>
      </c>
      <c r="AV183" s="24" t="e">
        <f>SUMIFS(#REF!,#REF!,$B183,#REF!,AV$1)</f>
        <v>#REF!</v>
      </c>
      <c r="AW183" s="24" t="e">
        <f>SUMIFS(#REF!,#REF!,$B183,#REF!,AW$1)</f>
        <v>#REF!</v>
      </c>
      <c r="AX183" s="24" t="e">
        <f>SUMIFS(#REF!,#REF!,$B183,#REF!,AX$1)</f>
        <v>#REF!</v>
      </c>
      <c r="AY183" s="24" t="e">
        <f>SUMIFS(#REF!,#REF!,$B183,#REF!,AY$1)</f>
        <v>#REF!</v>
      </c>
      <c r="AZ183" s="24" t="e">
        <f>SUMIFS(#REF!,#REF!,$B183,#REF!,AZ$1)</f>
        <v>#REF!</v>
      </c>
      <c r="BA183" s="24" t="e">
        <f>SUMIFS(#REF!,#REF!,$B183,#REF!,BA$1)</f>
        <v>#REF!</v>
      </c>
      <c r="BB183" s="24" t="e">
        <f>SUMIFS(#REF!,#REF!,$B183,#REF!,BB$1)</f>
        <v>#REF!</v>
      </c>
      <c r="BC183" s="24" t="e">
        <f>SUMIFS(#REF!,#REF!,$B183,#REF!,BC$1)</f>
        <v>#REF!</v>
      </c>
      <c r="BD183" s="24" t="e">
        <f>SUMIFS(#REF!,#REF!,$B183,#REF!,BD$1)</f>
        <v>#REF!</v>
      </c>
      <c r="BE183" s="24" t="e">
        <f>SUMIFS(#REF!,#REF!,$B183,#REF!,BE$1)</f>
        <v>#REF!</v>
      </c>
      <c r="BF183" s="24" t="e">
        <f>SUMIFS(#REF!,#REF!,$B183,#REF!,BF$1)</f>
        <v>#REF!</v>
      </c>
      <c r="BG183" s="24" t="e">
        <f>SUMIFS(#REF!,#REF!,$B183,#REF!,BG$1)</f>
        <v>#REF!</v>
      </c>
      <c r="BH183" s="24" t="e">
        <f>SUMIFS(#REF!,#REF!,$B183,#REF!,BH$1)</f>
        <v>#REF!</v>
      </c>
      <c r="BI183" s="24" t="e">
        <f>SUMIFS(#REF!,#REF!,$B183,#REF!,BI$1)</f>
        <v>#REF!</v>
      </c>
      <c r="BJ183" s="24" t="e">
        <f>SUMIFS(#REF!,#REF!,$B183,#REF!,BJ$1)</f>
        <v>#REF!</v>
      </c>
      <c r="BK183" s="24" t="e">
        <f>SUMIFS(#REF!,#REF!,$B183,#REF!,BK$1)</f>
        <v>#REF!</v>
      </c>
      <c r="BL183" s="24" t="e">
        <f>SUMIFS(#REF!,#REF!,$B183,#REF!,BL$1)</f>
        <v>#REF!</v>
      </c>
      <c r="BM183" s="24" t="e">
        <f>SUMIFS(#REF!,#REF!,$B183,#REF!,BM$1)</f>
        <v>#REF!</v>
      </c>
      <c r="BN183" s="24" t="e">
        <f>SUMIFS(#REF!,#REF!,$B183,#REF!,BN$1)</f>
        <v>#REF!</v>
      </c>
      <c r="BO183" s="24" t="e">
        <f>SUMIFS(#REF!,#REF!,$B183,#REF!,BO$1)</f>
        <v>#REF!</v>
      </c>
      <c r="BP183" s="24" t="e">
        <f>SUMIFS(#REF!,#REF!,$B183,#REF!,BP$1)</f>
        <v>#REF!</v>
      </c>
      <c r="BQ183" s="24" t="e">
        <f>SUMIFS(#REF!,#REF!,$B183,#REF!,BQ$1)</f>
        <v>#REF!</v>
      </c>
      <c r="BR183" s="24" t="e">
        <f>SUMIFS(#REF!,#REF!,$B183,#REF!,BR$1)</f>
        <v>#REF!</v>
      </c>
      <c r="BS183" s="24" t="e">
        <f>SUMIFS(#REF!,#REF!,$B183,#REF!,BS$1)</f>
        <v>#REF!</v>
      </c>
      <c r="BT183" s="24" t="e">
        <f>SUMIFS(#REF!,#REF!,$B183,#REF!,BT$1)</f>
        <v>#REF!</v>
      </c>
      <c r="BU183" s="24" t="e">
        <f>SUMIFS(#REF!,#REF!,$B183,#REF!,BU$1)</f>
        <v>#REF!</v>
      </c>
      <c r="BV183" s="24" t="e">
        <f>SUMIFS(#REF!,#REF!,$B183,#REF!,BV$1)</f>
        <v>#REF!</v>
      </c>
      <c r="BW183" s="24" t="e">
        <f>SUMIFS(#REF!,#REF!,$B183,#REF!,BW$1)</f>
        <v>#REF!</v>
      </c>
      <c r="BX183" s="24" t="e">
        <f>SUMIFS(#REF!,#REF!,$B183,#REF!,BX$1)</f>
        <v>#REF!</v>
      </c>
      <c r="BY183" s="24" t="e">
        <f>SUMIFS(#REF!,#REF!,$B183,#REF!,BY$1)</f>
        <v>#REF!</v>
      </c>
      <c r="BZ183" s="24" t="e">
        <f>SUMIFS(#REF!,#REF!,$B183,#REF!,BZ$1)</f>
        <v>#REF!</v>
      </c>
      <c r="CA183" s="24" t="e">
        <f>SUMIFS(#REF!,#REF!,$B183,#REF!,CA$1)</f>
        <v>#REF!</v>
      </c>
      <c r="CB183" s="24" t="e">
        <f>SUMIFS(#REF!,#REF!,$B183,#REF!,CB$1)</f>
        <v>#REF!</v>
      </c>
      <c r="CC183" s="24" t="e">
        <f>SUMIFS(#REF!,#REF!,$B183,#REF!,CC$1)</f>
        <v>#REF!</v>
      </c>
      <c r="CD183" s="24" t="e">
        <f>SUMIFS(#REF!,#REF!,$B183,#REF!,CD$1)</f>
        <v>#REF!</v>
      </c>
      <c r="CE183" s="24" t="e">
        <f>SUMIFS(#REF!,#REF!,$B183,#REF!,CE$1)</f>
        <v>#REF!</v>
      </c>
      <c r="CF183" s="24" t="e">
        <f>SUMIFS(#REF!,#REF!,$B183,#REF!,CF$1)</f>
        <v>#REF!</v>
      </c>
      <c r="CG183" s="19" t="e">
        <f t="shared" si="2"/>
        <v>#REF!</v>
      </c>
    </row>
    <row r="184" spans="1:85" x14ac:dyDescent="0.45">
      <c r="A184" s="4" t="s">
        <v>1350</v>
      </c>
      <c r="B184" s="4" t="s">
        <v>1351</v>
      </c>
      <c r="C184" s="24" t="e">
        <f>SUMIFS(#REF!,#REF!,$B184,#REF!,C$1)</f>
        <v>#REF!</v>
      </c>
      <c r="D184" s="24" t="e">
        <f>SUMIFS(#REF!,#REF!,$B184,#REF!,D$1)</f>
        <v>#REF!</v>
      </c>
      <c r="E184" s="24" t="e">
        <f>SUMIFS(#REF!,#REF!,$B184,#REF!,E$1)</f>
        <v>#REF!</v>
      </c>
      <c r="F184" s="24" t="e">
        <f>SUMIFS(#REF!,#REF!,$B184,#REF!,F$1)</f>
        <v>#REF!</v>
      </c>
      <c r="G184" s="24" t="e">
        <f>SUMIFS(#REF!,#REF!,$B184,#REF!,G$1)</f>
        <v>#REF!</v>
      </c>
      <c r="H184" s="24" t="e">
        <f>SUMIFS(#REF!,#REF!,$B184,#REF!,H$1)</f>
        <v>#REF!</v>
      </c>
      <c r="I184" s="24" t="e">
        <f>SUMIFS(#REF!,#REF!,$B184,#REF!,I$1)</f>
        <v>#REF!</v>
      </c>
      <c r="J184" s="24" t="e">
        <f>SUMIFS(#REF!,#REF!,$B184,#REF!,J$1)</f>
        <v>#REF!</v>
      </c>
      <c r="K184" s="24" t="e">
        <f>SUMIFS(#REF!,#REF!,$B184,#REF!,K$1)</f>
        <v>#REF!</v>
      </c>
      <c r="L184" s="24" t="e">
        <f>SUMIFS(#REF!,#REF!,$B184,#REF!,L$1)</f>
        <v>#REF!</v>
      </c>
      <c r="M184" s="24" t="e">
        <f>SUMIFS(#REF!,#REF!,$B184,#REF!,M$1)</f>
        <v>#REF!</v>
      </c>
      <c r="N184" s="24" t="e">
        <f>SUMIFS(#REF!,#REF!,$B184,#REF!,N$1)</f>
        <v>#REF!</v>
      </c>
      <c r="O184" s="24" t="e">
        <f>SUMIFS(#REF!,#REF!,$B184,#REF!,O$1)</f>
        <v>#REF!</v>
      </c>
      <c r="P184" s="24" t="e">
        <f>SUMIFS(#REF!,#REF!,$B184,#REF!,P$1)</f>
        <v>#REF!</v>
      </c>
      <c r="Q184" s="24" t="e">
        <f>SUMIFS(#REF!,#REF!,$B184,#REF!,Q$1)</f>
        <v>#REF!</v>
      </c>
      <c r="R184" s="24" t="e">
        <f>SUMIFS(#REF!,#REF!,$B184,#REF!,R$1)</f>
        <v>#REF!</v>
      </c>
      <c r="S184" s="24" t="e">
        <f>SUMIFS(#REF!,#REF!,$B184,#REF!,S$1)</f>
        <v>#REF!</v>
      </c>
      <c r="T184" s="24" t="e">
        <f>SUMIFS(#REF!,#REF!,$B184,#REF!,T$1)</f>
        <v>#REF!</v>
      </c>
      <c r="U184" s="24" t="e">
        <f>SUMIFS(#REF!,#REF!,$B184,#REF!,U$1)</f>
        <v>#REF!</v>
      </c>
      <c r="V184" s="24" t="e">
        <f>SUMIFS(#REF!,#REF!,$B184,#REF!,V$1)</f>
        <v>#REF!</v>
      </c>
      <c r="W184" s="24" t="e">
        <f>SUMIFS(#REF!,#REF!,$B184,#REF!,W$1)</f>
        <v>#REF!</v>
      </c>
      <c r="X184" s="24" t="e">
        <f>SUMIFS(#REF!,#REF!,$B184,#REF!,X$1)</f>
        <v>#REF!</v>
      </c>
      <c r="Y184" s="24" t="e">
        <f>SUMIFS(#REF!,#REF!,$B184,#REF!,Y$1)</f>
        <v>#REF!</v>
      </c>
      <c r="Z184" s="24" t="e">
        <f>SUMIFS(#REF!,#REF!,$B184,#REF!,Z$1)</f>
        <v>#REF!</v>
      </c>
      <c r="AA184" s="24" t="e">
        <f>SUMIFS(#REF!,#REF!,$B184,#REF!,AA$1)</f>
        <v>#REF!</v>
      </c>
      <c r="AB184" s="24" t="e">
        <f>SUMIFS(#REF!,#REF!,$B184,#REF!,AB$1)</f>
        <v>#REF!</v>
      </c>
      <c r="AC184" s="24" t="e">
        <f>SUMIFS(#REF!,#REF!,$B184,#REF!,AC$1)</f>
        <v>#REF!</v>
      </c>
      <c r="AD184" s="24" t="e">
        <f>SUMIFS(#REF!,#REF!,$B184,#REF!,AD$1)</f>
        <v>#REF!</v>
      </c>
      <c r="AE184" s="24" t="e">
        <f>SUMIFS(#REF!,#REF!,$B184,#REF!,AE$1)</f>
        <v>#REF!</v>
      </c>
      <c r="AF184" s="24" t="e">
        <f>SUMIFS(#REF!,#REF!,$B184,#REF!,AF$1)</f>
        <v>#REF!</v>
      </c>
      <c r="AG184" s="24" t="e">
        <f>SUMIFS(#REF!,#REF!,$B184,#REF!,AG$1)</f>
        <v>#REF!</v>
      </c>
      <c r="AH184" s="24" t="e">
        <f>SUMIFS(#REF!,#REF!,$B184,#REF!,AH$1)</f>
        <v>#REF!</v>
      </c>
      <c r="AI184" s="24" t="e">
        <f>SUMIFS(#REF!,#REF!,$B184,#REF!,AI$1)</f>
        <v>#REF!</v>
      </c>
      <c r="AJ184" s="24" t="e">
        <f>SUMIFS(#REF!,#REF!,$B184,#REF!,AJ$1)</f>
        <v>#REF!</v>
      </c>
      <c r="AK184" s="24" t="e">
        <f>SUMIFS(#REF!,#REF!,$B184,#REF!,AK$1)</f>
        <v>#REF!</v>
      </c>
      <c r="AL184" s="24" t="e">
        <f>SUMIFS(#REF!,#REF!,$B184,#REF!,AL$1)</f>
        <v>#REF!</v>
      </c>
      <c r="AM184" s="24" t="e">
        <f>SUMIFS(#REF!,#REF!,$B184,#REF!,AM$1)</f>
        <v>#REF!</v>
      </c>
      <c r="AN184" s="24" t="e">
        <f>SUMIFS(#REF!,#REF!,$B184,#REF!,AN$1)</f>
        <v>#REF!</v>
      </c>
      <c r="AO184" s="24" t="e">
        <f>SUMIFS(#REF!,#REF!,$B184,#REF!,AO$1)</f>
        <v>#REF!</v>
      </c>
      <c r="AP184" s="24" t="e">
        <f>SUMIFS(#REF!,#REF!,$B184,#REF!,AP$1)</f>
        <v>#REF!</v>
      </c>
      <c r="AQ184" s="24" t="e">
        <f>SUMIFS(#REF!,#REF!,$B184,#REF!,AQ$1)</f>
        <v>#REF!</v>
      </c>
      <c r="AR184" s="24" t="e">
        <f>SUMIFS(#REF!,#REF!,$B184,#REF!,AR$1)</f>
        <v>#REF!</v>
      </c>
      <c r="AS184" s="24" t="e">
        <f>SUMIFS(#REF!,#REF!,$B184,#REF!,AS$1)</f>
        <v>#REF!</v>
      </c>
      <c r="AT184" s="24" t="e">
        <f>SUMIFS(#REF!,#REF!,$B184,#REF!,AT$1)</f>
        <v>#REF!</v>
      </c>
      <c r="AU184" s="24" t="e">
        <f>SUMIFS(#REF!,#REF!,$B184,#REF!,AU$1)</f>
        <v>#REF!</v>
      </c>
      <c r="AV184" s="24" t="e">
        <f>SUMIFS(#REF!,#REF!,$B184,#REF!,AV$1)</f>
        <v>#REF!</v>
      </c>
      <c r="AW184" s="24" t="e">
        <f>SUMIFS(#REF!,#REF!,$B184,#REF!,AW$1)</f>
        <v>#REF!</v>
      </c>
      <c r="AX184" s="24" t="e">
        <f>SUMIFS(#REF!,#REF!,$B184,#REF!,AX$1)</f>
        <v>#REF!</v>
      </c>
      <c r="AY184" s="24" t="e">
        <f>SUMIFS(#REF!,#REF!,$B184,#REF!,AY$1)</f>
        <v>#REF!</v>
      </c>
      <c r="AZ184" s="24" t="e">
        <f>SUMIFS(#REF!,#REF!,$B184,#REF!,AZ$1)</f>
        <v>#REF!</v>
      </c>
      <c r="BA184" s="24" t="e">
        <f>SUMIFS(#REF!,#REF!,$B184,#REF!,BA$1)</f>
        <v>#REF!</v>
      </c>
      <c r="BB184" s="24" t="e">
        <f>SUMIFS(#REF!,#REF!,$B184,#REF!,BB$1)</f>
        <v>#REF!</v>
      </c>
      <c r="BC184" s="24" t="e">
        <f>SUMIFS(#REF!,#REF!,$B184,#REF!,BC$1)</f>
        <v>#REF!</v>
      </c>
      <c r="BD184" s="24" t="e">
        <f>SUMIFS(#REF!,#REF!,$B184,#REF!,BD$1)</f>
        <v>#REF!</v>
      </c>
      <c r="BE184" s="24" t="e">
        <f>SUMIFS(#REF!,#REF!,$B184,#REF!,BE$1)</f>
        <v>#REF!</v>
      </c>
      <c r="BF184" s="24" t="e">
        <f>SUMIFS(#REF!,#REF!,$B184,#REF!,BF$1)</f>
        <v>#REF!</v>
      </c>
      <c r="BG184" s="24" t="e">
        <f>SUMIFS(#REF!,#REF!,$B184,#REF!,BG$1)</f>
        <v>#REF!</v>
      </c>
      <c r="BH184" s="24" t="e">
        <f>SUMIFS(#REF!,#REF!,$B184,#REF!,BH$1)</f>
        <v>#REF!</v>
      </c>
      <c r="BI184" s="24" t="e">
        <f>SUMIFS(#REF!,#REF!,$B184,#REF!,BI$1)</f>
        <v>#REF!</v>
      </c>
      <c r="BJ184" s="24" t="e">
        <f>SUMIFS(#REF!,#REF!,$B184,#REF!,BJ$1)</f>
        <v>#REF!</v>
      </c>
      <c r="BK184" s="24" t="e">
        <f>SUMIFS(#REF!,#REF!,$B184,#REF!,BK$1)</f>
        <v>#REF!</v>
      </c>
      <c r="BL184" s="24" t="e">
        <f>SUMIFS(#REF!,#REF!,$B184,#REF!,BL$1)</f>
        <v>#REF!</v>
      </c>
      <c r="BM184" s="24" t="e">
        <f>SUMIFS(#REF!,#REF!,$B184,#REF!,BM$1)</f>
        <v>#REF!</v>
      </c>
      <c r="BN184" s="24" t="e">
        <f>SUMIFS(#REF!,#REF!,$B184,#REF!,BN$1)</f>
        <v>#REF!</v>
      </c>
      <c r="BO184" s="24" t="e">
        <f>SUMIFS(#REF!,#REF!,$B184,#REF!,BO$1)</f>
        <v>#REF!</v>
      </c>
      <c r="BP184" s="24" t="e">
        <f>SUMIFS(#REF!,#REF!,$B184,#REF!,BP$1)</f>
        <v>#REF!</v>
      </c>
      <c r="BQ184" s="24" t="e">
        <f>SUMIFS(#REF!,#REF!,$B184,#REF!,BQ$1)</f>
        <v>#REF!</v>
      </c>
      <c r="BR184" s="24" t="e">
        <f>SUMIFS(#REF!,#REF!,$B184,#REF!,BR$1)</f>
        <v>#REF!</v>
      </c>
      <c r="BS184" s="24" t="e">
        <f>SUMIFS(#REF!,#REF!,$B184,#REF!,BS$1)</f>
        <v>#REF!</v>
      </c>
      <c r="BT184" s="24" t="e">
        <f>SUMIFS(#REF!,#REF!,$B184,#REF!,BT$1)</f>
        <v>#REF!</v>
      </c>
      <c r="BU184" s="24" t="e">
        <f>SUMIFS(#REF!,#REF!,$B184,#REF!,BU$1)</f>
        <v>#REF!</v>
      </c>
      <c r="BV184" s="24" t="e">
        <f>SUMIFS(#REF!,#REF!,$B184,#REF!,BV$1)</f>
        <v>#REF!</v>
      </c>
      <c r="BW184" s="24" t="e">
        <f>SUMIFS(#REF!,#REF!,$B184,#REF!,BW$1)</f>
        <v>#REF!</v>
      </c>
      <c r="BX184" s="24" t="e">
        <f>SUMIFS(#REF!,#REF!,$B184,#REF!,BX$1)</f>
        <v>#REF!</v>
      </c>
      <c r="BY184" s="24" t="e">
        <f>SUMIFS(#REF!,#REF!,$B184,#REF!,BY$1)</f>
        <v>#REF!</v>
      </c>
      <c r="BZ184" s="24" t="e">
        <f>SUMIFS(#REF!,#REF!,$B184,#REF!,BZ$1)</f>
        <v>#REF!</v>
      </c>
      <c r="CA184" s="24" t="e">
        <f>SUMIFS(#REF!,#REF!,$B184,#REF!,CA$1)</f>
        <v>#REF!</v>
      </c>
      <c r="CB184" s="24" t="e">
        <f>SUMIFS(#REF!,#REF!,$B184,#REF!,CB$1)</f>
        <v>#REF!</v>
      </c>
      <c r="CC184" s="24" t="e">
        <f>SUMIFS(#REF!,#REF!,$B184,#REF!,CC$1)</f>
        <v>#REF!</v>
      </c>
      <c r="CD184" s="24" t="e">
        <f>SUMIFS(#REF!,#REF!,$B184,#REF!,CD$1)</f>
        <v>#REF!</v>
      </c>
      <c r="CE184" s="24" t="e">
        <f>SUMIFS(#REF!,#REF!,$B184,#REF!,CE$1)</f>
        <v>#REF!</v>
      </c>
      <c r="CF184" s="24" t="e">
        <f>SUMIFS(#REF!,#REF!,$B184,#REF!,CF$1)</f>
        <v>#REF!</v>
      </c>
      <c r="CG184" s="19" t="e">
        <f t="shared" si="2"/>
        <v>#REF!</v>
      </c>
    </row>
    <row r="185" spans="1:85" x14ac:dyDescent="0.45">
      <c r="A185" s="4" t="s">
        <v>1352</v>
      </c>
      <c r="B185" s="4" t="s">
        <v>1353</v>
      </c>
      <c r="C185" s="24" t="e">
        <f>SUMIFS(#REF!,#REF!,$B185,#REF!,C$1)</f>
        <v>#REF!</v>
      </c>
      <c r="D185" s="24" t="e">
        <f>SUMIFS(#REF!,#REF!,$B185,#REF!,D$1)</f>
        <v>#REF!</v>
      </c>
      <c r="E185" s="24" t="e">
        <f>SUMIFS(#REF!,#REF!,$B185,#REF!,E$1)</f>
        <v>#REF!</v>
      </c>
      <c r="F185" s="24" t="e">
        <f>SUMIFS(#REF!,#REF!,$B185,#REF!,F$1)</f>
        <v>#REF!</v>
      </c>
      <c r="G185" s="24" t="e">
        <f>SUMIFS(#REF!,#REF!,$B185,#REF!,G$1)</f>
        <v>#REF!</v>
      </c>
      <c r="H185" s="24" t="e">
        <f>SUMIFS(#REF!,#REF!,$B185,#REF!,H$1)</f>
        <v>#REF!</v>
      </c>
      <c r="I185" s="24" t="e">
        <f>SUMIFS(#REF!,#REF!,$B185,#REF!,I$1)</f>
        <v>#REF!</v>
      </c>
      <c r="J185" s="24" t="e">
        <f>SUMIFS(#REF!,#REF!,$B185,#REF!,J$1)</f>
        <v>#REF!</v>
      </c>
      <c r="K185" s="24" t="e">
        <f>SUMIFS(#REF!,#REF!,$B185,#REF!,K$1)</f>
        <v>#REF!</v>
      </c>
      <c r="L185" s="24" t="e">
        <f>SUMIFS(#REF!,#REF!,$B185,#REF!,L$1)</f>
        <v>#REF!</v>
      </c>
      <c r="M185" s="24" t="e">
        <f>SUMIFS(#REF!,#REF!,$B185,#REF!,M$1)</f>
        <v>#REF!</v>
      </c>
      <c r="N185" s="24" t="e">
        <f>SUMIFS(#REF!,#REF!,$B185,#REF!,N$1)</f>
        <v>#REF!</v>
      </c>
      <c r="O185" s="24" t="e">
        <f>SUMIFS(#REF!,#REF!,$B185,#REF!,O$1)</f>
        <v>#REF!</v>
      </c>
      <c r="P185" s="24" t="e">
        <f>SUMIFS(#REF!,#REF!,$B185,#REF!,P$1)</f>
        <v>#REF!</v>
      </c>
      <c r="Q185" s="24" t="e">
        <f>SUMIFS(#REF!,#REF!,$B185,#REF!,Q$1)</f>
        <v>#REF!</v>
      </c>
      <c r="R185" s="24" t="e">
        <f>SUMIFS(#REF!,#REF!,$B185,#REF!,R$1)</f>
        <v>#REF!</v>
      </c>
      <c r="S185" s="24" t="e">
        <f>SUMIFS(#REF!,#REF!,$B185,#REF!,S$1)</f>
        <v>#REF!</v>
      </c>
      <c r="T185" s="24" t="e">
        <f>SUMIFS(#REF!,#REF!,$B185,#REF!,T$1)</f>
        <v>#REF!</v>
      </c>
      <c r="U185" s="24" t="e">
        <f>SUMIFS(#REF!,#REF!,$B185,#REF!,U$1)</f>
        <v>#REF!</v>
      </c>
      <c r="V185" s="24" t="e">
        <f>SUMIFS(#REF!,#REF!,$B185,#REF!,V$1)</f>
        <v>#REF!</v>
      </c>
      <c r="W185" s="24" t="e">
        <f>SUMIFS(#REF!,#REF!,$B185,#REF!,W$1)</f>
        <v>#REF!</v>
      </c>
      <c r="X185" s="24" t="e">
        <f>SUMIFS(#REF!,#REF!,$B185,#REF!,X$1)</f>
        <v>#REF!</v>
      </c>
      <c r="Y185" s="24" t="e">
        <f>SUMIFS(#REF!,#REF!,$B185,#REF!,Y$1)</f>
        <v>#REF!</v>
      </c>
      <c r="Z185" s="24" t="e">
        <f>SUMIFS(#REF!,#REF!,$B185,#REF!,Z$1)</f>
        <v>#REF!</v>
      </c>
      <c r="AA185" s="24" t="e">
        <f>SUMIFS(#REF!,#REF!,$B185,#REF!,AA$1)</f>
        <v>#REF!</v>
      </c>
      <c r="AB185" s="24" t="e">
        <f>SUMIFS(#REF!,#REF!,$B185,#REF!,AB$1)</f>
        <v>#REF!</v>
      </c>
      <c r="AC185" s="24" t="e">
        <f>SUMIFS(#REF!,#REF!,$B185,#REF!,AC$1)</f>
        <v>#REF!</v>
      </c>
      <c r="AD185" s="24" t="e">
        <f>SUMIFS(#REF!,#REF!,$B185,#REF!,AD$1)</f>
        <v>#REF!</v>
      </c>
      <c r="AE185" s="24" t="e">
        <f>SUMIFS(#REF!,#REF!,$B185,#REF!,AE$1)</f>
        <v>#REF!</v>
      </c>
      <c r="AF185" s="24" t="e">
        <f>SUMIFS(#REF!,#REF!,$B185,#REF!,AF$1)</f>
        <v>#REF!</v>
      </c>
      <c r="AG185" s="24" t="e">
        <f>SUMIFS(#REF!,#REF!,$B185,#REF!,AG$1)</f>
        <v>#REF!</v>
      </c>
      <c r="AH185" s="24" t="e">
        <f>SUMIFS(#REF!,#REF!,$B185,#REF!,AH$1)</f>
        <v>#REF!</v>
      </c>
      <c r="AI185" s="24" t="e">
        <f>SUMIFS(#REF!,#REF!,$B185,#REF!,AI$1)</f>
        <v>#REF!</v>
      </c>
      <c r="AJ185" s="24" t="e">
        <f>SUMIFS(#REF!,#REF!,$B185,#REF!,AJ$1)</f>
        <v>#REF!</v>
      </c>
      <c r="AK185" s="24" t="e">
        <f>SUMIFS(#REF!,#REF!,$B185,#REF!,AK$1)</f>
        <v>#REF!</v>
      </c>
      <c r="AL185" s="24" t="e">
        <f>SUMIFS(#REF!,#REF!,$B185,#REF!,AL$1)</f>
        <v>#REF!</v>
      </c>
      <c r="AM185" s="24" t="e">
        <f>SUMIFS(#REF!,#REF!,$B185,#REF!,AM$1)</f>
        <v>#REF!</v>
      </c>
      <c r="AN185" s="24" t="e">
        <f>SUMIFS(#REF!,#REF!,$B185,#REF!,AN$1)</f>
        <v>#REF!</v>
      </c>
      <c r="AO185" s="24" t="e">
        <f>SUMIFS(#REF!,#REF!,$B185,#REF!,AO$1)</f>
        <v>#REF!</v>
      </c>
      <c r="AP185" s="24" t="e">
        <f>SUMIFS(#REF!,#REF!,$B185,#REF!,AP$1)</f>
        <v>#REF!</v>
      </c>
      <c r="AQ185" s="24" t="e">
        <f>SUMIFS(#REF!,#REF!,$B185,#REF!,AQ$1)</f>
        <v>#REF!</v>
      </c>
      <c r="AR185" s="24" t="e">
        <f>SUMIFS(#REF!,#REF!,$B185,#REF!,AR$1)</f>
        <v>#REF!</v>
      </c>
      <c r="AS185" s="24" t="e">
        <f>SUMIFS(#REF!,#REF!,$B185,#REF!,AS$1)</f>
        <v>#REF!</v>
      </c>
      <c r="AT185" s="24" t="e">
        <f>SUMIFS(#REF!,#REF!,$B185,#REF!,AT$1)</f>
        <v>#REF!</v>
      </c>
      <c r="AU185" s="24" t="e">
        <f>SUMIFS(#REF!,#REF!,$B185,#REF!,AU$1)</f>
        <v>#REF!</v>
      </c>
      <c r="AV185" s="24" t="e">
        <f>SUMIFS(#REF!,#REF!,$B185,#REF!,AV$1)</f>
        <v>#REF!</v>
      </c>
      <c r="AW185" s="24" t="e">
        <f>SUMIFS(#REF!,#REF!,$B185,#REF!,AW$1)</f>
        <v>#REF!</v>
      </c>
      <c r="AX185" s="24" t="e">
        <f>SUMIFS(#REF!,#REF!,$B185,#REF!,AX$1)</f>
        <v>#REF!</v>
      </c>
      <c r="AY185" s="24" t="e">
        <f>SUMIFS(#REF!,#REF!,$B185,#REF!,AY$1)</f>
        <v>#REF!</v>
      </c>
      <c r="AZ185" s="24" t="e">
        <f>SUMIFS(#REF!,#REF!,$B185,#REF!,AZ$1)</f>
        <v>#REF!</v>
      </c>
      <c r="BA185" s="24" t="e">
        <f>SUMIFS(#REF!,#REF!,$B185,#REF!,BA$1)</f>
        <v>#REF!</v>
      </c>
      <c r="BB185" s="24" t="e">
        <f>SUMIFS(#REF!,#REF!,$B185,#REF!,BB$1)</f>
        <v>#REF!</v>
      </c>
      <c r="BC185" s="24" t="e">
        <f>SUMIFS(#REF!,#REF!,$B185,#REF!,BC$1)</f>
        <v>#REF!</v>
      </c>
      <c r="BD185" s="24" t="e">
        <f>SUMIFS(#REF!,#REF!,$B185,#REF!,BD$1)</f>
        <v>#REF!</v>
      </c>
      <c r="BE185" s="24" t="e">
        <f>SUMIFS(#REF!,#REF!,$B185,#REF!,BE$1)</f>
        <v>#REF!</v>
      </c>
      <c r="BF185" s="24" t="e">
        <f>SUMIFS(#REF!,#REF!,$B185,#REF!,BF$1)</f>
        <v>#REF!</v>
      </c>
      <c r="BG185" s="24" t="e">
        <f>SUMIFS(#REF!,#REF!,$B185,#REF!,BG$1)</f>
        <v>#REF!</v>
      </c>
      <c r="BH185" s="24" t="e">
        <f>SUMIFS(#REF!,#REF!,$B185,#REF!,BH$1)</f>
        <v>#REF!</v>
      </c>
      <c r="BI185" s="24" t="e">
        <f>SUMIFS(#REF!,#REF!,$B185,#REF!,BI$1)</f>
        <v>#REF!</v>
      </c>
      <c r="BJ185" s="24" t="e">
        <f>SUMIFS(#REF!,#REF!,$B185,#REF!,BJ$1)</f>
        <v>#REF!</v>
      </c>
      <c r="BK185" s="24" t="e">
        <f>SUMIFS(#REF!,#REF!,$B185,#REF!,BK$1)</f>
        <v>#REF!</v>
      </c>
      <c r="BL185" s="24" t="e">
        <f>SUMIFS(#REF!,#REF!,$B185,#REF!,BL$1)</f>
        <v>#REF!</v>
      </c>
      <c r="BM185" s="24" t="e">
        <f>SUMIFS(#REF!,#REF!,$B185,#REF!,BM$1)</f>
        <v>#REF!</v>
      </c>
      <c r="BN185" s="24" t="e">
        <f>SUMIFS(#REF!,#REF!,$B185,#REF!,BN$1)</f>
        <v>#REF!</v>
      </c>
      <c r="BO185" s="24" t="e">
        <f>SUMIFS(#REF!,#REF!,$B185,#REF!,BO$1)</f>
        <v>#REF!</v>
      </c>
      <c r="BP185" s="24" t="e">
        <f>SUMIFS(#REF!,#REF!,$B185,#REF!,BP$1)</f>
        <v>#REF!</v>
      </c>
      <c r="BQ185" s="24" t="e">
        <f>SUMIFS(#REF!,#REF!,$B185,#REF!,BQ$1)</f>
        <v>#REF!</v>
      </c>
      <c r="BR185" s="24" t="e">
        <f>SUMIFS(#REF!,#REF!,$B185,#REF!,BR$1)</f>
        <v>#REF!</v>
      </c>
      <c r="BS185" s="24" t="e">
        <f>SUMIFS(#REF!,#REF!,$B185,#REF!,BS$1)</f>
        <v>#REF!</v>
      </c>
      <c r="BT185" s="24" t="e">
        <f>SUMIFS(#REF!,#REF!,$B185,#REF!,BT$1)</f>
        <v>#REF!</v>
      </c>
      <c r="BU185" s="24" t="e">
        <f>SUMIFS(#REF!,#REF!,$B185,#REF!,BU$1)</f>
        <v>#REF!</v>
      </c>
      <c r="BV185" s="24" t="e">
        <f>SUMIFS(#REF!,#REF!,$B185,#REF!,BV$1)</f>
        <v>#REF!</v>
      </c>
      <c r="BW185" s="24" t="e">
        <f>SUMIFS(#REF!,#REF!,$B185,#REF!,BW$1)</f>
        <v>#REF!</v>
      </c>
      <c r="BX185" s="24" t="e">
        <f>SUMIFS(#REF!,#REF!,$B185,#REF!,BX$1)</f>
        <v>#REF!</v>
      </c>
      <c r="BY185" s="24" t="e">
        <f>SUMIFS(#REF!,#REF!,$B185,#REF!,BY$1)</f>
        <v>#REF!</v>
      </c>
      <c r="BZ185" s="24" t="e">
        <f>SUMIFS(#REF!,#REF!,$B185,#REF!,BZ$1)</f>
        <v>#REF!</v>
      </c>
      <c r="CA185" s="24" t="e">
        <f>SUMIFS(#REF!,#REF!,$B185,#REF!,CA$1)</f>
        <v>#REF!</v>
      </c>
      <c r="CB185" s="24" t="e">
        <f>SUMIFS(#REF!,#REF!,$B185,#REF!,CB$1)</f>
        <v>#REF!</v>
      </c>
      <c r="CC185" s="24" t="e">
        <f>SUMIFS(#REF!,#REF!,$B185,#REF!,CC$1)</f>
        <v>#REF!</v>
      </c>
      <c r="CD185" s="24" t="e">
        <f>SUMIFS(#REF!,#REF!,$B185,#REF!,CD$1)</f>
        <v>#REF!</v>
      </c>
      <c r="CE185" s="24" t="e">
        <f>SUMIFS(#REF!,#REF!,$B185,#REF!,CE$1)</f>
        <v>#REF!</v>
      </c>
      <c r="CF185" s="24" t="e">
        <f>SUMIFS(#REF!,#REF!,$B185,#REF!,CF$1)</f>
        <v>#REF!</v>
      </c>
      <c r="CG185" s="19" t="e">
        <f t="shared" si="2"/>
        <v>#REF!</v>
      </c>
    </row>
    <row r="186" spans="1:85" x14ac:dyDescent="0.45">
      <c r="A186" s="4" t="s">
        <v>1354</v>
      </c>
      <c r="B186" s="4" t="s">
        <v>1355</v>
      </c>
      <c r="C186" s="24" t="e">
        <f>SUMIFS(#REF!,#REF!,$B186,#REF!,C$1)</f>
        <v>#REF!</v>
      </c>
      <c r="D186" s="24" t="e">
        <f>SUMIFS(#REF!,#REF!,$B186,#REF!,D$1)</f>
        <v>#REF!</v>
      </c>
      <c r="E186" s="24" t="e">
        <f>SUMIFS(#REF!,#REF!,$B186,#REF!,E$1)</f>
        <v>#REF!</v>
      </c>
      <c r="F186" s="24" t="e">
        <f>SUMIFS(#REF!,#REF!,$B186,#REF!,F$1)</f>
        <v>#REF!</v>
      </c>
      <c r="G186" s="24" t="e">
        <f>SUMIFS(#REF!,#REF!,$B186,#REF!,G$1)</f>
        <v>#REF!</v>
      </c>
      <c r="H186" s="24" t="e">
        <f>SUMIFS(#REF!,#REF!,$B186,#REF!,H$1)</f>
        <v>#REF!</v>
      </c>
      <c r="I186" s="24" t="e">
        <f>SUMIFS(#REF!,#REF!,$B186,#REF!,I$1)</f>
        <v>#REF!</v>
      </c>
      <c r="J186" s="24" t="e">
        <f>SUMIFS(#REF!,#REF!,$B186,#REF!,J$1)</f>
        <v>#REF!</v>
      </c>
      <c r="K186" s="24" t="e">
        <f>SUMIFS(#REF!,#REF!,$B186,#REF!,K$1)</f>
        <v>#REF!</v>
      </c>
      <c r="L186" s="24" t="e">
        <f>SUMIFS(#REF!,#REF!,$B186,#REF!,L$1)</f>
        <v>#REF!</v>
      </c>
      <c r="M186" s="24" t="e">
        <f>SUMIFS(#REF!,#REF!,$B186,#REF!,M$1)</f>
        <v>#REF!</v>
      </c>
      <c r="N186" s="24" t="e">
        <f>SUMIFS(#REF!,#REF!,$B186,#REF!,N$1)</f>
        <v>#REF!</v>
      </c>
      <c r="O186" s="24" t="e">
        <f>SUMIFS(#REF!,#REF!,$B186,#REF!,O$1)</f>
        <v>#REF!</v>
      </c>
      <c r="P186" s="24" t="e">
        <f>SUMIFS(#REF!,#REF!,$B186,#REF!,P$1)</f>
        <v>#REF!</v>
      </c>
      <c r="Q186" s="24" t="e">
        <f>SUMIFS(#REF!,#REF!,$B186,#REF!,Q$1)</f>
        <v>#REF!</v>
      </c>
      <c r="R186" s="24" t="e">
        <f>SUMIFS(#REF!,#REF!,$B186,#REF!,R$1)</f>
        <v>#REF!</v>
      </c>
      <c r="S186" s="24" t="e">
        <f>SUMIFS(#REF!,#REF!,$B186,#REF!,S$1)</f>
        <v>#REF!</v>
      </c>
      <c r="T186" s="24" t="e">
        <f>SUMIFS(#REF!,#REF!,$B186,#REF!,T$1)</f>
        <v>#REF!</v>
      </c>
      <c r="U186" s="24" t="e">
        <f>SUMIFS(#REF!,#REF!,$B186,#REF!,U$1)</f>
        <v>#REF!</v>
      </c>
      <c r="V186" s="24" t="e">
        <f>SUMIFS(#REF!,#REF!,$B186,#REF!,V$1)</f>
        <v>#REF!</v>
      </c>
      <c r="W186" s="24" t="e">
        <f>SUMIFS(#REF!,#REF!,$B186,#REF!,W$1)</f>
        <v>#REF!</v>
      </c>
      <c r="X186" s="24" t="e">
        <f>SUMIFS(#REF!,#REF!,$B186,#REF!,X$1)</f>
        <v>#REF!</v>
      </c>
      <c r="Y186" s="24" t="e">
        <f>SUMIFS(#REF!,#REF!,$B186,#REF!,Y$1)</f>
        <v>#REF!</v>
      </c>
      <c r="Z186" s="24" t="e">
        <f>SUMIFS(#REF!,#REF!,$B186,#REF!,Z$1)</f>
        <v>#REF!</v>
      </c>
      <c r="AA186" s="24" t="e">
        <f>SUMIFS(#REF!,#REF!,$B186,#REF!,AA$1)</f>
        <v>#REF!</v>
      </c>
      <c r="AB186" s="24" t="e">
        <f>SUMIFS(#REF!,#REF!,$B186,#REF!,AB$1)</f>
        <v>#REF!</v>
      </c>
      <c r="AC186" s="24" t="e">
        <f>SUMIFS(#REF!,#REF!,$B186,#REF!,AC$1)</f>
        <v>#REF!</v>
      </c>
      <c r="AD186" s="24" t="e">
        <f>SUMIFS(#REF!,#REF!,$B186,#REF!,AD$1)</f>
        <v>#REF!</v>
      </c>
      <c r="AE186" s="24" t="e">
        <f>SUMIFS(#REF!,#REF!,$B186,#REF!,AE$1)</f>
        <v>#REF!</v>
      </c>
      <c r="AF186" s="24" t="e">
        <f>SUMIFS(#REF!,#REF!,$B186,#REF!,AF$1)</f>
        <v>#REF!</v>
      </c>
      <c r="AG186" s="24" t="e">
        <f>SUMIFS(#REF!,#REF!,$B186,#REF!,AG$1)</f>
        <v>#REF!</v>
      </c>
      <c r="AH186" s="24" t="e">
        <f>SUMIFS(#REF!,#REF!,$B186,#REF!,AH$1)</f>
        <v>#REF!</v>
      </c>
      <c r="AI186" s="24" t="e">
        <f>SUMIFS(#REF!,#REF!,$B186,#REF!,AI$1)</f>
        <v>#REF!</v>
      </c>
      <c r="AJ186" s="24" t="e">
        <f>SUMIFS(#REF!,#REF!,$B186,#REF!,AJ$1)</f>
        <v>#REF!</v>
      </c>
      <c r="AK186" s="24" t="e">
        <f>SUMIFS(#REF!,#REF!,$B186,#REF!,AK$1)</f>
        <v>#REF!</v>
      </c>
      <c r="AL186" s="24" t="e">
        <f>SUMIFS(#REF!,#REF!,$B186,#REF!,AL$1)</f>
        <v>#REF!</v>
      </c>
      <c r="AM186" s="24" t="e">
        <f>SUMIFS(#REF!,#REF!,$B186,#REF!,AM$1)</f>
        <v>#REF!</v>
      </c>
      <c r="AN186" s="24" t="e">
        <f>SUMIFS(#REF!,#REF!,$B186,#REF!,AN$1)</f>
        <v>#REF!</v>
      </c>
      <c r="AO186" s="24" t="e">
        <f>SUMIFS(#REF!,#REF!,$B186,#REF!,AO$1)</f>
        <v>#REF!</v>
      </c>
      <c r="AP186" s="24" t="e">
        <f>SUMIFS(#REF!,#REF!,$B186,#REF!,AP$1)</f>
        <v>#REF!</v>
      </c>
      <c r="AQ186" s="24" t="e">
        <f>SUMIFS(#REF!,#REF!,$B186,#REF!,AQ$1)</f>
        <v>#REF!</v>
      </c>
      <c r="AR186" s="24" t="e">
        <f>SUMIFS(#REF!,#REF!,$B186,#REF!,AR$1)</f>
        <v>#REF!</v>
      </c>
      <c r="AS186" s="24" t="e">
        <f>SUMIFS(#REF!,#REF!,$B186,#REF!,AS$1)</f>
        <v>#REF!</v>
      </c>
      <c r="AT186" s="24" t="e">
        <f>SUMIFS(#REF!,#REF!,$B186,#REF!,AT$1)</f>
        <v>#REF!</v>
      </c>
      <c r="AU186" s="24" t="e">
        <f>SUMIFS(#REF!,#REF!,$B186,#REF!,AU$1)</f>
        <v>#REF!</v>
      </c>
      <c r="AV186" s="24" t="e">
        <f>SUMIFS(#REF!,#REF!,$B186,#REF!,AV$1)</f>
        <v>#REF!</v>
      </c>
      <c r="AW186" s="24" t="e">
        <f>SUMIFS(#REF!,#REF!,$B186,#REF!,AW$1)</f>
        <v>#REF!</v>
      </c>
      <c r="AX186" s="24" t="e">
        <f>SUMIFS(#REF!,#REF!,$B186,#REF!,AX$1)</f>
        <v>#REF!</v>
      </c>
      <c r="AY186" s="24" t="e">
        <f>SUMIFS(#REF!,#REF!,$B186,#REF!,AY$1)</f>
        <v>#REF!</v>
      </c>
      <c r="AZ186" s="24" t="e">
        <f>SUMIFS(#REF!,#REF!,$B186,#REF!,AZ$1)</f>
        <v>#REF!</v>
      </c>
      <c r="BA186" s="24" t="e">
        <f>SUMIFS(#REF!,#REF!,$B186,#REF!,BA$1)</f>
        <v>#REF!</v>
      </c>
      <c r="BB186" s="24" t="e">
        <f>SUMIFS(#REF!,#REF!,$B186,#REF!,BB$1)</f>
        <v>#REF!</v>
      </c>
      <c r="BC186" s="24" t="e">
        <f>SUMIFS(#REF!,#REF!,$B186,#REF!,BC$1)</f>
        <v>#REF!</v>
      </c>
      <c r="BD186" s="24" t="e">
        <f>SUMIFS(#REF!,#REF!,$B186,#REF!,BD$1)</f>
        <v>#REF!</v>
      </c>
      <c r="BE186" s="24" t="e">
        <f>SUMIFS(#REF!,#REF!,$B186,#REF!,BE$1)</f>
        <v>#REF!</v>
      </c>
      <c r="BF186" s="24" t="e">
        <f>SUMIFS(#REF!,#REF!,$B186,#REF!,BF$1)</f>
        <v>#REF!</v>
      </c>
      <c r="BG186" s="24" t="e">
        <f>SUMIFS(#REF!,#REF!,$B186,#REF!,BG$1)</f>
        <v>#REF!</v>
      </c>
      <c r="BH186" s="24" t="e">
        <f>SUMIFS(#REF!,#REF!,$B186,#REF!,BH$1)</f>
        <v>#REF!</v>
      </c>
      <c r="BI186" s="24" t="e">
        <f>SUMIFS(#REF!,#REF!,$B186,#REF!,BI$1)</f>
        <v>#REF!</v>
      </c>
      <c r="BJ186" s="24" t="e">
        <f>SUMIFS(#REF!,#REF!,$B186,#REF!,BJ$1)</f>
        <v>#REF!</v>
      </c>
      <c r="BK186" s="24" t="e">
        <f>SUMIFS(#REF!,#REF!,$B186,#REF!,BK$1)</f>
        <v>#REF!</v>
      </c>
      <c r="BL186" s="24" t="e">
        <f>SUMIFS(#REF!,#REF!,$B186,#REF!,BL$1)</f>
        <v>#REF!</v>
      </c>
      <c r="BM186" s="24" t="e">
        <f>SUMIFS(#REF!,#REF!,$B186,#REF!,BM$1)</f>
        <v>#REF!</v>
      </c>
      <c r="BN186" s="24" t="e">
        <f>SUMIFS(#REF!,#REF!,$B186,#REF!,BN$1)</f>
        <v>#REF!</v>
      </c>
      <c r="BO186" s="24" t="e">
        <f>SUMIFS(#REF!,#REF!,$B186,#REF!,BO$1)</f>
        <v>#REF!</v>
      </c>
      <c r="BP186" s="24" t="e">
        <f>SUMIFS(#REF!,#REF!,$B186,#REF!,BP$1)</f>
        <v>#REF!</v>
      </c>
      <c r="BQ186" s="24" t="e">
        <f>SUMIFS(#REF!,#REF!,$B186,#REF!,BQ$1)</f>
        <v>#REF!</v>
      </c>
      <c r="BR186" s="24" t="e">
        <f>SUMIFS(#REF!,#REF!,$B186,#REF!,BR$1)</f>
        <v>#REF!</v>
      </c>
      <c r="BS186" s="24" t="e">
        <f>SUMIFS(#REF!,#REF!,$B186,#REF!,BS$1)</f>
        <v>#REF!</v>
      </c>
      <c r="BT186" s="24" t="e">
        <f>SUMIFS(#REF!,#REF!,$B186,#REF!,BT$1)</f>
        <v>#REF!</v>
      </c>
      <c r="BU186" s="24" t="e">
        <f>SUMIFS(#REF!,#REF!,$B186,#REF!,BU$1)</f>
        <v>#REF!</v>
      </c>
      <c r="BV186" s="24" t="e">
        <f>SUMIFS(#REF!,#REF!,$B186,#REF!,BV$1)</f>
        <v>#REF!</v>
      </c>
      <c r="BW186" s="24" t="e">
        <f>SUMIFS(#REF!,#REF!,$B186,#REF!,BW$1)</f>
        <v>#REF!</v>
      </c>
      <c r="BX186" s="24" t="e">
        <f>SUMIFS(#REF!,#REF!,$B186,#REF!,BX$1)</f>
        <v>#REF!</v>
      </c>
      <c r="BY186" s="24" t="e">
        <f>SUMIFS(#REF!,#REF!,$B186,#REF!,BY$1)</f>
        <v>#REF!</v>
      </c>
      <c r="BZ186" s="24" t="e">
        <f>SUMIFS(#REF!,#REF!,$B186,#REF!,BZ$1)</f>
        <v>#REF!</v>
      </c>
      <c r="CA186" s="24" t="e">
        <f>SUMIFS(#REF!,#REF!,$B186,#REF!,CA$1)</f>
        <v>#REF!</v>
      </c>
      <c r="CB186" s="24" t="e">
        <f>SUMIFS(#REF!,#REF!,$B186,#REF!,CB$1)</f>
        <v>#REF!</v>
      </c>
      <c r="CC186" s="24" t="e">
        <f>SUMIFS(#REF!,#REF!,$B186,#REF!,CC$1)</f>
        <v>#REF!</v>
      </c>
      <c r="CD186" s="24" t="e">
        <f>SUMIFS(#REF!,#REF!,$B186,#REF!,CD$1)</f>
        <v>#REF!</v>
      </c>
      <c r="CE186" s="24" t="e">
        <f>SUMIFS(#REF!,#REF!,$B186,#REF!,CE$1)</f>
        <v>#REF!</v>
      </c>
      <c r="CF186" s="24" t="e">
        <f>SUMIFS(#REF!,#REF!,$B186,#REF!,CF$1)</f>
        <v>#REF!</v>
      </c>
      <c r="CG186" s="19" t="e">
        <f t="shared" si="2"/>
        <v>#REF!</v>
      </c>
    </row>
    <row r="187" spans="1:85" x14ac:dyDescent="0.45">
      <c r="A187" s="4" t="s">
        <v>1356</v>
      </c>
      <c r="B187" s="4" t="s">
        <v>1357</v>
      </c>
      <c r="C187" s="24" t="e">
        <f>SUMIFS(#REF!,#REF!,$B187,#REF!,C$1)</f>
        <v>#REF!</v>
      </c>
      <c r="D187" s="24" t="e">
        <f>SUMIFS(#REF!,#REF!,$B187,#REF!,D$1)</f>
        <v>#REF!</v>
      </c>
      <c r="E187" s="24" t="e">
        <f>SUMIFS(#REF!,#REF!,$B187,#REF!,E$1)</f>
        <v>#REF!</v>
      </c>
      <c r="F187" s="24" t="e">
        <f>SUMIFS(#REF!,#REF!,$B187,#REF!,F$1)</f>
        <v>#REF!</v>
      </c>
      <c r="G187" s="24" t="e">
        <f>SUMIFS(#REF!,#REF!,$B187,#REF!,G$1)</f>
        <v>#REF!</v>
      </c>
      <c r="H187" s="24" t="e">
        <f>SUMIFS(#REF!,#REF!,$B187,#REF!,H$1)</f>
        <v>#REF!</v>
      </c>
      <c r="I187" s="24" t="e">
        <f>SUMIFS(#REF!,#REF!,$B187,#REF!,I$1)</f>
        <v>#REF!</v>
      </c>
      <c r="J187" s="24" t="e">
        <f>SUMIFS(#REF!,#REF!,$B187,#REF!,J$1)</f>
        <v>#REF!</v>
      </c>
      <c r="K187" s="24" t="e">
        <f>SUMIFS(#REF!,#REF!,$B187,#REF!,K$1)</f>
        <v>#REF!</v>
      </c>
      <c r="L187" s="24" t="e">
        <f>SUMIFS(#REF!,#REF!,$B187,#REF!,L$1)</f>
        <v>#REF!</v>
      </c>
      <c r="M187" s="24" t="e">
        <f>SUMIFS(#REF!,#REF!,$B187,#REF!,M$1)</f>
        <v>#REF!</v>
      </c>
      <c r="N187" s="24" t="e">
        <f>SUMIFS(#REF!,#REF!,$B187,#REF!,N$1)</f>
        <v>#REF!</v>
      </c>
      <c r="O187" s="24" t="e">
        <f>SUMIFS(#REF!,#REF!,$B187,#REF!,O$1)</f>
        <v>#REF!</v>
      </c>
      <c r="P187" s="24" t="e">
        <f>SUMIFS(#REF!,#REF!,$B187,#REF!,P$1)</f>
        <v>#REF!</v>
      </c>
      <c r="Q187" s="24" t="e">
        <f>SUMIFS(#REF!,#REF!,$B187,#REF!,Q$1)</f>
        <v>#REF!</v>
      </c>
      <c r="R187" s="24" t="e">
        <f>SUMIFS(#REF!,#REF!,$B187,#REF!,R$1)</f>
        <v>#REF!</v>
      </c>
      <c r="S187" s="24" t="e">
        <f>SUMIFS(#REF!,#REF!,$B187,#REF!,S$1)</f>
        <v>#REF!</v>
      </c>
      <c r="T187" s="24" t="e">
        <f>SUMIFS(#REF!,#REF!,$B187,#REF!,T$1)</f>
        <v>#REF!</v>
      </c>
      <c r="U187" s="24" t="e">
        <f>SUMIFS(#REF!,#REF!,$B187,#REF!,U$1)</f>
        <v>#REF!</v>
      </c>
      <c r="V187" s="24" t="e">
        <f>SUMIFS(#REF!,#REF!,$B187,#REF!,V$1)</f>
        <v>#REF!</v>
      </c>
      <c r="W187" s="24" t="e">
        <f>SUMIFS(#REF!,#REF!,$B187,#REF!,W$1)</f>
        <v>#REF!</v>
      </c>
      <c r="X187" s="24" t="e">
        <f>SUMIFS(#REF!,#REF!,$B187,#REF!,X$1)</f>
        <v>#REF!</v>
      </c>
      <c r="Y187" s="24" t="e">
        <f>SUMIFS(#REF!,#REF!,$B187,#REF!,Y$1)</f>
        <v>#REF!</v>
      </c>
      <c r="Z187" s="24" t="e">
        <f>SUMIFS(#REF!,#REF!,$B187,#REF!,Z$1)</f>
        <v>#REF!</v>
      </c>
      <c r="AA187" s="24" t="e">
        <f>SUMIFS(#REF!,#REF!,$B187,#REF!,AA$1)</f>
        <v>#REF!</v>
      </c>
      <c r="AB187" s="24" t="e">
        <f>SUMIFS(#REF!,#REF!,$B187,#REF!,AB$1)</f>
        <v>#REF!</v>
      </c>
      <c r="AC187" s="24" t="e">
        <f>SUMIFS(#REF!,#REF!,$B187,#REF!,AC$1)</f>
        <v>#REF!</v>
      </c>
      <c r="AD187" s="24" t="e">
        <f>SUMIFS(#REF!,#REF!,$B187,#REF!,AD$1)</f>
        <v>#REF!</v>
      </c>
      <c r="AE187" s="24" t="e">
        <f>SUMIFS(#REF!,#REF!,$B187,#REF!,AE$1)</f>
        <v>#REF!</v>
      </c>
      <c r="AF187" s="24" t="e">
        <f>SUMIFS(#REF!,#REF!,$B187,#REF!,AF$1)</f>
        <v>#REF!</v>
      </c>
      <c r="AG187" s="24" t="e">
        <f>SUMIFS(#REF!,#REF!,$B187,#REF!,AG$1)</f>
        <v>#REF!</v>
      </c>
      <c r="AH187" s="24" t="e">
        <f>SUMIFS(#REF!,#REF!,$B187,#REF!,AH$1)</f>
        <v>#REF!</v>
      </c>
      <c r="AI187" s="24" t="e">
        <f>SUMIFS(#REF!,#REF!,$B187,#REF!,AI$1)</f>
        <v>#REF!</v>
      </c>
      <c r="AJ187" s="24" t="e">
        <f>SUMIFS(#REF!,#REF!,$B187,#REF!,AJ$1)</f>
        <v>#REF!</v>
      </c>
      <c r="AK187" s="24" t="e">
        <f>SUMIFS(#REF!,#REF!,$B187,#REF!,AK$1)</f>
        <v>#REF!</v>
      </c>
      <c r="AL187" s="24" t="e">
        <f>SUMIFS(#REF!,#REF!,$B187,#REF!,AL$1)</f>
        <v>#REF!</v>
      </c>
      <c r="AM187" s="24" t="e">
        <f>SUMIFS(#REF!,#REF!,$B187,#REF!,AM$1)</f>
        <v>#REF!</v>
      </c>
      <c r="AN187" s="24" t="e">
        <f>SUMIFS(#REF!,#REF!,$B187,#REF!,AN$1)</f>
        <v>#REF!</v>
      </c>
      <c r="AO187" s="24" t="e">
        <f>SUMIFS(#REF!,#REF!,$B187,#REF!,AO$1)</f>
        <v>#REF!</v>
      </c>
      <c r="AP187" s="24" t="e">
        <f>SUMIFS(#REF!,#REF!,$B187,#REF!,AP$1)</f>
        <v>#REF!</v>
      </c>
      <c r="AQ187" s="24" t="e">
        <f>SUMIFS(#REF!,#REF!,$B187,#REF!,AQ$1)</f>
        <v>#REF!</v>
      </c>
      <c r="AR187" s="24" t="e">
        <f>SUMIFS(#REF!,#REF!,$B187,#REF!,AR$1)</f>
        <v>#REF!</v>
      </c>
      <c r="AS187" s="24" t="e">
        <f>SUMIFS(#REF!,#REF!,$B187,#REF!,AS$1)</f>
        <v>#REF!</v>
      </c>
      <c r="AT187" s="24" t="e">
        <f>SUMIFS(#REF!,#REF!,$B187,#REF!,AT$1)</f>
        <v>#REF!</v>
      </c>
      <c r="AU187" s="24" t="e">
        <f>SUMIFS(#REF!,#REF!,$B187,#REF!,AU$1)</f>
        <v>#REF!</v>
      </c>
      <c r="AV187" s="24" t="e">
        <f>SUMIFS(#REF!,#REF!,$B187,#REF!,AV$1)</f>
        <v>#REF!</v>
      </c>
      <c r="AW187" s="24" t="e">
        <f>SUMIFS(#REF!,#REF!,$B187,#REF!,AW$1)</f>
        <v>#REF!</v>
      </c>
      <c r="AX187" s="24" t="e">
        <f>SUMIFS(#REF!,#REF!,$B187,#REF!,AX$1)</f>
        <v>#REF!</v>
      </c>
      <c r="AY187" s="24" t="e">
        <f>SUMIFS(#REF!,#REF!,$B187,#REF!,AY$1)</f>
        <v>#REF!</v>
      </c>
      <c r="AZ187" s="24" t="e">
        <f>SUMIFS(#REF!,#REF!,$B187,#REF!,AZ$1)</f>
        <v>#REF!</v>
      </c>
      <c r="BA187" s="24" t="e">
        <f>SUMIFS(#REF!,#REF!,$B187,#REF!,BA$1)</f>
        <v>#REF!</v>
      </c>
      <c r="BB187" s="24" t="e">
        <f>SUMIFS(#REF!,#REF!,$B187,#REF!,BB$1)</f>
        <v>#REF!</v>
      </c>
      <c r="BC187" s="24" t="e">
        <f>SUMIFS(#REF!,#REF!,$B187,#REF!,BC$1)</f>
        <v>#REF!</v>
      </c>
      <c r="BD187" s="24" t="e">
        <f>SUMIFS(#REF!,#REF!,$B187,#REF!,BD$1)</f>
        <v>#REF!</v>
      </c>
      <c r="BE187" s="24" t="e">
        <f>SUMIFS(#REF!,#REF!,$B187,#REF!,BE$1)</f>
        <v>#REF!</v>
      </c>
      <c r="BF187" s="24" t="e">
        <f>SUMIFS(#REF!,#REF!,$B187,#REF!,BF$1)</f>
        <v>#REF!</v>
      </c>
      <c r="BG187" s="24" t="e">
        <f>SUMIFS(#REF!,#REF!,$B187,#REF!,BG$1)</f>
        <v>#REF!</v>
      </c>
      <c r="BH187" s="24" t="e">
        <f>SUMIFS(#REF!,#REF!,$B187,#REF!,BH$1)</f>
        <v>#REF!</v>
      </c>
      <c r="BI187" s="24" t="e">
        <f>SUMIFS(#REF!,#REF!,$B187,#REF!,BI$1)</f>
        <v>#REF!</v>
      </c>
      <c r="BJ187" s="24" t="e">
        <f>SUMIFS(#REF!,#REF!,$B187,#REF!,BJ$1)</f>
        <v>#REF!</v>
      </c>
      <c r="BK187" s="24" t="e">
        <f>SUMIFS(#REF!,#REF!,$B187,#REF!,BK$1)</f>
        <v>#REF!</v>
      </c>
      <c r="BL187" s="24" t="e">
        <f>SUMIFS(#REF!,#REF!,$B187,#REF!,BL$1)</f>
        <v>#REF!</v>
      </c>
      <c r="BM187" s="24" t="e">
        <f>SUMIFS(#REF!,#REF!,$B187,#REF!,BM$1)</f>
        <v>#REF!</v>
      </c>
      <c r="BN187" s="24" t="e">
        <f>SUMIFS(#REF!,#REF!,$B187,#REF!,BN$1)</f>
        <v>#REF!</v>
      </c>
      <c r="BO187" s="24" t="e">
        <f>SUMIFS(#REF!,#REF!,$B187,#REF!,BO$1)</f>
        <v>#REF!</v>
      </c>
      <c r="BP187" s="24" t="e">
        <f>SUMIFS(#REF!,#REF!,$B187,#REF!,BP$1)</f>
        <v>#REF!</v>
      </c>
      <c r="BQ187" s="24" t="e">
        <f>SUMIFS(#REF!,#REF!,$B187,#REF!,BQ$1)</f>
        <v>#REF!</v>
      </c>
      <c r="BR187" s="24" t="e">
        <f>SUMIFS(#REF!,#REF!,$B187,#REF!,BR$1)</f>
        <v>#REF!</v>
      </c>
      <c r="BS187" s="24" t="e">
        <f>SUMIFS(#REF!,#REF!,$B187,#REF!,BS$1)</f>
        <v>#REF!</v>
      </c>
      <c r="BT187" s="24" t="e">
        <f>SUMIFS(#REF!,#REF!,$B187,#REF!,BT$1)</f>
        <v>#REF!</v>
      </c>
      <c r="BU187" s="24" t="e">
        <f>SUMIFS(#REF!,#REF!,$B187,#REF!,BU$1)</f>
        <v>#REF!</v>
      </c>
      <c r="BV187" s="24" t="e">
        <f>SUMIFS(#REF!,#REF!,$B187,#REF!,BV$1)</f>
        <v>#REF!</v>
      </c>
      <c r="BW187" s="24" t="e">
        <f>SUMIFS(#REF!,#REF!,$B187,#REF!,BW$1)</f>
        <v>#REF!</v>
      </c>
      <c r="BX187" s="24" t="e">
        <f>SUMIFS(#REF!,#REF!,$B187,#REF!,BX$1)</f>
        <v>#REF!</v>
      </c>
      <c r="BY187" s="24" t="e">
        <f>SUMIFS(#REF!,#REF!,$B187,#REF!,BY$1)</f>
        <v>#REF!</v>
      </c>
      <c r="BZ187" s="24" t="e">
        <f>SUMIFS(#REF!,#REF!,$B187,#REF!,BZ$1)</f>
        <v>#REF!</v>
      </c>
      <c r="CA187" s="24" t="e">
        <f>SUMIFS(#REF!,#REF!,$B187,#REF!,CA$1)</f>
        <v>#REF!</v>
      </c>
      <c r="CB187" s="24" t="e">
        <f>SUMIFS(#REF!,#REF!,$B187,#REF!,CB$1)</f>
        <v>#REF!</v>
      </c>
      <c r="CC187" s="24" t="e">
        <f>SUMIFS(#REF!,#REF!,$B187,#REF!,CC$1)</f>
        <v>#REF!</v>
      </c>
      <c r="CD187" s="24" t="e">
        <f>SUMIFS(#REF!,#REF!,$B187,#REF!,CD$1)</f>
        <v>#REF!</v>
      </c>
      <c r="CE187" s="24" t="e">
        <f>SUMIFS(#REF!,#REF!,$B187,#REF!,CE$1)</f>
        <v>#REF!</v>
      </c>
      <c r="CF187" s="24" t="e">
        <f>SUMIFS(#REF!,#REF!,$B187,#REF!,CF$1)</f>
        <v>#REF!</v>
      </c>
      <c r="CG187" s="19" t="e">
        <f t="shared" si="2"/>
        <v>#REF!</v>
      </c>
    </row>
    <row r="188" spans="1:85" x14ac:dyDescent="0.45">
      <c r="A188" s="4" t="s">
        <v>1358</v>
      </c>
      <c r="B188" s="4" t="s">
        <v>1359</v>
      </c>
      <c r="C188" s="24" t="e">
        <f>SUMIFS(#REF!,#REF!,$B188,#REF!,C$1)</f>
        <v>#REF!</v>
      </c>
      <c r="D188" s="24" t="e">
        <f>SUMIFS(#REF!,#REF!,$B188,#REF!,D$1)</f>
        <v>#REF!</v>
      </c>
      <c r="E188" s="24" t="e">
        <f>SUMIFS(#REF!,#REF!,$B188,#REF!,E$1)</f>
        <v>#REF!</v>
      </c>
      <c r="F188" s="24" t="e">
        <f>SUMIFS(#REF!,#REF!,$B188,#REF!,F$1)</f>
        <v>#REF!</v>
      </c>
      <c r="G188" s="24" t="e">
        <f>SUMIFS(#REF!,#REF!,$B188,#REF!,G$1)</f>
        <v>#REF!</v>
      </c>
      <c r="H188" s="24" t="e">
        <f>SUMIFS(#REF!,#REF!,$B188,#REF!,H$1)</f>
        <v>#REF!</v>
      </c>
      <c r="I188" s="24" t="e">
        <f>SUMIFS(#REF!,#REF!,$B188,#REF!,I$1)</f>
        <v>#REF!</v>
      </c>
      <c r="J188" s="24" t="e">
        <f>SUMIFS(#REF!,#REF!,$B188,#REF!,J$1)</f>
        <v>#REF!</v>
      </c>
      <c r="K188" s="24" t="e">
        <f>SUMIFS(#REF!,#REF!,$B188,#REF!,K$1)</f>
        <v>#REF!</v>
      </c>
      <c r="L188" s="24" t="e">
        <f>SUMIFS(#REF!,#REF!,$B188,#REF!,L$1)</f>
        <v>#REF!</v>
      </c>
      <c r="M188" s="24" t="e">
        <f>SUMIFS(#REF!,#REF!,$B188,#REF!,M$1)</f>
        <v>#REF!</v>
      </c>
      <c r="N188" s="24" t="e">
        <f>SUMIFS(#REF!,#REF!,$B188,#REF!,N$1)</f>
        <v>#REF!</v>
      </c>
      <c r="O188" s="24" t="e">
        <f>SUMIFS(#REF!,#REF!,$B188,#REF!,O$1)</f>
        <v>#REF!</v>
      </c>
      <c r="P188" s="24" t="e">
        <f>SUMIFS(#REF!,#REF!,$B188,#REF!,P$1)</f>
        <v>#REF!</v>
      </c>
      <c r="Q188" s="24" t="e">
        <f>SUMIFS(#REF!,#REF!,$B188,#REF!,Q$1)</f>
        <v>#REF!</v>
      </c>
      <c r="R188" s="24" t="e">
        <f>SUMIFS(#REF!,#REF!,$B188,#REF!,R$1)</f>
        <v>#REF!</v>
      </c>
      <c r="S188" s="24" t="e">
        <f>SUMIFS(#REF!,#REF!,$B188,#REF!,S$1)</f>
        <v>#REF!</v>
      </c>
      <c r="T188" s="24" t="e">
        <f>SUMIFS(#REF!,#REF!,$B188,#REF!,T$1)</f>
        <v>#REF!</v>
      </c>
      <c r="U188" s="24" t="e">
        <f>SUMIFS(#REF!,#REF!,$B188,#REF!,U$1)</f>
        <v>#REF!</v>
      </c>
      <c r="V188" s="24" t="e">
        <f>SUMIFS(#REF!,#REF!,$B188,#REF!,V$1)</f>
        <v>#REF!</v>
      </c>
      <c r="W188" s="24" t="e">
        <f>SUMIFS(#REF!,#REF!,$B188,#REF!,W$1)</f>
        <v>#REF!</v>
      </c>
      <c r="X188" s="24" t="e">
        <f>SUMIFS(#REF!,#REF!,$B188,#REF!,X$1)</f>
        <v>#REF!</v>
      </c>
      <c r="Y188" s="24" t="e">
        <f>SUMIFS(#REF!,#REF!,$B188,#REF!,Y$1)</f>
        <v>#REF!</v>
      </c>
      <c r="Z188" s="24" t="e">
        <f>SUMIFS(#REF!,#REF!,$B188,#REF!,Z$1)</f>
        <v>#REF!</v>
      </c>
      <c r="AA188" s="24" t="e">
        <f>SUMIFS(#REF!,#REF!,$B188,#REF!,AA$1)</f>
        <v>#REF!</v>
      </c>
      <c r="AB188" s="24" t="e">
        <f>SUMIFS(#REF!,#REF!,$B188,#REF!,AB$1)</f>
        <v>#REF!</v>
      </c>
      <c r="AC188" s="24" t="e">
        <f>SUMIFS(#REF!,#REF!,$B188,#REF!,AC$1)</f>
        <v>#REF!</v>
      </c>
      <c r="AD188" s="24" t="e">
        <f>SUMIFS(#REF!,#REF!,$B188,#REF!,AD$1)</f>
        <v>#REF!</v>
      </c>
      <c r="AE188" s="24" t="e">
        <f>SUMIFS(#REF!,#REF!,$B188,#REF!,AE$1)</f>
        <v>#REF!</v>
      </c>
      <c r="AF188" s="24" t="e">
        <f>SUMIFS(#REF!,#REF!,$B188,#REF!,AF$1)</f>
        <v>#REF!</v>
      </c>
      <c r="AG188" s="24" t="e">
        <f>SUMIFS(#REF!,#REF!,$B188,#REF!,AG$1)</f>
        <v>#REF!</v>
      </c>
      <c r="AH188" s="24" t="e">
        <f>SUMIFS(#REF!,#REF!,$B188,#REF!,AH$1)</f>
        <v>#REF!</v>
      </c>
      <c r="AI188" s="24" t="e">
        <f>SUMIFS(#REF!,#REF!,$B188,#REF!,AI$1)</f>
        <v>#REF!</v>
      </c>
      <c r="AJ188" s="24" t="e">
        <f>SUMIFS(#REF!,#REF!,$B188,#REF!,AJ$1)</f>
        <v>#REF!</v>
      </c>
      <c r="AK188" s="24" t="e">
        <f>SUMIFS(#REF!,#REF!,$B188,#REF!,AK$1)</f>
        <v>#REF!</v>
      </c>
      <c r="AL188" s="24" t="e">
        <f>SUMIFS(#REF!,#REF!,$B188,#REF!,AL$1)</f>
        <v>#REF!</v>
      </c>
      <c r="AM188" s="24" t="e">
        <f>SUMIFS(#REF!,#REF!,$B188,#REF!,AM$1)</f>
        <v>#REF!</v>
      </c>
      <c r="AN188" s="24" t="e">
        <f>SUMIFS(#REF!,#REF!,$B188,#REF!,AN$1)</f>
        <v>#REF!</v>
      </c>
      <c r="AO188" s="24" t="e">
        <f>SUMIFS(#REF!,#REF!,$B188,#REF!,AO$1)</f>
        <v>#REF!</v>
      </c>
      <c r="AP188" s="24" t="e">
        <f>SUMIFS(#REF!,#REF!,$B188,#REF!,AP$1)</f>
        <v>#REF!</v>
      </c>
      <c r="AQ188" s="24" t="e">
        <f>SUMIFS(#REF!,#REF!,$B188,#REF!,AQ$1)</f>
        <v>#REF!</v>
      </c>
      <c r="AR188" s="24" t="e">
        <f>SUMIFS(#REF!,#REF!,$B188,#REF!,AR$1)</f>
        <v>#REF!</v>
      </c>
      <c r="AS188" s="24" t="e">
        <f>SUMIFS(#REF!,#REF!,$B188,#REF!,AS$1)</f>
        <v>#REF!</v>
      </c>
      <c r="AT188" s="24" t="e">
        <f>SUMIFS(#REF!,#REF!,$B188,#REF!,AT$1)</f>
        <v>#REF!</v>
      </c>
      <c r="AU188" s="24" t="e">
        <f>SUMIFS(#REF!,#REF!,$B188,#REF!,AU$1)</f>
        <v>#REF!</v>
      </c>
      <c r="AV188" s="24" t="e">
        <f>SUMIFS(#REF!,#REF!,$B188,#REF!,AV$1)</f>
        <v>#REF!</v>
      </c>
      <c r="AW188" s="24" t="e">
        <f>SUMIFS(#REF!,#REF!,$B188,#REF!,AW$1)</f>
        <v>#REF!</v>
      </c>
      <c r="AX188" s="24" t="e">
        <f>SUMIFS(#REF!,#REF!,$B188,#REF!,AX$1)</f>
        <v>#REF!</v>
      </c>
      <c r="AY188" s="24" t="e">
        <f>SUMIFS(#REF!,#REF!,$B188,#REF!,AY$1)</f>
        <v>#REF!</v>
      </c>
      <c r="AZ188" s="24" t="e">
        <f>SUMIFS(#REF!,#REF!,$B188,#REF!,AZ$1)</f>
        <v>#REF!</v>
      </c>
      <c r="BA188" s="24" t="e">
        <f>SUMIFS(#REF!,#REF!,$B188,#REF!,BA$1)</f>
        <v>#REF!</v>
      </c>
      <c r="BB188" s="24" t="e">
        <f>SUMIFS(#REF!,#REF!,$B188,#REF!,BB$1)</f>
        <v>#REF!</v>
      </c>
      <c r="BC188" s="24" t="e">
        <f>SUMIFS(#REF!,#REF!,$B188,#REF!,BC$1)</f>
        <v>#REF!</v>
      </c>
      <c r="BD188" s="24" t="e">
        <f>SUMIFS(#REF!,#REF!,$B188,#REF!,BD$1)</f>
        <v>#REF!</v>
      </c>
      <c r="BE188" s="24" t="e">
        <f>SUMIFS(#REF!,#REF!,$B188,#REF!,BE$1)</f>
        <v>#REF!</v>
      </c>
      <c r="BF188" s="24" t="e">
        <f>SUMIFS(#REF!,#REF!,$B188,#REF!,BF$1)</f>
        <v>#REF!</v>
      </c>
      <c r="BG188" s="24" t="e">
        <f>SUMIFS(#REF!,#REF!,$B188,#REF!,BG$1)</f>
        <v>#REF!</v>
      </c>
      <c r="BH188" s="24" t="e">
        <f>SUMIFS(#REF!,#REF!,$B188,#REF!,BH$1)</f>
        <v>#REF!</v>
      </c>
      <c r="BI188" s="24" t="e">
        <f>SUMIFS(#REF!,#REF!,$B188,#REF!,BI$1)</f>
        <v>#REF!</v>
      </c>
      <c r="BJ188" s="24" t="e">
        <f>SUMIFS(#REF!,#REF!,$B188,#REF!,BJ$1)</f>
        <v>#REF!</v>
      </c>
      <c r="BK188" s="24" t="e">
        <f>SUMIFS(#REF!,#REF!,$B188,#REF!,BK$1)</f>
        <v>#REF!</v>
      </c>
      <c r="BL188" s="24" t="e">
        <f>SUMIFS(#REF!,#REF!,$B188,#REF!,BL$1)</f>
        <v>#REF!</v>
      </c>
      <c r="BM188" s="24" t="e">
        <f>SUMIFS(#REF!,#REF!,$B188,#REF!,BM$1)</f>
        <v>#REF!</v>
      </c>
      <c r="BN188" s="24" t="e">
        <f>SUMIFS(#REF!,#REF!,$B188,#REF!,BN$1)</f>
        <v>#REF!</v>
      </c>
      <c r="BO188" s="24" t="e">
        <f>SUMIFS(#REF!,#REF!,$B188,#REF!,BO$1)</f>
        <v>#REF!</v>
      </c>
      <c r="BP188" s="24" t="e">
        <f>SUMIFS(#REF!,#REF!,$B188,#REF!,BP$1)</f>
        <v>#REF!</v>
      </c>
      <c r="BQ188" s="24" t="e">
        <f>SUMIFS(#REF!,#REF!,$B188,#REF!,BQ$1)</f>
        <v>#REF!</v>
      </c>
      <c r="BR188" s="24" t="e">
        <f>SUMIFS(#REF!,#REF!,$B188,#REF!,BR$1)</f>
        <v>#REF!</v>
      </c>
      <c r="BS188" s="24" t="e">
        <f>SUMIFS(#REF!,#REF!,$B188,#REF!,BS$1)</f>
        <v>#REF!</v>
      </c>
      <c r="BT188" s="24" t="e">
        <f>SUMIFS(#REF!,#REF!,$B188,#REF!,BT$1)</f>
        <v>#REF!</v>
      </c>
      <c r="BU188" s="24" t="e">
        <f>SUMIFS(#REF!,#REF!,$B188,#REF!,BU$1)</f>
        <v>#REF!</v>
      </c>
      <c r="BV188" s="24" t="e">
        <f>SUMIFS(#REF!,#REF!,$B188,#REF!,BV$1)</f>
        <v>#REF!</v>
      </c>
      <c r="BW188" s="24" t="e">
        <f>SUMIFS(#REF!,#REF!,$B188,#REF!,BW$1)</f>
        <v>#REF!</v>
      </c>
      <c r="BX188" s="24" t="e">
        <f>SUMIFS(#REF!,#REF!,$B188,#REF!,BX$1)</f>
        <v>#REF!</v>
      </c>
      <c r="BY188" s="24" t="e">
        <f>SUMIFS(#REF!,#REF!,$B188,#REF!,BY$1)</f>
        <v>#REF!</v>
      </c>
      <c r="BZ188" s="24" t="e">
        <f>SUMIFS(#REF!,#REF!,$B188,#REF!,BZ$1)</f>
        <v>#REF!</v>
      </c>
      <c r="CA188" s="24" t="e">
        <f>SUMIFS(#REF!,#REF!,$B188,#REF!,CA$1)</f>
        <v>#REF!</v>
      </c>
      <c r="CB188" s="24" t="e">
        <f>SUMIFS(#REF!,#REF!,$B188,#REF!,CB$1)</f>
        <v>#REF!</v>
      </c>
      <c r="CC188" s="24" t="e">
        <f>SUMIFS(#REF!,#REF!,$B188,#REF!,CC$1)</f>
        <v>#REF!</v>
      </c>
      <c r="CD188" s="24" t="e">
        <f>SUMIFS(#REF!,#REF!,$B188,#REF!,CD$1)</f>
        <v>#REF!</v>
      </c>
      <c r="CE188" s="24" t="e">
        <f>SUMIFS(#REF!,#REF!,$B188,#REF!,CE$1)</f>
        <v>#REF!</v>
      </c>
      <c r="CF188" s="24" t="e">
        <f>SUMIFS(#REF!,#REF!,$B188,#REF!,CF$1)</f>
        <v>#REF!</v>
      </c>
      <c r="CG188" s="19" t="e">
        <f t="shared" si="2"/>
        <v>#REF!</v>
      </c>
    </row>
    <row r="189" spans="1:85" x14ac:dyDescent="0.45">
      <c r="A189" s="4" t="s">
        <v>1360</v>
      </c>
      <c r="B189" s="4" t="s">
        <v>1361</v>
      </c>
      <c r="C189" s="24" t="e">
        <f>SUMIFS(#REF!,#REF!,$B189,#REF!,C$1)</f>
        <v>#REF!</v>
      </c>
      <c r="D189" s="24" t="e">
        <f>SUMIFS(#REF!,#REF!,$B189,#REF!,D$1)</f>
        <v>#REF!</v>
      </c>
      <c r="E189" s="24" t="e">
        <f>SUMIFS(#REF!,#REF!,$B189,#REF!,E$1)</f>
        <v>#REF!</v>
      </c>
      <c r="F189" s="24" t="e">
        <f>SUMIFS(#REF!,#REF!,$B189,#REF!,F$1)</f>
        <v>#REF!</v>
      </c>
      <c r="G189" s="24" t="e">
        <f>SUMIFS(#REF!,#REF!,$B189,#REF!,G$1)</f>
        <v>#REF!</v>
      </c>
      <c r="H189" s="24" t="e">
        <f>SUMIFS(#REF!,#REF!,$B189,#REF!,H$1)</f>
        <v>#REF!</v>
      </c>
      <c r="I189" s="24" t="e">
        <f>SUMIFS(#REF!,#REF!,$B189,#REF!,I$1)</f>
        <v>#REF!</v>
      </c>
      <c r="J189" s="24" t="e">
        <f>SUMIFS(#REF!,#REF!,$B189,#REF!,J$1)</f>
        <v>#REF!</v>
      </c>
      <c r="K189" s="24" t="e">
        <f>SUMIFS(#REF!,#REF!,$B189,#REF!,K$1)</f>
        <v>#REF!</v>
      </c>
      <c r="L189" s="24" t="e">
        <f>SUMIFS(#REF!,#REF!,$B189,#REF!,L$1)</f>
        <v>#REF!</v>
      </c>
      <c r="M189" s="24" t="e">
        <f>SUMIFS(#REF!,#REF!,$B189,#REF!,M$1)</f>
        <v>#REF!</v>
      </c>
      <c r="N189" s="24" t="e">
        <f>SUMIFS(#REF!,#REF!,$B189,#REF!,N$1)</f>
        <v>#REF!</v>
      </c>
      <c r="O189" s="24" t="e">
        <f>SUMIFS(#REF!,#REF!,$B189,#REF!,O$1)</f>
        <v>#REF!</v>
      </c>
      <c r="P189" s="24" t="e">
        <f>SUMIFS(#REF!,#REF!,$B189,#REF!,P$1)</f>
        <v>#REF!</v>
      </c>
      <c r="Q189" s="24" t="e">
        <f>SUMIFS(#REF!,#REF!,$B189,#REF!,Q$1)</f>
        <v>#REF!</v>
      </c>
      <c r="R189" s="24" t="e">
        <f>SUMIFS(#REF!,#REF!,$B189,#REF!,R$1)</f>
        <v>#REF!</v>
      </c>
      <c r="S189" s="24" t="e">
        <f>SUMIFS(#REF!,#REF!,$B189,#REF!,S$1)</f>
        <v>#REF!</v>
      </c>
      <c r="T189" s="24" t="e">
        <f>SUMIFS(#REF!,#REF!,$B189,#REF!,T$1)</f>
        <v>#REF!</v>
      </c>
      <c r="U189" s="24" t="e">
        <f>SUMIFS(#REF!,#REF!,$B189,#REF!,U$1)</f>
        <v>#REF!</v>
      </c>
      <c r="V189" s="24" t="e">
        <f>SUMIFS(#REF!,#REF!,$B189,#REF!,V$1)</f>
        <v>#REF!</v>
      </c>
      <c r="W189" s="24" t="e">
        <f>SUMIFS(#REF!,#REF!,$B189,#REF!,W$1)</f>
        <v>#REF!</v>
      </c>
      <c r="X189" s="24" t="e">
        <f>SUMIFS(#REF!,#REF!,$B189,#REF!,X$1)</f>
        <v>#REF!</v>
      </c>
      <c r="Y189" s="24" t="e">
        <f>SUMIFS(#REF!,#REF!,$B189,#REF!,Y$1)</f>
        <v>#REF!</v>
      </c>
      <c r="Z189" s="24" t="e">
        <f>SUMIFS(#REF!,#REF!,$B189,#REF!,Z$1)</f>
        <v>#REF!</v>
      </c>
      <c r="AA189" s="24" t="e">
        <f>SUMIFS(#REF!,#REF!,$B189,#REF!,AA$1)</f>
        <v>#REF!</v>
      </c>
      <c r="AB189" s="24" t="e">
        <f>SUMIFS(#REF!,#REF!,$B189,#REF!,AB$1)</f>
        <v>#REF!</v>
      </c>
      <c r="AC189" s="24" t="e">
        <f>SUMIFS(#REF!,#REF!,$B189,#REF!,AC$1)</f>
        <v>#REF!</v>
      </c>
      <c r="AD189" s="24" t="e">
        <f>SUMIFS(#REF!,#REF!,$B189,#REF!,AD$1)</f>
        <v>#REF!</v>
      </c>
      <c r="AE189" s="24" t="e">
        <f>SUMIFS(#REF!,#REF!,$B189,#REF!,AE$1)</f>
        <v>#REF!</v>
      </c>
      <c r="AF189" s="24" t="e">
        <f>SUMIFS(#REF!,#REF!,$B189,#REF!,AF$1)</f>
        <v>#REF!</v>
      </c>
      <c r="AG189" s="24" t="e">
        <f>SUMIFS(#REF!,#REF!,$B189,#REF!,AG$1)</f>
        <v>#REF!</v>
      </c>
      <c r="AH189" s="24" t="e">
        <f>SUMIFS(#REF!,#REF!,$B189,#REF!,AH$1)</f>
        <v>#REF!</v>
      </c>
      <c r="AI189" s="24" t="e">
        <f>SUMIFS(#REF!,#REF!,$B189,#REF!,AI$1)</f>
        <v>#REF!</v>
      </c>
      <c r="AJ189" s="24" t="e">
        <f>SUMIFS(#REF!,#REF!,$B189,#REF!,AJ$1)</f>
        <v>#REF!</v>
      </c>
      <c r="AK189" s="24" t="e">
        <f>SUMIFS(#REF!,#REF!,$B189,#REF!,AK$1)</f>
        <v>#REF!</v>
      </c>
      <c r="AL189" s="24" t="e">
        <f>SUMIFS(#REF!,#REF!,$B189,#REF!,AL$1)</f>
        <v>#REF!</v>
      </c>
      <c r="AM189" s="24" t="e">
        <f>SUMIFS(#REF!,#REF!,$B189,#REF!,AM$1)</f>
        <v>#REF!</v>
      </c>
      <c r="AN189" s="24" t="e">
        <f>SUMIFS(#REF!,#REF!,$B189,#REF!,AN$1)</f>
        <v>#REF!</v>
      </c>
      <c r="AO189" s="24" t="e">
        <f>SUMIFS(#REF!,#REF!,$B189,#REF!,AO$1)</f>
        <v>#REF!</v>
      </c>
      <c r="AP189" s="24" t="e">
        <f>SUMIFS(#REF!,#REF!,$B189,#REF!,AP$1)</f>
        <v>#REF!</v>
      </c>
      <c r="AQ189" s="24" t="e">
        <f>SUMIFS(#REF!,#REF!,$B189,#REF!,AQ$1)</f>
        <v>#REF!</v>
      </c>
      <c r="AR189" s="24" t="e">
        <f>SUMIFS(#REF!,#REF!,$B189,#REF!,AR$1)</f>
        <v>#REF!</v>
      </c>
      <c r="AS189" s="24" t="e">
        <f>SUMIFS(#REF!,#REF!,$B189,#REF!,AS$1)</f>
        <v>#REF!</v>
      </c>
      <c r="AT189" s="24" t="e">
        <f>SUMIFS(#REF!,#REF!,$B189,#REF!,AT$1)</f>
        <v>#REF!</v>
      </c>
      <c r="AU189" s="24" t="e">
        <f>SUMIFS(#REF!,#REF!,$B189,#REF!,AU$1)</f>
        <v>#REF!</v>
      </c>
      <c r="AV189" s="24" t="e">
        <f>SUMIFS(#REF!,#REF!,$B189,#REF!,AV$1)</f>
        <v>#REF!</v>
      </c>
      <c r="AW189" s="24" t="e">
        <f>SUMIFS(#REF!,#REF!,$B189,#REF!,AW$1)</f>
        <v>#REF!</v>
      </c>
      <c r="AX189" s="24" t="e">
        <f>SUMIFS(#REF!,#REF!,$B189,#REF!,AX$1)</f>
        <v>#REF!</v>
      </c>
      <c r="AY189" s="24" t="e">
        <f>SUMIFS(#REF!,#REF!,$B189,#REF!,AY$1)</f>
        <v>#REF!</v>
      </c>
      <c r="AZ189" s="24" t="e">
        <f>SUMIFS(#REF!,#REF!,$B189,#REF!,AZ$1)</f>
        <v>#REF!</v>
      </c>
      <c r="BA189" s="24" t="e">
        <f>SUMIFS(#REF!,#REF!,$B189,#REF!,BA$1)</f>
        <v>#REF!</v>
      </c>
      <c r="BB189" s="24" t="e">
        <f>SUMIFS(#REF!,#REF!,$B189,#REF!,BB$1)</f>
        <v>#REF!</v>
      </c>
      <c r="BC189" s="24" t="e">
        <f>SUMIFS(#REF!,#REF!,$B189,#REF!,BC$1)</f>
        <v>#REF!</v>
      </c>
      <c r="BD189" s="24" t="e">
        <f>SUMIFS(#REF!,#REF!,$B189,#REF!,BD$1)</f>
        <v>#REF!</v>
      </c>
      <c r="BE189" s="24" t="e">
        <f>SUMIFS(#REF!,#REF!,$B189,#REF!,BE$1)</f>
        <v>#REF!</v>
      </c>
      <c r="BF189" s="24" t="e">
        <f>SUMIFS(#REF!,#REF!,$B189,#REF!,BF$1)</f>
        <v>#REF!</v>
      </c>
      <c r="BG189" s="24" t="e">
        <f>SUMIFS(#REF!,#REF!,$B189,#REF!,BG$1)</f>
        <v>#REF!</v>
      </c>
      <c r="BH189" s="24" t="e">
        <f>SUMIFS(#REF!,#REF!,$B189,#REF!,BH$1)</f>
        <v>#REF!</v>
      </c>
      <c r="BI189" s="24" t="e">
        <f>SUMIFS(#REF!,#REF!,$B189,#REF!,BI$1)</f>
        <v>#REF!</v>
      </c>
      <c r="BJ189" s="24" t="e">
        <f>SUMIFS(#REF!,#REF!,$B189,#REF!,BJ$1)</f>
        <v>#REF!</v>
      </c>
      <c r="BK189" s="24" t="e">
        <f>SUMIFS(#REF!,#REF!,$B189,#REF!,BK$1)</f>
        <v>#REF!</v>
      </c>
      <c r="BL189" s="24" t="e">
        <f>SUMIFS(#REF!,#REF!,$B189,#REF!,BL$1)</f>
        <v>#REF!</v>
      </c>
      <c r="BM189" s="24" t="e">
        <f>SUMIFS(#REF!,#REF!,$B189,#REF!,BM$1)</f>
        <v>#REF!</v>
      </c>
      <c r="BN189" s="24" t="e">
        <f>SUMIFS(#REF!,#REF!,$B189,#REF!,BN$1)</f>
        <v>#REF!</v>
      </c>
      <c r="BO189" s="24" t="e">
        <f>SUMIFS(#REF!,#REF!,$B189,#REF!,BO$1)</f>
        <v>#REF!</v>
      </c>
      <c r="BP189" s="24" t="e">
        <f>SUMIFS(#REF!,#REF!,$B189,#REF!,BP$1)</f>
        <v>#REF!</v>
      </c>
      <c r="BQ189" s="24" t="e">
        <f>SUMIFS(#REF!,#REF!,$B189,#REF!,BQ$1)</f>
        <v>#REF!</v>
      </c>
      <c r="BR189" s="24" t="e">
        <f>SUMIFS(#REF!,#REF!,$B189,#REF!,BR$1)</f>
        <v>#REF!</v>
      </c>
      <c r="BS189" s="24" t="e">
        <f>SUMIFS(#REF!,#REF!,$B189,#REF!,BS$1)</f>
        <v>#REF!</v>
      </c>
      <c r="BT189" s="24" t="e">
        <f>SUMIFS(#REF!,#REF!,$B189,#REF!,BT$1)</f>
        <v>#REF!</v>
      </c>
      <c r="BU189" s="24" t="e">
        <f>SUMIFS(#REF!,#REF!,$B189,#REF!,BU$1)</f>
        <v>#REF!</v>
      </c>
      <c r="BV189" s="24" t="e">
        <f>SUMIFS(#REF!,#REF!,$B189,#REF!,BV$1)</f>
        <v>#REF!</v>
      </c>
      <c r="BW189" s="24" t="e">
        <f>SUMIFS(#REF!,#REF!,$B189,#REF!,BW$1)</f>
        <v>#REF!</v>
      </c>
      <c r="BX189" s="24" t="e">
        <f>SUMIFS(#REF!,#REF!,$B189,#REF!,BX$1)</f>
        <v>#REF!</v>
      </c>
      <c r="BY189" s="24" t="e">
        <f>SUMIFS(#REF!,#REF!,$B189,#REF!,BY$1)</f>
        <v>#REF!</v>
      </c>
      <c r="BZ189" s="24" t="e">
        <f>SUMIFS(#REF!,#REF!,$B189,#REF!,BZ$1)</f>
        <v>#REF!</v>
      </c>
      <c r="CA189" s="24" t="e">
        <f>SUMIFS(#REF!,#REF!,$B189,#REF!,CA$1)</f>
        <v>#REF!</v>
      </c>
      <c r="CB189" s="24" t="e">
        <f>SUMIFS(#REF!,#REF!,$B189,#REF!,CB$1)</f>
        <v>#REF!</v>
      </c>
      <c r="CC189" s="24" t="e">
        <f>SUMIFS(#REF!,#REF!,$B189,#REF!,CC$1)</f>
        <v>#REF!</v>
      </c>
      <c r="CD189" s="24" t="e">
        <f>SUMIFS(#REF!,#REF!,$B189,#REF!,CD$1)</f>
        <v>#REF!</v>
      </c>
      <c r="CE189" s="24" t="e">
        <f>SUMIFS(#REF!,#REF!,$B189,#REF!,CE$1)</f>
        <v>#REF!</v>
      </c>
      <c r="CF189" s="24" t="e">
        <f>SUMIFS(#REF!,#REF!,$B189,#REF!,CF$1)</f>
        <v>#REF!</v>
      </c>
      <c r="CG189" s="19" t="e">
        <f t="shared" si="2"/>
        <v>#REF!</v>
      </c>
    </row>
    <row r="190" spans="1:85" x14ac:dyDescent="0.45">
      <c r="A190" s="4" t="s">
        <v>1362</v>
      </c>
      <c r="B190" s="4" t="s">
        <v>1363</v>
      </c>
      <c r="C190" s="24" t="e">
        <f>SUMIFS(#REF!,#REF!,$B190,#REF!,C$1)</f>
        <v>#REF!</v>
      </c>
      <c r="D190" s="24" t="e">
        <f>SUMIFS(#REF!,#REF!,$B190,#REF!,D$1)</f>
        <v>#REF!</v>
      </c>
      <c r="E190" s="24" t="e">
        <f>SUMIFS(#REF!,#REF!,$B190,#REF!,E$1)</f>
        <v>#REF!</v>
      </c>
      <c r="F190" s="24" t="e">
        <f>SUMIFS(#REF!,#REF!,$B190,#REF!,F$1)</f>
        <v>#REF!</v>
      </c>
      <c r="G190" s="24" t="e">
        <f>SUMIFS(#REF!,#REF!,$B190,#REF!,G$1)</f>
        <v>#REF!</v>
      </c>
      <c r="H190" s="24" t="e">
        <f>SUMIFS(#REF!,#REF!,$B190,#REF!,H$1)</f>
        <v>#REF!</v>
      </c>
      <c r="I190" s="24" t="e">
        <f>SUMIFS(#REF!,#REF!,$B190,#REF!,I$1)</f>
        <v>#REF!</v>
      </c>
      <c r="J190" s="24" t="e">
        <f>SUMIFS(#REF!,#REF!,$B190,#REF!,J$1)</f>
        <v>#REF!</v>
      </c>
      <c r="K190" s="24" t="e">
        <f>SUMIFS(#REF!,#REF!,$B190,#REF!,K$1)</f>
        <v>#REF!</v>
      </c>
      <c r="L190" s="24" t="e">
        <f>SUMIFS(#REF!,#REF!,$B190,#REF!,L$1)</f>
        <v>#REF!</v>
      </c>
      <c r="M190" s="24" t="e">
        <f>SUMIFS(#REF!,#REF!,$B190,#REF!,M$1)</f>
        <v>#REF!</v>
      </c>
      <c r="N190" s="24" t="e">
        <f>SUMIFS(#REF!,#REF!,$B190,#REF!,N$1)</f>
        <v>#REF!</v>
      </c>
      <c r="O190" s="24" t="e">
        <f>SUMIFS(#REF!,#REF!,$B190,#REF!,O$1)</f>
        <v>#REF!</v>
      </c>
      <c r="P190" s="24" t="e">
        <f>SUMIFS(#REF!,#REF!,$B190,#REF!,P$1)</f>
        <v>#REF!</v>
      </c>
      <c r="Q190" s="24" t="e">
        <f>SUMIFS(#REF!,#REF!,$B190,#REF!,Q$1)</f>
        <v>#REF!</v>
      </c>
      <c r="R190" s="24" t="e">
        <f>SUMIFS(#REF!,#REF!,$B190,#REF!,R$1)</f>
        <v>#REF!</v>
      </c>
      <c r="S190" s="24" t="e">
        <f>SUMIFS(#REF!,#REF!,$B190,#REF!,S$1)</f>
        <v>#REF!</v>
      </c>
      <c r="T190" s="24" t="e">
        <f>SUMIFS(#REF!,#REF!,$B190,#REF!,T$1)</f>
        <v>#REF!</v>
      </c>
      <c r="U190" s="24" t="e">
        <f>SUMIFS(#REF!,#REF!,$B190,#REF!,U$1)</f>
        <v>#REF!</v>
      </c>
      <c r="V190" s="24" t="e">
        <f>SUMIFS(#REF!,#REF!,$B190,#REF!,V$1)</f>
        <v>#REF!</v>
      </c>
      <c r="W190" s="24" t="e">
        <f>SUMIFS(#REF!,#REF!,$B190,#REF!,W$1)</f>
        <v>#REF!</v>
      </c>
      <c r="X190" s="24" t="e">
        <f>SUMIFS(#REF!,#REF!,$B190,#REF!,X$1)</f>
        <v>#REF!</v>
      </c>
      <c r="Y190" s="24" t="e">
        <f>SUMIFS(#REF!,#REF!,$B190,#REF!,Y$1)</f>
        <v>#REF!</v>
      </c>
      <c r="Z190" s="24" t="e">
        <f>SUMIFS(#REF!,#REF!,$B190,#REF!,Z$1)</f>
        <v>#REF!</v>
      </c>
      <c r="AA190" s="24" t="e">
        <f>SUMIFS(#REF!,#REF!,$B190,#REF!,AA$1)</f>
        <v>#REF!</v>
      </c>
      <c r="AB190" s="24" t="e">
        <f>SUMIFS(#REF!,#REF!,$B190,#REF!,AB$1)</f>
        <v>#REF!</v>
      </c>
      <c r="AC190" s="24" t="e">
        <f>SUMIFS(#REF!,#REF!,$B190,#REF!,AC$1)</f>
        <v>#REF!</v>
      </c>
      <c r="AD190" s="24" t="e">
        <f>SUMIFS(#REF!,#REF!,$B190,#REF!,AD$1)</f>
        <v>#REF!</v>
      </c>
      <c r="AE190" s="24" t="e">
        <f>SUMIFS(#REF!,#REF!,$B190,#REF!,AE$1)</f>
        <v>#REF!</v>
      </c>
      <c r="AF190" s="24" t="e">
        <f>SUMIFS(#REF!,#REF!,$B190,#REF!,AF$1)</f>
        <v>#REF!</v>
      </c>
      <c r="AG190" s="24" t="e">
        <f>SUMIFS(#REF!,#REF!,$B190,#REF!,AG$1)</f>
        <v>#REF!</v>
      </c>
      <c r="AH190" s="24" t="e">
        <f>SUMIFS(#REF!,#REF!,$B190,#REF!,AH$1)</f>
        <v>#REF!</v>
      </c>
      <c r="AI190" s="24" t="e">
        <f>SUMIFS(#REF!,#REF!,$B190,#REF!,AI$1)</f>
        <v>#REF!</v>
      </c>
      <c r="AJ190" s="24" t="e">
        <f>SUMIFS(#REF!,#REF!,$B190,#REF!,AJ$1)</f>
        <v>#REF!</v>
      </c>
      <c r="AK190" s="24" t="e">
        <f>SUMIFS(#REF!,#REF!,$B190,#REF!,AK$1)</f>
        <v>#REF!</v>
      </c>
      <c r="AL190" s="24" t="e">
        <f>SUMIFS(#REF!,#REF!,$B190,#REF!,AL$1)</f>
        <v>#REF!</v>
      </c>
      <c r="AM190" s="24" t="e">
        <f>SUMIFS(#REF!,#REF!,$B190,#REF!,AM$1)</f>
        <v>#REF!</v>
      </c>
      <c r="AN190" s="24" t="e">
        <f>SUMIFS(#REF!,#REF!,$B190,#REF!,AN$1)</f>
        <v>#REF!</v>
      </c>
      <c r="AO190" s="24" t="e">
        <f>SUMIFS(#REF!,#REF!,$B190,#REF!,AO$1)</f>
        <v>#REF!</v>
      </c>
      <c r="AP190" s="24" t="e">
        <f>SUMIFS(#REF!,#REF!,$B190,#REF!,AP$1)</f>
        <v>#REF!</v>
      </c>
      <c r="AQ190" s="24" t="e">
        <f>SUMIFS(#REF!,#REF!,$B190,#REF!,AQ$1)</f>
        <v>#REF!</v>
      </c>
      <c r="AR190" s="24" t="e">
        <f>SUMIFS(#REF!,#REF!,$B190,#REF!,AR$1)</f>
        <v>#REF!</v>
      </c>
      <c r="AS190" s="24" t="e">
        <f>SUMIFS(#REF!,#REF!,$B190,#REF!,AS$1)</f>
        <v>#REF!</v>
      </c>
      <c r="AT190" s="24" t="e">
        <f>SUMIFS(#REF!,#REF!,$B190,#REF!,AT$1)</f>
        <v>#REF!</v>
      </c>
      <c r="AU190" s="24" t="e">
        <f>SUMIFS(#REF!,#REF!,$B190,#REF!,AU$1)</f>
        <v>#REF!</v>
      </c>
      <c r="AV190" s="24" t="e">
        <f>SUMIFS(#REF!,#REF!,$B190,#REF!,AV$1)</f>
        <v>#REF!</v>
      </c>
      <c r="AW190" s="24" t="e">
        <f>SUMIFS(#REF!,#REF!,$B190,#REF!,AW$1)</f>
        <v>#REF!</v>
      </c>
      <c r="AX190" s="24" t="e">
        <f>SUMIFS(#REF!,#REF!,$B190,#REF!,AX$1)</f>
        <v>#REF!</v>
      </c>
      <c r="AY190" s="24" t="e">
        <f>SUMIFS(#REF!,#REF!,$B190,#REF!,AY$1)</f>
        <v>#REF!</v>
      </c>
      <c r="AZ190" s="24" t="e">
        <f>SUMIFS(#REF!,#REF!,$B190,#REF!,AZ$1)</f>
        <v>#REF!</v>
      </c>
      <c r="BA190" s="24" t="e">
        <f>SUMIFS(#REF!,#REF!,$B190,#REF!,BA$1)</f>
        <v>#REF!</v>
      </c>
      <c r="BB190" s="24" t="e">
        <f>SUMIFS(#REF!,#REF!,$B190,#REF!,BB$1)</f>
        <v>#REF!</v>
      </c>
      <c r="BC190" s="24" t="e">
        <f>SUMIFS(#REF!,#REF!,$B190,#REF!,BC$1)</f>
        <v>#REF!</v>
      </c>
      <c r="BD190" s="24" t="e">
        <f>SUMIFS(#REF!,#REF!,$B190,#REF!,BD$1)</f>
        <v>#REF!</v>
      </c>
      <c r="BE190" s="24" t="e">
        <f>SUMIFS(#REF!,#REF!,$B190,#REF!,BE$1)</f>
        <v>#REF!</v>
      </c>
      <c r="BF190" s="24" t="e">
        <f>SUMIFS(#REF!,#REF!,$B190,#REF!,BF$1)</f>
        <v>#REF!</v>
      </c>
      <c r="BG190" s="24" t="e">
        <f>SUMIFS(#REF!,#REF!,$B190,#REF!,BG$1)</f>
        <v>#REF!</v>
      </c>
      <c r="BH190" s="24" t="e">
        <f>SUMIFS(#REF!,#REF!,$B190,#REF!,BH$1)</f>
        <v>#REF!</v>
      </c>
      <c r="BI190" s="24" t="e">
        <f>SUMIFS(#REF!,#REF!,$B190,#REF!,BI$1)</f>
        <v>#REF!</v>
      </c>
      <c r="BJ190" s="24" t="e">
        <f>SUMIFS(#REF!,#REF!,$B190,#REF!,BJ$1)</f>
        <v>#REF!</v>
      </c>
      <c r="BK190" s="24" t="e">
        <f>SUMIFS(#REF!,#REF!,$B190,#REF!,BK$1)</f>
        <v>#REF!</v>
      </c>
      <c r="BL190" s="24" t="e">
        <f>SUMIFS(#REF!,#REF!,$B190,#REF!,BL$1)</f>
        <v>#REF!</v>
      </c>
      <c r="BM190" s="24" t="e">
        <f>SUMIFS(#REF!,#REF!,$B190,#REF!,BM$1)</f>
        <v>#REF!</v>
      </c>
      <c r="BN190" s="24" t="e">
        <f>SUMIFS(#REF!,#REF!,$B190,#REF!,BN$1)</f>
        <v>#REF!</v>
      </c>
      <c r="BO190" s="24" t="e">
        <f>SUMIFS(#REF!,#REF!,$B190,#REF!,BO$1)</f>
        <v>#REF!</v>
      </c>
      <c r="BP190" s="24" t="e">
        <f>SUMIFS(#REF!,#REF!,$B190,#REF!,BP$1)</f>
        <v>#REF!</v>
      </c>
      <c r="BQ190" s="24" t="e">
        <f>SUMIFS(#REF!,#REF!,$B190,#REF!,BQ$1)</f>
        <v>#REF!</v>
      </c>
      <c r="BR190" s="24" t="e">
        <f>SUMIFS(#REF!,#REF!,$B190,#REF!,BR$1)</f>
        <v>#REF!</v>
      </c>
      <c r="BS190" s="24" t="e">
        <f>SUMIFS(#REF!,#REF!,$B190,#REF!,BS$1)</f>
        <v>#REF!</v>
      </c>
      <c r="BT190" s="24" t="e">
        <f>SUMIFS(#REF!,#REF!,$B190,#REF!,BT$1)</f>
        <v>#REF!</v>
      </c>
      <c r="BU190" s="24" t="e">
        <f>SUMIFS(#REF!,#REF!,$B190,#REF!,BU$1)</f>
        <v>#REF!</v>
      </c>
      <c r="BV190" s="24" t="e">
        <f>SUMIFS(#REF!,#REF!,$B190,#REF!,BV$1)</f>
        <v>#REF!</v>
      </c>
      <c r="BW190" s="24" t="e">
        <f>SUMIFS(#REF!,#REF!,$B190,#REF!,BW$1)</f>
        <v>#REF!</v>
      </c>
      <c r="BX190" s="24" t="e">
        <f>SUMIFS(#REF!,#REF!,$B190,#REF!,BX$1)</f>
        <v>#REF!</v>
      </c>
      <c r="BY190" s="24" t="e">
        <f>SUMIFS(#REF!,#REF!,$B190,#REF!,BY$1)</f>
        <v>#REF!</v>
      </c>
      <c r="BZ190" s="24" t="e">
        <f>SUMIFS(#REF!,#REF!,$B190,#REF!,BZ$1)</f>
        <v>#REF!</v>
      </c>
      <c r="CA190" s="24" t="e">
        <f>SUMIFS(#REF!,#REF!,$B190,#REF!,CA$1)</f>
        <v>#REF!</v>
      </c>
      <c r="CB190" s="24" t="e">
        <f>SUMIFS(#REF!,#REF!,$B190,#REF!,CB$1)</f>
        <v>#REF!</v>
      </c>
      <c r="CC190" s="24" t="e">
        <f>SUMIFS(#REF!,#REF!,$B190,#REF!,CC$1)</f>
        <v>#REF!</v>
      </c>
      <c r="CD190" s="24" t="e">
        <f>SUMIFS(#REF!,#REF!,$B190,#REF!,CD$1)</f>
        <v>#REF!</v>
      </c>
      <c r="CE190" s="24" t="e">
        <f>SUMIFS(#REF!,#REF!,$B190,#REF!,CE$1)</f>
        <v>#REF!</v>
      </c>
      <c r="CF190" s="24" t="e">
        <f>SUMIFS(#REF!,#REF!,$B190,#REF!,CF$1)</f>
        <v>#REF!</v>
      </c>
      <c r="CG190" s="19" t="e">
        <f t="shared" si="2"/>
        <v>#REF!</v>
      </c>
    </row>
    <row r="191" spans="1:85" x14ac:dyDescent="0.45">
      <c r="A191" s="4" t="s">
        <v>1364</v>
      </c>
      <c r="B191" s="4" t="s">
        <v>1365</v>
      </c>
      <c r="C191" s="24" t="e">
        <f>SUMIFS(#REF!,#REF!,$B191,#REF!,C$1)</f>
        <v>#REF!</v>
      </c>
      <c r="D191" s="24" t="e">
        <f>SUMIFS(#REF!,#REF!,$B191,#REF!,D$1)</f>
        <v>#REF!</v>
      </c>
      <c r="E191" s="24" t="e">
        <f>SUMIFS(#REF!,#REF!,$B191,#REF!,E$1)</f>
        <v>#REF!</v>
      </c>
      <c r="F191" s="24" t="e">
        <f>SUMIFS(#REF!,#REF!,$B191,#REF!,F$1)</f>
        <v>#REF!</v>
      </c>
      <c r="G191" s="24" t="e">
        <f>SUMIFS(#REF!,#REF!,$B191,#REF!,G$1)</f>
        <v>#REF!</v>
      </c>
      <c r="H191" s="24" t="e">
        <f>SUMIFS(#REF!,#REF!,$B191,#REF!,H$1)</f>
        <v>#REF!</v>
      </c>
      <c r="I191" s="24" t="e">
        <f>SUMIFS(#REF!,#REF!,$B191,#REF!,I$1)</f>
        <v>#REF!</v>
      </c>
      <c r="J191" s="24" t="e">
        <f>SUMIFS(#REF!,#REF!,$B191,#REF!,J$1)</f>
        <v>#REF!</v>
      </c>
      <c r="K191" s="24" t="e">
        <f>SUMIFS(#REF!,#REF!,$B191,#REF!,K$1)</f>
        <v>#REF!</v>
      </c>
      <c r="L191" s="24" t="e">
        <f>SUMIFS(#REF!,#REF!,$B191,#REF!,L$1)</f>
        <v>#REF!</v>
      </c>
      <c r="M191" s="24" t="e">
        <f>SUMIFS(#REF!,#REF!,$B191,#REF!,M$1)</f>
        <v>#REF!</v>
      </c>
      <c r="N191" s="24" t="e">
        <f>SUMIFS(#REF!,#REF!,$B191,#REF!,N$1)</f>
        <v>#REF!</v>
      </c>
      <c r="O191" s="24" t="e">
        <f>SUMIFS(#REF!,#REF!,$B191,#REF!,O$1)</f>
        <v>#REF!</v>
      </c>
      <c r="P191" s="24" t="e">
        <f>SUMIFS(#REF!,#REF!,$B191,#REF!,P$1)</f>
        <v>#REF!</v>
      </c>
      <c r="Q191" s="24" t="e">
        <f>SUMIFS(#REF!,#REF!,$B191,#REF!,Q$1)</f>
        <v>#REF!</v>
      </c>
      <c r="R191" s="24" t="e">
        <f>SUMIFS(#REF!,#REF!,$B191,#REF!,R$1)</f>
        <v>#REF!</v>
      </c>
      <c r="S191" s="24" t="e">
        <f>SUMIFS(#REF!,#REF!,$B191,#REF!,S$1)</f>
        <v>#REF!</v>
      </c>
      <c r="T191" s="24" t="e">
        <f>SUMIFS(#REF!,#REF!,$B191,#REF!,T$1)</f>
        <v>#REF!</v>
      </c>
      <c r="U191" s="24" t="e">
        <f>SUMIFS(#REF!,#REF!,$B191,#REF!,U$1)</f>
        <v>#REF!</v>
      </c>
      <c r="V191" s="24" t="e">
        <f>SUMIFS(#REF!,#REF!,$B191,#REF!,V$1)</f>
        <v>#REF!</v>
      </c>
      <c r="W191" s="24" t="e">
        <f>SUMIFS(#REF!,#REF!,$B191,#REF!,W$1)</f>
        <v>#REF!</v>
      </c>
      <c r="X191" s="24" t="e">
        <f>SUMIFS(#REF!,#REF!,$B191,#REF!,X$1)</f>
        <v>#REF!</v>
      </c>
      <c r="Y191" s="24" t="e">
        <f>SUMIFS(#REF!,#REF!,$B191,#REF!,Y$1)</f>
        <v>#REF!</v>
      </c>
      <c r="Z191" s="24" t="e">
        <f>SUMIFS(#REF!,#REF!,$B191,#REF!,Z$1)</f>
        <v>#REF!</v>
      </c>
      <c r="AA191" s="24" t="e">
        <f>SUMIFS(#REF!,#REF!,$B191,#REF!,AA$1)</f>
        <v>#REF!</v>
      </c>
      <c r="AB191" s="24" t="e">
        <f>SUMIFS(#REF!,#REF!,$B191,#REF!,AB$1)</f>
        <v>#REF!</v>
      </c>
      <c r="AC191" s="24" t="e">
        <f>SUMIFS(#REF!,#REF!,$B191,#REF!,AC$1)</f>
        <v>#REF!</v>
      </c>
      <c r="AD191" s="24" t="e">
        <f>SUMIFS(#REF!,#REF!,$B191,#REF!,AD$1)</f>
        <v>#REF!</v>
      </c>
      <c r="AE191" s="24" t="e">
        <f>SUMIFS(#REF!,#REF!,$B191,#REF!,AE$1)</f>
        <v>#REF!</v>
      </c>
      <c r="AF191" s="24" t="e">
        <f>SUMIFS(#REF!,#REF!,$B191,#REF!,AF$1)</f>
        <v>#REF!</v>
      </c>
      <c r="AG191" s="24" t="e">
        <f>SUMIFS(#REF!,#REF!,$B191,#REF!,AG$1)</f>
        <v>#REF!</v>
      </c>
      <c r="AH191" s="24" t="e">
        <f>SUMIFS(#REF!,#REF!,$B191,#REF!,AH$1)</f>
        <v>#REF!</v>
      </c>
      <c r="AI191" s="24" t="e">
        <f>SUMIFS(#REF!,#REF!,$B191,#REF!,AI$1)</f>
        <v>#REF!</v>
      </c>
      <c r="AJ191" s="24" t="e">
        <f>SUMIFS(#REF!,#REF!,$B191,#REF!,AJ$1)</f>
        <v>#REF!</v>
      </c>
      <c r="AK191" s="24" t="e">
        <f>SUMIFS(#REF!,#REF!,$B191,#REF!,AK$1)</f>
        <v>#REF!</v>
      </c>
      <c r="AL191" s="24" t="e">
        <f>SUMIFS(#REF!,#REF!,$B191,#REF!,AL$1)</f>
        <v>#REF!</v>
      </c>
      <c r="AM191" s="24" t="e">
        <f>SUMIFS(#REF!,#REF!,$B191,#REF!,AM$1)</f>
        <v>#REF!</v>
      </c>
      <c r="AN191" s="24" t="e">
        <f>SUMIFS(#REF!,#REF!,$B191,#REF!,AN$1)</f>
        <v>#REF!</v>
      </c>
      <c r="AO191" s="24" t="e">
        <f>SUMIFS(#REF!,#REF!,$B191,#REF!,AO$1)</f>
        <v>#REF!</v>
      </c>
      <c r="AP191" s="24" t="e">
        <f>SUMIFS(#REF!,#REF!,$B191,#REF!,AP$1)</f>
        <v>#REF!</v>
      </c>
      <c r="AQ191" s="24" t="e">
        <f>SUMIFS(#REF!,#REF!,$B191,#REF!,AQ$1)</f>
        <v>#REF!</v>
      </c>
      <c r="AR191" s="24" t="e">
        <f>SUMIFS(#REF!,#REF!,$B191,#REF!,AR$1)</f>
        <v>#REF!</v>
      </c>
      <c r="AS191" s="24" t="e">
        <f>SUMIFS(#REF!,#REF!,$B191,#REF!,AS$1)</f>
        <v>#REF!</v>
      </c>
      <c r="AT191" s="24" t="e">
        <f>SUMIFS(#REF!,#REF!,$B191,#REF!,AT$1)</f>
        <v>#REF!</v>
      </c>
      <c r="AU191" s="24" t="e">
        <f>SUMIFS(#REF!,#REF!,$B191,#REF!,AU$1)</f>
        <v>#REF!</v>
      </c>
      <c r="AV191" s="24" t="e">
        <f>SUMIFS(#REF!,#REF!,$B191,#REF!,AV$1)</f>
        <v>#REF!</v>
      </c>
      <c r="AW191" s="24" t="e">
        <f>SUMIFS(#REF!,#REF!,$B191,#REF!,AW$1)</f>
        <v>#REF!</v>
      </c>
      <c r="AX191" s="24" t="e">
        <f>SUMIFS(#REF!,#REF!,$B191,#REF!,AX$1)</f>
        <v>#REF!</v>
      </c>
      <c r="AY191" s="24" t="e">
        <f>SUMIFS(#REF!,#REF!,$B191,#REF!,AY$1)</f>
        <v>#REF!</v>
      </c>
      <c r="AZ191" s="24" t="e">
        <f>SUMIFS(#REF!,#REF!,$B191,#REF!,AZ$1)</f>
        <v>#REF!</v>
      </c>
      <c r="BA191" s="24" t="e">
        <f>SUMIFS(#REF!,#REF!,$B191,#REF!,BA$1)</f>
        <v>#REF!</v>
      </c>
      <c r="BB191" s="24" t="e">
        <f>SUMIFS(#REF!,#REF!,$B191,#REF!,BB$1)</f>
        <v>#REF!</v>
      </c>
      <c r="BC191" s="24" t="e">
        <f>SUMIFS(#REF!,#REF!,$B191,#REF!,BC$1)</f>
        <v>#REF!</v>
      </c>
      <c r="BD191" s="24" t="e">
        <f>SUMIFS(#REF!,#REF!,$B191,#REF!,BD$1)</f>
        <v>#REF!</v>
      </c>
      <c r="BE191" s="24" t="e">
        <f>SUMIFS(#REF!,#REF!,$B191,#REF!,BE$1)</f>
        <v>#REF!</v>
      </c>
      <c r="BF191" s="24" t="e">
        <f>SUMIFS(#REF!,#REF!,$B191,#REF!,BF$1)</f>
        <v>#REF!</v>
      </c>
      <c r="BG191" s="24" t="e">
        <f>SUMIFS(#REF!,#REF!,$B191,#REF!,BG$1)</f>
        <v>#REF!</v>
      </c>
      <c r="BH191" s="24" t="e">
        <f>SUMIFS(#REF!,#REF!,$B191,#REF!,BH$1)</f>
        <v>#REF!</v>
      </c>
      <c r="BI191" s="24" t="e">
        <f>SUMIFS(#REF!,#REF!,$B191,#REF!,BI$1)</f>
        <v>#REF!</v>
      </c>
      <c r="BJ191" s="24" t="e">
        <f>SUMIFS(#REF!,#REF!,$B191,#REF!,BJ$1)</f>
        <v>#REF!</v>
      </c>
      <c r="BK191" s="24" t="e">
        <f>SUMIFS(#REF!,#REF!,$B191,#REF!,BK$1)</f>
        <v>#REF!</v>
      </c>
      <c r="BL191" s="24" t="e">
        <f>SUMIFS(#REF!,#REF!,$B191,#REF!,BL$1)</f>
        <v>#REF!</v>
      </c>
      <c r="BM191" s="24" t="e">
        <f>SUMIFS(#REF!,#REF!,$B191,#REF!,BM$1)</f>
        <v>#REF!</v>
      </c>
      <c r="BN191" s="24" t="e">
        <f>SUMIFS(#REF!,#REF!,$B191,#REF!,BN$1)</f>
        <v>#REF!</v>
      </c>
      <c r="BO191" s="24" t="e">
        <f>SUMIFS(#REF!,#REF!,$B191,#REF!,BO$1)</f>
        <v>#REF!</v>
      </c>
      <c r="BP191" s="24" t="e">
        <f>SUMIFS(#REF!,#REF!,$B191,#REF!,BP$1)</f>
        <v>#REF!</v>
      </c>
      <c r="BQ191" s="24" t="e">
        <f>SUMIFS(#REF!,#REF!,$B191,#REF!,BQ$1)</f>
        <v>#REF!</v>
      </c>
      <c r="BR191" s="24" t="e">
        <f>SUMIFS(#REF!,#REF!,$B191,#REF!,BR$1)</f>
        <v>#REF!</v>
      </c>
      <c r="BS191" s="24" t="e">
        <f>SUMIFS(#REF!,#REF!,$B191,#REF!,BS$1)</f>
        <v>#REF!</v>
      </c>
      <c r="BT191" s="24" t="e">
        <f>SUMIFS(#REF!,#REF!,$B191,#REF!,BT$1)</f>
        <v>#REF!</v>
      </c>
      <c r="BU191" s="24" t="e">
        <f>SUMIFS(#REF!,#REF!,$B191,#REF!,BU$1)</f>
        <v>#REF!</v>
      </c>
      <c r="BV191" s="24" t="e">
        <f>SUMIFS(#REF!,#REF!,$B191,#REF!,BV$1)</f>
        <v>#REF!</v>
      </c>
      <c r="BW191" s="24" t="e">
        <f>SUMIFS(#REF!,#REF!,$B191,#REF!,BW$1)</f>
        <v>#REF!</v>
      </c>
      <c r="BX191" s="24" t="e">
        <f>SUMIFS(#REF!,#REF!,$B191,#REF!,BX$1)</f>
        <v>#REF!</v>
      </c>
      <c r="BY191" s="24" t="e">
        <f>SUMIFS(#REF!,#REF!,$B191,#REF!,BY$1)</f>
        <v>#REF!</v>
      </c>
      <c r="BZ191" s="24" t="e">
        <f>SUMIFS(#REF!,#REF!,$B191,#REF!,BZ$1)</f>
        <v>#REF!</v>
      </c>
      <c r="CA191" s="24" t="e">
        <f>SUMIFS(#REF!,#REF!,$B191,#REF!,CA$1)</f>
        <v>#REF!</v>
      </c>
      <c r="CB191" s="24" t="e">
        <f>SUMIFS(#REF!,#REF!,$B191,#REF!,CB$1)</f>
        <v>#REF!</v>
      </c>
      <c r="CC191" s="24" t="e">
        <f>SUMIFS(#REF!,#REF!,$B191,#REF!,CC$1)</f>
        <v>#REF!</v>
      </c>
      <c r="CD191" s="24" t="e">
        <f>SUMIFS(#REF!,#REF!,$B191,#REF!,CD$1)</f>
        <v>#REF!</v>
      </c>
      <c r="CE191" s="24" t="e">
        <f>SUMIFS(#REF!,#REF!,$B191,#REF!,CE$1)</f>
        <v>#REF!</v>
      </c>
      <c r="CF191" s="24" t="e">
        <f>SUMIFS(#REF!,#REF!,$B191,#REF!,CF$1)</f>
        <v>#REF!</v>
      </c>
      <c r="CG191" s="19" t="e">
        <f t="shared" si="2"/>
        <v>#REF!</v>
      </c>
    </row>
    <row r="192" spans="1:85" x14ac:dyDescent="0.45">
      <c r="A192" s="4" t="s">
        <v>1366</v>
      </c>
      <c r="B192" s="4" t="s">
        <v>1367</v>
      </c>
      <c r="C192" s="24" t="e">
        <f>SUMIFS(#REF!,#REF!,$B192,#REF!,C$1)</f>
        <v>#REF!</v>
      </c>
      <c r="D192" s="24" t="e">
        <f>SUMIFS(#REF!,#REF!,$B192,#REF!,D$1)</f>
        <v>#REF!</v>
      </c>
      <c r="E192" s="24" t="e">
        <f>SUMIFS(#REF!,#REF!,$B192,#REF!,E$1)</f>
        <v>#REF!</v>
      </c>
      <c r="F192" s="24" t="e">
        <f>SUMIFS(#REF!,#REF!,$B192,#REF!,F$1)</f>
        <v>#REF!</v>
      </c>
      <c r="G192" s="24" t="e">
        <f>SUMIFS(#REF!,#REF!,$B192,#REF!,G$1)</f>
        <v>#REF!</v>
      </c>
      <c r="H192" s="24" t="e">
        <f>SUMIFS(#REF!,#REF!,$B192,#REF!,H$1)</f>
        <v>#REF!</v>
      </c>
      <c r="I192" s="24" t="e">
        <f>SUMIFS(#REF!,#REF!,$B192,#REF!,I$1)</f>
        <v>#REF!</v>
      </c>
      <c r="J192" s="24" t="e">
        <f>SUMIFS(#REF!,#REF!,$B192,#REF!,J$1)</f>
        <v>#REF!</v>
      </c>
      <c r="K192" s="24" t="e">
        <f>SUMIFS(#REF!,#REF!,$B192,#REF!,K$1)</f>
        <v>#REF!</v>
      </c>
      <c r="L192" s="24" t="e">
        <f>SUMIFS(#REF!,#REF!,$B192,#REF!,L$1)</f>
        <v>#REF!</v>
      </c>
      <c r="M192" s="24" t="e">
        <f>SUMIFS(#REF!,#REF!,$B192,#REF!,M$1)</f>
        <v>#REF!</v>
      </c>
      <c r="N192" s="24" t="e">
        <f>SUMIFS(#REF!,#REF!,$B192,#REF!,N$1)</f>
        <v>#REF!</v>
      </c>
      <c r="O192" s="24" t="e">
        <f>SUMIFS(#REF!,#REF!,$B192,#REF!,O$1)</f>
        <v>#REF!</v>
      </c>
      <c r="P192" s="24" t="e">
        <f>SUMIFS(#REF!,#REF!,$B192,#REF!,P$1)</f>
        <v>#REF!</v>
      </c>
      <c r="Q192" s="24" t="e">
        <f>SUMIFS(#REF!,#REF!,$B192,#REF!,Q$1)</f>
        <v>#REF!</v>
      </c>
      <c r="R192" s="24" t="e">
        <f>SUMIFS(#REF!,#REF!,$B192,#REF!,R$1)</f>
        <v>#REF!</v>
      </c>
      <c r="S192" s="24" t="e">
        <f>SUMIFS(#REF!,#REF!,$B192,#REF!,S$1)</f>
        <v>#REF!</v>
      </c>
      <c r="T192" s="24" t="e">
        <f>SUMIFS(#REF!,#REF!,$B192,#REF!,T$1)</f>
        <v>#REF!</v>
      </c>
      <c r="U192" s="24" t="e">
        <f>SUMIFS(#REF!,#REF!,$B192,#REF!,U$1)</f>
        <v>#REF!</v>
      </c>
      <c r="V192" s="24" t="e">
        <f>SUMIFS(#REF!,#REF!,$B192,#REF!,V$1)</f>
        <v>#REF!</v>
      </c>
      <c r="W192" s="24" t="e">
        <f>SUMIFS(#REF!,#REF!,$B192,#REF!,W$1)</f>
        <v>#REF!</v>
      </c>
      <c r="X192" s="24" t="e">
        <f>SUMIFS(#REF!,#REF!,$B192,#REF!,X$1)</f>
        <v>#REF!</v>
      </c>
      <c r="Y192" s="24" t="e">
        <f>SUMIFS(#REF!,#REF!,$B192,#REF!,Y$1)</f>
        <v>#REF!</v>
      </c>
      <c r="Z192" s="24" t="e">
        <f>SUMIFS(#REF!,#REF!,$B192,#REF!,Z$1)</f>
        <v>#REF!</v>
      </c>
      <c r="AA192" s="24" t="e">
        <f>SUMIFS(#REF!,#REF!,$B192,#REF!,AA$1)</f>
        <v>#REF!</v>
      </c>
      <c r="AB192" s="24" t="e">
        <f>SUMIFS(#REF!,#REF!,$B192,#REF!,AB$1)</f>
        <v>#REF!</v>
      </c>
      <c r="AC192" s="24" t="e">
        <f>SUMIFS(#REF!,#REF!,$B192,#REF!,AC$1)</f>
        <v>#REF!</v>
      </c>
      <c r="AD192" s="24" t="e">
        <f>SUMIFS(#REF!,#REF!,$B192,#REF!,AD$1)</f>
        <v>#REF!</v>
      </c>
      <c r="AE192" s="24" t="e">
        <f>SUMIFS(#REF!,#REF!,$B192,#REF!,AE$1)</f>
        <v>#REF!</v>
      </c>
      <c r="AF192" s="24" t="e">
        <f>SUMIFS(#REF!,#REF!,$B192,#REF!,AF$1)</f>
        <v>#REF!</v>
      </c>
      <c r="AG192" s="24" t="e">
        <f>SUMIFS(#REF!,#REF!,$B192,#REF!,AG$1)</f>
        <v>#REF!</v>
      </c>
      <c r="AH192" s="24" t="e">
        <f>SUMIFS(#REF!,#REF!,$B192,#REF!,AH$1)</f>
        <v>#REF!</v>
      </c>
      <c r="AI192" s="24" t="e">
        <f>SUMIFS(#REF!,#REF!,$B192,#REF!,AI$1)</f>
        <v>#REF!</v>
      </c>
      <c r="AJ192" s="24" t="e">
        <f>SUMIFS(#REF!,#REF!,$B192,#REF!,AJ$1)</f>
        <v>#REF!</v>
      </c>
      <c r="AK192" s="24" t="e">
        <f>SUMIFS(#REF!,#REF!,$B192,#REF!,AK$1)</f>
        <v>#REF!</v>
      </c>
      <c r="AL192" s="24" t="e">
        <f>SUMIFS(#REF!,#REF!,$B192,#REF!,AL$1)</f>
        <v>#REF!</v>
      </c>
      <c r="AM192" s="24" t="e">
        <f>SUMIFS(#REF!,#REF!,$B192,#REF!,AM$1)</f>
        <v>#REF!</v>
      </c>
      <c r="AN192" s="24" t="e">
        <f>SUMIFS(#REF!,#REF!,$B192,#REF!,AN$1)</f>
        <v>#REF!</v>
      </c>
      <c r="AO192" s="24" t="e">
        <f>SUMIFS(#REF!,#REF!,$B192,#REF!,AO$1)</f>
        <v>#REF!</v>
      </c>
      <c r="AP192" s="24" t="e">
        <f>SUMIFS(#REF!,#REF!,$B192,#REF!,AP$1)</f>
        <v>#REF!</v>
      </c>
      <c r="AQ192" s="24" t="e">
        <f>SUMIFS(#REF!,#REF!,$B192,#REF!,AQ$1)</f>
        <v>#REF!</v>
      </c>
      <c r="AR192" s="24" t="e">
        <f>SUMIFS(#REF!,#REF!,$B192,#REF!,AR$1)</f>
        <v>#REF!</v>
      </c>
      <c r="AS192" s="24" t="e">
        <f>SUMIFS(#REF!,#REF!,$B192,#REF!,AS$1)</f>
        <v>#REF!</v>
      </c>
      <c r="AT192" s="24" t="e">
        <f>SUMIFS(#REF!,#REF!,$B192,#REF!,AT$1)</f>
        <v>#REF!</v>
      </c>
      <c r="AU192" s="24" t="e">
        <f>SUMIFS(#REF!,#REF!,$B192,#REF!,AU$1)</f>
        <v>#REF!</v>
      </c>
      <c r="AV192" s="24" t="e">
        <f>SUMIFS(#REF!,#REF!,$B192,#REF!,AV$1)</f>
        <v>#REF!</v>
      </c>
      <c r="AW192" s="24" t="e">
        <f>SUMIFS(#REF!,#REF!,$B192,#REF!,AW$1)</f>
        <v>#REF!</v>
      </c>
      <c r="AX192" s="24" t="e">
        <f>SUMIFS(#REF!,#REF!,$B192,#REF!,AX$1)</f>
        <v>#REF!</v>
      </c>
      <c r="AY192" s="24" t="e">
        <f>SUMIFS(#REF!,#REF!,$B192,#REF!,AY$1)</f>
        <v>#REF!</v>
      </c>
      <c r="AZ192" s="24" t="e">
        <f>SUMIFS(#REF!,#REF!,$B192,#REF!,AZ$1)</f>
        <v>#REF!</v>
      </c>
      <c r="BA192" s="24" t="e">
        <f>SUMIFS(#REF!,#REF!,$B192,#REF!,BA$1)</f>
        <v>#REF!</v>
      </c>
      <c r="BB192" s="24" t="e">
        <f>SUMIFS(#REF!,#REF!,$B192,#REF!,BB$1)</f>
        <v>#REF!</v>
      </c>
      <c r="BC192" s="24" t="e">
        <f>SUMIFS(#REF!,#REF!,$B192,#REF!,BC$1)</f>
        <v>#REF!</v>
      </c>
      <c r="BD192" s="24" t="e">
        <f>SUMIFS(#REF!,#REF!,$B192,#REF!,BD$1)</f>
        <v>#REF!</v>
      </c>
      <c r="BE192" s="24" t="e">
        <f>SUMIFS(#REF!,#REF!,$B192,#REF!,BE$1)</f>
        <v>#REF!</v>
      </c>
      <c r="BF192" s="24" t="e">
        <f>SUMIFS(#REF!,#REF!,$B192,#REF!,BF$1)</f>
        <v>#REF!</v>
      </c>
      <c r="BG192" s="24" t="e">
        <f>SUMIFS(#REF!,#REF!,$B192,#REF!,BG$1)</f>
        <v>#REF!</v>
      </c>
      <c r="BH192" s="24" t="e">
        <f>SUMIFS(#REF!,#REF!,$B192,#REF!,BH$1)</f>
        <v>#REF!</v>
      </c>
      <c r="BI192" s="24" t="e">
        <f>SUMIFS(#REF!,#REF!,$B192,#REF!,BI$1)</f>
        <v>#REF!</v>
      </c>
      <c r="BJ192" s="24" t="e">
        <f>SUMIFS(#REF!,#REF!,$B192,#REF!,BJ$1)</f>
        <v>#REF!</v>
      </c>
      <c r="BK192" s="24" t="e">
        <f>SUMIFS(#REF!,#REF!,$B192,#REF!,BK$1)</f>
        <v>#REF!</v>
      </c>
      <c r="BL192" s="24" t="e">
        <f>SUMIFS(#REF!,#REF!,$B192,#REF!,BL$1)</f>
        <v>#REF!</v>
      </c>
      <c r="BM192" s="24" t="e">
        <f>SUMIFS(#REF!,#REF!,$B192,#REF!,BM$1)</f>
        <v>#REF!</v>
      </c>
      <c r="BN192" s="24" t="e">
        <f>SUMIFS(#REF!,#REF!,$B192,#REF!,BN$1)</f>
        <v>#REF!</v>
      </c>
      <c r="BO192" s="24" t="e">
        <f>SUMIFS(#REF!,#REF!,$B192,#REF!,BO$1)</f>
        <v>#REF!</v>
      </c>
      <c r="BP192" s="24" t="e">
        <f>SUMIFS(#REF!,#REF!,$B192,#REF!,BP$1)</f>
        <v>#REF!</v>
      </c>
      <c r="BQ192" s="24" t="e">
        <f>SUMIFS(#REF!,#REF!,$B192,#REF!,BQ$1)</f>
        <v>#REF!</v>
      </c>
      <c r="BR192" s="24" t="e">
        <f>SUMIFS(#REF!,#REF!,$B192,#REF!,BR$1)</f>
        <v>#REF!</v>
      </c>
      <c r="BS192" s="24" t="e">
        <f>SUMIFS(#REF!,#REF!,$B192,#REF!,BS$1)</f>
        <v>#REF!</v>
      </c>
      <c r="BT192" s="24" t="e">
        <f>SUMIFS(#REF!,#REF!,$B192,#REF!,BT$1)</f>
        <v>#REF!</v>
      </c>
      <c r="BU192" s="24" t="e">
        <f>SUMIFS(#REF!,#REF!,$B192,#REF!,BU$1)</f>
        <v>#REF!</v>
      </c>
      <c r="BV192" s="24" t="e">
        <f>SUMIFS(#REF!,#REF!,$B192,#REF!,BV$1)</f>
        <v>#REF!</v>
      </c>
      <c r="BW192" s="24" t="e">
        <f>SUMIFS(#REF!,#REF!,$B192,#REF!,BW$1)</f>
        <v>#REF!</v>
      </c>
      <c r="BX192" s="24" t="e">
        <f>SUMIFS(#REF!,#REF!,$B192,#REF!,BX$1)</f>
        <v>#REF!</v>
      </c>
      <c r="BY192" s="24" t="e">
        <f>SUMIFS(#REF!,#REF!,$B192,#REF!,BY$1)</f>
        <v>#REF!</v>
      </c>
      <c r="BZ192" s="24" t="e">
        <f>SUMIFS(#REF!,#REF!,$B192,#REF!,BZ$1)</f>
        <v>#REF!</v>
      </c>
      <c r="CA192" s="24" t="e">
        <f>SUMIFS(#REF!,#REF!,$B192,#REF!,CA$1)</f>
        <v>#REF!</v>
      </c>
      <c r="CB192" s="24" t="e">
        <f>SUMIFS(#REF!,#REF!,$B192,#REF!,CB$1)</f>
        <v>#REF!</v>
      </c>
      <c r="CC192" s="24" t="e">
        <f>SUMIFS(#REF!,#REF!,$B192,#REF!,CC$1)</f>
        <v>#REF!</v>
      </c>
      <c r="CD192" s="24" t="e">
        <f>SUMIFS(#REF!,#REF!,$B192,#REF!,CD$1)</f>
        <v>#REF!</v>
      </c>
      <c r="CE192" s="24" t="e">
        <f>SUMIFS(#REF!,#REF!,$B192,#REF!,CE$1)</f>
        <v>#REF!</v>
      </c>
      <c r="CF192" s="24" t="e">
        <f>SUMIFS(#REF!,#REF!,$B192,#REF!,CF$1)</f>
        <v>#REF!</v>
      </c>
      <c r="CG192" s="19" t="e">
        <f t="shared" si="2"/>
        <v>#REF!</v>
      </c>
    </row>
    <row r="193" spans="1:85" x14ac:dyDescent="0.45">
      <c r="A193" s="4" t="s">
        <v>1368</v>
      </c>
      <c r="B193" s="4" t="s">
        <v>1369</v>
      </c>
      <c r="C193" s="24" t="e">
        <f>SUMIFS(#REF!,#REF!,$B193,#REF!,C$1)</f>
        <v>#REF!</v>
      </c>
      <c r="D193" s="24" t="e">
        <f>SUMIFS(#REF!,#REF!,$B193,#REF!,D$1)</f>
        <v>#REF!</v>
      </c>
      <c r="E193" s="24" t="e">
        <f>SUMIFS(#REF!,#REF!,$B193,#REF!,E$1)</f>
        <v>#REF!</v>
      </c>
      <c r="F193" s="24" t="e">
        <f>SUMIFS(#REF!,#REF!,$B193,#REF!,F$1)</f>
        <v>#REF!</v>
      </c>
      <c r="G193" s="24" t="e">
        <f>SUMIFS(#REF!,#REF!,$B193,#REF!,G$1)</f>
        <v>#REF!</v>
      </c>
      <c r="H193" s="24" t="e">
        <f>SUMIFS(#REF!,#REF!,$B193,#REF!,H$1)</f>
        <v>#REF!</v>
      </c>
      <c r="I193" s="24" t="e">
        <f>SUMIFS(#REF!,#REF!,$B193,#REF!,I$1)</f>
        <v>#REF!</v>
      </c>
      <c r="J193" s="24" t="e">
        <f>SUMIFS(#REF!,#REF!,$B193,#REF!,J$1)</f>
        <v>#REF!</v>
      </c>
      <c r="K193" s="24" t="e">
        <f>SUMIFS(#REF!,#REF!,$B193,#REF!,K$1)</f>
        <v>#REF!</v>
      </c>
      <c r="L193" s="24" t="e">
        <f>SUMIFS(#REF!,#REF!,$B193,#REF!,L$1)</f>
        <v>#REF!</v>
      </c>
      <c r="M193" s="24" t="e">
        <f>SUMIFS(#REF!,#REF!,$B193,#REF!,M$1)</f>
        <v>#REF!</v>
      </c>
      <c r="N193" s="24" t="e">
        <f>SUMIFS(#REF!,#REF!,$B193,#REF!,N$1)</f>
        <v>#REF!</v>
      </c>
      <c r="O193" s="24" t="e">
        <f>SUMIFS(#REF!,#REF!,$B193,#REF!,O$1)</f>
        <v>#REF!</v>
      </c>
      <c r="P193" s="24" t="e">
        <f>SUMIFS(#REF!,#REF!,$B193,#REF!,P$1)</f>
        <v>#REF!</v>
      </c>
      <c r="Q193" s="24" t="e">
        <f>SUMIFS(#REF!,#REF!,$B193,#REF!,Q$1)</f>
        <v>#REF!</v>
      </c>
      <c r="R193" s="24" t="e">
        <f>SUMIFS(#REF!,#REF!,$B193,#REF!,R$1)</f>
        <v>#REF!</v>
      </c>
      <c r="S193" s="24" t="e">
        <f>SUMIFS(#REF!,#REF!,$B193,#REF!,S$1)</f>
        <v>#REF!</v>
      </c>
      <c r="T193" s="24" t="e">
        <f>SUMIFS(#REF!,#REF!,$B193,#REF!,T$1)</f>
        <v>#REF!</v>
      </c>
      <c r="U193" s="24" t="e">
        <f>SUMIFS(#REF!,#REF!,$B193,#REF!,U$1)</f>
        <v>#REF!</v>
      </c>
      <c r="V193" s="24" t="e">
        <f>SUMIFS(#REF!,#REF!,$B193,#REF!,V$1)</f>
        <v>#REF!</v>
      </c>
      <c r="W193" s="24" t="e">
        <f>SUMIFS(#REF!,#REF!,$B193,#REF!,W$1)</f>
        <v>#REF!</v>
      </c>
      <c r="X193" s="24" t="e">
        <f>SUMIFS(#REF!,#REF!,$B193,#REF!,X$1)</f>
        <v>#REF!</v>
      </c>
      <c r="Y193" s="24" t="e">
        <f>SUMIFS(#REF!,#REF!,$B193,#REF!,Y$1)</f>
        <v>#REF!</v>
      </c>
      <c r="Z193" s="24" t="e">
        <f>SUMIFS(#REF!,#REF!,$B193,#REF!,Z$1)</f>
        <v>#REF!</v>
      </c>
      <c r="AA193" s="24" t="e">
        <f>SUMIFS(#REF!,#REF!,$B193,#REF!,AA$1)</f>
        <v>#REF!</v>
      </c>
      <c r="AB193" s="24" t="e">
        <f>SUMIFS(#REF!,#REF!,$B193,#REF!,AB$1)</f>
        <v>#REF!</v>
      </c>
      <c r="AC193" s="24" t="e">
        <f>SUMIFS(#REF!,#REF!,$B193,#REF!,AC$1)</f>
        <v>#REF!</v>
      </c>
      <c r="AD193" s="24" t="e">
        <f>SUMIFS(#REF!,#REF!,$B193,#REF!,AD$1)</f>
        <v>#REF!</v>
      </c>
      <c r="AE193" s="24" t="e">
        <f>SUMIFS(#REF!,#REF!,$B193,#REF!,AE$1)</f>
        <v>#REF!</v>
      </c>
      <c r="AF193" s="24" t="e">
        <f>SUMIFS(#REF!,#REF!,$B193,#REF!,AF$1)</f>
        <v>#REF!</v>
      </c>
      <c r="AG193" s="24" t="e">
        <f>SUMIFS(#REF!,#REF!,$B193,#REF!,AG$1)</f>
        <v>#REF!</v>
      </c>
      <c r="AH193" s="24" t="e">
        <f>SUMIFS(#REF!,#REF!,$B193,#REF!,AH$1)</f>
        <v>#REF!</v>
      </c>
      <c r="AI193" s="24" t="e">
        <f>SUMIFS(#REF!,#REF!,$B193,#REF!,AI$1)</f>
        <v>#REF!</v>
      </c>
      <c r="AJ193" s="24" t="e">
        <f>SUMIFS(#REF!,#REF!,$B193,#REF!,AJ$1)</f>
        <v>#REF!</v>
      </c>
      <c r="AK193" s="24" t="e">
        <f>SUMIFS(#REF!,#REF!,$B193,#REF!,AK$1)</f>
        <v>#REF!</v>
      </c>
      <c r="AL193" s="24" t="e">
        <f>SUMIFS(#REF!,#REF!,$B193,#REF!,AL$1)</f>
        <v>#REF!</v>
      </c>
      <c r="AM193" s="24" t="e">
        <f>SUMIFS(#REF!,#REF!,$B193,#REF!,AM$1)</f>
        <v>#REF!</v>
      </c>
      <c r="AN193" s="24" t="e">
        <f>SUMIFS(#REF!,#REF!,$B193,#REF!,AN$1)</f>
        <v>#REF!</v>
      </c>
      <c r="AO193" s="24" t="e">
        <f>SUMIFS(#REF!,#REF!,$B193,#REF!,AO$1)</f>
        <v>#REF!</v>
      </c>
      <c r="AP193" s="24" t="e">
        <f>SUMIFS(#REF!,#REF!,$B193,#REF!,AP$1)</f>
        <v>#REF!</v>
      </c>
      <c r="AQ193" s="24" t="e">
        <f>SUMIFS(#REF!,#REF!,$B193,#REF!,AQ$1)</f>
        <v>#REF!</v>
      </c>
      <c r="AR193" s="24" t="e">
        <f>SUMIFS(#REF!,#REF!,$B193,#REF!,AR$1)</f>
        <v>#REF!</v>
      </c>
      <c r="AS193" s="24" t="e">
        <f>SUMIFS(#REF!,#REF!,$B193,#REF!,AS$1)</f>
        <v>#REF!</v>
      </c>
      <c r="AT193" s="24" t="e">
        <f>SUMIFS(#REF!,#REF!,$B193,#REF!,AT$1)</f>
        <v>#REF!</v>
      </c>
      <c r="AU193" s="24" t="e">
        <f>SUMIFS(#REF!,#REF!,$B193,#REF!,AU$1)</f>
        <v>#REF!</v>
      </c>
      <c r="AV193" s="24" t="e">
        <f>SUMIFS(#REF!,#REF!,$B193,#REF!,AV$1)</f>
        <v>#REF!</v>
      </c>
      <c r="AW193" s="24" t="e">
        <f>SUMIFS(#REF!,#REF!,$B193,#REF!,AW$1)</f>
        <v>#REF!</v>
      </c>
      <c r="AX193" s="24" t="e">
        <f>SUMIFS(#REF!,#REF!,$B193,#REF!,AX$1)</f>
        <v>#REF!</v>
      </c>
      <c r="AY193" s="24" t="e">
        <f>SUMIFS(#REF!,#REF!,$B193,#REF!,AY$1)</f>
        <v>#REF!</v>
      </c>
      <c r="AZ193" s="24" t="e">
        <f>SUMIFS(#REF!,#REF!,$B193,#REF!,AZ$1)</f>
        <v>#REF!</v>
      </c>
      <c r="BA193" s="24" t="e">
        <f>SUMIFS(#REF!,#REF!,$B193,#REF!,BA$1)</f>
        <v>#REF!</v>
      </c>
      <c r="BB193" s="24" t="e">
        <f>SUMIFS(#REF!,#REF!,$B193,#REF!,BB$1)</f>
        <v>#REF!</v>
      </c>
      <c r="BC193" s="24" t="e">
        <f>SUMIFS(#REF!,#REF!,$B193,#REF!,BC$1)</f>
        <v>#REF!</v>
      </c>
      <c r="BD193" s="24" t="e">
        <f>SUMIFS(#REF!,#REF!,$B193,#REF!,BD$1)</f>
        <v>#REF!</v>
      </c>
      <c r="BE193" s="24" t="e">
        <f>SUMIFS(#REF!,#REF!,$B193,#REF!,BE$1)</f>
        <v>#REF!</v>
      </c>
      <c r="BF193" s="24" t="e">
        <f>SUMIFS(#REF!,#REF!,$B193,#REF!,BF$1)</f>
        <v>#REF!</v>
      </c>
      <c r="BG193" s="24" t="e">
        <f>SUMIFS(#REF!,#REF!,$B193,#REF!,BG$1)</f>
        <v>#REF!</v>
      </c>
      <c r="BH193" s="24" t="e">
        <f>SUMIFS(#REF!,#REF!,$B193,#REF!,BH$1)</f>
        <v>#REF!</v>
      </c>
      <c r="BI193" s="24" t="e">
        <f>SUMIFS(#REF!,#REF!,$B193,#REF!,BI$1)</f>
        <v>#REF!</v>
      </c>
      <c r="BJ193" s="24" t="e">
        <f>SUMIFS(#REF!,#REF!,$B193,#REF!,BJ$1)</f>
        <v>#REF!</v>
      </c>
      <c r="BK193" s="24" t="e">
        <f>SUMIFS(#REF!,#REF!,$B193,#REF!,BK$1)</f>
        <v>#REF!</v>
      </c>
      <c r="BL193" s="24" t="e">
        <f>SUMIFS(#REF!,#REF!,$B193,#REF!,BL$1)</f>
        <v>#REF!</v>
      </c>
      <c r="BM193" s="24" t="e">
        <f>SUMIFS(#REF!,#REF!,$B193,#REF!,BM$1)</f>
        <v>#REF!</v>
      </c>
      <c r="BN193" s="24" t="e">
        <f>SUMIFS(#REF!,#REF!,$B193,#REF!,BN$1)</f>
        <v>#REF!</v>
      </c>
      <c r="BO193" s="24" t="e">
        <f>SUMIFS(#REF!,#REF!,$B193,#REF!,BO$1)</f>
        <v>#REF!</v>
      </c>
      <c r="BP193" s="24" t="e">
        <f>SUMIFS(#REF!,#REF!,$B193,#REF!,BP$1)</f>
        <v>#REF!</v>
      </c>
      <c r="BQ193" s="24" t="e">
        <f>SUMIFS(#REF!,#REF!,$B193,#REF!,BQ$1)</f>
        <v>#REF!</v>
      </c>
      <c r="BR193" s="24" t="e">
        <f>SUMIFS(#REF!,#REF!,$B193,#REF!,BR$1)</f>
        <v>#REF!</v>
      </c>
      <c r="BS193" s="24" t="e">
        <f>SUMIFS(#REF!,#REF!,$B193,#REF!,BS$1)</f>
        <v>#REF!</v>
      </c>
      <c r="BT193" s="24" t="e">
        <f>SUMIFS(#REF!,#REF!,$B193,#REF!,BT$1)</f>
        <v>#REF!</v>
      </c>
      <c r="BU193" s="24" t="e">
        <f>SUMIFS(#REF!,#REF!,$B193,#REF!,BU$1)</f>
        <v>#REF!</v>
      </c>
      <c r="BV193" s="24" t="e">
        <f>SUMIFS(#REF!,#REF!,$B193,#REF!,BV$1)</f>
        <v>#REF!</v>
      </c>
      <c r="BW193" s="24" t="e">
        <f>SUMIFS(#REF!,#REF!,$B193,#REF!,BW$1)</f>
        <v>#REF!</v>
      </c>
      <c r="BX193" s="24" t="e">
        <f>SUMIFS(#REF!,#REF!,$B193,#REF!,BX$1)</f>
        <v>#REF!</v>
      </c>
      <c r="BY193" s="24" t="e">
        <f>SUMIFS(#REF!,#REF!,$B193,#REF!,BY$1)</f>
        <v>#REF!</v>
      </c>
      <c r="BZ193" s="24" t="e">
        <f>SUMIFS(#REF!,#REF!,$B193,#REF!,BZ$1)</f>
        <v>#REF!</v>
      </c>
      <c r="CA193" s="24" t="e">
        <f>SUMIFS(#REF!,#REF!,$B193,#REF!,CA$1)</f>
        <v>#REF!</v>
      </c>
      <c r="CB193" s="24" t="e">
        <f>SUMIFS(#REF!,#REF!,$B193,#REF!,CB$1)</f>
        <v>#REF!</v>
      </c>
      <c r="CC193" s="24" t="e">
        <f>SUMIFS(#REF!,#REF!,$B193,#REF!,CC$1)</f>
        <v>#REF!</v>
      </c>
      <c r="CD193" s="24" t="e">
        <f>SUMIFS(#REF!,#REF!,$B193,#REF!,CD$1)</f>
        <v>#REF!</v>
      </c>
      <c r="CE193" s="24" t="e">
        <f>SUMIFS(#REF!,#REF!,$B193,#REF!,CE$1)</f>
        <v>#REF!</v>
      </c>
      <c r="CF193" s="24" t="e">
        <f>SUMIFS(#REF!,#REF!,$B193,#REF!,CF$1)</f>
        <v>#REF!</v>
      </c>
      <c r="CG193" s="19" t="e">
        <f t="shared" si="2"/>
        <v>#REF!</v>
      </c>
    </row>
    <row r="194" spans="1:85" x14ac:dyDescent="0.45">
      <c r="A194" s="4" t="s">
        <v>1370</v>
      </c>
      <c r="B194" s="4" t="s">
        <v>1371</v>
      </c>
      <c r="C194" s="24" t="e">
        <f>SUMIFS(#REF!,#REF!,$B194,#REF!,C$1)</f>
        <v>#REF!</v>
      </c>
      <c r="D194" s="24" t="e">
        <f>SUMIFS(#REF!,#REF!,$B194,#REF!,D$1)</f>
        <v>#REF!</v>
      </c>
      <c r="E194" s="24" t="e">
        <f>SUMIFS(#REF!,#REF!,$B194,#REF!,E$1)</f>
        <v>#REF!</v>
      </c>
      <c r="F194" s="24" t="e">
        <f>SUMIFS(#REF!,#REF!,$B194,#REF!,F$1)</f>
        <v>#REF!</v>
      </c>
      <c r="G194" s="24" t="e">
        <f>SUMIFS(#REF!,#REF!,$B194,#REF!,G$1)</f>
        <v>#REF!</v>
      </c>
      <c r="H194" s="24" t="e">
        <f>SUMIFS(#REF!,#REF!,$B194,#REF!,H$1)</f>
        <v>#REF!</v>
      </c>
      <c r="I194" s="24" t="e">
        <f>SUMIFS(#REF!,#REF!,$B194,#REF!,I$1)</f>
        <v>#REF!</v>
      </c>
      <c r="J194" s="24" t="e">
        <f>SUMIFS(#REF!,#REF!,$B194,#REF!,J$1)</f>
        <v>#REF!</v>
      </c>
      <c r="K194" s="24" t="e">
        <f>SUMIFS(#REF!,#REF!,$B194,#REF!,K$1)</f>
        <v>#REF!</v>
      </c>
      <c r="L194" s="24" t="e">
        <f>SUMIFS(#REF!,#REF!,$B194,#REF!,L$1)</f>
        <v>#REF!</v>
      </c>
      <c r="M194" s="24" t="e">
        <f>SUMIFS(#REF!,#REF!,$B194,#REF!,M$1)</f>
        <v>#REF!</v>
      </c>
      <c r="N194" s="24" t="e">
        <f>SUMIFS(#REF!,#REF!,$B194,#REF!,N$1)</f>
        <v>#REF!</v>
      </c>
      <c r="O194" s="24" t="e">
        <f>SUMIFS(#REF!,#REF!,$B194,#REF!,O$1)</f>
        <v>#REF!</v>
      </c>
      <c r="P194" s="24" t="e">
        <f>SUMIFS(#REF!,#REF!,$B194,#REF!,P$1)</f>
        <v>#REF!</v>
      </c>
      <c r="Q194" s="24" t="e">
        <f>SUMIFS(#REF!,#REF!,$B194,#REF!,Q$1)</f>
        <v>#REF!</v>
      </c>
      <c r="R194" s="24" t="e">
        <f>SUMIFS(#REF!,#REF!,$B194,#REF!,R$1)</f>
        <v>#REF!</v>
      </c>
      <c r="S194" s="24" t="e">
        <f>SUMIFS(#REF!,#REF!,$B194,#REF!,S$1)</f>
        <v>#REF!</v>
      </c>
      <c r="T194" s="24" t="e">
        <f>SUMIFS(#REF!,#REF!,$B194,#REF!,T$1)</f>
        <v>#REF!</v>
      </c>
      <c r="U194" s="24" t="e">
        <f>SUMIFS(#REF!,#REF!,$B194,#REF!,U$1)</f>
        <v>#REF!</v>
      </c>
      <c r="V194" s="24" t="e">
        <f>SUMIFS(#REF!,#REF!,$B194,#REF!,V$1)</f>
        <v>#REF!</v>
      </c>
      <c r="W194" s="24" t="e">
        <f>SUMIFS(#REF!,#REF!,$B194,#REF!,W$1)</f>
        <v>#REF!</v>
      </c>
      <c r="X194" s="24" t="e">
        <f>SUMIFS(#REF!,#REF!,$B194,#REF!,X$1)</f>
        <v>#REF!</v>
      </c>
      <c r="Y194" s="24" t="e">
        <f>SUMIFS(#REF!,#REF!,$B194,#REF!,Y$1)</f>
        <v>#REF!</v>
      </c>
      <c r="Z194" s="24" t="e">
        <f>SUMIFS(#REF!,#REF!,$B194,#REF!,Z$1)</f>
        <v>#REF!</v>
      </c>
      <c r="AA194" s="24" t="e">
        <f>SUMIFS(#REF!,#REF!,$B194,#REF!,AA$1)</f>
        <v>#REF!</v>
      </c>
      <c r="AB194" s="24" t="e">
        <f>SUMIFS(#REF!,#REF!,$B194,#REF!,AB$1)</f>
        <v>#REF!</v>
      </c>
      <c r="AC194" s="24" t="e">
        <f>SUMIFS(#REF!,#REF!,$B194,#REF!,AC$1)</f>
        <v>#REF!</v>
      </c>
      <c r="AD194" s="24" t="e">
        <f>SUMIFS(#REF!,#REF!,$B194,#REF!,AD$1)</f>
        <v>#REF!</v>
      </c>
      <c r="AE194" s="24" t="e">
        <f>SUMIFS(#REF!,#REF!,$B194,#REF!,AE$1)</f>
        <v>#REF!</v>
      </c>
      <c r="AF194" s="24" t="e">
        <f>SUMIFS(#REF!,#REF!,$B194,#REF!,AF$1)</f>
        <v>#REF!</v>
      </c>
      <c r="AG194" s="24" t="e">
        <f>SUMIFS(#REF!,#REF!,$B194,#REF!,AG$1)</f>
        <v>#REF!</v>
      </c>
      <c r="AH194" s="24" t="e">
        <f>SUMIFS(#REF!,#REF!,$B194,#REF!,AH$1)</f>
        <v>#REF!</v>
      </c>
      <c r="AI194" s="24" t="e">
        <f>SUMIFS(#REF!,#REF!,$B194,#REF!,AI$1)</f>
        <v>#REF!</v>
      </c>
      <c r="AJ194" s="24" t="e">
        <f>SUMIFS(#REF!,#REF!,$B194,#REF!,AJ$1)</f>
        <v>#REF!</v>
      </c>
      <c r="AK194" s="24" t="e">
        <f>SUMIFS(#REF!,#REF!,$B194,#REF!,AK$1)</f>
        <v>#REF!</v>
      </c>
      <c r="AL194" s="24" t="e">
        <f>SUMIFS(#REF!,#REF!,$B194,#REF!,AL$1)</f>
        <v>#REF!</v>
      </c>
      <c r="AM194" s="24" t="e">
        <f>SUMIFS(#REF!,#REF!,$B194,#REF!,AM$1)</f>
        <v>#REF!</v>
      </c>
      <c r="AN194" s="24" t="e">
        <f>SUMIFS(#REF!,#REF!,$B194,#REF!,AN$1)</f>
        <v>#REF!</v>
      </c>
      <c r="AO194" s="24" t="e">
        <f>SUMIFS(#REF!,#REF!,$B194,#REF!,AO$1)</f>
        <v>#REF!</v>
      </c>
      <c r="AP194" s="24" t="e">
        <f>SUMIFS(#REF!,#REF!,$B194,#REF!,AP$1)</f>
        <v>#REF!</v>
      </c>
      <c r="AQ194" s="24" t="e">
        <f>SUMIFS(#REF!,#REF!,$B194,#REF!,AQ$1)</f>
        <v>#REF!</v>
      </c>
      <c r="AR194" s="24" t="e">
        <f>SUMIFS(#REF!,#REF!,$B194,#REF!,AR$1)</f>
        <v>#REF!</v>
      </c>
      <c r="AS194" s="24" t="e">
        <f>SUMIFS(#REF!,#REF!,$B194,#REF!,AS$1)</f>
        <v>#REF!</v>
      </c>
      <c r="AT194" s="24" t="e">
        <f>SUMIFS(#REF!,#REF!,$B194,#REF!,AT$1)</f>
        <v>#REF!</v>
      </c>
      <c r="AU194" s="24" t="e">
        <f>SUMIFS(#REF!,#REF!,$B194,#REF!,AU$1)</f>
        <v>#REF!</v>
      </c>
      <c r="AV194" s="24" t="e">
        <f>SUMIFS(#REF!,#REF!,$B194,#REF!,AV$1)</f>
        <v>#REF!</v>
      </c>
      <c r="AW194" s="24" t="e">
        <f>SUMIFS(#REF!,#REF!,$B194,#REF!,AW$1)</f>
        <v>#REF!</v>
      </c>
      <c r="AX194" s="24" t="e">
        <f>SUMIFS(#REF!,#REF!,$B194,#REF!,AX$1)</f>
        <v>#REF!</v>
      </c>
      <c r="AY194" s="24" t="e">
        <f>SUMIFS(#REF!,#REF!,$B194,#REF!,AY$1)</f>
        <v>#REF!</v>
      </c>
      <c r="AZ194" s="24" t="e">
        <f>SUMIFS(#REF!,#REF!,$B194,#REF!,AZ$1)</f>
        <v>#REF!</v>
      </c>
      <c r="BA194" s="24" t="e">
        <f>SUMIFS(#REF!,#REF!,$B194,#REF!,BA$1)</f>
        <v>#REF!</v>
      </c>
      <c r="BB194" s="24" t="e">
        <f>SUMIFS(#REF!,#REF!,$B194,#REF!,BB$1)</f>
        <v>#REF!</v>
      </c>
      <c r="BC194" s="24" t="e">
        <f>SUMIFS(#REF!,#REF!,$B194,#REF!,BC$1)</f>
        <v>#REF!</v>
      </c>
      <c r="BD194" s="24" t="e">
        <f>SUMIFS(#REF!,#REF!,$B194,#REF!,BD$1)</f>
        <v>#REF!</v>
      </c>
      <c r="BE194" s="24" t="e">
        <f>SUMIFS(#REF!,#REF!,$B194,#REF!,BE$1)</f>
        <v>#REF!</v>
      </c>
      <c r="BF194" s="24" t="e">
        <f>SUMIFS(#REF!,#REF!,$B194,#REF!,BF$1)</f>
        <v>#REF!</v>
      </c>
      <c r="BG194" s="24" t="e">
        <f>SUMIFS(#REF!,#REF!,$B194,#REF!,BG$1)</f>
        <v>#REF!</v>
      </c>
      <c r="BH194" s="24" t="e">
        <f>SUMIFS(#REF!,#REF!,$B194,#REF!,BH$1)</f>
        <v>#REF!</v>
      </c>
      <c r="BI194" s="24" t="e">
        <f>SUMIFS(#REF!,#REF!,$B194,#REF!,BI$1)</f>
        <v>#REF!</v>
      </c>
      <c r="BJ194" s="24" t="e">
        <f>SUMIFS(#REF!,#REF!,$B194,#REF!,BJ$1)</f>
        <v>#REF!</v>
      </c>
      <c r="BK194" s="24" t="e">
        <f>SUMIFS(#REF!,#REF!,$B194,#REF!,BK$1)</f>
        <v>#REF!</v>
      </c>
      <c r="BL194" s="24" t="e">
        <f>SUMIFS(#REF!,#REF!,$B194,#REF!,BL$1)</f>
        <v>#REF!</v>
      </c>
      <c r="BM194" s="24" t="e">
        <f>SUMIFS(#REF!,#REF!,$B194,#REF!,BM$1)</f>
        <v>#REF!</v>
      </c>
      <c r="BN194" s="24" t="e">
        <f>SUMIFS(#REF!,#REF!,$B194,#REF!,BN$1)</f>
        <v>#REF!</v>
      </c>
      <c r="BO194" s="24" t="e">
        <f>SUMIFS(#REF!,#REF!,$B194,#REF!,BO$1)</f>
        <v>#REF!</v>
      </c>
      <c r="BP194" s="24" t="e">
        <f>SUMIFS(#REF!,#REF!,$B194,#REF!,BP$1)</f>
        <v>#REF!</v>
      </c>
      <c r="BQ194" s="24" t="e">
        <f>SUMIFS(#REF!,#REF!,$B194,#REF!,BQ$1)</f>
        <v>#REF!</v>
      </c>
      <c r="BR194" s="24" t="e">
        <f>SUMIFS(#REF!,#REF!,$B194,#REF!,BR$1)</f>
        <v>#REF!</v>
      </c>
      <c r="BS194" s="24" t="e">
        <f>SUMIFS(#REF!,#REF!,$B194,#REF!,BS$1)</f>
        <v>#REF!</v>
      </c>
      <c r="BT194" s="24" t="e">
        <f>SUMIFS(#REF!,#REF!,$B194,#REF!,BT$1)</f>
        <v>#REF!</v>
      </c>
      <c r="BU194" s="24" t="e">
        <f>SUMIFS(#REF!,#REF!,$B194,#REF!,BU$1)</f>
        <v>#REF!</v>
      </c>
      <c r="BV194" s="24" t="e">
        <f>SUMIFS(#REF!,#REF!,$B194,#REF!,BV$1)</f>
        <v>#REF!</v>
      </c>
      <c r="BW194" s="24" t="e">
        <f>SUMIFS(#REF!,#REF!,$B194,#REF!,BW$1)</f>
        <v>#REF!</v>
      </c>
      <c r="BX194" s="24" t="e">
        <f>SUMIFS(#REF!,#REF!,$B194,#REF!,BX$1)</f>
        <v>#REF!</v>
      </c>
      <c r="BY194" s="24" t="e">
        <f>SUMIFS(#REF!,#REF!,$B194,#REF!,BY$1)</f>
        <v>#REF!</v>
      </c>
      <c r="BZ194" s="24" t="e">
        <f>SUMIFS(#REF!,#REF!,$B194,#REF!,BZ$1)</f>
        <v>#REF!</v>
      </c>
      <c r="CA194" s="24" t="e">
        <f>SUMIFS(#REF!,#REF!,$B194,#REF!,CA$1)</f>
        <v>#REF!</v>
      </c>
      <c r="CB194" s="24" t="e">
        <f>SUMIFS(#REF!,#REF!,$B194,#REF!,CB$1)</f>
        <v>#REF!</v>
      </c>
      <c r="CC194" s="24" t="e">
        <f>SUMIFS(#REF!,#REF!,$B194,#REF!,CC$1)</f>
        <v>#REF!</v>
      </c>
      <c r="CD194" s="24" t="e">
        <f>SUMIFS(#REF!,#REF!,$B194,#REF!,CD$1)</f>
        <v>#REF!</v>
      </c>
      <c r="CE194" s="24" t="e">
        <f>SUMIFS(#REF!,#REF!,$B194,#REF!,CE$1)</f>
        <v>#REF!</v>
      </c>
      <c r="CF194" s="24" t="e">
        <f>SUMIFS(#REF!,#REF!,$B194,#REF!,CF$1)</f>
        <v>#REF!</v>
      </c>
      <c r="CG194" s="19" t="e">
        <f t="shared" ref="CG194:CG257" si="3">SUM(C194:CF194)</f>
        <v>#REF!</v>
      </c>
    </row>
    <row r="195" spans="1:85" x14ac:dyDescent="0.45">
      <c r="A195" s="4" t="s">
        <v>1372</v>
      </c>
      <c r="B195" s="4" t="s">
        <v>1373</v>
      </c>
      <c r="C195" s="24" t="e">
        <f>SUMIFS(#REF!,#REF!,$B195,#REF!,C$1)</f>
        <v>#REF!</v>
      </c>
      <c r="D195" s="24" t="e">
        <f>SUMIFS(#REF!,#REF!,$B195,#REF!,D$1)</f>
        <v>#REF!</v>
      </c>
      <c r="E195" s="24" t="e">
        <f>SUMIFS(#REF!,#REF!,$B195,#REF!,E$1)</f>
        <v>#REF!</v>
      </c>
      <c r="F195" s="24" t="e">
        <f>SUMIFS(#REF!,#REF!,$B195,#REF!,F$1)</f>
        <v>#REF!</v>
      </c>
      <c r="G195" s="24" t="e">
        <f>SUMIFS(#REF!,#REF!,$B195,#REF!,G$1)</f>
        <v>#REF!</v>
      </c>
      <c r="H195" s="24" t="e">
        <f>SUMIFS(#REF!,#REF!,$B195,#REF!,H$1)</f>
        <v>#REF!</v>
      </c>
      <c r="I195" s="24" t="e">
        <f>SUMIFS(#REF!,#REF!,$B195,#REF!,I$1)</f>
        <v>#REF!</v>
      </c>
      <c r="J195" s="24" t="e">
        <f>SUMIFS(#REF!,#REF!,$B195,#REF!,J$1)</f>
        <v>#REF!</v>
      </c>
      <c r="K195" s="24" t="e">
        <f>SUMIFS(#REF!,#REF!,$B195,#REF!,K$1)</f>
        <v>#REF!</v>
      </c>
      <c r="L195" s="24" t="e">
        <f>SUMIFS(#REF!,#REF!,$B195,#REF!,L$1)</f>
        <v>#REF!</v>
      </c>
      <c r="M195" s="24" t="e">
        <f>SUMIFS(#REF!,#REF!,$B195,#REF!,M$1)</f>
        <v>#REF!</v>
      </c>
      <c r="N195" s="24" t="e">
        <f>SUMIFS(#REF!,#REF!,$B195,#REF!,N$1)</f>
        <v>#REF!</v>
      </c>
      <c r="O195" s="24" t="e">
        <f>SUMIFS(#REF!,#REF!,$B195,#REF!,O$1)</f>
        <v>#REF!</v>
      </c>
      <c r="P195" s="24" t="e">
        <f>SUMIFS(#REF!,#REF!,$B195,#REF!,P$1)</f>
        <v>#REF!</v>
      </c>
      <c r="Q195" s="24" t="e">
        <f>SUMIFS(#REF!,#REF!,$B195,#REF!,Q$1)</f>
        <v>#REF!</v>
      </c>
      <c r="R195" s="24" t="e">
        <f>SUMIFS(#REF!,#REF!,$B195,#REF!,R$1)</f>
        <v>#REF!</v>
      </c>
      <c r="S195" s="24" t="e">
        <f>SUMIFS(#REF!,#REF!,$B195,#REF!,S$1)</f>
        <v>#REF!</v>
      </c>
      <c r="T195" s="24" t="e">
        <f>SUMIFS(#REF!,#REF!,$B195,#REF!,T$1)</f>
        <v>#REF!</v>
      </c>
      <c r="U195" s="24" t="e">
        <f>SUMIFS(#REF!,#REF!,$B195,#REF!,U$1)</f>
        <v>#REF!</v>
      </c>
      <c r="V195" s="24" t="e">
        <f>SUMIFS(#REF!,#REF!,$B195,#REF!,V$1)</f>
        <v>#REF!</v>
      </c>
      <c r="W195" s="24" t="e">
        <f>SUMIFS(#REF!,#REF!,$B195,#REF!,W$1)</f>
        <v>#REF!</v>
      </c>
      <c r="X195" s="24" t="e">
        <f>SUMIFS(#REF!,#REF!,$B195,#REF!,X$1)</f>
        <v>#REF!</v>
      </c>
      <c r="Y195" s="24" t="e">
        <f>SUMIFS(#REF!,#REF!,$B195,#REF!,Y$1)</f>
        <v>#REF!</v>
      </c>
      <c r="Z195" s="24" t="e">
        <f>SUMIFS(#REF!,#REF!,$B195,#REF!,Z$1)</f>
        <v>#REF!</v>
      </c>
      <c r="AA195" s="24" t="e">
        <f>SUMIFS(#REF!,#REF!,$B195,#REF!,AA$1)</f>
        <v>#REF!</v>
      </c>
      <c r="AB195" s="24" t="e">
        <f>SUMIFS(#REF!,#REF!,$B195,#REF!,AB$1)</f>
        <v>#REF!</v>
      </c>
      <c r="AC195" s="24" t="e">
        <f>SUMIFS(#REF!,#REF!,$B195,#REF!,AC$1)</f>
        <v>#REF!</v>
      </c>
      <c r="AD195" s="24" t="e">
        <f>SUMIFS(#REF!,#REF!,$B195,#REF!,AD$1)</f>
        <v>#REF!</v>
      </c>
      <c r="AE195" s="24" t="e">
        <f>SUMIFS(#REF!,#REF!,$B195,#REF!,AE$1)</f>
        <v>#REF!</v>
      </c>
      <c r="AF195" s="24" t="e">
        <f>SUMIFS(#REF!,#REF!,$B195,#REF!,AF$1)</f>
        <v>#REF!</v>
      </c>
      <c r="AG195" s="24" t="e">
        <f>SUMIFS(#REF!,#REF!,$B195,#REF!,AG$1)</f>
        <v>#REF!</v>
      </c>
      <c r="AH195" s="24" t="e">
        <f>SUMIFS(#REF!,#REF!,$B195,#REF!,AH$1)</f>
        <v>#REF!</v>
      </c>
      <c r="AI195" s="24" t="e">
        <f>SUMIFS(#REF!,#REF!,$B195,#REF!,AI$1)</f>
        <v>#REF!</v>
      </c>
      <c r="AJ195" s="24" t="e">
        <f>SUMIFS(#REF!,#REF!,$B195,#REF!,AJ$1)</f>
        <v>#REF!</v>
      </c>
      <c r="AK195" s="24" t="e">
        <f>SUMIFS(#REF!,#REF!,$B195,#REF!,AK$1)</f>
        <v>#REF!</v>
      </c>
      <c r="AL195" s="24" t="e">
        <f>SUMIFS(#REF!,#REF!,$B195,#REF!,AL$1)</f>
        <v>#REF!</v>
      </c>
      <c r="AM195" s="24" t="e">
        <f>SUMIFS(#REF!,#REF!,$B195,#REF!,AM$1)</f>
        <v>#REF!</v>
      </c>
      <c r="AN195" s="24" t="e">
        <f>SUMIFS(#REF!,#REF!,$B195,#REF!,AN$1)</f>
        <v>#REF!</v>
      </c>
      <c r="AO195" s="24" t="e">
        <f>SUMIFS(#REF!,#REF!,$B195,#REF!,AO$1)</f>
        <v>#REF!</v>
      </c>
      <c r="AP195" s="24" t="e">
        <f>SUMIFS(#REF!,#REF!,$B195,#REF!,AP$1)</f>
        <v>#REF!</v>
      </c>
      <c r="AQ195" s="24" t="e">
        <f>SUMIFS(#REF!,#REF!,$B195,#REF!,AQ$1)</f>
        <v>#REF!</v>
      </c>
      <c r="AR195" s="24" t="e">
        <f>SUMIFS(#REF!,#REF!,$B195,#REF!,AR$1)</f>
        <v>#REF!</v>
      </c>
      <c r="AS195" s="24" t="e">
        <f>SUMIFS(#REF!,#REF!,$B195,#REF!,AS$1)</f>
        <v>#REF!</v>
      </c>
      <c r="AT195" s="24" t="e">
        <f>SUMIFS(#REF!,#REF!,$B195,#REF!,AT$1)</f>
        <v>#REF!</v>
      </c>
      <c r="AU195" s="24" t="e">
        <f>SUMIFS(#REF!,#REF!,$B195,#REF!,AU$1)</f>
        <v>#REF!</v>
      </c>
      <c r="AV195" s="24" t="e">
        <f>SUMIFS(#REF!,#REF!,$B195,#REF!,AV$1)</f>
        <v>#REF!</v>
      </c>
      <c r="AW195" s="24" t="e">
        <f>SUMIFS(#REF!,#REF!,$B195,#REF!,AW$1)</f>
        <v>#REF!</v>
      </c>
      <c r="AX195" s="24" t="e">
        <f>SUMIFS(#REF!,#REF!,$B195,#REF!,AX$1)</f>
        <v>#REF!</v>
      </c>
      <c r="AY195" s="24" t="e">
        <f>SUMIFS(#REF!,#REF!,$B195,#REF!,AY$1)</f>
        <v>#REF!</v>
      </c>
      <c r="AZ195" s="24" t="e">
        <f>SUMIFS(#REF!,#REF!,$B195,#REF!,AZ$1)</f>
        <v>#REF!</v>
      </c>
      <c r="BA195" s="24" t="e">
        <f>SUMIFS(#REF!,#REF!,$B195,#REF!,BA$1)</f>
        <v>#REF!</v>
      </c>
      <c r="BB195" s="24" t="e">
        <f>SUMIFS(#REF!,#REF!,$B195,#REF!,BB$1)</f>
        <v>#REF!</v>
      </c>
      <c r="BC195" s="24" t="e">
        <f>SUMIFS(#REF!,#REF!,$B195,#REF!,BC$1)</f>
        <v>#REF!</v>
      </c>
      <c r="BD195" s="24" t="e">
        <f>SUMIFS(#REF!,#REF!,$B195,#REF!,BD$1)</f>
        <v>#REF!</v>
      </c>
      <c r="BE195" s="24" t="e">
        <f>SUMIFS(#REF!,#REF!,$B195,#REF!,BE$1)</f>
        <v>#REF!</v>
      </c>
      <c r="BF195" s="24" t="e">
        <f>SUMIFS(#REF!,#REF!,$B195,#REF!,BF$1)</f>
        <v>#REF!</v>
      </c>
      <c r="BG195" s="24" t="e">
        <f>SUMIFS(#REF!,#REF!,$B195,#REF!,BG$1)</f>
        <v>#REF!</v>
      </c>
      <c r="BH195" s="24" t="e">
        <f>SUMIFS(#REF!,#REF!,$B195,#REF!,BH$1)</f>
        <v>#REF!</v>
      </c>
      <c r="BI195" s="24" t="e">
        <f>SUMIFS(#REF!,#REF!,$B195,#REF!,BI$1)</f>
        <v>#REF!</v>
      </c>
      <c r="BJ195" s="24" t="e">
        <f>SUMIFS(#REF!,#REF!,$B195,#REF!,BJ$1)</f>
        <v>#REF!</v>
      </c>
      <c r="BK195" s="24" t="e">
        <f>SUMIFS(#REF!,#REF!,$B195,#REF!,BK$1)</f>
        <v>#REF!</v>
      </c>
      <c r="BL195" s="24" t="e">
        <f>SUMIFS(#REF!,#REF!,$B195,#REF!,BL$1)</f>
        <v>#REF!</v>
      </c>
      <c r="BM195" s="24" t="e">
        <f>SUMIFS(#REF!,#REF!,$B195,#REF!,BM$1)</f>
        <v>#REF!</v>
      </c>
      <c r="BN195" s="24" t="e">
        <f>SUMIFS(#REF!,#REF!,$B195,#REF!,BN$1)</f>
        <v>#REF!</v>
      </c>
      <c r="BO195" s="24" t="e">
        <f>SUMIFS(#REF!,#REF!,$B195,#REF!,BO$1)</f>
        <v>#REF!</v>
      </c>
      <c r="BP195" s="24" t="e">
        <f>SUMIFS(#REF!,#REF!,$B195,#REF!,BP$1)</f>
        <v>#REF!</v>
      </c>
      <c r="BQ195" s="24" t="e">
        <f>SUMIFS(#REF!,#REF!,$B195,#REF!,BQ$1)</f>
        <v>#REF!</v>
      </c>
      <c r="BR195" s="24" t="e">
        <f>SUMIFS(#REF!,#REF!,$B195,#REF!,BR$1)</f>
        <v>#REF!</v>
      </c>
      <c r="BS195" s="24" t="e">
        <f>SUMIFS(#REF!,#REF!,$B195,#REF!,BS$1)</f>
        <v>#REF!</v>
      </c>
      <c r="BT195" s="24" t="e">
        <f>SUMIFS(#REF!,#REF!,$B195,#REF!,BT$1)</f>
        <v>#REF!</v>
      </c>
      <c r="BU195" s="24" t="e">
        <f>SUMIFS(#REF!,#REF!,$B195,#REF!,BU$1)</f>
        <v>#REF!</v>
      </c>
      <c r="BV195" s="24" t="e">
        <f>SUMIFS(#REF!,#REF!,$B195,#REF!,BV$1)</f>
        <v>#REF!</v>
      </c>
      <c r="BW195" s="24" t="e">
        <f>SUMIFS(#REF!,#REF!,$B195,#REF!,BW$1)</f>
        <v>#REF!</v>
      </c>
      <c r="BX195" s="24" t="e">
        <f>SUMIFS(#REF!,#REF!,$B195,#REF!,BX$1)</f>
        <v>#REF!</v>
      </c>
      <c r="BY195" s="24" t="e">
        <f>SUMIFS(#REF!,#REF!,$B195,#REF!,BY$1)</f>
        <v>#REF!</v>
      </c>
      <c r="BZ195" s="24" t="e">
        <f>SUMIFS(#REF!,#REF!,$B195,#REF!,BZ$1)</f>
        <v>#REF!</v>
      </c>
      <c r="CA195" s="24" t="e">
        <f>SUMIFS(#REF!,#REF!,$B195,#REF!,CA$1)</f>
        <v>#REF!</v>
      </c>
      <c r="CB195" s="24" t="e">
        <f>SUMIFS(#REF!,#REF!,$B195,#REF!,CB$1)</f>
        <v>#REF!</v>
      </c>
      <c r="CC195" s="24" t="e">
        <f>SUMIFS(#REF!,#REF!,$B195,#REF!,CC$1)</f>
        <v>#REF!</v>
      </c>
      <c r="CD195" s="24" t="e">
        <f>SUMIFS(#REF!,#REF!,$B195,#REF!,CD$1)</f>
        <v>#REF!</v>
      </c>
      <c r="CE195" s="24" t="e">
        <f>SUMIFS(#REF!,#REF!,$B195,#REF!,CE$1)</f>
        <v>#REF!</v>
      </c>
      <c r="CF195" s="24" t="e">
        <f>SUMIFS(#REF!,#REF!,$B195,#REF!,CF$1)</f>
        <v>#REF!</v>
      </c>
      <c r="CG195" s="19" t="e">
        <f t="shared" si="3"/>
        <v>#REF!</v>
      </c>
    </row>
    <row r="196" spans="1:85" x14ac:dyDescent="0.45">
      <c r="A196" s="4" t="s">
        <v>1374</v>
      </c>
      <c r="B196" s="4" t="s">
        <v>1375</v>
      </c>
      <c r="C196" s="24" t="e">
        <f>SUMIFS(#REF!,#REF!,$B196,#REF!,C$1)</f>
        <v>#REF!</v>
      </c>
      <c r="D196" s="24" t="e">
        <f>SUMIFS(#REF!,#REF!,$B196,#REF!,D$1)</f>
        <v>#REF!</v>
      </c>
      <c r="E196" s="24" t="e">
        <f>SUMIFS(#REF!,#REF!,$B196,#REF!,E$1)</f>
        <v>#REF!</v>
      </c>
      <c r="F196" s="24" t="e">
        <f>SUMIFS(#REF!,#REF!,$B196,#REF!,F$1)</f>
        <v>#REF!</v>
      </c>
      <c r="G196" s="24" t="e">
        <f>SUMIFS(#REF!,#REF!,$B196,#REF!,G$1)</f>
        <v>#REF!</v>
      </c>
      <c r="H196" s="24" t="e">
        <f>SUMIFS(#REF!,#REF!,$B196,#REF!,H$1)</f>
        <v>#REF!</v>
      </c>
      <c r="I196" s="24" t="e">
        <f>SUMIFS(#REF!,#REF!,$B196,#REF!,I$1)</f>
        <v>#REF!</v>
      </c>
      <c r="J196" s="24" t="e">
        <f>SUMIFS(#REF!,#REF!,$B196,#REF!,J$1)</f>
        <v>#REF!</v>
      </c>
      <c r="K196" s="24" t="e">
        <f>SUMIFS(#REF!,#REF!,$B196,#REF!,K$1)</f>
        <v>#REF!</v>
      </c>
      <c r="L196" s="24" t="e">
        <f>SUMIFS(#REF!,#REF!,$B196,#REF!,L$1)</f>
        <v>#REF!</v>
      </c>
      <c r="M196" s="24" t="e">
        <f>SUMIFS(#REF!,#REF!,$B196,#REF!,M$1)</f>
        <v>#REF!</v>
      </c>
      <c r="N196" s="24" t="e">
        <f>SUMIFS(#REF!,#REF!,$B196,#REF!,N$1)</f>
        <v>#REF!</v>
      </c>
      <c r="O196" s="24" t="e">
        <f>SUMIFS(#REF!,#REF!,$B196,#REF!,O$1)</f>
        <v>#REF!</v>
      </c>
      <c r="P196" s="24" t="e">
        <f>SUMIFS(#REF!,#REF!,$B196,#REF!,P$1)</f>
        <v>#REF!</v>
      </c>
      <c r="Q196" s="24" t="e">
        <f>SUMIFS(#REF!,#REF!,$B196,#REF!,Q$1)</f>
        <v>#REF!</v>
      </c>
      <c r="R196" s="24" t="e">
        <f>SUMIFS(#REF!,#REF!,$B196,#REF!,R$1)</f>
        <v>#REF!</v>
      </c>
      <c r="S196" s="24" t="e">
        <f>SUMIFS(#REF!,#REF!,$B196,#REF!,S$1)</f>
        <v>#REF!</v>
      </c>
      <c r="T196" s="24" t="e">
        <f>SUMIFS(#REF!,#REF!,$B196,#REF!,T$1)</f>
        <v>#REF!</v>
      </c>
      <c r="U196" s="24" t="e">
        <f>SUMIFS(#REF!,#REF!,$B196,#REF!,U$1)</f>
        <v>#REF!</v>
      </c>
      <c r="V196" s="24" t="e">
        <f>SUMIFS(#REF!,#REF!,$B196,#REF!,V$1)</f>
        <v>#REF!</v>
      </c>
      <c r="W196" s="24" t="e">
        <f>SUMIFS(#REF!,#REF!,$B196,#REF!,W$1)</f>
        <v>#REF!</v>
      </c>
      <c r="X196" s="24" t="e">
        <f>SUMIFS(#REF!,#REF!,$B196,#REF!,X$1)</f>
        <v>#REF!</v>
      </c>
      <c r="Y196" s="24" t="e">
        <f>SUMIFS(#REF!,#REF!,$B196,#REF!,Y$1)</f>
        <v>#REF!</v>
      </c>
      <c r="Z196" s="24" t="e">
        <f>SUMIFS(#REF!,#REF!,$B196,#REF!,Z$1)</f>
        <v>#REF!</v>
      </c>
      <c r="AA196" s="24" t="e">
        <f>SUMIFS(#REF!,#REF!,$B196,#REF!,AA$1)</f>
        <v>#REF!</v>
      </c>
      <c r="AB196" s="24" t="e">
        <f>SUMIFS(#REF!,#REF!,$B196,#REF!,AB$1)</f>
        <v>#REF!</v>
      </c>
      <c r="AC196" s="24" t="e">
        <f>SUMIFS(#REF!,#REF!,$B196,#REF!,AC$1)</f>
        <v>#REF!</v>
      </c>
      <c r="AD196" s="24" t="e">
        <f>SUMIFS(#REF!,#REF!,$B196,#REF!,AD$1)</f>
        <v>#REF!</v>
      </c>
      <c r="AE196" s="24" t="e">
        <f>SUMIFS(#REF!,#REF!,$B196,#REF!,AE$1)</f>
        <v>#REF!</v>
      </c>
      <c r="AF196" s="24" t="e">
        <f>SUMIFS(#REF!,#REF!,$B196,#REF!,AF$1)</f>
        <v>#REF!</v>
      </c>
      <c r="AG196" s="24" t="e">
        <f>SUMIFS(#REF!,#REF!,$B196,#REF!,AG$1)</f>
        <v>#REF!</v>
      </c>
      <c r="AH196" s="24" t="e">
        <f>SUMIFS(#REF!,#REF!,$B196,#REF!,AH$1)</f>
        <v>#REF!</v>
      </c>
      <c r="AI196" s="24" t="e">
        <f>SUMIFS(#REF!,#REF!,$B196,#REF!,AI$1)</f>
        <v>#REF!</v>
      </c>
      <c r="AJ196" s="24" t="e">
        <f>SUMIFS(#REF!,#REF!,$B196,#REF!,AJ$1)</f>
        <v>#REF!</v>
      </c>
      <c r="AK196" s="24" t="e">
        <f>SUMIFS(#REF!,#REF!,$B196,#REF!,AK$1)</f>
        <v>#REF!</v>
      </c>
      <c r="AL196" s="24" t="e">
        <f>SUMIFS(#REF!,#REF!,$B196,#REF!,AL$1)</f>
        <v>#REF!</v>
      </c>
      <c r="AM196" s="24" t="e">
        <f>SUMIFS(#REF!,#REF!,$B196,#REF!,AM$1)</f>
        <v>#REF!</v>
      </c>
      <c r="AN196" s="24" t="e">
        <f>SUMIFS(#REF!,#REF!,$B196,#REF!,AN$1)</f>
        <v>#REF!</v>
      </c>
      <c r="AO196" s="24" t="e">
        <f>SUMIFS(#REF!,#REF!,$B196,#REF!,AO$1)</f>
        <v>#REF!</v>
      </c>
      <c r="AP196" s="24" t="e">
        <f>SUMIFS(#REF!,#REF!,$B196,#REF!,AP$1)</f>
        <v>#REF!</v>
      </c>
      <c r="AQ196" s="24" t="e">
        <f>SUMIFS(#REF!,#REF!,$B196,#REF!,AQ$1)</f>
        <v>#REF!</v>
      </c>
      <c r="AR196" s="24" t="e">
        <f>SUMIFS(#REF!,#REF!,$B196,#REF!,AR$1)</f>
        <v>#REF!</v>
      </c>
      <c r="AS196" s="24" t="e">
        <f>SUMIFS(#REF!,#REF!,$B196,#REF!,AS$1)</f>
        <v>#REF!</v>
      </c>
      <c r="AT196" s="24" t="e">
        <f>SUMIFS(#REF!,#REF!,$B196,#REF!,AT$1)</f>
        <v>#REF!</v>
      </c>
      <c r="AU196" s="24" t="e">
        <f>SUMIFS(#REF!,#REF!,$B196,#REF!,AU$1)</f>
        <v>#REF!</v>
      </c>
      <c r="AV196" s="24" t="e">
        <f>SUMIFS(#REF!,#REF!,$B196,#REF!,AV$1)</f>
        <v>#REF!</v>
      </c>
      <c r="AW196" s="24" t="e">
        <f>SUMIFS(#REF!,#REF!,$B196,#REF!,AW$1)</f>
        <v>#REF!</v>
      </c>
      <c r="AX196" s="24" t="e">
        <f>SUMIFS(#REF!,#REF!,$B196,#REF!,AX$1)</f>
        <v>#REF!</v>
      </c>
      <c r="AY196" s="24" t="e">
        <f>SUMIFS(#REF!,#REF!,$B196,#REF!,AY$1)</f>
        <v>#REF!</v>
      </c>
      <c r="AZ196" s="24" t="e">
        <f>SUMIFS(#REF!,#REF!,$B196,#REF!,AZ$1)</f>
        <v>#REF!</v>
      </c>
      <c r="BA196" s="24" t="e">
        <f>SUMIFS(#REF!,#REF!,$B196,#REF!,BA$1)</f>
        <v>#REF!</v>
      </c>
      <c r="BB196" s="24" t="e">
        <f>SUMIFS(#REF!,#REF!,$B196,#REF!,BB$1)</f>
        <v>#REF!</v>
      </c>
      <c r="BC196" s="24" t="e">
        <f>SUMIFS(#REF!,#REF!,$B196,#REF!,BC$1)</f>
        <v>#REF!</v>
      </c>
      <c r="BD196" s="24" t="e">
        <f>SUMIFS(#REF!,#REF!,$B196,#REF!,BD$1)</f>
        <v>#REF!</v>
      </c>
      <c r="BE196" s="24" t="e">
        <f>SUMIFS(#REF!,#REF!,$B196,#REF!,BE$1)</f>
        <v>#REF!</v>
      </c>
      <c r="BF196" s="24" t="e">
        <f>SUMIFS(#REF!,#REF!,$B196,#REF!,BF$1)</f>
        <v>#REF!</v>
      </c>
      <c r="BG196" s="24" t="e">
        <f>SUMIFS(#REF!,#REF!,$B196,#REF!,BG$1)</f>
        <v>#REF!</v>
      </c>
      <c r="BH196" s="24" t="e">
        <f>SUMIFS(#REF!,#REF!,$B196,#REF!,BH$1)</f>
        <v>#REF!</v>
      </c>
      <c r="BI196" s="24" t="e">
        <f>SUMIFS(#REF!,#REF!,$B196,#REF!,BI$1)</f>
        <v>#REF!</v>
      </c>
      <c r="BJ196" s="24" t="e">
        <f>SUMIFS(#REF!,#REF!,$B196,#REF!,BJ$1)</f>
        <v>#REF!</v>
      </c>
      <c r="BK196" s="24" t="e">
        <f>SUMIFS(#REF!,#REF!,$B196,#REF!,BK$1)</f>
        <v>#REF!</v>
      </c>
      <c r="BL196" s="24" t="e">
        <f>SUMIFS(#REF!,#REF!,$B196,#REF!,BL$1)</f>
        <v>#REF!</v>
      </c>
      <c r="BM196" s="24" t="e">
        <f>SUMIFS(#REF!,#REF!,$B196,#REF!,BM$1)</f>
        <v>#REF!</v>
      </c>
      <c r="BN196" s="24" t="e">
        <f>SUMIFS(#REF!,#REF!,$B196,#REF!,BN$1)</f>
        <v>#REF!</v>
      </c>
      <c r="BO196" s="24" t="e">
        <f>SUMIFS(#REF!,#REF!,$B196,#REF!,BO$1)</f>
        <v>#REF!</v>
      </c>
      <c r="BP196" s="24" t="e">
        <f>SUMIFS(#REF!,#REF!,$B196,#REF!,BP$1)</f>
        <v>#REF!</v>
      </c>
      <c r="BQ196" s="24" t="e">
        <f>SUMIFS(#REF!,#REF!,$B196,#REF!,BQ$1)</f>
        <v>#REF!</v>
      </c>
      <c r="BR196" s="24" t="e">
        <f>SUMIFS(#REF!,#REF!,$B196,#REF!,BR$1)</f>
        <v>#REF!</v>
      </c>
      <c r="BS196" s="24" t="e">
        <f>SUMIFS(#REF!,#REF!,$B196,#REF!,BS$1)</f>
        <v>#REF!</v>
      </c>
      <c r="BT196" s="24" t="e">
        <f>SUMIFS(#REF!,#REF!,$B196,#REF!,BT$1)</f>
        <v>#REF!</v>
      </c>
      <c r="BU196" s="24" t="e">
        <f>SUMIFS(#REF!,#REF!,$B196,#REF!,BU$1)</f>
        <v>#REF!</v>
      </c>
      <c r="BV196" s="24" t="e">
        <f>SUMIFS(#REF!,#REF!,$B196,#REF!,BV$1)</f>
        <v>#REF!</v>
      </c>
      <c r="BW196" s="24" t="e">
        <f>SUMIFS(#REF!,#REF!,$B196,#REF!,BW$1)</f>
        <v>#REF!</v>
      </c>
      <c r="BX196" s="24" t="e">
        <f>SUMIFS(#REF!,#REF!,$B196,#REF!,BX$1)</f>
        <v>#REF!</v>
      </c>
      <c r="BY196" s="24" t="e">
        <f>SUMIFS(#REF!,#REF!,$B196,#REF!,BY$1)</f>
        <v>#REF!</v>
      </c>
      <c r="BZ196" s="24" t="e">
        <f>SUMIFS(#REF!,#REF!,$B196,#REF!,BZ$1)</f>
        <v>#REF!</v>
      </c>
      <c r="CA196" s="24" t="e">
        <f>SUMIFS(#REF!,#REF!,$B196,#REF!,CA$1)</f>
        <v>#REF!</v>
      </c>
      <c r="CB196" s="24" t="e">
        <f>SUMIFS(#REF!,#REF!,$B196,#REF!,CB$1)</f>
        <v>#REF!</v>
      </c>
      <c r="CC196" s="24" t="e">
        <f>SUMIFS(#REF!,#REF!,$B196,#REF!,CC$1)</f>
        <v>#REF!</v>
      </c>
      <c r="CD196" s="24" t="e">
        <f>SUMIFS(#REF!,#REF!,$B196,#REF!,CD$1)</f>
        <v>#REF!</v>
      </c>
      <c r="CE196" s="24" t="e">
        <f>SUMIFS(#REF!,#REF!,$B196,#REF!,CE$1)</f>
        <v>#REF!</v>
      </c>
      <c r="CF196" s="24" t="e">
        <f>SUMIFS(#REF!,#REF!,$B196,#REF!,CF$1)</f>
        <v>#REF!</v>
      </c>
      <c r="CG196" s="19" t="e">
        <f t="shared" si="3"/>
        <v>#REF!</v>
      </c>
    </row>
    <row r="197" spans="1:85" x14ac:dyDescent="0.45">
      <c r="A197" s="4" t="s">
        <v>1376</v>
      </c>
      <c r="B197" s="4" t="s">
        <v>1377</v>
      </c>
      <c r="C197" s="24" t="e">
        <f>SUMIFS(#REF!,#REF!,$B197,#REF!,C$1)</f>
        <v>#REF!</v>
      </c>
      <c r="D197" s="24" t="e">
        <f>SUMIFS(#REF!,#REF!,$B197,#REF!,D$1)</f>
        <v>#REF!</v>
      </c>
      <c r="E197" s="24" t="e">
        <f>SUMIFS(#REF!,#REF!,$B197,#REF!,E$1)</f>
        <v>#REF!</v>
      </c>
      <c r="F197" s="24" t="e">
        <f>SUMIFS(#REF!,#REF!,$B197,#REF!,F$1)</f>
        <v>#REF!</v>
      </c>
      <c r="G197" s="24" t="e">
        <f>SUMIFS(#REF!,#REF!,$B197,#REF!,G$1)</f>
        <v>#REF!</v>
      </c>
      <c r="H197" s="24" t="e">
        <f>SUMIFS(#REF!,#REF!,$B197,#REF!,H$1)</f>
        <v>#REF!</v>
      </c>
      <c r="I197" s="24" t="e">
        <f>SUMIFS(#REF!,#REF!,$B197,#REF!,I$1)</f>
        <v>#REF!</v>
      </c>
      <c r="J197" s="24" t="e">
        <f>SUMIFS(#REF!,#REF!,$B197,#REF!,J$1)</f>
        <v>#REF!</v>
      </c>
      <c r="K197" s="24" t="e">
        <f>SUMIFS(#REF!,#REF!,$B197,#REF!,K$1)</f>
        <v>#REF!</v>
      </c>
      <c r="L197" s="24" t="e">
        <f>SUMIFS(#REF!,#REF!,$B197,#REF!,L$1)</f>
        <v>#REF!</v>
      </c>
      <c r="M197" s="24" t="e">
        <f>SUMIFS(#REF!,#REF!,$B197,#REF!,M$1)</f>
        <v>#REF!</v>
      </c>
      <c r="N197" s="24" t="e">
        <f>SUMIFS(#REF!,#REF!,$B197,#REF!,N$1)</f>
        <v>#REF!</v>
      </c>
      <c r="O197" s="24" t="e">
        <f>SUMIFS(#REF!,#REF!,$B197,#REF!,O$1)</f>
        <v>#REF!</v>
      </c>
      <c r="P197" s="24" t="e">
        <f>SUMIFS(#REF!,#REF!,$B197,#REF!,P$1)</f>
        <v>#REF!</v>
      </c>
      <c r="Q197" s="24" t="e">
        <f>SUMIFS(#REF!,#REF!,$B197,#REF!,Q$1)</f>
        <v>#REF!</v>
      </c>
      <c r="R197" s="24" t="e">
        <f>SUMIFS(#REF!,#REF!,$B197,#REF!,R$1)</f>
        <v>#REF!</v>
      </c>
      <c r="S197" s="24" t="e">
        <f>SUMIFS(#REF!,#REF!,$B197,#REF!,S$1)</f>
        <v>#REF!</v>
      </c>
      <c r="T197" s="24" t="e">
        <f>SUMIFS(#REF!,#REF!,$B197,#REF!,T$1)</f>
        <v>#REF!</v>
      </c>
      <c r="U197" s="24" t="e">
        <f>SUMIFS(#REF!,#REF!,$B197,#REF!,U$1)</f>
        <v>#REF!</v>
      </c>
      <c r="V197" s="24" t="e">
        <f>SUMIFS(#REF!,#REF!,$B197,#REF!,V$1)</f>
        <v>#REF!</v>
      </c>
      <c r="W197" s="24" t="e">
        <f>SUMIFS(#REF!,#REF!,$B197,#REF!,W$1)</f>
        <v>#REF!</v>
      </c>
      <c r="X197" s="24" t="e">
        <f>SUMIFS(#REF!,#REF!,$B197,#REF!,X$1)</f>
        <v>#REF!</v>
      </c>
      <c r="Y197" s="24" t="e">
        <f>SUMIFS(#REF!,#REF!,$B197,#REF!,Y$1)</f>
        <v>#REF!</v>
      </c>
      <c r="Z197" s="24" t="e">
        <f>SUMIFS(#REF!,#REF!,$B197,#REF!,Z$1)</f>
        <v>#REF!</v>
      </c>
      <c r="AA197" s="24" t="e">
        <f>SUMIFS(#REF!,#REF!,$B197,#REF!,AA$1)</f>
        <v>#REF!</v>
      </c>
      <c r="AB197" s="24" t="e">
        <f>SUMIFS(#REF!,#REF!,$B197,#REF!,AB$1)</f>
        <v>#REF!</v>
      </c>
      <c r="AC197" s="24" t="e">
        <f>SUMIFS(#REF!,#REF!,$B197,#REF!,AC$1)</f>
        <v>#REF!</v>
      </c>
      <c r="AD197" s="24" t="e">
        <f>SUMIFS(#REF!,#REF!,$B197,#REF!,AD$1)</f>
        <v>#REF!</v>
      </c>
      <c r="AE197" s="24" t="e">
        <f>SUMIFS(#REF!,#REF!,$B197,#REF!,AE$1)</f>
        <v>#REF!</v>
      </c>
      <c r="AF197" s="24" t="e">
        <f>SUMIFS(#REF!,#REF!,$B197,#REF!,AF$1)</f>
        <v>#REF!</v>
      </c>
      <c r="AG197" s="24" t="e">
        <f>SUMIFS(#REF!,#REF!,$B197,#REF!,AG$1)</f>
        <v>#REF!</v>
      </c>
      <c r="AH197" s="24" t="e">
        <f>SUMIFS(#REF!,#REF!,$B197,#REF!,AH$1)</f>
        <v>#REF!</v>
      </c>
      <c r="AI197" s="24" t="e">
        <f>SUMIFS(#REF!,#REF!,$B197,#REF!,AI$1)</f>
        <v>#REF!</v>
      </c>
      <c r="AJ197" s="24" t="e">
        <f>SUMIFS(#REF!,#REF!,$B197,#REF!,AJ$1)</f>
        <v>#REF!</v>
      </c>
      <c r="AK197" s="24" t="e">
        <f>SUMIFS(#REF!,#REF!,$B197,#REF!,AK$1)</f>
        <v>#REF!</v>
      </c>
      <c r="AL197" s="24" t="e">
        <f>SUMIFS(#REF!,#REF!,$B197,#REF!,AL$1)</f>
        <v>#REF!</v>
      </c>
      <c r="AM197" s="24" t="e">
        <f>SUMIFS(#REF!,#REF!,$B197,#REF!,AM$1)</f>
        <v>#REF!</v>
      </c>
      <c r="AN197" s="24" t="e">
        <f>SUMIFS(#REF!,#REF!,$B197,#REF!,AN$1)</f>
        <v>#REF!</v>
      </c>
      <c r="AO197" s="24" t="e">
        <f>SUMIFS(#REF!,#REF!,$B197,#REF!,AO$1)</f>
        <v>#REF!</v>
      </c>
      <c r="AP197" s="24" t="e">
        <f>SUMIFS(#REF!,#REF!,$B197,#REF!,AP$1)</f>
        <v>#REF!</v>
      </c>
      <c r="AQ197" s="24" t="e">
        <f>SUMIFS(#REF!,#REF!,$B197,#REF!,AQ$1)</f>
        <v>#REF!</v>
      </c>
      <c r="AR197" s="24" t="e">
        <f>SUMIFS(#REF!,#REF!,$B197,#REF!,AR$1)</f>
        <v>#REF!</v>
      </c>
      <c r="AS197" s="24" t="e">
        <f>SUMIFS(#REF!,#REF!,$B197,#REF!,AS$1)</f>
        <v>#REF!</v>
      </c>
      <c r="AT197" s="24" t="e">
        <f>SUMIFS(#REF!,#REF!,$B197,#REF!,AT$1)</f>
        <v>#REF!</v>
      </c>
      <c r="AU197" s="24" t="e">
        <f>SUMIFS(#REF!,#REF!,$B197,#REF!,AU$1)</f>
        <v>#REF!</v>
      </c>
      <c r="AV197" s="24" t="e">
        <f>SUMIFS(#REF!,#REF!,$B197,#REF!,AV$1)</f>
        <v>#REF!</v>
      </c>
      <c r="AW197" s="24" t="e">
        <f>SUMIFS(#REF!,#REF!,$B197,#REF!,AW$1)</f>
        <v>#REF!</v>
      </c>
      <c r="AX197" s="24" t="e">
        <f>SUMIFS(#REF!,#REF!,$B197,#REF!,AX$1)</f>
        <v>#REF!</v>
      </c>
      <c r="AY197" s="24" t="e">
        <f>SUMIFS(#REF!,#REF!,$B197,#REF!,AY$1)</f>
        <v>#REF!</v>
      </c>
      <c r="AZ197" s="24" t="e">
        <f>SUMIFS(#REF!,#REF!,$B197,#REF!,AZ$1)</f>
        <v>#REF!</v>
      </c>
      <c r="BA197" s="24" t="e">
        <f>SUMIFS(#REF!,#REF!,$B197,#REF!,BA$1)</f>
        <v>#REF!</v>
      </c>
      <c r="BB197" s="24" t="e">
        <f>SUMIFS(#REF!,#REF!,$B197,#REF!,BB$1)</f>
        <v>#REF!</v>
      </c>
      <c r="BC197" s="24" t="e">
        <f>SUMIFS(#REF!,#REF!,$B197,#REF!,BC$1)</f>
        <v>#REF!</v>
      </c>
      <c r="BD197" s="24" t="e">
        <f>SUMIFS(#REF!,#REF!,$B197,#REF!,BD$1)</f>
        <v>#REF!</v>
      </c>
      <c r="BE197" s="24" t="e">
        <f>SUMIFS(#REF!,#REF!,$B197,#REF!,BE$1)</f>
        <v>#REF!</v>
      </c>
      <c r="BF197" s="24" t="e">
        <f>SUMIFS(#REF!,#REF!,$B197,#REF!,BF$1)</f>
        <v>#REF!</v>
      </c>
      <c r="BG197" s="24" t="e">
        <f>SUMIFS(#REF!,#REF!,$B197,#REF!,BG$1)</f>
        <v>#REF!</v>
      </c>
      <c r="BH197" s="24" t="e">
        <f>SUMIFS(#REF!,#REF!,$B197,#REF!,BH$1)</f>
        <v>#REF!</v>
      </c>
      <c r="BI197" s="24" t="e">
        <f>SUMIFS(#REF!,#REF!,$B197,#REF!,BI$1)</f>
        <v>#REF!</v>
      </c>
      <c r="BJ197" s="24" t="e">
        <f>SUMIFS(#REF!,#REF!,$B197,#REF!,BJ$1)</f>
        <v>#REF!</v>
      </c>
      <c r="BK197" s="24" t="e">
        <f>SUMIFS(#REF!,#REF!,$B197,#REF!,BK$1)</f>
        <v>#REF!</v>
      </c>
      <c r="BL197" s="24" t="e">
        <f>SUMIFS(#REF!,#REF!,$B197,#REF!,BL$1)</f>
        <v>#REF!</v>
      </c>
      <c r="BM197" s="24" t="e">
        <f>SUMIFS(#REF!,#REF!,$B197,#REF!,BM$1)</f>
        <v>#REF!</v>
      </c>
      <c r="BN197" s="24" t="e">
        <f>SUMIFS(#REF!,#REF!,$B197,#REF!,BN$1)</f>
        <v>#REF!</v>
      </c>
      <c r="BO197" s="24" t="e">
        <f>SUMIFS(#REF!,#REF!,$B197,#REF!,BO$1)</f>
        <v>#REF!</v>
      </c>
      <c r="BP197" s="24" t="e">
        <f>SUMIFS(#REF!,#REF!,$B197,#REF!,BP$1)</f>
        <v>#REF!</v>
      </c>
      <c r="BQ197" s="24" t="e">
        <f>SUMIFS(#REF!,#REF!,$B197,#REF!,BQ$1)</f>
        <v>#REF!</v>
      </c>
      <c r="BR197" s="24" t="e">
        <f>SUMIFS(#REF!,#REF!,$B197,#REF!,BR$1)</f>
        <v>#REF!</v>
      </c>
      <c r="BS197" s="24" t="e">
        <f>SUMIFS(#REF!,#REF!,$B197,#REF!,BS$1)</f>
        <v>#REF!</v>
      </c>
      <c r="BT197" s="24" t="e">
        <f>SUMIFS(#REF!,#REF!,$B197,#REF!,BT$1)</f>
        <v>#REF!</v>
      </c>
      <c r="BU197" s="24" t="e">
        <f>SUMIFS(#REF!,#REF!,$B197,#REF!,BU$1)</f>
        <v>#REF!</v>
      </c>
      <c r="BV197" s="24" t="e">
        <f>SUMIFS(#REF!,#REF!,$B197,#REF!,BV$1)</f>
        <v>#REF!</v>
      </c>
      <c r="BW197" s="24" t="e">
        <f>SUMIFS(#REF!,#REF!,$B197,#REF!,BW$1)</f>
        <v>#REF!</v>
      </c>
      <c r="BX197" s="24" t="e">
        <f>SUMIFS(#REF!,#REF!,$B197,#REF!,BX$1)</f>
        <v>#REF!</v>
      </c>
      <c r="BY197" s="24" t="e">
        <f>SUMIFS(#REF!,#REF!,$B197,#REF!,BY$1)</f>
        <v>#REF!</v>
      </c>
      <c r="BZ197" s="24" t="e">
        <f>SUMIFS(#REF!,#REF!,$B197,#REF!,BZ$1)</f>
        <v>#REF!</v>
      </c>
      <c r="CA197" s="24" t="e">
        <f>SUMIFS(#REF!,#REF!,$B197,#REF!,CA$1)</f>
        <v>#REF!</v>
      </c>
      <c r="CB197" s="24" t="e">
        <f>SUMIFS(#REF!,#REF!,$B197,#REF!,CB$1)</f>
        <v>#REF!</v>
      </c>
      <c r="CC197" s="24" t="e">
        <f>SUMIFS(#REF!,#REF!,$B197,#REF!,CC$1)</f>
        <v>#REF!</v>
      </c>
      <c r="CD197" s="24" t="e">
        <f>SUMIFS(#REF!,#REF!,$B197,#REF!,CD$1)</f>
        <v>#REF!</v>
      </c>
      <c r="CE197" s="24" t="e">
        <f>SUMIFS(#REF!,#REF!,$B197,#REF!,CE$1)</f>
        <v>#REF!</v>
      </c>
      <c r="CF197" s="24" t="e">
        <f>SUMIFS(#REF!,#REF!,$B197,#REF!,CF$1)</f>
        <v>#REF!</v>
      </c>
      <c r="CG197" s="19" t="e">
        <f t="shared" si="3"/>
        <v>#REF!</v>
      </c>
    </row>
    <row r="198" spans="1:85" x14ac:dyDescent="0.45">
      <c r="A198" s="4" t="s">
        <v>1378</v>
      </c>
      <c r="B198" s="4" t="s">
        <v>1379</v>
      </c>
      <c r="C198" s="24" t="e">
        <f>SUMIFS(#REF!,#REF!,$B198,#REF!,C$1)</f>
        <v>#REF!</v>
      </c>
      <c r="D198" s="24" t="e">
        <f>SUMIFS(#REF!,#REF!,$B198,#REF!,D$1)</f>
        <v>#REF!</v>
      </c>
      <c r="E198" s="24" t="e">
        <f>SUMIFS(#REF!,#REF!,$B198,#REF!,E$1)</f>
        <v>#REF!</v>
      </c>
      <c r="F198" s="24" t="e">
        <f>SUMIFS(#REF!,#REF!,$B198,#REF!,F$1)</f>
        <v>#REF!</v>
      </c>
      <c r="G198" s="24" t="e">
        <f>SUMIFS(#REF!,#REF!,$B198,#REF!,G$1)</f>
        <v>#REF!</v>
      </c>
      <c r="H198" s="24" t="e">
        <f>SUMIFS(#REF!,#REF!,$B198,#REF!,H$1)</f>
        <v>#REF!</v>
      </c>
      <c r="I198" s="24" t="e">
        <f>SUMIFS(#REF!,#REF!,$B198,#REF!,I$1)</f>
        <v>#REF!</v>
      </c>
      <c r="J198" s="24" t="e">
        <f>SUMIFS(#REF!,#REF!,$B198,#REF!,J$1)</f>
        <v>#REF!</v>
      </c>
      <c r="K198" s="24" t="e">
        <f>SUMIFS(#REF!,#REF!,$B198,#REF!,K$1)</f>
        <v>#REF!</v>
      </c>
      <c r="L198" s="24" t="e">
        <f>SUMIFS(#REF!,#REF!,$B198,#REF!,L$1)</f>
        <v>#REF!</v>
      </c>
      <c r="M198" s="24" t="e">
        <f>SUMIFS(#REF!,#REF!,$B198,#REF!,M$1)</f>
        <v>#REF!</v>
      </c>
      <c r="N198" s="24" t="e">
        <f>SUMIFS(#REF!,#REF!,$B198,#REF!,N$1)</f>
        <v>#REF!</v>
      </c>
      <c r="O198" s="24" t="e">
        <f>SUMIFS(#REF!,#REF!,$B198,#REF!,O$1)</f>
        <v>#REF!</v>
      </c>
      <c r="P198" s="24" t="e">
        <f>SUMIFS(#REF!,#REF!,$B198,#REF!,P$1)</f>
        <v>#REF!</v>
      </c>
      <c r="Q198" s="24" t="e">
        <f>SUMIFS(#REF!,#REF!,$B198,#REF!,Q$1)</f>
        <v>#REF!</v>
      </c>
      <c r="R198" s="24" t="e">
        <f>SUMIFS(#REF!,#REF!,$B198,#REF!,R$1)</f>
        <v>#REF!</v>
      </c>
      <c r="S198" s="24" t="e">
        <f>SUMIFS(#REF!,#REF!,$B198,#REF!,S$1)</f>
        <v>#REF!</v>
      </c>
      <c r="T198" s="24" t="e">
        <f>SUMIFS(#REF!,#REF!,$B198,#REF!,T$1)</f>
        <v>#REF!</v>
      </c>
      <c r="U198" s="24" t="e">
        <f>SUMIFS(#REF!,#REF!,$B198,#REF!,U$1)</f>
        <v>#REF!</v>
      </c>
      <c r="V198" s="24" t="e">
        <f>SUMIFS(#REF!,#REF!,$B198,#REF!,V$1)</f>
        <v>#REF!</v>
      </c>
      <c r="W198" s="24" t="e">
        <f>SUMIFS(#REF!,#REF!,$B198,#REF!,W$1)</f>
        <v>#REF!</v>
      </c>
      <c r="X198" s="24" t="e">
        <f>SUMIFS(#REF!,#REF!,$B198,#REF!,X$1)</f>
        <v>#REF!</v>
      </c>
      <c r="Y198" s="24" t="e">
        <f>SUMIFS(#REF!,#REF!,$B198,#REF!,Y$1)</f>
        <v>#REF!</v>
      </c>
      <c r="Z198" s="24" t="e">
        <f>SUMIFS(#REF!,#REF!,$B198,#REF!,Z$1)</f>
        <v>#REF!</v>
      </c>
      <c r="AA198" s="24" t="e">
        <f>SUMIFS(#REF!,#REF!,$B198,#REF!,AA$1)</f>
        <v>#REF!</v>
      </c>
      <c r="AB198" s="24" t="e">
        <f>SUMIFS(#REF!,#REF!,$B198,#REF!,AB$1)</f>
        <v>#REF!</v>
      </c>
      <c r="AC198" s="24" t="e">
        <f>SUMIFS(#REF!,#REF!,$B198,#REF!,AC$1)</f>
        <v>#REF!</v>
      </c>
      <c r="AD198" s="24" t="e">
        <f>SUMIFS(#REF!,#REF!,$B198,#REF!,AD$1)</f>
        <v>#REF!</v>
      </c>
      <c r="AE198" s="24" t="e">
        <f>SUMIFS(#REF!,#REF!,$B198,#REF!,AE$1)</f>
        <v>#REF!</v>
      </c>
      <c r="AF198" s="24" t="e">
        <f>SUMIFS(#REF!,#REF!,$B198,#REF!,AF$1)</f>
        <v>#REF!</v>
      </c>
      <c r="AG198" s="24" t="e">
        <f>SUMIFS(#REF!,#REF!,$B198,#REF!,AG$1)</f>
        <v>#REF!</v>
      </c>
      <c r="AH198" s="24" t="e">
        <f>SUMIFS(#REF!,#REF!,$B198,#REF!,AH$1)</f>
        <v>#REF!</v>
      </c>
      <c r="AI198" s="24" t="e">
        <f>SUMIFS(#REF!,#REF!,$B198,#REF!,AI$1)</f>
        <v>#REF!</v>
      </c>
      <c r="AJ198" s="24" t="e">
        <f>SUMIFS(#REF!,#REF!,$B198,#REF!,AJ$1)</f>
        <v>#REF!</v>
      </c>
      <c r="AK198" s="24" t="e">
        <f>SUMIFS(#REF!,#REF!,$B198,#REF!,AK$1)</f>
        <v>#REF!</v>
      </c>
      <c r="AL198" s="24" t="e">
        <f>SUMIFS(#REF!,#REF!,$B198,#REF!,AL$1)</f>
        <v>#REF!</v>
      </c>
      <c r="AM198" s="24" t="e">
        <f>SUMIFS(#REF!,#REF!,$B198,#REF!,AM$1)</f>
        <v>#REF!</v>
      </c>
      <c r="AN198" s="24" t="e">
        <f>SUMIFS(#REF!,#REF!,$B198,#REF!,AN$1)</f>
        <v>#REF!</v>
      </c>
      <c r="AO198" s="24" t="e">
        <f>SUMIFS(#REF!,#REF!,$B198,#REF!,AO$1)</f>
        <v>#REF!</v>
      </c>
      <c r="AP198" s="24" t="e">
        <f>SUMIFS(#REF!,#REF!,$B198,#REF!,AP$1)</f>
        <v>#REF!</v>
      </c>
      <c r="AQ198" s="24" t="e">
        <f>SUMIFS(#REF!,#REF!,$B198,#REF!,AQ$1)</f>
        <v>#REF!</v>
      </c>
      <c r="AR198" s="24" t="e">
        <f>SUMIFS(#REF!,#REF!,$B198,#REF!,AR$1)</f>
        <v>#REF!</v>
      </c>
      <c r="AS198" s="24" t="e">
        <f>SUMIFS(#REF!,#REF!,$B198,#REF!,AS$1)</f>
        <v>#REF!</v>
      </c>
      <c r="AT198" s="24" t="e">
        <f>SUMIFS(#REF!,#REF!,$B198,#REF!,AT$1)</f>
        <v>#REF!</v>
      </c>
      <c r="AU198" s="24" t="e">
        <f>SUMIFS(#REF!,#REF!,$B198,#REF!,AU$1)</f>
        <v>#REF!</v>
      </c>
      <c r="AV198" s="24" t="e">
        <f>SUMIFS(#REF!,#REF!,$B198,#REF!,AV$1)</f>
        <v>#REF!</v>
      </c>
      <c r="AW198" s="24" t="e">
        <f>SUMIFS(#REF!,#REF!,$B198,#REF!,AW$1)</f>
        <v>#REF!</v>
      </c>
      <c r="AX198" s="24" t="e">
        <f>SUMIFS(#REF!,#REF!,$B198,#REF!,AX$1)</f>
        <v>#REF!</v>
      </c>
      <c r="AY198" s="24" t="e">
        <f>SUMIFS(#REF!,#REF!,$B198,#REF!,AY$1)</f>
        <v>#REF!</v>
      </c>
      <c r="AZ198" s="24" t="e">
        <f>SUMIFS(#REF!,#REF!,$B198,#REF!,AZ$1)</f>
        <v>#REF!</v>
      </c>
      <c r="BA198" s="24" t="e">
        <f>SUMIFS(#REF!,#REF!,$B198,#REF!,BA$1)</f>
        <v>#REF!</v>
      </c>
      <c r="BB198" s="24" t="e">
        <f>SUMIFS(#REF!,#REF!,$B198,#REF!,BB$1)</f>
        <v>#REF!</v>
      </c>
      <c r="BC198" s="24" t="e">
        <f>SUMIFS(#REF!,#REF!,$B198,#REF!,BC$1)</f>
        <v>#REF!</v>
      </c>
      <c r="BD198" s="24" t="e">
        <f>SUMIFS(#REF!,#REF!,$B198,#REF!,BD$1)</f>
        <v>#REF!</v>
      </c>
      <c r="BE198" s="24" t="e">
        <f>SUMIFS(#REF!,#REF!,$B198,#REF!,BE$1)</f>
        <v>#REF!</v>
      </c>
      <c r="BF198" s="24" t="e">
        <f>SUMIFS(#REF!,#REF!,$B198,#REF!,BF$1)</f>
        <v>#REF!</v>
      </c>
      <c r="BG198" s="24" t="e">
        <f>SUMIFS(#REF!,#REF!,$B198,#REF!,BG$1)</f>
        <v>#REF!</v>
      </c>
      <c r="BH198" s="24" t="e">
        <f>SUMIFS(#REF!,#REF!,$B198,#REF!,BH$1)</f>
        <v>#REF!</v>
      </c>
      <c r="BI198" s="24" t="e">
        <f>SUMIFS(#REF!,#REF!,$B198,#REF!,BI$1)</f>
        <v>#REF!</v>
      </c>
      <c r="BJ198" s="24" t="e">
        <f>SUMIFS(#REF!,#REF!,$B198,#REF!,BJ$1)</f>
        <v>#REF!</v>
      </c>
      <c r="BK198" s="24" t="e">
        <f>SUMIFS(#REF!,#REF!,$B198,#REF!,BK$1)</f>
        <v>#REF!</v>
      </c>
      <c r="BL198" s="24" t="e">
        <f>SUMIFS(#REF!,#REF!,$B198,#REF!,BL$1)</f>
        <v>#REF!</v>
      </c>
      <c r="BM198" s="24" t="e">
        <f>SUMIFS(#REF!,#REF!,$B198,#REF!,BM$1)</f>
        <v>#REF!</v>
      </c>
      <c r="BN198" s="24" t="e">
        <f>SUMIFS(#REF!,#REF!,$B198,#REF!,BN$1)</f>
        <v>#REF!</v>
      </c>
      <c r="BO198" s="24" t="e">
        <f>SUMIFS(#REF!,#REF!,$B198,#REF!,BO$1)</f>
        <v>#REF!</v>
      </c>
      <c r="BP198" s="24" t="e">
        <f>SUMIFS(#REF!,#REF!,$B198,#REF!,BP$1)</f>
        <v>#REF!</v>
      </c>
      <c r="BQ198" s="24" t="e">
        <f>SUMIFS(#REF!,#REF!,$B198,#REF!,BQ$1)</f>
        <v>#REF!</v>
      </c>
      <c r="BR198" s="24" t="e">
        <f>SUMIFS(#REF!,#REF!,$B198,#REF!,BR$1)</f>
        <v>#REF!</v>
      </c>
      <c r="BS198" s="24" t="e">
        <f>SUMIFS(#REF!,#REF!,$B198,#REF!,BS$1)</f>
        <v>#REF!</v>
      </c>
      <c r="BT198" s="24" t="e">
        <f>SUMIFS(#REF!,#REF!,$B198,#REF!,BT$1)</f>
        <v>#REF!</v>
      </c>
      <c r="BU198" s="24" t="e">
        <f>SUMIFS(#REF!,#REF!,$B198,#REF!,BU$1)</f>
        <v>#REF!</v>
      </c>
      <c r="BV198" s="24" t="e">
        <f>SUMIFS(#REF!,#REF!,$B198,#REF!,BV$1)</f>
        <v>#REF!</v>
      </c>
      <c r="BW198" s="24" t="e">
        <f>SUMIFS(#REF!,#REF!,$B198,#REF!,BW$1)</f>
        <v>#REF!</v>
      </c>
      <c r="BX198" s="24" t="e">
        <f>SUMIFS(#REF!,#REF!,$B198,#REF!,BX$1)</f>
        <v>#REF!</v>
      </c>
      <c r="BY198" s="24" t="e">
        <f>SUMIFS(#REF!,#REF!,$B198,#REF!,BY$1)</f>
        <v>#REF!</v>
      </c>
      <c r="BZ198" s="24" t="e">
        <f>SUMIFS(#REF!,#REF!,$B198,#REF!,BZ$1)</f>
        <v>#REF!</v>
      </c>
      <c r="CA198" s="24" t="e">
        <f>SUMIFS(#REF!,#REF!,$B198,#REF!,CA$1)</f>
        <v>#REF!</v>
      </c>
      <c r="CB198" s="24" t="e">
        <f>SUMIFS(#REF!,#REF!,$B198,#REF!,CB$1)</f>
        <v>#REF!</v>
      </c>
      <c r="CC198" s="24" t="e">
        <f>SUMIFS(#REF!,#REF!,$B198,#REF!,CC$1)</f>
        <v>#REF!</v>
      </c>
      <c r="CD198" s="24" t="e">
        <f>SUMIFS(#REF!,#REF!,$B198,#REF!,CD$1)</f>
        <v>#REF!</v>
      </c>
      <c r="CE198" s="24" t="e">
        <f>SUMIFS(#REF!,#REF!,$B198,#REF!,CE$1)</f>
        <v>#REF!</v>
      </c>
      <c r="CF198" s="24" t="e">
        <f>SUMIFS(#REF!,#REF!,$B198,#REF!,CF$1)</f>
        <v>#REF!</v>
      </c>
      <c r="CG198" s="19" t="e">
        <f t="shared" si="3"/>
        <v>#REF!</v>
      </c>
    </row>
    <row r="199" spans="1:85" x14ac:dyDescent="0.45">
      <c r="A199" s="4" t="s">
        <v>1380</v>
      </c>
      <c r="B199" s="4" t="s">
        <v>1381</v>
      </c>
      <c r="C199" s="24" t="e">
        <f>SUMIFS(#REF!,#REF!,$B199,#REF!,C$1)</f>
        <v>#REF!</v>
      </c>
      <c r="D199" s="24" t="e">
        <f>SUMIFS(#REF!,#REF!,$B199,#REF!,D$1)</f>
        <v>#REF!</v>
      </c>
      <c r="E199" s="24" t="e">
        <f>SUMIFS(#REF!,#REF!,$B199,#REF!,E$1)</f>
        <v>#REF!</v>
      </c>
      <c r="F199" s="24" t="e">
        <f>SUMIFS(#REF!,#REF!,$B199,#REF!,F$1)</f>
        <v>#REF!</v>
      </c>
      <c r="G199" s="24" t="e">
        <f>SUMIFS(#REF!,#REF!,$B199,#REF!,G$1)</f>
        <v>#REF!</v>
      </c>
      <c r="H199" s="24" t="e">
        <f>SUMIFS(#REF!,#REF!,$B199,#REF!,H$1)</f>
        <v>#REF!</v>
      </c>
      <c r="I199" s="24" t="e">
        <f>SUMIFS(#REF!,#REF!,$B199,#REF!,I$1)</f>
        <v>#REF!</v>
      </c>
      <c r="J199" s="24" t="e">
        <f>SUMIFS(#REF!,#REF!,$B199,#REF!,J$1)</f>
        <v>#REF!</v>
      </c>
      <c r="K199" s="24" t="e">
        <f>SUMIFS(#REF!,#REF!,$B199,#REF!,K$1)</f>
        <v>#REF!</v>
      </c>
      <c r="L199" s="24" t="e">
        <f>SUMIFS(#REF!,#REF!,$B199,#REF!,L$1)</f>
        <v>#REF!</v>
      </c>
      <c r="M199" s="24" t="e">
        <f>SUMIFS(#REF!,#REF!,$B199,#REF!,M$1)</f>
        <v>#REF!</v>
      </c>
      <c r="N199" s="24" t="e">
        <f>SUMIFS(#REF!,#REF!,$B199,#REF!,N$1)</f>
        <v>#REF!</v>
      </c>
      <c r="O199" s="24" t="e">
        <f>SUMIFS(#REF!,#REF!,$B199,#REF!,O$1)</f>
        <v>#REF!</v>
      </c>
      <c r="P199" s="24" t="e">
        <f>SUMIFS(#REF!,#REF!,$B199,#REF!,P$1)</f>
        <v>#REF!</v>
      </c>
      <c r="Q199" s="24" t="e">
        <f>SUMIFS(#REF!,#REF!,$B199,#REF!,Q$1)</f>
        <v>#REF!</v>
      </c>
      <c r="R199" s="24" t="e">
        <f>SUMIFS(#REF!,#REF!,$B199,#REF!,R$1)</f>
        <v>#REF!</v>
      </c>
      <c r="S199" s="24" t="e">
        <f>SUMIFS(#REF!,#REF!,$B199,#REF!,S$1)</f>
        <v>#REF!</v>
      </c>
      <c r="T199" s="24" t="e">
        <f>SUMIFS(#REF!,#REF!,$B199,#REF!,T$1)</f>
        <v>#REF!</v>
      </c>
      <c r="U199" s="24" t="e">
        <f>SUMIFS(#REF!,#REF!,$B199,#REF!,U$1)</f>
        <v>#REF!</v>
      </c>
      <c r="V199" s="24" t="e">
        <f>SUMIFS(#REF!,#REF!,$B199,#REF!,V$1)</f>
        <v>#REF!</v>
      </c>
      <c r="W199" s="24" t="e">
        <f>SUMIFS(#REF!,#REF!,$B199,#REF!,W$1)</f>
        <v>#REF!</v>
      </c>
      <c r="X199" s="24" t="e">
        <f>SUMIFS(#REF!,#REF!,$B199,#REF!,X$1)</f>
        <v>#REF!</v>
      </c>
      <c r="Y199" s="24" t="e">
        <f>SUMIFS(#REF!,#REF!,$B199,#REF!,Y$1)</f>
        <v>#REF!</v>
      </c>
      <c r="Z199" s="24" t="e">
        <f>SUMIFS(#REF!,#REF!,$B199,#REF!,Z$1)</f>
        <v>#REF!</v>
      </c>
      <c r="AA199" s="24" t="e">
        <f>SUMIFS(#REF!,#REF!,$B199,#REF!,AA$1)</f>
        <v>#REF!</v>
      </c>
      <c r="AB199" s="24" t="e">
        <f>SUMIFS(#REF!,#REF!,$B199,#REF!,AB$1)</f>
        <v>#REF!</v>
      </c>
      <c r="AC199" s="24" t="e">
        <f>SUMIFS(#REF!,#REF!,$B199,#REF!,AC$1)</f>
        <v>#REF!</v>
      </c>
      <c r="AD199" s="24" t="e">
        <f>SUMIFS(#REF!,#REF!,$B199,#REF!,AD$1)</f>
        <v>#REF!</v>
      </c>
      <c r="AE199" s="24" t="e">
        <f>SUMIFS(#REF!,#REF!,$B199,#REF!,AE$1)</f>
        <v>#REF!</v>
      </c>
      <c r="AF199" s="24" t="e">
        <f>SUMIFS(#REF!,#REF!,$B199,#REF!,AF$1)</f>
        <v>#REF!</v>
      </c>
      <c r="AG199" s="24" t="e">
        <f>SUMIFS(#REF!,#REF!,$B199,#REF!,AG$1)</f>
        <v>#REF!</v>
      </c>
      <c r="AH199" s="24" t="e">
        <f>SUMIFS(#REF!,#REF!,$B199,#REF!,AH$1)</f>
        <v>#REF!</v>
      </c>
      <c r="AI199" s="24" t="e">
        <f>SUMIFS(#REF!,#REF!,$B199,#REF!,AI$1)</f>
        <v>#REF!</v>
      </c>
      <c r="AJ199" s="24" t="e">
        <f>SUMIFS(#REF!,#REF!,$B199,#REF!,AJ$1)</f>
        <v>#REF!</v>
      </c>
      <c r="AK199" s="24" t="e">
        <f>SUMIFS(#REF!,#REF!,$B199,#REF!,AK$1)</f>
        <v>#REF!</v>
      </c>
      <c r="AL199" s="24" t="e">
        <f>SUMIFS(#REF!,#REF!,$B199,#REF!,AL$1)</f>
        <v>#REF!</v>
      </c>
      <c r="AM199" s="24" t="e">
        <f>SUMIFS(#REF!,#REF!,$B199,#REF!,AM$1)</f>
        <v>#REF!</v>
      </c>
      <c r="AN199" s="24" t="e">
        <f>SUMIFS(#REF!,#REF!,$B199,#REF!,AN$1)</f>
        <v>#REF!</v>
      </c>
      <c r="AO199" s="24" t="e">
        <f>SUMIFS(#REF!,#REF!,$B199,#REF!,AO$1)</f>
        <v>#REF!</v>
      </c>
      <c r="AP199" s="24" t="e">
        <f>SUMIFS(#REF!,#REF!,$B199,#REF!,AP$1)</f>
        <v>#REF!</v>
      </c>
      <c r="AQ199" s="24" t="e">
        <f>SUMIFS(#REF!,#REF!,$B199,#REF!,AQ$1)</f>
        <v>#REF!</v>
      </c>
      <c r="AR199" s="24" t="e">
        <f>SUMIFS(#REF!,#REF!,$B199,#REF!,AR$1)</f>
        <v>#REF!</v>
      </c>
      <c r="AS199" s="24" t="e">
        <f>SUMIFS(#REF!,#REF!,$B199,#REF!,AS$1)</f>
        <v>#REF!</v>
      </c>
      <c r="AT199" s="24" t="e">
        <f>SUMIFS(#REF!,#REF!,$B199,#REF!,AT$1)</f>
        <v>#REF!</v>
      </c>
      <c r="AU199" s="24" t="e">
        <f>SUMIFS(#REF!,#REF!,$B199,#REF!,AU$1)</f>
        <v>#REF!</v>
      </c>
      <c r="AV199" s="24" t="e">
        <f>SUMIFS(#REF!,#REF!,$B199,#REF!,AV$1)</f>
        <v>#REF!</v>
      </c>
      <c r="AW199" s="24" t="e">
        <f>SUMIFS(#REF!,#REF!,$B199,#REF!,AW$1)</f>
        <v>#REF!</v>
      </c>
      <c r="AX199" s="24" t="e">
        <f>SUMIFS(#REF!,#REF!,$B199,#REF!,AX$1)</f>
        <v>#REF!</v>
      </c>
      <c r="AY199" s="24" t="e">
        <f>SUMIFS(#REF!,#REF!,$B199,#REF!,AY$1)</f>
        <v>#REF!</v>
      </c>
      <c r="AZ199" s="24" t="e">
        <f>SUMIFS(#REF!,#REF!,$B199,#REF!,AZ$1)</f>
        <v>#REF!</v>
      </c>
      <c r="BA199" s="24" t="e">
        <f>SUMIFS(#REF!,#REF!,$B199,#REF!,BA$1)</f>
        <v>#REF!</v>
      </c>
      <c r="BB199" s="24" t="e">
        <f>SUMIFS(#REF!,#REF!,$B199,#REF!,BB$1)</f>
        <v>#REF!</v>
      </c>
      <c r="BC199" s="24" t="e">
        <f>SUMIFS(#REF!,#REF!,$B199,#REF!,BC$1)</f>
        <v>#REF!</v>
      </c>
      <c r="BD199" s="24" t="e">
        <f>SUMIFS(#REF!,#REF!,$B199,#REF!,BD$1)</f>
        <v>#REF!</v>
      </c>
      <c r="BE199" s="24" t="e">
        <f>SUMIFS(#REF!,#REF!,$B199,#REF!,BE$1)</f>
        <v>#REF!</v>
      </c>
      <c r="BF199" s="24" t="e">
        <f>SUMIFS(#REF!,#REF!,$B199,#REF!,BF$1)</f>
        <v>#REF!</v>
      </c>
      <c r="BG199" s="24" t="e">
        <f>SUMIFS(#REF!,#REF!,$B199,#REF!,BG$1)</f>
        <v>#REF!</v>
      </c>
      <c r="BH199" s="24" t="e">
        <f>SUMIFS(#REF!,#REF!,$B199,#REF!,BH$1)</f>
        <v>#REF!</v>
      </c>
      <c r="BI199" s="24" t="e">
        <f>SUMIFS(#REF!,#REF!,$B199,#REF!,BI$1)</f>
        <v>#REF!</v>
      </c>
      <c r="BJ199" s="24" t="e">
        <f>SUMIFS(#REF!,#REF!,$B199,#REF!,BJ$1)</f>
        <v>#REF!</v>
      </c>
      <c r="BK199" s="24" t="e">
        <f>SUMIFS(#REF!,#REF!,$B199,#REF!,BK$1)</f>
        <v>#REF!</v>
      </c>
      <c r="BL199" s="24" t="e">
        <f>SUMIFS(#REF!,#REF!,$B199,#REF!,BL$1)</f>
        <v>#REF!</v>
      </c>
      <c r="BM199" s="24" t="e">
        <f>SUMIFS(#REF!,#REF!,$B199,#REF!,BM$1)</f>
        <v>#REF!</v>
      </c>
      <c r="BN199" s="24" t="e">
        <f>SUMIFS(#REF!,#REF!,$B199,#REF!,BN$1)</f>
        <v>#REF!</v>
      </c>
      <c r="BO199" s="24" t="e">
        <f>SUMIFS(#REF!,#REF!,$B199,#REF!,BO$1)</f>
        <v>#REF!</v>
      </c>
      <c r="BP199" s="24" t="e">
        <f>SUMIFS(#REF!,#REF!,$B199,#REF!,BP$1)</f>
        <v>#REF!</v>
      </c>
      <c r="BQ199" s="24" t="e">
        <f>SUMIFS(#REF!,#REF!,$B199,#REF!,BQ$1)</f>
        <v>#REF!</v>
      </c>
      <c r="BR199" s="24" t="e">
        <f>SUMIFS(#REF!,#REF!,$B199,#REF!,BR$1)</f>
        <v>#REF!</v>
      </c>
      <c r="BS199" s="24" t="e">
        <f>SUMIFS(#REF!,#REF!,$B199,#REF!,BS$1)</f>
        <v>#REF!</v>
      </c>
      <c r="BT199" s="24" t="e">
        <f>SUMIFS(#REF!,#REF!,$B199,#REF!,BT$1)</f>
        <v>#REF!</v>
      </c>
      <c r="BU199" s="24" t="e">
        <f>SUMIFS(#REF!,#REF!,$B199,#REF!,BU$1)</f>
        <v>#REF!</v>
      </c>
      <c r="BV199" s="24" t="e">
        <f>SUMIFS(#REF!,#REF!,$B199,#REF!,BV$1)</f>
        <v>#REF!</v>
      </c>
      <c r="BW199" s="24" t="e">
        <f>SUMIFS(#REF!,#REF!,$B199,#REF!,BW$1)</f>
        <v>#REF!</v>
      </c>
      <c r="BX199" s="24" t="e">
        <f>SUMIFS(#REF!,#REF!,$B199,#REF!,BX$1)</f>
        <v>#REF!</v>
      </c>
      <c r="BY199" s="24" t="e">
        <f>SUMIFS(#REF!,#REF!,$B199,#REF!,BY$1)</f>
        <v>#REF!</v>
      </c>
      <c r="BZ199" s="24" t="e">
        <f>SUMIFS(#REF!,#REF!,$B199,#REF!,BZ$1)</f>
        <v>#REF!</v>
      </c>
      <c r="CA199" s="24" t="e">
        <f>SUMIFS(#REF!,#REF!,$B199,#REF!,CA$1)</f>
        <v>#REF!</v>
      </c>
      <c r="CB199" s="24" t="e">
        <f>SUMIFS(#REF!,#REF!,$B199,#REF!,CB$1)</f>
        <v>#REF!</v>
      </c>
      <c r="CC199" s="24" t="e">
        <f>SUMIFS(#REF!,#REF!,$B199,#REF!,CC$1)</f>
        <v>#REF!</v>
      </c>
      <c r="CD199" s="24" t="e">
        <f>SUMIFS(#REF!,#REF!,$B199,#REF!,CD$1)</f>
        <v>#REF!</v>
      </c>
      <c r="CE199" s="24" t="e">
        <f>SUMIFS(#REF!,#REF!,$B199,#REF!,CE$1)</f>
        <v>#REF!</v>
      </c>
      <c r="CF199" s="24" t="e">
        <f>SUMIFS(#REF!,#REF!,$B199,#REF!,CF$1)</f>
        <v>#REF!</v>
      </c>
      <c r="CG199" s="19" t="e">
        <f t="shared" si="3"/>
        <v>#REF!</v>
      </c>
    </row>
    <row r="200" spans="1:85" x14ac:dyDescent="0.45">
      <c r="A200" s="4" t="s">
        <v>1382</v>
      </c>
      <c r="B200" s="4" t="s">
        <v>1383</v>
      </c>
      <c r="C200" s="24" t="e">
        <f>SUMIFS(#REF!,#REF!,$B200,#REF!,C$1)</f>
        <v>#REF!</v>
      </c>
      <c r="D200" s="24" t="e">
        <f>SUMIFS(#REF!,#REF!,$B200,#REF!,D$1)</f>
        <v>#REF!</v>
      </c>
      <c r="E200" s="24" t="e">
        <f>SUMIFS(#REF!,#REF!,$B200,#REF!,E$1)</f>
        <v>#REF!</v>
      </c>
      <c r="F200" s="24" t="e">
        <f>SUMIFS(#REF!,#REF!,$B200,#REF!,F$1)</f>
        <v>#REF!</v>
      </c>
      <c r="G200" s="24" t="e">
        <f>SUMIFS(#REF!,#REF!,$B200,#REF!,G$1)</f>
        <v>#REF!</v>
      </c>
      <c r="H200" s="24" t="e">
        <f>SUMIFS(#REF!,#REF!,$B200,#REF!,H$1)</f>
        <v>#REF!</v>
      </c>
      <c r="I200" s="24" t="e">
        <f>SUMIFS(#REF!,#REF!,$B200,#REF!,I$1)</f>
        <v>#REF!</v>
      </c>
      <c r="J200" s="24" t="e">
        <f>SUMIFS(#REF!,#REF!,$B200,#REF!,J$1)</f>
        <v>#REF!</v>
      </c>
      <c r="K200" s="24" t="e">
        <f>SUMIFS(#REF!,#REF!,$B200,#REF!,K$1)</f>
        <v>#REF!</v>
      </c>
      <c r="L200" s="24" t="e">
        <f>SUMIFS(#REF!,#REF!,$B200,#REF!,L$1)</f>
        <v>#REF!</v>
      </c>
      <c r="M200" s="24" t="e">
        <f>SUMIFS(#REF!,#REF!,$B200,#REF!,M$1)</f>
        <v>#REF!</v>
      </c>
      <c r="N200" s="24" t="e">
        <f>SUMIFS(#REF!,#REF!,$B200,#REF!,N$1)</f>
        <v>#REF!</v>
      </c>
      <c r="O200" s="24" t="e">
        <f>SUMIFS(#REF!,#REF!,$B200,#REF!,O$1)</f>
        <v>#REF!</v>
      </c>
      <c r="P200" s="24" t="e">
        <f>SUMIFS(#REF!,#REF!,$B200,#REF!,P$1)</f>
        <v>#REF!</v>
      </c>
      <c r="Q200" s="24" t="e">
        <f>SUMIFS(#REF!,#REF!,$B200,#REF!,Q$1)</f>
        <v>#REF!</v>
      </c>
      <c r="R200" s="24" t="e">
        <f>SUMIFS(#REF!,#REF!,$B200,#REF!,R$1)</f>
        <v>#REF!</v>
      </c>
      <c r="S200" s="24" t="e">
        <f>SUMIFS(#REF!,#REF!,$B200,#REF!,S$1)</f>
        <v>#REF!</v>
      </c>
      <c r="T200" s="24" t="e">
        <f>SUMIFS(#REF!,#REF!,$B200,#REF!,T$1)</f>
        <v>#REF!</v>
      </c>
      <c r="U200" s="24" t="e">
        <f>SUMIFS(#REF!,#REF!,$B200,#REF!,U$1)</f>
        <v>#REF!</v>
      </c>
      <c r="V200" s="24" t="e">
        <f>SUMIFS(#REF!,#REF!,$B200,#REF!,V$1)</f>
        <v>#REF!</v>
      </c>
      <c r="W200" s="24" t="e">
        <f>SUMIFS(#REF!,#REF!,$B200,#REF!,W$1)</f>
        <v>#REF!</v>
      </c>
      <c r="X200" s="24" t="e">
        <f>SUMIFS(#REF!,#REF!,$B200,#REF!,X$1)</f>
        <v>#REF!</v>
      </c>
      <c r="Y200" s="24" t="e">
        <f>SUMIFS(#REF!,#REF!,$B200,#REF!,Y$1)</f>
        <v>#REF!</v>
      </c>
      <c r="Z200" s="24" t="e">
        <f>SUMIFS(#REF!,#REF!,$B200,#REF!,Z$1)</f>
        <v>#REF!</v>
      </c>
      <c r="AA200" s="24" t="e">
        <f>SUMIFS(#REF!,#REF!,$B200,#REF!,AA$1)</f>
        <v>#REF!</v>
      </c>
      <c r="AB200" s="24" t="e">
        <f>SUMIFS(#REF!,#REF!,$B200,#REF!,AB$1)</f>
        <v>#REF!</v>
      </c>
      <c r="AC200" s="24" t="e">
        <f>SUMIFS(#REF!,#REF!,$B200,#REF!,AC$1)</f>
        <v>#REF!</v>
      </c>
      <c r="AD200" s="24" t="e">
        <f>SUMIFS(#REF!,#REF!,$B200,#REF!,AD$1)</f>
        <v>#REF!</v>
      </c>
      <c r="AE200" s="24" t="e">
        <f>SUMIFS(#REF!,#REF!,$B200,#REF!,AE$1)</f>
        <v>#REF!</v>
      </c>
      <c r="AF200" s="24" t="e">
        <f>SUMIFS(#REF!,#REF!,$B200,#REF!,AF$1)</f>
        <v>#REF!</v>
      </c>
      <c r="AG200" s="24" t="e">
        <f>SUMIFS(#REF!,#REF!,$B200,#REF!,AG$1)</f>
        <v>#REF!</v>
      </c>
      <c r="AH200" s="24" t="e">
        <f>SUMIFS(#REF!,#REF!,$B200,#REF!,AH$1)</f>
        <v>#REF!</v>
      </c>
      <c r="AI200" s="24" t="e">
        <f>SUMIFS(#REF!,#REF!,$B200,#REF!,AI$1)</f>
        <v>#REF!</v>
      </c>
      <c r="AJ200" s="24" t="e">
        <f>SUMIFS(#REF!,#REF!,$B200,#REF!,AJ$1)</f>
        <v>#REF!</v>
      </c>
      <c r="AK200" s="24" t="e">
        <f>SUMIFS(#REF!,#REF!,$B200,#REF!,AK$1)</f>
        <v>#REF!</v>
      </c>
      <c r="AL200" s="24" t="e">
        <f>SUMIFS(#REF!,#REF!,$B200,#REF!,AL$1)</f>
        <v>#REF!</v>
      </c>
      <c r="AM200" s="24" t="e">
        <f>SUMIFS(#REF!,#REF!,$B200,#REF!,AM$1)</f>
        <v>#REF!</v>
      </c>
      <c r="AN200" s="24" t="e">
        <f>SUMIFS(#REF!,#REF!,$B200,#REF!,AN$1)</f>
        <v>#REF!</v>
      </c>
      <c r="AO200" s="24" t="e">
        <f>SUMIFS(#REF!,#REF!,$B200,#REF!,AO$1)</f>
        <v>#REF!</v>
      </c>
      <c r="AP200" s="24" t="e">
        <f>SUMIFS(#REF!,#REF!,$B200,#REF!,AP$1)</f>
        <v>#REF!</v>
      </c>
      <c r="AQ200" s="24" t="e">
        <f>SUMIFS(#REF!,#REF!,$B200,#REF!,AQ$1)</f>
        <v>#REF!</v>
      </c>
      <c r="AR200" s="24" t="e">
        <f>SUMIFS(#REF!,#REF!,$B200,#REF!,AR$1)</f>
        <v>#REF!</v>
      </c>
      <c r="AS200" s="24" t="e">
        <f>SUMIFS(#REF!,#REF!,$B200,#REF!,AS$1)</f>
        <v>#REF!</v>
      </c>
      <c r="AT200" s="24" t="e">
        <f>SUMIFS(#REF!,#REF!,$B200,#REF!,AT$1)</f>
        <v>#REF!</v>
      </c>
      <c r="AU200" s="24" t="e">
        <f>SUMIFS(#REF!,#REF!,$B200,#REF!,AU$1)</f>
        <v>#REF!</v>
      </c>
      <c r="AV200" s="24" t="e">
        <f>SUMIFS(#REF!,#REF!,$B200,#REF!,AV$1)</f>
        <v>#REF!</v>
      </c>
      <c r="AW200" s="24" t="e">
        <f>SUMIFS(#REF!,#REF!,$B200,#REF!,AW$1)</f>
        <v>#REF!</v>
      </c>
      <c r="AX200" s="24" t="e">
        <f>SUMIFS(#REF!,#REF!,$B200,#REF!,AX$1)</f>
        <v>#REF!</v>
      </c>
      <c r="AY200" s="24" t="e">
        <f>SUMIFS(#REF!,#REF!,$B200,#REF!,AY$1)</f>
        <v>#REF!</v>
      </c>
      <c r="AZ200" s="24" t="e">
        <f>SUMIFS(#REF!,#REF!,$B200,#REF!,AZ$1)</f>
        <v>#REF!</v>
      </c>
      <c r="BA200" s="24" t="e">
        <f>SUMIFS(#REF!,#REF!,$B200,#REF!,BA$1)</f>
        <v>#REF!</v>
      </c>
      <c r="BB200" s="24" t="e">
        <f>SUMIFS(#REF!,#REF!,$B200,#REF!,BB$1)</f>
        <v>#REF!</v>
      </c>
      <c r="BC200" s="24" t="e">
        <f>SUMIFS(#REF!,#REF!,$B200,#REF!,BC$1)</f>
        <v>#REF!</v>
      </c>
      <c r="BD200" s="24" t="e">
        <f>SUMIFS(#REF!,#REF!,$B200,#REF!,BD$1)</f>
        <v>#REF!</v>
      </c>
      <c r="BE200" s="24" t="e">
        <f>SUMIFS(#REF!,#REF!,$B200,#REF!,BE$1)</f>
        <v>#REF!</v>
      </c>
      <c r="BF200" s="24" t="e">
        <f>SUMIFS(#REF!,#REF!,$B200,#REF!,BF$1)</f>
        <v>#REF!</v>
      </c>
      <c r="BG200" s="24" t="e">
        <f>SUMIFS(#REF!,#REF!,$B200,#REF!,BG$1)</f>
        <v>#REF!</v>
      </c>
      <c r="BH200" s="24" t="e">
        <f>SUMIFS(#REF!,#REF!,$B200,#REF!,BH$1)</f>
        <v>#REF!</v>
      </c>
      <c r="BI200" s="24" t="e">
        <f>SUMIFS(#REF!,#REF!,$B200,#REF!,BI$1)</f>
        <v>#REF!</v>
      </c>
      <c r="BJ200" s="24" t="e">
        <f>SUMIFS(#REF!,#REF!,$B200,#REF!,BJ$1)</f>
        <v>#REF!</v>
      </c>
      <c r="BK200" s="24" t="e">
        <f>SUMIFS(#REF!,#REF!,$B200,#REF!,BK$1)</f>
        <v>#REF!</v>
      </c>
      <c r="BL200" s="24" t="e">
        <f>SUMIFS(#REF!,#REF!,$B200,#REF!,BL$1)</f>
        <v>#REF!</v>
      </c>
      <c r="BM200" s="24" t="e">
        <f>SUMIFS(#REF!,#REF!,$B200,#REF!,BM$1)</f>
        <v>#REF!</v>
      </c>
      <c r="BN200" s="24" t="e">
        <f>SUMIFS(#REF!,#REF!,$B200,#REF!,BN$1)</f>
        <v>#REF!</v>
      </c>
      <c r="BO200" s="24" t="e">
        <f>SUMIFS(#REF!,#REF!,$B200,#REF!,BO$1)</f>
        <v>#REF!</v>
      </c>
      <c r="BP200" s="24" t="e">
        <f>SUMIFS(#REF!,#REF!,$B200,#REF!,BP$1)</f>
        <v>#REF!</v>
      </c>
      <c r="BQ200" s="24" t="e">
        <f>SUMIFS(#REF!,#REF!,$B200,#REF!,BQ$1)</f>
        <v>#REF!</v>
      </c>
      <c r="BR200" s="24" t="e">
        <f>SUMIFS(#REF!,#REF!,$B200,#REF!,BR$1)</f>
        <v>#REF!</v>
      </c>
      <c r="BS200" s="24" t="e">
        <f>SUMIFS(#REF!,#REF!,$B200,#REF!,BS$1)</f>
        <v>#REF!</v>
      </c>
      <c r="BT200" s="24" t="e">
        <f>SUMIFS(#REF!,#REF!,$B200,#REF!,BT$1)</f>
        <v>#REF!</v>
      </c>
      <c r="BU200" s="24" t="e">
        <f>SUMIFS(#REF!,#REF!,$B200,#REF!,BU$1)</f>
        <v>#REF!</v>
      </c>
      <c r="BV200" s="24" t="e">
        <f>SUMIFS(#REF!,#REF!,$B200,#REF!,BV$1)</f>
        <v>#REF!</v>
      </c>
      <c r="BW200" s="24" t="e">
        <f>SUMIFS(#REF!,#REF!,$B200,#REF!,BW$1)</f>
        <v>#REF!</v>
      </c>
      <c r="BX200" s="24" t="e">
        <f>SUMIFS(#REF!,#REF!,$B200,#REF!,BX$1)</f>
        <v>#REF!</v>
      </c>
      <c r="BY200" s="24" t="e">
        <f>SUMIFS(#REF!,#REF!,$B200,#REF!,BY$1)</f>
        <v>#REF!</v>
      </c>
      <c r="BZ200" s="24" t="e">
        <f>SUMIFS(#REF!,#REF!,$B200,#REF!,BZ$1)</f>
        <v>#REF!</v>
      </c>
      <c r="CA200" s="24" t="e">
        <f>SUMIFS(#REF!,#REF!,$B200,#REF!,CA$1)</f>
        <v>#REF!</v>
      </c>
      <c r="CB200" s="24" t="e">
        <f>SUMIFS(#REF!,#REF!,$B200,#REF!,CB$1)</f>
        <v>#REF!</v>
      </c>
      <c r="CC200" s="24" t="e">
        <f>SUMIFS(#REF!,#REF!,$B200,#REF!,CC$1)</f>
        <v>#REF!</v>
      </c>
      <c r="CD200" s="24" t="e">
        <f>SUMIFS(#REF!,#REF!,$B200,#REF!,CD$1)</f>
        <v>#REF!</v>
      </c>
      <c r="CE200" s="24" t="e">
        <f>SUMIFS(#REF!,#REF!,$B200,#REF!,CE$1)</f>
        <v>#REF!</v>
      </c>
      <c r="CF200" s="24" t="e">
        <f>SUMIFS(#REF!,#REF!,$B200,#REF!,CF$1)</f>
        <v>#REF!</v>
      </c>
      <c r="CG200" s="19" t="e">
        <f t="shared" si="3"/>
        <v>#REF!</v>
      </c>
    </row>
    <row r="201" spans="1:85" x14ac:dyDescent="0.45">
      <c r="A201" s="4" t="s">
        <v>1384</v>
      </c>
      <c r="B201" s="4" t="s">
        <v>1385</v>
      </c>
      <c r="C201" s="24" t="e">
        <f>SUMIFS(#REF!,#REF!,$B201,#REF!,C$1)</f>
        <v>#REF!</v>
      </c>
      <c r="D201" s="24" t="e">
        <f>SUMIFS(#REF!,#REF!,$B201,#REF!,D$1)</f>
        <v>#REF!</v>
      </c>
      <c r="E201" s="24" t="e">
        <f>SUMIFS(#REF!,#REF!,$B201,#REF!,E$1)</f>
        <v>#REF!</v>
      </c>
      <c r="F201" s="24" t="e">
        <f>SUMIFS(#REF!,#REF!,$B201,#REF!,F$1)</f>
        <v>#REF!</v>
      </c>
      <c r="G201" s="24" t="e">
        <f>SUMIFS(#REF!,#REF!,$B201,#REF!,G$1)</f>
        <v>#REF!</v>
      </c>
      <c r="H201" s="24" t="e">
        <f>SUMIFS(#REF!,#REF!,$B201,#REF!,H$1)</f>
        <v>#REF!</v>
      </c>
      <c r="I201" s="24" t="e">
        <f>SUMIFS(#REF!,#REF!,$B201,#REF!,I$1)</f>
        <v>#REF!</v>
      </c>
      <c r="J201" s="24" t="e">
        <f>SUMIFS(#REF!,#REF!,$B201,#REF!,J$1)</f>
        <v>#REF!</v>
      </c>
      <c r="K201" s="24" t="e">
        <f>SUMIFS(#REF!,#REF!,$B201,#REF!,K$1)</f>
        <v>#REF!</v>
      </c>
      <c r="L201" s="24" t="e">
        <f>SUMIFS(#REF!,#REF!,$B201,#REF!,L$1)</f>
        <v>#REF!</v>
      </c>
      <c r="M201" s="24" t="e">
        <f>SUMIFS(#REF!,#REF!,$B201,#REF!,M$1)</f>
        <v>#REF!</v>
      </c>
      <c r="N201" s="24" t="e">
        <f>SUMIFS(#REF!,#REF!,$B201,#REF!,N$1)</f>
        <v>#REF!</v>
      </c>
      <c r="O201" s="24" t="e">
        <f>SUMIFS(#REF!,#REF!,$B201,#REF!,O$1)</f>
        <v>#REF!</v>
      </c>
      <c r="P201" s="24" t="e">
        <f>SUMIFS(#REF!,#REF!,$B201,#REF!,P$1)</f>
        <v>#REF!</v>
      </c>
      <c r="Q201" s="24" t="e">
        <f>SUMIFS(#REF!,#REF!,$B201,#REF!,Q$1)</f>
        <v>#REF!</v>
      </c>
      <c r="R201" s="24" t="e">
        <f>SUMIFS(#REF!,#REF!,$B201,#REF!,R$1)</f>
        <v>#REF!</v>
      </c>
      <c r="S201" s="24" t="e">
        <f>SUMIFS(#REF!,#REF!,$B201,#REF!,S$1)</f>
        <v>#REF!</v>
      </c>
      <c r="T201" s="24" t="e">
        <f>SUMIFS(#REF!,#REF!,$B201,#REF!,T$1)</f>
        <v>#REF!</v>
      </c>
      <c r="U201" s="24" t="e">
        <f>SUMIFS(#REF!,#REF!,$B201,#REF!,U$1)</f>
        <v>#REF!</v>
      </c>
      <c r="V201" s="24" t="e">
        <f>SUMIFS(#REF!,#REF!,$B201,#REF!,V$1)</f>
        <v>#REF!</v>
      </c>
      <c r="W201" s="24" t="e">
        <f>SUMIFS(#REF!,#REF!,$B201,#REF!,W$1)</f>
        <v>#REF!</v>
      </c>
      <c r="X201" s="24" t="e">
        <f>SUMIFS(#REF!,#REF!,$B201,#REF!,X$1)</f>
        <v>#REF!</v>
      </c>
      <c r="Y201" s="24" t="e">
        <f>SUMIFS(#REF!,#REF!,$B201,#REF!,Y$1)</f>
        <v>#REF!</v>
      </c>
      <c r="Z201" s="24" t="e">
        <f>SUMIFS(#REF!,#REF!,$B201,#REF!,Z$1)</f>
        <v>#REF!</v>
      </c>
      <c r="AA201" s="24" t="e">
        <f>SUMIFS(#REF!,#REF!,$B201,#REF!,AA$1)</f>
        <v>#REF!</v>
      </c>
      <c r="AB201" s="24" t="e">
        <f>SUMIFS(#REF!,#REF!,$B201,#REF!,AB$1)</f>
        <v>#REF!</v>
      </c>
      <c r="AC201" s="24" t="e">
        <f>SUMIFS(#REF!,#REF!,$B201,#REF!,AC$1)</f>
        <v>#REF!</v>
      </c>
      <c r="AD201" s="24" t="e">
        <f>SUMIFS(#REF!,#REF!,$B201,#REF!,AD$1)</f>
        <v>#REF!</v>
      </c>
      <c r="AE201" s="24" t="e">
        <f>SUMIFS(#REF!,#REF!,$B201,#REF!,AE$1)</f>
        <v>#REF!</v>
      </c>
      <c r="AF201" s="24" t="e">
        <f>SUMIFS(#REF!,#REF!,$B201,#REF!,AF$1)</f>
        <v>#REF!</v>
      </c>
      <c r="AG201" s="24" t="e">
        <f>SUMIFS(#REF!,#REF!,$B201,#REF!,AG$1)</f>
        <v>#REF!</v>
      </c>
      <c r="AH201" s="24" t="e">
        <f>SUMIFS(#REF!,#REF!,$B201,#REF!,AH$1)</f>
        <v>#REF!</v>
      </c>
      <c r="AI201" s="24" t="e">
        <f>SUMIFS(#REF!,#REF!,$B201,#REF!,AI$1)</f>
        <v>#REF!</v>
      </c>
      <c r="AJ201" s="24" t="e">
        <f>SUMIFS(#REF!,#REF!,$B201,#REF!,AJ$1)</f>
        <v>#REF!</v>
      </c>
      <c r="AK201" s="24" t="e">
        <f>SUMIFS(#REF!,#REF!,$B201,#REF!,AK$1)</f>
        <v>#REF!</v>
      </c>
      <c r="AL201" s="24" t="e">
        <f>SUMIFS(#REF!,#REF!,$B201,#REF!,AL$1)</f>
        <v>#REF!</v>
      </c>
      <c r="AM201" s="24" t="e">
        <f>SUMIFS(#REF!,#REF!,$B201,#REF!,AM$1)</f>
        <v>#REF!</v>
      </c>
      <c r="AN201" s="24" t="e">
        <f>SUMIFS(#REF!,#REF!,$B201,#REF!,AN$1)</f>
        <v>#REF!</v>
      </c>
      <c r="AO201" s="24" t="e">
        <f>SUMIFS(#REF!,#REF!,$B201,#REF!,AO$1)</f>
        <v>#REF!</v>
      </c>
      <c r="AP201" s="24" t="e">
        <f>SUMIFS(#REF!,#REF!,$B201,#REF!,AP$1)</f>
        <v>#REF!</v>
      </c>
      <c r="AQ201" s="24" t="e">
        <f>SUMIFS(#REF!,#REF!,$B201,#REF!,AQ$1)</f>
        <v>#REF!</v>
      </c>
      <c r="AR201" s="24" t="e">
        <f>SUMIFS(#REF!,#REF!,$B201,#REF!,AR$1)</f>
        <v>#REF!</v>
      </c>
      <c r="AS201" s="24" t="e">
        <f>SUMIFS(#REF!,#REF!,$B201,#REF!,AS$1)</f>
        <v>#REF!</v>
      </c>
      <c r="AT201" s="24" t="e">
        <f>SUMIFS(#REF!,#REF!,$B201,#REF!,AT$1)</f>
        <v>#REF!</v>
      </c>
      <c r="AU201" s="24" t="e">
        <f>SUMIFS(#REF!,#REF!,$B201,#REF!,AU$1)</f>
        <v>#REF!</v>
      </c>
      <c r="AV201" s="24" t="e">
        <f>SUMIFS(#REF!,#REF!,$B201,#REF!,AV$1)</f>
        <v>#REF!</v>
      </c>
      <c r="AW201" s="24" t="e">
        <f>SUMIFS(#REF!,#REF!,$B201,#REF!,AW$1)</f>
        <v>#REF!</v>
      </c>
      <c r="AX201" s="24" t="e">
        <f>SUMIFS(#REF!,#REF!,$B201,#REF!,AX$1)</f>
        <v>#REF!</v>
      </c>
      <c r="AY201" s="24" t="e">
        <f>SUMIFS(#REF!,#REF!,$B201,#REF!,AY$1)</f>
        <v>#REF!</v>
      </c>
      <c r="AZ201" s="24" t="e">
        <f>SUMIFS(#REF!,#REF!,$B201,#REF!,AZ$1)</f>
        <v>#REF!</v>
      </c>
      <c r="BA201" s="24" t="e">
        <f>SUMIFS(#REF!,#REF!,$B201,#REF!,BA$1)</f>
        <v>#REF!</v>
      </c>
      <c r="BB201" s="24" t="e">
        <f>SUMIFS(#REF!,#REF!,$B201,#REF!,BB$1)</f>
        <v>#REF!</v>
      </c>
      <c r="BC201" s="24" t="e">
        <f>SUMIFS(#REF!,#REF!,$B201,#REF!,BC$1)</f>
        <v>#REF!</v>
      </c>
      <c r="BD201" s="24" t="e">
        <f>SUMIFS(#REF!,#REF!,$B201,#REF!,BD$1)</f>
        <v>#REF!</v>
      </c>
      <c r="BE201" s="24" t="e">
        <f>SUMIFS(#REF!,#REF!,$B201,#REF!,BE$1)</f>
        <v>#REF!</v>
      </c>
      <c r="BF201" s="24" t="e">
        <f>SUMIFS(#REF!,#REF!,$B201,#REF!,BF$1)</f>
        <v>#REF!</v>
      </c>
      <c r="BG201" s="24" t="e">
        <f>SUMIFS(#REF!,#REF!,$B201,#REF!,BG$1)</f>
        <v>#REF!</v>
      </c>
      <c r="BH201" s="24" t="e">
        <f>SUMIFS(#REF!,#REF!,$B201,#REF!,BH$1)</f>
        <v>#REF!</v>
      </c>
      <c r="BI201" s="24" t="e">
        <f>SUMIFS(#REF!,#REF!,$B201,#REF!,BI$1)</f>
        <v>#REF!</v>
      </c>
      <c r="BJ201" s="24" t="e">
        <f>SUMIFS(#REF!,#REF!,$B201,#REF!,BJ$1)</f>
        <v>#REF!</v>
      </c>
      <c r="BK201" s="24" t="e">
        <f>SUMIFS(#REF!,#REF!,$B201,#REF!,BK$1)</f>
        <v>#REF!</v>
      </c>
      <c r="BL201" s="24" t="e">
        <f>SUMIFS(#REF!,#REF!,$B201,#REF!,BL$1)</f>
        <v>#REF!</v>
      </c>
      <c r="BM201" s="24" t="e">
        <f>SUMIFS(#REF!,#REF!,$B201,#REF!,BM$1)</f>
        <v>#REF!</v>
      </c>
      <c r="BN201" s="24" t="e">
        <f>SUMIFS(#REF!,#REF!,$B201,#REF!,BN$1)</f>
        <v>#REF!</v>
      </c>
      <c r="BO201" s="24" t="e">
        <f>SUMIFS(#REF!,#REF!,$B201,#REF!,BO$1)</f>
        <v>#REF!</v>
      </c>
      <c r="BP201" s="24" t="e">
        <f>SUMIFS(#REF!,#REF!,$B201,#REF!,BP$1)</f>
        <v>#REF!</v>
      </c>
      <c r="BQ201" s="24" t="e">
        <f>SUMIFS(#REF!,#REF!,$B201,#REF!,BQ$1)</f>
        <v>#REF!</v>
      </c>
      <c r="BR201" s="24" t="e">
        <f>SUMIFS(#REF!,#REF!,$B201,#REF!,BR$1)</f>
        <v>#REF!</v>
      </c>
      <c r="BS201" s="24" t="e">
        <f>SUMIFS(#REF!,#REF!,$B201,#REF!,BS$1)</f>
        <v>#REF!</v>
      </c>
      <c r="BT201" s="24" t="e">
        <f>SUMIFS(#REF!,#REF!,$B201,#REF!,BT$1)</f>
        <v>#REF!</v>
      </c>
      <c r="BU201" s="24" t="e">
        <f>SUMIFS(#REF!,#REF!,$B201,#REF!,BU$1)</f>
        <v>#REF!</v>
      </c>
      <c r="BV201" s="24" t="e">
        <f>SUMIFS(#REF!,#REF!,$B201,#REF!,BV$1)</f>
        <v>#REF!</v>
      </c>
      <c r="BW201" s="24" t="e">
        <f>SUMIFS(#REF!,#REF!,$B201,#REF!,BW$1)</f>
        <v>#REF!</v>
      </c>
      <c r="BX201" s="24" t="e">
        <f>SUMIFS(#REF!,#REF!,$B201,#REF!,BX$1)</f>
        <v>#REF!</v>
      </c>
      <c r="BY201" s="24" t="e">
        <f>SUMIFS(#REF!,#REF!,$B201,#REF!,BY$1)</f>
        <v>#REF!</v>
      </c>
      <c r="BZ201" s="24" t="e">
        <f>SUMIFS(#REF!,#REF!,$B201,#REF!,BZ$1)</f>
        <v>#REF!</v>
      </c>
      <c r="CA201" s="24" t="e">
        <f>SUMIFS(#REF!,#REF!,$B201,#REF!,CA$1)</f>
        <v>#REF!</v>
      </c>
      <c r="CB201" s="24" t="e">
        <f>SUMIFS(#REF!,#REF!,$B201,#REF!,CB$1)</f>
        <v>#REF!</v>
      </c>
      <c r="CC201" s="24" t="e">
        <f>SUMIFS(#REF!,#REF!,$B201,#REF!,CC$1)</f>
        <v>#REF!</v>
      </c>
      <c r="CD201" s="24" t="e">
        <f>SUMIFS(#REF!,#REF!,$B201,#REF!,CD$1)</f>
        <v>#REF!</v>
      </c>
      <c r="CE201" s="24" t="e">
        <f>SUMIFS(#REF!,#REF!,$B201,#REF!,CE$1)</f>
        <v>#REF!</v>
      </c>
      <c r="CF201" s="24" t="e">
        <f>SUMIFS(#REF!,#REF!,$B201,#REF!,CF$1)</f>
        <v>#REF!</v>
      </c>
      <c r="CG201" s="19" t="e">
        <f t="shared" si="3"/>
        <v>#REF!</v>
      </c>
    </row>
    <row r="202" spans="1:85" x14ac:dyDescent="0.45">
      <c r="A202" s="4" t="s">
        <v>1386</v>
      </c>
      <c r="B202" s="4" t="s">
        <v>1387</v>
      </c>
      <c r="C202" s="24" t="e">
        <f>SUMIFS(#REF!,#REF!,$B202,#REF!,C$1)</f>
        <v>#REF!</v>
      </c>
      <c r="D202" s="24" t="e">
        <f>SUMIFS(#REF!,#REF!,$B202,#REF!,D$1)</f>
        <v>#REF!</v>
      </c>
      <c r="E202" s="24" t="e">
        <f>SUMIFS(#REF!,#REF!,$B202,#REF!,E$1)</f>
        <v>#REF!</v>
      </c>
      <c r="F202" s="24" t="e">
        <f>SUMIFS(#REF!,#REF!,$B202,#REF!,F$1)</f>
        <v>#REF!</v>
      </c>
      <c r="G202" s="24" t="e">
        <f>SUMIFS(#REF!,#REF!,$B202,#REF!,G$1)</f>
        <v>#REF!</v>
      </c>
      <c r="H202" s="24" t="e">
        <f>SUMIFS(#REF!,#REF!,$B202,#REF!,H$1)</f>
        <v>#REF!</v>
      </c>
      <c r="I202" s="24" t="e">
        <f>SUMIFS(#REF!,#REF!,$B202,#REF!,I$1)</f>
        <v>#REF!</v>
      </c>
      <c r="J202" s="24" t="e">
        <f>SUMIFS(#REF!,#REF!,$B202,#REF!,J$1)</f>
        <v>#REF!</v>
      </c>
      <c r="K202" s="24" t="e">
        <f>SUMIFS(#REF!,#REF!,$B202,#REF!,K$1)</f>
        <v>#REF!</v>
      </c>
      <c r="L202" s="24" t="e">
        <f>SUMIFS(#REF!,#REF!,$B202,#REF!,L$1)</f>
        <v>#REF!</v>
      </c>
      <c r="M202" s="24" t="e">
        <f>SUMIFS(#REF!,#REF!,$B202,#REF!,M$1)</f>
        <v>#REF!</v>
      </c>
      <c r="N202" s="24" t="e">
        <f>SUMIFS(#REF!,#REF!,$B202,#REF!,N$1)</f>
        <v>#REF!</v>
      </c>
      <c r="O202" s="24" t="e">
        <f>SUMIFS(#REF!,#REF!,$B202,#REF!,O$1)</f>
        <v>#REF!</v>
      </c>
      <c r="P202" s="24" t="e">
        <f>SUMIFS(#REF!,#REF!,$B202,#REF!,P$1)</f>
        <v>#REF!</v>
      </c>
      <c r="Q202" s="24" t="e">
        <f>SUMIFS(#REF!,#REF!,$B202,#REF!,Q$1)</f>
        <v>#REF!</v>
      </c>
      <c r="R202" s="24" t="e">
        <f>SUMIFS(#REF!,#REF!,$B202,#REF!,R$1)</f>
        <v>#REF!</v>
      </c>
      <c r="S202" s="24" t="e">
        <f>SUMIFS(#REF!,#REF!,$B202,#REF!,S$1)</f>
        <v>#REF!</v>
      </c>
      <c r="T202" s="24" t="e">
        <f>SUMIFS(#REF!,#REF!,$B202,#REF!,T$1)</f>
        <v>#REF!</v>
      </c>
      <c r="U202" s="24" t="e">
        <f>SUMIFS(#REF!,#REF!,$B202,#REF!,U$1)</f>
        <v>#REF!</v>
      </c>
      <c r="V202" s="24" t="e">
        <f>SUMIFS(#REF!,#REF!,$B202,#REF!,V$1)</f>
        <v>#REF!</v>
      </c>
      <c r="W202" s="24" t="e">
        <f>SUMIFS(#REF!,#REF!,$B202,#REF!,W$1)</f>
        <v>#REF!</v>
      </c>
      <c r="X202" s="24" t="e">
        <f>SUMIFS(#REF!,#REF!,$B202,#REF!,X$1)</f>
        <v>#REF!</v>
      </c>
      <c r="Y202" s="24" t="e">
        <f>SUMIFS(#REF!,#REF!,$B202,#REF!,Y$1)</f>
        <v>#REF!</v>
      </c>
      <c r="Z202" s="24" t="e">
        <f>SUMIFS(#REF!,#REF!,$B202,#REF!,Z$1)</f>
        <v>#REF!</v>
      </c>
      <c r="AA202" s="24" t="e">
        <f>SUMIFS(#REF!,#REF!,$B202,#REF!,AA$1)</f>
        <v>#REF!</v>
      </c>
      <c r="AB202" s="24" t="e">
        <f>SUMIFS(#REF!,#REF!,$B202,#REF!,AB$1)</f>
        <v>#REF!</v>
      </c>
      <c r="AC202" s="24" t="e">
        <f>SUMIFS(#REF!,#REF!,$B202,#REF!,AC$1)</f>
        <v>#REF!</v>
      </c>
      <c r="AD202" s="24" t="e">
        <f>SUMIFS(#REF!,#REF!,$B202,#REF!,AD$1)</f>
        <v>#REF!</v>
      </c>
      <c r="AE202" s="24" t="e">
        <f>SUMIFS(#REF!,#REF!,$B202,#REF!,AE$1)</f>
        <v>#REF!</v>
      </c>
      <c r="AF202" s="24" t="e">
        <f>SUMIFS(#REF!,#REF!,$B202,#REF!,AF$1)</f>
        <v>#REF!</v>
      </c>
      <c r="AG202" s="24" t="e">
        <f>SUMIFS(#REF!,#REF!,$B202,#REF!,AG$1)</f>
        <v>#REF!</v>
      </c>
      <c r="AH202" s="24" t="e">
        <f>SUMIFS(#REF!,#REF!,$B202,#REF!,AH$1)</f>
        <v>#REF!</v>
      </c>
      <c r="AI202" s="24" t="e">
        <f>SUMIFS(#REF!,#REF!,$B202,#REF!,AI$1)</f>
        <v>#REF!</v>
      </c>
      <c r="AJ202" s="24" t="e">
        <f>SUMIFS(#REF!,#REF!,$B202,#REF!,AJ$1)</f>
        <v>#REF!</v>
      </c>
      <c r="AK202" s="24" t="e">
        <f>SUMIFS(#REF!,#REF!,$B202,#REF!,AK$1)</f>
        <v>#REF!</v>
      </c>
      <c r="AL202" s="24" t="e">
        <f>SUMIFS(#REF!,#REF!,$B202,#REF!,AL$1)</f>
        <v>#REF!</v>
      </c>
      <c r="AM202" s="24" t="e">
        <f>SUMIFS(#REF!,#REF!,$B202,#REF!,AM$1)</f>
        <v>#REF!</v>
      </c>
      <c r="AN202" s="24" t="e">
        <f>SUMIFS(#REF!,#REF!,$B202,#REF!,AN$1)</f>
        <v>#REF!</v>
      </c>
      <c r="AO202" s="24" t="e">
        <f>SUMIFS(#REF!,#REF!,$B202,#REF!,AO$1)</f>
        <v>#REF!</v>
      </c>
      <c r="AP202" s="24" t="e">
        <f>SUMIFS(#REF!,#REF!,$B202,#REF!,AP$1)</f>
        <v>#REF!</v>
      </c>
      <c r="AQ202" s="24" t="e">
        <f>SUMIFS(#REF!,#REF!,$B202,#REF!,AQ$1)</f>
        <v>#REF!</v>
      </c>
      <c r="AR202" s="24" t="e">
        <f>SUMIFS(#REF!,#REF!,$B202,#REF!,AR$1)</f>
        <v>#REF!</v>
      </c>
      <c r="AS202" s="24" t="e">
        <f>SUMIFS(#REF!,#REF!,$B202,#REF!,AS$1)</f>
        <v>#REF!</v>
      </c>
      <c r="AT202" s="24" t="e">
        <f>SUMIFS(#REF!,#REF!,$B202,#REF!,AT$1)</f>
        <v>#REF!</v>
      </c>
      <c r="AU202" s="24" t="e">
        <f>SUMIFS(#REF!,#REF!,$B202,#REF!,AU$1)</f>
        <v>#REF!</v>
      </c>
      <c r="AV202" s="24" t="e">
        <f>SUMIFS(#REF!,#REF!,$B202,#REF!,AV$1)</f>
        <v>#REF!</v>
      </c>
      <c r="AW202" s="24" t="e">
        <f>SUMIFS(#REF!,#REF!,$B202,#REF!,AW$1)</f>
        <v>#REF!</v>
      </c>
      <c r="AX202" s="24" t="e">
        <f>SUMIFS(#REF!,#REF!,$B202,#REF!,AX$1)</f>
        <v>#REF!</v>
      </c>
      <c r="AY202" s="24" t="e">
        <f>SUMIFS(#REF!,#REF!,$B202,#REF!,AY$1)</f>
        <v>#REF!</v>
      </c>
      <c r="AZ202" s="24" t="e">
        <f>SUMIFS(#REF!,#REF!,$B202,#REF!,AZ$1)</f>
        <v>#REF!</v>
      </c>
      <c r="BA202" s="24" t="e">
        <f>SUMIFS(#REF!,#REF!,$B202,#REF!,BA$1)</f>
        <v>#REF!</v>
      </c>
      <c r="BB202" s="24" t="e">
        <f>SUMIFS(#REF!,#REF!,$B202,#REF!,BB$1)</f>
        <v>#REF!</v>
      </c>
      <c r="BC202" s="24" t="e">
        <f>SUMIFS(#REF!,#REF!,$B202,#REF!,BC$1)</f>
        <v>#REF!</v>
      </c>
      <c r="BD202" s="24" t="e">
        <f>SUMIFS(#REF!,#REF!,$B202,#REF!,BD$1)</f>
        <v>#REF!</v>
      </c>
      <c r="BE202" s="24" t="e">
        <f>SUMIFS(#REF!,#REF!,$B202,#REF!,BE$1)</f>
        <v>#REF!</v>
      </c>
      <c r="BF202" s="24" t="e">
        <f>SUMIFS(#REF!,#REF!,$B202,#REF!,BF$1)</f>
        <v>#REF!</v>
      </c>
      <c r="BG202" s="24" t="e">
        <f>SUMIFS(#REF!,#REF!,$B202,#REF!,BG$1)</f>
        <v>#REF!</v>
      </c>
      <c r="BH202" s="24" t="e">
        <f>SUMIFS(#REF!,#REF!,$B202,#REF!,BH$1)</f>
        <v>#REF!</v>
      </c>
      <c r="BI202" s="24" t="e">
        <f>SUMIFS(#REF!,#REF!,$B202,#REF!,BI$1)</f>
        <v>#REF!</v>
      </c>
      <c r="BJ202" s="24" t="e">
        <f>SUMIFS(#REF!,#REF!,$B202,#REF!,BJ$1)</f>
        <v>#REF!</v>
      </c>
      <c r="BK202" s="24" t="e">
        <f>SUMIFS(#REF!,#REF!,$B202,#REF!,BK$1)</f>
        <v>#REF!</v>
      </c>
      <c r="BL202" s="24" t="e">
        <f>SUMIFS(#REF!,#REF!,$B202,#REF!,BL$1)</f>
        <v>#REF!</v>
      </c>
      <c r="BM202" s="24" t="e">
        <f>SUMIFS(#REF!,#REF!,$B202,#REF!,BM$1)</f>
        <v>#REF!</v>
      </c>
      <c r="BN202" s="24" t="e">
        <f>SUMIFS(#REF!,#REF!,$B202,#REF!,BN$1)</f>
        <v>#REF!</v>
      </c>
      <c r="BO202" s="24" t="e">
        <f>SUMIFS(#REF!,#REF!,$B202,#REF!,BO$1)</f>
        <v>#REF!</v>
      </c>
      <c r="BP202" s="24" t="e">
        <f>SUMIFS(#REF!,#REF!,$B202,#REF!,BP$1)</f>
        <v>#REF!</v>
      </c>
      <c r="BQ202" s="24" t="e">
        <f>SUMIFS(#REF!,#REF!,$B202,#REF!,BQ$1)</f>
        <v>#REF!</v>
      </c>
      <c r="BR202" s="24" t="e">
        <f>SUMIFS(#REF!,#REF!,$B202,#REF!,BR$1)</f>
        <v>#REF!</v>
      </c>
      <c r="BS202" s="24" t="e">
        <f>SUMIFS(#REF!,#REF!,$B202,#REF!,BS$1)</f>
        <v>#REF!</v>
      </c>
      <c r="BT202" s="24" t="e">
        <f>SUMIFS(#REF!,#REF!,$B202,#REF!,BT$1)</f>
        <v>#REF!</v>
      </c>
      <c r="BU202" s="24" t="e">
        <f>SUMIFS(#REF!,#REF!,$B202,#REF!,BU$1)</f>
        <v>#REF!</v>
      </c>
      <c r="BV202" s="24" t="e">
        <f>SUMIFS(#REF!,#REF!,$B202,#REF!,BV$1)</f>
        <v>#REF!</v>
      </c>
      <c r="BW202" s="24" t="e">
        <f>SUMIFS(#REF!,#REF!,$B202,#REF!,BW$1)</f>
        <v>#REF!</v>
      </c>
      <c r="BX202" s="24" t="e">
        <f>SUMIFS(#REF!,#REF!,$B202,#REF!,BX$1)</f>
        <v>#REF!</v>
      </c>
      <c r="BY202" s="24" t="e">
        <f>SUMIFS(#REF!,#REF!,$B202,#REF!,BY$1)</f>
        <v>#REF!</v>
      </c>
      <c r="BZ202" s="24" t="e">
        <f>SUMIFS(#REF!,#REF!,$B202,#REF!,BZ$1)</f>
        <v>#REF!</v>
      </c>
      <c r="CA202" s="24" t="e">
        <f>SUMIFS(#REF!,#REF!,$B202,#REF!,CA$1)</f>
        <v>#REF!</v>
      </c>
      <c r="CB202" s="24" t="e">
        <f>SUMIFS(#REF!,#REF!,$B202,#REF!,CB$1)</f>
        <v>#REF!</v>
      </c>
      <c r="CC202" s="24" t="e">
        <f>SUMIFS(#REF!,#REF!,$B202,#REF!,CC$1)</f>
        <v>#REF!</v>
      </c>
      <c r="CD202" s="24" t="e">
        <f>SUMIFS(#REF!,#REF!,$B202,#REF!,CD$1)</f>
        <v>#REF!</v>
      </c>
      <c r="CE202" s="24" t="e">
        <f>SUMIFS(#REF!,#REF!,$B202,#REF!,CE$1)</f>
        <v>#REF!</v>
      </c>
      <c r="CF202" s="24" t="e">
        <f>SUMIFS(#REF!,#REF!,$B202,#REF!,CF$1)</f>
        <v>#REF!</v>
      </c>
      <c r="CG202" s="19" t="e">
        <f t="shared" si="3"/>
        <v>#REF!</v>
      </c>
    </row>
    <row r="203" spans="1:85" x14ac:dyDescent="0.45">
      <c r="A203" s="4" t="s">
        <v>1388</v>
      </c>
      <c r="B203" s="4" t="s">
        <v>1389</v>
      </c>
      <c r="C203" s="24" t="e">
        <f>SUMIFS(#REF!,#REF!,$B203,#REF!,C$1)</f>
        <v>#REF!</v>
      </c>
      <c r="D203" s="24" t="e">
        <f>SUMIFS(#REF!,#REF!,$B203,#REF!,D$1)</f>
        <v>#REF!</v>
      </c>
      <c r="E203" s="24" t="e">
        <f>SUMIFS(#REF!,#REF!,$B203,#REF!,E$1)</f>
        <v>#REF!</v>
      </c>
      <c r="F203" s="24" t="e">
        <f>SUMIFS(#REF!,#REF!,$B203,#REF!,F$1)</f>
        <v>#REF!</v>
      </c>
      <c r="G203" s="24" t="e">
        <f>SUMIFS(#REF!,#REF!,$B203,#REF!,G$1)</f>
        <v>#REF!</v>
      </c>
      <c r="H203" s="24" t="e">
        <f>SUMIFS(#REF!,#REF!,$B203,#REF!,H$1)</f>
        <v>#REF!</v>
      </c>
      <c r="I203" s="24" t="e">
        <f>SUMIFS(#REF!,#REF!,$B203,#REF!,I$1)</f>
        <v>#REF!</v>
      </c>
      <c r="J203" s="24" t="e">
        <f>SUMIFS(#REF!,#REF!,$B203,#REF!,J$1)</f>
        <v>#REF!</v>
      </c>
      <c r="K203" s="24" t="e">
        <f>SUMIFS(#REF!,#REF!,$B203,#REF!,K$1)</f>
        <v>#REF!</v>
      </c>
      <c r="L203" s="24" t="e">
        <f>SUMIFS(#REF!,#REF!,$B203,#REF!,L$1)</f>
        <v>#REF!</v>
      </c>
      <c r="M203" s="24" t="e">
        <f>SUMIFS(#REF!,#REF!,$B203,#REF!,M$1)</f>
        <v>#REF!</v>
      </c>
      <c r="N203" s="24" t="e">
        <f>SUMIFS(#REF!,#REF!,$B203,#REF!,N$1)</f>
        <v>#REF!</v>
      </c>
      <c r="O203" s="24" t="e">
        <f>SUMIFS(#REF!,#REF!,$B203,#REF!,O$1)</f>
        <v>#REF!</v>
      </c>
      <c r="P203" s="24" t="e">
        <f>SUMIFS(#REF!,#REF!,$B203,#REF!,P$1)</f>
        <v>#REF!</v>
      </c>
      <c r="Q203" s="24" t="e">
        <f>SUMIFS(#REF!,#REF!,$B203,#REF!,Q$1)</f>
        <v>#REF!</v>
      </c>
      <c r="R203" s="24" t="e">
        <f>SUMIFS(#REF!,#REF!,$B203,#REF!,R$1)</f>
        <v>#REF!</v>
      </c>
      <c r="S203" s="24" t="e">
        <f>SUMIFS(#REF!,#REF!,$B203,#REF!,S$1)</f>
        <v>#REF!</v>
      </c>
      <c r="T203" s="24" t="e">
        <f>SUMIFS(#REF!,#REF!,$B203,#REF!,T$1)</f>
        <v>#REF!</v>
      </c>
      <c r="U203" s="24" t="e">
        <f>SUMIFS(#REF!,#REF!,$B203,#REF!,U$1)</f>
        <v>#REF!</v>
      </c>
      <c r="V203" s="24" t="e">
        <f>SUMIFS(#REF!,#REF!,$B203,#REF!,V$1)</f>
        <v>#REF!</v>
      </c>
      <c r="W203" s="24" t="e">
        <f>SUMIFS(#REF!,#REF!,$B203,#REF!,W$1)</f>
        <v>#REF!</v>
      </c>
      <c r="X203" s="24" t="e">
        <f>SUMIFS(#REF!,#REF!,$B203,#REF!,X$1)</f>
        <v>#REF!</v>
      </c>
      <c r="Y203" s="24" t="e">
        <f>SUMIFS(#REF!,#REF!,$B203,#REF!,Y$1)</f>
        <v>#REF!</v>
      </c>
      <c r="Z203" s="24" t="e">
        <f>SUMIFS(#REF!,#REF!,$B203,#REF!,Z$1)</f>
        <v>#REF!</v>
      </c>
      <c r="AA203" s="24" t="e">
        <f>SUMIFS(#REF!,#REF!,$B203,#REF!,AA$1)</f>
        <v>#REF!</v>
      </c>
      <c r="AB203" s="24" t="e">
        <f>SUMIFS(#REF!,#REF!,$B203,#REF!,AB$1)</f>
        <v>#REF!</v>
      </c>
      <c r="AC203" s="24" t="e">
        <f>SUMIFS(#REF!,#REF!,$B203,#REF!,AC$1)</f>
        <v>#REF!</v>
      </c>
      <c r="AD203" s="24" t="e">
        <f>SUMIFS(#REF!,#REF!,$B203,#REF!,AD$1)</f>
        <v>#REF!</v>
      </c>
      <c r="AE203" s="24" t="e">
        <f>SUMIFS(#REF!,#REF!,$B203,#REF!,AE$1)</f>
        <v>#REF!</v>
      </c>
      <c r="AF203" s="24" t="e">
        <f>SUMIFS(#REF!,#REF!,$B203,#REF!,AF$1)</f>
        <v>#REF!</v>
      </c>
      <c r="AG203" s="24" t="e">
        <f>SUMIFS(#REF!,#REF!,$B203,#REF!,AG$1)</f>
        <v>#REF!</v>
      </c>
      <c r="AH203" s="24" t="e">
        <f>SUMIFS(#REF!,#REF!,$B203,#REF!,AH$1)</f>
        <v>#REF!</v>
      </c>
      <c r="AI203" s="24" t="e">
        <f>SUMIFS(#REF!,#REF!,$B203,#REF!,AI$1)</f>
        <v>#REF!</v>
      </c>
      <c r="AJ203" s="24" t="e">
        <f>SUMIFS(#REF!,#REF!,$B203,#REF!,AJ$1)</f>
        <v>#REF!</v>
      </c>
      <c r="AK203" s="24" t="e">
        <f>SUMIFS(#REF!,#REF!,$B203,#REF!,AK$1)</f>
        <v>#REF!</v>
      </c>
      <c r="AL203" s="24" t="e">
        <f>SUMIFS(#REF!,#REF!,$B203,#REF!,AL$1)</f>
        <v>#REF!</v>
      </c>
      <c r="AM203" s="24" t="e">
        <f>SUMIFS(#REF!,#REF!,$B203,#REF!,AM$1)</f>
        <v>#REF!</v>
      </c>
      <c r="AN203" s="24" t="e">
        <f>SUMIFS(#REF!,#REF!,$B203,#REF!,AN$1)</f>
        <v>#REF!</v>
      </c>
      <c r="AO203" s="24" t="e">
        <f>SUMIFS(#REF!,#REF!,$B203,#REF!,AO$1)</f>
        <v>#REF!</v>
      </c>
      <c r="AP203" s="24" t="e">
        <f>SUMIFS(#REF!,#REF!,$B203,#REF!,AP$1)</f>
        <v>#REF!</v>
      </c>
      <c r="AQ203" s="24" t="e">
        <f>SUMIFS(#REF!,#REF!,$B203,#REF!,AQ$1)</f>
        <v>#REF!</v>
      </c>
      <c r="AR203" s="24" t="e">
        <f>SUMIFS(#REF!,#REF!,$B203,#REF!,AR$1)</f>
        <v>#REF!</v>
      </c>
      <c r="AS203" s="24" t="e">
        <f>SUMIFS(#REF!,#REF!,$B203,#REF!,AS$1)</f>
        <v>#REF!</v>
      </c>
      <c r="AT203" s="24" t="e">
        <f>SUMIFS(#REF!,#REF!,$B203,#REF!,AT$1)</f>
        <v>#REF!</v>
      </c>
      <c r="AU203" s="24" t="e">
        <f>SUMIFS(#REF!,#REF!,$B203,#REF!,AU$1)</f>
        <v>#REF!</v>
      </c>
      <c r="AV203" s="24" t="e">
        <f>SUMIFS(#REF!,#REF!,$B203,#REF!,AV$1)</f>
        <v>#REF!</v>
      </c>
      <c r="AW203" s="24" t="e">
        <f>SUMIFS(#REF!,#REF!,$B203,#REF!,AW$1)</f>
        <v>#REF!</v>
      </c>
      <c r="AX203" s="24" t="e">
        <f>SUMIFS(#REF!,#REF!,$B203,#REF!,AX$1)</f>
        <v>#REF!</v>
      </c>
      <c r="AY203" s="24" t="e">
        <f>SUMIFS(#REF!,#REF!,$B203,#REF!,AY$1)</f>
        <v>#REF!</v>
      </c>
      <c r="AZ203" s="24" t="e">
        <f>SUMIFS(#REF!,#REF!,$B203,#REF!,AZ$1)</f>
        <v>#REF!</v>
      </c>
      <c r="BA203" s="24" t="e">
        <f>SUMIFS(#REF!,#REF!,$B203,#REF!,BA$1)</f>
        <v>#REF!</v>
      </c>
      <c r="BB203" s="24" t="e">
        <f>SUMIFS(#REF!,#REF!,$B203,#REF!,BB$1)</f>
        <v>#REF!</v>
      </c>
      <c r="BC203" s="24" t="e">
        <f>SUMIFS(#REF!,#REF!,$B203,#REF!,BC$1)</f>
        <v>#REF!</v>
      </c>
      <c r="BD203" s="24" t="e">
        <f>SUMIFS(#REF!,#REF!,$B203,#REF!,BD$1)</f>
        <v>#REF!</v>
      </c>
      <c r="BE203" s="24" t="e">
        <f>SUMIFS(#REF!,#REF!,$B203,#REF!,BE$1)</f>
        <v>#REF!</v>
      </c>
      <c r="BF203" s="24" t="e">
        <f>SUMIFS(#REF!,#REF!,$B203,#REF!,BF$1)</f>
        <v>#REF!</v>
      </c>
      <c r="BG203" s="24" t="e">
        <f>SUMIFS(#REF!,#REF!,$B203,#REF!,BG$1)</f>
        <v>#REF!</v>
      </c>
      <c r="BH203" s="24" t="e">
        <f>SUMIFS(#REF!,#REF!,$B203,#REF!,BH$1)</f>
        <v>#REF!</v>
      </c>
      <c r="BI203" s="24" t="e">
        <f>SUMIFS(#REF!,#REF!,$B203,#REF!,BI$1)</f>
        <v>#REF!</v>
      </c>
      <c r="BJ203" s="24" t="e">
        <f>SUMIFS(#REF!,#REF!,$B203,#REF!,BJ$1)</f>
        <v>#REF!</v>
      </c>
      <c r="BK203" s="24" t="e">
        <f>SUMIFS(#REF!,#REF!,$B203,#REF!,BK$1)</f>
        <v>#REF!</v>
      </c>
      <c r="BL203" s="24" t="e">
        <f>SUMIFS(#REF!,#REF!,$B203,#REF!,BL$1)</f>
        <v>#REF!</v>
      </c>
      <c r="BM203" s="24" t="e">
        <f>SUMIFS(#REF!,#REF!,$B203,#REF!,BM$1)</f>
        <v>#REF!</v>
      </c>
      <c r="BN203" s="24" t="e">
        <f>SUMIFS(#REF!,#REF!,$B203,#REF!,BN$1)</f>
        <v>#REF!</v>
      </c>
      <c r="BO203" s="24" t="e">
        <f>SUMIFS(#REF!,#REF!,$B203,#REF!,BO$1)</f>
        <v>#REF!</v>
      </c>
      <c r="BP203" s="24" t="e">
        <f>SUMIFS(#REF!,#REF!,$B203,#REF!,BP$1)</f>
        <v>#REF!</v>
      </c>
      <c r="BQ203" s="24" t="e">
        <f>SUMIFS(#REF!,#REF!,$B203,#REF!,BQ$1)</f>
        <v>#REF!</v>
      </c>
      <c r="BR203" s="24" t="e">
        <f>SUMIFS(#REF!,#REF!,$B203,#REF!,BR$1)</f>
        <v>#REF!</v>
      </c>
      <c r="BS203" s="24" t="e">
        <f>SUMIFS(#REF!,#REF!,$B203,#REF!,BS$1)</f>
        <v>#REF!</v>
      </c>
      <c r="BT203" s="24" t="e">
        <f>SUMIFS(#REF!,#REF!,$B203,#REF!,BT$1)</f>
        <v>#REF!</v>
      </c>
      <c r="BU203" s="24" t="e">
        <f>SUMIFS(#REF!,#REF!,$B203,#REF!,BU$1)</f>
        <v>#REF!</v>
      </c>
      <c r="BV203" s="24" t="e">
        <f>SUMIFS(#REF!,#REF!,$B203,#REF!,BV$1)</f>
        <v>#REF!</v>
      </c>
      <c r="BW203" s="24" t="e">
        <f>SUMIFS(#REF!,#REF!,$B203,#REF!,BW$1)</f>
        <v>#REF!</v>
      </c>
      <c r="BX203" s="24" t="e">
        <f>SUMIFS(#REF!,#REF!,$B203,#REF!,BX$1)</f>
        <v>#REF!</v>
      </c>
      <c r="BY203" s="24" t="e">
        <f>SUMIFS(#REF!,#REF!,$B203,#REF!,BY$1)</f>
        <v>#REF!</v>
      </c>
      <c r="BZ203" s="24" t="e">
        <f>SUMIFS(#REF!,#REF!,$B203,#REF!,BZ$1)</f>
        <v>#REF!</v>
      </c>
      <c r="CA203" s="24" t="e">
        <f>SUMIFS(#REF!,#REF!,$B203,#REF!,CA$1)</f>
        <v>#REF!</v>
      </c>
      <c r="CB203" s="24" t="e">
        <f>SUMIFS(#REF!,#REF!,$B203,#REF!,CB$1)</f>
        <v>#REF!</v>
      </c>
      <c r="CC203" s="24" t="e">
        <f>SUMIFS(#REF!,#REF!,$B203,#REF!,CC$1)</f>
        <v>#REF!</v>
      </c>
      <c r="CD203" s="24" t="e">
        <f>SUMIFS(#REF!,#REF!,$B203,#REF!,CD$1)</f>
        <v>#REF!</v>
      </c>
      <c r="CE203" s="24" t="e">
        <f>SUMIFS(#REF!,#REF!,$B203,#REF!,CE$1)</f>
        <v>#REF!</v>
      </c>
      <c r="CF203" s="24" t="e">
        <f>SUMIFS(#REF!,#REF!,$B203,#REF!,CF$1)</f>
        <v>#REF!</v>
      </c>
      <c r="CG203" s="19" t="e">
        <f t="shared" si="3"/>
        <v>#REF!</v>
      </c>
    </row>
    <row r="204" spans="1:85" x14ac:dyDescent="0.45">
      <c r="A204" s="4" t="s">
        <v>1390</v>
      </c>
      <c r="B204" s="4" t="s">
        <v>1391</v>
      </c>
      <c r="C204" s="24" t="e">
        <f>SUMIFS(#REF!,#REF!,$B204,#REF!,C$1)</f>
        <v>#REF!</v>
      </c>
      <c r="D204" s="24" t="e">
        <f>SUMIFS(#REF!,#REF!,$B204,#REF!,D$1)</f>
        <v>#REF!</v>
      </c>
      <c r="E204" s="24" t="e">
        <f>SUMIFS(#REF!,#REF!,$B204,#REF!,E$1)</f>
        <v>#REF!</v>
      </c>
      <c r="F204" s="24" t="e">
        <f>SUMIFS(#REF!,#REF!,$B204,#REF!,F$1)</f>
        <v>#REF!</v>
      </c>
      <c r="G204" s="24" t="e">
        <f>SUMIFS(#REF!,#REF!,$B204,#REF!,G$1)</f>
        <v>#REF!</v>
      </c>
      <c r="H204" s="24" t="e">
        <f>SUMIFS(#REF!,#REF!,$B204,#REF!,H$1)</f>
        <v>#REF!</v>
      </c>
      <c r="I204" s="24" t="e">
        <f>SUMIFS(#REF!,#REF!,$B204,#REF!,I$1)</f>
        <v>#REF!</v>
      </c>
      <c r="J204" s="24" t="e">
        <f>SUMIFS(#REF!,#REF!,$B204,#REF!,J$1)</f>
        <v>#REF!</v>
      </c>
      <c r="K204" s="24" t="e">
        <f>SUMIFS(#REF!,#REF!,$B204,#REF!,K$1)</f>
        <v>#REF!</v>
      </c>
      <c r="L204" s="24" t="e">
        <f>SUMIFS(#REF!,#REF!,$B204,#REF!,L$1)</f>
        <v>#REF!</v>
      </c>
      <c r="M204" s="24" t="e">
        <f>SUMIFS(#REF!,#REF!,$B204,#REF!,M$1)</f>
        <v>#REF!</v>
      </c>
      <c r="N204" s="24" t="e">
        <f>SUMIFS(#REF!,#REF!,$B204,#REF!,N$1)</f>
        <v>#REF!</v>
      </c>
      <c r="O204" s="24" t="e">
        <f>SUMIFS(#REF!,#REF!,$B204,#REF!,O$1)</f>
        <v>#REF!</v>
      </c>
      <c r="P204" s="24" t="e">
        <f>SUMIFS(#REF!,#REF!,$B204,#REF!,P$1)</f>
        <v>#REF!</v>
      </c>
      <c r="Q204" s="24" t="e">
        <f>SUMIFS(#REF!,#REF!,$B204,#REF!,Q$1)</f>
        <v>#REF!</v>
      </c>
      <c r="R204" s="24" t="e">
        <f>SUMIFS(#REF!,#REF!,$B204,#REF!,R$1)</f>
        <v>#REF!</v>
      </c>
      <c r="S204" s="24" t="e">
        <f>SUMIFS(#REF!,#REF!,$B204,#REF!,S$1)</f>
        <v>#REF!</v>
      </c>
      <c r="T204" s="24" t="e">
        <f>SUMIFS(#REF!,#REF!,$B204,#REF!,T$1)</f>
        <v>#REF!</v>
      </c>
      <c r="U204" s="24" t="e">
        <f>SUMIFS(#REF!,#REF!,$B204,#REF!,U$1)</f>
        <v>#REF!</v>
      </c>
      <c r="V204" s="24" t="e">
        <f>SUMIFS(#REF!,#REF!,$B204,#REF!,V$1)</f>
        <v>#REF!</v>
      </c>
      <c r="W204" s="24" t="e">
        <f>SUMIFS(#REF!,#REF!,$B204,#REF!,W$1)</f>
        <v>#REF!</v>
      </c>
      <c r="X204" s="24" t="e">
        <f>SUMIFS(#REF!,#REF!,$B204,#REF!,X$1)</f>
        <v>#REF!</v>
      </c>
      <c r="Y204" s="24" t="e">
        <f>SUMIFS(#REF!,#REF!,$B204,#REF!,Y$1)</f>
        <v>#REF!</v>
      </c>
      <c r="Z204" s="24" t="e">
        <f>SUMIFS(#REF!,#REF!,$B204,#REF!,Z$1)</f>
        <v>#REF!</v>
      </c>
      <c r="AA204" s="24" t="e">
        <f>SUMIFS(#REF!,#REF!,$B204,#REF!,AA$1)</f>
        <v>#REF!</v>
      </c>
      <c r="AB204" s="24" t="e">
        <f>SUMIFS(#REF!,#REF!,$B204,#REF!,AB$1)</f>
        <v>#REF!</v>
      </c>
      <c r="AC204" s="24" t="e">
        <f>SUMIFS(#REF!,#REF!,$B204,#REF!,AC$1)</f>
        <v>#REF!</v>
      </c>
      <c r="AD204" s="24" t="e">
        <f>SUMIFS(#REF!,#REF!,$B204,#REF!,AD$1)</f>
        <v>#REF!</v>
      </c>
      <c r="AE204" s="24" t="e">
        <f>SUMIFS(#REF!,#REF!,$B204,#REF!,AE$1)</f>
        <v>#REF!</v>
      </c>
      <c r="AF204" s="24" t="e">
        <f>SUMIFS(#REF!,#REF!,$B204,#REF!,AF$1)</f>
        <v>#REF!</v>
      </c>
      <c r="AG204" s="24" t="e">
        <f>SUMIFS(#REF!,#REF!,$B204,#REF!,AG$1)</f>
        <v>#REF!</v>
      </c>
      <c r="AH204" s="24" t="e">
        <f>SUMIFS(#REF!,#REF!,$B204,#REF!,AH$1)</f>
        <v>#REF!</v>
      </c>
      <c r="AI204" s="24" t="e">
        <f>SUMIFS(#REF!,#REF!,$B204,#REF!,AI$1)</f>
        <v>#REF!</v>
      </c>
      <c r="AJ204" s="24" t="e">
        <f>SUMIFS(#REF!,#REF!,$B204,#REF!,AJ$1)</f>
        <v>#REF!</v>
      </c>
      <c r="AK204" s="24" t="e">
        <f>SUMIFS(#REF!,#REF!,$B204,#REF!,AK$1)</f>
        <v>#REF!</v>
      </c>
      <c r="AL204" s="24" t="e">
        <f>SUMIFS(#REF!,#REF!,$B204,#REF!,AL$1)</f>
        <v>#REF!</v>
      </c>
      <c r="AM204" s="24" t="e">
        <f>SUMIFS(#REF!,#REF!,$B204,#REF!,AM$1)</f>
        <v>#REF!</v>
      </c>
      <c r="AN204" s="24" t="e">
        <f>SUMIFS(#REF!,#REF!,$B204,#REF!,AN$1)</f>
        <v>#REF!</v>
      </c>
      <c r="AO204" s="24" t="e">
        <f>SUMIFS(#REF!,#REF!,$B204,#REF!,AO$1)</f>
        <v>#REF!</v>
      </c>
      <c r="AP204" s="24" t="e">
        <f>SUMIFS(#REF!,#REF!,$B204,#REF!,AP$1)</f>
        <v>#REF!</v>
      </c>
      <c r="AQ204" s="24" t="e">
        <f>SUMIFS(#REF!,#REF!,$B204,#REF!,AQ$1)</f>
        <v>#REF!</v>
      </c>
      <c r="AR204" s="24" t="e">
        <f>SUMIFS(#REF!,#REF!,$B204,#REF!,AR$1)</f>
        <v>#REF!</v>
      </c>
      <c r="AS204" s="24" t="e">
        <f>SUMIFS(#REF!,#REF!,$B204,#REF!,AS$1)</f>
        <v>#REF!</v>
      </c>
      <c r="AT204" s="24" t="e">
        <f>SUMIFS(#REF!,#REF!,$B204,#REF!,AT$1)</f>
        <v>#REF!</v>
      </c>
      <c r="AU204" s="24" t="e">
        <f>SUMIFS(#REF!,#REF!,$B204,#REF!,AU$1)</f>
        <v>#REF!</v>
      </c>
      <c r="AV204" s="24" t="e">
        <f>SUMIFS(#REF!,#REF!,$B204,#REF!,AV$1)</f>
        <v>#REF!</v>
      </c>
      <c r="AW204" s="24" t="e">
        <f>SUMIFS(#REF!,#REF!,$B204,#REF!,AW$1)</f>
        <v>#REF!</v>
      </c>
      <c r="AX204" s="24" t="e">
        <f>SUMIFS(#REF!,#REF!,$B204,#REF!,AX$1)</f>
        <v>#REF!</v>
      </c>
      <c r="AY204" s="24" t="e">
        <f>SUMIFS(#REF!,#REF!,$B204,#REF!,AY$1)</f>
        <v>#REF!</v>
      </c>
      <c r="AZ204" s="24" t="e">
        <f>SUMIFS(#REF!,#REF!,$B204,#REF!,AZ$1)</f>
        <v>#REF!</v>
      </c>
      <c r="BA204" s="24" t="e">
        <f>SUMIFS(#REF!,#REF!,$B204,#REF!,BA$1)</f>
        <v>#REF!</v>
      </c>
      <c r="BB204" s="24" t="e">
        <f>SUMIFS(#REF!,#REF!,$B204,#REF!,BB$1)</f>
        <v>#REF!</v>
      </c>
      <c r="BC204" s="24" t="e">
        <f>SUMIFS(#REF!,#REF!,$B204,#REF!,BC$1)</f>
        <v>#REF!</v>
      </c>
      <c r="BD204" s="24" t="e">
        <f>SUMIFS(#REF!,#REF!,$B204,#REF!,BD$1)</f>
        <v>#REF!</v>
      </c>
      <c r="BE204" s="24" t="e">
        <f>SUMIFS(#REF!,#REF!,$B204,#REF!,BE$1)</f>
        <v>#REF!</v>
      </c>
      <c r="BF204" s="24" t="e">
        <f>SUMIFS(#REF!,#REF!,$B204,#REF!,BF$1)</f>
        <v>#REF!</v>
      </c>
      <c r="BG204" s="24" t="e">
        <f>SUMIFS(#REF!,#REF!,$B204,#REF!,BG$1)</f>
        <v>#REF!</v>
      </c>
      <c r="BH204" s="24" t="e">
        <f>SUMIFS(#REF!,#REF!,$B204,#REF!,BH$1)</f>
        <v>#REF!</v>
      </c>
      <c r="BI204" s="24" t="e">
        <f>SUMIFS(#REF!,#REF!,$B204,#REF!,BI$1)</f>
        <v>#REF!</v>
      </c>
      <c r="BJ204" s="24" t="e">
        <f>SUMIFS(#REF!,#REF!,$B204,#REF!,BJ$1)</f>
        <v>#REF!</v>
      </c>
      <c r="BK204" s="24" t="e">
        <f>SUMIFS(#REF!,#REF!,$B204,#REF!,BK$1)</f>
        <v>#REF!</v>
      </c>
      <c r="BL204" s="24" t="e">
        <f>SUMIFS(#REF!,#REF!,$B204,#REF!,BL$1)</f>
        <v>#REF!</v>
      </c>
      <c r="BM204" s="24" t="e">
        <f>SUMIFS(#REF!,#REF!,$B204,#REF!,BM$1)</f>
        <v>#REF!</v>
      </c>
      <c r="BN204" s="24" t="e">
        <f>SUMIFS(#REF!,#REF!,$B204,#REF!,BN$1)</f>
        <v>#REF!</v>
      </c>
      <c r="BO204" s="24" t="e">
        <f>SUMIFS(#REF!,#REF!,$B204,#REF!,BO$1)</f>
        <v>#REF!</v>
      </c>
      <c r="BP204" s="24" t="e">
        <f>SUMIFS(#REF!,#REF!,$B204,#REF!,BP$1)</f>
        <v>#REF!</v>
      </c>
      <c r="BQ204" s="24" t="e">
        <f>SUMIFS(#REF!,#REF!,$B204,#REF!,BQ$1)</f>
        <v>#REF!</v>
      </c>
      <c r="BR204" s="24" t="e">
        <f>SUMIFS(#REF!,#REF!,$B204,#REF!,BR$1)</f>
        <v>#REF!</v>
      </c>
      <c r="BS204" s="24" t="e">
        <f>SUMIFS(#REF!,#REF!,$B204,#REF!,BS$1)</f>
        <v>#REF!</v>
      </c>
      <c r="BT204" s="24" t="e">
        <f>SUMIFS(#REF!,#REF!,$B204,#REF!,BT$1)</f>
        <v>#REF!</v>
      </c>
      <c r="BU204" s="24" t="e">
        <f>SUMIFS(#REF!,#REF!,$B204,#REF!,BU$1)</f>
        <v>#REF!</v>
      </c>
      <c r="BV204" s="24" t="e">
        <f>SUMIFS(#REF!,#REF!,$B204,#REF!,BV$1)</f>
        <v>#REF!</v>
      </c>
      <c r="BW204" s="24" t="e">
        <f>SUMIFS(#REF!,#REF!,$B204,#REF!,BW$1)</f>
        <v>#REF!</v>
      </c>
      <c r="BX204" s="24" t="e">
        <f>SUMIFS(#REF!,#REF!,$B204,#REF!,BX$1)</f>
        <v>#REF!</v>
      </c>
      <c r="BY204" s="24" t="e">
        <f>SUMIFS(#REF!,#REF!,$B204,#REF!,BY$1)</f>
        <v>#REF!</v>
      </c>
      <c r="BZ204" s="24" t="e">
        <f>SUMIFS(#REF!,#REF!,$B204,#REF!,BZ$1)</f>
        <v>#REF!</v>
      </c>
      <c r="CA204" s="24" t="e">
        <f>SUMIFS(#REF!,#REF!,$B204,#REF!,CA$1)</f>
        <v>#REF!</v>
      </c>
      <c r="CB204" s="24" t="e">
        <f>SUMIFS(#REF!,#REF!,$B204,#REF!,CB$1)</f>
        <v>#REF!</v>
      </c>
      <c r="CC204" s="24" t="e">
        <f>SUMIFS(#REF!,#REF!,$B204,#REF!,CC$1)</f>
        <v>#REF!</v>
      </c>
      <c r="CD204" s="24" t="e">
        <f>SUMIFS(#REF!,#REF!,$B204,#REF!,CD$1)</f>
        <v>#REF!</v>
      </c>
      <c r="CE204" s="24" t="e">
        <f>SUMIFS(#REF!,#REF!,$B204,#REF!,CE$1)</f>
        <v>#REF!</v>
      </c>
      <c r="CF204" s="24" t="e">
        <f>SUMIFS(#REF!,#REF!,$B204,#REF!,CF$1)</f>
        <v>#REF!</v>
      </c>
      <c r="CG204" s="19" t="e">
        <f t="shared" si="3"/>
        <v>#REF!</v>
      </c>
    </row>
    <row r="205" spans="1:85" x14ac:dyDescent="0.45">
      <c r="A205" s="4" t="s">
        <v>1392</v>
      </c>
      <c r="B205" s="4" t="s">
        <v>1393</v>
      </c>
      <c r="C205" s="24" t="e">
        <f>SUMIFS(#REF!,#REF!,$B205,#REF!,C$1)</f>
        <v>#REF!</v>
      </c>
      <c r="D205" s="24" t="e">
        <f>SUMIFS(#REF!,#REF!,$B205,#REF!,D$1)</f>
        <v>#REF!</v>
      </c>
      <c r="E205" s="24" t="e">
        <f>SUMIFS(#REF!,#REF!,$B205,#REF!,E$1)</f>
        <v>#REF!</v>
      </c>
      <c r="F205" s="24" t="e">
        <f>SUMIFS(#REF!,#REF!,$B205,#REF!,F$1)</f>
        <v>#REF!</v>
      </c>
      <c r="G205" s="24" t="e">
        <f>SUMIFS(#REF!,#REF!,$B205,#REF!,G$1)</f>
        <v>#REF!</v>
      </c>
      <c r="H205" s="24" t="e">
        <f>SUMIFS(#REF!,#REF!,$B205,#REF!,H$1)</f>
        <v>#REF!</v>
      </c>
      <c r="I205" s="24" t="e">
        <f>SUMIFS(#REF!,#REF!,$B205,#REF!,I$1)</f>
        <v>#REF!</v>
      </c>
      <c r="J205" s="24" t="e">
        <f>SUMIFS(#REF!,#REF!,$B205,#REF!,J$1)</f>
        <v>#REF!</v>
      </c>
      <c r="K205" s="24" t="e">
        <f>SUMIFS(#REF!,#REF!,$B205,#REF!,K$1)</f>
        <v>#REF!</v>
      </c>
      <c r="L205" s="24" t="e">
        <f>SUMIFS(#REF!,#REF!,$B205,#REF!,L$1)</f>
        <v>#REF!</v>
      </c>
      <c r="M205" s="24" t="e">
        <f>SUMIFS(#REF!,#REF!,$B205,#REF!,M$1)</f>
        <v>#REF!</v>
      </c>
      <c r="N205" s="24" t="e">
        <f>SUMIFS(#REF!,#REF!,$B205,#REF!,N$1)</f>
        <v>#REF!</v>
      </c>
      <c r="O205" s="24" t="e">
        <f>SUMIFS(#REF!,#REF!,$B205,#REF!,O$1)</f>
        <v>#REF!</v>
      </c>
      <c r="P205" s="24" t="e">
        <f>SUMIFS(#REF!,#REF!,$B205,#REF!,P$1)</f>
        <v>#REF!</v>
      </c>
      <c r="Q205" s="24" t="e">
        <f>SUMIFS(#REF!,#REF!,$B205,#REF!,Q$1)</f>
        <v>#REF!</v>
      </c>
      <c r="R205" s="24" t="e">
        <f>SUMIFS(#REF!,#REF!,$B205,#REF!,R$1)</f>
        <v>#REF!</v>
      </c>
      <c r="S205" s="24" t="e">
        <f>SUMIFS(#REF!,#REF!,$B205,#REF!,S$1)</f>
        <v>#REF!</v>
      </c>
      <c r="T205" s="24" t="e">
        <f>SUMIFS(#REF!,#REF!,$B205,#REF!,T$1)</f>
        <v>#REF!</v>
      </c>
      <c r="U205" s="24" t="e">
        <f>SUMIFS(#REF!,#REF!,$B205,#REF!,U$1)</f>
        <v>#REF!</v>
      </c>
      <c r="V205" s="24" t="e">
        <f>SUMIFS(#REF!,#REF!,$B205,#REF!,V$1)</f>
        <v>#REF!</v>
      </c>
      <c r="W205" s="24" t="e">
        <f>SUMIFS(#REF!,#REF!,$B205,#REF!,W$1)</f>
        <v>#REF!</v>
      </c>
      <c r="X205" s="24" t="e">
        <f>SUMIFS(#REF!,#REF!,$B205,#REF!,X$1)</f>
        <v>#REF!</v>
      </c>
      <c r="Y205" s="24" t="e">
        <f>SUMIFS(#REF!,#REF!,$B205,#REF!,Y$1)</f>
        <v>#REF!</v>
      </c>
      <c r="Z205" s="24" t="e">
        <f>SUMIFS(#REF!,#REF!,$B205,#REF!,Z$1)</f>
        <v>#REF!</v>
      </c>
      <c r="AA205" s="24" t="e">
        <f>SUMIFS(#REF!,#REF!,$B205,#REF!,AA$1)</f>
        <v>#REF!</v>
      </c>
      <c r="AB205" s="24" t="e">
        <f>SUMIFS(#REF!,#REF!,$B205,#REF!,AB$1)</f>
        <v>#REF!</v>
      </c>
      <c r="AC205" s="24" t="e">
        <f>SUMIFS(#REF!,#REF!,$B205,#REF!,AC$1)</f>
        <v>#REF!</v>
      </c>
      <c r="AD205" s="24" t="e">
        <f>SUMIFS(#REF!,#REF!,$B205,#REF!,AD$1)</f>
        <v>#REF!</v>
      </c>
      <c r="AE205" s="24" t="e">
        <f>SUMIFS(#REF!,#REF!,$B205,#REF!,AE$1)</f>
        <v>#REF!</v>
      </c>
      <c r="AF205" s="24" t="e">
        <f>SUMIFS(#REF!,#REF!,$B205,#REF!,AF$1)</f>
        <v>#REF!</v>
      </c>
      <c r="AG205" s="24" t="e">
        <f>SUMIFS(#REF!,#REF!,$B205,#REF!,AG$1)</f>
        <v>#REF!</v>
      </c>
      <c r="AH205" s="24" t="e">
        <f>SUMIFS(#REF!,#REF!,$B205,#REF!,AH$1)</f>
        <v>#REF!</v>
      </c>
      <c r="AI205" s="24" t="e">
        <f>SUMIFS(#REF!,#REF!,$B205,#REF!,AI$1)</f>
        <v>#REF!</v>
      </c>
      <c r="AJ205" s="24" t="e">
        <f>SUMIFS(#REF!,#REF!,$B205,#REF!,AJ$1)</f>
        <v>#REF!</v>
      </c>
      <c r="AK205" s="24" t="e">
        <f>SUMIFS(#REF!,#REF!,$B205,#REF!,AK$1)</f>
        <v>#REF!</v>
      </c>
      <c r="AL205" s="24" t="e">
        <f>SUMIFS(#REF!,#REF!,$B205,#REF!,AL$1)</f>
        <v>#REF!</v>
      </c>
      <c r="AM205" s="24" t="e">
        <f>SUMIFS(#REF!,#REF!,$B205,#REF!,AM$1)</f>
        <v>#REF!</v>
      </c>
      <c r="AN205" s="24" t="e">
        <f>SUMIFS(#REF!,#REF!,$B205,#REF!,AN$1)</f>
        <v>#REF!</v>
      </c>
      <c r="AO205" s="24" t="e">
        <f>SUMIFS(#REF!,#REF!,$B205,#REF!,AO$1)</f>
        <v>#REF!</v>
      </c>
      <c r="AP205" s="24" t="e">
        <f>SUMIFS(#REF!,#REF!,$B205,#REF!,AP$1)</f>
        <v>#REF!</v>
      </c>
      <c r="AQ205" s="24" t="e">
        <f>SUMIFS(#REF!,#REF!,$B205,#REF!,AQ$1)</f>
        <v>#REF!</v>
      </c>
      <c r="AR205" s="24" t="e">
        <f>SUMIFS(#REF!,#REF!,$B205,#REF!,AR$1)</f>
        <v>#REF!</v>
      </c>
      <c r="AS205" s="24" t="e">
        <f>SUMIFS(#REF!,#REF!,$B205,#REF!,AS$1)</f>
        <v>#REF!</v>
      </c>
      <c r="AT205" s="24" t="e">
        <f>SUMIFS(#REF!,#REF!,$B205,#REF!,AT$1)</f>
        <v>#REF!</v>
      </c>
      <c r="AU205" s="24" t="e">
        <f>SUMIFS(#REF!,#REF!,$B205,#REF!,AU$1)</f>
        <v>#REF!</v>
      </c>
      <c r="AV205" s="24" t="e">
        <f>SUMIFS(#REF!,#REF!,$B205,#REF!,AV$1)</f>
        <v>#REF!</v>
      </c>
      <c r="AW205" s="24" t="e">
        <f>SUMIFS(#REF!,#REF!,$B205,#REF!,AW$1)</f>
        <v>#REF!</v>
      </c>
      <c r="AX205" s="24" t="e">
        <f>SUMIFS(#REF!,#REF!,$B205,#REF!,AX$1)</f>
        <v>#REF!</v>
      </c>
      <c r="AY205" s="24" t="e">
        <f>SUMIFS(#REF!,#REF!,$B205,#REF!,AY$1)</f>
        <v>#REF!</v>
      </c>
      <c r="AZ205" s="24" t="e">
        <f>SUMIFS(#REF!,#REF!,$B205,#REF!,AZ$1)</f>
        <v>#REF!</v>
      </c>
      <c r="BA205" s="24" t="e">
        <f>SUMIFS(#REF!,#REF!,$B205,#REF!,BA$1)</f>
        <v>#REF!</v>
      </c>
      <c r="BB205" s="24" t="e">
        <f>SUMIFS(#REF!,#REF!,$B205,#REF!,BB$1)</f>
        <v>#REF!</v>
      </c>
      <c r="BC205" s="24" t="e">
        <f>SUMIFS(#REF!,#REF!,$B205,#REF!,BC$1)</f>
        <v>#REF!</v>
      </c>
      <c r="BD205" s="24" t="e">
        <f>SUMIFS(#REF!,#REF!,$B205,#REF!,BD$1)</f>
        <v>#REF!</v>
      </c>
      <c r="BE205" s="24" t="e">
        <f>SUMIFS(#REF!,#REF!,$B205,#REF!,BE$1)</f>
        <v>#REF!</v>
      </c>
      <c r="BF205" s="24" t="e">
        <f>SUMIFS(#REF!,#REF!,$B205,#REF!,BF$1)</f>
        <v>#REF!</v>
      </c>
      <c r="BG205" s="24" t="e">
        <f>SUMIFS(#REF!,#REF!,$B205,#REF!,BG$1)</f>
        <v>#REF!</v>
      </c>
      <c r="BH205" s="24" t="e">
        <f>SUMIFS(#REF!,#REF!,$B205,#REF!,BH$1)</f>
        <v>#REF!</v>
      </c>
      <c r="BI205" s="24" t="e">
        <f>SUMIFS(#REF!,#REF!,$B205,#REF!,BI$1)</f>
        <v>#REF!</v>
      </c>
      <c r="BJ205" s="24" t="e">
        <f>SUMIFS(#REF!,#REF!,$B205,#REF!,BJ$1)</f>
        <v>#REF!</v>
      </c>
      <c r="BK205" s="24" t="e">
        <f>SUMIFS(#REF!,#REF!,$B205,#REF!,BK$1)</f>
        <v>#REF!</v>
      </c>
      <c r="BL205" s="24" t="e">
        <f>SUMIFS(#REF!,#REF!,$B205,#REF!,BL$1)</f>
        <v>#REF!</v>
      </c>
      <c r="BM205" s="24" t="e">
        <f>SUMIFS(#REF!,#REF!,$B205,#REF!,BM$1)</f>
        <v>#REF!</v>
      </c>
      <c r="BN205" s="24" t="e">
        <f>SUMIFS(#REF!,#REF!,$B205,#REF!,BN$1)</f>
        <v>#REF!</v>
      </c>
      <c r="BO205" s="24" t="e">
        <f>SUMIFS(#REF!,#REF!,$B205,#REF!,BO$1)</f>
        <v>#REF!</v>
      </c>
      <c r="BP205" s="24" t="e">
        <f>SUMIFS(#REF!,#REF!,$B205,#REF!,BP$1)</f>
        <v>#REF!</v>
      </c>
      <c r="BQ205" s="24" t="e">
        <f>SUMIFS(#REF!,#REF!,$B205,#REF!,BQ$1)</f>
        <v>#REF!</v>
      </c>
      <c r="BR205" s="24" t="e">
        <f>SUMIFS(#REF!,#REF!,$B205,#REF!,BR$1)</f>
        <v>#REF!</v>
      </c>
      <c r="BS205" s="24" t="e">
        <f>SUMIFS(#REF!,#REF!,$B205,#REF!,BS$1)</f>
        <v>#REF!</v>
      </c>
      <c r="BT205" s="24" t="e">
        <f>SUMIFS(#REF!,#REF!,$B205,#REF!,BT$1)</f>
        <v>#REF!</v>
      </c>
      <c r="BU205" s="24" t="e">
        <f>SUMIFS(#REF!,#REF!,$B205,#REF!,BU$1)</f>
        <v>#REF!</v>
      </c>
      <c r="BV205" s="24" t="e">
        <f>SUMIFS(#REF!,#REF!,$B205,#REF!,BV$1)</f>
        <v>#REF!</v>
      </c>
      <c r="BW205" s="24" t="e">
        <f>SUMIFS(#REF!,#REF!,$B205,#REF!,BW$1)</f>
        <v>#REF!</v>
      </c>
      <c r="BX205" s="24" t="e">
        <f>SUMIFS(#REF!,#REF!,$B205,#REF!,BX$1)</f>
        <v>#REF!</v>
      </c>
      <c r="BY205" s="24" t="e">
        <f>SUMIFS(#REF!,#REF!,$B205,#REF!,BY$1)</f>
        <v>#REF!</v>
      </c>
      <c r="BZ205" s="24" t="e">
        <f>SUMIFS(#REF!,#REF!,$B205,#REF!,BZ$1)</f>
        <v>#REF!</v>
      </c>
      <c r="CA205" s="24" t="e">
        <f>SUMIFS(#REF!,#REF!,$B205,#REF!,CA$1)</f>
        <v>#REF!</v>
      </c>
      <c r="CB205" s="24" t="e">
        <f>SUMIFS(#REF!,#REF!,$B205,#REF!,CB$1)</f>
        <v>#REF!</v>
      </c>
      <c r="CC205" s="24" t="e">
        <f>SUMIFS(#REF!,#REF!,$B205,#REF!,CC$1)</f>
        <v>#REF!</v>
      </c>
      <c r="CD205" s="24" t="e">
        <f>SUMIFS(#REF!,#REF!,$B205,#REF!,CD$1)</f>
        <v>#REF!</v>
      </c>
      <c r="CE205" s="24" t="e">
        <f>SUMIFS(#REF!,#REF!,$B205,#REF!,CE$1)</f>
        <v>#REF!</v>
      </c>
      <c r="CF205" s="24" t="e">
        <f>SUMIFS(#REF!,#REF!,$B205,#REF!,CF$1)</f>
        <v>#REF!</v>
      </c>
      <c r="CG205" s="19" t="e">
        <f t="shared" si="3"/>
        <v>#REF!</v>
      </c>
    </row>
    <row r="206" spans="1:85" x14ac:dyDescent="0.45">
      <c r="A206" s="4" t="s">
        <v>1394</v>
      </c>
      <c r="B206" s="4" t="s">
        <v>1395</v>
      </c>
      <c r="C206" s="24" t="e">
        <f>SUMIFS(#REF!,#REF!,$B206,#REF!,C$1)</f>
        <v>#REF!</v>
      </c>
      <c r="D206" s="24" t="e">
        <f>SUMIFS(#REF!,#REF!,$B206,#REF!,D$1)</f>
        <v>#REF!</v>
      </c>
      <c r="E206" s="24" t="e">
        <f>SUMIFS(#REF!,#REF!,$B206,#REF!,E$1)</f>
        <v>#REF!</v>
      </c>
      <c r="F206" s="24" t="e">
        <f>SUMIFS(#REF!,#REF!,$B206,#REF!,F$1)</f>
        <v>#REF!</v>
      </c>
      <c r="G206" s="24" t="e">
        <f>SUMIFS(#REF!,#REF!,$B206,#REF!,G$1)</f>
        <v>#REF!</v>
      </c>
      <c r="H206" s="24" t="e">
        <f>SUMIFS(#REF!,#REF!,$B206,#REF!,H$1)</f>
        <v>#REF!</v>
      </c>
      <c r="I206" s="24" t="e">
        <f>SUMIFS(#REF!,#REF!,$B206,#REF!,I$1)</f>
        <v>#REF!</v>
      </c>
      <c r="J206" s="24" t="e">
        <f>SUMIFS(#REF!,#REF!,$B206,#REF!,J$1)</f>
        <v>#REF!</v>
      </c>
      <c r="K206" s="24" t="e">
        <f>SUMIFS(#REF!,#REF!,$B206,#REF!,K$1)</f>
        <v>#REF!</v>
      </c>
      <c r="L206" s="24" t="e">
        <f>SUMIFS(#REF!,#REF!,$B206,#REF!,L$1)</f>
        <v>#REF!</v>
      </c>
      <c r="M206" s="24" t="e">
        <f>SUMIFS(#REF!,#REF!,$B206,#REF!,M$1)</f>
        <v>#REF!</v>
      </c>
      <c r="N206" s="24" t="e">
        <f>SUMIFS(#REF!,#REF!,$B206,#REF!,N$1)</f>
        <v>#REF!</v>
      </c>
      <c r="O206" s="24" t="e">
        <f>SUMIFS(#REF!,#REF!,$B206,#REF!,O$1)</f>
        <v>#REF!</v>
      </c>
      <c r="P206" s="24" t="e">
        <f>SUMIFS(#REF!,#REF!,$B206,#REF!,P$1)</f>
        <v>#REF!</v>
      </c>
      <c r="Q206" s="24" t="e">
        <f>SUMIFS(#REF!,#REF!,$B206,#REF!,Q$1)</f>
        <v>#REF!</v>
      </c>
      <c r="R206" s="24" t="e">
        <f>SUMIFS(#REF!,#REF!,$B206,#REF!,R$1)</f>
        <v>#REF!</v>
      </c>
      <c r="S206" s="24" t="e">
        <f>SUMIFS(#REF!,#REF!,$B206,#REF!,S$1)</f>
        <v>#REF!</v>
      </c>
      <c r="T206" s="24" t="e">
        <f>SUMIFS(#REF!,#REF!,$B206,#REF!,T$1)</f>
        <v>#REF!</v>
      </c>
      <c r="U206" s="24" t="e">
        <f>SUMIFS(#REF!,#REF!,$B206,#REF!,U$1)</f>
        <v>#REF!</v>
      </c>
      <c r="V206" s="24" t="e">
        <f>SUMIFS(#REF!,#REF!,$B206,#REF!,V$1)</f>
        <v>#REF!</v>
      </c>
      <c r="W206" s="24" t="e">
        <f>SUMIFS(#REF!,#REF!,$B206,#REF!,W$1)</f>
        <v>#REF!</v>
      </c>
      <c r="X206" s="24" t="e">
        <f>SUMIFS(#REF!,#REF!,$B206,#REF!,X$1)</f>
        <v>#REF!</v>
      </c>
      <c r="Y206" s="24" t="e">
        <f>SUMIFS(#REF!,#REF!,$B206,#REF!,Y$1)</f>
        <v>#REF!</v>
      </c>
      <c r="Z206" s="24" t="e">
        <f>SUMIFS(#REF!,#REF!,$B206,#REF!,Z$1)</f>
        <v>#REF!</v>
      </c>
      <c r="AA206" s="24" t="e">
        <f>SUMIFS(#REF!,#REF!,$B206,#REF!,AA$1)</f>
        <v>#REF!</v>
      </c>
      <c r="AB206" s="24" t="e">
        <f>SUMIFS(#REF!,#REF!,$B206,#REF!,AB$1)</f>
        <v>#REF!</v>
      </c>
      <c r="AC206" s="24" t="e">
        <f>SUMIFS(#REF!,#REF!,$B206,#REF!,AC$1)</f>
        <v>#REF!</v>
      </c>
      <c r="AD206" s="24" t="e">
        <f>SUMIFS(#REF!,#REF!,$B206,#REF!,AD$1)</f>
        <v>#REF!</v>
      </c>
      <c r="AE206" s="24" t="e">
        <f>SUMIFS(#REF!,#REF!,$B206,#REF!,AE$1)</f>
        <v>#REF!</v>
      </c>
      <c r="AF206" s="24" t="e">
        <f>SUMIFS(#REF!,#REF!,$B206,#REF!,AF$1)</f>
        <v>#REF!</v>
      </c>
      <c r="AG206" s="24" t="e">
        <f>SUMIFS(#REF!,#REF!,$B206,#REF!,AG$1)</f>
        <v>#REF!</v>
      </c>
      <c r="AH206" s="24" t="e">
        <f>SUMIFS(#REF!,#REF!,$B206,#REF!,AH$1)</f>
        <v>#REF!</v>
      </c>
      <c r="AI206" s="24" t="e">
        <f>SUMIFS(#REF!,#REF!,$B206,#REF!,AI$1)</f>
        <v>#REF!</v>
      </c>
      <c r="AJ206" s="24" t="e">
        <f>SUMIFS(#REF!,#REF!,$B206,#REF!,AJ$1)</f>
        <v>#REF!</v>
      </c>
      <c r="AK206" s="24" t="e">
        <f>SUMIFS(#REF!,#REF!,$B206,#REF!,AK$1)</f>
        <v>#REF!</v>
      </c>
      <c r="AL206" s="24" t="e">
        <f>SUMIFS(#REF!,#REF!,$B206,#REF!,AL$1)</f>
        <v>#REF!</v>
      </c>
      <c r="AM206" s="24" t="e">
        <f>SUMIFS(#REF!,#REF!,$B206,#REF!,AM$1)</f>
        <v>#REF!</v>
      </c>
      <c r="AN206" s="24" t="e">
        <f>SUMIFS(#REF!,#REF!,$B206,#REF!,AN$1)</f>
        <v>#REF!</v>
      </c>
      <c r="AO206" s="24" t="e">
        <f>SUMIFS(#REF!,#REF!,$B206,#REF!,AO$1)</f>
        <v>#REF!</v>
      </c>
      <c r="AP206" s="24" t="e">
        <f>SUMIFS(#REF!,#REF!,$B206,#REF!,AP$1)</f>
        <v>#REF!</v>
      </c>
      <c r="AQ206" s="24" t="e">
        <f>SUMIFS(#REF!,#REF!,$B206,#REF!,AQ$1)</f>
        <v>#REF!</v>
      </c>
      <c r="AR206" s="24" t="e">
        <f>SUMIFS(#REF!,#REF!,$B206,#REF!,AR$1)</f>
        <v>#REF!</v>
      </c>
      <c r="AS206" s="24" t="e">
        <f>SUMIFS(#REF!,#REF!,$B206,#REF!,AS$1)</f>
        <v>#REF!</v>
      </c>
      <c r="AT206" s="24" t="e">
        <f>SUMIFS(#REF!,#REF!,$B206,#REF!,AT$1)</f>
        <v>#REF!</v>
      </c>
      <c r="AU206" s="24" t="e">
        <f>SUMIFS(#REF!,#REF!,$B206,#REF!,AU$1)</f>
        <v>#REF!</v>
      </c>
      <c r="AV206" s="24" t="e">
        <f>SUMIFS(#REF!,#REF!,$B206,#REF!,AV$1)</f>
        <v>#REF!</v>
      </c>
      <c r="AW206" s="24" t="e">
        <f>SUMIFS(#REF!,#REF!,$B206,#REF!,AW$1)</f>
        <v>#REF!</v>
      </c>
      <c r="AX206" s="24" t="e">
        <f>SUMIFS(#REF!,#REF!,$B206,#REF!,AX$1)</f>
        <v>#REF!</v>
      </c>
      <c r="AY206" s="24" t="e">
        <f>SUMIFS(#REF!,#REF!,$B206,#REF!,AY$1)</f>
        <v>#REF!</v>
      </c>
      <c r="AZ206" s="24" t="e">
        <f>SUMIFS(#REF!,#REF!,$B206,#REF!,AZ$1)</f>
        <v>#REF!</v>
      </c>
      <c r="BA206" s="24" t="e">
        <f>SUMIFS(#REF!,#REF!,$B206,#REF!,BA$1)</f>
        <v>#REF!</v>
      </c>
      <c r="BB206" s="24" t="e">
        <f>SUMIFS(#REF!,#REF!,$B206,#REF!,BB$1)</f>
        <v>#REF!</v>
      </c>
      <c r="BC206" s="24" t="e">
        <f>SUMIFS(#REF!,#REF!,$B206,#REF!,BC$1)</f>
        <v>#REF!</v>
      </c>
      <c r="BD206" s="24" t="e">
        <f>SUMIFS(#REF!,#REF!,$B206,#REF!,BD$1)</f>
        <v>#REF!</v>
      </c>
      <c r="BE206" s="24" t="e">
        <f>SUMIFS(#REF!,#REF!,$B206,#REF!,BE$1)</f>
        <v>#REF!</v>
      </c>
      <c r="BF206" s="24" t="e">
        <f>SUMIFS(#REF!,#REF!,$B206,#REF!,BF$1)</f>
        <v>#REF!</v>
      </c>
      <c r="BG206" s="24" t="e">
        <f>SUMIFS(#REF!,#REF!,$B206,#REF!,BG$1)</f>
        <v>#REF!</v>
      </c>
      <c r="BH206" s="24" t="e">
        <f>SUMIFS(#REF!,#REF!,$B206,#REF!,BH$1)</f>
        <v>#REF!</v>
      </c>
      <c r="BI206" s="24" t="e">
        <f>SUMIFS(#REF!,#REF!,$B206,#REF!,BI$1)</f>
        <v>#REF!</v>
      </c>
      <c r="BJ206" s="24" t="e">
        <f>SUMIFS(#REF!,#REF!,$B206,#REF!,BJ$1)</f>
        <v>#REF!</v>
      </c>
      <c r="BK206" s="24" t="e">
        <f>SUMIFS(#REF!,#REF!,$B206,#REF!,BK$1)</f>
        <v>#REF!</v>
      </c>
      <c r="BL206" s="24" t="e">
        <f>SUMIFS(#REF!,#REF!,$B206,#REF!,BL$1)</f>
        <v>#REF!</v>
      </c>
      <c r="BM206" s="24" t="e">
        <f>SUMIFS(#REF!,#REF!,$B206,#REF!,BM$1)</f>
        <v>#REF!</v>
      </c>
      <c r="BN206" s="24" t="e">
        <f>SUMIFS(#REF!,#REF!,$B206,#REF!,BN$1)</f>
        <v>#REF!</v>
      </c>
      <c r="BO206" s="24" t="e">
        <f>SUMIFS(#REF!,#REF!,$B206,#REF!,BO$1)</f>
        <v>#REF!</v>
      </c>
      <c r="BP206" s="24" t="e">
        <f>SUMIFS(#REF!,#REF!,$B206,#REF!,BP$1)</f>
        <v>#REF!</v>
      </c>
      <c r="BQ206" s="24" t="e">
        <f>SUMIFS(#REF!,#REF!,$B206,#REF!,BQ$1)</f>
        <v>#REF!</v>
      </c>
      <c r="BR206" s="24" t="e">
        <f>SUMIFS(#REF!,#REF!,$B206,#REF!,BR$1)</f>
        <v>#REF!</v>
      </c>
      <c r="BS206" s="24" t="e">
        <f>SUMIFS(#REF!,#REF!,$B206,#REF!,BS$1)</f>
        <v>#REF!</v>
      </c>
      <c r="BT206" s="24" t="e">
        <f>SUMIFS(#REF!,#REF!,$B206,#REF!,BT$1)</f>
        <v>#REF!</v>
      </c>
      <c r="BU206" s="24" t="e">
        <f>SUMIFS(#REF!,#REF!,$B206,#REF!,BU$1)</f>
        <v>#REF!</v>
      </c>
      <c r="BV206" s="24" t="e">
        <f>SUMIFS(#REF!,#REF!,$B206,#REF!,BV$1)</f>
        <v>#REF!</v>
      </c>
      <c r="BW206" s="24" t="e">
        <f>SUMIFS(#REF!,#REF!,$B206,#REF!,BW$1)</f>
        <v>#REF!</v>
      </c>
      <c r="BX206" s="24" t="e">
        <f>SUMIFS(#REF!,#REF!,$B206,#REF!,BX$1)</f>
        <v>#REF!</v>
      </c>
      <c r="BY206" s="24" t="e">
        <f>SUMIFS(#REF!,#REF!,$B206,#REF!,BY$1)</f>
        <v>#REF!</v>
      </c>
      <c r="BZ206" s="24" t="e">
        <f>SUMIFS(#REF!,#REF!,$B206,#REF!,BZ$1)</f>
        <v>#REF!</v>
      </c>
      <c r="CA206" s="24" t="e">
        <f>SUMIFS(#REF!,#REF!,$B206,#REF!,CA$1)</f>
        <v>#REF!</v>
      </c>
      <c r="CB206" s="24" t="e">
        <f>SUMIFS(#REF!,#REF!,$B206,#REF!,CB$1)</f>
        <v>#REF!</v>
      </c>
      <c r="CC206" s="24" t="e">
        <f>SUMIFS(#REF!,#REF!,$B206,#REF!,CC$1)</f>
        <v>#REF!</v>
      </c>
      <c r="CD206" s="24" t="e">
        <f>SUMIFS(#REF!,#REF!,$B206,#REF!,CD$1)</f>
        <v>#REF!</v>
      </c>
      <c r="CE206" s="24" t="e">
        <f>SUMIFS(#REF!,#REF!,$B206,#REF!,CE$1)</f>
        <v>#REF!</v>
      </c>
      <c r="CF206" s="24" t="e">
        <f>SUMIFS(#REF!,#REF!,$B206,#REF!,CF$1)</f>
        <v>#REF!</v>
      </c>
      <c r="CG206" s="19" t="e">
        <f t="shared" si="3"/>
        <v>#REF!</v>
      </c>
    </row>
    <row r="207" spans="1:85" x14ac:dyDescent="0.45">
      <c r="A207" s="4" t="s">
        <v>1396</v>
      </c>
      <c r="B207" s="4" t="s">
        <v>1397</v>
      </c>
      <c r="C207" s="24" t="e">
        <f>SUMIFS(#REF!,#REF!,$B207,#REF!,C$1)</f>
        <v>#REF!</v>
      </c>
      <c r="D207" s="24" t="e">
        <f>SUMIFS(#REF!,#REF!,$B207,#REF!,D$1)</f>
        <v>#REF!</v>
      </c>
      <c r="E207" s="24" t="e">
        <f>SUMIFS(#REF!,#REF!,$B207,#REF!,E$1)</f>
        <v>#REF!</v>
      </c>
      <c r="F207" s="24" t="e">
        <f>SUMIFS(#REF!,#REF!,$B207,#REF!,F$1)</f>
        <v>#REF!</v>
      </c>
      <c r="G207" s="24" t="e">
        <f>SUMIFS(#REF!,#REF!,$B207,#REF!,G$1)</f>
        <v>#REF!</v>
      </c>
      <c r="H207" s="24" t="e">
        <f>SUMIFS(#REF!,#REF!,$B207,#REF!,H$1)</f>
        <v>#REF!</v>
      </c>
      <c r="I207" s="24" t="e">
        <f>SUMIFS(#REF!,#REF!,$B207,#REF!,I$1)</f>
        <v>#REF!</v>
      </c>
      <c r="J207" s="24" t="e">
        <f>SUMIFS(#REF!,#REF!,$B207,#REF!,J$1)</f>
        <v>#REF!</v>
      </c>
      <c r="K207" s="24" t="e">
        <f>SUMIFS(#REF!,#REF!,$B207,#REF!,K$1)</f>
        <v>#REF!</v>
      </c>
      <c r="L207" s="24" t="e">
        <f>SUMIFS(#REF!,#REF!,$B207,#REF!,L$1)</f>
        <v>#REF!</v>
      </c>
      <c r="M207" s="24" t="e">
        <f>SUMIFS(#REF!,#REF!,$B207,#REF!,M$1)</f>
        <v>#REF!</v>
      </c>
      <c r="N207" s="24" t="e">
        <f>SUMIFS(#REF!,#REF!,$B207,#REF!,N$1)</f>
        <v>#REF!</v>
      </c>
      <c r="O207" s="24" t="e">
        <f>SUMIFS(#REF!,#REF!,$B207,#REF!,O$1)</f>
        <v>#REF!</v>
      </c>
      <c r="P207" s="24" t="e">
        <f>SUMIFS(#REF!,#REF!,$B207,#REF!,P$1)</f>
        <v>#REF!</v>
      </c>
      <c r="Q207" s="24" t="e">
        <f>SUMIFS(#REF!,#REF!,$B207,#REF!,Q$1)</f>
        <v>#REF!</v>
      </c>
      <c r="R207" s="24" t="e">
        <f>SUMIFS(#REF!,#REF!,$B207,#REF!,R$1)</f>
        <v>#REF!</v>
      </c>
      <c r="S207" s="24" t="e">
        <f>SUMIFS(#REF!,#REF!,$B207,#REF!,S$1)</f>
        <v>#REF!</v>
      </c>
      <c r="T207" s="24" t="e">
        <f>SUMIFS(#REF!,#REF!,$B207,#REF!,T$1)</f>
        <v>#REF!</v>
      </c>
      <c r="U207" s="24" t="e">
        <f>SUMIFS(#REF!,#REF!,$B207,#REF!,U$1)</f>
        <v>#REF!</v>
      </c>
      <c r="V207" s="24" t="e">
        <f>SUMIFS(#REF!,#REF!,$B207,#REF!,V$1)</f>
        <v>#REF!</v>
      </c>
      <c r="W207" s="24" t="e">
        <f>SUMIFS(#REF!,#REF!,$B207,#REF!,W$1)</f>
        <v>#REF!</v>
      </c>
      <c r="X207" s="24" t="e">
        <f>SUMIFS(#REF!,#REF!,$B207,#REF!,X$1)</f>
        <v>#REF!</v>
      </c>
      <c r="Y207" s="24" t="e">
        <f>SUMIFS(#REF!,#REF!,$B207,#REF!,Y$1)</f>
        <v>#REF!</v>
      </c>
      <c r="Z207" s="24" t="e">
        <f>SUMIFS(#REF!,#REF!,$B207,#REF!,Z$1)</f>
        <v>#REF!</v>
      </c>
      <c r="AA207" s="24" t="e">
        <f>SUMIFS(#REF!,#REF!,$B207,#REF!,AA$1)</f>
        <v>#REF!</v>
      </c>
      <c r="AB207" s="24" t="e">
        <f>SUMIFS(#REF!,#REF!,$B207,#REF!,AB$1)</f>
        <v>#REF!</v>
      </c>
      <c r="AC207" s="24" t="e">
        <f>SUMIFS(#REF!,#REF!,$B207,#REF!,AC$1)</f>
        <v>#REF!</v>
      </c>
      <c r="AD207" s="24" t="e">
        <f>SUMIFS(#REF!,#REF!,$B207,#REF!,AD$1)</f>
        <v>#REF!</v>
      </c>
      <c r="AE207" s="24" t="e">
        <f>SUMIFS(#REF!,#REF!,$B207,#REF!,AE$1)</f>
        <v>#REF!</v>
      </c>
      <c r="AF207" s="24" t="e">
        <f>SUMIFS(#REF!,#REF!,$B207,#REF!,AF$1)</f>
        <v>#REF!</v>
      </c>
      <c r="AG207" s="24" t="e">
        <f>SUMIFS(#REF!,#REF!,$B207,#REF!,AG$1)</f>
        <v>#REF!</v>
      </c>
      <c r="AH207" s="24" t="e">
        <f>SUMIFS(#REF!,#REF!,$B207,#REF!,AH$1)</f>
        <v>#REF!</v>
      </c>
      <c r="AI207" s="24" t="e">
        <f>SUMIFS(#REF!,#REF!,$B207,#REF!,AI$1)</f>
        <v>#REF!</v>
      </c>
      <c r="AJ207" s="24" t="e">
        <f>SUMIFS(#REF!,#REF!,$B207,#REF!,AJ$1)</f>
        <v>#REF!</v>
      </c>
      <c r="AK207" s="24" t="e">
        <f>SUMIFS(#REF!,#REF!,$B207,#REF!,AK$1)</f>
        <v>#REF!</v>
      </c>
      <c r="AL207" s="24" t="e">
        <f>SUMIFS(#REF!,#REF!,$B207,#REF!,AL$1)</f>
        <v>#REF!</v>
      </c>
      <c r="AM207" s="24" t="e">
        <f>SUMIFS(#REF!,#REF!,$B207,#REF!,AM$1)</f>
        <v>#REF!</v>
      </c>
      <c r="AN207" s="24" t="e">
        <f>SUMIFS(#REF!,#REF!,$B207,#REF!,AN$1)</f>
        <v>#REF!</v>
      </c>
      <c r="AO207" s="24" t="e">
        <f>SUMIFS(#REF!,#REF!,$B207,#REF!,AO$1)</f>
        <v>#REF!</v>
      </c>
      <c r="AP207" s="24" t="e">
        <f>SUMIFS(#REF!,#REF!,$B207,#REF!,AP$1)</f>
        <v>#REF!</v>
      </c>
      <c r="AQ207" s="24" t="e">
        <f>SUMIFS(#REF!,#REF!,$B207,#REF!,AQ$1)</f>
        <v>#REF!</v>
      </c>
      <c r="AR207" s="24" t="e">
        <f>SUMIFS(#REF!,#REF!,$B207,#REF!,AR$1)</f>
        <v>#REF!</v>
      </c>
      <c r="AS207" s="24" t="e">
        <f>SUMIFS(#REF!,#REF!,$B207,#REF!,AS$1)</f>
        <v>#REF!</v>
      </c>
      <c r="AT207" s="24" t="e">
        <f>SUMIFS(#REF!,#REF!,$B207,#REF!,AT$1)</f>
        <v>#REF!</v>
      </c>
      <c r="AU207" s="24" t="e">
        <f>SUMIFS(#REF!,#REF!,$B207,#REF!,AU$1)</f>
        <v>#REF!</v>
      </c>
      <c r="AV207" s="24" t="e">
        <f>SUMIFS(#REF!,#REF!,$B207,#REF!,AV$1)</f>
        <v>#REF!</v>
      </c>
      <c r="AW207" s="24" t="e">
        <f>SUMIFS(#REF!,#REF!,$B207,#REF!,AW$1)</f>
        <v>#REF!</v>
      </c>
      <c r="AX207" s="24" t="e">
        <f>SUMIFS(#REF!,#REF!,$B207,#REF!,AX$1)</f>
        <v>#REF!</v>
      </c>
      <c r="AY207" s="24" t="e">
        <f>SUMIFS(#REF!,#REF!,$B207,#REF!,AY$1)</f>
        <v>#REF!</v>
      </c>
      <c r="AZ207" s="24" t="e">
        <f>SUMIFS(#REF!,#REF!,$B207,#REF!,AZ$1)</f>
        <v>#REF!</v>
      </c>
      <c r="BA207" s="24" t="e">
        <f>SUMIFS(#REF!,#REF!,$B207,#REF!,BA$1)</f>
        <v>#REF!</v>
      </c>
      <c r="BB207" s="24" t="e">
        <f>SUMIFS(#REF!,#REF!,$B207,#REF!,BB$1)</f>
        <v>#REF!</v>
      </c>
      <c r="BC207" s="24" t="e">
        <f>SUMIFS(#REF!,#REF!,$B207,#REF!,BC$1)</f>
        <v>#REF!</v>
      </c>
      <c r="BD207" s="24" t="e">
        <f>SUMIFS(#REF!,#REF!,$B207,#REF!,BD$1)</f>
        <v>#REF!</v>
      </c>
      <c r="BE207" s="24" t="e">
        <f>SUMIFS(#REF!,#REF!,$B207,#REF!,BE$1)</f>
        <v>#REF!</v>
      </c>
      <c r="BF207" s="24" t="e">
        <f>SUMIFS(#REF!,#REF!,$B207,#REF!,BF$1)</f>
        <v>#REF!</v>
      </c>
      <c r="BG207" s="24" t="e">
        <f>SUMIFS(#REF!,#REF!,$B207,#REF!,BG$1)</f>
        <v>#REF!</v>
      </c>
      <c r="BH207" s="24" t="e">
        <f>SUMIFS(#REF!,#REF!,$B207,#REF!,BH$1)</f>
        <v>#REF!</v>
      </c>
      <c r="BI207" s="24" t="e">
        <f>SUMIFS(#REF!,#REF!,$B207,#REF!,BI$1)</f>
        <v>#REF!</v>
      </c>
      <c r="BJ207" s="24" t="e">
        <f>SUMIFS(#REF!,#REF!,$B207,#REF!,BJ$1)</f>
        <v>#REF!</v>
      </c>
      <c r="BK207" s="24" t="e">
        <f>SUMIFS(#REF!,#REF!,$B207,#REF!,BK$1)</f>
        <v>#REF!</v>
      </c>
      <c r="BL207" s="24" t="e">
        <f>SUMIFS(#REF!,#REF!,$B207,#REF!,BL$1)</f>
        <v>#REF!</v>
      </c>
      <c r="BM207" s="24" t="e">
        <f>SUMIFS(#REF!,#REF!,$B207,#REF!,BM$1)</f>
        <v>#REF!</v>
      </c>
      <c r="BN207" s="24" t="e">
        <f>SUMIFS(#REF!,#REF!,$B207,#REF!,BN$1)</f>
        <v>#REF!</v>
      </c>
      <c r="BO207" s="24" t="e">
        <f>SUMIFS(#REF!,#REF!,$B207,#REF!,BO$1)</f>
        <v>#REF!</v>
      </c>
      <c r="BP207" s="24" t="e">
        <f>SUMIFS(#REF!,#REF!,$B207,#REF!,BP$1)</f>
        <v>#REF!</v>
      </c>
      <c r="BQ207" s="24" t="e">
        <f>SUMIFS(#REF!,#REF!,$B207,#REF!,BQ$1)</f>
        <v>#REF!</v>
      </c>
      <c r="BR207" s="24" t="e">
        <f>SUMIFS(#REF!,#REF!,$B207,#REF!,BR$1)</f>
        <v>#REF!</v>
      </c>
      <c r="BS207" s="24" t="e">
        <f>SUMIFS(#REF!,#REF!,$B207,#REF!,BS$1)</f>
        <v>#REF!</v>
      </c>
      <c r="BT207" s="24" t="e">
        <f>SUMIFS(#REF!,#REF!,$B207,#REF!,BT$1)</f>
        <v>#REF!</v>
      </c>
      <c r="BU207" s="24" t="e">
        <f>SUMIFS(#REF!,#REF!,$B207,#REF!,BU$1)</f>
        <v>#REF!</v>
      </c>
      <c r="BV207" s="24" t="e">
        <f>SUMIFS(#REF!,#REF!,$B207,#REF!,BV$1)</f>
        <v>#REF!</v>
      </c>
      <c r="BW207" s="24" t="e">
        <f>SUMIFS(#REF!,#REF!,$B207,#REF!,BW$1)</f>
        <v>#REF!</v>
      </c>
      <c r="BX207" s="24" t="e">
        <f>SUMIFS(#REF!,#REF!,$B207,#REF!,BX$1)</f>
        <v>#REF!</v>
      </c>
      <c r="BY207" s="24" t="e">
        <f>SUMIFS(#REF!,#REF!,$B207,#REF!,BY$1)</f>
        <v>#REF!</v>
      </c>
      <c r="BZ207" s="24" t="e">
        <f>SUMIFS(#REF!,#REF!,$B207,#REF!,BZ$1)</f>
        <v>#REF!</v>
      </c>
      <c r="CA207" s="24" t="e">
        <f>SUMIFS(#REF!,#REF!,$B207,#REF!,CA$1)</f>
        <v>#REF!</v>
      </c>
      <c r="CB207" s="24" t="e">
        <f>SUMIFS(#REF!,#REF!,$B207,#REF!,CB$1)</f>
        <v>#REF!</v>
      </c>
      <c r="CC207" s="24" t="e">
        <f>SUMIFS(#REF!,#REF!,$B207,#REF!,CC$1)</f>
        <v>#REF!</v>
      </c>
      <c r="CD207" s="24" t="e">
        <f>SUMIFS(#REF!,#REF!,$B207,#REF!,CD$1)</f>
        <v>#REF!</v>
      </c>
      <c r="CE207" s="24" t="e">
        <f>SUMIFS(#REF!,#REF!,$B207,#REF!,CE$1)</f>
        <v>#REF!</v>
      </c>
      <c r="CF207" s="24" t="e">
        <f>SUMIFS(#REF!,#REF!,$B207,#REF!,CF$1)</f>
        <v>#REF!</v>
      </c>
      <c r="CG207" s="19" t="e">
        <f t="shared" si="3"/>
        <v>#REF!</v>
      </c>
    </row>
    <row r="208" spans="1:85" x14ac:dyDescent="0.45">
      <c r="A208" s="4" t="s">
        <v>1398</v>
      </c>
      <c r="B208" s="4" t="s">
        <v>1399</v>
      </c>
      <c r="C208" s="24" t="e">
        <f>SUMIFS(#REF!,#REF!,$B208,#REF!,C$1)</f>
        <v>#REF!</v>
      </c>
      <c r="D208" s="24" t="e">
        <f>SUMIFS(#REF!,#REF!,$B208,#REF!,D$1)</f>
        <v>#REF!</v>
      </c>
      <c r="E208" s="24" t="e">
        <f>SUMIFS(#REF!,#REF!,$B208,#REF!,E$1)</f>
        <v>#REF!</v>
      </c>
      <c r="F208" s="24" t="e">
        <f>SUMIFS(#REF!,#REF!,$B208,#REF!,F$1)</f>
        <v>#REF!</v>
      </c>
      <c r="G208" s="24" t="e">
        <f>SUMIFS(#REF!,#REF!,$B208,#REF!,G$1)</f>
        <v>#REF!</v>
      </c>
      <c r="H208" s="24" t="e">
        <f>SUMIFS(#REF!,#REF!,$B208,#REF!,H$1)</f>
        <v>#REF!</v>
      </c>
      <c r="I208" s="24" t="e">
        <f>SUMIFS(#REF!,#REF!,$B208,#REF!,I$1)</f>
        <v>#REF!</v>
      </c>
      <c r="J208" s="24" t="e">
        <f>SUMIFS(#REF!,#REF!,$B208,#REF!,J$1)</f>
        <v>#REF!</v>
      </c>
      <c r="K208" s="24" t="e">
        <f>SUMIFS(#REF!,#REF!,$B208,#REF!,K$1)</f>
        <v>#REF!</v>
      </c>
      <c r="L208" s="24" t="e">
        <f>SUMIFS(#REF!,#REF!,$B208,#REF!,L$1)</f>
        <v>#REF!</v>
      </c>
      <c r="M208" s="24" t="e">
        <f>SUMIFS(#REF!,#REF!,$B208,#REF!,M$1)</f>
        <v>#REF!</v>
      </c>
      <c r="N208" s="24" t="e">
        <f>SUMIFS(#REF!,#REF!,$B208,#REF!,N$1)</f>
        <v>#REF!</v>
      </c>
      <c r="O208" s="24" t="e">
        <f>SUMIFS(#REF!,#REF!,$B208,#REF!,O$1)</f>
        <v>#REF!</v>
      </c>
      <c r="P208" s="24" t="e">
        <f>SUMIFS(#REF!,#REF!,$B208,#REF!,P$1)</f>
        <v>#REF!</v>
      </c>
      <c r="Q208" s="24" t="e">
        <f>SUMIFS(#REF!,#REF!,$B208,#REF!,Q$1)</f>
        <v>#REF!</v>
      </c>
      <c r="R208" s="24" t="e">
        <f>SUMIFS(#REF!,#REF!,$B208,#REF!,R$1)</f>
        <v>#REF!</v>
      </c>
      <c r="S208" s="24" t="e">
        <f>SUMIFS(#REF!,#REF!,$B208,#REF!,S$1)</f>
        <v>#REF!</v>
      </c>
      <c r="T208" s="24" t="e">
        <f>SUMIFS(#REF!,#REF!,$B208,#REF!,T$1)</f>
        <v>#REF!</v>
      </c>
      <c r="U208" s="24" t="e">
        <f>SUMIFS(#REF!,#REF!,$B208,#REF!,U$1)</f>
        <v>#REF!</v>
      </c>
      <c r="V208" s="24" t="e">
        <f>SUMIFS(#REF!,#REF!,$B208,#REF!,V$1)</f>
        <v>#REF!</v>
      </c>
      <c r="W208" s="24" t="e">
        <f>SUMIFS(#REF!,#REF!,$B208,#REF!,W$1)</f>
        <v>#REF!</v>
      </c>
      <c r="X208" s="24" t="e">
        <f>SUMIFS(#REF!,#REF!,$B208,#REF!,X$1)</f>
        <v>#REF!</v>
      </c>
      <c r="Y208" s="24" t="e">
        <f>SUMIFS(#REF!,#REF!,$B208,#REF!,Y$1)</f>
        <v>#REF!</v>
      </c>
      <c r="Z208" s="24" t="e">
        <f>SUMIFS(#REF!,#REF!,$B208,#REF!,Z$1)</f>
        <v>#REF!</v>
      </c>
      <c r="AA208" s="24" t="e">
        <f>SUMIFS(#REF!,#REF!,$B208,#REF!,AA$1)</f>
        <v>#REF!</v>
      </c>
      <c r="AB208" s="24" t="e">
        <f>SUMIFS(#REF!,#REF!,$B208,#REF!,AB$1)</f>
        <v>#REF!</v>
      </c>
      <c r="AC208" s="24" t="e">
        <f>SUMIFS(#REF!,#REF!,$B208,#REF!,AC$1)</f>
        <v>#REF!</v>
      </c>
      <c r="AD208" s="24" t="e">
        <f>SUMIFS(#REF!,#REF!,$B208,#REF!,AD$1)</f>
        <v>#REF!</v>
      </c>
      <c r="AE208" s="24" t="e">
        <f>SUMIFS(#REF!,#REF!,$B208,#REF!,AE$1)</f>
        <v>#REF!</v>
      </c>
      <c r="AF208" s="24" t="e">
        <f>SUMIFS(#REF!,#REF!,$B208,#REF!,AF$1)</f>
        <v>#REF!</v>
      </c>
      <c r="AG208" s="24" t="e">
        <f>SUMIFS(#REF!,#REF!,$B208,#REF!,AG$1)</f>
        <v>#REF!</v>
      </c>
      <c r="AH208" s="24" t="e">
        <f>SUMIFS(#REF!,#REF!,$B208,#REF!,AH$1)</f>
        <v>#REF!</v>
      </c>
      <c r="AI208" s="24" t="e">
        <f>SUMIFS(#REF!,#REF!,$B208,#REF!,AI$1)</f>
        <v>#REF!</v>
      </c>
      <c r="AJ208" s="24" t="e">
        <f>SUMIFS(#REF!,#REF!,$B208,#REF!,AJ$1)</f>
        <v>#REF!</v>
      </c>
      <c r="AK208" s="24" t="e">
        <f>SUMIFS(#REF!,#REF!,$B208,#REF!,AK$1)</f>
        <v>#REF!</v>
      </c>
      <c r="AL208" s="24" t="e">
        <f>SUMIFS(#REF!,#REF!,$B208,#REF!,AL$1)</f>
        <v>#REF!</v>
      </c>
      <c r="AM208" s="24" t="e">
        <f>SUMIFS(#REF!,#REF!,$B208,#REF!,AM$1)</f>
        <v>#REF!</v>
      </c>
      <c r="AN208" s="24" t="e">
        <f>SUMIFS(#REF!,#REF!,$B208,#REF!,AN$1)</f>
        <v>#REF!</v>
      </c>
      <c r="AO208" s="24" t="e">
        <f>SUMIFS(#REF!,#REF!,$B208,#REF!,AO$1)</f>
        <v>#REF!</v>
      </c>
      <c r="AP208" s="24" t="e">
        <f>SUMIFS(#REF!,#REF!,$B208,#REF!,AP$1)</f>
        <v>#REF!</v>
      </c>
      <c r="AQ208" s="24" t="e">
        <f>SUMIFS(#REF!,#REF!,$B208,#REF!,AQ$1)</f>
        <v>#REF!</v>
      </c>
      <c r="AR208" s="24" t="e">
        <f>SUMIFS(#REF!,#REF!,$B208,#REF!,AR$1)</f>
        <v>#REF!</v>
      </c>
      <c r="AS208" s="24" t="e">
        <f>SUMIFS(#REF!,#REF!,$B208,#REF!,AS$1)</f>
        <v>#REF!</v>
      </c>
      <c r="AT208" s="24" t="e">
        <f>SUMIFS(#REF!,#REF!,$B208,#REF!,AT$1)</f>
        <v>#REF!</v>
      </c>
      <c r="AU208" s="24" t="e">
        <f>SUMIFS(#REF!,#REF!,$B208,#REF!,AU$1)</f>
        <v>#REF!</v>
      </c>
      <c r="AV208" s="24" t="e">
        <f>SUMIFS(#REF!,#REF!,$B208,#REF!,AV$1)</f>
        <v>#REF!</v>
      </c>
      <c r="AW208" s="24" t="e">
        <f>SUMIFS(#REF!,#REF!,$B208,#REF!,AW$1)</f>
        <v>#REF!</v>
      </c>
      <c r="AX208" s="24" t="e">
        <f>SUMIFS(#REF!,#REF!,$B208,#REF!,AX$1)</f>
        <v>#REF!</v>
      </c>
      <c r="AY208" s="24" t="e">
        <f>SUMIFS(#REF!,#REF!,$B208,#REF!,AY$1)</f>
        <v>#REF!</v>
      </c>
      <c r="AZ208" s="24" t="e">
        <f>SUMIFS(#REF!,#REF!,$B208,#REF!,AZ$1)</f>
        <v>#REF!</v>
      </c>
      <c r="BA208" s="24" t="e">
        <f>SUMIFS(#REF!,#REF!,$B208,#REF!,BA$1)</f>
        <v>#REF!</v>
      </c>
      <c r="BB208" s="24" t="e">
        <f>SUMIFS(#REF!,#REF!,$B208,#REF!,BB$1)</f>
        <v>#REF!</v>
      </c>
      <c r="BC208" s="24" t="e">
        <f>SUMIFS(#REF!,#REF!,$B208,#REF!,BC$1)</f>
        <v>#REF!</v>
      </c>
      <c r="BD208" s="24" t="e">
        <f>SUMIFS(#REF!,#REF!,$B208,#REF!,BD$1)</f>
        <v>#REF!</v>
      </c>
      <c r="BE208" s="24" t="e">
        <f>SUMIFS(#REF!,#REF!,$B208,#REF!,BE$1)</f>
        <v>#REF!</v>
      </c>
      <c r="BF208" s="24" t="e">
        <f>SUMIFS(#REF!,#REF!,$B208,#REF!,BF$1)</f>
        <v>#REF!</v>
      </c>
      <c r="BG208" s="24" t="e">
        <f>SUMIFS(#REF!,#REF!,$B208,#REF!,BG$1)</f>
        <v>#REF!</v>
      </c>
      <c r="BH208" s="24" t="e">
        <f>SUMIFS(#REF!,#REF!,$B208,#REF!,BH$1)</f>
        <v>#REF!</v>
      </c>
      <c r="BI208" s="24" t="e">
        <f>SUMIFS(#REF!,#REF!,$B208,#REF!,BI$1)</f>
        <v>#REF!</v>
      </c>
      <c r="BJ208" s="24" t="e">
        <f>SUMIFS(#REF!,#REF!,$B208,#REF!,BJ$1)</f>
        <v>#REF!</v>
      </c>
      <c r="BK208" s="24" t="e">
        <f>SUMIFS(#REF!,#REF!,$B208,#REF!,BK$1)</f>
        <v>#REF!</v>
      </c>
      <c r="BL208" s="24" t="e">
        <f>SUMIFS(#REF!,#REF!,$B208,#REF!,BL$1)</f>
        <v>#REF!</v>
      </c>
      <c r="BM208" s="24" t="e">
        <f>SUMIFS(#REF!,#REF!,$B208,#REF!,BM$1)</f>
        <v>#REF!</v>
      </c>
      <c r="BN208" s="24" t="e">
        <f>SUMIFS(#REF!,#REF!,$B208,#REF!,BN$1)</f>
        <v>#REF!</v>
      </c>
      <c r="BO208" s="24" t="e">
        <f>SUMIFS(#REF!,#REF!,$B208,#REF!,BO$1)</f>
        <v>#REF!</v>
      </c>
      <c r="BP208" s="24" t="e">
        <f>SUMIFS(#REF!,#REF!,$B208,#REF!,BP$1)</f>
        <v>#REF!</v>
      </c>
      <c r="BQ208" s="24" t="e">
        <f>SUMIFS(#REF!,#REF!,$B208,#REF!,BQ$1)</f>
        <v>#REF!</v>
      </c>
      <c r="BR208" s="24" t="e">
        <f>SUMIFS(#REF!,#REF!,$B208,#REF!,BR$1)</f>
        <v>#REF!</v>
      </c>
      <c r="BS208" s="24" t="e">
        <f>SUMIFS(#REF!,#REF!,$B208,#REF!,BS$1)</f>
        <v>#REF!</v>
      </c>
      <c r="BT208" s="24" t="e">
        <f>SUMIFS(#REF!,#REF!,$B208,#REF!,BT$1)</f>
        <v>#REF!</v>
      </c>
      <c r="BU208" s="24" t="e">
        <f>SUMIFS(#REF!,#REF!,$B208,#REF!,BU$1)</f>
        <v>#REF!</v>
      </c>
      <c r="BV208" s="24" t="e">
        <f>SUMIFS(#REF!,#REF!,$B208,#REF!,BV$1)</f>
        <v>#REF!</v>
      </c>
      <c r="BW208" s="24" t="e">
        <f>SUMIFS(#REF!,#REF!,$B208,#REF!,BW$1)</f>
        <v>#REF!</v>
      </c>
      <c r="BX208" s="24" t="e">
        <f>SUMIFS(#REF!,#REF!,$B208,#REF!,BX$1)</f>
        <v>#REF!</v>
      </c>
      <c r="BY208" s="24" t="e">
        <f>SUMIFS(#REF!,#REF!,$B208,#REF!,BY$1)</f>
        <v>#REF!</v>
      </c>
      <c r="BZ208" s="24" t="e">
        <f>SUMIFS(#REF!,#REF!,$B208,#REF!,BZ$1)</f>
        <v>#REF!</v>
      </c>
      <c r="CA208" s="24" t="e">
        <f>SUMIFS(#REF!,#REF!,$B208,#REF!,CA$1)</f>
        <v>#REF!</v>
      </c>
      <c r="CB208" s="24" t="e">
        <f>SUMIFS(#REF!,#REF!,$B208,#REF!,CB$1)</f>
        <v>#REF!</v>
      </c>
      <c r="CC208" s="24" t="e">
        <f>SUMIFS(#REF!,#REF!,$B208,#REF!,CC$1)</f>
        <v>#REF!</v>
      </c>
      <c r="CD208" s="24" t="e">
        <f>SUMIFS(#REF!,#REF!,$B208,#REF!,CD$1)</f>
        <v>#REF!</v>
      </c>
      <c r="CE208" s="24" t="e">
        <f>SUMIFS(#REF!,#REF!,$B208,#REF!,CE$1)</f>
        <v>#REF!</v>
      </c>
      <c r="CF208" s="24" t="e">
        <f>SUMIFS(#REF!,#REF!,$B208,#REF!,CF$1)</f>
        <v>#REF!</v>
      </c>
      <c r="CG208" s="19" t="e">
        <f t="shared" si="3"/>
        <v>#REF!</v>
      </c>
    </row>
    <row r="209" spans="1:85" x14ac:dyDescent="0.45">
      <c r="A209" s="4" t="s">
        <v>1400</v>
      </c>
      <c r="B209" s="4" t="s">
        <v>1401</v>
      </c>
      <c r="C209" s="24" t="e">
        <f>SUMIFS(#REF!,#REF!,$B209,#REF!,C$1)</f>
        <v>#REF!</v>
      </c>
      <c r="D209" s="24" t="e">
        <f>SUMIFS(#REF!,#REF!,$B209,#REF!,D$1)</f>
        <v>#REF!</v>
      </c>
      <c r="E209" s="24" t="e">
        <f>SUMIFS(#REF!,#REF!,$B209,#REF!,E$1)</f>
        <v>#REF!</v>
      </c>
      <c r="F209" s="24" t="e">
        <f>SUMIFS(#REF!,#REF!,$B209,#REF!,F$1)</f>
        <v>#REF!</v>
      </c>
      <c r="G209" s="24" t="e">
        <f>SUMIFS(#REF!,#REF!,$B209,#REF!,G$1)</f>
        <v>#REF!</v>
      </c>
      <c r="H209" s="24" t="e">
        <f>SUMIFS(#REF!,#REF!,$B209,#REF!,H$1)</f>
        <v>#REF!</v>
      </c>
      <c r="I209" s="24" t="e">
        <f>SUMIFS(#REF!,#REF!,$B209,#REF!,I$1)</f>
        <v>#REF!</v>
      </c>
      <c r="J209" s="24" t="e">
        <f>SUMIFS(#REF!,#REF!,$B209,#REF!,J$1)</f>
        <v>#REF!</v>
      </c>
      <c r="K209" s="24" t="e">
        <f>SUMIFS(#REF!,#REF!,$B209,#REF!,K$1)</f>
        <v>#REF!</v>
      </c>
      <c r="L209" s="24" t="e">
        <f>SUMIFS(#REF!,#REF!,$B209,#REF!,L$1)</f>
        <v>#REF!</v>
      </c>
      <c r="M209" s="24" t="e">
        <f>SUMIFS(#REF!,#REF!,$B209,#REF!,M$1)</f>
        <v>#REF!</v>
      </c>
      <c r="N209" s="24" t="e">
        <f>SUMIFS(#REF!,#REF!,$B209,#REF!,N$1)</f>
        <v>#REF!</v>
      </c>
      <c r="O209" s="24" t="e">
        <f>SUMIFS(#REF!,#REF!,$B209,#REF!,O$1)</f>
        <v>#REF!</v>
      </c>
      <c r="P209" s="24" t="e">
        <f>SUMIFS(#REF!,#REF!,$B209,#REF!,P$1)</f>
        <v>#REF!</v>
      </c>
      <c r="Q209" s="24" t="e">
        <f>SUMIFS(#REF!,#REF!,$B209,#REF!,Q$1)</f>
        <v>#REF!</v>
      </c>
      <c r="R209" s="24" t="e">
        <f>SUMIFS(#REF!,#REF!,$B209,#REF!,R$1)</f>
        <v>#REF!</v>
      </c>
      <c r="S209" s="24" t="e">
        <f>SUMIFS(#REF!,#REF!,$B209,#REF!,S$1)</f>
        <v>#REF!</v>
      </c>
      <c r="T209" s="24" t="e">
        <f>SUMIFS(#REF!,#REF!,$B209,#REF!,T$1)</f>
        <v>#REF!</v>
      </c>
      <c r="U209" s="24" t="e">
        <f>SUMIFS(#REF!,#REF!,$B209,#REF!,U$1)</f>
        <v>#REF!</v>
      </c>
      <c r="V209" s="24" t="e">
        <f>SUMIFS(#REF!,#REF!,$B209,#REF!,V$1)</f>
        <v>#REF!</v>
      </c>
      <c r="W209" s="24" t="e">
        <f>SUMIFS(#REF!,#REF!,$B209,#REF!,W$1)</f>
        <v>#REF!</v>
      </c>
      <c r="X209" s="24" t="e">
        <f>SUMIFS(#REF!,#REF!,$B209,#REF!,X$1)</f>
        <v>#REF!</v>
      </c>
      <c r="Y209" s="24" t="e">
        <f>SUMIFS(#REF!,#REF!,$B209,#REF!,Y$1)</f>
        <v>#REF!</v>
      </c>
      <c r="Z209" s="24" t="e">
        <f>SUMIFS(#REF!,#REF!,$B209,#REF!,Z$1)</f>
        <v>#REF!</v>
      </c>
      <c r="AA209" s="24" t="e">
        <f>SUMIFS(#REF!,#REF!,$B209,#REF!,AA$1)</f>
        <v>#REF!</v>
      </c>
      <c r="AB209" s="24" t="e">
        <f>SUMIFS(#REF!,#REF!,$B209,#REF!,AB$1)</f>
        <v>#REF!</v>
      </c>
      <c r="AC209" s="24" t="e">
        <f>SUMIFS(#REF!,#REF!,$B209,#REF!,AC$1)</f>
        <v>#REF!</v>
      </c>
      <c r="AD209" s="24" t="e">
        <f>SUMIFS(#REF!,#REF!,$B209,#REF!,AD$1)</f>
        <v>#REF!</v>
      </c>
      <c r="AE209" s="24" t="e">
        <f>SUMIFS(#REF!,#REF!,$B209,#REF!,AE$1)</f>
        <v>#REF!</v>
      </c>
      <c r="AF209" s="24" t="e">
        <f>SUMIFS(#REF!,#REF!,$B209,#REF!,AF$1)</f>
        <v>#REF!</v>
      </c>
      <c r="AG209" s="24" t="e">
        <f>SUMIFS(#REF!,#REF!,$B209,#REF!,AG$1)</f>
        <v>#REF!</v>
      </c>
      <c r="AH209" s="24" t="e">
        <f>SUMIFS(#REF!,#REF!,$B209,#REF!,AH$1)</f>
        <v>#REF!</v>
      </c>
      <c r="AI209" s="24" t="e">
        <f>SUMIFS(#REF!,#REF!,$B209,#REF!,AI$1)</f>
        <v>#REF!</v>
      </c>
      <c r="AJ209" s="24" t="e">
        <f>SUMIFS(#REF!,#REF!,$B209,#REF!,AJ$1)</f>
        <v>#REF!</v>
      </c>
      <c r="AK209" s="24" t="e">
        <f>SUMIFS(#REF!,#REF!,$B209,#REF!,AK$1)</f>
        <v>#REF!</v>
      </c>
      <c r="AL209" s="24" t="e">
        <f>SUMIFS(#REF!,#REF!,$B209,#REF!,AL$1)</f>
        <v>#REF!</v>
      </c>
      <c r="AM209" s="24" t="e">
        <f>SUMIFS(#REF!,#REF!,$B209,#REF!,AM$1)</f>
        <v>#REF!</v>
      </c>
      <c r="AN209" s="24" t="e">
        <f>SUMIFS(#REF!,#REF!,$B209,#REF!,AN$1)</f>
        <v>#REF!</v>
      </c>
      <c r="AO209" s="24" t="e">
        <f>SUMIFS(#REF!,#REF!,$B209,#REF!,AO$1)</f>
        <v>#REF!</v>
      </c>
      <c r="AP209" s="24" t="e">
        <f>SUMIFS(#REF!,#REF!,$B209,#REF!,AP$1)</f>
        <v>#REF!</v>
      </c>
      <c r="AQ209" s="24" t="e">
        <f>SUMIFS(#REF!,#REF!,$B209,#REF!,AQ$1)</f>
        <v>#REF!</v>
      </c>
      <c r="AR209" s="24" t="e">
        <f>SUMIFS(#REF!,#REF!,$B209,#REF!,AR$1)</f>
        <v>#REF!</v>
      </c>
      <c r="AS209" s="24" t="e">
        <f>SUMIFS(#REF!,#REF!,$B209,#REF!,AS$1)</f>
        <v>#REF!</v>
      </c>
      <c r="AT209" s="24" t="e">
        <f>SUMIFS(#REF!,#REF!,$B209,#REF!,AT$1)</f>
        <v>#REF!</v>
      </c>
      <c r="AU209" s="24" t="e">
        <f>SUMIFS(#REF!,#REF!,$B209,#REF!,AU$1)</f>
        <v>#REF!</v>
      </c>
      <c r="AV209" s="24" t="e">
        <f>SUMIFS(#REF!,#REF!,$B209,#REF!,AV$1)</f>
        <v>#REF!</v>
      </c>
      <c r="AW209" s="24" t="e">
        <f>SUMIFS(#REF!,#REF!,$B209,#REF!,AW$1)</f>
        <v>#REF!</v>
      </c>
      <c r="AX209" s="24" t="e">
        <f>SUMIFS(#REF!,#REF!,$B209,#REF!,AX$1)</f>
        <v>#REF!</v>
      </c>
      <c r="AY209" s="24" t="e">
        <f>SUMIFS(#REF!,#REF!,$B209,#REF!,AY$1)</f>
        <v>#REF!</v>
      </c>
      <c r="AZ209" s="24" t="e">
        <f>SUMIFS(#REF!,#REF!,$B209,#REF!,AZ$1)</f>
        <v>#REF!</v>
      </c>
      <c r="BA209" s="24" t="e">
        <f>SUMIFS(#REF!,#REF!,$B209,#REF!,BA$1)</f>
        <v>#REF!</v>
      </c>
      <c r="BB209" s="24" t="e">
        <f>SUMIFS(#REF!,#REF!,$B209,#REF!,BB$1)</f>
        <v>#REF!</v>
      </c>
      <c r="BC209" s="24" t="e">
        <f>SUMIFS(#REF!,#REF!,$B209,#REF!,BC$1)</f>
        <v>#REF!</v>
      </c>
      <c r="BD209" s="24" t="e">
        <f>SUMIFS(#REF!,#REF!,$B209,#REF!,BD$1)</f>
        <v>#REF!</v>
      </c>
      <c r="BE209" s="24" t="e">
        <f>SUMIFS(#REF!,#REF!,$B209,#REF!,BE$1)</f>
        <v>#REF!</v>
      </c>
      <c r="BF209" s="24" t="e">
        <f>SUMIFS(#REF!,#REF!,$B209,#REF!,BF$1)</f>
        <v>#REF!</v>
      </c>
      <c r="BG209" s="24" t="e">
        <f>SUMIFS(#REF!,#REF!,$B209,#REF!,BG$1)</f>
        <v>#REF!</v>
      </c>
      <c r="BH209" s="24" t="e">
        <f>SUMIFS(#REF!,#REF!,$B209,#REF!,BH$1)</f>
        <v>#REF!</v>
      </c>
      <c r="BI209" s="24" t="e">
        <f>SUMIFS(#REF!,#REF!,$B209,#REF!,BI$1)</f>
        <v>#REF!</v>
      </c>
      <c r="BJ209" s="24" t="e">
        <f>SUMIFS(#REF!,#REF!,$B209,#REF!,BJ$1)</f>
        <v>#REF!</v>
      </c>
      <c r="BK209" s="24" t="e">
        <f>SUMIFS(#REF!,#REF!,$B209,#REF!,BK$1)</f>
        <v>#REF!</v>
      </c>
      <c r="BL209" s="24" t="e">
        <f>SUMIFS(#REF!,#REF!,$B209,#REF!,BL$1)</f>
        <v>#REF!</v>
      </c>
      <c r="BM209" s="24" t="e">
        <f>SUMIFS(#REF!,#REF!,$B209,#REF!,BM$1)</f>
        <v>#REF!</v>
      </c>
      <c r="BN209" s="24" t="e">
        <f>SUMIFS(#REF!,#REF!,$B209,#REF!,BN$1)</f>
        <v>#REF!</v>
      </c>
      <c r="BO209" s="24" t="e">
        <f>SUMIFS(#REF!,#REF!,$B209,#REF!,BO$1)</f>
        <v>#REF!</v>
      </c>
      <c r="BP209" s="24" t="e">
        <f>SUMIFS(#REF!,#REF!,$B209,#REF!,BP$1)</f>
        <v>#REF!</v>
      </c>
      <c r="BQ209" s="24" t="e">
        <f>SUMIFS(#REF!,#REF!,$B209,#REF!,BQ$1)</f>
        <v>#REF!</v>
      </c>
      <c r="BR209" s="24" t="e">
        <f>SUMIFS(#REF!,#REF!,$B209,#REF!,BR$1)</f>
        <v>#REF!</v>
      </c>
      <c r="BS209" s="24" t="e">
        <f>SUMIFS(#REF!,#REF!,$B209,#REF!,BS$1)</f>
        <v>#REF!</v>
      </c>
      <c r="BT209" s="24" t="e">
        <f>SUMIFS(#REF!,#REF!,$B209,#REF!,BT$1)</f>
        <v>#REF!</v>
      </c>
      <c r="BU209" s="24" t="e">
        <f>SUMIFS(#REF!,#REF!,$B209,#REF!,BU$1)</f>
        <v>#REF!</v>
      </c>
      <c r="BV209" s="24" t="e">
        <f>SUMIFS(#REF!,#REF!,$B209,#REF!,BV$1)</f>
        <v>#REF!</v>
      </c>
      <c r="BW209" s="24" t="e">
        <f>SUMIFS(#REF!,#REF!,$B209,#REF!,BW$1)</f>
        <v>#REF!</v>
      </c>
      <c r="BX209" s="24" t="e">
        <f>SUMIFS(#REF!,#REF!,$B209,#REF!,BX$1)</f>
        <v>#REF!</v>
      </c>
      <c r="BY209" s="24" t="e">
        <f>SUMIFS(#REF!,#REF!,$B209,#REF!,BY$1)</f>
        <v>#REF!</v>
      </c>
      <c r="BZ209" s="24" t="e">
        <f>SUMIFS(#REF!,#REF!,$B209,#REF!,BZ$1)</f>
        <v>#REF!</v>
      </c>
      <c r="CA209" s="24" t="e">
        <f>SUMIFS(#REF!,#REF!,$B209,#REF!,CA$1)</f>
        <v>#REF!</v>
      </c>
      <c r="CB209" s="24" t="e">
        <f>SUMIFS(#REF!,#REF!,$B209,#REF!,CB$1)</f>
        <v>#REF!</v>
      </c>
      <c r="CC209" s="24" t="e">
        <f>SUMIFS(#REF!,#REF!,$B209,#REF!,CC$1)</f>
        <v>#REF!</v>
      </c>
      <c r="CD209" s="24" t="e">
        <f>SUMIFS(#REF!,#REF!,$B209,#REF!,CD$1)</f>
        <v>#REF!</v>
      </c>
      <c r="CE209" s="24" t="e">
        <f>SUMIFS(#REF!,#REF!,$B209,#REF!,CE$1)</f>
        <v>#REF!</v>
      </c>
      <c r="CF209" s="24" t="e">
        <f>SUMIFS(#REF!,#REF!,$B209,#REF!,CF$1)</f>
        <v>#REF!</v>
      </c>
      <c r="CG209" s="19" t="e">
        <f t="shared" si="3"/>
        <v>#REF!</v>
      </c>
    </row>
    <row r="210" spans="1:85" x14ac:dyDescent="0.45">
      <c r="A210" s="4" t="s">
        <v>1402</v>
      </c>
      <c r="B210" s="4" t="s">
        <v>1403</v>
      </c>
      <c r="C210" s="24" t="e">
        <f>SUMIFS(#REF!,#REF!,$B210,#REF!,C$1)</f>
        <v>#REF!</v>
      </c>
      <c r="D210" s="24" t="e">
        <f>SUMIFS(#REF!,#REF!,$B210,#REF!,D$1)</f>
        <v>#REF!</v>
      </c>
      <c r="E210" s="24" t="e">
        <f>SUMIFS(#REF!,#REF!,$B210,#REF!,E$1)</f>
        <v>#REF!</v>
      </c>
      <c r="F210" s="24" t="e">
        <f>SUMIFS(#REF!,#REF!,$B210,#REF!,F$1)</f>
        <v>#REF!</v>
      </c>
      <c r="G210" s="24" t="e">
        <f>SUMIFS(#REF!,#REF!,$B210,#REF!,G$1)</f>
        <v>#REF!</v>
      </c>
      <c r="H210" s="24" t="e">
        <f>SUMIFS(#REF!,#REF!,$B210,#REF!,H$1)</f>
        <v>#REF!</v>
      </c>
      <c r="I210" s="24" t="e">
        <f>SUMIFS(#REF!,#REF!,$B210,#REF!,I$1)</f>
        <v>#REF!</v>
      </c>
      <c r="J210" s="24" t="e">
        <f>SUMIFS(#REF!,#REF!,$B210,#REF!,J$1)</f>
        <v>#REF!</v>
      </c>
      <c r="K210" s="24" t="e">
        <f>SUMIFS(#REF!,#REF!,$B210,#REF!,K$1)</f>
        <v>#REF!</v>
      </c>
      <c r="L210" s="24" t="e">
        <f>SUMIFS(#REF!,#REF!,$B210,#REF!,L$1)</f>
        <v>#REF!</v>
      </c>
      <c r="M210" s="24" t="e">
        <f>SUMIFS(#REF!,#REF!,$B210,#REF!,M$1)</f>
        <v>#REF!</v>
      </c>
      <c r="N210" s="24" t="e">
        <f>SUMIFS(#REF!,#REF!,$B210,#REF!,N$1)</f>
        <v>#REF!</v>
      </c>
      <c r="O210" s="24" t="e">
        <f>SUMIFS(#REF!,#REF!,$B210,#REF!,O$1)</f>
        <v>#REF!</v>
      </c>
      <c r="P210" s="24" t="e">
        <f>SUMIFS(#REF!,#REF!,$B210,#REF!,P$1)</f>
        <v>#REF!</v>
      </c>
      <c r="Q210" s="24" t="e">
        <f>SUMIFS(#REF!,#REF!,$B210,#REF!,Q$1)</f>
        <v>#REF!</v>
      </c>
      <c r="R210" s="24" t="e">
        <f>SUMIFS(#REF!,#REF!,$B210,#REF!,R$1)</f>
        <v>#REF!</v>
      </c>
      <c r="S210" s="24" t="e">
        <f>SUMIFS(#REF!,#REF!,$B210,#REF!,S$1)</f>
        <v>#REF!</v>
      </c>
      <c r="T210" s="24" t="e">
        <f>SUMIFS(#REF!,#REF!,$B210,#REF!,T$1)</f>
        <v>#REF!</v>
      </c>
      <c r="U210" s="24" t="e">
        <f>SUMIFS(#REF!,#REF!,$B210,#REF!,U$1)</f>
        <v>#REF!</v>
      </c>
      <c r="V210" s="24" t="e">
        <f>SUMIFS(#REF!,#REF!,$B210,#REF!,V$1)</f>
        <v>#REF!</v>
      </c>
      <c r="W210" s="24" t="e">
        <f>SUMIFS(#REF!,#REF!,$B210,#REF!,W$1)</f>
        <v>#REF!</v>
      </c>
      <c r="X210" s="24" t="e">
        <f>SUMIFS(#REF!,#REF!,$B210,#REF!,X$1)</f>
        <v>#REF!</v>
      </c>
      <c r="Y210" s="24" t="e">
        <f>SUMIFS(#REF!,#REF!,$B210,#REF!,Y$1)</f>
        <v>#REF!</v>
      </c>
      <c r="Z210" s="24" t="e">
        <f>SUMIFS(#REF!,#REF!,$B210,#REF!,Z$1)</f>
        <v>#REF!</v>
      </c>
      <c r="AA210" s="24" t="e">
        <f>SUMIFS(#REF!,#REF!,$B210,#REF!,AA$1)</f>
        <v>#REF!</v>
      </c>
      <c r="AB210" s="24" t="e">
        <f>SUMIFS(#REF!,#REF!,$B210,#REF!,AB$1)</f>
        <v>#REF!</v>
      </c>
      <c r="AC210" s="24" t="e">
        <f>SUMIFS(#REF!,#REF!,$B210,#REF!,AC$1)</f>
        <v>#REF!</v>
      </c>
      <c r="AD210" s="24" t="e">
        <f>SUMIFS(#REF!,#REF!,$B210,#REF!,AD$1)</f>
        <v>#REF!</v>
      </c>
      <c r="AE210" s="24" t="e">
        <f>SUMIFS(#REF!,#REF!,$B210,#REF!,AE$1)</f>
        <v>#REF!</v>
      </c>
      <c r="AF210" s="24" t="e">
        <f>SUMIFS(#REF!,#REF!,$B210,#REF!,AF$1)</f>
        <v>#REF!</v>
      </c>
      <c r="AG210" s="24" t="e">
        <f>SUMIFS(#REF!,#REF!,$B210,#REF!,AG$1)</f>
        <v>#REF!</v>
      </c>
      <c r="AH210" s="24" t="e">
        <f>SUMIFS(#REF!,#REF!,$B210,#REF!,AH$1)</f>
        <v>#REF!</v>
      </c>
      <c r="AI210" s="24" t="e">
        <f>SUMIFS(#REF!,#REF!,$B210,#REF!,AI$1)</f>
        <v>#REF!</v>
      </c>
      <c r="AJ210" s="24" t="e">
        <f>SUMIFS(#REF!,#REF!,$B210,#REF!,AJ$1)</f>
        <v>#REF!</v>
      </c>
      <c r="AK210" s="24" t="e">
        <f>SUMIFS(#REF!,#REF!,$B210,#REF!,AK$1)</f>
        <v>#REF!</v>
      </c>
      <c r="AL210" s="24" t="e">
        <f>SUMIFS(#REF!,#REF!,$B210,#REF!,AL$1)</f>
        <v>#REF!</v>
      </c>
      <c r="AM210" s="24" t="e">
        <f>SUMIFS(#REF!,#REF!,$B210,#REF!,AM$1)</f>
        <v>#REF!</v>
      </c>
      <c r="AN210" s="24" t="e">
        <f>SUMIFS(#REF!,#REF!,$B210,#REF!,AN$1)</f>
        <v>#REF!</v>
      </c>
      <c r="AO210" s="24" t="e">
        <f>SUMIFS(#REF!,#REF!,$B210,#REF!,AO$1)</f>
        <v>#REF!</v>
      </c>
      <c r="AP210" s="24" t="e">
        <f>SUMIFS(#REF!,#REF!,$B210,#REF!,AP$1)</f>
        <v>#REF!</v>
      </c>
      <c r="AQ210" s="24" t="e">
        <f>SUMIFS(#REF!,#REF!,$B210,#REF!,AQ$1)</f>
        <v>#REF!</v>
      </c>
      <c r="AR210" s="24" t="e">
        <f>SUMIFS(#REF!,#REF!,$B210,#REF!,AR$1)</f>
        <v>#REF!</v>
      </c>
      <c r="AS210" s="24" t="e">
        <f>SUMIFS(#REF!,#REF!,$B210,#REF!,AS$1)</f>
        <v>#REF!</v>
      </c>
      <c r="AT210" s="24" t="e">
        <f>SUMIFS(#REF!,#REF!,$B210,#REF!,AT$1)</f>
        <v>#REF!</v>
      </c>
      <c r="AU210" s="24" t="e">
        <f>SUMIFS(#REF!,#REF!,$B210,#REF!,AU$1)</f>
        <v>#REF!</v>
      </c>
      <c r="AV210" s="24" t="e">
        <f>SUMIFS(#REF!,#REF!,$B210,#REF!,AV$1)</f>
        <v>#REF!</v>
      </c>
      <c r="AW210" s="24" t="e">
        <f>SUMIFS(#REF!,#REF!,$B210,#REF!,AW$1)</f>
        <v>#REF!</v>
      </c>
      <c r="AX210" s="24" t="e">
        <f>SUMIFS(#REF!,#REF!,$B210,#REF!,AX$1)</f>
        <v>#REF!</v>
      </c>
      <c r="AY210" s="24" t="e">
        <f>SUMIFS(#REF!,#REF!,$B210,#REF!,AY$1)</f>
        <v>#REF!</v>
      </c>
      <c r="AZ210" s="24" t="e">
        <f>SUMIFS(#REF!,#REF!,$B210,#REF!,AZ$1)</f>
        <v>#REF!</v>
      </c>
      <c r="BA210" s="24" t="e">
        <f>SUMIFS(#REF!,#REF!,$B210,#REF!,BA$1)</f>
        <v>#REF!</v>
      </c>
      <c r="BB210" s="24" t="e">
        <f>SUMIFS(#REF!,#REF!,$B210,#REF!,BB$1)</f>
        <v>#REF!</v>
      </c>
      <c r="BC210" s="24" t="e">
        <f>SUMIFS(#REF!,#REF!,$B210,#REF!,BC$1)</f>
        <v>#REF!</v>
      </c>
      <c r="BD210" s="24" t="e">
        <f>SUMIFS(#REF!,#REF!,$B210,#REF!,BD$1)</f>
        <v>#REF!</v>
      </c>
      <c r="BE210" s="24" t="e">
        <f>SUMIFS(#REF!,#REF!,$B210,#REF!,BE$1)</f>
        <v>#REF!</v>
      </c>
      <c r="BF210" s="24" t="e">
        <f>SUMIFS(#REF!,#REF!,$B210,#REF!,BF$1)</f>
        <v>#REF!</v>
      </c>
      <c r="BG210" s="24" t="e">
        <f>SUMIFS(#REF!,#REF!,$B210,#REF!,BG$1)</f>
        <v>#REF!</v>
      </c>
      <c r="BH210" s="24" t="e">
        <f>SUMIFS(#REF!,#REF!,$B210,#REF!,BH$1)</f>
        <v>#REF!</v>
      </c>
      <c r="BI210" s="24" t="e">
        <f>SUMIFS(#REF!,#REF!,$B210,#REF!,BI$1)</f>
        <v>#REF!</v>
      </c>
      <c r="BJ210" s="24" t="e">
        <f>SUMIFS(#REF!,#REF!,$B210,#REF!,BJ$1)</f>
        <v>#REF!</v>
      </c>
      <c r="BK210" s="24" t="e">
        <f>SUMIFS(#REF!,#REF!,$B210,#REF!,BK$1)</f>
        <v>#REF!</v>
      </c>
      <c r="BL210" s="24" t="e">
        <f>SUMIFS(#REF!,#REF!,$B210,#REF!,BL$1)</f>
        <v>#REF!</v>
      </c>
      <c r="BM210" s="24" t="e">
        <f>SUMIFS(#REF!,#REF!,$B210,#REF!,BM$1)</f>
        <v>#REF!</v>
      </c>
      <c r="BN210" s="24" t="e">
        <f>SUMIFS(#REF!,#REF!,$B210,#REF!,BN$1)</f>
        <v>#REF!</v>
      </c>
      <c r="BO210" s="24" t="e">
        <f>SUMIFS(#REF!,#REF!,$B210,#REF!,BO$1)</f>
        <v>#REF!</v>
      </c>
      <c r="BP210" s="24" t="e">
        <f>SUMIFS(#REF!,#REF!,$B210,#REF!,BP$1)</f>
        <v>#REF!</v>
      </c>
      <c r="BQ210" s="24" t="e">
        <f>SUMIFS(#REF!,#REF!,$B210,#REF!,BQ$1)</f>
        <v>#REF!</v>
      </c>
      <c r="BR210" s="24" t="e">
        <f>SUMIFS(#REF!,#REF!,$B210,#REF!,BR$1)</f>
        <v>#REF!</v>
      </c>
      <c r="BS210" s="24" t="e">
        <f>SUMIFS(#REF!,#REF!,$B210,#REF!,BS$1)</f>
        <v>#REF!</v>
      </c>
      <c r="BT210" s="24" t="e">
        <f>SUMIFS(#REF!,#REF!,$B210,#REF!,BT$1)</f>
        <v>#REF!</v>
      </c>
      <c r="BU210" s="24" t="e">
        <f>SUMIFS(#REF!,#REF!,$B210,#REF!,BU$1)</f>
        <v>#REF!</v>
      </c>
      <c r="BV210" s="24" t="e">
        <f>SUMIFS(#REF!,#REF!,$B210,#REF!,BV$1)</f>
        <v>#REF!</v>
      </c>
      <c r="BW210" s="24" t="e">
        <f>SUMIFS(#REF!,#REF!,$B210,#REF!,BW$1)</f>
        <v>#REF!</v>
      </c>
      <c r="BX210" s="24" t="e">
        <f>SUMIFS(#REF!,#REF!,$B210,#REF!,BX$1)</f>
        <v>#REF!</v>
      </c>
      <c r="BY210" s="24" t="e">
        <f>SUMIFS(#REF!,#REF!,$B210,#REF!,BY$1)</f>
        <v>#REF!</v>
      </c>
      <c r="BZ210" s="24" t="e">
        <f>SUMIFS(#REF!,#REF!,$B210,#REF!,BZ$1)</f>
        <v>#REF!</v>
      </c>
      <c r="CA210" s="24" t="e">
        <f>SUMIFS(#REF!,#REF!,$B210,#REF!,CA$1)</f>
        <v>#REF!</v>
      </c>
      <c r="CB210" s="24" t="e">
        <f>SUMIFS(#REF!,#REF!,$B210,#REF!,CB$1)</f>
        <v>#REF!</v>
      </c>
      <c r="CC210" s="24" t="e">
        <f>SUMIFS(#REF!,#REF!,$B210,#REF!,CC$1)</f>
        <v>#REF!</v>
      </c>
      <c r="CD210" s="24" t="e">
        <f>SUMIFS(#REF!,#REF!,$B210,#REF!,CD$1)</f>
        <v>#REF!</v>
      </c>
      <c r="CE210" s="24" t="e">
        <f>SUMIFS(#REF!,#REF!,$B210,#REF!,CE$1)</f>
        <v>#REF!</v>
      </c>
      <c r="CF210" s="24" t="e">
        <f>SUMIFS(#REF!,#REF!,$B210,#REF!,CF$1)</f>
        <v>#REF!</v>
      </c>
      <c r="CG210" s="19" t="e">
        <f t="shared" si="3"/>
        <v>#REF!</v>
      </c>
    </row>
    <row r="211" spans="1:85" x14ac:dyDescent="0.45">
      <c r="A211" s="4" t="s">
        <v>1404</v>
      </c>
      <c r="B211" s="4" t="s">
        <v>1405</v>
      </c>
      <c r="C211" s="24" t="e">
        <f>SUMIFS(#REF!,#REF!,$B211,#REF!,C$1)</f>
        <v>#REF!</v>
      </c>
      <c r="D211" s="24" t="e">
        <f>SUMIFS(#REF!,#REF!,$B211,#REF!,D$1)</f>
        <v>#REF!</v>
      </c>
      <c r="E211" s="24" t="e">
        <f>SUMIFS(#REF!,#REF!,$B211,#REF!,E$1)</f>
        <v>#REF!</v>
      </c>
      <c r="F211" s="24" t="e">
        <f>SUMIFS(#REF!,#REF!,$B211,#REF!,F$1)</f>
        <v>#REF!</v>
      </c>
      <c r="G211" s="24" t="e">
        <f>SUMIFS(#REF!,#REF!,$B211,#REF!,G$1)</f>
        <v>#REF!</v>
      </c>
      <c r="H211" s="24" t="e">
        <f>SUMIFS(#REF!,#REF!,$B211,#REF!,H$1)</f>
        <v>#REF!</v>
      </c>
      <c r="I211" s="24" t="e">
        <f>SUMIFS(#REF!,#REF!,$B211,#REF!,I$1)</f>
        <v>#REF!</v>
      </c>
      <c r="J211" s="24" t="e">
        <f>SUMIFS(#REF!,#REF!,$B211,#REF!,J$1)</f>
        <v>#REF!</v>
      </c>
      <c r="K211" s="24" t="e">
        <f>SUMIFS(#REF!,#REF!,$B211,#REF!,K$1)</f>
        <v>#REF!</v>
      </c>
      <c r="L211" s="24" t="e">
        <f>SUMIFS(#REF!,#REF!,$B211,#REF!,L$1)</f>
        <v>#REF!</v>
      </c>
      <c r="M211" s="24" t="e">
        <f>SUMIFS(#REF!,#REF!,$B211,#REF!,M$1)</f>
        <v>#REF!</v>
      </c>
      <c r="N211" s="24" t="e">
        <f>SUMIFS(#REF!,#REF!,$B211,#REF!,N$1)</f>
        <v>#REF!</v>
      </c>
      <c r="O211" s="24" t="e">
        <f>SUMIFS(#REF!,#REF!,$B211,#REF!,O$1)</f>
        <v>#REF!</v>
      </c>
      <c r="P211" s="24" t="e">
        <f>SUMIFS(#REF!,#REF!,$B211,#REF!,P$1)</f>
        <v>#REF!</v>
      </c>
      <c r="Q211" s="24" t="e">
        <f>SUMIFS(#REF!,#REF!,$B211,#REF!,Q$1)</f>
        <v>#REF!</v>
      </c>
      <c r="R211" s="24" t="e">
        <f>SUMIFS(#REF!,#REF!,$B211,#REF!,R$1)</f>
        <v>#REF!</v>
      </c>
      <c r="S211" s="24" t="e">
        <f>SUMIFS(#REF!,#REF!,$B211,#REF!,S$1)</f>
        <v>#REF!</v>
      </c>
      <c r="T211" s="24" t="e">
        <f>SUMIFS(#REF!,#REF!,$B211,#REF!,T$1)</f>
        <v>#REF!</v>
      </c>
      <c r="U211" s="24" t="e">
        <f>SUMIFS(#REF!,#REF!,$B211,#REF!,U$1)</f>
        <v>#REF!</v>
      </c>
      <c r="V211" s="24" t="e">
        <f>SUMIFS(#REF!,#REF!,$B211,#REF!,V$1)</f>
        <v>#REF!</v>
      </c>
      <c r="W211" s="24" t="e">
        <f>SUMIFS(#REF!,#REF!,$B211,#REF!,W$1)</f>
        <v>#REF!</v>
      </c>
      <c r="X211" s="24" t="e">
        <f>SUMIFS(#REF!,#REF!,$B211,#REF!,X$1)</f>
        <v>#REF!</v>
      </c>
      <c r="Y211" s="24" t="e">
        <f>SUMIFS(#REF!,#REF!,$B211,#REF!,Y$1)</f>
        <v>#REF!</v>
      </c>
      <c r="Z211" s="24" t="e">
        <f>SUMIFS(#REF!,#REF!,$B211,#REF!,Z$1)</f>
        <v>#REF!</v>
      </c>
      <c r="AA211" s="24" t="e">
        <f>SUMIFS(#REF!,#REF!,$B211,#REF!,AA$1)</f>
        <v>#REF!</v>
      </c>
      <c r="AB211" s="24" t="e">
        <f>SUMIFS(#REF!,#REF!,$B211,#REF!,AB$1)</f>
        <v>#REF!</v>
      </c>
      <c r="AC211" s="24" t="e">
        <f>SUMIFS(#REF!,#REF!,$B211,#REF!,AC$1)</f>
        <v>#REF!</v>
      </c>
      <c r="AD211" s="24" t="e">
        <f>SUMIFS(#REF!,#REF!,$B211,#REF!,AD$1)</f>
        <v>#REF!</v>
      </c>
      <c r="AE211" s="24" t="e">
        <f>SUMIFS(#REF!,#REF!,$B211,#REF!,AE$1)</f>
        <v>#REF!</v>
      </c>
      <c r="AF211" s="24" t="e">
        <f>SUMIFS(#REF!,#REF!,$B211,#REF!,AF$1)</f>
        <v>#REF!</v>
      </c>
      <c r="AG211" s="24" t="e">
        <f>SUMIFS(#REF!,#REF!,$B211,#REF!,AG$1)</f>
        <v>#REF!</v>
      </c>
      <c r="AH211" s="24" t="e">
        <f>SUMIFS(#REF!,#REF!,$B211,#REF!,AH$1)</f>
        <v>#REF!</v>
      </c>
      <c r="AI211" s="24" t="e">
        <f>SUMIFS(#REF!,#REF!,$B211,#REF!,AI$1)</f>
        <v>#REF!</v>
      </c>
      <c r="AJ211" s="24" t="e">
        <f>SUMIFS(#REF!,#REF!,$B211,#REF!,AJ$1)</f>
        <v>#REF!</v>
      </c>
      <c r="AK211" s="24" t="e">
        <f>SUMIFS(#REF!,#REF!,$B211,#REF!,AK$1)</f>
        <v>#REF!</v>
      </c>
      <c r="AL211" s="24" t="e">
        <f>SUMIFS(#REF!,#REF!,$B211,#REF!,AL$1)</f>
        <v>#REF!</v>
      </c>
      <c r="AM211" s="24" t="e">
        <f>SUMIFS(#REF!,#REF!,$B211,#REF!,AM$1)</f>
        <v>#REF!</v>
      </c>
      <c r="AN211" s="24" t="e">
        <f>SUMIFS(#REF!,#REF!,$B211,#REF!,AN$1)</f>
        <v>#REF!</v>
      </c>
      <c r="AO211" s="24" t="e">
        <f>SUMIFS(#REF!,#REF!,$B211,#REF!,AO$1)</f>
        <v>#REF!</v>
      </c>
      <c r="AP211" s="24" t="e">
        <f>SUMIFS(#REF!,#REF!,$B211,#REF!,AP$1)</f>
        <v>#REF!</v>
      </c>
      <c r="AQ211" s="24" t="e">
        <f>SUMIFS(#REF!,#REF!,$B211,#REF!,AQ$1)</f>
        <v>#REF!</v>
      </c>
      <c r="AR211" s="24" t="e">
        <f>SUMIFS(#REF!,#REF!,$B211,#REF!,AR$1)</f>
        <v>#REF!</v>
      </c>
      <c r="AS211" s="24" t="e">
        <f>SUMIFS(#REF!,#REF!,$B211,#REF!,AS$1)</f>
        <v>#REF!</v>
      </c>
      <c r="AT211" s="24" t="e">
        <f>SUMIFS(#REF!,#REF!,$B211,#REF!,AT$1)</f>
        <v>#REF!</v>
      </c>
      <c r="AU211" s="24" t="e">
        <f>SUMIFS(#REF!,#REF!,$B211,#REF!,AU$1)</f>
        <v>#REF!</v>
      </c>
      <c r="AV211" s="24" t="e">
        <f>SUMIFS(#REF!,#REF!,$B211,#REF!,AV$1)</f>
        <v>#REF!</v>
      </c>
      <c r="AW211" s="24" t="e">
        <f>SUMIFS(#REF!,#REF!,$B211,#REF!,AW$1)</f>
        <v>#REF!</v>
      </c>
      <c r="AX211" s="24" t="e">
        <f>SUMIFS(#REF!,#REF!,$B211,#REF!,AX$1)</f>
        <v>#REF!</v>
      </c>
      <c r="AY211" s="24" t="e">
        <f>SUMIFS(#REF!,#REF!,$B211,#REF!,AY$1)</f>
        <v>#REF!</v>
      </c>
      <c r="AZ211" s="24" t="e">
        <f>SUMIFS(#REF!,#REF!,$B211,#REF!,AZ$1)</f>
        <v>#REF!</v>
      </c>
      <c r="BA211" s="24" t="e">
        <f>SUMIFS(#REF!,#REF!,$B211,#REF!,BA$1)</f>
        <v>#REF!</v>
      </c>
      <c r="BB211" s="24" t="e">
        <f>SUMIFS(#REF!,#REF!,$B211,#REF!,BB$1)</f>
        <v>#REF!</v>
      </c>
      <c r="BC211" s="24" t="e">
        <f>SUMIFS(#REF!,#REF!,$B211,#REF!,BC$1)</f>
        <v>#REF!</v>
      </c>
      <c r="BD211" s="24" t="e">
        <f>SUMIFS(#REF!,#REF!,$B211,#REF!,BD$1)</f>
        <v>#REF!</v>
      </c>
      <c r="BE211" s="24" t="e">
        <f>SUMIFS(#REF!,#REF!,$B211,#REF!,BE$1)</f>
        <v>#REF!</v>
      </c>
      <c r="BF211" s="24" t="e">
        <f>SUMIFS(#REF!,#REF!,$B211,#REF!,BF$1)</f>
        <v>#REF!</v>
      </c>
      <c r="BG211" s="24" t="e">
        <f>SUMIFS(#REF!,#REF!,$B211,#REF!,BG$1)</f>
        <v>#REF!</v>
      </c>
      <c r="BH211" s="24" t="e">
        <f>SUMIFS(#REF!,#REF!,$B211,#REF!,BH$1)</f>
        <v>#REF!</v>
      </c>
      <c r="BI211" s="24" t="e">
        <f>SUMIFS(#REF!,#REF!,$B211,#REF!,BI$1)</f>
        <v>#REF!</v>
      </c>
      <c r="BJ211" s="24" t="e">
        <f>SUMIFS(#REF!,#REF!,$B211,#REF!,BJ$1)</f>
        <v>#REF!</v>
      </c>
      <c r="BK211" s="24" t="e">
        <f>SUMIFS(#REF!,#REF!,$B211,#REF!,BK$1)</f>
        <v>#REF!</v>
      </c>
      <c r="BL211" s="24" t="e">
        <f>SUMIFS(#REF!,#REF!,$B211,#REF!,BL$1)</f>
        <v>#REF!</v>
      </c>
      <c r="BM211" s="24" t="e">
        <f>SUMIFS(#REF!,#REF!,$B211,#REF!,BM$1)</f>
        <v>#REF!</v>
      </c>
      <c r="BN211" s="24" t="e">
        <f>SUMIFS(#REF!,#REF!,$B211,#REF!,BN$1)</f>
        <v>#REF!</v>
      </c>
      <c r="BO211" s="24" t="e">
        <f>SUMIFS(#REF!,#REF!,$B211,#REF!,BO$1)</f>
        <v>#REF!</v>
      </c>
      <c r="BP211" s="24" t="e">
        <f>SUMIFS(#REF!,#REF!,$B211,#REF!,BP$1)</f>
        <v>#REF!</v>
      </c>
      <c r="BQ211" s="24" t="e">
        <f>SUMIFS(#REF!,#REF!,$B211,#REF!,BQ$1)</f>
        <v>#REF!</v>
      </c>
      <c r="BR211" s="24" t="e">
        <f>SUMIFS(#REF!,#REF!,$B211,#REF!,BR$1)</f>
        <v>#REF!</v>
      </c>
      <c r="BS211" s="24" t="e">
        <f>SUMIFS(#REF!,#REF!,$B211,#REF!,BS$1)</f>
        <v>#REF!</v>
      </c>
      <c r="BT211" s="24" t="e">
        <f>SUMIFS(#REF!,#REF!,$B211,#REF!,BT$1)</f>
        <v>#REF!</v>
      </c>
      <c r="BU211" s="24" t="e">
        <f>SUMIFS(#REF!,#REF!,$B211,#REF!,BU$1)</f>
        <v>#REF!</v>
      </c>
      <c r="BV211" s="24" t="e">
        <f>SUMIFS(#REF!,#REF!,$B211,#REF!,BV$1)</f>
        <v>#REF!</v>
      </c>
      <c r="BW211" s="24" t="e">
        <f>SUMIFS(#REF!,#REF!,$B211,#REF!,BW$1)</f>
        <v>#REF!</v>
      </c>
      <c r="BX211" s="24" t="e">
        <f>SUMIFS(#REF!,#REF!,$B211,#REF!,BX$1)</f>
        <v>#REF!</v>
      </c>
      <c r="BY211" s="24" t="e">
        <f>SUMIFS(#REF!,#REF!,$B211,#REF!,BY$1)</f>
        <v>#REF!</v>
      </c>
      <c r="BZ211" s="24" t="e">
        <f>SUMIFS(#REF!,#REF!,$B211,#REF!,BZ$1)</f>
        <v>#REF!</v>
      </c>
      <c r="CA211" s="24" t="e">
        <f>SUMIFS(#REF!,#REF!,$B211,#REF!,CA$1)</f>
        <v>#REF!</v>
      </c>
      <c r="CB211" s="24" t="e">
        <f>SUMIFS(#REF!,#REF!,$B211,#REF!,CB$1)</f>
        <v>#REF!</v>
      </c>
      <c r="CC211" s="24" t="e">
        <f>SUMIFS(#REF!,#REF!,$B211,#REF!,CC$1)</f>
        <v>#REF!</v>
      </c>
      <c r="CD211" s="24" t="e">
        <f>SUMIFS(#REF!,#REF!,$B211,#REF!,CD$1)</f>
        <v>#REF!</v>
      </c>
      <c r="CE211" s="24" t="e">
        <f>SUMIFS(#REF!,#REF!,$B211,#REF!,CE$1)</f>
        <v>#REF!</v>
      </c>
      <c r="CF211" s="24" t="e">
        <f>SUMIFS(#REF!,#REF!,$B211,#REF!,CF$1)</f>
        <v>#REF!</v>
      </c>
      <c r="CG211" s="19" t="e">
        <f t="shared" si="3"/>
        <v>#REF!</v>
      </c>
    </row>
    <row r="212" spans="1:85" x14ac:dyDescent="0.45">
      <c r="A212" s="4" t="s">
        <v>1406</v>
      </c>
      <c r="B212" s="4" t="s">
        <v>1407</v>
      </c>
      <c r="C212" s="24" t="e">
        <f>SUMIFS(#REF!,#REF!,$B212,#REF!,C$1)</f>
        <v>#REF!</v>
      </c>
      <c r="D212" s="24" t="e">
        <f>SUMIFS(#REF!,#REF!,$B212,#REF!,D$1)</f>
        <v>#REF!</v>
      </c>
      <c r="E212" s="24" t="e">
        <f>SUMIFS(#REF!,#REF!,$B212,#REF!,E$1)</f>
        <v>#REF!</v>
      </c>
      <c r="F212" s="24" t="e">
        <f>SUMIFS(#REF!,#REF!,$B212,#REF!,F$1)</f>
        <v>#REF!</v>
      </c>
      <c r="G212" s="24" t="e">
        <f>SUMIFS(#REF!,#REF!,$B212,#REF!,G$1)</f>
        <v>#REF!</v>
      </c>
      <c r="H212" s="24" t="e">
        <f>SUMIFS(#REF!,#REF!,$B212,#REF!,H$1)</f>
        <v>#REF!</v>
      </c>
      <c r="I212" s="24" t="e">
        <f>SUMIFS(#REF!,#REF!,$B212,#REF!,I$1)</f>
        <v>#REF!</v>
      </c>
      <c r="J212" s="24" t="e">
        <f>SUMIFS(#REF!,#REF!,$B212,#REF!,J$1)</f>
        <v>#REF!</v>
      </c>
      <c r="K212" s="24" t="e">
        <f>SUMIFS(#REF!,#REF!,$B212,#REF!,K$1)</f>
        <v>#REF!</v>
      </c>
      <c r="L212" s="24" t="e">
        <f>SUMIFS(#REF!,#REF!,$B212,#REF!,L$1)</f>
        <v>#REF!</v>
      </c>
      <c r="M212" s="24" t="e">
        <f>SUMIFS(#REF!,#REF!,$B212,#REF!,M$1)</f>
        <v>#REF!</v>
      </c>
      <c r="N212" s="24" t="e">
        <f>SUMIFS(#REF!,#REF!,$B212,#REF!,N$1)</f>
        <v>#REF!</v>
      </c>
      <c r="O212" s="24" t="e">
        <f>SUMIFS(#REF!,#REF!,$B212,#REF!,O$1)</f>
        <v>#REF!</v>
      </c>
      <c r="P212" s="24" t="e">
        <f>SUMIFS(#REF!,#REF!,$B212,#REF!,P$1)</f>
        <v>#REF!</v>
      </c>
      <c r="Q212" s="24" t="e">
        <f>SUMIFS(#REF!,#REF!,$B212,#REF!,Q$1)</f>
        <v>#REF!</v>
      </c>
      <c r="R212" s="24" t="e">
        <f>SUMIFS(#REF!,#REF!,$B212,#REF!,R$1)</f>
        <v>#REF!</v>
      </c>
      <c r="S212" s="24" t="e">
        <f>SUMIFS(#REF!,#REF!,$B212,#REF!,S$1)</f>
        <v>#REF!</v>
      </c>
      <c r="T212" s="24" t="e">
        <f>SUMIFS(#REF!,#REF!,$B212,#REF!,T$1)</f>
        <v>#REF!</v>
      </c>
      <c r="U212" s="24" t="e">
        <f>SUMIFS(#REF!,#REF!,$B212,#REF!,U$1)</f>
        <v>#REF!</v>
      </c>
      <c r="V212" s="24" t="e">
        <f>SUMIFS(#REF!,#REF!,$B212,#REF!,V$1)</f>
        <v>#REF!</v>
      </c>
      <c r="W212" s="24" t="e">
        <f>SUMIFS(#REF!,#REF!,$B212,#REF!,W$1)</f>
        <v>#REF!</v>
      </c>
      <c r="X212" s="24" t="e">
        <f>SUMIFS(#REF!,#REF!,$B212,#REF!,X$1)</f>
        <v>#REF!</v>
      </c>
      <c r="Y212" s="24" t="e">
        <f>SUMIFS(#REF!,#REF!,$B212,#REF!,Y$1)</f>
        <v>#REF!</v>
      </c>
      <c r="Z212" s="24" t="e">
        <f>SUMIFS(#REF!,#REF!,$B212,#REF!,Z$1)</f>
        <v>#REF!</v>
      </c>
      <c r="AA212" s="24" t="e">
        <f>SUMIFS(#REF!,#REF!,$B212,#REF!,AA$1)</f>
        <v>#REF!</v>
      </c>
      <c r="AB212" s="24" t="e">
        <f>SUMIFS(#REF!,#REF!,$B212,#REF!,AB$1)</f>
        <v>#REF!</v>
      </c>
      <c r="AC212" s="24" t="e">
        <f>SUMIFS(#REF!,#REF!,$B212,#REF!,AC$1)</f>
        <v>#REF!</v>
      </c>
      <c r="AD212" s="24" t="e">
        <f>SUMIFS(#REF!,#REF!,$B212,#REF!,AD$1)</f>
        <v>#REF!</v>
      </c>
      <c r="AE212" s="24" t="e">
        <f>SUMIFS(#REF!,#REF!,$B212,#REF!,AE$1)</f>
        <v>#REF!</v>
      </c>
      <c r="AF212" s="24" t="e">
        <f>SUMIFS(#REF!,#REF!,$B212,#REF!,AF$1)</f>
        <v>#REF!</v>
      </c>
      <c r="AG212" s="24" t="e">
        <f>SUMIFS(#REF!,#REF!,$B212,#REF!,AG$1)</f>
        <v>#REF!</v>
      </c>
      <c r="AH212" s="24" t="e">
        <f>SUMIFS(#REF!,#REF!,$B212,#REF!,AH$1)</f>
        <v>#REF!</v>
      </c>
      <c r="AI212" s="24" t="e">
        <f>SUMIFS(#REF!,#REF!,$B212,#REF!,AI$1)</f>
        <v>#REF!</v>
      </c>
      <c r="AJ212" s="24" t="e">
        <f>SUMIFS(#REF!,#REF!,$B212,#REF!,AJ$1)</f>
        <v>#REF!</v>
      </c>
      <c r="AK212" s="24" t="e">
        <f>SUMIFS(#REF!,#REF!,$B212,#REF!,AK$1)</f>
        <v>#REF!</v>
      </c>
      <c r="AL212" s="24" t="e">
        <f>SUMIFS(#REF!,#REF!,$B212,#REF!,AL$1)</f>
        <v>#REF!</v>
      </c>
      <c r="AM212" s="24" t="e">
        <f>SUMIFS(#REF!,#REF!,$B212,#REF!,AM$1)</f>
        <v>#REF!</v>
      </c>
      <c r="AN212" s="24" t="e">
        <f>SUMIFS(#REF!,#REF!,$B212,#REF!,AN$1)</f>
        <v>#REF!</v>
      </c>
      <c r="AO212" s="24" t="e">
        <f>SUMIFS(#REF!,#REF!,$B212,#REF!,AO$1)</f>
        <v>#REF!</v>
      </c>
      <c r="AP212" s="24" t="e">
        <f>SUMIFS(#REF!,#REF!,$B212,#REF!,AP$1)</f>
        <v>#REF!</v>
      </c>
      <c r="AQ212" s="24" t="e">
        <f>SUMIFS(#REF!,#REF!,$B212,#REF!,AQ$1)</f>
        <v>#REF!</v>
      </c>
      <c r="AR212" s="24" t="e">
        <f>SUMIFS(#REF!,#REF!,$B212,#REF!,AR$1)</f>
        <v>#REF!</v>
      </c>
      <c r="AS212" s="24" t="e">
        <f>SUMIFS(#REF!,#REF!,$B212,#REF!,AS$1)</f>
        <v>#REF!</v>
      </c>
      <c r="AT212" s="24" t="e">
        <f>SUMIFS(#REF!,#REF!,$B212,#REF!,AT$1)</f>
        <v>#REF!</v>
      </c>
      <c r="AU212" s="24" t="e">
        <f>SUMIFS(#REF!,#REF!,$B212,#REF!,AU$1)</f>
        <v>#REF!</v>
      </c>
      <c r="AV212" s="24" t="e">
        <f>SUMIFS(#REF!,#REF!,$B212,#REF!,AV$1)</f>
        <v>#REF!</v>
      </c>
      <c r="AW212" s="24" t="e">
        <f>SUMIFS(#REF!,#REF!,$B212,#REF!,AW$1)</f>
        <v>#REF!</v>
      </c>
      <c r="AX212" s="24" t="e">
        <f>SUMIFS(#REF!,#REF!,$B212,#REF!,AX$1)</f>
        <v>#REF!</v>
      </c>
      <c r="AY212" s="24" t="e">
        <f>SUMIFS(#REF!,#REF!,$B212,#REF!,AY$1)</f>
        <v>#REF!</v>
      </c>
      <c r="AZ212" s="24" t="e">
        <f>SUMIFS(#REF!,#REF!,$B212,#REF!,AZ$1)</f>
        <v>#REF!</v>
      </c>
      <c r="BA212" s="24" t="e">
        <f>SUMIFS(#REF!,#REF!,$B212,#REF!,BA$1)</f>
        <v>#REF!</v>
      </c>
      <c r="BB212" s="24" t="e">
        <f>SUMIFS(#REF!,#REF!,$B212,#REF!,BB$1)</f>
        <v>#REF!</v>
      </c>
      <c r="BC212" s="24" t="e">
        <f>SUMIFS(#REF!,#REF!,$B212,#REF!,BC$1)</f>
        <v>#REF!</v>
      </c>
      <c r="BD212" s="24" t="e">
        <f>SUMIFS(#REF!,#REF!,$B212,#REF!,BD$1)</f>
        <v>#REF!</v>
      </c>
      <c r="BE212" s="24" t="e">
        <f>SUMIFS(#REF!,#REF!,$B212,#REF!,BE$1)</f>
        <v>#REF!</v>
      </c>
      <c r="BF212" s="24" t="e">
        <f>SUMIFS(#REF!,#REF!,$B212,#REF!,BF$1)</f>
        <v>#REF!</v>
      </c>
      <c r="BG212" s="24" t="e">
        <f>SUMIFS(#REF!,#REF!,$B212,#REF!,BG$1)</f>
        <v>#REF!</v>
      </c>
      <c r="BH212" s="24" t="e">
        <f>SUMIFS(#REF!,#REF!,$B212,#REF!,BH$1)</f>
        <v>#REF!</v>
      </c>
      <c r="BI212" s="24" t="e">
        <f>SUMIFS(#REF!,#REF!,$B212,#REF!,BI$1)</f>
        <v>#REF!</v>
      </c>
      <c r="BJ212" s="24" t="e">
        <f>SUMIFS(#REF!,#REF!,$B212,#REF!,BJ$1)</f>
        <v>#REF!</v>
      </c>
      <c r="BK212" s="24" t="e">
        <f>SUMIFS(#REF!,#REF!,$B212,#REF!,BK$1)</f>
        <v>#REF!</v>
      </c>
      <c r="BL212" s="24" t="e">
        <f>SUMIFS(#REF!,#REF!,$B212,#REF!,BL$1)</f>
        <v>#REF!</v>
      </c>
      <c r="BM212" s="24" t="e">
        <f>SUMIFS(#REF!,#REF!,$B212,#REF!,BM$1)</f>
        <v>#REF!</v>
      </c>
      <c r="BN212" s="24" t="e">
        <f>SUMIFS(#REF!,#REF!,$B212,#REF!,BN$1)</f>
        <v>#REF!</v>
      </c>
      <c r="BO212" s="24" t="e">
        <f>SUMIFS(#REF!,#REF!,$B212,#REF!,BO$1)</f>
        <v>#REF!</v>
      </c>
      <c r="BP212" s="24" t="e">
        <f>SUMIFS(#REF!,#REF!,$B212,#REF!,BP$1)</f>
        <v>#REF!</v>
      </c>
      <c r="BQ212" s="24" t="e">
        <f>SUMIFS(#REF!,#REF!,$B212,#REF!,BQ$1)</f>
        <v>#REF!</v>
      </c>
      <c r="BR212" s="24" t="e">
        <f>SUMIFS(#REF!,#REF!,$B212,#REF!,BR$1)</f>
        <v>#REF!</v>
      </c>
      <c r="BS212" s="24" t="e">
        <f>SUMIFS(#REF!,#REF!,$B212,#REF!,BS$1)</f>
        <v>#REF!</v>
      </c>
      <c r="BT212" s="24" t="e">
        <f>SUMIFS(#REF!,#REF!,$B212,#REF!,BT$1)</f>
        <v>#REF!</v>
      </c>
      <c r="BU212" s="24" t="e">
        <f>SUMIFS(#REF!,#REF!,$B212,#REF!,BU$1)</f>
        <v>#REF!</v>
      </c>
      <c r="BV212" s="24" t="e">
        <f>SUMIFS(#REF!,#REF!,$B212,#REF!,BV$1)</f>
        <v>#REF!</v>
      </c>
      <c r="BW212" s="24" t="e">
        <f>SUMIFS(#REF!,#REF!,$B212,#REF!,BW$1)</f>
        <v>#REF!</v>
      </c>
      <c r="BX212" s="24" t="e">
        <f>SUMIFS(#REF!,#REF!,$B212,#REF!,BX$1)</f>
        <v>#REF!</v>
      </c>
      <c r="BY212" s="24" t="e">
        <f>SUMIFS(#REF!,#REF!,$B212,#REF!,BY$1)</f>
        <v>#REF!</v>
      </c>
      <c r="BZ212" s="24" t="e">
        <f>SUMIFS(#REF!,#REF!,$B212,#REF!,BZ$1)</f>
        <v>#REF!</v>
      </c>
      <c r="CA212" s="24" t="e">
        <f>SUMIFS(#REF!,#REF!,$B212,#REF!,CA$1)</f>
        <v>#REF!</v>
      </c>
      <c r="CB212" s="24" t="e">
        <f>SUMIFS(#REF!,#REF!,$B212,#REF!,CB$1)</f>
        <v>#REF!</v>
      </c>
      <c r="CC212" s="24" t="e">
        <f>SUMIFS(#REF!,#REF!,$B212,#REF!,CC$1)</f>
        <v>#REF!</v>
      </c>
      <c r="CD212" s="24" t="e">
        <f>SUMIFS(#REF!,#REF!,$B212,#REF!,CD$1)</f>
        <v>#REF!</v>
      </c>
      <c r="CE212" s="24" t="e">
        <f>SUMIFS(#REF!,#REF!,$B212,#REF!,CE$1)</f>
        <v>#REF!</v>
      </c>
      <c r="CF212" s="24" t="e">
        <f>SUMIFS(#REF!,#REF!,$B212,#REF!,CF$1)</f>
        <v>#REF!</v>
      </c>
      <c r="CG212" s="19" t="e">
        <f t="shared" si="3"/>
        <v>#REF!</v>
      </c>
    </row>
    <row r="213" spans="1:85" x14ac:dyDescent="0.45">
      <c r="A213" s="4" t="s">
        <v>1408</v>
      </c>
      <c r="B213" s="4" t="s">
        <v>1409</v>
      </c>
      <c r="C213" s="24" t="e">
        <f>SUMIFS(#REF!,#REF!,$B213,#REF!,C$1)</f>
        <v>#REF!</v>
      </c>
      <c r="D213" s="24" t="e">
        <f>SUMIFS(#REF!,#REF!,$B213,#REF!,D$1)</f>
        <v>#REF!</v>
      </c>
      <c r="E213" s="24" t="e">
        <f>SUMIFS(#REF!,#REF!,$B213,#REF!,E$1)</f>
        <v>#REF!</v>
      </c>
      <c r="F213" s="24" t="e">
        <f>SUMIFS(#REF!,#REF!,$B213,#REF!,F$1)</f>
        <v>#REF!</v>
      </c>
      <c r="G213" s="24" t="e">
        <f>SUMIFS(#REF!,#REF!,$B213,#REF!,G$1)</f>
        <v>#REF!</v>
      </c>
      <c r="H213" s="24" t="e">
        <f>SUMIFS(#REF!,#REF!,$B213,#REF!,H$1)</f>
        <v>#REF!</v>
      </c>
      <c r="I213" s="24" t="e">
        <f>SUMIFS(#REF!,#REF!,$B213,#REF!,I$1)</f>
        <v>#REF!</v>
      </c>
      <c r="J213" s="24" t="e">
        <f>SUMIFS(#REF!,#REF!,$B213,#REF!,J$1)</f>
        <v>#REF!</v>
      </c>
      <c r="K213" s="24" t="e">
        <f>SUMIFS(#REF!,#REF!,$B213,#REF!,K$1)</f>
        <v>#REF!</v>
      </c>
      <c r="L213" s="24" t="e">
        <f>SUMIFS(#REF!,#REF!,$B213,#REF!,L$1)</f>
        <v>#REF!</v>
      </c>
      <c r="M213" s="24" t="e">
        <f>SUMIFS(#REF!,#REF!,$B213,#REF!,M$1)</f>
        <v>#REF!</v>
      </c>
      <c r="N213" s="24" t="e">
        <f>SUMIFS(#REF!,#REF!,$B213,#REF!,N$1)</f>
        <v>#REF!</v>
      </c>
      <c r="O213" s="24" t="e">
        <f>SUMIFS(#REF!,#REF!,$B213,#REF!,O$1)</f>
        <v>#REF!</v>
      </c>
      <c r="P213" s="24" t="e">
        <f>SUMIFS(#REF!,#REF!,$B213,#REF!,P$1)</f>
        <v>#REF!</v>
      </c>
      <c r="Q213" s="24" t="e">
        <f>SUMIFS(#REF!,#REF!,$B213,#REF!,Q$1)</f>
        <v>#REF!</v>
      </c>
      <c r="R213" s="24" t="e">
        <f>SUMIFS(#REF!,#REF!,$B213,#REF!,R$1)</f>
        <v>#REF!</v>
      </c>
      <c r="S213" s="24" t="e">
        <f>SUMIFS(#REF!,#REF!,$B213,#REF!,S$1)</f>
        <v>#REF!</v>
      </c>
      <c r="T213" s="24" t="e">
        <f>SUMIFS(#REF!,#REF!,$B213,#REF!,T$1)</f>
        <v>#REF!</v>
      </c>
      <c r="U213" s="24" t="e">
        <f>SUMIFS(#REF!,#REF!,$B213,#REF!,U$1)</f>
        <v>#REF!</v>
      </c>
      <c r="V213" s="24" t="e">
        <f>SUMIFS(#REF!,#REF!,$B213,#REF!,V$1)</f>
        <v>#REF!</v>
      </c>
      <c r="W213" s="24" t="e">
        <f>SUMIFS(#REF!,#REF!,$B213,#REF!,W$1)</f>
        <v>#REF!</v>
      </c>
      <c r="X213" s="24" t="e">
        <f>SUMIFS(#REF!,#REF!,$B213,#REF!,X$1)</f>
        <v>#REF!</v>
      </c>
      <c r="Y213" s="24" t="e">
        <f>SUMIFS(#REF!,#REF!,$B213,#REF!,Y$1)</f>
        <v>#REF!</v>
      </c>
      <c r="Z213" s="24" t="e">
        <f>SUMIFS(#REF!,#REF!,$B213,#REF!,Z$1)</f>
        <v>#REF!</v>
      </c>
      <c r="AA213" s="24" t="e">
        <f>SUMIFS(#REF!,#REF!,$B213,#REF!,AA$1)</f>
        <v>#REF!</v>
      </c>
      <c r="AB213" s="24" t="e">
        <f>SUMIFS(#REF!,#REF!,$B213,#REF!,AB$1)</f>
        <v>#REF!</v>
      </c>
      <c r="AC213" s="24" t="e">
        <f>SUMIFS(#REF!,#REF!,$B213,#REF!,AC$1)</f>
        <v>#REF!</v>
      </c>
      <c r="AD213" s="24" t="e">
        <f>SUMIFS(#REF!,#REF!,$B213,#REF!,AD$1)</f>
        <v>#REF!</v>
      </c>
      <c r="AE213" s="24" t="e">
        <f>SUMIFS(#REF!,#REF!,$B213,#REF!,AE$1)</f>
        <v>#REF!</v>
      </c>
      <c r="AF213" s="24" t="e">
        <f>SUMIFS(#REF!,#REF!,$B213,#REF!,AF$1)</f>
        <v>#REF!</v>
      </c>
      <c r="AG213" s="24" t="e">
        <f>SUMIFS(#REF!,#REF!,$B213,#REF!,AG$1)</f>
        <v>#REF!</v>
      </c>
      <c r="AH213" s="24" t="e">
        <f>SUMIFS(#REF!,#REF!,$B213,#REF!,AH$1)</f>
        <v>#REF!</v>
      </c>
      <c r="AI213" s="24" t="e">
        <f>SUMIFS(#REF!,#REF!,$B213,#REF!,AI$1)</f>
        <v>#REF!</v>
      </c>
      <c r="AJ213" s="24" t="e">
        <f>SUMIFS(#REF!,#REF!,$B213,#REF!,AJ$1)</f>
        <v>#REF!</v>
      </c>
      <c r="AK213" s="24" t="e">
        <f>SUMIFS(#REF!,#REF!,$B213,#REF!,AK$1)</f>
        <v>#REF!</v>
      </c>
      <c r="AL213" s="24" t="e">
        <f>SUMIFS(#REF!,#REF!,$B213,#REF!,AL$1)</f>
        <v>#REF!</v>
      </c>
      <c r="AM213" s="24" t="e">
        <f>SUMIFS(#REF!,#REF!,$B213,#REF!,AM$1)</f>
        <v>#REF!</v>
      </c>
      <c r="AN213" s="24" t="e">
        <f>SUMIFS(#REF!,#REF!,$B213,#REF!,AN$1)</f>
        <v>#REF!</v>
      </c>
      <c r="AO213" s="24" t="e">
        <f>SUMIFS(#REF!,#REF!,$B213,#REF!,AO$1)</f>
        <v>#REF!</v>
      </c>
      <c r="AP213" s="24" t="e">
        <f>SUMIFS(#REF!,#REF!,$B213,#REF!,AP$1)</f>
        <v>#REF!</v>
      </c>
      <c r="AQ213" s="24" t="e">
        <f>SUMIFS(#REF!,#REF!,$B213,#REF!,AQ$1)</f>
        <v>#REF!</v>
      </c>
      <c r="AR213" s="24" t="e">
        <f>SUMIFS(#REF!,#REF!,$B213,#REF!,AR$1)</f>
        <v>#REF!</v>
      </c>
      <c r="AS213" s="24" t="e">
        <f>SUMIFS(#REF!,#REF!,$B213,#REF!,AS$1)</f>
        <v>#REF!</v>
      </c>
      <c r="AT213" s="24" t="e">
        <f>SUMIFS(#REF!,#REF!,$B213,#REF!,AT$1)</f>
        <v>#REF!</v>
      </c>
      <c r="AU213" s="24" t="e">
        <f>SUMIFS(#REF!,#REF!,$B213,#REF!,AU$1)</f>
        <v>#REF!</v>
      </c>
      <c r="AV213" s="24" t="e">
        <f>SUMIFS(#REF!,#REF!,$B213,#REF!,AV$1)</f>
        <v>#REF!</v>
      </c>
      <c r="AW213" s="24" t="e">
        <f>SUMIFS(#REF!,#REF!,$B213,#REF!,AW$1)</f>
        <v>#REF!</v>
      </c>
      <c r="AX213" s="24" t="e">
        <f>SUMIFS(#REF!,#REF!,$B213,#REF!,AX$1)</f>
        <v>#REF!</v>
      </c>
      <c r="AY213" s="24" t="e">
        <f>SUMIFS(#REF!,#REF!,$B213,#REF!,AY$1)</f>
        <v>#REF!</v>
      </c>
      <c r="AZ213" s="24" t="e">
        <f>SUMIFS(#REF!,#REF!,$B213,#REF!,AZ$1)</f>
        <v>#REF!</v>
      </c>
      <c r="BA213" s="24" t="e">
        <f>SUMIFS(#REF!,#REF!,$B213,#REF!,BA$1)</f>
        <v>#REF!</v>
      </c>
      <c r="BB213" s="24" t="e">
        <f>SUMIFS(#REF!,#REF!,$B213,#REF!,BB$1)</f>
        <v>#REF!</v>
      </c>
      <c r="BC213" s="24" t="e">
        <f>SUMIFS(#REF!,#REF!,$B213,#REF!,BC$1)</f>
        <v>#REF!</v>
      </c>
      <c r="BD213" s="24" t="e">
        <f>SUMIFS(#REF!,#REF!,$B213,#REF!,BD$1)</f>
        <v>#REF!</v>
      </c>
      <c r="BE213" s="24" t="e">
        <f>SUMIFS(#REF!,#REF!,$B213,#REF!,BE$1)</f>
        <v>#REF!</v>
      </c>
      <c r="BF213" s="24" t="e">
        <f>SUMIFS(#REF!,#REF!,$B213,#REF!,BF$1)</f>
        <v>#REF!</v>
      </c>
      <c r="BG213" s="24" t="e">
        <f>SUMIFS(#REF!,#REF!,$B213,#REF!,BG$1)</f>
        <v>#REF!</v>
      </c>
      <c r="BH213" s="24" t="e">
        <f>SUMIFS(#REF!,#REF!,$B213,#REF!,BH$1)</f>
        <v>#REF!</v>
      </c>
      <c r="BI213" s="24" t="e">
        <f>SUMIFS(#REF!,#REF!,$B213,#REF!,BI$1)</f>
        <v>#REF!</v>
      </c>
      <c r="BJ213" s="24" t="e">
        <f>SUMIFS(#REF!,#REF!,$B213,#REF!,BJ$1)</f>
        <v>#REF!</v>
      </c>
      <c r="BK213" s="24" t="e">
        <f>SUMIFS(#REF!,#REF!,$B213,#REF!,BK$1)</f>
        <v>#REF!</v>
      </c>
      <c r="BL213" s="24" t="e">
        <f>SUMIFS(#REF!,#REF!,$B213,#REF!,BL$1)</f>
        <v>#REF!</v>
      </c>
      <c r="BM213" s="24" t="e">
        <f>SUMIFS(#REF!,#REF!,$B213,#REF!,BM$1)</f>
        <v>#REF!</v>
      </c>
      <c r="BN213" s="24" t="e">
        <f>SUMIFS(#REF!,#REF!,$B213,#REF!,BN$1)</f>
        <v>#REF!</v>
      </c>
      <c r="BO213" s="24" t="e">
        <f>SUMIFS(#REF!,#REF!,$B213,#REF!,BO$1)</f>
        <v>#REF!</v>
      </c>
      <c r="BP213" s="24" t="e">
        <f>SUMIFS(#REF!,#REF!,$B213,#REF!,BP$1)</f>
        <v>#REF!</v>
      </c>
      <c r="BQ213" s="24" t="e">
        <f>SUMIFS(#REF!,#REF!,$B213,#REF!,BQ$1)</f>
        <v>#REF!</v>
      </c>
      <c r="BR213" s="24" t="e">
        <f>SUMIFS(#REF!,#REF!,$B213,#REF!,BR$1)</f>
        <v>#REF!</v>
      </c>
      <c r="BS213" s="24" t="e">
        <f>SUMIFS(#REF!,#REF!,$B213,#REF!,BS$1)</f>
        <v>#REF!</v>
      </c>
      <c r="BT213" s="24" t="e">
        <f>SUMIFS(#REF!,#REF!,$B213,#REF!,BT$1)</f>
        <v>#REF!</v>
      </c>
      <c r="BU213" s="24" t="e">
        <f>SUMIFS(#REF!,#REF!,$B213,#REF!,BU$1)</f>
        <v>#REF!</v>
      </c>
      <c r="BV213" s="24" t="e">
        <f>SUMIFS(#REF!,#REF!,$B213,#REF!,BV$1)</f>
        <v>#REF!</v>
      </c>
      <c r="BW213" s="24" t="e">
        <f>SUMIFS(#REF!,#REF!,$B213,#REF!,BW$1)</f>
        <v>#REF!</v>
      </c>
      <c r="BX213" s="24" t="e">
        <f>SUMIFS(#REF!,#REF!,$B213,#REF!,BX$1)</f>
        <v>#REF!</v>
      </c>
      <c r="BY213" s="24" t="e">
        <f>SUMIFS(#REF!,#REF!,$B213,#REF!,BY$1)</f>
        <v>#REF!</v>
      </c>
      <c r="BZ213" s="24" t="e">
        <f>SUMIFS(#REF!,#REF!,$B213,#REF!,BZ$1)</f>
        <v>#REF!</v>
      </c>
      <c r="CA213" s="24" t="e">
        <f>SUMIFS(#REF!,#REF!,$B213,#REF!,CA$1)</f>
        <v>#REF!</v>
      </c>
      <c r="CB213" s="24" t="e">
        <f>SUMIFS(#REF!,#REF!,$B213,#REF!,CB$1)</f>
        <v>#REF!</v>
      </c>
      <c r="CC213" s="24" t="e">
        <f>SUMIFS(#REF!,#REF!,$B213,#REF!,CC$1)</f>
        <v>#REF!</v>
      </c>
      <c r="CD213" s="24" t="e">
        <f>SUMIFS(#REF!,#REF!,$B213,#REF!,CD$1)</f>
        <v>#REF!</v>
      </c>
      <c r="CE213" s="24" t="e">
        <f>SUMIFS(#REF!,#REF!,$B213,#REF!,CE$1)</f>
        <v>#REF!</v>
      </c>
      <c r="CF213" s="24" t="e">
        <f>SUMIFS(#REF!,#REF!,$B213,#REF!,CF$1)</f>
        <v>#REF!</v>
      </c>
      <c r="CG213" s="19" t="e">
        <f t="shared" si="3"/>
        <v>#REF!</v>
      </c>
    </row>
    <row r="214" spans="1:85" x14ac:dyDescent="0.45">
      <c r="A214" s="4" t="s">
        <v>1410</v>
      </c>
      <c r="B214" s="4" t="s">
        <v>1411</v>
      </c>
      <c r="C214" s="24" t="e">
        <f>SUMIFS(#REF!,#REF!,$B214,#REF!,C$1)</f>
        <v>#REF!</v>
      </c>
      <c r="D214" s="24" t="e">
        <f>SUMIFS(#REF!,#REF!,$B214,#REF!,D$1)</f>
        <v>#REF!</v>
      </c>
      <c r="E214" s="24" t="e">
        <f>SUMIFS(#REF!,#REF!,$B214,#REF!,E$1)</f>
        <v>#REF!</v>
      </c>
      <c r="F214" s="24" t="e">
        <f>SUMIFS(#REF!,#REF!,$B214,#REF!,F$1)</f>
        <v>#REF!</v>
      </c>
      <c r="G214" s="24" t="e">
        <f>SUMIFS(#REF!,#REF!,$B214,#REF!,G$1)</f>
        <v>#REF!</v>
      </c>
      <c r="H214" s="24" t="e">
        <f>SUMIFS(#REF!,#REF!,$B214,#REF!,H$1)</f>
        <v>#REF!</v>
      </c>
      <c r="I214" s="24" t="e">
        <f>SUMIFS(#REF!,#REF!,$B214,#REF!,I$1)</f>
        <v>#REF!</v>
      </c>
      <c r="J214" s="24" t="e">
        <f>SUMIFS(#REF!,#REF!,$B214,#REF!,J$1)</f>
        <v>#REF!</v>
      </c>
      <c r="K214" s="24" t="e">
        <f>SUMIFS(#REF!,#REF!,$B214,#REF!,K$1)</f>
        <v>#REF!</v>
      </c>
      <c r="L214" s="24" t="e">
        <f>SUMIFS(#REF!,#REF!,$B214,#REF!,L$1)</f>
        <v>#REF!</v>
      </c>
      <c r="M214" s="24" t="e">
        <f>SUMIFS(#REF!,#REF!,$B214,#REF!,M$1)</f>
        <v>#REF!</v>
      </c>
      <c r="N214" s="24" t="e">
        <f>SUMIFS(#REF!,#REF!,$B214,#REF!,N$1)</f>
        <v>#REF!</v>
      </c>
      <c r="O214" s="24" t="e">
        <f>SUMIFS(#REF!,#REF!,$B214,#REF!,O$1)</f>
        <v>#REF!</v>
      </c>
      <c r="P214" s="24" t="e">
        <f>SUMIFS(#REF!,#REF!,$B214,#REF!,P$1)</f>
        <v>#REF!</v>
      </c>
      <c r="Q214" s="24" t="e">
        <f>SUMIFS(#REF!,#REF!,$B214,#REF!,Q$1)</f>
        <v>#REF!</v>
      </c>
      <c r="R214" s="24" t="e">
        <f>SUMIFS(#REF!,#REF!,$B214,#REF!,R$1)</f>
        <v>#REF!</v>
      </c>
      <c r="S214" s="24" t="e">
        <f>SUMIFS(#REF!,#REF!,$B214,#REF!,S$1)</f>
        <v>#REF!</v>
      </c>
      <c r="T214" s="24" t="e">
        <f>SUMIFS(#REF!,#REF!,$B214,#REF!,T$1)</f>
        <v>#REF!</v>
      </c>
      <c r="U214" s="24" t="e">
        <f>SUMIFS(#REF!,#REF!,$B214,#REF!,U$1)</f>
        <v>#REF!</v>
      </c>
      <c r="V214" s="24" t="e">
        <f>SUMIFS(#REF!,#REF!,$B214,#REF!,V$1)</f>
        <v>#REF!</v>
      </c>
      <c r="W214" s="24" t="e">
        <f>SUMIFS(#REF!,#REF!,$B214,#REF!,W$1)</f>
        <v>#REF!</v>
      </c>
      <c r="X214" s="24" t="e">
        <f>SUMIFS(#REF!,#REF!,$B214,#REF!,X$1)</f>
        <v>#REF!</v>
      </c>
      <c r="Y214" s="24" t="e">
        <f>SUMIFS(#REF!,#REF!,$B214,#REF!,Y$1)</f>
        <v>#REF!</v>
      </c>
      <c r="Z214" s="24" t="e">
        <f>SUMIFS(#REF!,#REF!,$B214,#REF!,Z$1)</f>
        <v>#REF!</v>
      </c>
      <c r="AA214" s="24" t="e">
        <f>SUMIFS(#REF!,#REF!,$B214,#REF!,AA$1)</f>
        <v>#REF!</v>
      </c>
      <c r="AB214" s="24" t="e">
        <f>SUMIFS(#REF!,#REF!,$B214,#REF!,AB$1)</f>
        <v>#REF!</v>
      </c>
      <c r="AC214" s="24" t="e">
        <f>SUMIFS(#REF!,#REF!,$B214,#REF!,AC$1)</f>
        <v>#REF!</v>
      </c>
      <c r="AD214" s="24" t="e">
        <f>SUMIFS(#REF!,#REF!,$B214,#REF!,AD$1)</f>
        <v>#REF!</v>
      </c>
      <c r="AE214" s="24" t="e">
        <f>SUMIFS(#REF!,#REF!,$B214,#REF!,AE$1)</f>
        <v>#REF!</v>
      </c>
      <c r="AF214" s="24" t="e">
        <f>SUMIFS(#REF!,#REF!,$B214,#REF!,AF$1)</f>
        <v>#REF!</v>
      </c>
      <c r="AG214" s="24" t="e">
        <f>SUMIFS(#REF!,#REF!,$B214,#REF!,AG$1)</f>
        <v>#REF!</v>
      </c>
      <c r="AH214" s="24" t="e">
        <f>SUMIFS(#REF!,#REF!,$B214,#REF!,AH$1)</f>
        <v>#REF!</v>
      </c>
      <c r="AI214" s="24" t="e">
        <f>SUMIFS(#REF!,#REF!,$B214,#REF!,AI$1)</f>
        <v>#REF!</v>
      </c>
      <c r="AJ214" s="24" t="e">
        <f>SUMIFS(#REF!,#REF!,$B214,#REF!,AJ$1)</f>
        <v>#REF!</v>
      </c>
      <c r="AK214" s="24" t="e">
        <f>SUMIFS(#REF!,#REF!,$B214,#REF!,AK$1)</f>
        <v>#REF!</v>
      </c>
      <c r="AL214" s="24" t="e">
        <f>SUMIFS(#REF!,#REF!,$B214,#REF!,AL$1)</f>
        <v>#REF!</v>
      </c>
      <c r="AM214" s="24" t="e">
        <f>SUMIFS(#REF!,#REF!,$B214,#REF!,AM$1)</f>
        <v>#REF!</v>
      </c>
      <c r="AN214" s="24" t="e">
        <f>SUMIFS(#REF!,#REF!,$B214,#REF!,AN$1)</f>
        <v>#REF!</v>
      </c>
      <c r="AO214" s="24" t="e">
        <f>SUMIFS(#REF!,#REF!,$B214,#REF!,AO$1)</f>
        <v>#REF!</v>
      </c>
      <c r="AP214" s="24" t="e">
        <f>SUMIFS(#REF!,#REF!,$B214,#REF!,AP$1)</f>
        <v>#REF!</v>
      </c>
      <c r="AQ214" s="24" t="e">
        <f>SUMIFS(#REF!,#REF!,$B214,#REF!,AQ$1)</f>
        <v>#REF!</v>
      </c>
      <c r="AR214" s="24" t="e">
        <f>SUMIFS(#REF!,#REF!,$B214,#REF!,AR$1)</f>
        <v>#REF!</v>
      </c>
      <c r="AS214" s="24" t="e">
        <f>SUMIFS(#REF!,#REF!,$B214,#REF!,AS$1)</f>
        <v>#REF!</v>
      </c>
      <c r="AT214" s="24" t="e">
        <f>SUMIFS(#REF!,#REF!,$B214,#REF!,AT$1)</f>
        <v>#REF!</v>
      </c>
      <c r="AU214" s="24" t="e">
        <f>SUMIFS(#REF!,#REF!,$B214,#REF!,AU$1)</f>
        <v>#REF!</v>
      </c>
      <c r="AV214" s="24" t="e">
        <f>SUMIFS(#REF!,#REF!,$B214,#REF!,AV$1)</f>
        <v>#REF!</v>
      </c>
      <c r="AW214" s="24" t="e">
        <f>SUMIFS(#REF!,#REF!,$B214,#REF!,AW$1)</f>
        <v>#REF!</v>
      </c>
      <c r="AX214" s="24" t="e">
        <f>SUMIFS(#REF!,#REF!,$B214,#REF!,AX$1)</f>
        <v>#REF!</v>
      </c>
      <c r="AY214" s="24" t="e">
        <f>SUMIFS(#REF!,#REF!,$B214,#REF!,AY$1)</f>
        <v>#REF!</v>
      </c>
      <c r="AZ214" s="24" t="e">
        <f>SUMIFS(#REF!,#REF!,$B214,#REF!,AZ$1)</f>
        <v>#REF!</v>
      </c>
      <c r="BA214" s="24" t="e">
        <f>SUMIFS(#REF!,#REF!,$B214,#REF!,BA$1)</f>
        <v>#REF!</v>
      </c>
      <c r="BB214" s="24" t="e">
        <f>SUMIFS(#REF!,#REF!,$B214,#REF!,BB$1)</f>
        <v>#REF!</v>
      </c>
      <c r="BC214" s="24" t="e">
        <f>SUMIFS(#REF!,#REF!,$B214,#REF!,BC$1)</f>
        <v>#REF!</v>
      </c>
      <c r="BD214" s="24" t="e">
        <f>SUMIFS(#REF!,#REF!,$B214,#REF!,BD$1)</f>
        <v>#REF!</v>
      </c>
      <c r="BE214" s="24" t="e">
        <f>SUMIFS(#REF!,#REF!,$B214,#REF!,BE$1)</f>
        <v>#REF!</v>
      </c>
      <c r="BF214" s="24" t="e">
        <f>SUMIFS(#REF!,#REF!,$B214,#REF!,BF$1)</f>
        <v>#REF!</v>
      </c>
      <c r="BG214" s="24" t="e">
        <f>SUMIFS(#REF!,#REF!,$B214,#REF!,BG$1)</f>
        <v>#REF!</v>
      </c>
      <c r="BH214" s="24" t="e">
        <f>SUMIFS(#REF!,#REF!,$B214,#REF!,BH$1)</f>
        <v>#REF!</v>
      </c>
      <c r="BI214" s="24" t="e">
        <f>SUMIFS(#REF!,#REF!,$B214,#REF!,BI$1)</f>
        <v>#REF!</v>
      </c>
      <c r="BJ214" s="24" t="e">
        <f>SUMIFS(#REF!,#REF!,$B214,#REF!,BJ$1)</f>
        <v>#REF!</v>
      </c>
      <c r="BK214" s="24" t="e">
        <f>SUMIFS(#REF!,#REF!,$B214,#REF!,BK$1)</f>
        <v>#REF!</v>
      </c>
      <c r="BL214" s="24" t="e">
        <f>SUMIFS(#REF!,#REF!,$B214,#REF!,BL$1)</f>
        <v>#REF!</v>
      </c>
      <c r="BM214" s="24" t="e">
        <f>SUMIFS(#REF!,#REF!,$B214,#REF!,BM$1)</f>
        <v>#REF!</v>
      </c>
      <c r="BN214" s="24" t="e">
        <f>SUMIFS(#REF!,#REF!,$B214,#REF!,BN$1)</f>
        <v>#REF!</v>
      </c>
      <c r="BO214" s="24" t="e">
        <f>SUMIFS(#REF!,#REF!,$B214,#REF!,BO$1)</f>
        <v>#REF!</v>
      </c>
      <c r="BP214" s="24" t="e">
        <f>SUMIFS(#REF!,#REF!,$B214,#REF!,BP$1)</f>
        <v>#REF!</v>
      </c>
      <c r="BQ214" s="24" t="e">
        <f>SUMIFS(#REF!,#REF!,$B214,#REF!,BQ$1)</f>
        <v>#REF!</v>
      </c>
      <c r="BR214" s="24" t="e">
        <f>SUMIFS(#REF!,#REF!,$B214,#REF!,BR$1)</f>
        <v>#REF!</v>
      </c>
      <c r="BS214" s="24" t="e">
        <f>SUMIFS(#REF!,#REF!,$B214,#REF!,BS$1)</f>
        <v>#REF!</v>
      </c>
      <c r="BT214" s="24" t="e">
        <f>SUMIFS(#REF!,#REF!,$B214,#REF!,BT$1)</f>
        <v>#REF!</v>
      </c>
      <c r="BU214" s="24" t="e">
        <f>SUMIFS(#REF!,#REF!,$B214,#REF!,BU$1)</f>
        <v>#REF!</v>
      </c>
      <c r="BV214" s="24" t="e">
        <f>SUMIFS(#REF!,#REF!,$B214,#REF!,BV$1)</f>
        <v>#REF!</v>
      </c>
      <c r="BW214" s="24" t="e">
        <f>SUMIFS(#REF!,#REF!,$B214,#REF!,BW$1)</f>
        <v>#REF!</v>
      </c>
      <c r="BX214" s="24" t="e">
        <f>SUMIFS(#REF!,#REF!,$B214,#REF!,BX$1)</f>
        <v>#REF!</v>
      </c>
      <c r="BY214" s="24" t="e">
        <f>SUMIFS(#REF!,#REF!,$B214,#REF!,BY$1)</f>
        <v>#REF!</v>
      </c>
      <c r="BZ214" s="24" t="e">
        <f>SUMIFS(#REF!,#REF!,$B214,#REF!,BZ$1)</f>
        <v>#REF!</v>
      </c>
      <c r="CA214" s="24" t="e">
        <f>SUMIFS(#REF!,#REF!,$B214,#REF!,CA$1)</f>
        <v>#REF!</v>
      </c>
      <c r="CB214" s="24" t="e">
        <f>SUMIFS(#REF!,#REF!,$B214,#REF!,CB$1)</f>
        <v>#REF!</v>
      </c>
      <c r="CC214" s="24" t="e">
        <f>SUMIFS(#REF!,#REF!,$B214,#REF!,CC$1)</f>
        <v>#REF!</v>
      </c>
      <c r="CD214" s="24" t="e">
        <f>SUMIFS(#REF!,#REF!,$B214,#REF!,CD$1)</f>
        <v>#REF!</v>
      </c>
      <c r="CE214" s="24" t="e">
        <f>SUMIFS(#REF!,#REF!,$B214,#REF!,CE$1)</f>
        <v>#REF!</v>
      </c>
      <c r="CF214" s="24" t="e">
        <f>SUMIFS(#REF!,#REF!,$B214,#REF!,CF$1)</f>
        <v>#REF!</v>
      </c>
      <c r="CG214" s="19" t="e">
        <f t="shared" si="3"/>
        <v>#REF!</v>
      </c>
    </row>
    <row r="215" spans="1:85" x14ac:dyDescent="0.45">
      <c r="A215" s="4" t="s">
        <v>1412</v>
      </c>
      <c r="B215" s="4" t="s">
        <v>1413</v>
      </c>
      <c r="C215" s="24" t="e">
        <f>SUMIFS(#REF!,#REF!,$B215,#REF!,C$1)</f>
        <v>#REF!</v>
      </c>
      <c r="D215" s="24" t="e">
        <f>SUMIFS(#REF!,#REF!,$B215,#REF!,D$1)</f>
        <v>#REF!</v>
      </c>
      <c r="E215" s="24" t="e">
        <f>SUMIFS(#REF!,#REF!,$B215,#REF!,E$1)</f>
        <v>#REF!</v>
      </c>
      <c r="F215" s="24" t="e">
        <f>SUMIFS(#REF!,#REF!,$B215,#REF!,F$1)</f>
        <v>#REF!</v>
      </c>
      <c r="G215" s="24" t="e">
        <f>SUMIFS(#REF!,#REF!,$B215,#REF!,G$1)</f>
        <v>#REF!</v>
      </c>
      <c r="H215" s="24" t="e">
        <f>SUMIFS(#REF!,#REF!,$B215,#REF!,H$1)</f>
        <v>#REF!</v>
      </c>
      <c r="I215" s="24" t="e">
        <f>SUMIFS(#REF!,#REF!,$B215,#REF!,I$1)</f>
        <v>#REF!</v>
      </c>
      <c r="J215" s="24" t="e">
        <f>SUMIFS(#REF!,#REF!,$B215,#REF!,J$1)</f>
        <v>#REF!</v>
      </c>
      <c r="K215" s="24" t="e">
        <f>SUMIFS(#REF!,#REF!,$B215,#REF!,K$1)</f>
        <v>#REF!</v>
      </c>
      <c r="L215" s="24" t="e">
        <f>SUMIFS(#REF!,#REF!,$B215,#REF!,L$1)</f>
        <v>#REF!</v>
      </c>
      <c r="M215" s="24" t="e">
        <f>SUMIFS(#REF!,#REF!,$B215,#REF!,M$1)</f>
        <v>#REF!</v>
      </c>
      <c r="N215" s="24" t="e">
        <f>SUMIFS(#REF!,#REF!,$B215,#REF!,N$1)</f>
        <v>#REF!</v>
      </c>
      <c r="O215" s="24" t="e">
        <f>SUMIFS(#REF!,#REF!,$B215,#REF!,O$1)</f>
        <v>#REF!</v>
      </c>
      <c r="P215" s="24" t="e">
        <f>SUMIFS(#REF!,#REF!,$B215,#REF!,P$1)</f>
        <v>#REF!</v>
      </c>
      <c r="Q215" s="24" t="e">
        <f>SUMIFS(#REF!,#REF!,$B215,#REF!,Q$1)</f>
        <v>#REF!</v>
      </c>
      <c r="R215" s="24" t="e">
        <f>SUMIFS(#REF!,#REF!,$B215,#REF!,R$1)</f>
        <v>#REF!</v>
      </c>
      <c r="S215" s="24" t="e">
        <f>SUMIFS(#REF!,#REF!,$B215,#REF!,S$1)</f>
        <v>#REF!</v>
      </c>
      <c r="T215" s="24" t="e">
        <f>SUMIFS(#REF!,#REF!,$B215,#REF!,T$1)</f>
        <v>#REF!</v>
      </c>
      <c r="U215" s="24" t="e">
        <f>SUMIFS(#REF!,#REF!,$B215,#REF!,U$1)</f>
        <v>#REF!</v>
      </c>
      <c r="V215" s="24" t="e">
        <f>SUMIFS(#REF!,#REF!,$B215,#REF!,V$1)</f>
        <v>#REF!</v>
      </c>
      <c r="W215" s="24" t="e">
        <f>SUMIFS(#REF!,#REF!,$B215,#REF!,W$1)</f>
        <v>#REF!</v>
      </c>
      <c r="X215" s="24" t="e">
        <f>SUMIFS(#REF!,#REF!,$B215,#REF!,X$1)</f>
        <v>#REF!</v>
      </c>
      <c r="Y215" s="24" t="e">
        <f>SUMIFS(#REF!,#REF!,$B215,#REF!,Y$1)</f>
        <v>#REF!</v>
      </c>
      <c r="Z215" s="24" t="e">
        <f>SUMIFS(#REF!,#REF!,$B215,#REF!,Z$1)</f>
        <v>#REF!</v>
      </c>
      <c r="AA215" s="24" t="e">
        <f>SUMIFS(#REF!,#REF!,$B215,#REF!,AA$1)</f>
        <v>#REF!</v>
      </c>
      <c r="AB215" s="24" t="e">
        <f>SUMIFS(#REF!,#REF!,$B215,#REF!,AB$1)</f>
        <v>#REF!</v>
      </c>
      <c r="AC215" s="24" t="e">
        <f>SUMIFS(#REF!,#REF!,$B215,#REF!,AC$1)</f>
        <v>#REF!</v>
      </c>
      <c r="AD215" s="24" t="e">
        <f>SUMIFS(#REF!,#REF!,$B215,#REF!,AD$1)</f>
        <v>#REF!</v>
      </c>
      <c r="AE215" s="24" t="e">
        <f>SUMIFS(#REF!,#REF!,$B215,#REF!,AE$1)</f>
        <v>#REF!</v>
      </c>
      <c r="AF215" s="24" t="e">
        <f>SUMIFS(#REF!,#REF!,$B215,#REF!,AF$1)</f>
        <v>#REF!</v>
      </c>
      <c r="AG215" s="24" t="e">
        <f>SUMIFS(#REF!,#REF!,$B215,#REF!,AG$1)</f>
        <v>#REF!</v>
      </c>
      <c r="AH215" s="24" t="e">
        <f>SUMIFS(#REF!,#REF!,$B215,#REF!,AH$1)</f>
        <v>#REF!</v>
      </c>
      <c r="AI215" s="24" t="e">
        <f>SUMIFS(#REF!,#REF!,$B215,#REF!,AI$1)</f>
        <v>#REF!</v>
      </c>
      <c r="AJ215" s="24" t="e">
        <f>SUMIFS(#REF!,#REF!,$B215,#REF!,AJ$1)</f>
        <v>#REF!</v>
      </c>
      <c r="AK215" s="24" t="e">
        <f>SUMIFS(#REF!,#REF!,$B215,#REF!,AK$1)</f>
        <v>#REF!</v>
      </c>
      <c r="AL215" s="24" t="e">
        <f>SUMIFS(#REF!,#REF!,$B215,#REF!,AL$1)</f>
        <v>#REF!</v>
      </c>
      <c r="AM215" s="24" t="e">
        <f>SUMIFS(#REF!,#REF!,$B215,#REF!,AM$1)</f>
        <v>#REF!</v>
      </c>
      <c r="AN215" s="24" t="e">
        <f>SUMIFS(#REF!,#REF!,$B215,#REF!,AN$1)</f>
        <v>#REF!</v>
      </c>
      <c r="AO215" s="24" t="e">
        <f>SUMIFS(#REF!,#REF!,$B215,#REF!,AO$1)</f>
        <v>#REF!</v>
      </c>
      <c r="AP215" s="24" t="e">
        <f>SUMIFS(#REF!,#REF!,$B215,#REF!,AP$1)</f>
        <v>#REF!</v>
      </c>
      <c r="AQ215" s="24" t="e">
        <f>SUMIFS(#REF!,#REF!,$B215,#REF!,AQ$1)</f>
        <v>#REF!</v>
      </c>
      <c r="AR215" s="24" t="e">
        <f>SUMIFS(#REF!,#REF!,$B215,#REF!,AR$1)</f>
        <v>#REF!</v>
      </c>
      <c r="AS215" s="24" t="e">
        <f>SUMIFS(#REF!,#REF!,$B215,#REF!,AS$1)</f>
        <v>#REF!</v>
      </c>
      <c r="AT215" s="24" t="e">
        <f>SUMIFS(#REF!,#REF!,$B215,#REF!,AT$1)</f>
        <v>#REF!</v>
      </c>
      <c r="AU215" s="24" t="e">
        <f>SUMIFS(#REF!,#REF!,$B215,#REF!,AU$1)</f>
        <v>#REF!</v>
      </c>
      <c r="AV215" s="24" t="e">
        <f>SUMIFS(#REF!,#REF!,$B215,#REF!,AV$1)</f>
        <v>#REF!</v>
      </c>
      <c r="AW215" s="24" t="e">
        <f>SUMIFS(#REF!,#REF!,$B215,#REF!,AW$1)</f>
        <v>#REF!</v>
      </c>
      <c r="AX215" s="24" t="e">
        <f>SUMIFS(#REF!,#REF!,$B215,#REF!,AX$1)</f>
        <v>#REF!</v>
      </c>
      <c r="AY215" s="24" t="e">
        <f>SUMIFS(#REF!,#REF!,$B215,#REF!,AY$1)</f>
        <v>#REF!</v>
      </c>
      <c r="AZ215" s="24" t="e">
        <f>SUMIFS(#REF!,#REF!,$B215,#REF!,AZ$1)</f>
        <v>#REF!</v>
      </c>
      <c r="BA215" s="24" t="e">
        <f>SUMIFS(#REF!,#REF!,$B215,#REF!,BA$1)</f>
        <v>#REF!</v>
      </c>
      <c r="BB215" s="24" t="e">
        <f>SUMIFS(#REF!,#REF!,$B215,#REF!,BB$1)</f>
        <v>#REF!</v>
      </c>
      <c r="BC215" s="24" t="e">
        <f>SUMIFS(#REF!,#REF!,$B215,#REF!,BC$1)</f>
        <v>#REF!</v>
      </c>
      <c r="BD215" s="24" t="e">
        <f>SUMIFS(#REF!,#REF!,$B215,#REF!,BD$1)</f>
        <v>#REF!</v>
      </c>
      <c r="BE215" s="24" t="e">
        <f>SUMIFS(#REF!,#REF!,$B215,#REF!,BE$1)</f>
        <v>#REF!</v>
      </c>
      <c r="BF215" s="24" t="e">
        <f>SUMIFS(#REF!,#REF!,$B215,#REF!,BF$1)</f>
        <v>#REF!</v>
      </c>
      <c r="BG215" s="24" t="e">
        <f>SUMIFS(#REF!,#REF!,$B215,#REF!,BG$1)</f>
        <v>#REF!</v>
      </c>
      <c r="BH215" s="24" t="e">
        <f>SUMIFS(#REF!,#REF!,$B215,#REF!,BH$1)</f>
        <v>#REF!</v>
      </c>
      <c r="BI215" s="24" t="e">
        <f>SUMIFS(#REF!,#REF!,$B215,#REF!,BI$1)</f>
        <v>#REF!</v>
      </c>
      <c r="BJ215" s="24" t="e">
        <f>SUMIFS(#REF!,#REF!,$B215,#REF!,BJ$1)</f>
        <v>#REF!</v>
      </c>
      <c r="BK215" s="24" t="e">
        <f>SUMIFS(#REF!,#REF!,$B215,#REF!,BK$1)</f>
        <v>#REF!</v>
      </c>
      <c r="BL215" s="24" t="e">
        <f>SUMIFS(#REF!,#REF!,$B215,#REF!,BL$1)</f>
        <v>#REF!</v>
      </c>
      <c r="BM215" s="24" t="e">
        <f>SUMIFS(#REF!,#REF!,$B215,#REF!,BM$1)</f>
        <v>#REF!</v>
      </c>
      <c r="BN215" s="24" t="e">
        <f>SUMIFS(#REF!,#REF!,$B215,#REF!,BN$1)</f>
        <v>#REF!</v>
      </c>
      <c r="BO215" s="24" t="e">
        <f>SUMIFS(#REF!,#REF!,$B215,#REF!,BO$1)</f>
        <v>#REF!</v>
      </c>
      <c r="BP215" s="24" t="e">
        <f>SUMIFS(#REF!,#REF!,$B215,#REF!,BP$1)</f>
        <v>#REF!</v>
      </c>
      <c r="BQ215" s="24" t="e">
        <f>SUMIFS(#REF!,#REF!,$B215,#REF!,BQ$1)</f>
        <v>#REF!</v>
      </c>
      <c r="BR215" s="24" t="e">
        <f>SUMIFS(#REF!,#REF!,$B215,#REF!,BR$1)</f>
        <v>#REF!</v>
      </c>
      <c r="BS215" s="24" t="e">
        <f>SUMIFS(#REF!,#REF!,$B215,#REF!,BS$1)</f>
        <v>#REF!</v>
      </c>
      <c r="BT215" s="24" t="e">
        <f>SUMIFS(#REF!,#REF!,$B215,#REF!,BT$1)</f>
        <v>#REF!</v>
      </c>
      <c r="BU215" s="24" t="e">
        <f>SUMIFS(#REF!,#REF!,$B215,#REF!,BU$1)</f>
        <v>#REF!</v>
      </c>
      <c r="BV215" s="24" t="e">
        <f>SUMIFS(#REF!,#REF!,$B215,#REF!,BV$1)</f>
        <v>#REF!</v>
      </c>
      <c r="BW215" s="24" t="e">
        <f>SUMIFS(#REF!,#REF!,$B215,#REF!,BW$1)</f>
        <v>#REF!</v>
      </c>
      <c r="BX215" s="24" t="e">
        <f>SUMIFS(#REF!,#REF!,$B215,#REF!,BX$1)</f>
        <v>#REF!</v>
      </c>
      <c r="BY215" s="24" t="e">
        <f>SUMIFS(#REF!,#REF!,$B215,#REF!,BY$1)</f>
        <v>#REF!</v>
      </c>
      <c r="BZ215" s="24" t="e">
        <f>SUMIFS(#REF!,#REF!,$B215,#REF!,BZ$1)</f>
        <v>#REF!</v>
      </c>
      <c r="CA215" s="24" t="e">
        <f>SUMIFS(#REF!,#REF!,$B215,#REF!,CA$1)</f>
        <v>#REF!</v>
      </c>
      <c r="CB215" s="24" t="e">
        <f>SUMIFS(#REF!,#REF!,$B215,#REF!,CB$1)</f>
        <v>#REF!</v>
      </c>
      <c r="CC215" s="24" t="e">
        <f>SUMIFS(#REF!,#REF!,$B215,#REF!,CC$1)</f>
        <v>#REF!</v>
      </c>
      <c r="CD215" s="24" t="e">
        <f>SUMIFS(#REF!,#REF!,$B215,#REF!,CD$1)</f>
        <v>#REF!</v>
      </c>
      <c r="CE215" s="24" t="e">
        <f>SUMIFS(#REF!,#REF!,$B215,#REF!,CE$1)</f>
        <v>#REF!</v>
      </c>
      <c r="CF215" s="24" t="e">
        <f>SUMIFS(#REF!,#REF!,$B215,#REF!,CF$1)</f>
        <v>#REF!</v>
      </c>
      <c r="CG215" s="19" t="e">
        <f t="shared" si="3"/>
        <v>#REF!</v>
      </c>
    </row>
    <row r="216" spans="1:85" x14ac:dyDescent="0.45">
      <c r="A216" s="4" t="s">
        <v>1414</v>
      </c>
      <c r="B216" s="4" t="s">
        <v>1415</v>
      </c>
      <c r="C216" s="24" t="e">
        <f>SUMIFS(#REF!,#REF!,$B216,#REF!,C$1)</f>
        <v>#REF!</v>
      </c>
      <c r="D216" s="24" t="e">
        <f>SUMIFS(#REF!,#REF!,$B216,#REF!,D$1)</f>
        <v>#REF!</v>
      </c>
      <c r="E216" s="24" t="e">
        <f>SUMIFS(#REF!,#REF!,$B216,#REF!,E$1)</f>
        <v>#REF!</v>
      </c>
      <c r="F216" s="24" t="e">
        <f>SUMIFS(#REF!,#REF!,$B216,#REF!,F$1)</f>
        <v>#REF!</v>
      </c>
      <c r="G216" s="24" t="e">
        <f>SUMIFS(#REF!,#REF!,$B216,#REF!,G$1)</f>
        <v>#REF!</v>
      </c>
      <c r="H216" s="24" t="e">
        <f>SUMIFS(#REF!,#REF!,$B216,#REF!,H$1)</f>
        <v>#REF!</v>
      </c>
      <c r="I216" s="24" t="e">
        <f>SUMIFS(#REF!,#REF!,$B216,#REF!,I$1)</f>
        <v>#REF!</v>
      </c>
      <c r="J216" s="24" t="e">
        <f>SUMIFS(#REF!,#REF!,$B216,#REF!,J$1)</f>
        <v>#REF!</v>
      </c>
      <c r="K216" s="24" t="e">
        <f>SUMIFS(#REF!,#REF!,$B216,#REF!,K$1)</f>
        <v>#REF!</v>
      </c>
      <c r="L216" s="24" t="e">
        <f>SUMIFS(#REF!,#REF!,$B216,#REF!,L$1)</f>
        <v>#REF!</v>
      </c>
      <c r="M216" s="24" t="e">
        <f>SUMIFS(#REF!,#REF!,$B216,#REF!,M$1)</f>
        <v>#REF!</v>
      </c>
      <c r="N216" s="24" t="e">
        <f>SUMIFS(#REF!,#REF!,$B216,#REF!,N$1)</f>
        <v>#REF!</v>
      </c>
      <c r="O216" s="24" t="e">
        <f>SUMIFS(#REF!,#REF!,$B216,#REF!,O$1)</f>
        <v>#REF!</v>
      </c>
      <c r="P216" s="24" t="e">
        <f>SUMIFS(#REF!,#REF!,$B216,#REF!,P$1)</f>
        <v>#REF!</v>
      </c>
      <c r="Q216" s="24" t="e">
        <f>SUMIFS(#REF!,#REF!,$B216,#REF!,Q$1)</f>
        <v>#REF!</v>
      </c>
      <c r="R216" s="24" t="e">
        <f>SUMIFS(#REF!,#REF!,$B216,#REF!,R$1)</f>
        <v>#REF!</v>
      </c>
      <c r="S216" s="24" t="e">
        <f>SUMIFS(#REF!,#REF!,$B216,#REF!,S$1)</f>
        <v>#REF!</v>
      </c>
      <c r="T216" s="24" t="e">
        <f>SUMIFS(#REF!,#REF!,$B216,#REF!,T$1)</f>
        <v>#REF!</v>
      </c>
      <c r="U216" s="24" t="e">
        <f>SUMIFS(#REF!,#REF!,$B216,#REF!,U$1)</f>
        <v>#REF!</v>
      </c>
      <c r="V216" s="24" t="e">
        <f>SUMIFS(#REF!,#REF!,$B216,#REF!,V$1)</f>
        <v>#REF!</v>
      </c>
      <c r="W216" s="24" t="e">
        <f>SUMIFS(#REF!,#REF!,$B216,#REF!,W$1)</f>
        <v>#REF!</v>
      </c>
      <c r="X216" s="24" t="e">
        <f>SUMIFS(#REF!,#REF!,$B216,#REF!,X$1)</f>
        <v>#REF!</v>
      </c>
      <c r="Y216" s="24" t="e">
        <f>SUMIFS(#REF!,#REF!,$B216,#REF!,Y$1)</f>
        <v>#REF!</v>
      </c>
      <c r="Z216" s="24" t="e">
        <f>SUMIFS(#REF!,#REF!,$B216,#REF!,Z$1)</f>
        <v>#REF!</v>
      </c>
      <c r="AA216" s="24" t="e">
        <f>SUMIFS(#REF!,#REF!,$B216,#REF!,AA$1)</f>
        <v>#REF!</v>
      </c>
      <c r="AB216" s="24" t="e">
        <f>SUMIFS(#REF!,#REF!,$B216,#REF!,AB$1)</f>
        <v>#REF!</v>
      </c>
      <c r="AC216" s="24" t="e">
        <f>SUMIFS(#REF!,#REF!,$B216,#REF!,AC$1)</f>
        <v>#REF!</v>
      </c>
      <c r="AD216" s="24" t="e">
        <f>SUMIFS(#REF!,#REF!,$B216,#REF!,AD$1)</f>
        <v>#REF!</v>
      </c>
      <c r="AE216" s="24" t="e">
        <f>SUMIFS(#REF!,#REF!,$B216,#REF!,AE$1)</f>
        <v>#REF!</v>
      </c>
      <c r="AF216" s="24" t="e">
        <f>SUMIFS(#REF!,#REF!,$B216,#REF!,AF$1)</f>
        <v>#REF!</v>
      </c>
      <c r="AG216" s="24" t="e">
        <f>SUMIFS(#REF!,#REF!,$B216,#REF!,AG$1)</f>
        <v>#REF!</v>
      </c>
      <c r="AH216" s="24" t="e">
        <f>SUMIFS(#REF!,#REF!,$B216,#REF!,AH$1)</f>
        <v>#REF!</v>
      </c>
      <c r="AI216" s="24" t="e">
        <f>SUMIFS(#REF!,#REF!,$B216,#REF!,AI$1)</f>
        <v>#REF!</v>
      </c>
      <c r="AJ216" s="24" t="e">
        <f>SUMIFS(#REF!,#REF!,$B216,#REF!,AJ$1)</f>
        <v>#REF!</v>
      </c>
      <c r="AK216" s="24" t="e">
        <f>SUMIFS(#REF!,#REF!,$B216,#REF!,AK$1)</f>
        <v>#REF!</v>
      </c>
      <c r="AL216" s="24" t="e">
        <f>SUMIFS(#REF!,#REF!,$B216,#REF!,AL$1)</f>
        <v>#REF!</v>
      </c>
      <c r="AM216" s="24" t="e">
        <f>SUMIFS(#REF!,#REF!,$B216,#REF!,AM$1)</f>
        <v>#REF!</v>
      </c>
      <c r="AN216" s="24" t="e">
        <f>SUMIFS(#REF!,#REF!,$B216,#REF!,AN$1)</f>
        <v>#REF!</v>
      </c>
      <c r="AO216" s="24" t="e">
        <f>SUMIFS(#REF!,#REF!,$B216,#REF!,AO$1)</f>
        <v>#REF!</v>
      </c>
      <c r="AP216" s="24" t="e">
        <f>SUMIFS(#REF!,#REF!,$B216,#REF!,AP$1)</f>
        <v>#REF!</v>
      </c>
      <c r="AQ216" s="24" t="e">
        <f>SUMIFS(#REF!,#REF!,$B216,#REF!,AQ$1)</f>
        <v>#REF!</v>
      </c>
      <c r="AR216" s="24" t="e">
        <f>SUMIFS(#REF!,#REF!,$B216,#REF!,AR$1)</f>
        <v>#REF!</v>
      </c>
      <c r="AS216" s="24" t="e">
        <f>SUMIFS(#REF!,#REF!,$B216,#REF!,AS$1)</f>
        <v>#REF!</v>
      </c>
      <c r="AT216" s="24" t="e">
        <f>SUMIFS(#REF!,#REF!,$B216,#REF!,AT$1)</f>
        <v>#REF!</v>
      </c>
      <c r="AU216" s="24" t="e">
        <f>SUMIFS(#REF!,#REF!,$B216,#REF!,AU$1)</f>
        <v>#REF!</v>
      </c>
      <c r="AV216" s="24" t="e">
        <f>SUMIFS(#REF!,#REF!,$B216,#REF!,AV$1)</f>
        <v>#REF!</v>
      </c>
      <c r="AW216" s="24" t="e">
        <f>SUMIFS(#REF!,#REF!,$B216,#REF!,AW$1)</f>
        <v>#REF!</v>
      </c>
      <c r="AX216" s="24" t="e">
        <f>SUMIFS(#REF!,#REF!,$B216,#REF!,AX$1)</f>
        <v>#REF!</v>
      </c>
      <c r="AY216" s="24" t="e">
        <f>SUMIFS(#REF!,#REF!,$B216,#REF!,AY$1)</f>
        <v>#REF!</v>
      </c>
      <c r="AZ216" s="24" t="e">
        <f>SUMIFS(#REF!,#REF!,$B216,#REF!,AZ$1)</f>
        <v>#REF!</v>
      </c>
      <c r="BA216" s="24" t="e">
        <f>SUMIFS(#REF!,#REF!,$B216,#REF!,BA$1)</f>
        <v>#REF!</v>
      </c>
      <c r="BB216" s="24" t="e">
        <f>SUMIFS(#REF!,#REF!,$B216,#REF!,BB$1)</f>
        <v>#REF!</v>
      </c>
      <c r="BC216" s="24" t="e">
        <f>SUMIFS(#REF!,#REF!,$B216,#REF!,BC$1)</f>
        <v>#REF!</v>
      </c>
      <c r="BD216" s="24" t="e">
        <f>SUMIFS(#REF!,#REF!,$B216,#REF!,BD$1)</f>
        <v>#REF!</v>
      </c>
      <c r="BE216" s="24" t="e">
        <f>SUMIFS(#REF!,#REF!,$B216,#REF!,BE$1)</f>
        <v>#REF!</v>
      </c>
      <c r="BF216" s="24" t="e">
        <f>SUMIFS(#REF!,#REF!,$B216,#REF!,BF$1)</f>
        <v>#REF!</v>
      </c>
      <c r="BG216" s="24" t="e">
        <f>SUMIFS(#REF!,#REF!,$B216,#REF!,BG$1)</f>
        <v>#REF!</v>
      </c>
      <c r="BH216" s="24" t="e">
        <f>SUMIFS(#REF!,#REF!,$B216,#REF!,BH$1)</f>
        <v>#REF!</v>
      </c>
      <c r="BI216" s="24" t="e">
        <f>SUMIFS(#REF!,#REF!,$B216,#REF!,BI$1)</f>
        <v>#REF!</v>
      </c>
      <c r="BJ216" s="24" t="e">
        <f>SUMIFS(#REF!,#REF!,$B216,#REF!,BJ$1)</f>
        <v>#REF!</v>
      </c>
      <c r="BK216" s="24" t="e">
        <f>SUMIFS(#REF!,#REF!,$B216,#REF!,BK$1)</f>
        <v>#REF!</v>
      </c>
      <c r="BL216" s="24" t="e">
        <f>SUMIFS(#REF!,#REF!,$B216,#REF!,BL$1)</f>
        <v>#REF!</v>
      </c>
      <c r="BM216" s="24" t="e">
        <f>SUMIFS(#REF!,#REF!,$B216,#REF!,BM$1)</f>
        <v>#REF!</v>
      </c>
      <c r="BN216" s="24" t="e">
        <f>SUMIFS(#REF!,#REF!,$B216,#REF!,BN$1)</f>
        <v>#REF!</v>
      </c>
      <c r="BO216" s="24" t="e">
        <f>SUMIFS(#REF!,#REF!,$B216,#REF!,BO$1)</f>
        <v>#REF!</v>
      </c>
      <c r="BP216" s="24" t="e">
        <f>SUMIFS(#REF!,#REF!,$B216,#REF!,BP$1)</f>
        <v>#REF!</v>
      </c>
      <c r="BQ216" s="24" t="e">
        <f>SUMIFS(#REF!,#REF!,$B216,#REF!,BQ$1)</f>
        <v>#REF!</v>
      </c>
      <c r="BR216" s="24" t="e">
        <f>SUMIFS(#REF!,#REF!,$B216,#REF!,BR$1)</f>
        <v>#REF!</v>
      </c>
      <c r="BS216" s="24" t="e">
        <f>SUMIFS(#REF!,#REF!,$B216,#REF!,BS$1)</f>
        <v>#REF!</v>
      </c>
      <c r="BT216" s="24" t="e">
        <f>SUMIFS(#REF!,#REF!,$B216,#REF!,BT$1)</f>
        <v>#REF!</v>
      </c>
      <c r="BU216" s="24" t="e">
        <f>SUMIFS(#REF!,#REF!,$B216,#REF!,BU$1)</f>
        <v>#REF!</v>
      </c>
      <c r="BV216" s="24" t="e">
        <f>SUMIFS(#REF!,#REF!,$B216,#REF!,BV$1)</f>
        <v>#REF!</v>
      </c>
      <c r="BW216" s="24" t="e">
        <f>SUMIFS(#REF!,#REF!,$B216,#REF!,BW$1)</f>
        <v>#REF!</v>
      </c>
      <c r="BX216" s="24" t="e">
        <f>SUMIFS(#REF!,#REF!,$B216,#REF!,BX$1)</f>
        <v>#REF!</v>
      </c>
      <c r="BY216" s="24" t="e">
        <f>SUMIFS(#REF!,#REF!,$B216,#REF!,BY$1)</f>
        <v>#REF!</v>
      </c>
      <c r="BZ216" s="24" t="e">
        <f>SUMIFS(#REF!,#REF!,$B216,#REF!,BZ$1)</f>
        <v>#REF!</v>
      </c>
      <c r="CA216" s="24" t="e">
        <f>SUMIFS(#REF!,#REF!,$B216,#REF!,CA$1)</f>
        <v>#REF!</v>
      </c>
      <c r="CB216" s="24" t="e">
        <f>SUMIFS(#REF!,#REF!,$B216,#REF!,CB$1)</f>
        <v>#REF!</v>
      </c>
      <c r="CC216" s="24" t="e">
        <f>SUMIFS(#REF!,#REF!,$B216,#REF!,CC$1)</f>
        <v>#REF!</v>
      </c>
      <c r="CD216" s="24" t="e">
        <f>SUMIFS(#REF!,#REF!,$B216,#REF!,CD$1)</f>
        <v>#REF!</v>
      </c>
      <c r="CE216" s="24" t="e">
        <f>SUMIFS(#REF!,#REF!,$B216,#REF!,CE$1)</f>
        <v>#REF!</v>
      </c>
      <c r="CF216" s="24" t="e">
        <f>SUMIFS(#REF!,#REF!,$B216,#REF!,CF$1)</f>
        <v>#REF!</v>
      </c>
      <c r="CG216" s="19" t="e">
        <f t="shared" si="3"/>
        <v>#REF!</v>
      </c>
    </row>
    <row r="217" spans="1:85" x14ac:dyDescent="0.45">
      <c r="A217" s="4" t="s">
        <v>1416</v>
      </c>
      <c r="B217" s="4" t="s">
        <v>1417</v>
      </c>
      <c r="C217" s="24" t="e">
        <f>SUMIFS(#REF!,#REF!,$B217,#REF!,C$1)</f>
        <v>#REF!</v>
      </c>
      <c r="D217" s="24" t="e">
        <f>SUMIFS(#REF!,#REF!,$B217,#REF!,D$1)</f>
        <v>#REF!</v>
      </c>
      <c r="E217" s="24" t="e">
        <f>SUMIFS(#REF!,#REF!,$B217,#REF!,E$1)</f>
        <v>#REF!</v>
      </c>
      <c r="F217" s="24" t="e">
        <f>SUMIFS(#REF!,#REF!,$B217,#REF!,F$1)</f>
        <v>#REF!</v>
      </c>
      <c r="G217" s="24" t="e">
        <f>SUMIFS(#REF!,#REF!,$B217,#REF!,G$1)</f>
        <v>#REF!</v>
      </c>
      <c r="H217" s="24" t="e">
        <f>SUMIFS(#REF!,#REF!,$B217,#REF!,H$1)</f>
        <v>#REF!</v>
      </c>
      <c r="I217" s="24" t="e">
        <f>SUMIFS(#REF!,#REF!,$B217,#REF!,I$1)</f>
        <v>#REF!</v>
      </c>
      <c r="J217" s="24" t="e">
        <f>SUMIFS(#REF!,#REF!,$B217,#REF!,J$1)</f>
        <v>#REF!</v>
      </c>
      <c r="K217" s="24" t="e">
        <f>SUMIFS(#REF!,#REF!,$B217,#REF!,K$1)</f>
        <v>#REF!</v>
      </c>
      <c r="L217" s="24" t="e">
        <f>SUMIFS(#REF!,#REF!,$B217,#REF!,L$1)</f>
        <v>#REF!</v>
      </c>
      <c r="M217" s="24" t="e">
        <f>SUMIFS(#REF!,#REF!,$B217,#REF!,M$1)</f>
        <v>#REF!</v>
      </c>
      <c r="N217" s="24" t="e">
        <f>SUMIFS(#REF!,#REF!,$B217,#REF!,N$1)</f>
        <v>#REF!</v>
      </c>
      <c r="O217" s="24" t="e">
        <f>SUMIFS(#REF!,#REF!,$B217,#REF!,O$1)</f>
        <v>#REF!</v>
      </c>
      <c r="P217" s="24" t="e">
        <f>SUMIFS(#REF!,#REF!,$B217,#REF!,P$1)</f>
        <v>#REF!</v>
      </c>
      <c r="Q217" s="24" t="e">
        <f>SUMIFS(#REF!,#REF!,$B217,#REF!,Q$1)</f>
        <v>#REF!</v>
      </c>
      <c r="R217" s="24" t="e">
        <f>SUMIFS(#REF!,#REF!,$B217,#REF!,R$1)</f>
        <v>#REF!</v>
      </c>
      <c r="S217" s="24" t="e">
        <f>SUMIFS(#REF!,#REF!,$B217,#REF!,S$1)</f>
        <v>#REF!</v>
      </c>
      <c r="T217" s="24" t="e">
        <f>SUMIFS(#REF!,#REF!,$B217,#REF!,T$1)</f>
        <v>#REF!</v>
      </c>
      <c r="U217" s="24" t="e">
        <f>SUMIFS(#REF!,#REF!,$B217,#REF!,U$1)</f>
        <v>#REF!</v>
      </c>
      <c r="V217" s="24" t="e">
        <f>SUMIFS(#REF!,#REF!,$B217,#REF!,V$1)</f>
        <v>#REF!</v>
      </c>
      <c r="W217" s="24" t="e">
        <f>SUMIFS(#REF!,#REF!,$B217,#REF!,W$1)</f>
        <v>#REF!</v>
      </c>
      <c r="X217" s="24" t="e">
        <f>SUMIFS(#REF!,#REF!,$B217,#REF!,X$1)</f>
        <v>#REF!</v>
      </c>
      <c r="Y217" s="24" t="e">
        <f>SUMIFS(#REF!,#REF!,$B217,#REF!,Y$1)</f>
        <v>#REF!</v>
      </c>
      <c r="Z217" s="24" t="e">
        <f>SUMIFS(#REF!,#REF!,$B217,#REF!,Z$1)</f>
        <v>#REF!</v>
      </c>
      <c r="AA217" s="24" t="e">
        <f>SUMIFS(#REF!,#REF!,$B217,#REF!,AA$1)</f>
        <v>#REF!</v>
      </c>
      <c r="AB217" s="24" t="e">
        <f>SUMIFS(#REF!,#REF!,$B217,#REF!,AB$1)</f>
        <v>#REF!</v>
      </c>
      <c r="AC217" s="24" t="e">
        <f>SUMIFS(#REF!,#REF!,$B217,#REF!,AC$1)</f>
        <v>#REF!</v>
      </c>
      <c r="AD217" s="24" t="e">
        <f>SUMIFS(#REF!,#REF!,$B217,#REF!,AD$1)</f>
        <v>#REF!</v>
      </c>
      <c r="AE217" s="24" t="e">
        <f>SUMIFS(#REF!,#REF!,$B217,#REF!,AE$1)</f>
        <v>#REF!</v>
      </c>
      <c r="AF217" s="24" t="e">
        <f>SUMIFS(#REF!,#REF!,$B217,#REF!,AF$1)</f>
        <v>#REF!</v>
      </c>
      <c r="AG217" s="24" t="e">
        <f>SUMIFS(#REF!,#REF!,$B217,#REF!,AG$1)</f>
        <v>#REF!</v>
      </c>
      <c r="AH217" s="24" t="e">
        <f>SUMIFS(#REF!,#REF!,$B217,#REF!,AH$1)</f>
        <v>#REF!</v>
      </c>
      <c r="AI217" s="24" t="e">
        <f>SUMIFS(#REF!,#REF!,$B217,#REF!,AI$1)</f>
        <v>#REF!</v>
      </c>
      <c r="AJ217" s="24" t="e">
        <f>SUMIFS(#REF!,#REF!,$B217,#REF!,AJ$1)</f>
        <v>#REF!</v>
      </c>
      <c r="AK217" s="24" t="e">
        <f>SUMIFS(#REF!,#REF!,$B217,#REF!,AK$1)</f>
        <v>#REF!</v>
      </c>
      <c r="AL217" s="24" t="e">
        <f>SUMIFS(#REF!,#REF!,$B217,#REF!,AL$1)</f>
        <v>#REF!</v>
      </c>
      <c r="AM217" s="24" t="e">
        <f>SUMIFS(#REF!,#REF!,$B217,#REF!,AM$1)</f>
        <v>#REF!</v>
      </c>
      <c r="AN217" s="24" t="e">
        <f>SUMIFS(#REF!,#REF!,$B217,#REF!,AN$1)</f>
        <v>#REF!</v>
      </c>
      <c r="AO217" s="24" t="e">
        <f>SUMIFS(#REF!,#REF!,$B217,#REF!,AO$1)</f>
        <v>#REF!</v>
      </c>
      <c r="AP217" s="24" t="e">
        <f>SUMIFS(#REF!,#REF!,$B217,#REF!,AP$1)</f>
        <v>#REF!</v>
      </c>
      <c r="AQ217" s="24" t="e">
        <f>SUMIFS(#REF!,#REF!,$B217,#REF!,AQ$1)</f>
        <v>#REF!</v>
      </c>
      <c r="AR217" s="24" t="e">
        <f>SUMIFS(#REF!,#REF!,$B217,#REF!,AR$1)</f>
        <v>#REF!</v>
      </c>
      <c r="AS217" s="24" t="e">
        <f>SUMIFS(#REF!,#REF!,$B217,#REF!,AS$1)</f>
        <v>#REF!</v>
      </c>
      <c r="AT217" s="24" t="e">
        <f>SUMIFS(#REF!,#REF!,$B217,#REF!,AT$1)</f>
        <v>#REF!</v>
      </c>
      <c r="AU217" s="24" t="e">
        <f>SUMIFS(#REF!,#REF!,$B217,#REF!,AU$1)</f>
        <v>#REF!</v>
      </c>
      <c r="AV217" s="24" t="e">
        <f>SUMIFS(#REF!,#REF!,$B217,#REF!,AV$1)</f>
        <v>#REF!</v>
      </c>
      <c r="AW217" s="24" t="e">
        <f>SUMIFS(#REF!,#REF!,$B217,#REF!,AW$1)</f>
        <v>#REF!</v>
      </c>
      <c r="AX217" s="24" t="e">
        <f>SUMIFS(#REF!,#REF!,$B217,#REF!,AX$1)</f>
        <v>#REF!</v>
      </c>
      <c r="AY217" s="24" t="e">
        <f>SUMIFS(#REF!,#REF!,$B217,#REF!,AY$1)</f>
        <v>#REF!</v>
      </c>
      <c r="AZ217" s="24" t="e">
        <f>SUMIFS(#REF!,#REF!,$B217,#REF!,AZ$1)</f>
        <v>#REF!</v>
      </c>
      <c r="BA217" s="24" t="e">
        <f>SUMIFS(#REF!,#REF!,$B217,#REF!,BA$1)</f>
        <v>#REF!</v>
      </c>
      <c r="BB217" s="24" t="e">
        <f>SUMIFS(#REF!,#REF!,$B217,#REF!,BB$1)</f>
        <v>#REF!</v>
      </c>
      <c r="BC217" s="24" t="e">
        <f>SUMIFS(#REF!,#REF!,$B217,#REF!,BC$1)</f>
        <v>#REF!</v>
      </c>
      <c r="BD217" s="24" t="e">
        <f>SUMIFS(#REF!,#REF!,$B217,#REF!,BD$1)</f>
        <v>#REF!</v>
      </c>
      <c r="BE217" s="24" t="e">
        <f>SUMIFS(#REF!,#REF!,$B217,#REF!,BE$1)</f>
        <v>#REF!</v>
      </c>
      <c r="BF217" s="24" t="e">
        <f>SUMIFS(#REF!,#REF!,$B217,#REF!,BF$1)</f>
        <v>#REF!</v>
      </c>
      <c r="BG217" s="24" t="e">
        <f>SUMIFS(#REF!,#REF!,$B217,#REF!,BG$1)</f>
        <v>#REF!</v>
      </c>
      <c r="BH217" s="24" t="e">
        <f>SUMIFS(#REF!,#REF!,$B217,#REF!,BH$1)</f>
        <v>#REF!</v>
      </c>
      <c r="BI217" s="24" t="e">
        <f>SUMIFS(#REF!,#REF!,$B217,#REF!,BI$1)</f>
        <v>#REF!</v>
      </c>
      <c r="BJ217" s="24" t="e">
        <f>SUMIFS(#REF!,#REF!,$B217,#REF!,BJ$1)</f>
        <v>#REF!</v>
      </c>
      <c r="BK217" s="24" t="e">
        <f>SUMIFS(#REF!,#REF!,$B217,#REF!,BK$1)</f>
        <v>#REF!</v>
      </c>
      <c r="BL217" s="24" t="e">
        <f>SUMIFS(#REF!,#REF!,$B217,#REF!,BL$1)</f>
        <v>#REF!</v>
      </c>
      <c r="BM217" s="24" t="e">
        <f>SUMIFS(#REF!,#REF!,$B217,#REF!,BM$1)</f>
        <v>#REF!</v>
      </c>
      <c r="BN217" s="24" t="e">
        <f>SUMIFS(#REF!,#REF!,$B217,#REF!,BN$1)</f>
        <v>#REF!</v>
      </c>
      <c r="BO217" s="24" t="e">
        <f>SUMIFS(#REF!,#REF!,$B217,#REF!,BO$1)</f>
        <v>#REF!</v>
      </c>
      <c r="BP217" s="24" t="e">
        <f>SUMIFS(#REF!,#REF!,$B217,#REF!,BP$1)</f>
        <v>#REF!</v>
      </c>
      <c r="BQ217" s="24" t="e">
        <f>SUMIFS(#REF!,#REF!,$B217,#REF!,BQ$1)</f>
        <v>#REF!</v>
      </c>
      <c r="BR217" s="24" t="e">
        <f>SUMIFS(#REF!,#REF!,$B217,#REF!,BR$1)</f>
        <v>#REF!</v>
      </c>
      <c r="BS217" s="24" t="e">
        <f>SUMIFS(#REF!,#REF!,$B217,#REF!,BS$1)</f>
        <v>#REF!</v>
      </c>
      <c r="BT217" s="24" t="e">
        <f>SUMIFS(#REF!,#REF!,$B217,#REF!,BT$1)</f>
        <v>#REF!</v>
      </c>
      <c r="BU217" s="24" t="e">
        <f>SUMIFS(#REF!,#REF!,$B217,#REF!,BU$1)</f>
        <v>#REF!</v>
      </c>
      <c r="BV217" s="24" t="e">
        <f>SUMIFS(#REF!,#REF!,$B217,#REF!,BV$1)</f>
        <v>#REF!</v>
      </c>
      <c r="BW217" s="24" t="e">
        <f>SUMIFS(#REF!,#REF!,$B217,#REF!,BW$1)</f>
        <v>#REF!</v>
      </c>
      <c r="BX217" s="24" t="e">
        <f>SUMIFS(#REF!,#REF!,$B217,#REF!,BX$1)</f>
        <v>#REF!</v>
      </c>
      <c r="BY217" s="24" t="e">
        <f>SUMIFS(#REF!,#REF!,$B217,#REF!,BY$1)</f>
        <v>#REF!</v>
      </c>
      <c r="BZ217" s="24" t="e">
        <f>SUMIFS(#REF!,#REF!,$B217,#REF!,BZ$1)</f>
        <v>#REF!</v>
      </c>
      <c r="CA217" s="24" t="e">
        <f>SUMIFS(#REF!,#REF!,$B217,#REF!,CA$1)</f>
        <v>#REF!</v>
      </c>
      <c r="CB217" s="24" t="e">
        <f>SUMIFS(#REF!,#REF!,$B217,#REF!,CB$1)</f>
        <v>#REF!</v>
      </c>
      <c r="CC217" s="24" t="e">
        <f>SUMIFS(#REF!,#REF!,$B217,#REF!,CC$1)</f>
        <v>#REF!</v>
      </c>
      <c r="CD217" s="24" t="e">
        <f>SUMIFS(#REF!,#REF!,$B217,#REF!,CD$1)</f>
        <v>#REF!</v>
      </c>
      <c r="CE217" s="24" t="e">
        <f>SUMIFS(#REF!,#REF!,$B217,#REF!,CE$1)</f>
        <v>#REF!</v>
      </c>
      <c r="CF217" s="24" t="e">
        <f>SUMIFS(#REF!,#REF!,$B217,#REF!,CF$1)</f>
        <v>#REF!</v>
      </c>
      <c r="CG217" s="19" t="e">
        <f t="shared" si="3"/>
        <v>#REF!</v>
      </c>
    </row>
    <row r="218" spans="1:85" x14ac:dyDescent="0.45">
      <c r="A218" s="4" t="s">
        <v>1418</v>
      </c>
      <c r="B218" s="4" t="s">
        <v>1419</v>
      </c>
      <c r="C218" s="24" t="e">
        <f>SUMIFS(#REF!,#REF!,$B218,#REF!,C$1)</f>
        <v>#REF!</v>
      </c>
      <c r="D218" s="24" t="e">
        <f>SUMIFS(#REF!,#REF!,$B218,#REF!,D$1)</f>
        <v>#REF!</v>
      </c>
      <c r="E218" s="24" t="e">
        <f>SUMIFS(#REF!,#REF!,$B218,#REF!,E$1)</f>
        <v>#REF!</v>
      </c>
      <c r="F218" s="24" t="e">
        <f>SUMIFS(#REF!,#REF!,$B218,#REF!,F$1)</f>
        <v>#REF!</v>
      </c>
      <c r="G218" s="24" t="e">
        <f>SUMIFS(#REF!,#REF!,$B218,#REF!,G$1)</f>
        <v>#REF!</v>
      </c>
      <c r="H218" s="24" t="e">
        <f>SUMIFS(#REF!,#REF!,$B218,#REF!,H$1)</f>
        <v>#REF!</v>
      </c>
      <c r="I218" s="24" t="e">
        <f>SUMIFS(#REF!,#REF!,$B218,#REF!,I$1)</f>
        <v>#REF!</v>
      </c>
      <c r="J218" s="24" t="e">
        <f>SUMIFS(#REF!,#REF!,$B218,#REF!,J$1)</f>
        <v>#REF!</v>
      </c>
      <c r="K218" s="24" t="e">
        <f>SUMIFS(#REF!,#REF!,$B218,#REF!,K$1)</f>
        <v>#REF!</v>
      </c>
      <c r="L218" s="24" t="e">
        <f>SUMIFS(#REF!,#REF!,$B218,#REF!,L$1)</f>
        <v>#REF!</v>
      </c>
      <c r="M218" s="24" t="e">
        <f>SUMIFS(#REF!,#REF!,$B218,#REF!,M$1)</f>
        <v>#REF!</v>
      </c>
      <c r="N218" s="24" t="e">
        <f>SUMIFS(#REF!,#REF!,$B218,#REF!,N$1)</f>
        <v>#REF!</v>
      </c>
      <c r="O218" s="24" t="e">
        <f>SUMIFS(#REF!,#REF!,$B218,#REF!,O$1)</f>
        <v>#REF!</v>
      </c>
      <c r="P218" s="24" t="e">
        <f>SUMIFS(#REF!,#REF!,$B218,#REF!,P$1)</f>
        <v>#REF!</v>
      </c>
      <c r="Q218" s="24" t="e">
        <f>SUMIFS(#REF!,#REF!,$B218,#REF!,Q$1)</f>
        <v>#REF!</v>
      </c>
      <c r="R218" s="24" t="e">
        <f>SUMIFS(#REF!,#REF!,$B218,#REF!,R$1)</f>
        <v>#REF!</v>
      </c>
      <c r="S218" s="24" t="e">
        <f>SUMIFS(#REF!,#REF!,$B218,#REF!,S$1)</f>
        <v>#REF!</v>
      </c>
      <c r="T218" s="24" t="e">
        <f>SUMIFS(#REF!,#REF!,$B218,#REF!,T$1)</f>
        <v>#REF!</v>
      </c>
      <c r="U218" s="24" t="e">
        <f>SUMIFS(#REF!,#REF!,$B218,#REF!,U$1)</f>
        <v>#REF!</v>
      </c>
      <c r="V218" s="24" t="e">
        <f>SUMIFS(#REF!,#REF!,$B218,#REF!,V$1)</f>
        <v>#REF!</v>
      </c>
      <c r="W218" s="24" t="e">
        <f>SUMIFS(#REF!,#REF!,$B218,#REF!,W$1)</f>
        <v>#REF!</v>
      </c>
      <c r="X218" s="24" t="e">
        <f>SUMIFS(#REF!,#REF!,$B218,#REF!,X$1)</f>
        <v>#REF!</v>
      </c>
      <c r="Y218" s="24" t="e">
        <f>SUMIFS(#REF!,#REF!,$B218,#REF!,Y$1)</f>
        <v>#REF!</v>
      </c>
      <c r="Z218" s="24" t="e">
        <f>SUMIFS(#REF!,#REF!,$B218,#REF!,Z$1)</f>
        <v>#REF!</v>
      </c>
      <c r="AA218" s="24" t="e">
        <f>SUMIFS(#REF!,#REF!,$B218,#REF!,AA$1)</f>
        <v>#REF!</v>
      </c>
      <c r="AB218" s="24" t="e">
        <f>SUMIFS(#REF!,#REF!,$B218,#REF!,AB$1)</f>
        <v>#REF!</v>
      </c>
      <c r="AC218" s="24" t="e">
        <f>SUMIFS(#REF!,#REF!,$B218,#REF!,AC$1)</f>
        <v>#REF!</v>
      </c>
      <c r="AD218" s="24" t="e">
        <f>SUMIFS(#REF!,#REF!,$B218,#REF!,AD$1)</f>
        <v>#REF!</v>
      </c>
      <c r="AE218" s="24" t="e">
        <f>SUMIFS(#REF!,#REF!,$B218,#REF!,AE$1)</f>
        <v>#REF!</v>
      </c>
      <c r="AF218" s="24" t="e">
        <f>SUMIFS(#REF!,#REF!,$B218,#REF!,AF$1)</f>
        <v>#REF!</v>
      </c>
      <c r="AG218" s="24" t="e">
        <f>SUMIFS(#REF!,#REF!,$B218,#REF!,AG$1)</f>
        <v>#REF!</v>
      </c>
      <c r="AH218" s="24" t="e">
        <f>SUMIFS(#REF!,#REF!,$B218,#REF!,AH$1)</f>
        <v>#REF!</v>
      </c>
      <c r="AI218" s="24" t="e">
        <f>SUMIFS(#REF!,#REF!,$B218,#REF!,AI$1)</f>
        <v>#REF!</v>
      </c>
      <c r="AJ218" s="24" t="e">
        <f>SUMIFS(#REF!,#REF!,$B218,#REF!,AJ$1)</f>
        <v>#REF!</v>
      </c>
      <c r="AK218" s="24" t="e">
        <f>SUMIFS(#REF!,#REF!,$B218,#REF!,AK$1)</f>
        <v>#REF!</v>
      </c>
      <c r="AL218" s="24" t="e">
        <f>SUMIFS(#REF!,#REF!,$B218,#REF!,AL$1)</f>
        <v>#REF!</v>
      </c>
      <c r="AM218" s="24" t="e">
        <f>SUMIFS(#REF!,#REF!,$B218,#REF!,AM$1)</f>
        <v>#REF!</v>
      </c>
      <c r="AN218" s="24" t="e">
        <f>SUMIFS(#REF!,#REF!,$B218,#REF!,AN$1)</f>
        <v>#REF!</v>
      </c>
      <c r="AO218" s="24" t="e">
        <f>SUMIFS(#REF!,#REF!,$B218,#REF!,AO$1)</f>
        <v>#REF!</v>
      </c>
      <c r="AP218" s="24" t="e">
        <f>SUMIFS(#REF!,#REF!,$B218,#REF!,AP$1)</f>
        <v>#REF!</v>
      </c>
      <c r="AQ218" s="24" t="e">
        <f>SUMIFS(#REF!,#REF!,$B218,#REF!,AQ$1)</f>
        <v>#REF!</v>
      </c>
      <c r="AR218" s="24" t="e">
        <f>SUMIFS(#REF!,#REF!,$B218,#REF!,AR$1)</f>
        <v>#REF!</v>
      </c>
      <c r="AS218" s="24" t="e">
        <f>SUMIFS(#REF!,#REF!,$B218,#REF!,AS$1)</f>
        <v>#REF!</v>
      </c>
      <c r="AT218" s="24" t="e">
        <f>SUMIFS(#REF!,#REF!,$B218,#REF!,AT$1)</f>
        <v>#REF!</v>
      </c>
      <c r="AU218" s="24" t="e">
        <f>SUMIFS(#REF!,#REF!,$B218,#REF!,AU$1)</f>
        <v>#REF!</v>
      </c>
      <c r="AV218" s="24" t="e">
        <f>SUMIFS(#REF!,#REF!,$B218,#REF!,AV$1)</f>
        <v>#REF!</v>
      </c>
      <c r="AW218" s="24" t="e">
        <f>SUMIFS(#REF!,#REF!,$B218,#REF!,AW$1)</f>
        <v>#REF!</v>
      </c>
      <c r="AX218" s="24" t="e">
        <f>SUMIFS(#REF!,#REF!,$B218,#REF!,AX$1)</f>
        <v>#REF!</v>
      </c>
      <c r="AY218" s="24" t="e">
        <f>SUMIFS(#REF!,#REF!,$B218,#REF!,AY$1)</f>
        <v>#REF!</v>
      </c>
      <c r="AZ218" s="24" t="e">
        <f>SUMIFS(#REF!,#REF!,$B218,#REF!,AZ$1)</f>
        <v>#REF!</v>
      </c>
      <c r="BA218" s="24" t="e">
        <f>SUMIFS(#REF!,#REF!,$B218,#REF!,BA$1)</f>
        <v>#REF!</v>
      </c>
      <c r="BB218" s="24" t="e">
        <f>SUMIFS(#REF!,#REF!,$B218,#REF!,BB$1)</f>
        <v>#REF!</v>
      </c>
      <c r="BC218" s="24" t="e">
        <f>SUMIFS(#REF!,#REF!,$B218,#REF!,BC$1)</f>
        <v>#REF!</v>
      </c>
      <c r="BD218" s="24" t="e">
        <f>SUMIFS(#REF!,#REF!,$B218,#REF!,BD$1)</f>
        <v>#REF!</v>
      </c>
      <c r="BE218" s="24" t="e">
        <f>SUMIFS(#REF!,#REF!,$B218,#REF!,BE$1)</f>
        <v>#REF!</v>
      </c>
      <c r="BF218" s="24" t="e">
        <f>SUMIFS(#REF!,#REF!,$B218,#REF!,BF$1)</f>
        <v>#REF!</v>
      </c>
      <c r="BG218" s="24" t="e">
        <f>SUMIFS(#REF!,#REF!,$B218,#REF!,BG$1)</f>
        <v>#REF!</v>
      </c>
      <c r="BH218" s="24" t="e">
        <f>SUMIFS(#REF!,#REF!,$B218,#REF!,BH$1)</f>
        <v>#REF!</v>
      </c>
      <c r="BI218" s="24" t="e">
        <f>SUMIFS(#REF!,#REF!,$B218,#REF!,BI$1)</f>
        <v>#REF!</v>
      </c>
      <c r="BJ218" s="24" t="e">
        <f>SUMIFS(#REF!,#REF!,$B218,#REF!,BJ$1)</f>
        <v>#REF!</v>
      </c>
      <c r="BK218" s="24" t="e">
        <f>SUMIFS(#REF!,#REF!,$B218,#REF!,BK$1)</f>
        <v>#REF!</v>
      </c>
      <c r="BL218" s="24" t="e">
        <f>SUMIFS(#REF!,#REF!,$B218,#REF!,BL$1)</f>
        <v>#REF!</v>
      </c>
      <c r="BM218" s="24" t="e">
        <f>SUMIFS(#REF!,#REF!,$B218,#REF!,BM$1)</f>
        <v>#REF!</v>
      </c>
      <c r="BN218" s="24" t="e">
        <f>SUMIFS(#REF!,#REF!,$B218,#REF!,BN$1)</f>
        <v>#REF!</v>
      </c>
      <c r="BO218" s="24" t="e">
        <f>SUMIFS(#REF!,#REF!,$B218,#REF!,BO$1)</f>
        <v>#REF!</v>
      </c>
      <c r="BP218" s="24" t="e">
        <f>SUMIFS(#REF!,#REF!,$B218,#REF!,BP$1)</f>
        <v>#REF!</v>
      </c>
      <c r="BQ218" s="24" t="e">
        <f>SUMIFS(#REF!,#REF!,$B218,#REF!,BQ$1)</f>
        <v>#REF!</v>
      </c>
      <c r="BR218" s="24" t="e">
        <f>SUMIFS(#REF!,#REF!,$B218,#REF!,BR$1)</f>
        <v>#REF!</v>
      </c>
      <c r="BS218" s="24" t="e">
        <f>SUMIFS(#REF!,#REF!,$B218,#REF!,BS$1)</f>
        <v>#REF!</v>
      </c>
      <c r="BT218" s="24" t="e">
        <f>SUMIFS(#REF!,#REF!,$B218,#REF!,BT$1)</f>
        <v>#REF!</v>
      </c>
      <c r="BU218" s="24" t="e">
        <f>SUMIFS(#REF!,#REF!,$B218,#REF!,BU$1)</f>
        <v>#REF!</v>
      </c>
      <c r="BV218" s="24" t="e">
        <f>SUMIFS(#REF!,#REF!,$B218,#REF!,BV$1)</f>
        <v>#REF!</v>
      </c>
      <c r="BW218" s="24" t="e">
        <f>SUMIFS(#REF!,#REF!,$B218,#REF!,BW$1)</f>
        <v>#REF!</v>
      </c>
      <c r="BX218" s="24" t="e">
        <f>SUMIFS(#REF!,#REF!,$B218,#REF!,BX$1)</f>
        <v>#REF!</v>
      </c>
      <c r="BY218" s="24" t="e">
        <f>SUMIFS(#REF!,#REF!,$B218,#REF!,BY$1)</f>
        <v>#REF!</v>
      </c>
      <c r="BZ218" s="24" t="e">
        <f>SUMIFS(#REF!,#REF!,$B218,#REF!,BZ$1)</f>
        <v>#REF!</v>
      </c>
      <c r="CA218" s="24" t="e">
        <f>SUMIFS(#REF!,#REF!,$B218,#REF!,CA$1)</f>
        <v>#REF!</v>
      </c>
      <c r="CB218" s="24" t="e">
        <f>SUMIFS(#REF!,#REF!,$B218,#REF!,CB$1)</f>
        <v>#REF!</v>
      </c>
      <c r="CC218" s="24" t="e">
        <f>SUMIFS(#REF!,#REF!,$B218,#REF!,CC$1)</f>
        <v>#REF!</v>
      </c>
      <c r="CD218" s="24" t="e">
        <f>SUMIFS(#REF!,#REF!,$B218,#REF!,CD$1)</f>
        <v>#REF!</v>
      </c>
      <c r="CE218" s="24" t="e">
        <f>SUMIFS(#REF!,#REF!,$B218,#REF!,CE$1)</f>
        <v>#REF!</v>
      </c>
      <c r="CF218" s="24" t="e">
        <f>SUMIFS(#REF!,#REF!,$B218,#REF!,CF$1)</f>
        <v>#REF!</v>
      </c>
      <c r="CG218" s="19" t="e">
        <f t="shared" si="3"/>
        <v>#REF!</v>
      </c>
    </row>
    <row r="219" spans="1:85" x14ac:dyDescent="0.45">
      <c r="A219" s="4" t="s">
        <v>1420</v>
      </c>
      <c r="B219" s="4" t="s">
        <v>1421</v>
      </c>
      <c r="C219" s="24" t="e">
        <f>SUMIFS(#REF!,#REF!,$B219,#REF!,C$1)</f>
        <v>#REF!</v>
      </c>
      <c r="D219" s="24" t="e">
        <f>SUMIFS(#REF!,#REF!,$B219,#REF!,D$1)</f>
        <v>#REF!</v>
      </c>
      <c r="E219" s="24" t="e">
        <f>SUMIFS(#REF!,#REF!,$B219,#REF!,E$1)</f>
        <v>#REF!</v>
      </c>
      <c r="F219" s="24" t="e">
        <f>SUMIFS(#REF!,#REF!,$B219,#REF!,F$1)</f>
        <v>#REF!</v>
      </c>
      <c r="G219" s="24" t="e">
        <f>SUMIFS(#REF!,#REF!,$B219,#REF!,G$1)</f>
        <v>#REF!</v>
      </c>
      <c r="H219" s="24" t="e">
        <f>SUMIFS(#REF!,#REF!,$B219,#REF!,H$1)</f>
        <v>#REF!</v>
      </c>
      <c r="I219" s="24" t="e">
        <f>SUMIFS(#REF!,#REF!,$B219,#REF!,I$1)</f>
        <v>#REF!</v>
      </c>
      <c r="J219" s="24" t="e">
        <f>SUMIFS(#REF!,#REF!,$B219,#REF!,J$1)</f>
        <v>#REF!</v>
      </c>
      <c r="K219" s="24" t="e">
        <f>SUMIFS(#REF!,#REF!,$B219,#REF!,K$1)</f>
        <v>#REF!</v>
      </c>
      <c r="L219" s="24" t="e">
        <f>SUMIFS(#REF!,#REF!,$B219,#REF!,L$1)</f>
        <v>#REF!</v>
      </c>
      <c r="M219" s="24" t="e">
        <f>SUMIFS(#REF!,#REF!,$B219,#REF!,M$1)</f>
        <v>#REF!</v>
      </c>
      <c r="N219" s="24" t="e">
        <f>SUMIFS(#REF!,#REF!,$B219,#REF!,N$1)</f>
        <v>#REF!</v>
      </c>
      <c r="O219" s="24" t="e">
        <f>SUMIFS(#REF!,#REF!,$B219,#REF!,O$1)</f>
        <v>#REF!</v>
      </c>
      <c r="P219" s="24" t="e">
        <f>SUMIFS(#REF!,#REF!,$B219,#REF!,P$1)</f>
        <v>#REF!</v>
      </c>
      <c r="Q219" s="24" t="e">
        <f>SUMIFS(#REF!,#REF!,$B219,#REF!,Q$1)</f>
        <v>#REF!</v>
      </c>
      <c r="R219" s="24" t="e">
        <f>SUMIFS(#REF!,#REF!,$B219,#REF!,R$1)</f>
        <v>#REF!</v>
      </c>
      <c r="S219" s="24" t="e">
        <f>SUMIFS(#REF!,#REF!,$B219,#REF!,S$1)</f>
        <v>#REF!</v>
      </c>
      <c r="T219" s="24" t="e">
        <f>SUMIFS(#REF!,#REF!,$B219,#REF!,T$1)</f>
        <v>#REF!</v>
      </c>
      <c r="U219" s="24" t="e">
        <f>SUMIFS(#REF!,#REF!,$B219,#REF!,U$1)</f>
        <v>#REF!</v>
      </c>
      <c r="V219" s="24" t="e">
        <f>SUMIFS(#REF!,#REF!,$B219,#REF!,V$1)</f>
        <v>#REF!</v>
      </c>
      <c r="W219" s="24" t="e">
        <f>SUMIFS(#REF!,#REF!,$B219,#REF!,W$1)</f>
        <v>#REF!</v>
      </c>
      <c r="X219" s="24" t="e">
        <f>SUMIFS(#REF!,#REF!,$B219,#REF!,X$1)</f>
        <v>#REF!</v>
      </c>
      <c r="Y219" s="24" t="e">
        <f>SUMIFS(#REF!,#REF!,$B219,#REF!,Y$1)</f>
        <v>#REF!</v>
      </c>
      <c r="Z219" s="24" t="e">
        <f>SUMIFS(#REF!,#REF!,$B219,#REF!,Z$1)</f>
        <v>#REF!</v>
      </c>
      <c r="AA219" s="24" t="e">
        <f>SUMIFS(#REF!,#REF!,$B219,#REF!,AA$1)</f>
        <v>#REF!</v>
      </c>
      <c r="AB219" s="24" t="e">
        <f>SUMIFS(#REF!,#REF!,$B219,#REF!,AB$1)</f>
        <v>#REF!</v>
      </c>
      <c r="AC219" s="24" t="e">
        <f>SUMIFS(#REF!,#REF!,$B219,#REF!,AC$1)</f>
        <v>#REF!</v>
      </c>
      <c r="AD219" s="24" t="e">
        <f>SUMIFS(#REF!,#REF!,$B219,#REF!,AD$1)</f>
        <v>#REF!</v>
      </c>
      <c r="AE219" s="24" t="e">
        <f>SUMIFS(#REF!,#REF!,$B219,#REF!,AE$1)</f>
        <v>#REF!</v>
      </c>
      <c r="AF219" s="24" t="e">
        <f>SUMIFS(#REF!,#REF!,$B219,#REF!,AF$1)</f>
        <v>#REF!</v>
      </c>
      <c r="AG219" s="24" t="e">
        <f>SUMIFS(#REF!,#REF!,$B219,#REF!,AG$1)</f>
        <v>#REF!</v>
      </c>
      <c r="AH219" s="24" t="e">
        <f>SUMIFS(#REF!,#REF!,$B219,#REF!,AH$1)</f>
        <v>#REF!</v>
      </c>
      <c r="AI219" s="24" t="e">
        <f>SUMIFS(#REF!,#REF!,$B219,#REF!,AI$1)</f>
        <v>#REF!</v>
      </c>
      <c r="AJ219" s="24" t="e">
        <f>SUMIFS(#REF!,#REF!,$B219,#REF!,AJ$1)</f>
        <v>#REF!</v>
      </c>
      <c r="AK219" s="24" t="e">
        <f>SUMIFS(#REF!,#REF!,$B219,#REF!,AK$1)</f>
        <v>#REF!</v>
      </c>
      <c r="AL219" s="24" t="e">
        <f>SUMIFS(#REF!,#REF!,$B219,#REF!,AL$1)</f>
        <v>#REF!</v>
      </c>
      <c r="AM219" s="24" t="e">
        <f>SUMIFS(#REF!,#REF!,$B219,#REF!,AM$1)</f>
        <v>#REF!</v>
      </c>
      <c r="AN219" s="24" t="e">
        <f>SUMIFS(#REF!,#REF!,$B219,#REF!,AN$1)</f>
        <v>#REF!</v>
      </c>
      <c r="AO219" s="24" t="e">
        <f>SUMIFS(#REF!,#REF!,$B219,#REF!,AO$1)</f>
        <v>#REF!</v>
      </c>
      <c r="AP219" s="24" t="e">
        <f>SUMIFS(#REF!,#REF!,$B219,#REF!,AP$1)</f>
        <v>#REF!</v>
      </c>
      <c r="AQ219" s="24" t="e">
        <f>SUMIFS(#REF!,#REF!,$B219,#REF!,AQ$1)</f>
        <v>#REF!</v>
      </c>
      <c r="AR219" s="24" t="e">
        <f>SUMIFS(#REF!,#REF!,$B219,#REF!,AR$1)</f>
        <v>#REF!</v>
      </c>
      <c r="AS219" s="24" t="e">
        <f>SUMIFS(#REF!,#REF!,$B219,#REF!,AS$1)</f>
        <v>#REF!</v>
      </c>
      <c r="AT219" s="24" t="e">
        <f>SUMIFS(#REF!,#REF!,$B219,#REF!,AT$1)</f>
        <v>#REF!</v>
      </c>
      <c r="AU219" s="24" t="e">
        <f>SUMIFS(#REF!,#REF!,$B219,#REF!,AU$1)</f>
        <v>#REF!</v>
      </c>
      <c r="AV219" s="24" t="e">
        <f>SUMIFS(#REF!,#REF!,$B219,#REF!,AV$1)</f>
        <v>#REF!</v>
      </c>
      <c r="AW219" s="24" t="e">
        <f>SUMIFS(#REF!,#REF!,$B219,#REF!,AW$1)</f>
        <v>#REF!</v>
      </c>
      <c r="AX219" s="24" t="e">
        <f>SUMIFS(#REF!,#REF!,$B219,#REF!,AX$1)</f>
        <v>#REF!</v>
      </c>
      <c r="AY219" s="24" t="e">
        <f>SUMIFS(#REF!,#REF!,$B219,#REF!,AY$1)</f>
        <v>#REF!</v>
      </c>
      <c r="AZ219" s="24" t="e">
        <f>SUMIFS(#REF!,#REF!,$B219,#REF!,AZ$1)</f>
        <v>#REF!</v>
      </c>
      <c r="BA219" s="24" t="e">
        <f>SUMIFS(#REF!,#REF!,$B219,#REF!,BA$1)</f>
        <v>#REF!</v>
      </c>
      <c r="BB219" s="24" t="e">
        <f>SUMIFS(#REF!,#REF!,$B219,#REF!,BB$1)</f>
        <v>#REF!</v>
      </c>
      <c r="BC219" s="24" t="e">
        <f>SUMIFS(#REF!,#REF!,$B219,#REF!,BC$1)</f>
        <v>#REF!</v>
      </c>
      <c r="BD219" s="24" t="e">
        <f>SUMIFS(#REF!,#REF!,$B219,#REF!,BD$1)</f>
        <v>#REF!</v>
      </c>
      <c r="BE219" s="24" t="e">
        <f>SUMIFS(#REF!,#REF!,$B219,#REF!,BE$1)</f>
        <v>#REF!</v>
      </c>
      <c r="BF219" s="24" t="e">
        <f>SUMIFS(#REF!,#REF!,$B219,#REF!,BF$1)</f>
        <v>#REF!</v>
      </c>
      <c r="BG219" s="24" t="e">
        <f>SUMIFS(#REF!,#REF!,$B219,#REF!,BG$1)</f>
        <v>#REF!</v>
      </c>
      <c r="BH219" s="24" t="e">
        <f>SUMIFS(#REF!,#REF!,$B219,#REF!,BH$1)</f>
        <v>#REF!</v>
      </c>
      <c r="BI219" s="24" t="e">
        <f>SUMIFS(#REF!,#REF!,$B219,#REF!,BI$1)</f>
        <v>#REF!</v>
      </c>
      <c r="BJ219" s="24" t="e">
        <f>SUMIFS(#REF!,#REF!,$B219,#REF!,BJ$1)</f>
        <v>#REF!</v>
      </c>
      <c r="BK219" s="24" t="e">
        <f>SUMIFS(#REF!,#REF!,$B219,#REF!,BK$1)</f>
        <v>#REF!</v>
      </c>
      <c r="BL219" s="24" t="e">
        <f>SUMIFS(#REF!,#REF!,$B219,#REF!,BL$1)</f>
        <v>#REF!</v>
      </c>
      <c r="BM219" s="24" t="e">
        <f>SUMIFS(#REF!,#REF!,$B219,#REF!,BM$1)</f>
        <v>#REF!</v>
      </c>
      <c r="BN219" s="24" t="e">
        <f>SUMIFS(#REF!,#REF!,$B219,#REF!,BN$1)</f>
        <v>#REF!</v>
      </c>
      <c r="BO219" s="24" t="e">
        <f>SUMIFS(#REF!,#REF!,$B219,#REF!,BO$1)</f>
        <v>#REF!</v>
      </c>
      <c r="BP219" s="24" t="e">
        <f>SUMIFS(#REF!,#REF!,$B219,#REF!,BP$1)</f>
        <v>#REF!</v>
      </c>
      <c r="BQ219" s="24" t="e">
        <f>SUMIFS(#REF!,#REF!,$B219,#REF!,BQ$1)</f>
        <v>#REF!</v>
      </c>
      <c r="BR219" s="24" t="e">
        <f>SUMIFS(#REF!,#REF!,$B219,#REF!,BR$1)</f>
        <v>#REF!</v>
      </c>
      <c r="BS219" s="24" t="e">
        <f>SUMIFS(#REF!,#REF!,$B219,#REF!,BS$1)</f>
        <v>#REF!</v>
      </c>
      <c r="BT219" s="24" t="e">
        <f>SUMIFS(#REF!,#REF!,$B219,#REF!,BT$1)</f>
        <v>#REF!</v>
      </c>
      <c r="BU219" s="24" t="e">
        <f>SUMIFS(#REF!,#REF!,$B219,#REF!,BU$1)</f>
        <v>#REF!</v>
      </c>
      <c r="BV219" s="24" t="e">
        <f>SUMIFS(#REF!,#REF!,$B219,#REF!,BV$1)</f>
        <v>#REF!</v>
      </c>
      <c r="BW219" s="24" t="e">
        <f>SUMIFS(#REF!,#REF!,$B219,#REF!,BW$1)</f>
        <v>#REF!</v>
      </c>
      <c r="BX219" s="24" t="e">
        <f>SUMIFS(#REF!,#REF!,$B219,#REF!,BX$1)</f>
        <v>#REF!</v>
      </c>
      <c r="BY219" s="24" t="e">
        <f>SUMIFS(#REF!,#REF!,$B219,#REF!,BY$1)</f>
        <v>#REF!</v>
      </c>
      <c r="BZ219" s="24" t="e">
        <f>SUMIFS(#REF!,#REF!,$B219,#REF!,BZ$1)</f>
        <v>#REF!</v>
      </c>
      <c r="CA219" s="24" t="e">
        <f>SUMIFS(#REF!,#REF!,$B219,#REF!,CA$1)</f>
        <v>#REF!</v>
      </c>
      <c r="CB219" s="24" t="e">
        <f>SUMIFS(#REF!,#REF!,$B219,#REF!,CB$1)</f>
        <v>#REF!</v>
      </c>
      <c r="CC219" s="24" t="e">
        <f>SUMIFS(#REF!,#REF!,$B219,#REF!,CC$1)</f>
        <v>#REF!</v>
      </c>
      <c r="CD219" s="24" t="e">
        <f>SUMIFS(#REF!,#REF!,$B219,#REF!,CD$1)</f>
        <v>#REF!</v>
      </c>
      <c r="CE219" s="24" t="e">
        <f>SUMIFS(#REF!,#REF!,$B219,#REF!,CE$1)</f>
        <v>#REF!</v>
      </c>
      <c r="CF219" s="24" t="e">
        <f>SUMIFS(#REF!,#REF!,$B219,#REF!,CF$1)</f>
        <v>#REF!</v>
      </c>
      <c r="CG219" s="19" t="e">
        <f t="shared" si="3"/>
        <v>#REF!</v>
      </c>
    </row>
    <row r="220" spans="1:85" x14ac:dyDescent="0.45">
      <c r="A220" s="4" t="s">
        <v>1422</v>
      </c>
      <c r="B220" s="4" t="s">
        <v>1423</v>
      </c>
      <c r="C220" s="24" t="e">
        <f>SUMIFS(#REF!,#REF!,$B220,#REF!,C$1)</f>
        <v>#REF!</v>
      </c>
      <c r="D220" s="24" t="e">
        <f>SUMIFS(#REF!,#REF!,$B220,#REF!,D$1)</f>
        <v>#REF!</v>
      </c>
      <c r="E220" s="24" t="e">
        <f>SUMIFS(#REF!,#REF!,$B220,#REF!,E$1)</f>
        <v>#REF!</v>
      </c>
      <c r="F220" s="24" t="e">
        <f>SUMIFS(#REF!,#REF!,$B220,#REF!,F$1)</f>
        <v>#REF!</v>
      </c>
      <c r="G220" s="24" t="e">
        <f>SUMIFS(#REF!,#REF!,$B220,#REF!,G$1)</f>
        <v>#REF!</v>
      </c>
      <c r="H220" s="24" t="e">
        <f>SUMIFS(#REF!,#REF!,$B220,#REF!,H$1)</f>
        <v>#REF!</v>
      </c>
      <c r="I220" s="24" t="e">
        <f>SUMIFS(#REF!,#REF!,$B220,#REF!,I$1)</f>
        <v>#REF!</v>
      </c>
      <c r="J220" s="24" t="e">
        <f>SUMIFS(#REF!,#REF!,$B220,#REF!,J$1)</f>
        <v>#REF!</v>
      </c>
      <c r="K220" s="24" t="e">
        <f>SUMIFS(#REF!,#REF!,$B220,#REF!,K$1)</f>
        <v>#REF!</v>
      </c>
      <c r="L220" s="24" t="e">
        <f>SUMIFS(#REF!,#REF!,$B220,#REF!,L$1)</f>
        <v>#REF!</v>
      </c>
      <c r="M220" s="24" t="e">
        <f>SUMIFS(#REF!,#REF!,$B220,#REF!,M$1)</f>
        <v>#REF!</v>
      </c>
      <c r="N220" s="24" t="e">
        <f>SUMIFS(#REF!,#REF!,$B220,#REF!,N$1)</f>
        <v>#REF!</v>
      </c>
      <c r="O220" s="24" t="e">
        <f>SUMIFS(#REF!,#REF!,$B220,#REF!,O$1)</f>
        <v>#REF!</v>
      </c>
      <c r="P220" s="24" t="e">
        <f>SUMIFS(#REF!,#REF!,$B220,#REF!,P$1)</f>
        <v>#REF!</v>
      </c>
      <c r="Q220" s="24" t="e">
        <f>SUMIFS(#REF!,#REF!,$B220,#REF!,Q$1)</f>
        <v>#REF!</v>
      </c>
      <c r="R220" s="24" t="e">
        <f>SUMIFS(#REF!,#REF!,$B220,#REF!,R$1)</f>
        <v>#REF!</v>
      </c>
      <c r="S220" s="24" t="e">
        <f>SUMIFS(#REF!,#REF!,$B220,#REF!,S$1)</f>
        <v>#REF!</v>
      </c>
      <c r="T220" s="24" t="e">
        <f>SUMIFS(#REF!,#REF!,$B220,#REF!,T$1)</f>
        <v>#REF!</v>
      </c>
      <c r="U220" s="24" t="e">
        <f>SUMIFS(#REF!,#REF!,$B220,#REF!,U$1)</f>
        <v>#REF!</v>
      </c>
      <c r="V220" s="24" t="e">
        <f>SUMIFS(#REF!,#REF!,$B220,#REF!,V$1)</f>
        <v>#REF!</v>
      </c>
      <c r="W220" s="24" t="e">
        <f>SUMIFS(#REF!,#REF!,$B220,#REF!,W$1)</f>
        <v>#REF!</v>
      </c>
      <c r="X220" s="24" t="e">
        <f>SUMIFS(#REF!,#REF!,$B220,#REF!,X$1)</f>
        <v>#REF!</v>
      </c>
      <c r="Y220" s="24" t="e">
        <f>SUMIFS(#REF!,#REF!,$B220,#REF!,Y$1)</f>
        <v>#REF!</v>
      </c>
      <c r="Z220" s="24" t="e">
        <f>SUMIFS(#REF!,#REF!,$B220,#REF!,Z$1)</f>
        <v>#REF!</v>
      </c>
      <c r="AA220" s="24" t="e">
        <f>SUMIFS(#REF!,#REF!,$B220,#REF!,AA$1)</f>
        <v>#REF!</v>
      </c>
      <c r="AB220" s="24" t="e">
        <f>SUMIFS(#REF!,#REF!,$B220,#REF!,AB$1)</f>
        <v>#REF!</v>
      </c>
      <c r="AC220" s="24" t="e">
        <f>SUMIFS(#REF!,#REF!,$B220,#REF!,AC$1)</f>
        <v>#REF!</v>
      </c>
      <c r="AD220" s="24" t="e">
        <f>SUMIFS(#REF!,#REF!,$B220,#REF!,AD$1)</f>
        <v>#REF!</v>
      </c>
      <c r="AE220" s="24" t="e">
        <f>SUMIFS(#REF!,#REF!,$B220,#REF!,AE$1)</f>
        <v>#REF!</v>
      </c>
      <c r="AF220" s="24" t="e">
        <f>SUMIFS(#REF!,#REF!,$B220,#REF!,AF$1)</f>
        <v>#REF!</v>
      </c>
      <c r="AG220" s="24" t="e">
        <f>SUMIFS(#REF!,#REF!,$B220,#REF!,AG$1)</f>
        <v>#REF!</v>
      </c>
      <c r="AH220" s="24" t="e">
        <f>SUMIFS(#REF!,#REF!,$B220,#REF!,AH$1)</f>
        <v>#REF!</v>
      </c>
      <c r="AI220" s="24" t="e">
        <f>SUMIFS(#REF!,#REF!,$B220,#REF!,AI$1)</f>
        <v>#REF!</v>
      </c>
      <c r="AJ220" s="24" t="e">
        <f>SUMIFS(#REF!,#REF!,$B220,#REF!,AJ$1)</f>
        <v>#REF!</v>
      </c>
      <c r="AK220" s="24" t="e">
        <f>SUMIFS(#REF!,#REF!,$B220,#REF!,AK$1)</f>
        <v>#REF!</v>
      </c>
      <c r="AL220" s="24" t="e">
        <f>SUMIFS(#REF!,#REF!,$B220,#REF!,AL$1)</f>
        <v>#REF!</v>
      </c>
      <c r="AM220" s="24" t="e">
        <f>SUMIFS(#REF!,#REF!,$B220,#REF!,AM$1)</f>
        <v>#REF!</v>
      </c>
      <c r="AN220" s="24" t="e">
        <f>SUMIFS(#REF!,#REF!,$B220,#REF!,AN$1)</f>
        <v>#REF!</v>
      </c>
      <c r="AO220" s="24" t="e">
        <f>SUMIFS(#REF!,#REF!,$B220,#REF!,AO$1)</f>
        <v>#REF!</v>
      </c>
      <c r="AP220" s="24" t="e">
        <f>SUMIFS(#REF!,#REF!,$B220,#REF!,AP$1)</f>
        <v>#REF!</v>
      </c>
      <c r="AQ220" s="24" t="e">
        <f>SUMIFS(#REF!,#REF!,$B220,#REF!,AQ$1)</f>
        <v>#REF!</v>
      </c>
      <c r="AR220" s="24" t="e">
        <f>SUMIFS(#REF!,#REF!,$B220,#REF!,AR$1)</f>
        <v>#REF!</v>
      </c>
      <c r="AS220" s="24" t="e">
        <f>SUMIFS(#REF!,#REF!,$B220,#REF!,AS$1)</f>
        <v>#REF!</v>
      </c>
      <c r="AT220" s="24" t="e">
        <f>SUMIFS(#REF!,#REF!,$B220,#REF!,AT$1)</f>
        <v>#REF!</v>
      </c>
      <c r="AU220" s="24" t="e">
        <f>SUMIFS(#REF!,#REF!,$B220,#REF!,AU$1)</f>
        <v>#REF!</v>
      </c>
      <c r="AV220" s="24" t="e">
        <f>SUMIFS(#REF!,#REF!,$B220,#REF!,AV$1)</f>
        <v>#REF!</v>
      </c>
      <c r="AW220" s="24" t="e">
        <f>SUMIFS(#REF!,#REF!,$B220,#REF!,AW$1)</f>
        <v>#REF!</v>
      </c>
      <c r="AX220" s="24" t="e">
        <f>SUMIFS(#REF!,#REF!,$B220,#REF!,AX$1)</f>
        <v>#REF!</v>
      </c>
      <c r="AY220" s="24" t="e">
        <f>SUMIFS(#REF!,#REF!,$B220,#REF!,AY$1)</f>
        <v>#REF!</v>
      </c>
      <c r="AZ220" s="24" t="e">
        <f>SUMIFS(#REF!,#REF!,$B220,#REF!,AZ$1)</f>
        <v>#REF!</v>
      </c>
      <c r="BA220" s="24" t="e">
        <f>SUMIFS(#REF!,#REF!,$B220,#REF!,BA$1)</f>
        <v>#REF!</v>
      </c>
      <c r="BB220" s="24" t="e">
        <f>SUMIFS(#REF!,#REF!,$B220,#REF!,BB$1)</f>
        <v>#REF!</v>
      </c>
      <c r="BC220" s="24" t="e">
        <f>SUMIFS(#REF!,#REF!,$B220,#REF!,BC$1)</f>
        <v>#REF!</v>
      </c>
      <c r="BD220" s="24" t="e">
        <f>SUMIFS(#REF!,#REF!,$B220,#REF!,BD$1)</f>
        <v>#REF!</v>
      </c>
      <c r="BE220" s="24" t="e">
        <f>SUMIFS(#REF!,#REF!,$B220,#REF!,BE$1)</f>
        <v>#REF!</v>
      </c>
      <c r="BF220" s="24" t="e">
        <f>SUMIFS(#REF!,#REF!,$B220,#REF!,BF$1)</f>
        <v>#REF!</v>
      </c>
      <c r="BG220" s="24" t="e">
        <f>SUMIFS(#REF!,#REF!,$B220,#REF!,BG$1)</f>
        <v>#REF!</v>
      </c>
      <c r="BH220" s="24" t="e">
        <f>SUMIFS(#REF!,#REF!,$B220,#REF!,BH$1)</f>
        <v>#REF!</v>
      </c>
      <c r="BI220" s="24" t="e">
        <f>SUMIFS(#REF!,#REF!,$B220,#REF!,BI$1)</f>
        <v>#REF!</v>
      </c>
      <c r="BJ220" s="24" t="e">
        <f>SUMIFS(#REF!,#REF!,$B220,#REF!,BJ$1)</f>
        <v>#REF!</v>
      </c>
      <c r="BK220" s="24" t="e">
        <f>SUMIFS(#REF!,#REF!,$B220,#REF!,BK$1)</f>
        <v>#REF!</v>
      </c>
      <c r="BL220" s="24" t="e">
        <f>SUMIFS(#REF!,#REF!,$B220,#REF!,BL$1)</f>
        <v>#REF!</v>
      </c>
      <c r="BM220" s="24" t="e">
        <f>SUMIFS(#REF!,#REF!,$B220,#REF!,BM$1)</f>
        <v>#REF!</v>
      </c>
      <c r="BN220" s="24" t="e">
        <f>SUMIFS(#REF!,#REF!,$B220,#REF!,BN$1)</f>
        <v>#REF!</v>
      </c>
      <c r="BO220" s="24" t="e">
        <f>SUMIFS(#REF!,#REF!,$B220,#REF!,BO$1)</f>
        <v>#REF!</v>
      </c>
      <c r="BP220" s="24" t="e">
        <f>SUMIFS(#REF!,#REF!,$B220,#REF!,BP$1)</f>
        <v>#REF!</v>
      </c>
      <c r="BQ220" s="24" t="e">
        <f>SUMIFS(#REF!,#REF!,$B220,#REF!,BQ$1)</f>
        <v>#REF!</v>
      </c>
      <c r="BR220" s="24" t="e">
        <f>SUMIFS(#REF!,#REF!,$B220,#REF!,BR$1)</f>
        <v>#REF!</v>
      </c>
      <c r="BS220" s="24" t="e">
        <f>SUMIFS(#REF!,#REF!,$B220,#REF!,BS$1)</f>
        <v>#REF!</v>
      </c>
      <c r="BT220" s="24" t="e">
        <f>SUMIFS(#REF!,#REF!,$B220,#REF!,BT$1)</f>
        <v>#REF!</v>
      </c>
      <c r="BU220" s="24" t="e">
        <f>SUMIFS(#REF!,#REF!,$B220,#REF!,BU$1)</f>
        <v>#REF!</v>
      </c>
      <c r="BV220" s="24" t="e">
        <f>SUMIFS(#REF!,#REF!,$B220,#REF!,BV$1)</f>
        <v>#REF!</v>
      </c>
      <c r="BW220" s="24" t="e">
        <f>SUMIFS(#REF!,#REF!,$B220,#REF!,BW$1)</f>
        <v>#REF!</v>
      </c>
      <c r="BX220" s="24" t="e">
        <f>SUMIFS(#REF!,#REF!,$B220,#REF!,BX$1)</f>
        <v>#REF!</v>
      </c>
      <c r="BY220" s="24" t="e">
        <f>SUMIFS(#REF!,#REF!,$B220,#REF!,BY$1)</f>
        <v>#REF!</v>
      </c>
      <c r="BZ220" s="24" t="e">
        <f>SUMIFS(#REF!,#REF!,$B220,#REF!,BZ$1)</f>
        <v>#REF!</v>
      </c>
      <c r="CA220" s="24" t="e">
        <f>SUMIFS(#REF!,#REF!,$B220,#REF!,CA$1)</f>
        <v>#REF!</v>
      </c>
      <c r="CB220" s="24" t="e">
        <f>SUMIFS(#REF!,#REF!,$B220,#REF!,CB$1)</f>
        <v>#REF!</v>
      </c>
      <c r="CC220" s="24" t="e">
        <f>SUMIFS(#REF!,#REF!,$B220,#REF!,CC$1)</f>
        <v>#REF!</v>
      </c>
      <c r="CD220" s="24" t="e">
        <f>SUMIFS(#REF!,#REF!,$B220,#REF!,CD$1)</f>
        <v>#REF!</v>
      </c>
      <c r="CE220" s="24" t="e">
        <f>SUMIFS(#REF!,#REF!,$B220,#REF!,CE$1)</f>
        <v>#REF!</v>
      </c>
      <c r="CF220" s="24" t="e">
        <f>SUMIFS(#REF!,#REF!,$B220,#REF!,CF$1)</f>
        <v>#REF!</v>
      </c>
      <c r="CG220" s="19" t="e">
        <f t="shared" si="3"/>
        <v>#REF!</v>
      </c>
    </row>
    <row r="221" spans="1:85" x14ac:dyDescent="0.45">
      <c r="A221" s="4" t="s">
        <v>1424</v>
      </c>
      <c r="B221" s="4" t="s">
        <v>1425</v>
      </c>
      <c r="C221" s="24" t="e">
        <f>SUMIFS(#REF!,#REF!,$B221,#REF!,C$1)</f>
        <v>#REF!</v>
      </c>
      <c r="D221" s="24" t="e">
        <f>SUMIFS(#REF!,#REF!,$B221,#REF!,D$1)</f>
        <v>#REF!</v>
      </c>
      <c r="E221" s="24" t="e">
        <f>SUMIFS(#REF!,#REF!,$B221,#REF!,E$1)</f>
        <v>#REF!</v>
      </c>
      <c r="F221" s="24" t="e">
        <f>SUMIFS(#REF!,#REF!,$B221,#REF!,F$1)</f>
        <v>#REF!</v>
      </c>
      <c r="G221" s="24" t="e">
        <f>SUMIFS(#REF!,#REF!,$B221,#REF!,G$1)</f>
        <v>#REF!</v>
      </c>
      <c r="H221" s="24" t="e">
        <f>SUMIFS(#REF!,#REF!,$B221,#REF!,H$1)</f>
        <v>#REF!</v>
      </c>
      <c r="I221" s="24" t="e">
        <f>SUMIFS(#REF!,#REF!,$B221,#REF!,I$1)</f>
        <v>#REF!</v>
      </c>
      <c r="J221" s="24" t="e">
        <f>SUMIFS(#REF!,#REF!,$B221,#REF!,J$1)</f>
        <v>#REF!</v>
      </c>
      <c r="K221" s="24" t="e">
        <f>SUMIFS(#REF!,#REF!,$B221,#REF!,K$1)</f>
        <v>#REF!</v>
      </c>
      <c r="L221" s="24" t="e">
        <f>SUMIFS(#REF!,#REF!,$B221,#REF!,L$1)</f>
        <v>#REF!</v>
      </c>
      <c r="M221" s="24" t="e">
        <f>SUMIFS(#REF!,#REF!,$B221,#REF!,M$1)</f>
        <v>#REF!</v>
      </c>
      <c r="N221" s="24" t="e">
        <f>SUMIFS(#REF!,#REF!,$B221,#REF!,N$1)</f>
        <v>#REF!</v>
      </c>
      <c r="O221" s="24" t="e">
        <f>SUMIFS(#REF!,#REF!,$B221,#REF!,O$1)</f>
        <v>#REF!</v>
      </c>
      <c r="P221" s="24" t="e">
        <f>SUMIFS(#REF!,#REF!,$B221,#REF!,P$1)</f>
        <v>#REF!</v>
      </c>
      <c r="Q221" s="24" t="e">
        <f>SUMIFS(#REF!,#REF!,$B221,#REF!,Q$1)</f>
        <v>#REF!</v>
      </c>
      <c r="R221" s="24" t="e">
        <f>SUMIFS(#REF!,#REF!,$B221,#REF!,R$1)</f>
        <v>#REF!</v>
      </c>
      <c r="S221" s="24" t="e">
        <f>SUMIFS(#REF!,#REF!,$B221,#REF!,S$1)</f>
        <v>#REF!</v>
      </c>
      <c r="T221" s="24" t="e">
        <f>SUMIFS(#REF!,#REF!,$B221,#REF!,T$1)</f>
        <v>#REF!</v>
      </c>
      <c r="U221" s="24" t="e">
        <f>SUMIFS(#REF!,#REF!,$B221,#REF!,U$1)</f>
        <v>#REF!</v>
      </c>
      <c r="V221" s="24" t="e">
        <f>SUMIFS(#REF!,#REF!,$B221,#REF!,V$1)</f>
        <v>#REF!</v>
      </c>
      <c r="W221" s="24" t="e">
        <f>SUMIFS(#REF!,#REF!,$B221,#REF!,W$1)</f>
        <v>#REF!</v>
      </c>
      <c r="X221" s="24" t="e">
        <f>SUMIFS(#REF!,#REF!,$B221,#REF!,X$1)</f>
        <v>#REF!</v>
      </c>
      <c r="Y221" s="24" t="e">
        <f>SUMIFS(#REF!,#REF!,$B221,#REF!,Y$1)</f>
        <v>#REF!</v>
      </c>
      <c r="Z221" s="24" t="e">
        <f>SUMIFS(#REF!,#REF!,$B221,#REF!,Z$1)</f>
        <v>#REF!</v>
      </c>
      <c r="AA221" s="24" t="e">
        <f>SUMIFS(#REF!,#REF!,$B221,#REF!,AA$1)</f>
        <v>#REF!</v>
      </c>
      <c r="AB221" s="24" t="e">
        <f>SUMIFS(#REF!,#REF!,$B221,#REF!,AB$1)</f>
        <v>#REF!</v>
      </c>
      <c r="AC221" s="24" t="e">
        <f>SUMIFS(#REF!,#REF!,$B221,#REF!,AC$1)</f>
        <v>#REF!</v>
      </c>
      <c r="AD221" s="24" t="e">
        <f>SUMIFS(#REF!,#REF!,$B221,#REF!,AD$1)</f>
        <v>#REF!</v>
      </c>
      <c r="AE221" s="24" t="e">
        <f>SUMIFS(#REF!,#REF!,$B221,#REF!,AE$1)</f>
        <v>#REF!</v>
      </c>
      <c r="AF221" s="24" t="e">
        <f>SUMIFS(#REF!,#REF!,$B221,#REF!,AF$1)</f>
        <v>#REF!</v>
      </c>
      <c r="AG221" s="24" t="e">
        <f>SUMIFS(#REF!,#REF!,$B221,#REF!,AG$1)</f>
        <v>#REF!</v>
      </c>
      <c r="AH221" s="24" t="e">
        <f>SUMIFS(#REF!,#REF!,$B221,#REF!,AH$1)</f>
        <v>#REF!</v>
      </c>
      <c r="AI221" s="24" t="e">
        <f>SUMIFS(#REF!,#REF!,$B221,#REF!,AI$1)</f>
        <v>#REF!</v>
      </c>
      <c r="AJ221" s="24" t="e">
        <f>SUMIFS(#REF!,#REF!,$B221,#REF!,AJ$1)</f>
        <v>#REF!</v>
      </c>
      <c r="AK221" s="24" t="e">
        <f>SUMIFS(#REF!,#REF!,$B221,#REF!,AK$1)</f>
        <v>#REF!</v>
      </c>
      <c r="AL221" s="24" t="e">
        <f>SUMIFS(#REF!,#REF!,$B221,#REF!,AL$1)</f>
        <v>#REF!</v>
      </c>
      <c r="AM221" s="24" t="e">
        <f>SUMIFS(#REF!,#REF!,$B221,#REF!,AM$1)</f>
        <v>#REF!</v>
      </c>
      <c r="AN221" s="24" t="e">
        <f>SUMIFS(#REF!,#REF!,$B221,#REF!,AN$1)</f>
        <v>#REF!</v>
      </c>
      <c r="AO221" s="24" t="e">
        <f>SUMIFS(#REF!,#REF!,$B221,#REF!,AO$1)</f>
        <v>#REF!</v>
      </c>
      <c r="AP221" s="24" t="e">
        <f>SUMIFS(#REF!,#REF!,$B221,#REF!,AP$1)</f>
        <v>#REF!</v>
      </c>
      <c r="AQ221" s="24" t="e">
        <f>SUMIFS(#REF!,#REF!,$B221,#REF!,AQ$1)</f>
        <v>#REF!</v>
      </c>
      <c r="AR221" s="24" t="e">
        <f>SUMIFS(#REF!,#REF!,$B221,#REF!,AR$1)</f>
        <v>#REF!</v>
      </c>
      <c r="AS221" s="24" t="e">
        <f>SUMIFS(#REF!,#REF!,$B221,#REF!,AS$1)</f>
        <v>#REF!</v>
      </c>
      <c r="AT221" s="24" t="e">
        <f>SUMIFS(#REF!,#REF!,$B221,#REF!,AT$1)</f>
        <v>#REF!</v>
      </c>
      <c r="AU221" s="24" t="e">
        <f>SUMIFS(#REF!,#REF!,$B221,#REF!,AU$1)</f>
        <v>#REF!</v>
      </c>
      <c r="AV221" s="24" t="e">
        <f>SUMIFS(#REF!,#REF!,$B221,#REF!,AV$1)</f>
        <v>#REF!</v>
      </c>
      <c r="AW221" s="24" t="e">
        <f>SUMIFS(#REF!,#REF!,$B221,#REF!,AW$1)</f>
        <v>#REF!</v>
      </c>
      <c r="AX221" s="24" t="e">
        <f>SUMIFS(#REF!,#REF!,$B221,#REF!,AX$1)</f>
        <v>#REF!</v>
      </c>
      <c r="AY221" s="24" t="e">
        <f>SUMIFS(#REF!,#REF!,$B221,#REF!,AY$1)</f>
        <v>#REF!</v>
      </c>
      <c r="AZ221" s="24" t="e">
        <f>SUMIFS(#REF!,#REF!,$B221,#REF!,AZ$1)</f>
        <v>#REF!</v>
      </c>
      <c r="BA221" s="24" t="e">
        <f>SUMIFS(#REF!,#REF!,$B221,#REF!,BA$1)</f>
        <v>#REF!</v>
      </c>
      <c r="BB221" s="24" t="e">
        <f>SUMIFS(#REF!,#REF!,$B221,#REF!,BB$1)</f>
        <v>#REF!</v>
      </c>
      <c r="BC221" s="24" t="e">
        <f>SUMIFS(#REF!,#REF!,$B221,#REF!,BC$1)</f>
        <v>#REF!</v>
      </c>
      <c r="BD221" s="24" t="e">
        <f>SUMIFS(#REF!,#REF!,$B221,#REF!,BD$1)</f>
        <v>#REF!</v>
      </c>
      <c r="BE221" s="24" t="e">
        <f>SUMIFS(#REF!,#REF!,$B221,#REF!,BE$1)</f>
        <v>#REF!</v>
      </c>
      <c r="BF221" s="24" t="e">
        <f>SUMIFS(#REF!,#REF!,$B221,#REF!,BF$1)</f>
        <v>#REF!</v>
      </c>
      <c r="BG221" s="24" t="e">
        <f>SUMIFS(#REF!,#REF!,$B221,#REF!,BG$1)</f>
        <v>#REF!</v>
      </c>
      <c r="BH221" s="24" t="e">
        <f>SUMIFS(#REF!,#REF!,$B221,#REF!,BH$1)</f>
        <v>#REF!</v>
      </c>
      <c r="BI221" s="24" t="e">
        <f>SUMIFS(#REF!,#REF!,$B221,#REF!,BI$1)</f>
        <v>#REF!</v>
      </c>
      <c r="BJ221" s="24" t="e">
        <f>SUMIFS(#REF!,#REF!,$B221,#REF!,BJ$1)</f>
        <v>#REF!</v>
      </c>
      <c r="BK221" s="24" t="e">
        <f>SUMIFS(#REF!,#REF!,$B221,#REF!,BK$1)</f>
        <v>#REF!</v>
      </c>
      <c r="BL221" s="24" t="e">
        <f>SUMIFS(#REF!,#REF!,$B221,#REF!,BL$1)</f>
        <v>#REF!</v>
      </c>
      <c r="BM221" s="24" t="e">
        <f>SUMIFS(#REF!,#REF!,$B221,#REF!,BM$1)</f>
        <v>#REF!</v>
      </c>
      <c r="BN221" s="24" t="e">
        <f>SUMIFS(#REF!,#REF!,$B221,#REF!,BN$1)</f>
        <v>#REF!</v>
      </c>
      <c r="BO221" s="24" t="e">
        <f>SUMIFS(#REF!,#REF!,$B221,#REF!,BO$1)</f>
        <v>#REF!</v>
      </c>
      <c r="BP221" s="24" t="e">
        <f>SUMIFS(#REF!,#REF!,$B221,#REF!,BP$1)</f>
        <v>#REF!</v>
      </c>
      <c r="BQ221" s="24" t="e">
        <f>SUMIFS(#REF!,#REF!,$B221,#REF!,BQ$1)</f>
        <v>#REF!</v>
      </c>
      <c r="BR221" s="24" t="e">
        <f>SUMIFS(#REF!,#REF!,$B221,#REF!,BR$1)</f>
        <v>#REF!</v>
      </c>
      <c r="BS221" s="24" t="e">
        <f>SUMIFS(#REF!,#REF!,$B221,#REF!,BS$1)</f>
        <v>#REF!</v>
      </c>
      <c r="BT221" s="24" t="e">
        <f>SUMIFS(#REF!,#REF!,$B221,#REF!,BT$1)</f>
        <v>#REF!</v>
      </c>
      <c r="BU221" s="24" t="e">
        <f>SUMIFS(#REF!,#REF!,$B221,#REF!,BU$1)</f>
        <v>#REF!</v>
      </c>
      <c r="BV221" s="24" t="e">
        <f>SUMIFS(#REF!,#REF!,$B221,#REF!,BV$1)</f>
        <v>#REF!</v>
      </c>
      <c r="BW221" s="24" t="e">
        <f>SUMIFS(#REF!,#REF!,$B221,#REF!,BW$1)</f>
        <v>#REF!</v>
      </c>
      <c r="BX221" s="24" t="e">
        <f>SUMIFS(#REF!,#REF!,$B221,#REF!,BX$1)</f>
        <v>#REF!</v>
      </c>
      <c r="BY221" s="24" t="e">
        <f>SUMIFS(#REF!,#REF!,$B221,#REF!,BY$1)</f>
        <v>#REF!</v>
      </c>
      <c r="BZ221" s="24" t="e">
        <f>SUMIFS(#REF!,#REF!,$B221,#REF!,BZ$1)</f>
        <v>#REF!</v>
      </c>
      <c r="CA221" s="24" t="e">
        <f>SUMIFS(#REF!,#REF!,$B221,#REF!,CA$1)</f>
        <v>#REF!</v>
      </c>
      <c r="CB221" s="24" t="e">
        <f>SUMIFS(#REF!,#REF!,$B221,#REF!,CB$1)</f>
        <v>#REF!</v>
      </c>
      <c r="CC221" s="24" t="e">
        <f>SUMIFS(#REF!,#REF!,$B221,#REF!,CC$1)</f>
        <v>#REF!</v>
      </c>
      <c r="CD221" s="24" t="e">
        <f>SUMIFS(#REF!,#REF!,$B221,#REF!,CD$1)</f>
        <v>#REF!</v>
      </c>
      <c r="CE221" s="24" t="e">
        <f>SUMIFS(#REF!,#REF!,$B221,#REF!,CE$1)</f>
        <v>#REF!</v>
      </c>
      <c r="CF221" s="24" t="e">
        <f>SUMIFS(#REF!,#REF!,$B221,#REF!,CF$1)</f>
        <v>#REF!</v>
      </c>
      <c r="CG221" s="19" t="e">
        <f t="shared" si="3"/>
        <v>#REF!</v>
      </c>
    </row>
    <row r="222" spans="1:85" x14ac:dyDescent="0.45">
      <c r="A222" s="4" t="s">
        <v>1426</v>
      </c>
      <c r="B222" s="4" t="s">
        <v>1427</v>
      </c>
      <c r="C222" s="24" t="e">
        <f>SUMIFS(#REF!,#REF!,$B222,#REF!,C$1)</f>
        <v>#REF!</v>
      </c>
      <c r="D222" s="24" t="e">
        <f>SUMIFS(#REF!,#REF!,$B222,#REF!,D$1)</f>
        <v>#REF!</v>
      </c>
      <c r="E222" s="24" t="e">
        <f>SUMIFS(#REF!,#REF!,$B222,#REF!,E$1)</f>
        <v>#REF!</v>
      </c>
      <c r="F222" s="24" t="e">
        <f>SUMIFS(#REF!,#REF!,$B222,#REF!,F$1)</f>
        <v>#REF!</v>
      </c>
      <c r="G222" s="24" t="e">
        <f>SUMIFS(#REF!,#REF!,$B222,#REF!,G$1)</f>
        <v>#REF!</v>
      </c>
      <c r="H222" s="24" t="e">
        <f>SUMIFS(#REF!,#REF!,$B222,#REF!,H$1)</f>
        <v>#REF!</v>
      </c>
      <c r="I222" s="24" t="e">
        <f>SUMIFS(#REF!,#REF!,$B222,#REF!,I$1)</f>
        <v>#REF!</v>
      </c>
      <c r="J222" s="24" t="e">
        <f>SUMIFS(#REF!,#REF!,$B222,#REF!,J$1)</f>
        <v>#REF!</v>
      </c>
      <c r="K222" s="24" t="e">
        <f>SUMIFS(#REF!,#REF!,$B222,#REF!,K$1)</f>
        <v>#REF!</v>
      </c>
      <c r="L222" s="24" t="e">
        <f>SUMIFS(#REF!,#REF!,$B222,#REF!,L$1)</f>
        <v>#REF!</v>
      </c>
      <c r="M222" s="24" t="e">
        <f>SUMIFS(#REF!,#REF!,$B222,#REF!,M$1)</f>
        <v>#REF!</v>
      </c>
      <c r="N222" s="24" t="e">
        <f>SUMIFS(#REF!,#REF!,$B222,#REF!,N$1)</f>
        <v>#REF!</v>
      </c>
      <c r="O222" s="24" t="e">
        <f>SUMIFS(#REF!,#REF!,$B222,#REF!,O$1)</f>
        <v>#REF!</v>
      </c>
      <c r="P222" s="24" t="e">
        <f>SUMIFS(#REF!,#REF!,$B222,#REF!,P$1)</f>
        <v>#REF!</v>
      </c>
      <c r="Q222" s="24" t="e">
        <f>SUMIFS(#REF!,#REF!,$B222,#REF!,Q$1)</f>
        <v>#REF!</v>
      </c>
      <c r="R222" s="24" t="e">
        <f>SUMIFS(#REF!,#REF!,$B222,#REF!,R$1)</f>
        <v>#REF!</v>
      </c>
      <c r="S222" s="24" t="e">
        <f>SUMIFS(#REF!,#REF!,$B222,#REF!,S$1)</f>
        <v>#REF!</v>
      </c>
      <c r="T222" s="24" t="e">
        <f>SUMIFS(#REF!,#REF!,$B222,#REF!,T$1)</f>
        <v>#REF!</v>
      </c>
      <c r="U222" s="24" t="e">
        <f>SUMIFS(#REF!,#REF!,$B222,#REF!,U$1)</f>
        <v>#REF!</v>
      </c>
      <c r="V222" s="24" t="e">
        <f>SUMIFS(#REF!,#REF!,$B222,#REF!,V$1)</f>
        <v>#REF!</v>
      </c>
      <c r="W222" s="24" t="e">
        <f>SUMIFS(#REF!,#REF!,$B222,#REF!,W$1)</f>
        <v>#REF!</v>
      </c>
      <c r="X222" s="24" t="e">
        <f>SUMIFS(#REF!,#REF!,$B222,#REF!,X$1)</f>
        <v>#REF!</v>
      </c>
      <c r="Y222" s="24" t="e">
        <f>SUMIFS(#REF!,#REF!,$B222,#REF!,Y$1)</f>
        <v>#REF!</v>
      </c>
      <c r="Z222" s="24" t="e">
        <f>SUMIFS(#REF!,#REF!,$B222,#REF!,Z$1)</f>
        <v>#REF!</v>
      </c>
      <c r="AA222" s="24" t="e">
        <f>SUMIFS(#REF!,#REF!,$B222,#REF!,AA$1)</f>
        <v>#REF!</v>
      </c>
      <c r="AB222" s="24" t="e">
        <f>SUMIFS(#REF!,#REF!,$B222,#REF!,AB$1)</f>
        <v>#REF!</v>
      </c>
      <c r="AC222" s="24" t="e">
        <f>SUMIFS(#REF!,#REF!,$B222,#REF!,AC$1)</f>
        <v>#REF!</v>
      </c>
      <c r="AD222" s="24" t="e">
        <f>SUMIFS(#REF!,#REF!,$B222,#REF!,AD$1)</f>
        <v>#REF!</v>
      </c>
      <c r="AE222" s="24" t="e">
        <f>SUMIFS(#REF!,#REF!,$B222,#REF!,AE$1)</f>
        <v>#REF!</v>
      </c>
      <c r="AF222" s="24" t="e">
        <f>SUMIFS(#REF!,#REF!,$B222,#REF!,AF$1)</f>
        <v>#REF!</v>
      </c>
      <c r="AG222" s="24" t="e">
        <f>SUMIFS(#REF!,#REF!,$B222,#REF!,AG$1)</f>
        <v>#REF!</v>
      </c>
      <c r="AH222" s="24" t="e">
        <f>SUMIFS(#REF!,#REF!,$B222,#REF!,AH$1)</f>
        <v>#REF!</v>
      </c>
      <c r="AI222" s="24" t="e">
        <f>SUMIFS(#REF!,#REF!,$B222,#REF!,AI$1)</f>
        <v>#REF!</v>
      </c>
      <c r="AJ222" s="24" t="e">
        <f>SUMIFS(#REF!,#REF!,$B222,#REF!,AJ$1)</f>
        <v>#REF!</v>
      </c>
      <c r="AK222" s="24" t="e">
        <f>SUMIFS(#REF!,#REF!,$B222,#REF!,AK$1)</f>
        <v>#REF!</v>
      </c>
      <c r="AL222" s="24" t="e">
        <f>SUMIFS(#REF!,#REF!,$B222,#REF!,AL$1)</f>
        <v>#REF!</v>
      </c>
      <c r="AM222" s="24" t="e">
        <f>SUMIFS(#REF!,#REF!,$B222,#REF!,AM$1)</f>
        <v>#REF!</v>
      </c>
      <c r="AN222" s="24" t="e">
        <f>SUMIFS(#REF!,#REF!,$B222,#REF!,AN$1)</f>
        <v>#REF!</v>
      </c>
      <c r="AO222" s="24" t="e">
        <f>SUMIFS(#REF!,#REF!,$B222,#REF!,AO$1)</f>
        <v>#REF!</v>
      </c>
      <c r="AP222" s="24" t="e">
        <f>SUMIFS(#REF!,#REF!,$B222,#REF!,AP$1)</f>
        <v>#REF!</v>
      </c>
      <c r="AQ222" s="24" t="e">
        <f>SUMIFS(#REF!,#REF!,$B222,#REF!,AQ$1)</f>
        <v>#REF!</v>
      </c>
      <c r="AR222" s="24" t="e">
        <f>SUMIFS(#REF!,#REF!,$B222,#REF!,AR$1)</f>
        <v>#REF!</v>
      </c>
      <c r="AS222" s="24" t="e">
        <f>SUMIFS(#REF!,#REF!,$B222,#REF!,AS$1)</f>
        <v>#REF!</v>
      </c>
      <c r="AT222" s="24" t="e">
        <f>SUMIFS(#REF!,#REF!,$B222,#REF!,AT$1)</f>
        <v>#REF!</v>
      </c>
      <c r="AU222" s="24" t="e">
        <f>SUMIFS(#REF!,#REF!,$B222,#REF!,AU$1)</f>
        <v>#REF!</v>
      </c>
      <c r="AV222" s="24" t="e">
        <f>SUMIFS(#REF!,#REF!,$B222,#REF!,AV$1)</f>
        <v>#REF!</v>
      </c>
      <c r="AW222" s="24" t="e">
        <f>SUMIFS(#REF!,#REF!,$B222,#REF!,AW$1)</f>
        <v>#REF!</v>
      </c>
      <c r="AX222" s="24" t="e">
        <f>SUMIFS(#REF!,#REF!,$B222,#REF!,AX$1)</f>
        <v>#REF!</v>
      </c>
      <c r="AY222" s="24" t="e">
        <f>SUMIFS(#REF!,#REF!,$B222,#REF!,AY$1)</f>
        <v>#REF!</v>
      </c>
      <c r="AZ222" s="24" t="e">
        <f>SUMIFS(#REF!,#REF!,$B222,#REF!,AZ$1)</f>
        <v>#REF!</v>
      </c>
      <c r="BA222" s="24" t="e">
        <f>SUMIFS(#REF!,#REF!,$B222,#REF!,BA$1)</f>
        <v>#REF!</v>
      </c>
      <c r="BB222" s="24" t="e">
        <f>SUMIFS(#REF!,#REF!,$B222,#REF!,BB$1)</f>
        <v>#REF!</v>
      </c>
      <c r="BC222" s="24" t="e">
        <f>SUMIFS(#REF!,#REF!,$B222,#REF!,BC$1)</f>
        <v>#REF!</v>
      </c>
      <c r="BD222" s="24" t="e">
        <f>SUMIFS(#REF!,#REF!,$B222,#REF!,BD$1)</f>
        <v>#REF!</v>
      </c>
      <c r="BE222" s="24" t="e">
        <f>SUMIFS(#REF!,#REF!,$B222,#REF!,BE$1)</f>
        <v>#REF!</v>
      </c>
      <c r="BF222" s="24" t="e">
        <f>SUMIFS(#REF!,#REF!,$B222,#REF!,BF$1)</f>
        <v>#REF!</v>
      </c>
      <c r="BG222" s="24" t="e">
        <f>SUMIFS(#REF!,#REF!,$B222,#REF!,BG$1)</f>
        <v>#REF!</v>
      </c>
      <c r="BH222" s="24" t="e">
        <f>SUMIFS(#REF!,#REF!,$B222,#REF!,BH$1)</f>
        <v>#REF!</v>
      </c>
      <c r="BI222" s="24" t="e">
        <f>SUMIFS(#REF!,#REF!,$B222,#REF!,BI$1)</f>
        <v>#REF!</v>
      </c>
      <c r="BJ222" s="24" t="e">
        <f>SUMIFS(#REF!,#REF!,$B222,#REF!,BJ$1)</f>
        <v>#REF!</v>
      </c>
      <c r="BK222" s="24" t="e">
        <f>SUMIFS(#REF!,#REF!,$B222,#REF!,BK$1)</f>
        <v>#REF!</v>
      </c>
      <c r="BL222" s="24" t="e">
        <f>SUMIFS(#REF!,#REF!,$B222,#REF!,BL$1)</f>
        <v>#REF!</v>
      </c>
      <c r="BM222" s="24" t="e">
        <f>SUMIFS(#REF!,#REF!,$B222,#REF!,BM$1)</f>
        <v>#REF!</v>
      </c>
      <c r="BN222" s="24" t="e">
        <f>SUMIFS(#REF!,#REF!,$B222,#REF!,BN$1)</f>
        <v>#REF!</v>
      </c>
      <c r="BO222" s="24" t="e">
        <f>SUMIFS(#REF!,#REF!,$B222,#REF!,BO$1)</f>
        <v>#REF!</v>
      </c>
      <c r="BP222" s="24" t="e">
        <f>SUMIFS(#REF!,#REF!,$B222,#REF!,BP$1)</f>
        <v>#REF!</v>
      </c>
      <c r="BQ222" s="24" t="e">
        <f>SUMIFS(#REF!,#REF!,$B222,#REF!,BQ$1)</f>
        <v>#REF!</v>
      </c>
      <c r="BR222" s="24" t="e">
        <f>SUMIFS(#REF!,#REF!,$B222,#REF!,BR$1)</f>
        <v>#REF!</v>
      </c>
      <c r="BS222" s="24" t="e">
        <f>SUMIFS(#REF!,#REF!,$B222,#REF!,BS$1)</f>
        <v>#REF!</v>
      </c>
      <c r="BT222" s="24" t="e">
        <f>SUMIFS(#REF!,#REF!,$B222,#REF!,BT$1)</f>
        <v>#REF!</v>
      </c>
      <c r="BU222" s="24" t="e">
        <f>SUMIFS(#REF!,#REF!,$B222,#REF!,BU$1)</f>
        <v>#REF!</v>
      </c>
      <c r="BV222" s="24" t="e">
        <f>SUMIFS(#REF!,#REF!,$B222,#REF!,BV$1)</f>
        <v>#REF!</v>
      </c>
      <c r="BW222" s="24" t="e">
        <f>SUMIFS(#REF!,#REF!,$B222,#REF!,BW$1)</f>
        <v>#REF!</v>
      </c>
      <c r="BX222" s="24" t="e">
        <f>SUMIFS(#REF!,#REF!,$B222,#REF!,BX$1)</f>
        <v>#REF!</v>
      </c>
      <c r="BY222" s="24" t="e">
        <f>SUMIFS(#REF!,#REF!,$B222,#REF!,BY$1)</f>
        <v>#REF!</v>
      </c>
      <c r="BZ222" s="24" t="e">
        <f>SUMIFS(#REF!,#REF!,$B222,#REF!,BZ$1)</f>
        <v>#REF!</v>
      </c>
      <c r="CA222" s="24" t="e">
        <f>SUMIFS(#REF!,#REF!,$B222,#REF!,CA$1)</f>
        <v>#REF!</v>
      </c>
      <c r="CB222" s="24" t="e">
        <f>SUMIFS(#REF!,#REF!,$B222,#REF!,CB$1)</f>
        <v>#REF!</v>
      </c>
      <c r="CC222" s="24" t="e">
        <f>SUMIFS(#REF!,#REF!,$B222,#REF!,CC$1)</f>
        <v>#REF!</v>
      </c>
      <c r="CD222" s="24" t="e">
        <f>SUMIFS(#REF!,#REF!,$B222,#REF!,CD$1)</f>
        <v>#REF!</v>
      </c>
      <c r="CE222" s="24" t="e">
        <f>SUMIFS(#REF!,#REF!,$B222,#REF!,CE$1)</f>
        <v>#REF!</v>
      </c>
      <c r="CF222" s="24" t="e">
        <f>SUMIFS(#REF!,#REF!,$B222,#REF!,CF$1)</f>
        <v>#REF!</v>
      </c>
      <c r="CG222" s="19" t="e">
        <f t="shared" si="3"/>
        <v>#REF!</v>
      </c>
    </row>
    <row r="223" spans="1:85" x14ac:dyDescent="0.45">
      <c r="A223" s="4" t="s">
        <v>1428</v>
      </c>
      <c r="B223" s="4" t="s">
        <v>1429</v>
      </c>
      <c r="C223" s="24" t="e">
        <f>SUMIFS(#REF!,#REF!,$B223,#REF!,C$1)</f>
        <v>#REF!</v>
      </c>
      <c r="D223" s="24" t="e">
        <f>SUMIFS(#REF!,#REF!,$B223,#REF!,D$1)</f>
        <v>#REF!</v>
      </c>
      <c r="E223" s="24" t="e">
        <f>SUMIFS(#REF!,#REF!,$B223,#REF!,E$1)</f>
        <v>#REF!</v>
      </c>
      <c r="F223" s="24" t="e">
        <f>SUMIFS(#REF!,#REF!,$B223,#REF!,F$1)</f>
        <v>#REF!</v>
      </c>
      <c r="G223" s="24" t="e">
        <f>SUMIFS(#REF!,#REF!,$B223,#REF!,G$1)</f>
        <v>#REF!</v>
      </c>
      <c r="H223" s="24" t="e">
        <f>SUMIFS(#REF!,#REF!,$B223,#REF!,H$1)</f>
        <v>#REF!</v>
      </c>
      <c r="I223" s="24" t="e">
        <f>SUMIFS(#REF!,#REF!,$B223,#REF!,I$1)</f>
        <v>#REF!</v>
      </c>
      <c r="J223" s="24" t="e">
        <f>SUMIFS(#REF!,#REF!,$B223,#REF!,J$1)</f>
        <v>#REF!</v>
      </c>
      <c r="K223" s="24" t="e">
        <f>SUMIFS(#REF!,#REF!,$B223,#REF!,K$1)</f>
        <v>#REF!</v>
      </c>
      <c r="L223" s="24" t="e">
        <f>SUMIFS(#REF!,#REF!,$B223,#REF!,L$1)</f>
        <v>#REF!</v>
      </c>
      <c r="M223" s="24" t="e">
        <f>SUMIFS(#REF!,#REF!,$B223,#REF!,M$1)</f>
        <v>#REF!</v>
      </c>
      <c r="N223" s="24" t="e">
        <f>SUMIFS(#REF!,#REF!,$B223,#REF!,N$1)</f>
        <v>#REF!</v>
      </c>
      <c r="O223" s="24" t="e">
        <f>SUMIFS(#REF!,#REF!,$B223,#REF!,O$1)</f>
        <v>#REF!</v>
      </c>
      <c r="P223" s="24" t="e">
        <f>SUMIFS(#REF!,#REF!,$B223,#REF!,P$1)</f>
        <v>#REF!</v>
      </c>
      <c r="Q223" s="24" t="e">
        <f>SUMIFS(#REF!,#REF!,$B223,#REF!,Q$1)</f>
        <v>#REF!</v>
      </c>
      <c r="R223" s="24" t="e">
        <f>SUMIFS(#REF!,#REF!,$B223,#REF!,R$1)</f>
        <v>#REF!</v>
      </c>
      <c r="S223" s="24" t="e">
        <f>SUMIFS(#REF!,#REF!,$B223,#REF!,S$1)</f>
        <v>#REF!</v>
      </c>
      <c r="T223" s="24" t="e">
        <f>SUMIFS(#REF!,#REF!,$B223,#REF!,T$1)</f>
        <v>#REF!</v>
      </c>
      <c r="U223" s="24" t="e">
        <f>SUMIFS(#REF!,#REF!,$B223,#REF!,U$1)</f>
        <v>#REF!</v>
      </c>
      <c r="V223" s="24" t="e">
        <f>SUMIFS(#REF!,#REF!,$B223,#REF!,V$1)</f>
        <v>#REF!</v>
      </c>
      <c r="W223" s="24" t="e">
        <f>SUMIFS(#REF!,#REF!,$B223,#REF!,W$1)</f>
        <v>#REF!</v>
      </c>
      <c r="X223" s="24" t="e">
        <f>SUMIFS(#REF!,#REF!,$B223,#REF!,X$1)</f>
        <v>#REF!</v>
      </c>
      <c r="Y223" s="24" t="e">
        <f>SUMIFS(#REF!,#REF!,$B223,#REF!,Y$1)</f>
        <v>#REF!</v>
      </c>
      <c r="Z223" s="24" t="e">
        <f>SUMIFS(#REF!,#REF!,$B223,#REF!,Z$1)</f>
        <v>#REF!</v>
      </c>
      <c r="AA223" s="24" t="e">
        <f>SUMIFS(#REF!,#REF!,$B223,#REF!,AA$1)</f>
        <v>#REF!</v>
      </c>
      <c r="AB223" s="24" t="e">
        <f>SUMIFS(#REF!,#REF!,$B223,#REF!,AB$1)</f>
        <v>#REF!</v>
      </c>
      <c r="AC223" s="24" t="e">
        <f>SUMIFS(#REF!,#REF!,$B223,#REF!,AC$1)</f>
        <v>#REF!</v>
      </c>
      <c r="AD223" s="24" t="e">
        <f>SUMIFS(#REF!,#REF!,$B223,#REF!,AD$1)</f>
        <v>#REF!</v>
      </c>
      <c r="AE223" s="24" t="e">
        <f>SUMIFS(#REF!,#REF!,$B223,#REF!,AE$1)</f>
        <v>#REF!</v>
      </c>
      <c r="AF223" s="24" t="e">
        <f>SUMIFS(#REF!,#REF!,$B223,#REF!,AF$1)</f>
        <v>#REF!</v>
      </c>
      <c r="AG223" s="24" t="e">
        <f>SUMIFS(#REF!,#REF!,$B223,#REF!,AG$1)</f>
        <v>#REF!</v>
      </c>
      <c r="AH223" s="24" t="e">
        <f>SUMIFS(#REF!,#REF!,$B223,#REF!,AH$1)</f>
        <v>#REF!</v>
      </c>
      <c r="AI223" s="24" t="e">
        <f>SUMIFS(#REF!,#REF!,$B223,#REF!,AI$1)</f>
        <v>#REF!</v>
      </c>
      <c r="AJ223" s="24" t="e">
        <f>SUMIFS(#REF!,#REF!,$B223,#REF!,AJ$1)</f>
        <v>#REF!</v>
      </c>
      <c r="AK223" s="24" t="e">
        <f>SUMIFS(#REF!,#REF!,$B223,#REF!,AK$1)</f>
        <v>#REF!</v>
      </c>
      <c r="AL223" s="24" t="e">
        <f>SUMIFS(#REF!,#REF!,$B223,#REF!,AL$1)</f>
        <v>#REF!</v>
      </c>
      <c r="AM223" s="24" t="e">
        <f>SUMIFS(#REF!,#REF!,$B223,#REF!,AM$1)</f>
        <v>#REF!</v>
      </c>
      <c r="AN223" s="24" t="e">
        <f>SUMIFS(#REF!,#REF!,$B223,#REF!,AN$1)</f>
        <v>#REF!</v>
      </c>
      <c r="AO223" s="24" t="e">
        <f>SUMIFS(#REF!,#REF!,$B223,#REF!,AO$1)</f>
        <v>#REF!</v>
      </c>
      <c r="AP223" s="24" t="e">
        <f>SUMIFS(#REF!,#REF!,$B223,#REF!,AP$1)</f>
        <v>#REF!</v>
      </c>
      <c r="AQ223" s="24" t="e">
        <f>SUMIFS(#REF!,#REF!,$B223,#REF!,AQ$1)</f>
        <v>#REF!</v>
      </c>
      <c r="AR223" s="24" t="e">
        <f>SUMIFS(#REF!,#REF!,$B223,#REF!,AR$1)</f>
        <v>#REF!</v>
      </c>
      <c r="AS223" s="24" t="e">
        <f>SUMIFS(#REF!,#REF!,$B223,#REF!,AS$1)</f>
        <v>#REF!</v>
      </c>
      <c r="AT223" s="24" t="e">
        <f>SUMIFS(#REF!,#REF!,$B223,#REF!,AT$1)</f>
        <v>#REF!</v>
      </c>
      <c r="AU223" s="24" t="e">
        <f>SUMIFS(#REF!,#REF!,$B223,#REF!,AU$1)</f>
        <v>#REF!</v>
      </c>
      <c r="AV223" s="24" t="e">
        <f>SUMIFS(#REF!,#REF!,$B223,#REF!,AV$1)</f>
        <v>#REF!</v>
      </c>
      <c r="AW223" s="24" t="e">
        <f>SUMIFS(#REF!,#REF!,$B223,#REF!,AW$1)</f>
        <v>#REF!</v>
      </c>
      <c r="AX223" s="24" t="e">
        <f>SUMIFS(#REF!,#REF!,$B223,#REF!,AX$1)</f>
        <v>#REF!</v>
      </c>
      <c r="AY223" s="24" t="e">
        <f>SUMIFS(#REF!,#REF!,$B223,#REF!,AY$1)</f>
        <v>#REF!</v>
      </c>
      <c r="AZ223" s="24" t="e">
        <f>SUMIFS(#REF!,#REF!,$B223,#REF!,AZ$1)</f>
        <v>#REF!</v>
      </c>
      <c r="BA223" s="24" t="e">
        <f>SUMIFS(#REF!,#REF!,$B223,#REF!,BA$1)</f>
        <v>#REF!</v>
      </c>
      <c r="BB223" s="24" t="e">
        <f>SUMIFS(#REF!,#REF!,$B223,#REF!,BB$1)</f>
        <v>#REF!</v>
      </c>
      <c r="BC223" s="24" t="e">
        <f>SUMIFS(#REF!,#REF!,$B223,#REF!,BC$1)</f>
        <v>#REF!</v>
      </c>
      <c r="BD223" s="24" t="e">
        <f>SUMIFS(#REF!,#REF!,$B223,#REF!,BD$1)</f>
        <v>#REF!</v>
      </c>
      <c r="BE223" s="24" t="e">
        <f>SUMIFS(#REF!,#REF!,$B223,#REF!,BE$1)</f>
        <v>#REF!</v>
      </c>
      <c r="BF223" s="24" t="e">
        <f>SUMIFS(#REF!,#REF!,$B223,#REF!,BF$1)</f>
        <v>#REF!</v>
      </c>
      <c r="BG223" s="24" t="e">
        <f>SUMIFS(#REF!,#REF!,$B223,#REF!,BG$1)</f>
        <v>#REF!</v>
      </c>
      <c r="BH223" s="24" t="e">
        <f>SUMIFS(#REF!,#REF!,$B223,#REF!,BH$1)</f>
        <v>#REF!</v>
      </c>
      <c r="BI223" s="24" t="e">
        <f>SUMIFS(#REF!,#REF!,$B223,#REF!,BI$1)</f>
        <v>#REF!</v>
      </c>
      <c r="BJ223" s="24" t="e">
        <f>SUMIFS(#REF!,#REF!,$B223,#REF!,BJ$1)</f>
        <v>#REF!</v>
      </c>
      <c r="BK223" s="24" t="e">
        <f>SUMIFS(#REF!,#REF!,$B223,#REF!,BK$1)</f>
        <v>#REF!</v>
      </c>
      <c r="BL223" s="24" t="e">
        <f>SUMIFS(#REF!,#REF!,$B223,#REF!,BL$1)</f>
        <v>#REF!</v>
      </c>
      <c r="BM223" s="24" t="e">
        <f>SUMIFS(#REF!,#REF!,$B223,#REF!,BM$1)</f>
        <v>#REF!</v>
      </c>
      <c r="BN223" s="24" t="e">
        <f>SUMIFS(#REF!,#REF!,$B223,#REF!,BN$1)</f>
        <v>#REF!</v>
      </c>
      <c r="BO223" s="24" t="e">
        <f>SUMIFS(#REF!,#REF!,$B223,#REF!,BO$1)</f>
        <v>#REF!</v>
      </c>
      <c r="BP223" s="24" t="e">
        <f>SUMIFS(#REF!,#REF!,$B223,#REF!,BP$1)</f>
        <v>#REF!</v>
      </c>
      <c r="BQ223" s="24" t="e">
        <f>SUMIFS(#REF!,#REF!,$B223,#REF!,BQ$1)</f>
        <v>#REF!</v>
      </c>
      <c r="BR223" s="24" t="e">
        <f>SUMIFS(#REF!,#REF!,$B223,#REF!,BR$1)</f>
        <v>#REF!</v>
      </c>
      <c r="BS223" s="24" t="e">
        <f>SUMIFS(#REF!,#REF!,$B223,#REF!,BS$1)</f>
        <v>#REF!</v>
      </c>
      <c r="BT223" s="24" t="e">
        <f>SUMIFS(#REF!,#REF!,$B223,#REF!,BT$1)</f>
        <v>#REF!</v>
      </c>
      <c r="BU223" s="24" t="e">
        <f>SUMIFS(#REF!,#REF!,$B223,#REF!,BU$1)</f>
        <v>#REF!</v>
      </c>
      <c r="BV223" s="24" t="e">
        <f>SUMIFS(#REF!,#REF!,$B223,#REF!,BV$1)</f>
        <v>#REF!</v>
      </c>
      <c r="BW223" s="24" t="e">
        <f>SUMIFS(#REF!,#REF!,$B223,#REF!,BW$1)</f>
        <v>#REF!</v>
      </c>
      <c r="BX223" s="24" t="e">
        <f>SUMIFS(#REF!,#REF!,$B223,#REF!,BX$1)</f>
        <v>#REF!</v>
      </c>
      <c r="BY223" s="24" t="e">
        <f>SUMIFS(#REF!,#REF!,$B223,#REF!,BY$1)</f>
        <v>#REF!</v>
      </c>
      <c r="BZ223" s="24" t="e">
        <f>SUMIFS(#REF!,#REF!,$B223,#REF!,BZ$1)</f>
        <v>#REF!</v>
      </c>
      <c r="CA223" s="24" t="e">
        <f>SUMIFS(#REF!,#REF!,$B223,#REF!,CA$1)</f>
        <v>#REF!</v>
      </c>
      <c r="CB223" s="24" t="e">
        <f>SUMIFS(#REF!,#REF!,$B223,#REF!,CB$1)</f>
        <v>#REF!</v>
      </c>
      <c r="CC223" s="24" t="e">
        <f>SUMIFS(#REF!,#REF!,$B223,#REF!,CC$1)</f>
        <v>#REF!</v>
      </c>
      <c r="CD223" s="24" t="e">
        <f>SUMIFS(#REF!,#REF!,$B223,#REF!,CD$1)</f>
        <v>#REF!</v>
      </c>
      <c r="CE223" s="24" t="e">
        <f>SUMIFS(#REF!,#REF!,$B223,#REF!,CE$1)</f>
        <v>#REF!</v>
      </c>
      <c r="CF223" s="24" t="e">
        <f>SUMIFS(#REF!,#REF!,$B223,#REF!,CF$1)</f>
        <v>#REF!</v>
      </c>
      <c r="CG223" s="19" t="e">
        <f t="shared" si="3"/>
        <v>#REF!</v>
      </c>
    </row>
    <row r="224" spans="1:85" x14ac:dyDescent="0.45">
      <c r="A224" s="4" t="s">
        <v>1430</v>
      </c>
      <c r="B224" s="4" t="s">
        <v>1431</v>
      </c>
      <c r="C224" s="24" t="e">
        <f>SUMIFS(#REF!,#REF!,$B224,#REF!,C$1)</f>
        <v>#REF!</v>
      </c>
      <c r="D224" s="24" t="e">
        <f>SUMIFS(#REF!,#REF!,$B224,#REF!,D$1)</f>
        <v>#REF!</v>
      </c>
      <c r="E224" s="24" t="e">
        <f>SUMIFS(#REF!,#REF!,$B224,#REF!,E$1)</f>
        <v>#REF!</v>
      </c>
      <c r="F224" s="24" t="e">
        <f>SUMIFS(#REF!,#REF!,$B224,#REF!,F$1)</f>
        <v>#REF!</v>
      </c>
      <c r="G224" s="24" t="e">
        <f>SUMIFS(#REF!,#REF!,$B224,#REF!,G$1)</f>
        <v>#REF!</v>
      </c>
      <c r="H224" s="24" t="e">
        <f>SUMIFS(#REF!,#REF!,$B224,#REF!,H$1)</f>
        <v>#REF!</v>
      </c>
      <c r="I224" s="24" t="e">
        <f>SUMIFS(#REF!,#REF!,$B224,#REF!,I$1)</f>
        <v>#REF!</v>
      </c>
      <c r="J224" s="24" t="e">
        <f>SUMIFS(#REF!,#REF!,$B224,#REF!,J$1)</f>
        <v>#REF!</v>
      </c>
      <c r="K224" s="24" t="e">
        <f>SUMIFS(#REF!,#REF!,$B224,#REF!,K$1)</f>
        <v>#REF!</v>
      </c>
      <c r="L224" s="24" t="e">
        <f>SUMIFS(#REF!,#REF!,$B224,#REF!,L$1)</f>
        <v>#REF!</v>
      </c>
      <c r="M224" s="24" t="e">
        <f>SUMIFS(#REF!,#REF!,$B224,#REF!,M$1)</f>
        <v>#REF!</v>
      </c>
      <c r="N224" s="24" t="e">
        <f>SUMIFS(#REF!,#REF!,$B224,#REF!,N$1)</f>
        <v>#REF!</v>
      </c>
      <c r="O224" s="24" t="e">
        <f>SUMIFS(#REF!,#REF!,$B224,#REF!,O$1)</f>
        <v>#REF!</v>
      </c>
      <c r="P224" s="24" t="e">
        <f>SUMIFS(#REF!,#REF!,$B224,#REF!,P$1)</f>
        <v>#REF!</v>
      </c>
      <c r="Q224" s="24" t="e">
        <f>SUMIFS(#REF!,#REF!,$B224,#REF!,Q$1)</f>
        <v>#REF!</v>
      </c>
      <c r="R224" s="24" t="e">
        <f>SUMIFS(#REF!,#REF!,$B224,#REF!,R$1)</f>
        <v>#REF!</v>
      </c>
      <c r="S224" s="24" t="e">
        <f>SUMIFS(#REF!,#REF!,$B224,#REF!,S$1)</f>
        <v>#REF!</v>
      </c>
      <c r="T224" s="24" t="e">
        <f>SUMIFS(#REF!,#REF!,$B224,#REF!,T$1)</f>
        <v>#REF!</v>
      </c>
      <c r="U224" s="24" t="e">
        <f>SUMIFS(#REF!,#REF!,$B224,#REF!,U$1)</f>
        <v>#REF!</v>
      </c>
      <c r="V224" s="24" t="e">
        <f>SUMIFS(#REF!,#REF!,$B224,#REF!,V$1)</f>
        <v>#REF!</v>
      </c>
      <c r="W224" s="24" t="e">
        <f>SUMIFS(#REF!,#REF!,$B224,#REF!,W$1)</f>
        <v>#REF!</v>
      </c>
      <c r="X224" s="24" t="e">
        <f>SUMIFS(#REF!,#REF!,$B224,#REF!,X$1)</f>
        <v>#REF!</v>
      </c>
      <c r="Y224" s="24" t="e">
        <f>SUMIFS(#REF!,#REF!,$B224,#REF!,Y$1)</f>
        <v>#REF!</v>
      </c>
      <c r="Z224" s="24" t="e">
        <f>SUMIFS(#REF!,#REF!,$B224,#REF!,Z$1)</f>
        <v>#REF!</v>
      </c>
      <c r="AA224" s="24" t="e">
        <f>SUMIFS(#REF!,#REF!,$B224,#REF!,AA$1)</f>
        <v>#REF!</v>
      </c>
      <c r="AB224" s="24" t="e">
        <f>SUMIFS(#REF!,#REF!,$B224,#REF!,AB$1)</f>
        <v>#REF!</v>
      </c>
      <c r="AC224" s="24" t="e">
        <f>SUMIFS(#REF!,#REF!,$B224,#REF!,AC$1)</f>
        <v>#REF!</v>
      </c>
      <c r="AD224" s="24" t="e">
        <f>SUMIFS(#REF!,#REF!,$B224,#REF!,AD$1)</f>
        <v>#REF!</v>
      </c>
      <c r="AE224" s="24" t="e">
        <f>SUMIFS(#REF!,#REF!,$B224,#REF!,AE$1)</f>
        <v>#REF!</v>
      </c>
      <c r="AF224" s="24" t="e">
        <f>SUMIFS(#REF!,#REF!,$B224,#REF!,AF$1)</f>
        <v>#REF!</v>
      </c>
      <c r="AG224" s="24" t="e">
        <f>SUMIFS(#REF!,#REF!,$B224,#REF!,AG$1)</f>
        <v>#REF!</v>
      </c>
      <c r="AH224" s="24" t="e">
        <f>SUMIFS(#REF!,#REF!,$B224,#REF!,AH$1)</f>
        <v>#REF!</v>
      </c>
      <c r="AI224" s="24" t="e">
        <f>SUMIFS(#REF!,#REF!,$B224,#REF!,AI$1)</f>
        <v>#REF!</v>
      </c>
      <c r="AJ224" s="24" t="e">
        <f>SUMIFS(#REF!,#REF!,$B224,#REF!,AJ$1)</f>
        <v>#REF!</v>
      </c>
      <c r="AK224" s="24" t="e">
        <f>SUMIFS(#REF!,#REF!,$B224,#REF!,AK$1)</f>
        <v>#REF!</v>
      </c>
      <c r="AL224" s="24" t="e">
        <f>SUMIFS(#REF!,#REF!,$B224,#REF!,AL$1)</f>
        <v>#REF!</v>
      </c>
      <c r="AM224" s="24" t="e">
        <f>SUMIFS(#REF!,#REF!,$B224,#REF!,AM$1)</f>
        <v>#REF!</v>
      </c>
      <c r="AN224" s="24" t="e">
        <f>SUMIFS(#REF!,#REF!,$B224,#REF!,AN$1)</f>
        <v>#REF!</v>
      </c>
      <c r="AO224" s="24" t="e">
        <f>SUMIFS(#REF!,#REF!,$B224,#REF!,AO$1)</f>
        <v>#REF!</v>
      </c>
      <c r="AP224" s="24" t="e">
        <f>SUMIFS(#REF!,#REF!,$B224,#REF!,AP$1)</f>
        <v>#REF!</v>
      </c>
      <c r="AQ224" s="24" t="e">
        <f>SUMIFS(#REF!,#REF!,$B224,#REF!,AQ$1)</f>
        <v>#REF!</v>
      </c>
      <c r="AR224" s="24" t="e">
        <f>SUMIFS(#REF!,#REF!,$B224,#REF!,AR$1)</f>
        <v>#REF!</v>
      </c>
      <c r="AS224" s="24" t="e">
        <f>SUMIFS(#REF!,#REF!,$B224,#REF!,AS$1)</f>
        <v>#REF!</v>
      </c>
      <c r="AT224" s="24" t="e">
        <f>SUMIFS(#REF!,#REF!,$B224,#REF!,AT$1)</f>
        <v>#REF!</v>
      </c>
      <c r="AU224" s="24" t="e">
        <f>SUMIFS(#REF!,#REF!,$B224,#REF!,AU$1)</f>
        <v>#REF!</v>
      </c>
      <c r="AV224" s="24" t="e">
        <f>SUMIFS(#REF!,#REF!,$B224,#REF!,AV$1)</f>
        <v>#REF!</v>
      </c>
      <c r="AW224" s="24" t="e">
        <f>SUMIFS(#REF!,#REF!,$B224,#REF!,AW$1)</f>
        <v>#REF!</v>
      </c>
      <c r="AX224" s="24" t="e">
        <f>SUMIFS(#REF!,#REF!,$B224,#REF!,AX$1)</f>
        <v>#REF!</v>
      </c>
      <c r="AY224" s="24" t="e">
        <f>SUMIFS(#REF!,#REF!,$B224,#REF!,AY$1)</f>
        <v>#REF!</v>
      </c>
      <c r="AZ224" s="24" t="e">
        <f>SUMIFS(#REF!,#REF!,$B224,#REF!,AZ$1)</f>
        <v>#REF!</v>
      </c>
      <c r="BA224" s="24" t="e">
        <f>SUMIFS(#REF!,#REF!,$B224,#REF!,BA$1)</f>
        <v>#REF!</v>
      </c>
      <c r="BB224" s="24" t="e">
        <f>SUMIFS(#REF!,#REF!,$B224,#REF!,BB$1)</f>
        <v>#REF!</v>
      </c>
      <c r="BC224" s="24" t="e">
        <f>SUMIFS(#REF!,#REF!,$B224,#REF!,BC$1)</f>
        <v>#REF!</v>
      </c>
      <c r="BD224" s="24" t="e">
        <f>SUMIFS(#REF!,#REF!,$B224,#REF!,BD$1)</f>
        <v>#REF!</v>
      </c>
      <c r="BE224" s="24" t="e">
        <f>SUMIFS(#REF!,#REF!,$B224,#REF!,BE$1)</f>
        <v>#REF!</v>
      </c>
      <c r="BF224" s="24" t="e">
        <f>SUMIFS(#REF!,#REF!,$B224,#REF!,BF$1)</f>
        <v>#REF!</v>
      </c>
      <c r="BG224" s="24" t="e">
        <f>SUMIFS(#REF!,#REF!,$B224,#REF!,BG$1)</f>
        <v>#REF!</v>
      </c>
      <c r="BH224" s="24" t="e">
        <f>SUMIFS(#REF!,#REF!,$B224,#REF!,BH$1)</f>
        <v>#REF!</v>
      </c>
      <c r="BI224" s="24" t="e">
        <f>SUMIFS(#REF!,#REF!,$B224,#REF!,BI$1)</f>
        <v>#REF!</v>
      </c>
      <c r="BJ224" s="24" t="e">
        <f>SUMIFS(#REF!,#REF!,$B224,#REF!,BJ$1)</f>
        <v>#REF!</v>
      </c>
      <c r="BK224" s="24" t="e">
        <f>SUMIFS(#REF!,#REF!,$B224,#REF!,BK$1)</f>
        <v>#REF!</v>
      </c>
      <c r="BL224" s="24" t="e">
        <f>SUMIFS(#REF!,#REF!,$B224,#REF!,BL$1)</f>
        <v>#REF!</v>
      </c>
      <c r="BM224" s="24" t="e">
        <f>SUMIFS(#REF!,#REF!,$B224,#REF!,BM$1)</f>
        <v>#REF!</v>
      </c>
      <c r="BN224" s="24" t="e">
        <f>SUMIFS(#REF!,#REF!,$B224,#REF!,BN$1)</f>
        <v>#REF!</v>
      </c>
      <c r="BO224" s="24" t="e">
        <f>SUMIFS(#REF!,#REF!,$B224,#REF!,BO$1)</f>
        <v>#REF!</v>
      </c>
      <c r="BP224" s="24" t="e">
        <f>SUMIFS(#REF!,#REF!,$B224,#REF!,BP$1)</f>
        <v>#REF!</v>
      </c>
      <c r="BQ224" s="24" t="e">
        <f>SUMIFS(#REF!,#REF!,$B224,#REF!,BQ$1)</f>
        <v>#REF!</v>
      </c>
      <c r="BR224" s="24" t="e">
        <f>SUMIFS(#REF!,#REF!,$B224,#REF!,BR$1)</f>
        <v>#REF!</v>
      </c>
      <c r="BS224" s="24" t="e">
        <f>SUMIFS(#REF!,#REF!,$B224,#REF!,BS$1)</f>
        <v>#REF!</v>
      </c>
      <c r="BT224" s="24" t="e">
        <f>SUMIFS(#REF!,#REF!,$B224,#REF!,BT$1)</f>
        <v>#REF!</v>
      </c>
      <c r="BU224" s="24" t="e">
        <f>SUMIFS(#REF!,#REF!,$B224,#REF!,BU$1)</f>
        <v>#REF!</v>
      </c>
      <c r="BV224" s="24" t="e">
        <f>SUMIFS(#REF!,#REF!,$B224,#REF!,BV$1)</f>
        <v>#REF!</v>
      </c>
      <c r="BW224" s="24" t="e">
        <f>SUMIFS(#REF!,#REF!,$B224,#REF!,BW$1)</f>
        <v>#REF!</v>
      </c>
      <c r="BX224" s="24" t="e">
        <f>SUMIFS(#REF!,#REF!,$B224,#REF!,BX$1)</f>
        <v>#REF!</v>
      </c>
      <c r="BY224" s="24" t="e">
        <f>SUMIFS(#REF!,#REF!,$B224,#REF!,BY$1)</f>
        <v>#REF!</v>
      </c>
      <c r="BZ224" s="24" t="e">
        <f>SUMIFS(#REF!,#REF!,$B224,#REF!,BZ$1)</f>
        <v>#REF!</v>
      </c>
      <c r="CA224" s="24" t="e">
        <f>SUMIFS(#REF!,#REF!,$B224,#REF!,CA$1)</f>
        <v>#REF!</v>
      </c>
      <c r="CB224" s="24" t="e">
        <f>SUMIFS(#REF!,#REF!,$B224,#REF!,CB$1)</f>
        <v>#REF!</v>
      </c>
      <c r="CC224" s="24" t="e">
        <f>SUMIFS(#REF!,#REF!,$B224,#REF!,CC$1)</f>
        <v>#REF!</v>
      </c>
      <c r="CD224" s="24" t="e">
        <f>SUMIFS(#REF!,#REF!,$B224,#REF!,CD$1)</f>
        <v>#REF!</v>
      </c>
      <c r="CE224" s="24" t="e">
        <f>SUMIFS(#REF!,#REF!,$B224,#REF!,CE$1)</f>
        <v>#REF!</v>
      </c>
      <c r="CF224" s="24" t="e">
        <f>SUMIFS(#REF!,#REF!,$B224,#REF!,CF$1)</f>
        <v>#REF!</v>
      </c>
      <c r="CG224" s="19" t="e">
        <f t="shared" si="3"/>
        <v>#REF!</v>
      </c>
    </row>
    <row r="225" spans="1:85" x14ac:dyDescent="0.45">
      <c r="A225" s="4" t="s">
        <v>1432</v>
      </c>
      <c r="B225" s="4" t="s">
        <v>1433</v>
      </c>
      <c r="C225" s="24" t="e">
        <f>SUMIFS(#REF!,#REF!,$B225,#REF!,C$1)</f>
        <v>#REF!</v>
      </c>
      <c r="D225" s="24" t="e">
        <f>SUMIFS(#REF!,#REF!,$B225,#REF!,D$1)</f>
        <v>#REF!</v>
      </c>
      <c r="E225" s="24" t="e">
        <f>SUMIFS(#REF!,#REF!,$B225,#REF!,E$1)</f>
        <v>#REF!</v>
      </c>
      <c r="F225" s="24" t="e">
        <f>SUMIFS(#REF!,#REF!,$B225,#REF!,F$1)</f>
        <v>#REF!</v>
      </c>
      <c r="G225" s="24" t="e">
        <f>SUMIFS(#REF!,#REF!,$B225,#REF!,G$1)</f>
        <v>#REF!</v>
      </c>
      <c r="H225" s="24" t="e">
        <f>SUMIFS(#REF!,#REF!,$B225,#REF!,H$1)</f>
        <v>#REF!</v>
      </c>
      <c r="I225" s="24" t="e">
        <f>SUMIFS(#REF!,#REF!,$B225,#REF!,I$1)</f>
        <v>#REF!</v>
      </c>
      <c r="J225" s="24" t="e">
        <f>SUMIFS(#REF!,#REF!,$B225,#REF!,J$1)</f>
        <v>#REF!</v>
      </c>
      <c r="K225" s="24" t="e">
        <f>SUMIFS(#REF!,#REF!,$B225,#REF!,K$1)</f>
        <v>#REF!</v>
      </c>
      <c r="L225" s="24" t="e">
        <f>SUMIFS(#REF!,#REF!,$B225,#REF!,L$1)</f>
        <v>#REF!</v>
      </c>
      <c r="M225" s="24" t="e">
        <f>SUMIFS(#REF!,#REF!,$B225,#REF!,M$1)</f>
        <v>#REF!</v>
      </c>
      <c r="N225" s="24" t="e">
        <f>SUMIFS(#REF!,#REF!,$B225,#REF!,N$1)</f>
        <v>#REF!</v>
      </c>
      <c r="O225" s="24" t="e">
        <f>SUMIFS(#REF!,#REF!,$B225,#REF!,O$1)</f>
        <v>#REF!</v>
      </c>
      <c r="P225" s="24" t="e">
        <f>SUMIFS(#REF!,#REF!,$B225,#REF!,P$1)</f>
        <v>#REF!</v>
      </c>
      <c r="Q225" s="24" t="e">
        <f>SUMIFS(#REF!,#REF!,$B225,#REF!,Q$1)</f>
        <v>#REF!</v>
      </c>
      <c r="R225" s="24" t="e">
        <f>SUMIFS(#REF!,#REF!,$B225,#REF!,R$1)</f>
        <v>#REF!</v>
      </c>
      <c r="S225" s="24" t="e">
        <f>SUMIFS(#REF!,#REF!,$B225,#REF!,S$1)</f>
        <v>#REF!</v>
      </c>
      <c r="T225" s="24" t="e">
        <f>SUMIFS(#REF!,#REF!,$B225,#REF!,T$1)</f>
        <v>#REF!</v>
      </c>
      <c r="U225" s="24" t="e">
        <f>SUMIFS(#REF!,#REF!,$B225,#REF!,U$1)</f>
        <v>#REF!</v>
      </c>
      <c r="V225" s="24" t="e">
        <f>SUMIFS(#REF!,#REF!,$B225,#REF!,V$1)</f>
        <v>#REF!</v>
      </c>
      <c r="W225" s="24" t="e">
        <f>SUMIFS(#REF!,#REF!,$B225,#REF!,W$1)</f>
        <v>#REF!</v>
      </c>
      <c r="X225" s="24" t="e">
        <f>SUMIFS(#REF!,#REF!,$B225,#REF!,X$1)</f>
        <v>#REF!</v>
      </c>
      <c r="Y225" s="24" t="e">
        <f>SUMIFS(#REF!,#REF!,$B225,#REF!,Y$1)</f>
        <v>#REF!</v>
      </c>
      <c r="Z225" s="24" t="e">
        <f>SUMIFS(#REF!,#REF!,$B225,#REF!,Z$1)</f>
        <v>#REF!</v>
      </c>
      <c r="AA225" s="24" t="e">
        <f>SUMIFS(#REF!,#REF!,$B225,#REF!,AA$1)</f>
        <v>#REF!</v>
      </c>
      <c r="AB225" s="24" t="e">
        <f>SUMIFS(#REF!,#REF!,$B225,#REF!,AB$1)</f>
        <v>#REF!</v>
      </c>
      <c r="AC225" s="24" t="e">
        <f>SUMIFS(#REF!,#REF!,$B225,#REF!,AC$1)</f>
        <v>#REF!</v>
      </c>
      <c r="AD225" s="24" t="e">
        <f>SUMIFS(#REF!,#REF!,$B225,#REF!,AD$1)</f>
        <v>#REF!</v>
      </c>
      <c r="AE225" s="24" t="e">
        <f>SUMIFS(#REF!,#REF!,$B225,#REF!,AE$1)</f>
        <v>#REF!</v>
      </c>
      <c r="AF225" s="24" t="e">
        <f>SUMIFS(#REF!,#REF!,$B225,#REF!,AF$1)</f>
        <v>#REF!</v>
      </c>
      <c r="AG225" s="24" t="e">
        <f>SUMIFS(#REF!,#REF!,$B225,#REF!,AG$1)</f>
        <v>#REF!</v>
      </c>
      <c r="AH225" s="24" t="e">
        <f>SUMIFS(#REF!,#REF!,$B225,#REF!,AH$1)</f>
        <v>#REF!</v>
      </c>
      <c r="AI225" s="24" t="e">
        <f>SUMIFS(#REF!,#REF!,$B225,#REF!,AI$1)</f>
        <v>#REF!</v>
      </c>
      <c r="AJ225" s="24" t="e">
        <f>SUMIFS(#REF!,#REF!,$B225,#REF!,AJ$1)</f>
        <v>#REF!</v>
      </c>
      <c r="AK225" s="24" t="e">
        <f>SUMIFS(#REF!,#REF!,$B225,#REF!,AK$1)</f>
        <v>#REF!</v>
      </c>
      <c r="AL225" s="24" t="e">
        <f>SUMIFS(#REF!,#REF!,$B225,#REF!,AL$1)</f>
        <v>#REF!</v>
      </c>
      <c r="AM225" s="24" t="e">
        <f>SUMIFS(#REF!,#REF!,$B225,#REF!,AM$1)</f>
        <v>#REF!</v>
      </c>
      <c r="AN225" s="24" t="e">
        <f>SUMIFS(#REF!,#REF!,$B225,#REF!,AN$1)</f>
        <v>#REF!</v>
      </c>
      <c r="AO225" s="24" t="e">
        <f>SUMIFS(#REF!,#REF!,$B225,#REF!,AO$1)</f>
        <v>#REF!</v>
      </c>
      <c r="AP225" s="24" t="e">
        <f>SUMIFS(#REF!,#REF!,$B225,#REF!,AP$1)</f>
        <v>#REF!</v>
      </c>
      <c r="AQ225" s="24" t="e">
        <f>SUMIFS(#REF!,#REF!,$B225,#REF!,AQ$1)</f>
        <v>#REF!</v>
      </c>
      <c r="AR225" s="24" t="e">
        <f>SUMIFS(#REF!,#REF!,$B225,#REF!,AR$1)</f>
        <v>#REF!</v>
      </c>
      <c r="AS225" s="24" t="e">
        <f>SUMIFS(#REF!,#REF!,$B225,#REF!,AS$1)</f>
        <v>#REF!</v>
      </c>
      <c r="AT225" s="24" t="e">
        <f>SUMIFS(#REF!,#REF!,$B225,#REF!,AT$1)</f>
        <v>#REF!</v>
      </c>
      <c r="AU225" s="24" t="e">
        <f>SUMIFS(#REF!,#REF!,$B225,#REF!,AU$1)</f>
        <v>#REF!</v>
      </c>
      <c r="AV225" s="24" t="e">
        <f>SUMIFS(#REF!,#REF!,$B225,#REF!,AV$1)</f>
        <v>#REF!</v>
      </c>
      <c r="AW225" s="24" t="e">
        <f>SUMIFS(#REF!,#REF!,$B225,#REF!,AW$1)</f>
        <v>#REF!</v>
      </c>
      <c r="AX225" s="24" t="e">
        <f>SUMIFS(#REF!,#REF!,$B225,#REF!,AX$1)</f>
        <v>#REF!</v>
      </c>
      <c r="AY225" s="24" t="e">
        <f>SUMIFS(#REF!,#REF!,$B225,#REF!,AY$1)</f>
        <v>#REF!</v>
      </c>
      <c r="AZ225" s="24" t="e">
        <f>SUMIFS(#REF!,#REF!,$B225,#REF!,AZ$1)</f>
        <v>#REF!</v>
      </c>
      <c r="BA225" s="24" t="e">
        <f>SUMIFS(#REF!,#REF!,$B225,#REF!,BA$1)</f>
        <v>#REF!</v>
      </c>
      <c r="BB225" s="24" t="e">
        <f>SUMIFS(#REF!,#REF!,$B225,#REF!,BB$1)</f>
        <v>#REF!</v>
      </c>
      <c r="BC225" s="24" t="e">
        <f>SUMIFS(#REF!,#REF!,$B225,#REF!,BC$1)</f>
        <v>#REF!</v>
      </c>
      <c r="BD225" s="24" t="e">
        <f>SUMIFS(#REF!,#REF!,$B225,#REF!,BD$1)</f>
        <v>#REF!</v>
      </c>
      <c r="BE225" s="24" t="e">
        <f>SUMIFS(#REF!,#REF!,$B225,#REF!,BE$1)</f>
        <v>#REF!</v>
      </c>
      <c r="BF225" s="24" t="e">
        <f>SUMIFS(#REF!,#REF!,$B225,#REF!,BF$1)</f>
        <v>#REF!</v>
      </c>
      <c r="BG225" s="24" t="e">
        <f>SUMIFS(#REF!,#REF!,$B225,#REF!,BG$1)</f>
        <v>#REF!</v>
      </c>
      <c r="BH225" s="24" t="e">
        <f>SUMIFS(#REF!,#REF!,$B225,#REF!,BH$1)</f>
        <v>#REF!</v>
      </c>
      <c r="BI225" s="24" t="e">
        <f>SUMIFS(#REF!,#REF!,$B225,#REF!,BI$1)</f>
        <v>#REF!</v>
      </c>
      <c r="BJ225" s="24" t="e">
        <f>SUMIFS(#REF!,#REF!,$B225,#REF!,BJ$1)</f>
        <v>#REF!</v>
      </c>
      <c r="BK225" s="24" t="e">
        <f>SUMIFS(#REF!,#REF!,$B225,#REF!,BK$1)</f>
        <v>#REF!</v>
      </c>
      <c r="BL225" s="24" t="e">
        <f>SUMIFS(#REF!,#REF!,$B225,#REF!,BL$1)</f>
        <v>#REF!</v>
      </c>
      <c r="BM225" s="24" t="e">
        <f>SUMIFS(#REF!,#REF!,$B225,#REF!,BM$1)</f>
        <v>#REF!</v>
      </c>
      <c r="BN225" s="24" t="e">
        <f>SUMIFS(#REF!,#REF!,$B225,#REF!,BN$1)</f>
        <v>#REF!</v>
      </c>
      <c r="BO225" s="24" t="e">
        <f>SUMIFS(#REF!,#REF!,$B225,#REF!,BO$1)</f>
        <v>#REF!</v>
      </c>
      <c r="BP225" s="24" t="e">
        <f>SUMIFS(#REF!,#REF!,$B225,#REF!,BP$1)</f>
        <v>#REF!</v>
      </c>
      <c r="BQ225" s="24" t="e">
        <f>SUMIFS(#REF!,#REF!,$B225,#REF!,BQ$1)</f>
        <v>#REF!</v>
      </c>
      <c r="BR225" s="24" t="e">
        <f>SUMIFS(#REF!,#REF!,$B225,#REF!,BR$1)</f>
        <v>#REF!</v>
      </c>
      <c r="BS225" s="24" t="e">
        <f>SUMIFS(#REF!,#REF!,$B225,#REF!,BS$1)</f>
        <v>#REF!</v>
      </c>
      <c r="BT225" s="24" t="e">
        <f>SUMIFS(#REF!,#REF!,$B225,#REF!,BT$1)</f>
        <v>#REF!</v>
      </c>
      <c r="BU225" s="24" t="e">
        <f>SUMIFS(#REF!,#REF!,$B225,#REF!,BU$1)</f>
        <v>#REF!</v>
      </c>
      <c r="BV225" s="24" t="e">
        <f>SUMIFS(#REF!,#REF!,$B225,#REF!,BV$1)</f>
        <v>#REF!</v>
      </c>
      <c r="BW225" s="24" t="e">
        <f>SUMIFS(#REF!,#REF!,$B225,#REF!,BW$1)</f>
        <v>#REF!</v>
      </c>
      <c r="BX225" s="24" t="e">
        <f>SUMIFS(#REF!,#REF!,$B225,#REF!,BX$1)</f>
        <v>#REF!</v>
      </c>
      <c r="BY225" s="24" t="e">
        <f>SUMIFS(#REF!,#REF!,$B225,#REF!,BY$1)</f>
        <v>#REF!</v>
      </c>
      <c r="BZ225" s="24" t="e">
        <f>SUMIFS(#REF!,#REF!,$B225,#REF!,BZ$1)</f>
        <v>#REF!</v>
      </c>
      <c r="CA225" s="24" t="e">
        <f>SUMIFS(#REF!,#REF!,$B225,#REF!,CA$1)</f>
        <v>#REF!</v>
      </c>
      <c r="CB225" s="24" t="e">
        <f>SUMIFS(#REF!,#REF!,$B225,#REF!,CB$1)</f>
        <v>#REF!</v>
      </c>
      <c r="CC225" s="24" t="e">
        <f>SUMIFS(#REF!,#REF!,$B225,#REF!,CC$1)</f>
        <v>#REF!</v>
      </c>
      <c r="CD225" s="24" t="e">
        <f>SUMIFS(#REF!,#REF!,$B225,#REF!,CD$1)</f>
        <v>#REF!</v>
      </c>
      <c r="CE225" s="24" t="e">
        <f>SUMIFS(#REF!,#REF!,$B225,#REF!,CE$1)</f>
        <v>#REF!</v>
      </c>
      <c r="CF225" s="24" t="e">
        <f>SUMIFS(#REF!,#REF!,$B225,#REF!,CF$1)</f>
        <v>#REF!</v>
      </c>
      <c r="CG225" s="19" t="e">
        <f t="shared" si="3"/>
        <v>#REF!</v>
      </c>
    </row>
    <row r="226" spans="1:85" x14ac:dyDescent="0.45">
      <c r="A226" s="4" t="s">
        <v>1434</v>
      </c>
      <c r="B226" s="4" t="s">
        <v>1435</v>
      </c>
      <c r="C226" s="24" t="e">
        <f>SUMIFS(#REF!,#REF!,$B226,#REF!,C$1)</f>
        <v>#REF!</v>
      </c>
      <c r="D226" s="24" t="e">
        <f>SUMIFS(#REF!,#REF!,$B226,#REF!,D$1)</f>
        <v>#REF!</v>
      </c>
      <c r="E226" s="24" t="e">
        <f>SUMIFS(#REF!,#REF!,$B226,#REF!,E$1)</f>
        <v>#REF!</v>
      </c>
      <c r="F226" s="24" t="e">
        <f>SUMIFS(#REF!,#REF!,$B226,#REF!,F$1)</f>
        <v>#REF!</v>
      </c>
      <c r="G226" s="24" t="e">
        <f>SUMIFS(#REF!,#REF!,$B226,#REF!,G$1)</f>
        <v>#REF!</v>
      </c>
      <c r="H226" s="24" t="e">
        <f>SUMIFS(#REF!,#REF!,$B226,#REF!,H$1)</f>
        <v>#REF!</v>
      </c>
      <c r="I226" s="24" t="e">
        <f>SUMIFS(#REF!,#REF!,$B226,#REF!,I$1)</f>
        <v>#REF!</v>
      </c>
      <c r="J226" s="24" t="e">
        <f>SUMIFS(#REF!,#REF!,$B226,#REF!,J$1)</f>
        <v>#REF!</v>
      </c>
      <c r="K226" s="24" t="e">
        <f>SUMIFS(#REF!,#REF!,$B226,#REF!,K$1)</f>
        <v>#REF!</v>
      </c>
      <c r="L226" s="24" t="e">
        <f>SUMIFS(#REF!,#REF!,$B226,#REF!,L$1)</f>
        <v>#REF!</v>
      </c>
      <c r="M226" s="24" t="e">
        <f>SUMIFS(#REF!,#REF!,$B226,#REF!,M$1)</f>
        <v>#REF!</v>
      </c>
      <c r="N226" s="24" t="e">
        <f>SUMIFS(#REF!,#REF!,$B226,#REF!,N$1)</f>
        <v>#REF!</v>
      </c>
      <c r="O226" s="24" t="e">
        <f>SUMIFS(#REF!,#REF!,$B226,#REF!,O$1)</f>
        <v>#REF!</v>
      </c>
      <c r="P226" s="24" t="e">
        <f>SUMIFS(#REF!,#REF!,$B226,#REF!,P$1)</f>
        <v>#REF!</v>
      </c>
      <c r="Q226" s="24" t="e">
        <f>SUMIFS(#REF!,#REF!,$B226,#REF!,Q$1)</f>
        <v>#REF!</v>
      </c>
      <c r="R226" s="24" t="e">
        <f>SUMIFS(#REF!,#REF!,$B226,#REF!,R$1)</f>
        <v>#REF!</v>
      </c>
      <c r="S226" s="24" t="e">
        <f>SUMIFS(#REF!,#REF!,$B226,#REF!,S$1)</f>
        <v>#REF!</v>
      </c>
      <c r="T226" s="24" t="e">
        <f>SUMIFS(#REF!,#REF!,$B226,#REF!,T$1)</f>
        <v>#REF!</v>
      </c>
      <c r="U226" s="24" t="e">
        <f>SUMIFS(#REF!,#REF!,$B226,#REF!,U$1)</f>
        <v>#REF!</v>
      </c>
      <c r="V226" s="24" t="e">
        <f>SUMIFS(#REF!,#REF!,$B226,#REF!,V$1)</f>
        <v>#REF!</v>
      </c>
      <c r="W226" s="24" t="e">
        <f>SUMIFS(#REF!,#REF!,$B226,#REF!,W$1)</f>
        <v>#REF!</v>
      </c>
      <c r="X226" s="24" t="e">
        <f>SUMIFS(#REF!,#REF!,$B226,#REF!,X$1)</f>
        <v>#REF!</v>
      </c>
      <c r="Y226" s="24" t="e">
        <f>SUMIFS(#REF!,#REF!,$B226,#REF!,Y$1)</f>
        <v>#REF!</v>
      </c>
      <c r="Z226" s="24" t="e">
        <f>SUMIFS(#REF!,#REF!,$B226,#REF!,Z$1)</f>
        <v>#REF!</v>
      </c>
      <c r="AA226" s="24" t="e">
        <f>SUMIFS(#REF!,#REF!,$B226,#REF!,AA$1)</f>
        <v>#REF!</v>
      </c>
      <c r="AB226" s="24" t="e">
        <f>SUMIFS(#REF!,#REF!,$B226,#REF!,AB$1)</f>
        <v>#REF!</v>
      </c>
      <c r="AC226" s="24" t="e">
        <f>SUMIFS(#REF!,#REF!,$B226,#REF!,AC$1)</f>
        <v>#REF!</v>
      </c>
      <c r="AD226" s="24" t="e">
        <f>SUMIFS(#REF!,#REF!,$B226,#REF!,AD$1)</f>
        <v>#REF!</v>
      </c>
      <c r="AE226" s="24" t="e">
        <f>SUMIFS(#REF!,#REF!,$B226,#REF!,AE$1)</f>
        <v>#REF!</v>
      </c>
      <c r="AF226" s="24" t="e">
        <f>SUMIFS(#REF!,#REF!,$B226,#REF!,AF$1)</f>
        <v>#REF!</v>
      </c>
      <c r="AG226" s="24" t="e">
        <f>SUMIFS(#REF!,#REF!,$B226,#REF!,AG$1)</f>
        <v>#REF!</v>
      </c>
      <c r="AH226" s="24" t="e">
        <f>SUMIFS(#REF!,#REF!,$B226,#REF!,AH$1)</f>
        <v>#REF!</v>
      </c>
      <c r="AI226" s="24" t="e">
        <f>SUMIFS(#REF!,#REF!,$B226,#REF!,AI$1)</f>
        <v>#REF!</v>
      </c>
      <c r="AJ226" s="24" t="e">
        <f>SUMIFS(#REF!,#REF!,$B226,#REF!,AJ$1)</f>
        <v>#REF!</v>
      </c>
      <c r="AK226" s="24" t="e">
        <f>SUMIFS(#REF!,#REF!,$B226,#REF!,AK$1)</f>
        <v>#REF!</v>
      </c>
      <c r="AL226" s="24" t="e">
        <f>SUMIFS(#REF!,#REF!,$B226,#REF!,AL$1)</f>
        <v>#REF!</v>
      </c>
      <c r="AM226" s="24" t="e">
        <f>SUMIFS(#REF!,#REF!,$B226,#REF!,AM$1)</f>
        <v>#REF!</v>
      </c>
      <c r="AN226" s="24" t="e">
        <f>SUMIFS(#REF!,#REF!,$B226,#REF!,AN$1)</f>
        <v>#REF!</v>
      </c>
      <c r="AO226" s="24" t="e">
        <f>SUMIFS(#REF!,#REF!,$B226,#REF!,AO$1)</f>
        <v>#REF!</v>
      </c>
      <c r="AP226" s="24" t="e">
        <f>SUMIFS(#REF!,#REF!,$B226,#REF!,AP$1)</f>
        <v>#REF!</v>
      </c>
      <c r="AQ226" s="24" t="e">
        <f>SUMIFS(#REF!,#REF!,$B226,#REF!,AQ$1)</f>
        <v>#REF!</v>
      </c>
      <c r="AR226" s="24" t="e">
        <f>SUMIFS(#REF!,#REF!,$B226,#REF!,AR$1)</f>
        <v>#REF!</v>
      </c>
      <c r="AS226" s="24" t="e">
        <f>SUMIFS(#REF!,#REF!,$B226,#REF!,AS$1)</f>
        <v>#REF!</v>
      </c>
      <c r="AT226" s="24" t="e">
        <f>SUMIFS(#REF!,#REF!,$B226,#REF!,AT$1)</f>
        <v>#REF!</v>
      </c>
      <c r="AU226" s="24" t="e">
        <f>SUMIFS(#REF!,#REF!,$B226,#REF!,AU$1)</f>
        <v>#REF!</v>
      </c>
      <c r="AV226" s="24" t="e">
        <f>SUMIFS(#REF!,#REF!,$B226,#REF!,AV$1)</f>
        <v>#REF!</v>
      </c>
      <c r="AW226" s="24" t="e">
        <f>SUMIFS(#REF!,#REF!,$B226,#REF!,AW$1)</f>
        <v>#REF!</v>
      </c>
      <c r="AX226" s="24" t="e">
        <f>SUMIFS(#REF!,#REF!,$B226,#REF!,AX$1)</f>
        <v>#REF!</v>
      </c>
      <c r="AY226" s="24" t="e">
        <f>SUMIFS(#REF!,#REF!,$B226,#REF!,AY$1)</f>
        <v>#REF!</v>
      </c>
      <c r="AZ226" s="24" t="e">
        <f>SUMIFS(#REF!,#REF!,$B226,#REF!,AZ$1)</f>
        <v>#REF!</v>
      </c>
      <c r="BA226" s="24" t="e">
        <f>SUMIFS(#REF!,#REF!,$B226,#REF!,BA$1)</f>
        <v>#REF!</v>
      </c>
      <c r="BB226" s="24" t="e">
        <f>SUMIFS(#REF!,#REF!,$B226,#REF!,BB$1)</f>
        <v>#REF!</v>
      </c>
      <c r="BC226" s="24" t="e">
        <f>SUMIFS(#REF!,#REF!,$B226,#REF!,BC$1)</f>
        <v>#REF!</v>
      </c>
      <c r="BD226" s="24" t="e">
        <f>SUMIFS(#REF!,#REF!,$B226,#REF!,BD$1)</f>
        <v>#REF!</v>
      </c>
      <c r="BE226" s="24" t="e">
        <f>SUMIFS(#REF!,#REF!,$B226,#REF!,BE$1)</f>
        <v>#REF!</v>
      </c>
      <c r="BF226" s="24" t="e">
        <f>SUMIFS(#REF!,#REF!,$B226,#REF!,BF$1)</f>
        <v>#REF!</v>
      </c>
      <c r="BG226" s="24" t="e">
        <f>SUMIFS(#REF!,#REF!,$B226,#REF!,BG$1)</f>
        <v>#REF!</v>
      </c>
      <c r="BH226" s="24" t="e">
        <f>SUMIFS(#REF!,#REF!,$B226,#REF!,BH$1)</f>
        <v>#REF!</v>
      </c>
      <c r="BI226" s="24" t="e">
        <f>SUMIFS(#REF!,#REF!,$B226,#REF!,BI$1)</f>
        <v>#REF!</v>
      </c>
      <c r="BJ226" s="24" t="e">
        <f>SUMIFS(#REF!,#REF!,$B226,#REF!,BJ$1)</f>
        <v>#REF!</v>
      </c>
      <c r="BK226" s="24" t="e">
        <f>SUMIFS(#REF!,#REF!,$B226,#REF!,BK$1)</f>
        <v>#REF!</v>
      </c>
      <c r="BL226" s="24" t="e">
        <f>SUMIFS(#REF!,#REF!,$B226,#REF!,BL$1)</f>
        <v>#REF!</v>
      </c>
      <c r="BM226" s="24" t="e">
        <f>SUMIFS(#REF!,#REF!,$B226,#REF!,BM$1)</f>
        <v>#REF!</v>
      </c>
      <c r="BN226" s="24" t="e">
        <f>SUMIFS(#REF!,#REF!,$B226,#REF!,BN$1)</f>
        <v>#REF!</v>
      </c>
      <c r="BO226" s="24" t="e">
        <f>SUMIFS(#REF!,#REF!,$B226,#REF!,BO$1)</f>
        <v>#REF!</v>
      </c>
      <c r="BP226" s="24" t="e">
        <f>SUMIFS(#REF!,#REF!,$B226,#REF!,BP$1)</f>
        <v>#REF!</v>
      </c>
      <c r="BQ226" s="24" t="e">
        <f>SUMIFS(#REF!,#REF!,$B226,#REF!,BQ$1)</f>
        <v>#REF!</v>
      </c>
      <c r="BR226" s="24" t="e">
        <f>SUMIFS(#REF!,#REF!,$B226,#REF!,BR$1)</f>
        <v>#REF!</v>
      </c>
      <c r="BS226" s="24" t="e">
        <f>SUMIFS(#REF!,#REF!,$B226,#REF!,BS$1)</f>
        <v>#REF!</v>
      </c>
      <c r="BT226" s="24" t="e">
        <f>SUMIFS(#REF!,#REF!,$B226,#REF!,BT$1)</f>
        <v>#REF!</v>
      </c>
      <c r="BU226" s="24" t="e">
        <f>SUMIFS(#REF!,#REF!,$B226,#REF!,BU$1)</f>
        <v>#REF!</v>
      </c>
      <c r="BV226" s="24" t="e">
        <f>SUMIFS(#REF!,#REF!,$B226,#REF!,BV$1)</f>
        <v>#REF!</v>
      </c>
      <c r="BW226" s="24" t="e">
        <f>SUMIFS(#REF!,#REF!,$B226,#REF!,BW$1)</f>
        <v>#REF!</v>
      </c>
      <c r="BX226" s="24" t="e">
        <f>SUMIFS(#REF!,#REF!,$B226,#REF!,BX$1)</f>
        <v>#REF!</v>
      </c>
      <c r="BY226" s="24" t="e">
        <f>SUMIFS(#REF!,#REF!,$B226,#REF!,BY$1)</f>
        <v>#REF!</v>
      </c>
      <c r="BZ226" s="24" t="e">
        <f>SUMIFS(#REF!,#REF!,$B226,#REF!,BZ$1)</f>
        <v>#REF!</v>
      </c>
      <c r="CA226" s="24" t="e">
        <f>SUMIFS(#REF!,#REF!,$B226,#REF!,CA$1)</f>
        <v>#REF!</v>
      </c>
      <c r="CB226" s="24" t="e">
        <f>SUMIFS(#REF!,#REF!,$B226,#REF!,CB$1)</f>
        <v>#REF!</v>
      </c>
      <c r="CC226" s="24" t="e">
        <f>SUMIFS(#REF!,#REF!,$B226,#REF!,CC$1)</f>
        <v>#REF!</v>
      </c>
      <c r="CD226" s="24" t="e">
        <f>SUMIFS(#REF!,#REF!,$B226,#REF!,CD$1)</f>
        <v>#REF!</v>
      </c>
      <c r="CE226" s="24" t="e">
        <f>SUMIFS(#REF!,#REF!,$B226,#REF!,CE$1)</f>
        <v>#REF!</v>
      </c>
      <c r="CF226" s="24" t="e">
        <f>SUMIFS(#REF!,#REF!,$B226,#REF!,CF$1)</f>
        <v>#REF!</v>
      </c>
      <c r="CG226" s="19" t="e">
        <f t="shared" si="3"/>
        <v>#REF!</v>
      </c>
    </row>
    <row r="227" spans="1:85" x14ac:dyDescent="0.45">
      <c r="A227" s="4" t="s">
        <v>1436</v>
      </c>
      <c r="B227" s="4" t="s">
        <v>1437</v>
      </c>
      <c r="C227" s="24" t="e">
        <f>SUMIFS(#REF!,#REF!,$B227,#REF!,C$1)</f>
        <v>#REF!</v>
      </c>
      <c r="D227" s="24" t="e">
        <f>SUMIFS(#REF!,#REF!,$B227,#REF!,D$1)</f>
        <v>#REF!</v>
      </c>
      <c r="E227" s="24" t="e">
        <f>SUMIFS(#REF!,#REF!,$B227,#REF!,E$1)</f>
        <v>#REF!</v>
      </c>
      <c r="F227" s="24" t="e">
        <f>SUMIFS(#REF!,#REF!,$B227,#REF!,F$1)</f>
        <v>#REF!</v>
      </c>
      <c r="G227" s="24" t="e">
        <f>SUMIFS(#REF!,#REF!,$B227,#REF!,G$1)</f>
        <v>#REF!</v>
      </c>
      <c r="H227" s="24" t="e">
        <f>SUMIFS(#REF!,#REF!,$B227,#REF!,H$1)</f>
        <v>#REF!</v>
      </c>
      <c r="I227" s="24" t="e">
        <f>SUMIFS(#REF!,#REF!,$B227,#REF!,I$1)</f>
        <v>#REF!</v>
      </c>
      <c r="J227" s="24" t="e">
        <f>SUMIFS(#REF!,#REF!,$B227,#REF!,J$1)</f>
        <v>#REF!</v>
      </c>
      <c r="K227" s="24" t="e">
        <f>SUMIFS(#REF!,#REF!,$B227,#REF!,K$1)</f>
        <v>#REF!</v>
      </c>
      <c r="L227" s="24" t="e">
        <f>SUMIFS(#REF!,#REF!,$B227,#REF!,L$1)</f>
        <v>#REF!</v>
      </c>
      <c r="M227" s="24" t="e">
        <f>SUMIFS(#REF!,#REF!,$B227,#REF!,M$1)</f>
        <v>#REF!</v>
      </c>
      <c r="N227" s="24" t="e">
        <f>SUMIFS(#REF!,#REF!,$B227,#REF!,N$1)</f>
        <v>#REF!</v>
      </c>
      <c r="O227" s="24" t="e">
        <f>SUMIFS(#REF!,#REF!,$B227,#REF!,O$1)</f>
        <v>#REF!</v>
      </c>
      <c r="P227" s="24" t="e">
        <f>SUMIFS(#REF!,#REF!,$B227,#REF!,P$1)</f>
        <v>#REF!</v>
      </c>
      <c r="Q227" s="24" t="e">
        <f>SUMIFS(#REF!,#REF!,$B227,#REF!,Q$1)</f>
        <v>#REF!</v>
      </c>
      <c r="R227" s="24" t="e">
        <f>SUMIFS(#REF!,#REF!,$B227,#REF!,R$1)</f>
        <v>#REF!</v>
      </c>
      <c r="S227" s="24" t="e">
        <f>SUMIFS(#REF!,#REF!,$B227,#REF!,S$1)</f>
        <v>#REF!</v>
      </c>
      <c r="T227" s="24" t="e">
        <f>SUMIFS(#REF!,#REF!,$B227,#REF!,T$1)</f>
        <v>#REF!</v>
      </c>
      <c r="U227" s="24" t="e">
        <f>SUMIFS(#REF!,#REF!,$B227,#REF!,U$1)</f>
        <v>#REF!</v>
      </c>
      <c r="V227" s="24" t="e">
        <f>SUMIFS(#REF!,#REF!,$B227,#REF!,V$1)</f>
        <v>#REF!</v>
      </c>
      <c r="W227" s="24" t="e">
        <f>SUMIFS(#REF!,#REF!,$B227,#REF!,W$1)</f>
        <v>#REF!</v>
      </c>
      <c r="X227" s="24" t="e">
        <f>SUMIFS(#REF!,#REF!,$B227,#REF!,X$1)</f>
        <v>#REF!</v>
      </c>
      <c r="Y227" s="24" t="e">
        <f>SUMIFS(#REF!,#REF!,$B227,#REF!,Y$1)</f>
        <v>#REF!</v>
      </c>
      <c r="Z227" s="24" t="e">
        <f>SUMIFS(#REF!,#REF!,$B227,#REF!,Z$1)</f>
        <v>#REF!</v>
      </c>
      <c r="AA227" s="24" t="e">
        <f>SUMIFS(#REF!,#REF!,$B227,#REF!,AA$1)</f>
        <v>#REF!</v>
      </c>
      <c r="AB227" s="24" t="e">
        <f>SUMIFS(#REF!,#REF!,$B227,#REF!,AB$1)</f>
        <v>#REF!</v>
      </c>
      <c r="AC227" s="24" t="e">
        <f>SUMIFS(#REF!,#REF!,$B227,#REF!,AC$1)</f>
        <v>#REF!</v>
      </c>
      <c r="AD227" s="24" t="e">
        <f>SUMIFS(#REF!,#REF!,$B227,#REF!,AD$1)</f>
        <v>#REF!</v>
      </c>
      <c r="AE227" s="24" t="e">
        <f>SUMIFS(#REF!,#REF!,$B227,#REF!,AE$1)</f>
        <v>#REF!</v>
      </c>
      <c r="AF227" s="24" t="e">
        <f>SUMIFS(#REF!,#REF!,$B227,#REF!,AF$1)</f>
        <v>#REF!</v>
      </c>
      <c r="AG227" s="24" t="e">
        <f>SUMIFS(#REF!,#REF!,$B227,#REF!,AG$1)</f>
        <v>#REF!</v>
      </c>
      <c r="AH227" s="24" t="e">
        <f>SUMIFS(#REF!,#REF!,$B227,#REF!,AH$1)</f>
        <v>#REF!</v>
      </c>
      <c r="AI227" s="24" t="e">
        <f>SUMIFS(#REF!,#REF!,$B227,#REF!,AI$1)</f>
        <v>#REF!</v>
      </c>
      <c r="AJ227" s="24" t="e">
        <f>SUMIFS(#REF!,#REF!,$B227,#REF!,AJ$1)</f>
        <v>#REF!</v>
      </c>
      <c r="AK227" s="24" t="e">
        <f>SUMIFS(#REF!,#REF!,$B227,#REF!,AK$1)</f>
        <v>#REF!</v>
      </c>
      <c r="AL227" s="24" t="e">
        <f>SUMIFS(#REF!,#REF!,$B227,#REF!,AL$1)</f>
        <v>#REF!</v>
      </c>
      <c r="AM227" s="24" t="e">
        <f>SUMIFS(#REF!,#REF!,$B227,#REF!,AM$1)</f>
        <v>#REF!</v>
      </c>
      <c r="AN227" s="24" t="e">
        <f>SUMIFS(#REF!,#REF!,$B227,#REF!,AN$1)</f>
        <v>#REF!</v>
      </c>
      <c r="AO227" s="24" t="e">
        <f>SUMIFS(#REF!,#REF!,$B227,#REF!,AO$1)</f>
        <v>#REF!</v>
      </c>
      <c r="AP227" s="24" t="e">
        <f>SUMIFS(#REF!,#REF!,$B227,#REF!,AP$1)</f>
        <v>#REF!</v>
      </c>
      <c r="AQ227" s="24" t="e">
        <f>SUMIFS(#REF!,#REF!,$B227,#REF!,AQ$1)</f>
        <v>#REF!</v>
      </c>
      <c r="AR227" s="24" t="e">
        <f>SUMIFS(#REF!,#REF!,$B227,#REF!,AR$1)</f>
        <v>#REF!</v>
      </c>
      <c r="AS227" s="24" t="e">
        <f>SUMIFS(#REF!,#REF!,$B227,#REF!,AS$1)</f>
        <v>#REF!</v>
      </c>
      <c r="AT227" s="24" t="e">
        <f>SUMIFS(#REF!,#REF!,$B227,#REF!,AT$1)</f>
        <v>#REF!</v>
      </c>
      <c r="AU227" s="24" t="e">
        <f>SUMIFS(#REF!,#REF!,$B227,#REF!,AU$1)</f>
        <v>#REF!</v>
      </c>
      <c r="AV227" s="24" t="e">
        <f>SUMIFS(#REF!,#REF!,$B227,#REF!,AV$1)</f>
        <v>#REF!</v>
      </c>
      <c r="AW227" s="24" t="e">
        <f>SUMIFS(#REF!,#REF!,$B227,#REF!,AW$1)</f>
        <v>#REF!</v>
      </c>
      <c r="AX227" s="24" t="e">
        <f>SUMIFS(#REF!,#REF!,$B227,#REF!,AX$1)</f>
        <v>#REF!</v>
      </c>
      <c r="AY227" s="24" t="e">
        <f>SUMIFS(#REF!,#REF!,$B227,#REF!,AY$1)</f>
        <v>#REF!</v>
      </c>
      <c r="AZ227" s="24" t="e">
        <f>SUMIFS(#REF!,#REF!,$B227,#REF!,AZ$1)</f>
        <v>#REF!</v>
      </c>
      <c r="BA227" s="24" t="e">
        <f>SUMIFS(#REF!,#REF!,$B227,#REF!,BA$1)</f>
        <v>#REF!</v>
      </c>
      <c r="BB227" s="24" t="e">
        <f>SUMIFS(#REF!,#REF!,$B227,#REF!,BB$1)</f>
        <v>#REF!</v>
      </c>
      <c r="BC227" s="24" t="e">
        <f>SUMIFS(#REF!,#REF!,$B227,#REF!,BC$1)</f>
        <v>#REF!</v>
      </c>
      <c r="BD227" s="24" t="e">
        <f>SUMIFS(#REF!,#REF!,$B227,#REF!,BD$1)</f>
        <v>#REF!</v>
      </c>
      <c r="BE227" s="24" t="e">
        <f>SUMIFS(#REF!,#REF!,$B227,#REF!,BE$1)</f>
        <v>#REF!</v>
      </c>
      <c r="BF227" s="24" t="e">
        <f>SUMIFS(#REF!,#REF!,$B227,#REF!,BF$1)</f>
        <v>#REF!</v>
      </c>
      <c r="BG227" s="24" t="e">
        <f>SUMIFS(#REF!,#REF!,$B227,#REF!,BG$1)</f>
        <v>#REF!</v>
      </c>
      <c r="BH227" s="24" t="e">
        <f>SUMIFS(#REF!,#REF!,$B227,#REF!,BH$1)</f>
        <v>#REF!</v>
      </c>
      <c r="BI227" s="24" t="e">
        <f>SUMIFS(#REF!,#REF!,$B227,#REF!,BI$1)</f>
        <v>#REF!</v>
      </c>
      <c r="BJ227" s="24" t="e">
        <f>SUMIFS(#REF!,#REF!,$B227,#REF!,BJ$1)</f>
        <v>#REF!</v>
      </c>
      <c r="BK227" s="24" t="e">
        <f>SUMIFS(#REF!,#REF!,$B227,#REF!,BK$1)</f>
        <v>#REF!</v>
      </c>
      <c r="BL227" s="24" t="e">
        <f>SUMIFS(#REF!,#REF!,$B227,#REF!,BL$1)</f>
        <v>#REF!</v>
      </c>
      <c r="BM227" s="24" t="e">
        <f>SUMIFS(#REF!,#REF!,$B227,#REF!,BM$1)</f>
        <v>#REF!</v>
      </c>
      <c r="BN227" s="24" t="e">
        <f>SUMIFS(#REF!,#REF!,$B227,#REF!,BN$1)</f>
        <v>#REF!</v>
      </c>
      <c r="BO227" s="24" t="e">
        <f>SUMIFS(#REF!,#REF!,$B227,#REF!,BO$1)</f>
        <v>#REF!</v>
      </c>
      <c r="BP227" s="24" t="e">
        <f>SUMIFS(#REF!,#REF!,$B227,#REF!,BP$1)</f>
        <v>#REF!</v>
      </c>
      <c r="BQ227" s="24" t="e">
        <f>SUMIFS(#REF!,#REF!,$B227,#REF!,BQ$1)</f>
        <v>#REF!</v>
      </c>
      <c r="BR227" s="24" t="e">
        <f>SUMIFS(#REF!,#REF!,$B227,#REF!,BR$1)</f>
        <v>#REF!</v>
      </c>
      <c r="BS227" s="24" t="e">
        <f>SUMIFS(#REF!,#REF!,$B227,#REF!,BS$1)</f>
        <v>#REF!</v>
      </c>
      <c r="BT227" s="24" t="e">
        <f>SUMIFS(#REF!,#REF!,$B227,#REF!,BT$1)</f>
        <v>#REF!</v>
      </c>
      <c r="BU227" s="24" t="e">
        <f>SUMIFS(#REF!,#REF!,$B227,#REF!,BU$1)</f>
        <v>#REF!</v>
      </c>
      <c r="BV227" s="24" t="e">
        <f>SUMIFS(#REF!,#REF!,$B227,#REF!,BV$1)</f>
        <v>#REF!</v>
      </c>
      <c r="BW227" s="24" t="e">
        <f>SUMIFS(#REF!,#REF!,$B227,#REF!,BW$1)</f>
        <v>#REF!</v>
      </c>
      <c r="BX227" s="24" t="e">
        <f>SUMIFS(#REF!,#REF!,$B227,#REF!,BX$1)</f>
        <v>#REF!</v>
      </c>
      <c r="BY227" s="24" t="e">
        <f>SUMIFS(#REF!,#REF!,$B227,#REF!,BY$1)</f>
        <v>#REF!</v>
      </c>
      <c r="BZ227" s="24" t="e">
        <f>SUMIFS(#REF!,#REF!,$B227,#REF!,BZ$1)</f>
        <v>#REF!</v>
      </c>
      <c r="CA227" s="24" t="e">
        <f>SUMIFS(#REF!,#REF!,$B227,#REF!,CA$1)</f>
        <v>#REF!</v>
      </c>
      <c r="CB227" s="24" t="e">
        <f>SUMIFS(#REF!,#REF!,$B227,#REF!,CB$1)</f>
        <v>#REF!</v>
      </c>
      <c r="CC227" s="24" t="e">
        <f>SUMIFS(#REF!,#REF!,$B227,#REF!,CC$1)</f>
        <v>#REF!</v>
      </c>
      <c r="CD227" s="24" t="e">
        <f>SUMIFS(#REF!,#REF!,$B227,#REF!,CD$1)</f>
        <v>#REF!</v>
      </c>
      <c r="CE227" s="24" t="e">
        <f>SUMIFS(#REF!,#REF!,$B227,#REF!,CE$1)</f>
        <v>#REF!</v>
      </c>
      <c r="CF227" s="24" t="e">
        <f>SUMIFS(#REF!,#REF!,$B227,#REF!,CF$1)</f>
        <v>#REF!</v>
      </c>
      <c r="CG227" s="19" t="e">
        <f t="shared" si="3"/>
        <v>#REF!</v>
      </c>
    </row>
    <row r="228" spans="1:85" x14ac:dyDescent="0.45">
      <c r="A228" s="4" t="s">
        <v>1438</v>
      </c>
      <c r="B228" s="4" t="s">
        <v>1439</v>
      </c>
      <c r="C228" s="24" t="e">
        <f>SUMIFS(#REF!,#REF!,$B228,#REF!,C$1)</f>
        <v>#REF!</v>
      </c>
      <c r="D228" s="24" t="e">
        <f>SUMIFS(#REF!,#REF!,$B228,#REF!,D$1)</f>
        <v>#REF!</v>
      </c>
      <c r="E228" s="24" t="e">
        <f>SUMIFS(#REF!,#REF!,$B228,#REF!,E$1)</f>
        <v>#REF!</v>
      </c>
      <c r="F228" s="24" t="e">
        <f>SUMIFS(#REF!,#REF!,$B228,#REF!,F$1)</f>
        <v>#REF!</v>
      </c>
      <c r="G228" s="24" t="e">
        <f>SUMIFS(#REF!,#REF!,$B228,#REF!,G$1)</f>
        <v>#REF!</v>
      </c>
      <c r="H228" s="24" t="e">
        <f>SUMIFS(#REF!,#REF!,$B228,#REF!,H$1)</f>
        <v>#REF!</v>
      </c>
      <c r="I228" s="24" t="e">
        <f>SUMIFS(#REF!,#REF!,$B228,#REF!,I$1)</f>
        <v>#REF!</v>
      </c>
      <c r="J228" s="24" t="e">
        <f>SUMIFS(#REF!,#REF!,$B228,#REF!,J$1)</f>
        <v>#REF!</v>
      </c>
      <c r="K228" s="24" t="e">
        <f>SUMIFS(#REF!,#REF!,$B228,#REF!,K$1)</f>
        <v>#REF!</v>
      </c>
      <c r="L228" s="24" t="e">
        <f>SUMIFS(#REF!,#REF!,$B228,#REF!,L$1)</f>
        <v>#REF!</v>
      </c>
      <c r="M228" s="24" t="e">
        <f>SUMIFS(#REF!,#REF!,$B228,#REF!,M$1)</f>
        <v>#REF!</v>
      </c>
      <c r="N228" s="24" t="e">
        <f>SUMIFS(#REF!,#REF!,$B228,#REF!,N$1)</f>
        <v>#REF!</v>
      </c>
      <c r="O228" s="24" t="e">
        <f>SUMIFS(#REF!,#REF!,$B228,#REF!,O$1)</f>
        <v>#REF!</v>
      </c>
      <c r="P228" s="24" t="e">
        <f>SUMIFS(#REF!,#REF!,$B228,#REF!,P$1)</f>
        <v>#REF!</v>
      </c>
      <c r="Q228" s="24" t="e">
        <f>SUMIFS(#REF!,#REF!,$B228,#REF!,Q$1)</f>
        <v>#REF!</v>
      </c>
      <c r="R228" s="24" t="e">
        <f>SUMIFS(#REF!,#REF!,$B228,#REF!,R$1)</f>
        <v>#REF!</v>
      </c>
      <c r="S228" s="24" t="e">
        <f>SUMIFS(#REF!,#REF!,$B228,#REF!,S$1)</f>
        <v>#REF!</v>
      </c>
      <c r="T228" s="24" t="e">
        <f>SUMIFS(#REF!,#REF!,$B228,#REF!,T$1)</f>
        <v>#REF!</v>
      </c>
      <c r="U228" s="24" t="e">
        <f>SUMIFS(#REF!,#REF!,$B228,#REF!,U$1)</f>
        <v>#REF!</v>
      </c>
      <c r="V228" s="24" t="e">
        <f>SUMIFS(#REF!,#REF!,$B228,#REF!,V$1)</f>
        <v>#REF!</v>
      </c>
      <c r="W228" s="24" t="e">
        <f>SUMIFS(#REF!,#REF!,$B228,#REF!,W$1)</f>
        <v>#REF!</v>
      </c>
      <c r="X228" s="24" t="e">
        <f>SUMIFS(#REF!,#REF!,$B228,#REF!,X$1)</f>
        <v>#REF!</v>
      </c>
      <c r="Y228" s="24" t="e">
        <f>SUMIFS(#REF!,#REF!,$B228,#REF!,Y$1)</f>
        <v>#REF!</v>
      </c>
      <c r="Z228" s="24" t="e">
        <f>SUMIFS(#REF!,#REF!,$B228,#REF!,Z$1)</f>
        <v>#REF!</v>
      </c>
      <c r="AA228" s="24" t="e">
        <f>SUMIFS(#REF!,#REF!,$B228,#REF!,AA$1)</f>
        <v>#REF!</v>
      </c>
      <c r="AB228" s="24" t="e">
        <f>SUMIFS(#REF!,#REF!,$B228,#REF!,AB$1)</f>
        <v>#REF!</v>
      </c>
      <c r="AC228" s="24" t="e">
        <f>SUMIFS(#REF!,#REF!,$B228,#REF!,AC$1)</f>
        <v>#REF!</v>
      </c>
      <c r="AD228" s="24" t="e">
        <f>SUMIFS(#REF!,#REF!,$B228,#REF!,AD$1)</f>
        <v>#REF!</v>
      </c>
      <c r="AE228" s="24" t="e">
        <f>SUMIFS(#REF!,#REF!,$B228,#REF!,AE$1)</f>
        <v>#REF!</v>
      </c>
      <c r="AF228" s="24" t="e">
        <f>SUMIFS(#REF!,#REF!,$B228,#REF!,AF$1)</f>
        <v>#REF!</v>
      </c>
      <c r="AG228" s="24" t="e">
        <f>SUMIFS(#REF!,#REF!,$B228,#REF!,AG$1)</f>
        <v>#REF!</v>
      </c>
      <c r="AH228" s="24" t="e">
        <f>SUMIFS(#REF!,#REF!,$B228,#REF!,AH$1)</f>
        <v>#REF!</v>
      </c>
      <c r="AI228" s="24" t="e">
        <f>SUMIFS(#REF!,#REF!,$B228,#REF!,AI$1)</f>
        <v>#REF!</v>
      </c>
      <c r="AJ228" s="24" t="e">
        <f>SUMIFS(#REF!,#REF!,$B228,#REF!,AJ$1)</f>
        <v>#REF!</v>
      </c>
      <c r="AK228" s="24" t="e">
        <f>SUMIFS(#REF!,#REF!,$B228,#REF!,AK$1)</f>
        <v>#REF!</v>
      </c>
      <c r="AL228" s="24" t="e">
        <f>SUMIFS(#REF!,#REF!,$B228,#REF!,AL$1)</f>
        <v>#REF!</v>
      </c>
      <c r="AM228" s="24" t="e">
        <f>SUMIFS(#REF!,#REF!,$B228,#REF!,AM$1)</f>
        <v>#REF!</v>
      </c>
      <c r="AN228" s="24" t="e">
        <f>SUMIFS(#REF!,#REF!,$B228,#REF!,AN$1)</f>
        <v>#REF!</v>
      </c>
      <c r="AO228" s="24" t="e">
        <f>SUMIFS(#REF!,#REF!,$B228,#REF!,AO$1)</f>
        <v>#REF!</v>
      </c>
      <c r="AP228" s="24" t="e">
        <f>SUMIFS(#REF!,#REF!,$B228,#REF!,AP$1)</f>
        <v>#REF!</v>
      </c>
      <c r="AQ228" s="24" t="e">
        <f>SUMIFS(#REF!,#REF!,$B228,#REF!,AQ$1)</f>
        <v>#REF!</v>
      </c>
      <c r="AR228" s="24" t="e">
        <f>SUMIFS(#REF!,#REF!,$B228,#REF!,AR$1)</f>
        <v>#REF!</v>
      </c>
      <c r="AS228" s="24" t="e">
        <f>SUMIFS(#REF!,#REF!,$B228,#REF!,AS$1)</f>
        <v>#REF!</v>
      </c>
      <c r="AT228" s="24" t="e">
        <f>SUMIFS(#REF!,#REF!,$B228,#REF!,AT$1)</f>
        <v>#REF!</v>
      </c>
      <c r="AU228" s="24" t="e">
        <f>SUMIFS(#REF!,#REF!,$B228,#REF!,AU$1)</f>
        <v>#REF!</v>
      </c>
      <c r="AV228" s="24" t="e">
        <f>SUMIFS(#REF!,#REF!,$B228,#REF!,AV$1)</f>
        <v>#REF!</v>
      </c>
      <c r="AW228" s="24" t="e">
        <f>SUMIFS(#REF!,#REF!,$B228,#REF!,AW$1)</f>
        <v>#REF!</v>
      </c>
      <c r="AX228" s="24" t="e">
        <f>SUMIFS(#REF!,#REF!,$B228,#REF!,AX$1)</f>
        <v>#REF!</v>
      </c>
      <c r="AY228" s="24" t="e">
        <f>SUMIFS(#REF!,#REF!,$B228,#REF!,AY$1)</f>
        <v>#REF!</v>
      </c>
      <c r="AZ228" s="24" t="e">
        <f>SUMIFS(#REF!,#REF!,$B228,#REF!,AZ$1)</f>
        <v>#REF!</v>
      </c>
      <c r="BA228" s="24" t="e">
        <f>SUMIFS(#REF!,#REF!,$B228,#REF!,BA$1)</f>
        <v>#REF!</v>
      </c>
      <c r="BB228" s="24" t="e">
        <f>SUMIFS(#REF!,#REF!,$B228,#REF!,BB$1)</f>
        <v>#REF!</v>
      </c>
      <c r="BC228" s="24" t="e">
        <f>SUMIFS(#REF!,#REF!,$B228,#REF!,BC$1)</f>
        <v>#REF!</v>
      </c>
      <c r="BD228" s="24" t="e">
        <f>SUMIFS(#REF!,#REF!,$B228,#REF!,BD$1)</f>
        <v>#REF!</v>
      </c>
      <c r="BE228" s="24" t="e">
        <f>SUMIFS(#REF!,#REF!,$B228,#REF!,BE$1)</f>
        <v>#REF!</v>
      </c>
      <c r="BF228" s="24" t="e">
        <f>SUMIFS(#REF!,#REF!,$B228,#REF!,BF$1)</f>
        <v>#REF!</v>
      </c>
      <c r="BG228" s="24" t="e">
        <f>SUMIFS(#REF!,#REF!,$B228,#REF!,BG$1)</f>
        <v>#REF!</v>
      </c>
      <c r="BH228" s="24" t="e">
        <f>SUMIFS(#REF!,#REF!,$B228,#REF!,BH$1)</f>
        <v>#REF!</v>
      </c>
      <c r="BI228" s="24" t="e">
        <f>SUMIFS(#REF!,#REF!,$B228,#REF!,BI$1)</f>
        <v>#REF!</v>
      </c>
      <c r="BJ228" s="24" t="e">
        <f>SUMIFS(#REF!,#REF!,$B228,#REF!,BJ$1)</f>
        <v>#REF!</v>
      </c>
      <c r="BK228" s="24" t="e">
        <f>SUMIFS(#REF!,#REF!,$B228,#REF!,BK$1)</f>
        <v>#REF!</v>
      </c>
      <c r="BL228" s="24" t="e">
        <f>SUMIFS(#REF!,#REF!,$B228,#REF!,BL$1)</f>
        <v>#REF!</v>
      </c>
      <c r="BM228" s="24" t="e">
        <f>SUMIFS(#REF!,#REF!,$B228,#REF!,BM$1)</f>
        <v>#REF!</v>
      </c>
      <c r="BN228" s="24" t="e">
        <f>SUMIFS(#REF!,#REF!,$B228,#REF!,BN$1)</f>
        <v>#REF!</v>
      </c>
      <c r="BO228" s="24" t="e">
        <f>SUMIFS(#REF!,#REF!,$B228,#REF!,BO$1)</f>
        <v>#REF!</v>
      </c>
      <c r="BP228" s="24" t="e">
        <f>SUMIFS(#REF!,#REF!,$B228,#REF!,BP$1)</f>
        <v>#REF!</v>
      </c>
      <c r="BQ228" s="24" t="e">
        <f>SUMIFS(#REF!,#REF!,$B228,#REF!,BQ$1)</f>
        <v>#REF!</v>
      </c>
      <c r="BR228" s="24" t="e">
        <f>SUMIFS(#REF!,#REF!,$B228,#REF!,BR$1)</f>
        <v>#REF!</v>
      </c>
      <c r="BS228" s="24" t="e">
        <f>SUMIFS(#REF!,#REF!,$B228,#REF!,BS$1)</f>
        <v>#REF!</v>
      </c>
      <c r="BT228" s="24" t="e">
        <f>SUMIFS(#REF!,#REF!,$B228,#REF!,BT$1)</f>
        <v>#REF!</v>
      </c>
      <c r="BU228" s="24" t="e">
        <f>SUMIFS(#REF!,#REF!,$B228,#REF!,BU$1)</f>
        <v>#REF!</v>
      </c>
      <c r="BV228" s="24" t="e">
        <f>SUMIFS(#REF!,#REF!,$B228,#REF!,BV$1)</f>
        <v>#REF!</v>
      </c>
      <c r="BW228" s="24" t="e">
        <f>SUMIFS(#REF!,#REF!,$B228,#REF!,BW$1)</f>
        <v>#REF!</v>
      </c>
      <c r="BX228" s="24" t="e">
        <f>SUMIFS(#REF!,#REF!,$B228,#REF!,BX$1)</f>
        <v>#REF!</v>
      </c>
      <c r="BY228" s="24" t="e">
        <f>SUMIFS(#REF!,#REF!,$B228,#REF!,BY$1)</f>
        <v>#REF!</v>
      </c>
      <c r="BZ228" s="24" t="e">
        <f>SUMIFS(#REF!,#REF!,$B228,#REF!,BZ$1)</f>
        <v>#REF!</v>
      </c>
      <c r="CA228" s="24" t="e">
        <f>SUMIFS(#REF!,#REF!,$B228,#REF!,CA$1)</f>
        <v>#REF!</v>
      </c>
      <c r="CB228" s="24" t="e">
        <f>SUMIFS(#REF!,#REF!,$B228,#REF!,CB$1)</f>
        <v>#REF!</v>
      </c>
      <c r="CC228" s="24" t="e">
        <f>SUMIFS(#REF!,#REF!,$B228,#REF!,CC$1)</f>
        <v>#REF!</v>
      </c>
      <c r="CD228" s="24" t="e">
        <f>SUMIFS(#REF!,#REF!,$B228,#REF!,CD$1)</f>
        <v>#REF!</v>
      </c>
      <c r="CE228" s="24" t="e">
        <f>SUMIFS(#REF!,#REF!,$B228,#REF!,CE$1)</f>
        <v>#REF!</v>
      </c>
      <c r="CF228" s="24" t="e">
        <f>SUMIFS(#REF!,#REF!,$B228,#REF!,CF$1)</f>
        <v>#REF!</v>
      </c>
      <c r="CG228" s="19" t="e">
        <f t="shared" si="3"/>
        <v>#REF!</v>
      </c>
    </row>
    <row r="229" spans="1:85" x14ac:dyDescent="0.45">
      <c r="A229" s="4" t="s">
        <v>1440</v>
      </c>
      <c r="B229" s="4" t="s">
        <v>1441</v>
      </c>
      <c r="C229" s="24" t="e">
        <f>SUMIFS(#REF!,#REF!,$B229,#REF!,C$1)</f>
        <v>#REF!</v>
      </c>
      <c r="D229" s="24" t="e">
        <f>SUMIFS(#REF!,#REF!,$B229,#REF!,D$1)</f>
        <v>#REF!</v>
      </c>
      <c r="E229" s="24" t="e">
        <f>SUMIFS(#REF!,#REF!,$B229,#REF!,E$1)</f>
        <v>#REF!</v>
      </c>
      <c r="F229" s="24" t="e">
        <f>SUMIFS(#REF!,#REF!,$B229,#REF!,F$1)</f>
        <v>#REF!</v>
      </c>
      <c r="G229" s="24" t="e">
        <f>SUMIFS(#REF!,#REF!,$B229,#REF!,G$1)</f>
        <v>#REF!</v>
      </c>
      <c r="H229" s="24" t="e">
        <f>SUMIFS(#REF!,#REF!,$B229,#REF!,H$1)</f>
        <v>#REF!</v>
      </c>
      <c r="I229" s="24" t="e">
        <f>SUMIFS(#REF!,#REF!,$B229,#REF!,I$1)</f>
        <v>#REF!</v>
      </c>
      <c r="J229" s="24" t="e">
        <f>SUMIFS(#REF!,#REF!,$B229,#REF!,J$1)</f>
        <v>#REF!</v>
      </c>
      <c r="K229" s="24" t="e">
        <f>SUMIFS(#REF!,#REF!,$B229,#REF!,K$1)</f>
        <v>#REF!</v>
      </c>
      <c r="L229" s="24" t="e">
        <f>SUMIFS(#REF!,#REF!,$B229,#REF!,L$1)</f>
        <v>#REF!</v>
      </c>
      <c r="M229" s="24" t="e">
        <f>SUMIFS(#REF!,#REF!,$B229,#REF!,M$1)</f>
        <v>#REF!</v>
      </c>
      <c r="N229" s="24" t="e">
        <f>SUMIFS(#REF!,#REF!,$B229,#REF!,N$1)</f>
        <v>#REF!</v>
      </c>
      <c r="O229" s="24" t="e">
        <f>SUMIFS(#REF!,#REF!,$B229,#REF!,O$1)</f>
        <v>#REF!</v>
      </c>
      <c r="P229" s="24" t="e">
        <f>SUMIFS(#REF!,#REF!,$B229,#REF!,P$1)</f>
        <v>#REF!</v>
      </c>
      <c r="Q229" s="24" t="e">
        <f>SUMIFS(#REF!,#REF!,$B229,#REF!,Q$1)</f>
        <v>#REF!</v>
      </c>
      <c r="R229" s="24" t="e">
        <f>SUMIFS(#REF!,#REF!,$B229,#REF!,R$1)</f>
        <v>#REF!</v>
      </c>
      <c r="S229" s="24" t="e">
        <f>SUMIFS(#REF!,#REF!,$B229,#REF!,S$1)</f>
        <v>#REF!</v>
      </c>
      <c r="T229" s="24" t="e">
        <f>SUMIFS(#REF!,#REF!,$B229,#REF!,T$1)</f>
        <v>#REF!</v>
      </c>
      <c r="U229" s="24" t="e">
        <f>SUMIFS(#REF!,#REF!,$B229,#REF!,U$1)</f>
        <v>#REF!</v>
      </c>
      <c r="V229" s="24" t="e">
        <f>SUMIFS(#REF!,#REF!,$B229,#REF!,V$1)</f>
        <v>#REF!</v>
      </c>
      <c r="W229" s="24" t="e">
        <f>SUMIFS(#REF!,#REF!,$B229,#REF!,W$1)</f>
        <v>#REF!</v>
      </c>
      <c r="X229" s="24" t="e">
        <f>SUMIFS(#REF!,#REF!,$B229,#REF!,X$1)</f>
        <v>#REF!</v>
      </c>
      <c r="Y229" s="24" t="e">
        <f>SUMIFS(#REF!,#REF!,$B229,#REF!,Y$1)</f>
        <v>#REF!</v>
      </c>
      <c r="Z229" s="24" t="e">
        <f>SUMIFS(#REF!,#REF!,$B229,#REF!,Z$1)</f>
        <v>#REF!</v>
      </c>
      <c r="AA229" s="24" t="e">
        <f>SUMIFS(#REF!,#REF!,$B229,#REF!,AA$1)</f>
        <v>#REF!</v>
      </c>
      <c r="AB229" s="24" t="e">
        <f>SUMIFS(#REF!,#REF!,$B229,#REF!,AB$1)</f>
        <v>#REF!</v>
      </c>
      <c r="AC229" s="24" t="e">
        <f>SUMIFS(#REF!,#REF!,$B229,#REF!,AC$1)</f>
        <v>#REF!</v>
      </c>
      <c r="AD229" s="24" t="e">
        <f>SUMIFS(#REF!,#REF!,$B229,#REF!,AD$1)</f>
        <v>#REF!</v>
      </c>
      <c r="AE229" s="24" t="e">
        <f>SUMIFS(#REF!,#REF!,$B229,#REF!,AE$1)</f>
        <v>#REF!</v>
      </c>
      <c r="AF229" s="24" t="e">
        <f>SUMIFS(#REF!,#REF!,$B229,#REF!,AF$1)</f>
        <v>#REF!</v>
      </c>
      <c r="AG229" s="24" t="e">
        <f>SUMIFS(#REF!,#REF!,$B229,#REF!,AG$1)</f>
        <v>#REF!</v>
      </c>
      <c r="AH229" s="24" t="e">
        <f>SUMIFS(#REF!,#REF!,$B229,#REF!,AH$1)</f>
        <v>#REF!</v>
      </c>
      <c r="AI229" s="24" t="e">
        <f>SUMIFS(#REF!,#REF!,$B229,#REF!,AI$1)</f>
        <v>#REF!</v>
      </c>
      <c r="AJ229" s="24" t="e">
        <f>SUMIFS(#REF!,#REF!,$B229,#REF!,AJ$1)</f>
        <v>#REF!</v>
      </c>
      <c r="AK229" s="24" t="e">
        <f>SUMIFS(#REF!,#REF!,$B229,#REF!,AK$1)</f>
        <v>#REF!</v>
      </c>
      <c r="AL229" s="24" t="e">
        <f>SUMIFS(#REF!,#REF!,$B229,#REF!,AL$1)</f>
        <v>#REF!</v>
      </c>
      <c r="AM229" s="24" t="e">
        <f>SUMIFS(#REF!,#REF!,$B229,#REF!,AM$1)</f>
        <v>#REF!</v>
      </c>
      <c r="AN229" s="24" t="e">
        <f>SUMIFS(#REF!,#REF!,$B229,#REF!,AN$1)</f>
        <v>#REF!</v>
      </c>
      <c r="AO229" s="24" t="e">
        <f>SUMIFS(#REF!,#REF!,$B229,#REF!,AO$1)</f>
        <v>#REF!</v>
      </c>
      <c r="AP229" s="24" t="e">
        <f>SUMIFS(#REF!,#REF!,$B229,#REF!,AP$1)</f>
        <v>#REF!</v>
      </c>
      <c r="AQ229" s="24" t="e">
        <f>SUMIFS(#REF!,#REF!,$B229,#REF!,AQ$1)</f>
        <v>#REF!</v>
      </c>
      <c r="AR229" s="24" t="e">
        <f>SUMIFS(#REF!,#REF!,$B229,#REF!,AR$1)</f>
        <v>#REF!</v>
      </c>
      <c r="AS229" s="24" t="e">
        <f>SUMIFS(#REF!,#REF!,$B229,#REF!,AS$1)</f>
        <v>#REF!</v>
      </c>
      <c r="AT229" s="24" t="e">
        <f>SUMIFS(#REF!,#REF!,$B229,#REF!,AT$1)</f>
        <v>#REF!</v>
      </c>
      <c r="AU229" s="24" t="e">
        <f>SUMIFS(#REF!,#REF!,$B229,#REF!,AU$1)</f>
        <v>#REF!</v>
      </c>
      <c r="AV229" s="24" t="e">
        <f>SUMIFS(#REF!,#REF!,$B229,#REF!,AV$1)</f>
        <v>#REF!</v>
      </c>
      <c r="AW229" s="24" t="e">
        <f>SUMIFS(#REF!,#REF!,$B229,#REF!,AW$1)</f>
        <v>#REF!</v>
      </c>
      <c r="AX229" s="24" t="e">
        <f>SUMIFS(#REF!,#REF!,$B229,#REF!,AX$1)</f>
        <v>#REF!</v>
      </c>
      <c r="AY229" s="24" t="e">
        <f>SUMIFS(#REF!,#REF!,$B229,#REF!,AY$1)</f>
        <v>#REF!</v>
      </c>
      <c r="AZ229" s="24" t="e">
        <f>SUMIFS(#REF!,#REF!,$B229,#REF!,AZ$1)</f>
        <v>#REF!</v>
      </c>
      <c r="BA229" s="24" t="e">
        <f>SUMIFS(#REF!,#REF!,$B229,#REF!,BA$1)</f>
        <v>#REF!</v>
      </c>
      <c r="BB229" s="24" t="e">
        <f>SUMIFS(#REF!,#REF!,$B229,#REF!,BB$1)</f>
        <v>#REF!</v>
      </c>
      <c r="BC229" s="24" t="e">
        <f>SUMIFS(#REF!,#REF!,$B229,#REF!,BC$1)</f>
        <v>#REF!</v>
      </c>
      <c r="BD229" s="24" t="e">
        <f>SUMIFS(#REF!,#REF!,$B229,#REF!,BD$1)</f>
        <v>#REF!</v>
      </c>
      <c r="BE229" s="24" t="e">
        <f>SUMIFS(#REF!,#REF!,$B229,#REF!,BE$1)</f>
        <v>#REF!</v>
      </c>
      <c r="BF229" s="24" t="e">
        <f>SUMIFS(#REF!,#REF!,$B229,#REF!,BF$1)</f>
        <v>#REF!</v>
      </c>
      <c r="BG229" s="24" t="e">
        <f>SUMIFS(#REF!,#REF!,$B229,#REF!,BG$1)</f>
        <v>#REF!</v>
      </c>
      <c r="BH229" s="24" t="e">
        <f>SUMIFS(#REF!,#REF!,$B229,#REF!,BH$1)</f>
        <v>#REF!</v>
      </c>
      <c r="BI229" s="24" t="e">
        <f>SUMIFS(#REF!,#REF!,$B229,#REF!,BI$1)</f>
        <v>#REF!</v>
      </c>
      <c r="BJ229" s="24" t="e">
        <f>SUMIFS(#REF!,#REF!,$B229,#REF!,BJ$1)</f>
        <v>#REF!</v>
      </c>
      <c r="BK229" s="24" t="e">
        <f>SUMIFS(#REF!,#REF!,$B229,#REF!,BK$1)</f>
        <v>#REF!</v>
      </c>
      <c r="BL229" s="24" t="e">
        <f>SUMIFS(#REF!,#REF!,$B229,#REF!,BL$1)</f>
        <v>#REF!</v>
      </c>
      <c r="BM229" s="24" t="e">
        <f>SUMIFS(#REF!,#REF!,$B229,#REF!,BM$1)</f>
        <v>#REF!</v>
      </c>
      <c r="BN229" s="24" t="e">
        <f>SUMIFS(#REF!,#REF!,$B229,#REF!,BN$1)</f>
        <v>#REF!</v>
      </c>
      <c r="BO229" s="24" t="e">
        <f>SUMIFS(#REF!,#REF!,$B229,#REF!,BO$1)</f>
        <v>#REF!</v>
      </c>
      <c r="BP229" s="24" t="e">
        <f>SUMIFS(#REF!,#REF!,$B229,#REF!,BP$1)</f>
        <v>#REF!</v>
      </c>
      <c r="BQ229" s="24" t="e">
        <f>SUMIFS(#REF!,#REF!,$B229,#REF!,BQ$1)</f>
        <v>#REF!</v>
      </c>
      <c r="BR229" s="24" t="e">
        <f>SUMIFS(#REF!,#REF!,$B229,#REF!,BR$1)</f>
        <v>#REF!</v>
      </c>
      <c r="BS229" s="24" t="e">
        <f>SUMIFS(#REF!,#REF!,$B229,#REF!,BS$1)</f>
        <v>#REF!</v>
      </c>
      <c r="BT229" s="24" t="e">
        <f>SUMIFS(#REF!,#REF!,$B229,#REF!,BT$1)</f>
        <v>#REF!</v>
      </c>
      <c r="BU229" s="24" t="e">
        <f>SUMIFS(#REF!,#REF!,$B229,#REF!,BU$1)</f>
        <v>#REF!</v>
      </c>
      <c r="BV229" s="24" t="e">
        <f>SUMIFS(#REF!,#REF!,$B229,#REF!,BV$1)</f>
        <v>#REF!</v>
      </c>
      <c r="BW229" s="24" t="e">
        <f>SUMIFS(#REF!,#REF!,$B229,#REF!,BW$1)</f>
        <v>#REF!</v>
      </c>
      <c r="BX229" s="24" t="e">
        <f>SUMIFS(#REF!,#REF!,$B229,#REF!,BX$1)</f>
        <v>#REF!</v>
      </c>
      <c r="BY229" s="24" t="e">
        <f>SUMIFS(#REF!,#REF!,$B229,#REF!,BY$1)</f>
        <v>#REF!</v>
      </c>
      <c r="BZ229" s="24" t="e">
        <f>SUMIFS(#REF!,#REF!,$B229,#REF!,BZ$1)</f>
        <v>#REF!</v>
      </c>
      <c r="CA229" s="24" t="e">
        <f>SUMIFS(#REF!,#REF!,$B229,#REF!,CA$1)</f>
        <v>#REF!</v>
      </c>
      <c r="CB229" s="24" t="e">
        <f>SUMIFS(#REF!,#REF!,$B229,#REF!,CB$1)</f>
        <v>#REF!</v>
      </c>
      <c r="CC229" s="24" t="e">
        <f>SUMIFS(#REF!,#REF!,$B229,#REF!,CC$1)</f>
        <v>#REF!</v>
      </c>
      <c r="CD229" s="24" t="e">
        <f>SUMIFS(#REF!,#REF!,$B229,#REF!,CD$1)</f>
        <v>#REF!</v>
      </c>
      <c r="CE229" s="24" t="e">
        <f>SUMIFS(#REF!,#REF!,$B229,#REF!,CE$1)</f>
        <v>#REF!</v>
      </c>
      <c r="CF229" s="24" t="e">
        <f>SUMIFS(#REF!,#REF!,$B229,#REF!,CF$1)</f>
        <v>#REF!</v>
      </c>
      <c r="CG229" s="19" t="e">
        <f t="shared" si="3"/>
        <v>#REF!</v>
      </c>
    </row>
    <row r="230" spans="1:85" x14ac:dyDescent="0.45">
      <c r="A230" s="4" t="s">
        <v>1442</v>
      </c>
      <c r="B230" s="4" t="s">
        <v>1443</v>
      </c>
      <c r="C230" s="24" t="e">
        <f>SUMIFS(#REF!,#REF!,$B230,#REF!,C$1)</f>
        <v>#REF!</v>
      </c>
      <c r="D230" s="24" t="e">
        <f>SUMIFS(#REF!,#REF!,$B230,#REF!,D$1)</f>
        <v>#REF!</v>
      </c>
      <c r="E230" s="24" t="e">
        <f>SUMIFS(#REF!,#REF!,$B230,#REF!,E$1)</f>
        <v>#REF!</v>
      </c>
      <c r="F230" s="24" t="e">
        <f>SUMIFS(#REF!,#REF!,$B230,#REF!,F$1)</f>
        <v>#REF!</v>
      </c>
      <c r="G230" s="24" t="e">
        <f>SUMIFS(#REF!,#REF!,$B230,#REF!,G$1)</f>
        <v>#REF!</v>
      </c>
      <c r="H230" s="24" t="e">
        <f>SUMIFS(#REF!,#REF!,$B230,#REF!,H$1)</f>
        <v>#REF!</v>
      </c>
      <c r="I230" s="24" t="e">
        <f>SUMIFS(#REF!,#REF!,$B230,#REF!,I$1)</f>
        <v>#REF!</v>
      </c>
      <c r="J230" s="24" t="e">
        <f>SUMIFS(#REF!,#REF!,$B230,#REF!,J$1)</f>
        <v>#REF!</v>
      </c>
      <c r="K230" s="24" t="e">
        <f>SUMIFS(#REF!,#REF!,$B230,#REF!,K$1)</f>
        <v>#REF!</v>
      </c>
      <c r="L230" s="24" t="e">
        <f>SUMIFS(#REF!,#REF!,$B230,#REF!,L$1)</f>
        <v>#REF!</v>
      </c>
      <c r="M230" s="24" t="e">
        <f>SUMIFS(#REF!,#REF!,$B230,#REF!,M$1)</f>
        <v>#REF!</v>
      </c>
      <c r="N230" s="24" t="e">
        <f>SUMIFS(#REF!,#REF!,$B230,#REF!,N$1)</f>
        <v>#REF!</v>
      </c>
      <c r="O230" s="24" t="e">
        <f>SUMIFS(#REF!,#REF!,$B230,#REF!,O$1)</f>
        <v>#REF!</v>
      </c>
      <c r="P230" s="24" t="e">
        <f>SUMIFS(#REF!,#REF!,$B230,#REF!,P$1)</f>
        <v>#REF!</v>
      </c>
      <c r="Q230" s="24" t="e">
        <f>SUMIFS(#REF!,#REF!,$B230,#REF!,Q$1)</f>
        <v>#REF!</v>
      </c>
      <c r="R230" s="24" t="e">
        <f>SUMIFS(#REF!,#REF!,$B230,#REF!,R$1)</f>
        <v>#REF!</v>
      </c>
      <c r="S230" s="24" t="e">
        <f>SUMIFS(#REF!,#REF!,$B230,#REF!,S$1)</f>
        <v>#REF!</v>
      </c>
      <c r="T230" s="24" t="e">
        <f>SUMIFS(#REF!,#REF!,$B230,#REF!,T$1)</f>
        <v>#REF!</v>
      </c>
      <c r="U230" s="24" t="e">
        <f>SUMIFS(#REF!,#REF!,$B230,#REF!,U$1)</f>
        <v>#REF!</v>
      </c>
      <c r="V230" s="24" t="e">
        <f>SUMIFS(#REF!,#REF!,$B230,#REF!,V$1)</f>
        <v>#REF!</v>
      </c>
      <c r="W230" s="24" t="e">
        <f>SUMIFS(#REF!,#REF!,$B230,#REF!,W$1)</f>
        <v>#REF!</v>
      </c>
      <c r="X230" s="24" t="e">
        <f>SUMIFS(#REF!,#REF!,$B230,#REF!,X$1)</f>
        <v>#REF!</v>
      </c>
      <c r="Y230" s="24" t="e">
        <f>SUMIFS(#REF!,#REF!,$B230,#REF!,Y$1)</f>
        <v>#REF!</v>
      </c>
      <c r="Z230" s="24" t="e">
        <f>SUMIFS(#REF!,#REF!,$B230,#REF!,Z$1)</f>
        <v>#REF!</v>
      </c>
      <c r="AA230" s="24" t="e">
        <f>SUMIFS(#REF!,#REF!,$B230,#REF!,AA$1)</f>
        <v>#REF!</v>
      </c>
      <c r="AB230" s="24" t="e">
        <f>SUMIFS(#REF!,#REF!,$B230,#REF!,AB$1)</f>
        <v>#REF!</v>
      </c>
      <c r="AC230" s="24" t="e">
        <f>SUMIFS(#REF!,#REF!,$B230,#REF!,AC$1)</f>
        <v>#REF!</v>
      </c>
      <c r="AD230" s="24" t="e">
        <f>SUMIFS(#REF!,#REF!,$B230,#REF!,AD$1)</f>
        <v>#REF!</v>
      </c>
      <c r="AE230" s="24" t="e">
        <f>SUMIFS(#REF!,#REF!,$B230,#REF!,AE$1)</f>
        <v>#REF!</v>
      </c>
      <c r="AF230" s="24" t="e">
        <f>SUMIFS(#REF!,#REF!,$B230,#REF!,AF$1)</f>
        <v>#REF!</v>
      </c>
      <c r="AG230" s="24" t="e">
        <f>SUMIFS(#REF!,#REF!,$B230,#REF!,AG$1)</f>
        <v>#REF!</v>
      </c>
      <c r="AH230" s="24" t="e">
        <f>SUMIFS(#REF!,#REF!,$B230,#REF!,AH$1)</f>
        <v>#REF!</v>
      </c>
      <c r="AI230" s="24" t="e">
        <f>SUMIFS(#REF!,#REF!,$B230,#REF!,AI$1)</f>
        <v>#REF!</v>
      </c>
      <c r="AJ230" s="24" t="e">
        <f>SUMIFS(#REF!,#REF!,$B230,#REF!,AJ$1)</f>
        <v>#REF!</v>
      </c>
      <c r="AK230" s="24" t="e">
        <f>SUMIFS(#REF!,#REF!,$B230,#REF!,AK$1)</f>
        <v>#REF!</v>
      </c>
      <c r="AL230" s="24" t="e">
        <f>SUMIFS(#REF!,#REF!,$B230,#REF!,AL$1)</f>
        <v>#REF!</v>
      </c>
      <c r="AM230" s="24" t="e">
        <f>SUMIFS(#REF!,#REF!,$B230,#REF!,AM$1)</f>
        <v>#REF!</v>
      </c>
      <c r="AN230" s="24" t="e">
        <f>SUMIFS(#REF!,#REF!,$B230,#REF!,AN$1)</f>
        <v>#REF!</v>
      </c>
      <c r="AO230" s="24" t="e">
        <f>SUMIFS(#REF!,#REF!,$B230,#REF!,AO$1)</f>
        <v>#REF!</v>
      </c>
      <c r="AP230" s="24" t="e">
        <f>SUMIFS(#REF!,#REF!,$B230,#REF!,AP$1)</f>
        <v>#REF!</v>
      </c>
      <c r="AQ230" s="24" t="e">
        <f>SUMIFS(#REF!,#REF!,$B230,#REF!,AQ$1)</f>
        <v>#REF!</v>
      </c>
      <c r="AR230" s="24" t="e">
        <f>SUMIFS(#REF!,#REF!,$B230,#REF!,AR$1)</f>
        <v>#REF!</v>
      </c>
      <c r="AS230" s="24" t="e">
        <f>SUMIFS(#REF!,#REF!,$B230,#REF!,AS$1)</f>
        <v>#REF!</v>
      </c>
      <c r="AT230" s="24" t="e">
        <f>SUMIFS(#REF!,#REF!,$B230,#REF!,AT$1)</f>
        <v>#REF!</v>
      </c>
      <c r="AU230" s="24" t="e">
        <f>SUMIFS(#REF!,#REF!,$B230,#REF!,AU$1)</f>
        <v>#REF!</v>
      </c>
      <c r="AV230" s="24" t="e">
        <f>SUMIFS(#REF!,#REF!,$B230,#REF!,AV$1)</f>
        <v>#REF!</v>
      </c>
      <c r="AW230" s="24" t="e">
        <f>SUMIFS(#REF!,#REF!,$B230,#REF!,AW$1)</f>
        <v>#REF!</v>
      </c>
      <c r="AX230" s="24" t="e">
        <f>SUMIFS(#REF!,#REF!,$B230,#REF!,AX$1)</f>
        <v>#REF!</v>
      </c>
      <c r="AY230" s="24" t="e">
        <f>SUMIFS(#REF!,#REF!,$B230,#REF!,AY$1)</f>
        <v>#REF!</v>
      </c>
      <c r="AZ230" s="24" t="e">
        <f>SUMIFS(#REF!,#REF!,$B230,#REF!,AZ$1)</f>
        <v>#REF!</v>
      </c>
      <c r="BA230" s="24" t="e">
        <f>SUMIFS(#REF!,#REF!,$B230,#REF!,BA$1)</f>
        <v>#REF!</v>
      </c>
      <c r="BB230" s="24" t="e">
        <f>SUMIFS(#REF!,#REF!,$B230,#REF!,BB$1)</f>
        <v>#REF!</v>
      </c>
      <c r="BC230" s="24" t="e">
        <f>SUMIFS(#REF!,#REF!,$B230,#REF!,BC$1)</f>
        <v>#REF!</v>
      </c>
      <c r="BD230" s="24" t="e">
        <f>SUMIFS(#REF!,#REF!,$B230,#REF!,BD$1)</f>
        <v>#REF!</v>
      </c>
      <c r="BE230" s="24" t="e">
        <f>SUMIFS(#REF!,#REF!,$B230,#REF!,BE$1)</f>
        <v>#REF!</v>
      </c>
      <c r="BF230" s="24" t="e">
        <f>SUMIFS(#REF!,#REF!,$B230,#REF!,BF$1)</f>
        <v>#REF!</v>
      </c>
      <c r="BG230" s="24" t="e">
        <f>SUMIFS(#REF!,#REF!,$B230,#REF!,BG$1)</f>
        <v>#REF!</v>
      </c>
      <c r="BH230" s="24" t="e">
        <f>SUMIFS(#REF!,#REF!,$B230,#REF!,BH$1)</f>
        <v>#REF!</v>
      </c>
      <c r="BI230" s="24" t="e">
        <f>SUMIFS(#REF!,#REF!,$B230,#REF!,BI$1)</f>
        <v>#REF!</v>
      </c>
      <c r="BJ230" s="24" t="e">
        <f>SUMIFS(#REF!,#REF!,$B230,#REF!,BJ$1)</f>
        <v>#REF!</v>
      </c>
      <c r="BK230" s="24" t="e">
        <f>SUMIFS(#REF!,#REF!,$B230,#REF!,BK$1)</f>
        <v>#REF!</v>
      </c>
      <c r="BL230" s="24" t="e">
        <f>SUMIFS(#REF!,#REF!,$B230,#REF!,BL$1)</f>
        <v>#REF!</v>
      </c>
      <c r="BM230" s="24" t="e">
        <f>SUMIFS(#REF!,#REF!,$B230,#REF!,BM$1)</f>
        <v>#REF!</v>
      </c>
      <c r="BN230" s="24" t="e">
        <f>SUMIFS(#REF!,#REF!,$B230,#REF!,BN$1)</f>
        <v>#REF!</v>
      </c>
      <c r="BO230" s="24" t="e">
        <f>SUMIFS(#REF!,#REF!,$B230,#REF!,BO$1)</f>
        <v>#REF!</v>
      </c>
      <c r="BP230" s="24" t="e">
        <f>SUMIFS(#REF!,#REF!,$B230,#REF!,BP$1)</f>
        <v>#REF!</v>
      </c>
      <c r="BQ230" s="24" t="e">
        <f>SUMIFS(#REF!,#REF!,$B230,#REF!,BQ$1)</f>
        <v>#REF!</v>
      </c>
      <c r="BR230" s="24" t="e">
        <f>SUMIFS(#REF!,#REF!,$B230,#REF!,BR$1)</f>
        <v>#REF!</v>
      </c>
      <c r="BS230" s="24" t="e">
        <f>SUMIFS(#REF!,#REF!,$B230,#REF!,BS$1)</f>
        <v>#REF!</v>
      </c>
      <c r="BT230" s="24" t="e">
        <f>SUMIFS(#REF!,#REF!,$B230,#REF!,BT$1)</f>
        <v>#REF!</v>
      </c>
      <c r="BU230" s="24" t="e">
        <f>SUMIFS(#REF!,#REF!,$B230,#REF!,BU$1)</f>
        <v>#REF!</v>
      </c>
      <c r="BV230" s="24" t="e">
        <f>SUMIFS(#REF!,#REF!,$B230,#REF!,BV$1)</f>
        <v>#REF!</v>
      </c>
      <c r="BW230" s="24" t="e">
        <f>SUMIFS(#REF!,#REF!,$B230,#REF!,BW$1)</f>
        <v>#REF!</v>
      </c>
      <c r="BX230" s="24" t="e">
        <f>SUMIFS(#REF!,#REF!,$B230,#REF!,BX$1)</f>
        <v>#REF!</v>
      </c>
      <c r="BY230" s="24" t="e">
        <f>SUMIFS(#REF!,#REF!,$B230,#REF!,BY$1)</f>
        <v>#REF!</v>
      </c>
      <c r="BZ230" s="24" t="e">
        <f>SUMIFS(#REF!,#REF!,$B230,#REF!,BZ$1)</f>
        <v>#REF!</v>
      </c>
      <c r="CA230" s="24" t="e">
        <f>SUMIFS(#REF!,#REF!,$B230,#REF!,CA$1)</f>
        <v>#REF!</v>
      </c>
      <c r="CB230" s="24" t="e">
        <f>SUMIFS(#REF!,#REF!,$B230,#REF!,CB$1)</f>
        <v>#REF!</v>
      </c>
      <c r="CC230" s="24" t="e">
        <f>SUMIFS(#REF!,#REF!,$B230,#REF!,CC$1)</f>
        <v>#REF!</v>
      </c>
      <c r="CD230" s="24" t="e">
        <f>SUMIFS(#REF!,#REF!,$B230,#REF!,CD$1)</f>
        <v>#REF!</v>
      </c>
      <c r="CE230" s="24" t="e">
        <f>SUMIFS(#REF!,#REF!,$B230,#REF!,CE$1)</f>
        <v>#REF!</v>
      </c>
      <c r="CF230" s="24" t="e">
        <f>SUMIFS(#REF!,#REF!,$B230,#REF!,CF$1)</f>
        <v>#REF!</v>
      </c>
      <c r="CG230" s="19" t="e">
        <f t="shared" si="3"/>
        <v>#REF!</v>
      </c>
    </row>
    <row r="231" spans="1:85" x14ac:dyDescent="0.45">
      <c r="A231" s="4" t="s">
        <v>1444</v>
      </c>
      <c r="B231" s="4" t="s">
        <v>1445</v>
      </c>
      <c r="C231" s="24" t="e">
        <f>SUMIFS(#REF!,#REF!,$B231,#REF!,C$1)</f>
        <v>#REF!</v>
      </c>
      <c r="D231" s="24" t="e">
        <f>SUMIFS(#REF!,#REF!,$B231,#REF!,D$1)</f>
        <v>#REF!</v>
      </c>
      <c r="E231" s="24" t="e">
        <f>SUMIFS(#REF!,#REF!,$B231,#REF!,E$1)</f>
        <v>#REF!</v>
      </c>
      <c r="F231" s="24" t="e">
        <f>SUMIFS(#REF!,#REF!,$B231,#REF!,F$1)</f>
        <v>#REF!</v>
      </c>
      <c r="G231" s="24" t="e">
        <f>SUMIFS(#REF!,#REF!,$B231,#REF!,G$1)</f>
        <v>#REF!</v>
      </c>
      <c r="H231" s="24" t="e">
        <f>SUMIFS(#REF!,#REF!,$B231,#REF!,H$1)</f>
        <v>#REF!</v>
      </c>
      <c r="I231" s="24" t="e">
        <f>SUMIFS(#REF!,#REF!,$B231,#REF!,I$1)</f>
        <v>#REF!</v>
      </c>
      <c r="J231" s="24" t="e">
        <f>SUMIFS(#REF!,#REF!,$B231,#REF!,J$1)</f>
        <v>#REF!</v>
      </c>
      <c r="K231" s="24" t="e">
        <f>SUMIFS(#REF!,#REF!,$B231,#REF!,K$1)</f>
        <v>#REF!</v>
      </c>
      <c r="L231" s="24" t="e">
        <f>SUMIFS(#REF!,#REF!,$B231,#REF!,L$1)</f>
        <v>#REF!</v>
      </c>
      <c r="M231" s="24" t="e">
        <f>SUMIFS(#REF!,#REF!,$B231,#REF!,M$1)</f>
        <v>#REF!</v>
      </c>
      <c r="N231" s="24" t="e">
        <f>SUMIFS(#REF!,#REF!,$B231,#REF!,N$1)</f>
        <v>#REF!</v>
      </c>
      <c r="O231" s="24" t="e">
        <f>SUMIFS(#REF!,#REF!,$B231,#REF!,O$1)</f>
        <v>#REF!</v>
      </c>
      <c r="P231" s="24" t="e">
        <f>SUMIFS(#REF!,#REF!,$B231,#REF!,P$1)</f>
        <v>#REF!</v>
      </c>
      <c r="Q231" s="24" t="e">
        <f>SUMIFS(#REF!,#REF!,$B231,#REF!,Q$1)</f>
        <v>#REF!</v>
      </c>
      <c r="R231" s="24" t="e">
        <f>SUMIFS(#REF!,#REF!,$B231,#REF!,R$1)</f>
        <v>#REF!</v>
      </c>
      <c r="S231" s="24" t="e">
        <f>SUMIFS(#REF!,#REF!,$B231,#REF!,S$1)</f>
        <v>#REF!</v>
      </c>
      <c r="T231" s="24" t="e">
        <f>SUMIFS(#REF!,#REF!,$B231,#REF!,T$1)</f>
        <v>#REF!</v>
      </c>
      <c r="U231" s="24" t="e">
        <f>SUMIFS(#REF!,#REF!,$B231,#REF!,U$1)</f>
        <v>#REF!</v>
      </c>
      <c r="V231" s="24" t="e">
        <f>SUMIFS(#REF!,#REF!,$B231,#REF!,V$1)</f>
        <v>#REF!</v>
      </c>
      <c r="W231" s="24" t="e">
        <f>SUMIFS(#REF!,#REF!,$B231,#REF!,W$1)</f>
        <v>#REF!</v>
      </c>
      <c r="X231" s="24" t="e">
        <f>SUMIFS(#REF!,#REF!,$B231,#REF!,X$1)</f>
        <v>#REF!</v>
      </c>
      <c r="Y231" s="24" t="e">
        <f>SUMIFS(#REF!,#REF!,$B231,#REF!,Y$1)</f>
        <v>#REF!</v>
      </c>
      <c r="Z231" s="24" t="e">
        <f>SUMIFS(#REF!,#REF!,$B231,#REF!,Z$1)</f>
        <v>#REF!</v>
      </c>
      <c r="AA231" s="24" t="e">
        <f>SUMIFS(#REF!,#REF!,$B231,#REF!,AA$1)</f>
        <v>#REF!</v>
      </c>
      <c r="AB231" s="24" t="e">
        <f>SUMIFS(#REF!,#REF!,$B231,#REF!,AB$1)</f>
        <v>#REF!</v>
      </c>
      <c r="AC231" s="24" t="e">
        <f>SUMIFS(#REF!,#REF!,$B231,#REF!,AC$1)</f>
        <v>#REF!</v>
      </c>
      <c r="AD231" s="24" t="e">
        <f>SUMIFS(#REF!,#REF!,$B231,#REF!,AD$1)</f>
        <v>#REF!</v>
      </c>
      <c r="AE231" s="24" t="e">
        <f>SUMIFS(#REF!,#REF!,$B231,#REF!,AE$1)</f>
        <v>#REF!</v>
      </c>
      <c r="AF231" s="24" t="e">
        <f>SUMIFS(#REF!,#REF!,$B231,#REF!,AF$1)</f>
        <v>#REF!</v>
      </c>
      <c r="AG231" s="24" t="e">
        <f>SUMIFS(#REF!,#REF!,$B231,#REF!,AG$1)</f>
        <v>#REF!</v>
      </c>
      <c r="AH231" s="24" t="e">
        <f>SUMIFS(#REF!,#REF!,$B231,#REF!,AH$1)</f>
        <v>#REF!</v>
      </c>
      <c r="AI231" s="24" t="e">
        <f>SUMIFS(#REF!,#REF!,$B231,#REF!,AI$1)</f>
        <v>#REF!</v>
      </c>
      <c r="AJ231" s="24" t="e">
        <f>SUMIFS(#REF!,#REF!,$B231,#REF!,AJ$1)</f>
        <v>#REF!</v>
      </c>
      <c r="AK231" s="24" t="e">
        <f>SUMIFS(#REF!,#REF!,$B231,#REF!,AK$1)</f>
        <v>#REF!</v>
      </c>
      <c r="AL231" s="24" t="e">
        <f>SUMIFS(#REF!,#REF!,$B231,#REF!,AL$1)</f>
        <v>#REF!</v>
      </c>
      <c r="AM231" s="24" t="e">
        <f>SUMIFS(#REF!,#REF!,$B231,#REF!,AM$1)</f>
        <v>#REF!</v>
      </c>
      <c r="AN231" s="24" t="e">
        <f>SUMIFS(#REF!,#REF!,$B231,#REF!,AN$1)</f>
        <v>#REF!</v>
      </c>
      <c r="AO231" s="24" t="e">
        <f>SUMIFS(#REF!,#REF!,$B231,#REF!,AO$1)</f>
        <v>#REF!</v>
      </c>
      <c r="AP231" s="24" t="e">
        <f>SUMIFS(#REF!,#REF!,$B231,#REF!,AP$1)</f>
        <v>#REF!</v>
      </c>
      <c r="AQ231" s="24" t="e">
        <f>SUMIFS(#REF!,#REF!,$B231,#REF!,AQ$1)</f>
        <v>#REF!</v>
      </c>
      <c r="AR231" s="24" t="e">
        <f>SUMIFS(#REF!,#REF!,$B231,#REF!,AR$1)</f>
        <v>#REF!</v>
      </c>
      <c r="AS231" s="24" t="e">
        <f>SUMIFS(#REF!,#REF!,$B231,#REF!,AS$1)</f>
        <v>#REF!</v>
      </c>
      <c r="AT231" s="24" t="e">
        <f>SUMIFS(#REF!,#REF!,$B231,#REF!,AT$1)</f>
        <v>#REF!</v>
      </c>
      <c r="AU231" s="24" t="e">
        <f>SUMIFS(#REF!,#REF!,$B231,#REF!,AU$1)</f>
        <v>#REF!</v>
      </c>
      <c r="AV231" s="24" t="e">
        <f>SUMIFS(#REF!,#REF!,$B231,#REF!,AV$1)</f>
        <v>#REF!</v>
      </c>
      <c r="AW231" s="24" t="e">
        <f>SUMIFS(#REF!,#REF!,$B231,#REF!,AW$1)</f>
        <v>#REF!</v>
      </c>
      <c r="AX231" s="24" t="e">
        <f>SUMIFS(#REF!,#REF!,$B231,#REF!,AX$1)</f>
        <v>#REF!</v>
      </c>
      <c r="AY231" s="24" t="e">
        <f>SUMIFS(#REF!,#REF!,$B231,#REF!,AY$1)</f>
        <v>#REF!</v>
      </c>
      <c r="AZ231" s="24" t="e">
        <f>SUMIFS(#REF!,#REF!,$B231,#REF!,AZ$1)</f>
        <v>#REF!</v>
      </c>
      <c r="BA231" s="24" t="e">
        <f>SUMIFS(#REF!,#REF!,$B231,#REF!,BA$1)</f>
        <v>#REF!</v>
      </c>
      <c r="BB231" s="24" t="e">
        <f>SUMIFS(#REF!,#REF!,$B231,#REF!,BB$1)</f>
        <v>#REF!</v>
      </c>
      <c r="BC231" s="24" t="e">
        <f>SUMIFS(#REF!,#REF!,$B231,#REF!,BC$1)</f>
        <v>#REF!</v>
      </c>
      <c r="BD231" s="24" t="e">
        <f>SUMIFS(#REF!,#REF!,$B231,#REF!,BD$1)</f>
        <v>#REF!</v>
      </c>
      <c r="BE231" s="24" t="e">
        <f>SUMIFS(#REF!,#REF!,$B231,#REF!,BE$1)</f>
        <v>#REF!</v>
      </c>
      <c r="BF231" s="24" t="e">
        <f>SUMIFS(#REF!,#REF!,$B231,#REF!,BF$1)</f>
        <v>#REF!</v>
      </c>
      <c r="BG231" s="24" t="e">
        <f>SUMIFS(#REF!,#REF!,$B231,#REF!,BG$1)</f>
        <v>#REF!</v>
      </c>
      <c r="BH231" s="24" t="e">
        <f>SUMIFS(#REF!,#REF!,$B231,#REF!,BH$1)</f>
        <v>#REF!</v>
      </c>
      <c r="BI231" s="24" t="e">
        <f>SUMIFS(#REF!,#REF!,$B231,#REF!,BI$1)</f>
        <v>#REF!</v>
      </c>
      <c r="BJ231" s="24" t="e">
        <f>SUMIFS(#REF!,#REF!,$B231,#REF!,BJ$1)</f>
        <v>#REF!</v>
      </c>
      <c r="BK231" s="24" t="e">
        <f>SUMIFS(#REF!,#REF!,$B231,#REF!,BK$1)</f>
        <v>#REF!</v>
      </c>
      <c r="BL231" s="24" t="e">
        <f>SUMIFS(#REF!,#REF!,$B231,#REF!,BL$1)</f>
        <v>#REF!</v>
      </c>
      <c r="BM231" s="24" t="e">
        <f>SUMIFS(#REF!,#REF!,$B231,#REF!,BM$1)</f>
        <v>#REF!</v>
      </c>
      <c r="BN231" s="24" t="e">
        <f>SUMIFS(#REF!,#REF!,$B231,#REF!,BN$1)</f>
        <v>#REF!</v>
      </c>
      <c r="BO231" s="24" t="e">
        <f>SUMIFS(#REF!,#REF!,$B231,#REF!,BO$1)</f>
        <v>#REF!</v>
      </c>
      <c r="BP231" s="24" t="e">
        <f>SUMIFS(#REF!,#REF!,$B231,#REF!,BP$1)</f>
        <v>#REF!</v>
      </c>
      <c r="BQ231" s="24" t="e">
        <f>SUMIFS(#REF!,#REF!,$B231,#REF!,BQ$1)</f>
        <v>#REF!</v>
      </c>
      <c r="BR231" s="24" t="e">
        <f>SUMIFS(#REF!,#REF!,$B231,#REF!,BR$1)</f>
        <v>#REF!</v>
      </c>
      <c r="BS231" s="24" t="e">
        <f>SUMIFS(#REF!,#REF!,$B231,#REF!,BS$1)</f>
        <v>#REF!</v>
      </c>
      <c r="BT231" s="24" t="e">
        <f>SUMIFS(#REF!,#REF!,$B231,#REF!,BT$1)</f>
        <v>#REF!</v>
      </c>
      <c r="BU231" s="24" t="e">
        <f>SUMIFS(#REF!,#REF!,$B231,#REF!,BU$1)</f>
        <v>#REF!</v>
      </c>
      <c r="BV231" s="24" t="e">
        <f>SUMIFS(#REF!,#REF!,$B231,#REF!,BV$1)</f>
        <v>#REF!</v>
      </c>
      <c r="BW231" s="24" t="e">
        <f>SUMIFS(#REF!,#REF!,$B231,#REF!,BW$1)</f>
        <v>#REF!</v>
      </c>
      <c r="BX231" s="24" t="e">
        <f>SUMIFS(#REF!,#REF!,$B231,#REF!,BX$1)</f>
        <v>#REF!</v>
      </c>
      <c r="BY231" s="24" t="e">
        <f>SUMIFS(#REF!,#REF!,$B231,#REF!,BY$1)</f>
        <v>#REF!</v>
      </c>
      <c r="BZ231" s="24" t="e">
        <f>SUMIFS(#REF!,#REF!,$B231,#REF!,BZ$1)</f>
        <v>#REF!</v>
      </c>
      <c r="CA231" s="24" t="e">
        <f>SUMIFS(#REF!,#REF!,$B231,#REF!,CA$1)</f>
        <v>#REF!</v>
      </c>
      <c r="CB231" s="24" t="e">
        <f>SUMIFS(#REF!,#REF!,$B231,#REF!,CB$1)</f>
        <v>#REF!</v>
      </c>
      <c r="CC231" s="24" t="e">
        <f>SUMIFS(#REF!,#REF!,$B231,#REF!,CC$1)</f>
        <v>#REF!</v>
      </c>
      <c r="CD231" s="24" t="e">
        <f>SUMIFS(#REF!,#REF!,$B231,#REF!,CD$1)</f>
        <v>#REF!</v>
      </c>
      <c r="CE231" s="24" t="e">
        <f>SUMIFS(#REF!,#REF!,$B231,#REF!,CE$1)</f>
        <v>#REF!</v>
      </c>
      <c r="CF231" s="24" t="e">
        <f>SUMIFS(#REF!,#REF!,$B231,#REF!,CF$1)</f>
        <v>#REF!</v>
      </c>
      <c r="CG231" s="19" t="e">
        <f t="shared" si="3"/>
        <v>#REF!</v>
      </c>
    </row>
    <row r="232" spans="1:85" x14ac:dyDescent="0.45">
      <c r="A232" s="4" t="s">
        <v>1446</v>
      </c>
      <c r="B232" s="4" t="s">
        <v>1447</v>
      </c>
      <c r="C232" s="24" t="e">
        <f>SUMIFS(#REF!,#REF!,$B232,#REF!,C$1)</f>
        <v>#REF!</v>
      </c>
      <c r="D232" s="24" t="e">
        <f>SUMIFS(#REF!,#REF!,$B232,#REF!,D$1)</f>
        <v>#REF!</v>
      </c>
      <c r="E232" s="24" t="e">
        <f>SUMIFS(#REF!,#REF!,$B232,#REF!,E$1)</f>
        <v>#REF!</v>
      </c>
      <c r="F232" s="24" t="e">
        <f>SUMIFS(#REF!,#REF!,$B232,#REF!,F$1)</f>
        <v>#REF!</v>
      </c>
      <c r="G232" s="24" t="e">
        <f>SUMIFS(#REF!,#REF!,$B232,#REF!,G$1)</f>
        <v>#REF!</v>
      </c>
      <c r="H232" s="24" t="e">
        <f>SUMIFS(#REF!,#REF!,$B232,#REF!,H$1)</f>
        <v>#REF!</v>
      </c>
      <c r="I232" s="24" t="e">
        <f>SUMIFS(#REF!,#REF!,$B232,#REF!,I$1)</f>
        <v>#REF!</v>
      </c>
      <c r="J232" s="24" t="e">
        <f>SUMIFS(#REF!,#REF!,$B232,#REF!,J$1)</f>
        <v>#REF!</v>
      </c>
      <c r="K232" s="24" t="e">
        <f>SUMIFS(#REF!,#REF!,$B232,#REF!,K$1)</f>
        <v>#REF!</v>
      </c>
      <c r="L232" s="24" t="e">
        <f>SUMIFS(#REF!,#REF!,$B232,#REF!,L$1)</f>
        <v>#REF!</v>
      </c>
      <c r="M232" s="24" t="e">
        <f>SUMIFS(#REF!,#REF!,$B232,#REF!,M$1)</f>
        <v>#REF!</v>
      </c>
      <c r="N232" s="24" t="e">
        <f>SUMIFS(#REF!,#REF!,$B232,#REF!,N$1)</f>
        <v>#REF!</v>
      </c>
      <c r="O232" s="24" t="e">
        <f>SUMIFS(#REF!,#REF!,$B232,#REF!,O$1)</f>
        <v>#REF!</v>
      </c>
      <c r="P232" s="24" t="e">
        <f>SUMIFS(#REF!,#REF!,$B232,#REF!,P$1)</f>
        <v>#REF!</v>
      </c>
      <c r="Q232" s="24" t="e">
        <f>SUMIFS(#REF!,#REF!,$B232,#REF!,Q$1)</f>
        <v>#REF!</v>
      </c>
      <c r="R232" s="24" t="e">
        <f>SUMIFS(#REF!,#REF!,$B232,#REF!,R$1)</f>
        <v>#REF!</v>
      </c>
      <c r="S232" s="24" t="e">
        <f>SUMIFS(#REF!,#REF!,$B232,#REF!,S$1)</f>
        <v>#REF!</v>
      </c>
      <c r="T232" s="24" t="e">
        <f>SUMIFS(#REF!,#REF!,$B232,#REF!,T$1)</f>
        <v>#REF!</v>
      </c>
      <c r="U232" s="24" t="e">
        <f>SUMIFS(#REF!,#REF!,$B232,#REF!,U$1)</f>
        <v>#REF!</v>
      </c>
      <c r="V232" s="24" t="e">
        <f>SUMIFS(#REF!,#REF!,$B232,#REF!,V$1)</f>
        <v>#REF!</v>
      </c>
      <c r="W232" s="24" t="e">
        <f>SUMIFS(#REF!,#REF!,$B232,#REF!,W$1)</f>
        <v>#REF!</v>
      </c>
      <c r="X232" s="24" t="e">
        <f>SUMIFS(#REF!,#REF!,$B232,#REF!,X$1)</f>
        <v>#REF!</v>
      </c>
      <c r="Y232" s="24" t="e">
        <f>SUMIFS(#REF!,#REF!,$B232,#REF!,Y$1)</f>
        <v>#REF!</v>
      </c>
      <c r="Z232" s="24" t="e">
        <f>SUMIFS(#REF!,#REF!,$B232,#REF!,Z$1)</f>
        <v>#REF!</v>
      </c>
      <c r="AA232" s="24" t="e">
        <f>SUMIFS(#REF!,#REF!,$B232,#REF!,AA$1)</f>
        <v>#REF!</v>
      </c>
      <c r="AB232" s="24" t="e">
        <f>SUMIFS(#REF!,#REF!,$B232,#REF!,AB$1)</f>
        <v>#REF!</v>
      </c>
      <c r="AC232" s="24" t="e">
        <f>SUMIFS(#REF!,#REF!,$B232,#REF!,AC$1)</f>
        <v>#REF!</v>
      </c>
      <c r="AD232" s="24" t="e">
        <f>SUMIFS(#REF!,#REF!,$B232,#REF!,AD$1)</f>
        <v>#REF!</v>
      </c>
      <c r="AE232" s="24" t="e">
        <f>SUMIFS(#REF!,#REF!,$B232,#REF!,AE$1)</f>
        <v>#REF!</v>
      </c>
      <c r="AF232" s="24" t="e">
        <f>SUMIFS(#REF!,#REF!,$B232,#REF!,AF$1)</f>
        <v>#REF!</v>
      </c>
      <c r="AG232" s="24" t="e">
        <f>SUMIFS(#REF!,#REF!,$B232,#REF!,AG$1)</f>
        <v>#REF!</v>
      </c>
      <c r="AH232" s="24" t="e">
        <f>SUMIFS(#REF!,#REF!,$B232,#REF!,AH$1)</f>
        <v>#REF!</v>
      </c>
      <c r="AI232" s="24" t="e">
        <f>SUMIFS(#REF!,#REF!,$B232,#REF!,AI$1)</f>
        <v>#REF!</v>
      </c>
      <c r="AJ232" s="24" t="e">
        <f>SUMIFS(#REF!,#REF!,$B232,#REF!,AJ$1)</f>
        <v>#REF!</v>
      </c>
      <c r="AK232" s="24" t="e">
        <f>SUMIFS(#REF!,#REF!,$B232,#REF!,AK$1)</f>
        <v>#REF!</v>
      </c>
      <c r="AL232" s="24" t="e">
        <f>SUMIFS(#REF!,#REF!,$B232,#REF!,AL$1)</f>
        <v>#REF!</v>
      </c>
      <c r="AM232" s="24" t="e">
        <f>SUMIFS(#REF!,#REF!,$B232,#REF!,AM$1)</f>
        <v>#REF!</v>
      </c>
      <c r="AN232" s="24" t="e">
        <f>SUMIFS(#REF!,#REF!,$B232,#REF!,AN$1)</f>
        <v>#REF!</v>
      </c>
      <c r="AO232" s="24" t="e">
        <f>SUMIFS(#REF!,#REF!,$B232,#REF!,AO$1)</f>
        <v>#REF!</v>
      </c>
      <c r="AP232" s="24" t="e">
        <f>SUMIFS(#REF!,#REF!,$B232,#REF!,AP$1)</f>
        <v>#REF!</v>
      </c>
      <c r="AQ232" s="24" t="e">
        <f>SUMIFS(#REF!,#REF!,$B232,#REF!,AQ$1)</f>
        <v>#REF!</v>
      </c>
      <c r="AR232" s="24" t="e">
        <f>SUMIFS(#REF!,#REF!,$B232,#REF!,AR$1)</f>
        <v>#REF!</v>
      </c>
      <c r="AS232" s="24" t="e">
        <f>SUMIFS(#REF!,#REF!,$B232,#REF!,AS$1)</f>
        <v>#REF!</v>
      </c>
      <c r="AT232" s="24" t="e">
        <f>SUMIFS(#REF!,#REF!,$B232,#REF!,AT$1)</f>
        <v>#REF!</v>
      </c>
      <c r="AU232" s="24" t="e">
        <f>SUMIFS(#REF!,#REF!,$B232,#REF!,AU$1)</f>
        <v>#REF!</v>
      </c>
      <c r="AV232" s="24" t="e">
        <f>SUMIFS(#REF!,#REF!,$B232,#REF!,AV$1)</f>
        <v>#REF!</v>
      </c>
      <c r="AW232" s="24" t="e">
        <f>SUMIFS(#REF!,#REF!,$B232,#REF!,AW$1)</f>
        <v>#REF!</v>
      </c>
      <c r="AX232" s="24" t="e">
        <f>SUMIFS(#REF!,#REF!,$B232,#REF!,AX$1)</f>
        <v>#REF!</v>
      </c>
      <c r="AY232" s="24" t="e">
        <f>SUMIFS(#REF!,#REF!,$B232,#REF!,AY$1)</f>
        <v>#REF!</v>
      </c>
      <c r="AZ232" s="24" t="e">
        <f>SUMIFS(#REF!,#REF!,$B232,#REF!,AZ$1)</f>
        <v>#REF!</v>
      </c>
      <c r="BA232" s="24" t="e">
        <f>SUMIFS(#REF!,#REF!,$B232,#REF!,BA$1)</f>
        <v>#REF!</v>
      </c>
      <c r="BB232" s="24" t="e">
        <f>SUMIFS(#REF!,#REF!,$B232,#REF!,BB$1)</f>
        <v>#REF!</v>
      </c>
      <c r="BC232" s="24" t="e">
        <f>SUMIFS(#REF!,#REF!,$B232,#REF!,BC$1)</f>
        <v>#REF!</v>
      </c>
      <c r="BD232" s="24" t="e">
        <f>SUMIFS(#REF!,#REF!,$B232,#REF!,BD$1)</f>
        <v>#REF!</v>
      </c>
      <c r="BE232" s="24" t="e">
        <f>SUMIFS(#REF!,#REF!,$B232,#REF!,BE$1)</f>
        <v>#REF!</v>
      </c>
      <c r="BF232" s="24" t="e">
        <f>SUMIFS(#REF!,#REF!,$B232,#REF!,BF$1)</f>
        <v>#REF!</v>
      </c>
      <c r="BG232" s="24" t="e">
        <f>SUMIFS(#REF!,#REF!,$B232,#REF!,BG$1)</f>
        <v>#REF!</v>
      </c>
      <c r="BH232" s="24" t="e">
        <f>SUMIFS(#REF!,#REF!,$B232,#REF!,BH$1)</f>
        <v>#REF!</v>
      </c>
      <c r="BI232" s="24" t="e">
        <f>SUMIFS(#REF!,#REF!,$B232,#REF!,BI$1)</f>
        <v>#REF!</v>
      </c>
      <c r="BJ232" s="24" t="e">
        <f>SUMIFS(#REF!,#REF!,$B232,#REF!,BJ$1)</f>
        <v>#REF!</v>
      </c>
      <c r="BK232" s="24" t="e">
        <f>SUMIFS(#REF!,#REF!,$B232,#REF!,BK$1)</f>
        <v>#REF!</v>
      </c>
      <c r="BL232" s="24" t="e">
        <f>SUMIFS(#REF!,#REF!,$B232,#REF!,BL$1)</f>
        <v>#REF!</v>
      </c>
      <c r="BM232" s="24" t="e">
        <f>SUMIFS(#REF!,#REF!,$B232,#REF!,BM$1)</f>
        <v>#REF!</v>
      </c>
      <c r="BN232" s="24" t="e">
        <f>SUMIFS(#REF!,#REF!,$B232,#REF!,BN$1)</f>
        <v>#REF!</v>
      </c>
      <c r="BO232" s="24" t="e">
        <f>SUMIFS(#REF!,#REF!,$B232,#REF!,BO$1)</f>
        <v>#REF!</v>
      </c>
      <c r="BP232" s="24" t="e">
        <f>SUMIFS(#REF!,#REF!,$B232,#REF!,BP$1)</f>
        <v>#REF!</v>
      </c>
      <c r="BQ232" s="24" t="e">
        <f>SUMIFS(#REF!,#REF!,$B232,#REF!,BQ$1)</f>
        <v>#REF!</v>
      </c>
      <c r="BR232" s="24" t="e">
        <f>SUMIFS(#REF!,#REF!,$B232,#REF!,BR$1)</f>
        <v>#REF!</v>
      </c>
      <c r="BS232" s="24" t="e">
        <f>SUMIFS(#REF!,#REF!,$B232,#REF!,BS$1)</f>
        <v>#REF!</v>
      </c>
      <c r="BT232" s="24" t="e">
        <f>SUMIFS(#REF!,#REF!,$B232,#REF!,BT$1)</f>
        <v>#REF!</v>
      </c>
      <c r="BU232" s="24" t="e">
        <f>SUMIFS(#REF!,#REF!,$B232,#REF!,BU$1)</f>
        <v>#REF!</v>
      </c>
      <c r="BV232" s="24" t="e">
        <f>SUMIFS(#REF!,#REF!,$B232,#REF!,BV$1)</f>
        <v>#REF!</v>
      </c>
      <c r="BW232" s="24" t="e">
        <f>SUMIFS(#REF!,#REF!,$B232,#REF!,BW$1)</f>
        <v>#REF!</v>
      </c>
      <c r="BX232" s="24" t="e">
        <f>SUMIFS(#REF!,#REF!,$B232,#REF!,BX$1)</f>
        <v>#REF!</v>
      </c>
      <c r="BY232" s="24" t="e">
        <f>SUMIFS(#REF!,#REF!,$B232,#REF!,BY$1)</f>
        <v>#REF!</v>
      </c>
      <c r="BZ232" s="24" t="e">
        <f>SUMIFS(#REF!,#REF!,$B232,#REF!,BZ$1)</f>
        <v>#REF!</v>
      </c>
      <c r="CA232" s="24" t="e">
        <f>SUMIFS(#REF!,#REF!,$B232,#REF!,CA$1)</f>
        <v>#REF!</v>
      </c>
      <c r="CB232" s="24" t="e">
        <f>SUMIFS(#REF!,#REF!,$B232,#REF!,CB$1)</f>
        <v>#REF!</v>
      </c>
      <c r="CC232" s="24" t="e">
        <f>SUMIFS(#REF!,#REF!,$B232,#REF!,CC$1)</f>
        <v>#REF!</v>
      </c>
      <c r="CD232" s="24" t="e">
        <f>SUMIFS(#REF!,#REF!,$B232,#REF!,CD$1)</f>
        <v>#REF!</v>
      </c>
      <c r="CE232" s="24" t="e">
        <f>SUMIFS(#REF!,#REF!,$B232,#REF!,CE$1)</f>
        <v>#REF!</v>
      </c>
      <c r="CF232" s="24" t="e">
        <f>SUMIFS(#REF!,#REF!,$B232,#REF!,CF$1)</f>
        <v>#REF!</v>
      </c>
      <c r="CG232" s="19" t="e">
        <f t="shared" si="3"/>
        <v>#REF!</v>
      </c>
    </row>
    <row r="233" spans="1:85" x14ac:dyDescent="0.45">
      <c r="A233" s="4" t="s">
        <v>1448</v>
      </c>
      <c r="B233" s="4" t="s">
        <v>1449</v>
      </c>
      <c r="C233" s="24" t="e">
        <f>SUMIFS(#REF!,#REF!,$B233,#REF!,C$1)</f>
        <v>#REF!</v>
      </c>
      <c r="D233" s="24" t="e">
        <f>SUMIFS(#REF!,#REF!,$B233,#REF!,D$1)</f>
        <v>#REF!</v>
      </c>
      <c r="E233" s="24" t="e">
        <f>SUMIFS(#REF!,#REF!,$B233,#REF!,E$1)</f>
        <v>#REF!</v>
      </c>
      <c r="F233" s="24" t="e">
        <f>SUMIFS(#REF!,#REF!,$B233,#REF!,F$1)</f>
        <v>#REF!</v>
      </c>
      <c r="G233" s="24" t="e">
        <f>SUMIFS(#REF!,#REF!,$B233,#REF!,G$1)</f>
        <v>#REF!</v>
      </c>
      <c r="H233" s="24" t="e">
        <f>SUMIFS(#REF!,#REF!,$B233,#REF!,H$1)</f>
        <v>#REF!</v>
      </c>
      <c r="I233" s="24" t="e">
        <f>SUMIFS(#REF!,#REF!,$B233,#REF!,I$1)</f>
        <v>#REF!</v>
      </c>
      <c r="J233" s="24" t="e">
        <f>SUMIFS(#REF!,#REF!,$B233,#REF!,J$1)</f>
        <v>#REF!</v>
      </c>
      <c r="K233" s="24" t="e">
        <f>SUMIFS(#REF!,#REF!,$B233,#REF!,K$1)</f>
        <v>#REF!</v>
      </c>
      <c r="L233" s="24" t="e">
        <f>SUMIFS(#REF!,#REF!,$B233,#REF!,L$1)</f>
        <v>#REF!</v>
      </c>
      <c r="M233" s="24" t="e">
        <f>SUMIFS(#REF!,#REF!,$B233,#REF!,M$1)</f>
        <v>#REF!</v>
      </c>
      <c r="N233" s="24" t="e">
        <f>SUMIFS(#REF!,#REF!,$B233,#REF!,N$1)</f>
        <v>#REF!</v>
      </c>
      <c r="O233" s="24" t="e">
        <f>SUMIFS(#REF!,#REF!,$B233,#REF!,O$1)</f>
        <v>#REF!</v>
      </c>
      <c r="P233" s="24" t="e">
        <f>SUMIFS(#REF!,#REF!,$B233,#REF!,P$1)</f>
        <v>#REF!</v>
      </c>
      <c r="Q233" s="24" t="e">
        <f>SUMIFS(#REF!,#REF!,$B233,#REF!,Q$1)</f>
        <v>#REF!</v>
      </c>
      <c r="R233" s="24" t="e">
        <f>SUMIFS(#REF!,#REF!,$B233,#REF!,R$1)</f>
        <v>#REF!</v>
      </c>
      <c r="S233" s="24" t="e">
        <f>SUMIFS(#REF!,#REF!,$B233,#REF!,S$1)</f>
        <v>#REF!</v>
      </c>
      <c r="T233" s="24" t="e">
        <f>SUMIFS(#REF!,#REF!,$B233,#REF!,T$1)</f>
        <v>#REF!</v>
      </c>
      <c r="U233" s="24" t="e">
        <f>SUMIFS(#REF!,#REF!,$B233,#REF!,U$1)</f>
        <v>#REF!</v>
      </c>
      <c r="V233" s="24" t="e">
        <f>SUMIFS(#REF!,#REF!,$B233,#REF!,V$1)</f>
        <v>#REF!</v>
      </c>
      <c r="W233" s="24" t="e">
        <f>SUMIFS(#REF!,#REF!,$B233,#REF!,W$1)</f>
        <v>#REF!</v>
      </c>
      <c r="X233" s="24" t="e">
        <f>SUMIFS(#REF!,#REF!,$B233,#REF!,X$1)</f>
        <v>#REF!</v>
      </c>
      <c r="Y233" s="24" t="e">
        <f>SUMIFS(#REF!,#REF!,$B233,#REF!,Y$1)</f>
        <v>#REF!</v>
      </c>
      <c r="Z233" s="24" t="e">
        <f>SUMIFS(#REF!,#REF!,$B233,#REF!,Z$1)</f>
        <v>#REF!</v>
      </c>
      <c r="AA233" s="24" t="e">
        <f>SUMIFS(#REF!,#REF!,$B233,#REF!,AA$1)</f>
        <v>#REF!</v>
      </c>
      <c r="AB233" s="24" t="e">
        <f>SUMIFS(#REF!,#REF!,$B233,#REF!,AB$1)</f>
        <v>#REF!</v>
      </c>
      <c r="AC233" s="24" t="e">
        <f>SUMIFS(#REF!,#REF!,$B233,#REF!,AC$1)</f>
        <v>#REF!</v>
      </c>
      <c r="AD233" s="24" t="e">
        <f>SUMIFS(#REF!,#REF!,$B233,#REF!,AD$1)</f>
        <v>#REF!</v>
      </c>
      <c r="AE233" s="24" t="e">
        <f>SUMIFS(#REF!,#REF!,$B233,#REF!,AE$1)</f>
        <v>#REF!</v>
      </c>
      <c r="AF233" s="24" t="e">
        <f>SUMIFS(#REF!,#REF!,$B233,#REF!,AF$1)</f>
        <v>#REF!</v>
      </c>
      <c r="AG233" s="24" t="e">
        <f>SUMIFS(#REF!,#REF!,$B233,#REF!,AG$1)</f>
        <v>#REF!</v>
      </c>
      <c r="AH233" s="24" t="e">
        <f>SUMIFS(#REF!,#REF!,$B233,#REF!,AH$1)</f>
        <v>#REF!</v>
      </c>
      <c r="AI233" s="24" t="e">
        <f>SUMIFS(#REF!,#REF!,$B233,#REF!,AI$1)</f>
        <v>#REF!</v>
      </c>
      <c r="AJ233" s="24" t="e">
        <f>SUMIFS(#REF!,#REF!,$B233,#REF!,AJ$1)</f>
        <v>#REF!</v>
      </c>
      <c r="AK233" s="24" t="e">
        <f>SUMIFS(#REF!,#REF!,$B233,#REF!,AK$1)</f>
        <v>#REF!</v>
      </c>
      <c r="AL233" s="24" t="e">
        <f>SUMIFS(#REF!,#REF!,$B233,#REF!,AL$1)</f>
        <v>#REF!</v>
      </c>
      <c r="AM233" s="24" t="e">
        <f>SUMIFS(#REF!,#REF!,$B233,#REF!,AM$1)</f>
        <v>#REF!</v>
      </c>
      <c r="AN233" s="24" t="e">
        <f>SUMIFS(#REF!,#REF!,$B233,#REF!,AN$1)</f>
        <v>#REF!</v>
      </c>
      <c r="AO233" s="24" t="e">
        <f>SUMIFS(#REF!,#REF!,$B233,#REF!,AO$1)</f>
        <v>#REF!</v>
      </c>
      <c r="AP233" s="24" t="e">
        <f>SUMIFS(#REF!,#REF!,$B233,#REF!,AP$1)</f>
        <v>#REF!</v>
      </c>
      <c r="AQ233" s="24" t="e">
        <f>SUMIFS(#REF!,#REF!,$B233,#REF!,AQ$1)</f>
        <v>#REF!</v>
      </c>
      <c r="AR233" s="24" t="e">
        <f>SUMIFS(#REF!,#REF!,$B233,#REF!,AR$1)</f>
        <v>#REF!</v>
      </c>
      <c r="AS233" s="24" t="e">
        <f>SUMIFS(#REF!,#REF!,$B233,#REF!,AS$1)</f>
        <v>#REF!</v>
      </c>
      <c r="AT233" s="24" t="e">
        <f>SUMIFS(#REF!,#REF!,$B233,#REF!,AT$1)</f>
        <v>#REF!</v>
      </c>
      <c r="AU233" s="24" t="e">
        <f>SUMIFS(#REF!,#REF!,$B233,#REF!,AU$1)</f>
        <v>#REF!</v>
      </c>
      <c r="AV233" s="24" t="e">
        <f>SUMIFS(#REF!,#REF!,$B233,#REF!,AV$1)</f>
        <v>#REF!</v>
      </c>
      <c r="AW233" s="24" t="e">
        <f>SUMIFS(#REF!,#REF!,$B233,#REF!,AW$1)</f>
        <v>#REF!</v>
      </c>
      <c r="AX233" s="24" t="e">
        <f>SUMIFS(#REF!,#REF!,$B233,#REF!,AX$1)</f>
        <v>#REF!</v>
      </c>
      <c r="AY233" s="24" t="e">
        <f>SUMIFS(#REF!,#REF!,$B233,#REF!,AY$1)</f>
        <v>#REF!</v>
      </c>
      <c r="AZ233" s="24" t="e">
        <f>SUMIFS(#REF!,#REF!,$B233,#REF!,AZ$1)</f>
        <v>#REF!</v>
      </c>
      <c r="BA233" s="24" t="e">
        <f>SUMIFS(#REF!,#REF!,$B233,#REF!,BA$1)</f>
        <v>#REF!</v>
      </c>
      <c r="BB233" s="24" t="e">
        <f>SUMIFS(#REF!,#REF!,$B233,#REF!,BB$1)</f>
        <v>#REF!</v>
      </c>
      <c r="BC233" s="24" t="e">
        <f>SUMIFS(#REF!,#REF!,$B233,#REF!,BC$1)</f>
        <v>#REF!</v>
      </c>
      <c r="BD233" s="24" t="e">
        <f>SUMIFS(#REF!,#REF!,$B233,#REF!,BD$1)</f>
        <v>#REF!</v>
      </c>
      <c r="BE233" s="24" t="e">
        <f>SUMIFS(#REF!,#REF!,$B233,#REF!,BE$1)</f>
        <v>#REF!</v>
      </c>
      <c r="BF233" s="24" t="e">
        <f>SUMIFS(#REF!,#REF!,$B233,#REF!,BF$1)</f>
        <v>#REF!</v>
      </c>
      <c r="BG233" s="24" t="e">
        <f>SUMIFS(#REF!,#REF!,$B233,#REF!,BG$1)</f>
        <v>#REF!</v>
      </c>
      <c r="BH233" s="24" t="e">
        <f>SUMIFS(#REF!,#REF!,$B233,#REF!,BH$1)</f>
        <v>#REF!</v>
      </c>
      <c r="BI233" s="24" t="e">
        <f>SUMIFS(#REF!,#REF!,$B233,#REF!,BI$1)</f>
        <v>#REF!</v>
      </c>
      <c r="BJ233" s="24" t="e">
        <f>SUMIFS(#REF!,#REF!,$B233,#REF!,BJ$1)</f>
        <v>#REF!</v>
      </c>
      <c r="BK233" s="24" t="e">
        <f>SUMIFS(#REF!,#REF!,$B233,#REF!,BK$1)</f>
        <v>#REF!</v>
      </c>
      <c r="BL233" s="24" t="e">
        <f>SUMIFS(#REF!,#REF!,$B233,#REF!,BL$1)</f>
        <v>#REF!</v>
      </c>
      <c r="BM233" s="24" t="e">
        <f>SUMIFS(#REF!,#REF!,$B233,#REF!,BM$1)</f>
        <v>#REF!</v>
      </c>
      <c r="BN233" s="24" t="e">
        <f>SUMIFS(#REF!,#REF!,$B233,#REF!,BN$1)</f>
        <v>#REF!</v>
      </c>
      <c r="BO233" s="24" t="e">
        <f>SUMIFS(#REF!,#REF!,$B233,#REF!,BO$1)</f>
        <v>#REF!</v>
      </c>
      <c r="BP233" s="24" t="e">
        <f>SUMIFS(#REF!,#REF!,$B233,#REF!,BP$1)</f>
        <v>#REF!</v>
      </c>
      <c r="BQ233" s="24" t="e">
        <f>SUMIFS(#REF!,#REF!,$B233,#REF!,BQ$1)</f>
        <v>#REF!</v>
      </c>
      <c r="BR233" s="24" t="e">
        <f>SUMIFS(#REF!,#REF!,$B233,#REF!,BR$1)</f>
        <v>#REF!</v>
      </c>
      <c r="BS233" s="24" t="e">
        <f>SUMIFS(#REF!,#REF!,$B233,#REF!,BS$1)</f>
        <v>#REF!</v>
      </c>
      <c r="BT233" s="24" t="e">
        <f>SUMIFS(#REF!,#REF!,$B233,#REF!,BT$1)</f>
        <v>#REF!</v>
      </c>
      <c r="BU233" s="24" t="e">
        <f>SUMIFS(#REF!,#REF!,$B233,#REF!,BU$1)</f>
        <v>#REF!</v>
      </c>
      <c r="BV233" s="24" t="e">
        <f>SUMIFS(#REF!,#REF!,$B233,#REF!,BV$1)</f>
        <v>#REF!</v>
      </c>
      <c r="BW233" s="24" t="e">
        <f>SUMIFS(#REF!,#REF!,$B233,#REF!,BW$1)</f>
        <v>#REF!</v>
      </c>
      <c r="BX233" s="24" t="e">
        <f>SUMIFS(#REF!,#REF!,$B233,#REF!,BX$1)</f>
        <v>#REF!</v>
      </c>
      <c r="BY233" s="24" t="e">
        <f>SUMIFS(#REF!,#REF!,$B233,#REF!,BY$1)</f>
        <v>#REF!</v>
      </c>
      <c r="BZ233" s="24" t="e">
        <f>SUMIFS(#REF!,#REF!,$B233,#REF!,BZ$1)</f>
        <v>#REF!</v>
      </c>
      <c r="CA233" s="24" t="e">
        <f>SUMIFS(#REF!,#REF!,$B233,#REF!,CA$1)</f>
        <v>#REF!</v>
      </c>
      <c r="CB233" s="24" t="e">
        <f>SUMIFS(#REF!,#REF!,$B233,#REF!,CB$1)</f>
        <v>#REF!</v>
      </c>
      <c r="CC233" s="24" t="e">
        <f>SUMIFS(#REF!,#REF!,$B233,#REF!,CC$1)</f>
        <v>#REF!</v>
      </c>
      <c r="CD233" s="24" t="e">
        <f>SUMIFS(#REF!,#REF!,$B233,#REF!,CD$1)</f>
        <v>#REF!</v>
      </c>
      <c r="CE233" s="24" t="e">
        <f>SUMIFS(#REF!,#REF!,$B233,#REF!,CE$1)</f>
        <v>#REF!</v>
      </c>
      <c r="CF233" s="24" t="e">
        <f>SUMIFS(#REF!,#REF!,$B233,#REF!,CF$1)</f>
        <v>#REF!</v>
      </c>
      <c r="CG233" s="19" t="e">
        <f t="shared" si="3"/>
        <v>#REF!</v>
      </c>
    </row>
    <row r="234" spans="1:85" x14ac:dyDescent="0.45">
      <c r="A234" s="4" t="s">
        <v>1450</v>
      </c>
      <c r="B234" s="4" t="s">
        <v>1451</v>
      </c>
      <c r="C234" s="24" t="e">
        <f>SUMIFS(#REF!,#REF!,$B234,#REF!,C$1)</f>
        <v>#REF!</v>
      </c>
      <c r="D234" s="24" t="e">
        <f>SUMIFS(#REF!,#REF!,$B234,#REF!,D$1)</f>
        <v>#REF!</v>
      </c>
      <c r="E234" s="24" t="e">
        <f>SUMIFS(#REF!,#REF!,$B234,#REF!,E$1)</f>
        <v>#REF!</v>
      </c>
      <c r="F234" s="24" t="e">
        <f>SUMIFS(#REF!,#REF!,$B234,#REF!,F$1)</f>
        <v>#REF!</v>
      </c>
      <c r="G234" s="24" t="e">
        <f>SUMIFS(#REF!,#REF!,$B234,#REF!,G$1)</f>
        <v>#REF!</v>
      </c>
      <c r="H234" s="24" t="e">
        <f>SUMIFS(#REF!,#REF!,$B234,#REF!,H$1)</f>
        <v>#REF!</v>
      </c>
      <c r="I234" s="24" t="e">
        <f>SUMIFS(#REF!,#REF!,$B234,#REF!,I$1)</f>
        <v>#REF!</v>
      </c>
      <c r="J234" s="24" t="e">
        <f>SUMIFS(#REF!,#REF!,$B234,#REF!,J$1)</f>
        <v>#REF!</v>
      </c>
      <c r="K234" s="24" t="e">
        <f>SUMIFS(#REF!,#REF!,$B234,#REF!,K$1)</f>
        <v>#REF!</v>
      </c>
      <c r="L234" s="24" t="e">
        <f>SUMIFS(#REF!,#REF!,$B234,#REF!,L$1)</f>
        <v>#REF!</v>
      </c>
      <c r="M234" s="24" t="e">
        <f>SUMIFS(#REF!,#REF!,$B234,#REF!,M$1)</f>
        <v>#REF!</v>
      </c>
      <c r="N234" s="24" t="e">
        <f>SUMIFS(#REF!,#REF!,$B234,#REF!,N$1)</f>
        <v>#REF!</v>
      </c>
      <c r="O234" s="24" t="e">
        <f>SUMIFS(#REF!,#REF!,$B234,#REF!,O$1)</f>
        <v>#REF!</v>
      </c>
      <c r="P234" s="24" t="e">
        <f>SUMIFS(#REF!,#REF!,$B234,#REF!,P$1)</f>
        <v>#REF!</v>
      </c>
      <c r="Q234" s="24" t="e">
        <f>SUMIFS(#REF!,#REF!,$B234,#REF!,Q$1)</f>
        <v>#REF!</v>
      </c>
      <c r="R234" s="24" t="e">
        <f>SUMIFS(#REF!,#REF!,$B234,#REF!,R$1)</f>
        <v>#REF!</v>
      </c>
      <c r="S234" s="24" t="e">
        <f>SUMIFS(#REF!,#REF!,$B234,#REF!,S$1)</f>
        <v>#REF!</v>
      </c>
      <c r="T234" s="24" t="e">
        <f>SUMIFS(#REF!,#REF!,$B234,#REF!,T$1)</f>
        <v>#REF!</v>
      </c>
      <c r="U234" s="24" t="e">
        <f>SUMIFS(#REF!,#REF!,$B234,#REF!,U$1)</f>
        <v>#REF!</v>
      </c>
      <c r="V234" s="24" t="e">
        <f>SUMIFS(#REF!,#REF!,$B234,#REF!,V$1)</f>
        <v>#REF!</v>
      </c>
      <c r="W234" s="24" t="e">
        <f>SUMIFS(#REF!,#REF!,$B234,#REF!,W$1)</f>
        <v>#REF!</v>
      </c>
      <c r="X234" s="24" t="e">
        <f>SUMIFS(#REF!,#REF!,$B234,#REF!,X$1)</f>
        <v>#REF!</v>
      </c>
      <c r="Y234" s="24" t="e">
        <f>SUMIFS(#REF!,#REF!,$B234,#REF!,Y$1)</f>
        <v>#REF!</v>
      </c>
      <c r="Z234" s="24" t="e">
        <f>SUMIFS(#REF!,#REF!,$B234,#REF!,Z$1)</f>
        <v>#REF!</v>
      </c>
      <c r="AA234" s="24" t="e">
        <f>SUMIFS(#REF!,#REF!,$B234,#REF!,AA$1)</f>
        <v>#REF!</v>
      </c>
      <c r="AB234" s="24" t="e">
        <f>SUMIFS(#REF!,#REF!,$B234,#REF!,AB$1)</f>
        <v>#REF!</v>
      </c>
      <c r="AC234" s="24" t="e">
        <f>SUMIFS(#REF!,#REF!,$B234,#REF!,AC$1)</f>
        <v>#REF!</v>
      </c>
      <c r="AD234" s="24" t="e">
        <f>SUMIFS(#REF!,#REF!,$B234,#REF!,AD$1)</f>
        <v>#REF!</v>
      </c>
      <c r="AE234" s="24" t="e">
        <f>SUMIFS(#REF!,#REF!,$B234,#REF!,AE$1)</f>
        <v>#REF!</v>
      </c>
      <c r="AF234" s="24" t="e">
        <f>SUMIFS(#REF!,#REF!,$B234,#REF!,AF$1)</f>
        <v>#REF!</v>
      </c>
      <c r="AG234" s="24" t="e">
        <f>SUMIFS(#REF!,#REF!,$B234,#REF!,AG$1)</f>
        <v>#REF!</v>
      </c>
      <c r="AH234" s="24" t="e">
        <f>SUMIFS(#REF!,#REF!,$B234,#REF!,AH$1)</f>
        <v>#REF!</v>
      </c>
      <c r="AI234" s="24" t="e">
        <f>SUMIFS(#REF!,#REF!,$B234,#REF!,AI$1)</f>
        <v>#REF!</v>
      </c>
      <c r="AJ234" s="24" t="e">
        <f>SUMIFS(#REF!,#REF!,$B234,#REF!,AJ$1)</f>
        <v>#REF!</v>
      </c>
      <c r="AK234" s="24" t="e">
        <f>SUMIFS(#REF!,#REF!,$B234,#REF!,AK$1)</f>
        <v>#REF!</v>
      </c>
      <c r="AL234" s="24" t="e">
        <f>SUMIFS(#REF!,#REF!,$B234,#REF!,AL$1)</f>
        <v>#REF!</v>
      </c>
      <c r="AM234" s="24" t="e">
        <f>SUMIFS(#REF!,#REF!,$B234,#REF!,AM$1)</f>
        <v>#REF!</v>
      </c>
      <c r="AN234" s="24" t="e">
        <f>SUMIFS(#REF!,#REF!,$B234,#REF!,AN$1)</f>
        <v>#REF!</v>
      </c>
      <c r="AO234" s="24" t="e">
        <f>SUMIFS(#REF!,#REF!,$B234,#REF!,AO$1)</f>
        <v>#REF!</v>
      </c>
      <c r="AP234" s="24" t="e">
        <f>SUMIFS(#REF!,#REF!,$B234,#REF!,AP$1)</f>
        <v>#REF!</v>
      </c>
      <c r="AQ234" s="24" t="e">
        <f>SUMIFS(#REF!,#REF!,$B234,#REF!,AQ$1)</f>
        <v>#REF!</v>
      </c>
      <c r="AR234" s="24" t="e">
        <f>SUMIFS(#REF!,#REF!,$B234,#REF!,AR$1)</f>
        <v>#REF!</v>
      </c>
      <c r="AS234" s="24" t="e">
        <f>SUMIFS(#REF!,#REF!,$B234,#REF!,AS$1)</f>
        <v>#REF!</v>
      </c>
      <c r="AT234" s="24" t="e">
        <f>SUMIFS(#REF!,#REF!,$B234,#REF!,AT$1)</f>
        <v>#REF!</v>
      </c>
      <c r="AU234" s="24" t="e">
        <f>SUMIFS(#REF!,#REF!,$B234,#REF!,AU$1)</f>
        <v>#REF!</v>
      </c>
      <c r="AV234" s="24" t="e">
        <f>SUMIFS(#REF!,#REF!,$B234,#REF!,AV$1)</f>
        <v>#REF!</v>
      </c>
      <c r="AW234" s="24" t="e">
        <f>SUMIFS(#REF!,#REF!,$B234,#REF!,AW$1)</f>
        <v>#REF!</v>
      </c>
      <c r="AX234" s="24" t="e">
        <f>SUMIFS(#REF!,#REF!,$B234,#REF!,AX$1)</f>
        <v>#REF!</v>
      </c>
      <c r="AY234" s="24" t="e">
        <f>SUMIFS(#REF!,#REF!,$B234,#REF!,AY$1)</f>
        <v>#REF!</v>
      </c>
      <c r="AZ234" s="24" t="e">
        <f>SUMIFS(#REF!,#REF!,$B234,#REF!,AZ$1)</f>
        <v>#REF!</v>
      </c>
      <c r="BA234" s="24" t="e">
        <f>SUMIFS(#REF!,#REF!,$B234,#REF!,BA$1)</f>
        <v>#REF!</v>
      </c>
      <c r="BB234" s="24" t="e">
        <f>SUMIFS(#REF!,#REF!,$B234,#REF!,BB$1)</f>
        <v>#REF!</v>
      </c>
      <c r="BC234" s="24" t="e">
        <f>SUMIFS(#REF!,#REF!,$B234,#REF!,BC$1)</f>
        <v>#REF!</v>
      </c>
      <c r="BD234" s="24" t="e">
        <f>SUMIFS(#REF!,#REF!,$B234,#REF!,BD$1)</f>
        <v>#REF!</v>
      </c>
      <c r="BE234" s="24" t="e">
        <f>SUMIFS(#REF!,#REF!,$B234,#REF!,BE$1)</f>
        <v>#REF!</v>
      </c>
      <c r="BF234" s="24" t="e">
        <f>SUMIFS(#REF!,#REF!,$B234,#REF!,BF$1)</f>
        <v>#REF!</v>
      </c>
      <c r="BG234" s="24" t="e">
        <f>SUMIFS(#REF!,#REF!,$B234,#REF!,BG$1)</f>
        <v>#REF!</v>
      </c>
      <c r="BH234" s="24" t="e">
        <f>SUMIFS(#REF!,#REF!,$B234,#REF!,BH$1)</f>
        <v>#REF!</v>
      </c>
      <c r="BI234" s="24" t="e">
        <f>SUMIFS(#REF!,#REF!,$B234,#REF!,BI$1)</f>
        <v>#REF!</v>
      </c>
      <c r="BJ234" s="24" t="e">
        <f>SUMIFS(#REF!,#REF!,$B234,#REF!,BJ$1)</f>
        <v>#REF!</v>
      </c>
      <c r="BK234" s="24" t="e">
        <f>SUMIFS(#REF!,#REF!,$B234,#REF!,BK$1)</f>
        <v>#REF!</v>
      </c>
      <c r="BL234" s="24" t="e">
        <f>SUMIFS(#REF!,#REF!,$B234,#REF!,BL$1)</f>
        <v>#REF!</v>
      </c>
      <c r="BM234" s="24" t="e">
        <f>SUMIFS(#REF!,#REF!,$B234,#REF!,BM$1)</f>
        <v>#REF!</v>
      </c>
      <c r="BN234" s="24" t="e">
        <f>SUMIFS(#REF!,#REF!,$B234,#REF!,BN$1)</f>
        <v>#REF!</v>
      </c>
      <c r="BO234" s="24" t="e">
        <f>SUMIFS(#REF!,#REF!,$B234,#REF!,BO$1)</f>
        <v>#REF!</v>
      </c>
      <c r="BP234" s="24" t="e">
        <f>SUMIFS(#REF!,#REF!,$B234,#REF!,BP$1)</f>
        <v>#REF!</v>
      </c>
      <c r="BQ234" s="24" t="e">
        <f>SUMIFS(#REF!,#REF!,$B234,#REF!,BQ$1)</f>
        <v>#REF!</v>
      </c>
      <c r="BR234" s="24" t="e">
        <f>SUMIFS(#REF!,#REF!,$B234,#REF!,BR$1)</f>
        <v>#REF!</v>
      </c>
      <c r="BS234" s="24" t="e">
        <f>SUMIFS(#REF!,#REF!,$B234,#REF!,BS$1)</f>
        <v>#REF!</v>
      </c>
      <c r="BT234" s="24" t="e">
        <f>SUMIFS(#REF!,#REF!,$B234,#REF!,BT$1)</f>
        <v>#REF!</v>
      </c>
      <c r="BU234" s="24" t="e">
        <f>SUMIFS(#REF!,#REF!,$B234,#REF!,BU$1)</f>
        <v>#REF!</v>
      </c>
      <c r="BV234" s="24" t="e">
        <f>SUMIFS(#REF!,#REF!,$B234,#REF!,BV$1)</f>
        <v>#REF!</v>
      </c>
      <c r="BW234" s="24" t="e">
        <f>SUMIFS(#REF!,#REF!,$B234,#REF!,BW$1)</f>
        <v>#REF!</v>
      </c>
      <c r="BX234" s="24" t="e">
        <f>SUMIFS(#REF!,#REF!,$B234,#REF!,BX$1)</f>
        <v>#REF!</v>
      </c>
      <c r="BY234" s="24" t="e">
        <f>SUMIFS(#REF!,#REF!,$B234,#REF!,BY$1)</f>
        <v>#REF!</v>
      </c>
      <c r="BZ234" s="24" t="e">
        <f>SUMIFS(#REF!,#REF!,$B234,#REF!,BZ$1)</f>
        <v>#REF!</v>
      </c>
      <c r="CA234" s="24" t="e">
        <f>SUMIFS(#REF!,#REF!,$B234,#REF!,CA$1)</f>
        <v>#REF!</v>
      </c>
      <c r="CB234" s="24" t="e">
        <f>SUMIFS(#REF!,#REF!,$B234,#REF!,CB$1)</f>
        <v>#REF!</v>
      </c>
      <c r="CC234" s="24" t="e">
        <f>SUMIFS(#REF!,#REF!,$B234,#REF!,CC$1)</f>
        <v>#REF!</v>
      </c>
      <c r="CD234" s="24" t="e">
        <f>SUMIFS(#REF!,#REF!,$B234,#REF!,CD$1)</f>
        <v>#REF!</v>
      </c>
      <c r="CE234" s="24" t="e">
        <f>SUMIFS(#REF!,#REF!,$B234,#REF!,CE$1)</f>
        <v>#REF!</v>
      </c>
      <c r="CF234" s="24" t="e">
        <f>SUMIFS(#REF!,#REF!,$B234,#REF!,CF$1)</f>
        <v>#REF!</v>
      </c>
      <c r="CG234" s="19" t="e">
        <f t="shared" si="3"/>
        <v>#REF!</v>
      </c>
    </row>
    <row r="235" spans="1:85" x14ac:dyDescent="0.45">
      <c r="A235" s="4" t="s">
        <v>1452</v>
      </c>
      <c r="B235" s="4" t="s">
        <v>1453</v>
      </c>
      <c r="C235" s="24" t="e">
        <f>SUMIFS(#REF!,#REF!,$B235,#REF!,C$1)</f>
        <v>#REF!</v>
      </c>
      <c r="D235" s="24" t="e">
        <f>SUMIFS(#REF!,#REF!,$B235,#REF!,D$1)</f>
        <v>#REF!</v>
      </c>
      <c r="E235" s="24" t="e">
        <f>SUMIFS(#REF!,#REF!,$B235,#REF!,E$1)</f>
        <v>#REF!</v>
      </c>
      <c r="F235" s="24" t="e">
        <f>SUMIFS(#REF!,#REF!,$B235,#REF!,F$1)</f>
        <v>#REF!</v>
      </c>
      <c r="G235" s="24" t="e">
        <f>SUMIFS(#REF!,#REF!,$B235,#REF!,G$1)</f>
        <v>#REF!</v>
      </c>
      <c r="H235" s="24" t="e">
        <f>SUMIFS(#REF!,#REF!,$B235,#REF!,H$1)</f>
        <v>#REF!</v>
      </c>
      <c r="I235" s="24" t="e">
        <f>SUMIFS(#REF!,#REF!,$B235,#REF!,I$1)</f>
        <v>#REF!</v>
      </c>
      <c r="J235" s="24" t="e">
        <f>SUMIFS(#REF!,#REF!,$B235,#REF!,J$1)</f>
        <v>#REF!</v>
      </c>
      <c r="K235" s="24" t="e">
        <f>SUMIFS(#REF!,#REF!,$B235,#REF!,K$1)</f>
        <v>#REF!</v>
      </c>
      <c r="L235" s="24" t="e">
        <f>SUMIFS(#REF!,#REF!,$B235,#REF!,L$1)</f>
        <v>#REF!</v>
      </c>
      <c r="M235" s="24" t="e">
        <f>SUMIFS(#REF!,#REF!,$B235,#REF!,M$1)</f>
        <v>#REF!</v>
      </c>
      <c r="N235" s="24" t="e">
        <f>SUMIFS(#REF!,#REF!,$B235,#REF!,N$1)</f>
        <v>#REF!</v>
      </c>
      <c r="O235" s="24" t="e">
        <f>SUMIFS(#REF!,#REF!,$B235,#REF!,O$1)</f>
        <v>#REF!</v>
      </c>
      <c r="P235" s="24" t="e">
        <f>SUMIFS(#REF!,#REF!,$B235,#REF!,P$1)</f>
        <v>#REF!</v>
      </c>
      <c r="Q235" s="24" t="e">
        <f>SUMIFS(#REF!,#REF!,$B235,#REF!,Q$1)</f>
        <v>#REF!</v>
      </c>
      <c r="R235" s="24" t="e">
        <f>SUMIFS(#REF!,#REF!,$B235,#REF!,R$1)</f>
        <v>#REF!</v>
      </c>
      <c r="S235" s="24" t="e">
        <f>SUMIFS(#REF!,#REF!,$B235,#REF!,S$1)</f>
        <v>#REF!</v>
      </c>
      <c r="T235" s="24" t="e">
        <f>SUMIFS(#REF!,#REF!,$B235,#REF!,T$1)</f>
        <v>#REF!</v>
      </c>
      <c r="U235" s="24" t="e">
        <f>SUMIFS(#REF!,#REF!,$B235,#REF!,U$1)</f>
        <v>#REF!</v>
      </c>
      <c r="V235" s="24" t="e">
        <f>SUMIFS(#REF!,#REF!,$B235,#REF!,V$1)</f>
        <v>#REF!</v>
      </c>
      <c r="W235" s="24" t="e">
        <f>SUMIFS(#REF!,#REF!,$B235,#REF!,W$1)</f>
        <v>#REF!</v>
      </c>
      <c r="X235" s="24" t="e">
        <f>SUMIFS(#REF!,#REF!,$B235,#REF!,X$1)</f>
        <v>#REF!</v>
      </c>
      <c r="Y235" s="24" t="e">
        <f>SUMIFS(#REF!,#REF!,$B235,#REF!,Y$1)</f>
        <v>#REF!</v>
      </c>
      <c r="Z235" s="24" t="e">
        <f>SUMIFS(#REF!,#REF!,$B235,#REF!,Z$1)</f>
        <v>#REF!</v>
      </c>
      <c r="AA235" s="24" t="e">
        <f>SUMIFS(#REF!,#REF!,$B235,#REF!,AA$1)</f>
        <v>#REF!</v>
      </c>
      <c r="AB235" s="24" t="e">
        <f>SUMIFS(#REF!,#REF!,$B235,#REF!,AB$1)</f>
        <v>#REF!</v>
      </c>
      <c r="AC235" s="24" t="e">
        <f>SUMIFS(#REF!,#REF!,$B235,#REF!,AC$1)</f>
        <v>#REF!</v>
      </c>
      <c r="AD235" s="24" t="e">
        <f>SUMIFS(#REF!,#REF!,$B235,#REF!,AD$1)</f>
        <v>#REF!</v>
      </c>
      <c r="AE235" s="24" t="e">
        <f>SUMIFS(#REF!,#REF!,$B235,#REF!,AE$1)</f>
        <v>#REF!</v>
      </c>
      <c r="AF235" s="24" t="e">
        <f>SUMIFS(#REF!,#REF!,$B235,#REF!,AF$1)</f>
        <v>#REF!</v>
      </c>
      <c r="AG235" s="24" t="e">
        <f>SUMIFS(#REF!,#REF!,$B235,#REF!,AG$1)</f>
        <v>#REF!</v>
      </c>
      <c r="AH235" s="24" t="e">
        <f>SUMIFS(#REF!,#REF!,$B235,#REF!,AH$1)</f>
        <v>#REF!</v>
      </c>
      <c r="AI235" s="24" t="e">
        <f>SUMIFS(#REF!,#REF!,$B235,#REF!,AI$1)</f>
        <v>#REF!</v>
      </c>
      <c r="AJ235" s="24" t="e">
        <f>SUMIFS(#REF!,#REF!,$B235,#REF!,AJ$1)</f>
        <v>#REF!</v>
      </c>
      <c r="AK235" s="24" t="e">
        <f>SUMIFS(#REF!,#REF!,$B235,#REF!,AK$1)</f>
        <v>#REF!</v>
      </c>
      <c r="AL235" s="24" t="e">
        <f>SUMIFS(#REF!,#REF!,$B235,#REF!,AL$1)</f>
        <v>#REF!</v>
      </c>
      <c r="AM235" s="24" t="e">
        <f>SUMIFS(#REF!,#REF!,$B235,#REF!,AM$1)</f>
        <v>#REF!</v>
      </c>
      <c r="AN235" s="24" t="e">
        <f>SUMIFS(#REF!,#REF!,$B235,#REF!,AN$1)</f>
        <v>#REF!</v>
      </c>
      <c r="AO235" s="24" t="e">
        <f>SUMIFS(#REF!,#REF!,$B235,#REF!,AO$1)</f>
        <v>#REF!</v>
      </c>
      <c r="AP235" s="24" t="e">
        <f>SUMIFS(#REF!,#REF!,$B235,#REF!,AP$1)</f>
        <v>#REF!</v>
      </c>
      <c r="AQ235" s="24" t="e">
        <f>SUMIFS(#REF!,#REF!,$B235,#REF!,AQ$1)</f>
        <v>#REF!</v>
      </c>
      <c r="AR235" s="24" t="e">
        <f>SUMIFS(#REF!,#REF!,$B235,#REF!,AR$1)</f>
        <v>#REF!</v>
      </c>
      <c r="AS235" s="24" t="e">
        <f>SUMIFS(#REF!,#REF!,$B235,#REF!,AS$1)</f>
        <v>#REF!</v>
      </c>
      <c r="AT235" s="24" t="e">
        <f>SUMIFS(#REF!,#REF!,$B235,#REF!,AT$1)</f>
        <v>#REF!</v>
      </c>
      <c r="AU235" s="24" t="e">
        <f>SUMIFS(#REF!,#REF!,$B235,#REF!,AU$1)</f>
        <v>#REF!</v>
      </c>
      <c r="AV235" s="24" t="e">
        <f>SUMIFS(#REF!,#REF!,$B235,#REF!,AV$1)</f>
        <v>#REF!</v>
      </c>
      <c r="AW235" s="24" t="e">
        <f>SUMIFS(#REF!,#REF!,$B235,#REF!,AW$1)</f>
        <v>#REF!</v>
      </c>
      <c r="AX235" s="24" t="e">
        <f>SUMIFS(#REF!,#REF!,$B235,#REF!,AX$1)</f>
        <v>#REF!</v>
      </c>
      <c r="AY235" s="24" t="e">
        <f>SUMIFS(#REF!,#REF!,$B235,#REF!,AY$1)</f>
        <v>#REF!</v>
      </c>
      <c r="AZ235" s="24" t="e">
        <f>SUMIFS(#REF!,#REF!,$B235,#REF!,AZ$1)</f>
        <v>#REF!</v>
      </c>
      <c r="BA235" s="24" t="e">
        <f>SUMIFS(#REF!,#REF!,$B235,#REF!,BA$1)</f>
        <v>#REF!</v>
      </c>
      <c r="BB235" s="24" t="e">
        <f>SUMIFS(#REF!,#REF!,$B235,#REF!,BB$1)</f>
        <v>#REF!</v>
      </c>
      <c r="BC235" s="24" t="e">
        <f>SUMIFS(#REF!,#REF!,$B235,#REF!,BC$1)</f>
        <v>#REF!</v>
      </c>
      <c r="BD235" s="24" t="e">
        <f>SUMIFS(#REF!,#REF!,$B235,#REF!,BD$1)</f>
        <v>#REF!</v>
      </c>
      <c r="BE235" s="24" t="e">
        <f>SUMIFS(#REF!,#REF!,$B235,#REF!,BE$1)</f>
        <v>#REF!</v>
      </c>
      <c r="BF235" s="24" t="e">
        <f>SUMIFS(#REF!,#REF!,$B235,#REF!,BF$1)</f>
        <v>#REF!</v>
      </c>
      <c r="BG235" s="24" t="e">
        <f>SUMIFS(#REF!,#REF!,$B235,#REF!,BG$1)</f>
        <v>#REF!</v>
      </c>
      <c r="BH235" s="24" t="e">
        <f>SUMIFS(#REF!,#REF!,$B235,#REF!,BH$1)</f>
        <v>#REF!</v>
      </c>
      <c r="BI235" s="24" t="e">
        <f>SUMIFS(#REF!,#REF!,$B235,#REF!,BI$1)</f>
        <v>#REF!</v>
      </c>
      <c r="BJ235" s="24" t="e">
        <f>SUMIFS(#REF!,#REF!,$B235,#REF!,BJ$1)</f>
        <v>#REF!</v>
      </c>
      <c r="BK235" s="24" t="e">
        <f>SUMIFS(#REF!,#REF!,$B235,#REF!,BK$1)</f>
        <v>#REF!</v>
      </c>
      <c r="BL235" s="24" t="e">
        <f>SUMIFS(#REF!,#REF!,$B235,#REF!,BL$1)</f>
        <v>#REF!</v>
      </c>
      <c r="BM235" s="24" t="e">
        <f>SUMIFS(#REF!,#REF!,$B235,#REF!,BM$1)</f>
        <v>#REF!</v>
      </c>
      <c r="BN235" s="24" t="e">
        <f>SUMIFS(#REF!,#REF!,$B235,#REF!,BN$1)</f>
        <v>#REF!</v>
      </c>
      <c r="BO235" s="24" t="e">
        <f>SUMIFS(#REF!,#REF!,$B235,#REF!,BO$1)</f>
        <v>#REF!</v>
      </c>
      <c r="BP235" s="24" t="e">
        <f>SUMIFS(#REF!,#REF!,$B235,#REF!,BP$1)</f>
        <v>#REF!</v>
      </c>
      <c r="BQ235" s="24" t="e">
        <f>SUMIFS(#REF!,#REF!,$B235,#REF!,BQ$1)</f>
        <v>#REF!</v>
      </c>
      <c r="BR235" s="24" t="e">
        <f>SUMIFS(#REF!,#REF!,$B235,#REF!,BR$1)</f>
        <v>#REF!</v>
      </c>
      <c r="BS235" s="24" t="e">
        <f>SUMIFS(#REF!,#REF!,$B235,#REF!,BS$1)</f>
        <v>#REF!</v>
      </c>
      <c r="BT235" s="24" t="e">
        <f>SUMIFS(#REF!,#REF!,$B235,#REF!,BT$1)</f>
        <v>#REF!</v>
      </c>
      <c r="BU235" s="24" t="e">
        <f>SUMIFS(#REF!,#REF!,$B235,#REF!,BU$1)</f>
        <v>#REF!</v>
      </c>
      <c r="BV235" s="24" t="e">
        <f>SUMIFS(#REF!,#REF!,$B235,#REF!,BV$1)</f>
        <v>#REF!</v>
      </c>
      <c r="BW235" s="24" t="e">
        <f>SUMIFS(#REF!,#REF!,$B235,#REF!,BW$1)</f>
        <v>#REF!</v>
      </c>
      <c r="BX235" s="24" t="e">
        <f>SUMIFS(#REF!,#REF!,$B235,#REF!,BX$1)</f>
        <v>#REF!</v>
      </c>
      <c r="BY235" s="24" t="e">
        <f>SUMIFS(#REF!,#REF!,$B235,#REF!,BY$1)</f>
        <v>#REF!</v>
      </c>
      <c r="BZ235" s="24" t="e">
        <f>SUMIFS(#REF!,#REF!,$B235,#REF!,BZ$1)</f>
        <v>#REF!</v>
      </c>
      <c r="CA235" s="24" t="e">
        <f>SUMIFS(#REF!,#REF!,$B235,#REF!,CA$1)</f>
        <v>#REF!</v>
      </c>
      <c r="CB235" s="24" t="e">
        <f>SUMIFS(#REF!,#REF!,$B235,#REF!,CB$1)</f>
        <v>#REF!</v>
      </c>
      <c r="CC235" s="24" t="e">
        <f>SUMIFS(#REF!,#REF!,$B235,#REF!,CC$1)</f>
        <v>#REF!</v>
      </c>
      <c r="CD235" s="24" t="e">
        <f>SUMIFS(#REF!,#REF!,$B235,#REF!,CD$1)</f>
        <v>#REF!</v>
      </c>
      <c r="CE235" s="24" t="e">
        <f>SUMIFS(#REF!,#REF!,$B235,#REF!,CE$1)</f>
        <v>#REF!</v>
      </c>
      <c r="CF235" s="24" t="e">
        <f>SUMIFS(#REF!,#REF!,$B235,#REF!,CF$1)</f>
        <v>#REF!</v>
      </c>
      <c r="CG235" s="19" t="e">
        <f t="shared" si="3"/>
        <v>#REF!</v>
      </c>
    </row>
    <row r="236" spans="1:85" x14ac:dyDescent="0.45">
      <c r="A236" s="4" t="s">
        <v>1454</v>
      </c>
      <c r="B236" s="4" t="s">
        <v>1455</v>
      </c>
      <c r="C236" s="24" t="e">
        <f>SUMIFS(#REF!,#REF!,$B236,#REF!,C$1)</f>
        <v>#REF!</v>
      </c>
      <c r="D236" s="24" t="e">
        <f>SUMIFS(#REF!,#REF!,$B236,#REF!,D$1)</f>
        <v>#REF!</v>
      </c>
      <c r="E236" s="24" t="e">
        <f>SUMIFS(#REF!,#REF!,$B236,#REF!,E$1)</f>
        <v>#REF!</v>
      </c>
      <c r="F236" s="24" t="e">
        <f>SUMIFS(#REF!,#REF!,$B236,#REF!,F$1)</f>
        <v>#REF!</v>
      </c>
      <c r="G236" s="24" t="e">
        <f>SUMIFS(#REF!,#REF!,$B236,#REF!,G$1)</f>
        <v>#REF!</v>
      </c>
      <c r="H236" s="24" t="e">
        <f>SUMIFS(#REF!,#REF!,$B236,#REF!,H$1)</f>
        <v>#REF!</v>
      </c>
      <c r="I236" s="24" t="e">
        <f>SUMIFS(#REF!,#REF!,$B236,#REF!,I$1)</f>
        <v>#REF!</v>
      </c>
      <c r="J236" s="24" t="e">
        <f>SUMIFS(#REF!,#REF!,$B236,#REF!,J$1)</f>
        <v>#REF!</v>
      </c>
      <c r="K236" s="24" t="e">
        <f>SUMIFS(#REF!,#REF!,$B236,#REF!,K$1)</f>
        <v>#REF!</v>
      </c>
      <c r="L236" s="24" t="e">
        <f>SUMIFS(#REF!,#REF!,$B236,#REF!,L$1)</f>
        <v>#REF!</v>
      </c>
      <c r="M236" s="24" t="e">
        <f>SUMIFS(#REF!,#REF!,$B236,#REF!,M$1)</f>
        <v>#REF!</v>
      </c>
      <c r="N236" s="24" t="e">
        <f>SUMIFS(#REF!,#REF!,$B236,#REF!,N$1)</f>
        <v>#REF!</v>
      </c>
      <c r="O236" s="24" t="e">
        <f>SUMIFS(#REF!,#REF!,$B236,#REF!,O$1)</f>
        <v>#REF!</v>
      </c>
      <c r="P236" s="24" t="e">
        <f>SUMIFS(#REF!,#REF!,$B236,#REF!,P$1)</f>
        <v>#REF!</v>
      </c>
      <c r="Q236" s="24" t="e">
        <f>SUMIFS(#REF!,#REF!,$B236,#REF!,Q$1)</f>
        <v>#REF!</v>
      </c>
      <c r="R236" s="24" t="e">
        <f>SUMIFS(#REF!,#REF!,$B236,#REF!,R$1)</f>
        <v>#REF!</v>
      </c>
      <c r="S236" s="24" t="e">
        <f>SUMIFS(#REF!,#REF!,$B236,#REF!,S$1)</f>
        <v>#REF!</v>
      </c>
      <c r="T236" s="24" t="e">
        <f>SUMIFS(#REF!,#REF!,$B236,#REF!,T$1)</f>
        <v>#REF!</v>
      </c>
      <c r="U236" s="24" t="e">
        <f>SUMIFS(#REF!,#REF!,$B236,#REF!,U$1)</f>
        <v>#REF!</v>
      </c>
      <c r="V236" s="24" t="e">
        <f>SUMIFS(#REF!,#REF!,$B236,#REF!,V$1)</f>
        <v>#REF!</v>
      </c>
      <c r="W236" s="24" t="e">
        <f>SUMIFS(#REF!,#REF!,$B236,#REF!,W$1)</f>
        <v>#REF!</v>
      </c>
      <c r="X236" s="24" t="e">
        <f>SUMIFS(#REF!,#REF!,$B236,#REF!,X$1)</f>
        <v>#REF!</v>
      </c>
      <c r="Y236" s="24" t="e">
        <f>SUMIFS(#REF!,#REF!,$B236,#REF!,Y$1)</f>
        <v>#REF!</v>
      </c>
      <c r="Z236" s="24" t="e">
        <f>SUMIFS(#REF!,#REF!,$B236,#REF!,Z$1)</f>
        <v>#REF!</v>
      </c>
      <c r="AA236" s="24" t="e">
        <f>SUMIFS(#REF!,#REF!,$B236,#REF!,AA$1)</f>
        <v>#REF!</v>
      </c>
      <c r="AB236" s="24" t="e">
        <f>SUMIFS(#REF!,#REF!,$B236,#REF!,AB$1)</f>
        <v>#REF!</v>
      </c>
      <c r="AC236" s="24" t="e">
        <f>SUMIFS(#REF!,#REF!,$B236,#REF!,AC$1)</f>
        <v>#REF!</v>
      </c>
      <c r="AD236" s="24" t="e">
        <f>SUMIFS(#REF!,#REF!,$B236,#REF!,AD$1)</f>
        <v>#REF!</v>
      </c>
      <c r="AE236" s="24" t="e">
        <f>SUMIFS(#REF!,#REF!,$B236,#REF!,AE$1)</f>
        <v>#REF!</v>
      </c>
      <c r="AF236" s="24" t="e">
        <f>SUMIFS(#REF!,#REF!,$B236,#REF!,AF$1)</f>
        <v>#REF!</v>
      </c>
      <c r="AG236" s="24" t="e">
        <f>SUMIFS(#REF!,#REF!,$B236,#REF!,AG$1)</f>
        <v>#REF!</v>
      </c>
      <c r="AH236" s="24" t="e">
        <f>SUMIFS(#REF!,#REF!,$B236,#REF!,AH$1)</f>
        <v>#REF!</v>
      </c>
      <c r="AI236" s="24" t="e">
        <f>SUMIFS(#REF!,#REF!,$B236,#REF!,AI$1)</f>
        <v>#REF!</v>
      </c>
      <c r="AJ236" s="24" t="e">
        <f>SUMIFS(#REF!,#REF!,$B236,#REF!,AJ$1)</f>
        <v>#REF!</v>
      </c>
      <c r="AK236" s="24" t="e">
        <f>SUMIFS(#REF!,#REF!,$B236,#REF!,AK$1)</f>
        <v>#REF!</v>
      </c>
      <c r="AL236" s="24" t="e">
        <f>SUMIFS(#REF!,#REF!,$B236,#REF!,AL$1)</f>
        <v>#REF!</v>
      </c>
      <c r="AM236" s="24" t="e">
        <f>SUMIFS(#REF!,#REF!,$B236,#REF!,AM$1)</f>
        <v>#REF!</v>
      </c>
      <c r="AN236" s="24" t="e">
        <f>SUMIFS(#REF!,#REF!,$B236,#REF!,AN$1)</f>
        <v>#REF!</v>
      </c>
      <c r="AO236" s="24" t="e">
        <f>SUMIFS(#REF!,#REF!,$B236,#REF!,AO$1)</f>
        <v>#REF!</v>
      </c>
      <c r="AP236" s="24" t="e">
        <f>SUMIFS(#REF!,#REF!,$B236,#REF!,AP$1)</f>
        <v>#REF!</v>
      </c>
      <c r="AQ236" s="24" t="e">
        <f>SUMIFS(#REF!,#REF!,$B236,#REF!,AQ$1)</f>
        <v>#REF!</v>
      </c>
      <c r="AR236" s="24" t="e">
        <f>SUMIFS(#REF!,#REF!,$B236,#REF!,AR$1)</f>
        <v>#REF!</v>
      </c>
      <c r="AS236" s="24" t="e">
        <f>SUMIFS(#REF!,#REF!,$B236,#REF!,AS$1)</f>
        <v>#REF!</v>
      </c>
      <c r="AT236" s="24" t="e">
        <f>SUMIFS(#REF!,#REF!,$B236,#REF!,AT$1)</f>
        <v>#REF!</v>
      </c>
      <c r="AU236" s="24" t="e">
        <f>SUMIFS(#REF!,#REF!,$B236,#REF!,AU$1)</f>
        <v>#REF!</v>
      </c>
      <c r="AV236" s="24" t="e">
        <f>SUMIFS(#REF!,#REF!,$B236,#REF!,AV$1)</f>
        <v>#REF!</v>
      </c>
      <c r="AW236" s="24" t="e">
        <f>SUMIFS(#REF!,#REF!,$B236,#REF!,AW$1)</f>
        <v>#REF!</v>
      </c>
      <c r="AX236" s="24" t="e">
        <f>SUMIFS(#REF!,#REF!,$B236,#REF!,AX$1)</f>
        <v>#REF!</v>
      </c>
      <c r="AY236" s="24" t="e">
        <f>SUMIFS(#REF!,#REF!,$B236,#REF!,AY$1)</f>
        <v>#REF!</v>
      </c>
      <c r="AZ236" s="24" t="e">
        <f>SUMIFS(#REF!,#REF!,$B236,#REF!,AZ$1)</f>
        <v>#REF!</v>
      </c>
      <c r="BA236" s="24" t="e">
        <f>SUMIFS(#REF!,#REF!,$B236,#REF!,BA$1)</f>
        <v>#REF!</v>
      </c>
      <c r="BB236" s="24" t="e">
        <f>SUMIFS(#REF!,#REF!,$B236,#REF!,BB$1)</f>
        <v>#REF!</v>
      </c>
      <c r="BC236" s="24" t="e">
        <f>SUMIFS(#REF!,#REF!,$B236,#REF!,BC$1)</f>
        <v>#REF!</v>
      </c>
      <c r="BD236" s="24" t="e">
        <f>SUMIFS(#REF!,#REF!,$B236,#REF!,BD$1)</f>
        <v>#REF!</v>
      </c>
      <c r="BE236" s="24" t="e">
        <f>SUMIFS(#REF!,#REF!,$B236,#REF!,BE$1)</f>
        <v>#REF!</v>
      </c>
      <c r="BF236" s="24" t="e">
        <f>SUMIFS(#REF!,#REF!,$B236,#REF!,BF$1)</f>
        <v>#REF!</v>
      </c>
      <c r="BG236" s="24" t="e">
        <f>SUMIFS(#REF!,#REF!,$B236,#REF!,BG$1)</f>
        <v>#REF!</v>
      </c>
      <c r="BH236" s="24" t="e">
        <f>SUMIFS(#REF!,#REF!,$B236,#REF!,BH$1)</f>
        <v>#REF!</v>
      </c>
      <c r="BI236" s="24" t="e">
        <f>SUMIFS(#REF!,#REF!,$B236,#REF!,BI$1)</f>
        <v>#REF!</v>
      </c>
      <c r="BJ236" s="24" t="e">
        <f>SUMIFS(#REF!,#REF!,$B236,#REF!,BJ$1)</f>
        <v>#REF!</v>
      </c>
      <c r="BK236" s="24" t="e">
        <f>SUMIFS(#REF!,#REF!,$B236,#REF!,BK$1)</f>
        <v>#REF!</v>
      </c>
      <c r="BL236" s="24" t="e">
        <f>SUMIFS(#REF!,#REF!,$B236,#REF!,BL$1)</f>
        <v>#REF!</v>
      </c>
      <c r="BM236" s="24" t="e">
        <f>SUMIFS(#REF!,#REF!,$B236,#REF!,BM$1)</f>
        <v>#REF!</v>
      </c>
      <c r="BN236" s="24" t="e">
        <f>SUMIFS(#REF!,#REF!,$B236,#REF!,BN$1)</f>
        <v>#REF!</v>
      </c>
      <c r="BO236" s="24" t="e">
        <f>SUMIFS(#REF!,#REF!,$B236,#REF!,BO$1)</f>
        <v>#REF!</v>
      </c>
      <c r="BP236" s="24" t="e">
        <f>SUMIFS(#REF!,#REF!,$B236,#REF!,BP$1)</f>
        <v>#REF!</v>
      </c>
      <c r="BQ236" s="24" t="e">
        <f>SUMIFS(#REF!,#REF!,$B236,#REF!,BQ$1)</f>
        <v>#REF!</v>
      </c>
      <c r="BR236" s="24" t="e">
        <f>SUMIFS(#REF!,#REF!,$B236,#REF!,BR$1)</f>
        <v>#REF!</v>
      </c>
      <c r="BS236" s="24" t="e">
        <f>SUMIFS(#REF!,#REF!,$B236,#REF!,BS$1)</f>
        <v>#REF!</v>
      </c>
      <c r="BT236" s="24" t="e">
        <f>SUMIFS(#REF!,#REF!,$B236,#REF!,BT$1)</f>
        <v>#REF!</v>
      </c>
      <c r="BU236" s="24" t="e">
        <f>SUMIFS(#REF!,#REF!,$B236,#REF!,BU$1)</f>
        <v>#REF!</v>
      </c>
      <c r="BV236" s="24" t="e">
        <f>SUMIFS(#REF!,#REF!,$B236,#REF!,BV$1)</f>
        <v>#REF!</v>
      </c>
      <c r="BW236" s="24" t="e">
        <f>SUMIFS(#REF!,#REF!,$B236,#REF!,BW$1)</f>
        <v>#REF!</v>
      </c>
      <c r="BX236" s="24" t="e">
        <f>SUMIFS(#REF!,#REF!,$B236,#REF!,BX$1)</f>
        <v>#REF!</v>
      </c>
      <c r="BY236" s="24" t="e">
        <f>SUMIFS(#REF!,#REF!,$B236,#REF!,BY$1)</f>
        <v>#REF!</v>
      </c>
      <c r="BZ236" s="24" t="e">
        <f>SUMIFS(#REF!,#REF!,$B236,#REF!,BZ$1)</f>
        <v>#REF!</v>
      </c>
      <c r="CA236" s="24" t="e">
        <f>SUMIFS(#REF!,#REF!,$B236,#REF!,CA$1)</f>
        <v>#REF!</v>
      </c>
      <c r="CB236" s="24" t="e">
        <f>SUMIFS(#REF!,#REF!,$B236,#REF!,CB$1)</f>
        <v>#REF!</v>
      </c>
      <c r="CC236" s="24" t="e">
        <f>SUMIFS(#REF!,#REF!,$B236,#REF!,CC$1)</f>
        <v>#REF!</v>
      </c>
      <c r="CD236" s="24" t="e">
        <f>SUMIFS(#REF!,#REF!,$B236,#REF!,CD$1)</f>
        <v>#REF!</v>
      </c>
      <c r="CE236" s="24" t="e">
        <f>SUMIFS(#REF!,#REF!,$B236,#REF!,CE$1)</f>
        <v>#REF!</v>
      </c>
      <c r="CF236" s="24" t="e">
        <f>SUMIFS(#REF!,#REF!,$B236,#REF!,CF$1)</f>
        <v>#REF!</v>
      </c>
      <c r="CG236" s="19" t="e">
        <f t="shared" si="3"/>
        <v>#REF!</v>
      </c>
    </row>
    <row r="237" spans="1:85" x14ac:dyDescent="0.45">
      <c r="A237" s="4" t="s">
        <v>1456</v>
      </c>
      <c r="B237" s="4" t="s">
        <v>1457</v>
      </c>
      <c r="C237" s="24" t="e">
        <f>SUMIFS(#REF!,#REF!,$B237,#REF!,C$1)</f>
        <v>#REF!</v>
      </c>
      <c r="D237" s="24" t="e">
        <f>SUMIFS(#REF!,#REF!,$B237,#REF!,D$1)</f>
        <v>#REF!</v>
      </c>
      <c r="E237" s="24" t="e">
        <f>SUMIFS(#REF!,#REF!,$B237,#REF!,E$1)</f>
        <v>#REF!</v>
      </c>
      <c r="F237" s="24" t="e">
        <f>SUMIFS(#REF!,#REF!,$B237,#REF!,F$1)</f>
        <v>#REF!</v>
      </c>
      <c r="G237" s="24" t="e">
        <f>SUMIFS(#REF!,#REF!,$B237,#REF!,G$1)</f>
        <v>#REF!</v>
      </c>
      <c r="H237" s="24" t="e">
        <f>SUMIFS(#REF!,#REF!,$B237,#REF!,H$1)</f>
        <v>#REF!</v>
      </c>
      <c r="I237" s="24" t="e">
        <f>SUMIFS(#REF!,#REF!,$B237,#REF!,I$1)</f>
        <v>#REF!</v>
      </c>
      <c r="J237" s="24" t="e">
        <f>SUMIFS(#REF!,#REF!,$B237,#REF!,J$1)</f>
        <v>#REF!</v>
      </c>
      <c r="K237" s="24" t="e">
        <f>SUMIFS(#REF!,#REF!,$B237,#REF!,K$1)</f>
        <v>#REF!</v>
      </c>
      <c r="L237" s="24" t="e">
        <f>SUMIFS(#REF!,#REF!,$B237,#REF!,L$1)</f>
        <v>#REF!</v>
      </c>
      <c r="M237" s="24" t="e">
        <f>SUMIFS(#REF!,#REF!,$B237,#REF!,M$1)</f>
        <v>#REF!</v>
      </c>
      <c r="N237" s="24" t="e">
        <f>SUMIFS(#REF!,#REF!,$B237,#REF!,N$1)</f>
        <v>#REF!</v>
      </c>
      <c r="O237" s="24" t="e">
        <f>SUMIFS(#REF!,#REF!,$B237,#REF!,O$1)</f>
        <v>#REF!</v>
      </c>
      <c r="P237" s="24" t="e">
        <f>SUMIFS(#REF!,#REF!,$B237,#REF!,P$1)</f>
        <v>#REF!</v>
      </c>
      <c r="Q237" s="24" t="e">
        <f>SUMIFS(#REF!,#REF!,$B237,#REF!,Q$1)</f>
        <v>#REF!</v>
      </c>
      <c r="R237" s="24" t="e">
        <f>SUMIFS(#REF!,#REF!,$B237,#REF!,R$1)</f>
        <v>#REF!</v>
      </c>
      <c r="S237" s="24" t="e">
        <f>SUMIFS(#REF!,#REF!,$B237,#REF!,S$1)</f>
        <v>#REF!</v>
      </c>
      <c r="T237" s="24" t="e">
        <f>SUMIFS(#REF!,#REF!,$B237,#REF!,T$1)</f>
        <v>#REF!</v>
      </c>
      <c r="U237" s="24" t="e">
        <f>SUMIFS(#REF!,#REF!,$B237,#REF!,U$1)</f>
        <v>#REF!</v>
      </c>
      <c r="V237" s="24" t="e">
        <f>SUMIFS(#REF!,#REF!,$B237,#REF!,V$1)</f>
        <v>#REF!</v>
      </c>
      <c r="W237" s="24" t="e">
        <f>SUMIFS(#REF!,#REF!,$B237,#REF!,W$1)</f>
        <v>#REF!</v>
      </c>
      <c r="X237" s="24" t="e">
        <f>SUMIFS(#REF!,#REF!,$B237,#REF!,X$1)</f>
        <v>#REF!</v>
      </c>
      <c r="Y237" s="24" t="e">
        <f>SUMIFS(#REF!,#REF!,$B237,#REF!,Y$1)</f>
        <v>#REF!</v>
      </c>
      <c r="Z237" s="24" t="e">
        <f>SUMIFS(#REF!,#REF!,$B237,#REF!,Z$1)</f>
        <v>#REF!</v>
      </c>
      <c r="AA237" s="24" t="e">
        <f>SUMIFS(#REF!,#REF!,$B237,#REF!,AA$1)</f>
        <v>#REF!</v>
      </c>
      <c r="AB237" s="24" t="e">
        <f>SUMIFS(#REF!,#REF!,$B237,#REF!,AB$1)</f>
        <v>#REF!</v>
      </c>
      <c r="AC237" s="24" t="e">
        <f>SUMIFS(#REF!,#REF!,$B237,#REF!,AC$1)</f>
        <v>#REF!</v>
      </c>
      <c r="AD237" s="24" t="e">
        <f>SUMIFS(#REF!,#REF!,$B237,#REF!,AD$1)</f>
        <v>#REF!</v>
      </c>
      <c r="AE237" s="24" t="e">
        <f>SUMIFS(#REF!,#REF!,$B237,#REF!,AE$1)</f>
        <v>#REF!</v>
      </c>
      <c r="AF237" s="24" t="e">
        <f>SUMIFS(#REF!,#REF!,$B237,#REF!,AF$1)</f>
        <v>#REF!</v>
      </c>
      <c r="AG237" s="24" t="e">
        <f>SUMIFS(#REF!,#REF!,$B237,#REF!,AG$1)</f>
        <v>#REF!</v>
      </c>
      <c r="AH237" s="24" t="e">
        <f>SUMIFS(#REF!,#REF!,$B237,#REF!,AH$1)</f>
        <v>#REF!</v>
      </c>
      <c r="AI237" s="24" t="e">
        <f>SUMIFS(#REF!,#REF!,$B237,#REF!,AI$1)</f>
        <v>#REF!</v>
      </c>
      <c r="AJ237" s="24" t="e">
        <f>SUMIFS(#REF!,#REF!,$B237,#REF!,AJ$1)</f>
        <v>#REF!</v>
      </c>
      <c r="AK237" s="24" t="e">
        <f>SUMIFS(#REF!,#REF!,$B237,#REF!,AK$1)</f>
        <v>#REF!</v>
      </c>
      <c r="AL237" s="24" t="e">
        <f>SUMIFS(#REF!,#REF!,$B237,#REF!,AL$1)</f>
        <v>#REF!</v>
      </c>
      <c r="AM237" s="24" t="e">
        <f>SUMIFS(#REF!,#REF!,$B237,#REF!,AM$1)</f>
        <v>#REF!</v>
      </c>
      <c r="AN237" s="24" t="e">
        <f>SUMIFS(#REF!,#REF!,$B237,#REF!,AN$1)</f>
        <v>#REF!</v>
      </c>
      <c r="AO237" s="24" t="e">
        <f>SUMIFS(#REF!,#REF!,$B237,#REF!,AO$1)</f>
        <v>#REF!</v>
      </c>
      <c r="AP237" s="24" t="e">
        <f>SUMIFS(#REF!,#REF!,$B237,#REF!,AP$1)</f>
        <v>#REF!</v>
      </c>
      <c r="AQ237" s="24" t="e">
        <f>SUMIFS(#REF!,#REF!,$B237,#REF!,AQ$1)</f>
        <v>#REF!</v>
      </c>
      <c r="AR237" s="24" t="e">
        <f>SUMIFS(#REF!,#REF!,$B237,#REF!,AR$1)</f>
        <v>#REF!</v>
      </c>
      <c r="AS237" s="24" t="e">
        <f>SUMIFS(#REF!,#REF!,$B237,#REF!,AS$1)</f>
        <v>#REF!</v>
      </c>
      <c r="AT237" s="24" t="e">
        <f>SUMIFS(#REF!,#REF!,$B237,#REF!,AT$1)</f>
        <v>#REF!</v>
      </c>
      <c r="AU237" s="24" t="e">
        <f>SUMIFS(#REF!,#REF!,$B237,#REF!,AU$1)</f>
        <v>#REF!</v>
      </c>
      <c r="AV237" s="24" t="e">
        <f>SUMIFS(#REF!,#REF!,$B237,#REF!,AV$1)</f>
        <v>#REF!</v>
      </c>
      <c r="AW237" s="24" t="e">
        <f>SUMIFS(#REF!,#REF!,$B237,#REF!,AW$1)</f>
        <v>#REF!</v>
      </c>
      <c r="AX237" s="24" t="e">
        <f>SUMIFS(#REF!,#REF!,$B237,#REF!,AX$1)</f>
        <v>#REF!</v>
      </c>
      <c r="AY237" s="24" t="e">
        <f>SUMIFS(#REF!,#REF!,$B237,#REF!,AY$1)</f>
        <v>#REF!</v>
      </c>
      <c r="AZ237" s="24" t="e">
        <f>SUMIFS(#REF!,#REF!,$B237,#REF!,AZ$1)</f>
        <v>#REF!</v>
      </c>
      <c r="BA237" s="24" t="e">
        <f>SUMIFS(#REF!,#REF!,$B237,#REF!,BA$1)</f>
        <v>#REF!</v>
      </c>
      <c r="BB237" s="24" t="e">
        <f>SUMIFS(#REF!,#REF!,$B237,#REF!,BB$1)</f>
        <v>#REF!</v>
      </c>
      <c r="BC237" s="24" t="e">
        <f>SUMIFS(#REF!,#REF!,$B237,#REF!,BC$1)</f>
        <v>#REF!</v>
      </c>
      <c r="BD237" s="24" t="e">
        <f>SUMIFS(#REF!,#REF!,$B237,#REF!,BD$1)</f>
        <v>#REF!</v>
      </c>
      <c r="BE237" s="24" t="e">
        <f>SUMIFS(#REF!,#REF!,$B237,#REF!,BE$1)</f>
        <v>#REF!</v>
      </c>
      <c r="BF237" s="24" t="e">
        <f>SUMIFS(#REF!,#REF!,$B237,#REF!,BF$1)</f>
        <v>#REF!</v>
      </c>
      <c r="BG237" s="24" t="e">
        <f>SUMIFS(#REF!,#REF!,$B237,#REF!,BG$1)</f>
        <v>#REF!</v>
      </c>
      <c r="BH237" s="24" t="e">
        <f>SUMIFS(#REF!,#REF!,$B237,#REF!,BH$1)</f>
        <v>#REF!</v>
      </c>
      <c r="BI237" s="24" t="e">
        <f>SUMIFS(#REF!,#REF!,$B237,#REF!,BI$1)</f>
        <v>#REF!</v>
      </c>
      <c r="BJ237" s="24" t="e">
        <f>SUMIFS(#REF!,#REF!,$B237,#REF!,BJ$1)</f>
        <v>#REF!</v>
      </c>
      <c r="BK237" s="24" t="e">
        <f>SUMIFS(#REF!,#REF!,$B237,#REF!,BK$1)</f>
        <v>#REF!</v>
      </c>
      <c r="BL237" s="24" t="e">
        <f>SUMIFS(#REF!,#REF!,$B237,#REF!,BL$1)</f>
        <v>#REF!</v>
      </c>
      <c r="BM237" s="24" t="e">
        <f>SUMIFS(#REF!,#REF!,$B237,#REF!,BM$1)</f>
        <v>#REF!</v>
      </c>
      <c r="BN237" s="24" t="e">
        <f>SUMIFS(#REF!,#REF!,$B237,#REF!,BN$1)</f>
        <v>#REF!</v>
      </c>
      <c r="BO237" s="24" t="e">
        <f>SUMIFS(#REF!,#REF!,$B237,#REF!,BO$1)</f>
        <v>#REF!</v>
      </c>
      <c r="BP237" s="24" t="e">
        <f>SUMIFS(#REF!,#REF!,$B237,#REF!,BP$1)</f>
        <v>#REF!</v>
      </c>
      <c r="BQ237" s="24" t="e">
        <f>SUMIFS(#REF!,#REF!,$B237,#REF!,BQ$1)</f>
        <v>#REF!</v>
      </c>
      <c r="BR237" s="24" t="e">
        <f>SUMIFS(#REF!,#REF!,$B237,#REF!,BR$1)</f>
        <v>#REF!</v>
      </c>
      <c r="BS237" s="24" t="e">
        <f>SUMIFS(#REF!,#REF!,$B237,#REF!,BS$1)</f>
        <v>#REF!</v>
      </c>
      <c r="BT237" s="24" t="e">
        <f>SUMIFS(#REF!,#REF!,$B237,#REF!,BT$1)</f>
        <v>#REF!</v>
      </c>
      <c r="BU237" s="24" t="e">
        <f>SUMIFS(#REF!,#REF!,$B237,#REF!,BU$1)</f>
        <v>#REF!</v>
      </c>
      <c r="BV237" s="24" t="e">
        <f>SUMIFS(#REF!,#REF!,$B237,#REF!,BV$1)</f>
        <v>#REF!</v>
      </c>
      <c r="BW237" s="24" t="e">
        <f>SUMIFS(#REF!,#REF!,$B237,#REF!,BW$1)</f>
        <v>#REF!</v>
      </c>
      <c r="BX237" s="24" t="e">
        <f>SUMIFS(#REF!,#REF!,$B237,#REF!,BX$1)</f>
        <v>#REF!</v>
      </c>
      <c r="BY237" s="24" t="e">
        <f>SUMIFS(#REF!,#REF!,$B237,#REF!,BY$1)</f>
        <v>#REF!</v>
      </c>
      <c r="BZ237" s="24" t="e">
        <f>SUMIFS(#REF!,#REF!,$B237,#REF!,BZ$1)</f>
        <v>#REF!</v>
      </c>
      <c r="CA237" s="24" t="e">
        <f>SUMIFS(#REF!,#REF!,$B237,#REF!,CA$1)</f>
        <v>#REF!</v>
      </c>
      <c r="CB237" s="24" t="e">
        <f>SUMIFS(#REF!,#REF!,$B237,#REF!,CB$1)</f>
        <v>#REF!</v>
      </c>
      <c r="CC237" s="24" t="e">
        <f>SUMIFS(#REF!,#REF!,$B237,#REF!,CC$1)</f>
        <v>#REF!</v>
      </c>
      <c r="CD237" s="24" t="e">
        <f>SUMIFS(#REF!,#REF!,$B237,#REF!,CD$1)</f>
        <v>#REF!</v>
      </c>
      <c r="CE237" s="24" t="e">
        <f>SUMIFS(#REF!,#REF!,$B237,#REF!,CE$1)</f>
        <v>#REF!</v>
      </c>
      <c r="CF237" s="24" t="e">
        <f>SUMIFS(#REF!,#REF!,$B237,#REF!,CF$1)</f>
        <v>#REF!</v>
      </c>
      <c r="CG237" s="19" t="e">
        <f t="shared" si="3"/>
        <v>#REF!</v>
      </c>
    </row>
    <row r="238" spans="1:85" x14ac:dyDescent="0.45">
      <c r="A238" s="4" t="s">
        <v>1458</v>
      </c>
      <c r="B238" s="4" t="s">
        <v>1459</v>
      </c>
      <c r="C238" s="24" t="e">
        <f>SUMIFS(#REF!,#REF!,$B238,#REF!,C$1)</f>
        <v>#REF!</v>
      </c>
      <c r="D238" s="24" t="e">
        <f>SUMIFS(#REF!,#REF!,$B238,#REF!,D$1)</f>
        <v>#REF!</v>
      </c>
      <c r="E238" s="24" t="e">
        <f>SUMIFS(#REF!,#REF!,$B238,#REF!,E$1)</f>
        <v>#REF!</v>
      </c>
      <c r="F238" s="24" t="e">
        <f>SUMIFS(#REF!,#REF!,$B238,#REF!,F$1)</f>
        <v>#REF!</v>
      </c>
      <c r="G238" s="24" t="e">
        <f>SUMIFS(#REF!,#REF!,$B238,#REF!,G$1)</f>
        <v>#REF!</v>
      </c>
      <c r="H238" s="24" t="e">
        <f>SUMIFS(#REF!,#REF!,$B238,#REF!,H$1)</f>
        <v>#REF!</v>
      </c>
      <c r="I238" s="24" t="e">
        <f>SUMIFS(#REF!,#REF!,$B238,#REF!,I$1)</f>
        <v>#REF!</v>
      </c>
      <c r="J238" s="24" t="e">
        <f>SUMIFS(#REF!,#REF!,$B238,#REF!,J$1)</f>
        <v>#REF!</v>
      </c>
      <c r="K238" s="24" t="e">
        <f>SUMIFS(#REF!,#REF!,$B238,#REF!,K$1)</f>
        <v>#REF!</v>
      </c>
      <c r="L238" s="24" t="e">
        <f>SUMIFS(#REF!,#REF!,$B238,#REF!,L$1)</f>
        <v>#REF!</v>
      </c>
      <c r="M238" s="24" t="e">
        <f>SUMIFS(#REF!,#REF!,$B238,#REF!,M$1)</f>
        <v>#REF!</v>
      </c>
      <c r="N238" s="24" t="e">
        <f>SUMIFS(#REF!,#REF!,$B238,#REF!,N$1)</f>
        <v>#REF!</v>
      </c>
      <c r="O238" s="24" t="e">
        <f>SUMIFS(#REF!,#REF!,$B238,#REF!,O$1)</f>
        <v>#REF!</v>
      </c>
      <c r="P238" s="24" t="e">
        <f>SUMIFS(#REF!,#REF!,$B238,#REF!,P$1)</f>
        <v>#REF!</v>
      </c>
      <c r="Q238" s="24" t="e">
        <f>SUMIFS(#REF!,#REF!,$B238,#REF!,Q$1)</f>
        <v>#REF!</v>
      </c>
      <c r="R238" s="24" t="e">
        <f>SUMIFS(#REF!,#REF!,$B238,#REF!,R$1)</f>
        <v>#REF!</v>
      </c>
      <c r="S238" s="24" t="e">
        <f>SUMIFS(#REF!,#REF!,$B238,#REF!,S$1)</f>
        <v>#REF!</v>
      </c>
      <c r="T238" s="24" t="e">
        <f>SUMIFS(#REF!,#REF!,$B238,#REF!,T$1)</f>
        <v>#REF!</v>
      </c>
      <c r="U238" s="24" t="e">
        <f>SUMIFS(#REF!,#REF!,$B238,#REF!,U$1)</f>
        <v>#REF!</v>
      </c>
      <c r="V238" s="24" t="e">
        <f>SUMIFS(#REF!,#REF!,$B238,#REF!,V$1)</f>
        <v>#REF!</v>
      </c>
      <c r="W238" s="24" t="e">
        <f>SUMIFS(#REF!,#REF!,$B238,#REF!,W$1)</f>
        <v>#REF!</v>
      </c>
      <c r="X238" s="24" t="e">
        <f>SUMIFS(#REF!,#REF!,$B238,#REF!,X$1)</f>
        <v>#REF!</v>
      </c>
      <c r="Y238" s="24" t="e">
        <f>SUMIFS(#REF!,#REF!,$B238,#REF!,Y$1)</f>
        <v>#REF!</v>
      </c>
      <c r="Z238" s="24" t="e">
        <f>SUMIFS(#REF!,#REF!,$B238,#REF!,Z$1)</f>
        <v>#REF!</v>
      </c>
      <c r="AA238" s="24" t="e">
        <f>SUMIFS(#REF!,#REF!,$B238,#REF!,AA$1)</f>
        <v>#REF!</v>
      </c>
      <c r="AB238" s="24" t="e">
        <f>SUMIFS(#REF!,#REF!,$B238,#REF!,AB$1)</f>
        <v>#REF!</v>
      </c>
      <c r="AC238" s="24" t="e">
        <f>SUMIFS(#REF!,#REF!,$B238,#REF!,AC$1)</f>
        <v>#REF!</v>
      </c>
      <c r="AD238" s="24" t="e">
        <f>SUMIFS(#REF!,#REF!,$B238,#REF!,AD$1)</f>
        <v>#REF!</v>
      </c>
      <c r="AE238" s="24" t="e">
        <f>SUMIFS(#REF!,#REF!,$B238,#REF!,AE$1)</f>
        <v>#REF!</v>
      </c>
      <c r="AF238" s="24" t="e">
        <f>SUMIFS(#REF!,#REF!,$B238,#REF!,AF$1)</f>
        <v>#REF!</v>
      </c>
      <c r="AG238" s="24" t="e">
        <f>SUMIFS(#REF!,#REF!,$B238,#REF!,AG$1)</f>
        <v>#REF!</v>
      </c>
      <c r="AH238" s="24" t="e">
        <f>SUMIFS(#REF!,#REF!,$B238,#REF!,AH$1)</f>
        <v>#REF!</v>
      </c>
      <c r="AI238" s="24" t="e">
        <f>SUMIFS(#REF!,#REF!,$B238,#REF!,AI$1)</f>
        <v>#REF!</v>
      </c>
      <c r="AJ238" s="24" t="e">
        <f>SUMIFS(#REF!,#REF!,$B238,#REF!,AJ$1)</f>
        <v>#REF!</v>
      </c>
      <c r="AK238" s="24" t="e">
        <f>SUMIFS(#REF!,#REF!,$B238,#REF!,AK$1)</f>
        <v>#REF!</v>
      </c>
      <c r="AL238" s="24" t="e">
        <f>SUMIFS(#REF!,#REF!,$B238,#REF!,AL$1)</f>
        <v>#REF!</v>
      </c>
      <c r="AM238" s="24" t="e">
        <f>SUMIFS(#REF!,#REF!,$B238,#REF!,AM$1)</f>
        <v>#REF!</v>
      </c>
      <c r="AN238" s="24" t="e">
        <f>SUMIFS(#REF!,#REF!,$B238,#REF!,AN$1)</f>
        <v>#REF!</v>
      </c>
      <c r="AO238" s="24" t="e">
        <f>SUMIFS(#REF!,#REF!,$B238,#REF!,AO$1)</f>
        <v>#REF!</v>
      </c>
      <c r="AP238" s="24" t="e">
        <f>SUMIFS(#REF!,#REF!,$B238,#REF!,AP$1)</f>
        <v>#REF!</v>
      </c>
      <c r="AQ238" s="24" t="e">
        <f>SUMIFS(#REF!,#REF!,$B238,#REF!,AQ$1)</f>
        <v>#REF!</v>
      </c>
      <c r="AR238" s="24" t="e">
        <f>SUMIFS(#REF!,#REF!,$B238,#REF!,AR$1)</f>
        <v>#REF!</v>
      </c>
      <c r="AS238" s="24" t="e">
        <f>SUMIFS(#REF!,#REF!,$B238,#REF!,AS$1)</f>
        <v>#REF!</v>
      </c>
      <c r="AT238" s="24" t="e">
        <f>SUMIFS(#REF!,#REF!,$B238,#REF!,AT$1)</f>
        <v>#REF!</v>
      </c>
      <c r="AU238" s="24" t="e">
        <f>SUMIFS(#REF!,#REF!,$B238,#REF!,AU$1)</f>
        <v>#REF!</v>
      </c>
      <c r="AV238" s="24" t="e">
        <f>SUMIFS(#REF!,#REF!,$B238,#REF!,AV$1)</f>
        <v>#REF!</v>
      </c>
      <c r="AW238" s="24" t="e">
        <f>SUMIFS(#REF!,#REF!,$B238,#REF!,AW$1)</f>
        <v>#REF!</v>
      </c>
      <c r="AX238" s="24" t="e">
        <f>SUMIFS(#REF!,#REF!,$B238,#REF!,AX$1)</f>
        <v>#REF!</v>
      </c>
      <c r="AY238" s="24" t="e">
        <f>SUMIFS(#REF!,#REF!,$B238,#REF!,AY$1)</f>
        <v>#REF!</v>
      </c>
      <c r="AZ238" s="24" t="e">
        <f>SUMIFS(#REF!,#REF!,$B238,#REF!,AZ$1)</f>
        <v>#REF!</v>
      </c>
      <c r="BA238" s="24" t="e">
        <f>SUMIFS(#REF!,#REF!,$B238,#REF!,BA$1)</f>
        <v>#REF!</v>
      </c>
      <c r="BB238" s="24" t="e">
        <f>SUMIFS(#REF!,#REF!,$B238,#REF!,BB$1)</f>
        <v>#REF!</v>
      </c>
      <c r="BC238" s="24" t="e">
        <f>SUMIFS(#REF!,#REF!,$B238,#REF!,BC$1)</f>
        <v>#REF!</v>
      </c>
      <c r="BD238" s="24" t="e">
        <f>SUMIFS(#REF!,#REF!,$B238,#REF!,BD$1)</f>
        <v>#REF!</v>
      </c>
      <c r="BE238" s="24" t="e">
        <f>SUMIFS(#REF!,#REF!,$B238,#REF!,BE$1)</f>
        <v>#REF!</v>
      </c>
      <c r="BF238" s="24" t="e">
        <f>SUMIFS(#REF!,#REF!,$B238,#REF!,BF$1)</f>
        <v>#REF!</v>
      </c>
      <c r="BG238" s="24" t="e">
        <f>SUMIFS(#REF!,#REF!,$B238,#REF!,BG$1)</f>
        <v>#REF!</v>
      </c>
      <c r="BH238" s="24" t="e">
        <f>SUMIFS(#REF!,#REF!,$B238,#REF!,BH$1)</f>
        <v>#REF!</v>
      </c>
      <c r="BI238" s="24" t="e">
        <f>SUMIFS(#REF!,#REF!,$B238,#REF!,BI$1)</f>
        <v>#REF!</v>
      </c>
      <c r="BJ238" s="24" t="e">
        <f>SUMIFS(#REF!,#REF!,$B238,#REF!,BJ$1)</f>
        <v>#REF!</v>
      </c>
      <c r="BK238" s="24" t="e">
        <f>SUMIFS(#REF!,#REF!,$B238,#REF!,BK$1)</f>
        <v>#REF!</v>
      </c>
      <c r="BL238" s="24" t="e">
        <f>SUMIFS(#REF!,#REF!,$B238,#REF!,BL$1)</f>
        <v>#REF!</v>
      </c>
      <c r="BM238" s="24" t="e">
        <f>SUMIFS(#REF!,#REF!,$B238,#REF!,BM$1)</f>
        <v>#REF!</v>
      </c>
      <c r="BN238" s="24" t="e">
        <f>SUMIFS(#REF!,#REF!,$B238,#REF!,BN$1)</f>
        <v>#REF!</v>
      </c>
      <c r="BO238" s="24" t="e">
        <f>SUMIFS(#REF!,#REF!,$B238,#REF!,BO$1)</f>
        <v>#REF!</v>
      </c>
      <c r="BP238" s="24" t="e">
        <f>SUMIFS(#REF!,#REF!,$B238,#REF!,BP$1)</f>
        <v>#REF!</v>
      </c>
      <c r="BQ238" s="24" t="e">
        <f>SUMIFS(#REF!,#REF!,$B238,#REF!,BQ$1)</f>
        <v>#REF!</v>
      </c>
      <c r="BR238" s="24" t="e">
        <f>SUMIFS(#REF!,#REF!,$B238,#REF!,BR$1)</f>
        <v>#REF!</v>
      </c>
      <c r="BS238" s="24" t="e">
        <f>SUMIFS(#REF!,#REF!,$B238,#REF!,BS$1)</f>
        <v>#REF!</v>
      </c>
      <c r="BT238" s="24" t="e">
        <f>SUMIFS(#REF!,#REF!,$B238,#REF!,BT$1)</f>
        <v>#REF!</v>
      </c>
      <c r="BU238" s="24" t="e">
        <f>SUMIFS(#REF!,#REF!,$B238,#REF!,BU$1)</f>
        <v>#REF!</v>
      </c>
      <c r="BV238" s="24" t="e">
        <f>SUMIFS(#REF!,#REF!,$B238,#REF!,BV$1)</f>
        <v>#REF!</v>
      </c>
      <c r="BW238" s="24" t="e">
        <f>SUMIFS(#REF!,#REF!,$B238,#REF!,BW$1)</f>
        <v>#REF!</v>
      </c>
      <c r="BX238" s="24" t="e">
        <f>SUMIFS(#REF!,#REF!,$B238,#REF!,BX$1)</f>
        <v>#REF!</v>
      </c>
      <c r="BY238" s="24" t="e">
        <f>SUMIFS(#REF!,#REF!,$B238,#REF!,BY$1)</f>
        <v>#REF!</v>
      </c>
      <c r="BZ238" s="24" t="e">
        <f>SUMIFS(#REF!,#REF!,$B238,#REF!,BZ$1)</f>
        <v>#REF!</v>
      </c>
      <c r="CA238" s="24" t="e">
        <f>SUMIFS(#REF!,#REF!,$B238,#REF!,CA$1)</f>
        <v>#REF!</v>
      </c>
      <c r="CB238" s="24" t="e">
        <f>SUMIFS(#REF!,#REF!,$B238,#REF!,CB$1)</f>
        <v>#REF!</v>
      </c>
      <c r="CC238" s="24" t="e">
        <f>SUMIFS(#REF!,#REF!,$B238,#REF!,CC$1)</f>
        <v>#REF!</v>
      </c>
      <c r="CD238" s="24" t="e">
        <f>SUMIFS(#REF!,#REF!,$B238,#REF!,CD$1)</f>
        <v>#REF!</v>
      </c>
      <c r="CE238" s="24" t="e">
        <f>SUMIFS(#REF!,#REF!,$B238,#REF!,CE$1)</f>
        <v>#REF!</v>
      </c>
      <c r="CF238" s="24" t="e">
        <f>SUMIFS(#REF!,#REF!,$B238,#REF!,CF$1)</f>
        <v>#REF!</v>
      </c>
      <c r="CG238" s="19" t="e">
        <f t="shared" si="3"/>
        <v>#REF!</v>
      </c>
    </row>
    <row r="239" spans="1:85" x14ac:dyDescent="0.45">
      <c r="A239" s="4" t="s">
        <v>1460</v>
      </c>
      <c r="B239" s="4" t="s">
        <v>1461</v>
      </c>
      <c r="C239" s="24" t="e">
        <f>SUMIFS(#REF!,#REF!,$B239,#REF!,C$1)</f>
        <v>#REF!</v>
      </c>
      <c r="D239" s="24" t="e">
        <f>SUMIFS(#REF!,#REF!,$B239,#REF!,D$1)</f>
        <v>#REF!</v>
      </c>
      <c r="E239" s="24" t="e">
        <f>SUMIFS(#REF!,#REF!,$B239,#REF!,E$1)</f>
        <v>#REF!</v>
      </c>
      <c r="F239" s="24" t="e">
        <f>SUMIFS(#REF!,#REF!,$B239,#REF!,F$1)</f>
        <v>#REF!</v>
      </c>
      <c r="G239" s="24" t="e">
        <f>SUMIFS(#REF!,#REF!,$B239,#REF!,G$1)</f>
        <v>#REF!</v>
      </c>
      <c r="H239" s="24" t="e">
        <f>SUMIFS(#REF!,#REF!,$B239,#REF!,H$1)</f>
        <v>#REF!</v>
      </c>
      <c r="I239" s="24" t="e">
        <f>SUMIFS(#REF!,#REF!,$B239,#REF!,I$1)</f>
        <v>#REF!</v>
      </c>
      <c r="J239" s="24" t="e">
        <f>SUMIFS(#REF!,#REF!,$B239,#REF!,J$1)</f>
        <v>#REF!</v>
      </c>
      <c r="K239" s="24" t="e">
        <f>SUMIFS(#REF!,#REF!,$B239,#REF!,K$1)</f>
        <v>#REF!</v>
      </c>
      <c r="L239" s="24" t="e">
        <f>SUMIFS(#REF!,#REF!,$B239,#REF!,L$1)</f>
        <v>#REF!</v>
      </c>
      <c r="M239" s="24" t="e">
        <f>SUMIFS(#REF!,#REF!,$B239,#REF!,M$1)</f>
        <v>#REF!</v>
      </c>
      <c r="N239" s="24" t="e">
        <f>SUMIFS(#REF!,#REF!,$B239,#REF!,N$1)</f>
        <v>#REF!</v>
      </c>
      <c r="O239" s="24" t="e">
        <f>SUMIFS(#REF!,#REF!,$B239,#REF!,O$1)</f>
        <v>#REF!</v>
      </c>
      <c r="P239" s="24" t="e">
        <f>SUMIFS(#REF!,#REF!,$B239,#REF!,P$1)</f>
        <v>#REF!</v>
      </c>
      <c r="Q239" s="24" t="e">
        <f>SUMIFS(#REF!,#REF!,$B239,#REF!,Q$1)</f>
        <v>#REF!</v>
      </c>
      <c r="R239" s="24" t="e">
        <f>SUMIFS(#REF!,#REF!,$B239,#REF!,R$1)</f>
        <v>#REF!</v>
      </c>
      <c r="S239" s="24" t="e">
        <f>SUMIFS(#REF!,#REF!,$B239,#REF!,S$1)</f>
        <v>#REF!</v>
      </c>
      <c r="T239" s="24" t="e">
        <f>SUMIFS(#REF!,#REF!,$B239,#REF!,T$1)</f>
        <v>#REF!</v>
      </c>
      <c r="U239" s="24" t="e">
        <f>SUMIFS(#REF!,#REF!,$B239,#REF!,U$1)</f>
        <v>#REF!</v>
      </c>
      <c r="V239" s="24" t="e">
        <f>SUMIFS(#REF!,#REF!,$B239,#REF!,V$1)</f>
        <v>#REF!</v>
      </c>
      <c r="W239" s="24" t="e">
        <f>SUMIFS(#REF!,#REF!,$B239,#REF!,W$1)</f>
        <v>#REF!</v>
      </c>
      <c r="X239" s="24" t="e">
        <f>SUMIFS(#REF!,#REF!,$B239,#REF!,X$1)</f>
        <v>#REF!</v>
      </c>
      <c r="Y239" s="24" t="e">
        <f>SUMIFS(#REF!,#REF!,$B239,#REF!,Y$1)</f>
        <v>#REF!</v>
      </c>
      <c r="Z239" s="24" t="e">
        <f>SUMIFS(#REF!,#REF!,$B239,#REF!,Z$1)</f>
        <v>#REF!</v>
      </c>
      <c r="AA239" s="24" t="e">
        <f>SUMIFS(#REF!,#REF!,$B239,#REF!,AA$1)</f>
        <v>#REF!</v>
      </c>
      <c r="AB239" s="24" t="e">
        <f>SUMIFS(#REF!,#REF!,$B239,#REF!,AB$1)</f>
        <v>#REF!</v>
      </c>
      <c r="AC239" s="24" t="e">
        <f>SUMIFS(#REF!,#REF!,$B239,#REF!,AC$1)</f>
        <v>#REF!</v>
      </c>
      <c r="AD239" s="24" t="e">
        <f>SUMIFS(#REF!,#REF!,$B239,#REF!,AD$1)</f>
        <v>#REF!</v>
      </c>
      <c r="AE239" s="24" t="e">
        <f>SUMIFS(#REF!,#REF!,$B239,#REF!,AE$1)</f>
        <v>#REF!</v>
      </c>
      <c r="AF239" s="24" t="e">
        <f>SUMIFS(#REF!,#REF!,$B239,#REF!,AF$1)</f>
        <v>#REF!</v>
      </c>
      <c r="AG239" s="24" t="e">
        <f>SUMIFS(#REF!,#REF!,$B239,#REF!,AG$1)</f>
        <v>#REF!</v>
      </c>
      <c r="AH239" s="24" t="e">
        <f>SUMIFS(#REF!,#REF!,$B239,#REF!,AH$1)</f>
        <v>#REF!</v>
      </c>
      <c r="AI239" s="24" t="e">
        <f>SUMIFS(#REF!,#REF!,$B239,#REF!,AI$1)</f>
        <v>#REF!</v>
      </c>
      <c r="AJ239" s="24" t="e">
        <f>SUMIFS(#REF!,#REF!,$B239,#REF!,AJ$1)</f>
        <v>#REF!</v>
      </c>
      <c r="AK239" s="24" t="e">
        <f>SUMIFS(#REF!,#REF!,$B239,#REF!,AK$1)</f>
        <v>#REF!</v>
      </c>
      <c r="AL239" s="24" t="e">
        <f>SUMIFS(#REF!,#REF!,$B239,#REF!,AL$1)</f>
        <v>#REF!</v>
      </c>
      <c r="AM239" s="24" t="e">
        <f>SUMIFS(#REF!,#REF!,$B239,#REF!,AM$1)</f>
        <v>#REF!</v>
      </c>
      <c r="AN239" s="24" t="e">
        <f>SUMIFS(#REF!,#REF!,$B239,#REF!,AN$1)</f>
        <v>#REF!</v>
      </c>
      <c r="AO239" s="24" t="e">
        <f>SUMIFS(#REF!,#REF!,$B239,#REF!,AO$1)</f>
        <v>#REF!</v>
      </c>
      <c r="AP239" s="24" t="e">
        <f>SUMIFS(#REF!,#REF!,$B239,#REF!,AP$1)</f>
        <v>#REF!</v>
      </c>
      <c r="AQ239" s="24" t="e">
        <f>SUMIFS(#REF!,#REF!,$B239,#REF!,AQ$1)</f>
        <v>#REF!</v>
      </c>
      <c r="AR239" s="24" t="e">
        <f>SUMIFS(#REF!,#REF!,$B239,#REF!,AR$1)</f>
        <v>#REF!</v>
      </c>
      <c r="AS239" s="24" t="e">
        <f>SUMIFS(#REF!,#REF!,$B239,#REF!,AS$1)</f>
        <v>#REF!</v>
      </c>
      <c r="AT239" s="24" t="e">
        <f>SUMIFS(#REF!,#REF!,$B239,#REF!,AT$1)</f>
        <v>#REF!</v>
      </c>
      <c r="AU239" s="24" t="e">
        <f>SUMIFS(#REF!,#REF!,$B239,#REF!,AU$1)</f>
        <v>#REF!</v>
      </c>
      <c r="AV239" s="24" t="e">
        <f>SUMIFS(#REF!,#REF!,$B239,#REF!,AV$1)</f>
        <v>#REF!</v>
      </c>
      <c r="AW239" s="24" t="e">
        <f>SUMIFS(#REF!,#REF!,$B239,#REF!,AW$1)</f>
        <v>#REF!</v>
      </c>
      <c r="AX239" s="24" t="e">
        <f>SUMIFS(#REF!,#REF!,$B239,#REF!,AX$1)</f>
        <v>#REF!</v>
      </c>
      <c r="AY239" s="24" t="e">
        <f>SUMIFS(#REF!,#REF!,$B239,#REF!,AY$1)</f>
        <v>#REF!</v>
      </c>
      <c r="AZ239" s="24" t="e">
        <f>SUMIFS(#REF!,#REF!,$B239,#REF!,AZ$1)</f>
        <v>#REF!</v>
      </c>
      <c r="BA239" s="24" t="e">
        <f>SUMIFS(#REF!,#REF!,$B239,#REF!,BA$1)</f>
        <v>#REF!</v>
      </c>
      <c r="BB239" s="24" t="e">
        <f>SUMIFS(#REF!,#REF!,$B239,#REF!,BB$1)</f>
        <v>#REF!</v>
      </c>
      <c r="BC239" s="24" t="e">
        <f>SUMIFS(#REF!,#REF!,$B239,#REF!,BC$1)</f>
        <v>#REF!</v>
      </c>
      <c r="BD239" s="24" t="e">
        <f>SUMIFS(#REF!,#REF!,$B239,#REF!,BD$1)</f>
        <v>#REF!</v>
      </c>
      <c r="BE239" s="24" t="e">
        <f>SUMIFS(#REF!,#REF!,$B239,#REF!,BE$1)</f>
        <v>#REF!</v>
      </c>
      <c r="BF239" s="24" t="e">
        <f>SUMIFS(#REF!,#REF!,$B239,#REF!,BF$1)</f>
        <v>#REF!</v>
      </c>
      <c r="BG239" s="24" t="e">
        <f>SUMIFS(#REF!,#REF!,$B239,#REF!,BG$1)</f>
        <v>#REF!</v>
      </c>
      <c r="BH239" s="24" t="e">
        <f>SUMIFS(#REF!,#REF!,$B239,#REF!,BH$1)</f>
        <v>#REF!</v>
      </c>
      <c r="BI239" s="24" t="e">
        <f>SUMIFS(#REF!,#REF!,$B239,#REF!,BI$1)</f>
        <v>#REF!</v>
      </c>
      <c r="BJ239" s="24" t="e">
        <f>SUMIFS(#REF!,#REF!,$B239,#REF!,BJ$1)</f>
        <v>#REF!</v>
      </c>
      <c r="BK239" s="24" t="e">
        <f>SUMIFS(#REF!,#REF!,$B239,#REF!,BK$1)</f>
        <v>#REF!</v>
      </c>
      <c r="BL239" s="24" t="e">
        <f>SUMIFS(#REF!,#REF!,$B239,#REF!,BL$1)</f>
        <v>#REF!</v>
      </c>
      <c r="BM239" s="24" t="e">
        <f>SUMIFS(#REF!,#REF!,$B239,#REF!,BM$1)</f>
        <v>#REF!</v>
      </c>
      <c r="BN239" s="24" t="e">
        <f>SUMIFS(#REF!,#REF!,$B239,#REF!,BN$1)</f>
        <v>#REF!</v>
      </c>
      <c r="BO239" s="24" t="e">
        <f>SUMIFS(#REF!,#REF!,$B239,#REF!,BO$1)</f>
        <v>#REF!</v>
      </c>
      <c r="BP239" s="24" t="e">
        <f>SUMIFS(#REF!,#REF!,$B239,#REF!,BP$1)</f>
        <v>#REF!</v>
      </c>
      <c r="BQ239" s="24" t="e">
        <f>SUMIFS(#REF!,#REF!,$B239,#REF!,BQ$1)</f>
        <v>#REF!</v>
      </c>
      <c r="BR239" s="24" t="e">
        <f>SUMIFS(#REF!,#REF!,$B239,#REF!,BR$1)</f>
        <v>#REF!</v>
      </c>
      <c r="BS239" s="24" t="e">
        <f>SUMIFS(#REF!,#REF!,$B239,#REF!,BS$1)</f>
        <v>#REF!</v>
      </c>
      <c r="BT239" s="24" t="e">
        <f>SUMIFS(#REF!,#REF!,$B239,#REF!,BT$1)</f>
        <v>#REF!</v>
      </c>
      <c r="BU239" s="24" t="e">
        <f>SUMIFS(#REF!,#REF!,$B239,#REF!,BU$1)</f>
        <v>#REF!</v>
      </c>
      <c r="BV239" s="24" t="e">
        <f>SUMIFS(#REF!,#REF!,$B239,#REF!,BV$1)</f>
        <v>#REF!</v>
      </c>
      <c r="BW239" s="24" t="e">
        <f>SUMIFS(#REF!,#REF!,$B239,#REF!,BW$1)</f>
        <v>#REF!</v>
      </c>
      <c r="BX239" s="24" t="e">
        <f>SUMIFS(#REF!,#REF!,$B239,#REF!,BX$1)</f>
        <v>#REF!</v>
      </c>
      <c r="BY239" s="24" t="e">
        <f>SUMIFS(#REF!,#REF!,$B239,#REF!,BY$1)</f>
        <v>#REF!</v>
      </c>
      <c r="BZ239" s="24" t="e">
        <f>SUMIFS(#REF!,#REF!,$B239,#REF!,BZ$1)</f>
        <v>#REF!</v>
      </c>
      <c r="CA239" s="24" t="e">
        <f>SUMIFS(#REF!,#REF!,$B239,#REF!,CA$1)</f>
        <v>#REF!</v>
      </c>
      <c r="CB239" s="24" t="e">
        <f>SUMIFS(#REF!,#REF!,$B239,#REF!,CB$1)</f>
        <v>#REF!</v>
      </c>
      <c r="CC239" s="24" t="e">
        <f>SUMIFS(#REF!,#REF!,$B239,#REF!,CC$1)</f>
        <v>#REF!</v>
      </c>
      <c r="CD239" s="24" t="e">
        <f>SUMIFS(#REF!,#REF!,$B239,#REF!,CD$1)</f>
        <v>#REF!</v>
      </c>
      <c r="CE239" s="24" t="e">
        <f>SUMIFS(#REF!,#REF!,$B239,#REF!,CE$1)</f>
        <v>#REF!</v>
      </c>
      <c r="CF239" s="24" t="e">
        <f>SUMIFS(#REF!,#REF!,$B239,#REF!,CF$1)</f>
        <v>#REF!</v>
      </c>
      <c r="CG239" s="19" t="e">
        <f t="shared" si="3"/>
        <v>#REF!</v>
      </c>
    </row>
    <row r="240" spans="1:85" x14ac:dyDescent="0.45">
      <c r="A240" s="4" t="s">
        <v>1462</v>
      </c>
      <c r="B240" s="4" t="s">
        <v>1463</v>
      </c>
      <c r="C240" s="24" t="e">
        <f>SUMIFS(#REF!,#REF!,$B240,#REF!,C$1)</f>
        <v>#REF!</v>
      </c>
      <c r="D240" s="24" t="e">
        <f>SUMIFS(#REF!,#REF!,$B240,#REF!,D$1)</f>
        <v>#REF!</v>
      </c>
      <c r="E240" s="24" t="e">
        <f>SUMIFS(#REF!,#REF!,$B240,#REF!,E$1)</f>
        <v>#REF!</v>
      </c>
      <c r="F240" s="24" t="e">
        <f>SUMIFS(#REF!,#REF!,$B240,#REF!,F$1)</f>
        <v>#REF!</v>
      </c>
      <c r="G240" s="24" t="e">
        <f>SUMIFS(#REF!,#REF!,$B240,#REF!,G$1)</f>
        <v>#REF!</v>
      </c>
      <c r="H240" s="24" t="e">
        <f>SUMIFS(#REF!,#REF!,$B240,#REF!,H$1)</f>
        <v>#REF!</v>
      </c>
      <c r="I240" s="24" t="e">
        <f>SUMIFS(#REF!,#REF!,$B240,#REF!,I$1)</f>
        <v>#REF!</v>
      </c>
      <c r="J240" s="24" t="e">
        <f>SUMIFS(#REF!,#REF!,$B240,#REF!,J$1)</f>
        <v>#REF!</v>
      </c>
      <c r="K240" s="24" t="e">
        <f>SUMIFS(#REF!,#REF!,$B240,#REF!,K$1)</f>
        <v>#REF!</v>
      </c>
      <c r="L240" s="24" t="e">
        <f>SUMIFS(#REF!,#REF!,$B240,#REF!,L$1)</f>
        <v>#REF!</v>
      </c>
      <c r="M240" s="24" t="e">
        <f>SUMIFS(#REF!,#REF!,$B240,#REF!,M$1)</f>
        <v>#REF!</v>
      </c>
      <c r="N240" s="24" t="e">
        <f>SUMIFS(#REF!,#REF!,$B240,#REF!,N$1)</f>
        <v>#REF!</v>
      </c>
      <c r="O240" s="24" t="e">
        <f>SUMIFS(#REF!,#REF!,$B240,#REF!,O$1)</f>
        <v>#REF!</v>
      </c>
      <c r="P240" s="24" t="e">
        <f>SUMIFS(#REF!,#REF!,$B240,#REF!,P$1)</f>
        <v>#REF!</v>
      </c>
      <c r="Q240" s="24" t="e">
        <f>SUMIFS(#REF!,#REF!,$B240,#REF!,Q$1)</f>
        <v>#REF!</v>
      </c>
      <c r="R240" s="24" t="e">
        <f>SUMIFS(#REF!,#REF!,$B240,#REF!,R$1)</f>
        <v>#REF!</v>
      </c>
      <c r="S240" s="24" t="e">
        <f>SUMIFS(#REF!,#REF!,$B240,#REF!,S$1)</f>
        <v>#REF!</v>
      </c>
      <c r="T240" s="24" t="e">
        <f>SUMIFS(#REF!,#REF!,$B240,#REF!,T$1)</f>
        <v>#REF!</v>
      </c>
      <c r="U240" s="24" t="e">
        <f>SUMIFS(#REF!,#REF!,$B240,#REF!,U$1)</f>
        <v>#REF!</v>
      </c>
      <c r="V240" s="24" t="e">
        <f>SUMIFS(#REF!,#REF!,$B240,#REF!,V$1)</f>
        <v>#REF!</v>
      </c>
      <c r="W240" s="24" t="e">
        <f>SUMIFS(#REF!,#REF!,$B240,#REF!,W$1)</f>
        <v>#REF!</v>
      </c>
      <c r="X240" s="24" t="e">
        <f>SUMIFS(#REF!,#REF!,$B240,#REF!,X$1)</f>
        <v>#REF!</v>
      </c>
      <c r="Y240" s="24" t="e">
        <f>SUMIFS(#REF!,#REF!,$B240,#REF!,Y$1)</f>
        <v>#REF!</v>
      </c>
      <c r="Z240" s="24" t="e">
        <f>SUMIFS(#REF!,#REF!,$B240,#REF!,Z$1)</f>
        <v>#REF!</v>
      </c>
      <c r="AA240" s="24" t="e">
        <f>SUMIFS(#REF!,#REF!,$B240,#REF!,AA$1)</f>
        <v>#REF!</v>
      </c>
      <c r="AB240" s="24" t="e">
        <f>SUMIFS(#REF!,#REF!,$B240,#REF!,AB$1)</f>
        <v>#REF!</v>
      </c>
      <c r="AC240" s="24" t="e">
        <f>SUMIFS(#REF!,#REF!,$B240,#REF!,AC$1)</f>
        <v>#REF!</v>
      </c>
      <c r="AD240" s="24" t="e">
        <f>SUMIFS(#REF!,#REF!,$B240,#REF!,AD$1)</f>
        <v>#REF!</v>
      </c>
      <c r="AE240" s="24" t="e">
        <f>SUMIFS(#REF!,#REF!,$B240,#REF!,AE$1)</f>
        <v>#REF!</v>
      </c>
      <c r="AF240" s="24" t="e">
        <f>SUMIFS(#REF!,#REF!,$B240,#REF!,AF$1)</f>
        <v>#REF!</v>
      </c>
      <c r="AG240" s="24" t="e">
        <f>SUMIFS(#REF!,#REF!,$B240,#REF!,AG$1)</f>
        <v>#REF!</v>
      </c>
      <c r="AH240" s="24" t="e">
        <f>SUMIFS(#REF!,#REF!,$B240,#REF!,AH$1)</f>
        <v>#REF!</v>
      </c>
      <c r="AI240" s="24" t="e">
        <f>SUMIFS(#REF!,#REF!,$B240,#REF!,AI$1)</f>
        <v>#REF!</v>
      </c>
      <c r="AJ240" s="24" t="e">
        <f>SUMIFS(#REF!,#REF!,$B240,#REF!,AJ$1)</f>
        <v>#REF!</v>
      </c>
      <c r="AK240" s="24" t="e">
        <f>SUMIFS(#REF!,#REF!,$B240,#REF!,AK$1)</f>
        <v>#REF!</v>
      </c>
      <c r="AL240" s="24" t="e">
        <f>SUMIFS(#REF!,#REF!,$B240,#REF!,AL$1)</f>
        <v>#REF!</v>
      </c>
      <c r="AM240" s="24" t="e">
        <f>SUMIFS(#REF!,#REF!,$B240,#REF!,AM$1)</f>
        <v>#REF!</v>
      </c>
      <c r="AN240" s="24" t="e">
        <f>SUMIFS(#REF!,#REF!,$B240,#REF!,AN$1)</f>
        <v>#REF!</v>
      </c>
      <c r="AO240" s="24" t="e">
        <f>SUMIFS(#REF!,#REF!,$B240,#REF!,AO$1)</f>
        <v>#REF!</v>
      </c>
      <c r="AP240" s="24" t="e">
        <f>SUMIFS(#REF!,#REF!,$B240,#REF!,AP$1)</f>
        <v>#REF!</v>
      </c>
      <c r="AQ240" s="24" t="e">
        <f>SUMIFS(#REF!,#REF!,$B240,#REF!,AQ$1)</f>
        <v>#REF!</v>
      </c>
      <c r="AR240" s="24" t="e">
        <f>SUMIFS(#REF!,#REF!,$B240,#REF!,AR$1)</f>
        <v>#REF!</v>
      </c>
      <c r="AS240" s="24" t="e">
        <f>SUMIFS(#REF!,#REF!,$B240,#REF!,AS$1)</f>
        <v>#REF!</v>
      </c>
      <c r="AT240" s="24" t="e">
        <f>SUMIFS(#REF!,#REF!,$B240,#REF!,AT$1)</f>
        <v>#REF!</v>
      </c>
      <c r="AU240" s="24" t="e">
        <f>SUMIFS(#REF!,#REF!,$B240,#REF!,AU$1)</f>
        <v>#REF!</v>
      </c>
      <c r="AV240" s="24" t="e">
        <f>SUMIFS(#REF!,#REF!,$B240,#REF!,AV$1)</f>
        <v>#REF!</v>
      </c>
      <c r="AW240" s="24" t="e">
        <f>SUMIFS(#REF!,#REF!,$B240,#REF!,AW$1)</f>
        <v>#REF!</v>
      </c>
      <c r="AX240" s="24" t="e">
        <f>SUMIFS(#REF!,#REF!,$B240,#REF!,AX$1)</f>
        <v>#REF!</v>
      </c>
      <c r="AY240" s="24" t="e">
        <f>SUMIFS(#REF!,#REF!,$B240,#REF!,AY$1)</f>
        <v>#REF!</v>
      </c>
      <c r="AZ240" s="24" t="e">
        <f>SUMIFS(#REF!,#REF!,$B240,#REF!,AZ$1)</f>
        <v>#REF!</v>
      </c>
      <c r="BA240" s="24" t="e">
        <f>SUMIFS(#REF!,#REF!,$B240,#REF!,BA$1)</f>
        <v>#REF!</v>
      </c>
      <c r="BB240" s="24" t="e">
        <f>SUMIFS(#REF!,#REF!,$B240,#REF!,BB$1)</f>
        <v>#REF!</v>
      </c>
      <c r="BC240" s="24" t="e">
        <f>SUMIFS(#REF!,#REF!,$B240,#REF!,BC$1)</f>
        <v>#REF!</v>
      </c>
      <c r="BD240" s="24" t="e">
        <f>SUMIFS(#REF!,#REF!,$B240,#REF!,BD$1)</f>
        <v>#REF!</v>
      </c>
      <c r="BE240" s="24" t="e">
        <f>SUMIFS(#REF!,#REF!,$B240,#REF!,BE$1)</f>
        <v>#REF!</v>
      </c>
      <c r="BF240" s="24" t="e">
        <f>SUMIFS(#REF!,#REF!,$B240,#REF!,BF$1)</f>
        <v>#REF!</v>
      </c>
      <c r="BG240" s="24" t="e">
        <f>SUMIFS(#REF!,#REF!,$B240,#REF!,BG$1)</f>
        <v>#REF!</v>
      </c>
      <c r="BH240" s="24" t="e">
        <f>SUMIFS(#REF!,#REF!,$B240,#REF!,BH$1)</f>
        <v>#REF!</v>
      </c>
      <c r="BI240" s="24" t="e">
        <f>SUMIFS(#REF!,#REF!,$B240,#REF!,BI$1)</f>
        <v>#REF!</v>
      </c>
      <c r="BJ240" s="24" t="e">
        <f>SUMIFS(#REF!,#REF!,$B240,#REF!,BJ$1)</f>
        <v>#REF!</v>
      </c>
      <c r="BK240" s="24" t="e">
        <f>SUMIFS(#REF!,#REF!,$B240,#REF!,BK$1)</f>
        <v>#REF!</v>
      </c>
      <c r="BL240" s="24" t="e">
        <f>SUMIFS(#REF!,#REF!,$B240,#REF!,BL$1)</f>
        <v>#REF!</v>
      </c>
      <c r="BM240" s="24" t="e">
        <f>SUMIFS(#REF!,#REF!,$B240,#REF!,BM$1)</f>
        <v>#REF!</v>
      </c>
      <c r="BN240" s="24" t="e">
        <f>SUMIFS(#REF!,#REF!,$B240,#REF!,BN$1)</f>
        <v>#REF!</v>
      </c>
      <c r="BO240" s="24" t="e">
        <f>SUMIFS(#REF!,#REF!,$B240,#REF!,BO$1)</f>
        <v>#REF!</v>
      </c>
      <c r="BP240" s="24" t="e">
        <f>SUMIFS(#REF!,#REF!,$B240,#REF!,BP$1)</f>
        <v>#REF!</v>
      </c>
      <c r="BQ240" s="24" t="e">
        <f>SUMIFS(#REF!,#REF!,$B240,#REF!,BQ$1)</f>
        <v>#REF!</v>
      </c>
      <c r="BR240" s="24" t="e">
        <f>SUMIFS(#REF!,#REF!,$B240,#REF!,BR$1)</f>
        <v>#REF!</v>
      </c>
      <c r="BS240" s="24" t="e">
        <f>SUMIFS(#REF!,#REF!,$B240,#REF!,BS$1)</f>
        <v>#REF!</v>
      </c>
      <c r="BT240" s="24" t="e">
        <f>SUMIFS(#REF!,#REF!,$B240,#REF!,BT$1)</f>
        <v>#REF!</v>
      </c>
      <c r="BU240" s="24" t="e">
        <f>SUMIFS(#REF!,#REF!,$B240,#REF!,BU$1)</f>
        <v>#REF!</v>
      </c>
      <c r="BV240" s="24" t="e">
        <f>SUMIFS(#REF!,#REF!,$B240,#REF!,BV$1)</f>
        <v>#REF!</v>
      </c>
      <c r="BW240" s="24" t="e">
        <f>SUMIFS(#REF!,#REF!,$B240,#REF!,BW$1)</f>
        <v>#REF!</v>
      </c>
      <c r="BX240" s="24" t="e">
        <f>SUMIFS(#REF!,#REF!,$B240,#REF!,BX$1)</f>
        <v>#REF!</v>
      </c>
      <c r="BY240" s="24" t="e">
        <f>SUMIFS(#REF!,#REF!,$B240,#REF!,BY$1)</f>
        <v>#REF!</v>
      </c>
      <c r="BZ240" s="24" t="e">
        <f>SUMIFS(#REF!,#REF!,$B240,#REF!,BZ$1)</f>
        <v>#REF!</v>
      </c>
      <c r="CA240" s="24" t="e">
        <f>SUMIFS(#REF!,#REF!,$B240,#REF!,CA$1)</f>
        <v>#REF!</v>
      </c>
      <c r="CB240" s="24" t="e">
        <f>SUMIFS(#REF!,#REF!,$B240,#REF!,CB$1)</f>
        <v>#REF!</v>
      </c>
      <c r="CC240" s="24" t="e">
        <f>SUMIFS(#REF!,#REF!,$B240,#REF!,CC$1)</f>
        <v>#REF!</v>
      </c>
      <c r="CD240" s="24" t="e">
        <f>SUMIFS(#REF!,#REF!,$B240,#REF!,CD$1)</f>
        <v>#REF!</v>
      </c>
      <c r="CE240" s="24" t="e">
        <f>SUMIFS(#REF!,#REF!,$B240,#REF!,CE$1)</f>
        <v>#REF!</v>
      </c>
      <c r="CF240" s="24" t="e">
        <f>SUMIFS(#REF!,#REF!,$B240,#REF!,CF$1)</f>
        <v>#REF!</v>
      </c>
      <c r="CG240" s="19" t="e">
        <f t="shared" si="3"/>
        <v>#REF!</v>
      </c>
    </row>
    <row r="241" spans="1:85" x14ac:dyDescent="0.45">
      <c r="A241" s="4" t="s">
        <v>1464</v>
      </c>
      <c r="B241" s="4" t="s">
        <v>1465</v>
      </c>
      <c r="C241" s="24" t="e">
        <f>SUMIFS(#REF!,#REF!,$B241,#REF!,C$1)</f>
        <v>#REF!</v>
      </c>
      <c r="D241" s="24" t="e">
        <f>SUMIFS(#REF!,#REF!,$B241,#REF!,D$1)</f>
        <v>#REF!</v>
      </c>
      <c r="E241" s="24" t="e">
        <f>SUMIFS(#REF!,#REF!,$B241,#REF!,E$1)</f>
        <v>#REF!</v>
      </c>
      <c r="F241" s="24" t="e">
        <f>SUMIFS(#REF!,#REF!,$B241,#REF!,F$1)</f>
        <v>#REF!</v>
      </c>
      <c r="G241" s="24" t="e">
        <f>SUMIFS(#REF!,#REF!,$B241,#REF!,G$1)</f>
        <v>#REF!</v>
      </c>
      <c r="H241" s="24" t="e">
        <f>SUMIFS(#REF!,#REF!,$B241,#REF!,H$1)</f>
        <v>#REF!</v>
      </c>
      <c r="I241" s="24" t="e">
        <f>SUMIFS(#REF!,#REF!,$B241,#REF!,I$1)</f>
        <v>#REF!</v>
      </c>
      <c r="J241" s="24" t="e">
        <f>SUMIFS(#REF!,#REF!,$B241,#REF!,J$1)</f>
        <v>#REF!</v>
      </c>
      <c r="K241" s="24" t="e">
        <f>SUMIFS(#REF!,#REF!,$B241,#REF!,K$1)</f>
        <v>#REF!</v>
      </c>
      <c r="L241" s="24" t="e">
        <f>SUMIFS(#REF!,#REF!,$B241,#REF!,L$1)</f>
        <v>#REF!</v>
      </c>
      <c r="M241" s="24" t="e">
        <f>SUMIFS(#REF!,#REF!,$B241,#REF!,M$1)</f>
        <v>#REF!</v>
      </c>
      <c r="N241" s="24" t="e">
        <f>SUMIFS(#REF!,#REF!,$B241,#REF!,N$1)</f>
        <v>#REF!</v>
      </c>
      <c r="O241" s="24" t="e">
        <f>SUMIFS(#REF!,#REF!,$B241,#REF!,O$1)</f>
        <v>#REF!</v>
      </c>
      <c r="P241" s="24" t="e">
        <f>SUMIFS(#REF!,#REF!,$B241,#REF!,P$1)</f>
        <v>#REF!</v>
      </c>
      <c r="Q241" s="24" t="e">
        <f>SUMIFS(#REF!,#REF!,$B241,#REF!,Q$1)</f>
        <v>#REF!</v>
      </c>
      <c r="R241" s="24" t="e">
        <f>SUMIFS(#REF!,#REF!,$B241,#REF!,R$1)</f>
        <v>#REF!</v>
      </c>
      <c r="S241" s="24" t="e">
        <f>SUMIFS(#REF!,#REF!,$B241,#REF!,S$1)</f>
        <v>#REF!</v>
      </c>
      <c r="T241" s="24" t="e">
        <f>SUMIFS(#REF!,#REF!,$B241,#REF!,T$1)</f>
        <v>#REF!</v>
      </c>
      <c r="U241" s="24" t="e">
        <f>SUMIFS(#REF!,#REF!,$B241,#REF!,U$1)</f>
        <v>#REF!</v>
      </c>
      <c r="V241" s="24" t="e">
        <f>SUMIFS(#REF!,#REF!,$B241,#REF!,V$1)</f>
        <v>#REF!</v>
      </c>
      <c r="W241" s="24" t="e">
        <f>SUMIFS(#REF!,#REF!,$B241,#REF!,W$1)</f>
        <v>#REF!</v>
      </c>
      <c r="X241" s="24" t="e">
        <f>SUMIFS(#REF!,#REF!,$B241,#REF!,X$1)</f>
        <v>#REF!</v>
      </c>
      <c r="Y241" s="24" t="e">
        <f>SUMIFS(#REF!,#REF!,$B241,#REF!,Y$1)</f>
        <v>#REF!</v>
      </c>
      <c r="Z241" s="24" t="e">
        <f>SUMIFS(#REF!,#REF!,$B241,#REF!,Z$1)</f>
        <v>#REF!</v>
      </c>
      <c r="AA241" s="24" t="e">
        <f>SUMIFS(#REF!,#REF!,$B241,#REF!,AA$1)</f>
        <v>#REF!</v>
      </c>
      <c r="AB241" s="24" t="e">
        <f>SUMIFS(#REF!,#REF!,$B241,#REF!,AB$1)</f>
        <v>#REF!</v>
      </c>
      <c r="AC241" s="24" t="e">
        <f>SUMIFS(#REF!,#REF!,$B241,#REF!,AC$1)</f>
        <v>#REF!</v>
      </c>
      <c r="AD241" s="24" t="e">
        <f>SUMIFS(#REF!,#REF!,$B241,#REF!,AD$1)</f>
        <v>#REF!</v>
      </c>
      <c r="AE241" s="24" t="e">
        <f>SUMIFS(#REF!,#REF!,$B241,#REF!,AE$1)</f>
        <v>#REF!</v>
      </c>
      <c r="AF241" s="24" t="e">
        <f>SUMIFS(#REF!,#REF!,$B241,#REF!,AF$1)</f>
        <v>#REF!</v>
      </c>
      <c r="AG241" s="24" t="e">
        <f>SUMIFS(#REF!,#REF!,$B241,#REF!,AG$1)</f>
        <v>#REF!</v>
      </c>
      <c r="AH241" s="24" t="e">
        <f>SUMIFS(#REF!,#REF!,$B241,#REF!,AH$1)</f>
        <v>#REF!</v>
      </c>
      <c r="AI241" s="24" t="e">
        <f>SUMIFS(#REF!,#REF!,$B241,#REF!,AI$1)</f>
        <v>#REF!</v>
      </c>
      <c r="AJ241" s="24" t="e">
        <f>SUMIFS(#REF!,#REF!,$B241,#REF!,AJ$1)</f>
        <v>#REF!</v>
      </c>
      <c r="AK241" s="24" t="e">
        <f>SUMIFS(#REF!,#REF!,$B241,#REF!,AK$1)</f>
        <v>#REF!</v>
      </c>
      <c r="AL241" s="24" t="e">
        <f>SUMIFS(#REF!,#REF!,$B241,#REF!,AL$1)</f>
        <v>#REF!</v>
      </c>
      <c r="AM241" s="24" t="e">
        <f>SUMIFS(#REF!,#REF!,$B241,#REF!,AM$1)</f>
        <v>#REF!</v>
      </c>
      <c r="AN241" s="24" t="e">
        <f>SUMIFS(#REF!,#REF!,$B241,#REF!,AN$1)</f>
        <v>#REF!</v>
      </c>
      <c r="AO241" s="24" t="e">
        <f>SUMIFS(#REF!,#REF!,$B241,#REF!,AO$1)</f>
        <v>#REF!</v>
      </c>
      <c r="AP241" s="24" t="e">
        <f>SUMIFS(#REF!,#REF!,$B241,#REF!,AP$1)</f>
        <v>#REF!</v>
      </c>
      <c r="AQ241" s="24" t="e">
        <f>SUMIFS(#REF!,#REF!,$B241,#REF!,AQ$1)</f>
        <v>#REF!</v>
      </c>
      <c r="AR241" s="24" t="e">
        <f>SUMIFS(#REF!,#REF!,$B241,#REF!,AR$1)</f>
        <v>#REF!</v>
      </c>
      <c r="AS241" s="24" t="e">
        <f>SUMIFS(#REF!,#REF!,$B241,#REF!,AS$1)</f>
        <v>#REF!</v>
      </c>
      <c r="AT241" s="24" t="e">
        <f>SUMIFS(#REF!,#REF!,$B241,#REF!,AT$1)</f>
        <v>#REF!</v>
      </c>
      <c r="AU241" s="24" t="e">
        <f>SUMIFS(#REF!,#REF!,$B241,#REF!,AU$1)</f>
        <v>#REF!</v>
      </c>
      <c r="AV241" s="24" t="e">
        <f>SUMIFS(#REF!,#REF!,$B241,#REF!,AV$1)</f>
        <v>#REF!</v>
      </c>
      <c r="AW241" s="24" t="e">
        <f>SUMIFS(#REF!,#REF!,$B241,#REF!,AW$1)</f>
        <v>#REF!</v>
      </c>
      <c r="AX241" s="24" t="e">
        <f>SUMIFS(#REF!,#REF!,$B241,#REF!,AX$1)</f>
        <v>#REF!</v>
      </c>
      <c r="AY241" s="24" t="e">
        <f>SUMIFS(#REF!,#REF!,$B241,#REF!,AY$1)</f>
        <v>#REF!</v>
      </c>
      <c r="AZ241" s="24" t="e">
        <f>SUMIFS(#REF!,#REF!,$B241,#REF!,AZ$1)</f>
        <v>#REF!</v>
      </c>
      <c r="BA241" s="24" t="e">
        <f>SUMIFS(#REF!,#REF!,$B241,#REF!,BA$1)</f>
        <v>#REF!</v>
      </c>
      <c r="BB241" s="24" t="e">
        <f>SUMIFS(#REF!,#REF!,$B241,#REF!,BB$1)</f>
        <v>#REF!</v>
      </c>
      <c r="BC241" s="24" t="e">
        <f>SUMIFS(#REF!,#REF!,$B241,#REF!,BC$1)</f>
        <v>#REF!</v>
      </c>
      <c r="BD241" s="24" t="e">
        <f>SUMIFS(#REF!,#REF!,$B241,#REF!,BD$1)</f>
        <v>#REF!</v>
      </c>
      <c r="BE241" s="24" t="e">
        <f>SUMIFS(#REF!,#REF!,$B241,#REF!,BE$1)</f>
        <v>#REF!</v>
      </c>
      <c r="BF241" s="24" t="e">
        <f>SUMIFS(#REF!,#REF!,$B241,#REF!,BF$1)</f>
        <v>#REF!</v>
      </c>
      <c r="BG241" s="24" t="e">
        <f>SUMIFS(#REF!,#REF!,$B241,#REF!,BG$1)</f>
        <v>#REF!</v>
      </c>
      <c r="BH241" s="24" t="e">
        <f>SUMIFS(#REF!,#REF!,$B241,#REF!,BH$1)</f>
        <v>#REF!</v>
      </c>
      <c r="BI241" s="24" t="e">
        <f>SUMIFS(#REF!,#REF!,$B241,#REF!,BI$1)</f>
        <v>#REF!</v>
      </c>
      <c r="BJ241" s="24" t="e">
        <f>SUMIFS(#REF!,#REF!,$B241,#REF!,BJ$1)</f>
        <v>#REF!</v>
      </c>
      <c r="BK241" s="24" t="e">
        <f>SUMIFS(#REF!,#REF!,$B241,#REF!,BK$1)</f>
        <v>#REF!</v>
      </c>
      <c r="BL241" s="24" t="e">
        <f>SUMIFS(#REF!,#REF!,$B241,#REF!,BL$1)</f>
        <v>#REF!</v>
      </c>
      <c r="BM241" s="24" t="e">
        <f>SUMIFS(#REF!,#REF!,$B241,#REF!,BM$1)</f>
        <v>#REF!</v>
      </c>
      <c r="BN241" s="24" t="e">
        <f>SUMIFS(#REF!,#REF!,$B241,#REF!,BN$1)</f>
        <v>#REF!</v>
      </c>
      <c r="BO241" s="24" t="e">
        <f>SUMIFS(#REF!,#REF!,$B241,#REF!,BO$1)</f>
        <v>#REF!</v>
      </c>
      <c r="BP241" s="24" t="e">
        <f>SUMIFS(#REF!,#REF!,$B241,#REF!,BP$1)</f>
        <v>#REF!</v>
      </c>
      <c r="BQ241" s="24" t="e">
        <f>SUMIFS(#REF!,#REF!,$B241,#REF!,BQ$1)</f>
        <v>#REF!</v>
      </c>
      <c r="BR241" s="24" t="e">
        <f>SUMIFS(#REF!,#REF!,$B241,#REF!,BR$1)</f>
        <v>#REF!</v>
      </c>
      <c r="BS241" s="24" t="e">
        <f>SUMIFS(#REF!,#REF!,$B241,#REF!,BS$1)</f>
        <v>#REF!</v>
      </c>
      <c r="BT241" s="24" t="e">
        <f>SUMIFS(#REF!,#REF!,$B241,#REF!,BT$1)</f>
        <v>#REF!</v>
      </c>
      <c r="BU241" s="24" t="e">
        <f>SUMIFS(#REF!,#REF!,$B241,#REF!,BU$1)</f>
        <v>#REF!</v>
      </c>
      <c r="BV241" s="24" t="e">
        <f>SUMIFS(#REF!,#REF!,$B241,#REF!,BV$1)</f>
        <v>#REF!</v>
      </c>
      <c r="BW241" s="24" t="e">
        <f>SUMIFS(#REF!,#REF!,$B241,#REF!,BW$1)</f>
        <v>#REF!</v>
      </c>
      <c r="BX241" s="24" t="e">
        <f>SUMIFS(#REF!,#REF!,$B241,#REF!,BX$1)</f>
        <v>#REF!</v>
      </c>
      <c r="BY241" s="24" t="e">
        <f>SUMIFS(#REF!,#REF!,$B241,#REF!,BY$1)</f>
        <v>#REF!</v>
      </c>
      <c r="BZ241" s="24" t="e">
        <f>SUMIFS(#REF!,#REF!,$B241,#REF!,BZ$1)</f>
        <v>#REF!</v>
      </c>
      <c r="CA241" s="24" t="e">
        <f>SUMIFS(#REF!,#REF!,$B241,#REF!,CA$1)</f>
        <v>#REF!</v>
      </c>
      <c r="CB241" s="24" t="e">
        <f>SUMIFS(#REF!,#REF!,$B241,#REF!,CB$1)</f>
        <v>#REF!</v>
      </c>
      <c r="CC241" s="24" t="e">
        <f>SUMIFS(#REF!,#REF!,$B241,#REF!,CC$1)</f>
        <v>#REF!</v>
      </c>
      <c r="CD241" s="24" t="e">
        <f>SUMIFS(#REF!,#REF!,$B241,#REF!,CD$1)</f>
        <v>#REF!</v>
      </c>
      <c r="CE241" s="24" t="e">
        <f>SUMIFS(#REF!,#REF!,$B241,#REF!,CE$1)</f>
        <v>#REF!</v>
      </c>
      <c r="CF241" s="24" t="e">
        <f>SUMIFS(#REF!,#REF!,$B241,#REF!,CF$1)</f>
        <v>#REF!</v>
      </c>
      <c r="CG241" s="19" t="e">
        <f t="shared" si="3"/>
        <v>#REF!</v>
      </c>
    </row>
    <row r="242" spans="1:85" x14ac:dyDescent="0.45">
      <c r="A242" s="4" t="s">
        <v>1466</v>
      </c>
      <c r="B242" s="4" t="s">
        <v>1467</v>
      </c>
      <c r="C242" s="24" t="e">
        <f>SUMIFS(#REF!,#REF!,$B242,#REF!,C$1)</f>
        <v>#REF!</v>
      </c>
      <c r="D242" s="24" t="e">
        <f>SUMIFS(#REF!,#REF!,$B242,#REF!,D$1)</f>
        <v>#REF!</v>
      </c>
      <c r="E242" s="24" t="e">
        <f>SUMIFS(#REF!,#REF!,$B242,#REF!,E$1)</f>
        <v>#REF!</v>
      </c>
      <c r="F242" s="24" t="e">
        <f>SUMIFS(#REF!,#REF!,$B242,#REF!,F$1)</f>
        <v>#REF!</v>
      </c>
      <c r="G242" s="24" t="e">
        <f>SUMIFS(#REF!,#REF!,$B242,#REF!,G$1)</f>
        <v>#REF!</v>
      </c>
      <c r="H242" s="24" t="e">
        <f>SUMIFS(#REF!,#REF!,$B242,#REF!,H$1)</f>
        <v>#REF!</v>
      </c>
      <c r="I242" s="24" t="e">
        <f>SUMIFS(#REF!,#REF!,$B242,#REF!,I$1)</f>
        <v>#REF!</v>
      </c>
      <c r="J242" s="24" t="e">
        <f>SUMIFS(#REF!,#REF!,$B242,#REF!,J$1)</f>
        <v>#REF!</v>
      </c>
      <c r="K242" s="24" t="e">
        <f>SUMIFS(#REF!,#REF!,$B242,#REF!,K$1)</f>
        <v>#REF!</v>
      </c>
      <c r="L242" s="24" t="e">
        <f>SUMIFS(#REF!,#REF!,$B242,#REF!,L$1)</f>
        <v>#REF!</v>
      </c>
      <c r="M242" s="24" t="e">
        <f>SUMIFS(#REF!,#REF!,$B242,#REF!,M$1)</f>
        <v>#REF!</v>
      </c>
      <c r="N242" s="24" t="e">
        <f>SUMIFS(#REF!,#REF!,$B242,#REF!,N$1)</f>
        <v>#REF!</v>
      </c>
      <c r="O242" s="24" t="e">
        <f>SUMIFS(#REF!,#REF!,$B242,#REF!,O$1)</f>
        <v>#REF!</v>
      </c>
      <c r="P242" s="24" t="e">
        <f>SUMIFS(#REF!,#REF!,$B242,#REF!,P$1)</f>
        <v>#REF!</v>
      </c>
      <c r="Q242" s="24" t="e">
        <f>SUMIFS(#REF!,#REF!,$B242,#REF!,Q$1)</f>
        <v>#REF!</v>
      </c>
      <c r="R242" s="24" t="e">
        <f>SUMIFS(#REF!,#REF!,$B242,#REF!,R$1)</f>
        <v>#REF!</v>
      </c>
      <c r="S242" s="24" t="e">
        <f>SUMIFS(#REF!,#REF!,$B242,#REF!,S$1)</f>
        <v>#REF!</v>
      </c>
      <c r="T242" s="24" t="e">
        <f>SUMIFS(#REF!,#REF!,$B242,#REF!,T$1)</f>
        <v>#REF!</v>
      </c>
      <c r="U242" s="24" t="e">
        <f>SUMIFS(#REF!,#REF!,$B242,#REF!,U$1)</f>
        <v>#REF!</v>
      </c>
      <c r="V242" s="24" t="e">
        <f>SUMIFS(#REF!,#REF!,$B242,#REF!,V$1)</f>
        <v>#REF!</v>
      </c>
      <c r="W242" s="24" t="e">
        <f>SUMIFS(#REF!,#REF!,$B242,#REF!,W$1)</f>
        <v>#REF!</v>
      </c>
      <c r="X242" s="24" t="e">
        <f>SUMIFS(#REF!,#REF!,$B242,#REF!,X$1)</f>
        <v>#REF!</v>
      </c>
      <c r="Y242" s="24" t="e">
        <f>SUMIFS(#REF!,#REF!,$B242,#REF!,Y$1)</f>
        <v>#REF!</v>
      </c>
      <c r="Z242" s="24" t="e">
        <f>SUMIFS(#REF!,#REF!,$B242,#REF!,Z$1)</f>
        <v>#REF!</v>
      </c>
      <c r="AA242" s="24" t="e">
        <f>SUMIFS(#REF!,#REF!,$B242,#REF!,AA$1)</f>
        <v>#REF!</v>
      </c>
      <c r="AB242" s="24" t="e">
        <f>SUMIFS(#REF!,#REF!,$B242,#REF!,AB$1)</f>
        <v>#REF!</v>
      </c>
      <c r="AC242" s="24" t="e">
        <f>SUMIFS(#REF!,#REF!,$B242,#REF!,AC$1)</f>
        <v>#REF!</v>
      </c>
      <c r="AD242" s="24" t="e">
        <f>SUMIFS(#REF!,#REF!,$B242,#REF!,AD$1)</f>
        <v>#REF!</v>
      </c>
      <c r="AE242" s="24" t="e">
        <f>SUMIFS(#REF!,#REF!,$B242,#REF!,AE$1)</f>
        <v>#REF!</v>
      </c>
      <c r="AF242" s="24" t="e">
        <f>SUMIFS(#REF!,#REF!,$B242,#REF!,AF$1)</f>
        <v>#REF!</v>
      </c>
      <c r="AG242" s="24" t="e">
        <f>SUMIFS(#REF!,#REF!,$B242,#REF!,AG$1)</f>
        <v>#REF!</v>
      </c>
      <c r="AH242" s="24" t="e">
        <f>SUMIFS(#REF!,#REF!,$B242,#REF!,AH$1)</f>
        <v>#REF!</v>
      </c>
      <c r="AI242" s="24" t="e">
        <f>SUMIFS(#REF!,#REF!,$B242,#REF!,AI$1)</f>
        <v>#REF!</v>
      </c>
      <c r="AJ242" s="24" t="e">
        <f>SUMIFS(#REF!,#REF!,$B242,#REF!,AJ$1)</f>
        <v>#REF!</v>
      </c>
      <c r="AK242" s="24" t="e">
        <f>SUMIFS(#REF!,#REF!,$B242,#REF!,AK$1)</f>
        <v>#REF!</v>
      </c>
      <c r="AL242" s="24" t="e">
        <f>SUMIFS(#REF!,#REF!,$B242,#REF!,AL$1)</f>
        <v>#REF!</v>
      </c>
      <c r="AM242" s="24" t="e">
        <f>SUMIFS(#REF!,#REF!,$B242,#REF!,AM$1)</f>
        <v>#REF!</v>
      </c>
      <c r="AN242" s="24" t="e">
        <f>SUMIFS(#REF!,#REF!,$B242,#REF!,AN$1)</f>
        <v>#REF!</v>
      </c>
      <c r="AO242" s="24" t="e">
        <f>SUMIFS(#REF!,#REF!,$B242,#REF!,AO$1)</f>
        <v>#REF!</v>
      </c>
      <c r="AP242" s="24" t="e">
        <f>SUMIFS(#REF!,#REF!,$B242,#REF!,AP$1)</f>
        <v>#REF!</v>
      </c>
      <c r="AQ242" s="24" t="e">
        <f>SUMIFS(#REF!,#REF!,$B242,#REF!,AQ$1)</f>
        <v>#REF!</v>
      </c>
      <c r="AR242" s="24" t="e">
        <f>SUMIFS(#REF!,#REF!,$B242,#REF!,AR$1)</f>
        <v>#REF!</v>
      </c>
      <c r="AS242" s="24" t="e">
        <f>SUMIFS(#REF!,#REF!,$B242,#REF!,AS$1)</f>
        <v>#REF!</v>
      </c>
      <c r="AT242" s="24" t="e">
        <f>SUMIFS(#REF!,#REF!,$B242,#REF!,AT$1)</f>
        <v>#REF!</v>
      </c>
      <c r="AU242" s="24" t="e">
        <f>SUMIFS(#REF!,#REF!,$B242,#REF!,AU$1)</f>
        <v>#REF!</v>
      </c>
      <c r="AV242" s="24" t="e">
        <f>SUMIFS(#REF!,#REF!,$B242,#REF!,AV$1)</f>
        <v>#REF!</v>
      </c>
      <c r="AW242" s="24" t="e">
        <f>SUMIFS(#REF!,#REF!,$B242,#REF!,AW$1)</f>
        <v>#REF!</v>
      </c>
      <c r="AX242" s="24" t="e">
        <f>SUMIFS(#REF!,#REF!,$B242,#REF!,AX$1)</f>
        <v>#REF!</v>
      </c>
      <c r="AY242" s="24" t="e">
        <f>SUMIFS(#REF!,#REF!,$B242,#REF!,AY$1)</f>
        <v>#REF!</v>
      </c>
      <c r="AZ242" s="24" t="e">
        <f>SUMIFS(#REF!,#REF!,$B242,#REF!,AZ$1)</f>
        <v>#REF!</v>
      </c>
      <c r="BA242" s="24" t="e">
        <f>SUMIFS(#REF!,#REF!,$B242,#REF!,BA$1)</f>
        <v>#REF!</v>
      </c>
      <c r="BB242" s="24" t="e">
        <f>SUMIFS(#REF!,#REF!,$B242,#REF!,BB$1)</f>
        <v>#REF!</v>
      </c>
      <c r="BC242" s="24" t="e">
        <f>SUMIFS(#REF!,#REF!,$B242,#REF!,BC$1)</f>
        <v>#REF!</v>
      </c>
      <c r="BD242" s="24" t="e">
        <f>SUMIFS(#REF!,#REF!,$B242,#REF!,BD$1)</f>
        <v>#REF!</v>
      </c>
      <c r="BE242" s="24" t="e">
        <f>SUMIFS(#REF!,#REF!,$B242,#REF!,BE$1)</f>
        <v>#REF!</v>
      </c>
      <c r="BF242" s="24" t="e">
        <f>SUMIFS(#REF!,#REF!,$B242,#REF!,BF$1)</f>
        <v>#REF!</v>
      </c>
      <c r="BG242" s="24" t="e">
        <f>SUMIFS(#REF!,#REF!,$B242,#REF!,BG$1)</f>
        <v>#REF!</v>
      </c>
      <c r="BH242" s="24" t="e">
        <f>SUMIFS(#REF!,#REF!,$B242,#REF!,BH$1)</f>
        <v>#REF!</v>
      </c>
      <c r="BI242" s="24" t="e">
        <f>SUMIFS(#REF!,#REF!,$B242,#REF!,BI$1)</f>
        <v>#REF!</v>
      </c>
      <c r="BJ242" s="24" t="e">
        <f>SUMIFS(#REF!,#REF!,$B242,#REF!,BJ$1)</f>
        <v>#REF!</v>
      </c>
      <c r="BK242" s="24" t="e">
        <f>SUMIFS(#REF!,#REF!,$B242,#REF!,BK$1)</f>
        <v>#REF!</v>
      </c>
      <c r="BL242" s="24" t="e">
        <f>SUMIFS(#REF!,#REF!,$B242,#REF!,BL$1)</f>
        <v>#REF!</v>
      </c>
      <c r="BM242" s="24" t="e">
        <f>SUMIFS(#REF!,#REF!,$B242,#REF!,BM$1)</f>
        <v>#REF!</v>
      </c>
      <c r="BN242" s="24" t="e">
        <f>SUMIFS(#REF!,#REF!,$B242,#REF!,BN$1)</f>
        <v>#REF!</v>
      </c>
      <c r="BO242" s="24" t="e">
        <f>SUMIFS(#REF!,#REF!,$B242,#REF!,BO$1)</f>
        <v>#REF!</v>
      </c>
      <c r="BP242" s="24" t="e">
        <f>SUMIFS(#REF!,#REF!,$B242,#REF!,BP$1)</f>
        <v>#REF!</v>
      </c>
      <c r="BQ242" s="24" t="e">
        <f>SUMIFS(#REF!,#REF!,$B242,#REF!,BQ$1)</f>
        <v>#REF!</v>
      </c>
      <c r="BR242" s="24" t="e">
        <f>SUMIFS(#REF!,#REF!,$B242,#REF!,BR$1)</f>
        <v>#REF!</v>
      </c>
      <c r="BS242" s="24" t="e">
        <f>SUMIFS(#REF!,#REF!,$B242,#REF!,BS$1)</f>
        <v>#REF!</v>
      </c>
      <c r="BT242" s="24" t="e">
        <f>SUMIFS(#REF!,#REF!,$B242,#REF!,BT$1)</f>
        <v>#REF!</v>
      </c>
      <c r="BU242" s="24" t="e">
        <f>SUMIFS(#REF!,#REF!,$B242,#REF!,BU$1)</f>
        <v>#REF!</v>
      </c>
      <c r="BV242" s="24" t="e">
        <f>SUMIFS(#REF!,#REF!,$B242,#REF!,BV$1)</f>
        <v>#REF!</v>
      </c>
      <c r="BW242" s="24" t="e">
        <f>SUMIFS(#REF!,#REF!,$B242,#REF!,BW$1)</f>
        <v>#REF!</v>
      </c>
      <c r="BX242" s="24" t="e">
        <f>SUMIFS(#REF!,#REF!,$B242,#REF!,BX$1)</f>
        <v>#REF!</v>
      </c>
      <c r="BY242" s="24" t="e">
        <f>SUMIFS(#REF!,#REF!,$B242,#REF!,BY$1)</f>
        <v>#REF!</v>
      </c>
      <c r="BZ242" s="24" t="e">
        <f>SUMIFS(#REF!,#REF!,$B242,#REF!,BZ$1)</f>
        <v>#REF!</v>
      </c>
      <c r="CA242" s="24" t="e">
        <f>SUMIFS(#REF!,#REF!,$B242,#REF!,CA$1)</f>
        <v>#REF!</v>
      </c>
      <c r="CB242" s="24" t="e">
        <f>SUMIFS(#REF!,#REF!,$B242,#REF!,CB$1)</f>
        <v>#REF!</v>
      </c>
      <c r="CC242" s="24" t="e">
        <f>SUMIFS(#REF!,#REF!,$B242,#REF!,CC$1)</f>
        <v>#REF!</v>
      </c>
      <c r="CD242" s="24" t="e">
        <f>SUMIFS(#REF!,#REF!,$B242,#REF!,CD$1)</f>
        <v>#REF!</v>
      </c>
      <c r="CE242" s="24" t="e">
        <f>SUMIFS(#REF!,#REF!,$B242,#REF!,CE$1)</f>
        <v>#REF!</v>
      </c>
      <c r="CF242" s="24" t="e">
        <f>SUMIFS(#REF!,#REF!,$B242,#REF!,CF$1)</f>
        <v>#REF!</v>
      </c>
      <c r="CG242" s="19" t="e">
        <f t="shared" si="3"/>
        <v>#REF!</v>
      </c>
    </row>
    <row r="243" spans="1:85" x14ac:dyDescent="0.45">
      <c r="A243" s="4" t="s">
        <v>1468</v>
      </c>
      <c r="B243" s="4" t="s">
        <v>1469</v>
      </c>
      <c r="C243" s="24" t="e">
        <f>SUMIFS(#REF!,#REF!,$B243,#REF!,C$1)</f>
        <v>#REF!</v>
      </c>
      <c r="D243" s="24" t="e">
        <f>SUMIFS(#REF!,#REF!,$B243,#REF!,D$1)</f>
        <v>#REF!</v>
      </c>
      <c r="E243" s="24" t="e">
        <f>SUMIFS(#REF!,#REF!,$B243,#REF!,E$1)</f>
        <v>#REF!</v>
      </c>
      <c r="F243" s="24" t="e">
        <f>SUMIFS(#REF!,#REF!,$B243,#REF!,F$1)</f>
        <v>#REF!</v>
      </c>
      <c r="G243" s="24" t="e">
        <f>SUMIFS(#REF!,#REF!,$B243,#REF!,G$1)</f>
        <v>#REF!</v>
      </c>
      <c r="H243" s="24" t="e">
        <f>SUMIFS(#REF!,#REF!,$B243,#REF!,H$1)</f>
        <v>#REF!</v>
      </c>
      <c r="I243" s="24" t="e">
        <f>SUMIFS(#REF!,#REF!,$B243,#REF!,I$1)</f>
        <v>#REF!</v>
      </c>
      <c r="J243" s="24" t="e">
        <f>SUMIFS(#REF!,#REF!,$B243,#REF!,J$1)</f>
        <v>#REF!</v>
      </c>
      <c r="K243" s="24" t="e">
        <f>SUMIFS(#REF!,#REF!,$B243,#REF!,K$1)</f>
        <v>#REF!</v>
      </c>
      <c r="L243" s="24" t="e">
        <f>SUMIFS(#REF!,#REF!,$B243,#REF!,L$1)</f>
        <v>#REF!</v>
      </c>
      <c r="M243" s="24" t="e">
        <f>SUMIFS(#REF!,#REF!,$B243,#REF!,M$1)</f>
        <v>#REF!</v>
      </c>
      <c r="N243" s="24" t="e">
        <f>SUMIFS(#REF!,#REF!,$B243,#REF!,N$1)</f>
        <v>#REF!</v>
      </c>
      <c r="O243" s="24" t="e">
        <f>SUMIFS(#REF!,#REF!,$B243,#REF!,O$1)</f>
        <v>#REF!</v>
      </c>
      <c r="P243" s="24" t="e">
        <f>SUMIFS(#REF!,#REF!,$B243,#REF!,P$1)</f>
        <v>#REF!</v>
      </c>
      <c r="Q243" s="24" t="e">
        <f>SUMIFS(#REF!,#REF!,$B243,#REF!,Q$1)</f>
        <v>#REF!</v>
      </c>
      <c r="R243" s="24" t="e">
        <f>SUMIFS(#REF!,#REF!,$B243,#REF!,R$1)</f>
        <v>#REF!</v>
      </c>
      <c r="S243" s="24" t="e">
        <f>SUMIFS(#REF!,#REF!,$B243,#REF!,S$1)</f>
        <v>#REF!</v>
      </c>
      <c r="T243" s="24" t="e">
        <f>SUMIFS(#REF!,#REF!,$B243,#REF!,T$1)</f>
        <v>#REF!</v>
      </c>
      <c r="U243" s="24" t="e">
        <f>SUMIFS(#REF!,#REF!,$B243,#REF!,U$1)</f>
        <v>#REF!</v>
      </c>
      <c r="V243" s="24" t="e">
        <f>SUMIFS(#REF!,#REF!,$B243,#REF!,V$1)</f>
        <v>#REF!</v>
      </c>
      <c r="W243" s="24" t="e">
        <f>SUMIFS(#REF!,#REF!,$B243,#REF!,W$1)</f>
        <v>#REF!</v>
      </c>
      <c r="X243" s="24" t="e">
        <f>SUMIFS(#REF!,#REF!,$B243,#REF!,X$1)</f>
        <v>#REF!</v>
      </c>
      <c r="Y243" s="24" t="e">
        <f>SUMIFS(#REF!,#REF!,$B243,#REF!,Y$1)</f>
        <v>#REF!</v>
      </c>
      <c r="Z243" s="24" t="e">
        <f>SUMIFS(#REF!,#REF!,$B243,#REF!,Z$1)</f>
        <v>#REF!</v>
      </c>
      <c r="AA243" s="24" t="e">
        <f>SUMIFS(#REF!,#REF!,$B243,#REF!,AA$1)</f>
        <v>#REF!</v>
      </c>
      <c r="AB243" s="24" t="e">
        <f>SUMIFS(#REF!,#REF!,$B243,#REF!,AB$1)</f>
        <v>#REF!</v>
      </c>
      <c r="AC243" s="24" t="e">
        <f>SUMIFS(#REF!,#REF!,$B243,#REF!,AC$1)</f>
        <v>#REF!</v>
      </c>
      <c r="AD243" s="24" t="e">
        <f>SUMIFS(#REF!,#REF!,$B243,#REF!,AD$1)</f>
        <v>#REF!</v>
      </c>
      <c r="AE243" s="24" t="e">
        <f>SUMIFS(#REF!,#REF!,$B243,#REF!,AE$1)</f>
        <v>#REF!</v>
      </c>
      <c r="AF243" s="24" t="e">
        <f>SUMIFS(#REF!,#REF!,$B243,#REF!,AF$1)</f>
        <v>#REF!</v>
      </c>
      <c r="AG243" s="24" t="e">
        <f>SUMIFS(#REF!,#REF!,$B243,#REF!,AG$1)</f>
        <v>#REF!</v>
      </c>
      <c r="AH243" s="24" t="e">
        <f>SUMIFS(#REF!,#REF!,$B243,#REF!,AH$1)</f>
        <v>#REF!</v>
      </c>
      <c r="AI243" s="24" t="e">
        <f>SUMIFS(#REF!,#REF!,$B243,#REF!,AI$1)</f>
        <v>#REF!</v>
      </c>
      <c r="AJ243" s="24" t="e">
        <f>SUMIFS(#REF!,#REF!,$B243,#REF!,AJ$1)</f>
        <v>#REF!</v>
      </c>
      <c r="AK243" s="24" t="e">
        <f>SUMIFS(#REF!,#REF!,$B243,#REF!,AK$1)</f>
        <v>#REF!</v>
      </c>
      <c r="AL243" s="24" t="e">
        <f>SUMIFS(#REF!,#REF!,$B243,#REF!,AL$1)</f>
        <v>#REF!</v>
      </c>
      <c r="AM243" s="24" t="e">
        <f>SUMIFS(#REF!,#REF!,$B243,#REF!,AM$1)</f>
        <v>#REF!</v>
      </c>
      <c r="AN243" s="24" t="e">
        <f>SUMIFS(#REF!,#REF!,$B243,#REF!,AN$1)</f>
        <v>#REF!</v>
      </c>
      <c r="AO243" s="24" t="e">
        <f>SUMIFS(#REF!,#REF!,$B243,#REF!,AO$1)</f>
        <v>#REF!</v>
      </c>
      <c r="AP243" s="24" t="e">
        <f>SUMIFS(#REF!,#REF!,$B243,#REF!,AP$1)</f>
        <v>#REF!</v>
      </c>
      <c r="AQ243" s="24" t="e">
        <f>SUMIFS(#REF!,#REF!,$B243,#REF!,AQ$1)</f>
        <v>#REF!</v>
      </c>
      <c r="AR243" s="24" t="e">
        <f>SUMIFS(#REF!,#REF!,$B243,#REF!,AR$1)</f>
        <v>#REF!</v>
      </c>
      <c r="AS243" s="24" t="e">
        <f>SUMIFS(#REF!,#REF!,$B243,#REF!,AS$1)</f>
        <v>#REF!</v>
      </c>
      <c r="AT243" s="24" t="e">
        <f>SUMIFS(#REF!,#REF!,$B243,#REF!,AT$1)</f>
        <v>#REF!</v>
      </c>
      <c r="AU243" s="24" t="e">
        <f>SUMIFS(#REF!,#REF!,$B243,#REF!,AU$1)</f>
        <v>#REF!</v>
      </c>
      <c r="AV243" s="24" t="e">
        <f>SUMIFS(#REF!,#REF!,$B243,#REF!,AV$1)</f>
        <v>#REF!</v>
      </c>
      <c r="AW243" s="24" t="e">
        <f>SUMIFS(#REF!,#REF!,$B243,#REF!,AW$1)</f>
        <v>#REF!</v>
      </c>
      <c r="AX243" s="24" t="e">
        <f>SUMIFS(#REF!,#REF!,$B243,#REF!,AX$1)</f>
        <v>#REF!</v>
      </c>
      <c r="AY243" s="24" t="e">
        <f>SUMIFS(#REF!,#REF!,$B243,#REF!,AY$1)</f>
        <v>#REF!</v>
      </c>
      <c r="AZ243" s="24" t="e">
        <f>SUMIFS(#REF!,#REF!,$B243,#REF!,AZ$1)</f>
        <v>#REF!</v>
      </c>
      <c r="BA243" s="24" t="e">
        <f>SUMIFS(#REF!,#REF!,$B243,#REF!,BA$1)</f>
        <v>#REF!</v>
      </c>
      <c r="BB243" s="24" t="e">
        <f>SUMIFS(#REF!,#REF!,$B243,#REF!,BB$1)</f>
        <v>#REF!</v>
      </c>
      <c r="BC243" s="24" t="e">
        <f>SUMIFS(#REF!,#REF!,$B243,#REF!,BC$1)</f>
        <v>#REF!</v>
      </c>
      <c r="BD243" s="24" t="e">
        <f>SUMIFS(#REF!,#REF!,$B243,#REF!,BD$1)</f>
        <v>#REF!</v>
      </c>
      <c r="BE243" s="24" t="e">
        <f>SUMIFS(#REF!,#REF!,$B243,#REF!,BE$1)</f>
        <v>#REF!</v>
      </c>
      <c r="BF243" s="24" t="e">
        <f>SUMIFS(#REF!,#REF!,$B243,#REF!,BF$1)</f>
        <v>#REF!</v>
      </c>
      <c r="BG243" s="24" t="e">
        <f>SUMIFS(#REF!,#REF!,$B243,#REF!,BG$1)</f>
        <v>#REF!</v>
      </c>
      <c r="BH243" s="24" t="e">
        <f>SUMIFS(#REF!,#REF!,$B243,#REF!,BH$1)</f>
        <v>#REF!</v>
      </c>
      <c r="BI243" s="24" t="e">
        <f>SUMIFS(#REF!,#REF!,$B243,#REF!,BI$1)</f>
        <v>#REF!</v>
      </c>
      <c r="BJ243" s="24" t="e">
        <f>SUMIFS(#REF!,#REF!,$B243,#REF!,BJ$1)</f>
        <v>#REF!</v>
      </c>
      <c r="BK243" s="24" t="e">
        <f>SUMIFS(#REF!,#REF!,$B243,#REF!,BK$1)</f>
        <v>#REF!</v>
      </c>
      <c r="BL243" s="24" t="e">
        <f>SUMIFS(#REF!,#REF!,$B243,#REF!,BL$1)</f>
        <v>#REF!</v>
      </c>
      <c r="BM243" s="24" t="e">
        <f>SUMIFS(#REF!,#REF!,$B243,#REF!,BM$1)</f>
        <v>#REF!</v>
      </c>
      <c r="BN243" s="24" t="e">
        <f>SUMIFS(#REF!,#REF!,$B243,#REF!,BN$1)</f>
        <v>#REF!</v>
      </c>
      <c r="BO243" s="24" t="e">
        <f>SUMIFS(#REF!,#REF!,$B243,#REF!,BO$1)</f>
        <v>#REF!</v>
      </c>
      <c r="BP243" s="24" t="e">
        <f>SUMIFS(#REF!,#REF!,$B243,#REF!,BP$1)</f>
        <v>#REF!</v>
      </c>
      <c r="BQ243" s="24" t="e">
        <f>SUMIFS(#REF!,#REF!,$B243,#REF!,BQ$1)</f>
        <v>#REF!</v>
      </c>
      <c r="BR243" s="24" t="e">
        <f>SUMIFS(#REF!,#REF!,$B243,#REF!,BR$1)</f>
        <v>#REF!</v>
      </c>
      <c r="BS243" s="24" t="e">
        <f>SUMIFS(#REF!,#REF!,$B243,#REF!,BS$1)</f>
        <v>#REF!</v>
      </c>
      <c r="BT243" s="24" t="e">
        <f>SUMIFS(#REF!,#REF!,$B243,#REF!,BT$1)</f>
        <v>#REF!</v>
      </c>
      <c r="BU243" s="24" t="e">
        <f>SUMIFS(#REF!,#REF!,$B243,#REF!,BU$1)</f>
        <v>#REF!</v>
      </c>
      <c r="BV243" s="24" t="e">
        <f>SUMIFS(#REF!,#REF!,$B243,#REF!,BV$1)</f>
        <v>#REF!</v>
      </c>
      <c r="BW243" s="24" t="e">
        <f>SUMIFS(#REF!,#REF!,$B243,#REF!,BW$1)</f>
        <v>#REF!</v>
      </c>
      <c r="BX243" s="24" t="e">
        <f>SUMIFS(#REF!,#REF!,$B243,#REF!,BX$1)</f>
        <v>#REF!</v>
      </c>
      <c r="BY243" s="24" t="e">
        <f>SUMIFS(#REF!,#REF!,$B243,#REF!,BY$1)</f>
        <v>#REF!</v>
      </c>
      <c r="BZ243" s="24" t="e">
        <f>SUMIFS(#REF!,#REF!,$B243,#REF!,BZ$1)</f>
        <v>#REF!</v>
      </c>
      <c r="CA243" s="24" t="e">
        <f>SUMIFS(#REF!,#REF!,$B243,#REF!,CA$1)</f>
        <v>#REF!</v>
      </c>
      <c r="CB243" s="24" t="e">
        <f>SUMIFS(#REF!,#REF!,$B243,#REF!,CB$1)</f>
        <v>#REF!</v>
      </c>
      <c r="CC243" s="24" t="e">
        <f>SUMIFS(#REF!,#REF!,$B243,#REF!,CC$1)</f>
        <v>#REF!</v>
      </c>
      <c r="CD243" s="24" t="e">
        <f>SUMIFS(#REF!,#REF!,$B243,#REF!,CD$1)</f>
        <v>#REF!</v>
      </c>
      <c r="CE243" s="24" t="e">
        <f>SUMIFS(#REF!,#REF!,$B243,#REF!,CE$1)</f>
        <v>#REF!</v>
      </c>
      <c r="CF243" s="24" t="e">
        <f>SUMIFS(#REF!,#REF!,$B243,#REF!,CF$1)</f>
        <v>#REF!</v>
      </c>
      <c r="CG243" s="19" t="e">
        <f t="shared" si="3"/>
        <v>#REF!</v>
      </c>
    </row>
    <row r="244" spans="1:85" x14ac:dyDescent="0.45">
      <c r="A244" s="4" t="s">
        <v>1470</v>
      </c>
      <c r="B244" s="4" t="s">
        <v>1471</v>
      </c>
      <c r="C244" s="24" t="e">
        <f>SUMIFS(#REF!,#REF!,$B244,#REF!,C$1)</f>
        <v>#REF!</v>
      </c>
      <c r="D244" s="24" t="e">
        <f>SUMIFS(#REF!,#REF!,$B244,#REF!,D$1)</f>
        <v>#REF!</v>
      </c>
      <c r="E244" s="24" t="e">
        <f>SUMIFS(#REF!,#REF!,$B244,#REF!,E$1)</f>
        <v>#REF!</v>
      </c>
      <c r="F244" s="24" t="e">
        <f>SUMIFS(#REF!,#REF!,$B244,#REF!,F$1)</f>
        <v>#REF!</v>
      </c>
      <c r="G244" s="24" t="e">
        <f>SUMIFS(#REF!,#REF!,$B244,#REF!,G$1)</f>
        <v>#REF!</v>
      </c>
      <c r="H244" s="24" t="e">
        <f>SUMIFS(#REF!,#REF!,$B244,#REF!,H$1)</f>
        <v>#REF!</v>
      </c>
      <c r="I244" s="24" t="e">
        <f>SUMIFS(#REF!,#REF!,$B244,#REF!,I$1)</f>
        <v>#REF!</v>
      </c>
      <c r="J244" s="24" t="e">
        <f>SUMIFS(#REF!,#REF!,$B244,#REF!,J$1)</f>
        <v>#REF!</v>
      </c>
      <c r="K244" s="24" t="e">
        <f>SUMIFS(#REF!,#REF!,$B244,#REF!,K$1)</f>
        <v>#REF!</v>
      </c>
      <c r="L244" s="24" t="e">
        <f>SUMIFS(#REF!,#REF!,$B244,#REF!,L$1)</f>
        <v>#REF!</v>
      </c>
      <c r="M244" s="24" t="e">
        <f>SUMIFS(#REF!,#REF!,$B244,#REF!,M$1)</f>
        <v>#REF!</v>
      </c>
      <c r="N244" s="24" t="e">
        <f>SUMIFS(#REF!,#REF!,$B244,#REF!,N$1)</f>
        <v>#REF!</v>
      </c>
      <c r="O244" s="24" t="e">
        <f>SUMIFS(#REF!,#REF!,$B244,#REF!,O$1)</f>
        <v>#REF!</v>
      </c>
      <c r="P244" s="24" t="e">
        <f>SUMIFS(#REF!,#REF!,$B244,#REF!,P$1)</f>
        <v>#REF!</v>
      </c>
      <c r="Q244" s="24" t="e">
        <f>SUMIFS(#REF!,#REF!,$B244,#REF!,Q$1)</f>
        <v>#REF!</v>
      </c>
      <c r="R244" s="24" t="e">
        <f>SUMIFS(#REF!,#REF!,$B244,#REF!,R$1)</f>
        <v>#REF!</v>
      </c>
      <c r="S244" s="24" t="e">
        <f>SUMIFS(#REF!,#REF!,$B244,#REF!,S$1)</f>
        <v>#REF!</v>
      </c>
      <c r="T244" s="24" t="e">
        <f>SUMIFS(#REF!,#REF!,$B244,#REF!,T$1)</f>
        <v>#REF!</v>
      </c>
      <c r="U244" s="24" t="e">
        <f>SUMIFS(#REF!,#REF!,$B244,#REF!,U$1)</f>
        <v>#REF!</v>
      </c>
      <c r="V244" s="24" t="e">
        <f>SUMIFS(#REF!,#REF!,$B244,#REF!,V$1)</f>
        <v>#REF!</v>
      </c>
      <c r="W244" s="24" t="e">
        <f>SUMIFS(#REF!,#REF!,$B244,#REF!,W$1)</f>
        <v>#REF!</v>
      </c>
      <c r="X244" s="24" t="e">
        <f>SUMIFS(#REF!,#REF!,$B244,#REF!,X$1)</f>
        <v>#REF!</v>
      </c>
      <c r="Y244" s="24" t="e">
        <f>SUMIFS(#REF!,#REF!,$B244,#REF!,Y$1)</f>
        <v>#REF!</v>
      </c>
      <c r="Z244" s="24" t="e">
        <f>SUMIFS(#REF!,#REF!,$B244,#REF!,Z$1)</f>
        <v>#REF!</v>
      </c>
      <c r="AA244" s="24" t="e">
        <f>SUMIFS(#REF!,#REF!,$B244,#REF!,AA$1)</f>
        <v>#REF!</v>
      </c>
      <c r="AB244" s="24" t="e">
        <f>SUMIFS(#REF!,#REF!,$B244,#REF!,AB$1)</f>
        <v>#REF!</v>
      </c>
      <c r="AC244" s="24" t="e">
        <f>SUMIFS(#REF!,#REF!,$B244,#REF!,AC$1)</f>
        <v>#REF!</v>
      </c>
      <c r="AD244" s="24" t="e">
        <f>SUMIFS(#REF!,#REF!,$B244,#REF!,AD$1)</f>
        <v>#REF!</v>
      </c>
      <c r="AE244" s="24" t="e">
        <f>SUMIFS(#REF!,#REF!,$B244,#REF!,AE$1)</f>
        <v>#REF!</v>
      </c>
      <c r="AF244" s="24" t="e">
        <f>SUMIFS(#REF!,#REF!,$B244,#REF!,AF$1)</f>
        <v>#REF!</v>
      </c>
      <c r="AG244" s="24" t="e">
        <f>SUMIFS(#REF!,#REF!,$B244,#REF!,AG$1)</f>
        <v>#REF!</v>
      </c>
      <c r="AH244" s="24" t="e">
        <f>SUMIFS(#REF!,#REF!,$B244,#REF!,AH$1)</f>
        <v>#REF!</v>
      </c>
      <c r="AI244" s="24" t="e">
        <f>SUMIFS(#REF!,#REF!,$B244,#REF!,AI$1)</f>
        <v>#REF!</v>
      </c>
      <c r="AJ244" s="24" t="e">
        <f>SUMIFS(#REF!,#REF!,$B244,#REF!,AJ$1)</f>
        <v>#REF!</v>
      </c>
      <c r="AK244" s="24" t="e">
        <f>SUMIFS(#REF!,#REF!,$B244,#REF!,AK$1)</f>
        <v>#REF!</v>
      </c>
      <c r="AL244" s="24" t="e">
        <f>SUMIFS(#REF!,#REF!,$B244,#REF!,AL$1)</f>
        <v>#REF!</v>
      </c>
      <c r="AM244" s="24" t="e">
        <f>SUMIFS(#REF!,#REF!,$B244,#REF!,AM$1)</f>
        <v>#REF!</v>
      </c>
      <c r="AN244" s="24" t="e">
        <f>SUMIFS(#REF!,#REF!,$B244,#REF!,AN$1)</f>
        <v>#REF!</v>
      </c>
      <c r="AO244" s="24" t="e">
        <f>SUMIFS(#REF!,#REF!,$B244,#REF!,AO$1)</f>
        <v>#REF!</v>
      </c>
      <c r="AP244" s="24" t="e">
        <f>SUMIFS(#REF!,#REF!,$B244,#REF!,AP$1)</f>
        <v>#REF!</v>
      </c>
      <c r="AQ244" s="24" t="e">
        <f>SUMIFS(#REF!,#REF!,$B244,#REF!,AQ$1)</f>
        <v>#REF!</v>
      </c>
      <c r="AR244" s="24" t="e">
        <f>SUMIFS(#REF!,#REF!,$B244,#REF!,AR$1)</f>
        <v>#REF!</v>
      </c>
      <c r="AS244" s="24" t="e">
        <f>SUMIFS(#REF!,#REF!,$B244,#REF!,AS$1)</f>
        <v>#REF!</v>
      </c>
      <c r="AT244" s="24" t="e">
        <f>SUMIFS(#REF!,#REF!,$B244,#REF!,AT$1)</f>
        <v>#REF!</v>
      </c>
      <c r="AU244" s="24" t="e">
        <f>SUMIFS(#REF!,#REF!,$B244,#REF!,AU$1)</f>
        <v>#REF!</v>
      </c>
      <c r="AV244" s="24" t="e">
        <f>SUMIFS(#REF!,#REF!,$B244,#REF!,AV$1)</f>
        <v>#REF!</v>
      </c>
      <c r="AW244" s="24" t="e">
        <f>SUMIFS(#REF!,#REF!,$B244,#REF!,AW$1)</f>
        <v>#REF!</v>
      </c>
      <c r="AX244" s="24" t="e">
        <f>SUMIFS(#REF!,#REF!,$B244,#REF!,AX$1)</f>
        <v>#REF!</v>
      </c>
      <c r="AY244" s="24" t="e">
        <f>SUMIFS(#REF!,#REF!,$B244,#REF!,AY$1)</f>
        <v>#REF!</v>
      </c>
      <c r="AZ244" s="24" t="e">
        <f>SUMIFS(#REF!,#REF!,$B244,#REF!,AZ$1)</f>
        <v>#REF!</v>
      </c>
      <c r="BA244" s="24" t="e">
        <f>SUMIFS(#REF!,#REF!,$B244,#REF!,BA$1)</f>
        <v>#REF!</v>
      </c>
      <c r="BB244" s="24" t="e">
        <f>SUMIFS(#REF!,#REF!,$B244,#REF!,BB$1)</f>
        <v>#REF!</v>
      </c>
      <c r="BC244" s="24" t="e">
        <f>SUMIFS(#REF!,#REF!,$B244,#REF!,BC$1)</f>
        <v>#REF!</v>
      </c>
      <c r="BD244" s="24" t="e">
        <f>SUMIFS(#REF!,#REF!,$B244,#REF!,BD$1)</f>
        <v>#REF!</v>
      </c>
      <c r="BE244" s="24" t="e">
        <f>SUMIFS(#REF!,#REF!,$B244,#REF!,BE$1)</f>
        <v>#REF!</v>
      </c>
      <c r="BF244" s="24" t="e">
        <f>SUMIFS(#REF!,#REF!,$B244,#REF!,BF$1)</f>
        <v>#REF!</v>
      </c>
      <c r="BG244" s="24" t="e">
        <f>SUMIFS(#REF!,#REF!,$B244,#REF!,BG$1)</f>
        <v>#REF!</v>
      </c>
      <c r="BH244" s="24" t="e">
        <f>SUMIFS(#REF!,#REF!,$B244,#REF!,BH$1)</f>
        <v>#REF!</v>
      </c>
      <c r="BI244" s="24" t="e">
        <f>SUMIFS(#REF!,#REF!,$B244,#REF!,BI$1)</f>
        <v>#REF!</v>
      </c>
      <c r="BJ244" s="24" t="e">
        <f>SUMIFS(#REF!,#REF!,$B244,#REF!,BJ$1)</f>
        <v>#REF!</v>
      </c>
      <c r="BK244" s="24" t="e">
        <f>SUMIFS(#REF!,#REF!,$B244,#REF!,BK$1)</f>
        <v>#REF!</v>
      </c>
      <c r="BL244" s="24" t="e">
        <f>SUMIFS(#REF!,#REF!,$B244,#REF!,BL$1)</f>
        <v>#REF!</v>
      </c>
      <c r="BM244" s="24" t="e">
        <f>SUMIFS(#REF!,#REF!,$B244,#REF!,BM$1)</f>
        <v>#REF!</v>
      </c>
      <c r="BN244" s="24" t="e">
        <f>SUMIFS(#REF!,#REF!,$B244,#REF!,BN$1)</f>
        <v>#REF!</v>
      </c>
      <c r="BO244" s="24" t="e">
        <f>SUMIFS(#REF!,#REF!,$B244,#REF!,BO$1)</f>
        <v>#REF!</v>
      </c>
      <c r="BP244" s="24" t="e">
        <f>SUMIFS(#REF!,#REF!,$B244,#REF!,BP$1)</f>
        <v>#REF!</v>
      </c>
      <c r="BQ244" s="24" t="e">
        <f>SUMIFS(#REF!,#REF!,$B244,#REF!,BQ$1)</f>
        <v>#REF!</v>
      </c>
      <c r="BR244" s="24" t="e">
        <f>SUMIFS(#REF!,#REF!,$B244,#REF!,BR$1)</f>
        <v>#REF!</v>
      </c>
      <c r="BS244" s="24" t="e">
        <f>SUMIFS(#REF!,#REF!,$B244,#REF!,BS$1)</f>
        <v>#REF!</v>
      </c>
      <c r="BT244" s="24" t="e">
        <f>SUMIFS(#REF!,#REF!,$B244,#REF!,BT$1)</f>
        <v>#REF!</v>
      </c>
      <c r="BU244" s="24" t="e">
        <f>SUMIFS(#REF!,#REF!,$B244,#REF!,BU$1)</f>
        <v>#REF!</v>
      </c>
      <c r="BV244" s="24" t="e">
        <f>SUMIFS(#REF!,#REF!,$B244,#REF!,BV$1)</f>
        <v>#REF!</v>
      </c>
      <c r="BW244" s="24" t="e">
        <f>SUMIFS(#REF!,#REF!,$B244,#REF!,BW$1)</f>
        <v>#REF!</v>
      </c>
      <c r="BX244" s="24" t="e">
        <f>SUMIFS(#REF!,#REF!,$B244,#REF!,BX$1)</f>
        <v>#REF!</v>
      </c>
      <c r="BY244" s="24" t="e">
        <f>SUMIFS(#REF!,#REF!,$B244,#REF!,BY$1)</f>
        <v>#REF!</v>
      </c>
      <c r="BZ244" s="24" t="e">
        <f>SUMIFS(#REF!,#REF!,$B244,#REF!,BZ$1)</f>
        <v>#REF!</v>
      </c>
      <c r="CA244" s="24" t="e">
        <f>SUMIFS(#REF!,#REF!,$B244,#REF!,CA$1)</f>
        <v>#REF!</v>
      </c>
      <c r="CB244" s="24" t="e">
        <f>SUMIFS(#REF!,#REF!,$B244,#REF!,CB$1)</f>
        <v>#REF!</v>
      </c>
      <c r="CC244" s="24" t="e">
        <f>SUMIFS(#REF!,#REF!,$B244,#REF!,CC$1)</f>
        <v>#REF!</v>
      </c>
      <c r="CD244" s="24" t="e">
        <f>SUMIFS(#REF!,#REF!,$B244,#REF!,CD$1)</f>
        <v>#REF!</v>
      </c>
      <c r="CE244" s="24" t="e">
        <f>SUMIFS(#REF!,#REF!,$B244,#REF!,CE$1)</f>
        <v>#REF!</v>
      </c>
      <c r="CF244" s="24" t="e">
        <f>SUMIFS(#REF!,#REF!,$B244,#REF!,CF$1)</f>
        <v>#REF!</v>
      </c>
      <c r="CG244" s="19" t="e">
        <f t="shared" si="3"/>
        <v>#REF!</v>
      </c>
    </row>
    <row r="245" spans="1:85" x14ac:dyDescent="0.45">
      <c r="A245" s="4" t="s">
        <v>1472</v>
      </c>
      <c r="B245" s="4" t="s">
        <v>1473</v>
      </c>
      <c r="C245" s="24" t="e">
        <f>SUMIFS(#REF!,#REF!,$B245,#REF!,C$1)</f>
        <v>#REF!</v>
      </c>
      <c r="D245" s="24" t="e">
        <f>SUMIFS(#REF!,#REF!,$B245,#REF!,D$1)</f>
        <v>#REF!</v>
      </c>
      <c r="E245" s="24" t="e">
        <f>SUMIFS(#REF!,#REF!,$B245,#REF!,E$1)</f>
        <v>#REF!</v>
      </c>
      <c r="F245" s="24" t="e">
        <f>SUMIFS(#REF!,#REF!,$B245,#REF!,F$1)</f>
        <v>#REF!</v>
      </c>
      <c r="G245" s="24" t="e">
        <f>SUMIFS(#REF!,#REF!,$B245,#REF!,G$1)</f>
        <v>#REF!</v>
      </c>
      <c r="H245" s="24" t="e">
        <f>SUMIFS(#REF!,#REF!,$B245,#REF!,H$1)</f>
        <v>#REF!</v>
      </c>
      <c r="I245" s="24" t="e">
        <f>SUMIFS(#REF!,#REF!,$B245,#REF!,I$1)</f>
        <v>#REF!</v>
      </c>
      <c r="J245" s="24" t="e">
        <f>SUMIFS(#REF!,#REF!,$B245,#REF!,J$1)</f>
        <v>#REF!</v>
      </c>
      <c r="K245" s="24" t="e">
        <f>SUMIFS(#REF!,#REF!,$B245,#REF!,K$1)</f>
        <v>#REF!</v>
      </c>
      <c r="L245" s="24" t="e">
        <f>SUMIFS(#REF!,#REF!,$B245,#REF!,L$1)</f>
        <v>#REF!</v>
      </c>
      <c r="M245" s="24" t="e">
        <f>SUMIFS(#REF!,#REF!,$B245,#REF!,M$1)</f>
        <v>#REF!</v>
      </c>
      <c r="N245" s="24" t="e">
        <f>SUMIFS(#REF!,#REF!,$B245,#REF!,N$1)</f>
        <v>#REF!</v>
      </c>
      <c r="O245" s="24" t="e">
        <f>SUMIFS(#REF!,#REF!,$B245,#REF!,O$1)</f>
        <v>#REF!</v>
      </c>
      <c r="P245" s="24" t="e">
        <f>SUMIFS(#REF!,#REF!,$B245,#REF!,P$1)</f>
        <v>#REF!</v>
      </c>
      <c r="Q245" s="24" t="e">
        <f>SUMIFS(#REF!,#REF!,$B245,#REF!,Q$1)</f>
        <v>#REF!</v>
      </c>
      <c r="R245" s="24" t="e">
        <f>SUMIFS(#REF!,#REF!,$B245,#REF!,R$1)</f>
        <v>#REF!</v>
      </c>
      <c r="S245" s="24" t="e">
        <f>SUMIFS(#REF!,#REF!,$B245,#REF!,S$1)</f>
        <v>#REF!</v>
      </c>
      <c r="T245" s="24" t="e">
        <f>SUMIFS(#REF!,#REF!,$B245,#REF!,T$1)</f>
        <v>#REF!</v>
      </c>
      <c r="U245" s="24" t="e">
        <f>SUMIFS(#REF!,#REF!,$B245,#REF!,U$1)</f>
        <v>#REF!</v>
      </c>
      <c r="V245" s="24" t="e">
        <f>SUMIFS(#REF!,#REF!,$B245,#REF!,V$1)</f>
        <v>#REF!</v>
      </c>
      <c r="W245" s="24" t="e">
        <f>SUMIFS(#REF!,#REF!,$B245,#REF!,W$1)</f>
        <v>#REF!</v>
      </c>
      <c r="X245" s="24" t="e">
        <f>SUMIFS(#REF!,#REF!,$B245,#REF!,X$1)</f>
        <v>#REF!</v>
      </c>
      <c r="Y245" s="24" t="e">
        <f>SUMIFS(#REF!,#REF!,$B245,#REF!,Y$1)</f>
        <v>#REF!</v>
      </c>
      <c r="Z245" s="24" t="e">
        <f>SUMIFS(#REF!,#REF!,$B245,#REF!,Z$1)</f>
        <v>#REF!</v>
      </c>
      <c r="AA245" s="24" t="e">
        <f>SUMIFS(#REF!,#REF!,$B245,#REF!,AA$1)</f>
        <v>#REF!</v>
      </c>
      <c r="AB245" s="24" t="e">
        <f>SUMIFS(#REF!,#REF!,$B245,#REF!,AB$1)</f>
        <v>#REF!</v>
      </c>
      <c r="AC245" s="24" t="e">
        <f>SUMIFS(#REF!,#REF!,$B245,#REF!,AC$1)</f>
        <v>#REF!</v>
      </c>
      <c r="AD245" s="24" t="e">
        <f>SUMIFS(#REF!,#REF!,$B245,#REF!,AD$1)</f>
        <v>#REF!</v>
      </c>
      <c r="AE245" s="24" t="e">
        <f>SUMIFS(#REF!,#REF!,$B245,#REF!,AE$1)</f>
        <v>#REF!</v>
      </c>
      <c r="AF245" s="24" t="e">
        <f>SUMIFS(#REF!,#REF!,$B245,#REF!,AF$1)</f>
        <v>#REF!</v>
      </c>
      <c r="AG245" s="24" t="e">
        <f>SUMIFS(#REF!,#REF!,$B245,#REF!,AG$1)</f>
        <v>#REF!</v>
      </c>
      <c r="AH245" s="24" t="e">
        <f>SUMIFS(#REF!,#REF!,$B245,#REF!,AH$1)</f>
        <v>#REF!</v>
      </c>
      <c r="AI245" s="24" t="e">
        <f>SUMIFS(#REF!,#REF!,$B245,#REF!,AI$1)</f>
        <v>#REF!</v>
      </c>
      <c r="AJ245" s="24" t="e">
        <f>SUMIFS(#REF!,#REF!,$B245,#REF!,AJ$1)</f>
        <v>#REF!</v>
      </c>
      <c r="AK245" s="24" t="e">
        <f>SUMIFS(#REF!,#REF!,$B245,#REF!,AK$1)</f>
        <v>#REF!</v>
      </c>
      <c r="AL245" s="24" t="e">
        <f>SUMIFS(#REF!,#REF!,$B245,#REF!,AL$1)</f>
        <v>#REF!</v>
      </c>
      <c r="AM245" s="24" t="e">
        <f>SUMIFS(#REF!,#REF!,$B245,#REF!,AM$1)</f>
        <v>#REF!</v>
      </c>
      <c r="AN245" s="24" t="e">
        <f>SUMIFS(#REF!,#REF!,$B245,#REF!,AN$1)</f>
        <v>#REF!</v>
      </c>
      <c r="AO245" s="24" t="e">
        <f>SUMIFS(#REF!,#REF!,$B245,#REF!,AO$1)</f>
        <v>#REF!</v>
      </c>
      <c r="AP245" s="24" t="e">
        <f>SUMIFS(#REF!,#REF!,$B245,#REF!,AP$1)</f>
        <v>#REF!</v>
      </c>
      <c r="AQ245" s="24" t="e">
        <f>SUMIFS(#REF!,#REF!,$B245,#REF!,AQ$1)</f>
        <v>#REF!</v>
      </c>
      <c r="AR245" s="24" t="e">
        <f>SUMIFS(#REF!,#REF!,$B245,#REF!,AR$1)</f>
        <v>#REF!</v>
      </c>
      <c r="AS245" s="24" t="e">
        <f>SUMIFS(#REF!,#REF!,$B245,#REF!,AS$1)</f>
        <v>#REF!</v>
      </c>
      <c r="AT245" s="24" t="e">
        <f>SUMIFS(#REF!,#REF!,$B245,#REF!,AT$1)</f>
        <v>#REF!</v>
      </c>
      <c r="AU245" s="24" t="e">
        <f>SUMIFS(#REF!,#REF!,$B245,#REF!,AU$1)</f>
        <v>#REF!</v>
      </c>
      <c r="AV245" s="24" t="e">
        <f>SUMIFS(#REF!,#REF!,$B245,#REF!,AV$1)</f>
        <v>#REF!</v>
      </c>
      <c r="AW245" s="24" t="e">
        <f>SUMIFS(#REF!,#REF!,$B245,#REF!,AW$1)</f>
        <v>#REF!</v>
      </c>
      <c r="AX245" s="24" t="e">
        <f>SUMIFS(#REF!,#REF!,$B245,#REF!,AX$1)</f>
        <v>#REF!</v>
      </c>
      <c r="AY245" s="24" t="e">
        <f>SUMIFS(#REF!,#REF!,$B245,#REF!,AY$1)</f>
        <v>#REF!</v>
      </c>
      <c r="AZ245" s="24" t="e">
        <f>SUMIFS(#REF!,#REF!,$B245,#REF!,AZ$1)</f>
        <v>#REF!</v>
      </c>
      <c r="BA245" s="24" t="e">
        <f>SUMIFS(#REF!,#REF!,$B245,#REF!,BA$1)</f>
        <v>#REF!</v>
      </c>
      <c r="BB245" s="24" t="e">
        <f>SUMIFS(#REF!,#REF!,$B245,#REF!,BB$1)</f>
        <v>#REF!</v>
      </c>
      <c r="BC245" s="24" t="e">
        <f>SUMIFS(#REF!,#REF!,$B245,#REF!,BC$1)</f>
        <v>#REF!</v>
      </c>
      <c r="BD245" s="24" t="e">
        <f>SUMIFS(#REF!,#REF!,$B245,#REF!,BD$1)</f>
        <v>#REF!</v>
      </c>
      <c r="BE245" s="24" t="e">
        <f>SUMIFS(#REF!,#REF!,$B245,#REF!,BE$1)</f>
        <v>#REF!</v>
      </c>
      <c r="BF245" s="24" t="e">
        <f>SUMIFS(#REF!,#REF!,$B245,#REF!,BF$1)</f>
        <v>#REF!</v>
      </c>
      <c r="BG245" s="24" t="e">
        <f>SUMIFS(#REF!,#REF!,$B245,#REF!,BG$1)</f>
        <v>#REF!</v>
      </c>
      <c r="BH245" s="24" t="e">
        <f>SUMIFS(#REF!,#REF!,$B245,#REF!,BH$1)</f>
        <v>#REF!</v>
      </c>
      <c r="BI245" s="24" t="e">
        <f>SUMIFS(#REF!,#REF!,$B245,#REF!,BI$1)</f>
        <v>#REF!</v>
      </c>
      <c r="BJ245" s="24" t="e">
        <f>SUMIFS(#REF!,#REF!,$B245,#REF!,BJ$1)</f>
        <v>#REF!</v>
      </c>
      <c r="BK245" s="24" t="e">
        <f>SUMIFS(#REF!,#REF!,$B245,#REF!,BK$1)</f>
        <v>#REF!</v>
      </c>
      <c r="BL245" s="24" t="e">
        <f>SUMIFS(#REF!,#REF!,$B245,#REF!,BL$1)</f>
        <v>#REF!</v>
      </c>
      <c r="BM245" s="24" t="e">
        <f>SUMIFS(#REF!,#REF!,$B245,#REF!,BM$1)</f>
        <v>#REF!</v>
      </c>
      <c r="BN245" s="24" t="e">
        <f>SUMIFS(#REF!,#REF!,$B245,#REF!,BN$1)</f>
        <v>#REF!</v>
      </c>
      <c r="BO245" s="24" t="e">
        <f>SUMIFS(#REF!,#REF!,$B245,#REF!,BO$1)</f>
        <v>#REF!</v>
      </c>
      <c r="BP245" s="24" t="e">
        <f>SUMIFS(#REF!,#REF!,$B245,#REF!,BP$1)</f>
        <v>#REF!</v>
      </c>
      <c r="BQ245" s="24" t="e">
        <f>SUMIFS(#REF!,#REF!,$B245,#REF!,BQ$1)</f>
        <v>#REF!</v>
      </c>
      <c r="BR245" s="24" t="e">
        <f>SUMIFS(#REF!,#REF!,$B245,#REF!,BR$1)</f>
        <v>#REF!</v>
      </c>
      <c r="BS245" s="24" t="e">
        <f>SUMIFS(#REF!,#REF!,$B245,#REF!,BS$1)</f>
        <v>#REF!</v>
      </c>
      <c r="BT245" s="24" t="e">
        <f>SUMIFS(#REF!,#REF!,$B245,#REF!,BT$1)</f>
        <v>#REF!</v>
      </c>
      <c r="BU245" s="24" t="e">
        <f>SUMIFS(#REF!,#REF!,$B245,#REF!,BU$1)</f>
        <v>#REF!</v>
      </c>
      <c r="BV245" s="24" t="e">
        <f>SUMIFS(#REF!,#REF!,$B245,#REF!,BV$1)</f>
        <v>#REF!</v>
      </c>
      <c r="BW245" s="24" t="e">
        <f>SUMIFS(#REF!,#REF!,$B245,#REF!,BW$1)</f>
        <v>#REF!</v>
      </c>
      <c r="BX245" s="24" t="e">
        <f>SUMIFS(#REF!,#REF!,$B245,#REF!,BX$1)</f>
        <v>#REF!</v>
      </c>
      <c r="BY245" s="24" t="e">
        <f>SUMIFS(#REF!,#REF!,$B245,#REF!,BY$1)</f>
        <v>#REF!</v>
      </c>
      <c r="BZ245" s="24" t="e">
        <f>SUMIFS(#REF!,#REF!,$B245,#REF!,BZ$1)</f>
        <v>#REF!</v>
      </c>
      <c r="CA245" s="24" t="e">
        <f>SUMIFS(#REF!,#REF!,$B245,#REF!,CA$1)</f>
        <v>#REF!</v>
      </c>
      <c r="CB245" s="24" t="e">
        <f>SUMIFS(#REF!,#REF!,$B245,#REF!,CB$1)</f>
        <v>#REF!</v>
      </c>
      <c r="CC245" s="24" t="e">
        <f>SUMIFS(#REF!,#REF!,$B245,#REF!,CC$1)</f>
        <v>#REF!</v>
      </c>
      <c r="CD245" s="24" t="e">
        <f>SUMIFS(#REF!,#REF!,$B245,#REF!,CD$1)</f>
        <v>#REF!</v>
      </c>
      <c r="CE245" s="24" t="e">
        <f>SUMIFS(#REF!,#REF!,$B245,#REF!,CE$1)</f>
        <v>#REF!</v>
      </c>
      <c r="CF245" s="24" t="e">
        <f>SUMIFS(#REF!,#REF!,$B245,#REF!,CF$1)</f>
        <v>#REF!</v>
      </c>
      <c r="CG245" s="19" t="e">
        <f t="shared" si="3"/>
        <v>#REF!</v>
      </c>
    </row>
    <row r="246" spans="1:85" x14ac:dyDescent="0.45">
      <c r="A246" s="4" t="s">
        <v>1474</v>
      </c>
      <c r="B246" s="4" t="s">
        <v>1474</v>
      </c>
      <c r="C246" s="24" t="e">
        <f>SUMIFS(#REF!,#REF!,$B246,#REF!,C$1)</f>
        <v>#REF!</v>
      </c>
      <c r="D246" s="24" t="e">
        <f>SUMIFS(#REF!,#REF!,$B246,#REF!,D$1)</f>
        <v>#REF!</v>
      </c>
      <c r="E246" s="24" t="e">
        <f>SUMIFS(#REF!,#REF!,$B246,#REF!,E$1)</f>
        <v>#REF!</v>
      </c>
      <c r="F246" s="24" t="e">
        <f>SUMIFS(#REF!,#REF!,$B246,#REF!,F$1)</f>
        <v>#REF!</v>
      </c>
      <c r="G246" s="24" t="e">
        <f>SUMIFS(#REF!,#REF!,$B246,#REF!,G$1)</f>
        <v>#REF!</v>
      </c>
      <c r="H246" s="24" t="e">
        <f>SUMIFS(#REF!,#REF!,$B246,#REF!,H$1)</f>
        <v>#REF!</v>
      </c>
      <c r="I246" s="24" t="e">
        <f>SUMIFS(#REF!,#REF!,$B246,#REF!,I$1)</f>
        <v>#REF!</v>
      </c>
      <c r="J246" s="24" t="e">
        <f>SUMIFS(#REF!,#REF!,$B246,#REF!,J$1)</f>
        <v>#REF!</v>
      </c>
      <c r="K246" s="24" t="e">
        <f>SUMIFS(#REF!,#REF!,$B246,#REF!,K$1)</f>
        <v>#REF!</v>
      </c>
      <c r="L246" s="24" t="e">
        <f>SUMIFS(#REF!,#REF!,$B246,#REF!,L$1)</f>
        <v>#REF!</v>
      </c>
      <c r="M246" s="24" t="e">
        <f>SUMIFS(#REF!,#REF!,$B246,#REF!,M$1)</f>
        <v>#REF!</v>
      </c>
      <c r="N246" s="24" t="e">
        <f>SUMIFS(#REF!,#REF!,$B246,#REF!,N$1)</f>
        <v>#REF!</v>
      </c>
      <c r="O246" s="24" t="e">
        <f>SUMIFS(#REF!,#REF!,$B246,#REF!,O$1)</f>
        <v>#REF!</v>
      </c>
      <c r="P246" s="24" t="e">
        <f>SUMIFS(#REF!,#REF!,$B246,#REF!,P$1)</f>
        <v>#REF!</v>
      </c>
      <c r="Q246" s="24" t="e">
        <f>SUMIFS(#REF!,#REF!,$B246,#REF!,Q$1)</f>
        <v>#REF!</v>
      </c>
      <c r="R246" s="24" t="e">
        <f>SUMIFS(#REF!,#REF!,$B246,#REF!,R$1)</f>
        <v>#REF!</v>
      </c>
      <c r="S246" s="24" t="e">
        <f>SUMIFS(#REF!,#REF!,$B246,#REF!,S$1)</f>
        <v>#REF!</v>
      </c>
      <c r="T246" s="24" t="e">
        <f>SUMIFS(#REF!,#REF!,$B246,#REF!,T$1)</f>
        <v>#REF!</v>
      </c>
      <c r="U246" s="24" t="e">
        <f>SUMIFS(#REF!,#REF!,$B246,#REF!,U$1)</f>
        <v>#REF!</v>
      </c>
      <c r="V246" s="24" t="e">
        <f>SUMIFS(#REF!,#REF!,$B246,#REF!,V$1)</f>
        <v>#REF!</v>
      </c>
      <c r="W246" s="24" t="e">
        <f>SUMIFS(#REF!,#REF!,$B246,#REF!,W$1)</f>
        <v>#REF!</v>
      </c>
      <c r="X246" s="24" t="e">
        <f>SUMIFS(#REF!,#REF!,$B246,#REF!,X$1)</f>
        <v>#REF!</v>
      </c>
      <c r="Y246" s="24" t="e">
        <f>SUMIFS(#REF!,#REF!,$B246,#REF!,Y$1)</f>
        <v>#REF!</v>
      </c>
      <c r="Z246" s="24" t="e">
        <f>SUMIFS(#REF!,#REF!,$B246,#REF!,Z$1)</f>
        <v>#REF!</v>
      </c>
      <c r="AA246" s="24" t="e">
        <f>SUMIFS(#REF!,#REF!,$B246,#REF!,AA$1)</f>
        <v>#REF!</v>
      </c>
      <c r="AB246" s="24" t="e">
        <f>SUMIFS(#REF!,#REF!,$B246,#REF!,AB$1)</f>
        <v>#REF!</v>
      </c>
      <c r="AC246" s="24" t="e">
        <f>SUMIFS(#REF!,#REF!,$B246,#REF!,AC$1)</f>
        <v>#REF!</v>
      </c>
      <c r="AD246" s="24" t="e">
        <f>SUMIFS(#REF!,#REF!,$B246,#REF!,AD$1)</f>
        <v>#REF!</v>
      </c>
      <c r="AE246" s="24" t="e">
        <f>SUMIFS(#REF!,#REF!,$B246,#REF!,AE$1)</f>
        <v>#REF!</v>
      </c>
      <c r="AF246" s="24" t="e">
        <f>SUMIFS(#REF!,#REF!,$B246,#REF!,AF$1)</f>
        <v>#REF!</v>
      </c>
      <c r="AG246" s="24" t="e">
        <f>SUMIFS(#REF!,#REF!,$B246,#REF!,AG$1)</f>
        <v>#REF!</v>
      </c>
      <c r="AH246" s="24" t="e">
        <f>SUMIFS(#REF!,#REF!,$B246,#REF!,AH$1)</f>
        <v>#REF!</v>
      </c>
      <c r="AI246" s="24" t="e">
        <f>SUMIFS(#REF!,#REF!,$B246,#REF!,AI$1)</f>
        <v>#REF!</v>
      </c>
      <c r="AJ246" s="24" t="e">
        <f>SUMIFS(#REF!,#REF!,$B246,#REF!,AJ$1)</f>
        <v>#REF!</v>
      </c>
      <c r="AK246" s="24" t="e">
        <f>SUMIFS(#REF!,#REF!,$B246,#REF!,AK$1)</f>
        <v>#REF!</v>
      </c>
      <c r="AL246" s="24" t="e">
        <f>SUMIFS(#REF!,#REF!,$B246,#REF!,AL$1)</f>
        <v>#REF!</v>
      </c>
      <c r="AM246" s="24" t="e">
        <f>SUMIFS(#REF!,#REF!,$B246,#REF!,AM$1)</f>
        <v>#REF!</v>
      </c>
      <c r="AN246" s="24" t="e">
        <f>SUMIFS(#REF!,#REF!,$B246,#REF!,AN$1)</f>
        <v>#REF!</v>
      </c>
      <c r="AO246" s="24" t="e">
        <f>SUMIFS(#REF!,#REF!,$B246,#REF!,AO$1)</f>
        <v>#REF!</v>
      </c>
      <c r="AP246" s="24" t="e">
        <f>SUMIFS(#REF!,#REF!,$B246,#REF!,AP$1)</f>
        <v>#REF!</v>
      </c>
      <c r="AQ246" s="24" t="e">
        <f>SUMIFS(#REF!,#REF!,$B246,#REF!,AQ$1)</f>
        <v>#REF!</v>
      </c>
      <c r="AR246" s="24" t="e">
        <f>SUMIFS(#REF!,#REF!,$B246,#REF!,AR$1)</f>
        <v>#REF!</v>
      </c>
      <c r="AS246" s="24" t="e">
        <f>SUMIFS(#REF!,#REF!,$B246,#REF!,AS$1)</f>
        <v>#REF!</v>
      </c>
      <c r="AT246" s="24" t="e">
        <f>SUMIFS(#REF!,#REF!,$B246,#REF!,AT$1)</f>
        <v>#REF!</v>
      </c>
      <c r="AU246" s="24" t="e">
        <f>SUMIFS(#REF!,#REF!,$B246,#REF!,AU$1)</f>
        <v>#REF!</v>
      </c>
      <c r="AV246" s="24" t="e">
        <f>SUMIFS(#REF!,#REF!,$B246,#REF!,AV$1)</f>
        <v>#REF!</v>
      </c>
      <c r="AW246" s="24" t="e">
        <f>SUMIFS(#REF!,#REF!,$B246,#REF!,AW$1)</f>
        <v>#REF!</v>
      </c>
      <c r="AX246" s="24" t="e">
        <f>SUMIFS(#REF!,#REF!,$B246,#REF!,AX$1)</f>
        <v>#REF!</v>
      </c>
      <c r="AY246" s="24" t="e">
        <f>SUMIFS(#REF!,#REF!,$B246,#REF!,AY$1)</f>
        <v>#REF!</v>
      </c>
      <c r="AZ246" s="24" t="e">
        <f>SUMIFS(#REF!,#REF!,$B246,#REF!,AZ$1)</f>
        <v>#REF!</v>
      </c>
      <c r="BA246" s="24" t="e">
        <f>SUMIFS(#REF!,#REF!,$B246,#REF!,BA$1)</f>
        <v>#REF!</v>
      </c>
      <c r="BB246" s="24" t="e">
        <f>SUMIFS(#REF!,#REF!,$B246,#REF!,BB$1)</f>
        <v>#REF!</v>
      </c>
      <c r="BC246" s="24" t="e">
        <f>SUMIFS(#REF!,#REF!,$B246,#REF!,BC$1)</f>
        <v>#REF!</v>
      </c>
      <c r="BD246" s="24" t="e">
        <f>SUMIFS(#REF!,#REF!,$B246,#REF!,BD$1)</f>
        <v>#REF!</v>
      </c>
      <c r="BE246" s="24" t="e">
        <f>SUMIFS(#REF!,#REF!,$B246,#REF!,BE$1)</f>
        <v>#REF!</v>
      </c>
      <c r="BF246" s="24" t="e">
        <f>SUMIFS(#REF!,#REF!,$B246,#REF!,BF$1)</f>
        <v>#REF!</v>
      </c>
      <c r="BG246" s="24" t="e">
        <f>SUMIFS(#REF!,#REF!,$B246,#REF!,BG$1)</f>
        <v>#REF!</v>
      </c>
      <c r="BH246" s="24" t="e">
        <f>SUMIFS(#REF!,#REF!,$B246,#REF!,BH$1)</f>
        <v>#REF!</v>
      </c>
      <c r="BI246" s="24" t="e">
        <f>SUMIFS(#REF!,#REF!,$B246,#REF!,BI$1)</f>
        <v>#REF!</v>
      </c>
      <c r="BJ246" s="24" t="e">
        <f>SUMIFS(#REF!,#REF!,$B246,#REF!,BJ$1)</f>
        <v>#REF!</v>
      </c>
      <c r="BK246" s="24" t="e">
        <f>SUMIFS(#REF!,#REF!,$B246,#REF!,BK$1)</f>
        <v>#REF!</v>
      </c>
      <c r="BL246" s="24" t="e">
        <f>SUMIFS(#REF!,#REF!,$B246,#REF!,BL$1)</f>
        <v>#REF!</v>
      </c>
      <c r="BM246" s="24" t="e">
        <f>SUMIFS(#REF!,#REF!,$B246,#REF!,BM$1)</f>
        <v>#REF!</v>
      </c>
      <c r="BN246" s="24" t="e">
        <f>SUMIFS(#REF!,#REF!,$B246,#REF!,BN$1)</f>
        <v>#REF!</v>
      </c>
      <c r="BO246" s="24" t="e">
        <f>SUMIFS(#REF!,#REF!,$B246,#REF!,BO$1)</f>
        <v>#REF!</v>
      </c>
      <c r="BP246" s="24" t="e">
        <f>SUMIFS(#REF!,#REF!,$B246,#REF!,BP$1)</f>
        <v>#REF!</v>
      </c>
      <c r="BQ246" s="24" t="e">
        <f>SUMIFS(#REF!,#REF!,$B246,#REF!,BQ$1)</f>
        <v>#REF!</v>
      </c>
      <c r="BR246" s="24" t="e">
        <f>SUMIFS(#REF!,#REF!,$B246,#REF!,BR$1)</f>
        <v>#REF!</v>
      </c>
      <c r="BS246" s="24" t="e">
        <f>SUMIFS(#REF!,#REF!,$B246,#REF!,BS$1)</f>
        <v>#REF!</v>
      </c>
      <c r="BT246" s="24" t="e">
        <f>SUMIFS(#REF!,#REF!,$B246,#REF!,BT$1)</f>
        <v>#REF!</v>
      </c>
      <c r="BU246" s="24" t="e">
        <f>SUMIFS(#REF!,#REF!,$B246,#REF!,BU$1)</f>
        <v>#REF!</v>
      </c>
      <c r="BV246" s="24" t="e">
        <f>SUMIFS(#REF!,#REF!,$B246,#REF!,BV$1)</f>
        <v>#REF!</v>
      </c>
      <c r="BW246" s="24" t="e">
        <f>SUMIFS(#REF!,#REF!,$B246,#REF!,BW$1)</f>
        <v>#REF!</v>
      </c>
      <c r="BX246" s="24" t="e">
        <f>SUMIFS(#REF!,#REF!,$B246,#REF!,BX$1)</f>
        <v>#REF!</v>
      </c>
      <c r="BY246" s="24" t="e">
        <f>SUMIFS(#REF!,#REF!,$B246,#REF!,BY$1)</f>
        <v>#REF!</v>
      </c>
      <c r="BZ246" s="24" t="e">
        <f>SUMIFS(#REF!,#REF!,$B246,#REF!,BZ$1)</f>
        <v>#REF!</v>
      </c>
      <c r="CA246" s="24" t="e">
        <f>SUMIFS(#REF!,#REF!,$B246,#REF!,CA$1)</f>
        <v>#REF!</v>
      </c>
      <c r="CB246" s="24" t="e">
        <f>SUMIFS(#REF!,#REF!,$B246,#REF!,CB$1)</f>
        <v>#REF!</v>
      </c>
      <c r="CC246" s="24" t="e">
        <f>SUMIFS(#REF!,#REF!,$B246,#REF!,CC$1)</f>
        <v>#REF!</v>
      </c>
      <c r="CD246" s="24" t="e">
        <f>SUMIFS(#REF!,#REF!,$B246,#REF!,CD$1)</f>
        <v>#REF!</v>
      </c>
      <c r="CE246" s="24" t="e">
        <f>SUMIFS(#REF!,#REF!,$B246,#REF!,CE$1)</f>
        <v>#REF!</v>
      </c>
      <c r="CF246" s="24" t="e">
        <f>SUMIFS(#REF!,#REF!,$B246,#REF!,CF$1)</f>
        <v>#REF!</v>
      </c>
      <c r="CG246" s="19" t="e">
        <f t="shared" si="3"/>
        <v>#REF!</v>
      </c>
    </row>
    <row r="247" spans="1:85" x14ac:dyDescent="0.45">
      <c r="A247" s="4" t="s">
        <v>1476</v>
      </c>
      <c r="B247" s="4" t="s">
        <v>1477</v>
      </c>
      <c r="C247" s="24" t="e">
        <f>SUMIFS(#REF!,#REF!,$B247,#REF!,C$1)</f>
        <v>#REF!</v>
      </c>
      <c r="D247" s="24" t="e">
        <f>SUMIFS(#REF!,#REF!,$B247,#REF!,D$1)</f>
        <v>#REF!</v>
      </c>
      <c r="E247" s="24" t="e">
        <f>SUMIFS(#REF!,#REF!,$B247,#REF!,E$1)</f>
        <v>#REF!</v>
      </c>
      <c r="F247" s="24" t="e">
        <f>SUMIFS(#REF!,#REF!,$B247,#REF!,F$1)</f>
        <v>#REF!</v>
      </c>
      <c r="G247" s="24" t="e">
        <f>SUMIFS(#REF!,#REF!,$B247,#REF!,G$1)</f>
        <v>#REF!</v>
      </c>
      <c r="H247" s="24" t="e">
        <f>SUMIFS(#REF!,#REF!,$B247,#REF!,H$1)</f>
        <v>#REF!</v>
      </c>
      <c r="I247" s="24" t="e">
        <f>SUMIFS(#REF!,#REF!,$B247,#REF!,I$1)</f>
        <v>#REF!</v>
      </c>
      <c r="J247" s="24" t="e">
        <f>SUMIFS(#REF!,#REF!,$B247,#REF!,J$1)</f>
        <v>#REF!</v>
      </c>
      <c r="K247" s="24" t="e">
        <f>SUMIFS(#REF!,#REF!,$B247,#REF!,K$1)</f>
        <v>#REF!</v>
      </c>
      <c r="L247" s="24" t="e">
        <f>SUMIFS(#REF!,#REF!,$B247,#REF!,L$1)</f>
        <v>#REF!</v>
      </c>
      <c r="M247" s="24" t="e">
        <f>SUMIFS(#REF!,#REF!,$B247,#REF!,M$1)</f>
        <v>#REF!</v>
      </c>
      <c r="N247" s="24" t="e">
        <f>SUMIFS(#REF!,#REF!,$B247,#REF!,N$1)</f>
        <v>#REF!</v>
      </c>
      <c r="O247" s="24" t="e">
        <f>SUMIFS(#REF!,#REF!,$B247,#REF!,O$1)</f>
        <v>#REF!</v>
      </c>
      <c r="P247" s="24" t="e">
        <f>SUMIFS(#REF!,#REF!,$B247,#REF!,P$1)</f>
        <v>#REF!</v>
      </c>
      <c r="Q247" s="24" t="e">
        <f>SUMIFS(#REF!,#REF!,$B247,#REF!,Q$1)</f>
        <v>#REF!</v>
      </c>
      <c r="R247" s="24" t="e">
        <f>SUMIFS(#REF!,#REF!,$B247,#REF!,R$1)</f>
        <v>#REF!</v>
      </c>
      <c r="S247" s="24" t="e">
        <f>SUMIFS(#REF!,#REF!,$B247,#REF!,S$1)</f>
        <v>#REF!</v>
      </c>
      <c r="T247" s="24" t="e">
        <f>SUMIFS(#REF!,#REF!,$B247,#REF!,T$1)</f>
        <v>#REF!</v>
      </c>
      <c r="U247" s="24" t="e">
        <f>SUMIFS(#REF!,#REF!,$B247,#REF!,U$1)</f>
        <v>#REF!</v>
      </c>
      <c r="V247" s="24" t="e">
        <f>SUMIFS(#REF!,#REF!,$B247,#REF!,V$1)</f>
        <v>#REF!</v>
      </c>
      <c r="W247" s="24" t="e">
        <f>SUMIFS(#REF!,#REF!,$B247,#REF!,W$1)</f>
        <v>#REF!</v>
      </c>
      <c r="X247" s="24" t="e">
        <f>SUMIFS(#REF!,#REF!,$B247,#REF!,X$1)</f>
        <v>#REF!</v>
      </c>
      <c r="Y247" s="24" t="e">
        <f>SUMIFS(#REF!,#REF!,$B247,#REF!,Y$1)</f>
        <v>#REF!</v>
      </c>
      <c r="Z247" s="24" t="e">
        <f>SUMIFS(#REF!,#REF!,$B247,#REF!,Z$1)</f>
        <v>#REF!</v>
      </c>
      <c r="AA247" s="24" t="e">
        <f>SUMIFS(#REF!,#REF!,$B247,#REF!,AA$1)</f>
        <v>#REF!</v>
      </c>
      <c r="AB247" s="24" t="e">
        <f>SUMIFS(#REF!,#REF!,$B247,#REF!,AB$1)</f>
        <v>#REF!</v>
      </c>
      <c r="AC247" s="24" t="e">
        <f>SUMIFS(#REF!,#REF!,$B247,#REF!,AC$1)</f>
        <v>#REF!</v>
      </c>
      <c r="AD247" s="24" t="e">
        <f>SUMIFS(#REF!,#REF!,$B247,#REF!,AD$1)</f>
        <v>#REF!</v>
      </c>
      <c r="AE247" s="24" t="e">
        <f>SUMIFS(#REF!,#REF!,$B247,#REF!,AE$1)</f>
        <v>#REF!</v>
      </c>
      <c r="AF247" s="24" t="e">
        <f>SUMIFS(#REF!,#REF!,$B247,#REF!,AF$1)</f>
        <v>#REF!</v>
      </c>
      <c r="AG247" s="24" t="e">
        <f>SUMIFS(#REF!,#REF!,$B247,#REF!,AG$1)</f>
        <v>#REF!</v>
      </c>
      <c r="AH247" s="24" t="e">
        <f>SUMIFS(#REF!,#REF!,$B247,#REF!,AH$1)</f>
        <v>#REF!</v>
      </c>
      <c r="AI247" s="24" t="e">
        <f>SUMIFS(#REF!,#REF!,$B247,#REF!,AI$1)</f>
        <v>#REF!</v>
      </c>
      <c r="AJ247" s="24" t="e">
        <f>SUMIFS(#REF!,#REF!,$B247,#REF!,AJ$1)</f>
        <v>#REF!</v>
      </c>
      <c r="AK247" s="24" t="e">
        <f>SUMIFS(#REF!,#REF!,$B247,#REF!,AK$1)</f>
        <v>#REF!</v>
      </c>
      <c r="AL247" s="24" t="e">
        <f>SUMIFS(#REF!,#REF!,$B247,#REF!,AL$1)</f>
        <v>#REF!</v>
      </c>
      <c r="AM247" s="24" t="e">
        <f>SUMIFS(#REF!,#REF!,$B247,#REF!,AM$1)</f>
        <v>#REF!</v>
      </c>
      <c r="AN247" s="24" t="e">
        <f>SUMIFS(#REF!,#REF!,$B247,#REF!,AN$1)</f>
        <v>#REF!</v>
      </c>
      <c r="AO247" s="24" t="e">
        <f>SUMIFS(#REF!,#REF!,$B247,#REF!,AO$1)</f>
        <v>#REF!</v>
      </c>
      <c r="AP247" s="24" t="e">
        <f>SUMIFS(#REF!,#REF!,$B247,#REF!,AP$1)</f>
        <v>#REF!</v>
      </c>
      <c r="AQ247" s="24" t="e">
        <f>SUMIFS(#REF!,#REF!,$B247,#REF!,AQ$1)</f>
        <v>#REF!</v>
      </c>
      <c r="AR247" s="24" t="e">
        <f>SUMIFS(#REF!,#REF!,$B247,#REF!,AR$1)</f>
        <v>#REF!</v>
      </c>
      <c r="AS247" s="24" t="e">
        <f>SUMIFS(#REF!,#REF!,$B247,#REF!,AS$1)</f>
        <v>#REF!</v>
      </c>
      <c r="AT247" s="24" t="e">
        <f>SUMIFS(#REF!,#REF!,$B247,#REF!,AT$1)</f>
        <v>#REF!</v>
      </c>
      <c r="AU247" s="24" t="e">
        <f>SUMIFS(#REF!,#REF!,$B247,#REF!,AU$1)</f>
        <v>#REF!</v>
      </c>
      <c r="AV247" s="24" t="e">
        <f>SUMIFS(#REF!,#REF!,$B247,#REF!,AV$1)</f>
        <v>#REF!</v>
      </c>
      <c r="AW247" s="24" t="e">
        <f>SUMIFS(#REF!,#REF!,$B247,#REF!,AW$1)</f>
        <v>#REF!</v>
      </c>
      <c r="AX247" s="24" t="e">
        <f>SUMIFS(#REF!,#REF!,$B247,#REF!,AX$1)</f>
        <v>#REF!</v>
      </c>
      <c r="AY247" s="24" t="e">
        <f>SUMIFS(#REF!,#REF!,$B247,#REF!,AY$1)</f>
        <v>#REF!</v>
      </c>
      <c r="AZ247" s="24" t="e">
        <f>SUMIFS(#REF!,#REF!,$B247,#REF!,AZ$1)</f>
        <v>#REF!</v>
      </c>
      <c r="BA247" s="24" t="e">
        <f>SUMIFS(#REF!,#REF!,$B247,#REF!,BA$1)</f>
        <v>#REF!</v>
      </c>
      <c r="BB247" s="24" t="e">
        <f>SUMIFS(#REF!,#REF!,$B247,#REF!,BB$1)</f>
        <v>#REF!</v>
      </c>
      <c r="BC247" s="24" t="e">
        <f>SUMIFS(#REF!,#REF!,$B247,#REF!,BC$1)</f>
        <v>#REF!</v>
      </c>
      <c r="BD247" s="24" t="e">
        <f>SUMIFS(#REF!,#REF!,$B247,#REF!,BD$1)</f>
        <v>#REF!</v>
      </c>
      <c r="BE247" s="24" t="e">
        <f>SUMIFS(#REF!,#REF!,$B247,#REF!,BE$1)</f>
        <v>#REF!</v>
      </c>
      <c r="BF247" s="24" t="e">
        <f>SUMIFS(#REF!,#REF!,$B247,#REF!,BF$1)</f>
        <v>#REF!</v>
      </c>
      <c r="BG247" s="24" t="e">
        <f>SUMIFS(#REF!,#REF!,$B247,#REF!,BG$1)</f>
        <v>#REF!</v>
      </c>
      <c r="BH247" s="24" t="e">
        <f>SUMIFS(#REF!,#REF!,$B247,#REF!,BH$1)</f>
        <v>#REF!</v>
      </c>
      <c r="BI247" s="24" t="e">
        <f>SUMIFS(#REF!,#REF!,$B247,#REF!,BI$1)</f>
        <v>#REF!</v>
      </c>
      <c r="BJ247" s="24" t="e">
        <f>SUMIFS(#REF!,#REF!,$B247,#REF!,BJ$1)</f>
        <v>#REF!</v>
      </c>
      <c r="BK247" s="24" t="e">
        <f>SUMIFS(#REF!,#REF!,$B247,#REF!,BK$1)</f>
        <v>#REF!</v>
      </c>
      <c r="BL247" s="24" t="e">
        <f>SUMIFS(#REF!,#REF!,$B247,#REF!,BL$1)</f>
        <v>#REF!</v>
      </c>
      <c r="BM247" s="24" t="e">
        <f>SUMIFS(#REF!,#REF!,$B247,#REF!,BM$1)</f>
        <v>#REF!</v>
      </c>
      <c r="BN247" s="24" t="e">
        <f>SUMIFS(#REF!,#REF!,$B247,#REF!,BN$1)</f>
        <v>#REF!</v>
      </c>
      <c r="BO247" s="24" t="e">
        <f>SUMIFS(#REF!,#REF!,$B247,#REF!,BO$1)</f>
        <v>#REF!</v>
      </c>
      <c r="BP247" s="24" t="e">
        <f>SUMIFS(#REF!,#REF!,$B247,#REF!,BP$1)</f>
        <v>#REF!</v>
      </c>
      <c r="BQ247" s="24" t="e">
        <f>SUMIFS(#REF!,#REF!,$B247,#REF!,BQ$1)</f>
        <v>#REF!</v>
      </c>
      <c r="BR247" s="24" t="e">
        <f>SUMIFS(#REF!,#REF!,$B247,#REF!,BR$1)</f>
        <v>#REF!</v>
      </c>
      <c r="BS247" s="24" t="e">
        <f>SUMIFS(#REF!,#REF!,$B247,#REF!,BS$1)</f>
        <v>#REF!</v>
      </c>
      <c r="BT247" s="24" t="e">
        <f>SUMIFS(#REF!,#REF!,$B247,#REF!,BT$1)</f>
        <v>#REF!</v>
      </c>
      <c r="BU247" s="24" t="e">
        <f>SUMIFS(#REF!,#REF!,$B247,#REF!,BU$1)</f>
        <v>#REF!</v>
      </c>
      <c r="BV247" s="24" t="e">
        <f>SUMIFS(#REF!,#REF!,$B247,#REF!,BV$1)</f>
        <v>#REF!</v>
      </c>
      <c r="BW247" s="24" t="e">
        <f>SUMIFS(#REF!,#REF!,$B247,#REF!,BW$1)</f>
        <v>#REF!</v>
      </c>
      <c r="BX247" s="24" t="e">
        <f>SUMIFS(#REF!,#REF!,$B247,#REF!,BX$1)</f>
        <v>#REF!</v>
      </c>
      <c r="BY247" s="24" t="e">
        <f>SUMIFS(#REF!,#REF!,$B247,#REF!,BY$1)</f>
        <v>#REF!</v>
      </c>
      <c r="BZ247" s="24" t="e">
        <f>SUMIFS(#REF!,#REF!,$B247,#REF!,BZ$1)</f>
        <v>#REF!</v>
      </c>
      <c r="CA247" s="24" t="e">
        <f>SUMIFS(#REF!,#REF!,$B247,#REF!,CA$1)</f>
        <v>#REF!</v>
      </c>
      <c r="CB247" s="24" t="e">
        <f>SUMIFS(#REF!,#REF!,$B247,#REF!,CB$1)</f>
        <v>#REF!</v>
      </c>
      <c r="CC247" s="24" t="e">
        <f>SUMIFS(#REF!,#REF!,$B247,#REF!,CC$1)</f>
        <v>#REF!</v>
      </c>
      <c r="CD247" s="24" t="e">
        <f>SUMIFS(#REF!,#REF!,$B247,#REF!,CD$1)</f>
        <v>#REF!</v>
      </c>
      <c r="CE247" s="24" t="e">
        <f>SUMIFS(#REF!,#REF!,$B247,#REF!,CE$1)</f>
        <v>#REF!</v>
      </c>
      <c r="CF247" s="24" t="e">
        <f>SUMIFS(#REF!,#REF!,$B247,#REF!,CF$1)</f>
        <v>#REF!</v>
      </c>
      <c r="CG247" s="19" t="e">
        <f t="shared" si="3"/>
        <v>#REF!</v>
      </c>
    </row>
    <row r="248" spans="1:85" x14ac:dyDescent="0.45">
      <c r="A248" s="4" t="s">
        <v>1478</v>
      </c>
      <c r="B248" s="4" t="s">
        <v>1479</v>
      </c>
      <c r="C248" s="24" t="e">
        <f>SUMIFS(#REF!,#REF!,$B248,#REF!,C$1)</f>
        <v>#REF!</v>
      </c>
      <c r="D248" s="24" t="e">
        <f>SUMIFS(#REF!,#REF!,$B248,#REF!,D$1)</f>
        <v>#REF!</v>
      </c>
      <c r="E248" s="24" t="e">
        <f>SUMIFS(#REF!,#REF!,$B248,#REF!,E$1)</f>
        <v>#REF!</v>
      </c>
      <c r="F248" s="24" t="e">
        <f>SUMIFS(#REF!,#REF!,$B248,#REF!,F$1)</f>
        <v>#REF!</v>
      </c>
      <c r="G248" s="24" t="e">
        <f>SUMIFS(#REF!,#REF!,$B248,#REF!,G$1)</f>
        <v>#REF!</v>
      </c>
      <c r="H248" s="24" t="e">
        <f>SUMIFS(#REF!,#REF!,$B248,#REF!,H$1)</f>
        <v>#REF!</v>
      </c>
      <c r="I248" s="24" t="e">
        <f>SUMIFS(#REF!,#REF!,$B248,#REF!,I$1)</f>
        <v>#REF!</v>
      </c>
      <c r="J248" s="24" t="e">
        <f>SUMIFS(#REF!,#REF!,$B248,#REF!,J$1)</f>
        <v>#REF!</v>
      </c>
      <c r="K248" s="24" t="e">
        <f>SUMIFS(#REF!,#REF!,$B248,#REF!,K$1)</f>
        <v>#REF!</v>
      </c>
      <c r="L248" s="24" t="e">
        <f>SUMIFS(#REF!,#REF!,$B248,#REF!,L$1)</f>
        <v>#REF!</v>
      </c>
      <c r="M248" s="24" t="e">
        <f>SUMIFS(#REF!,#REF!,$B248,#REF!,M$1)</f>
        <v>#REF!</v>
      </c>
      <c r="N248" s="24" t="e">
        <f>SUMIFS(#REF!,#REF!,$B248,#REF!,N$1)</f>
        <v>#REF!</v>
      </c>
      <c r="O248" s="24" t="e">
        <f>SUMIFS(#REF!,#REF!,$B248,#REF!,O$1)</f>
        <v>#REF!</v>
      </c>
      <c r="P248" s="24" t="e">
        <f>SUMIFS(#REF!,#REF!,$B248,#REF!,P$1)</f>
        <v>#REF!</v>
      </c>
      <c r="Q248" s="24" t="e">
        <f>SUMIFS(#REF!,#REF!,$B248,#REF!,Q$1)</f>
        <v>#REF!</v>
      </c>
      <c r="R248" s="24" t="e">
        <f>SUMIFS(#REF!,#REF!,$B248,#REF!,R$1)</f>
        <v>#REF!</v>
      </c>
      <c r="S248" s="24" t="e">
        <f>SUMIFS(#REF!,#REF!,$B248,#REF!,S$1)</f>
        <v>#REF!</v>
      </c>
      <c r="T248" s="24" t="e">
        <f>SUMIFS(#REF!,#REF!,$B248,#REF!,T$1)</f>
        <v>#REF!</v>
      </c>
      <c r="U248" s="24" t="e">
        <f>SUMIFS(#REF!,#REF!,$B248,#REF!,U$1)</f>
        <v>#REF!</v>
      </c>
      <c r="V248" s="24" t="e">
        <f>SUMIFS(#REF!,#REF!,$B248,#REF!,V$1)</f>
        <v>#REF!</v>
      </c>
      <c r="W248" s="24" t="e">
        <f>SUMIFS(#REF!,#REF!,$B248,#REF!,W$1)</f>
        <v>#REF!</v>
      </c>
      <c r="X248" s="24" t="e">
        <f>SUMIFS(#REF!,#REF!,$B248,#REF!,X$1)</f>
        <v>#REF!</v>
      </c>
      <c r="Y248" s="24" t="e">
        <f>SUMIFS(#REF!,#REF!,$B248,#REF!,Y$1)</f>
        <v>#REF!</v>
      </c>
      <c r="Z248" s="24" t="e">
        <f>SUMIFS(#REF!,#REF!,$B248,#REF!,Z$1)</f>
        <v>#REF!</v>
      </c>
      <c r="AA248" s="24" t="e">
        <f>SUMIFS(#REF!,#REF!,$B248,#REF!,AA$1)</f>
        <v>#REF!</v>
      </c>
      <c r="AB248" s="24" t="e">
        <f>SUMIFS(#REF!,#REF!,$B248,#REF!,AB$1)</f>
        <v>#REF!</v>
      </c>
      <c r="AC248" s="24" t="e">
        <f>SUMIFS(#REF!,#REF!,$B248,#REF!,AC$1)</f>
        <v>#REF!</v>
      </c>
      <c r="AD248" s="24" t="e">
        <f>SUMIFS(#REF!,#REF!,$B248,#REF!,AD$1)</f>
        <v>#REF!</v>
      </c>
      <c r="AE248" s="24" t="e">
        <f>SUMIFS(#REF!,#REF!,$B248,#REF!,AE$1)</f>
        <v>#REF!</v>
      </c>
      <c r="AF248" s="24" t="e">
        <f>SUMIFS(#REF!,#REF!,$B248,#REF!,AF$1)</f>
        <v>#REF!</v>
      </c>
      <c r="AG248" s="24" t="e">
        <f>SUMIFS(#REF!,#REF!,$B248,#REF!,AG$1)</f>
        <v>#REF!</v>
      </c>
      <c r="AH248" s="24" t="e">
        <f>SUMIFS(#REF!,#REF!,$B248,#REF!,AH$1)</f>
        <v>#REF!</v>
      </c>
      <c r="AI248" s="24" t="e">
        <f>SUMIFS(#REF!,#REF!,$B248,#REF!,AI$1)</f>
        <v>#REF!</v>
      </c>
      <c r="AJ248" s="24" t="e">
        <f>SUMIFS(#REF!,#REF!,$B248,#REF!,AJ$1)</f>
        <v>#REF!</v>
      </c>
      <c r="AK248" s="24" t="e">
        <f>SUMIFS(#REF!,#REF!,$B248,#REF!,AK$1)</f>
        <v>#REF!</v>
      </c>
      <c r="AL248" s="24" t="e">
        <f>SUMIFS(#REF!,#REF!,$B248,#REF!,AL$1)</f>
        <v>#REF!</v>
      </c>
      <c r="AM248" s="24" t="e">
        <f>SUMIFS(#REF!,#REF!,$B248,#REF!,AM$1)</f>
        <v>#REF!</v>
      </c>
      <c r="AN248" s="24" t="e">
        <f>SUMIFS(#REF!,#REF!,$B248,#REF!,AN$1)</f>
        <v>#REF!</v>
      </c>
      <c r="AO248" s="24" t="e">
        <f>SUMIFS(#REF!,#REF!,$B248,#REF!,AO$1)</f>
        <v>#REF!</v>
      </c>
      <c r="AP248" s="24" t="e">
        <f>SUMIFS(#REF!,#REF!,$B248,#REF!,AP$1)</f>
        <v>#REF!</v>
      </c>
      <c r="AQ248" s="24" t="e">
        <f>SUMIFS(#REF!,#REF!,$B248,#REF!,AQ$1)</f>
        <v>#REF!</v>
      </c>
      <c r="AR248" s="24" t="e">
        <f>SUMIFS(#REF!,#REF!,$B248,#REF!,AR$1)</f>
        <v>#REF!</v>
      </c>
      <c r="AS248" s="24" t="e">
        <f>SUMIFS(#REF!,#REF!,$B248,#REF!,AS$1)</f>
        <v>#REF!</v>
      </c>
      <c r="AT248" s="24" t="e">
        <f>SUMIFS(#REF!,#REF!,$B248,#REF!,AT$1)</f>
        <v>#REF!</v>
      </c>
      <c r="AU248" s="24" t="e">
        <f>SUMIFS(#REF!,#REF!,$B248,#REF!,AU$1)</f>
        <v>#REF!</v>
      </c>
      <c r="AV248" s="24" t="e">
        <f>SUMIFS(#REF!,#REF!,$B248,#REF!,AV$1)</f>
        <v>#REF!</v>
      </c>
      <c r="AW248" s="24" t="e">
        <f>SUMIFS(#REF!,#REF!,$B248,#REF!,AW$1)</f>
        <v>#REF!</v>
      </c>
      <c r="AX248" s="24" t="e">
        <f>SUMIFS(#REF!,#REF!,$B248,#REF!,AX$1)</f>
        <v>#REF!</v>
      </c>
      <c r="AY248" s="24" t="e">
        <f>SUMIFS(#REF!,#REF!,$B248,#REF!,AY$1)</f>
        <v>#REF!</v>
      </c>
      <c r="AZ248" s="24" t="e">
        <f>SUMIFS(#REF!,#REF!,$B248,#REF!,AZ$1)</f>
        <v>#REF!</v>
      </c>
      <c r="BA248" s="24" t="e">
        <f>SUMIFS(#REF!,#REF!,$B248,#REF!,BA$1)</f>
        <v>#REF!</v>
      </c>
      <c r="BB248" s="24" t="e">
        <f>SUMIFS(#REF!,#REF!,$B248,#REF!,BB$1)</f>
        <v>#REF!</v>
      </c>
      <c r="BC248" s="24" t="e">
        <f>SUMIFS(#REF!,#REF!,$B248,#REF!,BC$1)</f>
        <v>#REF!</v>
      </c>
      <c r="BD248" s="24" t="e">
        <f>SUMIFS(#REF!,#REF!,$B248,#REF!,BD$1)</f>
        <v>#REF!</v>
      </c>
      <c r="BE248" s="24" t="e">
        <f>SUMIFS(#REF!,#REF!,$B248,#REF!,BE$1)</f>
        <v>#REF!</v>
      </c>
      <c r="BF248" s="24" t="e">
        <f>SUMIFS(#REF!,#REF!,$B248,#REF!,BF$1)</f>
        <v>#REF!</v>
      </c>
      <c r="BG248" s="24" t="e">
        <f>SUMIFS(#REF!,#REF!,$B248,#REF!,BG$1)</f>
        <v>#REF!</v>
      </c>
      <c r="BH248" s="24" t="e">
        <f>SUMIFS(#REF!,#REF!,$B248,#REF!,BH$1)</f>
        <v>#REF!</v>
      </c>
      <c r="BI248" s="24" t="e">
        <f>SUMIFS(#REF!,#REF!,$B248,#REF!,BI$1)</f>
        <v>#REF!</v>
      </c>
      <c r="BJ248" s="24" t="e">
        <f>SUMIFS(#REF!,#REF!,$B248,#REF!,BJ$1)</f>
        <v>#REF!</v>
      </c>
      <c r="BK248" s="24" t="e">
        <f>SUMIFS(#REF!,#REF!,$B248,#REF!,BK$1)</f>
        <v>#REF!</v>
      </c>
      <c r="BL248" s="24" t="e">
        <f>SUMIFS(#REF!,#REF!,$B248,#REF!,BL$1)</f>
        <v>#REF!</v>
      </c>
      <c r="BM248" s="24" t="e">
        <f>SUMIFS(#REF!,#REF!,$B248,#REF!,BM$1)</f>
        <v>#REF!</v>
      </c>
      <c r="BN248" s="24" t="e">
        <f>SUMIFS(#REF!,#REF!,$B248,#REF!,BN$1)</f>
        <v>#REF!</v>
      </c>
      <c r="BO248" s="24" t="e">
        <f>SUMIFS(#REF!,#REF!,$B248,#REF!,BO$1)</f>
        <v>#REF!</v>
      </c>
      <c r="BP248" s="24" t="e">
        <f>SUMIFS(#REF!,#REF!,$B248,#REF!,BP$1)</f>
        <v>#REF!</v>
      </c>
      <c r="BQ248" s="24" t="e">
        <f>SUMIFS(#REF!,#REF!,$B248,#REF!,BQ$1)</f>
        <v>#REF!</v>
      </c>
      <c r="BR248" s="24" t="e">
        <f>SUMIFS(#REF!,#REF!,$B248,#REF!,BR$1)</f>
        <v>#REF!</v>
      </c>
      <c r="BS248" s="24" t="e">
        <f>SUMIFS(#REF!,#REF!,$B248,#REF!,BS$1)</f>
        <v>#REF!</v>
      </c>
      <c r="BT248" s="24" t="e">
        <f>SUMIFS(#REF!,#REF!,$B248,#REF!,BT$1)</f>
        <v>#REF!</v>
      </c>
      <c r="BU248" s="24" t="e">
        <f>SUMIFS(#REF!,#REF!,$B248,#REF!,BU$1)</f>
        <v>#REF!</v>
      </c>
      <c r="BV248" s="24" t="e">
        <f>SUMIFS(#REF!,#REF!,$B248,#REF!,BV$1)</f>
        <v>#REF!</v>
      </c>
      <c r="BW248" s="24" t="e">
        <f>SUMIFS(#REF!,#REF!,$B248,#REF!,BW$1)</f>
        <v>#REF!</v>
      </c>
      <c r="BX248" s="24" t="e">
        <f>SUMIFS(#REF!,#REF!,$B248,#REF!,BX$1)</f>
        <v>#REF!</v>
      </c>
      <c r="BY248" s="24" t="e">
        <f>SUMIFS(#REF!,#REF!,$B248,#REF!,BY$1)</f>
        <v>#REF!</v>
      </c>
      <c r="BZ248" s="24" t="e">
        <f>SUMIFS(#REF!,#REF!,$B248,#REF!,BZ$1)</f>
        <v>#REF!</v>
      </c>
      <c r="CA248" s="24" t="e">
        <f>SUMIFS(#REF!,#REF!,$B248,#REF!,CA$1)</f>
        <v>#REF!</v>
      </c>
      <c r="CB248" s="24" t="e">
        <f>SUMIFS(#REF!,#REF!,$B248,#REF!,CB$1)</f>
        <v>#REF!</v>
      </c>
      <c r="CC248" s="24" t="e">
        <f>SUMIFS(#REF!,#REF!,$B248,#REF!,CC$1)</f>
        <v>#REF!</v>
      </c>
      <c r="CD248" s="24" t="e">
        <f>SUMIFS(#REF!,#REF!,$B248,#REF!,CD$1)</f>
        <v>#REF!</v>
      </c>
      <c r="CE248" s="24" t="e">
        <f>SUMIFS(#REF!,#REF!,$B248,#REF!,CE$1)</f>
        <v>#REF!</v>
      </c>
      <c r="CF248" s="24" t="e">
        <f>SUMIFS(#REF!,#REF!,$B248,#REF!,CF$1)</f>
        <v>#REF!</v>
      </c>
      <c r="CG248" s="19" t="e">
        <f t="shared" si="3"/>
        <v>#REF!</v>
      </c>
    </row>
    <row r="249" spans="1:85" x14ac:dyDescent="0.45">
      <c r="A249" s="4" t="s">
        <v>1480</v>
      </c>
      <c r="B249" s="4" t="s">
        <v>1481</v>
      </c>
      <c r="C249" s="24" t="e">
        <f>SUMIFS(#REF!,#REF!,$B249,#REF!,C$1)</f>
        <v>#REF!</v>
      </c>
      <c r="D249" s="24" t="e">
        <f>SUMIFS(#REF!,#REF!,$B249,#REF!,D$1)</f>
        <v>#REF!</v>
      </c>
      <c r="E249" s="24" t="e">
        <f>SUMIFS(#REF!,#REF!,$B249,#REF!,E$1)</f>
        <v>#REF!</v>
      </c>
      <c r="F249" s="24" t="e">
        <f>SUMIFS(#REF!,#REF!,$B249,#REF!,F$1)</f>
        <v>#REF!</v>
      </c>
      <c r="G249" s="24" t="e">
        <f>SUMIFS(#REF!,#REF!,$B249,#REF!,G$1)</f>
        <v>#REF!</v>
      </c>
      <c r="H249" s="24" t="e">
        <f>SUMIFS(#REF!,#REF!,$B249,#REF!,H$1)</f>
        <v>#REF!</v>
      </c>
      <c r="I249" s="24" t="e">
        <f>SUMIFS(#REF!,#REF!,$B249,#REF!,I$1)</f>
        <v>#REF!</v>
      </c>
      <c r="J249" s="24" t="e">
        <f>SUMIFS(#REF!,#REF!,$B249,#REF!,J$1)</f>
        <v>#REF!</v>
      </c>
      <c r="K249" s="24" t="e">
        <f>SUMIFS(#REF!,#REF!,$B249,#REF!,K$1)</f>
        <v>#REF!</v>
      </c>
      <c r="L249" s="24" t="e">
        <f>SUMIFS(#REF!,#REF!,$B249,#REF!,L$1)</f>
        <v>#REF!</v>
      </c>
      <c r="M249" s="24" t="e">
        <f>SUMIFS(#REF!,#REF!,$B249,#REF!,M$1)</f>
        <v>#REF!</v>
      </c>
      <c r="N249" s="24" t="e">
        <f>SUMIFS(#REF!,#REF!,$B249,#REF!,N$1)</f>
        <v>#REF!</v>
      </c>
      <c r="O249" s="24" t="e">
        <f>SUMIFS(#REF!,#REF!,$B249,#REF!,O$1)</f>
        <v>#REF!</v>
      </c>
      <c r="P249" s="24" t="e">
        <f>SUMIFS(#REF!,#REF!,$B249,#REF!,P$1)</f>
        <v>#REF!</v>
      </c>
      <c r="Q249" s="24" t="e">
        <f>SUMIFS(#REF!,#REF!,$B249,#REF!,Q$1)</f>
        <v>#REF!</v>
      </c>
      <c r="R249" s="24" t="e">
        <f>SUMIFS(#REF!,#REF!,$B249,#REF!,R$1)</f>
        <v>#REF!</v>
      </c>
      <c r="S249" s="24" t="e">
        <f>SUMIFS(#REF!,#REF!,$B249,#REF!,S$1)</f>
        <v>#REF!</v>
      </c>
      <c r="T249" s="24" t="e">
        <f>SUMIFS(#REF!,#REF!,$B249,#REF!,T$1)</f>
        <v>#REF!</v>
      </c>
      <c r="U249" s="24" t="e">
        <f>SUMIFS(#REF!,#REF!,$B249,#REF!,U$1)</f>
        <v>#REF!</v>
      </c>
      <c r="V249" s="24" t="e">
        <f>SUMIFS(#REF!,#REF!,$B249,#REF!,V$1)</f>
        <v>#REF!</v>
      </c>
      <c r="W249" s="24" t="e">
        <f>SUMIFS(#REF!,#REF!,$B249,#REF!,W$1)</f>
        <v>#REF!</v>
      </c>
      <c r="X249" s="24" t="e">
        <f>SUMIFS(#REF!,#REF!,$B249,#REF!,X$1)</f>
        <v>#REF!</v>
      </c>
      <c r="Y249" s="24" t="e">
        <f>SUMIFS(#REF!,#REF!,$B249,#REF!,Y$1)</f>
        <v>#REF!</v>
      </c>
      <c r="Z249" s="24" t="e">
        <f>SUMIFS(#REF!,#REF!,$B249,#REF!,Z$1)</f>
        <v>#REF!</v>
      </c>
      <c r="AA249" s="24" t="e">
        <f>SUMIFS(#REF!,#REF!,$B249,#REF!,AA$1)</f>
        <v>#REF!</v>
      </c>
      <c r="AB249" s="24" t="e">
        <f>SUMIFS(#REF!,#REF!,$B249,#REF!,AB$1)</f>
        <v>#REF!</v>
      </c>
      <c r="AC249" s="24" t="e">
        <f>SUMIFS(#REF!,#REF!,$B249,#REF!,AC$1)</f>
        <v>#REF!</v>
      </c>
      <c r="AD249" s="24" t="e">
        <f>SUMIFS(#REF!,#REF!,$B249,#REF!,AD$1)</f>
        <v>#REF!</v>
      </c>
      <c r="AE249" s="24" t="e">
        <f>SUMIFS(#REF!,#REF!,$B249,#REF!,AE$1)</f>
        <v>#REF!</v>
      </c>
      <c r="AF249" s="24" t="e">
        <f>SUMIFS(#REF!,#REF!,$B249,#REF!,AF$1)</f>
        <v>#REF!</v>
      </c>
      <c r="AG249" s="24" t="e">
        <f>SUMIFS(#REF!,#REF!,$B249,#REF!,AG$1)</f>
        <v>#REF!</v>
      </c>
      <c r="AH249" s="24" t="e">
        <f>SUMIFS(#REF!,#REF!,$B249,#REF!,AH$1)</f>
        <v>#REF!</v>
      </c>
      <c r="AI249" s="24" t="e">
        <f>SUMIFS(#REF!,#REF!,$B249,#REF!,AI$1)</f>
        <v>#REF!</v>
      </c>
      <c r="AJ249" s="24" t="e">
        <f>SUMIFS(#REF!,#REF!,$B249,#REF!,AJ$1)</f>
        <v>#REF!</v>
      </c>
      <c r="AK249" s="24" t="e">
        <f>SUMIFS(#REF!,#REF!,$B249,#REF!,AK$1)</f>
        <v>#REF!</v>
      </c>
      <c r="AL249" s="24" t="e">
        <f>SUMIFS(#REF!,#REF!,$B249,#REF!,AL$1)</f>
        <v>#REF!</v>
      </c>
      <c r="AM249" s="24" t="e">
        <f>SUMIFS(#REF!,#REF!,$B249,#REF!,AM$1)</f>
        <v>#REF!</v>
      </c>
      <c r="AN249" s="24" t="e">
        <f>SUMIFS(#REF!,#REF!,$B249,#REF!,AN$1)</f>
        <v>#REF!</v>
      </c>
      <c r="AO249" s="24" t="e">
        <f>SUMIFS(#REF!,#REF!,$B249,#REF!,AO$1)</f>
        <v>#REF!</v>
      </c>
      <c r="AP249" s="24" t="e">
        <f>SUMIFS(#REF!,#REF!,$B249,#REF!,AP$1)</f>
        <v>#REF!</v>
      </c>
      <c r="AQ249" s="24" t="e">
        <f>SUMIFS(#REF!,#REF!,$B249,#REF!,AQ$1)</f>
        <v>#REF!</v>
      </c>
      <c r="AR249" s="24" t="e">
        <f>SUMIFS(#REF!,#REF!,$B249,#REF!,AR$1)</f>
        <v>#REF!</v>
      </c>
      <c r="AS249" s="24" t="e">
        <f>SUMIFS(#REF!,#REF!,$B249,#REF!,AS$1)</f>
        <v>#REF!</v>
      </c>
      <c r="AT249" s="24" t="e">
        <f>SUMIFS(#REF!,#REF!,$B249,#REF!,AT$1)</f>
        <v>#REF!</v>
      </c>
      <c r="AU249" s="24" t="e">
        <f>SUMIFS(#REF!,#REF!,$B249,#REF!,AU$1)</f>
        <v>#REF!</v>
      </c>
      <c r="AV249" s="24" t="e">
        <f>SUMIFS(#REF!,#REF!,$B249,#REF!,AV$1)</f>
        <v>#REF!</v>
      </c>
      <c r="AW249" s="24" t="e">
        <f>SUMIFS(#REF!,#REF!,$B249,#REF!,AW$1)</f>
        <v>#REF!</v>
      </c>
      <c r="AX249" s="24" t="e">
        <f>SUMIFS(#REF!,#REF!,$B249,#REF!,AX$1)</f>
        <v>#REF!</v>
      </c>
      <c r="AY249" s="24" t="e">
        <f>SUMIFS(#REF!,#REF!,$B249,#REF!,AY$1)</f>
        <v>#REF!</v>
      </c>
      <c r="AZ249" s="24" t="e">
        <f>SUMIFS(#REF!,#REF!,$B249,#REF!,AZ$1)</f>
        <v>#REF!</v>
      </c>
      <c r="BA249" s="24" t="e">
        <f>SUMIFS(#REF!,#REF!,$B249,#REF!,BA$1)</f>
        <v>#REF!</v>
      </c>
      <c r="BB249" s="24" t="e">
        <f>SUMIFS(#REF!,#REF!,$B249,#REF!,BB$1)</f>
        <v>#REF!</v>
      </c>
      <c r="BC249" s="24" t="e">
        <f>SUMIFS(#REF!,#REF!,$B249,#REF!,BC$1)</f>
        <v>#REF!</v>
      </c>
      <c r="BD249" s="24" t="e">
        <f>SUMIFS(#REF!,#REF!,$B249,#REF!,BD$1)</f>
        <v>#REF!</v>
      </c>
      <c r="BE249" s="24" t="e">
        <f>SUMIFS(#REF!,#REF!,$B249,#REF!,BE$1)</f>
        <v>#REF!</v>
      </c>
      <c r="BF249" s="24" t="e">
        <f>SUMIFS(#REF!,#REF!,$B249,#REF!,BF$1)</f>
        <v>#REF!</v>
      </c>
      <c r="BG249" s="24" t="e">
        <f>SUMIFS(#REF!,#REF!,$B249,#REF!,BG$1)</f>
        <v>#REF!</v>
      </c>
      <c r="BH249" s="24" t="e">
        <f>SUMIFS(#REF!,#REF!,$B249,#REF!,BH$1)</f>
        <v>#REF!</v>
      </c>
      <c r="BI249" s="24" t="e">
        <f>SUMIFS(#REF!,#REF!,$B249,#REF!,BI$1)</f>
        <v>#REF!</v>
      </c>
      <c r="BJ249" s="24" t="e">
        <f>SUMIFS(#REF!,#REF!,$B249,#REF!,BJ$1)</f>
        <v>#REF!</v>
      </c>
      <c r="BK249" s="24" t="e">
        <f>SUMIFS(#REF!,#REF!,$B249,#REF!,BK$1)</f>
        <v>#REF!</v>
      </c>
      <c r="BL249" s="24" t="e">
        <f>SUMIFS(#REF!,#REF!,$B249,#REF!,BL$1)</f>
        <v>#REF!</v>
      </c>
      <c r="BM249" s="24" t="e">
        <f>SUMIFS(#REF!,#REF!,$B249,#REF!,BM$1)</f>
        <v>#REF!</v>
      </c>
      <c r="BN249" s="24" t="e">
        <f>SUMIFS(#REF!,#REF!,$B249,#REF!,BN$1)</f>
        <v>#REF!</v>
      </c>
      <c r="BO249" s="24" t="e">
        <f>SUMIFS(#REF!,#REF!,$B249,#REF!,BO$1)</f>
        <v>#REF!</v>
      </c>
      <c r="BP249" s="24" t="e">
        <f>SUMIFS(#REF!,#REF!,$B249,#REF!,BP$1)</f>
        <v>#REF!</v>
      </c>
      <c r="BQ249" s="24" t="e">
        <f>SUMIFS(#REF!,#REF!,$B249,#REF!,BQ$1)</f>
        <v>#REF!</v>
      </c>
      <c r="BR249" s="24" t="e">
        <f>SUMIFS(#REF!,#REF!,$B249,#REF!,BR$1)</f>
        <v>#REF!</v>
      </c>
      <c r="BS249" s="24" t="e">
        <f>SUMIFS(#REF!,#REF!,$B249,#REF!,BS$1)</f>
        <v>#REF!</v>
      </c>
      <c r="BT249" s="24" t="e">
        <f>SUMIFS(#REF!,#REF!,$B249,#REF!,BT$1)</f>
        <v>#REF!</v>
      </c>
      <c r="BU249" s="24" t="e">
        <f>SUMIFS(#REF!,#REF!,$B249,#REF!,BU$1)</f>
        <v>#REF!</v>
      </c>
      <c r="BV249" s="24" t="e">
        <f>SUMIFS(#REF!,#REF!,$B249,#REF!,BV$1)</f>
        <v>#REF!</v>
      </c>
      <c r="BW249" s="24" t="e">
        <f>SUMIFS(#REF!,#REF!,$B249,#REF!,BW$1)</f>
        <v>#REF!</v>
      </c>
      <c r="BX249" s="24" t="e">
        <f>SUMIFS(#REF!,#REF!,$B249,#REF!,BX$1)</f>
        <v>#REF!</v>
      </c>
      <c r="BY249" s="24" t="e">
        <f>SUMIFS(#REF!,#REF!,$B249,#REF!,BY$1)</f>
        <v>#REF!</v>
      </c>
      <c r="BZ249" s="24" t="e">
        <f>SUMIFS(#REF!,#REF!,$B249,#REF!,BZ$1)</f>
        <v>#REF!</v>
      </c>
      <c r="CA249" s="24" t="e">
        <f>SUMIFS(#REF!,#REF!,$B249,#REF!,CA$1)</f>
        <v>#REF!</v>
      </c>
      <c r="CB249" s="24" t="e">
        <f>SUMIFS(#REF!,#REF!,$B249,#REF!,CB$1)</f>
        <v>#REF!</v>
      </c>
      <c r="CC249" s="24" t="e">
        <f>SUMIFS(#REF!,#REF!,$B249,#REF!,CC$1)</f>
        <v>#REF!</v>
      </c>
      <c r="CD249" s="24" t="e">
        <f>SUMIFS(#REF!,#REF!,$B249,#REF!,CD$1)</f>
        <v>#REF!</v>
      </c>
      <c r="CE249" s="24" t="e">
        <f>SUMIFS(#REF!,#REF!,$B249,#REF!,CE$1)</f>
        <v>#REF!</v>
      </c>
      <c r="CF249" s="24" t="e">
        <f>SUMIFS(#REF!,#REF!,$B249,#REF!,CF$1)</f>
        <v>#REF!</v>
      </c>
      <c r="CG249" s="19" t="e">
        <f t="shared" si="3"/>
        <v>#REF!</v>
      </c>
    </row>
    <row r="250" spans="1:85" x14ac:dyDescent="0.45">
      <c r="A250" s="4" t="s">
        <v>1482</v>
      </c>
      <c r="B250" s="4" t="s">
        <v>1483</v>
      </c>
      <c r="C250" s="24" t="e">
        <f>SUMIFS(#REF!,#REF!,$B250,#REF!,C$1)</f>
        <v>#REF!</v>
      </c>
      <c r="D250" s="24" t="e">
        <f>SUMIFS(#REF!,#REF!,$B250,#REF!,D$1)</f>
        <v>#REF!</v>
      </c>
      <c r="E250" s="24" t="e">
        <f>SUMIFS(#REF!,#REF!,$B250,#REF!,E$1)</f>
        <v>#REF!</v>
      </c>
      <c r="F250" s="24" t="e">
        <f>SUMIFS(#REF!,#REF!,$B250,#REF!,F$1)</f>
        <v>#REF!</v>
      </c>
      <c r="G250" s="24" t="e">
        <f>SUMIFS(#REF!,#REF!,$B250,#REF!,G$1)</f>
        <v>#REF!</v>
      </c>
      <c r="H250" s="24" t="e">
        <f>SUMIFS(#REF!,#REF!,$B250,#REF!,H$1)</f>
        <v>#REF!</v>
      </c>
      <c r="I250" s="24" t="e">
        <f>SUMIFS(#REF!,#REF!,$B250,#REF!,I$1)</f>
        <v>#REF!</v>
      </c>
      <c r="J250" s="24" t="e">
        <f>SUMIFS(#REF!,#REF!,$B250,#REF!,J$1)</f>
        <v>#REF!</v>
      </c>
      <c r="K250" s="24" t="e">
        <f>SUMIFS(#REF!,#REF!,$B250,#REF!,K$1)</f>
        <v>#REF!</v>
      </c>
      <c r="L250" s="24" t="e">
        <f>SUMIFS(#REF!,#REF!,$B250,#REF!,L$1)</f>
        <v>#REF!</v>
      </c>
      <c r="M250" s="24" t="e">
        <f>SUMIFS(#REF!,#REF!,$B250,#REF!,M$1)</f>
        <v>#REF!</v>
      </c>
      <c r="N250" s="24" t="e">
        <f>SUMIFS(#REF!,#REF!,$B250,#REF!,N$1)</f>
        <v>#REF!</v>
      </c>
      <c r="O250" s="24" t="e">
        <f>SUMIFS(#REF!,#REF!,$B250,#REF!,O$1)</f>
        <v>#REF!</v>
      </c>
      <c r="P250" s="24" t="e">
        <f>SUMIFS(#REF!,#REF!,$B250,#REF!,P$1)</f>
        <v>#REF!</v>
      </c>
      <c r="Q250" s="24" t="e">
        <f>SUMIFS(#REF!,#REF!,$B250,#REF!,Q$1)</f>
        <v>#REF!</v>
      </c>
      <c r="R250" s="24" t="e">
        <f>SUMIFS(#REF!,#REF!,$B250,#REF!,R$1)</f>
        <v>#REF!</v>
      </c>
      <c r="S250" s="24" t="e">
        <f>SUMIFS(#REF!,#REF!,$B250,#REF!,S$1)</f>
        <v>#REF!</v>
      </c>
      <c r="T250" s="24" t="e">
        <f>SUMIFS(#REF!,#REF!,$B250,#REF!,T$1)</f>
        <v>#REF!</v>
      </c>
      <c r="U250" s="24" t="e">
        <f>SUMIFS(#REF!,#REF!,$B250,#REF!,U$1)</f>
        <v>#REF!</v>
      </c>
      <c r="V250" s="24" t="e">
        <f>SUMIFS(#REF!,#REF!,$B250,#REF!,V$1)</f>
        <v>#REF!</v>
      </c>
      <c r="W250" s="24" t="e">
        <f>SUMIFS(#REF!,#REF!,$B250,#REF!,W$1)</f>
        <v>#REF!</v>
      </c>
      <c r="X250" s="24" t="e">
        <f>SUMIFS(#REF!,#REF!,$B250,#REF!,X$1)</f>
        <v>#REF!</v>
      </c>
      <c r="Y250" s="24" t="e">
        <f>SUMIFS(#REF!,#REF!,$B250,#REF!,Y$1)</f>
        <v>#REF!</v>
      </c>
      <c r="Z250" s="24" t="e">
        <f>SUMIFS(#REF!,#REF!,$B250,#REF!,Z$1)</f>
        <v>#REF!</v>
      </c>
      <c r="AA250" s="24" t="e">
        <f>SUMIFS(#REF!,#REF!,$B250,#REF!,AA$1)</f>
        <v>#REF!</v>
      </c>
      <c r="AB250" s="24" t="e">
        <f>SUMIFS(#REF!,#REF!,$B250,#REF!,AB$1)</f>
        <v>#REF!</v>
      </c>
      <c r="AC250" s="24" t="e">
        <f>SUMIFS(#REF!,#REF!,$B250,#REF!,AC$1)</f>
        <v>#REF!</v>
      </c>
      <c r="AD250" s="24" t="e">
        <f>SUMIFS(#REF!,#REF!,$B250,#REF!,AD$1)</f>
        <v>#REF!</v>
      </c>
      <c r="AE250" s="24" t="e">
        <f>SUMIFS(#REF!,#REF!,$B250,#REF!,AE$1)</f>
        <v>#REF!</v>
      </c>
      <c r="AF250" s="24" t="e">
        <f>SUMIFS(#REF!,#REF!,$B250,#REF!,AF$1)</f>
        <v>#REF!</v>
      </c>
      <c r="AG250" s="24" t="e">
        <f>SUMIFS(#REF!,#REF!,$B250,#REF!,AG$1)</f>
        <v>#REF!</v>
      </c>
      <c r="AH250" s="24" t="e">
        <f>SUMIFS(#REF!,#REF!,$B250,#REF!,AH$1)</f>
        <v>#REF!</v>
      </c>
      <c r="AI250" s="24" t="e">
        <f>SUMIFS(#REF!,#REF!,$B250,#REF!,AI$1)</f>
        <v>#REF!</v>
      </c>
      <c r="AJ250" s="24" t="e">
        <f>SUMIFS(#REF!,#REF!,$B250,#REF!,AJ$1)</f>
        <v>#REF!</v>
      </c>
      <c r="AK250" s="24" t="e">
        <f>SUMIFS(#REF!,#REF!,$B250,#REF!,AK$1)</f>
        <v>#REF!</v>
      </c>
      <c r="AL250" s="24" t="e">
        <f>SUMIFS(#REF!,#REF!,$B250,#REF!,AL$1)</f>
        <v>#REF!</v>
      </c>
      <c r="AM250" s="24" t="e">
        <f>SUMIFS(#REF!,#REF!,$B250,#REF!,AM$1)</f>
        <v>#REF!</v>
      </c>
      <c r="AN250" s="24" t="e">
        <f>SUMIFS(#REF!,#REF!,$B250,#REF!,AN$1)</f>
        <v>#REF!</v>
      </c>
      <c r="AO250" s="24" t="e">
        <f>SUMIFS(#REF!,#REF!,$B250,#REF!,AO$1)</f>
        <v>#REF!</v>
      </c>
      <c r="AP250" s="24" t="e">
        <f>SUMIFS(#REF!,#REF!,$B250,#REF!,AP$1)</f>
        <v>#REF!</v>
      </c>
      <c r="AQ250" s="24" t="e">
        <f>SUMIFS(#REF!,#REF!,$B250,#REF!,AQ$1)</f>
        <v>#REF!</v>
      </c>
      <c r="AR250" s="24" t="e">
        <f>SUMIFS(#REF!,#REF!,$B250,#REF!,AR$1)</f>
        <v>#REF!</v>
      </c>
      <c r="AS250" s="24" t="e">
        <f>SUMIFS(#REF!,#REF!,$B250,#REF!,AS$1)</f>
        <v>#REF!</v>
      </c>
      <c r="AT250" s="24" t="e">
        <f>SUMIFS(#REF!,#REF!,$B250,#REF!,AT$1)</f>
        <v>#REF!</v>
      </c>
      <c r="AU250" s="24" t="e">
        <f>SUMIFS(#REF!,#REF!,$B250,#REF!,AU$1)</f>
        <v>#REF!</v>
      </c>
      <c r="AV250" s="24" t="e">
        <f>SUMIFS(#REF!,#REF!,$B250,#REF!,AV$1)</f>
        <v>#REF!</v>
      </c>
      <c r="AW250" s="24" t="e">
        <f>SUMIFS(#REF!,#REF!,$B250,#REF!,AW$1)</f>
        <v>#REF!</v>
      </c>
      <c r="AX250" s="24" t="e">
        <f>SUMIFS(#REF!,#REF!,$B250,#REF!,AX$1)</f>
        <v>#REF!</v>
      </c>
      <c r="AY250" s="24" t="e">
        <f>SUMIFS(#REF!,#REF!,$B250,#REF!,AY$1)</f>
        <v>#REF!</v>
      </c>
      <c r="AZ250" s="24" t="e">
        <f>SUMIFS(#REF!,#REF!,$B250,#REF!,AZ$1)</f>
        <v>#REF!</v>
      </c>
      <c r="BA250" s="24" t="e">
        <f>SUMIFS(#REF!,#REF!,$B250,#REF!,BA$1)</f>
        <v>#REF!</v>
      </c>
      <c r="BB250" s="24" t="e">
        <f>SUMIFS(#REF!,#REF!,$B250,#REF!,BB$1)</f>
        <v>#REF!</v>
      </c>
      <c r="BC250" s="24" t="e">
        <f>SUMIFS(#REF!,#REF!,$B250,#REF!,BC$1)</f>
        <v>#REF!</v>
      </c>
      <c r="BD250" s="24" t="e">
        <f>SUMIFS(#REF!,#REF!,$B250,#REF!,BD$1)</f>
        <v>#REF!</v>
      </c>
      <c r="BE250" s="24" t="e">
        <f>SUMIFS(#REF!,#REF!,$B250,#REF!,BE$1)</f>
        <v>#REF!</v>
      </c>
      <c r="BF250" s="24" t="e">
        <f>SUMIFS(#REF!,#REF!,$B250,#REF!,BF$1)</f>
        <v>#REF!</v>
      </c>
      <c r="BG250" s="24" t="e">
        <f>SUMIFS(#REF!,#REF!,$B250,#REF!,BG$1)</f>
        <v>#REF!</v>
      </c>
      <c r="BH250" s="24" t="e">
        <f>SUMIFS(#REF!,#REF!,$B250,#REF!,BH$1)</f>
        <v>#REF!</v>
      </c>
      <c r="BI250" s="24" t="e">
        <f>SUMIFS(#REF!,#REF!,$B250,#REF!,BI$1)</f>
        <v>#REF!</v>
      </c>
      <c r="BJ250" s="24" t="e">
        <f>SUMIFS(#REF!,#REF!,$B250,#REF!,BJ$1)</f>
        <v>#REF!</v>
      </c>
      <c r="BK250" s="24" t="e">
        <f>SUMIFS(#REF!,#REF!,$B250,#REF!,BK$1)</f>
        <v>#REF!</v>
      </c>
      <c r="BL250" s="24" t="e">
        <f>SUMIFS(#REF!,#REF!,$B250,#REF!,BL$1)</f>
        <v>#REF!</v>
      </c>
      <c r="BM250" s="24" t="e">
        <f>SUMIFS(#REF!,#REF!,$B250,#REF!,BM$1)</f>
        <v>#REF!</v>
      </c>
      <c r="BN250" s="24" t="e">
        <f>SUMIFS(#REF!,#REF!,$B250,#REF!,BN$1)</f>
        <v>#REF!</v>
      </c>
      <c r="BO250" s="24" t="e">
        <f>SUMIFS(#REF!,#REF!,$B250,#REF!,BO$1)</f>
        <v>#REF!</v>
      </c>
      <c r="BP250" s="24" t="e">
        <f>SUMIFS(#REF!,#REF!,$B250,#REF!,BP$1)</f>
        <v>#REF!</v>
      </c>
      <c r="BQ250" s="24" t="e">
        <f>SUMIFS(#REF!,#REF!,$B250,#REF!,BQ$1)</f>
        <v>#REF!</v>
      </c>
      <c r="BR250" s="24" t="e">
        <f>SUMIFS(#REF!,#REF!,$B250,#REF!,BR$1)</f>
        <v>#REF!</v>
      </c>
      <c r="BS250" s="24" t="e">
        <f>SUMIFS(#REF!,#REF!,$B250,#REF!,BS$1)</f>
        <v>#REF!</v>
      </c>
      <c r="BT250" s="24" t="e">
        <f>SUMIFS(#REF!,#REF!,$B250,#REF!,BT$1)</f>
        <v>#REF!</v>
      </c>
      <c r="BU250" s="24" t="e">
        <f>SUMIFS(#REF!,#REF!,$B250,#REF!,BU$1)</f>
        <v>#REF!</v>
      </c>
      <c r="BV250" s="24" t="e">
        <f>SUMIFS(#REF!,#REF!,$B250,#REF!,BV$1)</f>
        <v>#REF!</v>
      </c>
      <c r="BW250" s="24" t="e">
        <f>SUMIFS(#REF!,#REF!,$B250,#REF!,BW$1)</f>
        <v>#REF!</v>
      </c>
      <c r="BX250" s="24" t="e">
        <f>SUMIFS(#REF!,#REF!,$B250,#REF!,BX$1)</f>
        <v>#REF!</v>
      </c>
      <c r="BY250" s="24" t="e">
        <f>SUMIFS(#REF!,#REF!,$B250,#REF!,BY$1)</f>
        <v>#REF!</v>
      </c>
      <c r="BZ250" s="24" t="e">
        <f>SUMIFS(#REF!,#REF!,$B250,#REF!,BZ$1)</f>
        <v>#REF!</v>
      </c>
      <c r="CA250" s="24" t="e">
        <f>SUMIFS(#REF!,#REF!,$B250,#REF!,CA$1)</f>
        <v>#REF!</v>
      </c>
      <c r="CB250" s="24" t="e">
        <f>SUMIFS(#REF!,#REF!,$B250,#REF!,CB$1)</f>
        <v>#REF!</v>
      </c>
      <c r="CC250" s="24" t="e">
        <f>SUMIFS(#REF!,#REF!,$B250,#REF!,CC$1)</f>
        <v>#REF!</v>
      </c>
      <c r="CD250" s="24" t="e">
        <f>SUMIFS(#REF!,#REF!,$B250,#REF!,CD$1)</f>
        <v>#REF!</v>
      </c>
      <c r="CE250" s="24" t="e">
        <f>SUMIFS(#REF!,#REF!,$B250,#REF!,CE$1)</f>
        <v>#REF!</v>
      </c>
      <c r="CF250" s="24" t="e">
        <f>SUMIFS(#REF!,#REF!,$B250,#REF!,CF$1)</f>
        <v>#REF!</v>
      </c>
      <c r="CG250" s="19" t="e">
        <f t="shared" si="3"/>
        <v>#REF!</v>
      </c>
    </row>
    <row r="251" spans="1:85" x14ac:dyDescent="0.45">
      <c r="A251" s="4" t="s">
        <v>1484</v>
      </c>
      <c r="B251" s="4" t="s">
        <v>1485</v>
      </c>
      <c r="C251" s="24" t="e">
        <f>SUMIFS(#REF!,#REF!,$B251,#REF!,C$1)</f>
        <v>#REF!</v>
      </c>
      <c r="D251" s="24" t="e">
        <f>SUMIFS(#REF!,#REF!,$B251,#REF!,D$1)</f>
        <v>#REF!</v>
      </c>
      <c r="E251" s="24" t="e">
        <f>SUMIFS(#REF!,#REF!,$B251,#REF!,E$1)</f>
        <v>#REF!</v>
      </c>
      <c r="F251" s="24" t="e">
        <f>SUMIFS(#REF!,#REF!,$B251,#REF!,F$1)</f>
        <v>#REF!</v>
      </c>
      <c r="G251" s="24" t="e">
        <f>SUMIFS(#REF!,#REF!,$B251,#REF!,G$1)</f>
        <v>#REF!</v>
      </c>
      <c r="H251" s="24" t="e">
        <f>SUMIFS(#REF!,#REF!,$B251,#REF!,H$1)</f>
        <v>#REF!</v>
      </c>
      <c r="I251" s="24" t="e">
        <f>SUMIFS(#REF!,#REF!,$B251,#REF!,I$1)</f>
        <v>#REF!</v>
      </c>
      <c r="J251" s="24" t="e">
        <f>SUMIFS(#REF!,#REF!,$B251,#REF!,J$1)</f>
        <v>#REF!</v>
      </c>
      <c r="K251" s="24" t="e">
        <f>SUMIFS(#REF!,#REF!,$B251,#REF!,K$1)</f>
        <v>#REF!</v>
      </c>
      <c r="L251" s="24" t="e">
        <f>SUMIFS(#REF!,#REF!,$B251,#REF!,L$1)</f>
        <v>#REF!</v>
      </c>
      <c r="M251" s="24" t="e">
        <f>SUMIFS(#REF!,#REF!,$B251,#REF!,M$1)</f>
        <v>#REF!</v>
      </c>
      <c r="N251" s="24" t="e">
        <f>SUMIFS(#REF!,#REF!,$B251,#REF!,N$1)</f>
        <v>#REF!</v>
      </c>
      <c r="O251" s="24" t="e">
        <f>SUMIFS(#REF!,#REF!,$B251,#REF!,O$1)</f>
        <v>#REF!</v>
      </c>
      <c r="P251" s="24" t="e">
        <f>SUMIFS(#REF!,#REF!,$B251,#REF!,P$1)</f>
        <v>#REF!</v>
      </c>
      <c r="Q251" s="24" t="e">
        <f>SUMIFS(#REF!,#REF!,$B251,#REF!,Q$1)</f>
        <v>#REF!</v>
      </c>
      <c r="R251" s="24" t="e">
        <f>SUMIFS(#REF!,#REF!,$B251,#REF!,R$1)</f>
        <v>#REF!</v>
      </c>
      <c r="S251" s="24" t="e">
        <f>SUMIFS(#REF!,#REF!,$B251,#REF!,S$1)</f>
        <v>#REF!</v>
      </c>
      <c r="T251" s="24" t="e">
        <f>SUMIFS(#REF!,#REF!,$B251,#REF!,T$1)</f>
        <v>#REF!</v>
      </c>
      <c r="U251" s="24" t="e">
        <f>SUMIFS(#REF!,#REF!,$B251,#REF!,U$1)</f>
        <v>#REF!</v>
      </c>
      <c r="V251" s="24" t="e">
        <f>SUMIFS(#REF!,#REF!,$B251,#REF!,V$1)</f>
        <v>#REF!</v>
      </c>
      <c r="W251" s="24" t="e">
        <f>SUMIFS(#REF!,#REF!,$B251,#REF!,W$1)</f>
        <v>#REF!</v>
      </c>
      <c r="X251" s="24" t="e">
        <f>SUMIFS(#REF!,#REF!,$B251,#REF!,X$1)</f>
        <v>#REF!</v>
      </c>
      <c r="Y251" s="24" t="e">
        <f>SUMIFS(#REF!,#REF!,$B251,#REF!,Y$1)</f>
        <v>#REF!</v>
      </c>
      <c r="Z251" s="24" t="e">
        <f>SUMIFS(#REF!,#REF!,$B251,#REF!,Z$1)</f>
        <v>#REF!</v>
      </c>
      <c r="AA251" s="24" t="e">
        <f>SUMIFS(#REF!,#REF!,$B251,#REF!,AA$1)</f>
        <v>#REF!</v>
      </c>
      <c r="AB251" s="24" t="e">
        <f>SUMIFS(#REF!,#REF!,$B251,#REF!,AB$1)</f>
        <v>#REF!</v>
      </c>
      <c r="AC251" s="24" t="e">
        <f>SUMIFS(#REF!,#REF!,$B251,#REF!,AC$1)</f>
        <v>#REF!</v>
      </c>
      <c r="AD251" s="24" t="e">
        <f>SUMIFS(#REF!,#REF!,$B251,#REF!,AD$1)</f>
        <v>#REF!</v>
      </c>
      <c r="AE251" s="24" t="e">
        <f>SUMIFS(#REF!,#REF!,$B251,#REF!,AE$1)</f>
        <v>#REF!</v>
      </c>
      <c r="AF251" s="24" t="e">
        <f>SUMIFS(#REF!,#REF!,$B251,#REF!,AF$1)</f>
        <v>#REF!</v>
      </c>
      <c r="AG251" s="24" t="e">
        <f>SUMIFS(#REF!,#REF!,$B251,#REF!,AG$1)</f>
        <v>#REF!</v>
      </c>
      <c r="AH251" s="24" t="e">
        <f>SUMIFS(#REF!,#REF!,$B251,#REF!,AH$1)</f>
        <v>#REF!</v>
      </c>
      <c r="AI251" s="24" t="e">
        <f>SUMIFS(#REF!,#REF!,$B251,#REF!,AI$1)</f>
        <v>#REF!</v>
      </c>
      <c r="AJ251" s="24" t="e">
        <f>SUMIFS(#REF!,#REF!,$B251,#REF!,AJ$1)</f>
        <v>#REF!</v>
      </c>
      <c r="AK251" s="24" t="e">
        <f>SUMIFS(#REF!,#REF!,$B251,#REF!,AK$1)</f>
        <v>#REF!</v>
      </c>
      <c r="AL251" s="24" t="e">
        <f>SUMIFS(#REF!,#REF!,$B251,#REF!,AL$1)</f>
        <v>#REF!</v>
      </c>
      <c r="AM251" s="24" t="e">
        <f>SUMIFS(#REF!,#REF!,$B251,#REF!,AM$1)</f>
        <v>#REF!</v>
      </c>
      <c r="AN251" s="24" t="e">
        <f>SUMIFS(#REF!,#REF!,$B251,#REF!,AN$1)</f>
        <v>#REF!</v>
      </c>
      <c r="AO251" s="24" t="e">
        <f>SUMIFS(#REF!,#REF!,$B251,#REF!,AO$1)</f>
        <v>#REF!</v>
      </c>
      <c r="AP251" s="24" t="e">
        <f>SUMIFS(#REF!,#REF!,$B251,#REF!,AP$1)</f>
        <v>#REF!</v>
      </c>
      <c r="AQ251" s="24" t="e">
        <f>SUMIFS(#REF!,#REF!,$B251,#REF!,AQ$1)</f>
        <v>#REF!</v>
      </c>
      <c r="AR251" s="24" t="e">
        <f>SUMIFS(#REF!,#REF!,$B251,#REF!,AR$1)</f>
        <v>#REF!</v>
      </c>
      <c r="AS251" s="24" t="e">
        <f>SUMIFS(#REF!,#REF!,$B251,#REF!,AS$1)</f>
        <v>#REF!</v>
      </c>
      <c r="AT251" s="24" t="e">
        <f>SUMIFS(#REF!,#REF!,$B251,#REF!,AT$1)</f>
        <v>#REF!</v>
      </c>
      <c r="AU251" s="24" t="e">
        <f>SUMIFS(#REF!,#REF!,$B251,#REF!,AU$1)</f>
        <v>#REF!</v>
      </c>
      <c r="AV251" s="24" t="e">
        <f>SUMIFS(#REF!,#REF!,$B251,#REF!,AV$1)</f>
        <v>#REF!</v>
      </c>
      <c r="AW251" s="24" t="e">
        <f>SUMIFS(#REF!,#REF!,$B251,#REF!,AW$1)</f>
        <v>#REF!</v>
      </c>
      <c r="AX251" s="24" t="e">
        <f>SUMIFS(#REF!,#REF!,$B251,#REF!,AX$1)</f>
        <v>#REF!</v>
      </c>
      <c r="AY251" s="24" t="e">
        <f>SUMIFS(#REF!,#REF!,$B251,#REF!,AY$1)</f>
        <v>#REF!</v>
      </c>
      <c r="AZ251" s="24" t="e">
        <f>SUMIFS(#REF!,#REF!,$B251,#REF!,AZ$1)</f>
        <v>#REF!</v>
      </c>
      <c r="BA251" s="24" t="e">
        <f>SUMIFS(#REF!,#REF!,$B251,#REF!,BA$1)</f>
        <v>#REF!</v>
      </c>
      <c r="BB251" s="24" t="e">
        <f>SUMIFS(#REF!,#REF!,$B251,#REF!,BB$1)</f>
        <v>#REF!</v>
      </c>
      <c r="BC251" s="24" t="e">
        <f>SUMIFS(#REF!,#REF!,$B251,#REF!,BC$1)</f>
        <v>#REF!</v>
      </c>
      <c r="BD251" s="24" t="e">
        <f>SUMIFS(#REF!,#REF!,$B251,#REF!,BD$1)</f>
        <v>#REF!</v>
      </c>
      <c r="BE251" s="24" t="e">
        <f>SUMIFS(#REF!,#REF!,$B251,#REF!,BE$1)</f>
        <v>#REF!</v>
      </c>
      <c r="BF251" s="24" t="e">
        <f>SUMIFS(#REF!,#REF!,$B251,#REF!,BF$1)</f>
        <v>#REF!</v>
      </c>
      <c r="BG251" s="24" t="e">
        <f>SUMIFS(#REF!,#REF!,$B251,#REF!,BG$1)</f>
        <v>#REF!</v>
      </c>
      <c r="BH251" s="24" t="e">
        <f>SUMIFS(#REF!,#REF!,$B251,#REF!,BH$1)</f>
        <v>#REF!</v>
      </c>
      <c r="BI251" s="24" t="e">
        <f>SUMIFS(#REF!,#REF!,$B251,#REF!,BI$1)</f>
        <v>#REF!</v>
      </c>
      <c r="BJ251" s="24" t="e">
        <f>SUMIFS(#REF!,#REF!,$B251,#REF!,BJ$1)</f>
        <v>#REF!</v>
      </c>
      <c r="BK251" s="24" t="e">
        <f>SUMIFS(#REF!,#REF!,$B251,#REF!,BK$1)</f>
        <v>#REF!</v>
      </c>
      <c r="BL251" s="24" t="e">
        <f>SUMIFS(#REF!,#REF!,$B251,#REF!,BL$1)</f>
        <v>#REF!</v>
      </c>
      <c r="BM251" s="24" t="e">
        <f>SUMIFS(#REF!,#REF!,$B251,#REF!,BM$1)</f>
        <v>#REF!</v>
      </c>
      <c r="BN251" s="24" t="e">
        <f>SUMIFS(#REF!,#REF!,$B251,#REF!,BN$1)</f>
        <v>#REF!</v>
      </c>
      <c r="BO251" s="24" t="e">
        <f>SUMIFS(#REF!,#REF!,$B251,#REF!,BO$1)</f>
        <v>#REF!</v>
      </c>
      <c r="BP251" s="24" t="e">
        <f>SUMIFS(#REF!,#REF!,$B251,#REF!,BP$1)</f>
        <v>#REF!</v>
      </c>
      <c r="BQ251" s="24" t="e">
        <f>SUMIFS(#REF!,#REF!,$B251,#REF!,BQ$1)</f>
        <v>#REF!</v>
      </c>
      <c r="BR251" s="24" t="e">
        <f>SUMIFS(#REF!,#REF!,$B251,#REF!,BR$1)</f>
        <v>#REF!</v>
      </c>
      <c r="BS251" s="24" t="e">
        <f>SUMIFS(#REF!,#REF!,$B251,#REF!,BS$1)</f>
        <v>#REF!</v>
      </c>
      <c r="BT251" s="24" t="e">
        <f>SUMIFS(#REF!,#REF!,$B251,#REF!,BT$1)</f>
        <v>#REF!</v>
      </c>
      <c r="BU251" s="24" t="e">
        <f>SUMIFS(#REF!,#REF!,$B251,#REF!,BU$1)</f>
        <v>#REF!</v>
      </c>
      <c r="BV251" s="24" t="e">
        <f>SUMIFS(#REF!,#REF!,$B251,#REF!,BV$1)</f>
        <v>#REF!</v>
      </c>
      <c r="BW251" s="24" t="e">
        <f>SUMIFS(#REF!,#REF!,$B251,#REF!,BW$1)</f>
        <v>#REF!</v>
      </c>
      <c r="BX251" s="24" t="e">
        <f>SUMIFS(#REF!,#REF!,$B251,#REF!,BX$1)</f>
        <v>#REF!</v>
      </c>
      <c r="BY251" s="24" t="e">
        <f>SUMIFS(#REF!,#REF!,$B251,#REF!,BY$1)</f>
        <v>#REF!</v>
      </c>
      <c r="BZ251" s="24" t="e">
        <f>SUMIFS(#REF!,#REF!,$B251,#REF!,BZ$1)</f>
        <v>#REF!</v>
      </c>
      <c r="CA251" s="24" t="e">
        <f>SUMIFS(#REF!,#REF!,$B251,#REF!,CA$1)</f>
        <v>#REF!</v>
      </c>
      <c r="CB251" s="24" t="e">
        <f>SUMIFS(#REF!,#REF!,$B251,#REF!,CB$1)</f>
        <v>#REF!</v>
      </c>
      <c r="CC251" s="24" t="e">
        <f>SUMIFS(#REF!,#REF!,$B251,#REF!,CC$1)</f>
        <v>#REF!</v>
      </c>
      <c r="CD251" s="24" t="e">
        <f>SUMIFS(#REF!,#REF!,$B251,#REF!,CD$1)</f>
        <v>#REF!</v>
      </c>
      <c r="CE251" s="24" t="e">
        <f>SUMIFS(#REF!,#REF!,$B251,#REF!,CE$1)</f>
        <v>#REF!</v>
      </c>
      <c r="CF251" s="24" t="e">
        <f>SUMIFS(#REF!,#REF!,$B251,#REF!,CF$1)</f>
        <v>#REF!</v>
      </c>
      <c r="CG251" s="19" t="e">
        <f t="shared" si="3"/>
        <v>#REF!</v>
      </c>
    </row>
    <row r="252" spans="1:85" x14ac:dyDescent="0.45">
      <c r="A252" s="4" t="s">
        <v>1486</v>
      </c>
      <c r="B252" s="4" t="s">
        <v>1487</v>
      </c>
      <c r="C252" s="24" t="e">
        <f>SUMIFS(#REF!,#REF!,$B252,#REF!,C$1)</f>
        <v>#REF!</v>
      </c>
      <c r="D252" s="24" t="e">
        <f>SUMIFS(#REF!,#REF!,$B252,#REF!,D$1)</f>
        <v>#REF!</v>
      </c>
      <c r="E252" s="24" t="e">
        <f>SUMIFS(#REF!,#REF!,$B252,#REF!,E$1)</f>
        <v>#REF!</v>
      </c>
      <c r="F252" s="24" t="e">
        <f>SUMIFS(#REF!,#REF!,$B252,#REF!,F$1)</f>
        <v>#REF!</v>
      </c>
      <c r="G252" s="24" t="e">
        <f>SUMIFS(#REF!,#REF!,$B252,#REF!,G$1)</f>
        <v>#REF!</v>
      </c>
      <c r="H252" s="24" t="e">
        <f>SUMIFS(#REF!,#REF!,$B252,#REF!,H$1)</f>
        <v>#REF!</v>
      </c>
      <c r="I252" s="24" t="e">
        <f>SUMIFS(#REF!,#REF!,$B252,#REF!,I$1)</f>
        <v>#REF!</v>
      </c>
      <c r="J252" s="24" t="e">
        <f>SUMIFS(#REF!,#REF!,$B252,#REF!,J$1)</f>
        <v>#REF!</v>
      </c>
      <c r="K252" s="24" t="e">
        <f>SUMIFS(#REF!,#REF!,$B252,#REF!,K$1)</f>
        <v>#REF!</v>
      </c>
      <c r="L252" s="24" t="e">
        <f>SUMIFS(#REF!,#REF!,$B252,#REF!,L$1)</f>
        <v>#REF!</v>
      </c>
      <c r="M252" s="24" t="e">
        <f>SUMIFS(#REF!,#REF!,$B252,#REF!,M$1)</f>
        <v>#REF!</v>
      </c>
      <c r="N252" s="24" t="e">
        <f>SUMIFS(#REF!,#REF!,$B252,#REF!,N$1)</f>
        <v>#REF!</v>
      </c>
      <c r="O252" s="24" t="e">
        <f>SUMIFS(#REF!,#REF!,$B252,#REF!,O$1)</f>
        <v>#REF!</v>
      </c>
      <c r="P252" s="24" t="e">
        <f>SUMIFS(#REF!,#REF!,$B252,#REF!,P$1)</f>
        <v>#REF!</v>
      </c>
      <c r="Q252" s="24" t="e">
        <f>SUMIFS(#REF!,#REF!,$B252,#REF!,Q$1)</f>
        <v>#REF!</v>
      </c>
      <c r="R252" s="24" t="e">
        <f>SUMIFS(#REF!,#REF!,$B252,#REF!,R$1)</f>
        <v>#REF!</v>
      </c>
      <c r="S252" s="24" t="e">
        <f>SUMIFS(#REF!,#REF!,$B252,#REF!,S$1)</f>
        <v>#REF!</v>
      </c>
      <c r="T252" s="24" t="e">
        <f>SUMIFS(#REF!,#REF!,$B252,#REF!,T$1)</f>
        <v>#REF!</v>
      </c>
      <c r="U252" s="24" t="e">
        <f>SUMIFS(#REF!,#REF!,$B252,#REF!,U$1)</f>
        <v>#REF!</v>
      </c>
      <c r="V252" s="24" t="e">
        <f>SUMIFS(#REF!,#REF!,$B252,#REF!,V$1)</f>
        <v>#REF!</v>
      </c>
      <c r="W252" s="24" t="e">
        <f>SUMIFS(#REF!,#REF!,$B252,#REF!,W$1)</f>
        <v>#REF!</v>
      </c>
      <c r="X252" s="24" t="e">
        <f>SUMIFS(#REF!,#REF!,$B252,#REF!,X$1)</f>
        <v>#REF!</v>
      </c>
      <c r="Y252" s="24" t="e">
        <f>SUMIFS(#REF!,#REF!,$B252,#REF!,Y$1)</f>
        <v>#REF!</v>
      </c>
      <c r="Z252" s="24" t="e">
        <f>SUMIFS(#REF!,#REF!,$B252,#REF!,Z$1)</f>
        <v>#REF!</v>
      </c>
      <c r="AA252" s="24" t="e">
        <f>SUMIFS(#REF!,#REF!,$B252,#REF!,AA$1)</f>
        <v>#REF!</v>
      </c>
      <c r="AB252" s="24" t="e">
        <f>SUMIFS(#REF!,#REF!,$B252,#REF!,AB$1)</f>
        <v>#REF!</v>
      </c>
      <c r="AC252" s="24" t="e">
        <f>SUMIFS(#REF!,#REF!,$B252,#REF!,AC$1)</f>
        <v>#REF!</v>
      </c>
      <c r="AD252" s="24" t="e">
        <f>SUMIFS(#REF!,#REF!,$B252,#REF!,AD$1)</f>
        <v>#REF!</v>
      </c>
      <c r="AE252" s="24" t="e">
        <f>SUMIFS(#REF!,#REF!,$B252,#REF!,AE$1)</f>
        <v>#REF!</v>
      </c>
      <c r="AF252" s="24" t="e">
        <f>SUMIFS(#REF!,#REF!,$B252,#REF!,AF$1)</f>
        <v>#REF!</v>
      </c>
      <c r="AG252" s="24" t="e">
        <f>SUMIFS(#REF!,#REF!,$B252,#REF!,AG$1)</f>
        <v>#REF!</v>
      </c>
      <c r="AH252" s="24" t="e">
        <f>SUMIFS(#REF!,#REF!,$B252,#REF!,AH$1)</f>
        <v>#REF!</v>
      </c>
      <c r="AI252" s="24" t="e">
        <f>SUMIFS(#REF!,#REF!,$B252,#REF!,AI$1)</f>
        <v>#REF!</v>
      </c>
      <c r="AJ252" s="24" t="e">
        <f>SUMIFS(#REF!,#REF!,$B252,#REF!,AJ$1)</f>
        <v>#REF!</v>
      </c>
      <c r="AK252" s="24" t="e">
        <f>SUMIFS(#REF!,#REF!,$B252,#REF!,AK$1)</f>
        <v>#REF!</v>
      </c>
      <c r="AL252" s="24" t="e">
        <f>SUMIFS(#REF!,#REF!,$B252,#REF!,AL$1)</f>
        <v>#REF!</v>
      </c>
      <c r="AM252" s="24" t="e">
        <f>SUMIFS(#REF!,#REF!,$B252,#REF!,AM$1)</f>
        <v>#REF!</v>
      </c>
      <c r="AN252" s="24" t="e">
        <f>SUMIFS(#REF!,#REF!,$B252,#REF!,AN$1)</f>
        <v>#REF!</v>
      </c>
      <c r="AO252" s="24" t="e">
        <f>SUMIFS(#REF!,#REF!,$B252,#REF!,AO$1)</f>
        <v>#REF!</v>
      </c>
      <c r="AP252" s="24" t="e">
        <f>SUMIFS(#REF!,#REF!,$B252,#REF!,AP$1)</f>
        <v>#REF!</v>
      </c>
      <c r="AQ252" s="24" t="e">
        <f>SUMIFS(#REF!,#REF!,$B252,#REF!,AQ$1)</f>
        <v>#REF!</v>
      </c>
      <c r="AR252" s="24" t="e">
        <f>SUMIFS(#REF!,#REF!,$B252,#REF!,AR$1)</f>
        <v>#REF!</v>
      </c>
      <c r="AS252" s="24" t="e">
        <f>SUMIFS(#REF!,#REF!,$B252,#REF!,AS$1)</f>
        <v>#REF!</v>
      </c>
      <c r="AT252" s="24" t="e">
        <f>SUMIFS(#REF!,#REF!,$B252,#REF!,AT$1)</f>
        <v>#REF!</v>
      </c>
      <c r="AU252" s="24" t="e">
        <f>SUMIFS(#REF!,#REF!,$B252,#REF!,AU$1)</f>
        <v>#REF!</v>
      </c>
      <c r="AV252" s="24" t="e">
        <f>SUMIFS(#REF!,#REF!,$B252,#REF!,AV$1)</f>
        <v>#REF!</v>
      </c>
      <c r="AW252" s="24" t="e">
        <f>SUMIFS(#REF!,#REF!,$B252,#REF!,AW$1)</f>
        <v>#REF!</v>
      </c>
      <c r="AX252" s="24" t="e">
        <f>SUMIFS(#REF!,#REF!,$B252,#REF!,AX$1)</f>
        <v>#REF!</v>
      </c>
      <c r="AY252" s="24" t="e">
        <f>SUMIFS(#REF!,#REF!,$B252,#REF!,AY$1)</f>
        <v>#REF!</v>
      </c>
      <c r="AZ252" s="24" t="e">
        <f>SUMIFS(#REF!,#REF!,$B252,#REF!,AZ$1)</f>
        <v>#REF!</v>
      </c>
      <c r="BA252" s="24" t="e">
        <f>SUMIFS(#REF!,#REF!,$B252,#REF!,BA$1)</f>
        <v>#REF!</v>
      </c>
      <c r="BB252" s="24" t="e">
        <f>SUMIFS(#REF!,#REF!,$B252,#REF!,BB$1)</f>
        <v>#REF!</v>
      </c>
      <c r="BC252" s="24" t="e">
        <f>SUMIFS(#REF!,#REF!,$B252,#REF!,BC$1)</f>
        <v>#REF!</v>
      </c>
      <c r="BD252" s="24" t="e">
        <f>SUMIFS(#REF!,#REF!,$B252,#REF!,BD$1)</f>
        <v>#REF!</v>
      </c>
      <c r="BE252" s="24" t="e">
        <f>SUMIFS(#REF!,#REF!,$B252,#REF!,BE$1)</f>
        <v>#REF!</v>
      </c>
      <c r="BF252" s="24" t="e">
        <f>SUMIFS(#REF!,#REF!,$B252,#REF!,BF$1)</f>
        <v>#REF!</v>
      </c>
      <c r="BG252" s="24" t="e">
        <f>SUMIFS(#REF!,#REF!,$B252,#REF!,BG$1)</f>
        <v>#REF!</v>
      </c>
      <c r="BH252" s="24" t="e">
        <f>SUMIFS(#REF!,#REF!,$B252,#REF!,BH$1)</f>
        <v>#REF!</v>
      </c>
      <c r="BI252" s="24" t="e">
        <f>SUMIFS(#REF!,#REF!,$B252,#REF!,BI$1)</f>
        <v>#REF!</v>
      </c>
      <c r="BJ252" s="24" t="e">
        <f>SUMIFS(#REF!,#REF!,$B252,#REF!,BJ$1)</f>
        <v>#REF!</v>
      </c>
      <c r="BK252" s="24" t="e">
        <f>SUMIFS(#REF!,#REF!,$B252,#REF!,BK$1)</f>
        <v>#REF!</v>
      </c>
      <c r="BL252" s="24" t="e">
        <f>SUMIFS(#REF!,#REF!,$B252,#REF!,BL$1)</f>
        <v>#REF!</v>
      </c>
      <c r="BM252" s="24" t="e">
        <f>SUMIFS(#REF!,#REF!,$B252,#REF!,BM$1)</f>
        <v>#REF!</v>
      </c>
      <c r="BN252" s="24" t="e">
        <f>SUMIFS(#REF!,#REF!,$B252,#REF!,BN$1)</f>
        <v>#REF!</v>
      </c>
      <c r="BO252" s="24" t="e">
        <f>SUMIFS(#REF!,#REF!,$B252,#REF!,BO$1)</f>
        <v>#REF!</v>
      </c>
      <c r="BP252" s="24" t="e">
        <f>SUMIFS(#REF!,#REF!,$B252,#REF!,BP$1)</f>
        <v>#REF!</v>
      </c>
      <c r="BQ252" s="24" t="e">
        <f>SUMIFS(#REF!,#REF!,$B252,#REF!,BQ$1)</f>
        <v>#REF!</v>
      </c>
      <c r="BR252" s="24" t="e">
        <f>SUMIFS(#REF!,#REF!,$B252,#REF!,BR$1)</f>
        <v>#REF!</v>
      </c>
      <c r="BS252" s="24" t="e">
        <f>SUMIFS(#REF!,#REF!,$B252,#REF!,BS$1)</f>
        <v>#REF!</v>
      </c>
      <c r="BT252" s="24" t="e">
        <f>SUMIFS(#REF!,#REF!,$B252,#REF!,BT$1)</f>
        <v>#REF!</v>
      </c>
      <c r="BU252" s="24" t="e">
        <f>SUMIFS(#REF!,#REF!,$B252,#REF!,BU$1)</f>
        <v>#REF!</v>
      </c>
      <c r="BV252" s="24" t="e">
        <f>SUMIFS(#REF!,#REF!,$B252,#REF!,BV$1)</f>
        <v>#REF!</v>
      </c>
      <c r="BW252" s="24" t="e">
        <f>SUMIFS(#REF!,#REF!,$B252,#REF!,BW$1)</f>
        <v>#REF!</v>
      </c>
      <c r="BX252" s="24" t="e">
        <f>SUMIFS(#REF!,#REF!,$B252,#REF!,BX$1)</f>
        <v>#REF!</v>
      </c>
      <c r="BY252" s="24" t="e">
        <f>SUMIFS(#REF!,#REF!,$B252,#REF!,BY$1)</f>
        <v>#REF!</v>
      </c>
      <c r="BZ252" s="24" t="e">
        <f>SUMIFS(#REF!,#REF!,$B252,#REF!,BZ$1)</f>
        <v>#REF!</v>
      </c>
      <c r="CA252" s="24" t="e">
        <f>SUMIFS(#REF!,#REF!,$B252,#REF!,CA$1)</f>
        <v>#REF!</v>
      </c>
      <c r="CB252" s="24" t="e">
        <f>SUMIFS(#REF!,#REF!,$B252,#REF!,CB$1)</f>
        <v>#REF!</v>
      </c>
      <c r="CC252" s="24" t="e">
        <f>SUMIFS(#REF!,#REF!,$B252,#REF!,CC$1)</f>
        <v>#REF!</v>
      </c>
      <c r="CD252" s="24" t="e">
        <f>SUMIFS(#REF!,#REF!,$B252,#REF!,CD$1)</f>
        <v>#REF!</v>
      </c>
      <c r="CE252" s="24" t="e">
        <f>SUMIFS(#REF!,#REF!,$B252,#REF!,CE$1)</f>
        <v>#REF!</v>
      </c>
      <c r="CF252" s="24" t="e">
        <f>SUMIFS(#REF!,#REF!,$B252,#REF!,CF$1)</f>
        <v>#REF!</v>
      </c>
      <c r="CG252" s="19" t="e">
        <f t="shared" si="3"/>
        <v>#REF!</v>
      </c>
    </row>
    <row r="253" spans="1:85" x14ac:dyDescent="0.45">
      <c r="A253" s="4" t="s">
        <v>1488</v>
      </c>
      <c r="B253" s="4" t="s">
        <v>1489</v>
      </c>
      <c r="C253" s="24" t="e">
        <f>SUMIFS(#REF!,#REF!,$B253,#REF!,C$1)</f>
        <v>#REF!</v>
      </c>
      <c r="D253" s="24" t="e">
        <f>SUMIFS(#REF!,#REF!,$B253,#REF!,D$1)</f>
        <v>#REF!</v>
      </c>
      <c r="E253" s="24" t="e">
        <f>SUMIFS(#REF!,#REF!,$B253,#REF!,E$1)</f>
        <v>#REF!</v>
      </c>
      <c r="F253" s="24" t="e">
        <f>SUMIFS(#REF!,#REF!,$B253,#REF!,F$1)</f>
        <v>#REF!</v>
      </c>
      <c r="G253" s="24" t="e">
        <f>SUMIFS(#REF!,#REF!,$B253,#REF!,G$1)</f>
        <v>#REF!</v>
      </c>
      <c r="H253" s="24" t="e">
        <f>SUMIFS(#REF!,#REF!,$B253,#REF!,H$1)</f>
        <v>#REF!</v>
      </c>
      <c r="I253" s="24" t="e">
        <f>SUMIFS(#REF!,#REF!,$B253,#REF!,I$1)</f>
        <v>#REF!</v>
      </c>
      <c r="J253" s="24" t="e">
        <f>SUMIFS(#REF!,#REF!,$B253,#REF!,J$1)</f>
        <v>#REF!</v>
      </c>
      <c r="K253" s="24" t="e">
        <f>SUMIFS(#REF!,#REF!,$B253,#REF!,K$1)</f>
        <v>#REF!</v>
      </c>
      <c r="L253" s="24" t="e">
        <f>SUMIFS(#REF!,#REF!,$B253,#REF!,L$1)</f>
        <v>#REF!</v>
      </c>
      <c r="M253" s="24" t="e">
        <f>SUMIFS(#REF!,#REF!,$B253,#REF!,M$1)</f>
        <v>#REF!</v>
      </c>
      <c r="N253" s="24" t="e">
        <f>SUMIFS(#REF!,#REF!,$B253,#REF!,N$1)</f>
        <v>#REF!</v>
      </c>
      <c r="O253" s="24" t="e">
        <f>SUMIFS(#REF!,#REF!,$B253,#REF!,O$1)</f>
        <v>#REF!</v>
      </c>
      <c r="P253" s="24" t="e">
        <f>SUMIFS(#REF!,#REF!,$B253,#REF!,P$1)</f>
        <v>#REF!</v>
      </c>
      <c r="Q253" s="24" t="e">
        <f>SUMIFS(#REF!,#REF!,$B253,#REF!,Q$1)</f>
        <v>#REF!</v>
      </c>
      <c r="R253" s="24" t="e">
        <f>SUMIFS(#REF!,#REF!,$B253,#REF!,R$1)</f>
        <v>#REF!</v>
      </c>
      <c r="S253" s="24" t="e">
        <f>SUMIFS(#REF!,#REF!,$B253,#REF!,S$1)</f>
        <v>#REF!</v>
      </c>
      <c r="T253" s="24" t="e">
        <f>SUMIFS(#REF!,#REF!,$B253,#REF!,T$1)</f>
        <v>#REF!</v>
      </c>
      <c r="U253" s="24" t="e">
        <f>SUMIFS(#REF!,#REF!,$B253,#REF!,U$1)</f>
        <v>#REF!</v>
      </c>
      <c r="V253" s="24" t="e">
        <f>SUMIFS(#REF!,#REF!,$B253,#REF!,V$1)</f>
        <v>#REF!</v>
      </c>
      <c r="W253" s="24" t="e">
        <f>SUMIFS(#REF!,#REF!,$B253,#REF!,W$1)</f>
        <v>#REF!</v>
      </c>
      <c r="X253" s="24" t="e">
        <f>SUMIFS(#REF!,#REF!,$B253,#REF!,X$1)</f>
        <v>#REF!</v>
      </c>
      <c r="Y253" s="24" t="e">
        <f>SUMIFS(#REF!,#REF!,$B253,#REF!,Y$1)</f>
        <v>#REF!</v>
      </c>
      <c r="Z253" s="24" t="e">
        <f>SUMIFS(#REF!,#REF!,$B253,#REF!,Z$1)</f>
        <v>#REF!</v>
      </c>
      <c r="AA253" s="24" t="e">
        <f>SUMIFS(#REF!,#REF!,$B253,#REF!,AA$1)</f>
        <v>#REF!</v>
      </c>
      <c r="AB253" s="24" t="e">
        <f>SUMIFS(#REF!,#REF!,$B253,#REF!,AB$1)</f>
        <v>#REF!</v>
      </c>
      <c r="AC253" s="24" t="e">
        <f>SUMIFS(#REF!,#REF!,$B253,#REF!,AC$1)</f>
        <v>#REF!</v>
      </c>
      <c r="AD253" s="24" t="e">
        <f>SUMIFS(#REF!,#REF!,$B253,#REF!,AD$1)</f>
        <v>#REF!</v>
      </c>
      <c r="AE253" s="24" t="e">
        <f>SUMIFS(#REF!,#REF!,$B253,#REF!,AE$1)</f>
        <v>#REF!</v>
      </c>
      <c r="AF253" s="24" t="e">
        <f>SUMIFS(#REF!,#REF!,$B253,#REF!,AF$1)</f>
        <v>#REF!</v>
      </c>
      <c r="AG253" s="24" t="e">
        <f>SUMIFS(#REF!,#REF!,$B253,#REF!,AG$1)</f>
        <v>#REF!</v>
      </c>
      <c r="AH253" s="24" t="e">
        <f>SUMIFS(#REF!,#REF!,$B253,#REF!,AH$1)</f>
        <v>#REF!</v>
      </c>
      <c r="AI253" s="24" t="e">
        <f>SUMIFS(#REF!,#REF!,$B253,#REF!,AI$1)</f>
        <v>#REF!</v>
      </c>
      <c r="AJ253" s="24" t="e">
        <f>SUMIFS(#REF!,#REF!,$B253,#REF!,AJ$1)</f>
        <v>#REF!</v>
      </c>
      <c r="AK253" s="24" t="e">
        <f>SUMIFS(#REF!,#REF!,$B253,#REF!,AK$1)</f>
        <v>#REF!</v>
      </c>
      <c r="AL253" s="24" t="e">
        <f>SUMIFS(#REF!,#REF!,$B253,#REF!,AL$1)</f>
        <v>#REF!</v>
      </c>
      <c r="AM253" s="24" t="e">
        <f>SUMIFS(#REF!,#REF!,$B253,#REF!,AM$1)</f>
        <v>#REF!</v>
      </c>
      <c r="AN253" s="24" t="e">
        <f>SUMIFS(#REF!,#REF!,$B253,#REF!,AN$1)</f>
        <v>#REF!</v>
      </c>
      <c r="AO253" s="24" t="e">
        <f>SUMIFS(#REF!,#REF!,$B253,#REF!,AO$1)</f>
        <v>#REF!</v>
      </c>
      <c r="AP253" s="24" t="e">
        <f>SUMIFS(#REF!,#REF!,$B253,#REF!,AP$1)</f>
        <v>#REF!</v>
      </c>
      <c r="AQ253" s="24" t="e">
        <f>SUMIFS(#REF!,#REF!,$B253,#REF!,AQ$1)</f>
        <v>#REF!</v>
      </c>
      <c r="AR253" s="24" t="e">
        <f>SUMIFS(#REF!,#REF!,$B253,#REF!,AR$1)</f>
        <v>#REF!</v>
      </c>
      <c r="AS253" s="24" t="e">
        <f>SUMIFS(#REF!,#REF!,$B253,#REF!,AS$1)</f>
        <v>#REF!</v>
      </c>
      <c r="AT253" s="24" t="e">
        <f>SUMIFS(#REF!,#REF!,$B253,#REF!,AT$1)</f>
        <v>#REF!</v>
      </c>
      <c r="AU253" s="24" t="e">
        <f>SUMIFS(#REF!,#REF!,$B253,#REF!,AU$1)</f>
        <v>#REF!</v>
      </c>
      <c r="AV253" s="24" t="e">
        <f>SUMIFS(#REF!,#REF!,$B253,#REF!,AV$1)</f>
        <v>#REF!</v>
      </c>
      <c r="AW253" s="24" t="e">
        <f>SUMIFS(#REF!,#REF!,$B253,#REF!,AW$1)</f>
        <v>#REF!</v>
      </c>
      <c r="AX253" s="24" t="e">
        <f>SUMIFS(#REF!,#REF!,$B253,#REF!,AX$1)</f>
        <v>#REF!</v>
      </c>
      <c r="AY253" s="24" t="e">
        <f>SUMIFS(#REF!,#REF!,$B253,#REF!,AY$1)</f>
        <v>#REF!</v>
      </c>
      <c r="AZ253" s="24" t="e">
        <f>SUMIFS(#REF!,#REF!,$B253,#REF!,AZ$1)</f>
        <v>#REF!</v>
      </c>
      <c r="BA253" s="24" t="e">
        <f>SUMIFS(#REF!,#REF!,$B253,#REF!,BA$1)</f>
        <v>#REF!</v>
      </c>
      <c r="BB253" s="24" t="e">
        <f>SUMIFS(#REF!,#REF!,$B253,#REF!,BB$1)</f>
        <v>#REF!</v>
      </c>
      <c r="BC253" s="24" t="e">
        <f>SUMIFS(#REF!,#REF!,$B253,#REF!,BC$1)</f>
        <v>#REF!</v>
      </c>
      <c r="BD253" s="24" t="e">
        <f>SUMIFS(#REF!,#REF!,$B253,#REF!,BD$1)</f>
        <v>#REF!</v>
      </c>
      <c r="BE253" s="24" t="e">
        <f>SUMIFS(#REF!,#REF!,$B253,#REF!,BE$1)</f>
        <v>#REF!</v>
      </c>
      <c r="BF253" s="24" t="e">
        <f>SUMIFS(#REF!,#REF!,$B253,#REF!,BF$1)</f>
        <v>#REF!</v>
      </c>
      <c r="BG253" s="24" t="e">
        <f>SUMIFS(#REF!,#REF!,$B253,#REF!,BG$1)</f>
        <v>#REF!</v>
      </c>
      <c r="BH253" s="24" t="e">
        <f>SUMIFS(#REF!,#REF!,$B253,#REF!,BH$1)</f>
        <v>#REF!</v>
      </c>
      <c r="BI253" s="24" t="e">
        <f>SUMIFS(#REF!,#REF!,$B253,#REF!,BI$1)</f>
        <v>#REF!</v>
      </c>
      <c r="BJ253" s="24" t="e">
        <f>SUMIFS(#REF!,#REF!,$B253,#REF!,BJ$1)</f>
        <v>#REF!</v>
      </c>
      <c r="BK253" s="24" t="e">
        <f>SUMIFS(#REF!,#REF!,$B253,#REF!,BK$1)</f>
        <v>#REF!</v>
      </c>
      <c r="BL253" s="24" t="e">
        <f>SUMIFS(#REF!,#REF!,$B253,#REF!,BL$1)</f>
        <v>#REF!</v>
      </c>
      <c r="BM253" s="24" t="e">
        <f>SUMIFS(#REF!,#REF!,$B253,#REF!,BM$1)</f>
        <v>#REF!</v>
      </c>
      <c r="BN253" s="24" t="e">
        <f>SUMIFS(#REF!,#REF!,$B253,#REF!,BN$1)</f>
        <v>#REF!</v>
      </c>
      <c r="BO253" s="24" t="e">
        <f>SUMIFS(#REF!,#REF!,$B253,#REF!,BO$1)</f>
        <v>#REF!</v>
      </c>
      <c r="BP253" s="24" t="e">
        <f>SUMIFS(#REF!,#REF!,$B253,#REF!,BP$1)</f>
        <v>#REF!</v>
      </c>
      <c r="BQ253" s="24" t="e">
        <f>SUMIFS(#REF!,#REF!,$B253,#REF!,BQ$1)</f>
        <v>#REF!</v>
      </c>
      <c r="BR253" s="24" t="e">
        <f>SUMIFS(#REF!,#REF!,$B253,#REF!,BR$1)</f>
        <v>#REF!</v>
      </c>
      <c r="BS253" s="24" t="e">
        <f>SUMIFS(#REF!,#REF!,$B253,#REF!,BS$1)</f>
        <v>#REF!</v>
      </c>
      <c r="BT253" s="24" t="e">
        <f>SUMIFS(#REF!,#REF!,$B253,#REF!,BT$1)</f>
        <v>#REF!</v>
      </c>
      <c r="BU253" s="24" t="e">
        <f>SUMIFS(#REF!,#REF!,$B253,#REF!,BU$1)</f>
        <v>#REF!</v>
      </c>
      <c r="BV253" s="24" t="e">
        <f>SUMIFS(#REF!,#REF!,$B253,#REF!,BV$1)</f>
        <v>#REF!</v>
      </c>
      <c r="BW253" s="24" t="e">
        <f>SUMIFS(#REF!,#REF!,$B253,#REF!,BW$1)</f>
        <v>#REF!</v>
      </c>
      <c r="BX253" s="24" t="e">
        <f>SUMIFS(#REF!,#REF!,$B253,#REF!,BX$1)</f>
        <v>#REF!</v>
      </c>
      <c r="BY253" s="24" t="e">
        <f>SUMIFS(#REF!,#REF!,$B253,#REF!,BY$1)</f>
        <v>#REF!</v>
      </c>
      <c r="BZ253" s="24" t="e">
        <f>SUMIFS(#REF!,#REF!,$B253,#REF!,BZ$1)</f>
        <v>#REF!</v>
      </c>
      <c r="CA253" s="24" t="e">
        <f>SUMIFS(#REF!,#REF!,$B253,#REF!,CA$1)</f>
        <v>#REF!</v>
      </c>
      <c r="CB253" s="24" t="e">
        <f>SUMIFS(#REF!,#REF!,$B253,#REF!,CB$1)</f>
        <v>#REF!</v>
      </c>
      <c r="CC253" s="24" t="e">
        <f>SUMIFS(#REF!,#REF!,$B253,#REF!,CC$1)</f>
        <v>#REF!</v>
      </c>
      <c r="CD253" s="24" t="e">
        <f>SUMIFS(#REF!,#REF!,$B253,#REF!,CD$1)</f>
        <v>#REF!</v>
      </c>
      <c r="CE253" s="24" t="e">
        <f>SUMIFS(#REF!,#REF!,$B253,#REF!,CE$1)</f>
        <v>#REF!</v>
      </c>
      <c r="CF253" s="24" t="e">
        <f>SUMIFS(#REF!,#REF!,$B253,#REF!,CF$1)</f>
        <v>#REF!</v>
      </c>
      <c r="CG253" s="19" t="e">
        <f t="shared" si="3"/>
        <v>#REF!</v>
      </c>
    </row>
    <row r="254" spans="1:85" x14ac:dyDescent="0.45">
      <c r="A254" s="4" t="s">
        <v>1490</v>
      </c>
      <c r="B254" s="4" t="s">
        <v>1490</v>
      </c>
      <c r="C254" s="24" t="e">
        <f>SUMIFS(#REF!,#REF!,$B254,#REF!,C$1)</f>
        <v>#REF!</v>
      </c>
      <c r="D254" s="24" t="e">
        <f>SUMIFS(#REF!,#REF!,$B254,#REF!,D$1)</f>
        <v>#REF!</v>
      </c>
      <c r="E254" s="24" t="e">
        <f>SUMIFS(#REF!,#REF!,$B254,#REF!,E$1)</f>
        <v>#REF!</v>
      </c>
      <c r="F254" s="24" t="e">
        <f>SUMIFS(#REF!,#REF!,$B254,#REF!,F$1)</f>
        <v>#REF!</v>
      </c>
      <c r="G254" s="24" t="e">
        <f>SUMIFS(#REF!,#REF!,$B254,#REF!,G$1)</f>
        <v>#REF!</v>
      </c>
      <c r="H254" s="24" t="e">
        <f>SUMIFS(#REF!,#REF!,$B254,#REF!,H$1)</f>
        <v>#REF!</v>
      </c>
      <c r="I254" s="24" t="e">
        <f>SUMIFS(#REF!,#REF!,$B254,#REF!,I$1)</f>
        <v>#REF!</v>
      </c>
      <c r="J254" s="24" t="e">
        <f>SUMIFS(#REF!,#REF!,$B254,#REF!,J$1)</f>
        <v>#REF!</v>
      </c>
      <c r="K254" s="24" t="e">
        <f>SUMIFS(#REF!,#REF!,$B254,#REF!,K$1)</f>
        <v>#REF!</v>
      </c>
      <c r="L254" s="24" t="e">
        <f>SUMIFS(#REF!,#REF!,$B254,#REF!,L$1)</f>
        <v>#REF!</v>
      </c>
      <c r="M254" s="24" t="e">
        <f>SUMIFS(#REF!,#REF!,$B254,#REF!,M$1)</f>
        <v>#REF!</v>
      </c>
      <c r="N254" s="24" t="e">
        <f>SUMIFS(#REF!,#REF!,$B254,#REF!,N$1)</f>
        <v>#REF!</v>
      </c>
      <c r="O254" s="24" t="e">
        <f>SUMIFS(#REF!,#REF!,$B254,#REF!,O$1)</f>
        <v>#REF!</v>
      </c>
      <c r="P254" s="24" t="e">
        <f>SUMIFS(#REF!,#REF!,$B254,#REF!,P$1)</f>
        <v>#REF!</v>
      </c>
      <c r="Q254" s="24" t="e">
        <f>SUMIFS(#REF!,#REF!,$B254,#REF!,Q$1)</f>
        <v>#REF!</v>
      </c>
      <c r="R254" s="24" t="e">
        <f>SUMIFS(#REF!,#REF!,$B254,#REF!,R$1)</f>
        <v>#REF!</v>
      </c>
      <c r="S254" s="24" t="e">
        <f>SUMIFS(#REF!,#REF!,$B254,#REF!,S$1)</f>
        <v>#REF!</v>
      </c>
      <c r="T254" s="24" t="e">
        <f>SUMIFS(#REF!,#REF!,$B254,#REF!,T$1)</f>
        <v>#REF!</v>
      </c>
      <c r="U254" s="24" t="e">
        <f>SUMIFS(#REF!,#REF!,$B254,#REF!,U$1)</f>
        <v>#REF!</v>
      </c>
      <c r="V254" s="24" t="e">
        <f>SUMIFS(#REF!,#REF!,$B254,#REF!,V$1)</f>
        <v>#REF!</v>
      </c>
      <c r="W254" s="24" t="e">
        <f>SUMIFS(#REF!,#REF!,$B254,#REF!,W$1)</f>
        <v>#REF!</v>
      </c>
      <c r="X254" s="24" t="e">
        <f>SUMIFS(#REF!,#REF!,$B254,#REF!,X$1)</f>
        <v>#REF!</v>
      </c>
      <c r="Y254" s="24" t="e">
        <f>SUMIFS(#REF!,#REF!,$B254,#REF!,Y$1)</f>
        <v>#REF!</v>
      </c>
      <c r="Z254" s="24" t="e">
        <f>SUMIFS(#REF!,#REF!,$B254,#REF!,Z$1)</f>
        <v>#REF!</v>
      </c>
      <c r="AA254" s="24" t="e">
        <f>SUMIFS(#REF!,#REF!,$B254,#REF!,AA$1)</f>
        <v>#REF!</v>
      </c>
      <c r="AB254" s="24" t="e">
        <f>SUMIFS(#REF!,#REF!,$B254,#REF!,AB$1)</f>
        <v>#REF!</v>
      </c>
      <c r="AC254" s="24" t="e">
        <f>SUMIFS(#REF!,#REF!,$B254,#REF!,AC$1)</f>
        <v>#REF!</v>
      </c>
      <c r="AD254" s="24" t="e">
        <f>SUMIFS(#REF!,#REF!,$B254,#REF!,AD$1)</f>
        <v>#REF!</v>
      </c>
      <c r="AE254" s="24" t="e">
        <f>SUMIFS(#REF!,#REF!,$B254,#REF!,AE$1)</f>
        <v>#REF!</v>
      </c>
      <c r="AF254" s="24" t="e">
        <f>SUMIFS(#REF!,#REF!,$B254,#REF!,AF$1)</f>
        <v>#REF!</v>
      </c>
      <c r="AG254" s="24" t="e">
        <f>SUMIFS(#REF!,#REF!,$B254,#REF!,AG$1)</f>
        <v>#REF!</v>
      </c>
      <c r="AH254" s="24" t="e">
        <f>SUMIFS(#REF!,#REF!,$B254,#REF!,AH$1)</f>
        <v>#REF!</v>
      </c>
      <c r="AI254" s="24" t="e">
        <f>SUMIFS(#REF!,#REF!,$B254,#REF!,AI$1)</f>
        <v>#REF!</v>
      </c>
      <c r="AJ254" s="24" t="e">
        <f>SUMIFS(#REF!,#REF!,$B254,#REF!,AJ$1)</f>
        <v>#REF!</v>
      </c>
      <c r="AK254" s="24" t="e">
        <f>SUMIFS(#REF!,#REF!,$B254,#REF!,AK$1)</f>
        <v>#REF!</v>
      </c>
      <c r="AL254" s="24" t="e">
        <f>SUMIFS(#REF!,#REF!,$B254,#REF!,AL$1)</f>
        <v>#REF!</v>
      </c>
      <c r="AM254" s="24" t="e">
        <f>SUMIFS(#REF!,#REF!,$B254,#REF!,AM$1)</f>
        <v>#REF!</v>
      </c>
      <c r="AN254" s="24" t="e">
        <f>SUMIFS(#REF!,#REF!,$B254,#REF!,AN$1)</f>
        <v>#REF!</v>
      </c>
      <c r="AO254" s="24" t="e">
        <f>SUMIFS(#REF!,#REF!,$B254,#REF!,AO$1)</f>
        <v>#REF!</v>
      </c>
      <c r="AP254" s="24" t="e">
        <f>SUMIFS(#REF!,#REF!,$B254,#REF!,AP$1)</f>
        <v>#REF!</v>
      </c>
      <c r="AQ254" s="24" t="e">
        <f>SUMIFS(#REF!,#REF!,$B254,#REF!,AQ$1)</f>
        <v>#REF!</v>
      </c>
      <c r="AR254" s="24" t="e">
        <f>SUMIFS(#REF!,#REF!,$B254,#REF!,AR$1)</f>
        <v>#REF!</v>
      </c>
      <c r="AS254" s="24" t="e">
        <f>SUMIFS(#REF!,#REF!,$B254,#REF!,AS$1)</f>
        <v>#REF!</v>
      </c>
      <c r="AT254" s="24" t="e">
        <f>SUMIFS(#REF!,#REF!,$B254,#REF!,AT$1)</f>
        <v>#REF!</v>
      </c>
      <c r="AU254" s="24" t="e">
        <f>SUMIFS(#REF!,#REF!,$B254,#REF!,AU$1)</f>
        <v>#REF!</v>
      </c>
      <c r="AV254" s="24" t="e">
        <f>SUMIFS(#REF!,#REF!,$B254,#REF!,AV$1)</f>
        <v>#REF!</v>
      </c>
      <c r="AW254" s="24" t="e">
        <f>SUMIFS(#REF!,#REF!,$B254,#REF!,AW$1)</f>
        <v>#REF!</v>
      </c>
      <c r="AX254" s="24" t="e">
        <f>SUMIFS(#REF!,#REF!,$B254,#REF!,AX$1)</f>
        <v>#REF!</v>
      </c>
      <c r="AY254" s="24" t="e">
        <f>SUMIFS(#REF!,#REF!,$B254,#REF!,AY$1)</f>
        <v>#REF!</v>
      </c>
      <c r="AZ254" s="24" t="e">
        <f>SUMIFS(#REF!,#REF!,$B254,#REF!,AZ$1)</f>
        <v>#REF!</v>
      </c>
      <c r="BA254" s="24" t="e">
        <f>SUMIFS(#REF!,#REF!,$B254,#REF!,BA$1)</f>
        <v>#REF!</v>
      </c>
      <c r="BB254" s="24" t="e">
        <f>SUMIFS(#REF!,#REF!,$B254,#REF!,BB$1)</f>
        <v>#REF!</v>
      </c>
      <c r="BC254" s="24" t="e">
        <f>SUMIFS(#REF!,#REF!,$B254,#REF!,BC$1)</f>
        <v>#REF!</v>
      </c>
      <c r="BD254" s="24" t="e">
        <f>SUMIFS(#REF!,#REF!,$B254,#REF!,BD$1)</f>
        <v>#REF!</v>
      </c>
      <c r="BE254" s="24" t="e">
        <f>SUMIFS(#REF!,#REF!,$B254,#REF!,BE$1)</f>
        <v>#REF!</v>
      </c>
      <c r="BF254" s="24" t="e">
        <f>SUMIFS(#REF!,#REF!,$B254,#REF!,BF$1)</f>
        <v>#REF!</v>
      </c>
      <c r="BG254" s="24" t="e">
        <f>SUMIFS(#REF!,#REF!,$B254,#REF!,BG$1)</f>
        <v>#REF!</v>
      </c>
      <c r="BH254" s="24" t="e">
        <f>SUMIFS(#REF!,#REF!,$B254,#REF!,BH$1)</f>
        <v>#REF!</v>
      </c>
      <c r="BI254" s="24" t="e">
        <f>SUMIFS(#REF!,#REF!,$B254,#REF!,BI$1)</f>
        <v>#REF!</v>
      </c>
      <c r="BJ254" s="24" t="e">
        <f>SUMIFS(#REF!,#REF!,$B254,#REF!,BJ$1)</f>
        <v>#REF!</v>
      </c>
      <c r="BK254" s="24" t="e">
        <f>SUMIFS(#REF!,#REF!,$B254,#REF!,BK$1)</f>
        <v>#REF!</v>
      </c>
      <c r="BL254" s="24" t="e">
        <f>SUMIFS(#REF!,#REF!,$B254,#REF!,BL$1)</f>
        <v>#REF!</v>
      </c>
      <c r="BM254" s="24" t="e">
        <f>SUMIFS(#REF!,#REF!,$B254,#REF!,BM$1)</f>
        <v>#REF!</v>
      </c>
      <c r="BN254" s="24" t="e">
        <f>SUMIFS(#REF!,#REF!,$B254,#REF!,BN$1)</f>
        <v>#REF!</v>
      </c>
      <c r="BO254" s="24" t="e">
        <f>SUMIFS(#REF!,#REF!,$B254,#REF!,BO$1)</f>
        <v>#REF!</v>
      </c>
      <c r="BP254" s="24" t="e">
        <f>SUMIFS(#REF!,#REF!,$B254,#REF!,BP$1)</f>
        <v>#REF!</v>
      </c>
      <c r="BQ254" s="24" t="e">
        <f>SUMIFS(#REF!,#REF!,$B254,#REF!,BQ$1)</f>
        <v>#REF!</v>
      </c>
      <c r="BR254" s="24" t="e">
        <f>SUMIFS(#REF!,#REF!,$B254,#REF!,BR$1)</f>
        <v>#REF!</v>
      </c>
      <c r="BS254" s="24" t="e">
        <f>SUMIFS(#REF!,#REF!,$B254,#REF!,BS$1)</f>
        <v>#REF!</v>
      </c>
      <c r="BT254" s="24" t="e">
        <f>SUMIFS(#REF!,#REF!,$B254,#REF!,BT$1)</f>
        <v>#REF!</v>
      </c>
      <c r="BU254" s="24" t="e">
        <f>SUMIFS(#REF!,#REF!,$B254,#REF!,BU$1)</f>
        <v>#REF!</v>
      </c>
      <c r="BV254" s="24" t="e">
        <f>SUMIFS(#REF!,#REF!,$B254,#REF!,BV$1)</f>
        <v>#REF!</v>
      </c>
      <c r="BW254" s="24" t="e">
        <f>SUMIFS(#REF!,#REF!,$B254,#REF!,BW$1)</f>
        <v>#REF!</v>
      </c>
      <c r="BX254" s="24" t="e">
        <f>SUMIFS(#REF!,#REF!,$B254,#REF!,BX$1)</f>
        <v>#REF!</v>
      </c>
      <c r="BY254" s="24" t="e">
        <f>SUMIFS(#REF!,#REF!,$B254,#REF!,BY$1)</f>
        <v>#REF!</v>
      </c>
      <c r="BZ254" s="24" t="e">
        <f>SUMIFS(#REF!,#REF!,$B254,#REF!,BZ$1)</f>
        <v>#REF!</v>
      </c>
      <c r="CA254" s="24" t="e">
        <f>SUMIFS(#REF!,#REF!,$B254,#REF!,CA$1)</f>
        <v>#REF!</v>
      </c>
      <c r="CB254" s="24" t="e">
        <f>SUMIFS(#REF!,#REF!,$B254,#REF!,CB$1)</f>
        <v>#REF!</v>
      </c>
      <c r="CC254" s="24" t="e">
        <f>SUMIFS(#REF!,#REF!,$B254,#REF!,CC$1)</f>
        <v>#REF!</v>
      </c>
      <c r="CD254" s="24" t="e">
        <f>SUMIFS(#REF!,#REF!,$B254,#REF!,CD$1)</f>
        <v>#REF!</v>
      </c>
      <c r="CE254" s="24" t="e">
        <f>SUMIFS(#REF!,#REF!,$B254,#REF!,CE$1)</f>
        <v>#REF!</v>
      </c>
      <c r="CF254" s="24" t="e">
        <f>SUMIFS(#REF!,#REF!,$B254,#REF!,CF$1)</f>
        <v>#REF!</v>
      </c>
      <c r="CG254" s="19" t="e">
        <f t="shared" si="3"/>
        <v>#REF!</v>
      </c>
    </row>
    <row r="255" spans="1:85" x14ac:dyDescent="0.45">
      <c r="A255" s="4" t="s">
        <v>1491</v>
      </c>
      <c r="B255" s="4" t="s">
        <v>1491</v>
      </c>
      <c r="C255" s="24" t="e">
        <f>SUMIFS(#REF!,#REF!,$B255,#REF!,C$1)</f>
        <v>#REF!</v>
      </c>
      <c r="D255" s="24" t="e">
        <f>SUMIFS(#REF!,#REF!,$B255,#REF!,D$1)</f>
        <v>#REF!</v>
      </c>
      <c r="E255" s="24" t="e">
        <f>SUMIFS(#REF!,#REF!,$B255,#REF!,E$1)</f>
        <v>#REF!</v>
      </c>
      <c r="F255" s="24" t="e">
        <f>SUMIFS(#REF!,#REF!,$B255,#REF!,F$1)</f>
        <v>#REF!</v>
      </c>
      <c r="G255" s="24" t="e">
        <f>SUMIFS(#REF!,#REF!,$B255,#REF!,G$1)</f>
        <v>#REF!</v>
      </c>
      <c r="H255" s="24" t="e">
        <f>SUMIFS(#REF!,#REF!,$B255,#REF!,H$1)</f>
        <v>#REF!</v>
      </c>
      <c r="I255" s="24" t="e">
        <f>SUMIFS(#REF!,#REF!,$B255,#REF!,I$1)</f>
        <v>#REF!</v>
      </c>
      <c r="J255" s="24" t="e">
        <f>SUMIFS(#REF!,#REF!,$B255,#REF!,J$1)</f>
        <v>#REF!</v>
      </c>
      <c r="K255" s="24" t="e">
        <f>SUMIFS(#REF!,#REF!,$B255,#REF!,K$1)</f>
        <v>#REF!</v>
      </c>
      <c r="L255" s="24" t="e">
        <f>SUMIFS(#REF!,#REF!,$B255,#REF!,L$1)</f>
        <v>#REF!</v>
      </c>
      <c r="M255" s="24" t="e">
        <f>SUMIFS(#REF!,#REF!,$B255,#REF!,M$1)</f>
        <v>#REF!</v>
      </c>
      <c r="N255" s="24" t="e">
        <f>SUMIFS(#REF!,#REF!,$B255,#REF!,N$1)</f>
        <v>#REF!</v>
      </c>
      <c r="O255" s="24" t="e">
        <f>SUMIFS(#REF!,#REF!,$B255,#REF!,O$1)</f>
        <v>#REF!</v>
      </c>
      <c r="P255" s="24" t="e">
        <f>SUMIFS(#REF!,#REF!,$B255,#REF!,P$1)</f>
        <v>#REF!</v>
      </c>
      <c r="Q255" s="24" t="e">
        <f>SUMIFS(#REF!,#REF!,$B255,#REF!,Q$1)</f>
        <v>#REF!</v>
      </c>
      <c r="R255" s="24" t="e">
        <f>SUMIFS(#REF!,#REF!,$B255,#REF!,R$1)</f>
        <v>#REF!</v>
      </c>
      <c r="S255" s="24" t="e">
        <f>SUMIFS(#REF!,#REF!,$B255,#REF!,S$1)</f>
        <v>#REF!</v>
      </c>
      <c r="T255" s="24" t="e">
        <f>SUMIFS(#REF!,#REF!,$B255,#REF!,T$1)</f>
        <v>#REF!</v>
      </c>
      <c r="U255" s="24" t="e">
        <f>SUMIFS(#REF!,#REF!,$B255,#REF!,U$1)</f>
        <v>#REF!</v>
      </c>
      <c r="V255" s="24" t="e">
        <f>SUMIFS(#REF!,#REF!,$B255,#REF!,V$1)</f>
        <v>#REF!</v>
      </c>
      <c r="W255" s="24" t="e">
        <f>SUMIFS(#REF!,#REF!,$B255,#REF!,W$1)</f>
        <v>#REF!</v>
      </c>
      <c r="X255" s="24" t="e">
        <f>SUMIFS(#REF!,#REF!,$B255,#REF!,X$1)</f>
        <v>#REF!</v>
      </c>
      <c r="Y255" s="24" t="e">
        <f>SUMIFS(#REF!,#REF!,$B255,#REF!,Y$1)</f>
        <v>#REF!</v>
      </c>
      <c r="Z255" s="24" t="e">
        <f>SUMIFS(#REF!,#REF!,$B255,#REF!,Z$1)</f>
        <v>#REF!</v>
      </c>
      <c r="AA255" s="24" t="e">
        <f>SUMIFS(#REF!,#REF!,$B255,#REF!,AA$1)</f>
        <v>#REF!</v>
      </c>
      <c r="AB255" s="24" t="e">
        <f>SUMIFS(#REF!,#REF!,$B255,#REF!,AB$1)</f>
        <v>#REF!</v>
      </c>
      <c r="AC255" s="24" t="e">
        <f>SUMIFS(#REF!,#REF!,$B255,#REF!,AC$1)</f>
        <v>#REF!</v>
      </c>
      <c r="AD255" s="24" t="e">
        <f>SUMIFS(#REF!,#REF!,$B255,#REF!,AD$1)</f>
        <v>#REF!</v>
      </c>
      <c r="AE255" s="24" t="e">
        <f>SUMIFS(#REF!,#REF!,$B255,#REF!,AE$1)</f>
        <v>#REF!</v>
      </c>
      <c r="AF255" s="24" t="e">
        <f>SUMIFS(#REF!,#REF!,$B255,#REF!,AF$1)</f>
        <v>#REF!</v>
      </c>
      <c r="AG255" s="24" t="e">
        <f>SUMIFS(#REF!,#REF!,$B255,#REF!,AG$1)</f>
        <v>#REF!</v>
      </c>
      <c r="AH255" s="24" t="e">
        <f>SUMIFS(#REF!,#REF!,$B255,#REF!,AH$1)</f>
        <v>#REF!</v>
      </c>
      <c r="AI255" s="24" t="e">
        <f>SUMIFS(#REF!,#REF!,$B255,#REF!,AI$1)</f>
        <v>#REF!</v>
      </c>
      <c r="AJ255" s="24" t="e">
        <f>SUMIFS(#REF!,#REF!,$B255,#REF!,AJ$1)</f>
        <v>#REF!</v>
      </c>
      <c r="AK255" s="24" t="e">
        <f>SUMIFS(#REF!,#REF!,$B255,#REF!,AK$1)</f>
        <v>#REF!</v>
      </c>
      <c r="AL255" s="24" t="e">
        <f>SUMIFS(#REF!,#REF!,$B255,#REF!,AL$1)</f>
        <v>#REF!</v>
      </c>
      <c r="AM255" s="24" t="e">
        <f>SUMIFS(#REF!,#REF!,$B255,#REF!,AM$1)</f>
        <v>#REF!</v>
      </c>
      <c r="AN255" s="24" t="e">
        <f>SUMIFS(#REF!,#REF!,$B255,#REF!,AN$1)</f>
        <v>#REF!</v>
      </c>
      <c r="AO255" s="24" t="e">
        <f>SUMIFS(#REF!,#REF!,$B255,#REF!,AO$1)</f>
        <v>#REF!</v>
      </c>
      <c r="AP255" s="24" t="e">
        <f>SUMIFS(#REF!,#REF!,$B255,#REF!,AP$1)</f>
        <v>#REF!</v>
      </c>
      <c r="AQ255" s="24" t="e">
        <f>SUMIFS(#REF!,#REF!,$B255,#REF!,AQ$1)</f>
        <v>#REF!</v>
      </c>
      <c r="AR255" s="24" t="e">
        <f>SUMIFS(#REF!,#REF!,$B255,#REF!,AR$1)</f>
        <v>#REF!</v>
      </c>
      <c r="AS255" s="24" t="e">
        <f>SUMIFS(#REF!,#REF!,$B255,#REF!,AS$1)</f>
        <v>#REF!</v>
      </c>
      <c r="AT255" s="24" t="e">
        <f>SUMIFS(#REF!,#REF!,$B255,#REF!,AT$1)</f>
        <v>#REF!</v>
      </c>
      <c r="AU255" s="24" t="e">
        <f>SUMIFS(#REF!,#REF!,$B255,#REF!,AU$1)</f>
        <v>#REF!</v>
      </c>
      <c r="AV255" s="24" t="e">
        <f>SUMIFS(#REF!,#REF!,$B255,#REF!,AV$1)</f>
        <v>#REF!</v>
      </c>
      <c r="AW255" s="24" t="e">
        <f>SUMIFS(#REF!,#REF!,$B255,#REF!,AW$1)</f>
        <v>#REF!</v>
      </c>
      <c r="AX255" s="24" t="e">
        <f>SUMIFS(#REF!,#REF!,$B255,#REF!,AX$1)</f>
        <v>#REF!</v>
      </c>
      <c r="AY255" s="24" t="e">
        <f>SUMIFS(#REF!,#REF!,$B255,#REF!,AY$1)</f>
        <v>#REF!</v>
      </c>
      <c r="AZ255" s="24" t="e">
        <f>SUMIFS(#REF!,#REF!,$B255,#REF!,AZ$1)</f>
        <v>#REF!</v>
      </c>
      <c r="BA255" s="24" t="e">
        <f>SUMIFS(#REF!,#REF!,$B255,#REF!,BA$1)</f>
        <v>#REF!</v>
      </c>
      <c r="BB255" s="24" t="e">
        <f>SUMIFS(#REF!,#REF!,$B255,#REF!,BB$1)</f>
        <v>#REF!</v>
      </c>
      <c r="BC255" s="24" t="e">
        <f>SUMIFS(#REF!,#REF!,$B255,#REF!,BC$1)</f>
        <v>#REF!</v>
      </c>
      <c r="BD255" s="24" t="e">
        <f>SUMIFS(#REF!,#REF!,$B255,#REF!,BD$1)</f>
        <v>#REF!</v>
      </c>
      <c r="BE255" s="24" t="e">
        <f>SUMIFS(#REF!,#REF!,$B255,#REF!,BE$1)</f>
        <v>#REF!</v>
      </c>
      <c r="BF255" s="24" t="e">
        <f>SUMIFS(#REF!,#REF!,$B255,#REF!,BF$1)</f>
        <v>#REF!</v>
      </c>
      <c r="BG255" s="24" t="e">
        <f>SUMIFS(#REF!,#REF!,$B255,#REF!,BG$1)</f>
        <v>#REF!</v>
      </c>
      <c r="BH255" s="24" t="e">
        <f>SUMIFS(#REF!,#REF!,$B255,#REF!,BH$1)</f>
        <v>#REF!</v>
      </c>
      <c r="BI255" s="24" t="e">
        <f>SUMIFS(#REF!,#REF!,$B255,#REF!,BI$1)</f>
        <v>#REF!</v>
      </c>
      <c r="BJ255" s="24" t="e">
        <f>SUMIFS(#REF!,#REF!,$B255,#REF!,BJ$1)</f>
        <v>#REF!</v>
      </c>
      <c r="BK255" s="24" t="e">
        <f>SUMIFS(#REF!,#REF!,$B255,#REF!,BK$1)</f>
        <v>#REF!</v>
      </c>
      <c r="BL255" s="24" t="e">
        <f>SUMIFS(#REF!,#REF!,$B255,#REF!,BL$1)</f>
        <v>#REF!</v>
      </c>
      <c r="BM255" s="24" t="e">
        <f>SUMIFS(#REF!,#REF!,$B255,#REF!,BM$1)</f>
        <v>#REF!</v>
      </c>
      <c r="BN255" s="24" t="e">
        <f>SUMIFS(#REF!,#REF!,$B255,#REF!,BN$1)</f>
        <v>#REF!</v>
      </c>
      <c r="BO255" s="24" t="e">
        <f>SUMIFS(#REF!,#REF!,$B255,#REF!,BO$1)</f>
        <v>#REF!</v>
      </c>
      <c r="BP255" s="24" t="e">
        <f>SUMIFS(#REF!,#REF!,$B255,#REF!,BP$1)</f>
        <v>#REF!</v>
      </c>
      <c r="BQ255" s="24" t="e">
        <f>SUMIFS(#REF!,#REF!,$B255,#REF!,BQ$1)</f>
        <v>#REF!</v>
      </c>
      <c r="BR255" s="24" t="e">
        <f>SUMIFS(#REF!,#REF!,$B255,#REF!,BR$1)</f>
        <v>#REF!</v>
      </c>
      <c r="BS255" s="24" t="e">
        <f>SUMIFS(#REF!,#REF!,$B255,#REF!,BS$1)</f>
        <v>#REF!</v>
      </c>
      <c r="BT255" s="24" t="e">
        <f>SUMIFS(#REF!,#REF!,$B255,#REF!,BT$1)</f>
        <v>#REF!</v>
      </c>
      <c r="BU255" s="24" t="e">
        <f>SUMIFS(#REF!,#REF!,$B255,#REF!,BU$1)</f>
        <v>#REF!</v>
      </c>
      <c r="BV255" s="24" t="e">
        <f>SUMIFS(#REF!,#REF!,$B255,#REF!,BV$1)</f>
        <v>#REF!</v>
      </c>
      <c r="BW255" s="24" t="e">
        <f>SUMIFS(#REF!,#REF!,$B255,#REF!,BW$1)</f>
        <v>#REF!</v>
      </c>
      <c r="BX255" s="24" t="e">
        <f>SUMIFS(#REF!,#REF!,$B255,#REF!,BX$1)</f>
        <v>#REF!</v>
      </c>
      <c r="BY255" s="24" t="e">
        <f>SUMIFS(#REF!,#REF!,$B255,#REF!,BY$1)</f>
        <v>#REF!</v>
      </c>
      <c r="BZ255" s="24" t="e">
        <f>SUMIFS(#REF!,#REF!,$B255,#REF!,BZ$1)</f>
        <v>#REF!</v>
      </c>
      <c r="CA255" s="24" t="e">
        <f>SUMIFS(#REF!,#REF!,$B255,#REF!,CA$1)</f>
        <v>#REF!</v>
      </c>
      <c r="CB255" s="24" t="e">
        <f>SUMIFS(#REF!,#REF!,$B255,#REF!,CB$1)</f>
        <v>#REF!</v>
      </c>
      <c r="CC255" s="24" t="e">
        <f>SUMIFS(#REF!,#REF!,$B255,#REF!,CC$1)</f>
        <v>#REF!</v>
      </c>
      <c r="CD255" s="24" t="e">
        <f>SUMIFS(#REF!,#REF!,$B255,#REF!,CD$1)</f>
        <v>#REF!</v>
      </c>
      <c r="CE255" s="24" t="e">
        <f>SUMIFS(#REF!,#REF!,$B255,#REF!,CE$1)</f>
        <v>#REF!</v>
      </c>
      <c r="CF255" s="24" t="e">
        <f>SUMIFS(#REF!,#REF!,$B255,#REF!,CF$1)</f>
        <v>#REF!</v>
      </c>
      <c r="CG255" s="19" t="e">
        <f t="shared" si="3"/>
        <v>#REF!</v>
      </c>
    </row>
    <row r="256" spans="1:85" x14ac:dyDescent="0.45">
      <c r="A256" s="4" t="s">
        <v>1492</v>
      </c>
      <c r="B256" s="4" t="s">
        <v>1493</v>
      </c>
      <c r="C256" s="24" t="e">
        <f>SUMIFS(#REF!,#REF!,$B256,#REF!,C$1)</f>
        <v>#REF!</v>
      </c>
      <c r="D256" s="24" t="e">
        <f>SUMIFS(#REF!,#REF!,$B256,#REF!,D$1)</f>
        <v>#REF!</v>
      </c>
      <c r="E256" s="24" t="e">
        <f>SUMIFS(#REF!,#REF!,$B256,#REF!,E$1)</f>
        <v>#REF!</v>
      </c>
      <c r="F256" s="24" t="e">
        <f>SUMIFS(#REF!,#REF!,$B256,#REF!,F$1)</f>
        <v>#REF!</v>
      </c>
      <c r="G256" s="24" t="e">
        <f>SUMIFS(#REF!,#REF!,$B256,#REF!,G$1)</f>
        <v>#REF!</v>
      </c>
      <c r="H256" s="24" t="e">
        <f>SUMIFS(#REF!,#REF!,$B256,#REF!,H$1)</f>
        <v>#REF!</v>
      </c>
      <c r="I256" s="24" t="e">
        <f>SUMIFS(#REF!,#REF!,$B256,#REF!,I$1)</f>
        <v>#REF!</v>
      </c>
      <c r="J256" s="24" t="e">
        <f>SUMIFS(#REF!,#REF!,$B256,#REF!,J$1)</f>
        <v>#REF!</v>
      </c>
      <c r="K256" s="24" t="e">
        <f>SUMIFS(#REF!,#REF!,$B256,#REF!,K$1)</f>
        <v>#REF!</v>
      </c>
      <c r="L256" s="24" t="e">
        <f>SUMIFS(#REF!,#REF!,$B256,#REF!,L$1)</f>
        <v>#REF!</v>
      </c>
      <c r="M256" s="24" t="e">
        <f>SUMIFS(#REF!,#REF!,$B256,#REF!,M$1)</f>
        <v>#REF!</v>
      </c>
      <c r="N256" s="24" t="e">
        <f>SUMIFS(#REF!,#REF!,$B256,#REF!,N$1)</f>
        <v>#REF!</v>
      </c>
      <c r="O256" s="24" t="e">
        <f>SUMIFS(#REF!,#REF!,$B256,#REF!,O$1)</f>
        <v>#REF!</v>
      </c>
      <c r="P256" s="24" t="e">
        <f>SUMIFS(#REF!,#REF!,$B256,#REF!,P$1)</f>
        <v>#REF!</v>
      </c>
      <c r="Q256" s="24" t="e">
        <f>SUMIFS(#REF!,#REF!,$B256,#REF!,Q$1)</f>
        <v>#REF!</v>
      </c>
      <c r="R256" s="24" t="e">
        <f>SUMIFS(#REF!,#REF!,$B256,#REF!,R$1)</f>
        <v>#REF!</v>
      </c>
      <c r="S256" s="24" t="e">
        <f>SUMIFS(#REF!,#REF!,$B256,#REF!,S$1)</f>
        <v>#REF!</v>
      </c>
      <c r="T256" s="24" t="e">
        <f>SUMIFS(#REF!,#REF!,$B256,#REF!,T$1)</f>
        <v>#REF!</v>
      </c>
      <c r="U256" s="24" t="e">
        <f>SUMIFS(#REF!,#REF!,$B256,#REF!,U$1)</f>
        <v>#REF!</v>
      </c>
      <c r="V256" s="24" t="e">
        <f>SUMIFS(#REF!,#REF!,$B256,#REF!,V$1)</f>
        <v>#REF!</v>
      </c>
      <c r="W256" s="24" t="e">
        <f>SUMIFS(#REF!,#REF!,$B256,#REF!,W$1)</f>
        <v>#REF!</v>
      </c>
      <c r="X256" s="24" t="e">
        <f>SUMIFS(#REF!,#REF!,$B256,#REF!,X$1)</f>
        <v>#REF!</v>
      </c>
      <c r="Y256" s="24" t="e">
        <f>SUMIFS(#REF!,#REF!,$B256,#REF!,Y$1)</f>
        <v>#REF!</v>
      </c>
      <c r="Z256" s="24" t="e">
        <f>SUMIFS(#REF!,#REF!,$B256,#REF!,Z$1)</f>
        <v>#REF!</v>
      </c>
      <c r="AA256" s="24" t="e">
        <f>SUMIFS(#REF!,#REF!,$B256,#REF!,AA$1)</f>
        <v>#REF!</v>
      </c>
      <c r="AB256" s="24" t="e">
        <f>SUMIFS(#REF!,#REF!,$B256,#REF!,AB$1)</f>
        <v>#REF!</v>
      </c>
      <c r="AC256" s="24" t="e">
        <f>SUMIFS(#REF!,#REF!,$B256,#REF!,AC$1)</f>
        <v>#REF!</v>
      </c>
      <c r="AD256" s="24" t="e">
        <f>SUMIFS(#REF!,#REF!,$B256,#REF!,AD$1)</f>
        <v>#REF!</v>
      </c>
      <c r="AE256" s="24" t="e">
        <f>SUMIFS(#REF!,#REF!,$B256,#REF!,AE$1)</f>
        <v>#REF!</v>
      </c>
      <c r="AF256" s="24" t="e">
        <f>SUMIFS(#REF!,#REF!,$B256,#REF!,AF$1)</f>
        <v>#REF!</v>
      </c>
      <c r="AG256" s="24" t="e">
        <f>SUMIFS(#REF!,#REF!,$B256,#REF!,AG$1)</f>
        <v>#REF!</v>
      </c>
      <c r="AH256" s="24" t="e">
        <f>SUMIFS(#REF!,#REF!,$B256,#REF!,AH$1)</f>
        <v>#REF!</v>
      </c>
      <c r="AI256" s="24" t="e">
        <f>SUMIFS(#REF!,#REF!,$B256,#REF!,AI$1)</f>
        <v>#REF!</v>
      </c>
      <c r="AJ256" s="24" t="e">
        <f>SUMIFS(#REF!,#REF!,$B256,#REF!,AJ$1)</f>
        <v>#REF!</v>
      </c>
      <c r="AK256" s="24" t="e">
        <f>SUMIFS(#REF!,#REF!,$B256,#REF!,AK$1)</f>
        <v>#REF!</v>
      </c>
      <c r="AL256" s="24" t="e">
        <f>SUMIFS(#REF!,#REF!,$B256,#REF!,AL$1)</f>
        <v>#REF!</v>
      </c>
      <c r="AM256" s="24" t="e">
        <f>SUMIFS(#REF!,#REF!,$B256,#REF!,AM$1)</f>
        <v>#REF!</v>
      </c>
      <c r="AN256" s="24" t="e">
        <f>SUMIFS(#REF!,#REF!,$B256,#REF!,AN$1)</f>
        <v>#REF!</v>
      </c>
      <c r="AO256" s="24" t="e">
        <f>SUMIFS(#REF!,#REF!,$B256,#REF!,AO$1)</f>
        <v>#REF!</v>
      </c>
      <c r="AP256" s="24" t="e">
        <f>SUMIFS(#REF!,#REF!,$B256,#REF!,AP$1)</f>
        <v>#REF!</v>
      </c>
      <c r="AQ256" s="24" t="e">
        <f>SUMIFS(#REF!,#REF!,$B256,#REF!,AQ$1)</f>
        <v>#REF!</v>
      </c>
      <c r="AR256" s="24" t="e">
        <f>SUMIFS(#REF!,#REF!,$B256,#REF!,AR$1)</f>
        <v>#REF!</v>
      </c>
      <c r="AS256" s="24" t="e">
        <f>SUMIFS(#REF!,#REF!,$B256,#REF!,AS$1)</f>
        <v>#REF!</v>
      </c>
      <c r="AT256" s="24" t="e">
        <f>SUMIFS(#REF!,#REF!,$B256,#REF!,AT$1)</f>
        <v>#REF!</v>
      </c>
      <c r="AU256" s="24" t="e">
        <f>SUMIFS(#REF!,#REF!,$B256,#REF!,AU$1)</f>
        <v>#REF!</v>
      </c>
      <c r="AV256" s="24" t="e">
        <f>SUMIFS(#REF!,#REF!,$B256,#REF!,AV$1)</f>
        <v>#REF!</v>
      </c>
      <c r="AW256" s="24" t="e">
        <f>SUMIFS(#REF!,#REF!,$B256,#REF!,AW$1)</f>
        <v>#REF!</v>
      </c>
      <c r="AX256" s="24" t="e">
        <f>SUMIFS(#REF!,#REF!,$B256,#REF!,AX$1)</f>
        <v>#REF!</v>
      </c>
      <c r="AY256" s="24" t="e">
        <f>SUMIFS(#REF!,#REF!,$B256,#REF!,AY$1)</f>
        <v>#REF!</v>
      </c>
      <c r="AZ256" s="24" t="e">
        <f>SUMIFS(#REF!,#REF!,$B256,#REF!,AZ$1)</f>
        <v>#REF!</v>
      </c>
      <c r="BA256" s="24" t="e">
        <f>SUMIFS(#REF!,#REF!,$B256,#REF!,BA$1)</f>
        <v>#REF!</v>
      </c>
      <c r="BB256" s="24" t="e">
        <f>SUMIFS(#REF!,#REF!,$B256,#REF!,BB$1)</f>
        <v>#REF!</v>
      </c>
      <c r="BC256" s="24" t="e">
        <f>SUMIFS(#REF!,#REF!,$B256,#REF!,BC$1)</f>
        <v>#REF!</v>
      </c>
      <c r="BD256" s="24" t="e">
        <f>SUMIFS(#REF!,#REF!,$B256,#REF!,BD$1)</f>
        <v>#REF!</v>
      </c>
      <c r="BE256" s="24" t="e">
        <f>SUMIFS(#REF!,#REF!,$B256,#REF!,BE$1)</f>
        <v>#REF!</v>
      </c>
      <c r="BF256" s="24" t="e">
        <f>SUMIFS(#REF!,#REF!,$B256,#REF!,BF$1)</f>
        <v>#REF!</v>
      </c>
      <c r="BG256" s="24" t="e">
        <f>SUMIFS(#REF!,#REF!,$B256,#REF!,BG$1)</f>
        <v>#REF!</v>
      </c>
      <c r="BH256" s="24" t="e">
        <f>SUMIFS(#REF!,#REF!,$B256,#REF!,BH$1)</f>
        <v>#REF!</v>
      </c>
      <c r="BI256" s="24" t="e">
        <f>SUMIFS(#REF!,#REF!,$B256,#REF!,BI$1)</f>
        <v>#REF!</v>
      </c>
      <c r="BJ256" s="24" t="e">
        <f>SUMIFS(#REF!,#REF!,$B256,#REF!,BJ$1)</f>
        <v>#REF!</v>
      </c>
      <c r="BK256" s="24" t="e">
        <f>SUMIFS(#REF!,#REF!,$B256,#REF!,BK$1)</f>
        <v>#REF!</v>
      </c>
      <c r="BL256" s="24" t="e">
        <f>SUMIFS(#REF!,#REF!,$B256,#REF!,BL$1)</f>
        <v>#REF!</v>
      </c>
      <c r="BM256" s="24" t="e">
        <f>SUMIFS(#REF!,#REF!,$B256,#REF!,BM$1)</f>
        <v>#REF!</v>
      </c>
      <c r="BN256" s="24" t="e">
        <f>SUMIFS(#REF!,#REF!,$B256,#REF!,BN$1)</f>
        <v>#REF!</v>
      </c>
      <c r="BO256" s="24" t="e">
        <f>SUMIFS(#REF!,#REF!,$B256,#REF!,BO$1)</f>
        <v>#REF!</v>
      </c>
      <c r="BP256" s="24" t="e">
        <f>SUMIFS(#REF!,#REF!,$B256,#REF!,BP$1)</f>
        <v>#REF!</v>
      </c>
      <c r="BQ256" s="24" t="e">
        <f>SUMIFS(#REF!,#REF!,$B256,#REF!,BQ$1)</f>
        <v>#REF!</v>
      </c>
      <c r="BR256" s="24" t="e">
        <f>SUMIFS(#REF!,#REF!,$B256,#REF!,BR$1)</f>
        <v>#REF!</v>
      </c>
      <c r="BS256" s="24" t="e">
        <f>SUMIFS(#REF!,#REF!,$B256,#REF!,BS$1)</f>
        <v>#REF!</v>
      </c>
      <c r="BT256" s="24" t="e">
        <f>SUMIFS(#REF!,#REF!,$B256,#REF!,BT$1)</f>
        <v>#REF!</v>
      </c>
      <c r="BU256" s="24" t="e">
        <f>SUMIFS(#REF!,#REF!,$B256,#REF!,BU$1)</f>
        <v>#REF!</v>
      </c>
      <c r="BV256" s="24" t="e">
        <f>SUMIFS(#REF!,#REF!,$B256,#REF!,BV$1)</f>
        <v>#REF!</v>
      </c>
      <c r="BW256" s="24" t="e">
        <f>SUMIFS(#REF!,#REF!,$B256,#REF!,BW$1)</f>
        <v>#REF!</v>
      </c>
      <c r="BX256" s="24" t="e">
        <f>SUMIFS(#REF!,#REF!,$B256,#REF!,BX$1)</f>
        <v>#REF!</v>
      </c>
      <c r="BY256" s="24" t="e">
        <f>SUMIFS(#REF!,#REF!,$B256,#REF!,BY$1)</f>
        <v>#REF!</v>
      </c>
      <c r="BZ256" s="24" t="e">
        <f>SUMIFS(#REF!,#REF!,$B256,#REF!,BZ$1)</f>
        <v>#REF!</v>
      </c>
      <c r="CA256" s="24" t="e">
        <f>SUMIFS(#REF!,#REF!,$B256,#REF!,CA$1)</f>
        <v>#REF!</v>
      </c>
      <c r="CB256" s="24" t="e">
        <f>SUMIFS(#REF!,#REF!,$B256,#REF!,CB$1)</f>
        <v>#REF!</v>
      </c>
      <c r="CC256" s="24" t="e">
        <f>SUMIFS(#REF!,#REF!,$B256,#REF!,CC$1)</f>
        <v>#REF!</v>
      </c>
      <c r="CD256" s="24" t="e">
        <f>SUMIFS(#REF!,#REF!,$B256,#REF!,CD$1)</f>
        <v>#REF!</v>
      </c>
      <c r="CE256" s="24" t="e">
        <f>SUMIFS(#REF!,#REF!,$B256,#REF!,CE$1)</f>
        <v>#REF!</v>
      </c>
      <c r="CF256" s="24" t="e">
        <f>SUMIFS(#REF!,#REF!,$B256,#REF!,CF$1)</f>
        <v>#REF!</v>
      </c>
      <c r="CG256" s="19" t="e">
        <f t="shared" si="3"/>
        <v>#REF!</v>
      </c>
    </row>
    <row r="257" spans="1:85" x14ac:dyDescent="0.45">
      <c r="A257" s="4" t="s">
        <v>1494</v>
      </c>
      <c r="B257" s="4" t="s">
        <v>1495</v>
      </c>
      <c r="C257" s="24" t="e">
        <f>SUMIFS(#REF!,#REF!,$B257,#REF!,C$1)</f>
        <v>#REF!</v>
      </c>
      <c r="D257" s="24" t="e">
        <f>SUMIFS(#REF!,#REF!,$B257,#REF!,D$1)</f>
        <v>#REF!</v>
      </c>
      <c r="E257" s="24" t="e">
        <f>SUMIFS(#REF!,#REF!,$B257,#REF!,E$1)</f>
        <v>#REF!</v>
      </c>
      <c r="F257" s="24" t="e">
        <f>SUMIFS(#REF!,#REF!,$B257,#REF!,F$1)</f>
        <v>#REF!</v>
      </c>
      <c r="G257" s="24" t="e">
        <f>SUMIFS(#REF!,#REF!,$B257,#REF!,G$1)</f>
        <v>#REF!</v>
      </c>
      <c r="H257" s="24" t="e">
        <f>SUMIFS(#REF!,#REF!,$B257,#REF!,H$1)</f>
        <v>#REF!</v>
      </c>
      <c r="I257" s="24" t="e">
        <f>SUMIFS(#REF!,#REF!,$B257,#REF!,I$1)</f>
        <v>#REF!</v>
      </c>
      <c r="J257" s="24" t="e">
        <f>SUMIFS(#REF!,#REF!,$B257,#REF!,J$1)</f>
        <v>#REF!</v>
      </c>
      <c r="K257" s="24" t="e">
        <f>SUMIFS(#REF!,#REF!,$B257,#REF!,K$1)</f>
        <v>#REF!</v>
      </c>
      <c r="L257" s="24" t="e">
        <f>SUMIFS(#REF!,#REF!,$B257,#REF!,L$1)</f>
        <v>#REF!</v>
      </c>
      <c r="M257" s="24" t="e">
        <f>SUMIFS(#REF!,#REF!,$B257,#REF!,M$1)</f>
        <v>#REF!</v>
      </c>
      <c r="N257" s="24" t="e">
        <f>SUMIFS(#REF!,#REF!,$B257,#REF!,N$1)</f>
        <v>#REF!</v>
      </c>
      <c r="O257" s="24" t="e">
        <f>SUMIFS(#REF!,#REF!,$B257,#REF!,O$1)</f>
        <v>#REF!</v>
      </c>
      <c r="P257" s="24" t="e">
        <f>SUMIFS(#REF!,#REF!,$B257,#REF!,P$1)</f>
        <v>#REF!</v>
      </c>
      <c r="Q257" s="24" t="e">
        <f>SUMIFS(#REF!,#REF!,$B257,#REF!,Q$1)</f>
        <v>#REF!</v>
      </c>
      <c r="R257" s="24" t="e">
        <f>SUMIFS(#REF!,#REF!,$B257,#REF!,R$1)</f>
        <v>#REF!</v>
      </c>
      <c r="S257" s="24" t="e">
        <f>SUMIFS(#REF!,#REF!,$B257,#REF!,S$1)</f>
        <v>#REF!</v>
      </c>
      <c r="T257" s="24" t="e">
        <f>SUMIFS(#REF!,#REF!,$B257,#REF!,T$1)</f>
        <v>#REF!</v>
      </c>
      <c r="U257" s="24" t="e">
        <f>SUMIFS(#REF!,#REF!,$B257,#REF!,U$1)</f>
        <v>#REF!</v>
      </c>
      <c r="V257" s="24" t="e">
        <f>SUMIFS(#REF!,#REF!,$B257,#REF!,V$1)</f>
        <v>#REF!</v>
      </c>
      <c r="W257" s="24" t="e">
        <f>SUMIFS(#REF!,#REF!,$B257,#REF!,W$1)</f>
        <v>#REF!</v>
      </c>
      <c r="X257" s="24" t="e">
        <f>SUMIFS(#REF!,#REF!,$B257,#REF!,X$1)</f>
        <v>#REF!</v>
      </c>
      <c r="Y257" s="24" t="e">
        <f>SUMIFS(#REF!,#REF!,$B257,#REF!,Y$1)</f>
        <v>#REF!</v>
      </c>
      <c r="Z257" s="24" t="e">
        <f>SUMIFS(#REF!,#REF!,$B257,#REF!,Z$1)</f>
        <v>#REF!</v>
      </c>
      <c r="AA257" s="24" t="e">
        <f>SUMIFS(#REF!,#REF!,$B257,#REF!,AA$1)</f>
        <v>#REF!</v>
      </c>
      <c r="AB257" s="24" t="e">
        <f>SUMIFS(#REF!,#REF!,$B257,#REF!,AB$1)</f>
        <v>#REF!</v>
      </c>
      <c r="AC257" s="24" t="e">
        <f>SUMIFS(#REF!,#REF!,$B257,#REF!,AC$1)</f>
        <v>#REF!</v>
      </c>
      <c r="AD257" s="24" t="e">
        <f>SUMIFS(#REF!,#REF!,$B257,#REF!,AD$1)</f>
        <v>#REF!</v>
      </c>
      <c r="AE257" s="24" t="e">
        <f>SUMIFS(#REF!,#REF!,$B257,#REF!,AE$1)</f>
        <v>#REF!</v>
      </c>
      <c r="AF257" s="24" t="e">
        <f>SUMIFS(#REF!,#REF!,$B257,#REF!,AF$1)</f>
        <v>#REF!</v>
      </c>
      <c r="AG257" s="24" t="e">
        <f>SUMIFS(#REF!,#REF!,$B257,#REF!,AG$1)</f>
        <v>#REF!</v>
      </c>
      <c r="AH257" s="24" t="e">
        <f>SUMIFS(#REF!,#REF!,$B257,#REF!,AH$1)</f>
        <v>#REF!</v>
      </c>
      <c r="AI257" s="24" t="e">
        <f>SUMIFS(#REF!,#REF!,$B257,#REF!,AI$1)</f>
        <v>#REF!</v>
      </c>
      <c r="AJ257" s="24" t="e">
        <f>SUMIFS(#REF!,#REF!,$B257,#REF!,AJ$1)</f>
        <v>#REF!</v>
      </c>
      <c r="AK257" s="24" t="e">
        <f>SUMIFS(#REF!,#REF!,$B257,#REF!,AK$1)</f>
        <v>#REF!</v>
      </c>
      <c r="AL257" s="24" t="e">
        <f>SUMIFS(#REF!,#REF!,$B257,#REF!,AL$1)</f>
        <v>#REF!</v>
      </c>
      <c r="AM257" s="24" t="e">
        <f>SUMIFS(#REF!,#REF!,$B257,#REF!,AM$1)</f>
        <v>#REF!</v>
      </c>
      <c r="AN257" s="24" t="e">
        <f>SUMIFS(#REF!,#REF!,$B257,#REF!,AN$1)</f>
        <v>#REF!</v>
      </c>
      <c r="AO257" s="24" t="e">
        <f>SUMIFS(#REF!,#REF!,$B257,#REF!,AO$1)</f>
        <v>#REF!</v>
      </c>
      <c r="AP257" s="24" t="e">
        <f>SUMIFS(#REF!,#REF!,$B257,#REF!,AP$1)</f>
        <v>#REF!</v>
      </c>
      <c r="AQ257" s="24" t="e">
        <f>SUMIFS(#REF!,#REF!,$B257,#REF!,AQ$1)</f>
        <v>#REF!</v>
      </c>
      <c r="AR257" s="24" t="e">
        <f>SUMIFS(#REF!,#REF!,$B257,#REF!,AR$1)</f>
        <v>#REF!</v>
      </c>
      <c r="AS257" s="24" t="e">
        <f>SUMIFS(#REF!,#REF!,$B257,#REF!,AS$1)</f>
        <v>#REF!</v>
      </c>
      <c r="AT257" s="24" t="e">
        <f>SUMIFS(#REF!,#REF!,$B257,#REF!,AT$1)</f>
        <v>#REF!</v>
      </c>
      <c r="AU257" s="24" t="e">
        <f>SUMIFS(#REF!,#REF!,$B257,#REF!,AU$1)</f>
        <v>#REF!</v>
      </c>
      <c r="AV257" s="24" t="e">
        <f>SUMIFS(#REF!,#REF!,$B257,#REF!,AV$1)</f>
        <v>#REF!</v>
      </c>
      <c r="AW257" s="24" t="e">
        <f>SUMIFS(#REF!,#REF!,$B257,#REF!,AW$1)</f>
        <v>#REF!</v>
      </c>
      <c r="AX257" s="24" t="e">
        <f>SUMIFS(#REF!,#REF!,$B257,#REF!,AX$1)</f>
        <v>#REF!</v>
      </c>
      <c r="AY257" s="24" t="e">
        <f>SUMIFS(#REF!,#REF!,$B257,#REF!,AY$1)</f>
        <v>#REF!</v>
      </c>
      <c r="AZ257" s="24" t="e">
        <f>SUMIFS(#REF!,#REF!,$B257,#REF!,AZ$1)</f>
        <v>#REF!</v>
      </c>
      <c r="BA257" s="24" t="e">
        <f>SUMIFS(#REF!,#REF!,$B257,#REF!,BA$1)</f>
        <v>#REF!</v>
      </c>
      <c r="BB257" s="24" t="e">
        <f>SUMIFS(#REF!,#REF!,$B257,#REF!,BB$1)</f>
        <v>#REF!</v>
      </c>
      <c r="BC257" s="24" t="e">
        <f>SUMIFS(#REF!,#REF!,$B257,#REF!,BC$1)</f>
        <v>#REF!</v>
      </c>
      <c r="BD257" s="24" t="e">
        <f>SUMIFS(#REF!,#REF!,$B257,#REF!,BD$1)</f>
        <v>#REF!</v>
      </c>
      <c r="BE257" s="24" t="e">
        <f>SUMIFS(#REF!,#REF!,$B257,#REF!,BE$1)</f>
        <v>#REF!</v>
      </c>
      <c r="BF257" s="24" t="e">
        <f>SUMIFS(#REF!,#REF!,$B257,#REF!,BF$1)</f>
        <v>#REF!</v>
      </c>
      <c r="BG257" s="24" t="e">
        <f>SUMIFS(#REF!,#REF!,$B257,#REF!,BG$1)</f>
        <v>#REF!</v>
      </c>
      <c r="BH257" s="24" t="e">
        <f>SUMIFS(#REF!,#REF!,$B257,#REF!,BH$1)</f>
        <v>#REF!</v>
      </c>
      <c r="BI257" s="24" t="e">
        <f>SUMIFS(#REF!,#REF!,$B257,#REF!,BI$1)</f>
        <v>#REF!</v>
      </c>
      <c r="BJ257" s="24" t="e">
        <f>SUMIFS(#REF!,#REF!,$B257,#REF!,BJ$1)</f>
        <v>#REF!</v>
      </c>
      <c r="BK257" s="24" t="e">
        <f>SUMIFS(#REF!,#REF!,$B257,#REF!,BK$1)</f>
        <v>#REF!</v>
      </c>
      <c r="BL257" s="24" t="e">
        <f>SUMIFS(#REF!,#REF!,$B257,#REF!,BL$1)</f>
        <v>#REF!</v>
      </c>
      <c r="BM257" s="24" t="e">
        <f>SUMIFS(#REF!,#REF!,$B257,#REF!,BM$1)</f>
        <v>#REF!</v>
      </c>
      <c r="BN257" s="24" t="e">
        <f>SUMIFS(#REF!,#REF!,$B257,#REF!,BN$1)</f>
        <v>#REF!</v>
      </c>
      <c r="BO257" s="24" t="e">
        <f>SUMIFS(#REF!,#REF!,$B257,#REF!,BO$1)</f>
        <v>#REF!</v>
      </c>
      <c r="BP257" s="24" t="e">
        <f>SUMIFS(#REF!,#REF!,$B257,#REF!,BP$1)</f>
        <v>#REF!</v>
      </c>
      <c r="BQ257" s="24" t="e">
        <f>SUMIFS(#REF!,#REF!,$B257,#REF!,BQ$1)</f>
        <v>#REF!</v>
      </c>
      <c r="BR257" s="24" t="e">
        <f>SUMIFS(#REF!,#REF!,$B257,#REF!,BR$1)</f>
        <v>#REF!</v>
      </c>
      <c r="BS257" s="24" t="e">
        <f>SUMIFS(#REF!,#REF!,$B257,#REF!,BS$1)</f>
        <v>#REF!</v>
      </c>
      <c r="BT257" s="24" t="e">
        <f>SUMIFS(#REF!,#REF!,$B257,#REF!,BT$1)</f>
        <v>#REF!</v>
      </c>
      <c r="BU257" s="24" t="e">
        <f>SUMIFS(#REF!,#REF!,$B257,#REF!,BU$1)</f>
        <v>#REF!</v>
      </c>
      <c r="BV257" s="24" t="e">
        <f>SUMIFS(#REF!,#REF!,$B257,#REF!,BV$1)</f>
        <v>#REF!</v>
      </c>
      <c r="BW257" s="24" t="e">
        <f>SUMIFS(#REF!,#REF!,$B257,#REF!,BW$1)</f>
        <v>#REF!</v>
      </c>
      <c r="BX257" s="24" t="e">
        <f>SUMIFS(#REF!,#REF!,$B257,#REF!,BX$1)</f>
        <v>#REF!</v>
      </c>
      <c r="BY257" s="24" t="e">
        <f>SUMIFS(#REF!,#REF!,$B257,#REF!,BY$1)</f>
        <v>#REF!</v>
      </c>
      <c r="BZ257" s="24" t="e">
        <f>SUMIFS(#REF!,#REF!,$B257,#REF!,BZ$1)</f>
        <v>#REF!</v>
      </c>
      <c r="CA257" s="24" t="e">
        <f>SUMIFS(#REF!,#REF!,$B257,#REF!,CA$1)</f>
        <v>#REF!</v>
      </c>
      <c r="CB257" s="24" t="e">
        <f>SUMIFS(#REF!,#REF!,$B257,#REF!,CB$1)</f>
        <v>#REF!</v>
      </c>
      <c r="CC257" s="24" t="e">
        <f>SUMIFS(#REF!,#REF!,$B257,#REF!,CC$1)</f>
        <v>#REF!</v>
      </c>
      <c r="CD257" s="24" t="e">
        <f>SUMIFS(#REF!,#REF!,$B257,#REF!,CD$1)</f>
        <v>#REF!</v>
      </c>
      <c r="CE257" s="24" t="e">
        <f>SUMIFS(#REF!,#REF!,$B257,#REF!,CE$1)</f>
        <v>#REF!</v>
      </c>
      <c r="CF257" s="24" t="e">
        <f>SUMIFS(#REF!,#REF!,$B257,#REF!,CF$1)</f>
        <v>#REF!</v>
      </c>
      <c r="CG257" s="19" t="e">
        <f t="shared" si="3"/>
        <v>#REF!</v>
      </c>
    </row>
    <row r="258" spans="1:85" x14ac:dyDescent="0.45">
      <c r="A258" s="4" t="s">
        <v>1496</v>
      </c>
      <c r="B258" s="4" t="s">
        <v>1497</v>
      </c>
      <c r="C258" s="24" t="e">
        <f>SUMIFS(#REF!,#REF!,$B258,#REF!,C$1)</f>
        <v>#REF!</v>
      </c>
      <c r="D258" s="24" t="e">
        <f>SUMIFS(#REF!,#REF!,$B258,#REF!,D$1)</f>
        <v>#REF!</v>
      </c>
      <c r="E258" s="24" t="e">
        <f>SUMIFS(#REF!,#REF!,$B258,#REF!,E$1)</f>
        <v>#REF!</v>
      </c>
      <c r="F258" s="24" t="e">
        <f>SUMIFS(#REF!,#REF!,$B258,#REF!,F$1)</f>
        <v>#REF!</v>
      </c>
      <c r="G258" s="24" t="e">
        <f>SUMIFS(#REF!,#REF!,$B258,#REF!,G$1)</f>
        <v>#REF!</v>
      </c>
      <c r="H258" s="24" t="e">
        <f>SUMIFS(#REF!,#REF!,$B258,#REF!,H$1)</f>
        <v>#REF!</v>
      </c>
      <c r="I258" s="24" t="e">
        <f>SUMIFS(#REF!,#REF!,$B258,#REF!,I$1)</f>
        <v>#REF!</v>
      </c>
      <c r="J258" s="24" t="e">
        <f>SUMIFS(#REF!,#REF!,$B258,#REF!,J$1)</f>
        <v>#REF!</v>
      </c>
      <c r="K258" s="24" t="e">
        <f>SUMIFS(#REF!,#REF!,$B258,#REF!,K$1)</f>
        <v>#REF!</v>
      </c>
      <c r="L258" s="24" t="e">
        <f>SUMIFS(#REF!,#REF!,$B258,#REF!,L$1)</f>
        <v>#REF!</v>
      </c>
      <c r="M258" s="24" t="e">
        <f>SUMIFS(#REF!,#REF!,$B258,#REF!,M$1)</f>
        <v>#REF!</v>
      </c>
      <c r="N258" s="24" t="e">
        <f>SUMIFS(#REF!,#REF!,$B258,#REF!,N$1)</f>
        <v>#REF!</v>
      </c>
      <c r="O258" s="24" t="e">
        <f>SUMIFS(#REF!,#REF!,$B258,#REF!,O$1)</f>
        <v>#REF!</v>
      </c>
      <c r="P258" s="24" t="e">
        <f>SUMIFS(#REF!,#REF!,$B258,#REF!,P$1)</f>
        <v>#REF!</v>
      </c>
      <c r="Q258" s="24" t="e">
        <f>SUMIFS(#REF!,#REF!,$B258,#REF!,Q$1)</f>
        <v>#REF!</v>
      </c>
      <c r="R258" s="24" t="e">
        <f>SUMIFS(#REF!,#REF!,$B258,#REF!,R$1)</f>
        <v>#REF!</v>
      </c>
      <c r="S258" s="24" t="e">
        <f>SUMIFS(#REF!,#REF!,$B258,#REF!,S$1)</f>
        <v>#REF!</v>
      </c>
      <c r="T258" s="24" t="e">
        <f>SUMIFS(#REF!,#REF!,$B258,#REF!,T$1)</f>
        <v>#REF!</v>
      </c>
      <c r="U258" s="24" t="e">
        <f>SUMIFS(#REF!,#REF!,$B258,#REF!,U$1)</f>
        <v>#REF!</v>
      </c>
      <c r="V258" s="24" t="e">
        <f>SUMIFS(#REF!,#REF!,$B258,#REF!,V$1)</f>
        <v>#REF!</v>
      </c>
      <c r="W258" s="24" t="e">
        <f>SUMIFS(#REF!,#REF!,$B258,#REF!,W$1)</f>
        <v>#REF!</v>
      </c>
      <c r="X258" s="24" t="e">
        <f>SUMIFS(#REF!,#REF!,$B258,#REF!,X$1)</f>
        <v>#REF!</v>
      </c>
      <c r="Y258" s="24" t="e">
        <f>SUMIFS(#REF!,#REF!,$B258,#REF!,Y$1)</f>
        <v>#REF!</v>
      </c>
      <c r="Z258" s="24" t="e">
        <f>SUMIFS(#REF!,#REF!,$B258,#REF!,Z$1)</f>
        <v>#REF!</v>
      </c>
      <c r="AA258" s="24" t="e">
        <f>SUMIFS(#REF!,#REF!,$B258,#REF!,AA$1)</f>
        <v>#REF!</v>
      </c>
      <c r="AB258" s="24" t="e">
        <f>SUMIFS(#REF!,#REF!,$B258,#REF!,AB$1)</f>
        <v>#REF!</v>
      </c>
      <c r="AC258" s="24" t="e">
        <f>SUMIFS(#REF!,#REF!,$B258,#REF!,AC$1)</f>
        <v>#REF!</v>
      </c>
      <c r="AD258" s="24" t="e">
        <f>SUMIFS(#REF!,#REF!,$B258,#REF!,AD$1)</f>
        <v>#REF!</v>
      </c>
      <c r="AE258" s="24" t="e">
        <f>SUMIFS(#REF!,#REF!,$B258,#REF!,AE$1)</f>
        <v>#REF!</v>
      </c>
      <c r="AF258" s="24" t="e">
        <f>SUMIFS(#REF!,#REF!,$B258,#REF!,AF$1)</f>
        <v>#REF!</v>
      </c>
      <c r="AG258" s="24" t="e">
        <f>SUMIFS(#REF!,#REF!,$B258,#REF!,AG$1)</f>
        <v>#REF!</v>
      </c>
      <c r="AH258" s="24" t="e">
        <f>SUMIFS(#REF!,#REF!,$B258,#REF!,AH$1)</f>
        <v>#REF!</v>
      </c>
      <c r="AI258" s="24" t="e">
        <f>SUMIFS(#REF!,#REF!,$B258,#REF!,AI$1)</f>
        <v>#REF!</v>
      </c>
      <c r="AJ258" s="24" t="e">
        <f>SUMIFS(#REF!,#REF!,$B258,#REF!,AJ$1)</f>
        <v>#REF!</v>
      </c>
      <c r="AK258" s="24" t="e">
        <f>SUMIFS(#REF!,#REF!,$B258,#REF!,AK$1)</f>
        <v>#REF!</v>
      </c>
      <c r="AL258" s="24" t="e">
        <f>SUMIFS(#REF!,#REF!,$B258,#REF!,AL$1)</f>
        <v>#REF!</v>
      </c>
      <c r="AM258" s="24" t="e">
        <f>SUMIFS(#REF!,#REF!,$B258,#REF!,AM$1)</f>
        <v>#REF!</v>
      </c>
      <c r="AN258" s="24" t="e">
        <f>SUMIFS(#REF!,#REF!,$B258,#REF!,AN$1)</f>
        <v>#REF!</v>
      </c>
      <c r="AO258" s="24" t="e">
        <f>SUMIFS(#REF!,#REF!,$B258,#REF!,AO$1)</f>
        <v>#REF!</v>
      </c>
      <c r="AP258" s="24" t="e">
        <f>SUMIFS(#REF!,#REF!,$B258,#REF!,AP$1)</f>
        <v>#REF!</v>
      </c>
      <c r="AQ258" s="24" t="e">
        <f>SUMIFS(#REF!,#REF!,$B258,#REF!,AQ$1)</f>
        <v>#REF!</v>
      </c>
      <c r="AR258" s="24" t="e">
        <f>SUMIFS(#REF!,#REF!,$B258,#REF!,AR$1)</f>
        <v>#REF!</v>
      </c>
      <c r="AS258" s="24" t="e">
        <f>SUMIFS(#REF!,#REF!,$B258,#REF!,AS$1)</f>
        <v>#REF!</v>
      </c>
      <c r="AT258" s="24" t="e">
        <f>SUMIFS(#REF!,#REF!,$B258,#REF!,AT$1)</f>
        <v>#REF!</v>
      </c>
      <c r="AU258" s="24" t="e">
        <f>SUMIFS(#REF!,#REF!,$B258,#REF!,AU$1)</f>
        <v>#REF!</v>
      </c>
      <c r="AV258" s="24" t="e">
        <f>SUMIFS(#REF!,#REF!,$B258,#REF!,AV$1)</f>
        <v>#REF!</v>
      </c>
      <c r="AW258" s="24" t="e">
        <f>SUMIFS(#REF!,#REF!,$B258,#REF!,AW$1)</f>
        <v>#REF!</v>
      </c>
      <c r="AX258" s="24" t="e">
        <f>SUMIFS(#REF!,#REF!,$B258,#REF!,AX$1)</f>
        <v>#REF!</v>
      </c>
      <c r="AY258" s="24" t="e">
        <f>SUMIFS(#REF!,#REF!,$B258,#REF!,AY$1)</f>
        <v>#REF!</v>
      </c>
      <c r="AZ258" s="24" t="e">
        <f>SUMIFS(#REF!,#REF!,$B258,#REF!,AZ$1)</f>
        <v>#REF!</v>
      </c>
      <c r="BA258" s="24" t="e">
        <f>SUMIFS(#REF!,#REF!,$B258,#REF!,BA$1)</f>
        <v>#REF!</v>
      </c>
      <c r="BB258" s="24" t="e">
        <f>SUMIFS(#REF!,#REF!,$B258,#REF!,BB$1)</f>
        <v>#REF!</v>
      </c>
      <c r="BC258" s="24" t="e">
        <f>SUMIFS(#REF!,#REF!,$B258,#REF!,BC$1)</f>
        <v>#REF!</v>
      </c>
      <c r="BD258" s="24" t="e">
        <f>SUMIFS(#REF!,#REF!,$B258,#REF!,BD$1)</f>
        <v>#REF!</v>
      </c>
      <c r="BE258" s="24" t="e">
        <f>SUMIFS(#REF!,#REF!,$B258,#REF!,BE$1)</f>
        <v>#REF!</v>
      </c>
      <c r="BF258" s="24" t="e">
        <f>SUMIFS(#REF!,#REF!,$B258,#REF!,BF$1)</f>
        <v>#REF!</v>
      </c>
      <c r="BG258" s="24" t="e">
        <f>SUMIFS(#REF!,#REF!,$B258,#REF!,BG$1)</f>
        <v>#REF!</v>
      </c>
      <c r="BH258" s="24" t="e">
        <f>SUMIFS(#REF!,#REF!,$B258,#REF!,BH$1)</f>
        <v>#REF!</v>
      </c>
      <c r="BI258" s="24" t="e">
        <f>SUMIFS(#REF!,#REF!,$B258,#REF!,BI$1)</f>
        <v>#REF!</v>
      </c>
      <c r="BJ258" s="24" t="e">
        <f>SUMIFS(#REF!,#REF!,$B258,#REF!,BJ$1)</f>
        <v>#REF!</v>
      </c>
      <c r="BK258" s="24" t="e">
        <f>SUMIFS(#REF!,#REF!,$B258,#REF!,BK$1)</f>
        <v>#REF!</v>
      </c>
      <c r="BL258" s="24" t="e">
        <f>SUMIFS(#REF!,#REF!,$B258,#REF!,BL$1)</f>
        <v>#REF!</v>
      </c>
      <c r="BM258" s="24" t="e">
        <f>SUMIFS(#REF!,#REF!,$B258,#REF!,BM$1)</f>
        <v>#REF!</v>
      </c>
      <c r="BN258" s="24" t="e">
        <f>SUMIFS(#REF!,#REF!,$B258,#REF!,BN$1)</f>
        <v>#REF!</v>
      </c>
      <c r="BO258" s="24" t="e">
        <f>SUMIFS(#REF!,#REF!,$B258,#REF!,BO$1)</f>
        <v>#REF!</v>
      </c>
      <c r="BP258" s="24" t="e">
        <f>SUMIFS(#REF!,#REF!,$B258,#REF!,BP$1)</f>
        <v>#REF!</v>
      </c>
      <c r="BQ258" s="24" t="e">
        <f>SUMIFS(#REF!,#REF!,$B258,#REF!,BQ$1)</f>
        <v>#REF!</v>
      </c>
      <c r="BR258" s="24" t="e">
        <f>SUMIFS(#REF!,#REF!,$B258,#REF!,BR$1)</f>
        <v>#REF!</v>
      </c>
      <c r="BS258" s="24" t="e">
        <f>SUMIFS(#REF!,#REF!,$B258,#REF!,BS$1)</f>
        <v>#REF!</v>
      </c>
      <c r="BT258" s="24" t="e">
        <f>SUMIFS(#REF!,#REF!,$B258,#REF!,BT$1)</f>
        <v>#REF!</v>
      </c>
      <c r="BU258" s="24" t="e">
        <f>SUMIFS(#REF!,#REF!,$B258,#REF!,BU$1)</f>
        <v>#REF!</v>
      </c>
      <c r="BV258" s="24" t="e">
        <f>SUMIFS(#REF!,#REF!,$B258,#REF!,BV$1)</f>
        <v>#REF!</v>
      </c>
      <c r="BW258" s="24" t="e">
        <f>SUMIFS(#REF!,#REF!,$B258,#REF!,BW$1)</f>
        <v>#REF!</v>
      </c>
      <c r="BX258" s="24" t="e">
        <f>SUMIFS(#REF!,#REF!,$B258,#REF!,BX$1)</f>
        <v>#REF!</v>
      </c>
      <c r="BY258" s="24" t="e">
        <f>SUMIFS(#REF!,#REF!,$B258,#REF!,BY$1)</f>
        <v>#REF!</v>
      </c>
      <c r="BZ258" s="24" t="e">
        <f>SUMIFS(#REF!,#REF!,$B258,#REF!,BZ$1)</f>
        <v>#REF!</v>
      </c>
      <c r="CA258" s="24" t="e">
        <f>SUMIFS(#REF!,#REF!,$B258,#REF!,CA$1)</f>
        <v>#REF!</v>
      </c>
      <c r="CB258" s="24" t="e">
        <f>SUMIFS(#REF!,#REF!,$B258,#REF!,CB$1)</f>
        <v>#REF!</v>
      </c>
      <c r="CC258" s="24" t="e">
        <f>SUMIFS(#REF!,#REF!,$B258,#REF!,CC$1)</f>
        <v>#REF!</v>
      </c>
      <c r="CD258" s="24" t="e">
        <f>SUMIFS(#REF!,#REF!,$B258,#REF!,CD$1)</f>
        <v>#REF!</v>
      </c>
      <c r="CE258" s="24" t="e">
        <f>SUMIFS(#REF!,#REF!,$B258,#REF!,CE$1)</f>
        <v>#REF!</v>
      </c>
      <c r="CF258" s="24" t="e">
        <f>SUMIFS(#REF!,#REF!,$B258,#REF!,CF$1)</f>
        <v>#REF!</v>
      </c>
      <c r="CG258" s="19" t="e">
        <f t="shared" ref="CG258:CG321" si="4">SUM(C258:CF258)</f>
        <v>#REF!</v>
      </c>
    </row>
    <row r="259" spans="1:85" x14ac:dyDescent="0.45">
      <c r="A259" s="4" t="s">
        <v>1498</v>
      </c>
      <c r="B259" s="4" t="s">
        <v>1498</v>
      </c>
      <c r="C259" s="24" t="e">
        <f>SUMIFS(#REF!,#REF!,$B259,#REF!,C$1)</f>
        <v>#REF!</v>
      </c>
      <c r="D259" s="24" t="e">
        <f>SUMIFS(#REF!,#REF!,$B259,#REF!,D$1)</f>
        <v>#REF!</v>
      </c>
      <c r="E259" s="24" t="e">
        <f>SUMIFS(#REF!,#REF!,$B259,#REF!,E$1)</f>
        <v>#REF!</v>
      </c>
      <c r="F259" s="24" t="e">
        <f>SUMIFS(#REF!,#REF!,$B259,#REF!,F$1)</f>
        <v>#REF!</v>
      </c>
      <c r="G259" s="24" t="e">
        <f>SUMIFS(#REF!,#REF!,$B259,#REF!,G$1)</f>
        <v>#REF!</v>
      </c>
      <c r="H259" s="24" t="e">
        <f>SUMIFS(#REF!,#REF!,$B259,#REF!,H$1)</f>
        <v>#REF!</v>
      </c>
      <c r="I259" s="24" t="e">
        <f>SUMIFS(#REF!,#REF!,$B259,#REF!,I$1)</f>
        <v>#REF!</v>
      </c>
      <c r="J259" s="24" t="e">
        <f>SUMIFS(#REF!,#REF!,$B259,#REF!,J$1)</f>
        <v>#REF!</v>
      </c>
      <c r="K259" s="24" t="e">
        <f>SUMIFS(#REF!,#REF!,$B259,#REF!,K$1)</f>
        <v>#REF!</v>
      </c>
      <c r="L259" s="24" t="e">
        <f>SUMIFS(#REF!,#REF!,$B259,#REF!,L$1)</f>
        <v>#REF!</v>
      </c>
      <c r="M259" s="24" t="e">
        <f>SUMIFS(#REF!,#REF!,$B259,#REF!,M$1)</f>
        <v>#REF!</v>
      </c>
      <c r="N259" s="24" t="e">
        <f>SUMIFS(#REF!,#REF!,$B259,#REF!,N$1)</f>
        <v>#REF!</v>
      </c>
      <c r="O259" s="24" t="e">
        <f>SUMIFS(#REF!,#REF!,$B259,#REF!,O$1)</f>
        <v>#REF!</v>
      </c>
      <c r="P259" s="24" t="e">
        <f>SUMIFS(#REF!,#REF!,$B259,#REF!,P$1)</f>
        <v>#REF!</v>
      </c>
      <c r="Q259" s="24" t="e">
        <f>SUMIFS(#REF!,#REF!,$B259,#REF!,Q$1)</f>
        <v>#REF!</v>
      </c>
      <c r="R259" s="24" t="e">
        <f>SUMIFS(#REF!,#REF!,$B259,#REF!,R$1)</f>
        <v>#REF!</v>
      </c>
      <c r="S259" s="24" t="e">
        <f>SUMIFS(#REF!,#REF!,$B259,#REF!,S$1)</f>
        <v>#REF!</v>
      </c>
      <c r="T259" s="24" t="e">
        <f>SUMIFS(#REF!,#REF!,$B259,#REF!,T$1)</f>
        <v>#REF!</v>
      </c>
      <c r="U259" s="24" t="e">
        <f>SUMIFS(#REF!,#REF!,$B259,#REF!,U$1)</f>
        <v>#REF!</v>
      </c>
      <c r="V259" s="24" t="e">
        <f>SUMIFS(#REF!,#REF!,$B259,#REF!,V$1)</f>
        <v>#REF!</v>
      </c>
      <c r="W259" s="24" t="e">
        <f>SUMIFS(#REF!,#REF!,$B259,#REF!,W$1)</f>
        <v>#REF!</v>
      </c>
      <c r="X259" s="24" t="e">
        <f>SUMIFS(#REF!,#REF!,$B259,#REF!,X$1)</f>
        <v>#REF!</v>
      </c>
      <c r="Y259" s="24" t="e">
        <f>SUMIFS(#REF!,#REF!,$B259,#REF!,Y$1)</f>
        <v>#REF!</v>
      </c>
      <c r="Z259" s="24" t="e">
        <f>SUMIFS(#REF!,#REF!,$B259,#REF!,Z$1)</f>
        <v>#REF!</v>
      </c>
      <c r="AA259" s="24" t="e">
        <f>SUMIFS(#REF!,#REF!,$B259,#REF!,AA$1)</f>
        <v>#REF!</v>
      </c>
      <c r="AB259" s="24" t="e">
        <f>SUMIFS(#REF!,#REF!,$B259,#REF!,AB$1)</f>
        <v>#REF!</v>
      </c>
      <c r="AC259" s="24" t="e">
        <f>SUMIFS(#REF!,#REF!,$B259,#REF!,AC$1)</f>
        <v>#REF!</v>
      </c>
      <c r="AD259" s="24" t="e">
        <f>SUMIFS(#REF!,#REF!,$B259,#REF!,AD$1)</f>
        <v>#REF!</v>
      </c>
      <c r="AE259" s="24" t="e">
        <f>SUMIFS(#REF!,#REF!,$B259,#REF!,AE$1)</f>
        <v>#REF!</v>
      </c>
      <c r="AF259" s="24" t="e">
        <f>SUMIFS(#REF!,#REF!,$B259,#REF!,AF$1)</f>
        <v>#REF!</v>
      </c>
      <c r="AG259" s="24" t="e">
        <f>SUMIFS(#REF!,#REF!,$B259,#REF!,AG$1)</f>
        <v>#REF!</v>
      </c>
      <c r="AH259" s="24" t="e">
        <f>SUMIFS(#REF!,#REF!,$B259,#REF!,AH$1)</f>
        <v>#REF!</v>
      </c>
      <c r="AI259" s="24" t="e">
        <f>SUMIFS(#REF!,#REF!,$B259,#REF!,AI$1)</f>
        <v>#REF!</v>
      </c>
      <c r="AJ259" s="24" t="e">
        <f>SUMIFS(#REF!,#REF!,$B259,#REF!,AJ$1)</f>
        <v>#REF!</v>
      </c>
      <c r="AK259" s="24" t="e">
        <f>SUMIFS(#REF!,#REF!,$B259,#REF!,AK$1)</f>
        <v>#REF!</v>
      </c>
      <c r="AL259" s="24" t="e">
        <f>SUMIFS(#REF!,#REF!,$B259,#REF!,AL$1)</f>
        <v>#REF!</v>
      </c>
      <c r="AM259" s="24" t="e">
        <f>SUMIFS(#REF!,#REF!,$B259,#REF!,AM$1)</f>
        <v>#REF!</v>
      </c>
      <c r="AN259" s="24" t="e">
        <f>SUMIFS(#REF!,#REF!,$B259,#REF!,AN$1)</f>
        <v>#REF!</v>
      </c>
      <c r="AO259" s="24" t="e">
        <f>SUMIFS(#REF!,#REF!,$B259,#REF!,AO$1)</f>
        <v>#REF!</v>
      </c>
      <c r="AP259" s="24" t="e">
        <f>SUMIFS(#REF!,#REF!,$B259,#REF!,AP$1)</f>
        <v>#REF!</v>
      </c>
      <c r="AQ259" s="24" t="e">
        <f>SUMIFS(#REF!,#REF!,$B259,#REF!,AQ$1)</f>
        <v>#REF!</v>
      </c>
      <c r="AR259" s="24" t="e">
        <f>SUMIFS(#REF!,#REF!,$B259,#REF!,AR$1)</f>
        <v>#REF!</v>
      </c>
      <c r="AS259" s="24" t="e">
        <f>SUMIFS(#REF!,#REF!,$B259,#REF!,AS$1)</f>
        <v>#REF!</v>
      </c>
      <c r="AT259" s="24" t="e">
        <f>SUMIFS(#REF!,#REF!,$B259,#REF!,AT$1)</f>
        <v>#REF!</v>
      </c>
      <c r="AU259" s="24" t="e">
        <f>SUMIFS(#REF!,#REF!,$B259,#REF!,AU$1)</f>
        <v>#REF!</v>
      </c>
      <c r="AV259" s="24" t="e">
        <f>SUMIFS(#REF!,#REF!,$B259,#REF!,AV$1)</f>
        <v>#REF!</v>
      </c>
      <c r="AW259" s="24" t="e">
        <f>SUMIFS(#REF!,#REF!,$B259,#REF!,AW$1)</f>
        <v>#REF!</v>
      </c>
      <c r="AX259" s="24" t="e">
        <f>SUMIFS(#REF!,#REF!,$B259,#REF!,AX$1)</f>
        <v>#REF!</v>
      </c>
      <c r="AY259" s="24" t="e">
        <f>SUMIFS(#REF!,#REF!,$B259,#REF!,AY$1)</f>
        <v>#REF!</v>
      </c>
      <c r="AZ259" s="24" t="e">
        <f>SUMIFS(#REF!,#REF!,$B259,#REF!,AZ$1)</f>
        <v>#REF!</v>
      </c>
      <c r="BA259" s="24" t="e">
        <f>SUMIFS(#REF!,#REF!,$B259,#REF!,BA$1)</f>
        <v>#REF!</v>
      </c>
      <c r="BB259" s="24" t="e">
        <f>SUMIFS(#REF!,#REF!,$B259,#REF!,BB$1)</f>
        <v>#REF!</v>
      </c>
      <c r="BC259" s="24" t="e">
        <f>SUMIFS(#REF!,#REF!,$B259,#REF!,BC$1)</f>
        <v>#REF!</v>
      </c>
      <c r="BD259" s="24" t="e">
        <f>SUMIFS(#REF!,#REF!,$B259,#REF!,BD$1)</f>
        <v>#REF!</v>
      </c>
      <c r="BE259" s="24" t="e">
        <f>SUMIFS(#REF!,#REF!,$B259,#REF!,BE$1)</f>
        <v>#REF!</v>
      </c>
      <c r="BF259" s="24" t="e">
        <f>SUMIFS(#REF!,#REF!,$B259,#REF!,BF$1)</f>
        <v>#REF!</v>
      </c>
      <c r="BG259" s="24" t="e">
        <f>SUMIFS(#REF!,#REF!,$B259,#REF!,BG$1)</f>
        <v>#REF!</v>
      </c>
      <c r="BH259" s="24" t="e">
        <f>SUMIFS(#REF!,#REF!,$B259,#REF!,BH$1)</f>
        <v>#REF!</v>
      </c>
      <c r="BI259" s="24" t="e">
        <f>SUMIFS(#REF!,#REF!,$B259,#REF!,BI$1)</f>
        <v>#REF!</v>
      </c>
      <c r="BJ259" s="24" t="e">
        <f>SUMIFS(#REF!,#REF!,$B259,#REF!,BJ$1)</f>
        <v>#REF!</v>
      </c>
      <c r="BK259" s="24" t="e">
        <f>SUMIFS(#REF!,#REF!,$B259,#REF!,BK$1)</f>
        <v>#REF!</v>
      </c>
      <c r="BL259" s="24" t="e">
        <f>SUMIFS(#REF!,#REF!,$B259,#REF!,BL$1)</f>
        <v>#REF!</v>
      </c>
      <c r="BM259" s="24" t="e">
        <f>SUMIFS(#REF!,#REF!,$B259,#REF!,BM$1)</f>
        <v>#REF!</v>
      </c>
      <c r="BN259" s="24" t="e">
        <f>SUMIFS(#REF!,#REF!,$B259,#REF!,BN$1)</f>
        <v>#REF!</v>
      </c>
      <c r="BO259" s="24" t="e">
        <f>SUMIFS(#REF!,#REF!,$B259,#REF!,BO$1)</f>
        <v>#REF!</v>
      </c>
      <c r="BP259" s="24" t="e">
        <f>SUMIFS(#REF!,#REF!,$B259,#REF!,BP$1)</f>
        <v>#REF!</v>
      </c>
      <c r="BQ259" s="24" t="e">
        <f>SUMIFS(#REF!,#REF!,$B259,#REF!,BQ$1)</f>
        <v>#REF!</v>
      </c>
      <c r="BR259" s="24" t="e">
        <f>SUMIFS(#REF!,#REF!,$B259,#REF!,BR$1)</f>
        <v>#REF!</v>
      </c>
      <c r="BS259" s="24" t="e">
        <f>SUMIFS(#REF!,#REF!,$B259,#REF!,BS$1)</f>
        <v>#REF!</v>
      </c>
      <c r="BT259" s="24" t="e">
        <f>SUMIFS(#REF!,#REF!,$B259,#REF!,BT$1)</f>
        <v>#REF!</v>
      </c>
      <c r="BU259" s="24" t="e">
        <f>SUMIFS(#REF!,#REF!,$B259,#REF!,BU$1)</f>
        <v>#REF!</v>
      </c>
      <c r="BV259" s="24" t="e">
        <f>SUMIFS(#REF!,#REF!,$B259,#REF!,BV$1)</f>
        <v>#REF!</v>
      </c>
      <c r="BW259" s="24" t="e">
        <f>SUMIFS(#REF!,#REF!,$B259,#REF!,BW$1)</f>
        <v>#REF!</v>
      </c>
      <c r="BX259" s="24" t="e">
        <f>SUMIFS(#REF!,#REF!,$B259,#REF!,BX$1)</f>
        <v>#REF!</v>
      </c>
      <c r="BY259" s="24" t="e">
        <f>SUMIFS(#REF!,#REF!,$B259,#REF!,BY$1)</f>
        <v>#REF!</v>
      </c>
      <c r="BZ259" s="24" t="e">
        <f>SUMIFS(#REF!,#REF!,$B259,#REF!,BZ$1)</f>
        <v>#REF!</v>
      </c>
      <c r="CA259" s="24" t="e">
        <f>SUMIFS(#REF!,#REF!,$B259,#REF!,CA$1)</f>
        <v>#REF!</v>
      </c>
      <c r="CB259" s="24" t="e">
        <f>SUMIFS(#REF!,#REF!,$B259,#REF!,CB$1)</f>
        <v>#REF!</v>
      </c>
      <c r="CC259" s="24" t="e">
        <f>SUMIFS(#REF!,#REF!,$B259,#REF!,CC$1)</f>
        <v>#REF!</v>
      </c>
      <c r="CD259" s="24" t="e">
        <f>SUMIFS(#REF!,#REF!,$B259,#REF!,CD$1)</f>
        <v>#REF!</v>
      </c>
      <c r="CE259" s="24" t="e">
        <f>SUMIFS(#REF!,#REF!,$B259,#REF!,CE$1)</f>
        <v>#REF!</v>
      </c>
      <c r="CF259" s="24" t="e">
        <f>SUMIFS(#REF!,#REF!,$B259,#REF!,CF$1)</f>
        <v>#REF!</v>
      </c>
      <c r="CG259" s="19" t="e">
        <f t="shared" si="4"/>
        <v>#REF!</v>
      </c>
    </row>
    <row r="260" spans="1:85" x14ac:dyDescent="0.45">
      <c r="A260" s="4" t="s">
        <v>1499</v>
      </c>
      <c r="B260" s="4" t="s">
        <v>1499</v>
      </c>
      <c r="C260" s="24" t="e">
        <f>SUMIFS(#REF!,#REF!,$B260,#REF!,C$1)</f>
        <v>#REF!</v>
      </c>
      <c r="D260" s="24" t="e">
        <f>SUMIFS(#REF!,#REF!,$B260,#REF!,D$1)</f>
        <v>#REF!</v>
      </c>
      <c r="E260" s="24" t="e">
        <f>SUMIFS(#REF!,#REF!,$B260,#REF!,E$1)</f>
        <v>#REF!</v>
      </c>
      <c r="F260" s="24" t="e">
        <f>SUMIFS(#REF!,#REF!,$B260,#REF!,F$1)</f>
        <v>#REF!</v>
      </c>
      <c r="G260" s="24" t="e">
        <f>SUMIFS(#REF!,#REF!,$B260,#REF!,G$1)</f>
        <v>#REF!</v>
      </c>
      <c r="H260" s="24" t="e">
        <f>SUMIFS(#REF!,#REF!,$B260,#REF!,H$1)</f>
        <v>#REF!</v>
      </c>
      <c r="I260" s="24" t="e">
        <f>SUMIFS(#REF!,#REF!,$B260,#REF!,I$1)</f>
        <v>#REF!</v>
      </c>
      <c r="J260" s="24" t="e">
        <f>SUMIFS(#REF!,#REF!,$B260,#REF!,J$1)</f>
        <v>#REF!</v>
      </c>
      <c r="K260" s="24" t="e">
        <f>SUMIFS(#REF!,#REF!,$B260,#REF!,K$1)</f>
        <v>#REF!</v>
      </c>
      <c r="L260" s="24" t="e">
        <f>SUMIFS(#REF!,#REF!,$B260,#REF!,L$1)</f>
        <v>#REF!</v>
      </c>
      <c r="M260" s="24" t="e">
        <f>SUMIFS(#REF!,#REF!,$B260,#REF!,M$1)</f>
        <v>#REF!</v>
      </c>
      <c r="N260" s="24" t="e">
        <f>SUMIFS(#REF!,#REF!,$B260,#REF!,N$1)</f>
        <v>#REF!</v>
      </c>
      <c r="O260" s="24" t="e">
        <f>SUMIFS(#REF!,#REF!,$B260,#REF!,O$1)</f>
        <v>#REF!</v>
      </c>
      <c r="P260" s="24" t="e">
        <f>SUMIFS(#REF!,#REF!,$B260,#REF!,P$1)</f>
        <v>#REF!</v>
      </c>
      <c r="Q260" s="24" t="e">
        <f>SUMIFS(#REF!,#REF!,$B260,#REF!,Q$1)</f>
        <v>#REF!</v>
      </c>
      <c r="R260" s="24" t="e">
        <f>SUMIFS(#REF!,#REF!,$B260,#REF!,R$1)</f>
        <v>#REF!</v>
      </c>
      <c r="S260" s="24" t="e">
        <f>SUMIFS(#REF!,#REF!,$B260,#REF!,S$1)</f>
        <v>#REF!</v>
      </c>
      <c r="T260" s="24" t="e">
        <f>SUMIFS(#REF!,#REF!,$B260,#REF!,T$1)</f>
        <v>#REF!</v>
      </c>
      <c r="U260" s="24" t="e">
        <f>SUMIFS(#REF!,#REF!,$B260,#REF!,U$1)</f>
        <v>#REF!</v>
      </c>
      <c r="V260" s="24" t="e">
        <f>SUMIFS(#REF!,#REF!,$B260,#REF!,V$1)</f>
        <v>#REF!</v>
      </c>
      <c r="W260" s="24" t="e">
        <f>SUMIFS(#REF!,#REF!,$B260,#REF!,W$1)</f>
        <v>#REF!</v>
      </c>
      <c r="X260" s="24" t="e">
        <f>SUMIFS(#REF!,#REF!,$B260,#REF!,X$1)</f>
        <v>#REF!</v>
      </c>
      <c r="Y260" s="24" t="e">
        <f>SUMIFS(#REF!,#REF!,$B260,#REF!,Y$1)</f>
        <v>#REF!</v>
      </c>
      <c r="Z260" s="24" t="e">
        <f>SUMIFS(#REF!,#REF!,$B260,#REF!,Z$1)</f>
        <v>#REF!</v>
      </c>
      <c r="AA260" s="24" t="e">
        <f>SUMIFS(#REF!,#REF!,$B260,#REF!,AA$1)</f>
        <v>#REF!</v>
      </c>
      <c r="AB260" s="24" t="e">
        <f>SUMIFS(#REF!,#REF!,$B260,#REF!,AB$1)</f>
        <v>#REF!</v>
      </c>
      <c r="AC260" s="24" t="e">
        <f>SUMIFS(#REF!,#REF!,$B260,#REF!,AC$1)</f>
        <v>#REF!</v>
      </c>
      <c r="AD260" s="24" t="e">
        <f>SUMIFS(#REF!,#REF!,$B260,#REF!,AD$1)</f>
        <v>#REF!</v>
      </c>
      <c r="AE260" s="24" t="e">
        <f>SUMIFS(#REF!,#REF!,$B260,#REF!,AE$1)</f>
        <v>#REF!</v>
      </c>
      <c r="AF260" s="24" t="e">
        <f>SUMIFS(#REF!,#REF!,$B260,#REF!,AF$1)</f>
        <v>#REF!</v>
      </c>
      <c r="AG260" s="24" t="e">
        <f>SUMIFS(#REF!,#REF!,$B260,#REF!,AG$1)</f>
        <v>#REF!</v>
      </c>
      <c r="AH260" s="24" t="e">
        <f>SUMIFS(#REF!,#REF!,$B260,#REF!,AH$1)</f>
        <v>#REF!</v>
      </c>
      <c r="AI260" s="24" t="e">
        <f>SUMIFS(#REF!,#REF!,$B260,#REF!,AI$1)</f>
        <v>#REF!</v>
      </c>
      <c r="AJ260" s="24" t="e">
        <f>SUMIFS(#REF!,#REF!,$B260,#REF!,AJ$1)</f>
        <v>#REF!</v>
      </c>
      <c r="AK260" s="24" t="e">
        <f>SUMIFS(#REF!,#REF!,$B260,#REF!,AK$1)</f>
        <v>#REF!</v>
      </c>
      <c r="AL260" s="24" t="e">
        <f>SUMIFS(#REF!,#REF!,$B260,#REF!,AL$1)</f>
        <v>#REF!</v>
      </c>
      <c r="AM260" s="24" t="e">
        <f>SUMIFS(#REF!,#REF!,$B260,#REF!,AM$1)</f>
        <v>#REF!</v>
      </c>
      <c r="AN260" s="24" t="e">
        <f>SUMIFS(#REF!,#REF!,$B260,#REF!,AN$1)</f>
        <v>#REF!</v>
      </c>
      <c r="AO260" s="24" t="e">
        <f>SUMIFS(#REF!,#REF!,$B260,#REF!,AO$1)</f>
        <v>#REF!</v>
      </c>
      <c r="AP260" s="24" t="e">
        <f>SUMIFS(#REF!,#REF!,$B260,#REF!,AP$1)</f>
        <v>#REF!</v>
      </c>
      <c r="AQ260" s="24" t="e">
        <f>SUMIFS(#REF!,#REF!,$B260,#REF!,AQ$1)</f>
        <v>#REF!</v>
      </c>
      <c r="AR260" s="24" t="e">
        <f>SUMIFS(#REF!,#REF!,$B260,#REF!,AR$1)</f>
        <v>#REF!</v>
      </c>
      <c r="AS260" s="24" t="e">
        <f>SUMIFS(#REF!,#REF!,$B260,#REF!,AS$1)</f>
        <v>#REF!</v>
      </c>
      <c r="AT260" s="24" t="e">
        <f>SUMIFS(#REF!,#REF!,$B260,#REF!,AT$1)</f>
        <v>#REF!</v>
      </c>
      <c r="AU260" s="24" t="e">
        <f>SUMIFS(#REF!,#REF!,$B260,#REF!,AU$1)</f>
        <v>#REF!</v>
      </c>
      <c r="AV260" s="24" t="e">
        <f>SUMIFS(#REF!,#REF!,$B260,#REF!,AV$1)</f>
        <v>#REF!</v>
      </c>
      <c r="AW260" s="24" t="e">
        <f>SUMIFS(#REF!,#REF!,$B260,#REF!,AW$1)</f>
        <v>#REF!</v>
      </c>
      <c r="AX260" s="24" t="e">
        <f>SUMIFS(#REF!,#REF!,$B260,#REF!,AX$1)</f>
        <v>#REF!</v>
      </c>
      <c r="AY260" s="24" t="e">
        <f>SUMIFS(#REF!,#REF!,$B260,#REF!,AY$1)</f>
        <v>#REF!</v>
      </c>
      <c r="AZ260" s="24" t="e">
        <f>SUMIFS(#REF!,#REF!,$B260,#REF!,AZ$1)</f>
        <v>#REF!</v>
      </c>
      <c r="BA260" s="24" t="e">
        <f>SUMIFS(#REF!,#REF!,$B260,#REF!,BA$1)</f>
        <v>#REF!</v>
      </c>
      <c r="BB260" s="24" t="e">
        <f>SUMIFS(#REF!,#REF!,$B260,#REF!,BB$1)</f>
        <v>#REF!</v>
      </c>
      <c r="BC260" s="24" t="e">
        <f>SUMIFS(#REF!,#REF!,$B260,#REF!,BC$1)</f>
        <v>#REF!</v>
      </c>
      <c r="BD260" s="24" t="e">
        <f>SUMIFS(#REF!,#REF!,$B260,#REF!,BD$1)</f>
        <v>#REF!</v>
      </c>
      <c r="BE260" s="24" t="e">
        <f>SUMIFS(#REF!,#REF!,$B260,#REF!,BE$1)</f>
        <v>#REF!</v>
      </c>
      <c r="BF260" s="24" t="e">
        <f>SUMIFS(#REF!,#REF!,$B260,#REF!,BF$1)</f>
        <v>#REF!</v>
      </c>
      <c r="BG260" s="24" t="e">
        <f>SUMIFS(#REF!,#REF!,$B260,#REF!,BG$1)</f>
        <v>#REF!</v>
      </c>
      <c r="BH260" s="24" t="e">
        <f>SUMIFS(#REF!,#REF!,$B260,#REF!,BH$1)</f>
        <v>#REF!</v>
      </c>
      <c r="BI260" s="24" t="e">
        <f>SUMIFS(#REF!,#REF!,$B260,#REF!,BI$1)</f>
        <v>#REF!</v>
      </c>
      <c r="BJ260" s="24" t="e">
        <f>SUMIFS(#REF!,#REF!,$B260,#REF!,BJ$1)</f>
        <v>#REF!</v>
      </c>
      <c r="BK260" s="24" t="e">
        <f>SUMIFS(#REF!,#REF!,$B260,#REF!,BK$1)</f>
        <v>#REF!</v>
      </c>
      <c r="BL260" s="24" t="e">
        <f>SUMIFS(#REF!,#REF!,$B260,#REF!,BL$1)</f>
        <v>#REF!</v>
      </c>
      <c r="BM260" s="24" t="e">
        <f>SUMIFS(#REF!,#REF!,$B260,#REF!,BM$1)</f>
        <v>#REF!</v>
      </c>
      <c r="BN260" s="24" t="e">
        <f>SUMIFS(#REF!,#REF!,$B260,#REF!,BN$1)</f>
        <v>#REF!</v>
      </c>
      <c r="BO260" s="24" t="e">
        <f>SUMIFS(#REF!,#REF!,$B260,#REF!,BO$1)</f>
        <v>#REF!</v>
      </c>
      <c r="BP260" s="24" t="e">
        <f>SUMIFS(#REF!,#REF!,$B260,#REF!,BP$1)</f>
        <v>#REF!</v>
      </c>
      <c r="BQ260" s="24" t="e">
        <f>SUMIFS(#REF!,#REF!,$B260,#REF!,BQ$1)</f>
        <v>#REF!</v>
      </c>
      <c r="BR260" s="24" t="e">
        <f>SUMIFS(#REF!,#REF!,$B260,#REF!,BR$1)</f>
        <v>#REF!</v>
      </c>
      <c r="BS260" s="24" t="e">
        <f>SUMIFS(#REF!,#REF!,$B260,#REF!,BS$1)</f>
        <v>#REF!</v>
      </c>
      <c r="BT260" s="24" t="e">
        <f>SUMIFS(#REF!,#REF!,$B260,#REF!,BT$1)</f>
        <v>#REF!</v>
      </c>
      <c r="BU260" s="24" t="e">
        <f>SUMIFS(#REF!,#REF!,$B260,#REF!,BU$1)</f>
        <v>#REF!</v>
      </c>
      <c r="BV260" s="24" t="e">
        <f>SUMIFS(#REF!,#REF!,$B260,#REF!,BV$1)</f>
        <v>#REF!</v>
      </c>
      <c r="BW260" s="24" t="e">
        <f>SUMIFS(#REF!,#REF!,$B260,#REF!,BW$1)</f>
        <v>#REF!</v>
      </c>
      <c r="BX260" s="24" t="e">
        <f>SUMIFS(#REF!,#REF!,$B260,#REF!,BX$1)</f>
        <v>#REF!</v>
      </c>
      <c r="BY260" s="24" t="e">
        <f>SUMIFS(#REF!,#REF!,$B260,#REF!,BY$1)</f>
        <v>#REF!</v>
      </c>
      <c r="BZ260" s="24" t="e">
        <f>SUMIFS(#REF!,#REF!,$B260,#REF!,BZ$1)</f>
        <v>#REF!</v>
      </c>
      <c r="CA260" s="24" t="e">
        <f>SUMIFS(#REF!,#REF!,$B260,#REF!,CA$1)</f>
        <v>#REF!</v>
      </c>
      <c r="CB260" s="24" t="e">
        <f>SUMIFS(#REF!,#REF!,$B260,#REF!,CB$1)</f>
        <v>#REF!</v>
      </c>
      <c r="CC260" s="24" t="e">
        <f>SUMIFS(#REF!,#REF!,$B260,#REF!,CC$1)</f>
        <v>#REF!</v>
      </c>
      <c r="CD260" s="24" t="e">
        <f>SUMIFS(#REF!,#REF!,$B260,#REF!,CD$1)</f>
        <v>#REF!</v>
      </c>
      <c r="CE260" s="24" t="e">
        <f>SUMIFS(#REF!,#REF!,$B260,#REF!,CE$1)</f>
        <v>#REF!</v>
      </c>
      <c r="CF260" s="24" t="e">
        <f>SUMIFS(#REF!,#REF!,$B260,#REF!,CF$1)</f>
        <v>#REF!</v>
      </c>
      <c r="CG260" s="19" t="e">
        <f t="shared" si="4"/>
        <v>#REF!</v>
      </c>
    </row>
    <row r="261" spans="1:85" x14ac:dyDescent="0.45">
      <c r="A261" s="4" t="s">
        <v>1500</v>
      </c>
      <c r="B261" s="4" t="s">
        <v>1501</v>
      </c>
      <c r="C261" s="24" t="e">
        <f>SUMIFS(#REF!,#REF!,$B261,#REF!,C$1)</f>
        <v>#REF!</v>
      </c>
      <c r="D261" s="24" t="e">
        <f>SUMIFS(#REF!,#REF!,$B261,#REF!,D$1)</f>
        <v>#REF!</v>
      </c>
      <c r="E261" s="24" t="e">
        <f>SUMIFS(#REF!,#REF!,$B261,#REF!,E$1)</f>
        <v>#REF!</v>
      </c>
      <c r="F261" s="24" t="e">
        <f>SUMIFS(#REF!,#REF!,$B261,#REF!,F$1)</f>
        <v>#REF!</v>
      </c>
      <c r="G261" s="24" t="e">
        <f>SUMIFS(#REF!,#REF!,$B261,#REF!,G$1)</f>
        <v>#REF!</v>
      </c>
      <c r="H261" s="24" t="e">
        <f>SUMIFS(#REF!,#REF!,$B261,#REF!,H$1)</f>
        <v>#REF!</v>
      </c>
      <c r="I261" s="24" t="e">
        <f>SUMIFS(#REF!,#REF!,$B261,#REF!,I$1)</f>
        <v>#REF!</v>
      </c>
      <c r="J261" s="24" t="e">
        <f>SUMIFS(#REF!,#REF!,$B261,#REF!,J$1)</f>
        <v>#REF!</v>
      </c>
      <c r="K261" s="24" t="e">
        <f>SUMIFS(#REF!,#REF!,$B261,#REF!,K$1)</f>
        <v>#REF!</v>
      </c>
      <c r="L261" s="24" t="e">
        <f>SUMIFS(#REF!,#REF!,$B261,#REF!,L$1)</f>
        <v>#REF!</v>
      </c>
      <c r="M261" s="24" t="e">
        <f>SUMIFS(#REF!,#REF!,$B261,#REF!,M$1)</f>
        <v>#REF!</v>
      </c>
      <c r="N261" s="24" t="e">
        <f>SUMIFS(#REF!,#REF!,$B261,#REF!,N$1)</f>
        <v>#REF!</v>
      </c>
      <c r="O261" s="24" t="e">
        <f>SUMIFS(#REF!,#REF!,$B261,#REF!,O$1)</f>
        <v>#REF!</v>
      </c>
      <c r="P261" s="24" t="e">
        <f>SUMIFS(#REF!,#REF!,$B261,#REF!,P$1)</f>
        <v>#REF!</v>
      </c>
      <c r="Q261" s="24" t="e">
        <f>SUMIFS(#REF!,#REF!,$B261,#REF!,Q$1)</f>
        <v>#REF!</v>
      </c>
      <c r="R261" s="24" t="e">
        <f>SUMIFS(#REF!,#REF!,$B261,#REF!,R$1)</f>
        <v>#REF!</v>
      </c>
      <c r="S261" s="24" t="e">
        <f>SUMIFS(#REF!,#REF!,$B261,#REF!,S$1)</f>
        <v>#REF!</v>
      </c>
      <c r="T261" s="24" t="e">
        <f>SUMIFS(#REF!,#REF!,$B261,#REF!,T$1)</f>
        <v>#REF!</v>
      </c>
      <c r="U261" s="24" t="e">
        <f>SUMIFS(#REF!,#REF!,$B261,#REF!,U$1)</f>
        <v>#REF!</v>
      </c>
      <c r="V261" s="24" t="e">
        <f>SUMIFS(#REF!,#REF!,$B261,#REF!,V$1)</f>
        <v>#REF!</v>
      </c>
      <c r="W261" s="24" t="e">
        <f>SUMIFS(#REF!,#REF!,$B261,#REF!,W$1)</f>
        <v>#REF!</v>
      </c>
      <c r="X261" s="24" t="e">
        <f>SUMIFS(#REF!,#REF!,$B261,#REF!,X$1)</f>
        <v>#REF!</v>
      </c>
      <c r="Y261" s="24" t="e">
        <f>SUMIFS(#REF!,#REF!,$B261,#REF!,Y$1)</f>
        <v>#REF!</v>
      </c>
      <c r="Z261" s="24" t="e">
        <f>SUMIFS(#REF!,#REF!,$B261,#REF!,Z$1)</f>
        <v>#REF!</v>
      </c>
      <c r="AA261" s="24" t="e">
        <f>SUMIFS(#REF!,#REF!,$B261,#REF!,AA$1)</f>
        <v>#REF!</v>
      </c>
      <c r="AB261" s="24" t="e">
        <f>SUMIFS(#REF!,#REF!,$B261,#REF!,AB$1)</f>
        <v>#REF!</v>
      </c>
      <c r="AC261" s="24" t="e">
        <f>SUMIFS(#REF!,#REF!,$B261,#REF!,AC$1)</f>
        <v>#REF!</v>
      </c>
      <c r="AD261" s="24" t="e">
        <f>SUMIFS(#REF!,#REF!,$B261,#REF!,AD$1)</f>
        <v>#REF!</v>
      </c>
      <c r="AE261" s="24" t="e">
        <f>SUMIFS(#REF!,#REF!,$B261,#REF!,AE$1)</f>
        <v>#REF!</v>
      </c>
      <c r="AF261" s="24" t="e">
        <f>SUMIFS(#REF!,#REF!,$B261,#REF!,AF$1)</f>
        <v>#REF!</v>
      </c>
      <c r="AG261" s="24" t="e">
        <f>SUMIFS(#REF!,#REF!,$B261,#REF!,AG$1)</f>
        <v>#REF!</v>
      </c>
      <c r="AH261" s="24" t="e">
        <f>SUMIFS(#REF!,#REF!,$B261,#REF!,AH$1)</f>
        <v>#REF!</v>
      </c>
      <c r="AI261" s="24" t="e">
        <f>SUMIFS(#REF!,#REF!,$B261,#REF!,AI$1)</f>
        <v>#REF!</v>
      </c>
      <c r="AJ261" s="24" t="e">
        <f>SUMIFS(#REF!,#REF!,$B261,#REF!,AJ$1)</f>
        <v>#REF!</v>
      </c>
      <c r="AK261" s="24" t="e">
        <f>SUMIFS(#REF!,#REF!,$B261,#REF!,AK$1)</f>
        <v>#REF!</v>
      </c>
      <c r="AL261" s="24" t="e">
        <f>SUMIFS(#REF!,#REF!,$B261,#REF!,AL$1)</f>
        <v>#REF!</v>
      </c>
      <c r="AM261" s="24" t="e">
        <f>SUMIFS(#REF!,#REF!,$B261,#REF!,AM$1)</f>
        <v>#REF!</v>
      </c>
      <c r="AN261" s="24" t="e">
        <f>SUMIFS(#REF!,#REF!,$B261,#REF!,AN$1)</f>
        <v>#REF!</v>
      </c>
      <c r="AO261" s="24" t="e">
        <f>SUMIFS(#REF!,#REF!,$B261,#REF!,AO$1)</f>
        <v>#REF!</v>
      </c>
      <c r="AP261" s="24" t="e">
        <f>SUMIFS(#REF!,#REF!,$B261,#REF!,AP$1)</f>
        <v>#REF!</v>
      </c>
      <c r="AQ261" s="24" t="e">
        <f>SUMIFS(#REF!,#REF!,$B261,#REF!,AQ$1)</f>
        <v>#REF!</v>
      </c>
      <c r="AR261" s="24" t="e">
        <f>SUMIFS(#REF!,#REF!,$B261,#REF!,AR$1)</f>
        <v>#REF!</v>
      </c>
      <c r="AS261" s="24" t="e">
        <f>SUMIFS(#REF!,#REF!,$B261,#REF!,AS$1)</f>
        <v>#REF!</v>
      </c>
      <c r="AT261" s="24" t="e">
        <f>SUMIFS(#REF!,#REF!,$B261,#REF!,AT$1)</f>
        <v>#REF!</v>
      </c>
      <c r="AU261" s="24" t="e">
        <f>SUMIFS(#REF!,#REF!,$B261,#REF!,AU$1)</f>
        <v>#REF!</v>
      </c>
      <c r="AV261" s="24" t="e">
        <f>SUMIFS(#REF!,#REF!,$B261,#REF!,AV$1)</f>
        <v>#REF!</v>
      </c>
      <c r="AW261" s="24" t="e">
        <f>SUMIFS(#REF!,#REF!,$B261,#REF!,AW$1)</f>
        <v>#REF!</v>
      </c>
      <c r="AX261" s="24" t="e">
        <f>SUMIFS(#REF!,#REF!,$B261,#REF!,AX$1)</f>
        <v>#REF!</v>
      </c>
      <c r="AY261" s="24" t="e">
        <f>SUMIFS(#REF!,#REF!,$B261,#REF!,AY$1)</f>
        <v>#REF!</v>
      </c>
      <c r="AZ261" s="24" t="e">
        <f>SUMIFS(#REF!,#REF!,$B261,#REF!,AZ$1)</f>
        <v>#REF!</v>
      </c>
      <c r="BA261" s="24" t="e">
        <f>SUMIFS(#REF!,#REF!,$B261,#REF!,BA$1)</f>
        <v>#REF!</v>
      </c>
      <c r="BB261" s="24" t="e">
        <f>SUMIFS(#REF!,#REF!,$B261,#REF!,BB$1)</f>
        <v>#REF!</v>
      </c>
      <c r="BC261" s="24" t="e">
        <f>SUMIFS(#REF!,#REF!,$B261,#REF!,BC$1)</f>
        <v>#REF!</v>
      </c>
      <c r="BD261" s="24" t="e">
        <f>SUMIFS(#REF!,#REF!,$B261,#REF!,BD$1)</f>
        <v>#REF!</v>
      </c>
      <c r="BE261" s="24" t="e">
        <f>SUMIFS(#REF!,#REF!,$B261,#REF!,BE$1)</f>
        <v>#REF!</v>
      </c>
      <c r="BF261" s="24" t="e">
        <f>SUMIFS(#REF!,#REF!,$B261,#REF!,BF$1)</f>
        <v>#REF!</v>
      </c>
      <c r="BG261" s="24" t="e">
        <f>SUMIFS(#REF!,#REF!,$B261,#REF!,BG$1)</f>
        <v>#REF!</v>
      </c>
      <c r="BH261" s="24" t="e">
        <f>SUMIFS(#REF!,#REF!,$B261,#REF!,BH$1)</f>
        <v>#REF!</v>
      </c>
      <c r="BI261" s="24" t="e">
        <f>SUMIFS(#REF!,#REF!,$B261,#REF!,BI$1)</f>
        <v>#REF!</v>
      </c>
      <c r="BJ261" s="24" t="e">
        <f>SUMIFS(#REF!,#REF!,$B261,#REF!,BJ$1)</f>
        <v>#REF!</v>
      </c>
      <c r="BK261" s="24" t="e">
        <f>SUMIFS(#REF!,#REF!,$B261,#REF!,BK$1)</f>
        <v>#REF!</v>
      </c>
      <c r="BL261" s="24" t="e">
        <f>SUMIFS(#REF!,#REF!,$B261,#REF!,BL$1)</f>
        <v>#REF!</v>
      </c>
      <c r="BM261" s="24" t="e">
        <f>SUMIFS(#REF!,#REF!,$B261,#REF!,BM$1)</f>
        <v>#REF!</v>
      </c>
      <c r="BN261" s="24" t="e">
        <f>SUMIFS(#REF!,#REF!,$B261,#REF!,BN$1)</f>
        <v>#REF!</v>
      </c>
      <c r="BO261" s="24" t="e">
        <f>SUMIFS(#REF!,#REF!,$B261,#REF!,BO$1)</f>
        <v>#REF!</v>
      </c>
      <c r="BP261" s="24" t="e">
        <f>SUMIFS(#REF!,#REF!,$B261,#REF!,BP$1)</f>
        <v>#REF!</v>
      </c>
      <c r="BQ261" s="24" t="e">
        <f>SUMIFS(#REF!,#REF!,$B261,#REF!,BQ$1)</f>
        <v>#REF!</v>
      </c>
      <c r="BR261" s="24" t="e">
        <f>SUMIFS(#REF!,#REF!,$B261,#REF!,BR$1)</f>
        <v>#REF!</v>
      </c>
      <c r="BS261" s="24" t="e">
        <f>SUMIFS(#REF!,#REF!,$B261,#REF!,BS$1)</f>
        <v>#REF!</v>
      </c>
      <c r="BT261" s="24" t="e">
        <f>SUMIFS(#REF!,#REF!,$B261,#REF!,BT$1)</f>
        <v>#REF!</v>
      </c>
      <c r="BU261" s="24" t="e">
        <f>SUMIFS(#REF!,#REF!,$B261,#REF!,BU$1)</f>
        <v>#REF!</v>
      </c>
      <c r="BV261" s="24" t="e">
        <f>SUMIFS(#REF!,#REF!,$B261,#REF!,BV$1)</f>
        <v>#REF!</v>
      </c>
      <c r="BW261" s="24" t="e">
        <f>SUMIFS(#REF!,#REF!,$B261,#REF!,BW$1)</f>
        <v>#REF!</v>
      </c>
      <c r="BX261" s="24" t="e">
        <f>SUMIFS(#REF!,#REF!,$B261,#REF!,BX$1)</f>
        <v>#REF!</v>
      </c>
      <c r="BY261" s="24" t="e">
        <f>SUMIFS(#REF!,#REF!,$B261,#REF!,BY$1)</f>
        <v>#REF!</v>
      </c>
      <c r="BZ261" s="24" t="e">
        <f>SUMIFS(#REF!,#REF!,$B261,#REF!,BZ$1)</f>
        <v>#REF!</v>
      </c>
      <c r="CA261" s="24" t="e">
        <f>SUMIFS(#REF!,#REF!,$B261,#REF!,CA$1)</f>
        <v>#REF!</v>
      </c>
      <c r="CB261" s="24" t="e">
        <f>SUMIFS(#REF!,#REF!,$B261,#REF!,CB$1)</f>
        <v>#REF!</v>
      </c>
      <c r="CC261" s="24" t="e">
        <f>SUMIFS(#REF!,#REF!,$B261,#REF!,CC$1)</f>
        <v>#REF!</v>
      </c>
      <c r="CD261" s="24" t="e">
        <f>SUMIFS(#REF!,#REF!,$B261,#REF!,CD$1)</f>
        <v>#REF!</v>
      </c>
      <c r="CE261" s="24" t="e">
        <f>SUMIFS(#REF!,#REF!,$B261,#REF!,CE$1)</f>
        <v>#REF!</v>
      </c>
      <c r="CF261" s="24" t="e">
        <f>SUMIFS(#REF!,#REF!,$B261,#REF!,CF$1)</f>
        <v>#REF!</v>
      </c>
      <c r="CG261" s="19" t="e">
        <f t="shared" si="4"/>
        <v>#REF!</v>
      </c>
    </row>
    <row r="262" spans="1:85" x14ac:dyDescent="0.45">
      <c r="A262" s="4" t="s">
        <v>1502</v>
      </c>
      <c r="B262" s="4" t="s">
        <v>1502</v>
      </c>
      <c r="C262" s="24" t="e">
        <f>SUMIFS(#REF!,#REF!,$B262,#REF!,C$1)</f>
        <v>#REF!</v>
      </c>
      <c r="D262" s="24" t="e">
        <f>SUMIFS(#REF!,#REF!,$B262,#REF!,D$1)</f>
        <v>#REF!</v>
      </c>
      <c r="E262" s="24" t="e">
        <f>SUMIFS(#REF!,#REF!,$B262,#REF!,E$1)</f>
        <v>#REF!</v>
      </c>
      <c r="F262" s="24" t="e">
        <f>SUMIFS(#REF!,#REF!,$B262,#REF!,F$1)</f>
        <v>#REF!</v>
      </c>
      <c r="G262" s="24" t="e">
        <f>SUMIFS(#REF!,#REF!,$B262,#REF!,G$1)</f>
        <v>#REF!</v>
      </c>
      <c r="H262" s="24" t="e">
        <f>SUMIFS(#REF!,#REF!,$B262,#REF!,H$1)</f>
        <v>#REF!</v>
      </c>
      <c r="I262" s="24" t="e">
        <f>SUMIFS(#REF!,#REF!,$B262,#REF!,I$1)</f>
        <v>#REF!</v>
      </c>
      <c r="J262" s="24" t="e">
        <f>SUMIFS(#REF!,#REF!,$B262,#REF!,J$1)</f>
        <v>#REF!</v>
      </c>
      <c r="K262" s="24" t="e">
        <f>SUMIFS(#REF!,#REF!,$B262,#REF!,K$1)</f>
        <v>#REF!</v>
      </c>
      <c r="L262" s="24" t="e">
        <f>SUMIFS(#REF!,#REF!,$B262,#REF!,L$1)</f>
        <v>#REF!</v>
      </c>
      <c r="M262" s="24" t="e">
        <f>SUMIFS(#REF!,#REF!,$B262,#REF!,M$1)</f>
        <v>#REF!</v>
      </c>
      <c r="N262" s="24" t="e">
        <f>SUMIFS(#REF!,#REF!,$B262,#REF!,N$1)</f>
        <v>#REF!</v>
      </c>
      <c r="O262" s="24" t="e">
        <f>SUMIFS(#REF!,#REF!,$B262,#REF!,O$1)</f>
        <v>#REF!</v>
      </c>
      <c r="P262" s="24" t="e">
        <f>SUMIFS(#REF!,#REF!,$B262,#REF!,P$1)</f>
        <v>#REF!</v>
      </c>
      <c r="Q262" s="24" t="e">
        <f>SUMIFS(#REF!,#REF!,$B262,#REF!,Q$1)</f>
        <v>#REF!</v>
      </c>
      <c r="R262" s="24" t="e">
        <f>SUMIFS(#REF!,#REF!,$B262,#REF!,R$1)</f>
        <v>#REF!</v>
      </c>
      <c r="S262" s="24" t="e">
        <f>SUMIFS(#REF!,#REF!,$B262,#REF!,S$1)</f>
        <v>#REF!</v>
      </c>
      <c r="T262" s="24" t="e">
        <f>SUMIFS(#REF!,#REF!,$B262,#REF!,T$1)</f>
        <v>#REF!</v>
      </c>
      <c r="U262" s="24" t="e">
        <f>SUMIFS(#REF!,#REF!,$B262,#REF!,U$1)</f>
        <v>#REF!</v>
      </c>
      <c r="V262" s="24" t="e">
        <f>SUMIFS(#REF!,#REF!,$B262,#REF!,V$1)</f>
        <v>#REF!</v>
      </c>
      <c r="W262" s="24" t="e">
        <f>SUMIFS(#REF!,#REF!,$B262,#REF!,W$1)</f>
        <v>#REF!</v>
      </c>
      <c r="X262" s="24" t="e">
        <f>SUMIFS(#REF!,#REF!,$B262,#REF!,X$1)</f>
        <v>#REF!</v>
      </c>
      <c r="Y262" s="24" t="e">
        <f>SUMIFS(#REF!,#REF!,$B262,#REF!,Y$1)</f>
        <v>#REF!</v>
      </c>
      <c r="Z262" s="24" t="e">
        <f>SUMIFS(#REF!,#REF!,$B262,#REF!,Z$1)</f>
        <v>#REF!</v>
      </c>
      <c r="AA262" s="24" t="e">
        <f>SUMIFS(#REF!,#REF!,$B262,#REF!,AA$1)</f>
        <v>#REF!</v>
      </c>
      <c r="AB262" s="24" t="e">
        <f>SUMIFS(#REF!,#REF!,$B262,#REF!,AB$1)</f>
        <v>#REF!</v>
      </c>
      <c r="AC262" s="24" t="e">
        <f>SUMIFS(#REF!,#REF!,$B262,#REF!,AC$1)</f>
        <v>#REF!</v>
      </c>
      <c r="AD262" s="24" t="e">
        <f>SUMIFS(#REF!,#REF!,$B262,#REF!,AD$1)</f>
        <v>#REF!</v>
      </c>
      <c r="AE262" s="24" t="e">
        <f>SUMIFS(#REF!,#REF!,$B262,#REF!,AE$1)</f>
        <v>#REF!</v>
      </c>
      <c r="AF262" s="24" t="e">
        <f>SUMIFS(#REF!,#REF!,$B262,#REF!,AF$1)</f>
        <v>#REF!</v>
      </c>
      <c r="AG262" s="24" t="e">
        <f>SUMIFS(#REF!,#REF!,$B262,#REF!,AG$1)</f>
        <v>#REF!</v>
      </c>
      <c r="AH262" s="24" t="e">
        <f>SUMIFS(#REF!,#REF!,$B262,#REF!,AH$1)</f>
        <v>#REF!</v>
      </c>
      <c r="AI262" s="24" t="e">
        <f>SUMIFS(#REF!,#REF!,$B262,#REF!,AI$1)</f>
        <v>#REF!</v>
      </c>
      <c r="AJ262" s="24" t="e">
        <f>SUMIFS(#REF!,#REF!,$B262,#REF!,AJ$1)</f>
        <v>#REF!</v>
      </c>
      <c r="AK262" s="24" t="e">
        <f>SUMIFS(#REF!,#REF!,$B262,#REF!,AK$1)</f>
        <v>#REF!</v>
      </c>
      <c r="AL262" s="24" t="e">
        <f>SUMIFS(#REF!,#REF!,$B262,#REF!,AL$1)</f>
        <v>#REF!</v>
      </c>
      <c r="AM262" s="24" t="e">
        <f>SUMIFS(#REF!,#REF!,$B262,#REF!,AM$1)</f>
        <v>#REF!</v>
      </c>
      <c r="AN262" s="24" t="e">
        <f>SUMIFS(#REF!,#REF!,$B262,#REF!,AN$1)</f>
        <v>#REF!</v>
      </c>
      <c r="AO262" s="24" t="e">
        <f>SUMIFS(#REF!,#REF!,$B262,#REF!,AO$1)</f>
        <v>#REF!</v>
      </c>
      <c r="AP262" s="24" t="e">
        <f>SUMIFS(#REF!,#REF!,$B262,#REF!,AP$1)</f>
        <v>#REF!</v>
      </c>
      <c r="AQ262" s="24" t="e">
        <f>SUMIFS(#REF!,#REF!,$B262,#REF!,AQ$1)</f>
        <v>#REF!</v>
      </c>
      <c r="AR262" s="24" t="e">
        <f>SUMIFS(#REF!,#REF!,$B262,#REF!,AR$1)</f>
        <v>#REF!</v>
      </c>
      <c r="AS262" s="24" t="e">
        <f>SUMIFS(#REF!,#REF!,$B262,#REF!,AS$1)</f>
        <v>#REF!</v>
      </c>
      <c r="AT262" s="24" t="e">
        <f>SUMIFS(#REF!,#REF!,$B262,#REF!,AT$1)</f>
        <v>#REF!</v>
      </c>
      <c r="AU262" s="24" t="e">
        <f>SUMIFS(#REF!,#REF!,$B262,#REF!,AU$1)</f>
        <v>#REF!</v>
      </c>
      <c r="AV262" s="24" t="e">
        <f>SUMIFS(#REF!,#REF!,$B262,#REF!,AV$1)</f>
        <v>#REF!</v>
      </c>
      <c r="AW262" s="24" t="e">
        <f>SUMIFS(#REF!,#REF!,$B262,#REF!,AW$1)</f>
        <v>#REF!</v>
      </c>
      <c r="AX262" s="24" t="e">
        <f>SUMIFS(#REF!,#REF!,$B262,#REF!,AX$1)</f>
        <v>#REF!</v>
      </c>
      <c r="AY262" s="24" t="e">
        <f>SUMIFS(#REF!,#REF!,$B262,#REF!,AY$1)</f>
        <v>#REF!</v>
      </c>
      <c r="AZ262" s="24" t="e">
        <f>SUMIFS(#REF!,#REF!,$B262,#REF!,AZ$1)</f>
        <v>#REF!</v>
      </c>
      <c r="BA262" s="24" t="e">
        <f>SUMIFS(#REF!,#REF!,$B262,#REF!,BA$1)</f>
        <v>#REF!</v>
      </c>
      <c r="BB262" s="24" t="e">
        <f>SUMIFS(#REF!,#REF!,$B262,#REF!,BB$1)</f>
        <v>#REF!</v>
      </c>
      <c r="BC262" s="24" t="e">
        <f>SUMIFS(#REF!,#REF!,$B262,#REF!,BC$1)</f>
        <v>#REF!</v>
      </c>
      <c r="BD262" s="24" t="e">
        <f>SUMIFS(#REF!,#REF!,$B262,#REF!,BD$1)</f>
        <v>#REF!</v>
      </c>
      <c r="BE262" s="24" t="e">
        <f>SUMIFS(#REF!,#REF!,$B262,#REF!,BE$1)</f>
        <v>#REF!</v>
      </c>
      <c r="BF262" s="24" t="e">
        <f>SUMIFS(#REF!,#REF!,$B262,#REF!,BF$1)</f>
        <v>#REF!</v>
      </c>
      <c r="BG262" s="24" t="e">
        <f>SUMIFS(#REF!,#REF!,$B262,#REF!,BG$1)</f>
        <v>#REF!</v>
      </c>
      <c r="BH262" s="24" t="e">
        <f>SUMIFS(#REF!,#REF!,$B262,#REF!,BH$1)</f>
        <v>#REF!</v>
      </c>
      <c r="BI262" s="24" t="e">
        <f>SUMIFS(#REF!,#REF!,$B262,#REF!,BI$1)</f>
        <v>#REF!</v>
      </c>
      <c r="BJ262" s="24" t="e">
        <f>SUMIFS(#REF!,#REF!,$B262,#REF!,BJ$1)</f>
        <v>#REF!</v>
      </c>
      <c r="BK262" s="24" t="e">
        <f>SUMIFS(#REF!,#REF!,$B262,#REF!,BK$1)</f>
        <v>#REF!</v>
      </c>
      <c r="BL262" s="24" t="e">
        <f>SUMIFS(#REF!,#REF!,$B262,#REF!,BL$1)</f>
        <v>#REF!</v>
      </c>
      <c r="BM262" s="24" t="e">
        <f>SUMIFS(#REF!,#REF!,$B262,#REF!,BM$1)</f>
        <v>#REF!</v>
      </c>
      <c r="BN262" s="24" t="e">
        <f>SUMIFS(#REF!,#REF!,$B262,#REF!,BN$1)</f>
        <v>#REF!</v>
      </c>
      <c r="BO262" s="24" t="e">
        <f>SUMIFS(#REF!,#REF!,$B262,#REF!,BO$1)</f>
        <v>#REF!</v>
      </c>
      <c r="BP262" s="24" t="e">
        <f>SUMIFS(#REF!,#REF!,$B262,#REF!,BP$1)</f>
        <v>#REF!</v>
      </c>
      <c r="BQ262" s="24" t="e">
        <f>SUMIFS(#REF!,#REF!,$B262,#REF!,BQ$1)</f>
        <v>#REF!</v>
      </c>
      <c r="BR262" s="24" t="e">
        <f>SUMIFS(#REF!,#REF!,$B262,#REF!,BR$1)</f>
        <v>#REF!</v>
      </c>
      <c r="BS262" s="24" t="e">
        <f>SUMIFS(#REF!,#REF!,$B262,#REF!,BS$1)</f>
        <v>#REF!</v>
      </c>
      <c r="BT262" s="24" t="e">
        <f>SUMIFS(#REF!,#REF!,$B262,#REF!,BT$1)</f>
        <v>#REF!</v>
      </c>
      <c r="BU262" s="24" t="e">
        <f>SUMIFS(#REF!,#REF!,$B262,#REF!,BU$1)</f>
        <v>#REF!</v>
      </c>
      <c r="BV262" s="24" t="e">
        <f>SUMIFS(#REF!,#REF!,$B262,#REF!,BV$1)</f>
        <v>#REF!</v>
      </c>
      <c r="BW262" s="24" t="e">
        <f>SUMIFS(#REF!,#REF!,$B262,#REF!,BW$1)</f>
        <v>#REF!</v>
      </c>
      <c r="BX262" s="24" t="e">
        <f>SUMIFS(#REF!,#REF!,$B262,#REF!,BX$1)</f>
        <v>#REF!</v>
      </c>
      <c r="BY262" s="24" t="e">
        <f>SUMIFS(#REF!,#REF!,$B262,#REF!,BY$1)</f>
        <v>#REF!</v>
      </c>
      <c r="BZ262" s="24" t="e">
        <f>SUMIFS(#REF!,#REF!,$B262,#REF!,BZ$1)</f>
        <v>#REF!</v>
      </c>
      <c r="CA262" s="24" t="e">
        <f>SUMIFS(#REF!,#REF!,$B262,#REF!,CA$1)</f>
        <v>#REF!</v>
      </c>
      <c r="CB262" s="24" t="e">
        <f>SUMIFS(#REF!,#REF!,$B262,#REF!,CB$1)</f>
        <v>#REF!</v>
      </c>
      <c r="CC262" s="24" t="e">
        <f>SUMIFS(#REF!,#REF!,$B262,#REF!,CC$1)</f>
        <v>#REF!</v>
      </c>
      <c r="CD262" s="24" t="e">
        <f>SUMIFS(#REF!,#REF!,$B262,#REF!,CD$1)</f>
        <v>#REF!</v>
      </c>
      <c r="CE262" s="24" t="e">
        <f>SUMIFS(#REF!,#REF!,$B262,#REF!,CE$1)</f>
        <v>#REF!</v>
      </c>
      <c r="CF262" s="24" t="e">
        <f>SUMIFS(#REF!,#REF!,$B262,#REF!,CF$1)</f>
        <v>#REF!</v>
      </c>
      <c r="CG262" s="19" t="e">
        <f t="shared" si="4"/>
        <v>#REF!</v>
      </c>
    </row>
    <row r="263" spans="1:85" x14ac:dyDescent="0.45">
      <c r="A263" s="4" t="s">
        <v>1503</v>
      </c>
      <c r="B263" s="4" t="s">
        <v>1503</v>
      </c>
      <c r="C263" s="24" t="e">
        <f>SUMIFS(#REF!,#REF!,$B263,#REF!,C$1)</f>
        <v>#REF!</v>
      </c>
      <c r="D263" s="24" t="e">
        <f>SUMIFS(#REF!,#REF!,$B263,#REF!,D$1)</f>
        <v>#REF!</v>
      </c>
      <c r="E263" s="24" t="e">
        <f>SUMIFS(#REF!,#REF!,$B263,#REF!,E$1)</f>
        <v>#REF!</v>
      </c>
      <c r="F263" s="24" t="e">
        <f>SUMIFS(#REF!,#REF!,$B263,#REF!,F$1)</f>
        <v>#REF!</v>
      </c>
      <c r="G263" s="24" t="e">
        <f>SUMIFS(#REF!,#REF!,$B263,#REF!,G$1)</f>
        <v>#REF!</v>
      </c>
      <c r="H263" s="24" t="e">
        <f>SUMIFS(#REF!,#REF!,$B263,#REF!,H$1)</f>
        <v>#REF!</v>
      </c>
      <c r="I263" s="24" t="e">
        <f>SUMIFS(#REF!,#REF!,$B263,#REF!,I$1)</f>
        <v>#REF!</v>
      </c>
      <c r="J263" s="24" t="e">
        <f>SUMIFS(#REF!,#REF!,$B263,#REF!,J$1)</f>
        <v>#REF!</v>
      </c>
      <c r="K263" s="24" t="e">
        <f>SUMIFS(#REF!,#REF!,$B263,#REF!,K$1)</f>
        <v>#REF!</v>
      </c>
      <c r="L263" s="24" t="e">
        <f>SUMIFS(#REF!,#REF!,$B263,#REF!,L$1)</f>
        <v>#REF!</v>
      </c>
      <c r="M263" s="24" t="e">
        <f>SUMIFS(#REF!,#REF!,$B263,#REF!,M$1)</f>
        <v>#REF!</v>
      </c>
      <c r="N263" s="24" t="e">
        <f>SUMIFS(#REF!,#REF!,$B263,#REF!,N$1)</f>
        <v>#REF!</v>
      </c>
      <c r="O263" s="24" t="e">
        <f>SUMIFS(#REF!,#REF!,$B263,#REF!,O$1)</f>
        <v>#REF!</v>
      </c>
      <c r="P263" s="24" t="e">
        <f>SUMIFS(#REF!,#REF!,$B263,#REF!,P$1)</f>
        <v>#REF!</v>
      </c>
      <c r="Q263" s="24" t="e">
        <f>SUMIFS(#REF!,#REF!,$B263,#REF!,Q$1)</f>
        <v>#REF!</v>
      </c>
      <c r="R263" s="24" t="e">
        <f>SUMIFS(#REF!,#REF!,$B263,#REF!,R$1)</f>
        <v>#REF!</v>
      </c>
      <c r="S263" s="24" t="e">
        <f>SUMIFS(#REF!,#REF!,$B263,#REF!,S$1)</f>
        <v>#REF!</v>
      </c>
      <c r="T263" s="24" t="e">
        <f>SUMIFS(#REF!,#REF!,$B263,#REF!,T$1)</f>
        <v>#REF!</v>
      </c>
      <c r="U263" s="24" t="e">
        <f>SUMIFS(#REF!,#REF!,$B263,#REF!,U$1)</f>
        <v>#REF!</v>
      </c>
      <c r="V263" s="24" t="e">
        <f>SUMIFS(#REF!,#REF!,$B263,#REF!,V$1)</f>
        <v>#REF!</v>
      </c>
      <c r="W263" s="24" t="e">
        <f>SUMIFS(#REF!,#REF!,$B263,#REF!,W$1)</f>
        <v>#REF!</v>
      </c>
      <c r="X263" s="24" t="e">
        <f>SUMIFS(#REF!,#REF!,$B263,#REF!,X$1)</f>
        <v>#REF!</v>
      </c>
      <c r="Y263" s="24" t="e">
        <f>SUMIFS(#REF!,#REF!,$B263,#REF!,Y$1)</f>
        <v>#REF!</v>
      </c>
      <c r="Z263" s="24" t="e">
        <f>SUMIFS(#REF!,#REF!,$B263,#REF!,Z$1)</f>
        <v>#REF!</v>
      </c>
      <c r="AA263" s="24" t="e">
        <f>SUMIFS(#REF!,#REF!,$B263,#REF!,AA$1)</f>
        <v>#REF!</v>
      </c>
      <c r="AB263" s="24" t="e">
        <f>SUMIFS(#REF!,#REF!,$B263,#REF!,AB$1)</f>
        <v>#REF!</v>
      </c>
      <c r="AC263" s="24" t="e">
        <f>SUMIFS(#REF!,#REF!,$B263,#REF!,AC$1)</f>
        <v>#REF!</v>
      </c>
      <c r="AD263" s="24" t="e">
        <f>SUMIFS(#REF!,#REF!,$B263,#REF!,AD$1)</f>
        <v>#REF!</v>
      </c>
      <c r="AE263" s="24" t="e">
        <f>SUMIFS(#REF!,#REF!,$B263,#REF!,AE$1)</f>
        <v>#REF!</v>
      </c>
      <c r="AF263" s="24" t="e">
        <f>SUMIFS(#REF!,#REF!,$B263,#REF!,AF$1)</f>
        <v>#REF!</v>
      </c>
      <c r="AG263" s="24" t="e">
        <f>SUMIFS(#REF!,#REF!,$B263,#REF!,AG$1)</f>
        <v>#REF!</v>
      </c>
      <c r="AH263" s="24" t="e">
        <f>SUMIFS(#REF!,#REF!,$B263,#REF!,AH$1)</f>
        <v>#REF!</v>
      </c>
      <c r="AI263" s="24" t="e">
        <f>SUMIFS(#REF!,#REF!,$B263,#REF!,AI$1)</f>
        <v>#REF!</v>
      </c>
      <c r="AJ263" s="24" t="e">
        <f>SUMIFS(#REF!,#REF!,$B263,#REF!,AJ$1)</f>
        <v>#REF!</v>
      </c>
      <c r="AK263" s="24" t="e">
        <f>SUMIFS(#REF!,#REF!,$B263,#REF!,AK$1)</f>
        <v>#REF!</v>
      </c>
      <c r="AL263" s="24" t="e">
        <f>SUMIFS(#REF!,#REF!,$B263,#REF!,AL$1)</f>
        <v>#REF!</v>
      </c>
      <c r="AM263" s="24" t="e">
        <f>SUMIFS(#REF!,#REF!,$B263,#REF!,AM$1)</f>
        <v>#REF!</v>
      </c>
      <c r="AN263" s="24" t="e">
        <f>SUMIFS(#REF!,#REF!,$B263,#REF!,AN$1)</f>
        <v>#REF!</v>
      </c>
      <c r="AO263" s="24" t="e">
        <f>SUMIFS(#REF!,#REF!,$B263,#REF!,AO$1)</f>
        <v>#REF!</v>
      </c>
      <c r="AP263" s="24" t="e">
        <f>SUMIFS(#REF!,#REF!,$B263,#REF!,AP$1)</f>
        <v>#REF!</v>
      </c>
      <c r="AQ263" s="24" t="e">
        <f>SUMIFS(#REF!,#REF!,$B263,#REF!,AQ$1)</f>
        <v>#REF!</v>
      </c>
      <c r="AR263" s="24" t="e">
        <f>SUMIFS(#REF!,#REF!,$B263,#REF!,AR$1)</f>
        <v>#REF!</v>
      </c>
      <c r="AS263" s="24" t="e">
        <f>SUMIFS(#REF!,#REF!,$B263,#REF!,AS$1)</f>
        <v>#REF!</v>
      </c>
      <c r="AT263" s="24" t="e">
        <f>SUMIFS(#REF!,#REF!,$B263,#REF!,AT$1)</f>
        <v>#REF!</v>
      </c>
      <c r="AU263" s="24" t="e">
        <f>SUMIFS(#REF!,#REF!,$B263,#REF!,AU$1)</f>
        <v>#REF!</v>
      </c>
      <c r="AV263" s="24" t="e">
        <f>SUMIFS(#REF!,#REF!,$B263,#REF!,AV$1)</f>
        <v>#REF!</v>
      </c>
      <c r="AW263" s="24" t="e">
        <f>SUMIFS(#REF!,#REF!,$B263,#REF!,AW$1)</f>
        <v>#REF!</v>
      </c>
      <c r="AX263" s="24" t="e">
        <f>SUMIFS(#REF!,#REF!,$B263,#REF!,AX$1)</f>
        <v>#REF!</v>
      </c>
      <c r="AY263" s="24" t="e">
        <f>SUMIFS(#REF!,#REF!,$B263,#REF!,AY$1)</f>
        <v>#REF!</v>
      </c>
      <c r="AZ263" s="24" t="e">
        <f>SUMIFS(#REF!,#REF!,$B263,#REF!,AZ$1)</f>
        <v>#REF!</v>
      </c>
      <c r="BA263" s="24" t="e">
        <f>SUMIFS(#REF!,#REF!,$B263,#REF!,BA$1)</f>
        <v>#REF!</v>
      </c>
      <c r="BB263" s="24" t="e">
        <f>SUMIFS(#REF!,#REF!,$B263,#REF!,BB$1)</f>
        <v>#REF!</v>
      </c>
      <c r="BC263" s="24" t="e">
        <f>SUMIFS(#REF!,#REF!,$B263,#REF!,BC$1)</f>
        <v>#REF!</v>
      </c>
      <c r="BD263" s="24" t="e">
        <f>SUMIFS(#REF!,#REF!,$B263,#REF!,BD$1)</f>
        <v>#REF!</v>
      </c>
      <c r="BE263" s="24" t="e">
        <f>SUMIFS(#REF!,#REF!,$B263,#REF!,BE$1)</f>
        <v>#REF!</v>
      </c>
      <c r="BF263" s="24" t="e">
        <f>SUMIFS(#REF!,#REF!,$B263,#REF!,BF$1)</f>
        <v>#REF!</v>
      </c>
      <c r="BG263" s="24" t="e">
        <f>SUMIFS(#REF!,#REF!,$B263,#REF!,BG$1)</f>
        <v>#REF!</v>
      </c>
      <c r="BH263" s="24" t="e">
        <f>SUMIFS(#REF!,#REF!,$B263,#REF!,BH$1)</f>
        <v>#REF!</v>
      </c>
      <c r="BI263" s="24" t="e">
        <f>SUMIFS(#REF!,#REF!,$B263,#REF!,BI$1)</f>
        <v>#REF!</v>
      </c>
      <c r="BJ263" s="24" t="e">
        <f>SUMIFS(#REF!,#REF!,$B263,#REF!,BJ$1)</f>
        <v>#REF!</v>
      </c>
      <c r="BK263" s="24" t="e">
        <f>SUMIFS(#REF!,#REF!,$B263,#REF!,BK$1)</f>
        <v>#REF!</v>
      </c>
      <c r="BL263" s="24" t="e">
        <f>SUMIFS(#REF!,#REF!,$B263,#REF!,BL$1)</f>
        <v>#REF!</v>
      </c>
      <c r="BM263" s="24" t="e">
        <f>SUMIFS(#REF!,#REF!,$B263,#REF!,BM$1)</f>
        <v>#REF!</v>
      </c>
      <c r="BN263" s="24" t="e">
        <f>SUMIFS(#REF!,#REF!,$B263,#REF!,BN$1)</f>
        <v>#REF!</v>
      </c>
      <c r="BO263" s="24" t="e">
        <f>SUMIFS(#REF!,#REF!,$B263,#REF!,BO$1)</f>
        <v>#REF!</v>
      </c>
      <c r="BP263" s="24" t="e">
        <f>SUMIFS(#REF!,#REF!,$B263,#REF!,BP$1)</f>
        <v>#REF!</v>
      </c>
      <c r="BQ263" s="24" t="e">
        <f>SUMIFS(#REF!,#REF!,$B263,#REF!,BQ$1)</f>
        <v>#REF!</v>
      </c>
      <c r="BR263" s="24" t="e">
        <f>SUMIFS(#REF!,#REF!,$B263,#REF!,BR$1)</f>
        <v>#REF!</v>
      </c>
      <c r="BS263" s="24" t="e">
        <f>SUMIFS(#REF!,#REF!,$B263,#REF!,BS$1)</f>
        <v>#REF!</v>
      </c>
      <c r="BT263" s="24" t="e">
        <f>SUMIFS(#REF!,#REF!,$B263,#REF!,BT$1)</f>
        <v>#REF!</v>
      </c>
      <c r="BU263" s="24" t="e">
        <f>SUMIFS(#REF!,#REF!,$B263,#REF!,BU$1)</f>
        <v>#REF!</v>
      </c>
      <c r="BV263" s="24" t="e">
        <f>SUMIFS(#REF!,#REF!,$B263,#REF!,BV$1)</f>
        <v>#REF!</v>
      </c>
      <c r="BW263" s="24" t="e">
        <f>SUMIFS(#REF!,#REF!,$B263,#REF!,BW$1)</f>
        <v>#REF!</v>
      </c>
      <c r="BX263" s="24" t="e">
        <f>SUMIFS(#REF!,#REF!,$B263,#REF!,BX$1)</f>
        <v>#REF!</v>
      </c>
      <c r="BY263" s="24" t="e">
        <f>SUMIFS(#REF!,#REF!,$B263,#REF!,BY$1)</f>
        <v>#REF!</v>
      </c>
      <c r="BZ263" s="24" t="e">
        <f>SUMIFS(#REF!,#REF!,$B263,#REF!,BZ$1)</f>
        <v>#REF!</v>
      </c>
      <c r="CA263" s="24" t="e">
        <f>SUMIFS(#REF!,#REF!,$B263,#REF!,CA$1)</f>
        <v>#REF!</v>
      </c>
      <c r="CB263" s="24" t="e">
        <f>SUMIFS(#REF!,#REF!,$B263,#REF!,CB$1)</f>
        <v>#REF!</v>
      </c>
      <c r="CC263" s="24" t="e">
        <f>SUMIFS(#REF!,#REF!,$B263,#REF!,CC$1)</f>
        <v>#REF!</v>
      </c>
      <c r="CD263" s="24" t="e">
        <f>SUMIFS(#REF!,#REF!,$B263,#REF!,CD$1)</f>
        <v>#REF!</v>
      </c>
      <c r="CE263" s="24" t="e">
        <f>SUMIFS(#REF!,#REF!,$B263,#REF!,CE$1)</f>
        <v>#REF!</v>
      </c>
      <c r="CF263" s="24" t="e">
        <f>SUMIFS(#REF!,#REF!,$B263,#REF!,CF$1)</f>
        <v>#REF!</v>
      </c>
      <c r="CG263" s="19" t="e">
        <f t="shared" si="4"/>
        <v>#REF!</v>
      </c>
    </row>
    <row r="264" spans="1:85" x14ac:dyDescent="0.45">
      <c r="A264" s="4" t="s">
        <v>1504</v>
      </c>
      <c r="B264" s="4" t="s">
        <v>1505</v>
      </c>
      <c r="C264" s="24" t="e">
        <f>SUMIFS(#REF!,#REF!,$B264,#REF!,C$1)</f>
        <v>#REF!</v>
      </c>
      <c r="D264" s="24" t="e">
        <f>SUMIFS(#REF!,#REF!,$B264,#REF!,D$1)</f>
        <v>#REF!</v>
      </c>
      <c r="E264" s="24" t="e">
        <f>SUMIFS(#REF!,#REF!,$B264,#REF!,E$1)</f>
        <v>#REF!</v>
      </c>
      <c r="F264" s="24" t="e">
        <f>SUMIFS(#REF!,#REF!,$B264,#REF!,F$1)</f>
        <v>#REF!</v>
      </c>
      <c r="G264" s="24" t="e">
        <f>SUMIFS(#REF!,#REF!,$B264,#REF!,G$1)</f>
        <v>#REF!</v>
      </c>
      <c r="H264" s="24" t="e">
        <f>SUMIFS(#REF!,#REF!,$B264,#REF!,H$1)</f>
        <v>#REF!</v>
      </c>
      <c r="I264" s="24" t="e">
        <f>SUMIFS(#REF!,#REF!,$B264,#REF!,I$1)</f>
        <v>#REF!</v>
      </c>
      <c r="J264" s="24" t="e">
        <f>SUMIFS(#REF!,#REF!,$B264,#REF!,J$1)</f>
        <v>#REF!</v>
      </c>
      <c r="K264" s="24" t="e">
        <f>SUMIFS(#REF!,#REF!,$B264,#REF!,K$1)</f>
        <v>#REF!</v>
      </c>
      <c r="L264" s="24" t="e">
        <f>SUMIFS(#REF!,#REF!,$B264,#REF!,L$1)</f>
        <v>#REF!</v>
      </c>
      <c r="M264" s="24" t="e">
        <f>SUMIFS(#REF!,#REF!,$B264,#REF!,M$1)</f>
        <v>#REF!</v>
      </c>
      <c r="N264" s="24" t="e">
        <f>SUMIFS(#REF!,#REF!,$B264,#REF!,N$1)</f>
        <v>#REF!</v>
      </c>
      <c r="O264" s="24" t="e">
        <f>SUMIFS(#REF!,#REF!,$B264,#REF!,O$1)</f>
        <v>#REF!</v>
      </c>
      <c r="P264" s="24" t="e">
        <f>SUMIFS(#REF!,#REF!,$B264,#REF!,P$1)</f>
        <v>#REF!</v>
      </c>
      <c r="Q264" s="24" t="e">
        <f>SUMIFS(#REF!,#REF!,$B264,#REF!,Q$1)</f>
        <v>#REF!</v>
      </c>
      <c r="R264" s="24" t="e">
        <f>SUMIFS(#REF!,#REF!,$B264,#REF!,R$1)</f>
        <v>#REF!</v>
      </c>
      <c r="S264" s="24" t="e">
        <f>SUMIFS(#REF!,#REF!,$B264,#REF!,S$1)</f>
        <v>#REF!</v>
      </c>
      <c r="T264" s="24" t="e">
        <f>SUMIFS(#REF!,#REF!,$B264,#REF!,T$1)</f>
        <v>#REF!</v>
      </c>
      <c r="U264" s="24" t="e">
        <f>SUMIFS(#REF!,#REF!,$B264,#REF!,U$1)</f>
        <v>#REF!</v>
      </c>
      <c r="V264" s="24" t="e">
        <f>SUMIFS(#REF!,#REF!,$B264,#REF!,V$1)</f>
        <v>#REF!</v>
      </c>
      <c r="W264" s="24" t="e">
        <f>SUMIFS(#REF!,#REF!,$B264,#REF!,W$1)</f>
        <v>#REF!</v>
      </c>
      <c r="X264" s="24" t="e">
        <f>SUMIFS(#REF!,#REF!,$B264,#REF!,X$1)</f>
        <v>#REF!</v>
      </c>
      <c r="Y264" s="24" t="e">
        <f>SUMIFS(#REF!,#REF!,$B264,#REF!,Y$1)</f>
        <v>#REF!</v>
      </c>
      <c r="Z264" s="24" t="e">
        <f>SUMIFS(#REF!,#REF!,$B264,#REF!,Z$1)</f>
        <v>#REF!</v>
      </c>
      <c r="AA264" s="24" t="e">
        <f>SUMIFS(#REF!,#REF!,$B264,#REF!,AA$1)</f>
        <v>#REF!</v>
      </c>
      <c r="AB264" s="24" t="e">
        <f>SUMIFS(#REF!,#REF!,$B264,#REF!,AB$1)</f>
        <v>#REF!</v>
      </c>
      <c r="AC264" s="24" t="e">
        <f>SUMIFS(#REF!,#REF!,$B264,#REF!,AC$1)</f>
        <v>#REF!</v>
      </c>
      <c r="AD264" s="24" t="e">
        <f>SUMIFS(#REF!,#REF!,$B264,#REF!,AD$1)</f>
        <v>#REF!</v>
      </c>
      <c r="AE264" s="24" t="e">
        <f>SUMIFS(#REF!,#REF!,$B264,#REF!,AE$1)</f>
        <v>#REF!</v>
      </c>
      <c r="AF264" s="24" t="e">
        <f>SUMIFS(#REF!,#REF!,$B264,#REF!,AF$1)</f>
        <v>#REF!</v>
      </c>
      <c r="AG264" s="24" t="e">
        <f>SUMIFS(#REF!,#REF!,$B264,#REF!,AG$1)</f>
        <v>#REF!</v>
      </c>
      <c r="AH264" s="24" t="e">
        <f>SUMIFS(#REF!,#REF!,$B264,#REF!,AH$1)</f>
        <v>#REF!</v>
      </c>
      <c r="AI264" s="24" t="e">
        <f>SUMIFS(#REF!,#REF!,$B264,#REF!,AI$1)</f>
        <v>#REF!</v>
      </c>
      <c r="AJ264" s="24" t="e">
        <f>SUMIFS(#REF!,#REF!,$B264,#REF!,AJ$1)</f>
        <v>#REF!</v>
      </c>
      <c r="AK264" s="24" t="e">
        <f>SUMIFS(#REF!,#REF!,$B264,#REF!,AK$1)</f>
        <v>#REF!</v>
      </c>
      <c r="AL264" s="24" t="e">
        <f>SUMIFS(#REF!,#REF!,$B264,#REF!,AL$1)</f>
        <v>#REF!</v>
      </c>
      <c r="AM264" s="24" t="e">
        <f>SUMIFS(#REF!,#REF!,$B264,#REF!,AM$1)</f>
        <v>#REF!</v>
      </c>
      <c r="AN264" s="24" t="e">
        <f>SUMIFS(#REF!,#REF!,$B264,#REF!,AN$1)</f>
        <v>#REF!</v>
      </c>
      <c r="AO264" s="24" t="e">
        <f>SUMIFS(#REF!,#REF!,$B264,#REF!,AO$1)</f>
        <v>#REF!</v>
      </c>
      <c r="AP264" s="24" t="e">
        <f>SUMIFS(#REF!,#REF!,$B264,#REF!,AP$1)</f>
        <v>#REF!</v>
      </c>
      <c r="AQ264" s="24" t="e">
        <f>SUMIFS(#REF!,#REF!,$B264,#REF!,AQ$1)</f>
        <v>#REF!</v>
      </c>
      <c r="AR264" s="24" t="e">
        <f>SUMIFS(#REF!,#REF!,$B264,#REF!,AR$1)</f>
        <v>#REF!</v>
      </c>
      <c r="AS264" s="24" t="e">
        <f>SUMIFS(#REF!,#REF!,$B264,#REF!,AS$1)</f>
        <v>#REF!</v>
      </c>
      <c r="AT264" s="24" t="e">
        <f>SUMIFS(#REF!,#REF!,$B264,#REF!,AT$1)</f>
        <v>#REF!</v>
      </c>
      <c r="AU264" s="24" t="e">
        <f>SUMIFS(#REF!,#REF!,$B264,#REF!,AU$1)</f>
        <v>#REF!</v>
      </c>
      <c r="AV264" s="24" t="e">
        <f>SUMIFS(#REF!,#REF!,$B264,#REF!,AV$1)</f>
        <v>#REF!</v>
      </c>
      <c r="AW264" s="24" t="e">
        <f>SUMIFS(#REF!,#REF!,$B264,#REF!,AW$1)</f>
        <v>#REF!</v>
      </c>
      <c r="AX264" s="24" t="e">
        <f>SUMIFS(#REF!,#REF!,$B264,#REF!,AX$1)</f>
        <v>#REF!</v>
      </c>
      <c r="AY264" s="24" t="e">
        <f>SUMIFS(#REF!,#REF!,$B264,#REF!,AY$1)</f>
        <v>#REF!</v>
      </c>
      <c r="AZ264" s="24" t="e">
        <f>SUMIFS(#REF!,#REF!,$B264,#REF!,AZ$1)</f>
        <v>#REF!</v>
      </c>
      <c r="BA264" s="24" t="e">
        <f>SUMIFS(#REF!,#REF!,$B264,#REF!,BA$1)</f>
        <v>#REF!</v>
      </c>
      <c r="BB264" s="24" t="e">
        <f>SUMIFS(#REF!,#REF!,$B264,#REF!,BB$1)</f>
        <v>#REF!</v>
      </c>
      <c r="BC264" s="24" t="e">
        <f>SUMIFS(#REF!,#REF!,$B264,#REF!,BC$1)</f>
        <v>#REF!</v>
      </c>
      <c r="BD264" s="24" t="e">
        <f>SUMIFS(#REF!,#REF!,$B264,#REF!,BD$1)</f>
        <v>#REF!</v>
      </c>
      <c r="BE264" s="24" t="e">
        <f>SUMIFS(#REF!,#REF!,$B264,#REF!,BE$1)</f>
        <v>#REF!</v>
      </c>
      <c r="BF264" s="24" t="e">
        <f>SUMIFS(#REF!,#REF!,$B264,#REF!,BF$1)</f>
        <v>#REF!</v>
      </c>
      <c r="BG264" s="24" t="e">
        <f>SUMIFS(#REF!,#REF!,$B264,#REF!,BG$1)</f>
        <v>#REF!</v>
      </c>
      <c r="BH264" s="24" t="e">
        <f>SUMIFS(#REF!,#REF!,$B264,#REF!,BH$1)</f>
        <v>#REF!</v>
      </c>
      <c r="BI264" s="24" t="e">
        <f>SUMIFS(#REF!,#REF!,$B264,#REF!,BI$1)</f>
        <v>#REF!</v>
      </c>
      <c r="BJ264" s="24" t="e">
        <f>SUMIFS(#REF!,#REF!,$B264,#REF!,BJ$1)</f>
        <v>#REF!</v>
      </c>
      <c r="BK264" s="24" t="e">
        <f>SUMIFS(#REF!,#REF!,$B264,#REF!,BK$1)</f>
        <v>#REF!</v>
      </c>
      <c r="BL264" s="24" t="e">
        <f>SUMIFS(#REF!,#REF!,$B264,#REF!,BL$1)</f>
        <v>#REF!</v>
      </c>
      <c r="BM264" s="24" t="e">
        <f>SUMIFS(#REF!,#REF!,$B264,#REF!,BM$1)</f>
        <v>#REF!</v>
      </c>
      <c r="BN264" s="24" t="e">
        <f>SUMIFS(#REF!,#REF!,$B264,#REF!,BN$1)</f>
        <v>#REF!</v>
      </c>
      <c r="BO264" s="24" t="e">
        <f>SUMIFS(#REF!,#REF!,$B264,#REF!,BO$1)</f>
        <v>#REF!</v>
      </c>
      <c r="BP264" s="24" t="e">
        <f>SUMIFS(#REF!,#REF!,$B264,#REF!,BP$1)</f>
        <v>#REF!</v>
      </c>
      <c r="BQ264" s="24" t="e">
        <f>SUMIFS(#REF!,#REF!,$B264,#REF!,BQ$1)</f>
        <v>#REF!</v>
      </c>
      <c r="BR264" s="24" t="e">
        <f>SUMIFS(#REF!,#REF!,$B264,#REF!,BR$1)</f>
        <v>#REF!</v>
      </c>
      <c r="BS264" s="24" t="e">
        <f>SUMIFS(#REF!,#REF!,$B264,#REF!,BS$1)</f>
        <v>#REF!</v>
      </c>
      <c r="BT264" s="24" t="e">
        <f>SUMIFS(#REF!,#REF!,$B264,#REF!,BT$1)</f>
        <v>#REF!</v>
      </c>
      <c r="BU264" s="24" t="e">
        <f>SUMIFS(#REF!,#REF!,$B264,#REF!,BU$1)</f>
        <v>#REF!</v>
      </c>
      <c r="BV264" s="24" t="e">
        <f>SUMIFS(#REF!,#REF!,$B264,#REF!,BV$1)</f>
        <v>#REF!</v>
      </c>
      <c r="BW264" s="24" t="e">
        <f>SUMIFS(#REF!,#REF!,$B264,#REF!,BW$1)</f>
        <v>#REF!</v>
      </c>
      <c r="BX264" s="24" t="e">
        <f>SUMIFS(#REF!,#REF!,$B264,#REF!,BX$1)</f>
        <v>#REF!</v>
      </c>
      <c r="BY264" s="24" t="e">
        <f>SUMIFS(#REF!,#REF!,$B264,#REF!,BY$1)</f>
        <v>#REF!</v>
      </c>
      <c r="BZ264" s="24" t="e">
        <f>SUMIFS(#REF!,#REF!,$B264,#REF!,BZ$1)</f>
        <v>#REF!</v>
      </c>
      <c r="CA264" s="24" t="e">
        <f>SUMIFS(#REF!,#REF!,$B264,#REF!,CA$1)</f>
        <v>#REF!</v>
      </c>
      <c r="CB264" s="24" t="e">
        <f>SUMIFS(#REF!,#REF!,$B264,#REF!,CB$1)</f>
        <v>#REF!</v>
      </c>
      <c r="CC264" s="24" t="e">
        <f>SUMIFS(#REF!,#REF!,$B264,#REF!,CC$1)</f>
        <v>#REF!</v>
      </c>
      <c r="CD264" s="24" t="e">
        <f>SUMIFS(#REF!,#REF!,$B264,#REF!,CD$1)</f>
        <v>#REF!</v>
      </c>
      <c r="CE264" s="24" t="e">
        <f>SUMIFS(#REF!,#REF!,$B264,#REF!,CE$1)</f>
        <v>#REF!</v>
      </c>
      <c r="CF264" s="24" t="e">
        <f>SUMIFS(#REF!,#REF!,$B264,#REF!,CF$1)</f>
        <v>#REF!</v>
      </c>
      <c r="CG264" s="19" t="e">
        <f t="shared" si="4"/>
        <v>#REF!</v>
      </c>
    </row>
    <row r="265" spans="1:85" x14ac:dyDescent="0.45">
      <c r="A265" s="4" t="s">
        <v>1506</v>
      </c>
      <c r="B265" s="4" t="s">
        <v>1507</v>
      </c>
      <c r="C265" s="24" t="e">
        <f>SUMIFS(#REF!,#REF!,$B265,#REF!,C$1)</f>
        <v>#REF!</v>
      </c>
      <c r="D265" s="24" t="e">
        <f>SUMIFS(#REF!,#REF!,$B265,#REF!,D$1)</f>
        <v>#REF!</v>
      </c>
      <c r="E265" s="24" t="e">
        <f>SUMIFS(#REF!,#REF!,$B265,#REF!,E$1)</f>
        <v>#REF!</v>
      </c>
      <c r="F265" s="24" t="e">
        <f>SUMIFS(#REF!,#REF!,$B265,#REF!,F$1)</f>
        <v>#REF!</v>
      </c>
      <c r="G265" s="24" t="e">
        <f>SUMIFS(#REF!,#REF!,$B265,#REF!,G$1)</f>
        <v>#REF!</v>
      </c>
      <c r="H265" s="24" t="e">
        <f>SUMIFS(#REF!,#REF!,$B265,#REF!,H$1)</f>
        <v>#REF!</v>
      </c>
      <c r="I265" s="24" t="e">
        <f>SUMIFS(#REF!,#REF!,$B265,#REF!,I$1)</f>
        <v>#REF!</v>
      </c>
      <c r="J265" s="24" t="e">
        <f>SUMIFS(#REF!,#REF!,$B265,#REF!,J$1)</f>
        <v>#REF!</v>
      </c>
      <c r="K265" s="24" t="e">
        <f>SUMIFS(#REF!,#REF!,$B265,#REF!,K$1)</f>
        <v>#REF!</v>
      </c>
      <c r="L265" s="24" t="e">
        <f>SUMIFS(#REF!,#REF!,$B265,#REF!,L$1)</f>
        <v>#REF!</v>
      </c>
      <c r="M265" s="24" t="e">
        <f>SUMIFS(#REF!,#REF!,$B265,#REF!,M$1)</f>
        <v>#REF!</v>
      </c>
      <c r="N265" s="24" t="e">
        <f>SUMIFS(#REF!,#REF!,$B265,#REF!,N$1)</f>
        <v>#REF!</v>
      </c>
      <c r="O265" s="24" t="e">
        <f>SUMIFS(#REF!,#REF!,$B265,#REF!,O$1)</f>
        <v>#REF!</v>
      </c>
      <c r="P265" s="24" t="e">
        <f>SUMIFS(#REF!,#REF!,$B265,#REF!,P$1)</f>
        <v>#REF!</v>
      </c>
      <c r="Q265" s="24" t="e">
        <f>SUMIFS(#REF!,#REF!,$B265,#REF!,Q$1)</f>
        <v>#REF!</v>
      </c>
      <c r="R265" s="24" t="e">
        <f>SUMIFS(#REF!,#REF!,$B265,#REF!,R$1)</f>
        <v>#REF!</v>
      </c>
      <c r="S265" s="24" t="e">
        <f>SUMIFS(#REF!,#REF!,$B265,#REF!,S$1)</f>
        <v>#REF!</v>
      </c>
      <c r="T265" s="24" t="e">
        <f>SUMIFS(#REF!,#REF!,$B265,#REF!,T$1)</f>
        <v>#REF!</v>
      </c>
      <c r="U265" s="24" t="e">
        <f>SUMIFS(#REF!,#REF!,$B265,#REF!,U$1)</f>
        <v>#REF!</v>
      </c>
      <c r="V265" s="24" t="e">
        <f>SUMIFS(#REF!,#REF!,$B265,#REF!,V$1)</f>
        <v>#REF!</v>
      </c>
      <c r="W265" s="24" t="e">
        <f>SUMIFS(#REF!,#REF!,$B265,#REF!,W$1)</f>
        <v>#REF!</v>
      </c>
      <c r="X265" s="24" t="e">
        <f>SUMIFS(#REF!,#REF!,$B265,#REF!,X$1)</f>
        <v>#REF!</v>
      </c>
      <c r="Y265" s="24" t="e">
        <f>SUMIFS(#REF!,#REF!,$B265,#REF!,Y$1)</f>
        <v>#REF!</v>
      </c>
      <c r="Z265" s="24" t="e">
        <f>SUMIFS(#REF!,#REF!,$B265,#REF!,Z$1)</f>
        <v>#REF!</v>
      </c>
      <c r="AA265" s="24" t="e">
        <f>SUMIFS(#REF!,#REF!,$B265,#REF!,AA$1)</f>
        <v>#REF!</v>
      </c>
      <c r="AB265" s="24" t="e">
        <f>SUMIFS(#REF!,#REF!,$B265,#REF!,AB$1)</f>
        <v>#REF!</v>
      </c>
      <c r="AC265" s="24" t="e">
        <f>SUMIFS(#REF!,#REF!,$B265,#REF!,AC$1)</f>
        <v>#REF!</v>
      </c>
      <c r="AD265" s="24" t="e">
        <f>SUMIFS(#REF!,#REF!,$B265,#REF!,AD$1)</f>
        <v>#REF!</v>
      </c>
      <c r="AE265" s="24" t="e">
        <f>SUMIFS(#REF!,#REF!,$B265,#REF!,AE$1)</f>
        <v>#REF!</v>
      </c>
      <c r="AF265" s="24" t="e">
        <f>SUMIFS(#REF!,#REF!,$B265,#REF!,AF$1)</f>
        <v>#REF!</v>
      </c>
      <c r="AG265" s="24" t="e">
        <f>SUMIFS(#REF!,#REF!,$B265,#REF!,AG$1)</f>
        <v>#REF!</v>
      </c>
      <c r="AH265" s="24" t="e">
        <f>SUMIFS(#REF!,#REF!,$B265,#REF!,AH$1)</f>
        <v>#REF!</v>
      </c>
      <c r="AI265" s="24" t="e">
        <f>SUMIFS(#REF!,#REF!,$B265,#REF!,AI$1)</f>
        <v>#REF!</v>
      </c>
      <c r="AJ265" s="24" t="e">
        <f>SUMIFS(#REF!,#REF!,$B265,#REF!,AJ$1)</f>
        <v>#REF!</v>
      </c>
      <c r="AK265" s="24" t="e">
        <f>SUMIFS(#REF!,#REF!,$B265,#REF!,AK$1)</f>
        <v>#REF!</v>
      </c>
      <c r="AL265" s="24" t="e">
        <f>SUMIFS(#REF!,#REF!,$B265,#REF!,AL$1)</f>
        <v>#REF!</v>
      </c>
      <c r="AM265" s="24" t="e">
        <f>SUMIFS(#REF!,#REF!,$B265,#REF!,AM$1)</f>
        <v>#REF!</v>
      </c>
      <c r="AN265" s="24" t="e">
        <f>SUMIFS(#REF!,#REF!,$B265,#REF!,AN$1)</f>
        <v>#REF!</v>
      </c>
      <c r="AO265" s="24" t="e">
        <f>SUMIFS(#REF!,#REF!,$B265,#REF!,AO$1)</f>
        <v>#REF!</v>
      </c>
      <c r="AP265" s="24" t="e">
        <f>SUMIFS(#REF!,#REF!,$B265,#REF!,AP$1)</f>
        <v>#REF!</v>
      </c>
      <c r="AQ265" s="24" t="e">
        <f>SUMIFS(#REF!,#REF!,$B265,#REF!,AQ$1)</f>
        <v>#REF!</v>
      </c>
      <c r="AR265" s="24" t="e">
        <f>SUMIFS(#REF!,#REF!,$B265,#REF!,AR$1)</f>
        <v>#REF!</v>
      </c>
      <c r="AS265" s="24" t="e">
        <f>SUMIFS(#REF!,#REF!,$B265,#REF!,AS$1)</f>
        <v>#REF!</v>
      </c>
      <c r="AT265" s="24" t="e">
        <f>SUMIFS(#REF!,#REF!,$B265,#REF!,AT$1)</f>
        <v>#REF!</v>
      </c>
      <c r="AU265" s="24" t="e">
        <f>SUMIFS(#REF!,#REF!,$B265,#REF!,AU$1)</f>
        <v>#REF!</v>
      </c>
      <c r="AV265" s="24" t="e">
        <f>SUMIFS(#REF!,#REF!,$B265,#REF!,AV$1)</f>
        <v>#REF!</v>
      </c>
      <c r="AW265" s="24" t="e">
        <f>SUMIFS(#REF!,#REF!,$B265,#REF!,AW$1)</f>
        <v>#REF!</v>
      </c>
      <c r="AX265" s="24" t="e">
        <f>SUMIFS(#REF!,#REF!,$B265,#REF!,AX$1)</f>
        <v>#REF!</v>
      </c>
      <c r="AY265" s="24" t="e">
        <f>SUMIFS(#REF!,#REF!,$B265,#REF!,AY$1)</f>
        <v>#REF!</v>
      </c>
      <c r="AZ265" s="24" t="e">
        <f>SUMIFS(#REF!,#REF!,$B265,#REF!,AZ$1)</f>
        <v>#REF!</v>
      </c>
      <c r="BA265" s="24" t="e">
        <f>SUMIFS(#REF!,#REF!,$B265,#REF!,BA$1)</f>
        <v>#REF!</v>
      </c>
      <c r="BB265" s="24" t="e">
        <f>SUMIFS(#REF!,#REF!,$B265,#REF!,BB$1)</f>
        <v>#REF!</v>
      </c>
      <c r="BC265" s="24" t="e">
        <f>SUMIFS(#REF!,#REF!,$B265,#REF!,BC$1)</f>
        <v>#REF!</v>
      </c>
      <c r="BD265" s="24" t="e">
        <f>SUMIFS(#REF!,#REF!,$B265,#REF!,BD$1)</f>
        <v>#REF!</v>
      </c>
      <c r="BE265" s="24" t="e">
        <f>SUMIFS(#REF!,#REF!,$B265,#REF!,BE$1)</f>
        <v>#REF!</v>
      </c>
      <c r="BF265" s="24" t="e">
        <f>SUMIFS(#REF!,#REF!,$B265,#REF!,BF$1)</f>
        <v>#REF!</v>
      </c>
      <c r="BG265" s="24" t="e">
        <f>SUMIFS(#REF!,#REF!,$B265,#REF!,BG$1)</f>
        <v>#REF!</v>
      </c>
      <c r="BH265" s="24" t="e">
        <f>SUMIFS(#REF!,#REF!,$B265,#REF!,BH$1)</f>
        <v>#REF!</v>
      </c>
      <c r="BI265" s="24" t="e">
        <f>SUMIFS(#REF!,#REF!,$B265,#REF!,BI$1)</f>
        <v>#REF!</v>
      </c>
      <c r="BJ265" s="24" t="e">
        <f>SUMIFS(#REF!,#REF!,$B265,#REF!,BJ$1)</f>
        <v>#REF!</v>
      </c>
      <c r="BK265" s="24" t="e">
        <f>SUMIFS(#REF!,#REF!,$B265,#REF!,BK$1)</f>
        <v>#REF!</v>
      </c>
      <c r="BL265" s="24" t="e">
        <f>SUMIFS(#REF!,#REF!,$B265,#REF!,BL$1)</f>
        <v>#REF!</v>
      </c>
      <c r="BM265" s="24" t="e">
        <f>SUMIFS(#REF!,#REF!,$B265,#REF!,BM$1)</f>
        <v>#REF!</v>
      </c>
      <c r="BN265" s="24" t="e">
        <f>SUMIFS(#REF!,#REF!,$B265,#REF!,BN$1)</f>
        <v>#REF!</v>
      </c>
      <c r="BO265" s="24" t="e">
        <f>SUMIFS(#REF!,#REF!,$B265,#REF!,BO$1)</f>
        <v>#REF!</v>
      </c>
      <c r="BP265" s="24" t="e">
        <f>SUMIFS(#REF!,#REF!,$B265,#REF!,BP$1)</f>
        <v>#REF!</v>
      </c>
      <c r="BQ265" s="24" t="e">
        <f>SUMIFS(#REF!,#REF!,$B265,#REF!,BQ$1)</f>
        <v>#REF!</v>
      </c>
      <c r="BR265" s="24" t="e">
        <f>SUMIFS(#REF!,#REF!,$B265,#REF!,BR$1)</f>
        <v>#REF!</v>
      </c>
      <c r="BS265" s="24" t="e">
        <f>SUMIFS(#REF!,#REF!,$B265,#REF!,BS$1)</f>
        <v>#REF!</v>
      </c>
      <c r="BT265" s="24" t="e">
        <f>SUMIFS(#REF!,#REF!,$B265,#REF!,BT$1)</f>
        <v>#REF!</v>
      </c>
      <c r="BU265" s="24" t="e">
        <f>SUMIFS(#REF!,#REF!,$B265,#REF!,BU$1)</f>
        <v>#REF!</v>
      </c>
      <c r="BV265" s="24" t="e">
        <f>SUMIFS(#REF!,#REF!,$B265,#REF!,BV$1)</f>
        <v>#REF!</v>
      </c>
      <c r="BW265" s="24" t="e">
        <f>SUMIFS(#REF!,#REF!,$B265,#REF!,BW$1)</f>
        <v>#REF!</v>
      </c>
      <c r="BX265" s="24" t="e">
        <f>SUMIFS(#REF!,#REF!,$B265,#REF!,BX$1)</f>
        <v>#REF!</v>
      </c>
      <c r="BY265" s="24" t="e">
        <f>SUMIFS(#REF!,#REF!,$B265,#REF!,BY$1)</f>
        <v>#REF!</v>
      </c>
      <c r="BZ265" s="24" t="e">
        <f>SUMIFS(#REF!,#REF!,$B265,#REF!,BZ$1)</f>
        <v>#REF!</v>
      </c>
      <c r="CA265" s="24" t="e">
        <f>SUMIFS(#REF!,#REF!,$B265,#REF!,CA$1)</f>
        <v>#REF!</v>
      </c>
      <c r="CB265" s="24" t="e">
        <f>SUMIFS(#REF!,#REF!,$B265,#REF!,CB$1)</f>
        <v>#REF!</v>
      </c>
      <c r="CC265" s="24" t="e">
        <f>SUMIFS(#REF!,#REF!,$B265,#REF!,CC$1)</f>
        <v>#REF!</v>
      </c>
      <c r="CD265" s="24" t="e">
        <f>SUMIFS(#REF!,#REF!,$B265,#REF!,CD$1)</f>
        <v>#REF!</v>
      </c>
      <c r="CE265" s="24" t="e">
        <f>SUMIFS(#REF!,#REF!,$B265,#REF!,CE$1)</f>
        <v>#REF!</v>
      </c>
      <c r="CF265" s="24" t="e">
        <f>SUMIFS(#REF!,#REF!,$B265,#REF!,CF$1)</f>
        <v>#REF!</v>
      </c>
      <c r="CG265" s="19" t="e">
        <f t="shared" si="4"/>
        <v>#REF!</v>
      </c>
    </row>
    <row r="266" spans="1:85" x14ac:dyDescent="0.45">
      <c r="A266" s="4" t="s">
        <v>1508</v>
      </c>
      <c r="B266" s="4" t="s">
        <v>1509</v>
      </c>
      <c r="C266" s="24" t="e">
        <f>SUMIFS(#REF!,#REF!,$B266,#REF!,C$1)</f>
        <v>#REF!</v>
      </c>
      <c r="D266" s="24" t="e">
        <f>SUMIFS(#REF!,#REF!,$B266,#REF!,D$1)</f>
        <v>#REF!</v>
      </c>
      <c r="E266" s="24" t="e">
        <f>SUMIFS(#REF!,#REF!,$B266,#REF!,E$1)</f>
        <v>#REF!</v>
      </c>
      <c r="F266" s="24" t="e">
        <f>SUMIFS(#REF!,#REF!,$B266,#REF!,F$1)</f>
        <v>#REF!</v>
      </c>
      <c r="G266" s="24" t="e">
        <f>SUMIFS(#REF!,#REF!,$B266,#REF!,G$1)</f>
        <v>#REF!</v>
      </c>
      <c r="H266" s="24" t="e">
        <f>SUMIFS(#REF!,#REF!,$B266,#REF!,H$1)</f>
        <v>#REF!</v>
      </c>
      <c r="I266" s="24" t="e">
        <f>SUMIFS(#REF!,#REF!,$B266,#REF!,I$1)</f>
        <v>#REF!</v>
      </c>
      <c r="J266" s="24" t="e">
        <f>SUMIFS(#REF!,#REF!,$B266,#REF!,J$1)</f>
        <v>#REF!</v>
      </c>
      <c r="K266" s="24" t="e">
        <f>SUMIFS(#REF!,#REF!,$B266,#REF!,K$1)</f>
        <v>#REF!</v>
      </c>
      <c r="L266" s="24" t="e">
        <f>SUMIFS(#REF!,#REF!,$B266,#REF!,L$1)</f>
        <v>#REF!</v>
      </c>
      <c r="M266" s="24" t="e">
        <f>SUMIFS(#REF!,#REF!,$B266,#REF!,M$1)</f>
        <v>#REF!</v>
      </c>
      <c r="N266" s="24" t="e">
        <f>SUMIFS(#REF!,#REF!,$B266,#REF!,N$1)</f>
        <v>#REF!</v>
      </c>
      <c r="O266" s="24" t="e">
        <f>SUMIFS(#REF!,#REF!,$B266,#REF!,O$1)</f>
        <v>#REF!</v>
      </c>
      <c r="P266" s="24" t="e">
        <f>SUMIFS(#REF!,#REF!,$B266,#REF!,P$1)</f>
        <v>#REF!</v>
      </c>
      <c r="Q266" s="24" t="e">
        <f>SUMIFS(#REF!,#REF!,$B266,#REF!,Q$1)</f>
        <v>#REF!</v>
      </c>
      <c r="R266" s="24" t="e">
        <f>SUMIFS(#REF!,#REF!,$B266,#REF!,R$1)</f>
        <v>#REF!</v>
      </c>
      <c r="S266" s="24" t="e">
        <f>SUMIFS(#REF!,#REF!,$B266,#REF!,S$1)</f>
        <v>#REF!</v>
      </c>
      <c r="T266" s="24" t="e">
        <f>SUMIFS(#REF!,#REF!,$B266,#REF!,T$1)</f>
        <v>#REF!</v>
      </c>
      <c r="U266" s="24" t="e">
        <f>SUMIFS(#REF!,#REF!,$B266,#REF!,U$1)</f>
        <v>#REF!</v>
      </c>
      <c r="V266" s="24" t="e">
        <f>SUMIFS(#REF!,#REF!,$B266,#REF!,V$1)</f>
        <v>#REF!</v>
      </c>
      <c r="W266" s="24" t="e">
        <f>SUMIFS(#REF!,#REF!,$B266,#REF!,W$1)</f>
        <v>#REF!</v>
      </c>
      <c r="X266" s="24" t="e">
        <f>SUMIFS(#REF!,#REF!,$B266,#REF!,X$1)</f>
        <v>#REF!</v>
      </c>
      <c r="Y266" s="24" t="e">
        <f>SUMIFS(#REF!,#REF!,$B266,#REF!,Y$1)</f>
        <v>#REF!</v>
      </c>
      <c r="Z266" s="24" t="e">
        <f>SUMIFS(#REF!,#REF!,$B266,#REF!,Z$1)</f>
        <v>#REF!</v>
      </c>
      <c r="AA266" s="24" t="e">
        <f>SUMIFS(#REF!,#REF!,$B266,#REF!,AA$1)</f>
        <v>#REF!</v>
      </c>
      <c r="AB266" s="24" t="e">
        <f>SUMIFS(#REF!,#REF!,$B266,#REF!,AB$1)</f>
        <v>#REF!</v>
      </c>
      <c r="AC266" s="24" t="e">
        <f>SUMIFS(#REF!,#REF!,$B266,#REF!,AC$1)</f>
        <v>#REF!</v>
      </c>
      <c r="AD266" s="24" t="e">
        <f>SUMIFS(#REF!,#REF!,$B266,#REF!,AD$1)</f>
        <v>#REF!</v>
      </c>
      <c r="AE266" s="24" t="e">
        <f>SUMIFS(#REF!,#REF!,$B266,#REF!,AE$1)</f>
        <v>#REF!</v>
      </c>
      <c r="AF266" s="24" t="e">
        <f>SUMIFS(#REF!,#REF!,$B266,#REF!,AF$1)</f>
        <v>#REF!</v>
      </c>
      <c r="AG266" s="24" t="e">
        <f>SUMIFS(#REF!,#REF!,$B266,#REF!,AG$1)</f>
        <v>#REF!</v>
      </c>
      <c r="AH266" s="24" t="e">
        <f>SUMIFS(#REF!,#REF!,$B266,#REF!,AH$1)</f>
        <v>#REF!</v>
      </c>
      <c r="AI266" s="24" t="e">
        <f>SUMIFS(#REF!,#REF!,$B266,#REF!,AI$1)</f>
        <v>#REF!</v>
      </c>
      <c r="AJ266" s="24" t="e">
        <f>SUMIFS(#REF!,#REF!,$B266,#REF!,AJ$1)</f>
        <v>#REF!</v>
      </c>
      <c r="AK266" s="24" t="e">
        <f>SUMIFS(#REF!,#REF!,$B266,#REF!,AK$1)</f>
        <v>#REF!</v>
      </c>
      <c r="AL266" s="24" t="e">
        <f>SUMIFS(#REF!,#REF!,$B266,#REF!,AL$1)</f>
        <v>#REF!</v>
      </c>
      <c r="AM266" s="24" t="e">
        <f>SUMIFS(#REF!,#REF!,$B266,#REF!,AM$1)</f>
        <v>#REF!</v>
      </c>
      <c r="AN266" s="24" t="e">
        <f>SUMIFS(#REF!,#REF!,$B266,#REF!,AN$1)</f>
        <v>#REF!</v>
      </c>
      <c r="AO266" s="24" t="e">
        <f>SUMIFS(#REF!,#REF!,$B266,#REF!,AO$1)</f>
        <v>#REF!</v>
      </c>
      <c r="AP266" s="24" t="e">
        <f>SUMIFS(#REF!,#REF!,$B266,#REF!,AP$1)</f>
        <v>#REF!</v>
      </c>
      <c r="AQ266" s="24" t="e">
        <f>SUMIFS(#REF!,#REF!,$B266,#REF!,AQ$1)</f>
        <v>#REF!</v>
      </c>
      <c r="AR266" s="24" t="e">
        <f>SUMIFS(#REF!,#REF!,$B266,#REF!,AR$1)</f>
        <v>#REF!</v>
      </c>
      <c r="AS266" s="24" t="e">
        <f>SUMIFS(#REF!,#REF!,$B266,#REF!,AS$1)</f>
        <v>#REF!</v>
      </c>
      <c r="AT266" s="24" t="e">
        <f>SUMIFS(#REF!,#REF!,$B266,#REF!,AT$1)</f>
        <v>#REF!</v>
      </c>
      <c r="AU266" s="24" t="e">
        <f>SUMIFS(#REF!,#REF!,$B266,#REF!,AU$1)</f>
        <v>#REF!</v>
      </c>
      <c r="AV266" s="24" t="e">
        <f>SUMIFS(#REF!,#REF!,$B266,#REF!,AV$1)</f>
        <v>#REF!</v>
      </c>
      <c r="AW266" s="24" t="e">
        <f>SUMIFS(#REF!,#REF!,$B266,#REF!,AW$1)</f>
        <v>#REF!</v>
      </c>
      <c r="AX266" s="24" t="e">
        <f>SUMIFS(#REF!,#REF!,$B266,#REF!,AX$1)</f>
        <v>#REF!</v>
      </c>
      <c r="AY266" s="24" t="e">
        <f>SUMIFS(#REF!,#REF!,$B266,#REF!,AY$1)</f>
        <v>#REF!</v>
      </c>
      <c r="AZ266" s="24" t="e">
        <f>SUMIFS(#REF!,#REF!,$B266,#REF!,AZ$1)</f>
        <v>#REF!</v>
      </c>
      <c r="BA266" s="24" t="e">
        <f>SUMIFS(#REF!,#REF!,$B266,#REF!,BA$1)</f>
        <v>#REF!</v>
      </c>
      <c r="BB266" s="24" t="e">
        <f>SUMIFS(#REF!,#REF!,$B266,#REF!,BB$1)</f>
        <v>#REF!</v>
      </c>
      <c r="BC266" s="24" t="e">
        <f>SUMIFS(#REF!,#REF!,$B266,#REF!,BC$1)</f>
        <v>#REF!</v>
      </c>
      <c r="BD266" s="24" t="e">
        <f>SUMIFS(#REF!,#REF!,$B266,#REF!,BD$1)</f>
        <v>#REF!</v>
      </c>
      <c r="BE266" s="24" t="e">
        <f>SUMIFS(#REF!,#REF!,$B266,#REF!,BE$1)</f>
        <v>#REF!</v>
      </c>
      <c r="BF266" s="24" t="e">
        <f>SUMIFS(#REF!,#REF!,$B266,#REF!,BF$1)</f>
        <v>#REF!</v>
      </c>
      <c r="BG266" s="24" t="e">
        <f>SUMIFS(#REF!,#REF!,$B266,#REF!,BG$1)</f>
        <v>#REF!</v>
      </c>
      <c r="BH266" s="24" t="e">
        <f>SUMIFS(#REF!,#REF!,$B266,#REF!,BH$1)</f>
        <v>#REF!</v>
      </c>
      <c r="BI266" s="24" t="e">
        <f>SUMIFS(#REF!,#REF!,$B266,#REF!,BI$1)</f>
        <v>#REF!</v>
      </c>
      <c r="BJ266" s="24" t="e">
        <f>SUMIFS(#REF!,#REF!,$B266,#REF!,BJ$1)</f>
        <v>#REF!</v>
      </c>
      <c r="BK266" s="24" t="e">
        <f>SUMIFS(#REF!,#REF!,$B266,#REF!,BK$1)</f>
        <v>#REF!</v>
      </c>
      <c r="BL266" s="24" t="e">
        <f>SUMIFS(#REF!,#REF!,$B266,#REF!,BL$1)</f>
        <v>#REF!</v>
      </c>
      <c r="BM266" s="24" t="e">
        <f>SUMIFS(#REF!,#REF!,$B266,#REF!,BM$1)</f>
        <v>#REF!</v>
      </c>
      <c r="BN266" s="24" t="e">
        <f>SUMIFS(#REF!,#REF!,$B266,#REF!,BN$1)</f>
        <v>#REF!</v>
      </c>
      <c r="BO266" s="24" t="e">
        <f>SUMIFS(#REF!,#REF!,$B266,#REF!,BO$1)</f>
        <v>#REF!</v>
      </c>
      <c r="BP266" s="24" t="e">
        <f>SUMIFS(#REF!,#REF!,$B266,#REF!,BP$1)</f>
        <v>#REF!</v>
      </c>
      <c r="BQ266" s="24" t="e">
        <f>SUMIFS(#REF!,#REF!,$B266,#REF!,BQ$1)</f>
        <v>#REF!</v>
      </c>
      <c r="BR266" s="24" t="e">
        <f>SUMIFS(#REF!,#REF!,$B266,#REF!,BR$1)</f>
        <v>#REF!</v>
      </c>
      <c r="BS266" s="24" t="e">
        <f>SUMIFS(#REF!,#REF!,$B266,#REF!,BS$1)</f>
        <v>#REF!</v>
      </c>
      <c r="BT266" s="24" t="e">
        <f>SUMIFS(#REF!,#REF!,$B266,#REF!,BT$1)</f>
        <v>#REF!</v>
      </c>
      <c r="BU266" s="24" t="e">
        <f>SUMIFS(#REF!,#REF!,$B266,#REF!,BU$1)</f>
        <v>#REF!</v>
      </c>
      <c r="BV266" s="24" t="e">
        <f>SUMIFS(#REF!,#REF!,$B266,#REF!,BV$1)</f>
        <v>#REF!</v>
      </c>
      <c r="BW266" s="24" t="e">
        <f>SUMIFS(#REF!,#REF!,$B266,#REF!,BW$1)</f>
        <v>#REF!</v>
      </c>
      <c r="BX266" s="24" t="e">
        <f>SUMIFS(#REF!,#REF!,$B266,#REF!,BX$1)</f>
        <v>#REF!</v>
      </c>
      <c r="BY266" s="24" t="e">
        <f>SUMIFS(#REF!,#REF!,$B266,#REF!,BY$1)</f>
        <v>#REF!</v>
      </c>
      <c r="BZ266" s="24" t="e">
        <f>SUMIFS(#REF!,#REF!,$B266,#REF!,BZ$1)</f>
        <v>#REF!</v>
      </c>
      <c r="CA266" s="24" t="e">
        <f>SUMIFS(#REF!,#REF!,$B266,#REF!,CA$1)</f>
        <v>#REF!</v>
      </c>
      <c r="CB266" s="24" t="e">
        <f>SUMIFS(#REF!,#REF!,$B266,#REF!,CB$1)</f>
        <v>#REF!</v>
      </c>
      <c r="CC266" s="24" t="e">
        <f>SUMIFS(#REF!,#REF!,$B266,#REF!,CC$1)</f>
        <v>#REF!</v>
      </c>
      <c r="CD266" s="24" t="e">
        <f>SUMIFS(#REF!,#REF!,$B266,#REF!,CD$1)</f>
        <v>#REF!</v>
      </c>
      <c r="CE266" s="24" t="e">
        <f>SUMIFS(#REF!,#REF!,$B266,#REF!,CE$1)</f>
        <v>#REF!</v>
      </c>
      <c r="CF266" s="24" t="e">
        <f>SUMIFS(#REF!,#REF!,$B266,#REF!,CF$1)</f>
        <v>#REF!</v>
      </c>
      <c r="CG266" s="19" t="e">
        <f t="shared" si="4"/>
        <v>#REF!</v>
      </c>
    </row>
    <row r="267" spans="1:85" x14ac:dyDescent="0.45">
      <c r="A267" s="4" t="s">
        <v>1510</v>
      </c>
      <c r="B267" s="4" t="s">
        <v>1510</v>
      </c>
      <c r="C267" s="24" t="e">
        <f>SUMIFS(#REF!,#REF!,$B267,#REF!,C$1)</f>
        <v>#REF!</v>
      </c>
      <c r="D267" s="24" t="e">
        <f>SUMIFS(#REF!,#REF!,$B267,#REF!,D$1)</f>
        <v>#REF!</v>
      </c>
      <c r="E267" s="24" t="e">
        <f>SUMIFS(#REF!,#REF!,$B267,#REF!,E$1)</f>
        <v>#REF!</v>
      </c>
      <c r="F267" s="24" t="e">
        <f>SUMIFS(#REF!,#REF!,$B267,#REF!,F$1)</f>
        <v>#REF!</v>
      </c>
      <c r="G267" s="24" t="e">
        <f>SUMIFS(#REF!,#REF!,$B267,#REF!,G$1)</f>
        <v>#REF!</v>
      </c>
      <c r="H267" s="24" t="e">
        <f>SUMIFS(#REF!,#REF!,$B267,#REF!,H$1)</f>
        <v>#REF!</v>
      </c>
      <c r="I267" s="24" t="e">
        <f>SUMIFS(#REF!,#REF!,$B267,#REF!,I$1)</f>
        <v>#REF!</v>
      </c>
      <c r="J267" s="24" t="e">
        <f>SUMIFS(#REF!,#REF!,$B267,#REF!,J$1)</f>
        <v>#REF!</v>
      </c>
      <c r="K267" s="24" t="e">
        <f>SUMIFS(#REF!,#REF!,$B267,#REF!,K$1)</f>
        <v>#REF!</v>
      </c>
      <c r="L267" s="24" t="e">
        <f>SUMIFS(#REF!,#REF!,$B267,#REF!,L$1)</f>
        <v>#REF!</v>
      </c>
      <c r="M267" s="24" t="e">
        <f>SUMIFS(#REF!,#REF!,$B267,#REF!,M$1)</f>
        <v>#REF!</v>
      </c>
      <c r="N267" s="24" t="e">
        <f>SUMIFS(#REF!,#REF!,$B267,#REF!,N$1)</f>
        <v>#REF!</v>
      </c>
      <c r="O267" s="24" t="e">
        <f>SUMIFS(#REF!,#REF!,$B267,#REF!,O$1)</f>
        <v>#REF!</v>
      </c>
      <c r="P267" s="24" t="e">
        <f>SUMIFS(#REF!,#REF!,$B267,#REF!,P$1)</f>
        <v>#REF!</v>
      </c>
      <c r="Q267" s="24" t="e">
        <f>SUMIFS(#REF!,#REF!,$B267,#REF!,Q$1)</f>
        <v>#REF!</v>
      </c>
      <c r="R267" s="24" t="e">
        <f>SUMIFS(#REF!,#REF!,$B267,#REF!,R$1)</f>
        <v>#REF!</v>
      </c>
      <c r="S267" s="24" t="e">
        <f>SUMIFS(#REF!,#REF!,$B267,#REF!,S$1)</f>
        <v>#REF!</v>
      </c>
      <c r="T267" s="24" t="e">
        <f>SUMIFS(#REF!,#REF!,$B267,#REF!,T$1)</f>
        <v>#REF!</v>
      </c>
      <c r="U267" s="24" t="e">
        <f>SUMIFS(#REF!,#REF!,$B267,#REF!,U$1)</f>
        <v>#REF!</v>
      </c>
      <c r="V267" s="24" t="e">
        <f>SUMIFS(#REF!,#REF!,$B267,#REF!,V$1)</f>
        <v>#REF!</v>
      </c>
      <c r="W267" s="24" t="e">
        <f>SUMIFS(#REF!,#REF!,$B267,#REF!,W$1)</f>
        <v>#REF!</v>
      </c>
      <c r="X267" s="24" t="e">
        <f>SUMIFS(#REF!,#REF!,$B267,#REF!,X$1)</f>
        <v>#REF!</v>
      </c>
      <c r="Y267" s="24" t="e">
        <f>SUMIFS(#REF!,#REF!,$B267,#REF!,Y$1)</f>
        <v>#REF!</v>
      </c>
      <c r="Z267" s="24" t="e">
        <f>SUMIFS(#REF!,#REF!,$B267,#REF!,Z$1)</f>
        <v>#REF!</v>
      </c>
      <c r="AA267" s="24" t="e">
        <f>SUMIFS(#REF!,#REF!,$B267,#REF!,AA$1)</f>
        <v>#REF!</v>
      </c>
      <c r="AB267" s="24" t="e">
        <f>SUMIFS(#REF!,#REF!,$B267,#REF!,AB$1)</f>
        <v>#REF!</v>
      </c>
      <c r="AC267" s="24" t="e">
        <f>SUMIFS(#REF!,#REF!,$B267,#REF!,AC$1)</f>
        <v>#REF!</v>
      </c>
      <c r="AD267" s="24" t="e">
        <f>SUMIFS(#REF!,#REF!,$B267,#REF!,AD$1)</f>
        <v>#REF!</v>
      </c>
      <c r="AE267" s="24" t="e">
        <f>SUMIFS(#REF!,#REF!,$B267,#REF!,AE$1)</f>
        <v>#REF!</v>
      </c>
      <c r="AF267" s="24" t="e">
        <f>SUMIFS(#REF!,#REF!,$B267,#REF!,AF$1)</f>
        <v>#REF!</v>
      </c>
      <c r="AG267" s="24" t="e">
        <f>SUMIFS(#REF!,#REF!,$B267,#REF!,AG$1)</f>
        <v>#REF!</v>
      </c>
      <c r="AH267" s="24" t="e">
        <f>SUMIFS(#REF!,#REF!,$B267,#REF!,AH$1)</f>
        <v>#REF!</v>
      </c>
      <c r="AI267" s="24" t="e">
        <f>SUMIFS(#REF!,#REF!,$B267,#REF!,AI$1)</f>
        <v>#REF!</v>
      </c>
      <c r="AJ267" s="24" t="e">
        <f>SUMIFS(#REF!,#REF!,$B267,#REF!,AJ$1)</f>
        <v>#REF!</v>
      </c>
      <c r="AK267" s="24" t="e">
        <f>SUMIFS(#REF!,#REF!,$B267,#REF!,AK$1)</f>
        <v>#REF!</v>
      </c>
      <c r="AL267" s="24" t="e">
        <f>SUMIFS(#REF!,#REF!,$B267,#REF!,AL$1)</f>
        <v>#REF!</v>
      </c>
      <c r="AM267" s="24" t="e">
        <f>SUMIFS(#REF!,#REF!,$B267,#REF!,AM$1)</f>
        <v>#REF!</v>
      </c>
      <c r="AN267" s="24" t="e">
        <f>SUMIFS(#REF!,#REF!,$B267,#REF!,AN$1)</f>
        <v>#REF!</v>
      </c>
      <c r="AO267" s="24" t="e">
        <f>SUMIFS(#REF!,#REF!,$B267,#REF!,AO$1)</f>
        <v>#REF!</v>
      </c>
      <c r="AP267" s="24" t="e">
        <f>SUMIFS(#REF!,#REF!,$B267,#REF!,AP$1)</f>
        <v>#REF!</v>
      </c>
      <c r="AQ267" s="24" t="e">
        <f>SUMIFS(#REF!,#REF!,$B267,#REF!,AQ$1)</f>
        <v>#REF!</v>
      </c>
      <c r="AR267" s="24" t="e">
        <f>SUMIFS(#REF!,#REF!,$B267,#REF!,AR$1)</f>
        <v>#REF!</v>
      </c>
      <c r="AS267" s="24" t="e">
        <f>SUMIFS(#REF!,#REF!,$B267,#REF!,AS$1)</f>
        <v>#REF!</v>
      </c>
      <c r="AT267" s="24" t="e">
        <f>SUMIFS(#REF!,#REF!,$B267,#REF!,AT$1)</f>
        <v>#REF!</v>
      </c>
      <c r="AU267" s="24" t="e">
        <f>SUMIFS(#REF!,#REF!,$B267,#REF!,AU$1)</f>
        <v>#REF!</v>
      </c>
      <c r="AV267" s="24" t="e">
        <f>SUMIFS(#REF!,#REF!,$B267,#REF!,AV$1)</f>
        <v>#REF!</v>
      </c>
      <c r="AW267" s="24" t="e">
        <f>SUMIFS(#REF!,#REF!,$B267,#REF!,AW$1)</f>
        <v>#REF!</v>
      </c>
      <c r="AX267" s="24" t="e">
        <f>SUMIFS(#REF!,#REF!,$B267,#REF!,AX$1)</f>
        <v>#REF!</v>
      </c>
      <c r="AY267" s="24" t="e">
        <f>SUMIFS(#REF!,#REF!,$B267,#REF!,AY$1)</f>
        <v>#REF!</v>
      </c>
      <c r="AZ267" s="24" t="e">
        <f>SUMIFS(#REF!,#REF!,$B267,#REF!,AZ$1)</f>
        <v>#REF!</v>
      </c>
      <c r="BA267" s="24" t="e">
        <f>SUMIFS(#REF!,#REF!,$B267,#REF!,BA$1)</f>
        <v>#REF!</v>
      </c>
      <c r="BB267" s="24" t="e">
        <f>SUMIFS(#REF!,#REF!,$B267,#REF!,BB$1)</f>
        <v>#REF!</v>
      </c>
      <c r="BC267" s="24" t="e">
        <f>SUMIFS(#REF!,#REF!,$B267,#REF!,BC$1)</f>
        <v>#REF!</v>
      </c>
      <c r="BD267" s="24" t="e">
        <f>SUMIFS(#REF!,#REF!,$B267,#REF!,BD$1)</f>
        <v>#REF!</v>
      </c>
      <c r="BE267" s="24" t="e">
        <f>SUMIFS(#REF!,#REF!,$B267,#REF!,BE$1)</f>
        <v>#REF!</v>
      </c>
      <c r="BF267" s="24" t="e">
        <f>SUMIFS(#REF!,#REF!,$B267,#REF!,BF$1)</f>
        <v>#REF!</v>
      </c>
      <c r="BG267" s="24" t="e">
        <f>SUMIFS(#REF!,#REF!,$B267,#REF!,BG$1)</f>
        <v>#REF!</v>
      </c>
      <c r="BH267" s="24" t="e">
        <f>SUMIFS(#REF!,#REF!,$B267,#REF!,BH$1)</f>
        <v>#REF!</v>
      </c>
      <c r="BI267" s="24" t="e">
        <f>SUMIFS(#REF!,#REF!,$B267,#REF!,BI$1)</f>
        <v>#REF!</v>
      </c>
      <c r="BJ267" s="24" t="e">
        <f>SUMIFS(#REF!,#REF!,$B267,#REF!,BJ$1)</f>
        <v>#REF!</v>
      </c>
      <c r="BK267" s="24" t="e">
        <f>SUMIFS(#REF!,#REF!,$B267,#REF!,BK$1)</f>
        <v>#REF!</v>
      </c>
      <c r="BL267" s="24" t="e">
        <f>SUMIFS(#REF!,#REF!,$B267,#REF!,BL$1)</f>
        <v>#REF!</v>
      </c>
      <c r="BM267" s="24" t="e">
        <f>SUMIFS(#REF!,#REF!,$B267,#REF!,BM$1)</f>
        <v>#REF!</v>
      </c>
      <c r="BN267" s="24" t="e">
        <f>SUMIFS(#REF!,#REF!,$B267,#REF!,BN$1)</f>
        <v>#REF!</v>
      </c>
      <c r="BO267" s="24" t="e">
        <f>SUMIFS(#REF!,#REF!,$B267,#REF!,BO$1)</f>
        <v>#REF!</v>
      </c>
      <c r="BP267" s="24" t="e">
        <f>SUMIFS(#REF!,#REF!,$B267,#REF!,BP$1)</f>
        <v>#REF!</v>
      </c>
      <c r="BQ267" s="24" t="e">
        <f>SUMIFS(#REF!,#REF!,$B267,#REF!,BQ$1)</f>
        <v>#REF!</v>
      </c>
      <c r="BR267" s="24" t="e">
        <f>SUMIFS(#REF!,#REF!,$B267,#REF!,BR$1)</f>
        <v>#REF!</v>
      </c>
      <c r="BS267" s="24" t="e">
        <f>SUMIFS(#REF!,#REF!,$B267,#REF!,BS$1)</f>
        <v>#REF!</v>
      </c>
      <c r="BT267" s="24" t="e">
        <f>SUMIFS(#REF!,#REF!,$B267,#REF!,BT$1)</f>
        <v>#REF!</v>
      </c>
      <c r="BU267" s="24" t="e">
        <f>SUMIFS(#REF!,#REF!,$B267,#REF!,BU$1)</f>
        <v>#REF!</v>
      </c>
      <c r="BV267" s="24" t="e">
        <f>SUMIFS(#REF!,#REF!,$B267,#REF!,BV$1)</f>
        <v>#REF!</v>
      </c>
      <c r="BW267" s="24" t="e">
        <f>SUMIFS(#REF!,#REF!,$B267,#REF!,BW$1)</f>
        <v>#REF!</v>
      </c>
      <c r="BX267" s="24" t="e">
        <f>SUMIFS(#REF!,#REF!,$B267,#REF!,BX$1)</f>
        <v>#REF!</v>
      </c>
      <c r="BY267" s="24" t="e">
        <f>SUMIFS(#REF!,#REF!,$B267,#REF!,BY$1)</f>
        <v>#REF!</v>
      </c>
      <c r="BZ267" s="24" t="e">
        <f>SUMIFS(#REF!,#REF!,$B267,#REF!,BZ$1)</f>
        <v>#REF!</v>
      </c>
      <c r="CA267" s="24" t="e">
        <f>SUMIFS(#REF!,#REF!,$B267,#REF!,CA$1)</f>
        <v>#REF!</v>
      </c>
      <c r="CB267" s="24" t="e">
        <f>SUMIFS(#REF!,#REF!,$B267,#REF!,CB$1)</f>
        <v>#REF!</v>
      </c>
      <c r="CC267" s="24" t="e">
        <f>SUMIFS(#REF!,#REF!,$B267,#REF!,CC$1)</f>
        <v>#REF!</v>
      </c>
      <c r="CD267" s="24" t="e">
        <f>SUMIFS(#REF!,#REF!,$B267,#REF!,CD$1)</f>
        <v>#REF!</v>
      </c>
      <c r="CE267" s="24" t="e">
        <f>SUMIFS(#REF!,#REF!,$B267,#REF!,CE$1)</f>
        <v>#REF!</v>
      </c>
      <c r="CF267" s="24" t="e">
        <f>SUMIFS(#REF!,#REF!,$B267,#REF!,CF$1)</f>
        <v>#REF!</v>
      </c>
      <c r="CG267" s="19" t="e">
        <f t="shared" si="4"/>
        <v>#REF!</v>
      </c>
    </row>
    <row r="268" spans="1:85" x14ac:dyDescent="0.45">
      <c r="A268" s="4" t="s">
        <v>1511</v>
      </c>
      <c r="B268" s="4" t="s">
        <v>1511</v>
      </c>
      <c r="C268" s="24" t="e">
        <f>SUMIFS(#REF!,#REF!,$B268,#REF!,C$1)</f>
        <v>#REF!</v>
      </c>
      <c r="D268" s="24" t="e">
        <f>SUMIFS(#REF!,#REF!,$B268,#REF!,D$1)</f>
        <v>#REF!</v>
      </c>
      <c r="E268" s="24" t="e">
        <f>SUMIFS(#REF!,#REF!,$B268,#REF!,E$1)</f>
        <v>#REF!</v>
      </c>
      <c r="F268" s="24" t="e">
        <f>SUMIFS(#REF!,#REF!,$B268,#REF!,F$1)</f>
        <v>#REF!</v>
      </c>
      <c r="G268" s="24" t="e">
        <f>SUMIFS(#REF!,#REF!,$B268,#REF!,G$1)</f>
        <v>#REF!</v>
      </c>
      <c r="H268" s="24" t="e">
        <f>SUMIFS(#REF!,#REF!,$B268,#REF!,H$1)</f>
        <v>#REF!</v>
      </c>
      <c r="I268" s="24" t="e">
        <f>SUMIFS(#REF!,#REF!,$B268,#REF!,I$1)</f>
        <v>#REF!</v>
      </c>
      <c r="J268" s="24" t="e">
        <f>SUMIFS(#REF!,#REF!,$B268,#REF!,J$1)</f>
        <v>#REF!</v>
      </c>
      <c r="K268" s="24" t="e">
        <f>SUMIFS(#REF!,#REF!,$B268,#REF!,K$1)</f>
        <v>#REF!</v>
      </c>
      <c r="L268" s="24" t="e">
        <f>SUMIFS(#REF!,#REF!,$B268,#REF!,L$1)</f>
        <v>#REF!</v>
      </c>
      <c r="M268" s="24" t="e">
        <f>SUMIFS(#REF!,#REF!,$B268,#REF!,M$1)</f>
        <v>#REF!</v>
      </c>
      <c r="N268" s="24" t="e">
        <f>SUMIFS(#REF!,#REF!,$B268,#REF!,N$1)</f>
        <v>#REF!</v>
      </c>
      <c r="O268" s="24" t="e">
        <f>SUMIFS(#REF!,#REF!,$B268,#REF!,O$1)</f>
        <v>#REF!</v>
      </c>
      <c r="P268" s="24" t="e">
        <f>SUMIFS(#REF!,#REF!,$B268,#REF!,P$1)</f>
        <v>#REF!</v>
      </c>
      <c r="Q268" s="24" t="e">
        <f>SUMIFS(#REF!,#REF!,$B268,#REF!,Q$1)</f>
        <v>#REF!</v>
      </c>
      <c r="R268" s="24" t="e">
        <f>SUMIFS(#REF!,#REF!,$B268,#REF!,R$1)</f>
        <v>#REF!</v>
      </c>
      <c r="S268" s="24" t="e">
        <f>SUMIFS(#REF!,#REF!,$B268,#REF!,S$1)</f>
        <v>#REF!</v>
      </c>
      <c r="T268" s="24" t="e">
        <f>SUMIFS(#REF!,#REF!,$B268,#REF!,T$1)</f>
        <v>#REF!</v>
      </c>
      <c r="U268" s="24" t="e">
        <f>SUMIFS(#REF!,#REF!,$B268,#REF!,U$1)</f>
        <v>#REF!</v>
      </c>
      <c r="V268" s="24" t="e">
        <f>SUMIFS(#REF!,#REF!,$B268,#REF!,V$1)</f>
        <v>#REF!</v>
      </c>
      <c r="W268" s="24" t="e">
        <f>SUMIFS(#REF!,#REF!,$B268,#REF!,W$1)</f>
        <v>#REF!</v>
      </c>
      <c r="X268" s="24" t="e">
        <f>SUMIFS(#REF!,#REF!,$B268,#REF!,X$1)</f>
        <v>#REF!</v>
      </c>
      <c r="Y268" s="24" t="e">
        <f>SUMIFS(#REF!,#REF!,$B268,#REF!,Y$1)</f>
        <v>#REF!</v>
      </c>
      <c r="Z268" s="24" t="e">
        <f>SUMIFS(#REF!,#REF!,$B268,#REF!,Z$1)</f>
        <v>#REF!</v>
      </c>
      <c r="AA268" s="24" t="e">
        <f>SUMIFS(#REF!,#REF!,$B268,#REF!,AA$1)</f>
        <v>#REF!</v>
      </c>
      <c r="AB268" s="24" t="e">
        <f>SUMIFS(#REF!,#REF!,$B268,#REF!,AB$1)</f>
        <v>#REF!</v>
      </c>
      <c r="AC268" s="24" t="e">
        <f>SUMIFS(#REF!,#REF!,$B268,#REF!,AC$1)</f>
        <v>#REF!</v>
      </c>
      <c r="AD268" s="24" t="e">
        <f>SUMIFS(#REF!,#REF!,$B268,#REF!,AD$1)</f>
        <v>#REF!</v>
      </c>
      <c r="AE268" s="24" t="e">
        <f>SUMIFS(#REF!,#REF!,$B268,#REF!,AE$1)</f>
        <v>#REF!</v>
      </c>
      <c r="AF268" s="24" t="e">
        <f>SUMIFS(#REF!,#REF!,$B268,#REF!,AF$1)</f>
        <v>#REF!</v>
      </c>
      <c r="AG268" s="24" t="e">
        <f>SUMIFS(#REF!,#REF!,$B268,#REF!,AG$1)</f>
        <v>#REF!</v>
      </c>
      <c r="AH268" s="24" t="e">
        <f>SUMIFS(#REF!,#REF!,$B268,#REF!,AH$1)</f>
        <v>#REF!</v>
      </c>
      <c r="AI268" s="24" t="e">
        <f>SUMIFS(#REF!,#REF!,$B268,#REF!,AI$1)</f>
        <v>#REF!</v>
      </c>
      <c r="AJ268" s="24" t="e">
        <f>SUMIFS(#REF!,#REF!,$B268,#REF!,AJ$1)</f>
        <v>#REF!</v>
      </c>
      <c r="AK268" s="24" t="e">
        <f>SUMIFS(#REF!,#REF!,$B268,#REF!,AK$1)</f>
        <v>#REF!</v>
      </c>
      <c r="AL268" s="24" t="e">
        <f>SUMIFS(#REF!,#REF!,$B268,#REF!,AL$1)</f>
        <v>#REF!</v>
      </c>
      <c r="AM268" s="24" t="e">
        <f>SUMIFS(#REF!,#REF!,$B268,#REF!,AM$1)</f>
        <v>#REF!</v>
      </c>
      <c r="AN268" s="24" t="e">
        <f>SUMIFS(#REF!,#REF!,$B268,#REF!,AN$1)</f>
        <v>#REF!</v>
      </c>
      <c r="AO268" s="24" t="e">
        <f>SUMIFS(#REF!,#REF!,$B268,#REF!,AO$1)</f>
        <v>#REF!</v>
      </c>
      <c r="AP268" s="24" t="e">
        <f>SUMIFS(#REF!,#REF!,$B268,#REF!,AP$1)</f>
        <v>#REF!</v>
      </c>
      <c r="AQ268" s="24" t="e">
        <f>SUMIFS(#REF!,#REF!,$B268,#REF!,AQ$1)</f>
        <v>#REF!</v>
      </c>
      <c r="AR268" s="24" t="e">
        <f>SUMIFS(#REF!,#REF!,$B268,#REF!,AR$1)</f>
        <v>#REF!</v>
      </c>
      <c r="AS268" s="24" t="e">
        <f>SUMIFS(#REF!,#REF!,$B268,#REF!,AS$1)</f>
        <v>#REF!</v>
      </c>
      <c r="AT268" s="24" t="e">
        <f>SUMIFS(#REF!,#REF!,$B268,#REF!,AT$1)</f>
        <v>#REF!</v>
      </c>
      <c r="AU268" s="24" t="e">
        <f>SUMIFS(#REF!,#REF!,$B268,#REF!,AU$1)</f>
        <v>#REF!</v>
      </c>
      <c r="AV268" s="24" t="e">
        <f>SUMIFS(#REF!,#REF!,$B268,#REF!,AV$1)</f>
        <v>#REF!</v>
      </c>
      <c r="AW268" s="24" t="e">
        <f>SUMIFS(#REF!,#REF!,$B268,#REF!,AW$1)</f>
        <v>#REF!</v>
      </c>
      <c r="AX268" s="24" t="e">
        <f>SUMIFS(#REF!,#REF!,$B268,#REF!,AX$1)</f>
        <v>#REF!</v>
      </c>
      <c r="AY268" s="24" t="e">
        <f>SUMIFS(#REF!,#REF!,$B268,#REF!,AY$1)</f>
        <v>#REF!</v>
      </c>
      <c r="AZ268" s="24" t="e">
        <f>SUMIFS(#REF!,#REF!,$B268,#REF!,AZ$1)</f>
        <v>#REF!</v>
      </c>
      <c r="BA268" s="24" t="e">
        <f>SUMIFS(#REF!,#REF!,$B268,#REF!,BA$1)</f>
        <v>#REF!</v>
      </c>
      <c r="BB268" s="24" t="e">
        <f>SUMIFS(#REF!,#REF!,$B268,#REF!,BB$1)</f>
        <v>#REF!</v>
      </c>
      <c r="BC268" s="24" t="e">
        <f>SUMIFS(#REF!,#REF!,$B268,#REF!,BC$1)</f>
        <v>#REF!</v>
      </c>
      <c r="BD268" s="24" t="e">
        <f>SUMIFS(#REF!,#REF!,$B268,#REF!,BD$1)</f>
        <v>#REF!</v>
      </c>
      <c r="BE268" s="24" t="e">
        <f>SUMIFS(#REF!,#REF!,$B268,#REF!,BE$1)</f>
        <v>#REF!</v>
      </c>
      <c r="BF268" s="24" t="e">
        <f>SUMIFS(#REF!,#REF!,$B268,#REF!,BF$1)</f>
        <v>#REF!</v>
      </c>
      <c r="BG268" s="24" t="e">
        <f>SUMIFS(#REF!,#REF!,$B268,#REF!,BG$1)</f>
        <v>#REF!</v>
      </c>
      <c r="BH268" s="24" t="e">
        <f>SUMIFS(#REF!,#REF!,$B268,#REF!,BH$1)</f>
        <v>#REF!</v>
      </c>
      <c r="BI268" s="24" t="e">
        <f>SUMIFS(#REF!,#REF!,$B268,#REF!,BI$1)</f>
        <v>#REF!</v>
      </c>
      <c r="BJ268" s="24" t="e">
        <f>SUMIFS(#REF!,#REF!,$B268,#REF!,BJ$1)</f>
        <v>#REF!</v>
      </c>
      <c r="BK268" s="24" t="e">
        <f>SUMIFS(#REF!,#REF!,$B268,#REF!,BK$1)</f>
        <v>#REF!</v>
      </c>
      <c r="BL268" s="24" t="e">
        <f>SUMIFS(#REF!,#REF!,$B268,#REF!,BL$1)</f>
        <v>#REF!</v>
      </c>
      <c r="BM268" s="24" t="e">
        <f>SUMIFS(#REF!,#REF!,$B268,#REF!,BM$1)</f>
        <v>#REF!</v>
      </c>
      <c r="BN268" s="24" t="e">
        <f>SUMIFS(#REF!,#REF!,$B268,#REF!,BN$1)</f>
        <v>#REF!</v>
      </c>
      <c r="BO268" s="24" t="e">
        <f>SUMIFS(#REF!,#REF!,$B268,#REF!,BO$1)</f>
        <v>#REF!</v>
      </c>
      <c r="BP268" s="24" t="e">
        <f>SUMIFS(#REF!,#REF!,$B268,#REF!,BP$1)</f>
        <v>#REF!</v>
      </c>
      <c r="BQ268" s="24" t="e">
        <f>SUMIFS(#REF!,#REF!,$B268,#REF!,BQ$1)</f>
        <v>#REF!</v>
      </c>
      <c r="BR268" s="24" t="e">
        <f>SUMIFS(#REF!,#REF!,$B268,#REF!,BR$1)</f>
        <v>#REF!</v>
      </c>
      <c r="BS268" s="24" t="e">
        <f>SUMIFS(#REF!,#REF!,$B268,#REF!,BS$1)</f>
        <v>#REF!</v>
      </c>
      <c r="BT268" s="24" t="e">
        <f>SUMIFS(#REF!,#REF!,$B268,#REF!,BT$1)</f>
        <v>#REF!</v>
      </c>
      <c r="BU268" s="24" t="e">
        <f>SUMIFS(#REF!,#REF!,$B268,#REF!,BU$1)</f>
        <v>#REF!</v>
      </c>
      <c r="BV268" s="24" t="e">
        <f>SUMIFS(#REF!,#REF!,$B268,#REF!,BV$1)</f>
        <v>#REF!</v>
      </c>
      <c r="BW268" s="24" t="e">
        <f>SUMIFS(#REF!,#REF!,$B268,#REF!,BW$1)</f>
        <v>#REF!</v>
      </c>
      <c r="BX268" s="24" t="e">
        <f>SUMIFS(#REF!,#REF!,$B268,#REF!,BX$1)</f>
        <v>#REF!</v>
      </c>
      <c r="BY268" s="24" t="e">
        <f>SUMIFS(#REF!,#REF!,$B268,#REF!,BY$1)</f>
        <v>#REF!</v>
      </c>
      <c r="BZ268" s="24" t="e">
        <f>SUMIFS(#REF!,#REF!,$B268,#REF!,BZ$1)</f>
        <v>#REF!</v>
      </c>
      <c r="CA268" s="24" t="e">
        <f>SUMIFS(#REF!,#REF!,$B268,#REF!,CA$1)</f>
        <v>#REF!</v>
      </c>
      <c r="CB268" s="24" t="e">
        <f>SUMIFS(#REF!,#REF!,$B268,#REF!,CB$1)</f>
        <v>#REF!</v>
      </c>
      <c r="CC268" s="24" t="e">
        <f>SUMIFS(#REF!,#REF!,$B268,#REF!,CC$1)</f>
        <v>#REF!</v>
      </c>
      <c r="CD268" s="24" t="e">
        <f>SUMIFS(#REF!,#REF!,$B268,#REF!,CD$1)</f>
        <v>#REF!</v>
      </c>
      <c r="CE268" s="24" t="e">
        <f>SUMIFS(#REF!,#REF!,$B268,#REF!,CE$1)</f>
        <v>#REF!</v>
      </c>
      <c r="CF268" s="24" t="e">
        <f>SUMIFS(#REF!,#REF!,$B268,#REF!,CF$1)</f>
        <v>#REF!</v>
      </c>
      <c r="CG268" s="19" t="e">
        <f t="shared" si="4"/>
        <v>#REF!</v>
      </c>
    </row>
    <row r="269" spans="1:85" x14ac:dyDescent="0.45">
      <c r="A269" s="4" t="s">
        <v>1512</v>
      </c>
      <c r="B269" s="4" t="s">
        <v>1512</v>
      </c>
      <c r="C269" s="24" t="e">
        <f>SUMIFS(#REF!,#REF!,$B269,#REF!,C$1)</f>
        <v>#REF!</v>
      </c>
      <c r="D269" s="24" t="e">
        <f>SUMIFS(#REF!,#REF!,$B269,#REF!,D$1)</f>
        <v>#REF!</v>
      </c>
      <c r="E269" s="24" t="e">
        <f>SUMIFS(#REF!,#REF!,$B269,#REF!,E$1)</f>
        <v>#REF!</v>
      </c>
      <c r="F269" s="24" t="e">
        <f>SUMIFS(#REF!,#REF!,$B269,#REF!,F$1)</f>
        <v>#REF!</v>
      </c>
      <c r="G269" s="24" t="e">
        <f>SUMIFS(#REF!,#REF!,$B269,#REF!,G$1)</f>
        <v>#REF!</v>
      </c>
      <c r="H269" s="24" t="e">
        <f>SUMIFS(#REF!,#REF!,$B269,#REF!,H$1)</f>
        <v>#REF!</v>
      </c>
      <c r="I269" s="24" t="e">
        <f>SUMIFS(#REF!,#REF!,$B269,#REF!,I$1)</f>
        <v>#REF!</v>
      </c>
      <c r="J269" s="24" t="e">
        <f>SUMIFS(#REF!,#REF!,$B269,#REF!,J$1)</f>
        <v>#REF!</v>
      </c>
      <c r="K269" s="24" t="e">
        <f>SUMIFS(#REF!,#REF!,$B269,#REF!,K$1)</f>
        <v>#REF!</v>
      </c>
      <c r="L269" s="24" t="e">
        <f>SUMIFS(#REF!,#REF!,$B269,#REF!,L$1)</f>
        <v>#REF!</v>
      </c>
      <c r="M269" s="24" t="e">
        <f>SUMIFS(#REF!,#REF!,$B269,#REF!,M$1)</f>
        <v>#REF!</v>
      </c>
      <c r="N269" s="24" t="e">
        <f>SUMIFS(#REF!,#REF!,$B269,#REF!,N$1)</f>
        <v>#REF!</v>
      </c>
      <c r="O269" s="24" t="e">
        <f>SUMIFS(#REF!,#REF!,$B269,#REF!,O$1)</f>
        <v>#REF!</v>
      </c>
      <c r="P269" s="24" t="e">
        <f>SUMIFS(#REF!,#REF!,$B269,#REF!,P$1)</f>
        <v>#REF!</v>
      </c>
      <c r="Q269" s="24" t="e">
        <f>SUMIFS(#REF!,#REF!,$B269,#REF!,Q$1)</f>
        <v>#REF!</v>
      </c>
      <c r="R269" s="24" t="e">
        <f>SUMIFS(#REF!,#REF!,$B269,#REF!,R$1)</f>
        <v>#REF!</v>
      </c>
      <c r="S269" s="24" t="e">
        <f>SUMIFS(#REF!,#REF!,$B269,#REF!,S$1)</f>
        <v>#REF!</v>
      </c>
      <c r="T269" s="24" t="e">
        <f>SUMIFS(#REF!,#REF!,$B269,#REF!,T$1)</f>
        <v>#REF!</v>
      </c>
      <c r="U269" s="24" t="e">
        <f>SUMIFS(#REF!,#REF!,$B269,#REF!,U$1)</f>
        <v>#REF!</v>
      </c>
      <c r="V269" s="24" t="e">
        <f>SUMIFS(#REF!,#REF!,$B269,#REF!,V$1)</f>
        <v>#REF!</v>
      </c>
      <c r="W269" s="24" t="e">
        <f>SUMIFS(#REF!,#REF!,$B269,#REF!,W$1)</f>
        <v>#REF!</v>
      </c>
      <c r="X269" s="24" t="e">
        <f>SUMIFS(#REF!,#REF!,$B269,#REF!,X$1)</f>
        <v>#REF!</v>
      </c>
      <c r="Y269" s="24" t="e">
        <f>SUMIFS(#REF!,#REF!,$B269,#REF!,Y$1)</f>
        <v>#REF!</v>
      </c>
      <c r="Z269" s="24" t="e">
        <f>SUMIFS(#REF!,#REF!,$B269,#REF!,Z$1)</f>
        <v>#REF!</v>
      </c>
      <c r="AA269" s="24" t="e">
        <f>SUMIFS(#REF!,#REF!,$B269,#REF!,AA$1)</f>
        <v>#REF!</v>
      </c>
      <c r="AB269" s="24" t="e">
        <f>SUMIFS(#REF!,#REF!,$B269,#REF!,AB$1)</f>
        <v>#REF!</v>
      </c>
      <c r="AC269" s="24" t="e">
        <f>SUMIFS(#REF!,#REF!,$B269,#REF!,AC$1)</f>
        <v>#REF!</v>
      </c>
      <c r="AD269" s="24" t="e">
        <f>SUMIFS(#REF!,#REF!,$B269,#REF!,AD$1)</f>
        <v>#REF!</v>
      </c>
      <c r="AE269" s="24" t="e">
        <f>SUMIFS(#REF!,#REF!,$B269,#REF!,AE$1)</f>
        <v>#REF!</v>
      </c>
      <c r="AF269" s="24" t="e">
        <f>SUMIFS(#REF!,#REF!,$B269,#REF!,AF$1)</f>
        <v>#REF!</v>
      </c>
      <c r="AG269" s="24" t="e">
        <f>SUMIFS(#REF!,#REF!,$B269,#REF!,AG$1)</f>
        <v>#REF!</v>
      </c>
      <c r="AH269" s="24" t="e">
        <f>SUMIFS(#REF!,#REF!,$B269,#REF!,AH$1)</f>
        <v>#REF!</v>
      </c>
      <c r="AI269" s="24" t="e">
        <f>SUMIFS(#REF!,#REF!,$B269,#REF!,AI$1)</f>
        <v>#REF!</v>
      </c>
      <c r="AJ269" s="24" t="e">
        <f>SUMIFS(#REF!,#REF!,$B269,#REF!,AJ$1)</f>
        <v>#REF!</v>
      </c>
      <c r="AK269" s="24" t="e">
        <f>SUMIFS(#REF!,#REF!,$B269,#REF!,AK$1)</f>
        <v>#REF!</v>
      </c>
      <c r="AL269" s="24" t="e">
        <f>SUMIFS(#REF!,#REF!,$B269,#REF!,AL$1)</f>
        <v>#REF!</v>
      </c>
      <c r="AM269" s="24" t="e">
        <f>SUMIFS(#REF!,#REF!,$B269,#REF!,AM$1)</f>
        <v>#REF!</v>
      </c>
      <c r="AN269" s="24" t="e">
        <f>SUMIFS(#REF!,#REF!,$B269,#REF!,AN$1)</f>
        <v>#REF!</v>
      </c>
      <c r="AO269" s="24" t="e">
        <f>SUMIFS(#REF!,#REF!,$B269,#REF!,AO$1)</f>
        <v>#REF!</v>
      </c>
      <c r="AP269" s="24" t="e">
        <f>SUMIFS(#REF!,#REF!,$B269,#REF!,AP$1)</f>
        <v>#REF!</v>
      </c>
      <c r="AQ269" s="24" t="e">
        <f>SUMIFS(#REF!,#REF!,$B269,#REF!,AQ$1)</f>
        <v>#REF!</v>
      </c>
      <c r="AR269" s="24" t="e">
        <f>SUMIFS(#REF!,#REF!,$B269,#REF!,AR$1)</f>
        <v>#REF!</v>
      </c>
      <c r="AS269" s="24" t="e">
        <f>SUMIFS(#REF!,#REF!,$B269,#REF!,AS$1)</f>
        <v>#REF!</v>
      </c>
      <c r="AT269" s="24" t="e">
        <f>SUMIFS(#REF!,#REF!,$B269,#REF!,AT$1)</f>
        <v>#REF!</v>
      </c>
      <c r="AU269" s="24" t="e">
        <f>SUMIFS(#REF!,#REF!,$B269,#REF!,AU$1)</f>
        <v>#REF!</v>
      </c>
      <c r="AV269" s="24" t="e">
        <f>SUMIFS(#REF!,#REF!,$B269,#REF!,AV$1)</f>
        <v>#REF!</v>
      </c>
      <c r="AW269" s="24" t="e">
        <f>SUMIFS(#REF!,#REF!,$B269,#REF!,AW$1)</f>
        <v>#REF!</v>
      </c>
      <c r="AX269" s="24" t="e">
        <f>SUMIFS(#REF!,#REF!,$B269,#REF!,AX$1)</f>
        <v>#REF!</v>
      </c>
      <c r="AY269" s="24" t="e">
        <f>SUMIFS(#REF!,#REF!,$B269,#REF!,AY$1)</f>
        <v>#REF!</v>
      </c>
      <c r="AZ269" s="24" t="e">
        <f>SUMIFS(#REF!,#REF!,$B269,#REF!,AZ$1)</f>
        <v>#REF!</v>
      </c>
      <c r="BA269" s="24" t="e">
        <f>SUMIFS(#REF!,#REF!,$B269,#REF!,BA$1)</f>
        <v>#REF!</v>
      </c>
      <c r="BB269" s="24" t="e">
        <f>SUMIFS(#REF!,#REF!,$B269,#REF!,BB$1)</f>
        <v>#REF!</v>
      </c>
      <c r="BC269" s="24" t="e">
        <f>SUMIFS(#REF!,#REF!,$B269,#REF!,BC$1)</f>
        <v>#REF!</v>
      </c>
      <c r="BD269" s="24" t="e">
        <f>SUMIFS(#REF!,#REF!,$B269,#REF!,BD$1)</f>
        <v>#REF!</v>
      </c>
      <c r="BE269" s="24" t="e">
        <f>SUMIFS(#REF!,#REF!,$B269,#REF!,BE$1)</f>
        <v>#REF!</v>
      </c>
      <c r="BF269" s="24" t="e">
        <f>SUMIFS(#REF!,#REF!,$B269,#REF!,BF$1)</f>
        <v>#REF!</v>
      </c>
      <c r="BG269" s="24" t="e">
        <f>SUMIFS(#REF!,#REF!,$B269,#REF!,BG$1)</f>
        <v>#REF!</v>
      </c>
      <c r="BH269" s="24" t="e">
        <f>SUMIFS(#REF!,#REF!,$B269,#REF!,BH$1)</f>
        <v>#REF!</v>
      </c>
      <c r="BI269" s="24" t="e">
        <f>SUMIFS(#REF!,#REF!,$B269,#REF!,BI$1)</f>
        <v>#REF!</v>
      </c>
      <c r="BJ269" s="24" t="e">
        <f>SUMIFS(#REF!,#REF!,$B269,#REF!,BJ$1)</f>
        <v>#REF!</v>
      </c>
      <c r="BK269" s="24" t="e">
        <f>SUMIFS(#REF!,#REF!,$B269,#REF!,BK$1)</f>
        <v>#REF!</v>
      </c>
      <c r="BL269" s="24" t="e">
        <f>SUMIFS(#REF!,#REF!,$B269,#REF!,BL$1)</f>
        <v>#REF!</v>
      </c>
      <c r="BM269" s="24" t="e">
        <f>SUMIFS(#REF!,#REF!,$B269,#REF!,BM$1)</f>
        <v>#REF!</v>
      </c>
      <c r="BN269" s="24" t="e">
        <f>SUMIFS(#REF!,#REF!,$B269,#REF!,BN$1)</f>
        <v>#REF!</v>
      </c>
      <c r="BO269" s="24" t="e">
        <f>SUMIFS(#REF!,#REF!,$B269,#REF!,BO$1)</f>
        <v>#REF!</v>
      </c>
      <c r="BP269" s="24" t="e">
        <f>SUMIFS(#REF!,#REF!,$B269,#REF!,BP$1)</f>
        <v>#REF!</v>
      </c>
      <c r="BQ269" s="24" t="e">
        <f>SUMIFS(#REF!,#REF!,$B269,#REF!,BQ$1)</f>
        <v>#REF!</v>
      </c>
      <c r="BR269" s="24" t="e">
        <f>SUMIFS(#REF!,#REF!,$B269,#REF!,BR$1)</f>
        <v>#REF!</v>
      </c>
      <c r="BS269" s="24" t="e">
        <f>SUMIFS(#REF!,#REF!,$B269,#REF!,BS$1)</f>
        <v>#REF!</v>
      </c>
      <c r="BT269" s="24" t="e">
        <f>SUMIFS(#REF!,#REF!,$B269,#REF!,BT$1)</f>
        <v>#REF!</v>
      </c>
      <c r="BU269" s="24" t="e">
        <f>SUMIFS(#REF!,#REF!,$B269,#REF!,BU$1)</f>
        <v>#REF!</v>
      </c>
      <c r="BV269" s="24" t="e">
        <f>SUMIFS(#REF!,#REF!,$B269,#REF!,BV$1)</f>
        <v>#REF!</v>
      </c>
      <c r="BW269" s="24" t="e">
        <f>SUMIFS(#REF!,#REF!,$B269,#REF!,BW$1)</f>
        <v>#REF!</v>
      </c>
      <c r="BX269" s="24" t="e">
        <f>SUMIFS(#REF!,#REF!,$B269,#REF!,BX$1)</f>
        <v>#REF!</v>
      </c>
      <c r="BY269" s="24" t="e">
        <f>SUMIFS(#REF!,#REF!,$B269,#REF!,BY$1)</f>
        <v>#REF!</v>
      </c>
      <c r="BZ269" s="24" t="e">
        <f>SUMIFS(#REF!,#REF!,$B269,#REF!,BZ$1)</f>
        <v>#REF!</v>
      </c>
      <c r="CA269" s="24" t="e">
        <f>SUMIFS(#REF!,#REF!,$B269,#REF!,CA$1)</f>
        <v>#REF!</v>
      </c>
      <c r="CB269" s="24" t="e">
        <f>SUMIFS(#REF!,#REF!,$B269,#REF!,CB$1)</f>
        <v>#REF!</v>
      </c>
      <c r="CC269" s="24" t="e">
        <f>SUMIFS(#REF!,#REF!,$B269,#REF!,CC$1)</f>
        <v>#REF!</v>
      </c>
      <c r="CD269" s="24" t="e">
        <f>SUMIFS(#REF!,#REF!,$B269,#REF!,CD$1)</f>
        <v>#REF!</v>
      </c>
      <c r="CE269" s="24" t="e">
        <f>SUMIFS(#REF!,#REF!,$B269,#REF!,CE$1)</f>
        <v>#REF!</v>
      </c>
      <c r="CF269" s="24" t="e">
        <f>SUMIFS(#REF!,#REF!,$B269,#REF!,CF$1)</f>
        <v>#REF!</v>
      </c>
      <c r="CG269" s="19" t="e">
        <f t="shared" si="4"/>
        <v>#REF!</v>
      </c>
    </row>
    <row r="270" spans="1:85" x14ac:dyDescent="0.45">
      <c r="A270" s="4" t="s">
        <v>1513</v>
      </c>
      <c r="B270" s="4" t="s">
        <v>1514</v>
      </c>
      <c r="C270" s="24" t="e">
        <f>SUMIFS(#REF!,#REF!,$B270,#REF!,C$1)</f>
        <v>#REF!</v>
      </c>
      <c r="D270" s="24" t="e">
        <f>SUMIFS(#REF!,#REF!,$B270,#REF!,D$1)</f>
        <v>#REF!</v>
      </c>
      <c r="E270" s="24" t="e">
        <f>SUMIFS(#REF!,#REF!,$B270,#REF!,E$1)</f>
        <v>#REF!</v>
      </c>
      <c r="F270" s="24" t="e">
        <f>SUMIFS(#REF!,#REF!,$B270,#REF!,F$1)</f>
        <v>#REF!</v>
      </c>
      <c r="G270" s="24" t="e">
        <f>SUMIFS(#REF!,#REF!,$B270,#REF!,G$1)</f>
        <v>#REF!</v>
      </c>
      <c r="H270" s="24" t="e">
        <f>SUMIFS(#REF!,#REF!,$B270,#REF!,H$1)</f>
        <v>#REF!</v>
      </c>
      <c r="I270" s="24" t="e">
        <f>SUMIFS(#REF!,#REF!,$B270,#REF!,I$1)</f>
        <v>#REF!</v>
      </c>
      <c r="J270" s="24" t="e">
        <f>SUMIFS(#REF!,#REF!,$B270,#REF!,J$1)</f>
        <v>#REF!</v>
      </c>
      <c r="K270" s="24" t="e">
        <f>SUMIFS(#REF!,#REF!,$B270,#REF!,K$1)</f>
        <v>#REF!</v>
      </c>
      <c r="L270" s="24" t="e">
        <f>SUMIFS(#REF!,#REF!,$B270,#REF!,L$1)</f>
        <v>#REF!</v>
      </c>
      <c r="M270" s="24" t="e">
        <f>SUMIFS(#REF!,#REF!,$B270,#REF!,M$1)</f>
        <v>#REF!</v>
      </c>
      <c r="N270" s="24" t="e">
        <f>SUMIFS(#REF!,#REF!,$B270,#REF!,N$1)</f>
        <v>#REF!</v>
      </c>
      <c r="O270" s="24" t="e">
        <f>SUMIFS(#REF!,#REF!,$B270,#REF!,O$1)</f>
        <v>#REF!</v>
      </c>
      <c r="P270" s="24" t="e">
        <f>SUMIFS(#REF!,#REF!,$B270,#REF!,P$1)</f>
        <v>#REF!</v>
      </c>
      <c r="Q270" s="24" t="e">
        <f>SUMIFS(#REF!,#REF!,$B270,#REF!,Q$1)</f>
        <v>#REF!</v>
      </c>
      <c r="R270" s="24" t="e">
        <f>SUMIFS(#REF!,#REF!,$B270,#REF!,R$1)</f>
        <v>#REF!</v>
      </c>
      <c r="S270" s="24" t="e">
        <f>SUMIFS(#REF!,#REF!,$B270,#REF!,S$1)</f>
        <v>#REF!</v>
      </c>
      <c r="T270" s="24" t="e">
        <f>SUMIFS(#REF!,#REF!,$B270,#REF!,T$1)</f>
        <v>#REF!</v>
      </c>
      <c r="U270" s="24" t="e">
        <f>SUMIFS(#REF!,#REF!,$B270,#REF!,U$1)</f>
        <v>#REF!</v>
      </c>
      <c r="V270" s="24" t="e">
        <f>SUMIFS(#REF!,#REF!,$B270,#REF!,V$1)</f>
        <v>#REF!</v>
      </c>
      <c r="W270" s="24" t="e">
        <f>SUMIFS(#REF!,#REF!,$B270,#REF!,W$1)</f>
        <v>#REF!</v>
      </c>
      <c r="X270" s="24" t="e">
        <f>SUMIFS(#REF!,#REF!,$B270,#REF!,X$1)</f>
        <v>#REF!</v>
      </c>
      <c r="Y270" s="24" t="e">
        <f>SUMIFS(#REF!,#REF!,$B270,#REF!,Y$1)</f>
        <v>#REF!</v>
      </c>
      <c r="Z270" s="24" t="e">
        <f>SUMIFS(#REF!,#REF!,$B270,#REF!,Z$1)</f>
        <v>#REF!</v>
      </c>
      <c r="AA270" s="24" t="e">
        <f>SUMIFS(#REF!,#REF!,$B270,#REF!,AA$1)</f>
        <v>#REF!</v>
      </c>
      <c r="AB270" s="24" t="e">
        <f>SUMIFS(#REF!,#REF!,$B270,#REF!,AB$1)</f>
        <v>#REF!</v>
      </c>
      <c r="AC270" s="24" t="e">
        <f>SUMIFS(#REF!,#REF!,$B270,#REF!,AC$1)</f>
        <v>#REF!</v>
      </c>
      <c r="AD270" s="24" t="e">
        <f>SUMIFS(#REF!,#REF!,$B270,#REF!,AD$1)</f>
        <v>#REF!</v>
      </c>
      <c r="AE270" s="24" t="e">
        <f>SUMIFS(#REF!,#REF!,$B270,#REF!,AE$1)</f>
        <v>#REF!</v>
      </c>
      <c r="AF270" s="24" t="e">
        <f>SUMIFS(#REF!,#REF!,$B270,#REF!,AF$1)</f>
        <v>#REF!</v>
      </c>
      <c r="AG270" s="24" t="e">
        <f>SUMIFS(#REF!,#REF!,$B270,#REF!,AG$1)</f>
        <v>#REF!</v>
      </c>
      <c r="AH270" s="24" t="e">
        <f>SUMIFS(#REF!,#REF!,$B270,#REF!,AH$1)</f>
        <v>#REF!</v>
      </c>
      <c r="AI270" s="24" t="e">
        <f>SUMIFS(#REF!,#REF!,$B270,#REF!,AI$1)</f>
        <v>#REF!</v>
      </c>
      <c r="AJ270" s="24" t="e">
        <f>SUMIFS(#REF!,#REF!,$B270,#REF!,AJ$1)</f>
        <v>#REF!</v>
      </c>
      <c r="AK270" s="24" t="e">
        <f>SUMIFS(#REF!,#REF!,$B270,#REF!,AK$1)</f>
        <v>#REF!</v>
      </c>
      <c r="AL270" s="24" t="e">
        <f>SUMIFS(#REF!,#REF!,$B270,#REF!,AL$1)</f>
        <v>#REF!</v>
      </c>
      <c r="AM270" s="24" t="e">
        <f>SUMIFS(#REF!,#REF!,$B270,#REF!,AM$1)</f>
        <v>#REF!</v>
      </c>
      <c r="AN270" s="24" t="e">
        <f>SUMIFS(#REF!,#REF!,$B270,#REF!,AN$1)</f>
        <v>#REF!</v>
      </c>
      <c r="AO270" s="24" t="e">
        <f>SUMIFS(#REF!,#REF!,$B270,#REF!,AO$1)</f>
        <v>#REF!</v>
      </c>
      <c r="AP270" s="24" t="e">
        <f>SUMIFS(#REF!,#REF!,$B270,#REF!,AP$1)</f>
        <v>#REF!</v>
      </c>
      <c r="AQ270" s="24" t="e">
        <f>SUMIFS(#REF!,#REF!,$B270,#REF!,AQ$1)</f>
        <v>#REF!</v>
      </c>
      <c r="AR270" s="24" t="e">
        <f>SUMIFS(#REF!,#REF!,$B270,#REF!,AR$1)</f>
        <v>#REF!</v>
      </c>
      <c r="AS270" s="24" t="e">
        <f>SUMIFS(#REF!,#REF!,$B270,#REF!,AS$1)</f>
        <v>#REF!</v>
      </c>
      <c r="AT270" s="24" t="e">
        <f>SUMIFS(#REF!,#REF!,$B270,#REF!,AT$1)</f>
        <v>#REF!</v>
      </c>
      <c r="AU270" s="24" t="e">
        <f>SUMIFS(#REF!,#REF!,$B270,#REF!,AU$1)</f>
        <v>#REF!</v>
      </c>
      <c r="AV270" s="24" t="e">
        <f>SUMIFS(#REF!,#REF!,$B270,#REF!,AV$1)</f>
        <v>#REF!</v>
      </c>
      <c r="AW270" s="24" t="e">
        <f>SUMIFS(#REF!,#REF!,$B270,#REF!,AW$1)</f>
        <v>#REF!</v>
      </c>
      <c r="AX270" s="24" t="e">
        <f>SUMIFS(#REF!,#REF!,$B270,#REF!,AX$1)</f>
        <v>#REF!</v>
      </c>
      <c r="AY270" s="24" t="e">
        <f>SUMIFS(#REF!,#REF!,$B270,#REF!,AY$1)</f>
        <v>#REF!</v>
      </c>
      <c r="AZ270" s="24" t="e">
        <f>SUMIFS(#REF!,#REF!,$B270,#REF!,AZ$1)</f>
        <v>#REF!</v>
      </c>
      <c r="BA270" s="24" t="e">
        <f>SUMIFS(#REF!,#REF!,$B270,#REF!,BA$1)</f>
        <v>#REF!</v>
      </c>
      <c r="BB270" s="24" t="e">
        <f>SUMIFS(#REF!,#REF!,$B270,#REF!,BB$1)</f>
        <v>#REF!</v>
      </c>
      <c r="BC270" s="24" t="e">
        <f>SUMIFS(#REF!,#REF!,$B270,#REF!,BC$1)</f>
        <v>#REF!</v>
      </c>
      <c r="BD270" s="24" t="e">
        <f>SUMIFS(#REF!,#REF!,$B270,#REF!,BD$1)</f>
        <v>#REF!</v>
      </c>
      <c r="BE270" s="24" t="e">
        <f>SUMIFS(#REF!,#REF!,$B270,#REF!,BE$1)</f>
        <v>#REF!</v>
      </c>
      <c r="BF270" s="24" t="e">
        <f>SUMIFS(#REF!,#REF!,$B270,#REF!,BF$1)</f>
        <v>#REF!</v>
      </c>
      <c r="BG270" s="24" t="e">
        <f>SUMIFS(#REF!,#REF!,$B270,#REF!,BG$1)</f>
        <v>#REF!</v>
      </c>
      <c r="BH270" s="24" t="e">
        <f>SUMIFS(#REF!,#REF!,$B270,#REF!,BH$1)</f>
        <v>#REF!</v>
      </c>
      <c r="BI270" s="24" t="e">
        <f>SUMIFS(#REF!,#REF!,$B270,#REF!,BI$1)</f>
        <v>#REF!</v>
      </c>
      <c r="BJ270" s="24" t="e">
        <f>SUMIFS(#REF!,#REF!,$B270,#REF!,BJ$1)</f>
        <v>#REF!</v>
      </c>
      <c r="BK270" s="24" t="e">
        <f>SUMIFS(#REF!,#REF!,$B270,#REF!,BK$1)</f>
        <v>#REF!</v>
      </c>
      <c r="BL270" s="24" t="e">
        <f>SUMIFS(#REF!,#REF!,$B270,#REF!,BL$1)</f>
        <v>#REF!</v>
      </c>
      <c r="BM270" s="24" t="e">
        <f>SUMIFS(#REF!,#REF!,$B270,#REF!,BM$1)</f>
        <v>#REF!</v>
      </c>
      <c r="BN270" s="24" t="e">
        <f>SUMIFS(#REF!,#REF!,$B270,#REF!,BN$1)</f>
        <v>#REF!</v>
      </c>
      <c r="BO270" s="24" t="e">
        <f>SUMIFS(#REF!,#REF!,$B270,#REF!,BO$1)</f>
        <v>#REF!</v>
      </c>
      <c r="BP270" s="24" t="e">
        <f>SUMIFS(#REF!,#REF!,$B270,#REF!,BP$1)</f>
        <v>#REF!</v>
      </c>
      <c r="BQ270" s="24" t="e">
        <f>SUMIFS(#REF!,#REF!,$B270,#REF!,BQ$1)</f>
        <v>#REF!</v>
      </c>
      <c r="BR270" s="24" t="e">
        <f>SUMIFS(#REF!,#REF!,$B270,#REF!,BR$1)</f>
        <v>#REF!</v>
      </c>
      <c r="BS270" s="24" t="e">
        <f>SUMIFS(#REF!,#REF!,$B270,#REF!,BS$1)</f>
        <v>#REF!</v>
      </c>
      <c r="BT270" s="24" t="e">
        <f>SUMIFS(#REF!,#REF!,$B270,#REF!,BT$1)</f>
        <v>#REF!</v>
      </c>
      <c r="BU270" s="24" t="e">
        <f>SUMIFS(#REF!,#REF!,$B270,#REF!,BU$1)</f>
        <v>#REF!</v>
      </c>
      <c r="BV270" s="24" t="e">
        <f>SUMIFS(#REF!,#REF!,$B270,#REF!,BV$1)</f>
        <v>#REF!</v>
      </c>
      <c r="BW270" s="24" t="e">
        <f>SUMIFS(#REF!,#REF!,$B270,#REF!,BW$1)</f>
        <v>#REF!</v>
      </c>
      <c r="BX270" s="24" t="e">
        <f>SUMIFS(#REF!,#REF!,$B270,#REF!,BX$1)</f>
        <v>#REF!</v>
      </c>
      <c r="BY270" s="24" t="e">
        <f>SUMIFS(#REF!,#REF!,$B270,#REF!,BY$1)</f>
        <v>#REF!</v>
      </c>
      <c r="BZ270" s="24" t="e">
        <f>SUMIFS(#REF!,#REF!,$B270,#REF!,BZ$1)</f>
        <v>#REF!</v>
      </c>
      <c r="CA270" s="24" t="e">
        <f>SUMIFS(#REF!,#REF!,$B270,#REF!,CA$1)</f>
        <v>#REF!</v>
      </c>
      <c r="CB270" s="24" t="e">
        <f>SUMIFS(#REF!,#REF!,$B270,#REF!,CB$1)</f>
        <v>#REF!</v>
      </c>
      <c r="CC270" s="24" t="e">
        <f>SUMIFS(#REF!,#REF!,$B270,#REF!,CC$1)</f>
        <v>#REF!</v>
      </c>
      <c r="CD270" s="24" t="e">
        <f>SUMIFS(#REF!,#REF!,$B270,#REF!,CD$1)</f>
        <v>#REF!</v>
      </c>
      <c r="CE270" s="24" t="e">
        <f>SUMIFS(#REF!,#REF!,$B270,#REF!,CE$1)</f>
        <v>#REF!</v>
      </c>
      <c r="CF270" s="24" t="e">
        <f>SUMIFS(#REF!,#REF!,$B270,#REF!,CF$1)</f>
        <v>#REF!</v>
      </c>
      <c r="CG270" s="19" t="e">
        <f t="shared" si="4"/>
        <v>#REF!</v>
      </c>
    </row>
    <row r="271" spans="1:85" x14ac:dyDescent="0.45">
      <c r="A271" s="4" t="s">
        <v>1515</v>
      </c>
      <c r="B271" s="4" t="s">
        <v>1516</v>
      </c>
      <c r="C271" s="24" t="e">
        <f>SUMIFS(#REF!,#REF!,$B271,#REF!,C$1)</f>
        <v>#REF!</v>
      </c>
      <c r="D271" s="24" t="e">
        <f>SUMIFS(#REF!,#REF!,$B271,#REF!,D$1)</f>
        <v>#REF!</v>
      </c>
      <c r="E271" s="24" t="e">
        <f>SUMIFS(#REF!,#REF!,$B271,#REF!,E$1)</f>
        <v>#REF!</v>
      </c>
      <c r="F271" s="24" t="e">
        <f>SUMIFS(#REF!,#REF!,$B271,#REF!,F$1)</f>
        <v>#REF!</v>
      </c>
      <c r="G271" s="24" t="e">
        <f>SUMIFS(#REF!,#REF!,$B271,#REF!,G$1)</f>
        <v>#REF!</v>
      </c>
      <c r="H271" s="24" t="e">
        <f>SUMIFS(#REF!,#REF!,$B271,#REF!,H$1)</f>
        <v>#REF!</v>
      </c>
      <c r="I271" s="24" t="e">
        <f>SUMIFS(#REF!,#REF!,$B271,#REF!,I$1)</f>
        <v>#REF!</v>
      </c>
      <c r="J271" s="24" t="e">
        <f>SUMIFS(#REF!,#REF!,$B271,#REF!,J$1)</f>
        <v>#REF!</v>
      </c>
      <c r="K271" s="24" t="e">
        <f>SUMIFS(#REF!,#REF!,$B271,#REF!,K$1)</f>
        <v>#REF!</v>
      </c>
      <c r="L271" s="24" t="e">
        <f>SUMIFS(#REF!,#REF!,$B271,#REF!,L$1)</f>
        <v>#REF!</v>
      </c>
      <c r="M271" s="24" t="e">
        <f>SUMIFS(#REF!,#REF!,$B271,#REF!,M$1)</f>
        <v>#REF!</v>
      </c>
      <c r="N271" s="24" t="e">
        <f>SUMIFS(#REF!,#REF!,$B271,#REF!,N$1)</f>
        <v>#REF!</v>
      </c>
      <c r="O271" s="24" t="e">
        <f>SUMIFS(#REF!,#REF!,$B271,#REF!,O$1)</f>
        <v>#REF!</v>
      </c>
      <c r="P271" s="24" t="e">
        <f>SUMIFS(#REF!,#REF!,$B271,#REF!,P$1)</f>
        <v>#REF!</v>
      </c>
      <c r="Q271" s="24" t="e">
        <f>SUMIFS(#REF!,#REF!,$B271,#REF!,Q$1)</f>
        <v>#REF!</v>
      </c>
      <c r="R271" s="24" t="e">
        <f>SUMIFS(#REF!,#REF!,$B271,#REF!,R$1)</f>
        <v>#REF!</v>
      </c>
      <c r="S271" s="24" t="e">
        <f>SUMIFS(#REF!,#REF!,$B271,#REF!,S$1)</f>
        <v>#REF!</v>
      </c>
      <c r="T271" s="24" t="e">
        <f>SUMIFS(#REF!,#REF!,$B271,#REF!,T$1)</f>
        <v>#REF!</v>
      </c>
      <c r="U271" s="24" t="e">
        <f>SUMIFS(#REF!,#REF!,$B271,#REF!,U$1)</f>
        <v>#REF!</v>
      </c>
      <c r="V271" s="24" t="e">
        <f>SUMIFS(#REF!,#REF!,$B271,#REF!,V$1)</f>
        <v>#REF!</v>
      </c>
      <c r="W271" s="24" t="e">
        <f>SUMIFS(#REF!,#REF!,$B271,#REF!,W$1)</f>
        <v>#REF!</v>
      </c>
      <c r="X271" s="24" t="e">
        <f>SUMIFS(#REF!,#REF!,$B271,#REF!,X$1)</f>
        <v>#REF!</v>
      </c>
      <c r="Y271" s="24" t="e">
        <f>SUMIFS(#REF!,#REF!,$B271,#REF!,Y$1)</f>
        <v>#REF!</v>
      </c>
      <c r="Z271" s="24" t="e">
        <f>SUMIFS(#REF!,#REF!,$B271,#REF!,Z$1)</f>
        <v>#REF!</v>
      </c>
      <c r="AA271" s="24" t="e">
        <f>SUMIFS(#REF!,#REF!,$B271,#REF!,AA$1)</f>
        <v>#REF!</v>
      </c>
      <c r="AB271" s="24" t="e">
        <f>SUMIFS(#REF!,#REF!,$B271,#REF!,AB$1)</f>
        <v>#REF!</v>
      </c>
      <c r="AC271" s="24" t="e">
        <f>SUMIFS(#REF!,#REF!,$B271,#REF!,AC$1)</f>
        <v>#REF!</v>
      </c>
      <c r="AD271" s="24" t="e">
        <f>SUMIFS(#REF!,#REF!,$B271,#REF!,AD$1)</f>
        <v>#REF!</v>
      </c>
      <c r="AE271" s="24" t="e">
        <f>SUMIFS(#REF!,#REF!,$B271,#REF!,AE$1)</f>
        <v>#REF!</v>
      </c>
      <c r="AF271" s="24" t="e">
        <f>SUMIFS(#REF!,#REF!,$B271,#REF!,AF$1)</f>
        <v>#REF!</v>
      </c>
      <c r="AG271" s="24" t="e">
        <f>SUMIFS(#REF!,#REF!,$B271,#REF!,AG$1)</f>
        <v>#REF!</v>
      </c>
      <c r="AH271" s="24" t="e">
        <f>SUMIFS(#REF!,#REF!,$B271,#REF!,AH$1)</f>
        <v>#REF!</v>
      </c>
      <c r="AI271" s="24" t="e">
        <f>SUMIFS(#REF!,#REF!,$B271,#REF!,AI$1)</f>
        <v>#REF!</v>
      </c>
      <c r="AJ271" s="24" t="e">
        <f>SUMIFS(#REF!,#REF!,$B271,#REF!,AJ$1)</f>
        <v>#REF!</v>
      </c>
      <c r="AK271" s="24" t="e">
        <f>SUMIFS(#REF!,#REF!,$B271,#REF!,AK$1)</f>
        <v>#REF!</v>
      </c>
      <c r="AL271" s="24" t="e">
        <f>SUMIFS(#REF!,#REF!,$B271,#REF!,AL$1)</f>
        <v>#REF!</v>
      </c>
      <c r="AM271" s="24" t="e">
        <f>SUMIFS(#REF!,#REF!,$B271,#REF!,AM$1)</f>
        <v>#REF!</v>
      </c>
      <c r="AN271" s="24" t="e">
        <f>SUMIFS(#REF!,#REF!,$B271,#REF!,AN$1)</f>
        <v>#REF!</v>
      </c>
      <c r="AO271" s="24" t="e">
        <f>SUMIFS(#REF!,#REF!,$B271,#REF!,AO$1)</f>
        <v>#REF!</v>
      </c>
      <c r="AP271" s="24" t="e">
        <f>SUMIFS(#REF!,#REF!,$B271,#REF!,AP$1)</f>
        <v>#REF!</v>
      </c>
      <c r="AQ271" s="24" t="e">
        <f>SUMIFS(#REF!,#REF!,$B271,#REF!,AQ$1)</f>
        <v>#REF!</v>
      </c>
      <c r="AR271" s="24" t="e">
        <f>SUMIFS(#REF!,#REF!,$B271,#REF!,AR$1)</f>
        <v>#REF!</v>
      </c>
      <c r="AS271" s="24" t="e">
        <f>SUMIFS(#REF!,#REF!,$B271,#REF!,AS$1)</f>
        <v>#REF!</v>
      </c>
      <c r="AT271" s="24" t="e">
        <f>SUMIFS(#REF!,#REF!,$B271,#REF!,AT$1)</f>
        <v>#REF!</v>
      </c>
      <c r="AU271" s="24" t="e">
        <f>SUMIFS(#REF!,#REF!,$B271,#REF!,AU$1)</f>
        <v>#REF!</v>
      </c>
      <c r="AV271" s="24" t="e">
        <f>SUMIFS(#REF!,#REF!,$B271,#REF!,AV$1)</f>
        <v>#REF!</v>
      </c>
      <c r="AW271" s="24" t="e">
        <f>SUMIFS(#REF!,#REF!,$B271,#REF!,AW$1)</f>
        <v>#REF!</v>
      </c>
      <c r="AX271" s="24" t="e">
        <f>SUMIFS(#REF!,#REF!,$B271,#REF!,AX$1)</f>
        <v>#REF!</v>
      </c>
      <c r="AY271" s="24" t="e">
        <f>SUMIFS(#REF!,#REF!,$B271,#REF!,AY$1)</f>
        <v>#REF!</v>
      </c>
      <c r="AZ271" s="24" t="e">
        <f>SUMIFS(#REF!,#REF!,$B271,#REF!,AZ$1)</f>
        <v>#REF!</v>
      </c>
      <c r="BA271" s="24" t="e">
        <f>SUMIFS(#REF!,#REF!,$B271,#REF!,BA$1)</f>
        <v>#REF!</v>
      </c>
      <c r="BB271" s="24" t="e">
        <f>SUMIFS(#REF!,#REF!,$B271,#REF!,BB$1)</f>
        <v>#REF!</v>
      </c>
      <c r="BC271" s="24" t="e">
        <f>SUMIFS(#REF!,#REF!,$B271,#REF!,BC$1)</f>
        <v>#REF!</v>
      </c>
      <c r="BD271" s="24" t="e">
        <f>SUMIFS(#REF!,#REF!,$B271,#REF!,BD$1)</f>
        <v>#REF!</v>
      </c>
      <c r="BE271" s="24" t="e">
        <f>SUMIFS(#REF!,#REF!,$B271,#REF!,BE$1)</f>
        <v>#REF!</v>
      </c>
      <c r="BF271" s="24" t="e">
        <f>SUMIFS(#REF!,#REF!,$B271,#REF!,BF$1)</f>
        <v>#REF!</v>
      </c>
      <c r="BG271" s="24" t="e">
        <f>SUMIFS(#REF!,#REF!,$B271,#REF!,BG$1)</f>
        <v>#REF!</v>
      </c>
      <c r="BH271" s="24" t="e">
        <f>SUMIFS(#REF!,#REF!,$B271,#REF!,BH$1)</f>
        <v>#REF!</v>
      </c>
      <c r="BI271" s="24" t="e">
        <f>SUMIFS(#REF!,#REF!,$B271,#REF!,BI$1)</f>
        <v>#REF!</v>
      </c>
      <c r="BJ271" s="24" t="e">
        <f>SUMIFS(#REF!,#REF!,$B271,#REF!,BJ$1)</f>
        <v>#REF!</v>
      </c>
      <c r="BK271" s="24" t="e">
        <f>SUMIFS(#REF!,#REF!,$B271,#REF!,BK$1)</f>
        <v>#REF!</v>
      </c>
      <c r="BL271" s="24" t="e">
        <f>SUMIFS(#REF!,#REF!,$B271,#REF!,BL$1)</f>
        <v>#REF!</v>
      </c>
      <c r="BM271" s="24" t="e">
        <f>SUMIFS(#REF!,#REF!,$B271,#REF!,BM$1)</f>
        <v>#REF!</v>
      </c>
      <c r="BN271" s="24" t="e">
        <f>SUMIFS(#REF!,#REF!,$B271,#REF!,BN$1)</f>
        <v>#REF!</v>
      </c>
      <c r="BO271" s="24" t="e">
        <f>SUMIFS(#REF!,#REF!,$B271,#REF!,BO$1)</f>
        <v>#REF!</v>
      </c>
      <c r="BP271" s="24" t="e">
        <f>SUMIFS(#REF!,#REF!,$B271,#REF!,BP$1)</f>
        <v>#REF!</v>
      </c>
      <c r="BQ271" s="24" t="e">
        <f>SUMIFS(#REF!,#REF!,$B271,#REF!,BQ$1)</f>
        <v>#REF!</v>
      </c>
      <c r="BR271" s="24" t="e">
        <f>SUMIFS(#REF!,#REF!,$B271,#REF!,BR$1)</f>
        <v>#REF!</v>
      </c>
      <c r="BS271" s="24" t="e">
        <f>SUMIFS(#REF!,#REF!,$B271,#REF!,BS$1)</f>
        <v>#REF!</v>
      </c>
      <c r="BT271" s="24" t="e">
        <f>SUMIFS(#REF!,#REF!,$B271,#REF!,BT$1)</f>
        <v>#REF!</v>
      </c>
      <c r="BU271" s="24" t="e">
        <f>SUMIFS(#REF!,#REF!,$B271,#REF!,BU$1)</f>
        <v>#REF!</v>
      </c>
      <c r="BV271" s="24" t="e">
        <f>SUMIFS(#REF!,#REF!,$B271,#REF!,BV$1)</f>
        <v>#REF!</v>
      </c>
      <c r="BW271" s="24" t="e">
        <f>SUMIFS(#REF!,#REF!,$B271,#REF!,BW$1)</f>
        <v>#REF!</v>
      </c>
      <c r="BX271" s="24" t="e">
        <f>SUMIFS(#REF!,#REF!,$B271,#REF!,BX$1)</f>
        <v>#REF!</v>
      </c>
      <c r="BY271" s="24" t="e">
        <f>SUMIFS(#REF!,#REF!,$B271,#REF!,BY$1)</f>
        <v>#REF!</v>
      </c>
      <c r="BZ271" s="24" t="e">
        <f>SUMIFS(#REF!,#REF!,$B271,#REF!,BZ$1)</f>
        <v>#REF!</v>
      </c>
      <c r="CA271" s="24" t="e">
        <f>SUMIFS(#REF!,#REF!,$B271,#REF!,CA$1)</f>
        <v>#REF!</v>
      </c>
      <c r="CB271" s="24" t="e">
        <f>SUMIFS(#REF!,#REF!,$B271,#REF!,CB$1)</f>
        <v>#REF!</v>
      </c>
      <c r="CC271" s="24" t="e">
        <f>SUMIFS(#REF!,#REF!,$B271,#REF!,CC$1)</f>
        <v>#REF!</v>
      </c>
      <c r="CD271" s="24" t="e">
        <f>SUMIFS(#REF!,#REF!,$B271,#REF!,CD$1)</f>
        <v>#REF!</v>
      </c>
      <c r="CE271" s="24" t="e">
        <f>SUMIFS(#REF!,#REF!,$B271,#REF!,CE$1)</f>
        <v>#REF!</v>
      </c>
      <c r="CF271" s="24" t="e">
        <f>SUMIFS(#REF!,#REF!,$B271,#REF!,CF$1)</f>
        <v>#REF!</v>
      </c>
      <c r="CG271" s="19" t="e">
        <f t="shared" si="4"/>
        <v>#REF!</v>
      </c>
    </row>
    <row r="272" spans="1:85" x14ac:dyDescent="0.45">
      <c r="A272" s="4" t="s">
        <v>1517</v>
      </c>
      <c r="B272" s="4" t="s">
        <v>1518</v>
      </c>
      <c r="C272" s="24" t="e">
        <f>SUMIFS(#REF!,#REF!,$B272,#REF!,C$1)</f>
        <v>#REF!</v>
      </c>
      <c r="D272" s="24" t="e">
        <f>SUMIFS(#REF!,#REF!,$B272,#REF!,D$1)</f>
        <v>#REF!</v>
      </c>
      <c r="E272" s="24" t="e">
        <f>SUMIFS(#REF!,#REF!,$B272,#REF!,E$1)</f>
        <v>#REF!</v>
      </c>
      <c r="F272" s="24" t="e">
        <f>SUMIFS(#REF!,#REF!,$B272,#REF!,F$1)</f>
        <v>#REF!</v>
      </c>
      <c r="G272" s="24" t="e">
        <f>SUMIFS(#REF!,#REF!,$B272,#REF!,G$1)</f>
        <v>#REF!</v>
      </c>
      <c r="H272" s="24" t="e">
        <f>SUMIFS(#REF!,#REF!,$B272,#REF!,H$1)</f>
        <v>#REF!</v>
      </c>
      <c r="I272" s="24" t="e">
        <f>SUMIFS(#REF!,#REF!,$B272,#REF!,I$1)</f>
        <v>#REF!</v>
      </c>
      <c r="J272" s="24" t="e">
        <f>SUMIFS(#REF!,#REF!,$B272,#REF!,J$1)</f>
        <v>#REF!</v>
      </c>
      <c r="K272" s="24" t="e">
        <f>SUMIFS(#REF!,#REF!,$B272,#REF!,K$1)</f>
        <v>#REF!</v>
      </c>
      <c r="L272" s="24" t="e">
        <f>SUMIFS(#REF!,#REF!,$B272,#REF!,L$1)</f>
        <v>#REF!</v>
      </c>
      <c r="M272" s="24" t="e">
        <f>SUMIFS(#REF!,#REF!,$B272,#REF!,M$1)</f>
        <v>#REF!</v>
      </c>
      <c r="N272" s="24" t="e">
        <f>SUMIFS(#REF!,#REF!,$B272,#REF!,N$1)</f>
        <v>#REF!</v>
      </c>
      <c r="O272" s="24" t="e">
        <f>SUMIFS(#REF!,#REF!,$B272,#REF!,O$1)</f>
        <v>#REF!</v>
      </c>
      <c r="P272" s="24" t="e">
        <f>SUMIFS(#REF!,#REF!,$B272,#REF!,P$1)</f>
        <v>#REF!</v>
      </c>
      <c r="Q272" s="24" t="e">
        <f>SUMIFS(#REF!,#REF!,$B272,#REF!,Q$1)</f>
        <v>#REF!</v>
      </c>
      <c r="R272" s="24" t="e">
        <f>SUMIFS(#REF!,#REF!,$B272,#REF!,R$1)</f>
        <v>#REF!</v>
      </c>
      <c r="S272" s="24" t="e">
        <f>SUMIFS(#REF!,#REF!,$B272,#REF!,S$1)</f>
        <v>#REF!</v>
      </c>
      <c r="T272" s="24" t="e">
        <f>SUMIFS(#REF!,#REF!,$B272,#REF!,T$1)</f>
        <v>#REF!</v>
      </c>
      <c r="U272" s="24" t="e">
        <f>SUMIFS(#REF!,#REF!,$B272,#REF!,U$1)</f>
        <v>#REF!</v>
      </c>
      <c r="V272" s="24" t="e">
        <f>SUMIFS(#REF!,#REF!,$B272,#REF!,V$1)</f>
        <v>#REF!</v>
      </c>
      <c r="W272" s="24" t="e">
        <f>SUMIFS(#REF!,#REF!,$B272,#REF!,W$1)</f>
        <v>#REF!</v>
      </c>
      <c r="X272" s="24" t="e">
        <f>SUMIFS(#REF!,#REF!,$B272,#REF!,X$1)</f>
        <v>#REF!</v>
      </c>
      <c r="Y272" s="24" t="e">
        <f>SUMIFS(#REF!,#REF!,$B272,#REF!,Y$1)</f>
        <v>#REF!</v>
      </c>
      <c r="Z272" s="24" t="e">
        <f>SUMIFS(#REF!,#REF!,$B272,#REF!,Z$1)</f>
        <v>#REF!</v>
      </c>
      <c r="AA272" s="24" t="e">
        <f>SUMIFS(#REF!,#REF!,$B272,#REF!,AA$1)</f>
        <v>#REF!</v>
      </c>
      <c r="AB272" s="24" t="e">
        <f>SUMIFS(#REF!,#REF!,$B272,#REF!,AB$1)</f>
        <v>#REF!</v>
      </c>
      <c r="AC272" s="24" t="e">
        <f>SUMIFS(#REF!,#REF!,$B272,#REF!,AC$1)</f>
        <v>#REF!</v>
      </c>
      <c r="AD272" s="24" t="e">
        <f>SUMIFS(#REF!,#REF!,$B272,#REF!,AD$1)</f>
        <v>#REF!</v>
      </c>
      <c r="AE272" s="24" t="e">
        <f>SUMIFS(#REF!,#REF!,$B272,#REF!,AE$1)</f>
        <v>#REF!</v>
      </c>
      <c r="AF272" s="24" t="e">
        <f>SUMIFS(#REF!,#REF!,$B272,#REF!,AF$1)</f>
        <v>#REF!</v>
      </c>
      <c r="AG272" s="24" t="e">
        <f>SUMIFS(#REF!,#REF!,$B272,#REF!,AG$1)</f>
        <v>#REF!</v>
      </c>
      <c r="AH272" s="24" t="e">
        <f>SUMIFS(#REF!,#REF!,$B272,#REF!,AH$1)</f>
        <v>#REF!</v>
      </c>
      <c r="AI272" s="24" t="e">
        <f>SUMIFS(#REF!,#REF!,$B272,#REF!,AI$1)</f>
        <v>#REF!</v>
      </c>
      <c r="AJ272" s="24" t="e">
        <f>SUMIFS(#REF!,#REF!,$B272,#REF!,AJ$1)</f>
        <v>#REF!</v>
      </c>
      <c r="AK272" s="24" t="e">
        <f>SUMIFS(#REF!,#REF!,$B272,#REF!,AK$1)</f>
        <v>#REF!</v>
      </c>
      <c r="AL272" s="24" t="e">
        <f>SUMIFS(#REF!,#REF!,$B272,#REF!,AL$1)</f>
        <v>#REF!</v>
      </c>
      <c r="AM272" s="24" t="e">
        <f>SUMIFS(#REF!,#REF!,$B272,#REF!,AM$1)</f>
        <v>#REF!</v>
      </c>
      <c r="AN272" s="24" t="e">
        <f>SUMIFS(#REF!,#REF!,$B272,#REF!,AN$1)</f>
        <v>#REF!</v>
      </c>
      <c r="AO272" s="24" t="e">
        <f>SUMIFS(#REF!,#REF!,$B272,#REF!,AO$1)</f>
        <v>#REF!</v>
      </c>
      <c r="AP272" s="24" t="e">
        <f>SUMIFS(#REF!,#REF!,$B272,#REF!,AP$1)</f>
        <v>#REF!</v>
      </c>
      <c r="AQ272" s="24" t="e">
        <f>SUMIFS(#REF!,#REF!,$B272,#REF!,AQ$1)</f>
        <v>#REF!</v>
      </c>
      <c r="AR272" s="24" t="e">
        <f>SUMIFS(#REF!,#REF!,$B272,#REF!,AR$1)</f>
        <v>#REF!</v>
      </c>
      <c r="AS272" s="24" t="e">
        <f>SUMIFS(#REF!,#REF!,$B272,#REF!,AS$1)</f>
        <v>#REF!</v>
      </c>
      <c r="AT272" s="24" t="e">
        <f>SUMIFS(#REF!,#REF!,$B272,#REF!,AT$1)</f>
        <v>#REF!</v>
      </c>
      <c r="AU272" s="24" t="e">
        <f>SUMIFS(#REF!,#REF!,$B272,#REF!,AU$1)</f>
        <v>#REF!</v>
      </c>
      <c r="AV272" s="24" t="e">
        <f>SUMIFS(#REF!,#REF!,$B272,#REF!,AV$1)</f>
        <v>#REF!</v>
      </c>
      <c r="AW272" s="24" t="e">
        <f>SUMIFS(#REF!,#REF!,$B272,#REF!,AW$1)</f>
        <v>#REF!</v>
      </c>
      <c r="AX272" s="24" t="e">
        <f>SUMIFS(#REF!,#REF!,$B272,#REF!,AX$1)</f>
        <v>#REF!</v>
      </c>
      <c r="AY272" s="24" t="e">
        <f>SUMIFS(#REF!,#REF!,$B272,#REF!,AY$1)</f>
        <v>#REF!</v>
      </c>
      <c r="AZ272" s="24" t="e">
        <f>SUMIFS(#REF!,#REF!,$B272,#REF!,AZ$1)</f>
        <v>#REF!</v>
      </c>
      <c r="BA272" s="24" t="e">
        <f>SUMIFS(#REF!,#REF!,$B272,#REF!,BA$1)</f>
        <v>#REF!</v>
      </c>
      <c r="BB272" s="24" t="e">
        <f>SUMIFS(#REF!,#REF!,$B272,#REF!,BB$1)</f>
        <v>#REF!</v>
      </c>
      <c r="BC272" s="24" t="e">
        <f>SUMIFS(#REF!,#REF!,$B272,#REF!,BC$1)</f>
        <v>#REF!</v>
      </c>
      <c r="BD272" s="24" t="e">
        <f>SUMIFS(#REF!,#REF!,$B272,#REF!,BD$1)</f>
        <v>#REF!</v>
      </c>
      <c r="BE272" s="24" t="e">
        <f>SUMIFS(#REF!,#REF!,$B272,#REF!,BE$1)</f>
        <v>#REF!</v>
      </c>
      <c r="BF272" s="24" t="e">
        <f>SUMIFS(#REF!,#REF!,$B272,#REF!,BF$1)</f>
        <v>#REF!</v>
      </c>
      <c r="BG272" s="24" t="e">
        <f>SUMIFS(#REF!,#REF!,$B272,#REF!,BG$1)</f>
        <v>#REF!</v>
      </c>
      <c r="BH272" s="24" t="e">
        <f>SUMIFS(#REF!,#REF!,$B272,#REF!,BH$1)</f>
        <v>#REF!</v>
      </c>
      <c r="BI272" s="24" t="e">
        <f>SUMIFS(#REF!,#REF!,$B272,#REF!,BI$1)</f>
        <v>#REF!</v>
      </c>
      <c r="BJ272" s="24" t="e">
        <f>SUMIFS(#REF!,#REF!,$B272,#REF!,BJ$1)</f>
        <v>#REF!</v>
      </c>
      <c r="BK272" s="24" t="e">
        <f>SUMIFS(#REF!,#REF!,$B272,#REF!,BK$1)</f>
        <v>#REF!</v>
      </c>
      <c r="BL272" s="24" t="e">
        <f>SUMIFS(#REF!,#REF!,$B272,#REF!,BL$1)</f>
        <v>#REF!</v>
      </c>
      <c r="BM272" s="24" t="e">
        <f>SUMIFS(#REF!,#REF!,$B272,#REF!,BM$1)</f>
        <v>#REF!</v>
      </c>
      <c r="BN272" s="24" t="e">
        <f>SUMIFS(#REF!,#REF!,$B272,#REF!,BN$1)</f>
        <v>#REF!</v>
      </c>
      <c r="BO272" s="24" t="e">
        <f>SUMIFS(#REF!,#REF!,$B272,#REF!,BO$1)</f>
        <v>#REF!</v>
      </c>
      <c r="BP272" s="24" t="e">
        <f>SUMIFS(#REF!,#REF!,$B272,#REF!,BP$1)</f>
        <v>#REF!</v>
      </c>
      <c r="BQ272" s="24" t="e">
        <f>SUMIFS(#REF!,#REF!,$B272,#REF!,BQ$1)</f>
        <v>#REF!</v>
      </c>
      <c r="BR272" s="24" t="e">
        <f>SUMIFS(#REF!,#REF!,$B272,#REF!,BR$1)</f>
        <v>#REF!</v>
      </c>
      <c r="BS272" s="24" t="e">
        <f>SUMIFS(#REF!,#REF!,$B272,#REF!,BS$1)</f>
        <v>#REF!</v>
      </c>
      <c r="BT272" s="24" t="e">
        <f>SUMIFS(#REF!,#REF!,$B272,#REF!,BT$1)</f>
        <v>#REF!</v>
      </c>
      <c r="BU272" s="24" t="e">
        <f>SUMIFS(#REF!,#REF!,$B272,#REF!,BU$1)</f>
        <v>#REF!</v>
      </c>
      <c r="BV272" s="24" t="e">
        <f>SUMIFS(#REF!,#REF!,$B272,#REF!,BV$1)</f>
        <v>#REF!</v>
      </c>
      <c r="BW272" s="24" t="e">
        <f>SUMIFS(#REF!,#REF!,$B272,#REF!,BW$1)</f>
        <v>#REF!</v>
      </c>
      <c r="BX272" s="24" t="e">
        <f>SUMIFS(#REF!,#REF!,$B272,#REF!,BX$1)</f>
        <v>#REF!</v>
      </c>
      <c r="BY272" s="24" t="e">
        <f>SUMIFS(#REF!,#REF!,$B272,#REF!,BY$1)</f>
        <v>#REF!</v>
      </c>
      <c r="BZ272" s="24" t="e">
        <f>SUMIFS(#REF!,#REF!,$B272,#REF!,BZ$1)</f>
        <v>#REF!</v>
      </c>
      <c r="CA272" s="24" t="e">
        <f>SUMIFS(#REF!,#REF!,$B272,#REF!,CA$1)</f>
        <v>#REF!</v>
      </c>
      <c r="CB272" s="24" t="e">
        <f>SUMIFS(#REF!,#REF!,$B272,#REF!,CB$1)</f>
        <v>#REF!</v>
      </c>
      <c r="CC272" s="24" t="e">
        <f>SUMIFS(#REF!,#REF!,$B272,#REF!,CC$1)</f>
        <v>#REF!</v>
      </c>
      <c r="CD272" s="24" t="e">
        <f>SUMIFS(#REF!,#REF!,$B272,#REF!,CD$1)</f>
        <v>#REF!</v>
      </c>
      <c r="CE272" s="24" t="e">
        <f>SUMIFS(#REF!,#REF!,$B272,#REF!,CE$1)</f>
        <v>#REF!</v>
      </c>
      <c r="CF272" s="24" t="e">
        <f>SUMIFS(#REF!,#REF!,$B272,#REF!,CF$1)</f>
        <v>#REF!</v>
      </c>
      <c r="CG272" s="19" t="e">
        <f t="shared" si="4"/>
        <v>#REF!</v>
      </c>
    </row>
    <row r="273" spans="1:85" x14ac:dyDescent="0.45">
      <c r="A273" s="4" t="s">
        <v>1519</v>
      </c>
      <c r="B273" s="4" t="s">
        <v>1520</v>
      </c>
      <c r="C273" s="24" t="e">
        <f>SUMIFS(#REF!,#REF!,$B273,#REF!,C$1)</f>
        <v>#REF!</v>
      </c>
      <c r="D273" s="24" t="e">
        <f>SUMIFS(#REF!,#REF!,$B273,#REF!,D$1)</f>
        <v>#REF!</v>
      </c>
      <c r="E273" s="24" t="e">
        <f>SUMIFS(#REF!,#REF!,$B273,#REF!,E$1)</f>
        <v>#REF!</v>
      </c>
      <c r="F273" s="24" t="e">
        <f>SUMIFS(#REF!,#REF!,$B273,#REF!,F$1)</f>
        <v>#REF!</v>
      </c>
      <c r="G273" s="24" t="e">
        <f>SUMIFS(#REF!,#REF!,$B273,#REF!,G$1)</f>
        <v>#REF!</v>
      </c>
      <c r="H273" s="24" t="e">
        <f>SUMIFS(#REF!,#REF!,$B273,#REF!,H$1)</f>
        <v>#REF!</v>
      </c>
      <c r="I273" s="24" t="e">
        <f>SUMIFS(#REF!,#REF!,$B273,#REF!,I$1)</f>
        <v>#REF!</v>
      </c>
      <c r="J273" s="24" t="e">
        <f>SUMIFS(#REF!,#REF!,$B273,#REF!,J$1)</f>
        <v>#REF!</v>
      </c>
      <c r="K273" s="24" t="e">
        <f>SUMIFS(#REF!,#REF!,$B273,#REF!,K$1)</f>
        <v>#REF!</v>
      </c>
      <c r="L273" s="24" t="e">
        <f>SUMIFS(#REF!,#REF!,$B273,#REF!,L$1)</f>
        <v>#REF!</v>
      </c>
      <c r="M273" s="24" t="e">
        <f>SUMIFS(#REF!,#REF!,$B273,#REF!,M$1)</f>
        <v>#REF!</v>
      </c>
      <c r="N273" s="24" t="e">
        <f>SUMIFS(#REF!,#REF!,$B273,#REF!,N$1)</f>
        <v>#REF!</v>
      </c>
      <c r="O273" s="24" t="e">
        <f>SUMIFS(#REF!,#REF!,$B273,#REF!,O$1)</f>
        <v>#REF!</v>
      </c>
      <c r="P273" s="24" t="e">
        <f>SUMIFS(#REF!,#REF!,$B273,#REF!,P$1)</f>
        <v>#REF!</v>
      </c>
      <c r="Q273" s="24" t="e">
        <f>SUMIFS(#REF!,#REF!,$B273,#REF!,Q$1)</f>
        <v>#REF!</v>
      </c>
      <c r="R273" s="24" t="e">
        <f>SUMIFS(#REF!,#REF!,$B273,#REF!,R$1)</f>
        <v>#REF!</v>
      </c>
      <c r="S273" s="24" t="e">
        <f>SUMIFS(#REF!,#REF!,$B273,#REF!,S$1)</f>
        <v>#REF!</v>
      </c>
      <c r="T273" s="24" t="e">
        <f>SUMIFS(#REF!,#REF!,$B273,#REF!,T$1)</f>
        <v>#REF!</v>
      </c>
      <c r="U273" s="24" t="e">
        <f>SUMIFS(#REF!,#REF!,$B273,#REF!,U$1)</f>
        <v>#REF!</v>
      </c>
      <c r="V273" s="24" t="e">
        <f>SUMIFS(#REF!,#REF!,$B273,#REF!,V$1)</f>
        <v>#REF!</v>
      </c>
      <c r="W273" s="24" t="e">
        <f>SUMIFS(#REF!,#REF!,$B273,#REF!,W$1)</f>
        <v>#REF!</v>
      </c>
      <c r="X273" s="24" t="e">
        <f>SUMIFS(#REF!,#REF!,$B273,#REF!,X$1)</f>
        <v>#REF!</v>
      </c>
      <c r="Y273" s="24" t="e">
        <f>SUMIFS(#REF!,#REF!,$B273,#REF!,Y$1)</f>
        <v>#REF!</v>
      </c>
      <c r="Z273" s="24" t="e">
        <f>SUMIFS(#REF!,#REF!,$B273,#REF!,Z$1)</f>
        <v>#REF!</v>
      </c>
      <c r="AA273" s="24" t="e">
        <f>SUMIFS(#REF!,#REF!,$B273,#REF!,AA$1)</f>
        <v>#REF!</v>
      </c>
      <c r="AB273" s="24" t="e">
        <f>SUMIFS(#REF!,#REF!,$B273,#REF!,AB$1)</f>
        <v>#REF!</v>
      </c>
      <c r="AC273" s="24" t="e">
        <f>SUMIFS(#REF!,#REF!,$B273,#REF!,AC$1)</f>
        <v>#REF!</v>
      </c>
      <c r="AD273" s="24" t="e">
        <f>SUMIFS(#REF!,#REF!,$B273,#REF!,AD$1)</f>
        <v>#REF!</v>
      </c>
      <c r="AE273" s="24" t="e">
        <f>SUMIFS(#REF!,#REF!,$B273,#REF!,AE$1)</f>
        <v>#REF!</v>
      </c>
      <c r="AF273" s="24" t="e">
        <f>SUMIFS(#REF!,#REF!,$B273,#REF!,AF$1)</f>
        <v>#REF!</v>
      </c>
      <c r="AG273" s="24" t="e">
        <f>SUMIFS(#REF!,#REF!,$B273,#REF!,AG$1)</f>
        <v>#REF!</v>
      </c>
      <c r="AH273" s="24" t="e">
        <f>SUMIFS(#REF!,#REF!,$B273,#REF!,AH$1)</f>
        <v>#REF!</v>
      </c>
      <c r="AI273" s="24" t="e">
        <f>SUMIFS(#REF!,#REF!,$B273,#REF!,AI$1)</f>
        <v>#REF!</v>
      </c>
      <c r="AJ273" s="24" t="e">
        <f>SUMIFS(#REF!,#REF!,$B273,#REF!,AJ$1)</f>
        <v>#REF!</v>
      </c>
      <c r="AK273" s="24" t="e">
        <f>SUMIFS(#REF!,#REF!,$B273,#REF!,AK$1)</f>
        <v>#REF!</v>
      </c>
      <c r="AL273" s="24" t="e">
        <f>SUMIFS(#REF!,#REF!,$B273,#REF!,AL$1)</f>
        <v>#REF!</v>
      </c>
      <c r="AM273" s="24" t="e">
        <f>SUMIFS(#REF!,#REF!,$B273,#REF!,AM$1)</f>
        <v>#REF!</v>
      </c>
      <c r="AN273" s="24" t="e">
        <f>SUMIFS(#REF!,#REF!,$B273,#REF!,AN$1)</f>
        <v>#REF!</v>
      </c>
      <c r="AO273" s="24" t="e">
        <f>SUMIFS(#REF!,#REF!,$B273,#REF!,AO$1)</f>
        <v>#REF!</v>
      </c>
      <c r="AP273" s="24" t="e">
        <f>SUMIFS(#REF!,#REF!,$B273,#REF!,AP$1)</f>
        <v>#REF!</v>
      </c>
      <c r="AQ273" s="24" t="e">
        <f>SUMIFS(#REF!,#REF!,$B273,#REF!,AQ$1)</f>
        <v>#REF!</v>
      </c>
      <c r="AR273" s="24" t="e">
        <f>SUMIFS(#REF!,#REF!,$B273,#REF!,AR$1)</f>
        <v>#REF!</v>
      </c>
      <c r="AS273" s="24" t="e">
        <f>SUMIFS(#REF!,#REF!,$B273,#REF!,AS$1)</f>
        <v>#REF!</v>
      </c>
      <c r="AT273" s="24" t="e">
        <f>SUMIFS(#REF!,#REF!,$B273,#REF!,AT$1)</f>
        <v>#REF!</v>
      </c>
      <c r="AU273" s="24" t="e">
        <f>SUMIFS(#REF!,#REF!,$B273,#REF!,AU$1)</f>
        <v>#REF!</v>
      </c>
      <c r="AV273" s="24" t="e">
        <f>SUMIFS(#REF!,#REF!,$B273,#REF!,AV$1)</f>
        <v>#REF!</v>
      </c>
      <c r="AW273" s="24" t="e">
        <f>SUMIFS(#REF!,#REF!,$B273,#REF!,AW$1)</f>
        <v>#REF!</v>
      </c>
      <c r="AX273" s="24" t="e">
        <f>SUMIFS(#REF!,#REF!,$B273,#REF!,AX$1)</f>
        <v>#REF!</v>
      </c>
      <c r="AY273" s="24" t="e">
        <f>SUMIFS(#REF!,#REF!,$B273,#REF!,AY$1)</f>
        <v>#REF!</v>
      </c>
      <c r="AZ273" s="24" t="e">
        <f>SUMIFS(#REF!,#REF!,$B273,#REF!,AZ$1)</f>
        <v>#REF!</v>
      </c>
      <c r="BA273" s="24" t="e">
        <f>SUMIFS(#REF!,#REF!,$B273,#REF!,BA$1)</f>
        <v>#REF!</v>
      </c>
      <c r="BB273" s="24" t="e">
        <f>SUMIFS(#REF!,#REF!,$B273,#REF!,BB$1)</f>
        <v>#REF!</v>
      </c>
      <c r="BC273" s="24" t="e">
        <f>SUMIFS(#REF!,#REF!,$B273,#REF!,BC$1)</f>
        <v>#REF!</v>
      </c>
      <c r="BD273" s="24" t="e">
        <f>SUMIFS(#REF!,#REF!,$B273,#REF!,BD$1)</f>
        <v>#REF!</v>
      </c>
      <c r="BE273" s="24" t="e">
        <f>SUMIFS(#REF!,#REF!,$B273,#REF!,BE$1)</f>
        <v>#REF!</v>
      </c>
      <c r="BF273" s="24" t="e">
        <f>SUMIFS(#REF!,#REF!,$B273,#REF!,BF$1)</f>
        <v>#REF!</v>
      </c>
      <c r="BG273" s="24" t="e">
        <f>SUMIFS(#REF!,#REF!,$B273,#REF!,BG$1)</f>
        <v>#REF!</v>
      </c>
      <c r="BH273" s="24" t="e">
        <f>SUMIFS(#REF!,#REF!,$B273,#REF!,BH$1)</f>
        <v>#REF!</v>
      </c>
      <c r="BI273" s="24" t="e">
        <f>SUMIFS(#REF!,#REF!,$B273,#REF!,BI$1)</f>
        <v>#REF!</v>
      </c>
      <c r="BJ273" s="24" t="e">
        <f>SUMIFS(#REF!,#REF!,$B273,#REF!,BJ$1)</f>
        <v>#REF!</v>
      </c>
      <c r="BK273" s="24" t="e">
        <f>SUMIFS(#REF!,#REF!,$B273,#REF!,BK$1)</f>
        <v>#REF!</v>
      </c>
      <c r="BL273" s="24" t="e">
        <f>SUMIFS(#REF!,#REF!,$B273,#REF!,BL$1)</f>
        <v>#REF!</v>
      </c>
      <c r="BM273" s="24" t="e">
        <f>SUMIFS(#REF!,#REF!,$B273,#REF!,BM$1)</f>
        <v>#REF!</v>
      </c>
      <c r="BN273" s="24" t="e">
        <f>SUMIFS(#REF!,#REF!,$B273,#REF!,BN$1)</f>
        <v>#REF!</v>
      </c>
      <c r="BO273" s="24" t="e">
        <f>SUMIFS(#REF!,#REF!,$B273,#REF!,BO$1)</f>
        <v>#REF!</v>
      </c>
      <c r="BP273" s="24" t="e">
        <f>SUMIFS(#REF!,#REF!,$B273,#REF!,BP$1)</f>
        <v>#REF!</v>
      </c>
      <c r="BQ273" s="24" t="e">
        <f>SUMIFS(#REF!,#REF!,$B273,#REF!,BQ$1)</f>
        <v>#REF!</v>
      </c>
      <c r="BR273" s="24" t="e">
        <f>SUMIFS(#REF!,#REF!,$B273,#REF!,BR$1)</f>
        <v>#REF!</v>
      </c>
      <c r="BS273" s="24" t="e">
        <f>SUMIFS(#REF!,#REF!,$B273,#REF!,BS$1)</f>
        <v>#REF!</v>
      </c>
      <c r="BT273" s="24" t="e">
        <f>SUMIFS(#REF!,#REF!,$B273,#REF!,BT$1)</f>
        <v>#REF!</v>
      </c>
      <c r="BU273" s="24" t="e">
        <f>SUMIFS(#REF!,#REF!,$B273,#REF!,BU$1)</f>
        <v>#REF!</v>
      </c>
      <c r="BV273" s="24" t="e">
        <f>SUMIFS(#REF!,#REF!,$B273,#REF!,BV$1)</f>
        <v>#REF!</v>
      </c>
      <c r="BW273" s="24" t="e">
        <f>SUMIFS(#REF!,#REF!,$B273,#REF!,BW$1)</f>
        <v>#REF!</v>
      </c>
      <c r="BX273" s="24" t="e">
        <f>SUMIFS(#REF!,#REF!,$B273,#REF!,BX$1)</f>
        <v>#REF!</v>
      </c>
      <c r="BY273" s="24" t="e">
        <f>SUMIFS(#REF!,#REF!,$B273,#REF!,BY$1)</f>
        <v>#REF!</v>
      </c>
      <c r="BZ273" s="24" t="e">
        <f>SUMIFS(#REF!,#REF!,$B273,#REF!,BZ$1)</f>
        <v>#REF!</v>
      </c>
      <c r="CA273" s="24" t="e">
        <f>SUMIFS(#REF!,#REF!,$B273,#REF!,CA$1)</f>
        <v>#REF!</v>
      </c>
      <c r="CB273" s="24" t="e">
        <f>SUMIFS(#REF!,#REF!,$B273,#REF!,CB$1)</f>
        <v>#REF!</v>
      </c>
      <c r="CC273" s="24" t="e">
        <f>SUMIFS(#REF!,#REF!,$B273,#REF!,CC$1)</f>
        <v>#REF!</v>
      </c>
      <c r="CD273" s="24" t="e">
        <f>SUMIFS(#REF!,#REF!,$B273,#REF!,CD$1)</f>
        <v>#REF!</v>
      </c>
      <c r="CE273" s="24" t="e">
        <f>SUMIFS(#REF!,#REF!,$B273,#REF!,CE$1)</f>
        <v>#REF!</v>
      </c>
      <c r="CF273" s="24" t="e">
        <f>SUMIFS(#REF!,#REF!,$B273,#REF!,CF$1)</f>
        <v>#REF!</v>
      </c>
      <c r="CG273" s="19" t="e">
        <f t="shared" si="4"/>
        <v>#REF!</v>
      </c>
    </row>
    <row r="274" spans="1:85" x14ac:dyDescent="0.45">
      <c r="A274" s="4" t="s">
        <v>1521</v>
      </c>
      <c r="B274" s="4" t="s">
        <v>1521</v>
      </c>
      <c r="C274" s="24" t="e">
        <f>SUMIFS(#REF!,#REF!,$B274,#REF!,C$1)</f>
        <v>#REF!</v>
      </c>
      <c r="D274" s="24" t="e">
        <f>SUMIFS(#REF!,#REF!,$B274,#REF!,D$1)</f>
        <v>#REF!</v>
      </c>
      <c r="E274" s="24" t="e">
        <f>SUMIFS(#REF!,#REF!,$B274,#REF!,E$1)</f>
        <v>#REF!</v>
      </c>
      <c r="F274" s="24" t="e">
        <f>SUMIFS(#REF!,#REF!,$B274,#REF!,F$1)</f>
        <v>#REF!</v>
      </c>
      <c r="G274" s="24" t="e">
        <f>SUMIFS(#REF!,#REF!,$B274,#REF!,G$1)</f>
        <v>#REF!</v>
      </c>
      <c r="H274" s="24" t="e">
        <f>SUMIFS(#REF!,#REF!,$B274,#REF!,H$1)</f>
        <v>#REF!</v>
      </c>
      <c r="I274" s="24" t="e">
        <f>SUMIFS(#REF!,#REF!,$B274,#REF!,I$1)</f>
        <v>#REF!</v>
      </c>
      <c r="J274" s="24" t="e">
        <f>SUMIFS(#REF!,#REF!,$B274,#REF!,J$1)</f>
        <v>#REF!</v>
      </c>
      <c r="K274" s="24" t="e">
        <f>SUMIFS(#REF!,#REF!,$B274,#REF!,K$1)</f>
        <v>#REF!</v>
      </c>
      <c r="L274" s="24" t="e">
        <f>SUMIFS(#REF!,#REF!,$B274,#REF!,L$1)</f>
        <v>#REF!</v>
      </c>
      <c r="M274" s="24" t="e">
        <f>SUMIFS(#REF!,#REF!,$B274,#REF!,M$1)</f>
        <v>#REF!</v>
      </c>
      <c r="N274" s="24" t="e">
        <f>SUMIFS(#REF!,#REF!,$B274,#REF!,N$1)</f>
        <v>#REF!</v>
      </c>
      <c r="O274" s="24" t="e">
        <f>SUMIFS(#REF!,#REF!,$B274,#REF!,O$1)</f>
        <v>#REF!</v>
      </c>
      <c r="P274" s="24" t="e">
        <f>SUMIFS(#REF!,#REF!,$B274,#REF!,P$1)</f>
        <v>#REF!</v>
      </c>
      <c r="Q274" s="24" t="e">
        <f>SUMIFS(#REF!,#REF!,$B274,#REF!,Q$1)</f>
        <v>#REF!</v>
      </c>
      <c r="R274" s="24" t="e">
        <f>SUMIFS(#REF!,#REF!,$B274,#REF!,R$1)</f>
        <v>#REF!</v>
      </c>
      <c r="S274" s="24" t="e">
        <f>SUMIFS(#REF!,#REF!,$B274,#REF!,S$1)</f>
        <v>#REF!</v>
      </c>
      <c r="T274" s="24" t="e">
        <f>SUMIFS(#REF!,#REF!,$B274,#REF!,T$1)</f>
        <v>#REF!</v>
      </c>
      <c r="U274" s="24" t="e">
        <f>SUMIFS(#REF!,#REF!,$B274,#REF!,U$1)</f>
        <v>#REF!</v>
      </c>
      <c r="V274" s="24" t="e">
        <f>SUMIFS(#REF!,#REF!,$B274,#REF!,V$1)</f>
        <v>#REF!</v>
      </c>
      <c r="W274" s="24" t="e">
        <f>SUMIFS(#REF!,#REF!,$B274,#REF!,W$1)</f>
        <v>#REF!</v>
      </c>
      <c r="X274" s="24" t="e">
        <f>SUMIFS(#REF!,#REF!,$B274,#REF!,X$1)</f>
        <v>#REF!</v>
      </c>
      <c r="Y274" s="24" t="e">
        <f>SUMIFS(#REF!,#REF!,$B274,#REF!,Y$1)</f>
        <v>#REF!</v>
      </c>
      <c r="Z274" s="24" t="e">
        <f>SUMIFS(#REF!,#REF!,$B274,#REF!,Z$1)</f>
        <v>#REF!</v>
      </c>
      <c r="AA274" s="24" t="e">
        <f>SUMIFS(#REF!,#REF!,$B274,#REF!,AA$1)</f>
        <v>#REF!</v>
      </c>
      <c r="AB274" s="24" t="e">
        <f>SUMIFS(#REF!,#REF!,$B274,#REF!,AB$1)</f>
        <v>#REF!</v>
      </c>
      <c r="AC274" s="24" t="e">
        <f>SUMIFS(#REF!,#REF!,$B274,#REF!,AC$1)</f>
        <v>#REF!</v>
      </c>
      <c r="AD274" s="24" t="e">
        <f>SUMIFS(#REF!,#REF!,$B274,#REF!,AD$1)</f>
        <v>#REF!</v>
      </c>
      <c r="AE274" s="24" t="e">
        <f>SUMIFS(#REF!,#REF!,$B274,#REF!,AE$1)</f>
        <v>#REF!</v>
      </c>
      <c r="AF274" s="24" t="e">
        <f>SUMIFS(#REF!,#REF!,$B274,#REF!,AF$1)</f>
        <v>#REF!</v>
      </c>
      <c r="AG274" s="24" t="e">
        <f>SUMIFS(#REF!,#REF!,$B274,#REF!,AG$1)</f>
        <v>#REF!</v>
      </c>
      <c r="AH274" s="24" t="e">
        <f>SUMIFS(#REF!,#REF!,$B274,#REF!,AH$1)</f>
        <v>#REF!</v>
      </c>
      <c r="AI274" s="24" t="e">
        <f>SUMIFS(#REF!,#REF!,$B274,#REF!,AI$1)</f>
        <v>#REF!</v>
      </c>
      <c r="AJ274" s="24" t="e">
        <f>SUMIFS(#REF!,#REF!,$B274,#REF!,AJ$1)</f>
        <v>#REF!</v>
      </c>
      <c r="AK274" s="24" t="e">
        <f>SUMIFS(#REF!,#REF!,$B274,#REF!,AK$1)</f>
        <v>#REF!</v>
      </c>
      <c r="AL274" s="24" t="e">
        <f>SUMIFS(#REF!,#REF!,$B274,#REF!,AL$1)</f>
        <v>#REF!</v>
      </c>
      <c r="AM274" s="24" t="e">
        <f>SUMIFS(#REF!,#REF!,$B274,#REF!,AM$1)</f>
        <v>#REF!</v>
      </c>
      <c r="AN274" s="24" t="e">
        <f>SUMIFS(#REF!,#REF!,$B274,#REF!,AN$1)</f>
        <v>#REF!</v>
      </c>
      <c r="AO274" s="24" t="e">
        <f>SUMIFS(#REF!,#REF!,$B274,#REF!,AO$1)</f>
        <v>#REF!</v>
      </c>
      <c r="AP274" s="24" t="e">
        <f>SUMIFS(#REF!,#REF!,$B274,#REF!,AP$1)</f>
        <v>#REF!</v>
      </c>
      <c r="AQ274" s="24" t="e">
        <f>SUMIFS(#REF!,#REF!,$B274,#REF!,AQ$1)</f>
        <v>#REF!</v>
      </c>
      <c r="AR274" s="24" t="e">
        <f>SUMIFS(#REF!,#REF!,$B274,#REF!,AR$1)</f>
        <v>#REF!</v>
      </c>
      <c r="AS274" s="24" t="e">
        <f>SUMIFS(#REF!,#REF!,$B274,#REF!,AS$1)</f>
        <v>#REF!</v>
      </c>
      <c r="AT274" s="24" t="e">
        <f>SUMIFS(#REF!,#REF!,$B274,#REF!,AT$1)</f>
        <v>#REF!</v>
      </c>
      <c r="AU274" s="24" t="e">
        <f>SUMIFS(#REF!,#REF!,$B274,#REF!,AU$1)</f>
        <v>#REF!</v>
      </c>
      <c r="AV274" s="24" t="e">
        <f>SUMIFS(#REF!,#REF!,$B274,#REF!,AV$1)</f>
        <v>#REF!</v>
      </c>
      <c r="AW274" s="24" t="e">
        <f>SUMIFS(#REF!,#REF!,$B274,#REF!,AW$1)</f>
        <v>#REF!</v>
      </c>
      <c r="AX274" s="24" t="e">
        <f>SUMIFS(#REF!,#REF!,$B274,#REF!,AX$1)</f>
        <v>#REF!</v>
      </c>
      <c r="AY274" s="24" t="e">
        <f>SUMIFS(#REF!,#REF!,$B274,#REF!,AY$1)</f>
        <v>#REF!</v>
      </c>
      <c r="AZ274" s="24" t="e">
        <f>SUMIFS(#REF!,#REF!,$B274,#REF!,AZ$1)</f>
        <v>#REF!</v>
      </c>
      <c r="BA274" s="24" t="e">
        <f>SUMIFS(#REF!,#REF!,$B274,#REF!,BA$1)</f>
        <v>#REF!</v>
      </c>
      <c r="BB274" s="24" t="e">
        <f>SUMIFS(#REF!,#REF!,$B274,#REF!,BB$1)</f>
        <v>#REF!</v>
      </c>
      <c r="BC274" s="24" t="e">
        <f>SUMIFS(#REF!,#REF!,$B274,#REF!,BC$1)</f>
        <v>#REF!</v>
      </c>
      <c r="BD274" s="24" t="e">
        <f>SUMIFS(#REF!,#REF!,$B274,#REF!,BD$1)</f>
        <v>#REF!</v>
      </c>
      <c r="BE274" s="24" t="e">
        <f>SUMIFS(#REF!,#REF!,$B274,#REF!,BE$1)</f>
        <v>#REF!</v>
      </c>
      <c r="BF274" s="24" t="e">
        <f>SUMIFS(#REF!,#REF!,$B274,#REF!,BF$1)</f>
        <v>#REF!</v>
      </c>
      <c r="BG274" s="24" t="e">
        <f>SUMIFS(#REF!,#REF!,$B274,#REF!,BG$1)</f>
        <v>#REF!</v>
      </c>
      <c r="BH274" s="24" t="e">
        <f>SUMIFS(#REF!,#REF!,$B274,#REF!,BH$1)</f>
        <v>#REF!</v>
      </c>
      <c r="BI274" s="24" t="e">
        <f>SUMIFS(#REF!,#REF!,$B274,#REF!,BI$1)</f>
        <v>#REF!</v>
      </c>
      <c r="BJ274" s="24" t="e">
        <f>SUMIFS(#REF!,#REF!,$B274,#REF!,BJ$1)</f>
        <v>#REF!</v>
      </c>
      <c r="BK274" s="24" t="e">
        <f>SUMIFS(#REF!,#REF!,$B274,#REF!,BK$1)</f>
        <v>#REF!</v>
      </c>
      <c r="BL274" s="24" t="e">
        <f>SUMIFS(#REF!,#REF!,$B274,#REF!,BL$1)</f>
        <v>#REF!</v>
      </c>
      <c r="BM274" s="24" t="e">
        <f>SUMIFS(#REF!,#REF!,$B274,#REF!,BM$1)</f>
        <v>#REF!</v>
      </c>
      <c r="BN274" s="24" t="e">
        <f>SUMIFS(#REF!,#REF!,$B274,#REF!,BN$1)</f>
        <v>#REF!</v>
      </c>
      <c r="BO274" s="24" t="e">
        <f>SUMIFS(#REF!,#REF!,$B274,#REF!,BO$1)</f>
        <v>#REF!</v>
      </c>
      <c r="BP274" s="24" t="e">
        <f>SUMIFS(#REF!,#REF!,$B274,#REF!,BP$1)</f>
        <v>#REF!</v>
      </c>
      <c r="BQ274" s="24" t="e">
        <f>SUMIFS(#REF!,#REF!,$B274,#REF!,BQ$1)</f>
        <v>#REF!</v>
      </c>
      <c r="BR274" s="24" t="e">
        <f>SUMIFS(#REF!,#REF!,$B274,#REF!,BR$1)</f>
        <v>#REF!</v>
      </c>
      <c r="BS274" s="24" t="e">
        <f>SUMIFS(#REF!,#REF!,$B274,#REF!,BS$1)</f>
        <v>#REF!</v>
      </c>
      <c r="BT274" s="24" t="e">
        <f>SUMIFS(#REF!,#REF!,$B274,#REF!,BT$1)</f>
        <v>#REF!</v>
      </c>
      <c r="BU274" s="24" t="e">
        <f>SUMIFS(#REF!,#REF!,$B274,#REF!,BU$1)</f>
        <v>#REF!</v>
      </c>
      <c r="BV274" s="24" t="e">
        <f>SUMIFS(#REF!,#REF!,$B274,#REF!,BV$1)</f>
        <v>#REF!</v>
      </c>
      <c r="BW274" s="24" t="e">
        <f>SUMIFS(#REF!,#REF!,$B274,#REF!,BW$1)</f>
        <v>#REF!</v>
      </c>
      <c r="BX274" s="24" t="e">
        <f>SUMIFS(#REF!,#REF!,$B274,#REF!,BX$1)</f>
        <v>#REF!</v>
      </c>
      <c r="BY274" s="24" t="e">
        <f>SUMIFS(#REF!,#REF!,$B274,#REF!,BY$1)</f>
        <v>#REF!</v>
      </c>
      <c r="BZ274" s="24" t="e">
        <f>SUMIFS(#REF!,#REF!,$B274,#REF!,BZ$1)</f>
        <v>#REF!</v>
      </c>
      <c r="CA274" s="24" t="e">
        <f>SUMIFS(#REF!,#REF!,$B274,#REF!,CA$1)</f>
        <v>#REF!</v>
      </c>
      <c r="CB274" s="24" t="e">
        <f>SUMIFS(#REF!,#REF!,$B274,#REF!,CB$1)</f>
        <v>#REF!</v>
      </c>
      <c r="CC274" s="24" t="e">
        <f>SUMIFS(#REF!,#REF!,$B274,#REF!,CC$1)</f>
        <v>#REF!</v>
      </c>
      <c r="CD274" s="24" t="e">
        <f>SUMIFS(#REF!,#REF!,$B274,#REF!,CD$1)</f>
        <v>#REF!</v>
      </c>
      <c r="CE274" s="24" t="e">
        <f>SUMIFS(#REF!,#REF!,$B274,#REF!,CE$1)</f>
        <v>#REF!</v>
      </c>
      <c r="CF274" s="24" t="e">
        <f>SUMIFS(#REF!,#REF!,$B274,#REF!,CF$1)</f>
        <v>#REF!</v>
      </c>
      <c r="CG274" s="19" t="e">
        <f t="shared" si="4"/>
        <v>#REF!</v>
      </c>
    </row>
    <row r="275" spans="1:85" x14ac:dyDescent="0.45">
      <c r="A275" s="4" t="s">
        <v>1522</v>
      </c>
      <c r="B275" s="4" t="s">
        <v>1523</v>
      </c>
      <c r="C275" s="24" t="e">
        <f>SUMIFS(#REF!,#REF!,$B275,#REF!,C$1)</f>
        <v>#REF!</v>
      </c>
      <c r="D275" s="24" t="e">
        <f>SUMIFS(#REF!,#REF!,$B275,#REF!,D$1)</f>
        <v>#REF!</v>
      </c>
      <c r="E275" s="24" t="e">
        <f>SUMIFS(#REF!,#REF!,$B275,#REF!,E$1)</f>
        <v>#REF!</v>
      </c>
      <c r="F275" s="24" t="e">
        <f>SUMIFS(#REF!,#REF!,$B275,#REF!,F$1)</f>
        <v>#REF!</v>
      </c>
      <c r="G275" s="24" t="e">
        <f>SUMIFS(#REF!,#REF!,$B275,#REF!,G$1)</f>
        <v>#REF!</v>
      </c>
      <c r="H275" s="24" t="e">
        <f>SUMIFS(#REF!,#REF!,$B275,#REF!,H$1)</f>
        <v>#REF!</v>
      </c>
      <c r="I275" s="24" t="e">
        <f>SUMIFS(#REF!,#REF!,$B275,#REF!,I$1)</f>
        <v>#REF!</v>
      </c>
      <c r="J275" s="24" t="e">
        <f>SUMIFS(#REF!,#REF!,$B275,#REF!,J$1)</f>
        <v>#REF!</v>
      </c>
      <c r="K275" s="24" t="e">
        <f>SUMIFS(#REF!,#REF!,$B275,#REF!,K$1)</f>
        <v>#REF!</v>
      </c>
      <c r="L275" s="24" t="e">
        <f>SUMIFS(#REF!,#REF!,$B275,#REF!,L$1)</f>
        <v>#REF!</v>
      </c>
      <c r="M275" s="24" t="e">
        <f>SUMIFS(#REF!,#REF!,$B275,#REF!,M$1)</f>
        <v>#REF!</v>
      </c>
      <c r="N275" s="24" t="e">
        <f>SUMIFS(#REF!,#REF!,$B275,#REF!,N$1)</f>
        <v>#REF!</v>
      </c>
      <c r="O275" s="24" t="e">
        <f>SUMIFS(#REF!,#REF!,$B275,#REF!,O$1)</f>
        <v>#REF!</v>
      </c>
      <c r="P275" s="24" t="e">
        <f>SUMIFS(#REF!,#REF!,$B275,#REF!,P$1)</f>
        <v>#REF!</v>
      </c>
      <c r="Q275" s="24" t="e">
        <f>SUMIFS(#REF!,#REF!,$B275,#REF!,Q$1)</f>
        <v>#REF!</v>
      </c>
      <c r="R275" s="24" t="e">
        <f>SUMIFS(#REF!,#REF!,$B275,#REF!,R$1)</f>
        <v>#REF!</v>
      </c>
      <c r="S275" s="24" t="e">
        <f>SUMIFS(#REF!,#REF!,$B275,#REF!,S$1)</f>
        <v>#REF!</v>
      </c>
      <c r="T275" s="24" t="e">
        <f>SUMIFS(#REF!,#REF!,$B275,#REF!,T$1)</f>
        <v>#REF!</v>
      </c>
      <c r="U275" s="24" t="e">
        <f>SUMIFS(#REF!,#REF!,$B275,#REF!,U$1)</f>
        <v>#REF!</v>
      </c>
      <c r="V275" s="24" t="e">
        <f>SUMIFS(#REF!,#REF!,$B275,#REF!,V$1)</f>
        <v>#REF!</v>
      </c>
      <c r="W275" s="24" t="e">
        <f>SUMIFS(#REF!,#REF!,$B275,#REF!,W$1)</f>
        <v>#REF!</v>
      </c>
      <c r="X275" s="24" t="e">
        <f>SUMIFS(#REF!,#REF!,$B275,#REF!,X$1)</f>
        <v>#REF!</v>
      </c>
      <c r="Y275" s="24" t="e">
        <f>SUMIFS(#REF!,#REF!,$B275,#REF!,Y$1)</f>
        <v>#REF!</v>
      </c>
      <c r="Z275" s="24" t="e">
        <f>SUMIFS(#REF!,#REF!,$B275,#REF!,Z$1)</f>
        <v>#REF!</v>
      </c>
      <c r="AA275" s="24" t="e">
        <f>SUMIFS(#REF!,#REF!,$B275,#REF!,AA$1)</f>
        <v>#REF!</v>
      </c>
      <c r="AB275" s="24" t="e">
        <f>SUMIFS(#REF!,#REF!,$B275,#REF!,AB$1)</f>
        <v>#REF!</v>
      </c>
      <c r="AC275" s="24" t="e">
        <f>SUMIFS(#REF!,#REF!,$B275,#REF!,AC$1)</f>
        <v>#REF!</v>
      </c>
      <c r="AD275" s="24" t="e">
        <f>SUMIFS(#REF!,#REF!,$B275,#REF!,AD$1)</f>
        <v>#REF!</v>
      </c>
      <c r="AE275" s="24" t="e">
        <f>SUMIFS(#REF!,#REF!,$B275,#REF!,AE$1)</f>
        <v>#REF!</v>
      </c>
      <c r="AF275" s="24" t="e">
        <f>SUMIFS(#REF!,#REF!,$B275,#REF!,AF$1)</f>
        <v>#REF!</v>
      </c>
      <c r="AG275" s="24" t="e">
        <f>SUMIFS(#REF!,#REF!,$B275,#REF!,AG$1)</f>
        <v>#REF!</v>
      </c>
      <c r="AH275" s="24" t="e">
        <f>SUMIFS(#REF!,#REF!,$B275,#REF!,AH$1)</f>
        <v>#REF!</v>
      </c>
      <c r="AI275" s="24" t="e">
        <f>SUMIFS(#REF!,#REF!,$B275,#REF!,AI$1)</f>
        <v>#REF!</v>
      </c>
      <c r="AJ275" s="24" t="e">
        <f>SUMIFS(#REF!,#REF!,$B275,#REF!,AJ$1)</f>
        <v>#REF!</v>
      </c>
      <c r="AK275" s="24" t="e">
        <f>SUMIFS(#REF!,#REF!,$B275,#REF!,AK$1)</f>
        <v>#REF!</v>
      </c>
      <c r="AL275" s="24" t="e">
        <f>SUMIFS(#REF!,#REF!,$B275,#REF!,AL$1)</f>
        <v>#REF!</v>
      </c>
      <c r="AM275" s="24" t="e">
        <f>SUMIFS(#REF!,#REF!,$B275,#REF!,AM$1)</f>
        <v>#REF!</v>
      </c>
      <c r="AN275" s="24" t="e">
        <f>SUMIFS(#REF!,#REF!,$B275,#REF!,AN$1)</f>
        <v>#REF!</v>
      </c>
      <c r="AO275" s="24" t="e">
        <f>SUMIFS(#REF!,#REF!,$B275,#REF!,AO$1)</f>
        <v>#REF!</v>
      </c>
      <c r="AP275" s="24" t="e">
        <f>SUMIFS(#REF!,#REF!,$B275,#REF!,AP$1)</f>
        <v>#REF!</v>
      </c>
      <c r="AQ275" s="24" t="e">
        <f>SUMIFS(#REF!,#REF!,$B275,#REF!,AQ$1)</f>
        <v>#REF!</v>
      </c>
      <c r="AR275" s="24" t="e">
        <f>SUMIFS(#REF!,#REF!,$B275,#REF!,AR$1)</f>
        <v>#REF!</v>
      </c>
      <c r="AS275" s="24" t="e">
        <f>SUMIFS(#REF!,#REF!,$B275,#REF!,AS$1)</f>
        <v>#REF!</v>
      </c>
      <c r="AT275" s="24" t="e">
        <f>SUMIFS(#REF!,#REF!,$B275,#REF!,AT$1)</f>
        <v>#REF!</v>
      </c>
      <c r="AU275" s="24" t="e">
        <f>SUMIFS(#REF!,#REF!,$B275,#REF!,AU$1)</f>
        <v>#REF!</v>
      </c>
      <c r="AV275" s="24" t="e">
        <f>SUMIFS(#REF!,#REF!,$B275,#REF!,AV$1)</f>
        <v>#REF!</v>
      </c>
      <c r="AW275" s="24" t="e">
        <f>SUMIFS(#REF!,#REF!,$B275,#REF!,AW$1)</f>
        <v>#REF!</v>
      </c>
      <c r="AX275" s="24" t="e">
        <f>SUMIFS(#REF!,#REF!,$B275,#REF!,AX$1)</f>
        <v>#REF!</v>
      </c>
      <c r="AY275" s="24" t="e">
        <f>SUMIFS(#REF!,#REF!,$B275,#REF!,AY$1)</f>
        <v>#REF!</v>
      </c>
      <c r="AZ275" s="24" t="e">
        <f>SUMIFS(#REF!,#REF!,$B275,#REF!,AZ$1)</f>
        <v>#REF!</v>
      </c>
      <c r="BA275" s="24" t="e">
        <f>SUMIFS(#REF!,#REF!,$B275,#REF!,BA$1)</f>
        <v>#REF!</v>
      </c>
      <c r="BB275" s="24" t="e">
        <f>SUMIFS(#REF!,#REF!,$B275,#REF!,BB$1)</f>
        <v>#REF!</v>
      </c>
      <c r="BC275" s="24" t="e">
        <f>SUMIFS(#REF!,#REF!,$B275,#REF!,BC$1)</f>
        <v>#REF!</v>
      </c>
      <c r="BD275" s="24" t="e">
        <f>SUMIFS(#REF!,#REF!,$B275,#REF!,BD$1)</f>
        <v>#REF!</v>
      </c>
      <c r="BE275" s="24" t="e">
        <f>SUMIFS(#REF!,#REF!,$B275,#REF!,BE$1)</f>
        <v>#REF!</v>
      </c>
      <c r="BF275" s="24" t="e">
        <f>SUMIFS(#REF!,#REF!,$B275,#REF!,BF$1)</f>
        <v>#REF!</v>
      </c>
      <c r="BG275" s="24" t="e">
        <f>SUMIFS(#REF!,#REF!,$B275,#REF!,BG$1)</f>
        <v>#REF!</v>
      </c>
      <c r="BH275" s="24" t="e">
        <f>SUMIFS(#REF!,#REF!,$B275,#REF!,BH$1)</f>
        <v>#REF!</v>
      </c>
      <c r="BI275" s="24" t="e">
        <f>SUMIFS(#REF!,#REF!,$B275,#REF!,BI$1)</f>
        <v>#REF!</v>
      </c>
      <c r="BJ275" s="24" t="e">
        <f>SUMIFS(#REF!,#REF!,$B275,#REF!,BJ$1)</f>
        <v>#REF!</v>
      </c>
      <c r="BK275" s="24" t="e">
        <f>SUMIFS(#REF!,#REF!,$B275,#REF!,BK$1)</f>
        <v>#REF!</v>
      </c>
      <c r="BL275" s="24" t="e">
        <f>SUMIFS(#REF!,#REF!,$B275,#REF!,BL$1)</f>
        <v>#REF!</v>
      </c>
      <c r="BM275" s="24" t="e">
        <f>SUMIFS(#REF!,#REF!,$B275,#REF!,BM$1)</f>
        <v>#REF!</v>
      </c>
      <c r="BN275" s="24" t="e">
        <f>SUMIFS(#REF!,#REF!,$B275,#REF!,BN$1)</f>
        <v>#REF!</v>
      </c>
      <c r="BO275" s="24" t="e">
        <f>SUMIFS(#REF!,#REF!,$B275,#REF!,BO$1)</f>
        <v>#REF!</v>
      </c>
      <c r="BP275" s="24" t="e">
        <f>SUMIFS(#REF!,#REF!,$B275,#REF!,BP$1)</f>
        <v>#REF!</v>
      </c>
      <c r="BQ275" s="24" t="e">
        <f>SUMIFS(#REF!,#REF!,$B275,#REF!,BQ$1)</f>
        <v>#REF!</v>
      </c>
      <c r="BR275" s="24" t="e">
        <f>SUMIFS(#REF!,#REF!,$B275,#REF!,BR$1)</f>
        <v>#REF!</v>
      </c>
      <c r="BS275" s="24" t="e">
        <f>SUMIFS(#REF!,#REF!,$B275,#REF!,BS$1)</f>
        <v>#REF!</v>
      </c>
      <c r="BT275" s="24" t="e">
        <f>SUMIFS(#REF!,#REF!,$B275,#REF!,BT$1)</f>
        <v>#REF!</v>
      </c>
      <c r="BU275" s="24" t="e">
        <f>SUMIFS(#REF!,#REF!,$B275,#REF!,BU$1)</f>
        <v>#REF!</v>
      </c>
      <c r="BV275" s="24" t="e">
        <f>SUMIFS(#REF!,#REF!,$B275,#REF!,BV$1)</f>
        <v>#REF!</v>
      </c>
      <c r="BW275" s="24" t="e">
        <f>SUMIFS(#REF!,#REF!,$B275,#REF!,BW$1)</f>
        <v>#REF!</v>
      </c>
      <c r="BX275" s="24" t="e">
        <f>SUMIFS(#REF!,#REF!,$B275,#REF!,BX$1)</f>
        <v>#REF!</v>
      </c>
      <c r="BY275" s="24" t="e">
        <f>SUMIFS(#REF!,#REF!,$B275,#REF!,BY$1)</f>
        <v>#REF!</v>
      </c>
      <c r="BZ275" s="24" t="e">
        <f>SUMIFS(#REF!,#REF!,$B275,#REF!,BZ$1)</f>
        <v>#REF!</v>
      </c>
      <c r="CA275" s="24" t="e">
        <f>SUMIFS(#REF!,#REF!,$B275,#REF!,CA$1)</f>
        <v>#REF!</v>
      </c>
      <c r="CB275" s="24" t="e">
        <f>SUMIFS(#REF!,#REF!,$B275,#REF!,CB$1)</f>
        <v>#REF!</v>
      </c>
      <c r="CC275" s="24" t="e">
        <f>SUMIFS(#REF!,#REF!,$B275,#REF!,CC$1)</f>
        <v>#REF!</v>
      </c>
      <c r="CD275" s="24" t="e">
        <f>SUMIFS(#REF!,#REF!,$B275,#REF!,CD$1)</f>
        <v>#REF!</v>
      </c>
      <c r="CE275" s="24" t="e">
        <f>SUMIFS(#REF!,#REF!,$B275,#REF!,CE$1)</f>
        <v>#REF!</v>
      </c>
      <c r="CF275" s="24" t="e">
        <f>SUMIFS(#REF!,#REF!,$B275,#REF!,CF$1)</f>
        <v>#REF!</v>
      </c>
      <c r="CG275" s="19" t="e">
        <f t="shared" si="4"/>
        <v>#REF!</v>
      </c>
    </row>
    <row r="276" spans="1:85" x14ac:dyDescent="0.45">
      <c r="A276" s="4" t="s">
        <v>1524</v>
      </c>
      <c r="B276" s="4" t="s">
        <v>1524</v>
      </c>
      <c r="C276" s="24" t="e">
        <f>SUMIFS(#REF!,#REF!,$B276,#REF!,C$1)</f>
        <v>#REF!</v>
      </c>
      <c r="D276" s="24" t="e">
        <f>SUMIFS(#REF!,#REF!,$B276,#REF!,D$1)</f>
        <v>#REF!</v>
      </c>
      <c r="E276" s="24" t="e">
        <f>SUMIFS(#REF!,#REF!,$B276,#REF!,E$1)</f>
        <v>#REF!</v>
      </c>
      <c r="F276" s="24" t="e">
        <f>SUMIFS(#REF!,#REF!,$B276,#REF!,F$1)</f>
        <v>#REF!</v>
      </c>
      <c r="G276" s="24" t="e">
        <f>SUMIFS(#REF!,#REF!,$B276,#REF!,G$1)</f>
        <v>#REF!</v>
      </c>
      <c r="H276" s="24" t="e">
        <f>SUMIFS(#REF!,#REF!,$B276,#REF!,H$1)</f>
        <v>#REF!</v>
      </c>
      <c r="I276" s="24" t="e">
        <f>SUMIFS(#REF!,#REF!,$B276,#REF!,I$1)</f>
        <v>#REF!</v>
      </c>
      <c r="J276" s="24" t="e">
        <f>SUMIFS(#REF!,#REF!,$B276,#REF!,J$1)</f>
        <v>#REF!</v>
      </c>
      <c r="K276" s="24" t="e">
        <f>SUMIFS(#REF!,#REF!,$B276,#REF!,K$1)</f>
        <v>#REF!</v>
      </c>
      <c r="L276" s="24" t="e">
        <f>SUMIFS(#REF!,#REF!,$B276,#REF!,L$1)</f>
        <v>#REF!</v>
      </c>
      <c r="M276" s="24" t="e">
        <f>SUMIFS(#REF!,#REF!,$B276,#REF!,M$1)</f>
        <v>#REF!</v>
      </c>
      <c r="N276" s="24" t="e">
        <f>SUMIFS(#REF!,#REF!,$B276,#REF!,N$1)</f>
        <v>#REF!</v>
      </c>
      <c r="O276" s="24" t="e">
        <f>SUMIFS(#REF!,#REF!,$B276,#REF!,O$1)</f>
        <v>#REF!</v>
      </c>
      <c r="P276" s="24" t="e">
        <f>SUMIFS(#REF!,#REF!,$B276,#REF!,P$1)</f>
        <v>#REF!</v>
      </c>
      <c r="Q276" s="24" t="e">
        <f>SUMIFS(#REF!,#REF!,$B276,#REF!,Q$1)</f>
        <v>#REF!</v>
      </c>
      <c r="R276" s="24" t="e">
        <f>SUMIFS(#REF!,#REF!,$B276,#REF!,R$1)</f>
        <v>#REF!</v>
      </c>
      <c r="S276" s="24" t="e">
        <f>SUMIFS(#REF!,#REF!,$B276,#REF!,S$1)</f>
        <v>#REF!</v>
      </c>
      <c r="T276" s="24" t="e">
        <f>SUMIFS(#REF!,#REF!,$B276,#REF!,T$1)</f>
        <v>#REF!</v>
      </c>
      <c r="U276" s="24" t="e">
        <f>SUMIFS(#REF!,#REF!,$B276,#REF!,U$1)</f>
        <v>#REF!</v>
      </c>
      <c r="V276" s="24" t="e">
        <f>SUMIFS(#REF!,#REF!,$B276,#REF!,V$1)</f>
        <v>#REF!</v>
      </c>
      <c r="W276" s="24" t="e">
        <f>SUMIFS(#REF!,#REF!,$B276,#REF!,W$1)</f>
        <v>#REF!</v>
      </c>
      <c r="X276" s="24" t="e">
        <f>SUMIFS(#REF!,#REF!,$B276,#REF!,X$1)</f>
        <v>#REF!</v>
      </c>
      <c r="Y276" s="24" t="e">
        <f>SUMIFS(#REF!,#REF!,$B276,#REF!,Y$1)</f>
        <v>#REF!</v>
      </c>
      <c r="Z276" s="24" t="e">
        <f>SUMIFS(#REF!,#REF!,$B276,#REF!,Z$1)</f>
        <v>#REF!</v>
      </c>
      <c r="AA276" s="24" t="e">
        <f>SUMIFS(#REF!,#REF!,$B276,#REF!,AA$1)</f>
        <v>#REF!</v>
      </c>
      <c r="AB276" s="24" t="e">
        <f>SUMIFS(#REF!,#REF!,$B276,#REF!,AB$1)</f>
        <v>#REF!</v>
      </c>
      <c r="AC276" s="24" t="e">
        <f>SUMIFS(#REF!,#REF!,$B276,#REF!,AC$1)</f>
        <v>#REF!</v>
      </c>
      <c r="AD276" s="24" t="e">
        <f>SUMIFS(#REF!,#REF!,$B276,#REF!,AD$1)</f>
        <v>#REF!</v>
      </c>
      <c r="AE276" s="24" t="e">
        <f>SUMIFS(#REF!,#REF!,$B276,#REF!,AE$1)</f>
        <v>#REF!</v>
      </c>
      <c r="AF276" s="24" t="e">
        <f>SUMIFS(#REF!,#REF!,$B276,#REF!,AF$1)</f>
        <v>#REF!</v>
      </c>
      <c r="AG276" s="24" t="e">
        <f>SUMIFS(#REF!,#REF!,$B276,#REF!,AG$1)</f>
        <v>#REF!</v>
      </c>
      <c r="AH276" s="24" t="e">
        <f>SUMIFS(#REF!,#REF!,$B276,#REF!,AH$1)</f>
        <v>#REF!</v>
      </c>
      <c r="AI276" s="24" t="e">
        <f>SUMIFS(#REF!,#REF!,$B276,#REF!,AI$1)</f>
        <v>#REF!</v>
      </c>
      <c r="AJ276" s="24" t="e">
        <f>SUMIFS(#REF!,#REF!,$B276,#REF!,AJ$1)</f>
        <v>#REF!</v>
      </c>
      <c r="AK276" s="24" t="e">
        <f>SUMIFS(#REF!,#REF!,$B276,#REF!,AK$1)</f>
        <v>#REF!</v>
      </c>
      <c r="AL276" s="24" t="e">
        <f>SUMIFS(#REF!,#REF!,$B276,#REF!,AL$1)</f>
        <v>#REF!</v>
      </c>
      <c r="AM276" s="24" t="e">
        <f>SUMIFS(#REF!,#REF!,$B276,#REF!,AM$1)</f>
        <v>#REF!</v>
      </c>
      <c r="AN276" s="24" t="e">
        <f>SUMIFS(#REF!,#REF!,$B276,#REF!,AN$1)</f>
        <v>#REF!</v>
      </c>
      <c r="AO276" s="24" t="e">
        <f>SUMIFS(#REF!,#REF!,$B276,#REF!,AO$1)</f>
        <v>#REF!</v>
      </c>
      <c r="AP276" s="24" t="e">
        <f>SUMIFS(#REF!,#REF!,$B276,#REF!,AP$1)</f>
        <v>#REF!</v>
      </c>
      <c r="AQ276" s="24" t="e">
        <f>SUMIFS(#REF!,#REF!,$B276,#REF!,AQ$1)</f>
        <v>#REF!</v>
      </c>
      <c r="AR276" s="24" t="e">
        <f>SUMIFS(#REF!,#REF!,$B276,#REF!,AR$1)</f>
        <v>#REF!</v>
      </c>
      <c r="AS276" s="24" t="e">
        <f>SUMIFS(#REF!,#REF!,$B276,#REF!,AS$1)</f>
        <v>#REF!</v>
      </c>
      <c r="AT276" s="24" t="e">
        <f>SUMIFS(#REF!,#REF!,$B276,#REF!,AT$1)</f>
        <v>#REF!</v>
      </c>
      <c r="AU276" s="24" t="e">
        <f>SUMIFS(#REF!,#REF!,$B276,#REF!,AU$1)</f>
        <v>#REF!</v>
      </c>
      <c r="AV276" s="24" t="e">
        <f>SUMIFS(#REF!,#REF!,$B276,#REF!,AV$1)</f>
        <v>#REF!</v>
      </c>
      <c r="AW276" s="24" t="e">
        <f>SUMIFS(#REF!,#REF!,$B276,#REF!,AW$1)</f>
        <v>#REF!</v>
      </c>
      <c r="AX276" s="24" t="e">
        <f>SUMIFS(#REF!,#REF!,$B276,#REF!,AX$1)</f>
        <v>#REF!</v>
      </c>
      <c r="AY276" s="24" t="e">
        <f>SUMIFS(#REF!,#REF!,$B276,#REF!,AY$1)</f>
        <v>#REF!</v>
      </c>
      <c r="AZ276" s="24" t="e">
        <f>SUMIFS(#REF!,#REF!,$B276,#REF!,AZ$1)</f>
        <v>#REF!</v>
      </c>
      <c r="BA276" s="24" t="e">
        <f>SUMIFS(#REF!,#REF!,$B276,#REF!,BA$1)</f>
        <v>#REF!</v>
      </c>
      <c r="BB276" s="24" t="e">
        <f>SUMIFS(#REF!,#REF!,$B276,#REF!,BB$1)</f>
        <v>#REF!</v>
      </c>
      <c r="BC276" s="24" t="e">
        <f>SUMIFS(#REF!,#REF!,$B276,#REF!,BC$1)</f>
        <v>#REF!</v>
      </c>
      <c r="BD276" s="24" t="e">
        <f>SUMIFS(#REF!,#REF!,$B276,#REF!,BD$1)</f>
        <v>#REF!</v>
      </c>
      <c r="BE276" s="24" t="e">
        <f>SUMIFS(#REF!,#REF!,$B276,#REF!,BE$1)</f>
        <v>#REF!</v>
      </c>
      <c r="BF276" s="24" t="e">
        <f>SUMIFS(#REF!,#REF!,$B276,#REF!,BF$1)</f>
        <v>#REF!</v>
      </c>
      <c r="BG276" s="24" t="e">
        <f>SUMIFS(#REF!,#REF!,$B276,#REF!,BG$1)</f>
        <v>#REF!</v>
      </c>
      <c r="BH276" s="24" t="e">
        <f>SUMIFS(#REF!,#REF!,$B276,#REF!,BH$1)</f>
        <v>#REF!</v>
      </c>
      <c r="BI276" s="24" t="e">
        <f>SUMIFS(#REF!,#REF!,$B276,#REF!,BI$1)</f>
        <v>#REF!</v>
      </c>
      <c r="BJ276" s="24" t="e">
        <f>SUMIFS(#REF!,#REF!,$B276,#REF!,BJ$1)</f>
        <v>#REF!</v>
      </c>
      <c r="BK276" s="24" t="e">
        <f>SUMIFS(#REF!,#REF!,$B276,#REF!,BK$1)</f>
        <v>#REF!</v>
      </c>
      <c r="BL276" s="24" t="e">
        <f>SUMIFS(#REF!,#REF!,$B276,#REF!,BL$1)</f>
        <v>#REF!</v>
      </c>
      <c r="BM276" s="24" t="e">
        <f>SUMIFS(#REF!,#REF!,$B276,#REF!,BM$1)</f>
        <v>#REF!</v>
      </c>
      <c r="BN276" s="24" t="e">
        <f>SUMIFS(#REF!,#REF!,$B276,#REF!,BN$1)</f>
        <v>#REF!</v>
      </c>
      <c r="BO276" s="24" t="e">
        <f>SUMIFS(#REF!,#REF!,$B276,#REF!,BO$1)</f>
        <v>#REF!</v>
      </c>
      <c r="BP276" s="24" t="e">
        <f>SUMIFS(#REF!,#REF!,$B276,#REF!,BP$1)</f>
        <v>#REF!</v>
      </c>
      <c r="BQ276" s="24" t="e">
        <f>SUMIFS(#REF!,#REF!,$B276,#REF!,BQ$1)</f>
        <v>#REF!</v>
      </c>
      <c r="BR276" s="24" t="e">
        <f>SUMIFS(#REF!,#REF!,$B276,#REF!,BR$1)</f>
        <v>#REF!</v>
      </c>
      <c r="BS276" s="24" t="e">
        <f>SUMIFS(#REF!,#REF!,$B276,#REF!,BS$1)</f>
        <v>#REF!</v>
      </c>
      <c r="BT276" s="24" t="e">
        <f>SUMIFS(#REF!,#REF!,$B276,#REF!,BT$1)</f>
        <v>#REF!</v>
      </c>
      <c r="BU276" s="24" t="e">
        <f>SUMIFS(#REF!,#REF!,$B276,#REF!,BU$1)</f>
        <v>#REF!</v>
      </c>
      <c r="BV276" s="24" t="e">
        <f>SUMIFS(#REF!,#REF!,$B276,#REF!,BV$1)</f>
        <v>#REF!</v>
      </c>
      <c r="BW276" s="24" t="e">
        <f>SUMIFS(#REF!,#REF!,$B276,#REF!,BW$1)</f>
        <v>#REF!</v>
      </c>
      <c r="BX276" s="24" t="e">
        <f>SUMIFS(#REF!,#REF!,$B276,#REF!,BX$1)</f>
        <v>#REF!</v>
      </c>
      <c r="BY276" s="24" t="e">
        <f>SUMIFS(#REF!,#REF!,$B276,#REF!,BY$1)</f>
        <v>#REF!</v>
      </c>
      <c r="BZ276" s="24" t="e">
        <f>SUMIFS(#REF!,#REF!,$B276,#REF!,BZ$1)</f>
        <v>#REF!</v>
      </c>
      <c r="CA276" s="24" t="e">
        <f>SUMIFS(#REF!,#REF!,$B276,#REF!,CA$1)</f>
        <v>#REF!</v>
      </c>
      <c r="CB276" s="24" t="e">
        <f>SUMIFS(#REF!,#REF!,$B276,#REF!,CB$1)</f>
        <v>#REF!</v>
      </c>
      <c r="CC276" s="24" t="e">
        <f>SUMIFS(#REF!,#REF!,$B276,#REF!,CC$1)</f>
        <v>#REF!</v>
      </c>
      <c r="CD276" s="24" t="e">
        <f>SUMIFS(#REF!,#REF!,$B276,#REF!,CD$1)</f>
        <v>#REF!</v>
      </c>
      <c r="CE276" s="24" t="e">
        <f>SUMIFS(#REF!,#REF!,$B276,#REF!,CE$1)</f>
        <v>#REF!</v>
      </c>
      <c r="CF276" s="24" t="e">
        <f>SUMIFS(#REF!,#REF!,$B276,#REF!,CF$1)</f>
        <v>#REF!</v>
      </c>
      <c r="CG276" s="19" t="e">
        <f t="shared" si="4"/>
        <v>#REF!</v>
      </c>
    </row>
    <row r="277" spans="1:85" x14ac:dyDescent="0.45">
      <c r="A277" s="4" t="s">
        <v>1525</v>
      </c>
      <c r="B277" s="4" t="s">
        <v>1526</v>
      </c>
      <c r="C277" s="24" t="e">
        <f>SUMIFS(#REF!,#REF!,$B277,#REF!,C$1)</f>
        <v>#REF!</v>
      </c>
      <c r="D277" s="24" t="e">
        <f>SUMIFS(#REF!,#REF!,$B277,#REF!,D$1)</f>
        <v>#REF!</v>
      </c>
      <c r="E277" s="24" t="e">
        <f>SUMIFS(#REF!,#REF!,$B277,#REF!,E$1)</f>
        <v>#REF!</v>
      </c>
      <c r="F277" s="24" t="e">
        <f>SUMIFS(#REF!,#REF!,$B277,#REF!,F$1)</f>
        <v>#REF!</v>
      </c>
      <c r="G277" s="24" t="e">
        <f>SUMIFS(#REF!,#REF!,$B277,#REF!,G$1)</f>
        <v>#REF!</v>
      </c>
      <c r="H277" s="24" t="e">
        <f>SUMIFS(#REF!,#REF!,$B277,#REF!,H$1)</f>
        <v>#REF!</v>
      </c>
      <c r="I277" s="24" t="e">
        <f>SUMIFS(#REF!,#REF!,$B277,#REF!,I$1)</f>
        <v>#REF!</v>
      </c>
      <c r="J277" s="24" t="e">
        <f>SUMIFS(#REF!,#REF!,$B277,#REF!,J$1)</f>
        <v>#REF!</v>
      </c>
      <c r="K277" s="24" t="e">
        <f>SUMIFS(#REF!,#REF!,$B277,#REF!,K$1)</f>
        <v>#REF!</v>
      </c>
      <c r="L277" s="24" t="e">
        <f>SUMIFS(#REF!,#REF!,$B277,#REF!,L$1)</f>
        <v>#REF!</v>
      </c>
      <c r="M277" s="24" t="e">
        <f>SUMIFS(#REF!,#REF!,$B277,#REF!,M$1)</f>
        <v>#REF!</v>
      </c>
      <c r="N277" s="24" t="e">
        <f>SUMIFS(#REF!,#REF!,$B277,#REF!,N$1)</f>
        <v>#REF!</v>
      </c>
      <c r="O277" s="24" t="e">
        <f>SUMIFS(#REF!,#REF!,$B277,#REF!,O$1)</f>
        <v>#REF!</v>
      </c>
      <c r="P277" s="24" t="e">
        <f>SUMIFS(#REF!,#REF!,$B277,#REF!,P$1)</f>
        <v>#REF!</v>
      </c>
      <c r="Q277" s="24" t="e">
        <f>SUMIFS(#REF!,#REF!,$B277,#REF!,Q$1)</f>
        <v>#REF!</v>
      </c>
      <c r="R277" s="24" t="e">
        <f>SUMIFS(#REF!,#REF!,$B277,#REF!,R$1)</f>
        <v>#REF!</v>
      </c>
      <c r="S277" s="24" t="e">
        <f>SUMIFS(#REF!,#REF!,$B277,#REF!,S$1)</f>
        <v>#REF!</v>
      </c>
      <c r="T277" s="24" t="e">
        <f>SUMIFS(#REF!,#REF!,$B277,#REF!,T$1)</f>
        <v>#REF!</v>
      </c>
      <c r="U277" s="24" t="e">
        <f>SUMIFS(#REF!,#REF!,$B277,#REF!,U$1)</f>
        <v>#REF!</v>
      </c>
      <c r="V277" s="24" t="e">
        <f>SUMIFS(#REF!,#REF!,$B277,#REF!,V$1)</f>
        <v>#REF!</v>
      </c>
      <c r="W277" s="24" t="e">
        <f>SUMIFS(#REF!,#REF!,$B277,#REF!,W$1)</f>
        <v>#REF!</v>
      </c>
      <c r="X277" s="24" t="e">
        <f>SUMIFS(#REF!,#REF!,$B277,#REF!,X$1)</f>
        <v>#REF!</v>
      </c>
      <c r="Y277" s="24" t="e">
        <f>SUMIFS(#REF!,#REF!,$B277,#REF!,Y$1)</f>
        <v>#REF!</v>
      </c>
      <c r="Z277" s="24" t="e">
        <f>SUMIFS(#REF!,#REF!,$B277,#REF!,Z$1)</f>
        <v>#REF!</v>
      </c>
      <c r="AA277" s="24" t="e">
        <f>SUMIFS(#REF!,#REF!,$B277,#REF!,AA$1)</f>
        <v>#REF!</v>
      </c>
      <c r="AB277" s="24" t="e">
        <f>SUMIFS(#REF!,#REF!,$B277,#REF!,AB$1)</f>
        <v>#REF!</v>
      </c>
      <c r="AC277" s="24" t="e">
        <f>SUMIFS(#REF!,#REF!,$B277,#REF!,AC$1)</f>
        <v>#REF!</v>
      </c>
      <c r="AD277" s="24" t="e">
        <f>SUMIFS(#REF!,#REF!,$B277,#REF!,AD$1)</f>
        <v>#REF!</v>
      </c>
      <c r="AE277" s="24" t="e">
        <f>SUMIFS(#REF!,#REF!,$B277,#REF!,AE$1)</f>
        <v>#REF!</v>
      </c>
      <c r="AF277" s="24" t="e">
        <f>SUMIFS(#REF!,#REF!,$B277,#REF!,AF$1)</f>
        <v>#REF!</v>
      </c>
      <c r="AG277" s="24" t="e">
        <f>SUMIFS(#REF!,#REF!,$B277,#REF!,AG$1)</f>
        <v>#REF!</v>
      </c>
      <c r="AH277" s="24" t="e">
        <f>SUMIFS(#REF!,#REF!,$B277,#REF!,AH$1)</f>
        <v>#REF!</v>
      </c>
      <c r="AI277" s="24" t="e">
        <f>SUMIFS(#REF!,#REF!,$B277,#REF!,AI$1)</f>
        <v>#REF!</v>
      </c>
      <c r="AJ277" s="24" t="e">
        <f>SUMIFS(#REF!,#REF!,$B277,#REF!,AJ$1)</f>
        <v>#REF!</v>
      </c>
      <c r="AK277" s="24" t="e">
        <f>SUMIFS(#REF!,#REF!,$B277,#REF!,AK$1)</f>
        <v>#REF!</v>
      </c>
      <c r="AL277" s="24" t="e">
        <f>SUMIFS(#REF!,#REF!,$B277,#REF!,AL$1)</f>
        <v>#REF!</v>
      </c>
      <c r="AM277" s="24" t="e">
        <f>SUMIFS(#REF!,#REF!,$B277,#REF!,AM$1)</f>
        <v>#REF!</v>
      </c>
      <c r="AN277" s="24" t="e">
        <f>SUMIFS(#REF!,#REF!,$B277,#REF!,AN$1)</f>
        <v>#REF!</v>
      </c>
      <c r="AO277" s="24" t="e">
        <f>SUMIFS(#REF!,#REF!,$B277,#REF!,AO$1)</f>
        <v>#REF!</v>
      </c>
      <c r="AP277" s="24" t="e">
        <f>SUMIFS(#REF!,#REF!,$B277,#REF!,AP$1)</f>
        <v>#REF!</v>
      </c>
      <c r="AQ277" s="24" t="e">
        <f>SUMIFS(#REF!,#REF!,$B277,#REF!,AQ$1)</f>
        <v>#REF!</v>
      </c>
      <c r="AR277" s="24" t="e">
        <f>SUMIFS(#REF!,#REF!,$B277,#REF!,AR$1)</f>
        <v>#REF!</v>
      </c>
      <c r="AS277" s="24" t="e">
        <f>SUMIFS(#REF!,#REF!,$B277,#REF!,AS$1)</f>
        <v>#REF!</v>
      </c>
      <c r="AT277" s="24" t="e">
        <f>SUMIFS(#REF!,#REF!,$B277,#REF!,AT$1)</f>
        <v>#REF!</v>
      </c>
      <c r="AU277" s="24" t="e">
        <f>SUMIFS(#REF!,#REF!,$B277,#REF!,AU$1)</f>
        <v>#REF!</v>
      </c>
      <c r="AV277" s="24" t="e">
        <f>SUMIFS(#REF!,#REF!,$B277,#REF!,AV$1)</f>
        <v>#REF!</v>
      </c>
      <c r="AW277" s="24" t="e">
        <f>SUMIFS(#REF!,#REF!,$B277,#REF!,AW$1)</f>
        <v>#REF!</v>
      </c>
      <c r="AX277" s="24" t="e">
        <f>SUMIFS(#REF!,#REF!,$B277,#REF!,AX$1)</f>
        <v>#REF!</v>
      </c>
      <c r="AY277" s="24" t="e">
        <f>SUMIFS(#REF!,#REF!,$B277,#REF!,AY$1)</f>
        <v>#REF!</v>
      </c>
      <c r="AZ277" s="24" t="e">
        <f>SUMIFS(#REF!,#REF!,$B277,#REF!,AZ$1)</f>
        <v>#REF!</v>
      </c>
      <c r="BA277" s="24" t="e">
        <f>SUMIFS(#REF!,#REF!,$B277,#REF!,BA$1)</f>
        <v>#REF!</v>
      </c>
      <c r="BB277" s="24" t="e">
        <f>SUMIFS(#REF!,#REF!,$B277,#REF!,BB$1)</f>
        <v>#REF!</v>
      </c>
      <c r="BC277" s="24" t="e">
        <f>SUMIFS(#REF!,#REF!,$B277,#REF!,BC$1)</f>
        <v>#REF!</v>
      </c>
      <c r="BD277" s="24" t="e">
        <f>SUMIFS(#REF!,#REF!,$B277,#REF!,BD$1)</f>
        <v>#REF!</v>
      </c>
      <c r="BE277" s="24" t="e">
        <f>SUMIFS(#REF!,#REF!,$B277,#REF!,BE$1)</f>
        <v>#REF!</v>
      </c>
      <c r="BF277" s="24" t="e">
        <f>SUMIFS(#REF!,#REF!,$B277,#REF!,BF$1)</f>
        <v>#REF!</v>
      </c>
      <c r="BG277" s="24" t="e">
        <f>SUMIFS(#REF!,#REF!,$B277,#REF!,BG$1)</f>
        <v>#REF!</v>
      </c>
      <c r="BH277" s="24" t="e">
        <f>SUMIFS(#REF!,#REF!,$B277,#REF!,BH$1)</f>
        <v>#REF!</v>
      </c>
      <c r="BI277" s="24" t="e">
        <f>SUMIFS(#REF!,#REF!,$B277,#REF!,BI$1)</f>
        <v>#REF!</v>
      </c>
      <c r="BJ277" s="24" t="e">
        <f>SUMIFS(#REF!,#REF!,$B277,#REF!,BJ$1)</f>
        <v>#REF!</v>
      </c>
      <c r="BK277" s="24" t="e">
        <f>SUMIFS(#REF!,#REF!,$B277,#REF!,BK$1)</f>
        <v>#REF!</v>
      </c>
      <c r="BL277" s="24" t="e">
        <f>SUMIFS(#REF!,#REF!,$B277,#REF!,BL$1)</f>
        <v>#REF!</v>
      </c>
      <c r="BM277" s="24" t="e">
        <f>SUMIFS(#REF!,#REF!,$B277,#REF!,BM$1)</f>
        <v>#REF!</v>
      </c>
      <c r="BN277" s="24" t="e">
        <f>SUMIFS(#REF!,#REF!,$B277,#REF!,BN$1)</f>
        <v>#REF!</v>
      </c>
      <c r="BO277" s="24" t="e">
        <f>SUMIFS(#REF!,#REF!,$B277,#REF!,BO$1)</f>
        <v>#REF!</v>
      </c>
      <c r="BP277" s="24" t="e">
        <f>SUMIFS(#REF!,#REF!,$B277,#REF!,BP$1)</f>
        <v>#REF!</v>
      </c>
      <c r="BQ277" s="24" t="e">
        <f>SUMIFS(#REF!,#REF!,$B277,#REF!,BQ$1)</f>
        <v>#REF!</v>
      </c>
      <c r="BR277" s="24" t="e">
        <f>SUMIFS(#REF!,#REF!,$B277,#REF!,BR$1)</f>
        <v>#REF!</v>
      </c>
      <c r="BS277" s="24" t="e">
        <f>SUMIFS(#REF!,#REF!,$B277,#REF!,BS$1)</f>
        <v>#REF!</v>
      </c>
      <c r="BT277" s="24" t="e">
        <f>SUMIFS(#REF!,#REF!,$B277,#REF!,BT$1)</f>
        <v>#REF!</v>
      </c>
      <c r="BU277" s="24" t="e">
        <f>SUMIFS(#REF!,#REF!,$B277,#REF!,BU$1)</f>
        <v>#REF!</v>
      </c>
      <c r="BV277" s="24" t="e">
        <f>SUMIFS(#REF!,#REF!,$B277,#REF!,BV$1)</f>
        <v>#REF!</v>
      </c>
      <c r="BW277" s="24" t="e">
        <f>SUMIFS(#REF!,#REF!,$B277,#REF!,BW$1)</f>
        <v>#REF!</v>
      </c>
      <c r="BX277" s="24" t="e">
        <f>SUMIFS(#REF!,#REF!,$B277,#REF!,BX$1)</f>
        <v>#REF!</v>
      </c>
      <c r="BY277" s="24" t="e">
        <f>SUMIFS(#REF!,#REF!,$B277,#REF!,BY$1)</f>
        <v>#REF!</v>
      </c>
      <c r="BZ277" s="24" t="e">
        <f>SUMIFS(#REF!,#REF!,$B277,#REF!,BZ$1)</f>
        <v>#REF!</v>
      </c>
      <c r="CA277" s="24" t="e">
        <f>SUMIFS(#REF!,#REF!,$B277,#REF!,CA$1)</f>
        <v>#REF!</v>
      </c>
      <c r="CB277" s="24" t="e">
        <f>SUMIFS(#REF!,#REF!,$B277,#REF!,CB$1)</f>
        <v>#REF!</v>
      </c>
      <c r="CC277" s="24" t="e">
        <f>SUMIFS(#REF!,#REF!,$B277,#REF!,CC$1)</f>
        <v>#REF!</v>
      </c>
      <c r="CD277" s="24" t="e">
        <f>SUMIFS(#REF!,#REF!,$B277,#REF!,CD$1)</f>
        <v>#REF!</v>
      </c>
      <c r="CE277" s="24" t="e">
        <f>SUMIFS(#REF!,#REF!,$B277,#REF!,CE$1)</f>
        <v>#REF!</v>
      </c>
      <c r="CF277" s="24" t="e">
        <f>SUMIFS(#REF!,#REF!,$B277,#REF!,CF$1)</f>
        <v>#REF!</v>
      </c>
      <c r="CG277" s="19" t="e">
        <f t="shared" si="4"/>
        <v>#REF!</v>
      </c>
    </row>
    <row r="278" spans="1:85" x14ac:dyDescent="0.45">
      <c r="A278" s="4" t="s">
        <v>1527</v>
      </c>
      <c r="B278" s="4" t="s">
        <v>1528</v>
      </c>
      <c r="C278" s="24" t="e">
        <f>SUMIFS(#REF!,#REF!,$B278,#REF!,C$1)</f>
        <v>#REF!</v>
      </c>
      <c r="D278" s="24" t="e">
        <f>SUMIFS(#REF!,#REF!,$B278,#REF!,D$1)</f>
        <v>#REF!</v>
      </c>
      <c r="E278" s="24" t="e">
        <f>SUMIFS(#REF!,#REF!,$B278,#REF!,E$1)</f>
        <v>#REF!</v>
      </c>
      <c r="F278" s="24" t="e">
        <f>SUMIFS(#REF!,#REF!,$B278,#REF!,F$1)</f>
        <v>#REF!</v>
      </c>
      <c r="G278" s="24" t="e">
        <f>SUMIFS(#REF!,#REF!,$B278,#REF!,G$1)</f>
        <v>#REF!</v>
      </c>
      <c r="H278" s="24" t="e">
        <f>SUMIFS(#REF!,#REF!,$B278,#REF!,H$1)</f>
        <v>#REF!</v>
      </c>
      <c r="I278" s="24" t="e">
        <f>SUMIFS(#REF!,#REF!,$B278,#REF!,I$1)</f>
        <v>#REF!</v>
      </c>
      <c r="J278" s="24" t="e">
        <f>SUMIFS(#REF!,#REF!,$B278,#REF!,J$1)</f>
        <v>#REF!</v>
      </c>
      <c r="K278" s="24" t="e">
        <f>SUMIFS(#REF!,#REF!,$B278,#REF!,K$1)</f>
        <v>#REF!</v>
      </c>
      <c r="L278" s="24" t="e">
        <f>SUMIFS(#REF!,#REF!,$B278,#REF!,L$1)</f>
        <v>#REF!</v>
      </c>
      <c r="M278" s="24" t="e">
        <f>SUMIFS(#REF!,#REF!,$B278,#REF!,M$1)</f>
        <v>#REF!</v>
      </c>
      <c r="N278" s="24" t="e">
        <f>SUMIFS(#REF!,#REF!,$B278,#REF!,N$1)</f>
        <v>#REF!</v>
      </c>
      <c r="O278" s="24" t="e">
        <f>SUMIFS(#REF!,#REF!,$B278,#REF!,O$1)</f>
        <v>#REF!</v>
      </c>
      <c r="P278" s="24" t="e">
        <f>SUMIFS(#REF!,#REF!,$B278,#REF!,P$1)</f>
        <v>#REF!</v>
      </c>
      <c r="Q278" s="24" t="e">
        <f>SUMIFS(#REF!,#REF!,$B278,#REF!,Q$1)</f>
        <v>#REF!</v>
      </c>
      <c r="R278" s="24" t="e">
        <f>SUMIFS(#REF!,#REF!,$B278,#REF!,R$1)</f>
        <v>#REF!</v>
      </c>
      <c r="S278" s="24" t="e">
        <f>SUMIFS(#REF!,#REF!,$B278,#REF!,S$1)</f>
        <v>#REF!</v>
      </c>
      <c r="T278" s="24" t="e">
        <f>SUMIFS(#REF!,#REF!,$B278,#REF!,T$1)</f>
        <v>#REF!</v>
      </c>
      <c r="U278" s="24" t="e">
        <f>SUMIFS(#REF!,#REF!,$B278,#REF!,U$1)</f>
        <v>#REF!</v>
      </c>
      <c r="V278" s="24" t="e">
        <f>SUMIFS(#REF!,#REF!,$B278,#REF!,V$1)</f>
        <v>#REF!</v>
      </c>
      <c r="W278" s="24" t="e">
        <f>SUMIFS(#REF!,#REF!,$B278,#REF!,W$1)</f>
        <v>#REF!</v>
      </c>
      <c r="X278" s="24" t="e">
        <f>SUMIFS(#REF!,#REF!,$B278,#REF!,X$1)</f>
        <v>#REF!</v>
      </c>
      <c r="Y278" s="24" t="e">
        <f>SUMIFS(#REF!,#REF!,$B278,#REF!,Y$1)</f>
        <v>#REF!</v>
      </c>
      <c r="Z278" s="24" t="e">
        <f>SUMIFS(#REF!,#REF!,$B278,#REF!,Z$1)</f>
        <v>#REF!</v>
      </c>
      <c r="AA278" s="24" t="e">
        <f>SUMIFS(#REF!,#REF!,$B278,#REF!,AA$1)</f>
        <v>#REF!</v>
      </c>
      <c r="AB278" s="24" t="e">
        <f>SUMIFS(#REF!,#REF!,$B278,#REF!,AB$1)</f>
        <v>#REF!</v>
      </c>
      <c r="AC278" s="24" t="e">
        <f>SUMIFS(#REF!,#REF!,$B278,#REF!,AC$1)</f>
        <v>#REF!</v>
      </c>
      <c r="AD278" s="24" t="e">
        <f>SUMIFS(#REF!,#REF!,$B278,#REF!,AD$1)</f>
        <v>#REF!</v>
      </c>
      <c r="AE278" s="24" t="e">
        <f>SUMIFS(#REF!,#REF!,$B278,#REF!,AE$1)</f>
        <v>#REF!</v>
      </c>
      <c r="AF278" s="24" t="e">
        <f>SUMIFS(#REF!,#REF!,$B278,#REF!,AF$1)</f>
        <v>#REF!</v>
      </c>
      <c r="AG278" s="24" t="e">
        <f>SUMIFS(#REF!,#REF!,$B278,#REF!,AG$1)</f>
        <v>#REF!</v>
      </c>
      <c r="AH278" s="24" t="e">
        <f>SUMIFS(#REF!,#REF!,$B278,#REF!,AH$1)</f>
        <v>#REF!</v>
      </c>
      <c r="AI278" s="24" t="e">
        <f>SUMIFS(#REF!,#REF!,$B278,#REF!,AI$1)</f>
        <v>#REF!</v>
      </c>
      <c r="AJ278" s="24" t="e">
        <f>SUMIFS(#REF!,#REF!,$B278,#REF!,AJ$1)</f>
        <v>#REF!</v>
      </c>
      <c r="AK278" s="24" t="e">
        <f>SUMIFS(#REF!,#REF!,$B278,#REF!,AK$1)</f>
        <v>#REF!</v>
      </c>
      <c r="AL278" s="24" t="e">
        <f>SUMIFS(#REF!,#REF!,$B278,#REF!,AL$1)</f>
        <v>#REF!</v>
      </c>
      <c r="AM278" s="24" t="e">
        <f>SUMIFS(#REF!,#REF!,$B278,#REF!,AM$1)</f>
        <v>#REF!</v>
      </c>
      <c r="AN278" s="24" t="e">
        <f>SUMIFS(#REF!,#REF!,$B278,#REF!,AN$1)</f>
        <v>#REF!</v>
      </c>
      <c r="AO278" s="24" t="e">
        <f>SUMIFS(#REF!,#REF!,$B278,#REF!,AO$1)</f>
        <v>#REF!</v>
      </c>
      <c r="AP278" s="24" t="e">
        <f>SUMIFS(#REF!,#REF!,$B278,#REF!,AP$1)</f>
        <v>#REF!</v>
      </c>
      <c r="AQ278" s="24" t="e">
        <f>SUMIFS(#REF!,#REF!,$B278,#REF!,AQ$1)</f>
        <v>#REF!</v>
      </c>
      <c r="AR278" s="24" t="e">
        <f>SUMIFS(#REF!,#REF!,$B278,#REF!,AR$1)</f>
        <v>#REF!</v>
      </c>
      <c r="AS278" s="24" t="e">
        <f>SUMIFS(#REF!,#REF!,$B278,#REF!,AS$1)</f>
        <v>#REF!</v>
      </c>
      <c r="AT278" s="24" t="e">
        <f>SUMIFS(#REF!,#REF!,$B278,#REF!,AT$1)</f>
        <v>#REF!</v>
      </c>
      <c r="AU278" s="24" t="e">
        <f>SUMIFS(#REF!,#REF!,$B278,#REF!,AU$1)</f>
        <v>#REF!</v>
      </c>
      <c r="AV278" s="24" t="e">
        <f>SUMIFS(#REF!,#REF!,$B278,#REF!,AV$1)</f>
        <v>#REF!</v>
      </c>
      <c r="AW278" s="24" t="e">
        <f>SUMIFS(#REF!,#REF!,$B278,#REF!,AW$1)</f>
        <v>#REF!</v>
      </c>
      <c r="AX278" s="24" t="e">
        <f>SUMIFS(#REF!,#REF!,$B278,#REF!,AX$1)</f>
        <v>#REF!</v>
      </c>
      <c r="AY278" s="24" t="e">
        <f>SUMIFS(#REF!,#REF!,$B278,#REF!,AY$1)</f>
        <v>#REF!</v>
      </c>
      <c r="AZ278" s="24" t="e">
        <f>SUMIFS(#REF!,#REF!,$B278,#REF!,AZ$1)</f>
        <v>#REF!</v>
      </c>
      <c r="BA278" s="24" t="e">
        <f>SUMIFS(#REF!,#REF!,$B278,#REF!,BA$1)</f>
        <v>#REF!</v>
      </c>
      <c r="BB278" s="24" t="e">
        <f>SUMIFS(#REF!,#REF!,$B278,#REF!,BB$1)</f>
        <v>#REF!</v>
      </c>
      <c r="BC278" s="24" t="e">
        <f>SUMIFS(#REF!,#REF!,$B278,#REF!,BC$1)</f>
        <v>#REF!</v>
      </c>
      <c r="BD278" s="24" t="e">
        <f>SUMIFS(#REF!,#REF!,$B278,#REF!,BD$1)</f>
        <v>#REF!</v>
      </c>
      <c r="BE278" s="24" t="e">
        <f>SUMIFS(#REF!,#REF!,$B278,#REF!,BE$1)</f>
        <v>#REF!</v>
      </c>
      <c r="BF278" s="24" t="e">
        <f>SUMIFS(#REF!,#REF!,$B278,#REF!,BF$1)</f>
        <v>#REF!</v>
      </c>
      <c r="BG278" s="24" t="e">
        <f>SUMIFS(#REF!,#REF!,$B278,#REF!,BG$1)</f>
        <v>#REF!</v>
      </c>
      <c r="BH278" s="24" t="e">
        <f>SUMIFS(#REF!,#REF!,$B278,#REF!,BH$1)</f>
        <v>#REF!</v>
      </c>
      <c r="BI278" s="24" t="e">
        <f>SUMIFS(#REF!,#REF!,$B278,#REF!,BI$1)</f>
        <v>#REF!</v>
      </c>
      <c r="BJ278" s="24" t="e">
        <f>SUMIFS(#REF!,#REF!,$B278,#REF!,BJ$1)</f>
        <v>#REF!</v>
      </c>
      <c r="BK278" s="24" t="e">
        <f>SUMIFS(#REF!,#REF!,$B278,#REF!,BK$1)</f>
        <v>#REF!</v>
      </c>
      <c r="BL278" s="24" t="e">
        <f>SUMIFS(#REF!,#REF!,$B278,#REF!,BL$1)</f>
        <v>#REF!</v>
      </c>
      <c r="BM278" s="24" t="e">
        <f>SUMIFS(#REF!,#REF!,$B278,#REF!,BM$1)</f>
        <v>#REF!</v>
      </c>
      <c r="BN278" s="24" t="e">
        <f>SUMIFS(#REF!,#REF!,$B278,#REF!,BN$1)</f>
        <v>#REF!</v>
      </c>
      <c r="BO278" s="24" t="e">
        <f>SUMIFS(#REF!,#REF!,$B278,#REF!,BO$1)</f>
        <v>#REF!</v>
      </c>
      <c r="BP278" s="24" t="e">
        <f>SUMIFS(#REF!,#REF!,$B278,#REF!,BP$1)</f>
        <v>#REF!</v>
      </c>
      <c r="BQ278" s="24" t="e">
        <f>SUMIFS(#REF!,#REF!,$B278,#REF!,BQ$1)</f>
        <v>#REF!</v>
      </c>
      <c r="BR278" s="24" t="e">
        <f>SUMIFS(#REF!,#REF!,$B278,#REF!,BR$1)</f>
        <v>#REF!</v>
      </c>
      <c r="BS278" s="24" t="e">
        <f>SUMIFS(#REF!,#REF!,$B278,#REF!,BS$1)</f>
        <v>#REF!</v>
      </c>
      <c r="BT278" s="24" t="e">
        <f>SUMIFS(#REF!,#REF!,$B278,#REF!,BT$1)</f>
        <v>#REF!</v>
      </c>
      <c r="BU278" s="24" t="e">
        <f>SUMIFS(#REF!,#REF!,$B278,#REF!,BU$1)</f>
        <v>#REF!</v>
      </c>
      <c r="BV278" s="24" t="e">
        <f>SUMIFS(#REF!,#REF!,$B278,#REF!,BV$1)</f>
        <v>#REF!</v>
      </c>
      <c r="BW278" s="24" t="e">
        <f>SUMIFS(#REF!,#REF!,$B278,#REF!,BW$1)</f>
        <v>#REF!</v>
      </c>
      <c r="BX278" s="24" t="e">
        <f>SUMIFS(#REF!,#REF!,$B278,#REF!,BX$1)</f>
        <v>#REF!</v>
      </c>
      <c r="BY278" s="24" t="e">
        <f>SUMIFS(#REF!,#REF!,$B278,#REF!,BY$1)</f>
        <v>#REF!</v>
      </c>
      <c r="BZ278" s="24" t="e">
        <f>SUMIFS(#REF!,#REF!,$B278,#REF!,BZ$1)</f>
        <v>#REF!</v>
      </c>
      <c r="CA278" s="24" t="e">
        <f>SUMIFS(#REF!,#REF!,$B278,#REF!,CA$1)</f>
        <v>#REF!</v>
      </c>
      <c r="CB278" s="24" t="e">
        <f>SUMIFS(#REF!,#REF!,$B278,#REF!,CB$1)</f>
        <v>#REF!</v>
      </c>
      <c r="CC278" s="24" t="e">
        <f>SUMIFS(#REF!,#REF!,$B278,#REF!,CC$1)</f>
        <v>#REF!</v>
      </c>
      <c r="CD278" s="24" t="e">
        <f>SUMIFS(#REF!,#REF!,$B278,#REF!,CD$1)</f>
        <v>#REF!</v>
      </c>
      <c r="CE278" s="24" t="e">
        <f>SUMIFS(#REF!,#REF!,$B278,#REF!,CE$1)</f>
        <v>#REF!</v>
      </c>
      <c r="CF278" s="24" t="e">
        <f>SUMIFS(#REF!,#REF!,$B278,#REF!,CF$1)</f>
        <v>#REF!</v>
      </c>
      <c r="CG278" s="19" t="e">
        <f t="shared" si="4"/>
        <v>#REF!</v>
      </c>
    </row>
    <row r="279" spans="1:85" x14ac:dyDescent="0.45">
      <c r="A279" s="4" t="s">
        <v>1529</v>
      </c>
      <c r="B279" s="4" t="s">
        <v>1530</v>
      </c>
      <c r="C279" s="24" t="e">
        <f>SUMIFS(#REF!,#REF!,$B279,#REF!,C$1)</f>
        <v>#REF!</v>
      </c>
      <c r="D279" s="24" t="e">
        <f>SUMIFS(#REF!,#REF!,$B279,#REF!,D$1)</f>
        <v>#REF!</v>
      </c>
      <c r="E279" s="24" t="e">
        <f>SUMIFS(#REF!,#REF!,$B279,#REF!,E$1)</f>
        <v>#REF!</v>
      </c>
      <c r="F279" s="24" t="e">
        <f>SUMIFS(#REF!,#REF!,$B279,#REF!,F$1)</f>
        <v>#REF!</v>
      </c>
      <c r="G279" s="24" t="e">
        <f>SUMIFS(#REF!,#REF!,$B279,#REF!,G$1)</f>
        <v>#REF!</v>
      </c>
      <c r="H279" s="24" t="e">
        <f>SUMIFS(#REF!,#REF!,$B279,#REF!,H$1)</f>
        <v>#REF!</v>
      </c>
      <c r="I279" s="24" t="e">
        <f>SUMIFS(#REF!,#REF!,$B279,#REF!,I$1)</f>
        <v>#REF!</v>
      </c>
      <c r="J279" s="24" t="e">
        <f>SUMIFS(#REF!,#REF!,$B279,#REF!,J$1)</f>
        <v>#REF!</v>
      </c>
      <c r="K279" s="24" t="e">
        <f>SUMIFS(#REF!,#REF!,$B279,#REF!,K$1)</f>
        <v>#REF!</v>
      </c>
      <c r="L279" s="24" t="e">
        <f>SUMIFS(#REF!,#REF!,$B279,#REF!,L$1)</f>
        <v>#REF!</v>
      </c>
      <c r="M279" s="24" t="e">
        <f>SUMIFS(#REF!,#REF!,$B279,#REF!,M$1)</f>
        <v>#REF!</v>
      </c>
      <c r="N279" s="24" t="e">
        <f>SUMIFS(#REF!,#REF!,$B279,#REF!,N$1)</f>
        <v>#REF!</v>
      </c>
      <c r="O279" s="24" t="e">
        <f>SUMIFS(#REF!,#REF!,$B279,#REF!,O$1)</f>
        <v>#REF!</v>
      </c>
      <c r="P279" s="24" t="e">
        <f>SUMIFS(#REF!,#REF!,$B279,#REF!,P$1)</f>
        <v>#REF!</v>
      </c>
      <c r="Q279" s="24" t="e">
        <f>SUMIFS(#REF!,#REF!,$B279,#REF!,Q$1)</f>
        <v>#REF!</v>
      </c>
      <c r="R279" s="24" t="e">
        <f>SUMIFS(#REF!,#REF!,$B279,#REF!,R$1)</f>
        <v>#REF!</v>
      </c>
      <c r="S279" s="24" t="e">
        <f>SUMIFS(#REF!,#REF!,$B279,#REF!,S$1)</f>
        <v>#REF!</v>
      </c>
      <c r="T279" s="24" t="e">
        <f>SUMIFS(#REF!,#REF!,$B279,#REF!,T$1)</f>
        <v>#REF!</v>
      </c>
      <c r="U279" s="24" t="e">
        <f>SUMIFS(#REF!,#REF!,$B279,#REF!,U$1)</f>
        <v>#REF!</v>
      </c>
      <c r="V279" s="24" t="e">
        <f>SUMIFS(#REF!,#REF!,$B279,#REF!,V$1)</f>
        <v>#REF!</v>
      </c>
      <c r="W279" s="24" t="e">
        <f>SUMIFS(#REF!,#REF!,$B279,#REF!,W$1)</f>
        <v>#REF!</v>
      </c>
      <c r="X279" s="24" t="e">
        <f>SUMIFS(#REF!,#REF!,$B279,#REF!,X$1)</f>
        <v>#REF!</v>
      </c>
      <c r="Y279" s="24" t="e">
        <f>SUMIFS(#REF!,#REF!,$B279,#REF!,Y$1)</f>
        <v>#REF!</v>
      </c>
      <c r="Z279" s="24" t="e">
        <f>SUMIFS(#REF!,#REF!,$B279,#REF!,Z$1)</f>
        <v>#REF!</v>
      </c>
      <c r="AA279" s="24" t="e">
        <f>SUMIFS(#REF!,#REF!,$B279,#REF!,AA$1)</f>
        <v>#REF!</v>
      </c>
      <c r="AB279" s="24" t="e">
        <f>SUMIFS(#REF!,#REF!,$B279,#REF!,AB$1)</f>
        <v>#REF!</v>
      </c>
      <c r="AC279" s="24" t="e">
        <f>SUMIFS(#REF!,#REF!,$B279,#REF!,AC$1)</f>
        <v>#REF!</v>
      </c>
      <c r="AD279" s="24" t="e">
        <f>SUMIFS(#REF!,#REF!,$B279,#REF!,AD$1)</f>
        <v>#REF!</v>
      </c>
      <c r="AE279" s="24" t="e">
        <f>SUMIFS(#REF!,#REF!,$B279,#REF!,AE$1)</f>
        <v>#REF!</v>
      </c>
      <c r="AF279" s="24" t="e">
        <f>SUMIFS(#REF!,#REF!,$B279,#REF!,AF$1)</f>
        <v>#REF!</v>
      </c>
      <c r="AG279" s="24" t="e">
        <f>SUMIFS(#REF!,#REF!,$B279,#REF!,AG$1)</f>
        <v>#REF!</v>
      </c>
      <c r="AH279" s="24" t="e">
        <f>SUMIFS(#REF!,#REF!,$B279,#REF!,AH$1)</f>
        <v>#REF!</v>
      </c>
      <c r="AI279" s="24" t="e">
        <f>SUMIFS(#REF!,#REF!,$B279,#REF!,AI$1)</f>
        <v>#REF!</v>
      </c>
      <c r="AJ279" s="24" t="e">
        <f>SUMIFS(#REF!,#REF!,$B279,#REF!,AJ$1)</f>
        <v>#REF!</v>
      </c>
      <c r="AK279" s="24" t="e">
        <f>SUMIFS(#REF!,#REF!,$B279,#REF!,AK$1)</f>
        <v>#REF!</v>
      </c>
      <c r="AL279" s="24" t="e">
        <f>SUMIFS(#REF!,#REF!,$B279,#REF!,AL$1)</f>
        <v>#REF!</v>
      </c>
      <c r="AM279" s="24" t="e">
        <f>SUMIFS(#REF!,#REF!,$B279,#REF!,AM$1)</f>
        <v>#REF!</v>
      </c>
      <c r="AN279" s="24" t="e">
        <f>SUMIFS(#REF!,#REF!,$B279,#REF!,AN$1)</f>
        <v>#REF!</v>
      </c>
      <c r="AO279" s="24" t="e">
        <f>SUMIFS(#REF!,#REF!,$B279,#REF!,AO$1)</f>
        <v>#REF!</v>
      </c>
      <c r="AP279" s="24" t="e">
        <f>SUMIFS(#REF!,#REF!,$B279,#REF!,AP$1)</f>
        <v>#REF!</v>
      </c>
      <c r="AQ279" s="24" t="e">
        <f>SUMIFS(#REF!,#REF!,$B279,#REF!,AQ$1)</f>
        <v>#REF!</v>
      </c>
      <c r="AR279" s="24" t="e">
        <f>SUMIFS(#REF!,#REF!,$B279,#REF!,AR$1)</f>
        <v>#REF!</v>
      </c>
      <c r="AS279" s="24" t="e">
        <f>SUMIFS(#REF!,#REF!,$B279,#REF!,AS$1)</f>
        <v>#REF!</v>
      </c>
      <c r="AT279" s="24" t="e">
        <f>SUMIFS(#REF!,#REF!,$B279,#REF!,AT$1)</f>
        <v>#REF!</v>
      </c>
      <c r="AU279" s="24" t="e">
        <f>SUMIFS(#REF!,#REF!,$B279,#REF!,AU$1)</f>
        <v>#REF!</v>
      </c>
      <c r="AV279" s="24" t="e">
        <f>SUMIFS(#REF!,#REF!,$B279,#REF!,AV$1)</f>
        <v>#REF!</v>
      </c>
      <c r="AW279" s="24" t="e">
        <f>SUMIFS(#REF!,#REF!,$B279,#REF!,AW$1)</f>
        <v>#REF!</v>
      </c>
      <c r="AX279" s="24" t="e">
        <f>SUMIFS(#REF!,#REF!,$B279,#REF!,AX$1)</f>
        <v>#REF!</v>
      </c>
      <c r="AY279" s="24" t="e">
        <f>SUMIFS(#REF!,#REF!,$B279,#REF!,AY$1)</f>
        <v>#REF!</v>
      </c>
      <c r="AZ279" s="24" t="e">
        <f>SUMIFS(#REF!,#REF!,$B279,#REF!,AZ$1)</f>
        <v>#REF!</v>
      </c>
      <c r="BA279" s="24" t="e">
        <f>SUMIFS(#REF!,#REF!,$B279,#REF!,BA$1)</f>
        <v>#REF!</v>
      </c>
      <c r="BB279" s="24" t="e">
        <f>SUMIFS(#REF!,#REF!,$B279,#REF!,BB$1)</f>
        <v>#REF!</v>
      </c>
      <c r="BC279" s="24" t="e">
        <f>SUMIFS(#REF!,#REF!,$B279,#REF!,BC$1)</f>
        <v>#REF!</v>
      </c>
      <c r="BD279" s="24" t="e">
        <f>SUMIFS(#REF!,#REF!,$B279,#REF!,BD$1)</f>
        <v>#REF!</v>
      </c>
      <c r="BE279" s="24" t="e">
        <f>SUMIFS(#REF!,#REF!,$B279,#REF!,BE$1)</f>
        <v>#REF!</v>
      </c>
      <c r="BF279" s="24" t="e">
        <f>SUMIFS(#REF!,#REF!,$B279,#REF!,BF$1)</f>
        <v>#REF!</v>
      </c>
      <c r="BG279" s="24" t="e">
        <f>SUMIFS(#REF!,#REF!,$B279,#REF!,BG$1)</f>
        <v>#REF!</v>
      </c>
      <c r="BH279" s="24" t="e">
        <f>SUMIFS(#REF!,#REF!,$B279,#REF!,BH$1)</f>
        <v>#REF!</v>
      </c>
      <c r="BI279" s="24" t="e">
        <f>SUMIFS(#REF!,#REF!,$B279,#REF!,BI$1)</f>
        <v>#REF!</v>
      </c>
      <c r="BJ279" s="24" t="e">
        <f>SUMIFS(#REF!,#REF!,$B279,#REF!,BJ$1)</f>
        <v>#REF!</v>
      </c>
      <c r="BK279" s="24" t="e">
        <f>SUMIFS(#REF!,#REF!,$B279,#REF!,BK$1)</f>
        <v>#REF!</v>
      </c>
      <c r="BL279" s="24" t="e">
        <f>SUMIFS(#REF!,#REF!,$B279,#REF!,BL$1)</f>
        <v>#REF!</v>
      </c>
      <c r="BM279" s="24" t="e">
        <f>SUMIFS(#REF!,#REF!,$B279,#REF!,BM$1)</f>
        <v>#REF!</v>
      </c>
      <c r="BN279" s="24" t="e">
        <f>SUMIFS(#REF!,#REF!,$B279,#REF!,BN$1)</f>
        <v>#REF!</v>
      </c>
      <c r="BO279" s="24" t="e">
        <f>SUMIFS(#REF!,#REF!,$B279,#REF!,BO$1)</f>
        <v>#REF!</v>
      </c>
      <c r="BP279" s="24" t="e">
        <f>SUMIFS(#REF!,#REF!,$B279,#REF!,BP$1)</f>
        <v>#REF!</v>
      </c>
      <c r="BQ279" s="24" t="e">
        <f>SUMIFS(#REF!,#REF!,$B279,#REF!,BQ$1)</f>
        <v>#REF!</v>
      </c>
      <c r="BR279" s="24" t="e">
        <f>SUMIFS(#REF!,#REF!,$B279,#REF!,BR$1)</f>
        <v>#REF!</v>
      </c>
      <c r="BS279" s="24" t="e">
        <f>SUMIFS(#REF!,#REF!,$B279,#REF!,BS$1)</f>
        <v>#REF!</v>
      </c>
      <c r="BT279" s="24" t="e">
        <f>SUMIFS(#REF!,#REF!,$B279,#REF!,BT$1)</f>
        <v>#REF!</v>
      </c>
      <c r="BU279" s="24" t="e">
        <f>SUMIFS(#REF!,#REF!,$B279,#REF!,BU$1)</f>
        <v>#REF!</v>
      </c>
      <c r="BV279" s="24" t="e">
        <f>SUMIFS(#REF!,#REF!,$B279,#REF!,BV$1)</f>
        <v>#REF!</v>
      </c>
      <c r="BW279" s="24" t="e">
        <f>SUMIFS(#REF!,#REF!,$B279,#REF!,BW$1)</f>
        <v>#REF!</v>
      </c>
      <c r="BX279" s="24" t="e">
        <f>SUMIFS(#REF!,#REF!,$B279,#REF!,BX$1)</f>
        <v>#REF!</v>
      </c>
      <c r="BY279" s="24" t="e">
        <f>SUMIFS(#REF!,#REF!,$B279,#REF!,BY$1)</f>
        <v>#REF!</v>
      </c>
      <c r="BZ279" s="24" t="e">
        <f>SUMIFS(#REF!,#REF!,$B279,#REF!,BZ$1)</f>
        <v>#REF!</v>
      </c>
      <c r="CA279" s="24" t="e">
        <f>SUMIFS(#REF!,#REF!,$B279,#REF!,CA$1)</f>
        <v>#REF!</v>
      </c>
      <c r="CB279" s="24" t="e">
        <f>SUMIFS(#REF!,#REF!,$B279,#REF!,CB$1)</f>
        <v>#REF!</v>
      </c>
      <c r="CC279" s="24" t="e">
        <f>SUMIFS(#REF!,#REF!,$B279,#REF!,CC$1)</f>
        <v>#REF!</v>
      </c>
      <c r="CD279" s="24" t="e">
        <f>SUMIFS(#REF!,#REF!,$B279,#REF!,CD$1)</f>
        <v>#REF!</v>
      </c>
      <c r="CE279" s="24" t="e">
        <f>SUMIFS(#REF!,#REF!,$B279,#REF!,CE$1)</f>
        <v>#REF!</v>
      </c>
      <c r="CF279" s="24" t="e">
        <f>SUMIFS(#REF!,#REF!,$B279,#REF!,CF$1)</f>
        <v>#REF!</v>
      </c>
      <c r="CG279" s="19" t="e">
        <f t="shared" si="4"/>
        <v>#REF!</v>
      </c>
    </row>
    <row r="280" spans="1:85" x14ac:dyDescent="0.45">
      <c r="A280" s="4" t="s">
        <v>1531</v>
      </c>
      <c r="B280" s="4" t="s">
        <v>1532</v>
      </c>
      <c r="C280" s="24" t="e">
        <f>SUMIFS(#REF!,#REF!,$B280,#REF!,C$1)</f>
        <v>#REF!</v>
      </c>
      <c r="D280" s="24" t="e">
        <f>SUMIFS(#REF!,#REF!,$B280,#REF!,D$1)</f>
        <v>#REF!</v>
      </c>
      <c r="E280" s="24" t="e">
        <f>SUMIFS(#REF!,#REF!,$B280,#REF!,E$1)</f>
        <v>#REF!</v>
      </c>
      <c r="F280" s="24" t="e">
        <f>SUMIFS(#REF!,#REF!,$B280,#REF!,F$1)</f>
        <v>#REF!</v>
      </c>
      <c r="G280" s="24" t="e">
        <f>SUMIFS(#REF!,#REF!,$B280,#REF!,G$1)</f>
        <v>#REF!</v>
      </c>
      <c r="H280" s="24" t="e">
        <f>SUMIFS(#REF!,#REF!,$B280,#REF!,H$1)</f>
        <v>#REF!</v>
      </c>
      <c r="I280" s="24" t="e">
        <f>SUMIFS(#REF!,#REF!,$B280,#REF!,I$1)</f>
        <v>#REF!</v>
      </c>
      <c r="J280" s="24" t="e">
        <f>SUMIFS(#REF!,#REF!,$B280,#REF!,J$1)</f>
        <v>#REF!</v>
      </c>
      <c r="K280" s="24" t="e">
        <f>SUMIFS(#REF!,#REF!,$B280,#REF!,K$1)</f>
        <v>#REF!</v>
      </c>
      <c r="L280" s="24" t="e">
        <f>SUMIFS(#REF!,#REF!,$B280,#REF!,L$1)</f>
        <v>#REF!</v>
      </c>
      <c r="M280" s="24" t="e">
        <f>SUMIFS(#REF!,#REF!,$B280,#REF!,M$1)</f>
        <v>#REF!</v>
      </c>
      <c r="N280" s="24" t="e">
        <f>SUMIFS(#REF!,#REF!,$B280,#REF!,N$1)</f>
        <v>#REF!</v>
      </c>
      <c r="O280" s="24" t="e">
        <f>SUMIFS(#REF!,#REF!,$B280,#REF!,O$1)</f>
        <v>#REF!</v>
      </c>
      <c r="P280" s="24" t="e">
        <f>SUMIFS(#REF!,#REF!,$B280,#REF!,P$1)</f>
        <v>#REF!</v>
      </c>
      <c r="Q280" s="24" t="e">
        <f>SUMIFS(#REF!,#REF!,$B280,#REF!,Q$1)</f>
        <v>#REF!</v>
      </c>
      <c r="R280" s="24" t="e">
        <f>SUMIFS(#REF!,#REF!,$B280,#REF!,R$1)</f>
        <v>#REF!</v>
      </c>
      <c r="S280" s="24" t="e">
        <f>SUMIFS(#REF!,#REF!,$B280,#REF!,S$1)</f>
        <v>#REF!</v>
      </c>
      <c r="T280" s="24" t="e">
        <f>SUMIFS(#REF!,#REF!,$B280,#REF!,T$1)</f>
        <v>#REF!</v>
      </c>
      <c r="U280" s="24" t="e">
        <f>SUMIFS(#REF!,#REF!,$B280,#REF!,U$1)</f>
        <v>#REF!</v>
      </c>
      <c r="V280" s="24" t="e">
        <f>SUMIFS(#REF!,#REF!,$B280,#REF!,V$1)</f>
        <v>#REF!</v>
      </c>
      <c r="W280" s="24" t="e">
        <f>SUMIFS(#REF!,#REF!,$B280,#REF!,W$1)</f>
        <v>#REF!</v>
      </c>
      <c r="X280" s="24" t="e">
        <f>SUMIFS(#REF!,#REF!,$B280,#REF!,X$1)</f>
        <v>#REF!</v>
      </c>
      <c r="Y280" s="24" t="e">
        <f>SUMIFS(#REF!,#REF!,$B280,#REF!,Y$1)</f>
        <v>#REF!</v>
      </c>
      <c r="Z280" s="24" t="e">
        <f>SUMIFS(#REF!,#REF!,$B280,#REF!,Z$1)</f>
        <v>#REF!</v>
      </c>
      <c r="AA280" s="24" t="e">
        <f>SUMIFS(#REF!,#REF!,$B280,#REF!,AA$1)</f>
        <v>#REF!</v>
      </c>
      <c r="AB280" s="24" t="e">
        <f>SUMIFS(#REF!,#REF!,$B280,#REF!,AB$1)</f>
        <v>#REF!</v>
      </c>
      <c r="AC280" s="24" t="e">
        <f>SUMIFS(#REF!,#REF!,$B280,#REF!,AC$1)</f>
        <v>#REF!</v>
      </c>
      <c r="AD280" s="24" t="e">
        <f>SUMIFS(#REF!,#REF!,$B280,#REF!,AD$1)</f>
        <v>#REF!</v>
      </c>
      <c r="AE280" s="24" t="e">
        <f>SUMIFS(#REF!,#REF!,$B280,#REF!,AE$1)</f>
        <v>#REF!</v>
      </c>
      <c r="AF280" s="24" t="e">
        <f>SUMIFS(#REF!,#REF!,$B280,#REF!,AF$1)</f>
        <v>#REF!</v>
      </c>
      <c r="AG280" s="24" t="e">
        <f>SUMIFS(#REF!,#REF!,$B280,#REF!,AG$1)</f>
        <v>#REF!</v>
      </c>
      <c r="AH280" s="24" t="e">
        <f>SUMIFS(#REF!,#REF!,$B280,#REF!,AH$1)</f>
        <v>#REF!</v>
      </c>
      <c r="AI280" s="24" t="e">
        <f>SUMIFS(#REF!,#REF!,$B280,#REF!,AI$1)</f>
        <v>#REF!</v>
      </c>
      <c r="AJ280" s="24" t="e">
        <f>SUMIFS(#REF!,#REF!,$B280,#REF!,AJ$1)</f>
        <v>#REF!</v>
      </c>
      <c r="AK280" s="24" t="e">
        <f>SUMIFS(#REF!,#REF!,$B280,#REF!,AK$1)</f>
        <v>#REF!</v>
      </c>
      <c r="AL280" s="24" t="e">
        <f>SUMIFS(#REF!,#REF!,$B280,#REF!,AL$1)</f>
        <v>#REF!</v>
      </c>
      <c r="AM280" s="24" t="e">
        <f>SUMIFS(#REF!,#REF!,$B280,#REF!,AM$1)</f>
        <v>#REF!</v>
      </c>
      <c r="AN280" s="24" t="e">
        <f>SUMIFS(#REF!,#REF!,$B280,#REF!,AN$1)</f>
        <v>#REF!</v>
      </c>
      <c r="AO280" s="24" t="e">
        <f>SUMIFS(#REF!,#REF!,$B280,#REF!,AO$1)</f>
        <v>#REF!</v>
      </c>
      <c r="AP280" s="24" t="e">
        <f>SUMIFS(#REF!,#REF!,$B280,#REF!,AP$1)</f>
        <v>#REF!</v>
      </c>
      <c r="AQ280" s="24" t="e">
        <f>SUMIFS(#REF!,#REF!,$B280,#REF!,AQ$1)</f>
        <v>#REF!</v>
      </c>
      <c r="AR280" s="24" t="e">
        <f>SUMIFS(#REF!,#REF!,$B280,#REF!,AR$1)</f>
        <v>#REF!</v>
      </c>
      <c r="AS280" s="24" t="e">
        <f>SUMIFS(#REF!,#REF!,$B280,#REF!,AS$1)</f>
        <v>#REF!</v>
      </c>
      <c r="AT280" s="24" t="e">
        <f>SUMIFS(#REF!,#REF!,$B280,#REF!,AT$1)</f>
        <v>#REF!</v>
      </c>
      <c r="AU280" s="24" t="e">
        <f>SUMIFS(#REF!,#REF!,$B280,#REF!,AU$1)</f>
        <v>#REF!</v>
      </c>
      <c r="AV280" s="24" t="e">
        <f>SUMIFS(#REF!,#REF!,$B280,#REF!,AV$1)</f>
        <v>#REF!</v>
      </c>
      <c r="AW280" s="24" t="e">
        <f>SUMIFS(#REF!,#REF!,$B280,#REF!,AW$1)</f>
        <v>#REF!</v>
      </c>
      <c r="AX280" s="24" t="e">
        <f>SUMIFS(#REF!,#REF!,$B280,#REF!,AX$1)</f>
        <v>#REF!</v>
      </c>
      <c r="AY280" s="24" t="e">
        <f>SUMIFS(#REF!,#REF!,$B280,#REF!,AY$1)</f>
        <v>#REF!</v>
      </c>
      <c r="AZ280" s="24" t="e">
        <f>SUMIFS(#REF!,#REF!,$B280,#REF!,AZ$1)</f>
        <v>#REF!</v>
      </c>
      <c r="BA280" s="24" t="e">
        <f>SUMIFS(#REF!,#REF!,$B280,#REF!,BA$1)</f>
        <v>#REF!</v>
      </c>
      <c r="BB280" s="24" t="e">
        <f>SUMIFS(#REF!,#REF!,$B280,#REF!,BB$1)</f>
        <v>#REF!</v>
      </c>
      <c r="BC280" s="24" t="e">
        <f>SUMIFS(#REF!,#REF!,$B280,#REF!,BC$1)</f>
        <v>#REF!</v>
      </c>
      <c r="BD280" s="24" t="e">
        <f>SUMIFS(#REF!,#REF!,$B280,#REF!,BD$1)</f>
        <v>#REF!</v>
      </c>
      <c r="BE280" s="24" t="e">
        <f>SUMIFS(#REF!,#REF!,$B280,#REF!,BE$1)</f>
        <v>#REF!</v>
      </c>
      <c r="BF280" s="24" t="e">
        <f>SUMIFS(#REF!,#REF!,$B280,#REF!,BF$1)</f>
        <v>#REF!</v>
      </c>
      <c r="BG280" s="24" t="e">
        <f>SUMIFS(#REF!,#REF!,$B280,#REF!,BG$1)</f>
        <v>#REF!</v>
      </c>
      <c r="BH280" s="24" t="e">
        <f>SUMIFS(#REF!,#REF!,$B280,#REF!,BH$1)</f>
        <v>#REF!</v>
      </c>
      <c r="BI280" s="24" t="e">
        <f>SUMIFS(#REF!,#REF!,$B280,#REF!,BI$1)</f>
        <v>#REF!</v>
      </c>
      <c r="BJ280" s="24" t="e">
        <f>SUMIFS(#REF!,#REF!,$B280,#REF!,BJ$1)</f>
        <v>#REF!</v>
      </c>
      <c r="BK280" s="24" t="e">
        <f>SUMIFS(#REF!,#REF!,$B280,#REF!,BK$1)</f>
        <v>#REF!</v>
      </c>
      <c r="BL280" s="24" t="e">
        <f>SUMIFS(#REF!,#REF!,$B280,#REF!,BL$1)</f>
        <v>#REF!</v>
      </c>
      <c r="BM280" s="24" t="e">
        <f>SUMIFS(#REF!,#REF!,$B280,#REF!,BM$1)</f>
        <v>#REF!</v>
      </c>
      <c r="BN280" s="24" t="e">
        <f>SUMIFS(#REF!,#REF!,$B280,#REF!,BN$1)</f>
        <v>#REF!</v>
      </c>
      <c r="BO280" s="24" t="e">
        <f>SUMIFS(#REF!,#REF!,$B280,#REF!,BO$1)</f>
        <v>#REF!</v>
      </c>
      <c r="BP280" s="24" t="e">
        <f>SUMIFS(#REF!,#REF!,$B280,#REF!,BP$1)</f>
        <v>#REF!</v>
      </c>
      <c r="BQ280" s="24" t="e">
        <f>SUMIFS(#REF!,#REF!,$B280,#REF!,BQ$1)</f>
        <v>#REF!</v>
      </c>
      <c r="BR280" s="24" t="e">
        <f>SUMIFS(#REF!,#REF!,$B280,#REF!,BR$1)</f>
        <v>#REF!</v>
      </c>
      <c r="BS280" s="24" t="e">
        <f>SUMIFS(#REF!,#REF!,$B280,#REF!,BS$1)</f>
        <v>#REF!</v>
      </c>
      <c r="BT280" s="24" t="e">
        <f>SUMIFS(#REF!,#REF!,$B280,#REF!,BT$1)</f>
        <v>#REF!</v>
      </c>
      <c r="BU280" s="24" t="e">
        <f>SUMIFS(#REF!,#REF!,$B280,#REF!,BU$1)</f>
        <v>#REF!</v>
      </c>
      <c r="BV280" s="24" t="e">
        <f>SUMIFS(#REF!,#REF!,$B280,#REF!,BV$1)</f>
        <v>#REF!</v>
      </c>
      <c r="BW280" s="24" t="e">
        <f>SUMIFS(#REF!,#REF!,$B280,#REF!,BW$1)</f>
        <v>#REF!</v>
      </c>
      <c r="BX280" s="24" t="e">
        <f>SUMIFS(#REF!,#REF!,$B280,#REF!,BX$1)</f>
        <v>#REF!</v>
      </c>
      <c r="BY280" s="24" t="e">
        <f>SUMIFS(#REF!,#REF!,$B280,#REF!,BY$1)</f>
        <v>#REF!</v>
      </c>
      <c r="BZ280" s="24" t="e">
        <f>SUMIFS(#REF!,#REF!,$B280,#REF!,BZ$1)</f>
        <v>#REF!</v>
      </c>
      <c r="CA280" s="24" t="e">
        <f>SUMIFS(#REF!,#REF!,$B280,#REF!,CA$1)</f>
        <v>#REF!</v>
      </c>
      <c r="CB280" s="24" t="e">
        <f>SUMIFS(#REF!,#REF!,$B280,#REF!,CB$1)</f>
        <v>#REF!</v>
      </c>
      <c r="CC280" s="24" t="e">
        <f>SUMIFS(#REF!,#REF!,$B280,#REF!,CC$1)</f>
        <v>#REF!</v>
      </c>
      <c r="CD280" s="24" t="e">
        <f>SUMIFS(#REF!,#REF!,$B280,#REF!,CD$1)</f>
        <v>#REF!</v>
      </c>
      <c r="CE280" s="24" t="e">
        <f>SUMIFS(#REF!,#REF!,$B280,#REF!,CE$1)</f>
        <v>#REF!</v>
      </c>
      <c r="CF280" s="24" t="e">
        <f>SUMIFS(#REF!,#REF!,$B280,#REF!,CF$1)</f>
        <v>#REF!</v>
      </c>
      <c r="CG280" s="19" t="e">
        <f t="shared" si="4"/>
        <v>#REF!</v>
      </c>
    </row>
    <row r="281" spans="1:85" x14ac:dyDescent="0.45">
      <c r="A281" s="4" t="s">
        <v>1533</v>
      </c>
      <c r="B281" s="4" t="s">
        <v>1533</v>
      </c>
      <c r="C281" s="24" t="e">
        <f>SUMIFS(#REF!,#REF!,$B281,#REF!,C$1)</f>
        <v>#REF!</v>
      </c>
      <c r="D281" s="24" t="e">
        <f>SUMIFS(#REF!,#REF!,$B281,#REF!,D$1)</f>
        <v>#REF!</v>
      </c>
      <c r="E281" s="24" t="e">
        <f>SUMIFS(#REF!,#REF!,$B281,#REF!,E$1)</f>
        <v>#REF!</v>
      </c>
      <c r="F281" s="24" t="e">
        <f>SUMIFS(#REF!,#REF!,$B281,#REF!,F$1)</f>
        <v>#REF!</v>
      </c>
      <c r="G281" s="24" t="e">
        <f>SUMIFS(#REF!,#REF!,$B281,#REF!,G$1)</f>
        <v>#REF!</v>
      </c>
      <c r="H281" s="24" t="e">
        <f>SUMIFS(#REF!,#REF!,$B281,#REF!,H$1)</f>
        <v>#REF!</v>
      </c>
      <c r="I281" s="24" t="e">
        <f>SUMIFS(#REF!,#REF!,$B281,#REF!,I$1)</f>
        <v>#REF!</v>
      </c>
      <c r="J281" s="24" t="e">
        <f>SUMIFS(#REF!,#REF!,$B281,#REF!,J$1)</f>
        <v>#REF!</v>
      </c>
      <c r="K281" s="24" t="e">
        <f>SUMIFS(#REF!,#REF!,$B281,#REF!,K$1)</f>
        <v>#REF!</v>
      </c>
      <c r="L281" s="24" t="e">
        <f>SUMIFS(#REF!,#REF!,$B281,#REF!,L$1)</f>
        <v>#REF!</v>
      </c>
      <c r="M281" s="24" t="e">
        <f>SUMIFS(#REF!,#REF!,$B281,#REF!,M$1)</f>
        <v>#REF!</v>
      </c>
      <c r="N281" s="24" t="e">
        <f>SUMIFS(#REF!,#REF!,$B281,#REF!,N$1)</f>
        <v>#REF!</v>
      </c>
      <c r="O281" s="24" t="e">
        <f>SUMIFS(#REF!,#REF!,$B281,#REF!,O$1)</f>
        <v>#REF!</v>
      </c>
      <c r="P281" s="24" t="e">
        <f>SUMIFS(#REF!,#REF!,$B281,#REF!,P$1)</f>
        <v>#REF!</v>
      </c>
      <c r="Q281" s="24" t="e">
        <f>SUMIFS(#REF!,#REF!,$B281,#REF!,Q$1)</f>
        <v>#REF!</v>
      </c>
      <c r="R281" s="24" t="e">
        <f>SUMIFS(#REF!,#REF!,$B281,#REF!,R$1)</f>
        <v>#REF!</v>
      </c>
      <c r="S281" s="24" t="e">
        <f>SUMIFS(#REF!,#REF!,$B281,#REF!,S$1)</f>
        <v>#REF!</v>
      </c>
      <c r="T281" s="24" t="e">
        <f>SUMIFS(#REF!,#REF!,$B281,#REF!,T$1)</f>
        <v>#REF!</v>
      </c>
      <c r="U281" s="24" t="e">
        <f>SUMIFS(#REF!,#REF!,$B281,#REF!,U$1)</f>
        <v>#REF!</v>
      </c>
      <c r="V281" s="24" t="e">
        <f>SUMIFS(#REF!,#REF!,$B281,#REF!,V$1)</f>
        <v>#REF!</v>
      </c>
      <c r="W281" s="24" t="e">
        <f>SUMIFS(#REF!,#REF!,$B281,#REF!,W$1)</f>
        <v>#REF!</v>
      </c>
      <c r="X281" s="24" t="e">
        <f>SUMIFS(#REF!,#REF!,$B281,#REF!,X$1)</f>
        <v>#REF!</v>
      </c>
      <c r="Y281" s="24" t="e">
        <f>SUMIFS(#REF!,#REF!,$B281,#REF!,Y$1)</f>
        <v>#REF!</v>
      </c>
      <c r="Z281" s="24" t="e">
        <f>SUMIFS(#REF!,#REF!,$B281,#REF!,Z$1)</f>
        <v>#REF!</v>
      </c>
      <c r="AA281" s="24" t="e">
        <f>SUMIFS(#REF!,#REF!,$B281,#REF!,AA$1)</f>
        <v>#REF!</v>
      </c>
      <c r="AB281" s="24" t="e">
        <f>SUMIFS(#REF!,#REF!,$B281,#REF!,AB$1)</f>
        <v>#REF!</v>
      </c>
      <c r="AC281" s="24" t="e">
        <f>SUMIFS(#REF!,#REF!,$B281,#REF!,AC$1)</f>
        <v>#REF!</v>
      </c>
      <c r="AD281" s="24" t="e">
        <f>SUMIFS(#REF!,#REF!,$B281,#REF!,AD$1)</f>
        <v>#REF!</v>
      </c>
      <c r="AE281" s="24" t="e">
        <f>SUMIFS(#REF!,#REF!,$B281,#REF!,AE$1)</f>
        <v>#REF!</v>
      </c>
      <c r="AF281" s="24" t="e">
        <f>SUMIFS(#REF!,#REF!,$B281,#REF!,AF$1)</f>
        <v>#REF!</v>
      </c>
      <c r="AG281" s="24" t="e">
        <f>SUMIFS(#REF!,#REF!,$B281,#REF!,AG$1)</f>
        <v>#REF!</v>
      </c>
      <c r="AH281" s="24" t="e">
        <f>SUMIFS(#REF!,#REF!,$B281,#REF!,AH$1)</f>
        <v>#REF!</v>
      </c>
      <c r="AI281" s="24" t="e">
        <f>SUMIFS(#REF!,#REF!,$B281,#REF!,AI$1)</f>
        <v>#REF!</v>
      </c>
      <c r="AJ281" s="24" t="e">
        <f>SUMIFS(#REF!,#REF!,$B281,#REF!,AJ$1)</f>
        <v>#REF!</v>
      </c>
      <c r="AK281" s="24" t="e">
        <f>SUMIFS(#REF!,#REF!,$B281,#REF!,AK$1)</f>
        <v>#REF!</v>
      </c>
      <c r="AL281" s="24" t="e">
        <f>SUMIFS(#REF!,#REF!,$B281,#REF!,AL$1)</f>
        <v>#REF!</v>
      </c>
      <c r="AM281" s="24" t="e">
        <f>SUMIFS(#REF!,#REF!,$B281,#REF!,AM$1)</f>
        <v>#REF!</v>
      </c>
      <c r="AN281" s="24" t="e">
        <f>SUMIFS(#REF!,#REF!,$B281,#REF!,AN$1)</f>
        <v>#REF!</v>
      </c>
      <c r="AO281" s="24" t="e">
        <f>SUMIFS(#REF!,#REF!,$B281,#REF!,AO$1)</f>
        <v>#REF!</v>
      </c>
      <c r="AP281" s="24" t="e">
        <f>SUMIFS(#REF!,#REF!,$B281,#REF!,AP$1)</f>
        <v>#REF!</v>
      </c>
      <c r="AQ281" s="24" t="e">
        <f>SUMIFS(#REF!,#REF!,$B281,#REF!,AQ$1)</f>
        <v>#REF!</v>
      </c>
      <c r="AR281" s="24" t="e">
        <f>SUMIFS(#REF!,#REF!,$B281,#REF!,AR$1)</f>
        <v>#REF!</v>
      </c>
      <c r="AS281" s="24" t="e">
        <f>SUMIFS(#REF!,#REF!,$B281,#REF!,AS$1)</f>
        <v>#REF!</v>
      </c>
      <c r="AT281" s="24" t="e">
        <f>SUMIFS(#REF!,#REF!,$B281,#REF!,AT$1)</f>
        <v>#REF!</v>
      </c>
      <c r="AU281" s="24" t="e">
        <f>SUMIFS(#REF!,#REF!,$B281,#REF!,AU$1)</f>
        <v>#REF!</v>
      </c>
      <c r="AV281" s="24" t="e">
        <f>SUMIFS(#REF!,#REF!,$B281,#REF!,AV$1)</f>
        <v>#REF!</v>
      </c>
      <c r="AW281" s="24" t="e">
        <f>SUMIFS(#REF!,#REF!,$B281,#REF!,AW$1)</f>
        <v>#REF!</v>
      </c>
      <c r="AX281" s="24" t="e">
        <f>SUMIFS(#REF!,#REF!,$B281,#REF!,AX$1)</f>
        <v>#REF!</v>
      </c>
      <c r="AY281" s="24" t="e">
        <f>SUMIFS(#REF!,#REF!,$B281,#REF!,AY$1)</f>
        <v>#REF!</v>
      </c>
      <c r="AZ281" s="24" t="e">
        <f>SUMIFS(#REF!,#REF!,$B281,#REF!,AZ$1)</f>
        <v>#REF!</v>
      </c>
      <c r="BA281" s="24" t="e">
        <f>SUMIFS(#REF!,#REF!,$B281,#REF!,BA$1)</f>
        <v>#REF!</v>
      </c>
      <c r="BB281" s="24" t="e">
        <f>SUMIFS(#REF!,#REF!,$B281,#REF!,BB$1)</f>
        <v>#REF!</v>
      </c>
      <c r="BC281" s="24" t="e">
        <f>SUMIFS(#REF!,#REF!,$B281,#REF!,BC$1)</f>
        <v>#REF!</v>
      </c>
      <c r="BD281" s="24" t="e">
        <f>SUMIFS(#REF!,#REF!,$B281,#REF!,BD$1)</f>
        <v>#REF!</v>
      </c>
      <c r="BE281" s="24" t="e">
        <f>SUMIFS(#REF!,#REF!,$B281,#REF!,BE$1)</f>
        <v>#REF!</v>
      </c>
      <c r="BF281" s="24" t="e">
        <f>SUMIFS(#REF!,#REF!,$B281,#REF!,BF$1)</f>
        <v>#REF!</v>
      </c>
      <c r="BG281" s="24" t="e">
        <f>SUMIFS(#REF!,#REF!,$B281,#REF!,BG$1)</f>
        <v>#REF!</v>
      </c>
      <c r="BH281" s="24" t="e">
        <f>SUMIFS(#REF!,#REF!,$B281,#REF!,BH$1)</f>
        <v>#REF!</v>
      </c>
      <c r="BI281" s="24" t="e">
        <f>SUMIFS(#REF!,#REF!,$B281,#REF!,BI$1)</f>
        <v>#REF!</v>
      </c>
      <c r="BJ281" s="24" t="e">
        <f>SUMIFS(#REF!,#REF!,$B281,#REF!,BJ$1)</f>
        <v>#REF!</v>
      </c>
      <c r="BK281" s="24" t="e">
        <f>SUMIFS(#REF!,#REF!,$B281,#REF!,BK$1)</f>
        <v>#REF!</v>
      </c>
      <c r="BL281" s="24" t="e">
        <f>SUMIFS(#REF!,#REF!,$B281,#REF!,BL$1)</f>
        <v>#REF!</v>
      </c>
      <c r="BM281" s="24" t="e">
        <f>SUMIFS(#REF!,#REF!,$B281,#REF!,BM$1)</f>
        <v>#REF!</v>
      </c>
      <c r="BN281" s="24" t="e">
        <f>SUMIFS(#REF!,#REF!,$B281,#REF!,BN$1)</f>
        <v>#REF!</v>
      </c>
      <c r="BO281" s="24" t="e">
        <f>SUMIFS(#REF!,#REF!,$B281,#REF!,BO$1)</f>
        <v>#REF!</v>
      </c>
      <c r="BP281" s="24" t="e">
        <f>SUMIFS(#REF!,#REF!,$B281,#REF!,BP$1)</f>
        <v>#REF!</v>
      </c>
      <c r="BQ281" s="24" t="e">
        <f>SUMIFS(#REF!,#REF!,$B281,#REF!,BQ$1)</f>
        <v>#REF!</v>
      </c>
      <c r="BR281" s="24" t="e">
        <f>SUMIFS(#REF!,#REF!,$B281,#REF!,BR$1)</f>
        <v>#REF!</v>
      </c>
      <c r="BS281" s="24" t="e">
        <f>SUMIFS(#REF!,#REF!,$B281,#REF!,BS$1)</f>
        <v>#REF!</v>
      </c>
      <c r="BT281" s="24" t="e">
        <f>SUMIFS(#REF!,#REF!,$B281,#REF!,BT$1)</f>
        <v>#REF!</v>
      </c>
      <c r="BU281" s="24" t="e">
        <f>SUMIFS(#REF!,#REF!,$B281,#REF!,BU$1)</f>
        <v>#REF!</v>
      </c>
      <c r="BV281" s="24" t="e">
        <f>SUMIFS(#REF!,#REF!,$B281,#REF!,BV$1)</f>
        <v>#REF!</v>
      </c>
      <c r="BW281" s="24" t="e">
        <f>SUMIFS(#REF!,#REF!,$B281,#REF!,BW$1)</f>
        <v>#REF!</v>
      </c>
      <c r="BX281" s="24" t="e">
        <f>SUMIFS(#REF!,#REF!,$B281,#REF!,BX$1)</f>
        <v>#REF!</v>
      </c>
      <c r="BY281" s="24" t="e">
        <f>SUMIFS(#REF!,#REF!,$B281,#REF!,BY$1)</f>
        <v>#REF!</v>
      </c>
      <c r="BZ281" s="24" t="e">
        <f>SUMIFS(#REF!,#REF!,$B281,#REF!,BZ$1)</f>
        <v>#REF!</v>
      </c>
      <c r="CA281" s="24" t="e">
        <f>SUMIFS(#REF!,#REF!,$B281,#REF!,CA$1)</f>
        <v>#REF!</v>
      </c>
      <c r="CB281" s="24" t="e">
        <f>SUMIFS(#REF!,#REF!,$B281,#REF!,CB$1)</f>
        <v>#REF!</v>
      </c>
      <c r="CC281" s="24" t="e">
        <f>SUMIFS(#REF!,#REF!,$B281,#REF!,CC$1)</f>
        <v>#REF!</v>
      </c>
      <c r="CD281" s="24" t="e">
        <f>SUMIFS(#REF!,#REF!,$B281,#REF!,CD$1)</f>
        <v>#REF!</v>
      </c>
      <c r="CE281" s="24" t="e">
        <f>SUMIFS(#REF!,#REF!,$B281,#REF!,CE$1)</f>
        <v>#REF!</v>
      </c>
      <c r="CF281" s="24" t="e">
        <f>SUMIFS(#REF!,#REF!,$B281,#REF!,CF$1)</f>
        <v>#REF!</v>
      </c>
      <c r="CG281" s="19" t="e">
        <f t="shared" si="4"/>
        <v>#REF!</v>
      </c>
    </row>
    <row r="282" spans="1:85" x14ac:dyDescent="0.45">
      <c r="A282" s="4" t="s">
        <v>1534</v>
      </c>
      <c r="B282" s="4" t="s">
        <v>1534</v>
      </c>
      <c r="C282" s="24" t="e">
        <f>SUMIFS(#REF!,#REF!,$B282,#REF!,C$1)</f>
        <v>#REF!</v>
      </c>
      <c r="D282" s="24" t="e">
        <f>SUMIFS(#REF!,#REF!,$B282,#REF!,D$1)</f>
        <v>#REF!</v>
      </c>
      <c r="E282" s="24" t="e">
        <f>SUMIFS(#REF!,#REF!,$B282,#REF!,E$1)</f>
        <v>#REF!</v>
      </c>
      <c r="F282" s="24" t="e">
        <f>SUMIFS(#REF!,#REF!,$B282,#REF!,F$1)</f>
        <v>#REF!</v>
      </c>
      <c r="G282" s="24" t="e">
        <f>SUMIFS(#REF!,#REF!,$B282,#REF!,G$1)</f>
        <v>#REF!</v>
      </c>
      <c r="H282" s="24" t="e">
        <f>SUMIFS(#REF!,#REF!,$B282,#REF!,H$1)</f>
        <v>#REF!</v>
      </c>
      <c r="I282" s="24" t="e">
        <f>SUMIFS(#REF!,#REF!,$B282,#REF!,I$1)</f>
        <v>#REF!</v>
      </c>
      <c r="J282" s="24" t="e">
        <f>SUMIFS(#REF!,#REF!,$B282,#REF!,J$1)</f>
        <v>#REF!</v>
      </c>
      <c r="K282" s="24" t="e">
        <f>SUMIFS(#REF!,#REF!,$B282,#REF!,K$1)</f>
        <v>#REF!</v>
      </c>
      <c r="L282" s="24" t="e">
        <f>SUMIFS(#REF!,#REF!,$B282,#REF!,L$1)</f>
        <v>#REF!</v>
      </c>
      <c r="M282" s="24" t="e">
        <f>SUMIFS(#REF!,#REF!,$B282,#REF!,M$1)</f>
        <v>#REF!</v>
      </c>
      <c r="N282" s="24" t="e">
        <f>SUMIFS(#REF!,#REF!,$B282,#REF!,N$1)</f>
        <v>#REF!</v>
      </c>
      <c r="O282" s="24" t="e">
        <f>SUMIFS(#REF!,#REF!,$B282,#REF!,O$1)</f>
        <v>#REF!</v>
      </c>
      <c r="P282" s="24" t="e">
        <f>SUMIFS(#REF!,#REF!,$B282,#REF!,P$1)</f>
        <v>#REF!</v>
      </c>
      <c r="Q282" s="24" t="e">
        <f>SUMIFS(#REF!,#REF!,$B282,#REF!,Q$1)</f>
        <v>#REF!</v>
      </c>
      <c r="R282" s="24" t="e">
        <f>SUMIFS(#REF!,#REF!,$B282,#REF!,R$1)</f>
        <v>#REF!</v>
      </c>
      <c r="S282" s="24" t="e">
        <f>SUMIFS(#REF!,#REF!,$B282,#REF!,S$1)</f>
        <v>#REF!</v>
      </c>
      <c r="T282" s="24" t="e">
        <f>SUMIFS(#REF!,#REF!,$B282,#REF!,T$1)</f>
        <v>#REF!</v>
      </c>
      <c r="U282" s="24" t="e">
        <f>SUMIFS(#REF!,#REF!,$B282,#REF!,U$1)</f>
        <v>#REF!</v>
      </c>
      <c r="V282" s="24" t="e">
        <f>SUMIFS(#REF!,#REF!,$B282,#REF!,V$1)</f>
        <v>#REF!</v>
      </c>
      <c r="W282" s="24" t="e">
        <f>SUMIFS(#REF!,#REF!,$B282,#REF!,W$1)</f>
        <v>#REF!</v>
      </c>
      <c r="X282" s="24" t="e">
        <f>SUMIFS(#REF!,#REF!,$B282,#REF!,X$1)</f>
        <v>#REF!</v>
      </c>
      <c r="Y282" s="24" t="e">
        <f>SUMIFS(#REF!,#REF!,$B282,#REF!,Y$1)</f>
        <v>#REF!</v>
      </c>
      <c r="Z282" s="24" t="e">
        <f>SUMIFS(#REF!,#REF!,$B282,#REF!,Z$1)</f>
        <v>#REF!</v>
      </c>
      <c r="AA282" s="24" t="e">
        <f>SUMIFS(#REF!,#REF!,$B282,#REF!,AA$1)</f>
        <v>#REF!</v>
      </c>
      <c r="AB282" s="24" t="e">
        <f>SUMIFS(#REF!,#REF!,$B282,#REF!,AB$1)</f>
        <v>#REF!</v>
      </c>
      <c r="AC282" s="24" t="e">
        <f>SUMIFS(#REF!,#REF!,$B282,#REF!,AC$1)</f>
        <v>#REF!</v>
      </c>
      <c r="AD282" s="24" t="e">
        <f>SUMIFS(#REF!,#REF!,$B282,#REF!,AD$1)</f>
        <v>#REF!</v>
      </c>
      <c r="AE282" s="24" t="e">
        <f>SUMIFS(#REF!,#REF!,$B282,#REF!,AE$1)</f>
        <v>#REF!</v>
      </c>
      <c r="AF282" s="24" t="e">
        <f>SUMIFS(#REF!,#REF!,$B282,#REF!,AF$1)</f>
        <v>#REF!</v>
      </c>
      <c r="AG282" s="24" t="e">
        <f>SUMIFS(#REF!,#REF!,$B282,#REF!,AG$1)</f>
        <v>#REF!</v>
      </c>
      <c r="AH282" s="24" t="e">
        <f>SUMIFS(#REF!,#REF!,$B282,#REF!,AH$1)</f>
        <v>#REF!</v>
      </c>
      <c r="AI282" s="24" t="e">
        <f>SUMIFS(#REF!,#REF!,$B282,#REF!,AI$1)</f>
        <v>#REF!</v>
      </c>
      <c r="AJ282" s="24" t="e">
        <f>SUMIFS(#REF!,#REF!,$B282,#REF!,AJ$1)</f>
        <v>#REF!</v>
      </c>
      <c r="AK282" s="24" t="e">
        <f>SUMIFS(#REF!,#REF!,$B282,#REF!,AK$1)</f>
        <v>#REF!</v>
      </c>
      <c r="AL282" s="24" t="e">
        <f>SUMIFS(#REF!,#REF!,$B282,#REF!,AL$1)</f>
        <v>#REF!</v>
      </c>
      <c r="AM282" s="24" t="e">
        <f>SUMIFS(#REF!,#REF!,$B282,#REF!,AM$1)</f>
        <v>#REF!</v>
      </c>
      <c r="AN282" s="24" t="e">
        <f>SUMIFS(#REF!,#REF!,$B282,#REF!,AN$1)</f>
        <v>#REF!</v>
      </c>
      <c r="AO282" s="24" t="e">
        <f>SUMIFS(#REF!,#REF!,$B282,#REF!,AO$1)</f>
        <v>#REF!</v>
      </c>
      <c r="AP282" s="24" t="e">
        <f>SUMIFS(#REF!,#REF!,$B282,#REF!,AP$1)</f>
        <v>#REF!</v>
      </c>
      <c r="AQ282" s="24" t="e">
        <f>SUMIFS(#REF!,#REF!,$B282,#REF!,AQ$1)</f>
        <v>#REF!</v>
      </c>
      <c r="AR282" s="24" t="e">
        <f>SUMIFS(#REF!,#REF!,$B282,#REF!,AR$1)</f>
        <v>#REF!</v>
      </c>
      <c r="AS282" s="24" t="e">
        <f>SUMIFS(#REF!,#REF!,$B282,#REF!,AS$1)</f>
        <v>#REF!</v>
      </c>
      <c r="AT282" s="24" t="e">
        <f>SUMIFS(#REF!,#REF!,$B282,#REF!,AT$1)</f>
        <v>#REF!</v>
      </c>
      <c r="AU282" s="24" t="e">
        <f>SUMIFS(#REF!,#REF!,$B282,#REF!,AU$1)</f>
        <v>#REF!</v>
      </c>
      <c r="AV282" s="24" t="e">
        <f>SUMIFS(#REF!,#REF!,$B282,#REF!,AV$1)</f>
        <v>#REF!</v>
      </c>
      <c r="AW282" s="24" t="e">
        <f>SUMIFS(#REF!,#REF!,$B282,#REF!,AW$1)</f>
        <v>#REF!</v>
      </c>
      <c r="AX282" s="24" t="e">
        <f>SUMIFS(#REF!,#REF!,$B282,#REF!,AX$1)</f>
        <v>#REF!</v>
      </c>
      <c r="AY282" s="24" t="e">
        <f>SUMIFS(#REF!,#REF!,$B282,#REF!,AY$1)</f>
        <v>#REF!</v>
      </c>
      <c r="AZ282" s="24" t="e">
        <f>SUMIFS(#REF!,#REF!,$B282,#REF!,AZ$1)</f>
        <v>#REF!</v>
      </c>
      <c r="BA282" s="24" t="e">
        <f>SUMIFS(#REF!,#REF!,$B282,#REF!,BA$1)</f>
        <v>#REF!</v>
      </c>
      <c r="BB282" s="24" t="e">
        <f>SUMIFS(#REF!,#REF!,$B282,#REF!,BB$1)</f>
        <v>#REF!</v>
      </c>
      <c r="BC282" s="24" t="e">
        <f>SUMIFS(#REF!,#REF!,$B282,#REF!,BC$1)</f>
        <v>#REF!</v>
      </c>
      <c r="BD282" s="24" t="e">
        <f>SUMIFS(#REF!,#REF!,$B282,#REF!,BD$1)</f>
        <v>#REF!</v>
      </c>
      <c r="BE282" s="24" t="e">
        <f>SUMIFS(#REF!,#REF!,$B282,#REF!,BE$1)</f>
        <v>#REF!</v>
      </c>
      <c r="BF282" s="24" t="e">
        <f>SUMIFS(#REF!,#REF!,$B282,#REF!,BF$1)</f>
        <v>#REF!</v>
      </c>
      <c r="BG282" s="24" t="e">
        <f>SUMIFS(#REF!,#REF!,$B282,#REF!,BG$1)</f>
        <v>#REF!</v>
      </c>
      <c r="BH282" s="24" t="e">
        <f>SUMIFS(#REF!,#REF!,$B282,#REF!,BH$1)</f>
        <v>#REF!</v>
      </c>
      <c r="BI282" s="24" t="e">
        <f>SUMIFS(#REF!,#REF!,$B282,#REF!,BI$1)</f>
        <v>#REF!</v>
      </c>
      <c r="BJ282" s="24" t="e">
        <f>SUMIFS(#REF!,#REF!,$B282,#REF!,BJ$1)</f>
        <v>#REF!</v>
      </c>
      <c r="BK282" s="24" t="e">
        <f>SUMIFS(#REF!,#REF!,$B282,#REF!,BK$1)</f>
        <v>#REF!</v>
      </c>
      <c r="BL282" s="24" t="e">
        <f>SUMIFS(#REF!,#REF!,$B282,#REF!,BL$1)</f>
        <v>#REF!</v>
      </c>
      <c r="BM282" s="24" t="e">
        <f>SUMIFS(#REF!,#REF!,$B282,#REF!,BM$1)</f>
        <v>#REF!</v>
      </c>
      <c r="BN282" s="24" t="e">
        <f>SUMIFS(#REF!,#REF!,$B282,#REF!,BN$1)</f>
        <v>#REF!</v>
      </c>
      <c r="BO282" s="24" t="e">
        <f>SUMIFS(#REF!,#REF!,$B282,#REF!,BO$1)</f>
        <v>#REF!</v>
      </c>
      <c r="BP282" s="24" t="e">
        <f>SUMIFS(#REF!,#REF!,$B282,#REF!,BP$1)</f>
        <v>#REF!</v>
      </c>
      <c r="BQ282" s="24" t="e">
        <f>SUMIFS(#REF!,#REF!,$B282,#REF!,BQ$1)</f>
        <v>#REF!</v>
      </c>
      <c r="BR282" s="24" t="e">
        <f>SUMIFS(#REF!,#REF!,$B282,#REF!,BR$1)</f>
        <v>#REF!</v>
      </c>
      <c r="BS282" s="24" t="e">
        <f>SUMIFS(#REF!,#REF!,$B282,#REF!,BS$1)</f>
        <v>#REF!</v>
      </c>
      <c r="BT282" s="24" t="e">
        <f>SUMIFS(#REF!,#REF!,$B282,#REF!,BT$1)</f>
        <v>#REF!</v>
      </c>
      <c r="BU282" s="24" t="e">
        <f>SUMIFS(#REF!,#REF!,$B282,#REF!,BU$1)</f>
        <v>#REF!</v>
      </c>
      <c r="BV282" s="24" t="e">
        <f>SUMIFS(#REF!,#REF!,$B282,#REF!,BV$1)</f>
        <v>#REF!</v>
      </c>
      <c r="BW282" s="24" t="e">
        <f>SUMIFS(#REF!,#REF!,$B282,#REF!,BW$1)</f>
        <v>#REF!</v>
      </c>
      <c r="BX282" s="24" t="e">
        <f>SUMIFS(#REF!,#REF!,$B282,#REF!,BX$1)</f>
        <v>#REF!</v>
      </c>
      <c r="BY282" s="24" t="e">
        <f>SUMIFS(#REF!,#REF!,$B282,#REF!,BY$1)</f>
        <v>#REF!</v>
      </c>
      <c r="BZ282" s="24" t="e">
        <f>SUMIFS(#REF!,#REF!,$B282,#REF!,BZ$1)</f>
        <v>#REF!</v>
      </c>
      <c r="CA282" s="24" t="e">
        <f>SUMIFS(#REF!,#REF!,$B282,#REF!,CA$1)</f>
        <v>#REF!</v>
      </c>
      <c r="CB282" s="24" t="e">
        <f>SUMIFS(#REF!,#REF!,$B282,#REF!,CB$1)</f>
        <v>#REF!</v>
      </c>
      <c r="CC282" s="24" t="e">
        <f>SUMIFS(#REF!,#REF!,$B282,#REF!,CC$1)</f>
        <v>#REF!</v>
      </c>
      <c r="CD282" s="24" t="e">
        <f>SUMIFS(#REF!,#REF!,$B282,#REF!,CD$1)</f>
        <v>#REF!</v>
      </c>
      <c r="CE282" s="24" t="e">
        <f>SUMIFS(#REF!,#REF!,$B282,#REF!,CE$1)</f>
        <v>#REF!</v>
      </c>
      <c r="CF282" s="24" t="e">
        <f>SUMIFS(#REF!,#REF!,$B282,#REF!,CF$1)</f>
        <v>#REF!</v>
      </c>
      <c r="CG282" s="19" t="e">
        <f t="shared" si="4"/>
        <v>#REF!</v>
      </c>
    </row>
    <row r="283" spans="1:85" x14ac:dyDescent="0.45">
      <c r="A283" s="4" t="s">
        <v>1535</v>
      </c>
      <c r="B283" s="4" t="s">
        <v>1535</v>
      </c>
      <c r="C283" s="24" t="e">
        <f>SUMIFS(#REF!,#REF!,$B283,#REF!,C$1)</f>
        <v>#REF!</v>
      </c>
      <c r="D283" s="24" t="e">
        <f>SUMIFS(#REF!,#REF!,$B283,#REF!,D$1)</f>
        <v>#REF!</v>
      </c>
      <c r="E283" s="24" t="e">
        <f>SUMIFS(#REF!,#REF!,$B283,#REF!,E$1)</f>
        <v>#REF!</v>
      </c>
      <c r="F283" s="24" t="e">
        <f>SUMIFS(#REF!,#REF!,$B283,#REF!,F$1)</f>
        <v>#REF!</v>
      </c>
      <c r="G283" s="24" t="e">
        <f>SUMIFS(#REF!,#REF!,$B283,#REF!,G$1)</f>
        <v>#REF!</v>
      </c>
      <c r="H283" s="24" t="e">
        <f>SUMIFS(#REF!,#REF!,$B283,#REF!,H$1)</f>
        <v>#REF!</v>
      </c>
      <c r="I283" s="24" t="e">
        <f>SUMIFS(#REF!,#REF!,$B283,#REF!,I$1)</f>
        <v>#REF!</v>
      </c>
      <c r="J283" s="24" t="e">
        <f>SUMIFS(#REF!,#REF!,$B283,#REF!,J$1)</f>
        <v>#REF!</v>
      </c>
      <c r="K283" s="24" t="e">
        <f>SUMIFS(#REF!,#REF!,$B283,#REF!,K$1)</f>
        <v>#REF!</v>
      </c>
      <c r="L283" s="24" t="e">
        <f>SUMIFS(#REF!,#REF!,$B283,#REF!,L$1)</f>
        <v>#REF!</v>
      </c>
      <c r="M283" s="24" t="e">
        <f>SUMIFS(#REF!,#REF!,$B283,#REF!,M$1)</f>
        <v>#REF!</v>
      </c>
      <c r="N283" s="24" t="e">
        <f>SUMIFS(#REF!,#REF!,$B283,#REF!,N$1)</f>
        <v>#REF!</v>
      </c>
      <c r="O283" s="24" t="e">
        <f>SUMIFS(#REF!,#REF!,$B283,#REF!,O$1)</f>
        <v>#REF!</v>
      </c>
      <c r="P283" s="24" t="e">
        <f>SUMIFS(#REF!,#REF!,$B283,#REF!,P$1)</f>
        <v>#REF!</v>
      </c>
      <c r="Q283" s="24" t="e">
        <f>SUMIFS(#REF!,#REF!,$B283,#REF!,Q$1)</f>
        <v>#REF!</v>
      </c>
      <c r="R283" s="24" t="e">
        <f>SUMIFS(#REF!,#REF!,$B283,#REF!,R$1)</f>
        <v>#REF!</v>
      </c>
      <c r="S283" s="24" t="e">
        <f>SUMIFS(#REF!,#REF!,$B283,#REF!,S$1)</f>
        <v>#REF!</v>
      </c>
      <c r="T283" s="24" t="e">
        <f>SUMIFS(#REF!,#REF!,$B283,#REF!,T$1)</f>
        <v>#REF!</v>
      </c>
      <c r="U283" s="24" t="e">
        <f>SUMIFS(#REF!,#REF!,$B283,#REF!,U$1)</f>
        <v>#REF!</v>
      </c>
      <c r="V283" s="24" t="e">
        <f>SUMIFS(#REF!,#REF!,$B283,#REF!,V$1)</f>
        <v>#REF!</v>
      </c>
      <c r="W283" s="24" t="e">
        <f>SUMIFS(#REF!,#REF!,$B283,#REF!,W$1)</f>
        <v>#REF!</v>
      </c>
      <c r="X283" s="24" t="e">
        <f>SUMIFS(#REF!,#REF!,$B283,#REF!,X$1)</f>
        <v>#REF!</v>
      </c>
      <c r="Y283" s="24" t="e">
        <f>SUMIFS(#REF!,#REF!,$B283,#REF!,Y$1)</f>
        <v>#REF!</v>
      </c>
      <c r="Z283" s="24" t="e">
        <f>SUMIFS(#REF!,#REF!,$B283,#REF!,Z$1)</f>
        <v>#REF!</v>
      </c>
      <c r="AA283" s="24" t="e">
        <f>SUMIFS(#REF!,#REF!,$B283,#REF!,AA$1)</f>
        <v>#REF!</v>
      </c>
      <c r="AB283" s="24" t="e">
        <f>SUMIFS(#REF!,#REF!,$B283,#REF!,AB$1)</f>
        <v>#REF!</v>
      </c>
      <c r="AC283" s="24" t="e">
        <f>SUMIFS(#REF!,#REF!,$B283,#REF!,AC$1)</f>
        <v>#REF!</v>
      </c>
      <c r="AD283" s="24" t="e">
        <f>SUMIFS(#REF!,#REF!,$B283,#REF!,AD$1)</f>
        <v>#REF!</v>
      </c>
      <c r="AE283" s="24" t="e">
        <f>SUMIFS(#REF!,#REF!,$B283,#REF!,AE$1)</f>
        <v>#REF!</v>
      </c>
      <c r="AF283" s="24" t="e">
        <f>SUMIFS(#REF!,#REF!,$B283,#REF!,AF$1)</f>
        <v>#REF!</v>
      </c>
      <c r="AG283" s="24" t="e">
        <f>SUMIFS(#REF!,#REF!,$B283,#REF!,AG$1)</f>
        <v>#REF!</v>
      </c>
      <c r="AH283" s="24" t="e">
        <f>SUMIFS(#REF!,#REF!,$B283,#REF!,AH$1)</f>
        <v>#REF!</v>
      </c>
      <c r="AI283" s="24" t="e">
        <f>SUMIFS(#REF!,#REF!,$B283,#REF!,AI$1)</f>
        <v>#REF!</v>
      </c>
      <c r="AJ283" s="24" t="e">
        <f>SUMIFS(#REF!,#REF!,$B283,#REF!,AJ$1)</f>
        <v>#REF!</v>
      </c>
      <c r="AK283" s="24" t="e">
        <f>SUMIFS(#REF!,#REF!,$B283,#REF!,AK$1)</f>
        <v>#REF!</v>
      </c>
      <c r="AL283" s="24" t="e">
        <f>SUMIFS(#REF!,#REF!,$B283,#REF!,AL$1)</f>
        <v>#REF!</v>
      </c>
      <c r="AM283" s="24" t="e">
        <f>SUMIFS(#REF!,#REF!,$B283,#REF!,AM$1)</f>
        <v>#REF!</v>
      </c>
      <c r="AN283" s="24" t="e">
        <f>SUMIFS(#REF!,#REF!,$B283,#REF!,AN$1)</f>
        <v>#REF!</v>
      </c>
      <c r="AO283" s="24" t="e">
        <f>SUMIFS(#REF!,#REF!,$B283,#REF!,AO$1)</f>
        <v>#REF!</v>
      </c>
      <c r="AP283" s="24" t="e">
        <f>SUMIFS(#REF!,#REF!,$B283,#REF!,AP$1)</f>
        <v>#REF!</v>
      </c>
      <c r="AQ283" s="24" t="e">
        <f>SUMIFS(#REF!,#REF!,$B283,#REF!,AQ$1)</f>
        <v>#REF!</v>
      </c>
      <c r="AR283" s="24" t="e">
        <f>SUMIFS(#REF!,#REF!,$B283,#REF!,AR$1)</f>
        <v>#REF!</v>
      </c>
      <c r="AS283" s="24" t="e">
        <f>SUMIFS(#REF!,#REF!,$B283,#REF!,AS$1)</f>
        <v>#REF!</v>
      </c>
      <c r="AT283" s="24" t="e">
        <f>SUMIFS(#REF!,#REF!,$B283,#REF!,AT$1)</f>
        <v>#REF!</v>
      </c>
      <c r="AU283" s="24" t="e">
        <f>SUMIFS(#REF!,#REF!,$B283,#REF!,AU$1)</f>
        <v>#REF!</v>
      </c>
      <c r="AV283" s="24" t="e">
        <f>SUMIFS(#REF!,#REF!,$B283,#REF!,AV$1)</f>
        <v>#REF!</v>
      </c>
      <c r="AW283" s="24" t="e">
        <f>SUMIFS(#REF!,#REF!,$B283,#REF!,AW$1)</f>
        <v>#REF!</v>
      </c>
      <c r="AX283" s="24" t="e">
        <f>SUMIFS(#REF!,#REF!,$B283,#REF!,AX$1)</f>
        <v>#REF!</v>
      </c>
      <c r="AY283" s="24" t="e">
        <f>SUMIFS(#REF!,#REF!,$B283,#REF!,AY$1)</f>
        <v>#REF!</v>
      </c>
      <c r="AZ283" s="24" t="e">
        <f>SUMIFS(#REF!,#REF!,$B283,#REF!,AZ$1)</f>
        <v>#REF!</v>
      </c>
      <c r="BA283" s="24" t="e">
        <f>SUMIFS(#REF!,#REF!,$B283,#REF!,BA$1)</f>
        <v>#REF!</v>
      </c>
      <c r="BB283" s="24" t="e">
        <f>SUMIFS(#REF!,#REF!,$B283,#REF!,BB$1)</f>
        <v>#REF!</v>
      </c>
      <c r="BC283" s="24" t="e">
        <f>SUMIFS(#REF!,#REF!,$B283,#REF!,BC$1)</f>
        <v>#REF!</v>
      </c>
      <c r="BD283" s="24" t="e">
        <f>SUMIFS(#REF!,#REF!,$B283,#REF!,BD$1)</f>
        <v>#REF!</v>
      </c>
      <c r="BE283" s="24" t="e">
        <f>SUMIFS(#REF!,#REF!,$B283,#REF!,BE$1)</f>
        <v>#REF!</v>
      </c>
      <c r="BF283" s="24" t="e">
        <f>SUMIFS(#REF!,#REF!,$B283,#REF!,BF$1)</f>
        <v>#REF!</v>
      </c>
      <c r="BG283" s="24" t="e">
        <f>SUMIFS(#REF!,#REF!,$B283,#REF!,BG$1)</f>
        <v>#REF!</v>
      </c>
      <c r="BH283" s="24" t="e">
        <f>SUMIFS(#REF!,#REF!,$B283,#REF!,BH$1)</f>
        <v>#REF!</v>
      </c>
      <c r="BI283" s="24" t="e">
        <f>SUMIFS(#REF!,#REF!,$B283,#REF!,BI$1)</f>
        <v>#REF!</v>
      </c>
      <c r="BJ283" s="24" t="e">
        <f>SUMIFS(#REF!,#REF!,$B283,#REF!,BJ$1)</f>
        <v>#REF!</v>
      </c>
      <c r="BK283" s="24" t="e">
        <f>SUMIFS(#REF!,#REF!,$B283,#REF!,BK$1)</f>
        <v>#REF!</v>
      </c>
      <c r="BL283" s="24" t="e">
        <f>SUMIFS(#REF!,#REF!,$B283,#REF!,BL$1)</f>
        <v>#REF!</v>
      </c>
      <c r="BM283" s="24" t="e">
        <f>SUMIFS(#REF!,#REF!,$B283,#REF!,BM$1)</f>
        <v>#REF!</v>
      </c>
      <c r="BN283" s="24" t="e">
        <f>SUMIFS(#REF!,#REF!,$B283,#REF!,BN$1)</f>
        <v>#REF!</v>
      </c>
      <c r="BO283" s="24" t="e">
        <f>SUMIFS(#REF!,#REF!,$B283,#REF!,BO$1)</f>
        <v>#REF!</v>
      </c>
      <c r="BP283" s="24" t="e">
        <f>SUMIFS(#REF!,#REF!,$B283,#REF!,BP$1)</f>
        <v>#REF!</v>
      </c>
      <c r="BQ283" s="24" t="e">
        <f>SUMIFS(#REF!,#REF!,$B283,#REF!,BQ$1)</f>
        <v>#REF!</v>
      </c>
      <c r="BR283" s="24" t="e">
        <f>SUMIFS(#REF!,#REF!,$B283,#REF!,BR$1)</f>
        <v>#REF!</v>
      </c>
      <c r="BS283" s="24" t="e">
        <f>SUMIFS(#REF!,#REF!,$B283,#REF!,BS$1)</f>
        <v>#REF!</v>
      </c>
      <c r="BT283" s="24" t="e">
        <f>SUMIFS(#REF!,#REF!,$B283,#REF!,BT$1)</f>
        <v>#REF!</v>
      </c>
      <c r="BU283" s="24" t="e">
        <f>SUMIFS(#REF!,#REF!,$B283,#REF!,BU$1)</f>
        <v>#REF!</v>
      </c>
      <c r="BV283" s="24" t="e">
        <f>SUMIFS(#REF!,#REF!,$B283,#REF!,BV$1)</f>
        <v>#REF!</v>
      </c>
      <c r="BW283" s="24" t="e">
        <f>SUMIFS(#REF!,#REF!,$B283,#REF!,BW$1)</f>
        <v>#REF!</v>
      </c>
      <c r="BX283" s="24" t="e">
        <f>SUMIFS(#REF!,#REF!,$B283,#REF!,BX$1)</f>
        <v>#REF!</v>
      </c>
      <c r="BY283" s="24" t="e">
        <f>SUMIFS(#REF!,#REF!,$B283,#REF!,BY$1)</f>
        <v>#REF!</v>
      </c>
      <c r="BZ283" s="24" t="e">
        <f>SUMIFS(#REF!,#REF!,$B283,#REF!,BZ$1)</f>
        <v>#REF!</v>
      </c>
      <c r="CA283" s="24" t="e">
        <f>SUMIFS(#REF!,#REF!,$B283,#REF!,CA$1)</f>
        <v>#REF!</v>
      </c>
      <c r="CB283" s="24" t="e">
        <f>SUMIFS(#REF!,#REF!,$B283,#REF!,CB$1)</f>
        <v>#REF!</v>
      </c>
      <c r="CC283" s="24" t="e">
        <f>SUMIFS(#REF!,#REF!,$B283,#REF!,CC$1)</f>
        <v>#REF!</v>
      </c>
      <c r="CD283" s="24" t="e">
        <f>SUMIFS(#REF!,#REF!,$B283,#REF!,CD$1)</f>
        <v>#REF!</v>
      </c>
      <c r="CE283" s="24" t="e">
        <f>SUMIFS(#REF!,#REF!,$B283,#REF!,CE$1)</f>
        <v>#REF!</v>
      </c>
      <c r="CF283" s="24" t="e">
        <f>SUMIFS(#REF!,#REF!,$B283,#REF!,CF$1)</f>
        <v>#REF!</v>
      </c>
      <c r="CG283" s="19" t="e">
        <f t="shared" si="4"/>
        <v>#REF!</v>
      </c>
    </row>
    <row r="284" spans="1:85" x14ac:dyDescent="0.45">
      <c r="A284" s="4" t="s">
        <v>1536</v>
      </c>
      <c r="B284" s="4" t="s">
        <v>1536</v>
      </c>
      <c r="C284" s="24" t="e">
        <f>SUMIFS(#REF!,#REF!,$B284,#REF!,C$1)</f>
        <v>#REF!</v>
      </c>
      <c r="D284" s="24" t="e">
        <f>SUMIFS(#REF!,#REF!,$B284,#REF!,D$1)</f>
        <v>#REF!</v>
      </c>
      <c r="E284" s="24" t="e">
        <f>SUMIFS(#REF!,#REF!,$B284,#REF!,E$1)</f>
        <v>#REF!</v>
      </c>
      <c r="F284" s="24" t="e">
        <f>SUMIFS(#REF!,#REF!,$B284,#REF!,F$1)</f>
        <v>#REF!</v>
      </c>
      <c r="G284" s="24" t="e">
        <f>SUMIFS(#REF!,#REF!,$B284,#REF!,G$1)</f>
        <v>#REF!</v>
      </c>
      <c r="H284" s="24" t="e">
        <f>SUMIFS(#REF!,#REF!,$B284,#REF!,H$1)</f>
        <v>#REF!</v>
      </c>
      <c r="I284" s="24" t="e">
        <f>SUMIFS(#REF!,#REF!,$B284,#REF!,I$1)</f>
        <v>#REF!</v>
      </c>
      <c r="J284" s="24" t="e">
        <f>SUMIFS(#REF!,#REF!,$B284,#REF!,J$1)</f>
        <v>#REF!</v>
      </c>
      <c r="K284" s="24" t="e">
        <f>SUMIFS(#REF!,#REF!,$B284,#REF!,K$1)</f>
        <v>#REF!</v>
      </c>
      <c r="L284" s="24" t="e">
        <f>SUMIFS(#REF!,#REF!,$B284,#REF!,L$1)</f>
        <v>#REF!</v>
      </c>
      <c r="M284" s="24" t="e">
        <f>SUMIFS(#REF!,#REF!,$B284,#REF!,M$1)</f>
        <v>#REF!</v>
      </c>
      <c r="N284" s="24" t="e">
        <f>SUMIFS(#REF!,#REF!,$B284,#REF!,N$1)</f>
        <v>#REF!</v>
      </c>
      <c r="O284" s="24" t="e">
        <f>SUMIFS(#REF!,#REF!,$B284,#REF!,O$1)</f>
        <v>#REF!</v>
      </c>
      <c r="P284" s="24" t="e">
        <f>SUMIFS(#REF!,#REF!,$B284,#REF!,P$1)</f>
        <v>#REF!</v>
      </c>
      <c r="Q284" s="24" t="e">
        <f>SUMIFS(#REF!,#REF!,$B284,#REF!,Q$1)</f>
        <v>#REF!</v>
      </c>
      <c r="R284" s="24" t="e">
        <f>SUMIFS(#REF!,#REF!,$B284,#REF!,R$1)</f>
        <v>#REF!</v>
      </c>
      <c r="S284" s="24" t="e">
        <f>SUMIFS(#REF!,#REF!,$B284,#REF!,S$1)</f>
        <v>#REF!</v>
      </c>
      <c r="T284" s="24" t="e">
        <f>SUMIFS(#REF!,#REF!,$B284,#REF!,T$1)</f>
        <v>#REF!</v>
      </c>
      <c r="U284" s="24" t="e">
        <f>SUMIFS(#REF!,#REF!,$B284,#REF!,U$1)</f>
        <v>#REF!</v>
      </c>
      <c r="V284" s="24" t="e">
        <f>SUMIFS(#REF!,#REF!,$B284,#REF!,V$1)</f>
        <v>#REF!</v>
      </c>
      <c r="W284" s="24" t="e">
        <f>SUMIFS(#REF!,#REF!,$B284,#REF!,W$1)</f>
        <v>#REF!</v>
      </c>
      <c r="X284" s="24" t="e">
        <f>SUMIFS(#REF!,#REF!,$B284,#REF!,X$1)</f>
        <v>#REF!</v>
      </c>
      <c r="Y284" s="24" t="e">
        <f>SUMIFS(#REF!,#REF!,$B284,#REF!,Y$1)</f>
        <v>#REF!</v>
      </c>
      <c r="Z284" s="24" t="e">
        <f>SUMIFS(#REF!,#REF!,$B284,#REF!,Z$1)</f>
        <v>#REF!</v>
      </c>
      <c r="AA284" s="24" t="e">
        <f>SUMIFS(#REF!,#REF!,$B284,#REF!,AA$1)</f>
        <v>#REF!</v>
      </c>
      <c r="AB284" s="24" t="e">
        <f>SUMIFS(#REF!,#REF!,$B284,#REF!,AB$1)</f>
        <v>#REF!</v>
      </c>
      <c r="AC284" s="24" t="e">
        <f>SUMIFS(#REF!,#REF!,$B284,#REF!,AC$1)</f>
        <v>#REF!</v>
      </c>
      <c r="AD284" s="24" t="e">
        <f>SUMIFS(#REF!,#REF!,$B284,#REF!,AD$1)</f>
        <v>#REF!</v>
      </c>
      <c r="AE284" s="24" t="e">
        <f>SUMIFS(#REF!,#REF!,$B284,#REF!,AE$1)</f>
        <v>#REF!</v>
      </c>
      <c r="AF284" s="24" t="e">
        <f>SUMIFS(#REF!,#REF!,$B284,#REF!,AF$1)</f>
        <v>#REF!</v>
      </c>
      <c r="AG284" s="24" t="e">
        <f>SUMIFS(#REF!,#REF!,$B284,#REF!,AG$1)</f>
        <v>#REF!</v>
      </c>
      <c r="AH284" s="24" t="e">
        <f>SUMIFS(#REF!,#REF!,$B284,#REF!,AH$1)</f>
        <v>#REF!</v>
      </c>
      <c r="AI284" s="24" t="e">
        <f>SUMIFS(#REF!,#REF!,$B284,#REF!,AI$1)</f>
        <v>#REF!</v>
      </c>
      <c r="AJ284" s="24" t="e">
        <f>SUMIFS(#REF!,#REF!,$B284,#REF!,AJ$1)</f>
        <v>#REF!</v>
      </c>
      <c r="AK284" s="24" t="e">
        <f>SUMIFS(#REF!,#REF!,$B284,#REF!,AK$1)</f>
        <v>#REF!</v>
      </c>
      <c r="AL284" s="24" t="e">
        <f>SUMIFS(#REF!,#REF!,$B284,#REF!,AL$1)</f>
        <v>#REF!</v>
      </c>
      <c r="AM284" s="24" t="e">
        <f>SUMIFS(#REF!,#REF!,$B284,#REF!,AM$1)</f>
        <v>#REF!</v>
      </c>
      <c r="AN284" s="24" t="e">
        <f>SUMIFS(#REF!,#REF!,$B284,#REF!,AN$1)</f>
        <v>#REF!</v>
      </c>
      <c r="AO284" s="24" t="e">
        <f>SUMIFS(#REF!,#REF!,$B284,#REF!,AO$1)</f>
        <v>#REF!</v>
      </c>
      <c r="AP284" s="24" t="e">
        <f>SUMIFS(#REF!,#REF!,$B284,#REF!,AP$1)</f>
        <v>#REF!</v>
      </c>
      <c r="AQ284" s="24" t="e">
        <f>SUMIFS(#REF!,#REF!,$B284,#REF!,AQ$1)</f>
        <v>#REF!</v>
      </c>
      <c r="AR284" s="24" t="e">
        <f>SUMIFS(#REF!,#REF!,$B284,#REF!,AR$1)</f>
        <v>#REF!</v>
      </c>
      <c r="AS284" s="24" t="e">
        <f>SUMIFS(#REF!,#REF!,$B284,#REF!,AS$1)</f>
        <v>#REF!</v>
      </c>
      <c r="AT284" s="24" t="e">
        <f>SUMIFS(#REF!,#REF!,$B284,#REF!,AT$1)</f>
        <v>#REF!</v>
      </c>
      <c r="AU284" s="24" t="e">
        <f>SUMIFS(#REF!,#REF!,$B284,#REF!,AU$1)</f>
        <v>#REF!</v>
      </c>
      <c r="AV284" s="24" t="e">
        <f>SUMIFS(#REF!,#REF!,$B284,#REF!,AV$1)</f>
        <v>#REF!</v>
      </c>
      <c r="AW284" s="24" t="e">
        <f>SUMIFS(#REF!,#REF!,$B284,#REF!,AW$1)</f>
        <v>#REF!</v>
      </c>
      <c r="AX284" s="24" t="e">
        <f>SUMIFS(#REF!,#REF!,$B284,#REF!,AX$1)</f>
        <v>#REF!</v>
      </c>
      <c r="AY284" s="24" t="e">
        <f>SUMIFS(#REF!,#REF!,$B284,#REF!,AY$1)</f>
        <v>#REF!</v>
      </c>
      <c r="AZ284" s="24" t="e">
        <f>SUMIFS(#REF!,#REF!,$B284,#REF!,AZ$1)</f>
        <v>#REF!</v>
      </c>
      <c r="BA284" s="24" t="e">
        <f>SUMIFS(#REF!,#REF!,$B284,#REF!,BA$1)</f>
        <v>#REF!</v>
      </c>
      <c r="BB284" s="24" t="e">
        <f>SUMIFS(#REF!,#REF!,$B284,#REF!,BB$1)</f>
        <v>#REF!</v>
      </c>
      <c r="BC284" s="24" t="e">
        <f>SUMIFS(#REF!,#REF!,$B284,#REF!,BC$1)</f>
        <v>#REF!</v>
      </c>
      <c r="BD284" s="24" t="e">
        <f>SUMIFS(#REF!,#REF!,$B284,#REF!,BD$1)</f>
        <v>#REF!</v>
      </c>
      <c r="BE284" s="24" t="e">
        <f>SUMIFS(#REF!,#REF!,$B284,#REF!,BE$1)</f>
        <v>#REF!</v>
      </c>
      <c r="BF284" s="24" t="e">
        <f>SUMIFS(#REF!,#REF!,$B284,#REF!,BF$1)</f>
        <v>#REF!</v>
      </c>
      <c r="BG284" s="24" t="e">
        <f>SUMIFS(#REF!,#REF!,$B284,#REF!,BG$1)</f>
        <v>#REF!</v>
      </c>
      <c r="BH284" s="24" t="e">
        <f>SUMIFS(#REF!,#REF!,$B284,#REF!,BH$1)</f>
        <v>#REF!</v>
      </c>
      <c r="BI284" s="24" t="e">
        <f>SUMIFS(#REF!,#REF!,$B284,#REF!,BI$1)</f>
        <v>#REF!</v>
      </c>
      <c r="BJ284" s="24" t="e">
        <f>SUMIFS(#REF!,#REF!,$B284,#REF!,BJ$1)</f>
        <v>#REF!</v>
      </c>
      <c r="BK284" s="24" t="e">
        <f>SUMIFS(#REF!,#REF!,$B284,#REF!,BK$1)</f>
        <v>#REF!</v>
      </c>
      <c r="BL284" s="24" t="e">
        <f>SUMIFS(#REF!,#REF!,$B284,#REF!,BL$1)</f>
        <v>#REF!</v>
      </c>
      <c r="BM284" s="24" t="e">
        <f>SUMIFS(#REF!,#REF!,$B284,#REF!,BM$1)</f>
        <v>#REF!</v>
      </c>
      <c r="BN284" s="24" t="e">
        <f>SUMIFS(#REF!,#REF!,$B284,#REF!,BN$1)</f>
        <v>#REF!</v>
      </c>
      <c r="BO284" s="24" t="e">
        <f>SUMIFS(#REF!,#REF!,$B284,#REF!,BO$1)</f>
        <v>#REF!</v>
      </c>
      <c r="BP284" s="24" t="e">
        <f>SUMIFS(#REF!,#REF!,$B284,#REF!,BP$1)</f>
        <v>#REF!</v>
      </c>
      <c r="BQ284" s="24" t="e">
        <f>SUMIFS(#REF!,#REF!,$B284,#REF!,BQ$1)</f>
        <v>#REF!</v>
      </c>
      <c r="BR284" s="24" t="e">
        <f>SUMIFS(#REF!,#REF!,$B284,#REF!,BR$1)</f>
        <v>#REF!</v>
      </c>
      <c r="BS284" s="24" t="e">
        <f>SUMIFS(#REF!,#REF!,$B284,#REF!,BS$1)</f>
        <v>#REF!</v>
      </c>
      <c r="BT284" s="24" t="e">
        <f>SUMIFS(#REF!,#REF!,$B284,#REF!,BT$1)</f>
        <v>#REF!</v>
      </c>
      <c r="BU284" s="24" t="e">
        <f>SUMIFS(#REF!,#REF!,$B284,#REF!,BU$1)</f>
        <v>#REF!</v>
      </c>
      <c r="BV284" s="24" t="e">
        <f>SUMIFS(#REF!,#REF!,$B284,#REF!,BV$1)</f>
        <v>#REF!</v>
      </c>
      <c r="BW284" s="24" t="e">
        <f>SUMIFS(#REF!,#REF!,$B284,#REF!,BW$1)</f>
        <v>#REF!</v>
      </c>
      <c r="BX284" s="24" t="e">
        <f>SUMIFS(#REF!,#REF!,$B284,#REF!,BX$1)</f>
        <v>#REF!</v>
      </c>
      <c r="BY284" s="24" t="e">
        <f>SUMIFS(#REF!,#REF!,$B284,#REF!,BY$1)</f>
        <v>#REF!</v>
      </c>
      <c r="BZ284" s="24" t="e">
        <f>SUMIFS(#REF!,#REF!,$B284,#REF!,BZ$1)</f>
        <v>#REF!</v>
      </c>
      <c r="CA284" s="24" t="e">
        <f>SUMIFS(#REF!,#REF!,$B284,#REF!,CA$1)</f>
        <v>#REF!</v>
      </c>
      <c r="CB284" s="24" t="e">
        <f>SUMIFS(#REF!,#REF!,$B284,#REF!,CB$1)</f>
        <v>#REF!</v>
      </c>
      <c r="CC284" s="24" t="e">
        <f>SUMIFS(#REF!,#REF!,$B284,#REF!,CC$1)</f>
        <v>#REF!</v>
      </c>
      <c r="CD284" s="24" t="e">
        <f>SUMIFS(#REF!,#REF!,$B284,#REF!,CD$1)</f>
        <v>#REF!</v>
      </c>
      <c r="CE284" s="24" t="e">
        <f>SUMIFS(#REF!,#REF!,$B284,#REF!,CE$1)</f>
        <v>#REF!</v>
      </c>
      <c r="CF284" s="24" t="e">
        <f>SUMIFS(#REF!,#REF!,$B284,#REF!,CF$1)</f>
        <v>#REF!</v>
      </c>
      <c r="CG284" s="19" t="e">
        <f t="shared" si="4"/>
        <v>#REF!</v>
      </c>
    </row>
    <row r="285" spans="1:85" x14ac:dyDescent="0.45">
      <c r="A285" s="4" t="s">
        <v>1537</v>
      </c>
      <c r="B285" s="4" t="s">
        <v>1537</v>
      </c>
      <c r="C285" s="24" t="e">
        <f>SUMIFS(#REF!,#REF!,$B285,#REF!,C$1)</f>
        <v>#REF!</v>
      </c>
      <c r="D285" s="24" t="e">
        <f>SUMIFS(#REF!,#REF!,$B285,#REF!,D$1)</f>
        <v>#REF!</v>
      </c>
      <c r="E285" s="24" t="e">
        <f>SUMIFS(#REF!,#REF!,$B285,#REF!,E$1)</f>
        <v>#REF!</v>
      </c>
      <c r="F285" s="24" t="e">
        <f>SUMIFS(#REF!,#REF!,$B285,#REF!,F$1)</f>
        <v>#REF!</v>
      </c>
      <c r="G285" s="24" t="e">
        <f>SUMIFS(#REF!,#REF!,$B285,#REF!,G$1)</f>
        <v>#REF!</v>
      </c>
      <c r="H285" s="24" t="e">
        <f>SUMIFS(#REF!,#REF!,$B285,#REF!,H$1)</f>
        <v>#REF!</v>
      </c>
      <c r="I285" s="24" t="e">
        <f>SUMIFS(#REF!,#REF!,$B285,#REF!,I$1)</f>
        <v>#REF!</v>
      </c>
      <c r="J285" s="24" t="e">
        <f>SUMIFS(#REF!,#REF!,$B285,#REF!,J$1)</f>
        <v>#REF!</v>
      </c>
      <c r="K285" s="24" t="e">
        <f>SUMIFS(#REF!,#REF!,$B285,#REF!,K$1)</f>
        <v>#REF!</v>
      </c>
      <c r="L285" s="24" t="e">
        <f>SUMIFS(#REF!,#REF!,$B285,#REF!,L$1)</f>
        <v>#REF!</v>
      </c>
      <c r="M285" s="24" t="e">
        <f>SUMIFS(#REF!,#REF!,$B285,#REF!,M$1)</f>
        <v>#REF!</v>
      </c>
      <c r="N285" s="24" t="e">
        <f>SUMIFS(#REF!,#REF!,$B285,#REF!,N$1)</f>
        <v>#REF!</v>
      </c>
      <c r="O285" s="24" t="e">
        <f>SUMIFS(#REF!,#REF!,$B285,#REF!,O$1)</f>
        <v>#REF!</v>
      </c>
      <c r="P285" s="24" t="e">
        <f>SUMIFS(#REF!,#REF!,$B285,#REF!,P$1)</f>
        <v>#REF!</v>
      </c>
      <c r="Q285" s="24" t="e">
        <f>SUMIFS(#REF!,#REF!,$B285,#REF!,Q$1)</f>
        <v>#REF!</v>
      </c>
      <c r="R285" s="24" t="e">
        <f>SUMIFS(#REF!,#REF!,$B285,#REF!,R$1)</f>
        <v>#REF!</v>
      </c>
      <c r="S285" s="24" t="e">
        <f>SUMIFS(#REF!,#REF!,$B285,#REF!,S$1)</f>
        <v>#REF!</v>
      </c>
      <c r="T285" s="24" t="e">
        <f>SUMIFS(#REF!,#REF!,$B285,#REF!,T$1)</f>
        <v>#REF!</v>
      </c>
      <c r="U285" s="24" t="e">
        <f>SUMIFS(#REF!,#REF!,$B285,#REF!,U$1)</f>
        <v>#REF!</v>
      </c>
      <c r="V285" s="24" t="e">
        <f>SUMIFS(#REF!,#REF!,$B285,#REF!,V$1)</f>
        <v>#REF!</v>
      </c>
      <c r="W285" s="24" t="e">
        <f>SUMIFS(#REF!,#REF!,$B285,#REF!,W$1)</f>
        <v>#REF!</v>
      </c>
      <c r="X285" s="24" t="e">
        <f>SUMIFS(#REF!,#REF!,$B285,#REF!,X$1)</f>
        <v>#REF!</v>
      </c>
      <c r="Y285" s="24" t="e">
        <f>SUMIFS(#REF!,#REF!,$B285,#REF!,Y$1)</f>
        <v>#REF!</v>
      </c>
      <c r="Z285" s="24" t="e">
        <f>SUMIFS(#REF!,#REF!,$B285,#REF!,Z$1)</f>
        <v>#REF!</v>
      </c>
      <c r="AA285" s="24" t="e">
        <f>SUMIFS(#REF!,#REF!,$B285,#REF!,AA$1)</f>
        <v>#REF!</v>
      </c>
      <c r="AB285" s="24" t="e">
        <f>SUMIFS(#REF!,#REF!,$B285,#REF!,AB$1)</f>
        <v>#REF!</v>
      </c>
      <c r="AC285" s="24" t="e">
        <f>SUMIFS(#REF!,#REF!,$B285,#REF!,AC$1)</f>
        <v>#REF!</v>
      </c>
      <c r="AD285" s="24" t="e">
        <f>SUMIFS(#REF!,#REF!,$B285,#REF!,AD$1)</f>
        <v>#REF!</v>
      </c>
      <c r="AE285" s="24" t="e">
        <f>SUMIFS(#REF!,#REF!,$B285,#REF!,AE$1)</f>
        <v>#REF!</v>
      </c>
      <c r="AF285" s="24" t="e">
        <f>SUMIFS(#REF!,#REF!,$B285,#REF!,AF$1)</f>
        <v>#REF!</v>
      </c>
      <c r="AG285" s="24" t="e">
        <f>SUMIFS(#REF!,#REF!,$B285,#REF!,AG$1)</f>
        <v>#REF!</v>
      </c>
      <c r="AH285" s="24" t="e">
        <f>SUMIFS(#REF!,#REF!,$B285,#REF!,AH$1)</f>
        <v>#REF!</v>
      </c>
      <c r="AI285" s="24" t="e">
        <f>SUMIFS(#REF!,#REF!,$B285,#REF!,AI$1)</f>
        <v>#REF!</v>
      </c>
      <c r="AJ285" s="24" t="e">
        <f>SUMIFS(#REF!,#REF!,$B285,#REF!,AJ$1)</f>
        <v>#REF!</v>
      </c>
      <c r="AK285" s="24" t="e">
        <f>SUMIFS(#REF!,#REF!,$B285,#REF!,AK$1)</f>
        <v>#REF!</v>
      </c>
      <c r="AL285" s="24" t="e">
        <f>SUMIFS(#REF!,#REF!,$B285,#REF!,AL$1)</f>
        <v>#REF!</v>
      </c>
      <c r="AM285" s="24" t="e">
        <f>SUMIFS(#REF!,#REF!,$B285,#REF!,AM$1)</f>
        <v>#REF!</v>
      </c>
      <c r="AN285" s="24" t="e">
        <f>SUMIFS(#REF!,#REF!,$B285,#REF!,AN$1)</f>
        <v>#REF!</v>
      </c>
      <c r="AO285" s="24" t="e">
        <f>SUMIFS(#REF!,#REF!,$B285,#REF!,AO$1)</f>
        <v>#REF!</v>
      </c>
      <c r="AP285" s="24" t="e">
        <f>SUMIFS(#REF!,#REF!,$B285,#REF!,AP$1)</f>
        <v>#REF!</v>
      </c>
      <c r="AQ285" s="24" t="e">
        <f>SUMIFS(#REF!,#REF!,$B285,#REF!,AQ$1)</f>
        <v>#REF!</v>
      </c>
      <c r="AR285" s="24" t="e">
        <f>SUMIFS(#REF!,#REF!,$B285,#REF!,AR$1)</f>
        <v>#REF!</v>
      </c>
      <c r="AS285" s="24" t="e">
        <f>SUMIFS(#REF!,#REF!,$B285,#REF!,AS$1)</f>
        <v>#REF!</v>
      </c>
      <c r="AT285" s="24" t="e">
        <f>SUMIFS(#REF!,#REF!,$B285,#REF!,AT$1)</f>
        <v>#REF!</v>
      </c>
      <c r="AU285" s="24" t="e">
        <f>SUMIFS(#REF!,#REF!,$B285,#REF!,AU$1)</f>
        <v>#REF!</v>
      </c>
      <c r="AV285" s="24" t="e">
        <f>SUMIFS(#REF!,#REF!,$B285,#REF!,AV$1)</f>
        <v>#REF!</v>
      </c>
      <c r="AW285" s="24" t="e">
        <f>SUMIFS(#REF!,#REF!,$B285,#REF!,AW$1)</f>
        <v>#REF!</v>
      </c>
      <c r="AX285" s="24" t="e">
        <f>SUMIFS(#REF!,#REF!,$B285,#REF!,AX$1)</f>
        <v>#REF!</v>
      </c>
      <c r="AY285" s="24" t="e">
        <f>SUMIFS(#REF!,#REF!,$B285,#REF!,AY$1)</f>
        <v>#REF!</v>
      </c>
      <c r="AZ285" s="24" t="e">
        <f>SUMIFS(#REF!,#REF!,$B285,#REF!,AZ$1)</f>
        <v>#REF!</v>
      </c>
      <c r="BA285" s="24" t="e">
        <f>SUMIFS(#REF!,#REF!,$B285,#REF!,BA$1)</f>
        <v>#REF!</v>
      </c>
      <c r="BB285" s="24" t="e">
        <f>SUMIFS(#REF!,#REF!,$B285,#REF!,BB$1)</f>
        <v>#REF!</v>
      </c>
      <c r="BC285" s="24" t="e">
        <f>SUMIFS(#REF!,#REF!,$B285,#REF!,BC$1)</f>
        <v>#REF!</v>
      </c>
      <c r="BD285" s="24" t="e">
        <f>SUMIFS(#REF!,#REF!,$B285,#REF!,BD$1)</f>
        <v>#REF!</v>
      </c>
      <c r="BE285" s="24" t="e">
        <f>SUMIFS(#REF!,#REF!,$B285,#REF!,BE$1)</f>
        <v>#REF!</v>
      </c>
      <c r="BF285" s="24" t="e">
        <f>SUMIFS(#REF!,#REF!,$B285,#REF!,BF$1)</f>
        <v>#REF!</v>
      </c>
      <c r="BG285" s="24" t="e">
        <f>SUMIFS(#REF!,#REF!,$B285,#REF!,BG$1)</f>
        <v>#REF!</v>
      </c>
      <c r="BH285" s="24" t="e">
        <f>SUMIFS(#REF!,#REF!,$B285,#REF!,BH$1)</f>
        <v>#REF!</v>
      </c>
      <c r="BI285" s="24" t="e">
        <f>SUMIFS(#REF!,#REF!,$B285,#REF!,BI$1)</f>
        <v>#REF!</v>
      </c>
      <c r="BJ285" s="24" t="e">
        <f>SUMIFS(#REF!,#REF!,$B285,#REF!,BJ$1)</f>
        <v>#REF!</v>
      </c>
      <c r="BK285" s="24" t="e">
        <f>SUMIFS(#REF!,#REF!,$B285,#REF!,BK$1)</f>
        <v>#REF!</v>
      </c>
      <c r="BL285" s="24" t="e">
        <f>SUMIFS(#REF!,#REF!,$B285,#REF!,BL$1)</f>
        <v>#REF!</v>
      </c>
      <c r="BM285" s="24" t="e">
        <f>SUMIFS(#REF!,#REF!,$B285,#REF!,BM$1)</f>
        <v>#REF!</v>
      </c>
      <c r="BN285" s="24" t="e">
        <f>SUMIFS(#REF!,#REF!,$B285,#REF!,BN$1)</f>
        <v>#REF!</v>
      </c>
      <c r="BO285" s="24" t="e">
        <f>SUMIFS(#REF!,#REF!,$B285,#REF!,BO$1)</f>
        <v>#REF!</v>
      </c>
      <c r="BP285" s="24" t="e">
        <f>SUMIFS(#REF!,#REF!,$B285,#REF!,BP$1)</f>
        <v>#REF!</v>
      </c>
      <c r="BQ285" s="24" t="e">
        <f>SUMIFS(#REF!,#REF!,$B285,#REF!,BQ$1)</f>
        <v>#REF!</v>
      </c>
      <c r="BR285" s="24" t="e">
        <f>SUMIFS(#REF!,#REF!,$B285,#REF!,BR$1)</f>
        <v>#REF!</v>
      </c>
      <c r="BS285" s="24" t="e">
        <f>SUMIFS(#REF!,#REF!,$B285,#REF!,BS$1)</f>
        <v>#REF!</v>
      </c>
      <c r="BT285" s="24" t="e">
        <f>SUMIFS(#REF!,#REF!,$B285,#REF!,BT$1)</f>
        <v>#REF!</v>
      </c>
      <c r="BU285" s="24" t="e">
        <f>SUMIFS(#REF!,#REF!,$B285,#REF!,BU$1)</f>
        <v>#REF!</v>
      </c>
      <c r="BV285" s="24" t="e">
        <f>SUMIFS(#REF!,#REF!,$B285,#REF!,BV$1)</f>
        <v>#REF!</v>
      </c>
      <c r="BW285" s="24" t="e">
        <f>SUMIFS(#REF!,#REF!,$B285,#REF!,BW$1)</f>
        <v>#REF!</v>
      </c>
      <c r="BX285" s="24" t="e">
        <f>SUMIFS(#REF!,#REF!,$B285,#REF!,BX$1)</f>
        <v>#REF!</v>
      </c>
      <c r="BY285" s="24" t="e">
        <f>SUMIFS(#REF!,#REF!,$B285,#REF!,BY$1)</f>
        <v>#REF!</v>
      </c>
      <c r="BZ285" s="24" t="e">
        <f>SUMIFS(#REF!,#REF!,$B285,#REF!,BZ$1)</f>
        <v>#REF!</v>
      </c>
      <c r="CA285" s="24" t="e">
        <f>SUMIFS(#REF!,#REF!,$B285,#REF!,CA$1)</f>
        <v>#REF!</v>
      </c>
      <c r="CB285" s="24" t="e">
        <f>SUMIFS(#REF!,#REF!,$B285,#REF!,CB$1)</f>
        <v>#REF!</v>
      </c>
      <c r="CC285" s="24" t="e">
        <f>SUMIFS(#REF!,#REF!,$B285,#REF!,CC$1)</f>
        <v>#REF!</v>
      </c>
      <c r="CD285" s="24" t="e">
        <f>SUMIFS(#REF!,#REF!,$B285,#REF!,CD$1)</f>
        <v>#REF!</v>
      </c>
      <c r="CE285" s="24" t="e">
        <f>SUMIFS(#REF!,#REF!,$B285,#REF!,CE$1)</f>
        <v>#REF!</v>
      </c>
      <c r="CF285" s="24" t="e">
        <f>SUMIFS(#REF!,#REF!,$B285,#REF!,CF$1)</f>
        <v>#REF!</v>
      </c>
      <c r="CG285" s="19" t="e">
        <f t="shared" si="4"/>
        <v>#REF!</v>
      </c>
    </row>
    <row r="286" spans="1:85" x14ac:dyDescent="0.45">
      <c r="A286" s="4" t="s">
        <v>1538</v>
      </c>
      <c r="B286" s="4" t="s">
        <v>1538</v>
      </c>
      <c r="C286" s="24" t="e">
        <f>SUMIFS(#REF!,#REF!,$B286,#REF!,C$1)</f>
        <v>#REF!</v>
      </c>
      <c r="D286" s="24" t="e">
        <f>SUMIFS(#REF!,#REF!,$B286,#REF!,D$1)</f>
        <v>#REF!</v>
      </c>
      <c r="E286" s="24" t="e">
        <f>SUMIFS(#REF!,#REF!,$B286,#REF!,E$1)</f>
        <v>#REF!</v>
      </c>
      <c r="F286" s="24" t="e">
        <f>SUMIFS(#REF!,#REF!,$B286,#REF!,F$1)</f>
        <v>#REF!</v>
      </c>
      <c r="G286" s="24" t="e">
        <f>SUMIFS(#REF!,#REF!,$B286,#REF!,G$1)</f>
        <v>#REF!</v>
      </c>
      <c r="H286" s="24" t="e">
        <f>SUMIFS(#REF!,#REF!,$B286,#REF!,H$1)</f>
        <v>#REF!</v>
      </c>
      <c r="I286" s="24" t="e">
        <f>SUMIFS(#REF!,#REF!,$B286,#REF!,I$1)</f>
        <v>#REF!</v>
      </c>
      <c r="J286" s="24" t="e">
        <f>SUMIFS(#REF!,#REF!,$B286,#REF!,J$1)</f>
        <v>#REF!</v>
      </c>
      <c r="K286" s="24" t="e">
        <f>SUMIFS(#REF!,#REF!,$B286,#REF!,K$1)</f>
        <v>#REF!</v>
      </c>
      <c r="L286" s="24" t="e">
        <f>SUMIFS(#REF!,#REF!,$B286,#REF!,L$1)</f>
        <v>#REF!</v>
      </c>
      <c r="M286" s="24" t="e">
        <f>SUMIFS(#REF!,#REF!,$B286,#REF!,M$1)</f>
        <v>#REF!</v>
      </c>
      <c r="N286" s="24" t="e">
        <f>SUMIFS(#REF!,#REF!,$B286,#REF!,N$1)</f>
        <v>#REF!</v>
      </c>
      <c r="O286" s="24" t="e">
        <f>SUMIFS(#REF!,#REF!,$B286,#REF!,O$1)</f>
        <v>#REF!</v>
      </c>
      <c r="P286" s="24" t="e">
        <f>SUMIFS(#REF!,#REF!,$B286,#REF!,P$1)</f>
        <v>#REF!</v>
      </c>
      <c r="Q286" s="24" t="e">
        <f>SUMIFS(#REF!,#REF!,$B286,#REF!,Q$1)</f>
        <v>#REF!</v>
      </c>
      <c r="R286" s="24" t="e">
        <f>SUMIFS(#REF!,#REF!,$B286,#REF!,R$1)</f>
        <v>#REF!</v>
      </c>
      <c r="S286" s="24" t="e">
        <f>SUMIFS(#REF!,#REF!,$B286,#REF!,S$1)</f>
        <v>#REF!</v>
      </c>
      <c r="T286" s="24" t="e">
        <f>SUMIFS(#REF!,#REF!,$B286,#REF!,T$1)</f>
        <v>#REF!</v>
      </c>
      <c r="U286" s="24" t="e">
        <f>SUMIFS(#REF!,#REF!,$B286,#REF!,U$1)</f>
        <v>#REF!</v>
      </c>
      <c r="V286" s="24" t="e">
        <f>SUMIFS(#REF!,#REF!,$B286,#REF!,V$1)</f>
        <v>#REF!</v>
      </c>
      <c r="W286" s="24" t="e">
        <f>SUMIFS(#REF!,#REF!,$B286,#REF!,W$1)</f>
        <v>#REF!</v>
      </c>
      <c r="X286" s="24" t="e">
        <f>SUMIFS(#REF!,#REF!,$B286,#REF!,X$1)</f>
        <v>#REF!</v>
      </c>
      <c r="Y286" s="24" t="e">
        <f>SUMIFS(#REF!,#REF!,$B286,#REF!,Y$1)</f>
        <v>#REF!</v>
      </c>
      <c r="Z286" s="24" t="e">
        <f>SUMIFS(#REF!,#REF!,$B286,#REF!,Z$1)</f>
        <v>#REF!</v>
      </c>
      <c r="AA286" s="24" t="e">
        <f>SUMIFS(#REF!,#REF!,$B286,#REF!,AA$1)</f>
        <v>#REF!</v>
      </c>
      <c r="AB286" s="24" t="e">
        <f>SUMIFS(#REF!,#REF!,$B286,#REF!,AB$1)</f>
        <v>#REF!</v>
      </c>
      <c r="AC286" s="24" t="e">
        <f>SUMIFS(#REF!,#REF!,$B286,#REF!,AC$1)</f>
        <v>#REF!</v>
      </c>
      <c r="AD286" s="24" t="e">
        <f>SUMIFS(#REF!,#REF!,$B286,#REF!,AD$1)</f>
        <v>#REF!</v>
      </c>
      <c r="AE286" s="24" t="e">
        <f>SUMIFS(#REF!,#REF!,$B286,#REF!,AE$1)</f>
        <v>#REF!</v>
      </c>
      <c r="AF286" s="24" t="e">
        <f>SUMIFS(#REF!,#REF!,$B286,#REF!,AF$1)</f>
        <v>#REF!</v>
      </c>
      <c r="AG286" s="24" t="e">
        <f>SUMIFS(#REF!,#REF!,$B286,#REF!,AG$1)</f>
        <v>#REF!</v>
      </c>
      <c r="AH286" s="24" t="e">
        <f>SUMIFS(#REF!,#REF!,$B286,#REF!,AH$1)</f>
        <v>#REF!</v>
      </c>
      <c r="AI286" s="24" t="e">
        <f>SUMIFS(#REF!,#REF!,$B286,#REF!,AI$1)</f>
        <v>#REF!</v>
      </c>
      <c r="AJ286" s="24" t="e">
        <f>SUMIFS(#REF!,#REF!,$B286,#REF!,AJ$1)</f>
        <v>#REF!</v>
      </c>
      <c r="AK286" s="24" t="e">
        <f>SUMIFS(#REF!,#REF!,$B286,#REF!,AK$1)</f>
        <v>#REF!</v>
      </c>
      <c r="AL286" s="24" t="e">
        <f>SUMIFS(#REF!,#REF!,$B286,#REF!,AL$1)</f>
        <v>#REF!</v>
      </c>
      <c r="AM286" s="24" t="e">
        <f>SUMIFS(#REF!,#REF!,$B286,#REF!,AM$1)</f>
        <v>#REF!</v>
      </c>
      <c r="AN286" s="24" t="e">
        <f>SUMIFS(#REF!,#REF!,$B286,#REF!,AN$1)</f>
        <v>#REF!</v>
      </c>
      <c r="AO286" s="24" t="e">
        <f>SUMIFS(#REF!,#REF!,$B286,#REF!,AO$1)</f>
        <v>#REF!</v>
      </c>
      <c r="AP286" s="24" t="e">
        <f>SUMIFS(#REF!,#REF!,$B286,#REF!,AP$1)</f>
        <v>#REF!</v>
      </c>
      <c r="AQ286" s="24" t="e">
        <f>SUMIFS(#REF!,#REF!,$B286,#REF!,AQ$1)</f>
        <v>#REF!</v>
      </c>
      <c r="AR286" s="24" t="e">
        <f>SUMIFS(#REF!,#REF!,$B286,#REF!,AR$1)</f>
        <v>#REF!</v>
      </c>
      <c r="AS286" s="24" t="e">
        <f>SUMIFS(#REF!,#REF!,$B286,#REF!,AS$1)</f>
        <v>#REF!</v>
      </c>
      <c r="AT286" s="24" t="e">
        <f>SUMIFS(#REF!,#REF!,$B286,#REF!,AT$1)</f>
        <v>#REF!</v>
      </c>
      <c r="AU286" s="24" t="e">
        <f>SUMIFS(#REF!,#REF!,$B286,#REF!,AU$1)</f>
        <v>#REF!</v>
      </c>
      <c r="AV286" s="24" t="e">
        <f>SUMIFS(#REF!,#REF!,$B286,#REF!,AV$1)</f>
        <v>#REF!</v>
      </c>
      <c r="AW286" s="24" t="e">
        <f>SUMIFS(#REF!,#REF!,$B286,#REF!,AW$1)</f>
        <v>#REF!</v>
      </c>
      <c r="AX286" s="24" t="e">
        <f>SUMIFS(#REF!,#REF!,$B286,#REF!,AX$1)</f>
        <v>#REF!</v>
      </c>
      <c r="AY286" s="24" t="e">
        <f>SUMIFS(#REF!,#REF!,$B286,#REF!,AY$1)</f>
        <v>#REF!</v>
      </c>
      <c r="AZ286" s="24" t="e">
        <f>SUMIFS(#REF!,#REF!,$B286,#REF!,AZ$1)</f>
        <v>#REF!</v>
      </c>
      <c r="BA286" s="24" t="e">
        <f>SUMIFS(#REF!,#REF!,$B286,#REF!,BA$1)</f>
        <v>#REF!</v>
      </c>
      <c r="BB286" s="24" t="e">
        <f>SUMIFS(#REF!,#REF!,$B286,#REF!,BB$1)</f>
        <v>#REF!</v>
      </c>
      <c r="BC286" s="24" t="e">
        <f>SUMIFS(#REF!,#REF!,$B286,#REF!,BC$1)</f>
        <v>#REF!</v>
      </c>
      <c r="BD286" s="24" t="e">
        <f>SUMIFS(#REF!,#REF!,$B286,#REF!,BD$1)</f>
        <v>#REF!</v>
      </c>
      <c r="BE286" s="24" t="e">
        <f>SUMIFS(#REF!,#REF!,$B286,#REF!,BE$1)</f>
        <v>#REF!</v>
      </c>
      <c r="BF286" s="24" t="e">
        <f>SUMIFS(#REF!,#REF!,$B286,#REF!,BF$1)</f>
        <v>#REF!</v>
      </c>
      <c r="BG286" s="24" t="e">
        <f>SUMIFS(#REF!,#REF!,$B286,#REF!,BG$1)</f>
        <v>#REF!</v>
      </c>
      <c r="BH286" s="24" t="e">
        <f>SUMIFS(#REF!,#REF!,$B286,#REF!,BH$1)</f>
        <v>#REF!</v>
      </c>
      <c r="BI286" s="24" t="e">
        <f>SUMIFS(#REF!,#REF!,$B286,#REF!,BI$1)</f>
        <v>#REF!</v>
      </c>
      <c r="BJ286" s="24" t="e">
        <f>SUMIFS(#REF!,#REF!,$B286,#REF!,BJ$1)</f>
        <v>#REF!</v>
      </c>
      <c r="BK286" s="24" t="e">
        <f>SUMIFS(#REF!,#REF!,$B286,#REF!,BK$1)</f>
        <v>#REF!</v>
      </c>
      <c r="BL286" s="24" t="e">
        <f>SUMIFS(#REF!,#REF!,$B286,#REF!,BL$1)</f>
        <v>#REF!</v>
      </c>
      <c r="BM286" s="24" t="e">
        <f>SUMIFS(#REF!,#REF!,$B286,#REF!,BM$1)</f>
        <v>#REF!</v>
      </c>
      <c r="BN286" s="24" t="e">
        <f>SUMIFS(#REF!,#REF!,$B286,#REF!,BN$1)</f>
        <v>#REF!</v>
      </c>
      <c r="BO286" s="24" t="e">
        <f>SUMIFS(#REF!,#REF!,$B286,#REF!,BO$1)</f>
        <v>#REF!</v>
      </c>
      <c r="BP286" s="24" t="e">
        <f>SUMIFS(#REF!,#REF!,$B286,#REF!,BP$1)</f>
        <v>#REF!</v>
      </c>
      <c r="BQ286" s="24" t="e">
        <f>SUMIFS(#REF!,#REF!,$B286,#REF!,BQ$1)</f>
        <v>#REF!</v>
      </c>
      <c r="BR286" s="24" t="e">
        <f>SUMIFS(#REF!,#REF!,$B286,#REF!,BR$1)</f>
        <v>#REF!</v>
      </c>
      <c r="BS286" s="24" t="e">
        <f>SUMIFS(#REF!,#REF!,$B286,#REF!,BS$1)</f>
        <v>#REF!</v>
      </c>
      <c r="BT286" s="24" t="e">
        <f>SUMIFS(#REF!,#REF!,$B286,#REF!,BT$1)</f>
        <v>#REF!</v>
      </c>
      <c r="BU286" s="24" t="e">
        <f>SUMIFS(#REF!,#REF!,$B286,#REF!,BU$1)</f>
        <v>#REF!</v>
      </c>
      <c r="BV286" s="24" t="e">
        <f>SUMIFS(#REF!,#REF!,$B286,#REF!,BV$1)</f>
        <v>#REF!</v>
      </c>
      <c r="BW286" s="24" t="e">
        <f>SUMIFS(#REF!,#REF!,$B286,#REF!,BW$1)</f>
        <v>#REF!</v>
      </c>
      <c r="BX286" s="24" t="e">
        <f>SUMIFS(#REF!,#REF!,$B286,#REF!,BX$1)</f>
        <v>#REF!</v>
      </c>
      <c r="BY286" s="24" t="e">
        <f>SUMIFS(#REF!,#REF!,$B286,#REF!,BY$1)</f>
        <v>#REF!</v>
      </c>
      <c r="BZ286" s="24" t="e">
        <f>SUMIFS(#REF!,#REF!,$B286,#REF!,BZ$1)</f>
        <v>#REF!</v>
      </c>
      <c r="CA286" s="24" t="e">
        <f>SUMIFS(#REF!,#REF!,$B286,#REF!,CA$1)</f>
        <v>#REF!</v>
      </c>
      <c r="CB286" s="24" t="e">
        <f>SUMIFS(#REF!,#REF!,$B286,#REF!,CB$1)</f>
        <v>#REF!</v>
      </c>
      <c r="CC286" s="24" t="e">
        <f>SUMIFS(#REF!,#REF!,$B286,#REF!,CC$1)</f>
        <v>#REF!</v>
      </c>
      <c r="CD286" s="24" t="e">
        <f>SUMIFS(#REF!,#REF!,$B286,#REF!,CD$1)</f>
        <v>#REF!</v>
      </c>
      <c r="CE286" s="24" t="e">
        <f>SUMIFS(#REF!,#REF!,$B286,#REF!,CE$1)</f>
        <v>#REF!</v>
      </c>
      <c r="CF286" s="24" t="e">
        <f>SUMIFS(#REF!,#REF!,$B286,#REF!,CF$1)</f>
        <v>#REF!</v>
      </c>
      <c r="CG286" s="19" t="e">
        <f t="shared" si="4"/>
        <v>#REF!</v>
      </c>
    </row>
    <row r="287" spans="1:85" x14ac:dyDescent="0.45">
      <c r="A287" s="4" t="s">
        <v>1539</v>
      </c>
      <c r="B287" s="4" t="s">
        <v>1539</v>
      </c>
      <c r="C287" s="24" t="e">
        <f>SUMIFS(#REF!,#REF!,$B287,#REF!,C$1)</f>
        <v>#REF!</v>
      </c>
      <c r="D287" s="24" t="e">
        <f>SUMIFS(#REF!,#REF!,$B287,#REF!,D$1)</f>
        <v>#REF!</v>
      </c>
      <c r="E287" s="24" t="e">
        <f>SUMIFS(#REF!,#REF!,$B287,#REF!,E$1)</f>
        <v>#REF!</v>
      </c>
      <c r="F287" s="24" t="e">
        <f>SUMIFS(#REF!,#REF!,$B287,#REF!,F$1)</f>
        <v>#REF!</v>
      </c>
      <c r="G287" s="24" t="e">
        <f>SUMIFS(#REF!,#REF!,$B287,#REF!,G$1)</f>
        <v>#REF!</v>
      </c>
      <c r="H287" s="24" t="e">
        <f>SUMIFS(#REF!,#REF!,$B287,#REF!,H$1)</f>
        <v>#REF!</v>
      </c>
      <c r="I287" s="24" t="e">
        <f>SUMIFS(#REF!,#REF!,$B287,#REF!,I$1)</f>
        <v>#REF!</v>
      </c>
      <c r="J287" s="24" t="e">
        <f>SUMIFS(#REF!,#REF!,$B287,#REF!,J$1)</f>
        <v>#REF!</v>
      </c>
      <c r="K287" s="24" t="e">
        <f>SUMIFS(#REF!,#REF!,$B287,#REF!,K$1)</f>
        <v>#REF!</v>
      </c>
      <c r="L287" s="24" t="e">
        <f>SUMIFS(#REF!,#REF!,$B287,#REF!,L$1)</f>
        <v>#REF!</v>
      </c>
      <c r="M287" s="24" t="e">
        <f>SUMIFS(#REF!,#REF!,$B287,#REF!,M$1)</f>
        <v>#REF!</v>
      </c>
      <c r="N287" s="24" t="e">
        <f>SUMIFS(#REF!,#REF!,$B287,#REF!,N$1)</f>
        <v>#REF!</v>
      </c>
      <c r="O287" s="24" t="e">
        <f>SUMIFS(#REF!,#REF!,$B287,#REF!,O$1)</f>
        <v>#REF!</v>
      </c>
      <c r="P287" s="24" t="e">
        <f>SUMIFS(#REF!,#REF!,$B287,#REF!,P$1)</f>
        <v>#REF!</v>
      </c>
      <c r="Q287" s="24" t="e">
        <f>SUMIFS(#REF!,#REF!,$B287,#REF!,Q$1)</f>
        <v>#REF!</v>
      </c>
      <c r="R287" s="24" t="e">
        <f>SUMIFS(#REF!,#REF!,$B287,#REF!,R$1)</f>
        <v>#REF!</v>
      </c>
      <c r="S287" s="24" t="e">
        <f>SUMIFS(#REF!,#REF!,$B287,#REF!,S$1)</f>
        <v>#REF!</v>
      </c>
      <c r="T287" s="24" t="e">
        <f>SUMIFS(#REF!,#REF!,$B287,#REF!,T$1)</f>
        <v>#REF!</v>
      </c>
      <c r="U287" s="24" t="e">
        <f>SUMIFS(#REF!,#REF!,$B287,#REF!,U$1)</f>
        <v>#REF!</v>
      </c>
      <c r="V287" s="24" t="e">
        <f>SUMIFS(#REF!,#REF!,$B287,#REF!,V$1)</f>
        <v>#REF!</v>
      </c>
      <c r="W287" s="24" t="e">
        <f>SUMIFS(#REF!,#REF!,$B287,#REF!,W$1)</f>
        <v>#REF!</v>
      </c>
      <c r="X287" s="24" t="e">
        <f>SUMIFS(#REF!,#REF!,$B287,#REF!,X$1)</f>
        <v>#REF!</v>
      </c>
      <c r="Y287" s="24" t="e">
        <f>SUMIFS(#REF!,#REF!,$B287,#REF!,Y$1)</f>
        <v>#REF!</v>
      </c>
      <c r="Z287" s="24" t="e">
        <f>SUMIFS(#REF!,#REF!,$B287,#REF!,Z$1)</f>
        <v>#REF!</v>
      </c>
      <c r="AA287" s="24" t="e">
        <f>SUMIFS(#REF!,#REF!,$B287,#REF!,AA$1)</f>
        <v>#REF!</v>
      </c>
      <c r="AB287" s="24" t="e">
        <f>SUMIFS(#REF!,#REF!,$B287,#REF!,AB$1)</f>
        <v>#REF!</v>
      </c>
      <c r="AC287" s="24" t="e">
        <f>SUMIFS(#REF!,#REF!,$B287,#REF!,AC$1)</f>
        <v>#REF!</v>
      </c>
      <c r="AD287" s="24" t="e">
        <f>SUMIFS(#REF!,#REF!,$B287,#REF!,AD$1)</f>
        <v>#REF!</v>
      </c>
      <c r="AE287" s="24" t="e">
        <f>SUMIFS(#REF!,#REF!,$B287,#REF!,AE$1)</f>
        <v>#REF!</v>
      </c>
      <c r="AF287" s="24" t="e">
        <f>SUMIFS(#REF!,#REF!,$B287,#REF!,AF$1)</f>
        <v>#REF!</v>
      </c>
      <c r="AG287" s="24" t="e">
        <f>SUMIFS(#REF!,#REF!,$B287,#REF!,AG$1)</f>
        <v>#REF!</v>
      </c>
      <c r="AH287" s="24" t="e">
        <f>SUMIFS(#REF!,#REF!,$B287,#REF!,AH$1)</f>
        <v>#REF!</v>
      </c>
      <c r="AI287" s="24" t="e">
        <f>SUMIFS(#REF!,#REF!,$B287,#REF!,AI$1)</f>
        <v>#REF!</v>
      </c>
      <c r="AJ287" s="24" t="e">
        <f>SUMIFS(#REF!,#REF!,$B287,#REF!,AJ$1)</f>
        <v>#REF!</v>
      </c>
      <c r="AK287" s="24" t="e">
        <f>SUMIFS(#REF!,#REF!,$B287,#REF!,AK$1)</f>
        <v>#REF!</v>
      </c>
      <c r="AL287" s="24" t="e">
        <f>SUMIFS(#REF!,#REF!,$B287,#REF!,AL$1)</f>
        <v>#REF!</v>
      </c>
      <c r="AM287" s="24" t="e">
        <f>SUMIFS(#REF!,#REF!,$B287,#REF!,AM$1)</f>
        <v>#REF!</v>
      </c>
      <c r="AN287" s="24" t="e">
        <f>SUMIFS(#REF!,#REF!,$B287,#REF!,AN$1)</f>
        <v>#REF!</v>
      </c>
      <c r="AO287" s="24" t="e">
        <f>SUMIFS(#REF!,#REF!,$B287,#REF!,AO$1)</f>
        <v>#REF!</v>
      </c>
      <c r="AP287" s="24" t="e">
        <f>SUMIFS(#REF!,#REF!,$B287,#REF!,AP$1)</f>
        <v>#REF!</v>
      </c>
      <c r="AQ287" s="24" t="e">
        <f>SUMIFS(#REF!,#REF!,$B287,#REF!,AQ$1)</f>
        <v>#REF!</v>
      </c>
      <c r="AR287" s="24" t="e">
        <f>SUMIFS(#REF!,#REF!,$B287,#REF!,AR$1)</f>
        <v>#REF!</v>
      </c>
      <c r="AS287" s="24" t="e">
        <f>SUMIFS(#REF!,#REF!,$B287,#REF!,AS$1)</f>
        <v>#REF!</v>
      </c>
      <c r="AT287" s="24" t="e">
        <f>SUMIFS(#REF!,#REF!,$B287,#REF!,AT$1)</f>
        <v>#REF!</v>
      </c>
      <c r="AU287" s="24" t="e">
        <f>SUMIFS(#REF!,#REF!,$B287,#REF!,AU$1)</f>
        <v>#REF!</v>
      </c>
      <c r="AV287" s="24" t="e">
        <f>SUMIFS(#REF!,#REF!,$B287,#REF!,AV$1)</f>
        <v>#REF!</v>
      </c>
      <c r="AW287" s="24" t="e">
        <f>SUMIFS(#REF!,#REF!,$B287,#REF!,AW$1)</f>
        <v>#REF!</v>
      </c>
      <c r="AX287" s="24" t="e">
        <f>SUMIFS(#REF!,#REF!,$B287,#REF!,AX$1)</f>
        <v>#REF!</v>
      </c>
      <c r="AY287" s="24" t="e">
        <f>SUMIFS(#REF!,#REF!,$B287,#REF!,AY$1)</f>
        <v>#REF!</v>
      </c>
      <c r="AZ287" s="24" t="e">
        <f>SUMIFS(#REF!,#REF!,$B287,#REF!,AZ$1)</f>
        <v>#REF!</v>
      </c>
      <c r="BA287" s="24" t="e">
        <f>SUMIFS(#REF!,#REF!,$B287,#REF!,BA$1)</f>
        <v>#REF!</v>
      </c>
      <c r="BB287" s="24" t="e">
        <f>SUMIFS(#REF!,#REF!,$B287,#REF!,BB$1)</f>
        <v>#REF!</v>
      </c>
      <c r="BC287" s="24" t="e">
        <f>SUMIFS(#REF!,#REF!,$B287,#REF!,BC$1)</f>
        <v>#REF!</v>
      </c>
      <c r="BD287" s="24" t="e">
        <f>SUMIFS(#REF!,#REF!,$B287,#REF!,BD$1)</f>
        <v>#REF!</v>
      </c>
      <c r="BE287" s="24" t="e">
        <f>SUMIFS(#REF!,#REF!,$B287,#REF!,BE$1)</f>
        <v>#REF!</v>
      </c>
      <c r="BF287" s="24" t="e">
        <f>SUMIFS(#REF!,#REF!,$B287,#REF!,BF$1)</f>
        <v>#REF!</v>
      </c>
      <c r="BG287" s="24" t="e">
        <f>SUMIFS(#REF!,#REF!,$B287,#REF!,BG$1)</f>
        <v>#REF!</v>
      </c>
      <c r="BH287" s="24" t="e">
        <f>SUMIFS(#REF!,#REF!,$B287,#REF!,BH$1)</f>
        <v>#REF!</v>
      </c>
      <c r="BI287" s="24" t="e">
        <f>SUMIFS(#REF!,#REF!,$B287,#REF!,BI$1)</f>
        <v>#REF!</v>
      </c>
      <c r="BJ287" s="24" t="e">
        <f>SUMIFS(#REF!,#REF!,$B287,#REF!,BJ$1)</f>
        <v>#REF!</v>
      </c>
      <c r="BK287" s="24" t="e">
        <f>SUMIFS(#REF!,#REF!,$B287,#REF!,BK$1)</f>
        <v>#REF!</v>
      </c>
      <c r="BL287" s="24" t="e">
        <f>SUMIFS(#REF!,#REF!,$B287,#REF!,BL$1)</f>
        <v>#REF!</v>
      </c>
      <c r="BM287" s="24" t="e">
        <f>SUMIFS(#REF!,#REF!,$B287,#REF!,BM$1)</f>
        <v>#REF!</v>
      </c>
      <c r="BN287" s="24" t="e">
        <f>SUMIFS(#REF!,#REF!,$B287,#REF!,BN$1)</f>
        <v>#REF!</v>
      </c>
      <c r="BO287" s="24" t="e">
        <f>SUMIFS(#REF!,#REF!,$B287,#REF!,BO$1)</f>
        <v>#REF!</v>
      </c>
      <c r="BP287" s="24" t="e">
        <f>SUMIFS(#REF!,#REF!,$B287,#REF!,BP$1)</f>
        <v>#REF!</v>
      </c>
      <c r="BQ287" s="24" t="e">
        <f>SUMIFS(#REF!,#REF!,$B287,#REF!,BQ$1)</f>
        <v>#REF!</v>
      </c>
      <c r="BR287" s="24" t="e">
        <f>SUMIFS(#REF!,#REF!,$B287,#REF!,BR$1)</f>
        <v>#REF!</v>
      </c>
      <c r="BS287" s="24" t="e">
        <f>SUMIFS(#REF!,#REF!,$B287,#REF!,BS$1)</f>
        <v>#REF!</v>
      </c>
      <c r="BT287" s="24" t="e">
        <f>SUMIFS(#REF!,#REF!,$B287,#REF!,BT$1)</f>
        <v>#REF!</v>
      </c>
      <c r="BU287" s="24" t="e">
        <f>SUMIFS(#REF!,#REF!,$B287,#REF!,BU$1)</f>
        <v>#REF!</v>
      </c>
      <c r="BV287" s="24" t="e">
        <f>SUMIFS(#REF!,#REF!,$B287,#REF!,BV$1)</f>
        <v>#REF!</v>
      </c>
      <c r="BW287" s="24" t="e">
        <f>SUMIFS(#REF!,#REF!,$B287,#REF!,BW$1)</f>
        <v>#REF!</v>
      </c>
      <c r="BX287" s="24" t="e">
        <f>SUMIFS(#REF!,#REF!,$B287,#REF!,BX$1)</f>
        <v>#REF!</v>
      </c>
      <c r="BY287" s="24" t="e">
        <f>SUMIFS(#REF!,#REF!,$B287,#REF!,BY$1)</f>
        <v>#REF!</v>
      </c>
      <c r="BZ287" s="24" t="e">
        <f>SUMIFS(#REF!,#REF!,$B287,#REF!,BZ$1)</f>
        <v>#REF!</v>
      </c>
      <c r="CA287" s="24" t="e">
        <f>SUMIFS(#REF!,#REF!,$B287,#REF!,CA$1)</f>
        <v>#REF!</v>
      </c>
      <c r="CB287" s="24" t="e">
        <f>SUMIFS(#REF!,#REF!,$B287,#REF!,CB$1)</f>
        <v>#REF!</v>
      </c>
      <c r="CC287" s="24" t="e">
        <f>SUMIFS(#REF!,#REF!,$B287,#REF!,CC$1)</f>
        <v>#REF!</v>
      </c>
      <c r="CD287" s="24" t="e">
        <f>SUMIFS(#REF!,#REF!,$B287,#REF!,CD$1)</f>
        <v>#REF!</v>
      </c>
      <c r="CE287" s="24" t="e">
        <f>SUMIFS(#REF!,#REF!,$B287,#REF!,CE$1)</f>
        <v>#REF!</v>
      </c>
      <c r="CF287" s="24" t="e">
        <f>SUMIFS(#REF!,#REF!,$B287,#REF!,CF$1)</f>
        <v>#REF!</v>
      </c>
      <c r="CG287" s="19" t="e">
        <f t="shared" si="4"/>
        <v>#REF!</v>
      </c>
    </row>
    <row r="288" spans="1:85" x14ac:dyDescent="0.45">
      <c r="A288" s="4" t="s">
        <v>1540</v>
      </c>
      <c r="B288" s="4" t="s">
        <v>1540</v>
      </c>
      <c r="C288" s="24" t="e">
        <f>SUMIFS(#REF!,#REF!,$B288,#REF!,C$1)</f>
        <v>#REF!</v>
      </c>
      <c r="D288" s="24" t="e">
        <f>SUMIFS(#REF!,#REF!,$B288,#REF!,D$1)</f>
        <v>#REF!</v>
      </c>
      <c r="E288" s="24" t="e">
        <f>SUMIFS(#REF!,#REF!,$B288,#REF!,E$1)</f>
        <v>#REF!</v>
      </c>
      <c r="F288" s="24" t="e">
        <f>SUMIFS(#REF!,#REF!,$B288,#REF!,F$1)</f>
        <v>#REF!</v>
      </c>
      <c r="G288" s="24" t="e">
        <f>SUMIFS(#REF!,#REF!,$B288,#REF!,G$1)</f>
        <v>#REF!</v>
      </c>
      <c r="H288" s="24" t="e">
        <f>SUMIFS(#REF!,#REF!,$B288,#REF!,H$1)</f>
        <v>#REF!</v>
      </c>
      <c r="I288" s="24" t="e">
        <f>SUMIFS(#REF!,#REF!,$B288,#REF!,I$1)</f>
        <v>#REF!</v>
      </c>
      <c r="J288" s="24" t="e">
        <f>SUMIFS(#REF!,#REF!,$B288,#REF!,J$1)</f>
        <v>#REF!</v>
      </c>
      <c r="K288" s="24" t="e">
        <f>SUMIFS(#REF!,#REF!,$B288,#REF!,K$1)</f>
        <v>#REF!</v>
      </c>
      <c r="L288" s="24" t="e">
        <f>SUMIFS(#REF!,#REF!,$B288,#REF!,L$1)</f>
        <v>#REF!</v>
      </c>
      <c r="M288" s="24" t="e">
        <f>SUMIFS(#REF!,#REF!,$B288,#REF!,M$1)</f>
        <v>#REF!</v>
      </c>
      <c r="N288" s="24" t="e">
        <f>SUMIFS(#REF!,#REF!,$B288,#REF!,N$1)</f>
        <v>#REF!</v>
      </c>
      <c r="O288" s="24" t="e">
        <f>SUMIFS(#REF!,#REF!,$B288,#REF!,O$1)</f>
        <v>#REF!</v>
      </c>
      <c r="P288" s="24" t="e">
        <f>SUMIFS(#REF!,#REF!,$B288,#REF!,P$1)</f>
        <v>#REF!</v>
      </c>
      <c r="Q288" s="24" t="e">
        <f>SUMIFS(#REF!,#REF!,$B288,#REF!,Q$1)</f>
        <v>#REF!</v>
      </c>
      <c r="R288" s="24" t="e">
        <f>SUMIFS(#REF!,#REF!,$B288,#REF!,R$1)</f>
        <v>#REF!</v>
      </c>
      <c r="S288" s="24" t="e">
        <f>SUMIFS(#REF!,#REF!,$B288,#REF!,S$1)</f>
        <v>#REF!</v>
      </c>
      <c r="T288" s="24" t="e">
        <f>SUMIFS(#REF!,#REF!,$B288,#REF!,T$1)</f>
        <v>#REF!</v>
      </c>
      <c r="U288" s="24" t="e">
        <f>SUMIFS(#REF!,#REF!,$B288,#REF!,U$1)</f>
        <v>#REF!</v>
      </c>
      <c r="V288" s="24" t="e">
        <f>SUMIFS(#REF!,#REF!,$B288,#REF!,V$1)</f>
        <v>#REF!</v>
      </c>
      <c r="W288" s="24" t="e">
        <f>SUMIFS(#REF!,#REF!,$B288,#REF!,W$1)</f>
        <v>#REF!</v>
      </c>
      <c r="X288" s="24" t="e">
        <f>SUMIFS(#REF!,#REF!,$B288,#REF!,X$1)</f>
        <v>#REF!</v>
      </c>
      <c r="Y288" s="24" t="e">
        <f>SUMIFS(#REF!,#REF!,$B288,#REF!,Y$1)</f>
        <v>#REF!</v>
      </c>
      <c r="Z288" s="24" t="e">
        <f>SUMIFS(#REF!,#REF!,$B288,#REF!,Z$1)</f>
        <v>#REF!</v>
      </c>
      <c r="AA288" s="24" t="e">
        <f>SUMIFS(#REF!,#REF!,$B288,#REF!,AA$1)</f>
        <v>#REF!</v>
      </c>
      <c r="AB288" s="24" t="e">
        <f>SUMIFS(#REF!,#REF!,$B288,#REF!,AB$1)</f>
        <v>#REF!</v>
      </c>
      <c r="AC288" s="24" t="e">
        <f>SUMIFS(#REF!,#REF!,$B288,#REF!,AC$1)</f>
        <v>#REF!</v>
      </c>
      <c r="AD288" s="24" t="e">
        <f>SUMIFS(#REF!,#REF!,$B288,#REF!,AD$1)</f>
        <v>#REF!</v>
      </c>
      <c r="AE288" s="24" t="e">
        <f>SUMIFS(#REF!,#REF!,$B288,#REF!,AE$1)</f>
        <v>#REF!</v>
      </c>
      <c r="AF288" s="24" t="e">
        <f>SUMIFS(#REF!,#REF!,$B288,#REF!,AF$1)</f>
        <v>#REF!</v>
      </c>
      <c r="AG288" s="24" t="e">
        <f>SUMIFS(#REF!,#REF!,$B288,#REF!,AG$1)</f>
        <v>#REF!</v>
      </c>
      <c r="AH288" s="24" t="e">
        <f>SUMIFS(#REF!,#REF!,$B288,#REF!,AH$1)</f>
        <v>#REF!</v>
      </c>
      <c r="AI288" s="24" t="e">
        <f>SUMIFS(#REF!,#REF!,$B288,#REF!,AI$1)</f>
        <v>#REF!</v>
      </c>
      <c r="AJ288" s="24" t="e">
        <f>SUMIFS(#REF!,#REF!,$B288,#REF!,AJ$1)</f>
        <v>#REF!</v>
      </c>
      <c r="AK288" s="24" t="e">
        <f>SUMIFS(#REF!,#REF!,$B288,#REF!,AK$1)</f>
        <v>#REF!</v>
      </c>
      <c r="AL288" s="24" t="e">
        <f>SUMIFS(#REF!,#REF!,$B288,#REF!,AL$1)</f>
        <v>#REF!</v>
      </c>
      <c r="AM288" s="24" t="e">
        <f>SUMIFS(#REF!,#REF!,$B288,#REF!,AM$1)</f>
        <v>#REF!</v>
      </c>
      <c r="AN288" s="24" t="e">
        <f>SUMIFS(#REF!,#REF!,$B288,#REF!,AN$1)</f>
        <v>#REF!</v>
      </c>
      <c r="AO288" s="24" t="e">
        <f>SUMIFS(#REF!,#REF!,$B288,#REF!,AO$1)</f>
        <v>#REF!</v>
      </c>
      <c r="AP288" s="24" t="e">
        <f>SUMIFS(#REF!,#REF!,$B288,#REF!,AP$1)</f>
        <v>#REF!</v>
      </c>
      <c r="AQ288" s="24" t="e">
        <f>SUMIFS(#REF!,#REF!,$B288,#REF!,AQ$1)</f>
        <v>#REF!</v>
      </c>
      <c r="AR288" s="24" t="e">
        <f>SUMIFS(#REF!,#REF!,$B288,#REF!,AR$1)</f>
        <v>#REF!</v>
      </c>
      <c r="AS288" s="24" t="e">
        <f>SUMIFS(#REF!,#REF!,$B288,#REF!,AS$1)</f>
        <v>#REF!</v>
      </c>
      <c r="AT288" s="24" t="e">
        <f>SUMIFS(#REF!,#REF!,$B288,#REF!,AT$1)</f>
        <v>#REF!</v>
      </c>
      <c r="AU288" s="24" t="e">
        <f>SUMIFS(#REF!,#REF!,$B288,#REF!,AU$1)</f>
        <v>#REF!</v>
      </c>
      <c r="AV288" s="24" t="e">
        <f>SUMIFS(#REF!,#REF!,$B288,#REF!,AV$1)</f>
        <v>#REF!</v>
      </c>
      <c r="AW288" s="24" t="e">
        <f>SUMIFS(#REF!,#REF!,$B288,#REF!,AW$1)</f>
        <v>#REF!</v>
      </c>
      <c r="AX288" s="24" t="e">
        <f>SUMIFS(#REF!,#REF!,$B288,#REF!,AX$1)</f>
        <v>#REF!</v>
      </c>
      <c r="AY288" s="24" t="e">
        <f>SUMIFS(#REF!,#REF!,$B288,#REF!,AY$1)</f>
        <v>#REF!</v>
      </c>
      <c r="AZ288" s="24" t="e">
        <f>SUMIFS(#REF!,#REF!,$B288,#REF!,AZ$1)</f>
        <v>#REF!</v>
      </c>
      <c r="BA288" s="24" t="e">
        <f>SUMIFS(#REF!,#REF!,$B288,#REF!,BA$1)</f>
        <v>#REF!</v>
      </c>
      <c r="BB288" s="24" t="e">
        <f>SUMIFS(#REF!,#REF!,$B288,#REF!,BB$1)</f>
        <v>#REF!</v>
      </c>
      <c r="BC288" s="24" t="e">
        <f>SUMIFS(#REF!,#REF!,$B288,#REF!,BC$1)</f>
        <v>#REF!</v>
      </c>
      <c r="BD288" s="24" t="e">
        <f>SUMIFS(#REF!,#REF!,$B288,#REF!,BD$1)</f>
        <v>#REF!</v>
      </c>
      <c r="BE288" s="24" t="e">
        <f>SUMIFS(#REF!,#REF!,$B288,#REF!,BE$1)</f>
        <v>#REF!</v>
      </c>
      <c r="BF288" s="24" t="e">
        <f>SUMIFS(#REF!,#REF!,$B288,#REF!,BF$1)</f>
        <v>#REF!</v>
      </c>
      <c r="BG288" s="24" t="e">
        <f>SUMIFS(#REF!,#REF!,$B288,#REF!,BG$1)</f>
        <v>#REF!</v>
      </c>
      <c r="BH288" s="24" t="e">
        <f>SUMIFS(#REF!,#REF!,$B288,#REF!,BH$1)</f>
        <v>#REF!</v>
      </c>
      <c r="BI288" s="24" t="e">
        <f>SUMIFS(#REF!,#REF!,$B288,#REF!,BI$1)</f>
        <v>#REF!</v>
      </c>
      <c r="BJ288" s="24" t="e">
        <f>SUMIFS(#REF!,#REF!,$B288,#REF!,BJ$1)</f>
        <v>#REF!</v>
      </c>
      <c r="BK288" s="24" t="e">
        <f>SUMIFS(#REF!,#REF!,$B288,#REF!,BK$1)</f>
        <v>#REF!</v>
      </c>
      <c r="BL288" s="24" t="e">
        <f>SUMIFS(#REF!,#REF!,$B288,#REF!,BL$1)</f>
        <v>#REF!</v>
      </c>
      <c r="BM288" s="24" t="e">
        <f>SUMIFS(#REF!,#REF!,$B288,#REF!,BM$1)</f>
        <v>#REF!</v>
      </c>
      <c r="BN288" s="24" t="e">
        <f>SUMIFS(#REF!,#REF!,$B288,#REF!,BN$1)</f>
        <v>#REF!</v>
      </c>
      <c r="BO288" s="24" t="e">
        <f>SUMIFS(#REF!,#REF!,$B288,#REF!,BO$1)</f>
        <v>#REF!</v>
      </c>
      <c r="BP288" s="24" t="e">
        <f>SUMIFS(#REF!,#REF!,$B288,#REF!,BP$1)</f>
        <v>#REF!</v>
      </c>
      <c r="BQ288" s="24" t="e">
        <f>SUMIFS(#REF!,#REF!,$B288,#REF!,BQ$1)</f>
        <v>#REF!</v>
      </c>
      <c r="BR288" s="24" t="e">
        <f>SUMIFS(#REF!,#REF!,$B288,#REF!,BR$1)</f>
        <v>#REF!</v>
      </c>
      <c r="BS288" s="24" t="e">
        <f>SUMIFS(#REF!,#REF!,$B288,#REF!,BS$1)</f>
        <v>#REF!</v>
      </c>
      <c r="BT288" s="24" t="e">
        <f>SUMIFS(#REF!,#REF!,$B288,#REF!,BT$1)</f>
        <v>#REF!</v>
      </c>
      <c r="BU288" s="24" t="e">
        <f>SUMIFS(#REF!,#REF!,$B288,#REF!,BU$1)</f>
        <v>#REF!</v>
      </c>
      <c r="BV288" s="24" t="e">
        <f>SUMIFS(#REF!,#REF!,$B288,#REF!,BV$1)</f>
        <v>#REF!</v>
      </c>
      <c r="BW288" s="24" t="e">
        <f>SUMIFS(#REF!,#REF!,$B288,#REF!,BW$1)</f>
        <v>#REF!</v>
      </c>
      <c r="BX288" s="24" t="e">
        <f>SUMIFS(#REF!,#REF!,$B288,#REF!,BX$1)</f>
        <v>#REF!</v>
      </c>
      <c r="BY288" s="24" t="e">
        <f>SUMIFS(#REF!,#REF!,$B288,#REF!,BY$1)</f>
        <v>#REF!</v>
      </c>
      <c r="BZ288" s="24" t="e">
        <f>SUMIFS(#REF!,#REF!,$B288,#REF!,BZ$1)</f>
        <v>#REF!</v>
      </c>
      <c r="CA288" s="24" t="e">
        <f>SUMIFS(#REF!,#REF!,$B288,#REF!,CA$1)</f>
        <v>#REF!</v>
      </c>
      <c r="CB288" s="24" t="e">
        <f>SUMIFS(#REF!,#REF!,$B288,#REF!,CB$1)</f>
        <v>#REF!</v>
      </c>
      <c r="CC288" s="24" t="e">
        <f>SUMIFS(#REF!,#REF!,$B288,#REF!,CC$1)</f>
        <v>#REF!</v>
      </c>
      <c r="CD288" s="24" t="e">
        <f>SUMIFS(#REF!,#REF!,$B288,#REF!,CD$1)</f>
        <v>#REF!</v>
      </c>
      <c r="CE288" s="24" t="e">
        <f>SUMIFS(#REF!,#REF!,$B288,#REF!,CE$1)</f>
        <v>#REF!</v>
      </c>
      <c r="CF288" s="24" t="e">
        <f>SUMIFS(#REF!,#REF!,$B288,#REF!,CF$1)</f>
        <v>#REF!</v>
      </c>
      <c r="CG288" s="19" t="e">
        <f t="shared" si="4"/>
        <v>#REF!</v>
      </c>
    </row>
    <row r="289" spans="1:85" x14ac:dyDescent="0.45">
      <c r="A289" s="4" t="s">
        <v>1541</v>
      </c>
      <c r="B289" s="4" t="s">
        <v>1541</v>
      </c>
      <c r="C289" s="24" t="e">
        <f>SUMIFS(#REF!,#REF!,$B289,#REF!,C$1)</f>
        <v>#REF!</v>
      </c>
      <c r="D289" s="24" t="e">
        <f>SUMIFS(#REF!,#REF!,$B289,#REF!,D$1)</f>
        <v>#REF!</v>
      </c>
      <c r="E289" s="24" t="e">
        <f>SUMIFS(#REF!,#REF!,$B289,#REF!,E$1)</f>
        <v>#REF!</v>
      </c>
      <c r="F289" s="24" t="e">
        <f>SUMIFS(#REF!,#REF!,$B289,#REF!,F$1)</f>
        <v>#REF!</v>
      </c>
      <c r="G289" s="24" t="e">
        <f>SUMIFS(#REF!,#REF!,$B289,#REF!,G$1)</f>
        <v>#REF!</v>
      </c>
      <c r="H289" s="24" t="e">
        <f>SUMIFS(#REF!,#REF!,$B289,#REF!,H$1)</f>
        <v>#REF!</v>
      </c>
      <c r="I289" s="24" t="e">
        <f>SUMIFS(#REF!,#REF!,$B289,#REF!,I$1)</f>
        <v>#REF!</v>
      </c>
      <c r="J289" s="24" t="e">
        <f>SUMIFS(#REF!,#REF!,$B289,#REF!,J$1)</f>
        <v>#REF!</v>
      </c>
      <c r="K289" s="24" t="e">
        <f>SUMIFS(#REF!,#REF!,$B289,#REF!,K$1)</f>
        <v>#REF!</v>
      </c>
      <c r="L289" s="24" t="e">
        <f>SUMIFS(#REF!,#REF!,$B289,#REF!,L$1)</f>
        <v>#REF!</v>
      </c>
      <c r="M289" s="24" t="e">
        <f>SUMIFS(#REF!,#REF!,$B289,#REF!,M$1)</f>
        <v>#REF!</v>
      </c>
      <c r="N289" s="24" t="e">
        <f>SUMIFS(#REF!,#REF!,$B289,#REF!,N$1)</f>
        <v>#REF!</v>
      </c>
      <c r="O289" s="24" t="e">
        <f>SUMIFS(#REF!,#REF!,$B289,#REF!,O$1)</f>
        <v>#REF!</v>
      </c>
      <c r="P289" s="24" t="e">
        <f>SUMIFS(#REF!,#REF!,$B289,#REF!,P$1)</f>
        <v>#REF!</v>
      </c>
      <c r="Q289" s="24" t="e">
        <f>SUMIFS(#REF!,#REF!,$B289,#REF!,Q$1)</f>
        <v>#REF!</v>
      </c>
      <c r="R289" s="24" t="e">
        <f>SUMIFS(#REF!,#REF!,$B289,#REF!,R$1)</f>
        <v>#REF!</v>
      </c>
      <c r="S289" s="24" t="e">
        <f>SUMIFS(#REF!,#REF!,$B289,#REF!,S$1)</f>
        <v>#REF!</v>
      </c>
      <c r="T289" s="24" t="e">
        <f>SUMIFS(#REF!,#REF!,$B289,#REF!,T$1)</f>
        <v>#REF!</v>
      </c>
      <c r="U289" s="24" t="e">
        <f>SUMIFS(#REF!,#REF!,$B289,#REF!,U$1)</f>
        <v>#REF!</v>
      </c>
      <c r="V289" s="24" t="e">
        <f>SUMIFS(#REF!,#REF!,$B289,#REF!,V$1)</f>
        <v>#REF!</v>
      </c>
      <c r="W289" s="24" t="e">
        <f>SUMIFS(#REF!,#REF!,$B289,#REF!,W$1)</f>
        <v>#REF!</v>
      </c>
      <c r="X289" s="24" t="e">
        <f>SUMIFS(#REF!,#REF!,$B289,#REF!,X$1)</f>
        <v>#REF!</v>
      </c>
      <c r="Y289" s="24" t="e">
        <f>SUMIFS(#REF!,#REF!,$B289,#REF!,Y$1)</f>
        <v>#REF!</v>
      </c>
      <c r="Z289" s="24" t="e">
        <f>SUMIFS(#REF!,#REF!,$B289,#REF!,Z$1)</f>
        <v>#REF!</v>
      </c>
      <c r="AA289" s="24" t="e">
        <f>SUMIFS(#REF!,#REF!,$B289,#REF!,AA$1)</f>
        <v>#REF!</v>
      </c>
      <c r="AB289" s="24" t="e">
        <f>SUMIFS(#REF!,#REF!,$B289,#REF!,AB$1)</f>
        <v>#REF!</v>
      </c>
      <c r="AC289" s="24" t="e">
        <f>SUMIFS(#REF!,#REF!,$B289,#REF!,AC$1)</f>
        <v>#REF!</v>
      </c>
      <c r="AD289" s="24" t="e">
        <f>SUMIFS(#REF!,#REF!,$B289,#REF!,AD$1)</f>
        <v>#REF!</v>
      </c>
      <c r="AE289" s="24" t="e">
        <f>SUMIFS(#REF!,#REF!,$B289,#REF!,AE$1)</f>
        <v>#REF!</v>
      </c>
      <c r="AF289" s="24" t="e">
        <f>SUMIFS(#REF!,#REF!,$B289,#REF!,AF$1)</f>
        <v>#REF!</v>
      </c>
      <c r="AG289" s="24" t="e">
        <f>SUMIFS(#REF!,#REF!,$B289,#REF!,AG$1)</f>
        <v>#REF!</v>
      </c>
      <c r="AH289" s="24" t="e">
        <f>SUMIFS(#REF!,#REF!,$B289,#REF!,AH$1)</f>
        <v>#REF!</v>
      </c>
      <c r="AI289" s="24" t="e">
        <f>SUMIFS(#REF!,#REF!,$B289,#REF!,AI$1)</f>
        <v>#REF!</v>
      </c>
      <c r="AJ289" s="24" t="e">
        <f>SUMIFS(#REF!,#REF!,$B289,#REF!,AJ$1)</f>
        <v>#REF!</v>
      </c>
      <c r="AK289" s="24" t="e">
        <f>SUMIFS(#REF!,#REF!,$B289,#REF!,AK$1)</f>
        <v>#REF!</v>
      </c>
      <c r="AL289" s="24" t="e">
        <f>SUMIFS(#REF!,#REF!,$B289,#REF!,AL$1)</f>
        <v>#REF!</v>
      </c>
      <c r="AM289" s="24" t="e">
        <f>SUMIFS(#REF!,#REF!,$B289,#REF!,AM$1)</f>
        <v>#REF!</v>
      </c>
      <c r="AN289" s="24" t="e">
        <f>SUMIFS(#REF!,#REF!,$B289,#REF!,AN$1)</f>
        <v>#REF!</v>
      </c>
      <c r="AO289" s="24" t="e">
        <f>SUMIFS(#REF!,#REF!,$B289,#REF!,AO$1)</f>
        <v>#REF!</v>
      </c>
      <c r="AP289" s="24" t="e">
        <f>SUMIFS(#REF!,#REF!,$B289,#REF!,AP$1)</f>
        <v>#REF!</v>
      </c>
      <c r="AQ289" s="24" t="e">
        <f>SUMIFS(#REF!,#REF!,$B289,#REF!,AQ$1)</f>
        <v>#REF!</v>
      </c>
      <c r="AR289" s="24" t="e">
        <f>SUMIFS(#REF!,#REF!,$B289,#REF!,AR$1)</f>
        <v>#REF!</v>
      </c>
      <c r="AS289" s="24" t="e">
        <f>SUMIFS(#REF!,#REF!,$B289,#REF!,AS$1)</f>
        <v>#REF!</v>
      </c>
      <c r="AT289" s="24" t="e">
        <f>SUMIFS(#REF!,#REF!,$B289,#REF!,AT$1)</f>
        <v>#REF!</v>
      </c>
      <c r="AU289" s="24" t="e">
        <f>SUMIFS(#REF!,#REF!,$B289,#REF!,AU$1)</f>
        <v>#REF!</v>
      </c>
      <c r="AV289" s="24" t="e">
        <f>SUMIFS(#REF!,#REF!,$B289,#REF!,AV$1)</f>
        <v>#REF!</v>
      </c>
      <c r="AW289" s="24" t="e">
        <f>SUMIFS(#REF!,#REF!,$B289,#REF!,AW$1)</f>
        <v>#REF!</v>
      </c>
      <c r="AX289" s="24" t="e">
        <f>SUMIFS(#REF!,#REF!,$B289,#REF!,AX$1)</f>
        <v>#REF!</v>
      </c>
      <c r="AY289" s="24" t="e">
        <f>SUMIFS(#REF!,#REF!,$B289,#REF!,AY$1)</f>
        <v>#REF!</v>
      </c>
      <c r="AZ289" s="24" t="e">
        <f>SUMIFS(#REF!,#REF!,$B289,#REF!,AZ$1)</f>
        <v>#REF!</v>
      </c>
      <c r="BA289" s="24" t="e">
        <f>SUMIFS(#REF!,#REF!,$B289,#REF!,BA$1)</f>
        <v>#REF!</v>
      </c>
      <c r="BB289" s="24" t="e">
        <f>SUMIFS(#REF!,#REF!,$B289,#REF!,BB$1)</f>
        <v>#REF!</v>
      </c>
      <c r="BC289" s="24" t="e">
        <f>SUMIFS(#REF!,#REF!,$B289,#REF!,BC$1)</f>
        <v>#REF!</v>
      </c>
      <c r="BD289" s="24" t="e">
        <f>SUMIFS(#REF!,#REF!,$B289,#REF!,BD$1)</f>
        <v>#REF!</v>
      </c>
      <c r="BE289" s="24" t="e">
        <f>SUMIFS(#REF!,#REF!,$B289,#REF!,BE$1)</f>
        <v>#REF!</v>
      </c>
      <c r="BF289" s="24" t="e">
        <f>SUMIFS(#REF!,#REF!,$B289,#REF!,BF$1)</f>
        <v>#REF!</v>
      </c>
      <c r="BG289" s="24" t="e">
        <f>SUMIFS(#REF!,#REF!,$B289,#REF!,BG$1)</f>
        <v>#REF!</v>
      </c>
      <c r="BH289" s="24" t="e">
        <f>SUMIFS(#REF!,#REF!,$B289,#REF!,BH$1)</f>
        <v>#REF!</v>
      </c>
      <c r="BI289" s="24" t="e">
        <f>SUMIFS(#REF!,#REF!,$B289,#REF!,BI$1)</f>
        <v>#REF!</v>
      </c>
      <c r="BJ289" s="24" t="e">
        <f>SUMIFS(#REF!,#REF!,$B289,#REF!,BJ$1)</f>
        <v>#REF!</v>
      </c>
      <c r="BK289" s="24" t="e">
        <f>SUMIFS(#REF!,#REF!,$B289,#REF!,BK$1)</f>
        <v>#REF!</v>
      </c>
      <c r="BL289" s="24" t="e">
        <f>SUMIFS(#REF!,#REF!,$B289,#REF!,BL$1)</f>
        <v>#REF!</v>
      </c>
      <c r="BM289" s="24" t="e">
        <f>SUMIFS(#REF!,#REF!,$B289,#REF!,BM$1)</f>
        <v>#REF!</v>
      </c>
      <c r="BN289" s="24" t="e">
        <f>SUMIFS(#REF!,#REF!,$B289,#REF!,BN$1)</f>
        <v>#REF!</v>
      </c>
      <c r="BO289" s="24" t="e">
        <f>SUMIFS(#REF!,#REF!,$B289,#REF!,BO$1)</f>
        <v>#REF!</v>
      </c>
      <c r="BP289" s="24" t="e">
        <f>SUMIFS(#REF!,#REF!,$B289,#REF!,BP$1)</f>
        <v>#REF!</v>
      </c>
      <c r="BQ289" s="24" t="e">
        <f>SUMIFS(#REF!,#REF!,$B289,#REF!,BQ$1)</f>
        <v>#REF!</v>
      </c>
      <c r="BR289" s="24" t="e">
        <f>SUMIFS(#REF!,#REF!,$B289,#REF!,BR$1)</f>
        <v>#REF!</v>
      </c>
      <c r="BS289" s="24" t="e">
        <f>SUMIFS(#REF!,#REF!,$B289,#REF!,BS$1)</f>
        <v>#REF!</v>
      </c>
      <c r="BT289" s="24" t="e">
        <f>SUMIFS(#REF!,#REF!,$B289,#REF!,BT$1)</f>
        <v>#REF!</v>
      </c>
      <c r="BU289" s="24" t="e">
        <f>SUMIFS(#REF!,#REF!,$B289,#REF!,BU$1)</f>
        <v>#REF!</v>
      </c>
      <c r="BV289" s="24" t="e">
        <f>SUMIFS(#REF!,#REF!,$B289,#REF!,BV$1)</f>
        <v>#REF!</v>
      </c>
      <c r="BW289" s="24" t="e">
        <f>SUMIFS(#REF!,#REF!,$B289,#REF!,BW$1)</f>
        <v>#REF!</v>
      </c>
      <c r="BX289" s="24" t="e">
        <f>SUMIFS(#REF!,#REF!,$B289,#REF!,BX$1)</f>
        <v>#REF!</v>
      </c>
      <c r="BY289" s="24" t="e">
        <f>SUMIFS(#REF!,#REF!,$B289,#REF!,BY$1)</f>
        <v>#REF!</v>
      </c>
      <c r="BZ289" s="24" t="e">
        <f>SUMIFS(#REF!,#REF!,$B289,#REF!,BZ$1)</f>
        <v>#REF!</v>
      </c>
      <c r="CA289" s="24" t="e">
        <f>SUMIFS(#REF!,#REF!,$B289,#REF!,CA$1)</f>
        <v>#REF!</v>
      </c>
      <c r="CB289" s="24" t="e">
        <f>SUMIFS(#REF!,#REF!,$B289,#REF!,CB$1)</f>
        <v>#REF!</v>
      </c>
      <c r="CC289" s="24" t="e">
        <f>SUMIFS(#REF!,#REF!,$B289,#REF!,CC$1)</f>
        <v>#REF!</v>
      </c>
      <c r="CD289" s="24" t="e">
        <f>SUMIFS(#REF!,#REF!,$B289,#REF!,CD$1)</f>
        <v>#REF!</v>
      </c>
      <c r="CE289" s="24" t="e">
        <f>SUMIFS(#REF!,#REF!,$B289,#REF!,CE$1)</f>
        <v>#REF!</v>
      </c>
      <c r="CF289" s="24" t="e">
        <f>SUMIFS(#REF!,#REF!,$B289,#REF!,CF$1)</f>
        <v>#REF!</v>
      </c>
      <c r="CG289" s="19" t="e">
        <f t="shared" si="4"/>
        <v>#REF!</v>
      </c>
    </row>
    <row r="290" spans="1:85" x14ac:dyDescent="0.45">
      <c r="A290" s="4" t="s">
        <v>1542</v>
      </c>
      <c r="B290" s="4" t="s">
        <v>1542</v>
      </c>
      <c r="C290" s="24" t="e">
        <f>SUMIFS(#REF!,#REF!,$B290,#REF!,C$1)</f>
        <v>#REF!</v>
      </c>
      <c r="D290" s="24" t="e">
        <f>SUMIFS(#REF!,#REF!,$B290,#REF!,D$1)</f>
        <v>#REF!</v>
      </c>
      <c r="E290" s="24" t="e">
        <f>SUMIFS(#REF!,#REF!,$B290,#REF!,E$1)</f>
        <v>#REF!</v>
      </c>
      <c r="F290" s="24" t="e">
        <f>SUMIFS(#REF!,#REF!,$B290,#REF!,F$1)</f>
        <v>#REF!</v>
      </c>
      <c r="G290" s="24" t="e">
        <f>SUMIFS(#REF!,#REF!,$B290,#REF!,G$1)</f>
        <v>#REF!</v>
      </c>
      <c r="H290" s="24" t="e">
        <f>SUMIFS(#REF!,#REF!,$B290,#REF!,H$1)</f>
        <v>#REF!</v>
      </c>
      <c r="I290" s="24" t="e">
        <f>SUMIFS(#REF!,#REF!,$B290,#REF!,I$1)</f>
        <v>#REF!</v>
      </c>
      <c r="J290" s="24" t="e">
        <f>SUMIFS(#REF!,#REF!,$B290,#REF!,J$1)</f>
        <v>#REF!</v>
      </c>
      <c r="K290" s="24" t="e">
        <f>SUMIFS(#REF!,#REF!,$B290,#REF!,K$1)</f>
        <v>#REF!</v>
      </c>
      <c r="L290" s="24" t="e">
        <f>SUMIFS(#REF!,#REF!,$B290,#REF!,L$1)</f>
        <v>#REF!</v>
      </c>
      <c r="M290" s="24" t="e">
        <f>SUMIFS(#REF!,#REF!,$B290,#REF!,M$1)</f>
        <v>#REF!</v>
      </c>
      <c r="N290" s="24" t="e">
        <f>SUMIFS(#REF!,#REF!,$B290,#REF!,N$1)</f>
        <v>#REF!</v>
      </c>
      <c r="O290" s="24" t="e">
        <f>SUMIFS(#REF!,#REF!,$B290,#REF!,O$1)</f>
        <v>#REF!</v>
      </c>
      <c r="P290" s="24" t="e">
        <f>SUMIFS(#REF!,#REF!,$B290,#REF!,P$1)</f>
        <v>#REF!</v>
      </c>
      <c r="Q290" s="24" t="e">
        <f>SUMIFS(#REF!,#REF!,$B290,#REF!,Q$1)</f>
        <v>#REF!</v>
      </c>
      <c r="R290" s="24" t="e">
        <f>SUMIFS(#REF!,#REF!,$B290,#REF!,R$1)</f>
        <v>#REF!</v>
      </c>
      <c r="S290" s="24" t="e">
        <f>SUMIFS(#REF!,#REF!,$B290,#REF!,S$1)</f>
        <v>#REF!</v>
      </c>
      <c r="T290" s="24" t="e">
        <f>SUMIFS(#REF!,#REF!,$B290,#REF!,T$1)</f>
        <v>#REF!</v>
      </c>
      <c r="U290" s="24" t="e">
        <f>SUMIFS(#REF!,#REF!,$B290,#REF!,U$1)</f>
        <v>#REF!</v>
      </c>
      <c r="V290" s="24" t="e">
        <f>SUMIFS(#REF!,#REF!,$B290,#REF!,V$1)</f>
        <v>#REF!</v>
      </c>
      <c r="W290" s="24" t="e">
        <f>SUMIFS(#REF!,#REF!,$B290,#REF!,W$1)</f>
        <v>#REF!</v>
      </c>
      <c r="X290" s="24" t="e">
        <f>SUMIFS(#REF!,#REF!,$B290,#REF!,X$1)</f>
        <v>#REF!</v>
      </c>
      <c r="Y290" s="24" t="e">
        <f>SUMIFS(#REF!,#REF!,$B290,#REF!,Y$1)</f>
        <v>#REF!</v>
      </c>
      <c r="Z290" s="24" t="e">
        <f>SUMIFS(#REF!,#REF!,$B290,#REF!,Z$1)</f>
        <v>#REF!</v>
      </c>
      <c r="AA290" s="24" t="e">
        <f>SUMIFS(#REF!,#REF!,$B290,#REF!,AA$1)</f>
        <v>#REF!</v>
      </c>
      <c r="AB290" s="24" t="e">
        <f>SUMIFS(#REF!,#REF!,$B290,#REF!,AB$1)</f>
        <v>#REF!</v>
      </c>
      <c r="AC290" s="24" t="e">
        <f>SUMIFS(#REF!,#REF!,$B290,#REF!,AC$1)</f>
        <v>#REF!</v>
      </c>
      <c r="AD290" s="24" t="e">
        <f>SUMIFS(#REF!,#REF!,$B290,#REF!,AD$1)</f>
        <v>#REF!</v>
      </c>
      <c r="AE290" s="24" t="e">
        <f>SUMIFS(#REF!,#REF!,$B290,#REF!,AE$1)</f>
        <v>#REF!</v>
      </c>
      <c r="AF290" s="24" t="e">
        <f>SUMIFS(#REF!,#REF!,$B290,#REF!,AF$1)</f>
        <v>#REF!</v>
      </c>
      <c r="AG290" s="24" t="e">
        <f>SUMIFS(#REF!,#REF!,$B290,#REF!,AG$1)</f>
        <v>#REF!</v>
      </c>
      <c r="AH290" s="24" t="e">
        <f>SUMIFS(#REF!,#REF!,$B290,#REF!,AH$1)</f>
        <v>#REF!</v>
      </c>
      <c r="AI290" s="24" t="e">
        <f>SUMIFS(#REF!,#REF!,$B290,#REF!,AI$1)</f>
        <v>#REF!</v>
      </c>
      <c r="AJ290" s="24" t="e">
        <f>SUMIFS(#REF!,#REF!,$B290,#REF!,AJ$1)</f>
        <v>#REF!</v>
      </c>
      <c r="AK290" s="24" t="e">
        <f>SUMIFS(#REF!,#REF!,$B290,#REF!,AK$1)</f>
        <v>#REF!</v>
      </c>
      <c r="AL290" s="24" t="e">
        <f>SUMIFS(#REF!,#REF!,$B290,#REF!,AL$1)</f>
        <v>#REF!</v>
      </c>
      <c r="AM290" s="24" t="e">
        <f>SUMIFS(#REF!,#REF!,$B290,#REF!,AM$1)</f>
        <v>#REF!</v>
      </c>
      <c r="AN290" s="24" t="e">
        <f>SUMIFS(#REF!,#REF!,$B290,#REF!,AN$1)</f>
        <v>#REF!</v>
      </c>
      <c r="AO290" s="24" t="e">
        <f>SUMIFS(#REF!,#REF!,$B290,#REF!,AO$1)</f>
        <v>#REF!</v>
      </c>
      <c r="AP290" s="24" t="e">
        <f>SUMIFS(#REF!,#REF!,$B290,#REF!,AP$1)</f>
        <v>#REF!</v>
      </c>
      <c r="AQ290" s="24" t="e">
        <f>SUMIFS(#REF!,#REF!,$B290,#REF!,AQ$1)</f>
        <v>#REF!</v>
      </c>
      <c r="AR290" s="24" t="e">
        <f>SUMIFS(#REF!,#REF!,$B290,#REF!,AR$1)</f>
        <v>#REF!</v>
      </c>
      <c r="AS290" s="24" t="e">
        <f>SUMIFS(#REF!,#REF!,$B290,#REF!,AS$1)</f>
        <v>#REF!</v>
      </c>
      <c r="AT290" s="24" t="e">
        <f>SUMIFS(#REF!,#REF!,$B290,#REF!,AT$1)</f>
        <v>#REF!</v>
      </c>
      <c r="AU290" s="24" t="e">
        <f>SUMIFS(#REF!,#REF!,$B290,#REF!,AU$1)</f>
        <v>#REF!</v>
      </c>
      <c r="AV290" s="24" t="e">
        <f>SUMIFS(#REF!,#REF!,$B290,#REF!,AV$1)</f>
        <v>#REF!</v>
      </c>
      <c r="AW290" s="24" t="e">
        <f>SUMIFS(#REF!,#REF!,$B290,#REF!,AW$1)</f>
        <v>#REF!</v>
      </c>
      <c r="AX290" s="24" t="e">
        <f>SUMIFS(#REF!,#REF!,$B290,#REF!,AX$1)</f>
        <v>#REF!</v>
      </c>
      <c r="AY290" s="24" t="e">
        <f>SUMIFS(#REF!,#REF!,$B290,#REF!,AY$1)</f>
        <v>#REF!</v>
      </c>
      <c r="AZ290" s="24" t="e">
        <f>SUMIFS(#REF!,#REF!,$B290,#REF!,AZ$1)</f>
        <v>#REF!</v>
      </c>
      <c r="BA290" s="24" t="e">
        <f>SUMIFS(#REF!,#REF!,$B290,#REF!,BA$1)</f>
        <v>#REF!</v>
      </c>
      <c r="BB290" s="24" t="e">
        <f>SUMIFS(#REF!,#REF!,$B290,#REF!,BB$1)</f>
        <v>#REF!</v>
      </c>
      <c r="BC290" s="24" t="e">
        <f>SUMIFS(#REF!,#REF!,$B290,#REF!,BC$1)</f>
        <v>#REF!</v>
      </c>
      <c r="BD290" s="24" t="e">
        <f>SUMIFS(#REF!,#REF!,$B290,#REF!,BD$1)</f>
        <v>#REF!</v>
      </c>
      <c r="BE290" s="24" t="e">
        <f>SUMIFS(#REF!,#REF!,$B290,#REF!,BE$1)</f>
        <v>#REF!</v>
      </c>
      <c r="BF290" s="24" t="e">
        <f>SUMIFS(#REF!,#REF!,$B290,#REF!,BF$1)</f>
        <v>#REF!</v>
      </c>
      <c r="BG290" s="24" t="e">
        <f>SUMIFS(#REF!,#REF!,$B290,#REF!,BG$1)</f>
        <v>#REF!</v>
      </c>
      <c r="BH290" s="24" t="e">
        <f>SUMIFS(#REF!,#REF!,$B290,#REF!,BH$1)</f>
        <v>#REF!</v>
      </c>
      <c r="BI290" s="24" t="e">
        <f>SUMIFS(#REF!,#REF!,$B290,#REF!,BI$1)</f>
        <v>#REF!</v>
      </c>
      <c r="BJ290" s="24" t="e">
        <f>SUMIFS(#REF!,#REF!,$B290,#REF!,BJ$1)</f>
        <v>#REF!</v>
      </c>
      <c r="BK290" s="24" t="e">
        <f>SUMIFS(#REF!,#REF!,$B290,#REF!,BK$1)</f>
        <v>#REF!</v>
      </c>
      <c r="BL290" s="24" t="e">
        <f>SUMIFS(#REF!,#REF!,$B290,#REF!,BL$1)</f>
        <v>#REF!</v>
      </c>
      <c r="BM290" s="24" t="e">
        <f>SUMIFS(#REF!,#REF!,$B290,#REF!,BM$1)</f>
        <v>#REF!</v>
      </c>
      <c r="BN290" s="24" t="e">
        <f>SUMIFS(#REF!,#REF!,$B290,#REF!,BN$1)</f>
        <v>#REF!</v>
      </c>
      <c r="BO290" s="24" t="e">
        <f>SUMIFS(#REF!,#REF!,$B290,#REF!,BO$1)</f>
        <v>#REF!</v>
      </c>
      <c r="BP290" s="24" t="e">
        <f>SUMIFS(#REF!,#REF!,$B290,#REF!,BP$1)</f>
        <v>#REF!</v>
      </c>
      <c r="BQ290" s="24" t="e">
        <f>SUMIFS(#REF!,#REF!,$B290,#REF!,BQ$1)</f>
        <v>#REF!</v>
      </c>
      <c r="BR290" s="24" t="e">
        <f>SUMIFS(#REF!,#REF!,$B290,#REF!,BR$1)</f>
        <v>#REF!</v>
      </c>
      <c r="BS290" s="24" t="e">
        <f>SUMIFS(#REF!,#REF!,$B290,#REF!,BS$1)</f>
        <v>#REF!</v>
      </c>
      <c r="BT290" s="24" t="e">
        <f>SUMIFS(#REF!,#REF!,$B290,#REF!,BT$1)</f>
        <v>#REF!</v>
      </c>
      <c r="BU290" s="24" t="e">
        <f>SUMIFS(#REF!,#REF!,$B290,#REF!,BU$1)</f>
        <v>#REF!</v>
      </c>
      <c r="BV290" s="24" t="e">
        <f>SUMIFS(#REF!,#REF!,$B290,#REF!,BV$1)</f>
        <v>#REF!</v>
      </c>
      <c r="BW290" s="24" t="e">
        <f>SUMIFS(#REF!,#REF!,$B290,#REF!,BW$1)</f>
        <v>#REF!</v>
      </c>
      <c r="BX290" s="24" t="e">
        <f>SUMIFS(#REF!,#REF!,$B290,#REF!,BX$1)</f>
        <v>#REF!</v>
      </c>
      <c r="BY290" s="24" t="e">
        <f>SUMIFS(#REF!,#REF!,$B290,#REF!,BY$1)</f>
        <v>#REF!</v>
      </c>
      <c r="BZ290" s="24" t="e">
        <f>SUMIFS(#REF!,#REF!,$B290,#REF!,BZ$1)</f>
        <v>#REF!</v>
      </c>
      <c r="CA290" s="24" t="e">
        <f>SUMIFS(#REF!,#REF!,$B290,#REF!,CA$1)</f>
        <v>#REF!</v>
      </c>
      <c r="CB290" s="24" t="e">
        <f>SUMIFS(#REF!,#REF!,$B290,#REF!,CB$1)</f>
        <v>#REF!</v>
      </c>
      <c r="CC290" s="24" t="e">
        <f>SUMIFS(#REF!,#REF!,$B290,#REF!,CC$1)</f>
        <v>#REF!</v>
      </c>
      <c r="CD290" s="24" t="e">
        <f>SUMIFS(#REF!,#REF!,$B290,#REF!,CD$1)</f>
        <v>#REF!</v>
      </c>
      <c r="CE290" s="24" t="e">
        <f>SUMIFS(#REF!,#REF!,$B290,#REF!,CE$1)</f>
        <v>#REF!</v>
      </c>
      <c r="CF290" s="24" t="e">
        <f>SUMIFS(#REF!,#REF!,$B290,#REF!,CF$1)</f>
        <v>#REF!</v>
      </c>
      <c r="CG290" s="19" t="e">
        <f t="shared" si="4"/>
        <v>#REF!</v>
      </c>
    </row>
    <row r="291" spans="1:85" x14ac:dyDescent="0.45">
      <c r="A291" s="4" t="s">
        <v>1543</v>
      </c>
      <c r="B291" s="4" t="s">
        <v>1543</v>
      </c>
      <c r="C291" s="24" t="e">
        <f>SUMIFS(#REF!,#REF!,$B291,#REF!,C$1)</f>
        <v>#REF!</v>
      </c>
      <c r="D291" s="24" t="e">
        <f>SUMIFS(#REF!,#REF!,$B291,#REF!,D$1)</f>
        <v>#REF!</v>
      </c>
      <c r="E291" s="24" t="e">
        <f>SUMIFS(#REF!,#REF!,$B291,#REF!,E$1)</f>
        <v>#REF!</v>
      </c>
      <c r="F291" s="24" t="e">
        <f>SUMIFS(#REF!,#REF!,$B291,#REF!,F$1)</f>
        <v>#REF!</v>
      </c>
      <c r="G291" s="24" t="e">
        <f>SUMIFS(#REF!,#REF!,$B291,#REF!,G$1)</f>
        <v>#REF!</v>
      </c>
      <c r="H291" s="24" t="e">
        <f>SUMIFS(#REF!,#REF!,$B291,#REF!,H$1)</f>
        <v>#REF!</v>
      </c>
      <c r="I291" s="24" t="e">
        <f>SUMIFS(#REF!,#REF!,$B291,#REF!,I$1)</f>
        <v>#REF!</v>
      </c>
      <c r="J291" s="24" t="e">
        <f>SUMIFS(#REF!,#REF!,$B291,#REF!,J$1)</f>
        <v>#REF!</v>
      </c>
      <c r="K291" s="24" t="e">
        <f>SUMIFS(#REF!,#REF!,$B291,#REF!,K$1)</f>
        <v>#REF!</v>
      </c>
      <c r="L291" s="24" t="e">
        <f>SUMIFS(#REF!,#REF!,$B291,#REF!,L$1)</f>
        <v>#REF!</v>
      </c>
      <c r="M291" s="24" t="e">
        <f>SUMIFS(#REF!,#REF!,$B291,#REF!,M$1)</f>
        <v>#REF!</v>
      </c>
      <c r="N291" s="24" t="e">
        <f>SUMIFS(#REF!,#REF!,$B291,#REF!,N$1)</f>
        <v>#REF!</v>
      </c>
      <c r="O291" s="24" t="e">
        <f>SUMIFS(#REF!,#REF!,$B291,#REF!,O$1)</f>
        <v>#REF!</v>
      </c>
      <c r="P291" s="24" t="e">
        <f>SUMIFS(#REF!,#REF!,$B291,#REF!,P$1)</f>
        <v>#REF!</v>
      </c>
      <c r="Q291" s="24" t="e">
        <f>SUMIFS(#REF!,#REF!,$B291,#REF!,Q$1)</f>
        <v>#REF!</v>
      </c>
      <c r="R291" s="24" t="e">
        <f>SUMIFS(#REF!,#REF!,$B291,#REF!,R$1)</f>
        <v>#REF!</v>
      </c>
      <c r="S291" s="24" t="e">
        <f>SUMIFS(#REF!,#REF!,$B291,#REF!,S$1)</f>
        <v>#REF!</v>
      </c>
      <c r="T291" s="24" t="e">
        <f>SUMIFS(#REF!,#REF!,$B291,#REF!,T$1)</f>
        <v>#REF!</v>
      </c>
      <c r="U291" s="24" t="e">
        <f>SUMIFS(#REF!,#REF!,$B291,#REF!,U$1)</f>
        <v>#REF!</v>
      </c>
      <c r="V291" s="24" t="e">
        <f>SUMIFS(#REF!,#REF!,$B291,#REF!,V$1)</f>
        <v>#REF!</v>
      </c>
      <c r="W291" s="24" t="e">
        <f>SUMIFS(#REF!,#REF!,$B291,#REF!,W$1)</f>
        <v>#REF!</v>
      </c>
      <c r="X291" s="24" t="e">
        <f>SUMIFS(#REF!,#REF!,$B291,#REF!,X$1)</f>
        <v>#REF!</v>
      </c>
      <c r="Y291" s="24" t="e">
        <f>SUMIFS(#REF!,#REF!,$B291,#REF!,Y$1)</f>
        <v>#REF!</v>
      </c>
      <c r="Z291" s="24" t="e">
        <f>SUMIFS(#REF!,#REF!,$B291,#REF!,Z$1)</f>
        <v>#REF!</v>
      </c>
      <c r="AA291" s="24" t="e">
        <f>SUMIFS(#REF!,#REF!,$B291,#REF!,AA$1)</f>
        <v>#REF!</v>
      </c>
      <c r="AB291" s="24" t="e">
        <f>SUMIFS(#REF!,#REF!,$B291,#REF!,AB$1)</f>
        <v>#REF!</v>
      </c>
      <c r="AC291" s="24" t="e">
        <f>SUMIFS(#REF!,#REF!,$B291,#REF!,AC$1)</f>
        <v>#REF!</v>
      </c>
      <c r="AD291" s="24" t="e">
        <f>SUMIFS(#REF!,#REF!,$B291,#REF!,AD$1)</f>
        <v>#REF!</v>
      </c>
      <c r="AE291" s="24" t="e">
        <f>SUMIFS(#REF!,#REF!,$B291,#REF!,AE$1)</f>
        <v>#REF!</v>
      </c>
      <c r="AF291" s="24" t="e">
        <f>SUMIFS(#REF!,#REF!,$B291,#REF!,AF$1)</f>
        <v>#REF!</v>
      </c>
      <c r="AG291" s="24" t="e">
        <f>SUMIFS(#REF!,#REF!,$B291,#REF!,AG$1)</f>
        <v>#REF!</v>
      </c>
      <c r="AH291" s="24" t="e">
        <f>SUMIFS(#REF!,#REF!,$B291,#REF!,AH$1)</f>
        <v>#REF!</v>
      </c>
      <c r="AI291" s="24" t="e">
        <f>SUMIFS(#REF!,#REF!,$B291,#REF!,AI$1)</f>
        <v>#REF!</v>
      </c>
      <c r="AJ291" s="24" t="e">
        <f>SUMIFS(#REF!,#REF!,$B291,#REF!,AJ$1)</f>
        <v>#REF!</v>
      </c>
      <c r="AK291" s="24" t="e">
        <f>SUMIFS(#REF!,#REF!,$B291,#REF!,AK$1)</f>
        <v>#REF!</v>
      </c>
      <c r="AL291" s="24" t="e">
        <f>SUMIFS(#REF!,#REF!,$B291,#REF!,AL$1)</f>
        <v>#REF!</v>
      </c>
      <c r="AM291" s="24" t="e">
        <f>SUMIFS(#REF!,#REF!,$B291,#REF!,AM$1)</f>
        <v>#REF!</v>
      </c>
      <c r="AN291" s="24" t="e">
        <f>SUMIFS(#REF!,#REF!,$B291,#REF!,AN$1)</f>
        <v>#REF!</v>
      </c>
      <c r="AO291" s="24" t="e">
        <f>SUMIFS(#REF!,#REF!,$B291,#REF!,AO$1)</f>
        <v>#REF!</v>
      </c>
      <c r="AP291" s="24" t="e">
        <f>SUMIFS(#REF!,#REF!,$B291,#REF!,AP$1)</f>
        <v>#REF!</v>
      </c>
      <c r="AQ291" s="24" t="e">
        <f>SUMIFS(#REF!,#REF!,$B291,#REF!,AQ$1)</f>
        <v>#REF!</v>
      </c>
      <c r="AR291" s="24" t="e">
        <f>SUMIFS(#REF!,#REF!,$B291,#REF!,AR$1)</f>
        <v>#REF!</v>
      </c>
      <c r="AS291" s="24" t="e">
        <f>SUMIFS(#REF!,#REF!,$B291,#REF!,AS$1)</f>
        <v>#REF!</v>
      </c>
      <c r="AT291" s="24" t="e">
        <f>SUMIFS(#REF!,#REF!,$B291,#REF!,AT$1)</f>
        <v>#REF!</v>
      </c>
      <c r="AU291" s="24" t="e">
        <f>SUMIFS(#REF!,#REF!,$B291,#REF!,AU$1)</f>
        <v>#REF!</v>
      </c>
      <c r="AV291" s="24" t="e">
        <f>SUMIFS(#REF!,#REF!,$B291,#REF!,AV$1)</f>
        <v>#REF!</v>
      </c>
      <c r="AW291" s="24" t="e">
        <f>SUMIFS(#REF!,#REF!,$B291,#REF!,AW$1)</f>
        <v>#REF!</v>
      </c>
      <c r="AX291" s="24" t="e">
        <f>SUMIFS(#REF!,#REF!,$B291,#REF!,AX$1)</f>
        <v>#REF!</v>
      </c>
      <c r="AY291" s="24" t="e">
        <f>SUMIFS(#REF!,#REF!,$B291,#REF!,AY$1)</f>
        <v>#REF!</v>
      </c>
      <c r="AZ291" s="24" t="e">
        <f>SUMIFS(#REF!,#REF!,$B291,#REF!,AZ$1)</f>
        <v>#REF!</v>
      </c>
      <c r="BA291" s="24" t="e">
        <f>SUMIFS(#REF!,#REF!,$B291,#REF!,BA$1)</f>
        <v>#REF!</v>
      </c>
      <c r="BB291" s="24" t="e">
        <f>SUMIFS(#REF!,#REF!,$B291,#REF!,BB$1)</f>
        <v>#REF!</v>
      </c>
      <c r="BC291" s="24" t="e">
        <f>SUMIFS(#REF!,#REF!,$B291,#REF!,BC$1)</f>
        <v>#REF!</v>
      </c>
      <c r="BD291" s="24" t="e">
        <f>SUMIFS(#REF!,#REF!,$B291,#REF!,BD$1)</f>
        <v>#REF!</v>
      </c>
      <c r="BE291" s="24" t="e">
        <f>SUMIFS(#REF!,#REF!,$B291,#REF!,BE$1)</f>
        <v>#REF!</v>
      </c>
      <c r="BF291" s="24" t="e">
        <f>SUMIFS(#REF!,#REF!,$B291,#REF!,BF$1)</f>
        <v>#REF!</v>
      </c>
      <c r="BG291" s="24" t="e">
        <f>SUMIFS(#REF!,#REF!,$B291,#REF!,BG$1)</f>
        <v>#REF!</v>
      </c>
      <c r="BH291" s="24" t="e">
        <f>SUMIFS(#REF!,#REF!,$B291,#REF!,BH$1)</f>
        <v>#REF!</v>
      </c>
      <c r="BI291" s="24" t="e">
        <f>SUMIFS(#REF!,#REF!,$B291,#REF!,BI$1)</f>
        <v>#REF!</v>
      </c>
      <c r="BJ291" s="24" t="e">
        <f>SUMIFS(#REF!,#REF!,$B291,#REF!,BJ$1)</f>
        <v>#REF!</v>
      </c>
      <c r="BK291" s="24" t="e">
        <f>SUMIFS(#REF!,#REF!,$B291,#REF!,BK$1)</f>
        <v>#REF!</v>
      </c>
      <c r="BL291" s="24" t="e">
        <f>SUMIFS(#REF!,#REF!,$B291,#REF!,BL$1)</f>
        <v>#REF!</v>
      </c>
      <c r="BM291" s="24" t="e">
        <f>SUMIFS(#REF!,#REF!,$B291,#REF!,BM$1)</f>
        <v>#REF!</v>
      </c>
      <c r="BN291" s="24" t="e">
        <f>SUMIFS(#REF!,#REF!,$B291,#REF!,BN$1)</f>
        <v>#REF!</v>
      </c>
      <c r="BO291" s="24" t="e">
        <f>SUMIFS(#REF!,#REF!,$B291,#REF!,BO$1)</f>
        <v>#REF!</v>
      </c>
      <c r="BP291" s="24" t="e">
        <f>SUMIFS(#REF!,#REF!,$B291,#REF!,BP$1)</f>
        <v>#REF!</v>
      </c>
      <c r="BQ291" s="24" t="e">
        <f>SUMIFS(#REF!,#REF!,$B291,#REF!,BQ$1)</f>
        <v>#REF!</v>
      </c>
      <c r="BR291" s="24" t="e">
        <f>SUMIFS(#REF!,#REF!,$B291,#REF!,BR$1)</f>
        <v>#REF!</v>
      </c>
      <c r="BS291" s="24" t="e">
        <f>SUMIFS(#REF!,#REF!,$B291,#REF!,BS$1)</f>
        <v>#REF!</v>
      </c>
      <c r="BT291" s="24" t="e">
        <f>SUMIFS(#REF!,#REF!,$B291,#REF!,BT$1)</f>
        <v>#REF!</v>
      </c>
      <c r="BU291" s="24" t="e">
        <f>SUMIFS(#REF!,#REF!,$B291,#REF!,BU$1)</f>
        <v>#REF!</v>
      </c>
      <c r="BV291" s="24" t="e">
        <f>SUMIFS(#REF!,#REF!,$B291,#REF!,BV$1)</f>
        <v>#REF!</v>
      </c>
      <c r="BW291" s="24" t="e">
        <f>SUMIFS(#REF!,#REF!,$B291,#REF!,BW$1)</f>
        <v>#REF!</v>
      </c>
      <c r="BX291" s="24" t="e">
        <f>SUMIFS(#REF!,#REF!,$B291,#REF!,BX$1)</f>
        <v>#REF!</v>
      </c>
      <c r="BY291" s="24" t="e">
        <f>SUMIFS(#REF!,#REF!,$B291,#REF!,BY$1)</f>
        <v>#REF!</v>
      </c>
      <c r="BZ291" s="24" t="e">
        <f>SUMIFS(#REF!,#REF!,$B291,#REF!,BZ$1)</f>
        <v>#REF!</v>
      </c>
      <c r="CA291" s="24" t="e">
        <f>SUMIFS(#REF!,#REF!,$B291,#REF!,CA$1)</f>
        <v>#REF!</v>
      </c>
      <c r="CB291" s="24" t="e">
        <f>SUMIFS(#REF!,#REF!,$B291,#REF!,CB$1)</f>
        <v>#REF!</v>
      </c>
      <c r="CC291" s="24" t="e">
        <f>SUMIFS(#REF!,#REF!,$B291,#REF!,CC$1)</f>
        <v>#REF!</v>
      </c>
      <c r="CD291" s="24" t="e">
        <f>SUMIFS(#REF!,#REF!,$B291,#REF!,CD$1)</f>
        <v>#REF!</v>
      </c>
      <c r="CE291" s="24" t="e">
        <f>SUMIFS(#REF!,#REF!,$B291,#REF!,CE$1)</f>
        <v>#REF!</v>
      </c>
      <c r="CF291" s="24" t="e">
        <f>SUMIFS(#REF!,#REF!,$B291,#REF!,CF$1)</f>
        <v>#REF!</v>
      </c>
      <c r="CG291" s="19" t="e">
        <f t="shared" si="4"/>
        <v>#REF!</v>
      </c>
    </row>
    <row r="292" spans="1:85" x14ac:dyDescent="0.45">
      <c r="A292" s="4" t="s">
        <v>1544</v>
      </c>
      <c r="B292" s="4" t="s">
        <v>1544</v>
      </c>
      <c r="C292" s="24" t="e">
        <f>SUMIFS(#REF!,#REF!,$B292,#REF!,C$1)</f>
        <v>#REF!</v>
      </c>
      <c r="D292" s="24" t="e">
        <f>SUMIFS(#REF!,#REF!,$B292,#REF!,D$1)</f>
        <v>#REF!</v>
      </c>
      <c r="E292" s="24" t="e">
        <f>SUMIFS(#REF!,#REF!,$B292,#REF!,E$1)</f>
        <v>#REF!</v>
      </c>
      <c r="F292" s="24" t="e">
        <f>SUMIFS(#REF!,#REF!,$B292,#REF!,F$1)</f>
        <v>#REF!</v>
      </c>
      <c r="G292" s="24" t="e">
        <f>SUMIFS(#REF!,#REF!,$B292,#REF!,G$1)</f>
        <v>#REF!</v>
      </c>
      <c r="H292" s="24" t="e">
        <f>SUMIFS(#REF!,#REF!,$B292,#REF!,H$1)</f>
        <v>#REF!</v>
      </c>
      <c r="I292" s="24" t="e">
        <f>SUMIFS(#REF!,#REF!,$B292,#REF!,I$1)</f>
        <v>#REF!</v>
      </c>
      <c r="J292" s="24" t="e">
        <f>SUMIFS(#REF!,#REF!,$B292,#REF!,J$1)</f>
        <v>#REF!</v>
      </c>
      <c r="K292" s="24" t="e">
        <f>SUMIFS(#REF!,#REF!,$B292,#REF!,K$1)</f>
        <v>#REF!</v>
      </c>
      <c r="L292" s="24" t="e">
        <f>SUMIFS(#REF!,#REF!,$B292,#REF!,L$1)</f>
        <v>#REF!</v>
      </c>
      <c r="M292" s="24" t="e">
        <f>SUMIFS(#REF!,#REF!,$B292,#REF!,M$1)</f>
        <v>#REF!</v>
      </c>
      <c r="N292" s="24" t="e">
        <f>SUMIFS(#REF!,#REF!,$B292,#REF!,N$1)</f>
        <v>#REF!</v>
      </c>
      <c r="O292" s="24" t="e">
        <f>SUMIFS(#REF!,#REF!,$B292,#REF!,O$1)</f>
        <v>#REF!</v>
      </c>
      <c r="P292" s="24" t="e">
        <f>SUMIFS(#REF!,#REF!,$B292,#REF!,P$1)</f>
        <v>#REF!</v>
      </c>
      <c r="Q292" s="24" t="e">
        <f>SUMIFS(#REF!,#REF!,$B292,#REF!,Q$1)</f>
        <v>#REF!</v>
      </c>
      <c r="R292" s="24" t="e">
        <f>SUMIFS(#REF!,#REF!,$B292,#REF!,R$1)</f>
        <v>#REF!</v>
      </c>
      <c r="S292" s="24" t="e">
        <f>SUMIFS(#REF!,#REF!,$B292,#REF!,S$1)</f>
        <v>#REF!</v>
      </c>
      <c r="T292" s="24" t="e">
        <f>SUMIFS(#REF!,#REF!,$B292,#REF!,T$1)</f>
        <v>#REF!</v>
      </c>
      <c r="U292" s="24" t="e">
        <f>SUMIFS(#REF!,#REF!,$B292,#REF!,U$1)</f>
        <v>#REF!</v>
      </c>
      <c r="V292" s="24" t="e">
        <f>SUMIFS(#REF!,#REF!,$B292,#REF!,V$1)</f>
        <v>#REF!</v>
      </c>
      <c r="W292" s="24" t="e">
        <f>SUMIFS(#REF!,#REF!,$B292,#REF!,W$1)</f>
        <v>#REF!</v>
      </c>
      <c r="X292" s="24" t="e">
        <f>SUMIFS(#REF!,#REF!,$B292,#REF!,X$1)</f>
        <v>#REF!</v>
      </c>
      <c r="Y292" s="24" t="e">
        <f>SUMIFS(#REF!,#REF!,$B292,#REF!,Y$1)</f>
        <v>#REF!</v>
      </c>
      <c r="Z292" s="24" t="e">
        <f>SUMIFS(#REF!,#REF!,$B292,#REF!,Z$1)</f>
        <v>#REF!</v>
      </c>
      <c r="AA292" s="24" t="e">
        <f>SUMIFS(#REF!,#REF!,$B292,#REF!,AA$1)</f>
        <v>#REF!</v>
      </c>
      <c r="AB292" s="24" t="e">
        <f>SUMIFS(#REF!,#REF!,$B292,#REF!,AB$1)</f>
        <v>#REF!</v>
      </c>
      <c r="AC292" s="24" t="e">
        <f>SUMIFS(#REF!,#REF!,$B292,#REF!,AC$1)</f>
        <v>#REF!</v>
      </c>
      <c r="AD292" s="24" t="e">
        <f>SUMIFS(#REF!,#REF!,$B292,#REF!,AD$1)</f>
        <v>#REF!</v>
      </c>
      <c r="AE292" s="24" t="e">
        <f>SUMIFS(#REF!,#REF!,$B292,#REF!,AE$1)</f>
        <v>#REF!</v>
      </c>
      <c r="AF292" s="24" t="e">
        <f>SUMIFS(#REF!,#REF!,$B292,#REF!,AF$1)</f>
        <v>#REF!</v>
      </c>
      <c r="AG292" s="24" t="e">
        <f>SUMIFS(#REF!,#REF!,$B292,#REF!,AG$1)</f>
        <v>#REF!</v>
      </c>
      <c r="AH292" s="24" t="e">
        <f>SUMIFS(#REF!,#REF!,$B292,#REF!,AH$1)</f>
        <v>#REF!</v>
      </c>
      <c r="AI292" s="24" t="e">
        <f>SUMIFS(#REF!,#REF!,$B292,#REF!,AI$1)</f>
        <v>#REF!</v>
      </c>
      <c r="AJ292" s="24" t="e">
        <f>SUMIFS(#REF!,#REF!,$B292,#REF!,AJ$1)</f>
        <v>#REF!</v>
      </c>
      <c r="AK292" s="24" t="e">
        <f>SUMIFS(#REF!,#REF!,$B292,#REF!,AK$1)</f>
        <v>#REF!</v>
      </c>
      <c r="AL292" s="24" t="e">
        <f>SUMIFS(#REF!,#REF!,$B292,#REF!,AL$1)</f>
        <v>#REF!</v>
      </c>
      <c r="AM292" s="24" t="e">
        <f>SUMIFS(#REF!,#REF!,$B292,#REF!,AM$1)</f>
        <v>#REF!</v>
      </c>
      <c r="AN292" s="24" t="e">
        <f>SUMIFS(#REF!,#REF!,$B292,#REF!,AN$1)</f>
        <v>#REF!</v>
      </c>
      <c r="AO292" s="24" t="e">
        <f>SUMIFS(#REF!,#REF!,$B292,#REF!,AO$1)</f>
        <v>#REF!</v>
      </c>
      <c r="AP292" s="24" t="e">
        <f>SUMIFS(#REF!,#REF!,$B292,#REF!,AP$1)</f>
        <v>#REF!</v>
      </c>
      <c r="AQ292" s="24" t="e">
        <f>SUMIFS(#REF!,#REF!,$B292,#REF!,AQ$1)</f>
        <v>#REF!</v>
      </c>
      <c r="AR292" s="24" t="e">
        <f>SUMIFS(#REF!,#REF!,$B292,#REF!,AR$1)</f>
        <v>#REF!</v>
      </c>
      <c r="AS292" s="24" t="e">
        <f>SUMIFS(#REF!,#REF!,$B292,#REF!,AS$1)</f>
        <v>#REF!</v>
      </c>
      <c r="AT292" s="24" t="e">
        <f>SUMIFS(#REF!,#REF!,$B292,#REF!,AT$1)</f>
        <v>#REF!</v>
      </c>
      <c r="AU292" s="24" t="e">
        <f>SUMIFS(#REF!,#REF!,$B292,#REF!,AU$1)</f>
        <v>#REF!</v>
      </c>
      <c r="AV292" s="24" t="e">
        <f>SUMIFS(#REF!,#REF!,$B292,#REF!,AV$1)</f>
        <v>#REF!</v>
      </c>
      <c r="AW292" s="24" t="e">
        <f>SUMIFS(#REF!,#REF!,$B292,#REF!,AW$1)</f>
        <v>#REF!</v>
      </c>
      <c r="AX292" s="24" t="e">
        <f>SUMIFS(#REF!,#REF!,$B292,#REF!,AX$1)</f>
        <v>#REF!</v>
      </c>
      <c r="AY292" s="24" t="e">
        <f>SUMIFS(#REF!,#REF!,$B292,#REF!,AY$1)</f>
        <v>#REF!</v>
      </c>
      <c r="AZ292" s="24" t="e">
        <f>SUMIFS(#REF!,#REF!,$B292,#REF!,AZ$1)</f>
        <v>#REF!</v>
      </c>
      <c r="BA292" s="24" t="e">
        <f>SUMIFS(#REF!,#REF!,$B292,#REF!,BA$1)</f>
        <v>#REF!</v>
      </c>
      <c r="BB292" s="24" t="e">
        <f>SUMIFS(#REF!,#REF!,$B292,#REF!,BB$1)</f>
        <v>#REF!</v>
      </c>
      <c r="BC292" s="24" t="e">
        <f>SUMIFS(#REF!,#REF!,$B292,#REF!,BC$1)</f>
        <v>#REF!</v>
      </c>
      <c r="BD292" s="24" t="e">
        <f>SUMIFS(#REF!,#REF!,$B292,#REF!,BD$1)</f>
        <v>#REF!</v>
      </c>
      <c r="BE292" s="24" t="e">
        <f>SUMIFS(#REF!,#REF!,$B292,#REF!,BE$1)</f>
        <v>#REF!</v>
      </c>
      <c r="BF292" s="24" t="e">
        <f>SUMIFS(#REF!,#REF!,$B292,#REF!,BF$1)</f>
        <v>#REF!</v>
      </c>
      <c r="BG292" s="24" t="e">
        <f>SUMIFS(#REF!,#REF!,$B292,#REF!,BG$1)</f>
        <v>#REF!</v>
      </c>
      <c r="BH292" s="24" t="e">
        <f>SUMIFS(#REF!,#REF!,$B292,#REF!,BH$1)</f>
        <v>#REF!</v>
      </c>
      <c r="BI292" s="24" t="e">
        <f>SUMIFS(#REF!,#REF!,$B292,#REF!,BI$1)</f>
        <v>#REF!</v>
      </c>
      <c r="BJ292" s="24" t="e">
        <f>SUMIFS(#REF!,#REF!,$B292,#REF!,BJ$1)</f>
        <v>#REF!</v>
      </c>
      <c r="BK292" s="24" t="e">
        <f>SUMIFS(#REF!,#REF!,$B292,#REF!,BK$1)</f>
        <v>#REF!</v>
      </c>
      <c r="BL292" s="24" t="e">
        <f>SUMIFS(#REF!,#REF!,$B292,#REF!,BL$1)</f>
        <v>#REF!</v>
      </c>
      <c r="BM292" s="24" t="e">
        <f>SUMIFS(#REF!,#REF!,$B292,#REF!,BM$1)</f>
        <v>#REF!</v>
      </c>
      <c r="BN292" s="24" t="e">
        <f>SUMIFS(#REF!,#REF!,$B292,#REF!,BN$1)</f>
        <v>#REF!</v>
      </c>
      <c r="BO292" s="24" t="e">
        <f>SUMIFS(#REF!,#REF!,$B292,#REF!,BO$1)</f>
        <v>#REF!</v>
      </c>
      <c r="BP292" s="24" t="e">
        <f>SUMIFS(#REF!,#REF!,$B292,#REF!,BP$1)</f>
        <v>#REF!</v>
      </c>
      <c r="BQ292" s="24" t="e">
        <f>SUMIFS(#REF!,#REF!,$B292,#REF!,BQ$1)</f>
        <v>#REF!</v>
      </c>
      <c r="BR292" s="24" t="e">
        <f>SUMIFS(#REF!,#REF!,$B292,#REF!,BR$1)</f>
        <v>#REF!</v>
      </c>
      <c r="BS292" s="24" t="e">
        <f>SUMIFS(#REF!,#REF!,$B292,#REF!,BS$1)</f>
        <v>#REF!</v>
      </c>
      <c r="BT292" s="24" t="e">
        <f>SUMIFS(#REF!,#REF!,$B292,#REF!,BT$1)</f>
        <v>#REF!</v>
      </c>
      <c r="BU292" s="24" t="e">
        <f>SUMIFS(#REF!,#REF!,$B292,#REF!,BU$1)</f>
        <v>#REF!</v>
      </c>
      <c r="BV292" s="24" t="e">
        <f>SUMIFS(#REF!,#REF!,$B292,#REF!,BV$1)</f>
        <v>#REF!</v>
      </c>
      <c r="BW292" s="24" t="e">
        <f>SUMIFS(#REF!,#REF!,$B292,#REF!,BW$1)</f>
        <v>#REF!</v>
      </c>
      <c r="BX292" s="24" t="e">
        <f>SUMIFS(#REF!,#REF!,$B292,#REF!,BX$1)</f>
        <v>#REF!</v>
      </c>
      <c r="BY292" s="24" t="e">
        <f>SUMIFS(#REF!,#REF!,$B292,#REF!,BY$1)</f>
        <v>#REF!</v>
      </c>
      <c r="BZ292" s="24" t="e">
        <f>SUMIFS(#REF!,#REF!,$B292,#REF!,BZ$1)</f>
        <v>#REF!</v>
      </c>
      <c r="CA292" s="24" t="e">
        <f>SUMIFS(#REF!,#REF!,$B292,#REF!,CA$1)</f>
        <v>#REF!</v>
      </c>
      <c r="CB292" s="24" t="e">
        <f>SUMIFS(#REF!,#REF!,$B292,#REF!,CB$1)</f>
        <v>#REF!</v>
      </c>
      <c r="CC292" s="24" t="e">
        <f>SUMIFS(#REF!,#REF!,$B292,#REF!,CC$1)</f>
        <v>#REF!</v>
      </c>
      <c r="CD292" s="24" t="e">
        <f>SUMIFS(#REF!,#REF!,$B292,#REF!,CD$1)</f>
        <v>#REF!</v>
      </c>
      <c r="CE292" s="24" t="e">
        <f>SUMIFS(#REF!,#REF!,$B292,#REF!,CE$1)</f>
        <v>#REF!</v>
      </c>
      <c r="CF292" s="24" t="e">
        <f>SUMIFS(#REF!,#REF!,$B292,#REF!,CF$1)</f>
        <v>#REF!</v>
      </c>
      <c r="CG292" s="19" t="e">
        <f t="shared" si="4"/>
        <v>#REF!</v>
      </c>
    </row>
    <row r="293" spans="1:85" x14ac:dyDescent="0.45">
      <c r="A293" s="4" t="s">
        <v>1545</v>
      </c>
      <c r="B293" s="4" t="s">
        <v>1546</v>
      </c>
      <c r="C293" s="24" t="e">
        <f>SUMIFS(#REF!,#REF!,$B293,#REF!,C$1)</f>
        <v>#REF!</v>
      </c>
      <c r="D293" s="24" t="e">
        <f>SUMIFS(#REF!,#REF!,$B293,#REF!,D$1)</f>
        <v>#REF!</v>
      </c>
      <c r="E293" s="24" t="e">
        <f>SUMIFS(#REF!,#REF!,$B293,#REF!,E$1)</f>
        <v>#REF!</v>
      </c>
      <c r="F293" s="24" t="e">
        <f>SUMIFS(#REF!,#REF!,$B293,#REF!,F$1)</f>
        <v>#REF!</v>
      </c>
      <c r="G293" s="24" t="e">
        <f>SUMIFS(#REF!,#REF!,$B293,#REF!,G$1)</f>
        <v>#REF!</v>
      </c>
      <c r="H293" s="24" t="e">
        <f>SUMIFS(#REF!,#REF!,$B293,#REF!,H$1)</f>
        <v>#REF!</v>
      </c>
      <c r="I293" s="24" t="e">
        <f>SUMIFS(#REF!,#REF!,$B293,#REF!,I$1)</f>
        <v>#REF!</v>
      </c>
      <c r="J293" s="24" t="e">
        <f>SUMIFS(#REF!,#REF!,$B293,#REF!,J$1)</f>
        <v>#REF!</v>
      </c>
      <c r="K293" s="24" t="e">
        <f>SUMIFS(#REF!,#REF!,$B293,#REF!,K$1)</f>
        <v>#REF!</v>
      </c>
      <c r="L293" s="24" t="e">
        <f>SUMIFS(#REF!,#REF!,$B293,#REF!,L$1)</f>
        <v>#REF!</v>
      </c>
      <c r="M293" s="24" t="e">
        <f>SUMIFS(#REF!,#REF!,$B293,#REF!,M$1)</f>
        <v>#REF!</v>
      </c>
      <c r="N293" s="24" t="e">
        <f>SUMIFS(#REF!,#REF!,$B293,#REF!,N$1)</f>
        <v>#REF!</v>
      </c>
      <c r="O293" s="24" t="e">
        <f>SUMIFS(#REF!,#REF!,$B293,#REF!,O$1)</f>
        <v>#REF!</v>
      </c>
      <c r="P293" s="24" t="e">
        <f>SUMIFS(#REF!,#REF!,$B293,#REF!,P$1)</f>
        <v>#REF!</v>
      </c>
      <c r="Q293" s="24" t="e">
        <f>SUMIFS(#REF!,#REF!,$B293,#REF!,Q$1)</f>
        <v>#REF!</v>
      </c>
      <c r="R293" s="24" t="e">
        <f>SUMIFS(#REF!,#REF!,$B293,#REF!,R$1)</f>
        <v>#REF!</v>
      </c>
      <c r="S293" s="24" t="e">
        <f>SUMIFS(#REF!,#REF!,$B293,#REF!,S$1)</f>
        <v>#REF!</v>
      </c>
      <c r="T293" s="24" t="e">
        <f>SUMIFS(#REF!,#REF!,$B293,#REF!,T$1)</f>
        <v>#REF!</v>
      </c>
      <c r="U293" s="24" t="e">
        <f>SUMIFS(#REF!,#REF!,$B293,#REF!,U$1)</f>
        <v>#REF!</v>
      </c>
      <c r="V293" s="24" t="e">
        <f>SUMIFS(#REF!,#REF!,$B293,#REF!,V$1)</f>
        <v>#REF!</v>
      </c>
      <c r="W293" s="24" t="e">
        <f>SUMIFS(#REF!,#REF!,$B293,#REF!,W$1)</f>
        <v>#REF!</v>
      </c>
      <c r="X293" s="24" t="e">
        <f>SUMIFS(#REF!,#REF!,$B293,#REF!,X$1)</f>
        <v>#REF!</v>
      </c>
      <c r="Y293" s="24" t="e">
        <f>SUMIFS(#REF!,#REF!,$B293,#REF!,Y$1)</f>
        <v>#REF!</v>
      </c>
      <c r="Z293" s="24" t="e">
        <f>SUMIFS(#REF!,#REF!,$B293,#REF!,Z$1)</f>
        <v>#REF!</v>
      </c>
      <c r="AA293" s="24" t="e">
        <f>SUMIFS(#REF!,#REF!,$B293,#REF!,AA$1)</f>
        <v>#REF!</v>
      </c>
      <c r="AB293" s="24" t="e">
        <f>SUMIFS(#REF!,#REF!,$B293,#REF!,AB$1)</f>
        <v>#REF!</v>
      </c>
      <c r="AC293" s="24" t="e">
        <f>SUMIFS(#REF!,#REF!,$B293,#REF!,AC$1)</f>
        <v>#REF!</v>
      </c>
      <c r="AD293" s="24" t="e">
        <f>SUMIFS(#REF!,#REF!,$B293,#REF!,AD$1)</f>
        <v>#REF!</v>
      </c>
      <c r="AE293" s="24" t="e">
        <f>SUMIFS(#REF!,#REF!,$B293,#REF!,AE$1)</f>
        <v>#REF!</v>
      </c>
      <c r="AF293" s="24" t="e">
        <f>SUMIFS(#REF!,#REF!,$B293,#REF!,AF$1)</f>
        <v>#REF!</v>
      </c>
      <c r="AG293" s="24" t="e">
        <f>SUMIFS(#REF!,#REF!,$B293,#REF!,AG$1)</f>
        <v>#REF!</v>
      </c>
      <c r="AH293" s="24" t="e">
        <f>SUMIFS(#REF!,#REF!,$B293,#REF!,AH$1)</f>
        <v>#REF!</v>
      </c>
      <c r="AI293" s="24" t="e">
        <f>SUMIFS(#REF!,#REF!,$B293,#REF!,AI$1)</f>
        <v>#REF!</v>
      </c>
      <c r="AJ293" s="24" t="e">
        <f>SUMIFS(#REF!,#REF!,$B293,#REF!,AJ$1)</f>
        <v>#REF!</v>
      </c>
      <c r="AK293" s="24" t="e">
        <f>SUMIFS(#REF!,#REF!,$B293,#REF!,AK$1)</f>
        <v>#REF!</v>
      </c>
      <c r="AL293" s="24" t="e">
        <f>SUMIFS(#REF!,#REF!,$B293,#REF!,AL$1)</f>
        <v>#REF!</v>
      </c>
      <c r="AM293" s="24" t="e">
        <f>SUMIFS(#REF!,#REF!,$B293,#REF!,AM$1)</f>
        <v>#REF!</v>
      </c>
      <c r="AN293" s="24" t="e">
        <f>SUMIFS(#REF!,#REF!,$B293,#REF!,AN$1)</f>
        <v>#REF!</v>
      </c>
      <c r="AO293" s="24" t="e">
        <f>SUMIFS(#REF!,#REF!,$B293,#REF!,AO$1)</f>
        <v>#REF!</v>
      </c>
      <c r="AP293" s="24" t="e">
        <f>SUMIFS(#REF!,#REF!,$B293,#REF!,AP$1)</f>
        <v>#REF!</v>
      </c>
      <c r="AQ293" s="24" t="e">
        <f>SUMIFS(#REF!,#REF!,$B293,#REF!,AQ$1)</f>
        <v>#REF!</v>
      </c>
      <c r="AR293" s="24" t="e">
        <f>SUMIFS(#REF!,#REF!,$B293,#REF!,AR$1)</f>
        <v>#REF!</v>
      </c>
      <c r="AS293" s="24" t="e">
        <f>SUMIFS(#REF!,#REF!,$B293,#REF!,AS$1)</f>
        <v>#REF!</v>
      </c>
      <c r="AT293" s="24" t="e">
        <f>SUMIFS(#REF!,#REF!,$B293,#REF!,AT$1)</f>
        <v>#REF!</v>
      </c>
      <c r="AU293" s="24" t="e">
        <f>SUMIFS(#REF!,#REF!,$B293,#REF!,AU$1)</f>
        <v>#REF!</v>
      </c>
      <c r="AV293" s="24" t="e">
        <f>SUMIFS(#REF!,#REF!,$B293,#REF!,AV$1)</f>
        <v>#REF!</v>
      </c>
      <c r="AW293" s="24" t="e">
        <f>SUMIFS(#REF!,#REF!,$B293,#REF!,AW$1)</f>
        <v>#REF!</v>
      </c>
      <c r="AX293" s="24" t="e">
        <f>SUMIFS(#REF!,#REF!,$B293,#REF!,AX$1)</f>
        <v>#REF!</v>
      </c>
      <c r="AY293" s="24" t="e">
        <f>SUMIFS(#REF!,#REF!,$B293,#REF!,AY$1)</f>
        <v>#REF!</v>
      </c>
      <c r="AZ293" s="24" t="e">
        <f>SUMIFS(#REF!,#REF!,$B293,#REF!,AZ$1)</f>
        <v>#REF!</v>
      </c>
      <c r="BA293" s="24" t="e">
        <f>SUMIFS(#REF!,#REF!,$B293,#REF!,BA$1)</f>
        <v>#REF!</v>
      </c>
      <c r="BB293" s="24" t="e">
        <f>SUMIFS(#REF!,#REF!,$B293,#REF!,BB$1)</f>
        <v>#REF!</v>
      </c>
      <c r="BC293" s="24" t="e">
        <f>SUMIFS(#REF!,#REF!,$B293,#REF!,BC$1)</f>
        <v>#REF!</v>
      </c>
      <c r="BD293" s="24" t="e">
        <f>SUMIFS(#REF!,#REF!,$B293,#REF!,BD$1)</f>
        <v>#REF!</v>
      </c>
      <c r="BE293" s="24" t="e">
        <f>SUMIFS(#REF!,#REF!,$B293,#REF!,BE$1)</f>
        <v>#REF!</v>
      </c>
      <c r="BF293" s="24" t="e">
        <f>SUMIFS(#REF!,#REF!,$B293,#REF!,BF$1)</f>
        <v>#REF!</v>
      </c>
      <c r="BG293" s="24" t="e">
        <f>SUMIFS(#REF!,#REF!,$B293,#REF!,BG$1)</f>
        <v>#REF!</v>
      </c>
      <c r="BH293" s="24" t="e">
        <f>SUMIFS(#REF!,#REF!,$B293,#REF!,BH$1)</f>
        <v>#REF!</v>
      </c>
      <c r="BI293" s="24" t="e">
        <f>SUMIFS(#REF!,#REF!,$B293,#REF!,BI$1)</f>
        <v>#REF!</v>
      </c>
      <c r="BJ293" s="24" t="e">
        <f>SUMIFS(#REF!,#REF!,$B293,#REF!,BJ$1)</f>
        <v>#REF!</v>
      </c>
      <c r="BK293" s="24" t="e">
        <f>SUMIFS(#REF!,#REF!,$B293,#REF!,BK$1)</f>
        <v>#REF!</v>
      </c>
      <c r="BL293" s="24" t="e">
        <f>SUMIFS(#REF!,#REF!,$B293,#REF!,BL$1)</f>
        <v>#REF!</v>
      </c>
      <c r="BM293" s="24" t="e">
        <f>SUMIFS(#REF!,#REF!,$B293,#REF!,BM$1)</f>
        <v>#REF!</v>
      </c>
      <c r="BN293" s="24" t="e">
        <f>SUMIFS(#REF!,#REF!,$B293,#REF!,BN$1)</f>
        <v>#REF!</v>
      </c>
      <c r="BO293" s="24" t="e">
        <f>SUMIFS(#REF!,#REF!,$B293,#REF!,BO$1)</f>
        <v>#REF!</v>
      </c>
      <c r="BP293" s="24" t="e">
        <f>SUMIFS(#REF!,#REF!,$B293,#REF!,BP$1)</f>
        <v>#REF!</v>
      </c>
      <c r="BQ293" s="24" t="e">
        <f>SUMIFS(#REF!,#REF!,$B293,#REF!,BQ$1)</f>
        <v>#REF!</v>
      </c>
      <c r="BR293" s="24" t="e">
        <f>SUMIFS(#REF!,#REF!,$B293,#REF!,BR$1)</f>
        <v>#REF!</v>
      </c>
      <c r="BS293" s="24" t="e">
        <f>SUMIFS(#REF!,#REF!,$B293,#REF!,BS$1)</f>
        <v>#REF!</v>
      </c>
      <c r="BT293" s="24" t="e">
        <f>SUMIFS(#REF!,#REF!,$B293,#REF!,BT$1)</f>
        <v>#REF!</v>
      </c>
      <c r="BU293" s="24" t="e">
        <f>SUMIFS(#REF!,#REF!,$B293,#REF!,BU$1)</f>
        <v>#REF!</v>
      </c>
      <c r="BV293" s="24" t="e">
        <f>SUMIFS(#REF!,#REF!,$B293,#REF!,BV$1)</f>
        <v>#REF!</v>
      </c>
      <c r="BW293" s="24" t="e">
        <f>SUMIFS(#REF!,#REF!,$B293,#REF!,BW$1)</f>
        <v>#REF!</v>
      </c>
      <c r="BX293" s="24" t="e">
        <f>SUMIFS(#REF!,#REF!,$B293,#REF!,BX$1)</f>
        <v>#REF!</v>
      </c>
      <c r="BY293" s="24" t="e">
        <f>SUMIFS(#REF!,#REF!,$B293,#REF!,BY$1)</f>
        <v>#REF!</v>
      </c>
      <c r="BZ293" s="24" t="e">
        <f>SUMIFS(#REF!,#REF!,$B293,#REF!,BZ$1)</f>
        <v>#REF!</v>
      </c>
      <c r="CA293" s="24" t="e">
        <f>SUMIFS(#REF!,#REF!,$B293,#REF!,CA$1)</f>
        <v>#REF!</v>
      </c>
      <c r="CB293" s="24" t="e">
        <f>SUMIFS(#REF!,#REF!,$B293,#REF!,CB$1)</f>
        <v>#REF!</v>
      </c>
      <c r="CC293" s="24" t="e">
        <f>SUMIFS(#REF!,#REF!,$B293,#REF!,CC$1)</f>
        <v>#REF!</v>
      </c>
      <c r="CD293" s="24" t="e">
        <f>SUMIFS(#REF!,#REF!,$B293,#REF!,CD$1)</f>
        <v>#REF!</v>
      </c>
      <c r="CE293" s="24" t="e">
        <f>SUMIFS(#REF!,#REF!,$B293,#REF!,CE$1)</f>
        <v>#REF!</v>
      </c>
      <c r="CF293" s="24" t="e">
        <f>SUMIFS(#REF!,#REF!,$B293,#REF!,CF$1)</f>
        <v>#REF!</v>
      </c>
      <c r="CG293" s="19" t="e">
        <f t="shared" si="4"/>
        <v>#REF!</v>
      </c>
    </row>
    <row r="294" spans="1:85" x14ac:dyDescent="0.45">
      <c r="A294" s="4" t="s">
        <v>1547</v>
      </c>
      <c r="B294" s="4" t="s">
        <v>1547</v>
      </c>
      <c r="C294" s="24" t="e">
        <f>SUMIFS(#REF!,#REF!,$B294,#REF!,C$1)</f>
        <v>#REF!</v>
      </c>
      <c r="D294" s="24" t="e">
        <f>SUMIFS(#REF!,#REF!,$B294,#REF!,D$1)</f>
        <v>#REF!</v>
      </c>
      <c r="E294" s="24" t="e">
        <f>SUMIFS(#REF!,#REF!,$B294,#REF!,E$1)</f>
        <v>#REF!</v>
      </c>
      <c r="F294" s="24" t="e">
        <f>SUMIFS(#REF!,#REF!,$B294,#REF!,F$1)</f>
        <v>#REF!</v>
      </c>
      <c r="G294" s="24" t="e">
        <f>SUMIFS(#REF!,#REF!,$B294,#REF!,G$1)</f>
        <v>#REF!</v>
      </c>
      <c r="H294" s="24" t="e">
        <f>SUMIFS(#REF!,#REF!,$B294,#REF!,H$1)</f>
        <v>#REF!</v>
      </c>
      <c r="I294" s="24" t="e">
        <f>SUMIFS(#REF!,#REF!,$B294,#REF!,I$1)</f>
        <v>#REF!</v>
      </c>
      <c r="J294" s="24" t="e">
        <f>SUMIFS(#REF!,#REF!,$B294,#REF!,J$1)</f>
        <v>#REF!</v>
      </c>
      <c r="K294" s="24" t="e">
        <f>SUMIFS(#REF!,#REF!,$B294,#REF!,K$1)</f>
        <v>#REF!</v>
      </c>
      <c r="L294" s="24" t="e">
        <f>SUMIFS(#REF!,#REF!,$B294,#REF!,L$1)</f>
        <v>#REF!</v>
      </c>
      <c r="M294" s="24" t="e">
        <f>SUMIFS(#REF!,#REF!,$B294,#REF!,M$1)</f>
        <v>#REF!</v>
      </c>
      <c r="N294" s="24" t="e">
        <f>SUMIFS(#REF!,#REF!,$B294,#REF!,N$1)</f>
        <v>#REF!</v>
      </c>
      <c r="O294" s="24" t="e">
        <f>SUMIFS(#REF!,#REF!,$B294,#REF!,O$1)</f>
        <v>#REF!</v>
      </c>
      <c r="P294" s="24" t="e">
        <f>SUMIFS(#REF!,#REF!,$B294,#REF!,P$1)</f>
        <v>#REF!</v>
      </c>
      <c r="Q294" s="24" t="e">
        <f>SUMIFS(#REF!,#REF!,$B294,#REF!,Q$1)</f>
        <v>#REF!</v>
      </c>
      <c r="R294" s="24" t="e">
        <f>SUMIFS(#REF!,#REF!,$B294,#REF!,R$1)</f>
        <v>#REF!</v>
      </c>
      <c r="S294" s="24" t="e">
        <f>SUMIFS(#REF!,#REF!,$B294,#REF!,S$1)</f>
        <v>#REF!</v>
      </c>
      <c r="T294" s="24" t="e">
        <f>SUMIFS(#REF!,#REF!,$B294,#REF!,T$1)</f>
        <v>#REF!</v>
      </c>
      <c r="U294" s="24" t="e">
        <f>SUMIFS(#REF!,#REF!,$B294,#REF!,U$1)</f>
        <v>#REF!</v>
      </c>
      <c r="V294" s="24" t="e">
        <f>SUMIFS(#REF!,#REF!,$B294,#REF!,V$1)</f>
        <v>#REF!</v>
      </c>
      <c r="W294" s="24" t="e">
        <f>SUMIFS(#REF!,#REF!,$B294,#REF!,W$1)</f>
        <v>#REF!</v>
      </c>
      <c r="X294" s="24" t="e">
        <f>SUMIFS(#REF!,#REF!,$B294,#REF!,X$1)</f>
        <v>#REF!</v>
      </c>
      <c r="Y294" s="24" t="e">
        <f>SUMIFS(#REF!,#REF!,$B294,#REF!,Y$1)</f>
        <v>#REF!</v>
      </c>
      <c r="Z294" s="24" t="e">
        <f>SUMIFS(#REF!,#REF!,$B294,#REF!,Z$1)</f>
        <v>#REF!</v>
      </c>
      <c r="AA294" s="24" t="e">
        <f>SUMIFS(#REF!,#REF!,$B294,#REF!,AA$1)</f>
        <v>#REF!</v>
      </c>
      <c r="AB294" s="24" t="e">
        <f>SUMIFS(#REF!,#REF!,$B294,#REF!,AB$1)</f>
        <v>#REF!</v>
      </c>
      <c r="AC294" s="24" t="e">
        <f>SUMIFS(#REF!,#REF!,$B294,#REF!,AC$1)</f>
        <v>#REF!</v>
      </c>
      <c r="AD294" s="24" t="e">
        <f>SUMIFS(#REF!,#REF!,$B294,#REF!,AD$1)</f>
        <v>#REF!</v>
      </c>
      <c r="AE294" s="24" t="e">
        <f>SUMIFS(#REF!,#REF!,$B294,#REF!,AE$1)</f>
        <v>#REF!</v>
      </c>
      <c r="AF294" s="24" t="e">
        <f>SUMIFS(#REF!,#REF!,$B294,#REF!,AF$1)</f>
        <v>#REF!</v>
      </c>
      <c r="AG294" s="24" t="e">
        <f>SUMIFS(#REF!,#REF!,$B294,#REF!,AG$1)</f>
        <v>#REF!</v>
      </c>
      <c r="AH294" s="24" t="e">
        <f>SUMIFS(#REF!,#REF!,$B294,#REF!,AH$1)</f>
        <v>#REF!</v>
      </c>
      <c r="AI294" s="24" t="e">
        <f>SUMIFS(#REF!,#REF!,$B294,#REF!,AI$1)</f>
        <v>#REF!</v>
      </c>
      <c r="AJ294" s="24" t="e">
        <f>SUMIFS(#REF!,#REF!,$B294,#REF!,AJ$1)</f>
        <v>#REF!</v>
      </c>
      <c r="AK294" s="24" t="e">
        <f>SUMIFS(#REF!,#REF!,$B294,#REF!,AK$1)</f>
        <v>#REF!</v>
      </c>
      <c r="AL294" s="24" t="e">
        <f>SUMIFS(#REF!,#REF!,$B294,#REF!,AL$1)</f>
        <v>#REF!</v>
      </c>
      <c r="AM294" s="24" t="e">
        <f>SUMIFS(#REF!,#REF!,$B294,#REF!,AM$1)</f>
        <v>#REF!</v>
      </c>
      <c r="AN294" s="24" t="e">
        <f>SUMIFS(#REF!,#REF!,$B294,#REF!,AN$1)</f>
        <v>#REF!</v>
      </c>
      <c r="AO294" s="24" t="e">
        <f>SUMIFS(#REF!,#REF!,$B294,#REF!,AO$1)</f>
        <v>#REF!</v>
      </c>
      <c r="AP294" s="24" t="e">
        <f>SUMIFS(#REF!,#REF!,$B294,#REF!,AP$1)</f>
        <v>#REF!</v>
      </c>
      <c r="AQ294" s="24" t="e">
        <f>SUMIFS(#REF!,#REF!,$B294,#REF!,AQ$1)</f>
        <v>#REF!</v>
      </c>
      <c r="AR294" s="24" t="e">
        <f>SUMIFS(#REF!,#REF!,$B294,#REF!,AR$1)</f>
        <v>#REF!</v>
      </c>
      <c r="AS294" s="24" t="e">
        <f>SUMIFS(#REF!,#REF!,$B294,#REF!,AS$1)</f>
        <v>#REF!</v>
      </c>
      <c r="AT294" s="24" t="e">
        <f>SUMIFS(#REF!,#REF!,$B294,#REF!,AT$1)</f>
        <v>#REF!</v>
      </c>
      <c r="AU294" s="24" t="e">
        <f>SUMIFS(#REF!,#REF!,$B294,#REF!,AU$1)</f>
        <v>#REF!</v>
      </c>
      <c r="AV294" s="24" t="e">
        <f>SUMIFS(#REF!,#REF!,$B294,#REF!,AV$1)</f>
        <v>#REF!</v>
      </c>
      <c r="AW294" s="24" t="e">
        <f>SUMIFS(#REF!,#REF!,$B294,#REF!,AW$1)</f>
        <v>#REF!</v>
      </c>
      <c r="AX294" s="24" t="e">
        <f>SUMIFS(#REF!,#REF!,$B294,#REF!,AX$1)</f>
        <v>#REF!</v>
      </c>
      <c r="AY294" s="24" t="e">
        <f>SUMIFS(#REF!,#REF!,$B294,#REF!,AY$1)</f>
        <v>#REF!</v>
      </c>
      <c r="AZ294" s="24" t="e">
        <f>SUMIFS(#REF!,#REF!,$B294,#REF!,AZ$1)</f>
        <v>#REF!</v>
      </c>
      <c r="BA294" s="24" t="e">
        <f>SUMIFS(#REF!,#REF!,$B294,#REF!,BA$1)</f>
        <v>#REF!</v>
      </c>
      <c r="BB294" s="24" t="e">
        <f>SUMIFS(#REF!,#REF!,$B294,#REF!,BB$1)</f>
        <v>#REF!</v>
      </c>
      <c r="BC294" s="24" t="e">
        <f>SUMIFS(#REF!,#REF!,$B294,#REF!,BC$1)</f>
        <v>#REF!</v>
      </c>
      <c r="BD294" s="24" t="e">
        <f>SUMIFS(#REF!,#REF!,$B294,#REF!,BD$1)</f>
        <v>#REF!</v>
      </c>
      <c r="BE294" s="24" t="e">
        <f>SUMIFS(#REF!,#REF!,$B294,#REF!,BE$1)</f>
        <v>#REF!</v>
      </c>
      <c r="BF294" s="24" t="e">
        <f>SUMIFS(#REF!,#REF!,$B294,#REF!,BF$1)</f>
        <v>#REF!</v>
      </c>
      <c r="BG294" s="24" t="e">
        <f>SUMIFS(#REF!,#REF!,$B294,#REF!,BG$1)</f>
        <v>#REF!</v>
      </c>
      <c r="BH294" s="24" t="e">
        <f>SUMIFS(#REF!,#REF!,$B294,#REF!,BH$1)</f>
        <v>#REF!</v>
      </c>
      <c r="BI294" s="24" t="e">
        <f>SUMIFS(#REF!,#REF!,$B294,#REF!,BI$1)</f>
        <v>#REF!</v>
      </c>
      <c r="BJ294" s="24" t="e">
        <f>SUMIFS(#REF!,#REF!,$B294,#REF!,BJ$1)</f>
        <v>#REF!</v>
      </c>
      <c r="BK294" s="24" t="e">
        <f>SUMIFS(#REF!,#REF!,$B294,#REF!,BK$1)</f>
        <v>#REF!</v>
      </c>
      <c r="BL294" s="24" t="e">
        <f>SUMIFS(#REF!,#REF!,$B294,#REF!,BL$1)</f>
        <v>#REF!</v>
      </c>
      <c r="BM294" s="24" t="e">
        <f>SUMIFS(#REF!,#REF!,$B294,#REF!,BM$1)</f>
        <v>#REF!</v>
      </c>
      <c r="BN294" s="24" t="e">
        <f>SUMIFS(#REF!,#REF!,$B294,#REF!,BN$1)</f>
        <v>#REF!</v>
      </c>
      <c r="BO294" s="24" t="e">
        <f>SUMIFS(#REF!,#REF!,$B294,#REF!,BO$1)</f>
        <v>#REF!</v>
      </c>
      <c r="BP294" s="24" t="e">
        <f>SUMIFS(#REF!,#REF!,$B294,#REF!,BP$1)</f>
        <v>#REF!</v>
      </c>
      <c r="BQ294" s="24" t="e">
        <f>SUMIFS(#REF!,#REF!,$B294,#REF!,BQ$1)</f>
        <v>#REF!</v>
      </c>
      <c r="BR294" s="24" t="e">
        <f>SUMIFS(#REF!,#REF!,$B294,#REF!,BR$1)</f>
        <v>#REF!</v>
      </c>
      <c r="BS294" s="24" t="e">
        <f>SUMIFS(#REF!,#REF!,$B294,#REF!,BS$1)</f>
        <v>#REF!</v>
      </c>
      <c r="BT294" s="24" t="e">
        <f>SUMIFS(#REF!,#REF!,$B294,#REF!,BT$1)</f>
        <v>#REF!</v>
      </c>
      <c r="BU294" s="24" t="e">
        <f>SUMIFS(#REF!,#REF!,$B294,#REF!,BU$1)</f>
        <v>#REF!</v>
      </c>
      <c r="BV294" s="24" t="e">
        <f>SUMIFS(#REF!,#REF!,$B294,#REF!,BV$1)</f>
        <v>#REF!</v>
      </c>
      <c r="BW294" s="24" t="e">
        <f>SUMIFS(#REF!,#REF!,$B294,#REF!,BW$1)</f>
        <v>#REF!</v>
      </c>
      <c r="BX294" s="24" t="e">
        <f>SUMIFS(#REF!,#REF!,$B294,#REF!,BX$1)</f>
        <v>#REF!</v>
      </c>
      <c r="BY294" s="24" t="e">
        <f>SUMIFS(#REF!,#REF!,$B294,#REF!,BY$1)</f>
        <v>#REF!</v>
      </c>
      <c r="BZ294" s="24" t="e">
        <f>SUMIFS(#REF!,#REF!,$B294,#REF!,BZ$1)</f>
        <v>#REF!</v>
      </c>
      <c r="CA294" s="24" t="e">
        <f>SUMIFS(#REF!,#REF!,$B294,#REF!,CA$1)</f>
        <v>#REF!</v>
      </c>
      <c r="CB294" s="24" t="e">
        <f>SUMIFS(#REF!,#REF!,$B294,#REF!,CB$1)</f>
        <v>#REF!</v>
      </c>
      <c r="CC294" s="24" t="e">
        <f>SUMIFS(#REF!,#REF!,$B294,#REF!,CC$1)</f>
        <v>#REF!</v>
      </c>
      <c r="CD294" s="24" t="e">
        <f>SUMIFS(#REF!,#REF!,$B294,#REF!,CD$1)</f>
        <v>#REF!</v>
      </c>
      <c r="CE294" s="24" t="e">
        <f>SUMIFS(#REF!,#REF!,$B294,#REF!,CE$1)</f>
        <v>#REF!</v>
      </c>
      <c r="CF294" s="24" t="e">
        <f>SUMIFS(#REF!,#REF!,$B294,#REF!,CF$1)</f>
        <v>#REF!</v>
      </c>
      <c r="CG294" s="19" t="e">
        <f t="shared" si="4"/>
        <v>#REF!</v>
      </c>
    </row>
    <row r="295" spans="1:85" x14ac:dyDescent="0.45">
      <c r="A295" s="4" t="s">
        <v>1548</v>
      </c>
      <c r="B295" s="4" t="s">
        <v>1548</v>
      </c>
      <c r="C295" s="24" t="e">
        <f>SUMIFS(#REF!,#REF!,$B295,#REF!,C$1)</f>
        <v>#REF!</v>
      </c>
      <c r="D295" s="24" t="e">
        <f>SUMIFS(#REF!,#REF!,$B295,#REF!,D$1)</f>
        <v>#REF!</v>
      </c>
      <c r="E295" s="24" t="e">
        <f>SUMIFS(#REF!,#REF!,$B295,#REF!,E$1)</f>
        <v>#REF!</v>
      </c>
      <c r="F295" s="24" t="e">
        <f>SUMIFS(#REF!,#REF!,$B295,#REF!,F$1)</f>
        <v>#REF!</v>
      </c>
      <c r="G295" s="24" t="e">
        <f>SUMIFS(#REF!,#REF!,$B295,#REF!,G$1)</f>
        <v>#REF!</v>
      </c>
      <c r="H295" s="24" t="e">
        <f>SUMIFS(#REF!,#REF!,$B295,#REF!,H$1)</f>
        <v>#REF!</v>
      </c>
      <c r="I295" s="24" t="e">
        <f>SUMIFS(#REF!,#REF!,$B295,#REF!,I$1)</f>
        <v>#REF!</v>
      </c>
      <c r="J295" s="24" t="e">
        <f>SUMIFS(#REF!,#REF!,$B295,#REF!,J$1)</f>
        <v>#REF!</v>
      </c>
      <c r="K295" s="24" t="e">
        <f>SUMIFS(#REF!,#REF!,$B295,#REF!,K$1)</f>
        <v>#REF!</v>
      </c>
      <c r="L295" s="24" t="e">
        <f>SUMIFS(#REF!,#REF!,$B295,#REF!,L$1)</f>
        <v>#REF!</v>
      </c>
      <c r="M295" s="24" t="e">
        <f>SUMIFS(#REF!,#REF!,$B295,#REF!,M$1)</f>
        <v>#REF!</v>
      </c>
      <c r="N295" s="24" t="e">
        <f>SUMIFS(#REF!,#REF!,$B295,#REF!,N$1)</f>
        <v>#REF!</v>
      </c>
      <c r="O295" s="24" t="e">
        <f>SUMIFS(#REF!,#REF!,$B295,#REF!,O$1)</f>
        <v>#REF!</v>
      </c>
      <c r="P295" s="24" t="e">
        <f>SUMIFS(#REF!,#REF!,$B295,#REF!,P$1)</f>
        <v>#REF!</v>
      </c>
      <c r="Q295" s="24" t="e">
        <f>SUMIFS(#REF!,#REF!,$B295,#REF!,Q$1)</f>
        <v>#REF!</v>
      </c>
      <c r="R295" s="24" t="e">
        <f>SUMIFS(#REF!,#REF!,$B295,#REF!,R$1)</f>
        <v>#REF!</v>
      </c>
      <c r="S295" s="24" t="e">
        <f>SUMIFS(#REF!,#REF!,$B295,#REF!,S$1)</f>
        <v>#REF!</v>
      </c>
      <c r="T295" s="24" t="e">
        <f>SUMIFS(#REF!,#REF!,$B295,#REF!,T$1)</f>
        <v>#REF!</v>
      </c>
      <c r="U295" s="24" t="e">
        <f>SUMIFS(#REF!,#REF!,$B295,#REF!,U$1)</f>
        <v>#REF!</v>
      </c>
      <c r="V295" s="24" t="e">
        <f>SUMIFS(#REF!,#REF!,$B295,#REF!,V$1)</f>
        <v>#REF!</v>
      </c>
      <c r="W295" s="24" t="e">
        <f>SUMIFS(#REF!,#REF!,$B295,#REF!,W$1)</f>
        <v>#REF!</v>
      </c>
      <c r="X295" s="24" t="e">
        <f>SUMIFS(#REF!,#REF!,$B295,#REF!,X$1)</f>
        <v>#REF!</v>
      </c>
      <c r="Y295" s="24" t="e">
        <f>SUMIFS(#REF!,#REF!,$B295,#REF!,Y$1)</f>
        <v>#REF!</v>
      </c>
      <c r="Z295" s="24" t="e">
        <f>SUMIFS(#REF!,#REF!,$B295,#REF!,Z$1)</f>
        <v>#REF!</v>
      </c>
      <c r="AA295" s="24" t="e">
        <f>SUMIFS(#REF!,#REF!,$B295,#REF!,AA$1)</f>
        <v>#REF!</v>
      </c>
      <c r="AB295" s="24" t="e">
        <f>SUMIFS(#REF!,#REF!,$B295,#REF!,AB$1)</f>
        <v>#REF!</v>
      </c>
      <c r="AC295" s="24" t="e">
        <f>SUMIFS(#REF!,#REF!,$B295,#REF!,AC$1)</f>
        <v>#REF!</v>
      </c>
      <c r="AD295" s="24" t="e">
        <f>SUMIFS(#REF!,#REF!,$B295,#REF!,AD$1)</f>
        <v>#REF!</v>
      </c>
      <c r="AE295" s="24" t="e">
        <f>SUMIFS(#REF!,#REF!,$B295,#REF!,AE$1)</f>
        <v>#REF!</v>
      </c>
      <c r="AF295" s="24" t="e">
        <f>SUMIFS(#REF!,#REF!,$B295,#REF!,AF$1)</f>
        <v>#REF!</v>
      </c>
      <c r="AG295" s="24" t="e">
        <f>SUMIFS(#REF!,#REF!,$B295,#REF!,AG$1)</f>
        <v>#REF!</v>
      </c>
      <c r="AH295" s="24" t="e">
        <f>SUMIFS(#REF!,#REF!,$B295,#REF!,AH$1)</f>
        <v>#REF!</v>
      </c>
      <c r="AI295" s="24" t="e">
        <f>SUMIFS(#REF!,#REF!,$B295,#REF!,AI$1)</f>
        <v>#REF!</v>
      </c>
      <c r="AJ295" s="24" t="e">
        <f>SUMIFS(#REF!,#REF!,$B295,#REF!,AJ$1)</f>
        <v>#REF!</v>
      </c>
      <c r="AK295" s="24" t="e">
        <f>SUMIFS(#REF!,#REF!,$B295,#REF!,AK$1)</f>
        <v>#REF!</v>
      </c>
      <c r="AL295" s="24" t="e">
        <f>SUMIFS(#REF!,#REF!,$B295,#REF!,AL$1)</f>
        <v>#REF!</v>
      </c>
      <c r="AM295" s="24" t="e">
        <f>SUMIFS(#REF!,#REF!,$B295,#REF!,AM$1)</f>
        <v>#REF!</v>
      </c>
      <c r="AN295" s="24" t="e">
        <f>SUMIFS(#REF!,#REF!,$B295,#REF!,AN$1)</f>
        <v>#REF!</v>
      </c>
      <c r="AO295" s="24" t="e">
        <f>SUMIFS(#REF!,#REF!,$B295,#REF!,AO$1)</f>
        <v>#REF!</v>
      </c>
      <c r="AP295" s="24" t="e">
        <f>SUMIFS(#REF!,#REF!,$B295,#REF!,AP$1)</f>
        <v>#REF!</v>
      </c>
      <c r="AQ295" s="24" t="e">
        <f>SUMIFS(#REF!,#REF!,$B295,#REF!,AQ$1)</f>
        <v>#REF!</v>
      </c>
      <c r="AR295" s="24" t="e">
        <f>SUMIFS(#REF!,#REF!,$B295,#REF!,AR$1)</f>
        <v>#REF!</v>
      </c>
      <c r="AS295" s="24" t="e">
        <f>SUMIFS(#REF!,#REF!,$B295,#REF!,AS$1)</f>
        <v>#REF!</v>
      </c>
      <c r="AT295" s="24" t="e">
        <f>SUMIFS(#REF!,#REF!,$B295,#REF!,AT$1)</f>
        <v>#REF!</v>
      </c>
      <c r="AU295" s="24" t="e">
        <f>SUMIFS(#REF!,#REF!,$B295,#REF!,AU$1)</f>
        <v>#REF!</v>
      </c>
      <c r="AV295" s="24" t="e">
        <f>SUMIFS(#REF!,#REF!,$B295,#REF!,AV$1)</f>
        <v>#REF!</v>
      </c>
      <c r="AW295" s="24" t="e">
        <f>SUMIFS(#REF!,#REF!,$B295,#REF!,AW$1)</f>
        <v>#REF!</v>
      </c>
      <c r="AX295" s="24" t="e">
        <f>SUMIFS(#REF!,#REF!,$B295,#REF!,AX$1)</f>
        <v>#REF!</v>
      </c>
      <c r="AY295" s="24" t="e">
        <f>SUMIFS(#REF!,#REF!,$B295,#REF!,AY$1)</f>
        <v>#REF!</v>
      </c>
      <c r="AZ295" s="24" t="e">
        <f>SUMIFS(#REF!,#REF!,$B295,#REF!,AZ$1)</f>
        <v>#REF!</v>
      </c>
      <c r="BA295" s="24" t="e">
        <f>SUMIFS(#REF!,#REF!,$B295,#REF!,BA$1)</f>
        <v>#REF!</v>
      </c>
      <c r="BB295" s="24" t="e">
        <f>SUMIFS(#REF!,#REF!,$B295,#REF!,BB$1)</f>
        <v>#REF!</v>
      </c>
      <c r="BC295" s="24" t="e">
        <f>SUMIFS(#REF!,#REF!,$B295,#REF!,BC$1)</f>
        <v>#REF!</v>
      </c>
      <c r="BD295" s="24" t="e">
        <f>SUMIFS(#REF!,#REF!,$B295,#REF!,BD$1)</f>
        <v>#REF!</v>
      </c>
      <c r="BE295" s="24" t="e">
        <f>SUMIFS(#REF!,#REF!,$B295,#REF!,BE$1)</f>
        <v>#REF!</v>
      </c>
      <c r="BF295" s="24" t="e">
        <f>SUMIFS(#REF!,#REF!,$B295,#REF!,BF$1)</f>
        <v>#REF!</v>
      </c>
      <c r="BG295" s="24" t="e">
        <f>SUMIFS(#REF!,#REF!,$B295,#REF!,BG$1)</f>
        <v>#REF!</v>
      </c>
      <c r="BH295" s="24" t="e">
        <f>SUMIFS(#REF!,#REF!,$B295,#REF!,BH$1)</f>
        <v>#REF!</v>
      </c>
      <c r="BI295" s="24" t="e">
        <f>SUMIFS(#REF!,#REF!,$B295,#REF!,BI$1)</f>
        <v>#REF!</v>
      </c>
      <c r="BJ295" s="24" t="e">
        <f>SUMIFS(#REF!,#REF!,$B295,#REF!,BJ$1)</f>
        <v>#REF!</v>
      </c>
      <c r="BK295" s="24" t="e">
        <f>SUMIFS(#REF!,#REF!,$B295,#REF!,BK$1)</f>
        <v>#REF!</v>
      </c>
      <c r="BL295" s="24" t="e">
        <f>SUMIFS(#REF!,#REF!,$B295,#REF!,BL$1)</f>
        <v>#REF!</v>
      </c>
      <c r="BM295" s="24" t="e">
        <f>SUMIFS(#REF!,#REF!,$B295,#REF!,BM$1)</f>
        <v>#REF!</v>
      </c>
      <c r="BN295" s="24" t="e">
        <f>SUMIFS(#REF!,#REF!,$B295,#REF!,BN$1)</f>
        <v>#REF!</v>
      </c>
      <c r="BO295" s="24" t="e">
        <f>SUMIFS(#REF!,#REF!,$B295,#REF!,BO$1)</f>
        <v>#REF!</v>
      </c>
      <c r="BP295" s="24" t="e">
        <f>SUMIFS(#REF!,#REF!,$B295,#REF!,BP$1)</f>
        <v>#REF!</v>
      </c>
      <c r="BQ295" s="24" t="e">
        <f>SUMIFS(#REF!,#REF!,$B295,#REF!,BQ$1)</f>
        <v>#REF!</v>
      </c>
      <c r="BR295" s="24" t="e">
        <f>SUMIFS(#REF!,#REF!,$B295,#REF!,BR$1)</f>
        <v>#REF!</v>
      </c>
      <c r="BS295" s="24" t="e">
        <f>SUMIFS(#REF!,#REF!,$B295,#REF!,BS$1)</f>
        <v>#REF!</v>
      </c>
      <c r="BT295" s="24" t="e">
        <f>SUMIFS(#REF!,#REF!,$B295,#REF!,BT$1)</f>
        <v>#REF!</v>
      </c>
      <c r="BU295" s="24" t="e">
        <f>SUMIFS(#REF!,#REF!,$B295,#REF!,BU$1)</f>
        <v>#REF!</v>
      </c>
      <c r="BV295" s="24" t="e">
        <f>SUMIFS(#REF!,#REF!,$B295,#REF!,BV$1)</f>
        <v>#REF!</v>
      </c>
      <c r="BW295" s="24" t="e">
        <f>SUMIFS(#REF!,#REF!,$B295,#REF!,BW$1)</f>
        <v>#REF!</v>
      </c>
      <c r="BX295" s="24" t="e">
        <f>SUMIFS(#REF!,#REF!,$B295,#REF!,BX$1)</f>
        <v>#REF!</v>
      </c>
      <c r="BY295" s="24" t="e">
        <f>SUMIFS(#REF!,#REF!,$B295,#REF!,BY$1)</f>
        <v>#REF!</v>
      </c>
      <c r="BZ295" s="24" t="e">
        <f>SUMIFS(#REF!,#REF!,$B295,#REF!,BZ$1)</f>
        <v>#REF!</v>
      </c>
      <c r="CA295" s="24" t="e">
        <f>SUMIFS(#REF!,#REF!,$B295,#REF!,CA$1)</f>
        <v>#REF!</v>
      </c>
      <c r="CB295" s="24" t="e">
        <f>SUMIFS(#REF!,#REF!,$B295,#REF!,CB$1)</f>
        <v>#REF!</v>
      </c>
      <c r="CC295" s="24" t="e">
        <f>SUMIFS(#REF!,#REF!,$B295,#REF!,CC$1)</f>
        <v>#REF!</v>
      </c>
      <c r="CD295" s="24" t="e">
        <f>SUMIFS(#REF!,#REF!,$B295,#REF!,CD$1)</f>
        <v>#REF!</v>
      </c>
      <c r="CE295" s="24" t="e">
        <f>SUMIFS(#REF!,#REF!,$B295,#REF!,CE$1)</f>
        <v>#REF!</v>
      </c>
      <c r="CF295" s="24" t="e">
        <f>SUMIFS(#REF!,#REF!,$B295,#REF!,CF$1)</f>
        <v>#REF!</v>
      </c>
      <c r="CG295" s="19" t="e">
        <f t="shared" si="4"/>
        <v>#REF!</v>
      </c>
    </row>
    <row r="296" spans="1:85" x14ac:dyDescent="0.45">
      <c r="A296" s="4" t="s">
        <v>1549</v>
      </c>
      <c r="B296" s="4" t="s">
        <v>1549</v>
      </c>
      <c r="C296" s="24" t="e">
        <f>SUMIFS(#REF!,#REF!,$B296,#REF!,C$1)</f>
        <v>#REF!</v>
      </c>
      <c r="D296" s="24" t="e">
        <f>SUMIFS(#REF!,#REF!,$B296,#REF!,D$1)</f>
        <v>#REF!</v>
      </c>
      <c r="E296" s="24" t="e">
        <f>SUMIFS(#REF!,#REF!,$B296,#REF!,E$1)</f>
        <v>#REF!</v>
      </c>
      <c r="F296" s="24" t="e">
        <f>SUMIFS(#REF!,#REF!,$B296,#REF!,F$1)</f>
        <v>#REF!</v>
      </c>
      <c r="G296" s="24" t="e">
        <f>SUMIFS(#REF!,#REF!,$B296,#REF!,G$1)</f>
        <v>#REF!</v>
      </c>
      <c r="H296" s="24" t="e">
        <f>SUMIFS(#REF!,#REF!,$B296,#REF!,H$1)</f>
        <v>#REF!</v>
      </c>
      <c r="I296" s="24" t="e">
        <f>SUMIFS(#REF!,#REF!,$B296,#REF!,I$1)</f>
        <v>#REF!</v>
      </c>
      <c r="J296" s="24" t="e">
        <f>SUMIFS(#REF!,#REF!,$B296,#REF!,J$1)</f>
        <v>#REF!</v>
      </c>
      <c r="K296" s="24" t="e">
        <f>SUMIFS(#REF!,#REF!,$B296,#REF!,K$1)</f>
        <v>#REF!</v>
      </c>
      <c r="L296" s="24" t="e">
        <f>SUMIFS(#REF!,#REF!,$B296,#REF!,L$1)</f>
        <v>#REF!</v>
      </c>
      <c r="M296" s="24" t="e">
        <f>SUMIFS(#REF!,#REF!,$B296,#REF!,M$1)</f>
        <v>#REF!</v>
      </c>
      <c r="N296" s="24" t="e">
        <f>SUMIFS(#REF!,#REF!,$B296,#REF!,N$1)</f>
        <v>#REF!</v>
      </c>
      <c r="O296" s="24" t="e">
        <f>SUMIFS(#REF!,#REF!,$B296,#REF!,O$1)</f>
        <v>#REF!</v>
      </c>
      <c r="P296" s="24" t="e">
        <f>SUMIFS(#REF!,#REF!,$B296,#REF!,P$1)</f>
        <v>#REF!</v>
      </c>
      <c r="Q296" s="24" t="e">
        <f>SUMIFS(#REF!,#REF!,$B296,#REF!,Q$1)</f>
        <v>#REF!</v>
      </c>
      <c r="R296" s="24" t="e">
        <f>SUMIFS(#REF!,#REF!,$B296,#REF!,R$1)</f>
        <v>#REF!</v>
      </c>
      <c r="S296" s="24" t="e">
        <f>SUMIFS(#REF!,#REF!,$B296,#REF!,S$1)</f>
        <v>#REF!</v>
      </c>
      <c r="T296" s="24" t="e">
        <f>SUMIFS(#REF!,#REF!,$B296,#REF!,T$1)</f>
        <v>#REF!</v>
      </c>
      <c r="U296" s="24" t="e">
        <f>SUMIFS(#REF!,#REF!,$B296,#REF!,U$1)</f>
        <v>#REF!</v>
      </c>
      <c r="V296" s="24" t="e">
        <f>SUMIFS(#REF!,#REF!,$B296,#REF!,V$1)</f>
        <v>#REF!</v>
      </c>
      <c r="W296" s="24" t="e">
        <f>SUMIFS(#REF!,#REF!,$B296,#REF!,W$1)</f>
        <v>#REF!</v>
      </c>
      <c r="X296" s="24" t="e">
        <f>SUMIFS(#REF!,#REF!,$B296,#REF!,X$1)</f>
        <v>#REF!</v>
      </c>
      <c r="Y296" s="24" t="e">
        <f>SUMIFS(#REF!,#REF!,$B296,#REF!,Y$1)</f>
        <v>#REF!</v>
      </c>
      <c r="Z296" s="24" t="e">
        <f>SUMIFS(#REF!,#REF!,$B296,#REF!,Z$1)</f>
        <v>#REF!</v>
      </c>
      <c r="AA296" s="24" t="e">
        <f>SUMIFS(#REF!,#REF!,$B296,#REF!,AA$1)</f>
        <v>#REF!</v>
      </c>
      <c r="AB296" s="24" t="e">
        <f>SUMIFS(#REF!,#REF!,$B296,#REF!,AB$1)</f>
        <v>#REF!</v>
      </c>
      <c r="AC296" s="24" t="e">
        <f>SUMIFS(#REF!,#REF!,$B296,#REF!,AC$1)</f>
        <v>#REF!</v>
      </c>
      <c r="AD296" s="24" t="e">
        <f>SUMIFS(#REF!,#REF!,$B296,#REF!,AD$1)</f>
        <v>#REF!</v>
      </c>
      <c r="AE296" s="24" t="e">
        <f>SUMIFS(#REF!,#REF!,$B296,#REF!,AE$1)</f>
        <v>#REF!</v>
      </c>
      <c r="AF296" s="24" t="e">
        <f>SUMIFS(#REF!,#REF!,$B296,#REF!,AF$1)</f>
        <v>#REF!</v>
      </c>
      <c r="AG296" s="24" t="e">
        <f>SUMIFS(#REF!,#REF!,$B296,#REF!,AG$1)</f>
        <v>#REF!</v>
      </c>
      <c r="AH296" s="24" t="e">
        <f>SUMIFS(#REF!,#REF!,$B296,#REF!,AH$1)</f>
        <v>#REF!</v>
      </c>
      <c r="AI296" s="24" t="e">
        <f>SUMIFS(#REF!,#REF!,$B296,#REF!,AI$1)</f>
        <v>#REF!</v>
      </c>
      <c r="AJ296" s="24" t="e">
        <f>SUMIFS(#REF!,#REF!,$B296,#REF!,AJ$1)</f>
        <v>#REF!</v>
      </c>
      <c r="AK296" s="24" t="e">
        <f>SUMIFS(#REF!,#REF!,$B296,#REF!,AK$1)</f>
        <v>#REF!</v>
      </c>
      <c r="AL296" s="24" t="e">
        <f>SUMIFS(#REF!,#REF!,$B296,#REF!,AL$1)</f>
        <v>#REF!</v>
      </c>
      <c r="AM296" s="24" t="e">
        <f>SUMIFS(#REF!,#REF!,$B296,#REF!,AM$1)</f>
        <v>#REF!</v>
      </c>
      <c r="AN296" s="24" t="e">
        <f>SUMIFS(#REF!,#REF!,$B296,#REF!,AN$1)</f>
        <v>#REF!</v>
      </c>
      <c r="AO296" s="24" t="e">
        <f>SUMIFS(#REF!,#REF!,$B296,#REF!,AO$1)</f>
        <v>#REF!</v>
      </c>
      <c r="AP296" s="24" t="e">
        <f>SUMIFS(#REF!,#REF!,$B296,#REF!,AP$1)</f>
        <v>#REF!</v>
      </c>
      <c r="AQ296" s="24" t="e">
        <f>SUMIFS(#REF!,#REF!,$B296,#REF!,AQ$1)</f>
        <v>#REF!</v>
      </c>
      <c r="AR296" s="24" t="e">
        <f>SUMIFS(#REF!,#REF!,$B296,#REF!,AR$1)</f>
        <v>#REF!</v>
      </c>
      <c r="AS296" s="24" t="e">
        <f>SUMIFS(#REF!,#REF!,$B296,#REF!,AS$1)</f>
        <v>#REF!</v>
      </c>
      <c r="AT296" s="24" t="e">
        <f>SUMIFS(#REF!,#REF!,$B296,#REF!,AT$1)</f>
        <v>#REF!</v>
      </c>
      <c r="AU296" s="24" t="e">
        <f>SUMIFS(#REF!,#REF!,$B296,#REF!,AU$1)</f>
        <v>#REF!</v>
      </c>
      <c r="AV296" s="24" t="e">
        <f>SUMIFS(#REF!,#REF!,$B296,#REF!,AV$1)</f>
        <v>#REF!</v>
      </c>
      <c r="AW296" s="24" t="e">
        <f>SUMIFS(#REF!,#REF!,$B296,#REF!,AW$1)</f>
        <v>#REF!</v>
      </c>
      <c r="AX296" s="24" t="e">
        <f>SUMIFS(#REF!,#REF!,$B296,#REF!,AX$1)</f>
        <v>#REF!</v>
      </c>
      <c r="AY296" s="24" t="e">
        <f>SUMIFS(#REF!,#REF!,$B296,#REF!,AY$1)</f>
        <v>#REF!</v>
      </c>
      <c r="AZ296" s="24" t="e">
        <f>SUMIFS(#REF!,#REF!,$B296,#REF!,AZ$1)</f>
        <v>#REF!</v>
      </c>
      <c r="BA296" s="24" t="e">
        <f>SUMIFS(#REF!,#REF!,$B296,#REF!,BA$1)</f>
        <v>#REF!</v>
      </c>
      <c r="BB296" s="24" t="e">
        <f>SUMIFS(#REF!,#REF!,$B296,#REF!,BB$1)</f>
        <v>#REF!</v>
      </c>
      <c r="BC296" s="24" t="e">
        <f>SUMIFS(#REF!,#REF!,$B296,#REF!,BC$1)</f>
        <v>#REF!</v>
      </c>
      <c r="BD296" s="24" t="e">
        <f>SUMIFS(#REF!,#REF!,$B296,#REF!,BD$1)</f>
        <v>#REF!</v>
      </c>
      <c r="BE296" s="24" t="e">
        <f>SUMIFS(#REF!,#REF!,$B296,#REF!,BE$1)</f>
        <v>#REF!</v>
      </c>
      <c r="BF296" s="24" t="e">
        <f>SUMIFS(#REF!,#REF!,$B296,#REF!,BF$1)</f>
        <v>#REF!</v>
      </c>
      <c r="BG296" s="24" t="e">
        <f>SUMIFS(#REF!,#REF!,$B296,#REF!,BG$1)</f>
        <v>#REF!</v>
      </c>
      <c r="BH296" s="24" t="e">
        <f>SUMIFS(#REF!,#REF!,$B296,#REF!,BH$1)</f>
        <v>#REF!</v>
      </c>
      <c r="BI296" s="24" t="e">
        <f>SUMIFS(#REF!,#REF!,$B296,#REF!,BI$1)</f>
        <v>#REF!</v>
      </c>
      <c r="BJ296" s="24" t="e">
        <f>SUMIFS(#REF!,#REF!,$B296,#REF!,BJ$1)</f>
        <v>#REF!</v>
      </c>
      <c r="BK296" s="24" t="e">
        <f>SUMIFS(#REF!,#REF!,$B296,#REF!,BK$1)</f>
        <v>#REF!</v>
      </c>
      <c r="BL296" s="24" t="e">
        <f>SUMIFS(#REF!,#REF!,$B296,#REF!,BL$1)</f>
        <v>#REF!</v>
      </c>
      <c r="BM296" s="24" t="e">
        <f>SUMIFS(#REF!,#REF!,$B296,#REF!,BM$1)</f>
        <v>#REF!</v>
      </c>
      <c r="BN296" s="24" t="e">
        <f>SUMIFS(#REF!,#REF!,$B296,#REF!,BN$1)</f>
        <v>#REF!</v>
      </c>
      <c r="BO296" s="24" t="e">
        <f>SUMIFS(#REF!,#REF!,$B296,#REF!,BO$1)</f>
        <v>#REF!</v>
      </c>
      <c r="BP296" s="24" t="e">
        <f>SUMIFS(#REF!,#REF!,$B296,#REF!,BP$1)</f>
        <v>#REF!</v>
      </c>
      <c r="BQ296" s="24" t="e">
        <f>SUMIFS(#REF!,#REF!,$B296,#REF!,BQ$1)</f>
        <v>#REF!</v>
      </c>
      <c r="BR296" s="24" t="e">
        <f>SUMIFS(#REF!,#REF!,$B296,#REF!,BR$1)</f>
        <v>#REF!</v>
      </c>
      <c r="BS296" s="24" t="e">
        <f>SUMIFS(#REF!,#REF!,$B296,#REF!,BS$1)</f>
        <v>#REF!</v>
      </c>
      <c r="BT296" s="24" t="e">
        <f>SUMIFS(#REF!,#REF!,$B296,#REF!,BT$1)</f>
        <v>#REF!</v>
      </c>
      <c r="BU296" s="24" t="e">
        <f>SUMIFS(#REF!,#REF!,$B296,#REF!,BU$1)</f>
        <v>#REF!</v>
      </c>
      <c r="BV296" s="24" t="e">
        <f>SUMIFS(#REF!,#REF!,$B296,#REF!,BV$1)</f>
        <v>#REF!</v>
      </c>
      <c r="BW296" s="24" t="e">
        <f>SUMIFS(#REF!,#REF!,$B296,#REF!,BW$1)</f>
        <v>#REF!</v>
      </c>
      <c r="BX296" s="24" t="e">
        <f>SUMIFS(#REF!,#REF!,$B296,#REF!,BX$1)</f>
        <v>#REF!</v>
      </c>
      <c r="BY296" s="24" t="e">
        <f>SUMIFS(#REF!,#REF!,$B296,#REF!,BY$1)</f>
        <v>#REF!</v>
      </c>
      <c r="BZ296" s="24" t="e">
        <f>SUMIFS(#REF!,#REF!,$B296,#REF!,BZ$1)</f>
        <v>#REF!</v>
      </c>
      <c r="CA296" s="24" t="e">
        <f>SUMIFS(#REF!,#REF!,$B296,#REF!,CA$1)</f>
        <v>#REF!</v>
      </c>
      <c r="CB296" s="24" t="e">
        <f>SUMIFS(#REF!,#REF!,$B296,#REF!,CB$1)</f>
        <v>#REF!</v>
      </c>
      <c r="CC296" s="24" t="e">
        <f>SUMIFS(#REF!,#REF!,$B296,#REF!,CC$1)</f>
        <v>#REF!</v>
      </c>
      <c r="CD296" s="24" t="e">
        <f>SUMIFS(#REF!,#REF!,$B296,#REF!,CD$1)</f>
        <v>#REF!</v>
      </c>
      <c r="CE296" s="24" t="e">
        <f>SUMIFS(#REF!,#REF!,$B296,#REF!,CE$1)</f>
        <v>#REF!</v>
      </c>
      <c r="CF296" s="24" t="e">
        <f>SUMIFS(#REF!,#REF!,$B296,#REF!,CF$1)</f>
        <v>#REF!</v>
      </c>
      <c r="CG296" s="19" t="e">
        <f t="shared" si="4"/>
        <v>#REF!</v>
      </c>
    </row>
    <row r="297" spans="1:85" x14ac:dyDescent="0.45">
      <c r="A297" s="4" t="s">
        <v>1550</v>
      </c>
      <c r="B297" s="4" t="s">
        <v>1550</v>
      </c>
      <c r="C297" s="24" t="e">
        <f>SUMIFS(#REF!,#REF!,$B297,#REF!,C$1)</f>
        <v>#REF!</v>
      </c>
      <c r="D297" s="24" t="e">
        <f>SUMIFS(#REF!,#REF!,$B297,#REF!,D$1)</f>
        <v>#REF!</v>
      </c>
      <c r="E297" s="24" t="e">
        <f>SUMIFS(#REF!,#REF!,$B297,#REF!,E$1)</f>
        <v>#REF!</v>
      </c>
      <c r="F297" s="24" t="e">
        <f>SUMIFS(#REF!,#REF!,$B297,#REF!,F$1)</f>
        <v>#REF!</v>
      </c>
      <c r="G297" s="24" t="e">
        <f>SUMIFS(#REF!,#REF!,$B297,#REF!,G$1)</f>
        <v>#REF!</v>
      </c>
      <c r="H297" s="24" t="e">
        <f>SUMIFS(#REF!,#REF!,$B297,#REF!,H$1)</f>
        <v>#REF!</v>
      </c>
      <c r="I297" s="24" t="e">
        <f>SUMIFS(#REF!,#REF!,$B297,#REF!,I$1)</f>
        <v>#REF!</v>
      </c>
      <c r="J297" s="24" t="e">
        <f>SUMIFS(#REF!,#REF!,$B297,#REF!,J$1)</f>
        <v>#REF!</v>
      </c>
      <c r="K297" s="24" t="e">
        <f>SUMIFS(#REF!,#REF!,$B297,#REF!,K$1)</f>
        <v>#REF!</v>
      </c>
      <c r="L297" s="24" t="e">
        <f>SUMIFS(#REF!,#REF!,$B297,#REF!,L$1)</f>
        <v>#REF!</v>
      </c>
      <c r="M297" s="24" t="e">
        <f>SUMIFS(#REF!,#REF!,$B297,#REF!,M$1)</f>
        <v>#REF!</v>
      </c>
      <c r="N297" s="24" t="e">
        <f>SUMIFS(#REF!,#REF!,$B297,#REF!,N$1)</f>
        <v>#REF!</v>
      </c>
      <c r="O297" s="24" t="e">
        <f>SUMIFS(#REF!,#REF!,$B297,#REF!,O$1)</f>
        <v>#REF!</v>
      </c>
      <c r="P297" s="24" t="e">
        <f>SUMIFS(#REF!,#REF!,$B297,#REF!,P$1)</f>
        <v>#REF!</v>
      </c>
      <c r="Q297" s="24" t="e">
        <f>SUMIFS(#REF!,#REF!,$B297,#REF!,Q$1)</f>
        <v>#REF!</v>
      </c>
      <c r="R297" s="24" t="e">
        <f>SUMIFS(#REF!,#REF!,$B297,#REF!,R$1)</f>
        <v>#REF!</v>
      </c>
      <c r="S297" s="24" t="e">
        <f>SUMIFS(#REF!,#REF!,$B297,#REF!,S$1)</f>
        <v>#REF!</v>
      </c>
      <c r="T297" s="24" t="e">
        <f>SUMIFS(#REF!,#REF!,$B297,#REF!,T$1)</f>
        <v>#REF!</v>
      </c>
      <c r="U297" s="24" t="e">
        <f>SUMIFS(#REF!,#REF!,$B297,#REF!,U$1)</f>
        <v>#REF!</v>
      </c>
      <c r="V297" s="24" t="e">
        <f>SUMIFS(#REF!,#REF!,$B297,#REF!,V$1)</f>
        <v>#REF!</v>
      </c>
      <c r="W297" s="24" t="e">
        <f>SUMIFS(#REF!,#REF!,$B297,#REF!,W$1)</f>
        <v>#REF!</v>
      </c>
      <c r="X297" s="24" t="e">
        <f>SUMIFS(#REF!,#REF!,$B297,#REF!,X$1)</f>
        <v>#REF!</v>
      </c>
      <c r="Y297" s="24" t="e">
        <f>SUMIFS(#REF!,#REF!,$B297,#REF!,Y$1)</f>
        <v>#REF!</v>
      </c>
      <c r="Z297" s="24" t="e">
        <f>SUMIFS(#REF!,#REF!,$B297,#REF!,Z$1)</f>
        <v>#REF!</v>
      </c>
      <c r="AA297" s="24" t="e">
        <f>SUMIFS(#REF!,#REF!,$B297,#REF!,AA$1)</f>
        <v>#REF!</v>
      </c>
      <c r="AB297" s="24" t="e">
        <f>SUMIFS(#REF!,#REF!,$B297,#REF!,AB$1)</f>
        <v>#REF!</v>
      </c>
      <c r="AC297" s="24" t="e">
        <f>SUMIFS(#REF!,#REF!,$B297,#REF!,AC$1)</f>
        <v>#REF!</v>
      </c>
      <c r="AD297" s="24" t="e">
        <f>SUMIFS(#REF!,#REF!,$B297,#REF!,AD$1)</f>
        <v>#REF!</v>
      </c>
      <c r="AE297" s="24" t="e">
        <f>SUMIFS(#REF!,#REF!,$B297,#REF!,AE$1)</f>
        <v>#REF!</v>
      </c>
      <c r="AF297" s="24" t="e">
        <f>SUMIFS(#REF!,#REF!,$B297,#REF!,AF$1)</f>
        <v>#REF!</v>
      </c>
      <c r="AG297" s="24" t="e">
        <f>SUMIFS(#REF!,#REF!,$B297,#REF!,AG$1)</f>
        <v>#REF!</v>
      </c>
      <c r="AH297" s="24" t="e">
        <f>SUMIFS(#REF!,#REF!,$B297,#REF!,AH$1)</f>
        <v>#REF!</v>
      </c>
      <c r="AI297" s="24" t="e">
        <f>SUMIFS(#REF!,#REF!,$B297,#REF!,AI$1)</f>
        <v>#REF!</v>
      </c>
      <c r="AJ297" s="24" t="e">
        <f>SUMIFS(#REF!,#REF!,$B297,#REF!,AJ$1)</f>
        <v>#REF!</v>
      </c>
      <c r="AK297" s="24" t="e">
        <f>SUMIFS(#REF!,#REF!,$B297,#REF!,AK$1)</f>
        <v>#REF!</v>
      </c>
      <c r="AL297" s="24" t="e">
        <f>SUMIFS(#REF!,#REF!,$B297,#REF!,AL$1)</f>
        <v>#REF!</v>
      </c>
      <c r="AM297" s="24" t="e">
        <f>SUMIFS(#REF!,#REF!,$B297,#REF!,AM$1)</f>
        <v>#REF!</v>
      </c>
      <c r="AN297" s="24" t="e">
        <f>SUMIFS(#REF!,#REF!,$B297,#REF!,AN$1)</f>
        <v>#REF!</v>
      </c>
      <c r="AO297" s="24" t="e">
        <f>SUMIFS(#REF!,#REF!,$B297,#REF!,AO$1)</f>
        <v>#REF!</v>
      </c>
      <c r="AP297" s="24" t="e">
        <f>SUMIFS(#REF!,#REF!,$B297,#REF!,AP$1)</f>
        <v>#REF!</v>
      </c>
      <c r="AQ297" s="24" t="e">
        <f>SUMIFS(#REF!,#REF!,$B297,#REF!,AQ$1)</f>
        <v>#REF!</v>
      </c>
      <c r="AR297" s="24" t="e">
        <f>SUMIFS(#REF!,#REF!,$B297,#REF!,AR$1)</f>
        <v>#REF!</v>
      </c>
      <c r="AS297" s="24" t="e">
        <f>SUMIFS(#REF!,#REF!,$B297,#REF!,AS$1)</f>
        <v>#REF!</v>
      </c>
      <c r="AT297" s="24" t="e">
        <f>SUMIFS(#REF!,#REF!,$B297,#REF!,AT$1)</f>
        <v>#REF!</v>
      </c>
      <c r="AU297" s="24" t="e">
        <f>SUMIFS(#REF!,#REF!,$B297,#REF!,AU$1)</f>
        <v>#REF!</v>
      </c>
      <c r="AV297" s="24" t="e">
        <f>SUMIFS(#REF!,#REF!,$B297,#REF!,AV$1)</f>
        <v>#REF!</v>
      </c>
      <c r="AW297" s="24" t="e">
        <f>SUMIFS(#REF!,#REF!,$B297,#REF!,AW$1)</f>
        <v>#REF!</v>
      </c>
      <c r="AX297" s="24" t="e">
        <f>SUMIFS(#REF!,#REF!,$B297,#REF!,AX$1)</f>
        <v>#REF!</v>
      </c>
      <c r="AY297" s="24" t="e">
        <f>SUMIFS(#REF!,#REF!,$B297,#REF!,AY$1)</f>
        <v>#REF!</v>
      </c>
      <c r="AZ297" s="24" t="e">
        <f>SUMIFS(#REF!,#REF!,$B297,#REF!,AZ$1)</f>
        <v>#REF!</v>
      </c>
      <c r="BA297" s="24" t="e">
        <f>SUMIFS(#REF!,#REF!,$B297,#REF!,BA$1)</f>
        <v>#REF!</v>
      </c>
      <c r="BB297" s="24" t="e">
        <f>SUMIFS(#REF!,#REF!,$B297,#REF!,BB$1)</f>
        <v>#REF!</v>
      </c>
      <c r="BC297" s="24" t="e">
        <f>SUMIFS(#REF!,#REF!,$B297,#REF!,BC$1)</f>
        <v>#REF!</v>
      </c>
      <c r="BD297" s="24" t="e">
        <f>SUMIFS(#REF!,#REF!,$B297,#REF!,BD$1)</f>
        <v>#REF!</v>
      </c>
      <c r="BE297" s="24" t="e">
        <f>SUMIFS(#REF!,#REF!,$B297,#REF!,BE$1)</f>
        <v>#REF!</v>
      </c>
      <c r="BF297" s="24" t="e">
        <f>SUMIFS(#REF!,#REF!,$B297,#REF!,BF$1)</f>
        <v>#REF!</v>
      </c>
      <c r="BG297" s="24" t="e">
        <f>SUMIFS(#REF!,#REF!,$B297,#REF!,BG$1)</f>
        <v>#REF!</v>
      </c>
      <c r="BH297" s="24" t="e">
        <f>SUMIFS(#REF!,#REF!,$B297,#REF!,BH$1)</f>
        <v>#REF!</v>
      </c>
      <c r="BI297" s="24" t="e">
        <f>SUMIFS(#REF!,#REF!,$B297,#REF!,BI$1)</f>
        <v>#REF!</v>
      </c>
      <c r="BJ297" s="24" t="e">
        <f>SUMIFS(#REF!,#REF!,$B297,#REF!,BJ$1)</f>
        <v>#REF!</v>
      </c>
      <c r="BK297" s="24" t="e">
        <f>SUMIFS(#REF!,#REF!,$B297,#REF!,BK$1)</f>
        <v>#REF!</v>
      </c>
      <c r="BL297" s="24" t="e">
        <f>SUMIFS(#REF!,#REF!,$B297,#REF!,BL$1)</f>
        <v>#REF!</v>
      </c>
      <c r="BM297" s="24" t="e">
        <f>SUMIFS(#REF!,#REF!,$B297,#REF!,BM$1)</f>
        <v>#REF!</v>
      </c>
      <c r="BN297" s="24" t="e">
        <f>SUMIFS(#REF!,#REF!,$B297,#REF!,BN$1)</f>
        <v>#REF!</v>
      </c>
      <c r="BO297" s="24" t="e">
        <f>SUMIFS(#REF!,#REF!,$B297,#REF!,BO$1)</f>
        <v>#REF!</v>
      </c>
      <c r="BP297" s="24" t="e">
        <f>SUMIFS(#REF!,#REF!,$B297,#REF!,BP$1)</f>
        <v>#REF!</v>
      </c>
      <c r="BQ297" s="24" t="e">
        <f>SUMIFS(#REF!,#REF!,$B297,#REF!,BQ$1)</f>
        <v>#REF!</v>
      </c>
      <c r="BR297" s="24" t="e">
        <f>SUMIFS(#REF!,#REF!,$B297,#REF!,BR$1)</f>
        <v>#REF!</v>
      </c>
      <c r="BS297" s="24" t="e">
        <f>SUMIFS(#REF!,#REF!,$B297,#REF!,BS$1)</f>
        <v>#REF!</v>
      </c>
      <c r="BT297" s="24" t="e">
        <f>SUMIFS(#REF!,#REF!,$B297,#REF!,BT$1)</f>
        <v>#REF!</v>
      </c>
      <c r="BU297" s="24" t="e">
        <f>SUMIFS(#REF!,#REF!,$B297,#REF!,BU$1)</f>
        <v>#REF!</v>
      </c>
      <c r="BV297" s="24" t="e">
        <f>SUMIFS(#REF!,#REF!,$B297,#REF!,BV$1)</f>
        <v>#REF!</v>
      </c>
      <c r="BW297" s="24" t="e">
        <f>SUMIFS(#REF!,#REF!,$B297,#REF!,BW$1)</f>
        <v>#REF!</v>
      </c>
      <c r="BX297" s="24" t="e">
        <f>SUMIFS(#REF!,#REF!,$B297,#REF!,BX$1)</f>
        <v>#REF!</v>
      </c>
      <c r="BY297" s="24" t="e">
        <f>SUMIFS(#REF!,#REF!,$B297,#REF!,BY$1)</f>
        <v>#REF!</v>
      </c>
      <c r="BZ297" s="24" t="e">
        <f>SUMIFS(#REF!,#REF!,$B297,#REF!,BZ$1)</f>
        <v>#REF!</v>
      </c>
      <c r="CA297" s="24" t="e">
        <f>SUMIFS(#REF!,#REF!,$B297,#REF!,CA$1)</f>
        <v>#REF!</v>
      </c>
      <c r="CB297" s="24" t="e">
        <f>SUMIFS(#REF!,#REF!,$B297,#REF!,CB$1)</f>
        <v>#REF!</v>
      </c>
      <c r="CC297" s="24" t="e">
        <f>SUMIFS(#REF!,#REF!,$B297,#REF!,CC$1)</f>
        <v>#REF!</v>
      </c>
      <c r="CD297" s="24" t="e">
        <f>SUMIFS(#REF!,#REF!,$B297,#REF!,CD$1)</f>
        <v>#REF!</v>
      </c>
      <c r="CE297" s="24" t="e">
        <f>SUMIFS(#REF!,#REF!,$B297,#REF!,CE$1)</f>
        <v>#REF!</v>
      </c>
      <c r="CF297" s="24" t="e">
        <f>SUMIFS(#REF!,#REF!,$B297,#REF!,CF$1)</f>
        <v>#REF!</v>
      </c>
      <c r="CG297" s="19" t="e">
        <f t="shared" si="4"/>
        <v>#REF!</v>
      </c>
    </row>
    <row r="298" spans="1:85" x14ac:dyDescent="0.45">
      <c r="A298" s="4" t="s">
        <v>1551</v>
      </c>
      <c r="B298" s="4" t="s">
        <v>1552</v>
      </c>
      <c r="C298" s="24" t="e">
        <f>SUMIFS(#REF!,#REF!,$B298,#REF!,C$1)</f>
        <v>#REF!</v>
      </c>
      <c r="D298" s="24" t="e">
        <f>SUMIFS(#REF!,#REF!,$B298,#REF!,D$1)</f>
        <v>#REF!</v>
      </c>
      <c r="E298" s="24" t="e">
        <f>SUMIFS(#REF!,#REF!,$B298,#REF!,E$1)</f>
        <v>#REF!</v>
      </c>
      <c r="F298" s="24" t="e">
        <f>SUMIFS(#REF!,#REF!,$B298,#REF!,F$1)</f>
        <v>#REF!</v>
      </c>
      <c r="G298" s="24" t="e">
        <f>SUMIFS(#REF!,#REF!,$B298,#REF!,G$1)</f>
        <v>#REF!</v>
      </c>
      <c r="H298" s="24" t="e">
        <f>SUMIFS(#REF!,#REF!,$B298,#REF!,H$1)</f>
        <v>#REF!</v>
      </c>
      <c r="I298" s="24" t="e">
        <f>SUMIFS(#REF!,#REF!,$B298,#REF!,I$1)</f>
        <v>#REF!</v>
      </c>
      <c r="J298" s="24" t="e">
        <f>SUMIFS(#REF!,#REF!,$B298,#REF!,J$1)</f>
        <v>#REF!</v>
      </c>
      <c r="K298" s="24" t="e">
        <f>SUMIFS(#REF!,#REF!,$B298,#REF!,K$1)</f>
        <v>#REF!</v>
      </c>
      <c r="L298" s="24" t="e">
        <f>SUMIFS(#REF!,#REF!,$B298,#REF!,L$1)</f>
        <v>#REF!</v>
      </c>
      <c r="M298" s="24" t="e">
        <f>SUMIFS(#REF!,#REF!,$B298,#REF!,M$1)</f>
        <v>#REF!</v>
      </c>
      <c r="N298" s="24" t="e">
        <f>SUMIFS(#REF!,#REF!,$B298,#REF!,N$1)</f>
        <v>#REF!</v>
      </c>
      <c r="O298" s="24" t="e">
        <f>SUMIFS(#REF!,#REF!,$B298,#REF!,O$1)</f>
        <v>#REF!</v>
      </c>
      <c r="P298" s="24" t="e">
        <f>SUMIFS(#REF!,#REF!,$B298,#REF!,P$1)</f>
        <v>#REF!</v>
      </c>
      <c r="Q298" s="24" t="e">
        <f>SUMIFS(#REF!,#REF!,$B298,#REF!,Q$1)</f>
        <v>#REF!</v>
      </c>
      <c r="R298" s="24" t="e">
        <f>SUMIFS(#REF!,#REF!,$B298,#REF!,R$1)</f>
        <v>#REF!</v>
      </c>
      <c r="S298" s="24" t="e">
        <f>SUMIFS(#REF!,#REF!,$B298,#REF!,S$1)</f>
        <v>#REF!</v>
      </c>
      <c r="T298" s="24" t="e">
        <f>SUMIFS(#REF!,#REF!,$B298,#REF!,T$1)</f>
        <v>#REF!</v>
      </c>
      <c r="U298" s="24" t="e">
        <f>SUMIFS(#REF!,#REF!,$B298,#REF!,U$1)</f>
        <v>#REF!</v>
      </c>
      <c r="V298" s="24" t="e">
        <f>SUMIFS(#REF!,#REF!,$B298,#REF!,V$1)</f>
        <v>#REF!</v>
      </c>
      <c r="W298" s="24" t="e">
        <f>SUMIFS(#REF!,#REF!,$B298,#REF!,W$1)</f>
        <v>#REF!</v>
      </c>
      <c r="X298" s="24" t="e">
        <f>SUMIFS(#REF!,#REF!,$B298,#REF!,X$1)</f>
        <v>#REF!</v>
      </c>
      <c r="Y298" s="24" t="e">
        <f>SUMIFS(#REF!,#REF!,$B298,#REF!,Y$1)</f>
        <v>#REF!</v>
      </c>
      <c r="Z298" s="24" t="e">
        <f>SUMIFS(#REF!,#REF!,$B298,#REF!,Z$1)</f>
        <v>#REF!</v>
      </c>
      <c r="AA298" s="24" t="e">
        <f>SUMIFS(#REF!,#REF!,$B298,#REF!,AA$1)</f>
        <v>#REF!</v>
      </c>
      <c r="AB298" s="24" t="e">
        <f>SUMIFS(#REF!,#REF!,$B298,#REF!,AB$1)</f>
        <v>#REF!</v>
      </c>
      <c r="AC298" s="24" t="e">
        <f>SUMIFS(#REF!,#REF!,$B298,#REF!,AC$1)</f>
        <v>#REF!</v>
      </c>
      <c r="AD298" s="24" t="e">
        <f>SUMIFS(#REF!,#REF!,$B298,#REF!,AD$1)</f>
        <v>#REF!</v>
      </c>
      <c r="AE298" s="24" t="e">
        <f>SUMIFS(#REF!,#REF!,$B298,#REF!,AE$1)</f>
        <v>#REF!</v>
      </c>
      <c r="AF298" s="24" t="e">
        <f>SUMIFS(#REF!,#REF!,$B298,#REF!,AF$1)</f>
        <v>#REF!</v>
      </c>
      <c r="AG298" s="24" t="e">
        <f>SUMIFS(#REF!,#REF!,$B298,#REF!,AG$1)</f>
        <v>#REF!</v>
      </c>
      <c r="AH298" s="24" t="e">
        <f>SUMIFS(#REF!,#REF!,$B298,#REF!,AH$1)</f>
        <v>#REF!</v>
      </c>
      <c r="AI298" s="24" t="e">
        <f>SUMIFS(#REF!,#REF!,$B298,#REF!,AI$1)</f>
        <v>#REF!</v>
      </c>
      <c r="AJ298" s="24" t="e">
        <f>SUMIFS(#REF!,#REF!,$B298,#REF!,AJ$1)</f>
        <v>#REF!</v>
      </c>
      <c r="AK298" s="24" t="e">
        <f>SUMIFS(#REF!,#REF!,$B298,#REF!,AK$1)</f>
        <v>#REF!</v>
      </c>
      <c r="AL298" s="24" t="e">
        <f>SUMIFS(#REF!,#REF!,$B298,#REF!,AL$1)</f>
        <v>#REF!</v>
      </c>
      <c r="AM298" s="24" t="e">
        <f>SUMIFS(#REF!,#REF!,$B298,#REF!,AM$1)</f>
        <v>#REF!</v>
      </c>
      <c r="AN298" s="24" t="e">
        <f>SUMIFS(#REF!,#REF!,$B298,#REF!,AN$1)</f>
        <v>#REF!</v>
      </c>
      <c r="AO298" s="24" t="e">
        <f>SUMIFS(#REF!,#REF!,$B298,#REF!,AO$1)</f>
        <v>#REF!</v>
      </c>
      <c r="AP298" s="24" t="e">
        <f>SUMIFS(#REF!,#REF!,$B298,#REF!,AP$1)</f>
        <v>#REF!</v>
      </c>
      <c r="AQ298" s="24" t="e">
        <f>SUMIFS(#REF!,#REF!,$B298,#REF!,AQ$1)</f>
        <v>#REF!</v>
      </c>
      <c r="AR298" s="24" t="e">
        <f>SUMIFS(#REF!,#REF!,$B298,#REF!,AR$1)</f>
        <v>#REF!</v>
      </c>
      <c r="AS298" s="24" t="e">
        <f>SUMIFS(#REF!,#REF!,$B298,#REF!,AS$1)</f>
        <v>#REF!</v>
      </c>
      <c r="AT298" s="24" t="e">
        <f>SUMIFS(#REF!,#REF!,$B298,#REF!,AT$1)</f>
        <v>#REF!</v>
      </c>
      <c r="AU298" s="24" t="e">
        <f>SUMIFS(#REF!,#REF!,$B298,#REF!,AU$1)</f>
        <v>#REF!</v>
      </c>
      <c r="AV298" s="24" t="e">
        <f>SUMIFS(#REF!,#REF!,$B298,#REF!,AV$1)</f>
        <v>#REF!</v>
      </c>
      <c r="AW298" s="24" t="e">
        <f>SUMIFS(#REF!,#REF!,$B298,#REF!,AW$1)</f>
        <v>#REF!</v>
      </c>
      <c r="AX298" s="24" t="e">
        <f>SUMIFS(#REF!,#REF!,$B298,#REF!,AX$1)</f>
        <v>#REF!</v>
      </c>
      <c r="AY298" s="24" t="e">
        <f>SUMIFS(#REF!,#REF!,$B298,#REF!,AY$1)</f>
        <v>#REF!</v>
      </c>
      <c r="AZ298" s="24" t="e">
        <f>SUMIFS(#REF!,#REF!,$B298,#REF!,AZ$1)</f>
        <v>#REF!</v>
      </c>
      <c r="BA298" s="24" t="e">
        <f>SUMIFS(#REF!,#REF!,$B298,#REF!,BA$1)</f>
        <v>#REF!</v>
      </c>
      <c r="BB298" s="24" t="e">
        <f>SUMIFS(#REF!,#REF!,$B298,#REF!,BB$1)</f>
        <v>#REF!</v>
      </c>
      <c r="BC298" s="24" t="e">
        <f>SUMIFS(#REF!,#REF!,$B298,#REF!,BC$1)</f>
        <v>#REF!</v>
      </c>
      <c r="BD298" s="24" t="e">
        <f>SUMIFS(#REF!,#REF!,$B298,#REF!,BD$1)</f>
        <v>#REF!</v>
      </c>
      <c r="BE298" s="24" t="e">
        <f>SUMIFS(#REF!,#REF!,$B298,#REF!,BE$1)</f>
        <v>#REF!</v>
      </c>
      <c r="BF298" s="24" t="e">
        <f>SUMIFS(#REF!,#REF!,$B298,#REF!,BF$1)</f>
        <v>#REF!</v>
      </c>
      <c r="BG298" s="24" t="e">
        <f>SUMIFS(#REF!,#REF!,$B298,#REF!,BG$1)</f>
        <v>#REF!</v>
      </c>
      <c r="BH298" s="24" t="e">
        <f>SUMIFS(#REF!,#REF!,$B298,#REF!,BH$1)</f>
        <v>#REF!</v>
      </c>
      <c r="BI298" s="24" t="e">
        <f>SUMIFS(#REF!,#REF!,$B298,#REF!,BI$1)</f>
        <v>#REF!</v>
      </c>
      <c r="BJ298" s="24" t="e">
        <f>SUMIFS(#REF!,#REF!,$B298,#REF!,BJ$1)</f>
        <v>#REF!</v>
      </c>
      <c r="BK298" s="24" t="e">
        <f>SUMIFS(#REF!,#REF!,$B298,#REF!,BK$1)</f>
        <v>#REF!</v>
      </c>
      <c r="BL298" s="24" t="e">
        <f>SUMIFS(#REF!,#REF!,$B298,#REF!,BL$1)</f>
        <v>#REF!</v>
      </c>
      <c r="BM298" s="24" t="e">
        <f>SUMIFS(#REF!,#REF!,$B298,#REF!,BM$1)</f>
        <v>#REF!</v>
      </c>
      <c r="BN298" s="24" t="e">
        <f>SUMIFS(#REF!,#REF!,$B298,#REF!,BN$1)</f>
        <v>#REF!</v>
      </c>
      <c r="BO298" s="24" t="e">
        <f>SUMIFS(#REF!,#REF!,$B298,#REF!,BO$1)</f>
        <v>#REF!</v>
      </c>
      <c r="BP298" s="24" t="e">
        <f>SUMIFS(#REF!,#REF!,$B298,#REF!,BP$1)</f>
        <v>#REF!</v>
      </c>
      <c r="BQ298" s="24" t="e">
        <f>SUMIFS(#REF!,#REF!,$B298,#REF!,BQ$1)</f>
        <v>#REF!</v>
      </c>
      <c r="BR298" s="24" t="e">
        <f>SUMIFS(#REF!,#REF!,$B298,#REF!,BR$1)</f>
        <v>#REF!</v>
      </c>
      <c r="BS298" s="24" t="e">
        <f>SUMIFS(#REF!,#REF!,$B298,#REF!,BS$1)</f>
        <v>#REF!</v>
      </c>
      <c r="BT298" s="24" t="e">
        <f>SUMIFS(#REF!,#REF!,$B298,#REF!,BT$1)</f>
        <v>#REF!</v>
      </c>
      <c r="BU298" s="24" t="e">
        <f>SUMIFS(#REF!,#REF!,$B298,#REF!,BU$1)</f>
        <v>#REF!</v>
      </c>
      <c r="BV298" s="24" t="e">
        <f>SUMIFS(#REF!,#REF!,$B298,#REF!,BV$1)</f>
        <v>#REF!</v>
      </c>
      <c r="BW298" s="24" t="e">
        <f>SUMIFS(#REF!,#REF!,$B298,#REF!,BW$1)</f>
        <v>#REF!</v>
      </c>
      <c r="BX298" s="24" t="e">
        <f>SUMIFS(#REF!,#REF!,$B298,#REF!,BX$1)</f>
        <v>#REF!</v>
      </c>
      <c r="BY298" s="24" t="e">
        <f>SUMIFS(#REF!,#REF!,$B298,#REF!,BY$1)</f>
        <v>#REF!</v>
      </c>
      <c r="BZ298" s="24" t="e">
        <f>SUMIFS(#REF!,#REF!,$B298,#REF!,BZ$1)</f>
        <v>#REF!</v>
      </c>
      <c r="CA298" s="24" t="e">
        <f>SUMIFS(#REF!,#REF!,$B298,#REF!,CA$1)</f>
        <v>#REF!</v>
      </c>
      <c r="CB298" s="24" t="e">
        <f>SUMIFS(#REF!,#REF!,$B298,#REF!,CB$1)</f>
        <v>#REF!</v>
      </c>
      <c r="CC298" s="24" t="e">
        <f>SUMIFS(#REF!,#REF!,$B298,#REF!,CC$1)</f>
        <v>#REF!</v>
      </c>
      <c r="CD298" s="24" t="e">
        <f>SUMIFS(#REF!,#REF!,$B298,#REF!,CD$1)</f>
        <v>#REF!</v>
      </c>
      <c r="CE298" s="24" t="e">
        <f>SUMIFS(#REF!,#REF!,$B298,#REF!,CE$1)</f>
        <v>#REF!</v>
      </c>
      <c r="CF298" s="24" t="e">
        <f>SUMIFS(#REF!,#REF!,$B298,#REF!,CF$1)</f>
        <v>#REF!</v>
      </c>
      <c r="CG298" s="19" t="e">
        <f t="shared" si="4"/>
        <v>#REF!</v>
      </c>
    </row>
    <row r="299" spans="1:85" x14ac:dyDescent="0.45">
      <c r="A299" s="4" t="s">
        <v>1553</v>
      </c>
      <c r="B299" s="4" t="s">
        <v>1553</v>
      </c>
      <c r="C299" s="24" t="e">
        <f>SUMIFS(#REF!,#REF!,$B299,#REF!,C$1)</f>
        <v>#REF!</v>
      </c>
      <c r="D299" s="24" t="e">
        <f>SUMIFS(#REF!,#REF!,$B299,#REF!,D$1)</f>
        <v>#REF!</v>
      </c>
      <c r="E299" s="24" t="e">
        <f>SUMIFS(#REF!,#REF!,$B299,#REF!,E$1)</f>
        <v>#REF!</v>
      </c>
      <c r="F299" s="24" t="e">
        <f>SUMIFS(#REF!,#REF!,$B299,#REF!,F$1)</f>
        <v>#REF!</v>
      </c>
      <c r="G299" s="24" t="e">
        <f>SUMIFS(#REF!,#REF!,$B299,#REF!,G$1)</f>
        <v>#REF!</v>
      </c>
      <c r="H299" s="24" t="e">
        <f>SUMIFS(#REF!,#REF!,$B299,#REF!,H$1)</f>
        <v>#REF!</v>
      </c>
      <c r="I299" s="24" t="e">
        <f>SUMIFS(#REF!,#REF!,$B299,#REF!,I$1)</f>
        <v>#REF!</v>
      </c>
      <c r="J299" s="24" t="e">
        <f>SUMIFS(#REF!,#REF!,$B299,#REF!,J$1)</f>
        <v>#REF!</v>
      </c>
      <c r="K299" s="24" t="e">
        <f>SUMIFS(#REF!,#REF!,$B299,#REF!,K$1)</f>
        <v>#REF!</v>
      </c>
      <c r="L299" s="24" t="e">
        <f>SUMIFS(#REF!,#REF!,$B299,#REF!,L$1)</f>
        <v>#REF!</v>
      </c>
      <c r="M299" s="24" t="e">
        <f>SUMIFS(#REF!,#REF!,$B299,#REF!,M$1)</f>
        <v>#REF!</v>
      </c>
      <c r="N299" s="24" t="e">
        <f>SUMIFS(#REF!,#REF!,$B299,#REF!,N$1)</f>
        <v>#REF!</v>
      </c>
      <c r="O299" s="24" t="e">
        <f>SUMIFS(#REF!,#REF!,$B299,#REF!,O$1)</f>
        <v>#REF!</v>
      </c>
      <c r="P299" s="24" t="e">
        <f>SUMIFS(#REF!,#REF!,$B299,#REF!,P$1)</f>
        <v>#REF!</v>
      </c>
      <c r="Q299" s="24" t="e">
        <f>SUMIFS(#REF!,#REF!,$B299,#REF!,Q$1)</f>
        <v>#REF!</v>
      </c>
      <c r="R299" s="24" t="e">
        <f>SUMIFS(#REF!,#REF!,$B299,#REF!,R$1)</f>
        <v>#REF!</v>
      </c>
      <c r="S299" s="24" t="e">
        <f>SUMIFS(#REF!,#REF!,$B299,#REF!,S$1)</f>
        <v>#REF!</v>
      </c>
      <c r="T299" s="24" t="e">
        <f>SUMIFS(#REF!,#REF!,$B299,#REF!,T$1)</f>
        <v>#REF!</v>
      </c>
      <c r="U299" s="24" t="e">
        <f>SUMIFS(#REF!,#REF!,$B299,#REF!,U$1)</f>
        <v>#REF!</v>
      </c>
      <c r="V299" s="24" t="e">
        <f>SUMIFS(#REF!,#REF!,$B299,#REF!,V$1)</f>
        <v>#REF!</v>
      </c>
      <c r="W299" s="24" t="e">
        <f>SUMIFS(#REF!,#REF!,$B299,#REF!,W$1)</f>
        <v>#REF!</v>
      </c>
      <c r="X299" s="24" t="e">
        <f>SUMIFS(#REF!,#REF!,$B299,#REF!,X$1)</f>
        <v>#REF!</v>
      </c>
      <c r="Y299" s="24" t="e">
        <f>SUMIFS(#REF!,#REF!,$B299,#REF!,Y$1)</f>
        <v>#REF!</v>
      </c>
      <c r="Z299" s="24" t="e">
        <f>SUMIFS(#REF!,#REF!,$B299,#REF!,Z$1)</f>
        <v>#REF!</v>
      </c>
      <c r="AA299" s="24" t="e">
        <f>SUMIFS(#REF!,#REF!,$B299,#REF!,AA$1)</f>
        <v>#REF!</v>
      </c>
      <c r="AB299" s="24" t="e">
        <f>SUMIFS(#REF!,#REF!,$B299,#REF!,AB$1)</f>
        <v>#REF!</v>
      </c>
      <c r="AC299" s="24" t="e">
        <f>SUMIFS(#REF!,#REF!,$B299,#REF!,AC$1)</f>
        <v>#REF!</v>
      </c>
      <c r="AD299" s="24" t="e">
        <f>SUMIFS(#REF!,#REF!,$B299,#REF!,AD$1)</f>
        <v>#REF!</v>
      </c>
      <c r="AE299" s="24" t="e">
        <f>SUMIFS(#REF!,#REF!,$B299,#REF!,AE$1)</f>
        <v>#REF!</v>
      </c>
      <c r="AF299" s="24" t="e">
        <f>SUMIFS(#REF!,#REF!,$B299,#REF!,AF$1)</f>
        <v>#REF!</v>
      </c>
      <c r="AG299" s="24" t="e">
        <f>SUMIFS(#REF!,#REF!,$B299,#REF!,AG$1)</f>
        <v>#REF!</v>
      </c>
      <c r="AH299" s="24" t="e">
        <f>SUMIFS(#REF!,#REF!,$B299,#REF!,AH$1)</f>
        <v>#REF!</v>
      </c>
      <c r="AI299" s="24" t="e">
        <f>SUMIFS(#REF!,#REF!,$B299,#REF!,AI$1)</f>
        <v>#REF!</v>
      </c>
      <c r="AJ299" s="24" t="e">
        <f>SUMIFS(#REF!,#REF!,$B299,#REF!,AJ$1)</f>
        <v>#REF!</v>
      </c>
      <c r="AK299" s="24" t="e">
        <f>SUMIFS(#REF!,#REF!,$B299,#REF!,AK$1)</f>
        <v>#REF!</v>
      </c>
      <c r="AL299" s="24" t="e">
        <f>SUMIFS(#REF!,#REF!,$B299,#REF!,AL$1)</f>
        <v>#REF!</v>
      </c>
      <c r="AM299" s="24" t="e">
        <f>SUMIFS(#REF!,#REF!,$B299,#REF!,AM$1)</f>
        <v>#REF!</v>
      </c>
      <c r="AN299" s="24" t="e">
        <f>SUMIFS(#REF!,#REF!,$B299,#REF!,AN$1)</f>
        <v>#REF!</v>
      </c>
      <c r="AO299" s="24" t="e">
        <f>SUMIFS(#REF!,#REF!,$B299,#REF!,AO$1)</f>
        <v>#REF!</v>
      </c>
      <c r="AP299" s="24" t="e">
        <f>SUMIFS(#REF!,#REF!,$B299,#REF!,AP$1)</f>
        <v>#REF!</v>
      </c>
      <c r="AQ299" s="24" t="e">
        <f>SUMIFS(#REF!,#REF!,$B299,#REF!,AQ$1)</f>
        <v>#REF!</v>
      </c>
      <c r="AR299" s="24" t="e">
        <f>SUMIFS(#REF!,#REF!,$B299,#REF!,AR$1)</f>
        <v>#REF!</v>
      </c>
      <c r="AS299" s="24" t="e">
        <f>SUMIFS(#REF!,#REF!,$B299,#REF!,AS$1)</f>
        <v>#REF!</v>
      </c>
      <c r="AT299" s="24" t="e">
        <f>SUMIFS(#REF!,#REF!,$B299,#REF!,AT$1)</f>
        <v>#REF!</v>
      </c>
      <c r="AU299" s="24" t="e">
        <f>SUMIFS(#REF!,#REF!,$B299,#REF!,AU$1)</f>
        <v>#REF!</v>
      </c>
      <c r="AV299" s="24" t="e">
        <f>SUMIFS(#REF!,#REF!,$B299,#REF!,AV$1)</f>
        <v>#REF!</v>
      </c>
      <c r="AW299" s="24" t="e">
        <f>SUMIFS(#REF!,#REF!,$B299,#REF!,AW$1)</f>
        <v>#REF!</v>
      </c>
      <c r="AX299" s="24" t="e">
        <f>SUMIFS(#REF!,#REF!,$B299,#REF!,AX$1)</f>
        <v>#REF!</v>
      </c>
      <c r="AY299" s="24" t="e">
        <f>SUMIFS(#REF!,#REF!,$B299,#REF!,AY$1)</f>
        <v>#REF!</v>
      </c>
      <c r="AZ299" s="24" t="e">
        <f>SUMIFS(#REF!,#REF!,$B299,#REF!,AZ$1)</f>
        <v>#REF!</v>
      </c>
      <c r="BA299" s="24" t="e">
        <f>SUMIFS(#REF!,#REF!,$B299,#REF!,BA$1)</f>
        <v>#REF!</v>
      </c>
      <c r="BB299" s="24" t="e">
        <f>SUMIFS(#REF!,#REF!,$B299,#REF!,BB$1)</f>
        <v>#REF!</v>
      </c>
      <c r="BC299" s="24" t="e">
        <f>SUMIFS(#REF!,#REF!,$B299,#REF!,BC$1)</f>
        <v>#REF!</v>
      </c>
      <c r="BD299" s="24" t="e">
        <f>SUMIFS(#REF!,#REF!,$B299,#REF!,BD$1)</f>
        <v>#REF!</v>
      </c>
      <c r="BE299" s="24" t="e">
        <f>SUMIFS(#REF!,#REF!,$B299,#REF!,BE$1)</f>
        <v>#REF!</v>
      </c>
      <c r="BF299" s="24" t="e">
        <f>SUMIFS(#REF!,#REF!,$B299,#REF!,BF$1)</f>
        <v>#REF!</v>
      </c>
      <c r="BG299" s="24" t="e">
        <f>SUMIFS(#REF!,#REF!,$B299,#REF!,BG$1)</f>
        <v>#REF!</v>
      </c>
      <c r="BH299" s="24" t="e">
        <f>SUMIFS(#REF!,#REF!,$B299,#REF!,BH$1)</f>
        <v>#REF!</v>
      </c>
      <c r="BI299" s="24" t="e">
        <f>SUMIFS(#REF!,#REF!,$B299,#REF!,BI$1)</f>
        <v>#REF!</v>
      </c>
      <c r="BJ299" s="24" t="e">
        <f>SUMIFS(#REF!,#REF!,$B299,#REF!,BJ$1)</f>
        <v>#REF!</v>
      </c>
      <c r="BK299" s="24" t="e">
        <f>SUMIFS(#REF!,#REF!,$B299,#REF!,BK$1)</f>
        <v>#REF!</v>
      </c>
      <c r="BL299" s="24" t="e">
        <f>SUMIFS(#REF!,#REF!,$B299,#REF!,BL$1)</f>
        <v>#REF!</v>
      </c>
      <c r="BM299" s="24" t="e">
        <f>SUMIFS(#REF!,#REF!,$B299,#REF!,BM$1)</f>
        <v>#REF!</v>
      </c>
      <c r="BN299" s="24" t="e">
        <f>SUMIFS(#REF!,#REF!,$B299,#REF!,BN$1)</f>
        <v>#REF!</v>
      </c>
      <c r="BO299" s="24" t="e">
        <f>SUMIFS(#REF!,#REF!,$B299,#REF!,BO$1)</f>
        <v>#REF!</v>
      </c>
      <c r="BP299" s="24" t="e">
        <f>SUMIFS(#REF!,#REF!,$B299,#REF!,BP$1)</f>
        <v>#REF!</v>
      </c>
      <c r="BQ299" s="24" t="e">
        <f>SUMIFS(#REF!,#REF!,$B299,#REF!,BQ$1)</f>
        <v>#REF!</v>
      </c>
      <c r="BR299" s="24" t="e">
        <f>SUMIFS(#REF!,#REF!,$B299,#REF!,BR$1)</f>
        <v>#REF!</v>
      </c>
      <c r="BS299" s="24" t="e">
        <f>SUMIFS(#REF!,#REF!,$B299,#REF!,BS$1)</f>
        <v>#REF!</v>
      </c>
      <c r="BT299" s="24" t="e">
        <f>SUMIFS(#REF!,#REF!,$B299,#REF!,BT$1)</f>
        <v>#REF!</v>
      </c>
      <c r="BU299" s="24" t="e">
        <f>SUMIFS(#REF!,#REF!,$B299,#REF!,BU$1)</f>
        <v>#REF!</v>
      </c>
      <c r="BV299" s="24" t="e">
        <f>SUMIFS(#REF!,#REF!,$B299,#REF!,BV$1)</f>
        <v>#REF!</v>
      </c>
      <c r="BW299" s="24" t="e">
        <f>SUMIFS(#REF!,#REF!,$B299,#REF!,BW$1)</f>
        <v>#REF!</v>
      </c>
      <c r="BX299" s="24" t="e">
        <f>SUMIFS(#REF!,#REF!,$B299,#REF!,BX$1)</f>
        <v>#REF!</v>
      </c>
      <c r="BY299" s="24" t="e">
        <f>SUMIFS(#REF!,#REF!,$B299,#REF!,BY$1)</f>
        <v>#REF!</v>
      </c>
      <c r="BZ299" s="24" t="e">
        <f>SUMIFS(#REF!,#REF!,$B299,#REF!,BZ$1)</f>
        <v>#REF!</v>
      </c>
      <c r="CA299" s="24" t="e">
        <f>SUMIFS(#REF!,#REF!,$B299,#REF!,CA$1)</f>
        <v>#REF!</v>
      </c>
      <c r="CB299" s="24" t="e">
        <f>SUMIFS(#REF!,#REF!,$B299,#REF!,CB$1)</f>
        <v>#REF!</v>
      </c>
      <c r="CC299" s="24" t="e">
        <f>SUMIFS(#REF!,#REF!,$B299,#REF!,CC$1)</f>
        <v>#REF!</v>
      </c>
      <c r="CD299" s="24" t="e">
        <f>SUMIFS(#REF!,#REF!,$B299,#REF!,CD$1)</f>
        <v>#REF!</v>
      </c>
      <c r="CE299" s="24" t="e">
        <f>SUMIFS(#REF!,#REF!,$B299,#REF!,CE$1)</f>
        <v>#REF!</v>
      </c>
      <c r="CF299" s="24" t="e">
        <f>SUMIFS(#REF!,#REF!,$B299,#REF!,CF$1)</f>
        <v>#REF!</v>
      </c>
      <c r="CG299" s="19" t="e">
        <f t="shared" si="4"/>
        <v>#REF!</v>
      </c>
    </row>
    <row r="300" spans="1:85" x14ac:dyDescent="0.45">
      <c r="A300" s="4" t="s">
        <v>1554</v>
      </c>
      <c r="B300" s="4" t="s">
        <v>1555</v>
      </c>
      <c r="C300" s="24" t="e">
        <f>SUMIFS(#REF!,#REF!,$B300,#REF!,C$1)</f>
        <v>#REF!</v>
      </c>
      <c r="D300" s="24" t="e">
        <f>SUMIFS(#REF!,#REF!,$B300,#REF!,D$1)</f>
        <v>#REF!</v>
      </c>
      <c r="E300" s="24" t="e">
        <f>SUMIFS(#REF!,#REF!,$B300,#REF!,E$1)</f>
        <v>#REF!</v>
      </c>
      <c r="F300" s="24" t="e">
        <f>SUMIFS(#REF!,#REF!,$B300,#REF!,F$1)</f>
        <v>#REF!</v>
      </c>
      <c r="G300" s="24" t="e">
        <f>SUMIFS(#REF!,#REF!,$B300,#REF!,G$1)</f>
        <v>#REF!</v>
      </c>
      <c r="H300" s="24" t="e">
        <f>SUMIFS(#REF!,#REF!,$B300,#REF!,H$1)</f>
        <v>#REF!</v>
      </c>
      <c r="I300" s="24" t="e">
        <f>SUMIFS(#REF!,#REF!,$B300,#REF!,I$1)</f>
        <v>#REF!</v>
      </c>
      <c r="J300" s="24" t="e">
        <f>SUMIFS(#REF!,#REF!,$B300,#REF!,J$1)</f>
        <v>#REF!</v>
      </c>
      <c r="K300" s="24" t="e">
        <f>SUMIFS(#REF!,#REF!,$B300,#REF!,K$1)</f>
        <v>#REF!</v>
      </c>
      <c r="L300" s="24" t="e">
        <f>SUMIFS(#REF!,#REF!,$B300,#REF!,L$1)</f>
        <v>#REF!</v>
      </c>
      <c r="M300" s="24" t="e">
        <f>SUMIFS(#REF!,#REF!,$B300,#REF!,M$1)</f>
        <v>#REF!</v>
      </c>
      <c r="N300" s="24" t="e">
        <f>SUMIFS(#REF!,#REF!,$B300,#REF!,N$1)</f>
        <v>#REF!</v>
      </c>
      <c r="O300" s="24" t="e">
        <f>SUMIFS(#REF!,#REF!,$B300,#REF!,O$1)</f>
        <v>#REF!</v>
      </c>
      <c r="P300" s="24" t="e">
        <f>SUMIFS(#REF!,#REF!,$B300,#REF!,P$1)</f>
        <v>#REF!</v>
      </c>
      <c r="Q300" s="24" t="e">
        <f>SUMIFS(#REF!,#REF!,$B300,#REF!,Q$1)</f>
        <v>#REF!</v>
      </c>
      <c r="R300" s="24" t="e">
        <f>SUMIFS(#REF!,#REF!,$B300,#REF!,R$1)</f>
        <v>#REF!</v>
      </c>
      <c r="S300" s="24" t="e">
        <f>SUMIFS(#REF!,#REF!,$B300,#REF!,S$1)</f>
        <v>#REF!</v>
      </c>
      <c r="T300" s="24" t="e">
        <f>SUMIFS(#REF!,#REF!,$B300,#REF!,T$1)</f>
        <v>#REF!</v>
      </c>
      <c r="U300" s="24" t="e">
        <f>SUMIFS(#REF!,#REF!,$B300,#REF!,U$1)</f>
        <v>#REF!</v>
      </c>
      <c r="V300" s="24" t="e">
        <f>SUMIFS(#REF!,#REF!,$B300,#REF!,V$1)</f>
        <v>#REF!</v>
      </c>
      <c r="W300" s="24" t="e">
        <f>SUMIFS(#REF!,#REF!,$B300,#REF!,W$1)</f>
        <v>#REF!</v>
      </c>
      <c r="X300" s="24" t="e">
        <f>SUMIFS(#REF!,#REF!,$B300,#REF!,X$1)</f>
        <v>#REF!</v>
      </c>
      <c r="Y300" s="24" t="e">
        <f>SUMIFS(#REF!,#REF!,$B300,#REF!,Y$1)</f>
        <v>#REF!</v>
      </c>
      <c r="Z300" s="24" t="e">
        <f>SUMIFS(#REF!,#REF!,$B300,#REF!,Z$1)</f>
        <v>#REF!</v>
      </c>
      <c r="AA300" s="24" t="e">
        <f>SUMIFS(#REF!,#REF!,$B300,#REF!,AA$1)</f>
        <v>#REF!</v>
      </c>
      <c r="AB300" s="24" t="e">
        <f>SUMIFS(#REF!,#REF!,$B300,#REF!,AB$1)</f>
        <v>#REF!</v>
      </c>
      <c r="AC300" s="24" t="e">
        <f>SUMIFS(#REF!,#REF!,$B300,#REF!,AC$1)</f>
        <v>#REF!</v>
      </c>
      <c r="AD300" s="24" t="e">
        <f>SUMIFS(#REF!,#REF!,$B300,#REF!,AD$1)</f>
        <v>#REF!</v>
      </c>
      <c r="AE300" s="24" t="e">
        <f>SUMIFS(#REF!,#REF!,$B300,#REF!,AE$1)</f>
        <v>#REF!</v>
      </c>
      <c r="AF300" s="24" t="e">
        <f>SUMIFS(#REF!,#REF!,$B300,#REF!,AF$1)</f>
        <v>#REF!</v>
      </c>
      <c r="AG300" s="24" t="e">
        <f>SUMIFS(#REF!,#REF!,$B300,#REF!,AG$1)</f>
        <v>#REF!</v>
      </c>
      <c r="AH300" s="24" t="e">
        <f>SUMIFS(#REF!,#REF!,$B300,#REF!,AH$1)</f>
        <v>#REF!</v>
      </c>
      <c r="AI300" s="24" t="e">
        <f>SUMIFS(#REF!,#REF!,$B300,#REF!,AI$1)</f>
        <v>#REF!</v>
      </c>
      <c r="AJ300" s="24" t="e">
        <f>SUMIFS(#REF!,#REF!,$B300,#REF!,AJ$1)</f>
        <v>#REF!</v>
      </c>
      <c r="AK300" s="24" t="e">
        <f>SUMIFS(#REF!,#REF!,$B300,#REF!,AK$1)</f>
        <v>#REF!</v>
      </c>
      <c r="AL300" s="24" t="e">
        <f>SUMIFS(#REF!,#REF!,$B300,#REF!,AL$1)</f>
        <v>#REF!</v>
      </c>
      <c r="AM300" s="24" t="e">
        <f>SUMIFS(#REF!,#REF!,$B300,#REF!,AM$1)</f>
        <v>#REF!</v>
      </c>
      <c r="AN300" s="24" t="e">
        <f>SUMIFS(#REF!,#REF!,$B300,#REF!,AN$1)</f>
        <v>#REF!</v>
      </c>
      <c r="AO300" s="24" t="e">
        <f>SUMIFS(#REF!,#REF!,$B300,#REF!,AO$1)</f>
        <v>#REF!</v>
      </c>
      <c r="AP300" s="24" t="e">
        <f>SUMIFS(#REF!,#REF!,$B300,#REF!,AP$1)</f>
        <v>#REF!</v>
      </c>
      <c r="AQ300" s="24" t="e">
        <f>SUMIFS(#REF!,#REF!,$B300,#REF!,AQ$1)</f>
        <v>#REF!</v>
      </c>
      <c r="AR300" s="24" t="e">
        <f>SUMIFS(#REF!,#REF!,$B300,#REF!,AR$1)</f>
        <v>#REF!</v>
      </c>
      <c r="AS300" s="24" t="e">
        <f>SUMIFS(#REF!,#REF!,$B300,#REF!,AS$1)</f>
        <v>#REF!</v>
      </c>
      <c r="AT300" s="24" t="e">
        <f>SUMIFS(#REF!,#REF!,$B300,#REF!,AT$1)</f>
        <v>#REF!</v>
      </c>
      <c r="AU300" s="24" t="e">
        <f>SUMIFS(#REF!,#REF!,$B300,#REF!,AU$1)</f>
        <v>#REF!</v>
      </c>
      <c r="AV300" s="24" t="e">
        <f>SUMIFS(#REF!,#REF!,$B300,#REF!,AV$1)</f>
        <v>#REF!</v>
      </c>
      <c r="AW300" s="24" t="e">
        <f>SUMIFS(#REF!,#REF!,$B300,#REF!,AW$1)</f>
        <v>#REF!</v>
      </c>
      <c r="AX300" s="24" t="e">
        <f>SUMIFS(#REF!,#REF!,$B300,#REF!,AX$1)</f>
        <v>#REF!</v>
      </c>
      <c r="AY300" s="24" t="e">
        <f>SUMIFS(#REF!,#REF!,$B300,#REF!,AY$1)</f>
        <v>#REF!</v>
      </c>
      <c r="AZ300" s="24" t="e">
        <f>SUMIFS(#REF!,#REF!,$B300,#REF!,AZ$1)</f>
        <v>#REF!</v>
      </c>
      <c r="BA300" s="24" t="e">
        <f>SUMIFS(#REF!,#REF!,$B300,#REF!,BA$1)</f>
        <v>#REF!</v>
      </c>
      <c r="BB300" s="24" t="e">
        <f>SUMIFS(#REF!,#REF!,$B300,#REF!,BB$1)</f>
        <v>#REF!</v>
      </c>
      <c r="BC300" s="24" t="e">
        <f>SUMIFS(#REF!,#REF!,$B300,#REF!,BC$1)</f>
        <v>#REF!</v>
      </c>
      <c r="BD300" s="24" t="e">
        <f>SUMIFS(#REF!,#REF!,$B300,#REF!,BD$1)</f>
        <v>#REF!</v>
      </c>
      <c r="BE300" s="24" t="e">
        <f>SUMIFS(#REF!,#REF!,$B300,#REF!,BE$1)</f>
        <v>#REF!</v>
      </c>
      <c r="BF300" s="24" t="e">
        <f>SUMIFS(#REF!,#REF!,$B300,#REF!,BF$1)</f>
        <v>#REF!</v>
      </c>
      <c r="BG300" s="24" t="e">
        <f>SUMIFS(#REF!,#REF!,$B300,#REF!,BG$1)</f>
        <v>#REF!</v>
      </c>
      <c r="BH300" s="24" t="e">
        <f>SUMIFS(#REF!,#REF!,$B300,#REF!,BH$1)</f>
        <v>#REF!</v>
      </c>
      <c r="BI300" s="24" t="e">
        <f>SUMIFS(#REF!,#REF!,$B300,#REF!,BI$1)</f>
        <v>#REF!</v>
      </c>
      <c r="BJ300" s="24" t="e">
        <f>SUMIFS(#REF!,#REF!,$B300,#REF!,BJ$1)</f>
        <v>#REF!</v>
      </c>
      <c r="BK300" s="24" t="e">
        <f>SUMIFS(#REF!,#REF!,$B300,#REF!,BK$1)</f>
        <v>#REF!</v>
      </c>
      <c r="BL300" s="24" t="e">
        <f>SUMIFS(#REF!,#REF!,$B300,#REF!,BL$1)</f>
        <v>#REF!</v>
      </c>
      <c r="BM300" s="24" t="e">
        <f>SUMIFS(#REF!,#REF!,$B300,#REF!,BM$1)</f>
        <v>#REF!</v>
      </c>
      <c r="BN300" s="24" t="e">
        <f>SUMIFS(#REF!,#REF!,$B300,#REF!,BN$1)</f>
        <v>#REF!</v>
      </c>
      <c r="BO300" s="24" t="e">
        <f>SUMIFS(#REF!,#REF!,$B300,#REF!,BO$1)</f>
        <v>#REF!</v>
      </c>
      <c r="BP300" s="24" t="e">
        <f>SUMIFS(#REF!,#REF!,$B300,#REF!,BP$1)</f>
        <v>#REF!</v>
      </c>
      <c r="BQ300" s="24" t="e">
        <f>SUMIFS(#REF!,#REF!,$B300,#REF!,BQ$1)</f>
        <v>#REF!</v>
      </c>
      <c r="BR300" s="24" t="e">
        <f>SUMIFS(#REF!,#REF!,$B300,#REF!,BR$1)</f>
        <v>#REF!</v>
      </c>
      <c r="BS300" s="24" t="e">
        <f>SUMIFS(#REF!,#REF!,$B300,#REF!,BS$1)</f>
        <v>#REF!</v>
      </c>
      <c r="BT300" s="24" t="e">
        <f>SUMIFS(#REF!,#REF!,$B300,#REF!,BT$1)</f>
        <v>#REF!</v>
      </c>
      <c r="BU300" s="24" t="e">
        <f>SUMIFS(#REF!,#REF!,$B300,#REF!,BU$1)</f>
        <v>#REF!</v>
      </c>
      <c r="BV300" s="24" t="e">
        <f>SUMIFS(#REF!,#REF!,$B300,#REF!,BV$1)</f>
        <v>#REF!</v>
      </c>
      <c r="BW300" s="24" t="e">
        <f>SUMIFS(#REF!,#REF!,$B300,#REF!,BW$1)</f>
        <v>#REF!</v>
      </c>
      <c r="BX300" s="24" t="e">
        <f>SUMIFS(#REF!,#REF!,$B300,#REF!,BX$1)</f>
        <v>#REF!</v>
      </c>
      <c r="BY300" s="24" t="e">
        <f>SUMIFS(#REF!,#REF!,$B300,#REF!,BY$1)</f>
        <v>#REF!</v>
      </c>
      <c r="BZ300" s="24" t="e">
        <f>SUMIFS(#REF!,#REF!,$B300,#REF!,BZ$1)</f>
        <v>#REF!</v>
      </c>
      <c r="CA300" s="24" t="e">
        <f>SUMIFS(#REF!,#REF!,$B300,#REF!,CA$1)</f>
        <v>#REF!</v>
      </c>
      <c r="CB300" s="24" t="e">
        <f>SUMIFS(#REF!,#REF!,$B300,#REF!,CB$1)</f>
        <v>#REF!</v>
      </c>
      <c r="CC300" s="24" t="e">
        <f>SUMIFS(#REF!,#REF!,$B300,#REF!,CC$1)</f>
        <v>#REF!</v>
      </c>
      <c r="CD300" s="24" t="e">
        <f>SUMIFS(#REF!,#REF!,$B300,#REF!,CD$1)</f>
        <v>#REF!</v>
      </c>
      <c r="CE300" s="24" t="e">
        <f>SUMIFS(#REF!,#REF!,$B300,#REF!,CE$1)</f>
        <v>#REF!</v>
      </c>
      <c r="CF300" s="24" t="e">
        <f>SUMIFS(#REF!,#REF!,$B300,#REF!,CF$1)</f>
        <v>#REF!</v>
      </c>
      <c r="CG300" s="19" t="e">
        <f t="shared" si="4"/>
        <v>#REF!</v>
      </c>
    </row>
    <row r="301" spans="1:85" x14ac:dyDescent="0.45">
      <c r="A301" s="4" t="s">
        <v>1556</v>
      </c>
      <c r="B301" s="4" t="s">
        <v>1556</v>
      </c>
      <c r="C301" s="24" t="e">
        <f>SUMIFS(#REF!,#REF!,$B301,#REF!,C$1)</f>
        <v>#REF!</v>
      </c>
      <c r="D301" s="24" t="e">
        <f>SUMIFS(#REF!,#REF!,$B301,#REF!,D$1)</f>
        <v>#REF!</v>
      </c>
      <c r="E301" s="24" t="e">
        <f>SUMIFS(#REF!,#REF!,$B301,#REF!,E$1)</f>
        <v>#REF!</v>
      </c>
      <c r="F301" s="24" t="e">
        <f>SUMIFS(#REF!,#REF!,$B301,#REF!,F$1)</f>
        <v>#REF!</v>
      </c>
      <c r="G301" s="24" t="e">
        <f>SUMIFS(#REF!,#REF!,$B301,#REF!,G$1)</f>
        <v>#REF!</v>
      </c>
      <c r="H301" s="24" t="e">
        <f>SUMIFS(#REF!,#REF!,$B301,#REF!,H$1)</f>
        <v>#REF!</v>
      </c>
      <c r="I301" s="24" t="e">
        <f>SUMIFS(#REF!,#REF!,$B301,#REF!,I$1)</f>
        <v>#REF!</v>
      </c>
      <c r="J301" s="24" t="e">
        <f>SUMIFS(#REF!,#REF!,$B301,#REF!,J$1)</f>
        <v>#REF!</v>
      </c>
      <c r="K301" s="24" t="e">
        <f>SUMIFS(#REF!,#REF!,$B301,#REF!,K$1)</f>
        <v>#REF!</v>
      </c>
      <c r="L301" s="24" t="e">
        <f>SUMIFS(#REF!,#REF!,$B301,#REF!,L$1)</f>
        <v>#REF!</v>
      </c>
      <c r="M301" s="24" t="e">
        <f>SUMIFS(#REF!,#REF!,$B301,#REF!,M$1)</f>
        <v>#REF!</v>
      </c>
      <c r="N301" s="24" t="e">
        <f>SUMIFS(#REF!,#REF!,$B301,#REF!,N$1)</f>
        <v>#REF!</v>
      </c>
      <c r="O301" s="24" t="e">
        <f>SUMIFS(#REF!,#REF!,$B301,#REF!,O$1)</f>
        <v>#REF!</v>
      </c>
      <c r="P301" s="24" t="e">
        <f>SUMIFS(#REF!,#REF!,$B301,#REF!,P$1)</f>
        <v>#REF!</v>
      </c>
      <c r="Q301" s="24" t="e">
        <f>SUMIFS(#REF!,#REF!,$B301,#REF!,Q$1)</f>
        <v>#REF!</v>
      </c>
      <c r="R301" s="24" t="e">
        <f>SUMIFS(#REF!,#REF!,$B301,#REF!,R$1)</f>
        <v>#REF!</v>
      </c>
      <c r="S301" s="24" t="e">
        <f>SUMIFS(#REF!,#REF!,$B301,#REF!,S$1)</f>
        <v>#REF!</v>
      </c>
      <c r="T301" s="24" t="e">
        <f>SUMIFS(#REF!,#REF!,$B301,#REF!,T$1)</f>
        <v>#REF!</v>
      </c>
      <c r="U301" s="24" t="e">
        <f>SUMIFS(#REF!,#REF!,$B301,#REF!,U$1)</f>
        <v>#REF!</v>
      </c>
      <c r="V301" s="24" t="e">
        <f>SUMIFS(#REF!,#REF!,$B301,#REF!,V$1)</f>
        <v>#REF!</v>
      </c>
      <c r="W301" s="24" t="e">
        <f>SUMIFS(#REF!,#REF!,$B301,#REF!,W$1)</f>
        <v>#REF!</v>
      </c>
      <c r="X301" s="24" t="e">
        <f>SUMIFS(#REF!,#REF!,$B301,#REF!,X$1)</f>
        <v>#REF!</v>
      </c>
      <c r="Y301" s="24" t="e">
        <f>SUMIFS(#REF!,#REF!,$B301,#REF!,Y$1)</f>
        <v>#REF!</v>
      </c>
      <c r="Z301" s="24" t="e">
        <f>SUMIFS(#REF!,#REF!,$B301,#REF!,Z$1)</f>
        <v>#REF!</v>
      </c>
      <c r="AA301" s="24" t="e">
        <f>SUMIFS(#REF!,#REF!,$B301,#REF!,AA$1)</f>
        <v>#REF!</v>
      </c>
      <c r="AB301" s="24" t="e">
        <f>SUMIFS(#REF!,#REF!,$B301,#REF!,AB$1)</f>
        <v>#REF!</v>
      </c>
      <c r="AC301" s="24" t="e">
        <f>SUMIFS(#REF!,#REF!,$B301,#REF!,AC$1)</f>
        <v>#REF!</v>
      </c>
      <c r="AD301" s="24" t="e">
        <f>SUMIFS(#REF!,#REF!,$B301,#REF!,AD$1)</f>
        <v>#REF!</v>
      </c>
      <c r="AE301" s="24" t="e">
        <f>SUMIFS(#REF!,#REF!,$B301,#REF!,AE$1)</f>
        <v>#REF!</v>
      </c>
      <c r="AF301" s="24" t="e">
        <f>SUMIFS(#REF!,#REF!,$B301,#REF!,AF$1)</f>
        <v>#REF!</v>
      </c>
      <c r="AG301" s="24" t="e">
        <f>SUMIFS(#REF!,#REF!,$B301,#REF!,AG$1)</f>
        <v>#REF!</v>
      </c>
      <c r="AH301" s="24" t="e">
        <f>SUMIFS(#REF!,#REF!,$B301,#REF!,AH$1)</f>
        <v>#REF!</v>
      </c>
      <c r="AI301" s="24" t="e">
        <f>SUMIFS(#REF!,#REF!,$B301,#REF!,AI$1)</f>
        <v>#REF!</v>
      </c>
      <c r="AJ301" s="24" t="e">
        <f>SUMIFS(#REF!,#REF!,$B301,#REF!,AJ$1)</f>
        <v>#REF!</v>
      </c>
      <c r="AK301" s="24" t="e">
        <f>SUMIFS(#REF!,#REF!,$B301,#REF!,AK$1)</f>
        <v>#REF!</v>
      </c>
      <c r="AL301" s="24" t="e">
        <f>SUMIFS(#REF!,#REF!,$B301,#REF!,AL$1)</f>
        <v>#REF!</v>
      </c>
      <c r="AM301" s="24" t="e">
        <f>SUMIFS(#REF!,#REF!,$B301,#REF!,AM$1)</f>
        <v>#REF!</v>
      </c>
      <c r="AN301" s="24" t="e">
        <f>SUMIFS(#REF!,#REF!,$B301,#REF!,AN$1)</f>
        <v>#REF!</v>
      </c>
      <c r="AO301" s="24" t="e">
        <f>SUMIFS(#REF!,#REF!,$B301,#REF!,AO$1)</f>
        <v>#REF!</v>
      </c>
      <c r="AP301" s="24" t="e">
        <f>SUMIFS(#REF!,#REF!,$B301,#REF!,AP$1)</f>
        <v>#REF!</v>
      </c>
      <c r="AQ301" s="24" t="e">
        <f>SUMIFS(#REF!,#REF!,$B301,#REF!,AQ$1)</f>
        <v>#REF!</v>
      </c>
      <c r="AR301" s="24" t="e">
        <f>SUMIFS(#REF!,#REF!,$B301,#REF!,AR$1)</f>
        <v>#REF!</v>
      </c>
      <c r="AS301" s="24" t="e">
        <f>SUMIFS(#REF!,#REF!,$B301,#REF!,AS$1)</f>
        <v>#REF!</v>
      </c>
      <c r="AT301" s="24" t="e">
        <f>SUMIFS(#REF!,#REF!,$B301,#REF!,AT$1)</f>
        <v>#REF!</v>
      </c>
      <c r="AU301" s="24" t="e">
        <f>SUMIFS(#REF!,#REF!,$B301,#REF!,AU$1)</f>
        <v>#REF!</v>
      </c>
      <c r="AV301" s="24" t="e">
        <f>SUMIFS(#REF!,#REF!,$B301,#REF!,AV$1)</f>
        <v>#REF!</v>
      </c>
      <c r="AW301" s="24" t="e">
        <f>SUMIFS(#REF!,#REF!,$B301,#REF!,AW$1)</f>
        <v>#REF!</v>
      </c>
      <c r="AX301" s="24" t="e">
        <f>SUMIFS(#REF!,#REF!,$B301,#REF!,AX$1)</f>
        <v>#REF!</v>
      </c>
      <c r="AY301" s="24" t="e">
        <f>SUMIFS(#REF!,#REF!,$B301,#REF!,AY$1)</f>
        <v>#REF!</v>
      </c>
      <c r="AZ301" s="24" t="e">
        <f>SUMIFS(#REF!,#REF!,$B301,#REF!,AZ$1)</f>
        <v>#REF!</v>
      </c>
      <c r="BA301" s="24" t="e">
        <f>SUMIFS(#REF!,#REF!,$B301,#REF!,BA$1)</f>
        <v>#REF!</v>
      </c>
      <c r="BB301" s="24" t="e">
        <f>SUMIFS(#REF!,#REF!,$B301,#REF!,BB$1)</f>
        <v>#REF!</v>
      </c>
      <c r="BC301" s="24" t="e">
        <f>SUMIFS(#REF!,#REF!,$B301,#REF!,BC$1)</f>
        <v>#REF!</v>
      </c>
      <c r="BD301" s="24" t="e">
        <f>SUMIFS(#REF!,#REF!,$B301,#REF!,BD$1)</f>
        <v>#REF!</v>
      </c>
      <c r="BE301" s="24" t="e">
        <f>SUMIFS(#REF!,#REF!,$B301,#REF!,BE$1)</f>
        <v>#REF!</v>
      </c>
      <c r="BF301" s="24" t="e">
        <f>SUMIFS(#REF!,#REF!,$B301,#REF!,BF$1)</f>
        <v>#REF!</v>
      </c>
      <c r="BG301" s="24" t="e">
        <f>SUMIFS(#REF!,#REF!,$B301,#REF!,BG$1)</f>
        <v>#REF!</v>
      </c>
      <c r="BH301" s="24" t="e">
        <f>SUMIFS(#REF!,#REF!,$B301,#REF!,BH$1)</f>
        <v>#REF!</v>
      </c>
      <c r="BI301" s="24" t="e">
        <f>SUMIFS(#REF!,#REF!,$B301,#REF!,BI$1)</f>
        <v>#REF!</v>
      </c>
      <c r="BJ301" s="24" t="e">
        <f>SUMIFS(#REF!,#REF!,$B301,#REF!,BJ$1)</f>
        <v>#REF!</v>
      </c>
      <c r="BK301" s="24" t="e">
        <f>SUMIFS(#REF!,#REF!,$B301,#REF!,BK$1)</f>
        <v>#REF!</v>
      </c>
      <c r="BL301" s="24" t="e">
        <f>SUMIFS(#REF!,#REF!,$B301,#REF!,BL$1)</f>
        <v>#REF!</v>
      </c>
      <c r="BM301" s="24" t="e">
        <f>SUMIFS(#REF!,#REF!,$B301,#REF!,BM$1)</f>
        <v>#REF!</v>
      </c>
      <c r="BN301" s="24" t="e">
        <f>SUMIFS(#REF!,#REF!,$B301,#REF!,BN$1)</f>
        <v>#REF!</v>
      </c>
      <c r="BO301" s="24" t="e">
        <f>SUMIFS(#REF!,#REF!,$B301,#REF!,BO$1)</f>
        <v>#REF!</v>
      </c>
      <c r="BP301" s="24" t="e">
        <f>SUMIFS(#REF!,#REF!,$B301,#REF!,BP$1)</f>
        <v>#REF!</v>
      </c>
      <c r="BQ301" s="24" t="e">
        <f>SUMIFS(#REF!,#REF!,$B301,#REF!,BQ$1)</f>
        <v>#REF!</v>
      </c>
      <c r="BR301" s="24" t="e">
        <f>SUMIFS(#REF!,#REF!,$B301,#REF!,BR$1)</f>
        <v>#REF!</v>
      </c>
      <c r="BS301" s="24" t="e">
        <f>SUMIFS(#REF!,#REF!,$B301,#REF!,BS$1)</f>
        <v>#REF!</v>
      </c>
      <c r="BT301" s="24" t="e">
        <f>SUMIFS(#REF!,#REF!,$B301,#REF!,BT$1)</f>
        <v>#REF!</v>
      </c>
      <c r="BU301" s="24" t="e">
        <f>SUMIFS(#REF!,#REF!,$B301,#REF!,BU$1)</f>
        <v>#REF!</v>
      </c>
      <c r="BV301" s="24" t="e">
        <f>SUMIFS(#REF!,#REF!,$B301,#REF!,BV$1)</f>
        <v>#REF!</v>
      </c>
      <c r="BW301" s="24" t="e">
        <f>SUMIFS(#REF!,#REF!,$B301,#REF!,BW$1)</f>
        <v>#REF!</v>
      </c>
      <c r="BX301" s="24" t="e">
        <f>SUMIFS(#REF!,#REF!,$B301,#REF!,BX$1)</f>
        <v>#REF!</v>
      </c>
      <c r="BY301" s="24" t="e">
        <f>SUMIFS(#REF!,#REF!,$B301,#REF!,BY$1)</f>
        <v>#REF!</v>
      </c>
      <c r="BZ301" s="24" t="e">
        <f>SUMIFS(#REF!,#REF!,$B301,#REF!,BZ$1)</f>
        <v>#REF!</v>
      </c>
      <c r="CA301" s="24" t="e">
        <f>SUMIFS(#REF!,#REF!,$B301,#REF!,CA$1)</f>
        <v>#REF!</v>
      </c>
      <c r="CB301" s="24" t="e">
        <f>SUMIFS(#REF!,#REF!,$B301,#REF!,CB$1)</f>
        <v>#REF!</v>
      </c>
      <c r="CC301" s="24" t="e">
        <f>SUMIFS(#REF!,#REF!,$B301,#REF!,CC$1)</f>
        <v>#REF!</v>
      </c>
      <c r="CD301" s="24" t="e">
        <f>SUMIFS(#REF!,#REF!,$B301,#REF!,CD$1)</f>
        <v>#REF!</v>
      </c>
      <c r="CE301" s="24" t="e">
        <f>SUMIFS(#REF!,#REF!,$B301,#REF!,CE$1)</f>
        <v>#REF!</v>
      </c>
      <c r="CF301" s="24" t="e">
        <f>SUMIFS(#REF!,#REF!,$B301,#REF!,CF$1)</f>
        <v>#REF!</v>
      </c>
      <c r="CG301" s="19" t="e">
        <f t="shared" si="4"/>
        <v>#REF!</v>
      </c>
    </row>
    <row r="302" spans="1:85" x14ac:dyDescent="0.45">
      <c r="A302" s="4" t="s">
        <v>1557</v>
      </c>
      <c r="B302" s="4" t="s">
        <v>1557</v>
      </c>
      <c r="C302" s="24" t="e">
        <f>SUMIFS(#REF!,#REF!,$B302,#REF!,C$1)</f>
        <v>#REF!</v>
      </c>
      <c r="D302" s="24" t="e">
        <f>SUMIFS(#REF!,#REF!,$B302,#REF!,D$1)</f>
        <v>#REF!</v>
      </c>
      <c r="E302" s="24" t="e">
        <f>SUMIFS(#REF!,#REF!,$B302,#REF!,E$1)</f>
        <v>#REF!</v>
      </c>
      <c r="F302" s="24" t="e">
        <f>SUMIFS(#REF!,#REF!,$B302,#REF!,F$1)</f>
        <v>#REF!</v>
      </c>
      <c r="G302" s="24" t="e">
        <f>SUMIFS(#REF!,#REF!,$B302,#REF!,G$1)</f>
        <v>#REF!</v>
      </c>
      <c r="H302" s="24" t="e">
        <f>SUMIFS(#REF!,#REF!,$B302,#REF!,H$1)</f>
        <v>#REF!</v>
      </c>
      <c r="I302" s="24" t="e">
        <f>SUMIFS(#REF!,#REF!,$B302,#REF!,I$1)</f>
        <v>#REF!</v>
      </c>
      <c r="J302" s="24" t="e">
        <f>SUMIFS(#REF!,#REF!,$B302,#REF!,J$1)</f>
        <v>#REF!</v>
      </c>
      <c r="K302" s="24" t="e">
        <f>SUMIFS(#REF!,#REF!,$B302,#REF!,K$1)</f>
        <v>#REF!</v>
      </c>
      <c r="L302" s="24" t="e">
        <f>SUMIFS(#REF!,#REF!,$B302,#REF!,L$1)</f>
        <v>#REF!</v>
      </c>
      <c r="M302" s="24" t="e">
        <f>SUMIFS(#REF!,#REF!,$B302,#REF!,M$1)</f>
        <v>#REF!</v>
      </c>
      <c r="N302" s="24" t="e">
        <f>SUMIFS(#REF!,#REF!,$B302,#REF!,N$1)</f>
        <v>#REF!</v>
      </c>
      <c r="O302" s="24" t="e">
        <f>SUMIFS(#REF!,#REF!,$B302,#REF!,O$1)</f>
        <v>#REF!</v>
      </c>
      <c r="P302" s="24" t="e">
        <f>SUMIFS(#REF!,#REF!,$B302,#REF!,P$1)</f>
        <v>#REF!</v>
      </c>
      <c r="Q302" s="24" t="e">
        <f>SUMIFS(#REF!,#REF!,$B302,#REF!,Q$1)</f>
        <v>#REF!</v>
      </c>
      <c r="R302" s="24" t="e">
        <f>SUMIFS(#REF!,#REF!,$B302,#REF!,R$1)</f>
        <v>#REF!</v>
      </c>
      <c r="S302" s="24" t="e">
        <f>SUMIFS(#REF!,#REF!,$B302,#REF!,S$1)</f>
        <v>#REF!</v>
      </c>
      <c r="T302" s="24" t="e">
        <f>SUMIFS(#REF!,#REF!,$B302,#REF!,T$1)</f>
        <v>#REF!</v>
      </c>
      <c r="U302" s="24" t="e">
        <f>SUMIFS(#REF!,#REF!,$B302,#REF!,U$1)</f>
        <v>#REF!</v>
      </c>
      <c r="V302" s="24" t="e">
        <f>SUMIFS(#REF!,#REF!,$B302,#REF!,V$1)</f>
        <v>#REF!</v>
      </c>
      <c r="W302" s="24" t="e">
        <f>SUMIFS(#REF!,#REF!,$B302,#REF!,W$1)</f>
        <v>#REF!</v>
      </c>
      <c r="X302" s="24" t="e">
        <f>SUMIFS(#REF!,#REF!,$B302,#REF!,X$1)</f>
        <v>#REF!</v>
      </c>
      <c r="Y302" s="24" t="e">
        <f>SUMIFS(#REF!,#REF!,$B302,#REF!,Y$1)</f>
        <v>#REF!</v>
      </c>
      <c r="Z302" s="24" t="e">
        <f>SUMIFS(#REF!,#REF!,$B302,#REF!,Z$1)</f>
        <v>#REF!</v>
      </c>
      <c r="AA302" s="24" t="e">
        <f>SUMIFS(#REF!,#REF!,$B302,#REF!,AA$1)</f>
        <v>#REF!</v>
      </c>
      <c r="AB302" s="24" t="e">
        <f>SUMIFS(#REF!,#REF!,$B302,#REF!,AB$1)</f>
        <v>#REF!</v>
      </c>
      <c r="AC302" s="24" t="e">
        <f>SUMIFS(#REF!,#REF!,$B302,#REF!,AC$1)</f>
        <v>#REF!</v>
      </c>
      <c r="AD302" s="24" t="e">
        <f>SUMIFS(#REF!,#REF!,$B302,#REF!,AD$1)</f>
        <v>#REF!</v>
      </c>
      <c r="AE302" s="24" t="e">
        <f>SUMIFS(#REF!,#REF!,$B302,#REF!,AE$1)</f>
        <v>#REF!</v>
      </c>
      <c r="AF302" s="24" t="e">
        <f>SUMIFS(#REF!,#REF!,$B302,#REF!,AF$1)</f>
        <v>#REF!</v>
      </c>
      <c r="AG302" s="24" t="e">
        <f>SUMIFS(#REF!,#REF!,$B302,#REF!,AG$1)</f>
        <v>#REF!</v>
      </c>
      <c r="AH302" s="24" t="e">
        <f>SUMIFS(#REF!,#REF!,$B302,#REF!,AH$1)</f>
        <v>#REF!</v>
      </c>
      <c r="AI302" s="24" t="e">
        <f>SUMIFS(#REF!,#REF!,$B302,#REF!,AI$1)</f>
        <v>#REF!</v>
      </c>
      <c r="AJ302" s="24" t="e">
        <f>SUMIFS(#REF!,#REF!,$B302,#REF!,AJ$1)</f>
        <v>#REF!</v>
      </c>
      <c r="AK302" s="24" t="e">
        <f>SUMIFS(#REF!,#REF!,$B302,#REF!,AK$1)</f>
        <v>#REF!</v>
      </c>
      <c r="AL302" s="24" t="e">
        <f>SUMIFS(#REF!,#REF!,$B302,#REF!,AL$1)</f>
        <v>#REF!</v>
      </c>
      <c r="AM302" s="24" t="e">
        <f>SUMIFS(#REF!,#REF!,$B302,#REF!,AM$1)</f>
        <v>#REF!</v>
      </c>
      <c r="AN302" s="24" t="e">
        <f>SUMIFS(#REF!,#REF!,$B302,#REF!,AN$1)</f>
        <v>#REF!</v>
      </c>
      <c r="AO302" s="24" t="e">
        <f>SUMIFS(#REF!,#REF!,$B302,#REF!,AO$1)</f>
        <v>#REF!</v>
      </c>
      <c r="AP302" s="24" t="e">
        <f>SUMIFS(#REF!,#REF!,$B302,#REF!,AP$1)</f>
        <v>#REF!</v>
      </c>
      <c r="AQ302" s="24" t="e">
        <f>SUMIFS(#REF!,#REF!,$B302,#REF!,AQ$1)</f>
        <v>#REF!</v>
      </c>
      <c r="AR302" s="24" t="e">
        <f>SUMIFS(#REF!,#REF!,$B302,#REF!,AR$1)</f>
        <v>#REF!</v>
      </c>
      <c r="AS302" s="24" t="e">
        <f>SUMIFS(#REF!,#REF!,$B302,#REF!,AS$1)</f>
        <v>#REF!</v>
      </c>
      <c r="AT302" s="24" t="e">
        <f>SUMIFS(#REF!,#REF!,$B302,#REF!,AT$1)</f>
        <v>#REF!</v>
      </c>
      <c r="AU302" s="24" t="e">
        <f>SUMIFS(#REF!,#REF!,$B302,#REF!,AU$1)</f>
        <v>#REF!</v>
      </c>
      <c r="AV302" s="24" t="e">
        <f>SUMIFS(#REF!,#REF!,$B302,#REF!,AV$1)</f>
        <v>#REF!</v>
      </c>
      <c r="AW302" s="24" t="e">
        <f>SUMIFS(#REF!,#REF!,$B302,#REF!,AW$1)</f>
        <v>#REF!</v>
      </c>
      <c r="AX302" s="24" t="e">
        <f>SUMIFS(#REF!,#REF!,$B302,#REF!,AX$1)</f>
        <v>#REF!</v>
      </c>
      <c r="AY302" s="24" t="e">
        <f>SUMIFS(#REF!,#REF!,$B302,#REF!,AY$1)</f>
        <v>#REF!</v>
      </c>
      <c r="AZ302" s="24" t="e">
        <f>SUMIFS(#REF!,#REF!,$B302,#REF!,AZ$1)</f>
        <v>#REF!</v>
      </c>
      <c r="BA302" s="24" t="e">
        <f>SUMIFS(#REF!,#REF!,$B302,#REF!,BA$1)</f>
        <v>#REF!</v>
      </c>
      <c r="BB302" s="24" t="e">
        <f>SUMIFS(#REF!,#REF!,$B302,#REF!,BB$1)</f>
        <v>#REF!</v>
      </c>
      <c r="BC302" s="24" t="e">
        <f>SUMIFS(#REF!,#REF!,$B302,#REF!,BC$1)</f>
        <v>#REF!</v>
      </c>
      <c r="BD302" s="24" t="e">
        <f>SUMIFS(#REF!,#REF!,$B302,#REF!,BD$1)</f>
        <v>#REF!</v>
      </c>
      <c r="BE302" s="24" t="e">
        <f>SUMIFS(#REF!,#REF!,$B302,#REF!,BE$1)</f>
        <v>#REF!</v>
      </c>
      <c r="BF302" s="24" t="e">
        <f>SUMIFS(#REF!,#REF!,$B302,#REF!,BF$1)</f>
        <v>#REF!</v>
      </c>
      <c r="BG302" s="24" t="e">
        <f>SUMIFS(#REF!,#REF!,$B302,#REF!,BG$1)</f>
        <v>#REF!</v>
      </c>
      <c r="BH302" s="24" t="e">
        <f>SUMIFS(#REF!,#REF!,$B302,#REF!,BH$1)</f>
        <v>#REF!</v>
      </c>
      <c r="BI302" s="24" t="e">
        <f>SUMIFS(#REF!,#REF!,$B302,#REF!,BI$1)</f>
        <v>#REF!</v>
      </c>
      <c r="BJ302" s="24" t="e">
        <f>SUMIFS(#REF!,#REF!,$B302,#REF!,BJ$1)</f>
        <v>#REF!</v>
      </c>
      <c r="BK302" s="24" t="e">
        <f>SUMIFS(#REF!,#REF!,$B302,#REF!,BK$1)</f>
        <v>#REF!</v>
      </c>
      <c r="BL302" s="24" t="e">
        <f>SUMIFS(#REF!,#REF!,$B302,#REF!,BL$1)</f>
        <v>#REF!</v>
      </c>
      <c r="BM302" s="24" t="e">
        <f>SUMIFS(#REF!,#REF!,$B302,#REF!,BM$1)</f>
        <v>#REF!</v>
      </c>
      <c r="BN302" s="24" t="e">
        <f>SUMIFS(#REF!,#REF!,$B302,#REF!,BN$1)</f>
        <v>#REF!</v>
      </c>
      <c r="BO302" s="24" t="e">
        <f>SUMIFS(#REF!,#REF!,$B302,#REF!,BO$1)</f>
        <v>#REF!</v>
      </c>
      <c r="BP302" s="24" t="e">
        <f>SUMIFS(#REF!,#REF!,$B302,#REF!,BP$1)</f>
        <v>#REF!</v>
      </c>
      <c r="BQ302" s="24" t="e">
        <f>SUMIFS(#REF!,#REF!,$B302,#REF!,BQ$1)</f>
        <v>#REF!</v>
      </c>
      <c r="BR302" s="24" t="e">
        <f>SUMIFS(#REF!,#REF!,$B302,#REF!,BR$1)</f>
        <v>#REF!</v>
      </c>
      <c r="BS302" s="24" t="e">
        <f>SUMIFS(#REF!,#REF!,$B302,#REF!,BS$1)</f>
        <v>#REF!</v>
      </c>
      <c r="BT302" s="24" t="e">
        <f>SUMIFS(#REF!,#REF!,$B302,#REF!,BT$1)</f>
        <v>#REF!</v>
      </c>
      <c r="BU302" s="24" t="e">
        <f>SUMIFS(#REF!,#REF!,$B302,#REF!,BU$1)</f>
        <v>#REF!</v>
      </c>
      <c r="BV302" s="24" t="e">
        <f>SUMIFS(#REF!,#REF!,$B302,#REF!,BV$1)</f>
        <v>#REF!</v>
      </c>
      <c r="BW302" s="24" t="e">
        <f>SUMIFS(#REF!,#REF!,$B302,#REF!,BW$1)</f>
        <v>#REF!</v>
      </c>
      <c r="BX302" s="24" t="e">
        <f>SUMIFS(#REF!,#REF!,$B302,#REF!,BX$1)</f>
        <v>#REF!</v>
      </c>
      <c r="BY302" s="24" t="e">
        <f>SUMIFS(#REF!,#REF!,$B302,#REF!,BY$1)</f>
        <v>#REF!</v>
      </c>
      <c r="BZ302" s="24" t="e">
        <f>SUMIFS(#REF!,#REF!,$B302,#REF!,BZ$1)</f>
        <v>#REF!</v>
      </c>
      <c r="CA302" s="24" t="e">
        <f>SUMIFS(#REF!,#REF!,$B302,#REF!,CA$1)</f>
        <v>#REF!</v>
      </c>
      <c r="CB302" s="24" t="e">
        <f>SUMIFS(#REF!,#REF!,$B302,#REF!,CB$1)</f>
        <v>#REF!</v>
      </c>
      <c r="CC302" s="24" t="e">
        <f>SUMIFS(#REF!,#REF!,$B302,#REF!,CC$1)</f>
        <v>#REF!</v>
      </c>
      <c r="CD302" s="24" t="e">
        <f>SUMIFS(#REF!,#REF!,$B302,#REF!,CD$1)</f>
        <v>#REF!</v>
      </c>
      <c r="CE302" s="24" t="e">
        <f>SUMIFS(#REF!,#REF!,$B302,#REF!,CE$1)</f>
        <v>#REF!</v>
      </c>
      <c r="CF302" s="24" t="e">
        <f>SUMIFS(#REF!,#REF!,$B302,#REF!,CF$1)</f>
        <v>#REF!</v>
      </c>
      <c r="CG302" s="19" t="e">
        <f t="shared" si="4"/>
        <v>#REF!</v>
      </c>
    </row>
    <row r="303" spans="1:85" x14ac:dyDescent="0.45">
      <c r="A303" s="4" t="s">
        <v>1558</v>
      </c>
      <c r="B303" s="4" t="s">
        <v>1558</v>
      </c>
      <c r="C303" s="24" t="e">
        <f>SUMIFS(#REF!,#REF!,$B303,#REF!,C$1)</f>
        <v>#REF!</v>
      </c>
      <c r="D303" s="24" t="e">
        <f>SUMIFS(#REF!,#REF!,$B303,#REF!,D$1)</f>
        <v>#REF!</v>
      </c>
      <c r="E303" s="24" t="e">
        <f>SUMIFS(#REF!,#REF!,$B303,#REF!,E$1)</f>
        <v>#REF!</v>
      </c>
      <c r="F303" s="24" t="e">
        <f>SUMIFS(#REF!,#REF!,$B303,#REF!,F$1)</f>
        <v>#REF!</v>
      </c>
      <c r="G303" s="24" t="e">
        <f>SUMIFS(#REF!,#REF!,$B303,#REF!,G$1)</f>
        <v>#REF!</v>
      </c>
      <c r="H303" s="24" t="e">
        <f>SUMIFS(#REF!,#REF!,$B303,#REF!,H$1)</f>
        <v>#REF!</v>
      </c>
      <c r="I303" s="24" t="e">
        <f>SUMIFS(#REF!,#REF!,$B303,#REF!,I$1)</f>
        <v>#REF!</v>
      </c>
      <c r="J303" s="24" t="e">
        <f>SUMIFS(#REF!,#REF!,$B303,#REF!,J$1)</f>
        <v>#REF!</v>
      </c>
      <c r="K303" s="24" t="e">
        <f>SUMIFS(#REF!,#REF!,$B303,#REF!,K$1)</f>
        <v>#REF!</v>
      </c>
      <c r="L303" s="24" t="e">
        <f>SUMIFS(#REF!,#REF!,$B303,#REF!,L$1)</f>
        <v>#REF!</v>
      </c>
      <c r="M303" s="24" t="e">
        <f>SUMIFS(#REF!,#REF!,$B303,#REF!,M$1)</f>
        <v>#REF!</v>
      </c>
      <c r="N303" s="24" t="e">
        <f>SUMIFS(#REF!,#REF!,$B303,#REF!,N$1)</f>
        <v>#REF!</v>
      </c>
      <c r="O303" s="24" t="e">
        <f>SUMIFS(#REF!,#REF!,$B303,#REF!,O$1)</f>
        <v>#REF!</v>
      </c>
      <c r="P303" s="24" t="e">
        <f>SUMIFS(#REF!,#REF!,$B303,#REF!,P$1)</f>
        <v>#REF!</v>
      </c>
      <c r="Q303" s="24" t="e">
        <f>SUMIFS(#REF!,#REF!,$B303,#REF!,Q$1)</f>
        <v>#REF!</v>
      </c>
      <c r="R303" s="24" t="e">
        <f>SUMIFS(#REF!,#REF!,$B303,#REF!,R$1)</f>
        <v>#REF!</v>
      </c>
      <c r="S303" s="24" t="e">
        <f>SUMIFS(#REF!,#REF!,$B303,#REF!,S$1)</f>
        <v>#REF!</v>
      </c>
      <c r="T303" s="24" t="e">
        <f>SUMIFS(#REF!,#REF!,$B303,#REF!,T$1)</f>
        <v>#REF!</v>
      </c>
      <c r="U303" s="24" t="e">
        <f>SUMIFS(#REF!,#REF!,$B303,#REF!,U$1)</f>
        <v>#REF!</v>
      </c>
      <c r="V303" s="24" t="e">
        <f>SUMIFS(#REF!,#REF!,$B303,#REF!,V$1)</f>
        <v>#REF!</v>
      </c>
      <c r="W303" s="24" t="e">
        <f>SUMIFS(#REF!,#REF!,$B303,#REF!,W$1)</f>
        <v>#REF!</v>
      </c>
      <c r="X303" s="24" t="e">
        <f>SUMIFS(#REF!,#REF!,$B303,#REF!,X$1)</f>
        <v>#REF!</v>
      </c>
      <c r="Y303" s="24" t="e">
        <f>SUMIFS(#REF!,#REF!,$B303,#REF!,Y$1)</f>
        <v>#REF!</v>
      </c>
      <c r="Z303" s="24" t="e">
        <f>SUMIFS(#REF!,#REF!,$B303,#REF!,Z$1)</f>
        <v>#REF!</v>
      </c>
      <c r="AA303" s="24" t="e">
        <f>SUMIFS(#REF!,#REF!,$B303,#REF!,AA$1)</f>
        <v>#REF!</v>
      </c>
      <c r="AB303" s="24" t="e">
        <f>SUMIFS(#REF!,#REF!,$B303,#REF!,AB$1)</f>
        <v>#REF!</v>
      </c>
      <c r="AC303" s="24" t="e">
        <f>SUMIFS(#REF!,#REF!,$B303,#REF!,AC$1)</f>
        <v>#REF!</v>
      </c>
      <c r="AD303" s="24" t="e">
        <f>SUMIFS(#REF!,#REF!,$B303,#REF!,AD$1)</f>
        <v>#REF!</v>
      </c>
      <c r="AE303" s="24" t="e">
        <f>SUMIFS(#REF!,#REF!,$B303,#REF!,AE$1)</f>
        <v>#REF!</v>
      </c>
      <c r="AF303" s="24" t="e">
        <f>SUMIFS(#REF!,#REF!,$B303,#REF!,AF$1)</f>
        <v>#REF!</v>
      </c>
      <c r="AG303" s="24" t="e">
        <f>SUMIFS(#REF!,#REF!,$B303,#REF!,AG$1)</f>
        <v>#REF!</v>
      </c>
      <c r="AH303" s="24" t="e">
        <f>SUMIFS(#REF!,#REF!,$B303,#REF!,AH$1)</f>
        <v>#REF!</v>
      </c>
      <c r="AI303" s="24" t="e">
        <f>SUMIFS(#REF!,#REF!,$B303,#REF!,AI$1)</f>
        <v>#REF!</v>
      </c>
      <c r="AJ303" s="24" t="e">
        <f>SUMIFS(#REF!,#REF!,$B303,#REF!,AJ$1)</f>
        <v>#REF!</v>
      </c>
      <c r="AK303" s="24" t="e">
        <f>SUMIFS(#REF!,#REF!,$B303,#REF!,AK$1)</f>
        <v>#REF!</v>
      </c>
      <c r="AL303" s="24" t="e">
        <f>SUMIFS(#REF!,#REF!,$B303,#REF!,AL$1)</f>
        <v>#REF!</v>
      </c>
      <c r="AM303" s="24" t="e">
        <f>SUMIFS(#REF!,#REF!,$B303,#REF!,AM$1)</f>
        <v>#REF!</v>
      </c>
      <c r="AN303" s="24" t="e">
        <f>SUMIFS(#REF!,#REF!,$B303,#REF!,AN$1)</f>
        <v>#REF!</v>
      </c>
      <c r="AO303" s="24" t="e">
        <f>SUMIFS(#REF!,#REF!,$B303,#REF!,AO$1)</f>
        <v>#REF!</v>
      </c>
      <c r="AP303" s="24" t="e">
        <f>SUMIFS(#REF!,#REF!,$B303,#REF!,AP$1)</f>
        <v>#REF!</v>
      </c>
      <c r="AQ303" s="24" t="e">
        <f>SUMIFS(#REF!,#REF!,$B303,#REF!,AQ$1)</f>
        <v>#REF!</v>
      </c>
      <c r="AR303" s="24" t="e">
        <f>SUMIFS(#REF!,#REF!,$B303,#REF!,AR$1)</f>
        <v>#REF!</v>
      </c>
      <c r="AS303" s="24" t="e">
        <f>SUMIFS(#REF!,#REF!,$B303,#REF!,AS$1)</f>
        <v>#REF!</v>
      </c>
      <c r="AT303" s="24" t="e">
        <f>SUMIFS(#REF!,#REF!,$B303,#REF!,AT$1)</f>
        <v>#REF!</v>
      </c>
      <c r="AU303" s="24" t="e">
        <f>SUMIFS(#REF!,#REF!,$B303,#REF!,AU$1)</f>
        <v>#REF!</v>
      </c>
      <c r="AV303" s="24" t="e">
        <f>SUMIFS(#REF!,#REF!,$B303,#REF!,AV$1)</f>
        <v>#REF!</v>
      </c>
      <c r="AW303" s="24" t="e">
        <f>SUMIFS(#REF!,#REF!,$B303,#REF!,AW$1)</f>
        <v>#REF!</v>
      </c>
      <c r="AX303" s="24" t="e">
        <f>SUMIFS(#REF!,#REF!,$B303,#REF!,AX$1)</f>
        <v>#REF!</v>
      </c>
      <c r="AY303" s="24" t="e">
        <f>SUMIFS(#REF!,#REF!,$B303,#REF!,AY$1)</f>
        <v>#REF!</v>
      </c>
      <c r="AZ303" s="24" t="e">
        <f>SUMIFS(#REF!,#REF!,$B303,#REF!,AZ$1)</f>
        <v>#REF!</v>
      </c>
      <c r="BA303" s="24" t="e">
        <f>SUMIFS(#REF!,#REF!,$B303,#REF!,BA$1)</f>
        <v>#REF!</v>
      </c>
      <c r="BB303" s="24" t="e">
        <f>SUMIFS(#REF!,#REF!,$B303,#REF!,BB$1)</f>
        <v>#REF!</v>
      </c>
      <c r="BC303" s="24" t="e">
        <f>SUMIFS(#REF!,#REF!,$B303,#REF!,BC$1)</f>
        <v>#REF!</v>
      </c>
      <c r="BD303" s="24" t="e">
        <f>SUMIFS(#REF!,#REF!,$B303,#REF!,BD$1)</f>
        <v>#REF!</v>
      </c>
      <c r="BE303" s="24" t="e">
        <f>SUMIFS(#REF!,#REF!,$B303,#REF!,BE$1)</f>
        <v>#REF!</v>
      </c>
      <c r="BF303" s="24" t="e">
        <f>SUMIFS(#REF!,#REF!,$B303,#REF!,BF$1)</f>
        <v>#REF!</v>
      </c>
      <c r="BG303" s="24" t="e">
        <f>SUMIFS(#REF!,#REF!,$B303,#REF!,BG$1)</f>
        <v>#REF!</v>
      </c>
      <c r="BH303" s="24" t="e">
        <f>SUMIFS(#REF!,#REF!,$B303,#REF!,BH$1)</f>
        <v>#REF!</v>
      </c>
      <c r="BI303" s="24" t="e">
        <f>SUMIFS(#REF!,#REF!,$B303,#REF!,BI$1)</f>
        <v>#REF!</v>
      </c>
      <c r="BJ303" s="24" t="e">
        <f>SUMIFS(#REF!,#REF!,$B303,#REF!,BJ$1)</f>
        <v>#REF!</v>
      </c>
      <c r="BK303" s="24" t="e">
        <f>SUMIFS(#REF!,#REF!,$B303,#REF!,BK$1)</f>
        <v>#REF!</v>
      </c>
      <c r="BL303" s="24" t="e">
        <f>SUMIFS(#REF!,#REF!,$B303,#REF!,BL$1)</f>
        <v>#REF!</v>
      </c>
      <c r="BM303" s="24" t="e">
        <f>SUMIFS(#REF!,#REF!,$B303,#REF!,BM$1)</f>
        <v>#REF!</v>
      </c>
      <c r="BN303" s="24" t="e">
        <f>SUMIFS(#REF!,#REF!,$B303,#REF!,BN$1)</f>
        <v>#REF!</v>
      </c>
      <c r="BO303" s="24" t="e">
        <f>SUMIFS(#REF!,#REF!,$B303,#REF!,BO$1)</f>
        <v>#REF!</v>
      </c>
      <c r="BP303" s="24" t="e">
        <f>SUMIFS(#REF!,#REF!,$B303,#REF!,BP$1)</f>
        <v>#REF!</v>
      </c>
      <c r="BQ303" s="24" t="e">
        <f>SUMIFS(#REF!,#REF!,$B303,#REF!,BQ$1)</f>
        <v>#REF!</v>
      </c>
      <c r="BR303" s="24" t="e">
        <f>SUMIFS(#REF!,#REF!,$B303,#REF!,BR$1)</f>
        <v>#REF!</v>
      </c>
      <c r="BS303" s="24" t="e">
        <f>SUMIFS(#REF!,#REF!,$B303,#REF!,BS$1)</f>
        <v>#REF!</v>
      </c>
      <c r="BT303" s="24" t="e">
        <f>SUMIFS(#REF!,#REF!,$B303,#REF!,BT$1)</f>
        <v>#REF!</v>
      </c>
      <c r="BU303" s="24" t="e">
        <f>SUMIFS(#REF!,#REF!,$B303,#REF!,BU$1)</f>
        <v>#REF!</v>
      </c>
      <c r="BV303" s="24" t="e">
        <f>SUMIFS(#REF!,#REF!,$B303,#REF!,BV$1)</f>
        <v>#REF!</v>
      </c>
      <c r="BW303" s="24" t="e">
        <f>SUMIFS(#REF!,#REF!,$B303,#REF!,BW$1)</f>
        <v>#REF!</v>
      </c>
      <c r="BX303" s="24" t="e">
        <f>SUMIFS(#REF!,#REF!,$B303,#REF!,BX$1)</f>
        <v>#REF!</v>
      </c>
      <c r="BY303" s="24" t="e">
        <f>SUMIFS(#REF!,#REF!,$B303,#REF!,BY$1)</f>
        <v>#REF!</v>
      </c>
      <c r="BZ303" s="24" t="e">
        <f>SUMIFS(#REF!,#REF!,$B303,#REF!,BZ$1)</f>
        <v>#REF!</v>
      </c>
      <c r="CA303" s="24" t="e">
        <f>SUMIFS(#REF!,#REF!,$B303,#REF!,CA$1)</f>
        <v>#REF!</v>
      </c>
      <c r="CB303" s="24" t="e">
        <f>SUMIFS(#REF!,#REF!,$B303,#REF!,CB$1)</f>
        <v>#REF!</v>
      </c>
      <c r="CC303" s="24" t="e">
        <f>SUMIFS(#REF!,#REF!,$B303,#REF!,CC$1)</f>
        <v>#REF!</v>
      </c>
      <c r="CD303" s="24" t="e">
        <f>SUMIFS(#REF!,#REF!,$B303,#REF!,CD$1)</f>
        <v>#REF!</v>
      </c>
      <c r="CE303" s="24" t="e">
        <f>SUMIFS(#REF!,#REF!,$B303,#REF!,CE$1)</f>
        <v>#REF!</v>
      </c>
      <c r="CF303" s="24" t="e">
        <f>SUMIFS(#REF!,#REF!,$B303,#REF!,CF$1)</f>
        <v>#REF!</v>
      </c>
      <c r="CG303" s="19" t="e">
        <f t="shared" si="4"/>
        <v>#REF!</v>
      </c>
    </row>
    <row r="304" spans="1:85" x14ac:dyDescent="0.45">
      <c r="A304" s="4" t="s">
        <v>1559</v>
      </c>
      <c r="B304" s="4" t="s">
        <v>1559</v>
      </c>
      <c r="C304" s="24" t="e">
        <f>SUMIFS(#REF!,#REF!,$B304,#REF!,C$1)</f>
        <v>#REF!</v>
      </c>
      <c r="D304" s="24" t="e">
        <f>SUMIFS(#REF!,#REF!,$B304,#REF!,D$1)</f>
        <v>#REF!</v>
      </c>
      <c r="E304" s="24" t="e">
        <f>SUMIFS(#REF!,#REF!,$B304,#REF!,E$1)</f>
        <v>#REF!</v>
      </c>
      <c r="F304" s="24" t="e">
        <f>SUMIFS(#REF!,#REF!,$B304,#REF!,F$1)</f>
        <v>#REF!</v>
      </c>
      <c r="G304" s="24" t="e">
        <f>SUMIFS(#REF!,#REF!,$B304,#REF!,G$1)</f>
        <v>#REF!</v>
      </c>
      <c r="H304" s="24" t="e">
        <f>SUMIFS(#REF!,#REF!,$B304,#REF!,H$1)</f>
        <v>#REF!</v>
      </c>
      <c r="I304" s="24" t="e">
        <f>SUMIFS(#REF!,#REF!,$B304,#REF!,I$1)</f>
        <v>#REF!</v>
      </c>
      <c r="J304" s="24" t="e">
        <f>SUMIFS(#REF!,#REF!,$B304,#REF!,J$1)</f>
        <v>#REF!</v>
      </c>
      <c r="K304" s="24" t="e">
        <f>SUMIFS(#REF!,#REF!,$B304,#REF!,K$1)</f>
        <v>#REF!</v>
      </c>
      <c r="L304" s="24" t="e">
        <f>SUMIFS(#REF!,#REF!,$B304,#REF!,L$1)</f>
        <v>#REF!</v>
      </c>
      <c r="M304" s="24" t="e">
        <f>SUMIFS(#REF!,#REF!,$B304,#REF!,M$1)</f>
        <v>#REF!</v>
      </c>
      <c r="N304" s="24" t="e">
        <f>SUMIFS(#REF!,#REF!,$B304,#REF!,N$1)</f>
        <v>#REF!</v>
      </c>
      <c r="O304" s="24" t="e">
        <f>SUMIFS(#REF!,#REF!,$B304,#REF!,O$1)</f>
        <v>#REF!</v>
      </c>
      <c r="P304" s="24" t="e">
        <f>SUMIFS(#REF!,#REF!,$B304,#REF!,P$1)</f>
        <v>#REF!</v>
      </c>
      <c r="Q304" s="24" t="e">
        <f>SUMIFS(#REF!,#REF!,$B304,#REF!,Q$1)</f>
        <v>#REF!</v>
      </c>
      <c r="R304" s="24" t="e">
        <f>SUMIFS(#REF!,#REF!,$B304,#REF!,R$1)</f>
        <v>#REF!</v>
      </c>
      <c r="S304" s="24" t="e">
        <f>SUMIFS(#REF!,#REF!,$B304,#REF!,S$1)</f>
        <v>#REF!</v>
      </c>
      <c r="T304" s="24" t="e">
        <f>SUMIFS(#REF!,#REF!,$B304,#REF!,T$1)</f>
        <v>#REF!</v>
      </c>
      <c r="U304" s="24" t="e">
        <f>SUMIFS(#REF!,#REF!,$B304,#REF!,U$1)</f>
        <v>#REF!</v>
      </c>
      <c r="V304" s="24" t="e">
        <f>SUMIFS(#REF!,#REF!,$B304,#REF!,V$1)</f>
        <v>#REF!</v>
      </c>
      <c r="W304" s="24" t="e">
        <f>SUMIFS(#REF!,#REF!,$B304,#REF!,W$1)</f>
        <v>#REF!</v>
      </c>
      <c r="X304" s="24" t="e">
        <f>SUMIFS(#REF!,#REF!,$B304,#REF!,X$1)</f>
        <v>#REF!</v>
      </c>
      <c r="Y304" s="24" t="e">
        <f>SUMIFS(#REF!,#REF!,$B304,#REF!,Y$1)</f>
        <v>#REF!</v>
      </c>
      <c r="Z304" s="24" t="e">
        <f>SUMIFS(#REF!,#REF!,$B304,#REF!,Z$1)</f>
        <v>#REF!</v>
      </c>
      <c r="AA304" s="24" t="e">
        <f>SUMIFS(#REF!,#REF!,$B304,#REF!,AA$1)</f>
        <v>#REF!</v>
      </c>
      <c r="AB304" s="24" t="e">
        <f>SUMIFS(#REF!,#REF!,$B304,#REF!,AB$1)</f>
        <v>#REF!</v>
      </c>
      <c r="AC304" s="24" t="e">
        <f>SUMIFS(#REF!,#REF!,$B304,#REF!,AC$1)</f>
        <v>#REF!</v>
      </c>
      <c r="AD304" s="24" t="e">
        <f>SUMIFS(#REF!,#REF!,$B304,#REF!,AD$1)</f>
        <v>#REF!</v>
      </c>
      <c r="AE304" s="24" t="e">
        <f>SUMIFS(#REF!,#REF!,$B304,#REF!,AE$1)</f>
        <v>#REF!</v>
      </c>
      <c r="AF304" s="24" t="e">
        <f>SUMIFS(#REF!,#REF!,$B304,#REF!,AF$1)</f>
        <v>#REF!</v>
      </c>
      <c r="AG304" s="24" t="e">
        <f>SUMIFS(#REF!,#REF!,$B304,#REF!,AG$1)</f>
        <v>#REF!</v>
      </c>
      <c r="AH304" s="24" t="e">
        <f>SUMIFS(#REF!,#REF!,$B304,#REF!,AH$1)</f>
        <v>#REF!</v>
      </c>
      <c r="AI304" s="24" t="e">
        <f>SUMIFS(#REF!,#REF!,$B304,#REF!,AI$1)</f>
        <v>#REF!</v>
      </c>
      <c r="AJ304" s="24" t="e">
        <f>SUMIFS(#REF!,#REF!,$B304,#REF!,AJ$1)</f>
        <v>#REF!</v>
      </c>
      <c r="AK304" s="24" t="e">
        <f>SUMIFS(#REF!,#REF!,$B304,#REF!,AK$1)</f>
        <v>#REF!</v>
      </c>
      <c r="AL304" s="24" t="e">
        <f>SUMIFS(#REF!,#REF!,$B304,#REF!,AL$1)</f>
        <v>#REF!</v>
      </c>
      <c r="AM304" s="24" t="e">
        <f>SUMIFS(#REF!,#REF!,$B304,#REF!,AM$1)</f>
        <v>#REF!</v>
      </c>
      <c r="AN304" s="24" t="e">
        <f>SUMIFS(#REF!,#REF!,$B304,#REF!,AN$1)</f>
        <v>#REF!</v>
      </c>
      <c r="AO304" s="24" t="e">
        <f>SUMIFS(#REF!,#REF!,$B304,#REF!,AO$1)</f>
        <v>#REF!</v>
      </c>
      <c r="AP304" s="24" t="e">
        <f>SUMIFS(#REF!,#REF!,$B304,#REF!,AP$1)</f>
        <v>#REF!</v>
      </c>
      <c r="AQ304" s="24" t="e">
        <f>SUMIFS(#REF!,#REF!,$B304,#REF!,AQ$1)</f>
        <v>#REF!</v>
      </c>
      <c r="AR304" s="24" t="e">
        <f>SUMIFS(#REF!,#REF!,$B304,#REF!,AR$1)</f>
        <v>#REF!</v>
      </c>
      <c r="AS304" s="24" t="e">
        <f>SUMIFS(#REF!,#REF!,$B304,#REF!,AS$1)</f>
        <v>#REF!</v>
      </c>
      <c r="AT304" s="24" t="e">
        <f>SUMIFS(#REF!,#REF!,$B304,#REF!,AT$1)</f>
        <v>#REF!</v>
      </c>
      <c r="AU304" s="24" t="e">
        <f>SUMIFS(#REF!,#REF!,$B304,#REF!,AU$1)</f>
        <v>#REF!</v>
      </c>
      <c r="AV304" s="24" t="e">
        <f>SUMIFS(#REF!,#REF!,$B304,#REF!,AV$1)</f>
        <v>#REF!</v>
      </c>
      <c r="AW304" s="24" t="e">
        <f>SUMIFS(#REF!,#REF!,$B304,#REF!,AW$1)</f>
        <v>#REF!</v>
      </c>
      <c r="AX304" s="24" t="e">
        <f>SUMIFS(#REF!,#REF!,$B304,#REF!,AX$1)</f>
        <v>#REF!</v>
      </c>
      <c r="AY304" s="24" t="e">
        <f>SUMIFS(#REF!,#REF!,$B304,#REF!,AY$1)</f>
        <v>#REF!</v>
      </c>
      <c r="AZ304" s="24" t="e">
        <f>SUMIFS(#REF!,#REF!,$B304,#REF!,AZ$1)</f>
        <v>#REF!</v>
      </c>
      <c r="BA304" s="24" t="e">
        <f>SUMIFS(#REF!,#REF!,$B304,#REF!,BA$1)</f>
        <v>#REF!</v>
      </c>
      <c r="BB304" s="24" t="e">
        <f>SUMIFS(#REF!,#REF!,$B304,#REF!,BB$1)</f>
        <v>#REF!</v>
      </c>
      <c r="BC304" s="24" t="e">
        <f>SUMIFS(#REF!,#REF!,$B304,#REF!,BC$1)</f>
        <v>#REF!</v>
      </c>
      <c r="BD304" s="24" t="e">
        <f>SUMIFS(#REF!,#REF!,$B304,#REF!,BD$1)</f>
        <v>#REF!</v>
      </c>
      <c r="BE304" s="24" t="e">
        <f>SUMIFS(#REF!,#REF!,$B304,#REF!,BE$1)</f>
        <v>#REF!</v>
      </c>
      <c r="BF304" s="24" t="e">
        <f>SUMIFS(#REF!,#REF!,$B304,#REF!,BF$1)</f>
        <v>#REF!</v>
      </c>
      <c r="BG304" s="24" t="e">
        <f>SUMIFS(#REF!,#REF!,$B304,#REF!,BG$1)</f>
        <v>#REF!</v>
      </c>
      <c r="BH304" s="24" t="e">
        <f>SUMIFS(#REF!,#REF!,$B304,#REF!,BH$1)</f>
        <v>#REF!</v>
      </c>
      <c r="BI304" s="24" t="e">
        <f>SUMIFS(#REF!,#REF!,$B304,#REF!,BI$1)</f>
        <v>#REF!</v>
      </c>
      <c r="BJ304" s="24" t="e">
        <f>SUMIFS(#REF!,#REF!,$B304,#REF!,BJ$1)</f>
        <v>#REF!</v>
      </c>
      <c r="BK304" s="24" t="e">
        <f>SUMIFS(#REF!,#REF!,$B304,#REF!,BK$1)</f>
        <v>#REF!</v>
      </c>
      <c r="BL304" s="24" t="e">
        <f>SUMIFS(#REF!,#REF!,$B304,#REF!,BL$1)</f>
        <v>#REF!</v>
      </c>
      <c r="BM304" s="24" t="e">
        <f>SUMIFS(#REF!,#REF!,$B304,#REF!,BM$1)</f>
        <v>#REF!</v>
      </c>
      <c r="BN304" s="24" t="e">
        <f>SUMIFS(#REF!,#REF!,$B304,#REF!,BN$1)</f>
        <v>#REF!</v>
      </c>
      <c r="BO304" s="24" t="e">
        <f>SUMIFS(#REF!,#REF!,$B304,#REF!,BO$1)</f>
        <v>#REF!</v>
      </c>
      <c r="BP304" s="24" t="e">
        <f>SUMIFS(#REF!,#REF!,$B304,#REF!,BP$1)</f>
        <v>#REF!</v>
      </c>
      <c r="BQ304" s="24" t="e">
        <f>SUMIFS(#REF!,#REF!,$B304,#REF!,BQ$1)</f>
        <v>#REF!</v>
      </c>
      <c r="BR304" s="24" t="e">
        <f>SUMIFS(#REF!,#REF!,$B304,#REF!,BR$1)</f>
        <v>#REF!</v>
      </c>
      <c r="BS304" s="24" t="e">
        <f>SUMIFS(#REF!,#REF!,$B304,#REF!,BS$1)</f>
        <v>#REF!</v>
      </c>
      <c r="BT304" s="24" t="e">
        <f>SUMIFS(#REF!,#REF!,$B304,#REF!,BT$1)</f>
        <v>#REF!</v>
      </c>
      <c r="BU304" s="24" t="e">
        <f>SUMIFS(#REF!,#REF!,$B304,#REF!,BU$1)</f>
        <v>#REF!</v>
      </c>
      <c r="BV304" s="24" t="e">
        <f>SUMIFS(#REF!,#REF!,$B304,#REF!,BV$1)</f>
        <v>#REF!</v>
      </c>
      <c r="BW304" s="24" t="e">
        <f>SUMIFS(#REF!,#REF!,$B304,#REF!,BW$1)</f>
        <v>#REF!</v>
      </c>
      <c r="BX304" s="24" t="e">
        <f>SUMIFS(#REF!,#REF!,$B304,#REF!,BX$1)</f>
        <v>#REF!</v>
      </c>
      <c r="BY304" s="24" t="e">
        <f>SUMIFS(#REF!,#REF!,$B304,#REF!,BY$1)</f>
        <v>#REF!</v>
      </c>
      <c r="BZ304" s="24" t="e">
        <f>SUMIFS(#REF!,#REF!,$B304,#REF!,BZ$1)</f>
        <v>#REF!</v>
      </c>
      <c r="CA304" s="24" t="e">
        <f>SUMIFS(#REF!,#REF!,$B304,#REF!,CA$1)</f>
        <v>#REF!</v>
      </c>
      <c r="CB304" s="24" t="e">
        <f>SUMIFS(#REF!,#REF!,$B304,#REF!,CB$1)</f>
        <v>#REF!</v>
      </c>
      <c r="CC304" s="24" t="e">
        <f>SUMIFS(#REF!,#REF!,$B304,#REF!,CC$1)</f>
        <v>#REF!</v>
      </c>
      <c r="CD304" s="24" t="e">
        <f>SUMIFS(#REF!,#REF!,$B304,#REF!,CD$1)</f>
        <v>#REF!</v>
      </c>
      <c r="CE304" s="24" t="e">
        <f>SUMIFS(#REF!,#REF!,$B304,#REF!,CE$1)</f>
        <v>#REF!</v>
      </c>
      <c r="CF304" s="24" t="e">
        <f>SUMIFS(#REF!,#REF!,$B304,#REF!,CF$1)</f>
        <v>#REF!</v>
      </c>
      <c r="CG304" s="19" t="e">
        <f t="shared" si="4"/>
        <v>#REF!</v>
      </c>
    </row>
    <row r="305" spans="1:85" x14ac:dyDescent="0.45">
      <c r="A305" s="4" t="s">
        <v>1560</v>
      </c>
      <c r="B305" s="4" t="s">
        <v>1560</v>
      </c>
      <c r="C305" s="24" t="e">
        <f>SUMIFS(#REF!,#REF!,$B305,#REF!,C$1)</f>
        <v>#REF!</v>
      </c>
      <c r="D305" s="24" t="e">
        <f>SUMIFS(#REF!,#REF!,$B305,#REF!,D$1)</f>
        <v>#REF!</v>
      </c>
      <c r="E305" s="24" t="e">
        <f>SUMIFS(#REF!,#REF!,$B305,#REF!,E$1)</f>
        <v>#REF!</v>
      </c>
      <c r="F305" s="24" t="e">
        <f>SUMIFS(#REF!,#REF!,$B305,#REF!,F$1)</f>
        <v>#REF!</v>
      </c>
      <c r="G305" s="24" t="e">
        <f>SUMIFS(#REF!,#REF!,$B305,#REF!,G$1)</f>
        <v>#REF!</v>
      </c>
      <c r="H305" s="24" t="e">
        <f>SUMIFS(#REF!,#REF!,$B305,#REF!,H$1)</f>
        <v>#REF!</v>
      </c>
      <c r="I305" s="24" t="e">
        <f>SUMIFS(#REF!,#REF!,$B305,#REF!,I$1)</f>
        <v>#REF!</v>
      </c>
      <c r="J305" s="24" t="e">
        <f>SUMIFS(#REF!,#REF!,$B305,#REF!,J$1)</f>
        <v>#REF!</v>
      </c>
      <c r="K305" s="24" t="e">
        <f>SUMIFS(#REF!,#REF!,$B305,#REF!,K$1)</f>
        <v>#REF!</v>
      </c>
      <c r="L305" s="24" t="e">
        <f>SUMIFS(#REF!,#REF!,$B305,#REF!,L$1)</f>
        <v>#REF!</v>
      </c>
      <c r="M305" s="24" t="e">
        <f>SUMIFS(#REF!,#REF!,$B305,#REF!,M$1)</f>
        <v>#REF!</v>
      </c>
      <c r="N305" s="24" t="e">
        <f>SUMIFS(#REF!,#REF!,$B305,#REF!,N$1)</f>
        <v>#REF!</v>
      </c>
      <c r="O305" s="24" t="e">
        <f>SUMIFS(#REF!,#REF!,$B305,#REF!,O$1)</f>
        <v>#REF!</v>
      </c>
      <c r="P305" s="24" t="e">
        <f>SUMIFS(#REF!,#REF!,$B305,#REF!,P$1)</f>
        <v>#REF!</v>
      </c>
      <c r="Q305" s="24" t="e">
        <f>SUMIFS(#REF!,#REF!,$B305,#REF!,Q$1)</f>
        <v>#REF!</v>
      </c>
      <c r="R305" s="24" t="e">
        <f>SUMIFS(#REF!,#REF!,$B305,#REF!,R$1)</f>
        <v>#REF!</v>
      </c>
      <c r="S305" s="24" t="e">
        <f>SUMIFS(#REF!,#REF!,$B305,#REF!,S$1)</f>
        <v>#REF!</v>
      </c>
      <c r="T305" s="24" t="e">
        <f>SUMIFS(#REF!,#REF!,$B305,#REF!,T$1)</f>
        <v>#REF!</v>
      </c>
      <c r="U305" s="24" t="e">
        <f>SUMIFS(#REF!,#REF!,$B305,#REF!,U$1)</f>
        <v>#REF!</v>
      </c>
      <c r="V305" s="24" t="e">
        <f>SUMIFS(#REF!,#REF!,$B305,#REF!,V$1)</f>
        <v>#REF!</v>
      </c>
      <c r="W305" s="24" t="e">
        <f>SUMIFS(#REF!,#REF!,$B305,#REF!,W$1)</f>
        <v>#REF!</v>
      </c>
      <c r="X305" s="24" t="e">
        <f>SUMIFS(#REF!,#REF!,$B305,#REF!,X$1)</f>
        <v>#REF!</v>
      </c>
      <c r="Y305" s="24" t="e">
        <f>SUMIFS(#REF!,#REF!,$B305,#REF!,Y$1)</f>
        <v>#REF!</v>
      </c>
      <c r="Z305" s="24" t="e">
        <f>SUMIFS(#REF!,#REF!,$B305,#REF!,Z$1)</f>
        <v>#REF!</v>
      </c>
      <c r="AA305" s="24" t="e">
        <f>SUMIFS(#REF!,#REF!,$B305,#REF!,AA$1)</f>
        <v>#REF!</v>
      </c>
      <c r="AB305" s="24" t="e">
        <f>SUMIFS(#REF!,#REF!,$B305,#REF!,AB$1)</f>
        <v>#REF!</v>
      </c>
      <c r="AC305" s="24" t="e">
        <f>SUMIFS(#REF!,#REF!,$B305,#REF!,AC$1)</f>
        <v>#REF!</v>
      </c>
      <c r="AD305" s="24" t="e">
        <f>SUMIFS(#REF!,#REF!,$B305,#REF!,AD$1)</f>
        <v>#REF!</v>
      </c>
      <c r="AE305" s="24" t="e">
        <f>SUMIFS(#REF!,#REF!,$B305,#REF!,AE$1)</f>
        <v>#REF!</v>
      </c>
      <c r="AF305" s="24" t="e">
        <f>SUMIFS(#REF!,#REF!,$B305,#REF!,AF$1)</f>
        <v>#REF!</v>
      </c>
      <c r="AG305" s="24" t="e">
        <f>SUMIFS(#REF!,#REF!,$B305,#REF!,AG$1)</f>
        <v>#REF!</v>
      </c>
      <c r="AH305" s="24" t="e">
        <f>SUMIFS(#REF!,#REF!,$B305,#REF!,AH$1)</f>
        <v>#REF!</v>
      </c>
      <c r="AI305" s="24" t="e">
        <f>SUMIFS(#REF!,#REF!,$B305,#REF!,AI$1)</f>
        <v>#REF!</v>
      </c>
      <c r="AJ305" s="24" t="e">
        <f>SUMIFS(#REF!,#REF!,$B305,#REF!,AJ$1)</f>
        <v>#REF!</v>
      </c>
      <c r="AK305" s="24" t="e">
        <f>SUMIFS(#REF!,#REF!,$B305,#REF!,AK$1)</f>
        <v>#REF!</v>
      </c>
      <c r="AL305" s="24" t="e">
        <f>SUMIFS(#REF!,#REF!,$B305,#REF!,AL$1)</f>
        <v>#REF!</v>
      </c>
      <c r="AM305" s="24" t="e">
        <f>SUMIFS(#REF!,#REF!,$B305,#REF!,AM$1)</f>
        <v>#REF!</v>
      </c>
      <c r="AN305" s="24" t="e">
        <f>SUMIFS(#REF!,#REF!,$B305,#REF!,AN$1)</f>
        <v>#REF!</v>
      </c>
      <c r="AO305" s="24" t="e">
        <f>SUMIFS(#REF!,#REF!,$B305,#REF!,AO$1)</f>
        <v>#REF!</v>
      </c>
      <c r="AP305" s="24" t="e">
        <f>SUMIFS(#REF!,#REF!,$B305,#REF!,AP$1)</f>
        <v>#REF!</v>
      </c>
      <c r="AQ305" s="24" t="e">
        <f>SUMIFS(#REF!,#REF!,$B305,#REF!,AQ$1)</f>
        <v>#REF!</v>
      </c>
      <c r="AR305" s="24" t="e">
        <f>SUMIFS(#REF!,#REF!,$B305,#REF!,AR$1)</f>
        <v>#REF!</v>
      </c>
      <c r="AS305" s="24" t="e">
        <f>SUMIFS(#REF!,#REF!,$B305,#REF!,AS$1)</f>
        <v>#REF!</v>
      </c>
      <c r="AT305" s="24" t="e">
        <f>SUMIFS(#REF!,#REF!,$B305,#REF!,AT$1)</f>
        <v>#REF!</v>
      </c>
      <c r="AU305" s="24" t="e">
        <f>SUMIFS(#REF!,#REF!,$B305,#REF!,AU$1)</f>
        <v>#REF!</v>
      </c>
      <c r="AV305" s="24" t="e">
        <f>SUMIFS(#REF!,#REF!,$B305,#REF!,AV$1)</f>
        <v>#REF!</v>
      </c>
      <c r="AW305" s="24" t="e">
        <f>SUMIFS(#REF!,#REF!,$B305,#REF!,AW$1)</f>
        <v>#REF!</v>
      </c>
      <c r="AX305" s="24" t="e">
        <f>SUMIFS(#REF!,#REF!,$B305,#REF!,AX$1)</f>
        <v>#REF!</v>
      </c>
      <c r="AY305" s="24" t="e">
        <f>SUMIFS(#REF!,#REF!,$B305,#REF!,AY$1)</f>
        <v>#REF!</v>
      </c>
      <c r="AZ305" s="24" t="e">
        <f>SUMIFS(#REF!,#REF!,$B305,#REF!,AZ$1)</f>
        <v>#REF!</v>
      </c>
      <c r="BA305" s="24" t="e">
        <f>SUMIFS(#REF!,#REF!,$B305,#REF!,BA$1)</f>
        <v>#REF!</v>
      </c>
      <c r="BB305" s="24" t="e">
        <f>SUMIFS(#REF!,#REF!,$B305,#REF!,BB$1)</f>
        <v>#REF!</v>
      </c>
      <c r="BC305" s="24" t="e">
        <f>SUMIFS(#REF!,#REF!,$B305,#REF!,BC$1)</f>
        <v>#REF!</v>
      </c>
      <c r="BD305" s="24" t="e">
        <f>SUMIFS(#REF!,#REF!,$B305,#REF!,BD$1)</f>
        <v>#REF!</v>
      </c>
      <c r="BE305" s="24" t="e">
        <f>SUMIFS(#REF!,#REF!,$B305,#REF!,BE$1)</f>
        <v>#REF!</v>
      </c>
      <c r="BF305" s="24" t="e">
        <f>SUMIFS(#REF!,#REF!,$B305,#REF!,BF$1)</f>
        <v>#REF!</v>
      </c>
      <c r="BG305" s="24" t="e">
        <f>SUMIFS(#REF!,#REF!,$B305,#REF!,BG$1)</f>
        <v>#REF!</v>
      </c>
      <c r="BH305" s="24" t="e">
        <f>SUMIFS(#REF!,#REF!,$B305,#REF!,BH$1)</f>
        <v>#REF!</v>
      </c>
      <c r="BI305" s="24" t="e">
        <f>SUMIFS(#REF!,#REF!,$B305,#REF!,BI$1)</f>
        <v>#REF!</v>
      </c>
      <c r="BJ305" s="24" t="e">
        <f>SUMIFS(#REF!,#REF!,$B305,#REF!,BJ$1)</f>
        <v>#REF!</v>
      </c>
      <c r="BK305" s="24" t="e">
        <f>SUMIFS(#REF!,#REF!,$B305,#REF!,BK$1)</f>
        <v>#REF!</v>
      </c>
      <c r="BL305" s="24" t="e">
        <f>SUMIFS(#REF!,#REF!,$B305,#REF!,BL$1)</f>
        <v>#REF!</v>
      </c>
      <c r="BM305" s="24" t="e">
        <f>SUMIFS(#REF!,#REF!,$B305,#REF!,BM$1)</f>
        <v>#REF!</v>
      </c>
      <c r="BN305" s="24" t="e">
        <f>SUMIFS(#REF!,#REF!,$B305,#REF!,BN$1)</f>
        <v>#REF!</v>
      </c>
      <c r="BO305" s="24" t="e">
        <f>SUMIFS(#REF!,#REF!,$B305,#REF!,BO$1)</f>
        <v>#REF!</v>
      </c>
      <c r="BP305" s="24" t="e">
        <f>SUMIFS(#REF!,#REF!,$B305,#REF!,BP$1)</f>
        <v>#REF!</v>
      </c>
      <c r="BQ305" s="24" t="e">
        <f>SUMIFS(#REF!,#REF!,$B305,#REF!,BQ$1)</f>
        <v>#REF!</v>
      </c>
      <c r="BR305" s="24" t="e">
        <f>SUMIFS(#REF!,#REF!,$B305,#REF!,BR$1)</f>
        <v>#REF!</v>
      </c>
      <c r="BS305" s="24" t="e">
        <f>SUMIFS(#REF!,#REF!,$B305,#REF!,BS$1)</f>
        <v>#REF!</v>
      </c>
      <c r="BT305" s="24" t="e">
        <f>SUMIFS(#REF!,#REF!,$B305,#REF!,BT$1)</f>
        <v>#REF!</v>
      </c>
      <c r="BU305" s="24" t="e">
        <f>SUMIFS(#REF!,#REF!,$B305,#REF!,BU$1)</f>
        <v>#REF!</v>
      </c>
      <c r="BV305" s="24" t="e">
        <f>SUMIFS(#REF!,#REF!,$B305,#REF!,BV$1)</f>
        <v>#REF!</v>
      </c>
      <c r="BW305" s="24" t="e">
        <f>SUMIFS(#REF!,#REF!,$B305,#REF!,BW$1)</f>
        <v>#REF!</v>
      </c>
      <c r="BX305" s="24" t="e">
        <f>SUMIFS(#REF!,#REF!,$B305,#REF!,BX$1)</f>
        <v>#REF!</v>
      </c>
      <c r="BY305" s="24" t="e">
        <f>SUMIFS(#REF!,#REF!,$B305,#REF!,BY$1)</f>
        <v>#REF!</v>
      </c>
      <c r="BZ305" s="24" t="e">
        <f>SUMIFS(#REF!,#REF!,$B305,#REF!,BZ$1)</f>
        <v>#REF!</v>
      </c>
      <c r="CA305" s="24" t="e">
        <f>SUMIFS(#REF!,#REF!,$B305,#REF!,CA$1)</f>
        <v>#REF!</v>
      </c>
      <c r="CB305" s="24" t="e">
        <f>SUMIFS(#REF!,#REF!,$B305,#REF!,CB$1)</f>
        <v>#REF!</v>
      </c>
      <c r="CC305" s="24" t="e">
        <f>SUMIFS(#REF!,#REF!,$B305,#REF!,CC$1)</f>
        <v>#REF!</v>
      </c>
      <c r="CD305" s="24" t="e">
        <f>SUMIFS(#REF!,#REF!,$B305,#REF!,CD$1)</f>
        <v>#REF!</v>
      </c>
      <c r="CE305" s="24" t="e">
        <f>SUMIFS(#REF!,#REF!,$B305,#REF!,CE$1)</f>
        <v>#REF!</v>
      </c>
      <c r="CF305" s="24" t="e">
        <f>SUMIFS(#REF!,#REF!,$B305,#REF!,CF$1)</f>
        <v>#REF!</v>
      </c>
      <c r="CG305" s="19" t="e">
        <f t="shared" si="4"/>
        <v>#REF!</v>
      </c>
    </row>
    <row r="306" spans="1:85" x14ac:dyDescent="0.45">
      <c r="A306" s="4" t="s">
        <v>1561</v>
      </c>
      <c r="B306" s="4" t="s">
        <v>1561</v>
      </c>
      <c r="C306" s="24" t="e">
        <f>SUMIFS(#REF!,#REF!,$B306,#REF!,C$1)</f>
        <v>#REF!</v>
      </c>
      <c r="D306" s="24" t="e">
        <f>SUMIFS(#REF!,#REF!,$B306,#REF!,D$1)</f>
        <v>#REF!</v>
      </c>
      <c r="E306" s="24" t="e">
        <f>SUMIFS(#REF!,#REF!,$B306,#REF!,E$1)</f>
        <v>#REF!</v>
      </c>
      <c r="F306" s="24" t="e">
        <f>SUMIFS(#REF!,#REF!,$B306,#REF!,F$1)</f>
        <v>#REF!</v>
      </c>
      <c r="G306" s="24" t="e">
        <f>SUMIFS(#REF!,#REF!,$B306,#REF!,G$1)</f>
        <v>#REF!</v>
      </c>
      <c r="H306" s="24" t="e">
        <f>SUMIFS(#REF!,#REF!,$B306,#REF!,H$1)</f>
        <v>#REF!</v>
      </c>
      <c r="I306" s="24" t="e">
        <f>SUMIFS(#REF!,#REF!,$B306,#REF!,I$1)</f>
        <v>#REF!</v>
      </c>
      <c r="J306" s="24" t="e">
        <f>SUMIFS(#REF!,#REF!,$B306,#REF!,J$1)</f>
        <v>#REF!</v>
      </c>
      <c r="K306" s="24" t="e">
        <f>SUMIFS(#REF!,#REF!,$B306,#REF!,K$1)</f>
        <v>#REF!</v>
      </c>
      <c r="L306" s="24" t="e">
        <f>SUMIFS(#REF!,#REF!,$B306,#REF!,L$1)</f>
        <v>#REF!</v>
      </c>
      <c r="M306" s="24" t="e">
        <f>SUMIFS(#REF!,#REF!,$B306,#REF!,M$1)</f>
        <v>#REF!</v>
      </c>
      <c r="N306" s="24" t="e">
        <f>SUMIFS(#REF!,#REF!,$B306,#REF!,N$1)</f>
        <v>#REF!</v>
      </c>
      <c r="O306" s="24" t="e">
        <f>SUMIFS(#REF!,#REF!,$B306,#REF!,O$1)</f>
        <v>#REF!</v>
      </c>
      <c r="P306" s="24" t="e">
        <f>SUMIFS(#REF!,#REF!,$B306,#REF!,P$1)</f>
        <v>#REF!</v>
      </c>
      <c r="Q306" s="24" t="e">
        <f>SUMIFS(#REF!,#REF!,$B306,#REF!,Q$1)</f>
        <v>#REF!</v>
      </c>
      <c r="R306" s="24" t="e">
        <f>SUMIFS(#REF!,#REF!,$B306,#REF!,R$1)</f>
        <v>#REF!</v>
      </c>
      <c r="S306" s="24" t="e">
        <f>SUMIFS(#REF!,#REF!,$B306,#REF!,S$1)</f>
        <v>#REF!</v>
      </c>
      <c r="T306" s="24" t="e">
        <f>SUMIFS(#REF!,#REF!,$B306,#REF!,T$1)</f>
        <v>#REF!</v>
      </c>
      <c r="U306" s="24" t="e">
        <f>SUMIFS(#REF!,#REF!,$B306,#REF!,U$1)</f>
        <v>#REF!</v>
      </c>
      <c r="V306" s="24" t="e">
        <f>SUMIFS(#REF!,#REF!,$B306,#REF!,V$1)</f>
        <v>#REF!</v>
      </c>
      <c r="W306" s="24" t="e">
        <f>SUMIFS(#REF!,#REF!,$B306,#REF!,W$1)</f>
        <v>#REF!</v>
      </c>
      <c r="X306" s="24" t="e">
        <f>SUMIFS(#REF!,#REF!,$B306,#REF!,X$1)</f>
        <v>#REF!</v>
      </c>
      <c r="Y306" s="24" t="e">
        <f>SUMIFS(#REF!,#REF!,$B306,#REF!,Y$1)</f>
        <v>#REF!</v>
      </c>
      <c r="Z306" s="24" t="e">
        <f>SUMIFS(#REF!,#REF!,$B306,#REF!,Z$1)</f>
        <v>#REF!</v>
      </c>
      <c r="AA306" s="24" t="e">
        <f>SUMIFS(#REF!,#REF!,$B306,#REF!,AA$1)</f>
        <v>#REF!</v>
      </c>
      <c r="AB306" s="24" t="e">
        <f>SUMIFS(#REF!,#REF!,$B306,#REF!,AB$1)</f>
        <v>#REF!</v>
      </c>
      <c r="AC306" s="24" t="e">
        <f>SUMIFS(#REF!,#REF!,$B306,#REF!,AC$1)</f>
        <v>#REF!</v>
      </c>
      <c r="AD306" s="24" t="e">
        <f>SUMIFS(#REF!,#REF!,$B306,#REF!,AD$1)</f>
        <v>#REF!</v>
      </c>
      <c r="AE306" s="24" t="e">
        <f>SUMIFS(#REF!,#REF!,$B306,#REF!,AE$1)</f>
        <v>#REF!</v>
      </c>
      <c r="AF306" s="24" t="e">
        <f>SUMIFS(#REF!,#REF!,$B306,#REF!,AF$1)</f>
        <v>#REF!</v>
      </c>
      <c r="AG306" s="24" t="e">
        <f>SUMIFS(#REF!,#REF!,$B306,#REF!,AG$1)</f>
        <v>#REF!</v>
      </c>
      <c r="AH306" s="24" t="e">
        <f>SUMIFS(#REF!,#REF!,$B306,#REF!,AH$1)</f>
        <v>#REF!</v>
      </c>
      <c r="AI306" s="24" t="e">
        <f>SUMIFS(#REF!,#REF!,$B306,#REF!,AI$1)</f>
        <v>#REF!</v>
      </c>
      <c r="AJ306" s="24" t="e">
        <f>SUMIFS(#REF!,#REF!,$B306,#REF!,AJ$1)</f>
        <v>#REF!</v>
      </c>
      <c r="AK306" s="24" t="e">
        <f>SUMIFS(#REF!,#REF!,$B306,#REF!,AK$1)</f>
        <v>#REF!</v>
      </c>
      <c r="AL306" s="24" t="e">
        <f>SUMIFS(#REF!,#REF!,$B306,#REF!,AL$1)</f>
        <v>#REF!</v>
      </c>
      <c r="AM306" s="24" t="e">
        <f>SUMIFS(#REF!,#REF!,$B306,#REF!,AM$1)</f>
        <v>#REF!</v>
      </c>
      <c r="AN306" s="24" t="e">
        <f>SUMIFS(#REF!,#REF!,$B306,#REF!,AN$1)</f>
        <v>#REF!</v>
      </c>
      <c r="AO306" s="24" t="e">
        <f>SUMIFS(#REF!,#REF!,$B306,#REF!,AO$1)</f>
        <v>#REF!</v>
      </c>
      <c r="AP306" s="24" t="e">
        <f>SUMIFS(#REF!,#REF!,$B306,#REF!,AP$1)</f>
        <v>#REF!</v>
      </c>
      <c r="AQ306" s="24" t="e">
        <f>SUMIFS(#REF!,#REF!,$B306,#REF!,AQ$1)</f>
        <v>#REF!</v>
      </c>
      <c r="AR306" s="24" t="e">
        <f>SUMIFS(#REF!,#REF!,$B306,#REF!,AR$1)</f>
        <v>#REF!</v>
      </c>
      <c r="AS306" s="24" t="e">
        <f>SUMIFS(#REF!,#REF!,$B306,#REF!,AS$1)</f>
        <v>#REF!</v>
      </c>
      <c r="AT306" s="24" t="e">
        <f>SUMIFS(#REF!,#REF!,$B306,#REF!,AT$1)</f>
        <v>#REF!</v>
      </c>
      <c r="AU306" s="24" t="e">
        <f>SUMIFS(#REF!,#REF!,$B306,#REF!,AU$1)</f>
        <v>#REF!</v>
      </c>
      <c r="AV306" s="24" t="e">
        <f>SUMIFS(#REF!,#REF!,$B306,#REF!,AV$1)</f>
        <v>#REF!</v>
      </c>
      <c r="AW306" s="24" t="e">
        <f>SUMIFS(#REF!,#REF!,$B306,#REF!,AW$1)</f>
        <v>#REF!</v>
      </c>
      <c r="AX306" s="24" t="e">
        <f>SUMIFS(#REF!,#REF!,$B306,#REF!,AX$1)</f>
        <v>#REF!</v>
      </c>
      <c r="AY306" s="24" t="e">
        <f>SUMIFS(#REF!,#REF!,$B306,#REF!,AY$1)</f>
        <v>#REF!</v>
      </c>
      <c r="AZ306" s="24" t="e">
        <f>SUMIFS(#REF!,#REF!,$B306,#REF!,AZ$1)</f>
        <v>#REF!</v>
      </c>
      <c r="BA306" s="24" t="e">
        <f>SUMIFS(#REF!,#REF!,$B306,#REF!,BA$1)</f>
        <v>#REF!</v>
      </c>
      <c r="BB306" s="24" t="e">
        <f>SUMIFS(#REF!,#REF!,$B306,#REF!,BB$1)</f>
        <v>#REF!</v>
      </c>
      <c r="BC306" s="24" t="e">
        <f>SUMIFS(#REF!,#REF!,$B306,#REF!,BC$1)</f>
        <v>#REF!</v>
      </c>
      <c r="BD306" s="24" t="e">
        <f>SUMIFS(#REF!,#REF!,$B306,#REF!,BD$1)</f>
        <v>#REF!</v>
      </c>
      <c r="BE306" s="24" t="e">
        <f>SUMIFS(#REF!,#REF!,$B306,#REF!,BE$1)</f>
        <v>#REF!</v>
      </c>
      <c r="BF306" s="24" t="e">
        <f>SUMIFS(#REF!,#REF!,$B306,#REF!,BF$1)</f>
        <v>#REF!</v>
      </c>
      <c r="BG306" s="24" t="e">
        <f>SUMIFS(#REF!,#REF!,$B306,#REF!,BG$1)</f>
        <v>#REF!</v>
      </c>
      <c r="BH306" s="24" t="e">
        <f>SUMIFS(#REF!,#REF!,$B306,#REF!,BH$1)</f>
        <v>#REF!</v>
      </c>
      <c r="BI306" s="24" t="e">
        <f>SUMIFS(#REF!,#REF!,$B306,#REF!,BI$1)</f>
        <v>#REF!</v>
      </c>
      <c r="BJ306" s="24" t="e">
        <f>SUMIFS(#REF!,#REF!,$B306,#REF!,BJ$1)</f>
        <v>#REF!</v>
      </c>
      <c r="BK306" s="24" t="e">
        <f>SUMIFS(#REF!,#REF!,$B306,#REF!,BK$1)</f>
        <v>#REF!</v>
      </c>
      <c r="BL306" s="24" t="e">
        <f>SUMIFS(#REF!,#REF!,$B306,#REF!,BL$1)</f>
        <v>#REF!</v>
      </c>
      <c r="BM306" s="24" t="e">
        <f>SUMIFS(#REF!,#REF!,$B306,#REF!,BM$1)</f>
        <v>#REF!</v>
      </c>
      <c r="BN306" s="24" t="e">
        <f>SUMIFS(#REF!,#REF!,$B306,#REF!,BN$1)</f>
        <v>#REF!</v>
      </c>
      <c r="BO306" s="24" t="e">
        <f>SUMIFS(#REF!,#REF!,$B306,#REF!,BO$1)</f>
        <v>#REF!</v>
      </c>
      <c r="BP306" s="24" t="e">
        <f>SUMIFS(#REF!,#REF!,$B306,#REF!,BP$1)</f>
        <v>#REF!</v>
      </c>
      <c r="BQ306" s="24" t="e">
        <f>SUMIFS(#REF!,#REF!,$B306,#REF!,BQ$1)</f>
        <v>#REF!</v>
      </c>
      <c r="BR306" s="24" t="e">
        <f>SUMIFS(#REF!,#REF!,$B306,#REF!,BR$1)</f>
        <v>#REF!</v>
      </c>
      <c r="BS306" s="24" t="e">
        <f>SUMIFS(#REF!,#REF!,$B306,#REF!,BS$1)</f>
        <v>#REF!</v>
      </c>
      <c r="BT306" s="24" t="e">
        <f>SUMIFS(#REF!,#REF!,$B306,#REF!,BT$1)</f>
        <v>#REF!</v>
      </c>
      <c r="BU306" s="24" t="e">
        <f>SUMIFS(#REF!,#REF!,$B306,#REF!,BU$1)</f>
        <v>#REF!</v>
      </c>
      <c r="BV306" s="24" t="e">
        <f>SUMIFS(#REF!,#REF!,$B306,#REF!,BV$1)</f>
        <v>#REF!</v>
      </c>
      <c r="BW306" s="24" t="e">
        <f>SUMIFS(#REF!,#REF!,$B306,#REF!,BW$1)</f>
        <v>#REF!</v>
      </c>
      <c r="BX306" s="24" t="e">
        <f>SUMIFS(#REF!,#REF!,$B306,#REF!,BX$1)</f>
        <v>#REF!</v>
      </c>
      <c r="BY306" s="24" t="e">
        <f>SUMIFS(#REF!,#REF!,$B306,#REF!,BY$1)</f>
        <v>#REF!</v>
      </c>
      <c r="BZ306" s="24" t="e">
        <f>SUMIFS(#REF!,#REF!,$B306,#REF!,BZ$1)</f>
        <v>#REF!</v>
      </c>
      <c r="CA306" s="24" t="e">
        <f>SUMIFS(#REF!,#REF!,$B306,#REF!,CA$1)</f>
        <v>#REF!</v>
      </c>
      <c r="CB306" s="24" t="e">
        <f>SUMIFS(#REF!,#REF!,$B306,#REF!,CB$1)</f>
        <v>#REF!</v>
      </c>
      <c r="CC306" s="24" t="e">
        <f>SUMIFS(#REF!,#REF!,$B306,#REF!,CC$1)</f>
        <v>#REF!</v>
      </c>
      <c r="CD306" s="24" t="e">
        <f>SUMIFS(#REF!,#REF!,$B306,#REF!,CD$1)</f>
        <v>#REF!</v>
      </c>
      <c r="CE306" s="24" t="e">
        <f>SUMIFS(#REF!,#REF!,$B306,#REF!,CE$1)</f>
        <v>#REF!</v>
      </c>
      <c r="CF306" s="24" t="e">
        <f>SUMIFS(#REF!,#REF!,$B306,#REF!,CF$1)</f>
        <v>#REF!</v>
      </c>
      <c r="CG306" s="19" t="e">
        <f t="shared" si="4"/>
        <v>#REF!</v>
      </c>
    </row>
    <row r="307" spans="1:85" x14ac:dyDescent="0.45">
      <c r="A307" s="4" t="s">
        <v>1562</v>
      </c>
      <c r="B307" s="4" t="s">
        <v>1562</v>
      </c>
      <c r="C307" s="24" t="e">
        <f>SUMIFS(#REF!,#REF!,$B307,#REF!,C$1)</f>
        <v>#REF!</v>
      </c>
      <c r="D307" s="24" t="e">
        <f>SUMIFS(#REF!,#REF!,$B307,#REF!,D$1)</f>
        <v>#REF!</v>
      </c>
      <c r="E307" s="24" t="e">
        <f>SUMIFS(#REF!,#REF!,$B307,#REF!,E$1)</f>
        <v>#REF!</v>
      </c>
      <c r="F307" s="24" t="e">
        <f>SUMIFS(#REF!,#REF!,$B307,#REF!,F$1)</f>
        <v>#REF!</v>
      </c>
      <c r="G307" s="24" t="e">
        <f>SUMIFS(#REF!,#REF!,$B307,#REF!,G$1)</f>
        <v>#REF!</v>
      </c>
      <c r="H307" s="24" t="e">
        <f>SUMIFS(#REF!,#REF!,$B307,#REF!,H$1)</f>
        <v>#REF!</v>
      </c>
      <c r="I307" s="24" t="e">
        <f>SUMIFS(#REF!,#REF!,$B307,#REF!,I$1)</f>
        <v>#REF!</v>
      </c>
      <c r="J307" s="24" t="e">
        <f>SUMIFS(#REF!,#REF!,$B307,#REF!,J$1)</f>
        <v>#REF!</v>
      </c>
      <c r="K307" s="24" t="e">
        <f>SUMIFS(#REF!,#REF!,$B307,#REF!,K$1)</f>
        <v>#REF!</v>
      </c>
      <c r="L307" s="24" t="e">
        <f>SUMIFS(#REF!,#REF!,$B307,#REF!,L$1)</f>
        <v>#REF!</v>
      </c>
      <c r="M307" s="24" t="e">
        <f>SUMIFS(#REF!,#REF!,$B307,#REF!,M$1)</f>
        <v>#REF!</v>
      </c>
      <c r="N307" s="24" t="e">
        <f>SUMIFS(#REF!,#REF!,$B307,#REF!,N$1)</f>
        <v>#REF!</v>
      </c>
      <c r="O307" s="24" t="e">
        <f>SUMIFS(#REF!,#REF!,$B307,#REF!,O$1)</f>
        <v>#REF!</v>
      </c>
      <c r="P307" s="24" t="e">
        <f>SUMIFS(#REF!,#REF!,$B307,#REF!,P$1)</f>
        <v>#REF!</v>
      </c>
      <c r="Q307" s="24" t="e">
        <f>SUMIFS(#REF!,#REF!,$B307,#REF!,Q$1)</f>
        <v>#REF!</v>
      </c>
      <c r="R307" s="24" t="e">
        <f>SUMIFS(#REF!,#REF!,$B307,#REF!,R$1)</f>
        <v>#REF!</v>
      </c>
      <c r="S307" s="24" t="e">
        <f>SUMIFS(#REF!,#REF!,$B307,#REF!,S$1)</f>
        <v>#REF!</v>
      </c>
      <c r="T307" s="24" t="e">
        <f>SUMIFS(#REF!,#REF!,$B307,#REF!,T$1)</f>
        <v>#REF!</v>
      </c>
      <c r="U307" s="24" t="e">
        <f>SUMIFS(#REF!,#REF!,$B307,#REF!,U$1)</f>
        <v>#REF!</v>
      </c>
      <c r="V307" s="24" t="e">
        <f>SUMIFS(#REF!,#REF!,$B307,#REF!,V$1)</f>
        <v>#REF!</v>
      </c>
      <c r="W307" s="24" t="e">
        <f>SUMIFS(#REF!,#REF!,$B307,#REF!,W$1)</f>
        <v>#REF!</v>
      </c>
      <c r="X307" s="24" t="e">
        <f>SUMIFS(#REF!,#REF!,$B307,#REF!,X$1)</f>
        <v>#REF!</v>
      </c>
      <c r="Y307" s="24" t="e">
        <f>SUMIFS(#REF!,#REF!,$B307,#REF!,Y$1)</f>
        <v>#REF!</v>
      </c>
      <c r="Z307" s="24" t="e">
        <f>SUMIFS(#REF!,#REF!,$B307,#REF!,Z$1)</f>
        <v>#REF!</v>
      </c>
      <c r="AA307" s="24" t="e">
        <f>SUMIFS(#REF!,#REF!,$B307,#REF!,AA$1)</f>
        <v>#REF!</v>
      </c>
      <c r="AB307" s="24" t="e">
        <f>SUMIFS(#REF!,#REF!,$B307,#REF!,AB$1)</f>
        <v>#REF!</v>
      </c>
      <c r="AC307" s="24" t="e">
        <f>SUMIFS(#REF!,#REF!,$B307,#REF!,AC$1)</f>
        <v>#REF!</v>
      </c>
      <c r="AD307" s="24" t="e">
        <f>SUMIFS(#REF!,#REF!,$B307,#REF!,AD$1)</f>
        <v>#REF!</v>
      </c>
      <c r="AE307" s="24" t="e">
        <f>SUMIFS(#REF!,#REF!,$B307,#REF!,AE$1)</f>
        <v>#REF!</v>
      </c>
      <c r="AF307" s="24" t="e">
        <f>SUMIFS(#REF!,#REF!,$B307,#REF!,AF$1)</f>
        <v>#REF!</v>
      </c>
      <c r="AG307" s="24" t="e">
        <f>SUMIFS(#REF!,#REF!,$B307,#REF!,AG$1)</f>
        <v>#REF!</v>
      </c>
      <c r="AH307" s="24" t="e">
        <f>SUMIFS(#REF!,#REF!,$B307,#REF!,AH$1)</f>
        <v>#REF!</v>
      </c>
      <c r="AI307" s="24" t="e">
        <f>SUMIFS(#REF!,#REF!,$B307,#REF!,AI$1)</f>
        <v>#REF!</v>
      </c>
      <c r="AJ307" s="24" t="e">
        <f>SUMIFS(#REF!,#REF!,$B307,#REF!,AJ$1)</f>
        <v>#REF!</v>
      </c>
      <c r="AK307" s="24" t="e">
        <f>SUMIFS(#REF!,#REF!,$B307,#REF!,AK$1)</f>
        <v>#REF!</v>
      </c>
      <c r="AL307" s="24" t="e">
        <f>SUMIFS(#REF!,#REF!,$B307,#REF!,AL$1)</f>
        <v>#REF!</v>
      </c>
      <c r="AM307" s="24" t="e">
        <f>SUMIFS(#REF!,#REF!,$B307,#REF!,AM$1)</f>
        <v>#REF!</v>
      </c>
      <c r="AN307" s="24" t="e">
        <f>SUMIFS(#REF!,#REF!,$B307,#REF!,AN$1)</f>
        <v>#REF!</v>
      </c>
      <c r="AO307" s="24" t="e">
        <f>SUMIFS(#REF!,#REF!,$B307,#REF!,AO$1)</f>
        <v>#REF!</v>
      </c>
      <c r="AP307" s="24" t="e">
        <f>SUMIFS(#REF!,#REF!,$B307,#REF!,AP$1)</f>
        <v>#REF!</v>
      </c>
      <c r="AQ307" s="24" t="e">
        <f>SUMIFS(#REF!,#REF!,$B307,#REF!,AQ$1)</f>
        <v>#REF!</v>
      </c>
      <c r="AR307" s="24" t="e">
        <f>SUMIFS(#REF!,#REF!,$B307,#REF!,AR$1)</f>
        <v>#REF!</v>
      </c>
      <c r="AS307" s="24" t="e">
        <f>SUMIFS(#REF!,#REF!,$B307,#REF!,AS$1)</f>
        <v>#REF!</v>
      </c>
      <c r="AT307" s="24" t="e">
        <f>SUMIFS(#REF!,#REF!,$B307,#REF!,AT$1)</f>
        <v>#REF!</v>
      </c>
      <c r="AU307" s="24" t="e">
        <f>SUMIFS(#REF!,#REF!,$B307,#REF!,AU$1)</f>
        <v>#REF!</v>
      </c>
      <c r="AV307" s="24" t="e">
        <f>SUMIFS(#REF!,#REF!,$B307,#REF!,AV$1)</f>
        <v>#REF!</v>
      </c>
      <c r="AW307" s="24" t="e">
        <f>SUMIFS(#REF!,#REF!,$B307,#REF!,AW$1)</f>
        <v>#REF!</v>
      </c>
      <c r="AX307" s="24" t="e">
        <f>SUMIFS(#REF!,#REF!,$B307,#REF!,AX$1)</f>
        <v>#REF!</v>
      </c>
      <c r="AY307" s="24" t="e">
        <f>SUMIFS(#REF!,#REF!,$B307,#REF!,AY$1)</f>
        <v>#REF!</v>
      </c>
      <c r="AZ307" s="24" t="e">
        <f>SUMIFS(#REF!,#REF!,$B307,#REF!,AZ$1)</f>
        <v>#REF!</v>
      </c>
      <c r="BA307" s="24" t="e">
        <f>SUMIFS(#REF!,#REF!,$B307,#REF!,BA$1)</f>
        <v>#REF!</v>
      </c>
      <c r="BB307" s="24" t="e">
        <f>SUMIFS(#REF!,#REF!,$B307,#REF!,BB$1)</f>
        <v>#REF!</v>
      </c>
      <c r="BC307" s="24" t="e">
        <f>SUMIFS(#REF!,#REF!,$B307,#REF!,BC$1)</f>
        <v>#REF!</v>
      </c>
      <c r="BD307" s="24" t="e">
        <f>SUMIFS(#REF!,#REF!,$B307,#REF!,BD$1)</f>
        <v>#REF!</v>
      </c>
      <c r="BE307" s="24" t="e">
        <f>SUMIFS(#REF!,#REF!,$B307,#REF!,BE$1)</f>
        <v>#REF!</v>
      </c>
      <c r="BF307" s="24" t="e">
        <f>SUMIFS(#REF!,#REF!,$B307,#REF!,BF$1)</f>
        <v>#REF!</v>
      </c>
      <c r="BG307" s="24" t="e">
        <f>SUMIFS(#REF!,#REF!,$B307,#REF!,BG$1)</f>
        <v>#REF!</v>
      </c>
      <c r="BH307" s="24" t="e">
        <f>SUMIFS(#REF!,#REF!,$B307,#REF!,BH$1)</f>
        <v>#REF!</v>
      </c>
      <c r="BI307" s="24" t="e">
        <f>SUMIFS(#REF!,#REF!,$B307,#REF!,BI$1)</f>
        <v>#REF!</v>
      </c>
      <c r="BJ307" s="24" t="e">
        <f>SUMIFS(#REF!,#REF!,$B307,#REF!,BJ$1)</f>
        <v>#REF!</v>
      </c>
      <c r="BK307" s="24" t="e">
        <f>SUMIFS(#REF!,#REF!,$B307,#REF!,BK$1)</f>
        <v>#REF!</v>
      </c>
      <c r="BL307" s="24" t="e">
        <f>SUMIFS(#REF!,#REF!,$B307,#REF!,BL$1)</f>
        <v>#REF!</v>
      </c>
      <c r="BM307" s="24" t="e">
        <f>SUMIFS(#REF!,#REF!,$B307,#REF!,BM$1)</f>
        <v>#REF!</v>
      </c>
      <c r="BN307" s="24" t="e">
        <f>SUMIFS(#REF!,#REF!,$B307,#REF!,BN$1)</f>
        <v>#REF!</v>
      </c>
      <c r="BO307" s="24" t="e">
        <f>SUMIFS(#REF!,#REF!,$B307,#REF!,BO$1)</f>
        <v>#REF!</v>
      </c>
      <c r="BP307" s="24" t="e">
        <f>SUMIFS(#REF!,#REF!,$B307,#REF!,BP$1)</f>
        <v>#REF!</v>
      </c>
      <c r="BQ307" s="24" t="e">
        <f>SUMIFS(#REF!,#REF!,$B307,#REF!,BQ$1)</f>
        <v>#REF!</v>
      </c>
      <c r="BR307" s="24" t="e">
        <f>SUMIFS(#REF!,#REF!,$B307,#REF!,BR$1)</f>
        <v>#REF!</v>
      </c>
      <c r="BS307" s="24" t="e">
        <f>SUMIFS(#REF!,#REF!,$B307,#REF!,BS$1)</f>
        <v>#REF!</v>
      </c>
      <c r="BT307" s="24" t="e">
        <f>SUMIFS(#REF!,#REF!,$B307,#REF!,BT$1)</f>
        <v>#REF!</v>
      </c>
      <c r="BU307" s="24" t="e">
        <f>SUMIFS(#REF!,#REF!,$B307,#REF!,BU$1)</f>
        <v>#REF!</v>
      </c>
      <c r="BV307" s="24" t="e">
        <f>SUMIFS(#REF!,#REF!,$B307,#REF!,BV$1)</f>
        <v>#REF!</v>
      </c>
      <c r="BW307" s="24" t="e">
        <f>SUMIFS(#REF!,#REF!,$B307,#REF!,BW$1)</f>
        <v>#REF!</v>
      </c>
      <c r="BX307" s="24" t="e">
        <f>SUMIFS(#REF!,#REF!,$B307,#REF!,BX$1)</f>
        <v>#REF!</v>
      </c>
      <c r="BY307" s="24" t="e">
        <f>SUMIFS(#REF!,#REF!,$B307,#REF!,BY$1)</f>
        <v>#REF!</v>
      </c>
      <c r="BZ307" s="24" t="e">
        <f>SUMIFS(#REF!,#REF!,$B307,#REF!,BZ$1)</f>
        <v>#REF!</v>
      </c>
      <c r="CA307" s="24" t="e">
        <f>SUMIFS(#REF!,#REF!,$B307,#REF!,CA$1)</f>
        <v>#REF!</v>
      </c>
      <c r="CB307" s="24" t="e">
        <f>SUMIFS(#REF!,#REF!,$B307,#REF!,CB$1)</f>
        <v>#REF!</v>
      </c>
      <c r="CC307" s="24" t="e">
        <f>SUMIFS(#REF!,#REF!,$B307,#REF!,CC$1)</f>
        <v>#REF!</v>
      </c>
      <c r="CD307" s="24" t="e">
        <f>SUMIFS(#REF!,#REF!,$B307,#REF!,CD$1)</f>
        <v>#REF!</v>
      </c>
      <c r="CE307" s="24" t="e">
        <f>SUMIFS(#REF!,#REF!,$B307,#REF!,CE$1)</f>
        <v>#REF!</v>
      </c>
      <c r="CF307" s="24" t="e">
        <f>SUMIFS(#REF!,#REF!,$B307,#REF!,CF$1)</f>
        <v>#REF!</v>
      </c>
      <c r="CG307" s="19" t="e">
        <f t="shared" si="4"/>
        <v>#REF!</v>
      </c>
    </row>
    <row r="308" spans="1:85" x14ac:dyDescent="0.45">
      <c r="A308" s="4" t="s">
        <v>1563</v>
      </c>
      <c r="B308" s="4" t="s">
        <v>1563</v>
      </c>
      <c r="C308" s="24" t="e">
        <f>SUMIFS(#REF!,#REF!,$B308,#REF!,C$1)</f>
        <v>#REF!</v>
      </c>
      <c r="D308" s="24" t="e">
        <f>SUMIFS(#REF!,#REF!,$B308,#REF!,D$1)</f>
        <v>#REF!</v>
      </c>
      <c r="E308" s="24" t="e">
        <f>SUMIFS(#REF!,#REF!,$B308,#REF!,E$1)</f>
        <v>#REF!</v>
      </c>
      <c r="F308" s="24" t="e">
        <f>SUMIFS(#REF!,#REF!,$B308,#REF!,F$1)</f>
        <v>#REF!</v>
      </c>
      <c r="G308" s="24" t="e">
        <f>SUMIFS(#REF!,#REF!,$B308,#REF!,G$1)</f>
        <v>#REF!</v>
      </c>
      <c r="H308" s="24" t="e">
        <f>SUMIFS(#REF!,#REF!,$B308,#REF!,H$1)</f>
        <v>#REF!</v>
      </c>
      <c r="I308" s="24" t="e">
        <f>SUMIFS(#REF!,#REF!,$B308,#REF!,I$1)</f>
        <v>#REF!</v>
      </c>
      <c r="J308" s="24" t="e">
        <f>SUMIFS(#REF!,#REF!,$B308,#REF!,J$1)</f>
        <v>#REF!</v>
      </c>
      <c r="K308" s="24" t="e">
        <f>SUMIFS(#REF!,#REF!,$B308,#REF!,K$1)</f>
        <v>#REF!</v>
      </c>
      <c r="L308" s="24" t="e">
        <f>SUMIFS(#REF!,#REF!,$B308,#REF!,L$1)</f>
        <v>#REF!</v>
      </c>
      <c r="M308" s="24" t="e">
        <f>SUMIFS(#REF!,#REF!,$B308,#REF!,M$1)</f>
        <v>#REF!</v>
      </c>
      <c r="N308" s="24" t="e">
        <f>SUMIFS(#REF!,#REF!,$B308,#REF!,N$1)</f>
        <v>#REF!</v>
      </c>
      <c r="O308" s="24" t="e">
        <f>SUMIFS(#REF!,#REF!,$B308,#REF!,O$1)</f>
        <v>#REF!</v>
      </c>
      <c r="P308" s="24" t="e">
        <f>SUMIFS(#REF!,#REF!,$B308,#REF!,P$1)</f>
        <v>#REF!</v>
      </c>
      <c r="Q308" s="24" t="e">
        <f>SUMIFS(#REF!,#REF!,$B308,#REF!,Q$1)</f>
        <v>#REF!</v>
      </c>
      <c r="R308" s="24" t="e">
        <f>SUMIFS(#REF!,#REF!,$B308,#REF!,R$1)</f>
        <v>#REF!</v>
      </c>
      <c r="S308" s="24" t="e">
        <f>SUMIFS(#REF!,#REF!,$B308,#REF!,S$1)</f>
        <v>#REF!</v>
      </c>
      <c r="T308" s="24" t="e">
        <f>SUMIFS(#REF!,#REF!,$B308,#REF!,T$1)</f>
        <v>#REF!</v>
      </c>
      <c r="U308" s="24" t="e">
        <f>SUMIFS(#REF!,#REF!,$B308,#REF!,U$1)</f>
        <v>#REF!</v>
      </c>
      <c r="V308" s="24" t="e">
        <f>SUMIFS(#REF!,#REF!,$B308,#REF!,V$1)</f>
        <v>#REF!</v>
      </c>
      <c r="W308" s="24" t="e">
        <f>SUMIFS(#REF!,#REF!,$B308,#REF!,W$1)</f>
        <v>#REF!</v>
      </c>
      <c r="X308" s="24" t="e">
        <f>SUMIFS(#REF!,#REF!,$B308,#REF!,X$1)</f>
        <v>#REF!</v>
      </c>
      <c r="Y308" s="24" t="e">
        <f>SUMIFS(#REF!,#REF!,$B308,#REF!,Y$1)</f>
        <v>#REF!</v>
      </c>
      <c r="Z308" s="24" t="e">
        <f>SUMIFS(#REF!,#REF!,$B308,#REF!,Z$1)</f>
        <v>#REF!</v>
      </c>
      <c r="AA308" s="24" t="e">
        <f>SUMIFS(#REF!,#REF!,$B308,#REF!,AA$1)</f>
        <v>#REF!</v>
      </c>
      <c r="AB308" s="24" t="e">
        <f>SUMIFS(#REF!,#REF!,$B308,#REF!,AB$1)</f>
        <v>#REF!</v>
      </c>
      <c r="AC308" s="24" t="e">
        <f>SUMIFS(#REF!,#REF!,$B308,#REF!,AC$1)</f>
        <v>#REF!</v>
      </c>
      <c r="AD308" s="24" t="e">
        <f>SUMIFS(#REF!,#REF!,$B308,#REF!,AD$1)</f>
        <v>#REF!</v>
      </c>
      <c r="AE308" s="24" t="e">
        <f>SUMIFS(#REF!,#REF!,$B308,#REF!,AE$1)</f>
        <v>#REF!</v>
      </c>
      <c r="AF308" s="24" t="e">
        <f>SUMIFS(#REF!,#REF!,$B308,#REF!,AF$1)</f>
        <v>#REF!</v>
      </c>
      <c r="AG308" s="24" t="e">
        <f>SUMIFS(#REF!,#REF!,$B308,#REF!,AG$1)</f>
        <v>#REF!</v>
      </c>
      <c r="AH308" s="24" t="e">
        <f>SUMIFS(#REF!,#REF!,$B308,#REF!,AH$1)</f>
        <v>#REF!</v>
      </c>
      <c r="AI308" s="24" t="e">
        <f>SUMIFS(#REF!,#REF!,$B308,#REF!,AI$1)</f>
        <v>#REF!</v>
      </c>
      <c r="AJ308" s="24" t="e">
        <f>SUMIFS(#REF!,#REF!,$B308,#REF!,AJ$1)</f>
        <v>#REF!</v>
      </c>
      <c r="AK308" s="24" t="e">
        <f>SUMIFS(#REF!,#REF!,$B308,#REF!,AK$1)</f>
        <v>#REF!</v>
      </c>
      <c r="AL308" s="24" t="e">
        <f>SUMIFS(#REF!,#REF!,$B308,#REF!,AL$1)</f>
        <v>#REF!</v>
      </c>
      <c r="AM308" s="24" t="e">
        <f>SUMIFS(#REF!,#REF!,$B308,#REF!,AM$1)</f>
        <v>#REF!</v>
      </c>
      <c r="AN308" s="24" t="e">
        <f>SUMIFS(#REF!,#REF!,$B308,#REF!,AN$1)</f>
        <v>#REF!</v>
      </c>
      <c r="AO308" s="24" t="e">
        <f>SUMIFS(#REF!,#REF!,$B308,#REF!,AO$1)</f>
        <v>#REF!</v>
      </c>
      <c r="AP308" s="24" t="e">
        <f>SUMIFS(#REF!,#REF!,$B308,#REF!,AP$1)</f>
        <v>#REF!</v>
      </c>
      <c r="AQ308" s="24" t="e">
        <f>SUMIFS(#REF!,#REF!,$B308,#REF!,AQ$1)</f>
        <v>#REF!</v>
      </c>
      <c r="AR308" s="24" t="e">
        <f>SUMIFS(#REF!,#REF!,$B308,#REF!,AR$1)</f>
        <v>#REF!</v>
      </c>
      <c r="AS308" s="24" t="e">
        <f>SUMIFS(#REF!,#REF!,$B308,#REF!,AS$1)</f>
        <v>#REF!</v>
      </c>
      <c r="AT308" s="24" t="e">
        <f>SUMIFS(#REF!,#REF!,$B308,#REF!,AT$1)</f>
        <v>#REF!</v>
      </c>
      <c r="AU308" s="24" t="e">
        <f>SUMIFS(#REF!,#REF!,$B308,#REF!,AU$1)</f>
        <v>#REF!</v>
      </c>
      <c r="AV308" s="24" t="e">
        <f>SUMIFS(#REF!,#REF!,$B308,#REF!,AV$1)</f>
        <v>#REF!</v>
      </c>
      <c r="AW308" s="24" t="e">
        <f>SUMIFS(#REF!,#REF!,$B308,#REF!,AW$1)</f>
        <v>#REF!</v>
      </c>
      <c r="AX308" s="24" t="e">
        <f>SUMIFS(#REF!,#REF!,$B308,#REF!,AX$1)</f>
        <v>#REF!</v>
      </c>
      <c r="AY308" s="24" t="e">
        <f>SUMIFS(#REF!,#REF!,$B308,#REF!,AY$1)</f>
        <v>#REF!</v>
      </c>
      <c r="AZ308" s="24" t="e">
        <f>SUMIFS(#REF!,#REF!,$B308,#REF!,AZ$1)</f>
        <v>#REF!</v>
      </c>
      <c r="BA308" s="24" t="e">
        <f>SUMIFS(#REF!,#REF!,$B308,#REF!,BA$1)</f>
        <v>#REF!</v>
      </c>
      <c r="BB308" s="24" t="e">
        <f>SUMIFS(#REF!,#REF!,$B308,#REF!,BB$1)</f>
        <v>#REF!</v>
      </c>
      <c r="BC308" s="24" t="e">
        <f>SUMIFS(#REF!,#REF!,$B308,#REF!,BC$1)</f>
        <v>#REF!</v>
      </c>
      <c r="BD308" s="24" t="e">
        <f>SUMIFS(#REF!,#REF!,$B308,#REF!,BD$1)</f>
        <v>#REF!</v>
      </c>
      <c r="BE308" s="24" t="e">
        <f>SUMIFS(#REF!,#REF!,$B308,#REF!,BE$1)</f>
        <v>#REF!</v>
      </c>
      <c r="BF308" s="24" t="e">
        <f>SUMIFS(#REF!,#REF!,$B308,#REF!,BF$1)</f>
        <v>#REF!</v>
      </c>
      <c r="BG308" s="24" t="e">
        <f>SUMIFS(#REF!,#REF!,$B308,#REF!,BG$1)</f>
        <v>#REF!</v>
      </c>
      <c r="BH308" s="24" t="e">
        <f>SUMIFS(#REF!,#REF!,$B308,#REF!,BH$1)</f>
        <v>#REF!</v>
      </c>
      <c r="BI308" s="24" t="e">
        <f>SUMIFS(#REF!,#REF!,$B308,#REF!,BI$1)</f>
        <v>#REF!</v>
      </c>
      <c r="BJ308" s="24" t="e">
        <f>SUMIFS(#REF!,#REF!,$B308,#REF!,BJ$1)</f>
        <v>#REF!</v>
      </c>
      <c r="BK308" s="24" t="e">
        <f>SUMIFS(#REF!,#REF!,$B308,#REF!,BK$1)</f>
        <v>#REF!</v>
      </c>
      <c r="BL308" s="24" t="e">
        <f>SUMIFS(#REF!,#REF!,$B308,#REF!,BL$1)</f>
        <v>#REF!</v>
      </c>
      <c r="BM308" s="24" t="e">
        <f>SUMIFS(#REF!,#REF!,$B308,#REF!,BM$1)</f>
        <v>#REF!</v>
      </c>
      <c r="BN308" s="24" t="e">
        <f>SUMIFS(#REF!,#REF!,$B308,#REF!,BN$1)</f>
        <v>#REF!</v>
      </c>
      <c r="BO308" s="24" t="e">
        <f>SUMIFS(#REF!,#REF!,$B308,#REF!,BO$1)</f>
        <v>#REF!</v>
      </c>
      <c r="BP308" s="24" t="e">
        <f>SUMIFS(#REF!,#REF!,$B308,#REF!,BP$1)</f>
        <v>#REF!</v>
      </c>
      <c r="BQ308" s="24" t="e">
        <f>SUMIFS(#REF!,#REF!,$B308,#REF!,BQ$1)</f>
        <v>#REF!</v>
      </c>
      <c r="BR308" s="24" t="e">
        <f>SUMIFS(#REF!,#REF!,$B308,#REF!,BR$1)</f>
        <v>#REF!</v>
      </c>
      <c r="BS308" s="24" t="e">
        <f>SUMIFS(#REF!,#REF!,$B308,#REF!,BS$1)</f>
        <v>#REF!</v>
      </c>
      <c r="BT308" s="24" t="e">
        <f>SUMIFS(#REF!,#REF!,$B308,#REF!,BT$1)</f>
        <v>#REF!</v>
      </c>
      <c r="BU308" s="24" t="e">
        <f>SUMIFS(#REF!,#REF!,$B308,#REF!,BU$1)</f>
        <v>#REF!</v>
      </c>
      <c r="BV308" s="24" t="e">
        <f>SUMIFS(#REF!,#REF!,$B308,#REF!,BV$1)</f>
        <v>#REF!</v>
      </c>
      <c r="BW308" s="24" t="e">
        <f>SUMIFS(#REF!,#REF!,$B308,#REF!,BW$1)</f>
        <v>#REF!</v>
      </c>
      <c r="BX308" s="24" t="e">
        <f>SUMIFS(#REF!,#REF!,$B308,#REF!,BX$1)</f>
        <v>#REF!</v>
      </c>
      <c r="BY308" s="24" t="e">
        <f>SUMIFS(#REF!,#REF!,$B308,#REF!,BY$1)</f>
        <v>#REF!</v>
      </c>
      <c r="BZ308" s="24" t="e">
        <f>SUMIFS(#REF!,#REF!,$B308,#REF!,BZ$1)</f>
        <v>#REF!</v>
      </c>
      <c r="CA308" s="24" t="e">
        <f>SUMIFS(#REF!,#REF!,$B308,#REF!,CA$1)</f>
        <v>#REF!</v>
      </c>
      <c r="CB308" s="24" t="e">
        <f>SUMIFS(#REF!,#REF!,$B308,#REF!,CB$1)</f>
        <v>#REF!</v>
      </c>
      <c r="CC308" s="24" t="e">
        <f>SUMIFS(#REF!,#REF!,$B308,#REF!,CC$1)</f>
        <v>#REF!</v>
      </c>
      <c r="CD308" s="24" t="e">
        <f>SUMIFS(#REF!,#REF!,$B308,#REF!,CD$1)</f>
        <v>#REF!</v>
      </c>
      <c r="CE308" s="24" t="e">
        <f>SUMIFS(#REF!,#REF!,$B308,#REF!,CE$1)</f>
        <v>#REF!</v>
      </c>
      <c r="CF308" s="24" t="e">
        <f>SUMIFS(#REF!,#REF!,$B308,#REF!,CF$1)</f>
        <v>#REF!</v>
      </c>
      <c r="CG308" s="19" t="e">
        <f t="shared" si="4"/>
        <v>#REF!</v>
      </c>
    </row>
    <row r="309" spans="1:85" x14ac:dyDescent="0.45">
      <c r="A309" s="4" t="s">
        <v>1564</v>
      </c>
      <c r="B309" s="4" t="s">
        <v>1564</v>
      </c>
      <c r="C309" s="24" t="e">
        <f>SUMIFS(#REF!,#REF!,$B309,#REF!,C$1)</f>
        <v>#REF!</v>
      </c>
      <c r="D309" s="24" t="e">
        <f>SUMIFS(#REF!,#REF!,$B309,#REF!,D$1)</f>
        <v>#REF!</v>
      </c>
      <c r="E309" s="24" t="e">
        <f>SUMIFS(#REF!,#REF!,$B309,#REF!,E$1)</f>
        <v>#REF!</v>
      </c>
      <c r="F309" s="24" t="e">
        <f>SUMIFS(#REF!,#REF!,$B309,#REF!,F$1)</f>
        <v>#REF!</v>
      </c>
      <c r="G309" s="24" t="e">
        <f>SUMIFS(#REF!,#REF!,$B309,#REF!,G$1)</f>
        <v>#REF!</v>
      </c>
      <c r="H309" s="24" t="e">
        <f>SUMIFS(#REF!,#REF!,$B309,#REF!,H$1)</f>
        <v>#REF!</v>
      </c>
      <c r="I309" s="24" t="e">
        <f>SUMIFS(#REF!,#REF!,$B309,#REF!,I$1)</f>
        <v>#REF!</v>
      </c>
      <c r="J309" s="24" t="e">
        <f>SUMIFS(#REF!,#REF!,$B309,#REF!,J$1)</f>
        <v>#REF!</v>
      </c>
      <c r="K309" s="24" t="e">
        <f>SUMIFS(#REF!,#REF!,$B309,#REF!,K$1)</f>
        <v>#REF!</v>
      </c>
      <c r="L309" s="24" t="e">
        <f>SUMIFS(#REF!,#REF!,$B309,#REF!,L$1)</f>
        <v>#REF!</v>
      </c>
      <c r="M309" s="24" t="e">
        <f>SUMIFS(#REF!,#REF!,$B309,#REF!,M$1)</f>
        <v>#REF!</v>
      </c>
      <c r="N309" s="24" t="e">
        <f>SUMIFS(#REF!,#REF!,$B309,#REF!,N$1)</f>
        <v>#REF!</v>
      </c>
      <c r="O309" s="24" t="e">
        <f>SUMIFS(#REF!,#REF!,$B309,#REF!,O$1)</f>
        <v>#REF!</v>
      </c>
      <c r="P309" s="24" t="e">
        <f>SUMIFS(#REF!,#REF!,$B309,#REF!,P$1)</f>
        <v>#REF!</v>
      </c>
      <c r="Q309" s="24" t="e">
        <f>SUMIFS(#REF!,#REF!,$B309,#REF!,Q$1)</f>
        <v>#REF!</v>
      </c>
      <c r="R309" s="24" t="e">
        <f>SUMIFS(#REF!,#REF!,$B309,#REF!,R$1)</f>
        <v>#REF!</v>
      </c>
      <c r="S309" s="24" t="e">
        <f>SUMIFS(#REF!,#REF!,$B309,#REF!,S$1)</f>
        <v>#REF!</v>
      </c>
      <c r="T309" s="24" t="e">
        <f>SUMIFS(#REF!,#REF!,$B309,#REF!,T$1)</f>
        <v>#REF!</v>
      </c>
      <c r="U309" s="24" t="e">
        <f>SUMIFS(#REF!,#REF!,$B309,#REF!,U$1)</f>
        <v>#REF!</v>
      </c>
      <c r="V309" s="24" t="e">
        <f>SUMIFS(#REF!,#REF!,$B309,#REF!,V$1)</f>
        <v>#REF!</v>
      </c>
      <c r="W309" s="24" t="e">
        <f>SUMIFS(#REF!,#REF!,$B309,#REF!,W$1)</f>
        <v>#REF!</v>
      </c>
      <c r="X309" s="24" t="e">
        <f>SUMIFS(#REF!,#REF!,$B309,#REF!,X$1)</f>
        <v>#REF!</v>
      </c>
      <c r="Y309" s="24" t="e">
        <f>SUMIFS(#REF!,#REF!,$B309,#REF!,Y$1)</f>
        <v>#REF!</v>
      </c>
      <c r="Z309" s="24" t="e">
        <f>SUMIFS(#REF!,#REF!,$B309,#REF!,Z$1)</f>
        <v>#REF!</v>
      </c>
      <c r="AA309" s="24" t="e">
        <f>SUMIFS(#REF!,#REF!,$B309,#REF!,AA$1)</f>
        <v>#REF!</v>
      </c>
      <c r="AB309" s="24" t="e">
        <f>SUMIFS(#REF!,#REF!,$B309,#REF!,AB$1)</f>
        <v>#REF!</v>
      </c>
      <c r="AC309" s="24" t="e">
        <f>SUMIFS(#REF!,#REF!,$B309,#REF!,AC$1)</f>
        <v>#REF!</v>
      </c>
      <c r="AD309" s="24" t="e">
        <f>SUMIFS(#REF!,#REF!,$B309,#REF!,AD$1)</f>
        <v>#REF!</v>
      </c>
      <c r="AE309" s="24" t="e">
        <f>SUMIFS(#REF!,#REF!,$B309,#REF!,AE$1)</f>
        <v>#REF!</v>
      </c>
      <c r="AF309" s="24" t="e">
        <f>SUMIFS(#REF!,#REF!,$B309,#REF!,AF$1)</f>
        <v>#REF!</v>
      </c>
      <c r="AG309" s="24" t="e">
        <f>SUMIFS(#REF!,#REF!,$B309,#REF!,AG$1)</f>
        <v>#REF!</v>
      </c>
      <c r="AH309" s="24" t="e">
        <f>SUMIFS(#REF!,#REF!,$B309,#REF!,AH$1)</f>
        <v>#REF!</v>
      </c>
      <c r="AI309" s="24" t="e">
        <f>SUMIFS(#REF!,#REF!,$B309,#REF!,AI$1)</f>
        <v>#REF!</v>
      </c>
      <c r="AJ309" s="24" t="e">
        <f>SUMIFS(#REF!,#REF!,$B309,#REF!,AJ$1)</f>
        <v>#REF!</v>
      </c>
      <c r="AK309" s="24" t="e">
        <f>SUMIFS(#REF!,#REF!,$B309,#REF!,AK$1)</f>
        <v>#REF!</v>
      </c>
      <c r="AL309" s="24" t="e">
        <f>SUMIFS(#REF!,#REF!,$B309,#REF!,AL$1)</f>
        <v>#REF!</v>
      </c>
      <c r="AM309" s="24" t="e">
        <f>SUMIFS(#REF!,#REF!,$B309,#REF!,AM$1)</f>
        <v>#REF!</v>
      </c>
      <c r="AN309" s="24" t="e">
        <f>SUMIFS(#REF!,#REF!,$B309,#REF!,AN$1)</f>
        <v>#REF!</v>
      </c>
      <c r="AO309" s="24" t="e">
        <f>SUMIFS(#REF!,#REF!,$B309,#REF!,AO$1)</f>
        <v>#REF!</v>
      </c>
      <c r="AP309" s="24" t="e">
        <f>SUMIFS(#REF!,#REF!,$B309,#REF!,AP$1)</f>
        <v>#REF!</v>
      </c>
      <c r="AQ309" s="24" t="e">
        <f>SUMIFS(#REF!,#REF!,$B309,#REF!,AQ$1)</f>
        <v>#REF!</v>
      </c>
      <c r="AR309" s="24" t="e">
        <f>SUMIFS(#REF!,#REF!,$B309,#REF!,AR$1)</f>
        <v>#REF!</v>
      </c>
      <c r="AS309" s="24" t="e">
        <f>SUMIFS(#REF!,#REF!,$B309,#REF!,AS$1)</f>
        <v>#REF!</v>
      </c>
      <c r="AT309" s="24" t="e">
        <f>SUMIFS(#REF!,#REF!,$B309,#REF!,AT$1)</f>
        <v>#REF!</v>
      </c>
      <c r="AU309" s="24" t="e">
        <f>SUMIFS(#REF!,#REF!,$B309,#REF!,AU$1)</f>
        <v>#REF!</v>
      </c>
      <c r="AV309" s="24" t="e">
        <f>SUMIFS(#REF!,#REF!,$B309,#REF!,AV$1)</f>
        <v>#REF!</v>
      </c>
      <c r="AW309" s="24" t="e">
        <f>SUMIFS(#REF!,#REF!,$B309,#REF!,AW$1)</f>
        <v>#REF!</v>
      </c>
      <c r="AX309" s="24" t="e">
        <f>SUMIFS(#REF!,#REF!,$B309,#REF!,AX$1)</f>
        <v>#REF!</v>
      </c>
      <c r="AY309" s="24" t="e">
        <f>SUMIFS(#REF!,#REF!,$B309,#REF!,AY$1)</f>
        <v>#REF!</v>
      </c>
      <c r="AZ309" s="24" t="e">
        <f>SUMIFS(#REF!,#REF!,$B309,#REF!,AZ$1)</f>
        <v>#REF!</v>
      </c>
      <c r="BA309" s="24" t="e">
        <f>SUMIFS(#REF!,#REF!,$B309,#REF!,BA$1)</f>
        <v>#REF!</v>
      </c>
      <c r="BB309" s="24" t="e">
        <f>SUMIFS(#REF!,#REF!,$B309,#REF!,BB$1)</f>
        <v>#REF!</v>
      </c>
      <c r="BC309" s="24" t="e">
        <f>SUMIFS(#REF!,#REF!,$B309,#REF!,BC$1)</f>
        <v>#REF!</v>
      </c>
      <c r="BD309" s="24" t="e">
        <f>SUMIFS(#REF!,#REF!,$B309,#REF!,BD$1)</f>
        <v>#REF!</v>
      </c>
      <c r="BE309" s="24" t="e">
        <f>SUMIFS(#REF!,#REF!,$B309,#REF!,BE$1)</f>
        <v>#REF!</v>
      </c>
      <c r="BF309" s="24" t="e">
        <f>SUMIFS(#REF!,#REF!,$B309,#REF!,BF$1)</f>
        <v>#REF!</v>
      </c>
      <c r="BG309" s="24" t="e">
        <f>SUMIFS(#REF!,#REF!,$B309,#REF!,BG$1)</f>
        <v>#REF!</v>
      </c>
      <c r="BH309" s="24" t="e">
        <f>SUMIFS(#REF!,#REF!,$B309,#REF!,BH$1)</f>
        <v>#REF!</v>
      </c>
      <c r="BI309" s="24" t="e">
        <f>SUMIFS(#REF!,#REF!,$B309,#REF!,BI$1)</f>
        <v>#REF!</v>
      </c>
      <c r="BJ309" s="24" t="e">
        <f>SUMIFS(#REF!,#REF!,$B309,#REF!,BJ$1)</f>
        <v>#REF!</v>
      </c>
      <c r="BK309" s="24" t="e">
        <f>SUMIFS(#REF!,#REF!,$B309,#REF!,BK$1)</f>
        <v>#REF!</v>
      </c>
      <c r="BL309" s="24" t="e">
        <f>SUMIFS(#REF!,#REF!,$B309,#REF!,BL$1)</f>
        <v>#REF!</v>
      </c>
      <c r="BM309" s="24" t="e">
        <f>SUMIFS(#REF!,#REF!,$B309,#REF!,BM$1)</f>
        <v>#REF!</v>
      </c>
      <c r="BN309" s="24" t="e">
        <f>SUMIFS(#REF!,#REF!,$B309,#REF!,BN$1)</f>
        <v>#REF!</v>
      </c>
      <c r="BO309" s="24" t="e">
        <f>SUMIFS(#REF!,#REF!,$B309,#REF!,BO$1)</f>
        <v>#REF!</v>
      </c>
      <c r="BP309" s="24" t="e">
        <f>SUMIFS(#REF!,#REF!,$B309,#REF!,BP$1)</f>
        <v>#REF!</v>
      </c>
      <c r="BQ309" s="24" t="e">
        <f>SUMIFS(#REF!,#REF!,$B309,#REF!,BQ$1)</f>
        <v>#REF!</v>
      </c>
      <c r="BR309" s="24" t="e">
        <f>SUMIFS(#REF!,#REF!,$B309,#REF!,BR$1)</f>
        <v>#REF!</v>
      </c>
      <c r="BS309" s="24" t="e">
        <f>SUMIFS(#REF!,#REF!,$B309,#REF!,BS$1)</f>
        <v>#REF!</v>
      </c>
      <c r="BT309" s="24" t="e">
        <f>SUMIFS(#REF!,#REF!,$B309,#REF!,BT$1)</f>
        <v>#REF!</v>
      </c>
      <c r="BU309" s="24" t="e">
        <f>SUMIFS(#REF!,#REF!,$B309,#REF!,BU$1)</f>
        <v>#REF!</v>
      </c>
      <c r="BV309" s="24" t="e">
        <f>SUMIFS(#REF!,#REF!,$B309,#REF!,BV$1)</f>
        <v>#REF!</v>
      </c>
      <c r="BW309" s="24" t="e">
        <f>SUMIFS(#REF!,#REF!,$B309,#REF!,BW$1)</f>
        <v>#REF!</v>
      </c>
      <c r="BX309" s="24" t="e">
        <f>SUMIFS(#REF!,#REF!,$B309,#REF!,BX$1)</f>
        <v>#REF!</v>
      </c>
      <c r="BY309" s="24" t="e">
        <f>SUMIFS(#REF!,#REF!,$B309,#REF!,BY$1)</f>
        <v>#REF!</v>
      </c>
      <c r="BZ309" s="24" t="e">
        <f>SUMIFS(#REF!,#REF!,$B309,#REF!,BZ$1)</f>
        <v>#REF!</v>
      </c>
      <c r="CA309" s="24" t="e">
        <f>SUMIFS(#REF!,#REF!,$B309,#REF!,CA$1)</f>
        <v>#REF!</v>
      </c>
      <c r="CB309" s="24" t="e">
        <f>SUMIFS(#REF!,#REF!,$B309,#REF!,CB$1)</f>
        <v>#REF!</v>
      </c>
      <c r="CC309" s="24" t="e">
        <f>SUMIFS(#REF!,#REF!,$B309,#REF!,CC$1)</f>
        <v>#REF!</v>
      </c>
      <c r="CD309" s="24" t="e">
        <f>SUMIFS(#REF!,#REF!,$B309,#REF!,CD$1)</f>
        <v>#REF!</v>
      </c>
      <c r="CE309" s="24" t="e">
        <f>SUMIFS(#REF!,#REF!,$B309,#REF!,CE$1)</f>
        <v>#REF!</v>
      </c>
      <c r="CF309" s="24" t="e">
        <f>SUMIFS(#REF!,#REF!,$B309,#REF!,CF$1)</f>
        <v>#REF!</v>
      </c>
      <c r="CG309" s="19" t="e">
        <f t="shared" si="4"/>
        <v>#REF!</v>
      </c>
    </row>
    <row r="310" spans="1:85" x14ac:dyDescent="0.45">
      <c r="A310" s="4" t="s">
        <v>1565</v>
      </c>
      <c r="B310" s="4" t="s">
        <v>1565</v>
      </c>
      <c r="C310" s="24" t="e">
        <f>SUMIFS(#REF!,#REF!,$B310,#REF!,C$1)</f>
        <v>#REF!</v>
      </c>
      <c r="D310" s="24" t="e">
        <f>SUMIFS(#REF!,#REF!,$B310,#REF!,D$1)</f>
        <v>#REF!</v>
      </c>
      <c r="E310" s="24" t="e">
        <f>SUMIFS(#REF!,#REF!,$B310,#REF!,E$1)</f>
        <v>#REF!</v>
      </c>
      <c r="F310" s="24" t="e">
        <f>SUMIFS(#REF!,#REF!,$B310,#REF!,F$1)</f>
        <v>#REF!</v>
      </c>
      <c r="G310" s="24" t="e">
        <f>SUMIFS(#REF!,#REF!,$B310,#REF!,G$1)</f>
        <v>#REF!</v>
      </c>
      <c r="H310" s="24" t="e">
        <f>SUMIFS(#REF!,#REF!,$B310,#REF!,H$1)</f>
        <v>#REF!</v>
      </c>
      <c r="I310" s="24" t="e">
        <f>SUMIFS(#REF!,#REF!,$B310,#REF!,I$1)</f>
        <v>#REF!</v>
      </c>
      <c r="J310" s="24" t="e">
        <f>SUMIFS(#REF!,#REF!,$B310,#REF!,J$1)</f>
        <v>#REF!</v>
      </c>
      <c r="K310" s="24" t="e">
        <f>SUMIFS(#REF!,#REF!,$B310,#REF!,K$1)</f>
        <v>#REF!</v>
      </c>
      <c r="L310" s="24" t="e">
        <f>SUMIFS(#REF!,#REF!,$B310,#REF!,L$1)</f>
        <v>#REF!</v>
      </c>
      <c r="M310" s="24" t="e">
        <f>SUMIFS(#REF!,#REF!,$B310,#REF!,M$1)</f>
        <v>#REF!</v>
      </c>
      <c r="N310" s="24" t="e">
        <f>SUMIFS(#REF!,#REF!,$B310,#REF!,N$1)</f>
        <v>#REF!</v>
      </c>
      <c r="O310" s="24" t="e">
        <f>SUMIFS(#REF!,#REF!,$B310,#REF!,O$1)</f>
        <v>#REF!</v>
      </c>
      <c r="P310" s="24" t="e">
        <f>SUMIFS(#REF!,#REF!,$B310,#REF!,P$1)</f>
        <v>#REF!</v>
      </c>
      <c r="Q310" s="24" t="e">
        <f>SUMIFS(#REF!,#REF!,$B310,#REF!,Q$1)</f>
        <v>#REF!</v>
      </c>
      <c r="R310" s="24" t="e">
        <f>SUMIFS(#REF!,#REF!,$B310,#REF!,R$1)</f>
        <v>#REF!</v>
      </c>
      <c r="S310" s="24" t="e">
        <f>SUMIFS(#REF!,#REF!,$B310,#REF!,S$1)</f>
        <v>#REF!</v>
      </c>
      <c r="T310" s="24" t="e">
        <f>SUMIFS(#REF!,#REF!,$B310,#REF!,T$1)</f>
        <v>#REF!</v>
      </c>
      <c r="U310" s="24" t="e">
        <f>SUMIFS(#REF!,#REF!,$B310,#REF!,U$1)</f>
        <v>#REF!</v>
      </c>
      <c r="V310" s="24" t="e">
        <f>SUMIFS(#REF!,#REF!,$B310,#REF!,V$1)</f>
        <v>#REF!</v>
      </c>
      <c r="W310" s="24" t="e">
        <f>SUMIFS(#REF!,#REF!,$B310,#REF!,W$1)</f>
        <v>#REF!</v>
      </c>
      <c r="X310" s="24" t="e">
        <f>SUMIFS(#REF!,#REF!,$B310,#REF!,X$1)</f>
        <v>#REF!</v>
      </c>
      <c r="Y310" s="24" t="e">
        <f>SUMIFS(#REF!,#REF!,$B310,#REF!,Y$1)</f>
        <v>#REF!</v>
      </c>
      <c r="Z310" s="24" t="e">
        <f>SUMIFS(#REF!,#REF!,$B310,#REF!,Z$1)</f>
        <v>#REF!</v>
      </c>
      <c r="AA310" s="24" t="e">
        <f>SUMIFS(#REF!,#REF!,$B310,#REF!,AA$1)</f>
        <v>#REF!</v>
      </c>
      <c r="AB310" s="24" t="e">
        <f>SUMIFS(#REF!,#REF!,$B310,#REF!,AB$1)</f>
        <v>#REF!</v>
      </c>
      <c r="AC310" s="24" t="e">
        <f>SUMIFS(#REF!,#REF!,$B310,#REF!,AC$1)</f>
        <v>#REF!</v>
      </c>
      <c r="AD310" s="24" t="e">
        <f>SUMIFS(#REF!,#REF!,$B310,#REF!,AD$1)</f>
        <v>#REF!</v>
      </c>
      <c r="AE310" s="24" t="e">
        <f>SUMIFS(#REF!,#REF!,$B310,#REF!,AE$1)</f>
        <v>#REF!</v>
      </c>
      <c r="AF310" s="24" t="e">
        <f>SUMIFS(#REF!,#REF!,$B310,#REF!,AF$1)</f>
        <v>#REF!</v>
      </c>
      <c r="AG310" s="24" t="e">
        <f>SUMIFS(#REF!,#REF!,$B310,#REF!,AG$1)</f>
        <v>#REF!</v>
      </c>
      <c r="AH310" s="24" t="e">
        <f>SUMIFS(#REF!,#REF!,$B310,#REF!,AH$1)</f>
        <v>#REF!</v>
      </c>
      <c r="AI310" s="24" t="e">
        <f>SUMIFS(#REF!,#REF!,$B310,#REF!,AI$1)</f>
        <v>#REF!</v>
      </c>
      <c r="AJ310" s="24" t="e">
        <f>SUMIFS(#REF!,#REF!,$B310,#REF!,AJ$1)</f>
        <v>#REF!</v>
      </c>
      <c r="AK310" s="24" t="e">
        <f>SUMIFS(#REF!,#REF!,$B310,#REF!,AK$1)</f>
        <v>#REF!</v>
      </c>
      <c r="AL310" s="24" t="e">
        <f>SUMIFS(#REF!,#REF!,$B310,#REF!,AL$1)</f>
        <v>#REF!</v>
      </c>
      <c r="AM310" s="24" t="e">
        <f>SUMIFS(#REF!,#REF!,$B310,#REF!,AM$1)</f>
        <v>#REF!</v>
      </c>
      <c r="AN310" s="24" t="e">
        <f>SUMIFS(#REF!,#REF!,$B310,#REF!,AN$1)</f>
        <v>#REF!</v>
      </c>
      <c r="AO310" s="24" t="e">
        <f>SUMIFS(#REF!,#REF!,$B310,#REF!,AO$1)</f>
        <v>#REF!</v>
      </c>
      <c r="AP310" s="24" t="e">
        <f>SUMIFS(#REF!,#REF!,$B310,#REF!,AP$1)</f>
        <v>#REF!</v>
      </c>
      <c r="AQ310" s="24" t="e">
        <f>SUMIFS(#REF!,#REF!,$B310,#REF!,AQ$1)</f>
        <v>#REF!</v>
      </c>
      <c r="AR310" s="24" t="e">
        <f>SUMIFS(#REF!,#REF!,$B310,#REF!,AR$1)</f>
        <v>#REF!</v>
      </c>
      <c r="AS310" s="24" t="e">
        <f>SUMIFS(#REF!,#REF!,$B310,#REF!,AS$1)</f>
        <v>#REF!</v>
      </c>
      <c r="AT310" s="24" t="e">
        <f>SUMIFS(#REF!,#REF!,$B310,#REF!,AT$1)</f>
        <v>#REF!</v>
      </c>
      <c r="AU310" s="24" t="e">
        <f>SUMIFS(#REF!,#REF!,$B310,#REF!,AU$1)</f>
        <v>#REF!</v>
      </c>
      <c r="AV310" s="24" t="e">
        <f>SUMIFS(#REF!,#REF!,$B310,#REF!,AV$1)</f>
        <v>#REF!</v>
      </c>
      <c r="AW310" s="24" t="e">
        <f>SUMIFS(#REF!,#REF!,$B310,#REF!,AW$1)</f>
        <v>#REF!</v>
      </c>
      <c r="AX310" s="24" t="e">
        <f>SUMIFS(#REF!,#REF!,$B310,#REF!,AX$1)</f>
        <v>#REF!</v>
      </c>
      <c r="AY310" s="24" t="e">
        <f>SUMIFS(#REF!,#REF!,$B310,#REF!,AY$1)</f>
        <v>#REF!</v>
      </c>
      <c r="AZ310" s="24" t="e">
        <f>SUMIFS(#REF!,#REF!,$B310,#REF!,AZ$1)</f>
        <v>#REF!</v>
      </c>
      <c r="BA310" s="24" t="e">
        <f>SUMIFS(#REF!,#REF!,$B310,#REF!,BA$1)</f>
        <v>#REF!</v>
      </c>
      <c r="BB310" s="24" t="e">
        <f>SUMIFS(#REF!,#REF!,$B310,#REF!,BB$1)</f>
        <v>#REF!</v>
      </c>
      <c r="BC310" s="24" t="e">
        <f>SUMIFS(#REF!,#REF!,$B310,#REF!,BC$1)</f>
        <v>#REF!</v>
      </c>
      <c r="BD310" s="24" t="e">
        <f>SUMIFS(#REF!,#REF!,$B310,#REF!,BD$1)</f>
        <v>#REF!</v>
      </c>
      <c r="BE310" s="24" t="e">
        <f>SUMIFS(#REF!,#REF!,$B310,#REF!,BE$1)</f>
        <v>#REF!</v>
      </c>
      <c r="BF310" s="24" t="e">
        <f>SUMIFS(#REF!,#REF!,$B310,#REF!,BF$1)</f>
        <v>#REF!</v>
      </c>
      <c r="BG310" s="24" t="e">
        <f>SUMIFS(#REF!,#REF!,$B310,#REF!,BG$1)</f>
        <v>#REF!</v>
      </c>
      <c r="BH310" s="24" t="e">
        <f>SUMIFS(#REF!,#REF!,$B310,#REF!,BH$1)</f>
        <v>#REF!</v>
      </c>
      <c r="BI310" s="24" t="e">
        <f>SUMIFS(#REF!,#REF!,$B310,#REF!,BI$1)</f>
        <v>#REF!</v>
      </c>
      <c r="BJ310" s="24" t="e">
        <f>SUMIFS(#REF!,#REF!,$B310,#REF!,BJ$1)</f>
        <v>#REF!</v>
      </c>
      <c r="BK310" s="24" t="e">
        <f>SUMIFS(#REF!,#REF!,$B310,#REF!,BK$1)</f>
        <v>#REF!</v>
      </c>
      <c r="BL310" s="24" t="e">
        <f>SUMIFS(#REF!,#REF!,$B310,#REF!,BL$1)</f>
        <v>#REF!</v>
      </c>
      <c r="BM310" s="24" t="e">
        <f>SUMIFS(#REF!,#REF!,$B310,#REF!,BM$1)</f>
        <v>#REF!</v>
      </c>
      <c r="BN310" s="24" t="e">
        <f>SUMIFS(#REF!,#REF!,$B310,#REF!,BN$1)</f>
        <v>#REF!</v>
      </c>
      <c r="BO310" s="24" t="e">
        <f>SUMIFS(#REF!,#REF!,$B310,#REF!,BO$1)</f>
        <v>#REF!</v>
      </c>
      <c r="BP310" s="24" t="e">
        <f>SUMIFS(#REF!,#REF!,$B310,#REF!,BP$1)</f>
        <v>#REF!</v>
      </c>
      <c r="BQ310" s="24" t="e">
        <f>SUMIFS(#REF!,#REF!,$B310,#REF!,BQ$1)</f>
        <v>#REF!</v>
      </c>
      <c r="BR310" s="24" t="e">
        <f>SUMIFS(#REF!,#REF!,$B310,#REF!,BR$1)</f>
        <v>#REF!</v>
      </c>
      <c r="BS310" s="24" t="e">
        <f>SUMIFS(#REF!,#REF!,$B310,#REF!,BS$1)</f>
        <v>#REF!</v>
      </c>
      <c r="BT310" s="24" t="e">
        <f>SUMIFS(#REF!,#REF!,$B310,#REF!,BT$1)</f>
        <v>#REF!</v>
      </c>
      <c r="BU310" s="24" t="e">
        <f>SUMIFS(#REF!,#REF!,$B310,#REF!,BU$1)</f>
        <v>#REF!</v>
      </c>
      <c r="BV310" s="24" t="e">
        <f>SUMIFS(#REF!,#REF!,$B310,#REF!,BV$1)</f>
        <v>#REF!</v>
      </c>
      <c r="BW310" s="24" t="e">
        <f>SUMIFS(#REF!,#REF!,$B310,#REF!,BW$1)</f>
        <v>#REF!</v>
      </c>
      <c r="BX310" s="24" t="e">
        <f>SUMIFS(#REF!,#REF!,$B310,#REF!,BX$1)</f>
        <v>#REF!</v>
      </c>
      <c r="BY310" s="24" t="e">
        <f>SUMIFS(#REF!,#REF!,$B310,#REF!,BY$1)</f>
        <v>#REF!</v>
      </c>
      <c r="BZ310" s="24" t="e">
        <f>SUMIFS(#REF!,#REF!,$B310,#REF!,BZ$1)</f>
        <v>#REF!</v>
      </c>
      <c r="CA310" s="24" t="e">
        <f>SUMIFS(#REF!,#REF!,$B310,#REF!,CA$1)</f>
        <v>#REF!</v>
      </c>
      <c r="CB310" s="24" t="e">
        <f>SUMIFS(#REF!,#REF!,$B310,#REF!,CB$1)</f>
        <v>#REF!</v>
      </c>
      <c r="CC310" s="24" t="e">
        <f>SUMIFS(#REF!,#REF!,$B310,#REF!,CC$1)</f>
        <v>#REF!</v>
      </c>
      <c r="CD310" s="24" t="e">
        <f>SUMIFS(#REF!,#REF!,$B310,#REF!,CD$1)</f>
        <v>#REF!</v>
      </c>
      <c r="CE310" s="24" t="e">
        <f>SUMIFS(#REF!,#REF!,$B310,#REF!,CE$1)</f>
        <v>#REF!</v>
      </c>
      <c r="CF310" s="24" t="e">
        <f>SUMIFS(#REF!,#REF!,$B310,#REF!,CF$1)</f>
        <v>#REF!</v>
      </c>
      <c r="CG310" s="19" t="e">
        <f t="shared" si="4"/>
        <v>#REF!</v>
      </c>
    </row>
    <row r="311" spans="1:85" x14ac:dyDescent="0.45">
      <c r="A311" s="4" t="s">
        <v>1566</v>
      </c>
      <c r="B311" s="4" t="s">
        <v>1567</v>
      </c>
      <c r="C311" s="24" t="e">
        <f>SUMIFS(#REF!,#REF!,$B311,#REF!,C$1)</f>
        <v>#REF!</v>
      </c>
      <c r="D311" s="24" t="e">
        <f>SUMIFS(#REF!,#REF!,$B311,#REF!,D$1)</f>
        <v>#REF!</v>
      </c>
      <c r="E311" s="24" t="e">
        <f>SUMIFS(#REF!,#REF!,$B311,#REF!,E$1)</f>
        <v>#REF!</v>
      </c>
      <c r="F311" s="24" t="e">
        <f>SUMIFS(#REF!,#REF!,$B311,#REF!,F$1)</f>
        <v>#REF!</v>
      </c>
      <c r="G311" s="24" t="e">
        <f>SUMIFS(#REF!,#REF!,$B311,#REF!,G$1)</f>
        <v>#REF!</v>
      </c>
      <c r="H311" s="24" t="e">
        <f>SUMIFS(#REF!,#REF!,$B311,#REF!,H$1)</f>
        <v>#REF!</v>
      </c>
      <c r="I311" s="24" t="e">
        <f>SUMIFS(#REF!,#REF!,$B311,#REF!,I$1)</f>
        <v>#REF!</v>
      </c>
      <c r="J311" s="24" t="e">
        <f>SUMIFS(#REF!,#REF!,$B311,#REF!,J$1)</f>
        <v>#REF!</v>
      </c>
      <c r="K311" s="24" t="e">
        <f>SUMIFS(#REF!,#REF!,$B311,#REF!,K$1)</f>
        <v>#REF!</v>
      </c>
      <c r="L311" s="24" t="e">
        <f>SUMIFS(#REF!,#REF!,$B311,#REF!,L$1)</f>
        <v>#REF!</v>
      </c>
      <c r="M311" s="24" t="e">
        <f>SUMIFS(#REF!,#REF!,$B311,#REF!,M$1)</f>
        <v>#REF!</v>
      </c>
      <c r="N311" s="24" t="e">
        <f>SUMIFS(#REF!,#REF!,$B311,#REF!,N$1)</f>
        <v>#REF!</v>
      </c>
      <c r="O311" s="24" t="e">
        <f>SUMIFS(#REF!,#REF!,$B311,#REF!,O$1)</f>
        <v>#REF!</v>
      </c>
      <c r="P311" s="24" t="e">
        <f>SUMIFS(#REF!,#REF!,$B311,#REF!,P$1)</f>
        <v>#REF!</v>
      </c>
      <c r="Q311" s="24" t="e">
        <f>SUMIFS(#REF!,#REF!,$B311,#REF!,Q$1)</f>
        <v>#REF!</v>
      </c>
      <c r="R311" s="24" t="e">
        <f>SUMIFS(#REF!,#REF!,$B311,#REF!,R$1)</f>
        <v>#REF!</v>
      </c>
      <c r="S311" s="24" t="e">
        <f>SUMIFS(#REF!,#REF!,$B311,#REF!,S$1)</f>
        <v>#REF!</v>
      </c>
      <c r="T311" s="24" t="e">
        <f>SUMIFS(#REF!,#REF!,$B311,#REF!,T$1)</f>
        <v>#REF!</v>
      </c>
      <c r="U311" s="24" t="e">
        <f>SUMIFS(#REF!,#REF!,$B311,#REF!,U$1)</f>
        <v>#REF!</v>
      </c>
      <c r="V311" s="24" t="e">
        <f>SUMIFS(#REF!,#REF!,$B311,#REF!,V$1)</f>
        <v>#REF!</v>
      </c>
      <c r="W311" s="24" t="e">
        <f>SUMIFS(#REF!,#REF!,$B311,#REF!,W$1)</f>
        <v>#REF!</v>
      </c>
      <c r="X311" s="24" t="e">
        <f>SUMIFS(#REF!,#REF!,$B311,#REF!,X$1)</f>
        <v>#REF!</v>
      </c>
      <c r="Y311" s="24" t="e">
        <f>SUMIFS(#REF!,#REF!,$B311,#REF!,Y$1)</f>
        <v>#REF!</v>
      </c>
      <c r="Z311" s="24" t="e">
        <f>SUMIFS(#REF!,#REF!,$B311,#REF!,Z$1)</f>
        <v>#REF!</v>
      </c>
      <c r="AA311" s="24" t="e">
        <f>SUMIFS(#REF!,#REF!,$B311,#REF!,AA$1)</f>
        <v>#REF!</v>
      </c>
      <c r="AB311" s="24" t="e">
        <f>SUMIFS(#REF!,#REF!,$B311,#REF!,AB$1)</f>
        <v>#REF!</v>
      </c>
      <c r="AC311" s="24" t="e">
        <f>SUMIFS(#REF!,#REF!,$B311,#REF!,AC$1)</f>
        <v>#REF!</v>
      </c>
      <c r="AD311" s="24" t="e">
        <f>SUMIFS(#REF!,#REF!,$B311,#REF!,AD$1)</f>
        <v>#REF!</v>
      </c>
      <c r="AE311" s="24" t="e">
        <f>SUMIFS(#REF!,#REF!,$B311,#REF!,AE$1)</f>
        <v>#REF!</v>
      </c>
      <c r="AF311" s="24" t="e">
        <f>SUMIFS(#REF!,#REF!,$B311,#REF!,AF$1)</f>
        <v>#REF!</v>
      </c>
      <c r="AG311" s="24" t="e">
        <f>SUMIFS(#REF!,#REF!,$B311,#REF!,AG$1)</f>
        <v>#REF!</v>
      </c>
      <c r="AH311" s="24" t="e">
        <f>SUMIFS(#REF!,#REF!,$B311,#REF!,AH$1)</f>
        <v>#REF!</v>
      </c>
      <c r="AI311" s="24" t="e">
        <f>SUMIFS(#REF!,#REF!,$B311,#REF!,AI$1)</f>
        <v>#REF!</v>
      </c>
      <c r="AJ311" s="24" t="e">
        <f>SUMIFS(#REF!,#REF!,$B311,#REF!,AJ$1)</f>
        <v>#REF!</v>
      </c>
      <c r="AK311" s="24" t="e">
        <f>SUMIFS(#REF!,#REF!,$B311,#REF!,AK$1)</f>
        <v>#REF!</v>
      </c>
      <c r="AL311" s="24" t="e">
        <f>SUMIFS(#REF!,#REF!,$B311,#REF!,AL$1)</f>
        <v>#REF!</v>
      </c>
      <c r="AM311" s="24" t="e">
        <f>SUMIFS(#REF!,#REF!,$B311,#REF!,AM$1)</f>
        <v>#REF!</v>
      </c>
      <c r="AN311" s="24" t="e">
        <f>SUMIFS(#REF!,#REF!,$B311,#REF!,AN$1)</f>
        <v>#REF!</v>
      </c>
      <c r="AO311" s="24" t="e">
        <f>SUMIFS(#REF!,#REF!,$B311,#REF!,AO$1)</f>
        <v>#REF!</v>
      </c>
      <c r="AP311" s="24" t="e">
        <f>SUMIFS(#REF!,#REF!,$B311,#REF!,AP$1)</f>
        <v>#REF!</v>
      </c>
      <c r="AQ311" s="24" t="e">
        <f>SUMIFS(#REF!,#REF!,$B311,#REF!,AQ$1)</f>
        <v>#REF!</v>
      </c>
      <c r="AR311" s="24" t="e">
        <f>SUMIFS(#REF!,#REF!,$B311,#REF!,AR$1)</f>
        <v>#REF!</v>
      </c>
      <c r="AS311" s="24" t="e">
        <f>SUMIFS(#REF!,#REF!,$B311,#REF!,AS$1)</f>
        <v>#REF!</v>
      </c>
      <c r="AT311" s="24" t="e">
        <f>SUMIFS(#REF!,#REF!,$B311,#REF!,AT$1)</f>
        <v>#REF!</v>
      </c>
      <c r="AU311" s="24" t="e">
        <f>SUMIFS(#REF!,#REF!,$B311,#REF!,AU$1)</f>
        <v>#REF!</v>
      </c>
      <c r="AV311" s="24" t="e">
        <f>SUMIFS(#REF!,#REF!,$B311,#REF!,AV$1)</f>
        <v>#REF!</v>
      </c>
      <c r="AW311" s="24" t="e">
        <f>SUMIFS(#REF!,#REF!,$B311,#REF!,AW$1)</f>
        <v>#REF!</v>
      </c>
      <c r="AX311" s="24" t="e">
        <f>SUMIFS(#REF!,#REF!,$B311,#REF!,AX$1)</f>
        <v>#REF!</v>
      </c>
      <c r="AY311" s="24" t="e">
        <f>SUMIFS(#REF!,#REF!,$B311,#REF!,AY$1)</f>
        <v>#REF!</v>
      </c>
      <c r="AZ311" s="24" t="e">
        <f>SUMIFS(#REF!,#REF!,$B311,#REF!,AZ$1)</f>
        <v>#REF!</v>
      </c>
      <c r="BA311" s="24" t="e">
        <f>SUMIFS(#REF!,#REF!,$B311,#REF!,BA$1)</f>
        <v>#REF!</v>
      </c>
      <c r="BB311" s="24" t="e">
        <f>SUMIFS(#REF!,#REF!,$B311,#REF!,BB$1)</f>
        <v>#REF!</v>
      </c>
      <c r="BC311" s="24" t="e">
        <f>SUMIFS(#REF!,#REF!,$B311,#REF!,BC$1)</f>
        <v>#REF!</v>
      </c>
      <c r="BD311" s="24" t="e">
        <f>SUMIFS(#REF!,#REF!,$B311,#REF!,BD$1)</f>
        <v>#REF!</v>
      </c>
      <c r="BE311" s="24" t="e">
        <f>SUMIFS(#REF!,#REF!,$B311,#REF!,BE$1)</f>
        <v>#REF!</v>
      </c>
      <c r="BF311" s="24" t="e">
        <f>SUMIFS(#REF!,#REF!,$B311,#REF!,BF$1)</f>
        <v>#REF!</v>
      </c>
      <c r="BG311" s="24" t="e">
        <f>SUMIFS(#REF!,#REF!,$B311,#REF!,BG$1)</f>
        <v>#REF!</v>
      </c>
      <c r="BH311" s="24" t="e">
        <f>SUMIFS(#REF!,#REF!,$B311,#REF!,BH$1)</f>
        <v>#REF!</v>
      </c>
      <c r="BI311" s="24" t="e">
        <f>SUMIFS(#REF!,#REF!,$B311,#REF!,BI$1)</f>
        <v>#REF!</v>
      </c>
      <c r="BJ311" s="24" t="e">
        <f>SUMIFS(#REF!,#REF!,$B311,#REF!,BJ$1)</f>
        <v>#REF!</v>
      </c>
      <c r="BK311" s="24" t="e">
        <f>SUMIFS(#REF!,#REF!,$B311,#REF!,BK$1)</f>
        <v>#REF!</v>
      </c>
      <c r="BL311" s="24" t="e">
        <f>SUMIFS(#REF!,#REF!,$B311,#REF!,BL$1)</f>
        <v>#REF!</v>
      </c>
      <c r="BM311" s="24" t="e">
        <f>SUMIFS(#REF!,#REF!,$B311,#REF!,BM$1)</f>
        <v>#REF!</v>
      </c>
      <c r="BN311" s="24" t="e">
        <f>SUMIFS(#REF!,#REF!,$B311,#REF!,BN$1)</f>
        <v>#REF!</v>
      </c>
      <c r="BO311" s="24" t="e">
        <f>SUMIFS(#REF!,#REF!,$B311,#REF!,BO$1)</f>
        <v>#REF!</v>
      </c>
      <c r="BP311" s="24" t="e">
        <f>SUMIFS(#REF!,#REF!,$B311,#REF!,BP$1)</f>
        <v>#REF!</v>
      </c>
      <c r="BQ311" s="24" t="e">
        <f>SUMIFS(#REF!,#REF!,$B311,#REF!,BQ$1)</f>
        <v>#REF!</v>
      </c>
      <c r="BR311" s="24" t="e">
        <f>SUMIFS(#REF!,#REF!,$B311,#REF!,BR$1)</f>
        <v>#REF!</v>
      </c>
      <c r="BS311" s="24" t="e">
        <f>SUMIFS(#REF!,#REF!,$B311,#REF!,BS$1)</f>
        <v>#REF!</v>
      </c>
      <c r="BT311" s="24" t="e">
        <f>SUMIFS(#REF!,#REF!,$B311,#REF!,BT$1)</f>
        <v>#REF!</v>
      </c>
      <c r="BU311" s="24" t="e">
        <f>SUMIFS(#REF!,#REF!,$B311,#REF!,BU$1)</f>
        <v>#REF!</v>
      </c>
      <c r="BV311" s="24" t="e">
        <f>SUMIFS(#REF!,#REF!,$B311,#REF!,BV$1)</f>
        <v>#REF!</v>
      </c>
      <c r="BW311" s="24" t="e">
        <f>SUMIFS(#REF!,#REF!,$B311,#REF!,BW$1)</f>
        <v>#REF!</v>
      </c>
      <c r="BX311" s="24" t="e">
        <f>SUMIFS(#REF!,#REF!,$B311,#REF!,BX$1)</f>
        <v>#REF!</v>
      </c>
      <c r="BY311" s="24" t="e">
        <f>SUMIFS(#REF!,#REF!,$B311,#REF!,BY$1)</f>
        <v>#REF!</v>
      </c>
      <c r="BZ311" s="24" t="e">
        <f>SUMIFS(#REF!,#REF!,$B311,#REF!,BZ$1)</f>
        <v>#REF!</v>
      </c>
      <c r="CA311" s="24" t="e">
        <f>SUMIFS(#REF!,#REF!,$B311,#REF!,CA$1)</f>
        <v>#REF!</v>
      </c>
      <c r="CB311" s="24" t="e">
        <f>SUMIFS(#REF!,#REF!,$B311,#REF!,CB$1)</f>
        <v>#REF!</v>
      </c>
      <c r="CC311" s="24" t="e">
        <f>SUMIFS(#REF!,#REF!,$B311,#REF!,CC$1)</f>
        <v>#REF!</v>
      </c>
      <c r="CD311" s="24" t="e">
        <f>SUMIFS(#REF!,#REF!,$B311,#REF!,CD$1)</f>
        <v>#REF!</v>
      </c>
      <c r="CE311" s="24" t="e">
        <f>SUMIFS(#REF!,#REF!,$B311,#REF!,CE$1)</f>
        <v>#REF!</v>
      </c>
      <c r="CF311" s="24" t="e">
        <f>SUMIFS(#REF!,#REF!,$B311,#REF!,CF$1)</f>
        <v>#REF!</v>
      </c>
      <c r="CG311" s="19" t="e">
        <f t="shared" si="4"/>
        <v>#REF!</v>
      </c>
    </row>
    <row r="312" spans="1:85" x14ac:dyDescent="0.45">
      <c r="A312" s="4" t="s">
        <v>1569</v>
      </c>
      <c r="B312" s="4" t="s">
        <v>1569</v>
      </c>
      <c r="C312" s="24" t="e">
        <f>SUMIFS(#REF!,#REF!,$B312,#REF!,C$1)</f>
        <v>#REF!</v>
      </c>
      <c r="D312" s="24" t="e">
        <f>SUMIFS(#REF!,#REF!,$B312,#REF!,D$1)</f>
        <v>#REF!</v>
      </c>
      <c r="E312" s="24" t="e">
        <f>SUMIFS(#REF!,#REF!,$B312,#REF!,E$1)</f>
        <v>#REF!</v>
      </c>
      <c r="F312" s="24" t="e">
        <f>SUMIFS(#REF!,#REF!,$B312,#REF!,F$1)</f>
        <v>#REF!</v>
      </c>
      <c r="G312" s="24" t="e">
        <f>SUMIFS(#REF!,#REF!,$B312,#REF!,G$1)</f>
        <v>#REF!</v>
      </c>
      <c r="H312" s="24" t="e">
        <f>SUMIFS(#REF!,#REF!,$B312,#REF!,H$1)</f>
        <v>#REF!</v>
      </c>
      <c r="I312" s="24" t="e">
        <f>SUMIFS(#REF!,#REF!,$B312,#REF!,I$1)</f>
        <v>#REF!</v>
      </c>
      <c r="J312" s="24" t="e">
        <f>SUMIFS(#REF!,#REF!,$B312,#REF!,J$1)</f>
        <v>#REF!</v>
      </c>
      <c r="K312" s="24" t="e">
        <f>SUMIFS(#REF!,#REF!,$B312,#REF!,K$1)</f>
        <v>#REF!</v>
      </c>
      <c r="L312" s="24" t="e">
        <f>SUMIFS(#REF!,#REF!,$B312,#REF!,L$1)</f>
        <v>#REF!</v>
      </c>
      <c r="M312" s="24" t="e">
        <f>SUMIFS(#REF!,#REF!,$B312,#REF!,M$1)</f>
        <v>#REF!</v>
      </c>
      <c r="N312" s="24" t="e">
        <f>SUMIFS(#REF!,#REF!,$B312,#REF!,N$1)</f>
        <v>#REF!</v>
      </c>
      <c r="O312" s="24" t="e">
        <f>SUMIFS(#REF!,#REF!,$B312,#REF!,O$1)</f>
        <v>#REF!</v>
      </c>
      <c r="P312" s="24" t="e">
        <f>SUMIFS(#REF!,#REF!,$B312,#REF!,P$1)</f>
        <v>#REF!</v>
      </c>
      <c r="Q312" s="24" t="e">
        <f>SUMIFS(#REF!,#REF!,$B312,#REF!,Q$1)</f>
        <v>#REF!</v>
      </c>
      <c r="R312" s="24" t="e">
        <f>SUMIFS(#REF!,#REF!,$B312,#REF!,R$1)</f>
        <v>#REF!</v>
      </c>
      <c r="S312" s="24" t="e">
        <f>SUMIFS(#REF!,#REF!,$B312,#REF!,S$1)</f>
        <v>#REF!</v>
      </c>
      <c r="T312" s="24" t="e">
        <f>SUMIFS(#REF!,#REF!,$B312,#REF!,T$1)</f>
        <v>#REF!</v>
      </c>
      <c r="U312" s="24" t="e">
        <f>SUMIFS(#REF!,#REF!,$B312,#REF!,U$1)</f>
        <v>#REF!</v>
      </c>
      <c r="V312" s="24" t="e">
        <f>SUMIFS(#REF!,#REF!,$B312,#REF!,V$1)</f>
        <v>#REF!</v>
      </c>
      <c r="W312" s="24" t="e">
        <f>SUMIFS(#REF!,#REF!,$B312,#REF!,W$1)</f>
        <v>#REF!</v>
      </c>
      <c r="X312" s="24" t="e">
        <f>SUMIFS(#REF!,#REF!,$B312,#REF!,X$1)</f>
        <v>#REF!</v>
      </c>
      <c r="Y312" s="24" t="e">
        <f>SUMIFS(#REF!,#REF!,$B312,#REF!,Y$1)</f>
        <v>#REF!</v>
      </c>
      <c r="Z312" s="24" t="e">
        <f>SUMIFS(#REF!,#REF!,$B312,#REF!,Z$1)</f>
        <v>#REF!</v>
      </c>
      <c r="AA312" s="24" t="e">
        <f>SUMIFS(#REF!,#REF!,$B312,#REF!,AA$1)</f>
        <v>#REF!</v>
      </c>
      <c r="AB312" s="24" t="e">
        <f>SUMIFS(#REF!,#REF!,$B312,#REF!,AB$1)</f>
        <v>#REF!</v>
      </c>
      <c r="AC312" s="24" t="e">
        <f>SUMIFS(#REF!,#REF!,$B312,#REF!,AC$1)</f>
        <v>#REF!</v>
      </c>
      <c r="AD312" s="24" t="e">
        <f>SUMIFS(#REF!,#REF!,$B312,#REF!,AD$1)</f>
        <v>#REF!</v>
      </c>
      <c r="AE312" s="24" t="e">
        <f>SUMIFS(#REF!,#REF!,$B312,#REF!,AE$1)</f>
        <v>#REF!</v>
      </c>
      <c r="AF312" s="24" t="e">
        <f>SUMIFS(#REF!,#REF!,$B312,#REF!,AF$1)</f>
        <v>#REF!</v>
      </c>
      <c r="AG312" s="24" t="e">
        <f>SUMIFS(#REF!,#REF!,$B312,#REF!,AG$1)</f>
        <v>#REF!</v>
      </c>
      <c r="AH312" s="24" t="e">
        <f>SUMIFS(#REF!,#REF!,$B312,#REF!,AH$1)</f>
        <v>#REF!</v>
      </c>
      <c r="AI312" s="24" t="e">
        <f>SUMIFS(#REF!,#REF!,$B312,#REF!,AI$1)</f>
        <v>#REF!</v>
      </c>
      <c r="AJ312" s="24" t="e">
        <f>SUMIFS(#REF!,#REF!,$B312,#REF!,AJ$1)</f>
        <v>#REF!</v>
      </c>
      <c r="AK312" s="24" t="e">
        <f>SUMIFS(#REF!,#REF!,$B312,#REF!,AK$1)</f>
        <v>#REF!</v>
      </c>
      <c r="AL312" s="24" t="e">
        <f>SUMIFS(#REF!,#REF!,$B312,#REF!,AL$1)</f>
        <v>#REF!</v>
      </c>
      <c r="AM312" s="24" t="e">
        <f>SUMIFS(#REF!,#REF!,$B312,#REF!,AM$1)</f>
        <v>#REF!</v>
      </c>
      <c r="AN312" s="24" t="e">
        <f>SUMIFS(#REF!,#REF!,$B312,#REF!,AN$1)</f>
        <v>#REF!</v>
      </c>
      <c r="AO312" s="24" t="e">
        <f>SUMIFS(#REF!,#REF!,$B312,#REF!,AO$1)</f>
        <v>#REF!</v>
      </c>
      <c r="AP312" s="24" t="e">
        <f>SUMIFS(#REF!,#REF!,$B312,#REF!,AP$1)</f>
        <v>#REF!</v>
      </c>
      <c r="AQ312" s="24" t="e">
        <f>SUMIFS(#REF!,#REF!,$B312,#REF!,AQ$1)</f>
        <v>#REF!</v>
      </c>
      <c r="AR312" s="24" t="e">
        <f>SUMIFS(#REF!,#REF!,$B312,#REF!,AR$1)</f>
        <v>#REF!</v>
      </c>
      <c r="AS312" s="24" t="e">
        <f>SUMIFS(#REF!,#REF!,$B312,#REF!,AS$1)</f>
        <v>#REF!</v>
      </c>
      <c r="AT312" s="24" t="e">
        <f>SUMIFS(#REF!,#REF!,$B312,#REF!,AT$1)</f>
        <v>#REF!</v>
      </c>
      <c r="AU312" s="24" t="e">
        <f>SUMIFS(#REF!,#REF!,$B312,#REF!,AU$1)</f>
        <v>#REF!</v>
      </c>
      <c r="AV312" s="24" t="e">
        <f>SUMIFS(#REF!,#REF!,$B312,#REF!,AV$1)</f>
        <v>#REF!</v>
      </c>
      <c r="AW312" s="24" t="e">
        <f>SUMIFS(#REF!,#REF!,$B312,#REF!,AW$1)</f>
        <v>#REF!</v>
      </c>
      <c r="AX312" s="24" t="e">
        <f>SUMIFS(#REF!,#REF!,$B312,#REF!,AX$1)</f>
        <v>#REF!</v>
      </c>
      <c r="AY312" s="24" t="e">
        <f>SUMIFS(#REF!,#REF!,$B312,#REF!,AY$1)</f>
        <v>#REF!</v>
      </c>
      <c r="AZ312" s="24" t="e">
        <f>SUMIFS(#REF!,#REF!,$B312,#REF!,AZ$1)</f>
        <v>#REF!</v>
      </c>
      <c r="BA312" s="24" t="e">
        <f>SUMIFS(#REF!,#REF!,$B312,#REF!,BA$1)</f>
        <v>#REF!</v>
      </c>
      <c r="BB312" s="24" t="e">
        <f>SUMIFS(#REF!,#REF!,$B312,#REF!,BB$1)</f>
        <v>#REF!</v>
      </c>
      <c r="BC312" s="24" t="e">
        <f>SUMIFS(#REF!,#REF!,$B312,#REF!,BC$1)</f>
        <v>#REF!</v>
      </c>
      <c r="BD312" s="24" t="e">
        <f>SUMIFS(#REF!,#REF!,$B312,#REF!,BD$1)</f>
        <v>#REF!</v>
      </c>
      <c r="BE312" s="24" t="e">
        <f>SUMIFS(#REF!,#REF!,$B312,#REF!,BE$1)</f>
        <v>#REF!</v>
      </c>
      <c r="BF312" s="24" t="e">
        <f>SUMIFS(#REF!,#REF!,$B312,#REF!,BF$1)</f>
        <v>#REF!</v>
      </c>
      <c r="BG312" s="24" t="e">
        <f>SUMIFS(#REF!,#REF!,$B312,#REF!,BG$1)</f>
        <v>#REF!</v>
      </c>
      <c r="BH312" s="24" t="e">
        <f>SUMIFS(#REF!,#REF!,$B312,#REF!,BH$1)</f>
        <v>#REF!</v>
      </c>
      <c r="BI312" s="24" t="e">
        <f>SUMIFS(#REF!,#REF!,$B312,#REF!,BI$1)</f>
        <v>#REF!</v>
      </c>
      <c r="BJ312" s="24" t="e">
        <f>SUMIFS(#REF!,#REF!,$B312,#REF!,BJ$1)</f>
        <v>#REF!</v>
      </c>
      <c r="BK312" s="24" t="e">
        <f>SUMIFS(#REF!,#REF!,$B312,#REF!,BK$1)</f>
        <v>#REF!</v>
      </c>
      <c r="BL312" s="24" t="e">
        <f>SUMIFS(#REF!,#REF!,$B312,#REF!,BL$1)</f>
        <v>#REF!</v>
      </c>
      <c r="BM312" s="24" t="e">
        <f>SUMIFS(#REF!,#REF!,$B312,#REF!,BM$1)</f>
        <v>#REF!</v>
      </c>
      <c r="BN312" s="24" t="e">
        <f>SUMIFS(#REF!,#REF!,$B312,#REF!,BN$1)</f>
        <v>#REF!</v>
      </c>
      <c r="BO312" s="24" t="e">
        <f>SUMIFS(#REF!,#REF!,$B312,#REF!,BO$1)</f>
        <v>#REF!</v>
      </c>
      <c r="BP312" s="24" t="e">
        <f>SUMIFS(#REF!,#REF!,$B312,#REF!,BP$1)</f>
        <v>#REF!</v>
      </c>
      <c r="BQ312" s="24" t="e">
        <f>SUMIFS(#REF!,#REF!,$B312,#REF!,BQ$1)</f>
        <v>#REF!</v>
      </c>
      <c r="BR312" s="24" t="e">
        <f>SUMIFS(#REF!,#REF!,$B312,#REF!,BR$1)</f>
        <v>#REF!</v>
      </c>
      <c r="BS312" s="24" t="e">
        <f>SUMIFS(#REF!,#REF!,$B312,#REF!,BS$1)</f>
        <v>#REF!</v>
      </c>
      <c r="BT312" s="24" t="e">
        <f>SUMIFS(#REF!,#REF!,$B312,#REF!,BT$1)</f>
        <v>#REF!</v>
      </c>
      <c r="BU312" s="24" t="e">
        <f>SUMIFS(#REF!,#REF!,$B312,#REF!,BU$1)</f>
        <v>#REF!</v>
      </c>
      <c r="BV312" s="24" t="e">
        <f>SUMIFS(#REF!,#REF!,$B312,#REF!,BV$1)</f>
        <v>#REF!</v>
      </c>
      <c r="BW312" s="24" t="e">
        <f>SUMIFS(#REF!,#REF!,$B312,#REF!,BW$1)</f>
        <v>#REF!</v>
      </c>
      <c r="BX312" s="24" t="e">
        <f>SUMIFS(#REF!,#REF!,$B312,#REF!,BX$1)</f>
        <v>#REF!</v>
      </c>
      <c r="BY312" s="24" t="e">
        <f>SUMIFS(#REF!,#REF!,$B312,#REF!,BY$1)</f>
        <v>#REF!</v>
      </c>
      <c r="BZ312" s="24" t="e">
        <f>SUMIFS(#REF!,#REF!,$B312,#REF!,BZ$1)</f>
        <v>#REF!</v>
      </c>
      <c r="CA312" s="24" t="e">
        <f>SUMIFS(#REF!,#REF!,$B312,#REF!,CA$1)</f>
        <v>#REF!</v>
      </c>
      <c r="CB312" s="24" t="e">
        <f>SUMIFS(#REF!,#REF!,$B312,#REF!,CB$1)</f>
        <v>#REF!</v>
      </c>
      <c r="CC312" s="24" t="e">
        <f>SUMIFS(#REF!,#REF!,$B312,#REF!,CC$1)</f>
        <v>#REF!</v>
      </c>
      <c r="CD312" s="24" t="e">
        <f>SUMIFS(#REF!,#REF!,$B312,#REF!,CD$1)</f>
        <v>#REF!</v>
      </c>
      <c r="CE312" s="24" t="e">
        <f>SUMIFS(#REF!,#REF!,$B312,#REF!,CE$1)</f>
        <v>#REF!</v>
      </c>
      <c r="CF312" s="24" t="e">
        <f>SUMIFS(#REF!,#REF!,$B312,#REF!,CF$1)</f>
        <v>#REF!</v>
      </c>
      <c r="CG312" s="19" t="e">
        <f t="shared" si="4"/>
        <v>#REF!</v>
      </c>
    </row>
    <row r="313" spans="1:85" x14ac:dyDescent="0.45">
      <c r="A313" s="4" t="s">
        <v>1570</v>
      </c>
      <c r="B313" s="4" t="s">
        <v>1570</v>
      </c>
      <c r="C313" s="24" t="e">
        <f>SUMIFS(#REF!,#REF!,$B313,#REF!,C$1)</f>
        <v>#REF!</v>
      </c>
      <c r="D313" s="24" t="e">
        <f>SUMIFS(#REF!,#REF!,$B313,#REF!,D$1)</f>
        <v>#REF!</v>
      </c>
      <c r="E313" s="24" t="e">
        <f>SUMIFS(#REF!,#REF!,$B313,#REF!,E$1)</f>
        <v>#REF!</v>
      </c>
      <c r="F313" s="24" t="e">
        <f>SUMIFS(#REF!,#REF!,$B313,#REF!,F$1)</f>
        <v>#REF!</v>
      </c>
      <c r="G313" s="24" t="e">
        <f>SUMIFS(#REF!,#REF!,$B313,#REF!,G$1)</f>
        <v>#REF!</v>
      </c>
      <c r="H313" s="24" t="e">
        <f>SUMIFS(#REF!,#REF!,$B313,#REF!,H$1)</f>
        <v>#REF!</v>
      </c>
      <c r="I313" s="24" t="e">
        <f>SUMIFS(#REF!,#REF!,$B313,#REF!,I$1)</f>
        <v>#REF!</v>
      </c>
      <c r="J313" s="24" t="e">
        <f>SUMIFS(#REF!,#REF!,$B313,#REF!,J$1)</f>
        <v>#REF!</v>
      </c>
      <c r="K313" s="24" t="e">
        <f>SUMIFS(#REF!,#REF!,$B313,#REF!,K$1)</f>
        <v>#REF!</v>
      </c>
      <c r="L313" s="24" t="e">
        <f>SUMIFS(#REF!,#REF!,$B313,#REF!,L$1)</f>
        <v>#REF!</v>
      </c>
      <c r="M313" s="24" t="e">
        <f>SUMIFS(#REF!,#REF!,$B313,#REF!,M$1)</f>
        <v>#REF!</v>
      </c>
      <c r="N313" s="24" t="e">
        <f>SUMIFS(#REF!,#REF!,$B313,#REF!,N$1)</f>
        <v>#REF!</v>
      </c>
      <c r="O313" s="24" t="e">
        <f>SUMIFS(#REF!,#REF!,$B313,#REF!,O$1)</f>
        <v>#REF!</v>
      </c>
      <c r="P313" s="24" t="e">
        <f>SUMIFS(#REF!,#REF!,$B313,#REF!,P$1)</f>
        <v>#REF!</v>
      </c>
      <c r="Q313" s="24" t="e">
        <f>SUMIFS(#REF!,#REF!,$B313,#REF!,Q$1)</f>
        <v>#REF!</v>
      </c>
      <c r="R313" s="24" t="e">
        <f>SUMIFS(#REF!,#REF!,$B313,#REF!,R$1)</f>
        <v>#REF!</v>
      </c>
      <c r="S313" s="24" t="e">
        <f>SUMIFS(#REF!,#REF!,$B313,#REF!,S$1)</f>
        <v>#REF!</v>
      </c>
      <c r="T313" s="24" t="e">
        <f>SUMIFS(#REF!,#REF!,$B313,#REF!,T$1)</f>
        <v>#REF!</v>
      </c>
      <c r="U313" s="24" t="e">
        <f>SUMIFS(#REF!,#REF!,$B313,#REF!,U$1)</f>
        <v>#REF!</v>
      </c>
      <c r="V313" s="24" t="e">
        <f>SUMIFS(#REF!,#REF!,$B313,#REF!,V$1)</f>
        <v>#REF!</v>
      </c>
      <c r="W313" s="24" t="e">
        <f>SUMIFS(#REF!,#REF!,$B313,#REF!,W$1)</f>
        <v>#REF!</v>
      </c>
      <c r="X313" s="24" t="e">
        <f>SUMIFS(#REF!,#REF!,$B313,#REF!,X$1)</f>
        <v>#REF!</v>
      </c>
      <c r="Y313" s="24" t="e">
        <f>SUMIFS(#REF!,#REF!,$B313,#REF!,Y$1)</f>
        <v>#REF!</v>
      </c>
      <c r="Z313" s="24" t="e">
        <f>SUMIFS(#REF!,#REF!,$B313,#REF!,Z$1)</f>
        <v>#REF!</v>
      </c>
      <c r="AA313" s="24" t="e">
        <f>SUMIFS(#REF!,#REF!,$B313,#REF!,AA$1)</f>
        <v>#REF!</v>
      </c>
      <c r="AB313" s="24" t="e">
        <f>SUMIFS(#REF!,#REF!,$B313,#REF!,AB$1)</f>
        <v>#REF!</v>
      </c>
      <c r="AC313" s="24" t="e">
        <f>SUMIFS(#REF!,#REF!,$B313,#REF!,AC$1)</f>
        <v>#REF!</v>
      </c>
      <c r="AD313" s="24" t="e">
        <f>SUMIFS(#REF!,#REF!,$B313,#REF!,AD$1)</f>
        <v>#REF!</v>
      </c>
      <c r="AE313" s="24" t="e">
        <f>SUMIFS(#REF!,#REF!,$B313,#REF!,AE$1)</f>
        <v>#REF!</v>
      </c>
      <c r="AF313" s="24" t="e">
        <f>SUMIFS(#REF!,#REF!,$B313,#REF!,AF$1)</f>
        <v>#REF!</v>
      </c>
      <c r="AG313" s="24" t="e">
        <f>SUMIFS(#REF!,#REF!,$B313,#REF!,AG$1)</f>
        <v>#REF!</v>
      </c>
      <c r="AH313" s="24" t="e">
        <f>SUMIFS(#REF!,#REF!,$B313,#REF!,AH$1)</f>
        <v>#REF!</v>
      </c>
      <c r="AI313" s="24" t="e">
        <f>SUMIFS(#REF!,#REF!,$B313,#REF!,AI$1)</f>
        <v>#REF!</v>
      </c>
      <c r="AJ313" s="24" t="e">
        <f>SUMIFS(#REF!,#REF!,$B313,#REF!,AJ$1)</f>
        <v>#REF!</v>
      </c>
      <c r="AK313" s="24" t="e">
        <f>SUMIFS(#REF!,#REF!,$B313,#REF!,AK$1)</f>
        <v>#REF!</v>
      </c>
      <c r="AL313" s="24" t="e">
        <f>SUMIFS(#REF!,#REF!,$B313,#REF!,AL$1)</f>
        <v>#REF!</v>
      </c>
      <c r="AM313" s="24" t="e">
        <f>SUMIFS(#REF!,#REF!,$B313,#REF!,AM$1)</f>
        <v>#REF!</v>
      </c>
      <c r="AN313" s="24" t="e">
        <f>SUMIFS(#REF!,#REF!,$B313,#REF!,AN$1)</f>
        <v>#REF!</v>
      </c>
      <c r="AO313" s="24" t="e">
        <f>SUMIFS(#REF!,#REF!,$B313,#REF!,AO$1)</f>
        <v>#REF!</v>
      </c>
      <c r="AP313" s="24" t="e">
        <f>SUMIFS(#REF!,#REF!,$B313,#REF!,AP$1)</f>
        <v>#REF!</v>
      </c>
      <c r="AQ313" s="24" t="e">
        <f>SUMIFS(#REF!,#REF!,$B313,#REF!,AQ$1)</f>
        <v>#REF!</v>
      </c>
      <c r="AR313" s="24" t="e">
        <f>SUMIFS(#REF!,#REF!,$B313,#REF!,AR$1)</f>
        <v>#REF!</v>
      </c>
      <c r="AS313" s="24" t="e">
        <f>SUMIFS(#REF!,#REF!,$B313,#REF!,AS$1)</f>
        <v>#REF!</v>
      </c>
      <c r="AT313" s="24" t="e">
        <f>SUMIFS(#REF!,#REF!,$B313,#REF!,AT$1)</f>
        <v>#REF!</v>
      </c>
      <c r="AU313" s="24" t="e">
        <f>SUMIFS(#REF!,#REF!,$B313,#REF!,AU$1)</f>
        <v>#REF!</v>
      </c>
      <c r="AV313" s="24" t="e">
        <f>SUMIFS(#REF!,#REF!,$B313,#REF!,AV$1)</f>
        <v>#REF!</v>
      </c>
      <c r="AW313" s="24" t="e">
        <f>SUMIFS(#REF!,#REF!,$B313,#REF!,AW$1)</f>
        <v>#REF!</v>
      </c>
      <c r="AX313" s="24" t="e">
        <f>SUMIFS(#REF!,#REF!,$B313,#REF!,AX$1)</f>
        <v>#REF!</v>
      </c>
      <c r="AY313" s="24" t="e">
        <f>SUMIFS(#REF!,#REF!,$B313,#REF!,AY$1)</f>
        <v>#REF!</v>
      </c>
      <c r="AZ313" s="24" t="e">
        <f>SUMIFS(#REF!,#REF!,$B313,#REF!,AZ$1)</f>
        <v>#REF!</v>
      </c>
      <c r="BA313" s="24" t="e">
        <f>SUMIFS(#REF!,#REF!,$B313,#REF!,BA$1)</f>
        <v>#REF!</v>
      </c>
      <c r="BB313" s="24" t="e">
        <f>SUMIFS(#REF!,#REF!,$B313,#REF!,BB$1)</f>
        <v>#REF!</v>
      </c>
      <c r="BC313" s="24" t="e">
        <f>SUMIFS(#REF!,#REF!,$B313,#REF!,BC$1)</f>
        <v>#REF!</v>
      </c>
      <c r="BD313" s="24" t="e">
        <f>SUMIFS(#REF!,#REF!,$B313,#REF!,BD$1)</f>
        <v>#REF!</v>
      </c>
      <c r="BE313" s="24" t="e">
        <f>SUMIFS(#REF!,#REF!,$B313,#REF!,BE$1)</f>
        <v>#REF!</v>
      </c>
      <c r="BF313" s="24" t="e">
        <f>SUMIFS(#REF!,#REF!,$B313,#REF!,BF$1)</f>
        <v>#REF!</v>
      </c>
      <c r="BG313" s="24" t="e">
        <f>SUMIFS(#REF!,#REF!,$B313,#REF!,BG$1)</f>
        <v>#REF!</v>
      </c>
      <c r="BH313" s="24" t="e">
        <f>SUMIFS(#REF!,#REF!,$B313,#REF!,BH$1)</f>
        <v>#REF!</v>
      </c>
      <c r="BI313" s="24" t="e">
        <f>SUMIFS(#REF!,#REF!,$B313,#REF!,BI$1)</f>
        <v>#REF!</v>
      </c>
      <c r="BJ313" s="24" t="e">
        <f>SUMIFS(#REF!,#REF!,$B313,#REF!,BJ$1)</f>
        <v>#REF!</v>
      </c>
      <c r="BK313" s="24" t="e">
        <f>SUMIFS(#REF!,#REF!,$B313,#REF!,BK$1)</f>
        <v>#REF!</v>
      </c>
      <c r="BL313" s="24" t="e">
        <f>SUMIFS(#REF!,#REF!,$B313,#REF!,BL$1)</f>
        <v>#REF!</v>
      </c>
      <c r="BM313" s="24" t="e">
        <f>SUMIFS(#REF!,#REF!,$B313,#REF!,BM$1)</f>
        <v>#REF!</v>
      </c>
      <c r="BN313" s="24" t="e">
        <f>SUMIFS(#REF!,#REF!,$B313,#REF!,BN$1)</f>
        <v>#REF!</v>
      </c>
      <c r="BO313" s="24" t="e">
        <f>SUMIFS(#REF!,#REF!,$B313,#REF!,BO$1)</f>
        <v>#REF!</v>
      </c>
      <c r="BP313" s="24" t="e">
        <f>SUMIFS(#REF!,#REF!,$B313,#REF!,BP$1)</f>
        <v>#REF!</v>
      </c>
      <c r="BQ313" s="24" t="e">
        <f>SUMIFS(#REF!,#REF!,$B313,#REF!,BQ$1)</f>
        <v>#REF!</v>
      </c>
      <c r="BR313" s="24" t="e">
        <f>SUMIFS(#REF!,#REF!,$B313,#REF!,BR$1)</f>
        <v>#REF!</v>
      </c>
      <c r="BS313" s="24" t="e">
        <f>SUMIFS(#REF!,#REF!,$B313,#REF!,BS$1)</f>
        <v>#REF!</v>
      </c>
      <c r="BT313" s="24" t="e">
        <f>SUMIFS(#REF!,#REF!,$B313,#REF!,BT$1)</f>
        <v>#REF!</v>
      </c>
      <c r="BU313" s="24" t="e">
        <f>SUMIFS(#REF!,#REF!,$B313,#REF!,BU$1)</f>
        <v>#REF!</v>
      </c>
      <c r="BV313" s="24" t="e">
        <f>SUMIFS(#REF!,#REF!,$B313,#REF!,BV$1)</f>
        <v>#REF!</v>
      </c>
      <c r="BW313" s="24" t="e">
        <f>SUMIFS(#REF!,#REF!,$B313,#REF!,BW$1)</f>
        <v>#REF!</v>
      </c>
      <c r="BX313" s="24" t="e">
        <f>SUMIFS(#REF!,#REF!,$B313,#REF!,BX$1)</f>
        <v>#REF!</v>
      </c>
      <c r="BY313" s="24" t="e">
        <f>SUMIFS(#REF!,#REF!,$B313,#REF!,BY$1)</f>
        <v>#REF!</v>
      </c>
      <c r="BZ313" s="24" t="e">
        <f>SUMIFS(#REF!,#REF!,$B313,#REF!,BZ$1)</f>
        <v>#REF!</v>
      </c>
      <c r="CA313" s="24" t="e">
        <f>SUMIFS(#REF!,#REF!,$B313,#REF!,CA$1)</f>
        <v>#REF!</v>
      </c>
      <c r="CB313" s="24" t="e">
        <f>SUMIFS(#REF!,#REF!,$B313,#REF!,CB$1)</f>
        <v>#REF!</v>
      </c>
      <c r="CC313" s="24" t="e">
        <f>SUMIFS(#REF!,#REF!,$B313,#REF!,CC$1)</f>
        <v>#REF!</v>
      </c>
      <c r="CD313" s="24" t="e">
        <f>SUMIFS(#REF!,#REF!,$B313,#REF!,CD$1)</f>
        <v>#REF!</v>
      </c>
      <c r="CE313" s="24" t="e">
        <f>SUMIFS(#REF!,#REF!,$B313,#REF!,CE$1)</f>
        <v>#REF!</v>
      </c>
      <c r="CF313" s="24" t="e">
        <f>SUMIFS(#REF!,#REF!,$B313,#REF!,CF$1)</f>
        <v>#REF!</v>
      </c>
      <c r="CG313" s="19" t="e">
        <f t="shared" si="4"/>
        <v>#REF!</v>
      </c>
    </row>
    <row r="314" spans="1:85" x14ac:dyDescent="0.45">
      <c r="A314" s="4" t="s">
        <v>1571</v>
      </c>
      <c r="B314" s="4" t="s">
        <v>1571</v>
      </c>
      <c r="C314" s="24" t="e">
        <f>SUMIFS(#REF!,#REF!,$B314,#REF!,C$1)</f>
        <v>#REF!</v>
      </c>
      <c r="D314" s="24" t="e">
        <f>SUMIFS(#REF!,#REF!,$B314,#REF!,D$1)</f>
        <v>#REF!</v>
      </c>
      <c r="E314" s="24" t="e">
        <f>SUMIFS(#REF!,#REF!,$B314,#REF!,E$1)</f>
        <v>#REF!</v>
      </c>
      <c r="F314" s="24" t="e">
        <f>SUMIFS(#REF!,#REF!,$B314,#REF!,F$1)</f>
        <v>#REF!</v>
      </c>
      <c r="G314" s="24" t="e">
        <f>SUMIFS(#REF!,#REF!,$B314,#REF!,G$1)</f>
        <v>#REF!</v>
      </c>
      <c r="H314" s="24" t="e">
        <f>SUMIFS(#REF!,#REF!,$B314,#REF!,H$1)</f>
        <v>#REF!</v>
      </c>
      <c r="I314" s="24" t="e">
        <f>SUMIFS(#REF!,#REF!,$B314,#REF!,I$1)</f>
        <v>#REF!</v>
      </c>
      <c r="J314" s="24" t="e">
        <f>SUMIFS(#REF!,#REF!,$B314,#REF!,J$1)</f>
        <v>#REF!</v>
      </c>
      <c r="K314" s="24" t="e">
        <f>SUMIFS(#REF!,#REF!,$B314,#REF!,K$1)</f>
        <v>#REF!</v>
      </c>
      <c r="L314" s="24" t="e">
        <f>SUMIFS(#REF!,#REF!,$B314,#REF!,L$1)</f>
        <v>#REF!</v>
      </c>
      <c r="M314" s="24" t="e">
        <f>SUMIFS(#REF!,#REF!,$B314,#REF!,M$1)</f>
        <v>#REF!</v>
      </c>
      <c r="N314" s="24" t="e">
        <f>SUMIFS(#REF!,#REF!,$B314,#REF!,N$1)</f>
        <v>#REF!</v>
      </c>
      <c r="O314" s="24" t="e">
        <f>SUMIFS(#REF!,#REF!,$B314,#REF!,O$1)</f>
        <v>#REF!</v>
      </c>
      <c r="P314" s="24" t="e">
        <f>SUMIFS(#REF!,#REF!,$B314,#REF!,P$1)</f>
        <v>#REF!</v>
      </c>
      <c r="Q314" s="24" t="e">
        <f>SUMIFS(#REF!,#REF!,$B314,#REF!,Q$1)</f>
        <v>#REF!</v>
      </c>
      <c r="R314" s="24" t="e">
        <f>SUMIFS(#REF!,#REF!,$B314,#REF!,R$1)</f>
        <v>#REF!</v>
      </c>
      <c r="S314" s="24" t="e">
        <f>SUMIFS(#REF!,#REF!,$B314,#REF!,S$1)</f>
        <v>#REF!</v>
      </c>
      <c r="T314" s="24" t="e">
        <f>SUMIFS(#REF!,#REF!,$B314,#REF!,T$1)</f>
        <v>#REF!</v>
      </c>
      <c r="U314" s="24" t="e">
        <f>SUMIFS(#REF!,#REF!,$B314,#REF!,U$1)</f>
        <v>#REF!</v>
      </c>
      <c r="V314" s="24" t="e">
        <f>SUMIFS(#REF!,#REF!,$B314,#REF!,V$1)</f>
        <v>#REF!</v>
      </c>
      <c r="W314" s="24" t="e">
        <f>SUMIFS(#REF!,#REF!,$B314,#REF!,W$1)</f>
        <v>#REF!</v>
      </c>
      <c r="X314" s="24" t="e">
        <f>SUMIFS(#REF!,#REF!,$B314,#REF!,X$1)</f>
        <v>#REF!</v>
      </c>
      <c r="Y314" s="24" t="e">
        <f>SUMIFS(#REF!,#REF!,$B314,#REF!,Y$1)</f>
        <v>#REF!</v>
      </c>
      <c r="Z314" s="24" t="e">
        <f>SUMIFS(#REF!,#REF!,$B314,#REF!,Z$1)</f>
        <v>#REF!</v>
      </c>
      <c r="AA314" s="24" t="e">
        <f>SUMIFS(#REF!,#REF!,$B314,#REF!,AA$1)</f>
        <v>#REF!</v>
      </c>
      <c r="AB314" s="24" t="e">
        <f>SUMIFS(#REF!,#REF!,$B314,#REF!,AB$1)</f>
        <v>#REF!</v>
      </c>
      <c r="AC314" s="24" t="e">
        <f>SUMIFS(#REF!,#REF!,$B314,#REF!,AC$1)</f>
        <v>#REF!</v>
      </c>
      <c r="AD314" s="24" t="e">
        <f>SUMIFS(#REF!,#REF!,$B314,#REF!,AD$1)</f>
        <v>#REF!</v>
      </c>
      <c r="AE314" s="24" t="e">
        <f>SUMIFS(#REF!,#REF!,$B314,#REF!,AE$1)</f>
        <v>#REF!</v>
      </c>
      <c r="AF314" s="24" t="e">
        <f>SUMIFS(#REF!,#REF!,$B314,#REF!,AF$1)</f>
        <v>#REF!</v>
      </c>
      <c r="AG314" s="24" t="e">
        <f>SUMIFS(#REF!,#REF!,$B314,#REF!,AG$1)</f>
        <v>#REF!</v>
      </c>
      <c r="AH314" s="24" t="e">
        <f>SUMIFS(#REF!,#REF!,$B314,#REF!,AH$1)</f>
        <v>#REF!</v>
      </c>
      <c r="AI314" s="24" t="e">
        <f>SUMIFS(#REF!,#REF!,$B314,#REF!,AI$1)</f>
        <v>#REF!</v>
      </c>
      <c r="AJ314" s="24" t="e">
        <f>SUMIFS(#REF!,#REF!,$B314,#REF!,AJ$1)</f>
        <v>#REF!</v>
      </c>
      <c r="AK314" s="24" t="e">
        <f>SUMIFS(#REF!,#REF!,$B314,#REF!,AK$1)</f>
        <v>#REF!</v>
      </c>
      <c r="AL314" s="24" t="e">
        <f>SUMIFS(#REF!,#REF!,$B314,#REF!,AL$1)</f>
        <v>#REF!</v>
      </c>
      <c r="AM314" s="24" t="e">
        <f>SUMIFS(#REF!,#REF!,$B314,#REF!,AM$1)</f>
        <v>#REF!</v>
      </c>
      <c r="AN314" s="24" t="e">
        <f>SUMIFS(#REF!,#REF!,$B314,#REF!,AN$1)</f>
        <v>#REF!</v>
      </c>
      <c r="AO314" s="24" t="e">
        <f>SUMIFS(#REF!,#REF!,$B314,#REF!,AO$1)</f>
        <v>#REF!</v>
      </c>
      <c r="AP314" s="24" t="e">
        <f>SUMIFS(#REF!,#REF!,$B314,#REF!,AP$1)</f>
        <v>#REF!</v>
      </c>
      <c r="AQ314" s="24" t="e">
        <f>SUMIFS(#REF!,#REF!,$B314,#REF!,AQ$1)</f>
        <v>#REF!</v>
      </c>
      <c r="AR314" s="24" t="e">
        <f>SUMIFS(#REF!,#REF!,$B314,#REF!,AR$1)</f>
        <v>#REF!</v>
      </c>
      <c r="AS314" s="24" t="e">
        <f>SUMIFS(#REF!,#REF!,$B314,#REF!,AS$1)</f>
        <v>#REF!</v>
      </c>
      <c r="AT314" s="24" t="e">
        <f>SUMIFS(#REF!,#REF!,$B314,#REF!,AT$1)</f>
        <v>#REF!</v>
      </c>
      <c r="AU314" s="24" t="e">
        <f>SUMIFS(#REF!,#REF!,$B314,#REF!,AU$1)</f>
        <v>#REF!</v>
      </c>
      <c r="AV314" s="24" t="e">
        <f>SUMIFS(#REF!,#REF!,$B314,#REF!,AV$1)</f>
        <v>#REF!</v>
      </c>
      <c r="AW314" s="24" t="e">
        <f>SUMIFS(#REF!,#REF!,$B314,#REF!,AW$1)</f>
        <v>#REF!</v>
      </c>
      <c r="AX314" s="24" t="e">
        <f>SUMIFS(#REF!,#REF!,$B314,#REF!,AX$1)</f>
        <v>#REF!</v>
      </c>
      <c r="AY314" s="24" t="e">
        <f>SUMIFS(#REF!,#REF!,$B314,#REF!,AY$1)</f>
        <v>#REF!</v>
      </c>
      <c r="AZ314" s="24" t="e">
        <f>SUMIFS(#REF!,#REF!,$B314,#REF!,AZ$1)</f>
        <v>#REF!</v>
      </c>
      <c r="BA314" s="24" t="e">
        <f>SUMIFS(#REF!,#REF!,$B314,#REF!,BA$1)</f>
        <v>#REF!</v>
      </c>
      <c r="BB314" s="24" t="e">
        <f>SUMIFS(#REF!,#REF!,$B314,#REF!,BB$1)</f>
        <v>#REF!</v>
      </c>
      <c r="BC314" s="24" t="e">
        <f>SUMIFS(#REF!,#REF!,$B314,#REF!,BC$1)</f>
        <v>#REF!</v>
      </c>
      <c r="BD314" s="24" t="e">
        <f>SUMIFS(#REF!,#REF!,$B314,#REF!,BD$1)</f>
        <v>#REF!</v>
      </c>
      <c r="BE314" s="24" t="e">
        <f>SUMIFS(#REF!,#REF!,$B314,#REF!,BE$1)</f>
        <v>#REF!</v>
      </c>
      <c r="BF314" s="24" t="e">
        <f>SUMIFS(#REF!,#REF!,$B314,#REF!,BF$1)</f>
        <v>#REF!</v>
      </c>
      <c r="BG314" s="24" t="e">
        <f>SUMIFS(#REF!,#REF!,$B314,#REF!,BG$1)</f>
        <v>#REF!</v>
      </c>
      <c r="BH314" s="24" t="e">
        <f>SUMIFS(#REF!,#REF!,$B314,#REF!,BH$1)</f>
        <v>#REF!</v>
      </c>
      <c r="BI314" s="24" t="e">
        <f>SUMIFS(#REF!,#REF!,$B314,#REF!,BI$1)</f>
        <v>#REF!</v>
      </c>
      <c r="BJ314" s="24" t="e">
        <f>SUMIFS(#REF!,#REF!,$B314,#REF!,BJ$1)</f>
        <v>#REF!</v>
      </c>
      <c r="BK314" s="24" t="e">
        <f>SUMIFS(#REF!,#REF!,$B314,#REF!,BK$1)</f>
        <v>#REF!</v>
      </c>
      <c r="BL314" s="24" t="e">
        <f>SUMIFS(#REF!,#REF!,$B314,#REF!,BL$1)</f>
        <v>#REF!</v>
      </c>
      <c r="BM314" s="24" t="e">
        <f>SUMIFS(#REF!,#REF!,$B314,#REF!,BM$1)</f>
        <v>#REF!</v>
      </c>
      <c r="BN314" s="24" t="e">
        <f>SUMIFS(#REF!,#REF!,$B314,#REF!,BN$1)</f>
        <v>#REF!</v>
      </c>
      <c r="BO314" s="24" t="e">
        <f>SUMIFS(#REF!,#REF!,$B314,#REF!,BO$1)</f>
        <v>#REF!</v>
      </c>
      <c r="BP314" s="24" t="e">
        <f>SUMIFS(#REF!,#REF!,$B314,#REF!,BP$1)</f>
        <v>#REF!</v>
      </c>
      <c r="BQ314" s="24" t="e">
        <f>SUMIFS(#REF!,#REF!,$B314,#REF!,BQ$1)</f>
        <v>#REF!</v>
      </c>
      <c r="BR314" s="24" t="e">
        <f>SUMIFS(#REF!,#REF!,$B314,#REF!,BR$1)</f>
        <v>#REF!</v>
      </c>
      <c r="BS314" s="24" t="e">
        <f>SUMIFS(#REF!,#REF!,$B314,#REF!,BS$1)</f>
        <v>#REF!</v>
      </c>
      <c r="BT314" s="24" t="e">
        <f>SUMIFS(#REF!,#REF!,$B314,#REF!,BT$1)</f>
        <v>#REF!</v>
      </c>
      <c r="BU314" s="24" t="e">
        <f>SUMIFS(#REF!,#REF!,$B314,#REF!,BU$1)</f>
        <v>#REF!</v>
      </c>
      <c r="BV314" s="24" t="e">
        <f>SUMIFS(#REF!,#REF!,$B314,#REF!,BV$1)</f>
        <v>#REF!</v>
      </c>
      <c r="BW314" s="24" t="e">
        <f>SUMIFS(#REF!,#REF!,$B314,#REF!,BW$1)</f>
        <v>#REF!</v>
      </c>
      <c r="BX314" s="24" t="e">
        <f>SUMIFS(#REF!,#REF!,$B314,#REF!,BX$1)</f>
        <v>#REF!</v>
      </c>
      <c r="BY314" s="24" t="e">
        <f>SUMIFS(#REF!,#REF!,$B314,#REF!,BY$1)</f>
        <v>#REF!</v>
      </c>
      <c r="BZ314" s="24" t="e">
        <f>SUMIFS(#REF!,#REF!,$B314,#REF!,BZ$1)</f>
        <v>#REF!</v>
      </c>
      <c r="CA314" s="24" t="e">
        <f>SUMIFS(#REF!,#REF!,$B314,#REF!,CA$1)</f>
        <v>#REF!</v>
      </c>
      <c r="CB314" s="24" t="e">
        <f>SUMIFS(#REF!,#REF!,$B314,#REF!,CB$1)</f>
        <v>#REF!</v>
      </c>
      <c r="CC314" s="24" t="e">
        <f>SUMIFS(#REF!,#REF!,$B314,#REF!,CC$1)</f>
        <v>#REF!</v>
      </c>
      <c r="CD314" s="24" t="e">
        <f>SUMIFS(#REF!,#REF!,$B314,#REF!,CD$1)</f>
        <v>#REF!</v>
      </c>
      <c r="CE314" s="24" t="e">
        <f>SUMIFS(#REF!,#REF!,$B314,#REF!,CE$1)</f>
        <v>#REF!</v>
      </c>
      <c r="CF314" s="24" t="e">
        <f>SUMIFS(#REF!,#REF!,$B314,#REF!,CF$1)</f>
        <v>#REF!</v>
      </c>
      <c r="CG314" s="19" t="e">
        <f t="shared" si="4"/>
        <v>#REF!</v>
      </c>
    </row>
    <row r="315" spans="1:85" x14ac:dyDescent="0.45">
      <c r="A315" s="4" t="s">
        <v>1573</v>
      </c>
      <c r="B315" s="4" t="s">
        <v>1573</v>
      </c>
      <c r="C315" s="24" t="e">
        <f>SUMIFS(#REF!,#REF!,$B315,#REF!,C$1)</f>
        <v>#REF!</v>
      </c>
      <c r="D315" s="24" t="e">
        <f>SUMIFS(#REF!,#REF!,$B315,#REF!,D$1)</f>
        <v>#REF!</v>
      </c>
      <c r="E315" s="24" t="e">
        <f>SUMIFS(#REF!,#REF!,$B315,#REF!,E$1)</f>
        <v>#REF!</v>
      </c>
      <c r="F315" s="24" t="e">
        <f>SUMIFS(#REF!,#REF!,$B315,#REF!,F$1)</f>
        <v>#REF!</v>
      </c>
      <c r="G315" s="24" t="e">
        <f>SUMIFS(#REF!,#REF!,$B315,#REF!,G$1)</f>
        <v>#REF!</v>
      </c>
      <c r="H315" s="24" t="e">
        <f>SUMIFS(#REF!,#REF!,$B315,#REF!,H$1)</f>
        <v>#REF!</v>
      </c>
      <c r="I315" s="24" t="e">
        <f>SUMIFS(#REF!,#REF!,$B315,#REF!,I$1)</f>
        <v>#REF!</v>
      </c>
      <c r="J315" s="24" t="e">
        <f>SUMIFS(#REF!,#REF!,$B315,#REF!,J$1)</f>
        <v>#REF!</v>
      </c>
      <c r="K315" s="24" t="e">
        <f>SUMIFS(#REF!,#REF!,$B315,#REF!,K$1)</f>
        <v>#REF!</v>
      </c>
      <c r="L315" s="24" t="e">
        <f>SUMIFS(#REF!,#REF!,$B315,#REF!,L$1)</f>
        <v>#REF!</v>
      </c>
      <c r="M315" s="24" t="e">
        <f>SUMIFS(#REF!,#REF!,$B315,#REF!,M$1)</f>
        <v>#REF!</v>
      </c>
      <c r="N315" s="24" t="e">
        <f>SUMIFS(#REF!,#REF!,$B315,#REF!,N$1)</f>
        <v>#REF!</v>
      </c>
      <c r="O315" s="24" t="e">
        <f>SUMIFS(#REF!,#REF!,$B315,#REF!,O$1)</f>
        <v>#REF!</v>
      </c>
      <c r="P315" s="24" t="e">
        <f>SUMIFS(#REF!,#REF!,$B315,#REF!,P$1)</f>
        <v>#REF!</v>
      </c>
      <c r="Q315" s="24" t="e">
        <f>SUMIFS(#REF!,#REF!,$B315,#REF!,Q$1)</f>
        <v>#REF!</v>
      </c>
      <c r="R315" s="24" t="e">
        <f>SUMIFS(#REF!,#REF!,$B315,#REF!,R$1)</f>
        <v>#REF!</v>
      </c>
      <c r="S315" s="24" t="e">
        <f>SUMIFS(#REF!,#REF!,$B315,#REF!,S$1)</f>
        <v>#REF!</v>
      </c>
      <c r="T315" s="24" t="e">
        <f>SUMIFS(#REF!,#REF!,$B315,#REF!,T$1)</f>
        <v>#REF!</v>
      </c>
      <c r="U315" s="24" t="e">
        <f>SUMIFS(#REF!,#REF!,$B315,#REF!,U$1)</f>
        <v>#REF!</v>
      </c>
      <c r="V315" s="24" t="e">
        <f>SUMIFS(#REF!,#REF!,$B315,#REF!,V$1)</f>
        <v>#REF!</v>
      </c>
      <c r="W315" s="24" t="e">
        <f>SUMIFS(#REF!,#REF!,$B315,#REF!,W$1)</f>
        <v>#REF!</v>
      </c>
      <c r="X315" s="24" t="e">
        <f>SUMIFS(#REF!,#REF!,$B315,#REF!,X$1)</f>
        <v>#REF!</v>
      </c>
      <c r="Y315" s="24" t="e">
        <f>SUMIFS(#REF!,#REF!,$B315,#REF!,Y$1)</f>
        <v>#REF!</v>
      </c>
      <c r="Z315" s="24" t="e">
        <f>SUMIFS(#REF!,#REF!,$B315,#REF!,Z$1)</f>
        <v>#REF!</v>
      </c>
      <c r="AA315" s="24" t="e">
        <f>SUMIFS(#REF!,#REF!,$B315,#REF!,AA$1)</f>
        <v>#REF!</v>
      </c>
      <c r="AB315" s="24" t="e">
        <f>SUMIFS(#REF!,#REF!,$B315,#REF!,AB$1)</f>
        <v>#REF!</v>
      </c>
      <c r="AC315" s="24" t="e">
        <f>SUMIFS(#REF!,#REF!,$B315,#REF!,AC$1)</f>
        <v>#REF!</v>
      </c>
      <c r="AD315" s="24" t="e">
        <f>SUMIFS(#REF!,#REF!,$B315,#REF!,AD$1)</f>
        <v>#REF!</v>
      </c>
      <c r="AE315" s="24" t="e">
        <f>SUMIFS(#REF!,#REF!,$B315,#REF!,AE$1)</f>
        <v>#REF!</v>
      </c>
      <c r="AF315" s="24" t="e">
        <f>SUMIFS(#REF!,#REF!,$B315,#REF!,AF$1)</f>
        <v>#REF!</v>
      </c>
      <c r="AG315" s="24" t="e">
        <f>SUMIFS(#REF!,#REF!,$B315,#REF!,AG$1)</f>
        <v>#REF!</v>
      </c>
      <c r="AH315" s="24" t="e">
        <f>SUMIFS(#REF!,#REF!,$B315,#REF!,AH$1)</f>
        <v>#REF!</v>
      </c>
      <c r="AI315" s="24" t="e">
        <f>SUMIFS(#REF!,#REF!,$B315,#REF!,AI$1)</f>
        <v>#REF!</v>
      </c>
      <c r="AJ315" s="24" t="e">
        <f>SUMIFS(#REF!,#REF!,$B315,#REF!,AJ$1)</f>
        <v>#REF!</v>
      </c>
      <c r="AK315" s="24" t="e">
        <f>SUMIFS(#REF!,#REF!,$B315,#REF!,AK$1)</f>
        <v>#REF!</v>
      </c>
      <c r="AL315" s="24" t="e">
        <f>SUMIFS(#REF!,#REF!,$B315,#REF!,AL$1)</f>
        <v>#REF!</v>
      </c>
      <c r="AM315" s="24" t="e">
        <f>SUMIFS(#REF!,#REF!,$B315,#REF!,AM$1)</f>
        <v>#REF!</v>
      </c>
      <c r="AN315" s="24" t="e">
        <f>SUMIFS(#REF!,#REF!,$B315,#REF!,AN$1)</f>
        <v>#REF!</v>
      </c>
      <c r="AO315" s="24" t="e">
        <f>SUMIFS(#REF!,#REF!,$B315,#REF!,AO$1)</f>
        <v>#REF!</v>
      </c>
      <c r="AP315" s="24" t="e">
        <f>SUMIFS(#REF!,#REF!,$B315,#REF!,AP$1)</f>
        <v>#REF!</v>
      </c>
      <c r="AQ315" s="24" t="e">
        <f>SUMIFS(#REF!,#REF!,$B315,#REF!,AQ$1)</f>
        <v>#REF!</v>
      </c>
      <c r="AR315" s="24" t="e">
        <f>SUMIFS(#REF!,#REF!,$B315,#REF!,AR$1)</f>
        <v>#REF!</v>
      </c>
      <c r="AS315" s="24" t="e">
        <f>SUMIFS(#REF!,#REF!,$B315,#REF!,AS$1)</f>
        <v>#REF!</v>
      </c>
      <c r="AT315" s="24" t="e">
        <f>SUMIFS(#REF!,#REF!,$B315,#REF!,AT$1)</f>
        <v>#REF!</v>
      </c>
      <c r="AU315" s="24" t="e">
        <f>SUMIFS(#REF!,#REF!,$B315,#REF!,AU$1)</f>
        <v>#REF!</v>
      </c>
      <c r="AV315" s="24" t="e">
        <f>SUMIFS(#REF!,#REF!,$B315,#REF!,AV$1)</f>
        <v>#REF!</v>
      </c>
      <c r="AW315" s="24" t="e">
        <f>SUMIFS(#REF!,#REF!,$B315,#REF!,AW$1)</f>
        <v>#REF!</v>
      </c>
      <c r="AX315" s="24" t="e">
        <f>SUMIFS(#REF!,#REF!,$B315,#REF!,AX$1)</f>
        <v>#REF!</v>
      </c>
      <c r="AY315" s="24" t="e">
        <f>SUMIFS(#REF!,#REF!,$B315,#REF!,AY$1)</f>
        <v>#REF!</v>
      </c>
      <c r="AZ315" s="24" t="e">
        <f>SUMIFS(#REF!,#REF!,$B315,#REF!,AZ$1)</f>
        <v>#REF!</v>
      </c>
      <c r="BA315" s="24" t="e">
        <f>SUMIFS(#REF!,#REF!,$B315,#REF!,BA$1)</f>
        <v>#REF!</v>
      </c>
      <c r="BB315" s="24" t="e">
        <f>SUMIFS(#REF!,#REF!,$B315,#REF!,BB$1)</f>
        <v>#REF!</v>
      </c>
      <c r="BC315" s="24" t="e">
        <f>SUMIFS(#REF!,#REF!,$B315,#REF!,BC$1)</f>
        <v>#REF!</v>
      </c>
      <c r="BD315" s="24" t="e">
        <f>SUMIFS(#REF!,#REF!,$B315,#REF!,BD$1)</f>
        <v>#REF!</v>
      </c>
      <c r="BE315" s="24" t="e">
        <f>SUMIFS(#REF!,#REF!,$B315,#REF!,BE$1)</f>
        <v>#REF!</v>
      </c>
      <c r="BF315" s="24" t="e">
        <f>SUMIFS(#REF!,#REF!,$B315,#REF!,BF$1)</f>
        <v>#REF!</v>
      </c>
      <c r="BG315" s="24" t="e">
        <f>SUMIFS(#REF!,#REF!,$B315,#REF!,BG$1)</f>
        <v>#REF!</v>
      </c>
      <c r="BH315" s="24" t="e">
        <f>SUMIFS(#REF!,#REF!,$B315,#REF!,BH$1)</f>
        <v>#REF!</v>
      </c>
      <c r="BI315" s="24" t="e">
        <f>SUMIFS(#REF!,#REF!,$B315,#REF!,BI$1)</f>
        <v>#REF!</v>
      </c>
      <c r="BJ315" s="24" t="e">
        <f>SUMIFS(#REF!,#REF!,$B315,#REF!,BJ$1)</f>
        <v>#REF!</v>
      </c>
      <c r="BK315" s="24" t="e">
        <f>SUMIFS(#REF!,#REF!,$B315,#REF!,BK$1)</f>
        <v>#REF!</v>
      </c>
      <c r="BL315" s="24" t="e">
        <f>SUMIFS(#REF!,#REF!,$B315,#REF!,BL$1)</f>
        <v>#REF!</v>
      </c>
      <c r="BM315" s="24" t="e">
        <f>SUMIFS(#REF!,#REF!,$B315,#REF!,BM$1)</f>
        <v>#REF!</v>
      </c>
      <c r="BN315" s="24" t="e">
        <f>SUMIFS(#REF!,#REF!,$B315,#REF!,BN$1)</f>
        <v>#REF!</v>
      </c>
      <c r="BO315" s="24" t="e">
        <f>SUMIFS(#REF!,#REF!,$B315,#REF!,BO$1)</f>
        <v>#REF!</v>
      </c>
      <c r="BP315" s="24" t="e">
        <f>SUMIFS(#REF!,#REF!,$B315,#REF!,BP$1)</f>
        <v>#REF!</v>
      </c>
      <c r="BQ315" s="24" t="e">
        <f>SUMIFS(#REF!,#REF!,$B315,#REF!,BQ$1)</f>
        <v>#REF!</v>
      </c>
      <c r="BR315" s="24" t="e">
        <f>SUMIFS(#REF!,#REF!,$B315,#REF!,BR$1)</f>
        <v>#REF!</v>
      </c>
      <c r="BS315" s="24" t="e">
        <f>SUMIFS(#REF!,#REF!,$B315,#REF!,BS$1)</f>
        <v>#REF!</v>
      </c>
      <c r="BT315" s="24" t="e">
        <f>SUMIFS(#REF!,#REF!,$B315,#REF!,BT$1)</f>
        <v>#REF!</v>
      </c>
      <c r="BU315" s="24" t="e">
        <f>SUMIFS(#REF!,#REF!,$B315,#REF!,BU$1)</f>
        <v>#REF!</v>
      </c>
      <c r="BV315" s="24" t="e">
        <f>SUMIFS(#REF!,#REF!,$B315,#REF!,BV$1)</f>
        <v>#REF!</v>
      </c>
      <c r="BW315" s="24" t="e">
        <f>SUMIFS(#REF!,#REF!,$B315,#REF!,BW$1)</f>
        <v>#REF!</v>
      </c>
      <c r="BX315" s="24" t="e">
        <f>SUMIFS(#REF!,#REF!,$B315,#REF!,BX$1)</f>
        <v>#REF!</v>
      </c>
      <c r="BY315" s="24" t="e">
        <f>SUMIFS(#REF!,#REF!,$B315,#REF!,BY$1)</f>
        <v>#REF!</v>
      </c>
      <c r="BZ315" s="24" t="e">
        <f>SUMIFS(#REF!,#REF!,$B315,#REF!,BZ$1)</f>
        <v>#REF!</v>
      </c>
      <c r="CA315" s="24" t="e">
        <f>SUMIFS(#REF!,#REF!,$B315,#REF!,CA$1)</f>
        <v>#REF!</v>
      </c>
      <c r="CB315" s="24" t="e">
        <f>SUMIFS(#REF!,#REF!,$B315,#REF!,CB$1)</f>
        <v>#REF!</v>
      </c>
      <c r="CC315" s="24" t="e">
        <f>SUMIFS(#REF!,#REF!,$B315,#REF!,CC$1)</f>
        <v>#REF!</v>
      </c>
      <c r="CD315" s="24" t="e">
        <f>SUMIFS(#REF!,#REF!,$B315,#REF!,CD$1)</f>
        <v>#REF!</v>
      </c>
      <c r="CE315" s="24" t="e">
        <f>SUMIFS(#REF!,#REF!,$B315,#REF!,CE$1)</f>
        <v>#REF!</v>
      </c>
      <c r="CF315" s="24" t="e">
        <f>SUMIFS(#REF!,#REF!,$B315,#REF!,CF$1)</f>
        <v>#REF!</v>
      </c>
      <c r="CG315" s="19" t="e">
        <f t="shared" si="4"/>
        <v>#REF!</v>
      </c>
    </row>
    <row r="316" spans="1:85" x14ac:dyDescent="0.45">
      <c r="A316" s="4" t="s">
        <v>1574</v>
      </c>
      <c r="B316" s="4" t="s">
        <v>1574</v>
      </c>
      <c r="C316" s="24" t="e">
        <f>SUMIFS(#REF!,#REF!,$B316,#REF!,C$1)</f>
        <v>#REF!</v>
      </c>
      <c r="D316" s="24" t="e">
        <f>SUMIFS(#REF!,#REF!,$B316,#REF!,D$1)</f>
        <v>#REF!</v>
      </c>
      <c r="E316" s="24" t="e">
        <f>SUMIFS(#REF!,#REF!,$B316,#REF!,E$1)</f>
        <v>#REF!</v>
      </c>
      <c r="F316" s="24" t="e">
        <f>SUMIFS(#REF!,#REF!,$B316,#REF!,F$1)</f>
        <v>#REF!</v>
      </c>
      <c r="G316" s="24" t="e">
        <f>SUMIFS(#REF!,#REF!,$B316,#REF!,G$1)</f>
        <v>#REF!</v>
      </c>
      <c r="H316" s="24" t="e">
        <f>SUMIFS(#REF!,#REF!,$B316,#REF!,H$1)</f>
        <v>#REF!</v>
      </c>
      <c r="I316" s="24" t="e">
        <f>SUMIFS(#REF!,#REF!,$B316,#REF!,I$1)</f>
        <v>#REF!</v>
      </c>
      <c r="J316" s="24" t="e">
        <f>SUMIFS(#REF!,#REF!,$B316,#REF!,J$1)</f>
        <v>#REF!</v>
      </c>
      <c r="K316" s="24" t="e">
        <f>SUMIFS(#REF!,#REF!,$B316,#REF!,K$1)</f>
        <v>#REF!</v>
      </c>
      <c r="L316" s="24" t="e">
        <f>SUMIFS(#REF!,#REF!,$B316,#REF!,L$1)</f>
        <v>#REF!</v>
      </c>
      <c r="M316" s="24" t="e">
        <f>SUMIFS(#REF!,#REF!,$B316,#REF!,M$1)</f>
        <v>#REF!</v>
      </c>
      <c r="N316" s="24" t="e">
        <f>SUMIFS(#REF!,#REF!,$B316,#REF!,N$1)</f>
        <v>#REF!</v>
      </c>
      <c r="O316" s="24" t="e">
        <f>SUMIFS(#REF!,#REF!,$B316,#REF!,O$1)</f>
        <v>#REF!</v>
      </c>
      <c r="P316" s="24" t="e">
        <f>SUMIFS(#REF!,#REF!,$B316,#REF!,P$1)</f>
        <v>#REF!</v>
      </c>
      <c r="Q316" s="24" t="e">
        <f>SUMIFS(#REF!,#REF!,$B316,#REF!,Q$1)</f>
        <v>#REF!</v>
      </c>
      <c r="R316" s="24" t="e">
        <f>SUMIFS(#REF!,#REF!,$B316,#REF!,R$1)</f>
        <v>#REF!</v>
      </c>
      <c r="S316" s="24" t="e">
        <f>SUMIFS(#REF!,#REF!,$B316,#REF!,S$1)</f>
        <v>#REF!</v>
      </c>
      <c r="T316" s="24" t="e">
        <f>SUMIFS(#REF!,#REF!,$B316,#REF!,T$1)</f>
        <v>#REF!</v>
      </c>
      <c r="U316" s="24" t="e">
        <f>SUMIFS(#REF!,#REF!,$B316,#REF!,U$1)</f>
        <v>#REF!</v>
      </c>
      <c r="V316" s="24" t="e">
        <f>SUMIFS(#REF!,#REF!,$B316,#REF!,V$1)</f>
        <v>#REF!</v>
      </c>
      <c r="W316" s="24" t="e">
        <f>SUMIFS(#REF!,#REF!,$B316,#REF!,W$1)</f>
        <v>#REF!</v>
      </c>
      <c r="X316" s="24" t="e">
        <f>SUMIFS(#REF!,#REF!,$B316,#REF!,X$1)</f>
        <v>#REF!</v>
      </c>
      <c r="Y316" s="24" t="e">
        <f>SUMIFS(#REF!,#REF!,$B316,#REF!,Y$1)</f>
        <v>#REF!</v>
      </c>
      <c r="Z316" s="24" t="e">
        <f>SUMIFS(#REF!,#REF!,$B316,#REF!,Z$1)</f>
        <v>#REF!</v>
      </c>
      <c r="AA316" s="24" t="e">
        <f>SUMIFS(#REF!,#REF!,$B316,#REF!,AA$1)</f>
        <v>#REF!</v>
      </c>
      <c r="AB316" s="24" t="e">
        <f>SUMIFS(#REF!,#REF!,$B316,#REF!,AB$1)</f>
        <v>#REF!</v>
      </c>
      <c r="AC316" s="24" t="e">
        <f>SUMIFS(#REF!,#REF!,$B316,#REF!,AC$1)</f>
        <v>#REF!</v>
      </c>
      <c r="AD316" s="24" t="e">
        <f>SUMIFS(#REF!,#REF!,$B316,#REF!,AD$1)</f>
        <v>#REF!</v>
      </c>
      <c r="AE316" s="24" t="e">
        <f>SUMIFS(#REF!,#REF!,$B316,#REF!,AE$1)</f>
        <v>#REF!</v>
      </c>
      <c r="AF316" s="24" t="e">
        <f>SUMIFS(#REF!,#REF!,$B316,#REF!,AF$1)</f>
        <v>#REF!</v>
      </c>
      <c r="AG316" s="24" t="e">
        <f>SUMIFS(#REF!,#REF!,$B316,#REF!,AG$1)</f>
        <v>#REF!</v>
      </c>
      <c r="AH316" s="24" t="e">
        <f>SUMIFS(#REF!,#REF!,$B316,#REF!,AH$1)</f>
        <v>#REF!</v>
      </c>
      <c r="AI316" s="24" t="e">
        <f>SUMIFS(#REF!,#REF!,$B316,#REF!,AI$1)</f>
        <v>#REF!</v>
      </c>
      <c r="AJ316" s="24" t="e">
        <f>SUMIFS(#REF!,#REF!,$B316,#REF!,AJ$1)</f>
        <v>#REF!</v>
      </c>
      <c r="AK316" s="24" t="e">
        <f>SUMIFS(#REF!,#REF!,$B316,#REF!,AK$1)</f>
        <v>#REF!</v>
      </c>
      <c r="AL316" s="24" t="e">
        <f>SUMIFS(#REF!,#REF!,$B316,#REF!,AL$1)</f>
        <v>#REF!</v>
      </c>
      <c r="AM316" s="24" t="e">
        <f>SUMIFS(#REF!,#REF!,$B316,#REF!,AM$1)</f>
        <v>#REF!</v>
      </c>
      <c r="AN316" s="24" t="e">
        <f>SUMIFS(#REF!,#REF!,$B316,#REF!,AN$1)</f>
        <v>#REF!</v>
      </c>
      <c r="AO316" s="24" t="e">
        <f>SUMIFS(#REF!,#REF!,$B316,#REF!,AO$1)</f>
        <v>#REF!</v>
      </c>
      <c r="AP316" s="24" t="e">
        <f>SUMIFS(#REF!,#REF!,$B316,#REF!,AP$1)</f>
        <v>#REF!</v>
      </c>
      <c r="AQ316" s="24" t="e">
        <f>SUMIFS(#REF!,#REF!,$B316,#REF!,AQ$1)</f>
        <v>#REF!</v>
      </c>
      <c r="AR316" s="24" t="e">
        <f>SUMIFS(#REF!,#REF!,$B316,#REF!,AR$1)</f>
        <v>#REF!</v>
      </c>
      <c r="AS316" s="24" t="e">
        <f>SUMIFS(#REF!,#REF!,$B316,#REF!,AS$1)</f>
        <v>#REF!</v>
      </c>
      <c r="AT316" s="24" t="e">
        <f>SUMIFS(#REF!,#REF!,$B316,#REF!,AT$1)</f>
        <v>#REF!</v>
      </c>
      <c r="AU316" s="24" t="e">
        <f>SUMIFS(#REF!,#REF!,$B316,#REF!,AU$1)</f>
        <v>#REF!</v>
      </c>
      <c r="AV316" s="24" t="e">
        <f>SUMIFS(#REF!,#REF!,$B316,#REF!,AV$1)</f>
        <v>#REF!</v>
      </c>
      <c r="AW316" s="24" t="e">
        <f>SUMIFS(#REF!,#REF!,$B316,#REF!,AW$1)</f>
        <v>#REF!</v>
      </c>
      <c r="AX316" s="24" t="e">
        <f>SUMIFS(#REF!,#REF!,$B316,#REF!,AX$1)</f>
        <v>#REF!</v>
      </c>
      <c r="AY316" s="24" t="e">
        <f>SUMIFS(#REF!,#REF!,$B316,#REF!,AY$1)</f>
        <v>#REF!</v>
      </c>
      <c r="AZ316" s="24" t="e">
        <f>SUMIFS(#REF!,#REF!,$B316,#REF!,AZ$1)</f>
        <v>#REF!</v>
      </c>
      <c r="BA316" s="24" t="e">
        <f>SUMIFS(#REF!,#REF!,$B316,#REF!,BA$1)</f>
        <v>#REF!</v>
      </c>
      <c r="BB316" s="24" t="e">
        <f>SUMIFS(#REF!,#REF!,$B316,#REF!,BB$1)</f>
        <v>#REF!</v>
      </c>
      <c r="BC316" s="24" t="e">
        <f>SUMIFS(#REF!,#REF!,$B316,#REF!,BC$1)</f>
        <v>#REF!</v>
      </c>
      <c r="BD316" s="24" t="e">
        <f>SUMIFS(#REF!,#REF!,$B316,#REF!,BD$1)</f>
        <v>#REF!</v>
      </c>
      <c r="BE316" s="24" t="e">
        <f>SUMIFS(#REF!,#REF!,$B316,#REF!,BE$1)</f>
        <v>#REF!</v>
      </c>
      <c r="BF316" s="24" t="e">
        <f>SUMIFS(#REF!,#REF!,$B316,#REF!,BF$1)</f>
        <v>#REF!</v>
      </c>
      <c r="BG316" s="24" t="e">
        <f>SUMIFS(#REF!,#REF!,$B316,#REF!,BG$1)</f>
        <v>#REF!</v>
      </c>
      <c r="BH316" s="24" t="e">
        <f>SUMIFS(#REF!,#REF!,$B316,#REF!,BH$1)</f>
        <v>#REF!</v>
      </c>
      <c r="BI316" s="24" t="e">
        <f>SUMIFS(#REF!,#REF!,$B316,#REF!,BI$1)</f>
        <v>#REF!</v>
      </c>
      <c r="BJ316" s="24" t="e">
        <f>SUMIFS(#REF!,#REF!,$B316,#REF!,BJ$1)</f>
        <v>#REF!</v>
      </c>
      <c r="BK316" s="24" t="e">
        <f>SUMIFS(#REF!,#REF!,$B316,#REF!,BK$1)</f>
        <v>#REF!</v>
      </c>
      <c r="BL316" s="24" t="e">
        <f>SUMIFS(#REF!,#REF!,$B316,#REF!,BL$1)</f>
        <v>#REF!</v>
      </c>
      <c r="BM316" s="24" t="e">
        <f>SUMIFS(#REF!,#REF!,$B316,#REF!,BM$1)</f>
        <v>#REF!</v>
      </c>
      <c r="BN316" s="24" t="e">
        <f>SUMIFS(#REF!,#REF!,$B316,#REF!,BN$1)</f>
        <v>#REF!</v>
      </c>
      <c r="BO316" s="24" t="e">
        <f>SUMIFS(#REF!,#REF!,$B316,#REF!,BO$1)</f>
        <v>#REF!</v>
      </c>
      <c r="BP316" s="24" t="e">
        <f>SUMIFS(#REF!,#REF!,$B316,#REF!,BP$1)</f>
        <v>#REF!</v>
      </c>
      <c r="BQ316" s="24" t="e">
        <f>SUMIFS(#REF!,#REF!,$B316,#REF!,BQ$1)</f>
        <v>#REF!</v>
      </c>
      <c r="BR316" s="24" t="e">
        <f>SUMIFS(#REF!,#REF!,$B316,#REF!,BR$1)</f>
        <v>#REF!</v>
      </c>
      <c r="BS316" s="24" t="e">
        <f>SUMIFS(#REF!,#REF!,$B316,#REF!,BS$1)</f>
        <v>#REF!</v>
      </c>
      <c r="BT316" s="24" t="e">
        <f>SUMIFS(#REF!,#REF!,$B316,#REF!,BT$1)</f>
        <v>#REF!</v>
      </c>
      <c r="BU316" s="24" t="e">
        <f>SUMIFS(#REF!,#REF!,$B316,#REF!,BU$1)</f>
        <v>#REF!</v>
      </c>
      <c r="BV316" s="24" t="e">
        <f>SUMIFS(#REF!,#REF!,$B316,#REF!,BV$1)</f>
        <v>#REF!</v>
      </c>
      <c r="BW316" s="24" t="e">
        <f>SUMIFS(#REF!,#REF!,$B316,#REF!,BW$1)</f>
        <v>#REF!</v>
      </c>
      <c r="BX316" s="24" t="e">
        <f>SUMIFS(#REF!,#REF!,$B316,#REF!,BX$1)</f>
        <v>#REF!</v>
      </c>
      <c r="BY316" s="24" t="e">
        <f>SUMIFS(#REF!,#REF!,$B316,#REF!,BY$1)</f>
        <v>#REF!</v>
      </c>
      <c r="BZ316" s="24" t="e">
        <f>SUMIFS(#REF!,#REF!,$B316,#REF!,BZ$1)</f>
        <v>#REF!</v>
      </c>
      <c r="CA316" s="24" t="e">
        <f>SUMIFS(#REF!,#REF!,$B316,#REF!,CA$1)</f>
        <v>#REF!</v>
      </c>
      <c r="CB316" s="24" t="e">
        <f>SUMIFS(#REF!,#REF!,$B316,#REF!,CB$1)</f>
        <v>#REF!</v>
      </c>
      <c r="CC316" s="24" t="e">
        <f>SUMIFS(#REF!,#REF!,$B316,#REF!,CC$1)</f>
        <v>#REF!</v>
      </c>
      <c r="CD316" s="24" t="e">
        <f>SUMIFS(#REF!,#REF!,$B316,#REF!,CD$1)</f>
        <v>#REF!</v>
      </c>
      <c r="CE316" s="24" t="e">
        <f>SUMIFS(#REF!,#REF!,$B316,#REF!,CE$1)</f>
        <v>#REF!</v>
      </c>
      <c r="CF316" s="24" t="e">
        <f>SUMIFS(#REF!,#REF!,$B316,#REF!,CF$1)</f>
        <v>#REF!</v>
      </c>
      <c r="CG316" s="19" t="e">
        <f t="shared" si="4"/>
        <v>#REF!</v>
      </c>
    </row>
    <row r="317" spans="1:85" x14ac:dyDescent="0.45">
      <c r="A317" s="4" t="s">
        <v>1575</v>
      </c>
      <c r="B317" s="4" t="s">
        <v>1575</v>
      </c>
      <c r="C317" s="24" t="e">
        <f>SUMIFS(#REF!,#REF!,$B317,#REF!,C$1)</f>
        <v>#REF!</v>
      </c>
      <c r="D317" s="24" t="e">
        <f>SUMIFS(#REF!,#REF!,$B317,#REF!,D$1)</f>
        <v>#REF!</v>
      </c>
      <c r="E317" s="24" t="e">
        <f>SUMIFS(#REF!,#REF!,$B317,#REF!,E$1)</f>
        <v>#REF!</v>
      </c>
      <c r="F317" s="24" t="e">
        <f>SUMIFS(#REF!,#REF!,$B317,#REF!,F$1)</f>
        <v>#REF!</v>
      </c>
      <c r="G317" s="24" t="e">
        <f>SUMIFS(#REF!,#REF!,$B317,#REF!,G$1)</f>
        <v>#REF!</v>
      </c>
      <c r="H317" s="24" t="e">
        <f>SUMIFS(#REF!,#REF!,$B317,#REF!,H$1)</f>
        <v>#REF!</v>
      </c>
      <c r="I317" s="24" t="e">
        <f>SUMIFS(#REF!,#REF!,$B317,#REF!,I$1)</f>
        <v>#REF!</v>
      </c>
      <c r="J317" s="24" t="e">
        <f>SUMIFS(#REF!,#REF!,$B317,#REF!,J$1)</f>
        <v>#REF!</v>
      </c>
      <c r="K317" s="24" t="e">
        <f>SUMIFS(#REF!,#REF!,$B317,#REF!,K$1)</f>
        <v>#REF!</v>
      </c>
      <c r="L317" s="24" t="e">
        <f>SUMIFS(#REF!,#REF!,$B317,#REF!,L$1)</f>
        <v>#REF!</v>
      </c>
      <c r="M317" s="24" t="e">
        <f>SUMIFS(#REF!,#REF!,$B317,#REF!,M$1)</f>
        <v>#REF!</v>
      </c>
      <c r="N317" s="24" t="e">
        <f>SUMIFS(#REF!,#REF!,$B317,#REF!,N$1)</f>
        <v>#REF!</v>
      </c>
      <c r="O317" s="24" t="e">
        <f>SUMIFS(#REF!,#REF!,$B317,#REF!,O$1)</f>
        <v>#REF!</v>
      </c>
      <c r="P317" s="24" t="e">
        <f>SUMIFS(#REF!,#REF!,$B317,#REF!,P$1)</f>
        <v>#REF!</v>
      </c>
      <c r="Q317" s="24" t="e">
        <f>SUMIFS(#REF!,#REF!,$B317,#REF!,Q$1)</f>
        <v>#REF!</v>
      </c>
      <c r="R317" s="24" t="e">
        <f>SUMIFS(#REF!,#REF!,$B317,#REF!,R$1)</f>
        <v>#REF!</v>
      </c>
      <c r="S317" s="24" t="e">
        <f>SUMIFS(#REF!,#REF!,$B317,#REF!,S$1)</f>
        <v>#REF!</v>
      </c>
      <c r="T317" s="24" t="e">
        <f>SUMIFS(#REF!,#REF!,$B317,#REF!,T$1)</f>
        <v>#REF!</v>
      </c>
      <c r="U317" s="24" t="e">
        <f>SUMIFS(#REF!,#REF!,$B317,#REF!,U$1)</f>
        <v>#REF!</v>
      </c>
      <c r="V317" s="24" t="e">
        <f>SUMIFS(#REF!,#REF!,$B317,#REF!,V$1)</f>
        <v>#REF!</v>
      </c>
      <c r="W317" s="24" t="e">
        <f>SUMIFS(#REF!,#REF!,$B317,#REF!,W$1)</f>
        <v>#REF!</v>
      </c>
      <c r="X317" s="24" t="e">
        <f>SUMIFS(#REF!,#REF!,$B317,#REF!,X$1)</f>
        <v>#REF!</v>
      </c>
      <c r="Y317" s="24" t="e">
        <f>SUMIFS(#REF!,#REF!,$B317,#REF!,Y$1)</f>
        <v>#REF!</v>
      </c>
      <c r="Z317" s="24" t="e">
        <f>SUMIFS(#REF!,#REF!,$B317,#REF!,Z$1)</f>
        <v>#REF!</v>
      </c>
      <c r="AA317" s="24" t="e">
        <f>SUMIFS(#REF!,#REF!,$B317,#REF!,AA$1)</f>
        <v>#REF!</v>
      </c>
      <c r="AB317" s="24" t="e">
        <f>SUMIFS(#REF!,#REF!,$B317,#REF!,AB$1)</f>
        <v>#REF!</v>
      </c>
      <c r="AC317" s="24" t="e">
        <f>SUMIFS(#REF!,#REF!,$B317,#REF!,AC$1)</f>
        <v>#REF!</v>
      </c>
      <c r="AD317" s="24" t="e">
        <f>SUMIFS(#REF!,#REF!,$B317,#REF!,AD$1)</f>
        <v>#REF!</v>
      </c>
      <c r="AE317" s="24" t="e">
        <f>SUMIFS(#REF!,#REF!,$B317,#REF!,AE$1)</f>
        <v>#REF!</v>
      </c>
      <c r="AF317" s="24" t="e">
        <f>SUMIFS(#REF!,#REF!,$B317,#REF!,AF$1)</f>
        <v>#REF!</v>
      </c>
      <c r="AG317" s="24" t="e">
        <f>SUMIFS(#REF!,#REF!,$B317,#REF!,AG$1)</f>
        <v>#REF!</v>
      </c>
      <c r="AH317" s="24" t="e">
        <f>SUMIFS(#REF!,#REF!,$B317,#REF!,AH$1)</f>
        <v>#REF!</v>
      </c>
      <c r="AI317" s="24" t="e">
        <f>SUMIFS(#REF!,#REF!,$B317,#REF!,AI$1)</f>
        <v>#REF!</v>
      </c>
      <c r="AJ317" s="24" t="e">
        <f>SUMIFS(#REF!,#REF!,$B317,#REF!,AJ$1)</f>
        <v>#REF!</v>
      </c>
      <c r="AK317" s="24" t="e">
        <f>SUMIFS(#REF!,#REF!,$B317,#REF!,AK$1)</f>
        <v>#REF!</v>
      </c>
      <c r="AL317" s="24" t="e">
        <f>SUMIFS(#REF!,#REF!,$B317,#REF!,AL$1)</f>
        <v>#REF!</v>
      </c>
      <c r="AM317" s="24" t="e">
        <f>SUMIFS(#REF!,#REF!,$B317,#REF!,AM$1)</f>
        <v>#REF!</v>
      </c>
      <c r="AN317" s="24" t="e">
        <f>SUMIFS(#REF!,#REF!,$B317,#REF!,AN$1)</f>
        <v>#REF!</v>
      </c>
      <c r="AO317" s="24" t="e">
        <f>SUMIFS(#REF!,#REF!,$B317,#REF!,AO$1)</f>
        <v>#REF!</v>
      </c>
      <c r="AP317" s="24" t="e">
        <f>SUMIFS(#REF!,#REF!,$B317,#REF!,AP$1)</f>
        <v>#REF!</v>
      </c>
      <c r="AQ317" s="24" t="e">
        <f>SUMIFS(#REF!,#REF!,$B317,#REF!,AQ$1)</f>
        <v>#REF!</v>
      </c>
      <c r="AR317" s="24" t="e">
        <f>SUMIFS(#REF!,#REF!,$B317,#REF!,AR$1)</f>
        <v>#REF!</v>
      </c>
      <c r="AS317" s="24" t="e">
        <f>SUMIFS(#REF!,#REF!,$B317,#REF!,AS$1)</f>
        <v>#REF!</v>
      </c>
      <c r="AT317" s="24" t="e">
        <f>SUMIFS(#REF!,#REF!,$B317,#REF!,AT$1)</f>
        <v>#REF!</v>
      </c>
      <c r="AU317" s="24" t="e">
        <f>SUMIFS(#REF!,#REF!,$B317,#REF!,AU$1)</f>
        <v>#REF!</v>
      </c>
      <c r="AV317" s="24" t="e">
        <f>SUMIFS(#REF!,#REF!,$B317,#REF!,AV$1)</f>
        <v>#REF!</v>
      </c>
      <c r="AW317" s="24" t="e">
        <f>SUMIFS(#REF!,#REF!,$B317,#REF!,AW$1)</f>
        <v>#REF!</v>
      </c>
      <c r="AX317" s="24" t="e">
        <f>SUMIFS(#REF!,#REF!,$B317,#REF!,AX$1)</f>
        <v>#REF!</v>
      </c>
      <c r="AY317" s="24" t="e">
        <f>SUMIFS(#REF!,#REF!,$B317,#REF!,AY$1)</f>
        <v>#REF!</v>
      </c>
      <c r="AZ317" s="24" t="e">
        <f>SUMIFS(#REF!,#REF!,$B317,#REF!,AZ$1)</f>
        <v>#REF!</v>
      </c>
      <c r="BA317" s="24" t="e">
        <f>SUMIFS(#REF!,#REF!,$B317,#REF!,BA$1)</f>
        <v>#REF!</v>
      </c>
      <c r="BB317" s="24" t="e">
        <f>SUMIFS(#REF!,#REF!,$B317,#REF!,BB$1)</f>
        <v>#REF!</v>
      </c>
      <c r="BC317" s="24" t="e">
        <f>SUMIFS(#REF!,#REF!,$B317,#REF!,BC$1)</f>
        <v>#REF!</v>
      </c>
      <c r="BD317" s="24" t="e">
        <f>SUMIFS(#REF!,#REF!,$B317,#REF!,BD$1)</f>
        <v>#REF!</v>
      </c>
      <c r="BE317" s="24" t="e">
        <f>SUMIFS(#REF!,#REF!,$B317,#REF!,BE$1)</f>
        <v>#REF!</v>
      </c>
      <c r="BF317" s="24" t="e">
        <f>SUMIFS(#REF!,#REF!,$B317,#REF!,BF$1)</f>
        <v>#REF!</v>
      </c>
      <c r="BG317" s="24" t="e">
        <f>SUMIFS(#REF!,#REF!,$B317,#REF!,BG$1)</f>
        <v>#REF!</v>
      </c>
      <c r="BH317" s="24" t="e">
        <f>SUMIFS(#REF!,#REF!,$B317,#REF!,BH$1)</f>
        <v>#REF!</v>
      </c>
      <c r="BI317" s="24" t="e">
        <f>SUMIFS(#REF!,#REF!,$B317,#REF!,BI$1)</f>
        <v>#REF!</v>
      </c>
      <c r="BJ317" s="24" t="e">
        <f>SUMIFS(#REF!,#REF!,$B317,#REF!,BJ$1)</f>
        <v>#REF!</v>
      </c>
      <c r="BK317" s="24" t="e">
        <f>SUMIFS(#REF!,#REF!,$B317,#REF!,BK$1)</f>
        <v>#REF!</v>
      </c>
      <c r="BL317" s="24" t="e">
        <f>SUMIFS(#REF!,#REF!,$B317,#REF!,BL$1)</f>
        <v>#REF!</v>
      </c>
      <c r="BM317" s="24" t="e">
        <f>SUMIFS(#REF!,#REF!,$B317,#REF!,BM$1)</f>
        <v>#REF!</v>
      </c>
      <c r="BN317" s="24" t="e">
        <f>SUMIFS(#REF!,#REF!,$B317,#REF!,BN$1)</f>
        <v>#REF!</v>
      </c>
      <c r="BO317" s="24" t="e">
        <f>SUMIFS(#REF!,#REF!,$B317,#REF!,BO$1)</f>
        <v>#REF!</v>
      </c>
      <c r="BP317" s="24" t="e">
        <f>SUMIFS(#REF!,#REF!,$B317,#REF!,BP$1)</f>
        <v>#REF!</v>
      </c>
      <c r="BQ317" s="24" t="e">
        <f>SUMIFS(#REF!,#REF!,$B317,#REF!,BQ$1)</f>
        <v>#REF!</v>
      </c>
      <c r="BR317" s="24" t="e">
        <f>SUMIFS(#REF!,#REF!,$B317,#REF!,BR$1)</f>
        <v>#REF!</v>
      </c>
      <c r="BS317" s="24" t="e">
        <f>SUMIFS(#REF!,#REF!,$B317,#REF!,BS$1)</f>
        <v>#REF!</v>
      </c>
      <c r="BT317" s="24" t="e">
        <f>SUMIFS(#REF!,#REF!,$B317,#REF!,BT$1)</f>
        <v>#REF!</v>
      </c>
      <c r="BU317" s="24" t="e">
        <f>SUMIFS(#REF!,#REF!,$B317,#REF!,BU$1)</f>
        <v>#REF!</v>
      </c>
      <c r="BV317" s="24" t="e">
        <f>SUMIFS(#REF!,#REF!,$B317,#REF!,BV$1)</f>
        <v>#REF!</v>
      </c>
      <c r="BW317" s="24" t="e">
        <f>SUMIFS(#REF!,#REF!,$B317,#REF!,BW$1)</f>
        <v>#REF!</v>
      </c>
      <c r="BX317" s="24" t="e">
        <f>SUMIFS(#REF!,#REF!,$B317,#REF!,BX$1)</f>
        <v>#REF!</v>
      </c>
      <c r="BY317" s="24" t="e">
        <f>SUMIFS(#REF!,#REF!,$B317,#REF!,BY$1)</f>
        <v>#REF!</v>
      </c>
      <c r="BZ317" s="24" t="e">
        <f>SUMIFS(#REF!,#REF!,$B317,#REF!,BZ$1)</f>
        <v>#REF!</v>
      </c>
      <c r="CA317" s="24" t="e">
        <f>SUMIFS(#REF!,#REF!,$B317,#REF!,CA$1)</f>
        <v>#REF!</v>
      </c>
      <c r="CB317" s="24" t="e">
        <f>SUMIFS(#REF!,#REF!,$B317,#REF!,CB$1)</f>
        <v>#REF!</v>
      </c>
      <c r="CC317" s="24" t="e">
        <f>SUMIFS(#REF!,#REF!,$B317,#REF!,CC$1)</f>
        <v>#REF!</v>
      </c>
      <c r="CD317" s="24" t="e">
        <f>SUMIFS(#REF!,#REF!,$B317,#REF!,CD$1)</f>
        <v>#REF!</v>
      </c>
      <c r="CE317" s="24" t="e">
        <f>SUMIFS(#REF!,#REF!,$B317,#REF!,CE$1)</f>
        <v>#REF!</v>
      </c>
      <c r="CF317" s="24" t="e">
        <f>SUMIFS(#REF!,#REF!,$B317,#REF!,CF$1)</f>
        <v>#REF!</v>
      </c>
      <c r="CG317" s="19" t="e">
        <f t="shared" si="4"/>
        <v>#REF!</v>
      </c>
    </row>
    <row r="318" spans="1:85" x14ac:dyDescent="0.45">
      <c r="A318" s="4"/>
      <c r="B318" s="4" t="s">
        <v>1576</v>
      </c>
      <c r="C318" s="24" t="e">
        <f>SUMIFS(#REF!,#REF!,$B318,#REF!,C$1)</f>
        <v>#REF!</v>
      </c>
      <c r="D318" s="24" t="e">
        <f>SUMIFS(#REF!,#REF!,$B318,#REF!,D$1)</f>
        <v>#REF!</v>
      </c>
      <c r="E318" s="24" t="e">
        <f>SUMIFS(#REF!,#REF!,$B318,#REF!,E$1)</f>
        <v>#REF!</v>
      </c>
      <c r="F318" s="24" t="e">
        <f>SUMIFS(#REF!,#REF!,$B318,#REF!,F$1)</f>
        <v>#REF!</v>
      </c>
      <c r="G318" s="24" t="e">
        <f>SUMIFS(#REF!,#REF!,$B318,#REF!,G$1)</f>
        <v>#REF!</v>
      </c>
      <c r="H318" s="24" t="e">
        <f>SUMIFS(#REF!,#REF!,$B318,#REF!,H$1)</f>
        <v>#REF!</v>
      </c>
      <c r="I318" s="24" t="e">
        <f>SUMIFS(#REF!,#REF!,$B318,#REF!,I$1)</f>
        <v>#REF!</v>
      </c>
      <c r="J318" s="24" t="e">
        <f>SUMIFS(#REF!,#REF!,$B318,#REF!,J$1)</f>
        <v>#REF!</v>
      </c>
      <c r="K318" s="24" t="e">
        <f>SUMIFS(#REF!,#REF!,$B318,#REF!,K$1)</f>
        <v>#REF!</v>
      </c>
      <c r="L318" s="24" t="e">
        <f>SUMIFS(#REF!,#REF!,$B318,#REF!,L$1)</f>
        <v>#REF!</v>
      </c>
      <c r="M318" s="24" t="e">
        <f>SUMIFS(#REF!,#REF!,$B318,#REF!,M$1)</f>
        <v>#REF!</v>
      </c>
      <c r="N318" s="24" t="e">
        <f>SUMIFS(#REF!,#REF!,$B318,#REF!,N$1)</f>
        <v>#REF!</v>
      </c>
      <c r="O318" s="24" t="e">
        <f>SUMIFS(#REF!,#REF!,$B318,#REF!,O$1)</f>
        <v>#REF!</v>
      </c>
      <c r="P318" s="24" t="e">
        <f>SUMIFS(#REF!,#REF!,$B318,#REF!,P$1)</f>
        <v>#REF!</v>
      </c>
      <c r="Q318" s="24" t="e">
        <f>SUMIFS(#REF!,#REF!,$B318,#REF!,Q$1)</f>
        <v>#REF!</v>
      </c>
      <c r="R318" s="24" t="e">
        <f>SUMIFS(#REF!,#REF!,$B318,#REF!,R$1)</f>
        <v>#REF!</v>
      </c>
      <c r="S318" s="24" t="e">
        <f>SUMIFS(#REF!,#REF!,$B318,#REF!,S$1)</f>
        <v>#REF!</v>
      </c>
      <c r="T318" s="24" t="e">
        <f>SUMIFS(#REF!,#REF!,$B318,#REF!,T$1)</f>
        <v>#REF!</v>
      </c>
      <c r="U318" s="24" t="e">
        <f>SUMIFS(#REF!,#REF!,$B318,#REF!,U$1)</f>
        <v>#REF!</v>
      </c>
      <c r="V318" s="24" t="e">
        <f>SUMIFS(#REF!,#REF!,$B318,#REF!,V$1)</f>
        <v>#REF!</v>
      </c>
      <c r="W318" s="24" t="e">
        <f>SUMIFS(#REF!,#REF!,$B318,#REF!,W$1)</f>
        <v>#REF!</v>
      </c>
      <c r="X318" s="24" t="e">
        <f>SUMIFS(#REF!,#REF!,$B318,#REF!,X$1)</f>
        <v>#REF!</v>
      </c>
      <c r="Y318" s="24" t="e">
        <f>SUMIFS(#REF!,#REF!,$B318,#REF!,Y$1)</f>
        <v>#REF!</v>
      </c>
      <c r="Z318" s="24" t="e">
        <f>SUMIFS(#REF!,#REF!,$B318,#REF!,Z$1)</f>
        <v>#REF!</v>
      </c>
      <c r="AA318" s="24" t="e">
        <f>SUMIFS(#REF!,#REF!,$B318,#REF!,AA$1)</f>
        <v>#REF!</v>
      </c>
      <c r="AB318" s="24" t="e">
        <f>SUMIFS(#REF!,#REF!,$B318,#REF!,AB$1)</f>
        <v>#REF!</v>
      </c>
      <c r="AC318" s="24" t="e">
        <f>SUMIFS(#REF!,#REF!,$B318,#REF!,AC$1)</f>
        <v>#REF!</v>
      </c>
      <c r="AD318" s="24" t="e">
        <f>SUMIFS(#REF!,#REF!,$B318,#REF!,AD$1)</f>
        <v>#REF!</v>
      </c>
      <c r="AE318" s="24" t="e">
        <f>SUMIFS(#REF!,#REF!,$B318,#REF!,AE$1)</f>
        <v>#REF!</v>
      </c>
      <c r="AF318" s="24" t="e">
        <f>SUMIFS(#REF!,#REF!,$B318,#REF!,AF$1)</f>
        <v>#REF!</v>
      </c>
      <c r="AG318" s="24" t="e">
        <f>SUMIFS(#REF!,#REF!,$B318,#REF!,AG$1)</f>
        <v>#REF!</v>
      </c>
      <c r="AH318" s="24" t="e">
        <f>SUMIFS(#REF!,#REF!,$B318,#REF!,AH$1)</f>
        <v>#REF!</v>
      </c>
      <c r="AI318" s="24" t="e">
        <f>SUMIFS(#REF!,#REF!,$B318,#REF!,AI$1)</f>
        <v>#REF!</v>
      </c>
      <c r="AJ318" s="24" t="e">
        <f>SUMIFS(#REF!,#REF!,$B318,#REF!,AJ$1)</f>
        <v>#REF!</v>
      </c>
      <c r="AK318" s="24" t="e">
        <f>SUMIFS(#REF!,#REF!,$B318,#REF!,AK$1)</f>
        <v>#REF!</v>
      </c>
      <c r="AL318" s="24" t="e">
        <f>SUMIFS(#REF!,#REF!,$B318,#REF!,AL$1)</f>
        <v>#REF!</v>
      </c>
      <c r="AM318" s="24" t="e">
        <f>SUMIFS(#REF!,#REF!,$B318,#REF!,AM$1)</f>
        <v>#REF!</v>
      </c>
      <c r="AN318" s="24" t="e">
        <f>SUMIFS(#REF!,#REF!,$B318,#REF!,AN$1)</f>
        <v>#REF!</v>
      </c>
      <c r="AO318" s="24" t="e">
        <f>SUMIFS(#REF!,#REF!,$B318,#REF!,AO$1)</f>
        <v>#REF!</v>
      </c>
      <c r="AP318" s="24" t="e">
        <f>SUMIFS(#REF!,#REF!,$B318,#REF!,AP$1)</f>
        <v>#REF!</v>
      </c>
      <c r="AQ318" s="24" t="e">
        <f>SUMIFS(#REF!,#REF!,$B318,#REF!,AQ$1)</f>
        <v>#REF!</v>
      </c>
      <c r="AR318" s="24" t="e">
        <f>SUMIFS(#REF!,#REF!,$B318,#REF!,AR$1)</f>
        <v>#REF!</v>
      </c>
      <c r="AS318" s="24" t="e">
        <f>SUMIFS(#REF!,#REF!,$B318,#REF!,AS$1)</f>
        <v>#REF!</v>
      </c>
      <c r="AT318" s="24" t="e">
        <f>SUMIFS(#REF!,#REF!,$B318,#REF!,AT$1)</f>
        <v>#REF!</v>
      </c>
      <c r="AU318" s="24" t="e">
        <f>SUMIFS(#REF!,#REF!,$B318,#REF!,AU$1)</f>
        <v>#REF!</v>
      </c>
      <c r="AV318" s="24" t="e">
        <f>SUMIFS(#REF!,#REF!,$B318,#REF!,AV$1)</f>
        <v>#REF!</v>
      </c>
      <c r="AW318" s="24" t="e">
        <f>SUMIFS(#REF!,#REF!,$B318,#REF!,AW$1)</f>
        <v>#REF!</v>
      </c>
      <c r="AX318" s="24" t="e">
        <f>SUMIFS(#REF!,#REF!,$B318,#REF!,AX$1)</f>
        <v>#REF!</v>
      </c>
      <c r="AY318" s="24" t="e">
        <f>SUMIFS(#REF!,#REF!,$B318,#REF!,AY$1)</f>
        <v>#REF!</v>
      </c>
      <c r="AZ318" s="24" t="e">
        <f>SUMIFS(#REF!,#REF!,$B318,#REF!,AZ$1)</f>
        <v>#REF!</v>
      </c>
      <c r="BA318" s="24" t="e">
        <f>SUMIFS(#REF!,#REF!,$B318,#REF!,BA$1)</f>
        <v>#REF!</v>
      </c>
      <c r="BB318" s="24" t="e">
        <f>SUMIFS(#REF!,#REF!,$B318,#REF!,BB$1)</f>
        <v>#REF!</v>
      </c>
      <c r="BC318" s="24" t="e">
        <f>SUMIFS(#REF!,#REF!,$B318,#REF!,BC$1)</f>
        <v>#REF!</v>
      </c>
      <c r="BD318" s="24" t="e">
        <f>SUMIFS(#REF!,#REF!,$B318,#REF!,BD$1)</f>
        <v>#REF!</v>
      </c>
      <c r="BE318" s="24" t="e">
        <f>SUMIFS(#REF!,#REF!,$B318,#REF!,BE$1)</f>
        <v>#REF!</v>
      </c>
      <c r="BF318" s="24" t="e">
        <f>SUMIFS(#REF!,#REF!,$B318,#REF!,BF$1)</f>
        <v>#REF!</v>
      </c>
      <c r="BG318" s="24" t="e">
        <f>SUMIFS(#REF!,#REF!,$B318,#REF!,BG$1)</f>
        <v>#REF!</v>
      </c>
      <c r="BH318" s="24" t="e">
        <f>SUMIFS(#REF!,#REF!,$B318,#REF!,BH$1)</f>
        <v>#REF!</v>
      </c>
      <c r="BI318" s="24" t="e">
        <f>SUMIFS(#REF!,#REF!,$B318,#REF!,BI$1)</f>
        <v>#REF!</v>
      </c>
      <c r="BJ318" s="24" t="e">
        <f>SUMIFS(#REF!,#REF!,$B318,#REF!,BJ$1)</f>
        <v>#REF!</v>
      </c>
      <c r="BK318" s="24" t="e">
        <f>SUMIFS(#REF!,#REF!,$B318,#REF!,BK$1)</f>
        <v>#REF!</v>
      </c>
      <c r="BL318" s="24" t="e">
        <f>SUMIFS(#REF!,#REF!,$B318,#REF!,BL$1)</f>
        <v>#REF!</v>
      </c>
      <c r="BM318" s="24" t="e">
        <f>SUMIFS(#REF!,#REF!,$B318,#REF!,BM$1)</f>
        <v>#REF!</v>
      </c>
      <c r="BN318" s="24" t="e">
        <f>SUMIFS(#REF!,#REF!,$B318,#REF!,BN$1)</f>
        <v>#REF!</v>
      </c>
      <c r="BO318" s="24" t="e">
        <f>SUMIFS(#REF!,#REF!,$B318,#REF!,BO$1)</f>
        <v>#REF!</v>
      </c>
      <c r="BP318" s="24" t="e">
        <f>SUMIFS(#REF!,#REF!,$B318,#REF!,BP$1)</f>
        <v>#REF!</v>
      </c>
      <c r="BQ318" s="24" t="e">
        <f>SUMIFS(#REF!,#REF!,$B318,#REF!,BQ$1)</f>
        <v>#REF!</v>
      </c>
      <c r="BR318" s="24" t="e">
        <f>SUMIFS(#REF!,#REF!,$B318,#REF!,BR$1)</f>
        <v>#REF!</v>
      </c>
      <c r="BS318" s="24" t="e">
        <f>SUMIFS(#REF!,#REF!,$B318,#REF!,BS$1)</f>
        <v>#REF!</v>
      </c>
      <c r="BT318" s="24" t="e">
        <f>SUMIFS(#REF!,#REF!,$B318,#REF!,BT$1)</f>
        <v>#REF!</v>
      </c>
      <c r="BU318" s="24" t="e">
        <f>SUMIFS(#REF!,#REF!,$B318,#REF!,BU$1)</f>
        <v>#REF!</v>
      </c>
      <c r="BV318" s="24" t="e">
        <f>SUMIFS(#REF!,#REF!,$B318,#REF!,BV$1)</f>
        <v>#REF!</v>
      </c>
      <c r="BW318" s="24" t="e">
        <f>SUMIFS(#REF!,#REF!,$B318,#REF!,BW$1)</f>
        <v>#REF!</v>
      </c>
      <c r="BX318" s="24" t="e">
        <f>SUMIFS(#REF!,#REF!,$B318,#REF!,BX$1)</f>
        <v>#REF!</v>
      </c>
      <c r="BY318" s="24" t="e">
        <f>SUMIFS(#REF!,#REF!,$B318,#REF!,BY$1)</f>
        <v>#REF!</v>
      </c>
      <c r="BZ318" s="24" t="e">
        <f>SUMIFS(#REF!,#REF!,$B318,#REF!,BZ$1)</f>
        <v>#REF!</v>
      </c>
      <c r="CA318" s="24" t="e">
        <f>SUMIFS(#REF!,#REF!,$B318,#REF!,CA$1)</f>
        <v>#REF!</v>
      </c>
      <c r="CB318" s="24" t="e">
        <f>SUMIFS(#REF!,#REF!,$B318,#REF!,CB$1)</f>
        <v>#REF!</v>
      </c>
      <c r="CC318" s="24" t="e">
        <f>SUMIFS(#REF!,#REF!,$B318,#REF!,CC$1)</f>
        <v>#REF!</v>
      </c>
      <c r="CD318" s="24" t="e">
        <f>SUMIFS(#REF!,#REF!,$B318,#REF!,CD$1)</f>
        <v>#REF!</v>
      </c>
      <c r="CE318" s="24" t="e">
        <f>SUMIFS(#REF!,#REF!,$B318,#REF!,CE$1)</f>
        <v>#REF!</v>
      </c>
      <c r="CF318" s="24" t="e">
        <f>SUMIFS(#REF!,#REF!,$B318,#REF!,CF$1)</f>
        <v>#REF!</v>
      </c>
      <c r="CG318" s="19" t="e">
        <f t="shared" si="4"/>
        <v>#REF!</v>
      </c>
    </row>
    <row r="319" spans="1:85" x14ac:dyDescent="0.45">
      <c r="B319" s="3" t="s">
        <v>1598</v>
      </c>
      <c r="C319" s="25" t="e">
        <f t="shared" ref="C319:AH319" si="5">SUM(C2:C318)</f>
        <v>#REF!</v>
      </c>
      <c r="D319" s="25" t="e">
        <f t="shared" si="5"/>
        <v>#REF!</v>
      </c>
      <c r="E319" s="25" t="e">
        <f t="shared" si="5"/>
        <v>#REF!</v>
      </c>
      <c r="F319" s="25" t="e">
        <f t="shared" si="5"/>
        <v>#REF!</v>
      </c>
      <c r="G319" s="25" t="e">
        <f t="shared" si="5"/>
        <v>#REF!</v>
      </c>
      <c r="H319" s="25" t="e">
        <f t="shared" si="5"/>
        <v>#REF!</v>
      </c>
      <c r="I319" s="25" t="e">
        <f t="shared" si="5"/>
        <v>#REF!</v>
      </c>
      <c r="J319" s="25" t="e">
        <f t="shared" si="5"/>
        <v>#REF!</v>
      </c>
      <c r="K319" s="25" t="e">
        <f t="shared" si="5"/>
        <v>#REF!</v>
      </c>
      <c r="L319" s="25" t="e">
        <f t="shared" si="5"/>
        <v>#REF!</v>
      </c>
      <c r="M319" s="25" t="e">
        <f t="shared" si="5"/>
        <v>#REF!</v>
      </c>
      <c r="N319" s="25" t="e">
        <f t="shared" si="5"/>
        <v>#REF!</v>
      </c>
      <c r="O319" s="25" t="e">
        <f t="shared" si="5"/>
        <v>#REF!</v>
      </c>
      <c r="P319" s="25" t="e">
        <f t="shared" si="5"/>
        <v>#REF!</v>
      </c>
      <c r="Q319" s="25" t="e">
        <f t="shared" si="5"/>
        <v>#REF!</v>
      </c>
      <c r="R319" s="25" t="e">
        <f t="shared" si="5"/>
        <v>#REF!</v>
      </c>
      <c r="S319" s="25" t="e">
        <f t="shared" si="5"/>
        <v>#REF!</v>
      </c>
      <c r="T319" s="25" t="e">
        <f t="shared" si="5"/>
        <v>#REF!</v>
      </c>
      <c r="U319" s="25" t="e">
        <f t="shared" si="5"/>
        <v>#REF!</v>
      </c>
      <c r="V319" s="25" t="e">
        <f t="shared" si="5"/>
        <v>#REF!</v>
      </c>
      <c r="W319" s="25" t="e">
        <f t="shared" si="5"/>
        <v>#REF!</v>
      </c>
      <c r="X319" s="25" t="e">
        <f t="shared" si="5"/>
        <v>#REF!</v>
      </c>
      <c r="Y319" s="25" t="e">
        <f t="shared" si="5"/>
        <v>#REF!</v>
      </c>
      <c r="Z319" s="25" t="e">
        <f t="shared" si="5"/>
        <v>#REF!</v>
      </c>
      <c r="AA319" s="25" t="e">
        <f t="shared" si="5"/>
        <v>#REF!</v>
      </c>
      <c r="AB319" s="25" t="e">
        <f t="shared" si="5"/>
        <v>#REF!</v>
      </c>
      <c r="AC319" s="25" t="e">
        <f t="shared" si="5"/>
        <v>#REF!</v>
      </c>
      <c r="AD319" s="25" t="e">
        <f t="shared" si="5"/>
        <v>#REF!</v>
      </c>
      <c r="AE319" s="25" t="e">
        <f t="shared" si="5"/>
        <v>#REF!</v>
      </c>
      <c r="AF319" s="25" t="e">
        <f t="shared" si="5"/>
        <v>#REF!</v>
      </c>
      <c r="AG319" s="25" t="e">
        <f t="shared" si="5"/>
        <v>#REF!</v>
      </c>
      <c r="AH319" s="25" t="e">
        <f t="shared" si="5"/>
        <v>#REF!</v>
      </c>
      <c r="AI319" s="25" t="e">
        <f t="shared" ref="AI319:BN319" si="6">SUM(AI2:AI318)</f>
        <v>#REF!</v>
      </c>
      <c r="AJ319" s="25" t="e">
        <f t="shared" si="6"/>
        <v>#REF!</v>
      </c>
      <c r="AK319" s="25" t="e">
        <f t="shared" si="6"/>
        <v>#REF!</v>
      </c>
      <c r="AL319" s="25" t="e">
        <f t="shared" si="6"/>
        <v>#REF!</v>
      </c>
      <c r="AM319" s="25" t="e">
        <f t="shared" si="6"/>
        <v>#REF!</v>
      </c>
      <c r="AN319" s="25" t="e">
        <f t="shared" si="6"/>
        <v>#REF!</v>
      </c>
      <c r="AO319" s="25" t="e">
        <f t="shared" si="6"/>
        <v>#REF!</v>
      </c>
      <c r="AP319" s="25" t="e">
        <f t="shared" si="6"/>
        <v>#REF!</v>
      </c>
      <c r="AQ319" s="25" t="e">
        <f t="shared" si="6"/>
        <v>#REF!</v>
      </c>
      <c r="AR319" s="25" t="e">
        <f t="shared" si="6"/>
        <v>#REF!</v>
      </c>
      <c r="AS319" s="25" t="e">
        <f t="shared" si="6"/>
        <v>#REF!</v>
      </c>
      <c r="AT319" s="25" t="e">
        <f t="shared" si="6"/>
        <v>#REF!</v>
      </c>
      <c r="AU319" s="25" t="e">
        <f t="shared" si="6"/>
        <v>#REF!</v>
      </c>
      <c r="AV319" s="25" t="e">
        <f t="shared" si="6"/>
        <v>#REF!</v>
      </c>
      <c r="AW319" s="25" t="e">
        <f t="shared" si="6"/>
        <v>#REF!</v>
      </c>
      <c r="AX319" s="25" t="e">
        <f t="shared" si="6"/>
        <v>#REF!</v>
      </c>
      <c r="AY319" s="25" t="e">
        <f t="shared" si="6"/>
        <v>#REF!</v>
      </c>
      <c r="AZ319" s="25" t="e">
        <f t="shared" si="6"/>
        <v>#REF!</v>
      </c>
      <c r="BA319" s="25" t="e">
        <f t="shared" si="6"/>
        <v>#REF!</v>
      </c>
      <c r="BB319" s="25" t="e">
        <f t="shared" si="6"/>
        <v>#REF!</v>
      </c>
      <c r="BC319" s="25" t="e">
        <f t="shared" si="6"/>
        <v>#REF!</v>
      </c>
      <c r="BD319" s="25" t="e">
        <f t="shared" si="6"/>
        <v>#REF!</v>
      </c>
      <c r="BE319" s="25" t="e">
        <f t="shared" si="6"/>
        <v>#REF!</v>
      </c>
      <c r="BF319" s="25" t="e">
        <f t="shared" si="6"/>
        <v>#REF!</v>
      </c>
      <c r="BG319" s="25" t="e">
        <f t="shared" si="6"/>
        <v>#REF!</v>
      </c>
      <c r="BH319" s="25" t="e">
        <f t="shared" si="6"/>
        <v>#REF!</v>
      </c>
      <c r="BI319" s="25" t="e">
        <f t="shared" si="6"/>
        <v>#REF!</v>
      </c>
      <c r="BJ319" s="25" t="e">
        <f t="shared" si="6"/>
        <v>#REF!</v>
      </c>
      <c r="BK319" s="25" t="e">
        <f t="shared" si="6"/>
        <v>#REF!</v>
      </c>
      <c r="BL319" s="25" t="e">
        <f t="shared" si="6"/>
        <v>#REF!</v>
      </c>
      <c r="BM319" s="25" t="e">
        <f t="shared" si="6"/>
        <v>#REF!</v>
      </c>
      <c r="BN319" s="25" t="e">
        <f t="shared" si="6"/>
        <v>#REF!</v>
      </c>
      <c r="BO319" s="25" t="e">
        <f t="shared" ref="BO319:CT319" si="7">SUM(BO2:BO318)</f>
        <v>#REF!</v>
      </c>
      <c r="BP319" s="25" t="e">
        <f t="shared" si="7"/>
        <v>#REF!</v>
      </c>
      <c r="BQ319" s="25" t="e">
        <f t="shared" si="7"/>
        <v>#REF!</v>
      </c>
      <c r="BR319" s="25" t="e">
        <f t="shared" si="7"/>
        <v>#REF!</v>
      </c>
      <c r="BS319" s="25" t="e">
        <f t="shared" si="7"/>
        <v>#REF!</v>
      </c>
      <c r="BT319" s="25" t="e">
        <f t="shared" si="7"/>
        <v>#REF!</v>
      </c>
      <c r="BU319" s="25" t="e">
        <f t="shared" si="7"/>
        <v>#REF!</v>
      </c>
      <c r="BV319" s="25" t="e">
        <f t="shared" si="7"/>
        <v>#REF!</v>
      </c>
      <c r="BW319" s="25" t="e">
        <f t="shared" si="7"/>
        <v>#REF!</v>
      </c>
      <c r="BX319" s="25" t="e">
        <f t="shared" si="7"/>
        <v>#REF!</v>
      </c>
      <c r="BY319" s="25" t="e">
        <f t="shared" si="7"/>
        <v>#REF!</v>
      </c>
      <c r="BZ319" s="25" t="e">
        <f t="shared" si="7"/>
        <v>#REF!</v>
      </c>
      <c r="CA319" s="25" t="e">
        <f t="shared" si="7"/>
        <v>#REF!</v>
      </c>
      <c r="CB319" s="25" t="e">
        <f t="shared" si="7"/>
        <v>#REF!</v>
      </c>
      <c r="CC319" s="25" t="e">
        <f t="shared" si="7"/>
        <v>#REF!</v>
      </c>
      <c r="CD319" s="25" t="e">
        <f t="shared" si="7"/>
        <v>#REF!</v>
      </c>
      <c r="CE319" s="25" t="e">
        <f t="shared" si="7"/>
        <v>#REF!</v>
      </c>
      <c r="CF319" s="25" t="e">
        <f t="shared" si="7"/>
        <v>#REF!</v>
      </c>
      <c r="CG319" s="25" t="e">
        <f t="shared" si="7"/>
        <v>#REF!</v>
      </c>
    </row>
  </sheetData>
  <conditionalFormatting sqref="C2:CF318">
    <cfRule type="colorScale" priority="2">
      <colorScale>
        <cfvo type="num" val="0"/>
        <cfvo type="max"/>
        <color rgb="FFFFFFFF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78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6640625" defaultRowHeight="14.25" x14ac:dyDescent="0.45"/>
  <cols>
    <col min="1" max="1" width="52" customWidth="1"/>
    <col min="2" max="2" width="26" customWidth="1"/>
    <col min="3" max="3" width="44" customWidth="1"/>
    <col min="4" max="5" width="9" customWidth="1"/>
    <col min="6" max="7" width="10" customWidth="1"/>
    <col min="8" max="9" width="11" customWidth="1"/>
    <col min="10" max="10" width="32" customWidth="1"/>
    <col min="11" max="11" width="58" customWidth="1"/>
    <col min="13" max="13" width="34" customWidth="1"/>
  </cols>
  <sheetData>
    <row r="1" spans="1:14" ht="30" customHeight="1" x14ac:dyDescent="0.45">
      <c r="A1" s="1" t="s">
        <v>0</v>
      </c>
      <c r="B1" s="1" t="s">
        <v>1599</v>
      </c>
      <c r="C1" s="1" t="s">
        <v>1</v>
      </c>
      <c r="D1" s="1" t="s">
        <v>1600</v>
      </c>
      <c r="E1" s="1" t="s">
        <v>1601</v>
      </c>
      <c r="F1" s="1" t="s">
        <v>1602</v>
      </c>
      <c r="G1" s="1" t="s">
        <v>4</v>
      </c>
      <c r="H1" s="1" t="s">
        <v>1603</v>
      </c>
      <c r="I1" s="1" t="s">
        <v>1604</v>
      </c>
      <c r="J1" s="1" t="s">
        <v>1605</v>
      </c>
      <c r="K1" s="1" t="s">
        <v>1606</v>
      </c>
      <c r="M1" s="3" t="s">
        <v>1607</v>
      </c>
    </row>
    <row r="2" spans="1:14" x14ac:dyDescent="0.45">
      <c r="A2" s="4" t="s">
        <v>21</v>
      </c>
      <c r="B2" s="4" t="s">
        <v>1608</v>
      </c>
      <c r="C2" s="4" t="s">
        <v>22</v>
      </c>
      <c r="D2" s="4" t="b">
        <f>TRUE()</f>
        <v>1</v>
      </c>
      <c r="E2" s="5">
        <v>18</v>
      </c>
      <c r="F2" s="7">
        <f t="shared" ref="F2:F65" si="0">E2/SUMIFS($E$2:$E$783,$A$2:$A$783,A2)</f>
        <v>0.78260869565217395</v>
      </c>
      <c r="G2" s="5">
        <v>0</v>
      </c>
      <c r="H2" s="26">
        <v>45061</v>
      </c>
      <c r="I2" s="26">
        <v>45349</v>
      </c>
      <c r="J2" s="4" t="s">
        <v>1609</v>
      </c>
      <c r="K2" s="4" t="s">
        <v>1610</v>
      </c>
      <c r="M2" s="3" t="s">
        <v>1611</v>
      </c>
      <c r="N2" s="4" t="s">
        <v>1612</v>
      </c>
    </row>
    <row r="3" spans="1:14" x14ac:dyDescent="0.45">
      <c r="A3" s="4" t="s">
        <v>21</v>
      </c>
      <c r="B3" s="4" t="s">
        <v>1608</v>
      </c>
      <c r="C3" s="4" t="s">
        <v>1613</v>
      </c>
      <c r="D3" s="4" t="b">
        <f>FALSE()</f>
        <v>0</v>
      </c>
      <c r="E3" s="5">
        <v>5</v>
      </c>
      <c r="F3" s="7">
        <f t="shared" si="0"/>
        <v>0.21739130434782608</v>
      </c>
      <c r="G3" s="5">
        <v>0</v>
      </c>
      <c r="H3" s="26">
        <v>44938</v>
      </c>
      <c r="I3" s="26">
        <v>45050</v>
      </c>
      <c r="J3" s="4" t="s">
        <v>1614</v>
      </c>
      <c r="K3" s="4" t="s">
        <v>1615</v>
      </c>
      <c r="M3" s="3" t="s">
        <v>1614</v>
      </c>
      <c r="N3" s="4" t="s">
        <v>1616</v>
      </c>
    </row>
    <row r="4" spans="1:14" x14ac:dyDescent="0.45">
      <c r="A4" s="9" t="s">
        <v>28</v>
      </c>
      <c r="B4" s="9" t="s">
        <v>1608</v>
      </c>
      <c r="C4" s="9" t="s">
        <v>29</v>
      </c>
      <c r="D4" s="9" t="b">
        <f>TRUE()</f>
        <v>1</v>
      </c>
      <c r="E4" s="10">
        <v>184</v>
      </c>
      <c r="F4" s="12">
        <f t="shared" si="0"/>
        <v>0.85981308411214952</v>
      </c>
      <c r="G4" s="10">
        <v>37</v>
      </c>
      <c r="H4" s="27">
        <v>45051</v>
      </c>
      <c r="I4" s="27">
        <v>46288</v>
      </c>
      <c r="J4" s="9" t="s">
        <v>1609</v>
      </c>
      <c r="K4" s="9" t="s">
        <v>1617</v>
      </c>
      <c r="M4" s="3" t="s">
        <v>1618</v>
      </c>
      <c r="N4" s="4" t="s">
        <v>1619</v>
      </c>
    </row>
    <row r="5" spans="1:14" x14ac:dyDescent="0.45">
      <c r="A5" s="4" t="s">
        <v>28</v>
      </c>
      <c r="B5" s="4" t="s">
        <v>1608</v>
      </c>
      <c r="C5" s="4" t="s">
        <v>1620</v>
      </c>
      <c r="D5" s="4" t="b">
        <f>FALSE()</f>
        <v>0</v>
      </c>
      <c r="E5" s="5">
        <v>30</v>
      </c>
      <c r="F5" s="7">
        <f t="shared" si="0"/>
        <v>0.14018691588785046</v>
      </c>
      <c r="G5" s="5">
        <v>0</v>
      </c>
      <c r="H5" s="26">
        <v>44928</v>
      </c>
      <c r="I5" s="26">
        <v>45037</v>
      </c>
      <c r="J5" s="4" t="s">
        <v>1611</v>
      </c>
      <c r="K5" s="4" t="s">
        <v>1621</v>
      </c>
      <c r="M5" s="3" t="s">
        <v>1622</v>
      </c>
      <c r="N5" s="4" t="s">
        <v>1623</v>
      </c>
    </row>
    <row r="6" spans="1:14" x14ac:dyDescent="0.45">
      <c r="A6" s="9" t="s">
        <v>33</v>
      </c>
      <c r="B6" s="9" t="s">
        <v>1608</v>
      </c>
      <c r="C6" s="9" t="s">
        <v>34</v>
      </c>
      <c r="D6" s="9" t="b">
        <f>TRUE()</f>
        <v>1</v>
      </c>
      <c r="E6" s="10">
        <v>16</v>
      </c>
      <c r="F6" s="12">
        <f t="shared" si="0"/>
        <v>0.64</v>
      </c>
      <c r="G6" s="10">
        <v>16</v>
      </c>
      <c r="H6" s="27">
        <v>46131</v>
      </c>
      <c r="I6" s="27">
        <v>46232</v>
      </c>
      <c r="J6" s="9" t="s">
        <v>1609</v>
      </c>
      <c r="K6" s="9" t="s">
        <v>1624</v>
      </c>
      <c r="M6" s="3" t="s">
        <v>1625</v>
      </c>
      <c r="N6" s="4" t="s">
        <v>1626</v>
      </c>
    </row>
    <row r="7" spans="1:14" x14ac:dyDescent="0.45">
      <c r="A7" s="4" t="s">
        <v>33</v>
      </c>
      <c r="B7" s="4" t="s">
        <v>1608</v>
      </c>
      <c r="C7" s="4" t="s">
        <v>1627</v>
      </c>
      <c r="D7" s="4" t="b">
        <f>FALSE()</f>
        <v>0</v>
      </c>
      <c r="E7" s="5">
        <v>9</v>
      </c>
      <c r="F7" s="7">
        <f t="shared" si="0"/>
        <v>0.36</v>
      </c>
      <c r="G7" s="5">
        <v>9</v>
      </c>
      <c r="H7" s="26">
        <v>46245</v>
      </c>
      <c r="I7" s="26">
        <v>46287</v>
      </c>
      <c r="J7" s="4" t="s">
        <v>1611</v>
      </c>
      <c r="K7" s="4" t="s">
        <v>1628</v>
      </c>
      <c r="M7" s="3" t="s">
        <v>1599</v>
      </c>
      <c r="N7" s="4" t="s">
        <v>1629</v>
      </c>
    </row>
    <row r="8" spans="1:14" x14ac:dyDescent="0.45">
      <c r="A8" s="9" t="s">
        <v>40</v>
      </c>
      <c r="B8" s="9" t="s">
        <v>1608</v>
      </c>
      <c r="C8" s="9" t="s">
        <v>37</v>
      </c>
      <c r="D8" s="9" t="b">
        <f>TRUE()</f>
        <v>1</v>
      </c>
      <c r="E8" s="10">
        <v>28756</v>
      </c>
      <c r="F8" s="12">
        <f t="shared" si="0"/>
        <v>0.76768647551924818</v>
      </c>
      <c r="G8" s="10">
        <v>0</v>
      </c>
      <c r="H8" s="27">
        <v>44942</v>
      </c>
      <c r="I8" s="27">
        <v>45427</v>
      </c>
      <c r="J8" s="9" t="s">
        <v>1609</v>
      </c>
      <c r="K8" s="9" t="s">
        <v>1630</v>
      </c>
      <c r="M8" s="3" t="s">
        <v>1631</v>
      </c>
      <c r="N8" s="4" t="s">
        <v>1632</v>
      </c>
    </row>
    <row r="9" spans="1:14" x14ac:dyDescent="0.45">
      <c r="A9" s="4" t="s">
        <v>40</v>
      </c>
      <c r="B9" s="4" t="s">
        <v>1608</v>
      </c>
      <c r="C9" s="4" t="s">
        <v>1633</v>
      </c>
      <c r="D9" s="4" t="b">
        <f>FALSE()</f>
        <v>0</v>
      </c>
      <c r="E9" s="5">
        <v>8702</v>
      </c>
      <c r="F9" s="7">
        <f t="shared" si="0"/>
        <v>0.23231352448075177</v>
      </c>
      <c r="G9" s="5">
        <v>0</v>
      </c>
      <c r="H9" s="26">
        <v>44928</v>
      </c>
      <c r="I9" s="26">
        <v>45055</v>
      </c>
      <c r="J9" s="4" t="s">
        <v>1614</v>
      </c>
      <c r="K9" s="4" t="s">
        <v>1634</v>
      </c>
    </row>
    <row r="10" spans="1:14" x14ac:dyDescent="0.45">
      <c r="A10" s="9" t="s">
        <v>42</v>
      </c>
      <c r="B10" s="9" t="s">
        <v>1608</v>
      </c>
      <c r="C10" s="9" t="s">
        <v>37</v>
      </c>
      <c r="D10" s="9" t="b">
        <f>TRUE()</f>
        <v>1</v>
      </c>
      <c r="E10" s="10">
        <v>22354</v>
      </c>
      <c r="F10" s="12">
        <f t="shared" si="0"/>
        <v>0.78939190620806554</v>
      </c>
      <c r="G10" s="10">
        <v>0</v>
      </c>
      <c r="H10" s="27">
        <v>44928</v>
      </c>
      <c r="I10" s="27">
        <v>45462</v>
      </c>
      <c r="J10" s="9" t="s">
        <v>1609</v>
      </c>
      <c r="K10" s="9" t="s">
        <v>1635</v>
      </c>
    </row>
    <row r="11" spans="1:14" x14ac:dyDescent="0.45">
      <c r="A11" s="4" t="s">
        <v>42</v>
      </c>
      <c r="B11" s="4" t="s">
        <v>1608</v>
      </c>
      <c r="C11" s="4" t="s">
        <v>1633</v>
      </c>
      <c r="D11" s="4" t="b">
        <f>FALSE()</f>
        <v>0</v>
      </c>
      <c r="E11" s="5">
        <v>5964</v>
      </c>
      <c r="F11" s="7">
        <f t="shared" si="0"/>
        <v>0.21060809379193446</v>
      </c>
      <c r="G11" s="5">
        <v>0</v>
      </c>
      <c r="H11" s="26">
        <v>44928</v>
      </c>
      <c r="I11" s="26">
        <v>45047</v>
      </c>
      <c r="J11" s="4" t="s">
        <v>1614</v>
      </c>
      <c r="K11" s="4" t="s">
        <v>1636</v>
      </c>
    </row>
    <row r="12" spans="1:14" x14ac:dyDescent="0.45">
      <c r="A12" s="9" t="s">
        <v>44</v>
      </c>
      <c r="B12" s="9" t="s">
        <v>1608</v>
      </c>
      <c r="C12" s="9" t="s">
        <v>37</v>
      </c>
      <c r="D12" s="9" t="b">
        <f>TRUE()</f>
        <v>1</v>
      </c>
      <c r="E12" s="10">
        <v>7525</v>
      </c>
      <c r="F12" s="12">
        <f t="shared" si="0"/>
        <v>0.75317786007406662</v>
      </c>
      <c r="G12" s="10">
        <v>0</v>
      </c>
      <c r="H12" s="27">
        <v>44930</v>
      </c>
      <c r="I12" s="27">
        <v>45426</v>
      </c>
      <c r="J12" s="9" t="s">
        <v>1609</v>
      </c>
      <c r="K12" s="9" t="s">
        <v>1637</v>
      </c>
    </row>
    <row r="13" spans="1:14" x14ac:dyDescent="0.45">
      <c r="A13" s="4" t="s">
        <v>44</v>
      </c>
      <c r="B13" s="4" t="s">
        <v>1608</v>
      </c>
      <c r="C13" s="4" t="s">
        <v>1633</v>
      </c>
      <c r="D13" s="4" t="b">
        <f>FALSE()</f>
        <v>0</v>
      </c>
      <c r="E13" s="5">
        <v>2466</v>
      </c>
      <c r="F13" s="7">
        <f t="shared" si="0"/>
        <v>0.24682213992593335</v>
      </c>
      <c r="G13" s="5">
        <v>0</v>
      </c>
      <c r="H13" s="26">
        <v>44928</v>
      </c>
      <c r="I13" s="26">
        <v>45047</v>
      </c>
      <c r="J13" s="4" t="s">
        <v>1614</v>
      </c>
      <c r="K13" s="4" t="s">
        <v>1638</v>
      </c>
    </row>
    <row r="14" spans="1:14" x14ac:dyDescent="0.45">
      <c r="A14" s="9" t="s">
        <v>48</v>
      </c>
      <c r="B14" s="9" t="s">
        <v>1608</v>
      </c>
      <c r="C14" s="9" t="s">
        <v>37</v>
      </c>
      <c r="D14" s="9" t="b">
        <f>TRUE()</f>
        <v>1</v>
      </c>
      <c r="E14" s="10">
        <v>5782</v>
      </c>
      <c r="F14" s="12">
        <f t="shared" si="0"/>
        <v>0.83784958701637446</v>
      </c>
      <c r="G14" s="10">
        <v>0</v>
      </c>
      <c r="H14" s="27">
        <v>45052</v>
      </c>
      <c r="I14" s="27">
        <v>45460</v>
      </c>
      <c r="J14" s="9" t="s">
        <v>1609</v>
      </c>
      <c r="K14" s="9" t="s">
        <v>1639</v>
      </c>
    </row>
    <row r="15" spans="1:14" x14ac:dyDescent="0.45">
      <c r="A15" s="4" t="s">
        <v>48</v>
      </c>
      <c r="B15" s="4" t="s">
        <v>1608</v>
      </c>
      <c r="C15" s="4" t="s">
        <v>1633</v>
      </c>
      <c r="D15" s="4" t="b">
        <f>FALSE()</f>
        <v>0</v>
      </c>
      <c r="E15" s="5">
        <v>1119</v>
      </c>
      <c r="F15" s="7">
        <f t="shared" si="0"/>
        <v>0.16215041298362556</v>
      </c>
      <c r="G15" s="5">
        <v>0</v>
      </c>
      <c r="H15" s="26">
        <v>44928</v>
      </c>
      <c r="I15" s="26">
        <v>45052</v>
      </c>
      <c r="J15" s="4" t="s">
        <v>1614</v>
      </c>
      <c r="K15" s="4" t="s">
        <v>1640</v>
      </c>
    </row>
    <row r="16" spans="1:14" x14ac:dyDescent="0.45">
      <c r="A16" s="9" t="s">
        <v>67</v>
      </c>
      <c r="B16" s="9" t="s">
        <v>1608</v>
      </c>
      <c r="C16" s="9" t="s">
        <v>37</v>
      </c>
      <c r="D16" s="9" t="b">
        <f>TRUE()</f>
        <v>1</v>
      </c>
      <c r="E16" s="10">
        <v>889</v>
      </c>
      <c r="F16" s="12">
        <f t="shared" si="0"/>
        <v>0.77982456140350875</v>
      </c>
      <c r="G16" s="10">
        <v>0</v>
      </c>
      <c r="H16" s="27">
        <v>44930</v>
      </c>
      <c r="I16" s="27">
        <v>45477</v>
      </c>
      <c r="J16" s="9" t="s">
        <v>1609</v>
      </c>
      <c r="K16" s="9" t="s">
        <v>1641</v>
      </c>
    </row>
    <row r="17" spans="1:11" x14ac:dyDescent="0.45">
      <c r="A17" s="4" t="s">
        <v>67</v>
      </c>
      <c r="B17" s="4" t="s">
        <v>1608</v>
      </c>
      <c r="C17" s="4" t="s">
        <v>1633</v>
      </c>
      <c r="D17" s="4" t="b">
        <f>FALSE()</f>
        <v>0</v>
      </c>
      <c r="E17" s="5">
        <v>251</v>
      </c>
      <c r="F17" s="7">
        <f t="shared" si="0"/>
        <v>0.22017543859649122</v>
      </c>
      <c r="G17" s="5">
        <v>0</v>
      </c>
      <c r="H17" s="26">
        <v>44928</v>
      </c>
      <c r="I17" s="26">
        <v>45055</v>
      </c>
      <c r="J17" s="4" t="s">
        <v>1614</v>
      </c>
      <c r="K17" s="4" t="s">
        <v>1642</v>
      </c>
    </row>
    <row r="18" spans="1:11" x14ac:dyDescent="0.45">
      <c r="A18" s="9" t="s">
        <v>72</v>
      </c>
      <c r="B18" s="9" t="s">
        <v>1608</v>
      </c>
      <c r="C18" s="9" t="s">
        <v>37</v>
      </c>
      <c r="D18" s="9" t="b">
        <f>TRUE()</f>
        <v>1</v>
      </c>
      <c r="E18" s="10">
        <v>302</v>
      </c>
      <c r="F18" s="12">
        <f t="shared" si="0"/>
        <v>0.63445378151260501</v>
      </c>
      <c r="G18" s="10">
        <v>0</v>
      </c>
      <c r="H18" s="27">
        <v>45044</v>
      </c>
      <c r="I18" s="27">
        <v>45383</v>
      </c>
      <c r="J18" s="9" t="s">
        <v>1609</v>
      </c>
      <c r="K18" s="9" t="s">
        <v>1643</v>
      </c>
    </row>
    <row r="19" spans="1:11" x14ac:dyDescent="0.45">
      <c r="A19" s="4" t="s">
        <v>72</v>
      </c>
      <c r="B19" s="4" t="s">
        <v>1608</v>
      </c>
      <c r="C19" s="4" t="s">
        <v>1633</v>
      </c>
      <c r="D19" s="4" t="b">
        <f>FALSE()</f>
        <v>0</v>
      </c>
      <c r="E19" s="5">
        <v>174</v>
      </c>
      <c r="F19" s="7">
        <f t="shared" si="0"/>
        <v>0.36554621848739494</v>
      </c>
      <c r="G19" s="5">
        <v>0</v>
      </c>
      <c r="H19" s="26">
        <v>44930</v>
      </c>
      <c r="I19" s="26">
        <v>45047</v>
      </c>
      <c r="J19" s="4" t="s">
        <v>1614</v>
      </c>
      <c r="K19" s="4" t="s">
        <v>1644</v>
      </c>
    </row>
    <row r="20" spans="1:11" x14ac:dyDescent="0.45">
      <c r="A20" s="9" t="s">
        <v>79</v>
      </c>
      <c r="B20" s="9" t="s">
        <v>1608</v>
      </c>
      <c r="C20" s="9" t="s">
        <v>37</v>
      </c>
      <c r="D20" s="9" t="b">
        <f>TRUE()</f>
        <v>1</v>
      </c>
      <c r="E20" s="10">
        <v>120</v>
      </c>
      <c r="F20" s="12">
        <f t="shared" si="0"/>
        <v>0.69767441860465118</v>
      </c>
      <c r="G20" s="10">
        <v>0</v>
      </c>
      <c r="H20" s="27">
        <v>45047</v>
      </c>
      <c r="I20" s="27">
        <v>45399</v>
      </c>
      <c r="J20" s="9" t="s">
        <v>1609</v>
      </c>
      <c r="K20" s="9" t="s">
        <v>1645</v>
      </c>
    </row>
    <row r="21" spans="1:11" x14ac:dyDescent="0.45">
      <c r="A21" s="4" t="s">
        <v>79</v>
      </c>
      <c r="B21" s="4" t="s">
        <v>1608</v>
      </c>
      <c r="C21" s="4" t="s">
        <v>1633</v>
      </c>
      <c r="D21" s="4" t="b">
        <f>FALSE()</f>
        <v>0</v>
      </c>
      <c r="E21" s="5">
        <v>52</v>
      </c>
      <c r="F21" s="7">
        <f t="shared" si="0"/>
        <v>0.30232558139534882</v>
      </c>
      <c r="G21" s="5">
        <v>0</v>
      </c>
      <c r="H21" s="26">
        <v>44937</v>
      </c>
      <c r="I21" s="26">
        <v>45043</v>
      </c>
      <c r="J21" s="4" t="s">
        <v>1614</v>
      </c>
      <c r="K21" s="4" t="s">
        <v>1646</v>
      </c>
    </row>
    <row r="22" spans="1:11" x14ac:dyDescent="0.45">
      <c r="A22" s="9" t="s">
        <v>80</v>
      </c>
      <c r="B22" s="9" t="s">
        <v>1608</v>
      </c>
      <c r="C22" s="9" t="s">
        <v>37</v>
      </c>
      <c r="D22" s="9" t="b">
        <f>TRUE()</f>
        <v>1</v>
      </c>
      <c r="E22" s="10">
        <v>85</v>
      </c>
      <c r="F22" s="12">
        <f t="shared" si="0"/>
        <v>0.53125</v>
      </c>
      <c r="G22" s="10">
        <v>0</v>
      </c>
      <c r="H22" s="27">
        <v>44939</v>
      </c>
      <c r="I22" s="27">
        <v>45471</v>
      </c>
      <c r="J22" s="9" t="s">
        <v>1609</v>
      </c>
      <c r="K22" s="9" t="s">
        <v>1647</v>
      </c>
    </row>
    <row r="23" spans="1:11" x14ac:dyDescent="0.45">
      <c r="A23" s="4" t="s">
        <v>80</v>
      </c>
      <c r="B23" s="4" t="s">
        <v>1608</v>
      </c>
      <c r="C23" s="4" t="s">
        <v>1633</v>
      </c>
      <c r="D23" s="4" t="b">
        <f>FALSE()</f>
        <v>0</v>
      </c>
      <c r="E23" s="5">
        <v>75</v>
      </c>
      <c r="F23" s="7">
        <f t="shared" si="0"/>
        <v>0.46875</v>
      </c>
      <c r="G23" s="5">
        <v>0</v>
      </c>
      <c r="H23" s="26">
        <v>44930</v>
      </c>
      <c r="I23" s="26">
        <v>45049</v>
      </c>
      <c r="J23" s="4" t="s">
        <v>1614</v>
      </c>
      <c r="K23" s="4" t="s">
        <v>1648</v>
      </c>
    </row>
    <row r="24" spans="1:11" x14ac:dyDescent="0.45">
      <c r="A24" s="9" t="s">
        <v>81</v>
      </c>
      <c r="B24" s="9" t="s">
        <v>1608</v>
      </c>
      <c r="C24" s="9" t="s">
        <v>82</v>
      </c>
      <c r="D24" s="9" t="b">
        <f>TRUE()</f>
        <v>1</v>
      </c>
      <c r="E24" s="10">
        <v>3025</v>
      </c>
      <c r="F24" s="12">
        <f t="shared" si="0"/>
        <v>0.88192419825072887</v>
      </c>
      <c r="G24" s="10">
        <v>910</v>
      </c>
      <c r="H24" s="27">
        <v>44957</v>
      </c>
      <c r="I24" s="27">
        <v>46296</v>
      </c>
      <c r="J24" s="9" t="s">
        <v>1609</v>
      </c>
      <c r="K24" s="9" t="s">
        <v>1649</v>
      </c>
    </row>
    <row r="25" spans="1:11" x14ac:dyDescent="0.45">
      <c r="A25" s="4" t="s">
        <v>81</v>
      </c>
      <c r="B25" s="4" t="s">
        <v>1608</v>
      </c>
      <c r="C25" s="4" t="s">
        <v>1633</v>
      </c>
      <c r="D25" s="4" t="b">
        <f>FALSE()</f>
        <v>0</v>
      </c>
      <c r="E25" s="5">
        <v>405</v>
      </c>
      <c r="F25" s="7">
        <f t="shared" si="0"/>
        <v>0.11807580174927114</v>
      </c>
      <c r="G25" s="5">
        <v>0</v>
      </c>
      <c r="H25" s="26">
        <v>44930</v>
      </c>
      <c r="I25" s="26">
        <v>45055</v>
      </c>
      <c r="J25" s="4" t="s">
        <v>1611</v>
      </c>
      <c r="K25" s="4" t="s">
        <v>1650</v>
      </c>
    </row>
    <row r="26" spans="1:11" x14ac:dyDescent="0.45">
      <c r="A26" s="9" t="s">
        <v>83</v>
      </c>
      <c r="B26" s="9" t="s">
        <v>1608</v>
      </c>
      <c r="C26" s="9" t="s">
        <v>82</v>
      </c>
      <c r="D26" s="9" t="b">
        <f>TRUE()</f>
        <v>1</v>
      </c>
      <c r="E26" s="10">
        <v>936</v>
      </c>
      <c r="F26" s="12">
        <f t="shared" si="0"/>
        <v>0.90609874152952563</v>
      </c>
      <c r="G26" s="10">
        <v>233</v>
      </c>
      <c r="H26" s="27">
        <v>45060</v>
      </c>
      <c r="I26" s="27">
        <v>46296</v>
      </c>
      <c r="J26" s="9" t="s">
        <v>1609</v>
      </c>
      <c r="K26" s="9" t="s">
        <v>1651</v>
      </c>
    </row>
    <row r="27" spans="1:11" x14ac:dyDescent="0.45">
      <c r="A27" s="4" t="s">
        <v>83</v>
      </c>
      <c r="B27" s="4" t="s">
        <v>1608</v>
      </c>
      <c r="C27" s="4" t="s">
        <v>1633</v>
      </c>
      <c r="D27" s="4" t="b">
        <f>FALSE()</f>
        <v>0</v>
      </c>
      <c r="E27" s="5">
        <v>97</v>
      </c>
      <c r="F27" s="7">
        <f t="shared" si="0"/>
        <v>9.3901258470474341E-2</v>
      </c>
      <c r="G27" s="5">
        <v>0</v>
      </c>
      <c r="H27" s="26">
        <v>44932</v>
      </c>
      <c r="I27" s="26">
        <v>45055</v>
      </c>
      <c r="J27" s="4" t="s">
        <v>1611</v>
      </c>
      <c r="K27" s="4" t="s">
        <v>1652</v>
      </c>
    </row>
    <row r="28" spans="1:11" x14ac:dyDescent="0.45">
      <c r="A28" s="9" t="s">
        <v>84</v>
      </c>
      <c r="B28" s="9" t="s">
        <v>1608</v>
      </c>
      <c r="C28" s="9" t="s">
        <v>82</v>
      </c>
      <c r="D28" s="9" t="b">
        <f>TRUE()</f>
        <v>1</v>
      </c>
      <c r="E28" s="10">
        <v>691</v>
      </c>
      <c r="F28" s="12">
        <f t="shared" si="0"/>
        <v>0.91040843214756262</v>
      </c>
      <c r="G28" s="10">
        <v>195</v>
      </c>
      <c r="H28" s="27">
        <v>45033</v>
      </c>
      <c r="I28" s="27">
        <v>46296</v>
      </c>
      <c r="J28" s="9" t="s">
        <v>1609</v>
      </c>
      <c r="K28" s="9" t="s">
        <v>1653</v>
      </c>
    </row>
    <row r="29" spans="1:11" x14ac:dyDescent="0.45">
      <c r="A29" s="4" t="s">
        <v>84</v>
      </c>
      <c r="B29" s="4" t="s">
        <v>1608</v>
      </c>
      <c r="C29" s="4" t="s">
        <v>1633</v>
      </c>
      <c r="D29" s="4" t="b">
        <f>FALSE()</f>
        <v>0</v>
      </c>
      <c r="E29" s="5">
        <v>68</v>
      </c>
      <c r="F29" s="7">
        <f t="shared" si="0"/>
        <v>8.9591567852437423E-2</v>
      </c>
      <c r="G29" s="5">
        <v>0</v>
      </c>
      <c r="H29" s="26">
        <v>44930</v>
      </c>
      <c r="I29" s="26">
        <v>45055</v>
      </c>
      <c r="J29" s="4" t="s">
        <v>1611</v>
      </c>
      <c r="K29" s="4" t="s">
        <v>1654</v>
      </c>
    </row>
    <row r="30" spans="1:11" x14ac:dyDescent="0.45">
      <c r="A30" s="9" t="s">
        <v>85</v>
      </c>
      <c r="B30" s="9" t="s">
        <v>1608</v>
      </c>
      <c r="C30" s="9" t="s">
        <v>82</v>
      </c>
      <c r="D30" s="9" t="b">
        <f>TRUE()</f>
        <v>1</v>
      </c>
      <c r="E30" s="10">
        <v>386</v>
      </c>
      <c r="F30" s="12">
        <f t="shared" si="0"/>
        <v>0.91252955082742315</v>
      </c>
      <c r="G30" s="10">
        <v>85</v>
      </c>
      <c r="H30" s="27">
        <v>45002</v>
      </c>
      <c r="I30" s="27">
        <v>46296</v>
      </c>
      <c r="J30" s="9" t="s">
        <v>1609</v>
      </c>
      <c r="K30" s="9" t="s">
        <v>1655</v>
      </c>
    </row>
    <row r="31" spans="1:11" x14ac:dyDescent="0.45">
      <c r="A31" s="4" t="s">
        <v>85</v>
      </c>
      <c r="B31" s="4" t="s">
        <v>1608</v>
      </c>
      <c r="C31" s="4" t="s">
        <v>1633</v>
      </c>
      <c r="D31" s="4" t="b">
        <f>FALSE()</f>
        <v>0</v>
      </c>
      <c r="E31" s="5">
        <v>37</v>
      </c>
      <c r="F31" s="7">
        <f t="shared" si="0"/>
        <v>8.7470449172576833E-2</v>
      </c>
      <c r="G31" s="5">
        <v>0</v>
      </c>
      <c r="H31" s="26">
        <v>44929</v>
      </c>
      <c r="I31" s="26">
        <v>45048</v>
      </c>
      <c r="J31" s="4" t="s">
        <v>1611</v>
      </c>
      <c r="K31" s="4" t="s">
        <v>1656</v>
      </c>
    </row>
    <row r="32" spans="1:11" x14ac:dyDescent="0.45">
      <c r="A32" s="9" t="s">
        <v>87</v>
      </c>
      <c r="B32" s="9" t="s">
        <v>1608</v>
      </c>
      <c r="C32" s="9" t="s">
        <v>88</v>
      </c>
      <c r="D32" s="9" t="b">
        <f>TRUE()</f>
        <v>1</v>
      </c>
      <c r="E32" s="10">
        <v>132</v>
      </c>
      <c r="F32" s="12">
        <f t="shared" si="0"/>
        <v>0.91666666666666663</v>
      </c>
      <c r="G32" s="10">
        <v>33</v>
      </c>
      <c r="H32" s="27">
        <v>45062</v>
      </c>
      <c r="I32" s="27">
        <v>46285</v>
      </c>
      <c r="J32" s="9" t="s">
        <v>1609</v>
      </c>
      <c r="K32" s="9" t="s">
        <v>1657</v>
      </c>
    </row>
    <row r="33" spans="1:11" x14ac:dyDescent="0.45">
      <c r="A33" s="4" t="s">
        <v>87</v>
      </c>
      <c r="B33" s="4" t="s">
        <v>1608</v>
      </c>
      <c r="C33" s="4" t="s">
        <v>1658</v>
      </c>
      <c r="D33" s="4" t="b">
        <f>FALSE()</f>
        <v>0</v>
      </c>
      <c r="E33" s="5">
        <v>12</v>
      </c>
      <c r="F33" s="7">
        <f t="shared" si="0"/>
        <v>8.3333333333333329E-2</v>
      </c>
      <c r="G33" s="5">
        <v>0</v>
      </c>
      <c r="H33" s="26">
        <v>44951</v>
      </c>
      <c r="I33" s="26">
        <v>45013</v>
      </c>
      <c r="J33" s="4" t="s">
        <v>1614</v>
      </c>
      <c r="K33" s="4" t="s">
        <v>1659</v>
      </c>
    </row>
    <row r="34" spans="1:11" x14ac:dyDescent="0.45">
      <c r="A34" s="9" t="s">
        <v>89</v>
      </c>
      <c r="B34" s="9" t="s">
        <v>1608</v>
      </c>
      <c r="C34" s="9" t="s">
        <v>90</v>
      </c>
      <c r="D34" s="9" t="b">
        <f>TRUE()</f>
        <v>1</v>
      </c>
      <c r="E34" s="10">
        <v>482</v>
      </c>
      <c r="F34" s="12">
        <f t="shared" si="0"/>
        <v>0.95069033530571989</v>
      </c>
      <c r="G34" s="10">
        <v>0</v>
      </c>
      <c r="H34" s="27">
        <v>44928</v>
      </c>
      <c r="I34" s="27">
        <v>45055</v>
      </c>
      <c r="J34" s="9" t="s">
        <v>1609</v>
      </c>
      <c r="K34" s="9" t="s">
        <v>1660</v>
      </c>
    </row>
    <row r="35" spans="1:11" x14ac:dyDescent="0.45">
      <c r="A35" s="4" t="s">
        <v>89</v>
      </c>
      <c r="B35" s="4" t="s">
        <v>1608</v>
      </c>
      <c r="C35" s="4" t="s">
        <v>189</v>
      </c>
      <c r="D35" s="4" t="b">
        <f>FALSE()</f>
        <v>0</v>
      </c>
      <c r="E35" s="5">
        <v>25</v>
      </c>
      <c r="F35" s="7">
        <f t="shared" si="0"/>
        <v>4.9309664694280081E-2</v>
      </c>
      <c r="G35" s="5">
        <v>0</v>
      </c>
      <c r="H35" s="26">
        <v>45055</v>
      </c>
      <c r="I35" s="26">
        <v>45063</v>
      </c>
      <c r="J35" s="4" t="s">
        <v>1614</v>
      </c>
      <c r="K35" s="4" t="s">
        <v>1661</v>
      </c>
    </row>
    <row r="36" spans="1:11" x14ac:dyDescent="0.45">
      <c r="A36" s="9" t="s">
        <v>93</v>
      </c>
      <c r="B36" s="9" t="s">
        <v>1608</v>
      </c>
      <c r="C36" s="9" t="s">
        <v>90</v>
      </c>
      <c r="D36" s="9" t="b">
        <f>TRUE()</f>
        <v>1</v>
      </c>
      <c r="E36" s="10">
        <v>104</v>
      </c>
      <c r="F36" s="12">
        <f t="shared" si="0"/>
        <v>0.53333333333333333</v>
      </c>
      <c r="G36" s="10">
        <v>0</v>
      </c>
      <c r="H36" s="27">
        <v>44928</v>
      </c>
      <c r="I36" s="27">
        <v>45055</v>
      </c>
      <c r="J36" s="9" t="s">
        <v>1609</v>
      </c>
      <c r="K36" s="9" t="s">
        <v>1660</v>
      </c>
    </row>
    <row r="37" spans="1:11" x14ac:dyDescent="0.45">
      <c r="A37" s="4" t="s">
        <v>93</v>
      </c>
      <c r="B37" s="4" t="s">
        <v>1608</v>
      </c>
      <c r="C37" s="4" t="s">
        <v>189</v>
      </c>
      <c r="D37" s="4" t="b">
        <f>FALSE()</f>
        <v>0</v>
      </c>
      <c r="E37" s="5">
        <v>91</v>
      </c>
      <c r="F37" s="7">
        <f t="shared" si="0"/>
        <v>0.46666666666666667</v>
      </c>
      <c r="G37" s="5">
        <v>0</v>
      </c>
      <c r="H37" s="26">
        <v>45055</v>
      </c>
      <c r="I37" s="26">
        <v>45188</v>
      </c>
      <c r="J37" s="4" t="s">
        <v>1614</v>
      </c>
      <c r="K37" s="4" t="s">
        <v>1662</v>
      </c>
    </row>
    <row r="38" spans="1:11" x14ac:dyDescent="0.45">
      <c r="A38" s="9" t="s">
        <v>94</v>
      </c>
      <c r="B38" s="9" t="s">
        <v>1608</v>
      </c>
      <c r="C38" s="9" t="s">
        <v>90</v>
      </c>
      <c r="D38" s="9" t="b">
        <f>TRUE()</f>
        <v>1</v>
      </c>
      <c r="E38" s="10">
        <v>7</v>
      </c>
      <c r="F38" s="12">
        <f t="shared" si="0"/>
        <v>0.77777777777777779</v>
      </c>
      <c r="G38" s="10">
        <v>0</v>
      </c>
      <c r="H38" s="27">
        <v>44937</v>
      </c>
      <c r="I38" s="27">
        <v>45043</v>
      </c>
      <c r="J38" s="9" t="s">
        <v>1609</v>
      </c>
      <c r="K38" s="9" t="s">
        <v>1663</v>
      </c>
    </row>
    <row r="39" spans="1:11" x14ac:dyDescent="0.45">
      <c r="A39" s="4" t="s">
        <v>94</v>
      </c>
      <c r="B39" s="4" t="s">
        <v>1608</v>
      </c>
      <c r="C39" s="4" t="s">
        <v>189</v>
      </c>
      <c r="D39" s="4" t="b">
        <f>FALSE()</f>
        <v>0</v>
      </c>
      <c r="E39" s="5">
        <v>2</v>
      </c>
      <c r="F39" s="7">
        <f t="shared" si="0"/>
        <v>0.22222222222222221</v>
      </c>
      <c r="G39" s="5">
        <v>0</v>
      </c>
      <c r="H39" s="26">
        <v>45025</v>
      </c>
      <c r="I39" s="26">
        <v>45075</v>
      </c>
      <c r="J39" s="4" t="s">
        <v>1614</v>
      </c>
      <c r="K39" s="4" t="s">
        <v>1664</v>
      </c>
    </row>
    <row r="40" spans="1:11" x14ac:dyDescent="0.45">
      <c r="A40" s="9" t="s">
        <v>95</v>
      </c>
      <c r="B40" s="9" t="s">
        <v>1608</v>
      </c>
      <c r="C40" s="9" t="s">
        <v>90</v>
      </c>
      <c r="D40" s="9" t="b">
        <f>TRUE()</f>
        <v>1</v>
      </c>
      <c r="E40" s="10">
        <v>5</v>
      </c>
      <c r="F40" s="12">
        <f t="shared" si="0"/>
        <v>0.625</v>
      </c>
      <c r="G40" s="10">
        <v>0</v>
      </c>
      <c r="H40" s="27">
        <v>44933</v>
      </c>
      <c r="I40" s="27">
        <v>44984</v>
      </c>
      <c r="J40" s="9" t="s">
        <v>1609</v>
      </c>
      <c r="K40" s="9" t="s">
        <v>1665</v>
      </c>
    </row>
    <row r="41" spans="1:11" x14ac:dyDescent="0.45">
      <c r="A41" s="4" t="s">
        <v>95</v>
      </c>
      <c r="B41" s="4" t="s">
        <v>1608</v>
      </c>
      <c r="C41" s="4" t="s">
        <v>189</v>
      </c>
      <c r="D41" s="4" t="b">
        <f>FALSE()</f>
        <v>0</v>
      </c>
      <c r="E41" s="5">
        <v>3</v>
      </c>
      <c r="F41" s="7">
        <f t="shared" si="0"/>
        <v>0.375</v>
      </c>
      <c r="G41" s="5">
        <v>0</v>
      </c>
      <c r="H41" s="26">
        <v>45117</v>
      </c>
      <c r="I41" s="26">
        <v>45163</v>
      </c>
      <c r="J41" s="4" t="s">
        <v>1614</v>
      </c>
      <c r="K41" s="4" t="s">
        <v>1666</v>
      </c>
    </row>
    <row r="42" spans="1:11" x14ac:dyDescent="0.45">
      <c r="A42" s="9" t="s">
        <v>146</v>
      </c>
      <c r="B42" s="9" t="s">
        <v>1608</v>
      </c>
      <c r="C42" s="9" t="s">
        <v>142</v>
      </c>
      <c r="D42" s="9" t="b">
        <f>TRUE()</f>
        <v>1</v>
      </c>
      <c r="E42" s="10">
        <v>8</v>
      </c>
      <c r="F42" s="12">
        <f t="shared" si="0"/>
        <v>0.72727272727272729</v>
      </c>
      <c r="G42" s="10">
        <v>0</v>
      </c>
      <c r="H42" s="27">
        <v>44934</v>
      </c>
      <c r="I42" s="27">
        <v>44988</v>
      </c>
      <c r="J42" s="9" t="s">
        <v>1609</v>
      </c>
      <c r="K42" s="9" t="s">
        <v>1667</v>
      </c>
    </row>
    <row r="43" spans="1:11" x14ac:dyDescent="0.45">
      <c r="A43" s="4" t="s">
        <v>146</v>
      </c>
      <c r="B43" s="4" t="s">
        <v>1608</v>
      </c>
      <c r="C43" s="4" t="s">
        <v>911</v>
      </c>
      <c r="D43" s="4" t="b">
        <f>FALSE()</f>
        <v>0</v>
      </c>
      <c r="E43" s="5">
        <v>3</v>
      </c>
      <c r="F43" s="7">
        <f t="shared" si="0"/>
        <v>0.27272727272727271</v>
      </c>
      <c r="G43" s="5">
        <v>0</v>
      </c>
      <c r="H43" s="26">
        <v>44999</v>
      </c>
      <c r="I43" s="26">
        <v>45005</v>
      </c>
      <c r="J43" s="4" t="s">
        <v>1614</v>
      </c>
      <c r="K43" s="4" t="s">
        <v>1668</v>
      </c>
    </row>
    <row r="44" spans="1:11" x14ac:dyDescent="0.45">
      <c r="A44" s="9" t="s">
        <v>148</v>
      </c>
      <c r="B44" s="9" t="s">
        <v>1608</v>
      </c>
      <c r="C44" s="9" t="s">
        <v>142</v>
      </c>
      <c r="D44" s="9" t="b">
        <f>TRUE()</f>
        <v>1</v>
      </c>
      <c r="E44" s="10">
        <v>4</v>
      </c>
      <c r="F44" s="12">
        <f t="shared" si="0"/>
        <v>0.5714285714285714</v>
      </c>
      <c r="G44" s="10">
        <v>0</v>
      </c>
      <c r="H44" s="27">
        <v>44971</v>
      </c>
      <c r="I44" s="27">
        <v>45000</v>
      </c>
      <c r="J44" s="9" t="s">
        <v>1609</v>
      </c>
      <c r="K44" s="9" t="s">
        <v>1669</v>
      </c>
    </row>
    <row r="45" spans="1:11" x14ac:dyDescent="0.45">
      <c r="A45" s="4" t="s">
        <v>148</v>
      </c>
      <c r="B45" s="4" t="s">
        <v>1608</v>
      </c>
      <c r="C45" s="4" t="s">
        <v>179</v>
      </c>
      <c r="D45" s="4" t="b">
        <f>FALSE()</f>
        <v>0</v>
      </c>
      <c r="E45" s="5">
        <v>3</v>
      </c>
      <c r="F45" s="7">
        <f t="shared" si="0"/>
        <v>0.42857142857142855</v>
      </c>
      <c r="G45" s="5">
        <v>0</v>
      </c>
      <c r="H45" s="26">
        <v>45063</v>
      </c>
      <c r="I45" s="26">
        <v>45210</v>
      </c>
      <c r="J45" s="4" t="s">
        <v>1614</v>
      </c>
      <c r="K45" s="4" t="s">
        <v>1670</v>
      </c>
    </row>
    <row r="46" spans="1:11" x14ac:dyDescent="0.45">
      <c r="A46" s="9" t="s">
        <v>155</v>
      </c>
      <c r="B46" s="9" t="s">
        <v>1608</v>
      </c>
      <c r="C46" s="9" t="s">
        <v>152</v>
      </c>
      <c r="D46" s="9" t="b">
        <f>TRUE()</f>
        <v>1</v>
      </c>
      <c r="E46" s="10">
        <v>58</v>
      </c>
      <c r="F46" s="12">
        <f t="shared" si="0"/>
        <v>0.95081967213114749</v>
      </c>
      <c r="G46" s="10">
        <v>0</v>
      </c>
      <c r="H46" s="27">
        <v>44935</v>
      </c>
      <c r="I46" s="27">
        <v>44999</v>
      </c>
      <c r="J46" s="9" t="s">
        <v>1609</v>
      </c>
      <c r="K46" s="9" t="s">
        <v>1671</v>
      </c>
    </row>
    <row r="47" spans="1:11" x14ac:dyDescent="0.45">
      <c r="A47" s="4" t="s">
        <v>155</v>
      </c>
      <c r="B47" s="4" t="s">
        <v>1608</v>
      </c>
      <c r="C47" s="4" t="s">
        <v>297</v>
      </c>
      <c r="D47" s="4" t="b">
        <f>FALSE()</f>
        <v>0</v>
      </c>
      <c r="E47" s="5">
        <v>3</v>
      </c>
      <c r="F47" s="7">
        <f t="shared" si="0"/>
        <v>4.9180327868852458E-2</v>
      </c>
      <c r="G47" s="5">
        <v>0</v>
      </c>
      <c r="H47" s="26">
        <v>44939</v>
      </c>
      <c r="I47" s="26">
        <v>44967</v>
      </c>
      <c r="J47" s="4" t="s">
        <v>1618</v>
      </c>
      <c r="K47" s="4" t="s">
        <v>1672</v>
      </c>
    </row>
    <row r="48" spans="1:11" x14ac:dyDescent="0.45">
      <c r="A48" s="9" t="s">
        <v>156</v>
      </c>
      <c r="B48" s="9" t="s">
        <v>1608</v>
      </c>
      <c r="C48" s="9" t="s">
        <v>152</v>
      </c>
      <c r="D48" s="9" t="b">
        <f>TRUE()</f>
        <v>1</v>
      </c>
      <c r="E48" s="10">
        <v>37</v>
      </c>
      <c r="F48" s="12">
        <f t="shared" si="0"/>
        <v>0.97368421052631582</v>
      </c>
      <c r="G48" s="10">
        <v>0</v>
      </c>
      <c r="H48" s="27">
        <v>44931</v>
      </c>
      <c r="I48" s="27">
        <v>45007</v>
      </c>
      <c r="J48" s="9" t="s">
        <v>1609</v>
      </c>
      <c r="K48" s="9" t="s">
        <v>1673</v>
      </c>
    </row>
    <row r="49" spans="1:11" x14ac:dyDescent="0.45">
      <c r="A49" s="4" t="s">
        <v>156</v>
      </c>
      <c r="B49" s="4" t="s">
        <v>1608</v>
      </c>
      <c r="C49" s="4" t="s">
        <v>575</v>
      </c>
      <c r="D49" s="4" t="b">
        <f>FALSE()</f>
        <v>0</v>
      </c>
      <c r="E49" s="5">
        <v>1</v>
      </c>
      <c r="F49" s="7">
        <f t="shared" si="0"/>
        <v>2.6315789473684209E-2</v>
      </c>
      <c r="G49" s="5">
        <v>0</v>
      </c>
      <c r="H49" s="26">
        <v>45000</v>
      </c>
      <c r="I49" s="26">
        <v>45000</v>
      </c>
      <c r="J49" s="4" t="s">
        <v>1618</v>
      </c>
      <c r="K49" s="4" t="s">
        <v>1674</v>
      </c>
    </row>
    <row r="50" spans="1:11" x14ac:dyDescent="0.45">
      <c r="A50" s="9" t="s">
        <v>157</v>
      </c>
      <c r="B50" s="9" t="s">
        <v>1608</v>
      </c>
      <c r="C50" s="9" t="s">
        <v>152</v>
      </c>
      <c r="D50" s="9" t="b">
        <f>TRUE()</f>
        <v>1</v>
      </c>
      <c r="E50" s="10">
        <v>22</v>
      </c>
      <c r="F50" s="12">
        <f t="shared" si="0"/>
        <v>0.61111111111111116</v>
      </c>
      <c r="G50" s="10">
        <v>0</v>
      </c>
      <c r="H50" s="27">
        <v>44929</v>
      </c>
      <c r="I50" s="27">
        <v>45034</v>
      </c>
      <c r="J50" s="9" t="s">
        <v>1609</v>
      </c>
      <c r="K50" s="9" t="s">
        <v>1675</v>
      </c>
    </row>
    <row r="51" spans="1:11" x14ac:dyDescent="0.45">
      <c r="A51" s="4" t="s">
        <v>157</v>
      </c>
      <c r="B51" s="4" t="s">
        <v>1608</v>
      </c>
      <c r="C51" s="4" t="s">
        <v>575</v>
      </c>
      <c r="D51" s="4" t="b">
        <f>FALSE()</f>
        <v>0</v>
      </c>
      <c r="E51" s="5">
        <v>14</v>
      </c>
      <c r="F51" s="7">
        <f t="shared" si="0"/>
        <v>0.3888888888888889</v>
      </c>
      <c r="G51" s="5">
        <v>0</v>
      </c>
      <c r="H51" s="26">
        <v>45030</v>
      </c>
      <c r="I51" s="26">
        <v>45112</v>
      </c>
      <c r="J51" s="4" t="s">
        <v>1614</v>
      </c>
      <c r="K51" s="4" t="s">
        <v>1676</v>
      </c>
    </row>
    <row r="52" spans="1:11" x14ac:dyDescent="0.45">
      <c r="A52" s="9" t="s">
        <v>180</v>
      </c>
      <c r="B52" s="9" t="s">
        <v>1608</v>
      </c>
      <c r="C52" s="9" t="s">
        <v>179</v>
      </c>
      <c r="D52" s="9" t="b">
        <f>TRUE()</f>
        <v>1</v>
      </c>
      <c r="E52" s="10">
        <v>11</v>
      </c>
      <c r="F52" s="12">
        <f t="shared" si="0"/>
        <v>0.52380952380952384</v>
      </c>
      <c r="G52" s="10">
        <v>0</v>
      </c>
      <c r="H52" s="27">
        <v>45054</v>
      </c>
      <c r="I52" s="27">
        <v>45198</v>
      </c>
      <c r="J52" s="9" t="s">
        <v>1609</v>
      </c>
      <c r="K52" s="9" t="s">
        <v>1677</v>
      </c>
    </row>
    <row r="53" spans="1:11" x14ac:dyDescent="0.45">
      <c r="A53" s="4" t="s">
        <v>180</v>
      </c>
      <c r="B53" s="4" t="s">
        <v>1608</v>
      </c>
      <c r="C53" s="4" t="s">
        <v>142</v>
      </c>
      <c r="D53" s="4" t="b">
        <f>FALSE()</f>
        <v>0</v>
      </c>
      <c r="E53" s="5">
        <v>10</v>
      </c>
      <c r="F53" s="7">
        <f t="shared" si="0"/>
        <v>0.47619047619047616</v>
      </c>
      <c r="G53" s="5">
        <v>0</v>
      </c>
      <c r="H53" s="26">
        <v>44959</v>
      </c>
      <c r="I53" s="26">
        <v>45048</v>
      </c>
      <c r="J53" s="4" t="s">
        <v>1614</v>
      </c>
      <c r="K53" s="4" t="s">
        <v>1678</v>
      </c>
    </row>
    <row r="54" spans="1:11" x14ac:dyDescent="0.45">
      <c r="A54" s="9" t="s">
        <v>184</v>
      </c>
      <c r="B54" s="9" t="s">
        <v>1608</v>
      </c>
      <c r="C54" s="9" t="s">
        <v>179</v>
      </c>
      <c r="D54" s="9" t="b">
        <f>TRUE()</f>
        <v>1</v>
      </c>
      <c r="E54" s="10">
        <v>3</v>
      </c>
      <c r="F54" s="12">
        <f t="shared" si="0"/>
        <v>0.75</v>
      </c>
      <c r="G54" s="10">
        <v>0</v>
      </c>
      <c r="H54" s="27">
        <v>45015</v>
      </c>
      <c r="I54" s="27">
        <v>45055</v>
      </c>
      <c r="J54" s="9" t="s">
        <v>1609</v>
      </c>
      <c r="K54" s="9" t="s">
        <v>1679</v>
      </c>
    </row>
    <row r="55" spans="1:11" x14ac:dyDescent="0.45">
      <c r="A55" s="4" t="s">
        <v>184</v>
      </c>
      <c r="B55" s="4" t="s">
        <v>1608</v>
      </c>
      <c r="C55" s="4" t="s">
        <v>142</v>
      </c>
      <c r="D55" s="4" t="b">
        <f>FALSE()</f>
        <v>0</v>
      </c>
      <c r="E55" s="5">
        <v>1</v>
      </c>
      <c r="F55" s="7">
        <f t="shared" si="0"/>
        <v>0.25</v>
      </c>
      <c r="G55" s="5">
        <v>0</v>
      </c>
      <c r="H55" s="26">
        <v>45008</v>
      </c>
      <c r="I55" s="26">
        <v>45008</v>
      </c>
      <c r="J55" s="4" t="s">
        <v>1614</v>
      </c>
      <c r="K55" s="4" t="s">
        <v>1680</v>
      </c>
    </row>
    <row r="56" spans="1:11" x14ac:dyDescent="0.45">
      <c r="A56" s="9" t="s">
        <v>188</v>
      </c>
      <c r="B56" s="9" t="s">
        <v>1608</v>
      </c>
      <c r="C56" s="9" t="s">
        <v>189</v>
      </c>
      <c r="D56" s="9" t="b">
        <f>TRUE()</f>
        <v>1</v>
      </c>
      <c r="E56" s="10">
        <v>37913</v>
      </c>
      <c r="F56" s="12">
        <f t="shared" si="0"/>
        <v>0.76907316875266241</v>
      </c>
      <c r="G56" s="10">
        <v>6028</v>
      </c>
      <c r="H56" s="27">
        <v>44928</v>
      </c>
      <c r="I56" s="27">
        <v>46189</v>
      </c>
      <c r="J56" s="9" t="s">
        <v>1609</v>
      </c>
      <c r="K56" s="9" t="s">
        <v>1681</v>
      </c>
    </row>
    <row r="57" spans="1:11" x14ac:dyDescent="0.45">
      <c r="A57" s="4" t="s">
        <v>188</v>
      </c>
      <c r="B57" s="4" t="s">
        <v>1608</v>
      </c>
      <c r="C57" s="4" t="s">
        <v>90</v>
      </c>
      <c r="D57" s="4" t="b">
        <f>FALSE()</f>
        <v>0</v>
      </c>
      <c r="E57" s="5">
        <v>11384</v>
      </c>
      <c r="F57" s="7">
        <f t="shared" si="0"/>
        <v>0.23092683124733757</v>
      </c>
      <c r="G57" s="5">
        <v>0</v>
      </c>
      <c r="H57" s="26">
        <v>44928</v>
      </c>
      <c r="I57" s="26">
        <v>45037</v>
      </c>
      <c r="J57" s="4" t="s">
        <v>1614</v>
      </c>
      <c r="K57" s="4" t="s">
        <v>1682</v>
      </c>
    </row>
    <row r="58" spans="1:11" x14ac:dyDescent="0.45">
      <c r="A58" s="9" t="s">
        <v>191</v>
      </c>
      <c r="B58" s="9" t="s">
        <v>1608</v>
      </c>
      <c r="C58" s="9" t="s">
        <v>189</v>
      </c>
      <c r="D58" s="9" t="b">
        <f>TRUE()</f>
        <v>1</v>
      </c>
      <c r="E58" s="10">
        <v>41047</v>
      </c>
      <c r="F58" s="12">
        <f t="shared" si="0"/>
        <v>0.92990643619310842</v>
      </c>
      <c r="G58" s="10">
        <v>11071</v>
      </c>
      <c r="H58" s="27">
        <v>44929</v>
      </c>
      <c r="I58" s="27">
        <v>46296</v>
      </c>
      <c r="J58" s="9" t="s">
        <v>1609</v>
      </c>
      <c r="K58" s="9" t="s">
        <v>1683</v>
      </c>
    </row>
    <row r="59" spans="1:11" x14ac:dyDescent="0.45">
      <c r="A59" s="4" t="s">
        <v>191</v>
      </c>
      <c r="B59" s="4" t="s">
        <v>1608</v>
      </c>
      <c r="C59" s="4" t="s">
        <v>90</v>
      </c>
      <c r="D59" s="4" t="b">
        <f>FALSE()</f>
        <v>0</v>
      </c>
      <c r="E59" s="5">
        <v>3094</v>
      </c>
      <c r="F59" s="7">
        <f t="shared" si="0"/>
        <v>7.0093563806891551E-2</v>
      </c>
      <c r="G59" s="5">
        <v>0</v>
      </c>
      <c r="H59" s="26">
        <v>44928</v>
      </c>
      <c r="I59" s="26">
        <v>45055</v>
      </c>
      <c r="J59" s="4" t="s">
        <v>1614</v>
      </c>
      <c r="K59" s="4" t="s">
        <v>1684</v>
      </c>
    </row>
    <row r="60" spans="1:11" x14ac:dyDescent="0.45">
      <c r="A60" s="9" t="s">
        <v>195</v>
      </c>
      <c r="B60" s="9" t="s">
        <v>1608</v>
      </c>
      <c r="C60" s="9" t="s">
        <v>189</v>
      </c>
      <c r="D60" s="9" t="b">
        <f>TRUE()</f>
        <v>1</v>
      </c>
      <c r="E60" s="10">
        <v>39293</v>
      </c>
      <c r="F60" s="12">
        <f t="shared" si="0"/>
        <v>0.99987276706193695</v>
      </c>
      <c r="G60" s="10">
        <v>10003</v>
      </c>
      <c r="H60" s="27">
        <v>45009</v>
      </c>
      <c r="I60" s="27">
        <v>46296</v>
      </c>
      <c r="J60" s="9" t="s">
        <v>1609</v>
      </c>
      <c r="K60" s="9" t="s">
        <v>1685</v>
      </c>
    </row>
    <row r="61" spans="1:11" x14ac:dyDescent="0.45">
      <c r="A61" s="4" t="s">
        <v>195</v>
      </c>
      <c r="B61" s="4" t="s">
        <v>1608</v>
      </c>
      <c r="C61" s="4" t="s">
        <v>90</v>
      </c>
      <c r="D61" s="4" t="b">
        <f>FALSE()</f>
        <v>0</v>
      </c>
      <c r="E61" s="5">
        <v>5</v>
      </c>
      <c r="F61" s="7">
        <f t="shared" si="0"/>
        <v>1.2723293806300576E-4</v>
      </c>
      <c r="G61" s="5">
        <v>0</v>
      </c>
      <c r="H61" s="26">
        <v>44951</v>
      </c>
      <c r="I61" s="26">
        <v>45053</v>
      </c>
      <c r="J61" s="4" t="s">
        <v>1614</v>
      </c>
      <c r="K61" s="4" t="s">
        <v>1686</v>
      </c>
    </row>
    <row r="62" spans="1:11" x14ac:dyDescent="0.45">
      <c r="A62" s="9" t="s">
        <v>197</v>
      </c>
      <c r="B62" s="9" t="s">
        <v>1608</v>
      </c>
      <c r="C62" s="9" t="s">
        <v>189</v>
      </c>
      <c r="D62" s="9" t="b">
        <f>TRUE()</f>
        <v>1</v>
      </c>
      <c r="E62" s="10">
        <v>31446</v>
      </c>
      <c r="F62" s="12">
        <f t="shared" si="0"/>
        <v>0.92583541881348452</v>
      </c>
      <c r="G62" s="10">
        <v>7844</v>
      </c>
      <c r="H62" s="27">
        <v>44938</v>
      </c>
      <c r="I62" s="27">
        <v>46296</v>
      </c>
      <c r="J62" s="9" t="s">
        <v>1609</v>
      </c>
      <c r="K62" s="9" t="s">
        <v>1687</v>
      </c>
    </row>
    <row r="63" spans="1:11" x14ac:dyDescent="0.45">
      <c r="A63" s="4" t="s">
        <v>197</v>
      </c>
      <c r="B63" s="4" t="s">
        <v>1608</v>
      </c>
      <c r="C63" s="4" t="s">
        <v>90</v>
      </c>
      <c r="D63" s="4" t="b">
        <f>FALSE()</f>
        <v>0</v>
      </c>
      <c r="E63" s="5">
        <v>2519</v>
      </c>
      <c r="F63" s="7">
        <f t="shared" si="0"/>
        <v>7.4164581186515532E-2</v>
      </c>
      <c r="G63" s="5">
        <v>0</v>
      </c>
      <c r="H63" s="26">
        <v>44928</v>
      </c>
      <c r="I63" s="26">
        <v>45055</v>
      </c>
      <c r="J63" s="4" t="s">
        <v>1614</v>
      </c>
      <c r="K63" s="4" t="s">
        <v>1688</v>
      </c>
    </row>
    <row r="64" spans="1:11" x14ac:dyDescent="0.45">
      <c r="A64" s="9" t="s">
        <v>199</v>
      </c>
      <c r="B64" s="9" t="s">
        <v>1608</v>
      </c>
      <c r="C64" s="9" t="s">
        <v>189</v>
      </c>
      <c r="D64" s="9" t="b">
        <f>TRUE()</f>
        <v>1</v>
      </c>
      <c r="E64" s="10">
        <v>28589</v>
      </c>
      <c r="F64" s="12">
        <f t="shared" si="0"/>
        <v>0.96372829934265969</v>
      </c>
      <c r="G64" s="10">
        <v>5404</v>
      </c>
      <c r="H64" s="27">
        <v>44928</v>
      </c>
      <c r="I64" s="27">
        <v>46296</v>
      </c>
      <c r="J64" s="9" t="s">
        <v>1609</v>
      </c>
      <c r="K64" s="9" t="s">
        <v>1689</v>
      </c>
    </row>
    <row r="65" spans="1:11" x14ac:dyDescent="0.45">
      <c r="A65" s="4" t="s">
        <v>199</v>
      </c>
      <c r="B65" s="4" t="s">
        <v>1608</v>
      </c>
      <c r="C65" s="4" t="s">
        <v>90</v>
      </c>
      <c r="D65" s="4" t="b">
        <f>FALSE()</f>
        <v>0</v>
      </c>
      <c r="E65" s="5">
        <v>1076</v>
      </c>
      <c r="F65" s="7">
        <f t="shared" si="0"/>
        <v>3.6271700657340297E-2</v>
      </c>
      <c r="G65" s="5">
        <v>0</v>
      </c>
      <c r="H65" s="26">
        <v>44928</v>
      </c>
      <c r="I65" s="26">
        <v>45055</v>
      </c>
      <c r="J65" s="4" t="s">
        <v>1614</v>
      </c>
      <c r="K65" s="4" t="s">
        <v>1690</v>
      </c>
    </row>
    <row r="66" spans="1:11" x14ac:dyDescent="0.45">
      <c r="A66" s="9" t="s">
        <v>201</v>
      </c>
      <c r="B66" s="9" t="s">
        <v>1608</v>
      </c>
      <c r="C66" s="9" t="s">
        <v>189</v>
      </c>
      <c r="D66" s="9" t="b">
        <f>TRUE()</f>
        <v>1</v>
      </c>
      <c r="E66" s="10">
        <v>20151</v>
      </c>
      <c r="F66" s="12">
        <f t="shared" ref="F66:F129" si="1">E66/SUMIFS($E$2:$E$783,$A$2:$A$783,A66)</f>
        <v>0.96135680549592095</v>
      </c>
      <c r="G66" s="10">
        <v>5598</v>
      </c>
      <c r="H66" s="27">
        <v>44928</v>
      </c>
      <c r="I66" s="27">
        <v>46296</v>
      </c>
      <c r="J66" s="9" t="s">
        <v>1609</v>
      </c>
      <c r="K66" s="9" t="s">
        <v>1689</v>
      </c>
    </row>
    <row r="67" spans="1:11" x14ac:dyDescent="0.45">
      <c r="A67" s="4" t="s">
        <v>201</v>
      </c>
      <c r="B67" s="4" t="s">
        <v>1608</v>
      </c>
      <c r="C67" s="4" t="s">
        <v>90</v>
      </c>
      <c r="D67" s="4" t="b">
        <f>FALSE()</f>
        <v>0</v>
      </c>
      <c r="E67" s="5">
        <v>810</v>
      </c>
      <c r="F67" s="7">
        <f t="shared" si="1"/>
        <v>3.8643194504079006E-2</v>
      </c>
      <c r="G67" s="5">
        <v>0</v>
      </c>
      <c r="H67" s="26">
        <v>44928</v>
      </c>
      <c r="I67" s="26">
        <v>45054</v>
      </c>
      <c r="J67" s="4" t="s">
        <v>1614</v>
      </c>
      <c r="K67" s="4" t="s">
        <v>1691</v>
      </c>
    </row>
    <row r="68" spans="1:11" x14ac:dyDescent="0.45">
      <c r="A68" s="9" t="s">
        <v>202</v>
      </c>
      <c r="B68" s="9" t="s">
        <v>1608</v>
      </c>
      <c r="C68" s="9" t="s">
        <v>189</v>
      </c>
      <c r="D68" s="9" t="b">
        <f>TRUE()</f>
        <v>1</v>
      </c>
      <c r="E68" s="10">
        <v>12585</v>
      </c>
      <c r="F68" s="12">
        <f t="shared" si="1"/>
        <v>0.94880880579010851</v>
      </c>
      <c r="G68" s="10">
        <v>3938</v>
      </c>
      <c r="H68" s="27">
        <v>44935</v>
      </c>
      <c r="I68" s="27">
        <v>46296</v>
      </c>
      <c r="J68" s="9" t="s">
        <v>1609</v>
      </c>
      <c r="K68" s="9" t="s">
        <v>1692</v>
      </c>
    </row>
    <row r="69" spans="1:11" x14ac:dyDescent="0.45">
      <c r="A69" s="4" t="s">
        <v>202</v>
      </c>
      <c r="B69" s="4" t="s">
        <v>1608</v>
      </c>
      <c r="C69" s="4" t="s">
        <v>90</v>
      </c>
      <c r="D69" s="4" t="b">
        <f>FALSE()</f>
        <v>0</v>
      </c>
      <c r="E69" s="5">
        <v>679</v>
      </c>
      <c r="F69" s="7">
        <f t="shared" si="1"/>
        <v>5.1191194209891433E-2</v>
      </c>
      <c r="G69" s="5">
        <v>0</v>
      </c>
      <c r="H69" s="26">
        <v>44928</v>
      </c>
      <c r="I69" s="26">
        <v>45055</v>
      </c>
      <c r="J69" s="4" t="s">
        <v>1614</v>
      </c>
      <c r="K69" s="4" t="s">
        <v>1693</v>
      </c>
    </row>
    <row r="70" spans="1:11" x14ac:dyDescent="0.45">
      <c r="A70" s="9" t="s">
        <v>203</v>
      </c>
      <c r="B70" s="9" t="s">
        <v>1608</v>
      </c>
      <c r="C70" s="9" t="s">
        <v>189</v>
      </c>
      <c r="D70" s="9" t="b">
        <f>TRUE()</f>
        <v>1</v>
      </c>
      <c r="E70" s="10">
        <v>11485</v>
      </c>
      <c r="F70" s="12">
        <f t="shared" si="1"/>
        <v>0.93336042259244212</v>
      </c>
      <c r="G70" s="10">
        <v>2121</v>
      </c>
      <c r="H70" s="27">
        <v>44928</v>
      </c>
      <c r="I70" s="27">
        <v>46296</v>
      </c>
      <c r="J70" s="9" t="s">
        <v>1609</v>
      </c>
      <c r="K70" s="9" t="s">
        <v>1689</v>
      </c>
    </row>
    <row r="71" spans="1:11" x14ac:dyDescent="0.45">
      <c r="A71" s="4" t="s">
        <v>203</v>
      </c>
      <c r="B71" s="4" t="s">
        <v>1608</v>
      </c>
      <c r="C71" s="4" t="s">
        <v>90</v>
      </c>
      <c r="D71" s="4" t="b">
        <f>FALSE()</f>
        <v>0</v>
      </c>
      <c r="E71" s="5">
        <v>820</v>
      </c>
      <c r="F71" s="7">
        <f t="shared" si="1"/>
        <v>6.6639577407557909E-2</v>
      </c>
      <c r="G71" s="5">
        <v>0</v>
      </c>
      <c r="H71" s="26">
        <v>44928</v>
      </c>
      <c r="I71" s="26">
        <v>45055</v>
      </c>
      <c r="J71" s="4" t="s">
        <v>1614</v>
      </c>
      <c r="K71" s="4" t="s">
        <v>1690</v>
      </c>
    </row>
    <row r="72" spans="1:11" x14ac:dyDescent="0.45">
      <c r="A72" s="9" t="s">
        <v>205</v>
      </c>
      <c r="B72" s="9" t="s">
        <v>1608</v>
      </c>
      <c r="C72" s="9" t="s">
        <v>189</v>
      </c>
      <c r="D72" s="9" t="b">
        <f>TRUE()</f>
        <v>1</v>
      </c>
      <c r="E72" s="10">
        <v>11780</v>
      </c>
      <c r="F72" s="12">
        <f t="shared" si="1"/>
        <v>0.97234832851836561</v>
      </c>
      <c r="G72" s="10">
        <v>2911</v>
      </c>
      <c r="H72" s="27">
        <v>44945</v>
      </c>
      <c r="I72" s="27">
        <v>46296</v>
      </c>
      <c r="J72" s="9" t="s">
        <v>1609</v>
      </c>
      <c r="K72" s="9" t="s">
        <v>1694</v>
      </c>
    </row>
    <row r="73" spans="1:11" x14ac:dyDescent="0.45">
      <c r="A73" s="4" t="s">
        <v>205</v>
      </c>
      <c r="B73" s="4" t="s">
        <v>1608</v>
      </c>
      <c r="C73" s="4" t="s">
        <v>90</v>
      </c>
      <c r="D73" s="4" t="b">
        <f>FALSE()</f>
        <v>0</v>
      </c>
      <c r="E73" s="5">
        <v>335</v>
      </c>
      <c r="F73" s="7">
        <f t="shared" si="1"/>
        <v>2.7651671481634339E-2</v>
      </c>
      <c r="G73" s="5">
        <v>0</v>
      </c>
      <c r="H73" s="26">
        <v>44929</v>
      </c>
      <c r="I73" s="26">
        <v>45054</v>
      </c>
      <c r="J73" s="4" t="s">
        <v>1614</v>
      </c>
      <c r="K73" s="4" t="s">
        <v>1695</v>
      </c>
    </row>
    <row r="74" spans="1:11" x14ac:dyDescent="0.45">
      <c r="A74" s="9" t="s">
        <v>207</v>
      </c>
      <c r="B74" s="9" t="s">
        <v>1608</v>
      </c>
      <c r="C74" s="9" t="s">
        <v>189</v>
      </c>
      <c r="D74" s="9" t="b">
        <f>TRUE()</f>
        <v>1</v>
      </c>
      <c r="E74" s="10">
        <v>10513</v>
      </c>
      <c r="F74" s="12">
        <f t="shared" si="1"/>
        <v>0.91600592489326482</v>
      </c>
      <c r="G74" s="10">
        <v>2402</v>
      </c>
      <c r="H74" s="27">
        <v>44931</v>
      </c>
      <c r="I74" s="27">
        <v>46296</v>
      </c>
      <c r="J74" s="9" t="s">
        <v>1609</v>
      </c>
      <c r="K74" s="9" t="s">
        <v>1696</v>
      </c>
    </row>
    <row r="75" spans="1:11" x14ac:dyDescent="0.45">
      <c r="A75" s="4" t="s">
        <v>207</v>
      </c>
      <c r="B75" s="4" t="s">
        <v>1608</v>
      </c>
      <c r="C75" s="4" t="s">
        <v>90</v>
      </c>
      <c r="D75" s="4" t="b">
        <f>FALSE()</f>
        <v>0</v>
      </c>
      <c r="E75" s="5">
        <v>964</v>
      </c>
      <c r="F75" s="7">
        <f t="shared" si="1"/>
        <v>8.3994075106735205E-2</v>
      </c>
      <c r="G75" s="5">
        <v>0</v>
      </c>
      <c r="H75" s="26">
        <v>44928</v>
      </c>
      <c r="I75" s="26">
        <v>45055</v>
      </c>
      <c r="J75" s="4" t="s">
        <v>1614</v>
      </c>
      <c r="K75" s="4" t="s">
        <v>1697</v>
      </c>
    </row>
    <row r="76" spans="1:11" x14ac:dyDescent="0.45">
      <c r="A76" s="9" t="s">
        <v>209</v>
      </c>
      <c r="B76" s="9" t="s">
        <v>1608</v>
      </c>
      <c r="C76" s="9" t="s">
        <v>189</v>
      </c>
      <c r="D76" s="9" t="b">
        <f>TRUE()</f>
        <v>1</v>
      </c>
      <c r="E76" s="10">
        <v>9988</v>
      </c>
      <c r="F76" s="12">
        <f t="shared" si="1"/>
        <v>0.93722435957586558</v>
      </c>
      <c r="G76" s="10">
        <v>2875</v>
      </c>
      <c r="H76" s="27">
        <v>44929</v>
      </c>
      <c r="I76" s="27">
        <v>46296</v>
      </c>
      <c r="J76" s="9" t="s">
        <v>1609</v>
      </c>
      <c r="K76" s="9" t="s">
        <v>1683</v>
      </c>
    </row>
    <row r="77" spans="1:11" x14ac:dyDescent="0.45">
      <c r="A77" s="4" t="s">
        <v>209</v>
      </c>
      <c r="B77" s="4" t="s">
        <v>1608</v>
      </c>
      <c r="C77" s="4" t="s">
        <v>90</v>
      </c>
      <c r="D77" s="4" t="b">
        <f>FALSE()</f>
        <v>0</v>
      </c>
      <c r="E77" s="5">
        <v>669</v>
      </c>
      <c r="F77" s="7">
        <f t="shared" si="1"/>
        <v>6.2775640424134374E-2</v>
      </c>
      <c r="G77" s="5">
        <v>0</v>
      </c>
      <c r="H77" s="26">
        <v>44928</v>
      </c>
      <c r="I77" s="26">
        <v>45054</v>
      </c>
      <c r="J77" s="4" t="s">
        <v>1614</v>
      </c>
      <c r="K77" s="4" t="s">
        <v>1698</v>
      </c>
    </row>
    <row r="78" spans="1:11" x14ac:dyDescent="0.45">
      <c r="A78" s="9" t="s">
        <v>211</v>
      </c>
      <c r="B78" s="9" t="s">
        <v>1608</v>
      </c>
      <c r="C78" s="9" t="s">
        <v>189</v>
      </c>
      <c r="D78" s="9" t="b">
        <f>TRUE()</f>
        <v>1</v>
      </c>
      <c r="E78" s="10">
        <v>8006</v>
      </c>
      <c r="F78" s="12">
        <f t="shared" si="1"/>
        <v>0.9995006242197253</v>
      </c>
      <c r="G78" s="10">
        <v>490</v>
      </c>
      <c r="H78" s="27">
        <v>45060</v>
      </c>
      <c r="I78" s="27">
        <v>46296</v>
      </c>
      <c r="J78" s="9" t="s">
        <v>1609</v>
      </c>
      <c r="K78" s="9" t="s">
        <v>1651</v>
      </c>
    </row>
    <row r="79" spans="1:11" x14ac:dyDescent="0.45">
      <c r="A79" s="4" t="s">
        <v>211</v>
      </c>
      <c r="B79" s="4" t="s">
        <v>1608</v>
      </c>
      <c r="C79" s="4" t="s">
        <v>90</v>
      </c>
      <c r="D79" s="4" t="b">
        <f>FALSE()</f>
        <v>0</v>
      </c>
      <c r="E79" s="5">
        <v>4</v>
      </c>
      <c r="F79" s="7">
        <f t="shared" si="1"/>
        <v>4.9937578027465666E-4</v>
      </c>
      <c r="G79" s="5">
        <v>0</v>
      </c>
      <c r="H79" s="26">
        <v>44946</v>
      </c>
      <c r="I79" s="26">
        <v>45048</v>
      </c>
      <c r="J79" s="4" t="s">
        <v>1614</v>
      </c>
      <c r="K79" s="4" t="s">
        <v>1699</v>
      </c>
    </row>
    <row r="80" spans="1:11" x14ac:dyDescent="0.45">
      <c r="A80" s="9" t="s">
        <v>212</v>
      </c>
      <c r="B80" s="9" t="s">
        <v>1608</v>
      </c>
      <c r="C80" s="9" t="s">
        <v>189</v>
      </c>
      <c r="D80" s="9" t="b">
        <f>TRUE()</f>
        <v>1</v>
      </c>
      <c r="E80" s="10">
        <v>7292</v>
      </c>
      <c r="F80" s="12">
        <f t="shared" si="1"/>
        <v>0.9284441049146932</v>
      </c>
      <c r="G80" s="10">
        <v>1876</v>
      </c>
      <c r="H80" s="27">
        <v>44931</v>
      </c>
      <c r="I80" s="27">
        <v>46296</v>
      </c>
      <c r="J80" s="9" t="s">
        <v>1609</v>
      </c>
      <c r="K80" s="9" t="s">
        <v>1696</v>
      </c>
    </row>
    <row r="81" spans="1:11" x14ac:dyDescent="0.45">
      <c r="A81" s="4" t="s">
        <v>212</v>
      </c>
      <c r="B81" s="4" t="s">
        <v>1608</v>
      </c>
      <c r="C81" s="4" t="s">
        <v>90</v>
      </c>
      <c r="D81" s="4" t="b">
        <f>FALSE()</f>
        <v>0</v>
      </c>
      <c r="E81" s="5">
        <v>562</v>
      </c>
      <c r="F81" s="7">
        <f t="shared" si="1"/>
        <v>7.1555895085306853E-2</v>
      </c>
      <c r="G81" s="5">
        <v>0</v>
      </c>
      <c r="H81" s="26">
        <v>44928</v>
      </c>
      <c r="I81" s="26">
        <v>45053</v>
      </c>
      <c r="J81" s="4" t="s">
        <v>1614</v>
      </c>
      <c r="K81" s="4" t="s">
        <v>1700</v>
      </c>
    </row>
    <row r="82" spans="1:11" x14ac:dyDescent="0.45">
      <c r="A82" s="9" t="s">
        <v>213</v>
      </c>
      <c r="B82" s="9" t="s">
        <v>1608</v>
      </c>
      <c r="C82" s="9" t="s">
        <v>189</v>
      </c>
      <c r="D82" s="9" t="b">
        <f>TRUE()</f>
        <v>1</v>
      </c>
      <c r="E82" s="10">
        <v>7454</v>
      </c>
      <c r="F82" s="12">
        <f t="shared" si="1"/>
        <v>0.97488883076118227</v>
      </c>
      <c r="G82" s="10">
        <v>2005</v>
      </c>
      <c r="H82" s="27">
        <v>44928</v>
      </c>
      <c r="I82" s="27">
        <v>46296</v>
      </c>
      <c r="J82" s="9" t="s">
        <v>1609</v>
      </c>
      <c r="K82" s="9" t="s">
        <v>1689</v>
      </c>
    </row>
    <row r="83" spans="1:11" x14ac:dyDescent="0.45">
      <c r="A83" s="4" t="s">
        <v>213</v>
      </c>
      <c r="B83" s="4" t="s">
        <v>1608</v>
      </c>
      <c r="C83" s="4" t="s">
        <v>90</v>
      </c>
      <c r="D83" s="4" t="b">
        <f>FALSE()</f>
        <v>0</v>
      </c>
      <c r="E83" s="5">
        <v>192</v>
      </c>
      <c r="F83" s="7">
        <f t="shared" si="1"/>
        <v>2.5111169238817684E-2</v>
      </c>
      <c r="G83" s="5">
        <v>0</v>
      </c>
      <c r="H83" s="26">
        <v>44928</v>
      </c>
      <c r="I83" s="26">
        <v>45049</v>
      </c>
      <c r="J83" s="4" t="s">
        <v>1614</v>
      </c>
      <c r="K83" s="4" t="s">
        <v>1701</v>
      </c>
    </row>
    <row r="84" spans="1:11" x14ac:dyDescent="0.45">
      <c r="A84" s="9" t="s">
        <v>214</v>
      </c>
      <c r="B84" s="9" t="s">
        <v>1608</v>
      </c>
      <c r="C84" s="9" t="s">
        <v>189</v>
      </c>
      <c r="D84" s="9" t="b">
        <f>TRUE()</f>
        <v>1</v>
      </c>
      <c r="E84" s="10">
        <v>6303</v>
      </c>
      <c r="F84" s="12">
        <f t="shared" si="1"/>
        <v>0.95010551703346402</v>
      </c>
      <c r="G84" s="10">
        <v>1568</v>
      </c>
      <c r="H84" s="27">
        <v>44936</v>
      </c>
      <c r="I84" s="27">
        <v>46296</v>
      </c>
      <c r="J84" s="9" t="s">
        <v>1609</v>
      </c>
      <c r="K84" s="9" t="s">
        <v>1702</v>
      </c>
    </row>
    <row r="85" spans="1:11" x14ac:dyDescent="0.45">
      <c r="A85" s="4" t="s">
        <v>214</v>
      </c>
      <c r="B85" s="4" t="s">
        <v>1608</v>
      </c>
      <c r="C85" s="4" t="s">
        <v>90</v>
      </c>
      <c r="D85" s="4" t="b">
        <f>FALSE()</f>
        <v>0</v>
      </c>
      <c r="E85" s="5">
        <v>331</v>
      </c>
      <c r="F85" s="7">
        <f t="shared" si="1"/>
        <v>4.9894482966536029E-2</v>
      </c>
      <c r="G85" s="5">
        <v>0</v>
      </c>
      <c r="H85" s="26">
        <v>44929</v>
      </c>
      <c r="I85" s="26">
        <v>45054</v>
      </c>
      <c r="J85" s="4" t="s">
        <v>1614</v>
      </c>
      <c r="K85" s="4" t="s">
        <v>1703</v>
      </c>
    </row>
    <row r="86" spans="1:11" x14ac:dyDescent="0.45">
      <c r="A86" s="9" t="s">
        <v>221</v>
      </c>
      <c r="B86" s="9" t="s">
        <v>1608</v>
      </c>
      <c r="C86" s="9" t="s">
        <v>189</v>
      </c>
      <c r="D86" s="9" t="b">
        <f>TRUE()</f>
        <v>1</v>
      </c>
      <c r="E86" s="10">
        <v>2517</v>
      </c>
      <c r="F86" s="12">
        <f t="shared" si="1"/>
        <v>0.8119354838709677</v>
      </c>
      <c r="G86" s="10">
        <v>0</v>
      </c>
      <c r="H86" s="27">
        <v>44935</v>
      </c>
      <c r="I86" s="27">
        <v>45375</v>
      </c>
      <c r="J86" s="9" t="s">
        <v>1609</v>
      </c>
      <c r="K86" s="9" t="s">
        <v>1704</v>
      </c>
    </row>
    <row r="87" spans="1:11" x14ac:dyDescent="0.45">
      <c r="A87" s="4" t="s">
        <v>221</v>
      </c>
      <c r="B87" s="4" t="s">
        <v>1608</v>
      </c>
      <c r="C87" s="4" t="s">
        <v>90</v>
      </c>
      <c r="D87" s="4" t="b">
        <f>FALSE()</f>
        <v>0</v>
      </c>
      <c r="E87" s="5">
        <v>583</v>
      </c>
      <c r="F87" s="7">
        <f t="shared" si="1"/>
        <v>0.18806451612903224</v>
      </c>
      <c r="G87" s="5">
        <v>0</v>
      </c>
      <c r="H87" s="26">
        <v>44928</v>
      </c>
      <c r="I87" s="26">
        <v>45055</v>
      </c>
      <c r="J87" s="4" t="s">
        <v>1614</v>
      </c>
      <c r="K87" s="4" t="s">
        <v>1693</v>
      </c>
    </row>
    <row r="88" spans="1:11" x14ac:dyDescent="0.45">
      <c r="A88" s="9" t="s">
        <v>222</v>
      </c>
      <c r="B88" s="9" t="s">
        <v>1608</v>
      </c>
      <c r="C88" s="9" t="s">
        <v>189</v>
      </c>
      <c r="D88" s="9" t="b">
        <f>TRUE()</f>
        <v>1</v>
      </c>
      <c r="E88" s="10">
        <v>2526</v>
      </c>
      <c r="F88" s="12">
        <f t="shared" si="1"/>
        <v>0.94359357489727302</v>
      </c>
      <c r="G88" s="10">
        <v>687</v>
      </c>
      <c r="H88" s="27">
        <v>44939</v>
      </c>
      <c r="I88" s="27">
        <v>46296</v>
      </c>
      <c r="J88" s="9" t="s">
        <v>1609</v>
      </c>
      <c r="K88" s="9" t="s">
        <v>1705</v>
      </c>
    </row>
    <row r="89" spans="1:11" x14ac:dyDescent="0.45">
      <c r="A89" s="4" t="s">
        <v>222</v>
      </c>
      <c r="B89" s="4" t="s">
        <v>1608</v>
      </c>
      <c r="C89" s="4" t="s">
        <v>90</v>
      </c>
      <c r="D89" s="4" t="b">
        <f>FALSE()</f>
        <v>0</v>
      </c>
      <c r="E89" s="5">
        <v>151</v>
      </c>
      <c r="F89" s="7">
        <f t="shared" si="1"/>
        <v>5.6406425102726934E-2</v>
      </c>
      <c r="G89" s="5">
        <v>0</v>
      </c>
      <c r="H89" s="26">
        <v>44928</v>
      </c>
      <c r="I89" s="26">
        <v>45048</v>
      </c>
      <c r="J89" s="4" t="s">
        <v>1614</v>
      </c>
      <c r="K89" s="4" t="s">
        <v>1706</v>
      </c>
    </row>
    <row r="90" spans="1:11" x14ac:dyDescent="0.45">
      <c r="A90" s="9" t="s">
        <v>223</v>
      </c>
      <c r="B90" s="9" t="s">
        <v>1608</v>
      </c>
      <c r="C90" s="9" t="s">
        <v>189</v>
      </c>
      <c r="D90" s="9" t="b">
        <f>TRUE()</f>
        <v>1</v>
      </c>
      <c r="E90" s="10">
        <v>1181</v>
      </c>
      <c r="F90" s="12">
        <f t="shared" si="1"/>
        <v>0.54273897058823528</v>
      </c>
      <c r="G90" s="10">
        <v>0</v>
      </c>
      <c r="H90" s="27">
        <v>45008</v>
      </c>
      <c r="I90" s="27">
        <v>45187</v>
      </c>
      <c r="J90" s="9" t="s">
        <v>1609</v>
      </c>
      <c r="K90" s="9" t="s">
        <v>1707</v>
      </c>
    </row>
    <row r="91" spans="1:11" x14ac:dyDescent="0.45">
      <c r="A91" s="4" t="s">
        <v>223</v>
      </c>
      <c r="B91" s="4" t="s">
        <v>1608</v>
      </c>
      <c r="C91" s="4" t="s">
        <v>90</v>
      </c>
      <c r="D91" s="4" t="b">
        <f>FALSE()</f>
        <v>0</v>
      </c>
      <c r="E91" s="5">
        <v>995</v>
      </c>
      <c r="F91" s="7">
        <f t="shared" si="1"/>
        <v>0.45726102941176472</v>
      </c>
      <c r="G91" s="5">
        <v>0</v>
      </c>
      <c r="H91" s="26">
        <v>44928</v>
      </c>
      <c r="I91" s="26">
        <v>45055</v>
      </c>
      <c r="J91" s="4" t="s">
        <v>1614</v>
      </c>
      <c r="K91" s="4" t="s">
        <v>1708</v>
      </c>
    </row>
    <row r="92" spans="1:11" x14ac:dyDescent="0.45">
      <c r="A92" s="9" t="s">
        <v>226</v>
      </c>
      <c r="B92" s="9" t="s">
        <v>1608</v>
      </c>
      <c r="C92" s="9" t="s">
        <v>189</v>
      </c>
      <c r="D92" s="9" t="b">
        <f>TRUE()</f>
        <v>1</v>
      </c>
      <c r="E92" s="10">
        <v>1731</v>
      </c>
      <c r="F92" s="12">
        <f t="shared" si="1"/>
        <v>0.9438386041439476</v>
      </c>
      <c r="G92" s="10">
        <v>369</v>
      </c>
      <c r="H92" s="27">
        <v>44939</v>
      </c>
      <c r="I92" s="27">
        <v>46296</v>
      </c>
      <c r="J92" s="9" t="s">
        <v>1609</v>
      </c>
      <c r="K92" s="9" t="s">
        <v>1705</v>
      </c>
    </row>
    <row r="93" spans="1:11" x14ac:dyDescent="0.45">
      <c r="A93" s="4" t="s">
        <v>226</v>
      </c>
      <c r="B93" s="4" t="s">
        <v>1608</v>
      </c>
      <c r="C93" s="4" t="s">
        <v>90</v>
      </c>
      <c r="D93" s="4" t="b">
        <f>FALSE()</f>
        <v>0</v>
      </c>
      <c r="E93" s="5">
        <v>103</v>
      </c>
      <c r="F93" s="7">
        <f t="shared" si="1"/>
        <v>5.6161395856052343E-2</v>
      </c>
      <c r="G93" s="5">
        <v>0</v>
      </c>
      <c r="H93" s="26">
        <v>44929</v>
      </c>
      <c r="I93" s="26">
        <v>45052</v>
      </c>
      <c r="J93" s="4" t="s">
        <v>1614</v>
      </c>
      <c r="K93" s="4" t="s">
        <v>1709</v>
      </c>
    </row>
    <row r="94" spans="1:11" x14ac:dyDescent="0.45">
      <c r="A94" s="9" t="s">
        <v>227</v>
      </c>
      <c r="B94" s="9" t="s">
        <v>1608</v>
      </c>
      <c r="C94" s="9" t="s">
        <v>189</v>
      </c>
      <c r="D94" s="9" t="b">
        <f>TRUE()</f>
        <v>1</v>
      </c>
      <c r="E94" s="10">
        <v>1462</v>
      </c>
      <c r="F94" s="12">
        <f t="shared" si="1"/>
        <v>0.92065491183879089</v>
      </c>
      <c r="G94" s="10">
        <v>315</v>
      </c>
      <c r="H94" s="27">
        <v>44947</v>
      </c>
      <c r="I94" s="27">
        <v>46296</v>
      </c>
      <c r="J94" s="9" t="s">
        <v>1609</v>
      </c>
      <c r="K94" s="9" t="s">
        <v>1710</v>
      </c>
    </row>
    <row r="95" spans="1:11" x14ac:dyDescent="0.45">
      <c r="A95" s="4" t="s">
        <v>227</v>
      </c>
      <c r="B95" s="4" t="s">
        <v>1608</v>
      </c>
      <c r="C95" s="4" t="s">
        <v>90</v>
      </c>
      <c r="D95" s="4" t="b">
        <f>FALSE()</f>
        <v>0</v>
      </c>
      <c r="E95" s="5">
        <v>126</v>
      </c>
      <c r="F95" s="7">
        <f t="shared" si="1"/>
        <v>7.9345088161209068E-2</v>
      </c>
      <c r="G95" s="5">
        <v>0</v>
      </c>
      <c r="H95" s="26">
        <v>44928</v>
      </c>
      <c r="I95" s="26">
        <v>45053</v>
      </c>
      <c r="J95" s="4" t="s">
        <v>1614</v>
      </c>
      <c r="K95" s="4" t="s">
        <v>1711</v>
      </c>
    </row>
    <row r="96" spans="1:11" x14ac:dyDescent="0.45">
      <c r="A96" s="9" t="s">
        <v>228</v>
      </c>
      <c r="B96" s="9" t="s">
        <v>1608</v>
      </c>
      <c r="C96" s="9" t="s">
        <v>189</v>
      </c>
      <c r="D96" s="9" t="b">
        <f>TRUE()</f>
        <v>1</v>
      </c>
      <c r="E96" s="10">
        <v>1492</v>
      </c>
      <c r="F96" s="12">
        <f t="shared" si="1"/>
        <v>0.99933020763563296</v>
      </c>
      <c r="G96" s="10">
        <v>429</v>
      </c>
      <c r="H96" s="27">
        <v>44928</v>
      </c>
      <c r="I96" s="27">
        <v>46296</v>
      </c>
      <c r="J96" s="9" t="s">
        <v>1609</v>
      </c>
      <c r="K96" s="9" t="s">
        <v>1689</v>
      </c>
    </row>
    <row r="97" spans="1:11" x14ac:dyDescent="0.45">
      <c r="A97" s="4" t="s">
        <v>228</v>
      </c>
      <c r="B97" s="4" t="s">
        <v>1608</v>
      </c>
      <c r="C97" s="4" t="s">
        <v>90</v>
      </c>
      <c r="D97" s="4" t="b">
        <f>FALSE()</f>
        <v>0</v>
      </c>
      <c r="E97" s="5">
        <v>1</v>
      </c>
      <c r="F97" s="7">
        <f t="shared" si="1"/>
        <v>6.6979236436704619E-4</v>
      </c>
      <c r="G97" s="5">
        <v>0</v>
      </c>
      <c r="H97" s="26">
        <v>45022</v>
      </c>
      <c r="I97" s="26">
        <v>45022</v>
      </c>
      <c r="J97" s="4" t="s">
        <v>1614</v>
      </c>
      <c r="K97" s="4" t="s">
        <v>1712</v>
      </c>
    </row>
    <row r="98" spans="1:11" x14ac:dyDescent="0.45">
      <c r="A98" s="9" t="s">
        <v>229</v>
      </c>
      <c r="B98" s="9" t="s">
        <v>1608</v>
      </c>
      <c r="C98" s="9" t="s">
        <v>189</v>
      </c>
      <c r="D98" s="9" t="b">
        <f>TRUE()</f>
        <v>1</v>
      </c>
      <c r="E98" s="10">
        <v>1328</v>
      </c>
      <c r="F98" s="12">
        <f t="shared" si="1"/>
        <v>0.93127629733520334</v>
      </c>
      <c r="G98" s="10">
        <v>299</v>
      </c>
      <c r="H98" s="27">
        <v>44949</v>
      </c>
      <c r="I98" s="27">
        <v>46287</v>
      </c>
      <c r="J98" s="9" t="s">
        <v>1609</v>
      </c>
      <c r="K98" s="9" t="s">
        <v>1713</v>
      </c>
    </row>
    <row r="99" spans="1:11" x14ac:dyDescent="0.45">
      <c r="A99" s="4" t="s">
        <v>229</v>
      </c>
      <c r="B99" s="4" t="s">
        <v>1608</v>
      </c>
      <c r="C99" s="4" t="s">
        <v>90</v>
      </c>
      <c r="D99" s="4" t="b">
        <f>FALSE()</f>
        <v>0</v>
      </c>
      <c r="E99" s="5">
        <v>98</v>
      </c>
      <c r="F99" s="7">
        <f t="shared" si="1"/>
        <v>6.8723702664796632E-2</v>
      </c>
      <c r="G99" s="5">
        <v>0</v>
      </c>
      <c r="H99" s="26">
        <v>44928</v>
      </c>
      <c r="I99" s="26">
        <v>45051</v>
      </c>
      <c r="J99" s="4" t="s">
        <v>1614</v>
      </c>
      <c r="K99" s="4" t="s">
        <v>1714</v>
      </c>
    </row>
    <row r="100" spans="1:11" x14ac:dyDescent="0.45">
      <c r="A100" s="9" t="s">
        <v>231</v>
      </c>
      <c r="B100" s="9" t="s">
        <v>1608</v>
      </c>
      <c r="C100" s="9" t="s">
        <v>189</v>
      </c>
      <c r="D100" s="9" t="b">
        <f>TRUE()</f>
        <v>1</v>
      </c>
      <c r="E100" s="10">
        <v>626</v>
      </c>
      <c r="F100" s="12">
        <f t="shared" si="1"/>
        <v>0.53412969283276446</v>
      </c>
      <c r="G100" s="10">
        <v>0</v>
      </c>
      <c r="H100" s="27">
        <v>45024</v>
      </c>
      <c r="I100" s="27">
        <v>45188</v>
      </c>
      <c r="J100" s="9" t="s">
        <v>1609</v>
      </c>
      <c r="K100" s="9" t="s">
        <v>1715</v>
      </c>
    </row>
    <row r="101" spans="1:11" x14ac:dyDescent="0.45">
      <c r="A101" s="4" t="s">
        <v>231</v>
      </c>
      <c r="B101" s="4" t="s">
        <v>1608</v>
      </c>
      <c r="C101" s="4" t="s">
        <v>90</v>
      </c>
      <c r="D101" s="4" t="b">
        <f>FALSE()</f>
        <v>0</v>
      </c>
      <c r="E101" s="5">
        <v>546</v>
      </c>
      <c r="F101" s="7">
        <f t="shared" si="1"/>
        <v>0.46587030716723549</v>
      </c>
      <c r="G101" s="5">
        <v>0</v>
      </c>
      <c r="H101" s="26">
        <v>44928</v>
      </c>
      <c r="I101" s="26">
        <v>45054</v>
      </c>
      <c r="J101" s="4" t="s">
        <v>1614</v>
      </c>
      <c r="K101" s="4" t="s">
        <v>1716</v>
      </c>
    </row>
    <row r="102" spans="1:11" x14ac:dyDescent="0.45">
      <c r="A102" s="9" t="s">
        <v>233</v>
      </c>
      <c r="B102" s="9" t="s">
        <v>1608</v>
      </c>
      <c r="C102" s="9" t="s">
        <v>189</v>
      </c>
      <c r="D102" s="9" t="b">
        <f>TRUE()</f>
        <v>1</v>
      </c>
      <c r="E102" s="10">
        <v>693</v>
      </c>
      <c r="F102" s="12">
        <f t="shared" si="1"/>
        <v>0.59433962264150941</v>
      </c>
      <c r="G102" s="10">
        <v>0</v>
      </c>
      <c r="H102" s="27">
        <v>44951</v>
      </c>
      <c r="I102" s="27">
        <v>45186</v>
      </c>
      <c r="J102" s="9" t="s">
        <v>1609</v>
      </c>
      <c r="K102" s="9" t="s">
        <v>1717</v>
      </c>
    </row>
    <row r="103" spans="1:11" x14ac:dyDescent="0.45">
      <c r="A103" s="4" t="s">
        <v>233</v>
      </c>
      <c r="B103" s="4" t="s">
        <v>1608</v>
      </c>
      <c r="C103" s="4" t="s">
        <v>90</v>
      </c>
      <c r="D103" s="4" t="b">
        <f>FALSE()</f>
        <v>0</v>
      </c>
      <c r="E103" s="5">
        <v>473</v>
      </c>
      <c r="F103" s="7">
        <f t="shared" si="1"/>
        <v>0.40566037735849059</v>
      </c>
      <c r="G103" s="5">
        <v>0</v>
      </c>
      <c r="H103" s="26">
        <v>44928</v>
      </c>
      <c r="I103" s="26">
        <v>45055</v>
      </c>
      <c r="J103" s="4" t="s">
        <v>1614</v>
      </c>
      <c r="K103" s="4" t="s">
        <v>1718</v>
      </c>
    </row>
    <row r="104" spans="1:11" x14ac:dyDescent="0.45">
      <c r="A104" s="9" t="s">
        <v>234</v>
      </c>
      <c r="B104" s="9" t="s">
        <v>1608</v>
      </c>
      <c r="C104" s="9" t="s">
        <v>189</v>
      </c>
      <c r="D104" s="9" t="b">
        <f>TRUE()</f>
        <v>1</v>
      </c>
      <c r="E104" s="10">
        <v>967</v>
      </c>
      <c r="F104" s="12">
        <f t="shared" si="1"/>
        <v>0.98372329603255337</v>
      </c>
      <c r="G104" s="10">
        <v>279</v>
      </c>
      <c r="H104" s="27">
        <v>44966</v>
      </c>
      <c r="I104" s="27">
        <v>46293</v>
      </c>
      <c r="J104" s="9" t="s">
        <v>1609</v>
      </c>
      <c r="K104" s="9" t="s">
        <v>1719</v>
      </c>
    </row>
    <row r="105" spans="1:11" x14ac:dyDescent="0.45">
      <c r="A105" s="4" t="s">
        <v>234</v>
      </c>
      <c r="B105" s="4" t="s">
        <v>1608</v>
      </c>
      <c r="C105" s="4" t="s">
        <v>90</v>
      </c>
      <c r="D105" s="4" t="b">
        <f>FALSE()</f>
        <v>0</v>
      </c>
      <c r="E105" s="5">
        <v>16</v>
      </c>
      <c r="F105" s="7">
        <f t="shared" si="1"/>
        <v>1.6276703967446592E-2</v>
      </c>
      <c r="G105" s="5">
        <v>0</v>
      </c>
      <c r="H105" s="26">
        <v>44929</v>
      </c>
      <c r="I105" s="26">
        <v>45053</v>
      </c>
      <c r="J105" s="4" t="s">
        <v>1614</v>
      </c>
      <c r="K105" s="4" t="s">
        <v>1720</v>
      </c>
    </row>
    <row r="106" spans="1:11" x14ac:dyDescent="0.45">
      <c r="A106" s="9" t="s">
        <v>236</v>
      </c>
      <c r="B106" s="9" t="s">
        <v>1608</v>
      </c>
      <c r="C106" s="9" t="s">
        <v>189</v>
      </c>
      <c r="D106" s="9" t="b">
        <f>TRUE()</f>
        <v>1</v>
      </c>
      <c r="E106" s="10">
        <v>659</v>
      </c>
      <c r="F106" s="12">
        <f t="shared" si="1"/>
        <v>0.68078512396694213</v>
      </c>
      <c r="G106" s="10">
        <v>0</v>
      </c>
      <c r="H106" s="27">
        <v>45055</v>
      </c>
      <c r="I106" s="27">
        <v>45188</v>
      </c>
      <c r="J106" s="9" t="s">
        <v>1609</v>
      </c>
      <c r="K106" s="9" t="s">
        <v>1721</v>
      </c>
    </row>
    <row r="107" spans="1:11" x14ac:dyDescent="0.45">
      <c r="A107" s="4" t="s">
        <v>236</v>
      </c>
      <c r="B107" s="4" t="s">
        <v>1608</v>
      </c>
      <c r="C107" s="4" t="s">
        <v>90</v>
      </c>
      <c r="D107" s="4" t="b">
        <f>FALSE()</f>
        <v>0</v>
      </c>
      <c r="E107" s="5">
        <v>309</v>
      </c>
      <c r="F107" s="7">
        <f t="shared" si="1"/>
        <v>0.31921487603305787</v>
      </c>
      <c r="G107" s="5">
        <v>0</v>
      </c>
      <c r="H107" s="26">
        <v>44928</v>
      </c>
      <c r="I107" s="26">
        <v>45055</v>
      </c>
      <c r="J107" s="4" t="s">
        <v>1614</v>
      </c>
      <c r="K107" s="4" t="s">
        <v>1722</v>
      </c>
    </row>
    <row r="108" spans="1:11" x14ac:dyDescent="0.45">
      <c r="A108" s="9" t="s">
        <v>237</v>
      </c>
      <c r="B108" s="9" t="s">
        <v>1608</v>
      </c>
      <c r="C108" s="9" t="s">
        <v>189</v>
      </c>
      <c r="D108" s="9" t="b">
        <f>TRUE()</f>
        <v>1</v>
      </c>
      <c r="E108" s="10">
        <v>774</v>
      </c>
      <c r="F108" s="12">
        <f t="shared" si="1"/>
        <v>0.95437731196054254</v>
      </c>
      <c r="G108" s="10">
        <v>221</v>
      </c>
      <c r="H108" s="27">
        <v>44963</v>
      </c>
      <c r="I108" s="27">
        <v>46296</v>
      </c>
      <c r="J108" s="9" t="s">
        <v>1609</v>
      </c>
      <c r="K108" s="9" t="s">
        <v>1723</v>
      </c>
    </row>
    <row r="109" spans="1:11" x14ac:dyDescent="0.45">
      <c r="A109" s="4" t="s">
        <v>237</v>
      </c>
      <c r="B109" s="4" t="s">
        <v>1608</v>
      </c>
      <c r="C109" s="4" t="s">
        <v>90</v>
      </c>
      <c r="D109" s="4" t="b">
        <f>FALSE()</f>
        <v>0</v>
      </c>
      <c r="E109" s="5">
        <v>37</v>
      </c>
      <c r="F109" s="7">
        <f t="shared" si="1"/>
        <v>4.562268803945746E-2</v>
      </c>
      <c r="G109" s="5">
        <v>0</v>
      </c>
      <c r="H109" s="26">
        <v>44930</v>
      </c>
      <c r="I109" s="26">
        <v>45054</v>
      </c>
      <c r="J109" s="4" t="s">
        <v>1614</v>
      </c>
      <c r="K109" s="4" t="s">
        <v>1724</v>
      </c>
    </row>
    <row r="110" spans="1:11" x14ac:dyDescent="0.45">
      <c r="A110" s="9" t="s">
        <v>239</v>
      </c>
      <c r="B110" s="9" t="s">
        <v>1608</v>
      </c>
      <c r="C110" s="9" t="s">
        <v>189</v>
      </c>
      <c r="D110" s="9" t="b">
        <f>TRUE()</f>
        <v>1</v>
      </c>
      <c r="E110" s="10">
        <v>566</v>
      </c>
      <c r="F110" s="12">
        <f t="shared" si="1"/>
        <v>0.86943164362519199</v>
      </c>
      <c r="G110" s="10">
        <v>116</v>
      </c>
      <c r="H110" s="27">
        <v>44930</v>
      </c>
      <c r="I110" s="27">
        <v>46293</v>
      </c>
      <c r="J110" s="9" t="s">
        <v>1609</v>
      </c>
      <c r="K110" s="9" t="s">
        <v>1725</v>
      </c>
    </row>
    <row r="111" spans="1:11" x14ac:dyDescent="0.45">
      <c r="A111" s="4" t="s">
        <v>239</v>
      </c>
      <c r="B111" s="4" t="s">
        <v>1608</v>
      </c>
      <c r="C111" s="4" t="s">
        <v>90</v>
      </c>
      <c r="D111" s="4" t="b">
        <f>FALSE()</f>
        <v>0</v>
      </c>
      <c r="E111" s="5">
        <v>85</v>
      </c>
      <c r="F111" s="7">
        <f t="shared" si="1"/>
        <v>0.13056835637480799</v>
      </c>
      <c r="G111" s="5">
        <v>0</v>
      </c>
      <c r="H111" s="26">
        <v>44928</v>
      </c>
      <c r="I111" s="26">
        <v>45047</v>
      </c>
      <c r="J111" s="4" t="s">
        <v>1614</v>
      </c>
      <c r="K111" s="4" t="s">
        <v>1638</v>
      </c>
    </row>
    <row r="112" spans="1:11" x14ac:dyDescent="0.45">
      <c r="A112" s="9" t="s">
        <v>240</v>
      </c>
      <c r="B112" s="9" t="s">
        <v>1608</v>
      </c>
      <c r="C112" s="9" t="s">
        <v>189</v>
      </c>
      <c r="D112" s="9" t="b">
        <f>TRUE()</f>
        <v>1</v>
      </c>
      <c r="E112" s="10">
        <v>567</v>
      </c>
      <c r="F112" s="12">
        <f t="shared" si="1"/>
        <v>0.91599353796445881</v>
      </c>
      <c r="G112" s="10">
        <v>121</v>
      </c>
      <c r="H112" s="27">
        <v>44932</v>
      </c>
      <c r="I112" s="27">
        <v>46295</v>
      </c>
      <c r="J112" s="9" t="s">
        <v>1609</v>
      </c>
      <c r="K112" s="9" t="s">
        <v>1726</v>
      </c>
    </row>
    <row r="113" spans="1:11" x14ac:dyDescent="0.45">
      <c r="A113" s="4" t="s">
        <v>240</v>
      </c>
      <c r="B113" s="4" t="s">
        <v>1608</v>
      </c>
      <c r="C113" s="4" t="s">
        <v>90</v>
      </c>
      <c r="D113" s="4" t="b">
        <f>FALSE()</f>
        <v>0</v>
      </c>
      <c r="E113" s="5">
        <v>52</v>
      </c>
      <c r="F113" s="7">
        <f t="shared" si="1"/>
        <v>8.4006462035541199E-2</v>
      </c>
      <c r="G113" s="5">
        <v>0</v>
      </c>
      <c r="H113" s="26">
        <v>44928</v>
      </c>
      <c r="I113" s="26">
        <v>45050</v>
      </c>
      <c r="J113" s="4" t="s">
        <v>1614</v>
      </c>
      <c r="K113" s="4" t="s">
        <v>1727</v>
      </c>
    </row>
    <row r="114" spans="1:11" x14ac:dyDescent="0.45">
      <c r="A114" s="9" t="s">
        <v>241</v>
      </c>
      <c r="B114" s="9" t="s">
        <v>1608</v>
      </c>
      <c r="C114" s="9" t="s">
        <v>189</v>
      </c>
      <c r="D114" s="9" t="b">
        <f>TRUE()</f>
        <v>1</v>
      </c>
      <c r="E114" s="10">
        <v>387</v>
      </c>
      <c r="F114" s="12">
        <f t="shared" si="1"/>
        <v>0.81645569620253167</v>
      </c>
      <c r="G114" s="10">
        <v>0</v>
      </c>
      <c r="H114" s="27">
        <v>44938</v>
      </c>
      <c r="I114" s="27">
        <v>45876</v>
      </c>
      <c r="J114" s="9" t="s">
        <v>1609</v>
      </c>
      <c r="K114" s="9" t="s">
        <v>1728</v>
      </c>
    </row>
    <row r="115" spans="1:11" x14ac:dyDescent="0.45">
      <c r="A115" s="4" t="s">
        <v>241</v>
      </c>
      <c r="B115" s="4" t="s">
        <v>1608</v>
      </c>
      <c r="C115" s="4" t="s">
        <v>90</v>
      </c>
      <c r="D115" s="4" t="b">
        <f>FALSE()</f>
        <v>0</v>
      </c>
      <c r="E115" s="5">
        <v>87</v>
      </c>
      <c r="F115" s="7">
        <f t="shared" si="1"/>
        <v>0.18354430379746836</v>
      </c>
      <c r="G115" s="5">
        <v>0</v>
      </c>
      <c r="H115" s="26">
        <v>44928</v>
      </c>
      <c r="I115" s="26">
        <v>45047</v>
      </c>
      <c r="J115" s="4" t="s">
        <v>1614</v>
      </c>
      <c r="K115" s="4" t="s">
        <v>1729</v>
      </c>
    </row>
    <row r="116" spans="1:11" x14ac:dyDescent="0.45">
      <c r="A116" s="9" t="s">
        <v>243</v>
      </c>
      <c r="B116" s="9" t="s">
        <v>1608</v>
      </c>
      <c r="C116" s="9" t="s">
        <v>189</v>
      </c>
      <c r="D116" s="9" t="b">
        <f>TRUE()</f>
        <v>1</v>
      </c>
      <c r="E116" s="10">
        <v>398</v>
      </c>
      <c r="F116" s="12">
        <f t="shared" si="1"/>
        <v>0.98759305210918114</v>
      </c>
      <c r="G116" s="10">
        <v>87</v>
      </c>
      <c r="H116" s="27">
        <v>44992</v>
      </c>
      <c r="I116" s="27">
        <v>46293</v>
      </c>
      <c r="J116" s="9" t="s">
        <v>1609</v>
      </c>
      <c r="K116" s="9" t="s">
        <v>1730</v>
      </c>
    </row>
    <row r="117" spans="1:11" x14ac:dyDescent="0.45">
      <c r="A117" s="4" t="s">
        <v>243</v>
      </c>
      <c r="B117" s="4" t="s">
        <v>1608</v>
      </c>
      <c r="C117" s="4" t="s">
        <v>90</v>
      </c>
      <c r="D117" s="4" t="b">
        <f>FALSE()</f>
        <v>0</v>
      </c>
      <c r="E117" s="5">
        <v>5</v>
      </c>
      <c r="F117" s="7">
        <f t="shared" si="1"/>
        <v>1.2406947890818859E-2</v>
      </c>
      <c r="G117" s="5">
        <v>0</v>
      </c>
      <c r="H117" s="26">
        <v>44959</v>
      </c>
      <c r="I117" s="26">
        <v>45027</v>
      </c>
      <c r="J117" s="4" t="s">
        <v>1614</v>
      </c>
      <c r="K117" s="4" t="s">
        <v>1731</v>
      </c>
    </row>
    <row r="118" spans="1:11" x14ac:dyDescent="0.45">
      <c r="A118" s="9" t="s">
        <v>248</v>
      </c>
      <c r="B118" s="9" t="s">
        <v>1608</v>
      </c>
      <c r="C118" s="9" t="s">
        <v>189</v>
      </c>
      <c r="D118" s="9" t="b">
        <f>TRUE()</f>
        <v>1</v>
      </c>
      <c r="E118" s="10">
        <v>251</v>
      </c>
      <c r="F118" s="12">
        <f t="shared" si="1"/>
        <v>0.96911196911196906</v>
      </c>
      <c r="G118" s="10">
        <v>52</v>
      </c>
      <c r="H118" s="27">
        <v>44961</v>
      </c>
      <c r="I118" s="27">
        <v>46280</v>
      </c>
      <c r="J118" s="9" t="s">
        <v>1609</v>
      </c>
      <c r="K118" s="9" t="s">
        <v>1732</v>
      </c>
    </row>
    <row r="119" spans="1:11" x14ac:dyDescent="0.45">
      <c r="A119" s="4" t="s">
        <v>248</v>
      </c>
      <c r="B119" s="4" t="s">
        <v>1608</v>
      </c>
      <c r="C119" s="4" t="s">
        <v>90</v>
      </c>
      <c r="D119" s="4" t="b">
        <f>FALSE()</f>
        <v>0</v>
      </c>
      <c r="E119" s="5">
        <v>8</v>
      </c>
      <c r="F119" s="7">
        <f t="shared" si="1"/>
        <v>3.0888030888030889E-2</v>
      </c>
      <c r="G119" s="5">
        <v>0</v>
      </c>
      <c r="H119" s="26">
        <v>44946</v>
      </c>
      <c r="I119" s="26">
        <v>45041</v>
      </c>
      <c r="J119" s="4" t="s">
        <v>1614</v>
      </c>
      <c r="K119" s="4" t="s">
        <v>1733</v>
      </c>
    </row>
    <row r="120" spans="1:11" x14ac:dyDescent="0.45">
      <c r="A120" s="9" t="s">
        <v>249</v>
      </c>
      <c r="B120" s="9" t="s">
        <v>1608</v>
      </c>
      <c r="C120" s="9" t="s">
        <v>189</v>
      </c>
      <c r="D120" s="9" t="b">
        <f>TRUE()</f>
        <v>1</v>
      </c>
      <c r="E120" s="10">
        <v>235</v>
      </c>
      <c r="F120" s="12">
        <f t="shared" si="1"/>
        <v>0.92519685039370081</v>
      </c>
      <c r="G120" s="10">
        <v>34</v>
      </c>
      <c r="H120" s="27">
        <v>44944</v>
      </c>
      <c r="I120" s="27">
        <v>46293</v>
      </c>
      <c r="J120" s="9" t="s">
        <v>1609</v>
      </c>
      <c r="K120" s="9" t="s">
        <v>1734</v>
      </c>
    </row>
    <row r="121" spans="1:11" x14ac:dyDescent="0.45">
      <c r="A121" s="4" t="s">
        <v>249</v>
      </c>
      <c r="B121" s="4" t="s">
        <v>1608</v>
      </c>
      <c r="C121" s="4" t="s">
        <v>90</v>
      </c>
      <c r="D121" s="4" t="b">
        <f>FALSE()</f>
        <v>0</v>
      </c>
      <c r="E121" s="5">
        <v>19</v>
      </c>
      <c r="F121" s="7">
        <f t="shared" si="1"/>
        <v>7.4803149606299218E-2</v>
      </c>
      <c r="G121" s="5">
        <v>0</v>
      </c>
      <c r="H121" s="26">
        <v>44943</v>
      </c>
      <c r="I121" s="26">
        <v>45048</v>
      </c>
      <c r="J121" s="4" t="s">
        <v>1614</v>
      </c>
      <c r="K121" s="4" t="s">
        <v>1735</v>
      </c>
    </row>
    <row r="122" spans="1:11" x14ac:dyDescent="0.45">
      <c r="A122" s="9" t="s">
        <v>250</v>
      </c>
      <c r="B122" s="9" t="s">
        <v>1608</v>
      </c>
      <c r="C122" s="9" t="s">
        <v>189</v>
      </c>
      <c r="D122" s="9" t="b">
        <f>TRUE()</f>
        <v>1</v>
      </c>
      <c r="E122" s="10">
        <v>232</v>
      </c>
      <c r="F122" s="12">
        <f t="shared" si="1"/>
        <v>0.95081967213114749</v>
      </c>
      <c r="G122" s="10">
        <v>53</v>
      </c>
      <c r="H122" s="27">
        <v>45050</v>
      </c>
      <c r="I122" s="27">
        <v>46294</v>
      </c>
      <c r="J122" s="9" t="s">
        <v>1609</v>
      </c>
      <c r="K122" s="9" t="s">
        <v>1736</v>
      </c>
    </row>
    <row r="123" spans="1:11" x14ac:dyDescent="0.45">
      <c r="A123" s="4" t="s">
        <v>250</v>
      </c>
      <c r="B123" s="4" t="s">
        <v>1608</v>
      </c>
      <c r="C123" s="4" t="s">
        <v>90</v>
      </c>
      <c r="D123" s="4" t="b">
        <f>FALSE()</f>
        <v>0</v>
      </c>
      <c r="E123" s="5">
        <v>12</v>
      </c>
      <c r="F123" s="7">
        <f t="shared" si="1"/>
        <v>4.9180327868852458E-2</v>
      </c>
      <c r="G123" s="5">
        <v>0</v>
      </c>
      <c r="H123" s="26">
        <v>44941</v>
      </c>
      <c r="I123" s="26">
        <v>45055</v>
      </c>
      <c r="J123" s="4" t="s">
        <v>1614</v>
      </c>
      <c r="K123" s="4" t="s">
        <v>1737</v>
      </c>
    </row>
    <row r="124" spans="1:11" x14ac:dyDescent="0.45">
      <c r="A124" s="9" t="s">
        <v>252</v>
      </c>
      <c r="B124" s="9" t="s">
        <v>1608</v>
      </c>
      <c r="C124" s="9" t="s">
        <v>189</v>
      </c>
      <c r="D124" s="9" t="b">
        <f>TRUE()</f>
        <v>1</v>
      </c>
      <c r="E124" s="10">
        <v>203</v>
      </c>
      <c r="F124" s="12">
        <f t="shared" si="1"/>
        <v>0.9712918660287081</v>
      </c>
      <c r="G124" s="10">
        <v>60</v>
      </c>
      <c r="H124" s="27">
        <v>45043</v>
      </c>
      <c r="I124" s="27">
        <v>46293</v>
      </c>
      <c r="J124" s="9" t="s">
        <v>1609</v>
      </c>
      <c r="K124" s="9" t="s">
        <v>1738</v>
      </c>
    </row>
    <row r="125" spans="1:11" x14ac:dyDescent="0.45">
      <c r="A125" s="4" t="s">
        <v>252</v>
      </c>
      <c r="B125" s="4" t="s">
        <v>1608</v>
      </c>
      <c r="C125" s="4" t="s">
        <v>90</v>
      </c>
      <c r="D125" s="4" t="b">
        <f>FALSE()</f>
        <v>0</v>
      </c>
      <c r="E125" s="5">
        <v>6</v>
      </c>
      <c r="F125" s="7">
        <f t="shared" si="1"/>
        <v>2.8708133971291867E-2</v>
      </c>
      <c r="G125" s="5">
        <v>0</v>
      </c>
      <c r="H125" s="26">
        <v>44935</v>
      </c>
      <c r="I125" s="26">
        <v>45053</v>
      </c>
      <c r="J125" s="4" t="s">
        <v>1614</v>
      </c>
      <c r="K125" s="4" t="s">
        <v>1739</v>
      </c>
    </row>
    <row r="126" spans="1:11" x14ac:dyDescent="0.45">
      <c r="A126" s="9" t="s">
        <v>253</v>
      </c>
      <c r="B126" s="9" t="s">
        <v>1608</v>
      </c>
      <c r="C126" s="9" t="s">
        <v>189</v>
      </c>
      <c r="D126" s="9" t="b">
        <f>TRUE()</f>
        <v>1</v>
      </c>
      <c r="E126" s="10">
        <v>199</v>
      </c>
      <c r="F126" s="12">
        <f t="shared" si="1"/>
        <v>0.99004975124378114</v>
      </c>
      <c r="G126" s="10">
        <v>59</v>
      </c>
      <c r="H126" s="27">
        <v>45060</v>
      </c>
      <c r="I126" s="27">
        <v>46289</v>
      </c>
      <c r="J126" s="9" t="s">
        <v>1609</v>
      </c>
      <c r="K126" s="9" t="s">
        <v>1740</v>
      </c>
    </row>
    <row r="127" spans="1:11" x14ac:dyDescent="0.45">
      <c r="A127" s="4" t="s">
        <v>253</v>
      </c>
      <c r="B127" s="4" t="s">
        <v>1608</v>
      </c>
      <c r="C127" s="4" t="s">
        <v>90</v>
      </c>
      <c r="D127" s="4" t="b">
        <f>FALSE()</f>
        <v>0</v>
      </c>
      <c r="E127" s="5">
        <v>2</v>
      </c>
      <c r="F127" s="7">
        <f t="shared" si="1"/>
        <v>9.9502487562189053E-3</v>
      </c>
      <c r="G127" s="5">
        <v>0</v>
      </c>
      <c r="H127" s="26">
        <v>44940</v>
      </c>
      <c r="I127" s="26">
        <v>45032</v>
      </c>
      <c r="J127" s="4" t="s">
        <v>1614</v>
      </c>
      <c r="K127" s="4" t="s">
        <v>1741</v>
      </c>
    </row>
    <row r="128" spans="1:11" x14ac:dyDescent="0.45">
      <c r="A128" s="9" t="s">
        <v>255</v>
      </c>
      <c r="B128" s="9" t="s">
        <v>1608</v>
      </c>
      <c r="C128" s="9" t="s">
        <v>189</v>
      </c>
      <c r="D128" s="9" t="b">
        <f>TRUE()</f>
        <v>1</v>
      </c>
      <c r="E128" s="10">
        <v>150</v>
      </c>
      <c r="F128" s="12">
        <f t="shared" si="1"/>
        <v>0.90909090909090906</v>
      </c>
      <c r="G128" s="10">
        <v>32</v>
      </c>
      <c r="H128" s="27">
        <v>45066</v>
      </c>
      <c r="I128" s="27">
        <v>46287</v>
      </c>
      <c r="J128" s="9" t="s">
        <v>1609</v>
      </c>
      <c r="K128" s="9" t="s">
        <v>1742</v>
      </c>
    </row>
    <row r="129" spans="1:11" x14ac:dyDescent="0.45">
      <c r="A129" s="4" t="s">
        <v>255</v>
      </c>
      <c r="B129" s="4" t="s">
        <v>1608</v>
      </c>
      <c r="C129" s="4" t="s">
        <v>90</v>
      </c>
      <c r="D129" s="4" t="b">
        <f>FALSE()</f>
        <v>0</v>
      </c>
      <c r="E129" s="5">
        <v>15</v>
      </c>
      <c r="F129" s="7">
        <f t="shared" si="1"/>
        <v>9.0909090909090912E-2</v>
      </c>
      <c r="G129" s="5">
        <v>0</v>
      </c>
      <c r="H129" s="26">
        <v>44930</v>
      </c>
      <c r="I129" s="26">
        <v>45046</v>
      </c>
      <c r="J129" s="4" t="s">
        <v>1614</v>
      </c>
      <c r="K129" s="4" t="s">
        <v>1743</v>
      </c>
    </row>
    <row r="130" spans="1:11" x14ac:dyDescent="0.45">
      <c r="A130" s="9" t="s">
        <v>256</v>
      </c>
      <c r="B130" s="9" t="s">
        <v>1608</v>
      </c>
      <c r="C130" s="9" t="s">
        <v>189</v>
      </c>
      <c r="D130" s="9" t="b">
        <f>TRUE()</f>
        <v>1</v>
      </c>
      <c r="E130" s="10">
        <v>109</v>
      </c>
      <c r="F130" s="12">
        <f t="shared" ref="F130:F193" si="2">E130/SUMIFS($E$2:$E$783,$A$2:$A$783,A130)</f>
        <v>0.88617886178861793</v>
      </c>
      <c r="G130" s="10">
        <v>22</v>
      </c>
      <c r="H130" s="27">
        <v>45037</v>
      </c>
      <c r="I130" s="27">
        <v>46269</v>
      </c>
      <c r="J130" s="9" t="s">
        <v>1609</v>
      </c>
      <c r="K130" s="9" t="s">
        <v>1744</v>
      </c>
    </row>
    <row r="131" spans="1:11" x14ac:dyDescent="0.45">
      <c r="A131" s="4" t="s">
        <v>256</v>
      </c>
      <c r="B131" s="4" t="s">
        <v>1608</v>
      </c>
      <c r="C131" s="4" t="s">
        <v>90</v>
      </c>
      <c r="D131" s="4" t="b">
        <f>FALSE()</f>
        <v>0</v>
      </c>
      <c r="E131" s="5">
        <v>14</v>
      </c>
      <c r="F131" s="7">
        <f t="shared" si="2"/>
        <v>0.11382113821138211</v>
      </c>
      <c r="G131" s="5">
        <v>0</v>
      </c>
      <c r="H131" s="26">
        <v>44946</v>
      </c>
      <c r="I131" s="26">
        <v>45049</v>
      </c>
      <c r="J131" s="4" t="s">
        <v>1614</v>
      </c>
      <c r="K131" s="4" t="s">
        <v>1745</v>
      </c>
    </row>
    <row r="132" spans="1:11" x14ac:dyDescent="0.45">
      <c r="A132" s="9" t="s">
        <v>257</v>
      </c>
      <c r="B132" s="9" t="s">
        <v>1608</v>
      </c>
      <c r="C132" s="9" t="s">
        <v>189</v>
      </c>
      <c r="D132" s="9" t="b">
        <f>TRUE()</f>
        <v>1</v>
      </c>
      <c r="E132" s="10">
        <v>107</v>
      </c>
      <c r="F132" s="12">
        <f t="shared" si="2"/>
        <v>0.89166666666666672</v>
      </c>
      <c r="G132" s="10">
        <v>16</v>
      </c>
      <c r="H132" s="27">
        <v>44945</v>
      </c>
      <c r="I132" s="27">
        <v>46296</v>
      </c>
      <c r="J132" s="9" t="s">
        <v>1609</v>
      </c>
      <c r="K132" s="9" t="s">
        <v>1694</v>
      </c>
    </row>
    <row r="133" spans="1:11" x14ac:dyDescent="0.45">
      <c r="A133" s="4" t="s">
        <v>257</v>
      </c>
      <c r="B133" s="4" t="s">
        <v>1608</v>
      </c>
      <c r="C133" s="4" t="s">
        <v>90</v>
      </c>
      <c r="D133" s="4" t="b">
        <f>FALSE()</f>
        <v>0</v>
      </c>
      <c r="E133" s="5">
        <v>13</v>
      </c>
      <c r="F133" s="7">
        <f t="shared" si="2"/>
        <v>0.10833333333333334</v>
      </c>
      <c r="G133" s="5">
        <v>0</v>
      </c>
      <c r="H133" s="26">
        <v>44932</v>
      </c>
      <c r="I133" s="26">
        <v>45042</v>
      </c>
      <c r="J133" s="4" t="s">
        <v>1614</v>
      </c>
      <c r="K133" s="4" t="s">
        <v>1746</v>
      </c>
    </row>
    <row r="134" spans="1:11" x14ac:dyDescent="0.45">
      <c r="A134" s="9" t="s">
        <v>259</v>
      </c>
      <c r="B134" s="9" t="s">
        <v>1608</v>
      </c>
      <c r="C134" s="9" t="s">
        <v>189</v>
      </c>
      <c r="D134" s="9" t="b">
        <f>TRUE()</f>
        <v>1</v>
      </c>
      <c r="E134" s="10">
        <v>93</v>
      </c>
      <c r="F134" s="12">
        <f t="shared" si="2"/>
        <v>0.92079207920792083</v>
      </c>
      <c r="G134" s="10">
        <v>27</v>
      </c>
      <c r="H134" s="27">
        <v>45106</v>
      </c>
      <c r="I134" s="27">
        <v>46286</v>
      </c>
      <c r="J134" s="9" t="s">
        <v>1609</v>
      </c>
      <c r="K134" s="9" t="s">
        <v>1747</v>
      </c>
    </row>
    <row r="135" spans="1:11" x14ac:dyDescent="0.45">
      <c r="A135" s="4" t="s">
        <v>259</v>
      </c>
      <c r="B135" s="4" t="s">
        <v>1608</v>
      </c>
      <c r="C135" s="4" t="s">
        <v>97</v>
      </c>
      <c r="D135" s="4" t="b">
        <f>FALSE()</f>
        <v>0</v>
      </c>
      <c r="E135" s="5">
        <v>8</v>
      </c>
      <c r="F135" s="7">
        <f t="shared" si="2"/>
        <v>7.9207920792079209E-2</v>
      </c>
      <c r="G135" s="5">
        <v>0</v>
      </c>
      <c r="H135" s="26">
        <v>44932</v>
      </c>
      <c r="I135" s="26">
        <v>45050</v>
      </c>
      <c r="J135" s="4" t="s">
        <v>1614</v>
      </c>
      <c r="K135" s="4" t="s">
        <v>1748</v>
      </c>
    </row>
    <row r="136" spans="1:11" x14ac:dyDescent="0.45">
      <c r="A136" s="9" t="s">
        <v>260</v>
      </c>
      <c r="B136" s="9" t="s">
        <v>1608</v>
      </c>
      <c r="C136" s="9" t="s">
        <v>189</v>
      </c>
      <c r="D136" s="9" t="b">
        <f>TRUE()</f>
        <v>1</v>
      </c>
      <c r="E136" s="10">
        <v>89</v>
      </c>
      <c r="F136" s="12">
        <f t="shared" si="2"/>
        <v>0.91752577319587625</v>
      </c>
      <c r="G136" s="10">
        <v>24</v>
      </c>
      <c r="H136" s="27">
        <v>45022</v>
      </c>
      <c r="I136" s="27">
        <v>46292</v>
      </c>
      <c r="J136" s="9" t="s">
        <v>1609</v>
      </c>
      <c r="K136" s="9" t="s">
        <v>1749</v>
      </c>
    </row>
    <row r="137" spans="1:11" x14ac:dyDescent="0.45">
      <c r="A137" s="4" t="s">
        <v>260</v>
      </c>
      <c r="B137" s="4" t="s">
        <v>1608</v>
      </c>
      <c r="C137" s="4" t="s">
        <v>90</v>
      </c>
      <c r="D137" s="4" t="b">
        <f>FALSE()</f>
        <v>0</v>
      </c>
      <c r="E137" s="5">
        <v>8</v>
      </c>
      <c r="F137" s="7">
        <f t="shared" si="2"/>
        <v>8.247422680412371E-2</v>
      </c>
      <c r="G137" s="5">
        <v>0</v>
      </c>
      <c r="H137" s="26">
        <v>44953</v>
      </c>
      <c r="I137" s="26">
        <v>45051</v>
      </c>
      <c r="J137" s="4" t="s">
        <v>1614</v>
      </c>
      <c r="K137" s="4" t="s">
        <v>1750</v>
      </c>
    </row>
    <row r="138" spans="1:11" x14ac:dyDescent="0.45">
      <c r="A138" s="9" t="s">
        <v>261</v>
      </c>
      <c r="B138" s="9" t="s">
        <v>1608</v>
      </c>
      <c r="C138" s="9" t="s">
        <v>189</v>
      </c>
      <c r="D138" s="9" t="b">
        <f>TRUE()</f>
        <v>1</v>
      </c>
      <c r="E138" s="10">
        <v>55</v>
      </c>
      <c r="F138" s="12">
        <f t="shared" si="2"/>
        <v>0.66265060240963858</v>
      </c>
      <c r="G138" s="10">
        <v>0</v>
      </c>
      <c r="H138" s="27">
        <v>44954</v>
      </c>
      <c r="I138" s="27">
        <v>45177</v>
      </c>
      <c r="J138" s="9" t="s">
        <v>1609</v>
      </c>
      <c r="K138" s="9" t="s">
        <v>1751</v>
      </c>
    </row>
    <row r="139" spans="1:11" x14ac:dyDescent="0.45">
      <c r="A139" s="4" t="s">
        <v>261</v>
      </c>
      <c r="B139" s="4" t="s">
        <v>1608</v>
      </c>
      <c r="C139" s="4" t="s">
        <v>90</v>
      </c>
      <c r="D139" s="4" t="b">
        <f>FALSE()</f>
        <v>0</v>
      </c>
      <c r="E139" s="5">
        <v>28</v>
      </c>
      <c r="F139" s="7">
        <f t="shared" si="2"/>
        <v>0.33734939759036142</v>
      </c>
      <c r="G139" s="5">
        <v>0</v>
      </c>
      <c r="H139" s="26">
        <v>44929</v>
      </c>
      <c r="I139" s="26">
        <v>45041</v>
      </c>
      <c r="J139" s="4" t="s">
        <v>1614</v>
      </c>
      <c r="K139" s="4" t="s">
        <v>1752</v>
      </c>
    </row>
    <row r="140" spans="1:11" x14ac:dyDescent="0.45">
      <c r="A140" s="9" t="s">
        <v>262</v>
      </c>
      <c r="B140" s="9" t="s">
        <v>1608</v>
      </c>
      <c r="C140" s="9" t="s">
        <v>189</v>
      </c>
      <c r="D140" s="9" t="b">
        <f>TRUE()</f>
        <v>1</v>
      </c>
      <c r="E140" s="10">
        <v>69</v>
      </c>
      <c r="F140" s="12">
        <f t="shared" si="2"/>
        <v>0.88461538461538458</v>
      </c>
      <c r="G140" s="10">
        <v>30</v>
      </c>
      <c r="H140" s="27">
        <v>45123</v>
      </c>
      <c r="I140" s="27">
        <v>46289</v>
      </c>
      <c r="J140" s="9" t="s">
        <v>1609</v>
      </c>
      <c r="K140" s="9" t="s">
        <v>1753</v>
      </c>
    </row>
    <row r="141" spans="1:11" x14ac:dyDescent="0.45">
      <c r="A141" s="4" t="s">
        <v>262</v>
      </c>
      <c r="B141" s="4" t="s">
        <v>1608</v>
      </c>
      <c r="C141" s="4" t="s">
        <v>90</v>
      </c>
      <c r="D141" s="4" t="b">
        <f>FALSE()</f>
        <v>0</v>
      </c>
      <c r="E141" s="5">
        <v>9</v>
      </c>
      <c r="F141" s="7">
        <f t="shared" si="2"/>
        <v>0.11538461538461539</v>
      </c>
      <c r="G141" s="5">
        <v>0</v>
      </c>
      <c r="H141" s="26">
        <v>44945</v>
      </c>
      <c r="I141" s="26">
        <v>45042</v>
      </c>
      <c r="J141" s="4" t="s">
        <v>1614</v>
      </c>
      <c r="K141" s="4" t="s">
        <v>1754</v>
      </c>
    </row>
    <row r="142" spans="1:11" x14ac:dyDescent="0.45">
      <c r="A142" s="9" t="s">
        <v>263</v>
      </c>
      <c r="B142" s="9" t="s">
        <v>1608</v>
      </c>
      <c r="C142" s="9" t="s">
        <v>189</v>
      </c>
      <c r="D142" s="9" t="b">
        <f>TRUE()</f>
        <v>1</v>
      </c>
      <c r="E142" s="10">
        <v>66</v>
      </c>
      <c r="F142" s="12">
        <f t="shared" si="2"/>
        <v>0.90410958904109584</v>
      </c>
      <c r="G142" s="10">
        <v>11</v>
      </c>
      <c r="H142" s="27">
        <v>44951</v>
      </c>
      <c r="I142" s="27">
        <v>46246</v>
      </c>
      <c r="J142" s="9" t="s">
        <v>1609</v>
      </c>
      <c r="K142" s="9" t="s">
        <v>1755</v>
      </c>
    </row>
    <row r="143" spans="1:11" x14ac:dyDescent="0.45">
      <c r="A143" s="4" t="s">
        <v>263</v>
      </c>
      <c r="B143" s="4" t="s">
        <v>1608</v>
      </c>
      <c r="C143" s="4" t="s">
        <v>90</v>
      </c>
      <c r="D143" s="4" t="b">
        <f>FALSE()</f>
        <v>0</v>
      </c>
      <c r="E143" s="5">
        <v>7</v>
      </c>
      <c r="F143" s="7">
        <f t="shared" si="2"/>
        <v>9.5890410958904104E-2</v>
      </c>
      <c r="G143" s="5">
        <v>0</v>
      </c>
      <c r="H143" s="26">
        <v>44943</v>
      </c>
      <c r="I143" s="26">
        <v>45028</v>
      </c>
      <c r="J143" s="4" t="s">
        <v>1614</v>
      </c>
      <c r="K143" s="4" t="s">
        <v>1756</v>
      </c>
    </row>
    <row r="144" spans="1:11" x14ac:dyDescent="0.45">
      <c r="A144" s="9" t="s">
        <v>264</v>
      </c>
      <c r="B144" s="9" t="s">
        <v>1608</v>
      </c>
      <c r="C144" s="9" t="s">
        <v>189</v>
      </c>
      <c r="D144" s="9" t="b">
        <f>TRUE()</f>
        <v>1</v>
      </c>
      <c r="E144" s="10">
        <v>64</v>
      </c>
      <c r="F144" s="12">
        <f t="shared" si="2"/>
        <v>0.91428571428571426</v>
      </c>
      <c r="G144" s="10">
        <v>8</v>
      </c>
      <c r="H144" s="27">
        <v>45060</v>
      </c>
      <c r="I144" s="27">
        <v>46249</v>
      </c>
      <c r="J144" s="9" t="s">
        <v>1609</v>
      </c>
      <c r="K144" s="9" t="s">
        <v>1757</v>
      </c>
    </row>
    <row r="145" spans="1:11" x14ac:dyDescent="0.45">
      <c r="A145" s="4" t="s">
        <v>264</v>
      </c>
      <c r="B145" s="4" t="s">
        <v>1608</v>
      </c>
      <c r="C145" s="4" t="s">
        <v>90</v>
      </c>
      <c r="D145" s="4" t="b">
        <f>FALSE()</f>
        <v>0</v>
      </c>
      <c r="E145" s="5">
        <v>6</v>
      </c>
      <c r="F145" s="7">
        <f t="shared" si="2"/>
        <v>8.5714285714285715E-2</v>
      </c>
      <c r="G145" s="5">
        <v>0</v>
      </c>
      <c r="H145" s="26">
        <v>44948</v>
      </c>
      <c r="I145" s="26">
        <v>45053</v>
      </c>
      <c r="J145" s="4" t="s">
        <v>1614</v>
      </c>
      <c r="K145" s="4" t="s">
        <v>1758</v>
      </c>
    </row>
    <row r="146" spans="1:11" x14ac:dyDescent="0.45">
      <c r="A146" s="9" t="s">
        <v>268</v>
      </c>
      <c r="B146" s="9" t="s">
        <v>1608</v>
      </c>
      <c r="C146" s="9" t="s">
        <v>189</v>
      </c>
      <c r="D146" s="9" t="b">
        <f>TRUE()</f>
        <v>1</v>
      </c>
      <c r="E146" s="10">
        <v>35</v>
      </c>
      <c r="F146" s="12">
        <f t="shared" si="2"/>
        <v>0.92105263157894735</v>
      </c>
      <c r="G146" s="10">
        <v>7</v>
      </c>
      <c r="H146" s="27">
        <v>45068</v>
      </c>
      <c r="I146" s="27">
        <v>46195</v>
      </c>
      <c r="J146" s="9" t="s">
        <v>1609</v>
      </c>
      <c r="K146" s="9" t="s">
        <v>1759</v>
      </c>
    </row>
    <row r="147" spans="1:11" x14ac:dyDescent="0.45">
      <c r="A147" s="4" t="s">
        <v>268</v>
      </c>
      <c r="B147" s="4" t="s">
        <v>1608</v>
      </c>
      <c r="C147" s="4" t="s">
        <v>90</v>
      </c>
      <c r="D147" s="4" t="b">
        <f>FALSE()</f>
        <v>0</v>
      </c>
      <c r="E147" s="5">
        <v>3</v>
      </c>
      <c r="F147" s="7">
        <f t="shared" si="2"/>
        <v>7.8947368421052627E-2</v>
      </c>
      <c r="G147" s="5">
        <v>0</v>
      </c>
      <c r="H147" s="26">
        <v>44958</v>
      </c>
      <c r="I147" s="26">
        <v>45042</v>
      </c>
      <c r="J147" s="4" t="s">
        <v>1614</v>
      </c>
      <c r="K147" s="4" t="s">
        <v>1760</v>
      </c>
    </row>
    <row r="148" spans="1:11" x14ac:dyDescent="0.45">
      <c r="A148" s="9" t="s">
        <v>269</v>
      </c>
      <c r="B148" s="9" t="s">
        <v>1608</v>
      </c>
      <c r="C148" s="9" t="s">
        <v>189</v>
      </c>
      <c r="D148" s="9" t="b">
        <f>TRUE()</f>
        <v>1</v>
      </c>
      <c r="E148" s="10">
        <v>20</v>
      </c>
      <c r="F148" s="12">
        <f t="shared" si="2"/>
        <v>0.5714285714285714</v>
      </c>
      <c r="G148" s="10">
        <v>0</v>
      </c>
      <c r="H148" s="27">
        <v>45056</v>
      </c>
      <c r="I148" s="27">
        <v>45177</v>
      </c>
      <c r="J148" s="9" t="s">
        <v>1609</v>
      </c>
      <c r="K148" s="9" t="s">
        <v>1761</v>
      </c>
    </row>
    <row r="149" spans="1:11" x14ac:dyDescent="0.45">
      <c r="A149" s="4" t="s">
        <v>269</v>
      </c>
      <c r="B149" s="4" t="s">
        <v>1608</v>
      </c>
      <c r="C149" s="4" t="s">
        <v>90</v>
      </c>
      <c r="D149" s="4" t="b">
        <f>FALSE()</f>
        <v>0</v>
      </c>
      <c r="E149" s="5">
        <v>15</v>
      </c>
      <c r="F149" s="7">
        <f t="shared" si="2"/>
        <v>0.42857142857142855</v>
      </c>
      <c r="G149" s="5">
        <v>0</v>
      </c>
      <c r="H149" s="26">
        <v>44928</v>
      </c>
      <c r="I149" s="26">
        <v>45055</v>
      </c>
      <c r="J149" s="4" t="s">
        <v>1614</v>
      </c>
      <c r="K149" s="4" t="s">
        <v>1722</v>
      </c>
    </row>
    <row r="150" spans="1:11" x14ac:dyDescent="0.45">
      <c r="A150" s="9" t="s">
        <v>270</v>
      </c>
      <c r="B150" s="9" t="s">
        <v>1608</v>
      </c>
      <c r="C150" s="9" t="s">
        <v>189</v>
      </c>
      <c r="D150" s="9" t="b">
        <f>TRUE()</f>
        <v>1</v>
      </c>
      <c r="E150" s="10">
        <v>24</v>
      </c>
      <c r="F150" s="12">
        <f t="shared" si="2"/>
        <v>0.70588235294117652</v>
      </c>
      <c r="G150" s="10">
        <v>8</v>
      </c>
      <c r="H150" s="27">
        <v>44940</v>
      </c>
      <c r="I150" s="27">
        <v>46279</v>
      </c>
      <c r="J150" s="9" t="s">
        <v>1609</v>
      </c>
      <c r="K150" s="9" t="s">
        <v>1762</v>
      </c>
    </row>
    <row r="151" spans="1:11" x14ac:dyDescent="0.45">
      <c r="A151" s="4" t="s">
        <v>270</v>
      </c>
      <c r="B151" s="4" t="s">
        <v>1608</v>
      </c>
      <c r="C151" s="4" t="s">
        <v>90</v>
      </c>
      <c r="D151" s="4" t="b">
        <f>FALSE()</f>
        <v>0</v>
      </c>
      <c r="E151" s="5">
        <v>10</v>
      </c>
      <c r="F151" s="7">
        <f t="shared" si="2"/>
        <v>0.29411764705882354</v>
      </c>
      <c r="G151" s="5">
        <v>0</v>
      </c>
      <c r="H151" s="26">
        <v>44942</v>
      </c>
      <c r="I151" s="26">
        <v>45007</v>
      </c>
      <c r="J151" s="4" t="s">
        <v>1614</v>
      </c>
      <c r="K151" s="4" t="s">
        <v>1763</v>
      </c>
    </row>
    <row r="152" spans="1:11" x14ac:dyDescent="0.45">
      <c r="A152" s="9" t="s">
        <v>271</v>
      </c>
      <c r="B152" s="9" t="s">
        <v>1608</v>
      </c>
      <c r="C152" s="9" t="s">
        <v>189</v>
      </c>
      <c r="D152" s="9" t="b">
        <f>TRUE()</f>
        <v>1</v>
      </c>
      <c r="E152" s="10">
        <v>29</v>
      </c>
      <c r="F152" s="12">
        <f t="shared" si="2"/>
        <v>0.87878787878787878</v>
      </c>
      <c r="G152" s="10">
        <v>3</v>
      </c>
      <c r="H152" s="27">
        <v>44983</v>
      </c>
      <c r="I152" s="27">
        <v>46213</v>
      </c>
      <c r="J152" s="9" t="s">
        <v>1609</v>
      </c>
      <c r="K152" s="9" t="s">
        <v>1764</v>
      </c>
    </row>
    <row r="153" spans="1:11" x14ac:dyDescent="0.45">
      <c r="A153" s="4" t="s">
        <v>271</v>
      </c>
      <c r="B153" s="4" t="s">
        <v>1608</v>
      </c>
      <c r="C153" s="4" t="s">
        <v>90</v>
      </c>
      <c r="D153" s="4" t="b">
        <f>FALSE()</f>
        <v>0</v>
      </c>
      <c r="E153" s="5">
        <v>4</v>
      </c>
      <c r="F153" s="7">
        <f t="shared" si="2"/>
        <v>0.12121212121212122</v>
      </c>
      <c r="G153" s="5">
        <v>0</v>
      </c>
      <c r="H153" s="26">
        <v>44957</v>
      </c>
      <c r="I153" s="26">
        <v>44985</v>
      </c>
      <c r="J153" s="4" t="s">
        <v>1614</v>
      </c>
      <c r="K153" s="4" t="s">
        <v>1765</v>
      </c>
    </row>
    <row r="154" spans="1:11" x14ac:dyDescent="0.45">
      <c r="A154" s="9" t="s">
        <v>272</v>
      </c>
      <c r="B154" s="9" t="s">
        <v>1608</v>
      </c>
      <c r="C154" s="9" t="s">
        <v>189</v>
      </c>
      <c r="D154" s="9" t="b">
        <f>TRUE()</f>
        <v>1</v>
      </c>
      <c r="E154" s="10">
        <v>26</v>
      </c>
      <c r="F154" s="12">
        <f t="shared" si="2"/>
        <v>0.8666666666666667</v>
      </c>
      <c r="G154" s="10">
        <v>0</v>
      </c>
      <c r="H154" s="27">
        <v>45065</v>
      </c>
      <c r="I154" s="27">
        <v>45181</v>
      </c>
      <c r="J154" s="9" t="s">
        <v>1609</v>
      </c>
      <c r="K154" s="9" t="s">
        <v>1766</v>
      </c>
    </row>
    <row r="155" spans="1:11" x14ac:dyDescent="0.45">
      <c r="A155" s="4" t="s">
        <v>272</v>
      </c>
      <c r="B155" s="4" t="s">
        <v>1608</v>
      </c>
      <c r="C155" s="4" t="s">
        <v>90</v>
      </c>
      <c r="D155" s="4" t="b">
        <f>FALSE()</f>
        <v>0</v>
      </c>
      <c r="E155" s="5">
        <v>4</v>
      </c>
      <c r="F155" s="7">
        <f t="shared" si="2"/>
        <v>0.13333333333333333</v>
      </c>
      <c r="G155" s="5">
        <v>0</v>
      </c>
      <c r="H155" s="26">
        <v>44985</v>
      </c>
      <c r="I155" s="26">
        <v>45045</v>
      </c>
      <c r="J155" s="4" t="s">
        <v>1614</v>
      </c>
      <c r="K155" s="4" t="s">
        <v>1767</v>
      </c>
    </row>
    <row r="156" spans="1:11" x14ac:dyDescent="0.45">
      <c r="A156" s="9" t="s">
        <v>273</v>
      </c>
      <c r="B156" s="9" t="s">
        <v>1608</v>
      </c>
      <c r="C156" s="9" t="s">
        <v>189</v>
      </c>
      <c r="D156" s="9" t="b">
        <f>TRUE()</f>
        <v>1</v>
      </c>
      <c r="E156" s="10">
        <v>26</v>
      </c>
      <c r="F156" s="12">
        <f t="shared" si="2"/>
        <v>0.96296296296296291</v>
      </c>
      <c r="G156" s="10">
        <v>0</v>
      </c>
      <c r="H156" s="27">
        <v>45061</v>
      </c>
      <c r="I156" s="27">
        <v>45157</v>
      </c>
      <c r="J156" s="9" t="s">
        <v>1609</v>
      </c>
      <c r="K156" s="9" t="s">
        <v>1768</v>
      </c>
    </row>
    <row r="157" spans="1:11" x14ac:dyDescent="0.45">
      <c r="A157" s="4" t="s">
        <v>273</v>
      </c>
      <c r="B157" s="4" t="s">
        <v>1608</v>
      </c>
      <c r="C157" s="4" t="s">
        <v>90</v>
      </c>
      <c r="D157" s="4" t="b">
        <f>FALSE()</f>
        <v>0</v>
      </c>
      <c r="E157" s="5">
        <v>1</v>
      </c>
      <c r="F157" s="7">
        <f t="shared" si="2"/>
        <v>3.7037037037037035E-2</v>
      </c>
      <c r="G157" s="5">
        <v>0</v>
      </c>
      <c r="H157" s="26">
        <v>44985</v>
      </c>
      <c r="I157" s="26">
        <v>44985</v>
      </c>
      <c r="J157" s="4" t="s">
        <v>1614</v>
      </c>
      <c r="K157" s="4" t="s">
        <v>1769</v>
      </c>
    </row>
    <row r="158" spans="1:11" x14ac:dyDescent="0.45">
      <c r="A158" s="9" t="s">
        <v>274</v>
      </c>
      <c r="B158" s="9" t="s">
        <v>1608</v>
      </c>
      <c r="C158" s="9" t="s">
        <v>189</v>
      </c>
      <c r="D158" s="9" t="b">
        <f>TRUE()</f>
        <v>1</v>
      </c>
      <c r="E158" s="10">
        <v>19</v>
      </c>
      <c r="F158" s="12">
        <f t="shared" si="2"/>
        <v>0.73076923076923073</v>
      </c>
      <c r="G158" s="10">
        <v>0</v>
      </c>
      <c r="H158" s="27">
        <v>45060</v>
      </c>
      <c r="I158" s="27">
        <v>45187</v>
      </c>
      <c r="J158" s="9" t="s">
        <v>1609</v>
      </c>
      <c r="K158" s="9" t="s">
        <v>1770</v>
      </c>
    </row>
    <row r="159" spans="1:11" x14ac:dyDescent="0.45">
      <c r="A159" s="4" t="s">
        <v>274</v>
      </c>
      <c r="B159" s="4" t="s">
        <v>1608</v>
      </c>
      <c r="C159" s="4" t="s">
        <v>90</v>
      </c>
      <c r="D159" s="4" t="b">
        <f>FALSE()</f>
        <v>0</v>
      </c>
      <c r="E159" s="5">
        <v>7</v>
      </c>
      <c r="F159" s="7">
        <f t="shared" si="2"/>
        <v>0.26923076923076922</v>
      </c>
      <c r="G159" s="5">
        <v>0</v>
      </c>
      <c r="H159" s="26">
        <v>44974</v>
      </c>
      <c r="I159" s="26">
        <v>45053</v>
      </c>
      <c r="J159" s="4" t="s">
        <v>1614</v>
      </c>
      <c r="K159" s="4" t="s">
        <v>1771</v>
      </c>
    </row>
    <row r="160" spans="1:11" x14ac:dyDescent="0.45">
      <c r="A160" s="9" t="s">
        <v>281</v>
      </c>
      <c r="B160" s="9" t="s">
        <v>1608</v>
      </c>
      <c r="C160" s="9" t="s">
        <v>189</v>
      </c>
      <c r="D160" s="9" t="b">
        <f>TRUE()</f>
        <v>1</v>
      </c>
      <c r="E160" s="10">
        <v>2</v>
      </c>
      <c r="F160" s="12">
        <f t="shared" si="2"/>
        <v>0.66666666666666663</v>
      </c>
      <c r="G160" s="10">
        <v>0</v>
      </c>
      <c r="H160" s="27">
        <v>45062</v>
      </c>
      <c r="I160" s="27">
        <v>45139</v>
      </c>
      <c r="J160" s="9" t="s">
        <v>1609</v>
      </c>
      <c r="K160" s="9" t="s">
        <v>1772</v>
      </c>
    </row>
    <row r="161" spans="1:11" x14ac:dyDescent="0.45">
      <c r="A161" s="4" t="s">
        <v>281</v>
      </c>
      <c r="B161" s="4" t="s">
        <v>1608</v>
      </c>
      <c r="C161" s="4" t="s">
        <v>90</v>
      </c>
      <c r="D161" s="4" t="b">
        <f>FALSE()</f>
        <v>0</v>
      </c>
      <c r="E161" s="5">
        <v>1</v>
      </c>
      <c r="F161" s="7">
        <f t="shared" si="2"/>
        <v>0.33333333333333331</v>
      </c>
      <c r="G161" s="5">
        <v>0</v>
      </c>
      <c r="H161" s="26">
        <v>44971</v>
      </c>
      <c r="I161" s="26">
        <v>44971</v>
      </c>
      <c r="J161" s="4" t="s">
        <v>1614</v>
      </c>
      <c r="K161" s="4" t="s">
        <v>1773</v>
      </c>
    </row>
    <row r="162" spans="1:11" x14ac:dyDescent="0.45">
      <c r="A162" s="9" t="s">
        <v>285</v>
      </c>
      <c r="B162" s="9" t="s">
        <v>1608</v>
      </c>
      <c r="C162" s="9" t="s">
        <v>286</v>
      </c>
      <c r="D162" s="9" t="b">
        <f>TRUE()</f>
        <v>1</v>
      </c>
      <c r="E162" s="10">
        <v>439</v>
      </c>
      <c r="F162" s="12">
        <f t="shared" si="2"/>
        <v>0.9690949227373068</v>
      </c>
      <c r="G162" s="10">
        <v>128</v>
      </c>
      <c r="H162" s="27">
        <v>45048</v>
      </c>
      <c r="I162" s="27">
        <v>46296</v>
      </c>
      <c r="J162" s="9" t="s">
        <v>1609</v>
      </c>
      <c r="K162" s="9" t="s">
        <v>1774</v>
      </c>
    </row>
    <row r="163" spans="1:11" x14ac:dyDescent="0.45">
      <c r="A163" s="4" t="s">
        <v>285</v>
      </c>
      <c r="B163" s="4" t="s">
        <v>1608</v>
      </c>
      <c r="C163" s="4" t="s">
        <v>909</v>
      </c>
      <c r="D163" s="4" t="b">
        <f>FALSE()</f>
        <v>0</v>
      </c>
      <c r="E163" s="5">
        <v>14</v>
      </c>
      <c r="F163" s="7">
        <f t="shared" si="2"/>
        <v>3.0905077262693158E-2</v>
      </c>
      <c r="G163" s="5">
        <v>0</v>
      </c>
      <c r="H163" s="26">
        <v>44949</v>
      </c>
      <c r="I163" s="26">
        <v>45044</v>
      </c>
      <c r="J163" s="4" t="s">
        <v>1611</v>
      </c>
      <c r="K163" s="4" t="s">
        <v>1775</v>
      </c>
    </row>
    <row r="164" spans="1:11" x14ac:dyDescent="0.45">
      <c r="A164" s="9" t="s">
        <v>287</v>
      </c>
      <c r="B164" s="9" t="s">
        <v>1608</v>
      </c>
      <c r="C164" s="9" t="s">
        <v>286</v>
      </c>
      <c r="D164" s="9" t="b">
        <f>TRUE()</f>
        <v>1</v>
      </c>
      <c r="E164" s="10">
        <v>190</v>
      </c>
      <c r="F164" s="12">
        <f t="shared" si="2"/>
        <v>0.80168776371308015</v>
      </c>
      <c r="G164" s="10">
        <v>144</v>
      </c>
      <c r="H164" s="27">
        <v>45777</v>
      </c>
      <c r="I164" s="27">
        <v>46294</v>
      </c>
      <c r="J164" s="9" t="s">
        <v>1609</v>
      </c>
      <c r="K164" s="9" t="s">
        <v>1776</v>
      </c>
    </row>
    <row r="165" spans="1:11" x14ac:dyDescent="0.45">
      <c r="A165" s="4" t="s">
        <v>287</v>
      </c>
      <c r="B165" s="4" t="s">
        <v>1608</v>
      </c>
      <c r="C165" s="4" t="s">
        <v>179</v>
      </c>
      <c r="D165" s="4" t="b">
        <f>FALSE()</f>
        <v>0</v>
      </c>
      <c r="E165" s="5">
        <v>39</v>
      </c>
      <c r="F165" s="7">
        <f t="shared" si="2"/>
        <v>0.16455696202531644</v>
      </c>
      <c r="G165" s="5">
        <v>0</v>
      </c>
      <c r="H165" s="26">
        <v>45062</v>
      </c>
      <c r="I165" s="26">
        <v>45777</v>
      </c>
      <c r="J165" s="4" t="s">
        <v>1618</v>
      </c>
      <c r="K165" s="4" t="s">
        <v>1777</v>
      </c>
    </row>
    <row r="166" spans="1:11" x14ac:dyDescent="0.45">
      <c r="A166" s="4" t="s">
        <v>287</v>
      </c>
      <c r="B166" s="4" t="s">
        <v>1608</v>
      </c>
      <c r="C166" s="4" t="s">
        <v>142</v>
      </c>
      <c r="D166" s="4" t="b">
        <f>FALSE()</f>
        <v>0</v>
      </c>
      <c r="E166" s="5">
        <v>8</v>
      </c>
      <c r="F166" s="7">
        <f t="shared" si="2"/>
        <v>3.3755274261603373E-2</v>
      </c>
      <c r="G166" s="5">
        <v>0</v>
      </c>
      <c r="H166" s="26">
        <v>44931</v>
      </c>
      <c r="I166" s="26">
        <v>45047</v>
      </c>
      <c r="J166" s="4" t="s">
        <v>1614</v>
      </c>
      <c r="K166" s="4" t="s">
        <v>1778</v>
      </c>
    </row>
    <row r="167" spans="1:11" x14ac:dyDescent="0.45">
      <c r="A167" s="9" t="s">
        <v>291</v>
      </c>
      <c r="B167" s="9" t="s">
        <v>1608</v>
      </c>
      <c r="C167" s="9" t="s">
        <v>286</v>
      </c>
      <c r="D167" s="9" t="b">
        <f>TRUE()</f>
        <v>1</v>
      </c>
      <c r="E167" s="10">
        <v>203</v>
      </c>
      <c r="F167" s="12">
        <f t="shared" si="2"/>
        <v>0.91855203619909498</v>
      </c>
      <c r="G167" s="10">
        <v>0</v>
      </c>
      <c r="H167" s="27">
        <v>45032</v>
      </c>
      <c r="I167" s="27">
        <v>45769</v>
      </c>
      <c r="J167" s="9" t="s">
        <v>1609</v>
      </c>
      <c r="K167" s="9" t="s">
        <v>1779</v>
      </c>
    </row>
    <row r="168" spans="1:11" x14ac:dyDescent="0.45">
      <c r="A168" s="4" t="s">
        <v>291</v>
      </c>
      <c r="B168" s="4" t="s">
        <v>1608</v>
      </c>
      <c r="C168" s="4" t="s">
        <v>909</v>
      </c>
      <c r="D168" s="4" t="b">
        <f>FALSE()</f>
        <v>0</v>
      </c>
      <c r="E168" s="5">
        <v>18</v>
      </c>
      <c r="F168" s="7">
        <f t="shared" si="2"/>
        <v>8.1447963800904979E-2</v>
      </c>
      <c r="G168" s="5">
        <v>0</v>
      </c>
      <c r="H168" s="26">
        <v>44928</v>
      </c>
      <c r="I168" s="26">
        <v>45036</v>
      </c>
      <c r="J168" s="4" t="s">
        <v>1611</v>
      </c>
      <c r="K168" s="4" t="s">
        <v>1780</v>
      </c>
    </row>
    <row r="169" spans="1:11" x14ac:dyDescent="0.45">
      <c r="A169" s="9" t="s">
        <v>292</v>
      </c>
      <c r="B169" s="9" t="s">
        <v>1608</v>
      </c>
      <c r="C169" s="9" t="s">
        <v>286</v>
      </c>
      <c r="D169" s="9" t="b">
        <f>TRUE()</f>
        <v>1</v>
      </c>
      <c r="E169" s="10">
        <v>130</v>
      </c>
      <c r="F169" s="12">
        <f t="shared" si="2"/>
        <v>0.94890510948905105</v>
      </c>
      <c r="G169" s="10">
        <v>19</v>
      </c>
      <c r="H169" s="27">
        <v>45041</v>
      </c>
      <c r="I169" s="27">
        <v>46293</v>
      </c>
      <c r="J169" s="9" t="s">
        <v>1609</v>
      </c>
      <c r="K169" s="9" t="s">
        <v>1781</v>
      </c>
    </row>
    <row r="170" spans="1:11" x14ac:dyDescent="0.45">
      <c r="A170" s="4" t="s">
        <v>292</v>
      </c>
      <c r="B170" s="4" t="s">
        <v>1608</v>
      </c>
      <c r="C170" s="4" t="s">
        <v>909</v>
      </c>
      <c r="D170" s="4" t="b">
        <f>FALSE()</f>
        <v>0</v>
      </c>
      <c r="E170" s="5">
        <v>7</v>
      </c>
      <c r="F170" s="7">
        <f t="shared" si="2"/>
        <v>5.1094890510948905E-2</v>
      </c>
      <c r="G170" s="5">
        <v>0</v>
      </c>
      <c r="H170" s="26">
        <v>44952</v>
      </c>
      <c r="I170" s="26">
        <v>45044</v>
      </c>
      <c r="J170" s="4" t="s">
        <v>1611</v>
      </c>
      <c r="K170" s="4" t="s">
        <v>1782</v>
      </c>
    </row>
    <row r="171" spans="1:11" x14ac:dyDescent="0.45">
      <c r="A171" s="9" t="s">
        <v>296</v>
      </c>
      <c r="B171" s="9" t="s">
        <v>1608</v>
      </c>
      <c r="C171" s="9" t="s">
        <v>297</v>
      </c>
      <c r="D171" s="9" t="b">
        <f>TRUE()</f>
        <v>1</v>
      </c>
      <c r="E171" s="10">
        <v>22821</v>
      </c>
      <c r="F171" s="12">
        <f t="shared" si="2"/>
        <v>0.95701585171517234</v>
      </c>
      <c r="G171" s="10">
        <v>5364</v>
      </c>
      <c r="H171" s="27">
        <v>44928</v>
      </c>
      <c r="I171" s="27">
        <v>46296</v>
      </c>
      <c r="J171" s="9" t="s">
        <v>1609</v>
      </c>
      <c r="K171" s="9" t="s">
        <v>1689</v>
      </c>
    </row>
    <row r="172" spans="1:11" x14ac:dyDescent="0.45">
      <c r="A172" s="4" t="s">
        <v>296</v>
      </c>
      <c r="B172" s="4" t="s">
        <v>1608</v>
      </c>
      <c r="C172" s="4" t="s">
        <v>911</v>
      </c>
      <c r="D172" s="4" t="b">
        <f>FALSE()</f>
        <v>0</v>
      </c>
      <c r="E172" s="5">
        <v>991</v>
      </c>
      <c r="F172" s="7">
        <f t="shared" si="2"/>
        <v>4.1558332634404095E-2</v>
      </c>
      <c r="G172" s="5">
        <v>0</v>
      </c>
      <c r="H172" s="26">
        <v>44928</v>
      </c>
      <c r="I172" s="26">
        <v>45048</v>
      </c>
      <c r="J172" s="4" t="s">
        <v>1611</v>
      </c>
      <c r="K172" s="4" t="s">
        <v>1783</v>
      </c>
    </row>
    <row r="173" spans="1:11" x14ac:dyDescent="0.45">
      <c r="A173" s="4" t="s">
        <v>296</v>
      </c>
      <c r="B173" s="4" t="s">
        <v>1608</v>
      </c>
      <c r="C173" s="4" t="s">
        <v>142</v>
      </c>
      <c r="D173" s="4" t="b">
        <f>FALSE()</f>
        <v>0</v>
      </c>
      <c r="E173" s="5">
        <v>34</v>
      </c>
      <c r="F173" s="7">
        <f t="shared" si="2"/>
        <v>1.4258156504235512E-3</v>
      </c>
      <c r="G173" s="5">
        <v>0</v>
      </c>
      <c r="H173" s="26">
        <v>44957</v>
      </c>
      <c r="I173" s="26">
        <v>44972</v>
      </c>
      <c r="J173" s="4" t="s">
        <v>1614</v>
      </c>
      <c r="K173" s="4" t="s">
        <v>1784</v>
      </c>
    </row>
    <row r="174" spans="1:11" x14ac:dyDescent="0.45">
      <c r="A174" s="9" t="s">
        <v>298</v>
      </c>
      <c r="B174" s="9" t="s">
        <v>1608</v>
      </c>
      <c r="C174" s="9" t="s">
        <v>297</v>
      </c>
      <c r="D174" s="9" t="b">
        <f>TRUE()</f>
        <v>1</v>
      </c>
      <c r="E174" s="10">
        <v>7073</v>
      </c>
      <c r="F174" s="12">
        <f t="shared" si="2"/>
        <v>0.93114797261716697</v>
      </c>
      <c r="G174" s="10">
        <v>1752</v>
      </c>
      <c r="H174" s="27">
        <v>44935</v>
      </c>
      <c r="I174" s="27">
        <v>46296</v>
      </c>
      <c r="J174" s="9" t="s">
        <v>1609</v>
      </c>
      <c r="K174" s="9" t="s">
        <v>1692</v>
      </c>
    </row>
    <row r="175" spans="1:11" x14ac:dyDescent="0.45">
      <c r="A175" s="4" t="s">
        <v>298</v>
      </c>
      <c r="B175" s="4" t="s">
        <v>1608</v>
      </c>
      <c r="C175" s="4" t="s">
        <v>152</v>
      </c>
      <c r="D175" s="4" t="b">
        <f>FALSE()</f>
        <v>0</v>
      </c>
      <c r="E175" s="5">
        <v>417</v>
      </c>
      <c r="F175" s="7">
        <f t="shared" si="2"/>
        <v>5.4897314375987362E-2</v>
      </c>
      <c r="G175" s="5">
        <v>0</v>
      </c>
      <c r="H175" s="26">
        <v>44928</v>
      </c>
      <c r="I175" s="26">
        <v>45007</v>
      </c>
      <c r="J175" s="4" t="s">
        <v>1614</v>
      </c>
      <c r="K175" s="4" t="s">
        <v>1785</v>
      </c>
    </row>
    <row r="176" spans="1:11" x14ac:dyDescent="0.45">
      <c r="A176" s="4" t="s">
        <v>298</v>
      </c>
      <c r="B176" s="4" t="s">
        <v>1608</v>
      </c>
      <c r="C176" s="4" t="s">
        <v>911</v>
      </c>
      <c r="D176" s="4" t="b">
        <f>FALSE()</f>
        <v>0</v>
      </c>
      <c r="E176" s="5">
        <v>106</v>
      </c>
      <c r="F176" s="7">
        <f t="shared" si="2"/>
        <v>1.3954713006845709E-2</v>
      </c>
      <c r="G176" s="5">
        <v>0</v>
      </c>
      <c r="H176" s="26">
        <v>44992</v>
      </c>
      <c r="I176" s="26">
        <v>45053</v>
      </c>
      <c r="J176" s="4" t="s">
        <v>1611</v>
      </c>
      <c r="K176" s="4" t="s">
        <v>1786</v>
      </c>
    </row>
    <row r="177" spans="1:11" x14ac:dyDescent="0.45">
      <c r="A177" s="9" t="s">
        <v>299</v>
      </c>
      <c r="B177" s="9" t="s">
        <v>1608</v>
      </c>
      <c r="C177" s="9" t="s">
        <v>297</v>
      </c>
      <c r="D177" s="9" t="b">
        <f>TRUE()</f>
        <v>1</v>
      </c>
      <c r="E177" s="10">
        <v>6245</v>
      </c>
      <c r="F177" s="12">
        <f t="shared" si="2"/>
        <v>0.9381102598768214</v>
      </c>
      <c r="G177" s="10">
        <v>1388</v>
      </c>
      <c r="H177" s="27">
        <v>44931</v>
      </c>
      <c r="I177" s="27">
        <v>46296</v>
      </c>
      <c r="J177" s="9" t="s">
        <v>1609</v>
      </c>
      <c r="K177" s="9" t="s">
        <v>1696</v>
      </c>
    </row>
    <row r="178" spans="1:11" x14ac:dyDescent="0.45">
      <c r="A178" s="4" t="s">
        <v>299</v>
      </c>
      <c r="B178" s="4" t="s">
        <v>1608</v>
      </c>
      <c r="C178" s="4" t="s">
        <v>152</v>
      </c>
      <c r="D178" s="4" t="b">
        <f>FALSE()</f>
        <v>0</v>
      </c>
      <c r="E178" s="5">
        <v>295</v>
      </c>
      <c r="F178" s="7">
        <f t="shared" si="2"/>
        <v>4.4314255670722551E-2</v>
      </c>
      <c r="G178" s="5">
        <v>0</v>
      </c>
      <c r="H178" s="26">
        <v>44928</v>
      </c>
      <c r="I178" s="26">
        <v>45008</v>
      </c>
      <c r="J178" s="4" t="s">
        <v>1614</v>
      </c>
      <c r="K178" s="4" t="s">
        <v>1787</v>
      </c>
    </row>
    <row r="179" spans="1:11" x14ac:dyDescent="0.45">
      <c r="A179" s="4" t="s">
        <v>299</v>
      </c>
      <c r="B179" s="4" t="s">
        <v>1608</v>
      </c>
      <c r="C179" s="4" t="s">
        <v>911</v>
      </c>
      <c r="D179" s="4" t="b">
        <f>FALSE()</f>
        <v>0</v>
      </c>
      <c r="E179" s="5">
        <v>117</v>
      </c>
      <c r="F179" s="7">
        <f t="shared" si="2"/>
        <v>1.7575484452456061E-2</v>
      </c>
      <c r="G179" s="5">
        <v>0</v>
      </c>
      <c r="H179" s="26">
        <v>44971</v>
      </c>
      <c r="I179" s="26">
        <v>45052</v>
      </c>
      <c r="J179" s="4" t="s">
        <v>1611</v>
      </c>
      <c r="K179" s="4" t="s">
        <v>1788</v>
      </c>
    </row>
    <row r="180" spans="1:11" x14ac:dyDescent="0.45">
      <c r="A180" s="9" t="s">
        <v>300</v>
      </c>
      <c r="B180" s="9" t="s">
        <v>1608</v>
      </c>
      <c r="C180" s="9" t="s">
        <v>297</v>
      </c>
      <c r="D180" s="9" t="b">
        <f>TRUE()</f>
        <v>1</v>
      </c>
      <c r="E180" s="10">
        <v>5332</v>
      </c>
      <c r="F180" s="12">
        <f t="shared" si="2"/>
        <v>0.93429122130716669</v>
      </c>
      <c r="G180" s="10">
        <v>1248</v>
      </c>
      <c r="H180" s="27">
        <v>44999</v>
      </c>
      <c r="I180" s="27">
        <v>46296</v>
      </c>
      <c r="J180" s="9" t="s">
        <v>1609</v>
      </c>
      <c r="K180" s="9" t="s">
        <v>1789</v>
      </c>
    </row>
    <row r="181" spans="1:11" x14ac:dyDescent="0.45">
      <c r="A181" s="4" t="s">
        <v>300</v>
      </c>
      <c r="B181" s="4" t="s">
        <v>1608</v>
      </c>
      <c r="C181" s="4" t="s">
        <v>911</v>
      </c>
      <c r="D181" s="4" t="b">
        <f>FALSE()</f>
        <v>0</v>
      </c>
      <c r="E181" s="5">
        <v>375</v>
      </c>
      <c r="F181" s="7">
        <f t="shared" si="2"/>
        <v>6.5708778692833369E-2</v>
      </c>
      <c r="G181" s="5">
        <v>0</v>
      </c>
      <c r="H181" s="26">
        <v>44994</v>
      </c>
      <c r="I181" s="26">
        <v>45053</v>
      </c>
      <c r="J181" s="4" t="s">
        <v>1611</v>
      </c>
      <c r="K181" s="4" t="s">
        <v>1790</v>
      </c>
    </row>
    <row r="182" spans="1:11" x14ac:dyDescent="0.45">
      <c r="A182" s="9" t="s">
        <v>301</v>
      </c>
      <c r="B182" s="9" t="s">
        <v>1608</v>
      </c>
      <c r="C182" s="9" t="s">
        <v>297</v>
      </c>
      <c r="D182" s="9" t="b">
        <f>TRUE()</f>
        <v>1</v>
      </c>
      <c r="E182" s="10">
        <v>5365</v>
      </c>
      <c r="F182" s="12">
        <f t="shared" si="2"/>
        <v>0.95701034605779522</v>
      </c>
      <c r="G182" s="10">
        <v>342</v>
      </c>
      <c r="H182" s="27">
        <v>45038</v>
      </c>
      <c r="I182" s="27">
        <v>46296</v>
      </c>
      <c r="J182" s="9" t="s">
        <v>1609</v>
      </c>
      <c r="K182" s="9" t="s">
        <v>1791</v>
      </c>
    </row>
    <row r="183" spans="1:11" x14ac:dyDescent="0.45">
      <c r="A183" s="4" t="s">
        <v>301</v>
      </c>
      <c r="B183" s="4" t="s">
        <v>1608</v>
      </c>
      <c r="C183" s="4" t="s">
        <v>911</v>
      </c>
      <c r="D183" s="4" t="b">
        <f>FALSE()</f>
        <v>0</v>
      </c>
      <c r="E183" s="5">
        <v>229</v>
      </c>
      <c r="F183" s="7">
        <f t="shared" si="2"/>
        <v>4.0849090260435247E-2</v>
      </c>
      <c r="G183" s="5">
        <v>0</v>
      </c>
      <c r="H183" s="26">
        <v>44933</v>
      </c>
      <c r="I183" s="26">
        <v>45043</v>
      </c>
      <c r="J183" s="4" t="s">
        <v>1611</v>
      </c>
      <c r="K183" s="4" t="s">
        <v>1792</v>
      </c>
    </row>
    <row r="184" spans="1:11" x14ac:dyDescent="0.45">
      <c r="A184" s="4" t="s">
        <v>301</v>
      </c>
      <c r="B184" s="4" t="s">
        <v>1608</v>
      </c>
      <c r="C184" s="4" t="s">
        <v>142</v>
      </c>
      <c r="D184" s="4" t="b">
        <f>FALSE()</f>
        <v>0</v>
      </c>
      <c r="E184" s="5">
        <v>12</v>
      </c>
      <c r="F184" s="7">
        <f t="shared" si="2"/>
        <v>2.1405636817695326E-3</v>
      </c>
      <c r="G184" s="5">
        <v>0</v>
      </c>
      <c r="H184" s="26">
        <v>44943</v>
      </c>
      <c r="I184" s="26">
        <v>44965</v>
      </c>
      <c r="J184" s="4" t="s">
        <v>1614</v>
      </c>
      <c r="K184" s="4" t="s">
        <v>1793</v>
      </c>
    </row>
    <row r="185" spans="1:11" x14ac:dyDescent="0.45">
      <c r="A185" s="9" t="s">
        <v>302</v>
      </c>
      <c r="B185" s="9" t="s">
        <v>1608</v>
      </c>
      <c r="C185" s="9" t="s">
        <v>297</v>
      </c>
      <c r="D185" s="9" t="b">
        <f>TRUE()</f>
        <v>1</v>
      </c>
      <c r="E185" s="10">
        <v>3906</v>
      </c>
      <c r="F185" s="12">
        <f t="shared" si="2"/>
        <v>0.89875747814081919</v>
      </c>
      <c r="G185" s="10">
        <v>1150</v>
      </c>
      <c r="H185" s="27">
        <v>45007</v>
      </c>
      <c r="I185" s="27">
        <v>46294</v>
      </c>
      <c r="J185" s="9" t="s">
        <v>1609</v>
      </c>
      <c r="K185" s="9" t="s">
        <v>1794</v>
      </c>
    </row>
    <row r="186" spans="1:11" x14ac:dyDescent="0.45">
      <c r="A186" s="4" t="s">
        <v>302</v>
      </c>
      <c r="B186" s="4" t="s">
        <v>1608</v>
      </c>
      <c r="C186" s="4" t="s">
        <v>911</v>
      </c>
      <c r="D186" s="4" t="b">
        <f>FALSE()</f>
        <v>0</v>
      </c>
      <c r="E186" s="5">
        <v>440</v>
      </c>
      <c r="F186" s="7">
        <f t="shared" si="2"/>
        <v>0.10124252185918085</v>
      </c>
      <c r="G186" s="5">
        <v>0</v>
      </c>
      <c r="H186" s="26">
        <v>45006</v>
      </c>
      <c r="I186" s="26">
        <v>45051</v>
      </c>
      <c r="J186" s="4" t="s">
        <v>1611</v>
      </c>
      <c r="K186" s="4" t="s">
        <v>1795</v>
      </c>
    </row>
    <row r="187" spans="1:11" x14ac:dyDescent="0.45">
      <c r="A187" s="9" t="s">
        <v>303</v>
      </c>
      <c r="B187" s="9" t="s">
        <v>1608</v>
      </c>
      <c r="C187" s="9" t="s">
        <v>297</v>
      </c>
      <c r="D187" s="9" t="b">
        <f>TRUE()</f>
        <v>1</v>
      </c>
      <c r="E187" s="10">
        <v>3399</v>
      </c>
      <c r="F187" s="12">
        <f t="shared" si="2"/>
        <v>0.98293811451706192</v>
      </c>
      <c r="G187" s="10">
        <v>0</v>
      </c>
      <c r="H187" s="27">
        <v>44928</v>
      </c>
      <c r="I187" s="27">
        <v>46002</v>
      </c>
      <c r="J187" s="9" t="s">
        <v>1609</v>
      </c>
      <c r="K187" s="9" t="s">
        <v>1796</v>
      </c>
    </row>
    <row r="188" spans="1:11" x14ac:dyDescent="0.45">
      <c r="A188" s="4" t="s">
        <v>303</v>
      </c>
      <c r="B188" s="4" t="s">
        <v>1608</v>
      </c>
      <c r="C188" s="4" t="s">
        <v>152</v>
      </c>
      <c r="D188" s="4" t="b">
        <f>FALSE()</f>
        <v>0</v>
      </c>
      <c r="E188" s="5">
        <v>50</v>
      </c>
      <c r="F188" s="7">
        <f t="shared" si="2"/>
        <v>1.4459224985540775E-2</v>
      </c>
      <c r="G188" s="5">
        <v>0</v>
      </c>
      <c r="H188" s="26">
        <v>44928</v>
      </c>
      <c r="I188" s="26">
        <v>45027</v>
      </c>
      <c r="J188" s="4" t="s">
        <v>1614</v>
      </c>
      <c r="K188" s="4" t="s">
        <v>1797</v>
      </c>
    </row>
    <row r="189" spans="1:11" x14ac:dyDescent="0.45">
      <c r="A189" s="4" t="s">
        <v>303</v>
      </c>
      <c r="B189" s="4" t="s">
        <v>1608</v>
      </c>
      <c r="C189" s="4" t="s">
        <v>911</v>
      </c>
      <c r="D189" s="4" t="b">
        <f>FALSE()</f>
        <v>0</v>
      </c>
      <c r="E189" s="5">
        <v>9</v>
      </c>
      <c r="F189" s="7">
        <f t="shared" si="2"/>
        <v>2.6026604973973396E-3</v>
      </c>
      <c r="G189" s="5">
        <v>0</v>
      </c>
      <c r="H189" s="26">
        <v>44931</v>
      </c>
      <c r="I189" s="26">
        <v>45052</v>
      </c>
      <c r="J189" s="4" t="s">
        <v>1611</v>
      </c>
      <c r="K189" s="4" t="s">
        <v>1798</v>
      </c>
    </row>
    <row r="190" spans="1:11" x14ac:dyDescent="0.45">
      <c r="A190" s="9" t="s">
        <v>304</v>
      </c>
      <c r="B190" s="9" t="s">
        <v>1608</v>
      </c>
      <c r="C190" s="9" t="s">
        <v>297</v>
      </c>
      <c r="D190" s="9" t="b">
        <f>TRUE()</f>
        <v>1</v>
      </c>
      <c r="E190" s="10">
        <v>2247</v>
      </c>
      <c r="F190" s="12">
        <f t="shared" si="2"/>
        <v>0.91008505467800727</v>
      </c>
      <c r="G190" s="10">
        <v>593</v>
      </c>
      <c r="H190" s="27">
        <v>44938</v>
      </c>
      <c r="I190" s="27">
        <v>46296</v>
      </c>
      <c r="J190" s="9" t="s">
        <v>1609</v>
      </c>
      <c r="K190" s="9" t="s">
        <v>1687</v>
      </c>
    </row>
    <row r="191" spans="1:11" x14ac:dyDescent="0.45">
      <c r="A191" s="4" t="s">
        <v>304</v>
      </c>
      <c r="B191" s="4" t="s">
        <v>1608</v>
      </c>
      <c r="C191" s="4" t="s">
        <v>152</v>
      </c>
      <c r="D191" s="4" t="b">
        <f>FALSE()</f>
        <v>0</v>
      </c>
      <c r="E191" s="5">
        <v>150</v>
      </c>
      <c r="F191" s="7">
        <f t="shared" si="2"/>
        <v>6.0753341433778855E-2</v>
      </c>
      <c r="G191" s="5">
        <v>0</v>
      </c>
      <c r="H191" s="26">
        <v>44928</v>
      </c>
      <c r="I191" s="26">
        <v>45006</v>
      </c>
      <c r="J191" s="4" t="s">
        <v>1614</v>
      </c>
      <c r="K191" s="4" t="s">
        <v>1799</v>
      </c>
    </row>
    <row r="192" spans="1:11" x14ac:dyDescent="0.45">
      <c r="A192" s="4" t="s">
        <v>304</v>
      </c>
      <c r="B192" s="4" t="s">
        <v>1608</v>
      </c>
      <c r="C192" s="4" t="s">
        <v>911</v>
      </c>
      <c r="D192" s="4" t="b">
        <f>FALSE()</f>
        <v>0</v>
      </c>
      <c r="E192" s="5">
        <v>72</v>
      </c>
      <c r="F192" s="7">
        <f t="shared" si="2"/>
        <v>2.9161603888213851E-2</v>
      </c>
      <c r="G192" s="5">
        <v>0</v>
      </c>
      <c r="H192" s="26">
        <v>44988</v>
      </c>
      <c r="I192" s="26">
        <v>45050</v>
      </c>
      <c r="J192" s="4" t="s">
        <v>1611</v>
      </c>
      <c r="K192" s="4" t="s">
        <v>1800</v>
      </c>
    </row>
    <row r="193" spans="1:11" x14ac:dyDescent="0.45">
      <c r="A193" s="9" t="s">
        <v>305</v>
      </c>
      <c r="B193" s="9" t="s">
        <v>1608</v>
      </c>
      <c r="C193" s="9" t="s">
        <v>297</v>
      </c>
      <c r="D193" s="9" t="b">
        <f>TRUE()</f>
        <v>1</v>
      </c>
      <c r="E193" s="10">
        <v>1961</v>
      </c>
      <c r="F193" s="12">
        <f t="shared" si="2"/>
        <v>0.92982456140350878</v>
      </c>
      <c r="G193" s="10">
        <v>0</v>
      </c>
      <c r="H193" s="27">
        <v>44937</v>
      </c>
      <c r="I193" s="27">
        <v>45950</v>
      </c>
      <c r="J193" s="9" t="s">
        <v>1609</v>
      </c>
      <c r="K193" s="9" t="s">
        <v>1801</v>
      </c>
    </row>
    <row r="194" spans="1:11" x14ac:dyDescent="0.45">
      <c r="A194" s="4" t="s">
        <v>305</v>
      </c>
      <c r="B194" s="4" t="s">
        <v>1608</v>
      </c>
      <c r="C194" s="4" t="s">
        <v>911</v>
      </c>
      <c r="D194" s="4" t="b">
        <f>FALSE()</f>
        <v>0</v>
      </c>
      <c r="E194" s="5">
        <v>135</v>
      </c>
      <c r="F194" s="7">
        <f t="shared" ref="F194:F257" si="3">E194/SUMIFS($E$2:$E$783,$A$2:$A$783,A194)</f>
        <v>6.4011379800853488E-2</v>
      </c>
      <c r="G194" s="5">
        <v>0</v>
      </c>
      <c r="H194" s="26">
        <v>44956</v>
      </c>
      <c r="I194" s="26">
        <v>45054</v>
      </c>
      <c r="J194" s="4" t="s">
        <v>1611</v>
      </c>
      <c r="K194" s="4" t="s">
        <v>1802</v>
      </c>
    </row>
    <row r="195" spans="1:11" x14ac:dyDescent="0.45">
      <c r="A195" s="4" t="s">
        <v>305</v>
      </c>
      <c r="B195" s="4" t="s">
        <v>1608</v>
      </c>
      <c r="C195" s="4" t="s">
        <v>142</v>
      </c>
      <c r="D195" s="4" t="b">
        <f>FALSE()</f>
        <v>0</v>
      </c>
      <c r="E195" s="5">
        <v>13</v>
      </c>
      <c r="F195" s="7">
        <f t="shared" si="3"/>
        <v>6.1640587956377432E-3</v>
      </c>
      <c r="G195" s="5">
        <v>0</v>
      </c>
      <c r="H195" s="26">
        <v>44972</v>
      </c>
      <c r="I195" s="26">
        <v>44979</v>
      </c>
      <c r="J195" s="4" t="s">
        <v>1614</v>
      </c>
      <c r="K195" s="4" t="s">
        <v>1803</v>
      </c>
    </row>
    <row r="196" spans="1:11" x14ac:dyDescent="0.45">
      <c r="A196" s="9" t="s">
        <v>306</v>
      </c>
      <c r="B196" s="9" t="s">
        <v>1608</v>
      </c>
      <c r="C196" s="9" t="s">
        <v>297</v>
      </c>
      <c r="D196" s="9" t="b">
        <f>TRUE()</f>
        <v>1</v>
      </c>
      <c r="E196" s="10">
        <v>1569</v>
      </c>
      <c r="F196" s="12">
        <f t="shared" si="3"/>
        <v>0.90903823870220157</v>
      </c>
      <c r="G196" s="10">
        <v>388</v>
      </c>
      <c r="H196" s="27">
        <v>45022</v>
      </c>
      <c r="I196" s="27">
        <v>46294</v>
      </c>
      <c r="J196" s="9" t="s">
        <v>1609</v>
      </c>
      <c r="K196" s="9" t="s">
        <v>1804</v>
      </c>
    </row>
    <row r="197" spans="1:11" x14ac:dyDescent="0.45">
      <c r="A197" s="4" t="s">
        <v>306</v>
      </c>
      <c r="B197" s="4" t="s">
        <v>1608</v>
      </c>
      <c r="C197" s="4" t="s">
        <v>911</v>
      </c>
      <c r="D197" s="4" t="b">
        <f>FALSE()</f>
        <v>0</v>
      </c>
      <c r="E197" s="5">
        <v>144</v>
      </c>
      <c r="F197" s="7">
        <f t="shared" si="3"/>
        <v>8.3429895712630361E-2</v>
      </c>
      <c r="G197" s="5">
        <v>0</v>
      </c>
      <c r="H197" s="26">
        <v>45008</v>
      </c>
      <c r="I197" s="26">
        <v>45052</v>
      </c>
      <c r="J197" s="4" t="s">
        <v>1611</v>
      </c>
      <c r="K197" s="4" t="s">
        <v>1805</v>
      </c>
    </row>
    <row r="198" spans="1:11" x14ac:dyDescent="0.45">
      <c r="A198" s="4" t="s">
        <v>306</v>
      </c>
      <c r="B198" s="4" t="s">
        <v>1608</v>
      </c>
      <c r="C198" s="4" t="s">
        <v>152</v>
      </c>
      <c r="D198" s="4" t="b">
        <f>FALSE()</f>
        <v>0</v>
      </c>
      <c r="E198" s="5">
        <v>13</v>
      </c>
      <c r="F198" s="7">
        <f t="shared" si="3"/>
        <v>7.5318655851680186E-3</v>
      </c>
      <c r="G198" s="5">
        <v>0</v>
      </c>
      <c r="H198" s="26">
        <v>44974</v>
      </c>
      <c r="I198" s="26">
        <v>45007</v>
      </c>
      <c r="J198" s="4" t="s">
        <v>1614</v>
      </c>
      <c r="K198" s="4" t="s">
        <v>1806</v>
      </c>
    </row>
    <row r="199" spans="1:11" x14ac:dyDescent="0.45">
      <c r="A199" s="9" t="s">
        <v>307</v>
      </c>
      <c r="B199" s="9" t="s">
        <v>1608</v>
      </c>
      <c r="C199" s="9" t="s">
        <v>297</v>
      </c>
      <c r="D199" s="9" t="b">
        <f>TRUE()</f>
        <v>1</v>
      </c>
      <c r="E199" s="10">
        <v>1374</v>
      </c>
      <c r="F199" s="12">
        <f t="shared" si="3"/>
        <v>0.86633039092055486</v>
      </c>
      <c r="G199" s="10">
        <v>311</v>
      </c>
      <c r="H199" s="27">
        <v>44956</v>
      </c>
      <c r="I199" s="27">
        <v>46293</v>
      </c>
      <c r="J199" s="9" t="s">
        <v>1609</v>
      </c>
      <c r="K199" s="9" t="s">
        <v>1807</v>
      </c>
    </row>
    <row r="200" spans="1:11" x14ac:dyDescent="0.45">
      <c r="A200" s="4" t="s">
        <v>307</v>
      </c>
      <c r="B200" s="4" t="s">
        <v>1608</v>
      </c>
      <c r="C200" s="4" t="s">
        <v>152</v>
      </c>
      <c r="D200" s="4" t="b">
        <f>FALSE()</f>
        <v>0</v>
      </c>
      <c r="E200" s="5">
        <v>109</v>
      </c>
      <c r="F200" s="7">
        <f t="shared" si="3"/>
        <v>6.8726355611601508E-2</v>
      </c>
      <c r="G200" s="5">
        <v>0</v>
      </c>
      <c r="H200" s="26">
        <v>44929</v>
      </c>
      <c r="I200" s="26">
        <v>45003</v>
      </c>
      <c r="J200" s="4" t="s">
        <v>1614</v>
      </c>
      <c r="K200" s="4" t="s">
        <v>1808</v>
      </c>
    </row>
    <row r="201" spans="1:11" x14ac:dyDescent="0.45">
      <c r="A201" s="4" t="s">
        <v>307</v>
      </c>
      <c r="B201" s="4" t="s">
        <v>1608</v>
      </c>
      <c r="C201" s="4" t="s">
        <v>911</v>
      </c>
      <c r="D201" s="4" t="b">
        <f>FALSE()</f>
        <v>0</v>
      </c>
      <c r="E201" s="5">
        <v>103</v>
      </c>
      <c r="F201" s="7">
        <f t="shared" si="3"/>
        <v>6.4943253467843631E-2</v>
      </c>
      <c r="G201" s="5">
        <v>0</v>
      </c>
      <c r="H201" s="26">
        <v>44940</v>
      </c>
      <c r="I201" s="26">
        <v>45053</v>
      </c>
      <c r="J201" s="4" t="s">
        <v>1611</v>
      </c>
      <c r="K201" s="4" t="s">
        <v>1809</v>
      </c>
    </row>
    <row r="202" spans="1:11" x14ac:dyDescent="0.45">
      <c r="A202" s="9" t="s">
        <v>309</v>
      </c>
      <c r="B202" s="9" t="s">
        <v>1608</v>
      </c>
      <c r="C202" s="9" t="s">
        <v>297</v>
      </c>
      <c r="D202" s="9" t="b">
        <f>TRUE()</f>
        <v>1</v>
      </c>
      <c r="E202" s="10">
        <v>1072</v>
      </c>
      <c r="F202" s="12">
        <f t="shared" si="3"/>
        <v>0.94366197183098588</v>
      </c>
      <c r="G202" s="10">
        <v>186</v>
      </c>
      <c r="H202" s="27">
        <v>45043</v>
      </c>
      <c r="I202" s="27">
        <v>46295</v>
      </c>
      <c r="J202" s="9" t="s">
        <v>1609</v>
      </c>
      <c r="K202" s="9" t="s">
        <v>1810</v>
      </c>
    </row>
    <row r="203" spans="1:11" x14ac:dyDescent="0.45">
      <c r="A203" s="4" t="s">
        <v>309</v>
      </c>
      <c r="B203" s="4" t="s">
        <v>1608</v>
      </c>
      <c r="C203" s="4" t="s">
        <v>152</v>
      </c>
      <c r="D203" s="4" t="b">
        <f>FALSE()</f>
        <v>0</v>
      </c>
      <c r="E203" s="5">
        <v>64</v>
      </c>
      <c r="F203" s="7">
        <f t="shared" si="3"/>
        <v>5.6338028169014086E-2</v>
      </c>
      <c r="G203" s="5">
        <v>0</v>
      </c>
      <c r="H203" s="26">
        <v>44957</v>
      </c>
      <c r="I203" s="26">
        <v>45049</v>
      </c>
      <c r="J203" s="4" t="s">
        <v>1614</v>
      </c>
      <c r="K203" s="4" t="s">
        <v>1811</v>
      </c>
    </row>
    <row r="204" spans="1:11" x14ac:dyDescent="0.45">
      <c r="A204" s="9" t="s">
        <v>310</v>
      </c>
      <c r="B204" s="9" t="s">
        <v>1608</v>
      </c>
      <c r="C204" s="9" t="s">
        <v>297</v>
      </c>
      <c r="D204" s="9" t="b">
        <f>TRUE()</f>
        <v>1</v>
      </c>
      <c r="E204" s="10">
        <v>977</v>
      </c>
      <c r="F204" s="12">
        <f t="shared" si="3"/>
        <v>0.94396135265700487</v>
      </c>
      <c r="G204" s="10">
        <v>232</v>
      </c>
      <c r="H204" s="27">
        <v>45034</v>
      </c>
      <c r="I204" s="27">
        <v>46296</v>
      </c>
      <c r="J204" s="9" t="s">
        <v>1609</v>
      </c>
      <c r="K204" s="9" t="s">
        <v>1812</v>
      </c>
    </row>
    <row r="205" spans="1:11" x14ac:dyDescent="0.45">
      <c r="A205" s="4" t="s">
        <v>310</v>
      </c>
      <c r="B205" s="4" t="s">
        <v>1608</v>
      </c>
      <c r="C205" s="4" t="s">
        <v>152</v>
      </c>
      <c r="D205" s="4" t="b">
        <f>FALSE()</f>
        <v>0</v>
      </c>
      <c r="E205" s="5">
        <v>35</v>
      </c>
      <c r="F205" s="7">
        <f t="shared" si="3"/>
        <v>3.3816425120772944E-2</v>
      </c>
      <c r="G205" s="5">
        <v>0</v>
      </c>
      <c r="H205" s="26">
        <v>44928</v>
      </c>
      <c r="I205" s="26">
        <v>45003</v>
      </c>
      <c r="J205" s="4" t="s">
        <v>1614</v>
      </c>
      <c r="K205" s="4" t="s">
        <v>1813</v>
      </c>
    </row>
    <row r="206" spans="1:11" x14ac:dyDescent="0.45">
      <c r="A206" s="4" t="s">
        <v>310</v>
      </c>
      <c r="B206" s="4" t="s">
        <v>1608</v>
      </c>
      <c r="C206" s="4" t="s">
        <v>911</v>
      </c>
      <c r="D206" s="4" t="b">
        <f>FALSE()</f>
        <v>0</v>
      </c>
      <c r="E206" s="5">
        <v>23</v>
      </c>
      <c r="F206" s="7">
        <f t="shared" si="3"/>
        <v>2.2222222222222223E-2</v>
      </c>
      <c r="G206" s="5">
        <v>0</v>
      </c>
      <c r="H206" s="26">
        <v>44979</v>
      </c>
      <c r="I206" s="26">
        <v>45053</v>
      </c>
      <c r="J206" s="4" t="s">
        <v>1611</v>
      </c>
      <c r="K206" s="4" t="s">
        <v>1814</v>
      </c>
    </row>
    <row r="207" spans="1:11" x14ac:dyDescent="0.45">
      <c r="A207" s="9" t="s">
        <v>311</v>
      </c>
      <c r="B207" s="9" t="s">
        <v>1608</v>
      </c>
      <c r="C207" s="9" t="s">
        <v>297</v>
      </c>
      <c r="D207" s="9" t="b">
        <f>TRUE()</f>
        <v>1</v>
      </c>
      <c r="E207" s="10">
        <v>893</v>
      </c>
      <c r="F207" s="12">
        <f t="shared" si="3"/>
        <v>0.86447241045498546</v>
      </c>
      <c r="G207" s="10">
        <v>357</v>
      </c>
      <c r="H207" s="27">
        <v>45055</v>
      </c>
      <c r="I207" s="27">
        <v>46193</v>
      </c>
      <c r="J207" s="9" t="s">
        <v>1609</v>
      </c>
      <c r="K207" s="9" t="s">
        <v>1815</v>
      </c>
    </row>
    <row r="208" spans="1:11" x14ac:dyDescent="0.45">
      <c r="A208" s="4" t="s">
        <v>311</v>
      </c>
      <c r="B208" s="4" t="s">
        <v>1608</v>
      </c>
      <c r="C208" s="4" t="s">
        <v>911</v>
      </c>
      <c r="D208" s="4" t="b">
        <f>FALSE()</f>
        <v>0</v>
      </c>
      <c r="E208" s="5">
        <v>140</v>
      </c>
      <c r="F208" s="7">
        <f t="shared" si="3"/>
        <v>0.13552758954501451</v>
      </c>
      <c r="G208" s="5">
        <v>0</v>
      </c>
      <c r="H208" s="26">
        <v>45007</v>
      </c>
      <c r="I208" s="26">
        <v>45048</v>
      </c>
      <c r="J208" s="4" t="s">
        <v>1611</v>
      </c>
      <c r="K208" s="4" t="s">
        <v>1816</v>
      </c>
    </row>
    <row r="209" spans="1:11" x14ac:dyDescent="0.45">
      <c r="A209" s="9" t="s">
        <v>312</v>
      </c>
      <c r="B209" s="9" t="s">
        <v>1608</v>
      </c>
      <c r="C209" s="9" t="s">
        <v>297</v>
      </c>
      <c r="D209" s="9" t="b">
        <f>TRUE()</f>
        <v>1</v>
      </c>
      <c r="E209" s="10">
        <v>807</v>
      </c>
      <c r="F209" s="12">
        <f t="shared" si="3"/>
        <v>0.96415770609318996</v>
      </c>
      <c r="G209" s="10">
        <v>192</v>
      </c>
      <c r="H209" s="27">
        <v>45043</v>
      </c>
      <c r="I209" s="27">
        <v>46295</v>
      </c>
      <c r="J209" s="9" t="s">
        <v>1609</v>
      </c>
      <c r="K209" s="9" t="s">
        <v>1810</v>
      </c>
    </row>
    <row r="210" spans="1:11" x14ac:dyDescent="0.45">
      <c r="A210" s="4" t="s">
        <v>312</v>
      </c>
      <c r="B210" s="4" t="s">
        <v>1608</v>
      </c>
      <c r="C210" s="4" t="s">
        <v>152</v>
      </c>
      <c r="D210" s="4" t="b">
        <f>FALSE()</f>
        <v>0</v>
      </c>
      <c r="E210" s="5">
        <v>30</v>
      </c>
      <c r="F210" s="7">
        <f t="shared" si="3"/>
        <v>3.5842293906810034E-2</v>
      </c>
      <c r="G210" s="5">
        <v>0</v>
      </c>
      <c r="H210" s="26">
        <v>44986</v>
      </c>
      <c r="I210" s="26">
        <v>45052</v>
      </c>
      <c r="J210" s="4" t="s">
        <v>1614</v>
      </c>
      <c r="K210" s="4" t="s">
        <v>1817</v>
      </c>
    </row>
    <row r="211" spans="1:11" x14ac:dyDescent="0.45">
      <c r="A211" s="9" t="s">
        <v>314</v>
      </c>
      <c r="B211" s="9" t="s">
        <v>1608</v>
      </c>
      <c r="C211" s="9" t="s">
        <v>297</v>
      </c>
      <c r="D211" s="9" t="b">
        <f>TRUE()</f>
        <v>1</v>
      </c>
      <c r="E211" s="10">
        <v>570</v>
      </c>
      <c r="F211" s="12">
        <f t="shared" si="3"/>
        <v>0.97435897435897434</v>
      </c>
      <c r="G211" s="10">
        <v>0</v>
      </c>
      <c r="H211" s="27">
        <v>45043</v>
      </c>
      <c r="I211" s="27">
        <v>45707</v>
      </c>
      <c r="J211" s="9" t="s">
        <v>1609</v>
      </c>
      <c r="K211" s="9" t="s">
        <v>1818</v>
      </c>
    </row>
    <row r="212" spans="1:11" x14ac:dyDescent="0.45">
      <c r="A212" s="4" t="s">
        <v>314</v>
      </c>
      <c r="B212" s="4" t="s">
        <v>1608</v>
      </c>
      <c r="C212" s="4" t="s">
        <v>911</v>
      </c>
      <c r="D212" s="4" t="b">
        <f>FALSE()</f>
        <v>0</v>
      </c>
      <c r="E212" s="5">
        <v>14</v>
      </c>
      <c r="F212" s="7">
        <f t="shared" si="3"/>
        <v>2.3931623931623933E-2</v>
      </c>
      <c r="G212" s="5">
        <v>0</v>
      </c>
      <c r="H212" s="26">
        <v>44943</v>
      </c>
      <c r="I212" s="26">
        <v>45049</v>
      </c>
      <c r="J212" s="4" t="s">
        <v>1611</v>
      </c>
      <c r="K212" s="4" t="s">
        <v>1819</v>
      </c>
    </row>
    <row r="213" spans="1:11" x14ac:dyDescent="0.45">
      <c r="A213" s="4" t="s">
        <v>314</v>
      </c>
      <c r="B213" s="4" t="s">
        <v>1608</v>
      </c>
      <c r="C213" s="4" t="s">
        <v>142</v>
      </c>
      <c r="D213" s="4" t="b">
        <f>FALSE()</f>
        <v>0</v>
      </c>
      <c r="E213" s="5">
        <v>1</v>
      </c>
      <c r="F213" s="7">
        <f t="shared" si="3"/>
        <v>1.7094017094017094E-3</v>
      </c>
      <c r="G213" s="5">
        <v>0</v>
      </c>
      <c r="H213" s="26">
        <v>44964</v>
      </c>
      <c r="I213" s="26">
        <v>44964</v>
      </c>
      <c r="J213" s="4" t="s">
        <v>1614</v>
      </c>
      <c r="K213" s="4" t="s">
        <v>1820</v>
      </c>
    </row>
    <row r="214" spans="1:11" x14ac:dyDescent="0.45">
      <c r="A214" s="9" t="s">
        <v>315</v>
      </c>
      <c r="B214" s="9" t="s">
        <v>1608</v>
      </c>
      <c r="C214" s="9" t="s">
        <v>297</v>
      </c>
      <c r="D214" s="9" t="b">
        <f>TRUE()</f>
        <v>1</v>
      </c>
      <c r="E214" s="10">
        <v>470</v>
      </c>
      <c r="F214" s="12">
        <f t="shared" si="3"/>
        <v>0.92885375494071143</v>
      </c>
      <c r="G214" s="10">
        <v>86</v>
      </c>
      <c r="H214" s="27">
        <v>45062</v>
      </c>
      <c r="I214" s="27">
        <v>46291</v>
      </c>
      <c r="J214" s="9" t="s">
        <v>1609</v>
      </c>
      <c r="K214" s="9" t="s">
        <v>1821</v>
      </c>
    </row>
    <row r="215" spans="1:11" x14ac:dyDescent="0.45">
      <c r="A215" s="4" t="s">
        <v>315</v>
      </c>
      <c r="B215" s="4" t="s">
        <v>1608</v>
      </c>
      <c r="C215" s="4" t="s">
        <v>152</v>
      </c>
      <c r="D215" s="4" t="b">
        <f>FALSE()</f>
        <v>0</v>
      </c>
      <c r="E215" s="5">
        <v>36</v>
      </c>
      <c r="F215" s="7">
        <f t="shared" si="3"/>
        <v>7.1146245059288543E-2</v>
      </c>
      <c r="G215" s="5">
        <v>0</v>
      </c>
      <c r="H215" s="26">
        <v>44987</v>
      </c>
      <c r="I215" s="26">
        <v>45054</v>
      </c>
      <c r="J215" s="4" t="s">
        <v>1614</v>
      </c>
      <c r="K215" s="4" t="s">
        <v>1822</v>
      </c>
    </row>
    <row r="216" spans="1:11" x14ac:dyDescent="0.45">
      <c r="A216" s="9" t="s">
        <v>316</v>
      </c>
      <c r="B216" s="9" t="s">
        <v>1608</v>
      </c>
      <c r="C216" s="9" t="s">
        <v>297</v>
      </c>
      <c r="D216" s="9" t="b">
        <f>TRUE()</f>
        <v>1</v>
      </c>
      <c r="E216" s="10">
        <v>443</v>
      </c>
      <c r="F216" s="12">
        <f t="shared" si="3"/>
        <v>0.93263157894736837</v>
      </c>
      <c r="G216" s="10">
        <v>84</v>
      </c>
      <c r="H216" s="27">
        <v>45064</v>
      </c>
      <c r="I216" s="27">
        <v>46292</v>
      </c>
      <c r="J216" s="9" t="s">
        <v>1609</v>
      </c>
      <c r="K216" s="9" t="s">
        <v>1823</v>
      </c>
    </row>
    <row r="217" spans="1:11" x14ac:dyDescent="0.45">
      <c r="A217" s="4" t="s">
        <v>316</v>
      </c>
      <c r="B217" s="4" t="s">
        <v>1608</v>
      </c>
      <c r="C217" s="4" t="s">
        <v>911</v>
      </c>
      <c r="D217" s="4" t="b">
        <f>FALSE()</f>
        <v>0</v>
      </c>
      <c r="E217" s="5">
        <v>26</v>
      </c>
      <c r="F217" s="7">
        <f t="shared" si="3"/>
        <v>5.473684210526316E-2</v>
      </c>
      <c r="G217" s="5">
        <v>0</v>
      </c>
      <c r="H217" s="26">
        <v>44988</v>
      </c>
      <c r="I217" s="26">
        <v>45054</v>
      </c>
      <c r="J217" s="4" t="s">
        <v>1611</v>
      </c>
      <c r="K217" s="4" t="s">
        <v>1824</v>
      </c>
    </row>
    <row r="218" spans="1:11" x14ac:dyDescent="0.45">
      <c r="A218" s="4" t="s">
        <v>316</v>
      </c>
      <c r="B218" s="4" t="s">
        <v>1608</v>
      </c>
      <c r="C218" s="4" t="s">
        <v>152</v>
      </c>
      <c r="D218" s="4" t="b">
        <f>FALSE()</f>
        <v>0</v>
      </c>
      <c r="E218" s="5">
        <v>6</v>
      </c>
      <c r="F218" s="7">
        <f t="shared" si="3"/>
        <v>1.2631578947368421E-2</v>
      </c>
      <c r="G218" s="5">
        <v>0</v>
      </c>
      <c r="H218" s="26">
        <v>44991</v>
      </c>
      <c r="I218" s="26">
        <v>44993</v>
      </c>
      <c r="J218" s="4" t="s">
        <v>1614</v>
      </c>
      <c r="K218" s="4" t="s">
        <v>1825</v>
      </c>
    </row>
    <row r="219" spans="1:11" x14ac:dyDescent="0.45">
      <c r="A219" s="9" t="s">
        <v>317</v>
      </c>
      <c r="B219" s="9" t="s">
        <v>1608</v>
      </c>
      <c r="C219" s="9" t="s">
        <v>297</v>
      </c>
      <c r="D219" s="9" t="b">
        <f>TRUE()</f>
        <v>1</v>
      </c>
      <c r="E219" s="10">
        <v>408</v>
      </c>
      <c r="F219" s="12">
        <f t="shared" si="3"/>
        <v>0.94883720930232562</v>
      </c>
      <c r="G219" s="10">
        <v>66</v>
      </c>
      <c r="H219" s="27">
        <v>45053</v>
      </c>
      <c r="I219" s="27">
        <v>46294</v>
      </c>
      <c r="J219" s="9" t="s">
        <v>1609</v>
      </c>
      <c r="K219" s="9" t="s">
        <v>1826</v>
      </c>
    </row>
    <row r="220" spans="1:11" x14ac:dyDescent="0.45">
      <c r="A220" s="4" t="s">
        <v>317</v>
      </c>
      <c r="B220" s="4" t="s">
        <v>1608</v>
      </c>
      <c r="C220" s="4" t="s">
        <v>152</v>
      </c>
      <c r="D220" s="4" t="b">
        <f>FALSE()</f>
        <v>0</v>
      </c>
      <c r="E220" s="5">
        <v>22</v>
      </c>
      <c r="F220" s="7">
        <f t="shared" si="3"/>
        <v>5.1162790697674418E-2</v>
      </c>
      <c r="G220" s="5">
        <v>0</v>
      </c>
      <c r="H220" s="26">
        <v>44973</v>
      </c>
      <c r="I220" s="26">
        <v>45051</v>
      </c>
      <c r="J220" s="4" t="s">
        <v>1614</v>
      </c>
      <c r="K220" s="4" t="s">
        <v>1827</v>
      </c>
    </row>
    <row r="221" spans="1:11" x14ac:dyDescent="0.45">
      <c r="A221" s="9" t="s">
        <v>318</v>
      </c>
      <c r="B221" s="9" t="s">
        <v>1608</v>
      </c>
      <c r="C221" s="9" t="s">
        <v>297</v>
      </c>
      <c r="D221" s="9" t="b">
        <f>TRUE()</f>
        <v>1</v>
      </c>
      <c r="E221" s="10">
        <v>376</v>
      </c>
      <c r="F221" s="12">
        <f t="shared" si="3"/>
        <v>0.90167865707434047</v>
      </c>
      <c r="G221" s="10">
        <v>75</v>
      </c>
      <c r="H221" s="27">
        <v>45054</v>
      </c>
      <c r="I221" s="27">
        <v>46295</v>
      </c>
      <c r="J221" s="9" t="s">
        <v>1609</v>
      </c>
      <c r="K221" s="9" t="s">
        <v>1828</v>
      </c>
    </row>
    <row r="222" spans="1:11" x14ac:dyDescent="0.45">
      <c r="A222" s="4" t="s">
        <v>318</v>
      </c>
      <c r="B222" s="4" t="s">
        <v>1608</v>
      </c>
      <c r="C222" s="4" t="s">
        <v>152</v>
      </c>
      <c r="D222" s="4" t="b">
        <f>FALSE()</f>
        <v>0</v>
      </c>
      <c r="E222" s="5">
        <v>41</v>
      </c>
      <c r="F222" s="7">
        <f t="shared" si="3"/>
        <v>9.8321342925659472E-2</v>
      </c>
      <c r="G222" s="5">
        <v>0</v>
      </c>
      <c r="H222" s="26">
        <v>44960</v>
      </c>
      <c r="I222" s="26">
        <v>45039</v>
      </c>
      <c r="J222" s="4" t="s">
        <v>1614</v>
      </c>
      <c r="K222" s="4" t="s">
        <v>1829</v>
      </c>
    </row>
    <row r="223" spans="1:11" x14ac:dyDescent="0.45">
      <c r="A223" s="9" t="s">
        <v>319</v>
      </c>
      <c r="B223" s="9" t="s">
        <v>1608</v>
      </c>
      <c r="C223" s="9" t="s">
        <v>297</v>
      </c>
      <c r="D223" s="9" t="b">
        <f>TRUE()</f>
        <v>1</v>
      </c>
      <c r="E223" s="10">
        <v>394</v>
      </c>
      <c r="F223" s="12">
        <f t="shared" si="3"/>
        <v>0.94711538461538458</v>
      </c>
      <c r="G223" s="10">
        <v>60</v>
      </c>
      <c r="H223" s="27">
        <v>45055</v>
      </c>
      <c r="I223" s="27">
        <v>46285</v>
      </c>
      <c r="J223" s="9" t="s">
        <v>1609</v>
      </c>
      <c r="K223" s="9" t="s">
        <v>1830</v>
      </c>
    </row>
    <row r="224" spans="1:11" x14ac:dyDescent="0.45">
      <c r="A224" s="4" t="s">
        <v>319</v>
      </c>
      <c r="B224" s="4" t="s">
        <v>1608</v>
      </c>
      <c r="C224" s="4" t="s">
        <v>152</v>
      </c>
      <c r="D224" s="4" t="b">
        <f>FALSE()</f>
        <v>0</v>
      </c>
      <c r="E224" s="5">
        <v>22</v>
      </c>
      <c r="F224" s="7">
        <f t="shared" si="3"/>
        <v>5.2884615384615384E-2</v>
      </c>
      <c r="G224" s="5">
        <v>0</v>
      </c>
      <c r="H224" s="26">
        <v>44987</v>
      </c>
      <c r="I224" s="26">
        <v>45049</v>
      </c>
      <c r="J224" s="4" t="s">
        <v>1614</v>
      </c>
      <c r="K224" s="4" t="s">
        <v>1831</v>
      </c>
    </row>
    <row r="225" spans="1:11" x14ac:dyDescent="0.45">
      <c r="A225" s="9" t="s">
        <v>320</v>
      </c>
      <c r="B225" s="9" t="s">
        <v>1608</v>
      </c>
      <c r="C225" s="9" t="s">
        <v>297</v>
      </c>
      <c r="D225" s="9" t="b">
        <f>TRUE()</f>
        <v>1</v>
      </c>
      <c r="E225" s="10">
        <v>350</v>
      </c>
      <c r="F225" s="12">
        <f t="shared" si="3"/>
        <v>0.86848635235732008</v>
      </c>
      <c r="G225" s="10">
        <v>0</v>
      </c>
      <c r="H225" s="27">
        <v>45055</v>
      </c>
      <c r="I225" s="27">
        <v>45874</v>
      </c>
      <c r="J225" s="9" t="s">
        <v>1609</v>
      </c>
      <c r="K225" s="9" t="s">
        <v>1832</v>
      </c>
    </row>
    <row r="226" spans="1:11" x14ac:dyDescent="0.45">
      <c r="A226" s="4" t="s">
        <v>320</v>
      </c>
      <c r="B226" s="4" t="s">
        <v>1608</v>
      </c>
      <c r="C226" s="4" t="s">
        <v>911</v>
      </c>
      <c r="D226" s="4" t="b">
        <f>FALSE()</f>
        <v>0</v>
      </c>
      <c r="E226" s="5">
        <v>32</v>
      </c>
      <c r="F226" s="7">
        <f t="shared" si="3"/>
        <v>7.9404466501240695E-2</v>
      </c>
      <c r="G226" s="5">
        <v>0</v>
      </c>
      <c r="H226" s="26">
        <v>44966</v>
      </c>
      <c r="I226" s="26">
        <v>45048</v>
      </c>
      <c r="J226" s="4" t="s">
        <v>1611</v>
      </c>
      <c r="K226" s="4" t="s">
        <v>1833</v>
      </c>
    </row>
    <row r="227" spans="1:11" x14ac:dyDescent="0.45">
      <c r="A227" s="4" t="s">
        <v>320</v>
      </c>
      <c r="B227" s="4" t="s">
        <v>1608</v>
      </c>
      <c r="C227" s="4" t="s">
        <v>152</v>
      </c>
      <c r="D227" s="4" t="b">
        <f>FALSE()</f>
        <v>0</v>
      </c>
      <c r="E227" s="5">
        <v>21</v>
      </c>
      <c r="F227" s="7">
        <f t="shared" si="3"/>
        <v>5.2109181141439205E-2</v>
      </c>
      <c r="G227" s="5">
        <v>0</v>
      </c>
      <c r="H227" s="26">
        <v>44931</v>
      </c>
      <c r="I227" s="26">
        <v>44976</v>
      </c>
      <c r="J227" s="4" t="s">
        <v>1614</v>
      </c>
      <c r="K227" s="4" t="s">
        <v>1834</v>
      </c>
    </row>
    <row r="228" spans="1:11" x14ac:dyDescent="0.45">
      <c r="A228" s="9" t="s">
        <v>321</v>
      </c>
      <c r="B228" s="9" t="s">
        <v>1608</v>
      </c>
      <c r="C228" s="9" t="s">
        <v>297</v>
      </c>
      <c r="D228" s="9" t="b">
        <f>TRUE()</f>
        <v>1</v>
      </c>
      <c r="E228" s="10">
        <v>350</v>
      </c>
      <c r="F228" s="12">
        <f t="shared" si="3"/>
        <v>0.92348284960422167</v>
      </c>
      <c r="G228" s="10">
        <v>10</v>
      </c>
      <c r="H228" s="27">
        <v>44932</v>
      </c>
      <c r="I228" s="27">
        <v>46084</v>
      </c>
      <c r="J228" s="9" t="s">
        <v>1609</v>
      </c>
      <c r="K228" s="9" t="s">
        <v>1835</v>
      </c>
    </row>
    <row r="229" spans="1:11" x14ac:dyDescent="0.45">
      <c r="A229" s="4" t="s">
        <v>321</v>
      </c>
      <c r="B229" s="4" t="s">
        <v>1608</v>
      </c>
      <c r="C229" s="4" t="s">
        <v>152</v>
      </c>
      <c r="D229" s="4" t="b">
        <f>FALSE()</f>
        <v>0</v>
      </c>
      <c r="E229" s="5">
        <v>29</v>
      </c>
      <c r="F229" s="7">
        <f t="shared" si="3"/>
        <v>7.6517150395778361E-2</v>
      </c>
      <c r="G229" s="5">
        <v>0</v>
      </c>
      <c r="H229" s="26">
        <v>44928</v>
      </c>
      <c r="I229" s="26">
        <v>45020</v>
      </c>
      <c r="J229" s="4" t="s">
        <v>1614</v>
      </c>
      <c r="K229" s="4" t="s">
        <v>1836</v>
      </c>
    </row>
    <row r="230" spans="1:11" x14ac:dyDescent="0.45">
      <c r="A230" s="9" t="s">
        <v>322</v>
      </c>
      <c r="B230" s="9" t="s">
        <v>1608</v>
      </c>
      <c r="C230" s="9" t="s">
        <v>297</v>
      </c>
      <c r="D230" s="9" t="b">
        <f>TRUE()</f>
        <v>1</v>
      </c>
      <c r="E230" s="10">
        <v>312</v>
      </c>
      <c r="F230" s="12">
        <f t="shared" si="3"/>
        <v>0.95412844036697253</v>
      </c>
      <c r="G230" s="10">
        <v>56</v>
      </c>
      <c r="H230" s="27">
        <v>45054</v>
      </c>
      <c r="I230" s="27">
        <v>46289</v>
      </c>
      <c r="J230" s="9" t="s">
        <v>1609</v>
      </c>
      <c r="K230" s="9" t="s">
        <v>1837</v>
      </c>
    </row>
    <row r="231" spans="1:11" x14ac:dyDescent="0.45">
      <c r="A231" s="4" t="s">
        <v>322</v>
      </c>
      <c r="B231" s="4" t="s">
        <v>1608</v>
      </c>
      <c r="C231" s="4" t="s">
        <v>152</v>
      </c>
      <c r="D231" s="4" t="b">
        <f>FALSE()</f>
        <v>0</v>
      </c>
      <c r="E231" s="5">
        <v>15</v>
      </c>
      <c r="F231" s="7">
        <f t="shared" si="3"/>
        <v>4.5871559633027525E-2</v>
      </c>
      <c r="G231" s="5">
        <v>0</v>
      </c>
      <c r="H231" s="26">
        <v>44989</v>
      </c>
      <c r="I231" s="26">
        <v>45050</v>
      </c>
      <c r="J231" s="4" t="s">
        <v>1614</v>
      </c>
      <c r="K231" s="4" t="s">
        <v>1838</v>
      </c>
    </row>
    <row r="232" spans="1:11" x14ac:dyDescent="0.45">
      <c r="A232" s="9" t="s">
        <v>323</v>
      </c>
      <c r="B232" s="9" t="s">
        <v>1608</v>
      </c>
      <c r="C232" s="9" t="s">
        <v>297</v>
      </c>
      <c r="D232" s="9" t="b">
        <f>TRUE()</f>
        <v>1</v>
      </c>
      <c r="E232" s="10">
        <v>298</v>
      </c>
      <c r="F232" s="12">
        <f t="shared" si="3"/>
        <v>0.95207667731629397</v>
      </c>
      <c r="G232" s="10">
        <v>60</v>
      </c>
      <c r="H232" s="27">
        <v>45051</v>
      </c>
      <c r="I232" s="27">
        <v>46294</v>
      </c>
      <c r="J232" s="9" t="s">
        <v>1609</v>
      </c>
      <c r="K232" s="9" t="s">
        <v>1839</v>
      </c>
    </row>
    <row r="233" spans="1:11" x14ac:dyDescent="0.45">
      <c r="A233" s="4" t="s">
        <v>323</v>
      </c>
      <c r="B233" s="4" t="s">
        <v>1608</v>
      </c>
      <c r="C233" s="4" t="s">
        <v>152</v>
      </c>
      <c r="D233" s="4" t="b">
        <f>FALSE()</f>
        <v>0</v>
      </c>
      <c r="E233" s="5">
        <v>15</v>
      </c>
      <c r="F233" s="7">
        <f t="shared" si="3"/>
        <v>4.7923322683706068E-2</v>
      </c>
      <c r="G233" s="5">
        <v>0</v>
      </c>
      <c r="H233" s="26">
        <v>44989</v>
      </c>
      <c r="I233" s="26">
        <v>45048</v>
      </c>
      <c r="J233" s="4" t="s">
        <v>1614</v>
      </c>
      <c r="K233" s="4" t="s">
        <v>1840</v>
      </c>
    </row>
    <row r="234" spans="1:11" x14ac:dyDescent="0.45">
      <c r="A234" s="9" t="s">
        <v>324</v>
      </c>
      <c r="B234" s="9" t="s">
        <v>1608</v>
      </c>
      <c r="C234" s="9" t="s">
        <v>297</v>
      </c>
      <c r="D234" s="9" t="b">
        <f>TRUE()</f>
        <v>1</v>
      </c>
      <c r="E234" s="10">
        <v>279</v>
      </c>
      <c r="F234" s="12">
        <f t="shared" si="3"/>
        <v>0.96206896551724141</v>
      </c>
      <c r="G234" s="10">
        <v>44</v>
      </c>
      <c r="H234" s="27">
        <v>45038</v>
      </c>
      <c r="I234" s="27">
        <v>46287</v>
      </c>
      <c r="J234" s="9" t="s">
        <v>1609</v>
      </c>
      <c r="K234" s="9" t="s">
        <v>1841</v>
      </c>
    </row>
    <row r="235" spans="1:11" x14ac:dyDescent="0.45">
      <c r="A235" s="4" t="s">
        <v>324</v>
      </c>
      <c r="B235" s="4" t="s">
        <v>1608</v>
      </c>
      <c r="C235" s="4" t="s">
        <v>152</v>
      </c>
      <c r="D235" s="4" t="b">
        <f>FALSE()</f>
        <v>0</v>
      </c>
      <c r="E235" s="5">
        <v>11</v>
      </c>
      <c r="F235" s="7">
        <f t="shared" si="3"/>
        <v>3.793103448275862E-2</v>
      </c>
      <c r="G235" s="5">
        <v>0</v>
      </c>
      <c r="H235" s="26">
        <v>44991</v>
      </c>
      <c r="I235" s="26">
        <v>45043</v>
      </c>
      <c r="J235" s="4" t="s">
        <v>1614</v>
      </c>
      <c r="K235" s="4" t="s">
        <v>1842</v>
      </c>
    </row>
    <row r="236" spans="1:11" x14ac:dyDescent="0.45">
      <c r="A236" s="9" t="s">
        <v>325</v>
      </c>
      <c r="B236" s="9" t="s">
        <v>1608</v>
      </c>
      <c r="C236" s="9" t="s">
        <v>297</v>
      </c>
      <c r="D236" s="9" t="b">
        <f>TRUE()</f>
        <v>1</v>
      </c>
      <c r="E236" s="10">
        <v>248</v>
      </c>
      <c r="F236" s="12">
        <f t="shared" si="3"/>
        <v>0.96498054474708173</v>
      </c>
      <c r="G236" s="10">
        <v>44</v>
      </c>
      <c r="H236" s="27">
        <v>45051</v>
      </c>
      <c r="I236" s="27">
        <v>46296</v>
      </c>
      <c r="J236" s="9" t="s">
        <v>1609</v>
      </c>
      <c r="K236" s="9" t="s">
        <v>1843</v>
      </c>
    </row>
    <row r="237" spans="1:11" x14ac:dyDescent="0.45">
      <c r="A237" s="4" t="s">
        <v>325</v>
      </c>
      <c r="B237" s="4" t="s">
        <v>1608</v>
      </c>
      <c r="C237" s="4" t="s">
        <v>152</v>
      </c>
      <c r="D237" s="4" t="b">
        <f>FALSE()</f>
        <v>0</v>
      </c>
      <c r="E237" s="5">
        <v>9</v>
      </c>
      <c r="F237" s="7">
        <f t="shared" si="3"/>
        <v>3.5019455252918288E-2</v>
      </c>
      <c r="G237" s="5">
        <v>0</v>
      </c>
      <c r="H237" s="26">
        <v>44992</v>
      </c>
      <c r="I237" s="26">
        <v>45041</v>
      </c>
      <c r="J237" s="4" t="s">
        <v>1614</v>
      </c>
      <c r="K237" s="4" t="s">
        <v>1844</v>
      </c>
    </row>
    <row r="238" spans="1:11" x14ac:dyDescent="0.45">
      <c r="A238" s="9" t="s">
        <v>326</v>
      </c>
      <c r="B238" s="9" t="s">
        <v>1608</v>
      </c>
      <c r="C238" s="9" t="s">
        <v>297</v>
      </c>
      <c r="D238" s="9" t="b">
        <f>TRUE()</f>
        <v>1</v>
      </c>
      <c r="E238" s="10">
        <v>229</v>
      </c>
      <c r="F238" s="12">
        <f t="shared" si="3"/>
        <v>0.95416666666666672</v>
      </c>
      <c r="G238" s="10">
        <v>38</v>
      </c>
      <c r="H238" s="27">
        <v>45043</v>
      </c>
      <c r="I238" s="27">
        <v>46290</v>
      </c>
      <c r="J238" s="9" t="s">
        <v>1609</v>
      </c>
      <c r="K238" s="9" t="s">
        <v>1845</v>
      </c>
    </row>
    <row r="239" spans="1:11" x14ac:dyDescent="0.45">
      <c r="A239" s="4" t="s">
        <v>326</v>
      </c>
      <c r="B239" s="4" t="s">
        <v>1608</v>
      </c>
      <c r="C239" s="4" t="s">
        <v>152</v>
      </c>
      <c r="D239" s="4" t="b">
        <f>FALSE()</f>
        <v>0</v>
      </c>
      <c r="E239" s="5">
        <v>11</v>
      </c>
      <c r="F239" s="7">
        <f t="shared" si="3"/>
        <v>4.583333333333333E-2</v>
      </c>
      <c r="G239" s="5">
        <v>0</v>
      </c>
      <c r="H239" s="26">
        <v>44981</v>
      </c>
      <c r="I239" s="26">
        <v>45034</v>
      </c>
      <c r="J239" s="4" t="s">
        <v>1614</v>
      </c>
      <c r="K239" s="4" t="s">
        <v>1846</v>
      </c>
    </row>
    <row r="240" spans="1:11" x14ac:dyDescent="0.45">
      <c r="A240" s="9" t="s">
        <v>327</v>
      </c>
      <c r="B240" s="9" t="s">
        <v>1608</v>
      </c>
      <c r="C240" s="9" t="s">
        <v>297</v>
      </c>
      <c r="D240" s="9" t="b">
        <f>TRUE()</f>
        <v>1</v>
      </c>
      <c r="E240" s="10">
        <v>221</v>
      </c>
      <c r="F240" s="12">
        <f t="shared" si="3"/>
        <v>0.92468619246861927</v>
      </c>
      <c r="G240" s="10">
        <v>36</v>
      </c>
      <c r="H240" s="27">
        <v>44978</v>
      </c>
      <c r="I240" s="27">
        <v>46293</v>
      </c>
      <c r="J240" s="9" t="s">
        <v>1609</v>
      </c>
      <c r="K240" s="9" t="s">
        <v>1847</v>
      </c>
    </row>
    <row r="241" spans="1:11" x14ac:dyDescent="0.45">
      <c r="A241" s="4" t="s">
        <v>327</v>
      </c>
      <c r="B241" s="4" t="s">
        <v>1608</v>
      </c>
      <c r="C241" s="4" t="s">
        <v>152</v>
      </c>
      <c r="D241" s="4" t="b">
        <f>FALSE()</f>
        <v>0</v>
      </c>
      <c r="E241" s="5">
        <v>18</v>
      </c>
      <c r="F241" s="7">
        <f t="shared" si="3"/>
        <v>7.5313807531380755E-2</v>
      </c>
      <c r="G241" s="5">
        <v>0</v>
      </c>
      <c r="H241" s="26">
        <v>44987</v>
      </c>
      <c r="I241" s="26">
        <v>45048</v>
      </c>
      <c r="J241" s="4" t="s">
        <v>1614</v>
      </c>
      <c r="K241" s="4" t="s">
        <v>1848</v>
      </c>
    </row>
    <row r="242" spans="1:11" x14ac:dyDescent="0.45">
      <c r="A242" s="9" t="s">
        <v>328</v>
      </c>
      <c r="B242" s="9" t="s">
        <v>1608</v>
      </c>
      <c r="C242" s="9" t="s">
        <v>297</v>
      </c>
      <c r="D242" s="9" t="b">
        <f>TRUE()</f>
        <v>1</v>
      </c>
      <c r="E242" s="10">
        <v>185</v>
      </c>
      <c r="F242" s="12">
        <f t="shared" si="3"/>
        <v>0.96354166666666663</v>
      </c>
      <c r="G242" s="10">
        <v>41</v>
      </c>
      <c r="H242" s="27">
        <v>45057</v>
      </c>
      <c r="I242" s="27">
        <v>46296</v>
      </c>
      <c r="J242" s="9" t="s">
        <v>1609</v>
      </c>
      <c r="K242" s="9" t="s">
        <v>1849</v>
      </c>
    </row>
    <row r="243" spans="1:11" x14ac:dyDescent="0.45">
      <c r="A243" s="4" t="s">
        <v>328</v>
      </c>
      <c r="B243" s="4" t="s">
        <v>1608</v>
      </c>
      <c r="C243" s="4" t="s">
        <v>152</v>
      </c>
      <c r="D243" s="4" t="b">
        <f>FALSE()</f>
        <v>0</v>
      </c>
      <c r="E243" s="5">
        <v>7</v>
      </c>
      <c r="F243" s="7">
        <f t="shared" si="3"/>
        <v>3.6458333333333336E-2</v>
      </c>
      <c r="G243" s="5">
        <v>0</v>
      </c>
      <c r="H243" s="26">
        <v>44978</v>
      </c>
      <c r="I243" s="26">
        <v>45051</v>
      </c>
      <c r="J243" s="4" t="s">
        <v>1614</v>
      </c>
      <c r="K243" s="4" t="s">
        <v>1850</v>
      </c>
    </row>
    <row r="244" spans="1:11" x14ac:dyDescent="0.45">
      <c r="A244" s="9" t="s">
        <v>329</v>
      </c>
      <c r="B244" s="9" t="s">
        <v>1608</v>
      </c>
      <c r="C244" s="9" t="s">
        <v>297</v>
      </c>
      <c r="D244" s="9" t="b">
        <f>TRUE()</f>
        <v>1</v>
      </c>
      <c r="E244" s="10">
        <v>133</v>
      </c>
      <c r="F244" s="12">
        <f t="shared" si="3"/>
        <v>0.73888888888888893</v>
      </c>
      <c r="G244" s="10">
        <v>25</v>
      </c>
      <c r="H244" s="27">
        <v>45215</v>
      </c>
      <c r="I244" s="27">
        <v>46140</v>
      </c>
      <c r="J244" s="9" t="s">
        <v>1609</v>
      </c>
      <c r="K244" s="9" t="s">
        <v>1851</v>
      </c>
    </row>
    <row r="245" spans="1:11" x14ac:dyDescent="0.45">
      <c r="A245" s="4" t="s">
        <v>329</v>
      </c>
      <c r="B245" s="4" t="s">
        <v>1608</v>
      </c>
      <c r="C245" s="4" t="s">
        <v>911</v>
      </c>
      <c r="D245" s="4" t="b">
        <f>FALSE()</f>
        <v>0</v>
      </c>
      <c r="E245" s="5">
        <v>39</v>
      </c>
      <c r="F245" s="7">
        <f t="shared" si="3"/>
        <v>0.21666666666666667</v>
      </c>
      <c r="G245" s="5">
        <v>0</v>
      </c>
      <c r="H245" s="26">
        <v>44978</v>
      </c>
      <c r="I245" s="26">
        <v>45022</v>
      </c>
      <c r="J245" s="4" t="s">
        <v>1611</v>
      </c>
      <c r="K245" s="4" t="s">
        <v>1852</v>
      </c>
    </row>
    <row r="246" spans="1:11" x14ac:dyDescent="0.45">
      <c r="A246" s="4" t="s">
        <v>329</v>
      </c>
      <c r="B246" s="4" t="s">
        <v>1608</v>
      </c>
      <c r="C246" s="4" t="s">
        <v>142</v>
      </c>
      <c r="D246" s="4" t="b">
        <f>FALSE()</f>
        <v>0</v>
      </c>
      <c r="E246" s="5">
        <v>8</v>
      </c>
      <c r="F246" s="7">
        <f t="shared" si="3"/>
        <v>4.4444444444444446E-2</v>
      </c>
      <c r="G246" s="5">
        <v>0</v>
      </c>
      <c r="H246" s="26">
        <v>44966</v>
      </c>
      <c r="I246" s="26">
        <v>44978</v>
      </c>
      <c r="J246" s="4" t="s">
        <v>1614</v>
      </c>
      <c r="K246" s="4" t="s">
        <v>1853</v>
      </c>
    </row>
    <row r="247" spans="1:11" x14ac:dyDescent="0.45">
      <c r="A247" s="9" t="s">
        <v>330</v>
      </c>
      <c r="B247" s="9" t="s">
        <v>1608</v>
      </c>
      <c r="C247" s="9" t="s">
        <v>297</v>
      </c>
      <c r="D247" s="9" t="b">
        <f>TRUE()</f>
        <v>1</v>
      </c>
      <c r="E247" s="10">
        <v>171</v>
      </c>
      <c r="F247" s="12">
        <f t="shared" si="3"/>
        <v>0.95</v>
      </c>
      <c r="G247" s="10">
        <v>35</v>
      </c>
      <c r="H247" s="27">
        <v>45016</v>
      </c>
      <c r="I247" s="27">
        <v>46282</v>
      </c>
      <c r="J247" s="9" t="s">
        <v>1609</v>
      </c>
      <c r="K247" s="9" t="s">
        <v>1854</v>
      </c>
    </row>
    <row r="248" spans="1:11" x14ac:dyDescent="0.45">
      <c r="A248" s="4" t="s">
        <v>330</v>
      </c>
      <c r="B248" s="4" t="s">
        <v>1608</v>
      </c>
      <c r="C248" s="4" t="s">
        <v>911</v>
      </c>
      <c r="D248" s="4" t="b">
        <f>FALSE()</f>
        <v>0</v>
      </c>
      <c r="E248" s="5">
        <v>9</v>
      </c>
      <c r="F248" s="7">
        <f t="shared" si="3"/>
        <v>0.05</v>
      </c>
      <c r="G248" s="5">
        <v>0</v>
      </c>
      <c r="H248" s="26">
        <v>44938</v>
      </c>
      <c r="I248" s="26">
        <v>45029</v>
      </c>
      <c r="J248" s="4" t="s">
        <v>1611</v>
      </c>
      <c r="K248" s="4" t="s">
        <v>1855</v>
      </c>
    </row>
    <row r="249" spans="1:11" x14ac:dyDescent="0.45">
      <c r="A249" s="9" t="s">
        <v>331</v>
      </c>
      <c r="B249" s="9" t="s">
        <v>1608</v>
      </c>
      <c r="C249" s="9" t="s">
        <v>297</v>
      </c>
      <c r="D249" s="9" t="b">
        <f>TRUE()</f>
        <v>1</v>
      </c>
      <c r="E249" s="10">
        <v>169</v>
      </c>
      <c r="F249" s="12">
        <f t="shared" si="3"/>
        <v>0.98255813953488369</v>
      </c>
      <c r="G249" s="10">
        <v>53</v>
      </c>
      <c r="H249" s="27">
        <v>44971</v>
      </c>
      <c r="I249" s="27">
        <v>46294</v>
      </c>
      <c r="J249" s="9" t="s">
        <v>1609</v>
      </c>
      <c r="K249" s="9" t="s">
        <v>1856</v>
      </c>
    </row>
    <row r="250" spans="1:11" x14ac:dyDescent="0.45">
      <c r="A250" s="4" t="s">
        <v>331</v>
      </c>
      <c r="B250" s="4" t="s">
        <v>1608</v>
      </c>
      <c r="C250" s="4" t="s">
        <v>911</v>
      </c>
      <c r="D250" s="4" t="b">
        <f>FALSE()</f>
        <v>0</v>
      </c>
      <c r="E250" s="5">
        <v>2</v>
      </c>
      <c r="F250" s="7">
        <f t="shared" si="3"/>
        <v>1.1627906976744186E-2</v>
      </c>
      <c r="G250" s="5">
        <v>0</v>
      </c>
      <c r="H250" s="26">
        <v>44970</v>
      </c>
      <c r="I250" s="26">
        <v>44988</v>
      </c>
      <c r="J250" s="4" t="s">
        <v>1611</v>
      </c>
      <c r="K250" s="4" t="s">
        <v>1857</v>
      </c>
    </row>
    <row r="251" spans="1:11" x14ac:dyDescent="0.45">
      <c r="A251" s="4" t="s">
        <v>331</v>
      </c>
      <c r="B251" s="4" t="s">
        <v>1608</v>
      </c>
      <c r="C251" s="4" t="s">
        <v>142</v>
      </c>
      <c r="D251" s="4" t="b">
        <f>FALSE()</f>
        <v>0</v>
      </c>
      <c r="E251" s="5">
        <v>1</v>
      </c>
      <c r="F251" s="7">
        <f t="shared" si="3"/>
        <v>5.8139534883720929E-3</v>
      </c>
      <c r="G251" s="5">
        <v>0</v>
      </c>
      <c r="H251" s="26">
        <v>44951</v>
      </c>
      <c r="I251" s="26">
        <v>44951</v>
      </c>
      <c r="J251" s="4" t="s">
        <v>1614</v>
      </c>
      <c r="K251" s="4" t="s">
        <v>1858</v>
      </c>
    </row>
    <row r="252" spans="1:11" x14ac:dyDescent="0.45">
      <c r="A252" s="9" t="s">
        <v>332</v>
      </c>
      <c r="B252" s="9" t="s">
        <v>1608</v>
      </c>
      <c r="C252" s="9" t="s">
        <v>297</v>
      </c>
      <c r="D252" s="9" t="b">
        <f>TRUE()</f>
        <v>1</v>
      </c>
      <c r="E252" s="10">
        <v>168</v>
      </c>
      <c r="F252" s="12">
        <f t="shared" si="3"/>
        <v>0.97674418604651159</v>
      </c>
      <c r="G252" s="10">
        <v>30</v>
      </c>
      <c r="H252" s="27">
        <v>45056</v>
      </c>
      <c r="I252" s="27">
        <v>46280</v>
      </c>
      <c r="J252" s="9" t="s">
        <v>1609</v>
      </c>
      <c r="K252" s="9" t="s">
        <v>1859</v>
      </c>
    </row>
    <row r="253" spans="1:11" x14ac:dyDescent="0.45">
      <c r="A253" s="4" t="s">
        <v>332</v>
      </c>
      <c r="B253" s="4" t="s">
        <v>1608</v>
      </c>
      <c r="C253" s="4" t="s">
        <v>152</v>
      </c>
      <c r="D253" s="4" t="b">
        <f>FALSE()</f>
        <v>0</v>
      </c>
      <c r="E253" s="5">
        <v>4</v>
      </c>
      <c r="F253" s="7">
        <f t="shared" si="3"/>
        <v>2.3255813953488372E-2</v>
      </c>
      <c r="G253" s="5">
        <v>0</v>
      </c>
      <c r="H253" s="26">
        <v>45027</v>
      </c>
      <c r="I253" s="26">
        <v>45054</v>
      </c>
      <c r="J253" s="4" t="s">
        <v>1614</v>
      </c>
      <c r="K253" s="4" t="s">
        <v>1860</v>
      </c>
    </row>
    <row r="254" spans="1:11" x14ac:dyDescent="0.45">
      <c r="A254" s="9" t="s">
        <v>333</v>
      </c>
      <c r="B254" s="9" t="s">
        <v>1608</v>
      </c>
      <c r="C254" s="9" t="s">
        <v>297</v>
      </c>
      <c r="D254" s="9" t="b">
        <f>TRUE()</f>
        <v>1</v>
      </c>
      <c r="E254" s="10">
        <v>162</v>
      </c>
      <c r="F254" s="12">
        <f t="shared" si="3"/>
        <v>0.95294117647058818</v>
      </c>
      <c r="G254" s="10">
        <v>24</v>
      </c>
      <c r="H254" s="27">
        <v>45056</v>
      </c>
      <c r="I254" s="27">
        <v>46284</v>
      </c>
      <c r="J254" s="9" t="s">
        <v>1609</v>
      </c>
      <c r="K254" s="9" t="s">
        <v>1861</v>
      </c>
    </row>
    <row r="255" spans="1:11" x14ac:dyDescent="0.45">
      <c r="A255" s="4" t="s">
        <v>333</v>
      </c>
      <c r="B255" s="4" t="s">
        <v>1608</v>
      </c>
      <c r="C255" s="4" t="s">
        <v>152</v>
      </c>
      <c r="D255" s="4" t="b">
        <f>FALSE()</f>
        <v>0</v>
      </c>
      <c r="E255" s="5">
        <v>8</v>
      </c>
      <c r="F255" s="7">
        <f t="shared" si="3"/>
        <v>4.7058823529411764E-2</v>
      </c>
      <c r="G255" s="5">
        <v>0</v>
      </c>
      <c r="H255" s="26">
        <v>44996</v>
      </c>
      <c r="I255" s="26">
        <v>45040</v>
      </c>
      <c r="J255" s="4" t="s">
        <v>1614</v>
      </c>
      <c r="K255" s="4" t="s">
        <v>1862</v>
      </c>
    </row>
    <row r="256" spans="1:11" x14ac:dyDescent="0.45">
      <c r="A256" s="9" t="s">
        <v>334</v>
      </c>
      <c r="B256" s="9" t="s">
        <v>1608</v>
      </c>
      <c r="C256" s="9" t="s">
        <v>297</v>
      </c>
      <c r="D256" s="9" t="b">
        <f>TRUE()</f>
        <v>1</v>
      </c>
      <c r="E256" s="10">
        <v>129</v>
      </c>
      <c r="F256" s="12">
        <f t="shared" si="3"/>
        <v>0.89583333333333337</v>
      </c>
      <c r="G256" s="10">
        <v>0</v>
      </c>
      <c r="H256" s="27">
        <v>45052</v>
      </c>
      <c r="I256" s="27">
        <v>45863</v>
      </c>
      <c r="J256" s="9" t="s">
        <v>1609</v>
      </c>
      <c r="K256" s="9" t="s">
        <v>1863</v>
      </c>
    </row>
    <row r="257" spans="1:11" x14ac:dyDescent="0.45">
      <c r="A257" s="4" t="s">
        <v>334</v>
      </c>
      <c r="B257" s="4" t="s">
        <v>1608</v>
      </c>
      <c r="C257" s="4" t="s">
        <v>152</v>
      </c>
      <c r="D257" s="4" t="b">
        <f>FALSE()</f>
        <v>0</v>
      </c>
      <c r="E257" s="5">
        <v>15</v>
      </c>
      <c r="F257" s="7">
        <f t="shared" si="3"/>
        <v>0.10416666666666667</v>
      </c>
      <c r="G257" s="5">
        <v>0</v>
      </c>
      <c r="H257" s="26">
        <v>44987</v>
      </c>
      <c r="I257" s="26">
        <v>45055</v>
      </c>
      <c r="J257" s="4" t="s">
        <v>1614</v>
      </c>
      <c r="K257" s="4" t="s">
        <v>1864</v>
      </c>
    </row>
    <row r="258" spans="1:11" x14ac:dyDescent="0.45">
      <c r="A258" s="9" t="s">
        <v>337</v>
      </c>
      <c r="B258" s="9" t="s">
        <v>1608</v>
      </c>
      <c r="C258" s="9" t="s">
        <v>297</v>
      </c>
      <c r="D258" s="9" t="b">
        <f>TRUE()</f>
        <v>1</v>
      </c>
      <c r="E258" s="10">
        <v>111</v>
      </c>
      <c r="F258" s="12">
        <f t="shared" ref="F258:F321" si="4">E258/SUMIFS($E$2:$E$783,$A$2:$A$783,A258)</f>
        <v>0.9910714285714286</v>
      </c>
      <c r="G258" s="10">
        <v>39</v>
      </c>
      <c r="H258" s="27">
        <v>45056</v>
      </c>
      <c r="I258" s="27">
        <v>46296</v>
      </c>
      <c r="J258" s="9" t="s">
        <v>1609</v>
      </c>
      <c r="K258" s="9" t="s">
        <v>1865</v>
      </c>
    </row>
    <row r="259" spans="1:11" x14ac:dyDescent="0.45">
      <c r="A259" s="4" t="s">
        <v>337</v>
      </c>
      <c r="B259" s="4" t="s">
        <v>1608</v>
      </c>
      <c r="C259" s="4" t="s">
        <v>152</v>
      </c>
      <c r="D259" s="4" t="b">
        <f>FALSE()</f>
        <v>0</v>
      </c>
      <c r="E259" s="5">
        <v>1</v>
      </c>
      <c r="F259" s="7">
        <f t="shared" si="4"/>
        <v>8.9285714285714281E-3</v>
      </c>
      <c r="G259" s="5">
        <v>0</v>
      </c>
      <c r="H259" s="26">
        <v>44975</v>
      </c>
      <c r="I259" s="26">
        <v>44975</v>
      </c>
      <c r="J259" s="4" t="s">
        <v>1614</v>
      </c>
      <c r="K259" s="4" t="s">
        <v>1866</v>
      </c>
    </row>
    <row r="260" spans="1:11" x14ac:dyDescent="0.45">
      <c r="A260" s="9" t="s">
        <v>338</v>
      </c>
      <c r="B260" s="9" t="s">
        <v>1608</v>
      </c>
      <c r="C260" s="9" t="s">
        <v>297</v>
      </c>
      <c r="D260" s="9" t="b">
        <f>TRUE()</f>
        <v>1</v>
      </c>
      <c r="E260" s="10">
        <v>107</v>
      </c>
      <c r="F260" s="12">
        <f t="shared" si="4"/>
        <v>0.963963963963964</v>
      </c>
      <c r="G260" s="10">
        <v>38</v>
      </c>
      <c r="H260" s="27">
        <v>45040</v>
      </c>
      <c r="I260" s="27">
        <v>46287</v>
      </c>
      <c r="J260" s="9" t="s">
        <v>1609</v>
      </c>
      <c r="K260" s="9" t="s">
        <v>1867</v>
      </c>
    </row>
    <row r="261" spans="1:11" x14ac:dyDescent="0.45">
      <c r="A261" s="4" t="s">
        <v>338</v>
      </c>
      <c r="B261" s="4" t="s">
        <v>1608</v>
      </c>
      <c r="C261" s="4" t="s">
        <v>911</v>
      </c>
      <c r="D261" s="4" t="b">
        <f>FALSE()</f>
        <v>0</v>
      </c>
      <c r="E261" s="5">
        <v>4</v>
      </c>
      <c r="F261" s="7">
        <f t="shared" si="4"/>
        <v>3.6036036036036036E-2</v>
      </c>
      <c r="G261" s="5">
        <v>0</v>
      </c>
      <c r="H261" s="26">
        <v>44937</v>
      </c>
      <c r="I261" s="26">
        <v>45022</v>
      </c>
      <c r="J261" s="4" t="s">
        <v>1611</v>
      </c>
      <c r="K261" s="4" t="s">
        <v>1868</v>
      </c>
    </row>
    <row r="262" spans="1:11" x14ac:dyDescent="0.45">
      <c r="A262" s="9" t="s">
        <v>340</v>
      </c>
      <c r="B262" s="9" t="s">
        <v>1608</v>
      </c>
      <c r="C262" s="9" t="s">
        <v>297</v>
      </c>
      <c r="D262" s="9" t="b">
        <f>TRUE()</f>
        <v>1</v>
      </c>
      <c r="E262" s="10">
        <v>76</v>
      </c>
      <c r="F262" s="12">
        <f t="shared" si="4"/>
        <v>0.88372093023255816</v>
      </c>
      <c r="G262" s="10">
        <v>14</v>
      </c>
      <c r="H262" s="27">
        <v>45056</v>
      </c>
      <c r="I262" s="27">
        <v>46257</v>
      </c>
      <c r="J262" s="9" t="s">
        <v>1609</v>
      </c>
      <c r="K262" s="9" t="s">
        <v>1869</v>
      </c>
    </row>
    <row r="263" spans="1:11" x14ac:dyDescent="0.45">
      <c r="A263" s="4" t="s">
        <v>340</v>
      </c>
      <c r="B263" s="4" t="s">
        <v>1608</v>
      </c>
      <c r="C263" s="4" t="s">
        <v>142</v>
      </c>
      <c r="D263" s="4" t="b">
        <f>FALSE()</f>
        <v>0</v>
      </c>
      <c r="E263" s="5">
        <v>10</v>
      </c>
      <c r="F263" s="7">
        <f t="shared" si="4"/>
        <v>0.11627906976744186</v>
      </c>
      <c r="G263" s="5">
        <v>0</v>
      </c>
      <c r="H263" s="26">
        <v>44955</v>
      </c>
      <c r="I263" s="26">
        <v>45039</v>
      </c>
      <c r="J263" s="4" t="s">
        <v>1614</v>
      </c>
      <c r="K263" s="4" t="s">
        <v>1870</v>
      </c>
    </row>
    <row r="264" spans="1:11" x14ac:dyDescent="0.45">
      <c r="A264" s="9" t="s">
        <v>342</v>
      </c>
      <c r="B264" s="9" t="s">
        <v>1608</v>
      </c>
      <c r="C264" s="9" t="s">
        <v>297</v>
      </c>
      <c r="D264" s="9" t="b">
        <f>TRUE()</f>
        <v>1</v>
      </c>
      <c r="E264" s="10">
        <v>76</v>
      </c>
      <c r="F264" s="12">
        <f t="shared" si="4"/>
        <v>0.91566265060240959</v>
      </c>
      <c r="G264" s="10">
        <v>3</v>
      </c>
      <c r="H264" s="27">
        <v>45013</v>
      </c>
      <c r="I264" s="27">
        <v>46079</v>
      </c>
      <c r="J264" s="9" t="s">
        <v>1609</v>
      </c>
      <c r="K264" s="9" t="s">
        <v>1871</v>
      </c>
    </row>
    <row r="265" spans="1:11" x14ac:dyDescent="0.45">
      <c r="A265" s="4" t="s">
        <v>342</v>
      </c>
      <c r="B265" s="4" t="s">
        <v>1608</v>
      </c>
      <c r="C265" s="4" t="s">
        <v>911</v>
      </c>
      <c r="D265" s="4" t="b">
        <f>FALSE()</f>
        <v>0</v>
      </c>
      <c r="E265" s="5">
        <v>7</v>
      </c>
      <c r="F265" s="7">
        <f t="shared" si="4"/>
        <v>8.4337349397590355E-2</v>
      </c>
      <c r="G265" s="5">
        <v>0</v>
      </c>
      <c r="H265" s="26">
        <v>44986</v>
      </c>
      <c r="I265" s="26">
        <v>45021</v>
      </c>
      <c r="J265" s="4" t="s">
        <v>1611</v>
      </c>
      <c r="K265" s="4" t="s">
        <v>1872</v>
      </c>
    </row>
    <row r="266" spans="1:11" x14ac:dyDescent="0.45">
      <c r="A266" s="9" t="s">
        <v>343</v>
      </c>
      <c r="B266" s="9" t="s">
        <v>1608</v>
      </c>
      <c r="C266" s="9" t="s">
        <v>297</v>
      </c>
      <c r="D266" s="9" t="b">
        <f>TRUE()</f>
        <v>1</v>
      </c>
      <c r="E266" s="10">
        <v>57</v>
      </c>
      <c r="F266" s="12">
        <f t="shared" si="4"/>
        <v>0.96610169491525422</v>
      </c>
      <c r="G266" s="10">
        <v>16</v>
      </c>
      <c r="H266" s="27">
        <v>45049</v>
      </c>
      <c r="I266" s="27">
        <v>46293</v>
      </c>
      <c r="J266" s="9" t="s">
        <v>1609</v>
      </c>
      <c r="K266" s="9" t="s">
        <v>1873</v>
      </c>
    </row>
    <row r="267" spans="1:11" x14ac:dyDescent="0.45">
      <c r="A267" s="4" t="s">
        <v>343</v>
      </c>
      <c r="B267" s="4" t="s">
        <v>1608</v>
      </c>
      <c r="C267" s="4" t="s">
        <v>152</v>
      </c>
      <c r="D267" s="4" t="b">
        <f>FALSE()</f>
        <v>0</v>
      </c>
      <c r="E267" s="5">
        <v>2</v>
      </c>
      <c r="F267" s="7">
        <f t="shared" si="4"/>
        <v>3.3898305084745763E-2</v>
      </c>
      <c r="G267" s="5">
        <v>0</v>
      </c>
      <c r="H267" s="26">
        <v>45034</v>
      </c>
      <c r="I267" s="26">
        <v>45048</v>
      </c>
      <c r="J267" s="4" t="s">
        <v>1614</v>
      </c>
      <c r="K267" s="4" t="s">
        <v>1874</v>
      </c>
    </row>
    <row r="268" spans="1:11" x14ac:dyDescent="0.45">
      <c r="A268" s="9" t="s">
        <v>344</v>
      </c>
      <c r="B268" s="9" t="s">
        <v>1608</v>
      </c>
      <c r="C268" s="9" t="s">
        <v>297</v>
      </c>
      <c r="D268" s="9" t="b">
        <f>TRUE()</f>
        <v>1</v>
      </c>
      <c r="E268" s="10">
        <v>47</v>
      </c>
      <c r="F268" s="12">
        <f t="shared" si="4"/>
        <v>0.95918367346938771</v>
      </c>
      <c r="G268" s="10">
        <v>18</v>
      </c>
      <c r="H268" s="27">
        <v>45066</v>
      </c>
      <c r="I268" s="27">
        <v>46275</v>
      </c>
      <c r="J268" s="9" t="s">
        <v>1609</v>
      </c>
      <c r="K268" s="9" t="s">
        <v>1875</v>
      </c>
    </row>
    <row r="269" spans="1:11" x14ac:dyDescent="0.45">
      <c r="A269" s="4" t="s">
        <v>344</v>
      </c>
      <c r="B269" s="4" t="s">
        <v>1608</v>
      </c>
      <c r="C269" s="4" t="s">
        <v>152</v>
      </c>
      <c r="D269" s="4" t="b">
        <f>FALSE()</f>
        <v>0</v>
      </c>
      <c r="E269" s="5">
        <v>2</v>
      </c>
      <c r="F269" s="7">
        <f t="shared" si="4"/>
        <v>4.0816326530612242E-2</v>
      </c>
      <c r="G269" s="5">
        <v>0</v>
      </c>
      <c r="H269" s="26">
        <v>44991</v>
      </c>
      <c r="I269" s="26">
        <v>45047</v>
      </c>
      <c r="J269" s="4" t="s">
        <v>1614</v>
      </c>
      <c r="K269" s="4" t="s">
        <v>1876</v>
      </c>
    </row>
    <row r="270" spans="1:11" x14ac:dyDescent="0.45">
      <c r="A270" s="9" t="s">
        <v>347</v>
      </c>
      <c r="B270" s="9" t="s">
        <v>1608</v>
      </c>
      <c r="C270" s="9" t="s">
        <v>297</v>
      </c>
      <c r="D270" s="9" t="b">
        <f>TRUE()</f>
        <v>1</v>
      </c>
      <c r="E270" s="10">
        <v>38</v>
      </c>
      <c r="F270" s="12">
        <f t="shared" si="4"/>
        <v>0.92682926829268297</v>
      </c>
      <c r="G270" s="10">
        <v>10</v>
      </c>
      <c r="H270" s="27">
        <v>45079</v>
      </c>
      <c r="I270" s="27">
        <v>46252</v>
      </c>
      <c r="J270" s="9" t="s">
        <v>1609</v>
      </c>
      <c r="K270" s="9" t="s">
        <v>1877</v>
      </c>
    </row>
    <row r="271" spans="1:11" x14ac:dyDescent="0.45">
      <c r="A271" s="4" t="s">
        <v>347</v>
      </c>
      <c r="B271" s="4" t="s">
        <v>1608</v>
      </c>
      <c r="C271" s="4" t="s">
        <v>911</v>
      </c>
      <c r="D271" s="4" t="b">
        <f>FALSE()</f>
        <v>0</v>
      </c>
      <c r="E271" s="5">
        <v>3</v>
      </c>
      <c r="F271" s="7">
        <f t="shared" si="4"/>
        <v>7.3170731707317069E-2</v>
      </c>
      <c r="G271" s="5">
        <v>0</v>
      </c>
      <c r="H271" s="26">
        <v>45008</v>
      </c>
      <c r="I271" s="26">
        <v>45043</v>
      </c>
      <c r="J271" s="4" t="s">
        <v>1611</v>
      </c>
      <c r="K271" s="4" t="s">
        <v>1878</v>
      </c>
    </row>
    <row r="272" spans="1:11" x14ac:dyDescent="0.45">
      <c r="A272" s="9" t="s">
        <v>348</v>
      </c>
      <c r="B272" s="9" t="s">
        <v>1608</v>
      </c>
      <c r="C272" s="9" t="s">
        <v>297</v>
      </c>
      <c r="D272" s="9" t="b">
        <f>TRUE()</f>
        <v>1</v>
      </c>
      <c r="E272" s="10">
        <v>27</v>
      </c>
      <c r="F272" s="12">
        <f t="shared" si="4"/>
        <v>0.9642857142857143</v>
      </c>
      <c r="G272" s="10">
        <v>0</v>
      </c>
      <c r="H272" s="27">
        <v>45280</v>
      </c>
      <c r="I272" s="27">
        <v>45948</v>
      </c>
      <c r="J272" s="9" t="s">
        <v>1609</v>
      </c>
      <c r="K272" s="9" t="s">
        <v>1879</v>
      </c>
    </row>
    <row r="273" spans="1:11" x14ac:dyDescent="0.45">
      <c r="A273" s="4" t="s">
        <v>348</v>
      </c>
      <c r="B273" s="4" t="s">
        <v>1608</v>
      </c>
      <c r="C273" s="4" t="s">
        <v>911</v>
      </c>
      <c r="D273" s="4" t="b">
        <f>FALSE()</f>
        <v>0</v>
      </c>
      <c r="E273" s="5">
        <v>1</v>
      </c>
      <c r="F273" s="7">
        <f t="shared" si="4"/>
        <v>3.5714285714285712E-2</v>
      </c>
      <c r="G273" s="5">
        <v>0</v>
      </c>
      <c r="H273" s="26">
        <v>44983</v>
      </c>
      <c r="I273" s="26">
        <v>44983</v>
      </c>
      <c r="J273" s="4" t="s">
        <v>1611</v>
      </c>
      <c r="K273" s="4" t="s">
        <v>1880</v>
      </c>
    </row>
    <row r="274" spans="1:11" x14ac:dyDescent="0.45">
      <c r="A274" s="9" t="s">
        <v>381</v>
      </c>
      <c r="B274" s="9" t="s">
        <v>1608</v>
      </c>
      <c r="C274" s="9" t="s">
        <v>382</v>
      </c>
      <c r="D274" s="9" t="b">
        <f>TRUE()</f>
        <v>1</v>
      </c>
      <c r="E274" s="10">
        <v>275</v>
      </c>
      <c r="F274" s="12">
        <f t="shared" si="4"/>
        <v>0.8928571428571429</v>
      </c>
      <c r="G274" s="10">
        <v>0</v>
      </c>
      <c r="H274" s="27">
        <v>45051</v>
      </c>
      <c r="I274" s="27">
        <v>45650</v>
      </c>
      <c r="J274" s="9" t="s">
        <v>1609</v>
      </c>
      <c r="K274" s="9" t="s">
        <v>1881</v>
      </c>
    </row>
    <row r="275" spans="1:11" x14ac:dyDescent="0.45">
      <c r="A275" s="4" t="s">
        <v>381</v>
      </c>
      <c r="B275" s="4" t="s">
        <v>1608</v>
      </c>
      <c r="C275" s="4" t="s">
        <v>918</v>
      </c>
      <c r="D275" s="4" t="b">
        <f>FALSE()</f>
        <v>0</v>
      </c>
      <c r="E275" s="5">
        <v>33</v>
      </c>
      <c r="F275" s="7">
        <f t="shared" si="4"/>
        <v>0.10714285714285714</v>
      </c>
      <c r="G275" s="5">
        <v>0</v>
      </c>
      <c r="H275" s="26">
        <v>44933</v>
      </c>
      <c r="I275" s="26">
        <v>45048</v>
      </c>
      <c r="J275" s="4" t="s">
        <v>1614</v>
      </c>
      <c r="K275" s="4" t="s">
        <v>1882</v>
      </c>
    </row>
    <row r="276" spans="1:11" x14ac:dyDescent="0.45">
      <c r="A276" s="9" t="s">
        <v>383</v>
      </c>
      <c r="B276" s="9" t="s">
        <v>1608</v>
      </c>
      <c r="C276" s="9" t="s">
        <v>382</v>
      </c>
      <c r="D276" s="9" t="b">
        <f>TRUE()</f>
        <v>1</v>
      </c>
      <c r="E276" s="10">
        <v>223</v>
      </c>
      <c r="F276" s="12">
        <f t="shared" si="4"/>
        <v>0.88142292490118579</v>
      </c>
      <c r="G276" s="10">
        <v>0</v>
      </c>
      <c r="H276" s="27">
        <v>45048</v>
      </c>
      <c r="I276" s="27">
        <v>45609</v>
      </c>
      <c r="J276" s="9" t="s">
        <v>1609</v>
      </c>
      <c r="K276" s="9" t="s">
        <v>1883</v>
      </c>
    </row>
    <row r="277" spans="1:11" x14ac:dyDescent="0.45">
      <c r="A277" s="4" t="s">
        <v>383</v>
      </c>
      <c r="B277" s="4" t="s">
        <v>1608</v>
      </c>
      <c r="C277" s="4" t="s">
        <v>918</v>
      </c>
      <c r="D277" s="4" t="b">
        <f>FALSE()</f>
        <v>0</v>
      </c>
      <c r="E277" s="5">
        <v>30</v>
      </c>
      <c r="F277" s="7">
        <f t="shared" si="4"/>
        <v>0.11857707509881422</v>
      </c>
      <c r="G277" s="5">
        <v>0</v>
      </c>
      <c r="H277" s="26">
        <v>44936</v>
      </c>
      <c r="I277" s="26">
        <v>45049</v>
      </c>
      <c r="J277" s="4" t="s">
        <v>1614</v>
      </c>
      <c r="K277" s="4" t="s">
        <v>1884</v>
      </c>
    </row>
    <row r="278" spans="1:11" x14ac:dyDescent="0.45">
      <c r="A278" s="9" t="s">
        <v>385</v>
      </c>
      <c r="B278" s="9" t="s">
        <v>1608</v>
      </c>
      <c r="C278" s="9" t="s">
        <v>382</v>
      </c>
      <c r="D278" s="9" t="b">
        <f>TRUE()</f>
        <v>1</v>
      </c>
      <c r="E278" s="10">
        <v>12</v>
      </c>
      <c r="F278" s="12">
        <f t="shared" si="4"/>
        <v>0.5714285714285714</v>
      </c>
      <c r="G278" s="10">
        <v>0</v>
      </c>
      <c r="H278" s="27">
        <v>45058</v>
      </c>
      <c r="I278" s="27">
        <v>45169</v>
      </c>
      <c r="J278" s="9" t="s">
        <v>1609</v>
      </c>
      <c r="K278" s="9" t="s">
        <v>1885</v>
      </c>
    </row>
    <row r="279" spans="1:11" x14ac:dyDescent="0.45">
      <c r="A279" s="4" t="s">
        <v>385</v>
      </c>
      <c r="B279" s="4" t="s">
        <v>1608</v>
      </c>
      <c r="C279" s="4" t="s">
        <v>918</v>
      </c>
      <c r="D279" s="4" t="b">
        <f>FALSE()</f>
        <v>0</v>
      </c>
      <c r="E279" s="5">
        <v>9</v>
      </c>
      <c r="F279" s="7">
        <f t="shared" si="4"/>
        <v>0.42857142857142855</v>
      </c>
      <c r="G279" s="5">
        <v>0</v>
      </c>
      <c r="H279" s="26">
        <v>44959</v>
      </c>
      <c r="I279" s="26">
        <v>45041</v>
      </c>
      <c r="J279" s="4" t="s">
        <v>1614</v>
      </c>
      <c r="K279" s="4" t="s">
        <v>1886</v>
      </c>
    </row>
    <row r="280" spans="1:11" x14ac:dyDescent="0.45">
      <c r="A280" s="9" t="s">
        <v>395</v>
      </c>
      <c r="B280" s="9" t="s">
        <v>1887</v>
      </c>
      <c r="C280" s="9" t="s">
        <v>394</v>
      </c>
      <c r="D280" s="9" t="b">
        <f>TRUE()</f>
        <v>1</v>
      </c>
      <c r="E280" s="10">
        <v>946</v>
      </c>
      <c r="F280" s="12">
        <f t="shared" si="4"/>
        <v>0.99057591623036645</v>
      </c>
      <c r="G280" s="10">
        <v>263</v>
      </c>
      <c r="H280" s="27">
        <v>45034</v>
      </c>
      <c r="I280" s="27">
        <v>46293</v>
      </c>
      <c r="J280" s="9" t="s">
        <v>1609</v>
      </c>
      <c r="K280" s="9" t="s">
        <v>1888</v>
      </c>
    </row>
    <row r="281" spans="1:11" x14ac:dyDescent="0.45">
      <c r="A281" s="4" t="s">
        <v>395</v>
      </c>
      <c r="B281" s="4" t="s">
        <v>1887</v>
      </c>
      <c r="C281" s="4" t="s">
        <v>492</v>
      </c>
      <c r="D281" s="4" t="b">
        <f>FALSE()</f>
        <v>0</v>
      </c>
      <c r="E281" s="5">
        <v>9</v>
      </c>
      <c r="F281" s="7">
        <f t="shared" si="4"/>
        <v>9.4240837696335077E-3</v>
      </c>
      <c r="G281" s="5">
        <v>0</v>
      </c>
      <c r="H281" s="26">
        <v>45089</v>
      </c>
      <c r="I281" s="26">
        <v>45229</v>
      </c>
      <c r="J281" s="4" t="s">
        <v>1622</v>
      </c>
      <c r="K281" s="4" t="s">
        <v>1889</v>
      </c>
    </row>
    <row r="282" spans="1:11" x14ac:dyDescent="0.45">
      <c r="A282" s="9" t="s">
        <v>396</v>
      </c>
      <c r="B282" s="9" t="s">
        <v>1887</v>
      </c>
      <c r="C282" s="9" t="s">
        <v>394</v>
      </c>
      <c r="D282" s="9" t="b">
        <f>TRUE()</f>
        <v>1</v>
      </c>
      <c r="E282" s="10">
        <v>432</v>
      </c>
      <c r="F282" s="12">
        <f t="shared" si="4"/>
        <v>0.99769053117782913</v>
      </c>
      <c r="G282" s="10">
        <v>126</v>
      </c>
      <c r="H282" s="27">
        <v>45051</v>
      </c>
      <c r="I282" s="27">
        <v>46296</v>
      </c>
      <c r="J282" s="9" t="s">
        <v>1609</v>
      </c>
      <c r="K282" s="9" t="s">
        <v>1843</v>
      </c>
    </row>
    <row r="283" spans="1:11" x14ac:dyDescent="0.45">
      <c r="A283" s="4" t="s">
        <v>396</v>
      </c>
      <c r="B283" s="4" t="s">
        <v>1887</v>
      </c>
      <c r="C283" s="4" t="s">
        <v>492</v>
      </c>
      <c r="D283" s="4" t="b">
        <f>FALSE()</f>
        <v>0</v>
      </c>
      <c r="E283" s="5">
        <v>1</v>
      </c>
      <c r="F283" s="7">
        <f t="shared" si="4"/>
        <v>2.3094688221709007E-3</v>
      </c>
      <c r="G283" s="5">
        <v>0</v>
      </c>
      <c r="H283" s="26">
        <v>45217</v>
      </c>
      <c r="I283" s="26">
        <v>45217</v>
      </c>
      <c r="J283" s="4" t="s">
        <v>1622</v>
      </c>
      <c r="K283" s="4" t="s">
        <v>1890</v>
      </c>
    </row>
    <row r="284" spans="1:11" x14ac:dyDescent="0.45">
      <c r="A284" s="9" t="s">
        <v>398</v>
      </c>
      <c r="B284" s="9" t="s">
        <v>1608</v>
      </c>
      <c r="C284" s="9" t="s">
        <v>394</v>
      </c>
      <c r="D284" s="9" t="b">
        <f>TRUE()</f>
        <v>1</v>
      </c>
      <c r="E284" s="10">
        <v>266</v>
      </c>
      <c r="F284" s="12">
        <f t="shared" si="4"/>
        <v>0.91724137931034477</v>
      </c>
      <c r="G284" s="10">
        <v>0</v>
      </c>
      <c r="H284" s="27">
        <v>45021</v>
      </c>
      <c r="I284" s="27">
        <v>45630</v>
      </c>
      <c r="J284" s="9" t="s">
        <v>1609</v>
      </c>
      <c r="K284" s="9" t="s">
        <v>1891</v>
      </c>
    </row>
    <row r="285" spans="1:11" x14ac:dyDescent="0.45">
      <c r="A285" s="4" t="s">
        <v>398</v>
      </c>
      <c r="B285" s="4" t="s">
        <v>1608</v>
      </c>
      <c r="C285" s="4" t="s">
        <v>1892</v>
      </c>
      <c r="D285" s="4" t="b">
        <f>FALSE()</f>
        <v>0</v>
      </c>
      <c r="E285" s="5">
        <v>24</v>
      </c>
      <c r="F285" s="7">
        <f t="shared" si="4"/>
        <v>8.2758620689655171E-2</v>
      </c>
      <c r="G285" s="5">
        <v>0</v>
      </c>
      <c r="H285" s="26">
        <v>44932</v>
      </c>
      <c r="I285" s="26">
        <v>45050</v>
      </c>
      <c r="J285" s="4" t="s">
        <v>1614</v>
      </c>
      <c r="K285" s="4" t="s">
        <v>1893</v>
      </c>
    </row>
    <row r="286" spans="1:11" x14ac:dyDescent="0.45">
      <c r="A286" s="9" t="s">
        <v>400</v>
      </c>
      <c r="B286" s="9" t="s">
        <v>1608</v>
      </c>
      <c r="C286" s="9" t="s">
        <v>394</v>
      </c>
      <c r="D286" s="9" t="b">
        <f>TRUE()</f>
        <v>1</v>
      </c>
      <c r="E286" s="10">
        <v>216</v>
      </c>
      <c r="F286" s="12">
        <f t="shared" si="4"/>
        <v>0.9642857142857143</v>
      </c>
      <c r="G286" s="10">
        <v>0</v>
      </c>
      <c r="H286" s="27">
        <v>44970</v>
      </c>
      <c r="I286" s="27">
        <v>45631</v>
      </c>
      <c r="J286" s="9" t="s">
        <v>1609</v>
      </c>
      <c r="K286" s="9" t="s">
        <v>1894</v>
      </c>
    </row>
    <row r="287" spans="1:11" x14ac:dyDescent="0.45">
      <c r="A287" s="4" t="s">
        <v>400</v>
      </c>
      <c r="B287" s="4" t="s">
        <v>1608</v>
      </c>
      <c r="C287" s="4" t="s">
        <v>1892</v>
      </c>
      <c r="D287" s="4" t="b">
        <f>FALSE()</f>
        <v>0</v>
      </c>
      <c r="E287" s="5">
        <v>8</v>
      </c>
      <c r="F287" s="7">
        <f t="shared" si="4"/>
        <v>3.5714285714285712E-2</v>
      </c>
      <c r="G287" s="5">
        <v>0</v>
      </c>
      <c r="H287" s="26">
        <v>44936</v>
      </c>
      <c r="I287" s="26">
        <v>45045</v>
      </c>
      <c r="J287" s="4" t="s">
        <v>1614</v>
      </c>
      <c r="K287" s="4" t="s">
        <v>1895</v>
      </c>
    </row>
    <row r="288" spans="1:11" x14ac:dyDescent="0.45">
      <c r="A288" s="9" t="s">
        <v>405</v>
      </c>
      <c r="B288" s="9" t="s">
        <v>1608</v>
      </c>
      <c r="C288" s="9" t="s">
        <v>394</v>
      </c>
      <c r="D288" s="9" t="b">
        <f>TRUE()</f>
        <v>1</v>
      </c>
      <c r="E288" s="10">
        <v>129</v>
      </c>
      <c r="F288" s="12">
        <f t="shared" si="4"/>
        <v>0.93478260869565222</v>
      </c>
      <c r="G288" s="10">
        <v>0</v>
      </c>
      <c r="H288" s="27">
        <v>45056</v>
      </c>
      <c r="I288" s="27">
        <v>45635</v>
      </c>
      <c r="J288" s="9" t="s">
        <v>1609</v>
      </c>
      <c r="K288" s="9" t="s">
        <v>1896</v>
      </c>
    </row>
    <row r="289" spans="1:11" x14ac:dyDescent="0.45">
      <c r="A289" s="4" t="s">
        <v>405</v>
      </c>
      <c r="B289" s="4" t="s">
        <v>1608</v>
      </c>
      <c r="C289" s="4" t="s">
        <v>1892</v>
      </c>
      <c r="D289" s="4" t="b">
        <f>FALSE()</f>
        <v>0</v>
      </c>
      <c r="E289" s="5">
        <v>9</v>
      </c>
      <c r="F289" s="7">
        <f t="shared" si="4"/>
        <v>6.5217391304347824E-2</v>
      </c>
      <c r="G289" s="5">
        <v>0</v>
      </c>
      <c r="H289" s="26">
        <v>44944</v>
      </c>
      <c r="I289" s="26">
        <v>45049</v>
      </c>
      <c r="J289" s="4" t="s">
        <v>1614</v>
      </c>
      <c r="K289" s="4" t="s">
        <v>1897</v>
      </c>
    </row>
    <row r="290" spans="1:11" x14ac:dyDescent="0.45">
      <c r="A290" s="9" t="s">
        <v>412</v>
      </c>
      <c r="B290" s="9" t="s">
        <v>1608</v>
      </c>
      <c r="C290" s="9" t="s">
        <v>394</v>
      </c>
      <c r="D290" s="9" t="b">
        <f>TRUE()</f>
        <v>1</v>
      </c>
      <c r="E290" s="10">
        <v>36</v>
      </c>
      <c r="F290" s="12">
        <f t="shared" si="4"/>
        <v>0.97297297297297303</v>
      </c>
      <c r="G290" s="10">
        <v>0</v>
      </c>
      <c r="H290" s="27">
        <v>45076</v>
      </c>
      <c r="I290" s="27">
        <v>45637</v>
      </c>
      <c r="J290" s="9" t="s">
        <v>1609</v>
      </c>
      <c r="K290" s="9" t="s">
        <v>1898</v>
      </c>
    </row>
    <row r="291" spans="1:11" x14ac:dyDescent="0.45">
      <c r="A291" s="4" t="s">
        <v>412</v>
      </c>
      <c r="B291" s="4" t="s">
        <v>1608</v>
      </c>
      <c r="C291" s="4" t="s">
        <v>1892</v>
      </c>
      <c r="D291" s="4" t="b">
        <f>FALSE()</f>
        <v>0</v>
      </c>
      <c r="E291" s="5">
        <v>1</v>
      </c>
      <c r="F291" s="7">
        <f t="shared" si="4"/>
        <v>2.7027027027027029E-2</v>
      </c>
      <c r="G291" s="5">
        <v>0</v>
      </c>
      <c r="H291" s="26">
        <v>44935</v>
      </c>
      <c r="I291" s="26">
        <v>44935</v>
      </c>
      <c r="J291" s="4" t="s">
        <v>1614</v>
      </c>
      <c r="K291" s="4" t="s">
        <v>1899</v>
      </c>
    </row>
    <row r="292" spans="1:11" x14ac:dyDescent="0.45">
      <c r="A292" s="9" t="s">
        <v>416</v>
      </c>
      <c r="B292" s="9" t="s">
        <v>1608</v>
      </c>
      <c r="C292" s="9" t="s">
        <v>394</v>
      </c>
      <c r="D292" s="9" t="b">
        <f>TRUE()</f>
        <v>1</v>
      </c>
      <c r="E292" s="10">
        <v>13</v>
      </c>
      <c r="F292" s="12">
        <f t="shared" si="4"/>
        <v>0.8125</v>
      </c>
      <c r="G292" s="10">
        <v>0</v>
      </c>
      <c r="H292" s="27">
        <v>45097</v>
      </c>
      <c r="I292" s="27">
        <v>45425</v>
      </c>
      <c r="J292" s="9" t="s">
        <v>1609</v>
      </c>
      <c r="K292" s="9" t="s">
        <v>1900</v>
      </c>
    </row>
    <row r="293" spans="1:11" x14ac:dyDescent="0.45">
      <c r="A293" s="4" t="s">
        <v>416</v>
      </c>
      <c r="B293" s="4" t="s">
        <v>1608</v>
      </c>
      <c r="C293" s="4" t="s">
        <v>1892</v>
      </c>
      <c r="D293" s="4" t="b">
        <f>FALSE()</f>
        <v>0</v>
      </c>
      <c r="E293" s="5">
        <v>3</v>
      </c>
      <c r="F293" s="7">
        <f t="shared" si="4"/>
        <v>0.1875</v>
      </c>
      <c r="G293" s="5">
        <v>0</v>
      </c>
      <c r="H293" s="26">
        <v>44930</v>
      </c>
      <c r="I293" s="26">
        <v>45022</v>
      </c>
      <c r="J293" s="4" t="s">
        <v>1614</v>
      </c>
      <c r="K293" s="4" t="s">
        <v>1901</v>
      </c>
    </row>
    <row r="294" spans="1:11" x14ac:dyDescent="0.45">
      <c r="A294" s="9" t="s">
        <v>421</v>
      </c>
      <c r="B294" s="9" t="s">
        <v>1608</v>
      </c>
      <c r="C294" s="9" t="s">
        <v>422</v>
      </c>
      <c r="D294" s="9" t="b">
        <f>TRUE()</f>
        <v>1</v>
      </c>
      <c r="E294" s="10">
        <v>1873</v>
      </c>
      <c r="F294" s="12">
        <f t="shared" si="4"/>
        <v>0.93369890329012961</v>
      </c>
      <c r="G294" s="10">
        <v>442</v>
      </c>
      <c r="H294" s="27">
        <v>44952</v>
      </c>
      <c r="I294" s="27">
        <v>46296</v>
      </c>
      <c r="J294" s="9" t="s">
        <v>1609</v>
      </c>
      <c r="K294" s="9" t="s">
        <v>1902</v>
      </c>
    </row>
    <row r="295" spans="1:11" x14ac:dyDescent="0.45">
      <c r="A295" s="4" t="s">
        <v>421</v>
      </c>
      <c r="B295" s="4" t="s">
        <v>1608</v>
      </c>
      <c r="C295" s="4" t="s">
        <v>1903</v>
      </c>
      <c r="D295" s="4" t="b">
        <f>FALSE()</f>
        <v>0</v>
      </c>
      <c r="E295" s="5">
        <v>133</v>
      </c>
      <c r="F295" s="7">
        <f t="shared" si="4"/>
        <v>6.6301096709870389E-2</v>
      </c>
      <c r="G295" s="5">
        <v>0</v>
      </c>
      <c r="H295" s="26">
        <v>44930</v>
      </c>
      <c r="I295" s="26">
        <v>45054</v>
      </c>
      <c r="J295" s="4" t="s">
        <v>1611</v>
      </c>
      <c r="K295" s="4" t="s">
        <v>1904</v>
      </c>
    </row>
    <row r="296" spans="1:11" x14ac:dyDescent="0.45">
      <c r="A296" s="9" t="s">
        <v>424</v>
      </c>
      <c r="B296" s="9" t="s">
        <v>1608</v>
      </c>
      <c r="C296" s="9" t="s">
        <v>422</v>
      </c>
      <c r="D296" s="9" t="b">
        <f>TRUE()</f>
        <v>1</v>
      </c>
      <c r="E296" s="10">
        <v>508</v>
      </c>
      <c r="F296" s="12">
        <f t="shared" si="4"/>
        <v>0.90876565295169942</v>
      </c>
      <c r="G296" s="10">
        <v>84</v>
      </c>
      <c r="H296" s="27">
        <v>44947</v>
      </c>
      <c r="I296" s="27">
        <v>46296</v>
      </c>
      <c r="J296" s="9" t="s">
        <v>1609</v>
      </c>
      <c r="K296" s="9" t="s">
        <v>1710</v>
      </c>
    </row>
    <row r="297" spans="1:11" x14ac:dyDescent="0.45">
      <c r="A297" s="4" t="s">
        <v>424</v>
      </c>
      <c r="B297" s="4" t="s">
        <v>1608</v>
      </c>
      <c r="C297" s="4" t="s">
        <v>1903</v>
      </c>
      <c r="D297" s="4" t="b">
        <f>FALSE()</f>
        <v>0</v>
      </c>
      <c r="E297" s="5">
        <v>51</v>
      </c>
      <c r="F297" s="7">
        <f t="shared" si="4"/>
        <v>9.1234347048300538E-2</v>
      </c>
      <c r="G297" s="5">
        <v>0</v>
      </c>
      <c r="H297" s="26">
        <v>44930</v>
      </c>
      <c r="I297" s="26">
        <v>45050</v>
      </c>
      <c r="J297" s="4" t="s">
        <v>1611</v>
      </c>
      <c r="K297" s="4" t="s">
        <v>1905</v>
      </c>
    </row>
    <row r="298" spans="1:11" x14ac:dyDescent="0.45">
      <c r="A298" s="9" t="s">
        <v>425</v>
      </c>
      <c r="B298" s="9" t="s">
        <v>1608</v>
      </c>
      <c r="C298" s="9" t="s">
        <v>422</v>
      </c>
      <c r="D298" s="9" t="b">
        <f>TRUE()</f>
        <v>1</v>
      </c>
      <c r="E298" s="10">
        <v>430</v>
      </c>
      <c r="F298" s="12">
        <f t="shared" si="4"/>
        <v>0.89211618257261416</v>
      </c>
      <c r="G298" s="10">
        <v>76</v>
      </c>
      <c r="H298" s="27">
        <v>45051</v>
      </c>
      <c r="I298" s="27">
        <v>46294</v>
      </c>
      <c r="J298" s="9" t="s">
        <v>1609</v>
      </c>
      <c r="K298" s="9" t="s">
        <v>1839</v>
      </c>
    </row>
    <row r="299" spans="1:11" x14ac:dyDescent="0.45">
      <c r="A299" s="4" t="s">
        <v>425</v>
      </c>
      <c r="B299" s="4" t="s">
        <v>1608</v>
      </c>
      <c r="C299" s="4" t="s">
        <v>1903</v>
      </c>
      <c r="D299" s="4" t="b">
        <f>FALSE()</f>
        <v>0</v>
      </c>
      <c r="E299" s="5">
        <v>52</v>
      </c>
      <c r="F299" s="7">
        <f t="shared" si="4"/>
        <v>0.1078838174273859</v>
      </c>
      <c r="G299" s="5">
        <v>0</v>
      </c>
      <c r="H299" s="26">
        <v>44936</v>
      </c>
      <c r="I299" s="26">
        <v>45048</v>
      </c>
      <c r="J299" s="4" t="s">
        <v>1611</v>
      </c>
      <c r="K299" s="4" t="s">
        <v>1906</v>
      </c>
    </row>
    <row r="300" spans="1:11" x14ac:dyDescent="0.45">
      <c r="A300" s="9" t="s">
        <v>426</v>
      </c>
      <c r="B300" s="9" t="s">
        <v>1608</v>
      </c>
      <c r="C300" s="9" t="s">
        <v>422</v>
      </c>
      <c r="D300" s="9" t="b">
        <f>TRUE()</f>
        <v>1</v>
      </c>
      <c r="E300" s="10">
        <v>81</v>
      </c>
      <c r="F300" s="12">
        <f t="shared" si="4"/>
        <v>0.92045454545454541</v>
      </c>
      <c r="G300" s="10">
        <v>13</v>
      </c>
      <c r="H300" s="27">
        <v>45055</v>
      </c>
      <c r="I300" s="27">
        <v>46233</v>
      </c>
      <c r="J300" s="9" t="s">
        <v>1609</v>
      </c>
      <c r="K300" s="9" t="s">
        <v>1907</v>
      </c>
    </row>
    <row r="301" spans="1:11" x14ac:dyDescent="0.45">
      <c r="A301" s="4" t="s">
        <v>426</v>
      </c>
      <c r="B301" s="4" t="s">
        <v>1608</v>
      </c>
      <c r="C301" s="4" t="s">
        <v>1903</v>
      </c>
      <c r="D301" s="4" t="b">
        <f>FALSE()</f>
        <v>0</v>
      </c>
      <c r="E301" s="5">
        <v>7</v>
      </c>
      <c r="F301" s="7">
        <f t="shared" si="4"/>
        <v>7.9545454545454544E-2</v>
      </c>
      <c r="G301" s="5">
        <v>0</v>
      </c>
      <c r="H301" s="26">
        <v>44931</v>
      </c>
      <c r="I301" s="26">
        <v>45048</v>
      </c>
      <c r="J301" s="4" t="s">
        <v>1611</v>
      </c>
      <c r="K301" s="4" t="s">
        <v>1908</v>
      </c>
    </row>
    <row r="302" spans="1:11" x14ac:dyDescent="0.45">
      <c r="A302" s="9" t="s">
        <v>427</v>
      </c>
      <c r="B302" s="9" t="s">
        <v>1608</v>
      </c>
      <c r="C302" s="9" t="s">
        <v>422</v>
      </c>
      <c r="D302" s="9" t="b">
        <f>TRUE()</f>
        <v>1</v>
      </c>
      <c r="E302" s="10">
        <v>53</v>
      </c>
      <c r="F302" s="12">
        <f t="shared" si="4"/>
        <v>0.8833333333333333</v>
      </c>
      <c r="G302" s="10">
        <v>13</v>
      </c>
      <c r="H302" s="27">
        <v>45061</v>
      </c>
      <c r="I302" s="27">
        <v>46258</v>
      </c>
      <c r="J302" s="9" t="s">
        <v>1609</v>
      </c>
      <c r="K302" s="9" t="s">
        <v>1909</v>
      </c>
    </row>
    <row r="303" spans="1:11" x14ac:dyDescent="0.45">
      <c r="A303" s="4" t="s">
        <v>427</v>
      </c>
      <c r="B303" s="4" t="s">
        <v>1608</v>
      </c>
      <c r="C303" s="4" t="s">
        <v>1903</v>
      </c>
      <c r="D303" s="4" t="b">
        <f>FALSE()</f>
        <v>0</v>
      </c>
      <c r="E303" s="5">
        <v>7</v>
      </c>
      <c r="F303" s="7">
        <f t="shared" si="4"/>
        <v>0.11666666666666667</v>
      </c>
      <c r="G303" s="5">
        <v>0</v>
      </c>
      <c r="H303" s="26">
        <v>44978</v>
      </c>
      <c r="I303" s="26">
        <v>45036</v>
      </c>
      <c r="J303" s="4" t="s">
        <v>1611</v>
      </c>
      <c r="K303" s="4" t="s">
        <v>1910</v>
      </c>
    </row>
    <row r="304" spans="1:11" x14ac:dyDescent="0.45">
      <c r="A304" s="9" t="s">
        <v>430</v>
      </c>
      <c r="B304" s="9" t="s">
        <v>1608</v>
      </c>
      <c r="C304" s="9" t="s">
        <v>429</v>
      </c>
      <c r="D304" s="9" t="b">
        <f>TRUE()</f>
        <v>1</v>
      </c>
      <c r="E304" s="10">
        <v>199</v>
      </c>
      <c r="F304" s="12">
        <f t="shared" si="4"/>
        <v>0.75378787878787878</v>
      </c>
      <c r="G304" s="10">
        <v>0</v>
      </c>
      <c r="H304" s="27">
        <v>45036</v>
      </c>
      <c r="I304" s="27">
        <v>45250</v>
      </c>
      <c r="J304" s="9" t="s">
        <v>1609</v>
      </c>
      <c r="K304" s="9" t="s">
        <v>1911</v>
      </c>
    </row>
    <row r="305" spans="1:11" x14ac:dyDescent="0.45">
      <c r="A305" s="4" t="s">
        <v>430</v>
      </c>
      <c r="B305" s="4" t="s">
        <v>1608</v>
      </c>
      <c r="C305" s="4" t="s">
        <v>924</v>
      </c>
      <c r="D305" s="4" t="b">
        <f>FALSE()</f>
        <v>0</v>
      </c>
      <c r="E305" s="5">
        <v>65</v>
      </c>
      <c r="F305" s="7">
        <f t="shared" si="4"/>
        <v>0.24621212121212122</v>
      </c>
      <c r="G305" s="5">
        <v>0</v>
      </c>
      <c r="H305" s="26">
        <v>44929</v>
      </c>
      <c r="I305" s="26">
        <v>45055</v>
      </c>
      <c r="J305" s="4" t="s">
        <v>1614</v>
      </c>
      <c r="K305" s="4" t="s">
        <v>1912</v>
      </c>
    </row>
    <row r="306" spans="1:11" x14ac:dyDescent="0.45">
      <c r="A306" s="9" t="s">
        <v>437</v>
      </c>
      <c r="B306" s="9" t="s">
        <v>1608</v>
      </c>
      <c r="C306" s="9" t="s">
        <v>436</v>
      </c>
      <c r="D306" s="9" t="b">
        <f>TRUE()</f>
        <v>1</v>
      </c>
      <c r="E306" s="10">
        <v>43</v>
      </c>
      <c r="F306" s="12">
        <f t="shared" si="4"/>
        <v>0.86</v>
      </c>
      <c r="G306" s="10">
        <v>0</v>
      </c>
      <c r="H306" s="27">
        <v>45013</v>
      </c>
      <c r="I306" s="27">
        <v>45715</v>
      </c>
      <c r="J306" s="9" t="s">
        <v>1609</v>
      </c>
      <c r="K306" s="9" t="s">
        <v>1913</v>
      </c>
    </row>
    <row r="307" spans="1:11" x14ac:dyDescent="0.45">
      <c r="A307" s="4" t="s">
        <v>437</v>
      </c>
      <c r="B307" s="4" t="s">
        <v>1608</v>
      </c>
      <c r="C307" s="4" t="s">
        <v>1914</v>
      </c>
      <c r="D307" s="4" t="b">
        <f>FALSE()</f>
        <v>0</v>
      </c>
      <c r="E307" s="5">
        <v>7</v>
      </c>
      <c r="F307" s="7">
        <f t="shared" si="4"/>
        <v>0.14000000000000001</v>
      </c>
      <c r="G307" s="5">
        <v>0</v>
      </c>
      <c r="H307" s="26">
        <v>44951</v>
      </c>
      <c r="I307" s="26">
        <v>45031</v>
      </c>
      <c r="J307" s="4" t="s">
        <v>1611</v>
      </c>
      <c r="K307" s="4" t="s">
        <v>1915</v>
      </c>
    </row>
    <row r="308" spans="1:11" x14ac:dyDescent="0.45">
      <c r="A308" s="9" t="s">
        <v>438</v>
      </c>
      <c r="B308" s="9" t="s">
        <v>1608</v>
      </c>
      <c r="C308" s="9" t="s">
        <v>436</v>
      </c>
      <c r="D308" s="9" t="b">
        <f>TRUE()</f>
        <v>1</v>
      </c>
      <c r="E308" s="10">
        <v>32</v>
      </c>
      <c r="F308" s="12">
        <f t="shared" si="4"/>
        <v>0.86486486486486491</v>
      </c>
      <c r="G308" s="10">
        <v>0</v>
      </c>
      <c r="H308" s="27">
        <v>45055</v>
      </c>
      <c r="I308" s="27">
        <v>45715</v>
      </c>
      <c r="J308" s="9" t="s">
        <v>1609</v>
      </c>
      <c r="K308" s="9" t="s">
        <v>1916</v>
      </c>
    </row>
    <row r="309" spans="1:11" x14ac:dyDescent="0.45">
      <c r="A309" s="4" t="s">
        <v>438</v>
      </c>
      <c r="B309" s="4" t="s">
        <v>1608</v>
      </c>
      <c r="C309" s="4" t="s">
        <v>1914</v>
      </c>
      <c r="D309" s="4" t="b">
        <f>FALSE()</f>
        <v>0</v>
      </c>
      <c r="E309" s="5">
        <v>5</v>
      </c>
      <c r="F309" s="7">
        <f t="shared" si="4"/>
        <v>0.13513513513513514</v>
      </c>
      <c r="G309" s="5">
        <v>0</v>
      </c>
      <c r="H309" s="26">
        <v>44978</v>
      </c>
      <c r="I309" s="26">
        <v>45041</v>
      </c>
      <c r="J309" s="4" t="s">
        <v>1611</v>
      </c>
      <c r="K309" s="4" t="s">
        <v>1917</v>
      </c>
    </row>
    <row r="310" spans="1:11" x14ac:dyDescent="0.45">
      <c r="A310" s="9" t="s">
        <v>440</v>
      </c>
      <c r="B310" s="9" t="s">
        <v>1608</v>
      </c>
      <c r="C310" s="9" t="s">
        <v>436</v>
      </c>
      <c r="D310" s="9" t="b">
        <f>TRUE()</f>
        <v>1</v>
      </c>
      <c r="E310" s="10">
        <v>16</v>
      </c>
      <c r="F310" s="12">
        <f t="shared" si="4"/>
        <v>0.55172413793103448</v>
      </c>
      <c r="G310" s="10">
        <v>0</v>
      </c>
      <c r="H310" s="27">
        <v>45002</v>
      </c>
      <c r="I310" s="27">
        <v>45178</v>
      </c>
      <c r="J310" s="9" t="s">
        <v>1609</v>
      </c>
      <c r="K310" s="9" t="s">
        <v>1918</v>
      </c>
    </row>
    <row r="311" spans="1:11" x14ac:dyDescent="0.45">
      <c r="A311" s="4" t="s">
        <v>440</v>
      </c>
      <c r="B311" s="4" t="s">
        <v>1608</v>
      </c>
      <c r="C311" s="4" t="s">
        <v>1914</v>
      </c>
      <c r="D311" s="4" t="b">
        <f>FALSE()</f>
        <v>0</v>
      </c>
      <c r="E311" s="5">
        <v>13</v>
      </c>
      <c r="F311" s="7">
        <f t="shared" si="4"/>
        <v>0.44827586206896552</v>
      </c>
      <c r="G311" s="5">
        <v>0</v>
      </c>
      <c r="H311" s="26">
        <v>44937</v>
      </c>
      <c r="I311" s="26">
        <v>45008</v>
      </c>
      <c r="J311" s="4" t="s">
        <v>1611</v>
      </c>
      <c r="K311" s="4" t="s">
        <v>1919</v>
      </c>
    </row>
    <row r="312" spans="1:11" x14ac:dyDescent="0.45">
      <c r="A312" s="9" t="s">
        <v>442</v>
      </c>
      <c r="B312" s="9" t="s">
        <v>1608</v>
      </c>
      <c r="C312" s="9" t="s">
        <v>436</v>
      </c>
      <c r="D312" s="9" t="b">
        <f>TRUE()</f>
        <v>1</v>
      </c>
      <c r="E312" s="10">
        <v>5</v>
      </c>
      <c r="F312" s="12">
        <f t="shared" si="4"/>
        <v>0.7142857142857143</v>
      </c>
      <c r="G312" s="10">
        <v>0</v>
      </c>
      <c r="H312" s="27">
        <v>45132</v>
      </c>
      <c r="I312" s="27">
        <v>45442</v>
      </c>
      <c r="J312" s="9" t="s">
        <v>1609</v>
      </c>
      <c r="K312" s="9" t="s">
        <v>1920</v>
      </c>
    </row>
    <row r="313" spans="1:11" x14ac:dyDescent="0.45">
      <c r="A313" s="4" t="s">
        <v>442</v>
      </c>
      <c r="B313" s="4" t="s">
        <v>1608</v>
      </c>
      <c r="C313" s="4" t="s">
        <v>1914</v>
      </c>
      <c r="D313" s="4" t="b">
        <f>FALSE()</f>
        <v>0</v>
      </c>
      <c r="E313" s="5">
        <v>2</v>
      </c>
      <c r="F313" s="7">
        <f t="shared" si="4"/>
        <v>0.2857142857142857</v>
      </c>
      <c r="G313" s="5">
        <v>0</v>
      </c>
      <c r="H313" s="26">
        <v>44939</v>
      </c>
      <c r="I313" s="26">
        <v>45047</v>
      </c>
      <c r="J313" s="4" t="s">
        <v>1611</v>
      </c>
      <c r="K313" s="4" t="s">
        <v>1921</v>
      </c>
    </row>
    <row r="314" spans="1:11" x14ac:dyDescent="0.45">
      <c r="A314" s="9" t="s">
        <v>443</v>
      </c>
      <c r="B314" s="9" t="s">
        <v>1608</v>
      </c>
      <c r="C314" s="9" t="s">
        <v>444</v>
      </c>
      <c r="D314" s="9" t="b">
        <f>TRUE()</f>
        <v>1</v>
      </c>
      <c r="E314" s="10">
        <v>18</v>
      </c>
      <c r="F314" s="12">
        <f t="shared" si="4"/>
        <v>0.72</v>
      </c>
      <c r="G314" s="10">
        <v>0</v>
      </c>
      <c r="H314" s="27">
        <v>44936</v>
      </c>
      <c r="I314" s="27">
        <v>45691</v>
      </c>
      <c r="J314" s="9" t="s">
        <v>1609</v>
      </c>
      <c r="K314" s="9" t="s">
        <v>1922</v>
      </c>
    </row>
    <row r="315" spans="1:11" x14ac:dyDescent="0.45">
      <c r="A315" s="4" t="s">
        <v>443</v>
      </c>
      <c r="B315" s="4" t="s">
        <v>1608</v>
      </c>
      <c r="C315" s="4" t="s">
        <v>1923</v>
      </c>
      <c r="D315" s="4" t="b">
        <f>FALSE()</f>
        <v>0</v>
      </c>
      <c r="E315" s="5">
        <v>7</v>
      </c>
      <c r="F315" s="7">
        <f t="shared" si="4"/>
        <v>0.28000000000000003</v>
      </c>
      <c r="G315" s="5">
        <v>0</v>
      </c>
      <c r="H315" s="26">
        <v>44991</v>
      </c>
      <c r="I315" s="26">
        <v>45041</v>
      </c>
      <c r="J315" s="4" t="s">
        <v>1611</v>
      </c>
      <c r="K315" s="4" t="s">
        <v>1924</v>
      </c>
    </row>
    <row r="316" spans="1:11" x14ac:dyDescent="0.45">
      <c r="A316" s="9" t="s">
        <v>445</v>
      </c>
      <c r="B316" s="9" t="s">
        <v>1608</v>
      </c>
      <c r="C316" s="9" t="s">
        <v>446</v>
      </c>
      <c r="D316" s="9" t="b">
        <f>TRUE()</f>
        <v>1</v>
      </c>
      <c r="E316" s="10">
        <v>3976</v>
      </c>
      <c r="F316" s="12">
        <f t="shared" si="4"/>
        <v>0.90036231884057971</v>
      </c>
      <c r="G316" s="10">
        <v>607</v>
      </c>
      <c r="H316" s="27">
        <v>44971</v>
      </c>
      <c r="I316" s="27">
        <v>46202</v>
      </c>
      <c r="J316" s="9" t="s">
        <v>1609</v>
      </c>
      <c r="K316" s="9" t="s">
        <v>1925</v>
      </c>
    </row>
    <row r="317" spans="1:11" x14ac:dyDescent="0.45">
      <c r="A317" s="4" t="s">
        <v>445</v>
      </c>
      <c r="B317" s="4" t="s">
        <v>1608</v>
      </c>
      <c r="C317" s="4" t="s">
        <v>1926</v>
      </c>
      <c r="D317" s="4" t="b">
        <f>FALSE()</f>
        <v>0</v>
      </c>
      <c r="E317" s="5">
        <v>440</v>
      </c>
      <c r="F317" s="7">
        <f t="shared" si="4"/>
        <v>9.9637681159420288E-2</v>
      </c>
      <c r="G317" s="5">
        <v>0</v>
      </c>
      <c r="H317" s="26">
        <v>44928</v>
      </c>
      <c r="I317" s="26">
        <v>45055</v>
      </c>
      <c r="J317" s="4" t="s">
        <v>1611</v>
      </c>
      <c r="K317" s="4" t="s">
        <v>1927</v>
      </c>
    </row>
    <row r="318" spans="1:11" x14ac:dyDescent="0.45">
      <c r="A318" s="9" t="s">
        <v>448</v>
      </c>
      <c r="B318" s="9" t="s">
        <v>1608</v>
      </c>
      <c r="C318" s="9" t="s">
        <v>446</v>
      </c>
      <c r="D318" s="9" t="b">
        <f>TRUE()</f>
        <v>1</v>
      </c>
      <c r="E318" s="10">
        <v>71</v>
      </c>
      <c r="F318" s="12">
        <f t="shared" si="4"/>
        <v>0.95945945945945943</v>
      </c>
      <c r="G318" s="10">
        <v>8</v>
      </c>
      <c r="H318" s="27">
        <v>44931</v>
      </c>
      <c r="I318" s="27">
        <v>46253</v>
      </c>
      <c r="J318" s="9" t="s">
        <v>1609</v>
      </c>
      <c r="K318" s="9" t="s">
        <v>1928</v>
      </c>
    </row>
    <row r="319" spans="1:11" x14ac:dyDescent="0.45">
      <c r="A319" s="4" t="s">
        <v>448</v>
      </c>
      <c r="B319" s="4" t="s">
        <v>1608</v>
      </c>
      <c r="C319" s="4" t="s">
        <v>1926</v>
      </c>
      <c r="D319" s="4" t="b">
        <f>FALSE()</f>
        <v>0</v>
      </c>
      <c r="E319" s="5">
        <v>3</v>
      </c>
      <c r="F319" s="7">
        <f t="shared" si="4"/>
        <v>4.0540540540540543E-2</v>
      </c>
      <c r="G319" s="5">
        <v>0</v>
      </c>
      <c r="H319" s="26">
        <v>44972</v>
      </c>
      <c r="I319" s="26">
        <v>45012</v>
      </c>
      <c r="J319" s="4" t="s">
        <v>1611</v>
      </c>
      <c r="K319" s="4" t="s">
        <v>1929</v>
      </c>
    </row>
    <row r="320" spans="1:11" x14ac:dyDescent="0.45">
      <c r="A320" s="9" t="s">
        <v>449</v>
      </c>
      <c r="B320" s="9" t="s">
        <v>1608</v>
      </c>
      <c r="C320" s="9" t="s">
        <v>450</v>
      </c>
      <c r="D320" s="9" t="b">
        <f>TRUE()</f>
        <v>1</v>
      </c>
      <c r="E320" s="10">
        <v>17596</v>
      </c>
      <c r="F320" s="12">
        <f t="shared" si="4"/>
        <v>0.97668738898756657</v>
      </c>
      <c r="G320" s="10">
        <v>2600</v>
      </c>
      <c r="H320" s="27">
        <v>44928</v>
      </c>
      <c r="I320" s="27">
        <v>46296</v>
      </c>
      <c r="J320" s="9" t="s">
        <v>1609</v>
      </c>
      <c r="K320" s="9" t="s">
        <v>1689</v>
      </c>
    </row>
    <row r="321" spans="1:11" x14ac:dyDescent="0.45">
      <c r="A321" s="4" t="s">
        <v>449</v>
      </c>
      <c r="B321" s="4" t="s">
        <v>1608</v>
      </c>
      <c r="C321" s="4" t="s">
        <v>1930</v>
      </c>
      <c r="D321" s="4" t="b">
        <f>FALSE()</f>
        <v>0</v>
      </c>
      <c r="E321" s="5">
        <v>420</v>
      </c>
      <c r="F321" s="7">
        <f t="shared" si="4"/>
        <v>2.3312611012433392E-2</v>
      </c>
      <c r="G321" s="5">
        <v>0</v>
      </c>
      <c r="H321" s="26">
        <v>44928</v>
      </c>
      <c r="I321" s="26">
        <v>45051</v>
      </c>
      <c r="J321" s="4" t="s">
        <v>1611</v>
      </c>
      <c r="K321" s="4" t="s">
        <v>1931</v>
      </c>
    </row>
    <row r="322" spans="1:11" x14ac:dyDescent="0.45">
      <c r="A322" s="9" t="s">
        <v>451</v>
      </c>
      <c r="B322" s="9" t="s">
        <v>1608</v>
      </c>
      <c r="C322" s="9" t="s">
        <v>450</v>
      </c>
      <c r="D322" s="9" t="b">
        <f>TRUE()</f>
        <v>1</v>
      </c>
      <c r="E322" s="10">
        <v>13492</v>
      </c>
      <c r="F322" s="12">
        <f t="shared" ref="F322:F385" si="5">E322/SUMIFS($E$2:$E$783,$A$2:$A$783,A322)</f>
        <v>0.93473742552307049</v>
      </c>
      <c r="G322" s="10">
        <v>3042</v>
      </c>
      <c r="H322" s="27">
        <v>44984</v>
      </c>
      <c r="I322" s="27">
        <v>46296</v>
      </c>
      <c r="J322" s="9" t="s">
        <v>1609</v>
      </c>
      <c r="K322" s="9" t="s">
        <v>1932</v>
      </c>
    </row>
    <row r="323" spans="1:11" x14ac:dyDescent="0.45">
      <c r="A323" s="4" t="s">
        <v>451</v>
      </c>
      <c r="B323" s="4" t="s">
        <v>1608</v>
      </c>
      <c r="C323" s="4" t="s">
        <v>1930</v>
      </c>
      <c r="D323" s="4" t="b">
        <f>FALSE()</f>
        <v>0</v>
      </c>
      <c r="E323" s="5">
        <v>942</v>
      </c>
      <c r="F323" s="7">
        <f t="shared" si="5"/>
        <v>6.5262574476929472E-2</v>
      </c>
      <c r="G323" s="5">
        <v>0</v>
      </c>
      <c r="H323" s="26">
        <v>44928</v>
      </c>
      <c r="I323" s="26">
        <v>45054</v>
      </c>
      <c r="J323" s="4" t="s">
        <v>1611</v>
      </c>
      <c r="K323" s="4" t="s">
        <v>1933</v>
      </c>
    </row>
    <row r="324" spans="1:11" x14ac:dyDescent="0.45">
      <c r="A324" s="9" t="s">
        <v>454</v>
      </c>
      <c r="B324" s="9" t="s">
        <v>1608</v>
      </c>
      <c r="C324" s="9" t="s">
        <v>450</v>
      </c>
      <c r="D324" s="9" t="b">
        <f>TRUE()</f>
        <v>1</v>
      </c>
      <c r="E324" s="10">
        <v>12540</v>
      </c>
      <c r="F324" s="12">
        <f t="shared" si="5"/>
        <v>0.93220338983050843</v>
      </c>
      <c r="G324" s="10">
        <v>3040</v>
      </c>
      <c r="H324" s="27">
        <v>44988</v>
      </c>
      <c r="I324" s="27">
        <v>46296</v>
      </c>
      <c r="J324" s="9" t="s">
        <v>1609</v>
      </c>
      <c r="K324" s="9" t="s">
        <v>1934</v>
      </c>
    </row>
    <row r="325" spans="1:11" x14ac:dyDescent="0.45">
      <c r="A325" s="4" t="s">
        <v>454</v>
      </c>
      <c r="B325" s="4" t="s">
        <v>1608</v>
      </c>
      <c r="C325" s="4" t="s">
        <v>1930</v>
      </c>
      <c r="D325" s="4" t="b">
        <f>FALSE()</f>
        <v>0</v>
      </c>
      <c r="E325" s="5">
        <v>912</v>
      </c>
      <c r="F325" s="7">
        <f t="shared" si="5"/>
        <v>6.7796610169491525E-2</v>
      </c>
      <c r="G325" s="5">
        <v>0</v>
      </c>
      <c r="H325" s="26">
        <v>44928</v>
      </c>
      <c r="I325" s="26">
        <v>45051</v>
      </c>
      <c r="J325" s="4" t="s">
        <v>1611</v>
      </c>
      <c r="K325" s="4" t="s">
        <v>1935</v>
      </c>
    </row>
    <row r="326" spans="1:11" x14ac:dyDescent="0.45">
      <c r="A326" s="9" t="s">
        <v>456</v>
      </c>
      <c r="B326" s="9" t="s">
        <v>1608</v>
      </c>
      <c r="C326" s="9" t="s">
        <v>450</v>
      </c>
      <c r="D326" s="9" t="b">
        <f>TRUE()</f>
        <v>1</v>
      </c>
      <c r="E326" s="10">
        <v>8477</v>
      </c>
      <c r="F326" s="12">
        <f t="shared" si="5"/>
        <v>0.93647812638091033</v>
      </c>
      <c r="G326" s="10">
        <v>1835</v>
      </c>
      <c r="H326" s="27">
        <v>45042</v>
      </c>
      <c r="I326" s="27">
        <v>46296</v>
      </c>
      <c r="J326" s="9" t="s">
        <v>1609</v>
      </c>
      <c r="K326" s="9" t="s">
        <v>1936</v>
      </c>
    </row>
    <row r="327" spans="1:11" x14ac:dyDescent="0.45">
      <c r="A327" s="4" t="s">
        <v>456</v>
      </c>
      <c r="B327" s="4" t="s">
        <v>1608</v>
      </c>
      <c r="C327" s="4" t="s">
        <v>1930</v>
      </c>
      <c r="D327" s="4" t="b">
        <f>FALSE()</f>
        <v>0</v>
      </c>
      <c r="E327" s="5">
        <v>575</v>
      </c>
      <c r="F327" s="7">
        <f t="shared" si="5"/>
        <v>6.3521873619089703E-2</v>
      </c>
      <c r="G327" s="5">
        <v>0</v>
      </c>
      <c r="H327" s="26">
        <v>44928</v>
      </c>
      <c r="I327" s="26">
        <v>45054</v>
      </c>
      <c r="J327" s="4" t="s">
        <v>1611</v>
      </c>
      <c r="K327" s="4" t="s">
        <v>1937</v>
      </c>
    </row>
    <row r="328" spans="1:11" x14ac:dyDescent="0.45">
      <c r="A328" s="9" t="s">
        <v>457</v>
      </c>
      <c r="B328" s="9" t="s">
        <v>1608</v>
      </c>
      <c r="C328" s="9" t="s">
        <v>450</v>
      </c>
      <c r="D328" s="9" t="b">
        <f>TRUE()</f>
        <v>1</v>
      </c>
      <c r="E328" s="10">
        <v>4139</v>
      </c>
      <c r="F328" s="12">
        <f t="shared" si="5"/>
        <v>0.93982742960944599</v>
      </c>
      <c r="G328" s="10">
        <v>798</v>
      </c>
      <c r="H328" s="27">
        <v>44929</v>
      </c>
      <c r="I328" s="27">
        <v>46296</v>
      </c>
      <c r="J328" s="9" t="s">
        <v>1609</v>
      </c>
      <c r="K328" s="9" t="s">
        <v>1683</v>
      </c>
    </row>
    <row r="329" spans="1:11" x14ac:dyDescent="0.45">
      <c r="A329" s="4" t="s">
        <v>457</v>
      </c>
      <c r="B329" s="4" t="s">
        <v>1608</v>
      </c>
      <c r="C329" s="4" t="s">
        <v>1930</v>
      </c>
      <c r="D329" s="4" t="b">
        <f>FALSE()</f>
        <v>0</v>
      </c>
      <c r="E329" s="5">
        <v>265</v>
      </c>
      <c r="F329" s="7">
        <f t="shared" si="5"/>
        <v>6.0172570390554042E-2</v>
      </c>
      <c r="G329" s="5">
        <v>0</v>
      </c>
      <c r="H329" s="26">
        <v>44928</v>
      </c>
      <c r="I329" s="26">
        <v>45054</v>
      </c>
      <c r="J329" s="4" t="s">
        <v>1611</v>
      </c>
      <c r="K329" s="4" t="s">
        <v>1698</v>
      </c>
    </row>
    <row r="330" spans="1:11" x14ac:dyDescent="0.45">
      <c r="A330" s="9" t="s">
        <v>458</v>
      </c>
      <c r="B330" s="9" t="s">
        <v>1608</v>
      </c>
      <c r="C330" s="9" t="s">
        <v>450</v>
      </c>
      <c r="D330" s="9" t="b">
        <f>TRUE()</f>
        <v>1</v>
      </c>
      <c r="E330" s="10">
        <v>3912</v>
      </c>
      <c r="F330" s="12">
        <f t="shared" si="5"/>
        <v>0.90221402214022139</v>
      </c>
      <c r="G330" s="10">
        <v>1044</v>
      </c>
      <c r="H330" s="27">
        <v>44939</v>
      </c>
      <c r="I330" s="27">
        <v>46296</v>
      </c>
      <c r="J330" s="9" t="s">
        <v>1609</v>
      </c>
      <c r="K330" s="9" t="s">
        <v>1705</v>
      </c>
    </row>
    <row r="331" spans="1:11" x14ac:dyDescent="0.45">
      <c r="A331" s="4" t="s">
        <v>458</v>
      </c>
      <c r="B331" s="4" t="s">
        <v>1608</v>
      </c>
      <c r="C331" s="4" t="s">
        <v>1930</v>
      </c>
      <c r="D331" s="4" t="b">
        <f>FALSE()</f>
        <v>0</v>
      </c>
      <c r="E331" s="5">
        <v>424</v>
      </c>
      <c r="F331" s="7">
        <f t="shared" si="5"/>
        <v>9.7785977859778592E-2</v>
      </c>
      <c r="G331" s="5">
        <v>0</v>
      </c>
      <c r="H331" s="26">
        <v>44928</v>
      </c>
      <c r="I331" s="26">
        <v>45055</v>
      </c>
      <c r="J331" s="4" t="s">
        <v>1611</v>
      </c>
      <c r="K331" s="4" t="s">
        <v>1938</v>
      </c>
    </row>
    <row r="332" spans="1:11" x14ac:dyDescent="0.45">
      <c r="A332" s="9" t="s">
        <v>459</v>
      </c>
      <c r="B332" s="9" t="s">
        <v>1608</v>
      </c>
      <c r="C332" s="9" t="s">
        <v>450</v>
      </c>
      <c r="D332" s="9" t="b">
        <f>TRUE()</f>
        <v>1</v>
      </c>
      <c r="E332" s="10">
        <v>3586</v>
      </c>
      <c r="F332" s="12">
        <f t="shared" si="5"/>
        <v>0.89538077403245941</v>
      </c>
      <c r="G332" s="10">
        <v>794</v>
      </c>
      <c r="H332" s="27">
        <v>44967</v>
      </c>
      <c r="I332" s="27">
        <v>46296</v>
      </c>
      <c r="J332" s="9" t="s">
        <v>1609</v>
      </c>
      <c r="K332" s="9" t="s">
        <v>1939</v>
      </c>
    </row>
    <row r="333" spans="1:11" x14ac:dyDescent="0.45">
      <c r="A333" s="4" t="s">
        <v>459</v>
      </c>
      <c r="B333" s="4" t="s">
        <v>1608</v>
      </c>
      <c r="C333" s="4" t="s">
        <v>1930</v>
      </c>
      <c r="D333" s="4" t="b">
        <f>FALSE()</f>
        <v>0</v>
      </c>
      <c r="E333" s="5">
        <v>419</v>
      </c>
      <c r="F333" s="7">
        <f t="shared" si="5"/>
        <v>0.10461922596754057</v>
      </c>
      <c r="G333" s="5">
        <v>0</v>
      </c>
      <c r="H333" s="26">
        <v>44928</v>
      </c>
      <c r="I333" s="26">
        <v>45051</v>
      </c>
      <c r="J333" s="4" t="s">
        <v>1611</v>
      </c>
      <c r="K333" s="4" t="s">
        <v>1940</v>
      </c>
    </row>
    <row r="334" spans="1:11" x14ac:dyDescent="0.45">
      <c r="A334" s="9" t="s">
        <v>461</v>
      </c>
      <c r="B334" s="9" t="s">
        <v>1608</v>
      </c>
      <c r="C334" s="9" t="s">
        <v>450</v>
      </c>
      <c r="D334" s="9" t="b">
        <f>TRUE()</f>
        <v>1</v>
      </c>
      <c r="E334" s="10">
        <v>1708</v>
      </c>
      <c r="F334" s="12">
        <f t="shared" si="5"/>
        <v>0.81879194630872487</v>
      </c>
      <c r="G334" s="10">
        <v>449</v>
      </c>
      <c r="H334" s="27">
        <v>44981</v>
      </c>
      <c r="I334" s="27">
        <v>46296</v>
      </c>
      <c r="J334" s="9" t="s">
        <v>1609</v>
      </c>
      <c r="K334" s="9" t="s">
        <v>1941</v>
      </c>
    </row>
    <row r="335" spans="1:11" x14ac:dyDescent="0.45">
      <c r="A335" s="4" t="s">
        <v>461</v>
      </c>
      <c r="B335" s="4" t="s">
        <v>1608</v>
      </c>
      <c r="C335" s="4" t="s">
        <v>1930</v>
      </c>
      <c r="D335" s="4" t="b">
        <f>FALSE()</f>
        <v>0</v>
      </c>
      <c r="E335" s="5">
        <v>378</v>
      </c>
      <c r="F335" s="7">
        <f t="shared" si="5"/>
        <v>0.18120805369127516</v>
      </c>
      <c r="G335" s="5">
        <v>0</v>
      </c>
      <c r="H335" s="26">
        <v>44928</v>
      </c>
      <c r="I335" s="26">
        <v>45054</v>
      </c>
      <c r="J335" s="4" t="s">
        <v>1611</v>
      </c>
      <c r="K335" s="4" t="s">
        <v>1942</v>
      </c>
    </row>
    <row r="336" spans="1:11" x14ac:dyDescent="0.45">
      <c r="A336" s="9" t="s">
        <v>462</v>
      </c>
      <c r="B336" s="9" t="s">
        <v>1608</v>
      </c>
      <c r="C336" s="9" t="s">
        <v>450</v>
      </c>
      <c r="D336" s="9" t="b">
        <f>TRUE()</f>
        <v>1</v>
      </c>
      <c r="E336" s="10">
        <v>1803</v>
      </c>
      <c r="F336" s="12">
        <f t="shared" si="5"/>
        <v>0.91244939271255066</v>
      </c>
      <c r="G336" s="10">
        <v>450</v>
      </c>
      <c r="H336" s="27">
        <v>44949</v>
      </c>
      <c r="I336" s="27">
        <v>46296</v>
      </c>
      <c r="J336" s="9" t="s">
        <v>1609</v>
      </c>
      <c r="K336" s="9" t="s">
        <v>1943</v>
      </c>
    </row>
    <row r="337" spans="1:11" x14ac:dyDescent="0.45">
      <c r="A337" s="4" t="s">
        <v>462</v>
      </c>
      <c r="B337" s="4" t="s">
        <v>1608</v>
      </c>
      <c r="C337" s="4" t="s">
        <v>1930</v>
      </c>
      <c r="D337" s="4" t="b">
        <f>FALSE()</f>
        <v>0</v>
      </c>
      <c r="E337" s="5">
        <v>173</v>
      </c>
      <c r="F337" s="7">
        <f t="shared" si="5"/>
        <v>8.7550607287449386E-2</v>
      </c>
      <c r="G337" s="5">
        <v>0</v>
      </c>
      <c r="H337" s="26">
        <v>44928</v>
      </c>
      <c r="I337" s="26">
        <v>45055</v>
      </c>
      <c r="J337" s="4" t="s">
        <v>1611</v>
      </c>
      <c r="K337" s="4" t="s">
        <v>1944</v>
      </c>
    </row>
    <row r="338" spans="1:11" x14ac:dyDescent="0.45">
      <c r="A338" s="9" t="s">
        <v>466</v>
      </c>
      <c r="B338" s="9" t="s">
        <v>1608</v>
      </c>
      <c r="C338" s="9" t="s">
        <v>450</v>
      </c>
      <c r="D338" s="9" t="b">
        <f>TRUE()</f>
        <v>1</v>
      </c>
      <c r="E338" s="10">
        <v>1059</v>
      </c>
      <c r="F338" s="12">
        <f t="shared" si="5"/>
        <v>0.75159687721788504</v>
      </c>
      <c r="G338" s="10">
        <v>174</v>
      </c>
      <c r="H338" s="27">
        <v>45222</v>
      </c>
      <c r="I338" s="27">
        <v>46135</v>
      </c>
      <c r="J338" s="9" t="s">
        <v>1609</v>
      </c>
      <c r="K338" s="9" t="s">
        <v>1945</v>
      </c>
    </row>
    <row r="339" spans="1:11" x14ac:dyDescent="0.45">
      <c r="A339" s="4" t="s">
        <v>466</v>
      </c>
      <c r="B339" s="4" t="s">
        <v>1608</v>
      </c>
      <c r="C339" s="4" t="s">
        <v>1930</v>
      </c>
      <c r="D339" s="4" t="b">
        <f>FALSE()</f>
        <v>0</v>
      </c>
      <c r="E339" s="5">
        <v>350</v>
      </c>
      <c r="F339" s="7">
        <f t="shared" si="5"/>
        <v>0.24840312278211499</v>
      </c>
      <c r="G339" s="5">
        <v>0</v>
      </c>
      <c r="H339" s="26">
        <v>44929</v>
      </c>
      <c r="I339" s="26">
        <v>45017</v>
      </c>
      <c r="J339" s="4" t="s">
        <v>1611</v>
      </c>
      <c r="K339" s="4" t="s">
        <v>1946</v>
      </c>
    </row>
    <row r="340" spans="1:11" x14ac:dyDescent="0.45">
      <c r="A340" s="9" t="s">
        <v>469</v>
      </c>
      <c r="B340" s="9" t="s">
        <v>1608</v>
      </c>
      <c r="C340" s="9" t="s">
        <v>450</v>
      </c>
      <c r="D340" s="9" t="b">
        <f>TRUE()</f>
        <v>1</v>
      </c>
      <c r="E340" s="10">
        <v>1249</v>
      </c>
      <c r="F340" s="12">
        <f t="shared" si="5"/>
        <v>0.91234477720964202</v>
      </c>
      <c r="G340" s="10">
        <v>291</v>
      </c>
      <c r="H340" s="27">
        <v>45033</v>
      </c>
      <c r="I340" s="27">
        <v>46296</v>
      </c>
      <c r="J340" s="9" t="s">
        <v>1609</v>
      </c>
      <c r="K340" s="9" t="s">
        <v>1653</v>
      </c>
    </row>
    <row r="341" spans="1:11" x14ac:dyDescent="0.45">
      <c r="A341" s="4" t="s">
        <v>469</v>
      </c>
      <c r="B341" s="4" t="s">
        <v>1608</v>
      </c>
      <c r="C341" s="4" t="s">
        <v>1930</v>
      </c>
      <c r="D341" s="4" t="b">
        <f>FALSE()</f>
        <v>0</v>
      </c>
      <c r="E341" s="5">
        <v>120</v>
      </c>
      <c r="F341" s="7">
        <f t="shared" si="5"/>
        <v>8.7655222790357923E-2</v>
      </c>
      <c r="G341" s="5">
        <v>0</v>
      </c>
      <c r="H341" s="26">
        <v>44928</v>
      </c>
      <c r="I341" s="26">
        <v>45054</v>
      </c>
      <c r="J341" s="4" t="s">
        <v>1611</v>
      </c>
      <c r="K341" s="4" t="s">
        <v>1947</v>
      </c>
    </row>
    <row r="342" spans="1:11" x14ac:dyDescent="0.45">
      <c r="A342" s="9" t="s">
        <v>471</v>
      </c>
      <c r="B342" s="9" t="s">
        <v>1608</v>
      </c>
      <c r="C342" s="9" t="s">
        <v>450</v>
      </c>
      <c r="D342" s="9" t="b">
        <f>TRUE()</f>
        <v>1</v>
      </c>
      <c r="E342" s="10">
        <v>1153</v>
      </c>
      <c r="F342" s="12">
        <f t="shared" si="5"/>
        <v>0.93587662337662336</v>
      </c>
      <c r="G342" s="10">
        <v>324</v>
      </c>
      <c r="H342" s="27">
        <v>45041</v>
      </c>
      <c r="I342" s="27">
        <v>46296</v>
      </c>
      <c r="J342" s="9" t="s">
        <v>1609</v>
      </c>
      <c r="K342" s="9" t="s">
        <v>1948</v>
      </c>
    </row>
    <row r="343" spans="1:11" x14ac:dyDescent="0.45">
      <c r="A343" s="4" t="s">
        <v>471</v>
      </c>
      <c r="B343" s="4" t="s">
        <v>1608</v>
      </c>
      <c r="C343" s="4" t="s">
        <v>1930</v>
      </c>
      <c r="D343" s="4" t="b">
        <f>FALSE()</f>
        <v>0</v>
      </c>
      <c r="E343" s="5">
        <v>79</v>
      </c>
      <c r="F343" s="7">
        <f t="shared" si="5"/>
        <v>6.4123376623376624E-2</v>
      </c>
      <c r="G343" s="5">
        <v>0</v>
      </c>
      <c r="H343" s="26">
        <v>44929</v>
      </c>
      <c r="I343" s="26">
        <v>45052</v>
      </c>
      <c r="J343" s="4" t="s">
        <v>1611</v>
      </c>
      <c r="K343" s="4" t="s">
        <v>1949</v>
      </c>
    </row>
    <row r="344" spans="1:11" x14ac:dyDescent="0.45">
      <c r="A344" s="9" t="s">
        <v>472</v>
      </c>
      <c r="B344" s="9" t="s">
        <v>1608</v>
      </c>
      <c r="C344" s="9" t="s">
        <v>450</v>
      </c>
      <c r="D344" s="9" t="b">
        <f>TRUE()</f>
        <v>1</v>
      </c>
      <c r="E344" s="10">
        <v>873</v>
      </c>
      <c r="F344" s="12">
        <f t="shared" si="5"/>
        <v>0.91127348643006267</v>
      </c>
      <c r="G344" s="10">
        <v>199</v>
      </c>
      <c r="H344" s="27">
        <v>45041</v>
      </c>
      <c r="I344" s="27">
        <v>46296</v>
      </c>
      <c r="J344" s="9" t="s">
        <v>1609</v>
      </c>
      <c r="K344" s="9" t="s">
        <v>1948</v>
      </c>
    </row>
    <row r="345" spans="1:11" x14ac:dyDescent="0.45">
      <c r="A345" s="4" t="s">
        <v>472</v>
      </c>
      <c r="B345" s="4" t="s">
        <v>1608</v>
      </c>
      <c r="C345" s="4" t="s">
        <v>1930</v>
      </c>
      <c r="D345" s="4" t="b">
        <f>FALSE()</f>
        <v>0</v>
      </c>
      <c r="E345" s="5">
        <v>85</v>
      </c>
      <c r="F345" s="7">
        <f t="shared" si="5"/>
        <v>8.8726513569937368E-2</v>
      </c>
      <c r="G345" s="5">
        <v>0</v>
      </c>
      <c r="H345" s="26">
        <v>44937</v>
      </c>
      <c r="I345" s="26">
        <v>45044</v>
      </c>
      <c r="J345" s="4" t="s">
        <v>1611</v>
      </c>
      <c r="K345" s="4" t="s">
        <v>1950</v>
      </c>
    </row>
    <row r="346" spans="1:11" x14ac:dyDescent="0.45">
      <c r="A346" s="9" t="s">
        <v>474</v>
      </c>
      <c r="B346" s="9" t="s">
        <v>1608</v>
      </c>
      <c r="C346" s="9" t="s">
        <v>450</v>
      </c>
      <c r="D346" s="9" t="b">
        <f>TRUE()</f>
        <v>1</v>
      </c>
      <c r="E346" s="10">
        <v>337</v>
      </c>
      <c r="F346" s="12">
        <f t="shared" si="5"/>
        <v>0.79481132075471694</v>
      </c>
      <c r="G346" s="10">
        <v>0</v>
      </c>
      <c r="H346" s="27">
        <v>45056</v>
      </c>
      <c r="I346" s="27">
        <v>45503</v>
      </c>
      <c r="J346" s="9" t="s">
        <v>1609</v>
      </c>
      <c r="K346" s="9" t="s">
        <v>1951</v>
      </c>
    </row>
    <row r="347" spans="1:11" x14ac:dyDescent="0.45">
      <c r="A347" s="4" t="s">
        <v>474</v>
      </c>
      <c r="B347" s="4" t="s">
        <v>1608</v>
      </c>
      <c r="C347" s="4" t="s">
        <v>1930</v>
      </c>
      <c r="D347" s="4" t="b">
        <f>FALSE()</f>
        <v>0</v>
      </c>
      <c r="E347" s="5">
        <v>87</v>
      </c>
      <c r="F347" s="7">
        <f t="shared" si="5"/>
        <v>0.20518867924528303</v>
      </c>
      <c r="G347" s="5">
        <v>0</v>
      </c>
      <c r="H347" s="26">
        <v>44928</v>
      </c>
      <c r="I347" s="26">
        <v>45051</v>
      </c>
      <c r="J347" s="4" t="s">
        <v>1611</v>
      </c>
      <c r="K347" s="4" t="s">
        <v>1952</v>
      </c>
    </row>
    <row r="348" spans="1:11" x14ac:dyDescent="0.45">
      <c r="A348" s="9" t="s">
        <v>475</v>
      </c>
      <c r="B348" s="9" t="s">
        <v>1608</v>
      </c>
      <c r="C348" s="9" t="s">
        <v>450</v>
      </c>
      <c r="D348" s="9" t="b">
        <f>TRUE()</f>
        <v>1</v>
      </c>
      <c r="E348" s="10">
        <v>193</v>
      </c>
      <c r="F348" s="12">
        <f t="shared" si="5"/>
        <v>0.94607843137254899</v>
      </c>
      <c r="G348" s="10">
        <v>30</v>
      </c>
      <c r="H348" s="27">
        <v>45051</v>
      </c>
      <c r="I348" s="27">
        <v>46290</v>
      </c>
      <c r="J348" s="9" t="s">
        <v>1609</v>
      </c>
      <c r="K348" s="9" t="s">
        <v>1953</v>
      </c>
    </row>
    <row r="349" spans="1:11" x14ac:dyDescent="0.45">
      <c r="A349" s="4" t="s">
        <v>475</v>
      </c>
      <c r="B349" s="4" t="s">
        <v>1608</v>
      </c>
      <c r="C349" s="4" t="s">
        <v>1930</v>
      </c>
      <c r="D349" s="4" t="b">
        <f>FALSE()</f>
        <v>0</v>
      </c>
      <c r="E349" s="5">
        <v>11</v>
      </c>
      <c r="F349" s="7">
        <f t="shared" si="5"/>
        <v>5.3921568627450983E-2</v>
      </c>
      <c r="G349" s="5">
        <v>0</v>
      </c>
      <c r="H349" s="26">
        <v>44929</v>
      </c>
      <c r="I349" s="26">
        <v>45041</v>
      </c>
      <c r="J349" s="4" t="s">
        <v>1611</v>
      </c>
      <c r="K349" s="4" t="s">
        <v>1954</v>
      </c>
    </row>
    <row r="350" spans="1:11" x14ac:dyDescent="0.45">
      <c r="A350" s="9" t="s">
        <v>476</v>
      </c>
      <c r="B350" s="9" t="s">
        <v>1608</v>
      </c>
      <c r="C350" s="9" t="s">
        <v>450</v>
      </c>
      <c r="D350" s="9" t="b">
        <f>TRUE()</f>
        <v>1</v>
      </c>
      <c r="E350" s="10">
        <v>160</v>
      </c>
      <c r="F350" s="12">
        <f t="shared" si="5"/>
        <v>0.86021505376344087</v>
      </c>
      <c r="G350" s="10">
        <v>0</v>
      </c>
      <c r="H350" s="27">
        <v>45055</v>
      </c>
      <c r="I350" s="27">
        <v>45244</v>
      </c>
      <c r="J350" s="9" t="s">
        <v>1609</v>
      </c>
      <c r="K350" s="9" t="s">
        <v>1955</v>
      </c>
    </row>
    <row r="351" spans="1:11" x14ac:dyDescent="0.45">
      <c r="A351" s="4" t="s">
        <v>476</v>
      </c>
      <c r="B351" s="4" t="s">
        <v>1608</v>
      </c>
      <c r="C351" s="4" t="s">
        <v>1930</v>
      </c>
      <c r="D351" s="4" t="b">
        <f>FALSE()</f>
        <v>0</v>
      </c>
      <c r="E351" s="5">
        <v>26</v>
      </c>
      <c r="F351" s="7">
        <f t="shared" si="5"/>
        <v>0.13978494623655913</v>
      </c>
      <c r="G351" s="5">
        <v>0</v>
      </c>
      <c r="H351" s="26">
        <v>44932</v>
      </c>
      <c r="I351" s="26">
        <v>45054</v>
      </c>
      <c r="J351" s="4" t="s">
        <v>1611</v>
      </c>
      <c r="K351" s="4" t="s">
        <v>1956</v>
      </c>
    </row>
    <row r="352" spans="1:11" x14ac:dyDescent="0.45">
      <c r="A352" s="9" t="s">
        <v>479</v>
      </c>
      <c r="B352" s="9" t="s">
        <v>1608</v>
      </c>
      <c r="C352" s="9" t="s">
        <v>450</v>
      </c>
      <c r="D352" s="9" t="b">
        <f>TRUE()</f>
        <v>1</v>
      </c>
      <c r="E352" s="10">
        <v>113</v>
      </c>
      <c r="F352" s="12">
        <f t="shared" si="5"/>
        <v>0.91129032258064513</v>
      </c>
      <c r="G352" s="10">
        <v>18</v>
      </c>
      <c r="H352" s="27">
        <v>45041</v>
      </c>
      <c r="I352" s="27">
        <v>46286</v>
      </c>
      <c r="J352" s="9" t="s">
        <v>1609</v>
      </c>
      <c r="K352" s="9" t="s">
        <v>1957</v>
      </c>
    </row>
    <row r="353" spans="1:11" x14ac:dyDescent="0.45">
      <c r="A353" s="4" t="s">
        <v>479</v>
      </c>
      <c r="B353" s="4" t="s">
        <v>1608</v>
      </c>
      <c r="C353" s="4" t="s">
        <v>1930</v>
      </c>
      <c r="D353" s="4" t="b">
        <f>FALSE()</f>
        <v>0</v>
      </c>
      <c r="E353" s="5">
        <v>11</v>
      </c>
      <c r="F353" s="7">
        <f t="shared" si="5"/>
        <v>8.8709677419354843E-2</v>
      </c>
      <c r="G353" s="5">
        <v>0</v>
      </c>
      <c r="H353" s="26">
        <v>44936</v>
      </c>
      <c r="I353" s="26">
        <v>45028</v>
      </c>
      <c r="J353" s="4" t="s">
        <v>1611</v>
      </c>
      <c r="K353" s="4" t="s">
        <v>1958</v>
      </c>
    </row>
    <row r="354" spans="1:11" x14ac:dyDescent="0.45">
      <c r="A354" s="9" t="s">
        <v>480</v>
      </c>
      <c r="B354" s="9" t="s">
        <v>1608</v>
      </c>
      <c r="C354" s="9" t="s">
        <v>450</v>
      </c>
      <c r="D354" s="9" t="b">
        <f>TRUE()</f>
        <v>1</v>
      </c>
      <c r="E354" s="10">
        <v>23</v>
      </c>
      <c r="F354" s="12">
        <f t="shared" si="5"/>
        <v>0.95833333333333337</v>
      </c>
      <c r="G354" s="10">
        <v>0</v>
      </c>
      <c r="H354" s="27">
        <v>45056</v>
      </c>
      <c r="I354" s="27">
        <v>45490</v>
      </c>
      <c r="J354" s="9" t="s">
        <v>1609</v>
      </c>
      <c r="K354" s="9" t="s">
        <v>1959</v>
      </c>
    </row>
    <row r="355" spans="1:11" x14ac:dyDescent="0.45">
      <c r="A355" s="4" t="s">
        <v>480</v>
      </c>
      <c r="B355" s="4" t="s">
        <v>1608</v>
      </c>
      <c r="C355" s="4" t="s">
        <v>1930</v>
      </c>
      <c r="D355" s="4" t="b">
        <f>FALSE()</f>
        <v>0</v>
      </c>
      <c r="E355" s="5">
        <v>1</v>
      </c>
      <c r="F355" s="7">
        <f t="shared" si="5"/>
        <v>4.1666666666666664E-2</v>
      </c>
      <c r="G355" s="5">
        <v>0</v>
      </c>
      <c r="H355" s="26">
        <v>45042</v>
      </c>
      <c r="I355" s="26">
        <v>45042</v>
      </c>
      <c r="J355" s="4" t="s">
        <v>1611</v>
      </c>
      <c r="K355" s="4" t="s">
        <v>1960</v>
      </c>
    </row>
    <row r="356" spans="1:11" x14ac:dyDescent="0.45">
      <c r="A356" s="9" t="s">
        <v>483</v>
      </c>
      <c r="B356" s="9" t="s">
        <v>1608</v>
      </c>
      <c r="C356" s="9" t="s">
        <v>484</v>
      </c>
      <c r="D356" s="9" t="b">
        <f>TRUE()</f>
        <v>1</v>
      </c>
      <c r="E356" s="10">
        <v>1350</v>
      </c>
      <c r="F356" s="12">
        <f t="shared" si="5"/>
        <v>0.94142259414225937</v>
      </c>
      <c r="G356" s="10">
        <v>329</v>
      </c>
      <c r="H356" s="27">
        <v>44930</v>
      </c>
      <c r="I356" s="27">
        <v>46296</v>
      </c>
      <c r="J356" s="9" t="s">
        <v>1609</v>
      </c>
      <c r="K356" s="9" t="s">
        <v>1961</v>
      </c>
    </row>
    <row r="357" spans="1:11" x14ac:dyDescent="0.45">
      <c r="A357" s="4" t="s">
        <v>483</v>
      </c>
      <c r="B357" s="4" t="s">
        <v>1608</v>
      </c>
      <c r="C357" s="4" t="s">
        <v>1962</v>
      </c>
      <c r="D357" s="4" t="b">
        <f>FALSE()</f>
        <v>0</v>
      </c>
      <c r="E357" s="5">
        <v>84</v>
      </c>
      <c r="F357" s="7">
        <f t="shared" si="5"/>
        <v>5.8577405857740586E-2</v>
      </c>
      <c r="G357" s="5">
        <v>0</v>
      </c>
      <c r="H357" s="26">
        <v>44930</v>
      </c>
      <c r="I357" s="26">
        <v>45055</v>
      </c>
      <c r="J357" s="4" t="s">
        <v>1611</v>
      </c>
      <c r="K357" s="4" t="s">
        <v>1963</v>
      </c>
    </row>
    <row r="358" spans="1:11" x14ac:dyDescent="0.45">
      <c r="A358" s="9" t="s">
        <v>486</v>
      </c>
      <c r="B358" s="9" t="s">
        <v>1608</v>
      </c>
      <c r="C358" s="9" t="s">
        <v>484</v>
      </c>
      <c r="D358" s="9" t="b">
        <f>TRUE()</f>
        <v>1</v>
      </c>
      <c r="E358" s="10">
        <v>634</v>
      </c>
      <c r="F358" s="12">
        <f t="shared" si="5"/>
        <v>0.93235294117647061</v>
      </c>
      <c r="G358" s="10">
        <v>187</v>
      </c>
      <c r="H358" s="27">
        <v>44930</v>
      </c>
      <c r="I358" s="27">
        <v>46295</v>
      </c>
      <c r="J358" s="9" t="s">
        <v>1609</v>
      </c>
      <c r="K358" s="9" t="s">
        <v>1964</v>
      </c>
    </row>
    <row r="359" spans="1:11" x14ac:dyDescent="0.45">
      <c r="A359" s="4" t="s">
        <v>486</v>
      </c>
      <c r="B359" s="4" t="s">
        <v>1608</v>
      </c>
      <c r="C359" s="4" t="s">
        <v>1962</v>
      </c>
      <c r="D359" s="4" t="b">
        <f>FALSE()</f>
        <v>0</v>
      </c>
      <c r="E359" s="5">
        <v>46</v>
      </c>
      <c r="F359" s="7">
        <f t="shared" si="5"/>
        <v>6.7647058823529407E-2</v>
      </c>
      <c r="G359" s="5">
        <v>0</v>
      </c>
      <c r="H359" s="26">
        <v>44928</v>
      </c>
      <c r="I359" s="26">
        <v>45053</v>
      </c>
      <c r="J359" s="4" t="s">
        <v>1611</v>
      </c>
      <c r="K359" s="4" t="s">
        <v>1965</v>
      </c>
    </row>
    <row r="360" spans="1:11" x14ac:dyDescent="0.45">
      <c r="A360" s="9" t="s">
        <v>487</v>
      </c>
      <c r="B360" s="9" t="s">
        <v>1608</v>
      </c>
      <c r="C360" s="9" t="s">
        <v>484</v>
      </c>
      <c r="D360" s="9" t="b">
        <f>TRUE()</f>
        <v>1</v>
      </c>
      <c r="E360" s="10">
        <v>10</v>
      </c>
      <c r="F360" s="12">
        <f t="shared" si="5"/>
        <v>0.83333333333333337</v>
      </c>
      <c r="G360" s="10">
        <v>0</v>
      </c>
      <c r="H360" s="27">
        <v>45225</v>
      </c>
      <c r="I360" s="27">
        <v>45887</v>
      </c>
      <c r="J360" s="9" t="s">
        <v>1609</v>
      </c>
      <c r="K360" s="9" t="s">
        <v>1966</v>
      </c>
    </row>
    <row r="361" spans="1:11" x14ac:dyDescent="0.45">
      <c r="A361" s="4" t="s">
        <v>487</v>
      </c>
      <c r="B361" s="4" t="s">
        <v>1608</v>
      </c>
      <c r="C361" s="4" t="s">
        <v>1962</v>
      </c>
      <c r="D361" s="4" t="b">
        <f>FALSE()</f>
        <v>0</v>
      </c>
      <c r="E361" s="5">
        <v>2</v>
      </c>
      <c r="F361" s="7">
        <f t="shared" si="5"/>
        <v>0.16666666666666666</v>
      </c>
      <c r="G361" s="5">
        <v>0</v>
      </c>
      <c r="H361" s="26">
        <v>44949</v>
      </c>
      <c r="I361" s="26">
        <v>44963</v>
      </c>
      <c r="J361" s="4" t="s">
        <v>1611</v>
      </c>
      <c r="K361" s="4" t="s">
        <v>1967</v>
      </c>
    </row>
    <row r="362" spans="1:11" x14ac:dyDescent="0.45">
      <c r="A362" s="9" t="s">
        <v>488</v>
      </c>
      <c r="B362" s="9" t="s">
        <v>1608</v>
      </c>
      <c r="C362" s="9" t="s">
        <v>489</v>
      </c>
      <c r="D362" s="9" t="b">
        <f>TRUE()</f>
        <v>1</v>
      </c>
      <c r="E362" s="10">
        <v>122</v>
      </c>
      <c r="F362" s="12">
        <f t="shared" si="5"/>
        <v>0.96825396825396826</v>
      </c>
      <c r="G362" s="10">
        <v>45</v>
      </c>
      <c r="H362" s="27">
        <v>45055</v>
      </c>
      <c r="I362" s="27">
        <v>46293</v>
      </c>
      <c r="J362" s="9" t="s">
        <v>1609</v>
      </c>
      <c r="K362" s="9" t="s">
        <v>1968</v>
      </c>
    </row>
    <row r="363" spans="1:11" x14ac:dyDescent="0.45">
      <c r="A363" s="4" t="s">
        <v>488</v>
      </c>
      <c r="B363" s="4" t="s">
        <v>1608</v>
      </c>
      <c r="C363" s="4" t="s">
        <v>1969</v>
      </c>
      <c r="D363" s="4" t="b">
        <f>FALSE()</f>
        <v>0</v>
      </c>
      <c r="E363" s="5">
        <v>4</v>
      </c>
      <c r="F363" s="7">
        <f t="shared" si="5"/>
        <v>3.1746031746031744E-2</v>
      </c>
      <c r="G363" s="5">
        <v>0</v>
      </c>
      <c r="H363" s="26">
        <v>44944</v>
      </c>
      <c r="I363" s="26">
        <v>45016</v>
      </c>
      <c r="J363" s="4" t="s">
        <v>1611</v>
      </c>
      <c r="K363" s="4" t="s">
        <v>1970</v>
      </c>
    </row>
    <row r="364" spans="1:11" x14ac:dyDescent="0.45">
      <c r="A364" s="9" t="s">
        <v>490</v>
      </c>
      <c r="B364" s="9" t="s">
        <v>1608</v>
      </c>
      <c r="C364" s="9" t="s">
        <v>489</v>
      </c>
      <c r="D364" s="9" t="b">
        <f>TRUE()</f>
        <v>1</v>
      </c>
      <c r="E364" s="10">
        <v>59</v>
      </c>
      <c r="F364" s="12">
        <f t="shared" si="5"/>
        <v>0.95161290322580649</v>
      </c>
      <c r="G364" s="10">
        <v>0</v>
      </c>
      <c r="H364" s="27">
        <v>45072</v>
      </c>
      <c r="I364" s="27">
        <v>45874</v>
      </c>
      <c r="J364" s="9" t="s">
        <v>1609</v>
      </c>
      <c r="K364" s="9" t="s">
        <v>1971</v>
      </c>
    </row>
    <row r="365" spans="1:11" x14ac:dyDescent="0.45">
      <c r="A365" s="4" t="s">
        <v>490</v>
      </c>
      <c r="B365" s="4" t="s">
        <v>1608</v>
      </c>
      <c r="C365" s="4" t="s">
        <v>355</v>
      </c>
      <c r="D365" s="4" t="b">
        <f>FALSE()</f>
        <v>0</v>
      </c>
      <c r="E365" s="5">
        <v>3</v>
      </c>
      <c r="F365" s="7">
        <f t="shared" si="5"/>
        <v>4.8387096774193547E-2</v>
      </c>
      <c r="G365" s="5">
        <v>0</v>
      </c>
      <c r="H365" s="26">
        <v>44942</v>
      </c>
      <c r="I365" s="26">
        <v>45013</v>
      </c>
      <c r="J365" s="4" t="s">
        <v>1614</v>
      </c>
      <c r="K365" s="4" t="s">
        <v>1972</v>
      </c>
    </row>
    <row r="366" spans="1:11" x14ac:dyDescent="0.45">
      <c r="A366" s="9" t="s">
        <v>491</v>
      </c>
      <c r="B366" s="9" t="s">
        <v>1608</v>
      </c>
      <c r="C366" s="9" t="s">
        <v>492</v>
      </c>
      <c r="D366" s="9" t="b">
        <f>TRUE()</f>
        <v>1</v>
      </c>
      <c r="E366" s="10">
        <v>33556</v>
      </c>
      <c r="F366" s="12">
        <f t="shared" si="5"/>
        <v>0.96453003736705945</v>
      </c>
      <c r="G366" s="10">
        <v>7889</v>
      </c>
      <c r="H366" s="27">
        <v>44928</v>
      </c>
      <c r="I366" s="27">
        <v>46296</v>
      </c>
      <c r="J366" s="9" t="s">
        <v>1609</v>
      </c>
      <c r="K366" s="9" t="s">
        <v>1689</v>
      </c>
    </row>
    <row r="367" spans="1:11" x14ac:dyDescent="0.45">
      <c r="A367" s="4" t="s">
        <v>491</v>
      </c>
      <c r="B367" s="4" t="s">
        <v>1608</v>
      </c>
      <c r="C367" s="4" t="s">
        <v>915</v>
      </c>
      <c r="D367" s="4" t="b">
        <f>FALSE()</f>
        <v>0</v>
      </c>
      <c r="E367" s="5">
        <v>1234</v>
      </c>
      <c r="F367" s="7">
        <f t="shared" si="5"/>
        <v>3.5469962632940499E-2</v>
      </c>
      <c r="G367" s="5">
        <v>0</v>
      </c>
      <c r="H367" s="26">
        <v>44928</v>
      </c>
      <c r="I367" s="26">
        <v>45055</v>
      </c>
      <c r="J367" s="4" t="s">
        <v>1614</v>
      </c>
      <c r="K367" s="4" t="s">
        <v>1690</v>
      </c>
    </row>
    <row r="368" spans="1:11" x14ac:dyDescent="0.45">
      <c r="A368" s="9" t="s">
        <v>493</v>
      </c>
      <c r="B368" s="9" t="s">
        <v>1608</v>
      </c>
      <c r="C368" s="9" t="s">
        <v>492</v>
      </c>
      <c r="D368" s="9" t="b">
        <f>TRUE()</f>
        <v>1</v>
      </c>
      <c r="E368" s="10">
        <v>21300</v>
      </c>
      <c r="F368" s="12">
        <f t="shared" si="5"/>
        <v>0.76057846813069097</v>
      </c>
      <c r="G368" s="10">
        <v>3786</v>
      </c>
      <c r="H368" s="27">
        <v>44928</v>
      </c>
      <c r="I368" s="27">
        <v>46203</v>
      </c>
      <c r="J368" s="9" t="s">
        <v>1609</v>
      </c>
      <c r="K368" s="9" t="s">
        <v>1973</v>
      </c>
    </row>
    <row r="369" spans="1:11" x14ac:dyDescent="0.45">
      <c r="A369" s="4" t="s">
        <v>493</v>
      </c>
      <c r="B369" s="4" t="s">
        <v>1608</v>
      </c>
      <c r="C369" s="4" t="s">
        <v>915</v>
      </c>
      <c r="D369" s="4" t="b">
        <f>FALSE()</f>
        <v>0</v>
      </c>
      <c r="E369" s="5">
        <v>6705</v>
      </c>
      <c r="F369" s="7">
        <f t="shared" si="5"/>
        <v>0.23942153186930906</v>
      </c>
      <c r="G369" s="5">
        <v>0</v>
      </c>
      <c r="H369" s="26">
        <v>44928</v>
      </c>
      <c r="I369" s="26">
        <v>45037</v>
      </c>
      <c r="J369" s="4" t="s">
        <v>1614</v>
      </c>
      <c r="K369" s="4" t="s">
        <v>1682</v>
      </c>
    </row>
    <row r="370" spans="1:11" x14ac:dyDescent="0.45">
      <c r="A370" s="9" t="s">
        <v>494</v>
      </c>
      <c r="B370" s="9" t="s">
        <v>1608</v>
      </c>
      <c r="C370" s="9" t="s">
        <v>492</v>
      </c>
      <c r="D370" s="9" t="b">
        <f>TRUE()</f>
        <v>1</v>
      </c>
      <c r="E370" s="10">
        <v>23520</v>
      </c>
      <c r="F370" s="12">
        <f t="shared" si="5"/>
        <v>0.94888449590511159</v>
      </c>
      <c r="G370" s="10">
        <v>6096</v>
      </c>
      <c r="H370" s="27">
        <v>44928</v>
      </c>
      <c r="I370" s="27">
        <v>46296</v>
      </c>
      <c r="J370" s="9" t="s">
        <v>1609</v>
      </c>
      <c r="K370" s="9" t="s">
        <v>1689</v>
      </c>
    </row>
    <row r="371" spans="1:11" x14ac:dyDescent="0.45">
      <c r="A371" s="4" t="s">
        <v>494</v>
      </c>
      <c r="B371" s="4" t="s">
        <v>1608</v>
      </c>
      <c r="C371" s="4" t="s">
        <v>915</v>
      </c>
      <c r="D371" s="4" t="b">
        <f>FALSE()</f>
        <v>0</v>
      </c>
      <c r="E371" s="5">
        <v>1267</v>
      </c>
      <c r="F371" s="7">
        <f t="shared" si="5"/>
        <v>5.111550409488845E-2</v>
      </c>
      <c r="G371" s="5">
        <v>0</v>
      </c>
      <c r="H371" s="26">
        <v>44928</v>
      </c>
      <c r="I371" s="26">
        <v>45055</v>
      </c>
      <c r="J371" s="4" t="s">
        <v>1614</v>
      </c>
      <c r="K371" s="4" t="s">
        <v>1690</v>
      </c>
    </row>
    <row r="372" spans="1:11" x14ac:dyDescent="0.45">
      <c r="A372" s="9" t="s">
        <v>495</v>
      </c>
      <c r="B372" s="9" t="s">
        <v>1608</v>
      </c>
      <c r="C372" s="9" t="s">
        <v>492</v>
      </c>
      <c r="D372" s="9" t="b">
        <f>TRUE()</f>
        <v>1</v>
      </c>
      <c r="E372" s="10">
        <v>22304</v>
      </c>
      <c r="F372" s="12">
        <f t="shared" si="5"/>
        <v>0.98359499029811259</v>
      </c>
      <c r="G372" s="10">
        <v>5375</v>
      </c>
      <c r="H372" s="27">
        <v>44928</v>
      </c>
      <c r="I372" s="27">
        <v>46296</v>
      </c>
      <c r="J372" s="9" t="s">
        <v>1609</v>
      </c>
      <c r="K372" s="9" t="s">
        <v>1689</v>
      </c>
    </row>
    <row r="373" spans="1:11" x14ac:dyDescent="0.45">
      <c r="A373" s="4" t="s">
        <v>495</v>
      </c>
      <c r="B373" s="4" t="s">
        <v>1608</v>
      </c>
      <c r="C373" s="4" t="s">
        <v>915</v>
      </c>
      <c r="D373" s="4" t="b">
        <f>FALSE()</f>
        <v>0</v>
      </c>
      <c r="E373" s="5">
        <v>372</v>
      </c>
      <c r="F373" s="7">
        <f t="shared" si="5"/>
        <v>1.640500970188746E-2</v>
      </c>
      <c r="G373" s="5">
        <v>0</v>
      </c>
      <c r="H373" s="26">
        <v>44928</v>
      </c>
      <c r="I373" s="26">
        <v>45054</v>
      </c>
      <c r="J373" s="4" t="s">
        <v>1614</v>
      </c>
      <c r="K373" s="4" t="s">
        <v>1691</v>
      </c>
    </row>
    <row r="374" spans="1:11" x14ac:dyDescent="0.45">
      <c r="A374" s="9" t="s">
        <v>498</v>
      </c>
      <c r="B374" s="9" t="s">
        <v>1608</v>
      </c>
      <c r="C374" s="9" t="s">
        <v>492</v>
      </c>
      <c r="D374" s="9" t="b">
        <f>TRUE()</f>
        <v>1</v>
      </c>
      <c r="E374" s="10">
        <v>18521</v>
      </c>
      <c r="F374" s="12">
        <f t="shared" si="5"/>
        <v>0.83341583044593437</v>
      </c>
      <c r="G374" s="10">
        <v>2743</v>
      </c>
      <c r="H374" s="27">
        <v>44928</v>
      </c>
      <c r="I374" s="27">
        <v>46296</v>
      </c>
      <c r="J374" s="9" t="s">
        <v>1609</v>
      </c>
      <c r="K374" s="9" t="s">
        <v>1689</v>
      </c>
    </row>
    <row r="375" spans="1:11" x14ac:dyDescent="0.45">
      <c r="A375" s="4" t="s">
        <v>498</v>
      </c>
      <c r="B375" s="4" t="s">
        <v>1608</v>
      </c>
      <c r="C375" s="4" t="s">
        <v>915</v>
      </c>
      <c r="D375" s="4" t="b">
        <f>FALSE()</f>
        <v>0</v>
      </c>
      <c r="E375" s="5">
        <v>3702</v>
      </c>
      <c r="F375" s="7">
        <f t="shared" si="5"/>
        <v>0.1665841695540656</v>
      </c>
      <c r="G375" s="5">
        <v>0</v>
      </c>
      <c r="H375" s="26">
        <v>44928</v>
      </c>
      <c r="I375" s="26">
        <v>45055</v>
      </c>
      <c r="J375" s="4" t="s">
        <v>1614</v>
      </c>
      <c r="K375" s="4" t="s">
        <v>1690</v>
      </c>
    </row>
    <row r="376" spans="1:11" x14ac:dyDescent="0.45">
      <c r="A376" s="9" t="s">
        <v>499</v>
      </c>
      <c r="B376" s="9" t="s">
        <v>1608</v>
      </c>
      <c r="C376" s="9" t="s">
        <v>492</v>
      </c>
      <c r="D376" s="9" t="b">
        <f>TRUE()</f>
        <v>1</v>
      </c>
      <c r="E376" s="10">
        <v>20555</v>
      </c>
      <c r="F376" s="12">
        <f t="shared" si="5"/>
        <v>0.95564647356920362</v>
      </c>
      <c r="G376" s="10">
        <v>4256</v>
      </c>
      <c r="H376" s="27">
        <v>44933</v>
      </c>
      <c r="I376" s="27">
        <v>46296</v>
      </c>
      <c r="J376" s="9" t="s">
        <v>1609</v>
      </c>
      <c r="K376" s="9" t="s">
        <v>1974</v>
      </c>
    </row>
    <row r="377" spans="1:11" x14ac:dyDescent="0.45">
      <c r="A377" s="4" t="s">
        <v>499</v>
      </c>
      <c r="B377" s="4" t="s">
        <v>1608</v>
      </c>
      <c r="C377" s="4" t="s">
        <v>915</v>
      </c>
      <c r="D377" s="4" t="b">
        <f>FALSE()</f>
        <v>0</v>
      </c>
      <c r="E377" s="5">
        <v>954</v>
      </c>
      <c r="F377" s="7">
        <f t="shared" si="5"/>
        <v>4.435352643079641E-2</v>
      </c>
      <c r="G377" s="5">
        <v>0</v>
      </c>
      <c r="H377" s="26">
        <v>44929</v>
      </c>
      <c r="I377" s="26">
        <v>45055</v>
      </c>
      <c r="J377" s="4" t="s">
        <v>1614</v>
      </c>
      <c r="K377" s="4" t="s">
        <v>1975</v>
      </c>
    </row>
    <row r="378" spans="1:11" x14ac:dyDescent="0.45">
      <c r="A378" s="9" t="s">
        <v>500</v>
      </c>
      <c r="B378" s="9" t="s">
        <v>1608</v>
      </c>
      <c r="C378" s="9" t="s">
        <v>492</v>
      </c>
      <c r="D378" s="9" t="b">
        <f>TRUE()</f>
        <v>1</v>
      </c>
      <c r="E378" s="10">
        <v>18664</v>
      </c>
      <c r="F378" s="12">
        <f t="shared" si="5"/>
        <v>0.9454434932374246</v>
      </c>
      <c r="G378" s="10">
        <v>5296</v>
      </c>
      <c r="H378" s="27">
        <v>44932</v>
      </c>
      <c r="I378" s="27">
        <v>46296</v>
      </c>
      <c r="J378" s="9" t="s">
        <v>1609</v>
      </c>
      <c r="K378" s="9" t="s">
        <v>1976</v>
      </c>
    </row>
    <row r="379" spans="1:11" x14ac:dyDescent="0.45">
      <c r="A379" s="4" t="s">
        <v>500</v>
      </c>
      <c r="B379" s="4" t="s">
        <v>1608</v>
      </c>
      <c r="C379" s="4" t="s">
        <v>915</v>
      </c>
      <c r="D379" s="4" t="b">
        <f>FALSE()</f>
        <v>0</v>
      </c>
      <c r="E379" s="5">
        <v>1077</v>
      </c>
      <c r="F379" s="7">
        <f t="shared" si="5"/>
        <v>5.4556506762575348E-2</v>
      </c>
      <c r="G379" s="5">
        <v>0</v>
      </c>
      <c r="H379" s="26">
        <v>44928</v>
      </c>
      <c r="I379" s="26">
        <v>45055</v>
      </c>
      <c r="J379" s="4" t="s">
        <v>1614</v>
      </c>
      <c r="K379" s="4" t="s">
        <v>1977</v>
      </c>
    </row>
    <row r="380" spans="1:11" x14ac:dyDescent="0.45">
      <c r="A380" s="9" t="s">
        <v>501</v>
      </c>
      <c r="B380" s="9" t="s">
        <v>1608</v>
      </c>
      <c r="C380" s="9" t="s">
        <v>492</v>
      </c>
      <c r="D380" s="9" t="b">
        <f>TRUE()</f>
        <v>1</v>
      </c>
      <c r="E380" s="10">
        <v>18051</v>
      </c>
      <c r="F380" s="12">
        <f t="shared" si="5"/>
        <v>0.94845523329129888</v>
      </c>
      <c r="G380" s="10">
        <v>3089</v>
      </c>
      <c r="H380" s="27">
        <v>44928</v>
      </c>
      <c r="I380" s="27">
        <v>46251</v>
      </c>
      <c r="J380" s="9" t="s">
        <v>1609</v>
      </c>
      <c r="K380" s="9" t="s">
        <v>1978</v>
      </c>
    </row>
    <row r="381" spans="1:11" x14ac:dyDescent="0.45">
      <c r="A381" s="4" t="s">
        <v>501</v>
      </c>
      <c r="B381" s="4" t="s">
        <v>1608</v>
      </c>
      <c r="C381" s="4" t="s">
        <v>915</v>
      </c>
      <c r="D381" s="4" t="b">
        <f>FALSE()</f>
        <v>0</v>
      </c>
      <c r="E381" s="5">
        <v>981</v>
      </c>
      <c r="F381" s="7">
        <f t="shared" si="5"/>
        <v>5.1544766708701138E-2</v>
      </c>
      <c r="G381" s="5">
        <v>0</v>
      </c>
      <c r="H381" s="26">
        <v>44928</v>
      </c>
      <c r="I381" s="26">
        <v>45055</v>
      </c>
      <c r="J381" s="4" t="s">
        <v>1614</v>
      </c>
      <c r="K381" s="4" t="s">
        <v>1690</v>
      </c>
    </row>
    <row r="382" spans="1:11" x14ac:dyDescent="0.45">
      <c r="A382" s="9" t="s">
        <v>502</v>
      </c>
      <c r="B382" s="9" t="s">
        <v>1608</v>
      </c>
      <c r="C382" s="9" t="s">
        <v>492</v>
      </c>
      <c r="D382" s="9" t="b">
        <f>TRUE()</f>
        <v>1</v>
      </c>
      <c r="E382" s="10">
        <v>16805</v>
      </c>
      <c r="F382" s="12">
        <f t="shared" si="5"/>
        <v>0.93971928647318681</v>
      </c>
      <c r="G382" s="10">
        <v>3770</v>
      </c>
      <c r="H382" s="27">
        <v>44930</v>
      </c>
      <c r="I382" s="27">
        <v>46296</v>
      </c>
      <c r="J382" s="9" t="s">
        <v>1609</v>
      </c>
      <c r="K382" s="9" t="s">
        <v>1961</v>
      </c>
    </row>
    <row r="383" spans="1:11" x14ac:dyDescent="0.45">
      <c r="A383" s="4" t="s">
        <v>502</v>
      </c>
      <c r="B383" s="4" t="s">
        <v>1608</v>
      </c>
      <c r="C383" s="4" t="s">
        <v>915</v>
      </c>
      <c r="D383" s="4" t="b">
        <f>FALSE()</f>
        <v>0</v>
      </c>
      <c r="E383" s="5">
        <v>1078</v>
      </c>
      <c r="F383" s="7">
        <f t="shared" si="5"/>
        <v>6.0280713526813176E-2</v>
      </c>
      <c r="G383" s="5">
        <v>0</v>
      </c>
      <c r="H383" s="26">
        <v>44928</v>
      </c>
      <c r="I383" s="26">
        <v>45055</v>
      </c>
      <c r="J383" s="4" t="s">
        <v>1614</v>
      </c>
      <c r="K383" s="4" t="s">
        <v>1642</v>
      </c>
    </row>
    <row r="384" spans="1:11" x14ac:dyDescent="0.45">
      <c r="A384" s="9" t="s">
        <v>503</v>
      </c>
      <c r="B384" s="9" t="s">
        <v>1608</v>
      </c>
      <c r="C384" s="9" t="s">
        <v>492</v>
      </c>
      <c r="D384" s="9" t="b">
        <f>TRUE()</f>
        <v>1</v>
      </c>
      <c r="E384" s="10">
        <v>16338</v>
      </c>
      <c r="F384" s="12">
        <f t="shared" si="5"/>
        <v>0.93269395444425418</v>
      </c>
      <c r="G384" s="10">
        <v>4320</v>
      </c>
      <c r="H384" s="27">
        <v>44929</v>
      </c>
      <c r="I384" s="27">
        <v>46296</v>
      </c>
      <c r="J384" s="9" t="s">
        <v>1609</v>
      </c>
      <c r="K384" s="9" t="s">
        <v>1683</v>
      </c>
    </row>
    <row r="385" spans="1:11" x14ac:dyDescent="0.45">
      <c r="A385" s="4" t="s">
        <v>503</v>
      </c>
      <c r="B385" s="4" t="s">
        <v>1608</v>
      </c>
      <c r="C385" s="4" t="s">
        <v>915</v>
      </c>
      <c r="D385" s="4" t="b">
        <f>FALSE()</f>
        <v>0</v>
      </c>
      <c r="E385" s="5">
        <v>1179</v>
      </c>
      <c r="F385" s="7">
        <f t="shared" si="5"/>
        <v>6.7306045555745847E-2</v>
      </c>
      <c r="G385" s="5">
        <v>0</v>
      </c>
      <c r="H385" s="26">
        <v>44928</v>
      </c>
      <c r="I385" s="26">
        <v>45055</v>
      </c>
      <c r="J385" s="4" t="s">
        <v>1614</v>
      </c>
      <c r="K385" s="4" t="s">
        <v>1684</v>
      </c>
    </row>
    <row r="386" spans="1:11" x14ac:dyDescent="0.45">
      <c r="A386" s="9" t="s">
        <v>504</v>
      </c>
      <c r="B386" s="9" t="s">
        <v>1608</v>
      </c>
      <c r="C386" s="9" t="s">
        <v>492</v>
      </c>
      <c r="D386" s="9" t="b">
        <f>TRUE()</f>
        <v>1</v>
      </c>
      <c r="E386" s="10">
        <v>11629</v>
      </c>
      <c r="F386" s="12">
        <f t="shared" ref="F386:F449" si="6">E386/SUMIFS($E$2:$E$783,$A$2:$A$783,A386)</f>
        <v>0.9616306954436451</v>
      </c>
      <c r="G386" s="10">
        <v>2844</v>
      </c>
      <c r="H386" s="27">
        <v>44931</v>
      </c>
      <c r="I386" s="27">
        <v>46296</v>
      </c>
      <c r="J386" s="9" t="s">
        <v>1609</v>
      </c>
      <c r="K386" s="9" t="s">
        <v>1696</v>
      </c>
    </row>
    <row r="387" spans="1:11" x14ac:dyDescent="0.45">
      <c r="A387" s="4" t="s">
        <v>504</v>
      </c>
      <c r="B387" s="4" t="s">
        <v>1608</v>
      </c>
      <c r="C387" s="4" t="s">
        <v>915</v>
      </c>
      <c r="D387" s="4" t="b">
        <f>FALSE()</f>
        <v>0</v>
      </c>
      <c r="E387" s="5">
        <v>464</v>
      </c>
      <c r="F387" s="7">
        <f t="shared" si="6"/>
        <v>3.8369304556354913E-2</v>
      </c>
      <c r="G387" s="5">
        <v>0</v>
      </c>
      <c r="H387" s="26">
        <v>44928</v>
      </c>
      <c r="I387" s="26">
        <v>45055</v>
      </c>
      <c r="J387" s="4" t="s">
        <v>1614</v>
      </c>
      <c r="K387" s="4" t="s">
        <v>1697</v>
      </c>
    </row>
    <row r="388" spans="1:11" x14ac:dyDescent="0.45">
      <c r="A388" s="9" t="s">
        <v>505</v>
      </c>
      <c r="B388" s="9" t="s">
        <v>1608</v>
      </c>
      <c r="C388" s="9" t="s">
        <v>492</v>
      </c>
      <c r="D388" s="9" t="b">
        <f>TRUE()</f>
        <v>1</v>
      </c>
      <c r="E388" s="10">
        <v>11511</v>
      </c>
      <c r="F388" s="12">
        <f t="shared" si="6"/>
        <v>0.95932994416201345</v>
      </c>
      <c r="G388" s="10">
        <v>2495</v>
      </c>
      <c r="H388" s="27">
        <v>44929</v>
      </c>
      <c r="I388" s="27">
        <v>46296</v>
      </c>
      <c r="J388" s="9" t="s">
        <v>1609</v>
      </c>
      <c r="K388" s="9" t="s">
        <v>1683</v>
      </c>
    </row>
    <row r="389" spans="1:11" x14ac:dyDescent="0.45">
      <c r="A389" s="4" t="s">
        <v>505</v>
      </c>
      <c r="B389" s="4" t="s">
        <v>1608</v>
      </c>
      <c r="C389" s="4" t="s">
        <v>915</v>
      </c>
      <c r="D389" s="4" t="b">
        <f>FALSE()</f>
        <v>0</v>
      </c>
      <c r="E389" s="5">
        <v>488</v>
      </c>
      <c r="F389" s="7">
        <f t="shared" si="6"/>
        <v>4.0670055837986496E-2</v>
      </c>
      <c r="G389" s="5">
        <v>0</v>
      </c>
      <c r="H389" s="26">
        <v>44928</v>
      </c>
      <c r="I389" s="26">
        <v>45055</v>
      </c>
      <c r="J389" s="4" t="s">
        <v>1614</v>
      </c>
      <c r="K389" s="4" t="s">
        <v>1684</v>
      </c>
    </row>
    <row r="390" spans="1:11" x14ac:dyDescent="0.45">
      <c r="A390" s="9" t="s">
        <v>506</v>
      </c>
      <c r="B390" s="9" t="s">
        <v>1608</v>
      </c>
      <c r="C390" s="9" t="s">
        <v>492</v>
      </c>
      <c r="D390" s="9" t="b">
        <f>TRUE()</f>
        <v>1</v>
      </c>
      <c r="E390" s="10">
        <v>11014</v>
      </c>
      <c r="F390" s="12">
        <f t="shared" si="6"/>
        <v>0.93537154989384286</v>
      </c>
      <c r="G390" s="10">
        <v>2472</v>
      </c>
      <c r="H390" s="27">
        <v>44937</v>
      </c>
      <c r="I390" s="27">
        <v>46296</v>
      </c>
      <c r="J390" s="9" t="s">
        <v>1609</v>
      </c>
      <c r="K390" s="9" t="s">
        <v>1979</v>
      </c>
    </row>
    <row r="391" spans="1:11" x14ac:dyDescent="0.45">
      <c r="A391" s="4" t="s">
        <v>506</v>
      </c>
      <c r="B391" s="4" t="s">
        <v>1608</v>
      </c>
      <c r="C391" s="4" t="s">
        <v>915</v>
      </c>
      <c r="D391" s="4" t="b">
        <f>FALSE()</f>
        <v>0</v>
      </c>
      <c r="E391" s="5">
        <v>761</v>
      </c>
      <c r="F391" s="7">
        <f t="shared" si="6"/>
        <v>6.4628450106157115E-2</v>
      </c>
      <c r="G391" s="5">
        <v>0</v>
      </c>
      <c r="H391" s="26">
        <v>44928</v>
      </c>
      <c r="I391" s="26">
        <v>45055</v>
      </c>
      <c r="J391" s="4" t="s">
        <v>1614</v>
      </c>
      <c r="K391" s="4" t="s">
        <v>1980</v>
      </c>
    </row>
    <row r="392" spans="1:11" x14ac:dyDescent="0.45">
      <c r="A392" s="9" t="s">
        <v>509</v>
      </c>
      <c r="B392" s="9" t="s">
        <v>1608</v>
      </c>
      <c r="C392" s="9" t="s">
        <v>492</v>
      </c>
      <c r="D392" s="9" t="b">
        <f>TRUE()</f>
        <v>1</v>
      </c>
      <c r="E392" s="10">
        <v>6795</v>
      </c>
      <c r="F392" s="12">
        <f t="shared" si="6"/>
        <v>0.97140814867762693</v>
      </c>
      <c r="G392" s="10">
        <v>1807</v>
      </c>
      <c r="H392" s="27">
        <v>44935</v>
      </c>
      <c r="I392" s="27">
        <v>46296</v>
      </c>
      <c r="J392" s="9" t="s">
        <v>1609</v>
      </c>
      <c r="K392" s="9" t="s">
        <v>1692</v>
      </c>
    </row>
    <row r="393" spans="1:11" x14ac:dyDescent="0.45">
      <c r="A393" s="4" t="s">
        <v>509</v>
      </c>
      <c r="B393" s="4" t="s">
        <v>1608</v>
      </c>
      <c r="C393" s="4" t="s">
        <v>915</v>
      </c>
      <c r="D393" s="4" t="b">
        <f>FALSE()</f>
        <v>0</v>
      </c>
      <c r="E393" s="5">
        <v>200</v>
      </c>
      <c r="F393" s="7">
        <f t="shared" si="6"/>
        <v>2.8591851322373123E-2</v>
      </c>
      <c r="G393" s="5">
        <v>0</v>
      </c>
      <c r="H393" s="26">
        <v>44929</v>
      </c>
      <c r="I393" s="26">
        <v>45055</v>
      </c>
      <c r="J393" s="4" t="s">
        <v>1614</v>
      </c>
      <c r="K393" s="4" t="s">
        <v>1981</v>
      </c>
    </row>
    <row r="394" spans="1:11" x14ac:dyDescent="0.45">
      <c r="A394" s="9" t="s">
        <v>511</v>
      </c>
      <c r="B394" s="9" t="s">
        <v>1608</v>
      </c>
      <c r="C394" s="9" t="s">
        <v>492</v>
      </c>
      <c r="D394" s="9" t="b">
        <f>TRUE()</f>
        <v>1</v>
      </c>
      <c r="E394" s="10">
        <v>5507</v>
      </c>
      <c r="F394" s="12">
        <f t="shared" si="6"/>
        <v>0.96732829790971364</v>
      </c>
      <c r="G394" s="10">
        <v>1353</v>
      </c>
      <c r="H394" s="27">
        <v>44928</v>
      </c>
      <c r="I394" s="27">
        <v>46296</v>
      </c>
      <c r="J394" s="9" t="s">
        <v>1609</v>
      </c>
      <c r="K394" s="9" t="s">
        <v>1689</v>
      </c>
    </row>
    <row r="395" spans="1:11" x14ac:dyDescent="0.45">
      <c r="A395" s="4" t="s">
        <v>511</v>
      </c>
      <c r="B395" s="4" t="s">
        <v>1608</v>
      </c>
      <c r="C395" s="4" t="s">
        <v>915</v>
      </c>
      <c r="D395" s="4" t="b">
        <f>FALSE()</f>
        <v>0</v>
      </c>
      <c r="E395" s="5">
        <v>186</v>
      </c>
      <c r="F395" s="7">
        <f t="shared" si="6"/>
        <v>3.2671702090286317E-2</v>
      </c>
      <c r="G395" s="5">
        <v>0</v>
      </c>
      <c r="H395" s="26">
        <v>44928</v>
      </c>
      <c r="I395" s="26">
        <v>45050</v>
      </c>
      <c r="J395" s="4" t="s">
        <v>1614</v>
      </c>
      <c r="K395" s="4" t="s">
        <v>1982</v>
      </c>
    </row>
    <row r="396" spans="1:11" x14ac:dyDescent="0.45">
      <c r="A396" s="9" t="s">
        <v>513</v>
      </c>
      <c r="B396" s="9" t="s">
        <v>1608</v>
      </c>
      <c r="C396" s="9" t="s">
        <v>492</v>
      </c>
      <c r="D396" s="9" t="b">
        <f>TRUE()</f>
        <v>1</v>
      </c>
      <c r="E396" s="10">
        <v>4466</v>
      </c>
      <c r="F396" s="12">
        <f t="shared" si="6"/>
        <v>0.9127324749642346</v>
      </c>
      <c r="G396" s="10">
        <v>930</v>
      </c>
      <c r="H396" s="27">
        <v>45022</v>
      </c>
      <c r="I396" s="27">
        <v>46217</v>
      </c>
      <c r="J396" s="9" t="s">
        <v>1609</v>
      </c>
      <c r="K396" s="9" t="s">
        <v>1983</v>
      </c>
    </row>
    <row r="397" spans="1:11" x14ac:dyDescent="0.45">
      <c r="A397" s="4" t="s">
        <v>513</v>
      </c>
      <c r="B397" s="4" t="s">
        <v>1608</v>
      </c>
      <c r="C397" s="4" t="s">
        <v>915</v>
      </c>
      <c r="D397" s="4" t="b">
        <f>FALSE()</f>
        <v>0</v>
      </c>
      <c r="E397" s="5">
        <v>427</v>
      </c>
      <c r="F397" s="7">
        <f t="shared" si="6"/>
        <v>8.7267525035765375E-2</v>
      </c>
      <c r="G397" s="5">
        <v>0</v>
      </c>
      <c r="H397" s="26">
        <v>44938</v>
      </c>
      <c r="I397" s="26">
        <v>45055</v>
      </c>
      <c r="J397" s="4" t="s">
        <v>1614</v>
      </c>
      <c r="K397" s="4" t="s">
        <v>1984</v>
      </c>
    </row>
    <row r="398" spans="1:11" x14ac:dyDescent="0.45">
      <c r="A398" s="9" t="s">
        <v>518</v>
      </c>
      <c r="B398" s="9" t="s">
        <v>1608</v>
      </c>
      <c r="C398" s="9" t="s">
        <v>492</v>
      </c>
      <c r="D398" s="9" t="b">
        <f>TRUE()</f>
        <v>1</v>
      </c>
      <c r="E398" s="10">
        <v>4367</v>
      </c>
      <c r="F398" s="12">
        <f t="shared" si="6"/>
        <v>0.96020228671943708</v>
      </c>
      <c r="G398" s="10">
        <v>911</v>
      </c>
      <c r="H398" s="27">
        <v>44930</v>
      </c>
      <c r="I398" s="27">
        <v>46296</v>
      </c>
      <c r="J398" s="9" t="s">
        <v>1609</v>
      </c>
      <c r="K398" s="9" t="s">
        <v>1961</v>
      </c>
    </row>
    <row r="399" spans="1:11" x14ac:dyDescent="0.45">
      <c r="A399" s="4" t="s">
        <v>518</v>
      </c>
      <c r="B399" s="4" t="s">
        <v>1608</v>
      </c>
      <c r="C399" s="4" t="s">
        <v>915</v>
      </c>
      <c r="D399" s="4" t="b">
        <f>FALSE()</f>
        <v>0</v>
      </c>
      <c r="E399" s="5">
        <v>181</v>
      </c>
      <c r="F399" s="7">
        <f t="shared" si="6"/>
        <v>3.9797713280562884E-2</v>
      </c>
      <c r="G399" s="5">
        <v>0</v>
      </c>
      <c r="H399" s="26">
        <v>44928</v>
      </c>
      <c r="I399" s="26">
        <v>45054</v>
      </c>
      <c r="J399" s="4" t="s">
        <v>1614</v>
      </c>
      <c r="K399" s="4" t="s">
        <v>1985</v>
      </c>
    </row>
    <row r="400" spans="1:11" x14ac:dyDescent="0.45">
      <c r="A400" s="9" t="s">
        <v>519</v>
      </c>
      <c r="B400" s="9" t="s">
        <v>1608</v>
      </c>
      <c r="C400" s="9" t="s">
        <v>492</v>
      </c>
      <c r="D400" s="9" t="b">
        <f>TRUE()</f>
        <v>1</v>
      </c>
      <c r="E400" s="10">
        <v>4345</v>
      </c>
      <c r="F400" s="12">
        <f t="shared" si="6"/>
        <v>0.99976990335941096</v>
      </c>
      <c r="G400" s="10">
        <v>780</v>
      </c>
      <c r="H400" s="27">
        <v>44929</v>
      </c>
      <c r="I400" s="27">
        <v>46218</v>
      </c>
      <c r="J400" s="9" t="s">
        <v>1609</v>
      </c>
      <c r="K400" s="9" t="s">
        <v>1986</v>
      </c>
    </row>
    <row r="401" spans="1:11" x14ac:dyDescent="0.45">
      <c r="A401" s="4" t="s">
        <v>519</v>
      </c>
      <c r="B401" s="4" t="s">
        <v>1608</v>
      </c>
      <c r="C401" s="4" t="s">
        <v>915</v>
      </c>
      <c r="D401" s="4" t="b">
        <f>FALSE()</f>
        <v>0</v>
      </c>
      <c r="E401" s="5">
        <v>1</v>
      </c>
      <c r="F401" s="7">
        <f t="shared" si="6"/>
        <v>2.3009664058904741E-4</v>
      </c>
      <c r="G401" s="5">
        <v>0</v>
      </c>
      <c r="H401" s="26">
        <v>44953</v>
      </c>
      <c r="I401" s="26">
        <v>44953</v>
      </c>
      <c r="J401" s="4" t="s">
        <v>1614</v>
      </c>
      <c r="K401" s="4" t="s">
        <v>1987</v>
      </c>
    </row>
    <row r="402" spans="1:11" x14ac:dyDescent="0.45">
      <c r="A402" s="9" t="s">
        <v>522</v>
      </c>
      <c r="B402" s="9" t="s">
        <v>1608</v>
      </c>
      <c r="C402" s="9" t="s">
        <v>492</v>
      </c>
      <c r="D402" s="9" t="b">
        <f>TRUE()</f>
        <v>1</v>
      </c>
      <c r="E402" s="10">
        <v>2300</v>
      </c>
      <c r="F402" s="12">
        <f t="shared" si="6"/>
        <v>0.95119933829611247</v>
      </c>
      <c r="G402" s="10">
        <v>622</v>
      </c>
      <c r="H402" s="27">
        <v>44933</v>
      </c>
      <c r="I402" s="27">
        <v>46296</v>
      </c>
      <c r="J402" s="9" t="s">
        <v>1609</v>
      </c>
      <c r="K402" s="9" t="s">
        <v>1974</v>
      </c>
    </row>
    <row r="403" spans="1:11" x14ac:dyDescent="0.45">
      <c r="A403" s="4" t="s">
        <v>522</v>
      </c>
      <c r="B403" s="4" t="s">
        <v>1608</v>
      </c>
      <c r="C403" s="4" t="s">
        <v>915</v>
      </c>
      <c r="D403" s="4" t="b">
        <f>FALSE()</f>
        <v>0</v>
      </c>
      <c r="E403" s="5">
        <v>118</v>
      </c>
      <c r="F403" s="7">
        <f t="shared" si="6"/>
        <v>4.8800661703887513E-2</v>
      </c>
      <c r="G403" s="5">
        <v>0</v>
      </c>
      <c r="H403" s="26">
        <v>44928</v>
      </c>
      <c r="I403" s="26">
        <v>45048</v>
      </c>
      <c r="J403" s="4" t="s">
        <v>1614</v>
      </c>
      <c r="K403" s="4" t="s">
        <v>1988</v>
      </c>
    </row>
    <row r="404" spans="1:11" x14ac:dyDescent="0.45">
      <c r="A404" s="9" t="s">
        <v>523</v>
      </c>
      <c r="B404" s="9" t="s">
        <v>1608</v>
      </c>
      <c r="C404" s="9" t="s">
        <v>492</v>
      </c>
      <c r="D404" s="9" t="b">
        <f>TRUE()</f>
        <v>1</v>
      </c>
      <c r="E404" s="10">
        <v>1894</v>
      </c>
      <c r="F404" s="12">
        <f t="shared" si="6"/>
        <v>0.93162813575996062</v>
      </c>
      <c r="G404" s="10">
        <v>419</v>
      </c>
      <c r="H404" s="27">
        <v>44968</v>
      </c>
      <c r="I404" s="27">
        <v>46296</v>
      </c>
      <c r="J404" s="9" t="s">
        <v>1609</v>
      </c>
      <c r="K404" s="9" t="s">
        <v>1989</v>
      </c>
    </row>
    <row r="405" spans="1:11" x14ac:dyDescent="0.45">
      <c r="A405" s="4" t="s">
        <v>523</v>
      </c>
      <c r="B405" s="4" t="s">
        <v>1608</v>
      </c>
      <c r="C405" s="4" t="s">
        <v>915</v>
      </c>
      <c r="D405" s="4" t="b">
        <f>FALSE()</f>
        <v>0</v>
      </c>
      <c r="E405" s="5">
        <v>139</v>
      </c>
      <c r="F405" s="7">
        <f t="shared" si="6"/>
        <v>6.8371864240039354E-2</v>
      </c>
      <c r="G405" s="5">
        <v>0</v>
      </c>
      <c r="H405" s="26">
        <v>44928</v>
      </c>
      <c r="I405" s="26">
        <v>45049</v>
      </c>
      <c r="J405" s="4" t="s">
        <v>1614</v>
      </c>
      <c r="K405" s="4" t="s">
        <v>1990</v>
      </c>
    </row>
    <row r="406" spans="1:11" x14ac:dyDescent="0.45">
      <c r="A406" s="9" t="s">
        <v>525</v>
      </c>
      <c r="B406" s="9" t="s">
        <v>1608</v>
      </c>
      <c r="C406" s="9" t="s">
        <v>492</v>
      </c>
      <c r="D406" s="9" t="b">
        <f>TRUE()</f>
        <v>1</v>
      </c>
      <c r="E406" s="10">
        <v>1525</v>
      </c>
      <c r="F406" s="12">
        <f t="shared" si="6"/>
        <v>0.98133848133848134</v>
      </c>
      <c r="G406" s="10">
        <v>398</v>
      </c>
      <c r="H406" s="27">
        <v>45034</v>
      </c>
      <c r="I406" s="27">
        <v>46296</v>
      </c>
      <c r="J406" s="9" t="s">
        <v>1609</v>
      </c>
      <c r="K406" s="9" t="s">
        <v>1812</v>
      </c>
    </row>
    <row r="407" spans="1:11" x14ac:dyDescent="0.45">
      <c r="A407" s="4" t="s">
        <v>525</v>
      </c>
      <c r="B407" s="4" t="s">
        <v>1608</v>
      </c>
      <c r="C407" s="4" t="s">
        <v>915</v>
      </c>
      <c r="D407" s="4" t="b">
        <f>FALSE()</f>
        <v>0</v>
      </c>
      <c r="E407" s="5">
        <v>29</v>
      </c>
      <c r="F407" s="7">
        <f t="shared" si="6"/>
        <v>1.8661518661518661E-2</v>
      </c>
      <c r="G407" s="5">
        <v>0</v>
      </c>
      <c r="H407" s="26">
        <v>44936</v>
      </c>
      <c r="I407" s="26">
        <v>45049</v>
      </c>
      <c r="J407" s="4" t="s">
        <v>1614</v>
      </c>
      <c r="K407" s="4" t="s">
        <v>1991</v>
      </c>
    </row>
    <row r="408" spans="1:11" x14ac:dyDescent="0.45">
      <c r="A408" s="9" t="s">
        <v>527</v>
      </c>
      <c r="B408" s="9" t="s">
        <v>1608</v>
      </c>
      <c r="C408" s="9" t="s">
        <v>492</v>
      </c>
      <c r="D408" s="9" t="b">
        <f>TRUE()</f>
        <v>1</v>
      </c>
      <c r="E408" s="10">
        <v>1184</v>
      </c>
      <c r="F408" s="12">
        <f t="shared" si="6"/>
        <v>0.84874551971326162</v>
      </c>
      <c r="G408" s="10">
        <v>0</v>
      </c>
      <c r="H408" s="27">
        <v>45042</v>
      </c>
      <c r="I408" s="27">
        <v>45876</v>
      </c>
      <c r="J408" s="9" t="s">
        <v>1609</v>
      </c>
      <c r="K408" s="9" t="s">
        <v>1992</v>
      </c>
    </row>
    <row r="409" spans="1:11" x14ac:dyDescent="0.45">
      <c r="A409" s="4" t="s">
        <v>527</v>
      </c>
      <c r="B409" s="4" t="s">
        <v>1608</v>
      </c>
      <c r="C409" s="4" t="s">
        <v>915</v>
      </c>
      <c r="D409" s="4" t="b">
        <f>FALSE()</f>
        <v>0</v>
      </c>
      <c r="E409" s="5">
        <v>211</v>
      </c>
      <c r="F409" s="7">
        <f t="shared" si="6"/>
        <v>0.15125448028673835</v>
      </c>
      <c r="G409" s="5">
        <v>0</v>
      </c>
      <c r="H409" s="26">
        <v>44930</v>
      </c>
      <c r="I409" s="26">
        <v>45052</v>
      </c>
      <c r="J409" s="4" t="s">
        <v>1614</v>
      </c>
      <c r="K409" s="4" t="s">
        <v>1993</v>
      </c>
    </row>
    <row r="410" spans="1:11" x14ac:dyDescent="0.45">
      <c r="A410" s="9" t="s">
        <v>528</v>
      </c>
      <c r="B410" s="9" t="s">
        <v>1608</v>
      </c>
      <c r="C410" s="9" t="s">
        <v>492</v>
      </c>
      <c r="D410" s="9" t="b">
        <f>TRUE()</f>
        <v>1</v>
      </c>
      <c r="E410" s="10">
        <v>1329</v>
      </c>
      <c r="F410" s="12">
        <f t="shared" si="6"/>
        <v>0.97936624907885039</v>
      </c>
      <c r="G410" s="10">
        <v>313</v>
      </c>
      <c r="H410" s="27">
        <v>44944</v>
      </c>
      <c r="I410" s="27">
        <v>46295</v>
      </c>
      <c r="J410" s="9" t="s">
        <v>1609</v>
      </c>
      <c r="K410" s="9" t="s">
        <v>1994</v>
      </c>
    </row>
    <row r="411" spans="1:11" x14ac:dyDescent="0.45">
      <c r="A411" s="4" t="s">
        <v>528</v>
      </c>
      <c r="B411" s="4" t="s">
        <v>1608</v>
      </c>
      <c r="C411" s="4" t="s">
        <v>915</v>
      </c>
      <c r="D411" s="4" t="b">
        <f>FALSE()</f>
        <v>0</v>
      </c>
      <c r="E411" s="5">
        <v>28</v>
      </c>
      <c r="F411" s="7">
        <f t="shared" si="6"/>
        <v>2.0633750921149593E-2</v>
      </c>
      <c r="G411" s="5">
        <v>0</v>
      </c>
      <c r="H411" s="26">
        <v>44938</v>
      </c>
      <c r="I411" s="26">
        <v>45045</v>
      </c>
      <c r="J411" s="4" t="s">
        <v>1614</v>
      </c>
      <c r="K411" s="4" t="s">
        <v>1995</v>
      </c>
    </row>
    <row r="412" spans="1:11" x14ac:dyDescent="0.45">
      <c r="A412" s="9" t="s">
        <v>529</v>
      </c>
      <c r="B412" s="9" t="s">
        <v>1608</v>
      </c>
      <c r="C412" s="9" t="s">
        <v>492</v>
      </c>
      <c r="D412" s="9" t="b">
        <f>TRUE()</f>
        <v>1</v>
      </c>
      <c r="E412" s="10">
        <v>1136</v>
      </c>
      <c r="F412" s="12">
        <f t="shared" si="6"/>
        <v>0.93884297520661153</v>
      </c>
      <c r="G412" s="10">
        <v>254</v>
      </c>
      <c r="H412" s="27">
        <v>44988</v>
      </c>
      <c r="I412" s="27">
        <v>46296</v>
      </c>
      <c r="J412" s="9" t="s">
        <v>1609</v>
      </c>
      <c r="K412" s="9" t="s">
        <v>1934</v>
      </c>
    </row>
    <row r="413" spans="1:11" x14ac:dyDescent="0.45">
      <c r="A413" s="4" t="s">
        <v>529</v>
      </c>
      <c r="B413" s="4" t="s">
        <v>1608</v>
      </c>
      <c r="C413" s="4" t="s">
        <v>915</v>
      </c>
      <c r="D413" s="4" t="b">
        <f>FALSE()</f>
        <v>0</v>
      </c>
      <c r="E413" s="5">
        <v>74</v>
      </c>
      <c r="F413" s="7">
        <f t="shared" si="6"/>
        <v>6.1157024793388429E-2</v>
      </c>
      <c r="G413" s="5">
        <v>0</v>
      </c>
      <c r="H413" s="26">
        <v>44929</v>
      </c>
      <c r="I413" s="26">
        <v>45050</v>
      </c>
      <c r="J413" s="4" t="s">
        <v>1614</v>
      </c>
      <c r="K413" s="4" t="s">
        <v>1996</v>
      </c>
    </row>
    <row r="414" spans="1:11" x14ac:dyDescent="0.45">
      <c r="A414" s="9" t="s">
        <v>530</v>
      </c>
      <c r="B414" s="9" t="s">
        <v>1608</v>
      </c>
      <c r="C414" s="9" t="s">
        <v>492</v>
      </c>
      <c r="D414" s="9" t="b">
        <f>TRUE()</f>
        <v>1</v>
      </c>
      <c r="E414" s="10">
        <v>882</v>
      </c>
      <c r="F414" s="12">
        <f t="shared" si="6"/>
        <v>0.93630573248407645</v>
      </c>
      <c r="G414" s="10">
        <v>0</v>
      </c>
      <c r="H414" s="27">
        <v>44933</v>
      </c>
      <c r="I414" s="27">
        <v>45219</v>
      </c>
      <c r="J414" s="9" t="s">
        <v>1609</v>
      </c>
      <c r="K414" s="9" t="s">
        <v>1997</v>
      </c>
    </row>
    <row r="415" spans="1:11" x14ac:dyDescent="0.45">
      <c r="A415" s="4" t="s">
        <v>530</v>
      </c>
      <c r="B415" s="4" t="s">
        <v>1608</v>
      </c>
      <c r="C415" s="4" t="s">
        <v>915</v>
      </c>
      <c r="D415" s="4" t="b">
        <f>FALSE()</f>
        <v>0</v>
      </c>
      <c r="E415" s="5">
        <v>60</v>
      </c>
      <c r="F415" s="7">
        <f t="shared" si="6"/>
        <v>6.3694267515923567E-2</v>
      </c>
      <c r="G415" s="5">
        <v>0</v>
      </c>
      <c r="H415" s="26">
        <v>44929</v>
      </c>
      <c r="I415" s="26">
        <v>45054</v>
      </c>
      <c r="J415" s="4" t="s">
        <v>1614</v>
      </c>
      <c r="K415" s="4" t="s">
        <v>1998</v>
      </c>
    </row>
    <row r="416" spans="1:11" x14ac:dyDescent="0.45">
      <c r="A416" s="9" t="s">
        <v>531</v>
      </c>
      <c r="B416" s="9" t="s">
        <v>1608</v>
      </c>
      <c r="C416" s="9" t="s">
        <v>492</v>
      </c>
      <c r="D416" s="9" t="b">
        <f>TRUE()</f>
        <v>1</v>
      </c>
      <c r="E416" s="10">
        <v>783</v>
      </c>
      <c r="F416" s="12">
        <f t="shared" si="6"/>
        <v>0.97267080745341616</v>
      </c>
      <c r="G416" s="10">
        <v>154</v>
      </c>
      <c r="H416" s="27">
        <v>44966</v>
      </c>
      <c r="I416" s="27">
        <v>46294</v>
      </c>
      <c r="J416" s="9" t="s">
        <v>1609</v>
      </c>
      <c r="K416" s="9" t="s">
        <v>1999</v>
      </c>
    </row>
    <row r="417" spans="1:11" x14ac:dyDescent="0.45">
      <c r="A417" s="4" t="s">
        <v>531</v>
      </c>
      <c r="B417" s="4" t="s">
        <v>1608</v>
      </c>
      <c r="C417" s="4" t="s">
        <v>915</v>
      </c>
      <c r="D417" s="4" t="b">
        <f>FALSE()</f>
        <v>0</v>
      </c>
      <c r="E417" s="5">
        <v>22</v>
      </c>
      <c r="F417" s="7">
        <f t="shared" si="6"/>
        <v>2.732919254658385E-2</v>
      </c>
      <c r="G417" s="5">
        <v>0</v>
      </c>
      <c r="H417" s="26">
        <v>44930</v>
      </c>
      <c r="I417" s="26">
        <v>45008</v>
      </c>
      <c r="J417" s="4" t="s">
        <v>1614</v>
      </c>
      <c r="K417" s="4" t="s">
        <v>2000</v>
      </c>
    </row>
    <row r="418" spans="1:11" x14ac:dyDescent="0.45">
      <c r="A418" s="9" t="s">
        <v>537</v>
      </c>
      <c r="B418" s="9" t="s">
        <v>1608</v>
      </c>
      <c r="C418" s="9" t="s">
        <v>492</v>
      </c>
      <c r="D418" s="9" t="b">
        <f>TRUE()</f>
        <v>1</v>
      </c>
      <c r="E418" s="10">
        <v>421</v>
      </c>
      <c r="F418" s="12">
        <f t="shared" si="6"/>
        <v>0.87525987525987525</v>
      </c>
      <c r="G418" s="10">
        <v>0</v>
      </c>
      <c r="H418" s="27">
        <v>45028</v>
      </c>
      <c r="I418" s="27">
        <v>45595</v>
      </c>
      <c r="J418" s="9" t="s">
        <v>1609</v>
      </c>
      <c r="K418" s="9" t="s">
        <v>2001</v>
      </c>
    </row>
    <row r="419" spans="1:11" x14ac:dyDescent="0.45">
      <c r="A419" s="4" t="s">
        <v>537</v>
      </c>
      <c r="B419" s="4" t="s">
        <v>1608</v>
      </c>
      <c r="C419" s="4" t="s">
        <v>915</v>
      </c>
      <c r="D419" s="4" t="b">
        <f>FALSE()</f>
        <v>0</v>
      </c>
      <c r="E419" s="5">
        <v>60</v>
      </c>
      <c r="F419" s="7">
        <f t="shared" si="6"/>
        <v>0.12474012474012475</v>
      </c>
      <c r="G419" s="5">
        <v>0</v>
      </c>
      <c r="H419" s="26">
        <v>44930</v>
      </c>
      <c r="I419" s="26">
        <v>45050</v>
      </c>
      <c r="J419" s="4" t="s">
        <v>1614</v>
      </c>
      <c r="K419" s="4" t="s">
        <v>2002</v>
      </c>
    </row>
    <row r="420" spans="1:11" x14ac:dyDescent="0.45">
      <c r="A420" s="9" t="s">
        <v>539</v>
      </c>
      <c r="B420" s="9" t="s">
        <v>1608</v>
      </c>
      <c r="C420" s="9" t="s">
        <v>492</v>
      </c>
      <c r="D420" s="9" t="b">
        <f>TRUE()</f>
        <v>1</v>
      </c>
      <c r="E420" s="10">
        <v>439</v>
      </c>
      <c r="F420" s="12">
        <f t="shared" si="6"/>
        <v>0.94206008583690992</v>
      </c>
      <c r="G420" s="10">
        <v>96</v>
      </c>
      <c r="H420" s="27">
        <v>44942</v>
      </c>
      <c r="I420" s="27">
        <v>46296</v>
      </c>
      <c r="J420" s="9" t="s">
        <v>1609</v>
      </c>
      <c r="K420" s="9" t="s">
        <v>2003</v>
      </c>
    </row>
    <row r="421" spans="1:11" x14ac:dyDescent="0.45">
      <c r="A421" s="4" t="s">
        <v>539</v>
      </c>
      <c r="B421" s="4" t="s">
        <v>1608</v>
      </c>
      <c r="C421" s="4" t="s">
        <v>915</v>
      </c>
      <c r="D421" s="4" t="b">
        <f>FALSE()</f>
        <v>0</v>
      </c>
      <c r="E421" s="5">
        <v>27</v>
      </c>
      <c r="F421" s="7">
        <f t="shared" si="6"/>
        <v>5.7939914163090127E-2</v>
      </c>
      <c r="G421" s="5">
        <v>0</v>
      </c>
      <c r="H421" s="26">
        <v>44930</v>
      </c>
      <c r="I421" s="26">
        <v>45054</v>
      </c>
      <c r="J421" s="4" t="s">
        <v>1614</v>
      </c>
      <c r="K421" s="4" t="s">
        <v>2004</v>
      </c>
    </row>
    <row r="422" spans="1:11" x14ac:dyDescent="0.45">
      <c r="A422" s="9" t="s">
        <v>540</v>
      </c>
      <c r="B422" s="9" t="s">
        <v>1608</v>
      </c>
      <c r="C422" s="9" t="s">
        <v>492</v>
      </c>
      <c r="D422" s="9" t="b">
        <f>TRUE()</f>
        <v>1</v>
      </c>
      <c r="E422" s="10">
        <v>272</v>
      </c>
      <c r="F422" s="12">
        <f t="shared" si="6"/>
        <v>0.7010309278350515</v>
      </c>
      <c r="G422" s="10">
        <v>0</v>
      </c>
      <c r="H422" s="27">
        <v>44972</v>
      </c>
      <c r="I422" s="27">
        <v>45197</v>
      </c>
      <c r="J422" s="9" t="s">
        <v>1609</v>
      </c>
      <c r="K422" s="9" t="s">
        <v>2005</v>
      </c>
    </row>
    <row r="423" spans="1:11" x14ac:dyDescent="0.45">
      <c r="A423" s="4" t="s">
        <v>540</v>
      </c>
      <c r="B423" s="4" t="s">
        <v>1608</v>
      </c>
      <c r="C423" s="4" t="s">
        <v>915</v>
      </c>
      <c r="D423" s="4" t="b">
        <f>FALSE()</f>
        <v>0</v>
      </c>
      <c r="E423" s="5">
        <v>116</v>
      </c>
      <c r="F423" s="7">
        <f t="shared" si="6"/>
        <v>0.29896907216494845</v>
      </c>
      <c r="G423" s="5">
        <v>0</v>
      </c>
      <c r="H423" s="26">
        <v>44933</v>
      </c>
      <c r="I423" s="26">
        <v>45055</v>
      </c>
      <c r="J423" s="4" t="s">
        <v>1614</v>
      </c>
      <c r="K423" s="4" t="s">
        <v>2006</v>
      </c>
    </row>
    <row r="424" spans="1:11" x14ac:dyDescent="0.45">
      <c r="A424" s="9" t="s">
        <v>541</v>
      </c>
      <c r="B424" s="9" t="s">
        <v>1608</v>
      </c>
      <c r="C424" s="9" t="s">
        <v>492</v>
      </c>
      <c r="D424" s="9" t="b">
        <f>TRUE()</f>
        <v>1</v>
      </c>
      <c r="E424" s="10">
        <v>255</v>
      </c>
      <c r="F424" s="12">
        <f t="shared" si="6"/>
        <v>0.69672131147540983</v>
      </c>
      <c r="G424" s="10">
        <v>0</v>
      </c>
      <c r="H424" s="27">
        <v>45008</v>
      </c>
      <c r="I424" s="27">
        <v>45218</v>
      </c>
      <c r="J424" s="9" t="s">
        <v>1609</v>
      </c>
      <c r="K424" s="9" t="s">
        <v>2007</v>
      </c>
    </row>
    <row r="425" spans="1:11" x14ac:dyDescent="0.45">
      <c r="A425" s="4" t="s">
        <v>541</v>
      </c>
      <c r="B425" s="4" t="s">
        <v>1608</v>
      </c>
      <c r="C425" s="4" t="s">
        <v>915</v>
      </c>
      <c r="D425" s="4" t="b">
        <f>FALSE()</f>
        <v>0</v>
      </c>
      <c r="E425" s="5">
        <v>111</v>
      </c>
      <c r="F425" s="7">
        <f t="shared" si="6"/>
        <v>0.30327868852459017</v>
      </c>
      <c r="G425" s="5">
        <v>0</v>
      </c>
      <c r="H425" s="26">
        <v>44928</v>
      </c>
      <c r="I425" s="26">
        <v>45055</v>
      </c>
      <c r="J425" s="4" t="s">
        <v>1614</v>
      </c>
      <c r="K425" s="4" t="s">
        <v>1708</v>
      </c>
    </row>
    <row r="426" spans="1:11" x14ac:dyDescent="0.45">
      <c r="A426" s="9" t="s">
        <v>543</v>
      </c>
      <c r="B426" s="9" t="s">
        <v>1608</v>
      </c>
      <c r="C426" s="9" t="s">
        <v>492</v>
      </c>
      <c r="D426" s="9" t="b">
        <f>TRUE()</f>
        <v>1</v>
      </c>
      <c r="E426" s="10">
        <v>309</v>
      </c>
      <c r="F426" s="12">
        <f t="shared" si="6"/>
        <v>0.93920972644376899</v>
      </c>
      <c r="G426" s="10">
        <v>17</v>
      </c>
      <c r="H426" s="27">
        <v>44998</v>
      </c>
      <c r="I426" s="27">
        <v>46105</v>
      </c>
      <c r="J426" s="9" t="s">
        <v>1609</v>
      </c>
      <c r="K426" s="9" t="s">
        <v>2008</v>
      </c>
    </row>
    <row r="427" spans="1:11" x14ac:dyDescent="0.45">
      <c r="A427" s="4" t="s">
        <v>543</v>
      </c>
      <c r="B427" s="4" t="s">
        <v>1608</v>
      </c>
      <c r="C427" s="4" t="s">
        <v>915</v>
      </c>
      <c r="D427" s="4" t="b">
        <f>FALSE()</f>
        <v>0</v>
      </c>
      <c r="E427" s="5">
        <v>20</v>
      </c>
      <c r="F427" s="7">
        <f t="shared" si="6"/>
        <v>6.0790273556231005E-2</v>
      </c>
      <c r="G427" s="5">
        <v>0</v>
      </c>
      <c r="H427" s="26">
        <v>44928</v>
      </c>
      <c r="I427" s="26">
        <v>45055</v>
      </c>
      <c r="J427" s="4" t="s">
        <v>1614</v>
      </c>
      <c r="K427" s="4" t="s">
        <v>2009</v>
      </c>
    </row>
    <row r="428" spans="1:11" x14ac:dyDescent="0.45">
      <c r="A428" s="9" t="s">
        <v>544</v>
      </c>
      <c r="B428" s="9" t="s">
        <v>1608</v>
      </c>
      <c r="C428" s="9" t="s">
        <v>492</v>
      </c>
      <c r="D428" s="9" t="b">
        <f>TRUE()</f>
        <v>1</v>
      </c>
      <c r="E428" s="10">
        <v>310</v>
      </c>
      <c r="F428" s="12">
        <f t="shared" si="6"/>
        <v>0.96875</v>
      </c>
      <c r="G428" s="10">
        <v>60</v>
      </c>
      <c r="H428" s="27">
        <v>45034</v>
      </c>
      <c r="I428" s="27">
        <v>46296</v>
      </c>
      <c r="J428" s="9" t="s">
        <v>1609</v>
      </c>
      <c r="K428" s="9" t="s">
        <v>1812</v>
      </c>
    </row>
    <row r="429" spans="1:11" x14ac:dyDescent="0.45">
      <c r="A429" s="4" t="s">
        <v>544</v>
      </c>
      <c r="B429" s="4" t="s">
        <v>1608</v>
      </c>
      <c r="C429" s="4" t="s">
        <v>915</v>
      </c>
      <c r="D429" s="4" t="b">
        <f>FALSE()</f>
        <v>0</v>
      </c>
      <c r="E429" s="5">
        <v>10</v>
      </c>
      <c r="F429" s="7">
        <f t="shared" si="6"/>
        <v>3.125E-2</v>
      </c>
      <c r="G429" s="5">
        <v>0</v>
      </c>
      <c r="H429" s="26">
        <v>44935</v>
      </c>
      <c r="I429" s="26">
        <v>45051</v>
      </c>
      <c r="J429" s="4" t="s">
        <v>1614</v>
      </c>
      <c r="K429" s="4" t="s">
        <v>2010</v>
      </c>
    </row>
    <row r="430" spans="1:11" x14ac:dyDescent="0.45">
      <c r="A430" s="9" t="s">
        <v>545</v>
      </c>
      <c r="B430" s="9" t="s">
        <v>1608</v>
      </c>
      <c r="C430" s="9" t="s">
        <v>492</v>
      </c>
      <c r="D430" s="9" t="b">
        <f>TRUE()</f>
        <v>1</v>
      </c>
      <c r="E430" s="10">
        <v>289</v>
      </c>
      <c r="F430" s="12">
        <f t="shared" si="6"/>
        <v>0.90595611285266453</v>
      </c>
      <c r="G430" s="10">
        <v>110</v>
      </c>
      <c r="H430" s="27">
        <v>45011</v>
      </c>
      <c r="I430" s="27">
        <v>46294</v>
      </c>
      <c r="J430" s="9" t="s">
        <v>1609</v>
      </c>
      <c r="K430" s="9" t="s">
        <v>2011</v>
      </c>
    </row>
    <row r="431" spans="1:11" x14ac:dyDescent="0.45">
      <c r="A431" s="4" t="s">
        <v>545</v>
      </c>
      <c r="B431" s="4" t="s">
        <v>1608</v>
      </c>
      <c r="C431" s="4" t="s">
        <v>915</v>
      </c>
      <c r="D431" s="4" t="b">
        <f>FALSE()</f>
        <v>0</v>
      </c>
      <c r="E431" s="5">
        <v>30</v>
      </c>
      <c r="F431" s="7">
        <f t="shared" si="6"/>
        <v>9.4043887147335428E-2</v>
      </c>
      <c r="G431" s="5">
        <v>0</v>
      </c>
      <c r="H431" s="26">
        <v>44941</v>
      </c>
      <c r="I431" s="26">
        <v>45051</v>
      </c>
      <c r="J431" s="4" t="s">
        <v>1614</v>
      </c>
      <c r="K431" s="4" t="s">
        <v>2012</v>
      </c>
    </row>
    <row r="432" spans="1:11" x14ac:dyDescent="0.45">
      <c r="A432" s="9" t="s">
        <v>546</v>
      </c>
      <c r="B432" s="9" t="s">
        <v>1608</v>
      </c>
      <c r="C432" s="9" t="s">
        <v>492</v>
      </c>
      <c r="D432" s="9" t="b">
        <f>TRUE()</f>
        <v>1</v>
      </c>
      <c r="E432" s="10">
        <v>262</v>
      </c>
      <c r="F432" s="12">
        <f t="shared" si="6"/>
        <v>0.97761194029850751</v>
      </c>
      <c r="G432" s="10">
        <v>25</v>
      </c>
      <c r="H432" s="27">
        <v>44971</v>
      </c>
      <c r="I432" s="27">
        <v>46292</v>
      </c>
      <c r="J432" s="9" t="s">
        <v>1609</v>
      </c>
      <c r="K432" s="9" t="s">
        <v>2013</v>
      </c>
    </row>
    <row r="433" spans="1:11" x14ac:dyDescent="0.45">
      <c r="A433" s="4" t="s">
        <v>546</v>
      </c>
      <c r="B433" s="4" t="s">
        <v>1608</v>
      </c>
      <c r="C433" s="4" t="s">
        <v>915</v>
      </c>
      <c r="D433" s="4" t="b">
        <f>FALSE()</f>
        <v>0</v>
      </c>
      <c r="E433" s="5">
        <v>6</v>
      </c>
      <c r="F433" s="7">
        <f t="shared" si="6"/>
        <v>2.2388059701492536E-2</v>
      </c>
      <c r="G433" s="5">
        <v>0</v>
      </c>
      <c r="H433" s="26">
        <v>44939</v>
      </c>
      <c r="I433" s="26">
        <v>45049</v>
      </c>
      <c r="J433" s="4" t="s">
        <v>1614</v>
      </c>
      <c r="K433" s="4" t="s">
        <v>2014</v>
      </c>
    </row>
    <row r="434" spans="1:11" x14ac:dyDescent="0.45">
      <c r="A434" s="9" t="s">
        <v>547</v>
      </c>
      <c r="B434" s="9" t="s">
        <v>1608</v>
      </c>
      <c r="C434" s="9" t="s">
        <v>492</v>
      </c>
      <c r="D434" s="9" t="b">
        <f>TRUE()</f>
        <v>1</v>
      </c>
      <c r="E434" s="10">
        <v>172</v>
      </c>
      <c r="F434" s="12">
        <f t="shared" si="6"/>
        <v>0.69918699186991873</v>
      </c>
      <c r="G434" s="10">
        <v>0</v>
      </c>
      <c r="H434" s="27">
        <v>45003</v>
      </c>
      <c r="I434" s="27">
        <v>45217</v>
      </c>
      <c r="J434" s="9" t="s">
        <v>1609</v>
      </c>
      <c r="K434" s="9" t="s">
        <v>2015</v>
      </c>
    </row>
    <row r="435" spans="1:11" x14ac:dyDescent="0.45">
      <c r="A435" s="4" t="s">
        <v>547</v>
      </c>
      <c r="B435" s="4" t="s">
        <v>1608</v>
      </c>
      <c r="C435" s="4" t="s">
        <v>915</v>
      </c>
      <c r="D435" s="4" t="b">
        <f>FALSE()</f>
        <v>0</v>
      </c>
      <c r="E435" s="5">
        <v>74</v>
      </c>
      <c r="F435" s="7">
        <f t="shared" si="6"/>
        <v>0.30081300813008133</v>
      </c>
      <c r="G435" s="5">
        <v>0</v>
      </c>
      <c r="H435" s="26">
        <v>44931</v>
      </c>
      <c r="I435" s="26">
        <v>45054</v>
      </c>
      <c r="J435" s="4" t="s">
        <v>1614</v>
      </c>
      <c r="K435" s="4" t="s">
        <v>2016</v>
      </c>
    </row>
    <row r="436" spans="1:11" x14ac:dyDescent="0.45">
      <c r="A436" s="9" t="s">
        <v>548</v>
      </c>
      <c r="B436" s="9" t="s">
        <v>1608</v>
      </c>
      <c r="C436" s="9" t="s">
        <v>492</v>
      </c>
      <c r="D436" s="9" t="b">
        <f>TRUE()</f>
        <v>1</v>
      </c>
      <c r="E436" s="10">
        <v>196</v>
      </c>
      <c r="F436" s="12">
        <f t="shared" si="6"/>
        <v>0.92018779342723001</v>
      </c>
      <c r="G436" s="10">
        <v>0</v>
      </c>
      <c r="H436" s="27">
        <v>44931</v>
      </c>
      <c r="I436" s="27">
        <v>45327</v>
      </c>
      <c r="J436" s="9" t="s">
        <v>1609</v>
      </c>
      <c r="K436" s="9" t="s">
        <v>2017</v>
      </c>
    </row>
    <row r="437" spans="1:11" x14ac:dyDescent="0.45">
      <c r="A437" s="4" t="s">
        <v>548</v>
      </c>
      <c r="B437" s="4" t="s">
        <v>1608</v>
      </c>
      <c r="C437" s="4" t="s">
        <v>915</v>
      </c>
      <c r="D437" s="4" t="b">
        <f>FALSE()</f>
        <v>0</v>
      </c>
      <c r="E437" s="5">
        <v>17</v>
      </c>
      <c r="F437" s="7">
        <f t="shared" si="6"/>
        <v>7.9812206572769953E-2</v>
      </c>
      <c r="G437" s="5">
        <v>0</v>
      </c>
      <c r="H437" s="26">
        <v>44930</v>
      </c>
      <c r="I437" s="26">
        <v>45054</v>
      </c>
      <c r="J437" s="4" t="s">
        <v>1614</v>
      </c>
      <c r="K437" s="4" t="s">
        <v>2018</v>
      </c>
    </row>
    <row r="438" spans="1:11" x14ac:dyDescent="0.45">
      <c r="A438" s="9" t="s">
        <v>549</v>
      </c>
      <c r="B438" s="9" t="s">
        <v>1608</v>
      </c>
      <c r="C438" s="9" t="s">
        <v>492</v>
      </c>
      <c r="D438" s="9" t="b">
        <f>TRUE()</f>
        <v>1</v>
      </c>
      <c r="E438" s="10">
        <v>173</v>
      </c>
      <c r="F438" s="12">
        <f t="shared" si="6"/>
        <v>0.94535519125683065</v>
      </c>
      <c r="G438" s="10">
        <v>0</v>
      </c>
      <c r="H438" s="27">
        <v>45055</v>
      </c>
      <c r="I438" s="27">
        <v>45485</v>
      </c>
      <c r="J438" s="9" t="s">
        <v>1609</v>
      </c>
      <c r="K438" s="9" t="s">
        <v>2019</v>
      </c>
    </row>
    <row r="439" spans="1:11" x14ac:dyDescent="0.45">
      <c r="A439" s="4" t="s">
        <v>549</v>
      </c>
      <c r="B439" s="4" t="s">
        <v>1608</v>
      </c>
      <c r="C439" s="4" t="s">
        <v>915</v>
      </c>
      <c r="D439" s="4" t="b">
        <f>FALSE()</f>
        <v>0</v>
      </c>
      <c r="E439" s="5">
        <v>10</v>
      </c>
      <c r="F439" s="7">
        <f t="shared" si="6"/>
        <v>5.4644808743169397E-2</v>
      </c>
      <c r="G439" s="5">
        <v>0</v>
      </c>
      <c r="H439" s="26">
        <v>44948</v>
      </c>
      <c r="I439" s="26">
        <v>45054</v>
      </c>
      <c r="J439" s="4" t="s">
        <v>1614</v>
      </c>
      <c r="K439" s="4" t="s">
        <v>2020</v>
      </c>
    </row>
    <row r="440" spans="1:11" x14ac:dyDescent="0.45">
      <c r="A440" s="9" t="s">
        <v>550</v>
      </c>
      <c r="B440" s="9" t="s">
        <v>1608</v>
      </c>
      <c r="C440" s="9" t="s">
        <v>492</v>
      </c>
      <c r="D440" s="9" t="b">
        <f>TRUE()</f>
        <v>1</v>
      </c>
      <c r="E440" s="10">
        <v>133</v>
      </c>
      <c r="F440" s="12">
        <f t="shared" si="6"/>
        <v>0.8012048192771084</v>
      </c>
      <c r="G440" s="10">
        <v>0</v>
      </c>
      <c r="H440" s="27">
        <v>45050</v>
      </c>
      <c r="I440" s="27">
        <v>45638</v>
      </c>
      <c r="J440" s="9" t="s">
        <v>1609</v>
      </c>
      <c r="K440" s="9" t="s">
        <v>2021</v>
      </c>
    </row>
    <row r="441" spans="1:11" x14ac:dyDescent="0.45">
      <c r="A441" s="4" t="s">
        <v>550</v>
      </c>
      <c r="B441" s="4" t="s">
        <v>1608</v>
      </c>
      <c r="C441" s="4" t="s">
        <v>915</v>
      </c>
      <c r="D441" s="4" t="b">
        <f>FALSE()</f>
        <v>0</v>
      </c>
      <c r="E441" s="5">
        <v>33</v>
      </c>
      <c r="F441" s="7">
        <f t="shared" si="6"/>
        <v>0.19879518072289157</v>
      </c>
      <c r="G441" s="5">
        <v>0</v>
      </c>
      <c r="H441" s="26">
        <v>44929</v>
      </c>
      <c r="I441" s="26">
        <v>45042</v>
      </c>
      <c r="J441" s="4" t="s">
        <v>1614</v>
      </c>
      <c r="K441" s="4" t="s">
        <v>2022</v>
      </c>
    </row>
    <row r="442" spans="1:11" x14ac:dyDescent="0.45">
      <c r="A442" s="9" t="s">
        <v>552</v>
      </c>
      <c r="B442" s="9" t="s">
        <v>1608</v>
      </c>
      <c r="C442" s="9" t="s">
        <v>492</v>
      </c>
      <c r="D442" s="9" t="b">
        <f>TRUE()</f>
        <v>1</v>
      </c>
      <c r="E442" s="10">
        <v>101</v>
      </c>
      <c r="F442" s="12">
        <f t="shared" si="6"/>
        <v>0.76515151515151514</v>
      </c>
      <c r="G442" s="10">
        <v>0</v>
      </c>
      <c r="H442" s="27">
        <v>45029</v>
      </c>
      <c r="I442" s="27">
        <v>45322</v>
      </c>
      <c r="J442" s="9" t="s">
        <v>1609</v>
      </c>
      <c r="K442" s="9" t="s">
        <v>2023</v>
      </c>
    </row>
    <row r="443" spans="1:11" x14ac:dyDescent="0.45">
      <c r="A443" s="4" t="s">
        <v>552</v>
      </c>
      <c r="B443" s="4" t="s">
        <v>1608</v>
      </c>
      <c r="C443" s="4" t="s">
        <v>915</v>
      </c>
      <c r="D443" s="4" t="b">
        <f>FALSE()</f>
        <v>0</v>
      </c>
      <c r="E443" s="5">
        <v>31</v>
      </c>
      <c r="F443" s="7">
        <f t="shared" si="6"/>
        <v>0.23484848484848486</v>
      </c>
      <c r="G443" s="5">
        <v>0</v>
      </c>
      <c r="H443" s="26">
        <v>44945</v>
      </c>
      <c r="I443" s="26">
        <v>45051</v>
      </c>
      <c r="J443" s="4" t="s">
        <v>1614</v>
      </c>
      <c r="K443" s="4" t="s">
        <v>2024</v>
      </c>
    </row>
    <row r="444" spans="1:11" x14ac:dyDescent="0.45">
      <c r="A444" s="9" t="s">
        <v>553</v>
      </c>
      <c r="B444" s="9" t="s">
        <v>1608</v>
      </c>
      <c r="C444" s="9" t="s">
        <v>492</v>
      </c>
      <c r="D444" s="9" t="b">
        <f>TRUE()</f>
        <v>1</v>
      </c>
      <c r="E444" s="10">
        <v>106</v>
      </c>
      <c r="F444" s="12">
        <f t="shared" si="6"/>
        <v>0.80916030534351147</v>
      </c>
      <c r="G444" s="10">
        <v>0</v>
      </c>
      <c r="H444" s="27">
        <v>45027</v>
      </c>
      <c r="I444" s="27">
        <v>45229</v>
      </c>
      <c r="J444" s="9" t="s">
        <v>1609</v>
      </c>
      <c r="K444" s="9" t="s">
        <v>2025</v>
      </c>
    </row>
    <row r="445" spans="1:11" x14ac:dyDescent="0.45">
      <c r="A445" s="4" t="s">
        <v>553</v>
      </c>
      <c r="B445" s="4" t="s">
        <v>1608</v>
      </c>
      <c r="C445" s="4" t="s">
        <v>915</v>
      </c>
      <c r="D445" s="4" t="b">
        <f>FALSE()</f>
        <v>0</v>
      </c>
      <c r="E445" s="5">
        <v>25</v>
      </c>
      <c r="F445" s="7">
        <f t="shared" si="6"/>
        <v>0.19083969465648856</v>
      </c>
      <c r="G445" s="5">
        <v>0</v>
      </c>
      <c r="H445" s="26">
        <v>44943</v>
      </c>
      <c r="I445" s="26">
        <v>45050</v>
      </c>
      <c r="J445" s="4" t="s">
        <v>1614</v>
      </c>
      <c r="K445" s="4" t="s">
        <v>2026</v>
      </c>
    </row>
    <row r="446" spans="1:11" x14ac:dyDescent="0.45">
      <c r="A446" s="9" t="s">
        <v>554</v>
      </c>
      <c r="B446" s="9" t="s">
        <v>1608</v>
      </c>
      <c r="C446" s="9" t="s">
        <v>492</v>
      </c>
      <c r="D446" s="9" t="b">
        <f>TRUE()</f>
        <v>1</v>
      </c>
      <c r="E446" s="10">
        <v>113</v>
      </c>
      <c r="F446" s="12">
        <f t="shared" si="6"/>
        <v>0.96581196581196582</v>
      </c>
      <c r="G446" s="10">
        <v>0</v>
      </c>
      <c r="H446" s="27">
        <v>44935</v>
      </c>
      <c r="I446" s="27">
        <v>45873</v>
      </c>
      <c r="J446" s="9" t="s">
        <v>1609</v>
      </c>
      <c r="K446" s="9" t="s">
        <v>2027</v>
      </c>
    </row>
    <row r="447" spans="1:11" x14ac:dyDescent="0.45">
      <c r="A447" s="4" t="s">
        <v>554</v>
      </c>
      <c r="B447" s="4" t="s">
        <v>1608</v>
      </c>
      <c r="C447" s="4" t="s">
        <v>2028</v>
      </c>
      <c r="D447" s="4" t="b">
        <f>FALSE()</f>
        <v>0</v>
      </c>
      <c r="E447" s="5">
        <v>4</v>
      </c>
      <c r="F447" s="7">
        <f t="shared" si="6"/>
        <v>3.4188034188034191E-2</v>
      </c>
      <c r="G447" s="5">
        <v>0</v>
      </c>
      <c r="H447" s="26">
        <v>44943</v>
      </c>
      <c r="I447" s="26">
        <v>45009</v>
      </c>
      <c r="J447" s="4" t="s">
        <v>1614</v>
      </c>
      <c r="K447" s="4" t="s">
        <v>2029</v>
      </c>
    </row>
    <row r="448" spans="1:11" x14ac:dyDescent="0.45">
      <c r="A448" s="9" t="s">
        <v>556</v>
      </c>
      <c r="B448" s="9" t="s">
        <v>1608</v>
      </c>
      <c r="C448" s="9" t="s">
        <v>492</v>
      </c>
      <c r="D448" s="9" t="b">
        <f>TRUE()</f>
        <v>1</v>
      </c>
      <c r="E448" s="10">
        <v>95</v>
      </c>
      <c r="F448" s="12">
        <f t="shared" si="6"/>
        <v>0.92233009708737868</v>
      </c>
      <c r="G448" s="10">
        <v>23</v>
      </c>
      <c r="H448" s="27">
        <v>45061</v>
      </c>
      <c r="I448" s="27">
        <v>46295</v>
      </c>
      <c r="J448" s="9" t="s">
        <v>1609</v>
      </c>
      <c r="K448" s="9" t="s">
        <v>2030</v>
      </c>
    </row>
    <row r="449" spans="1:11" x14ac:dyDescent="0.45">
      <c r="A449" s="4" t="s">
        <v>556</v>
      </c>
      <c r="B449" s="4" t="s">
        <v>1608</v>
      </c>
      <c r="C449" s="4" t="s">
        <v>915</v>
      </c>
      <c r="D449" s="4" t="b">
        <f>FALSE()</f>
        <v>0</v>
      </c>
      <c r="E449" s="5">
        <v>8</v>
      </c>
      <c r="F449" s="7">
        <f t="shared" si="6"/>
        <v>7.7669902912621352E-2</v>
      </c>
      <c r="G449" s="5">
        <v>0</v>
      </c>
      <c r="H449" s="26">
        <v>44955</v>
      </c>
      <c r="I449" s="26">
        <v>45049</v>
      </c>
      <c r="J449" s="4" t="s">
        <v>1614</v>
      </c>
      <c r="K449" s="4" t="s">
        <v>2031</v>
      </c>
    </row>
    <row r="450" spans="1:11" x14ac:dyDescent="0.45">
      <c r="A450" s="9" t="s">
        <v>557</v>
      </c>
      <c r="B450" s="9" t="s">
        <v>1608</v>
      </c>
      <c r="C450" s="9" t="s">
        <v>492</v>
      </c>
      <c r="D450" s="9" t="b">
        <f>TRUE()</f>
        <v>1</v>
      </c>
      <c r="E450" s="10">
        <v>87</v>
      </c>
      <c r="F450" s="12">
        <f t="shared" ref="F450:F513" si="7">E450/SUMIFS($E$2:$E$783,$A$2:$A$783,A450)</f>
        <v>0.88775510204081631</v>
      </c>
      <c r="G450" s="10">
        <v>27</v>
      </c>
      <c r="H450" s="27">
        <v>45043</v>
      </c>
      <c r="I450" s="27">
        <v>46281</v>
      </c>
      <c r="J450" s="9" t="s">
        <v>1609</v>
      </c>
      <c r="K450" s="9" t="s">
        <v>2032</v>
      </c>
    </row>
    <row r="451" spans="1:11" x14ac:dyDescent="0.45">
      <c r="A451" s="4" t="s">
        <v>557</v>
      </c>
      <c r="B451" s="4" t="s">
        <v>1608</v>
      </c>
      <c r="C451" s="4" t="s">
        <v>915</v>
      </c>
      <c r="D451" s="4" t="b">
        <f>FALSE()</f>
        <v>0</v>
      </c>
      <c r="E451" s="5">
        <v>11</v>
      </c>
      <c r="F451" s="7">
        <f t="shared" si="7"/>
        <v>0.11224489795918367</v>
      </c>
      <c r="G451" s="5">
        <v>0</v>
      </c>
      <c r="H451" s="26">
        <v>44930</v>
      </c>
      <c r="I451" s="26">
        <v>45055</v>
      </c>
      <c r="J451" s="4" t="s">
        <v>1614</v>
      </c>
      <c r="K451" s="4" t="s">
        <v>2033</v>
      </c>
    </row>
    <row r="452" spans="1:11" x14ac:dyDescent="0.45">
      <c r="A452" s="9" t="s">
        <v>559</v>
      </c>
      <c r="B452" s="9" t="s">
        <v>1608</v>
      </c>
      <c r="C452" s="9" t="s">
        <v>492</v>
      </c>
      <c r="D452" s="9" t="b">
        <f>TRUE()</f>
        <v>1</v>
      </c>
      <c r="E452" s="10">
        <v>88</v>
      </c>
      <c r="F452" s="12">
        <f t="shared" si="7"/>
        <v>0.9263157894736842</v>
      </c>
      <c r="G452" s="10">
        <v>0</v>
      </c>
      <c r="H452" s="27">
        <v>45069</v>
      </c>
      <c r="I452" s="27">
        <v>45593</v>
      </c>
      <c r="J452" s="9" t="s">
        <v>1609</v>
      </c>
      <c r="K452" s="9" t="s">
        <v>2034</v>
      </c>
    </row>
    <row r="453" spans="1:11" x14ac:dyDescent="0.45">
      <c r="A453" s="4" t="s">
        <v>559</v>
      </c>
      <c r="B453" s="4" t="s">
        <v>1608</v>
      </c>
      <c r="C453" s="4" t="s">
        <v>915</v>
      </c>
      <c r="D453" s="4" t="b">
        <f>FALSE()</f>
        <v>0</v>
      </c>
      <c r="E453" s="5">
        <v>7</v>
      </c>
      <c r="F453" s="7">
        <f t="shared" si="7"/>
        <v>7.3684210526315783E-2</v>
      </c>
      <c r="G453" s="5">
        <v>0</v>
      </c>
      <c r="H453" s="26">
        <v>44931</v>
      </c>
      <c r="I453" s="26">
        <v>45014</v>
      </c>
      <c r="J453" s="4" t="s">
        <v>1614</v>
      </c>
      <c r="K453" s="4" t="s">
        <v>2035</v>
      </c>
    </row>
    <row r="454" spans="1:11" x14ac:dyDescent="0.45">
      <c r="A454" s="9" t="s">
        <v>560</v>
      </c>
      <c r="B454" s="9" t="s">
        <v>1608</v>
      </c>
      <c r="C454" s="9" t="s">
        <v>492</v>
      </c>
      <c r="D454" s="9" t="b">
        <f>TRUE()</f>
        <v>1</v>
      </c>
      <c r="E454" s="10">
        <v>53</v>
      </c>
      <c r="F454" s="12">
        <f t="shared" si="7"/>
        <v>0.67948717948717952</v>
      </c>
      <c r="G454" s="10">
        <v>0</v>
      </c>
      <c r="H454" s="27">
        <v>45019</v>
      </c>
      <c r="I454" s="27">
        <v>45188</v>
      </c>
      <c r="J454" s="9" t="s">
        <v>1609</v>
      </c>
      <c r="K454" s="9" t="s">
        <v>2036</v>
      </c>
    </row>
    <row r="455" spans="1:11" x14ac:dyDescent="0.45">
      <c r="A455" s="4" t="s">
        <v>560</v>
      </c>
      <c r="B455" s="4" t="s">
        <v>1608</v>
      </c>
      <c r="C455" s="4" t="s">
        <v>915</v>
      </c>
      <c r="D455" s="4" t="b">
        <f>FALSE()</f>
        <v>0</v>
      </c>
      <c r="E455" s="5">
        <v>25</v>
      </c>
      <c r="F455" s="7">
        <f t="shared" si="7"/>
        <v>0.32051282051282054</v>
      </c>
      <c r="G455" s="5">
        <v>0</v>
      </c>
      <c r="H455" s="26">
        <v>44929</v>
      </c>
      <c r="I455" s="26">
        <v>45050</v>
      </c>
      <c r="J455" s="4" t="s">
        <v>1614</v>
      </c>
      <c r="K455" s="4" t="s">
        <v>2037</v>
      </c>
    </row>
    <row r="456" spans="1:11" x14ac:dyDescent="0.45">
      <c r="A456" s="9" t="s">
        <v>562</v>
      </c>
      <c r="B456" s="9" t="s">
        <v>1608</v>
      </c>
      <c r="C456" s="9" t="s">
        <v>492</v>
      </c>
      <c r="D456" s="9" t="b">
        <f>TRUE()</f>
        <v>1</v>
      </c>
      <c r="E456" s="10">
        <v>69</v>
      </c>
      <c r="F456" s="12">
        <f t="shared" si="7"/>
        <v>0.95833333333333337</v>
      </c>
      <c r="G456" s="10">
        <v>19</v>
      </c>
      <c r="H456" s="27">
        <v>44960</v>
      </c>
      <c r="I456" s="27">
        <v>46288</v>
      </c>
      <c r="J456" s="9" t="s">
        <v>1609</v>
      </c>
      <c r="K456" s="9" t="s">
        <v>2038</v>
      </c>
    </row>
    <row r="457" spans="1:11" x14ac:dyDescent="0.45">
      <c r="A457" s="4" t="s">
        <v>562</v>
      </c>
      <c r="B457" s="4" t="s">
        <v>1608</v>
      </c>
      <c r="C457" s="4" t="s">
        <v>915</v>
      </c>
      <c r="D457" s="4" t="b">
        <f>FALSE()</f>
        <v>0</v>
      </c>
      <c r="E457" s="5">
        <v>3</v>
      </c>
      <c r="F457" s="7">
        <f t="shared" si="7"/>
        <v>4.1666666666666664E-2</v>
      </c>
      <c r="G457" s="5">
        <v>0</v>
      </c>
      <c r="H457" s="26">
        <v>44949</v>
      </c>
      <c r="I457" s="26">
        <v>45017</v>
      </c>
      <c r="J457" s="4" t="s">
        <v>1614</v>
      </c>
      <c r="K457" s="4" t="s">
        <v>2039</v>
      </c>
    </row>
    <row r="458" spans="1:11" x14ac:dyDescent="0.45">
      <c r="A458" s="9" t="s">
        <v>564</v>
      </c>
      <c r="B458" s="9" t="s">
        <v>1608</v>
      </c>
      <c r="C458" s="9" t="s">
        <v>492</v>
      </c>
      <c r="D458" s="9" t="b">
        <f>TRUE()</f>
        <v>1</v>
      </c>
      <c r="E458" s="10">
        <v>60</v>
      </c>
      <c r="F458" s="12">
        <f t="shared" si="7"/>
        <v>0.98360655737704916</v>
      </c>
      <c r="G458" s="10">
        <v>5</v>
      </c>
      <c r="H458" s="27">
        <v>45028</v>
      </c>
      <c r="I458" s="27">
        <v>46221</v>
      </c>
      <c r="J458" s="9" t="s">
        <v>1609</v>
      </c>
      <c r="K458" s="9" t="s">
        <v>2040</v>
      </c>
    </row>
    <row r="459" spans="1:11" x14ac:dyDescent="0.45">
      <c r="A459" s="4" t="s">
        <v>564</v>
      </c>
      <c r="B459" s="4" t="s">
        <v>1608</v>
      </c>
      <c r="C459" s="4" t="s">
        <v>915</v>
      </c>
      <c r="D459" s="4" t="b">
        <f>FALSE()</f>
        <v>0</v>
      </c>
      <c r="E459" s="5">
        <v>1</v>
      </c>
      <c r="F459" s="7">
        <f t="shared" si="7"/>
        <v>1.6393442622950821E-2</v>
      </c>
      <c r="G459" s="5">
        <v>0</v>
      </c>
      <c r="H459" s="26">
        <v>44935</v>
      </c>
      <c r="I459" s="26">
        <v>44935</v>
      </c>
      <c r="J459" s="4" t="s">
        <v>1614</v>
      </c>
      <c r="K459" s="4" t="s">
        <v>1899</v>
      </c>
    </row>
    <row r="460" spans="1:11" x14ac:dyDescent="0.45">
      <c r="A460" s="9" t="s">
        <v>565</v>
      </c>
      <c r="B460" s="9" t="s">
        <v>1608</v>
      </c>
      <c r="C460" s="9" t="s">
        <v>492</v>
      </c>
      <c r="D460" s="9" t="b">
        <f>TRUE()</f>
        <v>1</v>
      </c>
      <c r="E460" s="10">
        <v>50</v>
      </c>
      <c r="F460" s="12">
        <f t="shared" si="7"/>
        <v>0.81967213114754101</v>
      </c>
      <c r="G460" s="10">
        <v>11</v>
      </c>
      <c r="H460" s="27">
        <v>45058</v>
      </c>
      <c r="I460" s="27">
        <v>46289</v>
      </c>
      <c r="J460" s="9" t="s">
        <v>1609</v>
      </c>
      <c r="K460" s="9" t="s">
        <v>2041</v>
      </c>
    </row>
    <row r="461" spans="1:11" x14ac:dyDescent="0.45">
      <c r="A461" s="4" t="s">
        <v>565</v>
      </c>
      <c r="B461" s="4" t="s">
        <v>1608</v>
      </c>
      <c r="C461" s="4" t="s">
        <v>915</v>
      </c>
      <c r="D461" s="4" t="b">
        <f>FALSE()</f>
        <v>0</v>
      </c>
      <c r="E461" s="5">
        <v>11</v>
      </c>
      <c r="F461" s="7">
        <f t="shared" si="7"/>
        <v>0.18032786885245902</v>
      </c>
      <c r="G461" s="5">
        <v>0</v>
      </c>
      <c r="H461" s="26">
        <v>44937</v>
      </c>
      <c r="I461" s="26">
        <v>45040</v>
      </c>
      <c r="J461" s="4" t="s">
        <v>1614</v>
      </c>
      <c r="K461" s="4" t="s">
        <v>2042</v>
      </c>
    </row>
    <row r="462" spans="1:11" x14ac:dyDescent="0.45">
      <c r="A462" s="9" t="s">
        <v>569</v>
      </c>
      <c r="B462" s="9" t="s">
        <v>1608</v>
      </c>
      <c r="C462" s="9" t="s">
        <v>492</v>
      </c>
      <c r="D462" s="9" t="b">
        <f>TRUE()</f>
        <v>1</v>
      </c>
      <c r="E462" s="10">
        <v>7</v>
      </c>
      <c r="F462" s="12">
        <f t="shared" si="7"/>
        <v>0.7</v>
      </c>
      <c r="G462" s="10">
        <v>0</v>
      </c>
      <c r="H462" s="27">
        <v>45082</v>
      </c>
      <c r="I462" s="27">
        <v>45510</v>
      </c>
      <c r="J462" s="9" t="s">
        <v>1609</v>
      </c>
      <c r="K462" s="9" t="s">
        <v>2043</v>
      </c>
    </row>
    <row r="463" spans="1:11" x14ac:dyDescent="0.45">
      <c r="A463" s="4" t="s">
        <v>569</v>
      </c>
      <c r="B463" s="4" t="s">
        <v>1608</v>
      </c>
      <c r="C463" s="4" t="s">
        <v>915</v>
      </c>
      <c r="D463" s="4" t="b">
        <f>FALSE()</f>
        <v>0</v>
      </c>
      <c r="E463" s="5">
        <v>3</v>
      </c>
      <c r="F463" s="7">
        <f t="shared" si="7"/>
        <v>0.3</v>
      </c>
      <c r="G463" s="5">
        <v>0</v>
      </c>
      <c r="H463" s="26">
        <v>45007</v>
      </c>
      <c r="I463" s="26">
        <v>45035</v>
      </c>
      <c r="J463" s="4" t="s">
        <v>1614</v>
      </c>
      <c r="K463" s="4" t="s">
        <v>2044</v>
      </c>
    </row>
    <row r="464" spans="1:11" x14ac:dyDescent="0.45">
      <c r="A464" s="9" t="s">
        <v>570</v>
      </c>
      <c r="B464" s="9" t="s">
        <v>1608</v>
      </c>
      <c r="C464" s="9" t="s">
        <v>492</v>
      </c>
      <c r="D464" s="9" t="b">
        <f>TRUE()</f>
        <v>1</v>
      </c>
      <c r="E464" s="10">
        <v>5</v>
      </c>
      <c r="F464" s="12">
        <f t="shared" si="7"/>
        <v>0.7142857142857143</v>
      </c>
      <c r="G464" s="10">
        <v>0</v>
      </c>
      <c r="H464" s="27">
        <v>45014</v>
      </c>
      <c r="I464" s="27">
        <v>45239</v>
      </c>
      <c r="J464" s="9" t="s">
        <v>1609</v>
      </c>
      <c r="K464" s="9" t="s">
        <v>2045</v>
      </c>
    </row>
    <row r="465" spans="1:11" x14ac:dyDescent="0.45">
      <c r="A465" s="4" t="s">
        <v>570</v>
      </c>
      <c r="B465" s="4" t="s">
        <v>1608</v>
      </c>
      <c r="C465" s="4" t="s">
        <v>915</v>
      </c>
      <c r="D465" s="4" t="b">
        <f>FALSE()</f>
        <v>0</v>
      </c>
      <c r="E465" s="5">
        <v>2</v>
      </c>
      <c r="F465" s="7">
        <f t="shared" si="7"/>
        <v>0.2857142857142857</v>
      </c>
      <c r="G465" s="5">
        <v>0</v>
      </c>
      <c r="H465" s="26">
        <v>44951</v>
      </c>
      <c r="I465" s="26">
        <v>44974</v>
      </c>
      <c r="J465" s="4" t="s">
        <v>1614</v>
      </c>
      <c r="K465" s="4" t="s">
        <v>2046</v>
      </c>
    </row>
    <row r="466" spans="1:11" x14ac:dyDescent="0.45">
      <c r="A466" s="9" t="s">
        <v>578</v>
      </c>
      <c r="B466" s="9" t="s">
        <v>1608</v>
      </c>
      <c r="C466" s="9" t="s">
        <v>575</v>
      </c>
      <c r="D466" s="9" t="b">
        <f>TRUE()</f>
        <v>1</v>
      </c>
      <c r="E466" s="10">
        <v>13211</v>
      </c>
      <c r="F466" s="12">
        <f t="shared" si="7"/>
        <v>0.87967772006925027</v>
      </c>
      <c r="G466" s="10">
        <v>0</v>
      </c>
      <c r="H466" s="27">
        <v>44929</v>
      </c>
      <c r="I466" s="27">
        <v>45404</v>
      </c>
      <c r="J466" s="9" t="s">
        <v>1609</v>
      </c>
      <c r="K466" s="9" t="s">
        <v>2047</v>
      </c>
    </row>
    <row r="467" spans="1:11" x14ac:dyDescent="0.45">
      <c r="A467" s="4" t="s">
        <v>578</v>
      </c>
      <c r="B467" s="4" t="s">
        <v>1608</v>
      </c>
      <c r="C467" s="4" t="s">
        <v>2048</v>
      </c>
      <c r="D467" s="4" t="b">
        <f>FALSE()</f>
        <v>0</v>
      </c>
      <c r="E467" s="5">
        <v>1807</v>
      </c>
      <c r="F467" s="7">
        <f t="shared" si="7"/>
        <v>0.12032227993074977</v>
      </c>
      <c r="G467" s="5">
        <v>0</v>
      </c>
      <c r="H467" s="26">
        <v>44928</v>
      </c>
      <c r="I467" s="26">
        <v>45055</v>
      </c>
      <c r="J467" s="4" t="s">
        <v>1614</v>
      </c>
      <c r="K467" s="4" t="s">
        <v>1684</v>
      </c>
    </row>
    <row r="468" spans="1:11" x14ac:dyDescent="0.45">
      <c r="A468" s="9" t="s">
        <v>580</v>
      </c>
      <c r="B468" s="9" t="s">
        <v>1608</v>
      </c>
      <c r="C468" s="9" t="s">
        <v>575</v>
      </c>
      <c r="D468" s="9" t="b">
        <f>TRUE()</f>
        <v>1</v>
      </c>
      <c r="E468" s="10">
        <v>11349</v>
      </c>
      <c r="F468" s="12">
        <f t="shared" si="7"/>
        <v>0.99920760697305866</v>
      </c>
      <c r="G468" s="10">
        <v>2081</v>
      </c>
      <c r="H468" s="27">
        <v>44928</v>
      </c>
      <c r="I468" s="27">
        <v>46296</v>
      </c>
      <c r="J468" s="9" t="s">
        <v>1609</v>
      </c>
      <c r="K468" s="9" t="s">
        <v>1689</v>
      </c>
    </row>
    <row r="469" spans="1:11" x14ac:dyDescent="0.45">
      <c r="A469" s="4" t="s">
        <v>580</v>
      </c>
      <c r="B469" s="4" t="s">
        <v>1608</v>
      </c>
      <c r="C469" s="4" t="s">
        <v>2048</v>
      </c>
      <c r="D469" s="4" t="b">
        <f>FALSE()</f>
        <v>0</v>
      </c>
      <c r="E469" s="5">
        <v>9</v>
      </c>
      <c r="F469" s="7">
        <f t="shared" si="7"/>
        <v>7.9239302694136295E-4</v>
      </c>
      <c r="G469" s="5">
        <v>0</v>
      </c>
      <c r="H469" s="26">
        <v>44929</v>
      </c>
      <c r="I469" s="26">
        <v>45039</v>
      </c>
      <c r="J469" s="4" t="s">
        <v>1614</v>
      </c>
      <c r="K469" s="4" t="s">
        <v>2049</v>
      </c>
    </row>
    <row r="470" spans="1:11" x14ac:dyDescent="0.45">
      <c r="A470" s="9" t="s">
        <v>582</v>
      </c>
      <c r="B470" s="9" t="s">
        <v>1608</v>
      </c>
      <c r="C470" s="9" t="s">
        <v>575</v>
      </c>
      <c r="D470" s="9" t="b">
        <f>TRUE()</f>
        <v>1</v>
      </c>
      <c r="E470" s="10">
        <v>9005</v>
      </c>
      <c r="F470" s="12">
        <f t="shared" si="7"/>
        <v>0.94570468388993911</v>
      </c>
      <c r="G470" s="10">
        <v>1857</v>
      </c>
      <c r="H470" s="27">
        <v>44928</v>
      </c>
      <c r="I470" s="27">
        <v>46296</v>
      </c>
      <c r="J470" s="9" t="s">
        <v>1609</v>
      </c>
      <c r="K470" s="9" t="s">
        <v>1689</v>
      </c>
    </row>
    <row r="471" spans="1:11" x14ac:dyDescent="0.45">
      <c r="A471" s="4" t="s">
        <v>582</v>
      </c>
      <c r="B471" s="4" t="s">
        <v>1608</v>
      </c>
      <c r="C471" s="4" t="s">
        <v>2048</v>
      </c>
      <c r="D471" s="4" t="b">
        <f>FALSE()</f>
        <v>0</v>
      </c>
      <c r="E471" s="5">
        <v>517</v>
      </c>
      <c r="F471" s="7">
        <f t="shared" si="7"/>
        <v>5.4295316110060915E-2</v>
      </c>
      <c r="G471" s="5">
        <v>0</v>
      </c>
      <c r="H471" s="26">
        <v>44928</v>
      </c>
      <c r="I471" s="26">
        <v>45055</v>
      </c>
      <c r="J471" s="4" t="s">
        <v>1614</v>
      </c>
      <c r="K471" s="4" t="s">
        <v>1690</v>
      </c>
    </row>
    <row r="472" spans="1:11" x14ac:dyDescent="0.45">
      <c r="A472" s="9" t="s">
        <v>587</v>
      </c>
      <c r="B472" s="9" t="s">
        <v>1608</v>
      </c>
      <c r="C472" s="9" t="s">
        <v>575</v>
      </c>
      <c r="D472" s="9" t="b">
        <f>TRUE()</f>
        <v>1</v>
      </c>
      <c r="E472" s="10">
        <v>3705</v>
      </c>
      <c r="F472" s="12">
        <f t="shared" si="7"/>
        <v>0.59327461969575657</v>
      </c>
      <c r="G472" s="10">
        <v>0</v>
      </c>
      <c r="H472" s="27">
        <v>44935</v>
      </c>
      <c r="I472" s="27">
        <v>45404</v>
      </c>
      <c r="J472" s="9" t="s">
        <v>1609</v>
      </c>
      <c r="K472" s="9" t="s">
        <v>2050</v>
      </c>
    </row>
    <row r="473" spans="1:11" x14ac:dyDescent="0.45">
      <c r="A473" s="4" t="s">
        <v>587</v>
      </c>
      <c r="B473" s="4" t="s">
        <v>1608</v>
      </c>
      <c r="C473" s="4" t="s">
        <v>2048</v>
      </c>
      <c r="D473" s="4" t="b">
        <f>FALSE()</f>
        <v>0</v>
      </c>
      <c r="E473" s="5">
        <v>2540</v>
      </c>
      <c r="F473" s="7">
        <f t="shared" si="7"/>
        <v>0.40672538030424338</v>
      </c>
      <c r="G473" s="5">
        <v>0</v>
      </c>
      <c r="H473" s="26">
        <v>44928</v>
      </c>
      <c r="I473" s="26">
        <v>45027</v>
      </c>
      <c r="J473" s="4" t="s">
        <v>1614</v>
      </c>
      <c r="K473" s="4" t="s">
        <v>2051</v>
      </c>
    </row>
    <row r="474" spans="1:11" x14ac:dyDescent="0.45">
      <c r="A474" s="9" t="s">
        <v>588</v>
      </c>
      <c r="B474" s="9" t="s">
        <v>1608</v>
      </c>
      <c r="C474" s="9" t="s">
        <v>575</v>
      </c>
      <c r="D474" s="9" t="b">
        <f>TRUE()</f>
        <v>1</v>
      </c>
      <c r="E474" s="10">
        <v>4873</v>
      </c>
      <c r="F474" s="12">
        <f t="shared" si="7"/>
        <v>0.93459915611814348</v>
      </c>
      <c r="G474" s="10">
        <v>1464</v>
      </c>
      <c r="H474" s="27">
        <v>44942</v>
      </c>
      <c r="I474" s="27">
        <v>46296</v>
      </c>
      <c r="J474" s="9" t="s">
        <v>1609</v>
      </c>
      <c r="K474" s="9" t="s">
        <v>2003</v>
      </c>
    </row>
    <row r="475" spans="1:11" x14ac:dyDescent="0.45">
      <c r="A475" s="4" t="s">
        <v>588</v>
      </c>
      <c r="B475" s="4" t="s">
        <v>1608</v>
      </c>
      <c r="C475" s="4" t="s">
        <v>2048</v>
      </c>
      <c r="D475" s="4" t="b">
        <f>FALSE()</f>
        <v>0</v>
      </c>
      <c r="E475" s="5">
        <v>341</v>
      </c>
      <c r="F475" s="7">
        <f t="shared" si="7"/>
        <v>6.5400843881856546E-2</v>
      </c>
      <c r="G475" s="5">
        <v>0</v>
      </c>
      <c r="H475" s="26">
        <v>44928</v>
      </c>
      <c r="I475" s="26">
        <v>45048</v>
      </c>
      <c r="J475" s="4" t="s">
        <v>1614</v>
      </c>
      <c r="K475" s="4" t="s">
        <v>2052</v>
      </c>
    </row>
    <row r="476" spans="1:11" x14ac:dyDescent="0.45">
      <c r="A476" s="9" t="s">
        <v>589</v>
      </c>
      <c r="B476" s="9" t="s">
        <v>1608</v>
      </c>
      <c r="C476" s="9" t="s">
        <v>575</v>
      </c>
      <c r="D476" s="9" t="b">
        <f>TRUE()</f>
        <v>1</v>
      </c>
      <c r="E476" s="10">
        <v>3803</v>
      </c>
      <c r="F476" s="12">
        <f t="shared" si="7"/>
        <v>0.77359641985353944</v>
      </c>
      <c r="G476" s="10">
        <v>0</v>
      </c>
      <c r="H476" s="27">
        <v>45006</v>
      </c>
      <c r="I476" s="27">
        <v>45405</v>
      </c>
      <c r="J476" s="9" t="s">
        <v>1609</v>
      </c>
      <c r="K476" s="9" t="s">
        <v>2053</v>
      </c>
    </row>
    <row r="477" spans="1:11" x14ac:dyDescent="0.45">
      <c r="A477" s="4" t="s">
        <v>589</v>
      </c>
      <c r="B477" s="4" t="s">
        <v>1608</v>
      </c>
      <c r="C477" s="4" t="s">
        <v>2048</v>
      </c>
      <c r="D477" s="4" t="b">
        <f>FALSE()</f>
        <v>0</v>
      </c>
      <c r="E477" s="5">
        <v>1113</v>
      </c>
      <c r="F477" s="7">
        <f t="shared" si="7"/>
        <v>0.22640358014646053</v>
      </c>
      <c r="G477" s="5">
        <v>0</v>
      </c>
      <c r="H477" s="26">
        <v>44928</v>
      </c>
      <c r="I477" s="26">
        <v>45055</v>
      </c>
      <c r="J477" s="4" t="s">
        <v>1614</v>
      </c>
      <c r="K477" s="4" t="s">
        <v>2054</v>
      </c>
    </row>
    <row r="478" spans="1:11" x14ac:dyDescent="0.45">
      <c r="A478" s="9" t="s">
        <v>590</v>
      </c>
      <c r="B478" s="9" t="s">
        <v>1608</v>
      </c>
      <c r="C478" s="9" t="s">
        <v>575</v>
      </c>
      <c r="D478" s="9" t="b">
        <f>TRUE()</f>
        <v>1</v>
      </c>
      <c r="E478" s="10">
        <v>4574</v>
      </c>
      <c r="F478" s="12">
        <f t="shared" si="7"/>
        <v>0.96783749471011427</v>
      </c>
      <c r="G478" s="10">
        <v>1040</v>
      </c>
      <c r="H478" s="27">
        <v>44928</v>
      </c>
      <c r="I478" s="27">
        <v>46296</v>
      </c>
      <c r="J478" s="9" t="s">
        <v>1609</v>
      </c>
      <c r="K478" s="9" t="s">
        <v>1689</v>
      </c>
    </row>
    <row r="479" spans="1:11" x14ac:dyDescent="0.45">
      <c r="A479" s="4" t="s">
        <v>590</v>
      </c>
      <c r="B479" s="4" t="s">
        <v>1608</v>
      </c>
      <c r="C479" s="4" t="s">
        <v>2048</v>
      </c>
      <c r="D479" s="4" t="b">
        <f>FALSE()</f>
        <v>0</v>
      </c>
      <c r="E479" s="5">
        <v>87</v>
      </c>
      <c r="F479" s="7">
        <f t="shared" si="7"/>
        <v>1.8408802369868811E-2</v>
      </c>
      <c r="G479" s="5">
        <v>0</v>
      </c>
      <c r="H479" s="26">
        <v>44929</v>
      </c>
      <c r="I479" s="26">
        <v>45022</v>
      </c>
      <c r="J479" s="4" t="s">
        <v>1614</v>
      </c>
      <c r="K479" s="4" t="s">
        <v>2055</v>
      </c>
    </row>
    <row r="480" spans="1:11" x14ac:dyDescent="0.45">
      <c r="A480" s="4" t="s">
        <v>590</v>
      </c>
      <c r="B480" s="4" t="s">
        <v>1608</v>
      </c>
      <c r="C480" s="4" t="s">
        <v>152</v>
      </c>
      <c r="D480" s="4" t="b">
        <f>FALSE()</f>
        <v>0</v>
      </c>
      <c r="E480" s="5">
        <v>65</v>
      </c>
      <c r="F480" s="7">
        <f t="shared" si="7"/>
        <v>1.3753702920016927E-2</v>
      </c>
      <c r="G480" s="5">
        <v>0</v>
      </c>
      <c r="H480" s="26">
        <v>44930</v>
      </c>
      <c r="I480" s="26">
        <v>45050</v>
      </c>
      <c r="J480" s="4" t="s">
        <v>1614</v>
      </c>
      <c r="K480" s="4" t="s">
        <v>2056</v>
      </c>
    </row>
    <row r="481" spans="1:11" x14ac:dyDescent="0.45">
      <c r="A481" s="9" t="s">
        <v>592</v>
      </c>
      <c r="B481" s="9" t="s">
        <v>1608</v>
      </c>
      <c r="C481" s="9" t="s">
        <v>575</v>
      </c>
      <c r="D481" s="9" t="b">
        <f>TRUE()</f>
        <v>1</v>
      </c>
      <c r="E481" s="10">
        <v>2816</v>
      </c>
      <c r="F481" s="12">
        <f t="shared" si="7"/>
        <v>0.80182232346241455</v>
      </c>
      <c r="G481" s="10">
        <v>0</v>
      </c>
      <c r="H481" s="27">
        <v>44984</v>
      </c>
      <c r="I481" s="27">
        <v>45404</v>
      </c>
      <c r="J481" s="9" t="s">
        <v>1609</v>
      </c>
      <c r="K481" s="9" t="s">
        <v>2057</v>
      </c>
    </row>
    <row r="482" spans="1:11" x14ac:dyDescent="0.45">
      <c r="A482" s="4" t="s">
        <v>592</v>
      </c>
      <c r="B482" s="4" t="s">
        <v>1608</v>
      </c>
      <c r="C482" s="4" t="s">
        <v>2048</v>
      </c>
      <c r="D482" s="4" t="b">
        <f>FALSE()</f>
        <v>0</v>
      </c>
      <c r="E482" s="5">
        <v>696</v>
      </c>
      <c r="F482" s="7">
        <f t="shared" si="7"/>
        <v>0.19817767653758542</v>
      </c>
      <c r="G482" s="5">
        <v>0</v>
      </c>
      <c r="H482" s="26">
        <v>44928</v>
      </c>
      <c r="I482" s="26">
        <v>45055</v>
      </c>
      <c r="J482" s="4" t="s">
        <v>1614</v>
      </c>
      <c r="K482" s="4" t="s">
        <v>2058</v>
      </c>
    </row>
    <row r="483" spans="1:11" x14ac:dyDescent="0.45">
      <c r="A483" s="9" t="s">
        <v>593</v>
      </c>
      <c r="B483" s="9" t="s">
        <v>1608</v>
      </c>
      <c r="C483" s="9" t="s">
        <v>575</v>
      </c>
      <c r="D483" s="9" t="b">
        <f>TRUE()</f>
        <v>1</v>
      </c>
      <c r="E483" s="10">
        <v>2545</v>
      </c>
      <c r="F483" s="12">
        <f t="shared" si="7"/>
        <v>0.83579638752052543</v>
      </c>
      <c r="G483" s="10">
        <v>0</v>
      </c>
      <c r="H483" s="27">
        <v>45006</v>
      </c>
      <c r="I483" s="27">
        <v>45404</v>
      </c>
      <c r="J483" s="9" t="s">
        <v>1609</v>
      </c>
      <c r="K483" s="9" t="s">
        <v>2059</v>
      </c>
    </row>
    <row r="484" spans="1:11" x14ac:dyDescent="0.45">
      <c r="A484" s="4" t="s">
        <v>593</v>
      </c>
      <c r="B484" s="4" t="s">
        <v>1608</v>
      </c>
      <c r="C484" s="4" t="s">
        <v>2048</v>
      </c>
      <c r="D484" s="4" t="b">
        <f>FALSE()</f>
        <v>0</v>
      </c>
      <c r="E484" s="5">
        <v>500</v>
      </c>
      <c r="F484" s="7">
        <f t="shared" si="7"/>
        <v>0.16420361247947454</v>
      </c>
      <c r="G484" s="5">
        <v>0</v>
      </c>
      <c r="H484" s="26">
        <v>44928</v>
      </c>
      <c r="I484" s="26">
        <v>45055</v>
      </c>
      <c r="J484" s="4" t="s">
        <v>1614</v>
      </c>
      <c r="K484" s="4" t="s">
        <v>2054</v>
      </c>
    </row>
    <row r="485" spans="1:11" x14ac:dyDescent="0.45">
      <c r="A485" s="9" t="s">
        <v>597</v>
      </c>
      <c r="B485" s="9" t="s">
        <v>1608</v>
      </c>
      <c r="C485" s="9" t="s">
        <v>575</v>
      </c>
      <c r="D485" s="9" t="b">
        <f>TRUE()</f>
        <v>1</v>
      </c>
      <c r="E485" s="10">
        <v>1825</v>
      </c>
      <c r="F485" s="12">
        <f t="shared" si="7"/>
        <v>0.83371402466879851</v>
      </c>
      <c r="G485" s="10">
        <v>0</v>
      </c>
      <c r="H485" s="27">
        <v>45044</v>
      </c>
      <c r="I485" s="27">
        <v>45404</v>
      </c>
      <c r="J485" s="9" t="s">
        <v>1609</v>
      </c>
      <c r="K485" s="9" t="s">
        <v>2060</v>
      </c>
    </row>
    <row r="486" spans="1:11" x14ac:dyDescent="0.45">
      <c r="A486" s="4" t="s">
        <v>597</v>
      </c>
      <c r="B486" s="4" t="s">
        <v>1608</v>
      </c>
      <c r="C486" s="4" t="s">
        <v>2048</v>
      </c>
      <c r="D486" s="4" t="b">
        <f>FALSE()</f>
        <v>0</v>
      </c>
      <c r="E486" s="5">
        <v>364</v>
      </c>
      <c r="F486" s="7">
        <f t="shared" si="7"/>
        <v>0.16628597533120146</v>
      </c>
      <c r="G486" s="5">
        <v>0</v>
      </c>
      <c r="H486" s="26">
        <v>44929</v>
      </c>
      <c r="I486" s="26">
        <v>45054</v>
      </c>
      <c r="J486" s="4" t="s">
        <v>1614</v>
      </c>
      <c r="K486" s="4" t="s">
        <v>2061</v>
      </c>
    </row>
    <row r="487" spans="1:11" x14ac:dyDescent="0.45">
      <c r="A487" s="9" t="s">
        <v>598</v>
      </c>
      <c r="B487" s="9" t="s">
        <v>1608</v>
      </c>
      <c r="C487" s="9" t="s">
        <v>575</v>
      </c>
      <c r="D487" s="9" t="b">
        <f>TRUE()</f>
        <v>1</v>
      </c>
      <c r="E487" s="10">
        <v>1983</v>
      </c>
      <c r="F487" s="12">
        <f t="shared" si="7"/>
        <v>0.97588582677165359</v>
      </c>
      <c r="G487" s="10">
        <v>0</v>
      </c>
      <c r="H487" s="27">
        <v>45046</v>
      </c>
      <c r="I487" s="27">
        <v>45400</v>
      </c>
      <c r="J487" s="9" t="s">
        <v>1609</v>
      </c>
      <c r="K487" s="9" t="s">
        <v>2062</v>
      </c>
    </row>
    <row r="488" spans="1:11" x14ac:dyDescent="0.45">
      <c r="A488" s="4" t="s">
        <v>598</v>
      </c>
      <c r="B488" s="4" t="s">
        <v>1608</v>
      </c>
      <c r="C488" s="4" t="s">
        <v>2048</v>
      </c>
      <c r="D488" s="4" t="b">
        <f>FALSE()</f>
        <v>0</v>
      </c>
      <c r="E488" s="5">
        <v>49</v>
      </c>
      <c r="F488" s="7">
        <f t="shared" si="7"/>
        <v>2.4114173228346455E-2</v>
      </c>
      <c r="G488" s="5">
        <v>0</v>
      </c>
      <c r="H488" s="26">
        <v>44933</v>
      </c>
      <c r="I488" s="26">
        <v>45054</v>
      </c>
      <c r="J488" s="4" t="s">
        <v>1614</v>
      </c>
      <c r="K488" s="4" t="s">
        <v>2063</v>
      </c>
    </row>
    <row r="489" spans="1:11" x14ac:dyDescent="0.45">
      <c r="A489" s="9" t="s">
        <v>599</v>
      </c>
      <c r="B489" s="9" t="s">
        <v>1608</v>
      </c>
      <c r="C489" s="9" t="s">
        <v>575</v>
      </c>
      <c r="D489" s="9" t="b">
        <f>TRUE()</f>
        <v>1</v>
      </c>
      <c r="E489" s="10">
        <v>1870</v>
      </c>
      <c r="F489" s="12">
        <f t="shared" si="7"/>
        <v>0.94492167761495705</v>
      </c>
      <c r="G489" s="10">
        <v>363</v>
      </c>
      <c r="H489" s="27">
        <v>44995</v>
      </c>
      <c r="I489" s="27">
        <v>46296</v>
      </c>
      <c r="J489" s="9" t="s">
        <v>1609</v>
      </c>
      <c r="K489" s="9" t="s">
        <v>2064</v>
      </c>
    </row>
    <row r="490" spans="1:11" x14ac:dyDescent="0.45">
      <c r="A490" s="4" t="s">
        <v>599</v>
      </c>
      <c r="B490" s="4" t="s">
        <v>1608</v>
      </c>
      <c r="C490" s="4" t="s">
        <v>2048</v>
      </c>
      <c r="D490" s="4" t="b">
        <f>FALSE()</f>
        <v>0</v>
      </c>
      <c r="E490" s="5">
        <v>109</v>
      </c>
      <c r="F490" s="7">
        <f t="shared" si="7"/>
        <v>5.5078322385042948E-2</v>
      </c>
      <c r="G490" s="5">
        <v>0</v>
      </c>
      <c r="H490" s="26">
        <v>44929</v>
      </c>
      <c r="I490" s="26">
        <v>45054</v>
      </c>
      <c r="J490" s="4" t="s">
        <v>1614</v>
      </c>
      <c r="K490" s="4" t="s">
        <v>2065</v>
      </c>
    </row>
    <row r="491" spans="1:11" x14ac:dyDescent="0.45">
      <c r="A491" s="9" t="s">
        <v>605</v>
      </c>
      <c r="B491" s="9" t="s">
        <v>1608</v>
      </c>
      <c r="C491" s="9" t="s">
        <v>575</v>
      </c>
      <c r="D491" s="9" t="b">
        <f>TRUE()</f>
        <v>1</v>
      </c>
      <c r="E491" s="10">
        <v>1407</v>
      </c>
      <c r="F491" s="12">
        <f t="shared" si="7"/>
        <v>0.95584239130434778</v>
      </c>
      <c r="G491" s="10">
        <v>280</v>
      </c>
      <c r="H491" s="27">
        <v>44929</v>
      </c>
      <c r="I491" s="27">
        <v>46296</v>
      </c>
      <c r="J491" s="9" t="s">
        <v>1609</v>
      </c>
      <c r="K491" s="9" t="s">
        <v>1683</v>
      </c>
    </row>
    <row r="492" spans="1:11" x14ac:dyDescent="0.45">
      <c r="A492" s="4" t="s">
        <v>605</v>
      </c>
      <c r="B492" s="4" t="s">
        <v>1608</v>
      </c>
      <c r="C492" s="4" t="s">
        <v>2048</v>
      </c>
      <c r="D492" s="4" t="b">
        <f>FALSE()</f>
        <v>0</v>
      </c>
      <c r="E492" s="5">
        <v>65</v>
      </c>
      <c r="F492" s="7">
        <f t="shared" si="7"/>
        <v>4.4157608695652176E-2</v>
      </c>
      <c r="G492" s="5">
        <v>0</v>
      </c>
      <c r="H492" s="26">
        <v>44931</v>
      </c>
      <c r="I492" s="26">
        <v>45054</v>
      </c>
      <c r="J492" s="4" t="s">
        <v>1614</v>
      </c>
      <c r="K492" s="4" t="s">
        <v>2066</v>
      </c>
    </row>
    <row r="493" spans="1:11" x14ac:dyDescent="0.45">
      <c r="A493" s="9" t="s">
        <v>608</v>
      </c>
      <c r="B493" s="9" t="s">
        <v>1608</v>
      </c>
      <c r="C493" s="9" t="s">
        <v>575</v>
      </c>
      <c r="D493" s="9" t="b">
        <f>TRUE()</f>
        <v>1</v>
      </c>
      <c r="E493" s="10">
        <v>1033</v>
      </c>
      <c r="F493" s="12">
        <f t="shared" si="7"/>
        <v>0.9247985675917636</v>
      </c>
      <c r="G493" s="10">
        <v>0</v>
      </c>
      <c r="H493" s="27">
        <v>44952</v>
      </c>
      <c r="I493" s="27">
        <v>45404</v>
      </c>
      <c r="J493" s="9" t="s">
        <v>1609</v>
      </c>
      <c r="K493" s="9" t="s">
        <v>2067</v>
      </c>
    </row>
    <row r="494" spans="1:11" x14ac:dyDescent="0.45">
      <c r="A494" s="4" t="s">
        <v>608</v>
      </c>
      <c r="B494" s="4" t="s">
        <v>1608</v>
      </c>
      <c r="C494" s="4" t="s">
        <v>2048</v>
      </c>
      <c r="D494" s="4" t="b">
        <f>FALSE()</f>
        <v>0</v>
      </c>
      <c r="E494" s="5">
        <v>84</v>
      </c>
      <c r="F494" s="7">
        <f t="shared" si="7"/>
        <v>7.5201432408236346E-2</v>
      </c>
      <c r="G494" s="5">
        <v>0</v>
      </c>
      <c r="H494" s="26">
        <v>44929</v>
      </c>
      <c r="I494" s="26">
        <v>45053</v>
      </c>
      <c r="J494" s="4" t="s">
        <v>1614</v>
      </c>
      <c r="K494" s="4" t="s">
        <v>2068</v>
      </c>
    </row>
    <row r="495" spans="1:11" x14ac:dyDescent="0.45">
      <c r="A495" s="9" t="s">
        <v>610</v>
      </c>
      <c r="B495" s="9" t="s">
        <v>1608</v>
      </c>
      <c r="C495" s="9" t="s">
        <v>575</v>
      </c>
      <c r="D495" s="9" t="b">
        <f>TRUE()</f>
        <v>1</v>
      </c>
      <c r="E495" s="10">
        <v>954</v>
      </c>
      <c r="F495" s="12">
        <f t="shared" si="7"/>
        <v>0.95114656031904288</v>
      </c>
      <c r="G495" s="10">
        <v>0</v>
      </c>
      <c r="H495" s="27">
        <v>44966</v>
      </c>
      <c r="I495" s="27">
        <v>45718</v>
      </c>
      <c r="J495" s="9" t="s">
        <v>1609</v>
      </c>
      <c r="K495" s="9" t="s">
        <v>2069</v>
      </c>
    </row>
    <row r="496" spans="1:11" x14ac:dyDescent="0.45">
      <c r="A496" s="4" t="s">
        <v>610</v>
      </c>
      <c r="B496" s="4" t="s">
        <v>1608</v>
      </c>
      <c r="C496" s="4" t="s">
        <v>2048</v>
      </c>
      <c r="D496" s="4" t="b">
        <f>FALSE()</f>
        <v>0</v>
      </c>
      <c r="E496" s="5">
        <v>49</v>
      </c>
      <c r="F496" s="7">
        <f t="shared" si="7"/>
        <v>4.8853439680957129E-2</v>
      </c>
      <c r="G496" s="5">
        <v>0</v>
      </c>
      <c r="H496" s="26">
        <v>44929</v>
      </c>
      <c r="I496" s="26">
        <v>45028</v>
      </c>
      <c r="J496" s="4" t="s">
        <v>1614</v>
      </c>
      <c r="K496" s="4" t="s">
        <v>2070</v>
      </c>
    </row>
    <row r="497" spans="1:11" x14ac:dyDescent="0.45">
      <c r="A497" s="9" t="s">
        <v>611</v>
      </c>
      <c r="B497" s="9" t="s">
        <v>1608</v>
      </c>
      <c r="C497" s="9" t="s">
        <v>575</v>
      </c>
      <c r="D497" s="9" t="b">
        <f>TRUE()</f>
        <v>1</v>
      </c>
      <c r="E497" s="10">
        <v>863</v>
      </c>
      <c r="F497" s="12">
        <f t="shared" si="7"/>
        <v>0.93499458288190684</v>
      </c>
      <c r="G497" s="10">
        <v>0</v>
      </c>
      <c r="H497" s="27">
        <v>45050</v>
      </c>
      <c r="I497" s="27">
        <v>45876</v>
      </c>
      <c r="J497" s="9" t="s">
        <v>1609</v>
      </c>
      <c r="K497" s="9" t="s">
        <v>2071</v>
      </c>
    </row>
    <row r="498" spans="1:11" x14ac:dyDescent="0.45">
      <c r="A498" s="4" t="s">
        <v>611</v>
      </c>
      <c r="B498" s="4" t="s">
        <v>1608</v>
      </c>
      <c r="C498" s="4" t="s">
        <v>2048</v>
      </c>
      <c r="D498" s="4" t="b">
        <f>FALSE()</f>
        <v>0</v>
      </c>
      <c r="E498" s="5">
        <v>60</v>
      </c>
      <c r="F498" s="7">
        <f t="shared" si="7"/>
        <v>6.500541711809317E-2</v>
      </c>
      <c r="G498" s="5">
        <v>0</v>
      </c>
      <c r="H498" s="26">
        <v>44930</v>
      </c>
      <c r="I498" s="26">
        <v>45051</v>
      </c>
      <c r="J498" s="4" t="s">
        <v>1614</v>
      </c>
      <c r="K498" s="4" t="s">
        <v>2072</v>
      </c>
    </row>
    <row r="499" spans="1:11" x14ac:dyDescent="0.45">
      <c r="A499" s="9" t="s">
        <v>613</v>
      </c>
      <c r="B499" s="9" t="s">
        <v>1608</v>
      </c>
      <c r="C499" s="9" t="s">
        <v>575</v>
      </c>
      <c r="D499" s="9" t="b">
        <f>TRUE()</f>
        <v>1</v>
      </c>
      <c r="E499" s="10">
        <v>661</v>
      </c>
      <c r="F499" s="12">
        <f t="shared" si="7"/>
        <v>0.94293865905848784</v>
      </c>
      <c r="G499" s="10">
        <v>221</v>
      </c>
      <c r="H499" s="27">
        <v>45045</v>
      </c>
      <c r="I499" s="27">
        <v>46294</v>
      </c>
      <c r="J499" s="9" t="s">
        <v>1609</v>
      </c>
      <c r="K499" s="9" t="s">
        <v>2073</v>
      </c>
    </row>
    <row r="500" spans="1:11" x14ac:dyDescent="0.45">
      <c r="A500" s="4" t="s">
        <v>613</v>
      </c>
      <c r="B500" s="4" t="s">
        <v>1608</v>
      </c>
      <c r="C500" s="4" t="s">
        <v>152</v>
      </c>
      <c r="D500" s="4" t="b">
        <f>FALSE()</f>
        <v>0</v>
      </c>
      <c r="E500" s="5">
        <v>40</v>
      </c>
      <c r="F500" s="7">
        <f t="shared" si="7"/>
        <v>5.7061340941512127E-2</v>
      </c>
      <c r="G500" s="5">
        <v>0</v>
      </c>
      <c r="H500" s="26">
        <v>44942</v>
      </c>
      <c r="I500" s="26">
        <v>45054</v>
      </c>
      <c r="J500" s="4" t="s">
        <v>1614</v>
      </c>
      <c r="K500" s="4" t="s">
        <v>2074</v>
      </c>
    </row>
    <row r="501" spans="1:11" x14ac:dyDescent="0.45">
      <c r="A501" s="9" t="s">
        <v>614</v>
      </c>
      <c r="B501" s="9" t="s">
        <v>1608</v>
      </c>
      <c r="C501" s="9" t="s">
        <v>575</v>
      </c>
      <c r="D501" s="9" t="b">
        <f>TRUE()</f>
        <v>1</v>
      </c>
      <c r="E501" s="10">
        <v>682</v>
      </c>
      <c r="F501" s="12">
        <f t="shared" si="7"/>
        <v>0.97567954220314734</v>
      </c>
      <c r="G501" s="10">
        <v>0</v>
      </c>
      <c r="H501" s="27">
        <v>45027</v>
      </c>
      <c r="I501" s="27">
        <v>45404</v>
      </c>
      <c r="J501" s="9" t="s">
        <v>1609</v>
      </c>
      <c r="K501" s="9" t="s">
        <v>2075</v>
      </c>
    </row>
    <row r="502" spans="1:11" x14ac:dyDescent="0.45">
      <c r="A502" s="4" t="s">
        <v>614</v>
      </c>
      <c r="B502" s="4" t="s">
        <v>1608</v>
      </c>
      <c r="C502" s="4" t="s">
        <v>2048</v>
      </c>
      <c r="D502" s="4" t="b">
        <f>FALSE()</f>
        <v>0</v>
      </c>
      <c r="E502" s="5">
        <v>17</v>
      </c>
      <c r="F502" s="7">
        <f t="shared" si="7"/>
        <v>2.4320457796852647E-2</v>
      </c>
      <c r="G502" s="5">
        <v>0</v>
      </c>
      <c r="H502" s="26">
        <v>44959</v>
      </c>
      <c r="I502" s="26">
        <v>45044</v>
      </c>
      <c r="J502" s="4" t="s">
        <v>1614</v>
      </c>
      <c r="K502" s="4" t="s">
        <v>2076</v>
      </c>
    </row>
    <row r="503" spans="1:11" x14ac:dyDescent="0.45">
      <c r="A503" s="9" t="s">
        <v>618</v>
      </c>
      <c r="B503" s="9" t="s">
        <v>1608</v>
      </c>
      <c r="C503" s="9" t="s">
        <v>575</v>
      </c>
      <c r="D503" s="9" t="b">
        <f>TRUE()</f>
        <v>1</v>
      </c>
      <c r="E503" s="10">
        <v>472</v>
      </c>
      <c r="F503" s="12">
        <f t="shared" si="7"/>
        <v>0.79729729729729726</v>
      </c>
      <c r="G503" s="10">
        <v>0</v>
      </c>
      <c r="H503" s="27">
        <v>45017</v>
      </c>
      <c r="I503" s="27">
        <v>45405</v>
      </c>
      <c r="J503" s="9" t="s">
        <v>1609</v>
      </c>
      <c r="K503" s="9" t="s">
        <v>2077</v>
      </c>
    </row>
    <row r="504" spans="1:11" x14ac:dyDescent="0.45">
      <c r="A504" s="4" t="s">
        <v>618</v>
      </c>
      <c r="B504" s="4" t="s">
        <v>1608</v>
      </c>
      <c r="C504" s="4" t="s">
        <v>2048</v>
      </c>
      <c r="D504" s="4" t="b">
        <f>FALSE()</f>
        <v>0</v>
      </c>
      <c r="E504" s="5">
        <v>120</v>
      </c>
      <c r="F504" s="7">
        <f t="shared" si="7"/>
        <v>0.20270270270270271</v>
      </c>
      <c r="G504" s="5">
        <v>0</v>
      </c>
      <c r="H504" s="26">
        <v>44929</v>
      </c>
      <c r="I504" s="26">
        <v>45054</v>
      </c>
      <c r="J504" s="4" t="s">
        <v>1614</v>
      </c>
      <c r="K504" s="4" t="s">
        <v>2078</v>
      </c>
    </row>
    <row r="505" spans="1:11" x14ac:dyDescent="0.45">
      <c r="A505" s="9" t="s">
        <v>619</v>
      </c>
      <c r="B505" s="9" t="s">
        <v>1608</v>
      </c>
      <c r="C505" s="9" t="s">
        <v>575</v>
      </c>
      <c r="D505" s="9" t="b">
        <f>TRUE()</f>
        <v>1</v>
      </c>
      <c r="E505" s="10">
        <v>590</v>
      </c>
      <c r="F505" s="12">
        <f t="shared" si="7"/>
        <v>0.99830795262267347</v>
      </c>
      <c r="G505" s="10">
        <v>154</v>
      </c>
      <c r="H505" s="27">
        <v>45075</v>
      </c>
      <c r="I505" s="27">
        <v>46296</v>
      </c>
      <c r="J505" s="9" t="s">
        <v>1609</v>
      </c>
      <c r="K505" s="9" t="s">
        <v>2079</v>
      </c>
    </row>
    <row r="506" spans="1:11" x14ac:dyDescent="0.45">
      <c r="A506" s="4" t="s">
        <v>619</v>
      </c>
      <c r="B506" s="4" t="s">
        <v>1608</v>
      </c>
      <c r="C506" s="4" t="s">
        <v>2048</v>
      </c>
      <c r="D506" s="4" t="b">
        <f>FALSE()</f>
        <v>0</v>
      </c>
      <c r="E506" s="5">
        <v>1</v>
      </c>
      <c r="F506" s="7">
        <f t="shared" si="7"/>
        <v>1.6920473773265651E-3</v>
      </c>
      <c r="G506" s="5">
        <v>0</v>
      </c>
      <c r="H506" s="26">
        <v>44998</v>
      </c>
      <c r="I506" s="26">
        <v>44998</v>
      </c>
      <c r="J506" s="4" t="s">
        <v>1614</v>
      </c>
      <c r="K506" s="4" t="s">
        <v>2080</v>
      </c>
    </row>
    <row r="507" spans="1:11" x14ac:dyDescent="0.45">
      <c r="A507" s="9" t="s">
        <v>620</v>
      </c>
      <c r="B507" s="9" t="s">
        <v>1608</v>
      </c>
      <c r="C507" s="9" t="s">
        <v>575</v>
      </c>
      <c r="D507" s="9" t="b">
        <f>TRUE()</f>
        <v>1</v>
      </c>
      <c r="E507" s="10">
        <v>466</v>
      </c>
      <c r="F507" s="12">
        <f t="shared" si="7"/>
        <v>0.89788053949903657</v>
      </c>
      <c r="G507" s="10">
        <v>0</v>
      </c>
      <c r="H507" s="27">
        <v>44991</v>
      </c>
      <c r="I507" s="27">
        <v>45404</v>
      </c>
      <c r="J507" s="9" t="s">
        <v>1609</v>
      </c>
      <c r="K507" s="9" t="s">
        <v>2081</v>
      </c>
    </row>
    <row r="508" spans="1:11" x14ac:dyDescent="0.45">
      <c r="A508" s="4" t="s">
        <v>620</v>
      </c>
      <c r="B508" s="4" t="s">
        <v>1608</v>
      </c>
      <c r="C508" s="4" t="s">
        <v>2048</v>
      </c>
      <c r="D508" s="4" t="b">
        <f>FALSE()</f>
        <v>0</v>
      </c>
      <c r="E508" s="5">
        <v>53</v>
      </c>
      <c r="F508" s="7">
        <f t="shared" si="7"/>
        <v>0.10211946050096339</v>
      </c>
      <c r="G508" s="5">
        <v>0</v>
      </c>
      <c r="H508" s="26">
        <v>44944</v>
      </c>
      <c r="I508" s="26">
        <v>45051</v>
      </c>
      <c r="J508" s="4" t="s">
        <v>1614</v>
      </c>
      <c r="K508" s="4" t="s">
        <v>2082</v>
      </c>
    </row>
    <row r="509" spans="1:11" x14ac:dyDescent="0.45">
      <c r="A509" s="9" t="s">
        <v>621</v>
      </c>
      <c r="B509" s="9" t="s">
        <v>1608</v>
      </c>
      <c r="C509" s="9" t="s">
        <v>575</v>
      </c>
      <c r="D509" s="9" t="b">
        <f>TRUE()</f>
        <v>1</v>
      </c>
      <c r="E509" s="10">
        <v>447</v>
      </c>
      <c r="F509" s="12">
        <f t="shared" si="7"/>
        <v>0.88165680473372776</v>
      </c>
      <c r="G509" s="10">
        <v>92</v>
      </c>
      <c r="H509" s="27">
        <v>45044</v>
      </c>
      <c r="I509" s="27">
        <v>46295</v>
      </c>
      <c r="J509" s="9" t="s">
        <v>1609</v>
      </c>
      <c r="K509" s="9" t="s">
        <v>2083</v>
      </c>
    </row>
    <row r="510" spans="1:11" x14ac:dyDescent="0.45">
      <c r="A510" s="4" t="s">
        <v>621</v>
      </c>
      <c r="B510" s="4" t="s">
        <v>1608</v>
      </c>
      <c r="C510" s="4" t="s">
        <v>2048</v>
      </c>
      <c r="D510" s="4" t="b">
        <f>FALSE()</f>
        <v>0</v>
      </c>
      <c r="E510" s="5">
        <v>60</v>
      </c>
      <c r="F510" s="7">
        <f t="shared" si="7"/>
        <v>0.11834319526627218</v>
      </c>
      <c r="G510" s="5">
        <v>0</v>
      </c>
      <c r="H510" s="26">
        <v>44937</v>
      </c>
      <c r="I510" s="26">
        <v>45051</v>
      </c>
      <c r="J510" s="4" t="s">
        <v>1614</v>
      </c>
      <c r="K510" s="4" t="s">
        <v>2084</v>
      </c>
    </row>
    <row r="511" spans="1:11" x14ac:dyDescent="0.45">
      <c r="A511" s="9" t="s">
        <v>622</v>
      </c>
      <c r="B511" s="9" t="s">
        <v>1608</v>
      </c>
      <c r="C511" s="9" t="s">
        <v>575</v>
      </c>
      <c r="D511" s="9" t="b">
        <f>TRUE()</f>
        <v>1</v>
      </c>
      <c r="E511" s="10">
        <v>438</v>
      </c>
      <c r="F511" s="12">
        <f t="shared" si="7"/>
        <v>0.89938398357289528</v>
      </c>
      <c r="G511" s="10">
        <v>120</v>
      </c>
      <c r="H511" s="27">
        <v>45036</v>
      </c>
      <c r="I511" s="27">
        <v>46293</v>
      </c>
      <c r="J511" s="9" t="s">
        <v>1609</v>
      </c>
      <c r="K511" s="9" t="s">
        <v>2085</v>
      </c>
    </row>
    <row r="512" spans="1:11" x14ac:dyDescent="0.45">
      <c r="A512" s="4" t="s">
        <v>622</v>
      </c>
      <c r="B512" s="4" t="s">
        <v>1608</v>
      </c>
      <c r="C512" s="4" t="s">
        <v>2048</v>
      </c>
      <c r="D512" s="4" t="b">
        <f>FALSE()</f>
        <v>0</v>
      </c>
      <c r="E512" s="5">
        <v>49</v>
      </c>
      <c r="F512" s="7">
        <f t="shared" si="7"/>
        <v>0.10061601642710473</v>
      </c>
      <c r="G512" s="5">
        <v>0</v>
      </c>
      <c r="H512" s="26">
        <v>44935</v>
      </c>
      <c r="I512" s="26">
        <v>45049</v>
      </c>
      <c r="J512" s="4" t="s">
        <v>1614</v>
      </c>
      <c r="K512" s="4" t="s">
        <v>2086</v>
      </c>
    </row>
    <row r="513" spans="1:11" x14ac:dyDescent="0.45">
      <c r="A513" s="9" t="s">
        <v>623</v>
      </c>
      <c r="B513" s="9" t="s">
        <v>1608</v>
      </c>
      <c r="C513" s="9" t="s">
        <v>575</v>
      </c>
      <c r="D513" s="9" t="b">
        <f>TRUE()</f>
        <v>1</v>
      </c>
      <c r="E513" s="10">
        <v>342</v>
      </c>
      <c r="F513" s="12">
        <f t="shared" si="7"/>
        <v>0.79350348027842232</v>
      </c>
      <c r="G513" s="10">
        <v>116</v>
      </c>
      <c r="H513" s="27">
        <v>45007</v>
      </c>
      <c r="I513" s="27">
        <v>46274</v>
      </c>
      <c r="J513" s="9" t="s">
        <v>1609</v>
      </c>
      <c r="K513" s="9" t="s">
        <v>2087</v>
      </c>
    </row>
    <row r="514" spans="1:11" x14ac:dyDescent="0.45">
      <c r="A514" s="4" t="s">
        <v>623</v>
      </c>
      <c r="B514" s="4" t="s">
        <v>1608</v>
      </c>
      <c r="C514" s="4" t="s">
        <v>2048</v>
      </c>
      <c r="D514" s="4" t="b">
        <f>FALSE()</f>
        <v>0</v>
      </c>
      <c r="E514" s="5">
        <v>89</v>
      </c>
      <c r="F514" s="7">
        <f t="shared" ref="F514:F577" si="8">E514/SUMIFS($E$2:$E$783,$A$2:$A$783,A514)</f>
        <v>0.20649651972157773</v>
      </c>
      <c r="G514" s="5">
        <v>0</v>
      </c>
      <c r="H514" s="26">
        <v>44956</v>
      </c>
      <c r="I514" s="26">
        <v>45043</v>
      </c>
      <c r="J514" s="4" t="s">
        <v>1614</v>
      </c>
      <c r="K514" s="4" t="s">
        <v>2088</v>
      </c>
    </row>
    <row r="515" spans="1:11" x14ac:dyDescent="0.45">
      <c r="A515" s="9" t="s">
        <v>624</v>
      </c>
      <c r="B515" s="9" t="s">
        <v>1608</v>
      </c>
      <c r="C515" s="9" t="s">
        <v>575</v>
      </c>
      <c r="D515" s="9" t="b">
        <f>TRUE()</f>
        <v>1</v>
      </c>
      <c r="E515" s="10">
        <v>377</v>
      </c>
      <c r="F515" s="12">
        <f t="shared" si="8"/>
        <v>0.97922077922077921</v>
      </c>
      <c r="G515" s="10">
        <v>125</v>
      </c>
      <c r="H515" s="27">
        <v>45026</v>
      </c>
      <c r="I515" s="27">
        <v>46296</v>
      </c>
      <c r="J515" s="9" t="s">
        <v>1609</v>
      </c>
      <c r="K515" s="9" t="s">
        <v>2089</v>
      </c>
    </row>
    <row r="516" spans="1:11" x14ac:dyDescent="0.45">
      <c r="A516" s="4" t="s">
        <v>624</v>
      </c>
      <c r="B516" s="4" t="s">
        <v>1608</v>
      </c>
      <c r="C516" s="4" t="s">
        <v>2048</v>
      </c>
      <c r="D516" s="4" t="b">
        <f>FALSE()</f>
        <v>0</v>
      </c>
      <c r="E516" s="5">
        <v>8</v>
      </c>
      <c r="F516" s="7">
        <f t="shared" si="8"/>
        <v>2.0779220779220779E-2</v>
      </c>
      <c r="G516" s="5">
        <v>0</v>
      </c>
      <c r="H516" s="26">
        <v>44936</v>
      </c>
      <c r="I516" s="26">
        <v>45049</v>
      </c>
      <c r="J516" s="4" t="s">
        <v>1614</v>
      </c>
      <c r="K516" s="4" t="s">
        <v>2090</v>
      </c>
    </row>
    <row r="517" spans="1:11" x14ac:dyDescent="0.45">
      <c r="A517" s="9" t="s">
        <v>625</v>
      </c>
      <c r="B517" s="9" t="s">
        <v>1608</v>
      </c>
      <c r="C517" s="9" t="s">
        <v>575</v>
      </c>
      <c r="D517" s="9" t="b">
        <f>TRUE()</f>
        <v>1</v>
      </c>
      <c r="E517" s="10">
        <v>291</v>
      </c>
      <c r="F517" s="12">
        <f t="shared" si="8"/>
        <v>0.77600000000000002</v>
      </c>
      <c r="G517" s="10">
        <v>0</v>
      </c>
      <c r="H517" s="27">
        <v>45050</v>
      </c>
      <c r="I517" s="27">
        <v>45399</v>
      </c>
      <c r="J517" s="9" t="s">
        <v>1609</v>
      </c>
      <c r="K517" s="9" t="s">
        <v>2091</v>
      </c>
    </row>
    <row r="518" spans="1:11" x14ac:dyDescent="0.45">
      <c r="A518" s="4" t="s">
        <v>625</v>
      </c>
      <c r="B518" s="4" t="s">
        <v>1608</v>
      </c>
      <c r="C518" s="4" t="s">
        <v>2048</v>
      </c>
      <c r="D518" s="4" t="b">
        <f>FALSE()</f>
        <v>0</v>
      </c>
      <c r="E518" s="5">
        <v>84</v>
      </c>
      <c r="F518" s="7">
        <f t="shared" si="8"/>
        <v>0.224</v>
      </c>
      <c r="G518" s="5">
        <v>0</v>
      </c>
      <c r="H518" s="26">
        <v>44929</v>
      </c>
      <c r="I518" s="26">
        <v>45054</v>
      </c>
      <c r="J518" s="4" t="s">
        <v>1614</v>
      </c>
      <c r="K518" s="4" t="s">
        <v>2092</v>
      </c>
    </row>
    <row r="519" spans="1:11" x14ac:dyDescent="0.45">
      <c r="A519" s="9" t="s">
        <v>627</v>
      </c>
      <c r="B519" s="9" t="s">
        <v>1608</v>
      </c>
      <c r="C519" s="9" t="s">
        <v>575</v>
      </c>
      <c r="D519" s="9" t="b">
        <f>TRUE()</f>
        <v>1</v>
      </c>
      <c r="E519" s="10">
        <v>269</v>
      </c>
      <c r="F519" s="12">
        <f t="shared" si="8"/>
        <v>0.80298507462686564</v>
      </c>
      <c r="G519" s="10">
        <v>0</v>
      </c>
      <c r="H519" s="27">
        <v>45029</v>
      </c>
      <c r="I519" s="27">
        <v>45442</v>
      </c>
      <c r="J519" s="9" t="s">
        <v>1609</v>
      </c>
      <c r="K519" s="9" t="s">
        <v>2093</v>
      </c>
    </row>
    <row r="520" spans="1:11" x14ac:dyDescent="0.45">
      <c r="A520" s="4" t="s">
        <v>627</v>
      </c>
      <c r="B520" s="4" t="s">
        <v>1608</v>
      </c>
      <c r="C520" s="4" t="s">
        <v>2048</v>
      </c>
      <c r="D520" s="4" t="b">
        <f>FALSE()</f>
        <v>0</v>
      </c>
      <c r="E520" s="5">
        <v>66</v>
      </c>
      <c r="F520" s="7">
        <f t="shared" si="8"/>
        <v>0.19701492537313434</v>
      </c>
      <c r="G520" s="5">
        <v>0</v>
      </c>
      <c r="H520" s="26">
        <v>44930</v>
      </c>
      <c r="I520" s="26">
        <v>45054</v>
      </c>
      <c r="J520" s="4" t="s">
        <v>1614</v>
      </c>
      <c r="K520" s="4" t="s">
        <v>2094</v>
      </c>
    </row>
    <row r="521" spans="1:11" x14ac:dyDescent="0.45">
      <c r="A521" s="9" t="s">
        <v>630</v>
      </c>
      <c r="B521" s="9" t="s">
        <v>1608</v>
      </c>
      <c r="C521" s="9" t="s">
        <v>575</v>
      </c>
      <c r="D521" s="9" t="b">
        <f>TRUE()</f>
        <v>1</v>
      </c>
      <c r="E521" s="10">
        <v>172</v>
      </c>
      <c r="F521" s="12">
        <f t="shared" si="8"/>
        <v>0.8</v>
      </c>
      <c r="G521" s="10">
        <v>0</v>
      </c>
      <c r="H521" s="27">
        <v>45051</v>
      </c>
      <c r="I521" s="27">
        <v>45398</v>
      </c>
      <c r="J521" s="9" t="s">
        <v>1609</v>
      </c>
      <c r="K521" s="9" t="s">
        <v>2095</v>
      </c>
    </row>
    <row r="522" spans="1:11" x14ac:dyDescent="0.45">
      <c r="A522" s="4" t="s">
        <v>630</v>
      </c>
      <c r="B522" s="4" t="s">
        <v>1608</v>
      </c>
      <c r="C522" s="4" t="s">
        <v>2048</v>
      </c>
      <c r="D522" s="4" t="b">
        <f>FALSE()</f>
        <v>0</v>
      </c>
      <c r="E522" s="5">
        <v>43</v>
      </c>
      <c r="F522" s="7">
        <f t="shared" si="8"/>
        <v>0.2</v>
      </c>
      <c r="G522" s="5">
        <v>0</v>
      </c>
      <c r="H522" s="26">
        <v>44928</v>
      </c>
      <c r="I522" s="26">
        <v>45053</v>
      </c>
      <c r="J522" s="4" t="s">
        <v>1614</v>
      </c>
      <c r="K522" s="4" t="s">
        <v>2096</v>
      </c>
    </row>
    <row r="523" spans="1:11" x14ac:dyDescent="0.45">
      <c r="A523" s="9" t="s">
        <v>631</v>
      </c>
      <c r="B523" s="9" t="s">
        <v>1608</v>
      </c>
      <c r="C523" s="9" t="s">
        <v>575</v>
      </c>
      <c r="D523" s="9" t="b">
        <f>TRUE()</f>
        <v>1</v>
      </c>
      <c r="E523" s="10">
        <v>146</v>
      </c>
      <c r="F523" s="12">
        <f t="shared" si="8"/>
        <v>0.79781420765027322</v>
      </c>
      <c r="G523" s="10">
        <v>0</v>
      </c>
      <c r="H523" s="27">
        <v>45037</v>
      </c>
      <c r="I523" s="27">
        <v>45398</v>
      </c>
      <c r="J523" s="9" t="s">
        <v>1609</v>
      </c>
      <c r="K523" s="9" t="s">
        <v>2097</v>
      </c>
    </row>
    <row r="524" spans="1:11" x14ac:dyDescent="0.45">
      <c r="A524" s="4" t="s">
        <v>631</v>
      </c>
      <c r="B524" s="4" t="s">
        <v>1608</v>
      </c>
      <c r="C524" s="4" t="s">
        <v>2048</v>
      </c>
      <c r="D524" s="4" t="b">
        <f>FALSE()</f>
        <v>0</v>
      </c>
      <c r="E524" s="5">
        <v>37</v>
      </c>
      <c r="F524" s="7">
        <f t="shared" si="8"/>
        <v>0.20218579234972678</v>
      </c>
      <c r="G524" s="5">
        <v>0</v>
      </c>
      <c r="H524" s="26">
        <v>44935</v>
      </c>
      <c r="I524" s="26">
        <v>45054</v>
      </c>
      <c r="J524" s="4" t="s">
        <v>1614</v>
      </c>
      <c r="K524" s="4" t="s">
        <v>2098</v>
      </c>
    </row>
    <row r="525" spans="1:11" x14ac:dyDescent="0.45">
      <c r="A525" s="9" t="s">
        <v>633</v>
      </c>
      <c r="B525" s="9" t="s">
        <v>1608</v>
      </c>
      <c r="C525" s="9" t="s">
        <v>575</v>
      </c>
      <c r="D525" s="9" t="b">
        <f>TRUE()</f>
        <v>1</v>
      </c>
      <c r="E525" s="10">
        <v>128</v>
      </c>
      <c r="F525" s="12">
        <f t="shared" si="8"/>
        <v>0.85906040268456374</v>
      </c>
      <c r="G525" s="10">
        <v>0</v>
      </c>
      <c r="H525" s="27">
        <v>45057</v>
      </c>
      <c r="I525" s="27">
        <v>45400</v>
      </c>
      <c r="J525" s="9" t="s">
        <v>1609</v>
      </c>
      <c r="K525" s="9" t="s">
        <v>2099</v>
      </c>
    </row>
    <row r="526" spans="1:11" x14ac:dyDescent="0.45">
      <c r="A526" s="4" t="s">
        <v>633</v>
      </c>
      <c r="B526" s="4" t="s">
        <v>1608</v>
      </c>
      <c r="C526" s="4" t="s">
        <v>2048</v>
      </c>
      <c r="D526" s="4" t="b">
        <f>FALSE()</f>
        <v>0</v>
      </c>
      <c r="E526" s="5">
        <v>21</v>
      </c>
      <c r="F526" s="7">
        <f t="shared" si="8"/>
        <v>0.14093959731543623</v>
      </c>
      <c r="G526" s="5">
        <v>0</v>
      </c>
      <c r="H526" s="26">
        <v>44960</v>
      </c>
      <c r="I526" s="26">
        <v>45054</v>
      </c>
      <c r="J526" s="4" t="s">
        <v>1614</v>
      </c>
      <c r="K526" s="4" t="s">
        <v>2100</v>
      </c>
    </row>
    <row r="527" spans="1:11" x14ac:dyDescent="0.45">
      <c r="A527" s="9" t="s">
        <v>638</v>
      </c>
      <c r="B527" s="9" t="s">
        <v>1608</v>
      </c>
      <c r="C527" s="9" t="s">
        <v>575</v>
      </c>
      <c r="D527" s="9" t="b">
        <f>TRUE()</f>
        <v>1</v>
      </c>
      <c r="E527" s="10">
        <v>65</v>
      </c>
      <c r="F527" s="12">
        <f t="shared" si="8"/>
        <v>0.68421052631578949</v>
      </c>
      <c r="G527" s="10">
        <v>0</v>
      </c>
      <c r="H527" s="27">
        <v>45098</v>
      </c>
      <c r="I527" s="27">
        <v>45723</v>
      </c>
      <c r="J527" s="9" t="s">
        <v>1609</v>
      </c>
      <c r="K527" s="9" t="s">
        <v>2101</v>
      </c>
    </row>
    <row r="528" spans="1:11" x14ac:dyDescent="0.45">
      <c r="A528" s="4" t="s">
        <v>638</v>
      </c>
      <c r="B528" s="4" t="s">
        <v>1608</v>
      </c>
      <c r="C528" s="4" t="s">
        <v>297</v>
      </c>
      <c r="D528" s="4" t="b">
        <f>FALSE()</f>
        <v>0</v>
      </c>
      <c r="E528" s="5">
        <v>26</v>
      </c>
      <c r="F528" s="7">
        <f t="shared" si="8"/>
        <v>0.27368421052631581</v>
      </c>
      <c r="G528" s="5">
        <v>0</v>
      </c>
      <c r="H528" s="26">
        <v>45001</v>
      </c>
      <c r="I528" s="26">
        <v>45085</v>
      </c>
      <c r="J528" s="4" t="s">
        <v>1618</v>
      </c>
      <c r="K528" s="4" t="s">
        <v>2102</v>
      </c>
    </row>
    <row r="529" spans="1:11" x14ac:dyDescent="0.45">
      <c r="A529" s="4" t="s">
        <v>638</v>
      </c>
      <c r="B529" s="4" t="s">
        <v>1608</v>
      </c>
      <c r="C529" s="4" t="s">
        <v>911</v>
      </c>
      <c r="D529" s="4" t="b">
        <f>FALSE()</f>
        <v>0</v>
      </c>
      <c r="E529" s="5">
        <v>4</v>
      </c>
      <c r="F529" s="7">
        <f t="shared" si="8"/>
        <v>4.2105263157894736E-2</v>
      </c>
      <c r="G529" s="5">
        <v>0</v>
      </c>
      <c r="H529" s="26">
        <v>45033</v>
      </c>
      <c r="I529" s="26">
        <v>45050</v>
      </c>
      <c r="J529" s="4" t="s">
        <v>1614</v>
      </c>
      <c r="K529" s="4" t="s">
        <v>2103</v>
      </c>
    </row>
    <row r="530" spans="1:11" x14ac:dyDescent="0.45">
      <c r="A530" s="9" t="s">
        <v>641</v>
      </c>
      <c r="B530" s="9" t="s">
        <v>1608</v>
      </c>
      <c r="C530" s="9" t="s">
        <v>575</v>
      </c>
      <c r="D530" s="9" t="b">
        <f>TRUE()</f>
        <v>1</v>
      </c>
      <c r="E530" s="10">
        <v>56</v>
      </c>
      <c r="F530" s="12">
        <f t="shared" si="8"/>
        <v>0.84848484848484851</v>
      </c>
      <c r="G530" s="10">
        <v>0</v>
      </c>
      <c r="H530" s="27">
        <v>45002</v>
      </c>
      <c r="I530" s="27">
        <v>45719</v>
      </c>
      <c r="J530" s="9" t="s">
        <v>1609</v>
      </c>
      <c r="K530" s="9" t="s">
        <v>2104</v>
      </c>
    </row>
    <row r="531" spans="1:11" x14ac:dyDescent="0.45">
      <c r="A531" s="4" t="s">
        <v>641</v>
      </c>
      <c r="B531" s="4" t="s">
        <v>1608</v>
      </c>
      <c r="C531" s="4" t="s">
        <v>2048</v>
      </c>
      <c r="D531" s="4" t="b">
        <f>FALSE()</f>
        <v>0</v>
      </c>
      <c r="E531" s="5">
        <v>10</v>
      </c>
      <c r="F531" s="7">
        <f t="shared" si="8"/>
        <v>0.15151515151515152</v>
      </c>
      <c r="G531" s="5">
        <v>0</v>
      </c>
      <c r="H531" s="26">
        <v>44942</v>
      </c>
      <c r="I531" s="26">
        <v>45020</v>
      </c>
      <c r="J531" s="4" t="s">
        <v>1614</v>
      </c>
      <c r="K531" s="4" t="s">
        <v>2105</v>
      </c>
    </row>
    <row r="532" spans="1:11" x14ac:dyDescent="0.45">
      <c r="A532" s="9" t="s">
        <v>642</v>
      </c>
      <c r="B532" s="9" t="s">
        <v>1608</v>
      </c>
      <c r="C532" s="9" t="s">
        <v>575</v>
      </c>
      <c r="D532" s="9" t="b">
        <f>TRUE()</f>
        <v>1</v>
      </c>
      <c r="E532" s="10">
        <v>39</v>
      </c>
      <c r="F532" s="12">
        <f t="shared" si="8"/>
        <v>0.78</v>
      </c>
      <c r="G532" s="10">
        <v>0</v>
      </c>
      <c r="H532" s="27">
        <v>44977</v>
      </c>
      <c r="I532" s="27">
        <v>45404</v>
      </c>
      <c r="J532" s="9" t="s">
        <v>1609</v>
      </c>
      <c r="K532" s="9" t="s">
        <v>2106</v>
      </c>
    </row>
    <row r="533" spans="1:11" x14ac:dyDescent="0.45">
      <c r="A533" s="4" t="s">
        <v>642</v>
      </c>
      <c r="B533" s="4" t="s">
        <v>1608</v>
      </c>
      <c r="C533" s="4" t="s">
        <v>2048</v>
      </c>
      <c r="D533" s="4" t="b">
        <f>FALSE()</f>
        <v>0</v>
      </c>
      <c r="E533" s="5">
        <v>11</v>
      </c>
      <c r="F533" s="7">
        <f t="shared" si="8"/>
        <v>0.22</v>
      </c>
      <c r="G533" s="5">
        <v>0</v>
      </c>
      <c r="H533" s="26">
        <v>44935</v>
      </c>
      <c r="I533" s="26">
        <v>45049</v>
      </c>
      <c r="J533" s="4" t="s">
        <v>1614</v>
      </c>
      <c r="K533" s="4" t="s">
        <v>2107</v>
      </c>
    </row>
    <row r="534" spans="1:11" x14ac:dyDescent="0.45">
      <c r="A534" s="9" t="s">
        <v>647</v>
      </c>
      <c r="B534" s="9" t="s">
        <v>1608</v>
      </c>
      <c r="C534" s="9" t="s">
        <v>648</v>
      </c>
      <c r="D534" s="9" t="b">
        <f>TRUE()</f>
        <v>1</v>
      </c>
      <c r="E534" s="10">
        <v>94987</v>
      </c>
      <c r="F534" s="12">
        <f t="shared" si="8"/>
        <v>0.92735384855703518</v>
      </c>
      <c r="G534" s="10">
        <v>23454</v>
      </c>
      <c r="H534" s="27">
        <v>44928</v>
      </c>
      <c r="I534" s="27">
        <v>46296</v>
      </c>
      <c r="J534" s="9" t="s">
        <v>1609</v>
      </c>
      <c r="K534" s="9" t="s">
        <v>1689</v>
      </c>
    </row>
    <row r="535" spans="1:11" x14ac:dyDescent="0.45">
      <c r="A535" s="4" t="s">
        <v>647</v>
      </c>
      <c r="B535" s="4" t="s">
        <v>1608</v>
      </c>
      <c r="C535" s="4" t="s">
        <v>922</v>
      </c>
      <c r="D535" s="4" t="b">
        <f>FALSE()</f>
        <v>0</v>
      </c>
      <c r="E535" s="5">
        <v>7441</v>
      </c>
      <c r="F535" s="7">
        <f t="shared" si="8"/>
        <v>7.264615144296481E-2</v>
      </c>
      <c r="G535" s="5">
        <v>0</v>
      </c>
      <c r="H535" s="26">
        <v>44928</v>
      </c>
      <c r="I535" s="26">
        <v>45055</v>
      </c>
      <c r="J535" s="4" t="s">
        <v>1611</v>
      </c>
      <c r="K535" s="4" t="s">
        <v>1690</v>
      </c>
    </row>
    <row r="536" spans="1:11" x14ac:dyDescent="0.45">
      <c r="A536" s="9" t="s">
        <v>651</v>
      </c>
      <c r="B536" s="9" t="s">
        <v>1608</v>
      </c>
      <c r="C536" s="9" t="s">
        <v>648</v>
      </c>
      <c r="D536" s="9" t="b">
        <f>TRUE()</f>
        <v>1</v>
      </c>
      <c r="E536" s="10">
        <v>34494</v>
      </c>
      <c r="F536" s="12">
        <f t="shared" si="8"/>
        <v>0.9396349768455462</v>
      </c>
      <c r="G536" s="10">
        <v>9256</v>
      </c>
      <c r="H536" s="27">
        <v>44930</v>
      </c>
      <c r="I536" s="27">
        <v>46296</v>
      </c>
      <c r="J536" s="9" t="s">
        <v>1609</v>
      </c>
      <c r="K536" s="9" t="s">
        <v>1961</v>
      </c>
    </row>
    <row r="537" spans="1:11" x14ac:dyDescent="0.45">
      <c r="A537" s="4" t="s">
        <v>651</v>
      </c>
      <c r="B537" s="4" t="s">
        <v>1608</v>
      </c>
      <c r="C537" s="4" t="s">
        <v>922</v>
      </c>
      <c r="D537" s="4" t="b">
        <f>FALSE()</f>
        <v>0</v>
      </c>
      <c r="E537" s="5">
        <v>2216</v>
      </c>
      <c r="F537" s="7">
        <f t="shared" si="8"/>
        <v>6.0365023154453828E-2</v>
      </c>
      <c r="G537" s="5">
        <v>0</v>
      </c>
      <c r="H537" s="26">
        <v>44928</v>
      </c>
      <c r="I537" s="26">
        <v>45055</v>
      </c>
      <c r="J537" s="4" t="s">
        <v>1611</v>
      </c>
      <c r="K537" s="4" t="s">
        <v>1642</v>
      </c>
    </row>
    <row r="538" spans="1:11" x14ac:dyDescent="0.45">
      <c r="A538" s="9" t="s">
        <v>652</v>
      </c>
      <c r="B538" s="9" t="s">
        <v>1608</v>
      </c>
      <c r="C538" s="9" t="s">
        <v>648</v>
      </c>
      <c r="D538" s="9" t="b">
        <f>TRUE()</f>
        <v>1</v>
      </c>
      <c r="E538" s="10">
        <v>34109</v>
      </c>
      <c r="F538" s="12">
        <f t="shared" si="8"/>
        <v>0.93940896196535295</v>
      </c>
      <c r="G538" s="10">
        <v>9327</v>
      </c>
      <c r="H538" s="27">
        <v>44929</v>
      </c>
      <c r="I538" s="27">
        <v>46296</v>
      </c>
      <c r="J538" s="9" t="s">
        <v>1609</v>
      </c>
      <c r="K538" s="9" t="s">
        <v>1683</v>
      </c>
    </row>
    <row r="539" spans="1:11" x14ac:dyDescent="0.45">
      <c r="A539" s="4" t="s">
        <v>652</v>
      </c>
      <c r="B539" s="4" t="s">
        <v>1608</v>
      </c>
      <c r="C539" s="4" t="s">
        <v>922</v>
      </c>
      <c r="D539" s="4" t="b">
        <f>FALSE()</f>
        <v>0</v>
      </c>
      <c r="E539" s="5">
        <v>2200</v>
      </c>
      <c r="F539" s="7">
        <f t="shared" si="8"/>
        <v>6.0591038034647056E-2</v>
      </c>
      <c r="G539" s="5">
        <v>0</v>
      </c>
      <c r="H539" s="26">
        <v>44928</v>
      </c>
      <c r="I539" s="26">
        <v>45055</v>
      </c>
      <c r="J539" s="4" t="s">
        <v>1611</v>
      </c>
      <c r="K539" s="4" t="s">
        <v>1684</v>
      </c>
    </row>
    <row r="540" spans="1:11" x14ac:dyDescent="0.45">
      <c r="A540" s="9" t="s">
        <v>653</v>
      </c>
      <c r="B540" s="9" t="s">
        <v>1608</v>
      </c>
      <c r="C540" s="9" t="s">
        <v>648</v>
      </c>
      <c r="D540" s="9" t="b">
        <f>TRUE()</f>
        <v>1</v>
      </c>
      <c r="E540" s="10">
        <v>31082</v>
      </c>
      <c r="F540" s="12">
        <f t="shared" si="8"/>
        <v>0.93443165078315249</v>
      </c>
      <c r="G540" s="10">
        <v>6896</v>
      </c>
      <c r="H540" s="27">
        <v>44930</v>
      </c>
      <c r="I540" s="27">
        <v>46296</v>
      </c>
      <c r="J540" s="9" t="s">
        <v>1609</v>
      </c>
      <c r="K540" s="9" t="s">
        <v>1961</v>
      </c>
    </row>
    <row r="541" spans="1:11" x14ac:dyDescent="0.45">
      <c r="A541" s="4" t="s">
        <v>653</v>
      </c>
      <c r="B541" s="4" t="s">
        <v>1608</v>
      </c>
      <c r="C541" s="4" t="s">
        <v>922</v>
      </c>
      <c r="D541" s="4" t="b">
        <f>FALSE()</f>
        <v>0</v>
      </c>
      <c r="E541" s="5">
        <v>2181</v>
      </c>
      <c r="F541" s="7">
        <f t="shared" si="8"/>
        <v>6.5568349216847552E-2</v>
      </c>
      <c r="G541" s="5">
        <v>0</v>
      </c>
      <c r="H541" s="26">
        <v>44928</v>
      </c>
      <c r="I541" s="26">
        <v>45055</v>
      </c>
      <c r="J541" s="4" t="s">
        <v>1611</v>
      </c>
      <c r="K541" s="4" t="s">
        <v>1642</v>
      </c>
    </row>
    <row r="542" spans="1:11" x14ac:dyDescent="0.45">
      <c r="A542" s="9" t="s">
        <v>654</v>
      </c>
      <c r="B542" s="9" t="s">
        <v>1608</v>
      </c>
      <c r="C542" s="9" t="s">
        <v>648</v>
      </c>
      <c r="D542" s="9" t="b">
        <f>TRUE()</f>
        <v>1</v>
      </c>
      <c r="E542" s="10">
        <v>28493</v>
      </c>
      <c r="F542" s="12">
        <f t="shared" si="8"/>
        <v>0.93358453473132375</v>
      </c>
      <c r="G542" s="10">
        <v>6165</v>
      </c>
      <c r="H542" s="27">
        <v>44932</v>
      </c>
      <c r="I542" s="27">
        <v>46296</v>
      </c>
      <c r="J542" s="9" t="s">
        <v>1609</v>
      </c>
      <c r="K542" s="9" t="s">
        <v>1976</v>
      </c>
    </row>
    <row r="543" spans="1:11" x14ac:dyDescent="0.45">
      <c r="A543" s="4" t="s">
        <v>654</v>
      </c>
      <c r="B543" s="4" t="s">
        <v>1608</v>
      </c>
      <c r="C543" s="4" t="s">
        <v>922</v>
      </c>
      <c r="D543" s="4" t="b">
        <f>FALSE()</f>
        <v>0</v>
      </c>
      <c r="E543" s="5">
        <v>2027</v>
      </c>
      <c r="F543" s="7">
        <f t="shared" si="8"/>
        <v>6.6415465268676283E-2</v>
      </c>
      <c r="G543" s="5">
        <v>0</v>
      </c>
      <c r="H543" s="26">
        <v>44928</v>
      </c>
      <c r="I543" s="26">
        <v>45055</v>
      </c>
      <c r="J543" s="4" t="s">
        <v>1611</v>
      </c>
      <c r="K543" s="4" t="s">
        <v>1977</v>
      </c>
    </row>
    <row r="544" spans="1:11" x14ac:dyDescent="0.45">
      <c r="A544" s="9" t="s">
        <v>655</v>
      </c>
      <c r="B544" s="9" t="s">
        <v>1608</v>
      </c>
      <c r="C544" s="9" t="s">
        <v>648</v>
      </c>
      <c r="D544" s="9" t="b">
        <f>TRUE()</f>
        <v>1</v>
      </c>
      <c r="E544" s="10">
        <v>14929</v>
      </c>
      <c r="F544" s="12">
        <f t="shared" si="8"/>
        <v>0.94835471985770547</v>
      </c>
      <c r="G544" s="10">
        <v>4158</v>
      </c>
      <c r="H544" s="27">
        <v>44937</v>
      </c>
      <c r="I544" s="27">
        <v>46296</v>
      </c>
      <c r="J544" s="9" t="s">
        <v>1609</v>
      </c>
      <c r="K544" s="9" t="s">
        <v>1979</v>
      </c>
    </row>
    <row r="545" spans="1:11" x14ac:dyDescent="0.45">
      <c r="A545" s="4" t="s">
        <v>655</v>
      </c>
      <c r="B545" s="4" t="s">
        <v>1608</v>
      </c>
      <c r="C545" s="4" t="s">
        <v>922</v>
      </c>
      <c r="D545" s="4" t="b">
        <f>FALSE()</f>
        <v>0</v>
      </c>
      <c r="E545" s="5">
        <v>813</v>
      </c>
      <c r="F545" s="7">
        <f t="shared" si="8"/>
        <v>5.1645280142294497E-2</v>
      </c>
      <c r="G545" s="5">
        <v>0</v>
      </c>
      <c r="H545" s="26">
        <v>44928</v>
      </c>
      <c r="I545" s="26">
        <v>45055</v>
      </c>
      <c r="J545" s="4" t="s">
        <v>1611</v>
      </c>
      <c r="K545" s="4" t="s">
        <v>1980</v>
      </c>
    </row>
    <row r="546" spans="1:11" x14ac:dyDescent="0.45">
      <c r="A546" s="9" t="s">
        <v>656</v>
      </c>
      <c r="B546" s="9" t="s">
        <v>1608</v>
      </c>
      <c r="C546" s="9" t="s">
        <v>648</v>
      </c>
      <c r="D546" s="9" t="b">
        <f>TRUE()</f>
        <v>1</v>
      </c>
      <c r="E546" s="10">
        <v>11669</v>
      </c>
      <c r="F546" s="12">
        <f t="shared" si="8"/>
        <v>0.92603761606221724</v>
      </c>
      <c r="G546" s="10">
        <v>3124</v>
      </c>
      <c r="H546" s="27">
        <v>44930</v>
      </c>
      <c r="I546" s="27">
        <v>46296</v>
      </c>
      <c r="J546" s="9" t="s">
        <v>1609</v>
      </c>
      <c r="K546" s="9" t="s">
        <v>1961</v>
      </c>
    </row>
    <row r="547" spans="1:11" x14ac:dyDescent="0.45">
      <c r="A547" s="4" t="s">
        <v>656</v>
      </c>
      <c r="B547" s="4" t="s">
        <v>1608</v>
      </c>
      <c r="C547" s="4" t="s">
        <v>922</v>
      </c>
      <c r="D547" s="4" t="b">
        <f>FALSE()</f>
        <v>0</v>
      </c>
      <c r="E547" s="5">
        <v>932</v>
      </c>
      <c r="F547" s="7">
        <f t="shared" si="8"/>
        <v>7.3962383937782719E-2</v>
      </c>
      <c r="G547" s="5">
        <v>0</v>
      </c>
      <c r="H547" s="26">
        <v>44928</v>
      </c>
      <c r="I547" s="26">
        <v>45055</v>
      </c>
      <c r="J547" s="4" t="s">
        <v>1611</v>
      </c>
      <c r="K547" s="4" t="s">
        <v>1642</v>
      </c>
    </row>
    <row r="548" spans="1:11" x14ac:dyDescent="0.45">
      <c r="A548" s="9" t="s">
        <v>657</v>
      </c>
      <c r="B548" s="9" t="s">
        <v>1608</v>
      </c>
      <c r="C548" s="9" t="s">
        <v>648</v>
      </c>
      <c r="D548" s="9" t="b">
        <f>TRUE()</f>
        <v>1</v>
      </c>
      <c r="E548" s="10">
        <v>9428</v>
      </c>
      <c r="F548" s="12">
        <f t="shared" si="8"/>
        <v>0.93932449935239615</v>
      </c>
      <c r="G548" s="10">
        <v>2638</v>
      </c>
      <c r="H548" s="27">
        <v>44930</v>
      </c>
      <c r="I548" s="27">
        <v>46296</v>
      </c>
      <c r="J548" s="9" t="s">
        <v>1609</v>
      </c>
      <c r="K548" s="9" t="s">
        <v>1961</v>
      </c>
    </row>
    <row r="549" spans="1:11" x14ac:dyDescent="0.45">
      <c r="A549" s="4" t="s">
        <v>657</v>
      </c>
      <c r="B549" s="4" t="s">
        <v>1608</v>
      </c>
      <c r="C549" s="4" t="s">
        <v>922</v>
      </c>
      <c r="D549" s="4" t="b">
        <f>FALSE()</f>
        <v>0</v>
      </c>
      <c r="E549" s="5">
        <v>609</v>
      </c>
      <c r="F549" s="7">
        <f t="shared" si="8"/>
        <v>6.0675500647603867E-2</v>
      </c>
      <c r="G549" s="5">
        <v>0</v>
      </c>
      <c r="H549" s="26">
        <v>44928</v>
      </c>
      <c r="I549" s="26">
        <v>45054</v>
      </c>
      <c r="J549" s="4" t="s">
        <v>1611</v>
      </c>
      <c r="K549" s="4" t="s">
        <v>1985</v>
      </c>
    </row>
    <row r="550" spans="1:11" x14ac:dyDescent="0.45">
      <c r="A550" s="9" t="s">
        <v>659</v>
      </c>
      <c r="B550" s="9" t="s">
        <v>1608</v>
      </c>
      <c r="C550" s="9" t="s">
        <v>648</v>
      </c>
      <c r="D550" s="9" t="b">
        <f>TRUE()</f>
        <v>1</v>
      </c>
      <c r="E550" s="10">
        <v>2473</v>
      </c>
      <c r="F550" s="12">
        <f t="shared" si="8"/>
        <v>0.96413255360623784</v>
      </c>
      <c r="G550" s="10">
        <v>584</v>
      </c>
      <c r="H550" s="27">
        <v>44929</v>
      </c>
      <c r="I550" s="27">
        <v>46296</v>
      </c>
      <c r="J550" s="9" t="s">
        <v>1609</v>
      </c>
      <c r="K550" s="9" t="s">
        <v>1683</v>
      </c>
    </row>
    <row r="551" spans="1:11" x14ac:dyDescent="0.45">
      <c r="A551" s="4" t="s">
        <v>659</v>
      </c>
      <c r="B551" s="4" t="s">
        <v>1608</v>
      </c>
      <c r="C551" s="4" t="s">
        <v>922</v>
      </c>
      <c r="D551" s="4" t="b">
        <f>FALSE()</f>
        <v>0</v>
      </c>
      <c r="E551" s="5">
        <v>92</v>
      </c>
      <c r="F551" s="7">
        <f t="shared" si="8"/>
        <v>3.586744639376218E-2</v>
      </c>
      <c r="G551" s="5">
        <v>0</v>
      </c>
      <c r="H551" s="26">
        <v>44930</v>
      </c>
      <c r="I551" s="26">
        <v>45054</v>
      </c>
      <c r="J551" s="4" t="s">
        <v>1611</v>
      </c>
      <c r="K551" s="4" t="s">
        <v>2108</v>
      </c>
    </row>
    <row r="552" spans="1:11" x14ac:dyDescent="0.45">
      <c r="A552" s="9" t="s">
        <v>660</v>
      </c>
      <c r="B552" s="9" t="s">
        <v>1608</v>
      </c>
      <c r="C552" s="9" t="s">
        <v>648</v>
      </c>
      <c r="D552" s="9" t="b">
        <f>TRUE()</f>
        <v>1</v>
      </c>
      <c r="E552" s="10">
        <v>1496</v>
      </c>
      <c r="F552" s="12">
        <f t="shared" si="8"/>
        <v>0.93500000000000005</v>
      </c>
      <c r="G552" s="10">
        <v>258</v>
      </c>
      <c r="H552" s="27">
        <v>45050</v>
      </c>
      <c r="I552" s="27">
        <v>46296</v>
      </c>
      <c r="J552" s="9" t="s">
        <v>1609</v>
      </c>
      <c r="K552" s="9" t="s">
        <v>2109</v>
      </c>
    </row>
    <row r="553" spans="1:11" x14ac:dyDescent="0.45">
      <c r="A553" s="4" t="s">
        <v>660</v>
      </c>
      <c r="B553" s="4" t="s">
        <v>1608</v>
      </c>
      <c r="C553" s="4" t="s">
        <v>922</v>
      </c>
      <c r="D553" s="4" t="b">
        <f>FALSE()</f>
        <v>0</v>
      </c>
      <c r="E553" s="5">
        <v>104</v>
      </c>
      <c r="F553" s="7">
        <f t="shared" si="8"/>
        <v>6.5000000000000002E-2</v>
      </c>
      <c r="G553" s="5">
        <v>0</v>
      </c>
      <c r="H553" s="26">
        <v>44928</v>
      </c>
      <c r="I553" s="26">
        <v>45050</v>
      </c>
      <c r="J553" s="4" t="s">
        <v>1611</v>
      </c>
      <c r="K553" s="4" t="s">
        <v>2110</v>
      </c>
    </row>
    <row r="554" spans="1:11" x14ac:dyDescent="0.45">
      <c r="A554" s="9" t="s">
        <v>661</v>
      </c>
      <c r="B554" s="9" t="s">
        <v>1608</v>
      </c>
      <c r="C554" s="9" t="s">
        <v>648</v>
      </c>
      <c r="D554" s="9" t="b">
        <f>TRUE()</f>
        <v>1</v>
      </c>
      <c r="E554" s="10">
        <v>1405</v>
      </c>
      <c r="F554" s="12">
        <f t="shared" si="8"/>
        <v>0.91710182767624016</v>
      </c>
      <c r="G554" s="10">
        <v>341</v>
      </c>
      <c r="H554" s="27">
        <v>44929</v>
      </c>
      <c r="I554" s="27">
        <v>46296</v>
      </c>
      <c r="J554" s="9" t="s">
        <v>1609</v>
      </c>
      <c r="K554" s="9" t="s">
        <v>1683</v>
      </c>
    </row>
    <row r="555" spans="1:11" x14ac:dyDescent="0.45">
      <c r="A555" s="4" t="s">
        <v>661</v>
      </c>
      <c r="B555" s="4" t="s">
        <v>1608</v>
      </c>
      <c r="C555" s="4" t="s">
        <v>922</v>
      </c>
      <c r="D555" s="4" t="b">
        <f>FALSE()</f>
        <v>0</v>
      </c>
      <c r="E555" s="5">
        <v>127</v>
      </c>
      <c r="F555" s="7">
        <f t="shared" si="8"/>
        <v>8.2898172323759789E-2</v>
      </c>
      <c r="G555" s="5">
        <v>0</v>
      </c>
      <c r="H555" s="26">
        <v>44929</v>
      </c>
      <c r="I555" s="26">
        <v>45053</v>
      </c>
      <c r="J555" s="4" t="s">
        <v>1611</v>
      </c>
      <c r="K555" s="4" t="s">
        <v>2111</v>
      </c>
    </row>
    <row r="556" spans="1:11" x14ac:dyDescent="0.45">
      <c r="A556" s="9" t="s">
        <v>662</v>
      </c>
      <c r="B556" s="9" t="s">
        <v>1608</v>
      </c>
      <c r="C556" s="9" t="s">
        <v>648</v>
      </c>
      <c r="D556" s="9" t="b">
        <f>TRUE()</f>
        <v>1</v>
      </c>
      <c r="E556" s="10">
        <v>779</v>
      </c>
      <c r="F556" s="12">
        <f t="shared" si="8"/>
        <v>0.93405275779376495</v>
      </c>
      <c r="G556" s="10">
        <v>154</v>
      </c>
      <c r="H556" s="27">
        <v>44929</v>
      </c>
      <c r="I556" s="27">
        <v>46295</v>
      </c>
      <c r="J556" s="9" t="s">
        <v>1609</v>
      </c>
      <c r="K556" s="9" t="s">
        <v>2112</v>
      </c>
    </row>
    <row r="557" spans="1:11" x14ac:dyDescent="0.45">
      <c r="A557" s="4" t="s">
        <v>662</v>
      </c>
      <c r="B557" s="4" t="s">
        <v>1608</v>
      </c>
      <c r="C557" s="4" t="s">
        <v>922</v>
      </c>
      <c r="D557" s="4" t="b">
        <f>FALSE()</f>
        <v>0</v>
      </c>
      <c r="E557" s="5">
        <v>55</v>
      </c>
      <c r="F557" s="7">
        <f t="shared" si="8"/>
        <v>6.5947242206235018E-2</v>
      </c>
      <c r="G557" s="5">
        <v>0</v>
      </c>
      <c r="H557" s="26">
        <v>44932</v>
      </c>
      <c r="I557" s="26">
        <v>45055</v>
      </c>
      <c r="J557" s="4" t="s">
        <v>1611</v>
      </c>
      <c r="K557" s="4" t="s">
        <v>2113</v>
      </c>
    </row>
    <row r="558" spans="1:11" x14ac:dyDescent="0.45">
      <c r="A558" s="9" t="s">
        <v>663</v>
      </c>
      <c r="B558" s="9" t="s">
        <v>1608</v>
      </c>
      <c r="C558" s="9" t="s">
        <v>648</v>
      </c>
      <c r="D558" s="9" t="b">
        <f>TRUE()</f>
        <v>1</v>
      </c>
      <c r="E558" s="10">
        <v>605</v>
      </c>
      <c r="F558" s="12">
        <f t="shared" si="8"/>
        <v>0.93076923076923079</v>
      </c>
      <c r="G558" s="10">
        <v>128</v>
      </c>
      <c r="H558" s="27">
        <v>44932</v>
      </c>
      <c r="I558" s="27">
        <v>46288</v>
      </c>
      <c r="J558" s="9" t="s">
        <v>1609</v>
      </c>
      <c r="K558" s="9" t="s">
        <v>2114</v>
      </c>
    </row>
    <row r="559" spans="1:11" x14ac:dyDescent="0.45">
      <c r="A559" s="4" t="s">
        <v>663</v>
      </c>
      <c r="B559" s="4" t="s">
        <v>1608</v>
      </c>
      <c r="C559" s="4" t="s">
        <v>922</v>
      </c>
      <c r="D559" s="4" t="b">
        <f>FALSE()</f>
        <v>0</v>
      </c>
      <c r="E559" s="5">
        <v>45</v>
      </c>
      <c r="F559" s="7">
        <f t="shared" si="8"/>
        <v>6.9230769230769235E-2</v>
      </c>
      <c r="G559" s="5">
        <v>0</v>
      </c>
      <c r="H559" s="26">
        <v>44929</v>
      </c>
      <c r="I559" s="26">
        <v>45054</v>
      </c>
      <c r="J559" s="4" t="s">
        <v>1611</v>
      </c>
      <c r="K559" s="4" t="s">
        <v>2115</v>
      </c>
    </row>
    <row r="560" spans="1:11" x14ac:dyDescent="0.45">
      <c r="A560" s="9" t="s">
        <v>664</v>
      </c>
      <c r="B560" s="9" t="s">
        <v>1608</v>
      </c>
      <c r="C560" s="9" t="s">
        <v>648</v>
      </c>
      <c r="D560" s="9" t="b">
        <f>TRUE()</f>
        <v>1</v>
      </c>
      <c r="E560" s="10">
        <v>567</v>
      </c>
      <c r="F560" s="12">
        <f t="shared" si="8"/>
        <v>0.93719008264462811</v>
      </c>
      <c r="G560" s="10">
        <v>116</v>
      </c>
      <c r="H560" s="27">
        <v>45035</v>
      </c>
      <c r="I560" s="27">
        <v>46295</v>
      </c>
      <c r="J560" s="9" t="s">
        <v>1609</v>
      </c>
      <c r="K560" s="9" t="s">
        <v>2116</v>
      </c>
    </row>
    <row r="561" spans="1:11" x14ac:dyDescent="0.45">
      <c r="A561" s="4" t="s">
        <v>664</v>
      </c>
      <c r="B561" s="4" t="s">
        <v>1608</v>
      </c>
      <c r="C561" s="4" t="s">
        <v>922</v>
      </c>
      <c r="D561" s="4" t="b">
        <f>FALSE()</f>
        <v>0</v>
      </c>
      <c r="E561" s="5">
        <v>38</v>
      </c>
      <c r="F561" s="7">
        <f t="shared" si="8"/>
        <v>6.2809917355371905E-2</v>
      </c>
      <c r="G561" s="5">
        <v>0</v>
      </c>
      <c r="H561" s="26">
        <v>44929</v>
      </c>
      <c r="I561" s="26">
        <v>45034</v>
      </c>
      <c r="J561" s="4" t="s">
        <v>1611</v>
      </c>
      <c r="K561" s="4" t="s">
        <v>2117</v>
      </c>
    </row>
    <row r="562" spans="1:11" x14ac:dyDescent="0.45">
      <c r="A562" s="9" t="s">
        <v>665</v>
      </c>
      <c r="B562" s="9" t="s">
        <v>1608</v>
      </c>
      <c r="C562" s="9" t="s">
        <v>648</v>
      </c>
      <c r="D562" s="9" t="b">
        <f>TRUE()</f>
        <v>1</v>
      </c>
      <c r="E562" s="10">
        <v>436</v>
      </c>
      <c r="F562" s="12">
        <f t="shared" si="8"/>
        <v>0.91596638655462181</v>
      </c>
      <c r="G562" s="10">
        <v>117</v>
      </c>
      <c r="H562" s="27">
        <v>45040</v>
      </c>
      <c r="I562" s="27">
        <v>46294</v>
      </c>
      <c r="J562" s="9" t="s">
        <v>1609</v>
      </c>
      <c r="K562" s="9" t="s">
        <v>2118</v>
      </c>
    </row>
    <row r="563" spans="1:11" x14ac:dyDescent="0.45">
      <c r="A563" s="4" t="s">
        <v>665</v>
      </c>
      <c r="B563" s="4" t="s">
        <v>1608</v>
      </c>
      <c r="C563" s="4" t="s">
        <v>922</v>
      </c>
      <c r="D563" s="4" t="b">
        <f>FALSE()</f>
        <v>0</v>
      </c>
      <c r="E563" s="5">
        <v>40</v>
      </c>
      <c r="F563" s="7">
        <f t="shared" si="8"/>
        <v>8.4033613445378158E-2</v>
      </c>
      <c r="G563" s="5">
        <v>0</v>
      </c>
      <c r="H563" s="26">
        <v>44930</v>
      </c>
      <c r="I563" s="26">
        <v>45055</v>
      </c>
      <c r="J563" s="4" t="s">
        <v>1611</v>
      </c>
      <c r="K563" s="4" t="s">
        <v>2119</v>
      </c>
    </row>
    <row r="564" spans="1:11" x14ac:dyDescent="0.45">
      <c r="A564" s="9" t="s">
        <v>667</v>
      </c>
      <c r="B564" s="9" t="s">
        <v>1608</v>
      </c>
      <c r="C564" s="9" t="s">
        <v>648</v>
      </c>
      <c r="D564" s="9" t="b">
        <f>TRUE()</f>
        <v>1</v>
      </c>
      <c r="E564" s="10">
        <v>471</v>
      </c>
      <c r="F564" s="12">
        <f t="shared" si="8"/>
        <v>0.99367088607594933</v>
      </c>
      <c r="G564" s="10">
        <v>96</v>
      </c>
      <c r="H564" s="27">
        <v>45061</v>
      </c>
      <c r="I564" s="27">
        <v>46277</v>
      </c>
      <c r="J564" s="9" t="s">
        <v>1609</v>
      </c>
      <c r="K564" s="9" t="s">
        <v>2120</v>
      </c>
    </row>
    <row r="565" spans="1:11" x14ac:dyDescent="0.45">
      <c r="A565" s="4" t="s">
        <v>667</v>
      </c>
      <c r="B565" s="4" t="s">
        <v>1608</v>
      </c>
      <c r="C565" s="4" t="s">
        <v>922</v>
      </c>
      <c r="D565" s="4" t="b">
        <f>FALSE()</f>
        <v>0</v>
      </c>
      <c r="E565" s="5">
        <v>3</v>
      </c>
      <c r="F565" s="7">
        <f t="shared" si="8"/>
        <v>6.3291139240506328E-3</v>
      </c>
      <c r="G565" s="5">
        <v>0</v>
      </c>
      <c r="H565" s="26">
        <v>45043</v>
      </c>
      <c r="I565" s="26">
        <v>45047</v>
      </c>
      <c r="J565" s="4" t="s">
        <v>1611</v>
      </c>
      <c r="K565" s="4" t="s">
        <v>2121</v>
      </c>
    </row>
    <row r="566" spans="1:11" x14ac:dyDescent="0.45">
      <c r="A566" s="9" t="s">
        <v>669</v>
      </c>
      <c r="B566" s="9" t="s">
        <v>1608</v>
      </c>
      <c r="C566" s="9" t="s">
        <v>648</v>
      </c>
      <c r="D566" s="9" t="b">
        <f>TRUE()</f>
        <v>1</v>
      </c>
      <c r="E566" s="10">
        <v>404</v>
      </c>
      <c r="F566" s="12">
        <f t="shared" si="8"/>
        <v>0.92660550458715596</v>
      </c>
      <c r="G566" s="10">
        <v>17</v>
      </c>
      <c r="H566" s="27">
        <v>45043</v>
      </c>
      <c r="I566" s="27">
        <v>46290</v>
      </c>
      <c r="J566" s="9" t="s">
        <v>1609</v>
      </c>
      <c r="K566" s="9" t="s">
        <v>1845</v>
      </c>
    </row>
    <row r="567" spans="1:11" x14ac:dyDescent="0.45">
      <c r="A567" s="4" t="s">
        <v>669</v>
      </c>
      <c r="B567" s="4" t="s">
        <v>1608</v>
      </c>
      <c r="C567" s="4" t="s">
        <v>922</v>
      </c>
      <c r="D567" s="4" t="b">
        <f>FALSE()</f>
        <v>0</v>
      </c>
      <c r="E567" s="5">
        <v>32</v>
      </c>
      <c r="F567" s="7">
        <f t="shared" si="8"/>
        <v>7.3394495412844041E-2</v>
      </c>
      <c r="G567" s="5">
        <v>0</v>
      </c>
      <c r="H567" s="26">
        <v>44928</v>
      </c>
      <c r="I567" s="26">
        <v>45044</v>
      </c>
      <c r="J567" s="4" t="s">
        <v>1611</v>
      </c>
      <c r="K567" s="4" t="s">
        <v>2122</v>
      </c>
    </row>
    <row r="568" spans="1:11" x14ac:dyDescent="0.45">
      <c r="A568" s="9" t="s">
        <v>671</v>
      </c>
      <c r="B568" s="9" t="s">
        <v>1608</v>
      </c>
      <c r="C568" s="9" t="s">
        <v>648</v>
      </c>
      <c r="D568" s="9" t="b">
        <f>TRUE()</f>
        <v>1</v>
      </c>
      <c r="E568" s="10">
        <v>398</v>
      </c>
      <c r="F568" s="12">
        <f t="shared" si="8"/>
        <v>0.995</v>
      </c>
      <c r="G568" s="10">
        <v>107</v>
      </c>
      <c r="H568" s="27">
        <v>44936</v>
      </c>
      <c r="I568" s="27">
        <v>46293</v>
      </c>
      <c r="J568" s="9" t="s">
        <v>1609</v>
      </c>
      <c r="K568" s="9" t="s">
        <v>2123</v>
      </c>
    </row>
    <row r="569" spans="1:11" x14ac:dyDescent="0.45">
      <c r="A569" s="4" t="s">
        <v>671</v>
      </c>
      <c r="B569" s="4" t="s">
        <v>1608</v>
      </c>
      <c r="C569" s="4" t="s">
        <v>922</v>
      </c>
      <c r="D569" s="4" t="b">
        <f>FALSE()</f>
        <v>0</v>
      </c>
      <c r="E569" s="5">
        <v>2</v>
      </c>
      <c r="F569" s="7">
        <f t="shared" si="8"/>
        <v>5.0000000000000001E-3</v>
      </c>
      <c r="G569" s="5">
        <v>0</v>
      </c>
      <c r="H569" s="26">
        <v>44953</v>
      </c>
      <c r="I569" s="26">
        <v>44988</v>
      </c>
      <c r="J569" s="4" t="s">
        <v>1611</v>
      </c>
      <c r="K569" s="4" t="s">
        <v>2124</v>
      </c>
    </row>
    <row r="570" spans="1:11" x14ac:dyDescent="0.45">
      <c r="A570" s="9" t="s">
        <v>672</v>
      </c>
      <c r="B570" s="9" t="s">
        <v>1608</v>
      </c>
      <c r="C570" s="9" t="s">
        <v>648</v>
      </c>
      <c r="D570" s="9" t="b">
        <f>TRUE()</f>
        <v>1</v>
      </c>
      <c r="E570" s="10">
        <v>341</v>
      </c>
      <c r="F570" s="12">
        <f t="shared" si="8"/>
        <v>0.99707602339181289</v>
      </c>
      <c r="G570" s="10">
        <v>64</v>
      </c>
      <c r="H570" s="27">
        <v>44928</v>
      </c>
      <c r="I570" s="27">
        <v>46289</v>
      </c>
      <c r="J570" s="9" t="s">
        <v>1609</v>
      </c>
      <c r="K570" s="9" t="s">
        <v>2125</v>
      </c>
    </row>
    <row r="571" spans="1:11" x14ac:dyDescent="0.45">
      <c r="A571" s="4" t="s">
        <v>672</v>
      </c>
      <c r="B571" s="4" t="s">
        <v>1608</v>
      </c>
      <c r="C571" s="4" t="s">
        <v>922</v>
      </c>
      <c r="D571" s="4" t="b">
        <f>FALSE()</f>
        <v>0</v>
      </c>
      <c r="E571" s="5">
        <v>1</v>
      </c>
      <c r="F571" s="7">
        <f t="shared" si="8"/>
        <v>2.9239766081871343E-3</v>
      </c>
      <c r="G571" s="5">
        <v>0</v>
      </c>
      <c r="H571" s="26">
        <v>45042</v>
      </c>
      <c r="I571" s="26">
        <v>45042</v>
      </c>
      <c r="J571" s="4" t="s">
        <v>1611</v>
      </c>
      <c r="K571" s="4" t="s">
        <v>1960</v>
      </c>
    </row>
    <row r="572" spans="1:11" x14ac:dyDescent="0.45">
      <c r="A572" s="9" t="s">
        <v>674</v>
      </c>
      <c r="B572" s="9" t="s">
        <v>1608</v>
      </c>
      <c r="C572" s="9" t="s">
        <v>648</v>
      </c>
      <c r="D572" s="9" t="b">
        <f>TRUE()</f>
        <v>1</v>
      </c>
      <c r="E572" s="10">
        <v>331</v>
      </c>
      <c r="F572" s="12">
        <f t="shared" si="8"/>
        <v>0.9880597014925373</v>
      </c>
      <c r="G572" s="10">
        <v>78</v>
      </c>
      <c r="H572" s="27">
        <v>44937</v>
      </c>
      <c r="I572" s="27">
        <v>46296</v>
      </c>
      <c r="J572" s="9" t="s">
        <v>1609</v>
      </c>
      <c r="K572" s="9" t="s">
        <v>1979</v>
      </c>
    </row>
    <row r="573" spans="1:11" x14ac:dyDescent="0.45">
      <c r="A573" s="4" t="s">
        <v>674</v>
      </c>
      <c r="B573" s="4" t="s">
        <v>1608</v>
      </c>
      <c r="C573" s="4" t="s">
        <v>922</v>
      </c>
      <c r="D573" s="4" t="b">
        <f>FALSE()</f>
        <v>0</v>
      </c>
      <c r="E573" s="5">
        <v>4</v>
      </c>
      <c r="F573" s="7">
        <f t="shared" si="8"/>
        <v>1.1940298507462687E-2</v>
      </c>
      <c r="G573" s="5">
        <v>0</v>
      </c>
      <c r="H573" s="26">
        <v>44942</v>
      </c>
      <c r="I573" s="26">
        <v>45055</v>
      </c>
      <c r="J573" s="4" t="s">
        <v>1611</v>
      </c>
      <c r="K573" s="4" t="s">
        <v>2126</v>
      </c>
    </row>
    <row r="574" spans="1:11" x14ac:dyDescent="0.45">
      <c r="A574" s="9" t="s">
        <v>675</v>
      </c>
      <c r="B574" s="9" t="s">
        <v>1608</v>
      </c>
      <c r="C574" s="9" t="s">
        <v>648</v>
      </c>
      <c r="D574" s="9" t="b">
        <f>TRUE()</f>
        <v>1</v>
      </c>
      <c r="E574" s="10">
        <v>240</v>
      </c>
      <c r="F574" s="12">
        <f t="shared" si="8"/>
        <v>0.85106382978723405</v>
      </c>
      <c r="G574" s="10">
        <v>49</v>
      </c>
      <c r="H574" s="27">
        <v>45047</v>
      </c>
      <c r="I574" s="27">
        <v>46292</v>
      </c>
      <c r="J574" s="9" t="s">
        <v>1609</v>
      </c>
      <c r="K574" s="9" t="s">
        <v>2127</v>
      </c>
    </row>
    <row r="575" spans="1:11" x14ac:dyDescent="0.45">
      <c r="A575" s="4" t="s">
        <v>675</v>
      </c>
      <c r="B575" s="4" t="s">
        <v>1608</v>
      </c>
      <c r="C575" s="4" t="s">
        <v>922</v>
      </c>
      <c r="D575" s="4" t="b">
        <f>FALSE()</f>
        <v>0</v>
      </c>
      <c r="E575" s="5">
        <v>42</v>
      </c>
      <c r="F575" s="7">
        <f t="shared" si="8"/>
        <v>0.14893617021276595</v>
      </c>
      <c r="G575" s="5">
        <v>0</v>
      </c>
      <c r="H575" s="26">
        <v>44928</v>
      </c>
      <c r="I575" s="26">
        <v>45043</v>
      </c>
      <c r="J575" s="4" t="s">
        <v>1611</v>
      </c>
      <c r="K575" s="4" t="s">
        <v>2128</v>
      </c>
    </row>
    <row r="576" spans="1:11" x14ac:dyDescent="0.45">
      <c r="A576" s="9" t="s">
        <v>677</v>
      </c>
      <c r="B576" s="9" t="s">
        <v>1608</v>
      </c>
      <c r="C576" s="9" t="s">
        <v>648</v>
      </c>
      <c r="D576" s="9" t="b">
        <f>TRUE()</f>
        <v>1</v>
      </c>
      <c r="E576" s="10">
        <v>189</v>
      </c>
      <c r="F576" s="12">
        <f t="shared" si="8"/>
        <v>0.9</v>
      </c>
      <c r="G576" s="10">
        <v>34</v>
      </c>
      <c r="H576" s="27">
        <v>44942</v>
      </c>
      <c r="I576" s="27">
        <v>46288</v>
      </c>
      <c r="J576" s="9" t="s">
        <v>1609</v>
      </c>
      <c r="K576" s="9" t="s">
        <v>2129</v>
      </c>
    </row>
    <row r="577" spans="1:11" x14ac:dyDescent="0.45">
      <c r="A577" s="4" t="s">
        <v>677</v>
      </c>
      <c r="B577" s="4" t="s">
        <v>1608</v>
      </c>
      <c r="C577" s="4" t="s">
        <v>922</v>
      </c>
      <c r="D577" s="4" t="b">
        <f>FALSE()</f>
        <v>0</v>
      </c>
      <c r="E577" s="5">
        <v>21</v>
      </c>
      <c r="F577" s="7">
        <f t="shared" si="8"/>
        <v>0.1</v>
      </c>
      <c r="G577" s="5">
        <v>0</v>
      </c>
      <c r="H577" s="26">
        <v>44936</v>
      </c>
      <c r="I577" s="26">
        <v>45030</v>
      </c>
      <c r="J577" s="4" t="s">
        <v>1611</v>
      </c>
      <c r="K577" s="4" t="s">
        <v>2130</v>
      </c>
    </row>
    <row r="578" spans="1:11" x14ac:dyDescent="0.45">
      <c r="A578" s="9" t="s">
        <v>678</v>
      </c>
      <c r="B578" s="9" t="s">
        <v>1608</v>
      </c>
      <c r="C578" s="9" t="s">
        <v>648</v>
      </c>
      <c r="D578" s="9" t="b">
        <f>TRUE()</f>
        <v>1</v>
      </c>
      <c r="E578" s="10">
        <v>114</v>
      </c>
      <c r="F578" s="12">
        <f t="shared" ref="F578:F641" si="9">E578/SUMIFS($E$2:$E$783,$A$2:$A$783,A578)</f>
        <v>0.88372093023255816</v>
      </c>
      <c r="G578" s="10">
        <v>21</v>
      </c>
      <c r="H578" s="27">
        <v>45056</v>
      </c>
      <c r="I578" s="27">
        <v>46269</v>
      </c>
      <c r="J578" s="9" t="s">
        <v>1609</v>
      </c>
      <c r="K578" s="9" t="s">
        <v>2131</v>
      </c>
    </row>
    <row r="579" spans="1:11" x14ac:dyDescent="0.45">
      <c r="A579" s="4" t="s">
        <v>678</v>
      </c>
      <c r="B579" s="4" t="s">
        <v>1608</v>
      </c>
      <c r="C579" s="4" t="s">
        <v>922</v>
      </c>
      <c r="D579" s="4" t="b">
        <f>FALSE()</f>
        <v>0</v>
      </c>
      <c r="E579" s="5">
        <v>15</v>
      </c>
      <c r="F579" s="7">
        <f t="shared" si="9"/>
        <v>0.11627906976744186</v>
      </c>
      <c r="G579" s="5">
        <v>0</v>
      </c>
      <c r="H579" s="26">
        <v>44944</v>
      </c>
      <c r="I579" s="26">
        <v>45049</v>
      </c>
      <c r="J579" s="4" t="s">
        <v>1611</v>
      </c>
      <c r="K579" s="4" t="s">
        <v>1897</v>
      </c>
    </row>
    <row r="580" spans="1:11" x14ac:dyDescent="0.45">
      <c r="A580" s="9" t="s">
        <v>681</v>
      </c>
      <c r="B580" s="9" t="s">
        <v>1608</v>
      </c>
      <c r="C580" s="9" t="s">
        <v>682</v>
      </c>
      <c r="D580" s="9" t="b">
        <f>TRUE()</f>
        <v>1</v>
      </c>
      <c r="E580" s="10">
        <v>147</v>
      </c>
      <c r="F580" s="12">
        <f t="shared" si="9"/>
        <v>0.7277227722772277</v>
      </c>
      <c r="G580" s="10">
        <v>0</v>
      </c>
      <c r="H580" s="27">
        <v>44935</v>
      </c>
      <c r="I580" s="27">
        <v>45247</v>
      </c>
      <c r="J580" s="9" t="s">
        <v>1609</v>
      </c>
      <c r="K580" s="9" t="s">
        <v>2132</v>
      </c>
    </row>
    <row r="581" spans="1:11" x14ac:dyDescent="0.45">
      <c r="A581" s="4" t="s">
        <v>681</v>
      </c>
      <c r="B581" s="4" t="s">
        <v>1608</v>
      </c>
      <c r="C581" s="4" t="s">
        <v>924</v>
      </c>
      <c r="D581" s="4" t="b">
        <f>FALSE()</f>
        <v>0</v>
      </c>
      <c r="E581" s="5">
        <v>55</v>
      </c>
      <c r="F581" s="7">
        <f t="shared" si="9"/>
        <v>0.2722772277227723</v>
      </c>
      <c r="G581" s="5">
        <v>0</v>
      </c>
      <c r="H581" s="26">
        <v>44928</v>
      </c>
      <c r="I581" s="26">
        <v>45048</v>
      </c>
      <c r="J581" s="4" t="s">
        <v>1611</v>
      </c>
      <c r="K581" s="4" t="s">
        <v>2133</v>
      </c>
    </row>
    <row r="582" spans="1:11" x14ac:dyDescent="0.45">
      <c r="A582" s="9" t="s">
        <v>683</v>
      </c>
      <c r="B582" s="9" t="s">
        <v>1608</v>
      </c>
      <c r="C582" s="9" t="s">
        <v>682</v>
      </c>
      <c r="D582" s="9" t="b">
        <f>TRUE()</f>
        <v>1</v>
      </c>
      <c r="E582" s="10">
        <v>65</v>
      </c>
      <c r="F582" s="12">
        <f t="shared" si="9"/>
        <v>0.7303370786516854</v>
      </c>
      <c r="G582" s="10">
        <v>0</v>
      </c>
      <c r="H582" s="27">
        <v>44966</v>
      </c>
      <c r="I582" s="27">
        <v>45320</v>
      </c>
      <c r="J582" s="9" t="s">
        <v>1609</v>
      </c>
      <c r="K582" s="9" t="s">
        <v>2134</v>
      </c>
    </row>
    <row r="583" spans="1:11" x14ac:dyDescent="0.45">
      <c r="A583" s="4" t="s">
        <v>683</v>
      </c>
      <c r="B583" s="4" t="s">
        <v>1608</v>
      </c>
      <c r="C583" s="4" t="s">
        <v>924</v>
      </c>
      <c r="D583" s="4" t="b">
        <f>FALSE()</f>
        <v>0</v>
      </c>
      <c r="E583" s="5">
        <v>24</v>
      </c>
      <c r="F583" s="7">
        <f t="shared" si="9"/>
        <v>0.2696629213483146</v>
      </c>
      <c r="G583" s="5">
        <v>0</v>
      </c>
      <c r="H583" s="26">
        <v>44929</v>
      </c>
      <c r="I583" s="26">
        <v>45041</v>
      </c>
      <c r="J583" s="4" t="s">
        <v>1611</v>
      </c>
      <c r="K583" s="4" t="s">
        <v>2135</v>
      </c>
    </row>
    <row r="584" spans="1:11" x14ac:dyDescent="0.45">
      <c r="A584" s="9" t="s">
        <v>684</v>
      </c>
      <c r="B584" s="9" t="s">
        <v>1608</v>
      </c>
      <c r="C584" s="9" t="s">
        <v>682</v>
      </c>
      <c r="D584" s="9" t="b">
        <f>TRUE()</f>
        <v>1</v>
      </c>
      <c r="E584" s="10">
        <v>26</v>
      </c>
      <c r="F584" s="12">
        <f t="shared" si="9"/>
        <v>0.70270270270270274</v>
      </c>
      <c r="G584" s="10">
        <v>0</v>
      </c>
      <c r="H584" s="27">
        <v>45054</v>
      </c>
      <c r="I584" s="27">
        <v>45317</v>
      </c>
      <c r="J584" s="9" t="s">
        <v>1609</v>
      </c>
      <c r="K584" s="9" t="s">
        <v>2136</v>
      </c>
    </row>
    <row r="585" spans="1:11" x14ac:dyDescent="0.45">
      <c r="A585" s="4" t="s">
        <v>684</v>
      </c>
      <c r="B585" s="4" t="s">
        <v>1608</v>
      </c>
      <c r="C585" s="4" t="s">
        <v>924</v>
      </c>
      <c r="D585" s="4" t="b">
        <f>FALSE()</f>
        <v>0</v>
      </c>
      <c r="E585" s="5">
        <v>11</v>
      </c>
      <c r="F585" s="7">
        <f t="shared" si="9"/>
        <v>0.29729729729729731</v>
      </c>
      <c r="G585" s="5">
        <v>0</v>
      </c>
      <c r="H585" s="26">
        <v>44956</v>
      </c>
      <c r="I585" s="26">
        <v>45034</v>
      </c>
      <c r="J585" s="4" t="s">
        <v>1611</v>
      </c>
      <c r="K585" s="4" t="s">
        <v>2137</v>
      </c>
    </row>
    <row r="586" spans="1:11" x14ac:dyDescent="0.45">
      <c r="A586" s="9" t="s">
        <v>685</v>
      </c>
      <c r="B586" s="9" t="s">
        <v>1608</v>
      </c>
      <c r="C586" s="9" t="s">
        <v>682</v>
      </c>
      <c r="D586" s="9" t="b">
        <f>TRUE()</f>
        <v>1</v>
      </c>
      <c r="E586" s="10">
        <v>7</v>
      </c>
      <c r="F586" s="12">
        <f t="shared" si="9"/>
        <v>0.875</v>
      </c>
      <c r="G586" s="10">
        <v>0</v>
      </c>
      <c r="H586" s="27">
        <v>44945</v>
      </c>
      <c r="I586" s="27">
        <v>45349</v>
      </c>
      <c r="J586" s="9" t="s">
        <v>1609</v>
      </c>
      <c r="K586" s="9" t="s">
        <v>2138</v>
      </c>
    </row>
    <row r="587" spans="1:11" x14ac:dyDescent="0.45">
      <c r="A587" s="4" t="s">
        <v>685</v>
      </c>
      <c r="B587" s="4" t="s">
        <v>1608</v>
      </c>
      <c r="C587" s="4" t="s">
        <v>924</v>
      </c>
      <c r="D587" s="4" t="b">
        <f>FALSE()</f>
        <v>0</v>
      </c>
      <c r="E587" s="5">
        <v>1</v>
      </c>
      <c r="F587" s="7">
        <f t="shared" si="9"/>
        <v>0.125</v>
      </c>
      <c r="G587" s="5">
        <v>0</v>
      </c>
      <c r="H587" s="26">
        <v>44935</v>
      </c>
      <c r="I587" s="26">
        <v>44935</v>
      </c>
      <c r="J587" s="4" t="s">
        <v>1611</v>
      </c>
      <c r="K587" s="4" t="s">
        <v>1899</v>
      </c>
    </row>
    <row r="588" spans="1:11" x14ac:dyDescent="0.45">
      <c r="A588" s="9" t="s">
        <v>686</v>
      </c>
      <c r="B588" s="9" t="s">
        <v>1608</v>
      </c>
      <c r="C588" s="9" t="s">
        <v>687</v>
      </c>
      <c r="D588" s="9" t="b">
        <f>TRUE()</f>
        <v>1</v>
      </c>
      <c r="E588" s="10">
        <v>22654</v>
      </c>
      <c r="F588" s="12">
        <f t="shared" si="9"/>
        <v>0.90330555444794447</v>
      </c>
      <c r="G588" s="10">
        <v>4422</v>
      </c>
      <c r="H588" s="27">
        <v>44967</v>
      </c>
      <c r="I588" s="27">
        <v>46296</v>
      </c>
      <c r="J588" s="9" t="s">
        <v>1609</v>
      </c>
      <c r="K588" s="9" t="s">
        <v>1939</v>
      </c>
    </row>
    <row r="589" spans="1:11" x14ac:dyDescent="0.45">
      <c r="A589" s="4" t="s">
        <v>686</v>
      </c>
      <c r="B589" s="4" t="s">
        <v>1608</v>
      </c>
      <c r="C589" s="4" t="s">
        <v>931</v>
      </c>
      <c r="D589" s="4" t="b">
        <f>FALSE()</f>
        <v>0</v>
      </c>
      <c r="E589" s="5">
        <v>2425</v>
      </c>
      <c r="F589" s="7">
        <f t="shared" si="9"/>
        <v>9.6694445552055502E-2</v>
      </c>
      <c r="G589" s="5">
        <v>0</v>
      </c>
      <c r="H589" s="26">
        <v>44928</v>
      </c>
      <c r="I589" s="26">
        <v>45054</v>
      </c>
      <c r="J589" s="4" t="s">
        <v>1611</v>
      </c>
      <c r="K589" s="4" t="s">
        <v>2139</v>
      </c>
    </row>
    <row r="590" spans="1:11" x14ac:dyDescent="0.45">
      <c r="A590" s="9" t="s">
        <v>690</v>
      </c>
      <c r="B590" s="9" t="s">
        <v>1608</v>
      </c>
      <c r="C590" s="9" t="s">
        <v>687</v>
      </c>
      <c r="D590" s="9" t="b">
        <f>TRUE()</f>
        <v>1</v>
      </c>
      <c r="E590" s="10">
        <v>13797</v>
      </c>
      <c r="F590" s="12">
        <f t="shared" si="9"/>
        <v>0.92653280505003022</v>
      </c>
      <c r="G590" s="10">
        <v>3324</v>
      </c>
      <c r="H590" s="27">
        <v>44958</v>
      </c>
      <c r="I590" s="27">
        <v>46296</v>
      </c>
      <c r="J590" s="9" t="s">
        <v>1609</v>
      </c>
      <c r="K590" s="9" t="s">
        <v>2140</v>
      </c>
    </row>
    <row r="591" spans="1:11" x14ac:dyDescent="0.45">
      <c r="A591" s="4" t="s">
        <v>690</v>
      </c>
      <c r="B591" s="4" t="s">
        <v>1608</v>
      </c>
      <c r="C591" s="4" t="s">
        <v>931</v>
      </c>
      <c r="D591" s="4" t="b">
        <f>FALSE()</f>
        <v>0</v>
      </c>
      <c r="E591" s="5">
        <v>1094</v>
      </c>
      <c r="F591" s="7">
        <f t="shared" si="9"/>
        <v>7.3467194949969783E-2</v>
      </c>
      <c r="G591" s="5">
        <v>0</v>
      </c>
      <c r="H591" s="26">
        <v>44928</v>
      </c>
      <c r="I591" s="26">
        <v>45055</v>
      </c>
      <c r="J591" s="4" t="s">
        <v>1611</v>
      </c>
      <c r="K591" s="4" t="s">
        <v>2141</v>
      </c>
    </row>
    <row r="592" spans="1:11" x14ac:dyDescent="0.45">
      <c r="A592" s="9" t="s">
        <v>691</v>
      </c>
      <c r="B592" s="9" t="s">
        <v>1608</v>
      </c>
      <c r="C592" s="9" t="s">
        <v>687</v>
      </c>
      <c r="D592" s="9" t="b">
        <f>TRUE()</f>
        <v>1</v>
      </c>
      <c r="E592" s="10">
        <v>10306</v>
      </c>
      <c r="F592" s="12">
        <f t="shared" si="9"/>
        <v>0.79039803665925301</v>
      </c>
      <c r="G592" s="10">
        <v>2387</v>
      </c>
      <c r="H592" s="27">
        <v>44987</v>
      </c>
      <c r="I592" s="27">
        <v>46296</v>
      </c>
      <c r="J592" s="9" t="s">
        <v>1609</v>
      </c>
      <c r="K592" s="9" t="s">
        <v>2142</v>
      </c>
    </row>
    <row r="593" spans="1:11" x14ac:dyDescent="0.45">
      <c r="A593" s="4" t="s">
        <v>691</v>
      </c>
      <c r="B593" s="4" t="s">
        <v>1608</v>
      </c>
      <c r="C593" s="4" t="s">
        <v>931</v>
      </c>
      <c r="D593" s="4" t="b">
        <f>FALSE()</f>
        <v>0</v>
      </c>
      <c r="E593" s="5">
        <v>2733</v>
      </c>
      <c r="F593" s="7">
        <f t="shared" si="9"/>
        <v>0.20960196334074699</v>
      </c>
      <c r="G593" s="5">
        <v>0</v>
      </c>
      <c r="H593" s="26">
        <v>44928</v>
      </c>
      <c r="I593" s="26">
        <v>45055</v>
      </c>
      <c r="J593" s="4" t="s">
        <v>1611</v>
      </c>
      <c r="K593" s="4" t="s">
        <v>2143</v>
      </c>
    </row>
    <row r="594" spans="1:11" x14ac:dyDescent="0.45">
      <c r="A594" s="9" t="s">
        <v>692</v>
      </c>
      <c r="B594" s="9" t="s">
        <v>1608</v>
      </c>
      <c r="C594" s="9" t="s">
        <v>687</v>
      </c>
      <c r="D594" s="9" t="b">
        <f>TRUE()</f>
        <v>1</v>
      </c>
      <c r="E594" s="10">
        <v>9507</v>
      </c>
      <c r="F594" s="12">
        <f t="shared" si="9"/>
        <v>0.98294044665012403</v>
      </c>
      <c r="G594" s="10">
        <v>2103</v>
      </c>
      <c r="H594" s="27">
        <v>44928</v>
      </c>
      <c r="I594" s="27">
        <v>46296</v>
      </c>
      <c r="J594" s="9" t="s">
        <v>1609</v>
      </c>
      <c r="K594" s="9" t="s">
        <v>1689</v>
      </c>
    </row>
    <row r="595" spans="1:11" x14ac:dyDescent="0.45">
      <c r="A595" s="4" t="s">
        <v>692</v>
      </c>
      <c r="B595" s="4" t="s">
        <v>1608</v>
      </c>
      <c r="C595" s="4" t="s">
        <v>931</v>
      </c>
      <c r="D595" s="4" t="b">
        <f>FALSE()</f>
        <v>0</v>
      </c>
      <c r="E595" s="5">
        <v>165</v>
      </c>
      <c r="F595" s="7">
        <f t="shared" si="9"/>
        <v>1.7059553349875932E-2</v>
      </c>
      <c r="G595" s="5">
        <v>0</v>
      </c>
      <c r="H595" s="26">
        <v>44929</v>
      </c>
      <c r="I595" s="26">
        <v>45053</v>
      </c>
      <c r="J595" s="4" t="s">
        <v>1611</v>
      </c>
      <c r="K595" s="4" t="s">
        <v>2111</v>
      </c>
    </row>
    <row r="596" spans="1:11" x14ac:dyDescent="0.45">
      <c r="A596" s="9" t="s">
        <v>693</v>
      </c>
      <c r="B596" s="9" t="s">
        <v>1608</v>
      </c>
      <c r="C596" s="9" t="s">
        <v>687</v>
      </c>
      <c r="D596" s="9" t="b">
        <f>TRUE()</f>
        <v>1</v>
      </c>
      <c r="E596" s="10">
        <v>8316</v>
      </c>
      <c r="F596" s="12">
        <f t="shared" si="9"/>
        <v>0.93280987100392598</v>
      </c>
      <c r="G596" s="10">
        <v>2342</v>
      </c>
      <c r="H596" s="27">
        <v>44929</v>
      </c>
      <c r="I596" s="27">
        <v>46296</v>
      </c>
      <c r="J596" s="9" t="s">
        <v>1609</v>
      </c>
      <c r="K596" s="9" t="s">
        <v>1683</v>
      </c>
    </row>
    <row r="597" spans="1:11" x14ac:dyDescent="0.45">
      <c r="A597" s="4" t="s">
        <v>693</v>
      </c>
      <c r="B597" s="4" t="s">
        <v>1608</v>
      </c>
      <c r="C597" s="4" t="s">
        <v>931</v>
      </c>
      <c r="D597" s="4" t="b">
        <f>FALSE()</f>
        <v>0</v>
      </c>
      <c r="E597" s="5">
        <v>599</v>
      </c>
      <c r="F597" s="7">
        <f t="shared" si="9"/>
        <v>6.7190128996074031E-2</v>
      </c>
      <c r="G597" s="5">
        <v>0</v>
      </c>
      <c r="H597" s="26">
        <v>44928</v>
      </c>
      <c r="I597" s="26">
        <v>45055</v>
      </c>
      <c r="J597" s="4" t="s">
        <v>1611</v>
      </c>
      <c r="K597" s="4" t="s">
        <v>1684</v>
      </c>
    </row>
    <row r="598" spans="1:11" x14ac:dyDescent="0.45">
      <c r="A598" s="9" t="s">
        <v>694</v>
      </c>
      <c r="B598" s="9" t="s">
        <v>1608</v>
      </c>
      <c r="C598" s="9" t="s">
        <v>687</v>
      </c>
      <c r="D598" s="9" t="b">
        <f>TRUE()</f>
        <v>1</v>
      </c>
      <c r="E598" s="10">
        <v>7910</v>
      </c>
      <c r="F598" s="12">
        <f t="shared" si="9"/>
        <v>0.93388429752066116</v>
      </c>
      <c r="G598" s="10">
        <v>1675</v>
      </c>
      <c r="H598" s="27">
        <v>44928</v>
      </c>
      <c r="I598" s="27">
        <v>46296</v>
      </c>
      <c r="J598" s="9" t="s">
        <v>1609</v>
      </c>
      <c r="K598" s="9" t="s">
        <v>1689</v>
      </c>
    </row>
    <row r="599" spans="1:11" x14ac:dyDescent="0.45">
      <c r="A599" s="4" t="s">
        <v>694</v>
      </c>
      <c r="B599" s="4" t="s">
        <v>1608</v>
      </c>
      <c r="C599" s="4" t="s">
        <v>931</v>
      </c>
      <c r="D599" s="4" t="b">
        <f>FALSE()</f>
        <v>0</v>
      </c>
      <c r="E599" s="5">
        <v>560</v>
      </c>
      <c r="F599" s="7">
        <f t="shared" si="9"/>
        <v>6.6115702479338845E-2</v>
      </c>
      <c r="G599" s="5">
        <v>0</v>
      </c>
      <c r="H599" s="26">
        <v>44928</v>
      </c>
      <c r="I599" s="26">
        <v>45055</v>
      </c>
      <c r="J599" s="4" t="s">
        <v>1611</v>
      </c>
      <c r="K599" s="4" t="s">
        <v>1690</v>
      </c>
    </row>
    <row r="600" spans="1:11" x14ac:dyDescent="0.45">
      <c r="A600" s="9" t="s">
        <v>695</v>
      </c>
      <c r="B600" s="9" t="s">
        <v>1608</v>
      </c>
      <c r="C600" s="9" t="s">
        <v>687</v>
      </c>
      <c r="D600" s="9" t="b">
        <f>TRUE()</f>
        <v>1</v>
      </c>
      <c r="E600" s="10">
        <v>5108</v>
      </c>
      <c r="F600" s="12">
        <f t="shared" si="9"/>
        <v>0.91344778254649495</v>
      </c>
      <c r="G600" s="10">
        <v>1043</v>
      </c>
      <c r="H600" s="27">
        <v>44930</v>
      </c>
      <c r="I600" s="27">
        <v>46296</v>
      </c>
      <c r="J600" s="9" t="s">
        <v>1609</v>
      </c>
      <c r="K600" s="9" t="s">
        <v>1961</v>
      </c>
    </row>
    <row r="601" spans="1:11" x14ac:dyDescent="0.45">
      <c r="A601" s="4" t="s">
        <v>695</v>
      </c>
      <c r="B601" s="4" t="s">
        <v>1608</v>
      </c>
      <c r="C601" s="4" t="s">
        <v>931</v>
      </c>
      <c r="D601" s="4" t="b">
        <f>FALSE()</f>
        <v>0</v>
      </c>
      <c r="E601" s="5">
        <v>484</v>
      </c>
      <c r="F601" s="7">
        <f t="shared" si="9"/>
        <v>8.6552217453505012E-2</v>
      </c>
      <c r="G601" s="5">
        <v>0</v>
      </c>
      <c r="H601" s="26">
        <v>44928</v>
      </c>
      <c r="I601" s="26">
        <v>45051</v>
      </c>
      <c r="J601" s="4" t="s">
        <v>1611</v>
      </c>
      <c r="K601" s="4" t="s">
        <v>2144</v>
      </c>
    </row>
    <row r="602" spans="1:11" x14ac:dyDescent="0.45">
      <c r="A602" s="9" t="s">
        <v>697</v>
      </c>
      <c r="B602" s="9" t="s">
        <v>1608</v>
      </c>
      <c r="C602" s="9" t="s">
        <v>687</v>
      </c>
      <c r="D602" s="9" t="b">
        <f>TRUE()</f>
        <v>1</v>
      </c>
      <c r="E602" s="10">
        <v>3909</v>
      </c>
      <c r="F602" s="12">
        <f t="shared" si="9"/>
        <v>0.95178962746530316</v>
      </c>
      <c r="G602" s="10">
        <v>937</v>
      </c>
      <c r="H602" s="27">
        <v>44933</v>
      </c>
      <c r="I602" s="27">
        <v>46296</v>
      </c>
      <c r="J602" s="9" t="s">
        <v>1609</v>
      </c>
      <c r="K602" s="9" t="s">
        <v>1974</v>
      </c>
    </row>
    <row r="603" spans="1:11" x14ac:dyDescent="0.45">
      <c r="A603" s="4" t="s">
        <v>697</v>
      </c>
      <c r="B603" s="4" t="s">
        <v>1608</v>
      </c>
      <c r="C603" s="4" t="s">
        <v>931</v>
      </c>
      <c r="D603" s="4" t="b">
        <f>FALSE()</f>
        <v>0</v>
      </c>
      <c r="E603" s="5">
        <v>198</v>
      </c>
      <c r="F603" s="7">
        <f t="shared" si="9"/>
        <v>4.8210372534696858E-2</v>
      </c>
      <c r="G603" s="5">
        <v>0</v>
      </c>
      <c r="H603" s="26">
        <v>44928</v>
      </c>
      <c r="I603" s="26">
        <v>45055</v>
      </c>
      <c r="J603" s="4" t="s">
        <v>1611</v>
      </c>
      <c r="K603" s="4" t="s">
        <v>2145</v>
      </c>
    </row>
    <row r="604" spans="1:11" x14ac:dyDescent="0.45">
      <c r="A604" s="9" t="s">
        <v>698</v>
      </c>
      <c r="B604" s="9" t="s">
        <v>1608</v>
      </c>
      <c r="C604" s="9" t="s">
        <v>687</v>
      </c>
      <c r="D604" s="9" t="b">
        <f>TRUE()</f>
        <v>1</v>
      </c>
      <c r="E604" s="10">
        <v>3638</v>
      </c>
      <c r="F604" s="12">
        <f t="shared" si="9"/>
        <v>0.94005167958656333</v>
      </c>
      <c r="G604" s="10">
        <v>900</v>
      </c>
      <c r="H604" s="27">
        <v>44949</v>
      </c>
      <c r="I604" s="27">
        <v>46296</v>
      </c>
      <c r="J604" s="9" t="s">
        <v>1609</v>
      </c>
      <c r="K604" s="9" t="s">
        <v>1943</v>
      </c>
    </row>
    <row r="605" spans="1:11" x14ac:dyDescent="0.45">
      <c r="A605" s="4" t="s">
        <v>698</v>
      </c>
      <c r="B605" s="4" t="s">
        <v>1608</v>
      </c>
      <c r="C605" s="4" t="s">
        <v>931</v>
      </c>
      <c r="D605" s="4" t="b">
        <f>FALSE()</f>
        <v>0</v>
      </c>
      <c r="E605" s="5">
        <v>232</v>
      </c>
      <c r="F605" s="7">
        <f t="shared" si="9"/>
        <v>5.9948320413436694E-2</v>
      </c>
      <c r="G605" s="5">
        <v>0</v>
      </c>
      <c r="H605" s="26">
        <v>44929</v>
      </c>
      <c r="I605" s="26">
        <v>45054</v>
      </c>
      <c r="J605" s="4" t="s">
        <v>1611</v>
      </c>
      <c r="K605" s="4" t="s">
        <v>2146</v>
      </c>
    </row>
    <row r="606" spans="1:11" x14ac:dyDescent="0.45">
      <c r="A606" s="9" t="s">
        <v>700</v>
      </c>
      <c r="B606" s="9" t="s">
        <v>1608</v>
      </c>
      <c r="C606" s="9" t="s">
        <v>687</v>
      </c>
      <c r="D606" s="9" t="b">
        <f>TRUE()</f>
        <v>1</v>
      </c>
      <c r="E606" s="10">
        <v>3545</v>
      </c>
      <c r="F606" s="12">
        <f t="shared" si="9"/>
        <v>0.95295698924731187</v>
      </c>
      <c r="G606" s="10">
        <v>908</v>
      </c>
      <c r="H606" s="27">
        <v>44942</v>
      </c>
      <c r="I606" s="27">
        <v>46295</v>
      </c>
      <c r="J606" s="9" t="s">
        <v>1609</v>
      </c>
      <c r="K606" s="9" t="s">
        <v>2147</v>
      </c>
    </row>
    <row r="607" spans="1:11" x14ac:dyDescent="0.45">
      <c r="A607" s="4" t="s">
        <v>700</v>
      </c>
      <c r="B607" s="4" t="s">
        <v>1608</v>
      </c>
      <c r="C607" s="4" t="s">
        <v>931</v>
      </c>
      <c r="D607" s="4" t="b">
        <f>FALSE()</f>
        <v>0</v>
      </c>
      <c r="E607" s="5">
        <v>175</v>
      </c>
      <c r="F607" s="7">
        <f t="shared" si="9"/>
        <v>4.7043010752688172E-2</v>
      </c>
      <c r="G607" s="5">
        <v>0</v>
      </c>
      <c r="H607" s="26">
        <v>44928</v>
      </c>
      <c r="I607" s="26">
        <v>45055</v>
      </c>
      <c r="J607" s="4" t="s">
        <v>1611</v>
      </c>
      <c r="K607" s="4" t="s">
        <v>1634</v>
      </c>
    </row>
    <row r="608" spans="1:11" x14ac:dyDescent="0.45">
      <c r="A608" s="9" t="s">
        <v>701</v>
      </c>
      <c r="B608" s="9" t="s">
        <v>1608</v>
      </c>
      <c r="C608" s="9" t="s">
        <v>687</v>
      </c>
      <c r="D608" s="9" t="b">
        <f>TRUE()</f>
        <v>1</v>
      </c>
      <c r="E608" s="10">
        <v>3083</v>
      </c>
      <c r="F608" s="12">
        <f t="shared" si="9"/>
        <v>0.85118718939812255</v>
      </c>
      <c r="G608" s="10">
        <v>0</v>
      </c>
      <c r="H608" s="27">
        <v>44930</v>
      </c>
      <c r="I608" s="27">
        <v>45782</v>
      </c>
      <c r="J608" s="9" t="s">
        <v>1609</v>
      </c>
      <c r="K608" s="9" t="s">
        <v>2148</v>
      </c>
    </row>
    <row r="609" spans="1:11" x14ac:dyDescent="0.45">
      <c r="A609" s="4" t="s">
        <v>701</v>
      </c>
      <c r="B609" s="4" t="s">
        <v>1608</v>
      </c>
      <c r="C609" s="4" t="s">
        <v>931</v>
      </c>
      <c r="D609" s="4" t="b">
        <f>FALSE()</f>
        <v>0</v>
      </c>
      <c r="E609" s="5">
        <v>539</v>
      </c>
      <c r="F609" s="7">
        <f t="shared" si="9"/>
        <v>0.14881281060187743</v>
      </c>
      <c r="G609" s="5">
        <v>0</v>
      </c>
      <c r="H609" s="26">
        <v>44928</v>
      </c>
      <c r="I609" s="26">
        <v>45054</v>
      </c>
      <c r="J609" s="4" t="s">
        <v>1611</v>
      </c>
      <c r="K609" s="4" t="s">
        <v>1985</v>
      </c>
    </row>
    <row r="610" spans="1:11" x14ac:dyDescent="0.45">
      <c r="A610" s="9" t="s">
        <v>702</v>
      </c>
      <c r="B610" s="9" t="s">
        <v>1608</v>
      </c>
      <c r="C610" s="9" t="s">
        <v>687</v>
      </c>
      <c r="D610" s="9" t="b">
        <f>TRUE()</f>
        <v>1</v>
      </c>
      <c r="E610" s="10">
        <v>3168</v>
      </c>
      <c r="F610" s="12">
        <f t="shared" si="9"/>
        <v>0.87562189054726369</v>
      </c>
      <c r="G610" s="10">
        <v>759</v>
      </c>
      <c r="H610" s="27">
        <v>44938</v>
      </c>
      <c r="I610" s="27">
        <v>46296</v>
      </c>
      <c r="J610" s="9" t="s">
        <v>1609</v>
      </c>
      <c r="K610" s="9" t="s">
        <v>1687</v>
      </c>
    </row>
    <row r="611" spans="1:11" x14ac:dyDescent="0.45">
      <c r="A611" s="4" t="s">
        <v>702</v>
      </c>
      <c r="B611" s="4" t="s">
        <v>1608</v>
      </c>
      <c r="C611" s="4" t="s">
        <v>931</v>
      </c>
      <c r="D611" s="4" t="b">
        <f>FALSE()</f>
        <v>0</v>
      </c>
      <c r="E611" s="5">
        <v>450</v>
      </c>
      <c r="F611" s="7">
        <f t="shared" si="9"/>
        <v>0.12437810945273632</v>
      </c>
      <c r="G611" s="5">
        <v>0</v>
      </c>
      <c r="H611" s="26">
        <v>44928</v>
      </c>
      <c r="I611" s="26">
        <v>45055</v>
      </c>
      <c r="J611" s="4" t="s">
        <v>1611</v>
      </c>
      <c r="K611" s="4" t="s">
        <v>1688</v>
      </c>
    </row>
    <row r="612" spans="1:11" x14ac:dyDescent="0.45">
      <c r="A612" s="9" t="s">
        <v>703</v>
      </c>
      <c r="B612" s="9" t="s">
        <v>1608</v>
      </c>
      <c r="C612" s="9" t="s">
        <v>687</v>
      </c>
      <c r="D612" s="9" t="b">
        <f>TRUE()</f>
        <v>1</v>
      </c>
      <c r="E612" s="10">
        <v>3377</v>
      </c>
      <c r="F612" s="12">
        <f t="shared" si="9"/>
        <v>0.95287810383747173</v>
      </c>
      <c r="G612" s="10">
        <v>693</v>
      </c>
      <c r="H612" s="27">
        <v>44935</v>
      </c>
      <c r="I612" s="27">
        <v>46296</v>
      </c>
      <c r="J612" s="9" t="s">
        <v>1609</v>
      </c>
      <c r="K612" s="9" t="s">
        <v>1692</v>
      </c>
    </row>
    <row r="613" spans="1:11" x14ac:dyDescent="0.45">
      <c r="A613" s="4" t="s">
        <v>703</v>
      </c>
      <c r="B613" s="4" t="s">
        <v>1608</v>
      </c>
      <c r="C613" s="4" t="s">
        <v>931</v>
      </c>
      <c r="D613" s="4" t="b">
        <f>FALSE()</f>
        <v>0</v>
      </c>
      <c r="E613" s="5">
        <v>167</v>
      </c>
      <c r="F613" s="7">
        <f t="shared" si="9"/>
        <v>4.7121896162528217E-2</v>
      </c>
      <c r="G613" s="5">
        <v>0</v>
      </c>
      <c r="H613" s="26">
        <v>44928</v>
      </c>
      <c r="I613" s="26">
        <v>45050</v>
      </c>
      <c r="J613" s="4" t="s">
        <v>1611</v>
      </c>
      <c r="K613" s="4" t="s">
        <v>2149</v>
      </c>
    </row>
    <row r="614" spans="1:11" x14ac:dyDescent="0.45">
      <c r="A614" s="9" t="s">
        <v>705</v>
      </c>
      <c r="B614" s="9" t="s">
        <v>1608</v>
      </c>
      <c r="C614" s="9" t="s">
        <v>687</v>
      </c>
      <c r="D614" s="9" t="b">
        <f>TRUE()</f>
        <v>1</v>
      </c>
      <c r="E614" s="10">
        <v>2925</v>
      </c>
      <c r="F614" s="12">
        <f t="shared" si="9"/>
        <v>0.89013998782714543</v>
      </c>
      <c r="G614" s="10">
        <v>652</v>
      </c>
      <c r="H614" s="27">
        <v>44938</v>
      </c>
      <c r="I614" s="27">
        <v>46296</v>
      </c>
      <c r="J614" s="9" t="s">
        <v>1609</v>
      </c>
      <c r="K614" s="9" t="s">
        <v>1687</v>
      </c>
    </row>
    <row r="615" spans="1:11" x14ac:dyDescent="0.45">
      <c r="A615" s="4" t="s">
        <v>705</v>
      </c>
      <c r="B615" s="4" t="s">
        <v>1608</v>
      </c>
      <c r="C615" s="4" t="s">
        <v>931</v>
      </c>
      <c r="D615" s="4" t="b">
        <f>FALSE()</f>
        <v>0</v>
      </c>
      <c r="E615" s="5">
        <v>361</v>
      </c>
      <c r="F615" s="7">
        <f t="shared" si="9"/>
        <v>0.10986001217285453</v>
      </c>
      <c r="G615" s="5">
        <v>0</v>
      </c>
      <c r="H615" s="26">
        <v>44928</v>
      </c>
      <c r="I615" s="26">
        <v>45053</v>
      </c>
      <c r="J615" s="4" t="s">
        <v>1611</v>
      </c>
      <c r="K615" s="4" t="s">
        <v>2150</v>
      </c>
    </row>
    <row r="616" spans="1:11" x14ac:dyDescent="0.45">
      <c r="A616" s="9" t="s">
        <v>707</v>
      </c>
      <c r="B616" s="9" t="s">
        <v>1608</v>
      </c>
      <c r="C616" s="9" t="s">
        <v>687</v>
      </c>
      <c r="D616" s="9" t="b">
        <f>TRUE()</f>
        <v>1</v>
      </c>
      <c r="E616" s="10">
        <v>3076</v>
      </c>
      <c r="F616" s="12">
        <f t="shared" si="9"/>
        <v>0.99514720155289549</v>
      </c>
      <c r="G616" s="10">
        <v>791</v>
      </c>
      <c r="H616" s="27">
        <v>44928</v>
      </c>
      <c r="I616" s="27">
        <v>46296</v>
      </c>
      <c r="J616" s="9" t="s">
        <v>1609</v>
      </c>
      <c r="K616" s="9" t="s">
        <v>1689</v>
      </c>
    </row>
    <row r="617" spans="1:11" x14ac:dyDescent="0.45">
      <c r="A617" s="4" t="s">
        <v>707</v>
      </c>
      <c r="B617" s="4" t="s">
        <v>1608</v>
      </c>
      <c r="C617" s="4" t="s">
        <v>931</v>
      </c>
      <c r="D617" s="4" t="b">
        <f>FALSE()</f>
        <v>0</v>
      </c>
      <c r="E617" s="5">
        <v>15</v>
      </c>
      <c r="F617" s="7">
        <f t="shared" si="9"/>
        <v>4.8527984471044968E-3</v>
      </c>
      <c r="G617" s="5">
        <v>0</v>
      </c>
      <c r="H617" s="26">
        <v>44958</v>
      </c>
      <c r="I617" s="26">
        <v>45055</v>
      </c>
      <c r="J617" s="4" t="s">
        <v>1611</v>
      </c>
      <c r="K617" s="4" t="s">
        <v>2151</v>
      </c>
    </row>
    <row r="618" spans="1:11" x14ac:dyDescent="0.45">
      <c r="A618" s="9" t="s">
        <v>708</v>
      </c>
      <c r="B618" s="9" t="s">
        <v>1608</v>
      </c>
      <c r="C618" s="9" t="s">
        <v>687</v>
      </c>
      <c r="D618" s="9" t="b">
        <f>TRUE()</f>
        <v>1</v>
      </c>
      <c r="E618" s="10">
        <v>2660</v>
      </c>
      <c r="F618" s="12">
        <f t="shared" si="9"/>
        <v>0.86814621409921666</v>
      </c>
      <c r="G618" s="10">
        <v>631</v>
      </c>
      <c r="H618" s="27">
        <v>45030</v>
      </c>
      <c r="I618" s="27">
        <v>46296</v>
      </c>
      <c r="J618" s="9" t="s">
        <v>1609</v>
      </c>
      <c r="K618" s="9" t="s">
        <v>2152</v>
      </c>
    </row>
    <row r="619" spans="1:11" x14ac:dyDescent="0.45">
      <c r="A619" s="4" t="s">
        <v>708</v>
      </c>
      <c r="B619" s="4" t="s">
        <v>1608</v>
      </c>
      <c r="C619" s="4" t="s">
        <v>931</v>
      </c>
      <c r="D619" s="4" t="b">
        <f>FALSE()</f>
        <v>0</v>
      </c>
      <c r="E619" s="5">
        <v>404</v>
      </c>
      <c r="F619" s="7">
        <f t="shared" si="9"/>
        <v>0.13185378590078328</v>
      </c>
      <c r="G619" s="5">
        <v>0</v>
      </c>
      <c r="H619" s="26">
        <v>44929</v>
      </c>
      <c r="I619" s="26">
        <v>45054</v>
      </c>
      <c r="J619" s="4" t="s">
        <v>1611</v>
      </c>
      <c r="K619" s="4" t="s">
        <v>2153</v>
      </c>
    </row>
    <row r="620" spans="1:11" x14ac:dyDescent="0.45">
      <c r="A620" s="9" t="s">
        <v>709</v>
      </c>
      <c r="B620" s="9" t="s">
        <v>1608</v>
      </c>
      <c r="C620" s="9" t="s">
        <v>687</v>
      </c>
      <c r="D620" s="9" t="b">
        <f>TRUE()</f>
        <v>1</v>
      </c>
      <c r="E620" s="10">
        <v>2758</v>
      </c>
      <c r="F620" s="12">
        <f t="shared" si="9"/>
        <v>0.93841442667574004</v>
      </c>
      <c r="G620" s="10">
        <v>660</v>
      </c>
      <c r="H620" s="27">
        <v>44935</v>
      </c>
      <c r="I620" s="27">
        <v>46296</v>
      </c>
      <c r="J620" s="9" t="s">
        <v>1609</v>
      </c>
      <c r="K620" s="9" t="s">
        <v>1692</v>
      </c>
    </row>
    <row r="621" spans="1:11" x14ac:dyDescent="0.45">
      <c r="A621" s="4" t="s">
        <v>709</v>
      </c>
      <c r="B621" s="4" t="s">
        <v>1608</v>
      </c>
      <c r="C621" s="4" t="s">
        <v>931</v>
      </c>
      <c r="D621" s="4" t="b">
        <f>FALSE()</f>
        <v>0</v>
      </c>
      <c r="E621" s="5">
        <v>181</v>
      </c>
      <c r="F621" s="7">
        <f t="shared" si="9"/>
        <v>6.158557332425995E-2</v>
      </c>
      <c r="G621" s="5">
        <v>0</v>
      </c>
      <c r="H621" s="26">
        <v>44928</v>
      </c>
      <c r="I621" s="26">
        <v>45055</v>
      </c>
      <c r="J621" s="4" t="s">
        <v>1611</v>
      </c>
      <c r="K621" s="4" t="s">
        <v>1693</v>
      </c>
    </row>
    <row r="622" spans="1:11" x14ac:dyDescent="0.45">
      <c r="A622" s="9" t="s">
        <v>711</v>
      </c>
      <c r="B622" s="9" t="s">
        <v>1608</v>
      </c>
      <c r="C622" s="9" t="s">
        <v>687</v>
      </c>
      <c r="D622" s="9" t="b">
        <f>TRUE()</f>
        <v>1</v>
      </c>
      <c r="E622" s="10">
        <v>2526</v>
      </c>
      <c r="F622" s="12">
        <f t="shared" si="9"/>
        <v>0.86418063633253506</v>
      </c>
      <c r="G622" s="10">
        <v>675</v>
      </c>
      <c r="H622" s="27">
        <v>45029</v>
      </c>
      <c r="I622" s="27">
        <v>46296</v>
      </c>
      <c r="J622" s="9" t="s">
        <v>1609</v>
      </c>
      <c r="K622" s="9" t="s">
        <v>2154</v>
      </c>
    </row>
    <row r="623" spans="1:11" x14ac:dyDescent="0.45">
      <c r="A623" s="4" t="s">
        <v>711</v>
      </c>
      <c r="B623" s="4" t="s">
        <v>1608</v>
      </c>
      <c r="C623" s="4" t="s">
        <v>931</v>
      </c>
      <c r="D623" s="4" t="b">
        <f>FALSE()</f>
        <v>0</v>
      </c>
      <c r="E623" s="5">
        <v>397</v>
      </c>
      <c r="F623" s="7">
        <f t="shared" si="9"/>
        <v>0.13581936366746494</v>
      </c>
      <c r="G623" s="5">
        <v>0</v>
      </c>
      <c r="H623" s="26">
        <v>44928</v>
      </c>
      <c r="I623" s="26">
        <v>45055</v>
      </c>
      <c r="J623" s="4" t="s">
        <v>1611</v>
      </c>
      <c r="K623" s="4" t="s">
        <v>2155</v>
      </c>
    </row>
    <row r="624" spans="1:11" x14ac:dyDescent="0.45">
      <c r="A624" s="9" t="s">
        <v>712</v>
      </c>
      <c r="B624" s="9" t="s">
        <v>1608</v>
      </c>
      <c r="C624" s="9" t="s">
        <v>687</v>
      </c>
      <c r="D624" s="9" t="b">
        <f>TRUE()</f>
        <v>1</v>
      </c>
      <c r="E624" s="10">
        <v>2635</v>
      </c>
      <c r="F624" s="12">
        <f t="shared" si="9"/>
        <v>0.92912552891396338</v>
      </c>
      <c r="G624" s="10">
        <v>721</v>
      </c>
      <c r="H624" s="27">
        <v>44986</v>
      </c>
      <c r="I624" s="27">
        <v>46296</v>
      </c>
      <c r="J624" s="9" t="s">
        <v>1609</v>
      </c>
      <c r="K624" s="9" t="s">
        <v>2156</v>
      </c>
    </row>
    <row r="625" spans="1:11" x14ac:dyDescent="0.45">
      <c r="A625" s="4" t="s">
        <v>712</v>
      </c>
      <c r="B625" s="4" t="s">
        <v>1608</v>
      </c>
      <c r="C625" s="4" t="s">
        <v>931</v>
      </c>
      <c r="D625" s="4" t="b">
        <f>FALSE()</f>
        <v>0</v>
      </c>
      <c r="E625" s="5">
        <v>201</v>
      </c>
      <c r="F625" s="7">
        <f t="shared" si="9"/>
        <v>7.0874471086036672E-2</v>
      </c>
      <c r="G625" s="5">
        <v>0</v>
      </c>
      <c r="H625" s="26">
        <v>44929</v>
      </c>
      <c r="I625" s="26">
        <v>45054</v>
      </c>
      <c r="J625" s="4" t="s">
        <v>1611</v>
      </c>
      <c r="K625" s="4" t="s">
        <v>2157</v>
      </c>
    </row>
    <row r="626" spans="1:11" x14ac:dyDescent="0.45">
      <c r="A626" s="9" t="s">
        <v>714</v>
      </c>
      <c r="B626" s="9" t="s">
        <v>1608</v>
      </c>
      <c r="C626" s="9" t="s">
        <v>687</v>
      </c>
      <c r="D626" s="9" t="b">
        <f>TRUE()</f>
        <v>1</v>
      </c>
      <c r="E626" s="10">
        <v>2119</v>
      </c>
      <c r="F626" s="12">
        <f t="shared" si="9"/>
        <v>0.86313645621181267</v>
      </c>
      <c r="G626" s="10">
        <v>553</v>
      </c>
      <c r="H626" s="27">
        <v>44971</v>
      </c>
      <c r="I626" s="27">
        <v>46296</v>
      </c>
      <c r="J626" s="9" t="s">
        <v>1609</v>
      </c>
      <c r="K626" s="9" t="s">
        <v>2158</v>
      </c>
    </row>
    <row r="627" spans="1:11" x14ac:dyDescent="0.45">
      <c r="A627" s="4" t="s">
        <v>714</v>
      </c>
      <c r="B627" s="4" t="s">
        <v>1608</v>
      </c>
      <c r="C627" s="4" t="s">
        <v>931</v>
      </c>
      <c r="D627" s="4" t="b">
        <f>FALSE()</f>
        <v>0</v>
      </c>
      <c r="E627" s="5">
        <v>336</v>
      </c>
      <c r="F627" s="7">
        <f t="shared" si="9"/>
        <v>0.13686354378818738</v>
      </c>
      <c r="G627" s="5">
        <v>0</v>
      </c>
      <c r="H627" s="26">
        <v>44929</v>
      </c>
      <c r="I627" s="26">
        <v>45054</v>
      </c>
      <c r="J627" s="4" t="s">
        <v>1611</v>
      </c>
      <c r="K627" s="4" t="s">
        <v>2159</v>
      </c>
    </row>
    <row r="628" spans="1:11" x14ac:dyDescent="0.45">
      <c r="A628" s="9" t="s">
        <v>716</v>
      </c>
      <c r="B628" s="9" t="s">
        <v>1608</v>
      </c>
      <c r="C628" s="9" t="s">
        <v>687</v>
      </c>
      <c r="D628" s="9" t="b">
        <f>TRUE()</f>
        <v>1</v>
      </c>
      <c r="E628" s="10">
        <v>1642</v>
      </c>
      <c r="F628" s="12">
        <f t="shared" si="9"/>
        <v>0.95298897272199656</v>
      </c>
      <c r="G628" s="10">
        <v>286</v>
      </c>
      <c r="H628" s="27">
        <v>44956</v>
      </c>
      <c r="I628" s="27">
        <v>46226</v>
      </c>
      <c r="J628" s="9" t="s">
        <v>1609</v>
      </c>
      <c r="K628" s="9" t="s">
        <v>2160</v>
      </c>
    </row>
    <row r="629" spans="1:11" x14ac:dyDescent="0.45">
      <c r="A629" s="4" t="s">
        <v>716</v>
      </c>
      <c r="B629" s="4" t="s">
        <v>1608</v>
      </c>
      <c r="C629" s="4" t="s">
        <v>931</v>
      </c>
      <c r="D629" s="4" t="b">
        <f>FALSE()</f>
        <v>0</v>
      </c>
      <c r="E629" s="5">
        <v>81</v>
      </c>
      <c r="F629" s="7">
        <f t="shared" si="9"/>
        <v>4.7011027278003485E-2</v>
      </c>
      <c r="G629" s="5">
        <v>0</v>
      </c>
      <c r="H629" s="26">
        <v>44930</v>
      </c>
      <c r="I629" s="26">
        <v>45049</v>
      </c>
      <c r="J629" s="4" t="s">
        <v>1611</v>
      </c>
      <c r="K629" s="4" t="s">
        <v>2161</v>
      </c>
    </row>
    <row r="630" spans="1:11" x14ac:dyDescent="0.45">
      <c r="A630" s="9" t="s">
        <v>718</v>
      </c>
      <c r="B630" s="9" t="s">
        <v>1608</v>
      </c>
      <c r="C630" s="9" t="s">
        <v>687</v>
      </c>
      <c r="D630" s="9" t="b">
        <f>TRUE()</f>
        <v>1</v>
      </c>
      <c r="E630" s="10">
        <v>1534</v>
      </c>
      <c r="F630" s="12">
        <f t="shared" si="9"/>
        <v>0.94925742574257421</v>
      </c>
      <c r="G630" s="10">
        <v>352</v>
      </c>
      <c r="H630" s="27">
        <v>44928</v>
      </c>
      <c r="I630" s="27">
        <v>46296</v>
      </c>
      <c r="J630" s="9" t="s">
        <v>1609</v>
      </c>
      <c r="K630" s="9" t="s">
        <v>1689</v>
      </c>
    </row>
    <row r="631" spans="1:11" x14ac:dyDescent="0.45">
      <c r="A631" s="4" t="s">
        <v>718</v>
      </c>
      <c r="B631" s="4" t="s">
        <v>1608</v>
      </c>
      <c r="C631" s="4" t="s">
        <v>931</v>
      </c>
      <c r="D631" s="4" t="b">
        <f>FALSE()</f>
        <v>0</v>
      </c>
      <c r="E631" s="5">
        <v>82</v>
      </c>
      <c r="F631" s="7">
        <f t="shared" si="9"/>
        <v>5.0742574257425746E-2</v>
      </c>
      <c r="G631" s="5">
        <v>0</v>
      </c>
      <c r="H631" s="26">
        <v>44930</v>
      </c>
      <c r="I631" s="26">
        <v>45054</v>
      </c>
      <c r="J631" s="4" t="s">
        <v>1611</v>
      </c>
      <c r="K631" s="4" t="s">
        <v>2108</v>
      </c>
    </row>
    <row r="632" spans="1:11" x14ac:dyDescent="0.45">
      <c r="A632" s="9" t="s">
        <v>720</v>
      </c>
      <c r="B632" s="9" t="s">
        <v>1608</v>
      </c>
      <c r="C632" s="9" t="s">
        <v>687</v>
      </c>
      <c r="D632" s="9" t="b">
        <f>TRUE()</f>
        <v>1</v>
      </c>
      <c r="E632" s="10">
        <v>1279</v>
      </c>
      <c r="F632" s="12">
        <f t="shared" si="9"/>
        <v>0.91553328561202574</v>
      </c>
      <c r="G632" s="10">
        <v>234</v>
      </c>
      <c r="H632" s="27">
        <v>44930</v>
      </c>
      <c r="I632" s="27">
        <v>46294</v>
      </c>
      <c r="J632" s="9" t="s">
        <v>1609</v>
      </c>
      <c r="K632" s="9" t="s">
        <v>2162</v>
      </c>
    </row>
    <row r="633" spans="1:11" x14ac:dyDescent="0.45">
      <c r="A633" s="4" t="s">
        <v>720</v>
      </c>
      <c r="B633" s="4" t="s">
        <v>1608</v>
      </c>
      <c r="C633" s="4" t="s">
        <v>931</v>
      </c>
      <c r="D633" s="4" t="b">
        <f>FALSE()</f>
        <v>0</v>
      </c>
      <c r="E633" s="5">
        <v>118</v>
      </c>
      <c r="F633" s="7">
        <f t="shared" si="9"/>
        <v>8.4466714387974234E-2</v>
      </c>
      <c r="G633" s="5">
        <v>0</v>
      </c>
      <c r="H633" s="26">
        <v>44928</v>
      </c>
      <c r="I633" s="26">
        <v>45055</v>
      </c>
      <c r="J633" s="4" t="s">
        <v>1611</v>
      </c>
      <c r="K633" s="4" t="s">
        <v>1642</v>
      </c>
    </row>
    <row r="634" spans="1:11" x14ac:dyDescent="0.45">
      <c r="A634" s="9" t="s">
        <v>721</v>
      </c>
      <c r="B634" s="9" t="s">
        <v>1608</v>
      </c>
      <c r="C634" s="9" t="s">
        <v>687</v>
      </c>
      <c r="D634" s="9" t="b">
        <f>TRUE()</f>
        <v>1</v>
      </c>
      <c r="E634" s="10">
        <v>1323</v>
      </c>
      <c r="F634" s="12">
        <f t="shared" si="9"/>
        <v>0.98</v>
      </c>
      <c r="G634" s="10">
        <v>399</v>
      </c>
      <c r="H634" s="27">
        <v>44965</v>
      </c>
      <c r="I634" s="27">
        <v>46294</v>
      </c>
      <c r="J634" s="9" t="s">
        <v>1609</v>
      </c>
      <c r="K634" s="9" t="s">
        <v>2163</v>
      </c>
    </row>
    <row r="635" spans="1:11" x14ac:dyDescent="0.45">
      <c r="A635" s="4" t="s">
        <v>721</v>
      </c>
      <c r="B635" s="4" t="s">
        <v>1608</v>
      </c>
      <c r="C635" s="4" t="s">
        <v>931</v>
      </c>
      <c r="D635" s="4" t="b">
        <f>FALSE()</f>
        <v>0</v>
      </c>
      <c r="E635" s="5">
        <v>27</v>
      </c>
      <c r="F635" s="7">
        <f t="shared" si="9"/>
        <v>0.02</v>
      </c>
      <c r="G635" s="5">
        <v>0</v>
      </c>
      <c r="H635" s="26">
        <v>44936</v>
      </c>
      <c r="I635" s="26">
        <v>45050</v>
      </c>
      <c r="J635" s="4" t="s">
        <v>1611</v>
      </c>
      <c r="K635" s="4" t="s">
        <v>2164</v>
      </c>
    </row>
    <row r="636" spans="1:11" x14ac:dyDescent="0.45">
      <c r="A636" s="9" t="s">
        <v>722</v>
      </c>
      <c r="B636" s="9" t="s">
        <v>1608</v>
      </c>
      <c r="C636" s="9" t="s">
        <v>687</v>
      </c>
      <c r="D636" s="9" t="b">
        <f>TRUE()</f>
        <v>1</v>
      </c>
      <c r="E636" s="10">
        <v>1007</v>
      </c>
      <c r="F636" s="12">
        <f t="shared" si="9"/>
        <v>0.98822374877330721</v>
      </c>
      <c r="G636" s="10">
        <v>189</v>
      </c>
      <c r="H636" s="27">
        <v>44932</v>
      </c>
      <c r="I636" s="27">
        <v>46294</v>
      </c>
      <c r="J636" s="9" t="s">
        <v>1609</v>
      </c>
      <c r="K636" s="9" t="s">
        <v>2165</v>
      </c>
    </row>
    <row r="637" spans="1:11" x14ac:dyDescent="0.45">
      <c r="A637" s="4" t="s">
        <v>722</v>
      </c>
      <c r="B637" s="4" t="s">
        <v>1608</v>
      </c>
      <c r="C637" s="4" t="s">
        <v>931</v>
      </c>
      <c r="D637" s="4" t="b">
        <f>FALSE()</f>
        <v>0</v>
      </c>
      <c r="E637" s="5">
        <v>12</v>
      </c>
      <c r="F637" s="7">
        <f t="shared" si="9"/>
        <v>1.1776251226692836E-2</v>
      </c>
      <c r="G637" s="5">
        <v>0</v>
      </c>
      <c r="H637" s="26">
        <v>44935</v>
      </c>
      <c r="I637" s="26">
        <v>45033</v>
      </c>
      <c r="J637" s="4" t="s">
        <v>1611</v>
      </c>
      <c r="K637" s="4" t="s">
        <v>2166</v>
      </c>
    </row>
    <row r="638" spans="1:11" x14ac:dyDescent="0.45">
      <c r="A638" s="9" t="s">
        <v>723</v>
      </c>
      <c r="B638" s="9" t="s">
        <v>1608</v>
      </c>
      <c r="C638" s="9" t="s">
        <v>687</v>
      </c>
      <c r="D638" s="9" t="b">
        <f>TRUE()</f>
        <v>1</v>
      </c>
      <c r="E638" s="10">
        <v>900</v>
      </c>
      <c r="F638" s="12">
        <f t="shared" si="9"/>
        <v>0.88582677165354329</v>
      </c>
      <c r="G638" s="10">
        <v>197</v>
      </c>
      <c r="H638" s="27">
        <v>44952</v>
      </c>
      <c r="I638" s="27">
        <v>46296</v>
      </c>
      <c r="J638" s="9" t="s">
        <v>1609</v>
      </c>
      <c r="K638" s="9" t="s">
        <v>1902</v>
      </c>
    </row>
    <row r="639" spans="1:11" x14ac:dyDescent="0.45">
      <c r="A639" s="4" t="s">
        <v>723</v>
      </c>
      <c r="B639" s="4" t="s">
        <v>1608</v>
      </c>
      <c r="C639" s="4" t="s">
        <v>931</v>
      </c>
      <c r="D639" s="4" t="b">
        <f>FALSE()</f>
        <v>0</v>
      </c>
      <c r="E639" s="5">
        <v>116</v>
      </c>
      <c r="F639" s="7">
        <f t="shared" si="9"/>
        <v>0.1141732283464567</v>
      </c>
      <c r="G639" s="5">
        <v>0</v>
      </c>
      <c r="H639" s="26">
        <v>44928</v>
      </c>
      <c r="I639" s="26">
        <v>45052</v>
      </c>
      <c r="J639" s="4" t="s">
        <v>1611</v>
      </c>
      <c r="K639" s="4" t="s">
        <v>2167</v>
      </c>
    </row>
    <row r="640" spans="1:11" x14ac:dyDescent="0.45">
      <c r="A640" s="9" t="s">
        <v>725</v>
      </c>
      <c r="B640" s="9" t="s">
        <v>1608</v>
      </c>
      <c r="C640" s="9" t="s">
        <v>687</v>
      </c>
      <c r="D640" s="9" t="b">
        <f>TRUE()</f>
        <v>1</v>
      </c>
      <c r="E640" s="10">
        <v>651</v>
      </c>
      <c r="F640" s="12">
        <f t="shared" si="9"/>
        <v>0.66293279022403262</v>
      </c>
      <c r="G640" s="10">
        <v>0</v>
      </c>
      <c r="H640" s="27">
        <v>45055</v>
      </c>
      <c r="I640" s="27">
        <v>45392</v>
      </c>
      <c r="J640" s="9" t="s">
        <v>1609</v>
      </c>
      <c r="K640" s="9" t="s">
        <v>2168</v>
      </c>
    </row>
    <row r="641" spans="1:11" x14ac:dyDescent="0.45">
      <c r="A641" s="4" t="s">
        <v>725</v>
      </c>
      <c r="B641" s="4" t="s">
        <v>1608</v>
      </c>
      <c r="C641" s="4" t="s">
        <v>931</v>
      </c>
      <c r="D641" s="4" t="b">
        <f>FALSE()</f>
        <v>0</v>
      </c>
      <c r="E641" s="5">
        <v>331</v>
      </c>
      <c r="F641" s="7">
        <f t="shared" si="9"/>
        <v>0.33706720977596744</v>
      </c>
      <c r="G641" s="5">
        <v>0</v>
      </c>
      <c r="H641" s="26">
        <v>44931</v>
      </c>
      <c r="I641" s="26">
        <v>45055</v>
      </c>
      <c r="J641" s="4" t="s">
        <v>1611</v>
      </c>
      <c r="K641" s="4" t="s">
        <v>2169</v>
      </c>
    </row>
    <row r="642" spans="1:11" x14ac:dyDescent="0.45">
      <c r="A642" s="9" t="s">
        <v>726</v>
      </c>
      <c r="B642" s="9" t="s">
        <v>1608</v>
      </c>
      <c r="C642" s="9" t="s">
        <v>687</v>
      </c>
      <c r="D642" s="9" t="b">
        <f>TRUE()</f>
        <v>1</v>
      </c>
      <c r="E642" s="10">
        <v>880</v>
      </c>
      <c r="F642" s="12">
        <f t="shared" ref="F642:F705" si="10">E642/SUMIFS($E$2:$E$783,$A$2:$A$783,A642)</f>
        <v>0.94117647058823528</v>
      </c>
      <c r="G642" s="10">
        <v>149</v>
      </c>
      <c r="H642" s="27">
        <v>45015</v>
      </c>
      <c r="I642" s="27">
        <v>46296</v>
      </c>
      <c r="J642" s="9" t="s">
        <v>1609</v>
      </c>
      <c r="K642" s="9" t="s">
        <v>2170</v>
      </c>
    </row>
    <row r="643" spans="1:11" x14ac:dyDescent="0.45">
      <c r="A643" s="4" t="s">
        <v>726</v>
      </c>
      <c r="B643" s="4" t="s">
        <v>1608</v>
      </c>
      <c r="C643" s="4" t="s">
        <v>931</v>
      </c>
      <c r="D643" s="4" t="b">
        <f>FALSE()</f>
        <v>0</v>
      </c>
      <c r="E643" s="5">
        <v>55</v>
      </c>
      <c r="F643" s="7">
        <f t="shared" si="10"/>
        <v>5.8823529411764705E-2</v>
      </c>
      <c r="G643" s="5">
        <v>0</v>
      </c>
      <c r="H643" s="26">
        <v>44931</v>
      </c>
      <c r="I643" s="26">
        <v>45043</v>
      </c>
      <c r="J643" s="4" t="s">
        <v>1611</v>
      </c>
      <c r="K643" s="4" t="s">
        <v>2171</v>
      </c>
    </row>
    <row r="644" spans="1:11" x14ac:dyDescent="0.45">
      <c r="A644" s="9" t="s">
        <v>728</v>
      </c>
      <c r="B644" s="9" t="s">
        <v>1608</v>
      </c>
      <c r="C644" s="9" t="s">
        <v>687</v>
      </c>
      <c r="D644" s="9" t="b">
        <f>TRUE()</f>
        <v>1</v>
      </c>
      <c r="E644" s="10">
        <v>765</v>
      </c>
      <c r="F644" s="12">
        <f t="shared" si="10"/>
        <v>0.93179049939098657</v>
      </c>
      <c r="G644" s="10">
        <v>189</v>
      </c>
      <c r="H644" s="27">
        <v>44953</v>
      </c>
      <c r="I644" s="27">
        <v>46296</v>
      </c>
      <c r="J644" s="9" t="s">
        <v>1609</v>
      </c>
      <c r="K644" s="9" t="s">
        <v>2172</v>
      </c>
    </row>
    <row r="645" spans="1:11" x14ac:dyDescent="0.45">
      <c r="A645" s="4" t="s">
        <v>728</v>
      </c>
      <c r="B645" s="4" t="s">
        <v>1608</v>
      </c>
      <c r="C645" s="4" t="s">
        <v>931</v>
      </c>
      <c r="D645" s="4" t="b">
        <f>FALSE()</f>
        <v>0</v>
      </c>
      <c r="E645" s="5">
        <v>56</v>
      </c>
      <c r="F645" s="7">
        <f t="shared" si="10"/>
        <v>6.8209500609013402E-2</v>
      </c>
      <c r="G645" s="5">
        <v>0</v>
      </c>
      <c r="H645" s="26">
        <v>44928</v>
      </c>
      <c r="I645" s="26">
        <v>45043</v>
      </c>
      <c r="J645" s="4" t="s">
        <v>1611</v>
      </c>
      <c r="K645" s="4" t="s">
        <v>2173</v>
      </c>
    </row>
    <row r="646" spans="1:11" x14ac:dyDescent="0.45">
      <c r="A646" s="9" t="s">
        <v>731</v>
      </c>
      <c r="B646" s="9" t="s">
        <v>1608</v>
      </c>
      <c r="C646" s="9" t="s">
        <v>687</v>
      </c>
      <c r="D646" s="9" t="b">
        <f>TRUE()</f>
        <v>1</v>
      </c>
      <c r="E646" s="10">
        <v>562</v>
      </c>
      <c r="F646" s="12">
        <f t="shared" si="10"/>
        <v>0.9525423728813559</v>
      </c>
      <c r="G646" s="10">
        <v>0</v>
      </c>
      <c r="H646" s="27">
        <v>45016</v>
      </c>
      <c r="I646" s="27">
        <v>45912</v>
      </c>
      <c r="J646" s="9" t="s">
        <v>1609</v>
      </c>
      <c r="K646" s="9" t="s">
        <v>2174</v>
      </c>
    </row>
    <row r="647" spans="1:11" x14ac:dyDescent="0.45">
      <c r="A647" s="4" t="s">
        <v>731</v>
      </c>
      <c r="B647" s="4" t="s">
        <v>1608</v>
      </c>
      <c r="C647" s="4" t="s">
        <v>931</v>
      </c>
      <c r="D647" s="4" t="b">
        <f>FALSE()</f>
        <v>0</v>
      </c>
      <c r="E647" s="5">
        <v>28</v>
      </c>
      <c r="F647" s="7">
        <f t="shared" si="10"/>
        <v>4.7457627118644069E-2</v>
      </c>
      <c r="G647" s="5">
        <v>0</v>
      </c>
      <c r="H647" s="26">
        <v>44929</v>
      </c>
      <c r="I647" s="26">
        <v>45045</v>
      </c>
      <c r="J647" s="4" t="s">
        <v>1611</v>
      </c>
      <c r="K647" s="4" t="s">
        <v>2175</v>
      </c>
    </row>
    <row r="648" spans="1:11" x14ac:dyDescent="0.45">
      <c r="A648" s="9" t="s">
        <v>734</v>
      </c>
      <c r="B648" s="9" t="s">
        <v>1608</v>
      </c>
      <c r="C648" s="9" t="s">
        <v>687</v>
      </c>
      <c r="D648" s="9" t="b">
        <f>TRUE()</f>
        <v>1</v>
      </c>
      <c r="E648" s="10">
        <v>483</v>
      </c>
      <c r="F648" s="12">
        <f t="shared" si="10"/>
        <v>0.94705882352941173</v>
      </c>
      <c r="G648" s="10">
        <v>111</v>
      </c>
      <c r="H648" s="27">
        <v>45021</v>
      </c>
      <c r="I648" s="27">
        <v>46294</v>
      </c>
      <c r="J648" s="9" t="s">
        <v>1609</v>
      </c>
      <c r="K648" s="9" t="s">
        <v>2176</v>
      </c>
    </row>
    <row r="649" spans="1:11" x14ac:dyDescent="0.45">
      <c r="A649" s="4" t="s">
        <v>734</v>
      </c>
      <c r="B649" s="4" t="s">
        <v>1608</v>
      </c>
      <c r="C649" s="4" t="s">
        <v>931</v>
      </c>
      <c r="D649" s="4" t="b">
        <f>FALSE()</f>
        <v>0</v>
      </c>
      <c r="E649" s="5">
        <v>27</v>
      </c>
      <c r="F649" s="7">
        <f t="shared" si="10"/>
        <v>5.2941176470588235E-2</v>
      </c>
      <c r="G649" s="5">
        <v>0</v>
      </c>
      <c r="H649" s="26">
        <v>44937</v>
      </c>
      <c r="I649" s="26">
        <v>45050</v>
      </c>
      <c r="J649" s="4" t="s">
        <v>1611</v>
      </c>
      <c r="K649" s="4" t="s">
        <v>2177</v>
      </c>
    </row>
    <row r="650" spans="1:11" x14ac:dyDescent="0.45">
      <c r="A650" s="9" t="s">
        <v>739</v>
      </c>
      <c r="B650" s="9" t="s">
        <v>1608</v>
      </c>
      <c r="C650" s="9" t="s">
        <v>687</v>
      </c>
      <c r="D650" s="9" t="b">
        <f>TRUE()</f>
        <v>1</v>
      </c>
      <c r="E650" s="10">
        <v>332</v>
      </c>
      <c r="F650" s="12">
        <f t="shared" si="10"/>
        <v>0.90958904109589045</v>
      </c>
      <c r="G650" s="10">
        <v>62</v>
      </c>
      <c r="H650" s="27">
        <v>44998</v>
      </c>
      <c r="I650" s="27">
        <v>46273</v>
      </c>
      <c r="J650" s="9" t="s">
        <v>1609</v>
      </c>
      <c r="K650" s="9" t="s">
        <v>2178</v>
      </c>
    </row>
    <row r="651" spans="1:11" x14ac:dyDescent="0.45">
      <c r="A651" s="4" t="s">
        <v>739</v>
      </c>
      <c r="B651" s="4" t="s">
        <v>1608</v>
      </c>
      <c r="C651" s="4" t="s">
        <v>931</v>
      </c>
      <c r="D651" s="4" t="b">
        <f>FALSE()</f>
        <v>0</v>
      </c>
      <c r="E651" s="5">
        <v>33</v>
      </c>
      <c r="F651" s="7">
        <f t="shared" si="10"/>
        <v>9.0410958904109592E-2</v>
      </c>
      <c r="G651" s="5">
        <v>0</v>
      </c>
      <c r="H651" s="26">
        <v>44930</v>
      </c>
      <c r="I651" s="26">
        <v>45051</v>
      </c>
      <c r="J651" s="4" t="s">
        <v>1611</v>
      </c>
      <c r="K651" s="4" t="s">
        <v>2179</v>
      </c>
    </row>
    <row r="652" spans="1:11" x14ac:dyDescent="0.45">
      <c r="A652" s="9" t="s">
        <v>740</v>
      </c>
      <c r="B652" s="9" t="s">
        <v>1608</v>
      </c>
      <c r="C652" s="9" t="s">
        <v>687</v>
      </c>
      <c r="D652" s="9" t="b">
        <f>TRUE()</f>
        <v>1</v>
      </c>
      <c r="E652" s="10">
        <v>344</v>
      </c>
      <c r="F652" s="12">
        <f t="shared" si="10"/>
        <v>0.95290858725761773</v>
      </c>
      <c r="G652" s="10">
        <v>116</v>
      </c>
      <c r="H652" s="27">
        <v>45062</v>
      </c>
      <c r="I652" s="27">
        <v>46290</v>
      </c>
      <c r="J652" s="9" t="s">
        <v>1609</v>
      </c>
      <c r="K652" s="9" t="s">
        <v>2180</v>
      </c>
    </row>
    <row r="653" spans="1:11" x14ac:dyDescent="0.45">
      <c r="A653" s="4" t="s">
        <v>740</v>
      </c>
      <c r="B653" s="4" t="s">
        <v>1608</v>
      </c>
      <c r="C653" s="4" t="s">
        <v>931</v>
      </c>
      <c r="D653" s="4" t="b">
        <f>FALSE()</f>
        <v>0</v>
      </c>
      <c r="E653" s="5">
        <v>17</v>
      </c>
      <c r="F653" s="7">
        <f t="shared" si="10"/>
        <v>4.7091412742382273E-2</v>
      </c>
      <c r="G653" s="5">
        <v>0</v>
      </c>
      <c r="H653" s="26">
        <v>44939</v>
      </c>
      <c r="I653" s="26">
        <v>45050</v>
      </c>
      <c r="J653" s="4" t="s">
        <v>1611</v>
      </c>
      <c r="K653" s="4" t="s">
        <v>2181</v>
      </c>
    </row>
    <row r="654" spans="1:11" x14ac:dyDescent="0.45">
      <c r="A654" s="9" t="s">
        <v>741</v>
      </c>
      <c r="B654" s="9" t="s">
        <v>1608</v>
      </c>
      <c r="C654" s="9" t="s">
        <v>687</v>
      </c>
      <c r="D654" s="9" t="b">
        <f>TRUE()</f>
        <v>1</v>
      </c>
      <c r="E654" s="10">
        <v>232</v>
      </c>
      <c r="F654" s="12">
        <f t="shared" si="10"/>
        <v>0.87547169811320757</v>
      </c>
      <c r="G654" s="10">
        <v>45</v>
      </c>
      <c r="H654" s="27">
        <v>45051</v>
      </c>
      <c r="I654" s="27">
        <v>46275</v>
      </c>
      <c r="J654" s="9" t="s">
        <v>1609</v>
      </c>
      <c r="K654" s="9" t="s">
        <v>2182</v>
      </c>
    </row>
    <row r="655" spans="1:11" x14ac:dyDescent="0.45">
      <c r="A655" s="4" t="s">
        <v>741</v>
      </c>
      <c r="B655" s="4" t="s">
        <v>1608</v>
      </c>
      <c r="C655" s="4" t="s">
        <v>931</v>
      </c>
      <c r="D655" s="4" t="b">
        <f>FALSE()</f>
        <v>0</v>
      </c>
      <c r="E655" s="5">
        <v>33</v>
      </c>
      <c r="F655" s="7">
        <f t="shared" si="10"/>
        <v>0.12452830188679245</v>
      </c>
      <c r="G655" s="5">
        <v>0</v>
      </c>
      <c r="H655" s="26">
        <v>44935</v>
      </c>
      <c r="I655" s="26">
        <v>45052</v>
      </c>
      <c r="J655" s="4" t="s">
        <v>1611</v>
      </c>
      <c r="K655" s="4" t="s">
        <v>2183</v>
      </c>
    </row>
    <row r="656" spans="1:11" x14ac:dyDescent="0.45">
      <c r="A656" s="9" t="s">
        <v>744</v>
      </c>
      <c r="B656" s="9" t="s">
        <v>1608</v>
      </c>
      <c r="C656" s="9" t="s">
        <v>687</v>
      </c>
      <c r="D656" s="9" t="b">
        <f>TRUE()</f>
        <v>1</v>
      </c>
      <c r="E656" s="10">
        <v>205</v>
      </c>
      <c r="F656" s="12">
        <f t="shared" si="10"/>
        <v>0.96244131455399062</v>
      </c>
      <c r="G656" s="10">
        <v>75</v>
      </c>
      <c r="H656" s="27">
        <v>45046</v>
      </c>
      <c r="I656" s="27">
        <v>46296</v>
      </c>
      <c r="J656" s="9" t="s">
        <v>1609</v>
      </c>
      <c r="K656" s="9" t="s">
        <v>2184</v>
      </c>
    </row>
    <row r="657" spans="1:11" x14ac:dyDescent="0.45">
      <c r="A657" s="4" t="s">
        <v>744</v>
      </c>
      <c r="B657" s="4" t="s">
        <v>1608</v>
      </c>
      <c r="C657" s="4" t="s">
        <v>931</v>
      </c>
      <c r="D657" s="4" t="b">
        <f>FALSE()</f>
        <v>0</v>
      </c>
      <c r="E657" s="5">
        <v>8</v>
      </c>
      <c r="F657" s="7">
        <f t="shared" si="10"/>
        <v>3.7558685446009391E-2</v>
      </c>
      <c r="G657" s="5">
        <v>0</v>
      </c>
      <c r="H657" s="26">
        <v>44944</v>
      </c>
      <c r="I657" s="26">
        <v>45049</v>
      </c>
      <c r="J657" s="4" t="s">
        <v>1611</v>
      </c>
      <c r="K657" s="4" t="s">
        <v>2185</v>
      </c>
    </row>
    <row r="658" spans="1:11" x14ac:dyDescent="0.45">
      <c r="A658" s="9" t="s">
        <v>745</v>
      </c>
      <c r="B658" s="9" t="s">
        <v>1608</v>
      </c>
      <c r="C658" s="9" t="s">
        <v>687</v>
      </c>
      <c r="D658" s="9" t="b">
        <f>TRUE()</f>
        <v>1</v>
      </c>
      <c r="E658" s="10">
        <v>144</v>
      </c>
      <c r="F658" s="12">
        <f t="shared" si="10"/>
        <v>0.83236994219653182</v>
      </c>
      <c r="G658" s="10">
        <v>0</v>
      </c>
      <c r="H658" s="27">
        <v>44959</v>
      </c>
      <c r="I658" s="27">
        <v>45769</v>
      </c>
      <c r="J658" s="9" t="s">
        <v>1609</v>
      </c>
      <c r="K658" s="9" t="s">
        <v>2186</v>
      </c>
    </row>
    <row r="659" spans="1:11" x14ac:dyDescent="0.45">
      <c r="A659" s="4" t="s">
        <v>745</v>
      </c>
      <c r="B659" s="4" t="s">
        <v>1608</v>
      </c>
      <c r="C659" s="4" t="s">
        <v>931</v>
      </c>
      <c r="D659" s="4" t="b">
        <f>FALSE()</f>
        <v>0</v>
      </c>
      <c r="E659" s="5">
        <v>29</v>
      </c>
      <c r="F659" s="7">
        <f t="shared" si="10"/>
        <v>0.16763005780346821</v>
      </c>
      <c r="G659" s="5">
        <v>0</v>
      </c>
      <c r="H659" s="26">
        <v>44931</v>
      </c>
      <c r="I659" s="26">
        <v>45034</v>
      </c>
      <c r="J659" s="4" t="s">
        <v>1611</v>
      </c>
      <c r="K659" s="4" t="s">
        <v>2187</v>
      </c>
    </row>
    <row r="660" spans="1:11" x14ac:dyDescent="0.45">
      <c r="A660" s="9" t="s">
        <v>746</v>
      </c>
      <c r="B660" s="9" t="s">
        <v>1608</v>
      </c>
      <c r="C660" s="9" t="s">
        <v>687</v>
      </c>
      <c r="D660" s="9" t="b">
        <f>TRUE()</f>
        <v>1</v>
      </c>
      <c r="E660" s="10">
        <v>161</v>
      </c>
      <c r="F660" s="12">
        <f t="shared" si="10"/>
        <v>0.99382716049382713</v>
      </c>
      <c r="G660" s="10">
        <v>45</v>
      </c>
      <c r="H660" s="27">
        <v>45014</v>
      </c>
      <c r="I660" s="27">
        <v>46295</v>
      </c>
      <c r="J660" s="9" t="s">
        <v>1609</v>
      </c>
      <c r="K660" s="9" t="s">
        <v>2188</v>
      </c>
    </row>
    <row r="661" spans="1:11" x14ac:dyDescent="0.45">
      <c r="A661" s="4" t="s">
        <v>746</v>
      </c>
      <c r="B661" s="4" t="s">
        <v>1608</v>
      </c>
      <c r="C661" s="4" t="s">
        <v>931</v>
      </c>
      <c r="D661" s="4" t="b">
        <f>FALSE()</f>
        <v>0</v>
      </c>
      <c r="E661" s="5">
        <v>1</v>
      </c>
      <c r="F661" s="7">
        <f t="shared" si="10"/>
        <v>6.1728395061728392E-3</v>
      </c>
      <c r="G661" s="5">
        <v>0</v>
      </c>
      <c r="H661" s="26">
        <v>45048</v>
      </c>
      <c r="I661" s="26">
        <v>45048</v>
      </c>
      <c r="J661" s="4" t="s">
        <v>1611</v>
      </c>
      <c r="K661" s="4" t="s">
        <v>2189</v>
      </c>
    </row>
    <row r="662" spans="1:11" x14ac:dyDescent="0.45">
      <c r="A662" s="9" t="s">
        <v>747</v>
      </c>
      <c r="B662" s="9" t="s">
        <v>1608</v>
      </c>
      <c r="C662" s="9" t="s">
        <v>687</v>
      </c>
      <c r="D662" s="9" t="b">
        <f>TRUE()</f>
        <v>1</v>
      </c>
      <c r="E662" s="10">
        <v>108</v>
      </c>
      <c r="F662" s="12">
        <f t="shared" si="10"/>
        <v>0.9</v>
      </c>
      <c r="G662" s="10">
        <v>0</v>
      </c>
      <c r="H662" s="27">
        <v>45057</v>
      </c>
      <c r="I662" s="27">
        <v>45773</v>
      </c>
      <c r="J662" s="9" t="s">
        <v>1609</v>
      </c>
      <c r="K662" s="9" t="s">
        <v>2190</v>
      </c>
    </row>
    <row r="663" spans="1:11" x14ac:dyDescent="0.45">
      <c r="A663" s="4" t="s">
        <v>747</v>
      </c>
      <c r="B663" s="4" t="s">
        <v>1608</v>
      </c>
      <c r="C663" s="4" t="s">
        <v>931</v>
      </c>
      <c r="D663" s="4" t="b">
        <f>FALSE()</f>
        <v>0</v>
      </c>
      <c r="E663" s="5">
        <v>12</v>
      </c>
      <c r="F663" s="7">
        <f t="shared" si="10"/>
        <v>0.1</v>
      </c>
      <c r="G663" s="5">
        <v>0</v>
      </c>
      <c r="H663" s="26">
        <v>44942</v>
      </c>
      <c r="I663" s="26">
        <v>45054</v>
      </c>
      <c r="J663" s="4" t="s">
        <v>1611</v>
      </c>
      <c r="K663" s="4" t="s">
        <v>2191</v>
      </c>
    </row>
    <row r="664" spans="1:11" x14ac:dyDescent="0.45">
      <c r="A664" s="9" t="s">
        <v>752</v>
      </c>
      <c r="B664" s="9" t="s">
        <v>1608</v>
      </c>
      <c r="C664" s="9" t="s">
        <v>753</v>
      </c>
      <c r="D664" s="9" t="b">
        <f>TRUE()</f>
        <v>1</v>
      </c>
      <c r="E664" s="10">
        <v>3438</v>
      </c>
      <c r="F664" s="12">
        <f t="shared" si="10"/>
        <v>0.83853658536585363</v>
      </c>
      <c r="G664" s="10">
        <v>939</v>
      </c>
      <c r="H664" s="27">
        <v>44935</v>
      </c>
      <c r="I664" s="27">
        <v>46296</v>
      </c>
      <c r="J664" s="9" t="s">
        <v>1609</v>
      </c>
      <c r="K664" s="9" t="s">
        <v>1692</v>
      </c>
    </row>
    <row r="665" spans="1:11" x14ac:dyDescent="0.45">
      <c r="A665" s="4" t="s">
        <v>752</v>
      </c>
      <c r="B665" s="4" t="s">
        <v>1608</v>
      </c>
      <c r="C665" s="4" t="s">
        <v>2192</v>
      </c>
      <c r="D665" s="4" t="b">
        <f>FALSE()</f>
        <v>0</v>
      </c>
      <c r="E665" s="5">
        <v>662</v>
      </c>
      <c r="F665" s="7">
        <f t="shared" si="10"/>
        <v>0.16146341463414635</v>
      </c>
      <c r="G665" s="5">
        <v>0</v>
      </c>
      <c r="H665" s="26">
        <v>44928</v>
      </c>
      <c r="I665" s="26">
        <v>45244</v>
      </c>
      <c r="J665" s="4" t="s">
        <v>1611</v>
      </c>
      <c r="K665" s="4" t="s">
        <v>2193</v>
      </c>
    </row>
    <row r="666" spans="1:11" x14ac:dyDescent="0.45">
      <c r="A666" s="9" t="s">
        <v>754</v>
      </c>
      <c r="B666" s="9" t="s">
        <v>1608</v>
      </c>
      <c r="C666" s="9" t="s">
        <v>753</v>
      </c>
      <c r="D666" s="9" t="b">
        <f>TRUE()</f>
        <v>1</v>
      </c>
      <c r="E666" s="10">
        <v>1906</v>
      </c>
      <c r="F666" s="12">
        <f t="shared" si="10"/>
        <v>0.86400725294650949</v>
      </c>
      <c r="G666" s="10">
        <v>421</v>
      </c>
      <c r="H666" s="27">
        <v>44946</v>
      </c>
      <c r="I666" s="27">
        <v>46296</v>
      </c>
      <c r="J666" s="9" t="s">
        <v>1609</v>
      </c>
      <c r="K666" s="9" t="s">
        <v>2194</v>
      </c>
    </row>
    <row r="667" spans="1:11" x14ac:dyDescent="0.45">
      <c r="A667" s="4" t="s">
        <v>754</v>
      </c>
      <c r="B667" s="4" t="s">
        <v>1608</v>
      </c>
      <c r="C667" s="4" t="s">
        <v>2192</v>
      </c>
      <c r="D667" s="4" t="b">
        <f>FALSE()</f>
        <v>0</v>
      </c>
      <c r="E667" s="5">
        <v>300</v>
      </c>
      <c r="F667" s="7">
        <f t="shared" si="10"/>
        <v>0.13599274705349049</v>
      </c>
      <c r="G667" s="5">
        <v>0</v>
      </c>
      <c r="H667" s="26">
        <v>44930</v>
      </c>
      <c r="I667" s="26">
        <v>45240</v>
      </c>
      <c r="J667" s="4" t="s">
        <v>1611</v>
      </c>
      <c r="K667" s="4" t="s">
        <v>2195</v>
      </c>
    </row>
    <row r="668" spans="1:11" x14ac:dyDescent="0.45">
      <c r="A668" s="9" t="s">
        <v>755</v>
      </c>
      <c r="B668" s="9" t="s">
        <v>1608</v>
      </c>
      <c r="C668" s="9" t="s">
        <v>753</v>
      </c>
      <c r="D668" s="9" t="b">
        <f>TRUE()</f>
        <v>1</v>
      </c>
      <c r="E668" s="10">
        <v>1337</v>
      </c>
      <c r="F668" s="12">
        <f t="shared" si="10"/>
        <v>0.83406113537117899</v>
      </c>
      <c r="G668" s="10">
        <v>376</v>
      </c>
      <c r="H668" s="27">
        <v>45070</v>
      </c>
      <c r="I668" s="27">
        <v>46294</v>
      </c>
      <c r="J668" s="9" t="s">
        <v>1609</v>
      </c>
      <c r="K668" s="9" t="s">
        <v>2196</v>
      </c>
    </row>
    <row r="669" spans="1:11" x14ac:dyDescent="0.45">
      <c r="A669" s="4" t="s">
        <v>755</v>
      </c>
      <c r="B669" s="4" t="s">
        <v>1608</v>
      </c>
      <c r="C669" s="4" t="s">
        <v>2192</v>
      </c>
      <c r="D669" s="4" t="b">
        <f>FALSE()</f>
        <v>0</v>
      </c>
      <c r="E669" s="5">
        <v>266</v>
      </c>
      <c r="F669" s="7">
        <f t="shared" si="10"/>
        <v>0.16593886462882096</v>
      </c>
      <c r="G669" s="5">
        <v>0</v>
      </c>
      <c r="H669" s="26">
        <v>44929</v>
      </c>
      <c r="I669" s="26">
        <v>45244</v>
      </c>
      <c r="J669" s="4" t="s">
        <v>1611</v>
      </c>
      <c r="K669" s="4" t="s">
        <v>2197</v>
      </c>
    </row>
    <row r="670" spans="1:11" x14ac:dyDescent="0.45">
      <c r="A670" s="9" t="s">
        <v>762</v>
      </c>
      <c r="B670" s="9" t="s">
        <v>1608</v>
      </c>
      <c r="C670" s="9" t="s">
        <v>763</v>
      </c>
      <c r="D670" s="9" t="b">
        <f>TRUE()</f>
        <v>1</v>
      </c>
      <c r="E670" s="10">
        <v>12882</v>
      </c>
      <c r="F670" s="12">
        <f t="shared" si="10"/>
        <v>0.84850480832564878</v>
      </c>
      <c r="G670" s="10">
        <v>3546</v>
      </c>
      <c r="H670" s="27">
        <v>44937</v>
      </c>
      <c r="I670" s="27">
        <v>46296</v>
      </c>
      <c r="J670" s="9" t="s">
        <v>1609</v>
      </c>
      <c r="K670" s="9" t="s">
        <v>1979</v>
      </c>
    </row>
    <row r="671" spans="1:11" x14ac:dyDescent="0.45">
      <c r="A671" s="4" t="s">
        <v>762</v>
      </c>
      <c r="B671" s="4" t="s">
        <v>1608</v>
      </c>
      <c r="C671" s="4" t="s">
        <v>2198</v>
      </c>
      <c r="D671" s="4" t="b">
        <f>FALSE()</f>
        <v>0</v>
      </c>
      <c r="E671" s="5">
        <v>2300</v>
      </c>
      <c r="F671" s="7">
        <f t="shared" si="10"/>
        <v>0.15149519167435122</v>
      </c>
      <c r="G671" s="5">
        <v>0</v>
      </c>
      <c r="H671" s="26">
        <v>44928</v>
      </c>
      <c r="I671" s="26">
        <v>45163</v>
      </c>
      <c r="J671" s="4" t="s">
        <v>1611</v>
      </c>
      <c r="K671" s="4" t="s">
        <v>2199</v>
      </c>
    </row>
    <row r="672" spans="1:11" x14ac:dyDescent="0.45">
      <c r="A672" s="9" t="s">
        <v>769</v>
      </c>
      <c r="B672" s="9" t="s">
        <v>1608</v>
      </c>
      <c r="C672" s="9" t="s">
        <v>770</v>
      </c>
      <c r="D672" s="9" t="b">
        <f>TRUE()</f>
        <v>1</v>
      </c>
      <c r="E672" s="10">
        <v>2153</v>
      </c>
      <c r="F672" s="12">
        <f t="shared" si="10"/>
        <v>0.53450844091360472</v>
      </c>
      <c r="G672" s="10">
        <v>0</v>
      </c>
      <c r="H672" s="27">
        <v>44928</v>
      </c>
      <c r="I672" s="27">
        <v>45055</v>
      </c>
      <c r="J672" s="9" t="s">
        <v>1609</v>
      </c>
      <c r="K672" s="9" t="s">
        <v>1660</v>
      </c>
    </row>
    <row r="673" spans="1:11" x14ac:dyDescent="0.45">
      <c r="A673" s="4" t="s">
        <v>769</v>
      </c>
      <c r="B673" s="4" t="s">
        <v>1608</v>
      </c>
      <c r="C673" s="4" t="s">
        <v>809</v>
      </c>
      <c r="D673" s="4" t="b">
        <f>FALSE()</f>
        <v>0</v>
      </c>
      <c r="E673" s="5">
        <v>1875</v>
      </c>
      <c r="F673" s="7">
        <f t="shared" si="10"/>
        <v>0.46549155908639522</v>
      </c>
      <c r="G673" s="5">
        <v>0</v>
      </c>
      <c r="H673" s="26">
        <v>45014</v>
      </c>
      <c r="I673" s="26">
        <v>45174</v>
      </c>
      <c r="J673" s="4" t="s">
        <v>1614</v>
      </c>
      <c r="K673" s="4" t="s">
        <v>2200</v>
      </c>
    </row>
    <row r="674" spans="1:11" x14ac:dyDescent="0.45">
      <c r="A674" s="9" t="s">
        <v>771</v>
      </c>
      <c r="B674" s="9" t="s">
        <v>1608</v>
      </c>
      <c r="C674" s="9" t="s">
        <v>770</v>
      </c>
      <c r="D674" s="9" t="b">
        <f>TRUE()</f>
        <v>1</v>
      </c>
      <c r="E674" s="10">
        <v>1892</v>
      </c>
      <c r="F674" s="12">
        <f t="shared" si="10"/>
        <v>0.61910994764397909</v>
      </c>
      <c r="G674" s="10">
        <v>0</v>
      </c>
      <c r="H674" s="27">
        <v>44928</v>
      </c>
      <c r="I674" s="27">
        <v>45055</v>
      </c>
      <c r="J674" s="9" t="s">
        <v>1609</v>
      </c>
      <c r="K674" s="9" t="s">
        <v>1660</v>
      </c>
    </row>
    <row r="675" spans="1:11" x14ac:dyDescent="0.45">
      <c r="A675" s="4" t="s">
        <v>771</v>
      </c>
      <c r="B675" s="4" t="s">
        <v>1608</v>
      </c>
      <c r="C675" s="4" t="s">
        <v>809</v>
      </c>
      <c r="D675" s="4" t="b">
        <f>FALSE()</f>
        <v>0</v>
      </c>
      <c r="E675" s="5">
        <v>1164</v>
      </c>
      <c r="F675" s="7">
        <f t="shared" si="10"/>
        <v>0.38089005235602097</v>
      </c>
      <c r="G675" s="5">
        <v>0</v>
      </c>
      <c r="H675" s="26">
        <v>45043</v>
      </c>
      <c r="I675" s="26">
        <v>45174</v>
      </c>
      <c r="J675" s="4" t="s">
        <v>1614</v>
      </c>
      <c r="K675" s="4" t="s">
        <v>2201</v>
      </c>
    </row>
    <row r="676" spans="1:11" x14ac:dyDescent="0.45">
      <c r="A676" s="9" t="s">
        <v>772</v>
      </c>
      <c r="B676" s="9" t="s">
        <v>1608</v>
      </c>
      <c r="C676" s="9" t="s">
        <v>770</v>
      </c>
      <c r="D676" s="9" t="b">
        <f>TRUE()</f>
        <v>1</v>
      </c>
      <c r="E676" s="10">
        <v>833</v>
      </c>
      <c r="F676" s="12">
        <f t="shared" si="10"/>
        <v>0.60758570386579136</v>
      </c>
      <c r="G676" s="10">
        <v>0</v>
      </c>
      <c r="H676" s="27">
        <v>44929</v>
      </c>
      <c r="I676" s="27">
        <v>45055</v>
      </c>
      <c r="J676" s="9" t="s">
        <v>1609</v>
      </c>
      <c r="K676" s="9" t="s">
        <v>2202</v>
      </c>
    </row>
    <row r="677" spans="1:11" x14ac:dyDescent="0.45">
      <c r="A677" s="4" t="s">
        <v>772</v>
      </c>
      <c r="B677" s="4" t="s">
        <v>1608</v>
      </c>
      <c r="C677" s="4" t="s">
        <v>809</v>
      </c>
      <c r="D677" s="4" t="b">
        <f>FALSE()</f>
        <v>0</v>
      </c>
      <c r="E677" s="5">
        <v>538</v>
      </c>
      <c r="F677" s="7">
        <f t="shared" si="10"/>
        <v>0.39241429613420858</v>
      </c>
      <c r="G677" s="5">
        <v>0</v>
      </c>
      <c r="H677" s="26">
        <v>44974</v>
      </c>
      <c r="I677" s="26">
        <v>45174</v>
      </c>
      <c r="J677" s="4" t="s">
        <v>1614</v>
      </c>
      <c r="K677" s="4" t="s">
        <v>2203</v>
      </c>
    </row>
    <row r="678" spans="1:11" x14ac:dyDescent="0.45">
      <c r="A678" s="9" t="s">
        <v>773</v>
      </c>
      <c r="B678" s="9" t="s">
        <v>1608</v>
      </c>
      <c r="C678" s="9" t="s">
        <v>770</v>
      </c>
      <c r="D678" s="9" t="b">
        <f>TRUE()</f>
        <v>1</v>
      </c>
      <c r="E678" s="10">
        <v>787</v>
      </c>
      <c r="F678" s="12">
        <f t="shared" si="10"/>
        <v>0.81134020618556701</v>
      </c>
      <c r="G678" s="10">
        <v>0</v>
      </c>
      <c r="H678" s="27">
        <v>44928</v>
      </c>
      <c r="I678" s="27">
        <v>45055</v>
      </c>
      <c r="J678" s="9" t="s">
        <v>1609</v>
      </c>
      <c r="K678" s="9" t="s">
        <v>1660</v>
      </c>
    </row>
    <row r="679" spans="1:11" x14ac:dyDescent="0.45">
      <c r="A679" s="4" t="s">
        <v>773</v>
      </c>
      <c r="B679" s="4" t="s">
        <v>1608</v>
      </c>
      <c r="C679" s="4" t="s">
        <v>809</v>
      </c>
      <c r="D679" s="4" t="b">
        <f>FALSE()</f>
        <v>0</v>
      </c>
      <c r="E679" s="5">
        <v>183</v>
      </c>
      <c r="F679" s="7">
        <f t="shared" si="10"/>
        <v>0.18865979381443299</v>
      </c>
      <c r="G679" s="5">
        <v>0</v>
      </c>
      <c r="H679" s="26">
        <v>44992</v>
      </c>
      <c r="I679" s="26">
        <v>45069</v>
      </c>
      <c r="J679" s="4" t="s">
        <v>1614</v>
      </c>
      <c r="K679" s="4" t="s">
        <v>2204</v>
      </c>
    </row>
    <row r="680" spans="1:11" x14ac:dyDescent="0.45">
      <c r="A680" s="9" t="s">
        <v>774</v>
      </c>
      <c r="B680" s="9" t="s">
        <v>1608</v>
      </c>
      <c r="C680" s="9" t="s">
        <v>770</v>
      </c>
      <c r="D680" s="9" t="b">
        <f>TRUE()</f>
        <v>1</v>
      </c>
      <c r="E680" s="10">
        <v>80</v>
      </c>
      <c r="F680" s="12">
        <f t="shared" si="10"/>
        <v>0.60606060606060608</v>
      </c>
      <c r="G680" s="10">
        <v>0</v>
      </c>
      <c r="H680" s="27">
        <v>44928</v>
      </c>
      <c r="I680" s="27">
        <v>45054</v>
      </c>
      <c r="J680" s="9" t="s">
        <v>1609</v>
      </c>
      <c r="K680" s="9" t="s">
        <v>2205</v>
      </c>
    </row>
    <row r="681" spans="1:11" x14ac:dyDescent="0.45">
      <c r="A681" s="4" t="s">
        <v>774</v>
      </c>
      <c r="B681" s="4" t="s">
        <v>1608</v>
      </c>
      <c r="C681" s="4" t="s">
        <v>809</v>
      </c>
      <c r="D681" s="4" t="b">
        <f>FALSE()</f>
        <v>0</v>
      </c>
      <c r="E681" s="5">
        <v>52</v>
      </c>
      <c r="F681" s="7">
        <f t="shared" si="10"/>
        <v>0.39393939393939392</v>
      </c>
      <c r="G681" s="5">
        <v>0</v>
      </c>
      <c r="H681" s="26">
        <v>45000</v>
      </c>
      <c r="I681" s="26">
        <v>45174</v>
      </c>
      <c r="J681" s="4" t="s">
        <v>1614</v>
      </c>
      <c r="K681" s="4" t="s">
        <v>2206</v>
      </c>
    </row>
    <row r="682" spans="1:11" x14ac:dyDescent="0.45">
      <c r="A682" s="9" t="s">
        <v>775</v>
      </c>
      <c r="B682" s="9" t="s">
        <v>1608</v>
      </c>
      <c r="C682" s="9" t="s">
        <v>770</v>
      </c>
      <c r="D682" s="9" t="b">
        <f>TRUE()</f>
        <v>1</v>
      </c>
      <c r="E682" s="10">
        <v>40</v>
      </c>
      <c r="F682" s="12">
        <f t="shared" si="10"/>
        <v>0.7407407407407407</v>
      </c>
      <c r="G682" s="10">
        <v>0</v>
      </c>
      <c r="H682" s="27">
        <v>44932</v>
      </c>
      <c r="I682" s="27">
        <v>45054</v>
      </c>
      <c r="J682" s="9" t="s">
        <v>1609</v>
      </c>
      <c r="K682" s="9" t="s">
        <v>2207</v>
      </c>
    </row>
    <row r="683" spans="1:11" x14ac:dyDescent="0.45">
      <c r="A683" s="4" t="s">
        <v>775</v>
      </c>
      <c r="B683" s="4" t="s">
        <v>1608</v>
      </c>
      <c r="C683" s="4" t="s">
        <v>809</v>
      </c>
      <c r="D683" s="4" t="b">
        <f>FALSE()</f>
        <v>0</v>
      </c>
      <c r="E683" s="5">
        <v>14</v>
      </c>
      <c r="F683" s="7">
        <f t="shared" si="10"/>
        <v>0.25925925925925924</v>
      </c>
      <c r="G683" s="5">
        <v>0</v>
      </c>
      <c r="H683" s="26">
        <v>45055</v>
      </c>
      <c r="I683" s="26">
        <v>45163</v>
      </c>
      <c r="J683" s="4" t="s">
        <v>1614</v>
      </c>
      <c r="K683" s="4" t="s">
        <v>2208</v>
      </c>
    </row>
    <row r="684" spans="1:11" x14ac:dyDescent="0.45">
      <c r="A684" s="9" t="s">
        <v>776</v>
      </c>
      <c r="B684" s="9" t="s">
        <v>1608</v>
      </c>
      <c r="C684" s="9" t="s">
        <v>770</v>
      </c>
      <c r="D684" s="9" t="b">
        <f>TRUE()</f>
        <v>1</v>
      </c>
      <c r="E684" s="10">
        <v>30</v>
      </c>
      <c r="F684" s="12">
        <f t="shared" si="10"/>
        <v>0.6</v>
      </c>
      <c r="G684" s="10">
        <v>0</v>
      </c>
      <c r="H684" s="27">
        <v>44930</v>
      </c>
      <c r="I684" s="27">
        <v>45055</v>
      </c>
      <c r="J684" s="9" t="s">
        <v>1609</v>
      </c>
      <c r="K684" s="9" t="s">
        <v>2209</v>
      </c>
    </row>
    <row r="685" spans="1:11" x14ac:dyDescent="0.45">
      <c r="A685" s="4" t="s">
        <v>776</v>
      </c>
      <c r="B685" s="4" t="s">
        <v>1608</v>
      </c>
      <c r="C685" s="4" t="s">
        <v>809</v>
      </c>
      <c r="D685" s="4" t="b">
        <f>FALSE()</f>
        <v>0</v>
      </c>
      <c r="E685" s="5">
        <v>20</v>
      </c>
      <c r="F685" s="7">
        <f t="shared" si="10"/>
        <v>0.4</v>
      </c>
      <c r="G685" s="5">
        <v>0</v>
      </c>
      <c r="H685" s="26">
        <v>45056</v>
      </c>
      <c r="I685" s="26">
        <v>45174</v>
      </c>
      <c r="J685" s="4" t="s">
        <v>1614</v>
      </c>
      <c r="K685" s="4" t="s">
        <v>2210</v>
      </c>
    </row>
    <row r="686" spans="1:11" x14ac:dyDescent="0.45">
      <c r="A686" s="9" t="s">
        <v>777</v>
      </c>
      <c r="B686" s="9" t="s">
        <v>1608</v>
      </c>
      <c r="C686" s="9" t="s">
        <v>770</v>
      </c>
      <c r="D686" s="9" t="b">
        <f>TRUE()</f>
        <v>1</v>
      </c>
      <c r="E686" s="10">
        <v>13</v>
      </c>
      <c r="F686" s="12">
        <f t="shared" si="10"/>
        <v>0.9285714285714286</v>
      </c>
      <c r="G686" s="10">
        <v>0</v>
      </c>
      <c r="H686" s="27">
        <v>44929</v>
      </c>
      <c r="I686" s="27">
        <v>45035</v>
      </c>
      <c r="J686" s="9" t="s">
        <v>1609</v>
      </c>
      <c r="K686" s="9" t="s">
        <v>2211</v>
      </c>
    </row>
    <row r="687" spans="1:11" x14ac:dyDescent="0.45">
      <c r="A687" s="4" t="s">
        <v>777</v>
      </c>
      <c r="B687" s="4" t="s">
        <v>1608</v>
      </c>
      <c r="C687" s="4" t="s">
        <v>809</v>
      </c>
      <c r="D687" s="4" t="b">
        <f>FALSE()</f>
        <v>0</v>
      </c>
      <c r="E687" s="5">
        <v>1</v>
      </c>
      <c r="F687" s="7">
        <f t="shared" si="10"/>
        <v>7.1428571428571425E-2</v>
      </c>
      <c r="G687" s="5">
        <v>0</v>
      </c>
      <c r="H687" s="26">
        <v>45069</v>
      </c>
      <c r="I687" s="26">
        <v>45069</v>
      </c>
      <c r="J687" s="4" t="s">
        <v>1614</v>
      </c>
      <c r="K687" s="4" t="s">
        <v>2212</v>
      </c>
    </row>
    <row r="688" spans="1:11" x14ac:dyDescent="0.45">
      <c r="A688" s="9" t="s">
        <v>784</v>
      </c>
      <c r="B688" s="9" t="s">
        <v>1608</v>
      </c>
      <c r="C688" s="9" t="s">
        <v>781</v>
      </c>
      <c r="D688" s="9" t="b">
        <f>TRUE()</f>
        <v>1</v>
      </c>
      <c r="E688" s="10">
        <v>10</v>
      </c>
      <c r="F688" s="12">
        <f t="shared" si="10"/>
        <v>0.58823529411764708</v>
      </c>
      <c r="G688" s="10">
        <v>0</v>
      </c>
      <c r="H688" s="27">
        <v>45053</v>
      </c>
      <c r="I688" s="27">
        <v>45234</v>
      </c>
      <c r="J688" s="9" t="s">
        <v>1609</v>
      </c>
      <c r="K688" s="9" t="s">
        <v>2213</v>
      </c>
    </row>
    <row r="689" spans="1:11" x14ac:dyDescent="0.45">
      <c r="A689" s="4" t="s">
        <v>784</v>
      </c>
      <c r="B689" s="4" t="s">
        <v>1608</v>
      </c>
      <c r="C689" s="4" t="s">
        <v>2214</v>
      </c>
      <c r="D689" s="4" t="b">
        <f>FALSE()</f>
        <v>0</v>
      </c>
      <c r="E689" s="5">
        <v>7</v>
      </c>
      <c r="F689" s="7">
        <f t="shared" si="10"/>
        <v>0.41176470588235292</v>
      </c>
      <c r="G689" s="5">
        <v>0</v>
      </c>
      <c r="H689" s="26">
        <v>44939</v>
      </c>
      <c r="I689" s="26">
        <v>45020</v>
      </c>
      <c r="J689" s="4" t="s">
        <v>1614</v>
      </c>
      <c r="K689" s="4" t="s">
        <v>2215</v>
      </c>
    </row>
    <row r="690" spans="1:11" x14ac:dyDescent="0.45">
      <c r="A690" s="9" t="s">
        <v>785</v>
      </c>
      <c r="B690" s="9" t="s">
        <v>1608</v>
      </c>
      <c r="C690" s="9" t="s">
        <v>781</v>
      </c>
      <c r="D690" s="9" t="b">
        <f>TRUE()</f>
        <v>1</v>
      </c>
      <c r="E690" s="10">
        <v>7</v>
      </c>
      <c r="F690" s="12">
        <f t="shared" si="10"/>
        <v>0.58333333333333337</v>
      </c>
      <c r="G690" s="10">
        <v>0</v>
      </c>
      <c r="H690" s="27">
        <v>45089</v>
      </c>
      <c r="I690" s="27">
        <v>45198</v>
      </c>
      <c r="J690" s="9" t="s">
        <v>1609</v>
      </c>
      <c r="K690" s="9" t="s">
        <v>2216</v>
      </c>
    </row>
    <row r="691" spans="1:11" x14ac:dyDescent="0.45">
      <c r="A691" s="4" t="s">
        <v>785</v>
      </c>
      <c r="B691" s="4" t="s">
        <v>1608</v>
      </c>
      <c r="C691" s="4" t="s">
        <v>2214</v>
      </c>
      <c r="D691" s="4" t="b">
        <f>FALSE()</f>
        <v>0</v>
      </c>
      <c r="E691" s="5">
        <v>5</v>
      </c>
      <c r="F691" s="7">
        <f t="shared" si="10"/>
        <v>0.41666666666666669</v>
      </c>
      <c r="G691" s="5">
        <v>0</v>
      </c>
      <c r="H691" s="26">
        <v>44932</v>
      </c>
      <c r="I691" s="26">
        <v>45031</v>
      </c>
      <c r="J691" s="4" t="s">
        <v>1614</v>
      </c>
      <c r="K691" s="4" t="s">
        <v>2217</v>
      </c>
    </row>
    <row r="692" spans="1:11" x14ac:dyDescent="0.45">
      <c r="A692" s="9" t="s">
        <v>793</v>
      </c>
      <c r="B692" s="9" t="s">
        <v>1608</v>
      </c>
      <c r="C692" s="9" t="s">
        <v>787</v>
      </c>
      <c r="D692" s="9" t="b">
        <f>TRUE()</f>
        <v>1</v>
      </c>
      <c r="E692" s="10">
        <v>14</v>
      </c>
      <c r="F692" s="12">
        <f t="shared" si="10"/>
        <v>0.56000000000000005</v>
      </c>
      <c r="G692" s="10">
        <v>0</v>
      </c>
      <c r="H692" s="27">
        <v>45000</v>
      </c>
      <c r="I692" s="27">
        <v>45133</v>
      </c>
      <c r="J692" s="9" t="s">
        <v>1609</v>
      </c>
      <c r="K692" s="9" t="s">
        <v>2218</v>
      </c>
    </row>
    <row r="693" spans="1:11" x14ac:dyDescent="0.45">
      <c r="A693" s="4" t="s">
        <v>793</v>
      </c>
      <c r="B693" s="4" t="s">
        <v>1608</v>
      </c>
      <c r="C693" s="4" t="s">
        <v>920</v>
      </c>
      <c r="D693" s="4" t="b">
        <f>FALSE()</f>
        <v>0</v>
      </c>
      <c r="E693" s="5">
        <v>11</v>
      </c>
      <c r="F693" s="7">
        <f t="shared" si="10"/>
        <v>0.44</v>
      </c>
      <c r="G693" s="5">
        <v>0</v>
      </c>
      <c r="H693" s="26">
        <v>44963</v>
      </c>
      <c r="I693" s="26">
        <v>45020</v>
      </c>
      <c r="J693" s="4" t="s">
        <v>1614</v>
      </c>
      <c r="K693" s="4" t="s">
        <v>2219</v>
      </c>
    </row>
    <row r="694" spans="1:11" x14ac:dyDescent="0.45">
      <c r="A694" s="9" t="s">
        <v>796</v>
      </c>
      <c r="B694" s="9" t="s">
        <v>1608</v>
      </c>
      <c r="C694" s="9" t="s">
        <v>787</v>
      </c>
      <c r="D694" s="9" t="b">
        <f>TRUE()</f>
        <v>1</v>
      </c>
      <c r="E694" s="10">
        <v>10</v>
      </c>
      <c r="F694" s="12">
        <f t="shared" si="10"/>
        <v>0.7142857142857143</v>
      </c>
      <c r="G694" s="10">
        <v>0</v>
      </c>
      <c r="H694" s="27">
        <v>45069</v>
      </c>
      <c r="I694" s="27">
        <v>45187</v>
      </c>
      <c r="J694" s="9" t="s">
        <v>1609</v>
      </c>
      <c r="K694" s="9" t="s">
        <v>2220</v>
      </c>
    </row>
    <row r="695" spans="1:11" x14ac:dyDescent="0.45">
      <c r="A695" s="4" t="s">
        <v>796</v>
      </c>
      <c r="B695" s="4" t="s">
        <v>1608</v>
      </c>
      <c r="C695" s="4" t="s">
        <v>924</v>
      </c>
      <c r="D695" s="4" t="b">
        <f>FALSE()</f>
        <v>0</v>
      </c>
      <c r="E695" s="5">
        <v>4</v>
      </c>
      <c r="F695" s="7">
        <f t="shared" si="10"/>
        <v>0.2857142857142857</v>
      </c>
      <c r="G695" s="5">
        <v>0</v>
      </c>
      <c r="H695" s="26">
        <v>44959</v>
      </c>
      <c r="I695" s="26">
        <v>45041</v>
      </c>
      <c r="J695" s="4" t="s">
        <v>1614</v>
      </c>
      <c r="K695" s="4" t="s">
        <v>1886</v>
      </c>
    </row>
    <row r="696" spans="1:11" x14ac:dyDescent="0.45">
      <c r="A696" s="9" t="s">
        <v>797</v>
      </c>
      <c r="B696" s="9" t="s">
        <v>1608</v>
      </c>
      <c r="C696" s="9" t="s">
        <v>787</v>
      </c>
      <c r="D696" s="9" t="b">
        <f>TRUE()</f>
        <v>1</v>
      </c>
      <c r="E696" s="10">
        <v>6</v>
      </c>
      <c r="F696" s="12">
        <f t="shared" si="10"/>
        <v>0.8571428571428571</v>
      </c>
      <c r="G696" s="10">
        <v>0</v>
      </c>
      <c r="H696" s="27">
        <v>45090</v>
      </c>
      <c r="I696" s="27">
        <v>45154</v>
      </c>
      <c r="J696" s="9" t="s">
        <v>1609</v>
      </c>
      <c r="K696" s="9" t="s">
        <v>2221</v>
      </c>
    </row>
    <row r="697" spans="1:11" x14ac:dyDescent="0.45">
      <c r="A697" s="4" t="s">
        <v>797</v>
      </c>
      <c r="B697" s="4" t="s">
        <v>1608</v>
      </c>
      <c r="C697" s="4" t="s">
        <v>924</v>
      </c>
      <c r="D697" s="4" t="b">
        <f>FALSE()</f>
        <v>0</v>
      </c>
      <c r="E697" s="5">
        <v>1</v>
      </c>
      <c r="F697" s="7">
        <f t="shared" si="10"/>
        <v>0.14285714285714285</v>
      </c>
      <c r="G697" s="5">
        <v>0</v>
      </c>
      <c r="H697" s="26">
        <v>44952</v>
      </c>
      <c r="I697" s="26">
        <v>44952</v>
      </c>
      <c r="J697" s="4" t="s">
        <v>1614</v>
      </c>
      <c r="K697" s="4" t="s">
        <v>2222</v>
      </c>
    </row>
    <row r="698" spans="1:11" x14ac:dyDescent="0.45">
      <c r="A698" s="9" t="s">
        <v>803</v>
      </c>
      <c r="B698" s="9" t="s">
        <v>1608</v>
      </c>
      <c r="C698" s="9" t="s">
        <v>802</v>
      </c>
      <c r="D698" s="9" t="b">
        <f>TRUE()</f>
        <v>1</v>
      </c>
      <c r="E698" s="10">
        <v>155</v>
      </c>
      <c r="F698" s="12">
        <f t="shared" si="10"/>
        <v>0.96273291925465843</v>
      </c>
      <c r="G698" s="10">
        <v>0</v>
      </c>
      <c r="H698" s="27">
        <v>45040</v>
      </c>
      <c r="I698" s="27">
        <v>45803</v>
      </c>
      <c r="J698" s="9" t="s">
        <v>1609</v>
      </c>
      <c r="K698" s="9" t="s">
        <v>2223</v>
      </c>
    </row>
    <row r="699" spans="1:11" x14ac:dyDescent="0.45">
      <c r="A699" s="4" t="s">
        <v>803</v>
      </c>
      <c r="B699" s="4" t="s">
        <v>1608</v>
      </c>
      <c r="C699" s="4" t="s">
        <v>2224</v>
      </c>
      <c r="D699" s="4" t="b">
        <f>FALSE()</f>
        <v>0</v>
      </c>
      <c r="E699" s="5">
        <v>6</v>
      </c>
      <c r="F699" s="7">
        <f t="shared" si="10"/>
        <v>3.7267080745341616E-2</v>
      </c>
      <c r="G699" s="5">
        <v>0</v>
      </c>
      <c r="H699" s="26">
        <v>44935</v>
      </c>
      <c r="I699" s="26">
        <v>45029</v>
      </c>
      <c r="J699" s="4" t="s">
        <v>1611</v>
      </c>
      <c r="K699" s="4" t="s">
        <v>2225</v>
      </c>
    </row>
    <row r="700" spans="1:11" x14ac:dyDescent="0.45">
      <c r="A700" s="9" t="s">
        <v>810</v>
      </c>
      <c r="B700" s="9" t="s">
        <v>1608</v>
      </c>
      <c r="C700" s="9" t="s">
        <v>809</v>
      </c>
      <c r="D700" s="9" t="b">
        <f>TRUE()</f>
        <v>1</v>
      </c>
      <c r="E700" s="10">
        <v>6218</v>
      </c>
      <c r="F700" s="12">
        <f t="shared" si="10"/>
        <v>0.59315081560621963</v>
      </c>
      <c r="G700" s="10">
        <v>0</v>
      </c>
      <c r="H700" s="27">
        <v>45035</v>
      </c>
      <c r="I700" s="27">
        <v>45174</v>
      </c>
      <c r="J700" s="9" t="s">
        <v>1609</v>
      </c>
      <c r="K700" s="9" t="s">
        <v>2226</v>
      </c>
    </row>
    <row r="701" spans="1:11" x14ac:dyDescent="0.45">
      <c r="A701" s="4" t="s">
        <v>810</v>
      </c>
      <c r="B701" s="4" t="s">
        <v>1608</v>
      </c>
      <c r="C701" s="4" t="s">
        <v>770</v>
      </c>
      <c r="D701" s="4" t="b">
        <f>FALSE()</f>
        <v>0</v>
      </c>
      <c r="E701" s="5">
        <v>4265</v>
      </c>
      <c r="F701" s="7">
        <f t="shared" si="10"/>
        <v>0.40684918439378043</v>
      </c>
      <c r="G701" s="5">
        <v>0</v>
      </c>
      <c r="H701" s="26">
        <v>44928</v>
      </c>
      <c r="I701" s="26">
        <v>45055</v>
      </c>
      <c r="J701" s="4" t="s">
        <v>1614</v>
      </c>
      <c r="K701" s="4" t="s">
        <v>2227</v>
      </c>
    </row>
    <row r="702" spans="1:11" x14ac:dyDescent="0.45">
      <c r="A702" s="9" t="s">
        <v>812</v>
      </c>
      <c r="B702" s="9" t="s">
        <v>1608</v>
      </c>
      <c r="C702" s="9" t="s">
        <v>809</v>
      </c>
      <c r="D702" s="9" t="b">
        <f>TRUE()</f>
        <v>1</v>
      </c>
      <c r="E702" s="10">
        <v>3193</v>
      </c>
      <c r="F702" s="12">
        <f t="shared" si="10"/>
        <v>0.50031338138514569</v>
      </c>
      <c r="G702" s="10">
        <v>0</v>
      </c>
      <c r="H702" s="27">
        <v>45019</v>
      </c>
      <c r="I702" s="27">
        <v>45174</v>
      </c>
      <c r="J702" s="9" t="s">
        <v>1609</v>
      </c>
      <c r="K702" s="9" t="s">
        <v>2228</v>
      </c>
    </row>
    <row r="703" spans="1:11" x14ac:dyDescent="0.45">
      <c r="A703" s="4" t="s">
        <v>812</v>
      </c>
      <c r="B703" s="4" t="s">
        <v>1608</v>
      </c>
      <c r="C703" s="4" t="s">
        <v>770</v>
      </c>
      <c r="D703" s="4" t="b">
        <f>FALSE()</f>
        <v>0</v>
      </c>
      <c r="E703" s="5">
        <v>3189</v>
      </c>
      <c r="F703" s="7">
        <f t="shared" si="10"/>
        <v>0.49968661861485431</v>
      </c>
      <c r="G703" s="5">
        <v>0</v>
      </c>
      <c r="H703" s="26">
        <v>44928</v>
      </c>
      <c r="I703" s="26">
        <v>45055</v>
      </c>
      <c r="J703" s="4" t="s">
        <v>1614</v>
      </c>
      <c r="K703" s="4" t="s">
        <v>2229</v>
      </c>
    </row>
    <row r="704" spans="1:11" x14ac:dyDescent="0.45">
      <c r="A704" s="9" t="s">
        <v>815</v>
      </c>
      <c r="B704" s="9" t="s">
        <v>1608</v>
      </c>
      <c r="C704" s="9" t="s">
        <v>809</v>
      </c>
      <c r="D704" s="9" t="b">
        <f>TRUE()</f>
        <v>1</v>
      </c>
      <c r="E704" s="10">
        <v>3241</v>
      </c>
      <c r="F704" s="12">
        <f t="shared" si="10"/>
        <v>0.53420141750453276</v>
      </c>
      <c r="G704" s="10">
        <v>0</v>
      </c>
      <c r="H704" s="27">
        <v>44984</v>
      </c>
      <c r="I704" s="27">
        <v>45174</v>
      </c>
      <c r="J704" s="9" t="s">
        <v>1609</v>
      </c>
      <c r="K704" s="9" t="s">
        <v>2230</v>
      </c>
    </row>
    <row r="705" spans="1:11" x14ac:dyDescent="0.45">
      <c r="A705" s="4" t="s">
        <v>815</v>
      </c>
      <c r="B705" s="4" t="s">
        <v>1608</v>
      </c>
      <c r="C705" s="4" t="s">
        <v>770</v>
      </c>
      <c r="D705" s="4" t="b">
        <f>FALSE()</f>
        <v>0</v>
      </c>
      <c r="E705" s="5">
        <v>2826</v>
      </c>
      <c r="F705" s="7">
        <f t="shared" si="10"/>
        <v>0.46579858249546729</v>
      </c>
      <c r="G705" s="5">
        <v>0</v>
      </c>
      <c r="H705" s="26">
        <v>44928</v>
      </c>
      <c r="I705" s="26">
        <v>45055</v>
      </c>
      <c r="J705" s="4" t="s">
        <v>1614</v>
      </c>
      <c r="K705" s="4" t="s">
        <v>2058</v>
      </c>
    </row>
    <row r="706" spans="1:11" x14ac:dyDescent="0.45">
      <c r="A706" s="9" t="s">
        <v>822</v>
      </c>
      <c r="B706" s="9" t="s">
        <v>1608</v>
      </c>
      <c r="C706" s="9" t="s">
        <v>809</v>
      </c>
      <c r="D706" s="9" t="b">
        <f>TRUE()</f>
        <v>1</v>
      </c>
      <c r="E706" s="10">
        <v>1713</v>
      </c>
      <c r="F706" s="12">
        <f t="shared" ref="F706:F769" si="11">E706/SUMIFS($E$2:$E$783,$A$2:$A$783,A706)</f>
        <v>0.51472355769230771</v>
      </c>
      <c r="G706" s="10">
        <v>0</v>
      </c>
      <c r="H706" s="27">
        <v>45041</v>
      </c>
      <c r="I706" s="27">
        <v>45174</v>
      </c>
      <c r="J706" s="9" t="s">
        <v>1609</v>
      </c>
      <c r="K706" s="9" t="s">
        <v>2231</v>
      </c>
    </row>
    <row r="707" spans="1:11" x14ac:dyDescent="0.45">
      <c r="A707" s="4" t="s">
        <v>822</v>
      </c>
      <c r="B707" s="4" t="s">
        <v>1608</v>
      </c>
      <c r="C707" s="4" t="s">
        <v>770</v>
      </c>
      <c r="D707" s="4" t="b">
        <f>FALSE()</f>
        <v>0</v>
      </c>
      <c r="E707" s="5">
        <v>1615</v>
      </c>
      <c r="F707" s="7">
        <f t="shared" si="11"/>
        <v>0.48527644230769229</v>
      </c>
      <c r="G707" s="5">
        <v>0</v>
      </c>
      <c r="H707" s="26">
        <v>44928</v>
      </c>
      <c r="I707" s="26">
        <v>45055</v>
      </c>
      <c r="J707" s="4" t="s">
        <v>1614</v>
      </c>
      <c r="K707" s="4" t="s">
        <v>2232</v>
      </c>
    </row>
    <row r="708" spans="1:11" x14ac:dyDescent="0.45">
      <c r="A708" s="9" t="s">
        <v>826</v>
      </c>
      <c r="B708" s="9" t="s">
        <v>1608</v>
      </c>
      <c r="C708" s="9" t="s">
        <v>809</v>
      </c>
      <c r="D708" s="9" t="b">
        <f>TRUE()</f>
        <v>1</v>
      </c>
      <c r="E708" s="10">
        <v>1601</v>
      </c>
      <c r="F708" s="12">
        <f t="shared" si="11"/>
        <v>0.53313353313353318</v>
      </c>
      <c r="G708" s="10">
        <v>0</v>
      </c>
      <c r="H708" s="27">
        <v>45055</v>
      </c>
      <c r="I708" s="27">
        <v>45174</v>
      </c>
      <c r="J708" s="9" t="s">
        <v>1609</v>
      </c>
      <c r="K708" s="9" t="s">
        <v>2233</v>
      </c>
    </row>
    <row r="709" spans="1:11" x14ac:dyDescent="0.45">
      <c r="A709" s="4" t="s">
        <v>826</v>
      </c>
      <c r="B709" s="4" t="s">
        <v>1608</v>
      </c>
      <c r="C709" s="4" t="s">
        <v>770</v>
      </c>
      <c r="D709" s="4" t="b">
        <f>FALSE()</f>
        <v>0</v>
      </c>
      <c r="E709" s="5">
        <v>1402</v>
      </c>
      <c r="F709" s="7">
        <f t="shared" si="11"/>
        <v>0.46686646686646688</v>
      </c>
      <c r="G709" s="5">
        <v>0</v>
      </c>
      <c r="H709" s="26">
        <v>44928</v>
      </c>
      <c r="I709" s="26">
        <v>45055</v>
      </c>
      <c r="J709" s="4" t="s">
        <v>1614</v>
      </c>
      <c r="K709" s="4" t="s">
        <v>1722</v>
      </c>
    </row>
    <row r="710" spans="1:11" x14ac:dyDescent="0.45">
      <c r="A710" s="9" t="s">
        <v>828</v>
      </c>
      <c r="B710" s="9" t="s">
        <v>1608</v>
      </c>
      <c r="C710" s="9" t="s">
        <v>809</v>
      </c>
      <c r="D710" s="9" t="b">
        <f>TRUE()</f>
        <v>1</v>
      </c>
      <c r="E710" s="10">
        <v>1598</v>
      </c>
      <c r="F710" s="12">
        <f t="shared" si="11"/>
        <v>0.55796089385474856</v>
      </c>
      <c r="G710" s="10">
        <v>0</v>
      </c>
      <c r="H710" s="27">
        <v>45012</v>
      </c>
      <c r="I710" s="27">
        <v>45174</v>
      </c>
      <c r="J710" s="9" t="s">
        <v>1609</v>
      </c>
      <c r="K710" s="9" t="s">
        <v>2234</v>
      </c>
    </row>
    <row r="711" spans="1:11" x14ac:dyDescent="0.45">
      <c r="A711" s="4" t="s">
        <v>828</v>
      </c>
      <c r="B711" s="4" t="s">
        <v>1608</v>
      </c>
      <c r="C711" s="4" t="s">
        <v>770</v>
      </c>
      <c r="D711" s="4" t="b">
        <f>FALSE()</f>
        <v>0</v>
      </c>
      <c r="E711" s="5">
        <v>1266</v>
      </c>
      <c r="F711" s="7">
        <f t="shared" si="11"/>
        <v>0.44203910614525138</v>
      </c>
      <c r="G711" s="5">
        <v>0</v>
      </c>
      <c r="H711" s="26">
        <v>44928</v>
      </c>
      <c r="I711" s="26">
        <v>45054</v>
      </c>
      <c r="J711" s="4" t="s">
        <v>1614</v>
      </c>
      <c r="K711" s="4" t="s">
        <v>2235</v>
      </c>
    </row>
    <row r="712" spans="1:11" x14ac:dyDescent="0.45">
      <c r="A712" s="9" t="s">
        <v>830</v>
      </c>
      <c r="B712" s="9" t="s">
        <v>1608</v>
      </c>
      <c r="C712" s="9" t="s">
        <v>809</v>
      </c>
      <c r="D712" s="9" t="b">
        <f>TRUE()</f>
        <v>1</v>
      </c>
      <c r="E712" s="10">
        <v>1453</v>
      </c>
      <c r="F712" s="12">
        <f t="shared" si="11"/>
        <v>0.57727453317441402</v>
      </c>
      <c r="G712" s="10">
        <v>0</v>
      </c>
      <c r="H712" s="27">
        <v>45048</v>
      </c>
      <c r="I712" s="27">
        <v>45170</v>
      </c>
      <c r="J712" s="9" t="s">
        <v>1609</v>
      </c>
      <c r="K712" s="9" t="s">
        <v>2236</v>
      </c>
    </row>
    <row r="713" spans="1:11" x14ac:dyDescent="0.45">
      <c r="A713" s="4" t="s">
        <v>830</v>
      </c>
      <c r="B713" s="4" t="s">
        <v>1608</v>
      </c>
      <c r="C713" s="4" t="s">
        <v>770</v>
      </c>
      <c r="D713" s="4" t="b">
        <f>FALSE()</f>
        <v>0</v>
      </c>
      <c r="E713" s="5">
        <v>1064</v>
      </c>
      <c r="F713" s="7">
        <f t="shared" si="11"/>
        <v>0.42272546682558604</v>
      </c>
      <c r="G713" s="5">
        <v>0</v>
      </c>
      <c r="H713" s="26">
        <v>44928</v>
      </c>
      <c r="I713" s="26">
        <v>45055</v>
      </c>
      <c r="J713" s="4" t="s">
        <v>1614</v>
      </c>
      <c r="K713" s="4" t="s">
        <v>2237</v>
      </c>
    </row>
    <row r="714" spans="1:11" x14ac:dyDescent="0.45">
      <c r="A714" s="9" t="s">
        <v>835</v>
      </c>
      <c r="B714" s="9" t="s">
        <v>1608</v>
      </c>
      <c r="C714" s="9" t="s">
        <v>809</v>
      </c>
      <c r="D714" s="9" t="b">
        <f>TRUE()</f>
        <v>1</v>
      </c>
      <c r="E714" s="10">
        <v>471</v>
      </c>
      <c r="F714" s="12">
        <f t="shared" si="11"/>
        <v>0.58509316770186337</v>
      </c>
      <c r="G714" s="10">
        <v>0</v>
      </c>
      <c r="H714" s="27">
        <v>44941</v>
      </c>
      <c r="I714" s="27">
        <v>45174</v>
      </c>
      <c r="J714" s="9" t="s">
        <v>1609</v>
      </c>
      <c r="K714" s="9" t="s">
        <v>2238</v>
      </c>
    </row>
    <row r="715" spans="1:11" x14ac:dyDescent="0.45">
      <c r="A715" s="4" t="s">
        <v>835</v>
      </c>
      <c r="B715" s="4" t="s">
        <v>1608</v>
      </c>
      <c r="C715" s="4" t="s">
        <v>770</v>
      </c>
      <c r="D715" s="4" t="b">
        <f>FALSE()</f>
        <v>0</v>
      </c>
      <c r="E715" s="5">
        <v>334</v>
      </c>
      <c r="F715" s="7">
        <f t="shared" si="11"/>
        <v>0.41490683229813663</v>
      </c>
      <c r="G715" s="5">
        <v>0</v>
      </c>
      <c r="H715" s="26">
        <v>44928</v>
      </c>
      <c r="I715" s="26">
        <v>45054</v>
      </c>
      <c r="J715" s="4" t="s">
        <v>1614</v>
      </c>
      <c r="K715" s="4" t="s">
        <v>2239</v>
      </c>
    </row>
    <row r="716" spans="1:11" x14ac:dyDescent="0.45">
      <c r="A716" s="9" t="s">
        <v>836</v>
      </c>
      <c r="B716" s="9" t="s">
        <v>1608</v>
      </c>
      <c r="C716" s="9" t="s">
        <v>809</v>
      </c>
      <c r="D716" s="9" t="b">
        <f>TRUE()</f>
        <v>1</v>
      </c>
      <c r="E716" s="10">
        <v>407</v>
      </c>
      <c r="F716" s="12">
        <f t="shared" si="11"/>
        <v>0.63494539781591264</v>
      </c>
      <c r="G716" s="10">
        <v>0</v>
      </c>
      <c r="H716" s="27">
        <v>44931</v>
      </c>
      <c r="I716" s="27">
        <v>45174</v>
      </c>
      <c r="J716" s="9" t="s">
        <v>1609</v>
      </c>
      <c r="K716" s="9" t="s">
        <v>2240</v>
      </c>
    </row>
    <row r="717" spans="1:11" x14ac:dyDescent="0.45">
      <c r="A717" s="4" t="s">
        <v>836</v>
      </c>
      <c r="B717" s="4" t="s">
        <v>1608</v>
      </c>
      <c r="C717" s="4" t="s">
        <v>770</v>
      </c>
      <c r="D717" s="4" t="b">
        <f>FALSE()</f>
        <v>0</v>
      </c>
      <c r="E717" s="5">
        <v>234</v>
      </c>
      <c r="F717" s="7">
        <f t="shared" si="11"/>
        <v>0.36505460218408736</v>
      </c>
      <c r="G717" s="5">
        <v>0</v>
      </c>
      <c r="H717" s="26">
        <v>44928</v>
      </c>
      <c r="I717" s="26">
        <v>45055</v>
      </c>
      <c r="J717" s="4" t="s">
        <v>1614</v>
      </c>
      <c r="K717" s="4" t="s">
        <v>1697</v>
      </c>
    </row>
    <row r="718" spans="1:11" x14ac:dyDescent="0.45">
      <c r="A718" s="9" t="s">
        <v>839</v>
      </c>
      <c r="B718" s="9" t="s">
        <v>1608</v>
      </c>
      <c r="C718" s="9" t="s">
        <v>809</v>
      </c>
      <c r="D718" s="9" t="b">
        <f>TRUE()</f>
        <v>1</v>
      </c>
      <c r="E718" s="10">
        <v>354</v>
      </c>
      <c r="F718" s="12">
        <f t="shared" si="11"/>
        <v>0.59898477157360408</v>
      </c>
      <c r="G718" s="10">
        <v>0</v>
      </c>
      <c r="H718" s="27">
        <v>45019</v>
      </c>
      <c r="I718" s="27">
        <v>45172</v>
      </c>
      <c r="J718" s="9" t="s">
        <v>1609</v>
      </c>
      <c r="K718" s="9" t="s">
        <v>2241</v>
      </c>
    </row>
    <row r="719" spans="1:11" x14ac:dyDescent="0.45">
      <c r="A719" s="4" t="s">
        <v>839</v>
      </c>
      <c r="B719" s="4" t="s">
        <v>1608</v>
      </c>
      <c r="C719" s="4" t="s">
        <v>770</v>
      </c>
      <c r="D719" s="4" t="b">
        <f>FALSE()</f>
        <v>0</v>
      </c>
      <c r="E719" s="5">
        <v>237</v>
      </c>
      <c r="F719" s="7">
        <f t="shared" si="11"/>
        <v>0.40101522842639592</v>
      </c>
      <c r="G719" s="5">
        <v>0</v>
      </c>
      <c r="H719" s="26">
        <v>44928</v>
      </c>
      <c r="I719" s="26">
        <v>45054</v>
      </c>
      <c r="J719" s="4" t="s">
        <v>1614</v>
      </c>
      <c r="K719" s="4" t="s">
        <v>2242</v>
      </c>
    </row>
    <row r="720" spans="1:11" x14ac:dyDescent="0.45">
      <c r="A720" s="9" t="s">
        <v>842</v>
      </c>
      <c r="B720" s="9" t="s">
        <v>1608</v>
      </c>
      <c r="C720" s="9" t="s">
        <v>809</v>
      </c>
      <c r="D720" s="9" t="b">
        <f>TRUE()</f>
        <v>1</v>
      </c>
      <c r="E720" s="10">
        <v>179</v>
      </c>
      <c r="F720" s="12">
        <f t="shared" si="11"/>
        <v>0.52958579881656809</v>
      </c>
      <c r="G720" s="10">
        <v>0</v>
      </c>
      <c r="H720" s="27">
        <v>45015</v>
      </c>
      <c r="I720" s="27">
        <v>45169</v>
      </c>
      <c r="J720" s="9" t="s">
        <v>1609</v>
      </c>
      <c r="K720" s="9" t="s">
        <v>2243</v>
      </c>
    </row>
    <row r="721" spans="1:11" x14ac:dyDescent="0.45">
      <c r="A721" s="4" t="s">
        <v>842</v>
      </c>
      <c r="B721" s="4" t="s">
        <v>1608</v>
      </c>
      <c r="C721" s="4" t="s">
        <v>770</v>
      </c>
      <c r="D721" s="4" t="b">
        <f>FALSE()</f>
        <v>0</v>
      </c>
      <c r="E721" s="5">
        <v>159</v>
      </c>
      <c r="F721" s="7">
        <f t="shared" si="11"/>
        <v>0.47041420118343197</v>
      </c>
      <c r="G721" s="5">
        <v>0</v>
      </c>
      <c r="H721" s="26">
        <v>44928</v>
      </c>
      <c r="I721" s="26">
        <v>45055</v>
      </c>
      <c r="J721" s="4" t="s">
        <v>1614</v>
      </c>
      <c r="K721" s="4" t="s">
        <v>2244</v>
      </c>
    </row>
    <row r="722" spans="1:11" x14ac:dyDescent="0.45">
      <c r="A722" s="9" t="s">
        <v>848</v>
      </c>
      <c r="B722" s="9" t="s">
        <v>1608</v>
      </c>
      <c r="C722" s="9" t="s">
        <v>809</v>
      </c>
      <c r="D722" s="9" t="b">
        <f>TRUE()</f>
        <v>1</v>
      </c>
      <c r="E722" s="10">
        <v>88</v>
      </c>
      <c r="F722" s="12">
        <f t="shared" si="11"/>
        <v>0.69841269841269837</v>
      </c>
      <c r="G722" s="10">
        <v>0</v>
      </c>
      <c r="H722" s="27">
        <v>44974</v>
      </c>
      <c r="I722" s="27">
        <v>45172</v>
      </c>
      <c r="J722" s="9" t="s">
        <v>1609</v>
      </c>
      <c r="K722" s="9" t="s">
        <v>2245</v>
      </c>
    </row>
    <row r="723" spans="1:11" x14ac:dyDescent="0.45">
      <c r="A723" s="4" t="s">
        <v>848</v>
      </c>
      <c r="B723" s="4" t="s">
        <v>1608</v>
      </c>
      <c r="C723" s="4" t="s">
        <v>770</v>
      </c>
      <c r="D723" s="4" t="b">
        <f>FALSE()</f>
        <v>0</v>
      </c>
      <c r="E723" s="5">
        <v>38</v>
      </c>
      <c r="F723" s="7">
        <f t="shared" si="11"/>
        <v>0.30158730158730157</v>
      </c>
      <c r="G723" s="5">
        <v>0</v>
      </c>
      <c r="H723" s="26">
        <v>44934</v>
      </c>
      <c r="I723" s="26">
        <v>45054</v>
      </c>
      <c r="J723" s="4" t="s">
        <v>1614</v>
      </c>
      <c r="K723" s="4" t="s">
        <v>2246</v>
      </c>
    </row>
    <row r="724" spans="1:11" x14ac:dyDescent="0.45">
      <c r="A724" s="9" t="s">
        <v>850</v>
      </c>
      <c r="B724" s="9" t="s">
        <v>1608</v>
      </c>
      <c r="C724" s="9" t="s">
        <v>809</v>
      </c>
      <c r="D724" s="9" t="b">
        <f>TRUE()</f>
        <v>1</v>
      </c>
      <c r="E724" s="10">
        <v>30</v>
      </c>
      <c r="F724" s="12">
        <f t="shared" si="11"/>
        <v>0.50847457627118642</v>
      </c>
      <c r="G724" s="10">
        <v>0</v>
      </c>
      <c r="H724" s="27">
        <v>45002</v>
      </c>
      <c r="I724" s="27">
        <v>45169</v>
      </c>
      <c r="J724" s="9" t="s">
        <v>1609</v>
      </c>
      <c r="K724" s="9" t="s">
        <v>2247</v>
      </c>
    </row>
    <row r="725" spans="1:11" x14ac:dyDescent="0.45">
      <c r="A725" s="4" t="s">
        <v>850</v>
      </c>
      <c r="B725" s="4" t="s">
        <v>1608</v>
      </c>
      <c r="C725" s="4" t="s">
        <v>770</v>
      </c>
      <c r="D725" s="4" t="b">
        <f>FALSE()</f>
        <v>0</v>
      </c>
      <c r="E725" s="5">
        <v>29</v>
      </c>
      <c r="F725" s="7">
        <f t="shared" si="11"/>
        <v>0.49152542372881358</v>
      </c>
      <c r="G725" s="5">
        <v>0</v>
      </c>
      <c r="H725" s="26">
        <v>44937</v>
      </c>
      <c r="I725" s="26">
        <v>45054</v>
      </c>
      <c r="J725" s="4" t="s">
        <v>1614</v>
      </c>
      <c r="K725" s="4" t="s">
        <v>2248</v>
      </c>
    </row>
    <row r="726" spans="1:11" x14ac:dyDescent="0.45">
      <c r="A726" s="9" t="s">
        <v>875</v>
      </c>
      <c r="B726" s="9" t="s">
        <v>1608</v>
      </c>
      <c r="C726" s="9" t="s">
        <v>876</v>
      </c>
      <c r="D726" s="9" t="b">
        <f>TRUE()</f>
        <v>1</v>
      </c>
      <c r="E726" s="10">
        <v>647</v>
      </c>
      <c r="F726" s="12">
        <f t="shared" si="11"/>
        <v>0.86266666666666669</v>
      </c>
      <c r="G726" s="10">
        <v>35</v>
      </c>
      <c r="H726" s="27">
        <v>45036</v>
      </c>
      <c r="I726" s="27">
        <v>46112</v>
      </c>
      <c r="J726" s="9" t="s">
        <v>1609</v>
      </c>
      <c r="K726" s="9" t="s">
        <v>2249</v>
      </c>
    </row>
    <row r="727" spans="1:11" x14ac:dyDescent="0.45">
      <c r="A727" s="4" t="s">
        <v>875</v>
      </c>
      <c r="B727" s="4" t="s">
        <v>1608</v>
      </c>
      <c r="C727" s="4" t="s">
        <v>353</v>
      </c>
      <c r="D727" s="4" t="b">
        <f>FALSE()</f>
        <v>0</v>
      </c>
      <c r="E727" s="5">
        <v>103</v>
      </c>
      <c r="F727" s="7">
        <f t="shared" si="11"/>
        <v>0.13733333333333334</v>
      </c>
      <c r="G727" s="5">
        <v>0</v>
      </c>
      <c r="H727" s="26">
        <v>44929</v>
      </c>
      <c r="I727" s="26">
        <v>45055</v>
      </c>
      <c r="J727" s="4" t="s">
        <v>1614</v>
      </c>
      <c r="K727" s="4" t="s">
        <v>1912</v>
      </c>
    </row>
    <row r="728" spans="1:11" x14ac:dyDescent="0.45">
      <c r="A728" s="9" t="s">
        <v>877</v>
      </c>
      <c r="B728" s="9" t="s">
        <v>1608</v>
      </c>
      <c r="C728" s="9" t="s">
        <v>876</v>
      </c>
      <c r="D728" s="9" t="b">
        <f>TRUE()</f>
        <v>1</v>
      </c>
      <c r="E728" s="10">
        <v>69</v>
      </c>
      <c r="F728" s="12">
        <f t="shared" si="11"/>
        <v>0.89610389610389607</v>
      </c>
      <c r="G728" s="10">
        <v>9</v>
      </c>
      <c r="H728" s="27">
        <v>45051</v>
      </c>
      <c r="I728" s="27">
        <v>46105</v>
      </c>
      <c r="J728" s="9" t="s">
        <v>1609</v>
      </c>
      <c r="K728" s="9" t="s">
        <v>2250</v>
      </c>
    </row>
    <row r="729" spans="1:11" x14ac:dyDescent="0.45">
      <c r="A729" s="4" t="s">
        <v>877</v>
      </c>
      <c r="B729" s="4" t="s">
        <v>1608</v>
      </c>
      <c r="C729" s="4" t="s">
        <v>353</v>
      </c>
      <c r="D729" s="4" t="b">
        <f>FALSE()</f>
        <v>0</v>
      </c>
      <c r="E729" s="5">
        <v>8</v>
      </c>
      <c r="F729" s="7">
        <f t="shared" si="11"/>
        <v>0.1038961038961039</v>
      </c>
      <c r="G729" s="5">
        <v>0</v>
      </c>
      <c r="H729" s="26">
        <v>44938</v>
      </c>
      <c r="I729" s="26">
        <v>45051</v>
      </c>
      <c r="J729" s="4" t="s">
        <v>1614</v>
      </c>
      <c r="K729" s="4" t="s">
        <v>2251</v>
      </c>
    </row>
    <row r="730" spans="1:11" x14ac:dyDescent="0.45">
      <c r="A730" s="9" t="s">
        <v>879</v>
      </c>
      <c r="B730" s="9" t="s">
        <v>2252</v>
      </c>
      <c r="C730" s="9" t="s">
        <v>876</v>
      </c>
      <c r="D730" s="9" t="b">
        <f>TRUE()</f>
        <v>1</v>
      </c>
      <c r="E730" s="10">
        <v>42</v>
      </c>
      <c r="F730" s="12">
        <f t="shared" si="11"/>
        <v>0.80769230769230771</v>
      </c>
      <c r="G730" s="10">
        <v>2</v>
      </c>
      <c r="H730" s="27">
        <v>44942</v>
      </c>
      <c r="I730" s="27">
        <v>46093</v>
      </c>
      <c r="J730" s="9" t="s">
        <v>1609</v>
      </c>
      <c r="K730" s="9" t="s">
        <v>2253</v>
      </c>
    </row>
    <row r="731" spans="1:11" x14ac:dyDescent="0.45">
      <c r="A731" s="4" t="s">
        <v>879</v>
      </c>
      <c r="B731" s="4" t="s">
        <v>2252</v>
      </c>
      <c r="C731" s="4" t="s">
        <v>899</v>
      </c>
      <c r="D731" s="4" t="b">
        <f>FALSE()</f>
        <v>0</v>
      </c>
      <c r="E731" s="5">
        <v>10</v>
      </c>
      <c r="F731" s="7">
        <f t="shared" si="11"/>
        <v>0.19230769230769232</v>
      </c>
      <c r="G731" s="5">
        <v>0</v>
      </c>
      <c r="H731" s="26">
        <v>45854</v>
      </c>
      <c r="I731" s="26">
        <v>46002</v>
      </c>
      <c r="J731" s="4" t="s">
        <v>1625</v>
      </c>
      <c r="K731" s="4" t="s">
        <v>2254</v>
      </c>
    </row>
    <row r="732" spans="1:11" x14ac:dyDescent="0.45">
      <c r="A732" s="9" t="s">
        <v>880</v>
      </c>
      <c r="B732" s="9" t="s">
        <v>1608</v>
      </c>
      <c r="C732" s="9" t="s">
        <v>876</v>
      </c>
      <c r="D732" s="9" t="b">
        <f>TRUE()</f>
        <v>1</v>
      </c>
      <c r="E732" s="10">
        <v>32</v>
      </c>
      <c r="F732" s="12">
        <f t="shared" si="11"/>
        <v>0.69565217391304346</v>
      </c>
      <c r="G732" s="10">
        <v>0</v>
      </c>
      <c r="H732" s="27">
        <v>44958</v>
      </c>
      <c r="I732" s="27">
        <v>45244</v>
      </c>
      <c r="J732" s="9" t="s">
        <v>1609</v>
      </c>
      <c r="K732" s="9" t="s">
        <v>2255</v>
      </c>
    </row>
    <row r="733" spans="1:11" x14ac:dyDescent="0.45">
      <c r="A733" s="4" t="s">
        <v>880</v>
      </c>
      <c r="B733" s="4" t="s">
        <v>1608</v>
      </c>
      <c r="C733" s="4" t="s">
        <v>353</v>
      </c>
      <c r="D733" s="4" t="b">
        <f>FALSE()</f>
        <v>0</v>
      </c>
      <c r="E733" s="5">
        <v>14</v>
      </c>
      <c r="F733" s="7">
        <f t="shared" si="11"/>
        <v>0.30434782608695654</v>
      </c>
      <c r="G733" s="5">
        <v>0</v>
      </c>
      <c r="H733" s="26">
        <v>44931</v>
      </c>
      <c r="I733" s="26">
        <v>45049</v>
      </c>
      <c r="J733" s="4" t="s">
        <v>1614</v>
      </c>
      <c r="K733" s="4" t="s">
        <v>2256</v>
      </c>
    </row>
    <row r="734" spans="1:11" x14ac:dyDescent="0.45">
      <c r="A734" s="9" t="s">
        <v>881</v>
      </c>
      <c r="B734" s="9" t="s">
        <v>1608</v>
      </c>
      <c r="C734" s="9" t="s">
        <v>876</v>
      </c>
      <c r="D734" s="9" t="b">
        <f>TRUE()</f>
        <v>1</v>
      </c>
      <c r="E734" s="10">
        <v>39</v>
      </c>
      <c r="F734" s="12">
        <f t="shared" si="11"/>
        <v>0.95121951219512191</v>
      </c>
      <c r="G734" s="10">
        <v>0</v>
      </c>
      <c r="H734" s="27">
        <v>44945</v>
      </c>
      <c r="I734" s="27">
        <v>45216</v>
      </c>
      <c r="J734" s="9" t="s">
        <v>1609</v>
      </c>
      <c r="K734" s="9" t="s">
        <v>2257</v>
      </c>
    </row>
    <row r="735" spans="1:11" x14ac:dyDescent="0.45">
      <c r="A735" s="4" t="s">
        <v>881</v>
      </c>
      <c r="B735" s="4" t="s">
        <v>1608</v>
      </c>
      <c r="C735" s="4" t="s">
        <v>353</v>
      </c>
      <c r="D735" s="4" t="b">
        <f>FALSE()</f>
        <v>0</v>
      </c>
      <c r="E735" s="5">
        <v>2</v>
      </c>
      <c r="F735" s="7">
        <f t="shared" si="11"/>
        <v>4.878048780487805E-2</v>
      </c>
      <c r="G735" s="5">
        <v>0</v>
      </c>
      <c r="H735" s="26">
        <v>45007</v>
      </c>
      <c r="I735" s="26">
        <v>45043</v>
      </c>
      <c r="J735" s="4" t="s">
        <v>1614</v>
      </c>
      <c r="K735" s="4" t="s">
        <v>2258</v>
      </c>
    </row>
    <row r="736" spans="1:11" x14ac:dyDescent="0.45">
      <c r="A736" s="9" t="s">
        <v>883</v>
      </c>
      <c r="B736" s="9" t="s">
        <v>1608</v>
      </c>
      <c r="C736" s="9" t="s">
        <v>876</v>
      </c>
      <c r="D736" s="9" t="b">
        <f>TRUE()</f>
        <v>1</v>
      </c>
      <c r="E736" s="10">
        <v>16</v>
      </c>
      <c r="F736" s="12">
        <f t="shared" si="11"/>
        <v>0.84210526315789469</v>
      </c>
      <c r="G736" s="10">
        <v>2</v>
      </c>
      <c r="H736" s="27">
        <v>45055</v>
      </c>
      <c r="I736" s="27">
        <v>46073</v>
      </c>
      <c r="J736" s="9" t="s">
        <v>1609</v>
      </c>
      <c r="K736" s="9" t="s">
        <v>2259</v>
      </c>
    </row>
    <row r="737" spans="1:11" x14ac:dyDescent="0.45">
      <c r="A737" s="4" t="s">
        <v>883</v>
      </c>
      <c r="B737" s="4" t="s">
        <v>1608</v>
      </c>
      <c r="C737" s="4" t="s">
        <v>353</v>
      </c>
      <c r="D737" s="4" t="b">
        <f>FALSE()</f>
        <v>0</v>
      </c>
      <c r="E737" s="5">
        <v>3</v>
      </c>
      <c r="F737" s="7">
        <f t="shared" si="11"/>
        <v>0.15789473684210525</v>
      </c>
      <c r="G737" s="5">
        <v>0</v>
      </c>
      <c r="H737" s="26">
        <v>44931</v>
      </c>
      <c r="I737" s="26">
        <v>44971</v>
      </c>
      <c r="J737" s="4" t="s">
        <v>1614</v>
      </c>
      <c r="K737" s="4" t="s">
        <v>2260</v>
      </c>
    </row>
    <row r="738" spans="1:11" x14ac:dyDescent="0.45">
      <c r="A738" s="9" t="s">
        <v>884</v>
      </c>
      <c r="B738" s="9" t="s">
        <v>1608</v>
      </c>
      <c r="C738" s="9" t="s">
        <v>876</v>
      </c>
      <c r="D738" s="9" t="b">
        <f>TRUE()</f>
        <v>1</v>
      </c>
      <c r="E738" s="10">
        <v>5</v>
      </c>
      <c r="F738" s="12">
        <f t="shared" si="11"/>
        <v>0.83333333333333337</v>
      </c>
      <c r="G738" s="10">
        <v>0</v>
      </c>
      <c r="H738" s="27">
        <v>45265</v>
      </c>
      <c r="I738" s="27">
        <v>45659</v>
      </c>
      <c r="J738" s="9" t="s">
        <v>1609</v>
      </c>
      <c r="K738" s="9" t="s">
        <v>2261</v>
      </c>
    </row>
    <row r="739" spans="1:11" x14ac:dyDescent="0.45">
      <c r="A739" s="4" t="s">
        <v>884</v>
      </c>
      <c r="B739" s="4" t="s">
        <v>1608</v>
      </c>
      <c r="C739" s="4" t="s">
        <v>353</v>
      </c>
      <c r="D739" s="4" t="b">
        <f>FALSE()</f>
        <v>0</v>
      </c>
      <c r="E739" s="5">
        <v>1</v>
      </c>
      <c r="F739" s="7">
        <f t="shared" si="11"/>
        <v>0.16666666666666666</v>
      </c>
      <c r="G739" s="5">
        <v>0</v>
      </c>
      <c r="H739" s="26">
        <v>44928</v>
      </c>
      <c r="I739" s="26">
        <v>44928</v>
      </c>
      <c r="J739" s="4" t="s">
        <v>1614</v>
      </c>
      <c r="K739" s="4" t="s">
        <v>2262</v>
      </c>
    </row>
    <row r="740" spans="1:11" x14ac:dyDescent="0.45">
      <c r="A740" s="9" t="s">
        <v>885</v>
      </c>
      <c r="B740" s="9" t="s">
        <v>1608</v>
      </c>
      <c r="C740" s="9" t="s">
        <v>876</v>
      </c>
      <c r="D740" s="9" t="b">
        <f>TRUE()</f>
        <v>1</v>
      </c>
      <c r="E740" s="10">
        <v>3</v>
      </c>
      <c r="F740" s="12">
        <f t="shared" si="11"/>
        <v>0.6</v>
      </c>
      <c r="G740" s="10">
        <v>0</v>
      </c>
      <c r="H740" s="27">
        <v>45117</v>
      </c>
      <c r="I740" s="27">
        <v>45176</v>
      </c>
      <c r="J740" s="9" t="s">
        <v>1609</v>
      </c>
      <c r="K740" s="9" t="s">
        <v>2263</v>
      </c>
    </row>
    <row r="741" spans="1:11" x14ac:dyDescent="0.45">
      <c r="A741" s="4" t="s">
        <v>885</v>
      </c>
      <c r="B741" s="4" t="s">
        <v>1608</v>
      </c>
      <c r="C741" s="4" t="s">
        <v>353</v>
      </c>
      <c r="D741" s="4" t="b">
        <f>FALSE()</f>
        <v>0</v>
      </c>
      <c r="E741" s="5">
        <v>2</v>
      </c>
      <c r="F741" s="7">
        <f t="shared" si="11"/>
        <v>0.4</v>
      </c>
      <c r="G741" s="5">
        <v>0</v>
      </c>
      <c r="H741" s="26">
        <v>44941</v>
      </c>
      <c r="I741" s="26">
        <v>45037</v>
      </c>
      <c r="J741" s="4" t="s">
        <v>1614</v>
      </c>
      <c r="K741" s="4" t="s">
        <v>2264</v>
      </c>
    </row>
    <row r="742" spans="1:11" x14ac:dyDescent="0.45">
      <c r="A742" s="9" t="s">
        <v>886</v>
      </c>
      <c r="B742" s="9" t="s">
        <v>1608</v>
      </c>
      <c r="C742" s="9" t="s">
        <v>876</v>
      </c>
      <c r="D742" s="9" t="b">
        <f>TRUE()</f>
        <v>1</v>
      </c>
      <c r="E742" s="10">
        <v>4</v>
      </c>
      <c r="F742" s="12">
        <f t="shared" si="11"/>
        <v>0.8</v>
      </c>
      <c r="G742" s="10">
        <v>0</v>
      </c>
      <c r="H742" s="27">
        <v>45086</v>
      </c>
      <c r="I742" s="27">
        <v>45222</v>
      </c>
      <c r="J742" s="9" t="s">
        <v>1609</v>
      </c>
      <c r="K742" s="9" t="s">
        <v>2265</v>
      </c>
    </row>
    <row r="743" spans="1:11" x14ac:dyDescent="0.45">
      <c r="A743" s="4" t="s">
        <v>886</v>
      </c>
      <c r="B743" s="4" t="s">
        <v>1608</v>
      </c>
      <c r="C743" s="4" t="s">
        <v>353</v>
      </c>
      <c r="D743" s="4" t="b">
        <f>FALSE()</f>
        <v>0</v>
      </c>
      <c r="E743" s="5">
        <v>1</v>
      </c>
      <c r="F743" s="7">
        <f t="shared" si="11"/>
        <v>0.2</v>
      </c>
      <c r="G743" s="5">
        <v>0</v>
      </c>
      <c r="H743" s="26">
        <v>44972</v>
      </c>
      <c r="I743" s="26">
        <v>44972</v>
      </c>
      <c r="J743" s="4" t="s">
        <v>1614</v>
      </c>
      <c r="K743" s="4" t="s">
        <v>2266</v>
      </c>
    </row>
    <row r="744" spans="1:11" x14ac:dyDescent="0.45">
      <c r="A744" s="9" t="s">
        <v>887</v>
      </c>
      <c r="B744" s="9" t="s">
        <v>1608</v>
      </c>
      <c r="C744" s="9" t="s">
        <v>876</v>
      </c>
      <c r="D744" s="9" t="b">
        <f>TRUE()</f>
        <v>1</v>
      </c>
      <c r="E744" s="10">
        <v>1</v>
      </c>
      <c r="F744" s="12">
        <f t="shared" si="11"/>
        <v>0.5</v>
      </c>
      <c r="G744" s="10">
        <v>0</v>
      </c>
      <c r="H744" s="27">
        <v>45103</v>
      </c>
      <c r="I744" s="27">
        <v>45103</v>
      </c>
      <c r="J744" s="9" t="s">
        <v>1609</v>
      </c>
      <c r="K744" s="9" t="s">
        <v>2267</v>
      </c>
    </row>
    <row r="745" spans="1:11" x14ac:dyDescent="0.45">
      <c r="A745" s="4" t="s">
        <v>887</v>
      </c>
      <c r="B745" s="4" t="s">
        <v>1608</v>
      </c>
      <c r="C745" s="4" t="s">
        <v>353</v>
      </c>
      <c r="D745" s="4" t="b">
        <f>FALSE()</f>
        <v>0</v>
      </c>
      <c r="E745" s="5">
        <v>1</v>
      </c>
      <c r="F745" s="7">
        <f t="shared" si="11"/>
        <v>0.5</v>
      </c>
      <c r="G745" s="5">
        <v>0</v>
      </c>
      <c r="H745" s="26">
        <v>44987</v>
      </c>
      <c r="I745" s="26">
        <v>44987</v>
      </c>
      <c r="J745" s="4" t="s">
        <v>1614</v>
      </c>
      <c r="K745" s="4" t="s">
        <v>2268</v>
      </c>
    </row>
    <row r="746" spans="1:11" x14ac:dyDescent="0.45">
      <c r="A746" s="9" t="s">
        <v>888</v>
      </c>
      <c r="B746" s="9" t="s">
        <v>1608</v>
      </c>
      <c r="C746" s="9" t="s">
        <v>889</v>
      </c>
      <c r="D746" s="9" t="b">
        <f>TRUE()</f>
        <v>1</v>
      </c>
      <c r="E746" s="10">
        <v>22540</v>
      </c>
      <c r="F746" s="12">
        <f t="shared" si="11"/>
        <v>0.86625672559569566</v>
      </c>
      <c r="G746" s="10">
        <v>0</v>
      </c>
      <c r="H746" s="27">
        <v>44986</v>
      </c>
      <c r="I746" s="27">
        <v>45876</v>
      </c>
      <c r="J746" s="9" t="s">
        <v>1609</v>
      </c>
      <c r="K746" s="9" t="s">
        <v>2269</v>
      </c>
    </row>
    <row r="747" spans="1:11" x14ac:dyDescent="0.45">
      <c r="A747" s="4" t="s">
        <v>888</v>
      </c>
      <c r="B747" s="4" t="s">
        <v>1608</v>
      </c>
      <c r="C747" s="4" t="s">
        <v>2270</v>
      </c>
      <c r="D747" s="4" t="b">
        <f>FALSE()</f>
        <v>0</v>
      </c>
      <c r="E747" s="5">
        <v>3480</v>
      </c>
      <c r="F747" s="7">
        <f t="shared" si="11"/>
        <v>0.13374327440430439</v>
      </c>
      <c r="G747" s="5">
        <v>0</v>
      </c>
      <c r="H747" s="26">
        <v>44928</v>
      </c>
      <c r="I747" s="26">
        <v>45061</v>
      </c>
      <c r="J747" s="4" t="s">
        <v>1614</v>
      </c>
      <c r="K747" s="4" t="s">
        <v>2271</v>
      </c>
    </row>
    <row r="748" spans="1:11" x14ac:dyDescent="0.45">
      <c r="A748" s="9" t="s">
        <v>890</v>
      </c>
      <c r="B748" s="9" t="s">
        <v>1608</v>
      </c>
      <c r="C748" s="9" t="s">
        <v>889</v>
      </c>
      <c r="D748" s="9" t="b">
        <f>TRUE()</f>
        <v>1</v>
      </c>
      <c r="E748" s="10">
        <v>2144</v>
      </c>
      <c r="F748" s="12">
        <f t="shared" si="11"/>
        <v>0.88412371134020618</v>
      </c>
      <c r="G748" s="10">
        <v>0</v>
      </c>
      <c r="H748" s="27">
        <v>45051</v>
      </c>
      <c r="I748" s="27">
        <v>45834</v>
      </c>
      <c r="J748" s="9" t="s">
        <v>1609</v>
      </c>
      <c r="K748" s="9" t="s">
        <v>2272</v>
      </c>
    </row>
    <row r="749" spans="1:11" x14ac:dyDescent="0.45">
      <c r="A749" s="4" t="s">
        <v>890</v>
      </c>
      <c r="B749" s="4" t="s">
        <v>1608</v>
      </c>
      <c r="C749" s="4" t="s">
        <v>2270</v>
      </c>
      <c r="D749" s="4" t="b">
        <f>FALSE()</f>
        <v>0</v>
      </c>
      <c r="E749" s="5">
        <v>281</v>
      </c>
      <c r="F749" s="7">
        <f t="shared" si="11"/>
        <v>0.11587628865979381</v>
      </c>
      <c r="G749" s="5">
        <v>0</v>
      </c>
      <c r="H749" s="26">
        <v>44928</v>
      </c>
      <c r="I749" s="26">
        <v>45055</v>
      </c>
      <c r="J749" s="4" t="s">
        <v>1614</v>
      </c>
      <c r="K749" s="4" t="s">
        <v>2273</v>
      </c>
    </row>
    <row r="750" spans="1:11" x14ac:dyDescent="0.45">
      <c r="A750" s="9" t="s">
        <v>891</v>
      </c>
      <c r="B750" s="9" t="s">
        <v>1608</v>
      </c>
      <c r="C750" s="9" t="s">
        <v>889</v>
      </c>
      <c r="D750" s="9" t="b">
        <f>TRUE()</f>
        <v>1</v>
      </c>
      <c r="E750" s="10">
        <v>1630</v>
      </c>
      <c r="F750" s="12">
        <f t="shared" si="11"/>
        <v>0.89560439560439564</v>
      </c>
      <c r="G750" s="10">
        <v>90</v>
      </c>
      <c r="H750" s="27">
        <v>44929</v>
      </c>
      <c r="I750" s="27">
        <v>46114</v>
      </c>
      <c r="J750" s="9" t="s">
        <v>1609</v>
      </c>
      <c r="K750" s="9" t="s">
        <v>2274</v>
      </c>
    </row>
    <row r="751" spans="1:11" x14ac:dyDescent="0.45">
      <c r="A751" s="4" t="s">
        <v>891</v>
      </c>
      <c r="B751" s="4" t="s">
        <v>1608</v>
      </c>
      <c r="C751" s="4" t="s">
        <v>2270</v>
      </c>
      <c r="D751" s="4" t="b">
        <f>FALSE()</f>
        <v>0</v>
      </c>
      <c r="E751" s="5">
        <v>190</v>
      </c>
      <c r="F751" s="7">
        <f t="shared" si="11"/>
        <v>0.1043956043956044</v>
      </c>
      <c r="G751" s="5">
        <v>0</v>
      </c>
      <c r="H751" s="26">
        <v>44928</v>
      </c>
      <c r="I751" s="26">
        <v>45054</v>
      </c>
      <c r="J751" s="4" t="s">
        <v>1614</v>
      </c>
      <c r="K751" s="4" t="s">
        <v>1698</v>
      </c>
    </row>
    <row r="752" spans="1:11" x14ac:dyDescent="0.45">
      <c r="A752" s="9" t="s">
        <v>893</v>
      </c>
      <c r="B752" s="9" t="s">
        <v>1608</v>
      </c>
      <c r="C752" s="9" t="s">
        <v>889</v>
      </c>
      <c r="D752" s="9" t="b">
        <f>TRUE()</f>
        <v>1</v>
      </c>
      <c r="E752" s="10">
        <v>67</v>
      </c>
      <c r="F752" s="12">
        <f t="shared" si="11"/>
        <v>0.89333333333333331</v>
      </c>
      <c r="G752" s="10">
        <v>5</v>
      </c>
      <c r="H752" s="27">
        <v>45048</v>
      </c>
      <c r="I752" s="27">
        <v>46105</v>
      </c>
      <c r="J752" s="9" t="s">
        <v>1609</v>
      </c>
      <c r="K752" s="9" t="s">
        <v>2275</v>
      </c>
    </row>
    <row r="753" spans="1:11" x14ac:dyDescent="0.45">
      <c r="A753" s="4" t="s">
        <v>893</v>
      </c>
      <c r="B753" s="4" t="s">
        <v>1608</v>
      </c>
      <c r="C753" s="4" t="s">
        <v>2270</v>
      </c>
      <c r="D753" s="4" t="b">
        <f>FALSE()</f>
        <v>0</v>
      </c>
      <c r="E753" s="5">
        <v>8</v>
      </c>
      <c r="F753" s="7">
        <f t="shared" si="11"/>
        <v>0.10666666666666667</v>
      </c>
      <c r="G753" s="5">
        <v>0</v>
      </c>
      <c r="H753" s="26">
        <v>44928</v>
      </c>
      <c r="I753" s="26">
        <v>45014</v>
      </c>
      <c r="J753" s="4" t="s">
        <v>1614</v>
      </c>
      <c r="K753" s="4" t="s">
        <v>2276</v>
      </c>
    </row>
    <row r="754" spans="1:11" x14ac:dyDescent="0.45">
      <c r="A754" s="9" t="s">
        <v>894</v>
      </c>
      <c r="B754" s="9" t="s">
        <v>1608</v>
      </c>
      <c r="C754" s="9" t="s">
        <v>889</v>
      </c>
      <c r="D754" s="9" t="b">
        <f>TRUE()</f>
        <v>1</v>
      </c>
      <c r="E754" s="10">
        <v>63</v>
      </c>
      <c r="F754" s="12">
        <f t="shared" si="11"/>
        <v>0.984375</v>
      </c>
      <c r="G754" s="10">
        <v>0</v>
      </c>
      <c r="H754" s="27">
        <v>45016</v>
      </c>
      <c r="I754" s="27">
        <v>45874</v>
      </c>
      <c r="J754" s="9" t="s">
        <v>1609</v>
      </c>
      <c r="K754" s="9" t="s">
        <v>2277</v>
      </c>
    </row>
    <row r="755" spans="1:11" x14ac:dyDescent="0.45">
      <c r="A755" s="4" t="s">
        <v>894</v>
      </c>
      <c r="B755" s="4" t="s">
        <v>1608</v>
      </c>
      <c r="C755" s="4" t="s">
        <v>2270</v>
      </c>
      <c r="D755" s="4" t="b">
        <f>FALSE()</f>
        <v>0</v>
      </c>
      <c r="E755" s="5">
        <v>1</v>
      </c>
      <c r="F755" s="7">
        <f t="shared" si="11"/>
        <v>1.5625E-2</v>
      </c>
      <c r="G755" s="5">
        <v>0</v>
      </c>
      <c r="H755" s="26">
        <v>44984</v>
      </c>
      <c r="I755" s="26">
        <v>44984</v>
      </c>
      <c r="J755" s="4" t="s">
        <v>1614</v>
      </c>
      <c r="K755" s="4" t="s">
        <v>2278</v>
      </c>
    </row>
    <row r="756" spans="1:11" x14ac:dyDescent="0.45">
      <c r="A756" s="9" t="s">
        <v>896</v>
      </c>
      <c r="B756" s="9" t="s">
        <v>1608</v>
      </c>
      <c r="C756" s="9" t="s">
        <v>897</v>
      </c>
      <c r="D756" s="9" t="b">
        <f>TRUE()</f>
        <v>1</v>
      </c>
      <c r="E756" s="10">
        <v>4494</v>
      </c>
      <c r="F756" s="12">
        <f t="shared" si="11"/>
        <v>0.97462589459986992</v>
      </c>
      <c r="G756" s="10">
        <v>1083</v>
      </c>
      <c r="H756" s="27">
        <v>44928</v>
      </c>
      <c r="I756" s="27">
        <v>46296</v>
      </c>
      <c r="J756" s="9" t="s">
        <v>1609</v>
      </c>
      <c r="K756" s="9" t="s">
        <v>1689</v>
      </c>
    </row>
    <row r="757" spans="1:11" x14ac:dyDescent="0.45">
      <c r="A757" s="4" t="s">
        <v>896</v>
      </c>
      <c r="B757" s="4" t="s">
        <v>1608</v>
      </c>
      <c r="C757" s="4" t="s">
        <v>2279</v>
      </c>
      <c r="D757" s="4" t="b">
        <f>FALSE()</f>
        <v>0</v>
      </c>
      <c r="E757" s="5">
        <v>117</v>
      </c>
      <c r="F757" s="7">
        <f t="shared" si="11"/>
        <v>2.5374105400130124E-2</v>
      </c>
      <c r="G757" s="5">
        <v>0</v>
      </c>
      <c r="H757" s="26">
        <v>44929</v>
      </c>
      <c r="I757" s="26">
        <v>45049</v>
      </c>
      <c r="J757" s="4" t="s">
        <v>1611</v>
      </c>
      <c r="K757" s="4" t="s">
        <v>2280</v>
      </c>
    </row>
    <row r="758" spans="1:11" x14ac:dyDescent="0.45">
      <c r="A758" s="9" t="s">
        <v>902</v>
      </c>
      <c r="B758" s="9" t="s">
        <v>1608</v>
      </c>
      <c r="C758" s="9" t="s">
        <v>899</v>
      </c>
      <c r="D758" s="9" t="b">
        <f>TRUE()</f>
        <v>1</v>
      </c>
      <c r="E758" s="10">
        <v>10</v>
      </c>
      <c r="F758" s="12">
        <f t="shared" si="11"/>
        <v>0.90909090909090906</v>
      </c>
      <c r="G758" s="10">
        <v>2</v>
      </c>
      <c r="H758" s="27">
        <v>45154</v>
      </c>
      <c r="I758" s="27">
        <v>46203</v>
      </c>
      <c r="J758" s="9" t="s">
        <v>1609</v>
      </c>
      <c r="K758" s="9" t="s">
        <v>2281</v>
      </c>
    </row>
    <row r="759" spans="1:11" x14ac:dyDescent="0.45">
      <c r="A759" s="4" t="s">
        <v>902</v>
      </c>
      <c r="B759" s="4" t="s">
        <v>1608</v>
      </c>
      <c r="C759" s="4" t="s">
        <v>2282</v>
      </c>
      <c r="D759" s="4" t="b">
        <f>FALSE()</f>
        <v>0</v>
      </c>
      <c r="E759" s="5">
        <v>1</v>
      </c>
      <c r="F759" s="7">
        <f t="shared" si="11"/>
        <v>9.0909090909090912E-2</v>
      </c>
      <c r="G759" s="5">
        <v>0</v>
      </c>
      <c r="H759" s="26">
        <v>44957</v>
      </c>
      <c r="I759" s="26">
        <v>44957</v>
      </c>
      <c r="J759" s="4" t="s">
        <v>1611</v>
      </c>
      <c r="K759" s="4" t="s">
        <v>2283</v>
      </c>
    </row>
    <row r="760" spans="1:11" x14ac:dyDescent="0.45">
      <c r="A760" s="9" t="s">
        <v>908</v>
      </c>
      <c r="B760" s="9" t="s">
        <v>1608</v>
      </c>
      <c r="C760" s="9" t="s">
        <v>909</v>
      </c>
      <c r="D760" s="9" t="b">
        <f>TRUE()</f>
        <v>1</v>
      </c>
      <c r="E760" s="10">
        <v>1</v>
      </c>
      <c r="F760" s="12">
        <f t="shared" si="11"/>
        <v>0.5</v>
      </c>
      <c r="G760" s="10">
        <v>0</v>
      </c>
      <c r="H760" s="27">
        <v>44952</v>
      </c>
      <c r="I760" s="27">
        <v>44952</v>
      </c>
      <c r="J760" s="9" t="s">
        <v>1609</v>
      </c>
      <c r="K760" s="9" t="s">
        <v>2284</v>
      </c>
    </row>
    <row r="761" spans="1:11" x14ac:dyDescent="0.45">
      <c r="A761" s="4" t="s">
        <v>908</v>
      </c>
      <c r="B761" s="4" t="s">
        <v>1608</v>
      </c>
      <c r="C761" s="4" t="s">
        <v>142</v>
      </c>
      <c r="D761" s="4" t="b">
        <f>FALSE()</f>
        <v>0</v>
      </c>
      <c r="E761" s="5">
        <v>1</v>
      </c>
      <c r="F761" s="7">
        <f t="shared" si="11"/>
        <v>0.5</v>
      </c>
      <c r="G761" s="5">
        <v>0</v>
      </c>
      <c r="H761" s="26">
        <v>44945</v>
      </c>
      <c r="I761" s="26">
        <v>44945</v>
      </c>
      <c r="J761" s="4" t="s">
        <v>1614</v>
      </c>
      <c r="K761" s="4" t="s">
        <v>2285</v>
      </c>
    </row>
    <row r="762" spans="1:11" x14ac:dyDescent="0.45">
      <c r="A762" s="9" t="s">
        <v>912</v>
      </c>
      <c r="B762" s="9" t="s">
        <v>1608</v>
      </c>
      <c r="C762" s="9" t="s">
        <v>913</v>
      </c>
      <c r="D762" s="9" t="b">
        <f>TRUE()</f>
        <v>1</v>
      </c>
      <c r="E762" s="10">
        <v>271</v>
      </c>
      <c r="F762" s="12">
        <f t="shared" si="11"/>
        <v>0.65458937198067635</v>
      </c>
      <c r="G762" s="10">
        <v>0</v>
      </c>
      <c r="H762" s="27">
        <v>44929</v>
      </c>
      <c r="I762" s="27">
        <v>45762</v>
      </c>
      <c r="J762" s="9" t="s">
        <v>1609</v>
      </c>
      <c r="K762" s="9" t="s">
        <v>2286</v>
      </c>
    </row>
    <row r="763" spans="1:11" x14ac:dyDescent="0.45">
      <c r="A763" s="4" t="s">
        <v>912</v>
      </c>
      <c r="B763" s="4" t="s">
        <v>1608</v>
      </c>
      <c r="C763" s="4" t="s">
        <v>2287</v>
      </c>
      <c r="D763" s="4" t="b">
        <f>FALSE()</f>
        <v>0</v>
      </c>
      <c r="E763" s="5">
        <v>143</v>
      </c>
      <c r="F763" s="7">
        <f t="shared" si="11"/>
        <v>0.34541062801932365</v>
      </c>
      <c r="G763" s="5">
        <v>85</v>
      </c>
      <c r="H763" s="26">
        <v>45730</v>
      </c>
      <c r="I763" s="26">
        <v>46286</v>
      </c>
      <c r="J763" s="4" t="s">
        <v>1614</v>
      </c>
      <c r="K763" s="4" t="s">
        <v>2288</v>
      </c>
    </row>
    <row r="764" spans="1:11" x14ac:dyDescent="0.45">
      <c r="A764" s="9" t="s">
        <v>914</v>
      </c>
      <c r="B764" s="9" t="s">
        <v>1608</v>
      </c>
      <c r="C764" s="9" t="s">
        <v>915</v>
      </c>
      <c r="D764" s="9" t="b">
        <f>TRUE()</f>
        <v>1</v>
      </c>
      <c r="E764" s="10">
        <v>317</v>
      </c>
      <c r="F764" s="12">
        <f t="shared" si="11"/>
        <v>0.58165137614678897</v>
      </c>
      <c r="G764" s="10">
        <v>0</v>
      </c>
      <c r="H764" s="27">
        <v>44929</v>
      </c>
      <c r="I764" s="27">
        <v>45055</v>
      </c>
      <c r="J764" s="9" t="s">
        <v>1609</v>
      </c>
      <c r="K764" s="9" t="s">
        <v>2202</v>
      </c>
    </row>
    <row r="765" spans="1:11" x14ac:dyDescent="0.45">
      <c r="A765" s="4" t="s">
        <v>914</v>
      </c>
      <c r="B765" s="4" t="s">
        <v>1608</v>
      </c>
      <c r="C765" s="4" t="s">
        <v>492</v>
      </c>
      <c r="D765" s="4" t="b">
        <f>FALSE()</f>
        <v>0</v>
      </c>
      <c r="E765" s="5">
        <v>228</v>
      </c>
      <c r="F765" s="7">
        <f t="shared" si="11"/>
        <v>0.41834862385321103</v>
      </c>
      <c r="G765" s="5">
        <v>0</v>
      </c>
      <c r="H765" s="26">
        <v>45034</v>
      </c>
      <c r="I765" s="26">
        <v>45126</v>
      </c>
      <c r="J765" s="4" t="s">
        <v>1614</v>
      </c>
      <c r="K765" s="4" t="s">
        <v>2289</v>
      </c>
    </row>
    <row r="766" spans="1:11" x14ac:dyDescent="0.45">
      <c r="A766" s="9" t="s">
        <v>916</v>
      </c>
      <c r="B766" s="9" t="s">
        <v>1608</v>
      </c>
      <c r="C766" s="9" t="s">
        <v>915</v>
      </c>
      <c r="D766" s="9" t="b">
        <f>TRUE()</f>
        <v>1</v>
      </c>
      <c r="E766" s="10">
        <v>60</v>
      </c>
      <c r="F766" s="12">
        <f t="shared" si="11"/>
        <v>0.90909090909090906</v>
      </c>
      <c r="G766" s="10">
        <v>0</v>
      </c>
      <c r="H766" s="27">
        <v>44930</v>
      </c>
      <c r="I766" s="27">
        <v>45046</v>
      </c>
      <c r="J766" s="9" t="s">
        <v>1609</v>
      </c>
      <c r="K766" s="9" t="s">
        <v>2290</v>
      </c>
    </row>
    <row r="767" spans="1:11" x14ac:dyDescent="0.45">
      <c r="A767" s="4" t="s">
        <v>916</v>
      </c>
      <c r="B767" s="4" t="s">
        <v>1608</v>
      </c>
      <c r="C767" s="4" t="s">
        <v>492</v>
      </c>
      <c r="D767" s="4" t="b">
        <f>FALSE()</f>
        <v>0</v>
      </c>
      <c r="E767" s="5">
        <v>6</v>
      </c>
      <c r="F767" s="7">
        <f t="shared" si="11"/>
        <v>9.0909090909090912E-2</v>
      </c>
      <c r="G767" s="5">
        <v>0</v>
      </c>
      <c r="H767" s="26">
        <v>45033</v>
      </c>
      <c r="I767" s="26">
        <v>45058</v>
      </c>
      <c r="J767" s="4" t="s">
        <v>1614</v>
      </c>
      <c r="K767" s="4" t="s">
        <v>2291</v>
      </c>
    </row>
    <row r="768" spans="1:11" x14ac:dyDescent="0.45">
      <c r="A768" s="9" t="s">
        <v>917</v>
      </c>
      <c r="B768" s="9" t="s">
        <v>1608</v>
      </c>
      <c r="C768" s="9" t="s">
        <v>918</v>
      </c>
      <c r="D768" s="9" t="b">
        <f>TRUE()</f>
        <v>1</v>
      </c>
      <c r="E768" s="10">
        <v>138</v>
      </c>
      <c r="F768" s="12">
        <f t="shared" si="11"/>
        <v>0.50181818181818183</v>
      </c>
      <c r="G768" s="10">
        <v>0</v>
      </c>
      <c r="H768" s="27">
        <v>44928</v>
      </c>
      <c r="I768" s="27">
        <v>45055</v>
      </c>
      <c r="J768" s="9" t="s">
        <v>1609</v>
      </c>
      <c r="K768" s="9" t="s">
        <v>1660</v>
      </c>
    </row>
    <row r="769" spans="1:11" x14ac:dyDescent="0.45">
      <c r="A769" s="4" t="s">
        <v>917</v>
      </c>
      <c r="B769" s="4" t="s">
        <v>1608</v>
      </c>
      <c r="C769" s="4" t="s">
        <v>382</v>
      </c>
      <c r="D769" s="4" t="b">
        <f>FALSE()</f>
        <v>0</v>
      </c>
      <c r="E769" s="5">
        <v>137</v>
      </c>
      <c r="F769" s="7">
        <f t="shared" si="11"/>
        <v>0.49818181818181817</v>
      </c>
      <c r="G769" s="5">
        <v>0</v>
      </c>
      <c r="H769" s="26">
        <v>44995</v>
      </c>
      <c r="I769" s="26">
        <v>45224</v>
      </c>
      <c r="J769" s="4" t="s">
        <v>1614</v>
      </c>
      <c r="K769" s="4" t="s">
        <v>2292</v>
      </c>
    </row>
    <row r="770" spans="1:11" x14ac:dyDescent="0.45">
      <c r="A770" s="9" t="s">
        <v>923</v>
      </c>
      <c r="B770" s="9" t="s">
        <v>1608</v>
      </c>
      <c r="C770" s="9" t="s">
        <v>924</v>
      </c>
      <c r="D770" s="9" t="b">
        <f>TRUE()</f>
        <v>1</v>
      </c>
      <c r="E770" s="10">
        <v>98</v>
      </c>
      <c r="F770" s="12">
        <f t="shared" ref="F770:F833" si="12">E770/SUMIFS($E$2:$E$783,$A$2:$A$783,A770)</f>
        <v>0.63636363636363635</v>
      </c>
      <c r="G770" s="10">
        <v>0</v>
      </c>
      <c r="H770" s="27">
        <v>44928</v>
      </c>
      <c r="I770" s="27">
        <v>45054</v>
      </c>
      <c r="J770" s="9" t="s">
        <v>1609</v>
      </c>
      <c r="K770" s="9" t="s">
        <v>2205</v>
      </c>
    </row>
    <row r="771" spans="1:11" x14ac:dyDescent="0.45">
      <c r="A771" s="4" t="s">
        <v>923</v>
      </c>
      <c r="B771" s="4" t="s">
        <v>1608</v>
      </c>
      <c r="C771" s="4" t="s">
        <v>687</v>
      </c>
      <c r="D771" s="4" t="b">
        <f>FALSE()</f>
        <v>0</v>
      </c>
      <c r="E771" s="5">
        <v>56</v>
      </c>
      <c r="F771" s="7">
        <f t="shared" si="12"/>
        <v>0.36363636363636365</v>
      </c>
      <c r="G771" s="5">
        <v>0</v>
      </c>
      <c r="H771" s="26">
        <v>44931</v>
      </c>
      <c r="I771" s="26">
        <v>45093</v>
      </c>
      <c r="J771" s="4" t="s">
        <v>1614</v>
      </c>
      <c r="K771" s="4" t="s">
        <v>2293</v>
      </c>
    </row>
    <row r="772" spans="1:11" x14ac:dyDescent="0.45">
      <c r="A772" s="9" t="s">
        <v>925</v>
      </c>
      <c r="B772" s="9" t="s">
        <v>1608</v>
      </c>
      <c r="C772" s="9" t="s">
        <v>924</v>
      </c>
      <c r="D772" s="9" t="b">
        <f>TRUE()</f>
        <v>1</v>
      </c>
      <c r="E772" s="10">
        <v>53</v>
      </c>
      <c r="F772" s="12">
        <f t="shared" si="12"/>
        <v>0.77941176470588236</v>
      </c>
      <c r="G772" s="10">
        <v>0</v>
      </c>
      <c r="H772" s="27">
        <v>44929</v>
      </c>
      <c r="I772" s="27">
        <v>45054</v>
      </c>
      <c r="J772" s="9" t="s">
        <v>1609</v>
      </c>
      <c r="K772" s="9" t="s">
        <v>2294</v>
      </c>
    </row>
    <row r="773" spans="1:11" x14ac:dyDescent="0.45">
      <c r="A773" s="4" t="s">
        <v>925</v>
      </c>
      <c r="B773" s="4" t="s">
        <v>1608</v>
      </c>
      <c r="C773" s="4" t="s">
        <v>687</v>
      </c>
      <c r="D773" s="4" t="b">
        <f>FALSE()</f>
        <v>0</v>
      </c>
      <c r="E773" s="5">
        <v>15</v>
      </c>
      <c r="F773" s="7">
        <f t="shared" si="12"/>
        <v>0.22058823529411764</v>
      </c>
      <c r="G773" s="5">
        <v>0</v>
      </c>
      <c r="H773" s="26">
        <v>45062</v>
      </c>
      <c r="I773" s="26">
        <v>45091</v>
      </c>
      <c r="J773" s="4" t="s">
        <v>1614</v>
      </c>
      <c r="K773" s="4" t="s">
        <v>2295</v>
      </c>
    </row>
    <row r="774" spans="1:11" x14ac:dyDescent="0.45">
      <c r="A774" s="9" t="s">
        <v>926</v>
      </c>
      <c r="B774" s="9" t="s">
        <v>1608</v>
      </c>
      <c r="C774" s="9" t="s">
        <v>924</v>
      </c>
      <c r="D774" s="9" t="b">
        <f>TRUE()</f>
        <v>1</v>
      </c>
      <c r="E774" s="10">
        <v>29</v>
      </c>
      <c r="F774" s="12">
        <f t="shared" si="12"/>
        <v>0.67441860465116277</v>
      </c>
      <c r="G774" s="10">
        <v>0</v>
      </c>
      <c r="H774" s="27">
        <v>44931</v>
      </c>
      <c r="I774" s="27">
        <v>45054</v>
      </c>
      <c r="J774" s="9" t="s">
        <v>1609</v>
      </c>
      <c r="K774" s="9" t="s">
        <v>2296</v>
      </c>
    </row>
    <row r="775" spans="1:11" x14ac:dyDescent="0.45">
      <c r="A775" s="4" t="s">
        <v>926</v>
      </c>
      <c r="B775" s="4" t="s">
        <v>1608</v>
      </c>
      <c r="C775" s="4" t="s">
        <v>687</v>
      </c>
      <c r="D775" s="4" t="b">
        <f>FALSE()</f>
        <v>0</v>
      </c>
      <c r="E775" s="5">
        <v>14</v>
      </c>
      <c r="F775" s="7">
        <f t="shared" si="12"/>
        <v>0.32558139534883723</v>
      </c>
      <c r="G775" s="5">
        <v>0</v>
      </c>
      <c r="H775" s="26">
        <v>45055</v>
      </c>
      <c r="I775" s="26">
        <v>45089</v>
      </c>
      <c r="J775" s="4" t="s">
        <v>1614</v>
      </c>
      <c r="K775" s="4" t="s">
        <v>2297</v>
      </c>
    </row>
    <row r="776" spans="1:11" x14ac:dyDescent="0.45">
      <c r="A776" s="9" t="s">
        <v>927</v>
      </c>
      <c r="B776" s="9" t="s">
        <v>1887</v>
      </c>
      <c r="C776" s="9" t="s">
        <v>924</v>
      </c>
      <c r="D776" s="9" t="b">
        <f>TRUE()</f>
        <v>1</v>
      </c>
      <c r="E776" s="10">
        <v>29</v>
      </c>
      <c r="F776" s="12">
        <f t="shared" si="12"/>
        <v>0.96666666666666667</v>
      </c>
      <c r="G776" s="10">
        <v>0</v>
      </c>
      <c r="H776" s="27">
        <v>44929</v>
      </c>
      <c r="I776" s="27">
        <v>45042</v>
      </c>
      <c r="J776" s="9" t="s">
        <v>1609</v>
      </c>
      <c r="K776" s="9" t="s">
        <v>2298</v>
      </c>
    </row>
    <row r="777" spans="1:11" x14ac:dyDescent="0.45">
      <c r="A777" s="4" t="s">
        <v>927</v>
      </c>
      <c r="B777" s="4" t="s">
        <v>1887</v>
      </c>
      <c r="C777" s="4" t="s">
        <v>687</v>
      </c>
      <c r="D777" s="4" t="b">
        <f>FALSE()</f>
        <v>0</v>
      </c>
      <c r="E777" s="5">
        <v>1</v>
      </c>
      <c r="F777" s="7">
        <f t="shared" si="12"/>
        <v>3.3333333333333333E-2</v>
      </c>
      <c r="G777" s="5">
        <v>0</v>
      </c>
      <c r="H777" s="26">
        <v>44995</v>
      </c>
      <c r="I777" s="26">
        <v>44995</v>
      </c>
      <c r="J777" s="4" t="s">
        <v>1622</v>
      </c>
      <c r="K777" s="4" t="s">
        <v>2299</v>
      </c>
    </row>
    <row r="778" spans="1:11" x14ac:dyDescent="0.45">
      <c r="A778" s="9" t="s">
        <v>928</v>
      </c>
      <c r="B778" s="9" t="s">
        <v>1608</v>
      </c>
      <c r="C778" s="9" t="s">
        <v>924</v>
      </c>
      <c r="D778" s="9" t="b">
        <f>TRUE()</f>
        <v>1</v>
      </c>
      <c r="E778" s="10">
        <v>8</v>
      </c>
      <c r="F778" s="12">
        <f t="shared" si="12"/>
        <v>0.61538461538461542</v>
      </c>
      <c r="G778" s="10">
        <v>0</v>
      </c>
      <c r="H778" s="27">
        <v>44931</v>
      </c>
      <c r="I778" s="27">
        <v>45035</v>
      </c>
      <c r="J778" s="9" t="s">
        <v>1609</v>
      </c>
      <c r="K778" s="9" t="s">
        <v>2300</v>
      </c>
    </row>
    <row r="779" spans="1:11" x14ac:dyDescent="0.45">
      <c r="A779" s="4" t="s">
        <v>928</v>
      </c>
      <c r="B779" s="4" t="s">
        <v>1608</v>
      </c>
      <c r="C779" s="4" t="s">
        <v>787</v>
      </c>
      <c r="D779" s="4" t="b">
        <f>FALSE()</f>
        <v>0</v>
      </c>
      <c r="E779" s="5">
        <v>5</v>
      </c>
      <c r="F779" s="7">
        <f t="shared" si="12"/>
        <v>0.38461538461538464</v>
      </c>
      <c r="G779" s="5">
        <v>0</v>
      </c>
      <c r="H779" s="26">
        <v>45048</v>
      </c>
      <c r="I779" s="26">
        <v>45093</v>
      </c>
      <c r="J779" s="4" t="s">
        <v>1614</v>
      </c>
      <c r="K779" s="4" t="s">
        <v>2301</v>
      </c>
    </row>
    <row r="780" spans="1:11" x14ac:dyDescent="0.45">
      <c r="A780" s="9" t="s">
        <v>929</v>
      </c>
      <c r="B780" s="9" t="s">
        <v>1608</v>
      </c>
      <c r="C780" s="9" t="s">
        <v>924</v>
      </c>
      <c r="D780" s="9" t="b">
        <f>TRUE()</f>
        <v>1</v>
      </c>
      <c r="E780" s="10">
        <v>7</v>
      </c>
      <c r="F780" s="12">
        <f t="shared" si="12"/>
        <v>0.7</v>
      </c>
      <c r="G780" s="10">
        <v>0</v>
      </c>
      <c r="H780" s="27">
        <v>44951</v>
      </c>
      <c r="I780" s="27">
        <v>45029</v>
      </c>
      <c r="J780" s="9" t="s">
        <v>1609</v>
      </c>
      <c r="K780" s="9" t="s">
        <v>2302</v>
      </c>
    </row>
    <row r="781" spans="1:11" x14ac:dyDescent="0.45">
      <c r="A781" s="4" t="s">
        <v>929</v>
      </c>
      <c r="B781" s="4" t="s">
        <v>1608</v>
      </c>
      <c r="C781" s="4" t="s">
        <v>787</v>
      </c>
      <c r="D781" s="4" t="b">
        <f>FALSE()</f>
        <v>0</v>
      </c>
      <c r="E781" s="5">
        <v>3</v>
      </c>
      <c r="F781" s="7">
        <f t="shared" si="12"/>
        <v>0.3</v>
      </c>
      <c r="G781" s="5">
        <v>0</v>
      </c>
      <c r="H781" s="26">
        <v>45077</v>
      </c>
      <c r="I781" s="26">
        <v>45119</v>
      </c>
      <c r="J781" s="4" t="s">
        <v>1614</v>
      </c>
      <c r="K781" s="4" t="s">
        <v>2303</v>
      </c>
    </row>
    <row r="782" spans="1:11" x14ac:dyDescent="0.45">
      <c r="A782" s="9" t="s">
        <v>930</v>
      </c>
      <c r="B782" s="9" t="s">
        <v>1608</v>
      </c>
      <c r="C782" s="9" t="s">
        <v>931</v>
      </c>
      <c r="D782" s="9" t="b">
        <f>TRUE()</f>
        <v>1</v>
      </c>
      <c r="E782" s="10">
        <v>53</v>
      </c>
      <c r="F782" s="12">
        <f t="shared" si="12"/>
        <v>0.51960784313725494</v>
      </c>
      <c r="G782" s="10">
        <v>0</v>
      </c>
      <c r="H782" s="27">
        <v>44952</v>
      </c>
      <c r="I782" s="27">
        <v>45055</v>
      </c>
      <c r="J782" s="9" t="s">
        <v>1609</v>
      </c>
      <c r="K782" s="9" t="s">
        <v>2304</v>
      </c>
    </row>
    <row r="783" spans="1:11" x14ac:dyDescent="0.45">
      <c r="A783" s="4" t="s">
        <v>930</v>
      </c>
      <c r="B783" s="4" t="s">
        <v>1608</v>
      </c>
      <c r="C783" s="4" t="s">
        <v>687</v>
      </c>
      <c r="D783" s="4" t="b">
        <f>FALSE()</f>
        <v>0</v>
      </c>
      <c r="E783" s="5">
        <v>49</v>
      </c>
      <c r="F783" s="7">
        <f t="shared" si="12"/>
        <v>0.48039215686274511</v>
      </c>
      <c r="G783" s="5">
        <v>0</v>
      </c>
      <c r="H783" s="26">
        <v>45049</v>
      </c>
      <c r="I783" s="26">
        <v>45372</v>
      </c>
      <c r="J783" s="4" t="s">
        <v>1611</v>
      </c>
      <c r="K783" s="4" t="s">
        <v>2305</v>
      </c>
    </row>
  </sheetData>
  <autoFilter ref="A1:K783" xr:uid="{00000000-0009-0000-0000-000008000000}"/>
  <conditionalFormatting sqref="A2:K783">
    <cfRule type="expression" dxfId="1" priority="2">
      <formula>$B2="REAL SPLIT"</formula>
    </cfRule>
    <cfRule type="expression" dxfId="0" priority="3">
      <formula>$B2="Rename/merge + minor misrouting"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Service Types</vt:lpstr>
      <vt:lpstr>2026 Remaining Services</vt:lpstr>
      <vt:lpstr>Crew - 2026</vt:lpstr>
      <vt:lpstr>Crew - All Years</vt:lpstr>
      <vt:lpstr>Crew by Community</vt:lpstr>
      <vt:lpstr>Business Licences by Community</vt:lpstr>
      <vt:lpstr>Crew 2026 Pivot</vt:lpstr>
      <vt:lpstr>Multi-Agency Flags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Thurein Aung</cp:lastModifiedBy>
  <cp:revision>0</cp:revision>
  <dcterms:created xsi:type="dcterms:W3CDTF">2026-10-03T18:21:32Z</dcterms:created>
  <dcterms:modified xsi:type="dcterms:W3CDTF">2026-10-03T19:53:01Z</dcterms:modified>
  <dc:language>en-US</dc:language>
</cp:coreProperties>
</file>